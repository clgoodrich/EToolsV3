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16" yWindow="108" windowWidth="23256" windowHeight="11388" tabRatio="847" firstSheet="1" activeTab="3" autoFilterDateGrouping="1"/>
  </bookViews>
  <sheets>
    <sheet xmlns:r="http://schemas.openxmlformats.org/officeDocument/2006/relationships" name="Casing Review" sheetId="1" state="visible" r:id="rId1"/>
    <sheet xmlns:r="http://schemas.openxmlformats.org/officeDocument/2006/relationships" name="Formations" sheetId="2" state="visible" r:id="rId2"/>
    <sheet xmlns:r="http://schemas.openxmlformats.org/officeDocument/2006/relationships" name="DxSurvey" sheetId="3" state="visible" r:id="rId3"/>
    <sheet xmlns:r="http://schemas.openxmlformats.org/officeDocument/2006/relationships" name="Vertical WBD" sheetId="4" state="visible" r:id="rId4"/>
    <sheet xmlns:r="http://schemas.openxmlformats.org/officeDocument/2006/relationships" name="DataPrint" sheetId="5" state="visible" r:id="rId5"/>
    <sheet xmlns:r="http://schemas.openxmlformats.org/officeDocument/2006/relationships" name="BOPE" sheetId="6" state="visible" r:id="rId6"/>
    <sheet xmlns:r="http://schemas.openxmlformats.org/officeDocument/2006/relationships" name="Casing Strengths" sheetId="7" state="visible" r:id="rId7"/>
    <sheet xmlns:r="http://schemas.openxmlformats.org/officeDocument/2006/relationships" name="SHL Section" sheetId="8" state="visible" r:id="rId8"/>
    <sheet xmlns:r="http://schemas.openxmlformats.org/officeDocument/2006/relationships" name="BHL Section 1" sheetId="9" state="visible" r:id="rId9"/>
    <sheet xmlns:r="http://schemas.openxmlformats.org/officeDocument/2006/relationships" name="BHL Section 2" sheetId="10" state="visible" r:id="rId10"/>
    <sheet xmlns:r="http://schemas.openxmlformats.org/officeDocument/2006/relationships" name="BHL Section 3" sheetId="11" state="visible" r:id="rId11"/>
    <sheet xmlns:r="http://schemas.openxmlformats.org/officeDocument/2006/relationships" name="Rev Hist" sheetId="12" state="visible" r:id="rId12"/>
    <sheet xmlns:r="http://schemas.openxmlformats.org/officeDocument/2006/relationships" name="Grid Numbers" sheetId="13" state="visible" r:id="rId13"/>
    <sheet xmlns:r="http://schemas.openxmlformats.org/officeDocument/2006/relationships" name="Sheet1" sheetId="14" state="visible" r:id="rId14"/>
    <sheet xmlns:r="http://schemas.openxmlformats.org/officeDocument/2006/relationships" name="Sheet3" sheetId="15" state="visible" r:id="rId15"/>
  </sheets>
  <definedNames>
    <definedName name="Casing_Collar">'Casing Review'!$AK$10:$AK$21</definedName>
    <definedName name="Casing_Grade">'Casing Review'!$AL$10:$AL$38</definedName>
    <definedName name="Casing_Joint">'Casing Review'!$AK$10:$AK$21</definedName>
    <definedName name="_xlnm.Print_Area" localSheetId="0">'Casing Review'!$A$1:$R$69</definedName>
    <definedName name="_xlnm.Print_Area" localSheetId="2">'DxSurvey'!$A$1:$W$104</definedName>
    <definedName name="_xlnm.Print_Area" localSheetId="3">'Vertical WBD'!$AC$87:$CQ$132</definedName>
    <definedName name="_xlnm.Print_Area" localSheetId="4">'DataPrint'!$A$1:$BH$38</definedName>
    <definedName name="_xlnm.Print_Area" localSheetId="7">'SHL Section'!$A$22:$M$40</definedName>
    <definedName name="_xlnm.Print_Area" localSheetId="8">'BHL Section 1'!$A$22:$M$40</definedName>
    <definedName name="_xlnm.Print_Area" localSheetId="9">'BHL Section 2'!$A$22:$M$40</definedName>
    <definedName name="_xlnm.Print_Area" localSheetId="10">'BHL Section 3'!$A$22:$M$40</definedName>
    <definedName name="_xlnm._FilterDatabase" localSheetId="12" hidden="1">'Grid Numbers'!$A$2:$M$2</definedName>
  </definedNames>
  <calcPr calcId="145621" fullCalcOnLoad="1"/>
</workbook>
</file>

<file path=xl/styles.xml><?xml version="1.0" encoding="utf-8"?>
<styleSheet xmlns="http://schemas.openxmlformats.org/spreadsheetml/2006/main">
  <numFmts count="6">
    <numFmt numFmtId="164" formatCode="0.0"/>
    <numFmt numFmtId="165" formatCode="0.000"/>
    <numFmt numFmtId="166" formatCode="0.0000"/>
    <numFmt numFmtId="167" formatCode="_(* #,##0_);_(* \(#,##0\);_(* &quot;-&quot;??_);_(@_)"/>
    <numFmt numFmtId="168" formatCode="0.00;[Red]0.00"/>
    <numFmt numFmtId="169" formatCode="0.00000"/>
  </numFmts>
  <fonts count="116">
    <font>
      <name val="Calibri"/>
      <family val="2"/>
      <color theme="1"/>
      <sz val="11"/>
      <scheme val="minor"/>
    </font>
    <font>
      <name val="Arial Narrow"/>
      <family val="2"/>
      <color theme="1"/>
      <sz val="9.9"/>
    </font>
    <font>
      <name val="Arial Narrow"/>
      <family val="2"/>
      <b val="1"/>
      <color rgb="FFFFFFFF"/>
      <sz val="9.9"/>
    </font>
    <font>
      <name val="Calibri"/>
      <family val="2"/>
      <b val="1"/>
      <color theme="1"/>
      <sz val="18"/>
      <scheme val="minor"/>
    </font>
    <font>
      <name val="Calibri"/>
      <family val="2"/>
      <b val="1"/>
      <color theme="1"/>
      <sz val="14"/>
      <u val="single"/>
      <scheme val="minor"/>
    </font>
    <font>
      <name val="Calibri"/>
      <family val="2"/>
      <b val="1"/>
      <color theme="1"/>
      <sz val="14"/>
      <scheme val="minor"/>
    </font>
    <font>
      <name val="Calibri"/>
      <family val="2"/>
      <color theme="1"/>
      <sz val="12"/>
      <scheme val="minor"/>
    </font>
    <font>
      <name val="Arial"/>
      <family val="2"/>
      <sz val="10"/>
    </font>
    <font>
      <name val="Arial"/>
      <family val="2"/>
      <sz val="8"/>
    </font>
    <font>
      <name val="Arial"/>
      <family val="2"/>
      <b val="1"/>
      <sz val="9"/>
    </font>
    <font>
      <name val="Arial"/>
      <family val="2"/>
      <b val="1"/>
      <sz val="10"/>
    </font>
    <font>
      <name val="Arial"/>
      <family val="2"/>
      <sz val="9"/>
    </font>
    <font>
      <name val="Arial"/>
      <family val="2"/>
      <sz val="9"/>
    </font>
    <font>
      <name val="Arial Narrow"/>
      <family val="2"/>
      <sz val="10"/>
    </font>
    <font>
      <name val="Arial Narrow"/>
      <family val="2"/>
      <sz val="9"/>
    </font>
    <font>
      <name val="Arial"/>
      <family val="2"/>
      <b val="1"/>
      <i val="1"/>
      <sz val="7"/>
      <u val="single"/>
    </font>
    <font>
      <name val="Arial"/>
      <family val="2"/>
      <b val="1"/>
      <sz val="8"/>
    </font>
    <font>
      <name val="Arial"/>
      <family val="2"/>
      <b val="1"/>
      <color rgb="FF000080"/>
      <sz val="10"/>
      <u val="single"/>
    </font>
    <font>
      <name val="Arial"/>
      <family val="2"/>
      <b val="1"/>
      <color rgb="FFFFFFFF"/>
      <sz val="9"/>
    </font>
    <font>
      <name val="Arial"/>
      <family val="2"/>
      <b val="1"/>
      <color rgb="FFFFFFFF"/>
      <sz val="10"/>
    </font>
    <font>
      <name val="Arial"/>
      <family val="2"/>
      <b val="1"/>
      <color rgb="FF800000"/>
      <sz val="9"/>
      <u val="single"/>
    </font>
    <font>
      <name val="Arial"/>
      <family val="2"/>
      <b val="1"/>
      <i val="1"/>
      <color rgb="FF800000"/>
      <sz val="8"/>
    </font>
    <font>
      <name val="Arial"/>
      <family val="2"/>
      <color rgb="FF800000"/>
      <sz val="10"/>
    </font>
    <font>
      <name val="Arial"/>
      <family val="2"/>
      <color rgb="FFFF0000"/>
      <sz val="9"/>
    </font>
    <font>
      <name val="Arial"/>
      <family val="2"/>
      <color rgb="FF000080"/>
      <sz val="10"/>
    </font>
    <font>
      <name val="Arial"/>
      <family val="2"/>
      <color rgb="FF993300"/>
      <sz val="9"/>
    </font>
    <font>
      <name val="Arial"/>
      <family val="2"/>
      <color rgb="FF993300"/>
      <sz val="10"/>
    </font>
    <font>
      <name val="Arial"/>
      <family val="2"/>
      <color rgb="FF000000"/>
      <sz val="9"/>
    </font>
    <font>
      <name val="Arial"/>
      <family val="2"/>
      <color rgb="FF993300"/>
      <sz val="8"/>
    </font>
    <font>
      <name val="Arial"/>
      <family val="2"/>
      <b val="1"/>
      <i val="1"/>
      <color rgb="FFFF0000"/>
      <sz val="7"/>
    </font>
    <font>
      <name val="Arial"/>
      <family val="2"/>
      <b val="1"/>
      <color rgb="FFFF0000"/>
      <sz val="7"/>
      <u val="single"/>
    </font>
    <font>
      <name val="Arial"/>
      <family val="2"/>
      <b val="1"/>
      <color rgb="FF808080"/>
      <sz val="9"/>
    </font>
    <font>
      <name val="Arial"/>
      <family val="2"/>
      <color rgb="FF808080"/>
      <sz val="9"/>
    </font>
    <font>
      <name val="Arial"/>
      <family val="2"/>
      <b val="1"/>
      <color rgb="FF808080"/>
      <sz val="9"/>
      <u val="single"/>
    </font>
    <font>
      <name val="Arial"/>
      <family val="2"/>
      <color rgb="FF808080"/>
      <sz val="10"/>
    </font>
    <font>
      <name val="Arial"/>
      <family val="2"/>
      <color rgb="FF808080"/>
      <sz val="9"/>
    </font>
    <font>
      <name val="Arial"/>
      <family val="2"/>
      <b val="1"/>
      <i val="1"/>
      <color rgb="FF000080"/>
      <sz val="7.2"/>
      <u val="single"/>
    </font>
    <font>
      <name val="Arial"/>
      <family val="2"/>
      <b val="1"/>
      <color rgb="FF333333"/>
      <sz val="10"/>
    </font>
    <font>
      <name val="Arial"/>
      <family val="2"/>
      <b val="1"/>
      <color rgb="FF666699"/>
      <sz val="9"/>
      <u val="single"/>
    </font>
    <font>
      <name val="Arial"/>
      <family val="2"/>
      <b val="1"/>
      <color rgb="FF008000"/>
      <sz val="9"/>
    </font>
    <font>
      <name val="Arial"/>
      <family val="2"/>
      <color rgb="FF008000"/>
      <sz val="9"/>
    </font>
    <font>
      <name val="Arial"/>
      <family val="2"/>
      <b val="1"/>
      <i val="1"/>
      <color rgb="FFFF0000"/>
      <sz val="8"/>
    </font>
    <font>
      <name val="Arial"/>
      <family val="2"/>
      <b val="1"/>
      <color rgb="FF0000FF"/>
      <sz val="9"/>
      <u val="single"/>
    </font>
    <font>
      <name val="Arial"/>
      <family val="2"/>
      <b val="1"/>
      <i val="1"/>
      <color rgb="FF000080"/>
      <sz val="9"/>
    </font>
    <font>
      <name val="Arial"/>
      <family val="2"/>
      <b val="1"/>
      <color rgb="FF800000"/>
      <sz val="9"/>
      <u val="single"/>
    </font>
    <font>
      <name val="Arial"/>
      <family val="2"/>
      <b val="1"/>
      <i val="1"/>
      <color rgb="FFFF0000"/>
      <sz val="9"/>
    </font>
    <font>
      <name val="Arial"/>
      <family val="2"/>
      <b val="1"/>
      <color rgb="FF0000FF"/>
      <sz val="10"/>
    </font>
    <font>
      <name val="Arial"/>
      <family val="2"/>
      <i val="1"/>
      <color rgb="FF993300"/>
      <sz val="8"/>
    </font>
    <font>
      <name val="Arial"/>
      <family val="2"/>
      <b val="1"/>
      <color rgb="FF800000"/>
      <sz val="9"/>
    </font>
    <font>
      <name val="Arial"/>
      <family val="2"/>
      <color rgb="FF800000"/>
      <sz val="9"/>
    </font>
    <font>
      <name val="Arial"/>
      <family val="2"/>
      <color rgb="FF000000"/>
      <sz val="8"/>
    </font>
    <font>
      <name val="Arial"/>
      <family val="2"/>
      <b val="1"/>
      <color rgb="FF993366"/>
      <sz val="9"/>
    </font>
    <font>
      <name val="Arial"/>
      <family val="2"/>
      <color rgb="FF993366"/>
      <sz val="9"/>
      <u val="single"/>
    </font>
    <font>
      <name val="Arial"/>
      <family val="2"/>
      <color rgb="FF993366"/>
      <sz val="9"/>
    </font>
    <font>
      <name val="Arial"/>
      <family val="2"/>
      <color rgb="FF993366"/>
      <sz val="9"/>
    </font>
    <font>
      <name val="Arial"/>
      <family val="2"/>
      <color rgb="FF993366"/>
      <sz val="10"/>
    </font>
    <font>
      <name val="Arial"/>
      <family val="2"/>
      <b val="1"/>
      <i val="1"/>
      <color rgb="FF008000"/>
      <sz val="8"/>
      <u val="single"/>
    </font>
    <font>
      <name val="Arial"/>
      <family val="2"/>
      <color rgb="FF993300"/>
      <sz val="9"/>
    </font>
    <font>
      <name val="Arial"/>
      <family val="2"/>
      <b val="1"/>
      <i val="1"/>
      <color rgb="FF008000"/>
      <sz val="8"/>
    </font>
    <font>
      <name val="Arial"/>
      <family val="2"/>
      <b val="1"/>
      <color rgb="FF333333"/>
      <sz val="9"/>
    </font>
    <font>
      <name val="Arial"/>
      <family val="2"/>
      <b val="1"/>
      <color rgb="FF969696"/>
      <sz val="9"/>
      <u val="single"/>
    </font>
    <font>
      <name val="Arial"/>
      <family val="2"/>
      <b val="1"/>
      <color rgb="FFFF0000"/>
      <sz val="9"/>
    </font>
    <font>
      <name val="Arial"/>
      <family val="2"/>
      <b val="1"/>
      <i val="1"/>
      <color rgb="FF800000"/>
      <sz val="8"/>
      <u val="single"/>
    </font>
    <font>
      <name val="Arial"/>
      <family val="2"/>
      <color rgb="FF000000"/>
      <sz val="10"/>
    </font>
    <font>
      <name val="Arial"/>
      <family val="2"/>
      <b val="1"/>
      <i val="1"/>
      <color rgb="FF3366FF"/>
      <sz val="9"/>
    </font>
    <font>
      <name val="Arial"/>
      <family val="2"/>
      <b val="1"/>
      <color rgb="FF000000"/>
      <sz val="10"/>
    </font>
    <font>
      <name val="Arial"/>
      <family val="2"/>
      <color rgb="FF800000"/>
      <sz val="9"/>
      <u val="single"/>
    </font>
    <font>
      <name val="Arial"/>
      <family val="2"/>
      <b val="1"/>
      <color rgb="FF0000FF"/>
      <sz val="9"/>
    </font>
    <font>
      <name val="Arial"/>
      <family val="2"/>
      <b val="1"/>
      <i val="1"/>
      <color rgb="FF000080"/>
      <sz val="8"/>
    </font>
    <font>
      <name val="Arial"/>
      <family val="2"/>
      <b val="1"/>
      <i val="1"/>
      <color rgb="FFFF0000"/>
      <sz val="7.2"/>
    </font>
    <font>
      <name val="Arial"/>
      <family val="2"/>
      <b val="1"/>
      <color rgb="FF666699"/>
      <sz val="9"/>
    </font>
    <font>
      <name val="Arial"/>
      <family val="2"/>
      <color rgb="FF666699"/>
      <sz val="9"/>
    </font>
    <font>
      <name val="Arial"/>
      <family val="2"/>
      <b val="1"/>
      <i val="1"/>
      <color rgb="FFFFFFFF"/>
      <sz val="10"/>
    </font>
    <font>
      <name val="Arial"/>
      <family val="2"/>
      <b val="1"/>
      <i val="1"/>
      <color rgb="FFFF00FF"/>
      <sz val="9"/>
      <u val="single"/>
    </font>
    <font>
      <name val="Arial"/>
      <family val="2"/>
      <color rgb="FF0000FF"/>
      <sz val="9"/>
    </font>
    <font>
      <name val="Arial"/>
      <family val="2"/>
      <b val="1"/>
      <color rgb="FFFF0000"/>
      <sz val="10"/>
      <u val="single"/>
    </font>
    <font>
      <name val="Arial"/>
      <family val="2"/>
      <b val="1"/>
      <i val="1"/>
      <color rgb="FF008000"/>
      <sz val="9"/>
      <u val="single"/>
    </font>
    <font>
      <name val="Arial"/>
      <family val="2"/>
      <b val="1"/>
      <color rgb="FFFF0000"/>
      <sz val="8"/>
    </font>
    <font>
      <name val="Arial"/>
      <family val="2"/>
      <b val="1"/>
      <i val="1"/>
      <color rgb="FF3366FF"/>
      <sz val="9"/>
      <u val="single"/>
    </font>
    <font>
      <name val="Arial"/>
      <family val="2"/>
      <b val="1"/>
      <i val="1"/>
      <color rgb="FF000000"/>
      <sz val="9"/>
      <u val="single"/>
    </font>
    <font>
      <name val="Arial"/>
      <family val="2"/>
      <color rgb="FF000080"/>
      <sz val="9"/>
    </font>
    <font>
      <name val="Arial"/>
      <family val="2"/>
      <b val="1"/>
      <i val="1"/>
      <color rgb="FF000080"/>
      <sz val="7"/>
      <u val="single"/>
    </font>
    <font>
      <name val="Arial"/>
      <family val="2"/>
      <b val="1"/>
      <i val="1"/>
      <color rgb="FF000080"/>
      <sz val="9"/>
      <u val="single"/>
    </font>
    <font>
      <name val="Arial"/>
      <family val="2"/>
      <b val="1"/>
      <i val="1"/>
      <color rgb="FFFF0000"/>
      <sz val="9"/>
      <u val="single"/>
    </font>
    <font>
      <name val="Arial"/>
      <family val="2"/>
      <color rgb="FF800000"/>
      <sz val="9"/>
    </font>
    <font>
      <name val="Arial"/>
      <family val="2"/>
      <b val="1"/>
      <color rgb="FF339966"/>
      <sz val="9"/>
    </font>
    <font>
      <name val="Arial"/>
      <family val="2"/>
      <i val="1"/>
      <color rgb="FF000080"/>
      <sz val="9"/>
    </font>
    <font>
      <name val="Arial"/>
      <family val="2"/>
      <sz val="10"/>
    </font>
    <font>
      <name val="Arial"/>
      <family val="2"/>
      <b val="1"/>
      <sz val="14"/>
    </font>
    <font>
      <name val="Calibri"/>
      <family val="2"/>
      <b val="1"/>
      <color theme="1"/>
      <sz val="11"/>
      <scheme val="minor"/>
    </font>
    <font>
      <name val="Calibri"/>
      <family val="2"/>
      <color theme="1"/>
      <sz val="11"/>
      <scheme val="minor"/>
    </font>
    <font>
      <name val="Calibri"/>
      <family val="2"/>
      <i val="1"/>
      <color theme="1"/>
      <sz val="10"/>
      <scheme val="minor"/>
    </font>
    <font>
      <name val="Arial"/>
      <family val="2"/>
      <b val="1"/>
      <sz val="12"/>
    </font>
    <font>
      <name val="Calibri"/>
      <family val="2"/>
      <color theme="1"/>
      <sz val="8"/>
      <scheme val="minor"/>
    </font>
    <font>
      <name val="Arial"/>
      <family val="2"/>
      <color theme="1"/>
      <sz val="9"/>
    </font>
    <font>
      <name val="Verdana"/>
      <family val="2"/>
      <color rgb="FF800000"/>
      <sz val="12"/>
    </font>
    <font>
      <name val="Arial"/>
      <family val="2"/>
      <b val="1"/>
      <sz val="11"/>
    </font>
    <font>
      <name val="Calibri"/>
      <family val="2"/>
      <color theme="1"/>
      <sz val="10"/>
      <scheme val="minor"/>
    </font>
    <font>
      <name val="Arial"/>
      <family val="2"/>
      <color indexed="17"/>
      <sz val="10"/>
    </font>
    <font>
      <name val="Calibri"/>
      <family val="2"/>
      <sz val="10"/>
      <scheme val="minor"/>
    </font>
    <font>
      <name val="Calibri"/>
      <family val="2"/>
      <sz val="11"/>
      <scheme val="minor"/>
    </font>
    <font>
      <name val="Calibri"/>
      <family val="2"/>
      <color rgb="FFFF0000"/>
      <sz val="11"/>
      <scheme val="minor"/>
    </font>
    <font>
      <name val="Arial Narrow"/>
      <family val="2"/>
      <color theme="1"/>
      <sz val="10"/>
    </font>
    <font>
      <name val="Calibri"/>
      <family val="2"/>
      <color theme="1"/>
      <sz val="9"/>
      <scheme val="minor"/>
    </font>
    <font>
      <name val="Calibri"/>
      <family val="2"/>
      <b val="1"/>
      <i val="1"/>
      <color theme="1"/>
      <sz val="11"/>
      <scheme val="minor"/>
    </font>
    <font>
      <name val="Calibri"/>
      <family val="2"/>
      <b val="1"/>
      <i val="1"/>
      <color theme="1"/>
      <sz val="10"/>
      <scheme val="minor"/>
    </font>
    <font>
      <name val="Calibri"/>
      <family val="2"/>
      <color theme="1"/>
      <sz val="8"/>
      <u val="single"/>
      <scheme val="minor"/>
    </font>
    <font>
      <name val="Calibri"/>
      <family val="2"/>
      <b val="1"/>
      <color theme="1"/>
      <sz val="28"/>
      <scheme val="minor"/>
    </font>
    <font>
      <name val="Calibri"/>
      <family val="2"/>
      <b val="1"/>
      <color theme="1"/>
      <sz val="10"/>
      <scheme val="minor"/>
    </font>
    <font>
      <name val="Calibri"/>
      <family val="2"/>
      <b val="1"/>
      <color rgb="FFFF0000"/>
      <sz val="12"/>
      <scheme val="minor"/>
    </font>
    <font>
      <name val="Calibri"/>
      <family val="2"/>
      <b val="1"/>
      <color theme="1"/>
      <sz val="8"/>
      <scheme val="minor"/>
    </font>
    <font>
      <name val="Arial"/>
      <charset val="1"/>
      <family val="2"/>
      <sz val="10"/>
    </font>
    <font>
      <name val="Arial"/>
      <family val="2"/>
      <b val="1"/>
      <color theme="1"/>
      <sz val="10"/>
    </font>
    <font>
      <name val="Arial"/>
      <family val="2"/>
      <color theme="1"/>
      <sz val="10"/>
    </font>
    <font>
      <name val="Calibri"/>
      <family val="2"/>
      <color rgb="FF9C5700"/>
      <sz val="11"/>
      <scheme val="minor"/>
    </font>
    <font>
      <name val="Arial"/>
      <family val="2"/>
      <b val="1"/>
      <color rgb="FFFF0000"/>
      <sz val="10"/>
    </font>
  </fonts>
  <fills count="30">
    <fill>
      <patternFill/>
    </fill>
    <fill>
      <patternFill patternType="gray125"/>
    </fill>
    <fill>
      <patternFill patternType="solid">
        <fgColor rgb="FFFFFFFF"/>
        <bgColor indexed="64"/>
      </patternFill>
    </fill>
    <fill>
      <patternFill patternType="solid">
        <fgColor rgb="FFE4EED0"/>
        <bgColor indexed="64"/>
      </patternFill>
    </fill>
    <fill>
      <patternFill patternType="solid">
        <fgColor rgb="FFA9C969"/>
        <bgColor indexed="64"/>
      </patternFill>
    </fill>
    <fill>
      <patternFill patternType="solid">
        <fgColor theme="0"/>
        <bgColor indexed="64"/>
      </patternFill>
    </fill>
    <fill>
      <patternFill patternType="solid">
        <fgColor rgb="FF92D050"/>
        <bgColor indexed="64"/>
      </patternFill>
    </fill>
    <fill>
      <patternFill patternType="solid">
        <fgColor rgb="FF000000"/>
        <bgColor rgb="FF000000"/>
      </patternFill>
    </fill>
    <fill>
      <patternFill patternType="solid">
        <fgColor rgb="FFC0C0C0"/>
        <bgColor rgb="FF000000"/>
      </patternFill>
    </fill>
    <fill>
      <patternFill patternType="solid">
        <fgColor rgb="FF808080"/>
        <bgColor rgb="FF000000"/>
      </patternFill>
    </fill>
    <fill>
      <patternFill patternType="solid">
        <fgColor rgb="FF969696"/>
        <bgColor rgb="FF000000"/>
      </patternFill>
    </fill>
    <fill>
      <patternFill patternType="solid">
        <fgColor rgb="FF800000"/>
        <bgColor rgb="FF000000"/>
      </patternFill>
    </fill>
    <fill>
      <patternFill patternType="solid">
        <fgColor rgb="FFCCFFCC"/>
        <bgColor rgb="FF000000"/>
      </patternFill>
    </fill>
    <fill>
      <patternFill patternType="solid">
        <fgColor theme="0" tint="-0.499984740745262"/>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theme="0" tint="-0.3499862666707358"/>
        <bgColor indexed="64"/>
      </patternFill>
    </fill>
    <fill>
      <patternFill patternType="solid">
        <fgColor indexed="13"/>
        <bgColor indexed="64"/>
      </patternFill>
    </fill>
    <fill>
      <patternFill patternType="solid">
        <fgColor rgb="FFFFFF00"/>
        <bgColor indexed="64"/>
      </patternFill>
    </fill>
    <fill>
      <patternFill patternType="lightDown"/>
    </fill>
    <fill>
      <patternFill patternType="solid">
        <fgColor theme="4"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3" tint="0.7999816888943144"/>
        <bgColor indexed="64"/>
      </patternFill>
    </fill>
    <fill>
      <patternFill patternType="lightUp"/>
    </fill>
    <fill>
      <patternFill patternType="solid">
        <fgColor theme="9" tint="0.5999938962981048"/>
        <bgColor indexed="64"/>
      </patternFill>
    </fill>
    <fill>
      <patternFill patternType="solid">
        <fgColor rgb="FFFFEB9C"/>
      </patternFill>
    </fill>
    <fill>
      <patternFill patternType="solid">
        <fgColor theme="0" tint="-0.249977111117893"/>
        <bgColor indexed="64"/>
      </patternFill>
    </fill>
    <fill>
      <patternFill patternType="solid">
        <fgColor theme="9" tint="-0.249977111117893"/>
        <bgColor indexed="64"/>
      </patternFill>
    </fill>
  </fills>
  <borders count="122">
    <border>
      <left/>
      <right/>
      <top/>
      <bottom/>
      <diagonal/>
    </border>
    <border>
      <left style="medium">
        <color rgb="FF2B4CAC"/>
      </left>
      <right/>
      <top/>
      <bottom/>
      <diagonal/>
    </border>
    <border>
      <left style="thick">
        <color rgb="FFA9C969"/>
      </left>
      <right/>
      <top style="medium">
        <color rgb="FF2B4CAC"/>
      </top>
      <bottom/>
      <diagonal/>
    </border>
    <border>
      <left style="medium">
        <color rgb="FF2B4CAC"/>
      </left>
      <right/>
      <top style="medium">
        <color rgb="FF2B4CAC"/>
      </top>
      <bottom/>
      <diagonal/>
    </border>
    <border>
      <left style="medium">
        <color rgb="FF2B4CAC"/>
      </left>
      <right style="medium">
        <color rgb="FF2B4CAC"/>
      </right>
      <top style="medium">
        <color rgb="FF2B4CAC"/>
      </top>
      <bottom/>
      <diagonal/>
    </border>
    <border>
      <left style="thick">
        <color rgb="FFA9C969"/>
      </left>
      <right/>
      <top/>
      <bottom/>
      <diagonal/>
    </border>
    <border>
      <left style="medium">
        <color rgb="FF2B4CAC"/>
      </left>
      <right style="medium">
        <color rgb="FF2B4CAC"/>
      </right>
      <top/>
      <bottom/>
      <diagonal/>
    </border>
    <border>
      <left style="thick">
        <color rgb="FFA9C969"/>
      </left>
      <right/>
      <top/>
      <bottom style="medium">
        <color rgb="FF2B4CAC"/>
      </bottom>
      <diagonal/>
    </border>
    <border>
      <left style="medium">
        <color rgb="FF2B4CAC"/>
      </left>
      <right/>
      <top/>
      <bottom style="medium">
        <color rgb="FF2B4CAC"/>
      </bottom>
      <diagonal/>
    </border>
    <border>
      <left style="medium">
        <color rgb="FF2B4CAC"/>
      </left>
      <right style="medium">
        <color rgb="FF2B4CAC"/>
      </right>
      <top/>
      <bottom style="medium">
        <color rgb="FF2B4CAC"/>
      </bottom>
      <diagonal/>
    </border>
    <border>
      <left/>
      <right/>
      <top/>
      <bottom style="medium">
        <color rgb="FF2B4CAC"/>
      </bottom>
      <diagonal/>
    </border>
    <border>
      <left/>
      <right/>
      <top style="medium">
        <color rgb="FF2B4CAC"/>
      </top>
      <bottom/>
      <diagonal/>
    </border>
    <border>
      <left/>
      <right style="medium">
        <color rgb="FF2B4CAC"/>
      </right>
      <top style="medium">
        <color rgb="FF2B4CAC"/>
      </top>
      <bottom/>
      <diagonal/>
    </border>
    <border>
      <left/>
      <right style="medium">
        <color rgb="FF2B4CAC"/>
      </right>
      <top/>
      <bottom/>
      <diagonal/>
    </border>
    <border>
      <left/>
      <right style="medium">
        <color rgb="FF2B4CAC"/>
      </right>
      <top/>
      <bottom style="medium">
        <color rgb="FF2B4CA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auto="1"/>
      </right>
      <top/>
      <bottom/>
      <diagonal/>
    </border>
    <border>
      <left style="thin">
        <color auto="1"/>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Dashed">
        <color indexed="64"/>
      </left>
      <right/>
      <top/>
      <bottom style="medium">
        <color indexed="64"/>
      </bottom>
      <diagonal/>
    </border>
    <border>
      <left/>
      <right style="mediumDashed">
        <color indexed="64"/>
      </right>
      <top/>
      <bottom style="medium">
        <color indexed="64"/>
      </bottom>
      <diagonal/>
    </border>
    <border>
      <left style="mediumDashed">
        <color indexed="64"/>
      </left>
      <right/>
      <top/>
      <bottom/>
      <diagonal/>
    </border>
    <border>
      <left/>
      <right style="mediumDashed">
        <color indexed="64"/>
      </right>
      <top/>
      <bottom/>
      <diagonal/>
    </border>
    <border>
      <left/>
      <right/>
      <top style="mediumDashed">
        <color indexed="64"/>
      </top>
      <bottom/>
      <diagonal/>
    </border>
    <border>
      <left style="medium">
        <color indexed="64"/>
      </left>
      <right/>
      <top style="mediumDashed">
        <color indexed="64"/>
      </top>
      <bottom/>
      <diagonal/>
    </border>
    <border>
      <left/>
      <right style="medium">
        <color indexed="64"/>
      </right>
      <top/>
      <bottom style="mediumDashed">
        <color indexed="64"/>
      </bottom>
      <diagonal/>
    </border>
    <border>
      <left/>
      <right/>
      <top/>
      <bottom style="mediumDashed">
        <color indexed="64"/>
      </bottom>
      <diagonal/>
    </border>
    <border>
      <left style="medium">
        <color indexed="64"/>
      </left>
      <right/>
      <top/>
      <bottom style="mediumDashed">
        <color indexed="64"/>
      </bottom>
      <diagonal/>
    </border>
    <border>
      <left style="mediumDashed">
        <color indexed="64"/>
      </left>
      <right/>
      <top style="medium">
        <color indexed="64"/>
      </top>
      <bottom/>
      <diagonal/>
    </border>
    <border>
      <left/>
      <right style="mediumDashed">
        <color indexed="64"/>
      </right>
      <top style="medium">
        <color indexed="64"/>
      </top>
      <bottom/>
      <diagonal/>
    </border>
    <border>
      <left style="dashed">
        <color indexed="64"/>
      </left>
      <right style="dashed">
        <color indexed="64"/>
      </right>
      <top/>
      <bottom style="thin">
        <color indexed="64"/>
      </bottom>
      <diagonal/>
    </border>
    <border>
      <left/>
      <right style="thin">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top style="dashed">
        <color auto="1"/>
      </top>
      <bottom style="dashed">
        <color auto="1"/>
      </bottom>
      <diagonal/>
    </border>
    <border>
      <left/>
      <right style="thin">
        <color indexed="64"/>
      </right>
      <top style="dotted">
        <color auto="1"/>
      </top>
      <bottom style="dotted">
        <color auto="1"/>
      </bottom>
      <diagonal/>
    </border>
    <border>
      <left/>
      <right/>
      <top style="dotted">
        <color auto="1"/>
      </top>
      <bottom style="dotted">
        <color auto="1"/>
      </bottom>
      <diagonal/>
    </border>
    <border>
      <left style="thin">
        <color indexed="64"/>
      </left>
      <right/>
      <top style="dotted">
        <color auto="1"/>
      </top>
      <bottom style="dotted">
        <color auto="1"/>
      </bottom>
      <diagonal/>
    </border>
    <border>
      <left/>
      <right style="thin">
        <color indexed="64"/>
      </right>
      <top style="thin">
        <color indexed="64"/>
      </top>
      <bottom style="dashed">
        <color auto="1"/>
      </bottom>
      <diagonal/>
    </border>
    <border>
      <left style="dashed">
        <color indexed="64"/>
      </left>
      <right style="dashed">
        <color indexed="64"/>
      </right>
      <top style="thin">
        <color indexed="64"/>
      </top>
      <bottom style="dashed">
        <color auto="1"/>
      </bottom>
      <diagonal/>
    </border>
    <border>
      <left style="thin">
        <color indexed="64"/>
      </left>
      <right/>
      <top style="thin">
        <color indexed="64"/>
      </top>
      <bottom style="dashed">
        <color auto="1"/>
      </bottom>
      <diagonal/>
    </border>
    <border>
      <left/>
      <right style="thin">
        <color indexed="64"/>
      </right>
      <top style="thin">
        <color indexed="64"/>
      </top>
      <bottom style="dotted">
        <color indexed="64"/>
      </bottom>
      <diagonal/>
    </border>
    <border>
      <left/>
      <right/>
      <top style="thin">
        <color indexed="64"/>
      </top>
      <bottom style="dotted">
        <color auto="1"/>
      </bottom>
      <diagonal/>
    </border>
    <border>
      <left style="thin">
        <color indexed="64"/>
      </left>
      <right/>
      <top style="thin">
        <color indexed="64"/>
      </top>
      <bottom style="dotted">
        <color auto="1"/>
      </bottom>
      <diagonal/>
    </border>
    <border>
      <left/>
      <right style="medium">
        <color indexed="64"/>
      </right>
      <top style="dotted">
        <color auto="1"/>
      </top>
      <bottom style="medium">
        <color indexed="64"/>
      </bottom>
      <diagonal/>
    </border>
    <border>
      <left/>
      <right/>
      <top style="dotted">
        <color auto="1"/>
      </top>
      <bottom style="medium">
        <color indexed="64"/>
      </bottom>
      <diagonal/>
    </border>
    <border>
      <left style="medium">
        <color indexed="64"/>
      </left>
      <right/>
      <top style="dotted">
        <color indexed="64"/>
      </top>
      <bottom style="medium">
        <color indexed="64"/>
      </bottom>
      <diagonal/>
    </border>
    <border>
      <left style="thin">
        <color indexed="64"/>
      </left>
      <right/>
      <top style="dotted">
        <color auto="1"/>
      </top>
      <bottom style="medium">
        <color indexed="64"/>
      </bottom>
      <diagonal/>
    </border>
    <border>
      <left/>
      <right style="thin">
        <color indexed="64"/>
      </right>
      <top style="dotted">
        <color indexed="64"/>
      </top>
      <bottom style="medium">
        <color indexed="64"/>
      </bottom>
      <diagonal/>
    </border>
    <border>
      <left/>
      <right style="medium">
        <color indexed="64"/>
      </right>
      <top style="dotted">
        <color auto="1"/>
      </top>
      <bottom style="dotted">
        <color auto="1"/>
      </bottom>
      <diagonal/>
    </border>
    <border>
      <left style="medium">
        <color indexed="64"/>
      </left>
      <right/>
      <top style="dotted">
        <color auto="1"/>
      </top>
      <bottom style="dotted">
        <color auto="1"/>
      </bottom>
      <diagonal/>
    </border>
    <border>
      <left/>
      <right/>
      <top/>
      <bottom style="dotted">
        <color auto="1"/>
      </bottom>
      <diagonal/>
    </border>
    <border>
      <left style="thin">
        <color indexed="64"/>
      </left>
      <right/>
      <top/>
      <bottom style="dotted">
        <color auto="1"/>
      </bottom>
      <diagonal/>
    </border>
    <border>
      <left/>
      <right style="medium">
        <color indexed="64"/>
      </right>
      <top style="thin">
        <color indexed="64"/>
      </top>
      <bottom style="dotted">
        <color indexed="64"/>
      </bottom>
      <diagonal/>
    </border>
    <border>
      <left style="medium">
        <color indexed="64"/>
      </left>
      <right/>
      <top style="thin">
        <color indexed="64"/>
      </top>
      <bottom style="dotted">
        <color auto="1"/>
      </bottom>
      <diagonal/>
    </border>
    <border>
      <left/>
      <right style="medium">
        <color indexed="64"/>
      </right>
      <top/>
      <bottom style="dotted">
        <color auto="1"/>
      </bottom>
      <diagonal/>
    </border>
    <border>
      <left/>
      <right style="thin">
        <color indexed="64"/>
      </right>
      <top/>
      <bottom style="dotted">
        <color auto="1"/>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thin">
        <color indexed="64"/>
      </left>
      <right/>
      <top style="dotted">
        <color auto="1"/>
      </top>
      <bottom style="thin">
        <color indexed="64"/>
      </bottom>
      <diagonal/>
    </border>
    <border>
      <left/>
      <right/>
      <top style="dotted">
        <color auto="1"/>
      </top>
      <bottom style="thin">
        <color indexed="64"/>
      </bottom>
      <diagonal/>
    </border>
    <border>
      <left/>
      <right style="thin">
        <color indexed="64"/>
      </right>
      <top style="dotted">
        <color auto="1"/>
      </top>
      <bottom style="thin">
        <color indexed="64"/>
      </bottom>
      <diagonal/>
    </border>
    <border>
      <left style="medium">
        <color indexed="64"/>
      </left>
      <right style="thin">
        <color indexed="64"/>
      </right>
      <top style="dotted">
        <color auto="1"/>
      </top>
      <bottom style="dotted">
        <color auto="1"/>
      </bottom>
      <diagonal/>
    </border>
    <border>
      <left style="medium">
        <color indexed="64"/>
      </left>
      <right style="thin">
        <color indexed="64"/>
      </right>
      <top style="dotted">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auto="1"/>
      </right>
      <top/>
      <bottom/>
      <diagonal/>
    </border>
    <border>
      <left style="thin">
        <color indexed="64"/>
      </left>
      <right style="medium">
        <color indexed="64"/>
      </right>
      <top style="thin">
        <color indexed="64"/>
      </top>
      <bottom/>
      <diagonal/>
    </border>
    <border>
      <left style="thin">
        <color auto="1"/>
      </left>
      <right style="medium">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style="medium">
        <color rgb="FF2B4CAC"/>
      </left>
      <right style="medium">
        <color rgb="FF2B4CAC"/>
      </right>
      <top style="medium">
        <color rgb="FF2B4CAC"/>
      </top>
      <bottom style="medium">
        <color rgb="FF2B4CAC"/>
      </bottom>
      <diagonal/>
    </border>
    <border>
      <left style="medium">
        <color indexed="64"/>
      </left>
      <right style="medium">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dotted">
        <color auto="1"/>
      </bottom>
      <diagonal/>
    </border>
    <border>
      <left/>
      <right/>
      <top style="dotted">
        <color auto="1"/>
      </top>
      <bottom/>
      <diagonal/>
    </border>
    <border>
      <left/>
      <right style="thin">
        <color indexed="64"/>
      </right>
      <top style="dotted">
        <color auto="1"/>
      </top>
      <bottom/>
      <diagonal/>
    </border>
    <border>
      <left/>
      <right/>
      <top style="dotted">
        <color indexed="64"/>
      </top>
      <bottom/>
      <diagonal/>
    </border>
    <border>
      <left/>
      <right style="thin">
        <color indexed="64"/>
      </right>
      <top style="dotted">
        <color indexed="64"/>
      </top>
      <bottom/>
      <diagonal/>
    </border>
  </borders>
  <cellStyleXfs count="11">
    <xf numFmtId="0" fontId="90" fillId="0" borderId="0"/>
    <xf numFmtId="0" fontId="87" fillId="0" borderId="0"/>
    <xf numFmtId="0" fontId="87" fillId="0" borderId="0"/>
    <xf numFmtId="0" fontId="87" fillId="0" borderId="0"/>
    <xf numFmtId="0" fontId="87" fillId="0" borderId="0"/>
    <xf numFmtId="0" fontId="87" fillId="0" borderId="0"/>
    <xf numFmtId="43" fontId="90" fillId="0" borderId="0"/>
    <xf numFmtId="0" fontId="87" fillId="0" borderId="0"/>
    <xf numFmtId="0" fontId="111" fillId="0" borderId="0"/>
    <xf numFmtId="0" fontId="111" fillId="0" borderId="0"/>
    <xf numFmtId="0" fontId="114" fillId="27" borderId="0"/>
  </cellStyleXfs>
  <cellXfs count="778">
    <xf numFmtId="0" fontId="0" fillId="0" borderId="0" pivotButton="0" quotePrefix="0" xfId="0"/>
    <xf numFmtId="0" fontId="1" fillId="2" borderId="1" applyAlignment="1" pivotButton="0" quotePrefix="0" xfId="0">
      <alignment wrapText="1"/>
    </xf>
    <xf numFmtId="0" fontId="1" fillId="3" borderId="1" applyAlignment="1" pivotButton="0" quotePrefix="0" xfId="0">
      <alignment wrapText="1"/>
    </xf>
    <xf numFmtId="0" fontId="1" fillId="2" borderId="2" applyAlignment="1" pivotButton="0" quotePrefix="0" xfId="0">
      <alignment wrapText="1"/>
    </xf>
    <xf numFmtId="0" fontId="1" fillId="2" borderId="3" applyAlignment="1" pivotButton="0" quotePrefix="0" xfId="0">
      <alignment wrapText="1"/>
    </xf>
    <xf numFmtId="0" fontId="1" fillId="2" borderId="4" applyAlignment="1" pivotButton="0" quotePrefix="0" xfId="0">
      <alignment wrapText="1"/>
    </xf>
    <xf numFmtId="0" fontId="1" fillId="3" borderId="5" applyAlignment="1" pivotButton="0" quotePrefix="0" xfId="0">
      <alignment wrapText="1"/>
    </xf>
    <xf numFmtId="0" fontId="1" fillId="3" borderId="6" applyAlignment="1" pivotButton="0" quotePrefix="0" xfId="0">
      <alignment wrapText="1"/>
    </xf>
    <xf numFmtId="0" fontId="1" fillId="2" borderId="5" applyAlignment="1" pivotButton="0" quotePrefix="0" xfId="0">
      <alignment wrapText="1"/>
    </xf>
    <xf numFmtId="0" fontId="1" fillId="2" borderId="6" applyAlignment="1" pivotButton="0" quotePrefix="0" xfId="0">
      <alignment wrapText="1"/>
    </xf>
    <xf numFmtId="0" fontId="1" fillId="2" borderId="7" applyAlignment="1" pivotButton="0" quotePrefix="0" xfId="0">
      <alignment wrapText="1"/>
    </xf>
    <xf numFmtId="0" fontId="1" fillId="2" borderId="8" applyAlignment="1" pivotButton="0" quotePrefix="0" xfId="0">
      <alignment wrapText="1"/>
    </xf>
    <xf numFmtId="0" fontId="1" fillId="2" borderId="9" applyAlignment="1" pivotButton="0" quotePrefix="0" xfId="0">
      <alignment wrapText="1"/>
    </xf>
    <xf numFmtId="0" fontId="1" fillId="3" borderId="7" applyAlignment="1" pivotButton="0" quotePrefix="0" xfId="0">
      <alignment wrapText="1"/>
    </xf>
    <xf numFmtId="0" fontId="1" fillId="3" borderId="8" applyAlignment="1" pivotButton="0" quotePrefix="0" xfId="0">
      <alignment wrapText="1"/>
    </xf>
    <xf numFmtId="0" fontId="1" fillId="3" borderId="9" applyAlignment="1" pivotButton="0" quotePrefix="0" xfId="0">
      <alignment wrapText="1"/>
    </xf>
    <xf numFmtId="0" fontId="1" fillId="3" borderId="2" applyAlignment="1" pivotButton="0" quotePrefix="0" xfId="0">
      <alignment wrapText="1"/>
    </xf>
    <xf numFmtId="0" fontId="1" fillId="3" borderId="3" applyAlignment="1" pivotButton="0" quotePrefix="0" xfId="0">
      <alignment wrapText="1"/>
    </xf>
    <xf numFmtId="0" fontId="1" fillId="3" borderId="4" applyAlignment="1" pivotButton="0" quotePrefix="0" xfId="0">
      <alignment wrapText="1"/>
    </xf>
    <xf numFmtId="0" fontId="2" fillId="4" borderId="2" applyAlignment="1" pivotButton="0" quotePrefix="0" xfId="0">
      <alignment horizontal="center" vertical="center" wrapText="1"/>
    </xf>
    <xf numFmtId="0" fontId="2" fillId="4" borderId="5" applyAlignment="1" pivotButton="0" quotePrefix="0" xfId="0">
      <alignment horizontal="center" vertical="center" wrapText="1"/>
    </xf>
    <xf numFmtId="0" fontId="2" fillId="4" borderId="7" applyAlignment="1" pivotButton="0" quotePrefix="0" xfId="0">
      <alignment horizontal="center" vertical="center" wrapText="1"/>
    </xf>
    <xf numFmtId="0" fontId="3" fillId="0" borderId="0" pivotButton="0" quotePrefix="0" xfId="0"/>
    <xf numFmtId="0" fontId="4" fillId="0" borderId="15" pivotButton="0" quotePrefix="0" xfId="0"/>
    <xf numFmtId="0" fontId="4" fillId="0" borderId="23" pivotButton="0" quotePrefix="0" xfId="0"/>
    <xf numFmtId="0" fontId="0" fillId="0" borderId="24" pivotButton="0" quotePrefix="0" xfId="0"/>
    <xf numFmtId="0" fontId="0" fillId="0" borderId="25" pivotButton="0" quotePrefix="0" xfId="0"/>
    <xf numFmtId="0" fontId="5" fillId="0" borderId="0" pivotButton="0" quotePrefix="0" xfId="0"/>
    <xf numFmtId="0" fontId="0" fillId="5" borderId="18" pivotButton="0" quotePrefix="0" xfId="0"/>
    <xf numFmtId="0" fontId="0" fillId="5" borderId="0" pivotButton="0" quotePrefix="0" xfId="0"/>
    <xf numFmtId="0" fontId="0" fillId="5" borderId="16" pivotButton="0" quotePrefix="0" xfId="0"/>
    <xf numFmtId="0" fontId="10" fillId="0" borderId="0" applyAlignment="1" pivotButton="0" quotePrefix="0" xfId="1">
      <alignment horizontal="center"/>
    </xf>
    <xf numFmtId="0" fontId="9" fillId="0" borderId="0" applyAlignment="1" pivotButton="0" quotePrefix="0" xfId="1">
      <alignment horizontal="center"/>
    </xf>
    <xf numFmtId="0" fontId="10" fillId="0" borderId="0" pivotButton="0" quotePrefix="0" xfId="1"/>
    <xf numFmtId="0" fontId="8" fillId="0" borderId="0" pivotButton="0" quotePrefix="0" xfId="1"/>
    <xf numFmtId="0" fontId="9" fillId="0" borderId="0" pivotButton="0" quotePrefix="0" xfId="1"/>
    <xf numFmtId="0" fontId="12" fillId="0" borderId="0" pivotButton="0" quotePrefix="0" xfId="1"/>
    <xf numFmtId="0" fontId="13" fillId="0" borderId="0" applyProtection="1" pivotButton="0" quotePrefix="0" xfId="4">
      <protection locked="0" hidden="0"/>
    </xf>
    <xf numFmtId="0" fontId="14" fillId="0" borderId="0" applyProtection="1" pivotButton="0" quotePrefix="0" xfId="4">
      <protection locked="0" hidden="0"/>
    </xf>
    <xf numFmtId="0" fontId="11" fillId="0" borderId="0" pivotButton="0" quotePrefix="0" xfId="1"/>
    <xf numFmtId="0" fontId="16" fillId="0" borderId="0" applyAlignment="1" pivotButton="0" quotePrefix="0" xfId="1">
      <alignment horizontal="center" vertical="center"/>
    </xf>
    <xf numFmtId="0" fontId="12" fillId="0" borderId="0" pivotButton="0" quotePrefix="0" xfId="3"/>
    <xf numFmtId="0" fontId="19" fillId="0" borderId="0" applyAlignment="1" pivotButton="0" quotePrefix="0" xfId="1">
      <alignment horizontal="center"/>
    </xf>
    <xf numFmtId="0" fontId="20" fillId="0" borderId="0" applyAlignment="1" pivotButton="0" quotePrefix="0" xfId="1">
      <alignment horizontal="center"/>
    </xf>
    <xf numFmtId="0" fontId="21" fillId="0" borderId="0" pivotButton="0" quotePrefix="0" xfId="1"/>
    <xf numFmtId="0" fontId="22" fillId="0" borderId="0" pivotButton="0" quotePrefix="0" xfId="1"/>
    <xf numFmtId="0" fontId="23" fillId="0" borderId="0" pivotButton="0" quotePrefix="0" xfId="1"/>
    <xf numFmtId="0" fontId="7" fillId="8" borderId="0" pivotButton="0" quotePrefix="0" xfId="1"/>
    <xf numFmtId="0" fontId="26" fillId="0" borderId="0" pivotButton="0" quotePrefix="0" xfId="1"/>
    <xf numFmtId="0" fontId="29" fillId="0" borderId="0" applyAlignment="1" pivotButton="0" quotePrefix="0" xfId="1">
      <alignment horizontal="right" indent="1"/>
    </xf>
    <xf numFmtId="0" fontId="30" fillId="0" borderId="0" applyAlignment="1" pivotButton="0" quotePrefix="0" xfId="1">
      <alignment horizontal="right" indent="1"/>
    </xf>
    <xf numFmtId="0" fontId="31" fillId="0" borderId="0" pivotButton="0" quotePrefix="0" xfId="1"/>
    <xf numFmtId="0" fontId="34" fillId="0" borderId="0" pivotButton="0" quotePrefix="0" xfId="1"/>
    <xf numFmtId="0" fontId="32" fillId="0" borderId="0" pivotButton="0" quotePrefix="0" xfId="1"/>
    <xf numFmtId="0" fontId="35" fillId="0" borderId="0" applyAlignment="1" pivotButton="0" quotePrefix="0" xfId="1">
      <alignment horizontal="center"/>
    </xf>
    <xf numFmtId="0" fontId="36" fillId="0" borderId="0" applyAlignment="1" pivotButton="0" quotePrefix="0" xfId="1">
      <alignment horizontal="right" indent="1"/>
    </xf>
    <xf numFmtId="0" fontId="37" fillId="0" borderId="0" pivotButton="0" quotePrefix="0" xfId="1"/>
    <xf numFmtId="0" fontId="38" fillId="0" borderId="0" applyAlignment="1" pivotButton="0" quotePrefix="0" xfId="1">
      <alignment horizontal="right" indent="1"/>
    </xf>
    <xf numFmtId="0" fontId="40" fillId="0" borderId="0" pivotButton="0" quotePrefix="0" xfId="1"/>
    <xf numFmtId="0" fontId="18" fillId="0" borderId="0" applyAlignment="1" applyProtection="1" pivotButton="0" quotePrefix="0" xfId="1">
      <alignment horizontal="center"/>
      <protection locked="0" hidden="0"/>
    </xf>
    <xf numFmtId="0" fontId="42" fillId="0" borderId="0" applyAlignment="1" pivotButton="0" quotePrefix="0" xfId="1">
      <alignment horizontal="left"/>
    </xf>
    <xf numFmtId="0" fontId="7" fillId="9" borderId="0" pivotButton="0" quotePrefix="0" xfId="1"/>
    <xf numFmtId="0" fontId="43" fillId="0" borderId="0" applyAlignment="1" pivotButton="0" quotePrefix="0" xfId="1">
      <alignment horizontal="right"/>
    </xf>
    <xf numFmtId="0" fontId="7" fillId="0" borderId="0" applyProtection="1" pivotButton="0" quotePrefix="0" xfId="1">
      <protection locked="0" hidden="0"/>
    </xf>
    <xf numFmtId="0" fontId="7" fillId="0" borderId="0" pivotButton="0" quotePrefix="0" xfId="1"/>
    <xf numFmtId="0" fontId="25" fillId="0" borderId="0" pivotButton="0" quotePrefix="0" xfId="1"/>
    <xf numFmtId="0" fontId="7" fillId="10" borderId="0" pivotButton="0" quotePrefix="0" xfId="1"/>
    <xf numFmtId="0" fontId="25" fillId="12" borderId="0" applyAlignment="1" pivotButton="0" quotePrefix="0" xfId="1">
      <alignment horizontal="right"/>
    </xf>
    <xf numFmtId="0" fontId="48" fillId="0" borderId="0" pivotButton="0" quotePrefix="0" xfId="1"/>
    <xf numFmtId="0" fontId="50" fillId="0" borderId="0" pivotButton="0" quotePrefix="0" xfId="0"/>
    <xf numFmtId="0" fontId="7" fillId="12" borderId="0" pivotButton="0" quotePrefix="0" xfId="1"/>
    <xf numFmtId="0" fontId="8" fillId="12" borderId="0" pivotButton="0" quotePrefix="0" xfId="1"/>
    <xf numFmtId="0" fontId="51" fillId="0" borderId="0" pivotButton="0" quotePrefix="0" xfId="1"/>
    <xf numFmtId="0" fontId="52" fillId="0" borderId="0" pivotButton="0" quotePrefix="0" xfId="1"/>
    <xf numFmtId="0" fontId="53" fillId="0" borderId="0" pivotButton="0" quotePrefix="0" xfId="1"/>
    <xf numFmtId="0" fontId="54" fillId="0" borderId="0" pivotButton="0" quotePrefix="0" xfId="1"/>
    <xf numFmtId="0" fontId="55" fillId="0" borderId="0" pivotButton="0" quotePrefix="0" xfId="1"/>
    <xf numFmtId="0" fontId="56" fillId="0" borderId="0" applyAlignment="1" pivotButton="0" quotePrefix="0" xfId="5">
      <alignment horizontal="right"/>
    </xf>
    <xf numFmtId="0" fontId="57" fillId="0" borderId="0" pivotButton="0" quotePrefix="0" xfId="1"/>
    <xf numFmtId="0" fontId="58" fillId="0" borderId="0" applyAlignment="1" pivotButton="0" quotePrefix="0" xfId="5">
      <alignment horizontal="right"/>
    </xf>
    <xf numFmtId="0" fontId="59" fillId="0" borderId="0" pivotButton="0" quotePrefix="0" xfId="1"/>
    <xf numFmtId="0" fontId="60" fillId="0" borderId="0" applyAlignment="1" pivotButton="0" quotePrefix="0" xfId="1">
      <alignment horizontal="right"/>
    </xf>
    <xf numFmtId="0" fontId="39" fillId="0" borderId="0" pivotButton="0" quotePrefix="0" xfId="1"/>
    <xf numFmtId="0" fontId="63" fillId="0" borderId="0" pivotButton="0" quotePrefix="0" xfId="1"/>
    <xf numFmtId="0" fontId="64" fillId="0" borderId="0" applyAlignment="1" pivotButton="0" quotePrefix="0" xfId="1">
      <alignment horizontal="right"/>
    </xf>
    <xf numFmtId="0" fontId="65" fillId="0" borderId="0" pivotButton="0" quotePrefix="0" xfId="1"/>
    <xf numFmtId="0" fontId="29" fillId="0" borderId="0" applyAlignment="1" pivotButton="0" quotePrefix="0" xfId="1">
      <alignment horizontal="left"/>
    </xf>
    <xf numFmtId="0" fontId="66" fillId="0" borderId="0" pivotButton="0" quotePrefix="0" xfId="1"/>
    <xf numFmtId="0" fontId="67" fillId="0" borderId="0" pivotButton="0" quotePrefix="0" xfId="0"/>
    <xf numFmtId="0" fontId="29" fillId="0" borderId="0" pivotButton="0" quotePrefix="0" xfId="1"/>
    <xf numFmtId="0" fontId="69" fillId="0" borderId="0" applyAlignment="1" pivotButton="0" quotePrefix="0" xfId="1">
      <alignment horizontal="left"/>
    </xf>
    <xf numFmtId="0" fontId="70" fillId="0" borderId="0" pivotButton="0" quotePrefix="0" xfId="1"/>
    <xf numFmtId="0" fontId="41" fillId="0" borderId="0" pivotButton="0" quotePrefix="0" xfId="1"/>
    <xf numFmtId="0" fontId="72" fillId="0" borderId="0" pivotButton="0" quotePrefix="0" xfId="1"/>
    <xf numFmtId="0" fontId="73" fillId="0" borderId="0" pivotButton="0" quotePrefix="0" xfId="1"/>
    <xf numFmtId="0" fontId="74" fillId="0" borderId="0" pivotButton="0" quotePrefix="0" xfId="0"/>
    <xf numFmtId="0" fontId="71" fillId="0" borderId="0" pivotButton="0" quotePrefix="0" xfId="1"/>
    <xf numFmtId="0" fontId="75" fillId="0" borderId="0" pivotButton="0" quotePrefix="0" xfId="1"/>
    <xf numFmtId="0" fontId="76" fillId="0" borderId="0" pivotButton="0" quotePrefix="0" xfId="1"/>
    <xf numFmtId="0" fontId="77" fillId="0" borderId="0" pivotButton="0" quotePrefix="0" xfId="1"/>
    <xf numFmtId="0" fontId="19" fillId="0" borderId="0" pivotButton="0" quotePrefix="0" xfId="1"/>
    <xf numFmtId="0" fontId="61" fillId="0" borderId="0" pivotButton="0" quotePrefix="0" xfId="1"/>
    <xf numFmtId="0" fontId="78" fillId="0" borderId="0" pivotButton="0" quotePrefix="0" xfId="1"/>
    <xf numFmtId="0" fontId="80" fillId="0" borderId="0" pivotButton="0" quotePrefix="0" xfId="3"/>
    <xf numFmtId="0" fontId="20" fillId="0" borderId="0" applyAlignment="1" pivotButton="0" quotePrefix="0" xfId="1">
      <alignment horizontal="right"/>
    </xf>
    <xf numFmtId="0" fontId="45" fillId="0" borderId="0" applyAlignment="1" pivotButton="0" quotePrefix="0" xfId="1">
      <alignment horizontal="right"/>
    </xf>
    <xf numFmtId="0" fontId="83" fillId="0" borderId="0" applyAlignment="1" pivotButton="0" quotePrefix="0" xfId="1">
      <alignment horizontal="right"/>
    </xf>
    <xf numFmtId="0" fontId="84" fillId="0" borderId="0" pivotButton="0" quotePrefix="0" xfId="1"/>
    <xf numFmtId="0" fontId="85" fillId="0" borderId="0" applyAlignment="1" pivotButton="0" quotePrefix="0" xfId="1">
      <alignment horizontal="right"/>
    </xf>
    <xf numFmtId="0" fontId="9" fillId="0" borderId="0" pivotButton="0" quotePrefix="0" xfId="2"/>
    <xf numFmtId="0" fontId="44" fillId="12" borderId="0" applyAlignment="1" pivotButton="0" quotePrefix="1" xfId="1">
      <alignment horizontal="right"/>
    </xf>
    <xf numFmtId="0" fontId="44" fillId="12" borderId="0" applyAlignment="1" pivotButton="0" quotePrefix="1" xfId="1">
      <alignment horizontal="left"/>
    </xf>
    <xf numFmtId="1" fontId="44" fillId="12" borderId="0" applyAlignment="1" pivotButton="0" quotePrefix="1" xfId="1">
      <alignment horizontal="right"/>
    </xf>
    <xf numFmtId="0" fontId="87" fillId="0" borderId="0" pivotButton="0" quotePrefix="0" xfId="1"/>
    <xf numFmtId="0" fontId="7" fillId="5" borderId="0" pivotButton="0" quotePrefix="0" xfId="1"/>
    <xf numFmtId="0" fontId="87" fillId="5" borderId="0" pivotButton="0" quotePrefix="0" xfId="1"/>
    <xf numFmtId="0" fontId="44" fillId="12" borderId="0" applyAlignment="1" pivotButton="0" quotePrefix="0" xfId="1">
      <alignment horizontal="right"/>
    </xf>
    <xf numFmtId="1" fontId="0" fillId="0" borderId="18" applyAlignment="1" pivotButton="0" quotePrefix="0" xfId="0">
      <alignment horizontal="center"/>
    </xf>
    <xf numFmtId="2" fontId="0" fillId="0" borderId="0" applyAlignment="1" pivotButton="0" quotePrefix="0" xfId="0">
      <alignment horizontal="center"/>
    </xf>
    <xf numFmtId="1" fontId="0" fillId="0" borderId="20" applyAlignment="1" pivotButton="0" quotePrefix="0" xfId="0">
      <alignment horizontal="center"/>
    </xf>
    <xf numFmtId="1" fontId="0" fillId="0" borderId="21" applyAlignment="1" pivotButton="0" quotePrefix="0" xfId="0">
      <alignment horizontal="center"/>
    </xf>
    <xf numFmtId="2" fontId="0" fillId="0" borderId="21" applyAlignment="1" pivotButton="0" quotePrefix="0" xfId="0">
      <alignment horizontal="center"/>
    </xf>
    <xf numFmtId="0" fontId="89" fillId="0" borderId="15" pivotButton="0" quotePrefix="0" xfId="0"/>
    <xf numFmtId="2" fontId="0" fillId="5" borderId="0" pivotButton="0" quotePrefix="0" xfId="0"/>
    <xf numFmtId="2" fontId="0" fillId="0" borderId="21" pivotButton="0" quotePrefix="0" xfId="0"/>
    <xf numFmtId="2" fontId="0" fillId="0" borderId="24" pivotButton="0" quotePrefix="0" xfId="0"/>
    <xf numFmtId="2" fontId="0" fillId="0" borderId="16" pivotButton="0" quotePrefix="0" xfId="0"/>
    <xf numFmtId="0" fontId="0" fillId="0" borderId="24" applyAlignment="1" pivotButton="0" quotePrefix="0" xfId="0">
      <alignment horizontal="center"/>
    </xf>
    <xf numFmtId="0" fontId="0" fillId="0" borderId="29" pivotButton="0" quotePrefix="0" xfId="0"/>
    <xf numFmtId="0" fontId="0" fillId="0" borderId="28" pivotButton="0" quotePrefix="0" xfId="0"/>
    <xf numFmtId="1" fontId="0" fillId="0" borderId="29" pivotButton="0" quotePrefix="0" xfId="0"/>
    <xf numFmtId="2" fontId="0" fillId="0" borderId="30" pivotButton="0" quotePrefix="0" xfId="0"/>
    <xf numFmtId="1" fontId="91" fillId="0" borderId="0" applyAlignment="1" pivotButton="0" quotePrefix="0" xfId="0">
      <alignment horizontal="center"/>
    </xf>
    <xf numFmtId="1" fontId="91" fillId="0" borderId="0" pivotButton="0" quotePrefix="0" xfId="0"/>
    <xf numFmtId="0" fontId="20" fillId="12" borderId="0" applyAlignment="1" pivotButton="0" quotePrefix="1" xfId="1">
      <alignment horizontal="left"/>
    </xf>
    <xf numFmtId="1" fontId="0" fillId="0" borderId="28" pivotButton="0" quotePrefix="0" xfId="0"/>
    <xf numFmtId="1" fontId="0" fillId="0" borderId="18" applyAlignment="1" pivotButton="0" quotePrefix="0" xfId="0">
      <alignment horizontal="center" wrapText="1"/>
    </xf>
    <xf numFmtId="1" fontId="0" fillId="0" borderId="0" applyAlignment="1" pivotButton="0" quotePrefix="0" xfId="0">
      <alignment horizontal="center" wrapText="1"/>
    </xf>
    <xf numFmtId="2" fontId="0" fillId="0" borderId="0" applyAlignment="1" pivotButton="0" quotePrefix="0" xfId="0">
      <alignment horizontal="center" wrapText="1"/>
    </xf>
    <xf numFmtId="1" fontId="0" fillId="0" borderId="31" applyAlignment="1" pivotButton="0" quotePrefix="0" xfId="0">
      <alignment horizontal="center" wrapText="1"/>
    </xf>
    <xf numFmtId="2" fontId="0" fillId="0" borderId="31" applyAlignment="1" pivotButton="0" quotePrefix="0" xfId="0">
      <alignment horizontal="center" wrapText="1"/>
    </xf>
    <xf numFmtId="0" fontId="0" fillId="0" borderId="23" applyAlignment="1" pivotButton="0" quotePrefix="0" xfId="0">
      <alignment horizontal="center"/>
    </xf>
    <xf numFmtId="0" fontId="0" fillId="0" borderId="24" applyAlignment="1" pivotButton="0" quotePrefix="0" xfId="0">
      <alignment horizontal="center" wrapText="1"/>
    </xf>
    <xf numFmtId="0" fontId="0" fillId="0" borderId="25" applyAlignment="1" pivotButton="0" quotePrefix="0" xfId="0">
      <alignment horizontal="center" wrapText="1"/>
    </xf>
    <xf numFmtId="1" fontId="0" fillId="0" borderId="32" applyAlignment="1" pivotButton="0" quotePrefix="0" xfId="0">
      <alignment horizontal="center" wrapText="1"/>
    </xf>
    <xf numFmtId="2" fontId="0" fillId="0" borderId="19" applyAlignment="1" pivotButton="0" quotePrefix="0" xfId="0">
      <alignment horizontal="center"/>
    </xf>
    <xf numFmtId="1" fontId="0" fillId="0" borderId="19" applyAlignment="1" pivotButton="0" quotePrefix="0" xfId="0">
      <alignment horizontal="center"/>
    </xf>
    <xf numFmtId="2" fontId="0" fillId="0" borderId="22" applyAlignment="1" pivotButton="0" quotePrefix="0" xfId="0">
      <alignment horizontal="center"/>
    </xf>
    <xf numFmtId="1" fontId="0" fillId="0" borderId="20" applyAlignment="1" pivotButton="0" quotePrefix="0" xfId="0">
      <alignment horizontal="center" wrapText="1"/>
    </xf>
    <xf numFmtId="1" fontId="0" fillId="0" borderId="21" applyAlignment="1" pivotButton="0" quotePrefix="0" xfId="0">
      <alignment horizontal="center" wrapText="1"/>
    </xf>
    <xf numFmtId="2" fontId="0" fillId="0" borderId="21" applyAlignment="1" pivotButton="0" quotePrefix="0" xfId="0">
      <alignment horizontal="center" wrapText="1"/>
    </xf>
    <xf numFmtId="0" fontId="89" fillId="0" borderId="0" pivotButton="0" quotePrefix="0" xfId="0"/>
    <xf numFmtId="0" fontId="11" fillId="0" borderId="0" applyAlignment="1" pivotButton="0" quotePrefix="0" xfId="1">
      <alignment horizontal="left"/>
    </xf>
    <xf numFmtId="0" fontId="94" fillId="0" borderId="0" pivotButton="0" quotePrefix="0" xfId="0"/>
    <xf numFmtId="1" fontId="0" fillId="0" borderId="21" pivotButton="0" quotePrefix="0" xfId="0"/>
    <xf numFmtId="0" fontId="0" fillId="5" borderId="0" applyProtection="1" pivotButton="0" quotePrefix="0" xfId="0">
      <protection locked="0" hidden="0"/>
    </xf>
    <xf numFmtId="0" fontId="0" fillId="6" borderId="21" applyProtection="1" pivotButton="0" quotePrefix="0" xfId="0">
      <protection locked="0" hidden="0"/>
    </xf>
    <xf numFmtId="0" fontId="0" fillId="0" borderId="0" applyProtection="1" pivotButton="0" quotePrefix="0" xfId="0">
      <protection locked="0" hidden="0"/>
    </xf>
    <xf numFmtId="1" fontId="0" fillId="0" borderId="18" pivotButton="0" quotePrefix="0" xfId="0"/>
    <xf numFmtId="0" fontId="91" fillId="5" borderId="0" pivotButton="0" quotePrefix="0" xfId="0"/>
    <xf numFmtId="0" fontId="0" fillId="0" borderId="24" applyAlignment="1" pivotButton="0" quotePrefix="0" xfId="0">
      <alignment horizontal="left"/>
    </xf>
    <xf numFmtId="0" fontId="96" fillId="0" borderId="0" pivotButton="0" quotePrefix="0" xfId="1"/>
    <xf numFmtId="0" fontId="0" fillId="6" borderId="16" applyProtection="1" pivotButton="0" quotePrefix="0" xfId="0">
      <protection locked="0" hidden="0"/>
    </xf>
    <xf numFmtId="0" fontId="7" fillId="0" borderId="0" applyAlignment="1" pivotButton="0" quotePrefix="0" xfId="1">
      <alignment horizontal="left"/>
    </xf>
    <xf numFmtId="0" fontId="96" fillId="0" borderId="0" applyAlignment="1" pivotButton="0" quotePrefix="0" xfId="1">
      <alignment horizontal="right"/>
    </xf>
    <xf numFmtId="0" fontId="7" fillId="0" borderId="34" applyAlignment="1" pivotButton="0" quotePrefix="0" xfId="1">
      <alignment horizontal="right"/>
    </xf>
    <xf numFmtId="0" fontId="17" fillId="0" borderId="0" applyAlignment="1" pivotButton="0" quotePrefix="0" xfId="1">
      <alignment horizontal="center"/>
    </xf>
    <xf numFmtId="0" fontId="18" fillId="7" borderId="0" applyAlignment="1" pivotButton="0" quotePrefix="0" xfId="1">
      <alignment horizontal="left"/>
    </xf>
    <xf numFmtId="0" fontId="7" fillId="7" borderId="0" pivotButton="0" quotePrefix="0" xfId="1"/>
    <xf numFmtId="0" fontId="24" fillId="0" borderId="0" applyAlignment="1" pivotButton="0" quotePrefix="0" xfId="1">
      <alignment horizontal="right"/>
    </xf>
    <xf numFmtId="0" fontId="12" fillId="0" borderId="0" pivotButton="0" quotePrefix="0" xfId="2"/>
    <xf numFmtId="0" fontId="28" fillId="0" borderId="0" applyAlignment="1" pivotButton="0" quotePrefix="0" xfId="1">
      <alignment horizontal="left"/>
    </xf>
    <xf numFmtId="0" fontId="44" fillId="0" borderId="0" pivotButton="0" quotePrefix="0" xfId="1"/>
    <xf numFmtId="1" fontId="20" fillId="0" borderId="0" applyAlignment="1" pivotButton="0" quotePrefix="0" xfId="1">
      <alignment horizontal="right"/>
    </xf>
    <xf numFmtId="0" fontId="45" fillId="0" borderId="0" applyProtection="1" pivotButton="0" quotePrefix="0" xfId="3">
      <protection locked="0" hidden="0"/>
    </xf>
    <xf numFmtId="0" fontId="27" fillId="0" borderId="0" applyProtection="1" pivotButton="0" quotePrefix="0" xfId="3">
      <protection locked="0" hidden="0"/>
    </xf>
    <xf numFmtId="0" fontId="20" fillId="0" borderId="0" applyAlignment="1" pivotButton="0" quotePrefix="0" xfId="1">
      <alignment horizontal="right" indent="2"/>
    </xf>
    <xf numFmtId="0" fontId="22" fillId="9" borderId="0" pivotButton="0" quotePrefix="0" xfId="1"/>
    <xf numFmtId="0" fontId="41" fillId="0" borderId="0" applyAlignment="1" pivotButton="0" quotePrefix="0" xfId="1">
      <alignment horizontal="left"/>
    </xf>
    <xf numFmtId="0" fontId="46" fillId="0" borderId="0" pivotButton="0" quotePrefix="0" xfId="1"/>
    <xf numFmtId="0" fontId="18" fillId="11" borderId="0" applyAlignment="1" pivotButton="0" quotePrefix="0" xfId="1">
      <alignment horizontal="left"/>
    </xf>
    <xf numFmtId="0" fontId="47" fillId="11" borderId="0" pivotButton="0" quotePrefix="0" xfId="1"/>
    <xf numFmtId="0" fontId="49" fillId="0" borderId="0" pivotButton="0" quotePrefix="0" xfId="1"/>
    <xf numFmtId="0" fontId="9" fillId="12" borderId="0" pivotButton="0" quotePrefix="0" xfId="1"/>
    <xf numFmtId="0" fontId="46" fillId="12" borderId="0" pivotButton="0" quotePrefix="0" xfId="1"/>
    <xf numFmtId="0" fontId="20" fillId="12" borderId="0" applyAlignment="1" pivotButton="0" quotePrefix="0" xfId="1">
      <alignment horizontal="right"/>
    </xf>
    <xf numFmtId="0" fontId="9" fillId="0" borderId="0" applyAlignment="1" pivotButton="0" quotePrefix="0" xfId="1">
      <alignment horizontal="left" vertical="center" textRotation="90"/>
    </xf>
    <xf numFmtId="0" fontId="9" fillId="0" borderId="0" applyAlignment="1" pivotButton="0" quotePrefix="0" xfId="1">
      <alignment vertical="center" textRotation="90"/>
    </xf>
    <xf numFmtId="0" fontId="73" fillId="0" borderId="0" applyAlignment="1" pivotButton="0" quotePrefix="0" xfId="1">
      <alignment horizontal="right"/>
    </xf>
    <xf numFmtId="0" fontId="76" fillId="0" borderId="0" applyAlignment="1" pivotButton="0" quotePrefix="0" xfId="1">
      <alignment horizontal="right"/>
    </xf>
    <xf numFmtId="0" fontId="78" fillId="0" borderId="0" applyAlignment="1" pivotButton="0" quotePrefix="0" xfId="1">
      <alignment horizontal="right"/>
    </xf>
    <xf numFmtId="0" fontId="79" fillId="0" borderId="0" applyAlignment="1" pivotButton="0" quotePrefix="0" xfId="5">
      <alignment horizontal="right"/>
    </xf>
    <xf numFmtId="0" fontId="86" fillId="0" borderId="0" pivotButton="0" quotePrefix="0" xfId="3"/>
    <xf numFmtId="0" fontId="97" fillId="0" borderId="26" applyAlignment="1" pivotButton="0" quotePrefix="0" xfId="0">
      <alignment horizontal="center"/>
    </xf>
    <xf numFmtId="0" fontId="7" fillId="0" borderId="38" pivotButton="0" quotePrefix="0" xfId="1"/>
    <xf numFmtId="0" fontId="7" fillId="0" borderId="37" pivotButton="0" quotePrefix="0" xfId="1"/>
    <xf numFmtId="0" fontId="96" fillId="0" borderId="0" applyAlignment="1" pivotButton="0" quotePrefix="0" xfId="1">
      <alignment horizontal="left"/>
    </xf>
    <xf numFmtId="0" fontId="10" fillId="0" borderId="0" applyAlignment="1" pivotButton="0" quotePrefix="0" xfId="1">
      <alignment horizontal="left"/>
    </xf>
    <xf numFmtId="0" fontId="7" fillId="0" borderId="34" pivotButton="0" quotePrefix="0" xfId="1"/>
    <xf numFmtId="0" fontId="0" fillId="15" borderId="0" pivotButton="0" quotePrefix="0" xfId="0"/>
    <xf numFmtId="1" fontId="0" fillId="0" borderId="19" pivotButton="0" quotePrefix="0" xfId="0"/>
    <xf numFmtId="1" fontId="0" fillId="0" borderId="22" pivotButton="0" quotePrefix="0" xfId="0"/>
    <xf numFmtId="0" fontId="7" fillId="0" borderId="16" pivotButton="0" quotePrefix="0" xfId="7"/>
    <xf numFmtId="0" fontId="7" fillId="0" borderId="17" pivotButton="0" quotePrefix="0" xfId="7"/>
    <xf numFmtId="0" fontId="7" fillId="0" borderId="19" pivotButton="0" quotePrefix="0" xfId="7"/>
    <xf numFmtId="0" fontId="7" fillId="0" borderId="18" pivotButton="0" quotePrefix="0" xfId="7"/>
    <xf numFmtId="0" fontId="92" fillId="0" borderId="27" pivotButton="0" quotePrefix="0" xfId="7"/>
    <xf numFmtId="0" fontId="10" fillId="0" borderId="29" applyAlignment="1" pivotButton="0" quotePrefix="0" xfId="7">
      <alignment horizontal="right"/>
    </xf>
    <xf numFmtId="0" fontId="10" fillId="0" borderId="28" pivotButton="0" quotePrefix="0" xfId="7"/>
    <xf numFmtId="0" fontId="7" fillId="0" borderId="31" applyAlignment="1" pivotButton="0" quotePrefix="0" xfId="7">
      <alignment horizontal="right"/>
    </xf>
    <xf numFmtId="1" fontId="7" fillId="0" borderId="31" pivotButton="0" quotePrefix="0" xfId="7"/>
    <xf numFmtId="0" fontId="7" fillId="0" borderId="0" applyAlignment="1" pivotButton="0" quotePrefix="0" xfId="7">
      <alignment horizontal="right"/>
    </xf>
    <xf numFmtId="1" fontId="7" fillId="0" borderId="44" pivotButton="0" quotePrefix="0" xfId="7"/>
    <xf numFmtId="0" fontId="7" fillId="0" borderId="44" applyAlignment="1" pivotButton="0" quotePrefix="0" xfId="7">
      <alignment horizontal="center"/>
    </xf>
    <xf numFmtId="0" fontId="7" fillId="0" borderId="0" applyProtection="1" pivotButton="0" quotePrefix="0" xfId="7">
      <protection locked="0" hidden="0"/>
    </xf>
    <xf numFmtId="0" fontId="7" fillId="0" borderId="19" applyProtection="1" pivotButton="0" quotePrefix="0" xfId="7">
      <protection locked="0" hidden="0"/>
    </xf>
    <xf numFmtId="1" fontId="7" fillId="0" borderId="0" pivotButton="0" quotePrefix="0" xfId="7"/>
    <xf numFmtId="0" fontId="7" fillId="0" borderId="41" applyAlignment="1" pivotButton="0" quotePrefix="0" xfId="7">
      <alignment horizontal="center"/>
    </xf>
    <xf numFmtId="0" fontId="88" fillId="0" borderId="16" pivotButton="0" quotePrefix="0" xfId="7"/>
    <xf numFmtId="0" fontId="7" fillId="0" borderId="21" pivotButton="0" quotePrefix="0" xfId="7"/>
    <xf numFmtId="0" fontId="7" fillId="0" borderId="50" pivotButton="0" quotePrefix="0" xfId="7"/>
    <xf numFmtId="0" fontId="7" fillId="0" borderId="44" pivotButton="0" quotePrefix="0" xfId="7"/>
    <xf numFmtId="1" fontId="7" fillId="0" borderId="39" pivotButton="0" quotePrefix="0" xfId="7"/>
    <xf numFmtId="0" fontId="7" fillId="0" borderId="40" pivotButton="0" quotePrefix="0" xfId="7"/>
    <xf numFmtId="0" fontId="7" fillId="0" borderId="45" applyProtection="1" pivotButton="0" quotePrefix="0" xfId="7">
      <protection locked="0" hidden="0"/>
    </xf>
    <xf numFmtId="0" fontId="7" fillId="0" borderId="46" applyProtection="1" pivotButton="0" quotePrefix="0" xfId="7">
      <protection locked="0" hidden="0"/>
    </xf>
    <xf numFmtId="12" fontId="10" fillId="0" borderId="30" applyAlignment="1" pivotButton="0" quotePrefix="0" xfId="7">
      <alignment horizontal="right"/>
    </xf>
    <xf numFmtId="12" fontId="7" fillId="0" borderId="31" applyAlignment="1" pivotButton="0" quotePrefix="0" xfId="7">
      <alignment horizontal="left"/>
    </xf>
    <xf numFmtId="1" fontId="7" fillId="17" borderId="31" applyAlignment="1" applyProtection="1" pivotButton="0" quotePrefix="0" xfId="7">
      <alignment horizontal="left"/>
      <protection locked="0" hidden="0"/>
    </xf>
    <xf numFmtId="1" fontId="7" fillId="0" borderId="31" applyAlignment="1" pivotButton="0" quotePrefix="0" xfId="7">
      <alignment horizontal="left"/>
    </xf>
    <xf numFmtId="0" fontId="7" fillId="17" borderId="31" applyAlignment="1" applyProtection="1" pivotButton="0" quotePrefix="0" xfId="7">
      <alignment horizontal="left"/>
      <protection locked="0" hidden="0"/>
    </xf>
    <xf numFmtId="0" fontId="7" fillId="17" borderId="39" applyAlignment="1" applyProtection="1" pivotButton="0" quotePrefix="0" xfId="7">
      <alignment horizontal="left"/>
      <protection locked="0" hidden="0"/>
    </xf>
    <xf numFmtId="0" fontId="7" fillId="0" borderId="31" applyAlignment="1" pivotButton="0" quotePrefix="0" xfId="7">
      <alignment horizontal="left"/>
    </xf>
    <xf numFmtId="0" fontId="7" fillId="0" borderId="48" pivotButton="0" quotePrefix="0" xfId="7"/>
    <xf numFmtId="0" fontId="7" fillId="0" borderId="49" pivotButton="0" quotePrefix="0" xfId="7"/>
    <xf numFmtId="0" fontId="7" fillId="0" borderId="35" applyAlignment="1" pivotButton="0" quotePrefix="0" xfId="7">
      <alignment horizontal="left"/>
    </xf>
    <xf numFmtId="0" fontId="0" fillId="16" borderId="0" pivotButton="0" quotePrefix="0" xfId="0"/>
    <xf numFmtId="0" fontId="0" fillId="16" borderId="0" applyProtection="1" pivotButton="0" quotePrefix="0" xfId="0">
      <protection locked="0" hidden="0"/>
    </xf>
    <xf numFmtId="0" fontId="96" fillId="0" borderId="0" applyAlignment="1" pivotButton="0" quotePrefix="0" xfId="1">
      <alignment horizontal="center"/>
    </xf>
    <xf numFmtId="0" fontId="7" fillId="0" borderId="47" pivotButton="0" quotePrefix="0" xfId="7"/>
    <xf numFmtId="1" fontId="7" fillId="0" borderId="19" applyAlignment="1" pivotButton="0" quotePrefix="0" xfId="7">
      <alignment horizontal="left"/>
    </xf>
    <xf numFmtId="0" fontId="0" fillId="0" borderId="41" applyAlignment="1" pivotButton="0" quotePrefix="0" xfId="0">
      <alignment horizontal="center"/>
    </xf>
    <xf numFmtId="0" fontId="0" fillId="0" borderId="42" applyAlignment="1" pivotButton="0" quotePrefix="0" xfId="0">
      <alignment horizontal="center"/>
    </xf>
    <xf numFmtId="2" fontId="0" fillId="0" borderId="0" pivotButton="0" quotePrefix="0" xfId="0"/>
    <xf numFmtId="0" fontId="0" fillId="0" borderId="38" pivotButton="0" quotePrefix="0" xfId="0"/>
    <xf numFmtId="0" fontId="1" fillId="0" borderId="0" applyAlignment="1" pivotButton="0" quotePrefix="0" xfId="0">
      <alignment wrapText="1"/>
    </xf>
    <xf numFmtId="0" fontId="7" fillId="18" borderId="31" applyProtection="1" pivotButton="0" quotePrefix="0" xfId="7">
      <protection locked="0" hidden="0"/>
    </xf>
    <xf numFmtId="0" fontId="100" fillId="0" borderId="0" applyAlignment="1" pivotButton="0" quotePrefix="0" xfId="1">
      <alignment horizontal="right"/>
    </xf>
    <xf numFmtId="1" fontId="100" fillId="0" borderId="0" applyAlignment="1" pivotButton="0" quotePrefix="0" xfId="1">
      <alignment horizontal="right"/>
    </xf>
    <xf numFmtId="0" fontId="101" fillId="0" borderId="18" pivotButton="0" quotePrefix="0" xfId="0"/>
    <xf numFmtId="1" fontId="90" fillId="0" borderId="0" applyAlignment="1" pivotButton="0" quotePrefix="0" xfId="0">
      <alignment horizontal="right"/>
    </xf>
    <xf numFmtId="0" fontId="102" fillId="0" borderId="0" pivotButton="0" quotePrefix="0" xfId="0"/>
    <xf numFmtId="0" fontId="1" fillId="0" borderId="35" applyAlignment="1" pivotButton="0" quotePrefix="0" xfId="0">
      <alignment wrapText="1"/>
    </xf>
    <xf numFmtId="0" fontId="1" fillId="0" borderId="34" applyAlignment="1" pivotButton="0" quotePrefix="0" xfId="0">
      <alignment wrapText="1"/>
    </xf>
    <xf numFmtId="0" fontId="0" fillId="0" borderId="34" pivotButton="0" quotePrefix="0" xfId="0"/>
    <xf numFmtId="0" fontId="0" fillId="0" borderId="54" pivotButton="0" quotePrefix="0" xfId="0"/>
    <xf numFmtId="14" fontId="0" fillId="0" borderId="48" pivotButton="0" quotePrefix="0" xfId="0"/>
    <xf numFmtId="0" fontId="0" fillId="0" borderId="41" pivotButton="0" quotePrefix="0" xfId="0"/>
    <xf numFmtId="14" fontId="0" fillId="0" borderId="42" pivotButton="0" quotePrefix="0" xfId="0"/>
    <xf numFmtId="0" fontId="0" fillId="0" borderId="35" applyAlignment="1" pivotButton="0" quotePrefix="0" xfId="0">
      <alignment horizontal="center"/>
    </xf>
    <xf numFmtId="0" fontId="0" fillId="6" borderId="54" applyAlignment="1" applyProtection="1" pivotButton="0" quotePrefix="0" xfId="0">
      <alignment horizontal="center"/>
      <protection locked="0" hidden="0"/>
    </xf>
    <xf numFmtId="0" fontId="95" fillId="6" borderId="0" applyProtection="1" pivotButton="0" quotePrefix="0" xfId="0">
      <protection locked="0" hidden="0"/>
    </xf>
    <xf numFmtId="14" fontId="0" fillId="0" borderId="0" pivotButton="0" quotePrefix="0" xfId="0"/>
    <xf numFmtId="0" fontId="0" fillId="6" borderId="0" applyAlignment="1" applyProtection="1" pivotButton="0" quotePrefix="0" xfId="0">
      <alignment horizontal="center"/>
      <protection locked="0" hidden="0"/>
    </xf>
    <xf numFmtId="2" fontId="0" fillId="6" borderId="0" applyProtection="1" pivotButton="0" quotePrefix="0" xfId="0">
      <protection locked="0" hidden="0"/>
    </xf>
    <xf numFmtId="0" fontId="0" fillId="6" borderId="0" applyProtection="1" pivotButton="0" quotePrefix="0" xfId="0">
      <protection locked="0" hidden="0"/>
    </xf>
    <xf numFmtId="1" fontId="0" fillId="18" borderId="0" applyAlignment="1" pivotButton="0" quotePrefix="0" xfId="0">
      <alignment horizontal="center"/>
    </xf>
    <xf numFmtId="1" fontId="0" fillId="18" borderId="0" applyAlignment="1" applyProtection="1" pivotButton="0" quotePrefix="0" xfId="0">
      <alignment horizontal="center"/>
      <protection locked="0" hidden="0"/>
    </xf>
    <xf numFmtId="0" fontId="33" fillId="0" borderId="0" applyAlignment="1" pivotButton="0" quotePrefix="0" xfId="1">
      <alignment horizontal="right"/>
    </xf>
    <xf numFmtId="0" fontId="15" fillId="0" borderId="0" applyAlignment="1" pivotButton="0" quotePrefix="0" xfId="1">
      <alignment horizontal="right"/>
    </xf>
    <xf numFmtId="0" fontId="11" fillId="0" borderId="0" applyAlignment="1" pivotButton="0" quotePrefix="0" xfId="1">
      <alignment horizontal="right"/>
    </xf>
    <xf numFmtId="0" fontId="7" fillId="0" borderId="0" applyAlignment="1" pivotButton="0" quotePrefix="0" xfId="1">
      <alignment horizontal="center"/>
    </xf>
    <xf numFmtId="0" fontId="10" fillId="0" borderId="0" applyAlignment="1" pivotButton="0" quotePrefix="0" xfId="1">
      <alignment horizontal="left" vertical="center" textRotation="90"/>
    </xf>
    <xf numFmtId="0" fontId="62" fillId="0" borderId="0" applyAlignment="1" pivotButton="0" quotePrefix="0" xfId="1">
      <alignment horizontal="right"/>
    </xf>
    <xf numFmtId="0" fontId="18" fillId="0" borderId="0" applyAlignment="1" pivotButton="0" quotePrefix="0" xfId="1">
      <alignment horizontal="left"/>
    </xf>
    <xf numFmtId="0" fontId="47" fillId="0" borderId="0" pivotButton="0" quotePrefix="0" xfId="1"/>
    <xf numFmtId="0" fontId="29" fillId="0" borderId="0" applyAlignment="1" pivotButton="0" quotePrefix="0" xfId="1">
      <alignment horizontal="right"/>
    </xf>
    <xf numFmtId="0" fontId="7" fillId="0" borderId="0" pivotButton="0" quotePrefix="0" xfId="0"/>
    <xf numFmtId="0" fontId="25" fillId="0" borderId="0" applyAlignment="1" pivotButton="0" quotePrefix="0" xfId="1">
      <alignment horizontal="right"/>
    </xf>
    <xf numFmtId="0" fontId="68" fillId="0" borderId="0" applyAlignment="1" pivotButton="0" quotePrefix="0" xfId="1">
      <alignment horizontal="left"/>
    </xf>
    <xf numFmtId="0" fontId="81" fillId="0" borderId="0" applyAlignment="1" pivotButton="0" quotePrefix="0" xfId="1">
      <alignment horizontal="right" indent="1"/>
    </xf>
    <xf numFmtId="0" fontId="82" fillId="0" borderId="0" pivotButton="0" quotePrefix="0" xfId="1"/>
    <xf numFmtId="1" fontId="95" fillId="6" borderId="0" applyAlignment="1" applyProtection="1" pivotButton="0" quotePrefix="0" xfId="0">
      <alignment horizontal="left"/>
      <protection locked="0" hidden="0"/>
    </xf>
    <xf numFmtId="1" fontId="93" fillId="0" borderId="55" pivotButton="0" quotePrefix="0" xfId="0"/>
    <xf numFmtId="1" fontId="93" fillId="0" borderId="44" pivotButton="0" quotePrefix="0" xfId="0"/>
    <xf numFmtId="1" fontId="93" fillId="0" borderId="49" pivotButton="0" quotePrefix="0" xfId="0"/>
    <xf numFmtId="1" fontId="93" fillId="0" borderId="47" pivotButton="0" quotePrefix="0" xfId="0"/>
    <xf numFmtId="1" fontId="93" fillId="0" borderId="37" pivotButton="0" quotePrefix="0" xfId="0"/>
    <xf numFmtId="1" fontId="93" fillId="0" borderId="36" pivotButton="0" quotePrefix="0" xfId="0"/>
    <xf numFmtId="1" fontId="93" fillId="0" borderId="41" pivotButton="0" quotePrefix="0" xfId="0"/>
    <xf numFmtId="0" fontId="93" fillId="19" borderId="55" applyAlignment="1" pivotButton="0" quotePrefix="0" xfId="0">
      <alignment horizontal="center"/>
    </xf>
    <xf numFmtId="0" fontId="93" fillId="19" borderId="44" applyAlignment="1" pivotButton="0" quotePrefix="0" xfId="0">
      <alignment horizontal="center"/>
    </xf>
    <xf numFmtId="0" fontId="93" fillId="19" borderId="45" applyAlignment="1" pivotButton="0" quotePrefix="0" xfId="0">
      <alignment horizontal="center"/>
    </xf>
    <xf numFmtId="0" fontId="93" fillId="20" borderId="0" applyAlignment="1" pivotButton="0" quotePrefix="0" xfId="0">
      <alignment horizontal="center"/>
    </xf>
    <xf numFmtId="0" fontId="103" fillId="0" borderId="0" applyAlignment="1" pivotButton="0" quotePrefix="0" xfId="0">
      <alignment horizontal="right" vertical="center"/>
    </xf>
    <xf numFmtId="0" fontId="93" fillId="21" borderId="0" applyProtection="1" pivotButton="0" quotePrefix="0" xfId="0">
      <protection locked="0" hidden="0"/>
    </xf>
    <xf numFmtId="0" fontId="93" fillId="22" borderId="0" applyProtection="1" pivotButton="0" quotePrefix="0" xfId="0">
      <protection locked="0" hidden="0"/>
    </xf>
    <xf numFmtId="0" fontId="93" fillId="0" borderId="47" pivotButton="0" quotePrefix="0" xfId="0"/>
    <xf numFmtId="0" fontId="93" fillId="0" borderId="38" pivotButton="0" quotePrefix="0" xfId="0"/>
    <xf numFmtId="0" fontId="93" fillId="0" borderId="0" applyAlignment="1" pivotButton="0" quotePrefix="0" xfId="0">
      <alignment horizontal="center" vertical="top" wrapText="1"/>
    </xf>
    <xf numFmtId="0" fontId="93" fillId="0" borderId="41" pivotButton="0" quotePrefix="0" xfId="0"/>
    <xf numFmtId="2" fontId="93" fillId="21" borderId="0" applyProtection="1" pivotButton="0" quotePrefix="0" xfId="0">
      <protection locked="0" hidden="0"/>
    </xf>
    <xf numFmtId="2" fontId="93" fillId="21" borderId="16" applyProtection="1" pivotButton="0" quotePrefix="0" xfId="0">
      <protection locked="0" hidden="0"/>
    </xf>
    <xf numFmtId="2" fontId="93" fillId="22" borderId="0" applyProtection="1" pivotButton="0" quotePrefix="0" xfId="0">
      <protection locked="0" hidden="0"/>
    </xf>
    <xf numFmtId="0" fontId="0" fillId="0" borderId="56" pivotButton="0" quotePrefix="0" xfId="0"/>
    <xf numFmtId="0" fontId="0" fillId="0" borderId="57" pivotButton="0" quotePrefix="0" xfId="0"/>
    <xf numFmtId="1" fontId="93" fillId="0" borderId="38" pivotButton="0" quotePrefix="0" xfId="0"/>
    <xf numFmtId="0" fontId="93" fillId="23" borderId="48" pivotButton="0" quotePrefix="0" xfId="0"/>
    <xf numFmtId="1" fontId="93" fillId="23" borderId="48" pivotButton="0" quotePrefix="0" xfId="0"/>
    <xf numFmtId="0" fontId="0" fillId="0" borderId="58" pivotButton="0" quotePrefix="0" xfId="0"/>
    <xf numFmtId="0" fontId="0" fillId="0" borderId="59" pivotButton="0" quotePrefix="0" xfId="0"/>
    <xf numFmtId="0" fontId="93" fillId="23" borderId="0" pivotButton="0" quotePrefix="0" xfId="0"/>
    <xf numFmtId="1" fontId="93" fillId="23" borderId="0" pivotButton="0" quotePrefix="0" xfId="0"/>
    <xf numFmtId="0" fontId="93" fillId="20" borderId="0" pivotButton="0" quotePrefix="0" xfId="0"/>
    <xf numFmtId="0" fontId="93" fillId="23" borderId="0" applyAlignment="1" pivotButton="0" quotePrefix="0" xfId="0">
      <alignment horizontal="center"/>
    </xf>
    <xf numFmtId="0" fontId="106" fillId="23" borderId="0" applyAlignment="1" pivotButton="0" quotePrefix="0" xfId="0">
      <alignment horizontal="left"/>
    </xf>
    <xf numFmtId="0" fontId="93" fillId="20" borderId="0" applyAlignment="1" applyProtection="1" pivotButton="0" quotePrefix="0" xfId="0">
      <alignment horizontal="center"/>
      <protection locked="0" hidden="0"/>
    </xf>
    <xf numFmtId="0" fontId="97" fillId="20" borderId="0" applyAlignment="1" pivotButton="0" quotePrefix="0" xfId="0">
      <alignment horizontal="right"/>
    </xf>
    <xf numFmtId="0" fontId="93" fillId="0" borderId="49" pivotButton="0" quotePrefix="0" xfId="0"/>
    <xf numFmtId="0" fontId="93" fillId="0" borderId="0" applyAlignment="1" pivotButton="0" quotePrefix="0" xfId="0">
      <alignment horizontal="center"/>
    </xf>
    <xf numFmtId="0" fontId="93" fillId="0" borderId="38" applyAlignment="1" pivotButton="0" quotePrefix="0" xfId="0">
      <alignment horizontal="center"/>
    </xf>
    <xf numFmtId="0" fontId="93" fillId="0" borderId="0" applyAlignment="1" applyProtection="1" pivotButton="0" quotePrefix="0" xfId="0">
      <alignment horizontal="center"/>
      <protection locked="0" hidden="0"/>
    </xf>
    <xf numFmtId="0" fontId="93" fillId="23" borderId="0" applyAlignment="1" pivotButton="0" quotePrefix="0" xfId="0">
      <alignment horizontal="left"/>
    </xf>
    <xf numFmtId="1" fontId="93" fillId="0" borderId="31" pivotButton="0" quotePrefix="0" xfId="0"/>
    <xf numFmtId="1" fontId="93" fillId="0" borderId="54" applyAlignment="1" pivotButton="0" quotePrefix="0" xfId="0">
      <alignment horizontal="right"/>
    </xf>
    <xf numFmtId="1" fontId="93" fillId="24" borderId="54" applyAlignment="1" pivotButton="0" quotePrefix="0" xfId="0">
      <alignment horizontal="right"/>
    </xf>
    <xf numFmtId="1" fontId="93" fillId="0" borderId="34" applyAlignment="1" pivotButton="0" quotePrefix="0" xfId="0">
      <alignment horizontal="right"/>
    </xf>
    <xf numFmtId="1" fontId="93" fillId="24" borderId="34" applyAlignment="1" pivotButton="0" quotePrefix="0" xfId="0">
      <alignment horizontal="right"/>
    </xf>
    <xf numFmtId="0" fontId="93" fillId="0" borderId="34" applyAlignment="1" pivotButton="0" quotePrefix="0" xfId="0">
      <alignment horizontal="right"/>
    </xf>
    <xf numFmtId="0" fontId="93" fillId="20" borderId="0" pivotButton="0" quotePrefix="1" xfId="0"/>
    <xf numFmtId="1" fontId="93" fillId="25" borderId="34" pivotButton="0" quotePrefix="0" xfId="0"/>
    <xf numFmtId="0" fontId="93" fillId="25" borderId="0" applyAlignment="1" pivotButton="0" quotePrefix="0" xfId="0">
      <alignment horizontal="center"/>
    </xf>
    <xf numFmtId="0" fontId="93" fillId="25" borderId="38" applyAlignment="1" pivotButton="0" quotePrefix="0" xfId="0">
      <alignment horizontal="center"/>
    </xf>
    <xf numFmtId="0" fontId="93" fillId="0" borderId="45" applyAlignment="1" pivotButton="0" quotePrefix="0" xfId="0">
      <alignment horizontal="center"/>
    </xf>
    <xf numFmtId="0" fontId="106" fillId="23" borderId="42" applyAlignment="1" pivotButton="0" quotePrefix="0" xfId="0">
      <alignment horizontal="left"/>
    </xf>
    <xf numFmtId="0" fontId="93" fillId="0" borderId="0" applyAlignment="1" pivotButton="0" quotePrefix="0" xfId="0">
      <alignment horizontal="right"/>
    </xf>
    <xf numFmtId="0" fontId="93" fillId="0" borderId="37" pivotButton="0" quotePrefix="0" xfId="0"/>
    <xf numFmtId="0" fontId="0" fillId="0" borderId="0" applyAlignment="1" pivotButton="0" quotePrefix="0" xfId="0">
      <alignment horizontal="center" vertical="center"/>
    </xf>
    <xf numFmtId="0" fontId="93" fillId="0" borderId="36" pivotButton="0" quotePrefix="0" xfId="0"/>
    <xf numFmtId="0" fontId="93" fillId="0" borderId="42" pivotButton="0" quotePrefix="0" xfId="0"/>
    <xf numFmtId="0" fontId="103" fillId="0" borderId="0" applyAlignment="1" pivotButton="0" quotePrefix="0" xfId="0">
      <alignment horizontal="center" wrapText="1"/>
    </xf>
    <xf numFmtId="0" fontId="0" fillId="0" borderId="0" applyAlignment="1" pivotButton="0" quotePrefix="0" xfId="0">
      <alignment horizontal="center" wrapText="1"/>
    </xf>
    <xf numFmtId="0" fontId="93" fillId="0" borderId="0" applyAlignment="1" pivotButton="0" quotePrefix="0" xfId="0">
      <alignment horizontal="center" wrapText="1"/>
    </xf>
    <xf numFmtId="1" fontId="103" fillId="0" borderId="0" pivotButton="0" quotePrefix="0" xfId="0"/>
    <xf numFmtId="1" fontId="93" fillId="0" borderId="35" applyAlignment="1" pivotButton="0" quotePrefix="0" xfId="0">
      <alignment horizontal="right"/>
    </xf>
    <xf numFmtId="1" fontId="93" fillId="24" borderId="35" applyAlignment="1" pivotButton="0" quotePrefix="0" xfId="0">
      <alignment horizontal="right"/>
    </xf>
    <xf numFmtId="0" fontId="108" fillId="0" borderId="0" applyAlignment="1" pivotButton="0" quotePrefix="0" xfId="0">
      <alignment horizontal="center"/>
    </xf>
    <xf numFmtId="0" fontId="108" fillId="0" borderId="0" applyAlignment="1" pivotButton="0" quotePrefix="0" xfId="0">
      <alignment horizontal="right"/>
    </xf>
    <xf numFmtId="0" fontId="97" fillId="21" borderId="47" applyProtection="1" pivotButton="0" quotePrefix="0" xfId="0">
      <protection locked="0" hidden="0"/>
    </xf>
    <xf numFmtId="0" fontId="97" fillId="0" borderId="48" applyAlignment="1" pivotButton="0" quotePrefix="0" xfId="0">
      <alignment horizontal="right"/>
    </xf>
    <xf numFmtId="0" fontId="97" fillId="0" borderId="47" applyAlignment="1" pivotButton="0" quotePrefix="0" xfId="0">
      <alignment horizontal="right" wrapText="1"/>
    </xf>
    <xf numFmtId="0" fontId="97" fillId="0" borderId="0" applyAlignment="1" pivotButton="0" quotePrefix="0" xfId="0">
      <alignment horizontal="right"/>
    </xf>
    <xf numFmtId="0" fontId="97" fillId="21" borderId="49" applyProtection="1" pivotButton="0" quotePrefix="0" xfId="0">
      <protection locked="0" hidden="0"/>
    </xf>
    <xf numFmtId="0" fontId="97" fillId="21" borderId="67" applyProtection="1" pivotButton="0" quotePrefix="0" xfId="0">
      <protection locked="0" hidden="0"/>
    </xf>
    <xf numFmtId="0" fontId="97" fillId="21" borderId="41" applyProtection="1" pivotButton="0" quotePrefix="0" xfId="0">
      <protection locked="0" hidden="0"/>
    </xf>
    <xf numFmtId="0" fontId="97" fillId="21" borderId="68" applyProtection="1" pivotButton="0" quotePrefix="0" xfId="0">
      <protection locked="0" hidden="0"/>
    </xf>
    <xf numFmtId="0" fontId="97" fillId="21" borderId="69" applyProtection="1" pivotButton="0" quotePrefix="0" xfId="0">
      <protection locked="0" hidden="0"/>
    </xf>
    <xf numFmtId="0" fontId="97" fillId="0" borderId="70" applyAlignment="1" pivotButton="0" quotePrefix="0" xfId="0">
      <alignment horizontal="right" wrapText="1"/>
    </xf>
    <xf numFmtId="0" fontId="97" fillId="0" borderId="0" applyAlignment="1" pivotButton="0" quotePrefix="0" xfId="0">
      <alignment horizontal="center"/>
    </xf>
    <xf numFmtId="0" fontId="97" fillId="0" borderId="49" applyAlignment="1" pivotButton="0" quotePrefix="0" xfId="0">
      <alignment horizontal="center"/>
    </xf>
    <xf numFmtId="0" fontId="97" fillId="0" borderId="0" pivotButton="0" quotePrefix="0" xfId="0"/>
    <xf numFmtId="0" fontId="97" fillId="21" borderId="74" applyProtection="1" pivotButton="0" quotePrefix="0" xfId="0">
      <protection locked="0" hidden="0"/>
    </xf>
    <xf numFmtId="0" fontId="97" fillId="21" borderId="75" applyProtection="1" pivotButton="0" quotePrefix="0" xfId="0">
      <protection locked="0" hidden="0"/>
    </xf>
    <xf numFmtId="0" fontId="97" fillId="0" borderId="76" applyAlignment="1" pivotButton="0" quotePrefix="0" xfId="0">
      <alignment horizontal="right" wrapText="1"/>
    </xf>
    <xf numFmtId="0" fontId="97" fillId="0" borderId="77" applyAlignment="1" applyProtection="1" pivotButton="0" quotePrefix="0" xfId="0">
      <alignment horizontal="center"/>
      <protection locked="0" hidden="0"/>
    </xf>
    <xf numFmtId="0" fontId="97" fillId="0" borderId="78" applyAlignment="1" pivotButton="0" quotePrefix="0" xfId="0">
      <alignment horizontal="center"/>
    </xf>
    <xf numFmtId="0" fontId="97" fillId="0" borderId="78" pivotButton="0" quotePrefix="0" xfId="0"/>
    <xf numFmtId="0" fontId="97" fillId="0" borderId="79" applyAlignment="1" pivotButton="0" quotePrefix="0" xfId="0">
      <alignment horizontal="left"/>
    </xf>
    <xf numFmtId="0" fontId="0" fillId="21" borderId="0" pivotButton="0" quotePrefix="0" xfId="0"/>
    <xf numFmtId="0" fontId="0" fillId="21" borderId="0" applyAlignment="1" pivotButton="0" quotePrefix="0" xfId="0">
      <alignment horizontal="left"/>
    </xf>
    <xf numFmtId="0" fontId="97" fillId="0" borderId="36" applyAlignment="1" pivotButton="0" quotePrefix="0" xfId="0">
      <alignment horizontal="center"/>
    </xf>
    <xf numFmtId="0" fontId="97" fillId="0" borderId="42" applyAlignment="1" pivotButton="0" quotePrefix="0" xfId="0">
      <alignment horizontal="center"/>
    </xf>
    <xf numFmtId="0" fontId="89" fillId="0" borderId="41" applyAlignment="1" pivotButton="0" quotePrefix="0" xfId="0">
      <alignment horizontal="center"/>
    </xf>
    <xf numFmtId="0" fontId="97" fillId="22" borderId="0" applyAlignment="1" pivotButton="0" quotePrefix="0" xfId="0">
      <alignment horizontal="left"/>
    </xf>
    <xf numFmtId="0" fontId="0" fillId="22" borderId="0" applyAlignment="1" pivotButton="0" quotePrefix="0" xfId="0">
      <alignment horizontal="left"/>
    </xf>
    <xf numFmtId="0" fontId="97" fillId="0" borderId="0" applyProtection="1" pivotButton="0" quotePrefix="0" xfId="0">
      <protection locked="0" hidden="0"/>
    </xf>
    <xf numFmtId="0" fontId="108" fillId="0" borderId="0" pivotButton="0" quotePrefix="0" xfId="0"/>
    <xf numFmtId="1" fontId="97" fillId="0" borderId="80" applyAlignment="1" applyProtection="1" pivotButton="0" quotePrefix="0" xfId="0">
      <alignment horizontal="center"/>
      <protection locked="0" hidden="0"/>
    </xf>
    <xf numFmtId="1" fontId="97" fillId="0" borderId="82" pivotButton="0" quotePrefix="0" xfId="0"/>
    <xf numFmtId="1" fontId="97" fillId="0" borderId="80" applyAlignment="1" pivotButton="0" quotePrefix="0" xfId="0">
      <alignment horizontal="center"/>
    </xf>
    <xf numFmtId="1" fontId="97" fillId="0" borderId="83" applyAlignment="1" pivotButton="0" quotePrefix="0" xfId="0">
      <alignment horizontal="right"/>
    </xf>
    <xf numFmtId="1" fontId="97" fillId="21" borderId="81" applyAlignment="1" applyProtection="1" pivotButton="0" quotePrefix="0" xfId="0">
      <alignment horizontal="center"/>
      <protection locked="0" hidden="0"/>
    </xf>
    <xf numFmtId="1" fontId="97" fillId="0" borderId="81" applyAlignment="1" pivotButton="0" quotePrefix="0" xfId="0">
      <alignment horizontal="center"/>
    </xf>
    <xf numFmtId="1" fontId="97" fillId="0" borderId="84" applyAlignment="1" pivotButton="0" quotePrefix="0" xfId="0">
      <alignment horizontal="center"/>
    </xf>
    <xf numFmtId="1" fontId="97" fillId="0" borderId="85" applyAlignment="1" applyProtection="1" pivotButton="0" quotePrefix="0" xfId="0">
      <alignment horizontal="center"/>
      <protection locked="0" hidden="0"/>
    </xf>
    <xf numFmtId="1" fontId="97" fillId="0" borderId="72" applyAlignment="1" applyProtection="1" pivotButton="0" quotePrefix="0" xfId="0">
      <alignment horizontal="center"/>
      <protection locked="0" hidden="0"/>
    </xf>
    <xf numFmtId="1" fontId="97" fillId="0" borderId="86" pivotButton="0" quotePrefix="0" xfId="0"/>
    <xf numFmtId="1" fontId="97" fillId="0" borderId="85" applyAlignment="1" pivotButton="0" quotePrefix="0" xfId="0">
      <alignment horizontal="center"/>
    </xf>
    <xf numFmtId="1" fontId="97" fillId="0" borderId="73" applyAlignment="1" pivotButton="0" quotePrefix="0" xfId="0">
      <alignment horizontal="right"/>
    </xf>
    <xf numFmtId="1" fontId="97" fillId="21" borderId="72" applyAlignment="1" applyProtection="1" pivotButton="0" quotePrefix="0" xfId="0">
      <alignment horizontal="center"/>
      <protection locked="0" hidden="0"/>
    </xf>
    <xf numFmtId="1" fontId="97" fillId="0" borderId="72" applyAlignment="1" pivotButton="0" quotePrefix="0" xfId="0">
      <alignment horizontal="center"/>
    </xf>
    <xf numFmtId="1" fontId="97" fillId="0" borderId="71" applyAlignment="1" pivotButton="0" quotePrefix="0" xfId="0">
      <alignment horizontal="center"/>
    </xf>
    <xf numFmtId="1" fontId="0" fillId="21" borderId="72" applyProtection="1" pivotButton="0" quotePrefix="0" xfId="0">
      <protection locked="0" hidden="0"/>
    </xf>
    <xf numFmtId="0" fontId="0" fillId="0" borderId="72" pivotButton="0" quotePrefix="0" xfId="0"/>
    <xf numFmtId="1" fontId="0" fillId="21" borderId="73" applyProtection="1" pivotButton="0" quotePrefix="0" xfId="0">
      <protection locked="0" hidden="0"/>
    </xf>
    <xf numFmtId="1" fontId="97" fillId="21" borderId="73" applyProtection="1" pivotButton="0" quotePrefix="0" xfId="0">
      <protection locked="0" hidden="0"/>
    </xf>
    <xf numFmtId="1" fontId="97" fillId="0" borderId="88" pivotButton="0" quotePrefix="0" xfId="0"/>
    <xf numFmtId="1" fontId="97" fillId="0" borderId="89" applyAlignment="1" pivotButton="0" quotePrefix="0" xfId="0">
      <alignment horizontal="center"/>
    </xf>
    <xf numFmtId="1" fontId="97" fillId="0" borderId="90" applyAlignment="1" pivotButton="0" quotePrefix="0" xfId="0">
      <alignment horizontal="right"/>
    </xf>
    <xf numFmtId="1" fontId="97" fillId="21" borderId="91" applyAlignment="1" applyProtection="1" pivotButton="0" quotePrefix="0" xfId="0">
      <alignment horizontal="center"/>
      <protection locked="0" hidden="0"/>
    </xf>
    <xf numFmtId="1" fontId="97" fillId="21" borderId="87" applyProtection="1" pivotButton="0" quotePrefix="0" xfId="0">
      <protection locked="0" hidden="0"/>
    </xf>
    <xf numFmtId="1" fontId="97" fillId="21" borderId="79" applyAlignment="1" applyProtection="1" pivotButton="0" quotePrefix="0" xfId="0">
      <alignment horizontal="right"/>
      <protection locked="0" hidden="0"/>
    </xf>
    <xf numFmtId="1" fontId="97" fillId="0" borderId="78" applyAlignment="1" applyProtection="1" pivotButton="0" quotePrefix="0" xfId="0">
      <alignment horizontal="center"/>
      <protection locked="0" hidden="0"/>
    </xf>
    <xf numFmtId="1" fontId="97" fillId="0" borderId="78" applyProtection="1" pivotButton="0" quotePrefix="0" xfId="0">
      <protection locked="0" hidden="0"/>
    </xf>
    <xf numFmtId="1" fontId="97" fillId="21" borderId="78" applyAlignment="1" applyProtection="1" pivotButton="0" quotePrefix="0" xfId="0">
      <alignment horizontal="center"/>
      <protection locked="0" hidden="0"/>
    </xf>
    <xf numFmtId="1" fontId="97" fillId="21" borderId="87" applyAlignment="1" applyProtection="1" pivotButton="0" quotePrefix="0" xfId="0">
      <alignment horizontal="center"/>
      <protection locked="0" hidden="0"/>
    </xf>
    <xf numFmtId="1" fontId="97" fillId="0" borderId="87" applyAlignment="1" pivotButton="0" quotePrefix="0" xfId="0">
      <alignment horizontal="center"/>
    </xf>
    <xf numFmtId="1" fontId="97" fillId="0" borderId="77" applyAlignment="1" applyProtection="1" pivotButton="0" quotePrefix="0" xfId="0">
      <alignment horizontal="center"/>
      <protection locked="0" hidden="0"/>
    </xf>
    <xf numFmtId="1" fontId="97" fillId="21" borderId="78" applyProtection="1" pivotButton="0" quotePrefix="0" xfId="0">
      <protection locked="0" hidden="0"/>
    </xf>
    <xf numFmtId="0" fontId="0" fillId="0" borderId="0" applyAlignment="1" applyProtection="1" pivotButton="0" quotePrefix="0" xfId="0">
      <alignment horizontal="center"/>
      <protection locked="0" hidden="0"/>
    </xf>
    <xf numFmtId="1" fontId="97" fillId="21" borderId="79" applyProtection="1" pivotButton="0" quotePrefix="0" xfId="0">
      <protection locked="0" hidden="0"/>
    </xf>
    <xf numFmtId="0" fontId="97" fillId="0" borderId="94" applyAlignment="1" pivotButton="0" quotePrefix="0" xfId="0">
      <alignment horizontal="center"/>
    </xf>
    <xf numFmtId="0" fontId="97" fillId="0" borderId="47" applyAlignment="1" pivotButton="0" quotePrefix="0" xfId="0">
      <alignment horizontal="center"/>
    </xf>
    <xf numFmtId="0" fontId="103" fillId="0" borderId="16" pivotButton="0" quotePrefix="0" xfId="0"/>
    <xf numFmtId="0" fontId="97" fillId="0" borderId="16" pivotButton="0" quotePrefix="0" xfId="0"/>
    <xf numFmtId="0" fontId="97" fillId="0" borderId="16" applyAlignment="1" pivotButton="0" quotePrefix="0" xfId="0">
      <alignment vertical="top"/>
    </xf>
    <xf numFmtId="0" fontId="97" fillId="0" borderId="98" applyAlignment="1" pivotButton="0" quotePrefix="0" xfId="0">
      <alignment horizontal="center" wrapText="1"/>
    </xf>
    <xf numFmtId="0" fontId="97" fillId="0" borderId="15" pivotButton="0" quotePrefix="0" xfId="0"/>
    <xf numFmtId="0" fontId="109" fillId="0" borderId="0" pivotButton="0" quotePrefix="0" xfId="0"/>
    <xf numFmtId="0" fontId="0" fillId="0" borderId="0" pivotButton="0" quotePrefix="1" xfId="0"/>
    <xf numFmtId="1" fontId="93" fillId="0" borderId="0" pivotButton="0" quotePrefix="0" xfId="0"/>
    <xf numFmtId="0" fontId="0" fillId="0" borderId="60" pivotButton="0" quotePrefix="0" xfId="0"/>
    <xf numFmtId="0" fontId="0" fillId="0" borderId="61" pivotButton="0" quotePrefix="0" xfId="0"/>
    <xf numFmtId="0" fontId="97" fillId="0" borderId="62" applyAlignment="1" pivotButton="0" quotePrefix="0" xfId="0">
      <alignment horizontal="right" vertical="center"/>
    </xf>
    <xf numFmtId="0" fontId="0" fillId="0" borderId="63" pivotButton="0" quotePrefix="0" xfId="0"/>
    <xf numFmtId="0" fontId="0" fillId="0" borderId="64" pivotButton="0" quotePrefix="0" xfId="0"/>
    <xf numFmtId="0" fontId="93" fillId="0" borderId="0" applyAlignment="1" pivotButton="0" quotePrefix="0" xfId="0">
      <alignment horizontal="left" wrapText="1"/>
    </xf>
    <xf numFmtId="0" fontId="93" fillId="0" borderId="0" applyAlignment="1" pivotButton="0" quotePrefix="0" xfId="0">
      <alignment horizontal="left"/>
    </xf>
    <xf numFmtId="1" fontId="93" fillId="0" borderId="0" applyAlignment="1" pivotButton="0" quotePrefix="0" xfId="0">
      <alignment horizontal="center"/>
    </xf>
    <xf numFmtId="0" fontId="93" fillId="0" borderId="0" applyAlignment="1" pivotButton="0" quotePrefix="0" xfId="0">
      <alignment horizontal="right" wrapText="1"/>
    </xf>
    <xf numFmtId="0" fontId="0" fillId="0" borderId="65" pivotButton="0" quotePrefix="0" xfId="0"/>
    <xf numFmtId="0" fontId="0" fillId="0" borderId="66" pivotButton="0" quotePrefix="0" xfId="0"/>
    <xf numFmtId="0" fontId="0" fillId="0" borderId="15" pivotButton="0" quotePrefix="0" xfId="0"/>
    <xf numFmtId="1" fontId="97" fillId="0" borderId="80" pivotButton="0" quotePrefix="0" xfId="0"/>
    <xf numFmtId="1" fontId="97" fillId="0" borderId="81" pivotButton="0" quotePrefix="0" xfId="0"/>
    <xf numFmtId="1" fontId="97" fillId="0" borderId="83" pivotButton="0" quotePrefix="0" xfId="0"/>
    <xf numFmtId="1" fontId="97" fillId="0" borderId="85" pivotButton="0" quotePrefix="0" xfId="0"/>
    <xf numFmtId="1" fontId="97" fillId="0" borderId="72" pivotButton="0" quotePrefix="0" xfId="0"/>
    <xf numFmtId="1" fontId="97" fillId="0" borderId="73" pivotButton="0" quotePrefix="0" xfId="0"/>
    <xf numFmtId="1" fontId="97" fillId="0" borderId="91" pivotButton="0" quotePrefix="0" xfId="0"/>
    <xf numFmtId="1" fontId="97" fillId="0" borderId="87" pivotButton="0" quotePrefix="0" xfId="0"/>
    <xf numFmtId="1" fontId="97" fillId="0" borderId="79" applyAlignment="1" pivotButton="0" quotePrefix="0" xfId="0">
      <alignment horizontal="right"/>
    </xf>
    <xf numFmtId="1" fontId="97" fillId="0" borderId="78" applyAlignment="1" pivotButton="0" quotePrefix="0" xfId="0">
      <alignment horizontal="center"/>
    </xf>
    <xf numFmtId="1" fontId="97" fillId="0" borderId="77" applyAlignment="1" pivotButton="0" quotePrefix="0" xfId="0">
      <alignment horizontal="center"/>
    </xf>
    <xf numFmtId="1" fontId="97" fillId="0" borderId="78" pivotButton="0" quotePrefix="0" xfId="0"/>
    <xf numFmtId="1" fontId="97" fillId="0" borderId="79" pivotButton="0" quotePrefix="0" xfId="0"/>
    <xf numFmtId="0" fontId="93" fillId="0" borderId="36" applyAlignment="1" pivotButton="0" quotePrefix="0" xfId="0">
      <alignment horizontal="center"/>
    </xf>
    <xf numFmtId="0" fontId="93" fillId="0" borderId="42" applyAlignment="1" pivotButton="0" quotePrefix="0" xfId="0">
      <alignment horizontal="center"/>
    </xf>
    <xf numFmtId="0" fontId="93" fillId="0" borderId="41" applyAlignment="1" pivotButton="0" quotePrefix="0" xfId="0">
      <alignment horizontal="center"/>
    </xf>
    <xf numFmtId="1" fontId="0" fillId="0" borderId="0" pivotButton="0" quotePrefix="0" xfId="0"/>
    <xf numFmtId="0" fontId="93" fillId="0" borderId="0" pivotButton="0" quotePrefix="1" xfId="0"/>
    <xf numFmtId="0" fontId="97" fillId="0" borderId="48" applyAlignment="1" pivotButton="0" quotePrefix="0" xfId="0">
      <alignment horizontal="center"/>
    </xf>
    <xf numFmtId="1" fontId="97" fillId="21" borderId="83" applyProtection="1" pivotButton="0" quotePrefix="0" xfId="0">
      <protection locked="0" hidden="0"/>
    </xf>
    <xf numFmtId="1" fontId="0" fillId="21" borderId="83" applyProtection="1" pivotButton="0" quotePrefix="0" xfId="0">
      <protection locked="0" hidden="0"/>
    </xf>
    <xf numFmtId="0" fontId="0" fillId="0" borderId="81" pivotButton="0" quotePrefix="0" xfId="0"/>
    <xf numFmtId="1" fontId="0" fillId="21" borderId="81" applyProtection="1" pivotButton="0" quotePrefix="0" xfId="0">
      <protection locked="0" hidden="0"/>
    </xf>
    <xf numFmtId="1" fontId="97" fillId="0" borderId="81" applyAlignment="1" applyProtection="1" pivotButton="0" quotePrefix="0" xfId="0">
      <alignment horizontal="center"/>
      <protection locked="0" hidden="0"/>
    </xf>
    <xf numFmtId="1" fontId="0" fillId="18" borderId="0" applyAlignment="1" pivotButton="0" quotePrefix="0" xfId="0">
      <alignment horizontal="right"/>
    </xf>
    <xf numFmtId="1" fontId="0" fillId="18" borderId="0" applyAlignment="1" pivotButton="0" quotePrefix="0" xfId="0">
      <alignment horizontal="left"/>
    </xf>
    <xf numFmtId="0" fontId="97" fillId="0" borderId="102" pivotButton="0" quotePrefix="0" xfId="0"/>
    <xf numFmtId="0" fontId="97" fillId="0" borderId="103" pivotButton="0" quotePrefix="0" xfId="0"/>
    <xf numFmtId="0" fontId="97" fillId="0" borderId="104" pivotButton="0" quotePrefix="0" xfId="0"/>
    <xf numFmtId="0" fontId="97" fillId="0" borderId="0" applyAlignment="1" pivotButton="0" quotePrefix="0" xfId="0">
      <alignment horizontal="right" wrapText="1"/>
    </xf>
    <xf numFmtId="0" fontId="0" fillId="0" borderId="0" applyAlignment="1" pivotButton="0" quotePrefix="0" xfId="0">
      <alignment horizontal="right"/>
    </xf>
    <xf numFmtId="0" fontId="2" fillId="4" borderId="3"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8" applyAlignment="1" pivotButton="0" quotePrefix="0" xfId="0">
      <alignment horizontal="center" vertical="center" wrapText="1"/>
    </xf>
    <xf numFmtId="0" fontId="93" fillId="0" borderId="44" applyAlignment="1" pivotButton="0" quotePrefix="0" xfId="0">
      <alignment horizontal="center"/>
    </xf>
    <xf numFmtId="0" fontId="93" fillId="0" borderId="55" applyAlignment="1" pivotButton="0" quotePrefix="0" xfId="0">
      <alignment horizontal="center"/>
    </xf>
    <xf numFmtId="0" fontId="93" fillId="0" borderId="47" applyAlignment="1" pivotButton="0" quotePrefix="0" xfId="0">
      <alignment horizontal="center"/>
    </xf>
    <xf numFmtId="0" fontId="93" fillId="0" borderId="49" applyAlignment="1" pivotButton="0" quotePrefix="0" xfId="0">
      <alignment horizontal="center"/>
    </xf>
    <xf numFmtId="1" fontId="0" fillId="6" borderId="0" applyProtection="1" pivotButton="0" quotePrefix="0" xfId="0">
      <protection locked="0" hidden="0"/>
    </xf>
    <xf numFmtId="0" fontId="93" fillId="22" borderId="0" applyAlignment="1" applyProtection="1" pivotButton="0" quotePrefix="0" xfId="0">
      <alignment horizontal="center"/>
      <protection locked="0" hidden="0"/>
    </xf>
    <xf numFmtId="2" fontId="93" fillId="21" borderId="0" applyAlignment="1" applyProtection="1" pivotButton="0" quotePrefix="0" xfId="0">
      <alignment horizontal="center"/>
      <protection locked="0" hidden="0"/>
    </xf>
    <xf numFmtId="0" fontId="93" fillId="21" borderId="0" applyAlignment="1" applyProtection="1" pivotButton="0" quotePrefix="0" xfId="0">
      <alignment horizontal="center"/>
      <protection locked="0" hidden="0"/>
    </xf>
    <xf numFmtId="0" fontId="112" fillId="16" borderId="31" pivotButton="0" quotePrefix="0" xfId="0"/>
    <xf numFmtId="1" fontId="113" fillId="16" borderId="31" pivotButton="0" quotePrefix="0" xfId="0"/>
    <xf numFmtId="1" fontId="113" fillId="0" borderId="31" pivotButton="0" quotePrefix="0" xfId="0"/>
    <xf numFmtId="0" fontId="93" fillId="0" borderId="116" pivotButton="0" quotePrefix="0" xfId="0"/>
    <xf numFmtId="0" fontId="97" fillId="21" borderId="116" applyProtection="1" pivotButton="0" quotePrefix="0" xfId="0">
      <protection locked="0" hidden="0"/>
    </xf>
    <xf numFmtId="0" fontId="93" fillId="0" borderId="116" applyAlignment="1" pivotButton="0" quotePrefix="0" xfId="0">
      <alignment horizontal="center"/>
    </xf>
    <xf numFmtId="0" fontId="93" fillId="0" borderId="113" pivotButton="0" quotePrefix="0" xfId="0"/>
    <xf numFmtId="0" fontId="93" fillId="25" borderId="116" applyAlignment="1" pivotButton="0" quotePrefix="0" xfId="0">
      <alignment horizontal="center"/>
    </xf>
    <xf numFmtId="1" fontId="93" fillId="0" borderId="116" pivotButton="0" quotePrefix="0" xfId="0"/>
    <xf numFmtId="1" fontId="93" fillId="0" borderId="113" pivotButton="0" quotePrefix="0" xfId="0"/>
    <xf numFmtId="0" fontId="113" fillId="0" borderId="31" pivotButton="0" quotePrefix="0" xfId="0"/>
    <xf numFmtId="0" fontId="113" fillId="16" borderId="31" pivotButton="0" quotePrefix="0" xfId="0"/>
    <xf numFmtId="0" fontId="113" fillId="16" borderId="31" applyAlignment="1" pivotButton="0" quotePrefix="0" xfId="0">
      <alignment horizontal="center"/>
    </xf>
    <xf numFmtId="0" fontId="113" fillId="16" borderId="31" pivotButton="0" quotePrefix="0" xfId="10"/>
    <xf numFmtId="0" fontId="112" fillId="16" borderId="31" pivotButton="0" quotePrefix="0" xfId="10"/>
    <xf numFmtId="0" fontId="113" fillId="16" borderId="31" applyAlignment="1" pivotButton="0" quotePrefix="0" xfId="9">
      <alignment horizontal="center"/>
    </xf>
    <xf numFmtId="0" fontId="7" fillId="0" borderId="31" pivotButton="0" quotePrefix="0" xfId="0"/>
    <xf numFmtId="0" fontId="112" fillId="16" borderId="31" applyAlignment="1" pivotButton="0" quotePrefix="0" xfId="0">
      <alignment horizontal="center"/>
    </xf>
    <xf numFmtId="0" fontId="113" fillId="0" borderId="31" pivotButton="0" quotePrefix="0" xfId="10"/>
    <xf numFmtId="0" fontId="113" fillId="0" borderId="31" applyAlignment="1" pivotButton="0" quotePrefix="0" xfId="10">
      <alignment horizontal="center"/>
    </xf>
    <xf numFmtId="0" fontId="0" fillId="0" borderId="31" applyAlignment="1" pivotButton="0" quotePrefix="0" xfId="0">
      <alignment horizontal="center"/>
    </xf>
    <xf numFmtId="0" fontId="112" fillId="0" borderId="31" pivotButton="0" quotePrefix="0" xfId="10"/>
    <xf numFmtId="0" fontId="113" fillId="16" borderId="31" applyAlignment="1" pivotButton="0" quotePrefix="0" xfId="10">
      <alignment horizontal="center"/>
    </xf>
    <xf numFmtId="0" fontId="7" fillId="0" borderId="31" applyAlignment="1" pivotButton="0" quotePrefix="0" xfId="0">
      <alignment horizontal="center"/>
    </xf>
    <xf numFmtId="0" fontId="113" fillId="28" borderId="31" pivotButton="0" quotePrefix="0" xfId="0"/>
    <xf numFmtId="0" fontId="0" fillId="28" borderId="31" applyAlignment="1" pivotButton="0" quotePrefix="0" xfId="0">
      <alignment horizontal="center"/>
    </xf>
    <xf numFmtId="0" fontId="0" fillId="28" borderId="31" pivotButton="0" quotePrefix="0" xfId="0"/>
    <xf numFmtId="0" fontId="112" fillId="28" borderId="31" pivotButton="0" quotePrefix="0" xfId="0"/>
    <xf numFmtId="0" fontId="110" fillId="0" borderId="0" applyAlignment="1" pivotButton="0" quotePrefix="0" xfId="0">
      <alignment horizontal="center" wrapText="1"/>
    </xf>
    <xf numFmtId="0" fontId="108" fillId="29" borderId="0" applyAlignment="1" pivotButton="0" quotePrefix="0" xfId="0">
      <alignment horizontal="center"/>
    </xf>
    <xf numFmtId="0" fontId="0" fillId="29" borderId="0" pivotButton="0" quotePrefix="0" xfId="0"/>
    <xf numFmtId="0" fontId="97" fillId="29" borderId="0" pivotButton="0" quotePrefix="0" xfId="0"/>
    <xf numFmtId="0" fontId="0" fillId="29" borderId="0" applyAlignment="1" pivotButton="0" quotePrefix="0" xfId="0">
      <alignment horizontal="center" wrapText="1"/>
    </xf>
    <xf numFmtId="0" fontId="93" fillId="29" borderId="0" applyAlignment="1" pivotButton="0" quotePrefix="0" xfId="0">
      <alignment horizontal="center" wrapText="1"/>
    </xf>
    <xf numFmtId="0" fontId="93" fillId="0" borderId="21" applyAlignment="1" pivotButton="0" quotePrefix="0" xfId="0">
      <alignment horizontal="right" wrapText="1"/>
    </xf>
    <xf numFmtId="17" fontId="0" fillId="0" borderId="0" pivotButton="0" quotePrefix="0" xfId="0"/>
    <xf numFmtId="0" fontId="0" fillId="0" borderId="31" pivotButton="0" quotePrefix="0" xfId="0"/>
    <xf numFmtId="0" fontId="0" fillId="15" borderId="31" applyAlignment="1" pivotButton="0" quotePrefix="0" xfId="0">
      <alignment horizontal="right"/>
    </xf>
    <xf numFmtId="0" fontId="0" fillId="15" borderId="31" pivotButton="0" quotePrefix="0" xfId="0"/>
    <xf numFmtId="0" fontId="113" fillId="0" borderId="31" applyAlignment="1" pivotButton="0" quotePrefix="0" xfId="0">
      <alignment horizontal="center"/>
    </xf>
    <xf numFmtId="0" fontId="113" fillId="0" borderId="31" applyAlignment="1" pivotButton="0" quotePrefix="0" xfId="9">
      <alignment horizontal="center"/>
    </xf>
    <xf numFmtId="0" fontId="112" fillId="0" borderId="31" pivotButton="0" quotePrefix="0" xfId="0"/>
    <xf numFmtId="0" fontId="113" fillId="15" borderId="31" pivotButton="0" quotePrefix="0" xfId="0"/>
    <xf numFmtId="0" fontId="113" fillId="15" borderId="31" applyAlignment="1" pivotButton="0" quotePrefix="0" xfId="0">
      <alignment horizontal="center"/>
    </xf>
    <xf numFmtId="0" fontId="112" fillId="15" borderId="31" pivotButton="0" quotePrefix="0" xfId="0"/>
    <xf numFmtId="0" fontId="113" fillId="28" borderId="31" applyAlignment="1" pivotButton="0" quotePrefix="0" xfId="0">
      <alignment horizontal="center"/>
    </xf>
    <xf numFmtId="0" fontId="115" fillId="28" borderId="31" applyAlignment="1" pivotButton="0" quotePrefix="0" xfId="0">
      <alignment horizontal="center" vertical="center" wrapText="1"/>
    </xf>
    <xf numFmtId="0" fontId="115" fillId="28" borderId="31" pivotButton="0" quotePrefix="0" xfId="0"/>
    <xf numFmtId="0" fontId="115" fillId="28" borderId="31" applyAlignment="1" pivotButton="0" quotePrefix="0" xfId="0">
      <alignment horizontal="center"/>
    </xf>
    <xf numFmtId="0" fontId="114" fillId="27" borderId="31" pivotButton="0" quotePrefix="0" xfId="10"/>
    <xf numFmtId="0" fontId="0" fillId="0" borderId="84" pivotButton="0" quotePrefix="0" xfId="0"/>
    <xf numFmtId="1" fontId="0" fillId="0" borderId="0" applyAlignment="1" pivotButton="0" quotePrefix="0" xfId="0">
      <alignment horizontal="center"/>
    </xf>
    <xf numFmtId="0" fontId="0" fillId="0" borderId="0" pivotButton="0" quotePrefix="0" xfId="0"/>
    <xf numFmtId="0" fontId="0" fillId="0" borderId="0" applyAlignment="1" pivotButton="0" quotePrefix="0" xfId="0">
      <alignment horizontal="center"/>
    </xf>
    <xf numFmtId="1" fontId="0" fillId="0" borderId="0" applyAlignment="1" pivotButton="0" quotePrefix="0" xfId="0">
      <alignment horizontal="left"/>
    </xf>
    <xf numFmtId="1" fontId="0" fillId="0" borderId="0" applyAlignment="1" pivotButton="0" quotePrefix="0" xfId="0">
      <alignment horizontal="right"/>
    </xf>
    <xf numFmtId="0" fontId="0" fillId="0" borderId="0" applyAlignment="1" pivotButton="0" quotePrefix="0" xfId="0">
      <alignment horizontal="left"/>
    </xf>
    <xf numFmtId="0" fontId="100" fillId="0" borderId="0" applyAlignment="1" pivotButton="0" quotePrefix="0" xfId="1">
      <alignment horizontal="left"/>
    </xf>
    <xf numFmtId="0" fontId="6" fillId="0" borderId="0" pivotButton="0" quotePrefix="0" xfId="0"/>
    <xf numFmtId="0" fontId="0" fillId="0" borderId="21" pivotButton="0" quotePrefix="0" xfId="0"/>
    <xf numFmtId="0" fontId="0" fillId="0" borderId="22" pivotButton="0" quotePrefix="0" xfId="0"/>
    <xf numFmtId="0" fontId="0" fillId="0" borderId="37" pivotButton="0" quotePrefix="0" xfId="0"/>
    <xf numFmtId="0" fontId="0" fillId="0" borderId="42" pivotButton="0" quotePrefix="0" xfId="0"/>
    <xf numFmtId="0" fontId="7" fillId="0" borderId="0" pivotButton="0" quotePrefix="0" xfId="7"/>
    <xf numFmtId="0" fontId="0" fillId="0" borderId="19" pivotButton="0" quotePrefix="0" xfId="0"/>
    <xf numFmtId="0" fontId="10" fillId="0" borderId="32" pivotButton="0" quotePrefix="0" xfId="7"/>
    <xf numFmtId="0" fontId="0" fillId="0" borderId="16" pivotButton="0" quotePrefix="0" xfId="0"/>
    <xf numFmtId="0" fontId="0" fillId="0" borderId="20" pivotButton="0" quotePrefix="0" xfId="0"/>
    <xf numFmtId="0" fontId="0" fillId="0" borderId="17" pivotButton="0" quotePrefix="0" xfId="0"/>
    <xf numFmtId="0" fontId="2" fillId="4" borderId="6" applyAlignment="1" pivotButton="0" quotePrefix="0" xfId="0">
      <alignment horizontal="center" vertical="center" wrapText="1"/>
    </xf>
    <xf numFmtId="0" fontId="2" fillId="4" borderId="9" applyAlignment="1" pivotButton="0" quotePrefix="0" xfId="0">
      <alignment horizontal="center" vertical="center" wrapText="1"/>
    </xf>
    <xf numFmtId="0" fontId="93" fillId="0" borderId="31" applyAlignment="1" pivotButton="0" quotePrefix="0" xfId="0">
      <alignment horizontal="center"/>
    </xf>
    <xf numFmtId="0" fontId="0" fillId="0" borderId="30" pivotButton="0" quotePrefix="0" xfId="0"/>
    <xf numFmtId="0" fontId="0" fillId="0" borderId="49" pivotButton="0" quotePrefix="0" xfId="0"/>
    <xf numFmtId="0" fontId="93" fillId="0" borderId="48" applyAlignment="1" pivotButton="0" quotePrefix="0" xfId="0">
      <alignment horizontal="center"/>
    </xf>
    <xf numFmtId="0" fontId="0" fillId="0" borderId="48" pivotButton="0" quotePrefix="0" xfId="0"/>
    <xf numFmtId="0" fontId="103" fillId="0" borderId="0" pivotButton="0" quotePrefix="0" xfId="0"/>
    <xf numFmtId="0" fontId="0" fillId="0" borderId="36" pivotButton="0" quotePrefix="0" xfId="0"/>
    <xf numFmtId="0" fontId="0" fillId="0" borderId="116" pivotButton="0" quotePrefix="0" xfId="0"/>
    <xf numFmtId="0" fontId="93" fillId="0" borderId="0" pivotButton="0" quotePrefix="0" xfId="0"/>
    <xf numFmtId="0" fontId="0" fillId="0" borderId="47" pivotButton="0" quotePrefix="0" xfId="0"/>
    <xf numFmtId="0" fontId="0" fillId="0" borderId="18" pivotButton="0" quotePrefix="0" xfId="0"/>
    <xf numFmtId="164" fontId="0" fillId="0" borderId="0" applyAlignment="1" pivotButton="0" quotePrefix="0" xfId="0">
      <alignment horizontal="left"/>
    </xf>
    <xf numFmtId="164" fontId="0" fillId="0" borderId="0" pivotButton="0" quotePrefix="0" xfId="0"/>
    <xf numFmtId="164" fontId="0" fillId="0" borderId="19" pivotButton="0" quotePrefix="0" xfId="0"/>
    <xf numFmtId="165" fontId="0" fillId="0" borderId="0" pivotButton="0" quotePrefix="0" xfId="0"/>
    <xf numFmtId="166" fontId="0" fillId="0" borderId="0" pivotButton="0" quotePrefix="0" xfId="0"/>
    <xf numFmtId="167" fontId="0" fillId="0" borderId="0" pivotButton="0" quotePrefix="0" xfId="6"/>
    <xf numFmtId="164" fontId="0" fillId="6" borderId="0" applyProtection="1" pivotButton="0" quotePrefix="0" xfId="0">
      <protection locked="0" hidden="0"/>
    </xf>
    <xf numFmtId="164" fontId="0" fillId="14" borderId="18" pivotButton="0" quotePrefix="0" xfId="0"/>
    <xf numFmtId="164" fontId="0" fillId="14" borderId="19" pivotButton="0" quotePrefix="0" xfId="0"/>
    <xf numFmtId="164" fontId="0" fillId="13" borderId="0" pivotButton="0" quotePrefix="0" xfId="0"/>
    <xf numFmtId="164" fontId="0" fillId="0" borderId="0" applyAlignment="1" pivotButton="0" quotePrefix="0" xfId="0">
      <alignment horizontal="right"/>
    </xf>
    <xf numFmtId="164" fontId="0" fillId="0" borderId="0" applyAlignment="1" pivotButton="0" quotePrefix="0" xfId="0">
      <alignment horizontal="center"/>
    </xf>
    <xf numFmtId="164" fontId="0" fillId="0" borderId="19" applyAlignment="1" pivotButton="0" quotePrefix="0" xfId="0">
      <alignment horizontal="center"/>
    </xf>
    <xf numFmtId="164" fontId="0" fillId="0" borderId="31" applyAlignment="1" pivotButton="0" quotePrefix="0" xfId="0">
      <alignment horizontal="center" wrapText="1"/>
    </xf>
    <xf numFmtId="164" fontId="0" fillId="0" borderId="33" applyAlignment="1" pivotButton="0" quotePrefix="0" xfId="0">
      <alignment horizontal="center" wrapText="1"/>
    </xf>
    <xf numFmtId="164" fontId="0" fillId="0" borderId="18" applyAlignment="1" pivotButton="0" quotePrefix="0" xfId="0">
      <alignment horizontal="center"/>
    </xf>
    <xf numFmtId="168" fontId="0" fillId="0" borderId="0" applyAlignment="1" pivotButton="0" quotePrefix="0" xfId="0">
      <alignment horizontal="center"/>
    </xf>
    <xf numFmtId="168" fontId="0" fillId="0" borderId="19" applyAlignment="1" pivotButton="0" quotePrefix="0" xfId="0">
      <alignment horizontal="center"/>
    </xf>
    <xf numFmtId="164" fontId="0" fillId="0" borderId="21" applyAlignment="1" pivotButton="0" quotePrefix="0" xfId="0">
      <alignment horizontal="center"/>
    </xf>
    <xf numFmtId="164" fontId="0" fillId="0" borderId="20" applyAlignment="1" pivotButton="0" quotePrefix="0" xfId="0">
      <alignment horizontal="center"/>
    </xf>
    <xf numFmtId="168" fontId="0" fillId="0" borderId="21" applyAlignment="1" pivotButton="0" quotePrefix="0" xfId="0">
      <alignment horizontal="center"/>
    </xf>
    <xf numFmtId="168" fontId="0" fillId="0" borderId="22" applyAlignment="1" pivotButton="0" quotePrefix="0" xfId="0">
      <alignment horizontal="center"/>
    </xf>
    <xf numFmtId="164" fontId="7" fillId="0" borderId="21" applyAlignment="1" pivotButton="0" quotePrefix="0" xfId="7">
      <alignment horizontal="left"/>
    </xf>
    <xf numFmtId="164" fontId="7" fillId="0" borderId="40" applyAlignment="1" pivotButton="0" quotePrefix="0" xfId="7">
      <alignment horizontal="left"/>
    </xf>
    <xf numFmtId="169" fontId="97" fillId="0" borderId="99" applyAlignment="1" pivotButton="0" quotePrefix="0" xfId="0">
      <alignment horizontal="center" vertical="center"/>
    </xf>
    <xf numFmtId="165" fontId="97" fillId="0" borderId="100" applyAlignment="1" pivotButton="0" quotePrefix="0" xfId="0">
      <alignment horizontal="center" vertical="center"/>
    </xf>
    <xf numFmtId="169" fontId="97" fillId="0" borderId="101" applyAlignment="1" pivotButton="0" quotePrefix="0" xfId="0">
      <alignment horizontal="center" vertical="center"/>
    </xf>
    <xf numFmtId="166" fontId="97" fillId="0" borderId="78" applyAlignment="1" pivotButton="0" quotePrefix="0" xfId="0">
      <alignment horizontal="center"/>
    </xf>
    <xf numFmtId="165" fontId="97" fillId="0" borderId="103" pivotButton="0" quotePrefix="0" xfId="0"/>
    <xf numFmtId="164" fontId="97" fillId="21" borderId="0" applyProtection="1" pivotButton="0" quotePrefix="0" xfId="0">
      <protection locked="0" hidden="0"/>
    </xf>
    <xf numFmtId="164" fontId="97" fillId="21" borderId="113" applyProtection="1" pivotButton="0" quotePrefix="0" xfId="0">
      <protection locked="0" hidden="0"/>
    </xf>
    <xf numFmtId="166" fontId="97" fillId="22" borderId="67" applyProtection="1" pivotButton="0" quotePrefix="0" xfId="0">
      <protection locked="0" hidden="0"/>
    </xf>
    <xf numFmtId="166" fontId="97" fillId="22" borderId="49" applyProtection="1" pivotButton="0" quotePrefix="0" xfId="0">
      <protection locked="0" hidden="0"/>
    </xf>
    <xf numFmtId="164" fontId="97" fillId="0" borderId="48" pivotButton="0" quotePrefix="0" xfId="0"/>
    <xf numFmtId="164" fontId="97" fillId="0" borderId="49" pivotButton="0" quotePrefix="0" xfId="0"/>
    <xf numFmtId="164" fontId="93" fillId="0" borderId="116" pivotButton="0" quotePrefix="0" xfId="0"/>
    <xf numFmtId="164" fontId="93" fillId="0" borderId="113" pivotButton="0" quotePrefix="0" xfId="0"/>
    <xf numFmtId="164" fontId="93" fillId="0" borderId="0" applyAlignment="1" pivotButton="0" quotePrefix="0" xfId="0">
      <alignment horizontal="right"/>
    </xf>
    <xf numFmtId="164" fontId="93" fillId="0" borderId="0" applyAlignment="1" pivotButton="0" quotePrefix="0" xfId="0">
      <alignment horizontal="center"/>
    </xf>
    <xf numFmtId="164" fontId="93" fillId="0" borderId="41" pivotButton="0" quotePrefix="0" xfId="0"/>
    <xf numFmtId="164" fontId="93" fillId="0" borderId="36" pivotButton="0" quotePrefix="0" xfId="0"/>
    <xf numFmtId="164" fontId="93" fillId="0" borderId="44" pivotButton="0" quotePrefix="0" xfId="0"/>
    <xf numFmtId="164" fontId="93" fillId="0" borderId="55" pivotButton="0" quotePrefix="0" xfId="0"/>
    <xf numFmtId="169" fontId="93" fillId="0" borderId="0" applyAlignment="1" pivotButton="0" quotePrefix="0" xfId="0">
      <alignment horizontal="center"/>
    </xf>
    <xf numFmtId="169" fontId="93" fillId="0" borderId="0" pivotButton="0" quotePrefix="0" xfId="0"/>
    <xf numFmtId="169" fontId="93" fillId="0" borderId="21" pivotButton="0" quotePrefix="0" xfId="0"/>
    <xf numFmtId="169" fontId="93" fillId="0" borderId="0" applyAlignment="1" pivotButton="0" quotePrefix="0" xfId="0">
      <alignment horizontal="right"/>
    </xf>
    <xf numFmtId="165" fontId="93" fillId="0" borderId="0" pivotButton="0" quotePrefix="0" xfId="0"/>
    <xf numFmtId="164" fontId="93" fillId="0" borderId="38" pivotButton="0" quotePrefix="0" xfId="0"/>
    <xf numFmtId="164" fontId="93" fillId="0" borderId="37" pivotButton="0" quotePrefix="0" xfId="0"/>
    <xf numFmtId="164" fontId="0" fillId="0" borderId="38" pivotButton="0" quotePrefix="0" xfId="0"/>
    <xf numFmtId="0" fontId="108" fillId="0" borderId="105" applyAlignment="1" pivotButton="0" quotePrefix="0" xfId="0">
      <alignment horizontal="center"/>
    </xf>
    <xf numFmtId="0" fontId="0" fillId="0" borderId="71" pivotButton="0" quotePrefix="0" xfId="0"/>
    <xf numFmtId="0" fontId="108" fillId="0" borderId="106" applyAlignment="1" pivotButton="0" quotePrefix="0" xfId="0">
      <alignment horizontal="center"/>
    </xf>
    <xf numFmtId="0" fontId="0" fillId="0" borderId="84" pivotButton="0" quotePrefix="0" xfId="0"/>
    <xf numFmtId="1" fontId="0" fillId="0" borderId="0" applyAlignment="1" pivotButton="0" quotePrefix="0" xfId="0">
      <alignment horizontal="center"/>
    </xf>
    <xf numFmtId="0" fontId="0" fillId="0" borderId="0" pivotButton="0" quotePrefix="0" xfId="0"/>
    <xf numFmtId="0" fontId="0" fillId="0" borderId="0" applyAlignment="1" pivotButton="0" quotePrefix="0" xfId="0">
      <alignment horizontal="center"/>
    </xf>
    <xf numFmtId="0" fontId="0" fillId="6" borderId="55" applyAlignment="1" pivotButton="0" quotePrefix="0" xfId="0">
      <alignment horizontal="center"/>
    </xf>
    <xf numFmtId="0" fontId="0" fillId="0" borderId="45" pivotButton="0" quotePrefix="0" xfId="0"/>
    <xf numFmtId="0" fontId="0" fillId="0" borderId="55" pivotButton="0" quotePrefix="0" xfId="0"/>
    <xf numFmtId="1" fontId="0" fillId="0" borderId="0" applyAlignment="1" pivotButton="0" quotePrefix="0" xfId="0">
      <alignment horizontal="left"/>
    </xf>
    <xf numFmtId="1" fontId="0" fillId="0" borderId="0" applyAlignment="1" pivotButton="0" quotePrefix="0" xfId="0">
      <alignment horizontal="right"/>
    </xf>
    <xf numFmtId="0" fontId="88" fillId="0" borderId="0" applyAlignment="1" pivotButton="0" quotePrefix="0" xfId="1">
      <alignment horizontal="center"/>
    </xf>
    <xf numFmtId="1" fontId="88" fillId="0" borderId="0" applyAlignment="1" pivotButton="0" quotePrefix="0" xfId="1">
      <alignment horizontal="center"/>
    </xf>
    <xf numFmtId="0" fontId="99" fillId="0" borderId="0" applyAlignment="1" pivotButton="0" quotePrefix="0" xfId="1">
      <alignment horizontal="left"/>
    </xf>
    <xf numFmtId="0" fontId="0" fillId="0" borderId="0" applyAlignment="1" pivotButton="0" quotePrefix="0" xfId="0">
      <alignment horizontal="left"/>
    </xf>
    <xf numFmtId="0" fontId="100" fillId="0" borderId="0" applyAlignment="1" pivotButton="0" quotePrefix="0" xfId="1">
      <alignment horizontal="left"/>
    </xf>
    <xf numFmtId="0" fontId="100" fillId="0" borderId="0" applyAlignment="1" pivotButton="0" quotePrefix="1" xfId="1">
      <alignment horizontal="left"/>
    </xf>
    <xf numFmtId="0" fontId="99" fillId="0" borderId="0" applyAlignment="1" pivotButton="0" quotePrefix="1" xfId="1">
      <alignment horizontal="left"/>
    </xf>
    <xf numFmtId="0" fontId="92" fillId="0" borderId="0" applyAlignment="1" pivotButton="0" quotePrefix="0" xfId="1">
      <alignment horizontal="center"/>
    </xf>
    <xf numFmtId="0" fontId="6" fillId="0" borderId="0" pivotButton="0" quotePrefix="0" xfId="0"/>
    <xf numFmtId="1" fontId="92" fillId="0" borderId="0" applyAlignment="1" pivotButton="0" quotePrefix="0" xfId="1">
      <alignment horizontal="center"/>
    </xf>
    <xf numFmtId="0" fontId="10" fillId="0" borderId="51" pivotButton="0" quotePrefix="0" xfId="7"/>
    <xf numFmtId="0" fontId="0" fillId="0" borderId="107" pivotButton="0" quotePrefix="0" xfId="0"/>
    <xf numFmtId="0" fontId="7" fillId="0" borderId="22" applyAlignment="1" pivotButton="0" quotePrefix="0" xfId="7">
      <alignment vertical="top" wrapText="1"/>
    </xf>
    <xf numFmtId="0" fontId="0" fillId="0" borderId="21" pivotButton="0" quotePrefix="0" xfId="0"/>
    <xf numFmtId="0" fontId="0" fillId="0" borderId="22" pivotButton="0" quotePrefix="0" xfId="0"/>
    <xf numFmtId="0" fontId="7" fillId="0" borderId="108" applyAlignment="1" pivotButton="0" quotePrefix="0" xfId="7">
      <alignment horizontal="center"/>
    </xf>
    <xf numFmtId="0" fontId="0" fillId="0" borderId="52" pivotButton="0" quotePrefix="0" xfId="0"/>
    <xf numFmtId="0" fontId="7" fillId="0" borderId="109" applyAlignment="1" pivotButton="0" quotePrefix="0" xfId="7">
      <alignment horizontal="center"/>
    </xf>
    <xf numFmtId="0" fontId="0" fillId="0" borderId="37" pivotButton="0" quotePrefix="0" xfId="0"/>
    <xf numFmtId="0" fontId="10" fillId="0" borderId="110" applyAlignment="1" pivotButton="0" quotePrefix="0" xfId="7">
      <alignment horizontal="left"/>
    </xf>
    <xf numFmtId="0" fontId="0" fillId="0" borderId="42" pivotButton="0" quotePrefix="0" xfId="0"/>
    <xf numFmtId="0" fontId="0" fillId="0" borderId="43" pivotButton="0" quotePrefix="0" xfId="0"/>
    <xf numFmtId="0" fontId="98" fillId="0" borderId="46" applyAlignment="1" applyProtection="1" pivotButton="0" quotePrefix="0" xfId="7">
      <alignment horizontal="left"/>
      <protection locked="0" hidden="0"/>
    </xf>
    <xf numFmtId="0" fontId="0" fillId="0" borderId="46" pivotButton="0" quotePrefix="0" xfId="0"/>
    <xf numFmtId="0" fontId="10" fillId="0" borderId="111" applyAlignment="1" pivotButton="0" quotePrefix="0" xfId="7">
      <alignment horizontal="left"/>
    </xf>
    <xf numFmtId="0" fontId="7" fillId="0" borderId="0" pivotButton="0" quotePrefix="0" xfId="7"/>
    <xf numFmtId="0" fontId="0" fillId="0" borderId="19" pivotButton="0" quotePrefix="0" xfId="0"/>
    <xf numFmtId="0" fontId="7" fillId="0" borderId="46" applyAlignment="1" applyProtection="1" pivotButton="0" quotePrefix="0" xfId="7">
      <alignment horizontal="left"/>
      <protection locked="0" hidden="0"/>
    </xf>
    <xf numFmtId="0" fontId="10" fillId="0" borderId="32" pivotButton="0" quotePrefix="0" xfId="7"/>
    <xf numFmtId="0" fontId="10" fillId="0" borderId="33" applyAlignment="1" pivotButton="0" quotePrefix="0" xfId="7">
      <alignment horizontal="left"/>
    </xf>
    <xf numFmtId="0" fontId="7" fillId="0" borderId="112" applyAlignment="1" pivotButton="0" quotePrefix="0" xfId="7">
      <alignment horizontal="center"/>
    </xf>
    <xf numFmtId="0" fontId="0" fillId="0" borderId="53" pivotButton="0" quotePrefix="0" xfId="0"/>
    <xf numFmtId="0" fontId="88" fillId="0" borderId="29" applyAlignment="1" pivotButton="0" quotePrefix="0" xfId="7">
      <alignment horizontal="left"/>
    </xf>
    <xf numFmtId="0" fontId="0" fillId="0" borderId="16" pivotButton="0" quotePrefix="0" xfId="0"/>
    <xf numFmtId="0" fontId="0" fillId="0" borderId="20" pivotButton="0" quotePrefix="0" xfId="0"/>
    <xf numFmtId="0" fontId="88" fillId="0" borderId="28" applyAlignment="1" pivotButton="0" quotePrefix="0" xfId="7">
      <alignment horizontal="left"/>
    </xf>
    <xf numFmtId="0" fontId="0" fillId="0" borderId="17" pivotButton="0" quotePrefix="0" xfId="0"/>
    <xf numFmtId="0" fontId="2" fillId="4" borderId="4" applyAlignment="1" pivotButton="0" quotePrefix="0" xfId="0">
      <alignment horizontal="center" vertical="center" wrapText="1"/>
    </xf>
    <xf numFmtId="0" fontId="0" fillId="0" borderId="12" pivotButton="0" quotePrefix="0" xfId="0"/>
    <xf numFmtId="0" fontId="2" fillId="4" borderId="6" applyAlignment="1" pivotButton="0" quotePrefix="0" xfId="0">
      <alignment horizontal="center" vertical="center" wrapText="1"/>
    </xf>
    <xf numFmtId="0" fontId="0" fillId="0" borderId="13" pivotButton="0" quotePrefix="0" xfId="0"/>
    <xf numFmtId="0" fontId="2" fillId="4" borderId="9" applyAlignment="1" pivotButton="0" quotePrefix="0" xfId="0">
      <alignment horizontal="center" vertical="center" wrapText="1"/>
    </xf>
    <xf numFmtId="0" fontId="0" fillId="0" borderId="14" pivotButton="0" quotePrefix="0" xfId="0"/>
    <xf numFmtId="0" fontId="2" fillId="4" borderId="114" applyAlignment="1" pivotButton="0" quotePrefix="0" xfId="0">
      <alignment horizontal="center" vertical="center" wrapText="1"/>
    </xf>
    <xf numFmtId="0" fontId="0" fillId="0" borderId="6" pivotButton="0" quotePrefix="0" xfId="0"/>
    <xf numFmtId="0" fontId="0" fillId="0" borderId="9" pivotButton="0" quotePrefix="0" xfId="0"/>
    <xf numFmtId="0" fontId="0" fillId="0" borderId="11" pivotButton="0" quotePrefix="0" xfId="0"/>
    <xf numFmtId="0" fontId="0" fillId="0" borderId="10" pivotButton="0" quotePrefix="0" xfId="0"/>
    <xf numFmtId="0" fontId="97" fillId="0" borderId="21" applyAlignment="1" pivotButton="0" quotePrefix="0" xfId="0">
      <alignment horizontal="center" wrapText="1"/>
    </xf>
    <xf numFmtId="0" fontId="105" fillId="0" borderId="16" applyAlignment="1" pivotButton="0" quotePrefix="0" xfId="0">
      <alignment horizontal="center" vertical="center"/>
    </xf>
    <xf numFmtId="0" fontId="105" fillId="0" borderId="0" applyAlignment="1" pivotButton="0" quotePrefix="0" xfId="0">
      <alignment horizontal="center" vertical="top"/>
    </xf>
    <xf numFmtId="0" fontId="93" fillId="0" borderId="31" applyAlignment="1" pivotButton="0" quotePrefix="0" xfId="0">
      <alignment horizontal="center"/>
    </xf>
    <xf numFmtId="0" fontId="97" fillId="0" borderId="29" applyAlignment="1" pivotButton="0" quotePrefix="0" xfId="0">
      <alignment horizontal="center" vertical="center" wrapText="1"/>
    </xf>
    <xf numFmtId="0" fontId="0" fillId="0" borderId="30" pivotButton="0" quotePrefix="0" xfId="0"/>
    <xf numFmtId="0" fontId="93" fillId="0" borderId="54" applyAlignment="1" pivotButton="0" quotePrefix="0" xfId="0">
      <alignment horizontal="center"/>
    </xf>
    <xf numFmtId="0" fontId="0" fillId="0" borderId="49" pivotButton="0" quotePrefix="0" xfId="0"/>
    <xf numFmtId="0" fontId="93" fillId="0" borderId="48" applyAlignment="1" pivotButton="0" quotePrefix="0" xfId="0">
      <alignment horizontal="center"/>
    </xf>
    <xf numFmtId="0" fontId="0" fillId="0" borderId="48" pivotButton="0" quotePrefix="0" xfId="0"/>
    <xf numFmtId="0" fontId="97" fillId="0" borderId="115" applyAlignment="1" pivotButton="0" quotePrefix="0" xfId="0">
      <alignment horizontal="center" wrapText="1"/>
    </xf>
    <xf numFmtId="0" fontId="0" fillId="0" borderId="96" pivotButton="0" quotePrefix="0" xfId="0"/>
    <xf numFmtId="0" fontId="0" fillId="0" borderId="95" pivotButton="0" quotePrefix="0" xfId="0"/>
    <xf numFmtId="0" fontId="97" fillId="0" borderId="93" applyAlignment="1" pivotButton="0" quotePrefix="0" xfId="0">
      <alignment horizontal="center" wrapText="1"/>
    </xf>
    <xf numFmtId="0" fontId="97" fillId="0" borderId="46" applyAlignment="1" pivotButton="0" quotePrefix="0" xfId="0">
      <alignment horizontal="center" wrapText="1"/>
    </xf>
    <xf numFmtId="1" fontId="93" fillId="0" borderId="31" applyAlignment="1" pivotButton="0" quotePrefix="0" xfId="0">
      <alignment horizontal="center"/>
    </xf>
    <xf numFmtId="0" fontId="104" fillId="0" borderId="0" applyAlignment="1" pivotButton="0" quotePrefix="0" xfId="0">
      <alignment horizontal="center" vertical="top"/>
    </xf>
    <xf numFmtId="1" fontId="93" fillId="0" borderId="45" applyAlignment="1" pivotButton="0" quotePrefix="0" xfId="0">
      <alignment horizontal="center"/>
    </xf>
    <xf numFmtId="0" fontId="0" fillId="0" borderId="48" applyAlignment="1" pivotButton="0" quotePrefix="0" xfId="0">
      <alignment horizontal="center"/>
    </xf>
    <xf numFmtId="0" fontId="104" fillId="0" borderId="19" applyAlignment="1" pivotButton="0" quotePrefix="0" xfId="0">
      <alignment horizontal="right" vertical="center"/>
    </xf>
    <xf numFmtId="0" fontId="5" fillId="0" borderId="48" applyAlignment="1" pivotButton="0" quotePrefix="0" xfId="0">
      <alignment horizontal="center"/>
    </xf>
    <xf numFmtId="0" fontId="103" fillId="0" borderId="0" pivotButton="0" quotePrefix="0" xfId="0"/>
    <xf numFmtId="0" fontId="0" fillId="21" borderId="31" applyAlignment="1" applyProtection="1" pivotButton="0" quotePrefix="0" xfId="0">
      <alignment horizontal="left" vertical="top" wrapText="1"/>
      <protection locked="0" hidden="0"/>
    </xf>
    <xf numFmtId="0" fontId="0" fillId="0" borderId="36" pivotButton="0" quotePrefix="0" xfId="0"/>
    <xf numFmtId="0" fontId="0" fillId="0" borderId="116" pivotButton="0" quotePrefix="0" xfId="0"/>
    <xf numFmtId="0" fontId="93" fillId="0" borderId="0" pivotButton="0" quotePrefix="0" xfId="0"/>
    <xf numFmtId="0" fontId="0" fillId="0" borderId="113" pivotButton="0" quotePrefix="0" xfId="0"/>
    <xf numFmtId="0" fontId="0" fillId="0" borderId="47" pivotButton="0" quotePrefix="0" xfId="0"/>
    <xf numFmtId="0" fontId="97" fillId="0" borderId="31" applyAlignment="1" pivotButton="0" quotePrefix="0" xfId="0">
      <alignment horizontal="center"/>
    </xf>
    <xf numFmtId="0" fontId="105" fillId="0" borderId="0" applyAlignment="1" pivotButton="0" quotePrefix="0" xfId="0">
      <alignment horizontal="center"/>
    </xf>
    <xf numFmtId="0" fontId="104" fillId="0" borderId="0" applyAlignment="1" pivotButton="0" quotePrefix="0" xfId="0">
      <alignment horizontal="center"/>
    </xf>
    <xf numFmtId="0" fontId="107" fillId="0" borderId="27" applyAlignment="1" pivotButton="0" quotePrefix="0" xfId="0">
      <alignment horizontal="center" vertical="center"/>
    </xf>
    <xf numFmtId="0" fontId="0" fillId="0" borderId="18" pivotButton="0" quotePrefix="0" xfId="0"/>
    <xf numFmtId="0" fontId="104" fillId="0" borderId="0" applyAlignment="1" pivotButton="0" quotePrefix="0" xfId="0">
      <alignment horizontal="left" vertical="center"/>
    </xf>
    <xf numFmtId="0" fontId="108" fillId="21" borderId="48" applyAlignment="1" applyProtection="1" pivotButton="0" quotePrefix="0" xfId="0">
      <alignment horizontal="center"/>
      <protection locked="0" hidden="0"/>
    </xf>
    <xf numFmtId="0" fontId="108" fillId="0" borderId="117" applyAlignment="1" pivotButton="0" quotePrefix="0" xfId="0">
      <alignment horizontal="center"/>
    </xf>
    <xf numFmtId="0" fontId="0" fillId="0" borderId="92" pivotButton="0" quotePrefix="0" xfId="0"/>
    <xf numFmtId="0" fontId="97" fillId="0" borderId="109" applyAlignment="1" pivotButton="0" quotePrefix="0" xfId="0">
      <alignment horizontal="center"/>
    </xf>
    <xf numFmtId="1" fontId="108" fillId="21" borderId="48" applyAlignment="1" applyProtection="1" pivotButton="0" quotePrefix="0" xfId="0">
      <alignment horizontal="center"/>
      <protection locked="0" hidden="0"/>
    </xf>
    <xf numFmtId="0" fontId="97" fillId="0" borderId="25" applyAlignment="1" pivotButton="0" quotePrefix="0" xfId="0">
      <alignment horizontal="center"/>
    </xf>
    <xf numFmtId="0" fontId="97" fillId="0" borderId="44" applyAlignment="1" pivotButton="0" quotePrefix="0" xfId="0">
      <alignment horizontal="center" wrapText="1"/>
    </xf>
    <xf numFmtId="0" fontId="97" fillId="0" borderId="55" applyAlignment="1" pivotButton="0" quotePrefix="0" xfId="0">
      <alignment horizontal="center" wrapText="1"/>
    </xf>
    <xf numFmtId="0" fontId="97" fillId="0" borderId="24" applyAlignment="1" pivotButton="0" quotePrefix="0" xfId="0">
      <alignment horizontal="center" wrapText="1"/>
    </xf>
    <xf numFmtId="0" fontId="0" fillId="0" borderId="97" pivotButton="0" quotePrefix="0" xfId="0"/>
    <xf numFmtId="1" fontId="93" fillId="26" borderId="31" applyAlignment="1" pivotButton="0" quotePrefix="0" xfId="0">
      <alignment horizontal="center"/>
    </xf>
    <xf numFmtId="0" fontId="104" fillId="0" borderId="18" applyAlignment="1" pivotButton="0" quotePrefix="0" xfId="0">
      <alignment horizontal="left" vertical="center"/>
    </xf>
    <xf numFmtId="0" fontId="105" fillId="0" borderId="21" applyAlignment="1" pivotButton="0" quotePrefix="0" xfId="0">
      <alignment horizontal="center"/>
    </xf>
    <xf numFmtId="0" fontId="108" fillId="0" borderId="48" applyAlignment="1" pivotButton="0" quotePrefix="0" xfId="0">
      <alignment horizontal="center"/>
    </xf>
    <xf numFmtId="1" fontId="108" fillId="0" borderId="48" applyAlignment="1" pivotButton="0" quotePrefix="0" xfId="0">
      <alignment horizontal="center"/>
    </xf>
    <xf numFmtId="0" fontId="93" fillId="0" borderId="25" applyAlignment="1" pivotButton="0" quotePrefix="0" xfId="0">
      <alignment horizontal="center"/>
    </xf>
    <xf numFmtId="164" fontId="0" fillId="0" borderId="0" applyAlignment="1" pivotButton="0" quotePrefix="0" xfId="0">
      <alignment horizontal="left"/>
    </xf>
    <xf numFmtId="164" fontId="0" fillId="0" borderId="0" pivotButton="0" quotePrefix="0" xfId="0"/>
    <xf numFmtId="164" fontId="0" fillId="0" borderId="19" pivotButton="0" quotePrefix="0" xfId="0"/>
    <xf numFmtId="165" fontId="0" fillId="0" borderId="0" pivotButton="0" quotePrefix="0" xfId="0"/>
    <xf numFmtId="166" fontId="0" fillId="0" borderId="0" pivotButton="0" quotePrefix="0" xfId="0"/>
    <xf numFmtId="167" fontId="0" fillId="0" borderId="0" pivotButton="0" quotePrefix="0" xfId="6"/>
    <xf numFmtId="164" fontId="0" fillId="6" borderId="0" applyProtection="1" pivotButton="0" quotePrefix="0" xfId="0">
      <protection locked="0" hidden="0"/>
    </xf>
    <xf numFmtId="164" fontId="0" fillId="14" borderId="18" pivotButton="0" quotePrefix="0" xfId="0"/>
    <xf numFmtId="164" fontId="0" fillId="14" borderId="19" pivotButton="0" quotePrefix="0" xfId="0"/>
    <xf numFmtId="164" fontId="0" fillId="13" borderId="0" pivotButton="0" quotePrefix="0" xfId="0"/>
    <xf numFmtId="164" fontId="0" fillId="0" borderId="0" applyAlignment="1" pivotButton="0" quotePrefix="0" xfId="0">
      <alignment horizontal="right"/>
    </xf>
    <xf numFmtId="164" fontId="0" fillId="0" borderId="0" applyAlignment="1" pivotButton="0" quotePrefix="0" xfId="0">
      <alignment horizontal="center"/>
    </xf>
    <xf numFmtId="164" fontId="0" fillId="0" borderId="19" applyAlignment="1" pivotButton="0" quotePrefix="0" xfId="0">
      <alignment horizontal="center"/>
    </xf>
    <xf numFmtId="164" fontId="0" fillId="0" borderId="31" applyAlignment="1" pivotButton="0" quotePrefix="0" xfId="0">
      <alignment horizontal="center" wrapText="1"/>
    </xf>
    <xf numFmtId="164" fontId="0" fillId="0" borderId="33" applyAlignment="1" pivotButton="0" quotePrefix="0" xfId="0">
      <alignment horizontal="center" wrapText="1"/>
    </xf>
    <xf numFmtId="164" fontId="0" fillId="0" borderId="18" applyAlignment="1" pivotButton="0" quotePrefix="0" xfId="0">
      <alignment horizontal="center"/>
    </xf>
    <xf numFmtId="168" fontId="0" fillId="0" borderId="0" applyAlignment="1" pivotButton="0" quotePrefix="0" xfId="0">
      <alignment horizontal="center"/>
    </xf>
    <xf numFmtId="168" fontId="0" fillId="0" borderId="19" applyAlignment="1" pivotButton="0" quotePrefix="0" xfId="0">
      <alignment horizontal="center"/>
    </xf>
    <xf numFmtId="164" fontId="0" fillId="0" borderId="21" applyAlignment="1" pivotButton="0" quotePrefix="0" xfId="0">
      <alignment horizontal="center"/>
    </xf>
    <xf numFmtId="164" fontId="0" fillId="0" borderId="20" applyAlignment="1" pivotButton="0" quotePrefix="0" xfId="0">
      <alignment horizontal="center"/>
    </xf>
    <xf numFmtId="168" fontId="0" fillId="0" borderId="21" applyAlignment="1" pivotButton="0" quotePrefix="0" xfId="0">
      <alignment horizontal="center"/>
    </xf>
    <xf numFmtId="168" fontId="0" fillId="0" borderId="22" applyAlignment="1" pivotButton="0" quotePrefix="0" xfId="0">
      <alignment horizontal="center"/>
    </xf>
    <xf numFmtId="164" fontId="7" fillId="0" borderId="21" applyAlignment="1" pivotButton="0" quotePrefix="0" xfId="7">
      <alignment horizontal="left"/>
    </xf>
    <xf numFmtId="164" fontId="7" fillId="0" borderId="40" applyAlignment="1" pivotButton="0" quotePrefix="0" xfId="7">
      <alignment horizontal="left"/>
    </xf>
    <xf numFmtId="0" fontId="0" fillId="0" borderId="45" applyProtection="1" pivotButton="0" quotePrefix="0" xfId="0">
      <protection locked="0" hidden="0"/>
    </xf>
    <xf numFmtId="0" fontId="0" fillId="0" borderId="46" applyProtection="1" pivotButton="0" quotePrefix="0" xfId="0">
      <protection locked="0" hidden="0"/>
    </xf>
    <xf numFmtId="0" fontId="0" fillId="0" borderId="48" applyProtection="1" pivotButton="0" quotePrefix="0" xfId="0">
      <protection locked="0" hidden="0"/>
    </xf>
    <xf numFmtId="0" fontId="0" fillId="0" borderId="42" applyProtection="1" pivotButton="0" quotePrefix="0" xfId="0">
      <protection locked="0" hidden="0"/>
    </xf>
    <xf numFmtId="0" fontId="0" fillId="0" borderId="36" applyProtection="1" pivotButton="0" quotePrefix="0" xfId="0">
      <protection locked="0" hidden="0"/>
    </xf>
    <xf numFmtId="169" fontId="97" fillId="0" borderId="99" applyAlignment="1" pivotButton="0" quotePrefix="0" xfId="0">
      <alignment horizontal="center" vertical="center"/>
    </xf>
    <xf numFmtId="165" fontId="97" fillId="0" borderId="100" applyAlignment="1" pivotButton="0" quotePrefix="0" xfId="0">
      <alignment horizontal="center" vertical="center"/>
    </xf>
    <xf numFmtId="169" fontId="97" fillId="0" borderId="101" applyAlignment="1" pivotButton="0" quotePrefix="0" xfId="0">
      <alignment horizontal="center" vertical="center"/>
    </xf>
    <xf numFmtId="0" fontId="0" fillId="0" borderId="116" applyProtection="1" pivotButton="0" quotePrefix="0" xfId="0">
      <protection locked="0" hidden="0"/>
    </xf>
    <xf numFmtId="0" fontId="0" fillId="0" borderId="113" applyProtection="1" pivotButton="0" quotePrefix="0" xfId="0">
      <protection locked="0" hidden="0"/>
    </xf>
    <xf numFmtId="166" fontId="97" fillId="0" borderId="78" applyAlignment="1" pivotButton="0" quotePrefix="0" xfId="0">
      <alignment horizontal="center"/>
    </xf>
    <xf numFmtId="0" fontId="0" fillId="0" borderId="47" applyProtection="1" pivotButton="0" quotePrefix="0" xfId="0">
      <protection locked="0" hidden="0"/>
    </xf>
    <xf numFmtId="0" fontId="0" fillId="0" borderId="49" applyProtection="1" pivotButton="0" quotePrefix="0" xfId="0">
      <protection locked="0" hidden="0"/>
    </xf>
    <xf numFmtId="165" fontId="97" fillId="0" borderId="103" pivotButton="0" quotePrefix="0" xfId="0"/>
    <xf numFmtId="164" fontId="97" fillId="21" borderId="0" applyProtection="1" pivotButton="0" quotePrefix="0" xfId="0">
      <protection locked="0" hidden="0"/>
    </xf>
    <xf numFmtId="164" fontId="97" fillId="21" borderId="113" applyProtection="1" pivotButton="0" quotePrefix="0" xfId="0">
      <protection locked="0" hidden="0"/>
    </xf>
    <xf numFmtId="166" fontId="97" fillId="22" borderId="67" applyProtection="1" pivotButton="0" quotePrefix="0" xfId="0">
      <protection locked="0" hidden="0"/>
    </xf>
    <xf numFmtId="166" fontId="97" fillId="22" borderId="49" applyProtection="1" pivotButton="0" quotePrefix="0" xfId="0">
      <protection locked="0" hidden="0"/>
    </xf>
    <xf numFmtId="164" fontId="97" fillId="0" borderId="48" pivotButton="0" quotePrefix="0" xfId="0"/>
    <xf numFmtId="164" fontId="97" fillId="0" borderId="49" pivotButton="0" quotePrefix="0" xfId="0"/>
    <xf numFmtId="164" fontId="93" fillId="0" borderId="116" pivotButton="0" quotePrefix="0" xfId="0"/>
    <xf numFmtId="164" fontId="93" fillId="0" borderId="113" pivotButton="0" quotePrefix="0" xfId="0"/>
    <xf numFmtId="164" fontId="93" fillId="0" borderId="0" applyAlignment="1" pivotButton="0" quotePrefix="0" xfId="0">
      <alignment horizontal="right"/>
    </xf>
    <xf numFmtId="164" fontId="93" fillId="0" borderId="0" applyAlignment="1" pivotButton="0" quotePrefix="0" xfId="0">
      <alignment horizontal="center"/>
    </xf>
    <xf numFmtId="164" fontId="93" fillId="0" borderId="41" pivotButton="0" quotePrefix="0" xfId="0"/>
    <xf numFmtId="164" fontId="93" fillId="0" borderId="36" pivotButton="0" quotePrefix="0" xfId="0"/>
    <xf numFmtId="164" fontId="93" fillId="0" borderId="44" pivotButton="0" quotePrefix="0" xfId="0"/>
    <xf numFmtId="164" fontId="93" fillId="0" borderId="55" pivotButton="0" quotePrefix="0" xfId="0"/>
    <xf numFmtId="169" fontId="93" fillId="0" borderId="0" applyAlignment="1" pivotButton="0" quotePrefix="0" xfId="0">
      <alignment horizontal="center"/>
    </xf>
    <xf numFmtId="169" fontId="93" fillId="0" borderId="0" pivotButton="0" quotePrefix="0" xfId="0"/>
    <xf numFmtId="169" fontId="93" fillId="0" borderId="21" pivotButton="0" quotePrefix="0" xfId="0"/>
    <xf numFmtId="169" fontId="93" fillId="0" borderId="0" applyAlignment="1" pivotButton="0" quotePrefix="0" xfId="0">
      <alignment horizontal="right"/>
    </xf>
    <xf numFmtId="165" fontId="93" fillId="0" borderId="0" pivotButton="0" quotePrefix="0" xfId="0"/>
    <xf numFmtId="164" fontId="93" fillId="0" borderId="38" pivotButton="0" quotePrefix="0" xfId="0"/>
    <xf numFmtId="164" fontId="93" fillId="0" borderId="37" pivotButton="0" quotePrefix="0" xfId="0"/>
    <xf numFmtId="164" fontId="0" fillId="0" borderId="38" pivotButton="0" quotePrefix="0" xfId="0"/>
  </cellXfs>
  <cellStyles count="11">
    <cellStyle name="Normal" xfId="0" builtinId="0"/>
    <cellStyle name="Normal_BP America Delta 01_wellbore schem_rev0" xfId="1"/>
    <cellStyle name="Normal_AC&amp;J 06_wellbore schem_rev1" xfId="2"/>
    <cellStyle name="Normal_Pure Resources A6_wellbore schem_rev0" xfId="3"/>
    <cellStyle name="Normal_progform" xfId="4"/>
    <cellStyle name="Normal_Williamson 09_wellbore schem_rev0" xfId="5"/>
    <cellStyle name="Comma" xfId="6" builtinId="3"/>
    <cellStyle name="Normal 2" xfId="7"/>
    <cellStyle name="Normal 3" xfId="8"/>
    <cellStyle name="Error 1" xfId="9"/>
    <cellStyle name="Neutral 2" xfId="10"/>
  </cellStyles>
  <dxfs count="2361">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ont>
        <color rgb="FF008000"/>
      </font>
    </dxf>
    <dxf>
      <font>
        <color rgb="FFCC0000"/>
      </font>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ont>
        <color rgb="FF008000"/>
      </font>
    </dxf>
    <dxf>
      <font>
        <color rgb="FFCC0000"/>
      </font>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ont>
        <color rgb="FF008000"/>
      </font>
    </dxf>
    <dxf>
      <font>
        <color rgb="FFCC0000"/>
      </font>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0" tint="-0.249946592608417"/>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ont>
        <color rgb="FF008000"/>
      </font>
    </dxf>
    <dxf>
      <font>
        <color rgb="FFCC0000"/>
      </font>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ont>
        <condense val="0"/>
        <color rgb="FF9C0006"/>
        <extend val="0"/>
      </font>
    </dxf>
    <dxf>
      <font>
        <condense val="0"/>
        <color rgb="FF9C0006"/>
        <extend val="0"/>
      </font>
    </dxf>
    <dxf>
      <font>
        <condense val="0"/>
        <color rgb="FF9C0006"/>
        <extend val="0"/>
      </font>
    </dxf>
    <dxf>
      <font>
        <condense val="0"/>
        <color rgb="FF9C0006"/>
        <extend val="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6" tint="0.5999633777886288"/>
      </font>
    </dxf>
    <dxf>
      <border>
        <left/>
        <right style="thin">
          <color auto="1"/>
        </right>
        <top/>
        <bottom/>
        <vertical/>
        <horizontal/>
      </border>
    </dxf>
    <dxf>
      <border>
        <left style="thin">
          <color auto="1"/>
        </left>
        <right/>
        <top/>
        <bottom/>
        <vertical/>
        <horizontal/>
      </border>
    </dxf>
    <dxf>
      <border>
        <left/>
        <right/>
        <top/>
        <bottom style="thin">
          <color auto="1"/>
        </bottom>
        <vertical/>
        <horizontal/>
      </border>
    </dxf>
    <dxf>
      <border>
        <left/>
        <right style="thin">
          <color auto="1"/>
        </right>
        <top/>
        <bottom/>
        <vertical/>
        <horizontal/>
      </border>
    </dxf>
    <dxf>
      <border>
        <left style="thin">
          <color auto="1"/>
        </left>
        <right/>
        <top/>
        <bottom/>
        <vertical/>
        <horizontal/>
      </border>
    </dxf>
    <dxf>
      <border>
        <left/>
        <right/>
        <top/>
        <bottom style="thin">
          <color auto="1"/>
        </bottom>
        <vertical/>
        <horizontal/>
      </border>
    </dxf>
    <dxf>
      <border>
        <left/>
        <right style="thin">
          <color auto="1"/>
        </right>
        <top/>
        <bottom/>
        <vertical/>
        <horizontal/>
      </border>
    </dxf>
    <dxf>
      <border>
        <left style="thin">
          <color auto="1"/>
        </left>
        <right/>
        <top/>
        <bottom/>
        <vertical/>
        <horizontal/>
      </border>
    </dxf>
    <dxf>
      <border>
        <left/>
        <right/>
        <top/>
        <bottom style="thin">
          <color auto="1"/>
        </bottom>
        <vertical/>
        <horizontal/>
      </border>
    </dxf>
    <dxf>
      <border>
        <left/>
        <right style="thin">
          <color auto="1"/>
        </right>
        <top/>
        <bottom/>
        <vertical/>
        <horizontal/>
      </border>
    </dxf>
    <dxf>
      <border>
        <left style="thin">
          <color auto="1"/>
        </left>
        <right/>
        <top/>
        <bottom/>
        <vertical/>
        <horizontal/>
      </border>
    </dxf>
    <dxf>
      <border>
        <left/>
        <right/>
        <top/>
        <bottom style="thin">
          <color auto="1"/>
        </bottom>
        <vertical/>
        <horizontal/>
      </border>
    </dxf>
    <dxf>
      <border>
        <left/>
        <right/>
        <top style="thin">
          <color auto="1"/>
        </top>
        <bottom/>
        <vertical/>
        <horizontal/>
      </border>
    </dxf>
    <dxf>
      <border>
        <left style="thin">
          <color auto="1"/>
        </left>
        <right style="thin">
          <color auto="1"/>
        </right>
        <top/>
        <bottom/>
        <vertical/>
        <horizontal/>
      </border>
    </dxf>
    <dxf>
      <border>
        <left style="thin">
          <color auto="1"/>
        </left>
        <right style="thin">
          <color auto="1"/>
        </right>
        <top/>
        <bottom/>
        <vertical/>
        <horizontal/>
      </border>
    </dxf>
    <dxf>
      <border>
        <left style="thin">
          <color auto="1"/>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border>
        <left style="thin">
          <color auto="1"/>
        </left>
        <right style="thin">
          <color auto="1"/>
        </right>
        <top/>
        <bottom/>
        <vertical/>
        <horizontal/>
      </border>
    </dxf>
    <dxf>
      <border>
        <left style="thin">
          <color auto="1"/>
        </left>
        <right style="thin">
          <color auto="1"/>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border>
        <left/>
        <right style="thin">
          <color auto="1"/>
        </right>
        <top/>
        <bottom/>
        <vertical/>
        <horizontal/>
      </border>
    </dxf>
    <dxf>
      <border>
        <left style="thin">
          <color auto="1"/>
        </left>
        <right/>
        <top/>
        <bottom/>
        <vertical/>
        <horizontal/>
      </border>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border>
        <left/>
        <right style="thin">
          <color auto="1"/>
        </right>
        <top/>
        <bottom/>
        <vertical/>
        <horizontal/>
      </border>
    </dxf>
    <dxf>
      <fill>
        <patternFill>
          <bgColor theme="0" tint="-0.3499862666707358"/>
        </patternFill>
      </fill>
      <border>
        <left/>
        <right style="thin">
          <color auto="1"/>
        </right>
        <top/>
        <bottom/>
        <vertical/>
        <horizontal/>
      </border>
    </dxf>
    <dxf>
      <fill>
        <patternFill>
          <bgColor theme="0" tint="-0.499984740745262"/>
        </patternFill>
      </fill>
      <border>
        <left/>
        <right style="thin">
          <color auto="1"/>
        </right>
        <top/>
        <bottom/>
        <vertical/>
        <horizontal/>
      </border>
    </dxf>
    <dxf>
      <border>
        <left style="thin">
          <color auto="1"/>
        </left>
        <right/>
        <top/>
        <bottom/>
        <vertical/>
        <horizontal/>
      </border>
    </dxf>
    <dxf>
      <fill>
        <patternFill>
          <bgColor theme="0" tint="-0.3499862666707358"/>
        </patternFill>
      </fill>
      <border>
        <left style="thin">
          <color auto="1"/>
        </left>
        <right/>
        <top/>
        <bottom/>
        <vertical/>
        <horizontal/>
      </border>
    </dxf>
    <dxf>
      <fill>
        <patternFill>
          <bgColor theme="0" tint="-0.499984740745262"/>
        </patternFill>
      </fill>
      <border>
        <left style="thin">
          <color auto="1"/>
        </left>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3499862666707358"/>
        </patternFill>
      </fill>
    </dxf>
    <dxf>
      <border>
        <left/>
        <right style="thin">
          <color auto="1"/>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border>
        <left style="thin">
          <color auto="1"/>
        </left>
        <right/>
        <top/>
        <bottom/>
        <vertical/>
        <horizontal/>
      </border>
    </dxf>
    <dxf>
      <fill>
        <patternFill>
          <bgColor theme="0" tint="-0.3499862666707358"/>
        </patternFill>
      </fill>
    </dxf>
    <dxf>
      <fill>
        <patternFill>
          <bgColor theme="0" tint="-0.499984740745262"/>
        </patternFill>
      </fill>
    </dxf>
    <dxf>
      <fill>
        <patternFill>
          <bgColor theme="0" tint="-0.3499862666707358"/>
        </patternFill>
      </fill>
    </dxf>
    <dxf>
      <fill>
        <patternFill>
          <bgColor theme="0" tint="-0.499984740745262"/>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daynedoucet</author>
  </authors>
  <commentList>
    <comment ref="AD134" authorId="0" shapeId="0">
      <text>
        <t>daynedoucet:
STRING1</t>
      </text>
    </comment>
    <comment ref="AQ134" authorId="0" shapeId="0">
      <text>
        <t>daynedoucet:
STRING2</t>
      </text>
    </comment>
    <comment ref="AU134" authorId="0" shapeId="0">
      <text>
        <t>daynedoucet:
STRING1</t>
      </text>
    </comment>
    <comment ref="BG134" authorId="0" shapeId="0">
      <text>
        <t>daynedoucet:
STRING2</t>
      </text>
    </comment>
    <comment ref="BL134" authorId="0" shapeId="0">
      <text>
        <t>daynedoucet:
STRING2</t>
      </text>
    </comment>
    <comment ref="BX134" authorId="0" shapeId="0">
      <text>
        <t>daynedoucet:
STRING3</t>
      </text>
    </comment>
    <comment ref="CC134" authorId="0" shapeId="0">
      <text>
        <t>daynedoucet:
STRING1</t>
      </text>
    </comment>
    <comment ref="CO134" authorId="0" shapeId="0">
      <text>
        <t>daynedoucet:
STRING2</t>
      </text>
    </comment>
    <comment ref="AD154" authorId="0" shapeId="0">
      <text>
        <t>daynedoucet:
STRING3</t>
      </text>
    </comment>
    <comment ref="AU154" authorId="0" shapeId="0">
      <text>
        <t>daynedoucet:
STRING4</t>
      </text>
    </comment>
    <comment ref="BL176" authorId="0" shapeId="0">
      <text>
        <t>daynedoucet:
STRING4</t>
      </text>
    </comment>
    <comment ref="BX180" authorId="0" shapeId="0">
      <text>
        <t>daynedoucet:
STRING1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fitToPage="1"/>
  </sheetPr>
  <dimension ref="A1:AL69"/>
  <sheetViews>
    <sheetView zoomScale="80" zoomScaleNormal="80" workbookViewId="0">
      <pane xSplit="2" ySplit="9" topLeftCell="C10" activePane="bottomRight" state="frozen"/>
      <selection pane="topRight" activeCell="C1" sqref="C1"/>
      <selection pane="bottomLeft" activeCell="A10" sqref="A10"/>
      <selection pane="bottomRight" activeCell="AA57" sqref="AA57"/>
    </sheetView>
  </sheetViews>
  <sheetFormatPr baseColWidth="8" defaultRowHeight="14.4"/>
  <cols>
    <col width="16.88671875" customWidth="1" style="613" min="1" max="1"/>
    <col width="23.44140625" customWidth="1" style="613" min="2" max="2"/>
    <col width="14.33203125" bestFit="1" customWidth="1" style="613" min="4" max="4"/>
    <col width="9.109375" bestFit="1" customWidth="1" style="613" min="5" max="5"/>
    <col width="12.88671875" customWidth="1" style="613" min="6" max="6"/>
    <col width="12.5546875" customWidth="1" style="613" min="7" max="7"/>
    <col width="16.44140625" customWidth="1" style="613" min="8" max="8"/>
    <col width="18.109375" customWidth="1" style="613" min="9" max="9"/>
    <col width="15.5546875" customWidth="1" style="613" min="10" max="10"/>
    <col width="17.88671875" customWidth="1" style="243" min="11" max="11"/>
    <col width="16.5546875" customWidth="1" style="613" min="12" max="12"/>
    <col width="16.44140625" customWidth="1" style="613" min="13" max="13"/>
    <col width="16.6640625" customWidth="1" style="613" min="14" max="14"/>
    <col width="16.109375" customWidth="1" style="613" min="15" max="15"/>
    <col width="14.88671875" bestFit="1" customWidth="1" style="613" min="16" max="16"/>
    <col width="16.109375" customWidth="1" style="613" min="17" max="17"/>
    <col width="8.6640625" customWidth="1" style="613" min="19" max="19"/>
    <col width="15.5546875" customWidth="1" style="613" min="21" max="22"/>
    <col width="13.44140625" customWidth="1" style="613" min="23" max="23"/>
    <col width="14.6640625" customWidth="1" style="613" min="24" max="25"/>
    <col width="16" customWidth="1" style="613" min="26" max="26"/>
    <col width="15.44140625" customWidth="1" style="613" min="27" max="27"/>
    <col width="14.33203125" customWidth="1" style="613" min="28" max="28"/>
    <col width="11" customWidth="1" style="613" min="29" max="29"/>
    <col width="9.6640625" bestFit="1" customWidth="1" style="613" min="32" max="32"/>
    <col width="9.6640625" customWidth="1" style="613" min="33" max="35"/>
    <col width="10" bestFit="1" customWidth="1" style="613" min="36" max="36"/>
  </cols>
  <sheetData>
    <row r="1">
      <c r="A1" t="inlineStr">
        <is>
          <t>Version</t>
        </is>
      </c>
      <c r="B1" s="718">
        <f>MAX('Rev Hist'!A3:A75)</f>
        <v/>
      </c>
      <c r="I1" s="122" t="inlineStr">
        <is>
          <t>Minimum Design Factors</t>
        </is>
      </c>
      <c r="J1" s="653" t="n"/>
      <c r="K1" s="656" t="n"/>
    </row>
    <row r="2">
      <c r="I2" s="700" t="inlineStr">
        <is>
          <t>Collapse</t>
        </is>
      </c>
      <c r="K2" s="646" t="n">
        <v>1.125</v>
      </c>
    </row>
    <row r="3">
      <c r="I3" s="700" t="inlineStr">
        <is>
          <t>Burst</t>
        </is>
      </c>
      <c r="K3" s="646" t="n">
        <v>1</v>
      </c>
    </row>
    <row r="4" ht="18.75" customHeight="1" s="613">
      <c r="A4" s="27" t="inlineStr">
        <is>
          <t>Company</t>
        </is>
      </c>
      <c r="B4" s="261" t="n"/>
      <c r="I4" s="700" t="inlineStr">
        <is>
          <t>Tension</t>
        </is>
      </c>
      <c r="K4" s="646" t="n"/>
    </row>
    <row r="5" ht="18.75" customHeight="1" s="613">
      <c r="A5" s="27" t="inlineStr">
        <is>
          <t>Well Name</t>
        </is>
      </c>
      <c r="B5" s="261" t="n"/>
      <c r="C5" s="157" t="n"/>
      <c r="I5" s="700" t="n"/>
      <c r="J5" t="inlineStr">
        <is>
          <t>STC</t>
        </is>
      </c>
      <c r="K5" s="646" t="n">
        <v>1.8</v>
      </c>
    </row>
    <row r="6" ht="18.75" customHeight="1" s="613">
      <c r="A6" s="27" t="inlineStr">
        <is>
          <t>API</t>
        </is>
      </c>
      <c r="B6" s="282" t="n"/>
      <c r="I6" s="700" t="n"/>
      <c r="J6" t="inlineStr">
        <is>
          <t>LTC</t>
        </is>
      </c>
      <c r="K6" s="646" t="n">
        <v>1.8</v>
      </c>
    </row>
    <row r="7" ht="18.75" customHeight="1" s="613">
      <c r="A7" s="27" t="n"/>
      <c r="B7" s="27" t="n"/>
      <c r="D7" s="463" t="inlineStr">
        <is>
          <t>KOP Method</t>
        </is>
      </c>
      <c r="E7" s="265" t="inlineStr">
        <is>
          <t>N</t>
        </is>
      </c>
      <c r="I7" s="700" t="n"/>
      <c r="J7" t="inlineStr">
        <is>
          <t>BTC</t>
        </is>
      </c>
      <c r="K7" s="646" t="n">
        <v>1.6</v>
      </c>
    </row>
    <row r="8" ht="23.25" customHeight="1" s="613">
      <c r="A8" s="22" t="inlineStr">
        <is>
          <t>Casing</t>
        </is>
      </c>
      <c r="D8" s="463" t="inlineStr">
        <is>
          <t>Survey Method</t>
        </is>
      </c>
      <c r="E8" s="265" t="inlineStr">
        <is>
          <t>y</t>
        </is>
      </c>
      <c r="G8" t="inlineStr">
        <is>
          <t>Set Depth</t>
        </is>
      </c>
      <c r="H8" t="inlineStr">
        <is>
          <t>String #</t>
        </is>
      </c>
      <c r="I8" s="700" t="n"/>
      <c r="J8" t="inlineStr">
        <is>
          <t xml:space="preserve">Premium </t>
        </is>
      </c>
      <c r="K8" s="646" t="n">
        <v>1.5</v>
      </c>
    </row>
    <row r="9" ht="16.5" customHeight="1" s="613" thickBot="1">
      <c r="A9" s="628" t="inlineStr">
        <is>
          <t>Frac Gradient</t>
        </is>
      </c>
      <c r="B9" s="264" t="n"/>
      <c r="C9" t="inlineStr">
        <is>
          <t>psi/ft</t>
        </is>
      </c>
      <c r="D9" s="463" t="inlineStr">
        <is>
          <t>DX</t>
        </is>
      </c>
      <c r="E9" s="265" t="inlineStr">
        <is>
          <t>y</t>
        </is>
      </c>
      <c r="F9" s="463" t="inlineStr">
        <is>
          <t>DVT</t>
        </is>
      </c>
      <c r="G9" s="265" t="n"/>
      <c r="H9" s="265" t="n"/>
      <c r="I9" s="654" t="n"/>
      <c r="J9" s="633" t="inlineStr">
        <is>
          <t>Body Yield</t>
        </is>
      </c>
      <c r="K9" s="634" t="n">
        <v>1.6</v>
      </c>
      <c r="P9" s="633" t="n"/>
    </row>
    <row r="10" ht="19.5" customHeight="1" s="613" thickBot="1">
      <c r="A10" s="24" t="inlineStr">
        <is>
          <t>STRING 1</t>
        </is>
      </c>
      <c r="B10" s="25" t="inlineStr">
        <is>
          <t>Hole Size</t>
        </is>
      </c>
      <c r="C10" s="25" t="inlineStr">
        <is>
          <t>Csg size</t>
        </is>
      </c>
      <c r="D10" s="25" t="inlineStr">
        <is>
          <t>Set Depth</t>
        </is>
      </c>
      <c r="E10" s="25" t="inlineStr">
        <is>
          <t>Csg Wt</t>
        </is>
      </c>
      <c r="F10" s="25" t="inlineStr">
        <is>
          <t>Csg Grade</t>
        </is>
      </c>
      <c r="G10" s="25" t="inlineStr">
        <is>
          <t>Csg Collar</t>
        </is>
      </c>
      <c r="H10" s="25" t="inlineStr">
        <is>
          <t>Cement Lead Qty</t>
        </is>
      </c>
      <c r="I10" s="25" t="inlineStr">
        <is>
          <t>Cement Lead Yield</t>
        </is>
      </c>
      <c r="J10" s="25" t="inlineStr">
        <is>
          <t>Cement Tail Qty</t>
        </is>
      </c>
      <c r="K10" s="125" t="inlineStr">
        <is>
          <t>Cement Tail Yield</t>
        </is>
      </c>
      <c r="L10" s="25" t="inlineStr">
        <is>
          <t>Cement Lead Qty</t>
        </is>
      </c>
      <c r="M10" s="25" t="inlineStr">
        <is>
          <t>Cement Lead Yield</t>
        </is>
      </c>
      <c r="N10" s="25" t="inlineStr">
        <is>
          <t>Cement Tail Qty</t>
        </is>
      </c>
      <c r="O10" s="25" t="inlineStr">
        <is>
          <t>Cement Tail Yield</t>
        </is>
      </c>
      <c r="P10" t="inlineStr">
        <is>
          <t>Cement cu. Ft.</t>
        </is>
      </c>
      <c r="Q10" s="25" t="inlineStr">
        <is>
          <t>Cement Height</t>
        </is>
      </c>
      <c r="R10" s="127" t="inlineStr">
        <is>
          <t>TOC</t>
        </is>
      </c>
      <c r="S10" s="25" t="inlineStr">
        <is>
          <t>MASP</t>
        </is>
      </c>
      <c r="T10" s="25" t="inlineStr">
        <is>
          <t>Collapse Strength</t>
        </is>
      </c>
      <c r="U10" s="25" t="inlineStr">
        <is>
          <t>Collapse Load</t>
        </is>
      </c>
      <c r="V10" s="25" t="inlineStr">
        <is>
          <t>Collapse DF</t>
        </is>
      </c>
      <c r="W10" s="25" t="inlineStr">
        <is>
          <t>Burst Strength</t>
        </is>
      </c>
      <c r="X10" s="25" t="inlineStr">
        <is>
          <t>Burst Load</t>
        </is>
      </c>
      <c r="Y10" s="25" t="inlineStr">
        <is>
          <t>Burst DF</t>
        </is>
      </c>
      <c r="Z10" s="25" t="inlineStr">
        <is>
          <t>Tension Strength</t>
        </is>
      </c>
      <c r="AA10" s="25" t="inlineStr">
        <is>
          <t>Tension DF</t>
        </is>
      </c>
      <c r="AB10" s="25" t="inlineStr">
        <is>
          <t>Neutral Point</t>
        </is>
      </c>
      <c r="AC10" s="25" t="inlineStr">
        <is>
          <t>Tension Air</t>
        </is>
      </c>
      <c r="AD10" s="26" t="inlineStr">
        <is>
          <t>Tension Buoyed</t>
        </is>
      </c>
      <c r="AE10" s="449" t="inlineStr">
        <is>
          <t>ID</t>
        </is>
      </c>
      <c r="AF10" t="inlineStr">
        <is>
          <t>As</t>
        </is>
      </c>
      <c r="AG10" t="inlineStr">
        <is>
          <t>pi</t>
        </is>
      </c>
      <c r="AH10" t="inlineStr">
        <is>
          <t>wL</t>
        </is>
      </c>
      <c r="AI10" t="inlineStr">
        <is>
          <t>Fa</t>
        </is>
      </c>
      <c r="AK10" s="252" t="inlineStr">
        <is>
          <t>BTC</t>
        </is>
      </c>
      <c r="AL10" s="245" t="inlineStr">
        <is>
          <t>B</t>
        </is>
      </c>
    </row>
    <row r="11">
      <c r="A11" s="700" t="n"/>
      <c r="C11" t="inlineStr">
        <is>
          <t>A</t>
        </is>
      </c>
      <c r="E11" t="inlineStr">
        <is>
          <t>B</t>
        </is>
      </c>
      <c r="F11" t="inlineStr">
        <is>
          <t>C</t>
        </is>
      </c>
      <c r="G11" t="inlineStr">
        <is>
          <t>I</t>
        </is>
      </c>
      <c r="H11" t="n">
        <v>1</v>
      </c>
      <c r="J11" t="n">
        <v>2</v>
      </c>
      <c r="L11" t="n">
        <v>3</v>
      </c>
      <c r="N11" t="n">
        <v>4</v>
      </c>
      <c r="P11" s="160" t="n"/>
      <c r="AB11" t="inlineStr">
        <is>
          <t>dneutral = dc*(1-ρm/65.4)</t>
        </is>
      </c>
      <c r="AD11" s="646" t="inlineStr">
        <is>
          <t>We=W*(1-ρm/65.4)</t>
        </is>
      </c>
      <c r="AE11" s="449" t="n"/>
      <c r="AF11" t="inlineStr">
        <is>
          <t>As3</t>
        </is>
      </c>
      <c r="AG11" t="inlineStr">
        <is>
          <t>p3</t>
        </is>
      </c>
      <c r="AH11" t="inlineStr">
        <is>
          <t>wL3</t>
        </is>
      </c>
      <c r="AK11" s="253" t="inlineStr">
        <is>
          <t>CDC</t>
        </is>
      </c>
      <c r="AL11" s="245" t="inlineStr">
        <is>
          <t>C-75</t>
        </is>
      </c>
    </row>
    <row r="12">
      <c r="A12" s="249">
        <f>IF($H$9=1,"Cmt above DVT","")</f>
        <v/>
      </c>
      <c r="B12" s="265" t="n"/>
      <c r="C12" s="265" t="n"/>
      <c r="D12" s="265" t="n"/>
      <c r="E12" s="265" t="n"/>
      <c r="F12" s="265" t="n"/>
      <c r="G12" s="265" t="n"/>
      <c r="H12" s="265" t="n"/>
      <c r="I12" s="265" t="n"/>
      <c r="J12" s="471" t="n"/>
      <c r="K12" s="264" t="n"/>
      <c r="L12" s="265" t="n"/>
      <c r="M12" s="265" t="n"/>
      <c r="N12" s="265" t="n"/>
      <c r="O12" s="265" t="n"/>
      <c r="P12">
        <f>$H12*$I12+$J12*$K12+$L12*$M12+$N12*$O12</f>
        <v/>
      </c>
      <c r="Q12" s="449">
        <f>IF($C12&gt;0,(1/(((((B$20/100)*$B12)+$B12)^2-$C12^2)/183.35))*(P12),0)</f>
        <v/>
      </c>
      <c r="R12" s="612">
        <f>IF($H$9=1,IF(Q12&gt;D$12,"Surface",D12-Q12),IF((Q12+Q14+Q16)&gt;MAX(D$12:D$16),"Surface",MAX(D$12:D$16)-Q16-Q14-Q12))</f>
        <v/>
      </c>
      <c r="S12" s="449">
        <f>0.05194806*B19*B18-B21*B19</f>
        <v/>
      </c>
      <c r="T12">
        <f>DGET('Casing Strengths'!A$7:P$2700,'Casing Strengths'!D$7,C11:G12)</f>
        <v/>
      </c>
      <c r="U12" s="449">
        <f>0.05194806*(B$18-$B$23)*DxSurvey!H57</f>
        <v/>
      </c>
      <c r="V12" s="243">
        <f>T12/U12</f>
        <v/>
      </c>
      <c r="W12">
        <f>DGET('Casing Strengths'!A$7:P$2700,'Casing Strengths'!E7,C11:G12)</f>
        <v/>
      </c>
      <c r="X12" s="449">
        <f>IF(D12=0,0,IF($B$22=0,MAX((0.05194806*$B$18*DxSurvey!H57),MIN($I$24-($B$19-DxSurvey!H57)*$B$36,$L$24-$B$21*($B$19-DxSurvey!H57))),MAX((0.05194806*($B$18-$B$22)*DxSurvey!H57),MIN(($I$24-($B$19-DxSurvey!H57)*$B$36-(0.05194806*$B$22*DxSurvey!H57)),$L$24-$B$21*($B$19-DxSurvey!H57)-(0.05194806*$B$22*DxSurvey!H57)))))</f>
        <v/>
      </c>
      <c r="Y12" s="243">
        <f>W12/X12</f>
        <v/>
      </c>
      <c r="Z12">
        <f>DGET('Casing Strengths'!A$7:P$2700,'Casing Strengths'!J7,C11:G12)</f>
        <v/>
      </c>
      <c r="AA12" s="243">
        <f>IF(B17="Y",Z12/AD12,Z12/AC12)</f>
        <v/>
      </c>
      <c r="AB12" s="449">
        <f>DxSurvey!H57*(1-B18/65.4)</f>
        <v/>
      </c>
      <c r="AC12" s="719">
        <f>(AH12+AH14+AH16)/1000</f>
        <v/>
      </c>
      <c r="AD12" s="720">
        <f>AI12/1000</f>
        <v/>
      </c>
      <c r="AE12" s="721">
        <f>DGET('Casing Strengths'!A$7:P$2700,'Casing Strengths'!N$7,C11:G12)</f>
        <v/>
      </c>
      <c r="AF12" s="722">
        <f>PI()/4*(C12^2-AE12^2)</f>
        <v/>
      </c>
      <c r="AG12" s="719">
        <f>0.05194806*B18*DxSurvey!H57</f>
        <v/>
      </c>
      <c r="AH12" s="723">
        <f>E12*DxSurvey!F57</f>
        <v/>
      </c>
      <c r="AI12" s="723">
        <f>AH12+AH14+AH16-((AG16-AG14)*AF16+(AG14-AG12)*AF14+AG12*AF12)</f>
        <v/>
      </c>
      <c r="AK12" s="254" t="inlineStr">
        <is>
          <t>DDS</t>
        </is>
      </c>
      <c r="AL12" s="245" t="inlineStr">
        <is>
          <t>C-90</t>
        </is>
      </c>
    </row>
    <row r="13" customFormat="1" s="29">
      <c r="A13" s="28" t="n"/>
      <c r="B13" s="155" t="n"/>
      <c r="C13" s="29" t="inlineStr">
        <is>
          <t>A</t>
        </is>
      </c>
      <c r="E13" s="29" t="inlineStr">
        <is>
          <t>B</t>
        </is>
      </c>
      <c r="F13" s="29" t="inlineStr">
        <is>
          <t>C</t>
        </is>
      </c>
      <c r="G13" s="29" t="inlineStr">
        <is>
          <t>I</t>
        </is>
      </c>
      <c r="H13" s="29" t="n">
        <v>5</v>
      </c>
      <c r="J13" s="29" t="n">
        <v>6</v>
      </c>
      <c r="K13" s="123" t="inlineStr">
        <is>
          <t xml:space="preserve"> </t>
        </is>
      </c>
      <c r="L13" s="29" t="n">
        <v>7</v>
      </c>
      <c r="N13" s="29" t="n">
        <v>8</v>
      </c>
      <c r="P13" s="159">
        <f>$J12*$K12+$N12*$O12</f>
        <v/>
      </c>
      <c r="Q13" s="133">
        <f>IF($C12&gt;0,IF(H9=1,MIN(D19-G9,(1/((((($B$20/100)*$B12)+$B12)^2-$C12^2)/183.35))*(P13)),(1/((((($B$20/100)*$B12)+$B12)^2-$C12^2)/183.35))*(P13)),0)</f>
        <v/>
      </c>
      <c r="R13" s="132">
        <f>IF((Q13+Q15+Q17)&gt;MAX(D$12:D$16),"Surface",MAX(D$12:D$16)-Q17-Q15-Q13)</f>
        <v/>
      </c>
      <c r="U13" s="449" t="n"/>
      <c r="X13" s="449" t="n"/>
      <c r="AD13" s="646" t="n"/>
      <c r="AF13" t="inlineStr">
        <is>
          <t>As2</t>
        </is>
      </c>
      <c r="AG13" t="inlineStr">
        <is>
          <t>p2</t>
        </is>
      </c>
      <c r="AH13" t="inlineStr">
        <is>
          <t>wL2</t>
        </is>
      </c>
      <c r="AK13" s="253" t="inlineStr">
        <is>
          <t>DQX</t>
        </is>
      </c>
      <c r="AL13" s="245" t="inlineStr">
        <is>
          <t>C-95</t>
        </is>
      </c>
    </row>
    <row r="14">
      <c r="A14" s="249">
        <f>IF(H9=1,"Cmt below DVT","")</f>
        <v/>
      </c>
      <c r="B14" s="265" t="n"/>
      <c r="C14" s="265" t="n"/>
      <c r="D14" s="471" t="n"/>
      <c r="E14" s="265" t="n"/>
      <c r="F14" s="265" t="n"/>
      <c r="G14" s="265" t="n"/>
      <c r="H14" s="265" t="n"/>
      <c r="I14" s="265" t="n"/>
      <c r="J14" s="265" t="n"/>
      <c r="K14" s="264" t="n"/>
      <c r="L14" s="265" t="n"/>
      <c r="M14" s="265" t="n"/>
      <c r="N14" s="265" t="n"/>
      <c r="O14" s="265" t="n"/>
      <c r="P14">
        <f>$H14*$I14+$J14*$K14+$L14*$M14+$N14*$O14</f>
        <v/>
      </c>
      <c r="Q14" s="449">
        <f>IF($C14&gt;0,IF($H$9=1,MIN(D14-D12,(1/(((((B$20/100)*$B14)+$B14)^2-$C14^2)/183.35))*(P14)),(1/(((((B$20/100)*$B14)+$B14)^2-$C14^2)/183.35))*(P14)),0)</f>
        <v/>
      </c>
      <c r="R14" s="612" t="n"/>
      <c r="S14" t="inlineStr">
        <is>
          <t xml:space="preserve"> </t>
        </is>
      </c>
      <c r="T14">
        <f>DGET('Casing Strengths'!A$7:P$2700,'Casing Strengths'!D$7,C13:G14)</f>
        <v/>
      </c>
      <c r="U14" s="449">
        <f>0.05194806*(B$18-$B$23)*DxSurvey!H58</f>
        <v/>
      </c>
      <c r="V14" s="243">
        <f>T14/U14</f>
        <v/>
      </c>
      <c r="W14">
        <f>DGET('Casing Strengths'!A$7:P$2700,'Casing Strengths'!E7,C13:G14)</f>
        <v/>
      </c>
      <c r="X14" s="449">
        <f>IF(D14=0,0,IF($B$22=0,MAX((0.05194806*$B$18*DxSurvey!H58),MIN($I$24-($B$19-DxSurvey!H58)*$B$36,$L$24-$B$21*($B$19-DxSurvey!H58))),MAX((0.05194806*($B$18-$B$22)*DxSurvey!H58),MIN(($I$24-($B$19-DxSurvey!H58)*$B$36-(0.05194806*$B$22*DxSurvey!H58)),$L$24-$B$21*($B$19-DxSurvey!H58)-(0.05194806*$B$22*DxSurvey!H58)))))</f>
        <v/>
      </c>
      <c r="Y14" s="243">
        <f>W14/X14</f>
        <v/>
      </c>
      <c r="Z14">
        <f>DGET('Casing Strengths'!A$7:P$2700,'Casing Strengths'!J7,C13:G14)</f>
        <v/>
      </c>
      <c r="AA14" s="243">
        <f>IF(B17="Y",Z14/AD14,Z14/AC14)</f>
        <v/>
      </c>
      <c r="AB14" s="449">
        <f>DxSurvey!H58*(1-B18/65.4)</f>
        <v/>
      </c>
      <c r="AC14" s="719">
        <f>(AH14+AH16)/1000</f>
        <v/>
      </c>
      <c r="AD14" s="720">
        <f>AI14/1000</f>
        <v/>
      </c>
      <c r="AE14" s="721">
        <f>IF(C14=0,0,DGET('Casing Strengths'!A$7:P$2700,'Casing Strengths'!N$7,C13:G14))</f>
        <v/>
      </c>
      <c r="AF14" s="722">
        <f>PI()/4*(C14^2-AE14^2)</f>
        <v/>
      </c>
      <c r="AG14">
        <f>0.05194806*B18*DxSurvey!H58</f>
        <v/>
      </c>
      <c r="AH14" s="723">
        <f>E14*(DxSurvey!F58-DxSurvey!F57)</f>
        <v/>
      </c>
      <c r="AI14" s="723">
        <f>AH14+AH16-((AG16-AG14)*AF16+AG14*AF14)</f>
        <v/>
      </c>
      <c r="AK14" s="253" t="inlineStr">
        <is>
          <t>LTC</t>
        </is>
      </c>
      <c r="AL14" s="245" t="inlineStr">
        <is>
          <t>H2S-90</t>
        </is>
      </c>
    </row>
    <row r="15" customFormat="1" s="29">
      <c r="A15" s="28" t="n"/>
      <c r="B15" s="155" t="n"/>
      <c r="C15" s="29" t="inlineStr">
        <is>
          <t>A</t>
        </is>
      </c>
      <c r="E15" s="29" t="inlineStr">
        <is>
          <t>B</t>
        </is>
      </c>
      <c r="F15" s="29" t="inlineStr">
        <is>
          <t>C</t>
        </is>
      </c>
      <c r="G15" s="29" t="inlineStr">
        <is>
          <t>I</t>
        </is>
      </c>
      <c r="H15" s="29" t="n">
        <v>9</v>
      </c>
      <c r="J15" s="29" t="n">
        <v>10</v>
      </c>
      <c r="K15" s="123" t="n"/>
      <c r="L15" s="29" t="n">
        <v>11</v>
      </c>
      <c r="N15" s="29" t="n">
        <v>12</v>
      </c>
      <c r="P15" s="159">
        <f>$J14*$K14+$N14*$O14</f>
        <v/>
      </c>
      <c r="Q15" s="133">
        <f>IF($C14&gt;0,(1/((((($B$20/100)*$B14)+$B14)^2-$C14^2)/183.35))*(P15), 0)</f>
        <v/>
      </c>
      <c r="R15" s="614" t="n"/>
      <c r="U15" s="449" t="n"/>
      <c r="X15" s="449" t="n"/>
      <c r="AD15" s="646" t="n"/>
      <c r="AF15" t="inlineStr">
        <is>
          <t>As1</t>
        </is>
      </c>
      <c r="AG15" t="inlineStr">
        <is>
          <t>p1</t>
        </is>
      </c>
      <c r="AH15" t="inlineStr">
        <is>
          <t>wL1</t>
        </is>
      </c>
      <c r="AK15" s="253" t="inlineStr">
        <is>
          <t>PE</t>
        </is>
      </c>
      <c r="AL15" s="245" t="inlineStr">
        <is>
          <t>H2S-95</t>
        </is>
      </c>
    </row>
    <row r="16" ht="15.75" customHeight="1" s="613" thickBot="1">
      <c r="A16" s="700" t="n"/>
      <c r="B16" s="265" t="n"/>
      <c r="C16" s="265" t="n"/>
      <c r="D16" s="265" t="n"/>
      <c r="E16" s="265" t="n"/>
      <c r="F16" s="265" t="n"/>
      <c r="G16" s="265" t="n"/>
      <c r="H16" s="265" t="n"/>
      <c r="I16" s="265" t="n"/>
      <c r="J16" s="265" t="n"/>
      <c r="K16" s="264" t="n"/>
      <c r="L16" s="265" t="n"/>
      <c r="M16" s="265" t="n"/>
      <c r="N16" s="265" t="n"/>
      <c r="O16" s="265" t="n"/>
      <c r="P16">
        <f>$H16*$I16+$J16*$K16+$L16*$M16+$N16*$O16</f>
        <v/>
      </c>
      <c r="Q16" s="449">
        <f>IF($C16&gt;0,(1/(((((B$20/100)*$B16)+$B16)^2-$C16^2)/183.35))*(P16), 0)</f>
        <v/>
      </c>
      <c r="R16" s="612" t="n"/>
      <c r="S16" t="inlineStr">
        <is>
          <t xml:space="preserve"> </t>
        </is>
      </c>
      <c r="T16">
        <f>DGET('Casing Strengths'!A$7:P$2700,'Casing Strengths'!D$7,C14:G16)</f>
        <v/>
      </c>
      <c r="U16" s="449">
        <f>0.05194806*(B$18-$B$23)*DxSurvey!H59</f>
        <v/>
      </c>
      <c r="V16">
        <f>T16/U16</f>
        <v/>
      </c>
      <c r="W16">
        <f>DGET('Casing Strengths'!A$7:P$2700,'Casing Strengths'!E7,C15:G16)</f>
        <v/>
      </c>
      <c r="X16" s="449">
        <f>IF(D16=0,0,IF($B$22=0,MAX((0.05194806*$B$18*DxSurvey!H59),MIN($I$24,$L$24-$B$21*($B$19-DxSurvey!H59))),MAX((0.05194806*($B$18-$B$22)*DxSurvey!H59),MIN(($I$24-(0.05194806*$B$22*DxSurvey!H59)),$L$24-$B$21*($B$19-DxSurvey!H59)-(0.05194806*$B$22*DxSurvey!H59)))))</f>
        <v/>
      </c>
      <c r="Y16">
        <f>W16/X16</f>
        <v/>
      </c>
      <c r="Z16">
        <f>DGET('Casing Strengths'!A$7:P$2700,'Casing Strengths'!J7,C15:G16)</f>
        <v/>
      </c>
      <c r="AA16">
        <f>IF(B17="Y",Z16/AD16,Z16/AC16)</f>
        <v/>
      </c>
      <c r="AB16">
        <f>DxSurvey!H59*(1-B18/65.4)</f>
        <v/>
      </c>
      <c r="AC16" s="719">
        <f>(AH16)/1000</f>
        <v/>
      </c>
      <c r="AD16" s="720">
        <f>AI16/1000</f>
        <v/>
      </c>
      <c r="AE16" s="721">
        <f>IF(C16=0,0,DGET('Casing Strengths'!A$7:P$2700,'Casing Strengths'!N$7,C15:G16))</f>
        <v/>
      </c>
      <c r="AF16">
        <f>PI()/4*(C16^2-AE16^2)</f>
        <v/>
      </c>
      <c r="AG16">
        <f>0.05194806*B18*DxSurvey!H59</f>
        <v/>
      </c>
      <c r="AH16" s="723">
        <f>E16*(DxSurvey!F59-DxSurvey!F58)</f>
        <v/>
      </c>
      <c r="AI16" s="723">
        <f>AH16-(AG16*AF16)</f>
        <v/>
      </c>
      <c r="AK16" s="254" t="inlineStr">
        <is>
          <t>STC</t>
        </is>
      </c>
      <c r="AL16" s="245" t="inlineStr">
        <is>
          <t>H-40</t>
        </is>
      </c>
    </row>
    <row r="17">
      <c r="A17" s="432" t="inlineStr">
        <is>
          <t>Buoyed</t>
        </is>
      </c>
      <c r="B17" s="162" t="n"/>
      <c r="C17" s="656" t="n"/>
      <c r="P17" s="159">
        <f>$J16*$K16+$N16*$O16</f>
        <v/>
      </c>
      <c r="Q17" s="133">
        <f>IF($C16&gt;0,(1/((((($B$20/100)*$B16)+$B16)^2-$C16^2)/183.35))*(P17), 0)</f>
        <v/>
      </c>
      <c r="AD17" s="646" t="n"/>
      <c r="AE17" s="449" t="n"/>
      <c r="AK17" s="254" t="inlineStr">
        <is>
          <t>ST-L</t>
        </is>
      </c>
      <c r="AL17" s="245" t="inlineStr">
        <is>
          <t>HCK-55</t>
        </is>
      </c>
    </row>
    <row r="18">
      <c r="A18" s="700" t="inlineStr">
        <is>
          <t>MW</t>
        </is>
      </c>
      <c r="B18" s="265" t="n"/>
      <c r="C18" s="646" t="inlineStr">
        <is>
          <t>ppg</t>
        </is>
      </c>
      <c r="AD18" s="646" t="n"/>
      <c r="AE18" s="449" t="n"/>
      <c r="AK18" s="253" t="inlineStr">
        <is>
          <t>TTRS1</t>
        </is>
      </c>
      <c r="AL18" s="245" t="inlineStr">
        <is>
          <t>HCL-80</t>
        </is>
      </c>
    </row>
    <row r="19">
      <c r="A19" s="700" t="inlineStr">
        <is>
          <t>TVD</t>
        </is>
      </c>
      <c r="B19" s="449">
        <f>IF(AND($E$9="y", E$8="Y"),VLOOKUP(MAX(D12:D23),DxSurvey!$B$16:$H$54,7,FALSE),IF(AND(E$9="y",E$7="y"),MAX(DxSurvey!H$57:H$59),MAX($D$12:D$23)))</f>
        <v/>
      </c>
      <c r="C19" s="646" t="inlineStr">
        <is>
          <t>ft</t>
        </is>
      </c>
      <c r="D19">
        <f>MAX(D12:D16)</f>
        <v/>
      </c>
      <c r="E19" t="inlineStr">
        <is>
          <t>MD</t>
        </is>
      </c>
      <c r="AD19" s="646" t="n"/>
      <c r="AE19" s="721">
        <f>D12/$D$19*AE12+(D14-D12)/$D$19*AE14+(D16-D14)/$D$19*AE16</f>
        <v/>
      </c>
      <c r="AK19" s="254" t="inlineStr">
        <is>
          <t>SLIJ-II</t>
        </is>
      </c>
      <c r="AL19" s="245" t="inlineStr">
        <is>
          <t>HCN-80</t>
        </is>
      </c>
    </row>
    <row r="20">
      <c r="A20" s="700" t="inlineStr">
        <is>
          <t>Hole Washout</t>
        </is>
      </c>
      <c r="B20" s="265" t="n"/>
      <c r="C20" s="646" t="inlineStr">
        <is>
          <t>%</t>
        </is>
      </c>
      <c r="AD20" s="646" t="n"/>
      <c r="AE20" s="449" t="n"/>
      <c r="AK20" s="254" t="inlineStr">
        <is>
          <t>U-SF</t>
        </is>
      </c>
      <c r="AL20" s="245" t="inlineStr">
        <is>
          <t>HCP-110</t>
        </is>
      </c>
    </row>
    <row r="21">
      <c r="A21" s="700" t="inlineStr">
        <is>
          <t>Internal Gradient</t>
        </is>
      </c>
      <c r="B21" s="265" t="n"/>
      <c r="C21" s="646" t="inlineStr">
        <is>
          <t>psi/ft</t>
        </is>
      </c>
      <c r="AD21" s="646" t="n"/>
      <c r="AE21" s="449" t="n"/>
      <c r="AK21" s="255" t="n"/>
      <c r="AL21" s="245" t="inlineStr">
        <is>
          <t>HCQ-125</t>
        </is>
      </c>
    </row>
    <row r="22">
      <c r="A22" s="700" t="inlineStr">
        <is>
          <t>Backup Mud</t>
        </is>
      </c>
      <c r="B22" s="265" t="n"/>
      <c r="C22" s="646" t="inlineStr">
        <is>
          <t>ppg</t>
        </is>
      </c>
      <c r="AD22" s="646" t="n"/>
      <c r="AE22" s="449" t="n"/>
      <c r="AL22" s="245" t="inlineStr">
        <is>
          <t>I-55</t>
        </is>
      </c>
    </row>
    <row r="23" ht="15.75" customHeight="1" s="613" thickBot="1">
      <c r="A23" s="654" t="inlineStr">
        <is>
          <t>Internal Mud</t>
        </is>
      </c>
      <c r="B23" s="156" t="n"/>
      <c r="C23" s="634" t="inlineStr">
        <is>
          <t>ppg</t>
        </is>
      </c>
      <c r="D23" s="633" t="n"/>
      <c r="E23" s="633" t="n"/>
      <c r="F23" s="633" t="n"/>
      <c r="G23" s="633" t="n"/>
      <c r="H23" s="633" t="n"/>
      <c r="I23" s="633" t="n"/>
      <c r="J23" s="633" t="n"/>
      <c r="K23" s="124" t="n"/>
      <c r="L23" s="633" t="n"/>
      <c r="M23" s="633" t="n"/>
      <c r="N23" s="633" t="n"/>
      <c r="O23" s="633" t="n"/>
      <c r="P23" s="633" t="n"/>
      <c r="Q23" s="633" t="n"/>
      <c r="R23" s="633" t="n"/>
      <c r="S23" s="633" t="n"/>
      <c r="T23" s="633" t="n"/>
      <c r="U23" s="633" t="n"/>
      <c r="V23" s="633" t="n"/>
      <c r="W23" s="633" t="n"/>
      <c r="X23" s="633" t="n"/>
      <c r="Y23" s="633" t="n"/>
      <c r="Z23" s="633" t="n"/>
      <c r="AA23" s="633" t="n"/>
      <c r="AB23" s="633" t="n"/>
      <c r="AC23" s="633" t="n"/>
      <c r="AD23" s="634" t="n"/>
      <c r="AE23" s="449" t="n"/>
      <c r="AL23" s="245" t="inlineStr">
        <is>
          <t>I-80</t>
        </is>
      </c>
    </row>
    <row r="24" ht="15.75" customHeight="1" s="613" thickBot="1">
      <c r="A24" s="700" t="inlineStr">
        <is>
          <t>Next Set Depth</t>
        </is>
      </c>
      <c r="B24" s="449">
        <f>IF(B34&gt;0,B34,IF(B49&gt;0,B49,IF(B64&gt;0,B64,B79)))</f>
        <v/>
      </c>
      <c r="C24" s="646" t="inlineStr">
        <is>
          <t>Next MW</t>
        </is>
      </c>
      <c r="D24">
        <f>IF(D27&gt;0,B33,B48)</f>
        <v/>
      </c>
      <c r="E24" t="inlineStr">
        <is>
          <t>Next BHP</t>
        </is>
      </c>
      <c r="F24" s="449">
        <f>IF(B34&gt;0,D24*B34*0.05194806,IF(B49&gt;0,D24*B49*0.05194806,IF(B64&gt;0,D24*B64*0.05194806,D24*B79*0.05194806)))</f>
        <v/>
      </c>
      <c r="G24" t="inlineStr">
        <is>
          <t>Fracture Initiation Pressure</t>
        </is>
      </c>
      <c r="I24" s="449">
        <f>B$9*B19</f>
        <v/>
      </c>
      <c r="J24" t="inlineStr">
        <is>
          <t>Max anticipated pressure at shoe</t>
        </is>
      </c>
      <c r="L24" s="449">
        <f>IF(B34&gt;0,F24-(B34-B19)*B36,IF(B49&gt;0,F39-(B49-B19)*B51,IF(B64&gt;0,F54-(B64-B19)*B66,B19*B18*0.05194806)))</f>
        <v/>
      </c>
      <c r="AD24" s="646" t="n"/>
      <c r="AE24" s="449" t="n"/>
      <c r="AL24" s="245" t="inlineStr">
        <is>
          <t>J-55</t>
        </is>
      </c>
    </row>
    <row r="25" ht="19.5" customHeight="1" s="613" thickBot="1">
      <c r="A25" s="23" t="inlineStr">
        <is>
          <t>STRING 2</t>
        </is>
      </c>
      <c r="B25" s="25" t="inlineStr">
        <is>
          <t>Hole Size</t>
        </is>
      </c>
      <c r="C25" s="25" t="inlineStr">
        <is>
          <t>Csg size</t>
        </is>
      </c>
      <c r="D25" s="25" t="inlineStr">
        <is>
          <t>Set Depth</t>
        </is>
      </c>
      <c r="E25" s="25" t="inlineStr">
        <is>
          <t>Csg Wt</t>
        </is>
      </c>
      <c r="F25" s="25" t="inlineStr">
        <is>
          <t>Csg Grade</t>
        </is>
      </c>
      <c r="G25" s="25" t="inlineStr">
        <is>
          <t>Csg Collar</t>
        </is>
      </c>
      <c r="H25" s="25" t="inlineStr">
        <is>
          <t>Cement Lead Qty</t>
        </is>
      </c>
      <c r="I25" s="25" t="inlineStr">
        <is>
          <t>Cement Lead Yield</t>
        </is>
      </c>
      <c r="J25" s="25" t="inlineStr">
        <is>
          <t>Cement Tail Qty</t>
        </is>
      </c>
      <c r="K25" s="125" t="inlineStr">
        <is>
          <t>Cement Tail Yield</t>
        </is>
      </c>
      <c r="L25" s="25" t="inlineStr">
        <is>
          <t>Cement Lead Qty</t>
        </is>
      </c>
      <c r="M25" s="25" t="inlineStr">
        <is>
          <t>Cement Lead Yield</t>
        </is>
      </c>
      <c r="N25" s="25" t="inlineStr">
        <is>
          <t>Cement Tail Qty</t>
        </is>
      </c>
      <c r="O25" s="25" t="inlineStr">
        <is>
          <t>Cement Tail Yield</t>
        </is>
      </c>
      <c r="P25" s="160" t="inlineStr">
        <is>
          <t>Cement cu. Ft.</t>
        </is>
      </c>
      <c r="Q25" s="25" t="inlineStr">
        <is>
          <t>Cement Height</t>
        </is>
      </c>
      <c r="R25" s="25" t="inlineStr">
        <is>
          <t>TOC</t>
        </is>
      </c>
      <c r="S25" s="25" t="inlineStr">
        <is>
          <t>MASP</t>
        </is>
      </c>
      <c r="T25" s="25" t="inlineStr">
        <is>
          <t>Collapse Strength</t>
        </is>
      </c>
      <c r="U25" s="25" t="inlineStr">
        <is>
          <t>Collapse Load</t>
        </is>
      </c>
      <c r="V25" s="25" t="inlineStr">
        <is>
          <t>Collapse DF</t>
        </is>
      </c>
      <c r="W25" s="25" t="inlineStr">
        <is>
          <t>Burst Strength</t>
        </is>
      </c>
      <c r="X25" s="25" t="inlineStr">
        <is>
          <t>Burst Load</t>
        </is>
      </c>
      <c r="Y25" s="25" t="inlineStr">
        <is>
          <t>Burst DF</t>
        </is>
      </c>
      <c r="Z25" s="25" t="inlineStr">
        <is>
          <t>Tension Strength</t>
        </is>
      </c>
      <c r="AA25" s="25" t="inlineStr">
        <is>
          <t>Tension DF</t>
        </is>
      </c>
      <c r="AB25" s="25" t="inlineStr">
        <is>
          <t>Neutral Point</t>
        </is>
      </c>
      <c r="AC25" s="25" t="inlineStr">
        <is>
          <t>Tension Air</t>
        </is>
      </c>
      <c r="AD25" s="26" t="inlineStr">
        <is>
          <t>Tension Buoyed</t>
        </is>
      </c>
      <c r="AE25" s="449" t="inlineStr">
        <is>
          <t>ID</t>
        </is>
      </c>
      <c r="AF25" t="inlineStr">
        <is>
          <t>As</t>
        </is>
      </c>
      <c r="AG25" t="inlineStr">
        <is>
          <t>pi</t>
        </is>
      </c>
      <c r="AH25" t="inlineStr">
        <is>
          <t>wL</t>
        </is>
      </c>
      <c r="AI25" t="inlineStr">
        <is>
          <t>Fa</t>
        </is>
      </c>
      <c r="AL25" s="245" t="inlineStr">
        <is>
          <t>K-55</t>
        </is>
      </c>
    </row>
    <row r="26" ht="18.75" customHeight="1" s="613">
      <c r="A26" s="23" t="n"/>
      <c r="B26" s="653" t="n"/>
      <c r="C26" s="653" t="inlineStr">
        <is>
          <t>A</t>
        </is>
      </c>
      <c r="D26" s="653" t="n"/>
      <c r="E26" s="653" t="inlineStr">
        <is>
          <t>B</t>
        </is>
      </c>
      <c r="F26" s="653" t="inlineStr">
        <is>
          <t>C</t>
        </is>
      </c>
      <c r="G26" s="653" t="inlineStr">
        <is>
          <t>I</t>
        </is>
      </c>
      <c r="H26" s="653" t="n"/>
      <c r="I26" s="653" t="n"/>
      <c r="J26" s="653" t="n"/>
      <c r="K26" s="126" t="n"/>
      <c r="L26" s="653" t="n"/>
      <c r="M26" s="653" t="n"/>
      <c r="N26" s="653" t="n"/>
      <c r="O26" s="653" t="n"/>
      <c r="P26" s="653" t="n"/>
      <c r="Q26" s="653" t="n"/>
      <c r="R26" s="653" t="n"/>
      <c r="S26" s="653" t="n"/>
      <c r="T26" s="653" t="n"/>
      <c r="U26" s="653" t="n"/>
      <c r="V26" s="653" t="n"/>
      <c r="W26" s="653" t="n"/>
      <c r="X26" s="653" t="n"/>
      <c r="Y26" s="653" t="n"/>
      <c r="Z26" s="653" t="n"/>
      <c r="AA26" s="653" t="n"/>
      <c r="AB26" s="653" t="n"/>
      <c r="AC26" s="653" t="n"/>
      <c r="AD26" s="656" t="n"/>
      <c r="AE26" s="449" t="n"/>
      <c r="AF26" t="inlineStr">
        <is>
          <t>As3</t>
        </is>
      </c>
      <c r="AG26" t="inlineStr">
        <is>
          <t>p3</t>
        </is>
      </c>
      <c r="AH26" t="inlineStr">
        <is>
          <t>wL3</t>
        </is>
      </c>
      <c r="AL26" s="245" t="inlineStr">
        <is>
          <t>L-80</t>
        </is>
      </c>
    </row>
    <row r="27" ht="15.75" customHeight="1" s="613" thickBot="1">
      <c r="A27" s="249">
        <f>IF($H$9=2,"Cmt above DVT","")</f>
        <v/>
      </c>
      <c r="B27" s="265" t="n"/>
      <c r="C27" s="265" t="n"/>
      <c r="D27" s="265" t="n"/>
      <c r="E27" s="265" t="n"/>
      <c r="F27" s="265" t="n"/>
      <c r="G27" s="265" t="n"/>
      <c r="H27" s="265" t="n"/>
      <c r="I27" s="265" t="n"/>
      <c r="J27" s="265" t="n"/>
      <c r="K27" s="264" t="n"/>
      <c r="L27" s="265" t="n"/>
      <c r="M27" s="265" t="n"/>
      <c r="N27" s="265" t="n"/>
      <c r="O27" s="265" t="n"/>
      <c r="P27">
        <f>$H27*$I27+$J27*$K27+$L27*$M27+$N27*$O27</f>
        <v/>
      </c>
      <c r="Q27" s="449">
        <f>IF($C27&gt;0,MIN((1/((((($B$35/100)*$B27)+$B27)^2-$C27^2)/183.35))*(P27),$D$34-$D$19)+MAX(($P27-((((($B$35/100)*$B27)+$B27)^2-$C27^2)/183.35)*($D$34-$D$19))*(1/(($AE$19^2-$C27^2)/183.35)),0), 0)</f>
        <v/>
      </c>
      <c r="R27" s="612">
        <f>IF($H$9=2,IF(Q27&gt;D$27,"Surface",D27-Q27),IF((Q27+Q29+Q31)&gt;MAX(D$27:D$31),"Surface",MAX(D$27:D$31)-Q31-Q29-Q27))</f>
        <v/>
      </c>
      <c r="S27" s="449">
        <f>0.05194806*B34*B33-B36*B34</f>
        <v/>
      </c>
      <c r="T27">
        <f>DGET('Casing Strengths'!A$7:P$2700,'Casing Strengths'!D$7,C26:G27)</f>
        <v/>
      </c>
      <c r="U27" s="449">
        <f>0.05194806*(B$33-$B$38)*DxSurvey!H60</f>
        <v/>
      </c>
      <c r="V27" s="243">
        <f>T27/U27</f>
        <v/>
      </c>
      <c r="W27">
        <f>DGET('Casing Strengths'!A$7:P$2700,'Casing Strengths'!E7,C26:G27)</f>
        <v/>
      </c>
      <c r="X27" s="449">
        <f>IF(D27=0,0,IF($B$37=0,MAX((0.05194806*$B$33*DxSurvey!H60),MIN($I$39,$L$39-$B$36*($B$34-DxSurvey!H60))),MAX((0.05194806*($B$33-$B$37)*DxSurvey!H60),MIN(($I$39-(0.05194806*$B$37*DxSurvey!H60)),$L$39-$B$36*($B$34-DxSurvey!H60)-(0.05194806*$B$37*DxSurvey!H60)))))</f>
        <v/>
      </c>
      <c r="Y27" s="243">
        <f>W27/X27</f>
        <v/>
      </c>
      <c r="Z27">
        <f>DGET('Casing Strengths'!A$7:P$2700,'Casing Strengths'!J7,C26:G27)</f>
        <v/>
      </c>
      <c r="AA27" s="243">
        <f>IF(B32="Y",Z27/AD27,Z27/AC27)</f>
        <v/>
      </c>
      <c r="AB27" s="449">
        <f>DxSurvey!H60*(1-B33/65.4)</f>
        <v/>
      </c>
      <c r="AC27" s="719">
        <f>(AH27+AH29+AH31)/1000</f>
        <v/>
      </c>
      <c r="AD27" s="720">
        <f>AI27/1000</f>
        <v/>
      </c>
      <c r="AE27" s="721">
        <f>DGET('Casing Strengths'!A$7:P$2700,'Casing Strengths'!N$7,C26:G27)</f>
        <v/>
      </c>
      <c r="AF27" s="722">
        <f>PI()/4*(C27^2-AE27^2)</f>
        <v/>
      </c>
      <c r="AG27" s="723">
        <f>0.05194806*B33*DxSurvey!H60</f>
        <v/>
      </c>
      <c r="AH27" s="723">
        <f>E27*DxSurvey!F60</f>
        <v/>
      </c>
      <c r="AI27" s="723">
        <f>AH27+AH29+AH31-((AG31-AG29)*AF31+(AG29-AG27)*AF29+AG27*AF27)</f>
        <v/>
      </c>
      <c r="AL27" s="245" t="inlineStr">
        <is>
          <t>N-80</t>
        </is>
      </c>
    </row>
    <row r="28" customFormat="1" s="29">
      <c r="A28" s="28" t="n"/>
      <c r="B28" s="155" t="n"/>
      <c r="C28" s="30" t="inlineStr">
        <is>
          <t>A</t>
        </is>
      </c>
      <c r="D28" s="30" t="n"/>
      <c r="E28" s="30" t="inlineStr">
        <is>
          <t>B</t>
        </is>
      </c>
      <c r="F28" s="30" t="inlineStr">
        <is>
          <t>C</t>
        </is>
      </c>
      <c r="G28" s="30" t="inlineStr">
        <is>
          <t>I</t>
        </is>
      </c>
      <c r="K28" s="123" t="n"/>
      <c r="P28" s="159">
        <f>$J27*$K27+$N27*$O27</f>
        <v/>
      </c>
      <c r="Q28" s="133">
        <f>IF($C27&gt;0,(1/((((($B$35/100)*$B27)+$B27)^2-$C27^2)/183.35))*(P28), 0)</f>
        <v/>
      </c>
      <c r="R28" s="132">
        <f>IF((Q28+Q30+Q32)&gt;MAX(D$27:D$31),"Surface",MAX(D$27:D$31)-Q32-Q30-Q28)</f>
        <v/>
      </c>
      <c r="U28" s="449" t="n"/>
      <c r="X28" s="449" t="n"/>
      <c r="AD28" s="646" t="n"/>
      <c r="AF28" t="inlineStr">
        <is>
          <t>As2</t>
        </is>
      </c>
      <c r="AG28" t="inlineStr">
        <is>
          <t>p2</t>
        </is>
      </c>
      <c r="AH28" t="inlineStr">
        <is>
          <t>wL2</t>
        </is>
      </c>
      <c r="AL28" s="245" t="inlineStr">
        <is>
          <t>P-110</t>
        </is>
      </c>
    </row>
    <row r="29" ht="15.75" customHeight="1" s="613" thickBot="1">
      <c r="A29" s="249">
        <f>IF($H$9=2,"Cmt below DVT","")</f>
        <v/>
      </c>
      <c r="B29" s="265" t="n"/>
      <c r="C29" s="265" t="n"/>
      <c r="D29" s="265" t="n"/>
      <c r="E29" s="265" t="n"/>
      <c r="F29" s="265" t="n"/>
      <c r="G29" s="265" t="n"/>
      <c r="H29" s="265" t="n"/>
      <c r="I29" s="265" t="n"/>
      <c r="J29" s="265" t="n"/>
      <c r="K29" s="264" t="n"/>
      <c r="L29" s="265" t="n"/>
      <c r="M29" s="265" t="n"/>
      <c r="N29" s="265" t="n"/>
      <c r="O29" s="265" t="n"/>
      <c r="P29">
        <f>$H29*$I29+$J29*$K29+$L29*$M29+$N29*$O29</f>
        <v/>
      </c>
      <c r="Q29" s="449">
        <f>IF($C29&gt;0,IF($H$9=2,MIN(D29-D27,MIN((1/((((($B$35/100)*$B29)+$B29)^2-$C29^2)/183.35))*(P29),$D$34-$D$19)+MAX(($P29-((((($B$35/100)*$B29)+$B29)^2-$C29^2)/183.35)*($D$34-$D$19))*(1/(($AE$19^2-$C29^2)/183.35)),0)),MIN((1/((((($B$35/100)*$B29)+$B29)^2-$C29^2)/183.35))*(P29),$D$34-$D$19)+MAX(($P29-((((($B$35/100)*$B29)+$B29)^2-$C29^2)/183.35)*($D$34-$D$19))*(1/(($AE$19^2-$C29^2)/183.35)),0)),0)</f>
        <v/>
      </c>
      <c r="R29" s="612" t="n"/>
      <c r="T29">
        <f>DGET('Casing Strengths'!A$7:P$2700,'Casing Strengths'!D$7,C28:G29)</f>
        <v/>
      </c>
      <c r="U29" s="449">
        <f>0.05194806*(B$33-$B$38)*DxSurvey!H61</f>
        <v/>
      </c>
      <c r="V29" s="243">
        <f>T29/U29</f>
        <v/>
      </c>
      <c r="W29">
        <f>DGET('Casing Strengths'!A$7:P$2700,'Casing Strengths'!E7,C28:G29)</f>
        <v/>
      </c>
      <c r="X29" s="449">
        <f>IF(D29=0,0,IF($B$37=0,MAX((0.05194806*$B$33*DxSurvey!H61),MIN($I$39,$L$39-$B$36*($B$34-DxSurvey!H61))),MAX((0.05194806*($B$33-$B$37)*DxSurvey!H61),MIN(($I$39-(0.05194806*$B$37*DxSurvey!H61)),$L$39-$B$36*($B$34-DxSurvey!H61)-(0.05194806*$B$37*DxSurvey!H61)))))</f>
        <v/>
      </c>
      <c r="Y29" s="243">
        <f>W29/X29</f>
        <v/>
      </c>
      <c r="Z29">
        <f>DGET('Casing Strengths'!A$7:P$2700,'Casing Strengths'!J7,C28:G29)</f>
        <v/>
      </c>
      <c r="AA29" s="243">
        <f>IF(B32="Y",Z29/AD29,Z29/AC29)</f>
        <v/>
      </c>
      <c r="AB29" s="449">
        <f>DxSurvey!H61*(1-B33/65.4)</f>
        <v/>
      </c>
      <c r="AC29" s="719">
        <f>(AH29+AH31)/1000</f>
        <v/>
      </c>
      <c r="AD29" s="720">
        <f>AI29/1000</f>
        <v/>
      </c>
      <c r="AE29" s="721">
        <f>IF(C29=0,0,DGET('Casing Strengths'!A$7:P$2700,'Casing Strengths'!N$7,C28:G29))</f>
        <v/>
      </c>
      <c r="AF29" s="722">
        <f>PI()/4*(C29^2-AE29^2)</f>
        <v/>
      </c>
      <c r="AG29" s="723">
        <f>0.05194806*B33*DxSurvey!H61</f>
        <v/>
      </c>
      <c r="AH29" s="723">
        <f>E29*(DxSurvey!F61-DxSurvey!F60)</f>
        <v/>
      </c>
      <c r="AI29" s="723">
        <f>AH29+AH31-((AG31-AG29)*AF31+AG29*AF29)</f>
        <v/>
      </c>
      <c r="AL29" s="245" t="inlineStr">
        <is>
          <t>Q-125</t>
        </is>
      </c>
    </row>
    <row r="30" customFormat="1" s="29">
      <c r="A30" s="28" t="n"/>
      <c r="B30" s="155" t="n"/>
      <c r="C30" s="30" t="inlineStr">
        <is>
          <t>A</t>
        </is>
      </c>
      <c r="D30" s="30" t="n"/>
      <c r="E30" s="30" t="inlineStr">
        <is>
          <t>B</t>
        </is>
      </c>
      <c r="F30" s="30" t="inlineStr">
        <is>
          <t>C</t>
        </is>
      </c>
      <c r="G30" s="30" t="inlineStr">
        <is>
          <t>I</t>
        </is>
      </c>
      <c r="K30" s="123" t="n"/>
      <c r="P30" s="159">
        <f>$J29*$K29+$N29*$O29</f>
        <v/>
      </c>
      <c r="Q30" s="133">
        <f>IF($C29&gt;0,(1/((((($B$35/100)*$B29)+$B29)^2-$C29^2)/183.35))*(P30), 0)</f>
        <v/>
      </c>
      <c r="U30" s="449" t="n"/>
      <c r="X30" s="449" t="n"/>
      <c r="AD30" s="646" t="n"/>
      <c r="AF30" t="inlineStr">
        <is>
          <t>As1</t>
        </is>
      </c>
      <c r="AG30" t="inlineStr">
        <is>
          <t>p1</t>
        </is>
      </c>
      <c r="AH30" t="inlineStr">
        <is>
          <t>wL1</t>
        </is>
      </c>
      <c r="AL30" s="245" t="inlineStr">
        <is>
          <t>S-95</t>
        </is>
      </c>
    </row>
    <row r="31" ht="15.75" customHeight="1" s="613" thickBot="1">
      <c r="A31" s="700" t="n"/>
      <c r="B31" s="265" t="n"/>
      <c r="C31" s="265" t="n"/>
      <c r="D31" s="265" t="n"/>
      <c r="E31" s="265" t="n"/>
      <c r="F31" s="265" t="n"/>
      <c r="G31" s="265" t="n"/>
      <c r="H31" s="265" t="n"/>
      <c r="I31" s="265" t="n"/>
      <c r="J31" s="265" t="n"/>
      <c r="K31" s="264" t="n"/>
      <c r="L31" s="265" t="n"/>
      <c r="M31" s="265" t="n"/>
      <c r="N31" s="265" t="n"/>
      <c r="O31" s="265" t="n"/>
      <c r="P31">
        <f>$H31*$I31+$J31*$K31+$L31*$M31+$N31*$O31</f>
        <v/>
      </c>
      <c r="Q31" s="449">
        <f>IF($C31&gt;0,MIN((1/((((($B$35/100)*$B31)+$B31)^2-$C31^2)/183.35))*(P31),$D$34-$D$19)+MAX(($P31-((((($B$35/100)*$B31)+$B31)^2-$C31^2)/183.35)*($D$34-$D$19))*(1/(($AE$19^2-$C31^2)/183.35)),0), 0)</f>
        <v/>
      </c>
      <c r="R31" s="612" t="n"/>
      <c r="T31">
        <f>DGET('Casing Strengths'!A$7:P$2700,'Casing Strengths'!D$7,C30:G31)</f>
        <v/>
      </c>
      <c r="U31" s="449">
        <f>0.05194806*(B$33-$B$38)*DxSurvey!H62</f>
        <v/>
      </c>
      <c r="V31" s="243">
        <f>T31/U31</f>
        <v/>
      </c>
      <c r="W31">
        <f>DGET('Casing Strengths'!A$7:P$2700,'Casing Strengths'!E7,C30:G31)</f>
        <v/>
      </c>
      <c r="X31" s="449">
        <f>IF(D31=0,0,IF($B$37=0,MAX((0.05194806*$B$33*DxSurvey!H62),MIN($I$39,$L$39-$B$36*($B$34-DxSurvey!H62))),MAX((0.05194806*($B$33-$B$37)*DxSurvey!H62),MIN(($I$39-(0.05194806*$B$37*DxSurvey!H62)),$L$39-$B$36*($B$34-DxSurvey!H62)-(0.05194806*$B$37*DxSurvey!H62)))))</f>
        <v/>
      </c>
      <c r="Y31" s="243">
        <f>W31/X31</f>
        <v/>
      </c>
      <c r="Z31">
        <f>DGET('Casing Strengths'!A$7:P$2700,'Casing Strengths'!J7,C30:G31)</f>
        <v/>
      </c>
      <c r="AA31" s="243">
        <f>IF(B32="Y",Z31/AD31,Z31/AC31)</f>
        <v/>
      </c>
      <c r="AB31" s="449">
        <f>DxSurvey!H62*(1-B33/65.4)</f>
        <v/>
      </c>
      <c r="AC31" s="719">
        <f>(AH31)/1000</f>
        <v/>
      </c>
      <c r="AD31" s="720">
        <f>AI31/1000</f>
        <v/>
      </c>
      <c r="AE31">
        <f>IF(C31=0,0,DGET('Casing Strengths'!A$7:P$2700,'Casing Strengths'!N$7,C30:G31))</f>
        <v/>
      </c>
      <c r="AF31">
        <f>PI()/4*(C31^2-AE31^2)</f>
        <v/>
      </c>
      <c r="AG31">
        <f>0.05194806*B33*DxSurvey!H62</f>
        <v/>
      </c>
      <c r="AH31" s="723">
        <f>E31*(DxSurvey!F62-DxSurvey!F61)</f>
        <v/>
      </c>
      <c r="AI31" s="723">
        <f>AH31-(AG31*AF31)</f>
        <v/>
      </c>
      <c r="AL31" s="245" t="inlineStr">
        <is>
          <t>T-95</t>
        </is>
      </c>
    </row>
    <row r="32">
      <c r="A32" s="432" t="inlineStr">
        <is>
          <t>Buoyed</t>
        </is>
      </c>
      <c r="B32" s="162" t="n"/>
      <c r="C32" s="656" t="n"/>
      <c r="P32" s="159">
        <f>$J31*$K31+$N31*$O31</f>
        <v/>
      </c>
      <c r="Q32" s="133">
        <f>IF($C31&gt;0,(1/((((($B$35/100)*$B31)+$B31)^2-$C31^2)/183.35))*(P32), 0)</f>
        <v/>
      </c>
      <c r="AD32" s="646" t="n"/>
      <c r="AE32" s="449" t="n"/>
      <c r="AL32" s="245" t="inlineStr">
        <is>
          <t>V-150</t>
        </is>
      </c>
    </row>
    <row r="33">
      <c r="A33" s="700" t="inlineStr">
        <is>
          <t>MW</t>
        </is>
      </c>
      <c r="B33" s="265" t="n"/>
      <c r="C33" s="646" t="inlineStr">
        <is>
          <t>ppg</t>
        </is>
      </c>
      <c r="AD33" s="646" t="n"/>
      <c r="AE33" s="449" t="n"/>
      <c r="AL33" s="245" t="inlineStr">
        <is>
          <t>X-52</t>
        </is>
      </c>
    </row>
    <row r="34">
      <c r="A34" s="700" t="inlineStr">
        <is>
          <t>TVD</t>
        </is>
      </c>
      <c r="B34" s="449">
        <f>IF(AND($E$9="y", E$8="Y"),VLOOKUP(MAX(D27:D38),DxSurvey!$B$16:$H$54,7,FALSE),IF(AND(E$9="y",E$7="y"),MAX(DxSurvey!H$60:H$62),MAX($D$27:D$31)))</f>
        <v/>
      </c>
      <c r="C34" s="646" t="inlineStr">
        <is>
          <t>ft</t>
        </is>
      </c>
      <c r="D34">
        <f>MAX(D27:D31)</f>
        <v/>
      </c>
      <c r="E34" t="inlineStr">
        <is>
          <t>MD</t>
        </is>
      </c>
      <c r="AD34" s="646" t="n"/>
      <c r="AE34" s="721">
        <f>D27/$D34*AE27+(D29-D27)/$D34*AE29+(D31-D29)/$D34*AE31</f>
        <v/>
      </c>
      <c r="AL34" s="245" t="inlineStr">
        <is>
          <t>X-56</t>
        </is>
      </c>
    </row>
    <row r="35">
      <c r="A35" s="700" t="inlineStr">
        <is>
          <t>Hole Washout</t>
        </is>
      </c>
      <c r="B35" s="265" t="n"/>
      <c r="C35" s="646" t="inlineStr">
        <is>
          <t>%</t>
        </is>
      </c>
      <c r="AD35" s="646" t="n"/>
      <c r="AE35" s="449" t="n"/>
      <c r="AL35" s="245" t="inlineStr">
        <is>
          <t>B</t>
        </is>
      </c>
    </row>
    <row r="36">
      <c r="A36" s="700" t="inlineStr">
        <is>
          <t>Internal Gradient</t>
        </is>
      </c>
      <c r="B36" s="265" t="n"/>
      <c r="C36" s="646" t="inlineStr">
        <is>
          <t>psi/ft</t>
        </is>
      </c>
      <c r="AD36" s="646" t="n"/>
      <c r="AE36" s="449" t="n"/>
      <c r="AL36" s="245" t="inlineStr">
        <is>
          <t>SeAH-70</t>
        </is>
      </c>
    </row>
    <row r="37">
      <c r="A37" s="700" t="inlineStr">
        <is>
          <t>Backup Mud</t>
        </is>
      </c>
      <c r="B37" s="265" t="n"/>
      <c r="C37" s="646" t="inlineStr">
        <is>
          <t>ppg</t>
        </is>
      </c>
      <c r="AD37" s="646" t="n"/>
      <c r="AE37" s="449" t="n"/>
      <c r="AL37" s="245" t="inlineStr">
        <is>
          <t>SeAH-90</t>
        </is>
      </c>
    </row>
    <row r="38" ht="15.75" customHeight="1" s="613" thickBot="1">
      <c r="A38" s="654" t="inlineStr">
        <is>
          <t>Internal Mud</t>
        </is>
      </c>
      <c r="B38" s="156" t="n"/>
      <c r="C38" s="634" t="inlineStr">
        <is>
          <t>ppg</t>
        </is>
      </c>
      <c r="D38" s="633" t="n"/>
      <c r="E38" s="633" t="n"/>
      <c r="F38" s="633" t="n"/>
      <c r="G38" s="633" t="n"/>
      <c r="H38" s="633" t="n"/>
      <c r="I38" s="633" t="n"/>
      <c r="J38" s="633" t="n"/>
      <c r="K38" s="124" t="n"/>
      <c r="L38" s="633" t="n"/>
      <c r="M38" s="633" t="n"/>
      <c r="N38" s="633" t="n"/>
      <c r="O38" s="633" t="n"/>
      <c r="P38" s="633" t="n"/>
      <c r="Q38" s="633" t="n"/>
      <c r="R38" s="633" t="n"/>
      <c r="S38" s="633" t="n"/>
      <c r="T38" s="633" t="n"/>
      <c r="U38" s="633" t="n"/>
      <c r="V38" s="633" t="n"/>
      <c r="W38" s="633" t="n"/>
      <c r="X38" s="633" t="n"/>
      <c r="Y38" s="633" t="n"/>
      <c r="Z38" s="633" t="n"/>
      <c r="AA38" s="633" t="n"/>
      <c r="AB38" s="633" t="n"/>
      <c r="AC38" s="633" t="n"/>
      <c r="AD38" s="634" t="n"/>
      <c r="AE38" s="449" t="n"/>
      <c r="AL38" s="245" t="inlineStr">
        <is>
          <t>SB-80</t>
        </is>
      </c>
    </row>
    <row r="39" ht="15.75" customHeight="1" s="613" thickBot="1">
      <c r="A39" s="700" t="inlineStr">
        <is>
          <t>Next Set Depth</t>
        </is>
      </c>
      <c r="B39" s="449">
        <f>IF(B49&gt;0,B49,IF(B64&gt;0,B64,IF(B79&gt;0,B79,B94)))</f>
        <v/>
      </c>
      <c r="C39" s="646" t="inlineStr">
        <is>
          <t>Next MW</t>
        </is>
      </c>
      <c r="D39">
        <f>IF(D42&gt;0,B48,B63)</f>
        <v/>
      </c>
      <c r="E39" t="inlineStr">
        <is>
          <t>Next BHP</t>
        </is>
      </c>
      <c r="F39" s="449">
        <f>IF(B49&gt;0,D39*B49*0.05194806,IF(B64&gt;0,D39*B64*0.05194806,IF(B79&gt;0,D39*B79*0.05194806,D39*B104*0.05194806)))</f>
        <v/>
      </c>
      <c r="G39" t="inlineStr">
        <is>
          <t>Fracture Initiation Pressure</t>
        </is>
      </c>
      <c r="I39" s="449">
        <f>B$9*B34</f>
        <v/>
      </c>
      <c r="J39" t="inlineStr">
        <is>
          <t>Max anticipated pressure at shoe</t>
        </is>
      </c>
      <c r="L39" s="449">
        <f>IF(B49&gt;0,F39-(B49-B34)*B51,IF(B64&gt;0,F54-(B64-B34)*B66,B34*B33*0.05194806))</f>
        <v/>
      </c>
      <c r="AD39" s="646" t="n"/>
      <c r="AE39" s="449" t="n"/>
    </row>
    <row r="40" ht="19.5" customHeight="1" s="613" thickBot="1">
      <c r="A40" s="23" t="inlineStr">
        <is>
          <t>STRING 3</t>
        </is>
      </c>
      <c r="B40" s="25" t="inlineStr">
        <is>
          <t>Hole Size</t>
        </is>
      </c>
      <c r="C40" s="25" t="inlineStr">
        <is>
          <t>Csg size</t>
        </is>
      </c>
      <c r="D40" s="25" t="inlineStr">
        <is>
          <t>Set Depth</t>
        </is>
      </c>
      <c r="E40" s="25" t="inlineStr">
        <is>
          <t>Csg Wt</t>
        </is>
      </c>
      <c r="F40" s="25" t="inlineStr">
        <is>
          <t>Csg Grade</t>
        </is>
      </c>
      <c r="G40" s="25" t="inlineStr">
        <is>
          <t>Csg Collar</t>
        </is>
      </c>
      <c r="H40" s="25" t="inlineStr">
        <is>
          <t>Cement Lead Qty</t>
        </is>
      </c>
      <c r="I40" s="25" t="inlineStr">
        <is>
          <t>Cement Lead Yield</t>
        </is>
      </c>
      <c r="J40" s="25" t="inlineStr">
        <is>
          <t>Cement Tail Qty</t>
        </is>
      </c>
      <c r="K40" s="125" t="inlineStr">
        <is>
          <t>Cement Tail Yield</t>
        </is>
      </c>
      <c r="L40" s="25" t="inlineStr">
        <is>
          <t>Cement Lead Qty</t>
        </is>
      </c>
      <c r="M40" s="25" t="inlineStr">
        <is>
          <t>Cement Lead Yield</t>
        </is>
      </c>
      <c r="N40" s="25" t="inlineStr">
        <is>
          <t>Cement Tail Qty</t>
        </is>
      </c>
      <c r="O40" s="25" t="inlineStr">
        <is>
          <t>Cement Tail Yield</t>
        </is>
      </c>
      <c r="P40" s="160" t="inlineStr">
        <is>
          <t>Cement cu. Ft.</t>
        </is>
      </c>
      <c r="Q40" s="25" t="inlineStr">
        <is>
          <t>Cement Height</t>
        </is>
      </c>
      <c r="R40" s="25" t="inlineStr">
        <is>
          <t>TOC</t>
        </is>
      </c>
      <c r="S40" s="25" t="inlineStr">
        <is>
          <t>MASP</t>
        </is>
      </c>
      <c r="T40" s="25" t="inlineStr">
        <is>
          <t>Collapse Strength</t>
        </is>
      </c>
      <c r="U40" s="25" t="inlineStr">
        <is>
          <t>Collapse Load</t>
        </is>
      </c>
      <c r="V40" s="25" t="inlineStr">
        <is>
          <t>Collapse DF</t>
        </is>
      </c>
      <c r="W40" s="25" t="inlineStr">
        <is>
          <t>Burst Strength</t>
        </is>
      </c>
      <c r="X40" s="25" t="inlineStr">
        <is>
          <t>Burst Load</t>
        </is>
      </c>
      <c r="Y40" s="25" t="inlineStr">
        <is>
          <t>Burst DF</t>
        </is>
      </c>
      <c r="Z40" s="25" t="inlineStr">
        <is>
          <t>Tension Strength</t>
        </is>
      </c>
      <c r="AA40" s="25" t="inlineStr">
        <is>
          <t>Tension DF</t>
        </is>
      </c>
      <c r="AB40" s="25" t="inlineStr">
        <is>
          <t>Neutral Point</t>
        </is>
      </c>
      <c r="AC40" s="25" t="inlineStr">
        <is>
          <t>Tension Air</t>
        </is>
      </c>
      <c r="AD40" s="26" t="inlineStr">
        <is>
          <t>Tension Buoyed</t>
        </is>
      </c>
      <c r="AE40" s="449" t="inlineStr">
        <is>
          <t>ID</t>
        </is>
      </c>
      <c r="AF40" t="inlineStr">
        <is>
          <t>As</t>
        </is>
      </c>
      <c r="AG40" t="inlineStr">
        <is>
          <t>pi</t>
        </is>
      </c>
      <c r="AH40" t="inlineStr">
        <is>
          <t>wL</t>
        </is>
      </c>
      <c r="AI40" t="inlineStr">
        <is>
          <t>Fa</t>
        </is>
      </c>
    </row>
    <row r="41" ht="18.75" customHeight="1" s="613">
      <c r="A41" s="23" t="n"/>
      <c r="B41" s="653" t="n"/>
      <c r="C41" s="653" t="inlineStr">
        <is>
          <t>A</t>
        </is>
      </c>
      <c r="D41" s="653" t="n"/>
      <c r="E41" s="653" t="inlineStr">
        <is>
          <t>B</t>
        </is>
      </c>
      <c r="F41" s="653" t="inlineStr">
        <is>
          <t>C</t>
        </is>
      </c>
      <c r="G41" s="653" t="inlineStr">
        <is>
          <t>I</t>
        </is>
      </c>
      <c r="H41" s="653" t="n"/>
      <c r="I41" s="653" t="n"/>
      <c r="J41" s="653" t="n"/>
      <c r="K41" s="126" t="n"/>
      <c r="L41" s="653" t="n"/>
      <c r="M41" s="653" t="n"/>
      <c r="N41" s="653" t="n"/>
      <c r="O41" s="653" t="n"/>
      <c r="P41" s="653" t="n"/>
      <c r="Q41" s="653" t="n"/>
      <c r="R41" s="653" t="n"/>
      <c r="S41" s="653" t="n"/>
      <c r="T41" s="653" t="n"/>
      <c r="U41" s="653" t="n"/>
      <c r="V41" s="653" t="n"/>
      <c r="W41" s="653" t="n"/>
      <c r="X41" s="653" t="n"/>
      <c r="Y41" s="653" t="n"/>
      <c r="Z41" s="653" t="n"/>
      <c r="AA41" s="653" t="n"/>
      <c r="AB41" s="653" t="n"/>
      <c r="AC41" s="653" t="n"/>
      <c r="AD41" s="656" t="n"/>
      <c r="AE41" s="449" t="n"/>
      <c r="AF41" t="inlineStr">
        <is>
          <t>As3</t>
        </is>
      </c>
      <c r="AG41" t="inlineStr">
        <is>
          <t>p3</t>
        </is>
      </c>
      <c r="AH41" t="inlineStr">
        <is>
          <t>wL3</t>
        </is>
      </c>
    </row>
    <row r="42" ht="15.75" customHeight="1" s="613" thickBot="1">
      <c r="A42" s="700" t="n"/>
      <c r="B42" s="265" t="n"/>
      <c r="C42" s="265" t="n"/>
      <c r="D42" s="265" t="n"/>
      <c r="E42" s="265" t="n"/>
      <c r="F42" s="265" t="n"/>
      <c r="G42" s="265" t="n"/>
      <c r="H42" s="265" t="n"/>
      <c r="I42" s="265" t="n"/>
      <c r="J42" s="265" t="n"/>
      <c r="K42" s="264" t="n"/>
      <c r="L42" s="265" t="n"/>
      <c r="M42" s="265" t="n"/>
      <c r="N42" s="265" t="n"/>
      <c r="O42" s="265" t="n"/>
      <c r="P42">
        <f>$H42*$I42+$J42*$K42+$L42*$M42+$N42*$O42</f>
        <v/>
      </c>
      <c r="Q42" s="449">
        <f>IF($C42&gt;0,MIN((1/((((($B$50/100)*$B42)+$B42)^2-$C42^2)/183.35))*(P42),$D$49-$D$34)+MAX(($P42-((((($B$50/100)*$B42)+$B42)^2-$C42^2)/183.35)*($D$49-$D$34))*(1/(($AE$34^2-$C42^2)/183.35)),0), 0)</f>
        <v/>
      </c>
      <c r="R42" s="612">
        <f>IF((Q42+Q44+Q46)&gt;MAX(D$42:D$46),"Surface",MAX(D$42:D$46)-Q46-Q44-Q42)</f>
        <v/>
      </c>
      <c r="S42" s="449">
        <f>0.05194806*B49*B48-B51*B49</f>
        <v/>
      </c>
      <c r="T42">
        <f>DGET('Casing Strengths'!A$7:P$2700,'Casing Strengths'!D$7,C41:G42)</f>
        <v/>
      </c>
      <c r="U42" s="449">
        <f>0.05194806*(B$48-$B$53)*DxSurvey!H63</f>
        <v/>
      </c>
      <c r="V42" s="243">
        <f>T42/U42</f>
        <v/>
      </c>
      <c r="W42">
        <f>DGET('Casing Strengths'!A$7:P$2700,'Casing Strengths'!E7,C41:G42)</f>
        <v/>
      </c>
      <c r="X42" s="449">
        <f>IF(D42=0,0,IF($B$52=0,MAX((0.05194806*$B$48*DxSurvey!H63),MIN($I$54,$L$54-$B$51*($B$49-DxSurvey!H63))),MAX((0.05194806*($B$48-$B$52)*DxSurvey!H63),MIN(($I$54-(0.05194806*$B$52*DxSurvey!H63)),$L$54-$B$51*($B$49-DxSurvey!H63)-(0.05194806*$B$52*DxSurvey!H63)))))</f>
        <v/>
      </c>
      <c r="Y42" s="243">
        <f>W42/X42</f>
        <v/>
      </c>
      <c r="Z42">
        <f>DGET('Casing Strengths'!A$7:P$2700,'Casing Strengths'!J7,C41:G42)</f>
        <v/>
      </c>
      <c r="AA42" s="243">
        <f>IF(B47="Y",Z42/AD42,Z42/AC42)</f>
        <v/>
      </c>
      <c r="AB42" s="449">
        <f>DxSurvey!H63*(1-B48/65.4)</f>
        <v/>
      </c>
      <c r="AC42" s="719">
        <f>(AH42+AH44+AH46)/1000</f>
        <v/>
      </c>
      <c r="AD42" s="720">
        <f>AI42/1000</f>
        <v/>
      </c>
      <c r="AE42">
        <f>DGET('Casing Strengths'!A$7:P$2700,'Casing Strengths'!N$7,C41:G42)</f>
        <v/>
      </c>
      <c r="AF42" s="722">
        <f>PI()/4*(C42^2-AE42^2)</f>
        <v/>
      </c>
      <c r="AG42">
        <f>0.05194806*B48*DxSurvey!H63</f>
        <v/>
      </c>
      <c r="AH42">
        <f>E42*DxSurvey!F63</f>
        <v/>
      </c>
      <c r="AI42" s="723">
        <f>AH42+AH44+AH46-((AG46-AG44)*AF46+(AG44-AG42)*AF44+AG42*AF42)</f>
        <v/>
      </c>
    </row>
    <row r="43" customFormat="1" s="29">
      <c r="A43" s="28" t="n"/>
      <c r="B43" s="155" t="n"/>
      <c r="C43" s="30" t="inlineStr">
        <is>
          <t>A</t>
        </is>
      </c>
      <c r="D43" s="30" t="n"/>
      <c r="E43" s="30" t="inlineStr">
        <is>
          <t>B</t>
        </is>
      </c>
      <c r="F43" s="30" t="inlineStr">
        <is>
          <t>C</t>
        </is>
      </c>
      <c r="G43" s="30" t="inlineStr">
        <is>
          <t>I</t>
        </is>
      </c>
      <c r="K43" s="123" t="n"/>
      <c r="P43" s="159">
        <f>$J42*$K42+$N42*$O42</f>
        <v/>
      </c>
      <c r="Q43" s="133">
        <f>IF($C42&gt;0,(1/((((($B$50/100)*$B42)+$B42)^2-$C42^2)/183.35))*(P43), 0)</f>
        <v/>
      </c>
      <c r="R43" s="132">
        <f>IF((Q43+Q45+Q47)&gt;MAX(D$42:D$46),"Surface",MAX(D$42:D$46)-Q47-Q45-Q43)</f>
        <v/>
      </c>
      <c r="U43" s="449" t="n"/>
      <c r="X43" s="449" t="n"/>
      <c r="AD43" s="646" t="n"/>
      <c r="AF43" t="inlineStr">
        <is>
          <t>As2</t>
        </is>
      </c>
      <c r="AG43" t="inlineStr">
        <is>
          <t>p2</t>
        </is>
      </c>
      <c r="AH43" t="inlineStr">
        <is>
          <t>wL2</t>
        </is>
      </c>
    </row>
    <row r="44" ht="15.75" customHeight="1" s="613" thickBot="1">
      <c r="A44" s="700" t="n"/>
      <c r="B44" s="265" t="n"/>
      <c r="C44" s="265" t="n"/>
      <c r="D44" s="265" t="n"/>
      <c r="E44" s="265" t="n"/>
      <c r="F44" s="265" t="n"/>
      <c r="G44" s="265" t="n"/>
      <c r="H44" s="265" t="n"/>
      <c r="I44" s="265" t="n"/>
      <c r="J44" s="265" t="n"/>
      <c r="K44" s="264" t="n"/>
      <c r="L44" s="265" t="n"/>
      <c r="M44" s="265" t="n"/>
      <c r="N44" s="265" t="n"/>
      <c r="O44" s="265" t="n"/>
      <c r="P44">
        <f>$H44*$I44+$J44*$K44+$L44*$M44+$N44*$O44</f>
        <v/>
      </c>
      <c r="Q44" s="449">
        <f>IF($C44&gt;0,MIN((1/((((($B$50/100)*$B44)+$B44)^2-$C44^2)/183.35))*(P44),$D$49-$D$34)+MAX(($P44-((((($B$50/100)*$B44)+$B44)^2-$C44^2)/183.35)*($D$49-$D$34))*(1/(($AE$34^2-$C44^2)/183.35)),0), 0)</f>
        <v/>
      </c>
      <c r="R44" s="449" t="n"/>
      <c r="T44">
        <f>DGET('Casing Strengths'!A$7:P$2700,'Casing Strengths'!D$7,C43:G44)</f>
        <v/>
      </c>
      <c r="U44" s="449">
        <f>0.05194806*(B$48-$B$53)*DxSurvey!H64</f>
        <v/>
      </c>
      <c r="V44" s="243">
        <f>T44/U44</f>
        <v/>
      </c>
      <c r="W44">
        <f>DGET('Casing Strengths'!A$7:P$2700,'Casing Strengths'!E7,C43:G44)</f>
        <v/>
      </c>
      <c r="X44" s="449">
        <f>IF(D44=0,0,IF($B$52=0,MAX((0.05194806*$B$48*DxSurvey!H64),MIN($I$54,$L$54-$B$51*($B$49-DxSurvey!H64))),MAX((0.05194806*($B$48-$B$52)*DxSurvey!H64),MIN(($I$54-(0.05194806*$B$52*DxSurvey!H64)),$L$54-$B$51*($B$49-DxSurvey!H64)-(0.05194806*$B$52*DxSurvey!H64)))))</f>
        <v/>
      </c>
      <c r="Y44" s="243">
        <f>W44/X44</f>
        <v/>
      </c>
      <c r="Z44">
        <f>DGET('Casing Strengths'!A$7:P$2700,'Casing Strengths'!J7,C43:G44)</f>
        <v/>
      </c>
      <c r="AA44" s="243">
        <f>IF(B47="Y",Z44/AD44,Z44/AC44)</f>
        <v/>
      </c>
      <c r="AB44" s="449">
        <f>DxSurvey!H64*(1-B48/65.4)</f>
        <v/>
      </c>
      <c r="AC44" s="719">
        <f>(AH44+AH46)/1000</f>
        <v/>
      </c>
      <c r="AD44" s="720">
        <f>AI44/1000</f>
        <v/>
      </c>
      <c r="AE44">
        <f>IF(C44=0,0,DGET('Casing Strengths'!A$7:P$2700,'Casing Strengths'!N$7,C43:G44))</f>
        <v/>
      </c>
      <c r="AF44" s="722">
        <f>PI()/4*(C44^2-AE44^2)</f>
        <v/>
      </c>
      <c r="AG44">
        <f>0.05194806*B48*DxSurvey!H64</f>
        <v/>
      </c>
      <c r="AH44">
        <f>E44*(DxSurvey!F64-DxSurvey!F63)</f>
        <v/>
      </c>
      <c r="AI44" s="723">
        <f>AH44+AH46-((AG46-AG44)*AF46+AG44*AF44)</f>
        <v/>
      </c>
    </row>
    <row r="45" customFormat="1" s="29">
      <c r="A45" s="28" t="n"/>
      <c r="B45" s="155" t="n"/>
      <c r="C45" s="30" t="inlineStr">
        <is>
          <t>A</t>
        </is>
      </c>
      <c r="D45" s="30" t="n"/>
      <c r="E45" s="30" t="inlineStr">
        <is>
          <t>B</t>
        </is>
      </c>
      <c r="F45" s="30" t="inlineStr">
        <is>
          <t>C</t>
        </is>
      </c>
      <c r="G45" s="30" t="inlineStr">
        <is>
          <t>I</t>
        </is>
      </c>
      <c r="K45" s="123" t="n"/>
      <c r="P45" s="159">
        <f>$J44*$K44+$N44*$O44</f>
        <v/>
      </c>
      <c r="Q45" s="133">
        <f>IF($C44&gt;0,(1/((((($B$50/100)*$B44)+$B44)^2-$C44^2)/183.35))*(P45), 0)</f>
        <v/>
      </c>
      <c r="U45" s="449" t="n"/>
      <c r="X45" s="449" t="n"/>
      <c r="AD45" s="646" t="n"/>
      <c r="AF45" t="inlineStr">
        <is>
          <t>As1</t>
        </is>
      </c>
      <c r="AG45" t="inlineStr">
        <is>
          <t>p1</t>
        </is>
      </c>
      <c r="AH45" t="inlineStr">
        <is>
          <t>wL1</t>
        </is>
      </c>
    </row>
    <row r="46" ht="15.75" customHeight="1" s="613" thickBot="1">
      <c r="A46" s="700" t="n"/>
      <c r="B46" s="265" t="n"/>
      <c r="C46" s="265" t="n"/>
      <c r="D46" s="265" t="n"/>
      <c r="E46" s="265" t="n"/>
      <c r="F46" s="265" t="n"/>
      <c r="G46" s="265" t="n"/>
      <c r="H46" s="265" t="n"/>
      <c r="I46" s="265" t="n"/>
      <c r="J46" s="265" t="n"/>
      <c r="K46" s="264" t="n"/>
      <c r="L46" s="265" t="n"/>
      <c r="M46" s="265" t="n"/>
      <c r="N46" s="265" t="n"/>
      <c r="O46" s="265" t="n"/>
      <c r="P46">
        <f>$H46*$I46+$J46*$K46+$L46*$M46+$N46*$O46</f>
        <v/>
      </c>
      <c r="Q46" s="449">
        <f>IF($C46&gt;0,MIN((1/((((($B$50/100)*$B46)+$B46)^2-$C46^2)/183.35))*(P46),$D$49-$D$34)+MAX(($P46-((((($B$50/100)*$B46)+$B46)^2-$C46^2)/183.35)*($D$49-$D$34))*(1/(($AE$34^2-$C46^2)/183.35)),0), 0)</f>
        <v/>
      </c>
      <c r="R46" s="449" t="n"/>
      <c r="T46">
        <f>DGET('Casing Strengths'!A$7:P$2700,'Casing Strengths'!D$7,C45:G46)</f>
        <v/>
      </c>
      <c r="U46" s="449">
        <f>0.05194806*(B$48-$B$53)*DxSurvey!H65</f>
        <v/>
      </c>
      <c r="V46">
        <f>T46/U46</f>
        <v/>
      </c>
      <c r="W46">
        <f>DGET('Casing Strengths'!A$7:P$2700,'Casing Strengths'!E7,C45:G46)</f>
        <v/>
      </c>
      <c r="X46" s="449">
        <f>IF(D46=0,0,IF($B$52=0,MAX((0.05194806*$B$48*DxSurvey!H65),MIN($I$54,$L$54-$B$51*($B$49-DxSurvey!H65))),MAX((0.05194806*($B$48-$B$52)*DxSurvey!H65),MIN(($I$54-(0.05194806*$B$52*DxSurvey!H65)),$L$54-$B$51*($B$49-DxSurvey!H65)-(0.05194806*$B$52*DxSurvey!H65)))))</f>
        <v/>
      </c>
      <c r="Y46">
        <f>W46/X46</f>
        <v/>
      </c>
      <c r="Z46">
        <f>DGET('Casing Strengths'!A$7:P$2700,'Casing Strengths'!J7,C45:G46)</f>
        <v/>
      </c>
      <c r="AA46">
        <f>IF(B47="Y",Z46/AD46,Z46/AC46)</f>
        <v/>
      </c>
      <c r="AB46">
        <f>DxSurvey!H65*(1-B48/65.4)</f>
        <v/>
      </c>
      <c r="AC46" s="719">
        <f>(AH46)/1000</f>
        <v/>
      </c>
      <c r="AD46" s="720">
        <f>AI46/1000</f>
        <v/>
      </c>
      <c r="AE46">
        <f>IF(C46=0,0,DGET('Casing Strengths'!A$7:P$2700,'Casing Strengths'!N$7,C45:G46))</f>
        <v/>
      </c>
      <c r="AF46">
        <f>PI()/4*(C46^2-AE46^2)</f>
        <v/>
      </c>
      <c r="AG46">
        <f>0.05194806*B48*DxSurvey!H65</f>
        <v/>
      </c>
      <c r="AH46">
        <f>E46*(DxSurvey!F65-DxSurvey!F64)</f>
        <v/>
      </c>
      <c r="AI46" s="723">
        <f>AH46-(AG46*AF46)</f>
        <v/>
      </c>
      <c r="AK46" t="inlineStr">
        <is>
          <t>neutral pt</t>
        </is>
      </c>
    </row>
    <row r="47">
      <c r="A47" s="432" t="inlineStr">
        <is>
          <t>Buoyed</t>
        </is>
      </c>
      <c r="B47" s="162" t="n"/>
      <c r="C47" s="656" t="n"/>
      <c r="P47" s="159">
        <f>$J46*$K46+$N46*$O46</f>
        <v/>
      </c>
      <c r="Q47" s="133">
        <f>IF($C46&gt;0,(1/((((($B$50/100)*$B46)+$B46)^2-$C46^2)/183.35))*(P47), 0)</f>
        <v/>
      </c>
      <c r="AD47" s="646" t="n"/>
      <c r="AE47" s="449" t="n"/>
      <c r="AI47">
        <f>AI42+AI44+AI46</f>
        <v/>
      </c>
      <c r="AJ47">
        <f>DxSurvey!H63*'Casing Review'!E42</f>
        <v/>
      </c>
      <c r="AK47">
        <f>IF(AI47-AJ47&gt;0,(AI47-AJ47)/E44+DxSurvey!H63)</f>
        <v/>
      </c>
      <c r="AL47" t="inlineStr">
        <is>
          <t>TVD</t>
        </is>
      </c>
    </row>
    <row r="48">
      <c r="A48" s="700" t="inlineStr">
        <is>
          <t>MW</t>
        </is>
      </c>
      <c r="B48" s="265" t="n"/>
      <c r="C48" s="646" t="inlineStr">
        <is>
          <t>ppg</t>
        </is>
      </c>
      <c r="AD48" s="646" t="n"/>
      <c r="AE48" s="449" t="n"/>
      <c r="AJ48">
        <f>DxSurvey!H64*'Casing Review'!E44</f>
        <v/>
      </c>
    </row>
    <row r="49">
      <c r="A49" s="700" t="inlineStr">
        <is>
          <t>TVD</t>
        </is>
      </c>
      <c r="B49" s="449">
        <f>IF(AND($E$9="y", E$8="Y"),VLOOKUP(MAX(D42:D53),DxSurvey!$B$16:$H$54,7,FALSE),IF(AND(E$9="y",E$7="y"),MAX(DxSurvey!H$63:H$65),MAX($D$42:D$46)))</f>
        <v/>
      </c>
      <c r="C49" s="646" t="inlineStr">
        <is>
          <t>ft</t>
        </is>
      </c>
      <c r="D49">
        <f>MAX(D42:D46)</f>
        <v/>
      </c>
      <c r="E49" t="inlineStr">
        <is>
          <t>MD</t>
        </is>
      </c>
      <c r="AD49" s="646" t="n"/>
      <c r="AE49" s="721">
        <f>IF(B42=0,0,D42/$D49*AE42+(D44-D42)/$D49*AE44+(D46-D44)/$D49*AE46)</f>
        <v/>
      </c>
    </row>
    <row r="50">
      <c r="A50" s="700" t="inlineStr">
        <is>
          <t>Hole Washout</t>
        </is>
      </c>
      <c r="B50" s="265" t="n"/>
      <c r="C50" s="646" t="inlineStr">
        <is>
          <t>%</t>
        </is>
      </c>
      <c r="AD50" s="646" t="n"/>
      <c r="AE50" s="449" t="n"/>
    </row>
    <row r="51">
      <c r="A51" s="700" t="inlineStr">
        <is>
          <t>Internal Gradient</t>
        </is>
      </c>
      <c r="B51" s="265" t="n"/>
      <c r="C51" s="646" t="inlineStr">
        <is>
          <t>psi/ft</t>
        </is>
      </c>
      <c r="AD51" s="646" t="n"/>
      <c r="AE51" s="449" t="n"/>
    </row>
    <row r="52">
      <c r="A52" s="700" t="inlineStr">
        <is>
          <t>Backup Mud</t>
        </is>
      </c>
      <c r="B52" s="265" t="n"/>
      <c r="C52" s="646" t="inlineStr">
        <is>
          <t>ppg</t>
        </is>
      </c>
      <c r="AD52" s="646" t="n"/>
      <c r="AE52" s="449" t="n"/>
    </row>
    <row r="53" ht="15.75" customHeight="1" s="613" thickBot="1">
      <c r="A53" s="654" t="inlineStr">
        <is>
          <t>Internal Mud</t>
        </is>
      </c>
      <c r="B53" s="156" t="n"/>
      <c r="C53" s="634" t="inlineStr">
        <is>
          <t>ppg</t>
        </is>
      </c>
      <c r="D53" s="633" t="n"/>
      <c r="E53" s="633" t="n"/>
      <c r="F53" s="633" t="n"/>
      <c r="G53" s="633" t="n"/>
      <c r="H53" s="633" t="n"/>
      <c r="I53" s="633" t="n"/>
      <c r="J53" s="633" t="n"/>
      <c r="K53" s="124" t="n"/>
      <c r="L53" s="633" t="n"/>
      <c r="M53" s="633" t="n"/>
      <c r="N53" s="633" t="n"/>
      <c r="O53" s="633" t="n"/>
      <c r="P53" s="633" t="n"/>
      <c r="Q53" s="633" t="n"/>
      <c r="R53" s="633" t="n"/>
      <c r="S53" s="633" t="n"/>
      <c r="T53" s="633" t="n"/>
      <c r="U53" s="633" t="n"/>
      <c r="V53" s="633" t="n"/>
      <c r="W53" s="633" t="n"/>
      <c r="X53" s="633" t="n"/>
      <c r="Y53" s="633" t="n"/>
      <c r="Z53" s="633" t="n"/>
      <c r="AA53" s="633" t="n"/>
      <c r="AB53" s="633" t="n"/>
      <c r="AC53" s="633" t="n"/>
      <c r="AD53" s="634" t="n"/>
      <c r="AE53" s="449" t="n"/>
    </row>
    <row r="54" ht="15.75" customHeight="1" s="613" thickBot="1">
      <c r="A54" s="700" t="inlineStr">
        <is>
          <t>Next Set Depth</t>
        </is>
      </c>
      <c r="B54" s="449">
        <f>IF(B64&gt;0,B64,IF(B79&gt;0,B79,IF(B94&gt;0,B94,B99)))</f>
        <v/>
      </c>
      <c r="C54" t="inlineStr">
        <is>
          <t>Next MW</t>
        </is>
      </c>
      <c r="D54">
        <f>IF(D57&gt;0,B63,B84)</f>
        <v/>
      </c>
      <c r="E54" t="inlineStr">
        <is>
          <t>Next BHP</t>
        </is>
      </c>
      <c r="F54" s="449">
        <f>IF(B64&gt;0,D54*B64*0.05194806,IF(B79&gt;0,D54*B79*0.05194806,IF(B104&gt;0,D54*B104*0.05194806,D54*B119*0.05194806)))</f>
        <v/>
      </c>
      <c r="G54" t="inlineStr">
        <is>
          <t>Fracture Initiation Pressure</t>
        </is>
      </c>
      <c r="I54" s="449">
        <f>B$9*B49</f>
        <v/>
      </c>
      <c r="J54" t="inlineStr">
        <is>
          <t>Max anticipated pressure at shoe</t>
        </is>
      </c>
      <c r="L54" s="449">
        <f>IF(B64&gt;0,F54-(B64-B49)*B66,B49*B48*0.05194806)</f>
        <v/>
      </c>
      <c r="AD54" s="646" t="n"/>
      <c r="AE54" s="449" t="n"/>
    </row>
    <row r="55" ht="19.5" customHeight="1" s="613" thickBot="1">
      <c r="A55" s="23" t="inlineStr">
        <is>
          <t>STRING 4</t>
        </is>
      </c>
      <c r="B55" s="25" t="inlineStr">
        <is>
          <t>Hole Size</t>
        </is>
      </c>
      <c r="C55" s="25" t="inlineStr">
        <is>
          <t>Csg size</t>
        </is>
      </c>
      <c r="D55" s="25" t="inlineStr">
        <is>
          <t>Set Depth</t>
        </is>
      </c>
      <c r="E55" s="25" t="inlineStr">
        <is>
          <t>Csg Wt</t>
        </is>
      </c>
      <c r="F55" s="25" t="inlineStr">
        <is>
          <t>Csg Grade</t>
        </is>
      </c>
      <c r="G55" s="25" t="inlineStr">
        <is>
          <t>Csg Collar</t>
        </is>
      </c>
      <c r="H55" s="25" t="inlineStr">
        <is>
          <t>Cement Lead Qty</t>
        </is>
      </c>
      <c r="I55" s="25" t="inlineStr">
        <is>
          <t>Cement Lead Yield</t>
        </is>
      </c>
      <c r="J55" s="25" t="inlineStr">
        <is>
          <t>Cement Tail Qty</t>
        </is>
      </c>
      <c r="K55" s="125" t="inlineStr">
        <is>
          <t>Cement Tail Yield</t>
        </is>
      </c>
      <c r="L55" s="25" t="inlineStr">
        <is>
          <t>Cement Lead Qty</t>
        </is>
      </c>
      <c r="M55" s="25" t="inlineStr">
        <is>
          <t>Cement Lead Yield</t>
        </is>
      </c>
      <c r="N55" s="25" t="inlineStr">
        <is>
          <t>Cement Tail Qty</t>
        </is>
      </c>
      <c r="O55" s="160" t="inlineStr">
        <is>
          <t>Cement Tail Yield</t>
        </is>
      </c>
      <c r="P55" s="160" t="inlineStr">
        <is>
          <t>Cement cu. Ft.</t>
        </is>
      </c>
      <c r="Q55" s="25" t="inlineStr">
        <is>
          <t>Cement Height</t>
        </is>
      </c>
      <c r="R55" s="25" t="inlineStr">
        <is>
          <t>TOC</t>
        </is>
      </c>
      <c r="S55" s="25" t="inlineStr">
        <is>
          <t>MASP</t>
        </is>
      </c>
      <c r="T55" s="25" t="inlineStr">
        <is>
          <t>Collapse Strength</t>
        </is>
      </c>
      <c r="U55" s="25" t="inlineStr">
        <is>
          <t>Collapse Load</t>
        </is>
      </c>
      <c r="V55" s="25" t="inlineStr">
        <is>
          <t>Collapse DF</t>
        </is>
      </c>
      <c r="W55" s="25" t="inlineStr">
        <is>
          <t>Burst Strength</t>
        </is>
      </c>
      <c r="X55" s="25" t="inlineStr">
        <is>
          <t>Burst Load</t>
        </is>
      </c>
      <c r="Y55" s="25" t="inlineStr">
        <is>
          <t>Burst DF</t>
        </is>
      </c>
      <c r="Z55" s="25" t="inlineStr">
        <is>
          <t>Tension Strength</t>
        </is>
      </c>
      <c r="AA55" s="25" t="inlineStr">
        <is>
          <t>Tension DF</t>
        </is>
      </c>
      <c r="AB55" s="25" t="inlineStr">
        <is>
          <t>Neutral Point</t>
        </is>
      </c>
      <c r="AC55" s="25" t="inlineStr">
        <is>
          <t>Tension Air</t>
        </is>
      </c>
      <c r="AD55" s="26" t="inlineStr">
        <is>
          <t>Tension Buoyed</t>
        </is>
      </c>
      <c r="AE55" s="449" t="inlineStr">
        <is>
          <t>ID</t>
        </is>
      </c>
      <c r="AF55" t="inlineStr">
        <is>
          <t>As</t>
        </is>
      </c>
      <c r="AG55" t="inlineStr">
        <is>
          <t>pi</t>
        </is>
      </c>
      <c r="AH55" t="inlineStr">
        <is>
          <t>wL</t>
        </is>
      </c>
      <c r="AI55" t="inlineStr">
        <is>
          <t>Fa</t>
        </is>
      </c>
    </row>
    <row r="56" ht="18.75" customHeight="1" s="613">
      <c r="A56" s="23" t="n"/>
      <c r="B56" s="653" t="n"/>
      <c r="C56" s="653" t="inlineStr">
        <is>
          <t>A</t>
        </is>
      </c>
      <c r="D56" s="653" t="n"/>
      <c r="E56" s="653" t="inlineStr">
        <is>
          <t>B</t>
        </is>
      </c>
      <c r="F56" s="653" t="inlineStr">
        <is>
          <t>C</t>
        </is>
      </c>
      <c r="G56" s="653" t="inlineStr">
        <is>
          <t>I</t>
        </is>
      </c>
      <c r="H56" s="653" t="n"/>
      <c r="I56" s="653" t="n"/>
      <c r="J56" s="653" t="n"/>
      <c r="K56" s="126" t="n"/>
      <c r="L56" s="653" t="n"/>
      <c r="M56" s="653" t="n"/>
      <c r="N56" s="653" t="n"/>
      <c r="O56" s="653" t="n"/>
      <c r="P56" s="653" t="n"/>
      <c r="Q56" s="653" t="n"/>
      <c r="R56" s="653" t="n"/>
      <c r="S56" s="653" t="n"/>
      <c r="T56" s="653" t="n"/>
      <c r="U56" s="653" t="n"/>
      <c r="V56" s="653" t="n"/>
      <c r="W56" s="653" t="n"/>
      <c r="X56" s="653" t="n"/>
      <c r="Y56" s="653" t="n"/>
      <c r="Z56" s="653" t="n"/>
      <c r="AA56" s="653" t="n"/>
      <c r="AB56" s="653" t="n"/>
      <c r="AC56" s="653" t="n"/>
      <c r="AD56" s="656" t="n"/>
      <c r="AE56" s="449" t="n"/>
      <c r="AF56" t="inlineStr">
        <is>
          <t>As3</t>
        </is>
      </c>
      <c r="AG56" t="inlineStr">
        <is>
          <t>p3</t>
        </is>
      </c>
      <c r="AH56" t="inlineStr">
        <is>
          <t>wL3</t>
        </is>
      </c>
    </row>
    <row r="57" ht="15.75" customHeight="1" s="613" thickBot="1">
      <c r="A57" s="700" t="n"/>
      <c r="B57" s="265" t="n"/>
      <c r="C57" s="265" t="n"/>
      <c r="D57" s="264" t="n"/>
      <c r="E57" s="265" t="n"/>
      <c r="F57" s="265" t="n"/>
      <c r="G57" s="265" t="n"/>
      <c r="H57" s="265" t="n"/>
      <c r="I57" s="265" t="n"/>
      <c r="J57" s="265" t="n"/>
      <c r="K57" s="264" t="n"/>
      <c r="L57" s="265" t="n"/>
      <c r="M57" s="265" t="n"/>
      <c r="N57" s="265" t="n"/>
      <c r="O57" s="265" t="n"/>
      <c r="P57">
        <f>$H57*$I57+$J57*$K57+$L57*$M57+$N57*$O57</f>
        <v/>
      </c>
      <c r="Q57" s="449">
        <f>IF($C57&gt;0,MIN((1/((((($B$65/100)*$B57)+$B57)^2-$C57^2)/183.35))*(P57),$D$64-MAX($D$49,$D$34))+MAX(($P57-((((($B$65/100)*$B57)+$B57)^2-$C57^2)/183.35)*($D$64-MAX($D$49,$D$34)))*(1/(((IF(MIN($AE$49,$AE$34)=0,MAX($AE$49,$AE$34),MIN($AE$49,$AE$34)))^2-$C57^2)/183.35)),0), 0)</f>
        <v/>
      </c>
      <c r="R57" s="612">
        <f>IF((Q57+Q59+Q61)&gt;(MAX(D$57:D$61)-$B$69),"TOL",MAX(D$57:D$61)-Q61-Q59-Q57)</f>
        <v/>
      </c>
      <c r="S57" s="449">
        <f>0.05194806*B64*B63-B66*B64</f>
        <v/>
      </c>
      <c r="T57">
        <f>DGET('Casing Strengths'!A$7:'Casing Strengths'!P$2700,'Casing Strengths'!D$7,C56:G57)</f>
        <v/>
      </c>
      <c r="U57" s="449">
        <f>0.05194806*(B$63-$B$68)*DxSurvey!H66</f>
        <v/>
      </c>
      <c r="V57" s="243">
        <f>T57/U57</f>
        <v/>
      </c>
      <c r="W57">
        <f>DGET('Casing Strengths'!A$7:P$2700,'Casing Strengths'!E7,C56:G57)</f>
        <v/>
      </c>
      <c r="X57" s="449">
        <f>IF(D57=0,0,IF($B$67=0,MAX((0.05194806*$B$63*DxSurvey!H66),MIN($I$69,$L$69-$B$66*($B$64-DxSurvey!H66))),MAX((0.05194806*($B$63-$B$67)*DxSurvey!H66),MIN(($I$69-(0.05194806*$B$67*DxSurvey!H66)),$L$69-$B$66*($B$64-DxSurvey!H66)-(0.05194806*$B$67*DxSurvey!H66)))))</f>
        <v/>
      </c>
      <c r="Y57" s="243">
        <f>W57/X57</f>
        <v/>
      </c>
      <c r="Z57">
        <f>DGET('Casing Strengths'!A$7:P$2700,'Casing Strengths'!J7,C56:G57)</f>
        <v/>
      </c>
      <c r="AA57" s="243">
        <f>IF(B62="Y",Z57/AD57,Z57/AC57)</f>
        <v/>
      </c>
      <c r="AB57" s="449">
        <f>(DxSurvey!H66-DxSurvey!$H$69)*(1-$B$63/65.4)+$B$69</f>
        <v/>
      </c>
      <c r="AC57" s="719">
        <f>(AH57+AH59+AH61)/1000</f>
        <v/>
      </c>
      <c r="AD57" s="720">
        <f>AI57/1000</f>
        <v/>
      </c>
      <c r="AE57">
        <f>DGET('Casing Strengths'!A$7:P$2700,'Casing Strengths'!N$7,C56:G57)</f>
        <v/>
      </c>
      <c r="AF57" s="722">
        <f>PI()/4*(C57^2-AE57^2)</f>
        <v/>
      </c>
      <c r="AG57">
        <f>0.05194806*B63*(DxSurvey!H66-DxSurvey!H69)</f>
        <v/>
      </c>
      <c r="AH57">
        <f>E57*(DxSurvey!F66-DxSurvey!F69)</f>
        <v/>
      </c>
      <c r="AI57" s="723">
        <f>AH57+AH59+AH61-((AG61-AG59)*AF61+(AG59-AG57)*AF59+AG57*AF57)</f>
        <v/>
      </c>
    </row>
    <row r="58" customFormat="1" s="29">
      <c r="A58" s="28" t="n"/>
      <c r="B58" s="155" t="n"/>
      <c r="C58" s="30" t="inlineStr">
        <is>
          <t>A</t>
        </is>
      </c>
      <c r="D58" s="30" t="n"/>
      <c r="E58" s="30" t="inlineStr">
        <is>
          <t>B</t>
        </is>
      </c>
      <c r="F58" s="30" t="inlineStr">
        <is>
          <t>C</t>
        </is>
      </c>
      <c r="G58" s="30" t="inlineStr">
        <is>
          <t>I</t>
        </is>
      </c>
      <c r="K58" s="123" t="n"/>
      <c r="P58" s="159">
        <f>$J57*$K57+$N57*$O57</f>
        <v/>
      </c>
      <c r="Q58" s="133">
        <f>IF($C57&gt;0,(1/((((($B$65/100)*$B57)+$B57)^2-$C57^2)/183.35))*(P58), 0)</f>
        <v/>
      </c>
      <c r="R58" s="132">
        <f>IF((Q58+Q60+Q62)&gt;(MAX(D$57:D$61)-$B$69),"TOL",MAX(D$57:D$61)-Q62-Q60-Q58)</f>
        <v/>
      </c>
      <c r="U58" s="449" t="n"/>
      <c r="X58" s="449" t="n"/>
      <c r="AD58" s="646" t="n"/>
      <c r="AF58" t="inlineStr">
        <is>
          <t>As2</t>
        </is>
      </c>
      <c r="AG58" t="inlineStr">
        <is>
          <t>p2</t>
        </is>
      </c>
      <c r="AH58" t="inlineStr">
        <is>
          <t>wL2</t>
        </is>
      </c>
    </row>
    <row r="59" ht="15.75" customHeight="1" s="613" thickBot="1">
      <c r="A59" s="700" t="n"/>
      <c r="B59" s="265" t="n"/>
      <c r="C59" s="265" t="n"/>
      <c r="D59" s="265" t="n"/>
      <c r="E59" s="265" t="n"/>
      <c r="F59" s="265" t="n"/>
      <c r="G59" s="265" t="n"/>
      <c r="H59" s="265" t="n"/>
      <c r="I59" s="265" t="n"/>
      <c r="J59" s="265" t="n"/>
      <c r="K59" s="264" t="n"/>
      <c r="L59" s="265" t="n"/>
      <c r="M59" s="265" t="n"/>
      <c r="N59" s="265" t="n"/>
      <c r="O59" s="265" t="n"/>
      <c r="P59">
        <f>$H59*$I59+$J59*$K59+$L59*$M59+$N59*$O59</f>
        <v/>
      </c>
      <c r="Q59" s="449">
        <f>IF($C59&gt;0,MIN((1/((((($B$65/100)*$B59)+$B59)^2-$C59^2)/183.35))*(P59),$D$64-MAX($D$49,$D$34))+MAX(($P59-((((($B$65/100)*$B59)+$B59)^2-$C59^2)/183.35)*($D$64-MAX($D$49,$D$34)))*(1/(((IF(MIN($AE$49,$AE$34)=0,MAX($AE$49,$AE$34),MIN($AE$49,$AE$34)))^2-$C59^2)/183.35)),0), 0)</f>
        <v/>
      </c>
      <c r="R59" s="449" t="n"/>
      <c r="T59">
        <f>DGET('Casing Strengths'!A$7:P$2700,'Casing Strengths'!D$7,C58:G59)</f>
        <v/>
      </c>
      <c r="U59" s="449">
        <f>0.05194806*(B$63-$B$68)*DxSurvey!H67</f>
        <v/>
      </c>
      <c r="V59" s="243">
        <f>T59/U59</f>
        <v/>
      </c>
      <c r="W59">
        <f>DGET('Casing Strengths'!A$7:P$2700,'Casing Strengths'!E7,C58:G59)</f>
        <v/>
      </c>
      <c r="X59" s="449">
        <f>IF(D59=0,0,IF($B$67=0,MAX((0.05194806*$B$63*DxSurvey!H67),MIN($I$69,$L$69-$B$66*($B$64-DxSurvey!H67))),MAX((0.05194806*($B$63-$B$67)*DxSurvey!H67),MIN(($I$69-(0.05194806*$B$67*DxSurvey!H67)),$L$69-$B$66*($B$64-DxSurvey!H67)-(0.05194806*$B$67*DxSurvey!H67)))))</f>
        <v/>
      </c>
      <c r="Y59" s="243">
        <f>W59/X59</f>
        <v/>
      </c>
      <c r="Z59">
        <f>DGET('Casing Strengths'!A$7:P$2700,'Casing Strengths'!J7,C58:G59)</f>
        <v/>
      </c>
      <c r="AA59" s="243">
        <f>IF(B62="Y",Z59/AD59,Z59/AC59)</f>
        <v/>
      </c>
      <c r="AB59" s="449">
        <f>IF(D59=0,0,(DxSurvey!H67-DxSurvey!$H$69)*(1-$B$63/65.4)+$B$69)</f>
        <v/>
      </c>
      <c r="AC59" s="719">
        <f>(AH59+AH61)/1000</f>
        <v/>
      </c>
      <c r="AD59" s="720">
        <f>AI59/1000</f>
        <v/>
      </c>
      <c r="AE59">
        <f>IF(C59=0,0,DGET('Casing Strengths'!A$7:P$2700,'Casing Strengths'!N$7,C58:G59))</f>
        <v/>
      </c>
      <c r="AF59" s="722">
        <f>PI()/4*(C59^2-AE59^2)</f>
        <v/>
      </c>
      <c r="AG59">
        <f>0.05194806*B63*DxSurvey!H67</f>
        <v/>
      </c>
      <c r="AH59">
        <f>E59*(DxSurvey!F67-DxSurvey!F66)</f>
        <v/>
      </c>
      <c r="AI59" s="723">
        <f>AH59+AH61-((AG61-AG59)*AF61+AG59*AF59)</f>
        <v/>
      </c>
    </row>
    <row r="60" customFormat="1" s="29">
      <c r="A60" s="28" t="n"/>
      <c r="B60" s="155" t="n"/>
      <c r="C60" s="30" t="inlineStr">
        <is>
          <t>A</t>
        </is>
      </c>
      <c r="D60" s="30" t="n"/>
      <c r="E60" s="30" t="inlineStr">
        <is>
          <t>B</t>
        </is>
      </c>
      <c r="F60" s="30" t="inlineStr">
        <is>
          <t>C</t>
        </is>
      </c>
      <c r="G60" s="30" t="inlineStr">
        <is>
          <t>I</t>
        </is>
      </c>
      <c r="K60" s="123" t="n"/>
      <c r="P60" s="159">
        <f>$J59*$K59+$N59*$O59</f>
        <v/>
      </c>
      <c r="Q60" s="133">
        <f>IF($C59&gt;0,(1/((((($B$65/100)*$B59)+$B59)^2-$C59^2)/183.35))*(P60), 0)</f>
        <v/>
      </c>
      <c r="U60" s="449" t="n"/>
      <c r="X60" s="449" t="n"/>
      <c r="AD60" s="646" t="n"/>
      <c r="AF60" t="inlineStr">
        <is>
          <t>As1</t>
        </is>
      </c>
      <c r="AG60" t="inlineStr">
        <is>
          <t>p1</t>
        </is>
      </c>
      <c r="AH60" t="inlineStr">
        <is>
          <t>wL1</t>
        </is>
      </c>
    </row>
    <row r="61" ht="15.75" customHeight="1" s="613" thickBot="1">
      <c r="A61" s="700" t="n"/>
      <c r="B61" s="265" t="n"/>
      <c r="C61" s="265" t="n"/>
      <c r="D61" s="265" t="n"/>
      <c r="E61" s="265" t="n"/>
      <c r="F61" s="265" t="n"/>
      <c r="G61" s="265" t="n"/>
      <c r="H61" s="265" t="n"/>
      <c r="I61" s="265" t="n"/>
      <c r="J61" s="265" t="n"/>
      <c r="K61" s="264" t="n"/>
      <c r="L61" s="265" t="n"/>
      <c r="M61" s="265" t="n"/>
      <c r="N61" s="265" t="n"/>
      <c r="O61" s="265" t="n"/>
      <c r="P61">
        <f>$H61*$I61+$J61*$K61+$L61*$M61+$N61*$O61</f>
        <v/>
      </c>
      <c r="Q61" s="449">
        <f>IF($C61&gt;0,MIN((1/((((($B$65/100)*$B61)+$B61)^2-$C61^2)/183.35))*(P61),$D$64-MAX($D$49,$D$34))+MAX(($P61-((((($B$65/100)*$B61)+$B61)^2-$C61^2)/183.35)*($D$64-MAX($D$49,$D$34)))*(1/(((IF(MIN($AE$49,$AE$34)=0,MAX($AE$49,$AE$34),MIN($AE$49,$AE$34)))^2-$C61^2)/183.35)),0), 0)</f>
        <v/>
      </c>
      <c r="R61" s="449" t="n"/>
      <c r="T61">
        <f>DGET('Casing Strengths'!A$7:P$2700,'Casing Strengths'!D$7,C60:G61)</f>
        <v/>
      </c>
      <c r="U61" s="449">
        <f>0.05194806*(B$63-$B$68)*DxSurvey!H68</f>
        <v/>
      </c>
      <c r="V61">
        <f>T61/U61</f>
        <v/>
      </c>
      <c r="W61">
        <f>DGET('Casing Strengths'!A$7:P$2700,'Casing Strengths'!E7,C60:G61)</f>
        <v/>
      </c>
      <c r="X61" s="449">
        <f>IF(D61=0,0,IF($B$67=0,MAX((0.05194806*$B$63*DxSurvey!H68),MIN($I$69,$L$69-$B$66*($B$64-DxSurvey!H68))),MAX((0.05194806*($B$63-$B$67)*DxSurvey!H68),MIN(($I$69-(0.05194806*$B$67*DxSurvey!H68)),$L$69-$B$66*($B$64-DxSurvey!H68)-(0.05194806*$B$67*DxSurvey!H68)))))</f>
        <v/>
      </c>
      <c r="Y61">
        <f>W61/X61</f>
        <v/>
      </c>
      <c r="Z61">
        <f>DGET('Casing Strengths'!A$7:P$2700,'Casing Strengths'!J7,C60:G61)</f>
        <v/>
      </c>
      <c r="AA61">
        <f>IF(B62="Y",Z61/AD61,Z61/AC61)</f>
        <v/>
      </c>
      <c r="AB61" s="449">
        <f>IF(D61=0,0,(DxSurvey!H68-DxSurvey!$H$69)*(1-$B$63/65.4)+$B$69)</f>
        <v/>
      </c>
      <c r="AC61" s="719">
        <f>(AH61)/1000</f>
        <v/>
      </c>
      <c r="AD61" s="720">
        <f>AI61/1000</f>
        <v/>
      </c>
      <c r="AE61">
        <f>IF(C61=0,0,DGET('Casing Strengths'!A$7:P$2700,'Casing Strengths'!N$7,C60:G61))</f>
        <v/>
      </c>
      <c r="AF61" s="722">
        <f>PI()/4*(C61^2-AE61^2)</f>
        <v/>
      </c>
      <c r="AG61">
        <f>0.05194806*B63*DxSurvey!H80</f>
        <v/>
      </c>
      <c r="AH61">
        <f>E61*(DxSurvey!F68-DxSurvey!F67)</f>
        <v/>
      </c>
      <c r="AI61" s="723">
        <f>AH61-(AG61*AF61)</f>
        <v/>
      </c>
    </row>
    <row r="62">
      <c r="A62" s="432" t="inlineStr">
        <is>
          <t>Buoyed</t>
        </is>
      </c>
      <c r="B62" s="162" t="n"/>
      <c r="C62" s="656" t="n"/>
      <c r="P62" s="159">
        <f>$J61*$K61+$N61*$O61</f>
        <v/>
      </c>
      <c r="Q62" s="133">
        <f>IF($C61&gt;0,(1/((((($B$65/100)*$B61)+$B61)^2-$C61^2)/183.35))*(P62), 0)</f>
        <v/>
      </c>
      <c r="AD62" s="646" t="n"/>
    </row>
    <row r="63">
      <c r="A63" s="700" t="inlineStr">
        <is>
          <t>MW</t>
        </is>
      </c>
      <c r="B63" s="265" t="n"/>
      <c r="C63" s="646" t="inlineStr">
        <is>
          <t>ppg</t>
        </is>
      </c>
      <c r="AD63" s="646" t="n"/>
    </row>
    <row r="64">
      <c r="A64" s="700" t="inlineStr">
        <is>
          <t>TVD</t>
        </is>
      </c>
      <c r="B64" s="449">
        <f>IF(AND($E$9="y", E$8="Y"),VLOOKUP(MAX(D57:D68),DxSurvey!$B$16:$H$54,7,FALSE),IF(AND(E$9="y",E$7="y"),MAX(DxSurvey!H$66:H$68),MAX($D$57:D$61)))</f>
        <v/>
      </c>
      <c r="C64" s="646" t="inlineStr">
        <is>
          <t>ft</t>
        </is>
      </c>
      <c r="D64">
        <f>MAX(D57:D61)</f>
        <v/>
      </c>
      <c r="E64" t="inlineStr">
        <is>
          <t>MD</t>
        </is>
      </c>
      <c r="AD64" s="646" t="n"/>
      <c r="AE64" s="721" t="n"/>
    </row>
    <row r="65">
      <c r="A65" s="700" t="inlineStr">
        <is>
          <t>Hole Washout</t>
        </is>
      </c>
      <c r="B65" s="265" t="n"/>
      <c r="C65" s="646" t="inlineStr">
        <is>
          <t>%</t>
        </is>
      </c>
      <c r="AD65" s="646" t="n"/>
    </row>
    <row r="66">
      <c r="A66" s="700" t="inlineStr">
        <is>
          <t>Internal Gradient</t>
        </is>
      </c>
      <c r="B66" s="265" t="n"/>
      <c r="C66" s="646" t="inlineStr">
        <is>
          <t>psi/ft</t>
        </is>
      </c>
      <c r="AD66" s="646" t="n"/>
    </row>
    <row r="67">
      <c r="A67" s="700" t="inlineStr">
        <is>
          <t>Backup Mud</t>
        </is>
      </c>
      <c r="B67" s="265" t="n"/>
      <c r="C67" s="646" t="inlineStr">
        <is>
          <t>ppg</t>
        </is>
      </c>
      <c r="AD67" s="646" t="n"/>
    </row>
    <row r="68" ht="15.75" customHeight="1" s="613" thickBot="1">
      <c r="A68" s="700" t="inlineStr">
        <is>
          <t>Internal Mud</t>
        </is>
      </c>
      <c r="B68" s="265" t="n"/>
      <c r="C68" s="646" t="inlineStr">
        <is>
          <t>ppg</t>
        </is>
      </c>
      <c r="AD68" s="646" t="n"/>
    </row>
    <row r="69" ht="15.75" customHeight="1" s="613" thickBot="1">
      <c r="A69" s="654" t="inlineStr">
        <is>
          <t>TOL</t>
        </is>
      </c>
      <c r="B69" s="156" t="n">
        <v>7896</v>
      </c>
      <c r="C69" s="634" t="inlineStr">
        <is>
          <t>ft MD</t>
        </is>
      </c>
      <c r="D69" s="130">
        <f>DxSurvey!H69</f>
        <v/>
      </c>
      <c r="E69" s="129" t="inlineStr">
        <is>
          <t>ft TVD</t>
        </is>
      </c>
      <c r="F69" s="193">
        <f>D64-B69</f>
        <v/>
      </c>
      <c r="G69" s="128" t="inlineStr">
        <is>
          <t>Fracture Initiation Pressure</t>
        </is>
      </c>
      <c r="H69" s="673" t="n"/>
      <c r="I69" s="135">
        <f>B$9*B64</f>
        <v/>
      </c>
      <c r="J69" s="128" t="inlineStr">
        <is>
          <t>Max anticipated pressure at shoe</t>
        </is>
      </c>
      <c r="K69" s="131" t="n"/>
      <c r="L69" s="135">
        <f>B64*B63*0.05194806</f>
        <v/>
      </c>
      <c r="M69" s="633" t="n"/>
      <c r="N69" s="633" t="n"/>
      <c r="O69" s="633" t="n"/>
      <c r="P69" s="633" t="n"/>
      <c r="Q69" s="633" t="n"/>
      <c r="R69" s="633" t="n"/>
      <c r="S69" s="633" t="n"/>
      <c r="T69" s="633" t="n"/>
      <c r="U69" s="633" t="n"/>
      <c r="V69" s="633" t="n"/>
      <c r="W69" s="633" t="n"/>
      <c r="X69" s="633" t="n"/>
      <c r="Y69" s="633" t="n"/>
      <c r="Z69" s="633" t="n"/>
      <c r="AA69" s="633" t="n"/>
      <c r="AB69" s="633" t="n"/>
      <c r="AC69" s="633" t="n"/>
      <c r="AD69" s="634" t="n"/>
    </row>
  </sheetData>
  <conditionalFormatting sqref="V12 V14 V16 V27 V29 V31 V42 V44 V46 V57 V59 V61">
    <cfRule type="cellIs" priority="3" operator="lessThan" dxfId="2358">
      <formula>$K$2</formula>
    </cfRule>
  </conditionalFormatting>
  <conditionalFormatting sqref="Y12 Y14 Y16 Y27 Y29 Y31 Y42 Y44 Y46 Y57 Y59 Y61">
    <cfRule type="cellIs" priority="2" operator="lessThan" dxfId="2358">
      <formula>$K$3</formula>
    </cfRule>
  </conditionalFormatting>
  <conditionalFormatting sqref="AA12 AA14 AA16 AA27 AA29 AA31 AA42 AA44 AA46 AA57 AA59 AA61">
    <cfRule type="cellIs" priority="1" operator="lessThan" dxfId="2358">
      <formula>$K$5</formula>
    </cfRule>
  </conditionalFormatting>
  <dataValidations count="2">
    <dataValidation sqref="G12 G14 G16 G27 G29 G31 G42 G44 G46 G57 G59 G61" showDropDown="0" showInputMessage="1" showErrorMessage="1" allowBlank="0" type="list">
      <formula1>Casing_Collar</formula1>
    </dataValidation>
    <dataValidation sqref="F12 F14 F16 F27 F29 F31 F42 F44 F46 F57 F59 F61" showDropDown="0" showInputMessage="1" showErrorMessage="1" allowBlank="0" type="list">
      <formula1>Casing_Grade</formula1>
    </dataValidation>
  </dataValidations>
  <pageMargins left="0.7" right="0.7" top="0.75" bottom="0.75" header="0.3" footer="0.3"/>
  <pageSetup orientation="landscape" paperSize="3" scale="65" verticalDpi="1200"/>
</worksheet>
</file>

<file path=xl/worksheets/sheet2.xml><?xml version="1.0" encoding="utf-8"?>
<worksheet xmlns="http://schemas.openxmlformats.org/spreadsheetml/2006/main">
  <sheetPr codeName="Sheet2">
    <outlinePr summaryBelow="1" summaryRight="1"/>
    <pageSetUpPr/>
  </sheetPr>
  <dimension ref="A2:M18"/>
  <sheetViews>
    <sheetView workbookViewId="0">
      <selection activeCell="C3" sqref="C3"/>
    </sheetView>
  </sheetViews>
  <sheetFormatPr baseColWidth="8" defaultRowHeight="14.4"/>
  <cols>
    <col width="9.109375" customWidth="1" style="449" min="1" max="1"/>
    <col width="21.109375" customWidth="1" style="613" min="2" max="2"/>
  </cols>
  <sheetData>
    <row r="2">
      <c r="A2" s="449" t="inlineStr">
        <is>
          <t>Cell</t>
        </is>
      </c>
      <c r="B2" t="inlineStr">
        <is>
          <t xml:space="preserve">Formation </t>
        </is>
      </c>
      <c r="C2" t="inlineStr">
        <is>
          <t>Depth (MD)</t>
        </is>
      </c>
      <c r="J2" s="614" t="n"/>
      <c r="K2" s="614" t="n"/>
      <c r="L2" s="614" t="n"/>
      <c r="M2" s="614" t="n"/>
    </row>
    <row r="3">
      <c r="A3" s="449">
        <f>J3</f>
        <v/>
      </c>
      <c r="B3" s="265" t="inlineStr">
        <is>
          <t>Uinta</t>
        </is>
      </c>
      <c r="C3" s="265" t="n">
        <v>0</v>
      </c>
      <c r="H3">
        <f>VLOOKUP(A3,A$3:C$25,2)</f>
        <v/>
      </c>
      <c r="J3" s="449">
        <f>INT(C3/MAX('Casing Review'!$D$19,'Casing Review'!$D$34,'Casing Review'!$D$49,'Casing Review'!$D$64)*37)</f>
        <v/>
      </c>
      <c r="K3" s="449" t="n"/>
      <c r="L3" s="449" t="n"/>
      <c r="M3" s="449" t="n"/>
    </row>
    <row r="4">
      <c r="A4" s="449">
        <f>IF(C4=0,"",IF(J4=J5,J4-1,J4))</f>
        <v/>
      </c>
      <c r="B4" s="265" t="inlineStr">
        <is>
          <t>Green River</t>
        </is>
      </c>
      <c r="C4" s="265" t="n">
        <v>3135</v>
      </c>
      <c r="H4">
        <f>VLOOKUP(A4,A$3:C$25,2)</f>
        <v/>
      </c>
      <c r="J4" s="449">
        <f>INT(C4/MAX('Casing Review'!$D$19,'Casing Review'!$D$34,'Casing Review'!$D$49,'Casing Review'!$D$64)*37)</f>
        <v/>
      </c>
      <c r="K4" s="449" t="n"/>
      <c r="L4" s="449" t="n"/>
      <c r="M4" s="449" t="n"/>
    </row>
    <row r="5">
      <c r="A5" s="449">
        <f>IF(C5=0,"",IF(J5=J6,J5-1,J5))</f>
        <v/>
      </c>
      <c r="B5" s="265" t="inlineStr">
        <is>
          <t>Garden Gulch</t>
        </is>
      </c>
      <c r="C5" s="265" t="n">
        <v>5854</v>
      </c>
      <c r="H5">
        <f>VLOOKUP(A5,A$3:C$25,2)</f>
        <v/>
      </c>
      <c r="J5" s="449">
        <f>INT(C5/MAX('Casing Review'!$D$19,'Casing Review'!$D$34,'Casing Review'!$D$49,'Casing Review'!$D$64)*37)</f>
        <v/>
      </c>
      <c r="K5" s="449" t="n"/>
      <c r="L5" s="449" t="n"/>
      <c r="M5" s="449" t="n"/>
    </row>
    <row r="6">
      <c r="A6" s="449">
        <f>IF(C6=0,"",IF(J6=J7,J6-1,J6))</f>
        <v/>
      </c>
      <c r="B6" s="265" t="inlineStr">
        <is>
          <t>Uteland Butte</t>
        </is>
      </c>
      <c r="C6" s="265" t="n">
        <v>8238</v>
      </c>
      <c r="H6">
        <f>VLOOKUP(A6,A$3:C$25,2)</f>
        <v/>
      </c>
      <c r="J6" s="449">
        <f>INT(C6/MAX('Casing Review'!$D$19,'Casing Review'!$D$34,'Casing Review'!$D$49,'Casing Review'!$D$64)*37)</f>
        <v/>
      </c>
      <c r="K6" s="449" t="n"/>
      <c r="L6" s="449" t="n"/>
      <c r="M6" s="449" t="n"/>
    </row>
    <row r="7">
      <c r="A7" s="449">
        <f>IF(C7=0,"",IF(J7=J8,J7-1,J7))</f>
        <v/>
      </c>
      <c r="B7" s="265" t="n"/>
      <c r="C7" s="265" t="n"/>
      <c r="H7">
        <f>VLOOKUP(A7,A$3:C$25,2)</f>
        <v/>
      </c>
      <c r="J7" s="449">
        <f>INT(C7/MAX('Casing Review'!$D$19,'Casing Review'!$D$34,'Casing Review'!$D$49,'Casing Review'!$D$64)*37)</f>
        <v/>
      </c>
      <c r="K7" s="449" t="n"/>
      <c r="L7" s="449" t="n"/>
      <c r="M7" s="449" t="n"/>
    </row>
    <row r="8">
      <c r="A8" s="449">
        <f>IF(C8=0,"",IF(J8=J9,J8-1,J8))</f>
        <v/>
      </c>
      <c r="B8" s="265" t="n"/>
      <c r="C8" s="265" t="n"/>
      <c r="H8">
        <f>VLOOKUP(A8,A$3:C$25,2)</f>
        <v/>
      </c>
      <c r="J8" s="449">
        <f>INT(C8/MAX('Casing Review'!$D$19,'Casing Review'!$D$34,'Casing Review'!$D$49,'Casing Review'!$D$64)*37)</f>
        <v/>
      </c>
      <c r="K8" s="449" t="n"/>
      <c r="L8" s="449" t="n"/>
      <c r="M8" s="449" t="n"/>
    </row>
    <row r="9">
      <c r="A9" s="449">
        <f>IF(C9=0,"",IF(J9=J10,J9-1,J9))</f>
        <v/>
      </c>
      <c r="B9" s="265" t="n"/>
      <c r="C9" s="265" t="n"/>
      <c r="H9">
        <f>VLOOKUP(A9,A$3:C$25,2)</f>
        <v/>
      </c>
      <c r="J9" s="449">
        <f>INT(C9/MAX('Casing Review'!$D$19,'Casing Review'!$D$34,'Casing Review'!$D$49,'Casing Review'!$D$64)*37)</f>
        <v/>
      </c>
      <c r="K9" s="449" t="n"/>
      <c r="L9" s="449" t="n"/>
      <c r="M9" s="449" t="n"/>
    </row>
    <row r="10">
      <c r="A10" s="449">
        <f>IF(C10=0,"",IF(J10=J11,J10-1,J10))</f>
        <v/>
      </c>
      <c r="B10" s="265" t="n"/>
      <c r="C10" s="265" t="n"/>
      <c r="H10">
        <f>VLOOKUP(A10,A$3:C$25,2)</f>
        <v/>
      </c>
      <c r="J10" s="449">
        <f>INT(C10/MAX('Casing Review'!$D$19,'Casing Review'!$D$34,'Casing Review'!$D$49,'Casing Review'!$D$64)*37)</f>
        <v/>
      </c>
      <c r="K10" s="449" t="n"/>
      <c r="L10" s="449" t="n"/>
      <c r="M10" s="449" t="n"/>
    </row>
    <row r="11">
      <c r="A11" s="449">
        <f>IF(C11=0,"",IF(J11=J12,J11-1,J11))</f>
        <v/>
      </c>
      <c r="B11" s="265" t="n"/>
      <c r="C11" s="265" t="n"/>
      <c r="H11">
        <f>VLOOKUP(A11,A$3:C$25,2)</f>
        <v/>
      </c>
      <c r="J11" s="449">
        <f>INT(C11/MAX('Casing Review'!$D$19,'Casing Review'!$D$34,'Casing Review'!$D$49,'Casing Review'!$D$64)*37)</f>
        <v/>
      </c>
      <c r="K11" s="449" t="n"/>
      <c r="L11" s="449" t="n"/>
      <c r="M11" s="449" t="n"/>
    </row>
    <row r="12">
      <c r="A12" s="449">
        <f>IF(C12=0,"",IF(J12=J13,J12-1,J12))</f>
        <v/>
      </c>
      <c r="B12" s="265" t="n"/>
      <c r="C12" s="265" t="n"/>
      <c r="H12">
        <f>VLOOKUP(A12,A$3:C$25,2)</f>
        <v/>
      </c>
      <c r="J12" s="449">
        <f>INT(C12/MAX('Casing Review'!$D$19,'Casing Review'!$D$34,'Casing Review'!$D$49,'Casing Review'!$D$64)*37)</f>
        <v/>
      </c>
      <c r="K12" s="449" t="n"/>
      <c r="L12" s="449" t="n"/>
      <c r="M12" s="449" t="n"/>
    </row>
    <row r="13">
      <c r="A13" s="449">
        <f>IF(C13=0,"",IF(J13=J14,J13-1,J13))</f>
        <v/>
      </c>
      <c r="B13" s="265" t="n"/>
      <c r="C13" s="265" t="n"/>
      <c r="H13">
        <f>VLOOKUP(A13,A$3:C$25,2)</f>
        <v/>
      </c>
      <c r="J13" s="449">
        <f>INT(C13/MAX('Casing Review'!$D$19,'Casing Review'!$D$34,'Casing Review'!$D$49,'Casing Review'!$D$64)*37)</f>
        <v/>
      </c>
      <c r="K13" s="449" t="n"/>
      <c r="L13" s="449" t="n"/>
      <c r="M13" s="449" t="n"/>
    </row>
    <row r="14">
      <c r="A14" s="449">
        <f>IF(C14=0,"",IF(J14=J15,J14-1,J14))</f>
        <v/>
      </c>
      <c r="B14" s="265" t="n"/>
      <c r="C14" s="265" t="n"/>
      <c r="H14">
        <f>VLOOKUP(A14,A$3:C$25,2)</f>
        <v/>
      </c>
      <c r="J14" s="449">
        <f>INT(C14/MAX('Casing Review'!$D$19,'Casing Review'!$D$34,'Casing Review'!$D$49,'Casing Review'!$D$64)*37)</f>
        <v/>
      </c>
      <c r="K14" s="449" t="n"/>
      <c r="L14" s="449" t="n"/>
      <c r="M14" s="449" t="n"/>
    </row>
    <row r="15">
      <c r="A15" s="449">
        <f>IF(C15=0,"",IF(J15=J16,J15-1,J15))</f>
        <v/>
      </c>
      <c r="B15" s="265" t="n"/>
      <c r="C15" s="265" t="n"/>
      <c r="H15">
        <f>VLOOKUP(A15,A$3:C$25,2)</f>
        <v/>
      </c>
      <c r="J15" s="449">
        <f>INT(C15/MAX('Casing Review'!$D$19,'Casing Review'!$D$34,'Casing Review'!$D$49,'Casing Review'!$D$64)*37)</f>
        <v/>
      </c>
      <c r="K15" s="449" t="n"/>
      <c r="L15" s="449" t="n"/>
      <c r="M15" s="449" t="n"/>
    </row>
    <row r="16">
      <c r="A16" s="449">
        <f>IF(C16=0,"",IF(J16=J17,J16-1,J16))</f>
        <v/>
      </c>
      <c r="B16" s="265" t="n"/>
      <c r="C16" s="265" t="n"/>
      <c r="H16">
        <f>VLOOKUP(A16,A$3:C$25,2)</f>
        <v/>
      </c>
      <c r="J16" s="449">
        <f>INT(C16/MAX('Casing Review'!$D$19,'Casing Review'!$D$34,'Casing Review'!$D$49,'Casing Review'!$D$64)*37)</f>
        <v/>
      </c>
      <c r="K16" s="449" t="n"/>
      <c r="L16" s="449" t="n"/>
      <c r="M16" s="449" t="n"/>
    </row>
    <row r="17">
      <c r="A17" s="449">
        <f>IF(C17=0,"",IF(J17=J18,J17-1,J17))</f>
        <v/>
      </c>
      <c r="B17" s="265" t="n"/>
      <c r="C17" s="265" t="n"/>
      <c r="H17">
        <f>VLOOKUP(A17,A$3:C$25,2)</f>
        <v/>
      </c>
      <c r="J17" s="449">
        <f>INT(C17/MAX('Casing Review'!$D$19,'Casing Review'!$D$34,'Casing Review'!$D$49,'Casing Review'!$D$64)*37)</f>
        <v/>
      </c>
      <c r="K17" s="449" t="n"/>
      <c r="L17" s="449" t="n"/>
      <c r="M17" s="449" t="n"/>
    </row>
    <row r="18">
      <c r="A18" s="449">
        <f>IF(C18=0,"",IF(J18=J19,J18-1,J18))</f>
        <v/>
      </c>
      <c r="B18" s="265" t="n"/>
      <c r="C18" s="265" t="n"/>
      <c r="H18">
        <f>VLOOKUP(A18,A$3:C$25,2)</f>
        <v/>
      </c>
      <c r="J18" s="449">
        <f>INT(C18/MAX('Casing Review'!$D$19,'Casing Review'!$D$34,'Casing Review'!$D$49,'Casing Review'!$D$64)*37)</f>
        <v/>
      </c>
      <c r="K18" s="449" t="n"/>
      <c r="L18" s="449" t="n"/>
      <c r="M18" s="449" t="n"/>
    </row>
  </sheetData>
  <pageMargins left="0.7" right="0.7" top="0.75" bottom="0.75" header="0.3" footer="0.3"/>
  <pageSetup orientation="portrait" verticalDpi="1200"/>
</worksheet>
</file>

<file path=xl/worksheets/sheet3.xml><?xml version="1.0" encoding="utf-8"?>
<worksheet xmlns="http://schemas.openxmlformats.org/spreadsheetml/2006/main">
  <sheetPr codeName="Sheet3">
    <outlinePr summaryBelow="1" summaryRight="1"/>
    <pageSetUpPr fitToPage="1"/>
  </sheetPr>
  <dimension ref="A2:X78"/>
  <sheetViews>
    <sheetView topLeftCell="A22" zoomScaleNormal="100" workbookViewId="0">
      <selection activeCell="O50" sqref="O50"/>
    </sheetView>
  </sheetViews>
  <sheetFormatPr baseColWidth="8" defaultRowHeight="14.4"/>
  <cols>
    <col width="15.6640625" bestFit="1" customWidth="1" style="613" min="1" max="1"/>
    <col width="9.5546875" bestFit="1" customWidth="1" style="613" min="2" max="2"/>
    <col width="10" customWidth="1" style="613" min="3" max="3"/>
    <col width="10.44140625" customWidth="1" style="613" min="7" max="7"/>
    <col width="9.5546875" bestFit="1" customWidth="1" style="613" min="8" max="8"/>
    <col width="9.6640625" customWidth="1" style="613" min="15" max="16"/>
    <col width="9" customWidth="1" style="613" min="17" max="17"/>
    <col width="9.33203125" customWidth="1" style="613" min="18" max="18"/>
    <col width="9.109375" customWidth="1" style="613" min="22" max="22"/>
  </cols>
  <sheetData>
    <row r="2">
      <c r="B2" t="inlineStr">
        <is>
          <t>DIRECTIONAL SURVEY CALCULATION</t>
        </is>
      </c>
    </row>
    <row r="3">
      <c r="B3" t="inlineStr">
        <is>
          <t>MINIMUM RADIUS OF CURVATURE METHOD</t>
        </is>
      </c>
    </row>
    <row r="5">
      <c r="B5">
        <f>'Casing Review'!B4</f>
        <v/>
      </c>
      <c r="F5">
        <f>'Casing Review'!B5</f>
        <v/>
      </c>
      <c r="I5" s="612">
        <f>'Casing Review'!B6</f>
        <v/>
      </c>
    </row>
    <row r="7">
      <c r="D7" t="inlineStr">
        <is>
          <t>N(+)/S(-)</t>
        </is>
      </c>
      <c r="E7" t="inlineStr">
        <is>
          <t>E(+)/W(-)</t>
        </is>
      </c>
      <c r="G7" s="463" t="inlineStr">
        <is>
          <t>DxSurvey North Ref</t>
        </is>
      </c>
      <c r="H7" s="263" t="inlineStr">
        <is>
          <t>G</t>
        </is>
      </c>
      <c r="I7" s="449" t="inlineStr">
        <is>
          <t>(T, M, G)</t>
        </is>
      </c>
      <c r="T7" s="463" t="inlineStr">
        <is>
          <t>NS SL '</t>
        </is>
      </c>
      <c r="U7" s="612">
        <f>#REF!</f>
        <v/>
      </c>
      <c r="V7" s="612">
        <f>#REF!</f>
        <v/>
      </c>
      <c r="W7" t="inlineStr">
        <is>
          <t>EW SL '</t>
        </is>
      </c>
    </row>
    <row r="8">
      <c r="A8" s="608" t="inlineStr">
        <is>
          <t>K.O. Point</t>
        </is>
      </c>
      <c r="B8" s="609" t="n"/>
      <c r="C8" s="264" t="n">
        <v>115.87</v>
      </c>
      <c r="D8">
        <f>IF('Casing Review'!$E$9="n", 0,LOOKUP($C8,B$16:B$42,I$16:I$42))</f>
        <v/>
      </c>
      <c r="E8">
        <f>IF('Casing Review'!$E$9="n", 0,LOOKUP($C8,B$16:B$42,J$16:J$42))</f>
        <v/>
      </c>
      <c r="G8" s="463" t="inlineStr">
        <is>
          <t>Magnetic Declination</t>
        </is>
      </c>
      <c r="H8" s="265" t="n"/>
      <c r="I8" t="inlineStr">
        <is>
          <t>(ddd.dd)</t>
        </is>
      </c>
    </row>
    <row r="9">
      <c r="A9" s="608" t="inlineStr">
        <is>
          <t>Prod. Interval</t>
        </is>
      </c>
      <c r="B9" s="609" t="n"/>
      <c r="C9" s="264" t="n">
        <v>8695</v>
      </c>
      <c r="D9">
        <f>IF('Casing Review'!$E$9="n", 0,LOOKUP($C9,B$16:B$42,I$16:I$42))</f>
        <v/>
      </c>
      <c r="E9">
        <f>IF('Casing Review'!$E$9="n", 0,LOOKUP($C9,B$16:B$42,J$16:J$42))</f>
        <v/>
      </c>
      <c r="G9" s="463" t="inlineStr">
        <is>
          <t>Convergence Angle</t>
        </is>
      </c>
      <c r="H9" s="265" t="n">
        <v>0.92</v>
      </c>
      <c r="I9" t="inlineStr">
        <is>
          <t>(ddd.dd)</t>
        </is>
      </c>
      <c r="J9" t="inlineStr">
        <is>
          <t>(Need to determine if survey plats use True or Grid North)</t>
        </is>
      </c>
      <c r="U9" t="inlineStr">
        <is>
          <t>NORTH</t>
        </is>
      </c>
      <c r="V9" t="inlineStr">
        <is>
          <t>EAST</t>
        </is>
      </c>
    </row>
    <row r="10" ht="15.75" customHeight="1" s="613" thickBot="1">
      <c r="A10" s="610" t="inlineStr">
        <is>
          <t>Total Depth</t>
        </is>
      </c>
      <c r="B10" s="611" t="n"/>
      <c r="C10" s="724">
        <f>B44</f>
        <v/>
      </c>
      <c r="D10">
        <f>IF('Casing Review'!$E$9="n", 0,LOOKUP($C10,B$16:B$42,I$16:I$42))</f>
        <v/>
      </c>
      <c r="E10">
        <f>IF('Casing Review'!$E$9="n", 0,LOOKUP($C10,B$16:B$42,J$16:J$42))</f>
        <v/>
      </c>
      <c r="F10" t="inlineStr">
        <is>
          <t>Proposed Azimuth</t>
        </is>
      </c>
      <c r="G10" s="463" t="n"/>
      <c r="H10" s="265" t="n">
        <v>170.89</v>
      </c>
      <c r="U10" t="inlineStr">
        <is>
          <t>SOUTH</t>
        </is>
      </c>
      <c r="V10" t="inlineStr">
        <is>
          <t>WEST</t>
        </is>
      </c>
    </row>
    <row r="12">
      <c r="B12" t="inlineStr">
        <is>
          <t>MD</t>
        </is>
      </c>
      <c r="C12" t="inlineStr">
        <is>
          <t>Inclination</t>
        </is>
      </c>
      <c r="D12" t="inlineStr">
        <is>
          <t>Azimuth</t>
        </is>
      </c>
      <c r="E12" t="inlineStr">
        <is>
          <t>Bearing</t>
        </is>
      </c>
      <c r="F12" t="inlineStr">
        <is>
          <t>DOGLEG</t>
        </is>
      </c>
      <c r="G12" t="inlineStr">
        <is>
          <t>F</t>
        </is>
      </c>
      <c r="H12" t="inlineStr">
        <is>
          <t>TVD</t>
        </is>
      </c>
      <c r="I12" t="inlineStr">
        <is>
          <t>N(+)/S(-)</t>
        </is>
      </c>
      <c r="J12" t="inlineStr">
        <is>
          <t>E(+)/W(-)</t>
        </is>
      </c>
      <c r="K12" t="inlineStr">
        <is>
          <t>BH</t>
        </is>
      </c>
      <c r="L12" t="inlineStr">
        <is>
          <t>B-hole</t>
        </is>
      </c>
      <c r="M12" t="inlineStr">
        <is>
          <t>VERT</t>
        </is>
      </c>
      <c r="N12" t="inlineStr">
        <is>
          <t>DOGLEG</t>
        </is>
      </c>
      <c r="O12" t="b">
        <v>1</v>
      </c>
      <c r="P12" t="inlineStr">
        <is>
          <t>DELTA N</t>
        </is>
      </c>
      <c r="Q12" t="inlineStr">
        <is>
          <t>DELTA E</t>
        </is>
      </c>
      <c r="R12" t="inlineStr">
        <is>
          <t>Course Lgth</t>
        </is>
      </c>
      <c r="S12" t="inlineStr">
        <is>
          <t>Course Dir</t>
        </is>
      </c>
      <c r="T12" t="inlineStr">
        <is>
          <t>CHART</t>
        </is>
      </c>
      <c r="U12" t="inlineStr">
        <is>
          <t>CHART</t>
        </is>
      </c>
      <c r="V12" t="inlineStr">
        <is>
          <t>CHART</t>
        </is>
      </c>
      <c r="W12" t="inlineStr">
        <is>
          <t>CHART</t>
        </is>
      </c>
      <c r="X12" t="inlineStr">
        <is>
          <t>dx from</t>
        </is>
      </c>
    </row>
    <row r="13" ht="15.75" customHeight="1" s="613" thickBot="1">
      <c r="F13" t="inlineStr">
        <is>
          <t>ANGLE</t>
        </is>
      </c>
      <c r="I13" t="inlineStr">
        <is>
          <t>Departure</t>
        </is>
      </c>
      <c r="J13" t="inlineStr">
        <is>
          <t>Departure</t>
        </is>
      </c>
      <c r="K13" t="inlineStr">
        <is>
          <t>DEPART</t>
        </is>
      </c>
      <c r="L13" t="inlineStr">
        <is>
          <t>DIR</t>
        </is>
      </c>
      <c r="M13" t="inlineStr">
        <is>
          <t>Section</t>
        </is>
      </c>
      <c r="N13" t="inlineStr">
        <is>
          <t>Severity</t>
        </is>
      </c>
      <c r="O13" t="inlineStr">
        <is>
          <t>DIR</t>
        </is>
      </c>
      <c r="R13" t="inlineStr">
        <is>
          <t>Horz Plane</t>
        </is>
      </c>
      <c r="S13" t="inlineStr">
        <is>
          <t>Horz Plane</t>
        </is>
      </c>
      <c r="T13" t="inlineStr">
        <is>
          <t>VS</t>
        </is>
      </c>
      <c r="U13" t="inlineStr">
        <is>
          <t>TVD</t>
        </is>
      </c>
      <c r="V13">
        <f>IF(B47&gt;0,1,2)</f>
        <v/>
      </c>
      <c r="W13">
        <f>IF(D47&gt;0,1,2)</f>
        <v/>
      </c>
      <c r="X13" t="inlineStr">
        <is>
          <t xml:space="preserve">lease </t>
        </is>
      </c>
    </row>
    <row r="14" ht="15.75" customHeight="1" s="613" thickBot="1">
      <c r="B14" t="inlineStr">
        <is>
          <t>feet</t>
        </is>
      </c>
      <c r="C14" t="inlineStr">
        <is>
          <t>degrees</t>
        </is>
      </c>
      <c r="D14" t="inlineStr">
        <is>
          <t>degrees</t>
        </is>
      </c>
      <c r="E14" t="inlineStr">
        <is>
          <t>degrees</t>
        </is>
      </c>
      <c r="F14" t="inlineStr">
        <is>
          <t>degrees</t>
        </is>
      </c>
      <c r="G14" t="inlineStr">
        <is>
          <t>factor</t>
        </is>
      </c>
      <c r="H14" t="inlineStr">
        <is>
          <t>feet</t>
        </is>
      </c>
      <c r="I14" s="432" t="inlineStr">
        <is>
          <t>feet</t>
        </is>
      </c>
      <c r="J14" s="656" t="inlineStr">
        <is>
          <t>feet</t>
        </is>
      </c>
      <c r="K14" t="inlineStr">
        <is>
          <t>feet</t>
        </is>
      </c>
      <c r="L14" t="inlineStr">
        <is>
          <t>degrees</t>
        </is>
      </c>
      <c r="M14" t="inlineStr">
        <is>
          <t>feet</t>
        </is>
      </c>
      <c r="N14" t="inlineStr">
        <is>
          <t>deg/100 ft</t>
        </is>
      </c>
      <c r="O14" t="inlineStr">
        <is>
          <t>degrees</t>
        </is>
      </c>
      <c r="P14" t="inlineStr">
        <is>
          <t>feet</t>
        </is>
      </c>
      <c r="Q14" t="inlineStr">
        <is>
          <t>feet</t>
        </is>
      </c>
      <c r="R14" t="inlineStr">
        <is>
          <t>feet</t>
        </is>
      </c>
      <c r="S14" t="inlineStr">
        <is>
          <t>degrees</t>
        </is>
      </c>
      <c r="T14" t="inlineStr">
        <is>
          <t>feet</t>
        </is>
      </c>
      <c r="U14" t="inlineStr">
        <is>
          <t>feet</t>
        </is>
      </c>
      <c r="V14" t="inlineStr">
        <is>
          <t>feet</t>
        </is>
      </c>
      <c r="W14" t="inlineStr">
        <is>
          <t>feet</t>
        </is>
      </c>
      <c r="X14" t="inlineStr">
        <is>
          <t>line</t>
        </is>
      </c>
    </row>
    <row r="15">
      <c r="I15" s="700" t="n"/>
      <c r="J15" s="646" t="n"/>
      <c r="V15" s="656">
        <f>MAX(B47:C47)</f>
        <v/>
      </c>
      <c r="W15" s="432">
        <f>MAX(D47:E47)</f>
        <v/>
      </c>
    </row>
    <row r="16">
      <c r="B16" s="264" t="n">
        <v>0</v>
      </c>
      <c r="C16" s="265" t="n">
        <v>0</v>
      </c>
      <c r="D16" s="265" t="n">
        <v>104</v>
      </c>
      <c r="E16">
        <f>IF($H$7="M",D16+$H$8-$H$9,IF( AND($H$7="T",$A$45="g"),D16-$H$9,IF(AND($H$7="g",$A$45="t"),D16+$H$9,D16)))</f>
        <v/>
      </c>
      <c r="F16">
        <f>IF(C16=C15,0,ACOS(COS(C15*PI()/180)*COS(C16*PI()/180)+(SIN(C15*PI()/180)*SIN(C16*PI()/180))*COS((E16-E15)*PI()/180))*180/PI())</f>
        <v/>
      </c>
      <c r="G16">
        <f>IF(F16=0,1,(2/F16)*(180/PI())*TAN(F16*PI()/180/2))</f>
        <v/>
      </c>
      <c r="H16" s="719">
        <f>H15+(G16*((B16-B15)/2*(COS(C15*PI()/180)+COS(C16*PI()/180))))</f>
        <v/>
      </c>
      <c r="I16" s="725">
        <f>I15+G16*((B16-B15)/2)*(SIN(C15*PI()/180)*COS(E15*PI()/180)+SIN(C16*PI()/180)*COS(E16*PI()/180))</f>
        <v/>
      </c>
      <c r="J16" s="726">
        <f>J15+G16*((B16-B15)/2)*(SIN(C15*PI()/180)*SIN(E15*PI()/180)+SIN(C16*PI()/180)*SIN(E16*PI()/180))</f>
        <v/>
      </c>
      <c r="K16" s="719">
        <f>SQRT(I16^2+J16^2)</f>
        <v/>
      </c>
      <c r="L16" s="243">
        <f>IF(AND(I16=0,J16=0),0,(IF(AND(I16&gt;=0,J16&gt;=0),ATAN(J16/I16)*(180/PI()),IF(AND(I16&lt;0,J16&gt;=0),ATAN(J16/I16)*(180/PI())+180,IF(AND(I16&lt;0,J16&lt;0),ATAN(J16/I16)*(180/PI())+180,ATAN(J16/I16)*(180/PI())+360)))))</f>
        <v/>
      </c>
      <c r="M16" s="719">
        <f>ABS(SQRT(I16^2+J16^2)*(COS(RADIANS(($H$10-IF(I16=0,0,DEGREES(ATAN(J16/I16))))))))</f>
        <v/>
      </c>
      <c r="N16" s="243">
        <f>IF(B16=B15,0,F16*100/(B16-B15))</f>
        <v/>
      </c>
      <c r="O16">
        <f>E16+$F$7</f>
        <v/>
      </c>
      <c r="P16">
        <f>G16*((B16-B15)/2)*(SIN(C15*PI()/180)*COS(E15*PI()/180)+SIN(C16*PI()/180)*COS(E16*PI()/180))</f>
        <v/>
      </c>
      <c r="Q16">
        <f>G16*((B16-B15)/2)*(SIN(C15*PI()/180)*SIN(E15*PI()/180)+SIN(C16*PI()/180)*SIN(E16*PI()/180))</f>
        <v/>
      </c>
      <c r="R16">
        <f>SQRT(P16^2+Q16^2)</f>
        <v/>
      </c>
      <c r="S16">
        <f>IF(AND(P16=0,Q16=0),0,IF(AND(P16&gt;=0,Q16&gt;=0),ATAN(Q16/P16)*(180/PI()),IF(AND(P16&lt;0,Q16&gt;=0),ATAN(Q16/P16)*(180/PI())+180,IF(AND(P16&lt;0,Q16&lt;0),ATAN(Q16/P16)*(180/PI())+180,ATAN(Q16/P16)*(180/PI())+360))))</f>
        <v/>
      </c>
      <c r="T16" s="719">
        <f>M16</f>
        <v/>
      </c>
      <c r="U16" s="719">
        <f>(-H16)</f>
        <v/>
      </c>
      <c r="V16" s="200">
        <f>IF($V$13=1,V$15-I16,V$15+I16)</f>
        <v/>
      </c>
      <c r="W16" s="158">
        <f>IF($W$13=1,W$15-J16,W$15+J16)</f>
        <v/>
      </c>
      <c r="X16" s="727">
        <f>SQRT((W16-$S$186)^2+(V16-$S$186)^2)</f>
        <v/>
      </c>
    </row>
    <row r="17">
      <c r="A17">
        <f>'Casing Review'!D12</f>
        <v/>
      </c>
      <c r="B17" s="264" t="n">
        <v>115.87</v>
      </c>
      <c r="C17" s="265" t="n">
        <v>0</v>
      </c>
      <c r="D17" s="265" t="n">
        <v>104</v>
      </c>
      <c r="E17">
        <f>IF($H$7="M",D17+$H$8-$H$9,IF( AND($H$7="T",$A$45="g"),D17-$H$9,IF(AND($H$7="g",$A$45="t"),D17+$H$9,D17)))</f>
        <v/>
      </c>
      <c r="F17">
        <f>IF(C17=C16,0,ACOS(COS(C16*PI()/180)*COS(C17*PI()/180)+(SIN(C16*PI()/180)*SIN(C17*PI()/180))*COS((E17-E16)*PI()/180))*180/PI())</f>
        <v/>
      </c>
      <c r="G17">
        <f>IF(F17=0,1,(2/F17)*(180/PI())*TAN(F17*PI()/180/2))</f>
        <v/>
      </c>
      <c r="H17" s="719">
        <f>H16+(G17*((B17-B16)/2*(COS(C16*PI()/180)+COS(C17*PI()/180))))</f>
        <v/>
      </c>
      <c r="I17" s="725">
        <f>I16+G17*((B17-B16)/2)*(SIN(C16*PI()/180)*COS(E16*PI()/180)+SIN(C17*PI()/180)*COS(E17*PI()/180))</f>
        <v/>
      </c>
      <c r="J17" s="726">
        <f>J16+G17*((B17-B16)/2)*(SIN(C16*PI()/180)*SIN(E16*PI()/180)+SIN(C17*PI()/180)*SIN(E17*PI()/180))</f>
        <v/>
      </c>
      <c r="K17" s="719">
        <f>SQRT(I17^2+J17^2)</f>
        <v/>
      </c>
      <c r="L17" s="243">
        <f>IF(AND(I17=0,J17=0),0,(IF(AND(I17&gt;=0,J17&gt;=0),ATAN(J17/I17)*(180/PI()),IF(AND(I17&lt;0,J17&gt;=0),ATAN(J17/I17)*(180/PI())+180,IF(AND(I17&lt;0,J17&lt;0),ATAN(J17/I17)*(180/PI())+180,ATAN(J17/I17)*(180/PI())+360)))))</f>
        <v/>
      </c>
      <c r="M17" s="719">
        <f>ABS(SQRT(I17^2+J17^2)*(COS(RADIANS(($H$10-IF(I17=0,0,DEGREES(ATAN(J17/I17))))))))</f>
        <v/>
      </c>
      <c r="N17" s="243">
        <f>IF(B17=B16,0,F17*100/(B17-B16))</f>
        <v/>
      </c>
      <c r="O17">
        <f>E17+$F$7</f>
        <v/>
      </c>
      <c r="P17">
        <f>G17*((B17-B16)/2)*(SIN(C16*PI()/180)*COS(E16*PI()/180)+SIN(C17*PI()/180)*COS(E17*PI()/180))</f>
        <v/>
      </c>
      <c r="Q17">
        <f>G17*((B17-B16)/2)*(SIN(C16*PI()/180)*SIN(E16*PI()/180)+SIN(C17*PI()/180)*SIN(E17*PI()/180))</f>
        <v/>
      </c>
      <c r="R17">
        <f>SQRT(P17^2+Q17^2)</f>
        <v/>
      </c>
      <c r="S17">
        <f>IF(AND(P17=0,Q17=0),0,IF(AND(P17&gt;=0,Q17&gt;=0),ATAN(Q17/P17)*(180/PI()),IF(AND(P17&lt;0,Q17&gt;=0),ATAN(Q17/P17)*(180/PI())+180,IF(AND(P17&lt;0,Q17&lt;0),ATAN(Q17/P17)*(180/PI())+180,ATAN(Q17/P17)*(180/PI())+360))))</f>
        <v/>
      </c>
      <c r="T17" s="719">
        <f>M17</f>
        <v/>
      </c>
      <c r="U17" s="719">
        <f>(-H17)</f>
        <v/>
      </c>
      <c r="V17" s="200">
        <f>IF($V$13=1,V$15-I17,V$15+I17)</f>
        <v/>
      </c>
      <c r="W17" s="158">
        <f>IF($W$13=1,W$15-J17,W$15+J17)</f>
        <v/>
      </c>
      <c r="X17" s="727">
        <f>SQRT((W17-$S$186)^2+(V17-$S$186)^2)</f>
        <v/>
      </c>
    </row>
    <row r="18">
      <c r="A18" s="449">
        <f>'Casing Review'!D14</f>
        <v/>
      </c>
      <c r="B18" s="264" t="n">
        <v>500.49</v>
      </c>
      <c r="C18" s="265" t="n">
        <v>5</v>
      </c>
      <c r="D18" s="265" t="n">
        <v>104</v>
      </c>
      <c r="E18">
        <f>IF($H$7="M",D18+$H$8-$H$9,IF( AND($H$7="T",$A$45="g"),D18-$H$9,IF(AND($H$7="g",$A$45="t"),D18+$H$9,D18)))</f>
        <v/>
      </c>
      <c r="F18">
        <f>IF(C18=C17,0,ACOS(COS(C17*PI()/180)*COS(C18*PI()/180)+(SIN(C17*PI()/180)*SIN(C18*PI()/180))*COS((E18-E17)*PI()/180))*180/PI())</f>
        <v/>
      </c>
      <c r="G18">
        <f>IF(F18=0,1,(2/F18)*(180/PI())*TAN(F18*PI()/180/2))</f>
        <v/>
      </c>
      <c r="H18" s="719">
        <f>H17+(G18*((B18-B17)/2*(COS(C17*PI()/180)+COS(C18*PI()/180))))</f>
        <v/>
      </c>
      <c r="I18" s="725">
        <f>I17+G18*((B18-B17)/2)*(SIN(C17*PI()/180)*COS(E17*PI()/180)+SIN(C18*PI()/180)*COS(E18*PI()/180))</f>
        <v/>
      </c>
      <c r="J18" s="726">
        <f>J17+G18*((B18-B17)/2)*(SIN(C17*PI()/180)*SIN(E17*PI()/180)+SIN(C18*PI()/180)*SIN(E18*PI()/180))</f>
        <v/>
      </c>
      <c r="K18" s="719">
        <f>SQRT(I18^2+J18^2)</f>
        <v/>
      </c>
      <c r="L18" s="243">
        <f>IF(AND(I18=0,J18=0),0,(IF(AND(I18&gt;=0,J18&gt;=0),ATAN(J18/I18)*(180/PI()),IF(AND(I18&lt;0,J18&gt;=0),ATAN(J18/I18)*(180/PI())+180,IF(AND(I18&lt;0,J18&lt;0),ATAN(J18/I18)*(180/PI())+180,ATAN(J18/I18)*(180/PI())+360)))))</f>
        <v/>
      </c>
      <c r="M18" s="719">
        <f>ABS(SQRT(I18^2+J18^2)*(COS(RADIANS(($H$10-IF(I18=0,0,DEGREES(ATAN(J18/I18))))))))</f>
        <v/>
      </c>
      <c r="N18" s="243">
        <f>IF(B18=B17,0,F18*100/(B18-B17))</f>
        <v/>
      </c>
      <c r="O18">
        <f>E18+$F$7</f>
        <v/>
      </c>
      <c r="P18">
        <f>G18*((B18-B17)/2)*(SIN(C17*PI()/180)*COS(E17*PI()/180)+SIN(C18*PI()/180)*COS(E18*PI()/180))</f>
        <v/>
      </c>
      <c r="Q18">
        <f>G18*((B18-B17)/2)*(SIN(C17*PI()/180)*SIN(E17*PI()/180)+SIN(C18*PI()/180)*SIN(E18*PI()/180))</f>
        <v/>
      </c>
      <c r="R18">
        <f>SQRT(P18^2+Q18^2)</f>
        <v/>
      </c>
      <c r="S18">
        <f>IF(AND(P18=0,Q18=0),0,IF(AND(P18&gt;=0,Q18&gt;=0),ATAN(Q18/P18)*(180/PI()),IF(AND(P18&lt;0,Q18&gt;=0),ATAN(Q18/P18)*(180/PI())+180,IF(AND(P18&lt;0,Q18&lt;0),ATAN(Q18/P18)*(180/PI())+180,ATAN(Q18/P18)*(180/PI())+360))))</f>
        <v/>
      </c>
      <c r="T18" s="719">
        <f>M18</f>
        <v/>
      </c>
      <c r="U18" s="719">
        <f>(-H18)</f>
        <v/>
      </c>
      <c r="V18" s="200">
        <f>IF($V$13=1,V$15-I18,V$15+I18)</f>
        <v/>
      </c>
      <c r="W18" s="158">
        <f>IF($W$13=1,W$15-J18,W$15+J18)</f>
        <v/>
      </c>
      <c r="X18" s="727">
        <f>SQRT((W18-$S$186)^2+(V18-$S$186)^2)</f>
        <v/>
      </c>
    </row>
    <row r="19">
      <c r="A19">
        <f>'Casing Review'!D16</f>
        <v/>
      </c>
      <c r="B19" s="264" t="n">
        <v>1900</v>
      </c>
      <c r="C19" s="265" t="n">
        <v>5</v>
      </c>
      <c r="D19" s="265" t="n">
        <v>104</v>
      </c>
      <c r="E19">
        <f>IF($H$7="M",D19+$H$8-$H$9,IF( AND($H$7="T",$A$45="g"),D19-$H$9,IF(AND($H$7="g",$A$45="t"),D19+$H$9,D19)))</f>
        <v/>
      </c>
      <c r="F19">
        <f>IF(C19=C18,0,ACOS(COS(C18*PI()/180)*COS(C19*PI()/180)+(SIN(C18*PI()/180)*SIN(C19*PI()/180))*COS((E19-E18)*PI()/180))*180/PI())</f>
        <v/>
      </c>
      <c r="G19">
        <f>IF(F19=0,1,(2/F19)*(180/PI())*TAN(F19*PI()/180/2))</f>
        <v/>
      </c>
      <c r="H19" s="719">
        <f>H18+(G19*((B19-B18)/2*(COS(C18*PI()/180)+COS(C19*PI()/180))))</f>
        <v/>
      </c>
      <c r="I19" s="725">
        <f>I18+G19*((B19-B18)/2)*(SIN(C18*PI()/180)*COS(E18*PI()/180)+SIN(C19*PI()/180)*COS(E19*PI()/180))</f>
        <v/>
      </c>
      <c r="J19" s="726">
        <f>J18+G19*((B19-B18)/2)*(SIN(C18*PI()/180)*SIN(E18*PI()/180)+SIN(C19*PI()/180)*SIN(E19*PI()/180))</f>
        <v/>
      </c>
      <c r="K19" s="719">
        <f>SQRT(I19^2+J19^2)</f>
        <v/>
      </c>
      <c r="L19" s="243">
        <f>IF(AND(I19=0,J19=0),0,(IF(AND(I19&gt;=0,J19&gt;=0),ATAN(J19/I19)*(180/PI()),IF(AND(I19&lt;0,J19&gt;=0),ATAN(J19/I19)*(180/PI())+180,IF(AND(I19&lt;0,J19&lt;0),ATAN(J19/I19)*(180/PI())+180,ATAN(J19/I19)*(180/PI())+360)))))</f>
        <v/>
      </c>
      <c r="M19" s="719">
        <f>ABS(SQRT(I19^2+J19^2)*(COS(RADIANS(($H$10-IF(I19=0,0,DEGREES(ATAN(J19/I19))))))))</f>
        <v/>
      </c>
      <c r="N19" s="243">
        <f>IF(B19=B18,0,F19*100/(B19-B18))</f>
        <v/>
      </c>
      <c r="O19">
        <f>E19+$F$7</f>
        <v/>
      </c>
      <c r="P19" s="719">
        <f>G19*((B19-B18)/2)*(SIN(C18*PI()/180)*COS(E18*PI()/180)+SIN(C19*PI()/180)*COS(E19*PI()/180))</f>
        <v/>
      </c>
      <c r="Q19" s="719">
        <f>G19*((B19-B18)/2)*(SIN(C18*PI()/180)*SIN(E18*PI()/180)+SIN(C19*PI()/180)*SIN(E19*PI()/180))</f>
        <v/>
      </c>
      <c r="R19" s="719">
        <f>SQRT(P19^2+Q19^2)</f>
        <v/>
      </c>
      <c r="S19">
        <f>IF(AND(P19=0,Q19=0),0,IF(AND(P19&gt;=0,Q19&gt;=0),ATAN(Q19/P19)*(180/PI()),IF(AND(P19&lt;0,Q19&gt;=0),ATAN(Q19/P19)*(180/PI())+180,IF(AND(P19&lt;0,Q19&lt;0),ATAN(Q19/P19)*(180/PI())+180,ATAN(Q19/P19)*(180/PI())+360))))</f>
        <v/>
      </c>
      <c r="T19" s="719">
        <f>M19</f>
        <v/>
      </c>
      <c r="U19" s="719">
        <f>(-H19)</f>
        <v/>
      </c>
      <c r="V19" s="200">
        <f>IF($V$13=1,V$15-I19,V$15+I19)</f>
        <v/>
      </c>
      <c r="W19" s="158">
        <f>IF($W$13=1,W$15-J19,W$15+J19)</f>
        <v/>
      </c>
      <c r="X19" s="727">
        <f>SQRT((W19-$S$186)^2+(V19-$S$186)^2)</f>
        <v/>
      </c>
    </row>
    <row r="20">
      <c r="A20">
        <f>'Casing Review'!D27</f>
        <v/>
      </c>
      <c r="B20" s="264" t="n">
        <v>2006.22</v>
      </c>
      <c r="C20" s="265" t="n">
        <v>5</v>
      </c>
      <c r="D20" s="265" t="n">
        <v>104</v>
      </c>
      <c r="E20">
        <f>IF($H$7="M",D20+$H$8-$H$9,IF( AND($H$7="T",$A$45="g"),D20-$H$9,IF(AND($H$7="g",$A$45="t"),D20+$H$9,D20)))</f>
        <v/>
      </c>
      <c r="F20">
        <f>IF(C20=C19,0,ACOS(COS(C19*PI()/180)*COS(C20*PI()/180)+(SIN(C19*PI()/180)*SIN(C20*PI()/180))*COS((E20-E19)*PI()/180))*180/PI())</f>
        <v/>
      </c>
      <c r="G20">
        <f>IF(F20=0,1,(2/F20)*(180/PI())*TAN(F20*PI()/180/2))</f>
        <v/>
      </c>
      <c r="H20" s="719">
        <f>H19+(G20*((B20-B19)/2*(COS(C19*PI()/180)+COS(C20*PI()/180))))</f>
        <v/>
      </c>
      <c r="I20" s="725">
        <f>I19+G20*((B20-B19)/2)*(SIN(C19*PI()/180)*COS(E19*PI()/180)+SIN(C20*PI()/180)*COS(E20*PI()/180))</f>
        <v/>
      </c>
      <c r="J20" s="726">
        <f>J19+G20*((B20-B19)/2)*(SIN(C19*PI()/180)*SIN(E19*PI()/180)+SIN(C20*PI()/180)*SIN(E20*PI()/180))</f>
        <v/>
      </c>
      <c r="K20" s="719">
        <f>SQRT(I20^2+J20^2)</f>
        <v/>
      </c>
      <c r="L20" s="243">
        <f>IF(AND(I20=0,J20=0),0,(IF(AND(I20&gt;=0,J20&gt;=0),ATAN(J20/I20)*(180/PI()),IF(AND(I20&lt;0,J20&gt;=0),ATAN(J20/I20)*(180/PI())+180,IF(AND(I20&lt;0,J20&lt;0),ATAN(J20/I20)*(180/PI())+180,ATAN(J20/I20)*(180/PI())+360)))))</f>
        <v/>
      </c>
      <c r="M20" s="719">
        <f>ABS(SQRT(I20^2+J20^2)*(COS(RADIANS(($H$10-IF(I20=0,0,DEGREES(ATAN(J20/I20))))))))</f>
        <v/>
      </c>
      <c r="N20" s="243">
        <f>IF(B20=B19,0,F20*100/(B20-B19))</f>
        <v/>
      </c>
      <c r="O20">
        <f>E20+$F$7</f>
        <v/>
      </c>
      <c r="P20" s="719">
        <f>G20*((B20-B19)/2)*(SIN(C19*PI()/180)*COS(E19*PI()/180)+SIN(C20*PI()/180)*COS(E20*PI()/180))</f>
        <v/>
      </c>
      <c r="Q20" s="719">
        <f>G20*((B20-B19)/2)*(SIN(C19*PI()/180)*SIN(E19*PI()/180)+SIN(C20*PI()/180)*SIN(E20*PI()/180))</f>
        <v/>
      </c>
      <c r="R20" s="719">
        <f>SQRT(P20^2+Q20^2)</f>
        <v/>
      </c>
      <c r="S20">
        <f>IF(AND(P20=0,Q20=0),0,IF(AND(P20&gt;=0,Q20&gt;=0),ATAN(Q20/P20)*(180/PI()),IF(AND(P20&lt;0,Q20&gt;=0),ATAN(Q20/P20)*(180/PI())+180,IF(AND(P20&lt;0,Q20&lt;0),ATAN(Q20/P20)*(180/PI())+180,ATAN(Q20/P20)*(180/PI())+360))))</f>
        <v/>
      </c>
      <c r="T20" s="719">
        <f>M20</f>
        <v/>
      </c>
      <c r="U20" s="719">
        <f>(-H20)</f>
        <v/>
      </c>
      <c r="V20" s="200">
        <f>IF($V$13=1,V$15-I20,V$15+I20)</f>
        <v/>
      </c>
      <c r="W20" s="158">
        <f>IF($W$13=1,W$15-J20,W$15+J20)</f>
        <v/>
      </c>
      <c r="X20" s="727">
        <f>SQRT((W20-$S$186)^2+(V20-$S$186)^2)</f>
        <v/>
      </c>
    </row>
    <row r="21">
      <c r="B21" s="264" t="n">
        <v>2786.44</v>
      </c>
      <c r="C21" s="265" t="n">
        <v>12.802</v>
      </c>
      <c r="D21" s="265" t="n">
        <v>104.502</v>
      </c>
      <c r="E21">
        <f>IF($H$7="M",D21+$H$8-$H$9,IF( AND($H$7="T",$A$45="g"),D21-$H$9,IF(AND($H$7="g",$A$45="t"),D21+$H$9,D21)))</f>
        <v/>
      </c>
      <c r="F21">
        <f>IF(C21=C20,0,ACOS(COS(C20*PI()/180)*COS(C21*PI()/180)+(SIN(C20*PI()/180)*SIN(C21*PI()/180))*COS((E21-E20)*PI()/180))*180/PI())</f>
        <v/>
      </c>
      <c r="G21">
        <f>IF(F21=0,1,(2/F21)*(180/PI())*TAN(F21*PI()/180/2))</f>
        <v/>
      </c>
      <c r="H21" s="719">
        <f>H20+(G21*((B21-B20)/2*(COS(C20*PI()/180)+COS(C21*PI()/180))))</f>
        <v/>
      </c>
      <c r="I21" s="725">
        <f>I20+G21*((B21-B20)/2)*(SIN(C20*PI()/180)*COS(E20*PI()/180)+SIN(C21*PI()/180)*COS(E21*PI()/180))</f>
        <v/>
      </c>
      <c r="J21" s="726">
        <f>J20+G21*((B21-B20)/2)*(SIN(C20*PI()/180)*SIN(E20*PI()/180)+SIN(C21*PI()/180)*SIN(E21*PI()/180))</f>
        <v/>
      </c>
      <c r="K21" s="719">
        <f>SQRT(I21^2+J21^2)</f>
        <v/>
      </c>
      <c r="L21" s="243">
        <f>IF(AND(I21=0,J21=0),0,(IF(AND(I21&gt;=0,J21&gt;=0),ATAN(J21/I21)*(180/PI()),IF(AND(I21&lt;0,J21&gt;=0),ATAN(J21/I21)*(180/PI())+180,IF(AND(I21&lt;0,J21&lt;0),ATAN(J21/I21)*(180/PI())+180,ATAN(J21/I21)*(180/PI())+360)))))</f>
        <v/>
      </c>
      <c r="M21" s="719">
        <f>ABS(SQRT(I21^2+J21^2)*(COS(RADIANS(($H$10-IF(I21=0,0,DEGREES(ATAN(J21/I21))))))))</f>
        <v/>
      </c>
      <c r="N21" s="243">
        <f>IF(B21=B20,0,F21*100/(B21-B20))</f>
        <v/>
      </c>
      <c r="O21">
        <f>E21+$F$7</f>
        <v/>
      </c>
      <c r="P21" s="719">
        <f>G21*((B21-B20)/2)*(SIN(C20*PI()/180)*COS(E20*PI()/180)+SIN(C21*PI()/180)*COS(E21*PI()/180))</f>
        <v/>
      </c>
      <c r="Q21" s="719">
        <f>G21*((B21-B20)/2)*(SIN(C20*PI()/180)*SIN(E20*PI()/180)+SIN(C21*PI()/180)*SIN(E21*PI()/180))</f>
        <v/>
      </c>
      <c r="R21" s="719">
        <f>SQRT(P21^2+Q21^2)</f>
        <v/>
      </c>
      <c r="S21">
        <f>IF(AND(P21=0,Q21=0),0,IF(AND(P21&gt;=0,Q21&gt;=0),ATAN(Q21/P21)*(180/PI()),IF(AND(P21&lt;0,Q21&gt;=0),ATAN(Q21/P21)*(180/PI())+180,IF(AND(P21&lt;0,Q21&lt;0),ATAN(Q21/P21)*(180/PI())+180,ATAN(Q21/P21)*(180/PI())+360))))</f>
        <v/>
      </c>
      <c r="T21" s="719">
        <f>M21</f>
        <v/>
      </c>
      <c r="U21" s="719">
        <f>(-H21)</f>
        <v/>
      </c>
      <c r="V21" s="200">
        <f>IF($V$13=1,V$15-I21,V$15+I21)</f>
        <v/>
      </c>
      <c r="W21" s="158">
        <f>IF($W$13=1,W$15-J21,W$15+J21)</f>
        <v/>
      </c>
      <c r="X21" s="727">
        <f>SQRT((W21-$S$186)^2+(V21-$S$186)^2)</f>
        <v/>
      </c>
    </row>
    <row r="22">
      <c r="B22" s="264" t="n">
        <v>7896</v>
      </c>
      <c r="C22" s="265" t="n">
        <v>12.802</v>
      </c>
      <c r="D22" s="265" t="n">
        <v>104.502</v>
      </c>
      <c r="E22">
        <f>IF($H$7="M",D22+$H$8-$H$9,IF( AND($H$7="T",$A$45="g"),D22-$H$9,IF(AND($H$7="g",$A$45="t"),D22+$H$9,D22)))</f>
        <v/>
      </c>
      <c r="F22">
        <f>IF(C22=C21,0,ACOS(COS(C21*PI()/180)*COS(C22*PI()/180)+(SIN(C21*PI()/180)*SIN(C22*PI()/180))*COS((E22-E21)*PI()/180))*180/PI())</f>
        <v/>
      </c>
      <c r="G22">
        <f>IF(F22=0,1,(2/F22)*(180/PI())*TAN(F22*PI()/180/2))</f>
        <v/>
      </c>
      <c r="H22" s="719">
        <f>H21+(G22*((B22-B21)/2*(COS(C21*PI()/180)+COS(C22*PI()/180))))</f>
        <v/>
      </c>
      <c r="I22" s="725">
        <f>I21+G22*((B22-B21)/2)*(SIN(C21*PI()/180)*COS(E21*PI()/180)+SIN(C22*PI()/180)*COS(E22*PI()/180))</f>
        <v/>
      </c>
      <c r="J22" s="726">
        <f>J21+G22*((B22-B21)/2)*(SIN(C21*PI()/180)*SIN(E21*PI()/180)+SIN(C22*PI()/180)*SIN(E22*PI()/180))</f>
        <v/>
      </c>
      <c r="K22" s="719">
        <f>SQRT(I22^2+J22^2)</f>
        <v/>
      </c>
      <c r="L22" s="243">
        <f>IF(AND(I22=0,J22=0),0,(IF(AND(I22&gt;=0,J22&gt;=0),ATAN(J22/I22)*(180/PI()),IF(AND(I22&lt;0,J22&gt;=0),ATAN(J22/I22)*(180/PI())+180,IF(AND(I22&lt;0,J22&lt;0),ATAN(J22/I22)*(180/PI())+180,ATAN(J22/I22)*(180/PI())+360)))))</f>
        <v/>
      </c>
      <c r="M22" s="719">
        <f>ABS(SQRT(I22^2+J22^2)*(COS(RADIANS(($H$10-IF(I22=0,0,DEGREES(ATAN(J22/I22))))))))</f>
        <v/>
      </c>
      <c r="N22" s="243">
        <f>IF(B22=B21,0,F22*100/(B22-B21))</f>
        <v/>
      </c>
      <c r="O22">
        <f>E22+$F$7</f>
        <v/>
      </c>
      <c r="P22" s="719">
        <f>G22*((B22-B21)/2)*(SIN(C21*PI()/180)*COS(E21*PI()/180)+SIN(C22*PI()/180)*COS(E22*PI()/180))</f>
        <v/>
      </c>
      <c r="Q22" s="719">
        <f>G22*((B22-B21)/2)*(SIN(C21*PI()/180)*SIN(E21*PI()/180)+SIN(C22*PI()/180)*SIN(E22*PI()/180))</f>
        <v/>
      </c>
      <c r="R22" s="719">
        <f>SQRT(P22^2+Q22^2)</f>
        <v/>
      </c>
      <c r="S22">
        <f>IF(AND(P22=0,Q22=0),0,IF(AND(P22&gt;=0,Q22&gt;=0),ATAN(Q22/P22)*(180/PI()),IF(AND(P22&lt;0,Q22&gt;=0),ATAN(Q22/P22)*(180/PI())+180,IF(AND(P22&lt;0,Q22&lt;0),ATAN(Q22/P22)*(180/PI())+180,ATAN(Q22/P22)*(180/PI())+360))))</f>
        <v/>
      </c>
      <c r="T22" s="719">
        <f>M22</f>
        <v/>
      </c>
      <c r="U22" s="719">
        <f>(-H22)</f>
        <v/>
      </c>
      <c r="V22" s="200">
        <f>IF($V$13=1,V$15-I22,V$15+I22)</f>
        <v/>
      </c>
      <c r="W22" s="158">
        <f>IF($W$13=1,W$15-J22,W$15+J22)</f>
        <v/>
      </c>
      <c r="X22" s="727">
        <f>SQRT((W22-$S$186)^2+(V22-$S$186)^2)</f>
        <v/>
      </c>
    </row>
    <row r="23">
      <c r="B23" s="264" t="n">
        <v>7946.4</v>
      </c>
      <c r="C23" s="265" t="n">
        <v>12.802</v>
      </c>
      <c r="D23" s="265" t="n">
        <v>104.502</v>
      </c>
      <c r="E23">
        <f>IF($H$7="M",D23+$H$8-$H$9,IF( AND($H$7="T",$A$45="g"),D23-$H$9,IF(AND($H$7="g",$A$45="t"),D23+$H$9,D23)))</f>
        <v/>
      </c>
      <c r="F23">
        <f>IF(C23=C22,0,ACOS(COS(C22*PI()/180)*COS(C23*PI()/180)+(SIN(C22*PI()/180)*SIN(C23*PI()/180))*COS((E23-E22)*PI()/180))*180/PI())</f>
        <v/>
      </c>
      <c r="G23">
        <f>IF(F23=0,1,(2/F23)*(180/PI())*TAN(F23*PI()/180/2))</f>
        <v/>
      </c>
      <c r="H23" s="719">
        <f>H22+(G23*((B23-B22)/2*(COS(C22*PI()/180)+COS(C23*PI()/180))))</f>
        <v/>
      </c>
      <c r="I23" s="725">
        <f>I22+G23*((B23-B22)/2)*(SIN(C22*PI()/180)*COS(E22*PI()/180)+SIN(C23*PI()/180)*COS(E23*PI()/180))</f>
        <v/>
      </c>
      <c r="J23" s="726">
        <f>J22+G23*((B23-B22)/2)*(SIN(C22*PI()/180)*SIN(E22*PI()/180)+SIN(C23*PI()/180)*SIN(E23*PI()/180))</f>
        <v/>
      </c>
      <c r="K23" s="719">
        <f>SQRT(I23^2+J23^2)</f>
        <v/>
      </c>
      <c r="L23" s="243">
        <f>IF(AND(I23=0,J23=0),0,(IF(AND(I23&gt;=0,J23&gt;=0),ATAN(J23/I23)*(180/PI()),IF(AND(I23&lt;0,J23&gt;=0),ATAN(J23/I23)*(180/PI())+180,IF(AND(I23&lt;0,J23&lt;0),ATAN(J23/I23)*(180/PI())+180,ATAN(J23/I23)*(180/PI())+360)))))</f>
        <v/>
      </c>
      <c r="M23" s="719">
        <f>ABS(SQRT(I23^2+J23^2)*(COS(RADIANS(($H$10-IF(I23=0,0,DEGREES(ATAN(J23/I23))))))))</f>
        <v/>
      </c>
      <c r="N23" s="243">
        <f>IF(B23=B22,0,F23*100/(B23-B22))</f>
        <v/>
      </c>
      <c r="O23">
        <f>E23+$F$7</f>
        <v/>
      </c>
      <c r="P23" s="719">
        <f>G23*((B23-B22)/2)*(SIN(C22*PI()/180)*COS(E22*PI()/180)+SIN(C23*PI()/180)*COS(E23*PI()/180))</f>
        <v/>
      </c>
      <c r="Q23" s="719">
        <f>G23*((B23-B22)/2)*(SIN(C22*PI()/180)*SIN(E22*PI()/180)+SIN(C23*PI()/180)*SIN(E23*PI()/180))</f>
        <v/>
      </c>
      <c r="R23" s="719">
        <f>SQRT(P23^2+Q23^2)</f>
        <v/>
      </c>
      <c r="S23">
        <f>IF(AND(P23=0,Q23=0),0,IF(AND(P23&gt;=0,Q23&gt;=0),ATAN(Q23/P23)*(180/PI()),IF(AND(P23&lt;0,Q23&gt;=0),ATAN(Q23/P23)*(180/PI())+180,IF(AND(P23&lt;0,Q23&lt;0),ATAN(Q23/P23)*(180/PI())+180,ATAN(Q23/P23)*(180/PI())+360))))</f>
        <v/>
      </c>
      <c r="T23" s="719">
        <f>M23</f>
        <v/>
      </c>
      <c r="U23" s="719">
        <f>(-H23)</f>
        <v/>
      </c>
      <c r="V23" s="200">
        <f>IF($V$13=1,V$15-I23,V$15+I23)</f>
        <v/>
      </c>
      <c r="W23" s="158">
        <f>IF($W$13=1,W$15-J23,W$15+J23)</f>
        <v/>
      </c>
      <c r="X23" s="727">
        <f>SQRT((W23-$S$186)^2+(V23-$S$186)^2)</f>
        <v/>
      </c>
    </row>
    <row r="24">
      <c r="B24" s="264" t="n">
        <v>8695</v>
      </c>
      <c r="C24" s="265" t="n">
        <v>93.40600000000001</v>
      </c>
      <c r="D24" s="265" t="n">
        <v>178.607</v>
      </c>
      <c r="E24">
        <f>IF($H$7="M",D24+$H$8-$H$9,IF( AND($H$7="T",$A$45="g"),D24-$H$9,IF(AND($H$7="g",$A$45="t"),D24+$H$9,D24)))</f>
        <v/>
      </c>
      <c r="F24">
        <f>IF(C24=C23,0,ACOS(COS(C23*PI()/180)*COS(C24*PI()/180)+(SIN(C23*PI()/180)*SIN(C24*PI()/180))*COS((E24-E23)*PI()/180))*180/PI())</f>
        <v/>
      </c>
      <c r="G24">
        <f>IF(F24=0,1,(2/F24)*(180/PI())*TAN(F24*PI()/180/2))</f>
        <v/>
      </c>
      <c r="H24" s="719">
        <f>H23+(G24*((B24-B23)/2*(COS(C23*PI()/180)+COS(C24*PI()/180))))</f>
        <v/>
      </c>
      <c r="I24" s="725">
        <f>I23+G24*((B24-B23)/2)*(SIN(C23*PI()/180)*COS(E23*PI()/180)+SIN(C24*PI()/180)*COS(E24*PI()/180))</f>
        <v/>
      </c>
      <c r="J24" s="726">
        <f>J23+G24*((B24-B23)/2)*(SIN(C23*PI()/180)*SIN(E23*PI()/180)+SIN(C24*PI()/180)*SIN(E24*PI()/180))</f>
        <v/>
      </c>
      <c r="K24" s="719">
        <f>SQRT(I24^2+J24^2)</f>
        <v/>
      </c>
      <c r="L24" s="243">
        <f>IF(AND(I24=0,J24=0),0,(IF(AND(I24&gt;=0,J24&gt;=0),ATAN(J24/I24)*(180/PI()),IF(AND(I24&lt;0,J24&gt;=0),ATAN(J24/I24)*(180/PI())+180,IF(AND(I24&lt;0,J24&lt;0),ATAN(J24/I24)*(180/PI())+180,ATAN(J24/I24)*(180/PI())+360)))))</f>
        <v/>
      </c>
      <c r="M24" s="719">
        <f>ABS(SQRT(I24^2+J24^2)*(COS(RADIANS(($H$10-IF(I24=0,0,DEGREES(ATAN(J24/I24))))))))</f>
        <v/>
      </c>
      <c r="N24" s="243">
        <f>IF(B24=B23,0,F24*100/(B24-B23))</f>
        <v/>
      </c>
      <c r="O24">
        <f>E24+$F$7</f>
        <v/>
      </c>
      <c r="P24" s="719">
        <f>G24*((B24-B23)/2)*(SIN(C23*PI()/180)*COS(E23*PI()/180)+SIN(C24*PI()/180)*COS(E24*PI()/180))</f>
        <v/>
      </c>
      <c r="Q24" s="719">
        <f>G24*((B24-B23)/2)*(SIN(C23*PI()/180)*SIN(E23*PI()/180)+SIN(C24*PI()/180)*SIN(E24*PI()/180))</f>
        <v/>
      </c>
      <c r="R24" s="719">
        <f>SQRT(P24^2+Q24^2)</f>
        <v/>
      </c>
      <c r="S24">
        <f>IF(AND(P24=0,Q24=0),0,IF(AND(P24&gt;=0,Q24&gt;=0),ATAN(Q24/P24)*(180/PI()),IF(AND(P24&lt;0,Q24&gt;=0),ATAN(Q24/P24)*(180/PI())+180,IF(AND(P24&lt;0,Q24&lt;0),ATAN(Q24/P24)*(180/PI())+180,ATAN(Q24/P24)*(180/PI())+360))))</f>
        <v/>
      </c>
      <c r="T24" s="719">
        <f>M24</f>
        <v/>
      </c>
      <c r="U24" s="719">
        <f>(-H24)</f>
        <v/>
      </c>
      <c r="V24" s="200">
        <f>IF($V$13=1,V$15-I24,V$15+I24)</f>
        <v/>
      </c>
      <c r="W24" s="158">
        <f>IF($W$13=1,W$15-J24,W$15+J24)</f>
        <v/>
      </c>
      <c r="X24" s="727">
        <f>SQRT((W24-$S$186)^2+(V24-$S$186)^2)</f>
        <v/>
      </c>
    </row>
    <row r="25">
      <c r="B25" s="264" t="n">
        <v>18592</v>
      </c>
      <c r="C25" s="265" t="n">
        <v>93.40600000000001</v>
      </c>
      <c r="D25" s="265" t="n">
        <v>178.607</v>
      </c>
      <c r="E25">
        <f>IF($H$7="M",D25+$H$8-$H$9,IF( AND($H$7="T",$A$45="g"),D25-$H$9,IF(AND($H$7="g",$A$45="t"),D25+$H$9,D25)))</f>
        <v/>
      </c>
      <c r="F25">
        <f>IF(C25=C24,0,ACOS(COS(C24*PI()/180)*COS(C25*PI()/180)+(SIN(C24*PI()/180)*SIN(C25*PI()/180))*COS((E25-E24)*PI()/180))*180/PI())</f>
        <v/>
      </c>
      <c r="G25">
        <f>IF(F25=0,1,(2/F25)*(180/PI())*TAN(F25*PI()/180/2))</f>
        <v/>
      </c>
      <c r="H25" s="719">
        <f>H24+(G25*((B25-B24)/2*(COS(C24*PI()/180)+COS(C25*PI()/180))))</f>
        <v/>
      </c>
      <c r="I25" s="725">
        <f>I24+G25*((B25-B24)/2)*(SIN(C24*PI()/180)*COS(E24*PI()/180)+SIN(C25*PI()/180)*COS(E25*PI()/180))</f>
        <v/>
      </c>
      <c r="J25" s="726">
        <f>J24+G25*((B25-B24)/2)*(SIN(C24*PI()/180)*SIN(E24*PI()/180)+SIN(C25*PI()/180)*SIN(E25*PI()/180))</f>
        <v/>
      </c>
      <c r="K25" s="719">
        <f>SQRT(I25^2+J25^2)</f>
        <v/>
      </c>
      <c r="L25" s="243">
        <f>IF(AND(I25=0,J25=0),0,(IF(AND(I25&gt;=0,J25&gt;=0),ATAN(J25/I25)*(180/PI()),IF(AND(I25&lt;0,J25&gt;=0),ATAN(J25/I25)*(180/PI())+180,IF(AND(I25&lt;0,J25&lt;0),ATAN(J25/I25)*(180/PI())+180,ATAN(J25/I25)*(180/PI())+360)))))</f>
        <v/>
      </c>
      <c r="M25" s="719">
        <f>ABS(SQRT(I25^2+J25^2)*(COS(RADIANS(($H$10-IF(I25=0,0,DEGREES(ATAN(J25/I25))))))))</f>
        <v/>
      </c>
      <c r="N25" s="243">
        <f>IF(B25=B24,0,F25*100/(B25-B24))</f>
        <v/>
      </c>
      <c r="O25">
        <f>E25+$F$7</f>
        <v/>
      </c>
      <c r="P25" s="719">
        <f>G25*((B25-B24)/2)*(SIN(C24*PI()/180)*COS(E24*PI()/180)+SIN(C25*PI()/180)*COS(E25*PI()/180))</f>
        <v/>
      </c>
      <c r="Q25" s="719">
        <f>G25*((B25-B24)/2)*(SIN(C24*PI()/180)*SIN(E24*PI()/180)+SIN(C25*PI()/180)*SIN(E25*PI()/180))</f>
        <v/>
      </c>
      <c r="R25" s="719">
        <f>SQRT(P25^2+Q25^2)</f>
        <v/>
      </c>
      <c r="S25">
        <f>IF(AND(P25=0,Q25=0),0,IF(AND(P25&gt;=0,Q25&gt;=0),ATAN(Q25/P25)*(180/PI()),IF(AND(P25&lt;0,Q25&gt;=0),ATAN(Q25/P25)*(180/PI())+180,IF(AND(P25&lt;0,Q25&lt;0),ATAN(Q25/P25)*(180/PI())+180,ATAN(Q25/P25)*(180/PI())+360))))</f>
        <v/>
      </c>
      <c r="T25" s="719">
        <f>M25</f>
        <v/>
      </c>
      <c r="U25" s="719">
        <f>(-H25)</f>
        <v/>
      </c>
      <c r="V25" s="200">
        <f>IF($V$13=1,V$15-I25,V$15+I25)</f>
        <v/>
      </c>
      <c r="W25" s="158">
        <f>IF($W$13=1,W$15-J25,W$15+J25)</f>
        <v/>
      </c>
      <c r="X25" s="727">
        <f>SQRT((W25-$S$186)^2+(V25-$S$186)^2)</f>
        <v/>
      </c>
    </row>
    <row r="26">
      <c r="B26" s="264" t="n"/>
      <c r="C26" s="265" t="n"/>
      <c r="D26" s="265" t="n"/>
      <c r="E26">
        <f>IF($H$7="M",D26+$H$8-$H$9,IF( AND($H$7="T",$A$45="g"),D26-$H$9,IF(AND($H$7="g",$A$45="t"),D26+$H$9,D26)))</f>
        <v/>
      </c>
      <c r="F26">
        <f>IF(C26=C25,0,ACOS(COS(C25*PI()/180)*COS(C26*PI()/180)+(SIN(C25*PI()/180)*SIN(C26*PI()/180))*COS((E26-E25)*PI()/180))*180/PI())</f>
        <v/>
      </c>
      <c r="G26">
        <f>IF(F26=0,1,(2/F26)*(180/PI())*TAN(F26*PI()/180/2))</f>
        <v/>
      </c>
      <c r="H26" s="719">
        <f>H25+(G26*((B26-B25)/2*(COS(C25*PI()/180)+COS(C26*PI()/180))))</f>
        <v/>
      </c>
      <c r="I26" s="725">
        <f>I25+G26*((B26-B25)/2)*(SIN(C25*PI()/180)*COS(E25*PI()/180)+SIN(C26*PI()/180)*COS(E26*PI()/180))</f>
        <v/>
      </c>
      <c r="J26" s="726">
        <f>J25+G26*((B26-B25)/2)*(SIN(C25*PI()/180)*SIN(E25*PI()/180)+SIN(C26*PI()/180)*SIN(E26*PI()/180))</f>
        <v/>
      </c>
      <c r="K26" s="719">
        <f>SQRT(I26^2+J26^2)</f>
        <v/>
      </c>
      <c r="L26" s="243">
        <f>IF(AND(I26=0,J26=0),0,(IF(AND(I26&gt;=0,J26&gt;=0),ATAN(J26/I26)*(180/PI()),IF(AND(I26&lt;0,J26&gt;=0),ATAN(J26/I26)*(180/PI())+180,IF(AND(I26&lt;0,J26&lt;0),ATAN(J26/I26)*(180/PI())+180,ATAN(J26/I26)*(180/PI())+360)))))</f>
        <v/>
      </c>
      <c r="M26" s="719">
        <f>ABS(SQRT(I26^2+J26^2)*(COS(RADIANS(($H$10-IF(I26=0,0,DEGREES(ATAN(J26/I26))))))))</f>
        <v/>
      </c>
      <c r="N26" s="243">
        <f>IF(B26=B25,0,F26*100/(B26-B25))</f>
        <v/>
      </c>
      <c r="O26">
        <f>E26+$F$7</f>
        <v/>
      </c>
      <c r="P26" s="719">
        <f>G26*((B26-B25)/2)*(SIN(C25*PI()/180)*COS(E25*PI()/180)+SIN(C26*PI()/180)*COS(E26*PI()/180))</f>
        <v/>
      </c>
      <c r="Q26" s="719">
        <f>G26*((B26-B25)/2)*(SIN(C25*PI()/180)*SIN(E25*PI()/180)+SIN(C26*PI()/180)*SIN(E26*PI()/180))</f>
        <v/>
      </c>
      <c r="R26" s="719">
        <f>SQRT(P26^2+Q26^2)</f>
        <v/>
      </c>
      <c r="S26">
        <f>IF(AND(P26=0,Q26=0),0,IF(AND(P26&gt;=0,Q26&gt;=0),ATAN(Q26/P26)*(180/PI()),IF(AND(P26&lt;0,Q26&gt;=0),ATAN(Q26/P26)*(180/PI())+180,IF(AND(P26&lt;0,Q26&lt;0),ATAN(Q26/P26)*(180/PI())+180,ATAN(Q26/P26)*(180/PI())+360))))</f>
        <v/>
      </c>
      <c r="T26" s="719">
        <f>M26</f>
        <v/>
      </c>
      <c r="U26" s="719">
        <f>(-H26)</f>
        <v/>
      </c>
      <c r="V26" s="200">
        <f>IF($V$13=1,V$15-I26,V$15+I26)</f>
        <v/>
      </c>
      <c r="W26" s="158">
        <f>IF($W$13=1,W$15-J26,W$15+J26)</f>
        <v/>
      </c>
      <c r="X26" s="727">
        <f>SQRT((W26-$S$186)^2+(V26-$S$186)^2)</f>
        <v/>
      </c>
    </row>
    <row r="27">
      <c r="B27" s="264" t="n"/>
      <c r="C27" s="265" t="n"/>
      <c r="D27" s="265" t="n"/>
      <c r="E27">
        <f>IF($H$7="M",D27+$H$8-$H$9,IF( AND($H$7="T",$A$45="g"),D27-$H$9,IF(AND($H$7="g",$A$45="t"),D27+$H$9,D27)))</f>
        <v/>
      </c>
      <c r="F27">
        <f>IF(C27=C26,0,ACOS(COS(C26*PI()/180)*COS(C27*PI()/180)+(SIN(C26*PI()/180)*SIN(C27*PI()/180))*COS((E27-E26)*PI()/180))*180/PI())</f>
        <v/>
      </c>
      <c r="G27">
        <f>IF(F27=0,1,(2/F27)*(180/PI())*TAN(F27*PI()/180/2))</f>
        <v/>
      </c>
      <c r="H27" s="719">
        <f>H26+(G27*((B27-B26)/2*(COS(C26*PI()/180)+COS(C27*PI()/180))))</f>
        <v/>
      </c>
      <c r="I27" s="725">
        <f>I26+G27*((B27-B26)/2)*(SIN(C26*PI()/180)*COS(E26*PI()/180)+SIN(C27*PI()/180)*COS(E27*PI()/180))</f>
        <v/>
      </c>
      <c r="J27" s="726">
        <f>J26+G27*((B27-B26)/2)*(SIN(C26*PI()/180)*SIN(E26*PI()/180)+SIN(C27*PI()/180)*SIN(E27*PI()/180))</f>
        <v/>
      </c>
      <c r="K27" s="719">
        <f>SQRT(I27^2+J27^2)</f>
        <v/>
      </c>
      <c r="L27" s="243">
        <f>IF(AND(I27=0,J27=0),0,(IF(AND(I27&gt;=0,J27&gt;=0),ATAN(J27/I27)*(180/PI()),IF(AND(I27&lt;0,J27&gt;=0),ATAN(J27/I27)*(180/PI())+180,IF(AND(I27&lt;0,J27&lt;0),ATAN(J27/I27)*(180/PI())+180,ATAN(J27/I27)*(180/PI())+360)))))</f>
        <v/>
      </c>
      <c r="M27" s="719">
        <f>ABS(SQRT(I27^2+J27^2)*(COS(RADIANS(($H$10-IF(I27=0,0,DEGREES(ATAN(J27/I27))))))))</f>
        <v/>
      </c>
      <c r="N27" s="243">
        <f>IF(B27=B26,0,F27*100/(B27-B26))</f>
        <v/>
      </c>
      <c r="O27">
        <f>E27+$F$7</f>
        <v/>
      </c>
      <c r="P27" s="719">
        <f>G27*((B27-B26)/2)*(SIN(C26*PI()/180)*COS(E26*PI()/180)+SIN(C27*PI()/180)*COS(E27*PI()/180))</f>
        <v/>
      </c>
      <c r="Q27" s="719">
        <f>G27*((B27-B26)/2)*(SIN(C26*PI()/180)*SIN(E26*PI()/180)+SIN(C27*PI()/180)*SIN(E27*PI()/180))</f>
        <v/>
      </c>
      <c r="R27" s="719">
        <f>SQRT(P27^2+Q27^2)</f>
        <v/>
      </c>
      <c r="S27">
        <f>IF(AND(P27=0,Q27=0),0,IF(AND(P27&gt;=0,Q27&gt;=0),ATAN(Q27/P27)*(180/PI()),IF(AND(P27&lt;0,Q27&gt;=0),ATAN(Q27/P27)*(180/PI())+180,IF(AND(P27&lt;0,Q27&lt;0),ATAN(Q27/P27)*(180/PI())+180,ATAN(Q27/P27)*(180/PI())+360))))</f>
        <v/>
      </c>
      <c r="T27" s="719">
        <f>M27</f>
        <v/>
      </c>
      <c r="U27" s="719">
        <f>(-H27)</f>
        <v/>
      </c>
      <c r="V27" s="200">
        <f>IF($V$13=1,V$15-I27,V$15+I27)</f>
        <v/>
      </c>
      <c r="W27" s="158">
        <f>IF($W$13=1,W$15-J27,W$15+J27)</f>
        <v/>
      </c>
      <c r="X27" s="727">
        <f>SQRT((W27-$S$186)^2+(V27-$S$186)^2)</f>
        <v/>
      </c>
    </row>
    <row r="28">
      <c r="B28" s="264" t="n"/>
      <c r="C28" s="265" t="n"/>
      <c r="D28" s="265" t="n"/>
      <c r="E28">
        <f>IF($H$7="M",D28+$H$8-$H$9,IF( AND($H$7="T",$A$45="g"),D28-$H$9,IF(AND($H$7="g",$A$45="t"),D28+$H$9,D28)))</f>
        <v/>
      </c>
      <c r="F28">
        <f>IF(C28=C27,0,ACOS(COS(C27*PI()/180)*COS(C28*PI()/180)+(SIN(C27*PI()/180)*SIN(C28*PI()/180))*COS((E28-E27)*PI()/180))*180/PI())</f>
        <v/>
      </c>
      <c r="G28">
        <f>IF(F28=0,1,(2/F28)*(180/PI())*TAN(F28*PI()/180/2))</f>
        <v/>
      </c>
      <c r="H28" s="719">
        <f>H27+(G28*((B28-B27)/2*(COS(C27*PI()/180)+COS(C28*PI()/180))))</f>
        <v/>
      </c>
      <c r="I28" s="725">
        <f>I27+G28*((B28-B27)/2)*(SIN(C27*PI()/180)*COS(E27*PI()/180)+SIN(C28*PI()/180)*COS(E28*PI()/180))</f>
        <v/>
      </c>
      <c r="J28" s="726">
        <f>J27+G28*((B28-B27)/2)*(SIN(C27*PI()/180)*SIN(E27*PI()/180)+SIN(C28*PI()/180)*SIN(E28*PI()/180))</f>
        <v/>
      </c>
      <c r="K28" s="719">
        <f>SQRT(I28^2+J28^2)</f>
        <v/>
      </c>
      <c r="L28" s="243">
        <f>IF(AND(I28=0,J28=0),0,(IF(AND(I28&gt;=0,J28&gt;=0),ATAN(J28/I28)*(180/PI()),IF(AND(I28&lt;0,J28&gt;=0),ATAN(J28/I28)*(180/PI())+180,IF(AND(I28&lt;0,J28&lt;0),ATAN(J28/I28)*(180/PI())+180,ATAN(J28/I28)*(180/PI())+360)))))</f>
        <v/>
      </c>
      <c r="M28" s="719">
        <f>ABS(SQRT(I28^2+J28^2)*(COS(RADIANS(($H$10-IF(I28=0,0,DEGREES(ATAN(J28/I28))))))))</f>
        <v/>
      </c>
      <c r="N28" s="243">
        <f>IF(B28=B27,0,F28*100/(B28-B27))</f>
        <v/>
      </c>
      <c r="O28">
        <f>E28+$F$7</f>
        <v/>
      </c>
      <c r="P28" s="719">
        <f>G28*((B28-B27)/2)*(SIN(C27*PI()/180)*COS(E27*PI()/180)+SIN(C28*PI()/180)*COS(E28*PI()/180))</f>
        <v/>
      </c>
      <c r="Q28" s="719">
        <f>G28*((B28-B27)/2)*(SIN(C27*PI()/180)*SIN(E27*PI()/180)+SIN(C28*PI()/180)*SIN(E28*PI()/180))</f>
        <v/>
      </c>
      <c r="R28" s="719">
        <f>SQRT(P28^2+Q28^2)</f>
        <v/>
      </c>
      <c r="S28">
        <f>IF(AND(P28=0,Q28=0),0,IF(AND(P28&gt;=0,Q28&gt;=0),ATAN(Q28/P28)*(180/PI()),IF(AND(P28&lt;0,Q28&gt;=0),ATAN(Q28/P28)*(180/PI())+180,IF(AND(P28&lt;0,Q28&lt;0),ATAN(Q28/P28)*(180/PI())+180,ATAN(Q28/P28)*(180/PI())+360))))</f>
        <v/>
      </c>
      <c r="T28" s="719">
        <f>M28</f>
        <v/>
      </c>
      <c r="U28" s="719">
        <f>(-H28)</f>
        <v/>
      </c>
      <c r="V28" s="200">
        <f>IF($V$13=1,V$15-I28,V$15+I28)</f>
        <v/>
      </c>
      <c r="W28" s="158">
        <f>IF($W$13=1,W$15-J28,W$15+J28)</f>
        <v/>
      </c>
      <c r="X28" s="727">
        <f>SQRT((W28-$S$186)^2+(V28-$S$186)^2)</f>
        <v/>
      </c>
    </row>
    <row r="29">
      <c r="B29" s="264" t="n"/>
      <c r="C29" s="265" t="n"/>
      <c r="D29" s="265" t="n"/>
      <c r="E29">
        <f>IF($H$7="M",D29+$H$8-$H$9,IF( AND($H$7="T",$A$45="g"),D29-$H$9,IF(AND($H$7="g",$A$45="t"),D29+$H$9,D29)))</f>
        <v/>
      </c>
      <c r="F29">
        <f>IF(C29=C28,0,ACOS(COS(C28*PI()/180)*COS(C29*PI()/180)+(SIN(C28*PI()/180)*SIN(C29*PI()/180))*COS((E29-E28)*PI()/180))*180/PI())</f>
        <v/>
      </c>
      <c r="G29">
        <f>IF(F29=0,1,(2/F29)*(180/PI())*TAN(F29*PI()/180/2))</f>
        <v/>
      </c>
      <c r="H29" s="719">
        <f>H28+(G29*((B29-B28)/2*(COS(C28*PI()/180)+COS(C29*PI()/180))))</f>
        <v/>
      </c>
      <c r="I29" s="725">
        <f>I28+G29*((B29-B28)/2)*(SIN(C28*PI()/180)*COS(E28*PI()/180)+SIN(C29*PI()/180)*COS(E29*PI()/180))</f>
        <v/>
      </c>
      <c r="J29" s="726">
        <f>J28+G29*((B29-B28)/2)*(SIN(C28*PI()/180)*SIN(E28*PI()/180)+SIN(C29*PI()/180)*SIN(E29*PI()/180))</f>
        <v/>
      </c>
      <c r="K29" s="719">
        <f>SQRT(I29^2+J29^2)</f>
        <v/>
      </c>
      <c r="L29" s="243">
        <f>IF(AND(I29=0,J29=0),0,(IF(AND(I29&gt;=0,J29&gt;=0),ATAN(J29/I29)*(180/PI()),IF(AND(I29&lt;0,J29&gt;=0),ATAN(J29/I29)*(180/PI())+180,IF(AND(I29&lt;0,J29&lt;0),ATAN(J29/I29)*(180/PI())+180,ATAN(J29/I29)*(180/PI())+360)))))</f>
        <v/>
      </c>
      <c r="M29" s="719">
        <f>ABS(SQRT(I29^2+J29^2)*(COS(RADIANS(($H$10-IF(I29=0,0,DEGREES(ATAN(J29/I29))))))))</f>
        <v/>
      </c>
      <c r="N29" s="243">
        <f>IF(B29=B28,0,F29*100/(B29-B28))</f>
        <v/>
      </c>
      <c r="O29">
        <f>E29+$F$7</f>
        <v/>
      </c>
      <c r="P29" s="719">
        <f>G29*((B29-B28)/2)*(SIN(C28*PI()/180)*COS(E28*PI()/180)+SIN(C29*PI()/180)*COS(E29*PI()/180))</f>
        <v/>
      </c>
      <c r="Q29" s="719">
        <f>G29*((B29-B28)/2)*(SIN(C28*PI()/180)*SIN(E28*PI()/180)+SIN(C29*PI()/180)*SIN(E29*PI()/180))</f>
        <v/>
      </c>
      <c r="R29" s="719">
        <f>SQRT(P29^2+Q29^2)</f>
        <v/>
      </c>
      <c r="S29">
        <f>IF(AND(P29=0,Q29=0),0,IF(AND(P29&gt;=0,Q29&gt;=0),ATAN(Q29/P29)*(180/PI()),IF(AND(P29&lt;0,Q29&gt;=0),ATAN(Q29/P29)*(180/PI())+180,IF(AND(P29&lt;0,Q29&lt;0),ATAN(Q29/P29)*(180/PI())+180,ATAN(Q29/P29)*(180/PI())+360))))</f>
        <v/>
      </c>
      <c r="T29" s="719">
        <f>M29</f>
        <v/>
      </c>
      <c r="U29" s="719">
        <f>(-H29)</f>
        <v/>
      </c>
      <c r="V29" s="200">
        <f>IF($V$13=1,V$15-I29,V$15+I29)</f>
        <v/>
      </c>
      <c r="W29" s="158">
        <f>IF($W$13=1,W$15-J29,W$15+J29)</f>
        <v/>
      </c>
      <c r="X29" s="727">
        <f>SQRT((W29-$S$186)^2+(V29-$S$186)^2)</f>
        <v/>
      </c>
    </row>
    <row r="30">
      <c r="A30">
        <f>'Casing Review'!D29</f>
        <v/>
      </c>
      <c r="B30" s="264" t="n"/>
      <c r="C30" s="265" t="n"/>
      <c r="D30" s="265" t="n"/>
      <c r="E30">
        <f>IF($H$7="M",D30+$H$8-$H$9,IF( AND($H$7="T",$A$45="g"),D30-$H$9,IF(AND($H$7="g",$A$45="t"),D30+$H$9,D30)))</f>
        <v/>
      </c>
      <c r="F30">
        <f>IF(C30=C29,0,ACOS(COS(C29*PI()/180)*COS(C30*PI()/180)+(SIN(C29*PI()/180)*SIN(C30*PI()/180))*COS((E30-E29)*PI()/180))*180/PI())</f>
        <v/>
      </c>
      <c r="G30">
        <f>IF(F30=0,1,(2/F30)*(180/PI())*TAN(F30*PI()/180/2))</f>
        <v/>
      </c>
      <c r="H30" s="719">
        <f>H29+(G30*((B30-B29)/2*(COS(C29*PI()/180)+COS(C30*PI()/180))))</f>
        <v/>
      </c>
      <c r="I30" s="725">
        <f>I29+G30*((B30-B29)/2)*(SIN(C29*PI()/180)*COS(E29*PI()/180)+SIN(C30*PI()/180)*COS(E30*PI()/180))</f>
        <v/>
      </c>
      <c r="J30" s="726">
        <f>J29+G30*((B30-B29)/2)*(SIN(C29*PI()/180)*SIN(E29*PI()/180)+SIN(C30*PI()/180)*SIN(E30*PI()/180))</f>
        <v/>
      </c>
      <c r="K30" s="719">
        <f>SQRT(I30^2+J30^2)</f>
        <v/>
      </c>
      <c r="L30" s="243">
        <f>IF(AND(I30=0,J30=0),0,(IF(AND(I30&gt;=0,J30&gt;=0),ATAN(J30/I30)*(180/PI()),IF(AND(I30&lt;0,J30&gt;=0),ATAN(J30/I30)*(180/PI())+180,IF(AND(I30&lt;0,J30&lt;0),ATAN(J30/I30)*(180/PI())+180,ATAN(J30/I30)*(180/PI())+360)))))</f>
        <v/>
      </c>
      <c r="M30" s="719">
        <f>ABS(SQRT(I30^2+J30^2)*(COS(RADIANS(($H$10-IF(I30=0,0,DEGREES(ATAN(J30/I30))))))))</f>
        <v/>
      </c>
      <c r="N30" s="243">
        <f>IF(B30=B29,0,F30*100/(B30-B29))</f>
        <v/>
      </c>
      <c r="O30">
        <f>E30+$F$7</f>
        <v/>
      </c>
      <c r="P30" s="719">
        <f>G30*((B30-B29)/2)*(SIN(C29*PI()/180)*COS(E29*PI()/180)+SIN(C30*PI()/180)*COS(E30*PI()/180))</f>
        <v/>
      </c>
      <c r="Q30" s="719">
        <f>G30*((B30-B29)/2)*(SIN(C29*PI()/180)*SIN(E29*PI()/180)+SIN(C30*PI()/180)*SIN(E30*PI()/180))</f>
        <v/>
      </c>
      <c r="R30" s="719">
        <f>SQRT(P30^2+Q30^2)</f>
        <v/>
      </c>
      <c r="S30">
        <f>IF(AND(P30=0,Q30=0),0,IF(AND(P30&gt;=0,Q30&gt;=0),ATAN(Q30/P30)*(180/PI()),IF(AND(P30&lt;0,Q30&gt;=0),ATAN(Q30/P30)*(180/PI())+180,IF(AND(P30&lt;0,Q30&lt;0),ATAN(Q30/P30)*(180/PI())+180,ATAN(Q30/P30)*(180/PI())+360))))</f>
        <v/>
      </c>
      <c r="T30" s="719">
        <f>M30</f>
        <v/>
      </c>
      <c r="U30" s="719">
        <f>(-H30)</f>
        <v/>
      </c>
      <c r="V30" s="200">
        <f>IF($V$13=1,V$15-I30,V$15+I30)</f>
        <v/>
      </c>
      <c r="W30" s="158">
        <f>IF($W$13=1,W$15-J30,W$15+J30)</f>
        <v/>
      </c>
      <c r="X30" s="727">
        <f>SQRT((W30-$S$186)^2+(V30-$S$186)^2)</f>
        <v/>
      </c>
    </row>
    <row r="31">
      <c r="A31">
        <f>'Casing Review'!D31</f>
        <v/>
      </c>
      <c r="B31" s="264" t="n"/>
      <c r="C31" s="265" t="n"/>
      <c r="D31" s="265" t="n"/>
      <c r="E31">
        <f>IF($H$7="M",D31+$H$8-$H$9,IF( AND($H$7="T",$A$45="g"),D31-$H$9,IF(AND($H$7="g",$A$45="t"),D31+$H$9,D31)))</f>
        <v/>
      </c>
      <c r="F31">
        <f>IF(C31=C30,0,ACOS(COS(C30*PI()/180)*COS(C31*PI()/180)+(SIN(C30*PI()/180)*SIN(C31*PI()/180))*COS((E31-E30)*PI()/180))*180/PI())</f>
        <v/>
      </c>
      <c r="G31">
        <f>IF(F31=0,1,(2/F31)*(180/PI())*TAN(F31*PI()/180/2))</f>
        <v/>
      </c>
      <c r="H31" s="719">
        <f>H30+(G31*((B31-B30)/2*(COS(C30*PI()/180)+COS(C31*PI()/180))))</f>
        <v/>
      </c>
      <c r="I31" s="725">
        <f>I30+G31*((B31-B30)/2)*(SIN(C30*PI()/180)*COS(E30*PI()/180)+SIN(C31*PI()/180)*COS(E31*PI()/180))</f>
        <v/>
      </c>
      <c r="J31" s="726">
        <f>J30+G31*((B31-B30)/2)*(SIN(C30*PI()/180)*SIN(E30*PI()/180)+SIN(C31*PI()/180)*SIN(E31*PI()/180))</f>
        <v/>
      </c>
      <c r="K31" s="719">
        <f>SQRT(I31^2+J31^2)</f>
        <v/>
      </c>
      <c r="L31" s="243">
        <f>IF(AND(I31=0,J31=0),0,(IF(AND(I31&gt;=0,J31&gt;=0),ATAN(J31/I31)*(180/PI()),IF(AND(I31&lt;0,J31&gt;=0),ATAN(J31/I31)*(180/PI())+180,IF(AND(I31&lt;0,J31&lt;0),ATAN(J31/I31)*(180/PI())+180,ATAN(J31/I31)*(180/PI())+360)))))</f>
        <v/>
      </c>
      <c r="M31" s="719">
        <f>ABS(SQRT(I31^2+J31^2)*(COS(RADIANS(($H$10-IF(I31=0,0,DEGREES(ATAN(J31/I31))))))))</f>
        <v/>
      </c>
      <c r="N31" s="243">
        <f>IF(B31=B30,0,F31*100/(B31-B30))</f>
        <v/>
      </c>
      <c r="O31">
        <f>E31+$F$7</f>
        <v/>
      </c>
      <c r="P31" s="719">
        <f>G31*((B31-B30)/2)*(SIN(C30*PI()/180)*COS(E30*PI()/180)+SIN(C31*PI()/180)*COS(E31*PI()/180))</f>
        <v/>
      </c>
      <c r="Q31" s="719">
        <f>G31*((B31-B30)/2)*(SIN(C30*PI()/180)*SIN(E30*PI()/180)+SIN(C31*PI()/180)*SIN(E31*PI()/180))</f>
        <v/>
      </c>
      <c r="R31" s="719">
        <f>SQRT(P31^2+Q31^2)</f>
        <v/>
      </c>
      <c r="S31">
        <f>IF(AND(P31=0,Q31=0),0,IF(AND(P31&gt;=0,Q31&gt;=0),ATAN(Q31/P31)*(180/PI()),IF(AND(P31&lt;0,Q31&gt;=0),ATAN(Q31/P31)*(180/PI())+180,IF(AND(P31&lt;0,Q31&lt;0),ATAN(Q31/P31)*(180/PI())+180,ATAN(Q31/P31)*(180/PI())+360))))</f>
        <v/>
      </c>
      <c r="T31" s="719">
        <f>M31</f>
        <v/>
      </c>
      <c r="U31" s="719">
        <f>(-H31)</f>
        <v/>
      </c>
      <c r="V31" s="200">
        <f>IF($V$13=1,V$15-I31,V$15+I31)</f>
        <v/>
      </c>
      <c r="W31" s="158">
        <f>IF($W$13=1,W$15-J31,W$15+J31)</f>
        <v/>
      </c>
      <c r="X31" s="727">
        <f>SQRT((W31-$S$186)^2+(V31-$S$186)^2)</f>
        <v/>
      </c>
    </row>
    <row r="32">
      <c r="A32">
        <f>'Casing Review'!D42</f>
        <v/>
      </c>
      <c r="B32" s="264" t="n"/>
      <c r="C32" s="265" t="n"/>
      <c r="D32" s="265" t="n"/>
      <c r="E32">
        <f>IF($H$7="M",D32+$H$8-$H$9,IF( AND($H$7="T",$A$45="g"),D32-$H$9,IF(AND($H$7="g",$A$45="t"),D32+$H$9,D32)))</f>
        <v/>
      </c>
      <c r="F32">
        <f>IF(C32=C31,0,ACOS(COS(C31*PI()/180)*COS(C32*PI()/180)+(SIN(C31*PI()/180)*SIN(C32*PI()/180))*COS((E32-E31)*PI()/180))*180/PI())</f>
        <v/>
      </c>
      <c r="G32">
        <f>IF(F32=0,1,(2/F32)*(180/PI())*TAN(F32*PI()/180/2))</f>
        <v/>
      </c>
      <c r="H32" s="719">
        <f>H31+(G32*((B32-B31)/2*(COS(C31*PI()/180)+COS(C32*PI()/180))))</f>
        <v/>
      </c>
      <c r="I32" s="725">
        <f>I31+G32*((B32-B31)/2)*(SIN(C31*PI()/180)*COS(E31*PI()/180)+SIN(C32*PI()/180)*COS(E32*PI()/180))</f>
        <v/>
      </c>
      <c r="J32" s="726">
        <f>J31+G32*((B32-B31)/2)*(SIN(C31*PI()/180)*SIN(E31*PI()/180)+SIN(C32*PI()/180)*SIN(E32*PI()/180))</f>
        <v/>
      </c>
      <c r="K32" s="719">
        <f>SQRT(I32^2+J32^2)</f>
        <v/>
      </c>
      <c r="L32" s="243">
        <f>IF(AND(I32=0,J32=0),0,(IF(AND(I32&gt;=0,J32&gt;=0),ATAN(J32/I32)*(180/PI()),IF(AND(I32&lt;0,J32&gt;=0),ATAN(J32/I32)*(180/PI())+180,IF(AND(I32&lt;0,J32&lt;0),ATAN(J32/I32)*(180/PI())+180,ATAN(J32/I32)*(180/PI())+360)))))</f>
        <v/>
      </c>
      <c r="M32" s="719">
        <f>ABS(SQRT(I32^2+J32^2)*(COS(RADIANS(($H$10-IF(I32=0,0,DEGREES(ATAN(J32/I32))))))))</f>
        <v/>
      </c>
      <c r="N32" s="243">
        <f>IF(B32=B31,0,F32*100/(B32-B31))</f>
        <v/>
      </c>
      <c r="O32">
        <f>E32+$F$7</f>
        <v/>
      </c>
      <c r="P32" s="719">
        <f>G32*((B32-B31)/2)*(SIN(C31*PI()/180)*COS(E31*PI()/180)+SIN(C32*PI()/180)*COS(E32*PI()/180))</f>
        <v/>
      </c>
      <c r="Q32" s="719">
        <f>G32*((B32-B31)/2)*(SIN(C31*PI()/180)*SIN(E31*PI()/180)+SIN(C32*PI()/180)*SIN(E32*PI()/180))</f>
        <v/>
      </c>
      <c r="R32" s="719">
        <f>SQRT(P32^2+Q32^2)</f>
        <v/>
      </c>
      <c r="S32">
        <f>IF(AND(P32=0,Q32=0),0,IF(AND(P32&gt;=0,Q32&gt;=0),ATAN(Q32/P32)*(180/PI()),IF(AND(P32&lt;0,Q32&gt;=0),ATAN(Q32/P32)*(180/PI())+180,IF(AND(P32&lt;0,Q32&lt;0),ATAN(Q32/P32)*(180/PI())+180,ATAN(Q32/P32)*(180/PI())+360))))</f>
        <v/>
      </c>
      <c r="T32" s="719">
        <f>M32</f>
        <v/>
      </c>
      <c r="U32" s="719">
        <f>(-H32)</f>
        <v/>
      </c>
      <c r="V32" s="200">
        <f>IF($V$13=1,V$15-I32,V$15+I32)</f>
        <v/>
      </c>
      <c r="W32" s="158">
        <f>IF($W$13=1,W$15-J32,W$15+J32)</f>
        <v/>
      </c>
      <c r="X32" s="727">
        <f>SQRT((W32-$S$186)^2+(V32-$S$186)^2)</f>
        <v/>
      </c>
    </row>
    <row r="33">
      <c r="B33" s="264" t="n"/>
      <c r="C33" s="265" t="n"/>
      <c r="D33" s="265" t="n"/>
      <c r="E33">
        <f>IF($H$7="M",D33+$H$8-$H$9,IF( AND($H$7="T",$A$45="g"),D33-$H$9,IF(AND($H$7="g",$A$45="t"),D33+$H$9,D33)))</f>
        <v/>
      </c>
      <c r="F33">
        <f>IF(C33=C32,0,ACOS(COS(C32*PI()/180)*COS(C33*PI()/180)+(SIN(C32*PI()/180)*SIN(C33*PI()/180))*COS((E33-E32)*PI()/180))*180/PI())</f>
        <v/>
      </c>
      <c r="G33">
        <f>IF(F33=0,1,(2/F33)*(180/PI())*TAN(F33*PI()/180/2))</f>
        <v/>
      </c>
      <c r="H33" s="719">
        <f>H32+(G33*((B33-B32)/2*(COS(C32*PI()/180)+COS(C33*PI()/180))))</f>
        <v/>
      </c>
      <c r="I33" s="725">
        <f>I32+G33*((B33-B32)/2)*(SIN(C32*PI()/180)*COS(E32*PI()/180)+SIN(C33*PI()/180)*COS(E33*PI()/180))</f>
        <v/>
      </c>
      <c r="J33" s="726">
        <f>J32+G33*((B33-B32)/2)*(SIN(C32*PI()/180)*SIN(E32*PI()/180)+SIN(C33*PI()/180)*SIN(E33*PI()/180))</f>
        <v/>
      </c>
      <c r="K33" s="719">
        <f>SQRT(I33^2+J33^2)</f>
        <v/>
      </c>
      <c r="L33" s="243">
        <f>IF(AND(I33=0,J33=0),0,(IF(AND(I33&gt;=0,J33&gt;=0),ATAN(J33/I33)*(180/PI()),IF(AND(I33&lt;0,J33&gt;=0),ATAN(J33/I33)*(180/PI())+180,IF(AND(I33&lt;0,J33&lt;0),ATAN(J33/I33)*(180/PI())+180,ATAN(J33/I33)*(180/PI())+360)))))</f>
        <v/>
      </c>
      <c r="M33" s="719">
        <f>ABS(SQRT(I33^2+J33^2)*(COS(RADIANS(($H$10-IF(I33=0,0,DEGREES(ATAN(J33/I33))))))))</f>
        <v/>
      </c>
      <c r="N33" s="243">
        <f>IF(B33=B32,0,F33*100/(B33-B32))</f>
        <v/>
      </c>
      <c r="O33">
        <f>E33+$F$7</f>
        <v/>
      </c>
      <c r="P33" s="719">
        <f>G33*((B33-B32)/2)*(SIN(C32*PI()/180)*COS(E32*PI()/180)+SIN(C33*PI()/180)*COS(E33*PI()/180))</f>
        <v/>
      </c>
      <c r="Q33" s="719">
        <f>G33*((B33-B32)/2)*(SIN(C32*PI()/180)*SIN(E32*PI()/180)+SIN(C33*PI()/180)*SIN(E33*PI()/180))</f>
        <v/>
      </c>
      <c r="R33" s="719">
        <f>SQRT(P33^2+Q33^2)</f>
        <v/>
      </c>
      <c r="S33">
        <f>IF(AND(P33=0,Q33=0),0,IF(AND(P33&gt;=0,Q33&gt;=0),ATAN(Q33/P33)*(180/PI()),IF(AND(P33&lt;0,Q33&gt;=0),ATAN(Q33/P33)*(180/PI())+180,IF(AND(P33&lt;0,Q33&lt;0),ATAN(Q33/P33)*(180/PI())+180,ATAN(Q33/P33)*(180/PI())+360))))</f>
        <v/>
      </c>
      <c r="T33" s="719">
        <f>M33</f>
        <v/>
      </c>
      <c r="U33" s="719">
        <f>(-H33)</f>
        <v/>
      </c>
      <c r="V33" s="200">
        <f>IF($V$13=1,V$15-I33,V$15+I33)</f>
        <v/>
      </c>
      <c r="W33" s="158">
        <f>IF($W$13=1,W$15-J33,W$15+J33)</f>
        <v/>
      </c>
      <c r="X33" s="727">
        <f>SQRT((W33-$S$186)^2+(V33-$S$186)^2)</f>
        <v/>
      </c>
    </row>
    <row r="34">
      <c r="A34">
        <f>'Casing Review'!D44</f>
        <v/>
      </c>
      <c r="B34" s="264" t="n"/>
      <c r="C34" s="265" t="n"/>
      <c r="D34" s="265" t="n"/>
      <c r="E34">
        <f>IF($H$7="M",D34+$H$8-$H$9,IF( AND($H$7="T",$A$45="g"),D34-$H$9,IF(AND($H$7="g",$A$45="t"),D34+$H$9,D34)))</f>
        <v/>
      </c>
      <c r="F34">
        <f>IF(C34=C33,0,ACOS(COS(C33*PI()/180)*COS(C34*PI()/180)+(SIN(C33*PI()/180)*SIN(C34*PI()/180))*COS((E34-E33)*PI()/180))*180/PI())</f>
        <v/>
      </c>
      <c r="G34">
        <f>IF(F34=0,1,(2/F34)*(180/PI())*TAN(F34*PI()/180/2))</f>
        <v/>
      </c>
      <c r="H34" s="719">
        <f>H33+(G34*((B34-B33)/2*(COS(C33*PI()/180)+COS(C34*PI()/180))))</f>
        <v/>
      </c>
      <c r="I34" s="725">
        <f>I33+G34*((B34-B33)/2)*(SIN(C33*PI()/180)*COS(E33*PI()/180)+SIN(C34*PI()/180)*COS(E34*PI()/180))</f>
        <v/>
      </c>
      <c r="J34" s="726">
        <f>J33+G34*((B34-B33)/2)*(SIN(C33*PI()/180)*SIN(E33*PI()/180)+SIN(C34*PI()/180)*SIN(E34*PI()/180))</f>
        <v/>
      </c>
      <c r="K34" s="719">
        <f>SQRT(I34^2+J34^2)</f>
        <v/>
      </c>
      <c r="L34" s="243">
        <f>IF(AND(I34=0,J34=0),0,(IF(AND(I34&gt;=0,J34&gt;=0),ATAN(J34/I34)*(180/PI()),IF(AND(I34&lt;0,J34&gt;=0),ATAN(J34/I34)*(180/PI())+180,IF(AND(I34&lt;0,J34&lt;0),ATAN(J34/I34)*(180/PI())+180,ATAN(J34/I34)*(180/PI())+360)))))</f>
        <v/>
      </c>
      <c r="M34" s="719">
        <f>ABS(SQRT(I34^2+J34^2)*(COS(RADIANS(($H$10-IF(I34=0,0,DEGREES(ATAN(J34/I34))))))))</f>
        <v/>
      </c>
      <c r="N34" s="243">
        <f>IF(B34=B33,0,F34*100/(B34-B33))</f>
        <v/>
      </c>
      <c r="O34">
        <f>E34+$F$7</f>
        <v/>
      </c>
      <c r="P34" s="719">
        <f>G34*((B34-B33)/2)*(SIN(C33*PI()/180)*COS(E33*PI()/180)+SIN(C34*PI()/180)*COS(E34*PI()/180))</f>
        <v/>
      </c>
      <c r="Q34" s="719">
        <f>G34*((B34-B33)/2)*(SIN(C33*PI()/180)*SIN(E33*PI()/180)+SIN(C34*PI()/180)*SIN(E34*PI()/180))</f>
        <v/>
      </c>
      <c r="R34" s="719">
        <f>SQRT(P34^2+Q34^2)</f>
        <v/>
      </c>
      <c r="S34">
        <f>IF(AND(P34=0,Q34=0),0,IF(AND(P34&gt;=0,Q34&gt;=0),ATAN(Q34/P34)*(180/PI()),IF(AND(P34&lt;0,Q34&gt;=0),ATAN(Q34/P34)*(180/PI())+180,IF(AND(P34&lt;0,Q34&lt;0),ATAN(Q34/P34)*(180/PI())+180,ATAN(Q34/P34)*(180/PI())+360))))</f>
        <v/>
      </c>
      <c r="T34" s="719">
        <f>M34</f>
        <v/>
      </c>
      <c r="U34" s="719">
        <f>(-H34)</f>
        <v/>
      </c>
      <c r="V34" s="200">
        <f>IF($V$13=1,V$15-I34,V$15+I34)</f>
        <v/>
      </c>
      <c r="W34" s="158">
        <f>IF($W$13=1,W$15-J34,W$15+J34)</f>
        <v/>
      </c>
      <c r="X34" s="727">
        <f>SQRT((W34-$S$186)^2+(V34-$S$186)^2)</f>
        <v/>
      </c>
    </row>
    <row r="35">
      <c r="A35">
        <f>'Casing Review'!D46</f>
        <v/>
      </c>
      <c r="B35" s="264" t="n"/>
      <c r="C35" s="265" t="n"/>
      <c r="D35" s="265" t="n"/>
      <c r="E35">
        <f>IF($H$7="M",D35+$H$8-$H$9,IF( AND($H$7="T",$A$45="g"),D35-$H$9,IF(AND($H$7="g",$A$45="t"),D35+$H$9,D35)))</f>
        <v/>
      </c>
      <c r="F35">
        <f>IF(C35=C34,0,ACOS(COS(C34*PI()/180)*COS(C35*PI()/180)+(SIN(C34*PI()/180)*SIN(C35*PI()/180))*COS((E35-E34)*PI()/180))*180/PI())</f>
        <v/>
      </c>
      <c r="G35">
        <f>IF(F35=0,1,(2/F35)*(180/PI())*TAN(F35*PI()/180/2))</f>
        <v/>
      </c>
      <c r="H35" s="719">
        <f>H34+(G35*((B35-B34)/2*(COS(C34*PI()/180)+COS(C35*PI()/180))))</f>
        <v/>
      </c>
      <c r="I35" s="725">
        <f>I34+G35*((B35-B34)/2)*(SIN(C34*PI()/180)*COS(E34*PI()/180)+SIN(C35*PI()/180)*COS(E35*PI()/180))</f>
        <v/>
      </c>
      <c r="J35" s="726">
        <f>J34+G35*((B35-B34)/2)*(SIN(C34*PI()/180)*SIN(E34*PI()/180)+SIN(C35*PI()/180)*SIN(E35*PI()/180))</f>
        <v/>
      </c>
      <c r="K35" s="719">
        <f>SQRT(I35^2+J35^2)</f>
        <v/>
      </c>
      <c r="L35" s="243">
        <f>IF(AND(I35=0,J35=0),0,(IF(AND(I35&gt;=0,J35&gt;=0),ATAN(J35/I35)*(180/PI()),IF(AND(I35&lt;0,J35&gt;=0),ATAN(J35/I35)*(180/PI())+180,IF(AND(I35&lt;0,J35&lt;0),ATAN(J35/I35)*(180/PI())+180,ATAN(J35/I35)*(180/PI())+360)))))</f>
        <v/>
      </c>
      <c r="M35" s="719">
        <f>ABS(SQRT(I35^2+J35^2)*(COS(RADIANS(($H$10-IF(I35=0,0,DEGREES(ATAN(J35/I35))))))))</f>
        <v/>
      </c>
      <c r="N35" s="243">
        <f>IF(B35=B34,0,F35*100/(B35-B34))</f>
        <v/>
      </c>
      <c r="O35">
        <f>E35+$F$7</f>
        <v/>
      </c>
      <c r="P35">
        <f>G35*((B35-B34)/2)*(SIN(C34*PI()/180)*COS(E34*PI()/180)+SIN(C35*PI()/180)*COS(E35*PI()/180))</f>
        <v/>
      </c>
      <c r="Q35">
        <f>G35*((B35-B34)/2)*(SIN(C34*PI()/180)*SIN(E34*PI()/180)+SIN(C35*PI()/180)*SIN(E35*PI()/180))</f>
        <v/>
      </c>
      <c r="R35">
        <f>SQRT(P35^2+Q35^2)</f>
        <v/>
      </c>
      <c r="S35">
        <f>IF(AND(P35=0,Q35=0),0,IF(AND(P35&gt;=0,Q35&gt;=0),ATAN(Q35/P35)*(180/PI()),IF(AND(P35&lt;0,Q35&gt;=0),ATAN(Q35/P35)*(180/PI())+180,IF(AND(P35&lt;0,Q35&lt;0),ATAN(Q35/P35)*(180/PI())+180,ATAN(Q35/P35)*(180/PI())+360))))</f>
        <v/>
      </c>
      <c r="T35" s="719">
        <f>M35</f>
        <v/>
      </c>
      <c r="U35" s="719">
        <f>(-H35)</f>
        <v/>
      </c>
      <c r="V35" s="200">
        <f>IF($V$13=1,V$15-I35,V$15+I35)</f>
        <v/>
      </c>
      <c r="W35" s="158">
        <f>IF($W$13=1,W$15-J35,W$15+J35)</f>
        <v/>
      </c>
      <c r="X35" s="727">
        <f>SQRT((W35-$S$186)^2+(V35-$S$186)^2)</f>
        <v/>
      </c>
    </row>
    <row r="36">
      <c r="A36">
        <f>'Casing Review'!B69</f>
        <v/>
      </c>
      <c r="B36" s="264" t="n"/>
      <c r="C36" s="265" t="n"/>
      <c r="D36" s="265" t="n"/>
      <c r="E36">
        <f>IF($H$7="M",D36+$H$8-$H$9,IF( AND($H$7="T",$A$45="g"),D36-$H$9,IF(AND($H$7="g",$A$45="t"),D36+$H$9,D36)))</f>
        <v/>
      </c>
      <c r="F36">
        <f>IF(C36=C35,0,ACOS(COS(C35*PI()/180)*COS(C36*PI()/180)+(SIN(C35*PI()/180)*SIN(C36*PI()/180))*COS((E36-E35)*PI()/180))*180/PI())</f>
        <v/>
      </c>
      <c r="G36">
        <f>IF(F36=0,1,(2/F36)*(180/PI())*TAN(F36*PI()/180/2))</f>
        <v/>
      </c>
      <c r="H36" s="719">
        <f>H35+(G36*((B36-B35)/2*(COS(C35*PI()/180)+COS(C36*PI()/180))))</f>
        <v/>
      </c>
      <c r="I36" s="725">
        <f>I35+G36*((B36-B35)/2)*(SIN(C35*PI()/180)*COS(E35*PI()/180)+SIN(C36*PI()/180)*COS(E36*PI()/180))</f>
        <v/>
      </c>
      <c r="J36" s="726">
        <f>J35+G36*((B36-B35)/2)*(SIN(C35*PI()/180)*SIN(E35*PI()/180)+SIN(C36*PI()/180)*SIN(E36*PI()/180))</f>
        <v/>
      </c>
      <c r="K36" s="719">
        <f>SQRT(I36^2+J36^2)</f>
        <v/>
      </c>
      <c r="L36" s="243">
        <f>IF(AND(I36=0,J36=0),0,(IF(AND(I36&gt;=0,J36&gt;=0),ATAN(J36/I36)*(180/PI()),IF(AND(I36&lt;0,J36&gt;=0),ATAN(J36/I36)*(180/PI())+180,IF(AND(I36&lt;0,J36&lt;0),ATAN(J36/I36)*(180/PI())+180,ATAN(J36/I36)*(180/PI())+360)))))</f>
        <v/>
      </c>
      <c r="M36" s="719">
        <f>ABS(SQRT(I36^2+J36^2)*(COS(RADIANS(($H$10-IF(I36=0,0,DEGREES(ATAN(J36/I36))))))))</f>
        <v/>
      </c>
      <c r="N36" s="243">
        <f>IF(B36=B35,0,F36*100/(B36-B35))</f>
        <v/>
      </c>
      <c r="O36">
        <f>E36+$F$7</f>
        <v/>
      </c>
      <c r="P36">
        <f>G36*((B36-B35)/2)*(SIN(C35*PI()/180)*COS(E35*PI()/180)+SIN(C36*PI()/180)*COS(E36*PI()/180))</f>
        <v/>
      </c>
      <c r="Q36">
        <f>G36*((B36-B35)/2)*(SIN(C35*PI()/180)*SIN(E35*PI()/180)+SIN(C36*PI()/180)*SIN(E36*PI()/180))</f>
        <v/>
      </c>
      <c r="R36">
        <f>SQRT(P36^2+Q36^2)</f>
        <v/>
      </c>
      <c r="S36">
        <f>IF(AND(P36=0,Q36=0),0,IF(AND(P36&gt;=0,Q36&gt;=0),ATAN(Q36/P36)*(180/PI()),IF(AND(P36&lt;0,Q36&gt;=0),ATAN(Q36/P36)*(180/PI())+180,IF(AND(P36&lt;0,Q36&lt;0),ATAN(Q36/P36)*(180/PI())+180,ATAN(Q36/P36)*(180/PI())+360))))</f>
        <v/>
      </c>
      <c r="T36" s="719">
        <f>M36</f>
        <v/>
      </c>
      <c r="U36" s="719">
        <f>(-H36)</f>
        <v/>
      </c>
      <c r="V36" s="200">
        <f>IF($V$13=1,V$15-I36,V$15+I36)</f>
        <v/>
      </c>
      <c r="W36" s="158">
        <f>IF($W$13=1,W$15-J36,W$15+J36)</f>
        <v/>
      </c>
      <c r="X36" s="727">
        <f>SQRT((W36-$S$186)^2+(V36-$S$186)^2)</f>
        <v/>
      </c>
    </row>
    <row r="37">
      <c r="A37">
        <f>'Casing Review'!D57</f>
        <v/>
      </c>
      <c r="B37" s="264" t="n"/>
      <c r="C37" s="265" t="n"/>
      <c r="D37" s="265" t="n"/>
      <c r="E37">
        <f>IF($H$7="M",D37+$H$8-$H$9,IF( AND($H$7="T",$A$45="g"),D37-$H$9,IF(AND($H$7="g",$A$45="t"),D37+$H$9,D37)))</f>
        <v/>
      </c>
      <c r="F37">
        <f>IF(C37=C36,0,ACOS(COS(C36*PI()/180)*COS(C37*PI()/180)+(SIN(C36*PI()/180)*SIN(C37*PI()/180))*COS((E37-E36)*PI()/180))*180/PI())</f>
        <v/>
      </c>
      <c r="G37">
        <f>IF(F37=0,1,(2/F37)*(180/PI())*TAN(F37*PI()/180/2))</f>
        <v/>
      </c>
      <c r="H37" s="719">
        <f>H36+(G37*((B37-B36)/2*(COS(C36*PI()/180)+COS(C37*PI()/180))))</f>
        <v/>
      </c>
      <c r="I37" s="725">
        <f>I36+G37*((B37-B36)/2)*(SIN(C36*PI()/180)*COS(E36*PI()/180)+SIN(C37*PI()/180)*COS(E37*PI()/180))</f>
        <v/>
      </c>
      <c r="J37" s="726">
        <f>J36+G37*((B37-B36)/2)*(SIN(C36*PI()/180)*SIN(E36*PI()/180)+SIN(C37*PI()/180)*SIN(E37*PI()/180))</f>
        <v/>
      </c>
      <c r="K37" s="719">
        <f>SQRT(I37^2+J37^2)</f>
        <v/>
      </c>
      <c r="L37" s="243">
        <f>IF(AND(I37=0,J37=0),0,(IF(AND(I37&gt;=0,J37&gt;=0),ATAN(J37/I37)*(180/PI()),IF(AND(I37&lt;0,J37&gt;=0),ATAN(J37/I37)*(180/PI())+180,IF(AND(I37&lt;0,J37&lt;0),ATAN(J37/I37)*(180/PI())+180,ATAN(J37/I37)*(180/PI())+360)))))</f>
        <v/>
      </c>
      <c r="M37" s="719">
        <f>ABS(SQRT(I37^2+J37^2)*(COS(RADIANS(($H$10-IF(I37=0,0,DEGREES(ATAN(J37/I37))))))))</f>
        <v/>
      </c>
      <c r="N37" s="243">
        <f>IF(B37=B36,0,F37*100/(B37-B36))</f>
        <v/>
      </c>
      <c r="O37">
        <f>E37+$F$7</f>
        <v/>
      </c>
      <c r="P37">
        <f>G37*((B37-B36)/2)*(SIN(C36*PI()/180)*COS(E36*PI()/180)+SIN(C37*PI()/180)*COS(E37*PI()/180))</f>
        <v/>
      </c>
      <c r="Q37">
        <f>G37*((B37-B36)/2)*(SIN(C36*PI()/180)*SIN(E36*PI()/180)+SIN(C37*PI()/180)*SIN(E37*PI()/180))</f>
        <v/>
      </c>
      <c r="R37">
        <f>SQRT(P37^2+Q37^2)</f>
        <v/>
      </c>
      <c r="S37">
        <f>IF(AND(P37=0,Q37=0),0,IF(AND(P37&gt;=0,Q37&gt;=0),ATAN(Q37/P37)*(180/PI()),IF(AND(P37&lt;0,Q37&gt;=0),ATAN(Q37/P37)*(180/PI())+180,IF(AND(P37&lt;0,Q37&lt;0),ATAN(Q37/P37)*(180/PI())+180,ATAN(Q37/P37)*(180/PI())+360))))</f>
        <v/>
      </c>
      <c r="T37" s="719">
        <f>M37</f>
        <v/>
      </c>
      <c r="U37" s="719">
        <f>(-H37)</f>
        <v/>
      </c>
      <c r="V37" s="200">
        <f>IF($V$13=1,V$15-I37,V$15+I37)</f>
        <v/>
      </c>
      <c r="W37" s="158">
        <f>IF($W$13=1,W$15-J37,W$15+J37)</f>
        <v/>
      </c>
      <c r="X37" s="727">
        <f>SQRT((W37-$S$186)^2+(V37-$S$186)^2)</f>
        <v/>
      </c>
    </row>
    <row r="38">
      <c r="A38">
        <f>'Casing Review'!D59</f>
        <v/>
      </c>
      <c r="B38" s="264" t="n"/>
      <c r="C38" s="265" t="n"/>
      <c r="D38" s="265" t="n"/>
      <c r="E38">
        <f>IF($H$7="M",D38+$H$8-$H$9,IF( AND($H$7="T",$A$45="g"),D38-$H$9,IF(AND($H$7="g",$A$45="t"),D38+$H$9,D38)))</f>
        <v/>
      </c>
      <c r="F38">
        <f>IF(C38=C37,0,ACOS(COS(C37*PI()/180)*COS(C38*PI()/180)+(SIN(C37*PI()/180)*SIN(C38*PI()/180))*COS((E38-E37)*PI()/180))*180/PI())</f>
        <v/>
      </c>
      <c r="G38">
        <f>IF(F38=0,1,(2/F38)*(180/PI())*TAN(F38*PI()/180/2))</f>
        <v/>
      </c>
      <c r="H38" s="719">
        <f>H37+(G38*((B38-B37)/2*(COS(C37*PI()/180)+COS(C38*PI()/180))))</f>
        <v/>
      </c>
      <c r="I38" s="725">
        <f>I37+G38*((B38-B37)/2)*(SIN(C37*PI()/180)*COS(E37*PI()/180)+SIN(C38*PI()/180)*COS(E38*PI()/180))</f>
        <v/>
      </c>
      <c r="J38" s="726">
        <f>J37+G38*((B38-B37)/2)*(SIN(C37*PI()/180)*SIN(E37*PI()/180)+SIN(C38*PI()/180)*SIN(E38*PI()/180))</f>
        <v/>
      </c>
      <c r="K38" s="719">
        <f>SQRT(I38^2+J38^2)</f>
        <v/>
      </c>
      <c r="L38" s="243">
        <f>IF(AND(I38=0,J38=0),0,(IF(AND(I38&gt;=0,J38&gt;=0),ATAN(J38/I38)*(180/PI()),IF(AND(I38&lt;0,J38&gt;=0),ATAN(J38/I38)*(180/PI())+180,IF(AND(I38&lt;0,J38&lt;0),ATAN(J38/I38)*(180/PI())+180,ATAN(J38/I38)*(180/PI())+360)))))</f>
        <v/>
      </c>
      <c r="M38" s="719">
        <f>ABS(SQRT(I38^2+J38^2)*(COS(RADIANS(($H$10-IF(I38=0,0,DEGREES(ATAN(J38/I38))))))))</f>
        <v/>
      </c>
      <c r="N38" s="243">
        <f>IF(B38=B37,0,F38*100/(B38-B37))</f>
        <v/>
      </c>
      <c r="O38">
        <f>E38+$F$7</f>
        <v/>
      </c>
      <c r="P38">
        <f>G38*((B38-B37)/2)*(SIN(C37*PI()/180)*COS(E37*PI()/180)+SIN(C38*PI()/180)*COS(E38*PI()/180))</f>
        <v/>
      </c>
      <c r="Q38">
        <f>G38*((B38-B37)/2)*(SIN(C37*PI()/180)*SIN(E37*PI()/180)+SIN(C38*PI()/180)*SIN(E38*PI()/180))</f>
        <v/>
      </c>
      <c r="R38">
        <f>SQRT(P38^2+Q38^2)</f>
        <v/>
      </c>
      <c r="S38">
        <f>IF(AND(P38=0,Q38=0),0,IF(AND(P38&gt;=0,Q38&gt;=0),ATAN(Q38/P38)*(180/PI()),IF(AND(P38&lt;0,Q38&gt;=0),ATAN(Q38/P38)*(180/PI())+180,IF(AND(P38&lt;0,Q38&lt;0),ATAN(Q38/P38)*(180/PI())+180,ATAN(Q38/P38)*(180/PI())+360))))</f>
        <v/>
      </c>
      <c r="T38" s="719">
        <f>M38</f>
        <v/>
      </c>
      <c r="U38" s="719">
        <f>(-H38)</f>
        <v/>
      </c>
      <c r="V38" s="200">
        <f>IF($V$13=1,V$15-I38,V$15+I38)</f>
        <v/>
      </c>
      <c r="W38" s="158">
        <f>IF($W$13=1,W$15-J38,W$15+J38)</f>
        <v/>
      </c>
      <c r="X38" s="727">
        <f>SQRT((W38-$S$186)^2+(V38-$S$186)^2)</f>
        <v/>
      </c>
    </row>
    <row r="39">
      <c r="A39">
        <f>'Casing Review'!D61</f>
        <v/>
      </c>
      <c r="B39" s="264" t="n"/>
      <c r="C39" s="265" t="n"/>
      <c r="D39" s="265" t="n"/>
      <c r="E39">
        <f>IF($H$7="M",D39+$H$8-$H$9,IF( AND($H$7="T",$A$45="g"),D39-$H$9,IF(AND($H$7="g",$A$45="t"),D39+$H$9,D39)))</f>
        <v/>
      </c>
      <c r="F39">
        <f>IF(C39=C38,0,ACOS(COS(C38*PI()/180)*COS(C39*PI()/180)+(SIN(C38*PI()/180)*SIN(C39*PI()/180))*COS((E39-E38)*PI()/180))*180/PI())</f>
        <v/>
      </c>
      <c r="G39">
        <f>IF(F39=0,1,(2/F39)*(180/PI())*TAN(F39*PI()/180/2))</f>
        <v/>
      </c>
      <c r="H39" s="719">
        <f>H38+(G39*((B39-B38)/2*(COS(C38*PI()/180)+COS(C39*PI()/180))))</f>
        <v/>
      </c>
      <c r="I39" s="725">
        <f>I38+G39*((B39-B38)/2)*(SIN(C38*PI()/180)*COS(E38*PI()/180)+SIN(C39*PI()/180)*COS(E39*PI()/180))</f>
        <v/>
      </c>
      <c r="J39" s="726">
        <f>J38+G39*((B39-B38)/2)*(SIN(C38*PI()/180)*SIN(E38*PI()/180)+SIN(C39*PI()/180)*SIN(E39*PI()/180))</f>
        <v/>
      </c>
      <c r="K39" s="719">
        <f>SQRT(I39^2+J39^2)</f>
        <v/>
      </c>
      <c r="L39" s="243">
        <f>IF(AND(I39=0,J39=0),0,(IF(AND(I39&gt;=0,J39&gt;=0),ATAN(J39/I39)*(180/PI()),IF(AND(I39&lt;0,J39&gt;=0),ATAN(J39/I39)*(180/PI())+180,IF(AND(I39&lt;0,J39&lt;0),ATAN(J39/I39)*(180/PI())+180,ATAN(J39/I39)*(180/PI())+360)))))</f>
        <v/>
      </c>
      <c r="M39" s="719">
        <f>ABS(SQRT(I39^2+J39^2)*(COS(RADIANS(($H$10-IF(I39=0,0,DEGREES(ATAN(J39/I39))))))))</f>
        <v/>
      </c>
      <c r="N39" s="243">
        <f>IF(B39=B38,0,F39*100/(B39-B38))</f>
        <v/>
      </c>
      <c r="O39">
        <f>E39+$F$7</f>
        <v/>
      </c>
      <c r="P39">
        <f>G39*((B39-B38)/2)*(SIN(C38*PI()/180)*COS(E38*PI()/180)+SIN(C39*PI()/180)*COS(E39*PI()/180))</f>
        <v/>
      </c>
      <c r="Q39">
        <f>G39*((B39-B38)/2)*(SIN(C38*PI()/180)*SIN(E38*PI()/180)+SIN(C39*PI()/180)*SIN(E39*PI()/180))</f>
        <v/>
      </c>
      <c r="R39">
        <f>SQRT(P39^2+Q39^2)</f>
        <v/>
      </c>
      <c r="S39">
        <f>IF(AND(P39=0,Q39=0),0,IF(AND(P39&gt;=0,Q39&gt;=0),ATAN(Q39/P39)*(180/PI()),IF(AND(P39&lt;0,Q39&gt;=0),ATAN(Q39/P39)*(180/PI())+180,IF(AND(P39&lt;0,Q39&lt;0),ATAN(Q39/P39)*(180/PI())+180,ATAN(Q39/P39)*(180/PI())+360))))</f>
        <v/>
      </c>
      <c r="T39" s="719">
        <f>M39</f>
        <v/>
      </c>
      <c r="U39" s="719">
        <f>(-H39)</f>
        <v/>
      </c>
      <c r="V39" s="200">
        <f>IF($V$13=1,V$15-I39,V$15+I39)</f>
        <v/>
      </c>
      <c r="W39" s="158">
        <f>IF($W$13=1,W$15-J39,W$15+J39)</f>
        <v/>
      </c>
      <c r="X39" s="727">
        <f>SQRT((W39-$S$186)^2+(V39-$S$186)^2)</f>
        <v/>
      </c>
    </row>
    <row r="40">
      <c r="B40" s="264" t="n"/>
      <c r="C40" s="265" t="n"/>
      <c r="D40" s="265" t="n"/>
      <c r="E40">
        <f>IF($H$7="M",D40+$H$8-$H$9,IF( AND($H$7="T",$A$45="g"),D40-$H$9,IF(AND($H$7="g",$A$45="t"),D40+$H$9,D40)))</f>
        <v/>
      </c>
      <c r="F40">
        <f>IF(C40=C39,0,ACOS(COS(C39*PI()/180)*COS(C40*PI()/180)+(SIN(C39*PI()/180)*SIN(C40*PI()/180))*COS((E40-E39)*PI()/180))*180/PI())</f>
        <v/>
      </c>
      <c r="G40">
        <f>IF(F40=0,1,(2/F40)*(180/PI())*TAN(F40*PI()/180/2))</f>
        <v/>
      </c>
      <c r="H40" s="719">
        <f>H39+(G40*((B40-B39)/2*(COS(C39*PI()/180)+COS(C40*PI()/180))))</f>
        <v/>
      </c>
      <c r="I40" s="725">
        <f>I39+G40*((B40-B39)/2)*(SIN(C39*PI()/180)*COS(E39*PI()/180)+SIN(C40*PI()/180)*COS(E40*PI()/180))</f>
        <v/>
      </c>
      <c r="J40" s="726">
        <f>J39+G40*((B40-B39)/2)*(SIN(C39*PI()/180)*SIN(E39*PI()/180)+SIN(C40*PI()/180)*SIN(E40*PI()/180))</f>
        <v/>
      </c>
      <c r="K40" s="719">
        <f>SQRT(I40^2+J40^2)</f>
        <v/>
      </c>
      <c r="L40" s="243">
        <f>IF(AND(I40=0,J40=0),0,(IF(AND(I40&gt;=0,J40&gt;=0),ATAN(J40/I40)*(180/PI()),IF(AND(I40&lt;0,J40&gt;=0),ATAN(J40/I40)*(180/PI())+180,IF(AND(I40&lt;0,J40&lt;0),ATAN(J40/I40)*(180/PI())+180,ATAN(J40/I40)*(180/PI())+360)))))</f>
        <v/>
      </c>
      <c r="M40" s="719">
        <f>ABS(SQRT(I40^2+J40^2)*(COS(RADIANS(($H$10-IF(I40=0,0,DEGREES(ATAN(J40/I40))))))))</f>
        <v/>
      </c>
      <c r="N40" s="243">
        <f>IF(B40=B39,0,F40*100/(B40-B39))</f>
        <v/>
      </c>
      <c r="O40">
        <f>E40+$F$7</f>
        <v/>
      </c>
      <c r="P40">
        <f>G40*((B40-B39)/2)*(SIN(C39*PI()/180)*COS(E39*PI()/180)+SIN(C40*PI()/180)*COS(E40*PI()/180))</f>
        <v/>
      </c>
      <c r="Q40">
        <f>G40*((B40-B39)/2)*(SIN(C39*PI()/180)*SIN(E39*PI()/180)+SIN(C40*PI()/180)*SIN(E40*PI()/180))</f>
        <v/>
      </c>
      <c r="R40">
        <f>SQRT(P40^2+Q40^2)</f>
        <v/>
      </c>
      <c r="S40">
        <f>IF(AND(P40=0,Q40=0),0,IF(AND(P40&gt;=0,Q40&gt;=0),ATAN(Q40/P40)*(180/PI()),IF(AND(P40&lt;0,Q40&gt;=0),ATAN(Q40/P40)*(180/PI())+180,IF(AND(P40&lt;0,Q40&lt;0),ATAN(Q40/P40)*(180/PI())+180,ATAN(Q40/P40)*(180/PI())+360))))</f>
        <v/>
      </c>
      <c r="T40" s="719">
        <f>M40</f>
        <v/>
      </c>
      <c r="U40" s="719">
        <f>(-H40)</f>
        <v/>
      </c>
      <c r="V40" s="200">
        <f>IF($V$13=1,V$15-I40,V$15+I40)</f>
        <v/>
      </c>
      <c r="W40" s="158">
        <f>IF($W$13=1,W$15-J40,W$15+J40)</f>
        <v/>
      </c>
      <c r="X40" s="727">
        <f>SQRT((W40-$S$186)^2+(V40-$S$186)^2)</f>
        <v/>
      </c>
    </row>
    <row r="41">
      <c r="B41" s="264" t="n"/>
      <c r="C41" s="265" t="n"/>
      <c r="D41" s="265" t="n"/>
      <c r="E41">
        <f>IF($H$7="M",D41+$H$8-$H$9,IF( AND($H$7="T",$A$45="g"),D41-$H$9,IF(AND($H$7="g",$A$45="t"),D41+$H$9,D41)))</f>
        <v/>
      </c>
      <c r="F41">
        <f>IF(C41=C40,0,ACOS(COS(C40*PI()/180)*COS(C41*PI()/180)+(SIN(C40*PI()/180)*SIN(C41*PI()/180))*COS((E41-E40)*PI()/180))*180/PI())</f>
        <v/>
      </c>
      <c r="G41">
        <f>IF(F41=0,1,(2/F41)*(180/PI())*TAN(F41*PI()/180/2))</f>
        <v/>
      </c>
      <c r="H41" s="719">
        <f>H40+(G41*((B41-B40)/2*(COS(C40*PI()/180)+COS(C41*PI()/180))))</f>
        <v/>
      </c>
      <c r="I41" s="725">
        <f>I40+G41*((B41-B40)/2)*(SIN(C40*PI()/180)*COS(E40*PI()/180)+SIN(C41*PI()/180)*COS(E41*PI()/180))</f>
        <v/>
      </c>
      <c r="J41" s="726">
        <f>J40+G41*((B41-B40)/2)*(SIN(C40*PI()/180)*SIN(E40*PI()/180)+SIN(C41*PI()/180)*SIN(E41*PI()/180))</f>
        <v/>
      </c>
      <c r="K41" s="719">
        <f>SQRT(I41^2+J41^2)</f>
        <v/>
      </c>
      <c r="L41" s="243">
        <f>IF(AND(I41=0,J41=0),0,(IF(AND(I41&gt;=0,J41&gt;=0),ATAN(J41/I41)*(180/PI()),IF(AND(I41&lt;0,J41&gt;=0),ATAN(J41/I41)*(180/PI())+180,IF(AND(I41&lt;0,J41&lt;0),ATAN(J41/I41)*(180/PI())+180,ATAN(J41/I41)*(180/PI())+360)))))</f>
        <v/>
      </c>
      <c r="M41" s="719">
        <f>ABS(SQRT(I41^2+J41^2)*(COS(RADIANS(($H$10-IF(I41=0,0,DEGREES(ATAN(J41/I41))))))))</f>
        <v/>
      </c>
      <c r="N41" s="243">
        <f>IF(B41=B40,0,F41*100/(B41-B40))</f>
        <v/>
      </c>
      <c r="O41">
        <f>E41+$F$7</f>
        <v/>
      </c>
      <c r="P41">
        <f>G41*((B41-B40)/2)*(SIN(C40*PI()/180)*COS(E40*PI()/180)+SIN(C41*PI()/180)*COS(E41*PI()/180))</f>
        <v/>
      </c>
      <c r="Q41">
        <f>G41*((B41-B40)/2)*(SIN(C40*PI()/180)*SIN(E40*PI()/180)+SIN(C41*PI()/180)*SIN(E41*PI()/180))</f>
        <v/>
      </c>
      <c r="R41">
        <f>SQRT(P41^2+Q41^2)</f>
        <v/>
      </c>
      <c r="S41">
        <f>IF(AND(P41=0,Q41=0),0,IF(AND(P41&gt;=0,Q41&gt;=0),ATAN(Q41/P41)*(180/PI()),IF(AND(P41&lt;0,Q41&gt;=0),ATAN(Q41/P41)*(180/PI())+180,IF(AND(P41&lt;0,Q41&lt;0),ATAN(Q41/P41)*(180/PI())+180,ATAN(Q41/P41)*(180/PI())+360))))</f>
        <v/>
      </c>
      <c r="T41" s="719">
        <f>M41</f>
        <v/>
      </c>
      <c r="U41" s="719">
        <f>(-H41)</f>
        <v/>
      </c>
      <c r="V41" s="200">
        <f>IF($V$13=1,V$15-I41,V$15+I41)</f>
        <v/>
      </c>
      <c r="W41" s="158">
        <f>IF($W$13=1,W$15-J41,W$15+J41)</f>
        <v/>
      </c>
      <c r="X41" s="727">
        <f>SQRT((W41-$S$186)^2+(V41-$S$186)^2)</f>
        <v/>
      </c>
    </row>
    <row r="42">
      <c r="B42" s="264" t="n"/>
      <c r="C42" s="265" t="n"/>
      <c r="D42" s="265" t="n"/>
      <c r="E42">
        <f>IF($H$7="M",D42+$H$8-$H$9,IF( AND($H$7="T",$A$45="g"),D42-$H$9,IF(AND($H$7="g",$A$45="t"),D42+$H$9,D42)))</f>
        <v/>
      </c>
      <c r="F42">
        <f>IF(C42=C41,0,ACOS(COS(C41*PI()/180)*COS(C42*PI()/180)+(SIN(C41*PI()/180)*SIN(C42*PI()/180))*COS((E42-E41)*PI()/180))*180/PI())</f>
        <v/>
      </c>
      <c r="G42">
        <f>IF(F42=0,1,(2/F42)*(180/PI())*TAN(F42*PI()/180/2))</f>
        <v/>
      </c>
      <c r="H42" s="719">
        <f>H41+(G42*((B42-B41)/2*(COS(C41*PI()/180)+COS(C42*PI()/180))))</f>
        <v/>
      </c>
      <c r="I42" s="725">
        <f>I41+G42*((B42-B41)/2)*(SIN(C41*PI()/180)*COS(E41*PI()/180)+SIN(C42*PI()/180)*COS(E42*PI()/180))</f>
        <v/>
      </c>
      <c r="J42" s="726">
        <f>J41+G42*((B42-B41)/2)*(SIN(C41*PI()/180)*SIN(E41*PI()/180)+SIN(C42*PI()/180)*SIN(E42*PI()/180))</f>
        <v/>
      </c>
      <c r="K42" s="719">
        <f>SQRT(I42^2+J42^2)</f>
        <v/>
      </c>
      <c r="L42" s="243">
        <f>IF(AND(I42=0,J42=0),0,(IF(AND(I42&gt;=0,J42&gt;=0),ATAN(J42/I42)*(180/PI()),IF(AND(I42&lt;0,J42&gt;=0),ATAN(J42/I42)*(180/PI())+180,IF(AND(I42&lt;0,J42&lt;0),ATAN(J42/I42)*(180/PI())+180,ATAN(J42/I42)*(180/PI())+360)))))</f>
        <v/>
      </c>
      <c r="M42" s="719">
        <f>ABS(SQRT(I42^2+J42^2)*(COS(RADIANS(($H$10-IF(I42=0,0,DEGREES(ATAN(J42/I42))))))))</f>
        <v/>
      </c>
      <c r="N42" s="243">
        <f>IF(B42=B41,0,F42*100/(B42-B41))</f>
        <v/>
      </c>
      <c r="O42">
        <f>E42+$F$7</f>
        <v/>
      </c>
      <c r="P42">
        <f>G42*((B42-B41)/2)*(SIN(C41*PI()/180)*COS(E41*PI()/180)+SIN(C42*PI()/180)*COS(E42*PI()/180))</f>
        <v/>
      </c>
      <c r="Q42">
        <f>G42*((B42-B41)/2)*(SIN(C41*PI()/180)*SIN(E41*PI()/180)+SIN(C42*PI()/180)*SIN(E42*PI()/180))</f>
        <v/>
      </c>
      <c r="R42">
        <f>SQRT(P42^2+Q42^2)</f>
        <v/>
      </c>
      <c r="S42">
        <f>IF(AND(P42=0,Q42=0),0,IF(AND(P42&gt;=0,Q42&gt;=0),ATAN(Q42/P42)*(180/PI()),IF(AND(P42&lt;0,Q42&gt;=0),ATAN(Q42/P42)*(180/PI())+180,IF(AND(P42&lt;0,Q42&lt;0),ATAN(Q42/P42)*(180/PI())+180,ATAN(Q42/P42)*(180/PI())+360))))</f>
        <v/>
      </c>
      <c r="T42" s="719">
        <f>M42</f>
        <v/>
      </c>
      <c r="U42" s="719">
        <f>(-H42)</f>
        <v/>
      </c>
      <c r="V42" s="200">
        <f>IF($V$13=1,V$15-I42,V$15+I42)</f>
        <v/>
      </c>
      <c r="W42" s="158">
        <f>IF($W$13=1,W$15-J42,W$15+J42)</f>
        <v/>
      </c>
      <c r="X42" s="727">
        <f>SQRT((W42-$S$186)^2+(V42-$S$186)^2)</f>
        <v/>
      </c>
    </row>
    <row r="43">
      <c r="B43" s="719" t="n"/>
    </row>
    <row r="44">
      <c r="A44" s="259" t="inlineStr">
        <is>
          <t>Plat North Ref</t>
        </is>
      </c>
      <c r="B44" s="719">
        <f>MAX(B16:B42)</f>
        <v/>
      </c>
      <c r="H44" s="719">
        <f>VLOOKUP($B$44,$B$16:$V$42,7)</f>
        <v/>
      </c>
      <c r="I44" s="719">
        <f>VLOOKUP($B$44,$B$16:$V$42,8)</f>
        <v/>
      </c>
      <c r="J44" s="719">
        <f>VLOOKUP($B$44,$B$16:$V$42,9)</f>
        <v/>
      </c>
      <c r="K44" s="243">
        <f>VLOOKUP($B$44,$B$16:$V$42,10)</f>
        <v/>
      </c>
      <c r="U44" s="728" t="n"/>
      <c r="V44" s="612" t="n"/>
      <c r="W44" s="612" t="n"/>
      <c r="X44" s="719" t="n"/>
    </row>
    <row r="45">
      <c r="A45" s="260" t="inlineStr">
        <is>
          <t>G</t>
        </is>
      </c>
      <c r="B45" s="615" t="inlineStr">
        <is>
          <t>At Bottom-hole Location</t>
        </is>
      </c>
      <c r="C45" s="616" t="n"/>
      <c r="D45" s="616" t="n"/>
      <c r="E45" s="617" t="n"/>
      <c r="G45" t="inlineStr">
        <is>
          <t xml:space="preserve">OFFSET </t>
        </is>
      </c>
      <c r="H45" s="265" t="inlineStr">
        <is>
          <t>n</t>
        </is>
      </c>
      <c r="I45" s="719" t="inlineStr">
        <is>
          <t>BHL Offset</t>
        </is>
      </c>
      <c r="J45" s="265" t="inlineStr">
        <is>
          <t>n</t>
        </is>
      </c>
      <c r="U45" s="608" t="inlineStr">
        <is>
          <t>Prod. Interval</t>
        </is>
      </c>
      <c r="V45" s="609" t="n"/>
      <c r="W45" s="612" t="n"/>
    </row>
    <row r="46">
      <c r="B46" s="614" t="inlineStr">
        <is>
          <t>FNL</t>
        </is>
      </c>
      <c r="C46" s="614" t="inlineStr">
        <is>
          <t>FSL</t>
        </is>
      </c>
      <c r="D46" s="614" t="inlineStr">
        <is>
          <t>FEL</t>
        </is>
      </c>
      <c r="E46" s="614" t="inlineStr">
        <is>
          <t>FWL</t>
        </is>
      </c>
      <c r="G46" s="199" t="inlineStr">
        <is>
          <t>N/S</t>
        </is>
      </c>
      <c r="H46" s="199" t="inlineStr">
        <is>
          <t>E/W</t>
        </is>
      </c>
      <c r="I46" s="199" t="inlineStr">
        <is>
          <t>N/S</t>
        </is>
      </c>
      <c r="J46" s="199" t="inlineStr">
        <is>
          <t>E/W</t>
        </is>
      </c>
      <c r="U46" s="457">
        <f>IF(H45="y",'SHL Section'!I9-G47,'SHL Section'!I9)</f>
        <v/>
      </c>
      <c r="V46" s="266">
        <f>'SHL Section'!J9</f>
        <v/>
      </c>
      <c r="W46" s="266">
        <f>IF(H45="y",'SHL Section'!K9-H47,'SHL Section'!K9)</f>
        <v/>
      </c>
      <c r="X46" s="458">
        <f>'SHL Section'!L9</f>
        <v/>
      </c>
    </row>
    <row r="47">
      <c r="A47" s="151" t="inlineStr">
        <is>
          <t>Surface Location</t>
        </is>
      </c>
      <c r="B47" s="265" t="n"/>
      <c r="C47" s="265" t="n">
        <v>560</v>
      </c>
      <c r="D47" s="265" t="n">
        <v>804</v>
      </c>
      <c r="E47" s="265" t="n"/>
      <c r="G47" s="265" t="n"/>
      <c r="H47" s="265" t="n"/>
      <c r="I47" s="265" t="n"/>
      <c r="J47" s="265" t="n"/>
      <c r="V47" s="614" t="n"/>
      <c r="W47" s="614" t="n"/>
    </row>
    <row r="48">
      <c r="A48" t="inlineStr">
        <is>
          <t>Proposed BHL</t>
        </is>
      </c>
      <c r="B48" s="265" t="n"/>
      <c r="C48" s="265" t="n">
        <v>330</v>
      </c>
      <c r="D48" s="265" t="n"/>
      <c r="E48" s="265" t="n">
        <v>660</v>
      </c>
      <c r="G48" s="199" t="n"/>
      <c r="H48" s="199" t="n"/>
      <c r="U48" s="728" t="n"/>
      <c r="V48" s="612" t="n"/>
      <c r="W48" s="612" t="n"/>
      <c r="X48" s="719" t="n"/>
    </row>
    <row r="49" ht="15.75" customHeight="1" s="613" thickBot="1">
      <c r="Q49" s="614" t="n"/>
      <c r="U49" s="610" t="inlineStr">
        <is>
          <t>Total Depth</t>
        </is>
      </c>
      <c r="V49" s="611" t="n"/>
      <c r="W49" s="612" t="n"/>
      <c r="X49" s="623" t="n"/>
    </row>
    <row r="50">
      <c r="Q50" s="719" t="n"/>
      <c r="R50" s="719" t="n"/>
      <c r="U50" s="457">
        <f>IF(H45="y",'SHL Section'!I10-G47,IF(J45="y",'SHL Section'!I10+I47,'SHL Section'!I10))</f>
        <v/>
      </c>
      <c r="V50" s="267">
        <f>'SHL Section'!J10</f>
        <v/>
      </c>
      <c r="W50" s="267">
        <f>IF(H45="y",'SHL Section'!K10-H47,IF(J45="Y",'SHL Section'!K10+J47,'SHL Section'!K10))</f>
        <v/>
      </c>
      <c r="X50" s="458">
        <f>'SHL Section'!L10</f>
        <v/>
      </c>
    </row>
    <row r="51">
      <c r="Q51" s="719" t="n"/>
      <c r="R51" s="719" t="n"/>
    </row>
    <row r="55" ht="15.75" customHeight="1" s="613" thickBot="1"/>
    <row r="56">
      <c r="B56" s="236" t="inlineStr">
        <is>
          <t>Build and Drop</t>
        </is>
      </c>
      <c r="C56" s="236" t="n"/>
      <c r="D56" s="236" t="n"/>
      <c r="E56" s="432" t="n"/>
      <c r="F56" s="653" t="inlineStr">
        <is>
          <t>Setting depths</t>
        </is>
      </c>
      <c r="G56" s="653" t="n"/>
      <c r="H56" s="656" t="inlineStr">
        <is>
          <t>TVD</t>
        </is>
      </c>
      <c r="Q56" s="719" t="n"/>
      <c r="R56" s="719" t="n"/>
    </row>
    <row r="57">
      <c r="B57" s="236" t="inlineStr">
        <is>
          <t>KOP</t>
        </is>
      </c>
      <c r="C57" s="236" t="inlineStr">
        <is>
          <t xml:space="preserve"> </t>
        </is>
      </c>
      <c r="D57" s="237" t="n"/>
      <c r="E57" s="700" t="inlineStr">
        <is>
          <t>Casing1 A</t>
        </is>
      </c>
      <c r="F57">
        <f>'Casing Review'!D12</f>
        <v/>
      </c>
      <c r="H57" s="200">
        <f>IF('Casing Review'!E$9="n",'Casing Review'!D12,IF('Casing Review'!$E$7="N",VLOOKUP(DxSurvey!F57,DxSurvey!B$16:H$53,7,FALSE),IF(AND(F57&gt;F$72,F57&lt;F$70),F$72+N$57*SIN(RADIANS((F57-F$72)/100*D$58)),IF(AND(F57&gt;F$70,F57&lt;F$73),F$72+N$57*SIN(RADIANS(D$60))+COS(RADIANS(D$60))*(F57-F$70),IF(AND(F57&gt;F$73,F57&lt;F$71),F$72+N$57*SIN(RADIANS(D$60))+COS(RADIANS(D$60))*(F$73-F$70)+SIN(RADIANS((F57-F$73)/100*D$64)),IF(F57&gt;F$71,F$72+N$57*SIN(RADIANS(D$60))+COS(RADIANS(D$60))*(F$73-F$70)+#REF!*SIN(RADIANS(D$60))+F57-F$71,F57))))))</f>
        <v/>
      </c>
    </row>
    <row r="58">
      <c r="B58" s="236" t="inlineStr">
        <is>
          <t>Build angle</t>
        </is>
      </c>
      <c r="C58" s="236" t="inlineStr">
        <is>
          <t xml:space="preserve"> </t>
        </is>
      </c>
      <c r="D58" s="237" t="n"/>
      <c r="E58" s="700" t="inlineStr">
        <is>
          <t>Casing 1B</t>
        </is>
      </c>
      <c r="F58">
        <f>'Casing Review'!D14</f>
        <v/>
      </c>
      <c r="H58" s="200">
        <f>IF('Casing Review'!E$9="n",'Casing Review'!D14,IF('Casing Review'!$E$7="N",VLOOKUP(DxSurvey!F58,DxSurvey!B$16:H$53,7,FALSE),IF(AND(F58&gt;F$72,F58&lt;F$70),F$72+N$57*SIN(RADIANS((F58-F$72)/100*D$58)),IF(AND(F58&gt;F$70,F58&lt;F$73),F$72+N$57*SIN(RADIANS(D$60))+COS(RADIANS(D$60))*(F58-F$70),IF(AND(F58&gt;F$73,F58&lt;F$71),F$72+N$57*SIN(RADIANS(D$60))+COS(RADIANS(D$60))*(F$73-F$70)+SIN(RADIANS((F58-F$73)/100*D$64)),IF(F58&gt;F$71,F$72+N$57*SIN(RADIANS(D$60))+COS(RADIANS(D$60))*(F$73-F$70)+#REF!*SIN(RADIANS(D$60))+F58-F$71,F58))))))</f>
        <v/>
      </c>
      <c r="S58" s="449" t="n"/>
    </row>
    <row r="59">
      <c r="B59" s="236" t="inlineStr">
        <is>
          <t>Horizontal Departure</t>
        </is>
      </c>
      <c r="C59" s="236" t="n"/>
      <c r="D59" s="237" t="n"/>
      <c r="E59" s="700" t="inlineStr">
        <is>
          <t>Casing 1C</t>
        </is>
      </c>
      <c r="F59">
        <f>'Casing Review'!D16</f>
        <v/>
      </c>
      <c r="H59" s="200">
        <f>IF('Casing Review'!E$9="n",'Casing Review'!D16,IF('Casing Review'!$E$7="N",VLOOKUP(DxSurvey!F59,DxSurvey!B$16:H$53,7,FALSE),IF(AND(F59&gt;F$72,F59&lt;F$70),F$72+N$57*SIN(RADIANS((F59-F$72)/100*D$58)),IF(AND(F59&gt;F$70,F59&lt;F$73),F$72+N$57*SIN(RADIANS(D$60))+COS(RADIANS(D$60))*(F59-F$70),IF(AND(F59&gt;F$73,F59&lt;F$71),F$72+N$57*SIN(RADIANS(D$60))+COS(RADIANS(D$60))*(F$73-F$70)+SIN(RADIANS((F59-F$73)/100*D$64)),IF(F59&gt;F$71,F$72+N$57*SIN(RADIANS(D$60))+COS(RADIANS(D$60))*(F$73-F$70)+#REF!*SIN(RADIANS(D$60))+F59-F$71,F59))))))</f>
        <v/>
      </c>
    </row>
    <row r="60">
      <c r="B60" s="236" t="inlineStr">
        <is>
          <t>Max inclination</t>
        </is>
      </c>
      <c r="C60" s="236" t="n"/>
      <c r="D60" s="237" t="n"/>
      <c r="E60" s="700" t="inlineStr">
        <is>
          <t>Casing 2A</t>
        </is>
      </c>
      <c r="F60">
        <f>'Casing Review'!D27</f>
        <v/>
      </c>
      <c r="H60" s="200">
        <f>IF('Casing Review'!E$9="n",'Casing Review'!D27,IF('Casing Review'!$E$7="N",VLOOKUP(DxSurvey!F60,DxSurvey!B$16:H$53,7,FALSE),IF(AND(F60&gt;F$72,F60&lt;F$70),F$72+N$57*SIN(RADIANS((F60-F$72)/100*D$58)),IF(AND(F60&gt;F$70,F60&lt;F$73),F$72+N$57*SIN(RADIANS(D$60))+COS(RADIANS(D$60))*(F60-F$70),IF(AND(F60&gt;F$73,F60&lt;F$71),F$72+N$57*SIN(RADIANS(D$60))+COS(RADIANS(D$60))*(F$73-F$70)+SIN(RADIANS((F60-F$73)/100*D$64)),IF(F60&gt;F$71,F$72+N$57*SIN(RADIANS(D$60))+COS(RADIANS(D$60))*(F$73-F$70)+#REF!*SIN(RADIANS(D$60))+F60-F$71,F60))))))</f>
        <v/>
      </c>
    </row>
    <row r="61">
      <c r="B61" s="236" t="inlineStr">
        <is>
          <t>Drop Depth</t>
        </is>
      </c>
      <c r="C61" s="236" t="n"/>
      <c r="D61" s="237" t="n"/>
      <c r="E61" s="700" t="inlineStr">
        <is>
          <t>Casing 2B</t>
        </is>
      </c>
      <c r="F61">
        <f>'Casing Review'!D29</f>
        <v/>
      </c>
      <c r="H61" s="200">
        <f>IF('Casing Review'!E$9="n",'Casing Review'!D29,IF('Casing Review'!$E$7="N",VLOOKUP(DxSurvey!F61,DxSurvey!B$16:H$53,7,FALSE),IF(AND(F61&gt;F$72,F61&lt;F$70),F$72+N$57*SIN(RADIANS((F61-F$72)/100*D$58)),IF(AND(F61&gt;F$70,F61&lt;F$73),F$72+N$57*SIN(RADIANS(D$60))+COS(RADIANS(D$60))*(F61-F$70),IF(AND(F61&gt;F$73,F61&lt;F$71),F$72+N$57*SIN(RADIANS(D$60))+COS(RADIANS(D$60))*(F$73-F$70)+SIN(RADIANS((F61-F$73)/100*D$64)),IF(F61&gt;F$71,F$72+N$57*SIN(RADIANS(D$60))+COS(RADIANS(D$60))*(F$73-F$70)+#REF!*SIN(RADIANS(D$60))+F61-F$71,F61))))))</f>
        <v/>
      </c>
    </row>
    <row r="62">
      <c r="B62" s="236" t="inlineStr">
        <is>
          <t>Hold Depth</t>
        </is>
      </c>
      <c r="C62" s="236" t="n"/>
      <c r="D62" s="237" t="n"/>
      <c r="E62" s="700" t="inlineStr">
        <is>
          <t>Casing 2C</t>
        </is>
      </c>
      <c r="F62">
        <f>'Casing Review'!D31</f>
        <v/>
      </c>
      <c r="H62" s="200">
        <f>IF('Casing Review'!E$9="n",'Casing Review'!D31,IF('Casing Review'!$E$7="N",VLOOKUP(DxSurvey!F62,DxSurvey!B$16:H$53,7,FALSE),IF(AND(F62&gt;F$72,F62&lt;F$70),F$72+N$57*SIN(RADIANS((F62-F$72)/100*D$58)),IF(AND(F62&gt;F$70,F62&lt;F$73),F$72+N$57*SIN(RADIANS(D$60))+COS(RADIANS(D$60))*(F62-F$70),IF(AND(F62&gt;F$73,F62&lt;F$71),F$72+N$57*SIN(RADIANS(D$60))+COS(RADIANS(D$60))*(F$73-F$70)+SIN(RADIANS((F62-F$73)/100*D$64)),IF(F62&gt;F$71,F$72+N$57*SIN(RADIANS(D$60))+COS(RADIANS(D$60))*(F$73-F$70)+#REF!*SIN(RADIANS(D$60))+F62-F$71,F62))))))</f>
        <v/>
      </c>
    </row>
    <row r="63">
      <c r="B63" s="236" t="inlineStr">
        <is>
          <t>Build 2</t>
        </is>
      </c>
      <c r="C63" s="236" t="n"/>
      <c r="D63" s="237" t="n"/>
      <c r="E63" s="700" t="inlineStr">
        <is>
          <t>Casing 3A</t>
        </is>
      </c>
      <c r="F63">
        <f>'Casing Review'!D42</f>
        <v/>
      </c>
      <c r="H63" s="200">
        <f>IF('Casing Review'!E$9="n",'Casing Review'!D42,IF('Casing Review'!$E$7="N",VLOOKUP(DxSurvey!F63,DxSurvey!B$16:H$53,7,FALSE),IF(AND(F63&gt;F$72,F63&lt;F$70),F$72+N$57*SIN(RADIANS((F63-F$72)/100*D$58)),IF(AND(F63&gt;F$70,F63&lt;F$73),F$72+N$57*SIN(RADIANS(D$60))+COS(RADIANS(D$60))*(F63-F$70),IF(AND(F63&gt;F$73,F63&lt;F$71),F$72+N$57*SIN(RADIANS(D$60))+COS(RADIANS(D$60))*(F$73-F$70)+SIN(RADIANS((F63-F$73)/100*D$64)),IF(F63&gt;F$71,F$72+N$57*SIN(RADIANS(D$60))+COS(RADIANS(D$60))*(F$73-F$70)+#REF!*SIN(RADIANS(D$60))+F63-F$71,F63))))))</f>
        <v/>
      </c>
    </row>
    <row r="64">
      <c r="B64" s="236" t="inlineStr">
        <is>
          <t>drop angle</t>
        </is>
      </c>
      <c r="C64" s="236" t="n"/>
      <c r="D64" s="237" t="n"/>
      <c r="E64" s="700" t="inlineStr">
        <is>
          <t>Casing 3B</t>
        </is>
      </c>
      <c r="F64">
        <f>'Casing Review'!D44</f>
        <v/>
      </c>
      <c r="H64" s="200">
        <f>IF('Casing Review'!E$9="n",'Casing Review'!D44,IF('Casing Review'!$E$7="N",VLOOKUP(DxSurvey!F64,DxSurvey!B$16:H$53,7,FALSE),IF(AND(F64&gt;F$72,F64&lt;F$70),F$72+N$57*SIN(RADIANS((F64-F$72)/100*D$58)),IF(AND(F64&gt;F$70,F64&lt;F$73),F$72+N$57*SIN(RADIANS(D$60))+COS(RADIANS(D$60))*(F64-F$70),IF(AND(F64&gt;F$73,F64&lt;F$71),F$72+N$57*SIN(RADIANS(D$60))+COS(RADIANS(D$60))*(F$73-F$70)+SIN(RADIANS((F64-F$73)/100*D$64)),IF(F64&gt;F$71,F$72+N$57*SIN(RADIANS(D$60))+COS(RADIANS(D$60))*(F$73-F$70)+#REF!*SIN(RADIANS(D$60))+F64-F$71,F64))))))</f>
        <v/>
      </c>
      <c r="S64" s="449" t="n"/>
    </row>
    <row r="65">
      <c r="B65" s="236" t="inlineStr">
        <is>
          <t>azimuth</t>
        </is>
      </c>
      <c r="C65" s="236" t="n"/>
      <c r="D65" s="237" t="n"/>
      <c r="E65" s="700" t="inlineStr">
        <is>
          <t>Casing 3C</t>
        </is>
      </c>
      <c r="F65">
        <f>'Casing Review'!D46</f>
        <v/>
      </c>
      <c r="H65" s="200">
        <f>IF('Casing Review'!E$9="n",'Casing Review'!D46,IF('Casing Review'!$E$7="N",VLOOKUP(DxSurvey!F65,DxSurvey!B$16:H$53,7,FALSE),IF(AND(F65&gt;F$72,F65&lt;F$70),F$72+N$57*SIN(RADIANS((F65-F$72)/100*D$58)),IF(AND(F65&gt;F$70,F65&lt;F$73),F$72+N$57*SIN(RADIANS(D$60))+COS(RADIANS(D$60))*(F65-F$70),IF(AND(F65&gt;F$73,F65&lt;F$71),F$72+N$57*SIN(RADIANS(D$60))+COS(RADIANS(D$60))*(F$73-F$70)+SIN(RADIANS((F65-F$73)/100*D$64)),IF(F65&gt;F$71,F$72+N$57*SIN(RADIANS(D$60))+COS(RADIANS(D$60))*(F$73-F$70)+#REF!*SIN(RADIANS(D$60))+F65-F$71,F65))))))</f>
        <v/>
      </c>
    </row>
    <row r="66">
      <c r="B66" s="236" t="n"/>
      <c r="C66" s="236" t="n"/>
      <c r="D66" s="236" t="n"/>
      <c r="E66" s="700" t="inlineStr">
        <is>
          <t>Casing 4A</t>
        </is>
      </c>
      <c r="F66">
        <f>'Casing Review'!D57</f>
        <v/>
      </c>
      <c r="H66" s="200">
        <f>IF('Casing Review'!E$9="n",'Casing Review'!D57,IF('Casing Review'!$E$7="N",VLOOKUP(DxSurvey!F66,DxSurvey!B$16:H$53,7,FALSE),IF(AND(F66&gt;F$72,F66&lt;F$70),F$72+N$57*SIN(RADIANS((F66-F$72)/100*D$58)),IF(AND(F66&gt;F$70,F66&lt;F$73),F$72+N$57*SIN(RADIANS(D$60))+COS(RADIANS(D$60))*(F66-F$70),IF(AND(F66&gt;F$73,F66&lt;F$71),F$72+N$57*SIN(RADIANS(D$60))+COS(RADIANS(D$60))*(F$73-F$70)+SIN(RADIANS((F66-F$73)/100*D$64)),IF(F66&gt;F$71,F$72+N$57*SIN(RADIANS(D$60))+COS(RADIANS(D$60))*(F$73-F$70)+#REF!*SIN(RADIANS(D$60))+F66-F$71,F66))))))</f>
        <v/>
      </c>
    </row>
    <row r="67">
      <c r="B67" s="236" t="n">
        <v>1100</v>
      </c>
      <c r="C67" s="236">
        <f>IF(AND(B67&gt;D$57,B67&lt;D$62),IF((B67-D$57)/100*D$58&lt;D$60,(B67-D$57)/100*D$58,D$60),IF(AND(B67&gt;D$62,(B67-D$62)/100*D$64&gt;0),(B67-D$62)/100*D$64+D$62, 0))</f>
        <v/>
      </c>
      <c r="D67" s="236">
        <f>D65</f>
        <v/>
      </c>
      <c r="E67" s="700" t="inlineStr">
        <is>
          <t>Casing 4B</t>
        </is>
      </c>
      <c r="F67">
        <f>'Casing Review'!D59</f>
        <v/>
      </c>
      <c r="H67" s="200">
        <f>IF('Casing Review'!E$9="n",'Casing Review'!D59,IF('Casing Review'!$E$7="N",VLOOKUP(DxSurvey!F67,DxSurvey!B$16:H$53,7,FALSE),IF(AND(F67&gt;F$72,F67&lt;F$70),F$72+N$57*SIN(RADIANS((F67-F$72)/100*D$58)),IF(AND(F67&gt;F$70,F67&lt;F$73),F$72+N$57*SIN(RADIANS(D$60))+COS(RADIANS(D$60))*(F67-F$70),IF(AND(F67&gt;F$73,F67&lt;F$71),F$72+N$57*SIN(RADIANS(D$60))+COS(RADIANS(D$60))*(F$73-F$70)+SIN(RADIANS((F67-F$73)/100*D$64)),IF(F67&gt;F$71,F$72+N$57*SIN(RADIANS(D$60))+COS(RADIANS(D$60))*(F$73-F$70)+#REF!*SIN(RADIANS(D$60))+F67-F$71,F67))))))</f>
        <v/>
      </c>
    </row>
    <row r="68">
      <c r="B68" s="236">
        <f>F57</f>
        <v/>
      </c>
      <c r="C68" s="236">
        <f>IF(AND(B68&gt;D$57,B68&lt;D$62),IF((B68-D$57)/100*D$58&lt;D$60,(B68-D$57)/100*D$58,D$60),IF(AND(B68&gt;D$62,(B68-D$62)/100*D$64&gt;0),(B68-D$62)/100*D$64+D$62, 0))</f>
        <v/>
      </c>
      <c r="D68" s="236">
        <f>D67</f>
        <v/>
      </c>
      <c r="E68" s="700" t="inlineStr">
        <is>
          <t>Casing 4C</t>
        </is>
      </c>
      <c r="F68">
        <f>'Casing Review'!D61</f>
        <v/>
      </c>
      <c r="H68" s="200">
        <f>IF('Casing Review'!E$9="n",'Casing Review'!D61,IF('Casing Review'!$E$7="N",VLOOKUP(DxSurvey!F68,DxSurvey!B$16:H$53,7,FALSE),IF(AND(F68&gt;F$72,F68&lt;F$70),F$72+N$57*SIN(RADIANS((F68-F$72)/100*D$58)),IF(AND(F68&gt;F$70,F68&lt;F$73),F$72+N$57*SIN(RADIANS(D$60))+COS(RADIANS(D$60))*(F68-F$70),IF(AND(F68&gt;F$73,F68&lt;F$71),F$72+N$57*SIN(RADIANS(D$60))+COS(RADIANS(D$60))*(F$73-F$70)+SIN(RADIANS((F68-F$73)/100*D$64)),IF(F68&gt;F$71,F$72+N$57*SIN(RADIANS(D$60))+COS(RADIANS(D$60))*(F$73-F$70)+#REF!*SIN(RADIANS(D$60))+F68-F$71,F68))))))</f>
        <v/>
      </c>
    </row>
    <row r="69" ht="15.75" customHeight="1" s="613" thickBot="1">
      <c r="B69" s="236" t="n">
        <v>1740.5</v>
      </c>
      <c r="C69" s="236">
        <f>IF(AND(B69&gt;D$57,B69&lt;D$62),IF((B69-D$57)/100*D$58&lt;D$60,(B69-D$57)/100*D$58,D$60),IF(AND(B69&gt;D$62,(B69-D$62)/100*D$64&gt;0),(B69-D$62)/100*D$64+D$62, 0))</f>
        <v/>
      </c>
      <c r="D69" s="236">
        <f>D68</f>
        <v/>
      </c>
      <c r="E69" s="654" t="inlineStr">
        <is>
          <t>TOL</t>
        </is>
      </c>
      <c r="F69" s="633">
        <f>'Casing Review'!B69</f>
        <v/>
      </c>
      <c r="G69" s="633" t="n"/>
      <c r="H69" s="201">
        <f>IF('Casing Review'!E$9="n",'Casing Review'!B69,IF('Casing Review'!$E$7="N",VLOOKUP(DxSurvey!F69,DxSurvey!B$16:H$53,7,FALSE),IF(AND(F69&gt;F$72,F69&lt;F$70),F$72+N$57*SIN(RADIANS((F69-F$72)/100*D$58)),IF(AND(F69&gt;F$70,F69&lt;F$73),F$72+N$57*SIN(RADIANS(D$60))+COS(RADIANS(D$60))*(F69-F$70),IF(AND(F69&gt;F$73,F69&lt;F$71),F$72+N$57*SIN(RADIANS(D$60))+COS(RADIANS(D$60))*(F$73-F$70)+SIN(RADIANS((F69-F$73)/100*D$64)),IF(F69&gt;F$71,F$72+N$57*SIN(RADIANS(D$60))+COS(RADIANS(D$60))*(F$73-F$70)+#REF!*SIN(RADIANS(D$60))+F69-F$71,F69))))))</f>
        <v/>
      </c>
    </row>
    <row r="70">
      <c r="B70" s="236">
        <f>F60</f>
        <v/>
      </c>
      <c r="C70" s="236">
        <f>IF(AND(B70&gt;D$57,B70&lt;D$62),IF((B70-D$57)/100*D$58&lt;D$60,(B70-D$57)/100*D$58,D$60),IF(AND(B70&gt;D$62,(B70-D$62)/100*D$64&gt;0),(B70-D$62)/100*D$64+D$62, 0))</f>
        <v/>
      </c>
      <c r="D70" s="236" t="n">
        <v>0.31</v>
      </c>
      <c r="E70" s="236" t="inlineStr">
        <is>
          <t>D2</t>
        </is>
      </c>
      <c r="F70" s="236">
        <f>D60/D58*100+D57</f>
        <v/>
      </c>
      <c r="G70" s="236" t="inlineStr">
        <is>
          <t xml:space="preserve"> </t>
        </is>
      </c>
      <c r="H70" s="236">
        <f>F$72+N$57*SIN(RADIANS(D60))</f>
        <v/>
      </c>
    </row>
    <row r="71">
      <c r="B71" s="236" t="n"/>
      <c r="C71" s="236" t="n"/>
      <c r="D71" s="236" t="n"/>
      <c r="E71" s="236" t="inlineStr">
        <is>
          <t>D4</t>
        </is>
      </c>
      <c r="F71" s="236">
        <f>IF(D64&gt;0,D60/D64*100+D62, 0)</f>
        <v/>
      </c>
      <c r="G71" s="236" t="inlineStr">
        <is>
          <t xml:space="preserve"> </t>
        </is>
      </c>
      <c r="H71" s="236">
        <f>F$72+N$57*SIN(RADIANS(D$60))+COS(RADIANS(D$60))*(F$73-F$70)+#REF!*SIN(RADIANS(D$60))</f>
        <v/>
      </c>
    </row>
    <row r="72">
      <c r="B72" s="236" t="n"/>
      <c r="C72" s="236" t="n"/>
      <c r="D72" s="236" t="n"/>
      <c r="E72" s="236" t="inlineStr">
        <is>
          <t>D1</t>
        </is>
      </c>
      <c r="F72" s="236">
        <f>D57</f>
        <v/>
      </c>
      <c r="G72" s="236" t="inlineStr">
        <is>
          <t xml:space="preserve"> </t>
        </is>
      </c>
      <c r="H72" s="236">
        <f>IF(AND(F72&gt;F$72,F72&lt;F$70),F$72+N$57*SIN(RADIANS((F72-F$72)/100*D$58)),IF(AND(F72&gt;F$70,F72&lt;F$73),F$72+N$57*SIN(RADIANS(D$60)),IF(AND(F72&gt;F$73,F72&lt;F$71),F$72+N$57*SIN(RADIANS(D$60))+COS(RADIANS((F72-F$73)/N61))+SIN(RADIANS((F72-F$73)/100*D$64)),IF(F72&gt;F$71,F$72+N$57*SIN(RADIANS(D$60))+N$57*(COS(RADIANS((F72-F$73)/N$57)))+#REF!*(SIN(RADIANS((F72-F$73)/100*D$64)))+F72-F$71,F72))))</f>
        <v/>
      </c>
    </row>
    <row r="73">
      <c r="B73" s="236" t="n"/>
      <c r="C73" s="236" t="n"/>
      <c r="D73" s="236" t="n"/>
      <c r="E73" s="236" t="inlineStr">
        <is>
          <t>D3</t>
        </is>
      </c>
      <c r="F73" s="236">
        <f>D62</f>
        <v/>
      </c>
      <c r="G73" s="236" t="n"/>
      <c r="H73" s="236">
        <f>F$72+N$57*SIN(RADIANS(D60))+COS(RADIANS(D$60))*(F73-F$70)</f>
        <v/>
      </c>
    </row>
    <row r="74">
      <c r="B74" s="236" t="n"/>
      <c r="C74" s="236" t="n"/>
      <c r="D74" s="236" t="n"/>
      <c r="E74" s="236" t="n"/>
      <c r="F74" s="236" t="n"/>
      <c r="G74" s="236" t="n"/>
      <c r="H74" s="236">
        <f>IF(AND(F74&gt;F$72,F74&lt;F$70),F$72+N$57*SIN(RADIANS((F74-F$72)/100*D$58)),IF(AND(F74&gt;F$70,F74&lt;F$73),F$72+N$57*SIN(RADIANS(D$60))+COS(RADIANS(D$60))*(F74-F$70),IF(AND(F74&gt;F$73,F74&lt;F$71),F$72+N$57*SIN(RADIANS(D$60))+COS(RADIANS(D$60))*(F$73-F$70)+SIN(RADIANS((F74-F$73)/100*D$64)),IF(F74&gt;F$71,F$72+N$57*SIN(RADIANS(D$60))+COS(RADIANS(D$60))*(F$73-F$70)+#REF!*SIN(RADIANS(D$60))+F74-F$71,F74))))</f>
        <v/>
      </c>
    </row>
    <row r="75">
      <c r="B75" s="236">
        <f>F66</f>
        <v/>
      </c>
      <c r="C75" s="236">
        <f>IF(AND(B75&gt;D$57,B75&lt;D$62),IF((B75-D$57)/100*D$58&lt;D$60,(B75-D$57)/100*D$58,D$60),IF(AND(B75&gt;D$62,(B75-D$62)/100*D$64&gt;0),(B75-D$62)/100*D$64+D$62, 0))</f>
        <v/>
      </c>
      <c r="D75" s="236" t="n">
        <v>0.31</v>
      </c>
      <c r="E75" s="236" t="n"/>
      <c r="F75" s="236" t="n"/>
      <c r="G75" s="236" t="n"/>
      <c r="H75" s="236" t="n"/>
    </row>
    <row r="78">
      <c r="G78" t="n">
        <v>4.5</v>
      </c>
    </row>
  </sheetData>
  <mergeCells count="8">
    <mergeCell ref="B45:E45"/>
    <mergeCell ref="A10:B10"/>
    <mergeCell ref="U49:V49"/>
    <mergeCell ref="I5:J5"/>
    <mergeCell ref="Q49:R49"/>
    <mergeCell ref="A9:B9"/>
    <mergeCell ref="A8:B8"/>
    <mergeCell ref="U45:V45"/>
  </mergeCells>
  <pageMargins left="0.7" right="0.7" top="0.75" bottom="0.75" header="0.3" footer="0.3"/>
  <pageSetup orientation="portrait" paperSize="3" scale="56" verticalDpi="1200"/>
</worksheet>
</file>

<file path=xl/worksheets/sheet4.xml><?xml version="1.0" encoding="utf-8"?>
<worksheet xmlns="http://schemas.openxmlformats.org/spreadsheetml/2006/main">
  <sheetPr codeName="Sheet4">
    <outlinePr summaryBelow="1" summaryRight="1"/>
    <pageSetUpPr/>
  </sheetPr>
  <dimension ref="A1:CP219"/>
  <sheetViews>
    <sheetView tabSelected="1" topLeftCell="BE74" zoomScaleNormal="100" zoomScaleSheetLayoutView="90" workbookViewId="0">
      <selection activeCell="BX91" sqref="BX91"/>
    </sheetView>
  </sheetViews>
  <sheetFormatPr baseColWidth="8" defaultRowHeight="14.4"/>
  <cols>
    <col width="12.88671875" customWidth="1" style="613" min="1" max="1"/>
    <col width="7.44140625" customWidth="1" style="613" min="2" max="2"/>
    <col width="10.44140625" customWidth="1" style="613" min="3" max="3"/>
    <col width="11.5546875" customWidth="1" style="613" min="4" max="4"/>
    <col width="2.6640625" customWidth="1" style="613" min="6" max="16"/>
    <col width="4.33203125" customWidth="1" style="613" min="17" max="17"/>
    <col width="15.33203125" customWidth="1" style="613" min="18" max="18"/>
    <col width="10" customWidth="1" style="613" min="25" max="25"/>
    <col width="12.44140625" customWidth="1" style="613" min="26" max="26"/>
    <col width="10.33203125" customWidth="1" style="613" min="27" max="27"/>
    <col width="20.6640625" customWidth="1" style="613" min="28" max="28"/>
    <col width="2.6640625" customWidth="1" style="613" min="32" max="42"/>
    <col width="35.6640625" customWidth="1" style="613" min="43" max="43"/>
    <col width="10.5546875" bestFit="1" customWidth="1" style="613" min="44" max="44"/>
    <col width="3.33203125" bestFit="1" customWidth="1" style="613" min="49" max="49"/>
    <col width="2.6640625" customWidth="1" style="613" min="50" max="58"/>
    <col width="35.6640625" customWidth="1" style="613" min="59" max="59"/>
    <col width="6.88671875" customWidth="1" style="613" min="61" max="61"/>
    <col width="6" bestFit="1" customWidth="1" style="613" min="62" max="62"/>
    <col width="3.33203125" bestFit="1" customWidth="1" style="613" min="66" max="66"/>
    <col width="2.6640625" customWidth="1" style="613" min="67" max="75"/>
    <col width="35.6640625" customWidth="1" style="613" min="76" max="76"/>
    <col width="6.5546875" customWidth="1" style="613" min="78" max="78"/>
    <col width="6" bestFit="1" customWidth="1" style="613" min="79" max="79"/>
    <col width="2.6640625" customWidth="1" style="613" min="83" max="92"/>
    <col width="35.6640625" customWidth="1" style="613" min="93" max="93"/>
  </cols>
  <sheetData>
    <row r="1">
      <c r="A1" s="64" t="n"/>
      <c r="B1" s="64" t="n"/>
      <c r="C1" s="64" t="n"/>
      <c r="D1" s="34" t="n"/>
      <c r="E1" s="64" t="n"/>
      <c r="F1" s="64" t="n"/>
      <c r="G1" s="64" t="n"/>
      <c r="H1" s="64" t="n"/>
      <c r="I1" s="64" t="n"/>
      <c r="J1" s="64" t="n"/>
      <c r="K1" s="166" t="n"/>
      <c r="L1" s="64" t="n"/>
      <c r="M1" s="64" t="n"/>
      <c r="N1" s="64" t="n"/>
      <c r="O1" s="64" t="n"/>
      <c r="P1" s="64" t="n"/>
      <c r="Q1" s="64" t="n"/>
      <c r="R1" s="64" t="n"/>
      <c r="S1" s="64" t="n"/>
      <c r="T1" s="64" t="n"/>
      <c r="U1" s="64" t="n"/>
      <c r="V1" s="64" t="n"/>
      <c r="W1" s="64" t="n"/>
      <c r="X1" s="64" t="n"/>
      <c r="Y1" s="64" t="n"/>
      <c r="Z1" s="64" t="n"/>
      <c r="AA1" s="64" t="n"/>
      <c r="AB1" s="35" t="n"/>
      <c r="AC1" s="64" t="n"/>
      <c r="AD1" s="64" t="n"/>
      <c r="AE1" s="64" t="n"/>
      <c r="AF1" s="64" t="n"/>
      <c r="AG1" s="64" t="n"/>
      <c r="AH1" s="64" t="n"/>
      <c r="AI1" s="64" t="n"/>
      <c r="AJ1" s="64" t="n"/>
      <c r="AK1" s="34" t="n"/>
      <c r="AL1" s="166" t="n"/>
      <c r="AM1" s="64" t="n"/>
      <c r="AN1" s="64" t="n"/>
      <c r="AO1" s="64" t="n"/>
      <c r="AP1" s="64" t="n"/>
      <c r="AQ1" s="64" t="n"/>
    </row>
    <row r="2">
      <c r="A2" s="64" t="n"/>
      <c r="B2" s="64" t="n"/>
      <c r="C2" s="64" t="n"/>
      <c r="D2" s="34" t="n"/>
      <c r="E2" s="64" t="n"/>
      <c r="F2" s="64" t="n"/>
      <c r="G2" s="64" t="n"/>
      <c r="H2" s="64" t="n"/>
      <c r="I2" s="64" t="n"/>
      <c r="J2" s="64" t="n"/>
      <c r="K2" s="31" t="n"/>
      <c r="L2" s="64" t="n"/>
      <c r="M2" s="64" t="n"/>
      <c r="N2" s="64" t="n"/>
      <c r="O2" s="64" t="n"/>
      <c r="P2" s="64" t="n"/>
      <c r="Q2" s="64" t="n"/>
      <c r="R2" s="64" t="n"/>
      <c r="S2" s="64" t="n"/>
      <c r="T2" s="64" t="n"/>
      <c r="U2" s="64" t="n"/>
      <c r="V2" s="64" t="n"/>
      <c r="W2" s="64" t="n"/>
      <c r="X2" s="64" t="n"/>
      <c r="Y2" s="64" t="n"/>
      <c r="Z2" s="64" t="n"/>
      <c r="AA2" s="64" t="n"/>
      <c r="AB2" s="35" t="n"/>
      <c r="AC2" s="64" t="n"/>
      <c r="AD2" s="64" t="n"/>
      <c r="AE2" s="64" t="n"/>
      <c r="AF2" s="64" t="n"/>
      <c r="AG2" s="64" t="n"/>
      <c r="AH2" s="64" t="n"/>
      <c r="AI2" s="64" t="n"/>
      <c r="AJ2" s="64" t="n"/>
      <c r="AK2" s="34" t="n"/>
      <c r="AL2" s="31" t="n"/>
      <c r="AM2" s="64" t="n"/>
      <c r="AN2" s="64" t="n"/>
      <c r="AO2" s="64" t="n"/>
      <c r="AP2" s="64" t="n"/>
      <c r="AQ2" s="64" t="n"/>
    </row>
    <row r="3">
      <c r="A3" s="64" t="n"/>
      <c r="B3" s="64" t="n"/>
      <c r="C3" s="64" t="n"/>
      <c r="D3" s="34" t="n"/>
      <c r="E3" s="64" t="n"/>
      <c r="F3" s="64" t="n"/>
      <c r="G3" s="64" t="n"/>
      <c r="H3" s="64" t="n"/>
      <c r="I3" s="64" t="n"/>
      <c r="J3" s="64" t="n"/>
      <c r="K3" s="31" t="n"/>
      <c r="L3" s="64" t="n"/>
      <c r="M3" s="64" t="n"/>
      <c r="N3" s="64" t="n"/>
      <c r="O3" s="64" t="n"/>
      <c r="P3" s="64" t="n"/>
      <c r="Q3" s="64" t="n"/>
      <c r="R3" s="64" t="n"/>
      <c r="S3" s="64" t="n"/>
      <c r="T3" s="64" t="n"/>
      <c r="U3" s="64" t="n"/>
      <c r="V3" s="64" t="n"/>
      <c r="W3" s="64" t="n"/>
      <c r="X3" s="64" t="n"/>
      <c r="Y3" s="64" t="n"/>
      <c r="Z3" s="64" t="n"/>
      <c r="AA3" s="64" t="n"/>
      <c r="AB3" s="39" t="n"/>
      <c r="AC3" s="64" t="n"/>
      <c r="AD3" s="64" t="n"/>
      <c r="AE3" s="64" t="n"/>
      <c r="AF3" s="64" t="n"/>
      <c r="AG3" s="64" t="n"/>
      <c r="AH3" s="64" t="n"/>
      <c r="AI3" s="64" t="n"/>
      <c r="AJ3" s="64" t="n"/>
      <c r="AK3" s="34" t="n"/>
      <c r="AL3" s="31" t="n"/>
      <c r="AM3" s="64" t="n"/>
      <c r="AN3" s="64" t="n"/>
      <c r="AO3" s="64" t="n"/>
      <c r="AP3" s="64" t="n"/>
      <c r="AQ3" s="64" t="n"/>
    </row>
    <row r="4">
      <c r="A4" s="167" t="n"/>
      <c r="B4" s="168" t="n"/>
      <c r="C4" s="42" t="n"/>
      <c r="D4" s="43" t="n"/>
      <c r="E4" s="43" t="n"/>
      <c r="F4" s="64" t="n"/>
      <c r="G4" s="43" t="n"/>
      <c r="H4" s="64" t="n"/>
      <c r="I4" s="64" t="n"/>
      <c r="J4" s="64" t="n"/>
      <c r="K4" s="64" t="n"/>
      <c r="L4" s="64" t="n"/>
      <c r="M4" s="44" t="n"/>
      <c r="N4" s="45" t="n"/>
      <c r="O4" s="64" t="n"/>
      <c r="P4" s="64" t="n"/>
      <c r="Q4" s="44" t="n"/>
      <c r="R4" s="45" t="n"/>
      <c r="S4" s="64" t="n"/>
      <c r="T4" s="46" t="n"/>
      <c r="U4" s="64" t="n"/>
      <c r="V4" s="64" t="n"/>
      <c r="W4" s="64" t="n"/>
      <c r="X4" s="64" t="n"/>
      <c r="Y4" s="64" t="n"/>
      <c r="Z4" s="64" t="n"/>
      <c r="AA4" s="169" t="n"/>
      <c r="AB4" s="39" t="n"/>
      <c r="AC4" s="64" t="n"/>
      <c r="AD4" s="64" t="n"/>
      <c r="AE4" s="64" t="n"/>
      <c r="AF4" s="64" t="n"/>
      <c r="AG4" s="43" t="n"/>
      <c r="AH4" s="64" t="n"/>
      <c r="AI4" s="64" t="n"/>
      <c r="AJ4" s="64" t="n"/>
      <c r="AK4" s="64" t="n"/>
      <c r="AL4" s="64" t="n"/>
      <c r="AM4" s="44" t="n"/>
      <c r="AN4" s="45" t="n"/>
      <c r="AO4" s="64" t="n"/>
      <c r="AP4" s="64" t="n"/>
      <c r="AQ4" s="64" t="n"/>
    </row>
    <row r="5">
      <c r="A5" s="35" t="n"/>
      <c r="B5" s="65" t="n"/>
      <c r="C5" s="64" t="n"/>
      <c r="D5" s="39" t="n"/>
      <c r="E5" s="39" t="n"/>
      <c r="F5" s="47" t="n"/>
      <c r="G5" s="47" t="n"/>
      <c r="H5" s="64" t="n"/>
      <c r="I5" s="64" t="n"/>
      <c r="J5" s="64" t="n"/>
      <c r="K5" s="64" t="n"/>
      <c r="L5" s="64" t="n"/>
      <c r="M5" s="44" t="n"/>
      <c r="N5" s="64" t="n"/>
      <c r="O5" s="47" t="n"/>
      <c r="P5" s="47" t="n"/>
      <c r="Q5" s="64" t="n"/>
      <c r="R5" s="35" t="n"/>
      <c r="S5" s="36" t="n"/>
      <c r="T5" s="64" t="n"/>
      <c r="U5" s="64" t="n"/>
      <c r="V5" s="64" t="n"/>
      <c r="W5" s="64" t="n"/>
      <c r="X5" s="64" t="n"/>
      <c r="Y5" s="64" t="n"/>
      <c r="Z5" s="64" t="n"/>
      <c r="AA5" s="64" t="n"/>
      <c r="AB5" s="109" t="n"/>
      <c r="AC5" s="64" t="n"/>
      <c r="AD5" s="64" t="n"/>
      <c r="AE5" s="64" t="n"/>
      <c r="AF5" s="47" t="n"/>
      <c r="AG5" s="47" t="n"/>
      <c r="AH5" s="64" t="n"/>
      <c r="AI5" s="64" t="n"/>
      <c r="AJ5" s="64" t="n"/>
      <c r="AK5" s="64" t="n"/>
      <c r="AL5" s="64" t="n"/>
      <c r="AM5" s="64" t="n"/>
      <c r="AN5" s="64" t="n"/>
      <c r="AO5" s="47" t="n"/>
      <c r="AP5" s="47" t="n"/>
      <c r="AQ5" s="64" t="n"/>
    </row>
    <row r="6">
      <c r="A6" s="64" t="n"/>
      <c r="B6" s="48" t="n"/>
      <c r="C6" s="64" t="n"/>
      <c r="D6" s="64" t="n"/>
      <c r="E6" s="64" t="n"/>
      <c r="F6" s="47" t="n"/>
      <c r="G6" s="47" t="n"/>
      <c r="H6" s="64" t="n"/>
      <c r="I6" s="64" t="n"/>
      <c r="J6" s="64" t="n"/>
      <c r="K6" s="64" t="n"/>
      <c r="L6" s="64" t="n"/>
      <c r="M6" s="44" t="n"/>
      <c r="N6" s="64" t="n"/>
      <c r="O6" s="47" t="n"/>
      <c r="P6" s="47" t="n"/>
      <c r="Q6" s="64" t="n"/>
      <c r="R6" s="35" t="n"/>
      <c r="S6" s="36" t="n"/>
      <c r="T6" s="64" t="n"/>
      <c r="U6" s="64" t="n"/>
      <c r="V6" s="64" t="n"/>
      <c r="W6" s="64" t="n"/>
      <c r="X6" s="64" t="n"/>
      <c r="Y6" s="64" t="n"/>
      <c r="Z6" s="64" t="n"/>
      <c r="AA6" s="64" t="n"/>
      <c r="AB6" s="170" t="n"/>
      <c r="AC6" s="64" t="n"/>
      <c r="AD6" s="64" t="n"/>
      <c r="AE6" s="64" t="n"/>
      <c r="AF6" s="47" t="n"/>
      <c r="AG6" s="47" t="n"/>
      <c r="AH6" s="64" t="n"/>
      <c r="AI6" s="64" t="n"/>
      <c r="AJ6" s="64" t="n"/>
      <c r="AK6" s="64" t="n"/>
      <c r="AL6" s="64" t="n"/>
      <c r="AM6" s="64" t="n"/>
      <c r="AN6" s="64" t="n"/>
      <c r="AO6" s="47" t="n"/>
      <c r="AP6" s="47" t="n"/>
      <c r="AQ6" s="64" t="n"/>
    </row>
    <row r="7">
      <c r="A7" s="64" t="n"/>
      <c r="B7" s="171" t="n"/>
      <c r="C7" s="64" t="n"/>
      <c r="D7" s="43" t="n"/>
      <c r="E7" s="43" t="n"/>
      <c r="F7" s="47" t="n"/>
      <c r="G7" s="47" t="n"/>
      <c r="H7" s="64" t="n"/>
      <c r="I7" s="64" t="n"/>
      <c r="J7" s="64" t="n"/>
      <c r="K7" s="64" t="n"/>
      <c r="L7" s="64" t="n"/>
      <c r="M7" s="44" t="n"/>
      <c r="N7" s="64" t="n"/>
      <c r="O7" s="47" t="n"/>
      <c r="P7" s="47" t="n"/>
      <c r="Q7" s="64" t="n"/>
      <c r="R7" s="35" t="n"/>
      <c r="S7" s="36" t="n"/>
      <c r="T7" s="64" t="n"/>
      <c r="U7" s="64" t="n"/>
      <c r="V7" s="64" t="n"/>
      <c r="W7" s="64" t="n"/>
      <c r="X7" s="64" t="n"/>
      <c r="Y7" s="64" t="n"/>
      <c r="Z7" s="64" t="n"/>
      <c r="AA7" s="64" t="n"/>
      <c r="AB7" s="109" t="n"/>
      <c r="AC7" s="64" t="n"/>
      <c r="AD7" s="64" t="n"/>
      <c r="AE7" s="43" t="n"/>
      <c r="AF7" s="47" t="n"/>
      <c r="AG7" s="47" t="n"/>
      <c r="AH7" s="64" t="n"/>
      <c r="AI7" s="64" t="n"/>
      <c r="AJ7" s="64" t="n"/>
      <c r="AK7" s="64" t="n"/>
      <c r="AL7" s="64" t="n"/>
      <c r="AM7" s="64" t="n"/>
      <c r="AN7" s="64" t="n"/>
      <c r="AO7" s="47" t="n"/>
      <c r="AP7" s="47" t="n"/>
      <c r="AQ7" s="64" t="n"/>
    </row>
    <row r="8">
      <c r="A8" s="167" t="n"/>
      <c r="B8" s="168" t="n"/>
      <c r="C8" s="64" t="n"/>
      <c r="D8" s="49" t="n"/>
      <c r="E8" s="64" t="n"/>
      <c r="F8" s="64" t="n"/>
      <c r="G8" s="47" t="n"/>
      <c r="H8" s="64" t="n"/>
      <c r="I8" s="64" t="n"/>
      <c r="J8" s="64" t="n"/>
      <c r="K8" s="64" t="n"/>
      <c r="L8" s="64" t="n"/>
      <c r="M8" s="44" t="n"/>
      <c r="N8" s="64" t="n"/>
      <c r="O8" s="47" t="n"/>
      <c r="P8" s="64" t="n"/>
      <c r="Q8" s="64" t="n"/>
      <c r="R8" s="35" t="n"/>
      <c r="S8" s="36" t="n"/>
      <c r="T8" s="64" t="n"/>
      <c r="U8" s="64" t="n"/>
      <c r="V8" s="64" t="n"/>
      <c r="W8" s="64" t="n"/>
      <c r="X8" s="64" t="n"/>
      <c r="Y8" s="64" t="n"/>
      <c r="Z8" s="64" t="n"/>
      <c r="AA8" s="64" t="n"/>
      <c r="AB8" s="109" t="n"/>
      <c r="AC8" s="64" t="n"/>
      <c r="AD8" s="64" t="n"/>
      <c r="AE8" s="64" t="n"/>
      <c r="AF8" s="64" t="n"/>
      <c r="AG8" s="47" t="n"/>
      <c r="AH8" s="64" t="n"/>
      <c r="AI8" s="64" t="n"/>
      <c r="AJ8" s="64" t="n"/>
      <c r="AK8" s="64" t="n"/>
      <c r="AL8" s="64" t="n"/>
      <c r="AM8" s="64" t="n"/>
      <c r="AN8" s="64" t="n"/>
      <c r="AO8" s="47" t="n"/>
      <c r="AP8" s="64" t="n"/>
      <c r="AQ8" s="64" t="n"/>
    </row>
    <row r="9">
      <c r="A9" s="35" t="n"/>
      <c r="B9" s="65" t="n"/>
      <c r="C9" s="65" t="n"/>
      <c r="D9" s="50" t="n"/>
      <c r="E9" s="64" t="n"/>
      <c r="F9" s="64" t="n"/>
      <c r="G9" s="47" t="n"/>
      <c r="H9" s="64" t="n"/>
      <c r="I9" s="64" t="n"/>
      <c r="J9" s="64" t="n"/>
      <c r="K9" s="64" t="n"/>
      <c r="L9" s="64" t="n"/>
      <c r="M9" s="44" t="n"/>
      <c r="N9" s="64" t="n"/>
      <c r="O9" s="47" t="n"/>
      <c r="P9" s="64" t="n"/>
      <c r="Q9" s="64" t="n"/>
      <c r="R9" s="51" t="n"/>
      <c r="S9" s="53" t="n"/>
      <c r="T9" s="64" t="n"/>
      <c r="U9" s="64" t="n"/>
      <c r="V9" s="64" t="n"/>
      <c r="W9" s="64" t="n"/>
      <c r="X9" s="64" t="n"/>
      <c r="Y9" s="64" t="n"/>
      <c r="Z9" s="64" t="n"/>
      <c r="AA9" s="64" t="n"/>
      <c r="AB9" s="39" t="n"/>
      <c r="AC9" s="64" t="n"/>
      <c r="AD9" s="64" t="n"/>
      <c r="AE9" s="64" t="n"/>
      <c r="AF9" s="64" t="n"/>
      <c r="AG9" s="47" t="n"/>
      <c r="AH9" s="64" t="n"/>
      <c r="AI9" s="64" t="n"/>
      <c r="AJ9" s="64" t="n"/>
      <c r="AK9" s="64" t="n"/>
      <c r="AL9" s="64" t="n"/>
      <c r="AM9" s="64" t="n"/>
      <c r="AN9" s="64" t="n"/>
      <c r="AO9" s="47" t="n"/>
      <c r="AP9" s="64" t="n"/>
      <c r="AQ9" s="64" t="n"/>
    </row>
    <row r="10">
      <c r="A10" s="64" t="n"/>
      <c r="B10" s="64" t="n"/>
      <c r="C10" s="64" t="n"/>
      <c r="D10" s="34" t="n"/>
      <c r="E10" s="268" t="n"/>
      <c r="F10" s="64" t="n"/>
      <c r="G10" s="47" t="n"/>
      <c r="H10" s="47" t="n"/>
      <c r="I10" s="64" t="n"/>
      <c r="J10" s="64" t="n"/>
      <c r="K10" s="64" t="n"/>
      <c r="L10" s="64" t="n"/>
      <c r="M10" s="44" t="n"/>
      <c r="N10" s="47" t="n"/>
      <c r="O10" s="47" t="n"/>
      <c r="P10" s="64" t="n"/>
      <c r="Q10" s="64" t="n"/>
      <c r="R10" s="52" t="n"/>
      <c r="S10" s="53" t="n"/>
      <c r="T10" s="64" t="n"/>
      <c r="U10" s="64" t="n"/>
      <c r="V10" s="64" t="n"/>
      <c r="W10" s="64" t="n"/>
      <c r="X10" s="64" t="n"/>
      <c r="Y10" s="64" t="n"/>
      <c r="Z10" s="64" t="n"/>
      <c r="AA10" s="64" t="n"/>
      <c r="AB10" s="39" t="n"/>
      <c r="AC10" s="64" t="n"/>
      <c r="AD10" s="64" t="n"/>
      <c r="AE10" s="64" t="n"/>
      <c r="AF10" s="64" t="n"/>
      <c r="AG10" s="47" t="n"/>
      <c r="AH10" s="64" t="n"/>
      <c r="AI10" s="64" t="n"/>
      <c r="AJ10" s="64" t="n"/>
      <c r="AK10" s="64" t="n"/>
      <c r="AL10" s="64" t="n"/>
      <c r="AM10" s="64" t="n"/>
      <c r="AN10" s="64" t="n"/>
      <c r="AO10" s="47" t="n"/>
      <c r="AP10" s="64" t="n"/>
      <c r="AQ10" s="64" t="n"/>
    </row>
    <row r="11">
      <c r="A11" s="64" t="n"/>
      <c r="B11" s="64" t="n"/>
      <c r="C11" s="54" t="n"/>
      <c r="D11" s="55" t="n"/>
      <c r="E11" s="64" t="n"/>
      <c r="F11" s="64" t="n"/>
      <c r="G11" s="47" t="n"/>
      <c r="H11" s="47" t="n"/>
      <c r="I11" s="64" t="n"/>
      <c r="J11" s="64" t="n"/>
      <c r="K11" s="64" t="n"/>
      <c r="L11" s="64" t="n"/>
      <c r="M11" s="44" t="n"/>
      <c r="N11" s="47" t="n"/>
      <c r="O11" s="47" t="n"/>
      <c r="P11" s="64" t="n"/>
      <c r="Q11" s="64" t="n"/>
      <c r="R11" s="51" t="n"/>
      <c r="S11" s="53" t="n"/>
      <c r="T11" s="64" t="n"/>
      <c r="U11" s="64" t="n"/>
      <c r="V11" s="64" t="n"/>
      <c r="W11" s="64" t="n"/>
      <c r="X11" s="64" t="n"/>
      <c r="Y11" s="64" t="n"/>
      <c r="Z11" s="64" t="n"/>
      <c r="AA11" s="64" t="n"/>
      <c r="AB11" s="39" t="n"/>
      <c r="AC11" s="64" t="n"/>
      <c r="AD11" s="64" t="n"/>
      <c r="AE11" s="64" t="n"/>
      <c r="AF11" s="64" t="n"/>
      <c r="AG11" s="47" t="n"/>
      <c r="AH11" s="64" t="n"/>
      <c r="AI11" s="64" t="n"/>
      <c r="AJ11" s="64" t="n"/>
      <c r="AK11" s="64" t="n"/>
      <c r="AL11" s="64" t="n"/>
      <c r="AM11" s="64" t="n"/>
      <c r="AN11" s="64" t="n"/>
      <c r="AO11" s="47" t="n"/>
      <c r="AP11" s="64" t="n"/>
      <c r="AQ11" s="64" t="n"/>
    </row>
    <row r="12">
      <c r="A12" s="64" t="n"/>
      <c r="B12" s="64" t="n"/>
      <c r="C12" s="64" t="n"/>
      <c r="D12" s="34" t="n"/>
      <c r="E12" s="64" t="n"/>
      <c r="F12" s="64" t="n"/>
      <c r="G12" s="47" t="n"/>
      <c r="H12" s="47" t="n"/>
      <c r="I12" s="64" t="n"/>
      <c r="J12" s="64" t="n"/>
      <c r="K12" s="32" t="n"/>
      <c r="L12" s="64" t="n"/>
      <c r="M12" s="44" t="n"/>
      <c r="N12" s="47" t="n"/>
      <c r="O12" s="47" t="n"/>
      <c r="P12" s="64" t="n"/>
      <c r="Q12" s="64" t="n"/>
      <c r="R12" s="56" t="n"/>
      <c r="S12" s="53" t="n"/>
      <c r="T12" s="64" t="n"/>
      <c r="U12" s="64" t="n"/>
      <c r="V12" s="64" t="n"/>
      <c r="W12" s="64" t="n"/>
      <c r="X12" s="64" t="n"/>
      <c r="Y12" s="64" t="n"/>
      <c r="Z12" s="64" t="n"/>
      <c r="AA12" s="64" t="n"/>
      <c r="AB12" s="39" t="n"/>
      <c r="AC12" s="64" t="n"/>
      <c r="AD12" s="64" t="n"/>
      <c r="AE12" s="64" t="n"/>
      <c r="AF12" s="64" t="n"/>
      <c r="AG12" s="47" t="n"/>
      <c r="AH12" s="64" t="n"/>
      <c r="AI12" s="64" t="n"/>
      <c r="AJ12" s="64" t="n"/>
      <c r="AK12" s="64" t="n"/>
      <c r="AL12" s="64" t="n"/>
      <c r="AM12" s="64" t="n"/>
      <c r="AN12" s="64" t="n"/>
      <c r="AO12" s="47" t="n"/>
      <c r="AP12" s="64" t="n"/>
      <c r="AQ12" s="64" t="n"/>
    </row>
    <row r="13">
      <c r="A13" s="64" t="n"/>
      <c r="B13" s="57" t="n"/>
      <c r="C13" s="64" t="n"/>
      <c r="D13" s="34" t="n"/>
      <c r="E13" s="270" t="n"/>
      <c r="F13" s="64" t="n"/>
      <c r="G13" s="47" t="n"/>
      <c r="H13" s="47" t="n"/>
      <c r="I13" s="64" t="n"/>
      <c r="J13" s="64" t="n"/>
      <c r="K13" s="32" t="n"/>
      <c r="L13" s="64" t="n"/>
      <c r="M13" s="44" t="n"/>
      <c r="N13" s="47" t="n"/>
      <c r="O13" s="47" t="n"/>
      <c r="P13" s="64" t="n"/>
      <c r="Q13" s="64" t="n"/>
      <c r="R13" s="51" t="n"/>
      <c r="S13" s="53" t="n"/>
      <c r="T13" s="64" t="n"/>
      <c r="U13" s="64" t="n"/>
      <c r="V13" s="64" t="n"/>
      <c r="W13" s="64" t="n"/>
      <c r="X13" s="64" t="n"/>
      <c r="Y13" s="64" t="n"/>
      <c r="Z13" s="64" t="n"/>
      <c r="AA13" s="64" t="n"/>
      <c r="AB13" s="39" t="n"/>
      <c r="AC13" s="64" t="n"/>
      <c r="AD13" s="64" t="n"/>
      <c r="AE13" s="64" t="n"/>
      <c r="AF13" s="64" t="n"/>
      <c r="AG13" s="47" t="n"/>
      <c r="AH13" s="64" t="n"/>
      <c r="AI13" s="64" t="n"/>
      <c r="AJ13" s="64" t="n"/>
      <c r="AK13" s="64" t="n"/>
      <c r="AL13" s="64" t="n"/>
      <c r="AM13" s="64" t="n"/>
      <c r="AN13" s="64" t="n"/>
      <c r="AO13" s="47" t="n"/>
      <c r="AP13" s="64" t="n"/>
      <c r="AQ13" s="64" t="n"/>
    </row>
    <row r="14">
      <c r="A14" s="64" t="n"/>
      <c r="B14" s="64" t="n"/>
      <c r="C14" s="64" t="n"/>
      <c r="D14" s="34" t="n"/>
      <c r="E14" s="268" t="n"/>
      <c r="F14" s="64" t="n"/>
      <c r="G14" s="47" t="n"/>
      <c r="H14" s="47" t="n"/>
      <c r="I14" s="64" t="n"/>
      <c r="J14" s="64" t="n"/>
      <c r="K14" s="64" t="n"/>
      <c r="L14" s="64" t="n"/>
      <c r="M14" s="44" t="n"/>
      <c r="N14" s="47" t="n"/>
      <c r="O14" s="47" t="n"/>
      <c r="P14" s="64" t="n"/>
      <c r="Q14" s="64" t="n"/>
      <c r="R14" s="82" t="n"/>
      <c r="S14" s="58" t="n"/>
      <c r="T14" s="64" t="n"/>
      <c r="U14" s="64" t="n"/>
      <c r="V14" s="64" t="n"/>
      <c r="W14" s="64" t="n"/>
      <c r="X14" s="64" t="n"/>
      <c r="Y14" s="64" t="n"/>
      <c r="Z14" s="64" t="n"/>
      <c r="AA14" s="64" t="n"/>
      <c r="AB14" s="39" t="n"/>
      <c r="AC14" s="64" t="n"/>
      <c r="AD14" s="64" t="n"/>
      <c r="AE14" s="64" t="n"/>
      <c r="AF14" s="64" t="n"/>
      <c r="AG14" s="47" t="n"/>
      <c r="AH14" s="64" t="n"/>
      <c r="AI14" s="64" t="n"/>
      <c r="AJ14" s="64" t="n"/>
      <c r="AK14" s="64" t="n"/>
      <c r="AL14" s="64" t="n"/>
      <c r="AM14" s="64" t="n"/>
      <c r="AN14" s="64" t="n"/>
      <c r="AO14" s="47" t="n"/>
      <c r="AP14" s="64" t="n"/>
      <c r="AQ14" s="64" t="n"/>
    </row>
    <row r="15">
      <c r="A15" s="64" t="n"/>
      <c r="B15" s="64" t="n"/>
      <c r="C15" s="64" t="n"/>
      <c r="D15" s="34" t="n"/>
      <c r="E15" s="64" t="n"/>
      <c r="F15" s="64" t="n"/>
      <c r="G15" s="47" t="n"/>
      <c r="H15" s="47" t="n"/>
      <c r="I15" s="64" t="n"/>
      <c r="J15" s="64" t="n"/>
      <c r="K15" s="64" t="n"/>
      <c r="L15" s="64" t="n"/>
      <c r="M15" s="44" t="n"/>
      <c r="N15" s="47" t="n"/>
      <c r="O15" s="47" t="n"/>
      <c r="P15" s="64" t="n"/>
      <c r="Q15" s="64" t="n"/>
      <c r="R15" s="82" t="n"/>
      <c r="S15" s="58" t="n"/>
      <c r="T15" s="64" t="n"/>
      <c r="U15" s="64" t="n"/>
      <c r="V15" s="64" t="n"/>
      <c r="W15" s="64" t="n"/>
      <c r="X15" s="64" t="n"/>
      <c r="Y15" s="64" t="n"/>
      <c r="Z15" s="64" t="n"/>
      <c r="AA15" s="64" t="n"/>
      <c r="AB15" s="39" t="n"/>
      <c r="AC15" s="64" t="n"/>
      <c r="AD15" s="64" t="n"/>
      <c r="AE15" s="64" t="n"/>
      <c r="AF15" s="64" t="n"/>
      <c r="AG15" s="47" t="n"/>
      <c r="AH15" s="64" t="n"/>
      <c r="AI15" s="64" t="n"/>
      <c r="AJ15" s="64" t="n"/>
      <c r="AK15" s="64" t="n"/>
      <c r="AL15" s="64" t="n"/>
      <c r="AM15" s="64" t="n"/>
      <c r="AN15" s="64" t="n"/>
      <c r="AO15" s="47" t="n"/>
      <c r="AP15" s="64" t="n"/>
      <c r="AQ15" s="64" t="n"/>
    </row>
    <row r="16">
      <c r="A16" s="64" t="n"/>
      <c r="B16" s="64" t="n"/>
      <c r="C16" s="64" t="n"/>
      <c r="D16" s="34" t="n"/>
      <c r="E16" s="39" t="n"/>
      <c r="F16" s="64" t="n"/>
      <c r="G16" s="61" t="n"/>
      <c r="H16" s="47" t="n"/>
      <c r="I16" s="64" t="n"/>
      <c r="J16" s="64" t="n"/>
      <c r="K16" s="64" t="n"/>
      <c r="L16" s="64" t="n"/>
      <c r="M16" s="44" t="n"/>
      <c r="N16" s="47" t="n"/>
      <c r="O16" s="61" t="n"/>
      <c r="P16" s="64" t="n"/>
      <c r="Q16" s="64" t="n"/>
      <c r="R16" s="33" t="n"/>
      <c r="S16" s="39" t="n"/>
      <c r="T16" s="64" t="n"/>
      <c r="U16" s="64" t="n"/>
      <c r="V16" s="64" t="n"/>
      <c r="W16" s="64" t="n"/>
      <c r="X16" s="64" t="n"/>
      <c r="Y16" s="64" t="n"/>
      <c r="Z16" s="59" t="n"/>
      <c r="AA16" s="64" t="n"/>
      <c r="AB16" s="39" t="n"/>
      <c r="AC16" s="64" t="n"/>
      <c r="AD16" s="64" t="n"/>
      <c r="AE16" s="64" t="n"/>
      <c r="AF16" s="64" t="n"/>
      <c r="AG16" s="47" t="n"/>
      <c r="AH16" s="64" t="n"/>
      <c r="AI16" s="64" t="n"/>
      <c r="AJ16" s="64" t="n"/>
      <c r="AK16" s="64" t="n"/>
      <c r="AL16" s="64" t="n"/>
      <c r="AM16" s="64" t="n"/>
      <c r="AN16" s="64" t="n"/>
      <c r="AO16" s="47" t="n"/>
      <c r="AP16" s="64" t="n"/>
      <c r="AQ16" s="64" t="n"/>
    </row>
    <row r="17">
      <c r="A17" s="178" t="n"/>
      <c r="B17" s="64" t="n"/>
      <c r="C17" s="64" t="n"/>
      <c r="D17" s="60" t="n"/>
      <c r="E17" s="268" t="n"/>
      <c r="F17" s="64" t="n"/>
      <c r="G17" s="61" t="n"/>
      <c r="H17" s="47" t="n"/>
      <c r="I17" s="64" t="n"/>
      <c r="J17" s="64" t="n"/>
      <c r="K17" s="64" t="n"/>
      <c r="L17" s="64" t="n"/>
      <c r="M17" s="44" t="n"/>
      <c r="N17" s="47" t="n"/>
      <c r="O17" s="61" t="n"/>
      <c r="P17" s="64" t="n"/>
      <c r="Q17" s="64" t="n"/>
      <c r="R17" s="64" t="n"/>
      <c r="S17" s="39" t="n"/>
      <c r="T17" s="64" t="n"/>
      <c r="U17" s="63" t="n"/>
      <c r="V17" s="63" t="n"/>
      <c r="W17" s="63" t="n"/>
      <c r="X17" s="63" t="n"/>
      <c r="Y17" s="63" t="n"/>
      <c r="Z17" s="63" t="n"/>
      <c r="AA17" s="64" t="n"/>
      <c r="AB17" s="39" t="n"/>
      <c r="AC17" s="64" t="n"/>
      <c r="AD17" s="64" t="n"/>
      <c r="AE17" s="64" t="n"/>
      <c r="AF17" s="64" t="n"/>
      <c r="AG17" s="61" t="n"/>
      <c r="AH17" s="64" t="n"/>
      <c r="AI17" s="64" t="n"/>
      <c r="AJ17" s="64" t="n"/>
      <c r="AK17" s="64" t="n"/>
      <c r="AL17" s="64" t="n"/>
      <c r="AM17" s="64" t="n"/>
      <c r="AN17" s="64" t="n"/>
      <c r="AO17" s="61" t="n"/>
      <c r="AP17" s="64" t="n"/>
      <c r="AQ17" s="64" t="n"/>
    </row>
    <row r="18">
      <c r="A18" s="178" t="n"/>
      <c r="B18" s="64" t="n"/>
      <c r="C18" s="64" t="n"/>
      <c r="D18" s="60" t="n"/>
      <c r="E18" s="64" t="n"/>
      <c r="F18" s="64" t="n"/>
      <c r="G18" s="61" t="n"/>
      <c r="H18" s="47" t="n"/>
      <c r="I18" s="64" t="n"/>
      <c r="J18" s="64" t="n"/>
      <c r="K18" s="64" t="n"/>
      <c r="L18" s="64" t="n"/>
      <c r="M18" s="44" t="n"/>
      <c r="N18" s="47" t="n"/>
      <c r="O18" s="61" t="n"/>
      <c r="P18" s="64" t="n"/>
      <c r="Q18" s="64" t="n"/>
      <c r="R18" s="64" t="n"/>
      <c r="S18" s="39" t="n"/>
      <c r="T18" s="64" t="n"/>
      <c r="U18" s="63" t="n"/>
      <c r="V18" s="63" t="n"/>
      <c r="W18" s="63" t="n"/>
      <c r="X18" s="63" t="n"/>
      <c r="Y18" s="63" t="n"/>
      <c r="Z18" s="63" t="n"/>
      <c r="AA18" s="64" t="n"/>
      <c r="AB18" s="39" t="n"/>
      <c r="AC18" s="64" t="n"/>
      <c r="AD18" s="64" t="n"/>
      <c r="AE18" s="64" t="n"/>
      <c r="AF18" s="64" t="n"/>
      <c r="AG18" s="61" t="n"/>
      <c r="AH18" s="64" t="n"/>
      <c r="AI18" s="64" t="n"/>
      <c r="AJ18" s="64" t="n"/>
      <c r="AK18" s="64" t="n"/>
      <c r="AL18" s="64" t="n"/>
      <c r="AM18" s="64" t="n"/>
      <c r="AN18" s="64" t="n"/>
      <c r="AO18" s="61" t="n"/>
      <c r="AP18" s="64" t="n"/>
      <c r="AQ18" s="64" t="n"/>
    </row>
    <row r="19">
      <c r="A19" s="64" t="n"/>
      <c r="B19" s="64" t="n"/>
      <c r="C19" s="64" t="n"/>
      <c r="D19" s="62" t="n"/>
      <c r="E19" s="268" t="n"/>
      <c r="F19" s="64" t="n"/>
      <c r="G19" s="61" t="n"/>
      <c r="H19" s="47" t="n"/>
      <c r="I19" s="64" t="n"/>
      <c r="J19" s="64" t="n"/>
      <c r="K19" s="64" t="n"/>
      <c r="L19" s="64" t="n"/>
      <c r="M19" s="44" t="n"/>
      <c r="N19" s="47" t="n"/>
      <c r="O19" s="61" t="n"/>
      <c r="P19" s="64" t="n"/>
      <c r="Q19" s="64" t="n"/>
      <c r="R19" s="64" t="n"/>
      <c r="S19" s="39" t="n"/>
      <c r="T19" s="64" t="n"/>
      <c r="U19" s="63" t="n"/>
      <c r="V19" s="63" t="n"/>
      <c r="W19" s="63" t="n"/>
      <c r="X19" s="63" t="n"/>
      <c r="Y19" s="63" t="n"/>
      <c r="Z19" s="63" t="n"/>
      <c r="AA19" s="64" t="n"/>
      <c r="AB19" s="39" t="n"/>
      <c r="AC19" s="64" t="n"/>
      <c r="AD19" s="64" t="n"/>
      <c r="AE19" s="64" t="n"/>
      <c r="AF19" s="64" t="n"/>
      <c r="AG19" s="61" t="n"/>
      <c r="AH19" s="64" t="n"/>
      <c r="AI19" s="64" t="n"/>
      <c r="AJ19" s="64" t="n"/>
      <c r="AK19" s="64" t="n"/>
      <c r="AL19" s="64" t="n"/>
      <c r="AM19" s="64" t="n"/>
      <c r="AN19" s="64" t="n"/>
      <c r="AO19" s="61" t="n"/>
      <c r="AP19" s="64" t="n"/>
      <c r="AQ19" s="64" t="n"/>
    </row>
    <row r="20">
      <c r="A20" s="64" t="n"/>
      <c r="B20" s="64" t="n"/>
      <c r="C20" s="172" t="n"/>
      <c r="D20" s="173" t="n"/>
      <c r="E20" s="173" t="n"/>
      <c r="F20" s="64" t="n"/>
      <c r="G20" s="61" t="n"/>
      <c r="H20" s="47" t="n"/>
      <c r="I20" s="64" t="n"/>
      <c r="J20" s="64" t="n"/>
      <c r="K20" s="64" t="n"/>
      <c r="L20" s="64" t="n"/>
      <c r="M20" s="44" t="n"/>
      <c r="N20" s="47" t="n"/>
      <c r="O20" s="61" t="n"/>
      <c r="P20" s="64" t="n"/>
      <c r="Q20" s="64" t="n"/>
      <c r="R20" s="174" t="n"/>
      <c r="S20" s="175" t="n"/>
      <c r="T20" s="63" t="n"/>
      <c r="U20" s="63" t="n"/>
      <c r="V20" s="63" t="n"/>
      <c r="W20" s="63" t="n"/>
      <c r="X20" s="63" t="n"/>
      <c r="Y20" s="63" t="n"/>
      <c r="Z20" s="63" t="n"/>
      <c r="AA20" s="64" t="n"/>
      <c r="AB20" s="39" t="n"/>
      <c r="AC20" s="64" t="n"/>
      <c r="AD20" s="64" t="n"/>
      <c r="AE20" s="176" t="n"/>
      <c r="AF20" s="64" t="n"/>
      <c r="AG20" s="61" t="n"/>
      <c r="AH20" s="64" t="n"/>
      <c r="AI20" s="64" t="n"/>
      <c r="AJ20" s="64" t="n"/>
      <c r="AK20" s="64" t="n"/>
      <c r="AL20" s="64" t="n"/>
      <c r="AM20" s="64" t="n"/>
      <c r="AN20" s="64" t="n"/>
      <c r="AO20" s="61" t="n"/>
      <c r="AP20" s="64" t="n"/>
      <c r="AQ20" s="64" t="n"/>
    </row>
    <row r="21">
      <c r="A21" s="167" t="n"/>
      <c r="B21" s="168" t="n"/>
      <c r="C21" s="64" t="n"/>
      <c r="D21" s="34" t="n"/>
      <c r="E21" s="39" t="n"/>
      <c r="F21" s="64" t="n"/>
      <c r="G21" s="64" t="n"/>
      <c r="H21" s="47" t="n"/>
      <c r="I21" s="64" t="n"/>
      <c r="J21" s="64" t="n"/>
      <c r="K21" s="64" t="n"/>
      <c r="L21" s="64" t="n"/>
      <c r="M21" s="44" t="n"/>
      <c r="N21" s="47" t="n"/>
      <c r="O21" s="64" t="n"/>
      <c r="P21" s="64" t="n"/>
      <c r="Q21" s="64" t="n"/>
      <c r="R21" s="35" t="n"/>
      <c r="S21" s="36" t="n"/>
      <c r="T21" s="63" t="n"/>
      <c r="U21" s="63" t="n"/>
      <c r="V21" s="63" t="n"/>
      <c r="W21" s="63" t="n"/>
      <c r="X21" s="63" t="n"/>
      <c r="Y21" s="63" t="n"/>
      <c r="Z21" s="63" t="n"/>
      <c r="AA21" s="64" t="n"/>
      <c r="AB21" s="35" t="n"/>
      <c r="AC21" s="64" t="n"/>
      <c r="AD21" s="64" t="n"/>
      <c r="AE21" s="64" t="n"/>
      <c r="AF21" s="64" t="n"/>
      <c r="AG21" s="64" t="n"/>
      <c r="AH21" s="64" t="n"/>
      <c r="AI21" s="64" t="n"/>
      <c r="AJ21" s="64" t="n"/>
      <c r="AK21" s="64" t="n"/>
      <c r="AL21" s="64" t="n"/>
      <c r="AM21" s="64" t="n"/>
      <c r="AN21" s="64" t="n"/>
      <c r="AO21" s="64" t="n"/>
      <c r="AP21" s="64" t="n"/>
      <c r="AQ21" s="64" t="n"/>
    </row>
    <row r="22">
      <c r="A22" s="35" t="n"/>
      <c r="B22" s="65" t="n"/>
      <c r="C22" s="64" t="n"/>
      <c r="D22" s="34" t="n"/>
      <c r="E22" s="64" t="n"/>
      <c r="F22" s="64" t="n"/>
      <c r="G22" s="64" t="n"/>
      <c r="H22" s="47" t="n"/>
      <c r="I22" s="64" t="n"/>
      <c r="J22" s="64" t="n"/>
      <c r="K22" s="64" t="n"/>
      <c r="L22" s="64" t="n"/>
      <c r="M22" s="44" t="n"/>
      <c r="N22" s="47" t="n"/>
      <c r="O22" s="64" t="n"/>
      <c r="P22" s="64" t="n"/>
      <c r="Q22" s="64" t="n"/>
      <c r="R22" s="51" t="n"/>
      <c r="S22" s="53" t="n"/>
      <c r="T22" s="64" t="n"/>
      <c r="U22" s="64" t="n"/>
      <c r="V22" s="64" t="n"/>
      <c r="W22" s="64" t="n"/>
      <c r="X22" s="64" t="n"/>
      <c r="Y22" s="64" t="n"/>
      <c r="Z22" s="64" t="n"/>
      <c r="AA22" s="64" t="n"/>
      <c r="AB22" s="39" t="n"/>
      <c r="AC22" s="64" t="n"/>
      <c r="AD22" s="64" t="n"/>
      <c r="AE22" s="64" t="n"/>
      <c r="AF22" s="64" t="n"/>
      <c r="AG22" s="64" t="n"/>
      <c r="AH22" s="64" t="n"/>
      <c r="AI22" s="64" t="n"/>
      <c r="AJ22" s="64" t="n"/>
      <c r="AK22" s="64" t="n"/>
      <c r="AL22" s="64" t="n"/>
      <c r="AM22" s="64" t="n"/>
      <c r="AN22" s="64" t="n"/>
      <c r="AO22" s="64" t="n"/>
      <c r="AP22" s="64" t="n"/>
      <c r="AQ22" s="64" t="n"/>
    </row>
    <row r="23">
      <c r="A23" s="64" t="n"/>
      <c r="B23" s="64" t="n"/>
      <c r="C23" s="64" t="n"/>
      <c r="D23" s="34" t="n"/>
      <c r="E23" s="64" t="n"/>
      <c r="F23" s="64" t="n"/>
      <c r="G23" s="64" t="n"/>
      <c r="H23" s="47" t="n"/>
      <c r="I23" s="47" t="n"/>
      <c r="J23" s="47" t="n"/>
      <c r="K23" s="47" t="n"/>
      <c r="L23" s="47" t="n"/>
      <c r="M23" s="47" t="n"/>
      <c r="N23" s="47" t="n"/>
      <c r="O23" s="64" t="n"/>
      <c r="P23" s="64" t="n"/>
      <c r="Q23" s="64" t="n"/>
      <c r="R23" s="53" t="n"/>
      <c r="S23" s="53" t="n"/>
      <c r="T23" s="64" t="n"/>
      <c r="U23" s="64" t="n"/>
      <c r="V23" s="64" t="n"/>
      <c r="W23" s="64" t="n"/>
      <c r="X23" s="64" t="n"/>
      <c r="Y23" s="64" t="n"/>
      <c r="Z23" s="64" t="n"/>
      <c r="AA23" s="64" t="n"/>
      <c r="AB23" s="39" t="n"/>
      <c r="AC23" s="64" t="n"/>
      <c r="AD23" s="64" t="n"/>
      <c r="AE23" s="64" t="n"/>
      <c r="AF23" s="64" t="n"/>
      <c r="AG23" s="64" t="n"/>
      <c r="AH23" s="64" t="n"/>
      <c r="AI23" s="64" t="n"/>
      <c r="AJ23" s="64" t="n"/>
      <c r="AK23" s="64" t="n"/>
      <c r="AL23" s="64" t="n"/>
      <c r="AM23" s="64" t="n"/>
      <c r="AN23" s="64" t="n"/>
      <c r="AO23" s="64" t="n"/>
      <c r="AP23" s="64" t="n"/>
      <c r="AQ23" s="64" t="n"/>
    </row>
    <row r="24">
      <c r="A24" s="64" t="n"/>
      <c r="B24" s="64" t="n"/>
      <c r="C24" s="64" t="n"/>
      <c r="D24" s="34" t="n"/>
      <c r="E24" s="64" t="n"/>
      <c r="F24" s="64" t="n"/>
      <c r="G24" s="64" t="n"/>
      <c r="H24" s="47" t="n"/>
      <c r="I24" s="47" t="n"/>
      <c r="J24" s="47" t="n"/>
      <c r="K24" s="47" t="n"/>
      <c r="L24" s="47" t="n"/>
      <c r="M24" s="47" t="n"/>
      <c r="N24" s="47" t="n"/>
      <c r="O24" s="64" t="n"/>
      <c r="P24" s="64" t="n"/>
      <c r="Q24" s="64" t="n"/>
      <c r="R24" s="51" t="n"/>
      <c r="S24" s="53" t="n"/>
      <c r="T24" s="64" t="n"/>
      <c r="U24" s="64" t="n"/>
      <c r="V24" s="64" t="n"/>
      <c r="W24" s="64" t="n"/>
      <c r="X24" s="64" t="n"/>
      <c r="Y24" s="64" t="n"/>
      <c r="Z24" s="64" t="n"/>
      <c r="AA24" s="64" t="n"/>
      <c r="AB24" s="39" t="n"/>
      <c r="AC24" s="64" t="n"/>
      <c r="AD24" s="64" t="n"/>
      <c r="AE24" s="64" t="n"/>
      <c r="AF24" s="64" t="n"/>
      <c r="AG24" s="64" t="n"/>
      <c r="AH24" s="64" t="n"/>
      <c r="AI24" s="64" t="n"/>
      <c r="AJ24" s="64" t="n"/>
      <c r="AK24" s="64" t="n"/>
      <c r="AL24" s="64" t="n"/>
      <c r="AM24" s="64" t="n"/>
      <c r="AN24" s="64" t="n"/>
      <c r="AO24" s="64" t="n"/>
      <c r="AP24" s="64" t="n"/>
      <c r="AQ24" s="64" t="n"/>
    </row>
    <row r="25">
      <c r="A25" s="64" t="n"/>
      <c r="B25" s="64" t="n"/>
      <c r="C25" s="64" t="n"/>
      <c r="D25" s="34" t="n"/>
      <c r="E25" s="64" t="n"/>
      <c r="F25" s="64" t="n"/>
      <c r="G25" s="64" t="n"/>
      <c r="H25" s="47" t="n"/>
      <c r="I25" s="47" t="n"/>
      <c r="J25" s="47" t="n"/>
      <c r="K25" s="47" t="n"/>
      <c r="L25" s="47" t="n"/>
      <c r="M25" s="47" t="n"/>
      <c r="N25" s="47" t="n"/>
      <c r="O25" s="64" t="n"/>
      <c r="P25" s="64" t="n"/>
      <c r="Q25" s="64" t="n"/>
      <c r="R25" s="51" t="n"/>
      <c r="S25" s="53" t="n"/>
      <c r="T25" s="64" t="n"/>
      <c r="U25" s="64" t="n"/>
      <c r="V25" s="64" t="n"/>
      <c r="W25" s="64" t="n"/>
      <c r="X25" s="64" t="n"/>
      <c r="Y25" s="64" t="n"/>
      <c r="Z25" s="64" t="n"/>
      <c r="AA25" s="64" t="n"/>
      <c r="AB25" s="39" t="n"/>
      <c r="AC25" s="64" t="n"/>
      <c r="AD25" s="64" t="n"/>
      <c r="AE25" s="64" t="n"/>
      <c r="AF25" s="64" t="n"/>
      <c r="AG25" s="64" t="n"/>
      <c r="AH25" s="64" t="n"/>
      <c r="AI25" s="64" t="n"/>
      <c r="AJ25" s="64" t="n"/>
      <c r="AK25" s="64" t="n"/>
      <c r="AL25" s="64" t="n"/>
      <c r="AM25" s="64" t="n"/>
      <c r="AN25" s="64" t="n"/>
      <c r="AO25" s="64" t="n"/>
      <c r="AP25" s="64" t="n"/>
      <c r="AQ25" s="64" t="n"/>
    </row>
    <row r="26">
      <c r="A26" s="64" t="n"/>
      <c r="B26" s="64" t="n"/>
      <c r="C26" s="64" t="n"/>
      <c r="D26" s="34" t="n"/>
      <c r="E26" s="64" t="n"/>
      <c r="F26" s="64" t="n"/>
      <c r="G26" s="64" t="n"/>
      <c r="H26" s="47" t="n"/>
      <c r="I26" s="47" t="n"/>
      <c r="J26" s="47" t="n"/>
      <c r="K26" s="47" t="n"/>
      <c r="L26" s="47" t="n"/>
      <c r="M26" s="47" t="n"/>
      <c r="N26" s="47" t="n"/>
      <c r="O26" s="64" t="n"/>
      <c r="P26" s="64" t="n"/>
      <c r="Q26" s="64" t="n"/>
      <c r="R26" s="51" t="n"/>
      <c r="S26" s="53" t="n"/>
      <c r="T26" s="64" t="n"/>
      <c r="U26" s="64" t="n"/>
      <c r="V26" s="64" t="n"/>
      <c r="W26" s="64" t="n"/>
      <c r="X26" s="64" t="n"/>
      <c r="Y26" s="64" t="n"/>
      <c r="Z26" s="64" t="n"/>
      <c r="AA26" s="64" t="n"/>
      <c r="AB26" s="39" t="n"/>
      <c r="AC26" s="64" t="n"/>
      <c r="AD26" s="64" t="n"/>
      <c r="AE26" s="64" t="n"/>
      <c r="AF26" s="64" t="n"/>
      <c r="AG26" s="64" t="n"/>
      <c r="AH26" s="64" t="n"/>
      <c r="AI26" s="64" t="n"/>
      <c r="AJ26" s="64" t="n"/>
      <c r="AK26" s="64" t="n"/>
      <c r="AL26" s="64" t="n"/>
      <c r="AM26" s="64" t="n"/>
      <c r="AN26" s="64" t="n"/>
      <c r="AO26" s="64" t="n"/>
      <c r="AP26" s="64" t="n"/>
      <c r="AQ26" s="64" t="n"/>
    </row>
    <row r="27">
      <c r="A27" s="64" t="n"/>
      <c r="B27" s="64" t="n"/>
      <c r="C27" s="64" t="n"/>
      <c r="D27" s="34" t="n"/>
      <c r="E27" s="64" t="n"/>
      <c r="F27" s="64" t="n"/>
      <c r="G27" s="64" t="n"/>
      <c r="H27" s="47" t="n"/>
      <c r="I27" s="64" t="n"/>
      <c r="J27" s="64" t="n"/>
      <c r="K27" s="32" t="n"/>
      <c r="L27" s="64" t="n"/>
      <c r="M27" s="64" t="n"/>
      <c r="N27" s="47" t="n"/>
      <c r="O27" s="64" t="n"/>
      <c r="P27" s="64" t="n"/>
      <c r="Q27" s="64" t="n"/>
      <c r="R27" s="82" t="n"/>
      <c r="S27" s="64" t="n"/>
      <c r="T27" s="64" t="n"/>
      <c r="U27" s="64" t="n"/>
      <c r="V27" s="64" t="n"/>
      <c r="W27" s="64" t="n"/>
      <c r="X27" s="64" t="n"/>
      <c r="Y27" s="64" t="n"/>
      <c r="Z27" s="64" t="n"/>
      <c r="AA27" s="64" t="n"/>
      <c r="AB27" s="39" t="n"/>
      <c r="AC27" s="64" t="n"/>
      <c r="AD27" s="64" t="n"/>
      <c r="AE27" s="64" t="n"/>
      <c r="AF27" s="64" t="n"/>
      <c r="AG27" s="64" t="n"/>
      <c r="AH27" s="64" t="n"/>
      <c r="AI27" s="64" t="n"/>
      <c r="AJ27" s="64" t="n"/>
      <c r="AK27" s="64" t="n"/>
      <c r="AL27" s="64" t="n"/>
      <c r="AM27" s="64" t="n"/>
      <c r="AN27" s="64" t="n"/>
      <c r="AO27" s="64" t="n"/>
      <c r="AP27" s="64" t="n"/>
      <c r="AQ27" s="64" t="n"/>
    </row>
    <row r="28">
      <c r="A28" s="64" t="n"/>
      <c r="B28" s="64" t="n"/>
      <c r="C28" s="64" t="n"/>
      <c r="D28" s="34" t="n"/>
      <c r="E28" s="64" t="n"/>
      <c r="F28" s="64" t="n"/>
      <c r="G28" s="64" t="n"/>
      <c r="H28" s="47" t="n"/>
      <c r="I28" s="64" t="n"/>
      <c r="J28" s="64" t="n"/>
      <c r="K28" s="64" t="n"/>
      <c r="L28" s="64" t="n"/>
      <c r="M28" s="64" t="n"/>
      <c r="N28" s="47" t="n"/>
      <c r="O28" s="64" t="n"/>
      <c r="P28" s="64" t="n"/>
      <c r="Q28" s="64" t="n"/>
      <c r="R28" s="82" t="n"/>
      <c r="S28" s="58" t="n"/>
      <c r="T28" s="64" t="n"/>
      <c r="U28" s="64" t="n"/>
      <c r="V28" s="64" t="n"/>
      <c r="W28" s="64" t="n"/>
      <c r="X28" s="64" t="n"/>
      <c r="Y28" s="64" t="n"/>
      <c r="Z28" s="64" t="n"/>
      <c r="AA28" s="64" t="n"/>
      <c r="AB28" s="39" t="n"/>
      <c r="AC28" s="64" t="n"/>
      <c r="AD28" s="64" t="n"/>
      <c r="AE28" s="64" t="n"/>
      <c r="AF28" s="64" t="n"/>
      <c r="AG28" s="64" t="n"/>
      <c r="AH28" s="64" t="n"/>
      <c r="AI28" s="64" t="n"/>
      <c r="AJ28" s="64" t="n"/>
      <c r="AK28" s="64" t="n"/>
      <c r="AL28" s="64" t="n"/>
      <c r="AM28" s="64" t="n"/>
      <c r="AN28" s="64" t="n"/>
      <c r="AO28" s="64" t="n"/>
      <c r="AP28" s="64" t="n"/>
      <c r="AQ28" s="64" t="n"/>
    </row>
    <row r="29">
      <c r="A29" s="64" t="n"/>
      <c r="B29" s="64" t="n"/>
      <c r="C29" s="64" t="n"/>
      <c r="D29" s="34" t="n"/>
      <c r="E29" s="64" t="n"/>
      <c r="F29" s="64" t="n"/>
      <c r="G29" s="64" t="n"/>
      <c r="H29" s="47" t="n"/>
      <c r="I29" s="66" t="n"/>
      <c r="J29" s="66" t="n"/>
      <c r="K29" s="66" t="n"/>
      <c r="L29" s="66" t="n"/>
      <c r="M29" s="66" t="n"/>
      <c r="N29" s="47" t="n"/>
      <c r="O29" s="64" t="n"/>
      <c r="P29" s="64" t="n"/>
      <c r="Q29" s="64" t="n"/>
      <c r="R29" s="33" t="n"/>
      <c r="S29" s="39" t="n"/>
      <c r="T29" s="64" t="n"/>
      <c r="U29" s="64" t="n"/>
      <c r="V29" s="64" t="n"/>
      <c r="W29" s="64" t="n"/>
      <c r="X29" s="64" t="n"/>
      <c r="Y29" s="64" t="n"/>
      <c r="Z29" s="64" t="n"/>
      <c r="AA29" s="64" t="n"/>
      <c r="AB29" s="39" t="n"/>
      <c r="AC29" s="64" t="n"/>
      <c r="AD29" s="64" t="n"/>
      <c r="AE29" s="64" t="n"/>
      <c r="AF29" s="64" t="n"/>
      <c r="AG29" s="64" t="n"/>
      <c r="AH29" s="64" t="n"/>
      <c r="AI29" s="64" t="n"/>
      <c r="AJ29" s="64" t="n"/>
      <c r="AK29" s="64" t="n"/>
      <c r="AL29" s="64" t="n"/>
      <c r="AM29" s="64" t="n"/>
      <c r="AN29" s="64" t="n"/>
      <c r="AO29" s="64" t="n"/>
      <c r="AP29" s="64" t="n"/>
      <c r="AQ29" s="64" t="n"/>
    </row>
    <row r="30">
      <c r="A30" s="64" t="n"/>
      <c r="B30" s="64" t="n"/>
      <c r="C30" s="64" t="n"/>
      <c r="D30" s="34" t="n"/>
      <c r="E30" s="268" t="n"/>
      <c r="F30" s="64" t="n"/>
      <c r="G30" s="64" t="n"/>
      <c r="H30" s="61" t="n"/>
      <c r="I30" s="66" t="n"/>
      <c r="J30" s="66" t="n"/>
      <c r="K30" s="66" t="n"/>
      <c r="L30" s="66" t="n"/>
      <c r="M30" s="66" t="n"/>
      <c r="N30" s="177" t="n"/>
      <c r="O30" s="64" t="n"/>
      <c r="P30" s="64" t="n"/>
      <c r="Q30" s="64" t="n"/>
      <c r="R30" s="64" t="n"/>
      <c r="S30" s="64" t="n"/>
      <c r="T30" s="64" t="n"/>
      <c r="U30" s="64" t="n"/>
      <c r="V30" s="64" t="n"/>
      <c r="W30" s="64" t="n"/>
      <c r="X30" s="64" t="n"/>
      <c r="Y30" s="64" t="n"/>
      <c r="Z30" s="64" t="n"/>
      <c r="AA30" s="64" t="n"/>
      <c r="AB30" s="39" t="n"/>
      <c r="AC30" s="64" t="n"/>
      <c r="AD30" s="64" t="n"/>
      <c r="AE30" s="64" t="n"/>
      <c r="AF30" s="64" t="n"/>
      <c r="AG30" s="64" t="n"/>
      <c r="AH30" s="64" t="n"/>
      <c r="AI30" s="64" t="n"/>
      <c r="AJ30" s="64" t="n"/>
      <c r="AK30" s="64" t="n"/>
      <c r="AL30" s="64" t="n"/>
      <c r="AM30" s="64" t="n"/>
      <c r="AN30" s="64" t="n"/>
      <c r="AO30" s="64" t="n"/>
      <c r="AP30" s="64" t="n"/>
      <c r="AQ30" s="64" t="n"/>
    </row>
    <row r="31">
      <c r="A31" s="64" t="n"/>
      <c r="B31" s="64" t="n"/>
      <c r="C31" s="64" t="n"/>
      <c r="D31" s="34" t="n"/>
      <c r="E31" s="64" t="n"/>
      <c r="F31" s="64" t="n"/>
      <c r="G31" s="64" t="n"/>
      <c r="H31" s="61" t="n"/>
      <c r="I31" s="66" t="n"/>
      <c r="J31" s="66" t="n"/>
      <c r="K31" s="66" t="n"/>
      <c r="L31" s="66" t="n"/>
      <c r="M31" s="66" t="n"/>
      <c r="N31" s="177" t="n"/>
      <c r="O31" s="64" t="n"/>
      <c r="P31" s="64" t="n"/>
      <c r="Q31" s="64" t="n"/>
      <c r="R31" s="64" t="n"/>
      <c r="S31" s="39" t="n"/>
      <c r="T31" s="64" t="n"/>
      <c r="U31" s="64" t="n"/>
      <c r="V31" s="64" t="n"/>
      <c r="W31" s="64" t="n"/>
      <c r="X31" s="64" t="n"/>
      <c r="Y31" s="64" t="n"/>
      <c r="Z31" s="64" t="n"/>
      <c r="AA31" s="64" t="n"/>
      <c r="AB31" s="39" t="n"/>
      <c r="AC31" s="64" t="n"/>
      <c r="AD31" s="64" t="n"/>
      <c r="AE31" s="64" t="n"/>
      <c r="AF31" s="64" t="n"/>
      <c r="AG31" s="64" t="n"/>
      <c r="AH31" s="64" t="n"/>
      <c r="AI31" s="64" t="n"/>
      <c r="AJ31" s="64" t="n"/>
      <c r="AK31" s="64" t="n"/>
      <c r="AL31" s="64" t="n"/>
      <c r="AM31" s="64" t="n"/>
      <c r="AN31" s="64" t="n"/>
      <c r="AO31" s="64" t="n"/>
      <c r="AP31" s="64" t="n"/>
      <c r="AQ31" s="64" t="n"/>
    </row>
    <row r="32">
      <c r="A32" s="64" t="n"/>
      <c r="B32" s="64" t="n"/>
      <c r="C32" s="64" t="n"/>
      <c r="D32" s="34" t="n"/>
      <c r="E32" s="268" t="n"/>
      <c r="F32" s="64" t="n"/>
      <c r="G32" s="64" t="n"/>
      <c r="H32" s="61" t="n"/>
      <c r="I32" s="66" t="n"/>
      <c r="J32" s="66" t="n"/>
      <c r="K32" s="66" t="n"/>
      <c r="L32" s="66" t="n"/>
      <c r="M32" s="66" t="n"/>
      <c r="N32" s="177" t="n"/>
      <c r="O32" s="64" t="n"/>
      <c r="P32" s="64" t="n"/>
      <c r="Q32" s="64" t="n"/>
      <c r="R32" s="64" t="n"/>
      <c r="S32" s="64" t="n"/>
      <c r="T32" s="64" t="n"/>
      <c r="U32" s="64" t="n"/>
      <c r="V32" s="64" t="n"/>
      <c r="W32" s="64" t="n"/>
      <c r="X32" s="64" t="n"/>
      <c r="Y32" s="64" t="n"/>
      <c r="Z32" s="64" t="n"/>
      <c r="AA32" s="64" t="n"/>
      <c r="AB32" s="39" t="n"/>
      <c r="AC32" s="64" t="n"/>
      <c r="AD32" s="64" t="n"/>
      <c r="AE32" s="64" t="n"/>
      <c r="AF32" s="64" t="n"/>
      <c r="AG32" s="64" t="n"/>
      <c r="AH32" s="64" t="n"/>
      <c r="AI32" s="64" t="n"/>
      <c r="AJ32" s="64" t="n"/>
      <c r="AK32" s="64" t="n"/>
      <c r="AL32" s="64" t="n"/>
      <c r="AM32" s="64" t="n"/>
      <c r="AN32" s="64" t="n"/>
      <c r="AO32" s="64" t="n"/>
      <c r="AP32" s="64" t="n"/>
      <c r="AQ32" s="64" t="n"/>
    </row>
    <row r="33">
      <c r="A33" s="178" t="n"/>
      <c r="B33" s="64" t="n"/>
      <c r="C33" s="64" t="n"/>
      <c r="D33" s="34" t="n"/>
      <c r="E33" s="64" t="n"/>
      <c r="F33" s="64" t="n"/>
      <c r="G33" s="64" t="n"/>
      <c r="H33" s="61" t="n"/>
      <c r="I33" s="66" t="n"/>
      <c r="J33" s="66" t="n"/>
      <c r="K33" s="66" t="n"/>
      <c r="L33" s="66" t="n"/>
      <c r="M33" s="66" t="n"/>
      <c r="N33" s="177" t="n"/>
      <c r="O33" s="64" t="n"/>
      <c r="P33" s="64" t="n"/>
      <c r="Q33" s="64" t="n"/>
      <c r="R33" s="64" t="n"/>
      <c r="S33" s="64" t="n"/>
      <c r="T33" s="64" t="n"/>
      <c r="U33" s="64" t="n"/>
      <c r="V33" s="64" t="n"/>
      <c r="W33" s="64" t="n"/>
      <c r="X33" s="64" t="n"/>
      <c r="Y33" s="64" t="n"/>
      <c r="Z33" s="64" t="n"/>
      <c r="AA33" s="64" t="n"/>
      <c r="AB33" s="39" t="n"/>
      <c r="AC33" s="64" t="n"/>
      <c r="AD33" s="64" t="n"/>
      <c r="AE33" s="64" t="n"/>
      <c r="AF33" s="64" t="n"/>
      <c r="AG33" s="64" t="n"/>
      <c r="AH33" s="64" t="n"/>
      <c r="AI33" s="64" t="n"/>
      <c r="AJ33" s="64" t="n"/>
      <c r="AK33" s="64" t="n"/>
      <c r="AL33" s="64" t="n"/>
      <c r="AM33" s="64" t="n"/>
      <c r="AN33" s="64" t="n"/>
      <c r="AO33" s="64" t="n"/>
      <c r="AP33" s="64" t="n"/>
      <c r="AQ33" s="64" t="n"/>
    </row>
    <row r="34">
      <c r="A34" s="179" t="n"/>
      <c r="B34" s="64" t="n"/>
      <c r="C34" s="64" t="n"/>
      <c r="D34" s="173" t="n"/>
      <c r="E34" s="173" t="n"/>
      <c r="F34" s="64" t="n"/>
      <c r="G34" s="64" t="n"/>
      <c r="H34" s="61" t="n"/>
      <c r="I34" s="66" t="n"/>
      <c r="J34" s="66" t="n"/>
      <c r="K34" s="66" t="n"/>
      <c r="L34" s="66" t="n"/>
      <c r="M34" s="66" t="n"/>
      <c r="N34" s="61" t="n"/>
      <c r="O34" s="64" t="n"/>
      <c r="P34" s="64" t="n"/>
      <c r="Q34" s="64" t="n"/>
      <c r="R34" s="64" t="n"/>
      <c r="S34" s="64" t="n"/>
      <c r="T34" s="64" t="n"/>
      <c r="U34" s="64" t="n"/>
      <c r="V34" s="64" t="n"/>
      <c r="W34" s="64" t="n"/>
      <c r="X34" s="64" t="n"/>
      <c r="Y34" s="64" t="n"/>
      <c r="Z34" s="64" t="n"/>
      <c r="AA34" s="64" t="n"/>
      <c r="AB34" s="39" t="n"/>
      <c r="AC34" s="64" t="n"/>
      <c r="AD34" s="64" t="n"/>
      <c r="AE34" s="64" t="n"/>
      <c r="AF34" s="64" t="n"/>
      <c r="AG34" s="64" t="n"/>
      <c r="AH34" s="64" t="n"/>
      <c r="AI34" s="64" t="n"/>
      <c r="AJ34" s="64" t="n"/>
      <c r="AK34" s="64" t="n"/>
      <c r="AL34" s="64" t="n"/>
      <c r="AM34" s="64" t="n"/>
      <c r="AN34" s="64" t="n"/>
      <c r="AO34" s="64" t="n"/>
      <c r="AP34" s="64" t="n"/>
      <c r="AQ34" s="64" t="n"/>
    </row>
    <row r="35">
      <c r="A35" s="180" t="n"/>
      <c r="B35" s="181" t="n"/>
      <c r="C35" s="64" t="n"/>
      <c r="D35" s="34" t="n"/>
      <c r="E35" s="64" t="n"/>
      <c r="F35" s="64" t="n"/>
      <c r="G35" s="64" t="n"/>
      <c r="H35" s="64" t="n"/>
      <c r="I35" s="61" t="n"/>
      <c r="J35" s="61" t="n"/>
      <c r="K35" s="61" t="n"/>
      <c r="L35" s="61" t="n"/>
      <c r="M35" s="61" t="n"/>
      <c r="N35" s="64" t="n"/>
      <c r="O35" s="64" t="n"/>
      <c r="P35" s="64" t="n"/>
      <c r="Q35" s="64" t="n"/>
      <c r="R35" s="68" t="n"/>
      <c r="S35" s="182" t="n"/>
      <c r="T35" s="64" t="n"/>
      <c r="U35" s="64" t="n"/>
      <c r="V35" s="64" t="n"/>
      <c r="W35" s="64" t="n"/>
      <c r="X35" s="64" t="n"/>
      <c r="Y35" s="64" t="n"/>
      <c r="Z35" s="64" t="n"/>
      <c r="AA35" s="64" t="n"/>
      <c r="AB35" s="39" t="n"/>
      <c r="AC35" s="64" t="n"/>
      <c r="AD35" s="64" t="n"/>
      <c r="AE35" s="64" t="n"/>
      <c r="AF35" s="64" t="n"/>
      <c r="AG35" s="64" t="n"/>
      <c r="AH35" s="64" t="n"/>
      <c r="AI35" s="64" t="n"/>
      <c r="AJ35" s="64" t="n"/>
      <c r="AK35" s="64" t="n"/>
      <c r="AL35" s="64" t="n"/>
      <c r="AM35" s="64" t="n"/>
      <c r="AN35" s="64" t="n"/>
      <c r="AO35" s="64" t="n"/>
      <c r="AP35" s="64" t="n"/>
      <c r="AQ35" s="64" t="n"/>
    </row>
    <row r="36">
      <c r="A36" s="183" t="n"/>
      <c r="B36" s="67" t="n"/>
      <c r="C36" s="64" t="n"/>
      <c r="D36" s="34" t="n"/>
      <c r="E36" s="64" t="n"/>
      <c r="F36" s="64" t="n"/>
      <c r="G36" s="64" t="n"/>
      <c r="H36" s="64" t="n"/>
      <c r="I36" s="61" t="n"/>
      <c r="J36" s="61" t="n"/>
      <c r="K36" s="61" t="n"/>
      <c r="L36" s="61" t="n"/>
      <c r="M36" s="61" t="n"/>
      <c r="N36" s="64" t="n"/>
      <c r="O36" s="64" t="n"/>
      <c r="P36" s="64" t="n"/>
      <c r="Q36" s="64" t="n"/>
      <c r="R36" s="68" t="n"/>
      <c r="S36" s="53" t="n"/>
      <c r="T36" s="64" t="n"/>
      <c r="U36" s="64" t="n"/>
      <c r="V36" s="64" t="n"/>
      <c r="W36" s="64" t="n"/>
      <c r="X36" s="64" t="n"/>
      <c r="Y36" s="64" t="n"/>
      <c r="Z36" s="64" t="n"/>
      <c r="AA36" s="64" t="n"/>
      <c r="AB36" s="39" t="n"/>
      <c r="AC36" s="64" t="n"/>
      <c r="AD36" s="64" t="n"/>
      <c r="AE36" s="64" t="n"/>
      <c r="AF36" s="64" t="n"/>
      <c r="AG36" s="64" t="n"/>
      <c r="AH36" s="64" t="n"/>
      <c r="AI36" s="64" t="n"/>
      <c r="AJ36" s="64" t="n"/>
      <c r="AK36" s="64" t="n"/>
      <c r="AL36" s="64" t="n"/>
      <c r="AM36" s="64" t="n"/>
      <c r="AN36" s="64" t="n"/>
      <c r="AO36" s="64" t="n"/>
      <c r="AP36" s="64" t="n"/>
      <c r="AQ36" s="64" t="n"/>
    </row>
    <row r="37">
      <c r="A37" s="179" t="n"/>
      <c r="B37" s="64" t="n"/>
      <c r="C37" s="64" t="n"/>
      <c r="D37" s="34" t="n"/>
      <c r="E37" s="64" t="n"/>
      <c r="F37" s="64" t="n"/>
      <c r="G37" s="64" t="n"/>
      <c r="H37" s="64" t="n"/>
      <c r="I37" s="61" t="n"/>
      <c r="J37" s="61" t="n"/>
      <c r="K37" s="61" t="n"/>
      <c r="L37" s="61" t="n"/>
      <c r="M37" s="177" t="n"/>
      <c r="N37" s="64" t="n"/>
      <c r="O37" s="64" t="n"/>
      <c r="P37" s="64" t="n"/>
      <c r="Q37" s="64" t="n"/>
      <c r="R37" s="68" t="n"/>
      <c r="S37" s="53" t="n"/>
      <c r="T37" s="64" t="n"/>
      <c r="U37" s="64" t="n"/>
      <c r="V37" s="64" t="n"/>
      <c r="W37" s="64" t="n"/>
      <c r="X37" s="64" t="n"/>
      <c r="Y37" s="64" t="n"/>
      <c r="Z37" s="64" t="n"/>
      <c r="AA37" s="64" t="n"/>
      <c r="AB37" s="39" t="n"/>
      <c r="AC37" s="64" t="n"/>
      <c r="AD37" s="64" t="n"/>
      <c r="AE37" s="64" t="n"/>
      <c r="AF37" s="64" t="n"/>
      <c r="AG37" s="64" t="n"/>
      <c r="AH37" s="64" t="n"/>
      <c r="AI37" s="64" t="n"/>
      <c r="AJ37" s="64" t="n"/>
      <c r="AK37" s="64" t="n"/>
      <c r="AL37" s="64" t="n"/>
      <c r="AM37" s="64" t="n"/>
      <c r="AN37" s="64" t="n"/>
      <c r="AO37" s="64" t="n"/>
      <c r="AP37" s="64" t="n"/>
      <c r="AQ37" s="64" t="n"/>
    </row>
    <row r="38">
      <c r="A38" s="179" t="n"/>
      <c r="B38" s="64" t="n"/>
      <c r="C38" s="64" t="n"/>
      <c r="D38" s="34" t="n"/>
      <c r="E38" s="64" t="n"/>
      <c r="F38" s="64" t="n"/>
      <c r="G38" s="64" t="n"/>
      <c r="H38" s="64" t="n"/>
      <c r="I38" s="61" t="n"/>
      <c r="J38" s="61" t="n"/>
      <c r="K38" s="61" t="n"/>
      <c r="L38" s="61" t="n"/>
      <c r="M38" s="177" t="n"/>
      <c r="N38" s="64" t="n"/>
      <c r="O38" s="64" t="n"/>
      <c r="P38" s="64" t="n"/>
      <c r="Q38" s="64" t="n"/>
      <c r="R38" s="68" t="n"/>
      <c r="S38" s="53" t="n"/>
      <c r="T38" s="64" t="n"/>
      <c r="U38" s="64" t="n"/>
      <c r="V38" s="64" t="n"/>
      <c r="W38" s="64" t="n"/>
      <c r="X38" s="64" t="n"/>
      <c r="Y38" s="64" t="n"/>
      <c r="Z38" s="64" t="n"/>
      <c r="AA38" s="64" t="n"/>
      <c r="AB38" s="39" t="n"/>
      <c r="AC38" s="64" t="n"/>
      <c r="AD38" s="64" t="n"/>
      <c r="AE38" s="64" t="n"/>
      <c r="AF38" s="64" t="n"/>
      <c r="AG38" s="64" t="n"/>
      <c r="AH38" s="64" t="n"/>
      <c r="AI38" s="64" t="n"/>
      <c r="AJ38" s="64" t="n"/>
      <c r="AK38" s="64" t="n"/>
      <c r="AL38" s="64" t="n"/>
      <c r="AM38" s="64" t="n"/>
      <c r="AN38" s="64" t="n"/>
      <c r="AO38" s="64" t="n"/>
      <c r="AP38" s="64" t="n"/>
      <c r="AQ38" s="64" t="n"/>
    </row>
    <row r="39">
      <c r="A39" s="178" t="n"/>
      <c r="B39" s="69" t="n"/>
      <c r="C39" s="64" t="n"/>
      <c r="D39" s="34" t="n"/>
      <c r="E39" s="64" t="n"/>
      <c r="F39" s="64" t="n"/>
      <c r="G39" s="64" t="n"/>
      <c r="H39" s="64" t="n"/>
      <c r="I39" s="61" t="n"/>
      <c r="J39" s="61" t="n"/>
      <c r="K39" s="61" t="n"/>
      <c r="L39" s="61" t="n"/>
      <c r="M39" s="177" t="n"/>
      <c r="N39" s="64" t="n"/>
      <c r="O39" s="64" t="n"/>
      <c r="P39" s="64" t="n"/>
      <c r="Q39" s="64" t="n"/>
      <c r="R39" s="68" t="n"/>
      <c r="S39" s="53" t="n"/>
      <c r="T39" s="64" t="n"/>
      <c r="U39" s="64" t="n"/>
      <c r="V39" s="64" t="n"/>
      <c r="W39" s="64" t="n"/>
      <c r="X39" s="64" t="n"/>
      <c r="Y39" s="64" t="n"/>
      <c r="Z39" s="64" t="n"/>
      <c r="AA39" s="64" t="n"/>
      <c r="AB39" s="39" t="n"/>
      <c r="AC39" s="64" t="n"/>
      <c r="AD39" s="64" t="n"/>
      <c r="AE39" s="64" t="n"/>
      <c r="AF39" s="64" t="n"/>
      <c r="AG39" s="64" t="n"/>
      <c r="AH39" s="64" t="n"/>
      <c r="AI39" s="64" t="n"/>
      <c r="AJ39" s="64" t="n"/>
      <c r="AK39" s="64" t="n"/>
      <c r="AL39" s="64" t="n"/>
      <c r="AM39" s="64" t="n"/>
      <c r="AN39" s="64" t="n"/>
      <c r="AO39" s="64" t="n"/>
      <c r="AP39" s="64" t="n"/>
      <c r="AQ39" s="64" t="n"/>
    </row>
    <row r="40">
      <c r="A40" s="70" t="n"/>
      <c r="B40" s="70" t="n"/>
      <c r="C40" s="70" t="n"/>
      <c r="D40" s="71" t="n"/>
      <c r="E40" s="70" t="n"/>
      <c r="F40" s="70" t="n"/>
      <c r="G40" s="70" t="n"/>
      <c r="H40" s="70" t="n"/>
      <c r="I40" s="61" t="n"/>
      <c r="J40" s="61" t="n"/>
      <c r="K40" s="61" t="n"/>
      <c r="L40" s="61" t="n"/>
      <c r="M40" s="177" t="n"/>
      <c r="N40" s="70" t="n"/>
      <c r="O40" s="70" t="n"/>
      <c r="P40" s="64" t="n"/>
      <c r="Q40" s="64" t="n"/>
      <c r="R40" s="64" t="n"/>
      <c r="S40" s="64" t="n"/>
      <c r="T40" s="64" t="n"/>
      <c r="U40" s="64" t="n"/>
      <c r="V40" s="64" t="n"/>
      <c r="W40" s="64" t="n"/>
      <c r="X40" s="64" t="n"/>
      <c r="Y40" s="64" t="n"/>
      <c r="Z40" s="64" t="n"/>
      <c r="AA40" s="64" t="n"/>
      <c r="AB40" s="39" t="n"/>
      <c r="AC40" s="64" t="n"/>
      <c r="AD40" s="64" t="n"/>
      <c r="AE40" s="64" t="n"/>
      <c r="AF40" s="64" t="n"/>
      <c r="AG40" s="64" t="n"/>
      <c r="AH40" s="64" t="n"/>
      <c r="AI40" s="64" t="n"/>
      <c r="AJ40" s="64" t="n"/>
      <c r="AK40" s="64" t="n"/>
      <c r="AL40" s="64" t="n"/>
      <c r="AM40" s="64" t="n"/>
      <c r="AN40" s="64" t="n"/>
      <c r="AO40" s="64" t="n"/>
      <c r="AP40" s="64" t="n"/>
      <c r="AQ40" s="64" t="n"/>
    </row>
    <row r="41">
      <c r="A41" s="184" t="n"/>
      <c r="B41" s="70" t="n"/>
      <c r="C41" s="70" t="n"/>
      <c r="D41" s="71" t="n"/>
      <c r="E41" s="185" t="n"/>
      <c r="F41" s="70" t="n"/>
      <c r="G41" s="70" t="n"/>
      <c r="H41" s="70" t="n"/>
      <c r="I41" s="61" t="n"/>
      <c r="J41" s="61" t="n"/>
      <c r="K41" s="61" t="n"/>
      <c r="L41" s="61" t="n"/>
      <c r="M41" s="61" t="n"/>
      <c r="N41" s="70" t="n"/>
      <c r="O41" s="70" t="n"/>
      <c r="P41" s="64" t="n"/>
      <c r="Q41" s="64" t="n"/>
      <c r="R41" s="35" t="n"/>
      <c r="S41" s="36" t="n"/>
      <c r="T41" s="64" t="n"/>
      <c r="U41" s="64" t="n"/>
      <c r="V41" s="64" t="n"/>
      <c r="W41" s="64" t="n"/>
      <c r="X41" s="64" t="n"/>
      <c r="Y41" s="64" t="n"/>
      <c r="Z41" s="64" t="n"/>
      <c r="AA41" s="64" t="n"/>
      <c r="AB41" s="39" t="n"/>
      <c r="AC41" s="64" t="n"/>
      <c r="AD41" s="64" t="n"/>
      <c r="AE41" s="64" t="n"/>
      <c r="AF41" s="64" t="n"/>
      <c r="AG41" s="64" t="n"/>
      <c r="AH41" s="64" t="n"/>
      <c r="AI41" s="64" t="n"/>
      <c r="AJ41" s="64" t="n"/>
      <c r="AK41" s="64" t="n"/>
      <c r="AL41" s="64" t="n"/>
      <c r="AM41" s="64" t="n"/>
      <c r="AN41" s="64" t="n"/>
      <c r="AO41" s="64" t="n"/>
      <c r="AP41" s="64" t="n"/>
      <c r="AQ41" s="64" t="n"/>
    </row>
    <row r="42">
      <c r="A42" s="64" t="n"/>
      <c r="B42" s="64" t="n"/>
      <c r="C42" s="64" t="n"/>
      <c r="D42" s="34" t="n"/>
      <c r="E42" s="64" t="n"/>
      <c r="F42" s="64" t="n"/>
      <c r="G42" s="64"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c r="AB42" s="39" t="n"/>
      <c r="AC42" s="64" t="n"/>
      <c r="AD42" s="64" t="n"/>
      <c r="AE42" s="64" t="n"/>
      <c r="AF42" s="64" t="n"/>
      <c r="AG42" s="64" t="n"/>
      <c r="AH42" s="64" t="n"/>
      <c r="AI42" s="64" t="n"/>
      <c r="AJ42" s="64" t="n"/>
      <c r="AK42" s="64" t="n"/>
      <c r="AL42" s="64" t="n"/>
      <c r="AM42" s="64" t="n"/>
      <c r="AN42" s="64" t="n"/>
      <c r="AO42" s="64" t="n"/>
      <c r="AP42" s="64" t="n"/>
      <c r="AQ42" s="64" t="n"/>
    </row>
    <row r="43">
      <c r="A43" s="64" t="n"/>
      <c r="B43" s="64" t="n"/>
      <c r="C43" s="64" t="n"/>
      <c r="D43" s="34" t="n"/>
      <c r="E43" s="64" t="n"/>
      <c r="F43" s="64" t="n"/>
      <c r="G43" s="64"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c r="AB43" s="39" t="n"/>
      <c r="AC43" s="64" t="n"/>
      <c r="AD43" s="64" t="n"/>
      <c r="AE43" s="64" t="n"/>
      <c r="AF43" s="64" t="n"/>
      <c r="AG43" s="64" t="n"/>
      <c r="AH43" s="64" t="n"/>
      <c r="AI43" s="64" t="n"/>
      <c r="AJ43" s="64" t="n"/>
      <c r="AK43" s="64" t="n"/>
      <c r="AL43" s="64" t="n"/>
      <c r="AM43" s="64" t="n"/>
      <c r="AN43" s="64" t="n"/>
      <c r="AO43" s="64" t="n"/>
      <c r="AP43" s="64" t="n"/>
      <c r="AQ43" s="64" t="n"/>
    </row>
    <row r="44">
      <c r="A44" s="64" t="n"/>
      <c r="B44" s="64" t="n"/>
      <c r="C44" s="64" t="n"/>
      <c r="D44" s="34" t="n"/>
      <c r="E44" s="64" t="n"/>
      <c r="F44" s="64" t="n"/>
      <c r="G44" s="64"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c r="AB44" s="39" t="n"/>
      <c r="AC44" s="64" t="n"/>
      <c r="AD44" s="64" t="n"/>
      <c r="AE44" s="64" t="n"/>
      <c r="AF44" s="64" t="n"/>
      <c r="AG44" s="64" t="n"/>
      <c r="AH44" s="64" t="n"/>
      <c r="AI44" s="64" t="n"/>
      <c r="AJ44" s="64" t="n"/>
      <c r="AK44" s="64" t="n"/>
      <c r="AL44" s="64" t="n"/>
      <c r="AM44" s="64" t="n"/>
      <c r="AN44" s="64" t="n"/>
      <c r="AO44" s="64" t="n"/>
      <c r="AP44" s="64" t="n"/>
      <c r="AQ44" s="64" t="n"/>
    </row>
    <row r="45">
      <c r="A45" s="64" t="n"/>
      <c r="B45" s="64" t="n"/>
      <c r="C45" s="64" t="n"/>
      <c r="D45" s="34" t="n"/>
      <c r="E45" s="64" t="n"/>
      <c r="F45" s="64" t="n"/>
      <c r="G45" s="64" t="n"/>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c r="AB45" s="39" t="n"/>
      <c r="AC45" s="64" t="n"/>
      <c r="AD45" s="64" t="n"/>
      <c r="AE45" s="64" t="n"/>
      <c r="AF45" s="64" t="n"/>
      <c r="AG45" s="64" t="n"/>
      <c r="AH45" s="64" t="n"/>
      <c r="AI45" s="64" t="n"/>
      <c r="AJ45" s="64" t="n"/>
      <c r="AK45" s="64" t="n"/>
      <c r="AL45" s="64" t="n"/>
      <c r="AM45" s="64" t="n"/>
      <c r="AN45" s="64" t="n"/>
      <c r="AO45" s="64" t="n"/>
      <c r="AP45" s="64" t="n"/>
      <c r="AQ45" s="64" t="n"/>
    </row>
    <row r="46">
      <c r="A46" s="64" t="n"/>
      <c r="B46" s="64" t="n"/>
      <c r="C46" s="64" t="n"/>
      <c r="D46" s="34" t="n"/>
      <c r="E46" s="64" t="n"/>
      <c r="F46" s="64" t="n"/>
      <c r="G46" s="64" t="n"/>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c r="AB46" s="39" t="n"/>
      <c r="AC46" s="64" t="n"/>
      <c r="AD46" s="64" t="n"/>
      <c r="AE46" s="64" t="n"/>
      <c r="AF46" s="64" t="n"/>
      <c r="AG46" s="64" t="n"/>
      <c r="AH46" s="64" t="n"/>
      <c r="AI46" s="64" t="n"/>
      <c r="AJ46" s="64" t="n"/>
      <c r="AK46" s="64" t="n"/>
      <c r="AL46" s="64" t="n"/>
      <c r="AM46" s="64" t="n"/>
      <c r="AN46" s="64" t="n"/>
      <c r="AO46" s="64" t="n"/>
      <c r="AP46" s="64" t="n"/>
      <c r="AQ46" s="64" t="n"/>
    </row>
    <row r="47">
      <c r="A47" s="64" t="n"/>
      <c r="B47" s="64" t="n"/>
      <c r="C47" s="64" t="n"/>
      <c r="D47" s="34" t="n"/>
      <c r="E47" s="64" t="n"/>
      <c r="F47" s="64" t="n"/>
      <c r="G47" s="64"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c r="AB47" s="39" t="n"/>
      <c r="AC47" s="64" t="n"/>
      <c r="AD47" s="64" t="n"/>
      <c r="AE47" s="64" t="n"/>
      <c r="AF47" s="64" t="n"/>
      <c r="AG47" s="64" t="n"/>
      <c r="AH47" s="64" t="n"/>
      <c r="AI47" s="64" t="n"/>
      <c r="AJ47" s="64" t="n"/>
      <c r="AK47" s="64" t="n"/>
      <c r="AL47" s="64" t="n"/>
      <c r="AM47" s="64" t="n"/>
      <c r="AN47" s="64" t="n"/>
      <c r="AO47" s="64" t="n"/>
      <c r="AP47" s="64" t="n"/>
      <c r="AQ47" s="64" t="n"/>
    </row>
    <row r="48">
      <c r="A48" s="64" t="n"/>
      <c r="B48" s="64" t="n"/>
      <c r="C48" s="64" t="n"/>
      <c r="D48" s="34" t="n"/>
      <c r="E48" s="64" t="n"/>
      <c r="F48" s="64" t="n"/>
      <c r="G48" s="64"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c r="AB48" s="39" t="n"/>
      <c r="AC48" s="64" t="n"/>
      <c r="AD48" s="64" t="n"/>
      <c r="AE48" s="64" t="n"/>
      <c r="AF48" s="64" t="n"/>
      <c r="AG48" s="64" t="n"/>
      <c r="AH48" s="64" t="n"/>
      <c r="AI48" s="64" t="n"/>
      <c r="AJ48" s="64" t="n"/>
      <c r="AK48" s="64" t="n"/>
      <c r="AL48" s="64" t="n"/>
      <c r="AM48" s="64" t="n"/>
      <c r="AN48" s="64" t="n"/>
      <c r="AO48" s="64" t="n"/>
      <c r="AP48" s="64" t="n"/>
      <c r="AQ48" s="64" t="n"/>
    </row>
    <row r="49">
      <c r="A49" s="64" t="n"/>
      <c r="B49" s="64" t="n"/>
      <c r="C49" s="64" t="n"/>
      <c r="D49" s="34" t="n"/>
      <c r="E49" s="64" t="n"/>
      <c r="F49" s="6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c r="AB49" s="39" t="n"/>
      <c r="AC49" s="64" t="n"/>
      <c r="AD49" s="64" t="n"/>
      <c r="AE49" s="64" t="n"/>
      <c r="AF49" s="64" t="n"/>
      <c r="AG49" s="64" t="n"/>
      <c r="AH49" s="64" t="n"/>
      <c r="AI49" s="64" t="n"/>
      <c r="AJ49" s="64" t="n"/>
      <c r="AK49" s="64" t="n"/>
      <c r="AL49" s="64" t="n"/>
      <c r="AM49" s="64" t="n"/>
      <c r="AN49" s="64" t="n"/>
      <c r="AO49" s="64" t="n"/>
      <c r="AP49" s="64" t="n"/>
      <c r="AQ49" s="64" t="n"/>
    </row>
    <row r="50">
      <c r="A50" s="64" t="n"/>
      <c r="B50" s="64" t="n"/>
      <c r="C50" s="64" t="n"/>
      <c r="D50" s="34" t="n"/>
      <c r="E50" s="64" t="n"/>
      <c r="F50" s="6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c r="AB50" s="39" t="n"/>
      <c r="AC50" s="64" t="n"/>
      <c r="AD50" s="64" t="n"/>
      <c r="AE50" s="64" t="n"/>
      <c r="AF50" s="64" t="n"/>
      <c r="AG50" s="64" t="n"/>
      <c r="AH50" s="64" t="n"/>
      <c r="AI50" s="64" t="n"/>
      <c r="AJ50" s="64" t="n"/>
      <c r="AK50" s="64" t="n"/>
      <c r="AL50" s="64" t="n"/>
      <c r="AM50" s="64" t="n"/>
      <c r="AN50" s="64" t="n"/>
      <c r="AO50" s="64" t="n"/>
      <c r="AP50" s="64" t="n"/>
      <c r="AQ50" s="64" t="n"/>
    </row>
    <row r="51">
      <c r="A51" s="64" t="n"/>
      <c r="B51" s="64" t="n"/>
      <c r="C51" s="64" t="n"/>
      <c r="D51" s="34" t="n"/>
      <c r="E51" s="64" t="n"/>
      <c r="F51" s="64" t="n"/>
      <c r="G51" s="64" t="n"/>
      <c r="H51" s="64" t="n"/>
      <c r="I51" s="64" t="n"/>
      <c r="J51" s="64" t="n"/>
      <c r="K51" s="186" t="n"/>
      <c r="L51" s="64" t="n"/>
      <c r="M51" s="64" t="n"/>
      <c r="N51" s="64" t="n"/>
      <c r="O51" s="186" t="n"/>
      <c r="P51" s="64" t="n"/>
      <c r="Q51" s="64" t="n"/>
      <c r="R51" s="64" t="n"/>
      <c r="S51" s="64" t="n"/>
      <c r="T51" s="64" t="n"/>
      <c r="U51" s="64" t="n"/>
      <c r="V51" s="64" t="n"/>
      <c r="W51" s="64" t="n"/>
      <c r="X51" s="64" t="n"/>
      <c r="Y51" s="64" t="n"/>
      <c r="Z51" s="64" t="n"/>
      <c r="AA51" s="64" t="n"/>
      <c r="AB51" s="39" t="n"/>
      <c r="AC51" s="64" t="n"/>
      <c r="AD51" s="64" t="n"/>
      <c r="AE51" s="64" t="n"/>
      <c r="AF51" s="64" t="n"/>
      <c r="AG51" s="64" t="n"/>
      <c r="AH51" s="64" t="n"/>
      <c r="AI51" s="64" t="n"/>
      <c r="AJ51" s="64" t="n"/>
      <c r="AK51" s="64" t="n"/>
      <c r="AL51" s="64" t="n"/>
      <c r="AM51" s="64" t="n"/>
      <c r="AN51" s="64" t="n"/>
      <c r="AO51" s="64" t="n"/>
      <c r="AP51" s="64" t="n"/>
      <c r="AQ51" s="64" t="n"/>
    </row>
    <row r="52">
      <c r="A52" s="64" t="n"/>
      <c r="B52" s="64" t="n"/>
      <c r="C52" s="64" t="n"/>
      <c r="D52" s="34" t="n"/>
      <c r="E52" s="64" t="n"/>
      <c r="F52" s="64" t="n"/>
      <c r="G52" s="64" t="n"/>
      <c r="H52" s="64" t="n"/>
      <c r="I52" s="64" t="n"/>
      <c r="J52" s="64" t="n"/>
      <c r="K52" s="186" t="n"/>
      <c r="L52" s="64" t="n"/>
      <c r="M52" s="64" t="n"/>
      <c r="N52" s="64" t="n"/>
      <c r="O52" s="186" t="n"/>
      <c r="P52" s="64" t="n"/>
      <c r="Q52" s="64" t="n"/>
      <c r="R52" s="64" t="n"/>
      <c r="S52" s="64" t="n"/>
      <c r="T52" s="64" t="n"/>
      <c r="U52" s="64" t="n"/>
      <c r="V52" s="64" t="n"/>
      <c r="W52" s="64" t="n"/>
      <c r="X52" s="64" t="n"/>
      <c r="Y52" s="64" t="n"/>
      <c r="Z52" s="64" t="n"/>
      <c r="AA52" s="64" t="n"/>
      <c r="AB52" s="39" t="n"/>
      <c r="AC52" s="64" t="n"/>
      <c r="AD52" s="64" t="n"/>
      <c r="AE52" s="64" t="n"/>
      <c r="AF52" s="64" t="n"/>
      <c r="AG52" s="64" t="n"/>
      <c r="AH52" s="64" t="n"/>
      <c r="AI52" s="64" t="n"/>
      <c r="AJ52" s="64" t="n"/>
      <c r="AK52" s="64" t="n"/>
      <c r="AL52" s="64" t="n"/>
      <c r="AM52" s="64" t="n"/>
      <c r="AN52" s="64" t="n"/>
      <c r="AO52" s="64" t="n"/>
      <c r="AP52" s="64" t="n"/>
      <c r="AQ52" s="64" t="n"/>
    </row>
    <row r="53">
      <c r="A53" s="64" t="n"/>
      <c r="B53" s="64" t="n"/>
      <c r="C53" s="64" t="n"/>
      <c r="D53" s="34" t="n"/>
      <c r="E53" s="64" t="n"/>
      <c r="F53" s="64" t="n"/>
      <c r="G53" s="64" t="n"/>
      <c r="H53" s="64" t="n"/>
      <c r="I53" s="64" t="n"/>
      <c r="J53" s="64" t="n"/>
      <c r="K53" s="186" t="n"/>
      <c r="L53" s="64" t="n"/>
      <c r="M53" s="64" t="n"/>
      <c r="N53" s="64" t="n"/>
      <c r="O53" s="186" t="n"/>
      <c r="P53" s="64" t="n"/>
      <c r="Q53" s="64" t="n"/>
      <c r="R53" s="64" t="n"/>
      <c r="S53" s="64" t="n"/>
      <c r="T53" s="64" t="n"/>
      <c r="U53" s="64" t="n"/>
      <c r="V53" s="64" t="n"/>
      <c r="W53" s="64" t="n"/>
      <c r="X53" s="64" t="n"/>
      <c r="Y53" s="64" t="n"/>
      <c r="Z53" s="64" t="n"/>
      <c r="AA53" s="64" t="n"/>
      <c r="AB53" s="39" t="n"/>
      <c r="AC53" s="64" t="n"/>
      <c r="AD53" s="64" t="n"/>
      <c r="AE53" s="64" t="n"/>
      <c r="AF53" s="64" t="n"/>
      <c r="AG53" s="64" t="n"/>
      <c r="AH53" s="64" t="n"/>
      <c r="AI53" s="64" t="n"/>
      <c r="AJ53" s="64" t="n"/>
      <c r="AK53" s="64" t="n"/>
      <c r="AL53" s="64" t="n"/>
      <c r="AM53" s="64" t="n"/>
      <c r="AN53" s="64" t="n"/>
      <c r="AO53" s="64" t="n"/>
      <c r="AP53" s="64" t="n"/>
      <c r="AQ53" s="64" t="n"/>
    </row>
    <row r="54">
      <c r="A54" s="64" t="n"/>
      <c r="B54" s="64" t="n"/>
      <c r="C54" s="64" t="n"/>
      <c r="D54" s="34" t="n"/>
      <c r="E54" s="64" t="n"/>
      <c r="F54" s="64" t="n"/>
      <c r="G54" s="64" t="n"/>
      <c r="H54" s="64" t="n"/>
      <c r="I54" s="64" t="n"/>
      <c r="J54" s="64" t="n"/>
      <c r="K54" s="186" t="n"/>
      <c r="L54" s="64" t="n"/>
      <c r="M54" s="64" t="n"/>
      <c r="N54" s="64" t="n"/>
      <c r="O54" s="186" t="n"/>
      <c r="P54" s="64" t="n"/>
      <c r="Q54" s="64" t="n"/>
      <c r="R54" s="64" t="n"/>
      <c r="S54" s="64" t="n"/>
      <c r="T54" s="64" t="n"/>
      <c r="U54" s="64" t="n"/>
      <c r="V54" s="64" t="n"/>
      <c r="W54" s="64" t="n"/>
      <c r="X54" s="64" t="n"/>
      <c r="Y54" s="64" t="n"/>
      <c r="Z54" s="64" t="n"/>
      <c r="AA54" s="64" t="n"/>
      <c r="AB54" s="39" t="n"/>
      <c r="AC54" s="64" t="n"/>
      <c r="AD54" s="64" t="n"/>
      <c r="AE54" s="64" t="n"/>
      <c r="AF54" s="64" t="n"/>
      <c r="AG54" s="64" t="n"/>
      <c r="AH54" s="64" t="n"/>
      <c r="AI54" s="64" t="n"/>
      <c r="AJ54" s="64" t="n"/>
      <c r="AK54" s="64" t="n"/>
      <c r="AL54" s="64" t="n"/>
      <c r="AM54" s="64" t="n"/>
      <c r="AN54" s="64" t="n"/>
      <c r="AO54" s="64" t="n"/>
      <c r="AP54" s="64" t="n"/>
      <c r="AQ54" s="64" t="n"/>
    </row>
    <row r="55">
      <c r="A55" s="64" t="n"/>
      <c r="B55" s="64" t="n"/>
      <c r="C55" s="64" t="n"/>
      <c r="D55" s="34" t="n"/>
      <c r="E55" s="64" t="n"/>
      <c r="F55" s="64" t="n"/>
      <c r="G55" s="64" t="n"/>
      <c r="H55" s="64" t="n"/>
      <c r="I55" s="64" t="n"/>
      <c r="J55" s="64" t="n"/>
      <c r="K55" s="186" t="n"/>
      <c r="L55" s="64" t="n"/>
      <c r="M55" s="64" t="n"/>
      <c r="N55" s="64" t="n"/>
      <c r="O55" s="186" t="n"/>
      <c r="P55" s="64" t="n"/>
      <c r="Q55" s="64" t="n"/>
      <c r="R55" s="64" t="n"/>
      <c r="S55" s="64" t="n"/>
      <c r="T55" s="64" t="n"/>
      <c r="U55" s="64" t="n"/>
      <c r="V55" s="64" t="n"/>
      <c r="W55" s="64" t="n"/>
      <c r="X55" s="64" t="n"/>
      <c r="Y55" s="64" t="n"/>
      <c r="Z55" s="64" t="n"/>
      <c r="AA55" s="64" t="n"/>
      <c r="AB55" s="39" t="n"/>
      <c r="AC55" s="64" t="n"/>
      <c r="AD55" s="64" t="n"/>
      <c r="AE55" s="64" t="n"/>
      <c r="AF55" s="64" t="n"/>
      <c r="AG55" s="64" t="n"/>
      <c r="AH55" s="64" t="n"/>
      <c r="AI55" s="64" t="n"/>
      <c r="AJ55" s="64" t="n"/>
      <c r="AK55" s="64" t="n"/>
      <c r="AL55" s="64" t="n"/>
      <c r="AM55" s="64" t="n"/>
      <c r="AN55" s="64" t="n"/>
      <c r="AO55" s="64" t="n"/>
      <c r="AP55" s="64" t="n"/>
      <c r="AQ55" s="64" t="n"/>
    </row>
    <row r="56">
      <c r="A56" s="64" t="n"/>
      <c r="B56" s="64" t="n"/>
      <c r="C56" s="64" t="n"/>
      <c r="D56" s="34" t="n"/>
      <c r="E56" s="64" t="n"/>
      <c r="F56" s="64" t="n"/>
      <c r="G56" s="64" t="n"/>
      <c r="H56" s="64" t="n"/>
      <c r="I56" s="64" t="n"/>
      <c r="J56" s="64" t="n"/>
      <c r="K56" s="186" t="n"/>
      <c r="L56" s="64" t="n"/>
      <c r="M56" s="64" t="n"/>
      <c r="N56" s="64" t="n"/>
      <c r="O56" s="186" t="n"/>
      <c r="P56" s="64" t="n"/>
      <c r="Q56" s="64" t="n"/>
      <c r="R56" s="64" t="n"/>
      <c r="S56" s="64" t="n"/>
      <c r="T56" s="64" t="n"/>
      <c r="U56" s="64" t="n"/>
      <c r="V56" s="64" t="n"/>
      <c r="W56" s="64" t="n"/>
      <c r="X56" s="64" t="n"/>
      <c r="Y56" s="64" t="n"/>
      <c r="Z56" s="64" t="n"/>
      <c r="AA56" s="64" t="n"/>
      <c r="AB56" s="39" t="n"/>
      <c r="AC56" s="64" t="n"/>
      <c r="AD56" s="64" t="n"/>
      <c r="AE56" s="64" t="n"/>
      <c r="AF56" s="64" t="n"/>
      <c r="AG56" s="64" t="n"/>
      <c r="AH56" s="64" t="n"/>
      <c r="AI56" s="64" t="n"/>
      <c r="AJ56" s="64" t="n"/>
      <c r="AK56" s="64" t="n"/>
      <c r="AL56" s="64" t="n"/>
      <c r="AM56" s="64" t="n"/>
      <c r="AN56" s="64" t="n"/>
      <c r="AO56" s="64" t="n"/>
      <c r="AP56" s="64" t="n"/>
      <c r="AQ56" s="64" t="n"/>
    </row>
    <row r="57">
      <c r="A57" s="64" t="n"/>
      <c r="B57" s="64" t="n"/>
      <c r="C57" s="64" t="n"/>
      <c r="D57" s="34" t="n"/>
      <c r="E57" s="64" t="n"/>
      <c r="F57" s="64" t="n"/>
      <c r="G57" s="64" t="n"/>
      <c r="H57" s="64" t="n"/>
      <c r="I57" s="64" t="n"/>
      <c r="J57" s="64" t="n"/>
      <c r="K57" s="36" t="n"/>
      <c r="L57" s="64" t="n"/>
      <c r="M57" s="64" t="n"/>
      <c r="N57" s="64" t="n"/>
      <c r="O57" s="36" t="n"/>
      <c r="P57" s="64" t="n"/>
      <c r="Q57" s="64" t="n"/>
      <c r="R57" s="64" t="n"/>
      <c r="S57" s="64" t="n"/>
      <c r="T57" s="64" t="n"/>
      <c r="U57" s="64" t="n"/>
      <c r="V57" s="64" t="n"/>
      <c r="W57" s="64" t="n"/>
      <c r="X57" s="64" t="n"/>
      <c r="Y57" s="64" t="n"/>
      <c r="Z57" s="64" t="n"/>
      <c r="AA57" s="64" t="n"/>
      <c r="AB57" s="39" t="n"/>
      <c r="AC57" s="64" t="n"/>
      <c r="AD57" s="64" t="n"/>
      <c r="AE57" s="64" t="n"/>
      <c r="AF57" s="64" t="n"/>
      <c r="AG57" s="64" t="n"/>
      <c r="AH57" s="64" t="n"/>
      <c r="AI57" s="64" t="n"/>
      <c r="AJ57" s="64" t="n"/>
      <c r="AK57" s="64" t="n"/>
      <c r="AL57" s="64" t="n"/>
      <c r="AM57" s="64" t="n"/>
      <c r="AN57" s="64" t="n"/>
      <c r="AO57" s="64" t="n"/>
      <c r="AP57" s="64" t="n"/>
      <c r="AQ57" s="64" t="n"/>
    </row>
    <row r="58">
      <c r="A58" s="64" t="n"/>
      <c r="B58" s="64" t="n"/>
      <c r="C58" s="64" t="n"/>
      <c r="D58" s="34" t="n"/>
      <c r="E58" s="64" t="n"/>
      <c r="F58" s="64" t="n"/>
      <c r="G58" s="64" t="n"/>
      <c r="H58" s="64" t="n"/>
      <c r="I58" s="64" t="n"/>
      <c r="J58" s="64" t="n"/>
      <c r="K58" s="47" t="n"/>
      <c r="L58" s="64" t="n"/>
      <c r="M58" s="64" t="n"/>
      <c r="N58" s="64" t="n"/>
      <c r="O58" s="47" t="n"/>
      <c r="P58" s="64" t="n"/>
      <c r="Q58" s="64" t="n"/>
      <c r="R58" s="64" t="n"/>
      <c r="S58" s="64" t="n"/>
      <c r="T58" s="64" t="n"/>
      <c r="U58" s="64" t="n"/>
      <c r="V58" s="64" t="n"/>
      <c r="W58" s="64" t="n"/>
      <c r="X58" s="64" t="n"/>
      <c r="Y58" s="64" t="n"/>
      <c r="Z58" s="64" t="n"/>
      <c r="AA58" s="64" t="n"/>
      <c r="AB58" s="39" t="n"/>
      <c r="AC58" s="64" t="n"/>
      <c r="AD58" s="64" t="n"/>
      <c r="AE58" s="64" t="n"/>
      <c r="AF58" s="64" t="n"/>
      <c r="AG58" s="64" t="n"/>
      <c r="AH58" s="64" t="n"/>
      <c r="AI58" s="64" t="n"/>
      <c r="AJ58" s="64" t="n"/>
      <c r="AK58" s="64" t="n"/>
      <c r="AL58" s="64" t="n"/>
      <c r="AM58" s="64" t="n"/>
      <c r="AN58" s="64" t="n"/>
      <c r="AO58" s="64" t="n"/>
      <c r="AP58" s="64" t="n"/>
      <c r="AQ58" s="64" t="n"/>
    </row>
    <row r="59">
      <c r="A59" s="64" t="n"/>
      <c r="B59" s="64" t="n"/>
      <c r="C59" s="64" t="n"/>
      <c r="D59" s="34" t="n"/>
      <c r="E59" s="64" t="n"/>
      <c r="F59" s="64" t="n"/>
      <c r="G59" s="64" t="n"/>
      <c r="H59" s="64" t="n"/>
      <c r="I59" s="64" t="n"/>
      <c r="J59" s="64" t="n"/>
      <c r="K59" s="47" t="n"/>
      <c r="L59" s="64" t="n"/>
      <c r="M59" s="64" t="n"/>
      <c r="N59" s="64" t="n"/>
      <c r="O59" s="47" t="n"/>
      <c r="P59" s="64" t="n"/>
      <c r="Q59" s="64" t="n"/>
      <c r="R59" s="64" t="n"/>
      <c r="S59" s="64" t="n"/>
      <c r="T59" s="64" t="n"/>
      <c r="U59" s="64" t="n"/>
      <c r="V59" s="64" t="n"/>
      <c r="W59" s="64" t="n"/>
      <c r="X59" s="64" t="n"/>
      <c r="Y59" s="64" t="n"/>
      <c r="Z59" s="64" t="n"/>
      <c r="AA59" s="64" t="n"/>
      <c r="AB59" s="39" t="n"/>
      <c r="AC59" s="64" t="n"/>
      <c r="AD59" s="64" t="n"/>
      <c r="AE59" s="64" t="n"/>
      <c r="AF59" s="64" t="n"/>
      <c r="AG59" s="64" t="n"/>
      <c r="AH59" s="64" t="n"/>
      <c r="AI59" s="64" t="n"/>
      <c r="AJ59" s="64" t="n"/>
      <c r="AK59" s="64" t="n"/>
      <c r="AL59" s="64" t="n"/>
      <c r="AM59" s="64" t="n"/>
      <c r="AN59" s="64" t="n"/>
      <c r="AO59" s="64" t="n"/>
      <c r="AP59" s="64" t="n"/>
      <c r="AQ59" s="64" t="n"/>
    </row>
    <row r="60">
      <c r="A60" s="64" t="n"/>
      <c r="B60" s="64" t="n"/>
      <c r="C60" s="64" t="n"/>
      <c r="D60" s="34" t="n"/>
      <c r="E60" s="64" t="n"/>
      <c r="F60" s="64" t="n"/>
      <c r="G60" s="64" t="n"/>
      <c r="H60" s="64" t="n"/>
      <c r="I60" s="64" t="n"/>
      <c r="J60" s="64" t="n"/>
      <c r="K60" s="47" t="n"/>
      <c r="L60" s="64" t="n"/>
      <c r="M60" s="64" t="n"/>
      <c r="N60" s="64" t="n"/>
      <c r="O60" s="47" t="n"/>
      <c r="P60" s="64" t="n"/>
      <c r="Q60" s="37" t="n"/>
      <c r="R60" s="64" t="n"/>
      <c r="S60" s="37" t="n"/>
      <c r="T60" s="37" t="n"/>
      <c r="U60" s="37" t="n"/>
      <c r="V60" s="37" t="n"/>
      <c r="W60" s="37" t="n"/>
      <c r="X60" s="37" t="n"/>
      <c r="Y60" s="37" t="n"/>
      <c r="Z60" s="37" t="n"/>
      <c r="AA60" s="37" t="n"/>
      <c r="AB60" s="38" t="n"/>
      <c r="AC60" s="64" t="n"/>
      <c r="AD60" s="64" t="n"/>
      <c r="AE60" s="64" t="n"/>
      <c r="AF60" s="64" t="n"/>
      <c r="AG60" s="64" t="n"/>
      <c r="AH60" s="64" t="n"/>
      <c r="AI60" s="64" t="n"/>
      <c r="AJ60" s="64" t="n"/>
      <c r="AK60" s="64" t="n"/>
      <c r="AL60" s="64" t="n"/>
      <c r="AM60" s="64" t="n"/>
      <c r="AN60" s="64" t="n"/>
      <c r="AO60" s="64" t="n"/>
      <c r="AP60" s="64" t="n"/>
      <c r="AQ60" s="64" t="n"/>
    </row>
    <row r="61">
      <c r="A61" s="64" t="n"/>
      <c r="B61" s="64" t="n"/>
      <c r="C61" s="64" t="n"/>
      <c r="D61" s="34" t="n"/>
      <c r="E61" s="64" t="n"/>
      <c r="F61" s="64" t="n"/>
      <c r="G61" s="64" t="n"/>
      <c r="H61" s="64" t="n"/>
      <c r="I61" s="64" t="n"/>
      <c r="J61" s="64" t="n"/>
      <c r="K61" s="47" t="n"/>
      <c r="L61" s="64" t="n"/>
      <c r="M61" s="64" t="n"/>
      <c r="N61" s="64" t="n"/>
      <c r="O61" s="47" t="n"/>
      <c r="P61" s="64" t="n"/>
      <c r="Q61" s="64" t="n"/>
      <c r="R61" s="64" t="n"/>
      <c r="S61" s="64" t="n"/>
      <c r="T61" s="64" t="n"/>
      <c r="U61" s="64" t="n"/>
      <c r="V61" s="64" t="n"/>
      <c r="W61" s="64" t="n"/>
      <c r="X61" s="64" t="n"/>
      <c r="Y61" s="64" t="n"/>
      <c r="Z61" s="64" t="n"/>
      <c r="AA61" s="64" t="n"/>
      <c r="AB61" s="39" t="n"/>
      <c r="AC61" s="64" t="n"/>
      <c r="AD61" s="64" t="n"/>
      <c r="AE61" s="64" t="n"/>
      <c r="AF61" s="64" t="n"/>
      <c r="AG61" s="64" t="n"/>
      <c r="AH61" s="64" t="n"/>
      <c r="AI61" s="64" t="n"/>
      <c r="AJ61" s="64" t="n"/>
      <c r="AK61" s="64" t="n"/>
      <c r="AL61" s="64" t="n"/>
      <c r="AM61" s="64" t="n"/>
      <c r="AN61" s="64" t="n"/>
      <c r="AO61" s="64" t="n"/>
      <c r="AP61" s="64" t="n"/>
      <c r="AQ61" s="64" t="n"/>
    </row>
    <row r="62">
      <c r="A62" s="64" t="n"/>
      <c r="B62" s="64" t="n"/>
      <c r="C62" s="64" t="n"/>
      <c r="D62" s="34" t="n"/>
      <c r="E62" s="64" t="n"/>
      <c r="F62" s="64" t="n"/>
      <c r="G62" s="64" t="n"/>
      <c r="H62" s="64" t="n"/>
      <c r="I62" s="64" t="n"/>
      <c r="J62" s="64" t="n"/>
      <c r="K62" s="47" t="n"/>
      <c r="L62" s="64" t="n"/>
      <c r="M62" s="64" t="n"/>
      <c r="N62" s="64" t="n"/>
      <c r="O62" s="47" t="n"/>
      <c r="P62" s="64" t="n"/>
      <c r="Q62" s="64" t="n"/>
      <c r="R62" s="64" t="n"/>
      <c r="S62" s="64" t="n"/>
      <c r="T62" s="64" t="n"/>
      <c r="U62" s="64" t="n"/>
      <c r="V62" s="64" t="n"/>
      <c r="W62" s="64" t="n"/>
      <c r="X62" s="64" t="n"/>
      <c r="Y62" s="64" t="n"/>
      <c r="Z62" s="64" t="n"/>
      <c r="AA62" s="64" t="n"/>
      <c r="AB62" s="39" t="n"/>
      <c r="AC62" s="64" t="n"/>
      <c r="AD62" s="64" t="n"/>
      <c r="AE62" s="64" t="n"/>
      <c r="AF62" s="64" t="n"/>
      <c r="AG62" s="64" t="n"/>
      <c r="AH62" s="64" t="n"/>
      <c r="AI62" s="64" t="n"/>
      <c r="AJ62" s="64" t="n"/>
      <c r="AK62" s="64" t="n"/>
      <c r="AL62" s="64" t="n"/>
      <c r="AM62" s="64" t="n"/>
      <c r="AN62" s="64" t="n"/>
      <c r="AO62" s="64" t="n"/>
      <c r="AP62" s="64" t="n"/>
      <c r="AQ62" s="64" t="n"/>
    </row>
    <row r="63">
      <c r="A63" s="64" t="n"/>
      <c r="B63" s="64" t="n"/>
      <c r="C63" s="64" t="n"/>
      <c r="D63" s="34" t="n"/>
      <c r="E63" s="64" t="n"/>
      <c r="F63" s="64" t="n"/>
      <c r="G63" s="64" t="n"/>
      <c r="H63" s="64" t="n"/>
      <c r="I63" s="64" t="n"/>
      <c r="J63" s="64" t="n"/>
      <c r="K63" s="47" t="n"/>
      <c r="L63" s="64" t="n"/>
      <c r="M63" s="64" t="n"/>
      <c r="N63" s="64" t="n"/>
      <c r="O63" s="47" t="n"/>
      <c r="P63" s="64" t="n"/>
      <c r="Q63" s="64" t="n"/>
      <c r="R63" s="64" t="n"/>
      <c r="S63" s="64" t="n"/>
      <c r="T63" s="64" t="n"/>
      <c r="U63" s="64" t="n"/>
      <c r="V63" s="64" t="n"/>
      <c r="W63" s="64" t="n"/>
      <c r="X63" s="64" t="n"/>
      <c r="Y63" s="64" t="n"/>
      <c r="Z63" s="64" t="n"/>
      <c r="AA63" s="64" t="n"/>
      <c r="AB63" s="39" t="n"/>
      <c r="AC63" s="64" t="n"/>
      <c r="AD63" s="64" t="n"/>
      <c r="AE63" s="64" t="n"/>
      <c r="AF63" s="64" t="n"/>
      <c r="AG63" s="64" t="n"/>
      <c r="AH63" s="64" t="n"/>
      <c r="AI63" s="64" t="n"/>
      <c r="AJ63" s="64" t="n"/>
      <c r="AK63" s="64" t="n"/>
      <c r="AL63" s="64" t="n"/>
      <c r="AM63" s="64" t="n"/>
      <c r="AN63" s="64" t="n"/>
      <c r="AO63" s="64" t="n"/>
      <c r="AP63" s="64" t="n"/>
      <c r="AQ63" s="64" t="n"/>
    </row>
    <row r="64">
      <c r="A64" s="64" t="n"/>
      <c r="B64" s="64" t="n"/>
      <c r="C64" s="64" t="n"/>
      <c r="D64" s="34" t="n"/>
      <c r="E64" s="64" t="n"/>
      <c r="F64" s="64" t="n"/>
      <c r="G64" s="64" t="n"/>
      <c r="H64" s="64" t="n"/>
      <c r="I64" s="64" t="n"/>
      <c r="J64" s="64" t="n"/>
      <c r="K64" s="47" t="n"/>
      <c r="L64" s="64" t="n"/>
      <c r="M64" s="64" t="n"/>
      <c r="N64" s="64" t="n"/>
      <c r="O64" s="47" t="n"/>
      <c r="P64" s="64" t="n"/>
      <c r="Q64" s="64" t="n"/>
      <c r="R64" s="64" t="n"/>
      <c r="S64" s="64" t="n"/>
      <c r="T64" s="64" t="n"/>
      <c r="U64" s="64" t="n"/>
      <c r="V64" s="64" t="n"/>
      <c r="W64" s="64" t="n"/>
      <c r="X64" s="64" t="n"/>
      <c r="Y64" s="64" t="n"/>
      <c r="Z64" s="64" t="n"/>
      <c r="AA64" s="64" t="n"/>
      <c r="AB64" s="39" t="n"/>
      <c r="AC64" s="64" t="n"/>
      <c r="AD64" s="64" t="n"/>
      <c r="AE64" s="64" t="n"/>
      <c r="AF64" s="64" t="n"/>
      <c r="AG64" s="64" t="n"/>
      <c r="AH64" s="64" t="n"/>
      <c r="AI64" s="64" t="n"/>
      <c r="AJ64" s="64" t="n"/>
      <c r="AK64" s="64" t="n"/>
      <c r="AL64" s="64" t="n"/>
      <c r="AM64" s="64" t="n"/>
      <c r="AN64" s="64" t="n"/>
      <c r="AO64" s="64" t="n"/>
      <c r="AP64" s="64" t="n"/>
      <c r="AQ64" s="64" t="n"/>
    </row>
    <row r="65">
      <c r="A65" s="64" t="n"/>
      <c r="B65" s="64" t="n"/>
      <c r="C65" s="64" t="n"/>
      <c r="D65" s="34" t="n"/>
      <c r="E65" s="64" t="n"/>
      <c r="F65" s="64" t="n"/>
      <c r="G65" s="64" t="n"/>
      <c r="H65" s="64" t="n"/>
      <c r="I65" s="64" t="n"/>
      <c r="J65" s="64" t="n"/>
      <c r="K65" s="47" t="n"/>
      <c r="L65" s="64" t="n"/>
      <c r="M65" s="64" t="n"/>
      <c r="N65" s="64" t="n"/>
      <c r="O65" s="47" t="n"/>
      <c r="P65" s="64" t="n"/>
      <c r="Q65" s="64" t="n"/>
      <c r="R65" s="72" t="n"/>
      <c r="S65" s="73" t="n"/>
      <c r="T65" s="64" t="n"/>
      <c r="U65" s="64" t="n"/>
      <c r="V65" s="64" t="n"/>
      <c r="W65" s="64" t="n"/>
      <c r="X65" s="64" t="n"/>
      <c r="Y65" s="64" t="n"/>
      <c r="Z65" s="64" t="n"/>
      <c r="AA65" s="64" t="n"/>
      <c r="AB65" s="39" t="n"/>
      <c r="AC65" s="64" t="n"/>
      <c r="AD65" s="64" t="n"/>
      <c r="AE65" s="64" t="n"/>
      <c r="AF65" s="64" t="n"/>
      <c r="AG65" s="64" t="n"/>
      <c r="AH65" s="64" t="n"/>
      <c r="AI65" s="64" t="n"/>
      <c r="AJ65" s="64" t="n"/>
      <c r="AK65" s="64" t="n"/>
      <c r="AL65" s="64" t="n"/>
      <c r="AM65" s="64" t="n"/>
      <c r="AN65" s="64" t="n"/>
      <c r="AO65" s="64" t="n"/>
      <c r="AP65" s="64" t="n"/>
      <c r="AQ65" s="64" t="n"/>
    </row>
    <row r="66">
      <c r="A66" s="64" t="n"/>
      <c r="B66" s="64" t="n"/>
      <c r="C66" s="64" t="n"/>
      <c r="D66" s="34" t="n"/>
      <c r="E66" s="64" t="n"/>
      <c r="F66" s="64" t="n"/>
      <c r="G66" s="64" t="n"/>
      <c r="H66" s="64" t="n"/>
      <c r="I66" s="64" t="n"/>
      <c r="J66" s="64" t="n"/>
      <c r="K66" s="47" t="n"/>
      <c r="L66" s="64" t="n"/>
      <c r="M66" s="64" t="n"/>
      <c r="N66" s="64" t="n"/>
      <c r="O66" s="47" t="n"/>
      <c r="P66" s="64" t="n"/>
      <c r="Q66" s="64" t="n"/>
      <c r="R66" s="72" t="n"/>
      <c r="S66" s="74" t="n"/>
      <c r="T66" s="64" t="n"/>
      <c r="U66" s="64" t="n"/>
      <c r="V66" s="64" t="n"/>
      <c r="W66" s="64" t="n"/>
      <c r="X66" s="64" t="n"/>
      <c r="Y66" s="64" t="n"/>
      <c r="Z66" s="64" t="n"/>
      <c r="AA66" s="64" t="n"/>
      <c r="AB66" s="39" t="n"/>
      <c r="AC66" s="64" t="n"/>
      <c r="AD66" s="64" t="n"/>
      <c r="AE66" s="64" t="n"/>
      <c r="AF66" s="64" t="n"/>
      <c r="AG66" s="64" t="n"/>
      <c r="AH66" s="64" t="n"/>
      <c r="AI66" s="64" t="n"/>
      <c r="AJ66" s="64" t="n"/>
      <c r="AK66" s="64" t="n"/>
      <c r="AL66" s="64" t="n"/>
      <c r="AM66" s="64" t="n"/>
      <c r="AN66" s="64" t="n"/>
      <c r="AO66" s="64" t="n"/>
      <c r="AP66" s="64" t="n"/>
      <c r="AQ66" s="64" t="n"/>
    </row>
    <row r="67">
      <c r="A67" s="64" t="n"/>
      <c r="B67" s="64" t="n"/>
      <c r="C67" s="64" t="n"/>
      <c r="D67" s="34" t="n"/>
      <c r="E67" s="64" t="n"/>
      <c r="F67" s="64" t="n"/>
      <c r="G67" s="64" t="n"/>
      <c r="H67" s="64" t="n"/>
      <c r="I67" s="64" t="n"/>
      <c r="J67" s="64" t="n"/>
      <c r="K67" s="47" t="n"/>
      <c r="L67" s="64" t="n"/>
      <c r="M67" s="64" t="n"/>
      <c r="N67" s="64" t="n"/>
      <c r="O67" s="47" t="n"/>
      <c r="P67" s="64" t="n"/>
      <c r="Q67" s="64" t="n"/>
      <c r="R67" s="72" t="n"/>
      <c r="S67" s="75" t="n"/>
      <c r="T67" s="64" t="n"/>
      <c r="U67" s="64" t="n"/>
      <c r="V67" s="64" t="n"/>
      <c r="W67" s="64" t="n"/>
      <c r="X67" s="64" t="n"/>
      <c r="Y67" s="64" t="n"/>
      <c r="Z67" s="64" t="n"/>
      <c r="AA67" s="64" t="n"/>
      <c r="AB67" s="39" t="n"/>
      <c r="AC67" s="64" t="n"/>
      <c r="AD67" s="64" t="n"/>
      <c r="AE67" s="64" t="n"/>
      <c r="AF67" s="64" t="n"/>
      <c r="AG67" s="64" t="n"/>
      <c r="AH67" s="64" t="n"/>
      <c r="AI67" s="64" t="n"/>
      <c r="AJ67" s="64" t="n"/>
      <c r="AK67" s="64" t="n"/>
      <c r="AL67" s="64" t="n"/>
      <c r="AM67" s="64" t="n"/>
      <c r="AN67" s="64" t="n"/>
      <c r="AO67" s="64" t="n"/>
      <c r="AP67" s="64" t="n"/>
      <c r="AQ67" s="64" t="n"/>
    </row>
    <row r="68">
      <c r="A68" s="64" t="n"/>
      <c r="B68" s="64" t="n"/>
      <c r="C68" s="64" t="n"/>
      <c r="D68" s="64" t="n"/>
      <c r="E68" s="64" t="n"/>
      <c r="F68" s="64" t="n"/>
      <c r="G68" s="64" t="n"/>
      <c r="H68" s="64" t="n"/>
      <c r="I68" s="64" t="n"/>
      <c r="J68" s="64" t="n"/>
      <c r="K68" s="64" t="n"/>
      <c r="L68" s="64" t="n"/>
      <c r="M68" s="64" t="n"/>
      <c r="N68" s="64" t="n"/>
      <c r="O68" s="64" t="n"/>
      <c r="P68" s="64" t="n"/>
      <c r="Q68" s="64" t="n"/>
      <c r="R68" s="76" t="n"/>
      <c r="S68" s="75" t="n"/>
      <c r="T68" s="64" t="n"/>
      <c r="U68" s="64" t="n"/>
      <c r="V68" s="64" t="n"/>
      <c r="W68" s="64" t="n"/>
      <c r="X68" s="64" t="n"/>
      <c r="Y68" s="64" t="n"/>
      <c r="Z68" s="64" t="n"/>
      <c r="AA68" s="64" t="n"/>
      <c r="AB68" s="39" t="n"/>
      <c r="AC68" s="64" t="n"/>
      <c r="AD68" s="64" t="n"/>
      <c r="AE68" s="64" t="n"/>
      <c r="AF68" s="64" t="n"/>
      <c r="AG68" s="64" t="n"/>
      <c r="AH68" s="64" t="n"/>
      <c r="AI68" s="64" t="n"/>
      <c r="AJ68" s="64" t="n"/>
      <c r="AK68" s="64" t="n"/>
      <c r="AL68" s="64" t="n"/>
      <c r="AM68" s="64" t="n"/>
      <c r="AN68" s="64" t="n"/>
      <c r="AO68" s="64" t="n"/>
      <c r="AP68" s="64" t="n"/>
      <c r="AQ68" s="64" t="n"/>
    </row>
    <row r="69">
      <c r="A69" s="64" t="n"/>
      <c r="B69" s="64" t="n"/>
      <c r="C69" s="64" t="n"/>
      <c r="D69" s="64" t="n"/>
      <c r="E69" s="64" t="n"/>
      <c r="F69" s="64" t="n"/>
      <c r="G69" s="64" t="n"/>
      <c r="H69" s="64" t="n"/>
      <c r="I69" s="64" t="n"/>
      <c r="J69" s="64" t="n"/>
      <c r="K69" s="64" t="n"/>
      <c r="L69" s="64" t="n"/>
      <c r="M69" s="64" t="n"/>
      <c r="N69" s="64" t="n"/>
      <c r="O69" s="64" t="n"/>
      <c r="P69" s="64" t="n"/>
      <c r="Q69" s="64" t="n"/>
      <c r="R69" s="76" t="n"/>
      <c r="S69" s="76" t="n"/>
      <c r="T69" s="64" t="n"/>
      <c r="U69" s="64" t="n"/>
      <c r="V69" s="64" t="n"/>
      <c r="W69" s="64" t="n"/>
      <c r="X69" s="64" t="n"/>
      <c r="Y69" s="64" t="n"/>
      <c r="Z69" s="64" t="n"/>
      <c r="AA69" s="64" t="n"/>
      <c r="AB69" s="39" t="n"/>
      <c r="AC69" s="64" t="n"/>
      <c r="AD69" s="64" t="n"/>
      <c r="AE69" s="64" t="n"/>
      <c r="AF69" s="64" t="n"/>
      <c r="AG69" s="64" t="n"/>
      <c r="AH69" s="64" t="n"/>
      <c r="AI69" s="64" t="n"/>
      <c r="AJ69" s="64" t="n"/>
      <c r="AK69" s="64" t="n"/>
      <c r="AL69" s="64" t="n"/>
      <c r="AM69" s="64" t="n"/>
      <c r="AN69" s="64" t="n"/>
      <c r="AO69" s="64" t="n"/>
      <c r="AP69" s="64" t="n"/>
      <c r="AQ69" s="64" t="n"/>
    </row>
    <row r="70">
      <c r="A70" s="64" t="n"/>
      <c r="B70" s="64" t="n"/>
      <c r="C70" s="64" t="n"/>
      <c r="D70" s="64" t="n"/>
      <c r="E70" s="64" t="n"/>
      <c r="F70" s="64" t="n"/>
      <c r="G70" s="64" t="n"/>
      <c r="H70" s="64" t="n"/>
      <c r="I70" s="64" t="n"/>
      <c r="J70" s="64" t="n"/>
      <c r="K70" s="64" t="n"/>
      <c r="L70" s="64" t="n"/>
      <c r="M70" s="64" t="n"/>
      <c r="N70" s="64" t="n"/>
      <c r="O70" s="64" t="n"/>
      <c r="P70" s="64" t="n"/>
      <c r="Q70" s="64" t="n"/>
      <c r="R70" s="76" t="n"/>
      <c r="S70" s="75" t="n"/>
      <c r="T70" s="64" t="n"/>
      <c r="U70" s="64" t="n"/>
      <c r="V70" s="64" t="n"/>
      <c r="W70" s="64" t="n"/>
      <c r="X70" s="64" t="n"/>
      <c r="Y70" s="64" t="n"/>
      <c r="Z70" s="64" t="n"/>
      <c r="AA70" s="64" t="n"/>
      <c r="AB70" s="39" t="n"/>
      <c r="AC70" s="64" t="n"/>
      <c r="AD70" s="64" t="n"/>
      <c r="AE70" s="64" t="n"/>
      <c r="AF70" s="64" t="n"/>
      <c r="AG70" s="64" t="n"/>
      <c r="AH70" s="64" t="n"/>
      <c r="AI70" s="64" t="n"/>
      <c r="AJ70" s="64" t="n"/>
      <c r="AK70" s="64" t="n"/>
      <c r="AL70" s="64" t="n"/>
      <c r="AM70" s="64" t="n"/>
      <c r="AN70" s="64" t="n"/>
      <c r="AO70" s="64" t="n"/>
      <c r="AP70" s="64" t="n"/>
      <c r="AQ70" s="64" t="n"/>
    </row>
    <row r="71">
      <c r="A71" s="64" t="n"/>
      <c r="B71" s="64" t="n"/>
      <c r="C71" s="64" t="n"/>
      <c r="D71" s="64" t="n"/>
      <c r="E71" s="64" t="n"/>
      <c r="F71" s="64" t="n"/>
      <c r="G71" s="64" t="n"/>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c r="AB71" s="39" t="n"/>
      <c r="AC71" s="64" t="n"/>
      <c r="AD71" s="64" t="n"/>
      <c r="AE71" s="64" t="n"/>
      <c r="AF71" s="64" t="n"/>
      <c r="AG71" s="64" t="n"/>
      <c r="AH71" s="64" t="n"/>
      <c r="AI71" s="64" t="n"/>
      <c r="AJ71" s="64" t="n"/>
      <c r="AK71" s="64" t="n"/>
      <c r="AL71" s="64" t="n"/>
      <c r="AM71" s="64" t="n"/>
      <c r="AN71" s="64" t="n"/>
      <c r="AO71" s="64" t="n"/>
      <c r="AP71" s="64" t="n"/>
      <c r="AQ71" s="64" t="n"/>
    </row>
    <row r="72">
      <c r="A72" s="64" t="n"/>
      <c r="B72" s="64" t="n"/>
      <c r="C72" s="64" t="n"/>
      <c r="D72" s="64" t="n"/>
      <c r="E72" s="64" t="n"/>
      <c r="F72" s="64" t="n"/>
      <c r="G72" s="64" t="n"/>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c r="AB72" s="39" t="n"/>
      <c r="AC72" s="64" t="n"/>
      <c r="AD72" s="64" t="n"/>
      <c r="AE72" s="64" t="n"/>
      <c r="AF72" s="64" t="n"/>
      <c r="AG72" s="64" t="n"/>
      <c r="AH72" s="64" t="n"/>
      <c r="AI72" s="64" t="n"/>
      <c r="AJ72" s="64" t="n"/>
      <c r="AK72" s="64" t="n"/>
      <c r="AL72" s="64" t="n"/>
      <c r="AM72" s="64" t="n"/>
      <c r="AN72" s="64" t="n"/>
      <c r="AO72" s="64" t="n"/>
      <c r="AP72" s="64" t="n"/>
      <c r="AQ72" s="64" t="n"/>
    </row>
    <row r="73">
      <c r="A73" s="64" t="n"/>
      <c r="B73" s="64" t="n"/>
      <c r="C73" s="64" t="n"/>
      <c r="D73" s="64" t="n"/>
      <c r="E73" s="64" t="n"/>
      <c r="F73" s="6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c r="AB73" s="39" t="n"/>
      <c r="AC73" s="64" t="n"/>
      <c r="AD73" s="64" t="n"/>
      <c r="AE73" s="64" t="n"/>
      <c r="AF73" s="64" t="n"/>
      <c r="AG73" s="64" t="n"/>
      <c r="AH73" s="64" t="n"/>
      <c r="AI73" s="64" t="n"/>
      <c r="AJ73" s="64" t="n"/>
      <c r="AK73" s="64" t="n"/>
      <c r="AL73" s="64" t="n"/>
      <c r="AM73" s="64" t="n"/>
      <c r="AN73" s="64" t="n"/>
      <c r="AO73" s="64" t="n"/>
      <c r="AP73" s="64" t="n"/>
      <c r="AQ73" s="64" t="n"/>
    </row>
    <row r="74">
      <c r="A74" s="64" t="n"/>
      <c r="B74" s="64" t="n"/>
      <c r="C74" s="64" t="n"/>
      <c r="D74" s="64" t="n"/>
      <c r="E74" s="64" t="n"/>
      <c r="F74" s="64" t="n"/>
      <c r="G74" s="64"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c r="AB74" s="39" t="n"/>
      <c r="AC74" s="64" t="n"/>
      <c r="AD74" s="64" t="n"/>
      <c r="AE74" s="64" t="n"/>
      <c r="AF74" s="64" t="n"/>
      <c r="AG74" s="64" t="n"/>
      <c r="AH74" s="64" t="n"/>
      <c r="AI74" s="64" t="n"/>
      <c r="AJ74" s="64" t="n"/>
      <c r="AK74" s="64" t="n"/>
      <c r="AL74" s="64" t="n"/>
      <c r="AM74" s="64" t="n"/>
      <c r="AN74" s="64" t="n"/>
      <c r="AO74" s="64" t="n"/>
      <c r="AP74" s="64" t="n"/>
      <c r="AQ74" s="64" t="n"/>
    </row>
    <row r="75">
      <c r="A75" s="64" t="n"/>
      <c r="B75" s="64" t="n"/>
      <c r="C75" s="64" t="n"/>
      <c r="D75" s="64" t="n"/>
      <c r="E75" s="64" t="n"/>
      <c r="F75" s="64" t="n"/>
      <c r="G75" s="64"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c r="AB75" s="39" t="n"/>
      <c r="AC75" s="64" t="n"/>
      <c r="AD75" s="64" t="n"/>
      <c r="AE75" s="64" t="n"/>
      <c r="AF75" s="64" t="n"/>
      <c r="AG75" s="64" t="n"/>
      <c r="AH75" s="64" t="n"/>
      <c r="AI75" s="64" t="n"/>
      <c r="AJ75" s="64" t="n"/>
      <c r="AK75" s="64" t="n"/>
      <c r="AL75" s="64" t="n"/>
      <c r="AM75" s="64" t="n"/>
      <c r="AN75" s="64" t="n"/>
      <c r="AO75" s="64" t="n"/>
      <c r="AP75" s="64" t="n"/>
      <c r="AQ75" s="64" t="n"/>
    </row>
    <row r="76">
      <c r="A76" s="64" t="n"/>
      <c r="B76" s="64" t="n"/>
      <c r="C76" s="64" t="n"/>
      <c r="D76" s="64" t="n"/>
      <c r="E76" s="64" t="n"/>
      <c r="F76" s="64" t="n"/>
      <c r="G76" s="64" t="n"/>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c r="AB76" s="39" t="n"/>
      <c r="AC76" s="64" t="n"/>
      <c r="AD76" s="64" t="n"/>
      <c r="AE76" s="64" t="n"/>
      <c r="AF76" s="64" t="n"/>
      <c r="AG76" s="64" t="n"/>
      <c r="AH76" s="64" t="n"/>
      <c r="AI76" s="64" t="n"/>
      <c r="AJ76" s="64" t="n"/>
      <c r="AK76" s="64" t="n"/>
      <c r="AL76" s="64" t="n"/>
      <c r="AM76" s="64" t="n"/>
      <c r="AN76" s="64" t="n"/>
      <c r="AO76" s="64" t="n"/>
      <c r="AP76" s="64" t="n"/>
      <c r="AQ76" s="64" t="n"/>
    </row>
    <row r="77">
      <c r="A77" s="64" t="n"/>
      <c r="B77" s="64" t="n"/>
      <c r="C77" s="64" t="n"/>
      <c r="D77" s="64" t="n"/>
      <c r="E77" s="64" t="n"/>
      <c r="F77" s="64" t="n"/>
      <c r="G77" s="64"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c r="AB77" s="39" t="n"/>
      <c r="AC77" s="64" t="n"/>
      <c r="AD77" s="64" t="n"/>
      <c r="AE77" s="64" t="n"/>
      <c r="AF77" s="64" t="n"/>
      <c r="AG77" s="64" t="n"/>
      <c r="AH77" s="64" t="n"/>
      <c r="AI77" s="64" t="n"/>
      <c r="AJ77" s="64" t="n"/>
      <c r="AK77" s="64" t="n"/>
      <c r="AL77" s="64" t="n"/>
      <c r="AM77" s="64" t="n"/>
      <c r="AN77" s="64" t="n"/>
      <c r="AO77" s="64" t="n"/>
      <c r="AP77" s="64" t="n"/>
      <c r="AQ77" s="64" t="n"/>
    </row>
    <row r="78">
      <c r="A78" s="64" t="n"/>
      <c r="B78" s="64" t="n"/>
      <c r="C78" s="64" t="n"/>
      <c r="D78" s="34" t="n"/>
      <c r="E78" s="64" t="n"/>
      <c r="F78" s="64" t="n"/>
      <c r="G78" s="64"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c r="AB78" s="39" t="n"/>
      <c r="AC78" s="64" t="n"/>
      <c r="AD78" s="64" t="n"/>
      <c r="AE78" s="64" t="n"/>
      <c r="AF78" s="64" t="n"/>
      <c r="AG78" s="64" t="n"/>
      <c r="AH78" s="64" t="n"/>
      <c r="AI78" s="64" t="n"/>
      <c r="AJ78" s="64" t="n"/>
      <c r="AK78" s="64" t="n"/>
      <c r="AL78" s="64" t="n"/>
      <c r="AM78" s="64" t="n"/>
      <c r="AN78" s="64" t="n"/>
      <c r="AO78" s="64" t="n"/>
      <c r="AP78" s="64" t="n"/>
      <c r="AQ78" s="64" t="n"/>
    </row>
    <row r="79">
      <c r="A79" s="64" t="n"/>
      <c r="B79" s="64" t="n"/>
      <c r="C79" s="64" t="n"/>
      <c r="D79" s="34" t="n"/>
      <c r="E79" s="64" t="n"/>
      <c r="F79" s="64" t="n"/>
      <c r="G79" s="64"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c r="AB79" s="39" t="n"/>
      <c r="AC79" s="64" t="n"/>
      <c r="AD79" s="64" t="n"/>
      <c r="AE79" s="64" t="n"/>
      <c r="AF79" s="64" t="n"/>
      <c r="AG79" s="64" t="n"/>
      <c r="AH79" s="64" t="n"/>
      <c r="AI79" s="64" t="n"/>
      <c r="AJ79" s="64" t="n"/>
      <c r="AK79" s="64" t="n"/>
      <c r="AL79" s="64" t="n"/>
      <c r="AM79" s="64" t="n"/>
      <c r="AN79" s="64" t="n"/>
      <c r="AO79" s="64" t="n"/>
      <c r="AP79" s="64" t="n"/>
      <c r="AQ79" s="64" t="n"/>
    </row>
    <row r="80">
      <c r="A80" s="64" t="n"/>
      <c r="B80" s="64" t="n"/>
      <c r="C80" s="64" t="n"/>
      <c r="D80" s="34" t="n"/>
      <c r="E80" s="64" t="n"/>
      <c r="F80" s="6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c r="AB80" s="39" t="n"/>
      <c r="AC80" s="64" t="n"/>
      <c r="AD80" s="64" t="n"/>
      <c r="AE80" s="64" t="n"/>
      <c r="AF80" s="64" t="n"/>
      <c r="AG80" s="64" t="n"/>
      <c r="AH80" s="64" t="n"/>
      <c r="AI80" s="64" t="n"/>
      <c r="AJ80" s="64" t="n"/>
      <c r="AK80" s="64" t="n"/>
      <c r="AL80" s="64" t="n"/>
      <c r="AM80" s="64" t="n"/>
      <c r="AN80" s="64" t="n"/>
      <c r="AO80" s="64" t="n"/>
      <c r="AP80" s="64" t="n"/>
      <c r="AQ80" s="64" t="n"/>
    </row>
    <row r="81">
      <c r="A81" s="64" t="n"/>
      <c r="B81" s="64" t="n"/>
      <c r="C81" s="64" t="n"/>
      <c r="D81" s="34" t="n"/>
      <c r="E81" s="64" t="n"/>
      <c r="F81" s="64" t="n"/>
      <c r="G81" s="64" t="n"/>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c r="AB81" s="39" t="n"/>
      <c r="AC81" s="64" t="n"/>
      <c r="AD81" s="64" t="n"/>
      <c r="AE81" s="64" t="n"/>
      <c r="AF81" s="64" t="n"/>
      <c r="AG81" s="64" t="n"/>
      <c r="AH81" s="64" t="n"/>
      <c r="AI81" s="64" t="n"/>
      <c r="AJ81" s="64" t="n"/>
      <c r="AK81" s="64" t="n"/>
      <c r="AL81" s="64" t="n"/>
      <c r="AM81" s="64" t="n"/>
      <c r="AN81" s="64" t="n"/>
      <c r="AO81" s="64" t="n"/>
      <c r="AP81" s="64" t="n"/>
      <c r="AQ81" s="64" t="n"/>
    </row>
    <row r="82">
      <c r="A82" s="64" t="n"/>
      <c r="B82" s="64" t="n"/>
      <c r="C82" s="64" t="n"/>
      <c r="D82" s="34" t="n"/>
      <c r="E82" s="64" t="n"/>
      <c r="F82" s="64" t="n"/>
      <c r="G82" s="64" t="n"/>
      <c r="H82" s="64" t="n"/>
      <c r="I82" s="64" t="n"/>
      <c r="J82" s="187" t="n"/>
      <c r="K82" s="64" t="n"/>
      <c r="L82" s="64" t="n"/>
      <c r="M82" s="64" t="n"/>
      <c r="N82" s="64" t="n"/>
      <c r="O82" s="64" t="n"/>
      <c r="P82" s="64" t="n"/>
      <c r="Q82" s="64" t="n"/>
      <c r="R82" s="64" t="n"/>
      <c r="S82" s="64" t="n"/>
      <c r="T82" s="64" t="n"/>
      <c r="U82" s="64" t="n"/>
      <c r="V82" s="64" t="n"/>
      <c r="W82" s="64" t="n"/>
      <c r="X82" s="64" t="n"/>
      <c r="Y82" s="64" t="n"/>
      <c r="Z82" s="64" t="n"/>
      <c r="AA82" s="64" t="n"/>
      <c r="AB82" s="39" t="n"/>
      <c r="AC82" s="64" t="n"/>
      <c r="AD82" s="64" t="n"/>
      <c r="AE82" s="64" t="n"/>
      <c r="AF82" s="64" t="n"/>
      <c r="AG82" s="64" t="n"/>
      <c r="AH82" s="64" t="n"/>
      <c r="AI82" s="64" t="n"/>
      <c r="AJ82" s="64" t="n"/>
      <c r="AK82" s="64" t="n"/>
      <c r="AL82" s="64" t="n"/>
      <c r="AM82" s="64" t="n"/>
      <c r="AN82" s="64" t="n"/>
      <c r="AO82" s="64" t="n"/>
      <c r="AP82" s="64" t="n"/>
      <c r="AQ82" s="64" t="n"/>
    </row>
    <row r="83">
      <c r="A83" s="64" t="n"/>
      <c r="B83" s="64" t="n"/>
      <c r="C83" s="64" t="n"/>
      <c r="D83" s="34" t="n"/>
      <c r="E83" s="64" t="n"/>
      <c r="F83" s="64" t="n"/>
      <c r="G83" s="64" t="n"/>
      <c r="H83" s="64" t="n"/>
      <c r="I83" s="64" t="n"/>
      <c r="J83" s="187" t="n"/>
      <c r="K83" s="64" t="n"/>
      <c r="L83" s="64" t="n"/>
      <c r="M83" s="64" t="n"/>
      <c r="N83" s="64" t="n"/>
      <c r="O83" s="64" t="n"/>
      <c r="P83" s="64" t="n"/>
      <c r="Q83" s="64" t="n"/>
      <c r="R83" s="64" t="n"/>
      <c r="S83" s="64" t="n"/>
      <c r="T83" s="64" t="n"/>
      <c r="U83" s="64" t="n"/>
      <c r="V83" s="64" t="n"/>
      <c r="W83" s="64" t="n"/>
      <c r="X83" s="64" t="n"/>
      <c r="Y83" s="64" t="n"/>
      <c r="Z83" s="64" t="n"/>
      <c r="AA83" s="64" t="n"/>
      <c r="AB83" s="39" t="n"/>
      <c r="AC83" s="64" t="n"/>
      <c r="AD83" s="64" t="n"/>
      <c r="AE83" s="64" t="n"/>
      <c r="AF83" s="64" t="n"/>
      <c r="AG83" s="64" t="n"/>
      <c r="AH83" s="64" t="n"/>
      <c r="AI83" s="64" t="n"/>
      <c r="AJ83" s="64" t="n"/>
      <c r="AK83" s="64" t="n"/>
      <c r="AL83" s="64" t="n"/>
      <c r="AM83" s="64" t="n"/>
      <c r="AN83" s="64" t="n"/>
      <c r="AO83" s="64" t="n"/>
      <c r="AP83" s="64" t="n"/>
      <c r="AQ83" s="64" t="n"/>
    </row>
    <row r="84">
      <c r="A84" s="64" t="n"/>
      <c r="B84" s="64" t="n"/>
      <c r="C84" s="64" t="n"/>
      <c r="D84" s="34" t="n"/>
      <c r="E84" s="64" t="n"/>
      <c r="F84" s="64" t="n"/>
      <c r="G84" s="64" t="n"/>
      <c r="H84" s="64" t="n"/>
      <c r="I84" s="64" t="n"/>
      <c r="J84" s="187" t="n"/>
      <c r="K84" s="64" t="n"/>
      <c r="L84" s="64" t="n"/>
      <c r="M84" s="64" t="n"/>
      <c r="N84" s="64" t="n"/>
      <c r="O84" s="64" t="n"/>
      <c r="P84" s="64" t="n"/>
      <c r="Q84" s="64" t="n"/>
      <c r="R84" s="64" t="n"/>
      <c r="S84" s="64" t="n"/>
      <c r="T84" s="64" t="n"/>
      <c r="U84" s="64" t="n"/>
      <c r="V84" s="64" t="n"/>
      <c r="W84" s="64" t="n"/>
      <c r="X84" s="64" t="n"/>
      <c r="Y84" s="64" t="n"/>
      <c r="Z84" s="64" t="n"/>
      <c r="AA84" s="64" t="n"/>
      <c r="AB84" s="39" t="n"/>
      <c r="AC84" s="64" t="n"/>
      <c r="AD84" s="64" t="n"/>
      <c r="AE84" s="64" t="n"/>
      <c r="AF84" s="64" t="n"/>
      <c r="AG84" s="64" t="n"/>
      <c r="AH84" s="64" t="n"/>
      <c r="AI84" s="64" t="n"/>
      <c r="AJ84" s="64" t="n"/>
      <c r="AK84" s="64" t="n"/>
      <c r="AL84" s="64" t="n"/>
      <c r="AM84" s="64" t="n"/>
      <c r="AN84" s="64" t="n"/>
      <c r="AO84" s="64" t="n"/>
      <c r="AP84" s="64" t="n"/>
      <c r="AQ84" s="64" t="n"/>
    </row>
    <row r="85">
      <c r="A85" s="64" t="n"/>
      <c r="B85" s="64" t="n"/>
      <c r="C85" s="64" t="n"/>
      <c r="D85" s="34" t="n"/>
      <c r="E85" s="64" t="n"/>
      <c r="F85" s="64" t="n"/>
      <c r="G85" s="64" t="n"/>
      <c r="H85" s="64" t="n"/>
      <c r="I85" s="64" t="n"/>
      <c r="J85" s="187" t="n"/>
      <c r="K85" s="64" t="n"/>
      <c r="L85" s="64" t="n"/>
      <c r="M85" s="64" t="n"/>
      <c r="N85" s="64" t="n"/>
      <c r="O85" s="64" t="n"/>
      <c r="P85" s="64" t="n"/>
      <c r="Q85" s="64" t="n"/>
      <c r="R85" s="64" t="n"/>
      <c r="S85" s="64" t="n"/>
      <c r="T85" s="64" t="n"/>
      <c r="U85" s="64" t="n"/>
      <c r="V85" s="64" t="n"/>
      <c r="W85" s="64" t="n"/>
      <c r="X85" s="64" t="n"/>
      <c r="Y85" s="64" t="n"/>
      <c r="Z85" s="64" t="n"/>
      <c r="AA85" s="64" t="n"/>
      <c r="AB85" s="39" t="n"/>
      <c r="AC85" s="64" t="n"/>
      <c r="AD85" s="64" t="n"/>
      <c r="AE85" s="64" t="n"/>
      <c r="AF85" s="64" t="n"/>
      <c r="AG85" s="64" t="n"/>
      <c r="AH85" s="64" t="n"/>
      <c r="AI85" s="64" t="n"/>
      <c r="AJ85" s="64" t="n"/>
      <c r="AK85" s="64" t="n"/>
      <c r="AL85" s="64" t="n"/>
      <c r="AM85" s="64" t="n"/>
      <c r="AN85" s="64" t="n"/>
      <c r="AO85" s="64" t="n"/>
      <c r="AP85" s="64" t="n"/>
      <c r="AQ85" s="64" t="n"/>
    </row>
    <row r="86">
      <c r="A86" s="64" t="n"/>
      <c r="B86" s="64" t="n"/>
      <c r="C86" s="64" t="n"/>
      <c r="D86" s="34" t="n"/>
      <c r="E86" s="64" t="n"/>
      <c r="F86" s="64" t="n"/>
      <c r="G86" s="64" t="n"/>
      <c r="H86" s="64" t="n"/>
      <c r="I86" s="64" t="n"/>
      <c r="J86" s="187" t="n"/>
      <c r="K86" s="64" t="n"/>
      <c r="L86" s="64" t="n"/>
      <c r="M86" s="64" t="n"/>
      <c r="N86" s="64" t="n"/>
      <c r="O86" s="64" t="n"/>
      <c r="P86" s="64" t="n"/>
      <c r="Q86" s="64" t="n"/>
      <c r="R86" s="64" t="n"/>
      <c r="S86" s="64" t="n"/>
      <c r="T86" s="64" t="n"/>
      <c r="U86" s="64" t="n"/>
      <c r="V86" s="64" t="n"/>
      <c r="W86" s="64" t="n"/>
      <c r="X86" s="64" t="n"/>
      <c r="Y86" s="64" t="n"/>
      <c r="Z86" s="64" t="n"/>
      <c r="AA86" s="64" t="n"/>
      <c r="AB86" s="39" t="n"/>
      <c r="AC86" s="64" t="n"/>
      <c r="AD86" s="64" t="n"/>
      <c r="AE86" s="64" t="n"/>
      <c r="AF86" s="64" t="n"/>
      <c r="AG86" s="64" t="n"/>
      <c r="AH86" s="64" t="n"/>
      <c r="AI86" s="64" t="n"/>
      <c r="AJ86" s="64" t="n"/>
      <c r="AK86" s="64" t="n"/>
      <c r="AL86" s="64" t="n"/>
      <c r="AM86" s="64" t="n"/>
      <c r="AN86" s="64" t="n"/>
      <c r="AO86" s="64" t="n"/>
      <c r="AP86" s="64" t="n"/>
      <c r="AQ86" s="64" t="n"/>
    </row>
    <row r="87" ht="18" customHeight="1" s="613">
      <c r="A87" s="64" t="n"/>
      <c r="B87" s="64" t="n"/>
      <c r="C87" s="64" t="n"/>
      <c r="D87" s="34" t="n"/>
      <c r="E87" s="64" t="n"/>
      <c r="F87" s="64" t="n"/>
      <c r="G87" s="64" t="n"/>
      <c r="H87" s="64" t="n"/>
      <c r="I87" s="64" t="n"/>
      <c r="J87" s="187" t="n"/>
      <c r="K87" s="64" t="n"/>
      <c r="L87" s="64" t="n"/>
      <c r="M87" s="64" t="n"/>
      <c r="N87" s="64" t="n"/>
      <c r="O87" s="64" t="n"/>
      <c r="P87" s="64" t="n"/>
      <c r="Q87" s="64" t="n"/>
      <c r="R87" s="64" t="n"/>
      <c r="S87" s="64" t="n"/>
      <c r="T87" s="64" t="n"/>
      <c r="U87" s="64" t="n"/>
      <c r="V87" s="64" t="n"/>
      <c r="W87" s="64" t="n"/>
      <c r="X87" s="64" t="n"/>
      <c r="Y87" s="64" t="n"/>
      <c r="Z87" s="64" t="n"/>
      <c r="AA87" s="64" t="n"/>
      <c r="AB87" s="39" t="n"/>
      <c r="AC87" s="64" t="n"/>
      <c r="AD87" s="620">
        <f>'Casing Review'!$B$4</f>
        <v/>
      </c>
      <c r="AU87" s="620">
        <f>'Casing Review'!$B$4</f>
        <v/>
      </c>
      <c r="BL87" s="620">
        <f>'Casing Review'!$B$4</f>
        <v/>
      </c>
      <c r="CC87" s="620">
        <f>'Casing Review'!$B$4</f>
        <v/>
      </c>
    </row>
    <row r="88" ht="18" customHeight="1" s="613">
      <c r="A88" s="64" t="n"/>
      <c r="B88" s="64" t="n"/>
      <c r="C88" s="64" t="n"/>
      <c r="D88" s="34" t="n"/>
      <c r="E88" s="64" t="n"/>
      <c r="F88" s="64" t="n"/>
      <c r="G88" s="64" t="n"/>
      <c r="H88" s="64" t="n"/>
      <c r="I88" s="64" t="n"/>
      <c r="J88" s="187" t="n"/>
      <c r="K88" s="64" t="n"/>
      <c r="L88" s="64" t="n"/>
      <c r="M88" s="64" t="n"/>
      <c r="N88" s="64" t="n"/>
      <c r="O88" s="64" t="n"/>
      <c r="P88" s="64" t="n"/>
      <c r="Q88" s="64" t="n"/>
      <c r="R88" s="64" t="n"/>
      <c r="S88" s="64" t="n"/>
      <c r="T88" s="64" t="n"/>
      <c r="U88" s="64" t="n"/>
      <c r="V88" s="64" t="n"/>
      <c r="W88" s="64" t="n"/>
      <c r="X88" s="64" t="n"/>
      <c r="Y88" s="64" t="n"/>
      <c r="Z88" s="64" t="n"/>
      <c r="AA88" s="64" t="n"/>
      <c r="AB88" s="39" t="n"/>
      <c r="AC88" s="64" t="n"/>
      <c r="AD88" s="620">
        <f>'Casing Review'!$B$5</f>
        <v/>
      </c>
      <c r="AU88" s="620">
        <f>'Casing Review'!$B$5</f>
        <v/>
      </c>
      <c r="BL88" s="620">
        <f>'Casing Review'!$B$5</f>
        <v/>
      </c>
      <c r="CC88" s="620">
        <f>'Casing Review'!$B$5</f>
        <v/>
      </c>
    </row>
    <row r="89" ht="18" customHeight="1" s="613">
      <c r="A89" s="64" t="n"/>
      <c r="B89" s="64" t="n"/>
      <c r="C89" s="64" t="n"/>
      <c r="D89" s="34" t="n"/>
      <c r="E89" s="64" t="n"/>
      <c r="F89" s="64" t="n"/>
      <c r="G89" s="64" t="n"/>
      <c r="H89" s="64" t="n"/>
      <c r="I89" s="64" t="n"/>
      <c r="J89" s="272" t="n"/>
      <c r="K89" s="64" t="n"/>
      <c r="L89" s="64" t="n"/>
      <c r="M89" s="64" t="n"/>
      <c r="N89" s="64" t="n"/>
      <c r="O89" s="64" t="n"/>
      <c r="P89" s="64" t="n"/>
      <c r="Q89" s="64" t="n"/>
      <c r="R89" s="64" t="n"/>
      <c r="S89" s="64" t="n"/>
      <c r="T89" s="64" t="n"/>
      <c r="U89" s="64" t="n"/>
      <c r="V89" s="64" t="n"/>
      <c r="W89" s="64" t="n"/>
      <c r="X89" s="64" t="n"/>
      <c r="Y89" s="64" t="n"/>
      <c r="Z89" s="64" t="n"/>
      <c r="AA89" s="64" t="n"/>
      <c r="AB89" s="39" t="n"/>
      <c r="AC89" s="64" t="n"/>
      <c r="AD89" s="621">
        <f>'Casing Review'!$B$6</f>
        <v/>
      </c>
      <c r="AU89" s="621">
        <f>'Casing Review'!$B$6</f>
        <v/>
      </c>
      <c r="BL89" s="621">
        <f>'Casing Review'!$B$6</f>
        <v/>
      </c>
      <c r="CC89" s="621">
        <f>'Casing Review'!$B$6</f>
        <v/>
      </c>
    </row>
    <row r="90">
      <c r="A90" s="64" t="n"/>
      <c r="B90" s="64" t="n"/>
      <c r="C90" s="64" t="n"/>
      <c r="D90" s="34" t="n"/>
      <c r="E90" s="64" t="n"/>
      <c r="F90" s="64" t="n"/>
      <c r="G90" s="64"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c r="AB90" s="39" t="n"/>
      <c r="AC90" s="64" t="n"/>
      <c r="AD90" s="64" t="n"/>
      <c r="AE90" s="64" t="n"/>
      <c r="AF90" s="64" t="n"/>
      <c r="AG90" s="64" t="n"/>
      <c r="AH90" s="64" t="n"/>
      <c r="AI90" s="64" t="n"/>
      <c r="AJ90" s="64" t="n"/>
      <c r="AK90" s="64" t="n"/>
      <c r="AL90" s="64" t="n"/>
      <c r="AM90" s="64" t="n"/>
      <c r="AN90" s="64" t="n"/>
      <c r="AO90" s="64" t="n"/>
      <c r="AP90" s="64" t="n"/>
      <c r="AQ90" s="113" t="inlineStr">
        <is>
          <t xml:space="preserve">Formation </t>
        </is>
      </c>
      <c r="AR90" t="inlineStr">
        <is>
          <t>Depth (MD)</t>
        </is>
      </c>
      <c r="BG90" s="113" t="inlineStr">
        <is>
          <t xml:space="preserve">Formation </t>
        </is>
      </c>
      <c r="BH90" t="inlineStr">
        <is>
          <t>Depth (MD)</t>
        </is>
      </c>
      <c r="BX90" s="113" t="inlineStr">
        <is>
          <t xml:space="preserve">Formation </t>
        </is>
      </c>
      <c r="BY90" t="inlineStr">
        <is>
          <t>Depth (MD)</t>
        </is>
      </c>
      <c r="CO90" s="113" t="inlineStr">
        <is>
          <t xml:space="preserve">Formation </t>
        </is>
      </c>
      <c r="CP90" t="inlineStr">
        <is>
          <t>Depth (MD)</t>
        </is>
      </c>
    </row>
    <row r="91">
      <c r="A91" s="64" t="n"/>
      <c r="B91" s="64" t="n"/>
      <c r="C91" s="64" t="n"/>
      <c r="D91" s="77" t="n"/>
      <c r="E91" s="39" t="n"/>
      <c r="F91" s="64" t="n"/>
      <c r="G91" s="64" t="n"/>
      <c r="H91" s="64" t="n"/>
      <c r="I91" s="64" t="n"/>
      <c r="J91" s="64" t="n"/>
      <c r="K91" s="64" t="n"/>
      <c r="L91" s="64" t="n"/>
      <c r="M91" s="64" t="n"/>
      <c r="N91" s="64" t="n"/>
      <c r="O91" s="64" t="n"/>
      <c r="P91" s="64" t="n"/>
      <c r="Q91" s="64" t="n"/>
      <c r="R91" s="51" t="n"/>
      <c r="S91" s="53" t="n"/>
      <c r="T91" s="63" t="n"/>
      <c r="U91" s="63" t="n"/>
      <c r="V91" s="63" t="n"/>
      <c r="W91" s="63" t="n"/>
      <c r="X91" s="63" t="n"/>
      <c r="Y91" s="63" t="n"/>
      <c r="Z91" s="63" t="n"/>
      <c r="AA91" s="64" t="n"/>
      <c r="AB91" s="35" t="n"/>
      <c r="AC91" s="64" t="n"/>
      <c r="AD91" s="64">
        <f>'Casing Review'!C12</f>
        <v/>
      </c>
      <c r="AE91" s="113" t="inlineStr">
        <is>
          <t>" Casing</t>
        </is>
      </c>
      <c r="AF91" s="64" t="n"/>
      <c r="AG91" s="64" t="n"/>
      <c r="AH91" s="164">
        <f>IF($AE$141=0,"&lt;","")</f>
        <v/>
      </c>
      <c r="AI91" s="165" t="n"/>
      <c r="AJ91" s="64" t="n"/>
      <c r="AK91" s="198" t="n"/>
      <c r="AL91" s="64" t="n"/>
      <c r="AM91" s="198" t="n"/>
      <c r="AN91" s="196">
        <f>IF($AE$141=0,"&gt;","")</f>
        <v/>
      </c>
      <c r="AO91" s="64" t="n"/>
      <c r="AP91" s="64" t="n"/>
      <c r="AQ91" s="463">
        <f>IF(VLOOKUP(0,Formations!$A3:$C$25,1)=0,VLOOKUP(0,Formations!$A$3:$C$25,2)," ")</f>
        <v/>
      </c>
      <c r="AR91">
        <f>IF(VLOOKUP(0,Formations!$A3:$C$25,1)=0,VLOOKUP(0,Formations!$A$3:$C$25,3)," ")</f>
        <v/>
      </c>
      <c r="AU91" s="64">
        <f>'Casing Review'!C12</f>
        <v/>
      </c>
      <c r="AV91" s="113" t="inlineStr">
        <is>
          <t>" Casing</t>
        </is>
      </c>
      <c r="AW91" s="64" t="n"/>
      <c r="AX91" s="64" t="n"/>
      <c r="AY91" s="164">
        <f>IF(AV141=0,"&lt;","")</f>
        <v/>
      </c>
      <c r="AZ91" s="198" t="n"/>
      <c r="BA91" s="164" t="n"/>
      <c r="BB91" s="64" t="n"/>
      <c r="BC91" s="238" t="n"/>
      <c r="BD91" s="198" t="n"/>
      <c r="BE91" s="196">
        <f>IF(AV141=0,"&gt;","")</f>
        <v/>
      </c>
      <c r="BF91" s="64" t="n"/>
      <c r="BG91" s="463">
        <f>IF(VLOOKUP(0,Formations!$A3:$C$25,1)=0,VLOOKUP(0,Formations!$A$3:$C$25,2)," ")</f>
        <v/>
      </c>
      <c r="BH91">
        <f>IF(VLOOKUP(0,Formations!$A3:$C$25,1)=0,VLOOKUP(0,Formations!$A$3:$C$25,3)," ")</f>
        <v/>
      </c>
      <c r="BL91" s="64">
        <f>'Casing Review'!C12</f>
        <v/>
      </c>
      <c r="BM91" s="113" t="inlineStr">
        <is>
          <t>" Casing</t>
        </is>
      </c>
      <c r="BN91" s="64" t="n"/>
      <c r="BO91" s="164">
        <f>IF($BY187=0,"&lt;","")</f>
        <v/>
      </c>
      <c r="BP91" s="198" t="n"/>
      <c r="BQ91" s="198" t="n"/>
      <c r="BR91" s="161" t="n"/>
      <c r="BS91" s="64" t="n"/>
      <c r="BT91" s="238" t="n"/>
      <c r="BU91" s="198" t="n"/>
      <c r="BV91" s="198" t="n"/>
      <c r="BW91" s="196">
        <f>IF($BY187=0,"&gt;","")</f>
        <v/>
      </c>
      <c r="BX91" s="463">
        <f>IF(VLOOKUP(0,Formations!$A3:$C$25,1)=0,VLOOKUP(0,Formations!$A$3:$C$25,2)," ")</f>
        <v/>
      </c>
      <c r="BY91">
        <f>IF(VLOOKUP(0,Formations!$A3:$C$25,1)=0,VLOOKUP(0,Formations!$A$3:$C$25,3)," ")</f>
        <v/>
      </c>
      <c r="CD91" s="64" t="n"/>
      <c r="CE91" s="64" t="n"/>
      <c r="CF91" s="64" t="n"/>
      <c r="CG91" s="164">
        <f>IF($CD$141=0,"&lt;","")</f>
        <v/>
      </c>
      <c r="CH91" s="198" t="n"/>
      <c r="CI91" s="194" t="n"/>
      <c r="CJ91" s="64" t="n"/>
      <c r="CK91" s="195" t="n"/>
      <c r="CL91" s="198" t="n"/>
      <c r="CM91" s="196">
        <f>IF($CD$141=0,"&gt;","")</f>
        <v/>
      </c>
      <c r="CN91" s="64" t="n"/>
      <c r="CO91" s="463">
        <f>IF(VLOOKUP(0,Formations!$A3:$C$25,1)=0,VLOOKUP(0,Formations!$A$3:$C$25,2)," ")</f>
        <v/>
      </c>
      <c r="CP91">
        <f>IF(VLOOKUP(0,Formations!$A3:$C$25,1)=0,VLOOKUP(0,Formations!$A$3:$C$25,3)," ")</f>
        <v/>
      </c>
    </row>
    <row r="92">
      <c r="A92" s="64" t="n"/>
      <c r="B92" s="78" t="n"/>
      <c r="C92" s="64" t="n"/>
      <c r="D92" s="79" t="n"/>
      <c r="E92" s="268" t="n"/>
      <c r="F92" s="64" t="n"/>
      <c r="G92" s="64" t="n"/>
      <c r="H92" s="64" t="n"/>
      <c r="I92" s="64" t="n"/>
      <c r="J92" s="64" t="n"/>
      <c r="K92" s="64" t="n"/>
      <c r="L92" s="64" t="n"/>
      <c r="M92" s="64" t="n"/>
      <c r="N92" s="64" t="n"/>
      <c r="O92" s="64" t="n"/>
      <c r="P92" s="64" t="n"/>
      <c r="Q92" s="64" t="n"/>
      <c r="R92" s="53" t="n"/>
      <c r="S92" s="53" t="n"/>
      <c r="T92" s="63" t="n"/>
      <c r="U92" s="63" t="n"/>
      <c r="V92" s="63" t="n"/>
      <c r="W92" s="63" t="n"/>
      <c r="X92" s="63" t="n"/>
      <c r="Y92" s="63" t="n"/>
      <c r="Z92" s="63" t="n"/>
      <c r="AA92" s="64" t="n"/>
      <c r="AB92" s="36" t="n"/>
      <c r="AC92" s="64" t="n"/>
      <c r="AD92" s="110">
        <f>MAX('Casing Review'!$D$12:$D$16)</f>
        <v/>
      </c>
      <c r="AE92" s="111" t="inlineStr">
        <is>
          <t>'  MD</t>
        </is>
      </c>
      <c r="AF92" s="64" t="n"/>
      <c r="AG92" s="64" t="n"/>
      <c r="AH92" s="164">
        <f>IF($AE141&lt;$AD$135,IF($AE141&gt;$AE142,"&lt;",""),"")</f>
        <v/>
      </c>
      <c r="AI92" s="164">
        <f>IF($AR141&lt;$AQ$135,IF($AR141&gt;$AR142,"&lt;",""),"")</f>
        <v/>
      </c>
      <c r="AJ92" s="64" t="n"/>
      <c r="AK92" s="198" t="n"/>
      <c r="AL92" s="64" t="n"/>
      <c r="AM92" s="161">
        <f>IF($AR141&lt;$AQ$135,IF($AR141&gt;$AR142,"&gt;",""),"")</f>
        <v/>
      </c>
      <c r="AN92" s="196">
        <f>IF($AE141&lt;$AD$135,IF($AE141&gt;$AE142,"&gt;",""),"")</f>
        <v/>
      </c>
      <c r="AO92" s="64" t="n"/>
      <c r="AP92" s="64" t="n"/>
      <c r="AQ92" s="463">
        <f>IF(VLOOKUP(1,Formations!$A$3:$C$25,1)=1,VLOOKUP(1,Formations!$A$3:$C$25,2)," ")</f>
        <v/>
      </c>
      <c r="AR92">
        <f>IF(VLOOKUP(1,Formations!$A$3:$C$25,1)=1,VLOOKUP(1,Formations!$A$3:$C$25,3)," ")</f>
        <v/>
      </c>
      <c r="AU92" s="110">
        <f>MAX('Casing Review'!$D$12:$D$16)</f>
        <v/>
      </c>
      <c r="AV92" s="111" t="inlineStr">
        <is>
          <t>'  MD</t>
        </is>
      </c>
      <c r="AW92" s="64" t="n"/>
      <c r="AX92" s="64" t="n"/>
      <c r="AY92" s="164">
        <f>IF($AV141&lt;$AU$135,IF($AV141&gt;$AV142,"&lt;",""),"")</f>
        <v/>
      </c>
      <c r="AZ92" s="197">
        <f>IF($BH141&lt;$BG$135,IF($BH141&gt;$BH142,"&lt;",""),"")</f>
        <v/>
      </c>
      <c r="BA92" s="238">
        <f>IF($BZ$115&gt;$AV161,IF($BZ$115&lt;$AV162+0.1,"X",""),"")</f>
        <v/>
      </c>
      <c r="BB92" s="64" t="n"/>
      <c r="BC92" s="238">
        <f>IF($BZ$115&gt;$AV161,IF($BZ$115&lt;$AV162+0.1,"X",""),"")</f>
        <v/>
      </c>
      <c r="BD92" s="197">
        <f>IF($BH141&lt;$BG$135,IF($BH141&gt;$BH142,"&gt;",""),"")</f>
        <v/>
      </c>
      <c r="BE92" s="196">
        <f>IF($AV141&lt;$AU$135,IF($AV141&gt;$AV142,"&gt;",""),"")</f>
        <v/>
      </c>
      <c r="BF92" s="64" t="n"/>
      <c r="BG92" s="463">
        <f>IF(VLOOKUP(1,Formations!$A$3:$C$25,1)=1,VLOOKUP(1,Formations!$A$3:$C$25,2)," ")</f>
        <v/>
      </c>
      <c r="BH92">
        <f>IF(VLOOKUP(1,Formations!$A$3:$C$25,1)=1,VLOOKUP(1,Formations!$A$3:$C$25,3)," ")</f>
        <v/>
      </c>
      <c r="BL92" s="110">
        <f>MAX('Casing Review'!$D$12:$D$16)</f>
        <v/>
      </c>
      <c r="BM92" s="111" t="inlineStr">
        <is>
          <t>'  MD</t>
        </is>
      </c>
      <c r="BN92" s="64" t="n"/>
      <c r="BO92" s="164">
        <f>IF($BY187&lt;$BX$181,IF($BY187&gt;$BY188,"&lt;",""),"")</f>
        <v/>
      </c>
      <c r="BP92" s="164">
        <f>IF($BM141&lt;$BL$135,IF($BM141&gt;$BM142,"&lt;",""),"")</f>
        <v/>
      </c>
      <c r="BQ92" s="164">
        <f>IF($BY141&lt;$BX$135,IF($BY141&gt;$BY142,"&lt;",""),"")</f>
        <v/>
      </c>
      <c r="BR92" s="238">
        <f>IF($BZ$115&gt;$BM183,IF($BZ$115&lt;$BM184+0.1,"X",""),"")</f>
        <v/>
      </c>
      <c r="BS92" s="64" t="n"/>
      <c r="BT92" s="238">
        <f>IF($BZ$115&gt;$BM183,IF($BZ$115&lt;$BM184+0.1,"X",""),"")</f>
        <v/>
      </c>
      <c r="BU92" s="196">
        <f>IF($BY141&lt;$BX$135,IF($BY141&gt;$BY142,"&gt;",""),"")</f>
        <v/>
      </c>
      <c r="BV92" s="196">
        <f>IF($BM141&lt;$BL$135,IF($BM141&gt;$BM142,"&gt;",""),"")</f>
        <v/>
      </c>
      <c r="BW92" s="196">
        <f>IF($BY187&lt;$BX$181,IF($BY187&gt;$BY188,"&gt;",""),"")</f>
        <v/>
      </c>
      <c r="BX92" s="463">
        <f>IF(VLOOKUP(1,Formations!$A$3:$C$25,1)=1,VLOOKUP(1,Formations!$A$3:$C$25,2)," ")</f>
        <v/>
      </c>
      <c r="BY92">
        <f>IF(VLOOKUP(1,Formations!$A$3:$C$25,1)=1,VLOOKUP(1,Formations!$A$3:$C$25,3)," ")</f>
        <v/>
      </c>
      <c r="CD92" s="64" t="n"/>
      <c r="CE92" s="64" t="n"/>
      <c r="CF92" s="64" t="n"/>
      <c r="CG92" s="164">
        <f>IF($CD141&lt;$CC$135,IF($CD141&gt;$CD142,"&lt;",""),"")</f>
        <v/>
      </c>
      <c r="CH92" s="64" t="n"/>
      <c r="CI92" s="194" t="n"/>
      <c r="CJ92" s="64" t="n"/>
      <c r="CK92" s="195" t="n"/>
      <c r="CL92" s="64" t="n"/>
      <c r="CM92" s="196">
        <f>IF($CD141&lt;$CC$135,IF($CD141&gt;$CD142,"&gt;",""),"")</f>
        <v/>
      </c>
      <c r="CN92" s="64" t="n"/>
      <c r="CO92" s="463">
        <f>IF(VLOOKUP(1,Formations!$A$3:$C$25,1)=1,VLOOKUP(1,Formations!$A$3:$C$25,2)," ")</f>
        <v/>
      </c>
      <c r="CP92">
        <f>IF(VLOOKUP(1,Formations!$A$3:$C$25,1)=1,VLOOKUP(1,Formations!$A$3:$C$25,3)," ")</f>
        <v/>
      </c>
    </row>
    <row r="93">
      <c r="A93" s="64" t="n"/>
      <c r="B93" s="64" t="n"/>
      <c r="C93" s="64" t="n"/>
      <c r="D93" s="34" t="n"/>
      <c r="E93" s="39" t="n"/>
      <c r="F93" s="64" t="n"/>
      <c r="G93" s="64" t="n"/>
      <c r="H93" s="64" t="n"/>
      <c r="I93" s="64" t="n"/>
      <c r="J93" s="64" t="n"/>
      <c r="K93" s="64" t="n"/>
      <c r="L93" s="64" t="n"/>
      <c r="M93" s="64" t="n"/>
      <c r="N93" s="64" t="n"/>
      <c r="O93" s="64" t="n"/>
      <c r="P93" s="64" t="n"/>
      <c r="Q93" s="64" t="n"/>
      <c r="R93" s="51" t="n"/>
      <c r="S93" s="53" t="n"/>
      <c r="T93" s="63" t="n"/>
      <c r="U93" s="63" t="n"/>
      <c r="V93" s="63" t="n"/>
      <c r="W93" s="63" t="n"/>
      <c r="X93" s="63" t="n"/>
      <c r="Y93" s="63" t="n"/>
      <c r="Z93" s="63" t="n"/>
      <c r="AA93" s="64" t="n"/>
      <c r="AB93" s="35" t="n"/>
      <c r="AC93" s="64" t="n"/>
      <c r="AD93" s="112">
        <f>'Casing Review'!$B$19</f>
        <v/>
      </c>
      <c r="AE93" s="111" t="inlineStr">
        <is>
          <t xml:space="preserve">' TVD </t>
        </is>
      </c>
      <c r="AF93" s="64" t="n"/>
      <c r="AG93" s="64" t="n"/>
      <c r="AH93" s="164">
        <f>IF($AE142&lt;$AD$135,IF($AE142&gt;$AE143,"&lt;",""),"")</f>
        <v/>
      </c>
      <c r="AI93" s="164">
        <f>IF($AR142&lt;$AQ$135,IF($AR142&gt;$AR143,"&lt;",""),"")</f>
        <v/>
      </c>
      <c r="AJ93" s="64" t="n"/>
      <c r="AK93" s="198" t="n"/>
      <c r="AL93" s="64" t="n"/>
      <c r="AM93" s="161">
        <f>IF($AR142&lt;$AQ$135,IF($AR142&gt;$AR143,"&gt;",""),"")</f>
        <v/>
      </c>
      <c r="AN93" s="196">
        <f>IF($AE142&lt;$AD$135,IF($AE142&gt;$AE143,"&gt;",""),"")</f>
        <v/>
      </c>
      <c r="AO93" s="64" t="n"/>
      <c r="AP93" s="64" t="n"/>
      <c r="AQ93" s="463">
        <f>IF(VLOOKUP(2,Formations!$A$3:$C$25,1)=2,VLOOKUP(2,Formations!$A$3:$C$25,2)," ")</f>
        <v/>
      </c>
      <c r="AR93">
        <f>IF(VLOOKUP(2,Formations!$A$3:$C$25,1)=2,VLOOKUP(2,Formations!$A$3:$C$25,3)," ")</f>
        <v/>
      </c>
      <c r="AU93" s="112">
        <f>'Casing Review'!$B$19</f>
        <v/>
      </c>
      <c r="AV93" s="111" t="inlineStr">
        <is>
          <t xml:space="preserve">' TVD </t>
        </is>
      </c>
      <c r="AW93" s="64" t="n"/>
      <c r="AX93" s="64" t="n"/>
      <c r="AY93" s="164">
        <f>IF($AV142&lt;$AU$135,IF($AV142&gt;$AV143,"&lt;",""),"")</f>
        <v/>
      </c>
      <c r="AZ93" s="197">
        <f>IF($BH142&lt;$BG$135,IF($BH142&gt;$BH143,"&lt;",""),"")</f>
        <v/>
      </c>
      <c r="BA93" s="238">
        <f>IF($BZ$115&gt;$AV162,IF($BZ$115&lt;$AV163+0.1,"X",""),"")</f>
        <v/>
      </c>
      <c r="BB93" s="64" t="n"/>
      <c r="BC93" s="238">
        <f>IF($BZ$115&gt;$AV162,IF($BZ$115&lt;$AV163+0.1,"X",""),"")</f>
        <v/>
      </c>
      <c r="BD93" s="197">
        <f>IF($BH142&lt;$BG$135,IF($BH142&gt;$BH143,"&gt;",""),"")</f>
        <v/>
      </c>
      <c r="BE93" s="196">
        <f>IF($AV142&lt;$AU$135,IF($AV142&gt;$AV143,"&gt;",""),"")</f>
        <v/>
      </c>
      <c r="BF93" s="64" t="n"/>
      <c r="BG93" s="463">
        <f>IF(VLOOKUP(2,Formations!$A$3:$C$25,1)=2,VLOOKUP(2,Formations!$A$3:$C$25,2)," ")</f>
        <v/>
      </c>
      <c r="BH93">
        <f>IF(VLOOKUP(2,Formations!$A$3:$C$25,1)=2,VLOOKUP(2,Formations!$A$3:$C$25,3)," ")</f>
        <v/>
      </c>
      <c r="BL93" s="112">
        <f>'Casing Review'!$B$19</f>
        <v/>
      </c>
      <c r="BM93" s="111" t="inlineStr">
        <is>
          <t xml:space="preserve">' TVD </t>
        </is>
      </c>
      <c r="BN93" s="64" t="n"/>
      <c r="BO93" s="164">
        <f>IF($BY188&lt;$BX$181,IF($BY188&gt;$BY189,"&lt;",""),"")</f>
        <v/>
      </c>
      <c r="BP93" s="164">
        <f>IF($BM142&lt;$BL$135,IF($BM142&gt;$BM143,"&lt;",""),"")</f>
        <v/>
      </c>
      <c r="BQ93" s="164">
        <f>IF($BY142&lt;$BX$135,IF($BY142&gt;$BY143,"&lt;",""),"")</f>
        <v/>
      </c>
      <c r="BR93" s="238">
        <f>IF($BZ$115&gt;$BM184,IF($BZ$115&lt;$BM185+0.1,"X",""),"")</f>
        <v/>
      </c>
      <c r="BS93" s="64" t="n"/>
      <c r="BT93" s="238">
        <f>IF($BZ$115&gt;$BM184,IF($BZ$115&lt;$BM185+0.1,"X",""),"")</f>
        <v/>
      </c>
      <c r="BU93" s="196">
        <f>IF($BY142&lt;$BX$135,IF($BY142&gt;$BY143,"&gt;",""),"")</f>
        <v/>
      </c>
      <c r="BV93" s="196">
        <f>IF($BM142&lt;$BL$135,IF($BM142&gt;$BM143,"&gt;",""),"")</f>
        <v/>
      </c>
      <c r="BW93" s="196">
        <f>IF($BY188&lt;$BX$181,IF($BY188&gt;$BY189,"&gt;",""),"")</f>
        <v/>
      </c>
      <c r="BX93" s="463">
        <f>IF(VLOOKUP(2,Formations!$A$3:$C$25,1)=2,VLOOKUP(2,Formations!$A$3:$C$25,2)," ")</f>
        <v/>
      </c>
      <c r="BY93">
        <f>IF(VLOOKUP(2,Formations!$A$3:$C$25,1)=2,VLOOKUP(2,Formations!$A$3:$C$25,3)," ")</f>
        <v/>
      </c>
      <c r="CD93" s="64" t="n"/>
      <c r="CE93" s="64" t="n"/>
      <c r="CF93" s="64" t="n"/>
      <c r="CG93" s="164">
        <f>IF($CD142&lt;$CC$135,IF($CD142&gt;$CD143,"&lt;",""),"")</f>
        <v/>
      </c>
      <c r="CH93" s="64" t="n"/>
      <c r="CI93" s="194" t="n"/>
      <c r="CJ93" s="64" t="n"/>
      <c r="CK93" s="195" t="n"/>
      <c r="CL93" s="64" t="n"/>
      <c r="CM93" s="196">
        <f>IF($CD142&lt;$CC$135,IF($CD142&gt;$CD143,"&gt;",""),"")</f>
        <v/>
      </c>
      <c r="CN93" s="64" t="n"/>
      <c r="CO93" s="463">
        <f>IF(VLOOKUP(2,Formations!$A$3:$C$25,1)=2,VLOOKUP(2,Formations!$A$3:$C$25,2)," ")</f>
        <v/>
      </c>
      <c r="CP93">
        <f>IF(VLOOKUP(2,Formations!$A$3:$C$25,1)=2,VLOOKUP(2,Formations!$A$3:$C$25,3)," ")</f>
        <v/>
      </c>
    </row>
    <row r="94">
      <c r="A94" s="64" t="n"/>
      <c r="B94" s="64" t="n"/>
      <c r="C94" s="64" t="n"/>
      <c r="D94" s="269" t="n"/>
      <c r="E94" s="270" t="n"/>
      <c r="F94" s="64" t="n"/>
      <c r="G94" s="64" t="n"/>
      <c r="H94" s="271" t="n"/>
      <c r="I94" s="64" t="n"/>
      <c r="J94" s="64" t="n"/>
      <c r="K94" s="64" t="n"/>
      <c r="L94" s="64" t="n"/>
      <c r="M94" s="64" t="n"/>
      <c r="N94" s="271" t="n"/>
      <c r="O94" s="64" t="n"/>
      <c r="P94" s="64" t="n"/>
      <c r="Q94" s="64" t="n"/>
      <c r="R94" s="80" t="n"/>
      <c r="S94" s="53" t="n"/>
      <c r="T94" s="63" t="n"/>
      <c r="U94" s="63" t="n"/>
      <c r="V94" s="63" t="n"/>
      <c r="W94" s="63" t="n"/>
      <c r="X94" s="63" t="n"/>
      <c r="Y94" s="63" t="n"/>
      <c r="Z94" s="63" t="n"/>
      <c r="AA94" s="64" t="n"/>
      <c r="AB94" s="35" t="n"/>
      <c r="AC94" s="64" t="n"/>
      <c r="AD94" s="112">
        <f>'Casing Review'!$R$12</f>
        <v/>
      </c>
      <c r="AE94" s="111" t="inlineStr">
        <is>
          <t>' TOC</t>
        </is>
      </c>
      <c r="AF94" s="64" t="n"/>
      <c r="AG94" s="64" t="n"/>
      <c r="AH94" s="164">
        <f>IF($AE143&lt;$AD$135,IF($AE143&gt;$AE144,"&lt;",""),"")</f>
        <v/>
      </c>
      <c r="AI94" s="164">
        <f>IF($AR143&lt;$AQ$135,IF($AR143&gt;$AR144,"&lt;",""),"")</f>
        <v/>
      </c>
      <c r="AJ94" s="64" t="n"/>
      <c r="AK94" s="198" t="n"/>
      <c r="AL94" s="64" t="n"/>
      <c r="AM94" s="161">
        <f>IF($AR143&lt;$AQ$135,IF($AR143&gt;$AR144,"&gt;",""),"")</f>
        <v/>
      </c>
      <c r="AN94" s="196">
        <f>IF($AE143&lt;$AD$135,IF($AE143&gt;$AE144,"&gt;",""),"")</f>
        <v/>
      </c>
      <c r="AO94" s="64" t="n"/>
      <c r="AP94" s="64" t="n"/>
      <c r="AQ94" s="463">
        <f>IF(VLOOKUP(3,Formations!$A$3:$C$25,1)=3,VLOOKUP(3,Formations!$A$3:$C$25,2)," ")</f>
        <v/>
      </c>
      <c r="AR94">
        <f>IF(VLOOKUP(3,Formations!$A$3:$C$25,1)=3,VLOOKUP(3,Formations!$A$3:$C$25,3)," ")</f>
        <v/>
      </c>
      <c r="AU94" s="112">
        <f>'Casing Review'!$R$12</f>
        <v/>
      </c>
      <c r="AV94" s="111" t="inlineStr">
        <is>
          <t>' TOC</t>
        </is>
      </c>
      <c r="AW94" s="64" t="n"/>
      <c r="AX94" s="64" t="n"/>
      <c r="AY94" s="164">
        <f>IF($AV143&lt;$AU$135,IF($AV143&gt;$AV144,"&lt;",""),"")</f>
        <v/>
      </c>
      <c r="AZ94" s="197">
        <f>IF($BH143&lt;$BG$135,IF($BH143&gt;$BH144,"&lt;",""),"")</f>
        <v/>
      </c>
      <c r="BA94" s="238">
        <f>IF($BZ$115&gt;$AV163,IF($BZ$115&lt;$AV164+0.1,"X",""),"")</f>
        <v/>
      </c>
      <c r="BB94" s="64" t="n"/>
      <c r="BC94" s="238">
        <f>IF($BZ$115&gt;$AV163,IF($BZ$115&lt;$AV164+0.1,"X",""),"")</f>
        <v/>
      </c>
      <c r="BD94" s="197">
        <f>IF($BH143&lt;$BG$135,IF($BH143&gt;$BH144,"&gt;",""),"")</f>
        <v/>
      </c>
      <c r="BE94" s="196">
        <f>IF($AV143&lt;$AU$135,IF($AV143&gt;$AV144,"&gt;",""),"")</f>
        <v/>
      </c>
      <c r="BF94" s="64" t="n"/>
      <c r="BG94" s="463">
        <f>IF(VLOOKUP(3,Formations!$A$3:$C$25,1)=3,VLOOKUP(3,Formations!$A$3:$C$25,2)," ")</f>
        <v/>
      </c>
      <c r="BH94">
        <f>IF(VLOOKUP(3,Formations!$A$3:$C$25,1)=3,VLOOKUP(3,Formations!$A$3:$C$25,3)," ")</f>
        <v/>
      </c>
      <c r="BL94" s="112">
        <f>'Casing Review'!$R$12</f>
        <v/>
      </c>
      <c r="BM94" s="111" t="inlineStr">
        <is>
          <t>' TOC</t>
        </is>
      </c>
      <c r="BN94" s="64" t="n"/>
      <c r="BO94" s="164">
        <f>IF($BY189&lt;$BX$181,IF($BY189&gt;$BY190,"&lt;",""),"")</f>
        <v/>
      </c>
      <c r="BP94" s="164">
        <f>IF($BM143&lt;$BL$135,IF($BM143&gt;$BM144,"&lt;",""),"")</f>
        <v/>
      </c>
      <c r="BQ94" s="164">
        <f>IF($BY143&lt;$BX$135,IF($BY143&gt;$BY144,"&lt;",""),"")</f>
        <v/>
      </c>
      <c r="BR94" s="238">
        <f>IF($BZ$115&gt;$BM185,IF($BZ$115&lt;$BM186+0.1,"X",""),"")</f>
        <v/>
      </c>
      <c r="BS94" s="64" t="n"/>
      <c r="BT94" s="238">
        <f>IF($BZ$115&gt;$BM185,IF($BZ$115&lt;$BM186+0.1,"X",""),"")</f>
        <v/>
      </c>
      <c r="BU94" s="196">
        <f>IF($BY143&lt;$BX$135,IF($BY143&gt;$BY144,"&gt;",""),"")</f>
        <v/>
      </c>
      <c r="BV94" s="196">
        <f>IF($BM143&lt;$BL$135,IF($BM143&gt;$BM144,"&gt;",""),"")</f>
        <v/>
      </c>
      <c r="BW94" s="196">
        <f>IF($BY189&lt;$BX$181,IF($BY189&gt;$BY190,"&gt;",""),"")</f>
        <v/>
      </c>
      <c r="BX94" s="463">
        <f>IF(VLOOKUP(3,Formations!$A$3:$C$25,1)=3,VLOOKUP(3,Formations!$A$3:$C$25,2)," ")</f>
        <v/>
      </c>
      <c r="BY94">
        <f>IF(VLOOKUP(3,Formations!$A$3:$C$25,1)=3,VLOOKUP(3,Formations!$A$3:$C$25,3)," ")</f>
        <v/>
      </c>
      <c r="CD94" s="64" t="n"/>
      <c r="CE94" s="64" t="n"/>
      <c r="CF94" s="64" t="n"/>
      <c r="CG94" s="164">
        <f>IF($CD143&lt;$CC$135,IF($CD143&gt;$CD144,"&lt;",""),"")</f>
        <v/>
      </c>
      <c r="CH94" s="64" t="n"/>
      <c r="CI94" s="194" t="n"/>
      <c r="CJ94" s="64" t="n"/>
      <c r="CK94" s="195" t="n"/>
      <c r="CL94" s="64" t="n"/>
      <c r="CM94" s="196">
        <f>IF($CD143&lt;$CC$135,IF($CD143&gt;$CD144,"&gt;",""),"")</f>
        <v/>
      </c>
      <c r="CN94" s="64" t="n"/>
      <c r="CO94" s="463">
        <f>IF(VLOOKUP(3,Formations!$A$3:$C$25,1)=3,VLOOKUP(3,Formations!$A$3:$C$25,2)," ")</f>
        <v/>
      </c>
      <c r="CP94">
        <f>IF(VLOOKUP(3,Formations!$A$3:$C$25,1)=3,VLOOKUP(3,Formations!$A$3:$C$25,3)," ")</f>
        <v/>
      </c>
    </row>
    <row r="95">
      <c r="A95" s="64" t="n"/>
      <c r="B95" s="64" t="n"/>
      <c r="C95" s="64" t="n"/>
      <c r="D95" s="269" t="n"/>
      <c r="E95" s="81" t="n"/>
      <c r="F95" s="64" t="n"/>
      <c r="G95" s="64" t="n"/>
      <c r="H95" s="271" t="n"/>
      <c r="I95" s="272" t="n"/>
      <c r="J95" s="64" t="n"/>
      <c r="K95" s="64" t="n"/>
      <c r="L95" s="64" t="n"/>
      <c r="M95" s="272" t="n"/>
      <c r="N95" s="271" t="n"/>
      <c r="O95" s="64" t="n"/>
      <c r="P95" s="64" t="n"/>
      <c r="Q95" s="64" t="n"/>
      <c r="R95" s="80" t="n"/>
      <c r="S95" s="53" t="n"/>
      <c r="T95" s="63" t="n"/>
      <c r="U95" s="63" t="n"/>
      <c r="V95" s="63" t="n"/>
      <c r="W95" s="63" t="n"/>
      <c r="X95" s="63" t="n"/>
      <c r="Y95" s="63" t="n"/>
      <c r="Z95" s="63" t="n"/>
      <c r="AA95" s="64" t="n"/>
      <c r="AB95" s="35" t="n"/>
      <c r="AC95" s="64" t="n"/>
      <c r="AD95" s="112">
        <f>'Casing Review'!$R$13</f>
        <v/>
      </c>
      <c r="AE95" s="134" t="inlineStr">
        <is>
          <t>' Tail</t>
        </is>
      </c>
      <c r="AF95" s="64" t="n"/>
      <c r="AG95" s="64" t="n"/>
      <c r="AH95" s="164">
        <f>IF($AE144&lt;$AD$135,IF($AE144&gt;$AE145,"&lt;",""),"")</f>
        <v/>
      </c>
      <c r="AI95" s="164">
        <f>IF($AR144&lt;$AQ$135,IF($AR144&gt;$AR145,"&lt;",""),"")</f>
        <v/>
      </c>
      <c r="AJ95" s="64" t="n"/>
      <c r="AK95" s="198" t="n"/>
      <c r="AL95" s="64" t="n"/>
      <c r="AM95" s="161">
        <f>IF($AR144&lt;$AQ$135,IF($AR144&gt;$AR145,"&gt;",""),"")</f>
        <v/>
      </c>
      <c r="AN95" s="196">
        <f>IF($AE144&lt;$AD$135,IF($AE144&gt;$AE145,"&gt;",""),"")</f>
        <v/>
      </c>
      <c r="AO95" s="64" t="n"/>
      <c r="AP95" s="64" t="n"/>
      <c r="AQ95" s="463">
        <f>IF(VLOOKUP(4,Formations!$A$3:$C$25,1)=4,VLOOKUP(4,Formations!$A$3:$C$25,2)," ")</f>
        <v/>
      </c>
      <c r="AR95">
        <f>IF(VLOOKUP(4,Formations!$A$3:$C$25,1)=4,VLOOKUP(4,Formations!$A$3:$C$25,3)," ")</f>
        <v/>
      </c>
      <c r="AU95" s="112">
        <f>'Casing Review'!$R$13</f>
        <v/>
      </c>
      <c r="AV95" s="134" t="inlineStr">
        <is>
          <t>' Tail</t>
        </is>
      </c>
      <c r="AW95" s="64" t="n"/>
      <c r="AX95" s="64" t="n"/>
      <c r="AY95" s="164">
        <f>IF($AV144&lt;$AU$135,IF($AV144&gt;$AV145,"&lt;",""),"")</f>
        <v/>
      </c>
      <c r="AZ95" s="197">
        <f>IF($BH144&lt;$BG$135,IF($BH144&gt;$BH145,"&lt;",""),"")</f>
        <v/>
      </c>
      <c r="BA95" s="238">
        <f>IF($BZ$115&gt;$AV164,IF($BZ$115&lt;$AV165+0.1,"X",""),"")</f>
        <v/>
      </c>
      <c r="BB95" s="64" t="n"/>
      <c r="BC95" s="238">
        <f>IF($BZ$115&gt;$AV164,IF($BZ$115&lt;$AV165+0.1,"X",""),"")</f>
        <v/>
      </c>
      <c r="BD95" s="197">
        <f>IF($BH144&lt;$BG$135,IF($BH144&gt;$BH145,"&gt;",""),"")</f>
        <v/>
      </c>
      <c r="BE95" s="196">
        <f>IF($AV144&lt;$AU$135,IF($AV144&gt;$AV145,"&gt;",""),"")</f>
        <v/>
      </c>
      <c r="BF95" s="64" t="n"/>
      <c r="BG95" s="463">
        <f>IF(VLOOKUP(4,Formations!$A$3:$C$25,1)=4,VLOOKUP(4,Formations!$A$3:$C$25,2)," ")</f>
        <v/>
      </c>
      <c r="BH95">
        <f>IF(VLOOKUP(4,Formations!$A$3:$C$25,1)=4,VLOOKUP(4,Formations!$A$3:$C$25,3)," ")</f>
        <v/>
      </c>
      <c r="BL95" s="112">
        <f>'Casing Review'!$R$13</f>
        <v/>
      </c>
      <c r="BM95" s="134" t="inlineStr">
        <is>
          <t>' Tail</t>
        </is>
      </c>
      <c r="BN95" s="64" t="n"/>
      <c r="BO95" s="164">
        <f>IF($BY190&lt;$BX$181,IF($BY190&gt;$BY191,"&lt;",""),"")</f>
        <v/>
      </c>
      <c r="BP95" s="164">
        <f>IF($BM144&lt;$BL$135,IF($BM144&gt;$BM145,"&lt;",""),"")</f>
        <v/>
      </c>
      <c r="BQ95" s="164">
        <f>IF($BY144&lt;$BX$135,IF($BY144&gt;$BY145,"&lt;",""),"")</f>
        <v/>
      </c>
      <c r="BR95" s="238">
        <f>IF($BZ$115&gt;$BM186,IF($BZ$115&lt;$BM187+0.1,"X",""),"")</f>
        <v/>
      </c>
      <c r="BS95" s="64" t="n"/>
      <c r="BT95" s="238">
        <f>IF($BZ$115&gt;$BM186,IF($BZ$115&lt;$BM187+0.1,"X",""),"")</f>
        <v/>
      </c>
      <c r="BU95" s="196">
        <f>IF($BY144&lt;$BX$135,IF($BY144&gt;$BY145,"&gt;",""),"")</f>
        <v/>
      </c>
      <c r="BV95" s="196">
        <f>IF($BM144&lt;$BL$135,IF($BM144&gt;$BM145,"&gt;",""),"")</f>
        <v/>
      </c>
      <c r="BW95" s="196">
        <f>IF($BY190&lt;$BX$181,IF($BY190&gt;$BY191,"&gt;",""),"")</f>
        <v/>
      </c>
      <c r="BX95" s="463">
        <f>IF(VLOOKUP(4,Formations!$A$3:$C$25,1)=4,VLOOKUP(4,Formations!$A$3:$C$25,2)," ")</f>
        <v/>
      </c>
      <c r="BY95">
        <f>IF(VLOOKUP(4,Formations!$A$3:$C$25,1)=4,VLOOKUP(4,Formations!$A$3:$C$25,3)," ")</f>
        <v/>
      </c>
      <c r="CD95" s="64" t="n"/>
      <c r="CE95" s="64" t="n"/>
      <c r="CF95" s="64" t="n"/>
      <c r="CG95" s="164">
        <f>IF($CD144&lt;$CC$135,IF($CD144&gt;$CD145,"&lt;",""),"")</f>
        <v/>
      </c>
      <c r="CH95" s="64" t="n"/>
      <c r="CI95" s="194" t="n"/>
      <c r="CJ95" s="64" t="n"/>
      <c r="CK95" s="195" t="n"/>
      <c r="CL95" s="64" t="n"/>
      <c r="CM95" s="196">
        <f>IF($CD144&lt;$CC$135,IF($CD144&gt;$CD145,"&gt;",""),"")</f>
        <v/>
      </c>
      <c r="CN95" s="64" t="n"/>
      <c r="CO95" s="463">
        <f>IF(VLOOKUP(4,Formations!$A$3:$C$25,1)=4,VLOOKUP(4,Formations!$A$3:$C$25,2)," ")</f>
        <v/>
      </c>
      <c r="CP95">
        <f>IF(VLOOKUP(4,Formations!$A$3:$C$25,1)=4,VLOOKUP(4,Formations!$A$3:$C$25,3)," ")</f>
        <v/>
      </c>
    </row>
    <row r="96">
      <c r="A96" s="64" t="n"/>
      <c r="B96" s="64" t="n"/>
      <c r="C96" s="64" t="n"/>
      <c r="D96" s="34" t="n"/>
      <c r="E96" s="39" t="n"/>
      <c r="F96" s="64" t="n"/>
      <c r="G96" s="64" t="n"/>
      <c r="H96" s="64" t="n"/>
      <c r="I96" s="64" t="n"/>
      <c r="J96" s="64" t="n"/>
      <c r="K96" s="64" t="n"/>
      <c r="L96" s="64" t="n"/>
      <c r="M96" s="64" t="n"/>
      <c r="N96" s="64" t="n"/>
      <c r="O96" s="64" t="n"/>
      <c r="P96" s="64" t="n"/>
      <c r="Q96" s="64" t="n"/>
      <c r="R96" s="51" t="n"/>
      <c r="S96" s="53" t="n"/>
      <c r="T96" s="64" t="n"/>
      <c r="U96" s="64" t="n"/>
      <c r="V96" s="64" t="n"/>
      <c r="W96" s="64" t="n"/>
      <c r="X96" s="64" t="n"/>
      <c r="Y96" s="64" t="n"/>
      <c r="Z96" s="64" t="n"/>
      <c r="AA96" s="64" t="n"/>
      <c r="AB96" s="36" t="n"/>
      <c r="AC96" s="64" t="n"/>
      <c r="AD96" s="153">
        <f>'Casing Review'!B20</f>
        <v/>
      </c>
      <c r="AE96" s="39" t="inlineStr">
        <is>
          <t>% Washout</t>
        </is>
      </c>
      <c r="AF96" s="64" t="n"/>
      <c r="AG96" s="64" t="n"/>
      <c r="AH96" s="164">
        <f>IF($AE145&lt;$AD$135,IF($AE145&gt;$AE146,"&lt;",""),"")</f>
        <v/>
      </c>
      <c r="AI96" s="164">
        <f>IF($AR145&lt;$AQ$135,IF($AR145&gt;$AR146,"&lt;",""),"")</f>
        <v/>
      </c>
      <c r="AJ96" s="64" t="n"/>
      <c r="AK96" s="198" t="n"/>
      <c r="AL96" s="64" t="n"/>
      <c r="AM96" s="161">
        <f>IF($AR145&lt;$AQ$135,IF($AR145&gt;$AR146,"&gt;",""),"")</f>
        <v/>
      </c>
      <c r="AN96" s="196">
        <f>IF($AE145&lt;$AD$135,IF($AE145&gt;$AE146,"&gt;",""),"")</f>
        <v/>
      </c>
      <c r="AO96" s="64" t="n"/>
      <c r="AP96" s="64" t="n"/>
      <c r="AQ96" s="463">
        <f>IF(VLOOKUP(5,Formations!$A$3:$C$25,1)=5,VLOOKUP(5,Formations!$A$3:$C$25,2)," ")</f>
        <v/>
      </c>
      <c r="AR96">
        <f>IF(VLOOKUP(5,Formations!$A$3:$C$25,1)=5,VLOOKUP(5,Formations!$A$3:$C$25,3)," ")</f>
        <v/>
      </c>
      <c r="AU96" s="153">
        <f>'Casing Review'!B20</f>
        <v/>
      </c>
      <c r="AV96" s="39" t="inlineStr">
        <is>
          <t>% Washout</t>
        </is>
      </c>
      <c r="AW96" s="64" t="n"/>
      <c r="AX96" s="64" t="n"/>
      <c r="AY96" s="164">
        <f>IF($AV145&lt;$AU$135,IF($AV145&gt;$AV146,"&lt;",""),"")</f>
        <v/>
      </c>
      <c r="AZ96" s="197">
        <f>IF($BH145&lt;$BG$135,IF($BH145&gt;$BH146,"&lt;",""),"")</f>
        <v/>
      </c>
      <c r="BA96" s="238">
        <f>IF($BZ$115&gt;$AV165,IF($BZ$115&lt;$AV166+0.1,"X",""),"")</f>
        <v/>
      </c>
      <c r="BB96" s="64" t="n"/>
      <c r="BC96" s="238">
        <f>IF($BZ$115&gt;$AV165,IF($BZ$115&lt;$AV166+0.1,"X",""),"")</f>
        <v/>
      </c>
      <c r="BD96" s="197">
        <f>IF($BH145&lt;$BG$135,IF($BH145&gt;$BH146,"&gt;",""),"")</f>
        <v/>
      </c>
      <c r="BE96" s="196">
        <f>IF($AV145&lt;$AU$135,IF($AV145&gt;$AV146,"&gt;",""),"")</f>
        <v/>
      </c>
      <c r="BF96" s="64" t="n"/>
      <c r="BG96" s="463">
        <f>IF(VLOOKUP(5,Formations!$A$3:$C$25,1)=5,VLOOKUP(5,Formations!$A$3:$C$25,2)," ")</f>
        <v/>
      </c>
      <c r="BH96">
        <f>IF(VLOOKUP(5,Formations!$A$3:$C$25,1)=5,VLOOKUP(5,Formations!$A$3:$C$25,3)," ")</f>
        <v/>
      </c>
      <c r="BL96" s="153">
        <f>'Casing Review'!B20</f>
        <v/>
      </c>
      <c r="BM96" s="39" t="inlineStr">
        <is>
          <t>% Washout</t>
        </is>
      </c>
      <c r="BN96" s="64" t="n"/>
      <c r="BO96" s="164">
        <f>IF($BY191&lt;$BX$181,IF($BY191&gt;$BY192,"&lt;",""),"")</f>
        <v/>
      </c>
      <c r="BP96" s="164">
        <f>IF($BM145&lt;$BL$135,IF($BM145&gt;$BM146,"&lt;",""),"")</f>
        <v/>
      </c>
      <c r="BQ96" s="164">
        <f>IF($BY145&lt;$BX$135,IF($BY145&gt;$BY146,"&lt;",""),"")</f>
        <v/>
      </c>
      <c r="BR96" s="238">
        <f>IF($BZ$115&gt;$BM187,IF($BZ$115&lt;$BM188+0.1,"X",""),"")</f>
        <v/>
      </c>
      <c r="BS96" s="64" t="n"/>
      <c r="BT96" s="238">
        <f>IF($BZ$115&gt;$BM187,IF($BZ$115&lt;$BM188+0.1,"X",""),"")</f>
        <v/>
      </c>
      <c r="BU96" s="196">
        <f>IF($BY145&lt;$BX$135,IF($BY145&gt;$BY146,"&gt;",""),"")</f>
        <v/>
      </c>
      <c r="BV96" s="196">
        <f>IF($BM145&lt;$BL$135,IF($BM145&gt;$BM146,"&gt;",""),"")</f>
        <v/>
      </c>
      <c r="BW96" s="196">
        <f>IF($BY191&lt;$BX$181,IF($BY191&gt;$BY192,"&gt;",""),"")</f>
        <v/>
      </c>
      <c r="BX96" s="463">
        <f>IF(VLOOKUP(5,Formations!$A$3:$C$25,1)=5,VLOOKUP(5,Formations!$A$3:$C$25,2)," ")</f>
        <v/>
      </c>
      <c r="BY96">
        <f>IF(VLOOKUP(5,Formations!$A$3:$C$25,1)=5,VLOOKUP(5,Formations!$A$3:$C$25,3)," ")</f>
        <v/>
      </c>
      <c r="CD96" s="64" t="n"/>
      <c r="CE96" s="64" t="n"/>
      <c r="CF96" s="64" t="n"/>
      <c r="CG96" s="164">
        <f>IF($CD145&lt;$CC$135,IF($CD145&gt;$CD146,"&lt;",""),"")</f>
        <v/>
      </c>
      <c r="CH96" s="64" t="n"/>
      <c r="CI96" s="194" t="n"/>
      <c r="CJ96" s="64" t="n"/>
      <c r="CK96" s="195" t="n"/>
      <c r="CL96" s="64" t="n"/>
      <c r="CM96" s="196">
        <f>IF($CD145&lt;$CC$135,IF($CD145&gt;$CD146,"&gt;",""),"")</f>
        <v/>
      </c>
      <c r="CN96" s="64" t="n"/>
      <c r="CO96" s="463">
        <f>IF(VLOOKUP(5,Formations!$A$3:$C$25,1)=5,VLOOKUP(5,Formations!$A$3:$C$25,2)," ")</f>
        <v/>
      </c>
      <c r="CP96">
        <f>IF(VLOOKUP(5,Formations!$A$3:$C$25,1)=5,VLOOKUP(5,Formations!$A$3:$C$25,3)," ")</f>
        <v/>
      </c>
    </row>
    <row r="97">
      <c r="A97" s="64" t="n"/>
      <c r="B97" s="64" t="n"/>
      <c r="C97" s="64" t="n"/>
      <c r="D97" s="34" t="n"/>
      <c r="E97" s="39" t="n"/>
      <c r="F97" s="64" t="n"/>
      <c r="G97" s="64" t="n"/>
      <c r="H97" s="64" t="n"/>
      <c r="I97" s="64" t="n"/>
      <c r="J97" s="64" t="n"/>
      <c r="K97" s="64" t="n"/>
      <c r="L97" s="64" t="n"/>
      <c r="M97" s="64" t="n"/>
      <c r="N97" s="64" t="n"/>
      <c r="O97" s="64" t="n"/>
      <c r="P97" s="64" t="n"/>
      <c r="Q97" s="64" t="n"/>
      <c r="R97" s="53" t="n"/>
      <c r="S97" s="53" t="n"/>
      <c r="T97" s="64" t="n"/>
      <c r="U97" s="64" t="n"/>
      <c r="V97" s="64" t="n"/>
      <c r="W97" s="64" t="n"/>
      <c r="X97" s="64" t="n"/>
      <c r="Y97" s="64" t="n"/>
      <c r="Z97" s="64" t="n"/>
      <c r="AA97" s="64" t="n"/>
      <c r="AB97" s="35" t="n"/>
      <c r="AC97" s="64" t="n"/>
      <c r="AD97" s="153">
        <f>'Casing Review'!$B$12</f>
        <v/>
      </c>
      <c r="AE97" s="152" t="inlineStr">
        <is>
          <t>" Hole</t>
        </is>
      </c>
      <c r="AF97" s="64" t="n"/>
      <c r="AG97" s="64" t="n"/>
      <c r="AH97" s="164">
        <f>IF($AE146&lt;$AD$135,IF($AE146&gt;$AE147,"&lt;",""),"")</f>
        <v/>
      </c>
      <c r="AI97" s="164">
        <f>IF($AR146&lt;$AQ$135,IF($AR146&gt;$AR147,"&lt;",""),"")</f>
        <v/>
      </c>
      <c r="AJ97" s="64" t="n"/>
      <c r="AK97" s="198" t="n"/>
      <c r="AL97" s="64" t="n"/>
      <c r="AM97" s="161">
        <f>IF($AR146&lt;$AQ$135,IF($AR146&gt;$AR147,"&gt;",""),"")</f>
        <v/>
      </c>
      <c r="AN97" s="196">
        <f>IF($AE146&lt;$AD$135,IF($AE146&gt;$AE147,"&gt;",""),"")</f>
        <v/>
      </c>
      <c r="AO97" s="64" t="n"/>
      <c r="AP97" s="64" t="n"/>
      <c r="AQ97" s="463">
        <f>IF(VLOOKUP(6,Formations!$A$3:$C$25,1)=6,VLOOKUP(6,Formations!$A$3:$C$25,2)," ")</f>
        <v/>
      </c>
      <c r="AR97">
        <f>IF(VLOOKUP(6,Formations!$A$3:$C$25,1)=6,VLOOKUP(6,Formations!$A$3:$C$25,3)," ")</f>
        <v/>
      </c>
      <c r="AU97" s="153">
        <f>'Casing Review'!$B$12</f>
        <v/>
      </c>
      <c r="AV97" s="152" t="inlineStr">
        <is>
          <t>" Hole</t>
        </is>
      </c>
      <c r="AW97" s="64" t="n"/>
      <c r="AX97" s="64" t="n"/>
      <c r="AY97" s="164">
        <f>IF($AV146&lt;$AU$135,IF($AV146&gt;$AV147,"&lt;",""),"")</f>
        <v/>
      </c>
      <c r="AZ97" s="197">
        <f>IF($BH146&lt;$BG$135,IF($BH146&gt;$BH147,"&lt;",""),"")</f>
        <v/>
      </c>
      <c r="BA97" s="238">
        <f>IF($BZ$115&gt;$AV166,IF($BZ$115&lt;$AV167+0.1,"X",""),"")</f>
        <v/>
      </c>
      <c r="BB97" s="64" t="n"/>
      <c r="BC97" s="238">
        <f>IF($BZ$115&gt;$AV166,IF($BZ$115&lt;$AV167+0.1,"X",""),"")</f>
        <v/>
      </c>
      <c r="BD97" s="197">
        <f>IF($BH146&lt;$BG$135,IF($BH146&gt;$BH147,"&gt;",""),"")</f>
        <v/>
      </c>
      <c r="BE97" s="196">
        <f>IF($AV146&lt;$AU$135,IF($AV146&gt;$AV147,"&gt;",""),"")</f>
        <v/>
      </c>
      <c r="BF97" s="64" t="n"/>
      <c r="BG97" s="463">
        <f>IF(VLOOKUP(6,Formations!$A$3:$C$25,1)=6,VLOOKUP(6,Formations!$A$3:$C$25,2)," ")</f>
        <v/>
      </c>
      <c r="BH97">
        <f>IF(VLOOKUP(6,Formations!$A$3:$C$25,1)=6,VLOOKUP(6,Formations!$A$3:$C$25,3)," ")</f>
        <v/>
      </c>
      <c r="BL97" s="153">
        <f>'Casing Review'!$B$12</f>
        <v/>
      </c>
      <c r="BM97" s="152" t="inlineStr">
        <is>
          <t>" Hole</t>
        </is>
      </c>
      <c r="BN97" s="85" t="n"/>
      <c r="BO97" s="164">
        <f>IF($BY192&lt;$BX$181,IF($BY192&gt;$BY193,"&lt;",""),"")</f>
        <v/>
      </c>
      <c r="BP97" s="164">
        <f>IF($BM146&lt;$BL$135,IF($BM146&gt;$BM147,"&lt;",""),"")</f>
        <v/>
      </c>
      <c r="BQ97" s="164">
        <f>IF($BY146&lt;$BX$135,IF($BY146&gt;$BY147,"&lt;",""),"")</f>
        <v/>
      </c>
      <c r="BR97" s="238">
        <f>IF($BZ$115&gt;$BM188,IF($BZ$115&lt;$BM189+0.1,"X",""),"")</f>
        <v/>
      </c>
      <c r="BS97" s="64" t="n"/>
      <c r="BT97" s="238">
        <f>IF($BZ$115&gt;$BM188,IF($BZ$115&lt;$BM189+0.1,"X",""),"")</f>
        <v/>
      </c>
      <c r="BU97" s="196">
        <f>IF($BY146&lt;$BX$135,IF($BY146&gt;$BY147,"&gt;",""),"")</f>
        <v/>
      </c>
      <c r="BV97" s="196">
        <f>IF($BM146&lt;$BL$135,IF($BM146&gt;$BM147,"&gt;",""),"")</f>
        <v/>
      </c>
      <c r="BW97" s="196">
        <f>IF($BY192&lt;$BX$181,IF($BY192&gt;$BY193,"&gt;",""),"")</f>
        <v/>
      </c>
      <c r="BX97" s="463">
        <f>IF(VLOOKUP(6,Formations!$A$3:$C$25,1)=6,VLOOKUP(6,Formations!$A$3:$C$25,2)," ")</f>
        <v/>
      </c>
      <c r="BY97">
        <f>IF(VLOOKUP(6,Formations!$A$3:$C$25,1)=6,VLOOKUP(6,Formations!$A$3:$C$25,3)," ")</f>
        <v/>
      </c>
      <c r="CD97" s="64" t="n"/>
      <c r="CE97" s="64" t="n"/>
      <c r="CF97" s="64" t="n"/>
      <c r="CG97" s="164">
        <f>IF($CD146&lt;$CC$135,IF($CD146&gt;$CD147,"&lt;",""),"")</f>
        <v/>
      </c>
      <c r="CH97" s="64" t="n"/>
      <c r="CI97" s="194" t="n"/>
      <c r="CJ97" s="64" t="n"/>
      <c r="CK97" s="195" t="n"/>
      <c r="CL97" s="64" t="n"/>
      <c r="CM97" s="196">
        <f>IF($CD146&lt;$CC$135,IF($CD146&gt;$CD147,"&gt;",""),"")</f>
        <v/>
      </c>
      <c r="CN97" s="64" t="n"/>
      <c r="CO97" s="463">
        <f>IF(VLOOKUP(6,Formations!$A$3:$C$25,1)=6,VLOOKUP(6,Formations!$A$3:$C$25,2)," ")</f>
        <v/>
      </c>
      <c r="CP97">
        <f>IF(VLOOKUP(6,Formations!$A$3:$C$25,1)=6,VLOOKUP(6,Formations!$A$3:$C$25,3)," ")</f>
        <v/>
      </c>
    </row>
    <row r="98">
      <c r="A98" s="178" t="n"/>
      <c r="B98" s="64" t="n"/>
      <c r="C98" s="64" t="n"/>
      <c r="D98" s="34" t="n"/>
      <c r="E98" s="39" t="n"/>
      <c r="F98" s="64" t="n"/>
      <c r="G98" s="64" t="n"/>
      <c r="H98" s="64" t="n"/>
      <c r="I98" s="64" t="n"/>
      <c r="J98" s="64" t="n"/>
      <c r="K98" s="64" t="n"/>
      <c r="L98" s="64" t="n"/>
      <c r="M98" s="64" t="n"/>
      <c r="N98" s="64" t="n"/>
      <c r="O98" s="64" t="n"/>
      <c r="P98" s="64" t="n"/>
      <c r="Q98" s="64" t="n"/>
      <c r="R98" s="51" t="n"/>
      <c r="S98" s="53" t="n"/>
      <c r="T98" s="64" t="n"/>
      <c r="U98" s="64" t="n"/>
      <c r="V98" s="64" t="n"/>
      <c r="W98" s="64" t="n"/>
      <c r="X98" s="64" t="n"/>
      <c r="Y98" s="64" t="n"/>
      <c r="Z98" s="64" t="n"/>
      <c r="AA98" s="64" t="n"/>
      <c r="AB98" s="101" t="n"/>
      <c r="AC98" s="64" t="n"/>
      <c r="AF98" s="64" t="n"/>
      <c r="AG98" s="64" t="n"/>
      <c r="AH98" s="164">
        <f>IF($AE147&lt;$AD$135,IF($AE147&gt;$AE148,"&lt;",""),"")</f>
        <v/>
      </c>
      <c r="AI98" s="164">
        <f>IF($AR147&lt;$AQ$135,IF($AR147&gt;$AR148,"&lt;",""),"")</f>
        <v/>
      </c>
      <c r="AJ98" s="64" t="n"/>
      <c r="AK98" s="198" t="n"/>
      <c r="AL98" s="64" t="n"/>
      <c r="AM98" s="161">
        <f>IF($AR147&lt;$AQ$135,IF($AR147&gt;$AR148,"&gt;",""),"")</f>
        <v/>
      </c>
      <c r="AN98" s="196">
        <f>IF($AE147&lt;$AD$135,IF($AE147&gt;$AE148,"&gt;",""),"")</f>
        <v/>
      </c>
      <c r="AO98" s="64" t="n"/>
      <c r="AP98" s="64" t="n"/>
      <c r="AQ98" s="463">
        <f>IF(VLOOKUP(7,Formations!$A$3:$C$25,1)=7,VLOOKUP(7,Formations!$A$3:$C$25,2)," ")</f>
        <v/>
      </c>
      <c r="AR98">
        <f>IF(VLOOKUP(7,Formations!$A$3:$C$25,1)=7,VLOOKUP(7,Formations!$A$3:$C$25,3)," ")</f>
        <v/>
      </c>
      <c r="AW98" s="64" t="n"/>
      <c r="AX98" s="64" t="n"/>
      <c r="AY98" s="164">
        <f>IF($AV147&lt;$AU$135,IF($AV147&gt;$AV148,"&lt;",""),"")</f>
        <v/>
      </c>
      <c r="AZ98" s="197">
        <f>IF($BH147&lt;$BG$135,IF($BH147&gt;$BH148,"&lt;",""),"")</f>
        <v/>
      </c>
      <c r="BA98" s="238">
        <f>IF($BZ$115&gt;$AV167,IF($BZ$115&lt;$AV168+0.1,"X",""),"")</f>
        <v/>
      </c>
      <c r="BB98" s="64" t="n"/>
      <c r="BC98" s="238">
        <f>IF($BZ$115&gt;$AV167,IF($BZ$115&lt;$AV168+0.1,"X",""),"")</f>
        <v/>
      </c>
      <c r="BD98" s="197">
        <f>IF($BH147&lt;$BG$135,IF($BH147&gt;$BH148,"&gt;",""),"")</f>
        <v/>
      </c>
      <c r="BE98" s="196">
        <f>IF($AV147&lt;$AU$135,IF($AV147&gt;$AV148,"&gt;",""),"")</f>
        <v/>
      </c>
      <c r="BF98" s="64" t="n"/>
      <c r="BG98" s="463">
        <f>IF(VLOOKUP(7,Formations!$A$3:$C$25,1)=7,VLOOKUP(7,Formations!$A$3:$C$25,2)," ")</f>
        <v/>
      </c>
      <c r="BH98">
        <f>IF(VLOOKUP(7,Formations!$A$3:$C$25,1)=7,VLOOKUP(7,Formations!$A$3:$C$25,3)," ")</f>
        <v/>
      </c>
      <c r="BN98" s="64" t="n"/>
      <c r="BO98" s="164">
        <f>IF($BY193&lt;$BX$181,IF($BY193&gt;$BY194,"&lt;",""),"")</f>
        <v/>
      </c>
      <c r="BP98" s="164">
        <f>IF($BM147&lt;$BL$135,IF($BM147&gt;$BM148,"&lt;",""),"")</f>
        <v/>
      </c>
      <c r="BQ98" s="164">
        <f>IF($BY147&lt;$BX$135,IF($BY147&gt;$BY148,"&lt;",""),"")</f>
        <v/>
      </c>
      <c r="BR98" s="238">
        <f>IF($BZ$115&gt;$BM189,IF($BZ$115&lt;$BM190+0.1,"X",""),"")</f>
        <v/>
      </c>
      <c r="BS98" s="64" t="n"/>
      <c r="BT98" s="238">
        <f>IF($BZ$115&gt;$BM189,IF($BZ$115&lt;$BM190+0.1,"X",""),"")</f>
        <v/>
      </c>
      <c r="BU98" s="196">
        <f>IF($BY147&lt;$BX$135,IF($BY147&gt;$BY148,"&gt;",""),"")</f>
        <v/>
      </c>
      <c r="BV98" s="196">
        <f>IF($BM147&lt;$BL$135,IF($BM147&gt;$BM148,"&gt;",""),"")</f>
        <v/>
      </c>
      <c r="BW98" s="196">
        <f>IF($BY193&lt;$BX$181,IF($BY193&gt;$BY194,"&gt;",""),"")</f>
        <v/>
      </c>
      <c r="BX98" s="463">
        <f>IF(VLOOKUP(7,Formations!$A$3:$C$25,1)=7,VLOOKUP(7,Formations!$A$3:$C$25,2)," ")</f>
        <v/>
      </c>
      <c r="BY98">
        <f>IF(VLOOKUP(7,Formations!$A$3:$C$25,1)=7,VLOOKUP(7,Formations!$A$3:$C$25,3)," ")</f>
        <v/>
      </c>
      <c r="CC98" s="64">
        <f>'Casing Review'!C12</f>
        <v/>
      </c>
      <c r="CD98" s="113" t="inlineStr">
        <is>
          <t>" Casing</t>
        </is>
      </c>
      <c r="CE98" s="64" t="n"/>
      <c r="CF98" s="64" t="n"/>
      <c r="CG98" s="164">
        <f>IF($CD147&lt;$CC$135,IF($CD147&gt;$CD148,"&lt;",""),"")</f>
        <v/>
      </c>
      <c r="CH98" s="64" t="n"/>
      <c r="CI98" s="194" t="n"/>
      <c r="CJ98" s="64" t="n"/>
      <c r="CK98" s="195" t="n"/>
      <c r="CL98" s="64" t="n"/>
      <c r="CM98" s="196">
        <f>IF($CD147&lt;$CC$135,IF($CD147&gt;$CD148,"&gt;",""),"")</f>
        <v/>
      </c>
      <c r="CN98" s="64" t="n"/>
      <c r="CO98" s="463">
        <f>IF(VLOOKUP(7,Formations!$A$3:$C$25,1)=7,VLOOKUP(7,Formations!$A$3:$C$25,2)," ")</f>
        <v/>
      </c>
      <c r="CP98">
        <f>IF(VLOOKUP(7,Formations!$A$3:$C$25,1)=7,VLOOKUP(7,Formations!$A$3:$C$25,3)," ")</f>
        <v/>
      </c>
    </row>
    <row r="99">
      <c r="A99" s="64" t="n"/>
      <c r="B99" s="64" t="n"/>
      <c r="C99" s="64" t="n"/>
      <c r="D99" s="34" t="n"/>
      <c r="E99" s="39" t="n"/>
      <c r="F99" s="64" t="n"/>
      <c r="G99" s="64" t="n"/>
      <c r="H99" s="64" t="n"/>
      <c r="I99" s="64" t="n"/>
      <c r="J99" s="64" t="n"/>
      <c r="K99" s="64" t="n"/>
      <c r="L99" s="64" t="n"/>
      <c r="M99" s="64" t="n"/>
      <c r="N99" s="64" t="n"/>
      <c r="O99" s="64" t="n"/>
      <c r="P99" s="64" t="n"/>
      <c r="Q99" s="64" t="n"/>
      <c r="R99" s="51" t="n"/>
      <c r="S99" s="53" t="n"/>
      <c r="T99" s="64" t="n"/>
      <c r="U99" s="64" t="n"/>
      <c r="V99" s="64" t="n"/>
      <c r="W99" s="64" t="n"/>
      <c r="X99" s="64" t="n"/>
      <c r="Y99" s="64" t="n"/>
      <c r="Z99" s="64" t="n"/>
      <c r="AA99" s="64" t="n"/>
      <c r="AB99" s="35" t="n"/>
      <c r="AC99" s="64" t="n"/>
      <c r="AF99" s="64" t="n"/>
      <c r="AG99" s="64" t="n"/>
      <c r="AH99" s="164">
        <f>IF($AE148&lt;$AD$135,IF($AE148&gt;$AE149,"&lt;",""),"")</f>
        <v/>
      </c>
      <c r="AI99" s="164">
        <f>IF($AR148&lt;$AQ$135,IF($AR148&gt;$AR149,"&lt;",""),"")</f>
        <v/>
      </c>
      <c r="AJ99" s="64" t="n"/>
      <c r="AK99" s="198" t="n"/>
      <c r="AL99" s="64" t="n"/>
      <c r="AM99" s="161">
        <f>IF($AR148&lt;$AQ$135,IF($AR148&gt;$AR149,"&gt;",""),"")</f>
        <v/>
      </c>
      <c r="AN99" s="196">
        <f>IF($AE148&lt;$AD$135,IF($AE148&gt;$AE149,"&gt;",""),"")</f>
        <v/>
      </c>
      <c r="AO99" s="64" t="n"/>
      <c r="AP99" s="64" t="n"/>
      <c r="AQ99" s="463">
        <f>IF(VLOOKUP(8,Formations!$A$3:$C$25,1)=8,VLOOKUP(8,Formations!$A$3:$C$25,2)," ")</f>
        <v/>
      </c>
      <c r="AR99">
        <f>IF(VLOOKUP(8,Formations!$A$3:$C$25,1)=8,VLOOKUP(8,Formations!$A$3:$C$25,3)," ")</f>
        <v/>
      </c>
      <c r="AW99" s="64" t="n"/>
      <c r="AX99" s="64" t="n"/>
      <c r="AY99" s="164">
        <f>IF($AV148&lt;$AU$135,IF($AV148&gt;$AV149,"&lt;",""),"")</f>
        <v/>
      </c>
      <c r="AZ99" s="197">
        <f>IF($BH148&lt;$BG$135,IF($BH148&gt;$BH149,"&lt;",""),"")</f>
        <v/>
      </c>
      <c r="BA99" s="238">
        <f>IF($BZ$115&gt;$AV168,IF($BZ$115&lt;$AV169+0.1,"X",""),"")</f>
        <v/>
      </c>
      <c r="BB99" s="64" t="n"/>
      <c r="BC99" s="238">
        <f>IF($BZ$115&gt;$AV168,IF($BZ$115&lt;$AV169+0.1,"X",""),"")</f>
        <v/>
      </c>
      <c r="BD99" s="197">
        <f>IF($BH148&lt;$BG$135,IF($BH148&gt;$BH149,"&gt;",""),"")</f>
        <v/>
      </c>
      <c r="BE99" s="196">
        <f>IF($AV148&lt;$AU$135,IF($AV148&gt;$AV149,"&gt;",""),"")</f>
        <v/>
      </c>
      <c r="BF99" s="64" t="n"/>
      <c r="BG99" s="463">
        <f>IF(VLOOKUP(8,Formations!$A$3:$C$25,1)=8,VLOOKUP(8,Formations!$A$3:$C$25,2)," ")</f>
        <v/>
      </c>
      <c r="BH99">
        <f>IF(VLOOKUP(8,Formations!$A$3:$C$25,1)=8,VLOOKUP(8,Formations!$A$3:$C$25,3)," ")</f>
        <v/>
      </c>
      <c r="BL99" s="64">
        <f>'Casing Review'!C27</f>
        <v/>
      </c>
      <c r="BM99" s="113" t="inlineStr">
        <is>
          <t>" Casing</t>
        </is>
      </c>
      <c r="BN99" s="64" t="n"/>
      <c r="BO99" s="164">
        <f>IF($BY194&lt;$BX$181,IF($BY194&gt;$BY195,"&lt;",""),"")</f>
        <v/>
      </c>
      <c r="BP99" s="164">
        <f>IF($BM148&lt;$BL$135,IF($BM148&gt;$BM149,"&lt;",""),"")</f>
        <v/>
      </c>
      <c r="BQ99" s="164">
        <f>IF($BY148&lt;$BX$135,IF($BY148&gt;$BY149,"&lt;",""),"")</f>
        <v/>
      </c>
      <c r="BR99" s="238">
        <f>IF($BZ$115&gt;$BM190,IF($BZ$115&lt;$BM191+0.1,"X",""),"")</f>
        <v/>
      </c>
      <c r="BS99" s="64" t="n"/>
      <c r="BT99" s="238">
        <f>IF($BZ$115&gt;$BM190,IF($BZ$115&lt;$BM191+0.1,"X",""),"")</f>
        <v/>
      </c>
      <c r="BU99" s="196">
        <f>IF($BY148&lt;$BX$135,IF($BY148&gt;$BY149,"&gt;",""),"")</f>
        <v/>
      </c>
      <c r="BV99" s="196">
        <f>IF($BM148&lt;$BL$135,IF($BM148&gt;$BM149,"&gt;",""),"")</f>
        <v/>
      </c>
      <c r="BW99" s="196">
        <f>IF($BY194&lt;$BX$181,IF($BY194&gt;$BY195,"&gt;",""),"")</f>
        <v/>
      </c>
      <c r="BX99" s="463">
        <f>IF(VLOOKUP(8,Formations!$A$3:$C$25,1)=8,VLOOKUP(8,Formations!$A$3:$C$25,2)," ")</f>
        <v/>
      </c>
      <c r="BY99">
        <f>IF(VLOOKUP(8,Formations!$A$3:$C$25,1)=8,VLOOKUP(8,Formations!$A$3:$C$25,3)," ")</f>
        <v/>
      </c>
      <c r="CC99" s="110">
        <f>MAX('Casing Review'!$D$12:$D$16)</f>
        <v/>
      </c>
      <c r="CD99" s="111" t="inlineStr">
        <is>
          <t>'  MD</t>
        </is>
      </c>
      <c r="CE99" s="64" t="n"/>
      <c r="CF99" s="64" t="n"/>
      <c r="CG99" s="164">
        <f>IF($CD148&lt;$CC$135,IF($CD148&gt;$CD149,"&lt;",""),"")</f>
        <v/>
      </c>
      <c r="CH99" s="64" t="n"/>
      <c r="CI99" s="194" t="n"/>
      <c r="CJ99" s="64" t="n"/>
      <c r="CK99" s="195" t="n"/>
      <c r="CL99" s="64" t="n"/>
      <c r="CM99" s="196">
        <f>IF($CD148&lt;$CC$135,IF($CD148&gt;$CD149,"&gt;",""),"")</f>
        <v/>
      </c>
      <c r="CN99" s="64" t="n"/>
      <c r="CO99" s="463">
        <f>IF(VLOOKUP(8,Formations!$A$3:$C$25,1)=8,VLOOKUP(8,Formations!$A$3:$C$25,2)," ")</f>
        <v/>
      </c>
      <c r="CP99">
        <f>IF(VLOOKUP(8,Formations!$A$3:$C$25,1)=8,VLOOKUP(8,Formations!$A$3:$C$25,3)," ")</f>
        <v/>
      </c>
    </row>
    <row r="100">
      <c r="A100" s="64" t="n"/>
      <c r="B100" s="64" t="n"/>
      <c r="C100" s="64" t="n"/>
      <c r="D100" s="34" t="n"/>
      <c r="E100" s="64" t="n"/>
      <c r="F100" s="64" t="n"/>
      <c r="G100" s="64" t="n"/>
      <c r="H100" s="64" t="n"/>
      <c r="I100" s="64" t="n"/>
      <c r="J100" s="64" t="n"/>
      <c r="K100" s="64" t="n"/>
      <c r="L100" s="64" t="n"/>
      <c r="M100" s="64" t="n"/>
      <c r="N100" s="64" t="n"/>
      <c r="O100" s="64" t="n"/>
      <c r="P100" s="64" t="n"/>
      <c r="Q100" s="64" t="n"/>
      <c r="R100" s="82" t="n"/>
      <c r="S100" s="58" t="n"/>
      <c r="T100" s="64" t="n"/>
      <c r="U100" s="64" t="n"/>
      <c r="V100" s="64" t="n"/>
      <c r="W100" s="64" t="n"/>
      <c r="X100" s="64" t="n"/>
      <c r="Y100" s="64" t="n"/>
      <c r="Z100" s="64" t="n"/>
      <c r="AA100" s="64" t="n"/>
      <c r="AB100" s="35" t="n"/>
      <c r="AC100" s="64" t="n"/>
      <c r="AF100" s="64" t="n"/>
      <c r="AG100" s="64" t="n"/>
      <c r="AH100" s="164">
        <f>IF($AE149&lt;$AD$135,IF($AE149&gt;$AE150,"&lt;",""),"")</f>
        <v/>
      </c>
      <c r="AI100" s="164">
        <f>IF($AR149&lt;$AQ$135,IF($AR149&gt;$AR150,"&lt;",""),"")</f>
        <v/>
      </c>
      <c r="AJ100" s="64" t="n"/>
      <c r="AK100" s="198" t="n"/>
      <c r="AL100" s="64" t="n"/>
      <c r="AM100" s="161">
        <f>IF($AR149&lt;$AQ$135,IF($AR149&gt;$AR150,"&gt;",""),"")</f>
        <v/>
      </c>
      <c r="AN100" s="196">
        <f>IF($AE149&lt;$AD$135,IF($AE149&gt;$AE150,"&gt;",""),"")</f>
        <v/>
      </c>
      <c r="AO100" s="64" t="n"/>
      <c r="AP100" s="64" t="n"/>
      <c r="AQ100" s="463">
        <f>IF(VLOOKUP(9,Formations!$A$3:$C$25,1)=9,VLOOKUP(9,Formations!$A$3:$C$25,2)," ")</f>
        <v/>
      </c>
      <c r="AR100">
        <f>IF(VLOOKUP(9,Formations!$A$3:$C$25,1)=9,VLOOKUP(9,Formations!$A$3:$C$25,3)," ")</f>
        <v/>
      </c>
      <c r="AW100" s="64" t="n"/>
      <c r="AX100" s="64" t="n"/>
      <c r="AY100" s="164">
        <f>IF($AV149&lt;$AU$135,IF($AV149&gt;$AV150,"&lt;",""),"")</f>
        <v/>
      </c>
      <c r="AZ100" s="197">
        <f>IF($BH149&lt;$BG$135,IF($BH149&gt;$BH150,"&lt;",""),"")</f>
        <v/>
      </c>
      <c r="BA100" s="238">
        <f>IF($BZ$115&gt;$AV169,IF($BZ$115&lt;$AV170+0.1,"X",""),"")</f>
        <v/>
      </c>
      <c r="BB100" s="64" t="n"/>
      <c r="BC100" s="238">
        <f>IF($BZ$115&gt;$AV169,IF($BZ$115&lt;$AV170+0.1,"X",""),"")</f>
        <v/>
      </c>
      <c r="BD100" s="197">
        <f>IF($BH149&lt;$BG$135,IF($BH149&gt;$BH150,"&gt;",""),"")</f>
        <v/>
      </c>
      <c r="BE100" s="196">
        <f>IF($AV149&lt;$AU$135,IF($AV149&gt;$AV150,"&gt;",""),"")</f>
        <v/>
      </c>
      <c r="BF100" s="64" t="n"/>
      <c r="BG100" s="463">
        <f>IF(VLOOKUP(9,Formations!$A$3:$C$25,1)=9,VLOOKUP(9,Formations!$A$3:$C$25,2)," ")</f>
        <v/>
      </c>
      <c r="BH100">
        <f>IF(VLOOKUP(9,Formations!$A$3:$C$25,1)=9,VLOOKUP(9,Formations!$A$3:$C$25,3)," ")</f>
        <v/>
      </c>
      <c r="BL100" s="110">
        <f>MAX('Casing Review'!$D$27:$D$32)</f>
        <v/>
      </c>
      <c r="BM100" s="111" t="inlineStr">
        <is>
          <t>'  MD</t>
        </is>
      </c>
      <c r="BN100" s="64" t="n"/>
      <c r="BO100" s="164">
        <f>IF($BY195&lt;$BX$181,IF($BY195&gt;$BY196,"&lt;",""),"")</f>
        <v/>
      </c>
      <c r="BP100" s="164">
        <f>IF($BM149&lt;$BL$135,IF($BM149&gt;$BM150,"&lt;",""),"")</f>
        <v/>
      </c>
      <c r="BQ100" s="164">
        <f>IF($BY149&lt;$BX$135,IF($BY149&gt;$BY150,"&lt;",""),"")</f>
        <v/>
      </c>
      <c r="BR100" s="238">
        <f>IF($BZ$115&gt;$BM191,IF($BZ$115&lt;$BM192+0.1,"X",""),"")</f>
        <v/>
      </c>
      <c r="BS100" s="64" t="n"/>
      <c r="BT100" s="238">
        <f>IF($BZ$115&gt;$BM191,IF($BZ$115&lt;$BM192+0.1,"X",""),"")</f>
        <v/>
      </c>
      <c r="BU100" s="196">
        <f>IF($BY149&lt;$BX$135,IF($BY149&gt;$BY150,"&gt;",""),"")</f>
        <v/>
      </c>
      <c r="BV100" s="196">
        <f>IF($BM149&lt;$BL$135,IF($BM149&gt;$BM150,"&gt;",""),"")</f>
        <v/>
      </c>
      <c r="BW100" s="196">
        <f>IF($BY195&lt;$BX$181,IF($BY195&gt;$BY196,"&gt;",""),"")</f>
        <v/>
      </c>
      <c r="BX100" s="463">
        <f>IF(VLOOKUP(9,Formations!$A$3:$C$25,1)=9,VLOOKUP(9,Formations!$A$3:$C$25,2)," ")</f>
        <v/>
      </c>
      <c r="BY100">
        <f>IF(VLOOKUP(9,Formations!$A$3:$C$25,1)=9,VLOOKUP(9,Formations!$A$3:$C$25,3)," ")</f>
        <v/>
      </c>
      <c r="CC100" s="112">
        <f>'Casing Review'!$B$19</f>
        <v/>
      </c>
      <c r="CD100" s="111" t="inlineStr">
        <is>
          <t xml:space="preserve">' TVD </t>
        </is>
      </c>
      <c r="CE100" s="64" t="n"/>
      <c r="CF100" s="64" t="n"/>
      <c r="CG100" s="164">
        <f>IF($CD149&lt;$CC$135,IF($CD149&gt;$CD150,"&lt;",""),"")</f>
        <v/>
      </c>
      <c r="CH100" s="64" t="n"/>
      <c r="CI100" s="194" t="n"/>
      <c r="CJ100" s="64" t="n"/>
      <c r="CK100" s="195" t="n"/>
      <c r="CL100" s="64" t="n"/>
      <c r="CM100" s="196">
        <f>IF($CD149&lt;$CC$135,IF($CD149&gt;$CD150,"&gt;",""),"")</f>
        <v/>
      </c>
      <c r="CN100" s="64" t="n"/>
      <c r="CO100" s="463">
        <f>IF(VLOOKUP(9,Formations!$A$3:$C$25,1)=9,VLOOKUP(9,Formations!$A$3:$C$25,2)," ")</f>
        <v/>
      </c>
      <c r="CP100">
        <f>IF(VLOOKUP(9,Formations!$A$3:$C$25,1)=9,VLOOKUP(9,Formations!$A$3:$C$25,3)," ")</f>
        <v/>
      </c>
    </row>
    <row r="101">
      <c r="A101" s="64" t="n"/>
      <c r="B101" s="64" t="n"/>
      <c r="C101" s="64" t="n"/>
      <c r="D101" s="273" t="n"/>
      <c r="E101" s="268" t="n"/>
      <c r="F101" s="64" t="n"/>
      <c r="G101" s="64" t="n"/>
      <c r="H101" s="64" t="n"/>
      <c r="I101" s="64" t="n"/>
      <c r="J101" s="64" t="n"/>
      <c r="K101" s="64" t="n"/>
      <c r="L101" s="64" t="n"/>
      <c r="M101" s="64" t="n"/>
      <c r="N101" s="64" t="n"/>
      <c r="O101" s="64" t="n"/>
      <c r="P101" s="64" t="n"/>
      <c r="Q101" s="64" t="n"/>
      <c r="R101" s="82" t="n"/>
      <c r="S101" s="58" t="n"/>
      <c r="T101" s="83" t="n"/>
      <c r="U101" s="83" t="n"/>
      <c r="V101" s="83" t="n"/>
      <c r="W101" s="83" t="n"/>
      <c r="X101" s="83" t="n"/>
      <c r="Y101" s="83" t="n"/>
      <c r="Z101" s="83" t="n"/>
      <c r="AA101" s="83" t="n"/>
      <c r="AB101" s="39" t="n"/>
      <c r="AC101" s="64" t="n"/>
      <c r="AF101" s="64" t="n"/>
      <c r="AG101" s="64" t="n"/>
      <c r="AH101" s="164">
        <f>IF($AE150&lt;$AD$135,IF($AE150&gt;$AE151,"&lt;",""),"")</f>
        <v/>
      </c>
      <c r="AI101" s="164">
        <f>IF($AR150&lt;$AQ$135,IF($AR150&gt;$AR151,"&lt;",""),"")</f>
        <v/>
      </c>
      <c r="AJ101" s="64" t="n"/>
      <c r="AK101" s="198" t="n"/>
      <c r="AL101" s="64" t="n"/>
      <c r="AM101" s="161">
        <f>IF($AR150&lt;$AQ$135,IF($AR150&gt;$AR151,"&gt;",""),"")</f>
        <v/>
      </c>
      <c r="AN101" s="196">
        <f>IF($AE150&lt;$AD$135,IF($AE150&gt;$AE151,"&gt;",""),"")</f>
        <v/>
      </c>
      <c r="AO101" s="64" t="n"/>
      <c r="AP101" s="64" t="n"/>
      <c r="AQ101" s="463">
        <f>IF(VLOOKUP(10,Formations!$A$3:$C$25,1)=10,VLOOKUP(10,Formations!$A$3:$C$25,2)," ")</f>
        <v/>
      </c>
      <c r="AR101">
        <f>IF(VLOOKUP(10,Formations!$A$3:$C$25,1)=10,VLOOKUP(10,Formations!$A$3:$C$25,3)," ")</f>
        <v/>
      </c>
      <c r="AW101" s="85" t="n"/>
      <c r="AX101" s="85" t="n"/>
      <c r="AY101" s="164">
        <f>IF($AV150&lt;$AU$135,IF($AV150&gt;$AV151,"&lt;",""),"")</f>
        <v/>
      </c>
      <c r="AZ101" s="197">
        <f>IF($BH150&lt;$BG$135,IF($BH150&gt;$BH151,"&lt;",""),"")</f>
        <v/>
      </c>
      <c r="BA101" s="238">
        <f>IF($BZ$115&gt;$AV170,IF($BZ$115&lt;$AV171+0.1,"X",""),"")</f>
        <v/>
      </c>
      <c r="BB101" s="64" t="n"/>
      <c r="BC101" s="238">
        <f>IF($BZ$115&gt;$AV170,IF($BZ$115&lt;$AV171+0.1,"X",""),"")</f>
        <v/>
      </c>
      <c r="BD101" s="197">
        <f>IF($BH150&lt;$BG$135,IF($BH150&gt;$BH151,"&gt;",""),"")</f>
        <v/>
      </c>
      <c r="BE101" s="196">
        <f>IF($AV150&lt;$AU$135,IF($AV150&gt;$AV151,"&gt;",""),"")</f>
        <v/>
      </c>
      <c r="BF101" s="64" t="n"/>
      <c r="BG101" s="463">
        <f>IF(VLOOKUP(10,Formations!$A$3:$C$25,1)=10,VLOOKUP(10,Formations!$A$3:$C$25,2)," ")</f>
        <v/>
      </c>
      <c r="BH101">
        <f>IF(VLOOKUP(10,Formations!$A$3:$C$25,1)=10,VLOOKUP(10,Formations!$A$3:$C$25,3)," ")</f>
        <v/>
      </c>
      <c r="BL101" s="112">
        <f>'Casing Review'!$B$34</f>
        <v/>
      </c>
      <c r="BM101" s="111" t="inlineStr">
        <is>
          <t xml:space="preserve">' TVD </t>
        </is>
      </c>
      <c r="BN101" s="85" t="n"/>
      <c r="BO101" s="164">
        <f>IF($BY196&lt;$BX$181,IF($BY196&gt;$BY197,"&lt;",""),"")</f>
        <v/>
      </c>
      <c r="BP101" s="164">
        <f>IF($BM150&lt;$BL$135,IF($BM150&gt;$BM151,"&lt;",""),"")</f>
        <v/>
      </c>
      <c r="BQ101" s="164">
        <f>IF($BY150&lt;$BX$135,IF($BY150&gt;$BY151,"&lt;",""),"")</f>
        <v/>
      </c>
      <c r="BR101" s="238">
        <f>IF($BZ$115&gt;$BM192,IF($BZ$115&lt;$BM193+0.1,"X",""),"")</f>
        <v/>
      </c>
      <c r="BS101" s="64" t="n"/>
      <c r="BT101" s="238">
        <f>IF($BZ$115&gt;$BM192,IF($BZ$115&lt;$BM193+0.1,"X",""),"")</f>
        <v/>
      </c>
      <c r="BU101" s="196">
        <f>IF($BY150&lt;$BX$135,IF($BY150&gt;$BY151,"&gt;",""),"")</f>
        <v/>
      </c>
      <c r="BV101" s="196">
        <f>IF($BM150&lt;$BL$135,IF($BM150&gt;$BM151,"&gt;",""),"")</f>
        <v/>
      </c>
      <c r="BW101" s="196">
        <f>IF($BY196&lt;$BX$181,IF($BY196&gt;$BY197,"&gt;",""),"")</f>
        <v/>
      </c>
      <c r="BX101" s="463">
        <f>IF(VLOOKUP(10,Formations!$A$3:$C$25,1)=10,VLOOKUP(10,Formations!$A$3:$C$25,2)," ")</f>
        <v/>
      </c>
      <c r="BY101">
        <f>IF(VLOOKUP(10,Formations!$A$3:$C$25,1)=10,VLOOKUP(10,Formations!$A$3:$C$25,3)," ")</f>
        <v/>
      </c>
      <c r="CC101" s="112">
        <f>'Casing Review'!$R$12</f>
        <v/>
      </c>
      <c r="CD101" s="111" t="inlineStr">
        <is>
          <t>' TOC</t>
        </is>
      </c>
      <c r="CE101" s="85" t="n"/>
      <c r="CF101" s="85" t="n"/>
      <c r="CG101" s="164">
        <f>IF($CD150&lt;$CC$135,IF($CD150&gt;$CD151,"&lt;",""),"")</f>
        <v/>
      </c>
      <c r="CH101" s="64" t="n"/>
      <c r="CI101" s="194" t="n"/>
      <c r="CJ101" s="64" t="n"/>
      <c r="CK101" s="195" t="n"/>
      <c r="CL101" s="64" t="n"/>
      <c r="CM101" s="196">
        <f>IF($CD150&lt;$CC$135,IF($CD150&gt;$CD151,"&gt;",""),"")</f>
        <v/>
      </c>
      <c r="CN101" s="64" t="n"/>
      <c r="CO101" s="463">
        <f>IF(VLOOKUP(10,Formations!$A$3:$C$25,1)=10,VLOOKUP(10,Formations!$A$3:$C$25,2)," ")</f>
        <v/>
      </c>
      <c r="CP101">
        <f>IF(VLOOKUP(10,Formations!$A$3:$C$25,1)=10,VLOOKUP(10,Formations!$A$3:$C$25,3)," ")</f>
        <v/>
      </c>
    </row>
    <row r="102">
      <c r="A102" s="178" t="n"/>
      <c r="B102" s="64" t="n"/>
      <c r="C102" s="64" t="n"/>
      <c r="D102" s="84" t="n"/>
      <c r="E102" s="39" t="n"/>
      <c r="F102" s="64" t="n"/>
      <c r="G102" s="64" t="n"/>
      <c r="H102" s="64" t="n"/>
      <c r="I102" s="64" t="n"/>
      <c r="J102" s="64" t="n"/>
      <c r="K102" s="64" t="n"/>
      <c r="L102" s="64" t="n"/>
      <c r="M102" s="64" t="n"/>
      <c r="N102" s="64" t="n"/>
      <c r="O102" s="64" t="n"/>
      <c r="P102" s="64" t="n"/>
      <c r="Q102" s="64" t="n"/>
      <c r="R102" s="35" t="n"/>
      <c r="S102" s="36" t="n"/>
      <c r="T102" s="64" t="n"/>
      <c r="U102" s="64" t="n"/>
      <c r="V102" s="64" t="n"/>
      <c r="W102" s="64" t="n"/>
      <c r="X102" s="64" t="n"/>
      <c r="Y102" s="64" t="n"/>
      <c r="Z102" s="64" t="n"/>
      <c r="AA102" s="83" t="n"/>
      <c r="AB102" s="39" t="n"/>
      <c r="AC102" s="64" t="n"/>
      <c r="AD102" s="64">
        <f>'Casing Review'!C27</f>
        <v/>
      </c>
      <c r="AE102" s="113" t="inlineStr">
        <is>
          <t>" Casing</t>
        </is>
      </c>
      <c r="AF102" s="64" t="n"/>
      <c r="AG102" s="64" t="n"/>
      <c r="AH102" s="64" t="n"/>
      <c r="AI102" s="164">
        <f>IF($AR151&lt;$AQ$135,IF($AR151&gt;$AR152,"&lt;",""),"")</f>
        <v/>
      </c>
      <c r="AJ102" s="64" t="n"/>
      <c r="AK102" s="198" t="n"/>
      <c r="AL102" s="64" t="n"/>
      <c r="AM102" s="161">
        <f>IF($AR151&lt;$AQ$135,IF($AR151&gt;$AR152,"&gt;",""),"")</f>
        <v/>
      </c>
      <c r="AN102" s="163" t="n"/>
      <c r="AO102" s="64" t="n"/>
      <c r="AP102" s="64" t="n"/>
      <c r="AQ102" s="463">
        <f>IF(VLOOKUP(11,Formations!$A$3:$C$25,1)=11,VLOOKUP(11,Formations!$A$3:$C$25,2)," ")</f>
        <v/>
      </c>
      <c r="AR102">
        <f>IF(VLOOKUP(11,Formations!$A$3:$C$25,1)=11,VLOOKUP(11,Formations!$A$3:$C$25,3)," ")</f>
        <v/>
      </c>
      <c r="AW102" s="64" t="n"/>
      <c r="AX102" s="64" t="n"/>
      <c r="AY102" s="164">
        <f>IF($AV151&lt;$AU$135,IF($AV151&gt;$AV152,"&lt;",""),"")</f>
        <v/>
      </c>
      <c r="AZ102" s="197">
        <f>IF($BH151&lt;$BG$135,IF($BH151&gt;$BH152,"&lt;",""),"")</f>
        <v/>
      </c>
      <c r="BA102" s="238">
        <f>IF($BZ$115&gt;$AV171,IF($BZ$115&lt;$AV172+0.1,"X",""),"")</f>
        <v/>
      </c>
      <c r="BB102" s="64" t="n"/>
      <c r="BC102" s="238">
        <f>IF($BZ$115&gt;$AV171,IF($BZ$115&lt;$AV172+0.1,"X",""),"")</f>
        <v/>
      </c>
      <c r="BD102" s="197">
        <f>IF($BH151&lt;$BG$135,IF($BH151&gt;$BH152,"&gt;",""),"")</f>
        <v/>
      </c>
      <c r="BE102" s="196">
        <f>IF($AV151&lt;$AU$135,IF($AV151&gt;$AV152,"&gt;",""),"")</f>
        <v/>
      </c>
      <c r="BF102" s="64" t="n"/>
      <c r="BG102" s="463">
        <f>IF(VLOOKUP(11,Formations!$A$3:$C$25,1)=11,VLOOKUP(11,Formations!$A$3:$C$25,2)," ")</f>
        <v/>
      </c>
      <c r="BH102">
        <f>IF(VLOOKUP(11,Formations!$A$3:$C$25,1)=11,VLOOKUP(11,Formations!$A$3:$C$25,3)," ")</f>
        <v/>
      </c>
      <c r="BL102" s="112">
        <f>'Casing Review'!$R$27</f>
        <v/>
      </c>
      <c r="BM102" s="111" t="inlineStr">
        <is>
          <t>' TOC</t>
        </is>
      </c>
      <c r="BN102" s="64" t="n"/>
      <c r="BO102" s="164">
        <f>IF($BY197&lt;$BX$181,IF($BY197&gt;$BY198,"&lt;",""),"")</f>
        <v/>
      </c>
      <c r="BP102" s="164">
        <f>IF($BM151&lt;$BL$135,IF($BM151&gt;$BM152,"&lt;",""),"")</f>
        <v/>
      </c>
      <c r="BQ102" s="164">
        <f>IF($BY151&lt;$BX$135,IF($BY151&gt;$BY152,"&lt;",""),"")</f>
        <v/>
      </c>
      <c r="BR102" s="238">
        <f>IF($BZ$115&gt;$BM193,IF($BZ$115&lt;$BM194+0.1,"X",""),"")</f>
        <v/>
      </c>
      <c r="BS102" s="64" t="n"/>
      <c r="BT102" s="238">
        <f>IF($BZ$115&gt;$BM193,IF($BZ$115&lt;$BM194+0.1,"X",""),"")</f>
        <v/>
      </c>
      <c r="BU102" s="196">
        <f>IF($BY151&lt;$BX$135,IF($BY151&gt;$BY152,"&gt;",""),"")</f>
        <v/>
      </c>
      <c r="BV102" s="196">
        <f>IF($BM151&lt;$BL$135,IF($BM151&gt;$BM152,"&gt;",""),"")</f>
        <v/>
      </c>
      <c r="BW102" s="196">
        <f>IF($BY197&lt;$BX$181,IF($BY197&gt;$BY198,"&gt;",""),"")</f>
        <v/>
      </c>
      <c r="BX102" s="463">
        <f>IF(VLOOKUP(11,Formations!$A$3:$C$25,1)=11,VLOOKUP(11,Formations!$A$3:$C$25,2)," ")</f>
        <v/>
      </c>
      <c r="BY102">
        <f>IF(VLOOKUP(11,Formations!$A$3:$C$25,1)=11,VLOOKUP(11,Formations!$A$3:$C$25,3)," ")</f>
        <v/>
      </c>
      <c r="CC102" s="112">
        <f>'Casing Review'!$R$13</f>
        <v/>
      </c>
      <c r="CD102" s="134" t="inlineStr">
        <is>
          <t>' Tail</t>
        </is>
      </c>
      <c r="CE102" s="64" t="n"/>
      <c r="CF102" s="64" t="n"/>
      <c r="CG102" s="164">
        <f>IF($CD151&lt;$CC$135,IF($CD151&gt;$CD152,"&lt;",""),"")</f>
        <v/>
      </c>
      <c r="CH102" s="64" t="n"/>
      <c r="CI102" s="194" t="n"/>
      <c r="CJ102" s="64" t="n"/>
      <c r="CK102" s="195" t="n"/>
      <c r="CL102" s="64" t="n"/>
      <c r="CM102" s="196">
        <f>IF($CD151&lt;$CC$135,IF($CD151&gt;$CD152,"&gt;",""),"")</f>
        <v/>
      </c>
      <c r="CN102" s="64" t="n"/>
      <c r="CO102" s="463">
        <f>IF(VLOOKUP(11,Formations!$A$3:$C$25,1)=11,VLOOKUP(11,Formations!$A$3:$C$25,2)," ")</f>
        <v/>
      </c>
      <c r="CP102">
        <f>IF(VLOOKUP(11,Formations!$A$3:$C$25,1)=11,VLOOKUP(11,Formations!$A$3:$C$25,3)," ")</f>
        <v/>
      </c>
    </row>
    <row r="103">
      <c r="A103" s="179" t="n"/>
      <c r="B103" s="64" t="n"/>
      <c r="C103" s="64" t="n"/>
      <c r="D103" s="104" t="n"/>
      <c r="E103" s="104" t="n"/>
      <c r="F103" s="85" t="n"/>
      <c r="G103" s="85" t="n"/>
      <c r="H103" s="64" t="n"/>
      <c r="I103" s="85" t="n"/>
      <c r="J103" s="64" t="n"/>
      <c r="K103" s="64" t="n"/>
      <c r="L103" s="64" t="n"/>
      <c r="M103" s="64" t="n"/>
      <c r="N103" s="64" t="n"/>
      <c r="O103" s="64" t="n"/>
      <c r="P103" s="64" t="n"/>
      <c r="Q103" s="64" t="n"/>
      <c r="R103" s="36" t="n"/>
      <c r="S103" s="36" t="n"/>
      <c r="T103" s="64" t="n"/>
      <c r="U103" s="64" t="n"/>
      <c r="V103" s="64" t="n"/>
      <c r="W103" s="64" t="n"/>
      <c r="X103" s="64" t="n"/>
      <c r="Y103" s="64" t="n"/>
      <c r="Z103" s="64" t="n"/>
      <c r="AA103" s="83" t="n"/>
      <c r="AB103" s="39" t="n"/>
      <c r="AC103" s="85" t="n"/>
      <c r="AD103" s="110">
        <f>MAX('Casing Review'!$D$27:$D$32)</f>
        <v/>
      </c>
      <c r="AE103" s="111" t="inlineStr">
        <is>
          <t>'  MD</t>
        </is>
      </c>
      <c r="AF103" s="85" t="n"/>
      <c r="AG103" s="85" t="n"/>
      <c r="AH103" s="85" t="n"/>
      <c r="AI103" s="164">
        <f>IF($AR152&lt;$AQ$135,IF($AR152&gt;$AR153,"&lt;",""),"")</f>
        <v/>
      </c>
      <c r="AJ103" s="64" t="n"/>
      <c r="AK103" s="198" t="n"/>
      <c r="AL103" s="64" t="n"/>
      <c r="AM103" s="161">
        <f>IF($AR152&lt;$AQ$135,IF($AR152&gt;$AR153,"&gt;",""),"")</f>
        <v/>
      </c>
      <c r="AN103" s="163" t="n"/>
      <c r="AO103" s="64" t="n"/>
      <c r="AP103" s="64" t="n"/>
      <c r="AQ103" s="463">
        <f>IF(VLOOKUP(12,Formations!$A$3:$C$25,1)=12,VLOOKUP(12,Formations!$A$3:$C$25,2)," ")</f>
        <v/>
      </c>
      <c r="AR103">
        <f>IF(VLOOKUP(12,Formations!$A$3:$C$25,1)=12,VLOOKUP(12,Formations!$A$3:$C$25,3)," ")</f>
        <v/>
      </c>
      <c r="AW103" s="64" t="n"/>
      <c r="AX103" s="64" t="n"/>
      <c r="AY103" s="164">
        <f>IF($AV152&lt;$AU$135,IF($AV152&gt;$AV153,"&lt;",""),"")</f>
        <v/>
      </c>
      <c r="AZ103" s="197">
        <f>IF($BH152&lt;$BG$135,IF($BH152&gt;$BH153,"&lt;",""),"")</f>
        <v/>
      </c>
      <c r="BA103" s="238">
        <f>IF($BZ$115&gt;$AV172,IF($BZ$115&lt;$AV173+0.1,"X",""),"")</f>
        <v/>
      </c>
      <c r="BB103" s="64" t="n"/>
      <c r="BC103" s="238">
        <f>IF($BZ$115&gt;$AV172,IF($BZ$115&lt;$AV173+0.1,"X",""),"")</f>
        <v/>
      </c>
      <c r="BD103" s="197">
        <f>IF($BH152&lt;$BG$135,IF($BH152&gt;$BH153,"&gt;",""),"")</f>
        <v/>
      </c>
      <c r="BE103" s="196">
        <f>IF($AV152&lt;$AU$135,IF($AV152&gt;$AV153,"&gt;",""),"")</f>
        <v/>
      </c>
      <c r="BF103" s="64" t="n"/>
      <c r="BG103" s="463">
        <f>IF(VLOOKUP(12,Formations!$A$3:$C$25,1)=12,VLOOKUP(12,Formations!$A$3:$C$25,2)," ")</f>
        <v/>
      </c>
      <c r="BH103">
        <f>IF(VLOOKUP(12,Formations!$A$3:$C$25,1)=12,VLOOKUP(12,Formations!$A$3:$C$25,3)," ")</f>
        <v/>
      </c>
      <c r="BL103" s="112">
        <f>'Casing Review'!$R$28</f>
        <v/>
      </c>
      <c r="BM103" s="134" t="inlineStr">
        <is>
          <t>' Tail</t>
        </is>
      </c>
      <c r="BN103" s="64" t="n"/>
      <c r="BO103" s="64" t="n"/>
      <c r="BP103" s="164">
        <f>IF($BM152&lt;$BL$135,IF($BM152&gt;$BM153,"&lt;",""),"")</f>
        <v/>
      </c>
      <c r="BQ103" s="164">
        <f>IF($BY152&lt;$BX$135,IF($BY152&gt;$BY153,"&lt;",""),"")</f>
        <v/>
      </c>
      <c r="BR103" s="238">
        <f>IF($BZ$115&gt;$BM194,IF($BZ$115&lt;$BM195+0.1,"X",""),"")</f>
        <v/>
      </c>
      <c r="BS103" s="64" t="n"/>
      <c r="BT103" s="238">
        <f>IF($BZ$115&gt;$BM194,IF($BZ$115&lt;$BM195+0.1,"X",""),"")</f>
        <v/>
      </c>
      <c r="BU103" s="196">
        <f>IF($BY152&lt;$BX$135,IF($BY152&gt;$BY153,"&gt;",""),"")</f>
        <v/>
      </c>
      <c r="BV103" s="196">
        <f>IF($BM152&lt;$BL$135,IF($BM152&gt;$BM153,"&gt;",""),"")</f>
        <v/>
      </c>
      <c r="BW103" s="64" t="n"/>
      <c r="BX103" s="463">
        <f>IF(VLOOKUP(12,Formations!$A$3:$C$25,1)=12,VLOOKUP(12,Formations!$A$3:$C$25,2)," ")</f>
        <v/>
      </c>
      <c r="BY103">
        <f>IF(VLOOKUP(12,Formations!$A$3:$C$25,1)=12,VLOOKUP(12,Formations!$A$3:$C$25,3)," ")</f>
        <v/>
      </c>
      <c r="CC103" s="153">
        <f>'Casing Review'!B20</f>
        <v/>
      </c>
      <c r="CD103" s="39" t="inlineStr">
        <is>
          <t>% Washout</t>
        </is>
      </c>
      <c r="CE103" s="64" t="n"/>
      <c r="CF103" s="64" t="n"/>
      <c r="CG103" s="164">
        <f>IF($CD152&lt;$CC$135,IF($CD152&gt;$CD153,"&lt;",""),"")</f>
        <v/>
      </c>
      <c r="CH103" s="64" t="n"/>
      <c r="CI103" s="194" t="n"/>
      <c r="CJ103" s="64" t="n"/>
      <c r="CK103" s="195" t="n"/>
      <c r="CL103" s="64" t="n"/>
      <c r="CM103" s="196">
        <f>IF($CD152&lt;$CC$135,IF($CD152&gt;$CD153,"&gt;",""),"")</f>
        <v/>
      </c>
      <c r="CN103" s="64" t="n"/>
      <c r="CO103" s="463">
        <f>IF(VLOOKUP(12,Formations!$A$3:$C$25,1)=12,VLOOKUP(12,Formations!$A$3:$C$25,2)," ")</f>
        <v/>
      </c>
      <c r="CP103">
        <f>IF(VLOOKUP(12,Formations!$A$3:$C$25,1)=12,VLOOKUP(12,Formations!$A$3:$C$25,3)," ")</f>
        <v/>
      </c>
    </row>
    <row r="104">
      <c r="A104" s="274" t="n"/>
      <c r="B104" s="275" t="n"/>
      <c r="C104" s="64" t="n"/>
      <c r="D104" s="276" t="n"/>
      <c r="E104" s="64" t="n"/>
      <c r="F104" s="64" t="n"/>
      <c r="G104" s="64" t="n"/>
      <c r="H104" s="64" t="n"/>
      <c r="I104" s="64" t="n"/>
      <c r="J104" s="64" t="n"/>
      <c r="K104" s="64" t="n"/>
      <c r="L104" s="64" t="n"/>
      <c r="M104" s="64" t="n"/>
      <c r="N104" s="64" t="n"/>
      <c r="O104" s="64" t="n"/>
      <c r="P104" s="277" t="n"/>
      <c r="Q104" s="86" t="n"/>
      <c r="R104" s="68" t="n"/>
      <c r="S104" s="87" t="n"/>
      <c r="T104" s="64" t="n"/>
      <c r="U104" s="64" t="n"/>
      <c r="V104" s="64" t="n"/>
      <c r="W104" s="64" t="n"/>
      <c r="X104" s="64" t="n"/>
      <c r="Y104" s="64" t="n"/>
      <c r="Z104" s="64" t="n"/>
      <c r="AA104" s="64" t="n"/>
      <c r="AB104" s="39" t="n"/>
      <c r="AC104" s="64" t="n"/>
      <c r="AD104" s="112">
        <f>'Casing Review'!$B$34</f>
        <v/>
      </c>
      <c r="AE104" s="111" t="inlineStr">
        <is>
          <t xml:space="preserve">' TVD </t>
        </is>
      </c>
      <c r="AF104" s="64" t="n"/>
      <c r="AG104" s="64" t="n"/>
      <c r="AH104" s="64" t="n"/>
      <c r="AI104" s="164">
        <f>IF($AR153&lt;$AQ$135,IF($AR153&gt;$AR154,"&lt;",""),"")</f>
        <v/>
      </c>
      <c r="AJ104" s="64" t="n"/>
      <c r="AK104" s="198" t="n"/>
      <c r="AL104" s="64" t="n"/>
      <c r="AM104" s="161">
        <f>IF($AR153&lt;$AQ$135,IF($AR153&gt;$AR154,"&gt;",""),"")</f>
        <v/>
      </c>
      <c r="AN104" s="64" t="n"/>
      <c r="AO104" s="64" t="n"/>
      <c r="AP104" s="64" t="n"/>
      <c r="AQ104" s="463">
        <f>IF(VLOOKUP(13,Formations!$A$3:$C$25,1)=13,VLOOKUP(13,Formations!$A$3:$C$25,2)," ")</f>
        <v/>
      </c>
      <c r="AR104">
        <f>IF(VLOOKUP(13,Formations!$A$3:$C$25,1)=13,VLOOKUP(13,Formations!$A$3:$C$25,3)," ")</f>
        <v/>
      </c>
      <c r="AW104" s="64" t="n"/>
      <c r="AX104" s="64" t="n"/>
      <c r="AY104" s="64" t="n"/>
      <c r="AZ104" s="197">
        <f>IF($BH153&lt;$BG$135,IF($BH153&gt;$BH154,"&lt;",""),"")</f>
        <v/>
      </c>
      <c r="BA104" s="238">
        <f>IF($BZ$115&gt;$AV173,IF($BZ$115&lt;$AV174+0.1,"X",""),"")</f>
        <v/>
      </c>
      <c r="BB104" s="64" t="n"/>
      <c r="BC104" s="238">
        <f>IF($BZ$115&gt;$AV173,IF($BZ$115&lt;$AV174+0.1,"X",""),"")</f>
        <v/>
      </c>
      <c r="BD104" s="197">
        <f>IF($BH153&lt;$BG$135,IF($BH153&gt;$BH154,"&gt;",""),"")</f>
        <v/>
      </c>
      <c r="BE104" s="64" t="n"/>
      <c r="BF104" s="64" t="n"/>
      <c r="BG104" s="463">
        <f>IF(VLOOKUP(13,Formations!$A$3:$C$25,1)=13,VLOOKUP(13,Formations!$A$3:$C$25,2)," ")</f>
        <v/>
      </c>
      <c r="BH104">
        <f>IF(VLOOKUP(13,Formations!$A$3:$C$25,1)=13,VLOOKUP(13,Formations!$A$3:$C$25,3)," ")</f>
        <v/>
      </c>
      <c r="BL104" s="153">
        <f>'Casing Review'!B35</f>
        <v/>
      </c>
      <c r="BM104" s="39" t="inlineStr">
        <is>
          <t>% Washout</t>
        </is>
      </c>
      <c r="BN104" s="64" t="n"/>
      <c r="BO104" s="64" t="n"/>
      <c r="BP104" s="164">
        <f>IF($BM153&lt;$BL$135,IF($BM153&gt;$BM154,"&lt;",""),"")</f>
        <v/>
      </c>
      <c r="BQ104" s="164">
        <f>IF($BY153&lt;$BX$135,IF($BY153&gt;$BY154,"&lt;",""),"")</f>
        <v/>
      </c>
      <c r="BR104" s="238">
        <f>IF($BZ$115&gt;$BM195,IF($BZ$115&lt;$BM196+0.1,"X",""),"")</f>
        <v/>
      </c>
      <c r="BS104" s="64" t="n"/>
      <c r="BT104" s="238">
        <f>IF($BZ$115&gt;$BM195,IF($BZ$115&lt;$BM196+0.1,"X",""),"")</f>
        <v/>
      </c>
      <c r="BU104" s="196">
        <f>IF($BY153&lt;$BX$135,IF($BY153&gt;$BY154,"&gt;",""),"")</f>
        <v/>
      </c>
      <c r="BV104" s="196">
        <f>IF($BM153&lt;$BL$135,IF($BM153&gt;$BM154,"&gt;",""),"")</f>
        <v/>
      </c>
      <c r="BW104" s="64" t="n"/>
      <c r="BX104" s="463">
        <f>IF(VLOOKUP(13,Formations!$A$3:$C$25,1)=13,VLOOKUP(13,Formations!$A$3:$C$25,2)," ")</f>
        <v/>
      </c>
      <c r="BY104">
        <f>IF(VLOOKUP(13,Formations!$A$3:$C$25,1)=13,VLOOKUP(13,Formations!$A$3:$C$25,3)," ")</f>
        <v/>
      </c>
      <c r="CC104" s="153">
        <f>'Casing Review'!$B$12</f>
        <v/>
      </c>
      <c r="CD104" s="152" t="inlineStr">
        <is>
          <t>" Hole</t>
        </is>
      </c>
      <c r="CE104" s="64" t="n"/>
      <c r="CF104" s="64" t="n"/>
      <c r="CG104" s="164">
        <f>IF($CD153&lt;$CC$135,IF($CD153&gt;$CD154,"&lt;",""),"")</f>
        <v/>
      </c>
      <c r="CH104" s="64" t="n"/>
      <c r="CI104" s="194" t="n"/>
      <c r="CJ104" s="64" t="n"/>
      <c r="CK104" s="195" t="n"/>
      <c r="CL104" s="64" t="n"/>
      <c r="CM104" s="196">
        <f>IF($CD153&lt;$CC$135,IF($CD153&gt;$CD154,"&gt;",""),"")</f>
        <v/>
      </c>
      <c r="CN104" s="64" t="n"/>
      <c r="CO104" s="463">
        <f>IF(VLOOKUP(13,Formations!$A$3:$C$25,1)=13,VLOOKUP(13,Formations!$A$3:$C$25,2)," ")</f>
        <v/>
      </c>
      <c r="CP104">
        <f>IF(VLOOKUP(13,Formations!$A$3:$C$25,1)=13,VLOOKUP(13,Formations!$A$3:$C$25,3)," ")</f>
        <v/>
      </c>
    </row>
    <row r="105">
      <c r="A105" s="35" t="n"/>
      <c r="B105" s="278" t="n"/>
      <c r="C105" s="64" t="n"/>
      <c r="D105" s="276" t="n"/>
      <c r="E105" s="64" t="n"/>
      <c r="F105" s="64" t="n"/>
      <c r="G105" s="64" t="n"/>
      <c r="H105" s="64" t="n"/>
      <c r="I105" s="64" t="n"/>
      <c r="J105" s="64" t="n"/>
      <c r="K105" s="64" t="n"/>
      <c r="L105" s="64" t="n"/>
      <c r="M105" s="64" t="n"/>
      <c r="N105" s="64" t="n"/>
      <c r="O105" s="64" t="n"/>
      <c r="P105" s="277" t="n"/>
      <c r="Q105" s="86" t="n"/>
      <c r="R105" s="64" t="n"/>
      <c r="S105" s="87" t="n"/>
      <c r="T105" s="64" t="n"/>
      <c r="U105" s="64" t="n"/>
      <c r="V105" s="64" t="n"/>
      <c r="W105" s="64" t="n"/>
      <c r="X105" s="64" t="n"/>
      <c r="Y105" s="64" t="n"/>
      <c r="Z105" s="64" t="n"/>
      <c r="AA105" s="64" t="n"/>
      <c r="AB105" s="88" t="n"/>
      <c r="AC105" s="64" t="n"/>
      <c r="AD105" s="112">
        <f>'Casing Review'!$R$27</f>
        <v/>
      </c>
      <c r="AE105" s="111" t="inlineStr">
        <is>
          <t>' TOC</t>
        </is>
      </c>
      <c r="AF105" s="64" t="n"/>
      <c r="AG105" s="64" t="n"/>
      <c r="AH105" s="64" t="n"/>
      <c r="AI105" s="164">
        <f>IF($AR154&lt;$AQ$135,IF($AR154&gt;$AR155,"&lt;",""),"")</f>
        <v/>
      </c>
      <c r="AJ105" s="64" t="n"/>
      <c r="AK105" s="198" t="n"/>
      <c r="AL105" s="64" t="n"/>
      <c r="AM105" s="161">
        <f>IF($AR154&lt;$AQ$135,IF($AR154&gt;$AR155,"&gt;",""),"")</f>
        <v/>
      </c>
      <c r="AN105" s="64" t="n"/>
      <c r="AO105" s="64" t="n"/>
      <c r="AP105" s="64" t="n"/>
      <c r="AQ105" s="463">
        <f>IF(VLOOKUP(14,Formations!$A$3:$C$25,1)=14,VLOOKUP(14,Formations!$A$3:$C$25,2)," ")</f>
        <v/>
      </c>
      <c r="AR105">
        <f>IF(VLOOKUP(14,Formations!$A$3:$C$25,1)=14,VLOOKUP(14,Formations!$A$3:$C$25,3)," ")</f>
        <v/>
      </c>
      <c r="AV105" s="64" t="n"/>
      <c r="AW105" s="64" t="n"/>
      <c r="AX105" s="64" t="n"/>
      <c r="AY105" s="64" t="n"/>
      <c r="AZ105" s="197">
        <f>IF($BH154&lt;$BG$135,IF($BH154&gt;$BH155,"&lt;",""),"")</f>
        <v/>
      </c>
      <c r="BA105" s="238">
        <f>IF($BZ$115&gt;$AV174,IF($BZ$115&lt;$AV175+0.1,"X",""),"")</f>
        <v/>
      </c>
      <c r="BB105" s="64" t="n"/>
      <c r="BC105" s="238">
        <f>IF($BZ$115&gt;$AV174,IF($BZ$115&lt;$AV175+0.1,"X",""),"")</f>
        <v/>
      </c>
      <c r="BD105" s="197">
        <f>IF($BH154&lt;$BG$135,IF($BH154&gt;$BH155,"&gt;",""),"")</f>
        <v/>
      </c>
      <c r="BE105" s="64" t="n"/>
      <c r="BF105" s="64" t="n"/>
      <c r="BG105" s="463">
        <f>IF(VLOOKUP(14,Formations!$A$3:$C$25,1)=14,VLOOKUP(14,Formations!$A$3:$C$25,2)," ")</f>
        <v/>
      </c>
      <c r="BH105">
        <f>IF(VLOOKUP(14,Formations!$A$3:$C$25,1)=14,VLOOKUP(14,Formations!$A$3:$C$25,3)," ")</f>
        <v/>
      </c>
      <c r="BL105" s="153">
        <f>'Casing Review'!$B$27</f>
        <v/>
      </c>
      <c r="BM105" s="152" t="inlineStr">
        <is>
          <t>" Hole</t>
        </is>
      </c>
      <c r="BN105" s="64" t="n"/>
      <c r="BO105" s="64" t="n"/>
      <c r="BP105" s="164">
        <f>IF($BM154&lt;$BL$135,IF($BM154&gt;$BM155,"&lt;",""),"")</f>
        <v/>
      </c>
      <c r="BQ105" s="164">
        <f>IF($BY154&lt;$BX$135,IF($BY154&gt;$BY155,"&lt;",""),"")</f>
        <v/>
      </c>
      <c r="BR105" s="238">
        <f>IF($BZ$115&gt;$BM196,IF($BZ$115&lt;$BM197+0.1,"X",""),"")</f>
        <v/>
      </c>
      <c r="BS105" s="64" t="n"/>
      <c r="BT105" s="238">
        <f>IF($BZ$115&gt;$BM196,IF($BZ$115&lt;$BM197+0.1,"X",""),"")</f>
        <v/>
      </c>
      <c r="BU105" s="196">
        <f>IF($BY154&lt;$BX$135,IF($BY154&gt;$BY155,"&gt;",""),"")</f>
        <v/>
      </c>
      <c r="BV105" s="196">
        <f>IF($BM154&lt;$BL$135,IF($BM154&gt;$BM155,"&gt;",""),"")</f>
        <v/>
      </c>
      <c r="BW105" s="64" t="n"/>
      <c r="BX105" s="463">
        <f>IF(VLOOKUP(14,Formations!$A$3:$C$25,1)=14,VLOOKUP(14,Formations!$A$3:$C$25,2)," ")</f>
        <v/>
      </c>
      <c r="BY105">
        <f>IF(VLOOKUP(14,Formations!$A$3:$C$25,1)=14,VLOOKUP(14,Formations!$A$3:$C$25,3)," ")</f>
        <v/>
      </c>
      <c r="CD105" s="64" t="n"/>
      <c r="CE105" s="64" t="n"/>
      <c r="CF105" s="64" t="n"/>
      <c r="CG105" s="164">
        <f>IF($CD154&lt;$CC$135,IF($CD154&gt;$CD155,"&lt;",""),"")</f>
        <v/>
      </c>
      <c r="CH105" s="64" t="n"/>
      <c r="CI105" s="194" t="n"/>
      <c r="CJ105" s="64" t="n"/>
      <c r="CK105" s="195" t="n"/>
      <c r="CL105" s="64" t="n"/>
      <c r="CM105" s="196">
        <f>IF($CD154&lt;$CC$135,IF($CD154&gt;$CD155,"&gt;",""),"")</f>
        <v/>
      </c>
      <c r="CN105" s="64" t="n"/>
      <c r="CO105" s="463">
        <f>IF(VLOOKUP(14,Formations!$A$3:$C$25,1)=14,VLOOKUP(14,Formations!$A$3:$C$25,2)," ")</f>
        <v/>
      </c>
      <c r="CP105">
        <f>IF(VLOOKUP(14,Formations!$A$3:$C$25,1)=14,VLOOKUP(14,Formations!$A$3:$C$25,3)," ")</f>
        <v/>
      </c>
    </row>
    <row r="106">
      <c r="A106" s="279" t="n"/>
      <c r="B106" s="64" t="n"/>
      <c r="C106" s="64" t="n"/>
      <c r="D106" s="276" t="n"/>
      <c r="E106" s="64" t="n"/>
      <c r="F106" s="64" t="n"/>
      <c r="G106" s="64" t="n"/>
      <c r="H106" s="64" t="n"/>
      <c r="I106" s="64" t="n"/>
      <c r="J106" s="64" t="n"/>
      <c r="K106" s="64" t="n"/>
      <c r="L106" s="64" t="n"/>
      <c r="M106" s="64" t="n"/>
      <c r="N106" s="64" t="n"/>
      <c r="O106" s="64" t="n"/>
      <c r="P106" s="277" t="n"/>
      <c r="Q106" s="89" t="n"/>
      <c r="R106" s="51" t="n"/>
      <c r="S106" s="53" t="n"/>
      <c r="T106" s="64" t="n"/>
      <c r="U106" s="64" t="n"/>
      <c r="V106" s="64" t="n"/>
      <c r="W106" s="64" t="n"/>
      <c r="X106" s="64" t="n"/>
      <c r="Y106" s="64" t="n"/>
      <c r="Z106" s="64" t="n"/>
      <c r="AA106" s="64" t="n"/>
      <c r="AB106" s="88" t="n"/>
      <c r="AC106" s="64" t="n"/>
      <c r="AD106" s="112">
        <f>'Casing Review'!$R$28</f>
        <v/>
      </c>
      <c r="AE106" s="134" t="inlineStr">
        <is>
          <t>' Tail</t>
        </is>
      </c>
      <c r="AF106" s="64" t="n"/>
      <c r="AG106" s="64" t="n"/>
      <c r="AH106" s="64" t="n"/>
      <c r="AI106" s="164">
        <f>IF($AR155&lt;$AQ$135,IF($AR155&gt;$AR156,"&lt;",""),"")</f>
        <v/>
      </c>
      <c r="AJ106" s="64" t="n"/>
      <c r="AK106" s="198" t="n"/>
      <c r="AL106" s="64" t="n"/>
      <c r="AM106" s="161">
        <f>IF($AR155&lt;$AQ$135,IF($AR155&gt;$AR156,"&gt;",""),"")</f>
        <v/>
      </c>
      <c r="AN106" s="64" t="n"/>
      <c r="AO106" s="64" t="n"/>
      <c r="AP106" s="64" t="n"/>
      <c r="AQ106" s="463">
        <f>IF(VLOOKUP(15,Formations!$A$3:$C$25,1)=15,VLOOKUP(15,Formations!$A$3:$C$25,2)," ")</f>
        <v/>
      </c>
      <c r="AR106">
        <f>IF(VLOOKUP(15,Formations!$A$3:$C$25,1)=15,VLOOKUP(15,Formations!$A$3:$C$25,3)," ")</f>
        <v/>
      </c>
      <c r="AV106" s="64" t="n"/>
      <c r="AW106" s="64" t="n"/>
      <c r="AX106" s="64" t="n"/>
      <c r="AY106" s="64" t="n"/>
      <c r="AZ106" s="197">
        <f>IF($BH155&lt;$BG$135,IF($BH155&gt;$BH156,"&lt;",""),"")</f>
        <v/>
      </c>
      <c r="BA106" s="238">
        <f>IF($BZ$115&gt;$AV175,IF($BZ$115&lt;$AV176+0.1,"X",""),"")</f>
        <v/>
      </c>
      <c r="BB106" s="64" t="n"/>
      <c r="BC106" s="238">
        <f>IF($BZ$115&gt;$AV175,IF($BZ$115&lt;$AV176+0.1,"X",""),"")</f>
        <v/>
      </c>
      <c r="BD106" s="197">
        <f>IF($BH155&lt;$BG$135,IF($BH155&gt;$BH156,"&gt;",""),"")</f>
        <v/>
      </c>
      <c r="BE106" s="64" t="n"/>
      <c r="BF106" s="64" t="n"/>
      <c r="BG106" s="463">
        <f>IF(VLOOKUP(15,Formations!$A$3:$C$25,1)=15,VLOOKUP(15,Formations!$A$3:$C$25,2)," ")</f>
        <v/>
      </c>
      <c r="BH106">
        <f>IF(VLOOKUP(15,Formations!$A$3:$C$25,1)=15,VLOOKUP(15,Formations!$A$3:$C$25,3)," ")</f>
        <v/>
      </c>
      <c r="BM106" s="64" t="n"/>
      <c r="BN106" s="64" t="n"/>
      <c r="BO106" s="64" t="n"/>
      <c r="BP106" s="164">
        <f>IF($BM155&lt;$BL$135,IF($BM155&gt;$BM156,"&lt;",""),"")</f>
        <v/>
      </c>
      <c r="BQ106" s="164">
        <f>IF($BY155&lt;$BX$135,IF($BY155&gt;$BY156,"&lt;",""),"")</f>
        <v/>
      </c>
      <c r="BR106" s="238">
        <f>IF($BZ$115&gt;$BM197,IF($BZ$115&lt;$BM198+0.1,"X",""),"")</f>
        <v/>
      </c>
      <c r="BS106" s="64" t="n"/>
      <c r="BT106" s="238">
        <f>IF($BZ$115&gt;$BM197,IF($BZ$115&lt;$BM198+0.1,"X",""),"")</f>
        <v/>
      </c>
      <c r="BU106" s="196">
        <f>IF($BY155&lt;$BX$135,IF($BY155&gt;$BY156,"&gt;",""),"")</f>
        <v/>
      </c>
      <c r="BV106" s="196">
        <f>IF($BM155&lt;$BL$135,IF($BM155&gt;$BM156,"&gt;",""),"")</f>
        <v/>
      </c>
      <c r="BW106" s="64" t="n"/>
      <c r="BX106" s="463">
        <f>IF(VLOOKUP(15,Formations!$A$3:$C$25,1)=15,VLOOKUP(15,Formations!$A$3:$C$25,2)," ")</f>
        <v/>
      </c>
      <c r="BY106">
        <f>IF(VLOOKUP(15,Formations!$A$3:$C$25,1)=15,VLOOKUP(15,Formations!$A$3:$C$25,3)," ")</f>
        <v/>
      </c>
      <c r="CD106" s="64" t="n"/>
      <c r="CE106" s="64" t="n"/>
      <c r="CF106" s="64" t="n"/>
      <c r="CG106" s="164">
        <f>IF($CD155&lt;$CC$135,IF($CD155&gt;$CD156,"&lt;",""),"")</f>
        <v/>
      </c>
      <c r="CH106" s="64" t="n"/>
      <c r="CI106" s="194" t="n"/>
      <c r="CJ106" s="64" t="n"/>
      <c r="CK106" s="195" t="n"/>
      <c r="CL106" s="64" t="n"/>
      <c r="CM106" s="196">
        <f>IF($CD155&lt;$CC$135,IF($CD155&gt;$CD156,"&gt;",""),"")</f>
        <v/>
      </c>
      <c r="CN106" s="64" t="n"/>
      <c r="CO106" s="463">
        <f>IF(VLOOKUP(15,Formations!$A$3:$C$25,1)=15,VLOOKUP(15,Formations!$A$3:$C$25,2)," ")</f>
        <v/>
      </c>
      <c r="CP106">
        <f>IF(VLOOKUP(15,Formations!$A$3:$C$25,1)=15,VLOOKUP(15,Formations!$A$3:$C$25,3)," ")</f>
        <v/>
      </c>
    </row>
    <row r="107">
      <c r="A107" s="65" t="n"/>
      <c r="B107" s="65" t="n"/>
      <c r="C107" s="64" t="n"/>
      <c r="D107" s="34" t="n"/>
      <c r="E107" s="64" t="n"/>
      <c r="F107" s="64" t="n"/>
      <c r="G107" s="64" t="n"/>
      <c r="H107" s="64" t="n"/>
      <c r="I107" s="64" t="n"/>
      <c r="J107" s="64" t="n"/>
      <c r="K107" s="64" t="n"/>
      <c r="L107" s="64" t="n"/>
      <c r="M107" s="64" t="n"/>
      <c r="N107" s="64" t="n"/>
      <c r="O107" s="64" t="n"/>
      <c r="P107" s="277" t="n"/>
      <c r="Q107" s="90" t="n"/>
      <c r="R107" s="53" t="n"/>
      <c r="S107" s="53" t="n"/>
      <c r="T107" s="64" t="n"/>
      <c r="U107" s="64" t="n"/>
      <c r="V107" s="64" t="n"/>
      <c r="W107" s="64" t="n"/>
      <c r="X107" s="64" t="n"/>
      <c r="Y107" s="64" t="n"/>
      <c r="Z107" s="40" t="n"/>
      <c r="AA107" s="64" t="n"/>
      <c r="AB107" s="88" t="n"/>
      <c r="AC107" s="64" t="n"/>
      <c r="AD107" s="153">
        <f>'Casing Review'!B35</f>
        <v/>
      </c>
      <c r="AE107" s="39" t="inlineStr">
        <is>
          <t>% Washout</t>
        </is>
      </c>
      <c r="AF107" s="64" t="n"/>
      <c r="AG107" s="64" t="n"/>
      <c r="AH107" s="64" t="n"/>
      <c r="AI107" s="164">
        <f>IF($AR156&lt;$AQ$135,IF($AR156&gt;$AR157,"&lt;",""),"")</f>
        <v/>
      </c>
      <c r="AJ107" s="64" t="n"/>
      <c r="AK107" s="198" t="n"/>
      <c r="AL107" s="64" t="n"/>
      <c r="AM107" s="161">
        <f>IF($AR156&lt;$AQ$135,IF($AR156&gt;$AR157,"&gt;",""),"")</f>
        <v/>
      </c>
      <c r="AN107" s="64" t="n"/>
      <c r="AO107" s="64" t="n"/>
      <c r="AP107" s="64" t="n"/>
      <c r="AQ107" s="463">
        <f>IF(VLOOKUP(16,Formations!$A$3:$C$25,1)=16,VLOOKUP(16,Formations!$A$3:$C$25,2)," ")</f>
        <v/>
      </c>
      <c r="AR107">
        <f>IF(VLOOKUP(16,Formations!$A$3:$C$25,1)=16,VLOOKUP(16,Formations!$A$3:$C$25,3)," ")</f>
        <v/>
      </c>
      <c r="AV107" s="64" t="n"/>
      <c r="AW107" s="64" t="n"/>
      <c r="AX107" s="64" t="n"/>
      <c r="AY107" s="64" t="n"/>
      <c r="AZ107" s="197">
        <f>IF($BH156&lt;$BG$135,IF($BH156&gt;$BH157,"&lt;",""),"")</f>
        <v/>
      </c>
      <c r="BA107" s="238">
        <f>IF($BZ$115&gt;$AV176,IF($BZ$115&lt;$AV177+0.1,"X",""),"")</f>
        <v/>
      </c>
      <c r="BB107" s="64" t="n"/>
      <c r="BC107" s="238">
        <f>IF($BZ$115&gt;$AV176,IF($BZ$115&lt;$AV177+0.1,"X",""),"")</f>
        <v/>
      </c>
      <c r="BD107" s="197">
        <f>IF($BH156&lt;$BG$135,IF($BH156&gt;$BH157,"&gt;",""),"")</f>
        <v/>
      </c>
      <c r="BE107" s="64" t="n"/>
      <c r="BF107" s="64" t="n"/>
      <c r="BG107" s="463">
        <f>IF(VLOOKUP(16,Formations!$A$3:$C$25,1)=16,VLOOKUP(16,Formations!$A$3:$C$25,2)," ")</f>
        <v/>
      </c>
      <c r="BH107">
        <f>IF(VLOOKUP(16,Formations!$A$3:$C$25,1)=16,VLOOKUP(16,Formations!$A$3:$C$25,3)," ")</f>
        <v/>
      </c>
      <c r="BM107" s="64" t="n"/>
      <c r="BN107" s="64" t="n"/>
      <c r="BO107" s="64" t="n"/>
      <c r="BP107" s="164">
        <f>IF($BM156&lt;$BL$135,IF($BM156&gt;$BM157,"&lt;",""),"")</f>
        <v/>
      </c>
      <c r="BQ107" s="164">
        <f>IF($BY156&lt;$BX$135,IF($BY156&gt;$BY157,"&lt;",""),"")</f>
        <v/>
      </c>
      <c r="BR107" s="238">
        <f>IF($BZ$115&gt;$BM198,IF($BZ$115&lt;$BM199+0.1,"X",""),"")</f>
        <v/>
      </c>
      <c r="BS107" s="64" t="n"/>
      <c r="BT107" s="238">
        <f>IF($BZ$115&gt;$BM198,IF($BZ$115&lt;$BM199+0.1,"X",""),"")</f>
        <v/>
      </c>
      <c r="BU107" s="196">
        <f>IF($BY156&lt;$BX$135,IF($BY156&gt;$BY157,"&gt;",""),"")</f>
        <v/>
      </c>
      <c r="BV107" s="196">
        <f>IF($BM156&lt;$BL$135,IF($BM156&gt;$BM157,"&gt;",""),"")</f>
        <v/>
      </c>
      <c r="BW107" s="64" t="n"/>
      <c r="BX107" s="463">
        <f>IF(VLOOKUP(16,Formations!$A$3:$C$25,1)=16,VLOOKUP(16,Formations!$A$3:$C$25,2)," ")</f>
        <v/>
      </c>
      <c r="BY107">
        <f>IF(VLOOKUP(16,Formations!$A$3:$C$25,1)=16,VLOOKUP(16,Formations!$A$3:$C$25,3)," ")</f>
        <v/>
      </c>
      <c r="CD107" s="64" t="n"/>
      <c r="CE107" s="64" t="n"/>
      <c r="CF107" s="64" t="n"/>
      <c r="CG107" s="164">
        <f>IF($CD156&lt;$CC$135,IF($CD156&gt;$CD157,"&lt;",""),"")</f>
        <v/>
      </c>
      <c r="CH107" s="64" t="n"/>
      <c r="CI107" s="194" t="n"/>
      <c r="CJ107" s="64" t="n"/>
      <c r="CK107" s="195" t="n"/>
      <c r="CL107" s="64" t="n"/>
      <c r="CM107" s="196">
        <f>IF($CD156&lt;$CC$135,IF($CD156&gt;$CD157,"&gt;",""),"")</f>
        <v/>
      </c>
      <c r="CN107" s="64" t="n"/>
      <c r="CO107" s="463">
        <f>IF(VLOOKUP(16,Formations!$A$3:$C$25,1)=16,VLOOKUP(16,Formations!$A$3:$C$25,2)," ")</f>
        <v/>
      </c>
      <c r="CP107">
        <f>IF(VLOOKUP(16,Formations!$A$3:$C$25,1)=16,VLOOKUP(16,Formations!$A$3:$C$25,3)," ")</f>
        <v/>
      </c>
    </row>
    <row r="108">
      <c r="A108" s="64" t="n"/>
      <c r="B108" s="64" t="n"/>
      <c r="C108" s="64" t="n"/>
      <c r="D108" s="34" t="n"/>
      <c r="E108" s="64" t="n"/>
      <c r="F108" s="64" t="n"/>
      <c r="G108" s="64" t="n"/>
      <c r="H108" s="64" t="n"/>
      <c r="I108" s="64" t="n"/>
      <c r="J108" s="64" t="n"/>
      <c r="K108" s="64" t="n"/>
      <c r="L108" s="64" t="n"/>
      <c r="M108" s="64" t="n"/>
      <c r="N108" s="64" t="n"/>
      <c r="O108" s="64" t="n"/>
      <c r="P108" s="277" t="n"/>
      <c r="Q108" s="64" t="n"/>
      <c r="R108" s="91" t="n"/>
      <c r="S108" s="96" t="n"/>
      <c r="T108" s="92" t="n"/>
      <c r="U108" s="64" t="n"/>
      <c r="V108" s="93" t="n"/>
      <c r="W108" s="93" t="n"/>
      <c r="X108" s="93" t="n"/>
      <c r="Y108" s="64" t="n"/>
      <c r="Z108" s="94" t="n"/>
      <c r="AA108" s="188" t="n"/>
      <c r="AB108" s="95" t="n"/>
      <c r="AC108" s="64" t="n"/>
      <c r="AD108" s="153">
        <f>'Casing Review'!$B$27</f>
        <v/>
      </c>
      <c r="AE108" s="152" t="inlineStr">
        <is>
          <t>" Hole</t>
        </is>
      </c>
      <c r="AF108" s="64" t="n"/>
      <c r="AG108" s="64" t="n"/>
      <c r="AH108" s="64" t="n"/>
      <c r="AI108" s="164">
        <f>IF($AR157&lt;$AQ$135,IF($AR157&gt;$AR158,"&lt;",""),"")</f>
        <v/>
      </c>
      <c r="AJ108" s="64" t="n"/>
      <c r="AK108" s="198" t="n"/>
      <c r="AL108" s="64" t="n"/>
      <c r="AM108" s="161">
        <f>IF($AR157&lt;$AQ$135,IF($AR157&gt;$AR158,"&gt;",""),"")</f>
        <v/>
      </c>
      <c r="AN108" s="64" t="n"/>
      <c r="AO108" s="64" t="n"/>
      <c r="AP108" s="64" t="n"/>
      <c r="AQ108" s="463">
        <f>IF(VLOOKUP(17,Formations!$A$3:$C$25,1)=17,VLOOKUP(17,Formations!$A$3:$C$25,2)," ")</f>
        <v/>
      </c>
      <c r="AR108">
        <f>IF(VLOOKUP(17,Formations!$A$3:$C$25,1)=17,VLOOKUP(17,Formations!$A$3:$C$25,3)," ")</f>
        <v/>
      </c>
      <c r="AV108" s="64" t="n"/>
      <c r="AW108" s="64" t="n"/>
      <c r="AX108" s="64" t="n"/>
      <c r="AY108" s="64" t="n"/>
      <c r="AZ108" s="197">
        <f>IF($BH157&lt;$BG$135,IF($BH157&gt;$BH158,"&lt;",""),"")</f>
        <v/>
      </c>
      <c r="BA108" s="238">
        <f>IF($BZ$115&gt;$AV177,IF($BZ$115&lt;$AV178+0.1,"X",""),"")</f>
        <v/>
      </c>
      <c r="BB108" s="64" t="n"/>
      <c r="BC108" s="238">
        <f>IF($BZ$115&gt;$AV177,IF($BZ$115&lt;$AV178+0.1,"X",""),"")</f>
        <v/>
      </c>
      <c r="BD108" s="197">
        <f>IF($BH157&lt;$BG$135,IF($BH157&gt;$BH158,"&gt;",""),"")</f>
        <v/>
      </c>
      <c r="BE108" s="64" t="n"/>
      <c r="BF108" s="64" t="n"/>
      <c r="BG108" s="463">
        <f>IF(VLOOKUP(17,Formations!$A$3:$C$25,1)=17,VLOOKUP(17,Formations!$A$3:$C$25,2)," ")</f>
        <v/>
      </c>
      <c r="BH108">
        <f>IF(VLOOKUP(17,Formations!$A$3:$C$25,1)=17,VLOOKUP(17,Formations!$A$3:$C$25,3)," ")</f>
        <v/>
      </c>
      <c r="BM108" s="64" t="n"/>
      <c r="BN108" s="64" t="n"/>
      <c r="BO108" s="64" t="n"/>
      <c r="BP108" s="164">
        <f>IF($BM157&lt;$BL$135,IF($BM157&gt;$BM158,"&lt;",""),"")</f>
        <v/>
      </c>
      <c r="BQ108" s="164">
        <f>IF($BY157&lt;$BX$135,IF($BY157&gt;$BY158,"&lt;",""),"")</f>
        <v/>
      </c>
      <c r="BR108" s="238">
        <f>IF($BZ$115&gt;$BM199,IF($BZ$115&lt;$BM200+0.1,"X",""),"")</f>
        <v/>
      </c>
      <c r="BS108" s="64" t="n"/>
      <c r="BT108" s="238">
        <f>IF($BZ$115&gt;$BM199,IF($BZ$115&lt;$BM200+0.1,"X",""),"")</f>
        <v/>
      </c>
      <c r="BU108" s="196">
        <f>IF($BY157&lt;$BX$135,IF($BY157&gt;$BY158,"&gt;",""),"")</f>
        <v/>
      </c>
      <c r="BV108" s="196">
        <f>IF($BM157&lt;$BL$135,IF($BM157&gt;$BM158,"&gt;",""),"")</f>
        <v/>
      </c>
      <c r="BW108" s="64" t="n"/>
      <c r="BX108" s="463">
        <f>IF(VLOOKUP(17,Formations!$A$3:$C$25,1)=17,VLOOKUP(17,Formations!$A$3:$C$25,2)," ")</f>
        <v/>
      </c>
      <c r="BY108">
        <f>IF(VLOOKUP(17,Formations!$A$3:$C$25,1)=17,VLOOKUP(17,Formations!$A$3:$C$25,3)," ")</f>
        <v/>
      </c>
      <c r="CD108" s="64" t="n"/>
      <c r="CE108" s="64" t="n"/>
      <c r="CF108" s="64" t="n"/>
      <c r="CG108" s="164">
        <f>IF($CD157&lt;$CC$135,IF($CD157&gt;$CD158,"&lt;",""),"")</f>
        <v/>
      </c>
      <c r="CH108" s="64" t="n"/>
      <c r="CI108" s="194" t="n"/>
      <c r="CJ108" s="64" t="n"/>
      <c r="CK108" s="195" t="n"/>
      <c r="CL108" s="64" t="n"/>
      <c r="CM108" s="196">
        <f>IF($CD157&lt;$CC$135,IF($CD157&gt;$CD158,"&gt;",""),"")</f>
        <v/>
      </c>
      <c r="CN108" s="64" t="n"/>
      <c r="CO108" s="463">
        <f>IF(VLOOKUP(17,Formations!$A$3:$C$25,1)=17,VLOOKUP(17,Formations!$A$3:$C$25,2)," ")</f>
        <v/>
      </c>
      <c r="CP108">
        <f>IF(VLOOKUP(17,Formations!$A$3:$C$25,1)=17,VLOOKUP(17,Formations!$A$3:$C$25,3)," ")</f>
        <v/>
      </c>
    </row>
    <row r="109">
      <c r="A109" s="92" t="n"/>
      <c r="B109" s="64" t="n"/>
      <c r="C109" s="64" t="n"/>
      <c r="D109" s="34" t="n"/>
      <c r="E109" s="64" t="n"/>
      <c r="F109" s="64" t="n"/>
      <c r="G109" s="64" t="n"/>
      <c r="H109" s="64" t="n"/>
      <c r="I109" s="64" t="n"/>
      <c r="J109" s="64" t="n"/>
      <c r="K109" s="64" t="n"/>
      <c r="L109" s="64" t="n"/>
      <c r="M109" s="64" t="n"/>
      <c r="N109" s="64" t="n"/>
      <c r="O109" s="64" t="n"/>
      <c r="P109" s="277" t="n"/>
      <c r="Q109" s="64" t="n"/>
      <c r="R109" s="36" t="n"/>
      <c r="S109" s="96" t="n"/>
      <c r="T109" s="93" t="n"/>
      <c r="U109" s="93" t="n"/>
      <c r="V109" s="97" t="n"/>
      <c r="W109" s="93" t="n"/>
      <c r="X109" s="93" t="n"/>
      <c r="Y109" s="64" t="n"/>
      <c r="Z109" s="98" t="n"/>
      <c r="AA109" s="93" t="n"/>
      <c r="AB109" s="95" t="n"/>
      <c r="AC109" s="64" t="n"/>
      <c r="AF109" s="64" t="n"/>
      <c r="AG109" s="64" t="n"/>
      <c r="AH109" s="64" t="n"/>
      <c r="AI109" s="164">
        <f>IF($AR158&lt;$AQ$135,IF($AR158&gt;$AR159,"&lt;",""),"")</f>
        <v/>
      </c>
      <c r="AJ109" s="64" t="n"/>
      <c r="AK109" s="198" t="n"/>
      <c r="AL109" s="64" t="n"/>
      <c r="AM109" s="161">
        <f>IF($AR158&lt;$AQ$135,IF($AR158&gt;$AR159,"&gt;",""),"")</f>
        <v/>
      </c>
      <c r="AN109" s="64" t="n"/>
      <c r="AO109" s="64" t="n"/>
      <c r="AP109" s="64" t="n"/>
      <c r="AQ109" s="463">
        <f>IF(VLOOKUP(18,Formations!$A$3:$C$25,1)=18,VLOOKUP(18,Formations!$A$3:$C$25,2)," ")</f>
        <v/>
      </c>
      <c r="AR109">
        <f>IF(VLOOKUP(18,Formations!$A$3:$C$25,1)=18,VLOOKUP(18,Formations!$A$3:$C$25,3)," ")</f>
        <v/>
      </c>
      <c r="AV109" s="64" t="n"/>
      <c r="AW109" s="64" t="n"/>
      <c r="AX109" s="64" t="n"/>
      <c r="AY109" s="64" t="n"/>
      <c r="AZ109" s="197">
        <f>IF($BH158&lt;$BG$135,IF($BH158&gt;$BH159,"&lt;",""),"")</f>
        <v/>
      </c>
      <c r="BA109" s="238">
        <f>IF($BZ$115&gt;$AV178,IF($BZ$115&lt;$AV179+0.1,"X",""),"")</f>
        <v/>
      </c>
      <c r="BB109" s="64" t="n"/>
      <c r="BC109" s="238">
        <f>IF($BZ$115&gt;$AV178,IF($BZ$115&lt;$AV179+0.1,"X",""),"")</f>
        <v/>
      </c>
      <c r="BD109" s="197">
        <f>IF($BH158&lt;$BG$135,IF($BH158&gt;$BH159,"&gt;",""),"")</f>
        <v/>
      </c>
      <c r="BE109" s="64" t="n"/>
      <c r="BF109" s="64" t="n"/>
      <c r="BG109" s="463">
        <f>IF(VLOOKUP(18,Formations!$A$3:$C$25,1)=18,VLOOKUP(18,Formations!$A$3:$C$25,2)," ")</f>
        <v/>
      </c>
      <c r="BH109">
        <f>IF(VLOOKUP(18,Formations!$A$3:$C$25,1)=18,VLOOKUP(18,Formations!$A$3:$C$25,3)," ")</f>
        <v/>
      </c>
      <c r="BM109" s="64" t="n"/>
      <c r="BN109" s="64" t="n"/>
      <c r="BO109" s="64" t="n"/>
      <c r="BP109" s="164">
        <f>IF($BM158&lt;$BL$135,IF($BM158&gt;$BM159,"&lt;",""),"")</f>
        <v/>
      </c>
      <c r="BQ109" s="164">
        <f>IF($BY158&lt;$BX$135,IF($BY158&gt;$BY159,"&lt;",""),"")</f>
        <v/>
      </c>
      <c r="BR109" s="238">
        <f>IF($BZ$115&gt;$BM200,IF($BZ$115&lt;$BM201+0.1,"X",""),"")</f>
        <v/>
      </c>
      <c r="BS109" s="64" t="n"/>
      <c r="BT109" s="238">
        <f>IF($BZ$115&gt;$BM200,IF($BZ$115&lt;$BM201+0.1,"X",""),"")</f>
        <v/>
      </c>
      <c r="BU109" s="196">
        <f>IF($BY158&lt;$BX$135,IF($BY158&gt;$BY159,"&gt;",""),"")</f>
        <v/>
      </c>
      <c r="BV109" s="196">
        <f>IF($BM158&lt;$BL$135,IF($BM158&gt;$BM159,"&gt;",""),"")</f>
        <v/>
      </c>
      <c r="BW109" s="64" t="n"/>
      <c r="BX109" s="463">
        <f>IF(VLOOKUP(18,Formations!$A$3:$C$25,1)=18,VLOOKUP(18,Formations!$A$3:$C$25,2)," ")</f>
        <v/>
      </c>
      <c r="BY109">
        <f>IF(VLOOKUP(18,Formations!$A$3:$C$25,1)=18,VLOOKUP(18,Formations!$A$3:$C$25,3)," ")</f>
        <v/>
      </c>
      <c r="CD109" s="64" t="n"/>
      <c r="CE109" s="64" t="n"/>
      <c r="CF109" s="64" t="n"/>
      <c r="CG109" s="164">
        <f>IF($CD158&lt;$CC$135,IF($CD158&gt;$CD159,"&lt;",""),"")</f>
        <v/>
      </c>
      <c r="CH109" s="64" t="n"/>
      <c r="CI109" s="194" t="n"/>
      <c r="CJ109" s="64" t="n"/>
      <c r="CK109" s="195" t="n"/>
      <c r="CL109" s="64" t="n"/>
      <c r="CM109" s="196">
        <f>IF($CD158&lt;$CC$135,IF($CD158&gt;$CD159,"&gt;",""),"")</f>
        <v/>
      </c>
      <c r="CN109" s="64" t="n"/>
      <c r="CO109" s="463">
        <f>IF(VLOOKUP(18,Formations!$A$3:$C$25,1)=18,VLOOKUP(18,Formations!$A$3:$C$25,2)," ")</f>
        <v/>
      </c>
      <c r="CP109">
        <f>IF(VLOOKUP(18,Formations!$A$3:$C$25,1)=18,VLOOKUP(18,Formations!$A$3:$C$25,3)," ")</f>
        <v/>
      </c>
    </row>
    <row r="110">
      <c r="A110" s="101" t="n"/>
      <c r="B110" s="64" t="n"/>
      <c r="C110" s="64" t="n"/>
      <c r="D110" s="34" t="n"/>
      <c r="E110" s="64" t="n"/>
      <c r="F110" s="64" t="n"/>
      <c r="G110" s="64" t="n"/>
      <c r="H110" s="64" t="n"/>
      <c r="I110" s="64" t="n"/>
      <c r="J110" s="64" t="n"/>
      <c r="K110" s="64" t="n"/>
      <c r="L110" s="64" t="n"/>
      <c r="M110" s="64" t="n"/>
      <c r="N110" s="64" t="n"/>
      <c r="O110" s="64" t="n"/>
      <c r="P110" s="277" t="n"/>
      <c r="Q110" s="64" t="n"/>
      <c r="R110" s="96" t="n"/>
      <c r="S110" s="96" t="n"/>
      <c r="T110" s="99" t="n"/>
      <c r="U110" s="100" t="n"/>
      <c r="V110" s="101" t="n"/>
      <c r="W110" s="100" t="n"/>
      <c r="X110" s="100" t="n"/>
      <c r="Y110" s="100" t="n"/>
      <c r="Z110" s="98" t="n"/>
      <c r="AA110" s="189" t="n"/>
      <c r="AB110" s="88" t="n"/>
      <c r="AC110" s="64" t="n"/>
      <c r="AF110" s="64" t="n"/>
      <c r="AG110" s="64" t="n"/>
      <c r="AH110" s="64" t="n"/>
      <c r="AI110" s="164">
        <f>IF($AR159&lt;$AQ$135,IF($AR159&gt;$AR160,"&lt;",""),"")</f>
        <v/>
      </c>
      <c r="AJ110" s="64" t="n"/>
      <c r="AK110" s="198" t="n"/>
      <c r="AL110" s="64" t="n"/>
      <c r="AM110" s="161">
        <f>IF($AR159&lt;$AQ$135,IF($AR159&gt;$AR160,"&gt;",""),"")</f>
        <v/>
      </c>
      <c r="AN110" s="64" t="n"/>
      <c r="AO110" s="64" t="n"/>
      <c r="AP110" s="64" t="n"/>
      <c r="AQ110" s="463">
        <f>IF(VLOOKUP(19,Formations!$A$3:$C$25,1)=19,VLOOKUP(19,Formations!$A$3:$C$25,2)," ")</f>
        <v/>
      </c>
      <c r="AR110">
        <f>IF(VLOOKUP(19,Formations!$A$3:$C$25,1)=19,VLOOKUP(19,Formations!$A$3:$C$25,3)," ")</f>
        <v/>
      </c>
      <c r="AV110" s="64" t="n"/>
      <c r="AW110" s="64" t="n"/>
      <c r="AX110" s="64" t="n"/>
      <c r="AY110" s="64" t="n"/>
      <c r="AZ110" s="197">
        <f>IF($BH159&lt;$BG$135,IF($BH159&gt;$BH160,"&lt;",""),"")</f>
        <v/>
      </c>
      <c r="BA110" s="238">
        <f>IF($BZ$115&gt;$AV179,IF($BZ$115&lt;$AV180+0.1,"X",""),"")</f>
        <v/>
      </c>
      <c r="BB110" s="64" t="n"/>
      <c r="BC110" s="238">
        <f>IF($BZ$115&gt;$AV179,IF($BZ$115&lt;$AV180+0.1,"X",""),"")</f>
        <v/>
      </c>
      <c r="BD110" s="197">
        <f>IF($BH159&lt;$BG$135,IF($BH159&gt;$BH160,"&gt;",""),"")</f>
        <v/>
      </c>
      <c r="BE110" s="64" t="n"/>
      <c r="BF110" s="64" t="n"/>
      <c r="BG110" s="463">
        <f>IF(VLOOKUP(19,Formations!$A$3:$C$25,1)=19,VLOOKUP(19,Formations!$A$3:$C$25,2)," ")</f>
        <v/>
      </c>
      <c r="BH110">
        <f>IF(VLOOKUP(19,Formations!$A$3:$C$25,1)=19,VLOOKUP(19,Formations!$A$3:$C$25,3)," ")</f>
        <v/>
      </c>
      <c r="BM110" s="64" t="n"/>
      <c r="BN110" s="64" t="n"/>
      <c r="BO110" s="64" t="n"/>
      <c r="BP110" s="164">
        <f>IF($BM159&lt;$BL$135,IF($BM159&gt;$BM160,"&lt;",""),"")</f>
        <v/>
      </c>
      <c r="BQ110" s="164">
        <f>IF($BY159&lt;$BX$135,IF($BY159&gt;$BY160,"&lt;",""),"")</f>
        <v/>
      </c>
      <c r="BR110" s="238">
        <f>IF($BZ$115&gt;$BM201,IF($BZ$115&lt;$BM202+0.1,"X",""),"")</f>
        <v/>
      </c>
      <c r="BS110" s="64" t="n"/>
      <c r="BT110" s="238">
        <f>IF($BZ$115&gt;$BM201,IF($BZ$115&lt;$BM202+0.1,"X",""),"")</f>
        <v/>
      </c>
      <c r="BU110" s="196">
        <f>IF($BY159&lt;$BX$135,IF($BY159&gt;$BY160,"&gt;",""),"")</f>
        <v/>
      </c>
      <c r="BV110" s="196">
        <f>IF($BM159&lt;$BL$135,IF($BM159&gt;$BM160,"&gt;",""),"")</f>
        <v/>
      </c>
      <c r="BW110" s="64" t="n"/>
      <c r="BX110" s="463">
        <f>IF(VLOOKUP(19,Formations!$A$3:$C$25,1)=19,VLOOKUP(19,Formations!$A$3:$C$25,2)," ")</f>
        <v/>
      </c>
      <c r="BY110">
        <f>IF(VLOOKUP(19,Formations!$A$3:$C$25,1)=19,VLOOKUP(19,Formations!$A$3:$C$25,3)," ")</f>
        <v/>
      </c>
      <c r="CD110" s="64" t="n"/>
      <c r="CE110" s="64" t="n"/>
      <c r="CF110" s="64" t="n"/>
      <c r="CG110" s="164">
        <f>IF($CD159&lt;$CC$135,IF($CD159&gt;$CD160,"&lt;",""),"")</f>
        <v/>
      </c>
      <c r="CH110" s="64" t="n"/>
      <c r="CI110" s="194" t="n"/>
      <c r="CJ110" s="64" t="n"/>
      <c r="CK110" s="195" t="n"/>
      <c r="CL110" s="64" t="n"/>
      <c r="CM110" s="196">
        <f>IF($CD159&lt;$CC$135,IF($CD159&gt;$CD160,"&gt;",""),"")</f>
        <v/>
      </c>
      <c r="CN110" s="64" t="n"/>
      <c r="CO110" s="463">
        <f>IF(VLOOKUP(19,Formations!$A$3:$C$25,1)=19,VLOOKUP(19,Formations!$A$3:$C$25,2)," ")</f>
        <v/>
      </c>
      <c r="CP110">
        <f>IF(VLOOKUP(19,Formations!$A$3:$C$25,1)=19,VLOOKUP(19,Formations!$A$3:$C$25,3)," ")</f>
        <v/>
      </c>
    </row>
    <row r="111">
      <c r="A111" s="64" t="n"/>
      <c r="B111" s="64" t="n"/>
      <c r="C111" s="64" t="n"/>
      <c r="D111" s="34" t="n"/>
      <c r="E111" s="64" t="n"/>
      <c r="F111" s="64" t="n"/>
      <c r="G111" s="64" t="n"/>
      <c r="H111" s="64" t="n"/>
      <c r="I111" s="64" t="n"/>
      <c r="J111" s="64" t="n"/>
      <c r="K111" s="64" t="n"/>
      <c r="L111" s="64" t="n"/>
      <c r="M111" s="64" t="n"/>
      <c r="N111" s="64" t="n"/>
      <c r="O111" s="64" t="n"/>
      <c r="P111" s="277" t="n"/>
      <c r="Q111" s="64" t="n"/>
      <c r="R111" s="64" t="n"/>
      <c r="S111" s="64" t="n"/>
      <c r="T111" s="100" t="n"/>
      <c r="U111" s="100" t="n"/>
      <c r="V111" s="101" t="n"/>
      <c r="W111" s="100" t="n"/>
      <c r="X111" s="100" t="n"/>
      <c r="Y111" s="100" t="n"/>
      <c r="Z111" s="102" t="n"/>
      <c r="AA111" s="190" t="n"/>
      <c r="AB111" s="39" t="n"/>
      <c r="AC111" s="64" t="n"/>
      <c r="AF111" s="64" t="n"/>
      <c r="AG111" s="64" t="n"/>
      <c r="AH111" s="64" t="n"/>
      <c r="AI111" s="164">
        <f>IF($AR160&lt;$AQ$135,IF($AR160&gt;$AR161,"&lt;",""),"")</f>
        <v/>
      </c>
      <c r="AJ111" s="64" t="n"/>
      <c r="AK111" s="198" t="n"/>
      <c r="AL111" s="64" t="n"/>
      <c r="AM111" s="161">
        <f>IF($AR160&lt;$AQ$135,IF($AR160&gt;$AR161,"&gt;",""),"")</f>
        <v/>
      </c>
      <c r="AN111" s="64" t="n"/>
      <c r="AO111" s="64" t="n"/>
      <c r="AP111" s="64" t="n"/>
      <c r="AQ111" s="463">
        <f>IF(VLOOKUP(20,Formations!$A$3:$C$25,1)=20,VLOOKUP(20,Formations!$A$3:$C$25,2)," ")</f>
        <v/>
      </c>
      <c r="AR111">
        <f>IF(VLOOKUP(20,Formations!$A$3:$C$25,1)=20,VLOOKUP(20,Formations!$A$3:$C$25,3)," ")</f>
        <v/>
      </c>
      <c r="AU111" s="64">
        <f>'Casing Review'!C27</f>
        <v/>
      </c>
      <c r="AV111" s="113" t="inlineStr">
        <is>
          <t>" Casing</t>
        </is>
      </c>
      <c r="AW111" s="64" t="n"/>
      <c r="AX111" s="64" t="n"/>
      <c r="AY111" s="64" t="n"/>
      <c r="AZ111" s="197">
        <f>IF($BH160&lt;$BG$135,IF($BH160&gt;$BH161,"&lt;",""),"")</f>
        <v/>
      </c>
      <c r="BA111" s="238">
        <f>IF($BZ$115&gt;$AV180,IF($BZ$115&lt;$AV181+0.1,"X",""),"")</f>
        <v/>
      </c>
      <c r="BB111" s="64" t="n"/>
      <c r="BC111" s="238">
        <f>IF($BZ$115&gt;$AV180,IF($BZ$115&lt;$AV181+0.1,"X",""),"")</f>
        <v/>
      </c>
      <c r="BD111" s="197">
        <f>IF($BH160&lt;$BG$135,IF($BH160&gt;$BH161,"&gt;",""),"")</f>
        <v/>
      </c>
      <c r="BE111" s="64" t="n"/>
      <c r="BF111" s="64" t="n"/>
      <c r="BG111" s="463">
        <f>IF(VLOOKUP(20,Formations!$A$3:$C$25,1)=20,VLOOKUP(20,Formations!$A$3:$C$25,2)," ")</f>
        <v/>
      </c>
      <c r="BH111">
        <f>IF(VLOOKUP(20,Formations!$A$3:$C$25,1)=20,VLOOKUP(20,Formations!$A$3:$C$25,3)," ")</f>
        <v/>
      </c>
      <c r="BL111" s="64">
        <f>'Casing Review'!C42</f>
        <v/>
      </c>
      <c r="BM111" s="113" t="inlineStr">
        <is>
          <t>" Casing</t>
        </is>
      </c>
      <c r="BN111" s="64" t="n"/>
      <c r="BO111" s="64" t="n"/>
      <c r="BP111" s="164">
        <f>IF($BM160&lt;$BL$135,IF($BM160&gt;$BM161,"&lt;",""),"")</f>
        <v/>
      </c>
      <c r="BQ111" s="164">
        <f>IF($BY160&lt;$BX$135,IF($BY160&gt;$BY161,"&lt;",""),"")</f>
        <v/>
      </c>
      <c r="BR111" s="238">
        <f>IF($BZ$115&gt;$BM202,IF($BZ$115&lt;$BM203+0.1,"X",""),"")</f>
        <v/>
      </c>
      <c r="BS111" s="64" t="n"/>
      <c r="BT111" s="238">
        <f>IF($BZ$115&gt;$BM202,IF($BZ$115&lt;$BM203+0.1,"X",""),"")</f>
        <v/>
      </c>
      <c r="BU111" s="196">
        <f>IF($BY160&lt;$BX$135,IF($BY160&gt;$BY161,"&gt;",""),"")</f>
        <v/>
      </c>
      <c r="BV111" s="196">
        <f>IF($BM160&lt;$BL$135,IF($BM160&gt;$BM161,"&gt;",""),"")</f>
        <v/>
      </c>
      <c r="BW111" s="64" t="n"/>
      <c r="BX111" s="463">
        <f>IF(VLOOKUP(20,Formations!$A$3:$C$25,1)=20,VLOOKUP(20,Formations!$A$3:$C$25,2)," ")</f>
        <v/>
      </c>
      <c r="BY111">
        <f>IF(VLOOKUP(20,Formations!$A$3:$C$25,1)=20,VLOOKUP(20,Formations!$A$3:$C$25,3)," ")</f>
        <v/>
      </c>
      <c r="CD111" s="64" t="n"/>
      <c r="CE111" s="64" t="n"/>
      <c r="CF111" s="64" t="n"/>
      <c r="CG111" s="164">
        <f>IF($CD160&lt;$CC$135,IF($CD160&gt;$CD161,"&lt;",""),"")</f>
        <v/>
      </c>
      <c r="CH111" s="64" t="n"/>
      <c r="CI111" s="194" t="n"/>
      <c r="CJ111" s="64" t="n"/>
      <c r="CK111" s="195" t="n"/>
      <c r="CL111" s="64" t="n"/>
      <c r="CM111" s="196">
        <f>IF($CD160&lt;$CC$135,IF($CD160&gt;$CD161,"&gt;",""),"")</f>
        <v/>
      </c>
      <c r="CN111" s="64" t="n"/>
      <c r="CO111" s="463">
        <f>IF(VLOOKUP(20,Formations!$A$3:$C$25,1)=20,VLOOKUP(20,Formations!$A$3:$C$25,2)," ")</f>
        <v/>
      </c>
      <c r="CP111">
        <f>IF(VLOOKUP(20,Formations!$A$3:$C$25,1)=20,VLOOKUP(20,Formations!$A$3:$C$25,3)," ")</f>
        <v/>
      </c>
    </row>
    <row r="112">
      <c r="A112" s="64" t="n"/>
      <c r="B112" s="64" t="n"/>
      <c r="C112" s="64" t="n"/>
      <c r="D112" s="34" t="n"/>
      <c r="E112" s="64" t="n"/>
      <c r="F112" s="64" t="n"/>
      <c r="G112" s="64" t="n"/>
      <c r="H112" s="64" t="n"/>
      <c r="I112" s="64" t="n"/>
      <c r="J112" s="64" t="n"/>
      <c r="K112" s="64" t="n"/>
      <c r="L112" s="64" t="n"/>
      <c r="M112" s="64" t="n"/>
      <c r="N112" s="64" t="n"/>
      <c r="O112" s="64" t="n"/>
      <c r="P112" s="277" t="n"/>
      <c r="Q112" s="64" t="n"/>
      <c r="R112" s="91" t="n"/>
      <c r="S112" s="96" t="n"/>
      <c r="T112" s="64" t="n"/>
      <c r="U112" s="64" t="n"/>
      <c r="V112" s="64" t="n"/>
      <c r="W112" s="64" t="n"/>
      <c r="X112" s="64" t="n"/>
      <c r="Y112" s="64" t="n"/>
      <c r="Z112" s="64" t="n"/>
      <c r="AA112" s="191" t="n"/>
      <c r="AB112" s="39" t="n"/>
      <c r="AC112" s="64" t="n"/>
      <c r="AF112" s="64" t="n"/>
      <c r="AG112" s="64" t="n"/>
      <c r="AH112" s="64" t="n"/>
      <c r="AI112" s="164">
        <f>IF($AR161&lt;$AQ$135,IF($AR161&gt;$AR162,"&lt;",""),"")</f>
        <v/>
      </c>
      <c r="AJ112" s="64" t="n"/>
      <c r="AK112" s="198" t="n"/>
      <c r="AL112" s="64" t="n"/>
      <c r="AM112" s="161">
        <f>IF($AR161&lt;$AQ$135,IF($AR161&gt;$AR162,"&gt;",""),"")</f>
        <v/>
      </c>
      <c r="AN112" s="64" t="n"/>
      <c r="AO112" s="64" t="n"/>
      <c r="AP112" s="64" t="n"/>
      <c r="AQ112" s="463">
        <f>IF(VLOOKUP(21,Formations!$A$3:$C$25,1)=21,VLOOKUP(21,Formations!$A$3:$C$25,2)," ")</f>
        <v/>
      </c>
      <c r="AR112">
        <f>IF(VLOOKUP(21,Formations!$A$3:$C$25,1)=21,VLOOKUP(21,Formations!$A$3:$C$25,3)," ")</f>
        <v/>
      </c>
      <c r="AU112" s="110">
        <f>MAX('Casing Review'!$D$27:$D$32)</f>
        <v/>
      </c>
      <c r="AV112" s="111" t="inlineStr">
        <is>
          <t>'  MD</t>
        </is>
      </c>
      <c r="AW112" s="64" t="n"/>
      <c r="AX112" s="64" t="n"/>
      <c r="AY112" s="64" t="n"/>
      <c r="AZ112" s="197">
        <f>IF($BH161&lt;$BG$135,IF($BH161&gt;$BH162,"&lt;",""),"")</f>
        <v/>
      </c>
      <c r="BA112" s="238">
        <f>IF($BZ$115&gt;$AV181,IF($BZ$115&lt;$AV182+0.1,"X",""),"")</f>
        <v/>
      </c>
      <c r="BB112" s="64" t="n"/>
      <c r="BC112" s="238">
        <f>IF($BZ$115&gt;$AV181,IF($BZ$115&lt;$AV182+0.1,"X",""),"")</f>
        <v/>
      </c>
      <c r="BD112" s="197">
        <f>IF($BH161&lt;$BG$135,IF($BH161&gt;$BH162,"&gt;",""),"")</f>
        <v/>
      </c>
      <c r="BE112" s="64" t="n"/>
      <c r="BF112" s="64" t="n"/>
      <c r="BG112" s="463">
        <f>IF(VLOOKUP(21,Formations!$A$3:$C$25,1)=21,VLOOKUP(21,Formations!$A$3:$C$25,2)," ")</f>
        <v/>
      </c>
      <c r="BH112">
        <f>IF(VLOOKUP(21,Formations!$A$3:$C$25,1)=21,VLOOKUP(21,Formations!$A$3:$C$25,3)," ")</f>
        <v/>
      </c>
      <c r="BL112" s="110">
        <f>MAX('Casing Review'!$D$42:$D$46)</f>
        <v/>
      </c>
      <c r="BM112" s="111" t="inlineStr">
        <is>
          <t>'  MD</t>
        </is>
      </c>
      <c r="BN112" s="64" t="n"/>
      <c r="BO112" s="64" t="n"/>
      <c r="BP112" s="164">
        <f>IF($BM161&lt;$BL$135,IF($BM161&gt;$BM162,"&lt;",""),"")</f>
        <v/>
      </c>
      <c r="BQ112" s="164">
        <f>IF($BY161&lt;$BX$135,IF($BY161&gt;$BY162,"&lt;",""),"")</f>
        <v/>
      </c>
      <c r="BR112" s="238">
        <f>IF($BZ$115&gt;$BM203,IF($BZ$115&lt;$BM204+0.1,"X",""),"")</f>
        <v/>
      </c>
      <c r="BS112" s="64" t="n"/>
      <c r="BT112" s="238">
        <f>IF($BZ$115&gt;$BM203,IF($BZ$115&lt;$BM204+0.1,"X",""),"")</f>
        <v/>
      </c>
      <c r="BU112" s="196">
        <f>IF($BY161&lt;$BX$135,IF($BY161&gt;$BY162,"&gt;",""),"")</f>
        <v/>
      </c>
      <c r="BV112" s="196">
        <f>IF($BM161&lt;$BL$135,IF($BM161&gt;$BM162,"&gt;",""),"")</f>
        <v/>
      </c>
      <c r="BW112" s="64" t="n"/>
      <c r="BX112" s="463">
        <f>IF(VLOOKUP(21,Formations!$A$3:$C$25,1)=21,VLOOKUP(21,Formations!$A$3:$C$25,2)," ")</f>
        <v/>
      </c>
      <c r="BY112">
        <f>IF(VLOOKUP(21,Formations!$A$3:$C$25,1)=21,VLOOKUP(21,Formations!$A$3:$C$25,3)," ")</f>
        <v/>
      </c>
      <c r="CD112" s="64" t="n"/>
      <c r="CE112" s="64" t="n"/>
      <c r="CF112" s="64" t="n"/>
      <c r="CG112" s="164">
        <f>IF($CD161&lt;$CC$135,IF($CD161&gt;$CD162,"&lt;",""),"")</f>
        <v/>
      </c>
      <c r="CH112" s="64" t="n"/>
      <c r="CI112" s="194" t="n"/>
      <c r="CJ112" s="64" t="n"/>
      <c r="CK112" s="195" t="n"/>
      <c r="CL112" s="64" t="n"/>
      <c r="CM112" s="196">
        <f>IF($CD161&lt;$CC$135,IF($CD161&gt;$CD162,"&gt;",""),"")</f>
        <v/>
      </c>
      <c r="CN112" s="64" t="n"/>
      <c r="CO112" s="463">
        <f>IF(VLOOKUP(21,Formations!$A$3:$C$25,1)=21,VLOOKUP(21,Formations!$A$3:$C$25,2)," ")</f>
        <v/>
      </c>
      <c r="CP112">
        <f>IF(VLOOKUP(21,Formations!$A$3:$C$25,1)=21,VLOOKUP(21,Formations!$A$3:$C$25,3)," ")</f>
        <v/>
      </c>
    </row>
    <row r="113">
      <c r="A113" s="64" t="n"/>
      <c r="B113" s="64" t="n"/>
      <c r="C113" s="64" t="n"/>
      <c r="D113" s="34" t="n"/>
      <c r="E113" s="64" t="n"/>
      <c r="F113" s="64" t="n"/>
      <c r="G113" s="64" t="n"/>
      <c r="H113" s="64" t="n"/>
      <c r="I113" s="64" t="n"/>
      <c r="J113" s="64" t="n"/>
      <c r="K113" s="64" t="n"/>
      <c r="L113" s="64" t="n"/>
      <c r="M113" s="64" t="n"/>
      <c r="N113" s="64" t="n"/>
      <c r="O113" s="64" t="n"/>
      <c r="P113" s="277" t="n"/>
      <c r="Q113" s="64" t="n"/>
      <c r="R113" s="82" t="n"/>
      <c r="S113" s="58" t="n"/>
      <c r="T113" s="64" t="n"/>
      <c r="U113" s="64" t="n"/>
      <c r="V113" s="64" t="n"/>
      <c r="W113" s="64" t="n"/>
      <c r="X113" s="64" t="n"/>
      <c r="Y113" s="64" t="n"/>
      <c r="Z113" s="64" t="n"/>
      <c r="AA113" s="64" t="n"/>
      <c r="AB113" s="39" t="n"/>
      <c r="AC113" s="64" t="n"/>
      <c r="AF113" s="64" t="n"/>
      <c r="AG113" s="64" t="n"/>
      <c r="AH113" s="64" t="n"/>
      <c r="AI113" s="164">
        <f>IF($AR162&lt;$AQ$135,IF($AR162&gt;$AR163,"&lt;",""),"")</f>
        <v/>
      </c>
      <c r="AJ113" s="64" t="n"/>
      <c r="AK113" s="198" t="n"/>
      <c r="AL113" s="64" t="n"/>
      <c r="AM113" s="161">
        <f>IF($AR162&lt;$AQ$135,IF($AR162&gt;$AR163,"&gt;",""),"")</f>
        <v/>
      </c>
      <c r="AN113" s="64" t="n"/>
      <c r="AO113" s="64" t="n"/>
      <c r="AP113" s="64" t="n"/>
      <c r="AQ113" s="463">
        <f>IF(VLOOKUP(22,Formations!$A$3:$C$25,1)=22,VLOOKUP(22,Formations!$A$3:$C$25,2)," ")</f>
        <v/>
      </c>
      <c r="AR113">
        <f>IF(VLOOKUP(22,Formations!$A$3:$C$25,1)=22,VLOOKUP(22,Formations!$A$3:$C$25,3)," ")</f>
        <v/>
      </c>
      <c r="AU113" s="112">
        <f>'Casing Review'!$B$34</f>
        <v/>
      </c>
      <c r="AV113" s="111" t="inlineStr">
        <is>
          <t xml:space="preserve">' TVD </t>
        </is>
      </c>
      <c r="AW113" s="64" t="n"/>
      <c r="AX113" s="64" t="n"/>
      <c r="AY113" s="64" t="n"/>
      <c r="AZ113" s="197">
        <f>IF($BH162&lt;$BG$135,IF($BH162&gt;$BH163,"&lt;",""),"")</f>
        <v/>
      </c>
      <c r="BA113" s="238">
        <f>IF($BZ$115&gt;$AV182,IF($BZ$115&lt;$AV183+0.1,"X",""),"")</f>
        <v/>
      </c>
      <c r="BB113" s="64" t="n"/>
      <c r="BC113" s="238">
        <f>IF($BZ$115&gt;$AV182,IF($BZ$115&lt;$AV183+0.1,"X",""),"")</f>
        <v/>
      </c>
      <c r="BD113" s="197">
        <f>IF($BH162&lt;$BG$135,IF($BH162&gt;$BH163,"&gt;",""),"")</f>
        <v/>
      </c>
      <c r="BE113" s="64" t="n"/>
      <c r="BF113" s="64" t="n"/>
      <c r="BG113" s="463">
        <f>IF(VLOOKUP(22,Formations!$A$3:$C$25,1)=22,VLOOKUP(22,Formations!$A$3:$C$25,2)," ")</f>
        <v/>
      </c>
      <c r="BH113">
        <f>IF(VLOOKUP(22,Formations!$A$3:$C$25,1)=22,VLOOKUP(22,Formations!$A$3:$C$25,3)," ")</f>
        <v/>
      </c>
      <c r="BL113" s="112">
        <f>'Casing Review'!$B$49</f>
        <v/>
      </c>
      <c r="BM113" s="111" t="inlineStr">
        <is>
          <t xml:space="preserve">' TVD </t>
        </is>
      </c>
      <c r="BN113" s="64" t="n"/>
      <c r="BO113" s="64" t="n"/>
      <c r="BP113" s="164">
        <f>IF($BM162&lt;$BL$135,IF($BM162&gt;$BM163,"&lt;",""),"")</f>
        <v/>
      </c>
      <c r="BQ113" s="164">
        <f>IF($BY162&lt;$BX$135,IF($BY162&gt;$BY163,"&lt;",""),"")</f>
        <v/>
      </c>
      <c r="BR113" s="238">
        <f>IF($BZ$115&gt;$BM204,IF($BZ$115&lt;$BM205+0.1,"X",""),"")</f>
        <v/>
      </c>
      <c r="BS113" s="64" t="n"/>
      <c r="BT113" s="238">
        <f>IF($BZ$115&gt;$BM204,IF($BZ$115&lt;$BM205+0.1,"X",""),"")</f>
        <v/>
      </c>
      <c r="BU113" s="196">
        <f>IF($BY162&lt;$BX$135,IF($BY162&gt;$BY163,"&gt;",""),"")</f>
        <v/>
      </c>
      <c r="BV113" s="196">
        <f>IF($BM162&lt;$BL$135,IF($BM162&gt;$BM163,"&gt;",""),"")</f>
        <v/>
      </c>
      <c r="BW113" s="64" t="n"/>
      <c r="BX113" s="463">
        <f>IF(VLOOKUP(22,Formations!$A$3:$C$25,1)=22,VLOOKUP(22,Formations!$A$3:$C$25,2)," ")</f>
        <v/>
      </c>
      <c r="BY113">
        <f>IF(VLOOKUP(22,Formations!$A$3:$C$25,1)=22,VLOOKUP(22,Formations!$A$3:$C$25,3)," ")</f>
        <v/>
      </c>
      <c r="CD113" s="64" t="n"/>
      <c r="CE113" s="64" t="n"/>
      <c r="CF113" s="64" t="n"/>
      <c r="CG113" s="164">
        <f>IF($CD162&lt;$CC$135,IF($CD162&gt;$CD163,"&lt;",""),"")</f>
        <v/>
      </c>
      <c r="CH113" s="64" t="n"/>
      <c r="CI113" s="194" t="n"/>
      <c r="CJ113" s="64" t="n"/>
      <c r="CK113" s="195" t="n"/>
      <c r="CL113" s="64" t="n"/>
      <c r="CM113" s="196">
        <f>IF($CD162&lt;$CC$135,IF($CD162&gt;$CD163,"&gt;",""),"")</f>
        <v/>
      </c>
      <c r="CN113" s="64" t="n"/>
      <c r="CO113" s="463">
        <f>IF(VLOOKUP(22,Formations!$A$3:$C$25,1)=22,VLOOKUP(22,Formations!$A$3:$C$25,2)," ")</f>
        <v/>
      </c>
      <c r="CP113">
        <f>IF(VLOOKUP(22,Formations!$A$3:$C$25,1)=22,VLOOKUP(22,Formations!$A$3:$C$25,3)," ")</f>
        <v/>
      </c>
    </row>
    <row r="114">
      <c r="A114" s="64" t="n"/>
      <c r="B114" s="64" t="n"/>
      <c r="C114" s="64" t="n"/>
      <c r="D114" s="34" t="n"/>
      <c r="E114" s="64" t="n"/>
      <c r="F114" s="64" t="n"/>
      <c r="G114" s="64" t="n"/>
      <c r="H114" s="64" t="n"/>
      <c r="I114" s="64" t="n"/>
      <c r="J114" s="64" t="n"/>
      <c r="K114" s="64" t="n"/>
      <c r="L114" s="64" t="n"/>
      <c r="M114" s="64" t="n"/>
      <c r="N114" s="64" t="n"/>
      <c r="O114" s="64" t="n"/>
      <c r="P114" s="277" t="n"/>
      <c r="Q114" s="64" t="n"/>
      <c r="R114" s="35" t="n"/>
      <c r="S114" s="36" t="n"/>
      <c r="T114" s="64" t="n"/>
      <c r="U114" s="64" t="n"/>
      <c r="V114" s="64" t="n"/>
      <c r="W114" s="64" t="n"/>
      <c r="X114" s="64" t="n"/>
      <c r="Y114" s="64" t="n"/>
      <c r="Z114" s="64" t="n"/>
      <c r="AA114" s="64" t="n"/>
      <c r="AB114" s="39" t="n"/>
      <c r="AC114" s="64" t="n"/>
      <c r="AF114" s="64" t="n"/>
      <c r="AG114" s="64" t="n"/>
      <c r="AH114" s="64" t="n"/>
      <c r="AI114" s="164">
        <f>IF($AR163&lt;$AQ$135,IF($AR163&gt;$AR164,"&lt;",""),"")</f>
        <v/>
      </c>
      <c r="AJ114" s="64" t="n"/>
      <c r="AK114" s="198" t="n"/>
      <c r="AL114" s="64" t="n"/>
      <c r="AM114" s="161">
        <f>IF($AR163&lt;$AQ$135,IF($AR163&gt;$AR164,"&gt;",""),"")</f>
        <v/>
      </c>
      <c r="AN114" s="64" t="n"/>
      <c r="AO114" s="64" t="n"/>
      <c r="AP114" s="64" t="n"/>
      <c r="AQ114" s="463">
        <f>IF(VLOOKUP(23,Formations!$A$3:$C$25,1)=23,VLOOKUP(23,Formations!$A$3:$C$25,2)," ")</f>
        <v/>
      </c>
      <c r="AR114">
        <f>IF(VLOOKUP(23,Formations!$A$3:$C$25,1)=23,VLOOKUP(23,Formations!$A$3:$C$25,3)," ")</f>
        <v/>
      </c>
      <c r="AU114" s="112">
        <f>'Casing Review'!$R$27</f>
        <v/>
      </c>
      <c r="AV114" s="111" t="inlineStr">
        <is>
          <t>' TOC</t>
        </is>
      </c>
      <c r="AW114" s="64" t="n"/>
      <c r="AX114" s="64" t="n"/>
      <c r="AY114" s="64" t="n"/>
      <c r="AZ114" s="197">
        <f>IF($BH163&lt;$BG$135,IF($BH163&gt;$BH164,"&lt;",""),"")</f>
        <v/>
      </c>
      <c r="BA114" s="238">
        <f>IF($BZ$115&gt;$AV183,IF($BZ$115&lt;$AV184+0.1,"X",""),"")</f>
        <v/>
      </c>
      <c r="BB114" s="64" t="n"/>
      <c r="BC114" s="238">
        <f>IF($BZ$115&gt;$AV183,IF($BZ$115&lt;$AV184+0.1,"X",""),"")</f>
        <v/>
      </c>
      <c r="BD114" s="197">
        <f>IF($BH163&lt;$BG$135,IF($BH163&gt;$BH164,"&gt;",""),"")</f>
        <v/>
      </c>
      <c r="BE114" s="64" t="n"/>
      <c r="BF114" s="64" t="n"/>
      <c r="BG114" s="463">
        <f>IF(VLOOKUP(23,Formations!$A$3:$C$25,1)=23,VLOOKUP(23,Formations!$A$3:$C$25,2)," ")</f>
        <v/>
      </c>
      <c r="BH114">
        <f>IF(VLOOKUP(23,Formations!$A$3:$C$25,1)=23,VLOOKUP(23,Formations!$A$3:$C$25,3)," ")</f>
        <v/>
      </c>
      <c r="BI114" s="116" t="inlineStr">
        <is>
          <t>TOL</t>
        </is>
      </c>
      <c r="BL114" s="112">
        <f>'Casing Review'!$R$42</f>
        <v/>
      </c>
      <c r="BM114" s="111" t="inlineStr">
        <is>
          <t>' TOC</t>
        </is>
      </c>
      <c r="BN114" s="64" t="n"/>
      <c r="BO114" s="64" t="n"/>
      <c r="BP114" s="164">
        <f>IF($BM163&lt;$BL$135,IF($BM163&gt;$BM164,"&lt;",""),"")</f>
        <v/>
      </c>
      <c r="BQ114" s="164">
        <f>IF($BY163&lt;$BX$135,IF($BY163&gt;$BY164,"&lt;",""),"")</f>
        <v/>
      </c>
      <c r="BR114" s="238">
        <f>IF($BZ$115&gt;$BM205,IF($BZ$115&lt;$BM206+0.1,"X",""),"")</f>
        <v/>
      </c>
      <c r="BS114" s="64" t="n"/>
      <c r="BT114" s="238">
        <f>IF($BZ$115&gt;$BM205,IF($BZ$115&lt;$BM206+0.1,"X",""),"")</f>
        <v/>
      </c>
      <c r="BU114" s="196">
        <f>IF($BY163&lt;$BX$135,IF($BY163&gt;$BY164,"&gt;",""),"")</f>
        <v/>
      </c>
      <c r="BV114" s="196">
        <f>IF($BM163&lt;$BL$135,IF($BM163&gt;$BM164,"&gt;",""),"")</f>
        <v/>
      </c>
      <c r="BW114" s="64" t="n"/>
      <c r="BX114" s="463">
        <f>IF(VLOOKUP(23,Formations!$A$3:$C$25,1)=23,VLOOKUP(23,Formations!$A$3:$C$25,2)," ")</f>
        <v/>
      </c>
      <c r="BY114">
        <f>IF(VLOOKUP(23,Formations!$A$3:$C$25,1)=23,VLOOKUP(23,Formations!$A$3:$C$25,3)," ")</f>
        <v/>
      </c>
      <c r="BZ114" s="116">
        <f>IF('Casing Review'!B69=0,"","TOL")</f>
        <v/>
      </c>
      <c r="CD114" s="64" t="n"/>
      <c r="CE114" s="64" t="n"/>
      <c r="CF114" s="64" t="n"/>
      <c r="CG114" s="164">
        <f>IF($CD163&lt;$CC$135,IF($CD163&gt;$CD164,"&lt;",""),"")</f>
        <v/>
      </c>
      <c r="CH114" s="64" t="n"/>
      <c r="CI114" s="194" t="n"/>
      <c r="CJ114" s="64" t="n"/>
      <c r="CK114" s="195" t="n"/>
      <c r="CL114" s="64" t="n"/>
      <c r="CM114" s="196">
        <f>IF($CD163&lt;$CC$135,IF($CD163&gt;$CD164,"&gt;",""),"")</f>
        <v/>
      </c>
      <c r="CN114" s="64" t="n"/>
      <c r="CO114" s="463">
        <f>IF(VLOOKUP(23,Formations!$A$3:$C$25,1)=23,VLOOKUP(23,Formations!$A$3:$C$25,2)," ")</f>
        <v/>
      </c>
      <c r="CP114">
        <f>IF(VLOOKUP(23,Formations!$A$3:$C$25,1)=23,VLOOKUP(23,Formations!$A$3:$C$25,3)," ")</f>
        <v/>
      </c>
    </row>
    <row r="115">
      <c r="A115" s="64" t="n"/>
      <c r="B115" s="64" t="n"/>
      <c r="C115" s="64" t="n"/>
      <c r="D115" s="34" t="n"/>
      <c r="E115" s="64" t="n"/>
      <c r="F115" s="64" t="n"/>
      <c r="G115" s="64" t="n"/>
      <c r="H115" s="64" t="n"/>
      <c r="I115" s="64" t="n"/>
      <c r="J115" s="64" t="n"/>
      <c r="K115" s="64" t="n"/>
      <c r="L115" s="64" t="n"/>
      <c r="M115" s="64" t="n"/>
      <c r="N115" s="64" t="n"/>
      <c r="O115" s="64" t="n"/>
      <c r="P115" s="277" t="n"/>
      <c r="Q115" s="64" t="n"/>
      <c r="R115" s="64" t="n"/>
      <c r="S115" s="41" t="n"/>
      <c r="T115" s="64" t="n"/>
      <c r="U115" s="64" t="n"/>
      <c r="V115" s="64" t="n"/>
      <c r="W115" s="64" t="n"/>
      <c r="X115" s="64" t="n"/>
      <c r="Y115" s="64" t="n"/>
      <c r="Z115" s="64" t="n"/>
      <c r="AA115" s="64" t="n"/>
      <c r="AB115" s="39" t="n"/>
      <c r="AC115" s="64" t="n"/>
      <c r="AF115" s="64" t="n"/>
      <c r="AG115" s="64" t="n"/>
      <c r="AH115" s="64" t="n"/>
      <c r="AI115" s="164">
        <f>IF($AR164&lt;$AQ$135,IF($AR164&gt;$AR165,"&lt;",""),"")</f>
        <v/>
      </c>
      <c r="AJ115" s="64" t="n"/>
      <c r="AK115" s="198" t="n"/>
      <c r="AL115" s="64" t="n"/>
      <c r="AM115" s="161">
        <f>IF($AR164&lt;$AQ$135,IF($AR164&gt;$AR165,"&gt;",""),"")</f>
        <v/>
      </c>
      <c r="AN115" s="64" t="n"/>
      <c r="AO115" s="64" t="n"/>
      <c r="AP115" s="64" t="n"/>
      <c r="AQ115" s="463">
        <f>IF(VLOOKUP(24,Formations!$A$3:$C$25,1)=24,VLOOKUP(24,Formations!$A$3:$C$25,2)," ")</f>
        <v/>
      </c>
      <c r="AR115">
        <f>IF(VLOOKUP(24,Formations!$A$3:$C$25,1)=24,VLOOKUP(24,Formations!$A$3:$C$25,3)," ")</f>
        <v/>
      </c>
      <c r="AU115" s="112">
        <f>'Casing Review'!$R$28</f>
        <v/>
      </c>
      <c r="AV115" s="134" t="inlineStr">
        <is>
          <t>' Tail</t>
        </is>
      </c>
      <c r="AW115" s="64" t="n"/>
      <c r="AX115" s="64" t="n"/>
      <c r="AY115" s="64" t="n"/>
      <c r="AZ115" s="197">
        <f>IF($BH164&lt;$BG$135,IF($BH164&gt;$BH165,"&lt;",""),"")</f>
        <v/>
      </c>
      <c r="BA115" s="238">
        <f>IF($BZ$115&gt;$AV184,IF($BZ$115&lt;$AV185+0.1,"X",""),"")</f>
        <v/>
      </c>
      <c r="BB115" s="64" t="n"/>
      <c r="BC115" s="238">
        <f>IF($BZ$115&gt;$AV184,IF($BZ$115&lt;$AV185+0.1,"X",""),"")</f>
        <v/>
      </c>
      <c r="BD115" s="197">
        <f>IF($BH164&lt;$BG$135,IF($BH164&gt;$BH165,"&gt;",""),"")</f>
        <v/>
      </c>
      <c r="BE115" s="64" t="n"/>
      <c r="BF115" s="113" t="n"/>
      <c r="BG115" s="463">
        <f>IF(VLOOKUP(24,Formations!$A$3:$C$25,1)=24,VLOOKUP(24,Formations!$A$3:$C$25,2)," ")</f>
        <v/>
      </c>
      <c r="BH115">
        <f>IF(VLOOKUP(24,Formations!$A$3:$C$25,1)=24,VLOOKUP(24,Formations!$A$3:$C$25,3)," ")</f>
        <v/>
      </c>
      <c r="BI115" s="110">
        <f>'Casing Review'!B69</f>
        <v/>
      </c>
      <c r="BJ115" s="111" t="inlineStr">
        <is>
          <t>'  MD</t>
        </is>
      </c>
      <c r="BL115" s="112">
        <f>'Casing Review'!$R$43</f>
        <v/>
      </c>
      <c r="BM115" s="134" t="inlineStr">
        <is>
          <t>' Tail</t>
        </is>
      </c>
      <c r="BN115" s="64" t="n"/>
      <c r="BO115" s="64" t="n"/>
      <c r="BP115" s="164">
        <f>IF($BM164&lt;$BL$135,IF($BM164&gt;$BM165,"&lt;",""),"")</f>
        <v/>
      </c>
      <c r="BQ115" s="164">
        <f>IF($BY164&lt;$BX$135,IF($BY164&gt;$BY165,"&lt;",""),"")</f>
        <v/>
      </c>
      <c r="BR115" s="238">
        <f>IF($BZ$115&gt;$BM206,IF($BZ$115&lt;$BM207+0.1,"X",""),"")</f>
        <v/>
      </c>
      <c r="BS115" s="64" t="n"/>
      <c r="BT115" s="238">
        <f>IF($BZ$115&gt;$BM206,IF($BZ$115&lt;$BM207+0.1,"X",""),"")</f>
        <v/>
      </c>
      <c r="BU115" s="196">
        <f>IF($BY164&lt;$BX$135,IF($BY164&gt;$BY165,"&gt;",""),"")</f>
        <v/>
      </c>
      <c r="BV115" s="196">
        <f>IF($BM164&lt;$BL$135,IF($BM164&gt;$BM165,"&gt;",""),"")</f>
        <v/>
      </c>
      <c r="BX115" s="463">
        <f>IF(VLOOKUP(24,Formations!$A$3:$C$25,1)=24,VLOOKUP(24,Formations!$A$3:$C$25,2)," ")</f>
        <v/>
      </c>
      <c r="BY115">
        <f>IF(VLOOKUP(24,Formations!$A$3:$C$25,1)=24,VLOOKUP(24,Formations!$A$3:$C$25,3)," ")</f>
        <v/>
      </c>
      <c r="BZ115" s="110">
        <f>'Casing Review'!B69</f>
        <v/>
      </c>
      <c r="CA115" s="111">
        <f>IF('Casing Review'!B69=0,"","'  MD")</f>
        <v/>
      </c>
      <c r="CE115" s="64" t="n"/>
      <c r="CF115" s="64" t="n"/>
      <c r="CG115" s="64" t="n"/>
      <c r="CH115" s="64" t="n"/>
      <c r="CI115" s="194" t="n"/>
      <c r="CJ115" s="114" t="n"/>
      <c r="CK115" s="195" t="n"/>
      <c r="CL115" s="64" t="n"/>
      <c r="CM115" s="64" t="n"/>
      <c r="CN115" s="115" t="n"/>
      <c r="CO115" s="463">
        <f>IF(VLOOKUP(24,Formations!$A$3:$C$25,1)=24,VLOOKUP(24,Formations!$A$3:$C$25,2)," ")</f>
        <v/>
      </c>
      <c r="CP115">
        <f>IF(VLOOKUP(24,Formations!$A$3:$C$25,1)=24,VLOOKUP(24,Formations!$A$3:$C$25,3)," ")</f>
        <v/>
      </c>
    </row>
    <row r="116">
      <c r="A116" s="64" t="n"/>
      <c r="B116" s="64" t="n"/>
      <c r="C116" s="64" t="n"/>
      <c r="D116" s="34" t="n"/>
      <c r="E116" s="64" t="n"/>
      <c r="F116" s="64" t="n"/>
      <c r="G116" s="64" t="n"/>
      <c r="H116" s="64" t="n"/>
      <c r="I116" s="64" t="n"/>
      <c r="J116" s="64" t="n"/>
      <c r="K116" s="64" t="n"/>
      <c r="L116" s="64" t="n"/>
      <c r="M116" s="64" t="n"/>
      <c r="N116" s="64" t="n"/>
      <c r="O116" s="64" t="n"/>
      <c r="P116" s="277" t="n"/>
      <c r="Q116" s="64" t="n"/>
      <c r="R116" s="64" t="n"/>
      <c r="S116" s="103" t="n"/>
      <c r="T116" s="64" t="n"/>
      <c r="U116" s="64" t="n"/>
      <c r="V116" s="64" t="n"/>
      <c r="W116" s="64" t="n"/>
      <c r="X116" s="64" t="n"/>
      <c r="Y116" s="64" t="n"/>
      <c r="Z116" s="64" t="n"/>
      <c r="AA116" s="64" t="n"/>
      <c r="AB116" s="39" t="n"/>
      <c r="AC116" s="64" t="n"/>
      <c r="AF116" s="64" t="n"/>
      <c r="AG116" s="64" t="n"/>
      <c r="AH116" s="64" t="n"/>
      <c r="AI116" s="164">
        <f>IF($AR165&lt;$AQ$135,IF($AR165&gt;$AR166,"&lt;",""),"")</f>
        <v/>
      </c>
      <c r="AJ116" s="64" t="n"/>
      <c r="AK116" s="198" t="n"/>
      <c r="AL116" s="64" t="n"/>
      <c r="AM116" s="161">
        <f>IF($AR165&lt;$AQ$135,IF($AR165&gt;$AR166,"&gt;",""),"")</f>
        <v/>
      </c>
      <c r="AN116" s="64" t="n"/>
      <c r="AO116" s="64" t="n"/>
      <c r="AP116" s="64" t="n"/>
      <c r="AQ116" s="463">
        <f>IF(VLOOKUP(25,Formations!$A$3:$C$25,1)=25,VLOOKUP(25,Formations!$A$3:$C$25,2)," ")</f>
        <v/>
      </c>
      <c r="AR116">
        <f>IF(VLOOKUP(25,Formations!$A$3:$C$25,1)=25,VLOOKUP(25,Formations!$A$3:$C$25,3)," ")</f>
        <v/>
      </c>
      <c r="AU116" s="153">
        <f>'Casing Review'!B35</f>
        <v/>
      </c>
      <c r="AV116" s="39" t="inlineStr">
        <is>
          <t>% Washout</t>
        </is>
      </c>
      <c r="AW116" s="64" t="n"/>
      <c r="AX116" s="64" t="n"/>
      <c r="AY116" s="64" t="n"/>
      <c r="AZ116" s="197">
        <f>IF($BH165&lt;$BG$135,IF($BH165&gt;$BH166,"&lt;",""),"")</f>
        <v/>
      </c>
      <c r="BA116" s="238">
        <f>IF($BZ$115&gt;$AV185,IF($BZ$115&lt;$AV186+0.1,"X",""),"")</f>
        <v/>
      </c>
      <c r="BB116" s="64" t="n"/>
      <c r="BC116" s="238">
        <f>IF($BZ$115&gt;$AV185,IF($BZ$115&lt;$AV186+0.1,"X",""),"")</f>
        <v/>
      </c>
      <c r="BD116" s="197">
        <f>IF($BH165&lt;$BG$135,IF($BH165&gt;$BH166,"&gt;",""),"")</f>
        <v/>
      </c>
      <c r="BE116" s="64" t="n"/>
      <c r="BF116" s="64" t="n"/>
      <c r="BG116" s="463">
        <f>IF(VLOOKUP(25,Formations!$A$3:$C$25,1)=25,VLOOKUP(25,Formations!$A$3:$C$25,2)," ")</f>
        <v/>
      </c>
      <c r="BH116">
        <f>IF(VLOOKUP(25,Formations!$A$3:$C$25,1)=25,VLOOKUP(25,Formations!$A$3:$C$25,3)," ")</f>
        <v/>
      </c>
      <c r="BI116" s="112">
        <f>'Casing Review'!D69</f>
        <v/>
      </c>
      <c r="BJ116" s="111" t="inlineStr">
        <is>
          <t>'  TVD</t>
        </is>
      </c>
      <c r="BL116" s="153">
        <f>'Casing Review'!B50</f>
        <v/>
      </c>
      <c r="BM116" s="39" t="inlineStr">
        <is>
          <t>% Washout</t>
        </is>
      </c>
      <c r="BN116" s="64" t="n"/>
      <c r="BO116" s="64" t="n"/>
      <c r="BP116" s="164">
        <f>IF($BM165&lt;$BL$135,IF($BM165&gt;$BM166,"&lt;",""),"")</f>
        <v/>
      </c>
      <c r="BQ116" s="164">
        <f>IF($BY165&lt;$BX$135,IF($BY165&gt;$BY166,"&lt;",""),"")</f>
        <v/>
      </c>
      <c r="BR116" s="238">
        <f>IF($BZ$115&gt;$BM207,IF($BZ$115&lt;$BM208+0.1,"X",""),"")</f>
        <v/>
      </c>
      <c r="BS116" s="64" t="n"/>
      <c r="BT116" s="238">
        <f>IF($BZ$115&gt;$BM207,IF($BZ$115&lt;$BM208+0.1,"X",""),"")</f>
        <v/>
      </c>
      <c r="BU116" s="196">
        <f>IF($BY165&lt;$BX$135,IF($BY165&gt;$BY166,"&gt;",""),"")</f>
        <v/>
      </c>
      <c r="BV116" s="196">
        <f>IF($BM165&lt;$BL$135,IF($BM165&gt;$BM166,"&gt;",""),"")</f>
        <v/>
      </c>
      <c r="BW116" s="64" t="n"/>
      <c r="BX116" s="463">
        <f>IF(VLOOKUP(25,Formations!$A$3:$C$25,1)=25,VLOOKUP(25,Formations!$A$3:$C$25,2)," ")</f>
        <v/>
      </c>
      <c r="BY116">
        <f>IF(VLOOKUP(25,Formations!$A$3:$C$25,1)=25,VLOOKUP(25,Formations!$A$3:$C$25,3)," ")</f>
        <v/>
      </c>
      <c r="BZ116" s="112">
        <f>IF('Casing Review'!B69=0,"",'Casing Review'!D69)</f>
        <v/>
      </c>
      <c r="CA116" s="111">
        <f>IF('Casing Review'!B69=0,"","'  TVD")</f>
        <v/>
      </c>
      <c r="CE116" s="64" t="n"/>
      <c r="CF116" s="64" t="n"/>
      <c r="CG116" s="64" t="n"/>
      <c r="CH116" s="64" t="n"/>
      <c r="CI116" s="194" t="n"/>
      <c r="CJ116" s="114" t="n"/>
      <c r="CK116" s="195" t="n"/>
      <c r="CL116" s="64" t="n"/>
      <c r="CM116" s="64" t="n"/>
      <c r="CN116" s="64" t="n"/>
      <c r="CO116" s="463">
        <f>IF(VLOOKUP(25,Formations!$A$3:$C$25,1)=25,VLOOKUP(25,Formations!$A$3:$C$25,2)," ")</f>
        <v/>
      </c>
      <c r="CP116">
        <f>IF(VLOOKUP(25,Formations!$A$3:$C$25,1)=25,VLOOKUP(25,Formations!$A$3:$C$25,3)," ")</f>
        <v/>
      </c>
    </row>
    <row r="117">
      <c r="A117" s="64" t="n"/>
      <c r="B117" s="64" t="n"/>
      <c r="C117" s="64" t="n"/>
      <c r="D117" s="34" t="n"/>
      <c r="E117" s="64" t="n"/>
      <c r="F117" s="64" t="n"/>
      <c r="G117" s="64" t="n"/>
      <c r="H117" s="64" t="n"/>
      <c r="I117" s="64" t="n"/>
      <c r="J117" s="64" t="n"/>
      <c r="K117" s="64" t="n"/>
      <c r="L117" s="64" t="n"/>
      <c r="M117" s="64" t="n"/>
      <c r="N117" s="64" t="n"/>
      <c r="O117" s="64" t="n"/>
      <c r="P117" s="277" t="n"/>
      <c r="Q117" s="277" t="n"/>
      <c r="R117" s="277" t="n"/>
      <c r="S117" s="277" t="n"/>
      <c r="T117" s="277" t="n"/>
      <c r="U117" s="277" t="n"/>
      <c r="V117" s="277" t="n"/>
      <c r="W117" s="277" t="n"/>
      <c r="X117" s="277" t="n"/>
      <c r="Y117" s="277" t="n"/>
      <c r="Z117" s="277" t="n"/>
      <c r="AA117" s="64" t="n"/>
      <c r="AB117" s="39" t="n"/>
      <c r="AC117" s="64" t="n"/>
      <c r="AF117" s="64" t="n"/>
      <c r="AG117" s="64" t="n"/>
      <c r="AH117" s="64" t="n"/>
      <c r="AI117" s="64" t="n"/>
      <c r="AJ117" s="64" t="n"/>
      <c r="AK117" s="198" t="n"/>
      <c r="AL117" s="64" t="n"/>
      <c r="AM117" s="64" t="n"/>
      <c r="AN117" s="64" t="n"/>
      <c r="AO117" s="64" t="n"/>
      <c r="AP117" s="64" t="n"/>
      <c r="AQ117" s="463">
        <f>IF(VLOOKUP(26,Formations!$A$3:$C$25,1)=26,VLOOKUP(26,Formations!$A$3:$C$25,2)," ")</f>
        <v/>
      </c>
      <c r="AR117">
        <f>IF(VLOOKUP(26,Formations!$A$3:$C$25,1)=26,VLOOKUP(26,Formations!$A$3:$C$25,3)," ")</f>
        <v/>
      </c>
      <c r="AU117" s="153">
        <f>'Casing Review'!$B$27</f>
        <v/>
      </c>
      <c r="AV117" s="152" t="inlineStr">
        <is>
          <t>" Hole</t>
        </is>
      </c>
      <c r="AW117" s="64" t="n"/>
      <c r="AX117" s="64" t="n"/>
      <c r="AY117" s="64" t="n"/>
      <c r="AZ117" s="197">
        <f>IF($BH166&lt;$BG$135,IF($BH166&gt;$BH167,"&lt;",""),"")</f>
        <v/>
      </c>
      <c r="BA117" s="238">
        <f>IF($BZ$115&gt;$AV186,IF($BZ$115&lt;$AV187+0.1,"X",""),"")</f>
        <v/>
      </c>
      <c r="BB117" s="64" t="n"/>
      <c r="BC117" s="238">
        <f>IF($BZ$115&gt;$AV186,IF($BZ$115&lt;$AV187+0.1,"X",""),"")</f>
        <v/>
      </c>
      <c r="BD117" s="197">
        <f>IF($BH166&lt;$BG$135,IF($BH166&gt;$BH167,"&gt;",""),"")</f>
        <v/>
      </c>
      <c r="BE117" s="64" t="n"/>
      <c r="BF117" s="64" t="n"/>
      <c r="BG117" s="463">
        <f>IF(VLOOKUP(26,Formations!$A$3:$C$25,1)=26,VLOOKUP(26,Formations!$A$3:$C$25,2)," ")</f>
        <v/>
      </c>
      <c r="BH117">
        <f>IF(VLOOKUP(26,Formations!$A$3:$C$25,1)=26,VLOOKUP(26,Formations!$A$3:$C$25,3)," ")</f>
        <v/>
      </c>
      <c r="BL117" s="153">
        <f>'Casing Review'!$B$42</f>
        <v/>
      </c>
      <c r="BM117" s="152" t="inlineStr">
        <is>
          <t>" Hole</t>
        </is>
      </c>
      <c r="BN117" s="64" t="n"/>
      <c r="BO117" s="64" t="n"/>
      <c r="BP117" s="164">
        <f>IF($BM166&lt;$BL$135,IF($BM166&gt;$BM167,"&lt;",""),"")</f>
        <v/>
      </c>
      <c r="BQ117" s="164">
        <f>IF($BY166&lt;$BX$135,IF($BY166&gt;$BY167,"&lt;",""),"")</f>
        <v/>
      </c>
      <c r="BR117" s="238">
        <f>IF($BZ$115&gt;$BM208,IF($BZ$115&lt;$BM209+0.1,"X",""),"")</f>
        <v/>
      </c>
      <c r="BS117" s="64" t="n"/>
      <c r="BT117" s="238">
        <f>IF($BZ$115&gt;$BM208,IF($BZ$115&lt;$BM209+0.1,"X",""),"")</f>
        <v/>
      </c>
      <c r="BU117" s="196">
        <f>IF($BY166&lt;$BX$135,IF($BY166&gt;$BY167,"&gt;",""),"")</f>
        <v/>
      </c>
      <c r="BV117" s="196">
        <f>IF($BM166&lt;$BL$135,IF($BM166&gt;$BM167,"&gt;",""),"")</f>
        <v/>
      </c>
      <c r="BW117" s="64" t="n"/>
      <c r="BX117" s="463">
        <f>IF(VLOOKUP(26,Formations!$A$3:$C$25,1)=26,VLOOKUP(26,Formations!$A$3:$C$25,2)," ")</f>
        <v/>
      </c>
      <c r="BY117">
        <f>IF(VLOOKUP(26,Formations!$A$3:$C$25,1)=26,VLOOKUP(26,Formations!$A$3:$C$25,3)," ")</f>
        <v/>
      </c>
      <c r="CH117" s="64" t="n"/>
      <c r="CI117" s="194" t="n"/>
      <c r="CK117" s="195" t="n"/>
      <c r="CL117" s="64" t="n"/>
      <c r="CO117" s="463">
        <f>IF(VLOOKUP(26,Formations!$A$3:$C$25,1)=26,VLOOKUP(26,Formations!$A$3:$C$25,2)," ")</f>
        <v/>
      </c>
      <c r="CP117">
        <f>IF(VLOOKUP(26,Formations!$A$3:$C$25,1)=26,VLOOKUP(26,Formations!$A$3:$C$25,3)," ")</f>
        <v/>
      </c>
    </row>
    <row r="118">
      <c r="A118" s="64" t="n"/>
      <c r="B118" s="64" t="n"/>
      <c r="C118" s="64" t="n"/>
      <c r="D118" s="34" t="n"/>
      <c r="E118" s="64" t="n"/>
      <c r="F118" s="64" t="n"/>
      <c r="G118" s="64" t="n"/>
      <c r="H118" s="64" t="n"/>
      <c r="I118" s="64" t="n"/>
      <c r="J118" s="64" t="n"/>
      <c r="K118" s="64" t="n"/>
      <c r="L118" s="64" t="n"/>
      <c r="M118" s="64" t="n"/>
      <c r="N118" s="64" t="n"/>
      <c r="O118" s="64" t="n"/>
      <c r="P118" s="277" t="n"/>
      <c r="Q118" s="277" t="n"/>
      <c r="R118" s="277" t="n"/>
      <c r="S118" s="277" t="n"/>
      <c r="T118" s="277" t="n"/>
      <c r="U118" s="277" t="n"/>
      <c r="V118" s="277" t="n"/>
      <c r="W118" s="277" t="n"/>
      <c r="X118" s="277" t="n"/>
      <c r="Y118" s="277" t="n"/>
      <c r="Z118" s="277" t="n"/>
      <c r="AA118" s="64" t="n"/>
      <c r="AB118" s="39" t="n"/>
      <c r="AC118" s="64" t="n"/>
      <c r="AF118" s="64" t="n"/>
      <c r="AG118" s="64" t="n"/>
      <c r="AH118" s="64" t="n"/>
      <c r="AI118" s="64" t="n"/>
      <c r="AJ118" s="64" t="n"/>
      <c r="AK118" s="198" t="n"/>
      <c r="AL118" s="64" t="n"/>
      <c r="AM118" s="64" t="n"/>
      <c r="AN118" s="64" t="n"/>
      <c r="AO118" s="64" t="n"/>
      <c r="AP118" s="64" t="n"/>
      <c r="AQ118" s="463">
        <f>IF(VLOOKUP(27,Formations!$A$3:$C$25,1)=27,VLOOKUP(27,Formations!$A$3:$C$25,2)," ")</f>
        <v/>
      </c>
      <c r="AR118">
        <f>IF(VLOOKUP(27,Formations!$A$3:$C$25,1)=27,VLOOKUP(27,Formations!$A$3:$C$25,3)," ")</f>
        <v/>
      </c>
      <c r="AW118" s="64" t="n"/>
      <c r="AX118" s="64" t="n"/>
      <c r="AY118" s="64" t="n"/>
      <c r="AZ118" s="197">
        <f>IF($BH167&lt;$BG$135,IF($BH167&gt;$BH168,"&lt;",""),"")</f>
        <v/>
      </c>
      <c r="BA118" s="238">
        <f>IF($BZ$115&gt;$AV187,IF($BZ$115&lt;$AV188+0.1,"X",""),"")</f>
        <v/>
      </c>
      <c r="BB118" s="64" t="n"/>
      <c r="BC118" s="238">
        <f>IF($BZ$115&gt;$AV187,IF($BZ$115&lt;$AV188+0.1,"X",""),"")</f>
        <v/>
      </c>
      <c r="BD118" s="197">
        <f>IF($BH167&lt;$BG$135,IF($BH167&gt;$BH168,"&gt;",""),"")</f>
        <v/>
      </c>
      <c r="BE118" s="64" t="n"/>
      <c r="BF118" s="64" t="n"/>
      <c r="BG118" s="463">
        <f>IF(VLOOKUP(27,Formations!$A$3:$C$25,1)=27,VLOOKUP(27,Formations!$A$3:$C$25,2)," ")</f>
        <v/>
      </c>
      <c r="BH118">
        <f>IF(VLOOKUP(27,Formations!$A$3:$C$25,1)=27,VLOOKUP(27,Formations!$A$3:$C$25,3)," ")</f>
        <v/>
      </c>
      <c r="BN118" s="64" t="n"/>
      <c r="BO118" s="64" t="n"/>
      <c r="BP118" s="164">
        <f>IF($BM167&lt;$BL$135,IF($BM167&gt;$BM168,"&lt;",""),"")</f>
        <v/>
      </c>
      <c r="BQ118" s="164">
        <f>IF($BY167&lt;$BX$135,IF($BY167&gt;$BY168,"&lt;",""),"")</f>
        <v/>
      </c>
      <c r="BR118" s="238">
        <f>IF($BZ$115&gt;$BM209,IF($BZ$115&lt;$BM210+0.1,"X",""),"")</f>
        <v/>
      </c>
      <c r="BS118" s="64" t="n"/>
      <c r="BT118" s="238">
        <f>IF($BZ$115&gt;$BM209,IF($BZ$115&lt;$BM210+0.1,"X",""),"")</f>
        <v/>
      </c>
      <c r="BU118" s="196">
        <f>IF($BY167&lt;$BX$135,IF($BY167&gt;$BY168,"&gt;",""),"")</f>
        <v/>
      </c>
      <c r="BV118" s="196">
        <f>IF($BM167&lt;$BL$135,IF($BM167&gt;$BM168,"&gt;",""),"")</f>
        <v/>
      </c>
      <c r="BW118" s="64" t="n"/>
      <c r="BX118" s="463">
        <f>IF(VLOOKUP(27,Formations!$A$3:$C$25,1)=27,VLOOKUP(27,Formations!$A$3:$C$25,2)," ")</f>
        <v/>
      </c>
      <c r="BY118">
        <f>IF(VLOOKUP(27,Formations!$A$3:$C$25,1)=27,VLOOKUP(27,Formations!$A$3:$C$25,3)," ")</f>
        <v/>
      </c>
      <c r="CH118" s="64" t="n"/>
      <c r="CI118" s="194" t="n"/>
      <c r="CK118" s="195" t="n"/>
      <c r="CL118" s="64" t="n"/>
      <c r="CO118" s="463">
        <f>IF(VLOOKUP(27,Formations!$A$3:$C$25,1)=27,VLOOKUP(27,Formations!$A$3:$C$25,2)," ")</f>
        <v/>
      </c>
      <c r="CP118">
        <f>IF(VLOOKUP(27,Formations!$A$3:$C$25,1)=27,VLOOKUP(27,Formations!$A$3:$C$25,3)," ")</f>
        <v/>
      </c>
    </row>
    <row r="119">
      <c r="A119" s="64" t="n"/>
      <c r="B119" s="64" t="n"/>
      <c r="C119" s="64" t="n"/>
      <c r="D119" s="34" t="n"/>
      <c r="E119" s="64" t="n"/>
      <c r="F119" s="64" t="n"/>
      <c r="G119" s="64" t="n"/>
      <c r="H119" s="64" t="n"/>
      <c r="I119" s="64" t="n"/>
      <c r="J119" s="64" t="n"/>
      <c r="K119" s="64" t="n"/>
      <c r="L119" s="64" t="n"/>
      <c r="M119" s="64" t="n"/>
      <c r="N119" s="64" t="n"/>
      <c r="O119" s="64" t="n"/>
      <c r="P119" s="277" t="n"/>
      <c r="Q119" s="277" t="n"/>
      <c r="R119" s="277" t="n"/>
      <c r="S119" s="277" t="n"/>
      <c r="T119" s="277" t="n"/>
      <c r="U119" s="277" t="n"/>
      <c r="V119" s="277" t="n"/>
      <c r="W119" s="277" t="n"/>
      <c r="X119" s="277" t="n"/>
      <c r="Y119" s="277" t="n"/>
      <c r="Z119" s="277" t="n"/>
      <c r="AA119" s="64" t="n"/>
      <c r="AB119" s="39" t="n"/>
      <c r="AC119" s="247" t="n"/>
      <c r="AD119" s="247">
        <f>IF('Casing Review'!$E$9="y","HL @","")</f>
        <v/>
      </c>
      <c r="AE119" s="250">
        <f>IF('Casing Review'!$E$9="y",DxSurvey!C9,"")</f>
        <v/>
      </c>
      <c r="AF119" s="625">
        <f>IF('Casing Review'!$E$9="y","' MD","")</f>
        <v/>
      </c>
      <c r="AH119" s="64" t="n"/>
      <c r="AI119" s="64" t="n"/>
      <c r="AJ119" s="64" t="n"/>
      <c r="AK119" s="198" t="n"/>
      <c r="AL119" s="64" t="n"/>
      <c r="AM119" s="64" t="n"/>
      <c r="AN119" s="64" t="n"/>
      <c r="AO119" s="64" t="n"/>
      <c r="AP119" s="64" t="n"/>
      <c r="AQ119" s="463">
        <f>IF(VLOOKUP(28,Formations!$A$3:$C$25,1)=28,VLOOKUP(28,Formations!$A$3:$C$25,2)," ")</f>
        <v/>
      </c>
      <c r="AR119">
        <f>IF(VLOOKUP(28,Formations!$A$3:$C$25,1)=28,VLOOKUP(28,Formations!$A$3:$C$25,3)," ")</f>
        <v/>
      </c>
      <c r="AU119" s="463">
        <f>AD119</f>
        <v/>
      </c>
      <c r="AV119" s="449">
        <f>AE119</f>
        <v/>
      </c>
      <c r="AW119" s="626">
        <f>IF('Casing Review'!$E$9="y","' MD","")</f>
        <v/>
      </c>
      <c r="AY119" s="64" t="n"/>
      <c r="AZ119" s="197">
        <f>IF($BH168&lt;$BG$135,IF($BH168&gt;$BH169,"&lt;",""),"")</f>
        <v/>
      </c>
      <c r="BA119" s="238">
        <f>IF($BZ$115&gt;$AV188,IF($BZ$115&lt;$AV189+0.1,"X",""),"")</f>
        <v/>
      </c>
      <c r="BB119" s="64" t="n"/>
      <c r="BC119" s="238">
        <f>IF($BZ$115&gt;$AV188,IF($BZ$115&lt;$AV189+0.1,"X",""),"")</f>
        <v/>
      </c>
      <c r="BD119" s="197">
        <f>IF($BH168&lt;$BG$135,IF($BH168&gt;$BH169,"&gt;",""),"")</f>
        <v/>
      </c>
      <c r="BE119" s="64" t="n"/>
      <c r="BF119" s="64" t="n"/>
      <c r="BG119" s="463">
        <f>IF(VLOOKUP(28,Formations!$A$3:$C$25,1)=28,VLOOKUP(28,Formations!$A$3:$C$25,2)," ")</f>
        <v/>
      </c>
      <c r="BH119">
        <f>IF(VLOOKUP(28,Formations!$A$3:$C$25,1)=28,VLOOKUP(28,Formations!$A$3:$C$25,3)," ")</f>
        <v/>
      </c>
      <c r="BL119" s="463">
        <f>AU119</f>
        <v/>
      </c>
      <c r="BM119" s="449">
        <f>AV119</f>
        <v/>
      </c>
      <c r="BN119" s="625">
        <f>IF('Casing Review'!$E$9="y","' MD","")</f>
        <v/>
      </c>
      <c r="BP119" s="164">
        <f>IF($BM168&lt;$BL$135,IF($BM168&gt;$BM169,"&lt;",""),"")</f>
        <v/>
      </c>
      <c r="BQ119" s="164">
        <f>IF($BY168&lt;$BX$135,IF($BY168&gt;$BY169,"&lt;",""),"")</f>
        <v/>
      </c>
      <c r="BR119" s="238">
        <f>IF($BZ$115&gt;$BM210,IF($BZ$115&lt;$BM211+0.1,"X",""),"")</f>
        <v/>
      </c>
      <c r="BS119" s="64" t="n"/>
      <c r="BT119" s="238">
        <f>IF($BZ$115&gt;$BM210,IF($BZ$115&lt;$BM211+0.1,"X",""),"")</f>
        <v/>
      </c>
      <c r="BU119" s="196">
        <f>IF($BY168&lt;$BX$135,IF($BY168&gt;$BY169,"&gt;",""),"")</f>
        <v/>
      </c>
      <c r="BV119" s="196">
        <f>IF($BM168&lt;$BL$135,IF($BM168&gt;$BM169,"&gt;",""),"")</f>
        <v/>
      </c>
      <c r="BW119" s="64" t="n"/>
      <c r="BX119" s="463">
        <f>IF(VLOOKUP(28,Formations!$A$3:$C$25,1)=28,VLOOKUP(28,Formations!$A$3:$C$25,2)," ")</f>
        <v/>
      </c>
      <c r="BY119">
        <f>IF(VLOOKUP(28,Formations!$A$3:$C$25,1)=28,VLOOKUP(28,Formations!$A$3:$C$25,3)," ")</f>
        <v/>
      </c>
      <c r="CC119" s="463">
        <f>BL119</f>
        <v/>
      </c>
      <c r="CD119" s="449">
        <f>BM119</f>
        <v/>
      </c>
      <c r="CE119" s="625">
        <f>IF('Casing Review'!$E$9="y","' MD","")</f>
        <v/>
      </c>
      <c r="CH119" s="64" t="n"/>
      <c r="CI119" s="194" t="n"/>
      <c r="CK119" s="195" t="n"/>
      <c r="CL119" s="64" t="n"/>
      <c r="CO119" s="463">
        <f>IF(VLOOKUP(28,Formations!$A$3:$C$25,1)=28,VLOOKUP(28,Formations!$A$3:$C$25,2)," ")</f>
        <v/>
      </c>
      <c r="CP119">
        <f>IF(VLOOKUP(28,Formations!$A$3:$C$25,1)=28,VLOOKUP(28,Formations!$A$3:$C$25,3)," ")</f>
        <v/>
      </c>
    </row>
    <row r="120">
      <c r="A120" s="64" t="n"/>
      <c r="B120" s="64" t="n"/>
      <c r="C120" s="280" t="n"/>
      <c r="D120" s="176" t="n"/>
      <c r="E120" s="64" t="n"/>
      <c r="F120" s="64" t="n"/>
      <c r="G120" s="64" t="n"/>
      <c r="H120" s="64" t="n"/>
      <c r="I120" s="64" t="n"/>
      <c r="J120" s="64" t="n"/>
      <c r="K120" s="64" t="n"/>
      <c r="L120" s="64" t="n"/>
      <c r="M120" s="64" t="n"/>
      <c r="N120" s="64" t="n"/>
      <c r="O120" s="64" t="n"/>
      <c r="P120" s="277" t="n"/>
      <c r="Q120" s="277" t="n"/>
      <c r="R120" s="277" t="n"/>
      <c r="S120" s="277" t="n"/>
      <c r="T120" s="277" t="n"/>
      <c r="U120" s="277" t="n"/>
      <c r="V120" s="277" t="n"/>
      <c r="W120" s="277" t="n"/>
      <c r="X120" s="277" t="n"/>
      <c r="Y120" s="277" t="n"/>
      <c r="Z120" s="277" t="n"/>
      <c r="AA120" s="64" t="n"/>
      <c r="AB120" s="39" t="n"/>
      <c r="AC120" s="248">
        <f>IF('Casing Review'!$E$9="y",DxSurvey!U46,"")</f>
        <v/>
      </c>
      <c r="AD120" s="624">
        <f>IF('Casing Review'!$E$9="y",DxSurvey!V46,"")</f>
        <v/>
      </c>
      <c r="AE120" s="248">
        <f>IF('Casing Review'!$E$9="y",DxSurvey!W46,"")</f>
        <v/>
      </c>
      <c r="AF120" s="624">
        <f>IF('Casing Review'!$E$9="y",DxSurvey!X46,"")</f>
        <v/>
      </c>
      <c r="AH120" s="64" t="n"/>
      <c r="AI120" s="64" t="n"/>
      <c r="AJ120" s="64" t="n"/>
      <c r="AK120" s="198" t="n"/>
      <c r="AL120" s="64" t="n"/>
      <c r="AM120" s="64" t="n"/>
      <c r="AN120" s="64" t="n"/>
      <c r="AO120" s="64" t="n"/>
      <c r="AP120" s="64" t="n"/>
      <c r="AQ120" s="463">
        <f>IF(VLOOKUP(29,Formations!$A$3:$C$25,1)=29,VLOOKUP(29,Formations!$A$3:$C$25,2)," ")</f>
        <v/>
      </c>
      <c r="AR120">
        <f>IF(VLOOKUP(29,Formations!$A$3:$C$25,1)=29,VLOOKUP(29,Formations!$A$3:$C$25,3)," ")</f>
        <v/>
      </c>
      <c r="AT120" s="449">
        <f>AC120</f>
        <v/>
      </c>
      <c r="AU120">
        <f>AD120</f>
        <v/>
      </c>
      <c r="AV120" s="619">
        <f>AE120</f>
        <v/>
      </c>
      <c r="AW120" s="622">
        <f>AF120</f>
        <v/>
      </c>
      <c r="AY120" s="64" t="n"/>
      <c r="AZ120" s="197">
        <f>IF($BH169&lt;$BG$135,IF($BH169&gt;$BH170,"&lt;",""),"")</f>
        <v/>
      </c>
      <c r="BA120" s="238">
        <f>IF($BZ$115&gt;$AV189,IF($BZ$115&lt;$AV190+0.1,"X",""),"")</f>
        <v/>
      </c>
      <c r="BB120" s="64" t="n"/>
      <c r="BC120" s="238">
        <f>IF($BZ$115&gt;$AV189,IF($BZ$115&lt;$AV190+0.1,"X",""),"")</f>
        <v/>
      </c>
      <c r="BD120" s="197">
        <f>IF($BH169&lt;$BG$135,IF($BH169&gt;$BH170,"&gt;",""),"")</f>
        <v/>
      </c>
      <c r="BE120" s="64" t="n"/>
      <c r="BF120" s="64" t="n"/>
      <c r="BG120" s="463">
        <f>IF(VLOOKUP(29,Formations!$A$3:$C$25,1)=29,VLOOKUP(29,Formations!$A$3:$C$25,2)," ")</f>
        <v/>
      </c>
      <c r="BH120">
        <f>IF(VLOOKUP(29,Formations!$A$3:$C$25,1)=29,VLOOKUP(29,Formations!$A$3:$C$25,3)," ")</f>
        <v/>
      </c>
      <c r="BK120" s="449">
        <f>AT120</f>
        <v/>
      </c>
      <c r="BL120">
        <f>AU120</f>
        <v/>
      </c>
      <c r="BM120" s="619">
        <f>AV120</f>
        <v/>
      </c>
      <c r="BN120" s="624">
        <f>AW120</f>
        <v/>
      </c>
      <c r="BP120" s="164">
        <f>IF($BM169&lt;$BL$135,IF($BM169&gt;$BM170,"&lt;",""),"")</f>
        <v/>
      </c>
      <c r="BQ120" s="164">
        <f>IF($BY169&lt;$BX$135,IF($BY169&gt;$BY170,"&lt;",""),"")</f>
        <v/>
      </c>
      <c r="BR120" s="238">
        <f>IF($BZ$115&gt;$BM211,IF($BZ$115&lt;$BM212+0.1,"X",""),"")</f>
        <v/>
      </c>
      <c r="BS120" s="64" t="n"/>
      <c r="BT120" s="238">
        <f>IF($BZ$115&gt;$BM211,IF($BZ$115&lt;$BM212+0.1,"X",""),"")</f>
        <v/>
      </c>
      <c r="BU120" s="196">
        <f>IF($BY169&lt;$BX$135,IF($BY169&gt;$BY170,"&gt;",""),"")</f>
        <v/>
      </c>
      <c r="BV120" s="196">
        <f>IF($BM169&lt;$BL$135,IF($BM169&gt;$BM170,"&gt;",""),"")</f>
        <v/>
      </c>
      <c r="BW120" s="64" t="n"/>
      <c r="BX120" s="463">
        <f>IF(VLOOKUP(29,Formations!$A$3:$C$25,1)=29,VLOOKUP(29,Formations!$A$3:$C$25,2)," ")</f>
        <v/>
      </c>
      <c r="BY120">
        <f>IF(VLOOKUP(29,Formations!$A$3:$C$25,1)=29,VLOOKUP(29,Formations!$A$3:$C$25,3)," ")</f>
        <v/>
      </c>
      <c r="CB120" s="449">
        <f>BK120</f>
        <v/>
      </c>
      <c r="CC120">
        <f>BL120</f>
        <v/>
      </c>
      <c r="CD120" s="619">
        <f>BM120</f>
        <v/>
      </c>
      <c r="CE120" s="624">
        <f>BN120</f>
        <v/>
      </c>
      <c r="CH120" s="64" t="n"/>
      <c r="CI120" s="194" t="n"/>
      <c r="CK120" s="195" t="n"/>
      <c r="CL120" s="64" t="n"/>
      <c r="CO120" s="463">
        <f>IF(VLOOKUP(29,Formations!$A$3:$C$25,1)=29,VLOOKUP(29,Formations!$A$3:$C$25,2)," ")</f>
        <v/>
      </c>
      <c r="CP120">
        <f>IF(VLOOKUP(29,Formations!$A$3:$C$25,1)=29,VLOOKUP(29,Formations!$A$3:$C$25,3)," ")</f>
        <v/>
      </c>
    </row>
    <row r="121">
      <c r="A121" s="64" t="n"/>
      <c r="B121" s="64" t="n"/>
      <c r="C121" s="280" t="n"/>
      <c r="D121" s="176" t="n"/>
      <c r="E121" s="64" t="n"/>
      <c r="F121" s="64" t="n"/>
      <c r="G121" s="64" t="n"/>
      <c r="H121" s="64" t="n"/>
      <c r="I121" s="64" t="n"/>
      <c r="J121" s="64" t="n"/>
      <c r="K121" s="64" t="n"/>
      <c r="L121" s="64" t="n"/>
      <c r="M121" s="64" t="n"/>
      <c r="N121" s="64" t="n"/>
      <c r="O121" s="64" t="n"/>
      <c r="P121" s="277" t="n"/>
      <c r="Q121" s="277" t="n"/>
      <c r="R121" s="277" t="n"/>
      <c r="S121" s="277" t="n"/>
      <c r="T121" s="277" t="n"/>
      <c r="U121" s="277" t="n"/>
      <c r="V121" s="277" t="n"/>
      <c r="W121" s="277" t="n"/>
      <c r="X121" s="277" t="n"/>
      <c r="Y121" s="277" t="n"/>
      <c r="Z121" s="277" t="n"/>
      <c r="AA121" s="64" t="n"/>
      <c r="AB121" s="39" t="n"/>
      <c r="AC121" s="248" t="n"/>
      <c r="AD121" s="624" t="n"/>
      <c r="AE121" s="248" t="n"/>
      <c r="AF121" s="624" t="n"/>
      <c r="AH121" s="64" t="n"/>
      <c r="AI121" s="64" t="n"/>
      <c r="AJ121" s="64" t="n"/>
      <c r="AK121" s="198" t="n"/>
      <c r="AL121" s="64" t="n"/>
      <c r="AM121" s="64" t="n"/>
      <c r="AN121" s="64" t="n"/>
      <c r="AO121" s="64" t="n"/>
      <c r="AP121" s="64" t="n"/>
      <c r="AQ121" s="463">
        <f>IF(VLOOKUP(30,Formations!$A$3:$C$25,1)=30,VLOOKUP(30,Formations!$A$3:$C$25,2)," ")</f>
        <v/>
      </c>
      <c r="AR121">
        <f>IF(VLOOKUP(30,Formations!$A$3:$C$25,1)=30,VLOOKUP(30,Formations!$A$3:$C$25,3)," ")</f>
        <v/>
      </c>
      <c r="AT121" s="449" t="n"/>
      <c r="AV121" s="619" t="n"/>
      <c r="AW121" s="622" t="n"/>
      <c r="AY121" s="64" t="n"/>
      <c r="AZ121" s="197">
        <f>IF($BH170&lt;$BG$135,IF($BH170&gt;$BH171,"&lt;",""),"")</f>
        <v/>
      </c>
      <c r="BA121" s="238">
        <f>IF($BZ$115&gt;$AV190,IF($BZ$115&lt;$AV191+0.1,"X",""),"")</f>
        <v/>
      </c>
      <c r="BB121" s="64" t="n"/>
      <c r="BC121" s="238">
        <f>IF($BZ$115&gt;$AV190,IF($BZ$115&lt;$AV191+0.1,"X",""),"")</f>
        <v/>
      </c>
      <c r="BD121" s="197">
        <f>IF($BH170&lt;$BG$135,IF($BH170&gt;$BH171,"&gt;",""),"")</f>
        <v/>
      </c>
      <c r="BE121" s="64" t="n"/>
      <c r="BF121" s="64" t="n"/>
      <c r="BG121" s="463">
        <f>IF(VLOOKUP(30,Formations!$A$3:$C$25,1)=30,VLOOKUP(30,Formations!$A$3:$C$25,2)," ")</f>
        <v/>
      </c>
      <c r="BH121">
        <f>IF(VLOOKUP(30,Formations!$A$3:$C$25,1)=30,VLOOKUP(30,Formations!$A$3:$C$25,3)," ")</f>
        <v/>
      </c>
      <c r="BK121" s="449" t="n"/>
      <c r="BM121" s="619" t="n"/>
      <c r="BN121" s="624" t="n"/>
      <c r="BP121" s="164">
        <f>IF($BM170&lt;$BL$135,IF($BM170&gt;$BM171,"&lt;",""),"")</f>
        <v/>
      </c>
      <c r="BQ121" s="164">
        <f>IF($BY170&lt;$BX$135,IF($BY170&gt;$BY171,"&lt;",""),"")</f>
        <v/>
      </c>
      <c r="BR121" s="238">
        <f>IF($BZ$115&gt;$BM212,IF($BZ$115&lt;$BM213+0.1,"X",""),"")</f>
        <v/>
      </c>
      <c r="BS121" s="64" t="n"/>
      <c r="BT121" s="238">
        <f>IF($BZ$115&gt;$BM212,IF($BZ$115&lt;$BM213+0.1,"X",""),"")</f>
        <v/>
      </c>
      <c r="BU121" s="196">
        <f>IF($BY170&lt;$BX$135,IF($BY170&gt;$BY171,"&gt;",""),"")</f>
        <v/>
      </c>
      <c r="BV121" s="196">
        <f>IF($BM170&lt;$BL$135,IF($BM170&gt;$BM171,"&gt;",""),"")</f>
        <v/>
      </c>
      <c r="BW121" s="64" t="n"/>
      <c r="BX121" s="463">
        <f>IF(VLOOKUP(30,Formations!$A$3:$C$25,1)=30,VLOOKUP(30,Formations!$A$3:$C$25,2)," ")</f>
        <v/>
      </c>
      <c r="BY121">
        <f>IF(VLOOKUP(30,Formations!$A$3:$C$25,1)=30,VLOOKUP(30,Formations!$A$3:$C$25,3)," ")</f>
        <v/>
      </c>
      <c r="CB121" s="449" t="n"/>
      <c r="CD121" s="619" t="n"/>
      <c r="CE121" s="624" t="n"/>
      <c r="CH121" s="64" t="n"/>
      <c r="CI121" s="194" t="n"/>
      <c r="CK121" s="195" t="n"/>
      <c r="CL121" s="64" t="n"/>
      <c r="CO121" s="463">
        <f>IF(VLOOKUP(30,Formations!$A$3:$C$25,1)=30,VLOOKUP(30,Formations!$A$3:$C$25,2)," ")</f>
        <v/>
      </c>
      <c r="CP121">
        <f>IF(VLOOKUP(30,Formations!$A$3:$C$25,1)=30,VLOOKUP(30,Formations!$A$3:$C$25,3)," ")</f>
        <v/>
      </c>
    </row>
    <row r="122">
      <c r="A122" s="178" t="n"/>
      <c r="B122" s="64" t="n"/>
      <c r="C122" s="64" t="n"/>
      <c r="D122" s="104" t="n"/>
      <c r="E122" s="64" t="n"/>
      <c r="F122" s="64" t="n"/>
      <c r="G122" s="64" t="n"/>
      <c r="H122" s="64" t="n"/>
      <c r="I122" s="64" t="n"/>
      <c r="J122" s="64" t="n"/>
      <c r="K122" s="64" t="n"/>
      <c r="L122" s="64" t="n"/>
      <c r="M122" s="64" t="n"/>
      <c r="N122" s="64" t="n"/>
      <c r="O122" s="64" t="n"/>
      <c r="P122" s="277" t="n"/>
      <c r="Q122" s="277" t="n"/>
      <c r="R122" s="277" t="n"/>
      <c r="S122" s="277" t="n"/>
      <c r="T122" s="277" t="n"/>
      <c r="U122" s="277" t="n"/>
      <c r="V122" s="277" t="n"/>
      <c r="W122" s="277" t="n"/>
      <c r="X122" s="277" t="n"/>
      <c r="Y122" s="277" t="n"/>
      <c r="Z122" s="277" t="n"/>
      <c r="AA122" s="188" t="n"/>
      <c r="AB122" s="39" t="n"/>
      <c r="AC122" s="64" t="n"/>
      <c r="AD122" s="64" t="n"/>
      <c r="AE122" s="64" t="n"/>
      <c r="AF122" s="64" t="n"/>
      <c r="AG122" s="64" t="n"/>
      <c r="AH122" s="64" t="n"/>
      <c r="AI122" s="64" t="n"/>
      <c r="AJ122" s="64" t="n"/>
      <c r="AK122" s="198" t="n"/>
      <c r="AL122" s="64" t="n"/>
      <c r="AM122" s="64" t="n"/>
      <c r="AN122" s="64" t="n"/>
      <c r="AO122" s="64" t="n"/>
      <c r="AP122" s="64" t="n"/>
      <c r="AQ122" s="463">
        <f>IF(VLOOKUP(31,Formations!$A$3:$C$25,1)=31,VLOOKUP(31,Formations!$A$3:$C$25,2)," ")</f>
        <v/>
      </c>
      <c r="AR122">
        <f>IF(VLOOKUP(31,Formations!$A$3:$C$25,1)=31,VLOOKUP(31,Formations!$A$3:$C$25,3)," ")</f>
        <v/>
      </c>
      <c r="AV122" s="64" t="n"/>
      <c r="AW122" s="64" t="n"/>
      <c r="AX122" s="64" t="n"/>
      <c r="AY122" s="64" t="n"/>
      <c r="AZ122" s="197">
        <f>IF($BH171&lt;$BG$135,IF($BH171&gt;$BH172,"&lt;",""),"")</f>
        <v/>
      </c>
      <c r="BA122" s="238">
        <f>IF($BZ$115&gt;$AV191,IF($BZ$115&lt;$AV192+0.1,"X",""),"")</f>
        <v/>
      </c>
      <c r="BB122" s="64" t="n"/>
      <c r="BC122" s="238">
        <f>IF($BZ$115&gt;$AV191,IF($BZ$115&lt;$AV192+0.1,"X",""),"")</f>
        <v/>
      </c>
      <c r="BD122" s="197">
        <f>IF($BH171&lt;$BG$135,IF($BH171&gt;$BH172,"&gt;",""),"")</f>
        <v/>
      </c>
      <c r="BE122" s="64" t="n"/>
      <c r="BF122" s="64" t="n"/>
      <c r="BG122" s="463">
        <f>IF(VLOOKUP(31,Formations!$A$3:$C$25,1)=31,VLOOKUP(31,Formations!$A$3:$C$25,2)," ")</f>
        <v/>
      </c>
      <c r="BH122">
        <f>IF(VLOOKUP(31,Formations!$A$3:$C$25,1)=31,VLOOKUP(31,Formations!$A$3:$C$25,3)," ")</f>
        <v/>
      </c>
      <c r="BM122" s="64" t="n"/>
      <c r="BN122" s="64" t="n"/>
      <c r="BO122" s="64" t="n"/>
      <c r="BP122" s="164">
        <f>IF($BM171&lt;$BL$135,IF($BM171&gt;$BM172,"&lt;",""),"")</f>
        <v/>
      </c>
      <c r="BQ122" s="164">
        <f>IF($BY171&lt;$BX$135,IF($BY171&gt;$BY172,"&lt;",""),"")</f>
        <v/>
      </c>
      <c r="BR122" s="238">
        <f>IF($BZ$115&gt;$BM213,IF($BZ$115&lt;$BM214+0.1,"X",""),"")</f>
        <v/>
      </c>
      <c r="BS122" s="64" t="n"/>
      <c r="BT122" s="238">
        <f>IF($BZ$115&gt;$BM213,IF($BZ$115&lt;$BM214+0.1,"X",""),"")</f>
        <v/>
      </c>
      <c r="BU122" s="196">
        <f>IF($BY171&lt;$BX$135,IF($BY171&gt;$BY172,"&gt;",""),"")</f>
        <v/>
      </c>
      <c r="BV122" s="196">
        <f>IF($BM171&lt;$BL$135,IF($BM171&gt;$BM172,"&gt;",""),"")</f>
        <v/>
      </c>
      <c r="BW122" s="64" t="n"/>
      <c r="BX122" s="463">
        <f>IF(VLOOKUP(31,Formations!$A$3:$C$25,1)=31,VLOOKUP(31,Formations!$A$3:$C$25,2)," ")</f>
        <v/>
      </c>
      <c r="BY122">
        <f>IF(VLOOKUP(31,Formations!$A$3:$C$25,1)=31,VLOOKUP(31,Formations!$A$3:$C$25,3)," ")</f>
        <v/>
      </c>
      <c r="CH122" s="64" t="n"/>
      <c r="CI122" s="194" t="n"/>
      <c r="CK122" s="195" t="n"/>
      <c r="CL122" s="64" t="n"/>
      <c r="CO122" s="463">
        <f>IF(VLOOKUP(31,Formations!$A$3:$C$25,1)=31,VLOOKUP(31,Formations!$A$3:$C$25,2)," ")</f>
        <v/>
      </c>
      <c r="CP122">
        <f>IF(VLOOKUP(31,Formations!$A$3:$C$25,1)=31,VLOOKUP(31,Formations!$A$3:$C$25,3)," ")</f>
        <v/>
      </c>
    </row>
    <row r="123">
      <c r="A123" s="178" t="n"/>
      <c r="B123" s="64" t="n"/>
      <c r="C123" s="64" t="n"/>
      <c r="D123" s="34" t="n"/>
      <c r="E123" s="64" t="n"/>
      <c r="F123" s="64" t="n"/>
      <c r="G123" s="64" t="n"/>
      <c r="H123" s="64" t="n"/>
      <c r="I123" s="64" t="n"/>
      <c r="J123" s="64" t="n"/>
      <c r="K123" s="64" t="n"/>
      <c r="L123" s="64" t="n"/>
      <c r="M123" s="64" t="n"/>
      <c r="N123" s="64" t="n"/>
      <c r="O123" s="64" t="n"/>
      <c r="P123" s="277" t="n"/>
      <c r="Q123" s="277" t="n"/>
      <c r="R123" s="277" t="n"/>
      <c r="S123" s="277" t="n"/>
      <c r="T123" s="277" t="n"/>
      <c r="U123" s="277" t="n"/>
      <c r="V123" s="277" t="n"/>
      <c r="W123" s="277" t="n"/>
      <c r="X123" s="277" t="n"/>
      <c r="Y123" s="277" t="n"/>
      <c r="Z123" s="277" t="n"/>
      <c r="AA123" s="93" t="n"/>
      <c r="AB123" s="104" t="n"/>
      <c r="AC123" s="64" t="n"/>
      <c r="AD123" s="64">
        <f>'Casing Review'!C42</f>
        <v/>
      </c>
      <c r="AE123" s="113" t="inlineStr">
        <is>
          <t>" Casing</t>
        </is>
      </c>
      <c r="AF123" s="64" t="n"/>
      <c r="AG123" s="64" t="n"/>
      <c r="AH123" s="64" t="n"/>
      <c r="AI123" s="64" t="n"/>
      <c r="AJ123" s="64" t="n"/>
      <c r="AK123" s="198" t="n"/>
      <c r="AL123" s="64" t="n"/>
      <c r="AM123" s="64" t="n"/>
      <c r="AN123" s="64" t="n"/>
      <c r="AO123" s="64" t="n"/>
      <c r="AP123" s="64" t="n"/>
      <c r="AQ123" s="463">
        <f>IF(VLOOKUP(32,Formations!$A$3:$C$25,1)=32,VLOOKUP(32,Formations!$A$3:$C$25,2)," ")</f>
        <v/>
      </c>
      <c r="AR123">
        <f>IF(VLOOKUP(32,Formations!$A$3:$C$25,1)=32,VLOOKUP(32,Formations!$A$3:$C$25,3)," ")</f>
        <v/>
      </c>
      <c r="AU123" s="64">
        <f>'Casing Review'!C57</f>
        <v/>
      </c>
      <c r="AV123" s="64" t="inlineStr">
        <is>
          <t>" Liner</t>
        </is>
      </c>
      <c r="AW123" s="64" t="n"/>
      <c r="AX123" s="64" t="n"/>
      <c r="AY123" s="64" t="n"/>
      <c r="AZ123" s="197">
        <f>IF($BH172&lt;$BG$135,IF($BH172&gt;$BH173,"&lt;",""),"")</f>
        <v/>
      </c>
      <c r="BA123" s="238">
        <f>IF($BZ$115&gt;$AV192,IF($BZ$115&lt;$AV193+0.1,"X",""),"")</f>
        <v/>
      </c>
      <c r="BB123" s="64" t="n"/>
      <c r="BC123" s="238">
        <f>IF($BZ$115&gt;$AV192,IF($BZ$115&lt;$AV193+0.1,"X",""),"")</f>
        <v/>
      </c>
      <c r="BD123" s="197">
        <f>IF($BH172&lt;$BG$135,IF($BH172&gt;$BH173,"&gt;",""),"")</f>
        <v/>
      </c>
      <c r="BE123" s="64" t="n"/>
      <c r="BF123" s="64" t="n"/>
      <c r="BG123" s="463">
        <f>IF(VLOOKUP(32,Formations!$A$3:$C$25,1)=32,VLOOKUP(32,Formations!$A$3:$C$25,2)," ")</f>
        <v/>
      </c>
      <c r="BH123">
        <f>IF(VLOOKUP(32,Formations!$A$3:$C$25,1)=32,VLOOKUP(32,Formations!$A$3:$C$25,3)," ")</f>
        <v/>
      </c>
      <c r="BL123" s="64">
        <f>'Casing Review'!C57</f>
        <v/>
      </c>
      <c r="BM123" s="64">
        <f>IF('Casing Review'!B69=0,"'' Casing","'' Liner")</f>
        <v/>
      </c>
      <c r="BN123" s="64" t="n"/>
      <c r="BO123" s="64" t="n"/>
      <c r="BP123" s="164">
        <f>IF($BM172&lt;$BL$135,IF($BM172&gt;$BM173,"&lt;",""),"")</f>
        <v/>
      </c>
      <c r="BQ123" s="164">
        <f>IF($BY172&lt;$BX$135,IF($BY172&gt;$BY173,"&lt;",""),"")</f>
        <v/>
      </c>
      <c r="BR123" s="238">
        <f>IF($BZ$115&gt;$BM214,IF($BZ$115&lt;$BM215+0.1,"X",""),"")</f>
        <v/>
      </c>
      <c r="BS123" s="64" t="n"/>
      <c r="BT123" s="238">
        <f>IF($BZ$115&gt;$BM214,IF($BZ$115&lt;$BM215+0.1,"X",""),"")</f>
        <v/>
      </c>
      <c r="BU123" s="196">
        <f>IF($BY172&lt;$BX$135,IF($BY172&gt;$BY173,"&gt;",""),"")</f>
        <v/>
      </c>
      <c r="BV123" s="196">
        <f>IF($BM172&lt;$BL$135,IF($BM172&gt;$BM173,"&gt;",""),"")</f>
        <v/>
      </c>
      <c r="BW123" s="64" t="n"/>
      <c r="BX123" s="463">
        <f>IF(VLOOKUP(32,Formations!$A$3:$C$25,1)=32,VLOOKUP(32,Formations!$A$3:$C$25,2)," ")</f>
        <v/>
      </c>
      <c r="BY123">
        <f>IF(VLOOKUP(32,Formations!$A$3:$C$25,1)=32,VLOOKUP(32,Formations!$A$3:$C$25,3)," ")</f>
        <v/>
      </c>
      <c r="CC123" s="64">
        <f>'Casing Review'!C27</f>
        <v/>
      </c>
      <c r="CD123" s="113" t="inlineStr">
        <is>
          <t>" Casing</t>
        </is>
      </c>
      <c r="CH123" s="64" t="n"/>
      <c r="CI123" s="194" t="n"/>
      <c r="CK123" s="195" t="n"/>
      <c r="CL123" s="64" t="n"/>
      <c r="CO123" s="463">
        <f>IF(VLOOKUP(32,Formations!$A$3:$C$25,1)=32,VLOOKUP(32,Formations!$A$3:$C$25,2)," ")</f>
        <v/>
      </c>
      <c r="CP123">
        <f>IF(VLOOKUP(32,Formations!$A$3:$C$25,1)=32,VLOOKUP(32,Formations!$A$3:$C$25,3)," ")</f>
        <v/>
      </c>
    </row>
    <row r="124">
      <c r="A124" s="178" t="n"/>
      <c r="B124" s="64" t="n"/>
      <c r="C124" s="64" t="n"/>
      <c r="D124" s="34" t="n"/>
      <c r="E124" s="64" t="n"/>
      <c r="F124" s="64" t="n"/>
      <c r="G124" s="64" t="n"/>
      <c r="H124" s="64" t="n"/>
      <c r="I124" s="64" t="n"/>
      <c r="J124" s="64" t="n"/>
      <c r="K124" s="64" t="n"/>
      <c r="L124" s="64" t="n"/>
      <c r="M124" s="64" t="n"/>
      <c r="N124" s="64" t="n"/>
      <c r="O124" s="64" t="n"/>
      <c r="P124" s="277" t="n"/>
      <c r="Q124" s="277" t="n"/>
      <c r="R124" s="277" t="n"/>
      <c r="S124" s="277" t="n"/>
      <c r="T124" s="277" t="n"/>
      <c r="U124" s="277" t="n"/>
      <c r="V124" s="277" t="n"/>
      <c r="W124" s="277" t="n"/>
      <c r="X124" s="277" t="n"/>
      <c r="Y124" s="277" t="n"/>
      <c r="Z124" s="277" t="n"/>
      <c r="AA124" s="189" t="n"/>
      <c r="AB124" s="105" t="n"/>
      <c r="AC124" s="64" t="n"/>
      <c r="AD124" s="110">
        <f>MAX('Casing Review'!$D$42:$D$46)</f>
        <v/>
      </c>
      <c r="AE124" s="111" t="inlineStr">
        <is>
          <t>'  MD</t>
        </is>
      </c>
      <c r="AF124" s="64" t="n"/>
      <c r="AG124" s="64" t="n"/>
      <c r="AH124" s="64" t="n"/>
      <c r="AI124" s="64" t="n"/>
      <c r="AJ124" s="64" t="n"/>
      <c r="AK124" s="198" t="n"/>
      <c r="AL124" s="64" t="n"/>
      <c r="AM124" s="64" t="n"/>
      <c r="AN124" s="64" t="n"/>
      <c r="AO124" s="64" t="n"/>
      <c r="AP124" s="64" t="n"/>
      <c r="AQ124" s="463">
        <f>IF(VLOOKUP(33,Formations!$A$3:$C$25,1)=33,VLOOKUP(33,Formations!$A$3:$C$25,2)," ")</f>
        <v/>
      </c>
      <c r="AR124">
        <f>IF(VLOOKUP(33,Formations!$A$3:$C$25,1)=33,VLOOKUP(33,Formations!$A$3:$C$25,3)," ")</f>
        <v/>
      </c>
      <c r="AU124" s="110">
        <f>MAX('Casing Review'!$D$57:$D$61)</f>
        <v/>
      </c>
      <c r="AV124" s="111" t="inlineStr">
        <is>
          <t>'  MD</t>
        </is>
      </c>
      <c r="AW124" s="64" t="n"/>
      <c r="AX124" s="64" t="n"/>
      <c r="AY124" s="64" t="n"/>
      <c r="AZ124" s="197">
        <f>IF($BH173&lt;$BG$135,IF($BH173&gt;$BH174,"&lt;",""),"")</f>
        <v/>
      </c>
      <c r="BA124" s="238">
        <f>IF($BZ$115&gt;$AV193,IF($BZ$115&lt;$AV194+0.1,"X",""),"")</f>
        <v/>
      </c>
      <c r="BB124" s="64" t="n"/>
      <c r="BC124" s="238">
        <f>IF($BZ$115&gt;$AV193,IF($BZ$115&lt;$AV194+0.1,"X",""),"")</f>
        <v/>
      </c>
      <c r="BD124" s="197">
        <f>IF($BH173&lt;$BG$135,IF($BH173&gt;$BH174,"&gt;",""),"")</f>
        <v/>
      </c>
      <c r="BE124" s="64" t="n"/>
      <c r="BF124" s="64" t="n"/>
      <c r="BG124" s="463">
        <f>IF(VLOOKUP(33,Formations!$A$3:$C$25,1)=33,VLOOKUP(33,Formations!$A$3:$C$25,2)," ")</f>
        <v/>
      </c>
      <c r="BH124">
        <f>IF(VLOOKUP(33,Formations!$A$3:$C$25,1)=33,VLOOKUP(33,Formations!$A$3:$C$25,3)," ")</f>
        <v/>
      </c>
      <c r="BL124" s="110">
        <f>MAX('Casing Review'!$D$57:$D$61)</f>
        <v/>
      </c>
      <c r="BM124" s="111" t="inlineStr">
        <is>
          <t>'  MD</t>
        </is>
      </c>
      <c r="BN124" s="64" t="n"/>
      <c r="BO124" s="64" t="n"/>
      <c r="BP124" s="164">
        <f>IF($BM173&lt;$BL$135,IF($BM173&gt;$BM174,"&lt;",""),"")</f>
        <v/>
      </c>
      <c r="BQ124" s="164">
        <f>IF($BY173&lt;$BX$135,IF($BY173&gt;$BY174,"&lt;",""),"")</f>
        <v/>
      </c>
      <c r="BR124" s="238">
        <f>IF($BZ$115&gt;$BM215,IF($BZ$115&lt;$BM216+0.1,"X",""),"")</f>
        <v/>
      </c>
      <c r="BS124" s="64" t="n"/>
      <c r="BT124" s="238">
        <f>IF($BZ$115&gt;$BM215,IF($BZ$115&lt;$BM216+0.1,"X",""),"")</f>
        <v/>
      </c>
      <c r="BU124" s="196">
        <f>IF($BY173&lt;$BX$135,IF($BY173&gt;$BY174,"&gt;",""),"")</f>
        <v/>
      </c>
      <c r="BV124" s="196">
        <f>IF($BM173&lt;$BL$135,IF($BM173&gt;$BM174,"&gt;",""),"")</f>
        <v/>
      </c>
      <c r="BW124" s="64" t="n"/>
      <c r="BX124" s="463">
        <f>IF(VLOOKUP(33,Formations!$A$3:$C$25,1)=33,VLOOKUP(33,Formations!$A$3:$C$25,2)," ")</f>
        <v/>
      </c>
      <c r="BY124">
        <f>IF(VLOOKUP(33,Formations!$A$3:$C$25,1)=33,VLOOKUP(33,Formations!$A$3:$C$25,3)," ")</f>
        <v/>
      </c>
      <c r="CC124" s="110">
        <f>MAX('Casing Review'!$D$27:$D$32)</f>
        <v/>
      </c>
      <c r="CD124" s="111" t="inlineStr">
        <is>
          <t>'  MD</t>
        </is>
      </c>
      <c r="CH124" s="64" t="n"/>
      <c r="CI124" s="194" t="n"/>
      <c r="CK124" s="195" t="n"/>
      <c r="CL124" s="64" t="n"/>
      <c r="CO124" s="463">
        <f>IF(VLOOKUP(33,Formations!$A$3:$C$25,1)=33,VLOOKUP(33,Formations!$A$3:$C$25,2)," ")</f>
        <v/>
      </c>
      <c r="CP124">
        <f>IF(VLOOKUP(33,Formations!$A$3:$C$25,1)=33,VLOOKUP(33,Formations!$A$3:$C$25,3)," ")</f>
        <v/>
      </c>
    </row>
    <row r="125">
      <c r="A125" s="281" t="n"/>
      <c r="B125" s="64" t="n"/>
      <c r="C125" s="64" t="n"/>
      <c r="D125" s="34" t="n"/>
      <c r="E125" s="64" t="n"/>
      <c r="F125" s="64" t="n"/>
      <c r="G125" s="64" t="n"/>
      <c r="H125" s="64" t="n"/>
      <c r="I125" s="64" t="n"/>
      <c r="J125" s="64" t="n"/>
      <c r="K125" s="64" t="n"/>
      <c r="L125" s="64" t="n"/>
      <c r="M125" s="64" t="n"/>
      <c r="N125" s="64" t="n"/>
      <c r="O125" s="64" t="n"/>
      <c r="P125" s="277" t="n"/>
      <c r="Q125" s="277" t="n"/>
      <c r="R125" s="277" t="n"/>
      <c r="S125" s="277" t="n"/>
      <c r="T125" s="277" t="n"/>
      <c r="U125" s="277" t="n"/>
      <c r="V125" s="277" t="n"/>
      <c r="W125" s="277" t="n"/>
      <c r="X125" s="277" t="n"/>
      <c r="Y125" s="277" t="n"/>
      <c r="Z125" s="277" t="n"/>
      <c r="AA125" s="190" t="n"/>
      <c r="AB125" s="106" t="n"/>
      <c r="AC125" s="64" t="n"/>
      <c r="AD125" s="112">
        <f>'Casing Review'!$B$49</f>
        <v/>
      </c>
      <c r="AE125" s="111" t="inlineStr">
        <is>
          <t xml:space="preserve">' TVD </t>
        </is>
      </c>
      <c r="AF125" s="64" t="n"/>
      <c r="AG125" s="64" t="n"/>
      <c r="AH125" s="64" t="n"/>
      <c r="AI125" s="64" t="n"/>
      <c r="AJ125" s="64" t="n"/>
      <c r="AK125" s="198" t="n"/>
      <c r="AL125" s="64" t="n"/>
      <c r="AM125" s="64" t="n"/>
      <c r="AN125" s="64" t="n"/>
      <c r="AO125" s="64" t="n"/>
      <c r="AP125" s="64" t="n"/>
      <c r="AQ125" s="463">
        <f>IF(VLOOKUP(34,Formations!$A$3:$C$25,1)=34,VLOOKUP(34,Formations!$A$3:$C$25,2)," ")</f>
        <v/>
      </c>
      <c r="AR125">
        <f>IF(VLOOKUP(34,Formations!$A$3:$C$25,1)=34,VLOOKUP(34,Formations!$A$3:$C$25,3)," ")</f>
        <v/>
      </c>
      <c r="AU125" s="112">
        <f>'Casing Review'!$B$64</f>
        <v/>
      </c>
      <c r="AV125" s="111" t="inlineStr">
        <is>
          <t xml:space="preserve">' TVD </t>
        </is>
      </c>
      <c r="AW125" s="64" t="n"/>
      <c r="AX125" s="64" t="n"/>
      <c r="AY125" s="64" t="n"/>
      <c r="AZ125" s="197">
        <f>IF($BH174&lt;$BG$135,IF($BH174&gt;$BH175,"&lt;",""),"")</f>
        <v/>
      </c>
      <c r="BA125" s="238">
        <f>IF($BZ$115&gt;$AV194,IF($BZ$115&lt;$AV195+0.1,"X",""),"")</f>
        <v/>
      </c>
      <c r="BB125" s="64" t="n"/>
      <c r="BC125" s="238">
        <f>IF($BZ$115&gt;$AV194,IF($BZ$115&lt;$AV195+0.1,"X",""),"")</f>
        <v/>
      </c>
      <c r="BD125" s="197">
        <f>IF($BH174&lt;$BG$135,IF($BH174&gt;$BH175,"&gt;",""),"")</f>
        <v/>
      </c>
      <c r="BE125" s="64" t="n"/>
      <c r="BF125" s="64" t="n"/>
      <c r="BG125" s="463">
        <f>IF(VLOOKUP(34,Formations!$A$3:$C$25,1)=34,VLOOKUP(34,Formations!$A$3:$C$25,2)," ")</f>
        <v/>
      </c>
      <c r="BH125">
        <f>IF(VLOOKUP(34,Formations!$A$3:$C$25,1)=34,VLOOKUP(34,Formations!$A$3:$C$25,3)," ")</f>
        <v/>
      </c>
      <c r="BL125" s="112">
        <f>'Casing Review'!$B$64</f>
        <v/>
      </c>
      <c r="BM125" s="111" t="inlineStr">
        <is>
          <t xml:space="preserve">' TVD </t>
        </is>
      </c>
      <c r="BN125" s="64" t="n"/>
      <c r="BO125" s="64" t="n"/>
      <c r="BP125" s="64" t="n"/>
      <c r="BQ125" s="164">
        <f>IF($BY174&lt;$BX$135,IF($BY174&gt;$BY175,"&lt;",""),"")</f>
        <v/>
      </c>
      <c r="BR125" s="238">
        <f>IF($BZ$115&gt;$BM216,IF($BZ$115&lt;$BM217+0.1,"X",""),"")</f>
        <v/>
      </c>
      <c r="BS125" s="64" t="n"/>
      <c r="BT125" s="238">
        <f>IF($BZ$115&gt;$BM216,IF($BZ$115&lt;$BM217+0.1,"X",""),"")</f>
        <v/>
      </c>
      <c r="BU125" s="196">
        <f>IF($BY174&lt;$BX$135,IF($BY174&gt;$BY175,"&gt;",""),"")</f>
        <v/>
      </c>
      <c r="BV125" s="64" t="n"/>
      <c r="BW125" s="64" t="n"/>
      <c r="BX125" s="463">
        <f>IF(VLOOKUP(34,Formations!$A$3:$C$25,1)=34,VLOOKUP(34,Formations!$A$3:$C$25,2)," ")</f>
        <v/>
      </c>
      <c r="BY125">
        <f>IF(VLOOKUP(34,Formations!$A$3:$C$25,1)=34,VLOOKUP(34,Formations!$A$3:$C$25,3)," ")</f>
        <v/>
      </c>
      <c r="CC125" s="112">
        <f>'Casing Review'!$B$34</f>
        <v/>
      </c>
      <c r="CD125" s="111" t="inlineStr">
        <is>
          <t xml:space="preserve">' TVD </t>
        </is>
      </c>
      <c r="CH125" s="64" t="n"/>
      <c r="CI125" s="194" t="n"/>
      <c r="CK125" s="195" t="n"/>
      <c r="CL125" s="64" t="n"/>
      <c r="CO125" s="463">
        <f>IF(VLOOKUP(34,Formations!$A$3:$C$25,1)=34,VLOOKUP(34,Formations!$A$3:$C$25,2)," ")</f>
        <v/>
      </c>
      <c r="CP125">
        <f>IF(VLOOKUP(34,Formations!$A$3:$C$25,1)=34,VLOOKUP(34,Formations!$A$3:$C$25,3)," ")</f>
        <v/>
      </c>
    </row>
    <row r="126">
      <c r="A126" s="64" t="n"/>
      <c r="B126" s="64" t="n"/>
      <c r="C126" s="64" t="n"/>
      <c r="D126" s="34" t="n"/>
      <c r="E126" s="64" t="n"/>
      <c r="F126" s="64" t="n"/>
      <c r="G126" s="64" t="n"/>
      <c r="H126" s="64" t="n"/>
      <c r="I126" s="64" t="n"/>
      <c r="J126" s="64" t="n"/>
      <c r="K126" s="64" t="n"/>
      <c r="L126" s="64" t="n"/>
      <c r="M126" s="64" t="n"/>
      <c r="N126" s="64" t="n"/>
      <c r="O126" s="64" t="n"/>
      <c r="P126" s="277" t="n"/>
      <c r="Q126" s="277" t="n"/>
      <c r="R126" s="277" t="n"/>
      <c r="S126" s="277" t="n"/>
      <c r="T126" s="277" t="n"/>
      <c r="U126" s="277" t="n"/>
      <c r="V126" s="277" t="n"/>
      <c r="W126" s="277" t="n"/>
      <c r="X126" s="277" t="n"/>
      <c r="Y126" s="277" t="n"/>
      <c r="Z126" s="277" t="n"/>
      <c r="AA126" s="191" t="n"/>
      <c r="AB126" s="105" t="n"/>
      <c r="AC126" s="64" t="n"/>
      <c r="AD126" s="112">
        <f>'Casing Review'!$R$42</f>
        <v/>
      </c>
      <c r="AE126" s="111" t="inlineStr">
        <is>
          <t>' TOC</t>
        </is>
      </c>
      <c r="AF126" s="64" t="n"/>
      <c r="AG126" s="64" t="n"/>
      <c r="AH126" s="64" t="n"/>
      <c r="AI126" s="64" t="n"/>
      <c r="AJ126" s="64" t="n"/>
      <c r="AK126" s="198" t="n"/>
      <c r="AL126" s="64" t="n"/>
      <c r="AM126" s="64" t="n"/>
      <c r="AN126" s="64" t="n"/>
      <c r="AO126" s="64" t="n"/>
      <c r="AP126" s="64" t="n"/>
      <c r="AQ126" s="463">
        <f>IF(VLOOKUP(35,Formations!$A$3:$C$25,1)=35,VLOOKUP(35,Formations!$A$3:$C$25,2)," ")</f>
        <v/>
      </c>
      <c r="AR126">
        <f>IF(VLOOKUP(35,Formations!$A$3:$C$25,1)=35,VLOOKUP(35,Formations!$A$3:$C$25,3)," ")</f>
        <v/>
      </c>
      <c r="AU126" s="112">
        <f>'Casing Review'!$R$57</f>
        <v/>
      </c>
      <c r="AV126" s="111" t="inlineStr">
        <is>
          <t>' TOC</t>
        </is>
      </c>
      <c r="AW126" s="64" t="n"/>
      <c r="AX126" s="64" t="n"/>
      <c r="AY126" s="64" t="n"/>
      <c r="AZ126" s="197">
        <f>IF($BH175&lt;$BG$135,IF($BH175&gt;$BH176,"&lt;",""),"")</f>
        <v/>
      </c>
      <c r="BA126" s="238">
        <f>IF($BZ$115&gt;$AV195,IF($BZ$115&lt;$AV196+0.1,"X",""),"")</f>
        <v/>
      </c>
      <c r="BB126" s="64" t="n"/>
      <c r="BC126" s="238">
        <f>IF($BZ$115&gt;$AV195,IF($BZ$115&lt;$AV196+0.1,"X",""),"")</f>
        <v/>
      </c>
      <c r="BD126" s="197">
        <f>IF($BH175&lt;$BG$135,IF($BH175&gt;$BH176,"&gt;",""),"")</f>
        <v/>
      </c>
      <c r="BE126" s="64" t="n"/>
      <c r="BF126" s="64" t="n"/>
      <c r="BG126" s="463">
        <f>IF(VLOOKUP(35,Formations!$A$3:$C$25,1)=35,VLOOKUP(35,Formations!$A$3:$C$25,2)," ")</f>
        <v/>
      </c>
      <c r="BH126">
        <f>IF(VLOOKUP(35,Formations!$A$3:$C$25,1)=35,VLOOKUP(35,Formations!$A$3:$C$25,3)," ")</f>
        <v/>
      </c>
      <c r="BL126" s="112">
        <f>'Casing Review'!$R$57</f>
        <v/>
      </c>
      <c r="BM126" s="111" t="inlineStr">
        <is>
          <t>' TOC</t>
        </is>
      </c>
      <c r="BN126" s="64" t="n"/>
      <c r="BO126" s="64" t="n"/>
      <c r="BP126" s="64" t="n"/>
      <c r="BQ126" s="164">
        <f>IF($BY175&lt;$BX$135,IF($BY175&gt;$BY176,"&lt;",""),"")</f>
        <v/>
      </c>
      <c r="BR126" s="238">
        <f>IF($BZ$115&gt;$BM217,IF($BZ$115&lt;$BM218+0.1,"X",""),"")</f>
        <v/>
      </c>
      <c r="BS126" s="64" t="n"/>
      <c r="BT126" s="238">
        <f>IF($BZ$115&gt;$BM217,IF($BZ$115&lt;$BM218+0.1,"X",""),"")</f>
        <v/>
      </c>
      <c r="BU126" s="196">
        <f>IF($BY175&lt;$BX$135,IF($BY175&gt;$BY176,"&gt;",""),"")</f>
        <v/>
      </c>
      <c r="BV126" s="64" t="n"/>
      <c r="BW126" s="64" t="n"/>
      <c r="BX126" s="463">
        <f>IF(VLOOKUP(35,Formations!$A$3:$C$25,1)=35,VLOOKUP(35,Formations!$A$3:$C$25,2)," ")</f>
        <v/>
      </c>
      <c r="BY126">
        <f>IF(VLOOKUP(35,Formations!$A$3:$C$25,1)=35,VLOOKUP(35,Formations!$A$3:$C$25,3)," ")</f>
        <v/>
      </c>
      <c r="CC126" s="112">
        <f>'Casing Review'!$R$27</f>
        <v/>
      </c>
      <c r="CD126" s="111" t="inlineStr">
        <is>
          <t>' TOC</t>
        </is>
      </c>
      <c r="CH126" s="64" t="n"/>
      <c r="CI126" s="194" t="n"/>
      <c r="CK126" s="195" t="n"/>
      <c r="CL126" s="64" t="n"/>
      <c r="CO126" s="463">
        <f>IF(VLOOKUP(35,Formations!$A$3:$C$25,1)=35,VLOOKUP(35,Formations!$A$3:$C$25,2)," ")</f>
        <v/>
      </c>
      <c r="CP126">
        <f>IF(VLOOKUP(35,Formations!$A$3:$C$25,1)=35,VLOOKUP(35,Formations!$A$3:$C$25,3)," ")</f>
        <v/>
      </c>
    </row>
    <row r="127">
      <c r="A127" s="178" t="n"/>
      <c r="B127" s="64" t="n"/>
      <c r="C127" s="64" t="n"/>
      <c r="D127" s="34" t="n"/>
      <c r="E127" s="64" t="n"/>
      <c r="F127" s="64" t="n"/>
      <c r="G127" s="64" t="n"/>
      <c r="H127" s="64" t="n"/>
      <c r="I127" s="64" t="n"/>
      <c r="J127" s="64" t="n"/>
      <c r="K127" s="64" t="n"/>
      <c r="L127" s="64" t="n"/>
      <c r="M127" s="64" t="n"/>
      <c r="N127" s="64" t="n"/>
      <c r="O127" s="64" t="n"/>
      <c r="P127" s="277" t="n"/>
      <c r="Q127" s="64" t="n"/>
      <c r="R127" s="64" t="n"/>
      <c r="S127" s="107" t="n"/>
      <c r="T127" s="64" t="n"/>
      <c r="U127" s="64" t="n"/>
      <c r="V127" s="64" t="n"/>
      <c r="W127" s="64" t="n"/>
      <c r="X127" s="64" t="n"/>
      <c r="Y127" s="64" t="n"/>
      <c r="Z127" s="64" t="n"/>
      <c r="AA127" s="64" t="n"/>
      <c r="AB127" s="108" t="n"/>
      <c r="AC127" s="64" t="n"/>
      <c r="AD127" s="112">
        <f>'Casing Review'!$R$43</f>
        <v/>
      </c>
      <c r="AE127" s="134" t="inlineStr">
        <is>
          <t>' Tail</t>
        </is>
      </c>
      <c r="AF127" s="64" t="n"/>
      <c r="AG127" s="64" t="n"/>
      <c r="AH127" s="64" t="n"/>
      <c r="AI127" s="64" t="n"/>
      <c r="AJ127" s="64" t="n"/>
      <c r="AK127" s="198" t="n"/>
      <c r="AL127" s="64" t="n"/>
      <c r="AM127" s="64" t="n"/>
      <c r="AN127" s="64" t="n"/>
      <c r="AO127" s="64" t="n"/>
      <c r="AP127" s="64" t="n"/>
      <c r="AQ127" s="463">
        <f>IF(VLOOKUP(36,Formations!$A$3:$C$25,1)=36,VLOOKUP(36,Formations!$A$3:$C$25,2)," ")</f>
        <v/>
      </c>
      <c r="AR127">
        <f>IF(VLOOKUP(36,Formations!$A$3:$C$25,1)=36,VLOOKUP(36,Formations!$A$3:$C$25,3)," ")</f>
        <v/>
      </c>
      <c r="AU127" s="112">
        <f>'Casing Review'!$R$58</f>
        <v/>
      </c>
      <c r="AV127" s="134" t="inlineStr">
        <is>
          <t>' Tail</t>
        </is>
      </c>
      <c r="AZ127" s="197">
        <f>IF($BH176&lt;$BG$135,IF($BH176&gt;$BH177,"&lt;",""),"")</f>
        <v/>
      </c>
      <c r="BA127" s="238">
        <f>IF($BZ$115&gt;$AV196,IF($BZ$115&lt;$AV197+0.1,"X",""),"")</f>
        <v/>
      </c>
      <c r="BB127" s="64" t="n"/>
      <c r="BC127" s="238">
        <f>IF($BZ$115&gt;$AV196,IF($BZ$115&lt;$AV197+0.1,"X",""),"")</f>
        <v/>
      </c>
      <c r="BD127" s="197">
        <f>IF($BH176&lt;$BG$135,IF($BH176&gt;$BH177,"&gt;",""),"")</f>
        <v/>
      </c>
      <c r="BG127" s="463">
        <f>IF(VLOOKUP(36,Formations!$A$3:$C$25,1)=36,VLOOKUP(36,Formations!$A$3:$C$25,2)," ")</f>
        <v/>
      </c>
      <c r="BH127">
        <f>IF(VLOOKUP(36,Formations!$A$3:$C$25,1)=36,VLOOKUP(36,Formations!$A$3:$C$25,3)," ")</f>
        <v/>
      </c>
      <c r="BL127" s="112">
        <f>'Casing Review'!$R$58</f>
        <v/>
      </c>
      <c r="BM127" s="134" t="inlineStr">
        <is>
          <t>' Tail</t>
        </is>
      </c>
      <c r="BQ127" s="164">
        <f>IF($BY176&lt;$BX$135,IF($BY176&gt;$BY177,"&lt;",""),"")</f>
        <v/>
      </c>
      <c r="BR127" s="238">
        <f>IF($BZ$115&gt;$BM218,IF($BZ$115&lt;$BM219+0.1,"X",""),"")</f>
        <v/>
      </c>
      <c r="BS127" s="64" t="n"/>
      <c r="BT127" s="238">
        <f>IF($BZ$115&gt;$BM218,IF($BZ$115&lt;$BM219+0.1,"X",""),"")</f>
        <v/>
      </c>
      <c r="BU127" s="196">
        <f>IF($BY176&lt;$BX$135,IF($BY176&gt;$BY177,"&gt;",""),"")</f>
        <v/>
      </c>
      <c r="BX127" s="463">
        <f>IF(VLOOKUP(36,Formations!$A$3:$C$25,1)=36,VLOOKUP(36,Formations!$A$3:$C$25,2)," ")</f>
        <v/>
      </c>
      <c r="BY127">
        <f>IF(VLOOKUP(36,Formations!$A$3:$C$25,1)=36,VLOOKUP(36,Formations!$A$3:$C$25,3)," ")</f>
        <v/>
      </c>
      <c r="CC127" s="112">
        <f>'Casing Review'!$R$28</f>
        <v/>
      </c>
      <c r="CD127" s="134" t="inlineStr">
        <is>
          <t>' Tail</t>
        </is>
      </c>
      <c r="CH127" s="64" t="n"/>
      <c r="CI127" s="194" t="n"/>
      <c r="CK127" s="195" t="n"/>
      <c r="CL127" s="64" t="n"/>
      <c r="CO127" s="463">
        <f>IF(VLOOKUP(36,Formations!$A$3:$C$25,1)=36,VLOOKUP(36,Formations!$A$3:$C$25,2)," ")</f>
        <v/>
      </c>
      <c r="CP127">
        <f>IF(VLOOKUP(36,Formations!$A$3:$C$25,1)=36,VLOOKUP(36,Formations!$A$3:$C$25,3)," ")</f>
        <v/>
      </c>
    </row>
    <row r="128">
      <c r="A128" s="179" t="n"/>
      <c r="B128" s="64" t="n"/>
      <c r="C128" s="64" t="n"/>
      <c r="D128" s="104" t="n"/>
      <c r="E128" s="104" t="n"/>
      <c r="F128" s="64" t="n"/>
      <c r="G128" s="64" t="n"/>
      <c r="H128" s="64" t="n"/>
      <c r="I128" s="64" t="n"/>
      <c r="J128" s="64" t="n"/>
      <c r="K128" s="64" t="n"/>
      <c r="L128" s="64" t="n"/>
      <c r="M128" s="64" t="n"/>
      <c r="N128" s="64" t="n"/>
      <c r="O128" s="64" t="n"/>
      <c r="P128" s="64" t="n"/>
      <c r="Q128" s="64" t="n"/>
      <c r="R128" s="39" t="n"/>
      <c r="S128" s="192" t="n"/>
      <c r="T128" s="64" t="n"/>
      <c r="U128" s="64" t="n"/>
      <c r="V128" s="64" t="n"/>
      <c r="W128" s="64" t="n"/>
      <c r="X128" s="64" t="n"/>
      <c r="Y128" s="64" t="n"/>
      <c r="Z128" s="64" t="n"/>
      <c r="AA128" s="64" t="n"/>
      <c r="AB128" s="39" t="n"/>
      <c r="AC128" s="64" t="n"/>
      <c r="AD128" s="153">
        <f>'Casing Review'!B50</f>
        <v/>
      </c>
      <c r="AE128" s="39" t="inlineStr">
        <is>
          <t>% Washout</t>
        </is>
      </c>
      <c r="AF128" s="64" t="n"/>
      <c r="AG128" s="64" t="n"/>
      <c r="AH128" s="64" t="n"/>
      <c r="AI128" s="64" t="n"/>
      <c r="AJ128" s="164" t="inlineStr">
        <is>
          <t>&lt;</t>
        </is>
      </c>
      <c r="AK128" s="198" t="n"/>
      <c r="AL128" s="196" t="inlineStr">
        <is>
          <t>&gt;</t>
        </is>
      </c>
      <c r="AM128" s="64" t="n"/>
      <c r="AN128" s="64" t="n"/>
      <c r="AO128" s="64" t="n"/>
      <c r="AP128" s="64" t="n"/>
      <c r="AQ128" s="463">
        <f>IF(VLOOKUP(37,Formations!$A$3:$C$25,1)=37,VLOOKUP(37,Formations!$A$3:$C$25,2)," ")</f>
        <v/>
      </c>
      <c r="AR128">
        <f>IF(VLOOKUP(37,Formations!$A$3:$C$25,1)=37,VLOOKUP(37,Formations!$A$3:$C$25,3)," ")</f>
        <v/>
      </c>
      <c r="AU128" s="153">
        <f>BL128</f>
        <v/>
      </c>
      <c r="AV128" s="39" t="inlineStr">
        <is>
          <t>% Washout</t>
        </is>
      </c>
      <c r="BA128" s="164" t="inlineStr">
        <is>
          <t>&lt;</t>
        </is>
      </c>
      <c r="BB128" s="198" t="n"/>
      <c r="BC128" s="196" t="inlineStr">
        <is>
          <t>&gt;</t>
        </is>
      </c>
      <c r="BG128" s="463">
        <f>IF(VLOOKUP(37,Formations!$A$3:$C$25,1)=37,VLOOKUP(37,Formations!$A$3:$C$25,2)," ")</f>
        <v/>
      </c>
      <c r="BH128">
        <f>IF(VLOOKUP(37,Formations!$A$3:$C$25,1)=37,VLOOKUP(37,Formations!$A$3:$C$25,3)," ")</f>
        <v/>
      </c>
      <c r="BL128" s="153">
        <f>'Casing Review'!B65</f>
        <v/>
      </c>
      <c r="BM128" s="39" t="inlineStr">
        <is>
          <t>% Washout</t>
        </is>
      </c>
      <c r="BR128" s="164" t="inlineStr">
        <is>
          <t>&lt;</t>
        </is>
      </c>
      <c r="BS128" s="198" t="n"/>
      <c r="BT128" s="196" t="inlineStr">
        <is>
          <t>&gt;</t>
        </is>
      </c>
      <c r="BX128" s="463">
        <f>IF(VLOOKUP(37,Formations!$A$3:$C$25,1)=37,VLOOKUP(37,Formations!$A$3:$C$25,2)," ")</f>
        <v/>
      </c>
      <c r="BY128">
        <f>IF(VLOOKUP(37,Formations!$A$3:$C$25,1)=37,VLOOKUP(37,Formations!$A$3:$C$25,3)," ")</f>
        <v/>
      </c>
      <c r="CC128" s="153">
        <f>'Casing Review'!B35</f>
        <v/>
      </c>
      <c r="CD128" s="39" t="inlineStr">
        <is>
          <t>% Washout</t>
        </is>
      </c>
      <c r="CH128" s="164" t="inlineStr">
        <is>
          <t>&lt;</t>
        </is>
      </c>
      <c r="CI128" s="194" t="n"/>
      <c r="CK128" s="195" t="n"/>
      <c r="CL128" s="196" t="inlineStr">
        <is>
          <t>&gt;</t>
        </is>
      </c>
      <c r="CO128" s="463">
        <f>IF(VLOOKUP(37,Formations!$A$3:$C$25,1)=37,VLOOKUP(37,Formations!$A$3:$C$25,2)," ")</f>
        <v/>
      </c>
      <c r="CP128">
        <f>IF(VLOOKUP(37,Formations!$A$3:$C$25,1)=37,VLOOKUP(37,Formations!$A$3:$C$25,3)," ")</f>
        <v/>
      </c>
    </row>
    <row r="129">
      <c r="A129" s="64" t="n"/>
      <c r="B129" s="64" t="n"/>
      <c r="C129" s="64" t="n"/>
      <c r="D129" s="34" t="n"/>
      <c r="E129" s="64" t="n"/>
      <c r="F129" s="64" t="n"/>
      <c r="G129" s="64"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c r="AB129" s="39" t="n"/>
      <c r="AC129" s="64" t="n"/>
      <c r="AD129" s="153">
        <f>'Casing Review'!$B$42</f>
        <v/>
      </c>
      <c r="AE129" s="152" t="inlineStr">
        <is>
          <t>" Hole</t>
        </is>
      </c>
      <c r="AG129" s="64" t="n"/>
      <c r="AH129" s="64" t="n"/>
      <c r="AI129" s="64" t="n"/>
      <c r="AJ129" s="64" t="n"/>
      <c r="AK129" s="64" t="n"/>
      <c r="AL129" s="64" t="n"/>
      <c r="AM129" s="64" t="n"/>
      <c r="AN129" s="64" t="n"/>
      <c r="AO129" s="64" t="n"/>
      <c r="AP129" s="64" t="n"/>
      <c r="AQ129">
        <f>IF(VLOOKUP(38,Formations!$A$3:$C$25,1)=38,VLOOKUP(38,Formations!$A$3:$C$25,2)," ")</f>
        <v/>
      </c>
      <c r="AR129">
        <f>IF(VLOOKUP(38,Formations!$A$3:$C$25,1)=38,VLOOKUP(38,Formations!$A$3:$C$25,3)," ")</f>
        <v/>
      </c>
      <c r="AU129" s="153">
        <f>'Casing Review'!$B$57</f>
        <v/>
      </c>
      <c r="AV129" s="152" t="inlineStr">
        <is>
          <t>" Hole</t>
        </is>
      </c>
      <c r="BG129">
        <f>IF(VLOOKUP(38,Formations!$A$3:$C$25,1)=38,VLOOKUP(38,Formations!$A$3:$C$25,2)," ")</f>
        <v/>
      </c>
      <c r="BH129">
        <f>IF(VLOOKUP(38,Formations!$A$3:$C$25,1)=38,VLOOKUP(38,Formations!$A$3:$C$25,3)," ")</f>
        <v/>
      </c>
      <c r="BL129" s="153">
        <f>'Casing Review'!$B$57</f>
        <v/>
      </c>
      <c r="BM129" s="152" t="inlineStr">
        <is>
          <t>" Hole</t>
        </is>
      </c>
      <c r="BX129">
        <f>IF(VLOOKUP(38,Formations!$A$3:$C$25,1)=38,VLOOKUP(38,Formations!$A$3:$C$25,2)," ")</f>
        <v/>
      </c>
      <c r="BY129">
        <f>IF(VLOOKUP(38,Formations!$A$3:$C$25,1)=38,VLOOKUP(38,Formations!$A$3:$C$25,3)," ")</f>
        <v/>
      </c>
      <c r="CC129" s="153">
        <f>'Casing Review'!$B$27</f>
        <v/>
      </c>
      <c r="CD129" s="152" t="inlineStr">
        <is>
          <t>" Hole</t>
        </is>
      </c>
      <c r="CO129">
        <f>IF(VLOOKUP(38,Formations!$A$3:$C$25,1)=38,VLOOKUP(38,Formations!$A$3:$C$25,2)," ")</f>
        <v/>
      </c>
      <c r="CP129">
        <f>IF(VLOOKUP(38,Formations!$A$3:$C$25,1)=38,VLOOKUP(38,Formations!$A$3:$C$25,3)," ")</f>
        <v/>
      </c>
    </row>
    <row r="130">
      <c r="AG130" s="449" t="n"/>
      <c r="AH130" s="619">
        <f>DxSurvey!$U$50</f>
        <v/>
      </c>
      <c r="AJ130" s="618">
        <f>DxSurvey!$V$50</f>
        <v/>
      </c>
      <c r="AL130" s="619">
        <f>DxSurvey!$W$50</f>
        <v/>
      </c>
      <c r="AN130" s="618">
        <f>DxSurvey!$X$50</f>
        <v/>
      </c>
      <c r="AQ130" s="618">
        <f>IF('Casing Review'!$E$9="y","Calc. BHL","")</f>
        <v/>
      </c>
      <c r="AW130" s="449" t="n"/>
      <c r="AX130" s="619">
        <f>AH130</f>
        <v/>
      </c>
      <c r="AZ130" s="618">
        <f>AJ130</f>
        <v/>
      </c>
      <c r="BB130" s="619">
        <f>AL130</f>
        <v/>
      </c>
      <c r="BD130" s="618">
        <f>AN130</f>
        <v/>
      </c>
      <c r="BG130" s="618">
        <f>IF('Casing Review'!$E$9="y","Calc. BHL","")</f>
        <v/>
      </c>
      <c r="BN130" s="449" t="n"/>
      <c r="BO130" s="619">
        <f>AH130</f>
        <v/>
      </c>
      <c r="BQ130" s="618">
        <f>AJ130</f>
        <v/>
      </c>
      <c r="BS130" s="619">
        <f>AL130</f>
        <v/>
      </c>
      <c r="BU130" s="618">
        <f>AN130</f>
        <v/>
      </c>
      <c r="BX130" s="618">
        <f>IF('Casing Review'!$E$9="y","Calc. BHL","")</f>
        <v/>
      </c>
      <c r="CF130" s="619">
        <f>AH130</f>
        <v/>
      </c>
      <c r="CH130" s="618">
        <f>AJ130</f>
        <v/>
      </c>
      <c r="CJ130" s="619">
        <f>AL130</f>
        <v/>
      </c>
      <c r="CL130" s="618">
        <f>AN130</f>
        <v/>
      </c>
      <c r="CO130" s="618">
        <f>IF('Casing Review'!$E$9="y","Calc. BHL","")</f>
        <v/>
      </c>
    </row>
    <row r="131">
      <c r="AH131" s="619" t="n"/>
      <c r="AJ131" s="623" t="n"/>
      <c r="AL131" s="619" t="n"/>
      <c r="AN131" s="623" t="n"/>
      <c r="AX131" s="619" t="n"/>
      <c r="AZ131" s="618" t="n"/>
      <c r="BB131" s="619" t="n"/>
      <c r="BD131" s="618" t="n"/>
      <c r="BO131" s="619" t="n"/>
      <c r="BQ131" s="618" t="n"/>
      <c r="BS131" s="619" t="n"/>
      <c r="BU131" s="618" t="n"/>
      <c r="CF131" s="619" t="n"/>
      <c r="CH131" s="618" t="n"/>
      <c r="CJ131" s="619" t="n"/>
      <c r="CL131" s="618" t="n"/>
    </row>
    <row r="132">
      <c r="AE132" s="619">
        <f>'SHL Section'!$M$10</f>
        <v/>
      </c>
      <c r="AG132" s="618">
        <f>'SHL Section'!$N$10</f>
        <v/>
      </c>
      <c r="AI132" s="619">
        <f>'SHL Section'!$O$10</f>
        <v/>
      </c>
      <c r="AK132" s="618">
        <f>'SHL Section'!$P$10</f>
        <v/>
      </c>
      <c r="AM132" s="449">
        <f>'SHL Section'!$Q$10</f>
        <v/>
      </c>
      <c r="AN132" s="449">
        <f>'SHL Section'!$R$10</f>
        <v/>
      </c>
      <c r="AO132" s="449" t="n"/>
      <c r="AP132" s="449" t="n"/>
      <c r="AQ132" s="449">
        <f>'SHL Section'!$S$10</f>
        <v/>
      </c>
      <c r="AR132" t="inlineStr">
        <is>
          <t>Meridian</t>
        </is>
      </c>
      <c r="AV132" s="619">
        <f>AE132</f>
        <v/>
      </c>
      <c r="AW132" s="449">
        <f>AG132</f>
        <v/>
      </c>
      <c r="AX132" s="449" t="n"/>
      <c r="AY132" s="449" t="n"/>
      <c r="AZ132" s="449">
        <f>AI132</f>
        <v/>
      </c>
      <c r="BA132" s="449">
        <f>AK132</f>
        <v/>
      </c>
      <c r="BB132" s="449" t="n"/>
      <c r="BC132" s="449" t="n"/>
      <c r="BD132" s="449">
        <f>AM132</f>
        <v/>
      </c>
      <c r="BE132" s="449">
        <f>AN132</f>
        <v/>
      </c>
      <c r="BF132" s="449" t="n"/>
      <c r="BG132" s="449">
        <f>AQ132</f>
        <v/>
      </c>
      <c r="BH132" s="449">
        <f>AR132</f>
        <v/>
      </c>
      <c r="BI132" s="449" t="n"/>
      <c r="BM132" s="619">
        <f>'SHL Section'!$M$10</f>
        <v/>
      </c>
      <c r="BO132" s="618">
        <f>'SHL Section'!$N$10</f>
        <v/>
      </c>
      <c r="BQ132" s="619">
        <f>'SHL Section'!$O$10</f>
        <v/>
      </c>
      <c r="BS132" s="618">
        <f>'SHL Section'!$P$10</f>
        <v/>
      </c>
      <c r="BU132" s="449">
        <f>'SHL Section'!$Q$10</f>
        <v/>
      </c>
      <c r="BV132" s="449">
        <f>'SHL Section'!$R$10</f>
        <v/>
      </c>
      <c r="BW132" s="449" t="n"/>
      <c r="BX132" s="449">
        <f>'SHL Section'!$S$10</f>
        <v/>
      </c>
      <c r="BY132" t="inlineStr">
        <is>
          <t>Meridian</t>
        </is>
      </c>
      <c r="CD132" s="619">
        <f>'SHL Section'!$M$10</f>
        <v/>
      </c>
      <c r="CF132" s="618">
        <f>'SHL Section'!$N$10</f>
        <v/>
      </c>
      <c r="CH132" s="619">
        <f>'SHL Section'!$O$10</f>
        <v/>
      </c>
      <c r="CJ132" s="618">
        <f>'SHL Section'!$P$10</f>
        <v/>
      </c>
      <c r="CL132" s="449">
        <f>'SHL Section'!$Q$10</f>
        <v/>
      </c>
      <c r="CM132" s="449">
        <f>'SHL Section'!$R$10</f>
        <v/>
      </c>
      <c r="CN132" s="449" t="n"/>
      <c r="CO132" s="449">
        <f>'SHL Section'!$S$10</f>
        <v/>
      </c>
      <c r="CP132" t="inlineStr">
        <is>
          <t>Meridian</t>
        </is>
      </c>
    </row>
    <row r="134">
      <c r="AD134">
        <f>AD91</f>
        <v/>
      </c>
      <c r="AE134">
        <f>AE91</f>
        <v/>
      </c>
      <c r="AQ134">
        <f>AD102</f>
        <v/>
      </c>
      <c r="AR134">
        <f>AE102</f>
        <v/>
      </c>
      <c r="AU134">
        <f>AU91</f>
        <v/>
      </c>
      <c r="AV134">
        <f>AV91</f>
        <v/>
      </c>
      <c r="BG134">
        <f>AU111</f>
        <v/>
      </c>
      <c r="BH134">
        <f>AV111</f>
        <v/>
      </c>
      <c r="BL134">
        <f>BL99</f>
        <v/>
      </c>
      <c r="BM134">
        <f>BM99</f>
        <v/>
      </c>
      <c r="BX134">
        <f>BL111</f>
        <v/>
      </c>
      <c r="BY134">
        <f>BM111</f>
        <v/>
      </c>
      <c r="CC134">
        <f>CC98</f>
        <v/>
      </c>
      <c r="CD134">
        <f>CD98</f>
        <v/>
      </c>
      <c r="CO134">
        <f>CC123</f>
        <v/>
      </c>
      <c r="CP134">
        <f>CD123</f>
        <v/>
      </c>
    </row>
    <row r="135">
      <c r="AD135">
        <f>AD92</f>
        <v/>
      </c>
      <c r="AE135">
        <f>AE92</f>
        <v/>
      </c>
      <c r="AQ135">
        <f>AD103</f>
        <v/>
      </c>
      <c r="AR135">
        <f>AE103</f>
        <v/>
      </c>
      <c r="AU135">
        <f>AU92</f>
        <v/>
      </c>
      <c r="AV135">
        <f>AV92</f>
        <v/>
      </c>
      <c r="BG135">
        <f>AU112</f>
        <v/>
      </c>
      <c r="BH135">
        <f>AV112</f>
        <v/>
      </c>
      <c r="BL135">
        <f>BL100</f>
        <v/>
      </c>
      <c r="BM135">
        <f>BM100</f>
        <v/>
      </c>
      <c r="BX135">
        <f>BL112</f>
        <v/>
      </c>
      <c r="BY135">
        <f>BM112</f>
        <v/>
      </c>
      <c r="CC135">
        <f>CC99</f>
        <v/>
      </c>
      <c r="CD135">
        <f>CD99</f>
        <v/>
      </c>
      <c r="CO135">
        <f>CC124</f>
        <v/>
      </c>
      <c r="CP135">
        <f>CD124</f>
        <v/>
      </c>
    </row>
    <row r="136">
      <c r="AD136">
        <f>AD93</f>
        <v/>
      </c>
      <c r="AE136">
        <f>AE93</f>
        <v/>
      </c>
      <c r="AQ136" s="449">
        <f>AD104</f>
        <v/>
      </c>
      <c r="AR136">
        <f>AE104</f>
        <v/>
      </c>
      <c r="AU136">
        <f>AU93</f>
        <v/>
      </c>
      <c r="AV136">
        <f>AV93</f>
        <v/>
      </c>
      <c r="BG136" s="449">
        <f>AU113</f>
        <v/>
      </c>
      <c r="BH136">
        <f>AV113</f>
        <v/>
      </c>
      <c r="BL136" s="449">
        <f>BL101</f>
        <v/>
      </c>
      <c r="BM136">
        <f>BM101</f>
        <v/>
      </c>
      <c r="BX136" s="449">
        <f>BL113</f>
        <v/>
      </c>
      <c r="BY136">
        <f>BM113</f>
        <v/>
      </c>
      <c r="CC136">
        <f>CC100</f>
        <v/>
      </c>
      <c r="CD136">
        <f>CD100</f>
        <v/>
      </c>
      <c r="CO136">
        <f>CC125</f>
        <v/>
      </c>
      <c r="CP136">
        <f>CD125</f>
        <v/>
      </c>
    </row>
    <row r="137">
      <c r="AD137" s="449">
        <f>IF(AD94="Surface",0,AD94)</f>
        <v/>
      </c>
      <c r="AE137">
        <f>AE94</f>
        <v/>
      </c>
      <c r="AQ137" s="449">
        <f>IF(AD105="surface",0,AD105)</f>
        <v/>
      </c>
      <c r="AR137">
        <f>AE105</f>
        <v/>
      </c>
      <c r="AU137" s="449">
        <f>IF(AU94="Surface",0,AU94)</f>
        <v/>
      </c>
      <c r="AV137">
        <f>AV94</f>
        <v/>
      </c>
      <c r="BG137" s="449">
        <f>IF(AU114="surface",0,AU114)</f>
        <v/>
      </c>
      <c r="BH137">
        <f>AV114</f>
        <v/>
      </c>
      <c r="BL137" s="449">
        <f>IF(BL102="Surface",0,BL102)</f>
        <v/>
      </c>
      <c r="BM137">
        <f>BM102</f>
        <v/>
      </c>
      <c r="BX137" s="449">
        <f>IF(BL114="surface",0,BL114)</f>
        <v/>
      </c>
      <c r="BY137">
        <f>BM114</f>
        <v/>
      </c>
      <c r="CC137" s="449">
        <f>IF(CC101="Surface",0,CC101)</f>
        <v/>
      </c>
      <c r="CD137">
        <f>CD101</f>
        <v/>
      </c>
      <c r="CO137" s="449">
        <f>IF(CC126="Surface",0,CC126)</f>
        <v/>
      </c>
      <c r="CP137">
        <f>CD126</f>
        <v/>
      </c>
    </row>
    <row r="138">
      <c r="AD138" s="449">
        <f>AD95</f>
        <v/>
      </c>
      <c r="AE138">
        <f>AE95</f>
        <v/>
      </c>
      <c r="AQ138" s="449">
        <f>AD106</f>
        <v/>
      </c>
      <c r="AR138">
        <f>AE106</f>
        <v/>
      </c>
      <c r="AU138" s="449">
        <f>AU95</f>
        <v/>
      </c>
      <c r="AV138">
        <f>AV95</f>
        <v/>
      </c>
      <c r="BG138" s="449">
        <f>AU115</f>
        <v/>
      </c>
      <c r="BH138">
        <f>AV115</f>
        <v/>
      </c>
      <c r="BL138" s="449">
        <f>BL103</f>
        <v/>
      </c>
      <c r="BM138">
        <f>BM103</f>
        <v/>
      </c>
      <c r="BX138" s="449">
        <f>BL115</f>
        <v/>
      </c>
      <c r="BY138">
        <f>BM115</f>
        <v/>
      </c>
      <c r="CC138" s="449">
        <f>CC102</f>
        <v/>
      </c>
      <c r="CD138">
        <f>CD102</f>
        <v/>
      </c>
      <c r="CO138" s="449">
        <f>CC127</f>
        <v/>
      </c>
      <c r="CP138">
        <f>CD127</f>
        <v/>
      </c>
    </row>
    <row r="140">
      <c r="AD140" t="n">
        <v>1</v>
      </c>
      <c r="AE140" t="n">
        <v>0</v>
      </c>
      <c r="AQ140" t="n">
        <v>1</v>
      </c>
      <c r="AR140" t="n">
        <v>0</v>
      </c>
      <c r="AU140" t="n">
        <v>1</v>
      </c>
      <c r="AV140" t="n">
        <v>0</v>
      </c>
      <c r="BG140" t="n">
        <v>1</v>
      </c>
      <c r="BH140" t="n">
        <v>0</v>
      </c>
      <c r="BL140" t="n">
        <v>1</v>
      </c>
      <c r="BM140" t="n">
        <v>0</v>
      </c>
      <c r="BX140" t="n">
        <v>1</v>
      </c>
      <c r="BY140" t="n">
        <v>0</v>
      </c>
      <c r="CC140" t="n">
        <v>1</v>
      </c>
      <c r="CD140" t="n">
        <v>0</v>
      </c>
      <c r="CO140" t="n">
        <v>1</v>
      </c>
      <c r="CP140" t="n">
        <v>0</v>
      </c>
    </row>
    <row r="141">
      <c r="AD141" t="n">
        <v>2</v>
      </c>
      <c r="AE141" s="449">
        <f>IF($AE161&lt;$AD$135,$AE161,0)</f>
        <v/>
      </c>
      <c r="AQ141" t="n">
        <v>2</v>
      </c>
      <c r="AR141" s="449">
        <f>IF($AE161&lt;$AQ$135,$AE161,0)</f>
        <v/>
      </c>
      <c r="AU141" t="n">
        <v>2</v>
      </c>
      <c r="AV141" s="449">
        <f>IF($AV161&lt;$AU$135,$AV161,0)</f>
        <v/>
      </c>
      <c r="BG141" t="n">
        <v>2</v>
      </c>
      <c r="BH141" s="449">
        <f>IF($AV161&lt;$BG$135,$AV161,0)</f>
        <v/>
      </c>
      <c r="BL141" t="n">
        <v>2</v>
      </c>
      <c r="BM141" s="449">
        <f>IF(BM183&lt;$BL$135,BM183,0)</f>
        <v/>
      </c>
      <c r="BX141" t="n">
        <v>2</v>
      </c>
      <c r="BY141" s="449">
        <f>IF(BM183&lt;$BX$135,BM183,0)</f>
        <v/>
      </c>
      <c r="CC141" t="n">
        <v>2</v>
      </c>
      <c r="CD141" s="449">
        <f>IF(CP141&lt;$CC$135,CP141,0)</f>
        <v/>
      </c>
      <c r="CO141" t="n">
        <v>2</v>
      </c>
      <c r="CP141" s="449">
        <f>CO141/38*$CO$135/1.75</f>
        <v/>
      </c>
    </row>
    <row r="142">
      <c r="AD142" t="n">
        <v>3</v>
      </c>
      <c r="AE142" s="449">
        <f>IF(AE162&lt;$AD$135,AE162,0)</f>
        <v/>
      </c>
      <c r="AQ142" t="n">
        <v>3</v>
      </c>
      <c r="AR142" s="449">
        <f>IF($AE162&lt;$AQ$135,$AE162,0)</f>
        <v/>
      </c>
      <c r="AU142" t="n">
        <v>3</v>
      </c>
      <c r="AV142" s="449">
        <f>IF($AV162&lt;$AU$135,$AV162,0)</f>
        <v/>
      </c>
      <c r="BG142" t="n">
        <v>3</v>
      </c>
      <c r="BH142" s="449">
        <f>IF($AV162&lt;$BG$135,$AV162,0)</f>
        <v/>
      </c>
      <c r="BL142" t="n">
        <v>3</v>
      </c>
      <c r="BM142" s="449">
        <f>IF(BM184&lt;$BL$135,BM184,0)</f>
        <v/>
      </c>
      <c r="BX142" t="n">
        <v>3</v>
      </c>
      <c r="BY142" s="449">
        <f>IF(BM184&lt;$BX$135,BM184,0)</f>
        <v/>
      </c>
      <c r="CC142" t="n">
        <v>3</v>
      </c>
      <c r="CD142" s="449">
        <f>IF(CP142&lt;$CC$135,CP142,0)</f>
        <v/>
      </c>
      <c r="CO142" t="n">
        <v>3</v>
      </c>
      <c r="CP142" s="449">
        <f>CO142/38*$CO$135/1.31</f>
        <v/>
      </c>
    </row>
    <row r="143">
      <c r="AD143" t="n">
        <v>4</v>
      </c>
      <c r="AE143" s="449">
        <f>IF(AE163&lt;$AD$135,AE163,0)</f>
        <v/>
      </c>
      <c r="AQ143" t="n">
        <v>4</v>
      </c>
      <c r="AR143" s="449">
        <f>IF($AE163&lt;$AQ$135,$AE163,0)</f>
        <v/>
      </c>
      <c r="AU143" t="n">
        <v>4</v>
      </c>
      <c r="AV143" s="449">
        <f>IF($AV163&lt;$AU$135,$AV163,0)</f>
        <v/>
      </c>
      <c r="BG143" t="n">
        <v>4</v>
      </c>
      <c r="BH143" s="449">
        <f>IF($AV163&lt;$BG$135,$AV163,0)</f>
        <v/>
      </c>
      <c r="BL143" t="n">
        <v>4</v>
      </c>
      <c r="BM143" s="449">
        <f>IF(BM185&lt;$BL$135,BM185,0)</f>
        <v/>
      </c>
      <c r="BX143" t="n">
        <v>4</v>
      </c>
      <c r="BY143" s="449">
        <f>IF(BM185&lt;$BX$135,BM185,0)</f>
        <v/>
      </c>
      <c r="CC143" t="n">
        <v>4</v>
      </c>
      <c r="CD143" s="449">
        <f>IF(CP143&lt;$CC$135,CP143,0)</f>
        <v/>
      </c>
      <c r="CO143" t="n">
        <v>4</v>
      </c>
      <c r="CP143" s="449">
        <f>CO143/38*$CO$135/1.17</f>
        <v/>
      </c>
    </row>
    <row r="144">
      <c r="AD144" t="n">
        <v>5</v>
      </c>
      <c r="AE144" s="449">
        <f>IF(AE164&lt;$AD$135,AE164,0)</f>
        <v/>
      </c>
      <c r="AQ144" t="n">
        <v>5</v>
      </c>
      <c r="AR144" s="449">
        <f>IF($AE164&lt;$AQ$135,$AE164,0)</f>
        <v/>
      </c>
      <c r="AU144" t="n">
        <v>5</v>
      </c>
      <c r="AV144" s="449">
        <f>IF($AV164&lt;$AU$135,$AV164,0)</f>
        <v/>
      </c>
      <c r="BG144" t="n">
        <v>5</v>
      </c>
      <c r="BH144" s="449">
        <f>IF($AV164&lt;$BG$135,$AV164,0)</f>
        <v/>
      </c>
      <c r="BL144" t="n">
        <v>5</v>
      </c>
      <c r="BM144" s="449">
        <f>IF(BM186&lt;$BL$135,BM186,0)</f>
        <v/>
      </c>
      <c r="BX144" t="n">
        <v>5</v>
      </c>
      <c r="BY144" s="449">
        <f>IF(BM186&lt;$BX$135,BM186,0)</f>
        <v/>
      </c>
      <c r="CC144" t="n">
        <v>5</v>
      </c>
      <c r="CD144" s="449">
        <f>IF(CP144&lt;$CC$135,CP144,0)</f>
        <v/>
      </c>
      <c r="CO144" t="n">
        <v>5</v>
      </c>
      <c r="CP144" s="449">
        <f>CO144/38*$CO$135/1.1</f>
        <v/>
      </c>
    </row>
    <row r="145">
      <c r="AD145" t="n">
        <v>6</v>
      </c>
      <c r="AE145" s="449">
        <f>IF(AE165&lt;$AD$135,AE165,0)</f>
        <v/>
      </c>
      <c r="AQ145" t="n">
        <v>6</v>
      </c>
      <c r="AR145" s="449">
        <f>IF($AE165&lt;$AQ$135,$AE165,0)</f>
        <v/>
      </c>
      <c r="AU145" t="n">
        <v>6</v>
      </c>
      <c r="AV145" s="449">
        <f>IF($AV165&lt;$AU$135,$AV165,0)</f>
        <v/>
      </c>
      <c r="BG145" t="n">
        <v>6</v>
      </c>
      <c r="BH145" s="449">
        <f>IF($AV165&lt;$BG$135,$AV165,0)</f>
        <v/>
      </c>
      <c r="BL145" t="n">
        <v>6</v>
      </c>
      <c r="BM145" s="449">
        <f>IF(BM187&lt;$BL$135,BM187,0)</f>
        <v/>
      </c>
      <c r="BX145" t="n">
        <v>6</v>
      </c>
      <c r="BY145" s="449">
        <f>IF(BM187&lt;$BX$135,BM187,0)</f>
        <v/>
      </c>
      <c r="CC145" t="n">
        <v>6</v>
      </c>
      <c r="CD145" s="449">
        <f>IF(CP145&lt;$CC$135,CP145,0)</f>
        <v/>
      </c>
      <c r="CO145" t="n">
        <v>6</v>
      </c>
      <c r="CP145" s="449">
        <f>CO145/38*$CO$135/1.05</f>
        <v/>
      </c>
    </row>
    <row r="146">
      <c r="AD146" t="n">
        <v>7</v>
      </c>
      <c r="AE146" s="449">
        <f>IF(AE166&lt;$AD$135,AE166,0)</f>
        <v/>
      </c>
      <c r="AQ146" t="n">
        <v>7</v>
      </c>
      <c r="AR146" s="449">
        <f>IF($AE166&lt;$AQ$135,$AE166,0)</f>
        <v/>
      </c>
      <c r="AU146" t="n">
        <v>7</v>
      </c>
      <c r="AV146" s="449">
        <f>IF($AV166&lt;$AU$135,$AV166,0)</f>
        <v/>
      </c>
      <c r="BG146" t="n">
        <v>7</v>
      </c>
      <c r="BH146" s="449">
        <f>IF($AV166&lt;$BG$135,$AV166,0)</f>
        <v/>
      </c>
      <c r="BL146" t="n">
        <v>7</v>
      </c>
      <c r="BM146" s="449">
        <f>IF(BM188&lt;$BL$135,BM188,0)</f>
        <v/>
      </c>
      <c r="BX146" t="n">
        <v>7</v>
      </c>
      <c r="BY146" s="449">
        <f>IF(BM188&lt;$BX$135,BM188,0)</f>
        <v/>
      </c>
      <c r="CC146" t="n">
        <v>7</v>
      </c>
      <c r="CD146" s="449">
        <f>IF(CP146&lt;$CC$135,CP146,0)</f>
        <v/>
      </c>
      <c r="CO146" t="n">
        <v>7</v>
      </c>
      <c r="CP146" s="449">
        <f>CO146/38*$CO$135</f>
        <v/>
      </c>
    </row>
    <row r="147">
      <c r="AD147" t="n">
        <v>8</v>
      </c>
      <c r="AE147" s="449">
        <f>IF(AE167&lt;$AD$135,AE167,0)</f>
        <v/>
      </c>
      <c r="AQ147" t="n">
        <v>8</v>
      </c>
      <c r="AR147" s="449">
        <f>IF($AE167&lt;$AQ$135,$AE167,0)</f>
        <v/>
      </c>
      <c r="AU147" t="n">
        <v>8</v>
      </c>
      <c r="AV147" s="449">
        <f>IF($AV167&lt;$AU$135,$AV167,0)</f>
        <v/>
      </c>
      <c r="BG147" t="n">
        <v>8</v>
      </c>
      <c r="BH147" s="449">
        <f>IF($AV167&lt;$BG$135,$AV167,0)</f>
        <v/>
      </c>
      <c r="BL147" t="n">
        <v>8</v>
      </c>
      <c r="BM147" s="449">
        <f>IF(BM189&lt;$BL$135,BM189,0)</f>
        <v/>
      </c>
      <c r="BX147" t="n">
        <v>8</v>
      </c>
      <c r="BY147" s="449">
        <f>IF(BM189&lt;$BX$135,BM189,0)</f>
        <v/>
      </c>
      <c r="CC147" t="n">
        <v>8</v>
      </c>
      <c r="CD147" s="449">
        <f>IF(CP147&lt;$CC$135,CP147,0)</f>
        <v/>
      </c>
      <c r="CO147" t="n">
        <v>8</v>
      </c>
      <c r="CP147" s="449">
        <f>CO147/38*$CO$135</f>
        <v/>
      </c>
    </row>
    <row r="148">
      <c r="AD148" t="n">
        <v>9</v>
      </c>
      <c r="AE148" s="449">
        <f>IF(AE168&lt;$AD$135,AE168,0)</f>
        <v/>
      </c>
      <c r="AQ148" t="n">
        <v>9</v>
      </c>
      <c r="AR148" s="449">
        <f>IF($AE168&lt;$AQ$135,$AE168,0)</f>
        <v/>
      </c>
      <c r="AU148" t="n">
        <v>9</v>
      </c>
      <c r="AV148" s="449">
        <f>IF($AV168&lt;$AU$135,$AV168,0)</f>
        <v/>
      </c>
      <c r="BG148" t="n">
        <v>9</v>
      </c>
      <c r="BH148" s="449">
        <f>IF($AV168&lt;$BG$135,$AV168,0)</f>
        <v/>
      </c>
      <c r="BL148" t="n">
        <v>9</v>
      </c>
      <c r="BM148" s="449">
        <f>IF(BM190&lt;$BL$135,BM190,0)</f>
        <v/>
      </c>
      <c r="BX148" t="n">
        <v>9</v>
      </c>
      <c r="BY148" s="449">
        <f>IF(BM190&lt;$BX$135,BM190,0)</f>
        <v/>
      </c>
      <c r="CC148" t="n">
        <v>9</v>
      </c>
      <c r="CD148" s="449">
        <f>IF(CP148&lt;$CC$135,CP148,0)</f>
        <v/>
      </c>
      <c r="CO148" t="n">
        <v>9</v>
      </c>
      <c r="CP148" s="449">
        <f>CO148/38*$CO$135</f>
        <v/>
      </c>
    </row>
    <row r="149">
      <c r="AD149" t="n">
        <v>10</v>
      </c>
      <c r="AE149" s="449">
        <f>IF(AE169&lt;$AD$135,AE169,0)</f>
        <v/>
      </c>
      <c r="AQ149" t="n">
        <v>10</v>
      </c>
      <c r="AR149" s="449">
        <f>IF($AE169&lt;$AQ$135,$AE169,0)</f>
        <v/>
      </c>
      <c r="AU149" t="n">
        <v>10</v>
      </c>
      <c r="AV149" s="449">
        <f>IF($AV169&lt;$AU$135,$AV169,0)</f>
        <v/>
      </c>
      <c r="BG149" t="n">
        <v>10</v>
      </c>
      <c r="BH149" s="449">
        <f>IF($AV169&lt;$BG$135,$AV169,0)</f>
        <v/>
      </c>
      <c r="BL149" t="n">
        <v>10</v>
      </c>
      <c r="BM149" s="449">
        <f>IF(BM191&lt;$BL$135,BM191,0)</f>
        <v/>
      </c>
      <c r="BX149" t="n">
        <v>10</v>
      </c>
      <c r="BY149" s="449">
        <f>IF(BM191&lt;$BX$135,BM191,0)</f>
        <v/>
      </c>
      <c r="CC149" t="n">
        <v>10</v>
      </c>
      <c r="CD149" s="449">
        <f>IF(CP149&lt;$CC$135,CP149,0)</f>
        <v/>
      </c>
      <c r="CO149" t="n">
        <v>10</v>
      </c>
      <c r="CP149" s="449">
        <f>CO149/38*$CO$135</f>
        <v/>
      </c>
    </row>
    <row r="150">
      <c r="AD150" t="n">
        <v>11</v>
      </c>
      <c r="AE150" s="449">
        <f>IF(AE170&lt;$AD$135,AE170,0)</f>
        <v/>
      </c>
      <c r="AQ150" t="n">
        <v>11</v>
      </c>
      <c r="AR150" s="449">
        <f>IF($AE170&lt;$AQ$135,$AE170,0)</f>
        <v/>
      </c>
      <c r="AU150" t="n">
        <v>11</v>
      </c>
      <c r="AV150" s="449">
        <f>IF($AV170&lt;$AU$135,$AV170,0)</f>
        <v/>
      </c>
      <c r="BG150" t="n">
        <v>11</v>
      </c>
      <c r="BH150" s="449">
        <f>IF($AV170&lt;$BG$135,$AV170,0)</f>
        <v/>
      </c>
      <c r="BL150" t="n">
        <v>11</v>
      </c>
      <c r="BM150" s="449">
        <f>IF(BM192&lt;$BL$135,BM192,0)</f>
        <v/>
      </c>
      <c r="BX150" t="n">
        <v>11</v>
      </c>
      <c r="BY150" s="449">
        <f>IF(BM192&lt;$BX$135,BM192,0)</f>
        <v/>
      </c>
      <c r="CC150" t="n">
        <v>11</v>
      </c>
      <c r="CD150" s="449">
        <f>IF(CP150&lt;$CC$135,CP150,0)</f>
        <v/>
      </c>
      <c r="CO150" t="n">
        <v>11</v>
      </c>
      <c r="CP150" s="449">
        <f>CO150/38*$CO$135</f>
        <v/>
      </c>
    </row>
    <row r="151">
      <c r="AQ151" t="n">
        <v>12</v>
      </c>
      <c r="AR151" s="449">
        <f>IF($AE171&lt;$AQ$135,$AE171,0)</f>
        <v/>
      </c>
      <c r="AU151" t="n">
        <v>12</v>
      </c>
      <c r="AV151" s="449">
        <f>IF($AV171&lt;$AU$135,$AV171,0)</f>
        <v/>
      </c>
      <c r="BG151" t="n">
        <v>12</v>
      </c>
      <c r="BH151" s="449">
        <f>IF($AV171&lt;$BG$135,$AV171,0)</f>
        <v/>
      </c>
      <c r="BL151" t="n">
        <v>12</v>
      </c>
      <c r="BM151" s="449">
        <f>IF(BM193&lt;$BL$135,BM193,0)</f>
        <v/>
      </c>
      <c r="BX151" t="n">
        <v>12</v>
      </c>
      <c r="BY151" s="449">
        <f>IF(BM193&lt;$BX$135,BM193,0)</f>
        <v/>
      </c>
      <c r="CC151" t="n">
        <v>12</v>
      </c>
      <c r="CD151" s="449">
        <f>IF(CP151&lt;$CC$135,CP151,0)</f>
        <v/>
      </c>
      <c r="CO151" t="n">
        <v>12</v>
      </c>
      <c r="CP151" s="449">
        <f>CO151/38*$CO$135</f>
        <v/>
      </c>
    </row>
    <row r="152">
      <c r="AQ152" t="n">
        <v>13</v>
      </c>
      <c r="AR152" s="449">
        <f>IF($AE172&lt;$AQ$135,$AE172,0)</f>
        <v/>
      </c>
      <c r="AU152" t="n">
        <v>13</v>
      </c>
      <c r="AV152" s="449">
        <f>IF($AV172&lt;$AU$135,$AV172,0)</f>
        <v/>
      </c>
      <c r="BG152" t="n">
        <v>13</v>
      </c>
      <c r="BH152" s="449">
        <f>IF($AV172&lt;$BG$135,$AV172,0)</f>
        <v/>
      </c>
      <c r="BL152" t="n">
        <v>13</v>
      </c>
      <c r="BM152" s="449">
        <f>IF(BM194&lt;$BL$135,BM194,0)</f>
        <v/>
      </c>
      <c r="BX152" t="n">
        <v>13</v>
      </c>
      <c r="BY152" s="449">
        <f>IF(BM194&lt;$BX$135,BM194,0)</f>
        <v/>
      </c>
      <c r="CC152" t="n">
        <v>13</v>
      </c>
      <c r="CD152" s="449">
        <f>IF(CP152&lt;$CC$135,CP152,0)</f>
        <v/>
      </c>
      <c r="CO152" t="n">
        <v>13</v>
      </c>
      <c r="CP152" s="449">
        <f>CO152/38*$CO$135</f>
        <v/>
      </c>
    </row>
    <row r="153">
      <c r="AQ153" t="n">
        <v>14</v>
      </c>
      <c r="AR153" s="449">
        <f>IF($AE173&lt;$AQ$135,$AE173,0)</f>
        <v/>
      </c>
      <c r="BG153" t="n">
        <v>14</v>
      </c>
      <c r="BH153" s="449">
        <f>IF($AV173&lt;$BG$135,$AV173,0)</f>
        <v/>
      </c>
      <c r="BL153" t="n">
        <v>14</v>
      </c>
      <c r="BM153" s="449">
        <f>IF(BM195&lt;$BL$135,BM195,0)</f>
        <v/>
      </c>
      <c r="BX153" t="n">
        <v>14</v>
      </c>
      <c r="BY153" s="449">
        <f>IF(BM195&lt;$BX$135,BM195,0)</f>
        <v/>
      </c>
      <c r="CC153" t="n">
        <v>14</v>
      </c>
      <c r="CD153" s="449">
        <f>IF(CP153&lt;$CC$135,CP153,0)</f>
        <v/>
      </c>
      <c r="CO153" t="n">
        <v>14</v>
      </c>
      <c r="CP153" s="449">
        <f>CO153/38*$CO$135</f>
        <v/>
      </c>
    </row>
    <row r="154">
      <c r="AD154">
        <f>AD123</f>
        <v/>
      </c>
      <c r="AE154">
        <f>AE123</f>
        <v/>
      </c>
      <c r="AQ154" t="n">
        <v>15</v>
      </c>
      <c r="AR154" s="449">
        <f>IF($AE174&lt;$AQ$135,$AE174,0)</f>
        <v/>
      </c>
      <c r="AU154">
        <f>AU123</f>
        <v/>
      </c>
      <c r="AV154">
        <f>AV123</f>
        <v/>
      </c>
      <c r="BG154" t="n">
        <v>15</v>
      </c>
      <c r="BH154" s="449">
        <f>IF($AV174&lt;$BG$135,$AV174,0)</f>
        <v/>
      </c>
      <c r="BL154" t="n">
        <v>15</v>
      </c>
      <c r="BM154" s="449">
        <f>IF(BM196&lt;$BL$135,BM196,0)</f>
        <v/>
      </c>
      <c r="BX154" t="n">
        <v>15</v>
      </c>
      <c r="BY154" s="449">
        <f>IF(BM196&lt;$BX$135,BM196,0)</f>
        <v/>
      </c>
      <c r="CC154" t="n">
        <v>15</v>
      </c>
      <c r="CD154" s="449">
        <f>IF(CP154&lt;$CC$135,CP154,0)</f>
        <v/>
      </c>
      <c r="CO154" t="n">
        <v>15</v>
      </c>
      <c r="CP154" s="449">
        <f>CO154/38*$CO$135</f>
        <v/>
      </c>
    </row>
    <row r="155">
      <c r="AD155">
        <f>AD124</f>
        <v/>
      </c>
      <c r="AE155">
        <f>AE124</f>
        <v/>
      </c>
      <c r="AQ155" t="n">
        <v>16</v>
      </c>
      <c r="AR155" s="449">
        <f>IF($AE175&lt;$AQ$135,$AE175,0)</f>
        <v/>
      </c>
      <c r="AU155">
        <f>AU124</f>
        <v/>
      </c>
      <c r="AV155">
        <f>AV124</f>
        <v/>
      </c>
      <c r="BG155" t="n">
        <v>16</v>
      </c>
      <c r="BH155" s="449">
        <f>IF($AV175&lt;$BG$135,$AV175,0)</f>
        <v/>
      </c>
      <c r="BL155" t="n">
        <v>16</v>
      </c>
      <c r="BM155" s="449">
        <f>IF(BM197&lt;$BL$135,BM197,0)</f>
        <v/>
      </c>
      <c r="BX155" t="n">
        <v>16</v>
      </c>
      <c r="BY155" s="449">
        <f>IF(BM197&lt;$BX$135,BM197,0)</f>
        <v/>
      </c>
      <c r="CC155" t="n">
        <v>16</v>
      </c>
      <c r="CD155" s="449">
        <f>IF(CP155&lt;$CC$135,CP155,0)</f>
        <v/>
      </c>
      <c r="CO155" t="n">
        <v>16</v>
      </c>
      <c r="CP155" s="449">
        <f>CO155/38*$CO$135</f>
        <v/>
      </c>
    </row>
    <row r="156">
      <c r="AD156" s="449">
        <f>AD125</f>
        <v/>
      </c>
      <c r="AE156">
        <f>AE125</f>
        <v/>
      </c>
      <c r="AQ156" t="n">
        <v>17</v>
      </c>
      <c r="AR156" s="449">
        <f>IF($AE176&lt;$AQ$135,$AE176,0)</f>
        <v/>
      </c>
      <c r="AU156" s="449">
        <f>AU125</f>
        <v/>
      </c>
      <c r="AV156">
        <f>AV125</f>
        <v/>
      </c>
      <c r="BG156" t="n">
        <v>17</v>
      </c>
      <c r="BH156" s="449">
        <f>IF($AV176&lt;$BG$135,$AV176,0)</f>
        <v/>
      </c>
      <c r="BL156" t="n">
        <v>17</v>
      </c>
      <c r="BM156" s="449">
        <f>IF(BM198&lt;$BL$135,BM198,0)</f>
        <v/>
      </c>
      <c r="BX156" t="n">
        <v>17</v>
      </c>
      <c r="BY156" s="449">
        <f>IF(BM198&lt;$BX$135,BM198,0)</f>
        <v/>
      </c>
      <c r="CC156" t="n">
        <v>17</v>
      </c>
      <c r="CD156" s="449">
        <f>IF(CP156&lt;$CC$135,CP156,0)</f>
        <v/>
      </c>
      <c r="CO156" t="n">
        <v>17</v>
      </c>
      <c r="CP156" s="449">
        <f>CO156/38*$CO$135</f>
        <v/>
      </c>
    </row>
    <row r="157">
      <c r="AD157" s="449">
        <f>IF(AD126="Surface",0,AD126)</f>
        <v/>
      </c>
      <c r="AE157">
        <f>AE126</f>
        <v/>
      </c>
      <c r="AQ157" t="n">
        <v>18</v>
      </c>
      <c r="AR157" s="449">
        <f>IF($AE177&lt;$AQ$135,$AE177,0)</f>
        <v/>
      </c>
      <c r="AU157" s="449">
        <f>IF(AU126="TOL",$BI$115,AU126)</f>
        <v/>
      </c>
      <c r="AV157">
        <f>AV126</f>
        <v/>
      </c>
      <c r="BG157" t="n">
        <v>18</v>
      </c>
      <c r="BH157" s="449">
        <f>IF($AV177&lt;$BG$135,$AV177,0)</f>
        <v/>
      </c>
      <c r="BL157" t="n">
        <v>18</v>
      </c>
      <c r="BM157" s="449">
        <f>IF(BM199&lt;$BL$135,BM199,0)</f>
        <v/>
      </c>
      <c r="BX157" t="n">
        <v>18</v>
      </c>
      <c r="BY157" s="449">
        <f>IF(BM199&lt;$BX$135,BM199,0)</f>
        <v/>
      </c>
      <c r="CC157" t="n">
        <v>18</v>
      </c>
      <c r="CD157" s="449">
        <f>IF(CP157&lt;$CC$135,CP157,0)</f>
        <v/>
      </c>
      <c r="CO157" t="n">
        <v>18</v>
      </c>
      <c r="CP157" s="449">
        <f>CO157/38*$CO$135</f>
        <v/>
      </c>
    </row>
    <row r="158">
      <c r="AD158" s="449">
        <f>AD127</f>
        <v/>
      </c>
      <c r="AE158">
        <f>AE127</f>
        <v/>
      </c>
      <c r="AQ158" t="n">
        <v>19</v>
      </c>
      <c r="AR158" s="449">
        <f>IF($AE178&lt;$AQ$135,$AE178,0)</f>
        <v/>
      </c>
      <c r="AU158">
        <f>AU127</f>
        <v/>
      </c>
      <c r="AV158">
        <f>AV127</f>
        <v/>
      </c>
      <c r="BG158" t="n">
        <v>19</v>
      </c>
      <c r="BH158" s="449">
        <f>IF($AV178&lt;$BG$135,$AV178,0)</f>
        <v/>
      </c>
      <c r="BL158" t="n">
        <v>19</v>
      </c>
      <c r="BM158" s="449">
        <f>IF(BM200&lt;$BL$135,BM200,0)</f>
        <v/>
      </c>
      <c r="BX158" t="n">
        <v>19</v>
      </c>
      <c r="BY158" s="449">
        <f>IF(BM200&lt;$BX$135,BM200,0)</f>
        <v/>
      </c>
      <c r="CC158" t="n">
        <v>19</v>
      </c>
      <c r="CD158" s="449">
        <f>IF(CP158&lt;$CC$135,CP158,0)</f>
        <v/>
      </c>
      <c r="CO158" t="n">
        <v>19</v>
      </c>
      <c r="CP158" s="449">
        <f>CO158/38*$CO$135</f>
        <v/>
      </c>
    </row>
    <row r="159">
      <c r="AQ159" t="n">
        <v>20</v>
      </c>
      <c r="AR159" s="449">
        <f>IF($AE179&lt;$AQ$135,$AE179,0)</f>
        <v/>
      </c>
      <c r="BG159" t="n">
        <v>20</v>
      </c>
      <c r="BH159" s="449">
        <f>IF($AV179&lt;$BG$135,$AV179,0)</f>
        <v/>
      </c>
      <c r="BL159" t="n">
        <v>20</v>
      </c>
      <c r="BM159" s="449">
        <f>IF(BM201&lt;$BL$135,BM201,0)</f>
        <v/>
      </c>
      <c r="BX159" t="n">
        <v>20</v>
      </c>
      <c r="BY159" s="449">
        <f>IF(BM201&lt;$BX$135,BM201,0)</f>
        <v/>
      </c>
      <c r="CC159" t="n">
        <v>20</v>
      </c>
      <c r="CD159" s="449">
        <f>IF(CP159&lt;$CC$135,CP159,0)</f>
        <v/>
      </c>
      <c r="CO159" t="n">
        <v>20</v>
      </c>
      <c r="CP159" s="449">
        <f>CO159/38*$CO$135</f>
        <v/>
      </c>
    </row>
    <row r="160">
      <c r="AD160" t="n">
        <v>1</v>
      </c>
      <c r="AE160" t="n">
        <v>0</v>
      </c>
      <c r="AQ160" t="n">
        <v>21</v>
      </c>
      <c r="AR160" s="449">
        <f>IF($AE180&lt;$AQ$135,$AE180,0)</f>
        <v/>
      </c>
      <c r="AU160" t="n">
        <v>1</v>
      </c>
      <c r="AV160" t="n">
        <v>0</v>
      </c>
      <c r="BG160" t="n">
        <v>21</v>
      </c>
      <c r="BH160" s="449">
        <f>IF($AV180&lt;$BG$135,$AV180,0)</f>
        <v/>
      </c>
      <c r="BL160" t="n">
        <v>21</v>
      </c>
      <c r="BM160" s="449">
        <f>IF(BM202&lt;$BL$135,BM202,0)</f>
        <v/>
      </c>
      <c r="BX160" t="n">
        <v>21</v>
      </c>
      <c r="BY160" s="449">
        <f>IF(BM202&lt;$BX$135,BM202,0)</f>
        <v/>
      </c>
      <c r="CC160" t="n">
        <v>21</v>
      </c>
      <c r="CD160" s="449">
        <f>IF(CP160&lt;$CC$135,CP160,0)</f>
        <v/>
      </c>
      <c r="CO160" t="n">
        <v>21</v>
      </c>
      <c r="CP160" s="449">
        <f>CO160/38*$CO$135</f>
        <v/>
      </c>
    </row>
    <row r="161">
      <c r="AD161" t="n">
        <v>2</v>
      </c>
      <c r="AE161" s="449">
        <f>AD161/38*$AD$155/1.75</f>
        <v/>
      </c>
      <c r="AQ161" t="n">
        <v>22</v>
      </c>
      <c r="AR161" s="449">
        <f>IF($AE181&lt;$AQ$135,$AE181,0)</f>
        <v/>
      </c>
      <c r="AU161" t="n">
        <v>2</v>
      </c>
      <c r="AV161" s="449">
        <f>AU161/38*$AU$155/1.75</f>
        <v/>
      </c>
      <c r="BG161" t="n">
        <v>22</v>
      </c>
      <c r="BH161" s="449">
        <f>IF($AV181&lt;$BG$135,$AV181,0)</f>
        <v/>
      </c>
      <c r="BL161" t="n">
        <v>22</v>
      </c>
      <c r="BM161" s="449">
        <f>IF(BM203&lt;$BL$135,BM203,0)</f>
        <v/>
      </c>
      <c r="BX161" t="n">
        <v>22</v>
      </c>
      <c r="BY161" s="449">
        <f>IF(BM203&lt;$BX$135,BM203,0)</f>
        <v/>
      </c>
      <c r="CC161" t="n">
        <v>22</v>
      </c>
      <c r="CD161" s="449">
        <f>IF(CP161&lt;$CC$135,CP161,0)</f>
        <v/>
      </c>
      <c r="CO161" t="n">
        <v>22</v>
      </c>
      <c r="CP161" s="449">
        <f>CO161/38*$CO$135</f>
        <v/>
      </c>
    </row>
    <row r="162">
      <c r="AD162" t="n">
        <v>3</v>
      </c>
      <c r="AE162" s="449">
        <f>AD162/38*$AD$155/1.31</f>
        <v/>
      </c>
      <c r="AQ162" t="n">
        <v>23</v>
      </c>
      <c r="AR162" s="449">
        <f>IF($AE182&lt;$AQ$135,$AE182,0)</f>
        <v/>
      </c>
      <c r="AU162" t="n">
        <v>3</v>
      </c>
      <c r="AV162" s="449">
        <f>AU162/38*$AU$155/1.31</f>
        <v/>
      </c>
      <c r="BG162" t="n">
        <v>23</v>
      </c>
      <c r="BH162" s="449">
        <f>IF($AV182&lt;$BG$135,$AV182,0)</f>
        <v/>
      </c>
      <c r="BL162" t="n">
        <v>23</v>
      </c>
      <c r="BM162" s="449">
        <f>IF(BM204&lt;$BL$135,BM204,0)</f>
        <v/>
      </c>
      <c r="BX162" t="n">
        <v>23</v>
      </c>
      <c r="BY162" s="449">
        <f>IF(BM204&lt;$BX$135,BM204,0)</f>
        <v/>
      </c>
      <c r="CC162" t="n">
        <v>23</v>
      </c>
      <c r="CD162" s="449">
        <f>IF(CP162&lt;$CC$135,CP162,0)</f>
        <v/>
      </c>
      <c r="CO162" t="n">
        <v>23</v>
      </c>
      <c r="CP162" s="449">
        <f>CO162/38*$CO$135</f>
        <v/>
      </c>
    </row>
    <row r="163">
      <c r="AD163" t="n">
        <v>4</v>
      </c>
      <c r="AE163" s="449">
        <f>AD163/38*$AD$155/1.17</f>
        <v/>
      </c>
      <c r="AQ163" t="n">
        <v>24</v>
      </c>
      <c r="AR163" s="449">
        <f>IF($AE183&lt;$AQ$135,$AE183,0)</f>
        <v/>
      </c>
      <c r="AU163" t="n">
        <v>4</v>
      </c>
      <c r="AV163" s="449">
        <f>AU163/38*$AU$155/1.17</f>
        <v/>
      </c>
      <c r="BG163" t="n">
        <v>24</v>
      </c>
      <c r="BH163" s="449">
        <f>IF($AV183&lt;$BG$135,$AV183,0)</f>
        <v/>
      </c>
      <c r="BL163" t="n">
        <v>24</v>
      </c>
      <c r="BM163" s="449">
        <f>IF(BM205&lt;$BL$135,BM205,0)</f>
        <v/>
      </c>
      <c r="BX163" t="n">
        <v>24</v>
      </c>
      <c r="BY163" s="449">
        <f>IF(BM205&lt;$BX$135,BM205,0)</f>
        <v/>
      </c>
      <c r="CC163" t="n">
        <v>24</v>
      </c>
      <c r="CD163" s="449">
        <f>IF(CP163&lt;$CC$135,CP163,0)</f>
        <v/>
      </c>
      <c r="CO163" t="n">
        <v>24</v>
      </c>
      <c r="CP163" s="449">
        <f>CO163/38*$CO$135</f>
        <v/>
      </c>
    </row>
    <row r="164">
      <c r="AD164" t="n">
        <v>5</v>
      </c>
      <c r="AE164" s="449">
        <f>AD164/38*$AD$155/1.1</f>
        <v/>
      </c>
      <c r="AQ164" t="n">
        <v>25</v>
      </c>
      <c r="AR164" s="449">
        <f>IF($AE184&lt;$AQ$135,$AE184,0)</f>
        <v/>
      </c>
      <c r="AU164" t="n">
        <v>5</v>
      </c>
      <c r="AV164" s="449">
        <f>AU164/38*$AU$155/1.1</f>
        <v/>
      </c>
      <c r="BG164" t="n">
        <v>25</v>
      </c>
      <c r="BH164" s="449">
        <f>IF($AV184&lt;$BG$135,$AV184,0)</f>
        <v/>
      </c>
      <c r="BL164" t="n">
        <v>25</v>
      </c>
      <c r="BM164" s="449">
        <f>IF(BM206&lt;$BL$135,BM206,0)</f>
        <v/>
      </c>
      <c r="BX164" t="n">
        <v>25</v>
      </c>
      <c r="BY164" s="449">
        <f>IF(BM206&lt;$BX$135,BM206,0)</f>
        <v/>
      </c>
      <c r="CC164" t="n">
        <v>25</v>
      </c>
      <c r="CD164" s="449">
        <f>IF(CP164&lt;$CC$135,CP164,0)</f>
        <v/>
      </c>
      <c r="CO164" t="n">
        <v>25</v>
      </c>
      <c r="CP164" s="449">
        <f>CO164/38*$CO$135</f>
        <v/>
      </c>
    </row>
    <row r="165">
      <c r="AD165" t="n">
        <v>6</v>
      </c>
      <c r="AE165" s="449">
        <f>AD165/38*$AD$155/1.05</f>
        <v/>
      </c>
      <c r="AQ165" t="n">
        <v>26</v>
      </c>
      <c r="AR165" s="449">
        <f>IF($AE185&lt;$AQ$135,$AE185,0)</f>
        <v/>
      </c>
      <c r="AU165" t="n">
        <v>6</v>
      </c>
      <c r="AV165" s="449">
        <f>AU165/38*$AU$155/1.05</f>
        <v/>
      </c>
      <c r="BG165" t="n">
        <v>26</v>
      </c>
      <c r="BH165" s="449">
        <f>IF($AV185&lt;$BG$135,$AV185,0)</f>
        <v/>
      </c>
      <c r="BL165" t="n">
        <v>26</v>
      </c>
      <c r="BM165" s="449">
        <f>IF(BM207&lt;$BL$135,BM207,0)</f>
        <v/>
      </c>
      <c r="BX165" t="n">
        <v>26</v>
      </c>
      <c r="BY165" s="449">
        <f>IF(BM207&lt;$BX$135,BM207,0)</f>
        <v/>
      </c>
      <c r="CC165" t="n">
        <v>26</v>
      </c>
      <c r="CD165" s="449">
        <f>IF(CP165&lt;$CC$135,CP165,0)</f>
        <v/>
      </c>
      <c r="CO165" t="n">
        <v>26</v>
      </c>
      <c r="CP165" s="449">
        <f>CO165/38*$CO$135</f>
        <v/>
      </c>
    </row>
    <row r="166">
      <c r="AD166" t="n">
        <v>7</v>
      </c>
      <c r="AE166" s="449">
        <f>AD166/38*$AD$155</f>
        <v/>
      </c>
      <c r="AQ166" s="449" t="n"/>
      <c r="AU166" t="n">
        <v>7</v>
      </c>
      <c r="AV166" s="449">
        <f>AU166/38*$AU$155</f>
        <v/>
      </c>
      <c r="BG166" t="n">
        <v>27</v>
      </c>
      <c r="BH166" s="449">
        <f>IF($AV186&lt;$BG$135,$AV186,0)</f>
        <v/>
      </c>
      <c r="BL166" t="n">
        <v>27</v>
      </c>
      <c r="BM166" s="449">
        <f>IF(BM208&lt;$BL$135,BM208,0)</f>
        <v/>
      </c>
      <c r="BX166" t="n">
        <v>27</v>
      </c>
      <c r="BY166" s="449">
        <f>IF(BM208&lt;$BX$135,BM208,0)</f>
        <v/>
      </c>
      <c r="CO166" t="n">
        <v>27</v>
      </c>
      <c r="CP166" s="449">
        <f>CO166/38*$CO$135</f>
        <v/>
      </c>
    </row>
    <row r="167">
      <c r="AD167" t="n">
        <v>8</v>
      </c>
      <c r="AE167" s="449">
        <f>AD167/38*$AD$155</f>
        <v/>
      </c>
      <c r="AQ167" s="449" t="n"/>
      <c r="AU167" t="n">
        <v>8</v>
      </c>
      <c r="AV167" s="449">
        <f>AU167/38*$AU$155</f>
        <v/>
      </c>
      <c r="BG167" t="n">
        <v>28</v>
      </c>
      <c r="BH167" s="449">
        <f>IF($AV187&lt;$BG$135,$AV187,0)</f>
        <v/>
      </c>
      <c r="BL167" t="n">
        <v>28</v>
      </c>
      <c r="BM167" s="449">
        <f>IF(BM209&lt;$BL$135,BM209,0)</f>
        <v/>
      </c>
      <c r="BX167" t="n">
        <v>28</v>
      </c>
      <c r="BY167" s="449">
        <f>IF(BM209&lt;$BX$135,BM209,0)</f>
        <v/>
      </c>
      <c r="CO167" t="n">
        <v>28</v>
      </c>
      <c r="CP167" s="449">
        <f>CO167/38*$CO$135</f>
        <v/>
      </c>
    </row>
    <row r="168">
      <c r="AD168" t="n">
        <v>9</v>
      </c>
      <c r="AE168" s="449">
        <f>AD168/38*$AD$155</f>
        <v/>
      </c>
      <c r="AQ168" s="449" t="n"/>
      <c r="AU168" t="n">
        <v>9</v>
      </c>
      <c r="AV168" s="449">
        <f>AU168/38*$AU$155</f>
        <v/>
      </c>
      <c r="BG168" t="n">
        <v>29</v>
      </c>
      <c r="BH168" s="449">
        <f>IF($AV188&lt;$BG$135,$AV188,0)</f>
        <v/>
      </c>
      <c r="BL168" t="n">
        <v>29</v>
      </c>
      <c r="BM168" s="449">
        <f>IF(BM210&lt;$BL$135,BM210,0)</f>
        <v/>
      </c>
      <c r="BX168" t="n">
        <v>29</v>
      </c>
      <c r="BY168" s="449">
        <f>IF(BM210&lt;$BX$135,BM210,0)</f>
        <v/>
      </c>
      <c r="CO168" t="n">
        <v>29</v>
      </c>
      <c r="CP168" s="449">
        <f>CO168/38*$CO$135</f>
        <v/>
      </c>
    </row>
    <row r="169">
      <c r="AD169" t="n">
        <v>10</v>
      </c>
      <c r="AE169" s="449">
        <f>AD169/38*$AD$155</f>
        <v/>
      </c>
      <c r="AQ169" s="449" t="n"/>
      <c r="AU169" t="n">
        <v>10</v>
      </c>
      <c r="AV169" s="449">
        <f>AU169/38*$AU$155</f>
        <v/>
      </c>
      <c r="BG169" t="n">
        <v>30</v>
      </c>
      <c r="BH169" s="449">
        <f>IF($AV189&lt;$BG$135,$AV189,0)</f>
        <v/>
      </c>
      <c r="BL169" t="n">
        <v>30</v>
      </c>
      <c r="BM169" s="449">
        <f>IF(BM211&lt;$BL$135,BM211,0)</f>
        <v/>
      </c>
      <c r="BX169" t="n">
        <v>30</v>
      </c>
      <c r="BY169" s="449">
        <f>IF(BM211&lt;$BX$135,BM211,0)</f>
        <v/>
      </c>
      <c r="CO169" t="n">
        <v>30</v>
      </c>
      <c r="CP169" s="449">
        <f>CO169/38*$CO$135</f>
        <v/>
      </c>
    </row>
    <row r="170">
      <c r="AD170" t="n">
        <v>11</v>
      </c>
      <c r="AE170" s="449">
        <f>AD170/38*$AD$155</f>
        <v/>
      </c>
      <c r="AQ170" s="449" t="n"/>
      <c r="AU170" t="n">
        <v>11</v>
      </c>
      <c r="AV170" s="449">
        <f>AU170/38*$AU$155</f>
        <v/>
      </c>
      <c r="BG170" t="n">
        <v>31</v>
      </c>
      <c r="BH170" s="449">
        <f>IF($AV190&lt;$BG$135,$AV190,0)</f>
        <v/>
      </c>
      <c r="BL170" t="n">
        <v>31</v>
      </c>
      <c r="BM170" s="449">
        <f>IF(BM212&lt;$BL$135,BM212,0)</f>
        <v/>
      </c>
      <c r="BX170" t="n">
        <v>31</v>
      </c>
      <c r="BY170" s="449">
        <f>IF(BM212&lt;$BX$135,BM212,0)</f>
        <v/>
      </c>
      <c r="CO170" t="n">
        <v>31</v>
      </c>
      <c r="CP170" s="449">
        <f>CO170/38*$CO$135</f>
        <v/>
      </c>
    </row>
    <row r="171">
      <c r="AD171" t="n">
        <v>12</v>
      </c>
      <c r="AE171" s="449">
        <f>AD171/38*$AD$155</f>
        <v/>
      </c>
      <c r="AQ171" s="449" t="n"/>
      <c r="AU171" t="n">
        <v>12</v>
      </c>
      <c r="AV171" s="449">
        <f>AU171/38*$AU$155</f>
        <v/>
      </c>
      <c r="BG171" t="n">
        <v>32</v>
      </c>
      <c r="BH171" s="449">
        <f>IF($AV191&lt;$BG$135,$AV191,0)</f>
        <v/>
      </c>
      <c r="BL171" t="n">
        <v>32</v>
      </c>
      <c r="BM171" s="449">
        <f>IF(BM213&lt;$BL$135,BM213,0)</f>
        <v/>
      </c>
      <c r="BX171" t="n">
        <v>32</v>
      </c>
      <c r="BY171" s="449">
        <f>IF(BM213&lt;$BX$135,BM213,0)</f>
        <v/>
      </c>
      <c r="CO171" t="n">
        <v>32</v>
      </c>
      <c r="CP171" s="449">
        <f>CO171/38*$CO$135</f>
        <v/>
      </c>
    </row>
    <row r="172">
      <c r="AD172" t="n">
        <v>13</v>
      </c>
      <c r="AE172" s="449">
        <f>AD172/38*$AD$155</f>
        <v/>
      </c>
      <c r="AQ172" s="449" t="n"/>
      <c r="AU172" t="n">
        <v>13</v>
      </c>
      <c r="AV172" s="449">
        <f>AU172/38*$AU$155</f>
        <v/>
      </c>
      <c r="BG172" t="n">
        <v>33</v>
      </c>
      <c r="BH172" s="449">
        <f>IF($AV192&lt;$BG$135,$AV192,0)</f>
        <v/>
      </c>
      <c r="BL172" t="n">
        <v>33</v>
      </c>
      <c r="BM172" s="449">
        <f>IF(BM214&lt;$BL$135,BM214,0)</f>
        <v/>
      </c>
      <c r="BX172" t="n">
        <v>33</v>
      </c>
      <c r="BY172" s="449">
        <f>IF(BM214&lt;$BX$135,BM214,0)</f>
        <v/>
      </c>
      <c r="CO172" t="n">
        <v>33</v>
      </c>
      <c r="CP172" s="449">
        <f>CO172/38*$CO$135</f>
        <v/>
      </c>
    </row>
    <row r="173">
      <c r="AD173" t="n">
        <v>14</v>
      </c>
      <c r="AE173" s="449">
        <f>AD173/38*$AD$155</f>
        <v/>
      </c>
      <c r="AU173" t="n">
        <v>14</v>
      </c>
      <c r="AV173" s="449">
        <f>AU173/38*$AU$155</f>
        <v/>
      </c>
      <c r="BG173" t="n">
        <v>34</v>
      </c>
      <c r="BH173" s="449">
        <f>IF($AV193&lt;$BG$135,$AV193,0)</f>
        <v/>
      </c>
      <c r="BL173" t="n">
        <v>34</v>
      </c>
      <c r="BM173" s="449">
        <f>IF(BM215&lt;$BL$135,BM215,0)</f>
        <v/>
      </c>
      <c r="BX173" t="n">
        <v>34</v>
      </c>
      <c r="BY173" s="449">
        <f>IF(BM215&lt;$BX$135,BM215,0)</f>
        <v/>
      </c>
      <c r="CO173" t="n">
        <v>34</v>
      </c>
      <c r="CP173" s="449">
        <f>CO173/38*$CO$135</f>
        <v/>
      </c>
    </row>
    <row r="174">
      <c r="AD174" t="n">
        <v>15</v>
      </c>
      <c r="AE174" s="449">
        <f>AD174/38*$AD$155</f>
        <v/>
      </c>
      <c r="AU174" t="n">
        <v>15</v>
      </c>
      <c r="AV174" s="449">
        <f>AU174/38*$AU$155</f>
        <v/>
      </c>
      <c r="BG174" t="n">
        <v>35</v>
      </c>
      <c r="BH174" s="449">
        <f>IF($AV194&lt;$BG$135,$AV194,0)</f>
        <v/>
      </c>
      <c r="BL174" t="n">
        <v>35</v>
      </c>
      <c r="BM174" s="449">
        <f>IF(BM216&lt;$BL$135,BM216,0)</f>
        <v/>
      </c>
      <c r="BX174" t="n">
        <v>35</v>
      </c>
      <c r="BY174" s="449">
        <f>IF(BM216&lt;$BX$135,BM216,0)</f>
        <v/>
      </c>
      <c r="CO174" t="n">
        <v>35</v>
      </c>
      <c r="CP174" s="449">
        <f>CO174/38*$CO$135</f>
        <v/>
      </c>
    </row>
    <row r="175">
      <c r="AD175" t="n">
        <v>16</v>
      </c>
      <c r="AE175" s="449">
        <f>AD175/38*$AD$155</f>
        <v/>
      </c>
      <c r="AU175" t="n">
        <v>16</v>
      </c>
      <c r="AV175" s="449">
        <f>AU175/38*$AU$155</f>
        <v/>
      </c>
      <c r="BG175" t="n">
        <v>36</v>
      </c>
      <c r="BH175" s="449">
        <f>IF($AV195&lt;$BG$135,$AV195,0)</f>
        <v/>
      </c>
      <c r="BX175" t="n">
        <v>36</v>
      </c>
      <c r="BY175" s="449">
        <f>IF(BM217&lt;$BX$135,BM217,0)</f>
        <v/>
      </c>
      <c r="CO175" t="n">
        <v>36</v>
      </c>
      <c r="CP175" s="449">
        <f>CO175/38*$CO$135</f>
        <v/>
      </c>
    </row>
    <row r="176">
      <c r="AD176" t="n">
        <v>17</v>
      </c>
      <c r="AE176" s="449">
        <f>AD176/38*$AD$155</f>
        <v/>
      </c>
      <c r="AU176" t="n">
        <v>17</v>
      </c>
      <c r="AV176" s="449">
        <f>AU176/38*$AU$155</f>
        <v/>
      </c>
      <c r="BG176" t="n">
        <v>37</v>
      </c>
      <c r="BH176" s="449">
        <f>IF($AV196&lt;$BG$135,$AV196,0)</f>
        <v/>
      </c>
      <c r="BL176">
        <f>BL123</f>
        <v/>
      </c>
      <c r="BM176">
        <f>BM123</f>
        <v/>
      </c>
      <c r="BX176" t="n">
        <v>37</v>
      </c>
      <c r="BY176" s="449">
        <f>IF(BM218&lt;$BX$135,BM218,0)</f>
        <v/>
      </c>
      <c r="CO176" t="n">
        <v>37</v>
      </c>
      <c r="CP176" s="449">
        <f>CO176/38*$CO$135</f>
        <v/>
      </c>
    </row>
    <row r="177">
      <c r="AD177" t="n">
        <v>18</v>
      </c>
      <c r="AE177" s="449">
        <f>AD177/38*$AD$155</f>
        <v/>
      </c>
      <c r="AU177" t="n">
        <v>18</v>
      </c>
      <c r="AV177" s="449">
        <f>AU177/38*$AU$155</f>
        <v/>
      </c>
      <c r="BG177" t="n">
        <v>38</v>
      </c>
      <c r="BH177" s="449">
        <f>IF($AV197&lt;$BG$135,$AV197,0)</f>
        <v/>
      </c>
      <c r="BL177">
        <f>BL124</f>
        <v/>
      </c>
      <c r="BM177">
        <f>BM124</f>
        <v/>
      </c>
      <c r="BX177" t="n">
        <v>38</v>
      </c>
      <c r="BY177" s="449">
        <f>IF(BM219&lt;$BX$135,BM219,0)</f>
        <v/>
      </c>
      <c r="CO177" t="n">
        <v>38</v>
      </c>
      <c r="CP177" s="449">
        <f>CO177/38*$CO$135</f>
        <v/>
      </c>
    </row>
    <row r="178">
      <c r="AD178" t="n">
        <v>19</v>
      </c>
      <c r="AE178" s="449">
        <f>AD178/38*$AD$155</f>
        <v/>
      </c>
      <c r="AU178" t="n">
        <v>19</v>
      </c>
      <c r="AV178" s="449">
        <f>AU178/38*$AU$155</f>
        <v/>
      </c>
      <c r="BL178" s="449">
        <f>BL125</f>
        <v/>
      </c>
      <c r="BM178">
        <f>BM125</f>
        <v/>
      </c>
    </row>
    <row r="179">
      <c r="AD179" t="n">
        <v>20</v>
      </c>
      <c r="AE179" s="449">
        <f>AD179/38*$AD$155</f>
        <v/>
      </c>
      <c r="AU179" t="n">
        <v>20</v>
      </c>
      <c r="AV179" s="449">
        <f>AU179/38*$AU$155</f>
        <v/>
      </c>
      <c r="BL179" s="449">
        <f>IF(BL126="TOL",$BZ$115,BL126)</f>
        <v/>
      </c>
      <c r="BM179">
        <f>BM126</f>
        <v/>
      </c>
    </row>
    <row r="180">
      <c r="AD180" t="n">
        <v>21</v>
      </c>
      <c r="AE180" s="449">
        <f>AD180/38*$AD$155</f>
        <v/>
      </c>
      <c r="AU180" t="n">
        <v>21</v>
      </c>
      <c r="AV180" s="449">
        <f>AU180/38*$AU$155</f>
        <v/>
      </c>
      <c r="BL180">
        <f>BL127</f>
        <v/>
      </c>
      <c r="BM180">
        <f>BM127</f>
        <v/>
      </c>
      <c r="BX180">
        <f>BL91</f>
        <v/>
      </c>
      <c r="BY180">
        <f>BM91</f>
        <v/>
      </c>
    </row>
    <row r="181">
      <c r="AD181" t="n">
        <v>22</v>
      </c>
      <c r="AE181" s="449">
        <f>AD181/38*$AD$155</f>
        <v/>
      </c>
      <c r="AU181" t="n">
        <v>22</v>
      </c>
      <c r="AV181" s="449">
        <f>AU181/38*$AU$155</f>
        <v/>
      </c>
      <c r="BX181">
        <f>BL92</f>
        <v/>
      </c>
      <c r="BY181">
        <f>BM92</f>
        <v/>
      </c>
    </row>
    <row r="182">
      <c r="AD182" t="n">
        <v>23</v>
      </c>
      <c r="AE182" s="449">
        <f>AD182/38*$AD$155</f>
        <v/>
      </c>
      <c r="AU182" t="n">
        <v>23</v>
      </c>
      <c r="AV182" s="449">
        <f>AU182/38*$AU$155</f>
        <v/>
      </c>
      <c r="BL182" t="n">
        <v>1</v>
      </c>
      <c r="BM182" t="n">
        <v>0</v>
      </c>
      <c r="BX182">
        <f>BL93</f>
        <v/>
      </c>
      <c r="BY182">
        <f>BM93</f>
        <v/>
      </c>
    </row>
    <row r="183">
      <c r="AD183" t="n">
        <v>24</v>
      </c>
      <c r="AE183" s="449">
        <f>AD183/38*$AD$155</f>
        <v/>
      </c>
      <c r="AU183" t="n">
        <v>24</v>
      </c>
      <c r="AV183" s="449">
        <f>AU183/38*$AU$155</f>
        <v/>
      </c>
      <c r="BL183" t="n">
        <v>2</v>
      </c>
      <c r="BM183" s="449">
        <f>BL183/38*$BL$177/1.75</f>
        <v/>
      </c>
      <c r="BX183">
        <f>IF(BL94="surface",0,BL94)</f>
        <v/>
      </c>
      <c r="BY183">
        <f>BM94</f>
        <v/>
      </c>
    </row>
    <row r="184">
      <c r="AD184" t="n">
        <v>25</v>
      </c>
      <c r="AE184" s="449">
        <f>AD184/38*$AD$155</f>
        <v/>
      </c>
      <c r="AU184" t="n">
        <v>25</v>
      </c>
      <c r="AV184" s="449">
        <f>AU184/38*$AU$155</f>
        <v/>
      </c>
      <c r="BL184" t="n">
        <v>3</v>
      </c>
      <c r="BM184" s="449">
        <f>BL184/38*$BL$177/1.31</f>
        <v/>
      </c>
      <c r="BX184" s="449">
        <f>BL95</f>
        <v/>
      </c>
      <c r="BY184">
        <f>BM95</f>
        <v/>
      </c>
    </row>
    <row r="185">
      <c r="AD185" t="n">
        <v>26</v>
      </c>
      <c r="AE185" s="449">
        <f>AD185/38*$AD$155</f>
        <v/>
      </c>
      <c r="AU185" t="n">
        <v>26</v>
      </c>
      <c r="AV185" s="449">
        <f>AU185/38*$AU$155</f>
        <v/>
      </c>
      <c r="BL185" t="n">
        <v>4</v>
      </c>
      <c r="BM185" s="449">
        <f>BL185/38*$BL$177/1.17</f>
        <v/>
      </c>
    </row>
    <row r="186">
      <c r="AD186" t="n">
        <v>27</v>
      </c>
      <c r="AE186" s="449">
        <f>AD186/38*$AD$155</f>
        <v/>
      </c>
      <c r="AU186" t="n">
        <v>27</v>
      </c>
      <c r="AV186" s="449">
        <f>AU186/38*$AU$155</f>
        <v/>
      </c>
      <c r="BL186" t="n">
        <v>5</v>
      </c>
      <c r="BM186" s="449">
        <f>BL186/38*$BL$177/1.1</f>
        <v/>
      </c>
      <c r="BX186" t="n">
        <v>1</v>
      </c>
      <c r="BY186" t="n">
        <v>0</v>
      </c>
    </row>
    <row r="187">
      <c r="AD187" t="n">
        <v>28</v>
      </c>
      <c r="AE187" s="449">
        <f>AD187/38*$AD$155</f>
        <v/>
      </c>
      <c r="AU187" t="n">
        <v>28</v>
      </c>
      <c r="AV187" s="449">
        <f>AU187/38*$AU$155</f>
        <v/>
      </c>
      <c r="BL187" t="n">
        <v>6</v>
      </c>
      <c r="BM187" s="449">
        <f>BL187/38*$BL$177/1.05</f>
        <v/>
      </c>
      <c r="BX187" t="n">
        <v>2</v>
      </c>
      <c r="BY187" s="449">
        <f>IF(BM183&lt;$BX$181,BM183,0)</f>
        <v/>
      </c>
    </row>
    <row r="188">
      <c r="AD188" t="n">
        <v>29</v>
      </c>
      <c r="AE188" s="449">
        <f>AD188/38*$AD$155</f>
        <v/>
      </c>
      <c r="AU188" t="n">
        <v>29</v>
      </c>
      <c r="AV188" s="449">
        <f>AU188/38*$AU$155</f>
        <v/>
      </c>
      <c r="BL188" t="n">
        <v>7</v>
      </c>
      <c r="BM188" s="449">
        <f>BL188/38*$BL$177</f>
        <v/>
      </c>
      <c r="BX188" t="n">
        <v>3</v>
      </c>
      <c r="BY188" s="449">
        <f>IF(BM184&lt;$BX$181,BM184,0)</f>
        <v/>
      </c>
    </row>
    <row r="189">
      <c r="AD189" t="n">
        <v>30</v>
      </c>
      <c r="AE189" s="449">
        <f>AD189/38*$AD$155</f>
        <v/>
      </c>
      <c r="AU189" t="n">
        <v>30</v>
      </c>
      <c r="AV189" s="449">
        <f>AU189/38*$AU$155</f>
        <v/>
      </c>
      <c r="BL189" t="n">
        <v>8</v>
      </c>
      <c r="BM189" s="449">
        <f>BL189/38*$BL$177</f>
        <v/>
      </c>
      <c r="BX189" t="n">
        <v>4</v>
      </c>
      <c r="BY189" s="449">
        <f>IF(BM185&lt;$BX$181,BM185,0)</f>
        <v/>
      </c>
    </row>
    <row r="190">
      <c r="AD190" t="n">
        <v>31</v>
      </c>
      <c r="AE190" s="449">
        <f>AD190/38*$AD$155</f>
        <v/>
      </c>
      <c r="AU190" t="n">
        <v>31</v>
      </c>
      <c r="AV190" s="449">
        <f>AU190/38*$AU$155</f>
        <v/>
      </c>
      <c r="BL190" t="n">
        <v>9</v>
      </c>
      <c r="BM190" s="449">
        <f>BL190/38*$BL$177</f>
        <v/>
      </c>
      <c r="BX190" t="n">
        <v>5</v>
      </c>
      <c r="BY190" s="449">
        <f>IF(BM186&lt;$BX$181,BM186,0)</f>
        <v/>
      </c>
    </row>
    <row r="191">
      <c r="AD191" t="n">
        <v>32</v>
      </c>
      <c r="AE191" s="449">
        <f>AD191/38*$AD$155</f>
        <v/>
      </c>
      <c r="AU191" t="n">
        <v>32</v>
      </c>
      <c r="AV191" s="449">
        <f>AU191/38*$AU$155</f>
        <v/>
      </c>
      <c r="BL191" t="n">
        <v>10</v>
      </c>
      <c r="BM191" s="449">
        <f>BL191/38*$BL$177</f>
        <v/>
      </c>
      <c r="BX191" t="n">
        <v>6</v>
      </c>
      <c r="BY191" s="449">
        <f>IF(BM187&lt;$BX$181,BM187,0)</f>
        <v/>
      </c>
    </row>
    <row r="192">
      <c r="AD192" t="n">
        <v>33</v>
      </c>
      <c r="AE192" s="449">
        <f>AD192/38*$AD$155</f>
        <v/>
      </c>
      <c r="AU192" t="n">
        <v>33</v>
      </c>
      <c r="AV192" s="449">
        <f>AU192/38*$AU$155</f>
        <v/>
      </c>
      <c r="BL192" t="n">
        <v>11</v>
      </c>
      <c r="BM192" s="449">
        <f>BL192/38*$BL$177</f>
        <v/>
      </c>
      <c r="BX192" t="n">
        <v>7</v>
      </c>
      <c r="BY192" s="449">
        <f>IF(BM188&lt;$BX$181,BM188,0)</f>
        <v/>
      </c>
    </row>
    <row r="193">
      <c r="AD193" t="n">
        <v>34</v>
      </c>
      <c r="AE193" s="449">
        <f>AD193/38*$AD$155</f>
        <v/>
      </c>
      <c r="AU193" t="n">
        <v>34</v>
      </c>
      <c r="AV193" s="449">
        <f>AU193/38*$AU$155</f>
        <v/>
      </c>
      <c r="BL193" t="n">
        <v>12</v>
      </c>
      <c r="BM193" s="449">
        <f>BL193/38*$BL$177</f>
        <v/>
      </c>
      <c r="BX193" t="n">
        <v>8</v>
      </c>
      <c r="BY193" s="449">
        <f>IF(BM189&lt;$BX$181,BM189,0)</f>
        <v/>
      </c>
    </row>
    <row r="194">
      <c r="AD194" t="n">
        <v>35</v>
      </c>
      <c r="AE194" s="449">
        <f>AD194/38*$AD$155</f>
        <v/>
      </c>
      <c r="AU194" t="n">
        <v>35</v>
      </c>
      <c r="AV194" s="449">
        <f>AU194/38*$AU$155</f>
        <v/>
      </c>
      <c r="BL194" t="n">
        <v>13</v>
      </c>
      <c r="BM194" s="449">
        <f>BL194/38*$BL$177</f>
        <v/>
      </c>
      <c r="BX194" t="n">
        <v>9</v>
      </c>
      <c r="BY194" s="449">
        <f>IF(BM190&lt;$BX$181,BM190,0)</f>
        <v/>
      </c>
    </row>
    <row r="195">
      <c r="AD195" t="n">
        <v>36</v>
      </c>
      <c r="AE195" s="449">
        <f>AD195/38*$AD$155</f>
        <v/>
      </c>
      <c r="AU195" t="n">
        <v>36</v>
      </c>
      <c r="AV195" s="449">
        <f>AU195/38*$AU$155</f>
        <v/>
      </c>
      <c r="BL195" t="n">
        <v>14</v>
      </c>
      <c r="BM195" s="449">
        <f>BL195/38*$BL$177</f>
        <v/>
      </c>
      <c r="BX195" t="n">
        <v>10</v>
      </c>
      <c r="BY195" s="449">
        <f>IF(BM191&lt;$BX$181,BM191,0)</f>
        <v/>
      </c>
    </row>
    <row r="196">
      <c r="AD196" t="n">
        <v>37</v>
      </c>
      <c r="AE196" s="449">
        <f>AD196/38*$AD$155</f>
        <v/>
      </c>
      <c r="AU196" t="n">
        <v>37</v>
      </c>
      <c r="AV196" s="449">
        <f>AU196/38*$AU$155</f>
        <v/>
      </c>
      <c r="BL196" t="n">
        <v>15</v>
      </c>
      <c r="BM196" s="449">
        <f>BL196/38*$BL$177</f>
        <v/>
      </c>
      <c r="BX196" t="n">
        <v>11</v>
      </c>
      <c r="BY196" s="449">
        <f>IF(BM192&lt;$BX$181,BM192,0)</f>
        <v/>
      </c>
    </row>
    <row r="197">
      <c r="AD197" t="n">
        <v>38</v>
      </c>
      <c r="AE197" s="449">
        <f>AD197/38*$AD$155</f>
        <v/>
      </c>
      <c r="AU197" t="n">
        <v>38</v>
      </c>
      <c r="AV197" s="449">
        <f>AU197/38*$AU$155</f>
        <v/>
      </c>
      <c r="BL197" t="n">
        <v>16</v>
      </c>
      <c r="BM197" s="449">
        <f>BL197/38*$BL$177</f>
        <v/>
      </c>
      <c r="BX197" t="n">
        <v>12</v>
      </c>
      <c r="BY197" s="449">
        <f>IF(BM193&lt;$BX$181,BM193,0)</f>
        <v/>
      </c>
    </row>
    <row r="198">
      <c r="BL198" t="n">
        <v>17</v>
      </c>
      <c r="BM198" s="449">
        <f>BL198/38*$BL$177</f>
        <v/>
      </c>
    </row>
    <row r="199">
      <c r="BL199" t="n">
        <v>18</v>
      </c>
      <c r="BM199" s="449">
        <f>BL199/38*$BL$177</f>
        <v/>
      </c>
    </row>
    <row r="200">
      <c r="BL200" t="n">
        <v>19</v>
      </c>
      <c r="BM200" s="449">
        <f>BL200/38*$BL$177</f>
        <v/>
      </c>
    </row>
    <row r="201">
      <c r="BL201" t="n">
        <v>20</v>
      </c>
      <c r="BM201" s="449">
        <f>BL201/38*$BL$177</f>
        <v/>
      </c>
    </row>
    <row r="202">
      <c r="BL202" t="n">
        <v>21</v>
      </c>
      <c r="BM202" s="449">
        <f>BL202/38*$BL$177</f>
        <v/>
      </c>
    </row>
    <row r="203">
      <c r="BL203" t="n">
        <v>22</v>
      </c>
      <c r="BM203" s="449">
        <f>BL203/38*$BL$177</f>
        <v/>
      </c>
    </row>
    <row r="204">
      <c r="BL204" t="n">
        <v>23</v>
      </c>
      <c r="BM204" s="449">
        <f>BL204/38*$BL$177</f>
        <v/>
      </c>
    </row>
    <row r="205">
      <c r="BL205" t="n">
        <v>24</v>
      </c>
      <c r="BM205" s="449">
        <f>BL205/38*$BL$177</f>
        <v/>
      </c>
    </row>
    <row r="206">
      <c r="BL206" t="n">
        <v>25</v>
      </c>
      <c r="BM206" s="449">
        <f>BL206/38*$BL$177</f>
        <v/>
      </c>
    </row>
    <row r="207">
      <c r="BL207" t="n">
        <v>26</v>
      </c>
      <c r="BM207" s="449">
        <f>BL207/38*$BL$177</f>
        <v/>
      </c>
    </row>
    <row r="208">
      <c r="BL208" t="n">
        <v>27</v>
      </c>
      <c r="BM208" s="449">
        <f>BL208/38*$BL$177</f>
        <v/>
      </c>
    </row>
    <row r="209">
      <c r="BL209" t="n">
        <v>28</v>
      </c>
      <c r="BM209" s="449">
        <f>BL209/38*$BL$177</f>
        <v/>
      </c>
    </row>
    <row r="210">
      <c r="BL210" t="n">
        <v>29</v>
      </c>
      <c r="BM210" s="449">
        <f>BL210/38*$BL$177</f>
        <v/>
      </c>
    </row>
    <row r="211">
      <c r="BL211" t="n">
        <v>30</v>
      </c>
      <c r="BM211" s="449">
        <f>BL211/38*$BL$177</f>
        <v/>
      </c>
    </row>
    <row r="212">
      <c r="BL212" t="n">
        <v>31</v>
      </c>
      <c r="BM212" s="449">
        <f>BL212/38*$BL$177</f>
        <v/>
      </c>
    </row>
    <row r="213">
      <c r="BL213" t="n">
        <v>32</v>
      </c>
      <c r="BM213" s="449">
        <f>BL213/38*$BL$177</f>
        <v/>
      </c>
    </row>
    <row r="214">
      <c r="BL214" t="n">
        <v>33</v>
      </c>
      <c r="BM214" s="449">
        <f>BL214/38*$BL$177</f>
        <v/>
      </c>
    </row>
    <row r="215">
      <c r="BL215" t="n">
        <v>34</v>
      </c>
      <c r="BM215" s="449">
        <f>BL215/38*$BL$177</f>
        <v/>
      </c>
    </row>
    <row r="216">
      <c r="BL216" t="n">
        <v>35</v>
      </c>
      <c r="BM216" s="449">
        <f>BL216/38*$BL$177</f>
        <v/>
      </c>
    </row>
    <row r="217">
      <c r="BL217" t="n">
        <v>36</v>
      </c>
      <c r="BM217" s="449">
        <f>BL217/38*$BL$177</f>
        <v/>
      </c>
    </row>
    <row r="218">
      <c r="BL218" t="n">
        <v>37</v>
      </c>
      <c r="BM218" s="449">
        <f>BL218/38*$BL$177</f>
        <v/>
      </c>
    </row>
    <row r="219">
      <c r="BL219" t="n">
        <v>38</v>
      </c>
      <c r="BM219" s="449">
        <f>BL219/38*$BL$177</f>
        <v/>
      </c>
    </row>
  </sheetData>
  <mergeCells count="68">
    <mergeCell ref="BO131:BP131"/>
    <mergeCell ref="AX131:AY131"/>
    <mergeCell ref="BQ131:BR131"/>
    <mergeCell ref="BS131:BT131"/>
    <mergeCell ref="CL131:CM131"/>
    <mergeCell ref="BU131:BV131"/>
    <mergeCell ref="AJ130:AK130"/>
    <mergeCell ref="CH130:CI130"/>
    <mergeCell ref="AW120:AX120"/>
    <mergeCell ref="CJ130:CK130"/>
    <mergeCell ref="BS130:BT130"/>
    <mergeCell ref="CC88:CP88"/>
    <mergeCell ref="BU130:BV130"/>
    <mergeCell ref="AF120:AG120"/>
    <mergeCell ref="BL88:BY88"/>
    <mergeCell ref="CL130:CM130"/>
    <mergeCell ref="AD89:AR89"/>
    <mergeCell ref="BD131:BE131"/>
    <mergeCell ref="CF132:CG132"/>
    <mergeCell ref="BO132:BP132"/>
    <mergeCell ref="CH132:CI132"/>
    <mergeCell ref="CJ132:CK132"/>
    <mergeCell ref="BS132:BT132"/>
    <mergeCell ref="AU88:BH88"/>
    <mergeCell ref="BB130:BC130"/>
    <mergeCell ref="CC87:CP87"/>
    <mergeCell ref="CJ131:CK131"/>
    <mergeCell ref="BD130:BE130"/>
    <mergeCell ref="BN121:BO121"/>
    <mergeCell ref="CE121:CF121"/>
    <mergeCell ref="AW121:AX121"/>
    <mergeCell ref="AU87:BH87"/>
    <mergeCell ref="BL87:BY87"/>
    <mergeCell ref="AH131:AI131"/>
    <mergeCell ref="AJ131:AK131"/>
    <mergeCell ref="AE132:AF132"/>
    <mergeCell ref="AK132:AL132"/>
    <mergeCell ref="AN131:AO131"/>
    <mergeCell ref="CC89:CP89"/>
    <mergeCell ref="BN120:BO120"/>
    <mergeCell ref="AU89:BH89"/>
    <mergeCell ref="AH130:AI130"/>
    <mergeCell ref="AF121:AG121"/>
    <mergeCell ref="AI132:AJ132"/>
    <mergeCell ref="AL130:AM130"/>
    <mergeCell ref="AD87:AR87"/>
    <mergeCell ref="AN130:AO130"/>
    <mergeCell ref="BO130:BP130"/>
    <mergeCell ref="CE119:CF119"/>
    <mergeCell ref="BL89:BY89"/>
    <mergeCell ref="BQ130:BR130"/>
    <mergeCell ref="AZ131:BA131"/>
    <mergeCell ref="BB131:BC131"/>
    <mergeCell ref="BN119:BO119"/>
    <mergeCell ref="AW119:AX119"/>
    <mergeCell ref="AD88:AR88"/>
    <mergeCell ref="CD132:CE132"/>
    <mergeCell ref="AL131:AM131"/>
    <mergeCell ref="AX130:AY130"/>
    <mergeCell ref="CF131:CG131"/>
    <mergeCell ref="BM132:BN132"/>
    <mergeCell ref="AZ130:BA130"/>
    <mergeCell ref="CH131:CI131"/>
    <mergeCell ref="AF119:AG119"/>
    <mergeCell ref="AG132:AH132"/>
    <mergeCell ref="CF130:CG130"/>
    <mergeCell ref="CE120:CF120"/>
    <mergeCell ref="BQ132:BR132"/>
  </mergeCells>
  <conditionalFormatting sqref="AY91 BE91">
    <cfRule type="expression" priority="2859" dxfId="769">
      <formula>$AU$138=0</formula>
    </cfRule>
    <cfRule type="expression" priority="2860" dxfId="768">
      <formula>$AU$137=0</formula>
    </cfRule>
  </conditionalFormatting>
  <conditionalFormatting sqref="BE92">
    <cfRule type="expression" priority="694" dxfId="769">
      <formula>$AV141&gt;$AU$138</formula>
    </cfRule>
    <cfRule type="expression" priority="2857" dxfId="768">
      <formula>$AV141&gt;$AU$137</formula>
    </cfRule>
    <cfRule type="expression" priority="2858" dxfId="753">
      <formula>$AV141&gt;0</formula>
    </cfRule>
  </conditionalFormatting>
  <conditionalFormatting sqref="AZ91 BD91">
    <cfRule type="expression" priority="2819" dxfId="769">
      <formula>$BG$138=0</formula>
    </cfRule>
    <cfRule type="expression" priority="2820" dxfId="768">
      <formula>$BG$137=0</formula>
    </cfRule>
  </conditionalFormatting>
  <conditionalFormatting sqref="BD92">
    <cfRule type="expression" priority="624" dxfId="769">
      <formula>$BH141&gt;$BG$138</formula>
    </cfRule>
    <cfRule type="expression" priority="2817" dxfId="768">
      <formula>$BH141&gt;$BG$137</formula>
    </cfRule>
    <cfRule type="expression" priority="2818" dxfId="753">
      <formula>$BH141&gt;0</formula>
    </cfRule>
  </conditionalFormatting>
  <conditionalFormatting sqref="BP91 BV91">
    <cfRule type="expression" priority="2662" dxfId="769">
      <formula>$BL$138=0</formula>
    </cfRule>
    <cfRule type="expression" priority="2663" dxfId="768">
      <formula>$BL$137=0</formula>
    </cfRule>
  </conditionalFormatting>
  <conditionalFormatting sqref="BP92">
    <cfRule type="expression" priority="1320" dxfId="769">
      <formula>$BM141&gt;$BL$138</formula>
    </cfRule>
    <cfRule type="expression" priority="2660" dxfId="768">
      <formula>$BM141&gt;$BL$137</formula>
    </cfRule>
    <cfRule type="expression" priority="2661" dxfId="752">
      <formula>$BM141&gt;0</formula>
    </cfRule>
  </conditionalFormatting>
  <conditionalFormatting sqref="AI91 AM91">
    <cfRule type="expression" priority="2584" dxfId="768">
      <formula>$AQ$137=0</formula>
    </cfRule>
  </conditionalFormatting>
  <conditionalFormatting sqref="BQ91 BU91">
    <cfRule type="expression" priority="2485" dxfId="768">
      <formula>$BX$137=0</formula>
    </cfRule>
  </conditionalFormatting>
  <conditionalFormatting sqref="BQ92 BU92">
    <cfRule type="expression" priority="1120" dxfId="769">
      <formula>$BY141&gt;$BX$138</formula>
    </cfRule>
    <cfRule type="expression" priority="1226" dxfId="768">
      <formula>$BY141&gt;$BX$137</formula>
    </cfRule>
  </conditionalFormatting>
  <conditionalFormatting sqref="AJ91 AL91">
    <cfRule type="expression" priority="2339" dxfId="768">
      <formula>$AD$157=0</formula>
    </cfRule>
  </conditionalFormatting>
  <conditionalFormatting sqref="AJ92 AL92">
    <cfRule type="expression" priority="2337" dxfId="769">
      <formula>$AE161&gt;$AD$158</formula>
    </cfRule>
    <cfRule type="expression" priority="2338" dxfId="768">
      <formula>$AE161&gt;$AD$157</formula>
    </cfRule>
  </conditionalFormatting>
  <conditionalFormatting sqref="AJ93">
    <cfRule type="expression" priority="2335" dxfId="769">
      <formula>$AE162&gt;$AD$158</formula>
    </cfRule>
    <cfRule type="expression" priority="2336" dxfId="768">
      <formula>$AE162&gt;$AD$157</formula>
    </cfRule>
  </conditionalFormatting>
  <conditionalFormatting sqref="AJ94">
    <cfRule type="expression" priority="2333" dxfId="769">
      <formula>$AE163&gt;$AD$158</formula>
    </cfRule>
    <cfRule type="expression" priority="2334" dxfId="768">
      <formula>$AE163&gt;$AD$157</formula>
    </cfRule>
  </conditionalFormatting>
  <conditionalFormatting sqref="AJ95">
    <cfRule type="expression" priority="2331" dxfId="769">
      <formula>$AE164&gt;$AD$158</formula>
    </cfRule>
    <cfRule type="expression" priority="2332" dxfId="768">
      <formula>$AE164&gt;$AD$157</formula>
    </cfRule>
  </conditionalFormatting>
  <conditionalFormatting sqref="AJ96">
    <cfRule type="expression" priority="2329" dxfId="769">
      <formula>$AE165&gt;$AD$158</formula>
    </cfRule>
    <cfRule type="expression" priority="2330" dxfId="768">
      <formula>$AE165&gt;$AD$157</formula>
    </cfRule>
  </conditionalFormatting>
  <conditionalFormatting sqref="AJ97">
    <cfRule type="expression" priority="2327" dxfId="769">
      <formula>$AE166&gt;$AD$158</formula>
    </cfRule>
    <cfRule type="expression" priority="2328" dxfId="768">
      <formula>$AE166&gt;$AD$157</formula>
    </cfRule>
  </conditionalFormatting>
  <conditionalFormatting sqref="AJ98">
    <cfRule type="expression" priority="2325" dxfId="769">
      <formula>$AE167&gt;$AD$158</formula>
    </cfRule>
    <cfRule type="expression" priority="2326" dxfId="768">
      <formula>$AE167&gt;$AD$157</formula>
    </cfRule>
  </conditionalFormatting>
  <conditionalFormatting sqref="AJ99">
    <cfRule type="expression" priority="2323" dxfId="769">
      <formula>$AE168&gt;$AD$158</formula>
    </cfRule>
    <cfRule type="expression" priority="2324" dxfId="768">
      <formula>$AE168&gt;$AD$157</formula>
    </cfRule>
  </conditionalFormatting>
  <conditionalFormatting sqref="AJ100">
    <cfRule type="expression" priority="2321" dxfId="769">
      <formula>$AE169&gt;$AD$158</formula>
    </cfRule>
    <cfRule type="expression" priority="2322" dxfId="768">
      <formula>$AE169&gt;$AD$157</formula>
    </cfRule>
  </conditionalFormatting>
  <conditionalFormatting sqref="AJ101">
    <cfRule type="expression" priority="2319" dxfId="769">
      <formula>$AE170&gt;$AD$158</formula>
    </cfRule>
    <cfRule type="expression" priority="2320" dxfId="768">
      <formula>$AE170&gt;$AD$157</formula>
    </cfRule>
  </conditionalFormatting>
  <conditionalFormatting sqref="AJ102">
    <cfRule type="expression" priority="2317" dxfId="769">
      <formula>$AE171&gt;$AD$158</formula>
    </cfRule>
    <cfRule type="expression" priority="2318" dxfId="768">
      <formula>$AE171&gt;$AD$157</formula>
    </cfRule>
  </conditionalFormatting>
  <conditionalFormatting sqref="AJ103">
    <cfRule type="expression" priority="2315" dxfId="769">
      <formula>$AE172&gt;$AD$158</formula>
    </cfRule>
    <cfRule type="expression" priority="2316" dxfId="768">
      <formula>$AE172&gt;$AD$157</formula>
    </cfRule>
  </conditionalFormatting>
  <conditionalFormatting sqref="AJ104">
    <cfRule type="expression" priority="2313" dxfId="769">
      <formula>$AE173&gt;$AD$158</formula>
    </cfRule>
    <cfRule type="expression" priority="2314" dxfId="768">
      <formula>$AE173&gt;$AD$157</formula>
    </cfRule>
  </conditionalFormatting>
  <conditionalFormatting sqref="AJ105">
    <cfRule type="expression" priority="2311" dxfId="769">
      <formula>$AE174&gt;$AD$158</formula>
    </cfRule>
    <cfRule type="expression" priority="2312" dxfId="768">
      <formula>$AE174&gt;$AD$157</formula>
    </cfRule>
  </conditionalFormatting>
  <conditionalFormatting sqref="AJ106">
    <cfRule type="expression" priority="2309" dxfId="769">
      <formula>$AE175&gt;$AD$158</formula>
    </cfRule>
    <cfRule type="expression" priority="2310" dxfId="768">
      <formula>$AE175&gt;$AD$157</formula>
    </cfRule>
  </conditionalFormatting>
  <conditionalFormatting sqref="AJ107">
    <cfRule type="expression" priority="2307" dxfId="769">
      <formula>$AE176&gt;$AD$158</formula>
    </cfRule>
    <cfRule type="expression" priority="2308" dxfId="768">
      <formula>$AE176&gt;$AD$157</formula>
    </cfRule>
  </conditionalFormatting>
  <conditionalFormatting sqref="AJ108">
    <cfRule type="expression" priority="2305" dxfId="769">
      <formula>$AE177&gt;$AD$158</formula>
    </cfRule>
    <cfRule type="expression" priority="2306" dxfId="768">
      <formula>$AE177&gt;$AD$157</formula>
    </cfRule>
  </conditionalFormatting>
  <conditionalFormatting sqref="AJ109">
    <cfRule type="expression" priority="2303" dxfId="769">
      <formula>$AE178&gt;$AD$158</formula>
    </cfRule>
    <cfRule type="expression" priority="2304" dxfId="768">
      <formula>$AE178&gt;$AD$157</formula>
    </cfRule>
  </conditionalFormatting>
  <conditionalFormatting sqref="AJ110">
    <cfRule type="expression" priority="2301" dxfId="769">
      <formula>$AE179&gt;$AD$158</formula>
    </cfRule>
    <cfRule type="expression" priority="2302" dxfId="768">
      <formula>$AE179&gt;$AD$157</formula>
    </cfRule>
  </conditionalFormatting>
  <conditionalFormatting sqref="AJ111">
    <cfRule type="expression" priority="2299" dxfId="769">
      <formula>$AE180&gt;$AD$158</formula>
    </cfRule>
    <cfRule type="expression" priority="2300" dxfId="768">
      <formula>$AE180&gt;$AD$157</formula>
    </cfRule>
  </conditionalFormatting>
  <conditionalFormatting sqref="AJ112">
    <cfRule type="expression" priority="2297" dxfId="769">
      <formula>$AE181&gt;$AD$158</formula>
    </cfRule>
    <cfRule type="expression" priority="2298" dxfId="768">
      <formula>$AE181&gt;$AD$157</formula>
    </cfRule>
  </conditionalFormatting>
  <conditionalFormatting sqref="AJ113">
    <cfRule type="expression" priority="2295" dxfId="769">
      <formula>$AE182&gt;$AD$158</formula>
    </cfRule>
    <cfRule type="expression" priority="2296" dxfId="768">
      <formula>$AE182&gt;$AD$157</formula>
    </cfRule>
  </conditionalFormatting>
  <conditionalFormatting sqref="AJ114">
    <cfRule type="expression" priority="2293" dxfId="769">
      <formula>$AE183&gt;$AD$158</formula>
    </cfRule>
    <cfRule type="expression" priority="2294" dxfId="768">
      <formula>$AE183&gt;$AD$157</formula>
    </cfRule>
  </conditionalFormatting>
  <conditionalFormatting sqref="AJ115">
    <cfRule type="expression" priority="2291" dxfId="769">
      <formula>$AE184&gt;$AD$158</formula>
    </cfRule>
    <cfRule type="expression" priority="2292" dxfId="768">
      <formula>$AE184&gt;$AD$157</formula>
    </cfRule>
  </conditionalFormatting>
  <conditionalFormatting sqref="AJ116">
    <cfRule type="expression" priority="2289" dxfId="769">
      <formula>$AE185&gt;$AD$158</formula>
    </cfRule>
    <cfRule type="expression" priority="2290" dxfId="768">
      <formula>$AE185&gt;$AD$157</formula>
    </cfRule>
  </conditionalFormatting>
  <conditionalFormatting sqref="AJ117">
    <cfRule type="expression" priority="2287" dxfId="769">
      <formula>$AE186&gt;$AD$158</formula>
    </cfRule>
    <cfRule type="expression" priority="2288" dxfId="768">
      <formula>$AE186&gt;$AD$157</formula>
    </cfRule>
  </conditionalFormatting>
  <conditionalFormatting sqref="AL93">
    <cfRule type="expression" priority="2285" dxfId="769">
      <formula>$AE162&gt;$AD$158</formula>
    </cfRule>
    <cfRule type="expression" priority="2286" dxfId="768">
      <formula>$AE162&gt;$AD$157</formula>
    </cfRule>
  </conditionalFormatting>
  <conditionalFormatting sqref="AL94">
    <cfRule type="expression" priority="2283" dxfId="769">
      <formula>$AE163&gt;$AD$158</formula>
    </cfRule>
    <cfRule type="expression" priority="2284" dxfId="768">
      <formula>$AE163&gt;$AD$157</formula>
    </cfRule>
  </conditionalFormatting>
  <conditionalFormatting sqref="AL95">
    <cfRule type="expression" priority="2281" dxfId="769">
      <formula>$AE164&gt;$AD$158</formula>
    </cfRule>
    <cfRule type="expression" priority="2282" dxfId="768">
      <formula>$AE164&gt;$AD$157</formula>
    </cfRule>
  </conditionalFormatting>
  <conditionalFormatting sqref="AL96">
    <cfRule type="expression" priority="2279" dxfId="769">
      <formula>$AE165&gt;$AD$158</formula>
    </cfRule>
    <cfRule type="expression" priority="2280" dxfId="768">
      <formula>$AE165&gt;$AD$157</formula>
    </cfRule>
  </conditionalFormatting>
  <conditionalFormatting sqref="AL97">
    <cfRule type="expression" priority="2277" dxfId="769">
      <formula>$AE166&gt;$AD$158</formula>
    </cfRule>
    <cfRule type="expression" priority="2278" dxfId="768">
      <formula>$AE166&gt;$AD$157</formula>
    </cfRule>
  </conditionalFormatting>
  <conditionalFormatting sqref="AL98">
    <cfRule type="expression" priority="2275" dxfId="769">
      <formula>$AE167&gt;$AD$158</formula>
    </cfRule>
    <cfRule type="expression" priority="2276" dxfId="768">
      <formula>$AE167&gt;$AD$157</formula>
    </cfRule>
  </conditionalFormatting>
  <conditionalFormatting sqref="AL99">
    <cfRule type="expression" priority="2273" dxfId="769">
      <formula>$AE168&gt;$AD$158</formula>
    </cfRule>
    <cfRule type="expression" priority="2274" dxfId="768">
      <formula>$AE168&gt;$AD$157</formula>
    </cfRule>
  </conditionalFormatting>
  <conditionalFormatting sqref="AL100">
    <cfRule type="expression" priority="2271" dxfId="769">
      <formula>$AE169&gt;$AD$158</formula>
    </cfRule>
    <cfRule type="expression" priority="2272" dxfId="768">
      <formula>$AE169&gt;$AD$157</formula>
    </cfRule>
  </conditionalFormatting>
  <conditionalFormatting sqref="AL101">
    <cfRule type="expression" priority="2269" dxfId="769">
      <formula>$AE170&gt;$AD$158</formula>
    </cfRule>
    <cfRule type="expression" priority="2270" dxfId="768">
      <formula>$AE170&gt;$AD$157</formula>
    </cfRule>
  </conditionalFormatting>
  <conditionalFormatting sqref="AL102">
    <cfRule type="expression" priority="2267" dxfId="769">
      <formula>$AE171&gt;$AD$158</formula>
    </cfRule>
    <cfRule type="expression" priority="2268" dxfId="768">
      <formula>$AE171&gt;$AD$157</formula>
    </cfRule>
  </conditionalFormatting>
  <conditionalFormatting sqref="AL103">
    <cfRule type="expression" priority="2265" dxfId="769">
      <formula>$AE172&gt;$AD$158</formula>
    </cfRule>
    <cfRule type="expression" priority="2266" dxfId="768">
      <formula>$AE172&gt;$AD$157</formula>
    </cfRule>
  </conditionalFormatting>
  <conditionalFormatting sqref="AL104">
    <cfRule type="expression" priority="2263" dxfId="769">
      <formula>$AE173&gt;$AD$158</formula>
    </cfRule>
    <cfRule type="expression" priority="2264" dxfId="768">
      <formula>$AE173&gt;$AD$157</formula>
    </cfRule>
  </conditionalFormatting>
  <conditionalFormatting sqref="AL105">
    <cfRule type="expression" priority="2261" dxfId="769">
      <formula>$AE174&gt;$AD$158</formula>
    </cfRule>
    <cfRule type="expression" priority="2262" dxfId="768">
      <formula>$AE174&gt;$AD$157</formula>
    </cfRule>
  </conditionalFormatting>
  <conditionalFormatting sqref="AL106">
    <cfRule type="expression" priority="2259" dxfId="769">
      <formula>$AE175&gt;$AD$158</formula>
    </cfRule>
    <cfRule type="expression" priority="2260" dxfId="768">
      <formula>$AE175&gt;$AD$157</formula>
    </cfRule>
  </conditionalFormatting>
  <conditionalFormatting sqref="AL107">
    <cfRule type="expression" priority="2257" dxfId="769">
      <formula>$AE176&gt;$AD$158</formula>
    </cfRule>
    <cfRule type="expression" priority="2258" dxfId="768">
      <formula>$AE176&gt;$AD$157</formula>
    </cfRule>
  </conditionalFormatting>
  <conditionalFormatting sqref="AL108">
    <cfRule type="expression" priority="2255" dxfId="769">
      <formula>$AE177&gt;$AD$158</formula>
    </cfRule>
    <cfRule type="expression" priority="2256" dxfId="768">
      <formula>$AE177&gt;$AD$157</formula>
    </cfRule>
  </conditionalFormatting>
  <conditionalFormatting sqref="AL109">
    <cfRule type="expression" priority="2253" dxfId="769">
      <formula>$AE178&gt;$AD$158</formula>
    </cfRule>
    <cfRule type="expression" priority="2254" dxfId="768">
      <formula>$AE178&gt;$AD$157</formula>
    </cfRule>
  </conditionalFormatting>
  <conditionalFormatting sqref="AL110">
    <cfRule type="expression" priority="2251" dxfId="769">
      <formula>$AE179&gt;$AD$158</formula>
    </cfRule>
    <cfRule type="expression" priority="2252" dxfId="768">
      <formula>$AE179&gt;$AD$157</formula>
    </cfRule>
  </conditionalFormatting>
  <conditionalFormatting sqref="AL111">
    <cfRule type="expression" priority="2249" dxfId="769">
      <formula>$AE180&gt;$AD$158</formula>
    </cfRule>
    <cfRule type="expression" priority="2250" dxfId="768">
      <formula>$AE180&gt;$AD$157</formula>
    </cfRule>
  </conditionalFormatting>
  <conditionalFormatting sqref="AL112">
    <cfRule type="expression" priority="2247" dxfId="769">
      <formula>$AE181&gt;$AD$158</formula>
    </cfRule>
    <cfRule type="expression" priority="2248" dxfId="768">
      <formula>$AE181&gt;$AD$157</formula>
    </cfRule>
  </conditionalFormatting>
  <conditionalFormatting sqref="AL113">
    <cfRule type="expression" priority="2245" dxfId="769">
      <formula>$AE182&gt;$AD$158</formula>
    </cfRule>
    <cfRule type="expression" priority="2246" dxfId="768">
      <formula>$AE182&gt;$AD$157</formula>
    </cfRule>
  </conditionalFormatting>
  <conditionalFormatting sqref="AL114">
    <cfRule type="expression" priority="2243" dxfId="769">
      <formula>$AE183&gt;$AD$158</formula>
    </cfRule>
    <cfRule type="expression" priority="2244" dxfId="768">
      <formula>$AE183&gt;$AD$157</formula>
    </cfRule>
  </conditionalFormatting>
  <conditionalFormatting sqref="AL115">
    <cfRule type="expression" priority="2241" dxfId="769">
      <formula>$AE184&gt;$AD$158</formula>
    </cfRule>
    <cfRule type="expression" priority="2242" dxfId="768">
      <formula>$AE184&gt;$AD$157</formula>
    </cfRule>
  </conditionalFormatting>
  <conditionalFormatting sqref="AL116">
    <cfRule type="expression" priority="2239" dxfId="769">
      <formula>$AE185&gt;$AD$158</formula>
    </cfRule>
    <cfRule type="expression" priority="2240" dxfId="768">
      <formula>$AE185&gt;$AD$157</formula>
    </cfRule>
  </conditionalFormatting>
  <conditionalFormatting sqref="AL117">
    <cfRule type="expression" priority="2237" dxfId="769">
      <formula>$AE186&gt;$AD$158</formula>
    </cfRule>
    <cfRule type="expression" priority="2238" dxfId="768">
      <formula>$AE186&gt;$AD$157</formula>
    </cfRule>
  </conditionalFormatting>
  <conditionalFormatting sqref="AL118">
    <cfRule type="expression" priority="2235" dxfId="769">
      <formula>$AE187&gt;$AD$158</formula>
    </cfRule>
    <cfRule type="expression" priority="2236" dxfId="768">
      <formula>$AE187&gt;$AD$157</formula>
    </cfRule>
  </conditionalFormatting>
  <conditionalFormatting sqref="AL119">
    <cfRule type="expression" priority="2233" dxfId="769">
      <formula>$AE188&gt;$AD$158</formula>
    </cfRule>
    <cfRule type="expression" priority="2234" dxfId="768">
      <formula>$AE188&gt;$AD$157</formula>
    </cfRule>
  </conditionalFormatting>
  <conditionalFormatting sqref="AL120">
    <cfRule type="expression" priority="2231" dxfId="769">
      <formula>$AE189&gt;$AD$158</formula>
    </cfRule>
    <cfRule type="expression" priority="2232" dxfId="768">
      <formula>$AE189&gt;$AD$157</formula>
    </cfRule>
  </conditionalFormatting>
  <conditionalFormatting sqref="AL121">
    <cfRule type="expression" priority="2229" dxfId="769">
      <formula>$AE190&gt;$AD$158</formula>
    </cfRule>
    <cfRule type="expression" priority="2230" dxfId="768">
      <formula>$AE190&gt;$AD$157</formula>
    </cfRule>
  </conditionalFormatting>
  <conditionalFormatting sqref="AL122">
    <cfRule type="expression" priority="2227" dxfId="769">
      <formula>$AE191&gt;$AD$158</formula>
    </cfRule>
    <cfRule type="expression" priority="2228" dxfId="768">
      <formula>$AE191&gt;$AD$157</formula>
    </cfRule>
  </conditionalFormatting>
  <conditionalFormatting sqref="AL123">
    <cfRule type="expression" priority="2225" dxfId="769">
      <formula>$AE192&gt;$AD$158</formula>
    </cfRule>
    <cfRule type="expression" priority="2226" dxfId="768">
      <formula>$AE192&gt;$AD$157</formula>
    </cfRule>
  </conditionalFormatting>
  <conditionalFormatting sqref="AL124">
    <cfRule type="expression" priority="2223" dxfId="769">
      <formula>$AE193&gt;$AD$158</formula>
    </cfRule>
    <cfRule type="expression" priority="2224" dxfId="768">
      <formula>$AE193&gt;$AD$157</formula>
    </cfRule>
  </conditionalFormatting>
  <conditionalFormatting sqref="AL125">
    <cfRule type="expression" priority="2221" dxfId="769">
      <formula>$AE194&gt;$AD$158</formula>
    </cfRule>
    <cfRule type="expression" priority="2222" dxfId="768">
      <formula>$AE194&gt;$AD$157</formula>
    </cfRule>
  </conditionalFormatting>
  <conditionalFormatting sqref="AL126">
    <cfRule type="expression" priority="2219" dxfId="769">
      <formula>$AE195&gt;$AD$158</formula>
    </cfRule>
    <cfRule type="expression" priority="2220" dxfId="768">
      <formula>$AE195&gt;$AD$157</formula>
    </cfRule>
  </conditionalFormatting>
  <conditionalFormatting sqref="AL127">
    <cfRule type="expression" priority="2217" dxfId="769">
      <formula>$AE196&gt;$AD$158</formula>
    </cfRule>
    <cfRule type="expression" priority="2218" dxfId="768">
      <formula>$AE196&gt;$AD$157</formula>
    </cfRule>
  </conditionalFormatting>
  <conditionalFormatting sqref="AL128">
    <cfRule type="expression" priority="2215" dxfId="769">
      <formula>$AE197&gt;$AD$158</formula>
    </cfRule>
    <cfRule type="expression" priority="2216" dxfId="768">
      <formula>$AE197&gt;$AD$157</formula>
    </cfRule>
  </conditionalFormatting>
  <conditionalFormatting sqref="AJ118">
    <cfRule type="expression" priority="2213" dxfId="769">
      <formula>$AE187&gt;$AD$158</formula>
    </cfRule>
    <cfRule type="expression" priority="2214" dxfId="768">
      <formula>$AE187&gt;$AD$157</formula>
    </cfRule>
  </conditionalFormatting>
  <conditionalFormatting sqref="AJ119">
    <cfRule type="expression" priority="2211" dxfId="769">
      <formula>$AE188&gt;$AD$158</formula>
    </cfRule>
    <cfRule type="expression" priority="2212" dxfId="768">
      <formula>$AE188&gt;$AD$157</formula>
    </cfRule>
  </conditionalFormatting>
  <conditionalFormatting sqref="AJ120">
    <cfRule type="expression" priority="2209" dxfId="769">
      <formula>$AE189&gt;$AD$158</formula>
    </cfRule>
    <cfRule type="expression" priority="2210" dxfId="768">
      <formula>$AE189&gt;$AD$157</formula>
    </cfRule>
  </conditionalFormatting>
  <conditionalFormatting sqref="AJ121">
    <cfRule type="expression" priority="2207" dxfId="769">
      <formula>$AE190&gt;$AD$158</formula>
    </cfRule>
    <cfRule type="expression" priority="2208" dxfId="768">
      <formula>$AE190&gt;$AD$157</formula>
    </cfRule>
  </conditionalFormatting>
  <conditionalFormatting sqref="AJ122">
    <cfRule type="expression" priority="2205" dxfId="769">
      <formula>$AE191&gt;$AD$158</formula>
    </cfRule>
    <cfRule type="expression" priority="2206" dxfId="768">
      <formula>$AE191&gt;$AD$157</formula>
    </cfRule>
  </conditionalFormatting>
  <conditionalFormatting sqref="AJ123">
    <cfRule type="expression" priority="2203" dxfId="769">
      <formula>$AE192&gt;$AD$158</formula>
    </cfRule>
    <cfRule type="expression" priority="2204" dxfId="768">
      <formula>$AE192&gt;$AD$157</formula>
    </cfRule>
  </conditionalFormatting>
  <conditionalFormatting sqref="AJ124">
    <cfRule type="expression" priority="2201" dxfId="769">
      <formula>$AE193&gt;$AD$158</formula>
    </cfRule>
    <cfRule type="expression" priority="2202" dxfId="768">
      <formula>$AE193&gt;$AD$157</formula>
    </cfRule>
  </conditionalFormatting>
  <conditionalFormatting sqref="AJ125">
    <cfRule type="expression" priority="2199" dxfId="769">
      <formula>$AE194&gt;$AD$158</formula>
    </cfRule>
    <cfRule type="expression" priority="2200" dxfId="768">
      <formula>$AE194&gt;$AD$157</formula>
    </cfRule>
  </conditionalFormatting>
  <conditionalFormatting sqref="AJ126">
    <cfRule type="expression" priority="2197" dxfId="769">
      <formula>$AE195&gt;$AD$158</formula>
    </cfRule>
    <cfRule type="expression" priority="2198" dxfId="768">
      <formula>$AE195&gt;$AD$157</formula>
    </cfRule>
  </conditionalFormatting>
  <conditionalFormatting sqref="AJ127">
    <cfRule type="expression" priority="2195" dxfId="769">
      <formula>$AE196&gt;$AD$158</formula>
    </cfRule>
    <cfRule type="expression" priority="2196" dxfId="768">
      <formula>$AE196&gt;$AD$157</formula>
    </cfRule>
  </conditionalFormatting>
  <conditionalFormatting sqref="AJ128">
    <cfRule type="expression" priority="2193" dxfId="769">
      <formula>$AE197&gt;$AD$158</formula>
    </cfRule>
    <cfRule type="expression" priority="2194" dxfId="768">
      <formula>$AE197&gt;$AD$157</formula>
    </cfRule>
  </conditionalFormatting>
  <conditionalFormatting sqref="BR91 BT91">
    <cfRule type="expression" priority="2184" dxfId="769">
      <formula>$BM182&gt;$BL$180</formula>
    </cfRule>
    <cfRule type="expression" priority="2190" dxfId="768">
      <formula>$BM182+1&gt;$BL$179</formula>
    </cfRule>
  </conditionalFormatting>
  <conditionalFormatting sqref="BR92">
    <cfRule type="expression" priority="2182" dxfId="769">
      <formula>$BM183&gt;$BL$180</formula>
    </cfRule>
    <cfRule type="expression" priority="2183" dxfId="768">
      <formula>$BM183+1&gt;$BL$179</formula>
    </cfRule>
  </conditionalFormatting>
  <conditionalFormatting sqref="BR93">
    <cfRule type="expression" priority="2180" dxfId="769">
      <formula>$BM184&gt;$BL$180</formula>
    </cfRule>
    <cfRule type="expression" priority="2181" dxfId="768">
      <formula>$BM184+1&gt;$BL$179</formula>
    </cfRule>
  </conditionalFormatting>
  <conditionalFormatting sqref="BR94">
    <cfRule type="expression" priority="2178" dxfId="769">
      <formula>$BM185&gt;$BL$180</formula>
    </cfRule>
    <cfRule type="expression" priority="2179" dxfId="768">
      <formula>$BM185+1&gt;$BL$179</formula>
    </cfRule>
  </conditionalFormatting>
  <conditionalFormatting sqref="BR95">
    <cfRule type="expression" priority="2176" dxfId="769">
      <formula>$BM186&gt;$BL$180</formula>
    </cfRule>
    <cfRule type="expression" priority="2177" dxfId="768">
      <formula>$BM186+1&gt;$BL$179</formula>
    </cfRule>
  </conditionalFormatting>
  <conditionalFormatting sqref="BR96">
    <cfRule type="expression" priority="2174" dxfId="769">
      <formula>$BM187&gt;$BL$180</formula>
    </cfRule>
    <cfRule type="expression" priority="2175" dxfId="768">
      <formula>$BM187+1&gt;$BL$179</formula>
    </cfRule>
  </conditionalFormatting>
  <conditionalFormatting sqref="BR97">
    <cfRule type="expression" priority="2172" dxfId="769">
      <formula>$BM188&gt;$BL$180</formula>
    </cfRule>
    <cfRule type="expression" priority="2173" dxfId="768">
      <formula>$BM188+1&gt;$BL$179</formula>
    </cfRule>
  </conditionalFormatting>
  <conditionalFormatting sqref="BR98">
    <cfRule type="expression" priority="2170" dxfId="769">
      <formula>$BM189&gt;$BL$180</formula>
    </cfRule>
    <cfRule type="expression" priority="2171" dxfId="768">
      <formula>$BM189+1&gt;$BL$179</formula>
    </cfRule>
  </conditionalFormatting>
  <conditionalFormatting sqref="BR99">
    <cfRule type="expression" priority="2168" dxfId="769">
      <formula>$BM190&gt;$BL$180</formula>
    </cfRule>
    <cfRule type="expression" priority="2169" dxfId="768">
      <formula>$BM190+1&gt;$BL$179</formula>
    </cfRule>
  </conditionalFormatting>
  <conditionalFormatting sqref="BR100">
    <cfRule type="expression" priority="2166" dxfId="769">
      <formula>$BM191&gt;$BL$180</formula>
    </cfRule>
    <cfRule type="expression" priority="2167" dxfId="768">
      <formula>$BM191+1&gt;$BL$179</formula>
    </cfRule>
  </conditionalFormatting>
  <conditionalFormatting sqref="BR101">
    <cfRule type="expression" priority="2164" dxfId="769">
      <formula>$BM192&gt;$BL$180</formula>
    </cfRule>
    <cfRule type="expression" priority="2165" dxfId="768">
      <formula>$BM192+1&gt;$BL$179</formula>
    </cfRule>
  </conditionalFormatting>
  <conditionalFormatting sqref="BR102">
    <cfRule type="expression" priority="2162" dxfId="769">
      <formula>$BM193&gt;$BL$180</formula>
    </cfRule>
    <cfRule type="expression" priority="2163" dxfId="768">
      <formula>$BM193+1&gt;$BL$179</formula>
    </cfRule>
  </conditionalFormatting>
  <conditionalFormatting sqref="BR103">
    <cfRule type="expression" priority="2160" dxfId="769">
      <formula>$BM194&gt;$BL$180</formula>
    </cfRule>
    <cfRule type="expression" priority="2161" dxfId="768">
      <formula>$BM194+1&gt;$BL$179</formula>
    </cfRule>
  </conditionalFormatting>
  <conditionalFormatting sqref="BR104">
    <cfRule type="expression" priority="2158" dxfId="769">
      <formula>$BM195&gt;$BL$180</formula>
    </cfRule>
    <cfRule type="expression" priority="2159" dxfId="768">
      <formula>$BM195+1&gt;$BL$179</formula>
    </cfRule>
  </conditionalFormatting>
  <conditionalFormatting sqref="BR105">
    <cfRule type="expression" priority="2156" dxfId="769">
      <formula>$BM196&gt;$BL$180</formula>
    </cfRule>
    <cfRule type="expression" priority="2157" dxfId="768">
      <formula>$BM196+1&gt;$BL$179</formula>
    </cfRule>
  </conditionalFormatting>
  <conditionalFormatting sqref="BR106">
    <cfRule type="expression" priority="2154" dxfId="769">
      <formula>$BM197&gt;$BL$180</formula>
    </cfRule>
    <cfRule type="expression" priority="2155" dxfId="768">
      <formula>$BM197+1&gt;$BL$179</formula>
    </cfRule>
  </conditionalFormatting>
  <conditionalFormatting sqref="BR107">
    <cfRule type="expression" priority="2152" dxfId="769">
      <formula>$BM198&gt;$BL$180</formula>
    </cfRule>
    <cfRule type="expression" priority="2153" dxfId="768">
      <formula>$BM198+1&gt;$BL$179</formula>
    </cfRule>
  </conditionalFormatting>
  <conditionalFormatting sqref="BR108">
    <cfRule type="expression" priority="2150" dxfId="769">
      <formula>$BM199&gt;$BL$180</formula>
    </cfRule>
    <cfRule type="expression" priority="2151" dxfId="768">
      <formula>$BM199+1&gt;$BL$179</formula>
    </cfRule>
  </conditionalFormatting>
  <conditionalFormatting sqref="BR109">
    <cfRule type="expression" priority="2148" dxfId="769">
      <formula>$BM200&gt;$BL$180</formula>
    </cfRule>
    <cfRule type="expression" priority="2149" dxfId="768">
      <formula>$BM200+1&gt;$BL$179</formula>
    </cfRule>
  </conditionalFormatting>
  <conditionalFormatting sqref="BR110">
    <cfRule type="expression" priority="2146" dxfId="769">
      <formula>$BM201&gt;$BL$180</formula>
    </cfRule>
    <cfRule type="expression" priority="2147" dxfId="768">
      <formula>$BM201+1&gt;$BL$179</formula>
    </cfRule>
  </conditionalFormatting>
  <conditionalFormatting sqref="BR111">
    <cfRule type="expression" priority="2144" dxfId="769">
      <formula>$BM202&gt;$BL$180</formula>
    </cfRule>
    <cfRule type="expression" priority="2145" dxfId="768">
      <formula>$BM202+1&gt;$BL$179</formula>
    </cfRule>
  </conditionalFormatting>
  <conditionalFormatting sqref="BR112">
    <cfRule type="expression" priority="2142" dxfId="769">
      <formula>$BM203&gt;$BL$180</formula>
    </cfRule>
    <cfRule type="expression" priority="2143" dxfId="768">
      <formula>$BM203+1&gt;$BL$179</formula>
    </cfRule>
  </conditionalFormatting>
  <conditionalFormatting sqref="BR113">
    <cfRule type="expression" priority="2140" dxfId="769">
      <formula>$BM204&gt;$BL$180</formula>
    </cfRule>
    <cfRule type="expression" priority="2141" dxfId="768">
      <formula>$BM204+1&gt;$BL$179</formula>
    </cfRule>
  </conditionalFormatting>
  <conditionalFormatting sqref="BR114">
    <cfRule type="expression" priority="2138" dxfId="769">
      <formula>$BM205&gt;$BL$180</formula>
    </cfRule>
    <cfRule type="expression" priority="2139" dxfId="768">
      <formula>$BM205+1&gt;$BL$179</formula>
    </cfRule>
  </conditionalFormatting>
  <conditionalFormatting sqref="BR115">
    <cfRule type="expression" priority="2136" dxfId="769">
      <formula>$BM206&gt;$BL$180</formula>
    </cfRule>
    <cfRule type="expression" priority="2137" dxfId="768">
      <formula>$BM206+1&gt;$BL$179</formula>
    </cfRule>
  </conditionalFormatting>
  <conditionalFormatting sqref="BR116">
    <cfRule type="expression" priority="2134" dxfId="769">
      <formula>$BM207&gt;$BL$180</formula>
    </cfRule>
    <cfRule type="expression" priority="2135" dxfId="768">
      <formula>$BM207+1&gt;$BL$179</formula>
    </cfRule>
  </conditionalFormatting>
  <conditionalFormatting sqref="BR117">
    <cfRule type="expression" priority="2132" dxfId="769">
      <formula>$BM208&gt;$BL$180</formula>
    </cfRule>
    <cfRule type="expression" priority="2133" dxfId="768">
      <formula>$BM208+1&gt;$BL$179</formula>
    </cfRule>
  </conditionalFormatting>
  <conditionalFormatting sqref="BR118">
    <cfRule type="expression" priority="2130" dxfId="769">
      <formula>$BM209&gt;$BL$180</formula>
    </cfRule>
    <cfRule type="expression" priority="2131" dxfId="768">
      <formula>$BM209+1&gt;$BL$179</formula>
    </cfRule>
  </conditionalFormatting>
  <conditionalFormatting sqref="BR119">
    <cfRule type="expression" priority="2128" dxfId="769">
      <formula>$BM210&gt;$BL$180</formula>
    </cfRule>
    <cfRule type="expression" priority="2129" dxfId="768">
      <formula>$BM210+1&gt;$BL$179</formula>
    </cfRule>
  </conditionalFormatting>
  <conditionalFormatting sqref="BR120">
    <cfRule type="expression" priority="2126" dxfId="769">
      <formula>$BM211&gt;$BL$180</formula>
    </cfRule>
    <cfRule type="expression" priority="2127" dxfId="768">
      <formula>$BM211+1&gt;$BL$179</formula>
    </cfRule>
  </conditionalFormatting>
  <conditionalFormatting sqref="BR121">
    <cfRule type="expression" priority="2124" dxfId="769">
      <formula>$BM212&gt;$BL$180</formula>
    </cfRule>
    <cfRule type="expression" priority="2125" dxfId="768">
      <formula>$BM212+1&gt;$BL$179</formula>
    </cfRule>
  </conditionalFormatting>
  <conditionalFormatting sqref="BR122">
    <cfRule type="expression" priority="2122" dxfId="769">
      <formula>$BM213&gt;$BL$180</formula>
    </cfRule>
    <cfRule type="expression" priority="2123" dxfId="768">
      <formula>$BM213+1&gt;$BL$179</formula>
    </cfRule>
  </conditionalFormatting>
  <conditionalFormatting sqref="BR123">
    <cfRule type="expression" priority="2120" dxfId="769">
      <formula>$BM214&gt;$BL$180</formula>
    </cfRule>
    <cfRule type="expression" priority="2121" dxfId="768">
      <formula>$BM214+1&gt;$BL$179</formula>
    </cfRule>
  </conditionalFormatting>
  <conditionalFormatting sqref="BR124">
    <cfRule type="expression" priority="2118" dxfId="769">
      <formula>$BM215&gt;$BL$180</formula>
    </cfRule>
    <cfRule type="expression" priority="2119" dxfId="768">
      <formula>$BM215+1&gt;$BL$179</formula>
    </cfRule>
  </conditionalFormatting>
  <conditionalFormatting sqref="BR125">
    <cfRule type="expression" priority="2116" dxfId="769">
      <formula>$BM216&gt;$BL$180</formula>
    </cfRule>
    <cfRule type="expression" priority="2117" dxfId="768">
      <formula>$BM216+1&gt;$BL$179</formula>
    </cfRule>
  </conditionalFormatting>
  <conditionalFormatting sqref="BR126">
    <cfRule type="expression" priority="2114" dxfId="769">
      <formula>$BM217&gt;$BL$180</formula>
    </cfRule>
    <cfRule type="expression" priority="2115" dxfId="768">
      <formula>$BM217+1&gt;$BL$179</formula>
    </cfRule>
  </conditionalFormatting>
  <conditionalFormatting sqref="BR127">
    <cfRule type="expression" priority="2112" dxfId="769">
      <formula>$BM218&gt;$BL$180</formula>
    </cfRule>
    <cfRule type="expression" priority="2113" dxfId="768">
      <formula>$BM218+1&gt;$BL$179</formula>
    </cfRule>
  </conditionalFormatting>
  <conditionalFormatting sqref="BR128">
    <cfRule type="expression" priority="2110" dxfId="769">
      <formula>$BM219&gt;$BL$180</formula>
    </cfRule>
    <cfRule type="expression" priority="2111" dxfId="768">
      <formula>$BM219+1&gt;$BL$179</formula>
    </cfRule>
  </conditionalFormatting>
  <conditionalFormatting sqref="BT92">
    <cfRule type="expression" priority="2108" dxfId="769">
      <formula>$BM183&gt;$BL$180</formula>
    </cfRule>
    <cfRule type="expression" priority="2109" dxfId="768">
      <formula>$BM183+1&gt;$BL$179</formula>
    </cfRule>
  </conditionalFormatting>
  <conditionalFormatting sqref="BT93">
    <cfRule type="expression" priority="2106" dxfId="769">
      <formula>$BM184&gt;$BL$180</formula>
    </cfRule>
    <cfRule type="expression" priority="2107" dxfId="768">
      <formula>$BM184+1&gt;$BL$179</formula>
    </cfRule>
  </conditionalFormatting>
  <conditionalFormatting sqref="BT94">
    <cfRule type="expression" priority="2104" dxfId="769">
      <formula>$BM185&gt;$BL$180</formula>
    </cfRule>
    <cfRule type="expression" priority="2105" dxfId="768">
      <formula>$BM185+1&gt;$BL$179</formula>
    </cfRule>
  </conditionalFormatting>
  <conditionalFormatting sqref="BT95">
    <cfRule type="expression" priority="2102" dxfId="769">
      <formula>$BM186&gt;$BL$180</formula>
    </cfRule>
    <cfRule type="expression" priority="2103" dxfId="768">
      <formula>$BM186+1&gt;$BL$179</formula>
    </cfRule>
  </conditionalFormatting>
  <conditionalFormatting sqref="BT96">
    <cfRule type="expression" priority="2100" dxfId="769">
      <formula>$BM187&gt;$BL$180</formula>
    </cfRule>
    <cfRule type="expression" priority="2101" dxfId="768">
      <formula>$BM187+1&gt;$BL$179</formula>
    </cfRule>
  </conditionalFormatting>
  <conditionalFormatting sqref="BT97">
    <cfRule type="expression" priority="2098" dxfId="769">
      <formula>$BM188&gt;$BL$180</formula>
    </cfRule>
    <cfRule type="expression" priority="2099" dxfId="768">
      <formula>$BM188+1&gt;$BL$179</formula>
    </cfRule>
  </conditionalFormatting>
  <conditionalFormatting sqref="BT98">
    <cfRule type="expression" priority="2096" dxfId="769">
      <formula>$BM189&gt;$BL$180</formula>
    </cfRule>
    <cfRule type="expression" priority="2097" dxfId="768">
      <formula>$BM189+1&gt;$BL$179</formula>
    </cfRule>
  </conditionalFormatting>
  <conditionalFormatting sqref="BT99">
    <cfRule type="expression" priority="2094" dxfId="769">
      <formula>$BM190&gt;$BL$180</formula>
    </cfRule>
    <cfRule type="expression" priority="2095" dxfId="768">
      <formula>$BM190+1&gt;$BL$179</formula>
    </cfRule>
  </conditionalFormatting>
  <conditionalFormatting sqref="BT100">
    <cfRule type="expression" priority="2092" dxfId="769">
      <formula>$BM191&gt;$BL$180</formula>
    </cfRule>
    <cfRule type="expression" priority="2093" dxfId="768">
      <formula>$BM191+1&gt;$BL$179</formula>
    </cfRule>
  </conditionalFormatting>
  <conditionalFormatting sqref="BT101">
    <cfRule type="expression" priority="2090" dxfId="769">
      <formula>$BM192&gt;$BL$180</formula>
    </cfRule>
    <cfRule type="expression" priority="2091" dxfId="768">
      <formula>$BM192+1&gt;$BL$179</formula>
    </cfRule>
  </conditionalFormatting>
  <conditionalFormatting sqref="BT102">
    <cfRule type="expression" priority="2088" dxfId="769">
      <formula>$BM193&gt;$BL$180</formula>
    </cfRule>
    <cfRule type="expression" priority="2089" dxfId="768">
      <formula>$BM193+1&gt;$BL$179</formula>
    </cfRule>
  </conditionalFormatting>
  <conditionalFormatting sqref="BT103">
    <cfRule type="expression" priority="2086" dxfId="769">
      <formula>$BM194&gt;$BL$180</formula>
    </cfRule>
    <cfRule type="expression" priority="2087" dxfId="768">
      <formula>$BM194+1&gt;$BL$179</formula>
    </cfRule>
  </conditionalFormatting>
  <conditionalFormatting sqref="BT104">
    <cfRule type="expression" priority="2084" dxfId="769">
      <formula>$BM195&gt;$BL$180</formula>
    </cfRule>
    <cfRule type="expression" priority="2085" dxfId="768">
      <formula>$BM195+1&gt;$BL$179</formula>
    </cfRule>
  </conditionalFormatting>
  <conditionalFormatting sqref="BT105">
    <cfRule type="expression" priority="2082" dxfId="769">
      <formula>$BM196&gt;$BL$180</formula>
    </cfRule>
    <cfRule type="expression" priority="2083" dxfId="768">
      <formula>$BM196+1&gt;$BL$179</formula>
    </cfRule>
  </conditionalFormatting>
  <conditionalFormatting sqref="BT106">
    <cfRule type="expression" priority="2080" dxfId="769">
      <formula>$BM197&gt;$BL$180</formula>
    </cfRule>
    <cfRule type="expression" priority="2081" dxfId="768">
      <formula>$BM197+1&gt;$BL$179</formula>
    </cfRule>
  </conditionalFormatting>
  <conditionalFormatting sqref="BT107">
    <cfRule type="expression" priority="2078" dxfId="769">
      <formula>$BM198&gt;$BL$180</formula>
    </cfRule>
    <cfRule type="expression" priority="2079" dxfId="768">
      <formula>$BM198+1&gt;$BL$179</formula>
    </cfRule>
  </conditionalFormatting>
  <conditionalFormatting sqref="BT108">
    <cfRule type="expression" priority="2076" dxfId="769">
      <formula>$BM199&gt;$BL$180</formula>
    </cfRule>
    <cfRule type="expression" priority="2077" dxfId="768">
      <formula>$BM199+1&gt;$BL$179</formula>
    </cfRule>
  </conditionalFormatting>
  <conditionalFormatting sqref="BT109">
    <cfRule type="expression" priority="2074" dxfId="769">
      <formula>$BM200&gt;$BL$180</formula>
    </cfRule>
    <cfRule type="expression" priority="2075" dxfId="768">
      <formula>$BM200+1&gt;$BL$179</formula>
    </cfRule>
  </conditionalFormatting>
  <conditionalFormatting sqref="BT110">
    <cfRule type="expression" priority="2072" dxfId="769">
      <formula>$BM201&gt;$BL$180</formula>
    </cfRule>
    <cfRule type="expression" priority="2073" dxfId="768">
      <formula>$BM201+1&gt;$BL$179</formula>
    </cfRule>
  </conditionalFormatting>
  <conditionalFormatting sqref="BT111">
    <cfRule type="expression" priority="2070" dxfId="769">
      <formula>$BM202&gt;$BL$180</formula>
    </cfRule>
    <cfRule type="expression" priority="2071" dxfId="768">
      <formula>$BM202+1&gt;$BL$179</formula>
    </cfRule>
  </conditionalFormatting>
  <conditionalFormatting sqref="BT112">
    <cfRule type="expression" priority="2068" dxfId="769">
      <formula>$BM203&gt;$BL$180</formula>
    </cfRule>
    <cfRule type="expression" priority="2069" dxfId="768">
      <formula>$BM203+1&gt;$BL$179</formula>
    </cfRule>
  </conditionalFormatting>
  <conditionalFormatting sqref="BT113">
    <cfRule type="expression" priority="2066" dxfId="769">
      <formula>$BM204&gt;$BL$180</formula>
    </cfRule>
    <cfRule type="expression" priority="2067" dxfId="768">
      <formula>$BM204+1&gt;$BL$179</formula>
    </cfRule>
  </conditionalFormatting>
  <conditionalFormatting sqref="BT114">
    <cfRule type="expression" priority="2064" dxfId="769">
      <formula>$BM205&gt;$BL$180</formula>
    </cfRule>
    <cfRule type="expression" priority="2065" dxfId="768">
      <formula>$BM205+1&gt;$BL$179</formula>
    </cfRule>
  </conditionalFormatting>
  <conditionalFormatting sqref="BT115">
    <cfRule type="expression" priority="2062" dxfId="769">
      <formula>$BM206&gt;$BL$180</formula>
    </cfRule>
    <cfRule type="expression" priority="2063" dxfId="768">
      <formula>$BM206+1&gt;$BL$179</formula>
    </cfRule>
  </conditionalFormatting>
  <conditionalFormatting sqref="BT116">
    <cfRule type="expression" priority="2060" dxfId="769">
      <formula>$BM207&gt;$BL$180</formula>
    </cfRule>
    <cfRule type="expression" priority="2061" dxfId="768">
      <formula>$BM207+1&gt;$BL$179</formula>
    </cfRule>
  </conditionalFormatting>
  <conditionalFormatting sqref="BT117">
    <cfRule type="expression" priority="2058" dxfId="769">
      <formula>$BM208&gt;$BL$180</formula>
    </cfRule>
    <cfRule type="expression" priority="2059" dxfId="768">
      <formula>$BM208+1&gt;$BL$179</formula>
    </cfRule>
  </conditionalFormatting>
  <conditionalFormatting sqref="BT118">
    <cfRule type="expression" priority="2056" dxfId="769">
      <formula>$BM209&gt;$BL$180</formula>
    </cfRule>
    <cfRule type="expression" priority="2057" dxfId="768">
      <formula>$BM209+1&gt;$BL$179</formula>
    </cfRule>
  </conditionalFormatting>
  <conditionalFormatting sqref="BT119">
    <cfRule type="expression" priority="2054" dxfId="769">
      <formula>$BM210&gt;$BL$180</formula>
    </cfRule>
    <cfRule type="expression" priority="2055" dxfId="768">
      <formula>$BM210+1&gt;$BL$179</formula>
    </cfRule>
  </conditionalFormatting>
  <conditionalFormatting sqref="BT120">
    <cfRule type="expression" priority="2052" dxfId="769">
      <formula>$BM211&gt;$BL$180</formula>
    </cfRule>
    <cfRule type="expression" priority="2053" dxfId="768">
      <formula>$BM211+1&gt;$BL$179</formula>
    </cfRule>
  </conditionalFormatting>
  <conditionalFormatting sqref="BT121">
    <cfRule type="expression" priority="2050" dxfId="769">
      <formula>$BM212&gt;$BL$180</formula>
    </cfRule>
    <cfRule type="expression" priority="2051" dxfId="768">
      <formula>$BM212+1&gt;$BL$179</formula>
    </cfRule>
  </conditionalFormatting>
  <conditionalFormatting sqref="BT122">
    <cfRule type="expression" priority="2048" dxfId="769">
      <formula>$BM213&gt;$BL$180</formula>
    </cfRule>
    <cfRule type="expression" priority="2049" dxfId="768">
      <formula>$BM213+1&gt;$BL$179</formula>
    </cfRule>
  </conditionalFormatting>
  <conditionalFormatting sqref="BT123">
    <cfRule type="expression" priority="2046" dxfId="769">
      <formula>$BM214&gt;$BL$180</formula>
    </cfRule>
    <cfRule type="expression" priority="2047" dxfId="768">
      <formula>$BM214+1&gt;$BL$179</formula>
    </cfRule>
  </conditionalFormatting>
  <conditionalFormatting sqref="BT124">
    <cfRule type="expression" priority="2044" dxfId="769">
      <formula>$BM215&gt;$BL$180</formula>
    </cfRule>
    <cfRule type="expression" priority="2045" dxfId="768">
      <formula>$BM215+1&gt;$BL$179</formula>
    </cfRule>
  </conditionalFormatting>
  <conditionalFormatting sqref="BT125">
    <cfRule type="expression" priority="2042" dxfId="769">
      <formula>$BM216&gt;$BL$180</formula>
    </cfRule>
    <cfRule type="expression" priority="2043" dxfId="768">
      <formula>$BM216+1&gt;$BL$179</formula>
    </cfRule>
  </conditionalFormatting>
  <conditionalFormatting sqref="BT126">
    <cfRule type="expression" priority="2040" dxfId="769">
      <formula>$BM217&gt;$BL$180</formula>
    </cfRule>
    <cfRule type="expression" priority="2041" dxfId="768">
      <formula>$BM217+1&gt;$BL$179</formula>
    </cfRule>
  </conditionalFormatting>
  <conditionalFormatting sqref="BT127">
    <cfRule type="expression" priority="2038" dxfId="769">
      <formula>$BM218&gt;$BL$180</formula>
    </cfRule>
    <cfRule type="expression" priority="2039" dxfId="768">
      <formula>$BM218+1&gt;$BL$179</formula>
    </cfRule>
  </conditionalFormatting>
  <conditionalFormatting sqref="BT128">
    <cfRule type="expression" priority="2036" dxfId="769">
      <formula>$BM219&gt;$BL$180</formula>
    </cfRule>
    <cfRule type="expression" priority="2037" dxfId="768">
      <formula>$BM219+1&gt;$BL$179</formula>
    </cfRule>
  </conditionalFormatting>
  <conditionalFormatting sqref="AH91 AN91">
    <cfRule type="expression" priority="2010" dxfId="769">
      <formula>$AE$140=$AD$138</formula>
    </cfRule>
    <cfRule type="expression" priority="2011" dxfId="768">
      <formula>$AE$140=$AD$137</formula>
    </cfRule>
  </conditionalFormatting>
  <conditionalFormatting sqref="AN92">
    <cfRule type="expression" priority="1996" dxfId="1907">
      <formula>$AE141&gt;$AD$138</formula>
    </cfRule>
    <cfRule type="expression" priority="1997" dxfId="1906">
      <formula>$AE141&gt;$AD$137</formula>
    </cfRule>
    <cfRule type="expression" priority="2009" dxfId="753">
      <formula>$AE141&gt;0</formula>
    </cfRule>
  </conditionalFormatting>
  <conditionalFormatting sqref="AH92">
    <cfRule type="expression" priority="1993" dxfId="1832">
      <formula>$AE141&gt;$AD$138</formula>
    </cfRule>
    <cfRule type="expression" priority="1994" dxfId="1831">
      <formula>$AE141&gt;$AD$137</formula>
    </cfRule>
    <cfRule type="expression" priority="1995" dxfId="752">
      <formula>$AE141&gt;0</formula>
    </cfRule>
  </conditionalFormatting>
  <conditionalFormatting sqref="AN93">
    <cfRule type="expression" priority="1936" dxfId="1907">
      <formula>$AE142&gt;$AD$138</formula>
    </cfRule>
    <cfRule type="expression" priority="1937" dxfId="1906">
      <formula>$AE142&gt;$AD$137</formula>
    </cfRule>
    <cfRule type="expression" priority="1938" dxfId="753">
      <formula>$AE142&gt;0</formula>
    </cfRule>
  </conditionalFormatting>
  <conditionalFormatting sqref="AN94">
    <cfRule type="expression" priority="1894" dxfId="1907">
      <formula>$AE143&gt;$AD$138</formula>
    </cfRule>
    <cfRule type="expression" priority="1895" dxfId="1906">
      <formula>$AE143&gt;$AD$137</formula>
    </cfRule>
    <cfRule type="expression" priority="1896" dxfId="753">
      <formula>$AE143&gt;0</formula>
    </cfRule>
  </conditionalFormatting>
  <conditionalFormatting sqref="AN95">
    <cfRule type="expression" priority="1891" dxfId="1907">
      <formula>$AE144&gt;$AD$138</formula>
    </cfRule>
    <cfRule type="expression" priority="1892" dxfId="1906">
      <formula>$AE144&gt;$AD$137</formula>
    </cfRule>
    <cfRule type="expression" priority="1893" dxfId="753">
      <formula>$AE144&gt;0</formula>
    </cfRule>
  </conditionalFormatting>
  <conditionalFormatting sqref="AN96">
    <cfRule type="expression" priority="1888" dxfId="1907">
      <formula>$AE145&gt;$AD$138</formula>
    </cfRule>
    <cfRule type="expression" priority="1889" dxfId="1906">
      <formula>$AE145&gt;$AD$137</formula>
    </cfRule>
    <cfRule type="expression" priority="1890" dxfId="753">
      <formula>$AE145&gt;0</formula>
    </cfRule>
  </conditionalFormatting>
  <conditionalFormatting sqref="AN97">
    <cfRule type="expression" priority="1885" dxfId="1907">
      <formula>$AE146&gt;$AD$138</formula>
    </cfRule>
    <cfRule type="expression" priority="1886" dxfId="1906">
      <formula>$AE146&gt;$AD$137</formula>
    </cfRule>
    <cfRule type="expression" priority="1887" dxfId="753">
      <formula>$AE146&gt;0</formula>
    </cfRule>
  </conditionalFormatting>
  <conditionalFormatting sqref="AN98">
    <cfRule type="expression" priority="1882" dxfId="1907">
      <formula>$AE147&gt;$AD$138</formula>
    </cfRule>
    <cfRule type="expression" priority="1883" dxfId="1906">
      <formula>$AE147&gt;$AD$137</formula>
    </cfRule>
    <cfRule type="expression" priority="1884" dxfId="753">
      <formula>$AE147&gt;0</formula>
    </cfRule>
  </conditionalFormatting>
  <conditionalFormatting sqref="AN99">
    <cfRule type="expression" priority="1879" dxfId="1907">
      <formula>$AE148&gt;$AD$138</formula>
    </cfRule>
    <cfRule type="expression" priority="1880" dxfId="1906">
      <formula>$AE148&gt;$AD$137</formula>
    </cfRule>
    <cfRule type="expression" priority="1881" dxfId="753">
      <formula>$AE148&gt;0</formula>
    </cfRule>
  </conditionalFormatting>
  <conditionalFormatting sqref="AN100">
    <cfRule type="expression" priority="1876" dxfId="1907">
      <formula>$AE149&gt;$AD$138</formula>
    </cfRule>
    <cfRule type="expression" priority="1877" dxfId="1906">
      <formula>$AE149&gt;$AD$137</formula>
    </cfRule>
    <cfRule type="expression" priority="1878" dxfId="753">
      <formula>$AE149&gt;0</formula>
    </cfRule>
  </conditionalFormatting>
  <conditionalFormatting sqref="AN101">
    <cfRule type="expression" priority="1873" dxfId="1907">
      <formula>$AE150&gt;$AD$138</formula>
    </cfRule>
    <cfRule type="expression" priority="1874" dxfId="1906">
      <formula>$AE150&gt;$AD$137</formula>
    </cfRule>
    <cfRule type="expression" priority="1875" dxfId="753">
      <formula>$AE150&gt;0</formula>
    </cfRule>
  </conditionalFormatting>
  <conditionalFormatting sqref="AH100">
    <cfRule type="expression" priority="1843" dxfId="1832">
      <formula>$AE149&gt;$AD$138</formula>
    </cfRule>
    <cfRule type="expression" priority="1844" dxfId="1831">
      <formula>$AE149&gt;$AD$137</formula>
    </cfRule>
    <cfRule type="expression" priority="1845" dxfId="752">
      <formula>$AE149&gt;0</formula>
    </cfRule>
  </conditionalFormatting>
  <conditionalFormatting sqref="AH101">
    <cfRule type="expression" priority="1840" dxfId="1832">
      <formula>$AE150&gt;$AD$138</formula>
    </cfRule>
    <cfRule type="expression" priority="1841" dxfId="1831">
      <formula>$AE150&gt;$AD$137</formula>
    </cfRule>
    <cfRule type="expression" priority="1842" dxfId="752">
      <formula>$AE150&gt;0</formula>
    </cfRule>
  </conditionalFormatting>
  <conditionalFormatting sqref="AH93">
    <cfRule type="expression" priority="1864" dxfId="1832">
      <formula>$AE142&gt;$AD$138</formula>
    </cfRule>
    <cfRule type="expression" priority="1865" dxfId="1831">
      <formula>$AE142&gt;$AD$137</formula>
    </cfRule>
    <cfRule type="expression" priority="1866" dxfId="752">
      <formula>$AE142&gt;0</formula>
    </cfRule>
  </conditionalFormatting>
  <conditionalFormatting sqref="AH94">
    <cfRule type="expression" priority="1861" dxfId="1832">
      <formula>$AE143&gt;$AD$138</formula>
    </cfRule>
    <cfRule type="expression" priority="1862" dxfId="1831">
      <formula>$AE143&gt;$AD$137</formula>
    </cfRule>
    <cfRule type="expression" priority="1863" dxfId="752">
      <formula>$AE143&gt;0</formula>
    </cfRule>
  </conditionalFormatting>
  <conditionalFormatting sqref="AH95">
    <cfRule type="expression" priority="1858" dxfId="1832">
      <formula>$AE144&gt;$AD$138</formula>
    </cfRule>
    <cfRule type="expression" priority="1859" dxfId="1831">
      <formula>$AE144&gt;$AD$137</formula>
    </cfRule>
    <cfRule type="expression" priority="1860" dxfId="752">
      <formula>$AE144&gt;0</formula>
    </cfRule>
  </conditionalFormatting>
  <conditionalFormatting sqref="AH96">
    <cfRule type="expression" priority="1855" dxfId="1832">
      <formula>$AE145&gt;$AD$138</formula>
    </cfRule>
    <cfRule type="expression" priority="1856" dxfId="1831">
      <formula>$AE145&gt;$AD$137</formula>
    </cfRule>
    <cfRule type="expression" priority="1857" dxfId="752">
      <formula>$AE145&gt;0</formula>
    </cfRule>
  </conditionalFormatting>
  <conditionalFormatting sqref="AH97">
    <cfRule type="expression" priority="1852" dxfId="1832">
      <formula>$AE146&gt;$AD$138</formula>
    </cfRule>
    <cfRule type="expression" priority="1853" dxfId="1831">
      <formula>$AE146&gt;$AD$137</formula>
    </cfRule>
    <cfRule type="expression" priority="1854" dxfId="752">
      <formula>$AE146&gt;0</formula>
    </cfRule>
  </conditionalFormatting>
  <conditionalFormatting sqref="AH98">
    <cfRule type="expression" priority="1849" dxfId="1832">
      <formula>$AE147&gt;$AD$138</formula>
    </cfRule>
    <cfRule type="expression" priority="1850" dxfId="1831">
      <formula>$AE147&gt;$AD$137</formula>
    </cfRule>
    <cfRule type="expression" priority="1851" dxfId="752">
      <formula>$AE147&gt;0</formula>
    </cfRule>
  </conditionalFormatting>
  <conditionalFormatting sqref="AH99">
    <cfRule type="expression" priority="1846" dxfId="1832">
      <formula>$AE148&gt;$AD$138</formula>
    </cfRule>
    <cfRule type="expression" priority="1847" dxfId="1831">
      <formula>$AE148&gt;$AD$137</formula>
    </cfRule>
    <cfRule type="expression" priority="1848" dxfId="752">
      <formula>$AE148&gt;0</formula>
    </cfRule>
  </conditionalFormatting>
  <conditionalFormatting sqref="AM92">
    <cfRule type="expression" priority="1836" dxfId="1907">
      <formula>$AR141&gt;$AQ$138</formula>
    </cfRule>
    <cfRule type="expression" priority="1837" dxfId="1906">
      <formula>$AR141&gt;$AQ$137</formula>
    </cfRule>
    <cfRule type="expression" priority="1838" dxfId="753">
      <formula>$AR141&gt;0</formula>
    </cfRule>
  </conditionalFormatting>
  <conditionalFormatting sqref="AM93">
    <cfRule type="expression" priority="1833" dxfId="1907">
      <formula>$AR142&gt;$AQ$138</formula>
    </cfRule>
    <cfRule type="expression" priority="1834" dxfId="1906">
      <formula>$AR142&gt;$AQ$137</formula>
    </cfRule>
    <cfRule type="expression" priority="1835" dxfId="753">
      <formula>$AR142&gt;0</formula>
    </cfRule>
  </conditionalFormatting>
  <conditionalFormatting sqref="AM94">
    <cfRule type="expression" priority="1830" dxfId="1907">
      <formula>$AR143&gt;$AQ$138</formula>
    </cfRule>
    <cfRule type="expression" priority="1831" dxfId="1906">
      <formula>$AR143&gt;$AQ$137</formula>
    </cfRule>
    <cfRule type="expression" priority="1832" dxfId="753">
      <formula>$AR143&gt;0</formula>
    </cfRule>
  </conditionalFormatting>
  <conditionalFormatting sqref="AM95">
    <cfRule type="expression" priority="1827" dxfId="1907">
      <formula>$AR144&gt;$AQ$138</formula>
    </cfRule>
    <cfRule type="expression" priority="1828" dxfId="1906">
      <formula>$AR144&gt;$AQ$137</formula>
    </cfRule>
    <cfRule type="expression" priority="1829" dxfId="753">
      <formula>$AR144&gt;0</formula>
    </cfRule>
  </conditionalFormatting>
  <conditionalFormatting sqref="AM96">
    <cfRule type="expression" priority="1824" dxfId="1907">
      <formula>$AR145&gt;$AQ$138</formula>
    </cfRule>
    <cfRule type="expression" priority="1825" dxfId="1906">
      <formula>$AR145&gt;$AQ$137</formula>
    </cfRule>
    <cfRule type="expression" priority="1826" dxfId="753">
      <formula>$AR145&gt;0</formula>
    </cfRule>
  </conditionalFormatting>
  <conditionalFormatting sqref="AM97">
    <cfRule type="expression" priority="1821" dxfId="1907">
      <formula>$AR146&gt;$AQ$138</formula>
    </cfRule>
    <cfRule type="expression" priority="1822" dxfId="1906">
      <formula>$AR146&gt;$AQ$137</formula>
    </cfRule>
    <cfRule type="expression" priority="1823" dxfId="753">
      <formula>$AR146&gt;0</formula>
    </cfRule>
  </conditionalFormatting>
  <conditionalFormatting sqref="AM98">
    <cfRule type="expression" priority="1818" dxfId="1907">
      <formula>$AR147&gt;$AQ$138</formula>
    </cfRule>
    <cfRule type="expression" priority="1819" dxfId="1906">
      <formula>$AR147&gt;$AQ$137</formula>
    </cfRule>
    <cfRule type="expression" priority="1820" dxfId="753">
      <formula>$AR147&gt;0</formula>
    </cfRule>
  </conditionalFormatting>
  <conditionalFormatting sqref="AM99">
    <cfRule type="expression" priority="1815" dxfId="1907">
      <formula>$AR148&gt;$AQ$138</formula>
    </cfRule>
    <cfRule type="expression" priority="1816" dxfId="1906">
      <formula>$AR148&gt;$AQ$137</formula>
    </cfRule>
    <cfRule type="expression" priority="1817" dxfId="753">
      <formula>$AR148&gt;0</formula>
    </cfRule>
  </conditionalFormatting>
  <conditionalFormatting sqref="AM100">
    <cfRule type="expression" priority="1812" dxfId="1907">
      <formula>$AR149&gt;$AQ$138</formula>
    </cfRule>
    <cfRule type="expression" priority="1813" dxfId="1906">
      <formula>$AR149&gt;$AQ$137</formula>
    </cfRule>
    <cfRule type="expression" priority="1814" dxfId="753">
      <formula>$AR149&gt;0</formula>
    </cfRule>
  </conditionalFormatting>
  <conditionalFormatting sqref="AM101">
    <cfRule type="expression" priority="1809" dxfId="1907">
      <formula>$AR150&gt;$AQ$138</formula>
    </cfRule>
    <cfRule type="expression" priority="1810" dxfId="1906">
      <formula>$AR150&gt;$AQ$137</formula>
    </cfRule>
    <cfRule type="expression" priority="1811" dxfId="753">
      <formula>$AR150&gt;0</formula>
    </cfRule>
  </conditionalFormatting>
  <conditionalFormatting sqref="AM102">
    <cfRule type="expression" priority="1806" dxfId="1907">
      <formula>$AR151&gt;$AQ$138</formula>
    </cfRule>
    <cfRule type="expression" priority="1807" dxfId="1906">
      <formula>$AR151&gt;$AQ$137</formula>
    </cfRule>
    <cfRule type="expression" priority="1808" dxfId="753">
      <formula>$AR151&gt;0</formula>
    </cfRule>
  </conditionalFormatting>
  <conditionalFormatting sqref="AM103">
    <cfRule type="expression" priority="1803" dxfId="1907">
      <formula>$AR152&gt;$AQ$138</formula>
    </cfRule>
    <cfRule type="expression" priority="1804" dxfId="1906">
      <formula>$AR152&gt;$AQ$137</formula>
    </cfRule>
    <cfRule type="expression" priority="1805" dxfId="753">
      <formula>$AR152&gt;0</formula>
    </cfRule>
  </conditionalFormatting>
  <conditionalFormatting sqref="AM104">
    <cfRule type="expression" priority="1800" dxfId="1907">
      <formula>$AR153&gt;$AQ$138</formula>
    </cfRule>
    <cfRule type="expression" priority="1801" dxfId="1906">
      <formula>$AR153&gt;$AQ$137</formula>
    </cfRule>
    <cfRule type="expression" priority="1802" dxfId="753">
      <formula>$AR153&gt;0</formula>
    </cfRule>
  </conditionalFormatting>
  <conditionalFormatting sqref="AM105">
    <cfRule type="expression" priority="1797" dxfId="1907">
      <formula>$AR154&gt;$AQ$138</formula>
    </cfRule>
    <cfRule type="expression" priority="1798" dxfId="1906">
      <formula>$AR154&gt;$AQ$137</formula>
    </cfRule>
    <cfRule type="expression" priority="1799" dxfId="753">
      <formula>$AR154&gt;0</formula>
    </cfRule>
  </conditionalFormatting>
  <conditionalFormatting sqref="AM106">
    <cfRule type="expression" priority="1794" dxfId="1907">
      <formula>$AR155&gt;$AQ$138</formula>
    </cfRule>
    <cfRule type="expression" priority="1795" dxfId="1906">
      <formula>$AR155&gt;$AQ$137</formula>
    </cfRule>
    <cfRule type="expression" priority="1796" dxfId="753">
      <formula>$AR155&gt;0</formula>
    </cfRule>
  </conditionalFormatting>
  <conditionalFormatting sqref="AM107">
    <cfRule type="expression" priority="1791" dxfId="1907">
      <formula>$AR156&gt;$AQ$138</formula>
    </cfRule>
    <cfRule type="expression" priority="1792" dxfId="1906">
      <formula>$AR156&gt;$AQ$137</formula>
    </cfRule>
    <cfRule type="expression" priority="1793" dxfId="753">
      <formula>$AR156&gt;0</formula>
    </cfRule>
  </conditionalFormatting>
  <conditionalFormatting sqref="AM108">
    <cfRule type="expression" priority="1788" dxfId="1907">
      <formula>$AR157&gt;$AQ$138</formula>
    </cfRule>
    <cfRule type="expression" priority="1789" dxfId="1906">
      <formula>$AR157&gt;$AQ$137</formula>
    </cfRule>
    <cfRule type="expression" priority="1790" dxfId="753">
      <formula>$AR157&gt;0</formula>
    </cfRule>
  </conditionalFormatting>
  <conditionalFormatting sqref="AM109">
    <cfRule type="expression" priority="1785" dxfId="1907">
      <formula>$AR158&gt;$AQ$138</formula>
    </cfRule>
    <cfRule type="expression" priority="1786" dxfId="1906">
      <formula>$AR158&gt;$AQ$137</formula>
    </cfRule>
    <cfRule type="expression" priority="1787" dxfId="753">
      <formula>$AR158&gt;0</formula>
    </cfRule>
  </conditionalFormatting>
  <conditionalFormatting sqref="AM110">
    <cfRule type="expression" priority="1782" dxfId="1907">
      <formula>$AR159&gt;$AQ$138</formula>
    </cfRule>
    <cfRule type="expression" priority="1783" dxfId="1906">
      <formula>$AR159&gt;$AQ$137</formula>
    </cfRule>
    <cfRule type="expression" priority="1784" dxfId="753">
      <formula>$AR159&gt;0</formula>
    </cfRule>
  </conditionalFormatting>
  <conditionalFormatting sqref="AM111">
    <cfRule type="expression" priority="1779" dxfId="1907">
      <formula>$AR160&gt;$AQ$138</formula>
    </cfRule>
    <cfRule type="expression" priority="1780" dxfId="1906">
      <formula>$AR160&gt;$AQ$137</formula>
    </cfRule>
    <cfRule type="expression" priority="1781" dxfId="753">
      <formula>$AR160&gt;0</formula>
    </cfRule>
  </conditionalFormatting>
  <conditionalFormatting sqref="AM112">
    <cfRule type="expression" priority="1776" dxfId="1907">
      <formula>$AR161&gt;$AQ$138</formula>
    </cfRule>
    <cfRule type="expression" priority="1777" dxfId="1906">
      <formula>$AR161&gt;$AQ$137</formula>
    </cfRule>
    <cfRule type="expression" priority="1778" dxfId="753">
      <formula>$AR161&gt;0</formula>
    </cfRule>
  </conditionalFormatting>
  <conditionalFormatting sqref="AM113">
    <cfRule type="expression" priority="1773" dxfId="1907">
      <formula>$AR162&gt;$AQ$138</formula>
    </cfRule>
    <cfRule type="expression" priority="1774" dxfId="1906">
      <formula>$AR162&gt;$AQ$137</formula>
    </cfRule>
    <cfRule type="expression" priority="1775" dxfId="753">
      <formula>$AR162&gt;0</formula>
    </cfRule>
  </conditionalFormatting>
  <conditionalFormatting sqref="AM114">
    <cfRule type="expression" priority="1770" dxfId="1907">
      <formula>$AR163&gt;$AQ$138</formula>
    </cfRule>
    <cfRule type="expression" priority="1771" dxfId="1906">
      <formula>$AR163&gt;$AQ$137</formula>
    </cfRule>
    <cfRule type="expression" priority="1772" dxfId="753">
      <formula>$AR163&gt;0</formula>
    </cfRule>
  </conditionalFormatting>
  <conditionalFormatting sqref="AM115">
    <cfRule type="expression" priority="1767" dxfId="1907">
      <formula>$AR164&gt;$AQ$138</formula>
    </cfRule>
    <cfRule type="expression" priority="1768" dxfId="1906">
      <formula>$AR164&gt;$AQ$137</formula>
    </cfRule>
    <cfRule type="expression" priority="1769" dxfId="753">
      <formula>$AR164&gt;0</formula>
    </cfRule>
  </conditionalFormatting>
  <conditionalFormatting sqref="AM116">
    <cfRule type="expression" priority="1764" dxfId="1907">
      <formula>$AR165&gt;$AQ$138</formula>
    </cfRule>
    <cfRule type="expression" priority="1765" dxfId="1906">
      <formula>$AR165&gt;$AQ$137</formula>
    </cfRule>
    <cfRule type="expression" priority="1766" dxfId="753">
      <formula>$AR165&gt;0</formula>
    </cfRule>
  </conditionalFormatting>
  <conditionalFormatting sqref="AI92">
    <cfRule type="expression" priority="1761" dxfId="1832">
      <formula>$AR141&gt;$AQ$138</formula>
    </cfRule>
    <cfRule type="expression" priority="1762" dxfId="1831">
      <formula>$AR141&gt;$AQ$137</formula>
    </cfRule>
    <cfRule type="expression" priority="1763" dxfId="752">
      <formula>$AR141&gt;0</formula>
    </cfRule>
  </conditionalFormatting>
  <conditionalFormatting sqref="AI93">
    <cfRule type="expression" priority="1758" dxfId="1832">
      <formula>$AR142&gt;$AQ$138</formula>
    </cfRule>
    <cfRule type="expression" priority="1759" dxfId="1831">
      <formula>$AR142&gt;$AQ$137</formula>
    </cfRule>
    <cfRule type="expression" priority="1760" dxfId="752">
      <formula>$AR142&gt;0</formula>
    </cfRule>
  </conditionalFormatting>
  <conditionalFormatting sqref="AI94">
    <cfRule type="expression" priority="1755" dxfId="1832">
      <formula>$AR143&gt;$AQ$138</formula>
    </cfRule>
    <cfRule type="expression" priority="1756" dxfId="1831">
      <formula>$AR143&gt;$AQ$137</formula>
    </cfRule>
    <cfRule type="expression" priority="1757" dxfId="752">
      <formula>$AR143&gt;0</formula>
    </cfRule>
  </conditionalFormatting>
  <conditionalFormatting sqref="AI95">
    <cfRule type="expression" priority="1752" dxfId="1832">
      <formula>$AR144&gt;$AQ$138</formula>
    </cfRule>
    <cfRule type="expression" priority="1753" dxfId="1831">
      <formula>$AR144&gt;$AQ$137</formula>
    </cfRule>
    <cfRule type="expression" priority="1754" dxfId="752">
      <formula>$AR144&gt;0</formula>
    </cfRule>
  </conditionalFormatting>
  <conditionalFormatting sqref="AI96">
    <cfRule type="expression" priority="1749" dxfId="1832">
      <formula>$AR145&gt;$AQ$138</formula>
    </cfRule>
    <cfRule type="expression" priority="1750" dxfId="1831">
      <formula>$AR145&gt;$AQ$137</formula>
    </cfRule>
    <cfRule type="expression" priority="1751" dxfId="752">
      <formula>$AR145&gt;0</formula>
    </cfRule>
  </conditionalFormatting>
  <conditionalFormatting sqref="AI97">
    <cfRule type="expression" priority="1746" dxfId="1832">
      <formula>$AR146&gt;$AQ$138</formula>
    </cfRule>
    <cfRule type="expression" priority="1747" dxfId="1831">
      <formula>$AR146&gt;$AQ$137</formula>
    </cfRule>
    <cfRule type="expression" priority="1748" dxfId="752">
      <formula>$AR146&gt;0</formula>
    </cfRule>
  </conditionalFormatting>
  <conditionalFormatting sqref="AI98">
    <cfRule type="expression" priority="1743" dxfId="1832">
      <formula>$AR147&gt;$AQ$138</formula>
    </cfRule>
    <cfRule type="expression" priority="1744" dxfId="1831">
      <formula>$AR147&gt;$AQ$137</formula>
    </cfRule>
    <cfRule type="expression" priority="1745" dxfId="752">
      <formula>$AR147&gt;0</formula>
    </cfRule>
  </conditionalFormatting>
  <conditionalFormatting sqref="AI99">
    <cfRule type="expression" priority="1740" dxfId="1832">
      <formula>$AR148&gt;$AQ$138</formula>
    </cfRule>
    <cfRule type="expression" priority="1741" dxfId="1831">
      <formula>$AR148&gt;$AQ$137</formula>
    </cfRule>
    <cfRule type="expression" priority="1742" dxfId="752">
      <formula>$AR148&gt;0</formula>
    </cfRule>
  </conditionalFormatting>
  <conditionalFormatting sqref="AI100">
    <cfRule type="expression" priority="1737" dxfId="1832">
      <formula>$AR149&gt;$AQ$138</formula>
    </cfRule>
    <cfRule type="expression" priority="1738" dxfId="1831">
      <formula>$AR149&gt;$AQ$137</formula>
    </cfRule>
    <cfRule type="expression" priority="1739" dxfId="752">
      <formula>$AR149&gt;0</formula>
    </cfRule>
  </conditionalFormatting>
  <conditionalFormatting sqref="AI101">
    <cfRule type="expression" priority="1734" dxfId="1832">
      <formula>$AR150&gt;$AQ$138</formula>
    </cfRule>
    <cfRule type="expression" priority="1735" dxfId="1831">
      <formula>$AR150&gt;$AQ$137</formula>
    </cfRule>
    <cfRule type="expression" priority="1736" dxfId="752">
      <formula>$AR150&gt;0</formula>
    </cfRule>
  </conditionalFormatting>
  <conditionalFormatting sqref="AI102">
    <cfRule type="expression" priority="1731" dxfId="1832">
      <formula>$AR151&gt;$AQ$138</formula>
    </cfRule>
    <cfRule type="expression" priority="1732" dxfId="1831">
      <formula>$AR151&gt;$AQ$137</formula>
    </cfRule>
    <cfRule type="expression" priority="1733" dxfId="752">
      <formula>$AR151&gt;0</formula>
    </cfRule>
  </conditionalFormatting>
  <conditionalFormatting sqref="AI103">
    <cfRule type="expression" priority="1728" dxfId="1832">
      <formula>$AR152&gt;$AQ$138</formula>
    </cfRule>
    <cfRule type="expression" priority="1729" dxfId="1831">
      <formula>$AR152&gt;$AQ$137</formula>
    </cfRule>
    <cfRule type="expression" priority="1730" dxfId="752">
      <formula>$AR152&gt;0</formula>
    </cfRule>
  </conditionalFormatting>
  <conditionalFormatting sqref="AI104">
    <cfRule type="expression" priority="1725" dxfId="1832">
      <formula>$AR153&gt;$AQ$138</formula>
    </cfRule>
    <cfRule type="expression" priority="1726" dxfId="1831">
      <formula>$AR153&gt;$AQ$137</formula>
    </cfRule>
    <cfRule type="expression" priority="1727" dxfId="752">
      <formula>$AR153&gt;0</formula>
    </cfRule>
  </conditionalFormatting>
  <conditionalFormatting sqref="AI105">
    <cfRule type="expression" priority="1722" dxfId="1832">
      <formula>$AR154&gt;$AQ$138</formula>
    </cfRule>
    <cfRule type="expression" priority="1723" dxfId="1831">
      <formula>$AR154&gt;$AQ$137</formula>
    </cfRule>
    <cfRule type="expression" priority="1724" dxfId="752">
      <formula>$AR154&gt;0</formula>
    </cfRule>
  </conditionalFormatting>
  <conditionalFormatting sqref="AI106">
    <cfRule type="expression" priority="1719" dxfId="1832">
      <formula>$AR155&gt;$AQ$138</formula>
    </cfRule>
    <cfRule type="expression" priority="1720" dxfId="1831">
      <formula>$AR155&gt;$AQ$137</formula>
    </cfRule>
    <cfRule type="expression" priority="1721" dxfId="752">
      <formula>$AR155&gt;0</formula>
    </cfRule>
  </conditionalFormatting>
  <conditionalFormatting sqref="AI107">
    <cfRule type="expression" priority="1716" dxfId="1832">
      <formula>$AR156&gt;$AQ$138</formula>
    </cfRule>
    <cfRule type="expression" priority="1717" dxfId="1831">
      <formula>$AR156&gt;$AQ$137</formula>
    </cfRule>
    <cfRule type="expression" priority="1718" dxfId="752">
      <formula>$AR156&gt;0</formula>
    </cfRule>
  </conditionalFormatting>
  <conditionalFormatting sqref="AI108">
    <cfRule type="expression" priority="1713" dxfId="1832">
      <formula>$AR157&gt;$AQ$138</formula>
    </cfRule>
    <cfRule type="expression" priority="1714" dxfId="1831">
      <formula>$AR157&gt;$AQ$137</formula>
    </cfRule>
    <cfRule type="expression" priority="1715" dxfId="752">
      <formula>$AR157&gt;0</formula>
    </cfRule>
  </conditionalFormatting>
  <conditionalFormatting sqref="AI109">
    <cfRule type="expression" priority="1710" dxfId="1832">
      <formula>$AR158&gt;$AQ$138</formula>
    </cfRule>
    <cfRule type="expression" priority="1711" dxfId="1831">
      <formula>$AR158&gt;$AQ$137</formula>
    </cfRule>
    <cfRule type="expression" priority="1712" dxfId="752">
      <formula>$AR158&gt;0</formula>
    </cfRule>
  </conditionalFormatting>
  <conditionalFormatting sqref="AI110">
    <cfRule type="expression" priority="1707" dxfId="1832">
      <formula>$AR159&gt;$AQ$138</formula>
    </cfRule>
    <cfRule type="expression" priority="1708" dxfId="1831">
      <formula>$AR159&gt;$AQ$137</formula>
    </cfRule>
    <cfRule type="expression" priority="1709" dxfId="752">
      <formula>$AR159&gt;0</formula>
    </cfRule>
  </conditionalFormatting>
  <conditionalFormatting sqref="AI111">
    <cfRule type="expression" priority="1704" dxfId="1832">
      <formula>$AR160&gt;$AQ$138</formula>
    </cfRule>
    <cfRule type="expression" priority="1705" dxfId="1831">
      <formula>$AR160&gt;$AQ$137</formula>
    </cfRule>
    <cfRule type="expression" priority="1706" dxfId="752">
      <formula>$AR160&gt;0</formula>
    </cfRule>
  </conditionalFormatting>
  <conditionalFormatting sqref="AI112">
    <cfRule type="expression" priority="1701" dxfId="1832">
      <formula>$AR161&gt;$AQ$138</formula>
    </cfRule>
    <cfRule type="expression" priority="1702" dxfId="1831">
      <formula>$AR161&gt;$AQ$137</formula>
    </cfRule>
    <cfRule type="expression" priority="1703" dxfId="752">
      <formula>$AR161&gt;0</formula>
    </cfRule>
  </conditionalFormatting>
  <conditionalFormatting sqref="AI113">
    <cfRule type="expression" priority="1698" dxfId="1832">
      <formula>$AR162&gt;$AQ$138</formula>
    </cfRule>
    <cfRule type="expression" priority="1699" dxfId="1831">
      <formula>$AR162&gt;$AQ$137</formula>
    </cfRule>
    <cfRule type="expression" priority="1700" dxfId="752">
      <formula>$AR162&gt;0</formula>
    </cfRule>
  </conditionalFormatting>
  <conditionalFormatting sqref="AI114">
    <cfRule type="expression" priority="1695" dxfId="1832">
      <formula>$AR163&gt;$AQ$138</formula>
    </cfRule>
    <cfRule type="expression" priority="1696" dxfId="1831">
      <formula>$AR163&gt;$AQ$137</formula>
    </cfRule>
    <cfRule type="expression" priority="1697" dxfId="752">
      <formula>$AR163&gt;0</formula>
    </cfRule>
  </conditionalFormatting>
  <conditionalFormatting sqref="AI115">
    <cfRule type="expression" priority="1692" dxfId="1832">
      <formula>$AR164&gt;$AQ$138</formula>
    </cfRule>
    <cfRule type="expression" priority="1693" dxfId="1831">
      <formula>$AR164&gt;$AQ$137</formula>
    </cfRule>
    <cfRule type="expression" priority="1694" dxfId="752">
      <formula>$AR164&gt;0</formula>
    </cfRule>
  </conditionalFormatting>
  <conditionalFormatting sqref="AI116">
    <cfRule type="expression" priority="1689" dxfId="1832">
      <formula>$AR165&gt;$AQ$138</formula>
    </cfRule>
    <cfRule type="expression" priority="1690" dxfId="1831">
      <formula>$AR165&gt;$AQ$137</formula>
    </cfRule>
    <cfRule type="expression" priority="1691" dxfId="752">
      <formula>$AR165&gt;0</formula>
    </cfRule>
  </conditionalFormatting>
  <conditionalFormatting sqref="CG91 CM91">
    <cfRule type="expression" priority="1687" dxfId="769">
      <formula>$CD$140=$CC$138</formula>
    </cfRule>
    <cfRule type="expression" priority="1688" dxfId="768">
      <formula>$CD$140=$CC$137</formula>
    </cfRule>
  </conditionalFormatting>
  <conditionalFormatting sqref="CG92">
    <cfRule type="expression" priority="1684" dxfId="769">
      <formula>$CD141&gt;$CC$138</formula>
    </cfRule>
    <cfRule type="expression" priority="1685" dxfId="768">
      <formula>$CD141&gt;$CC$137</formula>
    </cfRule>
    <cfRule type="expression" priority="1686" dxfId="752">
      <formula>$CD141&gt;0</formula>
    </cfRule>
  </conditionalFormatting>
  <conditionalFormatting sqref="CM92">
    <cfRule type="expression" priority="1681" dxfId="769">
      <formula>$CD141&gt;$CC$138</formula>
    </cfRule>
    <cfRule type="expression" priority="1682" dxfId="768">
      <formula>$CD141&gt;$CC$137</formula>
    </cfRule>
    <cfRule type="expression" priority="1683" dxfId="753">
      <formula>$CD141&gt;0</formula>
    </cfRule>
  </conditionalFormatting>
  <conditionalFormatting sqref="CG93">
    <cfRule type="expression" priority="1678" dxfId="769">
      <formula>$CD142&gt;$CC$138</formula>
    </cfRule>
    <cfRule type="expression" priority="1679" dxfId="768">
      <formula>$CD142&gt;$CC$137</formula>
    </cfRule>
    <cfRule type="expression" priority="1680" dxfId="752">
      <formula>$CD142&gt;0</formula>
    </cfRule>
  </conditionalFormatting>
  <conditionalFormatting sqref="CG94">
    <cfRule type="expression" priority="1675" dxfId="769">
      <formula>$CD143&gt;$CC$138</formula>
    </cfRule>
    <cfRule type="expression" priority="1676" dxfId="768">
      <formula>$CD143&gt;$CC$137</formula>
    </cfRule>
    <cfRule type="expression" priority="1677" dxfId="752">
      <formula>$CD143&gt;0</formula>
    </cfRule>
  </conditionalFormatting>
  <conditionalFormatting sqref="CG95">
    <cfRule type="expression" priority="1672" dxfId="769">
      <formula>$CD144&gt;$CC$138</formula>
    </cfRule>
    <cfRule type="expression" priority="1673" dxfId="768">
      <formula>$CD144&gt;$CC$137</formula>
    </cfRule>
    <cfRule type="expression" priority="1674" dxfId="752">
      <formula>$CD144&gt;0</formula>
    </cfRule>
  </conditionalFormatting>
  <conditionalFormatting sqref="CG96">
    <cfRule type="expression" priority="1669" dxfId="769">
      <formula>$CD145&gt;$CC$138</formula>
    </cfRule>
    <cfRule type="expression" priority="1670" dxfId="768">
      <formula>$CD145&gt;$CC$137</formula>
    </cfRule>
    <cfRule type="expression" priority="1671" dxfId="752">
      <formula>$CD145&gt;0</formula>
    </cfRule>
  </conditionalFormatting>
  <conditionalFormatting sqref="CG97">
    <cfRule type="expression" priority="1666" dxfId="769">
      <formula>$CD146&gt;$CC$138</formula>
    </cfRule>
    <cfRule type="expression" priority="1667" dxfId="768">
      <formula>$CD146&gt;$CC$137</formula>
    </cfRule>
    <cfRule type="expression" priority="1668" dxfId="752">
      <formula>$CD146&gt;0</formula>
    </cfRule>
  </conditionalFormatting>
  <conditionalFormatting sqref="CG98">
    <cfRule type="expression" priority="1663" dxfId="769">
      <formula>$CD147&gt;$CC$138</formula>
    </cfRule>
    <cfRule type="expression" priority="1664" dxfId="768">
      <formula>$CD147&gt;$CC$137</formula>
    </cfRule>
    <cfRule type="expression" priority="1665" dxfId="752">
      <formula>$CD147&gt;0</formula>
    </cfRule>
  </conditionalFormatting>
  <conditionalFormatting sqref="CG99">
    <cfRule type="expression" priority="1660" dxfId="769">
      <formula>$CD148&gt;$CC$138</formula>
    </cfRule>
    <cfRule type="expression" priority="1661" dxfId="768">
      <formula>$CD148&gt;$CC$137</formula>
    </cfRule>
    <cfRule type="expression" priority="1662" dxfId="752">
      <formula>$CD148&gt;0</formula>
    </cfRule>
  </conditionalFormatting>
  <conditionalFormatting sqref="CG100">
    <cfRule type="expression" priority="1657" dxfId="769">
      <formula>$CD149&gt;$CC$138</formula>
    </cfRule>
    <cfRule type="expression" priority="1658" dxfId="768">
      <formula>$CD149&gt;$CC$137</formula>
    </cfRule>
    <cfRule type="expression" priority="1659" dxfId="752">
      <formula>$CD149&gt;0</formula>
    </cfRule>
  </conditionalFormatting>
  <conditionalFormatting sqref="CG101">
    <cfRule type="expression" priority="1654" dxfId="769">
      <formula>$CD150&gt;$CC$138</formula>
    </cfRule>
    <cfRule type="expression" priority="1655" dxfId="768">
      <formula>$CD150&gt;$CC$137</formula>
    </cfRule>
    <cfRule type="expression" priority="1656" dxfId="752">
      <formula>$CD150&gt;0</formula>
    </cfRule>
  </conditionalFormatting>
  <conditionalFormatting sqref="CG102">
    <cfRule type="expression" priority="1651" dxfId="769">
      <formula>$CD151&gt;$CC$138</formula>
    </cfRule>
    <cfRule type="expression" priority="1652" dxfId="768">
      <formula>$CD151&gt;$CC$137</formula>
    </cfRule>
    <cfRule type="expression" priority="1653" dxfId="752">
      <formula>$CD151&gt;0</formula>
    </cfRule>
  </conditionalFormatting>
  <conditionalFormatting sqref="CG103">
    <cfRule type="expression" priority="1648" dxfId="769">
      <formula>$CD152&gt;$CC$138</formula>
    </cfRule>
    <cfRule type="expression" priority="1649" dxfId="768">
      <formula>$CD152&gt;$CC$137</formula>
    </cfRule>
    <cfRule type="expression" priority="1650" dxfId="752">
      <formula>$CD152&gt;0</formula>
    </cfRule>
  </conditionalFormatting>
  <conditionalFormatting sqref="CG104">
    <cfRule type="expression" priority="1645" dxfId="769">
      <formula>$CD153&gt;$CC$138</formula>
    </cfRule>
    <cfRule type="expression" priority="1646" dxfId="768">
      <formula>$CD153&gt;$CC$137</formula>
    </cfRule>
    <cfRule type="expression" priority="1647" dxfId="752">
      <formula>$CD153&gt;0</formula>
    </cfRule>
  </conditionalFormatting>
  <conditionalFormatting sqref="CG105">
    <cfRule type="expression" priority="1642" dxfId="769">
      <formula>$CD154&gt;$CC$138</formula>
    </cfRule>
    <cfRule type="expression" priority="1643" dxfId="768">
      <formula>$CD154&gt;$CC$137</formula>
    </cfRule>
    <cfRule type="expression" priority="1644" dxfId="752">
      <formula>$CD154&gt;0</formula>
    </cfRule>
  </conditionalFormatting>
  <conditionalFormatting sqref="CG106">
    <cfRule type="expression" priority="1639" dxfId="769">
      <formula>$CD155&gt;$CC$138</formula>
    </cfRule>
    <cfRule type="expression" priority="1640" dxfId="768">
      <formula>$CD155&gt;$CC$137</formula>
    </cfRule>
    <cfRule type="expression" priority="1641" dxfId="752">
      <formula>$CD155&gt;0</formula>
    </cfRule>
  </conditionalFormatting>
  <conditionalFormatting sqref="CG107">
    <cfRule type="expression" priority="1636" dxfId="769">
      <formula>$CD156&gt;$CC$138</formula>
    </cfRule>
    <cfRule type="expression" priority="1637" dxfId="768">
      <formula>$CD156&gt;$CC$137</formula>
    </cfRule>
    <cfRule type="expression" priority="1638" dxfId="752">
      <formula>$CD156&gt;0</formula>
    </cfRule>
  </conditionalFormatting>
  <conditionalFormatting sqref="CG108">
    <cfRule type="expression" priority="1633" dxfId="769">
      <formula>$CD157&gt;$CC$138</formula>
    </cfRule>
    <cfRule type="expression" priority="1634" dxfId="768">
      <formula>$CD157&gt;$CC$137</formula>
    </cfRule>
    <cfRule type="expression" priority="1635" dxfId="752">
      <formula>$CD157&gt;0</formula>
    </cfRule>
  </conditionalFormatting>
  <conditionalFormatting sqref="CG109">
    <cfRule type="expression" priority="1630" dxfId="769">
      <formula>$CD158&gt;$CC$138</formula>
    </cfRule>
    <cfRule type="expression" priority="1631" dxfId="768">
      <formula>$CD158&gt;$CC$137</formula>
    </cfRule>
    <cfRule type="expression" priority="1632" dxfId="752">
      <formula>$CD158&gt;0</formula>
    </cfRule>
  </conditionalFormatting>
  <conditionalFormatting sqref="CG110">
    <cfRule type="expression" priority="1627" dxfId="769">
      <formula>$CD159&gt;$CC$138</formula>
    </cfRule>
    <cfRule type="expression" priority="1628" dxfId="768">
      <formula>$CD159&gt;$CC$137</formula>
    </cfRule>
    <cfRule type="expression" priority="1629" dxfId="752">
      <formula>$CD159&gt;0</formula>
    </cfRule>
  </conditionalFormatting>
  <conditionalFormatting sqref="CG111">
    <cfRule type="expression" priority="1624" dxfId="769">
      <formula>$CD160&gt;$CC$138</formula>
    </cfRule>
    <cfRule type="expression" priority="1625" dxfId="768">
      <formula>$CD160&gt;$CC$137</formula>
    </cfRule>
    <cfRule type="expression" priority="1626" dxfId="752">
      <formula>$CD160&gt;0</formula>
    </cfRule>
  </conditionalFormatting>
  <conditionalFormatting sqref="CG112">
    <cfRule type="expression" priority="1621" dxfId="769">
      <formula>$CD161&gt;$CC$138</formula>
    </cfRule>
    <cfRule type="expression" priority="1622" dxfId="768">
      <formula>$CD161&gt;$CC$137</formula>
    </cfRule>
    <cfRule type="expression" priority="1623" dxfId="752">
      <formula>$CD161&gt;0</formula>
    </cfRule>
  </conditionalFormatting>
  <conditionalFormatting sqref="CG113">
    <cfRule type="expression" priority="1618" dxfId="769">
      <formula>$CD162&gt;$CC$138</formula>
    </cfRule>
    <cfRule type="expression" priority="1619" dxfId="768">
      <formula>$CD162&gt;$CC$137</formula>
    </cfRule>
    <cfRule type="expression" priority="1620" dxfId="752">
      <formula>$CD162&gt;0</formula>
    </cfRule>
  </conditionalFormatting>
  <conditionalFormatting sqref="CG114">
    <cfRule type="expression" priority="1615" dxfId="769">
      <formula>$CD163&gt;$CC$138</formula>
    </cfRule>
    <cfRule type="expression" priority="1616" dxfId="768">
      <formula>$CD163&gt;$CC$137</formula>
    </cfRule>
    <cfRule type="expression" priority="1617" dxfId="752">
      <formula>$CD163&gt;0</formula>
    </cfRule>
  </conditionalFormatting>
  <conditionalFormatting sqref="CM93">
    <cfRule type="expression" priority="1612" dxfId="769">
      <formula>$CD142&gt;$CC$138</formula>
    </cfRule>
    <cfRule type="expression" priority="1613" dxfId="768">
      <formula>$CD142&gt;$CC$137</formula>
    </cfRule>
    <cfRule type="expression" priority="1614" dxfId="753">
      <formula>$CD142&gt;0</formula>
    </cfRule>
  </conditionalFormatting>
  <conditionalFormatting sqref="CM94">
    <cfRule type="expression" priority="1609" dxfId="769">
      <formula>$CD143&gt;$CC$138</formula>
    </cfRule>
    <cfRule type="expression" priority="1610" dxfId="768">
      <formula>$CD143&gt;$CC$137</formula>
    </cfRule>
    <cfRule type="expression" priority="1611" dxfId="753">
      <formula>$CD143&gt;0</formula>
    </cfRule>
  </conditionalFormatting>
  <conditionalFormatting sqref="CM95">
    <cfRule type="expression" priority="1606" dxfId="769">
      <formula>$CD144&gt;$CC$138</formula>
    </cfRule>
    <cfRule type="expression" priority="1607" dxfId="768">
      <formula>$CD144&gt;$CC$137</formula>
    </cfRule>
    <cfRule type="expression" priority="1608" dxfId="753">
      <formula>$CD144&gt;0</formula>
    </cfRule>
  </conditionalFormatting>
  <conditionalFormatting sqref="CM96">
    <cfRule type="expression" priority="1603" dxfId="769">
      <formula>$CD145&gt;$CC$138</formula>
    </cfRule>
    <cfRule type="expression" priority="1604" dxfId="768">
      <formula>$CD145&gt;$CC$137</formula>
    </cfRule>
    <cfRule type="expression" priority="1605" dxfId="753">
      <formula>$CD145&gt;0</formula>
    </cfRule>
  </conditionalFormatting>
  <conditionalFormatting sqref="CM97">
    <cfRule type="expression" priority="1600" dxfId="769">
      <formula>$CD146&gt;$CC$138</formula>
    </cfRule>
    <cfRule type="expression" priority="1601" dxfId="768">
      <formula>$CD146&gt;$CC$137</formula>
    </cfRule>
    <cfRule type="expression" priority="1602" dxfId="753">
      <formula>$CD146&gt;0</formula>
    </cfRule>
  </conditionalFormatting>
  <conditionalFormatting sqref="CM98">
    <cfRule type="expression" priority="1597" dxfId="769">
      <formula>$CD147&gt;$CC$138</formula>
    </cfRule>
    <cfRule type="expression" priority="1598" dxfId="768">
      <formula>$CD147&gt;$CC$137</formula>
    </cfRule>
    <cfRule type="expression" priority="1599" dxfId="753">
      <formula>$CD147&gt;0</formula>
    </cfRule>
  </conditionalFormatting>
  <conditionalFormatting sqref="CM99">
    <cfRule type="expression" priority="1594" dxfId="769">
      <formula>$CD148&gt;$CC$138</formula>
    </cfRule>
    <cfRule type="expression" priority="1595" dxfId="768">
      <formula>$CD148&gt;$CC$137</formula>
    </cfRule>
    <cfRule type="expression" priority="1596" dxfId="753">
      <formula>$CD148&gt;0</formula>
    </cfRule>
  </conditionalFormatting>
  <conditionalFormatting sqref="CM100">
    <cfRule type="expression" priority="1591" dxfId="769">
      <formula>$CD149&gt;$CC$138</formula>
    </cfRule>
    <cfRule type="expression" priority="1592" dxfId="768">
      <formula>$CD149&gt;$CC$137</formula>
    </cfRule>
    <cfRule type="expression" priority="1593" dxfId="753">
      <formula>$CD149&gt;0</formula>
    </cfRule>
  </conditionalFormatting>
  <conditionalFormatting sqref="CM101">
    <cfRule type="expression" priority="1588" dxfId="769">
      <formula>$CD150&gt;$CC$138</formula>
    </cfRule>
    <cfRule type="expression" priority="1589" dxfId="768">
      <formula>$CD150&gt;$CC$137</formula>
    </cfRule>
    <cfRule type="expression" priority="1590" dxfId="753">
      <formula>$CD150&gt;0</formula>
    </cfRule>
  </conditionalFormatting>
  <conditionalFormatting sqref="CM102">
    <cfRule type="expression" priority="1585" dxfId="769">
      <formula>$CD151&gt;$CC$138</formula>
    </cfRule>
    <cfRule type="expression" priority="1586" dxfId="768">
      <formula>$CD151&gt;$CC$137</formula>
    </cfRule>
    <cfRule type="expression" priority="1587" dxfId="753">
      <formula>$CD151&gt;0</formula>
    </cfRule>
  </conditionalFormatting>
  <conditionalFormatting sqref="CM103">
    <cfRule type="expression" priority="1582" dxfId="769">
      <formula>$CD152&gt;$CC$138</formula>
    </cfRule>
    <cfRule type="expression" priority="1583" dxfId="768">
      <formula>$CD152&gt;$CC$137</formula>
    </cfRule>
    <cfRule type="expression" priority="1584" dxfId="753">
      <formula>$CD152&gt;0</formula>
    </cfRule>
  </conditionalFormatting>
  <conditionalFormatting sqref="CM104">
    <cfRule type="expression" priority="1579" dxfId="769">
      <formula>$CD153&gt;$CC$138</formula>
    </cfRule>
    <cfRule type="expression" priority="1580" dxfId="768">
      <formula>$CD153&gt;$CC$137</formula>
    </cfRule>
    <cfRule type="expression" priority="1581" dxfId="753">
      <formula>$CD153&gt;0</formula>
    </cfRule>
  </conditionalFormatting>
  <conditionalFormatting sqref="CM105">
    <cfRule type="expression" priority="1576" dxfId="769">
      <formula>$CD154&gt;$CC$138</formula>
    </cfRule>
    <cfRule type="expression" priority="1577" dxfId="768">
      <formula>$CD154&gt;$CC$137</formula>
    </cfRule>
    <cfRule type="expression" priority="1578" dxfId="753">
      <formula>$CD154&gt;0</formula>
    </cfRule>
  </conditionalFormatting>
  <conditionalFormatting sqref="CM106">
    <cfRule type="expression" priority="1573" dxfId="769">
      <formula>$CD155&gt;$CC$138</formula>
    </cfRule>
    <cfRule type="expression" priority="1574" dxfId="768">
      <formula>$CD155&gt;$CC$137</formula>
    </cfRule>
    <cfRule type="expression" priority="1575" dxfId="753">
      <formula>$CD155&gt;0</formula>
    </cfRule>
  </conditionalFormatting>
  <conditionalFormatting sqref="CM107">
    <cfRule type="expression" priority="1570" dxfId="769">
      <formula>$CD156&gt;$CC$138</formula>
    </cfRule>
    <cfRule type="expression" priority="1571" dxfId="768">
      <formula>$CD156&gt;$CC$137</formula>
    </cfRule>
    <cfRule type="expression" priority="1572" dxfId="753">
      <formula>$CD156&gt;0</formula>
    </cfRule>
  </conditionalFormatting>
  <conditionalFormatting sqref="CM108">
    <cfRule type="expression" priority="1567" dxfId="769">
      <formula>$CD157&gt;$CC$138</formula>
    </cfRule>
    <cfRule type="expression" priority="1568" dxfId="768">
      <formula>$CD157&gt;$CC$137</formula>
    </cfRule>
    <cfRule type="expression" priority="1569" dxfId="753">
      <formula>$CD157&gt;0</formula>
    </cfRule>
  </conditionalFormatting>
  <conditionalFormatting sqref="CM109">
    <cfRule type="expression" priority="1564" dxfId="769">
      <formula>$CD158&gt;$CC$138</formula>
    </cfRule>
    <cfRule type="expression" priority="1565" dxfId="768">
      <formula>$CD158&gt;$CC$137</formula>
    </cfRule>
    <cfRule type="expression" priority="1566" dxfId="753">
      <formula>$CD158&gt;0</formula>
    </cfRule>
  </conditionalFormatting>
  <conditionalFormatting sqref="CM110">
    <cfRule type="expression" priority="1561" dxfId="769">
      <formula>$CD159&gt;$CC$138</formula>
    </cfRule>
    <cfRule type="expression" priority="1562" dxfId="768">
      <formula>$CD159&gt;$CC$137</formula>
    </cfRule>
    <cfRule type="expression" priority="1563" dxfId="753">
      <formula>$CD159&gt;0</formula>
    </cfRule>
  </conditionalFormatting>
  <conditionalFormatting sqref="CM111">
    <cfRule type="expression" priority="1558" dxfId="769">
      <formula>$CD160&gt;$CC$138</formula>
    </cfRule>
    <cfRule type="expression" priority="1559" dxfId="768">
      <formula>$CD160&gt;$CC$137</formula>
    </cfRule>
    <cfRule type="expression" priority="1560" dxfId="753">
      <formula>$CD160&gt;0</formula>
    </cfRule>
  </conditionalFormatting>
  <conditionalFormatting sqref="CM112">
    <cfRule type="expression" priority="1555" dxfId="769">
      <formula>$CD161&gt;$CC$138</formula>
    </cfRule>
    <cfRule type="expression" priority="1556" dxfId="768">
      <formula>$CD161&gt;$CC$137</formula>
    </cfRule>
    <cfRule type="expression" priority="1557" dxfId="753">
      <formula>$CD161&gt;0</formula>
    </cfRule>
  </conditionalFormatting>
  <conditionalFormatting sqref="CM113">
    <cfRule type="expression" priority="1552" dxfId="769">
      <formula>$CD162&gt;$CC$138</formula>
    </cfRule>
    <cfRule type="expression" priority="1553" dxfId="768">
      <formula>$CD162&gt;$CC$137</formula>
    </cfRule>
    <cfRule type="expression" priority="1554" dxfId="753">
      <formula>$CD162&gt;0</formula>
    </cfRule>
  </conditionalFormatting>
  <conditionalFormatting sqref="CM114">
    <cfRule type="expression" priority="1549" dxfId="769">
      <formula>$CD163&gt;$CC$138</formula>
    </cfRule>
    <cfRule type="expression" priority="1550" dxfId="768">
      <formula>$CD163&gt;$CC$137</formula>
    </cfRule>
    <cfRule type="expression" priority="1551" dxfId="753">
      <formula>$CD163&gt;0</formula>
    </cfRule>
  </conditionalFormatting>
  <conditionalFormatting sqref="CH91 CL91">
    <cfRule type="expression" priority="1547" dxfId="769">
      <formula>$CO$138=0</formula>
    </cfRule>
    <cfRule type="expression" priority="1548" dxfId="768">
      <formula>$CO$137=0</formula>
    </cfRule>
  </conditionalFormatting>
  <conditionalFormatting sqref="CH92 CL92">
    <cfRule type="expression" priority="1545" dxfId="769">
      <formula>$CP141&gt;$CO$138</formula>
    </cfRule>
    <cfRule type="expression" priority="1546" dxfId="768">
      <formula>$CP141&gt;$CO$137</formula>
    </cfRule>
  </conditionalFormatting>
  <conditionalFormatting sqref="CH93">
    <cfRule type="expression" priority="1543" dxfId="769">
      <formula>$CP142&gt;$CO$138</formula>
    </cfRule>
    <cfRule type="expression" priority="1544" dxfId="768">
      <formula>$CP142&gt;$CO$137</formula>
    </cfRule>
  </conditionalFormatting>
  <conditionalFormatting sqref="CH94">
    <cfRule type="expression" priority="1541" dxfId="769">
      <formula>$CP143&gt;$CO$138</formula>
    </cfRule>
    <cfRule type="expression" priority="1542" dxfId="768">
      <formula>$CP143&gt;$CO$137</formula>
    </cfRule>
  </conditionalFormatting>
  <conditionalFormatting sqref="CH95">
    <cfRule type="expression" priority="1539" dxfId="769">
      <formula>$CP144&gt;$CO$138</formula>
    </cfRule>
    <cfRule type="expression" priority="1540" dxfId="768">
      <formula>$CP144&gt;$CO$137</formula>
    </cfRule>
  </conditionalFormatting>
  <conditionalFormatting sqref="CH96">
    <cfRule type="expression" priority="1537" dxfId="769">
      <formula>$CP145&gt;$CO$138</formula>
    </cfRule>
    <cfRule type="expression" priority="1538" dxfId="768">
      <formula>$CP145&gt;$CO$137</formula>
    </cfRule>
  </conditionalFormatting>
  <conditionalFormatting sqref="CH97">
    <cfRule type="expression" priority="1535" dxfId="769">
      <formula>$CP146&gt;$CO$138</formula>
    </cfRule>
    <cfRule type="expression" priority="1536" dxfId="768">
      <formula>$CP146&gt;$CO$137</formula>
    </cfRule>
  </conditionalFormatting>
  <conditionalFormatting sqref="CH98">
    <cfRule type="expression" priority="1533" dxfId="769">
      <formula>$CP147&gt;$CO$138</formula>
    </cfRule>
    <cfRule type="expression" priority="1534" dxfId="768">
      <formula>$CP147&gt;$CO$137</formula>
    </cfRule>
  </conditionalFormatting>
  <conditionalFormatting sqref="CH99">
    <cfRule type="expression" priority="1531" dxfId="769">
      <formula>$CP148&gt;$CO$138</formula>
    </cfRule>
    <cfRule type="expression" priority="1532" dxfId="768">
      <formula>$CP148&gt;$CO$137</formula>
    </cfRule>
  </conditionalFormatting>
  <conditionalFormatting sqref="CH100">
    <cfRule type="expression" priority="1529" dxfId="769">
      <formula>$CP149&gt;$CO$138</formula>
    </cfRule>
    <cfRule type="expression" priority="1530" dxfId="768">
      <formula>$CP149&gt;$CO$137</formula>
    </cfRule>
  </conditionalFormatting>
  <conditionalFormatting sqref="CH101">
    <cfRule type="expression" priority="1527" dxfId="769">
      <formula>$CP150&gt;$CO$138</formula>
    </cfRule>
    <cfRule type="expression" priority="1528" dxfId="768">
      <formula>$CP150&gt;$CO$137</formula>
    </cfRule>
  </conditionalFormatting>
  <conditionalFormatting sqref="CH102">
    <cfRule type="expression" priority="1525" dxfId="769">
      <formula>$CP151&gt;$CO$138</formula>
    </cfRule>
    <cfRule type="expression" priority="1526" dxfId="768">
      <formula>$CP151&gt;$CO$137</formula>
    </cfRule>
  </conditionalFormatting>
  <conditionalFormatting sqref="CH103">
    <cfRule type="expression" priority="1523" dxfId="769">
      <formula>$CP152&gt;$CO$138</formula>
    </cfRule>
    <cfRule type="expression" priority="1524" dxfId="768">
      <formula>$CP152&gt;$CO$137</formula>
    </cfRule>
  </conditionalFormatting>
  <conditionalFormatting sqref="CH104">
    <cfRule type="expression" priority="1521" dxfId="769">
      <formula>$CP153&gt;$CO$138</formula>
    </cfRule>
    <cfRule type="expression" priority="1522" dxfId="768">
      <formula>$CP153&gt;$CO$137</formula>
    </cfRule>
  </conditionalFormatting>
  <conditionalFormatting sqref="CH105">
    <cfRule type="expression" priority="1519" dxfId="769">
      <formula>$CP154&gt;$CO$138</formula>
    </cfRule>
    <cfRule type="expression" priority="1520" dxfId="768">
      <formula>$CP154&gt;$CO$137</formula>
    </cfRule>
  </conditionalFormatting>
  <conditionalFormatting sqref="CH106">
    <cfRule type="expression" priority="1517" dxfId="769">
      <formula>$CP155&gt;$CO$138</formula>
    </cfRule>
    <cfRule type="expression" priority="1518" dxfId="768">
      <formula>$CP155&gt;$CO$137</formula>
    </cfRule>
  </conditionalFormatting>
  <conditionalFormatting sqref="CH107">
    <cfRule type="expression" priority="1515" dxfId="769">
      <formula>$CP156&gt;$CO$138</formula>
    </cfRule>
    <cfRule type="expression" priority="1516" dxfId="768">
      <formula>$CP156&gt;$CO$137</formula>
    </cfRule>
  </conditionalFormatting>
  <conditionalFormatting sqref="CH108">
    <cfRule type="expression" priority="1513" dxfId="769">
      <formula>$CP157&gt;$CO$138</formula>
    </cfRule>
    <cfRule type="expression" priority="1514" dxfId="768">
      <formula>$CP157&gt;$CO$137</formula>
    </cfRule>
  </conditionalFormatting>
  <conditionalFormatting sqref="CH109">
    <cfRule type="expression" priority="1511" dxfId="769">
      <formula>$CP158&gt;$CO$138</formula>
    </cfRule>
    <cfRule type="expression" priority="1512" dxfId="768">
      <formula>$CP158&gt;$CO$137</formula>
    </cfRule>
  </conditionalFormatting>
  <conditionalFormatting sqref="CH110">
    <cfRule type="expression" priority="1509" dxfId="769">
      <formula>$CP159&gt;$CO$138</formula>
    </cfRule>
    <cfRule type="expression" priority="1510" dxfId="768">
      <formula>$CP159&gt;$CO$137</formula>
    </cfRule>
  </conditionalFormatting>
  <conditionalFormatting sqref="CH111">
    <cfRule type="expression" priority="1507" dxfId="769">
      <formula>$CP160&gt;$CO$138</formula>
    </cfRule>
    <cfRule type="expression" priority="1508" dxfId="768">
      <formula>$CP160&gt;$CO$137</formula>
    </cfRule>
  </conditionalFormatting>
  <conditionalFormatting sqref="CH112">
    <cfRule type="expression" priority="1505" dxfId="769">
      <formula>$CP161&gt;$CO$138</formula>
    </cfRule>
    <cfRule type="expression" priority="1506" dxfId="768">
      <formula>$CP161&gt;$CO$137</formula>
    </cfRule>
  </conditionalFormatting>
  <conditionalFormatting sqref="CH113">
    <cfRule type="expression" priority="1503" dxfId="769">
      <formula>$CP162&gt;$CO$138</formula>
    </cfRule>
    <cfRule type="expression" priority="1504" dxfId="768">
      <formula>$CP162&gt;$CO$137</formula>
    </cfRule>
  </conditionalFormatting>
  <conditionalFormatting sqref="CH114">
    <cfRule type="expression" priority="1501" dxfId="769">
      <formula>$CP163&gt;$CO$138</formula>
    </cfRule>
    <cfRule type="expression" priority="1502" dxfId="768">
      <formula>$CP163&gt;$CO$137</formula>
    </cfRule>
  </conditionalFormatting>
  <conditionalFormatting sqref="CH115">
    <cfRule type="expression" priority="1499" dxfId="769">
      <formula>$CP164&gt;$CO$138</formula>
    </cfRule>
    <cfRule type="expression" priority="1500" dxfId="768">
      <formula>$CP164&gt;$CO$137</formula>
    </cfRule>
  </conditionalFormatting>
  <conditionalFormatting sqref="CH116">
    <cfRule type="expression" priority="1497" dxfId="769">
      <formula>$CP165&gt;$CO$138</formula>
    </cfRule>
    <cfRule type="expression" priority="1498" dxfId="768">
      <formula>$CP165&gt;$CO$137</formula>
    </cfRule>
  </conditionalFormatting>
  <conditionalFormatting sqref="CH117">
    <cfRule type="expression" priority="1495" dxfId="769">
      <formula>$CP166&gt;$CO$138</formula>
    </cfRule>
    <cfRule type="expression" priority="1496" dxfId="768">
      <formula>$CP166&gt;$CO$137</formula>
    </cfRule>
  </conditionalFormatting>
  <conditionalFormatting sqref="CH118">
    <cfRule type="expression" priority="1493" dxfId="769">
      <formula>$CP167&gt;$CO$138</formula>
    </cfRule>
    <cfRule type="expression" priority="1494" dxfId="768">
      <formula>$CP167&gt;$CO$137</formula>
    </cfRule>
  </conditionalFormatting>
  <conditionalFormatting sqref="CH119">
    <cfRule type="expression" priority="1491" dxfId="769">
      <formula>$CP168&gt;$CO$138</formula>
    </cfRule>
    <cfRule type="expression" priority="1492" dxfId="768">
      <formula>$CP168&gt;$CO$137</formula>
    </cfRule>
  </conditionalFormatting>
  <conditionalFormatting sqref="CH120">
    <cfRule type="expression" priority="1489" dxfId="769">
      <formula>$CP169&gt;$CO$138</formula>
    </cfRule>
    <cfRule type="expression" priority="1490" dxfId="768">
      <formula>$CP169&gt;$CO$137</formula>
    </cfRule>
  </conditionalFormatting>
  <conditionalFormatting sqref="CH121">
    <cfRule type="expression" priority="1487" dxfId="769">
      <formula>$CP170&gt;$CO$138</formula>
    </cfRule>
    <cfRule type="expression" priority="1488" dxfId="768">
      <formula>$CP170&gt;$CO$137</formula>
    </cfRule>
  </conditionalFormatting>
  <conditionalFormatting sqref="CH122">
    <cfRule type="expression" priority="1485" dxfId="769">
      <formula>$CP171&gt;$CO$138</formula>
    </cfRule>
    <cfRule type="expression" priority="1486" dxfId="768">
      <formula>$CP171&gt;$CO$137</formula>
    </cfRule>
  </conditionalFormatting>
  <conditionalFormatting sqref="CH123">
    <cfRule type="expression" priority="1483" dxfId="769">
      <formula>$CP172&gt;$CO$138</formula>
    </cfRule>
    <cfRule type="expression" priority="1484" dxfId="768">
      <formula>$CP172&gt;$CO$137</formula>
    </cfRule>
  </conditionalFormatting>
  <conditionalFormatting sqref="CH124">
    <cfRule type="expression" priority="1481" dxfId="769">
      <formula>$CP173&gt;$CO$138</formula>
    </cfRule>
    <cfRule type="expression" priority="1482" dxfId="768">
      <formula>$CP173&gt;$CO$137</formula>
    </cfRule>
  </conditionalFormatting>
  <conditionalFormatting sqref="CH125">
    <cfRule type="expression" priority="1479" dxfId="769">
      <formula>$CP174&gt;$CO$138</formula>
    </cfRule>
    <cfRule type="expression" priority="1480" dxfId="768">
      <formula>$CP174&gt;$CO$137</formula>
    </cfRule>
  </conditionalFormatting>
  <conditionalFormatting sqref="CH126">
    <cfRule type="expression" priority="1477" dxfId="769">
      <formula>$CP175&gt;$CO$138</formula>
    </cfRule>
    <cfRule type="expression" priority="1478" dxfId="768">
      <formula>$CP175&gt;$CO$137</formula>
    </cfRule>
  </conditionalFormatting>
  <conditionalFormatting sqref="CH127">
    <cfRule type="expression" priority="1475" dxfId="769">
      <formula>$CP176&gt;$CO$138</formula>
    </cfRule>
    <cfRule type="expression" priority="1476" dxfId="768">
      <formula>$CP176&gt;$CO$137</formula>
    </cfRule>
  </conditionalFormatting>
  <conditionalFormatting sqref="CH128">
    <cfRule type="expression" priority="1473" dxfId="769">
      <formula>$CP177&gt;$CO$138</formula>
    </cfRule>
    <cfRule type="expression" priority="1474" dxfId="768">
      <formula>$CP177&gt;$CO$137</formula>
    </cfRule>
  </conditionalFormatting>
  <conditionalFormatting sqref="CL93">
    <cfRule type="expression" priority="1471" dxfId="769">
      <formula>$CP142&gt;$CO$138</formula>
    </cfRule>
    <cfRule type="expression" priority="1472" dxfId="768">
      <formula>$CP142&gt;$CO$137</formula>
    </cfRule>
  </conditionalFormatting>
  <conditionalFormatting sqref="CL94">
    <cfRule type="expression" priority="1469" dxfId="769">
      <formula>$CP143&gt;$CO$138</formula>
    </cfRule>
    <cfRule type="expression" priority="1470" dxfId="768">
      <formula>$CP143&gt;$CO$137</formula>
    </cfRule>
  </conditionalFormatting>
  <conditionalFormatting sqref="CL95">
    <cfRule type="expression" priority="1467" dxfId="769">
      <formula>$CP144&gt;$CO$138</formula>
    </cfRule>
    <cfRule type="expression" priority="1468" dxfId="768">
      <formula>$CP144&gt;$CO$137</formula>
    </cfRule>
  </conditionalFormatting>
  <conditionalFormatting sqref="CL96">
    <cfRule type="expression" priority="1465" dxfId="769">
      <formula>$CP145&gt;$CO$138</formula>
    </cfRule>
    <cfRule type="expression" priority="1466" dxfId="768">
      <formula>$CP145&gt;$CO$137</formula>
    </cfRule>
  </conditionalFormatting>
  <conditionalFormatting sqref="CL97">
    <cfRule type="expression" priority="1463" dxfId="769">
      <formula>$CP146&gt;$CO$138</formula>
    </cfRule>
    <cfRule type="expression" priority="1464" dxfId="768">
      <formula>$CP146&gt;$CO$137</formula>
    </cfRule>
  </conditionalFormatting>
  <conditionalFormatting sqref="CL98">
    <cfRule type="expression" priority="1461" dxfId="769">
      <formula>$CP147&gt;$CO$138</formula>
    </cfRule>
    <cfRule type="expression" priority="1462" dxfId="768">
      <formula>$CP147&gt;$CO$137</formula>
    </cfRule>
  </conditionalFormatting>
  <conditionalFormatting sqref="CL99">
    <cfRule type="expression" priority="1459" dxfId="769">
      <formula>$CP148&gt;$CO$138</formula>
    </cfRule>
    <cfRule type="expression" priority="1460" dxfId="768">
      <formula>$CP148&gt;$CO$137</formula>
    </cfRule>
  </conditionalFormatting>
  <conditionalFormatting sqref="CL100">
    <cfRule type="expression" priority="1457" dxfId="769">
      <formula>$CP149&gt;$CO$138</formula>
    </cfRule>
    <cfRule type="expression" priority="1458" dxfId="768">
      <formula>$CP149&gt;$CO$137</formula>
    </cfRule>
  </conditionalFormatting>
  <conditionalFormatting sqref="CL101">
    <cfRule type="expression" priority="1455" dxfId="769">
      <formula>$CP150&gt;$CO$138</formula>
    </cfRule>
    <cfRule type="expression" priority="1456" dxfId="768">
      <formula>$CP150&gt;$CO$137</formula>
    </cfRule>
  </conditionalFormatting>
  <conditionalFormatting sqref="CL102">
    <cfRule type="expression" priority="1453" dxfId="769">
      <formula>$CP151&gt;$CO$138</formula>
    </cfRule>
    <cfRule type="expression" priority="1454" dxfId="768">
      <formula>$CP151&gt;$CO$137</formula>
    </cfRule>
  </conditionalFormatting>
  <conditionalFormatting sqref="CL103">
    <cfRule type="expression" priority="1451" dxfId="769">
      <formula>$CP152&gt;$CO$138</formula>
    </cfRule>
    <cfRule type="expression" priority="1452" dxfId="768">
      <formula>$CP152&gt;$CO$137</formula>
    </cfRule>
  </conditionalFormatting>
  <conditionalFormatting sqref="CL104">
    <cfRule type="expression" priority="1449" dxfId="769">
      <formula>$CP153&gt;$CO$138</formula>
    </cfRule>
    <cfRule type="expression" priority="1450" dxfId="768">
      <formula>$CP153&gt;$CO$137</formula>
    </cfRule>
  </conditionalFormatting>
  <conditionalFormatting sqref="CL105">
    <cfRule type="expression" priority="1447" dxfId="769">
      <formula>$CP154&gt;$CO$138</formula>
    </cfRule>
    <cfRule type="expression" priority="1448" dxfId="768">
      <formula>$CP154&gt;$CO$137</formula>
    </cfRule>
  </conditionalFormatting>
  <conditionalFormatting sqref="CL106">
    <cfRule type="expression" priority="1445" dxfId="769">
      <formula>$CP155&gt;$CO$138</formula>
    </cfRule>
    <cfRule type="expression" priority="1446" dxfId="768">
      <formula>$CP155&gt;$CO$137</formula>
    </cfRule>
  </conditionalFormatting>
  <conditionalFormatting sqref="CL107">
    <cfRule type="expression" priority="1443" dxfId="769">
      <formula>$CP156&gt;$CO$138</formula>
    </cfRule>
    <cfRule type="expression" priority="1444" dxfId="768">
      <formula>$CP156&gt;$CO$137</formula>
    </cfRule>
  </conditionalFormatting>
  <conditionalFormatting sqref="CL108">
    <cfRule type="expression" priority="1441" dxfId="769">
      <formula>$CP157&gt;$CO$138</formula>
    </cfRule>
    <cfRule type="expression" priority="1442" dxfId="768">
      <formula>$CP157&gt;$CO$137</formula>
    </cfRule>
  </conditionalFormatting>
  <conditionalFormatting sqref="CL109">
    <cfRule type="expression" priority="1439" dxfId="769">
      <formula>$CP158&gt;$CO$138</formula>
    </cfRule>
    <cfRule type="expression" priority="1440" dxfId="768">
      <formula>$CP158&gt;$CO$137</formula>
    </cfRule>
  </conditionalFormatting>
  <conditionalFormatting sqref="CL110">
    <cfRule type="expression" priority="1437" dxfId="769">
      <formula>$CP159&gt;$CO$138</formula>
    </cfRule>
    <cfRule type="expression" priority="1438" dxfId="768">
      <formula>$CP159&gt;$CO$137</formula>
    </cfRule>
  </conditionalFormatting>
  <conditionalFormatting sqref="CL111">
    <cfRule type="expression" priority="1435" dxfId="769">
      <formula>$CP160&gt;$CO$138</formula>
    </cfRule>
    <cfRule type="expression" priority="1436" dxfId="768">
      <formula>$CP160&gt;$CO$137</formula>
    </cfRule>
  </conditionalFormatting>
  <conditionalFormatting sqref="CL112">
    <cfRule type="expression" priority="1433" dxfId="769">
      <formula>$CP161&gt;$CO$138</formula>
    </cfRule>
    <cfRule type="expression" priority="1434" dxfId="768">
      <formula>$CP161&gt;$CO$137</formula>
    </cfRule>
  </conditionalFormatting>
  <conditionalFormatting sqref="CL113">
    <cfRule type="expression" priority="1431" dxfId="769">
      <formula>$CP162&gt;$CO$138</formula>
    </cfRule>
    <cfRule type="expression" priority="1432" dxfId="768">
      <formula>$CP162&gt;$CO$137</formula>
    </cfRule>
  </conditionalFormatting>
  <conditionalFormatting sqref="CL114">
    <cfRule type="expression" priority="1429" dxfId="769">
      <formula>$CP163&gt;$CO$138</formula>
    </cfRule>
    <cfRule type="expression" priority="1430" dxfId="768">
      <formula>$CP163&gt;$CO$137</formula>
    </cfRule>
  </conditionalFormatting>
  <conditionalFormatting sqref="CL115">
    <cfRule type="expression" priority="1427" dxfId="769">
      <formula>$CP164&gt;$CO$138</formula>
    </cfRule>
    <cfRule type="expression" priority="1428" dxfId="768">
      <formula>$CP164&gt;$CO$137</formula>
    </cfRule>
  </conditionalFormatting>
  <conditionalFormatting sqref="CL116">
    <cfRule type="expression" priority="1425" dxfId="769">
      <formula>$CP165&gt;$CO$138</formula>
    </cfRule>
    <cfRule type="expression" priority="1426" dxfId="768">
      <formula>$CP165&gt;$CO$137</formula>
    </cfRule>
  </conditionalFormatting>
  <conditionalFormatting sqref="CL117">
    <cfRule type="expression" priority="1423" dxfId="769">
      <formula>$CP166&gt;$CO$138</formula>
    </cfRule>
    <cfRule type="expression" priority="1424" dxfId="768">
      <formula>$CP166&gt;$CO$137</formula>
    </cfRule>
  </conditionalFormatting>
  <conditionalFormatting sqref="CL118">
    <cfRule type="expression" priority="1421" dxfId="769">
      <formula>$CP167&gt;$CO$138</formula>
    </cfRule>
    <cfRule type="expression" priority="1422" dxfId="768">
      <formula>$CP167&gt;$CO$137</formula>
    </cfRule>
  </conditionalFormatting>
  <conditionalFormatting sqref="CL119">
    <cfRule type="expression" priority="1419" dxfId="769">
      <formula>$CP168&gt;$CO$138</formula>
    </cfRule>
    <cfRule type="expression" priority="1420" dxfId="768">
      <formula>$CP168&gt;$CO$137</formula>
    </cfRule>
  </conditionalFormatting>
  <conditionalFormatting sqref="CL120">
    <cfRule type="expression" priority="1417" dxfId="769">
      <formula>$CP169&gt;$CO$138</formula>
    </cfRule>
    <cfRule type="expression" priority="1418" dxfId="768">
      <formula>$CP169&gt;$CO$137</formula>
    </cfRule>
  </conditionalFormatting>
  <conditionalFormatting sqref="CL121">
    <cfRule type="expression" priority="1415" dxfId="769">
      <formula>$CP170&gt;$CO$138</formula>
    </cfRule>
    <cfRule type="expression" priority="1416" dxfId="768">
      <formula>$CP170&gt;$CO$137</formula>
    </cfRule>
  </conditionalFormatting>
  <conditionalFormatting sqref="CL122">
    <cfRule type="expression" priority="1413" dxfId="769">
      <formula>$CP171&gt;$CO$138</formula>
    </cfRule>
    <cfRule type="expression" priority="1414" dxfId="768">
      <formula>$CP171&gt;$CO$137</formula>
    </cfRule>
  </conditionalFormatting>
  <conditionalFormatting sqref="CL123">
    <cfRule type="expression" priority="1411" dxfId="769">
      <formula>$CP172&gt;$CO$138</formula>
    </cfRule>
    <cfRule type="expression" priority="1412" dxfId="768">
      <formula>$CP172&gt;$CO$137</formula>
    </cfRule>
  </conditionalFormatting>
  <conditionalFormatting sqref="CL124">
    <cfRule type="expression" priority="1409" dxfId="769">
      <formula>$CP173&gt;$CO$138</formula>
    </cfRule>
    <cfRule type="expression" priority="1410" dxfId="768">
      <formula>$CP173&gt;$CO$137</formula>
    </cfRule>
  </conditionalFormatting>
  <conditionalFormatting sqref="CL125">
    <cfRule type="expression" priority="1407" dxfId="769">
      <formula>$CP174&gt;$CO$138</formula>
    </cfRule>
    <cfRule type="expression" priority="1408" dxfId="768">
      <formula>$CP174&gt;$CO$137</formula>
    </cfRule>
  </conditionalFormatting>
  <conditionalFormatting sqref="CL126">
    <cfRule type="expression" priority="1405" dxfId="769">
      <formula>$CP175&gt;$CO$138</formula>
    </cfRule>
    <cfRule type="expression" priority="1406" dxfId="768">
      <formula>$CP175&gt;$CO$137</formula>
    </cfRule>
  </conditionalFormatting>
  <conditionalFormatting sqref="CL127">
    <cfRule type="expression" priority="1403" dxfId="769">
      <formula>$CP176&gt;$CO$138</formula>
    </cfRule>
    <cfRule type="expression" priority="1404" dxfId="768">
      <formula>$CP176&gt;$CO$137</formula>
    </cfRule>
  </conditionalFormatting>
  <conditionalFormatting sqref="CL128">
    <cfRule type="expression" priority="1401" dxfId="769">
      <formula>$CP177&gt;$CO$138</formula>
    </cfRule>
    <cfRule type="expression" priority="1402" dxfId="768">
      <formula>$CP177&gt;$CO$137</formula>
    </cfRule>
  </conditionalFormatting>
  <conditionalFormatting sqref="BO91 BW91">
    <cfRule type="expression" priority="2873" dxfId="769">
      <formula>$BX$184=0</formula>
    </cfRule>
    <cfRule type="expression" priority="2874" dxfId="768">
      <formula>$BX$183=0</formula>
    </cfRule>
  </conditionalFormatting>
  <conditionalFormatting sqref="BO92">
    <cfRule type="expression" priority="1378" dxfId="769">
      <formula>$BY187&gt;$BX$184</formula>
    </cfRule>
    <cfRule type="expression" priority="1399" dxfId="768">
      <formula>$BY187&gt;$BX$183</formula>
    </cfRule>
    <cfRule type="expression" priority="2877" dxfId="752">
      <formula>$BY187&gt;0</formula>
    </cfRule>
  </conditionalFormatting>
  <conditionalFormatting sqref="BX184">
    <cfRule type="expression" priority="1400" dxfId="769">
      <formula>$BY187&gt;$BX$184</formula>
    </cfRule>
  </conditionalFormatting>
  <conditionalFormatting sqref="BO93">
    <cfRule type="expression" priority="1375" dxfId="769">
      <formula>$BY188&gt;$BX$184</formula>
    </cfRule>
    <cfRule type="expression" priority="1376" dxfId="768">
      <formula>$BY188&gt;$BX$183</formula>
    </cfRule>
    <cfRule type="expression" priority="1377" dxfId="752">
      <formula>$BY188&gt;0</formula>
    </cfRule>
  </conditionalFormatting>
  <conditionalFormatting sqref="BO94">
    <cfRule type="expression" priority="1372" dxfId="769">
      <formula>$BY189&gt;$BX$184</formula>
    </cfRule>
    <cfRule type="expression" priority="1373" dxfId="768">
      <formula>$BY189&gt;$BX$183</formula>
    </cfRule>
    <cfRule type="expression" priority="1374" dxfId="752">
      <formula>$BY189&gt;0</formula>
    </cfRule>
  </conditionalFormatting>
  <conditionalFormatting sqref="BO95">
    <cfRule type="expression" priority="1369" dxfId="769">
      <formula>$BY190&gt;$BX$184</formula>
    </cfRule>
    <cfRule type="expression" priority="1370" dxfId="768">
      <formula>$BY190&gt;$BX$183</formula>
    </cfRule>
    <cfRule type="expression" priority="1371" dxfId="752">
      <formula>$BY190&gt;0</formula>
    </cfRule>
  </conditionalFormatting>
  <conditionalFormatting sqref="BO96">
    <cfRule type="expression" priority="1366" dxfId="769">
      <formula>$BY191&gt;$BX$184</formula>
    </cfRule>
    <cfRule type="expression" priority="1367" dxfId="768">
      <formula>$BY191&gt;$BX$183</formula>
    </cfRule>
    <cfRule type="expression" priority="1368" dxfId="752">
      <formula>$BY191&gt;0</formula>
    </cfRule>
  </conditionalFormatting>
  <conditionalFormatting sqref="BO97">
    <cfRule type="expression" priority="1363" dxfId="769">
      <formula>$BY192&gt;$BX$184</formula>
    </cfRule>
    <cfRule type="expression" priority="1364" dxfId="768">
      <formula>$BY192&gt;$BX$183</formula>
    </cfRule>
    <cfRule type="expression" priority="1365" dxfId="752">
      <formula>$BY192&gt;0</formula>
    </cfRule>
  </conditionalFormatting>
  <conditionalFormatting sqref="BO98">
    <cfRule type="expression" priority="1360" dxfId="769">
      <formula>$BY193&gt;$BX$184</formula>
    </cfRule>
    <cfRule type="expression" priority="1361" dxfId="768">
      <formula>$BY193&gt;$BX$183</formula>
    </cfRule>
    <cfRule type="expression" priority="1362" dxfId="752">
      <formula>$BY193&gt;0</formula>
    </cfRule>
  </conditionalFormatting>
  <conditionalFormatting sqref="BO99">
    <cfRule type="expression" priority="1357" dxfId="769">
      <formula>$BY194&gt;$BX$184</formula>
    </cfRule>
    <cfRule type="expression" priority="1358" dxfId="768">
      <formula>$BY194&gt;$BX$183</formula>
    </cfRule>
    <cfRule type="expression" priority="1359" dxfId="752">
      <formula>$BY194&gt;0</formula>
    </cfRule>
  </conditionalFormatting>
  <conditionalFormatting sqref="BO100">
    <cfRule type="expression" priority="1354" dxfId="769">
      <formula>$BY195&gt;$BX$184</formula>
    </cfRule>
    <cfRule type="expression" priority="1355" dxfId="768">
      <formula>$BY195&gt;$BX$183</formula>
    </cfRule>
    <cfRule type="expression" priority="1356" dxfId="752">
      <formula>$BY195&gt;0</formula>
    </cfRule>
  </conditionalFormatting>
  <conditionalFormatting sqref="BO101">
    <cfRule type="expression" priority="1351" dxfId="769">
      <formula>$BY196&gt;$BX$184</formula>
    </cfRule>
    <cfRule type="expression" priority="1352" dxfId="768">
      <formula>$BY196&gt;$BX$183</formula>
    </cfRule>
    <cfRule type="expression" priority="1353" dxfId="752">
      <formula>$BY196&gt;0</formula>
    </cfRule>
  </conditionalFormatting>
  <conditionalFormatting sqref="BW92">
    <cfRule type="expression" priority="1348" dxfId="769">
      <formula>$BY187&gt;$BX$184</formula>
    </cfRule>
    <cfRule type="expression" priority="1349" dxfId="768">
      <formula>$BY187&gt;$BX$183</formula>
    </cfRule>
    <cfRule type="expression" priority="1350" dxfId="753">
      <formula>$BY187&gt;0</formula>
    </cfRule>
  </conditionalFormatting>
  <conditionalFormatting sqref="BW93">
    <cfRule type="expression" priority="1345" dxfId="769">
      <formula>$BY188&gt;$BX$184</formula>
    </cfRule>
    <cfRule type="expression" priority="1346" dxfId="768">
      <formula>$BY188&gt;$BX$183</formula>
    </cfRule>
    <cfRule type="expression" priority="1347" dxfId="753">
      <formula>$BY188&gt;0</formula>
    </cfRule>
  </conditionalFormatting>
  <conditionalFormatting sqref="BW94">
    <cfRule type="expression" priority="1342" dxfId="769">
      <formula>$BY189&gt;$BX$184</formula>
    </cfRule>
    <cfRule type="expression" priority="1343" dxfId="768">
      <formula>$BY189&gt;$BX$183</formula>
    </cfRule>
    <cfRule type="expression" priority="1344" dxfId="753">
      <formula>$BY189&gt;0</formula>
    </cfRule>
  </conditionalFormatting>
  <conditionalFormatting sqref="BW95">
    <cfRule type="expression" priority="1339" dxfId="769">
      <formula>$BY190&gt;$BX$184</formula>
    </cfRule>
    <cfRule type="expression" priority="1340" dxfId="768">
      <formula>$BY190&gt;$BX$183</formula>
    </cfRule>
    <cfRule type="expression" priority="1341" dxfId="753">
      <formula>$BY190&gt;0</formula>
    </cfRule>
  </conditionalFormatting>
  <conditionalFormatting sqref="BW96">
    <cfRule type="expression" priority="1336" dxfId="769">
      <formula>$BY191&gt;$BX$184</formula>
    </cfRule>
    <cfRule type="expression" priority="1337" dxfId="768">
      <formula>$BY191&gt;$BX$183</formula>
    </cfRule>
    <cfRule type="expression" priority="1338" dxfId="753">
      <formula>$BY191&gt;0</formula>
    </cfRule>
  </conditionalFormatting>
  <conditionalFormatting sqref="BW97">
    <cfRule type="expression" priority="1333" dxfId="769">
      <formula>$BY192&gt;$BX$184</formula>
    </cfRule>
    <cfRule type="expression" priority="1334" dxfId="768">
      <formula>$BY192&gt;$BX$183</formula>
    </cfRule>
    <cfRule type="expression" priority="1335" dxfId="753">
      <formula>$BY192&gt;0</formula>
    </cfRule>
  </conditionalFormatting>
  <conditionalFormatting sqref="BW98">
    <cfRule type="expression" priority="1330" dxfId="769">
      <formula>$BY193&gt;$BX$184</formula>
    </cfRule>
    <cfRule type="expression" priority="1331" dxfId="768">
      <formula>$BY193&gt;$BX$183</formula>
    </cfRule>
    <cfRule type="expression" priority="1332" dxfId="753">
      <formula>$BY193&gt;0</formula>
    </cfRule>
  </conditionalFormatting>
  <conditionalFormatting sqref="BW99">
    <cfRule type="expression" priority="1327" dxfId="769">
      <formula>$BY194&gt;$BX$184</formula>
    </cfRule>
    <cfRule type="expression" priority="1328" dxfId="768">
      <formula>$BY194&gt;$BX$183</formula>
    </cfRule>
    <cfRule type="expression" priority="1329" dxfId="753">
      <formula>$BY194&gt;0</formula>
    </cfRule>
  </conditionalFormatting>
  <conditionalFormatting sqref="BW100">
    <cfRule type="expression" priority="1324" dxfId="769">
      <formula>$BY195&gt;$BX$184</formula>
    </cfRule>
    <cfRule type="expression" priority="1325" dxfId="768">
      <formula>$BY195&gt;$BX$183</formula>
    </cfRule>
    <cfRule type="expression" priority="1326" dxfId="753">
      <formula>$BY195&gt;0</formula>
    </cfRule>
  </conditionalFormatting>
  <conditionalFormatting sqref="BW101">
    <cfRule type="expression" priority="1321" dxfId="769">
      <formula>$BY196&gt;$BX$184</formula>
    </cfRule>
    <cfRule type="expression" priority="1322" dxfId="768">
      <formula>$BY196&gt;$BX$183</formula>
    </cfRule>
    <cfRule type="expression" priority="1323" dxfId="753">
      <formula>$BY196&gt;0</formula>
    </cfRule>
  </conditionalFormatting>
  <conditionalFormatting sqref="BP93">
    <cfRule type="expression" priority="1317" dxfId="769">
      <formula>$BM142&gt;$BL$138</formula>
    </cfRule>
    <cfRule type="expression" priority="1318" dxfId="768">
      <formula>$BM142&gt;$BL$137</formula>
    </cfRule>
    <cfRule type="expression" priority="1319" dxfId="752">
      <formula>$BM142&gt;0</formula>
    </cfRule>
  </conditionalFormatting>
  <conditionalFormatting sqref="BP94">
    <cfRule type="expression" priority="1314" dxfId="769">
      <formula>$BM143&gt;$BL$138</formula>
    </cfRule>
    <cfRule type="expression" priority="1315" dxfId="768">
      <formula>$BM143&gt;$BL$137</formula>
    </cfRule>
    <cfRule type="expression" priority="1316" dxfId="752">
      <formula>$BM143&gt;0</formula>
    </cfRule>
  </conditionalFormatting>
  <conditionalFormatting sqref="BP95">
    <cfRule type="expression" priority="1311" dxfId="769">
      <formula>$BM144&gt;$BL$138</formula>
    </cfRule>
    <cfRule type="expression" priority="1312" dxfId="768">
      <formula>$BM144&gt;$BL$137</formula>
    </cfRule>
    <cfRule type="expression" priority="1313" dxfId="752">
      <formula>$BM144&gt;0</formula>
    </cfRule>
  </conditionalFormatting>
  <conditionalFormatting sqref="BP96">
    <cfRule type="expression" priority="1308" dxfId="769">
      <formula>$BM145&gt;$BL$138</formula>
    </cfRule>
    <cfRule type="expression" priority="1309" dxfId="768">
      <formula>$BM145&gt;$BL$137</formula>
    </cfRule>
    <cfRule type="expression" priority="1310" dxfId="752">
      <formula>$BM145&gt;0</formula>
    </cfRule>
  </conditionalFormatting>
  <conditionalFormatting sqref="BP97">
    <cfRule type="expression" priority="1305" dxfId="769">
      <formula>$BM146&gt;$BL$138</formula>
    </cfRule>
    <cfRule type="expression" priority="1306" dxfId="768">
      <formula>$BM146&gt;$BL$137</formula>
    </cfRule>
    <cfRule type="expression" priority="1307" dxfId="752">
      <formula>$BM146&gt;0</formula>
    </cfRule>
  </conditionalFormatting>
  <conditionalFormatting sqref="BV92">
    <cfRule type="expression" priority="1287" dxfId="769">
      <formula>$BM141&gt;$BL$138</formula>
    </cfRule>
    <cfRule type="expression" priority="1288" dxfId="768">
      <formula>$BM141&gt;$BL$137</formula>
    </cfRule>
    <cfRule type="expression" priority="1289" dxfId="753">
      <formula>$BM141&gt;0</formula>
    </cfRule>
  </conditionalFormatting>
  <conditionalFormatting sqref="BV93">
    <cfRule type="expression" priority="1284" dxfId="769">
      <formula>$BM142&gt;$BL$138</formula>
    </cfRule>
    <cfRule type="expression" priority="1285" dxfId="768">
      <formula>$BM142&gt;$BL$137</formula>
    </cfRule>
    <cfRule type="expression" priority="1286" dxfId="753">
      <formula>$BM142&gt;0</formula>
    </cfRule>
  </conditionalFormatting>
  <conditionalFormatting sqref="BV94">
    <cfRule type="expression" priority="1281" dxfId="769">
      <formula>$BM143&gt;$BL$138</formula>
    </cfRule>
    <cfRule type="expression" priority="1282" dxfId="768">
      <formula>$BM143&gt;$BL$137</formula>
    </cfRule>
    <cfRule type="expression" priority="1283" dxfId="753">
      <formula>$BM143&gt;0</formula>
    </cfRule>
  </conditionalFormatting>
  <conditionalFormatting sqref="BV95">
    <cfRule type="expression" priority="1278" dxfId="769">
      <formula>$BM144&gt;$BL$138</formula>
    </cfRule>
    <cfRule type="expression" priority="1279" dxfId="768">
      <formula>$BM144&gt;$BL$137</formula>
    </cfRule>
    <cfRule type="expression" priority="1280" dxfId="753">
      <formula>$BM144&gt;0</formula>
    </cfRule>
  </conditionalFormatting>
  <conditionalFormatting sqref="BV96">
    <cfRule type="expression" priority="1275" dxfId="769">
      <formula>$BM145&gt;$BL$138</formula>
    </cfRule>
    <cfRule type="expression" priority="1276" dxfId="768">
      <formula>$BM145&gt;$BL$137</formula>
    </cfRule>
    <cfRule type="expression" priority="1277" dxfId="753">
      <formula>$BM145&gt;0</formula>
    </cfRule>
  </conditionalFormatting>
  <conditionalFormatting sqref="BV97">
    <cfRule type="expression" priority="1272" dxfId="769">
      <formula>$BM146&gt;$BL$138</formula>
    </cfRule>
    <cfRule type="expression" priority="1273" dxfId="768">
      <formula>$BM146&gt;$BL$137</formula>
    </cfRule>
    <cfRule type="expression" priority="1274" dxfId="753">
      <formula>$BM146&gt;0</formula>
    </cfRule>
  </conditionalFormatting>
  <conditionalFormatting sqref="BP98">
    <cfRule type="expression" priority="1254" dxfId="769">
      <formula>$BM147&gt;$BL$138</formula>
    </cfRule>
    <cfRule type="expression" priority="1255" dxfId="768">
      <formula>$BM147&gt;$BL$137</formula>
    </cfRule>
    <cfRule type="expression" priority="1256" dxfId="752">
      <formula>$BM147&gt;0</formula>
    </cfRule>
  </conditionalFormatting>
  <conditionalFormatting sqref="BP99">
    <cfRule type="expression" priority="1251" dxfId="769">
      <formula>$BM148&gt;$BL$138</formula>
    </cfRule>
    <cfRule type="expression" priority="1252" dxfId="768">
      <formula>$BM148&gt;$BL$137</formula>
    </cfRule>
    <cfRule type="expression" priority="1253" dxfId="752">
      <formula>$BM148&gt;0</formula>
    </cfRule>
  </conditionalFormatting>
  <conditionalFormatting sqref="BP100">
    <cfRule type="expression" priority="1248" dxfId="769">
      <formula>$BM149&gt;$BL$138</formula>
    </cfRule>
    <cfRule type="expression" priority="1249" dxfId="768">
      <formula>$BM149&gt;$BL$137</formula>
    </cfRule>
    <cfRule type="expression" priority="1250" dxfId="752">
      <formula>$BM149&gt;0</formula>
    </cfRule>
  </conditionalFormatting>
  <conditionalFormatting sqref="BP101">
    <cfRule type="expression" priority="1245" dxfId="769">
      <formula>$BM150&gt;$BL$138</formula>
    </cfRule>
    <cfRule type="expression" priority="1246" dxfId="768">
      <formula>$BM150&gt;$BL$137</formula>
    </cfRule>
    <cfRule type="expression" priority="1247" dxfId="752">
      <formula>$BM150&gt;0</formula>
    </cfRule>
  </conditionalFormatting>
  <conditionalFormatting sqref="BP102:BP124">
    <cfRule type="expression" priority="1242" dxfId="769">
      <formula>$BM151&gt;$BL$138</formula>
    </cfRule>
    <cfRule type="expression" priority="1243" dxfId="768">
      <formula>$BM151&gt;$BL$137</formula>
    </cfRule>
    <cfRule type="expression" priority="1244" dxfId="752">
      <formula>$BM151&gt;0</formula>
    </cfRule>
  </conditionalFormatting>
  <conditionalFormatting sqref="BV98">
    <cfRule type="expression" priority="1239" dxfId="769">
      <formula>$BM147&gt;$BL$138</formula>
    </cfRule>
    <cfRule type="expression" priority="1240" dxfId="768">
      <formula>$BM147&gt;$BL$137</formula>
    </cfRule>
    <cfRule type="expression" priority="1241" dxfId="753">
      <formula>$BM147&gt;0</formula>
    </cfRule>
  </conditionalFormatting>
  <conditionalFormatting sqref="BV99">
    <cfRule type="expression" priority="1236" dxfId="769">
      <formula>$BM148&gt;$BL$138</formula>
    </cfRule>
    <cfRule type="expression" priority="1237" dxfId="768">
      <formula>$BM148&gt;$BL$137</formula>
    </cfRule>
    <cfRule type="expression" priority="1238" dxfId="753">
      <formula>$BM148&gt;0</formula>
    </cfRule>
  </conditionalFormatting>
  <conditionalFormatting sqref="BV100">
    <cfRule type="expression" priority="1233" dxfId="769">
      <formula>$BM149&gt;$BL$138</formula>
    </cfRule>
    <cfRule type="expression" priority="1234" dxfId="768">
      <formula>$BM149&gt;$BL$137</formula>
    </cfRule>
    <cfRule type="expression" priority="1235" dxfId="753">
      <formula>$BM149&gt;0</formula>
    </cfRule>
  </conditionalFormatting>
  <conditionalFormatting sqref="BV101">
    <cfRule type="expression" priority="1230" dxfId="769">
      <formula>$BM150&gt;$BL$138</formula>
    </cfRule>
    <cfRule type="expression" priority="1231" dxfId="768">
      <formula>$BM150&gt;$BL$137</formula>
    </cfRule>
    <cfRule type="expression" priority="1232" dxfId="753">
      <formula>$BM150&gt;0</formula>
    </cfRule>
  </conditionalFormatting>
  <conditionalFormatting sqref="BV102:BV124">
    <cfRule type="expression" priority="1227" dxfId="769">
      <formula>$BM151&gt;$BL$138</formula>
    </cfRule>
    <cfRule type="expression" priority="1228" dxfId="768">
      <formula>$BM151&gt;$BL$137</formula>
    </cfRule>
    <cfRule type="expression" priority="1229" dxfId="753">
      <formula>$BM151&gt;0</formula>
    </cfRule>
  </conditionalFormatting>
  <conditionalFormatting sqref="BU92">
    <cfRule type="expression" priority="2484" dxfId="753">
      <formula>$BY141&gt;0</formula>
    </cfRule>
  </conditionalFormatting>
  <conditionalFormatting sqref="BQ92">
    <cfRule type="expression" priority="2483" dxfId="752">
      <formula>$BY141&gt;0</formula>
    </cfRule>
  </conditionalFormatting>
  <conditionalFormatting sqref="BQ93">
    <cfRule type="expression" priority="1117" dxfId="752">
      <formula>$BY142&gt;0</formula>
    </cfRule>
    <cfRule type="expression" priority="1118" dxfId="769">
      <formula>$BY142&gt;$BX$138</formula>
    </cfRule>
    <cfRule type="expression" priority="1119" dxfId="768">
      <formula>$BY142&gt;$BX$137</formula>
    </cfRule>
  </conditionalFormatting>
  <conditionalFormatting sqref="BQ94">
    <cfRule type="expression" priority="1114" dxfId="752">
      <formula>$BY143&gt;0</formula>
    </cfRule>
    <cfRule type="expression" priority="1115" dxfId="769">
      <formula>$BY143&gt;$BX$138</formula>
    </cfRule>
    <cfRule type="expression" priority="1116" dxfId="768">
      <formula>$BY143&gt;$BX$137</formula>
    </cfRule>
  </conditionalFormatting>
  <conditionalFormatting sqref="BQ95">
    <cfRule type="expression" priority="1111" dxfId="752">
      <formula>$BY144&gt;0</formula>
    </cfRule>
    <cfRule type="expression" priority="1112" dxfId="769">
      <formula>$BY144&gt;$BX$138</formula>
    </cfRule>
    <cfRule type="expression" priority="1113" dxfId="768">
      <formula>$BY144&gt;$BX$137</formula>
    </cfRule>
  </conditionalFormatting>
  <conditionalFormatting sqref="BQ96">
    <cfRule type="expression" priority="1108" dxfId="752">
      <formula>$BY145&gt;0</formula>
    </cfRule>
    <cfRule type="expression" priority="1109" dxfId="769">
      <formula>$BY145&gt;$BX$138</formula>
    </cfRule>
    <cfRule type="expression" priority="1110" dxfId="768">
      <formula>$BY145&gt;$BX$137</formula>
    </cfRule>
  </conditionalFormatting>
  <conditionalFormatting sqref="BQ97">
    <cfRule type="expression" priority="1105" dxfId="752">
      <formula>$BY146&gt;0</formula>
    </cfRule>
    <cfRule type="expression" priority="1106" dxfId="769">
      <formula>$BY146&gt;$BX$138</formula>
    </cfRule>
    <cfRule type="expression" priority="1107" dxfId="768">
      <formula>$BY146&gt;$BX$137</formula>
    </cfRule>
  </conditionalFormatting>
  <conditionalFormatting sqref="BQ98">
    <cfRule type="expression" priority="1102" dxfId="752">
      <formula>$BY147&gt;0</formula>
    </cfRule>
    <cfRule type="expression" priority="1103" dxfId="769">
      <formula>$BY147&gt;$BX$138</formula>
    </cfRule>
    <cfRule type="expression" priority="1104" dxfId="768">
      <formula>$BY147&gt;$BX$137</formula>
    </cfRule>
  </conditionalFormatting>
  <conditionalFormatting sqref="BQ99">
    <cfRule type="expression" priority="1099" dxfId="752">
      <formula>$BY148&gt;0</formula>
    </cfRule>
    <cfRule type="expression" priority="1100" dxfId="769">
      <formula>$BY148&gt;$BX$138</formula>
    </cfRule>
    <cfRule type="expression" priority="1101" dxfId="768">
      <formula>$BY148&gt;$BX$137</formula>
    </cfRule>
  </conditionalFormatting>
  <conditionalFormatting sqref="BQ100">
    <cfRule type="expression" priority="1096" dxfId="752">
      <formula>$BY149&gt;0</formula>
    </cfRule>
    <cfRule type="expression" priority="1097" dxfId="769">
      <formula>$BY149&gt;$BX$138</formula>
    </cfRule>
    <cfRule type="expression" priority="1098" dxfId="768">
      <formula>$BY149&gt;$BX$137</formula>
    </cfRule>
  </conditionalFormatting>
  <conditionalFormatting sqref="BQ101">
    <cfRule type="expression" priority="1093" dxfId="752">
      <formula>$BY150&gt;0</formula>
    </cfRule>
    <cfRule type="expression" priority="1094" dxfId="769">
      <formula>$BY150&gt;$BX$138</formula>
    </cfRule>
    <cfRule type="expression" priority="1095" dxfId="768">
      <formula>$BY150&gt;$BX$137</formula>
    </cfRule>
  </conditionalFormatting>
  <conditionalFormatting sqref="BQ102">
    <cfRule type="expression" priority="1090" dxfId="752">
      <formula>$BY151&gt;0</formula>
    </cfRule>
    <cfRule type="expression" priority="1091" dxfId="769">
      <formula>$BY151&gt;$BX$138</formula>
    </cfRule>
    <cfRule type="expression" priority="1092" dxfId="768">
      <formula>$BY151&gt;$BX$137</formula>
    </cfRule>
  </conditionalFormatting>
  <conditionalFormatting sqref="BQ103">
    <cfRule type="expression" priority="1087" dxfId="752">
      <formula>$BY152&gt;0</formula>
    </cfRule>
    <cfRule type="expression" priority="1088" dxfId="769">
      <formula>$BY152&gt;$BX$138</formula>
    </cfRule>
    <cfRule type="expression" priority="1089" dxfId="768">
      <formula>$BY152&gt;$BX$137</formula>
    </cfRule>
  </conditionalFormatting>
  <conditionalFormatting sqref="BQ104">
    <cfRule type="expression" priority="1084" dxfId="752">
      <formula>$BY153&gt;0</formula>
    </cfRule>
    <cfRule type="expression" priority="1085" dxfId="769">
      <formula>$BY153&gt;$BX$138</formula>
    </cfRule>
    <cfRule type="expression" priority="1086" dxfId="768">
      <formula>$BY153&gt;$BX$137</formula>
    </cfRule>
  </conditionalFormatting>
  <conditionalFormatting sqref="BQ105">
    <cfRule type="expression" priority="1081" dxfId="752">
      <formula>$BY154&gt;0</formula>
    </cfRule>
    <cfRule type="expression" priority="1082" dxfId="769">
      <formula>$BY154&gt;$BX$138</formula>
    </cfRule>
    <cfRule type="expression" priority="1083" dxfId="768">
      <formula>$BY154&gt;$BX$137</formula>
    </cfRule>
  </conditionalFormatting>
  <conditionalFormatting sqref="BQ106">
    <cfRule type="expression" priority="1078" dxfId="752">
      <formula>$BY155&gt;0</formula>
    </cfRule>
    <cfRule type="expression" priority="1079" dxfId="769">
      <formula>$BY155&gt;$BX$138</formula>
    </cfRule>
    <cfRule type="expression" priority="1080" dxfId="768">
      <formula>$BY155&gt;$BX$137</formula>
    </cfRule>
  </conditionalFormatting>
  <conditionalFormatting sqref="BQ107">
    <cfRule type="expression" priority="1075" dxfId="752">
      <formula>$BY156&gt;0</formula>
    </cfRule>
    <cfRule type="expression" priority="1076" dxfId="769">
      <formula>$BY156&gt;$BX$138</formula>
    </cfRule>
    <cfRule type="expression" priority="1077" dxfId="768">
      <formula>$BY156&gt;$BX$137</formula>
    </cfRule>
  </conditionalFormatting>
  <conditionalFormatting sqref="BQ108">
    <cfRule type="expression" priority="1072" dxfId="752">
      <formula>$BY157&gt;0</formula>
    </cfRule>
    <cfRule type="expression" priority="1073" dxfId="769">
      <formula>$BY157&gt;$BX$138</formula>
    </cfRule>
    <cfRule type="expression" priority="1074" dxfId="768">
      <formula>$BY157&gt;$BX$137</formula>
    </cfRule>
  </conditionalFormatting>
  <conditionalFormatting sqref="BQ109">
    <cfRule type="expression" priority="1069" dxfId="752">
      <formula>$BY158&gt;0</formula>
    </cfRule>
    <cfRule type="expression" priority="1070" dxfId="769">
      <formula>$BY158&gt;$BX$138</formula>
    </cfRule>
    <cfRule type="expression" priority="1071" dxfId="768">
      <formula>$BY158&gt;$BX$137</formula>
    </cfRule>
  </conditionalFormatting>
  <conditionalFormatting sqref="BQ110">
    <cfRule type="expression" priority="1066" dxfId="752">
      <formula>$BY159&gt;0</formula>
    </cfRule>
    <cfRule type="expression" priority="1067" dxfId="769">
      <formula>$BY159&gt;$BX$138</formula>
    </cfRule>
    <cfRule type="expression" priority="1068" dxfId="768">
      <formula>$BY159&gt;$BX$137</formula>
    </cfRule>
  </conditionalFormatting>
  <conditionalFormatting sqref="BQ111">
    <cfRule type="expression" priority="1063" dxfId="752">
      <formula>$BY160&gt;0</formula>
    </cfRule>
    <cfRule type="expression" priority="1064" dxfId="769">
      <formula>$BY160&gt;$BX$138</formula>
    </cfRule>
    <cfRule type="expression" priority="1065" dxfId="768">
      <formula>$BY160&gt;$BX$137</formula>
    </cfRule>
  </conditionalFormatting>
  <conditionalFormatting sqref="BQ112">
    <cfRule type="expression" priority="1060" dxfId="752">
      <formula>$BY161&gt;0</formula>
    </cfRule>
    <cfRule type="expression" priority="1061" dxfId="769">
      <formula>$BY161&gt;$BX$138</formula>
    </cfRule>
    <cfRule type="expression" priority="1062" dxfId="768">
      <formula>$BY161&gt;$BX$137</formula>
    </cfRule>
  </conditionalFormatting>
  <conditionalFormatting sqref="BQ113">
    <cfRule type="expression" priority="1057" dxfId="752">
      <formula>$BY162&gt;0</formula>
    </cfRule>
    <cfRule type="expression" priority="1058" dxfId="769">
      <formula>$BY162&gt;$BX$138</formula>
    </cfRule>
    <cfRule type="expression" priority="1059" dxfId="768">
      <formula>$BY162&gt;$BX$137</formula>
    </cfRule>
  </conditionalFormatting>
  <conditionalFormatting sqref="BQ114">
    <cfRule type="expression" priority="1054" dxfId="752">
      <formula>$BY163&gt;0</formula>
    </cfRule>
    <cfRule type="expression" priority="1055" dxfId="769">
      <formula>$BY163&gt;$BX$138</formula>
    </cfRule>
    <cfRule type="expression" priority="1056" dxfId="768">
      <formula>$BY163&gt;$BX$137</formula>
    </cfRule>
  </conditionalFormatting>
  <conditionalFormatting sqref="BQ115">
    <cfRule type="expression" priority="1051" dxfId="752">
      <formula>$BY164&gt;0</formula>
    </cfRule>
    <cfRule type="expression" priority="1052" dxfId="769">
      <formula>$BY164&gt;$BX$138</formula>
    </cfRule>
    <cfRule type="expression" priority="1053" dxfId="768">
      <formula>$BY164&gt;$BX$137</formula>
    </cfRule>
  </conditionalFormatting>
  <conditionalFormatting sqref="BQ116">
    <cfRule type="expression" priority="1048" dxfId="752">
      <formula>$BY165&gt;0</formula>
    </cfRule>
    <cfRule type="expression" priority="1049" dxfId="769">
      <formula>$BY165&gt;$BX$138</formula>
    </cfRule>
    <cfRule type="expression" priority="1050" dxfId="768">
      <formula>$BY165&gt;$BX$137</formula>
    </cfRule>
  </conditionalFormatting>
  <conditionalFormatting sqref="BQ117">
    <cfRule type="expression" priority="1045" dxfId="752">
      <formula>$BY166&gt;0</formula>
    </cfRule>
    <cfRule type="expression" priority="1046" dxfId="769">
      <formula>$BY166&gt;$BX$138</formula>
    </cfRule>
    <cfRule type="expression" priority="1047" dxfId="768">
      <formula>$BY166&gt;$BX$137</formula>
    </cfRule>
  </conditionalFormatting>
  <conditionalFormatting sqref="BQ118">
    <cfRule type="expression" priority="1042" dxfId="752">
      <formula>$BY167&gt;0</formula>
    </cfRule>
    <cfRule type="expression" priority="1043" dxfId="769">
      <formula>$BY167&gt;$BX$138</formula>
    </cfRule>
    <cfRule type="expression" priority="1044" dxfId="768">
      <formula>$BY167&gt;$BX$137</formula>
    </cfRule>
  </conditionalFormatting>
  <conditionalFormatting sqref="BQ119">
    <cfRule type="expression" priority="1039" dxfId="752">
      <formula>$BY168&gt;0</formula>
    </cfRule>
    <cfRule type="expression" priority="1040" dxfId="769">
      <formula>$BY168&gt;$BX$138</formula>
    </cfRule>
    <cfRule type="expression" priority="1041" dxfId="768">
      <formula>$BY168&gt;$BX$137</formula>
    </cfRule>
  </conditionalFormatting>
  <conditionalFormatting sqref="BQ120">
    <cfRule type="expression" priority="1036" dxfId="752">
      <formula>$BY169&gt;0</formula>
    </cfRule>
    <cfRule type="expression" priority="1037" dxfId="769">
      <formula>$BY169&gt;$BX$138</formula>
    </cfRule>
    <cfRule type="expression" priority="1038" dxfId="768">
      <formula>$BY169&gt;$BX$137</formula>
    </cfRule>
  </conditionalFormatting>
  <conditionalFormatting sqref="BQ121">
    <cfRule type="expression" priority="1033" dxfId="752">
      <formula>$BY170&gt;0</formula>
    </cfRule>
    <cfRule type="expression" priority="1034" dxfId="769">
      <formula>$BY170&gt;$BX$138</formula>
    </cfRule>
    <cfRule type="expression" priority="1035" dxfId="768">
      <formula>$BY170&gt;$BX$137</formula>
    </cfRule>
  </conditionalFormatting>
  <conditionalFormatting sqref="BQ122">
    <cfRule type="expression" priority="1030" dxfId="752">
      <formula>$BY171&gt;0</formula>
    </cfRule>
    <cfRule type="expression" priority="1031" dxfId="769">
      <formula>$BY171&gt;$BX$138</formula>
    </cfRule>
    <cfRule type="expression" priority="1032" dxfId="768">
      <formula>$BY171&gt;$BX$137</formula>
    </cfRule>
  </conditionalFormatting>
  <conditionalFormatting sqref="BQ123">
    <cfRule type="expression" priority="1027" dxfId="752">
      <formula>$BY172&gt;0</formula>
    </cfRule>
    <cfRule type="expression" priority="1028" dxfId="769">
      <formula>$BY172&gt;$BX$138</formula>
    </cfRule>
    <cfRule type="expression" priority="1029" dxfId="768">
      <formula>$BY172&gt;$BX$137</formula>
    </cfRule>
  </conditionalFormatting>
  <conditionalFormatting sqref="BQ124">
    <cfRule type="expression" priority="1024" dxfId="752">
      <formula>$BY173&gt;0</formula>
    </cfRule>
    <cfRule type="expression" priority="1025" dxfId="769">
      <formula>$BY173&gt;$BX$138</formula>
    </cfRule>
    <cfRule type="expression" priority="1026" dxfId="768">
      <formula>$BY173&gt;$BX$137</formula>
    </cfRule>
  </conditionalFormatting>
  <conditionalFormatting sqref="BQ125">
    <cfRule type="expression" priority="1021" dxfId="752">
      <formula>$BY174&gt;0</formula>
    </cfRule>
    <cfRule type="expression" priority="1022" dxfId="769">
      <formula>$BY174&gt;$BX$138</formula>
    </cfRule>
    <cfRule type="expression" priority="1023" dxfId="768">
      <formula>$BY174&gt;$BX$137</formula>
    </cfRule>
  </conditionalFormatting>
  <conditionalFormatting sqref="BQ126">
    <cfRule type="expression" priority="1018" dxfId="752">
      <formula>$BY175&gt;0</formula>
    </cfRule>
    <cfRule type="expression" priority="1019" dxfId="769">
      <formula>$BY175&gt;$BX$138</formula>
    </cfRule>
    <cfRule type="expression" priority="1020" dxfId="768">
      <formula>$BY175&gt;$BX$137</formula>
    </cfRule>
  </conditionalFormatting>
  <conditionalFormatting sqref="BQ127">
    <cfRule type="expression" priority="1015" dxfId="752">
      <formula>$BY176&gt;0</formula>
    </cfRule>
    <cfRule type="expression" priority="1016" dxfId="769">
      <formula>$BY176&gt;$BX$138</formula>
    </cfRule>
    <cfRule type="expression" priority="1017" dxfId="768">
      <formula>$BY176&gt;$BX$137</formula>
    </cfRule>
  </conditionalFormatting>
  <conditionalFormatting sqref="BU93">
    <cfRule type="expression" priority="1012" dxfId="753">
      <formula>$BY142&gt;0</formula>
    </cfRule>
    <cfRule type="expression" priority="1013" dxfId="769">
      <formula>$BY142&gt;$BX$138</formula>
    </cfRule>
    <cfRule type="expression" priority="1014" dxfId="768">
      <formula>$BY142&gt;$BX$137</formula>
    </cfRule>
  </conditionalFormatting>
  <conditionalFormatting sqref="BU94">
    <cfRule type="expression" priority="1009" dxfId="753">
      <formula>$BY143&gt;0</formula>
    </cfRule>
    <cfRule type="expression" priority="1010" dxfId="769">
      <formula>$BY143&gt;$BX$138</formula>
    </cfRule>
    <cfRule type="expression" priority="1011" dxfId="768">
      <formula>$BY143&gt;$BX$137</formula>
    </cfRule>
  </conditionalFormatting>
  <conditionalFormatting sqref="BU95">
    <cfRule type="expression" priority="1006" dxfId="753">
      <formula>$BY144&gt;0</formula>
    </cfRule>
    <cfRule type="expression" priority="1007" dxfId="769">
      <formula>$BY144&gt;$BX$138</formula>
    </cfRule>
    <cfRule type="expression" priority="1008" dxfId="768">
      <formula>$BY144&gt;$BX$137</formula>
    </cfRule>
  </conditionalFormatting>
  <conditionalFormatting sqref="BU96">
    <cfRule type="expression" priority="1003" dxfId="753">
      <formula>$BY145&gt;0</formula>
    </cfRule>
    <cfRule type="expression" priority="1004" dxfId="769">
      <formula>$BY145&gt;$BX$138</formula>
    </cfRule>
    <cfRule type="expression" priority="1005" dxfId="768">
      <formula>$BY145&gt;$BX$137</formula>
    </cfRule>
  </conditionalFormatting>
  <conditionalFormatting sqref="BU97">
    <cfRule type="expression" priority="1000" dxfId="753">
      <formula>$BY146&gt;0</formula>
    </cfRule>
    <cfRule type="expression" priority="1001" dxfId="769">
      <formula>$BY146&gt;$BX$138</formula>
    </cfRule>
    <cfRule type="expression" priority="1002" dxfId="768">
      <formula>$BY146&gt;$BX$137</formula>
    </cfRule>
  </conditionalFormatting>
  <conditionalFormatting sqref="BU98">
    <cfRule type="expression" priority="997" dxfId="753">
      <formula>$BY147&gt;0</formula>
    </cfRule>
    <cfRule type="expression" priority="998" dxfId="769">
      <formula>$BY147&gt;$BX$138</formula>
    </cfRule>
    <cfRule type="expression" priority="999" dxfId="768">
      <formula>$BY147&gt;$BX$137</formula>
    </cfRule>
  </conditionalFormatting>
  <conditionalFormatting sqref="BU99">
    <cfRule type="expression" priority="994" dxfId="753">
      <formula>$BY148&gt;0</formula>
    </cfRule>
    <cfRule type="expression" priority="995" dxfId="769">
      <formula>$BY148&gt;$BX$138</formula>
    </cfRule>
    <cfRule type="expression" priority="996" dxfId="768">
      <formula>$BY148&gt;$BX$137</formula>
    </cfRule>
  </conditionalFormatting>
  <conditionalFormatting sqref="BU100">
    <cfRule type="expression" priority="991" dxfId="753">
      <formula>$BY149&gt;0</formula>
    </cfRule>
    <cfRule type="expression" priority="992" dxfId="769">
      <formula>$BY149&gt;$BX$138</formula>
    </cfRule>
    <cfRule type="expression" priority="993" dxfId="768">
      <formula>$BY149&gt;$BX$137</formula>
    </cfRule>
  </conditionalFormatting>
  <conditionalFormatting sqref="BU101">
    <cfRule type="expression" priority="988" dxfId="753">
      <formula>$BY150&gt;0</formula>
    </cfRule>
    <cfRule type="expression" priority="989" dxfId="769">
      <formula>$BY150&gt;$BX$138</formula>
    </cfRule>
    <cfRule type="expression" priority="990" dxfId="768">
      <formula>$BY150&gt;$BX$137</formula>
    </cfRule>
  </conditionalFormatting>
  <conditionalFormatting sqref="BU102">
    <cfRule type="expression" priority="985" dxfId="753">
      <formula>$BY151&gt;0</formula>
    </cfRule>
    <cfRule type="expression" priority="986" dxfId="769">
      <formula>$BY151&gt;$BX$138</formula>
    </cfRule>
    <cfRule type="expression" priority="987" dxfId="768">
      <formula>$BY151&gt;$BX$137</formula>
    </cfRule>
  </conditionalFormatting>
  <conditionalFormatting sqref="BU103">
    <cfRule type="expression" priority="982" dxfId="753">
      <formula>$BY152&gt;0</formula>
    </cfRule>
    <cfRule type="expression" priority="983" dxfId="769">
      <formula>$BY152&gt;$BX$138</formula>
    </cfRule>
    <cfRule type="expression" priority="984" dxfId="768">
      <formula>$BY152&gt;$BX$137</formula>
    </cfRule>
  </conditionalFormatting>
  <conditionalFormatting sqref="BU104">
    <cfRule type="expression" priority="979" dxfId="753">
      <formula>$BY153&gt;0</formula>
    </cfRule>
    <cfRule type="expression" priority="980" dxfId="769">
      <formula>$BY153&gt;$BX$138</formula>
    </cfRule>
    <cfRule type="expression" priority="981" dxfId="768">
      <formula>$BY153&gt;$BX$137</formula>
    </cfRule>
  </conditionalFormatting>
  <conditionalFormatting sqref="BU105">
    <cfRule type="expression" priority="976" dxfId="753">
      <formula>$BY154&gt;0</formula>
    </cfRule>
    <cfRule type="expression" priority="977" dxfId="769">
      <formula>$BY154&gt;$BX$138</formula>
    </cfRule>
    <cfRule type="expression" priority="978" dxfId="768">
      <formula>$BY154&gt;$BX$137</formula>
    </cfRule>
  </conditionalFormatting>
  <conditionalFormatting sqref="BU106">
    <cfRule type="expression" priority="973" dxfId="753">
      <formula>$BY155&gt;0</formula>
    </cfRule>
    <cfRule type="expression" priority="974" dxfId="769">
      <formula>$BY155&gt;$BX$138</formula>
    </cfRule>
    <cfRule type="expression" priority="975" dxfId="768">
      <formula>$BY155&gt;$BX$137</formula>
    </cfRule>
  </conditionalFormatting>
  <conditionalFormatting sqref="BU107">
    <cfRule type="expression" priority="970" dxfId="753">
      <formula>$BY156&gt;0</formula>
    </cfRule>
    <cfRule type="expression" priority="971" dxfId="769">
      <formula>$BY156&gt;$BX$138</formula>
    </cfRule>
    <cfRule type="expression" priority="972" dxfId="768">
      <formula>$BY156&gt;$BX$137</formula>
    </cfRule>
  </conditionalFormatting>
  <conditionalFormatting sqref="BU108">
    <cfRule type="expression" priority="967" dxfId="753">
      <formula>$BY157&gt;0</formula>
    </cfRule>
    <cfRule type="expression" priority="968" dxfId="769">
      <formula>$BY157&gt;$BX$138</formula>
    </cfRule>
    <cfRule type="expression" priority="969" dxfId="768">
      <formula>$BY157&gt;$BX$137</formula>
    </cfRule>
  </conditionalFormatting>
  <conditionalFormatting sqref="BU109">
    <cfRule type="expression" priority="964" dxfId="753">
      <formula>$BY158&gt;0</formula>
    </cfRule>
    <cfRule type="expression" priority="965" dxfId="769">
      <formula>$BY158&gt;$BX$138</formula>
    </cfRule>
    <cfRule type="expression" priority="966" dxfId="768">
      <formula>$BY158&gt;$BX$137</formula>
    </cfRule>
  </conditionalFormatting>
  <conditionalFormatting sqref="BU110">
    <cfRule type="expression" priority="961" dxfId="753">
      <formula>$BY159&gt;0</formula>
    </cfRule>
    <cfRule type="expression" priority="962" dxfId="769">
      <formula>$BY159&gt;$BX$138</formula>
    </cfRule>
    <cfRule type="expression" priority="963" dxfId="768">
      <formula>$BY159&gt;$BX$137</formula>
    </cfRule>
  </conditionalFormatting>
  <conditionalFormatting sqref="BU111">
    <cfRule type="expression" priority="958" dxfId="753">
      <formula>$BY160&gt;0</formula>
    </cfRule>
    <cfRule type="expression" priority="959" dxfId="769">
      <formula>$BY160&gt;$BX$138</formula>
    </cfRule>
    <cfRule type="expression" priority="960" dxfId="768">
      <formula>$BY160&gt;$BX$137</formula>
    </cfRule>
  </conditionalFormatting>
  <conditionalFormatting sqref="BU112">
    <cfRule type="expression" priority="955" dxfId="753">
      <formula>$BY161&gt;0</formula>
    </cfRule>
    <cfRule type="expression" priority="956" dxfId="769">
      <formula>$BY161&gt;$BX$138</formula>
    </cfRule>
    <cfRule type="expression" priority="957" dxfId="768">
      <formula>$BY161&gt;$BX$137</formula>
    </cfRule>
  </conditionalFormatting>
  <conditionalFormatting sqref="BU113">
    <cfRule type="expression" priority="952" dxfId="753">
      <formula>$BY162&gt;0</formula>
    </cfRule>
    <cfRule type="expression" priority="953" dxfId="769">
      <formula>$BY162&gt;$BX$138</formula>
    </cfRule>
    <cfRule type="expression" priority="954" dxfId="768">
      <formula>$BY162&gt;$BX$137</formula>
    </cfRule>
  </conditionalFormatting>
  <conditionalFormatting sqref="BU114">
    <cfRule type="expression" priority="949" dxfId="753">
      <formula>$BY163&gt;0</formula>
    </cfRule>
    <cfRule type="expression" priority="950" dxfId="769">
      <formula>$BY163&gt;$BX$138</formula>
    </cfRule>
    <cfRule type="expression" priority="951" dxfId="768">
      <formula>$BY163&gt;$BX$137</formula>
    </cfRule>
  </conditionalFormatting>
  <conditionalFormatting sqref="BU115">
    <cfRule type="expression" priority="946" dxfId="753">
      <formula>$BY164&gt;0</formula>
    </cfRule>
    <cfRule type="expression" priority="947" dxfId="769">
      <formula>$BY164&gt;$BX$138</formula>
    </cfRule>
    <cfRule type="expression" priority="948" dxfId="768">
      <formula>$BY164&gt;$BX$137</formula>
    </cfRule>
  </conditionalFormatting>
  <conditionalFormatting sqref="BU116">
    <cfRule type="expression" priority="943" dxfId="753">
      <formula>$BY165&gt;0</formula>
    </cfRule>
    <cfRule type="expression" priority="944" dxfId="769">
      <formula>$BY165&gt;$BX$138</formula>
    </cfRule>
    <cfRule type="expression" priority="945" dxfId="768">
      <formula>$BY165&gt;$BX$137</formula>
    </cfRule>
  </conditionalFormatting>
  <conditionalFormatting sqref="BU117">
    <cfRule type="expression" priority="940" dxfId="753">
      <formula>$BY166&gt;0</formula>
    </cfRule>
    <cfRule type="expression" priority="941" dxfId="769">
      <formula>$BY166&gt;$BX$138</formula>
    </cfRule>
    <cfRule type="expression" priority="942" dxfId="768">
      <formula>$BY166&gt;$BX$137</formula>
    </cfRule>
  </conditionalFormatting>
  <conditionalFormatting sqref="BU118">
    <cfRule type="expression" priority="937" dxfId="753">
      <formula>$BY167&gt;0</formula>
    </cfRule>
    <cfRule type="expression" priority="938" dxfId="769">
      <formula>$BY167&gt;$BX$138</formula>
    </cfRule>
    <cfRule type="expression" priority="939" dxfId="768">
      <formula>$BY167&gt;$BX$137</formula>
    </cfRule>
  </conditionalFormatting>
  <conditionalFormatting sqref="BU119">
    <cfRule type="expression" priority="934" dxfId="753">
      <formula>$BY168&gt;0</formula>
    </cfRule>
    <cfRule type="expression" priority="935" dxfId="769">
      <formula>$BY168&gt;$BX$138</formula>
    </cfRule>
    <cfRule type="expression" priority="936" dxfId="768">
      <formula>$BY168&gt;$BX$137</formula>
    </cfRule>
  </conditionalFormatting>
  <conditionalFormatting sqref="BU120">
    <cfRule type="expression" priority="931" dxfId="753">
      <formula>$BY169&gt;0</formula>
    </cfRule>
    <cfRule type="expression" priority="932" dxfId="769">
      <formula>$BY169&gt;$BX$138</formula>
    </cfRule>
    <cfRule type="expression" priority="933" dxfId="768">
      <formula>$BY169&gt;$BX$137</formula>
    </cfRule>
  </conditionalFormatting>
  <conditionalFormatting sqref="BU121">
    <cfRule type="expression" priority="928" dxfId="753">
      <formula>$BY170&gt;0</formula>
    </cfRule>
    <cfRule type="expression" priority="929" dxfId="769">
      <formula>$BY170&gt;$BX$138</formula>
    </cfRule>
    <cfRule type="expression" priority="930" dxfId="768">
      <formula>$BY170&gt;$BX$137</formula>
    </cfRule>
  </conditionalFormatting>
  <conditionalFormatting sqref="BU122">
    <cfRule type="expression" priority="925" dxfId="753">
      <formula>$BY171&gt;0</formula>
    </cfRule>
    <cfRule type="expression" priority="926" dxfId="769">
      <formula>$BY171&gt;$BX$138</formula>
    </cfRule>
    <cfRule type="expression" priority="927" dxfId="768">
      <formula>$BY171&gt;$BX$137</formula>
    </cfRule>
  </conditionalFormatting>
  <conditionalFormatting sqref="BU123">
    <cfRule type="expression" priority="922" dxfId="753">
      <formula>$BY172&gt;0</formula>
    </cfRule>
    <cfRule type="expression" priority="923" dxfId="769">
      <formula>$BY172&gt;$BX$138</formula>
    </cfRule>
    <cfRule type="expression" priority="924" dxfId="768">
      <formula>$BY172&gt;$BX$137</formula>
    </cfRule>
  </conditionalFormatting>
  <conditionalFormatting sqref="BU124">
    <cfRule type="expression" priority="919" dxfId="753">
      <formula>$BY173&gt;0</formula>
    </cfRule>
    <cfRule type="expression" priority="920" dxfId="769">
      <formula>$BY173&gt;$BX$138</formula>
    </cfRule>
    <cfRule type="expression" priority="921" dxfId="768">
      <formula>$BY173&gt;$BX$137</formula>
    </cfRule>
  </conditionalFormatting>
  <conditionalFormatting sqref="BU125">
    <cfRule type="expression" priority="916" dxfId="753">
      <formula>$BY174&gt;0</formula>
    </cfRule>
    <cfRule type="expression" priority="917" dxfId="769">
      <formula>$BY174&gt;$BX$138</formula>
    </cfRule>
    <cfRule type="expression" priority="918" dxfId="768">
      <formula>$BY174&gt;$BX$137</formula>
    </cfRule>
  </conditionalFormatting>
  <conditionalFormatting sqref="BU126">
    <cfRule type="expression" priority="913" dxfId="753">
      <formula>$BY175&gt;0</formula>
    </cfRule>
    <cfRule type="expression" priority="914" dxfId="769">
      <formula>$BY175&gt;$BX$138</formula>
    </cfRule>
    <cfRule type="expression" priority="915" dxfId="768">
      <formula>$BY175&gt;$BX$137</formula>
    </cfRule>
  </conditionalFormatting>
  <conditionalFormatting sqref="BU127">
    <cfRule type="expression" priority="910" dxfId="753">
      <formula>$BY176&gt;0</formula>
    </cfRule>
    <cfRule type="expression" priority="911" dxfId="769">
      <formula>$BY176&gt;$BX$138</formula>
    </cfRule>
    <cfRule type="expression" priority="912" dxfId="768">
      <formula>$BY176&gt;$BX$137</formula>
    </cfRule>
  </conditionalFormatting>
  <conditionalFormatting sqref="BB92:BB127">
    <cfRule type="expression" priority="719" dxfId="765">
      <formula>$BC92="X"</formula>
    </cfRule>
    <cfRule type="expression" priority="826" dxfId="765">
      <formula>$BI$115&lt;$AV161+1</formula>
    </cfRule>
  </conditionalFormatting>
  <conditionalFormatting sqref="BE93">
    <cfRule type="expression" priority="691" dxfId="753">
      <formula>$AV142&gt;0</formula>
    </cfRule>
    <cfRule type="expression" priority="692" dxfId="769">
      <formula>$AV142&gt;$AU$138</formula>
    </cfRule>
    <cfRule type="expression" priority="693" dxfId="768">
      <formula>$AV142&gt;$AU$137</formula>
    </cfRule>
  </conditionalFormatting>
  <conditionalFormatting sqref="BE94">
    <cfRule type="expression" priority="688" dxfId="753">
      <formula>$AV143&gt;0</formula>
    </cfRule>
    <cfRule type="expression" priority="689" dxfId="769">
      <formula>$AV143&gt;$AU$138</formula>
    </cfRule>
    <cfRule type="expression" priority="690" dxfId="768">
      <formula>$AV143&gt;$AU$137</formula>
    </cfRule>
  </conditionalFormatting>
  <conditionalFormatting sqref="BE95">
    <cfRule type="expression" priority="685" dxfId="753">
      <formula>$AV144&gt;0</formula>
    </cfRule>
    <cfRule type="expression" priority="686" dxfId="769">
      <formula>$AV144&gt;$AU$138</formula>
    </cfRule>
    <cfRule type="expression" priority="687" dxfId="768">
      <formula>$AV144&gt;$AU$137</formula>
    </cfRule>
  </conditionalFormatting>
  <conditionalFormatting sqref="BE96">
    <cfRule type="expression" priority="682" dxfId="753">
      <formula>$AV145&gt;0</formula>
    </cfRule>
    <cfRule type="expression" priority="683" dxfId="769">
      <formula>$AV145&gt;$AU$138</formula>
    </cfRule>
    <cfRule type="expression" priority="684" dxfId="768">
      <formula>$AV145&gt;$AU$137</formula>
    </cfRule>
  </conditionalFormatting>
  <conditionalFormatting sqref="BE97">
    <cfRule type="expression" priority="679" dxfId="753">
      <formula>$AV146&gt;0</formula>
    </cfRule>
    <cfRule type="expression" priority="680" dxfId="769">
      <formula>$AV146&gt;$AU$138</formula>
    </cfRule>
    <cfRule type="expression" priority="681" dxfId="768">
      <formula>$AV146&gt;$AU$137</formula>
    </cfRule>
  </conditionalFormatting>
  <conditionalFormatting sqref="BE98">
    <cfRule type="expression" priority="676" dxfId="753">
      <formula>$AV147&gt;0</formula>
    </cfRule>
    <cfRule type="expression" priority="677" dxfId="769">
      <formula>$AV147&gt;$AU$138</formula>
    </cfRule>
    <cfRule type="expression" priority="678" dxfId="768">
      <formula>$AV147&gt;$AU$137</formula>
    </cfRule>
  </conditionalFormatting>
  <conditionalFormatting sqref="BE99">
    <cfRule type="expression" priority="673" dxfId="753">
      <formula>$AV148&gt;0</formula>
    </cfRule>
    <cfRule type="expression" priority="674" dxfId="769">
      <formula>$AV148&gt;$AU$138</formula>
    </cfRule>
    <cfRule type="expression" priority="675" dxfId="768">
      <formula>$AV148&gt;$AU$137</formula>
    </cfRule>
  </conditionalFormatting>
  <conditionalFormatting sqref="BE100">
    <cfRule type="expression" priority="670" dxfId="753">
      <formula>$AV149&gt;0</formula>
    </cfRule>
    <cfRule type="expression" priority="671" dxfId="769">
      <formula>$AV149&gt;$AU$138</formula>
    </cfRule>
    <cfRule type="expression" priority="672" dxfId="768">
      <formula>$AV149&gt;$AU$137</formula>
    </cfRule>
  </conditionalFormatting>
  <conditionalFormatting sqref="BE101">
    <cfRule type="expression" priority="667" dxfId="753">
      <formula>$AV150&gt;0</formula>
    </cfRule>
    <cfRule type="expression" priority="668" dxfId="769">
      <formula>$AV150&gt;$AU$138</formula>
    </cfRule>
    <cfRule type="expression" priority="669" dxfId="768">
      <formula>$AV150&gt;$AU$137</formula>
    </cfRule>
  </conditionalFormatting>
  <conditionalFormatting sqref="BE102">
    <cfRule type="expression" priority="664" dxfId="753">
      <formula>$AV151&gt;0</formula>
    </cfRule>
    <cfRule type="expression" priority="665" dxfId="769">
      <formula>$AV151&gt;$AU$138</formula>
    </cfRule>
    <cfRule type="expression" priority="666" dxfId="768">
      <formula>$AV151&gt;$AU$137</formula>
    </cfRule>
  </conditionalFormatting>
  <conditionalFormatting sqref="BE103">
    <cfRule type="expression" priority="661" dxfId="753">
      <formula>$AV152&gt;0</formula>
    </cfRule>
    <cfRule type="expression" priority="662" dxfId="769">
      <formula>$AV152&gt;$AU$138</formula>
    </cfRule>
    <cfRule type="expression" priority="663" dxfId="768">
      <formula>$AV152&gt;$AU$137</formula>
    </cfRule>
  </conditionalFormatting>
  <conditionalFormatting sqref="AY92">
    <cfRule type="expression" priority="658" dxfId="769">
      <formula>$AV141&gt;$AU$138</formula>
    </cfRule>
    <cfRule type="expression" priority="659" dxfId="768">
      <formula>$AV141&gt;$AU$137</formula>
    </cfRule>
    <cfRule type="expression" priority="660" dxfId="752">
      <formula>$AV141&gt;0</formula>
    </cfRule>
  </conditionalFormatting>
  <conditionalFormatting sqref="BD93">
    <cfRule type="expression" priority="516" dxfId="753">
      <formula>$BH142&gt;0</formula>
    </cfRule>
    <cfRule type="expression" priority="517" dxfId="769">
      <formula>$BH142&gt;$BG$138</formula>
    </cfRule>
    <cfRule type="expression" priority="518" dxfId="768">
      <formula>$BH142&gt;$BG$137</formula>
    </cfRule>
  </conditionalFormatting>
  <conditionalFormatting sqref="BD94">
    <cfRule type="expression" priority="513" dxfId="753">
      <formula>$BH143&gt;0</formula>
    </cfRule>
    <cfRule type="expression" priority="514" dxfId="769">
      <formula>$BH143&gt;$BG$138</formula>
    </cfRule>
    <cfRule type="expression" priority="515" dxfId="768">
      <formula>$BH143&gt;$BG$137</formula>
    </cfRule>
  </conditionalFormatting>
  <conditionalFormatting sqref="BD95">
    <cfRule type="expression" priority="510" dxfId="753">
      <formula>$BH144&gt;0</formula>
    </cfRule>
    <cfRule type="expression" priority="511" dxfId="769">
      <formula>$BH144&gt;$BG$138</formula>
    </cfRule>
    <cfRule type="expression" priority="512" dxfId="768">
      <formula>$BH144&gt;$BG$137</formula>
    </cfRule>
  </conditionalFormatting>
  <conditionalFormatting sqref="BD96">
    <cfRule type="expression" priority="507" dxfId="753">
      <formula>$BH145&gt;0</formula>
    </cfRule>
    <cfRule type="expression" priority="508" dxfId="769">
      <formula>$BH145&gt;$BG$138</formula>
    </cfRule>
    <cfRule type="expression" priority="509" dxfId="768">
      <formula>$BH145&gt;$BG$137</formula>
    </cfRule>
  </conditionalFormatting>
  <conditionalFormatting sqref="BD97">
    <cfRule type="expression" priority="504" dxfId="753">
      <formula>$BH146&gt;0</formula>
    </cfRule>
    <cfRule type="expression" priority="505" dxfId="769">
      <formula>$BH146&gt;$BG$138</formula>
    </cfRule>
    <cfRule type="expression" priority="506" dxfId="768">
      <formula>$BH146&gt;$BG$137</formula>
    </cfRule>
  </conditionalFormatting>
  <conditionalFormatting sqref="BD98">
    <cfRule type="expression" priority="501" dxfId="753">
      <formula>$BH147&gt;0</formula>
    </cfRule>
    <cfRule type="expression" priority="502" dxfId="769">
      <formula>$BH147&gt;$BG$138</formula>
    </cfRule>
    <cfRule type="expression" priority="503" dxfId="768">
      <formula>$BH147&gt;$BG$137</formula>
    </cfRule>
  </conditionalFormatting>
  <conditionalFormatting sqref="BD99">
    <cfRule type="expression" priority="498" dxfId="753">
      <formula>$BH148&gt;0</formula>
    </cfRule>
    <cfRule type="expression" priority="499" dxfId="769">
      <formula>$BH148&gt;$BG$138</formula>
    </cfRule>
    <cfRule type="expression" priority="500" dxfId="768">
      <formula>$BH148&gt;$BG$137</formula>
    </cfRule>
  </conditionalFormatting>
  <conditionalFormatting sqref="BD100">
    <cfRule type="expression" priority="495" dxfId="753">
      <formula>$BH149&gt;0</formula>
    </cfRule>
    <cfRule type="expression" priority="496" dxfId="769">
      <formula>$BH149&gt;$BG$138</formula>
    </cfRule>
    <cfRule type="expression" priority="497" dxfId="768">
      <formula>$BH149&gt;$BG$137</formula>
    </cfRule>
  </conditionalFormatting>
  <conditionalFormatting sqref="BD101">
    <cfRule type="expression" priority="492" dxfId="753">
      <formula>$BH150&gt;0</formula>
    </cfRule>
    <cfRule type="expression" priority="493" dxfId="769">
      <formula>$BH150&gt;$BG$138</formula>
    </cfRule>
    <cfRule type="expression" priority="494" dxfId="768">
      <formula>$BH150&gt;$BG$137</formula>
    </cfRule>
  </conditionalFormatting>
  <conditionalFormatting sqref="BD102">
    <cfRule type="expression" priority="489" dxfId="753">
      <formula>$BH151&gt;0</formula>
    </cfRule>
    <cfRule type="expression" priority="490" dxfId="769">
      <formula>$BH151&gt;$BG$138</formula>
    </cfRule>
    <cfRule type="expression" priority="491" dxfId="768">
      <formula>$BH151&gt;$BG$137</formula>
    </cfRule>
  </conditionalFormatting>
  <conditionalFormatting sqref="BD103">
    <cfRule type="expression" priority="486" dxfId="753">
      <formula>$BH152&gt;0</formula>
    </cfRule>
    <cfRule type="expression" priority="487" dxfId="769">
      <formula>$BH152&gt;$BG$138</formula>
    </cfRule>
    <cfRule type="expression" priority="488" dxfId="768">
      <formula>$BH152&gt;$BG$137</formula>
    </cfRule>
  </conditionalFormatting>
  <conditionalFormatting sqref="BD104">
    <cfRule type="expression" priority="483" dxfId="753">
      <formula>$BH153&gt;0</formula>
    </cfRule>
    <cfRule type="expression" priority="484" dxfId="769">
      <formula>$BH153&gt;$BG$138</formula>
    </cfRule>
    <cfRule type="expression" priority="485" dxfId="768">
      <formula>$BH153&gt;$BG$137</formula>
    </cfRule>
  </conditionalFormatting>
  <conditionalFormatting sqref="BD105">
    <cfRule type="expression" priority="480" dxfId="753">
      <formula>$BH154&gt;0</formula>
    </cfRule>
    <cfRule type="expression" priority="481" dxfId="769">
      <formula>$BH154&gt;$BG$138</formula>
    </cfRule>
    <cfRule type="expression" priority="482" dxfId="768">
      <formula>$BH154&gt;$BG$137</formula>
    </cfRule>
  </conditionalFormatting>
  <conditionalFormatting sqref="BD106">
    <cfRule type="expression" priority="477" dxfId="753">
      <formula>$BH155&gt;0</formula>
    </cfRule>
    <cfRule type="expression" priority="478" dxfId="769">
      <formula>$BH155&gt;$BG$138</formula>
    </cfRule>
    <cfRule type="expression" priority="479" dxfId="768">
      <formula>$BH155&gt;$BG$137</formula>
    </cfRule>
  </conditionalFormatting>
  <conditionalFormatting sqref="BD107">
    <cfRule type="expression" priority="474" dxfId="753">
      <formula>$BH156&gt;0</formula>
    </cfRule>
    <cfRule type="expression" priority="475" dxfId="769">
      <formula>$BH156&gt;$BG$138</formula>
    </cfRule>
    <cfRule type="expression" priority="476" dxfId="768">
      <formula>$BH156&gt;$BG$137</formula>
    </cfRule>
  </conditionalFormatting>
  <conditionalFormatting sqref="BD108">
    <cfRule type="expression" priority="471" dxfId="753">
      <formula>$BH157&gt;0</formula>
    </cfRule>
    <cfRule type="expression" priority="472" dxfId="769">
      <formula>$BH157&gt;$BG$138</formula>
    </cfRule>
    <cfRule type="expression" priority="473" dxfId="768">
      <formula>$BH157&gt;$BG$137</formula>
    </cfRule>
  </conditionalFormatting>
  <conditionalFormatting sqref="BD109">
    <cfRule type="expression" priority="468" dxfId="753">
      <formula>$BH158&gt;0</formula>
    </cfRule>
    <cfRule type="expression" priority="469" dxfId="769">
      <formula>$BH158&gt;$BG$138</formula>
    </cfRule>
    <cfRule type="expression" priority="470" dxfId="768">
      <formula>$BH158&gt;$BG$137</formula>
    </cfRule>
  </conditionalFormatting>
  <conditionalFormatting sqref="BD110">
    <cfRule type="expression" priority="465" dxfId="753">
      <formula>$BH159&gt;0</formula>
    </cfRule>
    <cfRule type="expression" priority="466" dxfId="769">
      <formula>$BH159&gt;$BG$138</formula>
    </cfRule>
    <cfRule type="expression" priority="467" dxfId="768">
      <formula>$BH159&gt;$BG$137</formula>
    </cfRule>
  </conditionalFormatting>
  <conditionalFormatting sqref="BD111">
    <cfRule type="expression" priority="462" dxfId="753">
      <formula>$BH160&gt;0</formula>
    </cfRule>
    <cfRule type="expression" priority="463" dxfId="769">
      <formula>$BH160&gt;$BG$138</formula>
    </cfRule>
    <cfRule type="expression" priority="464" dxfId="768">
      <formula>$BH160&gt;$BG$137</formula>
    </cfRule>
  </conditionalFormatting>
  <conditionalFormatting sqref="BD112">
    <cfRule type="expression" priority="459" dxfId="753">
      <formula>$BH161&gt;0</formula>
    </cfRule>
    <cfRule type="expression" priority="460" dxfId="769">
      <formula>$BH161&gt;$BG$138</formula>
    </cfRule>
    <cfRule type="expression" priority="461" dxfId="768">
      <formula>$BH161&gt;$BG$137</formula>
    </cfRule>
  </conditionalFormatting>
  <conditionalFormatting sqref="BD113">
    <cfRule type="expression" priority="456" dxfId="753">
      <formula>$BH162&gt;0</formula>
    </cfRule>
    <cfRule type="expression" priority="457" dxfId="769">
      <formula>$BH162&gt;$BG$138</formula>
    </cfRule>
    <cfRule type="expression" priority="458" dxfId="768">
      <formula>$BH162&gt;$BG$137</formula>
    </cfRule>
  </conditionalFormatting>
  <conditionalFormatting sqref="BD114">
    <cfRule type="expression" priority="453" dxfId="753">
      <formula>$BH163&gt;0</formula>
    </cfRule>
    <cfRule type="expression" priority="454" dxfId="769">
      <formula>$BH163&gt;$BG$138</formula>
    </cfRule>
    <cfRule type="expression" priority="455" dxfId="768">
      <formula>$BH163&gt;$BG$137</formula>
    </cfRule>
  </conditionalFormatting>
  <conditionalFormatting sqref="BD115">
    <cfRule type="expression" priority="450" dxfId="753">
      <formula>$BH164&gt;0</formula>
    </cfRule>
    <cfRule type="expression" priority="451" dxfId="769">
      <formula>$BH164&gt;$BG$138</formula>
    </cfRule>
    <cfRule type="expression" priority="452" dxfId="768">
      <formula>$BH164&gt;$BG$137</formula>
    </cfRule>
  </conditionalFormatting>
  <conditionalFormatting sqref="BD116">
    <cfRule type="expression" priority="447" dxfId="753">
      <formula>$BH165&gt;0</formula>
    </cfRule>
    <cfRule type="expression" priority="448" dxfId="769">
      <formula>$BH165&gt;$BG$138</formula>
    </cfRule>
    <cfRule type="expression" priority="449" dxfId="768">
      <formula>$BH165&gt;$BG$137</formula>
    </cfRule>
  </conditionalFormatting>
  <conditionalFormatting sqref="BD117">
    <cfRule type="expression" priority="444" dxfId="753">
      <formula>$BH166&gt;0</formula>
    </cfRule>
    <cfRule type="expression" priority="445" dxfId="769">
      <formula>$BH166&gt;$BG$138</formula>
    </cfRule>
    <cfRule type="expression" priority="446" dxfId="768">
      <formula>$BH166&gt;$BG$137</formula>
    </cfRule>
  </conditionalFormatting>
  <conditionalFormatting sqref="BD118">
    <cfRule type="expression" priority="441" dxfId="753">
      <formula>$BH167&gt;0</formula>
    </cfRule>
    <cfRule type="expression" priority="442" dxfId="769">
      <formula>$BH167&gt;$BG$138</formula>
    </cfRule>
    <cfRule type="expression" priority="443" dxfId="768">
      <formula>$BH167&gt;$BG$137</formula>
    </cfRule>
  </conditionalFormatting>
  <conditionalFormatting sqref="BD119">
    <cfRule type="expression" priority="438" dxfId="753">
      <formula>$BH168&gt;0</formula>
    </cfRule>
    <cfRule type="expression" priority="439" dxfId="769">
      <formula>$BH168&gt;$BG$138</formula>
    </cfRule>
    <cfRule type="expression" priority="440" dxfId="768">
      <formula>$BH168&gt;$BG$137</formula>
    </cfRule>
  </conditionalFormatting>
  <conditionalFormatting sqref="BD120">
    <cfRule type="expression" priority="435" dxfId="753">
      <formula>$BH169&gt;0</formula>
    </cfRule>
    <cfRule type="expression" priority="436" dxfId="769">
      <formula>$BH169&gt;$BG$138</formula>
    </cfRule>
    <cfRule type="expression" priority="437" dxfId="768">
      <formula>$BH169&gt;$BG$137</formula>
    </cfRule>
  </conditionalFormatting>
  <conditionalFormatting sqref="BD121">
    <cfRule type="expression" priority="432" dxfId="753">
      <formula>$BH170&gt;0</formula>
    </cfRule>
    <cfRule type="expression" priority="433" dxfId="769">
      <formula>$BH170&gt;$BG$138</formula>
    </cfRule>
    <cfRule type="expression" priority="434" dxfId="768">
      <formula>$BH170&gt;$BG$137</formula>
    </cfRule>
  </conditionalFormatting>
  <conditionalFormatting sqref="BD122">
    <cfRule type="expression" priority="429" dxfId="753">
      <formula>$BH171&gt;0</formula>
    </cfRule>
    <cfRule type="expression" priority="430" dxfId="769">
      <formula>$BH171&gt;$BG$138</formula>
    </cfRule>
    <cfRule type="expression" priority="431" dxfId="768">
      <formula>$BH171&gt;$BG$137</formula>
    </cfRule>
  </conditionalFormatting>
  <conditionalFormatting sqref="BD123">
    <cfRule type="expression" priority="426" dxfId="753">
      <formula>$BH172&gt;0</formula>
    </cfRule>
    <cfRule type="expression" priority="427" dxfId="769">
      <formula>$BH172&gt;$BG$138</formula>
    </cfRule>
    <cfRule type="expression" priority="428" dxfId="768">
      <formula>$BH172&gt;$BG$137</formula>
    </cfRule>
  </conditionalFormatting>
  <conditionalFormatting sqref="BD124">
    <cfRule type="expression" priority="423" dxfId="753">
      <formula>$BH173&gt;0</formula>
    </cfRule>
    <cfRule type="expression" priority="424" dxfId="769">
      <formula>$BH173&gt;$BG$138</formula>
    </cfRule>
    <cfRule type="expression" priority="425" dxfId="768">
      <formula>$BH173&gt;$BG$137</formula>
    </cfRule>
  </conditionalFormatting>
  <conditionalFormatting sqref="BD125">
    <cfRule type="expression" priority="420" dxfId="753">
      <formula>$BH174&gt;0</formula>
    </cfRule>
    <cfRule type="expression" priority="421" dxfId="769">
      <formula>$BH174&gt;$BG$138</formula>
    </cfRule>
    <cfRule type="expression" priority="422" dxfId="768">
      <formula>$BH174&gt;$BG$137</formula>
    </cfRule>
  </conditionalFormatting>
  <conditionalFormatting sqref="BD126">
    <cfRule type="expression" priority="417" dxfId="753">
      <formula>$BH175&gt;0</formula>
    </cfRule>
    <cfRule type="expression" priority="418" dxfId="769">
      <formula>$BH175&gt;$BG$138</formula>
    </cfRule>
    <cfRule type="expression" priority="419" dxfId="768">
      <formula>$BH175&gt;$BG$137</formula>
    </cfRule>
  </conditionalFormatting>
  <conditionalFormatting sqref="BD127">
    <cfRule type="expression" priority="414" dxfId="753">
      <formula>$BH176&gt;0</formula>
    </cfRule>
    <cfRule type="expression" priority="415" dxfId="769">
      <formula>$BH176&gt;$BG$138</formula>
    </cfRule>
    <cfRule type="expression" priority="416" dxfId="768">
      <formula>$BH176&gt;$BG$137</formula>
    </cfRule>
  </conditionalFormatting>
  <conditionalFormatting sqref="AZ92">
    <cfRule type="expression" priority="411" dxfId="769">
      <formula>$BH141&gt;$BG$138</formula>
    </cfRule>
    <cfRule type="expression" priority="412" dxfId="768">
      <formula>$BH141&gt;$BG$137</formula>
    </cfRule>
    <cfRule type="expression" priority="413" dxfId="752">
      <formula>$BH141&gt;0</formula>
    </cfRule>
  </conditionalFormatting>
  <conditionalFormatting sqref="AZ93">
    <cfRule type="expression" priority="399" dxfId="752">
      <formula>$BH142&gt;0</formula>
    </cfRule>
    <cfRule type="expression" priority="400" dxfId="769">
      <formula>$BH142&gt;$BG$138</formula>
    </cfRule>
    <cfRule type="expression" priority="401" dxfId="768">
      <formula>$BH142&gt;$BG$137</formula>
    </cfRule>
  </conditionalFormatting>
  <conditionalFormatting sqref="AZ94">
    <cfRule type="expression" priority="396" dxfId="752">
      <formula>$BH143&gt;0</formula>
    </cfRule>
    <cfRule type="expression" priority="397" dxfId="769">
      <formula>$BH143&gt;$BG$138</formula>
    </cfRule>
    <cfRule type="expression" priority="398" dxfId="768">
      <formula>$BH143&gt;$BG$137</formula>
    </cfRule>
  </conditionalFormatting>
  <conditionalFormatting sqref="AZ95">
    <cfRule type="expression" priority="393" dxfId="752">
      <formula>$BH144&gt;0</formula>
    </cfRule>
    <cfRule type="expression" priority="394" dxfId="769">
      <formula>$BH144&gt;$BG$138</formula>
    </cfRule>
    <cfRule type="expression" priority="395" dxfId="768">
      <formula>$BH144&gt;$BG$137</formula>
    </cfRule>
  </conditionalFormatting>
  <conditionalFormatting sqref="AZ96">
    <cfRule type="expression" priority="390" dxfId="752">
      <formula>$BH145&gt;0</formula>
    </cfRule>
    <cfRule type="expression" priority="391" dxfId="769">
      <formula>$BH145&gt;$BG$138</formula>
    </cfRule>
    <cfRule type="expression" priority="392" dxfId="768">
      <formula>$BH145&gt;$BG$137</formula>
    </cfRule>
  </conditionalFormatting>
  <conditionalFormatting sqref="AZ97">
    <cfRule type="expression" priority="387" dxfId="752">
      <formula>$BH146&gt;0</formula>
    </cfRule>
    <cfRule type="expression" priority="388" dxfId="769">
      <formula>$BH146&gt;$BG$138</formula>
    </cfRule>
    <cfRule type="expression" priority="389" dxfId="768">
      <formula>$BH146&gt;$BG$137</formula>
    </cfRule>
  </conditionalFormatting>
  <conditionalFormatting sqref="AZ98">
    <cfRule type="expression" priority="384" dxfId="752">
      <formula>$BH147&gt;0</formula>
    </cfRule>
    <cfRule type="expression" priority="385" dxfId="769">
      <formula>$BH147&gt;$BG$138</formula>
    </cfRule>
    <cfRule type="expression" priority="386" dxfId="768">
      <formula>$BH147&gt;$BG$137</formula>
    </cfRule>
  </conditionalFormatting>
  <conditionalFormatting sqref="AZ99">
    <cfRule type="expression" priority="381" dxfId="752">
      <formula>$BH148&gt;0</formula>
    </cfRule>
    <cfRule type="expression" priority="382" dxfId="769">
      <formula>$BH148&gt;$BG$138</formula>
    </cfRule>
    <cfRule type="expression" priority="383" dxfId="768">
      <formula>$BH148&gt;$BG$137</formula>
    </cfRule>
  </conditionalFormatting>
  <conditionalFormatting sqref="AZ100">
    <cfRule type="expression" priority="378" dxfId="752">
      <formula>$BH149&gt;0</formula>
    </cfRule>
    <cfRule type="expression" priority="379" dxfId="769">
      <formula>$BH149&gt;$BG$138</formula>
    </cfRule>
    <cfRule type="expression" priority="380" dxfId="768">
      <formula>$BH149&gt;$BG$137</formula>
    </cfRule>
  </conditionalFormatting>
  <conditionalFormatting sqref="AZ101">
    <cfRule type="expression" priority="375" dxfId="752">
      <formula>$BH150&gt;0</formula>
    </cfRule>
    <cfRule type="expression" priority="376" dxfId="769">
      <formula>$BH150&gt;$BG$138</formula>
    </cfRule>
    <cfRule type="expression" priority="377" dxfId="768">
      <formula>$BH150&gt;$BG$137</formula>
    </cfRule>
  </conditionalFormatting>
  <conditionalFormatting sqref="AZ102">
    <cfRule type="expression" priority="372" dxfId="752">
      <formula>$BH151&gt;0</formula>
    </cfRule>
    <cfRule type="expression" priority="373" dxfId="769">
      <formula>$BH151&gt;$BG$138</formula>
    </cfRule>
    <cfRule type="expression" priority="374" dxfId="768">
      <formula>$BH151&gt;$BG$137</formula>
    </cfRule>
  </conditionalFormatting>
  <conditionalFormatting sqref="AZ103">
    <cfRule type="expression" priority="369" dxfId="752">
      <formula>$BH152&gt;0</formula>
    </cfRule>
    <cfRule type="expression" priority="370" dxfId="769">
      <formula>$BH152&gt;$BG$138</formula>
    </cfRule>
    <cfRule type="expression" priority="371" dxfId="768">
      <formula>$BH152&gt;$BG$137</formula>
    </cfRule>
  </conditionalFormatting>
  <conditionalFormatting sqref="AZ104">
    <cfRule type="expression" priority="366" dxfId="752">
      <formula>$BH153&gt;0</formula>
    </cfRule>
    <cfRule type="expression" priority="367" dxfId="769">
      <formula>$BH153&gt;$BG$138</formula>
    </cfRule>
    <cfRule type="expression" priority="368" dxfId="768">
      <formula>$BH153&gt;$BG$137</formula>
    </cfRule>
  </conditionalFormatting>
  <conditionalFormatting sqref="AZ105">
    <cfRule type="expression" priority="363" dxfId="752">
      <formula>$BH154&gt;0</formula>
    </cfRule>
    <cfRule type="expression" priority="364" dxfId="769">
      <formula>$BH154&gt;$BG$138</formula>
    </cfRule>
    <cfRule type="expression" priority="365" dxfId="768">
      <formula>$BH154&gt;$BG$137</formula>
    </cfRule>
  </conditionalFormatting>
  <conditionalFormatting sqref="AZ106">
    <cfRule type="expression" priority="360" dxfId="752">
      <formula>$BH155&gt;0</formula>
    </cfRule>
    <cfRule type="expression" priority="361" dxfId="769">
      <formula>$BH155&gt;$BG$138</formula>
    </cfRule>
    <cfRule type="expression" priority="362" dxfId="768">
      <formula>$BH155&gt;$BG$137</formula>
    </cfRule>
  </conditionalFormatting>
  <conditionalFormatting sqref="AZ107">
    <cfRule type="expression" priority="357" dxfId="752">
      <formula>$BH156&gt;0</formula>
    </cfRule>
    <cfRule type="expression" priority="358" dxfId="769">
      <formula>$BH156&gt;$BG$138</formula>
    </cfRule>
    <cfRule type="expression" priority="359" dxfId="768">
      <formula>$BH156&gt;$BG$137</formula>
    </cfRule>
  </conditionalFormatting>
  <conditionalFormatting sqref="AZ108">
    <cfRule type="expression" priority="354" dxfId="752">
      <formula>$BH157&gt;0</formula>
    </cfRule>
    <cfRule type="expression" priority="355" dxfId="769">
      <formula>$BH157&gt;$BG$138</formula>
    </cfRule>
    <cfRule type="expression" priority="356" dxfId="768">
      <formula>$BH157&gt;$BG$137</formula>
    </cfRule>
  </conditionalFormatting>
  <conditionalFormatting sqref="AZ109">
    <cfRule type="expression" priority="351" dxfId="752">
      <formula>$BH158&gt;0</formula>
    </cfRule>
    <cfRule type="expression" priority="352" dxfId="769">
      <formula>$BH158&gt;$BG$138</formula>
    </cfRule>
    <cfRule type="expression" priority="353" dxfId="768">
      <formula>$BH158&gt;$BG$137</formula>
    </cfRule>
  </conditionalFormatting>
  <conditionalFormatting sqref="AZ110">
    <cfRule type="expression" priority="348" dxfId="752">
      <formula>$BH159&gt;0</formula>
    </cfRule>
    <cfRule type="expression" priority="349" dxfId="769">
      <formula>$BH159&gt;$BG$138</formula>
    </cfRule>
    <cfRule type="expression" priority="350" dxfId="768">
      <formula>$BH159&gt;$BG$137</formula>
    </cfRule>
  </conditionalFormatting>
  <conditionalFormatting sqref="AZ111">
    <cfRule type="expression" priority="345" dxfId="752">
      <formula>$BH160&gt;0</formula>
    </cfRule>
    <cfRule type="expression" priority="346" dxfId="769">
      <formula>$BH160&gt;$BG$138</formula>
    </cfRule>
    <cfRule type="expression" priority="347" dxfId="768">
      <formula>$BH160&gt;$BG$137</formula>
    </cfRule>
  </conditionalFormatting>
  <conditionalFormatting sqref="AZ112">
    <cfRule type="expression" priority="342" dxfId="752">
      <formula>$BH161&gt;0</formula>
    </cfRule>
    <cfRule type="expression" priority="343" dxfId="769">
      <formula>$BH161&gt;$BG$138</formula>
    </cfRule>
    <cfRule type="expression" priority="344" dxfId="768">
      <formula>$BH161&gt;$BG$137</formula>
    </cfRule>
  </conditionalFormatting>
  <conditionalFormatting sqref="AZ113">
    <cfRule type="expression" priority="339" dxfId="752">
      <formula>$BH162&gt;0</formula>
    </cfRule>
    <cfRule type="expression" priority="340" dxfId="769">
      <formula>$BH162&gt;$BG$138</formula>
    </cfRule>
    <cfRule type="expression" priority="341" dxfId="768">
      <formula>$BH162&gt;$BG$137</formula>
    </cfRule>
  </conditionalFormatting>
  <conditionalFormatting sqref="AZ114">
    <cfRule type="expression" priority="336" dxfId="752">
      <formula>$BH163&gt;0</formula>
    </cfRule>
    <cfRule type="expression" priority="337" dxfId="769">
      <formula>$BH163&gt;$BG$138</formula>
    </cfRule>
    <cfRule type="expression" priority="338" dxfId="768">
      <formula>$BH163&gt;$BG$137</formula>
    </cfRule>
  </conditionalFormatting>
  <conditionalFormatting sqref="AZ115">
    <cfRule type="expression" priority="333" dxfId="752">
      <formula>$BH164&gt;0</formula>
    </cfRule>
    <cfRule type="expression" priority="334" dxfId="769">
      <formula>$BH164&gt;$BG$138</formula>
    </cfRule>
    <cfRule type="expression" priority="335" dxfId="768">
      <formula>$BH164&gt;$BG$137</formula>
    </cfRule>
  </conditionalFormatting>
  <conditionalFormatting sqref="AZ116">
    <cfRule type="expression" priority="330" dxfId="752">
      <formula>$BH165&gt;0</formula>
    </cfRule>
    <cfRule type="expression" priority="331" dxfId="769">
      <formula>$BH165&gt;$BG$138</formula>
    </cfRule>
    <cfRule type="expression" priority="332" dxfId="768">
      <formula>$BH165&gt;$BG$137</formula>
    </cfRule>
  </conditionalFormatting>
  <conditionalFormatting sqref="AZ117">
    <cfRule type="expression" priority="327" dxfId="752">
      <formula>$BH166&gt;0</formula>
    </cfRule>
    <cfRule type="expression" priority="328" dxfId="769">
      <formula>$BH166&gt;$BG$138</formula>
    </cfRule>
    <cfRule type="expression" priority="329" dxfId="768">
      <formula>$BH166&gt;$BG$137</formula>
    </cfRule>
  </conditionalFormatting>
  <conditionalFormatting sqref="AZ118">
    <cfRule type="expression" priority="324" dxfId="752">
      <formula>$BH167&gt;0</formula>
    </cfRule>
    <cfRule type="expression" priority="325" dxfId="769">
      <formula>$BH167&gt;$BG$138</formula>
    </cfRule>
    <cfRule type="expression" priority="326" dxfId="768">
      <formula>$BH167&gt;$BG$137</formula>
    </cfRule>
  </conditionalFormatting>
  <conditionalFormatting sqref="AZ119">
    <cfRule type="expression" priority="321" dxfId="752">
      <formula>$BH168&gt;0</formula>
    </cfRule>
    <cfRule type="expression" priority="322" dxfId="769">
      <formula>$BH168&gt;$BG$138</formula>
    </cfRule>
    <cfRule type="expression" priority="323" dxfId="768">
      <formula>$BH168&gt;$BG$137</formula>
    </cfRule>
  </conditionalFormatting>
  <conditionalFormatting sqref="AZ120">
    <cfRule type="expression" priority="318" dxfId="752">
      <formula>$BH169&gt;0</formula>
    </cfRule>
    <cfRule type="expression" priority="319" dxfId="769">
      <formula>$BH169&gt;$BG$138</formula>
    </cfRule>
    <cfRule type="expression" priority="320" dxfId="768">
      <formula>$BH169&gt;$BG$137</formula>
    </cfRule>
  </conditionalFormatting>
  <conditionalFormatting sqref="AZ121">
    <cfRule type="expression" priority="315" dxfId="752">
      <formula>$BH170&gt;0</formula>
    </cfRule>
    <cfRule type="expression" priority="316" dxfId="769">
      <formula>$BH170&gt;$BG$138</formula>
    </cfRule>
    <cfRule type="expression" priority="317" dxfId="768">
      <formula>$BH170&gt;$BG$137</formula>
    </cfRule>
  </conditionalFormatting>
  <conditionalFormatting sqref="AZ122">
    <cfRule type="expression" priority="312" dxfId="752">
      <formula>$BH171&gt;0</formula>
    </cfRule>
    <cfRule type="expression" priority="313" dxfId="769">
      <formula>$BH171&gt;$BG$138</formula>
    </cfRule>
    <cfRule type="expression" priority="314" dxfId="768">
      <formula>$BH171&gt;$BG$137</formula>
    </cfRule>
  </conditionalFormatting>
  <conditionalFormatting sqref="AZ123">
    <cfRule type="expression" priority="309" dxfId="752">
      <formula>$BH172&gt;0</formula>
    </cfRule>
    <cfRule type="expression" priority="310" dxfId="769">
      <formula>$BH172&gt;$BG$138</formula>
    </cfRule>
    <cfRule type="expression" priority="311" dxfId="768">
      <formula>$BH172&gt;$BG$137</formula>
    </cfRule>
  </conditionalFormatting>
  <conditionalFormatting sqref="AZ124">
    <cfRule type="expression" priority="306" dxfId="752">
      <formula>$BH173&gt;0</formula>
    </cfRule>
    <cfRule type="expression" priority="307" dxfId="769">
      <formula>$BH173&gt;$BG$138</formula>
    </cfRule>
    <cfRule type="expression" priority="308" dxfId="768">
      <formula>$BH173&gt;$BG$137</formula>
    </cfRule>
  </conditionalFormatting>
  <conditionalFormatting sqref="AZ125">
    <cfRule type="expression" priority="303" dxfId="752">
      <formula>$BH174&gt;0</formula>
    </cfRule>
    <cfRule type="expression" priority="304" dxfId="769">
      <formula>$BH174&gt;$BG$138</formula>
    </cfRule>
    <cfRule type="expression" priority="305" dxfId="768">
      <formula>$BH174&gt;$BG$137</formula>
    </cfRule>
  </conditionalFormatting>
  <conditionalFormatting sqref="AZ126">
    <cfRule type="expression" priority="300" dxfId="752">
      <formula>$BH175&gt;0</formula>
    </cfRule>
    <cfRule type="expression" priority="301" dxfId="769">
      <formula>$BH175&gt;$BG$138</formula>
    </cfRule>
    <cfRule type="expression" priority="302" dxfId="768">
      <formula>$BH175&gt;$BG$137</formula>
    </cfRule>
  </conditionalFormatting>
  <conditionalFormatting sqref="AZ127">
    <cfRule type="expression" priority="297" dxfId="752">
      <formula>$BH176&gt;0</formula>
    </cfRule>
    <cfRule type="expression" priority="298" dxfId="769">
      <formula>$BH176&gt;$BG$138</formula>
    </cfRule>
    <cfRule type="expression" priority="299" dxfId="768">
      <formula>$BH176&gt;$BG$137</formula>
    </cfRule>
  </conditionalFormatting>
  <conditionalFormatting sqref="BC128">
    <cfRule type="expression" priority="203" dxfId="769">
      <formula>$AV197&gt;$AU$158</formula>
    </cfRule>
    <cfRule type="expression" priority="204" dxfId="768">
      <formula>$AV197&gt;$AU$157</formula>
    </cfRule>
  </conditionalFormatting>
  <conditionalFormatting sqref="BC127">
    <cfRule type="expression" priority="201" dxfId="769">
      <formula>$AV196&gt;$AU$158</formula>
    </cfRule>
    <cfRule type="expression" priority="202" dxfId="768">
      <formula>$AV196&gt;$AU$157</formula>
    </cfRule>
  </conditionalFormatting>
  <conditionalFormatting sqref="BC126">
    <cfRule type="expression" priority="199" dxfId="769">
      <formula>$AV195&gt;$AU$158</formula>
    </cfRule>
    <cfRule type="expression" priority="200" dxfId="768">
      <formula>$AV195&gt;$AU$157</formula>
    </cfRule>
  </conditionalFormatting>
  <conditionalFormatting sqref="BC125">
    <cfRule type="expression" priority="197" dxfId="769">
      <formula>$AV194&gt;$AU$158</formula>
    </cfRule>
    <cfRule type="expression" priority="198" dxfId="768">
      <formula>$AV194&gt;$AU$157</formula>
    </cfRule>
  </conditionalFormatting>
  <conditionalFormatting sqref="BC124">
    <cfRule type="expression" priority="195" dxfId="769">
      <formula>$AV193&gt;$AU$158</formula>
    </cfRule>
    <cfRule type="expression" priority="196" dxfId="768">
      <formula>$AV193&gt;$AU$157</formula>
    </cfRule>
  </conditionalFormatting>
  <conditionalFormatting sqref="BC123">
    <cfRule type="expression" priority="193" dxfId="769">
      <formula>$AV192&gt;$AU$158</formula>
    </cfRule>
    <cfRule type="expression" priority="194" dxfId="768">
      <formula>$AV192&gt;$AU$157</formula>
    </cfRule>
  </conditionalFormatting>
  <conditionalFormatting sqref="BC122">
    <cfRule type="expression" priority="191" dxfId="769">
      <formula>$AV191&gt;$AU$158</formula>
    </cfRule>
    <cfRule type="expression" priority="192" dxfId="768">
      <formula>$AV191&gt;$AU$157</formula>
    </cfRule>
  </conditionalFormatting>
  <conditionalFormatting sqref="BC121">
    <cfRule type="expression" priority="189" dxfId="769">
      <formula>$AV190&gt;$AU$158</formula>
    </cfRule>
    <cfRule type="expression" priority="190" dxfId="768">
      <formula>$AV190&gt;$AU$157</formula>
    </cfRule>
  </conditionalFormatting>
  <conditionalFormatting sqref="BC120">
    <cfRule type="expression" priority="187" dxfId="769">
      <formula>$AV189&gt;$AU$158</formula>
    </cfRule>
    <cfRule type="expression" priority="188" dxfId="768">
      <formula>$AV189&gt;$AU$157</formula>
    </cfRule>
  </conditionalFormatting>
  <conditionalFormatting sqref="BC119">
    <cfRule type="expression" priority="185" dxfId="769">
      <formula>$AV188&gt;$AU$158</formula>
    </cfRule>
    <cfRule type="expression" priority="186" dxfId="768">
      <formula>$AV188&gt;$AU$157</formula>
    </cfRule>
  </conditionalFormatting>
  <conditionalFormatting sqref="BC118">
    <cfRule type="expression" priority="183" dxfId="769">
      <formula>$AV187&gt;$AU$158</formula>
    </cfRule>
    <cfRule type="expression" priority="184" dxfId="768">
      <formula>$AV187&gt;$AU$157</formula>
    </cfRule>
  </conditionalFormatting>
  <conditionalFormatting sqref="BC117">
    <cfRule type="expression" priority="181" dxfId="769">
      <formula>$AV186&gt;$AU$158</formula>
    </cfRule>
    <cfRule type="expression" priority="182" dxfId="768">
      <formula>$AV186&gt;$AU$157</formula>
    </cfRule>
  </conditionalFormatting>
  <conditionalFormatting sqref="BC116">
    <cfRule type="expression" priority="179" dxfId="769">
      <formula>$AV185&gt;$AU$158</formula>
    </cfRule>
    <cfRule type="expression" priority="180" dxfId="768">
      <formula>$AV185&gt;$AU$157</formula>
    </cfRule>
  </conditionalFormatting>
  <conditionalFormatting sqref="BC115">
    <cfRule type="expression" priority="177" dxfId="769">
      <formula>$AV184&gt;$AU$158</formula>
    </cfRule>
    <cfRule type="expression" priority="178" dxfId="768">
      <formula>$AV184&gt;$AU$157</formula>
    </cfRule>
  </conditionalFormatting>
  <conditionalFormatting sqref="BC114">
    <cfRule type="expression" priority="175" dxfId="769">
      <formula>$AV183&gt;$AU$158</formula>
    </cfRule>
    <cfRule type="expression" priority="176" dxfId="768">
      <formula>$AV183&gt;$AU$157</formula>
    </cfRule>
  </conditionalFormatting>
  <conditionalFormatting sqref="BC113">
    <cfRule type="expression" priority="173" dxfId="769">
      <formula>$AV182&gt;$AU$158</formula>
    </cfRule>
    <cfRule type="expression" priority="174" dxfId="768">
      <formula>$AV182&gt;$AU$157</formula>
    </cfRule>
  </conditionalFormatting>
  <conditionalFormatting sqref="BC112">
    <cfRule type="expression" priority="171" dxfId="769">
      <formula>$AV181&gt;$AU$158</formula>
    </cfRule>
    <cfRule type="expression" priority="172" dxfId="768">
      <formula>$AV181&gt;$AU$157</formula>
    </cfRule>
  </conditionalFormatting>
  <conditionalFormatting sqref="BC111">
    <cfRule type="expression" priority="169" dxfId="769">
      <formula>$AV180&gt;$AU$158</formula>
    </cfRule>
    <cfRule type="expression" priority="170" dxfId="768">
      <formula>$AV180&gt;$AU$157</formula>
    </cfRule>
  </conditionalFormatting>
  <conditionalFormatting sqref="BC110">
    <cfRule type="expression" priority="167" dxfId="769">
      <formula>$AV179&gt;$AU$158</formula>
    </cfRule>
    <cfRule type="expression" priority="168" dxfId="768">
      <formula>$AV179&gt;$AU$157</formula>
    </cfRule>
  </conditionalFormatting>
  <conditionalFormatting sqref="BC109">
    <cfRule type="expression" priority="165" dxfId="769">
      <formula>$AV178&gt;$AU$158</formula>
    </cfRule>
    <cfRule type="expression" priority="166" dxfId="768">
      <formula>$AV178&gt;$AU$157</formula>
    </cfRule>
  </conditionalFormatting>
  <conditionalFormatting sqref="BC108">
    <cfRule type="expression" priority="163" dxfId="769">
      <formula>$AV177&gt;$AU$158</formula>
    </cfRule>
    <cfRule type="expression" priority="164" dxfId="768">
      <formula>$AV177&gt;$AU$157</formula>
    </cfRule>
  </conditionalFormatting>
  <conditionalFormatting sqref="BC107">
    <cfRule type="expression" priority="161" dxfId="769">
      <formula>$AV176&gt;$AU$158</formula>
    </cfRule>
    <cfRule type="expression" priority="162" dxfId="768">
      <formula>$AV176&gt;$AU$157</formula>
    </cfRule>
  </conditionalFormatting>
  <conditionalFormatting sqref="BC106">
    <cfRule type="expression" priority="159" dxfId="769">
      <formula>$AV175&gt;$AU$158</formula>
    </cfRule>
    <cfRule type="expression" priority="160" dxfId="768">
      <formula>$AV175&gt;$AU$157</formula>
    </cfRule>
  </conditionalFormatting>
  <conditionalFormatting sqref="BC105">
    <cfRule type="expression" priority="157" dxfId="769">
      <formula>$AV174&gt;$AU$158</formula>
    </cfRule>
    <cfRule type="expression" priority="158" dxfId="768">
      <formula>$AV174&gt;$AU$157</formula>
    </cfRule>
  </conditionalFormatting>
  <conditionalFormatting sqref="BC104">
    <cfRule type="expression" priority="155" dxfId="769">
      <formula>$AV173&gt;$AU$158</formula>
    </cfRule>
    <cfRule type="expression" priority="156" dxfId="768">
      <formula>$AV173&gt;$AU$157</formula>
    </cfRule>
  </conditionalFormatting>
  <conditionalFormatting sqref="BC103">
    <cfRule type="expression" priority="153" dxfId="769">
      <formula>$AV172&gt;$AU$158</formula>
    </cfRule>
    <cfRule type="expression" priority="154" dxfId="768">
      <formula>$AV172&gt;$AU$157</formula>
    </cfRule>
  </conditionalFormatting>
  <conditionalFormatting sqref="BC102">
    <cfRule type="expression" priority="151" dxfId="769">
      <formula>$AV171&gt;$AU$158</formula>
    </cfRule>
    <cfRule type="expression" priority="152" dxfId="768">
      <formula>$AV171&gt;$AU$157</formula>
    </cfRule>
  </conditionalFormatting>
  <conditionalFormatting sqref="BC101">
    <cfRule type="expression" priority="149" dxfId="769">
      <formula>$AV170&gt;$AU$158</formula>
    </cfRule>
    <cfRule type="expression" priority="150" dxfId="768">
      <formula>$AV170&gt;$AU$157</formula>
    </cfRule>
  </conditionalFormatting>
  <conditionalFormatting sqref="BC100">
    <cfRule type="expression" priority="147" dxfId="769">
      <formula>$AV169&gt;$AU$158</formula>
    </cfRule>
    <cfRule type="expression" priority="148" dxfId="768">
      <formula>$AV169&gt;$AU$157</formula>
    </cfRule>
  </conditionalFormatting>
  <conditionalFormatting sqref="BC99">
    <cfRule type="expression" priority="145" dxfId="769">
      <formula>$AV168&gt;$AU$158</formula>
    </cfRule>
    <cfRule type="expression" priority="146" dxfId="768">
      <formula>$AV168&gt;$AU$157</formula>
    </cfRule>
  </conditionalFormatting>
  <conditionalFormatting sqref="BC98">
    <cfRule type="expression" priority="143" dxfId="769">
      <formula>$AV167&gt;$AU$158</formula>
    </cfRule>
    <cfRule type="expression" priority="144" dxfId="768">
      <formula>$AV167&gt;$AU$157</formula>
    </cfRule>
  </conditionalFormatting>
  <conditionalFormatting sqref="BC97">
    <cfRule type="expression" priority="141" dxfId="769">
      <formula>$AV166&gt;$AU$158</formula>
    </cfRule>
    <cfRule type="expression" priority="142" dxfId="768">
      <formula>$AV166&gt;$AU$157</formula>
    </cfRule>
  </conditionalFormatting>
  <conditionalFormatting sqref="BC96">
    <cfRule type="expression" priority="139" dxfId="769">
      <formula>$AV165&gt;$AU$158</formula>
    </cfRule>
    <cfRule type="expression" priority="140" dxfId="768">
      <formula>$AV165&gt;$AU$157</formula>
    </cfRule>
  </conditionalFormatting>
  <conditionalFormatting sqref="BC95">
    <cfRule type="expression" priority="137" dxfId="769">
      <formula>$AV164&gt;$AU$158</formula>
    </cfRule>
    <cfRule type="expression" priority="138" dxfId="768">
      <formula>$AV164&gt;$AU$157</formula>
    </cfRule>
  </conditionalFormatting>
  <conditionalFormatting sqref="BC94">
    <cfRule type="expression" priority="135" dxfId="769">
      <formula>$AV163&gt;$AU$158</formula>
    </cfRule>
    <cfRule type="expression" priority="136" dxfId="768">
      <formula>$AV163&gt;$AU$157</formula>
    </cfRule>
  </conditionalFormatting>
  <conditionalFormatting sqref="BC93">
    <cfRule type="expression" priority="133" dxfId="769">
      <formula>$AV162&gt;$AU$158</formula>
    </cfRule>
    <cfRule type="expression" priority="134" dxfId="768">
      <formula>$AV162&gt;$AU$157</formula>
    </cfRule>
  </conditionalFormatting>
  <conditionalFormatting sqref="BC92">
    <cfRule type="expression" priority="131" dxfId="769">
      <formula>$AV161&gt;$AU$158</formula>
    </cfRule>
    <cfRule type="expression" priority="132" dxfId="768">
      <formula>$AV161&gt;$AU$157</formula>
    </cfRule>
  </conditionalFormatting>
  <conditionalFormatting sqref="BC91">
    <cfRule type="expression" priority="129" dxfId="769">
      <formula>$AV160&gt;$AU$158</formula>
    </cfRule>
    <cfRule type="expression" priority="130" dxfId="768">
      <formula>$AV160+1&gt;$AU$157</formula>
    </cfRule>
  </conditionalFormatting>
  <conditionalFormatting sqref="BA128">
    <cfRule type="expression" priority="127" dxfId="769">
      <formula>$AV197&gt;$AU$158</formula>
    </cfRule>
    <cfRule type="expression" priority="128" dxfId="768">
      <formula>$AV197&gt;$AU$157</formula>
    </cfRule>
  </conditionalFormatting>
  <conditionalFormatting sqref="BA127">
    <cfRule type="expression" priority="125" dxfId="769">
      <formula>$AV196&gt;$AU$158</formula>
    </cfRule>
    <cfRule type="expression" priority="126" dxfId="768">
      <formula>$AV196&gt;$AU$157</formula>
    </cfRule>
  </conditionalFormatting>
  <conditionalFormatting sqref="BA126">
    <cfRule type="expression" priority="123" dxfId="769">
      <formula>$AV195&gt;$AU$158</formula>
    </cfRule>
    <cfRule type="expression" priority="124" dxfId="768">
      <formula>$AV195&gt;$AU$157</formula>
    </cfRule>
  </conditionalFormatting>
  <conditionalFormatting sqref="BA125">
    <cfRule type="expression" priority="121" dxfId="769">
      <formula>$AV194&gt;$AU$158</formula>
    </cfRule>
    <cfRule type="expression" priority="122" dxfId="768">
      <formula>$AV194&gt;$AU$157</formula>
    </cfRule>
  </conditionalFormatting>
  <conditionalFormatting sqref="BA124">
    <cfRule type="expression" priority="119" dxfId="769">
      <formula>$AV193&gt;$AU$158</formula>
    </cfRule>
    <cfRule type="expression" priority="120" dxfId="768">
      <formula>$AV193&gt;$AU$157</formula>
    </cfRule>
  </conditionalFormatting>
  <conditionalFormatting sqref="BA123">
    <cfRule type="expression" priority="117" dxfId="769">
      <formula>$AV192&gt;$AU$158</formula>
    </cfRule>
    <cfRule type="expression" priority="118" dxfId="768">
      <formula>$AV192&gt;$AU$157</formula>
    </cfRule>
  </conditionalFormatting>
  <conditionalFormatting sqref="BA122">
    <cfRule type="expression" priority="115" dxfId="769">
      <formula>$AV191&gt;$AU$158</formula>
    </cfRule>
    <cfRule type="expression" priority="116" dxfId="768">
      <formula>$AV191&gt;$AU$157</formula>
    </cfRule>
  </conditionalFormatting>
  <conditionalFormatting sqref="BA121">
    <cfRule type="expression" priority="113" dxfId="769">
      <formula>$AV190&gt;$AU$158</formula>
    </cfRule>
    <cfRule type="expression" priority="114" dxfId="768">
      <formula>$AV190&gt;$AU$157</formula>
    </cfRule>
  </conditionalFormatting>
  <conditionalFormatting sqref="BA120">
    <cfRule type="expression" priority="111" dxfId="769">
      <formula>$AV189&gt;$AU$158</formula>
    </cfRule>
    <cfRule type="expression" priority="112" dxfId="768">
      <formula>$AV189&gt;$AU$157</formula>
    </cfRule>
  </conditionalFormatting>
  <conditionalFormatting sqref="BA119">
    <cfRule type="expression" priority="109" dxfId="769">
      <formula>$AV188&gt;$AU$158</formula>
    </cfRule>
    <cfRule type="expression" priority="110" dxfId="768">
      <formula>$AV188&gt;$AU$157</formula>
    </cfRule>
  </conditionalFormatting>
  <conditionalFormatting sqref="BA118">
    <cfRule type="expression" priority="107" dxfId="769">
      <formula>$AV187&gt;$AU$158</formula>
    </cfRule>
    <cfRule type="expression" priority="108" dxfId="768">
      <formula>$AV187&gt;$AU$157</formula>
    </cfRule>
  </conditionalFormatting>
  <conditionalFormatting sqref="BA117">
    <cfRule type="expression" priority="105" dxfId="769">
      <formula>$AV186&gt;$AU$158</formula>
    </cfRule>
    <cfRule type="expression" priority="106" dxfId="768">
      <formula>$AV186&gt;$AU$157</formula>
    </cfRule>
  </conditionalFormatting>
  <conditionalFormatting sqref="BA116">
    <cfRule type="expression" priority="103" dxfId="769">
      <formula>$AV185&gt;$AU$158</formula>
    </cfRule>
    <cfRule type="expression" priority="104" dxfId="768">
      <formula>$AV185&gt;$AU$157</formula>
    </cfRule>
  </conditionalFormatting>
  <conditionalFormatting sqref="BA115">
    <cfRule type="expression" priority="101" dxfId="769">
      <formula>$AV184&gt;$AU$158</formula>
    </cfRule>
    <cfRule type="expression" priority="102" dxfId="768">
      <formula>$AV184&gt;$AU$157</formula>
    </cfRule>
  </conditionalFormatting>
  <conditionalFormatting sqref="BA114">
    <cfRule type="expression" priority="99" dxfId="769">
      <formula>$AV183&gt;$AU$158</formula>
    </cfRule>
    <cfRule type="expression" priority="100" dxfId="768">
      <formula>$AV183&gt;$AU$157</formula>
    </cfRule>
  </conditionalFormatting>
  <conditionalFormatting sqref="BA113">
    <cfRule type="expression" priority="97" dxfId="769">
      <formula>$AV182&gt;$AU$158</formula>
    </cfRule>
    <cfRule type="expression" priority="98" dxfId="768">
      <formula>$AV182&gt;$AU$157</formula>
    </cfRule>
  </conditionalFormatting>
  <conditionalFormatting sqref="BA112">
    <cfRule type="expression" priority="95" dxfId="769">
      <formula>$AV181&gt;$AU$158</formula>
    </cfRule>
    <cfRule type="expression" priority="96" dxfId="768">
      <formula>$AV181&gt;$AU$157</formula>
    </cfRule>
  </conditionalFormatting>
  <conditionalFormatting sqref="BA111">
    <cfRule type="expression" priority="93" dxfId="769">
      <formula>$AV180&gt;$AU$158</formula>
    </cfRule>
    <cfRule type="expression" priority="94" dxfId="768">
      <formula>$AV180&gt;$AU$157</formula>
    </cfRule>
  </conditionalFormatting>
  <conditionalFormatting sqref="BA110">
    <cfRule type="expression" priority="91" dxfId="769">
      <formula>$AV179&gt;$AU$158</formula>
    </cfRule>
    <cfRule type="expression" priority="92" dxfId="768">
      <formula>$AV179&gt;$AU$157</formula>
    </cfRule>
  </conditionalFormatting>
  <conditionalFormatting sqref="BA109">
    <cfRule type="expression" priority="89" dxfId="769">
      <formula>$AV178&gt;$AU$158</formula>
    </cfRule>
    <cfRule type="expression" priority="90" dxfId="768">
      <formula>$AV178&gt;$AU$157</formula>
    </cfRule>
  </conditionalFormatting>
  <conditionalFormatting sqref="BA108">
    <cfRule type="expression" priority="87" dxfId="769">
      <formula>$AV177&gt;$AU$158</formula>
    </cfRule>
    <cfRule type="expression" priority="88" dxfId="768">
      <formula>$AV177&gt;$AU$157</formula>
    </cfRule>
  </conditionalFormatting>
  <conditionalFormatting sqref="BA107">
    <cfRule type="expression" priority="85" dxfId="769">
      <formula>$AV176&gt;$AU$158</formula>
    </cfRule>
    <cfRule type="expression" priority="86" dxfId="768">
      <formula>$AV176&gt;$AU$157</formula>
    </cfRule>
  </conditionalFormatting>
  <conditionalFormatting sqref="BA106">
    <cfRule type="expression" priority="83" dxfId="769">
      <formula>$AV175&gt;$AU$158</formula>
    </cfRule>
    <cfRule type="expression" priority="84" dxfId="768">
      <formula>$AV175&gt;$AU$157</formula>
    </cfRule>
  </conditionalFormatting>
  <conditionalFormatting sqref="BA105">
    <cfRule type="expression" priority="81" dxfId="769">
      <formula>$AV174&gt;$AU$158</formula>
    </cfRule>
    <cfRule type="expression" priority="82" dxfId="768">
      <formula>$AV174&gt;$AU$157</formula>
    </cfRule>
  </conditionalFormatting>
  <conditionalFormatting sqref="BA104">
    <cfRule type="expression" priority="79" dxfId="769">
      <formula>$AV173&gt;$AU$158</formula>
    </cfRule>
    <cfRule type="expression" priority="80" dxfId="768">
      <formula>$AV173&gt;$AU$157</formula>
    </cfRule>
  </conditionalFormatting>
  <conditionalFormatting sqref="BA103">
    <cfRule type="expression" priority="77" dxfId="769">
      <formula>$AV172&gt;$AU$158</formula>
    </cfRule>
    <cfRule type="expression" priority="78" dxfId="768">
      <formula>$AV172&gt;$AU$157</formula>
    </cfRule>
  </conditionalFormatting>
  <conditionalFormatting sqref="BA102">
    <cfRule type="expression" priority="75" dxfId="769">
      <formula>$AV171&gt;$AU$158</formula>
    </cfRule>
    <cfRule type="expression" priority="76" dxfId="768">
      <formula>$AV171&gt;$AU$157</formula>
    </cfRule>
  </conditionalFormatting>
  <conditionalFormatting sqref="BA101">
    <cfRule type="expression" priority="73" dxfId="769">
      <formula>$AV170&gt;$AU$158</formula>
    </cfRule>
    <cfRule type="expression" priority="74" dxfId="768">
      <formula>$AV170&gt;$AU$157</formula>
    </cfRule>
  </conditionalFormatting>
  <conditionalFormatting sqref="BA100">
    <cfRule type="expression" priority="71" dxfId="769">
      <formula>$AV169&gt;$AU$158</formula>
    </cfRule>
    <cfRule type="expression" priority="72" dxfId="768">
      <formula>$AV169&gt;$AU$157</formula>
    </cfRule>
  </conditionalFormatting>
  <conditionalFormatting sqref="BA99">
    <cfRule type="expression" priority="69" dxfId="769">
      <formula>$AV168&gt;$AU$158</formula>
    </cfRule>
    <cfRule type="expression" priority="70" dxfId="768">
      <formula>$AV168&gt;$AU$157</formula>
    </cfRule>
  </conditionalFormatting>
  <conditionalFormatting sqref="BA98">
    <cfRule type="expression" priority="67" dxfId="769">
      <formula>$AV167&gt;$AU$158</formula>
    </cfRule>
    <cfRule type="expression" priority="68" dxfId="768">
      <formula>$AV167&gt;$AU$157</formula>
    </cfRule>
  </conditionalFormatting>
  <conditionalFormatting sqref="BA97">
    <cfRule type="expression" priority="65" dxfId="769">
      <formula>$AV166&gt;$AU$158</formula>
    </cfRule>
    <cfRule type="expression" priority="66" dxfId="768">
      <formula>$AV166&gt;$AU$157</formula>
    </cfRule>
  </conditionalFormatting>
  <conditionalFormatting sqref="BA96">
    <cfRule type="expression" priority="63" dxfId="769">
      <formula>$AV165&gt;$AU$158</formula>
    </cfRule>
    <cfRule type="expression" priority="64" dxfId="768">
      <formula>$AV165&gt;$AU$157</formula>
    </cfRule>
  </conditionalFormatting>
  <conditionalFormatting sqref="BA95">
    <cfRule type="expression" priority="61" dxfId="769">
      <formula>$AV164&gt;$AU$158</formula>
    </cfRule>
    <cfRule type="expression" priority="62" dxfId="768">
      <formula>$AV164&gt;$AU$157</formula>
    </cfRule>
  </conditionalFormatting>
  <conditionalFormatting sqref="BA94">
    <cfRule type="expression" priority="59" dxfId="769">
      <formula>$AV163&gt;$AU$158</formula>
    </cfRule>
    <cfRule type="expression" priority="60" dxfId="768">
      <formula>$AV163&gt;$AU$157</formula>
    </cfRule>
  </conditionalFormatting>
  <conditionalFormatting sqref="BA93">
    <cfRule type="expression" priority="57" dxfId="769">
      <formula>$AV162&gt;$AU$158</formula>
    </cfRule>
    <cfRule type="expression" priority="58" dxfId="768">
      <formula>$AV162&gt;$AU$157</formula>
    </cfRule>
  </conditionalFormatting>
  <conditionalFormatting sqref="BA92">
    <cfRule type="expression" priority="55" dxfId="769">
      <formula>$AV161&gt;$AU$158</formula>
    </cfRule>
    <cfRule type="expression" priority="56" dxfId="768">
      <formula>$AV161&gt;$AU$157</formula>
    </cfRule>
  </conditionalFormatting>
  <conditionalFormatting sqref="BA91">
    <cfRule type="expression" priority="53" dxfId="769">
      <formula>$AV160&gt;$AU$158</formula>
    </cfRule>
    <cfRule type="expression" priority="54" dxfId="768">
      <formula>$AV160&gt;$AU$157</formula>
    </cfRule>
  </conditionalFormatting>
  <conditionalFormatting sqref="AY93">
    <cfRule type="expression" priority="50" dxfId="752">
      <formula>$AV142&gt;0</formula>
    </cfRule>
    <cfRule type="expression" priority="51" dxfId="769">
      <formula>$AV142&gt;$AU$138</formula>
    </cfRule>
    <cfRule type="expression" priority="52" dxfId="768">
      <formula>$AV142&gt;$AU$137</formula>
    </cfRule>
  </conditionalFormatting>
  <conditionalFormatting sqref="AY94">
    <cfRule type="expression" priority="47" dxfId="752">
      <formula>$AV143&gt;0</formula>
    </cfRule>
    <cfRule type="expression" priority="48" dxfId="769">
      <formula>$AV143&gt;$AU$138</formula>
    </cfRule>
    <cfRule type="expression" priority="49" dxfId="768">
      <formula>$AV143&gt;$AU$137</formula>
    </cfRule>
  </conditionalFormatting>
  <conditionalFormatting sqref="AY95">
    <cfRule type="expression" priority="44" dxfId="752">
      <formula>$AV144&gt;0</formula>
    </cfRule>
    <cfRule type="expression" priority="45" dxfId="769">
      <formula>$AV144&gt;$AU$138</formula>
    </cfRule>
    <cfRule type="expression" priority="46" dxfId="768">
      <formula>$AV144&gt;$AU$137</formula>
    </cfRule>
  </conditionalFormatting>
  <conditionalFormatting sqref="AY96">
    <cfRule type="expression" priority="41" dxfId="752">
      <formula>$AV145&gt;0</formula>
    </cfRule>
    <cfRule type="expression" priority="42" dxfId="769">
      <formula>$AV145&gt;$AU$138</formula>
    </cfRule>
    <cfRule type="expression" priority="43" dxfId="768">
      <formula>$AV145&gt;$AU$137</formula>
    </cfRule>
  </conditionalFormatting>
  <conditionalFormatting sqref="AY97">
    <cfRule type="expression" priority="38" dxfId="752">
      <formula>$AV146&gt;0</formula>
    </cfRule>
    <cfRule type="expression" priority="39" dxfId="769">
      <formula>$AV146&gt;$AU$138</formula>
    </cfRule>
    <cfRule type="expression" priority="40" dxfId="768">
      <formula>$AV146&gt;$AU$137</formula>
    </cfRule>
  </conditionalFormatting>
  <conditionalFormatting sqref="AY98">
    <cfRule type="expression" priority="35" dxfId="752">
      <formula>$AV147&gt;0</formula>
    </cfRule>
    <cfRule type="expression" priority="36" dxfId="769">
      <formula>$AV147&gt;$AU$138</formula>
    </cfRule>
    <cfRule type="expression" priority="37" dxfId="768">
      <formula>$AV147&gt;$AU$137</formula>
    </cfRule>
  </conditionalFormatting>
  <conditionalFormatting sqref="AY99">
    <cfRule type="expression" priority="32" dxfId="752">
      <formula>$AV148&gt;0</formula>
    </cfRule>
    <cfRule type="expression" priority="33" dxfId="769">
      <formula>$AV148&gt;$AU$138</formula>
    </cfRule>
    <cfRule type="expression" priority="34" dxfId="768">
      <formula>$AV148&gt;$AU$137</formula>
    </cfRule>
  </conditionalFormatting>
  <conditionalFormatting sqref="AY100">
    <cfRule type="expression" priority="29" dxfId="752">
      <formula>$AV149&gt;0</formula>
    </cfRule>
    <cfRule type="expression" priority="30" dxfId="769">
      <formula>$AV149&gt;$AU$138</formula>
    </cfRule>
    <cfRule type="expression" priority="31" dxfId="768">
      <formula>$AV149&gt;$AU$137</formula>
    </cfRule>
  </conditionalFormatting>
  <conditionalFormatting sqref="AY101">
    <cfRule type="expression" priority="26" dxfId="752">
      <formula>$AV150&gt;0</formula>
    </cfRule>
    <cfRule type="expression" priority="27" dxfId="769">
      <formula>$AV150&gt;$AU$138</formula>
    </cfRule>
    <cfRule type="expression" priority="28" dxfId="768">
      <formula>$AV150&gt;$AU$137</formula>
    </cfRule>
  </conditionalFormatting>
  <conditionalFormatting sqref="AY102">
    <cfRule type="expression" priority="23" dxfId="752">
      <formula>$AV151&gt;0</formula>
    </cfRule>
    <cfRule type="expression" priority="24" dxfId="769">
      <formula>$AV151&gt;$AU$138</formula>
    </cfRule>
    <cfRule type="expression" priority="25" dxfId="768">
      <formula>$AV151&gt;$AU$137</formula>
    </cfRule>
  </conditionalFormatting>
  <conditionalFormatting sqref="AY103">
    <cfRule type="expression" priority="20" dxfId="752">
      <formula>$AV152&gt;0</formula>
    </cfRule>
    <cfRule type="expression" priority="21" dxfId="769">
      <formula>$AV152&gt;$AU$138</formula>
    </cfRule>
    <cfRule type="expression" priority="22" dxfId="768">
      <formula>$AV152&gt;$AU$137</formula>
    </cfRule>
  </conditionalFormatting>
  <conditionalFormatting sqref="BS91">
    <cfRule type="expression" priority="2940" dxfId="765">
      <formula>$BZ$115&lt;$BM182+1</formula>
    </cfRule>
  </conditionalFormatting>
  <conditionalFormatting sqref="BS92:BS127">
    <cfRule type="expression" priority="2941" dxfId="765">
      <formula>$BT92="X"</formula>
    </cfRule>
    <cfRule type="expression" priority="2942" dxfId="765">
      <formula>$BZ$115&lt;$BM183+1</formula>
    </cfRule>
  </conditionalFormatting>
  <conditionalFormatting sqref="AT120:AX120">
    <cfRule type="expression" priority="14" dxfId="764">
      <formula>$AF$119="' MD"</formula>
    </cfRule>
  </conditionalFormatting>
  <conditionalFormatting sqref="AT121:AX121">
    <cfRule type="expression" priority="13" dxfId="754">
      <formula>$AF$119="' MD"</formula>
    </cfRule>
  </conditionalFormatting>
  <conditionalFormatting sqref="AT120:AT121">
    <cfRule type="expression" priority="12" dxfId="753">
      <formula>$AF$119="' MD"</formula>
    </cfRule>
  </conditionalFormatting>
  <conditionalFormatting sqref="AW120:AX121">
    <cfRule type="expression" priority="11" dxfId="752">
      <formula>$AF$119="' MD"</formula>
    </cfRule>
  </conditionalFormatting>
  <conditionalFormatting sqref="BK119:BO119 BK121:BO121">
    <cfRule type="expression" priority="10" dxfId="754">
      <formula>$AF$119="' MD"</formula>
    </cfRule>
  </conditionalFormatting>
  <conditionalFormatting sqref="BK120:BK121">
    <cfRule type="expression" priority="9" dxfId="753">
      <formula>$AF$119="' MD"</formula>
    </cfRule>
  </conditionalFormatting>
  <conditionalFormatting sqref="BN120:BO121">
    <cfRule type="expression" priority="8" dxfId="752">
      <formula>$AF$119="' MD"</formula>
    </cfRule>
  </conditionalFormatting>
  <conditionalFormatting sqref="CB119:CF119 CB121:CF121">
    <cfRule type="expression" priority="7" dxfId="754">
      <formula>$AF$119="' MD"</formula>
    </cfRule>
  </conditionalFormatting>
  <conditionalFormatting sqref="CB120:CB121">
    <cfRule type="expression" priority="6" dxfId="753">
      <formula>$AF$119="' MD"</formula>
    </cfRule>
  </conditionalFormatting>
  <conditionalFormatting sqref="CE120:CF121">
    <cfRule type="expression" priority="5" dxfId="752">
      <formula>$AF$119="' MD"</formula>
    </cfRule>
  </conditionalFormatting>
  <conditionalFormatting sqref="AC119:AG119 AC121:AG121">
    <cfRule type="expression" priority="4" dxfId="754">
      <formula>$AF$119="' MD"</formula>
    </cfRule>
  </conditionalFormatting>
  <conditionalFormatting sqref="AC120:AC121">
    <cfRule type="expression" priority="3" dxfId="753">
      <formula>$AF$119="' MD"</formula>
    </cfRule>
  </conditionalFormatting>
  <conditionalFormatting sqref="AF120:AG121">
    <cfRule type="expression" priority="2" dxfId="752">
      <formula>$AF$119="' MD"</formula>
    </cfRule>
  </conditionalFormatting>
  <conditionalFormatting sqref="BZ115">
    <cfRule type="expression" priority="1" dxfId="751">
      <formula>$BZ$115=0</formula>
    </cfRule>
  </conditionalFormatting>
  <pageMargins left="0.7" right="0.7" top="0.75" bottom="0.75" header="0.3" footer="0.3"/>
  <pageSetup orientation="portrait" verticalDpi="1200"/>
  <headerFooter>
    <oddHeader/>
    <oddFooter>&amp;L&amp;9 &amp;F&amp;R&amp;9 DOGM Casing/Cement Review &amp;D</oddFooter>
    <evenHeader/>
    <evenFooter/>
    <firstHeader/>
    <firstFooter/>
  </headerFooter>
  <colBreaks count="3" manualBreakCount="3">
    <brk id="45" min="86" max="131" man="1"/>
    <brk id="62" min="86" max="131" man="1"/>
    <brk id="79" min="86" max="131" man="1"/>
  </colBreaks>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sheetPr>
  <dimension ref="A2:BG40"/>
  <sheetViews>
    <sheetView topLeftCell="B1" zoomScale="90" zoomScaleNormal="90" zoomScaleSheetLayoutView="90" workbookViewId="0">
      <selection activeCell="V15" sqref="V15"/>
    </sheetView>
  </sheetViews>
  <sheetFormatPr baseColWidth="8" defaultRowHeight="14.4"/>
  <cols>
    <col width="8.44140625" bestFit="1" customWidth="1" style="613" min="3" max="3"/>
    <col width="13.109375" bestFit="1" customWidth="1" style="613" min="4" max="4"/>
    <col width="10.109375" bestFit="1" customWidth="1" style="613" min="5" max="6"/>
    <col width="14.33203125" bestFit="1" customWidth="1" style="613" min="7" max="7"/>
    <col width="9.5546875" bestFit="1" customWidth="1" style="613" min="8" max="8"/>
    <col width="8.33203125" bestFit="1" customWidth="1" style="613" min="9" max="9"/>
    <col width="14.109375" bestFit="1" customWidth="1" style="613" min="10" max="10"/>
    <col width="8.88671875" bestFit="1" customWidth="1" style="613" min="11" max="11"/>
    <col width="9" bestFit="1" customWidth="1" style="613" min="12" max="12"/>
    <col width="9" customWidth="1" style="613" min="13" max="13"/>
    <col width="13.33203125" bestFit="1" customWidth="1" style="613" min="14" max="14"/>
    <col width="7" customWidth="1" style="613" min="15" max="15"/>
    <col width="13.109375" bestFit="1" customWidth="1" style="613" min="19" max="19"/>
    <col width="10.109375" bestFit="1" customWidth="1" style="613" min="20" max="21"/>
    <col width="14.33203125" bestFit="1" customWidth="1" style="613" min="22" max="22"/>
    <col width="9.5546875" bestFit="1" customWidth="1" style="613" min="23" max="23"/>
    <col width="8.33203125" bestFit="1" customWidth="1" style="613" min="24" max="24"/>
    <col width="14.109375" bestFit="1" customWidth="1" style="613" min="25" max="25"/>
    <col width="8.88671875" bestFit="1" customWidth="1" style="613" min="26" max="26"/>
    <col width="9" bestFit="1" customWidth="1" style="613" min="27" max="28"/>
    <col width="13.33203125" bestFit="1" customWidth="1" style="613" min="29" max="29"/>
    <col width="4.44140625" customWidth="1" style="613" min="30" max="30"/>
    <col width="13.109375" bestFit="1" customWidth="1" style="613" min="34" max="34"/>
    <col width="10.109375" bestFit="1" customWidth="1" style="613" min="35" max="35"/>
    <col width="10.109375" customWidth="1" style="613" min="36" max="36"/>
    <col width="14.33203125" bestFit="1" customWidth="1" style="613" min="37" max="37"/>
    <col width="9.5546875" bestFit="1" customWidth="1" style="613" min="38" max="38"/>
    <col width="8.33203125" bestFit="1" customWidth="1" style="613" min="39" max="39"/>
    <col width="14.109375" bestFit="1" customWidth="1" style="613" min="40" max="40"/>
    <col width="8.88671875" bestFit="1" customWidth="1" style="613" min="41" max="41"/>
    <col width="9" bestFit="1" customWidth="1" style="613" min="42" max="43"/>
    <col width="13.33203125" bestFit="1" customWidth="1" style="613" min="44" max="44"/>
    <col width="4.44140625" customWidth="1" style="613" min="45" max="45"/>
    <col width="13.109375" bestFit="1" customWidth="1" style="613" min="49" max="49"/>
    <col width="10.109375" bestFit="1" customWidth="1" style="613" min="50" max="51"/>
    <col width="14.33203125" bestFit="1" customWidth="1" style="613" min="52" max="52"/>
    <col width="9.5546875" bestFit="1" customWidth="1" style="613" min="53" max="53"/>
    <col width="8.33203125" bestFit="1" customWidth="1" style="613" min="54" max="54"/>
    <col width="14.109375" bestFit="1" customWidth="1" style="613" min="55" max="55"/>
    <col width="8.88671875" bestFit="1" customWidth="1" style="613" min="56" max="56"/>
    <col width="9" bestFit="1" customWidth="1" style="613" min="57" max="58"/>
    <col width="13.33203125" customWidth="1" style="613" min="59" max="59"/>
    <col width="3" customWidth="1" style="613" min="60" max="60"/>
  </cols>
  <sheetData>
    <row r="2" ht="15.75" customFormat="1" customHeight="1" s="628">
      <c r="A2" s="627">
        <f>'Casing Review'!$B$4</f>
        <v/>
      </c>
      <c r="P2" s="627">
        <f>'Casing Review'!$B$4</f>
        <v/>
      </c>
      <c r="AE2" s="627">
        <f>'Casing Review'!$B$4</f>
        <v/>
      </c>
      <c r="AT2" s="627">
        <f>'Casing Review'!$B$4</f>
        <v/>
      </c>
    </row>
    <row r="3" ht="15.75" customFormat="1" customHeight="1" s="628">
      <c r="A3" s="627">
        <f>'Casing Review'!$B$5</f>
        <v/>
      </c>
      <c r="P3" s="627">
        <f>'Casing Review'!$B$5</f>
        <v/>
      </c>
      <c r="AE3" s="627">
        <f>'Casing Review'!$B$5</f>
        <v/>
      </c>
      <c r="AT3" s="627">
        <f>'Casing Review'!$B$5</f>
        <v/>
      </c>
    </row>
    <row r="4" ht="15.75" customFormat="1" customHeight="1" s="628">
      <c r="A4" s="629">
        <f>'Casing Review'!$B$6</f>
        <v/>
      </c>
      <c r="P4" s="629">
        <f>'Casing Review'!$B$6</f>
        <v/>
      </c>
      <c r="AE4" s="629">
        <f>'Casing Review'!$B$6</f>
        <v/>
      </c>
      <c r="AT4" s="629">
        <f>'Casing Review'!$B$6</f>
        <v/>
      </c>
    </row>
    <row r="5" ht="15.75" customHeight="1" s="613" thickBot="1">
      <c r="F5" s="319">
        <f>'Casing Review'!$K$2</f>
        <v/>
      </c>
      <c r="I5" s="319">
        <f>'Casing Review'!$K$3</f>
        <v/>
      </c>
      <c r="K5" s="319">
        <f>'Casing Review'!$K$5</f>
        <v/>
      </c>
      <c r="U5" s="319">
        <f>'Casing Review'!$K$2</f>
        <v/>
      </c>
      <c r="X5" s="319">
        <f>'Casing Review'!$K$3</f>
        <v/>
      </c>
      <c r="Z5" s="319">
        <f>'Casing Review'!$K$5</f>
        <v/>
      </c>
      <c r="AJ5" s="319">
        <f>'Casing Review'!$K$2</f>
        <v/>
      </c>
      <c r="AM5" s="319">
        <f>'Casing Review'!$K$3</f>
        <v/>
      </c>
      <c r="AO5" s="319">
        <f>'Casing Review'!$K$5</f>
        <v/>
      </c>
      <c r="AY5" s="319">
        <f>'Casing Review'!$K$2</f>
        <v/>
      </c>
      <c r="BB5" s="319">
        <f>'Casing Review'!$K$3</f>
        <v/>
      </c>
      <c r="BD5" s="319">
        <f>'Casing Review'!$K$5</f>
        <v/>
      </c>
    </row>
    <row r="6" ht="30.75" customHeight="1" s="613">
      <c r="C6" s="141" t="inlineStr">
        <is>
          <t>MASP</t>
        </is>
      </c>
      <c r="D6" s="142" t="inlineStr">
        <is>
          <t>Collapse Strength (psi)</t>
        </is>
      </c>
      <c r="E6" s="142" t="inlineStr">
        <is>
          <t>Collapse Load (psi)</t>
        </is>
      </c>
      <c r="F6" s="142" t="inlineStr">
        <is>
          <t>Collapse DF</t>
        </is>
      </c>
      <c r="G6" s="142" t="inlineStr">
        <is>
          <t>Burst Strength (psi)</t>
        </is>
      </c>
      <c r="H6" s="142" t="inlineStr">
        <is>
          <t>Burst Load (psi)</t>
        </is>
      </c>
      <c r="I6" s="142" t="inlineStr">
        <is>
          <t>Burst DF</t>
        </is>
      </c>
      <c r="J6" s="142" t="inlineStr">
        <is>
          <t>Tension Strength (kips)</t>
        </is>
      </c>
      <c r="K6" s="142" t="inlineStr">
        <is>
          <t>Tension DF</t>
        </is>
      </c>
      <c r="L6" s="142" t="inlineStr">
        <is>
          <t>Neutral Point (ft)</t>
        </is>
      </c>
      <c r="M6" s="142" t="inlineStr">
        <is>
          <t>Tension Air (kips)</t>
        </is>
      </c>
      <c r="N6" s="143" t="inlineStr">
        <is>
          <t>Tension Buoyed (kips)</t>
        </is>
      </c>
      <c r="R6" s="141" t="inlineStr">
        <is>
          <t>MASP</t>
        </is>
      </c>
      <c r="S6" s="142" t="inlineStr">
        <is>
          <t>Collapse Strength (psi)</t>
        </is>
      </c>
      <c r="T6" s="142" t="inlineStr">
        <is>
          <t>Collapse Load (psi)</t>
        </is>
      </c>
      <c r="U6" s="142" t="inlineStr">
        <is>
          <t>Collapse DF</t>
        </is>
      </c>
      <c r="V6" s="142" t="inlineStr">
        <is>
          <t>Burst Strength (psi)</t>
        </is>
      </c>
      <c r="W6" s="142" t="inlineStr">
        <is>
          <t>Burst Load (psi)</t>
        </is>
      </c>
      <c r="X6" s="142" t="inlineStr">
        <is>
          <t>Burst DF</t>
        </is>
      </c>
      <c r="Y6" s="142" t="inlineStr">
        <is>
          <t>Tension Strength (kips)</t>
        </is>
      </c>
      <c r="Z6" s="142" t="inlineStr">
        <is>
          <t>Tension DF</t>
        </is>
      </c>
      <c r="AA6" s="142" t="inlineStr">
        <is>
          <t>Neutral Point (ft)</t>
        </is>
      </c>
      <c r="AB6" s="142" t="inlineStr">
        <is>
          <t>Tension Air (kips)</t>
        </is>
      </c>
      <c r="AC6" s="143" t="inlineStr">
        <is>
          <t>Tension Buoyed (kips)</t>
        </is>
      </c>
      <c r="AD6" s="614" t="n"/>
      <c r="AG6" s="141" t="inlineStr">
        <is>
          <t>MASP</t>
        </is>
      </c>
      <c r="AH6" s="142" t="inlineStr">
        <is>
          <t>Collapse Strength (psi)</t>
        </is>
      </c>
      <c r="AI6" s="142" t="inlineStr">
        <is>
          <t>Collapse Load (psi)</t>
        </is>
      </c>
      <c r="AJ6" s="142" t="inlineStr">
        <is>
          <t>Collapse DF</t>
        </is>
      </c>
      <c r="AK6" s="142" t="inlineStr">
        <is>
          <t>Burst Strength (psi)</t>
        </is>
      </c>
      <c r="AL6" s="142" t="inlineStr">
        <is>
          <t>Burst Load (psi)</t>
        </is>
      </c>
      <c r="AM6" s="142" t="inlineStr">
        <is>
          <t>Burst DF</t>
        </is>
      </c>
      <c r="AN6" s="142" t="inlineStr">
        <is>
          <t>Tension Strength (kips)</t>
        </is>
      </c>
      <c r="AO6" s="142" t="inlineStr">
        <is>
          <t>Tension DF</t>
        </is>
      </c>
      <c r="AP6" s="142" t="inlineStr">
        <is>
          <t>Neutral Point (ft)</t>
        </is>
      </c>
      <c r="AQ6" s="142" t="inlineStr">
        <is>
          <t>Tension Air (kips)</t>
        </is>
      </c>
      <c r="AR6" s="143" t="inlineStr">
        <is>
          <t>Tension Buoyed (kips)</t>
        </is>
      </c>
      <c r="AS6" s="614" t="n"/>
      <c r="AV6" s="141" t="inlineStr">
        <is>
          <t>MASP</t>
        </is>
      </c>
      <c r="AW6" s="142" t="inlineStr">
        <is>
          <t>Collapse Strength (psi)</t>
        </is>
      </c>
      <c r="AX6" s="142" t="inlineStr">
        <is>
          <t>Collapse Load (psi)</t>
        </is>
      </c>
      <c r="AY6" s="142" t="inlineStr">
        <is>
          <t>Collapse DF</t>
        </is>
      </c>
      <c r="AZ6" s="142" t="inlineStr">
        <is>
          <t>Burst Strength (psi)</t>
        </is>
      </c>
      <c r="BA6" s="142" t="inlineStr">
        <is>
          <t>Burst Load (psi)</t>
        </is>
      </c>
      <c r="BB6" s="142" t="inlineStr">
        <is>
          <t>Burst DF</t>
        </is>
      </c>
      <c r="BC6" s="142" t="inlineStr">
        <is>
          <t>Tension Strength (kips)</t>
        </is>
      </c>
      <c r="BD6" s="142" t="inlineStr">
        <is>
          <t>Tension DF</t>
        </is>
      </c>
      <c r="BE6" s="142" t="inlineStr">
        <is>
          <t>Neutral Point (ft)</t>
        </is>
      </c>
      <c r="BF6" s="142" t="inlineStr">
        <is>
          <t>Tension Air (kips)</t>
        </is>
      </c>
      <c r="BG6" s="143" t="inlineStr">
        <is>
          <t>Tension Buoyed (kips)</t>
        </is>
      </c>
    </row>
    <row r="7">
      <c r="A7" s="151">
        <f>'Vertical WBD'!AD91</f>
        <v/>
      </c>
      <c r="B7" s="151" t="inlineStr">
        <is>
          <t>" Casing</t>
        </is>
      </c>
      <c r="C7" s="117">
        <f>IF('Casing Review'!$C$12&gt;0,'Casing Review'!S12, " ")</f>
        <v/>
      </c>
      <c r="D7" s="612">
        <f>IF('Casing Review'!$C$12&gt;0,'Casing Review'!T12, " ")</f>
        <v/>
      </c>
      <c r="E7" s="612">
        <f>IF('Casing Review'!$C$12&gt;0,'Casing Review'!U12, " ")</f>
        <v/>
      </c>
      <c r="F7" s="118">
        <f>IF('Casing Review'!$C$12&gt;0,'Casing Review'!V12, " ")</f>
        <v/>
      </c>
      <c r="G7" s="612">
        <f>IF('Casing Review'!$C$12&gt;0,'Casing Review'!W12, " ")</f>
        <v/>
      </c>
      <c r="H7" s="612">
        <f>IF('Casing Review'!$C$12&gt;0,'Casing Review'!X12, " ")</f>
        <v/>
      </c>
      <c r="I7" s="118">
        <f>IF('Casing Review'!$C$12&gt;0,'Casing Review'!Y12, " ")</f>
        <v/>
      </c>
      <c r="J7" s="612">
        <f>IF('Casing Review'!$C$12&gt;0,'Casing Review'!Z12, " ")</f>
        <v/>
      </c>
      <c r="K7" s="118">
        <f>IF('Casing Review'!$C$12&gt;0,'Casing Review'!AA12, " ")</f>
        <v/>
      </c>
      <c r="L7" s="612">
        <f>IF('Casing Review'!$C$12&gt;0,'Casing Review'!AB12, " ")</f>
        <v/>
      </c>
      <c r="M7" s="729">
        <f>IF('Casing Review'!$C$12&gt;0,'Casing Review'!AC12, " ")</f>
        <v/>
      </c>
      <c r="N7" s="730">
        <f>IF('Casing Review'!$C$12&gt;0,'Casing Review'!AD12, " ")</f>
        <v/>
      </c>
      <c r="O7" s="449" t="n"/>
      <c r="P7" s="151">
        <f>'Vertical WBD'!AU91</f>
        <v/>
      </c>
      <c r="Q7" s="151" t="inlineStr">
        <is>
          <t>" Casing</t>
        </is>
      </c>
      <c r="R7" s="117">
        <f>IF('Casing Review'!$C$12&gt;0,'Casing Review'!S12, " ")</f>
        <v/>
      </c>
      <c r="S7" s="612">
        <f>IF('Casing Review'!$C$12&gt;0,'Casing Review'!T12, " ")</f>
        <v/>
      </c>
      <c r="T7" s="612">
        <f>IF('Casing Review'!$C$12&gt;0,'Casing Review'!U12, " ")</f>
        <v/>
      </c>
      <c r="U7" s="118">
        <f>IF('Casing Review'!$C$12&gt;0,'Casing Review'!V12, " ")</f>
        <v/>
      </c>
      <c r="V7" s="612">
        <f>IF('Casing Review'!$C$12&gt;0,'Casing Review'!W12, " ")</f>
        <v/>
      </c>
      <c r="W7" s="612">
        <f>IF('Casing Review'!$C$12&gt;0,'Casing Review'!X12, " ")</f>
        <v/>
      </c>
      <c r="X7" s="118">
        <f>IF('Casing Review'!$C$12&gt;0,'Casing Review'!Y12, " ")</f>
        <v/>
      </c>
      <c r="Y7" s="612">
        <f>IF('Casing Review'!$C$12&gt;0,'Casing Review'!Z12, " ")</f>
        <v/>
      </c>
      <c r="Z7" s="118">
        <f>IF('Casing Review'!$C$12&gt;0,'Casing Review'!AA12, " ")</f>
        <v/>
      </c>
      <c r="AA7" s="612">
        <f>IF('Casing Review'!$C$12&gt;0,'Casing Review'!AB12, " ")</f>
        <v/>
      </c>
      <c r="AB7" s="729">
        <f>IF('Casing Review'!$C$12&gt;0,'Casing Review'!AC12, " ")</f>
        <v/>
      </c>
      <c r="AC7" s="730">
        <f>IF('Casing Review'!$C$12&gt;0,'Casing Review'!AD12, " ")</f>
        <v/>
      </c>
      <c r="AD7" s="118" t="n"/>
      <c r="AE7" s="151">
        <f>'Vertical WBD'!BL91</f>
        <v/>
      </c>
      <c r="AF7" s="151" t="inlineStr">
        <is>
          <t>" Casing</t>
        </is>
      </c>
      <c r="AG7" s="117">
        <f>IF('Casing Review'!$C$12&gt;0,'Casing Review'!S12, " ")</f>
        <v/>
      </c>
      <c r="AH7" s="612">
        <f>IF('Casing Review'!$C$12&gt;0,'Casing Review'!T12, " ")</f>
        <v/>
      </c>
      <c r="AI7" s="612">
        <f>IF('Casing Review'!$C$12&gt;0,'Casing Review'!U12, " ")</f>
        <v/>
      </c>
      <c r="AJ7" s="118">
        <f>IF('Casing Review'!$C$12&gt;0,'Casing Review'!V$12, " ")</f>
        <v/>
      </c>
      <c r="AK7" s="612">
        <f>IF('Casing Review'!$C$12&gt;0,'Casing Review'!W$12, " ")</f>
        <v/>
      </c>
      <c r="AL7" s="612">
        <f>IF('Casing Review'!$C$12&gt;0,'Casing Review'!X$12, " ")</f>
        <v/>
      </c>
      <c r="AM7" s="118">
        <f>IF('Casing Review'!$C$12&gt;0,'Casing Review'!Y$12, " ")</f>
        <v/>
      </c>
      <c r="AN7" s="612">
        <f>IF('Casing Review'!$C$12&gt;0,'Casing Review'!Z$12, " ")</f>
        <v/>
      </c>
      <c r="AO7" s="118">
        <f>IF('Casing Review'!$C$12&gt;0,'Casing Review'!AA$12, " ")</f>
        <v/>
      </c>
      <c r="AP7" s="612">
        <f>IF('Casing Review'!$C$12&gt;0,'Casing Review'!AB$12, " ")</f>
        <v/>
      </c>
      <c r="AQ7" s="729">
        <f>IF('Casing Review'!$C$12&gt;0,'Casing Review'!AC$12, " ")</f>
        <v/>
      </c>
      <c r="AR7" s="730">
        <f>IF('Casing Review'!$C$12&gt;0,'Casing Review'!AD$12, " ")</f>
        <v/>
      </c>
      <c r="AS7" s="118" t="n"/>
      <c r="AT7" s="151">
        <f>'Vertical WBD'!CC98</f>
        <v/>
      </c>
      <c r="AU7" s="151" t="inlineStr">
        <is>
          <t>" Casing</t>
        </is>
      </c>
      <c r="AV7" s="117">
        <f>IF('Casing Review'!$C$12&gt;0,'Casing Review'!S12, " ")</f>
        <v/>
      </c>
      <c r="AW7" s="612">
        <f>IF('Casing Review'!$C$12&gt;0,'Casing Review'!T12, " ")</f>
        <v/>
      </c>
      <c r="AX7" s="612">
        <f>IF('Casing Review'!$C$12&gt;0,'Casing Review'!U12, " ")</f>
        <v/>
      </c>
      <c r="AY7" s="118">
        <f>IF('Casing Review'!$C$12&gt;0,'Casing Review'!V12, " ")</f>
        <v/>
      </c>
      <c r="AZ7" s="612">
        <f>IF('Casing Review'!$C$12&gt;0,'Casing Review'!W12, " ")</f>
        <v/>
      </c>
      <c r="BA7" s="612">
        <f>IF('Casing Review'!$C$12&gt;0,'Casing Review'!X12, " ")</f>
        <v/>
      </c>
      <c r="BB7" s="118">
        <f>IF('Casing Review'!$C$12&gt;0,'Casing Review'!Y12, " ")</f>
        <v/>
      </c>
      <c r="BC7" s="612">
        <f>IF('Casing Review'!$C$12&gt;0,'Casing Review'!Z12, " ")</f>
        <v/>
      </c>
      <c r="BD7" s="118">
        <f>IF('Casing Review'!$C$12&gt;0,'Casing Review'!AA12, " ")</f>
        <v/>
      </c>
      <c r="BE7" s="612">
        <f>IF('Casing Review'!$C$12&gt;0,'Casing Review'!AB12, " ")</f>
        <v/>
      </c>
      <c r="BF7" s="729">
        <f>IF('Casing Review'!$C$12&gt;0,'Casing Review'!AC12, " ")</f>
        <v/>
      </c>
      <c r="BG7" s="730">
        <f>IF('Casing Review'!$C$12&gt;0,'Casing Review'!AD12, " ")</f>
        <v/>
      </c>
    </row>
    <row r="8">
      <c r="A8" s="151" t="n"/>
      <c r="B8" s="151" t="n"/>
      <c r="C8" s="117" t="n"/>
      <c r="D8" s="612">
        <f>IF('Casing Review'!$C$14&gt;0,'Casing Review'!T14, " ")</f>
        <v/>
      </c>
      <c r="E8" s="612">
        <f>IF('Casing Review'!$C$14&gt;0,'Casing Review'!U14, " ")</f>
        <v/>
      </c>
      <c r="F8" s="118">
        <f>IF('Casing Review'!$C$14&gt;0,'Casing Review'!V14, " ")</f>
        <v/>
      </c>
      <c r="G8" s="612">
        <f>IF('Casing Review'!$C$14&gt;0,'Casing Review'!W14, " ")</f>
        <v/>
      </c>
      <c r="H8" s="612">
        <f>IF('Casing Review'!$C$14&gt;0,'Casing Review'!X14, " ")</f>
        <v/>
      </c>
      <c r="I8" s="118">
        <f>IF('Casing Review'!$C$14&gt;0,'Casing Review'!Y14, " ")</f>
        <v/>
      </c>
      <c r="J8" s="612">
        <f>IF('Casing Review'!$C$14&gt;0,'Casing Review'!Z14, " ")</f>
        <v/>
      </c>
      <c r="K8" s="118">
        <f>IF('Casing Review'!$C$14&gt;0,'Casing Review'!AA14, " ")</f>
        <v/>
      </c>
      <c r="L8" s="612">
        <f>IF('Casing Review'!$C$14&gt;0,'Casing Review'!AB14, " ")</f>
        <v/>
      </c>
      <c r="M8" s="729">
        <f>IF('Casing Review'!$C$14&gt;0,'Casing Review'!AC14, " ")</f>
        <v/>
      </c>
      <c r="N8" s="730">
        <f>IF('Casing Review'!$C$14&gt;0,'Casing Review'!AD14, " ")</f>
        <v/>
      </c>
      <c r="O8" s="449" t="n"/>
      <c r="P8" s="151" t="n"/>
      <c r="Q8" s="151" t="n"/>
      <c r="R8" s="117" t="n"/>
      <c r="S8" s="614">
        <f>IF('Casing Review'!$C$14&gt;0,'Casing Review'!AJ14, " ")</f>
        <v/>
      </c>
      <c r="T8" s="614">
        <f>IF('Casing Review'!$C$14&gt;0,'Casing Review'!AK14, " ")</f>
        <v/>
      </c>
      <c r="U8" s="118">
        <f>IF('Casing Review'!$C$14&gt;0,'Casing Review'!AL14, " ")</f>
        <v/>
      </c>
      <c r="V8" s="614">
        <f>IF('Casing Review'!$C$14&gt;0,'Casing Review'!AM14, " ")</f>
        <v/>
      </c>
      <c r="W8" s="614">
        <f>IF('Casing Review'!$C$14&gt;0,'Casing Review'!AN14, " ")</f>
        <v/>
      </c>
      <c r="X8" s="118">
        <f>IF('Casing Review'!$C$14&gt;0,'Casing Review'!AO14, " ")</f>
        <v/>
      </c>
      <c r="Y8" s="614">
        <f>IF('Casing Review'!$C$14&gt;0,'Casing Review'!AP14, " ")</f>
        <v/>
      </c>
      <c r="Z8" s="118">
        <f>IF('Casing Review'!$C$14&gt;0,'Casing Review'!AQ14, " ")</f>
        <v/>
      </c>
      <c r="AA8" s="614">
        <f>IF('Casing Review'!$C$14&gt;0,'Casing Review'!AR14, " ")</f>
        <v/>
      </c>
      <c r="AB8" s="614">
        <f>IF('Casing Review'!$C$14&gt;0,'Casing Review'!AS14, " ")</f>
        <v/>
      </c>
      <c r="AC8" s="730">
        <f>IF('Casing Review'!$C$14&gt;0,'Casing Review'!AT14, " ")</f>
        <v/>
      </c>
      <c r="AD8" s="118" t="n"/>
      <c r="AE8" s="151" t="n"/>
      <c r="AF8" s="151" t="n"/>
      <c r="AG8" s="117" t="n"/>
      <c r="AH8" s="612">
        <f>IF('Casing Review'!$C$14&gt;0,'Casing Review'!T14, " ")</f>
        <v/>
      </c>
      <c r="AI8" s="612">
        <f>IF('Casing Review'!$C$14&gt;0,'Casing Review'!U14, " ")</f>
        <v/>
      </c>
      <c r="AJ8" s="118">
        <f>IF('Casing Review'!$C$14&gt;0,'Casing Review'!V14, " ")</f>
        <v/>
      </c>
      <c r="AK8" s="612">
        <f>IF('Casing Review'!$C$14&gt;0,'Casing Review'!W14, " ")</f>
        <v/>
      </c>
      <c r="AL8" s="612">
        <f>IF('Casing Review'!$C$14&gt;0,'Casing Review'!X14, " ")</f>
        <v/>
      </c>
      <c r="AM8" s="118">
        <f>IF('Casing Review'!$C$14&gt;0,'Casing Review'!Y14, " ")</f>
        <v/>
      </c>
      <c r="AN8" s="612">
        <f>IF('Casing Review'!$C$14&gt;0,'Casing Review'!Z14, " ")</f>
        <v/>
      </c>
      <c r="AO8" s="118">
        <f>IF('Casing Review'!$C$14&gt;0,'Casing Review'!AA14, " ")</f>
        <v/>
      </c>
      <c r="AP8" s="612">
        <f>IF('Casing Review'!$C$14&gt;0,'Casing Review'!AB14, " ")</f>
        <v/>
      </c>
      <c r="AQ8" s="612">
        <f>IF('Casing Review'!$C$14&gt;0,'Casing Review'!AC14, " ")</f>
        <v/>
      </c>
      <c r="AR8" s="730">
        <f>IF('Casing Review'!$C$14&gt;0,'Casing Review'!AD14, " ")</f>
        <v/>
      </c>
      <c r="AS8" s="612" t="n"/>
      <c r="AT8" s="151" t="n"/>
      <c r="AU8" s="151" t="n"/>
      <c r="AV8" s="117" t="n"/>
      <c r="AW8" s="612">
        <f>IF('Casing Review'!$C$14&gt;0,'Casing Review'!T14, " ")</f>
        <v/>
      </c>
      <c r="AX8" s="612">
        <f>IF('Casing Review'!$C$14&gt;0,'Casing Review'!U14, " ")</f>
        <v/>
      </c>
      <c r="AY8" s="118">
        <f>IF('Casing Review'!$C$14&gt;0,'Casing Review'!V14, " ")</f>
        <v/>
      </c>
      <c r="AZ8" s="612">
        <f>IF('Casing Review'!$C$14&gt;0,'Casing Review'!W14, " ")</f>
        <v/>
      </c>
      <c r="BA8" s="612">
        <f>IF('Casing Review'!$C$14&gt;0,'Casing Review'!X14, " ")</f>
        <v/>
      </c>
      <c r="BB8" s="118">
        <f>IF('Casing Review'!$C$14&gt;0,'Casing Review'!Y14, " ")</f>
        <v/>
      </c>
      <c r="BC8" s="612">
        <f>IF('Casing Review'!$C$14&gt;0,'Casing Review'!Z14, " ")</f>
        <v/>
      </c>
      <c r="BD8" s="118">
        <f>IF('Casing Review'!$C$14&gt;0,'Casing Review'!AA14, " ")</f>
        <v/>
      </c>
      <c r="BE8" s="612">
        <f>IF('Casing Review'!$C$14&gt;0,'Casing Review'!AB14, " ")</f>
        <v/>
      </c>
      <c r="BF8" s="612">
        <f>IF('Casing Review'!$C$14&gt;0,'Casing Review'!AC14, " ")</f>
        <v/>
      </c>
      <c r="BG8" s="146">
        <f>IF('Casing Review'!$C$14&gt;0,'Casing Review'!AD14, " ")</f>
        <v/>
      </c>
    </row>
    <row r="9">
      <c r="A9" s="151" t="n"/>
      <c r="B9" s="151" t="n"/>
      <c r="C9" s="117" t="n"/>
      <c r="D9" s="612">
        <f>IF('Casing Review'!$C$16&gt;0,'Casing Review'!T16, " ")</f>
        <v/>
      </c>
      <c r="E9" s="612">
        <f>IF('Casing Review'!$C$16&gt;0,'Casing Review'!U16, " ")</f>
        <v/>
      </c>
      <c r="F9" s="118">
        <f>IF('Casing Review'!$C$16&gt;0,'Casing Review'!V16, " ")</f>
        <v/>
      </c>
      <c r="G9" s="612">
        <f>IF('Casing Review'!$C$16&gt;0,'Casing Review'!W16, " ")</f>
        <v/>
      </c>
      <c r="H9" s="612">
        <f>IF('Casing Review'!$C$16&gt;0,'Casing Review'!X16, " ")</f>
        <v/>
      </c>
      <c r="I9" s="118">
        <f>IF('Casing Review'!$C$16&gt;0,'Casing Review'!Y16, " ")</f>
        <v/>
      </c>
      <c r="J9" s="612">
        <f>IF('Casing Review'!$C$16&gt;0,'Casing Review'!Z16, " ")</f>
        <v/>
      </c>
      <c r="K9" s="118">
        <f>IF('Casing Review'!$C$16&gt;0,'Casing Review'!AA16, " ")</f>
        <v/>
      </c>
      <c r="L9" s="612">
        <f>IF('Casing Review'!$C$16&gt;0,'Casing Review'!AB16, " ")</f>
        <v/>
      </c>
      <c r="M9" s="729">
        <f>IF('Casing Review'!$C$16&gt;0,'Casing Review'!AC16, " ")</f>
        <v/>
      </c>
      <c r="N9" s="730">
        <f>IF('Casing Review'!$C$16&gt;0,'Casing Review'!AD16, " ")</f>
        <v/>
      </c>
      <c r="O9" s="449" t="n"/>
      <c r="P9" s="151" t="n"/>
      <c r="Q9" s="151" t="n"/>
      <c r="R9" s="117" t="n"/>
      <c r="S9" s="614">
        <f>IF('Casing Review'!$C$16&gt;0,'Casing Review'!AJ16, " ")</f>
        <v/>
      </c>
      <c r="T9" s="614">
        <f>IF('Casing Review'!$C$16&gt;0,'Casing Review'!AK16, " ")</f>
        <v/>
      </c>
      <c r="U9" s="118">
        <f>IF('Casing Review'!$C$16&gt;0,'Casing Review'!AL16, " ")</f>
        <v/>
      </c>
      <c r="V9" s="614">
        <f>IF('Casing Review'!$C$16&gt;0,'Casing Review'!AM16, " ")</f>
        <v/>
      </c>
      <c r="W9" s="614">
        <f>IF('Casing Review'!$C$16&gt;0,'Casing Review'!AN16, " ")</f>
        <v/>
      </c>
      <c r="X9" s="118">
        <f>IF('Casing Review'!$C$16&gt;0,'Casing Review'!AO16, " ")</f>
        <v/>
      </c>
      <c r="Y9" s="614">
        <f>IF('Casing Review'!$C$16&gt;0,'Casing Review'!AP16, " ")</f>
        <v/>
      </c>
      <c r="Z9" s="118">
        <f>IF('Casing Review'!$C$16&gt;0,'Casing Review'!AQ16, " ")</f>
        <v/>
      </c>
      <c r="AA9" s="614">
        <f>IF('Casing Review'!$C$16&gt;0,'Casing Review'!AR16, " ")</f>
        <v/>
      </c>
      <c r="AB9" s="614">
        <f>IF('Casing Review'!$C$16&gt;0,'Casing Review'!AS16, " ")</f>
        <v/>
      </c>
      <c r="AC9" s="730">
        <f>IF('Casing Review'!$C$16&gt;0,'Casing Review'!AT16, " ")</f>
        <v/>
      </c>
      <c r="AD9" s="118" t="n"/>
      <c r="AE9" s="151" t="n"/>
      <c r="AF9" s="151" t="n"/>
      <c r="AG9" s="117" t="n"/>
      <c r="AH9" s="612">
        <f>IF('Casing Review'!$C$16&gt;0,'Casing Review'!T16, " ")</f>
        <v/>
      </c>
      <c r="AI9" s="612">
        <f>IF('Casing Review'!$C$16&gt;0,'Casing Review'!U16, " ")</f>
        <v/>
      </c>
      <c r="AJ9" s="118">
        <f>IF('Casing Review'!$C$16&gt;0,'Casing Review'!V16, " ")</f>
        <v/>
      </c>
      <c r="AK9" s="612">
        <f>IF('Casing Review'!$C$16&gt;0,'Casing Review'!W16, " ")</f>
        <v/>
      </c>
      <c r="AL9" s="612">
        <f>IF('Casing Review'!$C$16&gt;0,'Casing Review'!X16, " ")</f>
        <v/>
      </c>
      <c r="AM9" s="118">
        <f>IF('Casing Review'!$C$16&gt;0,'Casing Review'!Y16, " ")</f>
        <v/>
      </c>
      <c r="AN9" s="612">
        <f>IF('Casing Review'!$C$16&gt;0,'Casing Review'!Z16, " ")</f>
        <v/>
      </c>
      <c r="AO9" s="118">
        <f>IF('Casing Review'!$C$16&gt;0,'Casing Review'!AA16, " ")</f>
        <v/>
      </c>
      <c r="AP9" s="612">
        <f>IF('Casing Review'!$C$16&gt;0,'Casing Review'!AB16, " ")</f>
        <v/>
      </c>
      <c r="AQ9" s="612">
        <f>IF('Casing Review'!$C$16&gt;0,'Casing Review'!AC16, " ")</f>
        <v/>
      </c>
      <c r="AR9" s="730">
        <f>IF('Casing Review'!$C$16&gt;0,'Casing Review'!AD16, " ")</f>
        <v/>
      </c>
      <c r="AS9" s="612" t="n"/>
      <c r="AT9" s="151" t="n"/>
      <c r="AU9" s="151" t="n"/>
      <c r="AV9" s="117" t="n"/>
      <c r="AW9" s="612">
        <f>IF('Casing Review'!$C$16&gt;0,'Casing Review'!T16, " ")</f>
        <v/>
      </c>
      <c r="AX9" s="612">
        <f>IF('Casing Review'!$C$16&gt;0,'Casing Review'!U16, " ")</f>
        <v/>
      </c>
      <c r="AY9" s="118">
        <f>IF('Casing Review'!$C$16&gt;0,'Casing Review'!V16, " ")</f>
        <v/>
      </c>
      <c r="AZ9" s="612">
        <f>IF('Casing Review'!$C$16&gt;0,'Casing Review'!W16, " ")</f>
        <v/>
      </c>
      <c r="BA9" s="612">
        <f>IF('Casing Review'!$C$16&gt;0,'Casing Review'!X16, " ")</f>
        <v/>
      </c>
      <c r="BB9" s="118">
        <f>IF('Casing Review'!$C$16&gt;0,'Casing Review'!Y16, " ")</f>
        <v/>
      </c>
      <c r="BC9" s="612">
        <f>IF('Casing Review'!$C$16&gt;0,'Casing Review'!Z16, " ")</f>
        <v/>
      </c>
      <c r="BD9" s="118">
        <f>IF('Casing Review'!$C$16&gt;0,'Casing Review'!AA16, " ")</f>
        <v/>
      </c>
      <c r="BE9" s="612">
        <f>IF('Casing Review'!$C$16&gt;0,'Casing Review'!AB16, " ")</f>
        <v/>
      </c>
      <c r="BF9" s="612">
        <f>IF('Casing Review'!$C$16&gt;0,'Casing Review'!AC16, " ")</f>
        <v/>
      </c>
      <c r="BG9" s="146">
        <f>IF('Casing Review'!$C$16&gt;0,'Casing Review'!AD16, " ")</f>
        <v/>
      </c>
    </row>
    <row r="10" ht="30.75" customHeight="1" s="613">
      <c r="A10" s="151" t="n"/>
      <c r="B10" s="151" t="n"/>
      <c r="C10" s="144" t="inlineStr">
        <is>
          <t>MW (ppg)</t>
        </is>
      </c>
      <c r="D10" s="139" t="inlineStr">
        <is>
          <t>Internal Grad. (psi)</t>
        </is>
      </c>
      <c r="E10" s="139" t="inlineStr">
        <is>
          <t>Backup Mud (ppg)</t>
        </is>
      </c>
      <c r="F10" s="140" t="inlineStr">
        <is>
          <t>Internal Mud (ppg)</t>
        </is>
      </c>
      <c r="G10" s="139" t="inlineStr">
        <is>
          <t>Max Shoe Pressure (psi)*</t>
        </is>
      </c>
      <c r="H10" s="139" t="inlineStr">
        <is>
          <t>CSG Wt (lbs/ft)</t>
        </is>
      </c>
      <c r="I10" s="140" t="inlineStr">
        <is>
          <t>CSG Grade</t>
        </is>
      </c>
      <c r="J10" s="139" t="inlineStr">
        <is>
          <t>CSG Collar</t>
        </is>
      </c>
      <c r="K10" s="140" t="inlineStr">
        <is>
          <t>Cement Lead (sx)</t>
        </is>
      </c>
      <c r="L10" s="139" t="inlineStr">
        <is>
          <t>Lead Yield</t>
        </is>
      </c>
      <c r="M10" s="731" t="inlineStr">
        <is>
          <t>Cement Tail (sx)</t>
        </is>
      </c>
      <c r="N10" s="732" t="inlineStr">
        <is>
          <t>Tail Yield</t>
        </is>
      </c>
      <c r="O10" s="449" t="n"/>
      <c r="P10" s="151" t="n"/>
      <c r="Q10" s="151" t="n"/>
      <c r="R10" s="144" t="inlineStr">
        <is>
          <t>MW (ppg)</t>
        </is>
      </c>
      <c r="S10" s="139" t="inlineStr">
        <is>
          <t>Internal Grad. (psi)</t>
        </is>
      </c>
      <c r="T10" s="139" t="inlineStr">
        <is>
          <t>Backup Mud (ppg)</t>
        </is>
      </c>
      <c r="U10" s="140" t="inlineStr">
        <is>
          <t>Internal Mud (ppg)</t>
        </is>
      </c>
      <c r="V10" s="139" t="inlineStr">
        <is>
          <t>Max Shoe Pressure (psi)*</t>
        </is>
      </c>
      <c r="W10" s="139" t="inlineStr">
        <is>
          <t>CSG Wt (lbs/ft)</t>
        </is>
      </c>
      <c r="X10" s="140" t="inlineStr">
        <is>
          <t>CSG Grade</t>
        </is>
      </c>
      <c r="Y10" s="139" t="inlineStr">
        <is>
          <t>CSG Collar</t>
        </is>
      </c>
      <c r="Z10" s="140" t="inlineStr">
        <is>
          <t>Cement Lead (sx)</t>
        </is>
      </c>
      <c r="AA10" s="139" t="inlineStr">
        <is>
          <t>Lead Yield</t>
        </is>
      </c>
      <c r="AB10" s="731" t="inlineStr">
        <is>
          <t>Cement Tail (sx)</t>
        </is>
      </c>
      <c r="AC10" s="732" t="inlineStr">
        <is>
          <t>Tail Yield</t>
        </is>
      </c>
      <c r="AD10" s="118" t="n"/>
      <c r="AE10" s="151" t="n"/>
      <c r="AF10" s="151" t="n"/>
      <c r="AG10" s="144" t="inlineStr">
        <is>
          <t>MW (ppg)</t>
        </is>
      </c>
      <c r="AH10" s="139" t="inlineStr">
        <is>
          <t>Internal Grad. (psi)</t>
        </is>
      </c>
      <c r="AI10" s="139" t="inlineStr">
        <is>
          <t>Backup Mud (ppg)</t>
        </is>
      </c>
      <c r="AJ10" s="140" t="inlineStr">
        <is>
          <t>Internal Mud (ppg)</t>
        </is>
      </c>
      <c r="AK10" s="139" t="inlineStr">
        <is>
          <t>Max Shoe Pressure (psi)*</t>
        </is>
      </c>
      <c r="AL10" s="139" t="inlineStr">
        <is>
          <t>CSG Wt (lbs/ft)</t>
        </is>
      </c>
      <c r="AM10" s="140" t="inlineStr">
        <is>
          <t>CSG Grade</t>
        </is>
      </c>
      <c r="AN10" s="139" t="inlineStr">
        <is>
          <t>CSG Collar</t>
        </is>
      </c>
      <c r="AO10" s="140" t="inlineStr">
        <is>
          <t>Cement Lead (sx)</t>
        </is>
      </c>
      <c r="AP10" s="139" t="inlineStr">
        <is>
          <t>Lead Yield</t>
        </is>
      </c>
      <c r="AQ10" s="731" t="inlineStr">
        <is>
          <t>Cement Tail (sx)</t>
        </is>
      </c>
      <c r="AR10" s="732" t="inlineStr">
        <is>
          <t>Tail Yield</t>
        </is>
      </c>
      <c r="AS10" s="612" t="n"/>
      <c r="AT10" s="151" t="n"/>
      <c r="AU10" s="151" t="n"/>
      <c r="AV10" s="144" t="inlineStr">
        <is>
          <t>MW (ppg)</t>
        </is>
      </c>
      <c r="AW10" s="139" t="inlineStr">
        <is>
          <t>Internal Grad. (psi)</t>
        </is>
      </c>
      <c r="AX10" s="139" t="inlineStr">
        <is>
          <t>Backup Mud (ppg)</t>
        </is>
      </c>
      <c r="AY10" s="140" t="inlineStr">
        <is>
          <t>Internal Mud (ppg)</t>
        </is>
      </c>
      <c r="AZ10" s="139" t="inlineStr">
        <is>
          <t>Max Shoe Pressure (psi)*</t>
        </is>
      </c>
      <c r="BA10" s="139" t="inlineStr">
        <is>
          <t>CSG Wt (lbs/ft)</t>
        </is>
      </c>
      <c r="BB10" s="140" t="inlineStr">
        <is>
          <t>CSG Grade</t>
        </is>
      </c>
      <c r="BC10" s="139" t="inlineStr">
        <is>
          <t>CSG Collar</t>
        </is>
      </c>
      <c r="BD10" s="140" t="inlineStr">
        <is>
          <t>Cement Lead (sx)</t>
        </is>
      </c>
      <c r="BE10" s="139" t="inlineStr">
        <is>
          <t>Lead Yield</t>
        </is>
      </c>
      <c r="BF10" s="731" t="inlineStr">
        <is>
          <t>Cement Tail (sx)</t>
        </is>
      </c>
      <c r="BG10" s="732" t="inlineStr">
        <is>
          <t>Tail Yield</t>
        </is>
      </c>
    </row>
    <row r="11">
      <c r="A11" s="151" t="n"/>
      <c r="B11" s="151" t="n"/>
      <c r="C11" s="733">
        <f>IF(AG11=0,"",AG11)</f>
        <v/>
      </c>
      <c r="D11" s="118">
        <f>IF(AH11=0,"",AH11)</f>
        <v/>
      </c>
      <c r="E11" s="729">
        <f>IF(AI11=0,"",AI11)</f>
        <v/>
      </c>
      <c r="F11" s="729">
        <f>IF(AJ11=0,"",AJ11)</f>
        <v/>
      </c>
      <c r="G11" s="612">
        <f>IF(AK11=0,"",AK11)</f>
        <v/>
      </c>
      <c r="H11" s="729">
        <f>IF(AL11=0,"",AL11)</f>
        <v/>
      </c>
      <c r="I11" s="612">
        <f>IF(AM11=0,"",AM11)</f>
        <v/>
      </c>
      <c r="J11" s="612">
        <f>IF(AN11=0,"",AN11)</f>
        <v/>
      </c>
      <c r="K11" s="612">
        <f>IF(AO11=0,"",AO11)</f>
        <v/>
      </c>
      <c r="L11" s="118">
        <f>IF(AP11=0,"",AP11)</f>
        <v/>
      </c>
      <c r="M11" s="612">
        <f>IF(AQ11=0,"",AQ11)</f>
        <v/>
      </c>
      <c r="N11" s="145">
        <f>IF(AR11=0,"",AR11)</f>
        <v/>
      </c>
      <c r="O11" s="449" t="n"/>
      <c r="P11" s="151" t="n"/>
      <c r="Q11" s="151" t="n"/>
      <c r="R11" s="733">
        <f>IF(AG11=0,"",AG11)</f>
        <v/>
      </c>
      <c r="S11" s="118">
        <f>IF(AH11=0,"",AH11)</f>
        <v/>
      </c>
      <c r="T11" s="729">
        <f>IF(AI11=0,"",AI11)</f>
        <v/>
      </c>
      <c r="U11" s="729">
        <f>IF(AJ11=0,"",AJ11)</f>
        <v/>
      </c>
      <c r="V11" s="612">
        <f>IF(AK11=0,"",AK11)</f>
        <v/>
      </c>
      <c r="W11" s="729">
        <f>IF(AL11=0,"",AL11)</f>
        <v/>
      </c>
      <c r="X11" s="612">
        <f>IF(AM11=0,"",AM11)</f>
        <v/>
      </c>
      <c r="Y11" s="612">
        <f>IF(AN11=0,"",AN11)</f>
        <v/>
      </c>
      <c r="Z11" s="612">
        <f>IF(AO11=0,"",AO11)</f>
        <v/>
      </c>
      <c r="AA11" s="118">
        <f>IF(AP11=0,"",AP11)</f>
        <v/>
      </c>
      <c r="AB11" s="612">
        <f>IF(AQ11=0,"",AQ11)</f>
        <v/>
      </c>
      <c r="AC11" s="145">
        <f>IF(AR11=0,"",AR11)</f>
        <v/>
      </c>
      <c r="AD11" s="118" t="n"/>
      <c r="AE11" s="151" t="n"/>
      <c r="AF11" s="151" t="n"/>
      <c r="AG11" s="733">
        <f>IF('Casing Review'!$C$12&gt;0,'Casing Review'!$B$18, " ")</f>
        <v/>
      </c>
      <c r="AH11" s="118">
        <f>IF('Casing Review'!$C$12&gt;0,'Casing Review'!$B$21, " ")</f>
        <v/>
      </c>
      <c r="AI11" s="729">
        <f>IF('Casing Review'!$C$12&gt;0,'Casing Review'!$B$22, " ")</f>
        <v/>
      </c>
      <c r="AJ11" s="729">
        <f>IF('Casing Review'!$C$12&gt;0,'Casing Review'!$B$23, " ")</f>
        <v/>
      </c>
      <c r="AK11" s="612">
        <f>IF('Casing Review'!$C$12&gt;0,'Casing Review'!$L$24, " ")</f>
        <v/>
      </c>
      <c r="AL11" s="612">
        <f>IF('Casing Review'!$C$12&gt;0,'Casing Review'!E$12, " ")</f>
        <v/>
      </c>
      <c r="AM11" s="612">
        <f>IF('Casing Review'!$C$12&gt;0,'Casing Review'!F$12, " ")</f>
        <v/>
      </c>
      <c r="AN11" s="612">
        <f>IF('Casing Review'!$C$12&gt;0,'Casing Review'!G$12, " ")</f>
        <v/>
      </c>
      <c r="AO11" s="612">
        <f>IF('Casing Review'!$C$12&gt;0,'Casing Review'!H$12, " ")</f>
        <v/>
      </c>
      <c r="AP11" s="734">
        <f>IF('Casing Review'!$C$12&gt;0,'Casing Review'!I$12, " ")</f>
        <v/>
      </c>
      <c r="AQ11" s="612">
        <f>IF('Casing Review'!$C$12&gt;0,'Casing Review'!J$12, " ")</f>
        <v/>
      </c>
      <c r="AR11" s="735">
        <f>IF('Casing Review'!$C$12&gt;0,'Casing Review'!K$12, " ")</f>
        <v/>
      </c>
      <c r="AS11" s="612" t="n"/>
      <c r="AT11" s="151" t="n"/>
      <c r="AU11" s="151" t="n"/>
      <c r="AV11" s="733">
        <f>IF(AG11=0,"",AG11)</f>
        <v/>
      </c>
      <c r="AW11" s="118">
        <f>IF(AH11=0,"",AH11)</f>
        <v/>
      </c>
      <c r="AX11" s="729">
        <f>IF(AI11=0,"",AI11)</f>
        <v/>
      </c>
      <c r="AY11" s="729">
        <f>IF(AJ11=0,"",AJ11)</f>
        <v/>
      </c>
      <c r="AZ11" s="612">
        <f>IF(AK11=0,"",AK11)</f>
        <v/>
      </c>
      <c r="BA11" s="729">
        <f>IF(AL11=0,"",AL11)</f>
        <v/>
      </c>
      <c r="BB11" s="612">
        <f>IF(AM11=0,"",AM11)</f>
        <v/>
      </c>
      <c r="BC11" s="612">
        <f>IF(AN11=0,"",AN11)</f>
        <v/>
      </c>
      <c r="BD11" s="612">
        <f>IF(AO11=0,"",AO11)</f>
        <v/>
      </c>
      <c r="BE11" s="118">
        <f>IF(AP11=0,"",AP11)</f>
        <v/>
      </c>
      <c r="BF11" s="612">
        <f>IF(AQ11=0,"",AQ11)</f>
        <v/>
      </c>
      <c r="BG11" s="145">
        <f>IF(AR11=0,"",AR11)</f>
        <v/>
      </c>
    </row>
    <row r="12">
      <c r="A12" s="151" t="n"/>
      <c r="B12" s="151" t="n"/>
      <c r="C12" s="117">
        <f>IF(AG12=0,"",AG12)</f>
        <v/>
      </c>
      <c r="D12" s="118">
        <f>IF(AH12=0,"",AH12)</f>
        <v/>
      </c>
      <c r="E12" s="729">
        <f>IF(AI12=0,"",AI12)</f>
        <v/>
      </c>
      <c r="F12" s="729">
        <f>IF(AJ12=0,"",AJ12)</f>
        <v/>
      </c>
      <c r="G12" s="612">
        <f>IF(AK12=0,"",AK12)</f>
        <v/>
      </c>
      <c r="H12" s="729">
        <f>IF(AL12=0,"",AL12)</f>
        <v/>
      </c>
      <c r="I12" s="612">
        <f>IF(AM12=0,"",AM12)</f>
        <v/>
      </c>
      <c r="J12" s="612">
        <f>IF(AN12=0,"",AN12)</f>
        <v/>
      </c>
      <c r="K12" s="612">
        <f>IF(AO12=0,"",AO12)</f>
        <v/>
      </c>
      <c r="L12" s="118">
        <f>IF(AP12=0,"",AP12)</f>
        <v/>
      </c>
      <c r="M12" s="612">
        <f>IF(AQ12=0,"",AQ12)</f>
        <v/>
      </c>
      <c r="N12" s="145">
        <f>IF(AR12=0,"",AR12)</f>
        <v/>
      </c>
      <c r="O12" s="449" t="n"/>
      <c r="P12" s="151" t="n"/>
      <c r="Q12" s="151" t="n"/>
      <c r="R12" s="733">
        <f>IF(AG12=0,"",AG12)</f>
        <v/>
      </c>
      <c r="S12" s="118">
        <f>IF(AH12=0,"",AH12)</f>
        <v/>
      </c>
      <c r="T12" s="729">
        <f>IF(AI12=0,"",AI12)</f>
        <v/>
      </c>
      <c r="U12" s="729">
        <f>IF(AJ12=0,"",AJ12)</f>
        <v/>
      </c>
      <c r="V12" s="612">
        <f>IF(AK12=0,"",AK12)</f>
        <v/>
      </c>
      <c r="W12" s="729">
        <f>IF(AL12=0,"",AL12)</f>
        <v/>
      </c>
      <c r="X12" s="612">
        <f>IF(AM12=0,"",AM12)</f>
        <v/>
      </c>
      <c r="Y12" s="612">
        <f>IF(AN12=0,"",AN12)</f>
        <v/>
      </c>
      <c r="Z12" s="612">
        <f>IF(AO12=0,"",AO12)</f>
        <v/>
      </c>
      <c r="AA12" s="118">
        <f>IF(AP12=0,"",AP12)</f>
        <v/>
      </c>
      <c r="AB12" s="612">
        <f>IF(AQ12=0,"",AQ12)</f>
        <v/>
      </c>
      <c r="AC12" s="145">
        <f>IF(AR12=0,"",AR12)</f>
        <v/>
      </c>
      <c r="AD12" s="118" t="n"/>
      <c r="AE12" s="151" t="n"/>
      <c r="AF12" s="151" t="n"/>
      <c r="AG12" s="117" t="n"/>
      <c r="AH12" s="612" t="n"/>
      <c r="AI12" s="612" t="n"/>
      <c r="AJ12" s="612" t="n"/>
      <c r="AK12" s="612" t="n"/>
      <c r="AL12" s="612">
        <f>IF('Casing Review'!$C$14&gt;0,'Casing Review'!E$14, " ")</f>
        <v/>
      </c>
      <c r="AM12" s="612">
        <f>IF('Casing Review'!$C$14&gt;0,'Casing Review'!F$14, " ")</f>
        <v/>
      </c>
      <c r="AN12" s="612">
        <f>IF('Casing Review'!$C$14&gt;0,'Casing Review'!G$14, " ")</f>
        <v/>
      </c>
      <c r="AO12" s="612">
        <f>IF('Casing Review'!$C$14&gt;0,'Casing Review'!H$14, " ")</f>
        <v/>
      </c>
      <c r="AP12" s="734">
        <f>IF('Casing Review'!$C$14&gt;0,'Casing Review'!I$14, " ")</f>
        <v/>
      </c>
      <c r="AQ12" s="612">
        <f>IF('Casing Review'!$C$14&gt;0,'Casing Review'!J$14, " ")</f>
        <v/>
      </c>
      <c r="AR12" s="735">
        <f>IF('Casing Review'!$C$14&gt;0,'Casing Review'!K$14, " ")</f>
        <v/>
      </c>
      <c r="AS12" s="612" t="n"/>
      <c r="AT12" s="151" t="n"/>
      <c r="AU12" s="151" t="n"/>
      <c r="AV12" s="733">
        <f>IF(AG12=0,"",AG12)</f>
        <v/>
      </c>
      <c r="AW12" s="118">
        <f>IF(AH12=0,"",AH12)</f>
        <v/>
      </c>
      <c r="AX12" s="729">
        <f>IF(AI12=0,"",AI12)</f>
        <v/>
      </c>
      <c r="AY12" s="729">
        <f>IF(AJ12=0,"",AJ12)</f>
        <v/>
      </c>
      <c r="AZ12" s="612">
        <f>IF(AK12=0,"",AK12)</f>
        <v/>
      </c>
      <c r="BA12" s="729">
        <f>IF(AL12=0,"",AL12)</f>
        <v/>
      </c>
      <c r="BB12" s="612">
        <f>IF(AM12=0,"",AM12)</f>
        <v/>
      </c>
      <c r="BC12" s="612">
        <f>IF(AN12=0,"",AN12)</f>
        <v/>
      </c>
      <c r="BD12" s="612">
        <f>IF(AO12=0,"",AO12)</f>
        <v/>
      </c>
      <c r="BE12" s="118">
        <f>IF(AP12=0,"",AP12)</f>
        <v/>
      </c>
      <c r="BF12" s="612">
        <f>IF(AQ12=0,"",AQ12)</f>
        <v/>
      </c>
      <c r="BG12" s="145">
        <f>IF(AR12=0,"",AR12)</f>
        <v/>
      </c>
    </row>
    <row r="13" ht="15.75" customHeight="1" s="613" thickBot="1">
      <c r="A13" s="151" t="n"/>
      <c r="B13" s="151" t="n"/>
      <c r="C13" s="119">
        <f>IF(AG13=0,"",AG13)</f>
        <v/>
      </c>
      <c r="D13" s="121">
        <f>IF(AH13=0,"",AH13)</f>
        <v/>
      </c>
      <c r="E13" s="736">
        <f>IF(AI13=0,"",AI13)</f>
        <v/>
      </c>
      <c r="F13" s="736">
        <f>IF(AJ13=0,"",AJ13)</f>
        <v/>
      </c>
      <c r="G13" s="120">
        <f>IF(AK13=0,"",AK13)</f>
        <v/>
      </c>
      <c r="H13" s="736">
        <f>IF(AL13=0,"",AL13)</f>
        <v/>
      </c>
      <c r="I13" s="120">
        <f>IF(AM13=0,"",AM13)</f>
        <v/>
      </c>
      <c r="J13" s="120">
        <f>IF(AN13=0,"",AN13)</f>
        <v/>
      </c>
      <c r="K13" s="120">
        <f>IF(AO13=0,"",AO13)</f>
        <v/>
      </c>
      <c r="L13" s="121">
        <f>IF(AP13=0,"",AP13)</f>
        <v/>
      </c>
      <c r="M13" s="120">
        <f>IF(AQ13=0,"",AQ13)</f>
        <v/>
      </c>
      <c r="N13" s="147">
        <f>IF(AR13=0,"",AR13)</f>
        <v/>
      </c>
      <c r="O13" s="449" t="n"/>
      <c r="P13" s="151" t="n"/>
      <c r="Q13" s="151" t="n"/>
      <c r="R13" s="737">
        <f>IF(AG13=0,"",AG13)</f>
        <v/>
      </c>
      <c r="S13" s="121">
        <f>IF(AH13=0,"",AH13)</f>
        <v/>
      </c>
      <c r="T13" s="736">
        <f>IF(AI13=0,"",AI13)</f>
        <v/>
      </c>
      <c r="U13" s="736">
        <f>IF(AJ13=0,"",AJ13)</f>
        <v/>
      </c>
      <c r="V13" s="120">
        <f>IF(AK13=0,"",AK13)</f>
        <v/>
      </c>
      <c r="W13" s="736">
        <f>IF(AL13=0,"",AL13)</f>
        <v/>
      </c>
      <c r="X13" s="120">
        <f>IF(AM13=0,"",AM13)</f>
        <v/>
      </c>
      <c r="Y13" s="120">
        <f>IF(AN13=0,"",AN13)</f>
        <v/>
      </c>
      <c r="Z13" s="120">
        <f>IF(AO13=0,"",AO13)</f>
        <v/>
      </c>
      <c r="AA13" s="121">
        <f>IF(AP13=0,"",AP13)</f>
        <v/>
      </c>
      <c r="AB13" s="120">
        <f>IF(AQ13=0,"",AQ13)</f>
        <v/>
      </c>
      <c r="AC13" s="147">
        <f>IF(AR13=0,"",AR13)</f>
        <v/>
      </c>
      <c r="AD13" s="118" t="n"/>
      <c r="AE13" s="151" t="n"/>
      <c r="AF13" s="151" t="n"/>
      <c r="AG13" s="119" t="n"/>
      <c r="AH13" s="120" t="n"/>
      <c r="AI13" s="120" t="n"/>
      <c r="AJ13" s="120" t="n"/>
      <c r="AK13" s="120" t="n"/>
      <c r="AL13" s="120">
        <f>IF('Casing Review'!$C$16&gt;0,'Casing Review'!E$16, " ")</f>
        <v/>
      </c>
      <c r="AM13" s="120">
        <f>IF('Casing Review'!$C$16&gt;0,'Casing Review'!F$16, " ")</f>
        <v/>
      </c>
      <c r="AN13" s="120">
        <f>IF('Casing Review'!$C$16&gt;0,'Casing Review'!G$16, " ")</f>
        <v/>
      </c>
      <c r="AO13" s="120">
        <f>IF('Casing Review'!$C$16&gt;0,'Casing Review'!H$16, " ")</f>
        <v/>
      </c>
      <c r="AP13" s="738">
        <f>IF('Casing Review'!$C$16&gt;0,'Casing Review'!I$16, " ")</f>
        <v/>
      </c>
      <c r="AQ13" s="120">
        <f>IF('Casing Review'!$C$16&gt;0,'Casing Review'!J$16, " ")</f>
        <v/>
      </c>
      <c r="AR13" s="739">
        <f>IF('Casing Review'!$C$16&gt;0,'Casing Review'!K$16, " ")</f>
        <v/>
      </c>
      <c r="AS13" s="612" t="n"/>
      <c r="AT13" s="151" t="n"/>
      <c r="AU13" s="151" t="n"/>
      <c r="AV13" s="737">
        <f>IF(AG13=0,"",AG13)</f>
        <v/>
      </c>
      <c r="AW13" s="121">
        <f>IF(AH13=0,"",AH13)</f>
        <v/>
      </c>
      <c r="AX13" s="736">
        <f>IF(AI13=0,"",AI13)</f>
        <v/>
      </c>
      <c r="AY13" s="736">
        <f>IF(AJ13=0,"",AJ13)</f>
        <v/>
      </c>
      <c r="AZ13" s="120">
        <f>IF(AK13=0,"",AK13)</f>
        <v/>
      </c>
      <c r="BA13" s="736">
        <f>IF(AL13=0,"",AL13)</f>
        <v/>
      </c>
      <c r="BB13" s="120">
        <f>IF(AM13=0,"",AM13)</f>
        <v/>
      </c>
      <c r="BC13" s="120">
        <f>IF(AN13=0,"",AN13)</f>
        <v/>
      </c>
      <c r="BD13" s="120">
        <f>IF(AO13=0,"",AO13)</f>
        <v/>
      </c>
      <c r="BE13" s="121">
        <f>IF(AP13=0,"",AP13)</f>
        <v/>
      </c>
      <c r="BF13" s="120">
        <f>IF(AQ13=0,"",AQ13)</f>
        <v/>
      </c>
      <c r="BG13" s="147">
        <f>IF(AR13=0,"",AR13)</f>
        <v/>
      </c>
    </row>
    <row r="14" ht="30" customHeight="1" s="613">
      <c r="A14" s="151" t="n"/>
      <c r="B14" s="151" t="n"/>
      <c r="C14" s="141" t="inlineStr">
        <is>
          <t>MASP</t>
        </is>
      </c>
      <c r="D14" s="142" t="inlineStr">
        <is>
          <t>Collapse Strength (psi)</t>
        </is>
      </c>
      <c r="E14" s="142" t="inlineStr">
        <is>
          <t>Collapse Load (psi)</t>
        </is>
      </c>
      <c r="F14" s="142" t="inlineStr">
        <is>
          <t>Collapse DF</t>
        </is>
      </c>
      <c r="G14" s="142" t="inlineStr">
        <is>
          <t>Burst Strength (psi)</t>
        </is>
      </c>
      <c r="H14" s="142" t="inlineStr">
        <is>
          <t>Burst Load (psi)</t>
        </is>
      </c>
      <c r="I14" s="142" t="inlineStr">
        <is>
          <t>Burst DF</t>
        </is>
      </c>
      <c r="J14" s="142" t="inlineStr">
        <is>
          <t>Tension Strength (kips)</t>
        </is>
      </c>
      <c r="K14" s="142" t="inlineStr">
        <is>
          <t>Tension DF</t>
        </is>
      </c>
      <c r="L14" s="142" t="inlineStr">
        <is>
          <t>Neutral Point (ft)</t>
        </is>
      </c>
      <c r="M14" s="142" t="inlineStr">
        <is>
          <t>Tension Air (kips)</t>
        </is>
      </c>
      <c r="N14" s="143" t="inlineStr">
        <is>
          <t>Tension Buoyed (kips)</t>
        </is>
      </c>
      <c r="O14" s="449" t="n"/>
      <c r="P14" s="151" t="n"/>
      <c r="Q14" s="151" t="n"/>
      <c r="R14" s="141" t="inlineStr">
        <is>
          <t>MASP</t>
        </is>
      </c>
      <c r="S14" s="142" t="inlineStr">
        <is>
          <t>Collapse Strength (psi)</t>
        </is>
      </c>
      <c r="T14" s="142" t="inlineStr">
        <is>
          <t>Collapse Load (psi)</t>
        </is>
      </c>
      <c r="U14" s="142" t="inlineStr">
        <is>
          <t>Collapse DF</t>
        </is>
      </c>
      <c r="V14" s="142" t="inlineStr">
        <is>
          <t>Burst Strength (psi)</t>
        </is>
      </c>
      <c r="W14" s="142" t="inlineStr">
        <is>
          <t>Burst Load (psi)</t>
        </is>
      </c>
      <c r="X14" s="142" t="inlineStr">
        <is>
          <t>Burst DF</t>
        </is>
      </c>
      <c r="Y14" s="142" t="inlineStr">
        <is>
          <t>Tension Strength (kips)</t>
        </is>
      </c>
      <c r="Z14" s="142" t="inlineStr">
        <is>
          <t>Tension DF</t>
        </is>
      </c>
      <c r="AA14" s="142" t="inlineStr">
        <is>
          <t>Neutral Point (ft)</t>
        </is>
      </c>
      <c r="AB14" s="142" t="inlineStr">
        <is>
          <t>Tension Air (kips)</t>
        </is>
      </c>
      <c r="AC14" s="143" t="inlineStr">
        <is>
          <t>Tension Buoyed (kips)</t>
        </is>
      </c>
      <c r="AD14" s="118" t="n"/>
      <c r="AE14" s="151" t="n"/>
      <c r="AF14" s="151" t="n"/>
      <c r="AG14" s="141" t="inlineStr">
        <is>
          <t>MASP</t>
        </is>
      </c>
      <c r="AH14" s="142" t="inlineStr">
        <is>
          <t>Collapse Strength (psi)</t>
        </is>
      </c>
      <c r="AI14" s="142" t="inlineStr">
        <is>
          <t>Collapse Load (psi)</t>
        </is>
      </c>
      <c r="AJ14" s="142" t="inlineStr">
        <is>
          <t>Collapse DF</t>
        </is>
      </c>
      <c r="AK14" s="142" t="inlineStr">
        <is>
          <t>Burst Strength (psi)</t>
        </is>
      </c>
      <c r="AL14" s="142" t="inlineStr">
        <is>
          <t>Burst Load (psi)</t>
        </is>
      </c>
      <c r="AM14" s="142" t="inlineStr">
        <is>
          <t>Burst DF</t>
        </is>
      </c>
      <c r="AN14" s="142" t="inlineStr">
        <is>
          <t>Tension Strength (kips)</t>
        </is>
      </c>
      <c r="AO14" s="142" t="inlineStr">
        <is>
          <t>Tension DF</t>
        </is>
      </c>
      <c r="AP14" s="142" t="inlineStr">
        <is>
          <t>Neutral Point (ft)</t>
        </is>
      </c>
      <c r="AQ14" s="142" t="inlineStr">
        <is>
          <t>Tension Air (kips)</t>
        </is>
      </c>
      <c r="AR14" s="143" t="inlineStr">
        <is>
          <t>Tension Buoyed (kips)</t>
        </is>
      </c>
      <c r="AS14" s="612" t="n"/>
      <c r="AT14" s="151" t="n"/>
      <c r="AU14" s="151" t="n"/>
      <c r="AV14" s="141" t="inlineStr">
        <is>
          <t>MASP</t>
        </is>
      </c>
      <c r="AW14" s="142" t="inlineStr">
        <is>
          <t>Collapse Strength (psi)</t>
        </is>
      </c>
      <c r="AX14" s="142" t="inlineStr">
        <is>
          <t>Collapse Load (psi)</t>
        </is>
      </c>
      <c r="AY14" s="142" t="inlineStr">
        <is>
          <t>Collapse DF</t>
        </is>
      </c>
      <c r="AZ14" s="142" t="inlineStr">
        <is>
          <t>Burst Strength (psi)</t>
        </is>
      </c>
      <c r="BA14" s="142" t="inlineStr">
        <is>
          <t>Burst Load (psi)</t>
        </is>
      </c>
      <c r="BB14" s="142" t="inlineStr">
        <is>
          <t>Burst DF</t>
        </is>
      </c>
      <c r="BC14" s="142" t="inlineStr">
        <is>
          <t>Tension Strength (kips)</t>
        </is>
      </c>
      <c r="BD14" s="142" t="inlineStr">
        <is>
          <t>Tension DF</t>
        </is>
      </c>
      <c r="BE14" s="142" t="inlineStr">
        <is>
          <t>Neutral Point (ft)</t>
        </is>
      </c>
      <c r="BF14" s="142" t="inlineStr">
        <is>
          <t>Tension Air (kips)</t>
        </is>
      </c>
      <c r="BG14" s="143" t="inlineStr">
        <is>
          <t>Tension Buoyed (kips)</t>
        </is>
      </c>
    </row>
    <row r="15">
      <c r="A15" s="151">
        <f>'Vertical WBD'!AD102</f>
        <v/>
      </c>
      <c r="B15" s="151" t="inlineStr">
        <is>
          <t>" Casing</t>
        </is>
      </c>
      <c r="C15" s="117">
        <f>IF('Casing Review'!$C$27&gt;0,'Casing Review'!S27, " ")</f>
        <v/>
      </c>
      <c r="D15" s="612">
        <f>IF('Casing Review'!$C$27&gt;0,'Casing Review'!T27, " ")</f>
        <v/>
      </c>
      <c r="E15" s="612">
        <f>IF('Casing Review'!$C$27&gt;0,'Casing Review'!U27, " ")</f>
        <v/>
      </c>
      <c r="F15" s="118">
        <f>IF('Casing Review'!$C$27&gt;0,'Casing Review'!V27, " ")</f>
        <v/>
      </c>
      <c r="G15" s="612">
        <f>IF('Casing Review'!$C$27&gt;0,'Casing Review'!W27, " ")</f>
        <v/>
      </c>
      <c r="H15" s="612">
        <f>IF('Casing Review'!$C$27&gt;0,'Casing Review'!X27, " ")</f>
        <v/>
      </c>
      <c r="I15" s="118">
        <f>IF('Casing Review'!$C$27&gt;0,'Casing Review'!Y27, " ")</f>
        <v/>
      </c>
      <c r="J15" s="612">
        <f>IF('Casing Review'!$C$27&gt;0,'Casing Review'!Z27, " ")</f>
        <v/>
      </c>
      <c r="K15" s="118">
        <f>IF('Casing Review'!$C$27&gt;0,'Casing Review'!AA27, " ")</f>
        <v/>
      </c>
      <c r="L15" s="612">
        <f>IF('Casing Review'!$C$27&gt;0,'Casing Review'!AB27, " ")</f>
        <v/>
      </c>
      <c r="M15" s="729">
        <f>IF('Casing Review'!$C$27&gt;0,'Casing Review'!AC27, " ")</f>
        <v/>
      </c>
      <c r="N15" s="730">
        <f>IF('Casing Review'!$C$27&gt;0,'Casing Review'!AD27, " ")</f>
        <v/>
      </c>
      <c r="O15" s="449" t="n"/>
      <c r="P15" s="151">
        <f>'Vertical WBD'!AU111</f>
        <v/>
      </c>
      <c r="Q15" s="151" t="inlineStr">
        <is>
          <t>" Casing</t>
        </is>
      </c>
      <c r="R15" s="117">
        <f>IF('Casing Review'!$C$27&gt;0,'Casing Review'!S27, " ")</f>
        <v/>
      </c>
      <c r="S15" s="612">
        <f>IF('Casing Review'!$C$27&gt;0,'Casing Review'!T27, " ")</f>
        <v/>
      </c>
      <c r="T15" s="612">
        <f>IF('Casing Review'!$C$27&gt;0,'Casing Review'!U27, " ")</f>
        <v/>
      </c>
      <c r="U15" s="118">
        <f>IF('Casing Review'!$C$27&gt;0,'Casing Review'!V27, " ")</f>
        <v/>
      </c>
      <c r="V15" s="612">
        <f>IF('Casing Review'!$C$27&gt;0,'Casing Review'!W27, " ")</f>
        <v/>
      </c>
      <c r="W15" s="612">
        <f>IF('Casing Review'!$C$27&gt;0,'Casing Review'!X27, " ")</f>
        <v/>
      </c>
      <c r="X15" s="118">
        <f>IF('Casing Review'!$C$27&gt;0,'Casing Review'!Y27, " ")</f>
        <v/>
      </c>
      <c r="Y15" s="612">
        <f>IF('Casing Review'!$C$27&gt;0,'Casing Review'!Z27, " ")</f>
        <v/>
      </c>
      <c r="Z15" s="118">
        <f>IF('Casing Review'!$C$27&gt;0,'Casing Review'!AA27, " ")</f>
        <v/>
      </c>
      <c r="AA15" s="612">
        <f>IF('Casing Review'!$C$27&gt;0,'Casing Review'!AB27, " ")</f>
        <v/>
      </c>
      <c r="AB15" s="729">
        <f>IF('Casing Review'!$C$27&gt;0,'Casing Review'!AC27, " ")</f>
        <v/>
      </c>
      <c r="AC15" s="730">
        <f>IF('Casing Review'!$C$27&gt;0,'Casing Review'!AD27, " ")</f>
        <v/>
      </c>
      <c r="AD15" s="118" t="n"/>
      <c r="AE15" s="151">
        <f>'Vertical WBD'!BL99</f>
        <v/>
      </c>
      <c r="AF15" s="151" t="inlineStr">
        <is>
          <t>" Casing</t>
        </is>
      </c>
      <c r="AG15" s="117">
        <f>IF('Casing Review'!$C$27&gt;0,'Casing Review'!S27, " ")</f>
        <v/>
      </c>
      <c r="AH15" s="612">
        <f>IF('Casing Review'!$C$27&gt;0,'Casing Review'!T27, " ")</f>
        <v/>
      </c>
      <c r="AI15" s="612">
        <f>IF('Casing Review'!$C$27&gt;0,'Casing Review'!U27, " ")</f>
        <v/>
      </c>
      <c r="AJ15" s="118">
        <f>IF('Casing Review'!$C$27&gt;0,'Casing Review'!V27, " ")</f>
        <v/>
      </c>
      <c r="AK15" s="612">
        <f>IF('Casing Review'!$C$27&gt;0,'Casing Review'!W27, " ")</f>
        <v/>
      </c>
      <c r="AL15" s="612">
        <f>IF('Casing Review'!$C$27&gt;0,'Casing Review'!X27, " ")</f>
        <v/>
      </c>
      <c r="AM15" s="118">
        <f>IF('Casing Review'!$C$27&gt;0,'Casing Review'!Y27, " ")</f>
        <v/>
      </c>
      <c r="AN15" s="612">
        <f>IF('Casing Review'!$C$27&gt;0,'Casing Review'!Z27, " ")</f>
        <v/>
      </c>
      <c r="AO15" s="118">
        <f>IF('Casing Review'!$C$27&gt;0,'Casing Review'!AA27, " ")</f>
        <v/>
      </c>
      <c r="AP15" s="612">
        <f>IF('Casing Review'!$C$27&gt;0,'Casing Review'!AB27, " ")</f>
        <v/>
      </c>
      <c r="AQ15" s="729">
        <f>IF('Casing Review'!$C$27&gt;0,'Casing Review'!AC27, " ")</f>
        <v/>
      </c>
      <c r="AR15" s="730">
        <f>IF('Casing Review'!$C$27&gt;0,'Casing Review'!AD27, " ")</f>
        <v/>
      </c>
      <c r="AS15" s="612" t="n"/>
      <c r="AT15" s="151">
        <f>'Vertical WBD'!CC123</f>
        <v/>
      </c>
      <c r="AU15" s="151" t="inlineStr">
        <is>
          <t>" Casing</t>
        </is>
      </c>
      <c r="AV15" s="117">
        <f>IF('Casing Review'!$C$27&gt;0,'Casing Review'!S27, " ")</f>
        <v/>
      </c>
      <c r="AW15" s="612">
        <f>IF('Casing Review'!$C$27&gt;0,'Casing Review'!T27, " ")</f>
        <v/>
      </c>
      <c r="AX15" s="612">
        <f>IF('Casing Review'!$C$27&gt;0,'Casing Review'!U27, " ")</f>
        <v/>
      </c>
      <c r="AY15" s="118">
        <f>IF('Casing Review'!$C$27&gt;0,'Casing Review'!V27, " ")</f>
        <v/>
      </c>
      <c r="AZ15" s="612">
        <f>IF('Casing Review'!$C$27&gt;0,'Casing Review'!W27, " ")</f>
        <v/>
      </c>
      <c r="BA15" s="612">
        <f>IF('Casing Review'!$C$27&gt;0,'Casing Review'!X27, " ")</f>
        <v/>
      </c>
      <c r="BB15" s="118">
        <f>IF('Casing Review'!$C$27&gt;0,'Casing Review'!Y27, " ")</f>
        <v/>
      </c>
      <c r="BC15" s="612">
        <f>IF('Casing Review'!$C$27&gt;0,'Casing Review'!Z27, " ")</f>
        <v/>
      </c>
      <c r="BD15" s="118">
        <f>IF('Casing Review'!$C$27&gt;0,'Casing Review'!AA27, " ")</f>
        <v/>
      </c>
      <c r="BE15" s="612">
        <f>IF('Casing Review'!$C$27&gt;0,'Casing Review'!AB27, " ")</f>
        <v/>
      </c>
      <c r="BF15" s="729">
        <f>IF('Casing Review'!$C$27&gt;0,'Casing Review'!AC27, " ")</f>
        <v/>
      </c>
      <c r="BG15" s="730">
        <f>IF('Casing Review'!$C$27&gt;0,'Casing Review'!AD27, " ")</f>
        <v/>
      </c>
    </row>
    <row r="16">
      <c r="A16" s="151" t="n"/>
      <c r="B16" s="151" t="n"/>
      <c r="C16" s="117" t="n"/>
      <c r="D16" s="612">
        <f>IF('Casing Review'!$C$29&gt;0,'Casing Review'!T29, " ")</f>
        <v/>
      </c>
      <c r="E16" s="612">
        <f>IF('Casing Review'!$C$29&gt;0,'Casing Review'!U29, " ")</f>
        <v/>
      </c>
      <c r="F16" s="118">
        <f>IF('Casing Review'!$C$29&gt;0,'Casing Review'!V29, " ")</f>
        <v/>
      </c>
      <c r="G16" s="612">
        <f>IF('Casing Review'!$C$29&gt;0,'Casing Review'!W29, " ")</f>
        <v/>
      </c>
      <c r="H16" s="612">
        <f>IF('Casing Review'!$C$29&gt;0,'Casing Review'!X29, " ")</f>
        <v/>
      </c>
      <c r="I16" s="118">
        <f>IF('Casing Review'!$C$29&gt;0,'Casing Review'!Y29, " ")</f>
        <v/>
      </c>
      <c r="J16" s="612">
        <f>IF('Casing Review'!$C$29&gt;0,'Casing Review'!Z29, " ")</f>
        <v/>
      </c>
      <c r="K16" s="118">
        <f>IF('Casing Review'!$C$29&gt;0,'Casing Review'!AA29, " ")</f>
        <v/>
      </c>
      <c r="L16" s="612">
        <f>IF('Casing Review'!$C$29&gt;0,'Casing Review'!AB29, " ")</f>
        <v/>
      </c>
      <c r="M16" s="729">
        <f>IF('Casing Review'!$C$29&gt;0,'Casing Review'!AC29, " ")</f>
        <v/>
      </c>
      <c r="N16" s="730">
        <f>IF('Casing Review'!$C$29&gt;0,'Casing Review'!AD29, " ")</f>
        <v/>
      </c>
      <c r="O16" s="449" t="n"/>
      <c r="P16" s="151" t="n"/>
      <c r="Q16" s="151" t="n"/>
      <c r="R16" s="117" t="n"/>
      <c r="S16" s="612">
        <f>IF('Casing Review'!$C$29&gt;0,'Casing Review'!T29, " ")</f>
        <v/>
      </c>
      <c r="T16" s="612">
        <f>IF('Casing Review'!$C$29&gt;0,'Casing Review'!U29, " ")</f>
        <v/>
      </c>
      <c r="U16" s="118">
        <f>IF('Casing Review'!$C$29&gt;0,'Casing Review'!V29, " ")</f>
        <v/>
      </c>
      <c r="V16" s="612">
        <f>IF('Casing Review'!$C$29&gt;0,'Casing Review'!W29, " ")</f>
        <v/>
      </c>
      <c r="W16" s="612">
        <f>IF('Casing Review'!$C$29&gt;0,'Casing Review'!X29, " ")</f>
        <v/>
      </c>
      <c r="X16" s="118">
        <f>IF('Casing Review'!$C$29&gt;0,'Casing Review'!Y29, " ")</f>
        <v/>
      </c>
      <c r="Y16" s="612">
        <f>IF('Casing Review'!$C$29&gt;0,'Casing Review'!Z29, " ")</f>
        <v/>
      </c>
      <c r="Z16" s="118">
        <f>IF('Casing Review'!$C$29&gt;0,'Casing Review'!AA29, " ")</f>
        <v/>
      </c>
      <c r="AA16" s="612">
        <f>IF('Casing Review'!$C$29&gt;0,'Casing Review'!AB29, " ")</f>
        <v/>
      </c>
      <c r="AB16" s="729">
        <f>IF('Casing Review'!$C$29&gt;0,'Casing Review'!AC29, " ")</f>
        <v/>
      </c>
      <c r="AC16" s="730">
        <f>IF('Casing Review'!$C$29&gt;0,'Casing Review'!AD29, " ")</f>
        <v/>
      </c>
      <c r="AD16" s="118" t="n"/>
      <c r="AE16" s="151" t="n"/>
      <c r="AF16" s="151" t="n"/>
      <c r="AG16" s="117" t="n"/>
      <c r="AH16" s="612">
        <f>IF('Casing Review'!$C$29&gt;0,'Casing Review'!T29, " ")</f>
        <v/>
      </c>
      <c r="AI16" s="612">
        <f>IF('Casing Review'!$C$29&gt;0,'Casing Review'!U29, " ")</f>
        <v/>
      </c>
      <c r="AJ16" s="118">
        <f>IF('Casing Review'!$C$29&gt;0,'Casing Review'!V29, " ")</f>
        <v/>
      </c>
      <c r="AK16" s="612">
        <f>IF('Casing Review'!$C$29&gt;0,'Casing Review'!W29, " ")</f>
        <v/>
      </c>
      <c r="AL16" s="612">
        <f>IF('Casing Review'!$C$29&gt;0,'Casing Review'!X29, " ")</f>
        <v/>
      </c>
      <c r="AM16" s="118">
        <f>IF('Casing Review'!$C$29&gt;0,'Casing Review'!Y29, " ")</f>
        <v/>
      </c>
      <c r="AN16" s="612">
        <f>IF('Casing Review'!$C$29&gt;0,'Casing Review'!Z29, " ")</f>
        <v/>
      </c>
      <c r="AO16" s="118">
        <f>IF('Casing Review'!$C$29&gt;0,'Casing Review'!AA29, " ")</f>
        <v/>
      </c>
      <c r="AP16" s="612">
        <f>IF('Casing Review'!$C$29&gt;0,'Casing Review'!AB29, " ")</f>
        <v/>
      </c>
      <c r="AQ16" s="729">
        <f>IF('Casing Review'!$C$29&gt;0,'Casing Review'!AC29, " ")</f>
        <v/>
      </c>
      <c r="AR16" s="730">
        <f>IF('Casing Review'!$C$29&gt;0,'Casing Review'!AD29, " ")</f>
        <v/>
      </c>
      <c r="AS16" s="612" t="n"/>
      <c r="AV16" s="117" t="n"/>
      <c r="AW16" s="612">
        <f>IF('Casing Review'!$C$29&gt;0,'Casing Review'!T29, " ")</f>
        <v/>
      </c>
      <c r="AX16" s="612">
        <f>IF('Casing Review'!$C$29&gt;0,'Casing Review'!U29, " ")</f>
        <v/>
      </c>
      <c r="AY16" s="118">
        <f>IF('Casing Review'!$C$29&gt;0,'Casing Review'!V29, " ")</f>
        <v/>
      </c>
      <c r="AZ16" s="612">
        <f>IF('Casing Review'!$C$29&gt;0,'Casing Review'!W29, " ")</f>
        <v/>
      </c>
      <c r="BA16" s="612">
        <f>IF('Casing Review'!$C$29&gt;0,'Casing Review'!X29, " ")</f>
        <v/>
      </c>
      <c r="BB16" s="118">
        <f>IF('Casing Review'!$C$29&gt;0,'Casing Review'!Y29, " ")</f>
        <v/>
      </c>
      <c r="BC16" s="612">
        <f>IF('Casing Review'!$C$29&gt;0,'Casing Review'!Z29, " ")</f>
        <v/>
      </c>
      <c r="BD16" s="118">
        <f>IF('Casing Review'!$C$29&gt;0,'Casing Review'!AA29, " ")</f>
        <v/>
      </c>
      <c r="BE16" s="612">
        <f>IF('Casing Review'!$C$29&gt;0,'Casing Review'!AB29, " ")</f>
        <v/>
      </c>
      <c r="BF16" s="729">
        <f>IF('Casing Review'!$C$29&gt;0,'Casing Review'!AC29, " ")</f>
        <v/>
      </c>
      <c r="BG16" s="730">
        <f>IF('Casing Review'!$C$29&gt;0,'Casing Review'!AD29, " ")</f>
        <v/>
      </c>
    </row>
    <row r="17">
      <c r="A17" s="151" t="n"/>
      <c r="B17" s="151" t="n"/>
      <c r="C17" s="117" t="n"/>
      <c r="D17" s="612">
        <f>IF('Casing Review'!$C$31&gt;0,'Casing Review'!T31, " ")</f>
        <v/>
      </c>
      <c r="E17" s="612">
        <f>IF('Casing Review'!$C$31&gt;0,'Casing Review'!U31, " ")</f>
        <v/>
      </c>
      <c r="F17" s="118">
        <f>IF('Casing Review'!$C$31&gt;0,'Casing Review'!V31, " ")</f>
        <v/>
      </c>
      <c r="G17" s="612">
        <f>IF('Casing Review'!$C$31&gt;0,'Casing Review'!W31, " ")</f>
        <v/>
      </c>
      <c r="H17" s="612">
        <f>IF('Casing Review'!$C$31&gt;0,'Casing Review'!X31, " ")</f>
        <v/>
      </c>
      <c r="I17" s="118">
        <f>IF('Casing Review'!$C$31&gt;0,'Casing Review'!Y31, " ")</f>
        <v/>
      </c>
      <c r="J17" s="612">
        <f>IF('Casing Review'!$C$31&gt;0,'Casing Review'!Z31, " ")</f>
        <v/>
      </c>
      <c r="K17" s="118">
        <f>IF('Casing Review'!$C$31&gt;0,'Casing Review'!AA31, " ")</f>
        <v/>
      </c>
      <c r="L17" s="612">
        <f>IF('Casing Review'!$C$31&gt;0,'Casing Review'!AB31, " ")</f>
        <v/>
      </c>
      <c r="M17" s="612">
        <f>IF('Casing Review'!$C$31&gt;0,'Casing Review'!AC31, " ")</f>
        <v/>
      </c>
      <c r="N17" s="730">
        <f>IF('Casing Review'!$C$31&gt;0,'Casing Review'!AD31, " ")</f>
        <v/>
      </c>
      <c r="O17" s="449" t="n"/>
      <c r="P17" s="151" t="n"/>
      <c r="Q17" s="151" t="n"/>
      <c r="R17" s="117" t="n"/>
      <c r="S17" s="612">
        <f>IF('Casing Review'!$C$31&gt;0,'Casing Review'!T31, " ")</f>
        <v/>
      </c>
      <c r="T17" s="612">
        <f>IF('Casing Review'!$C$31&gt;0,'Casing Review'!U31, " ")</f>
        <v/>
      </c>
      <c r="U17" s="118">
        <f>IF('Casing Review'!$C$31&gt;0,'Casing Review'!V31, " ")</f>
        <v/>
      </c>
      <c r="V17" s="612">
        <f>IF('Casing Review'!$C$31&gt;0,'Casing Review'!W31, " ")</f>
        <v/>
      </c>
      <c r="W17" s="612">
        <f>IF('Casing Review'!$C$31&gt;0,'Casing Review'!X31, " ")</f>
        <v/>
      </c>
      <c r="X17" s="118">
        <f>IF('Casing Review'!$C$31&gt;0,'Casing Review'!Y31, " ")</f>
        <v/>
      </c>
      <c r="Y17" s="612">
        <f>IF('Casing Review'!$C$31&gt;0,'Casing Review'!Z31, " ")</f>
        <v/>
      </c>
      <c r="Z17" s="118">
        <f>IF('Casing Review'!$C$31&gt;0,'Casing Review'!AA31, " ")</f>
        <v/>
      </c>
      <c r="AA17" s="612">
        <f>IF('Casing Review'!$C$31&gt;0,'Casing Review'!AB31, " ")</f>
        <v/>
      </c>
      <c r="AB17" s="729">
        <f>IF('Casing Review'!$C$31&gt;0,'Casing Review'!AC31, " ")</f>
        <v/>
      </c>
      <c r="AC17" s="730">
        <f>IF('Casing Review'!$C$31&gt;0,'Casing Review'!AD31, " ")</f>
        <v/>
      </c>
      <c r="AD17" s="118" t="n"/>
      <c r="AE17" s="151" t="n"/>
      <c r="AF17" s="151" t="n"/>
      <c r="AG17" s="117" t="n"/>
      <c r="AH17" s="612">
        <f>IF('Casing Review'!$C$31&gt;0,'Casing Review'!T31, " ")</f>
        <v/>
      </c>
      <c r="AI17" s="612">
        <f>IF('Casing Review'!$C$31&gt;0,'Casing Review'!U31, " ")</f>
        <v/>
      </c>
      <c r="AJ17" s="118">
        <f>IF('Casing Review'!$C$31&gt;0,'Casing Review'!V31, " ")</f>
        <v/>
      </c>
      <c r="AK17" s="612">
        <f>IF('Casing Review'!$C$31&gt;0,'Casing Review'!W31, " ")</f>
        <v/>
      </c>
      <c r="AL17" s="612">
        <f>IF('Casing Review'!$C$31&gt;0,'Casing Review'!X31, " ")</f>
        <v/>
      </c>
      <c r="AM17" s="118">
        <f>IF('Casing Review'!$C$31&gt;0,'Casing Review'!Y31, " ")</f>
        <v/>
      </c>
      <c r="AN17" s="612">
        <f>IF('Casing Review'!$C$31&gt;0,'Casing Review'!Z31, " ")</f>
        <v/>
      </c>
      <c r="AO17" s="118">
        <f>IF('Casing Review'!$C$31&gt;0,'Casing Review'!AA31, " ")</f>
        <v/>
      </c>
      <c r="AP17" s="612">
        <f>IF('Casing Review'!$C$31&gt;0,'Casing Review'!AB31, " ")</f>
        <v/>
      </c>
      <c r="AQ17" s="729">
        <f>IF('Casing Review'!$C$31&gt;0,'Casing Review'!AC31, " ")</f>
        <v/>
      </c>
      <c r="AR17" s="730">
        <f>IF('Casing Review'!$C$31&gt;0,'Casing Review'!AD31, " ")</f>
        <v/>
      </c>
      <c r="AS17" s="612" t="n"/>
      <c r="AV17" s="117" t="n"/>
      <c r="AW17" s="612">
        <f>IF('Casing Review'!$C$31&gt;0,'Casing Review'!T31, " ")</f>
        <v/>
      </c>
      <c r="AX17" s="612">
        <f>IF('Casing Review'!$C$31&gt;0,'Casing Review'!U31, " ")</f>
        <v/>
      </c>
      <c r="AY17" s="118">
        <f>IF('Casing Review'!$C$31&gt;0,'Casing Review'!V31, " ")</f>
        <v/>
      </c>
      <c r="AZ17" s="612">
        <f>IF('Casing Review'!$C$31&gt;0,'Casing Review'!W31, " ")</f>
        <v/>
      </c>
      <c r="BA17" s="612">
        <f>IF('Casing Review'!$C$31&gt;0,'Casing Review'!X31, " ")</f>
        <v/>
      </c>
      <c r="BB17" s="118">
        <f>IF('Casing Review'!$C$31&gt;0,'Casing Review'!Y31, " ")</f>
        <v/>
      </c>
      <c r="BC17" s="612">
        <f>IF('Casing Review'!$C$31&gt;0,'Casing Review'!Z31, " ")</f>
        <v/>
      </c>
      <c r="BD17" s="118">
        <f>IF('Casing Review'!$C$31&gt;0,'Casing Review'!AA31, " ")</f>
        <v/>
      </c>
      <c r="BE17" s="612">
        <f>IF('Casing Review'!$C$31&gt;0,'Casing Review'!AB31, " ")</f>
        <v/>
      </c>
      <c r="BF17" s="729">
        <f>IF('Casing Review'!$C$31&gt;0,'Casing Review'!AC31, " ")</f>
        <v/>
      </c>
      <c r="BG17" s="730">
        <f>IF('Casing Review'!$C$31&gt;0,'Casing Review'!AD31, " ")</f>
        <v/>
      </c>
    </row>
    <row r="18" ht="30" customHeight="1" s="613">
      <c r="A18" s="151" t="n"/>
      <c r="B18" s="151" t="n"/>
      <c r="C18" s="144" t="inlineStr">
        <is>
          <t>MW (ppg)</t>
        </is>
      </c>
      <c r="D18" s="139" t="inlineStr">
        <is>
          <t>Internal Grad. (psi)</t>
        </is>
      </c>
      <c r="E18" s="139" t="inlineStr">
        <is>
          <t>Backup Mud (ppg)</t>
        </is>
      </c>
      <c r="F18" s="140" t="inlineStr">
        <is>
          <t>Internal Mud (ppg)</t>
        </is>
      </c>
      <c r="G18" s="139" t="inlineStr">
        <is>
          <t>Max Shoe Pressure (psi)*</t>
        </is>
      </c>
      <c r="H18" s="139" t="inlineStr">
        <is>
          <t>CSG Wt (lbs/ft)</t>
        </is>
      </c>
      <c r="I18" s="140" t="inlineStr">
        <is>
          <t>CSG Grade</t>
        </is>
      </c>
      <c r="J18" s="139" t="inlineStr">
        <is>
          <t>CSG Collar</t>
        </is>
      </c>
      <c r="K18" s="140" t="inlineStr">
        <is>
          <t>Cement Lead (sx)</t>
        </is>
      </c>
      <c r="L18" s="139" t="inlineStr">
        <is>
          <t>Lead Yield</t>
        </is>
      </c>
      <c r="M18" s="731" t="inlineStr">
        <is>
          <t>Cement Tail (sx)</t>
        </is>
      </c>
      <c r="N18" s="732" t="inlineStr">
        <is>
          <t>Tail Yield</t>
        </is>
      </c>
      <c r="O18" s="449" t="n"/>
      <c r="P18" s="151" t="n"/>
      <c r="Q18" s="151" t="n"/>
      <c r="R18" s="144" t="inlineStr">
        <is>
          <t>MW (ppg)</t>
        </is>
      </c>
      <c r="S18" s="139" t="inlineStr">
        <is>
          <t>Internal Grad. (psi)</t>
        </is>
      </c>
      <c r="T18" s="139" t="inlineStr">
        <is>
          <t>Backup Mud (ppg)</t>
        </is>
      </c>
      <c r="U18" s="140" t="inlineStr">
        <is>
          <t>Internal Mud (ppg)</t>
        </is>
      </c>
      <c r="V18" s="139" t="inlineStr">
        <is>
          <t>Max Shoe Pressure (psi)*</t>
        </is>
      </c>
      <c r="W18" s="139" t="inlineStr">
        <is>
          <t>CSG Wt (lbs/ft)</t>
        </is>
      </c>
      <c r="X18" s="140" t="inlineStr">
        <is>
          <t>CSG Grade</t>
        </is>
      </c>
      <c r="Y18" s="139" t="inlineStr">
        <is>
          <t>CSG Collar</t>
        </is>
      </c>
      <c r="Z18" s="140" t="inlineStr">
        <is>
          <t>Cement Lead (sx)</t>
        </is>
      </c>
      <c r="AA18" s="139" t="inlineStr">
        <is>
          <t>Lead Yield</t>
        </is>
      </c>
      <c r="AB18" s="731" t="inlineStr">
        <is>
          <t>Cement Tail (sx)</t>
        </is>
      </c>
      <c r="AC18" s="732" t="inlineStr">
        <is>
          <t>Tail Yield</t>
        </is>
      </c>
      <c r="AD18" s="118" t="n"/>
      <c r="AE18" s="151" t="n"/>
      <c r="AF18" s="151" t="n"/>
      <c r="AG18" s="144" t="inlineStr">
        <is>
          <t>MW (ppg)</t>
        </is>
      </c>
      <c r="AH18" s="139" t="inlineStr">
        <is>
          <t>Internal Grad. (psi)</t>
        </is>
      </c>
      <c r="AI18" s="139" t="inlineStr">
        <is>
          <t>Backup Mud (ppg)</t>
        </is>
      </c>
      <c r="AJ18" s="140" t="inlineStr">
        <is>
          <t>Internal Mud (ppg)</t>
        </is>
      </c>
      <c r="AK18" s="139" t="inlineStr">
        <is>
          <t>Max Shoe Pressure (psi)*</t>
        </is>
      </c>
      <c r="AL18" s="139" t="inlineStr">
        <is>
          <t>CSG Wt (lbs/ft)</t>
        </is>
      </c>
      <c r="AM18" s="140" t="inlineStr">
        <is>
          <t>CSG Grade</t>
        </is>
      </c>
      <c r="AN18" s="139" t="inlineStr">
        <is>
          <t>CSG Collar</t>
        </is>
      </c>
      <c r="AO18" s="140" t="inlineStr">
        <is>
          <t>Cement Lead (sx)</t>
        </is>
      </c>
      <c r="AP18" s="139" t="inlineStr">
        <is>
          <t>Lead Yield</t>
        </is>
      </c>
      <c r="AQ18" s="731" t="inlineStr">
        <is>
          <t>Cement Tail (sx)</t>
        </is>
      </c>
      <c r="AR18" s="732" t="inlineStr">
        <is>
          <t>Tail Yield</t>
        </is>
      </c>
      <c r="AS18" s="612" t="n"/>
      <c r="AV18" s="144" t="inlineStr">
        <is>
          <t>MW (ppg)</t>
        </is>
      </c>
      <c r="AW18" s="139" t="inlineStr">
        <is>
          <t>Internal Grad. (psi)</t>
        </is>
      </c>
      <c r="AX18" s="139" t="inlineStr">
        <is>
          <t>Backup Mud (ppg)</t>
        </is>
      </c>
      <c r="AY18" s="140" t="inlineStr">
        <is>
          <t>Internal Mud (ppg)</t>
        </is>
      </c>
      <c r="AZ18" s="139" t="inlineStr">
        <is>
          <t>Max Shoe Pressure (psi)*</t>
        </is>
      </c>
      <c r="BA18" s="139" t="inlineStr">
        <is>
          <t>CSG Wt (lbs/ft)</t>
        </is>
      </c>
      <c r="BB18" s="140" t="inlineStr">
        <is>
          <t>CSG Grade</t>
        </is>
      </c>
      <c r="BC18" s="139" t="inlineStr">
        <is>
          <t>CSG Collar</t>
        </is>
      </c>
      <c r="BD18" s="140" t="inlineStr">
        <is>
          <t>Cement Lead (sx)</t>
        </is>
      </c>
      <c r="BE18" s="139" t="inlineStr">
        <is>
          <t>Lead Yield</t>
        </is>
      </c>
      <c r="BF18" s="731" t="inlineStr">
        <is>
          <t>Cement Tail (sx)</t>
        </is>
      </c>
      <c r="BG18" s="732" t="inlineStr">
        <is>
          <t>Tail Yield</t>
        </is>
      </c>
    </row>
    <row r="19">
      <c r="A19" s="151" t="n"/>
      <c r="B19" s="151" t="n"/>
      <c r="C19" s="733">
        <f>IF(AG19=0,"",AG19)</f>
        <v/>
      </c>
      <c r="D19" s="118">
        <f>IF(AH19=0,"",AH19)</f>
        <v/>
      </c>
      <c r="E19" s="729">
        <f>IF(AI19=0,"",AI19)</f>
        <v/>
      </c>
      <c r="F19" s="729">
        <f>IF(AJ19=0,"",AJ19)</f>
        <v/>
      </c>
      <c r="G19" s="612">
        <f>IF(AK19=0,"",AK19)</f>
        <v/>
      </c>
      <c r="H19" s="729">
        <f>IF(AL19=0,"",AL19)</f>
        <v/>
      </c>
      <c r="I19" s="612">
        <f>IF(AM19=0,"",AM19)</f>
        <v/>
      </c>
      <c r="J19" s="612">
        <f>IF(AN19=0,"",AN19)</f>
        <v/>
      </c>
      <c r="K19" s="612">
        <f>IF(AO19=0,"",AO19)</f>
        <v/>
      </c>
      <c r="L19" s="118">
        <f>IF(AP19=0,"",AP19)</f>
        <v/>
      </c>
      <c r="M19" s="612">
        <f>IF(AQ19=0,"",AQ19)</f>
        <v/>
      </c>
      <c r="N19" s="145">
        <f>IF(AR19=0,"",AR19)</f>
        <v/>
      </c>
      <c r="O19" s="449" t="n"/>
      <c r="P19" s="151" t="n"/>
      <c r="Q19" s="151" t="n"/>
      <c r="R19" s="733">
        <f>IF(AG19=0,"",AG19)</f>
        <v/>
      </c>
      <c r="S19" s="118">
        <f>IF(AH19=0,"",AH19)</f>
        <v/>
      </c>
      <c r="T19" s="729">
        <f>IF(AI19=0,"",AI19)</f>
        <v/>
      </c>
      <c r="U19" s="729">
        <f>IF(AJ19=0,"",AJ19)</f>
        <v/>
      </c>
      <c r="V19" s="612">
        <f>IF(AK19=0,"",AK19)</f>
        <v/>
      </c>
      <c r="W19" s="729">
        <f>IF(AL19=0,"",AL19)</f>
        <v/>
      </c>
      <c r="X19" s="729">
        <f>IF(AM19=0,"",AM19)</f>
        <v/>
      </c>
      <c r="Y19" s="729">
        <f>IF(AN19=0,"",AN19)</f>
        <v/>
      </c>
      <c r="Z19" s="612">
        <f>IF(AO19=0,"",AO19)</f>
        <v/>
      </c>
      <c r="AA19" s="118">
        <f>IF(AP19=0,"",AP19)</f>
        <v/>
      </c>
      <c r="AB19" s="612">
        <f>IF(AQ19=0,"",AQ19)</f>
        <v/>
      </c>
      <c r="AC19" s="145">
        <f>IF(AR19=0,"",AR19)</f>
        <v/>
      </c>
      <c r="AD19" s="118" t="n"/>
      <c r="AE19" s="151" t="n"/>
      <c r="AF19" s="151" t="n"/>
      <c r="AG19" s="733">
        <f>IF('Casing Review'!$C$27&gt;0,'Casing Review'!$B$33, " ")</f>
        <v/>
      </c>
      <c r="AH19" s="118">
        <f>IF('Casing Review'!$C$27&gt;0,'Casing Review'!$B$36, " ")</f>
        <v/>
      </c>
      <c r="AI19" s="729">
        <f>IF('Casing Review'!$C$27&gt;0,'Casing Review'!$B$37, " ")</f>
        <v/>
      </c>
      <c r="AJ19" s="729">
        <f>IF('Casing Review'!$C$27&gt;0,'Casing Review'!$B$38, " ")</f>
        <v/>
      </c>
      <c r="AK19" s="612">
        <f>IF('Casing Review'!$C$27&gt;0,'Casing Review'!$L$39, " ")</f>
        <v/>
      </c>
      <c r="AL19" s="729">
        <f>IF('Casing Review'!$C$27&gt;0,'Casing Review'!E$27, " ")</f>
        <v/>
      </c>
      <c r="AM19" s="612">
        <f>IF('Casing Review'!$C$27&gt;0,'Casing Review'!F$27, " ")</f>
        <v/>
      </c>
      <c r="AN19" s="612">
        <f>IF('Casing Review'!$C$27&gt;0,'Casing Review'!G$27, " ")</f>
        <v/>
      </c>
      <c r="AO19" s="612">
        <f>IF('Casing Review'!$C$27&gt;0,'Casing Review'!H$27, " ")</f>
        <v/>
      </c>
      <c r="AP19" s="734">
        <f>IF('Casing Review'!$C$27&gt;0,'Casing Review'!I$27, " ")</f>
        <v/>
      </c>
      <c r="AQ19" s="612">
        <f>IF('Casing Review'!$C$27&gt;0,'Casing Review'!J$27, " ")</f>
        <v/>
      </c>
      <c r="AR19" s="735">
        <f>IF('Casing Review'!$C$27&gt;0,'Casing Review'!K$27, " ")</f>
        <v/>
      </c>
      <c r="AS19" s="612" t="n"/>
      <c r="AV19" s="733">
        <f>IF(AG19=0,"",AG19)</f>
        <v/>
      </c>
      <c r="AW19" s="118">
        <f>IF(AH19=0,"",AH19)</f>
        <v/>
      </c>
      <c r="AX19" s="729">
        <f>IF(AI19=0,"",AI19)</f>
        <v/>
      </c>
      <c r="AY19" s="729">
        <f>IF(AJ19=0,"",AJ19)</f>
        <v/>
      </c>
      <c r="AZ19" s="612">
        <f>IF(AK19=0,"",AK19)</f>
        <v/>
      </c>
      <c r="BA19" s="729">
        <f>IF(AL19=0,"",AL19)</f>
        <v/>
      </c>
      <c r="BB19" s="612">
        <f>IF(AM19=0,"",AM19)</f>
        <v/>
      </c>
      <c r="BC19" s="612">
        <f>IF(AN19=0,"",AN19)</f>
        <v/>
      </c>
      <c r="BD19" s="612">
        <f>IF(AO19=0,"",AO19)</f>
        <v/>
      </c>
      <c r="BE19" s="118">
        <f>IF(AP19=0,"",AP19)</f>
        <v/>
      </c>
      <c r="BF19" s="612">
        <f>IF(AQ19=0,"",AQ19)</f>
        <v/>
      </c>
      <c r="BG19" s="145">
        <f>IF(AR19=0,"",AR19)</f>
        <v/>
      </c>
    </row>
    <row r="20">
      <c r="A20" s="151" t="n"/>
      <c r="B20" s="151" t="n"/>
      <c r="C20" s="117">
        <f>IF(AG20=0,"",AG20)</f>
        <v/>
      </c>
      <c r="D20" s="612">
        <f>IF(AH20=0,"",AH20)</f>
        <v/>
      </c>
      <c r="E20" s="729">
        <f>IF(AI20=0,"",AI20)</f>
        <v/>
      </c>
      <c r="F20" s="729">
        <f>IF(AJ20=0,"",AJ20)</f>
        <v/>
      </c>
      <c r="G20" s="612">
        <f>IF(AK20=0,"",AK20)</f>
        <v/>
      </c>
      <c r="H20" s="729">
        <f>IF(AL20=0,"",AL20)</f>
        <v/>
      </c>
      <c r="I20" s="612">
        <f>IF(AM20=0,"",AM20)</f>
        <v/>
      </c>
      <c r="J20" s="612">
        <f>IF(AN20=0,"",AN20)</f>
        <v/>
      </c>
      <c r="K20" s="612">
        <f>IF(AO20=0,"",AO20)</f>
        <v/>
      </c>
      <c r="L20" s="118">
        <f>IF(AP20=0,"",AP20)</f>
        <v/>
      </c>
      <c r="M20" s="612">
        <f>IF(AQ20=0,"",AQ20)</f>
        <v/>
      </c>
      <c r="N20" s="145">
        <f>IF(AR20=0,"",AR20)</f>
        <v/>
      </c>
      <c r="O20" s="449" t="n"/>
      <c r="P20" s="151" t="n"/>
      <c r="Q20" s="151" t="n"/>
      <c r="R20" s="733">
        <f>IF(AG20=0,"",AG20)</f>
        <v/>
      </c>
      <c r="S20" s="118">
        <f>IF(AH20=0,"",AH20)</f>
        <v/>
      </c>
      <c r="T20" s="729">
        <f>IF(AI20=0,"",AI20)</f>
        <v/>
      </c>
      <c r="U20" s="729">
        <f>IF(AJ20=0,"",AJ20)</f>
        <v/>
      </c>
      <c r="V20" s="612">
        <f>IF(AK20=0,"",AK20)</f>
        <v/>
      </c>
      <c r="W20" s="729">
        <f>IF(AL20=0,"",AL20)</f>
        <v/>
      </c>
      <c r="X20" s="729">
        <f>IF(AM20=0,"",AM20)</f>
        <v/>
      </c>
      <c r="Y20" s="729">
        <f>IF(AN20=0,"",AN20)</f>
        <v/>
      </c>
      <c r="Z20" s="612">
        <f>IF(AO20=0,"",AO20)</f>
        <v/>
      </c>
      <c r="AA20" s="118">
        <f>IF(AP20=0,"",AP20)</f>
        <v/>
      </c>
      <c r="AB20" s="612">
        <f>IF(AQ20=0,"",AQ20)</f>
        <v/>
      </c>
      <c r="AC20" s="145">
        <f>IF(AR20=0,"",AR20)</f>
        <v/>
      </c>
      <c r="AD20" s="118" t="n"/>
      <c r="AE20" s="151" t="n"/>
      <c r="AF20" s="151" t="n"/>
      <c r="AG20" s="117" t="n"/>
      <c r="AH20" s="118" t="n"/>
      <c r="AI20" s="612" t="n"/>
      <c r="AJ20" s="118" t="n"/>
      <c r="AK20" s="612" t="n"/>
      <c r="AL20" s="729">
        <f>IF('Casing Review'!$C$29&gt;0,'Casing Review'!E$29, " ")</f>
        <v/>
      </c>
      <c r="AM20" s="612">
        <f>IF('Casing Review'!$C$29&gt;0,'Casing Review'!F$29, " ")</f>
        <v/>
      </c>
      <c r="AN20" s="612">
        <f>IF('Casing Review'!$C$29&gt;0,'Casing Review'!G$29, " ")</f>
        <v/>
      </c>
      <c r="AO20" s="612">
        <f>IF('Casing Review'!$C$29&gt;0,'Casing Review'!H$29, " ")</f>
        <v/>
      </c>
      <c r="AP20" s="734">
        <f>IF('Casing Review'!$C$29&gt;0,'Casing Review'!I$29, " ")</f>
        <v/>
      </c>
      <c r="AQ20" s="612">
        <f>IF('Casing Review'!$C$29&gt;0,'Casing Review'!J$29, " ")</f>
        <v/>
      </c>
      <c r="AR20" s="735">
        <f>IF('Casing Review'!$C$29&gt;0,'Casing Review'!K$29, " ")</f>
        <v/>
      </c>
      <c r="AS20" s="612" t="n"/>
      <c r="AV20" s="733">
        <f>IF(AG20=0,"",AG20)</f>
        <v/>
      </c>
      <c r="AW20" s="118">
        <f>IF(AH20=0,"",AH20)</f>
        <v/>
      </c>
      <c r="AX20" s="729">
        <f>IF(AI20=0,"",AI20)</f>
        <v/>
      </c>
      <c r="AY20" s="729">
        <f>IF(AJ20=0,"",AJ20)</f>
        <v/>
      </c>
      <c r="AZ20" s="612">
        <f>IF(AK20=0,"",AK20)</f>
        <v/>
      </c>
      <c r="BA20" s="729">
        <f>IF(AL20=0,"",AL20)</f>
        <v/>
      </c>
      <c r="BB20" s="612">
        <f>IF(AM20=0,"",AM20)</f>
        <v/>
      </c>
      <c r="BC20" s="612">
        <f>IF(AN20=0,"",AN20)</f>
        <v/>
      </c>
      <c r="BD20" s="612">
        <f>IF(AO20=0,"",AO20)</f>
        <v/>
      </c>
      <c r="BE20" s="118">
        <f>IF(AP20=0,"",AP20)</f>
        <v/>
      </c>
      <c r="BF20" s="612">
        <f>IF(AQ20=0,"",AQ20)</f>
        <v/>
      </c>
      <c r="BG20" s="145">
        <f>IF(AR20=0,"",AR20)</f>
        <v/>
      </c>
    </row>
    <row r="21" ht="15.75" customHeight="1" s="613" thickBot="1">
      <c r="A21" s="151" t="n"/>
      <c r="B21" s="151" t="n"/>
      <c r="C21" s="119">
        <f>IF(AG21=0,"",AG21)</f>
        <v/>
      </c>
      <c r="D21" s="120">
        <f>IF(AH21=0,"",AH21)</f>
        <v/>
      </c>
      <c r="E21" s="736">
        <f>IF(AI21=0,"",AI21)</f>
        <v/>
      </c>
      <c r="F21" s="736">
        <f>IF(AJ21=0,"",AJ21)</f>
        <v/>
      </c>
      <c r="G21" s="120">
        <f>IF(AK21=0,"",AK21)</f>
        <v/>
      </c>
      <c r="H21" s="736">
        <f>IF(AL21=0,"",AL21)</f>
        <v/>
      </c>
      <c r="I21" s="120">
        <f>IF(AM21=0,"",AM21)</f>
        <v/>
      </c>
      <c r="J21" s="120">
        <f>IF(AN21=0,"",AN21)</f>
        <v/>
      </c>
      <c r="K21" s="120">
        <f>IF(AO21=0,"",AO21)</f>
        <v/>
      </c>
      <c r="L21" s="121">
        <f>IF(AP21=0,"",AP21)</f>
        <v/>
      </c>
      <c r="M21" s="120">
        <f>IF(AQ21=0,"",AQ21)</f>
        <v/>
      </c>
      <c r="N21" s="147">
        <f>IF(AR21=0,"",AR21)</f>
        <v/>
      </c>
      <c r="O21" s="449" t="n"/>
      <c r="P21" s="151" t="n"/>
      <c r="Q21" s="151" t="n"/>
      <c r="R21" s="737">
        <f>IF(AG21=0,"",AG21)</f>
        <v/>
      </c>
      <c r="S21" s="121">
        <f>IF(AH21=0,"",AH21)</f>
        <v/>
      </c>
      <c r="T21" s="736">
        <f>IF(AI21=0,"",AI21)</f>
        <v/>
      </c>
      <c r="U21" s="736">
        <f>IF(AJ21=0,"",AJ21)</f>
        <v/>
      </c>
      <c r="V21" s="120">
        <f>IF(AK21=0,"",AK21)</f>
        <v/>
      </c>
      <c r="W21" s="736">
        <f>IF(AL21=0,"",AL21)</f>
        <v/>
      </c>
      <c r="X21" s="736">
        <f>IF(AM21=0,"",AM21)</f>
        <v/>
      </c>
      <c r="Y21" s="736">
        <f>IF(AN21=0,"",AN21)</f>
        <v/>
      </c>
      <c r="Z21" s="120">
        <f>IF(AO21=0,"",AO21)</f>
        <v/>
      </c>
      <c r="AA21" s="121">
        <f>IF(AP21=0,"",AP21)</f>
        <v/>
      </c>
      <c r="AB21" s="120">
        <f>IF(AQ21=0,"",AQ21)</f>
        <v/>
      </c>
      <c r="AC21" s="147">
        <f>IF(AR21=0,"",AR21)</f>
        <v/>
      </c>
      <c r="AD21" s="118" t="n"/>
      <c r="AE21" s="151" t="n"/>
      <c r="AF21" s="151" t="n"/>
      <c r="AG21" s="119" t="n"/>
      <c r="AH21" s="121" t="n"/>
      <c r="AI21" s="120" t="n"/>
      <c r="AJ21" s="121" t="n"/>
      <c r="AK21" s="120" t="n"/>
      <c r="AL21" s="736">
        <f>IF('Casing Review'!$C$31&gt;0,'Casing Review'!E$31, " ")</f>
        <v/>
      </c>
      <c r="AM21" s="120">
        <f>IF('Casing Review'!$C$31&gt;0,'Casing Review'!F$31, " ")</f>
        <v/>
      </c>
      <c r="AN21" s="120">
        <f>IF('Casing Review'!$C$31&gt;0,'Casing Review'!G$31, " ")</f>
        <v/>
      </c>
      <c r="AO21" s="120">
        <f>IF('Casing Review'!$C$31&gt;0,'Casing Review'!H$31, " ")</f>
        <v/>
      </c>
      <c r="AP21" s="738">
        <f>IF('Casing Review'!$C$31&gt;0,'Casing Review'!I$31, " ")</f>
        <v/>
      </c>
      <c r="AQ21" s="120">
        <f>IF('Casing Review'!$C$31&gt;0,'Casing Review'!J$31, " ")</f>
        <v/>
      </c>
      <c r="AR21" s="739">
        <f>IF('Casing Review'!$C$31&gt;0,'Casing Review'!K$31, " ")</f>
        <v/>
      </c>
      <c r="AS21" s="612" t="n"/>
      <c r="AV21" s="737">
        <f>IF(AG21=0,"",AG21)</f>
        <v/>
      </c>
      <c r="AW21" s="121">
        <f>IF(AH21=0,"",AH21)</f>
        <v/>
      </c>
      <c r="AX21" s="736">
        <f>IF(AI21=0,"",AI21)</f>
        <v/>
      </c>
      <c r="AY21" s="736">
        <f>IF(AJ21=0,"",AJ21)</f>
        <v/>
      </c>
      <c r="AZ21" s="120">
        <f>IF(AK21=0,"",AK21)</f>
        <v/>
      </c>
      <c r="BA21" s="736">
        <f>IF(AL21=0,"",AL21)</f>
        <v/>
      </c>
      <c r="BB21" s="120">
        <f>IF(AM21=0,"",AM21)</f>
        <v/>
      </c>
      <c r="BC21" s="120">
        <f>IF(AN21=0,"",AN21)</f>
        <v/>
      </c>
      <c r="BD21" s="120">
        <f>IF(AO21=0,"",AO21)</f>
        <v/>
      </c>
      <c r="BE21" s="121">
        <f>IF(AP21=0,"",AP21)</f>
        <v/>
      </c>
      <c r="BF21" s="120">
        <f>IF(AQ21=0,"",AQ21)</f>
        <v/>
      </c>
      <c r="BG21" s="147">
        <f>IF(AR21=0,"",AR21)</f>
        <v/>
      </c>
    </row>
    <row r="22" ht="30" customHeight="1" s="613">
      <c r="A22" s="151" t="n"/>
      <c r="B22" s="151" t="n"/>
      <c r="C22" s="141" t="inlineStr">
        <is>
          <t>MASP</t>
        </is>
      </c>
      <c r="D22" s="142" t="inlineStr">
        <is>
          <t>Collapse Strength (psi)</t>
        </is>
      </c>
      <c r="E22" s="142" t="inlineStr">
        <is>
          <t>Collapse Load (psi)</t>
        </is>
      </c>
      <c r="F22" s="142" t="inlineStr">
        <is>
          <t>Collapse DF</t>
        </is>
      </c>
      <c r="G22" s="142" t="inlineStr">
        <is>
          <t>Burst Strength (psi)</t>
        </is>
      </c>
      <c r="H22" s="142" t="inlineStr">
        <is>
          <t>Burst Load (psi)</t>
        </is>
      </c>
      <c r="I22" s="142" t="inlineStr">
        <is>
          <t>Burst DF</t>
        </is>
      </c>
      <c r="J22" s="142" t="inlineStr">
        <is>
          <t>Tension Strength (kips)</t>
        </is>
      </c>
      <c r="K22" s="142" t="inlineStr">
        <is>
          <t>Tension DF</t>
        </is>
      </c>
      <c r="L22" s="142" t="inlineStr">
        <is>
          <t>Neutral Point (ft)</t>
        </is>
      </c>
      <c r="M22" s="142" t="inlineStr">
        <is>
          <t>Tension Air (kips)</t>
        </is>
      </c>
      <c r="N22" s="143" t="inlineStr">
        <is>
          <t>Tension Buoyed (kips)</t>
        </is>
      </c>
      <c r="O22" s="449" t="n"/>
      <c r="P22" s="151" t="n"/>
      <c r="Q22" s="151" t="n"/>
      <c r="R22" s="141" t="inlineStr">
        <is>
          <t>MASP</t>
        </is>
      </c>
      <c r="S22" s="142" t="inlineStr">
        <is>
          <t>Collapse Strength (psi)</t>
        </is>
      </c>
      <c r="T22" s="142" t="inlineStr">
        <is>
          <t>Collapse Load (psi)</t>
        </is>
      </c>
      <c r="U22" s="142" t="inlineStr">
        <is>
          <t>Collapse DF</t>
        </is>
      </c>
      <c r="V22" s="142" t="inlineStr">
        <is>
          <t>Burst Strength (psi)</t>
        </is>
      </c>
      <c r="W22" s="142" t="inlineStr">
        <is>
          <t>Burst Load (psi)</t>
        </is>
      </c>
      <c r="X22" s="142" t="inlineStr">
        <is>
          <t>Burst DF</t>
        </is>
      </c>
      <c r="Y22" s="142" t="inlineStr">
        <is>
          <t>Tension Strength (kips)</t>
        </is>
      </c>
      <c r="Z22" s="142" t="inlineStr">
        <is>
          <t>Tension DF</t>
        </is>
      </c>
      <c r="AA22" s="142" t="inlineStr">
        <is>
          <t>Neutral Point (ft)</t>
        </is>
      </c>
      <c r="AB22" s="142" t="inlineStr">
        <is>
          <t>Tension Air (kips)</t>
        </is>
      </c>
      <c r="AC22" s="143" t="inlineStr">
        <is>
          <t>Tension Buoyed (kips)</t>
        </is>
      </c>
      <c r="AD22" s="118" t="n"/>
      <c r="AE22" s="151" t="n"/>
      <c r="AF22" s="151" t="n"/>
      <c r="AG22" s="141" t="inlineStr">
        <is>
          <t>MASP</t>
        </is>
      </c>
      <c r="AH22" s="142" t="inlineStr">
        <is>
          <t>Collapse Strength (psi)</t>
        </is>
      </c>
      <c r="AI22" s="142" t="inlineStr">
        <is>
          <t>Collapse Load (psi)</t>
        </is>
      </c>
      <c r="AJ22" s="142" t="inlineStr">
        <is>
          <t>Collapse DF</t>
        </is>
      </c>
      <c r="AK22" s="142" t="inlineStr">
        <is>
          <t>Burst Strength (psi)</t>
        </is>
      </c>
      <c r="AL22" s="142" t="inlineStr">
        <is>
          <t>Burst Load (psi)</t>
        </is>
      </c>
      <c r="AM22" s="142" t="inlineStr">
        <is>
          <t>Burst DF</t>
        </is>
      </c>
      <c r="AN22" s="142" t="inlineStr">
        <is>
          <t>Tension Strength (kips)</t>
        </is>
      </c>
      <c r="AO22" s="142" t="inlineStr">
        <is>
          <t>Tension DF</t>
        </is>
      </c>
      <c r="AP22" s="142" t="inlineStr">
        <is>
          <t>Neutral Point (ft)</t>
        </is>
      </c>
      <c r="AQ22" s="142" t="inlineStr">
        <is>
          <t>Tension Air (kips)</t>
        </is>
      </c>
      <c r="AR22" s="143" t="inlineStr">
        <is>
          <t>Tension Buoyed (kips)</t>
        </is>
      </c>
      <c r="AS22" s="612" t="n"/>
      <c r="AV22" s="612" t="n"/>
      <c r="AW22" s="612" t="n"/>
      <c r="AX22" s="612" t="n"/>
      <c r="AY22" s="118" t="n"/>
      <c r="AZ22" s="612" t="n"/>
      <c r="BA22" s="612" t="n"/>
      <c r="BB22" s="118" t="n"/>
      <c r="BC22" s="612" t="n"/>
      <c r="BD22" s="118" t="n"/>
      <c r="BE22" s="612" t="n"/>
      <c r="BF22" s="729" t="n"/>
      <c r="BG22" s="729" t="n"/>
    </row>
    <row r="23">
      <c r="A23" s="151">
        <f>'Vertical WBD'!AD123</f>
        <v/>
      </c>
      <c r="B23" s="151" t="inlineStr">
        <is>
          <t>" Casing</t>
        </is>
      </c>
      <c r="C23" s="117">
        <f>IF('Casing Review'!$C$42&gt;0,'Casing Review'!S42, " ")</f>
        <v/>
      </c>
      <c r="D23" s="612">
        <f>IF('Casing Review'!$C$42&gt;0,'Casing Review'!T42, " ")</f>
        <v/>
      </c>
      <c r="E23" s="612">
        <f>IF('Casing Review'!$C$42&gt;0,'Casing Review'!U42, " ")</f>
        <v/>
      </c>
      <c r="F23" s="118">
        <f>IF('Casing Review'!$C$42&gt;0,'Casing Review'!V42, " ")</f>
        <v/>
      </c>
      <c r="G23" s="612">
        <f>IF('Casing Review'!$C$42&gt;0,'Casing Review'!W42, " ")</f>
        <v/>
      </c>
      <c r="H23" s="612">
        <f>IF('Casing Review'!$C$42&gt;0,'Casing Review'!X42, " ")</f>
        <v/>
      </c>
      <c r="I23" s="118">
        <f>IF('Casing Review'!$C$42&gt;0,'Casing Review'!Y42, " ")</f>
        <v/>
      </c>
      <c r="J23" s="612">
        <f>IF('Casing Review'!$C$42&gt;0,'Casing Review'!Z42, " ")</f>
        <v/>
      </c>
      <c r="K23" s="118">
        <f>IF('Casing Review'!$C$42&gt;0,'Casing Review'!AA42, " ")</f>
        <v/>
      </c>
      <c r="L23" s="612">
        <f>IF('Casing Review'!$C$42&gt;0,'Casing Review'!AB42, " ")</f>
        <v/>
      </c>
      <c r="M23" s="729">
        <f>IF('Casing Review'!$C$42&gt;0,'Casing Review'!AC42, " ")</f>
        <v/>
      </c>
      <c r="N23" s="730">
        <f>IF('Casing Review'!$C$42&gt;0,'Casing Review'!AD42, " ")</f>
        <v/>
      </c>
      <c r="O23" s="449" t="n"/>
      <c r="P23" s="151">
        <f>'Vertical WBD'!AU123</f>
        <v/>
      </c>
      <c r="Q23" s="151" t="inlineStr">
        <is>
          <t>" Liner</t>
        </is>
      </c>
      <c r="R23" s="117">
        <f>IF('Casing Review'!$C$57&gt;0,'Casing Review'!S57, " ")</f>
        <v/>
      </c>
      <c r="S23" s="612">
        <f>IF('Casing Review'!$C$57&gt;0,'Casing Review'!T57, " ")</f>
        <v/>
      </c>
      <c r="T23" s="612">
        <f>IF('Casing Review'!$C$57&gt;0,'Casing Review'!U57, " ")</f>
        <v/>
      </c>
      <c r="U23" s="118">
        <f>IF('Casing Review'!$C$57&gt;0,'Casing Review'!V57, " ")</f>
        <v/>
      </c>
      <c r="V23" s="612">
        <f>IF('Casing Review'!$C$57&gt;0,'Casing Review'!W57, " ")</f>
        <v/>
      </c>
      <c r="W23" s="612">
        <f>IF('Casing Review'!$C$57&gt;0,'Casing Review'!X57, " ")</f>
        <v/>
      </c>
      <c r="X23" s="118">
        <f>IF('Casing Review'!$C$57&gt;0,'Casing Review'!Y57, " ")</f>
        <v/>
      </c>
      <c r="Y23" s="612">
        <f>IF('Casing Review'!$C$57&gt;0,'Casing Review'!Z57, " ")</f>
        <v/>
      </c>
      <c r="Z23" s="118">
        <f>IF('Casing Review'!$C$57&gt;0,'Casing Review'!AA57, " ")</f>
        <v/>
      </c>
      <c r="AA23" s="612">
        <f>IF('Casing Review'!$C$57&gt;0,'Casing Review'!AB57, " ")</f>
        <v/>
      </c>
      <c r="AB23" s="729">
        <f>IF('Casing Review'!$C$57&gt;0,'Casing Review'!AC57, " ")</f>
        <v/>
      </c>
      <c r="AC23" s="730">
        <f>IF('Casing Review'!$C$57&gt;0,'Casing Review'!AD57, " ")</f>
        <v/>
      </c>
      <c r="AD23" s="118" t="n"/>
      <c r="AE23" s="151">
        <f>'Vertical WBD'!BL111</f>
        <v/>
      </c>
      <c r="AF23" s="151" t="inlineStr">
        <is>
          <t>" Casing</t>
        </is>
      </c>
      <c r="AG23" s="117">
        <f>IF('Casing Review'!$C$42&gt;0,'Casing Review'!S42, " ")</f>
        <v/>
      </c>
      <c r="AH23" s="612">
        <f>IF('Casing Review'!$C$42&gt;0,'Casing Review'!T42, " ")</f>
        <v/>
      </c>
      <c r="AI23" s="612">
        <f>IF('Casing Review'!$C$42&gt;0,'Casing Review'!U42, " ")</f>
        <v/>
      </c>
      <c r="AJ23" s="118">
        <f>IF('Casing Review'!$C$42&gt;0,'Casing Review'!V42, " ")</f>
        <v/>
      </c>
      <c r="AK23" s="612">
        <f>IF('Casing Review'!$C$42&gt;0,'Casing Review'!W42, " ")</f>
        <v/>
      </c>
      <c r="AL23" s="612">
        <f>IF('Casing Review'!$C$42&gt;0,'Casing Review'!X42, " ")</f>
        <v/>
      </c>
      <c r="AM23" s="118">
        <f>IF('Casing Review'!$C$42&gt;0,'Casing Review'!Y42, " ")</f>
        <v/>
      </c>
      <c r="AN23" s="612">
        <f>IF('Casing Review'!$C$42&gt;0,'Casing Review'!Z42, " ")</f>
        <v/>
      </c>
      <c r="AO23" s="118">
        <f>IF('Casing Review'!$C$42&gt;0,'Casing Review'!AA42, " ")</f>
        <v/>
      </c>
      <c r="AP23" s="612">
        <f>IF('Casing Review'!$C$42&gt;0,'Casing Review'!AB42, " ")</f>
        <v/>
      </c>
      <c r="AQ23" s="729">
        <f>IF('Casing Review'!$C$42&gt;0,'Casing Review'!AC42, " ")</f>
        <v/>
      </c>
      <c r="AR23" s="730">
        <f>IF('Casing Review'!$C$42&gt;0,'Casing Review'!AD42, " ")</f>
        <v/>
      </c>
      <c r="AS23" s="612" t="n"/>
    </row>
    <row r="24">
      <c r="C24" s="117" t="n"/>
      <c r="D24" s="612">
        <f>IF('Casing Review'!$C$44&gt;0,'Casing Review'!T44, " ")</f>
        <v/>
      </c>
      <c r="E24" s="612">
        <f>IF('Casing Review'!$C$44&gt;0,'Casing Review'!U44, " ")</f>
        <v/>
      </c>
      <c r="F24" s="118">
        <f>IF('Casing Review'!$C$44&gt;0,'Casing Review'!V44, " ")</f>
        <v/>
      </c>
      <c r="G24" s="612">
        <f>IF('Casing Review'!$C$44&gt;0,'Casing Review'!W44, " ")</f>
        <v/>
      </c>
      <c r="H24" s="612">
        <f>IF('Casing Review'!$C$44&gt;0,'Casing Review'!X44, " ")</f>
        <v/>
      </c>
      <c r="I24" s="118">
        <f>IF('Casing Review'!$C$44&gt;0,'Casing Review'!Y44, " ")</f>
        <v/>
      </c>
      <c r="J24" s="612">
        <f>IF('Casing Review'!$C$44&gt;0,'Casing Review'!Z44, " ")</f>
        <v/>
      </c>
      <c r="K24" s="118">
        <f>IF('Casing Review'!$C$44&gt;0,'Casing Review'!AA44, " ")</f>
        <v/>
      </c>
      <c r="L24" s="612">
        <f>IF('Casing Review'!$C$44&gt;0,'Casing Review'!AB44, " ")</f>
        <v/>
      </c>
      <c r="M24" s="729">
        <f>IF('Casing Review'!$C$44&gt;0,'Casing Review'!AC44, " ")</f>
        <v/>
      </c>
      <c r="N24" s="730">
        <f>IF('Casing Review'!$C$44&gt;0,'Casing Review'!AD44, " ")</f>
        <v/>
      </c>
      <c r="O24" s="449" t="n"/>
      <c r="R24" s="117" t="n"/>
      <c r="S24" s="612">
        <f>IF('Casing Review'!$C$59&gt;0,'Casing Review'!T59, " ")</f>
        <v/>
      </c>
      <c r="T24" s="612">
        <f>IF('Casing Review'!$C$59&gt;0,'Casing Review'!U59, " ")</f>
        <v/>
      </c>
      <c r="U24" s="118">
        <f>IF('Casing Review'!$C$59&gt;0,'Casing Review'!V59, " ")</f>
        <v/>
      </c>
      <c r="V24" s="612">
        <f>IF('Casing Review'!$C$59&gt;0,'Casing Review'!W59, " ")</f>
        <v/>
      </c>
      <c r="W24" s="612">
        <f>IF('Casing Review'!$C$59&gt;0,'Casing Review'!X59, " ")</f>
        <v/>
      </c>
      <c r="X24" s="118">
        <f>IF('Casing Review'!$C$59&gt;0,'Casing Review'!Y59, " ")</f>
        <v/>
      </c>
      <c r="Y24" s="612">
        <f>IF('Casing Review'!$C$59&gt;0,'Casing Review'!Z59, " ")</f>
        <v/>
      </c>
      <c r="Z24" s="118">
        <f>IF('Casing Review'!$C$59&gt;0,'Casing Review'!AA59, " ")</f>
        <v/>
      </c>
      <c r="AA24" s="612">
        <f>IF('Casing Review'!$C$59&gt;0,'Casing Review'!AB59, " ")</f>
        <v/>
      </c>
      <c r="AB24" s="729">
        <f>IF('Casing Review'!$C$59&gt;0,'Casing Review'!AC59, " ")</f>
        <v/>
      </c>
      <c r="AC24" s="730">
        <f>IF('Casing Review'!$C$59&gt;0,'Casing Review'!AD59, " ")</f>
        <v/>
      </c>
      <c r="AD24" s="118" t="n"/>
      <c r="AE24" s="151" t="n"/>
      <c r="AF24" s="151" t="n"/>
      <c r="AG24" s="117" t="n"/>
      <c r="AH24" s="612">
        <f>IF('Casing Review'!$C$44&gt;0,'Casing Review'!T44, " ")</f>
        <v/>
      </c>
      <c r="AI24" s="612">
        <f>IF('Casing Review'!$C$44&gt;0,'Casing Review'!U44, " ")</f>
        <v/>
      </c>
      <c r="AJ24" s="118">
        <f>IF('Casing Review'!$C$44&gt;0,'Casing Review'!V44, " ")</f>
        <v/>
      </c>
      <c r="AK24" s="612">
        <f>IF('Casing Review'!$C$44&gt;0,'Casing Review'!W44, " ")</f>
        <v/>
      </c>
      <c r="AL24" s="612">
        <f>IF('Casing Review'!$C$44&gt;0,'Casing Review'!X44, " ")</f>
        <v/>
      </c>
      <c r="AM24" s="118">
        <f>IF('Casing Review'!$C$44&gt;0,'Casing Review'!Y44, " ")</f>
        <v/>
      </c>
      <c r="AN24" s="612">
        <f>IF('Casing Review'!$C$44&gt;0,'Casing Review'!Z44, " ")</f>
        <v/>
      </c>
      <c r="AO24" s="118">
        <f>IF('Casing Review'!$C$44&gt;0,'Casing Review'!AA44, " ")</f>
        <v/>
      </c>
      <c r="AP24" s="612">
        <f>IF('Casing Review'!$C$44&gt;0,'Casing Review'!AB44, " ")</f>
        <v/>
      </c>
      <c r="AQ24" s="729">
        <f>IF('Casing Review'!$C$44&gt;0,'Casing Review'!AC44, " ")</f>
        <v/>
      </c>
      <c r="AR24" s="730">
        <f>IF('Casing Review'!$C$44&gt;0,'Casing Review'!AD44, " ")</f>
        <v/>
      </c>
      <c r="AS24" s="612" t="n"/>
    </row>
    <row r="25">
      <c r="C25" s="117" t="n"/>
      <c r="D25" s="612">
        <f>IF('Casing Review'!$C$46&gt;0,'Casing Review'!T46, " ")</f>
        <v/>
      </c>
      <c r="E25" s="612">
        <f>IF('Casing Review'!$C$46&gt;0,'Casing Review'!U46, " ")</f>
        <v/>
      </c>
      <c r="F25" s="118">
        <f>IF('Casing Review'!$C$46&gt;0,'Casing Review'!V46, " ")</f>
        <v/>
      </c>
      <c r="G25" s="612">
        <f>IF('Casing Review'!$C$46&gt;0,'Casing Review'!W46, " ")</f>
        <v/>
      </c>
      <c r="H25" s="612">
        <f>IF('Casing Review'!$C$46&gt;0,'Casing Review'!X46, " ")</f>
        <v/>
      </c>
      <c r="I25" s="118">
        <f>IF('Casing Review'!$C$46&gt;0,'Casing Review'!Y46, " ")</f>
        <v/>
      </c>
      <c r="J25" s="612">
        <f>IF('Casing Review'!$C$46&gt;0,'Casing Review'!Z46, " ")</f>
        <v/>
      </c>
      <c r="K25" s="118">
        <f>IF('Casing Review'!$C$46&gt;0,'Casing Review'!AA46, " ")</f>
        <v/>
      </c>
      <c r="L25" s="612">
        <f>IF('Casing Review'!$C$46&gt;0,'Casing Review'!AB46, " ")</f>
        <v/>
      </c>
      <c r="M25" s="729">
        <f>IF('Casing Review'!$C$46&gt;0,'Casing Review'!AC46, " ")</f>
        <v/>
      </c>
      <c r="N25" s="730">
        <f>IF('Casing Review'!$C$46&gt;0,'Casing Review'!AD46, " ")</f>
        <v/>
      </c>
      <c r="O25" s="449" t="n"/>
      <c r="R25" s="117" t="n"/>
      <c r="S25" s="612">
        <f>IF('Casing Review'!$C$61&gt;0,'Casing Review'!T61, " ")</f>
        <v/>
      </c>
      <c r="T25" s="612">
        <f>IF('Casing Review'!$C$61&gt;0,'Casing Review'!U61, " ")</f>
        <v/>
      </c>
      <c r="U25" s="118">
        <f>IF('Casing Review'!$C$61&gt;0,'Casing Review'!V61, " ")</f>
        <v/>
      </c>
      <c r="V25" s="612">
        <f>IF('Casing Review'!$C$61&gt;0,'Casing Review'!W61, " ")</f>
        <v/>
      </c>
      <c r="W25" s="612">
        <f>IF('Casing Review'!$C$61&gt;0,'Casing Review'!X61, " ")</f>
        <v/>
      </c>
      <c r="X25" s="118">
        <f>IF('Casing Review'!$C$61&gt;0,'Casing Review'!Y61, " ")</f>
        <v/>
      </c>
      <c r="Y25" s="612">
        <f>IF('Casing Review'!$C$61&gt;0,'Casing Review'!Z61, " ")</f>
        <v/>
      </c>
      <c r="Z25" s="118">
        <f>IF('Casing Review'!$C$61&gt;0,'Casing Review'!AA61, " ")</f>
        <v/>
      </c>
      <c r="AA25" s="612">
        <f>IF('Casing Review'!$C$61&gt;0,'Casing Review'!AB61, " ")</f>
        <v/>
      </c>
      <c r="AB25" s="729">
        <f>IF('Casing Review'!$C$61&gt;0,'Casing Review'!AC61, " ")</f>
        <v/>
      </c>
      <c r="AC25" s="730">
        <f>IF('Casing Review'!$C$61&gt;0,'Casing Review'!AD61, " ")</f>
        <v/>
      </c>
      <c r="AD25" s="118" t="n"/>
      <c r="AE25" s="151" t="n"/>
      <c r="AF25" s="151" t="n"/>
      <c r="AG25" s="117" t="n"/>
      <c r="AH25" s="612">
        <f>IF('Casing Review'!$C$46&gt;0,'Casing Review'!T46, " ")</f>
        <v/>
      </c>
      <c r="AI25" s="612">
        <f>IF('Casing Review'!$C$46&gt;0,'Casing Review'!U46, " ")</f>
        <v/>
      </c>
      <c r="AJ25" s="118">
        <f>IF('Casing Review'!$C$46&gt;0,'Casing Review'!V46, " ")</f>
        <v/>
      </c>
      <c r="AK25" s="612">
        <f>IF('Casing Review'!$C$46&gt;0,'Casing Review'!W46, " ")</f>
        <v/>
      </c>
      <c r="AL25" s="612">
        <f>IF('Casing Review'!$C$46&gt;0,'Casing Review'!X46, " ")</f>
        <v/>
      </c>
      <c r="AM25" s="118">
        <f>IF('Casing Review'!$C$46&gt;0,'Casing Review'!Y46, " ")</f>
        <v/>
      </c>
      <c r="AN25" s="612">
        <f>IF('Casing Review'!$C$46&gt;0,'Casing Review'!Z46, " ")</f>
        <v/>
      </c>
      <c r="AO25" s="118">
        <f>IF('Casing Review'!$C$46&gt;0,'Casing Review'!AA46, " ")</f>
        <v/>
      </c>
      <c r="AP25" s="612">
        <f>IF('Casing Review'!$C$46&gt;0,'Casing Review'!AB46, " ")</f>
        <v/>
      </c>
      <c r="AQ25" s="729">
        <f>IF('Casing Review'!$C$46&gt;0,'Casing Review'!AC46, " ")</f>
        <v/>
      </c>
      <c r="AR25" s="730">
        <f>IF('Casing Review'!$C$46&gt;0,'Casing Review'!AD46, " ")</f>
        <v/>
      </c>
      <c r="AS25" s="612" t="n"/>
    </row>
    <row r="26" ht="30" customHeight="1" s="613">
      <c r="C26" s="144" t="inlineStr">
        <is>
          <t>MW (ppg)</t>
        </is>
      </c>
      <c r="D26" s="139" t="inlineStr">
        <is>
          <t>Internal Grad. (psi)</t>
        </is>
      </c>
      <c r="E26" s="139" t="inlineStr">
        <is>
          <t>Backup Mud (ppg)</t>
        </is>
      </c>
      <c r="F26" s="140" t="inlineStr">
        <is>
          <t>Internal Mud (ppg)</t>
        </is>
      </c>
      <c r="G26" s="139" t="inlineStr">
        <is>
          <t>Max Shoe Pressure (psi)*</t>
        </is>
      </c>
      <c r="H26" s="139" t="inlineStr">
        <is>
          <t>CSG Wt (lbs/ft)</t>
        </is>
      </c>
      <c r="I26" s="140" t="inlineStr">
        <is>
          <t>CSG Grade</t>
        </is>
      </c>
      <c r="J26" s="139" t="inlineStr">
        <is>
          <t>CSG Collar</t>
        </is>
      </c>
      <c r="K26" s="140" t="inlineStr">
        <is>
          <t>Cement Lead (sx)</t>
        </is>
      </c>
      <c r="L26" s="139" t="inlineStr">
        <is>
          <t>Lead Yield</t>
        </is>
      </c>
      <c r="M26" s="731" t="inlineStr">
        <is>
          <t>Cement Tail (sx)</t>
        </is>
      </c>
      <c r="N26" s="732" t="inlineStr">
        <is>
          <t>Tail Yield</t>
        </is>
      </c>
      <c r="O26" s="449" t="n"/>
      <c r="R26" s="144" t="inlineStr">
        <is>
          <t>MW (ppg)</t>
        </is>
      </c>
      <c r="S26" s="139" t="inlineStr">
        <is>
          <t>Internal Grad. (psi)</t>
        </is>
      </c>
      <c r="T26" s="139" t="inlineStr">
        <is>
          <t>Backup Mud (ppg)</t>
        </is>
      </c>
      <c r="U26" s="140" t="inlineStr">
        <is>
          <t>Internal Mud (ppg)</t>
        </is>
      </c>
      <c r="V26" s="139" t="inlineStr">
        <is>
          <t>Max Shoe Pressure (psi)*</t>
        </is>
      </c>
      <c r="W26" s="139" t="inlineStr">
        <is>
          <t>CSG Wt (lbs/ft)</t>
        </is>
      </c>
      <c r="X26" s="140" t="inlineStr">
        <is>
          <t>CSG Grade</t>
        </is>
      </c>
      <c r="Y26" s="139" t="inlineStr">
        <is>
          <t>CSG Collar</t>
        </is>
      </c>
      <c r="Z26" s="140" t="inlineStr">
        <is>
          <t>Cement Lead (sx)</t>
        </is>
      </c>
      <c r="AA26" s="139" t="inlineStr">
        <is>
          <t>Lead Yield</t>
        </is>
      </c>
      <c r="AB26" s="731" t="inlineStr">
        <is>
          <t>Cement Tail (sx)</t>
        </is>
      </c>
      <c r="AC26" s="732" t="inlineStr">
        <is>
          <t>Tail Yield</t>
        </is>
      </c>
      <c r="AD26" s="118" t="n"/>
      <c r="AE26" s="151" t="n"/>
      <c r="AF26" s="151" t="n"/>
      <c r="AG26" s="144" t="inlineStr">
        <is>
          <t>MW (ppg)</t>
        </is>
      </c>
      <c r="AH26" s="139" t="inlineStr">
        <is>
          <t>Internal Grad. (psi)</t>
        </is>
      </c>
      <c r="AI26" s="139" t="inlineStr">
        <is>
          <t>Backup Mud (ppg)</t>
        </is>
      </c>
      <c r="AJ26" s="140" t="inlineStr">
        <is>
          <t>Internal Mud (ppg)</t>
        </is>
      </c>
      <c r="AK26" s="139" t="inlineStr">
        <is>
          <t>Max Shoe Pressure (psi)*</t>
        </is>
      </c>
      <c r="AL26" s="139" t="inlineStr">
        <is>
          <t>CSG Wt (lbs/ft)</t>
        </is>
      </c>
      <c r="AM26" s="140" t="inlineStr">
        <is>
          <t>CSG Grade</t>
        </is>
      </c>
      <c r="AN26" s="139" t="inlineStr">
        <is>
          <t>CSG Collar</t>
        </is>
      </c>
      <c r="AO26" s="140" t="inlineStr">
        <is>
          <t>Cement Lead (sx)</t>
        </is>
      </c>
      <c r="AP26" s="139" t="inlineStr">
        <is>
          <t>Lead Yield</t>
        </is>
      </c>
      <c r="AQ26" s="731" t="inlineStr">
        <is>
          <t>Cement Tail (sx)</t>
        </is>
      </c>
      <c r="AR26" s="732" t="inlineStr">
        <is>
          <t>Tail Yield</t>
        </is>
      </c>
      <c r="AS26" s="612" t="n"/>
    </row>
    <row r="27">
      <c r="C27" s="733">
        <f>IF(AG27=0,"",AG27)</f>
        <v/>
      </c>
      <c r="D27" s="118">
        <f>IF(AH27=0,"",AH27)</f>
        <v/>
      </c>
      <c r="E27" s="729">
        <f>IF(AI27=0,"",AI27)</f>
        <v/>
      </c>
      <c r="F27" s="729">
        <f>IF(AJ27=0,"",AJ27)</f>
        <v/>
      </c>
      <c r="G27" s="612">
        <f>IF(AK27=0,"",AK27)</f>
        <v/>
      </c>
      <c r="H27" s="729">
        <f>IF(AL27=0,"",AL27)</f>
        <v/>
      </c>
      <c r="I27" s="612">
        <f>IF(AM27=0,"",AM27)</f>
        <v/>
      </c>
      <c r="J27" s="612">
        <f>IF(AN27=0,"",AN27)</f>
        <v/>
      </c>
      <c r="K27" s="612">
        <f>IF(AO27=0,"",AO27)</f>
        <v/>
      </c>
      <c r="L27" s="118">
        <f>IF(AP27=0,"",AP27)</f>
        <v/>
      </c>
      <c r="M27" s="612">
        <f>IF(AQ27=0,"",AQ27)</f>
        <v/>
      </c>
      <c r="N27" s="145">
        <f>IF(AR27=0,"",AR27)</f>
        <v/>
      </c>
      <c r="O27" s="449" t="n"/>
      <c r="R27" s="733">
        <f>IF(AG35=0,"",AG35)</f>
        <v/>
      </c>
      <c r="S27" s="118">
        <f>IF(AH35=0,"",AH35)</f>
        <v/>
      </c>
      <c r="T27" s="729">
        <f>IF(AI35=0,"",AI35)</f>
        <v/>
      </c>
      <c r="U27" s="729">
        <f>IF(AJ35=0,"",AJ35)</f>
        <v/>
      </c>
      <c r="V27" s="612">
        <f>IF(AK35=0,"",AK35)</f>
        <v/>
      </c>
      <c r="W27" s="729">
        <f>IF(AL35=0,"",AL35)</f>
        <v/>
      </c>
      <c r="X27" s="729">
        <f>IF(AM35=0,"",AM35)</f>
        <v/>
      </c>
      <c r="Y27" s="729">
        <f>IF(AN35=0,"",AN35)</f>
        <v/>
      </c>
      <c r="Z27" s="612">
        <f>IF(AO35=0,"",AO35)</f>
        <v/>
      </c>
      <c r="AA27" s="118">
        <f>IF(AP35=0,"",AP35)</f>
        <v/>
      </c>
      <c r="AB27" s="612">
        <f>IF(AQ35=0,"",AQ35)</f>
        <v/>
      </c>
      <c r="AC27" s="145">
        <f>IF(AR35=0,"",AR35)</f>
        <v/>
      </c>
      <c r="AD27" s="118" t="n"/>
      <c r="AE27" s="151" t="n"/>
      <c r="AF27" s="151" t="n"/>
      <c r="AG27" s="733">
        <f>IF('Casing Review'!$C$42&gt;0,'Casing Review'!$B$48, " ")</f>
        <v/>
      </c>
      <c r="AH27" s="118">
        <f>IF('Casing Review'!$C$42&gt;0,'Casing Review'!$B$51, " ")</f>
        <v/>
      </c>
      <c r="AI27" s="729">
        <f>IF('Casing Review'!$C$42&gt;0,'Casing Review'!$B$52, " ")</f>
        <v/>
      </c>
      <c r="AJ27" s="729">
        <f>IF('Casing Review'!$C$42&gt;0,'Casing Review'!$B$53, " ")</f>
        <v/>
      </c>
      <c r="AK27" s="612">
        <f>IF('Casing Review'!$C$42&gt;0,'Casing Review'!$L$54, " ")</f>
        <v/>
      </c>
      <c r="AL27" s="729">
        <f>IF('Casing Review'!$C$42&gt;0,'Casing Review'!E$42, " ")</f>
        <v/>
      </c>
      <c r="AM27" s="729">
        <f>IF('Casing Review'!$C$42&gt;0,'Casing Review'!F$42, " ")</f>
        <v/>
      </c>
      <c r="AN27" s="729">
        <f>IF('Casing Review'!$C$42&gt;0,'Casing Review'!G$42, " ")</f>
        <v/>
      </c>
      <c r="AO27" s="729">
        <f>IF('Casing Review'!$C$42&gt;0,'Casing Review'!H$42, " ")</f>
        <v/>
      </c>
      <c r="AP27" s="734">
        <f>IF('Casing Review'!$C$42&gt;0,'Casing Review'!I$42, " ")</f>
        <v/>
      </c>
      <c r="AQ27" s="729">
        <f>IF('Casing Review'!$C$42&gt;0,'Casing Review'!J$42, " ")</f>
        <v/>
      </c>
      <c r="AR27" s="735">
        <f>IF('Casing Review'!$C$42&gt;0,'Casing Review'!K$42, " ")</f>
        <v/>
      </c>
      <c r="AS27" s="612" t="n"/>
    </row>
    <row r="28">
      <c r="C28" s="117">
        <f>IF(AG28=0,"",AG28)</f>
        <v/>
      </c>
      <c r="D28" s="612">
        <f>IF(AH28=0,"",AH28)</f>
        <v/>
      </c>
      <c r="E28" s="729">
        <f>IF(AI28=0,"",AI28)</f>
        <v/>
      </c>
      <c r="F28" s="729">
        <f>IF(AJ28=0,"",AJ28)</f>
        <v/>
      </c>
      <c r="G28" s="612">
        <f>IF(AK28=0,"",AK28)</f>
        <v/>
      </c>
      <c r="H28" s="729">
        <f>IF(AL28=0,"",AL28)</f>
        <v/>
      </c>
      <c r="I28" s="612">
        <f>IF(AM28=0,"",AM28)</f>
        <v/>
      </c>
      <c r="J28" s="612">
        <f>IF(AN28=0,"",AN28)</f>
        <v/>
      </c>
      <c r="K28" s="612">
        <f>IF(AO28=0,"",AO28)</f>
        <v/>
      </c>
      <c r="L28" s="118">
        <f>IF(AP28=0,"",AP28)</f>
        <v/>
      </c>
      <c r="M28" s="612">
        <f>IF(AQ28=0,"",AQ28)</f>
        <v/>
      </c>
      <c r="N28" s="145">
        <f>IF(AR28=0,"",AR28)</f>
        <v/>
      </c>
      <c r="O28" s="449" t="n"/>
      <c r="R28" s="733">
        <f>IF(AG36=0,"",AG36)</f>
        <v/>
      </c>
      <c r="S28" s="118">
        <f>IF(AH36=0,"",AH36)</f>
        <v/>
      </c>
      <c r="T28" s="729">
        <f>IF(AI36=0,"",AI36)</f>
        <v/>
      </c>
      <c r="U28" s="729">
        <f>IF(AJ36=0,"",AJ36)</f>
        <v/>
      </c>
      <c r="V28" s="612">
        <f>IF(AK36=0,"",AK36)</f>
        <v/>
      </c>
      <c r="W28" s="729">
        <f>IF(AL36=0,"",AL36)</f>
        <v/>
      </c>
      <c r="X28" s="729">
        <f>IF(AM36=0,"",AM36)</f>
        <v/>
      </c>
      <c r="Y28" s="729">
        <f>IF(AN36=0,"",AN36)</f>
        <v/>
      </c>
      <c r="Z28" s="612">
        <f>IF(AO36=0,"",AO36)</f>
        <v/>
      </c>
      <c r="AA28" s="118">
        <f>IF(AP36=0,"",AP36)</f>
        <v/>
      </c>
      <c r="AB28" s="612">
        <f>IF(AQ36=0,"",AQ36)</f>
        <v/>
      </c>
      <c r="AC28" s="145">
        <f>IF(AR36=0,"",AR36)</f>
        <v/>
      </c>
      <c r="AD28" s="118" t="n"/>
      <c r="AE28" s="151" t="n"/>
      <c r="AF28" s="151" t="n"/>
      <c r="AG28" s="136" t="n"/>
      <c r="AH28" s="138" t="n"/>
      <c r="AI28" s="137" t="n"/>
      <c r="AJ28" s="138" t="n"/>
      <c r="AK28" s="137" t="n"/>
      <c r="AL28" s="729">
        <f>IF('Casing Review'!$C$44&gt;0,'Casing Review'!E$44, " ")</f>
        <v/>
      </c>
      <c r="AM28" s="729">
        <f>IF('Casing Review'!$C$44&gt;0,'Casing Review'!F$44, " ")</f>
        <v/>
      </c>
      <c r="AN28" s="729">
        <f>IF('Casing Review'!$C$44&gt;0,'Casing Review'!G$44, " ")</f>
        <v/>
      </c>
      <c r="AO28" s="729">
        <f>IF('Casing Review'!$C$44&gt;0,'Casing Review'!H$44, " ")</f>
        <v/>
      </c>
      <c r="AP28" s="734">
        <f>IF('Casing Review'!$C$44&gt;0,'Casing Review'!I$44, " ")</f>
        <v/>
      </c>
      <c r="AQ28" s="729">
        <f>IF('Casing Review'!$C$44&gt;0,'Casing Review'!J$44, " ")</f>
        <v/>
      </c>
      <c r="AR28" s="735">
        <f>IF('Casing Review'!$C$44&gt;0,'Casing Review'!K$44, " ")</f>
        <v/>
      </c>
      <c r="AS28" s="612" t="n"/>
    </row>
    <row r="29" ht="15.75" customHeight="1" s="613" thickBot="1">
      <c r="C29" s="119">
        <f>IF(AG29=0,"",AG29)</f>
        <v/>
      </c>
      <c r="D29" s="120">
        <f>IF(AH29=0,"",AH29)</f>
        <v/>
      </c>
      <c r="E29" s="736">
        <f>IF(AI29=0,"",AI29)</f>
        <v/>
      </c>
      <c r="F29" s="736">
        <f>IF(AJ29=0,"",AJ29)</f>
        <v/>
      </c>
      <c r="G29" s="120">
        <f>IF(AK29=0,"",AK29)</f>
        <v/>
      </c>
      <c r="H29" s="736">
        <f>IF(AL29=0,"",AL29)</f>
        <v/>
      </c>
      <c r="I29" s="120">
        <f>IF(AM29=0,"",AM29)</f>
        <v/>
      </c>
      <c r="J29" s="120">
        <f>IF(AN29=0,"",AN29)</f>
        <v/>
      </c>
      <c r="K29" s="120">
        <f>IF(AO29=0,"",AO29)</f>
        <v/>
      </c>
      <c r="L29" s="121">
        <f>IF(AP29=0,"",AP29)</f>
        <v/>
      </c>
      <c r="M29" s="120">
        <f>IF(AQ29=0,"",AQ29)</f>
        <v/>
      </c>
      <c r="N29" s="147">
        <f>IF(AR29=0,"",AR29)</f>
        <v/>
      </c>
      <c r="O29" s="449" t="n"/>
      <c r="R29" s="737">
        <f>IF(AG37=0,"",AG37)</f>
        <v/>
      </c>
      <c r="S29" s="121">
        <f>IF(AH37=0,"",AH37)</f>
        <v/>
      </c>
      <c r="T29" s="736">
        <f>IF(AI37=0,"",AI37)</f>
        <v/>
      </c>
      <c r="U29" s="736">
        <f>IF(AJ37=0,"",AJ37)</f>
        <v/>
      </c>
      <c r="V29" s="120">
        <f>IF(AK37=0,"",AK37)</f>
        <v/>
      </c>
      <c r="W29" s="736">
        <f>IF(AL37=0,"",AL37)</f>
        <v/>
      </c>
      <c r="X29" s="736">
        <f>IF(AM37=0,"",AM37)</f>
        <v/>
      </c>
      <c r="Y29" s="736">
        <f>IF(AN37=0,"",AN37)</f>
        <v/>
      </c>
      <c r="Z29" s="120">
        <f>IF(AO37=0,"",AO37)</f>
        <v/>
      </c>
      <c r="AA29" s="121">
        <f>IF(AP37=0,"",AP37)</f>
        <v/>
      </c>
      <c r="AB29" s="120">
        <f>IF(AQ37=0,"",AQ37)</f>
        <v/>
      </c>
      <c r="AC29" s="147">
        <f>IF(AR37=0,"",AR37)</f>
        <v/>
      </c>
      <c r="AD29" s="118" t="n"/>
      <c r="AE29" s="151" t="n"/>
      <c r="AF29" s="151" t="n"/>
      <c r="AG29" s="148" t="n"/>
      <c r="AH29" s="150" t="n"/>
      <c r="AI29" s="149" t="n"/>
      <c r="AJ29" s="150" t="n"/>
      <c r="AK29" s="149" t="n"/>
      <c r="AL29" s="736">
        <f>IF('Casing Review'!$C$46&gt;0,'Casing Review'!E$46, " ")</f>
        <v/>
      </c>
      <c r="AM29" s="736">
        <f>IF('Casing Review'!$C$46&gt;0,'Casing Review'!F$46, " ")</f>
        <v/>
      </c>
      <c r="AN29" s="736">
        <f>IF('Casing Review'!$C$46&gt;0,'Casing Review'!G$46, " ")</f>
        <v/>
      </c>
      <c r="AO29" s="736">
        <f>IF('Casing Review'!$C$46&gt;0,'Casing Review'!H$46, " ")</f>
        <v/>
      </c>
      <c r="AP29" s="738">
        <f>IF('Casing Review'!$C$46&gt;0,'Casing Review'!I$46, " ")</f>
        <v/>
      </c>
      <c r="AQ29" s="736">
        <f>IF('Casing Review'!$C$46&gt;0,'Casing Review'!J$46, " ")</f>
        <v/>
      </c>
      <c r="AR29" s="739">
        <f>IF('Casing Review'!$C$46&gt;0,'Casing Review'!K$46, " ")</f>
        <v/>
      </c>
      <c r="AS29" s="612" t="n"/>
    </row>
    <row r="30" ht="30" customHeight="1" s="613">
      <c r="C30" s="612" t="n"/>
      <c r="D30" s="612" t="n"/>
      <c r="E30" s="612" t="n"/>
      <c r="F30" s="118" t="n"/>
      <c r="G30" s="612" t="n"/>
      <c r="H30" s="612" t="n"/>
      <c r="I30" s="118" t="n"/>
      <c r="J30" s="612" t="n"/>
      <c r="K30" s="118" t="n"/>
      <c r="L30" s="612" t="n"/>
      <c r="M30" s="729" t="n"/>
      <c r="N30" s="729" t="n"/>
      <c r="O30" s="449" t="n"/>
      <c r="R30" s="612" t="n"/>
      <c r="S30" s="612" t="n"/>
      <c r="T30" s="612" t="n"/>
      <c r="U30" s="118" t="n"/>
      <c r="V30" s="612" t="n"/>
      <c r="W30" s="612" t="n"/>
      <c r="X30" s="118" t="n"/>
      <c r="Y30" s="612" t="n"/>
      <c r="Z30" s="118" t="n"/>
      <c r="AA30" s="612" t="n"/>
      <c r="AB30" s="729" t="n"/>
      <c r="AC30" s="729" t="n"/>
      <c r="AD30" s="118" t="n"/>
      <c r="AE30" s="151" t="n"/>
      <c r="AF30" s="151" t="n"/>
      <c r="AG30" s="141" t="inlineStr">
        <is>
          <t>MASP</t>
        </is>
      </c>
      <c r="AH30" s="142" t="inlineStr">
        <is>
          <t>Collapse Strength (psi)</t>
        </is>
      </c>
      <c r="AI30" s="142" t="inlineStr">
        <is>
          <t>Collapse Load (psi)</t>
        </is>
      </c>
      <c r="AJ30" s="142" t="inlineStr">
        <is>
          <t>Collapse DF</t>
        </is>
      </c>
      <c r="AK30" s="142" t="inlineStr">
        <is>
          <t>Burst Strength (psi)</t>
        </is>
      </c>
      <c r="AL30" s="142" t="inlineStr">
        <is>
          <t>Burst Load (psi)</t>
        </is>
      </c>
      <c r="AM30" s="142" t="inlineStr">
        <is>
          <t>Burst DF</t>
        </is>
      </c>
      <c r="AN30" s="142" t="inlineStr">
        <is>
          <t>Tension Strength (kips)</t>
        </is>
      </c>
      <c r="AO30" s="142" t="inlineStr">
        <is>
          <t>Tension DF</t>
        </is>
      </c>
      <c r="AP30" s="142" t="inlineStr">
        <is>
          <t>Neutral Point (ft)</t>
        </is>
      </c>
      <c r="AQ30" s="142" t="inlineStr">
        <is>
          <t>Tension Air (kips)</t>
        </is>
      </c>
      <c r="AR30" s="143" t="inlineStr">
        <is>
          <t>Tension Buoyed (kips)</t>
        </is>
      </c>
      <c r="AS30" s="612" t="n"/>
    </row>
    <row r="31">
      <c r="C31" s="449" t="n"/>
      <c r="D31" s="449" t="n"/>
      <c r="E31" s="449" t="n"/>
      <c r="F31" s="449" t="n"/>
      <c r="G31" s="449" t="n"/>
      <c r="H31" s="449" t="n"/>
      <c r="I31" s="449" t="n"/>
      <c r="J31" s="449" t="n"/>
      <c r="K31" s="449" t="n"/>
      <c r="L31" s="449" t="n"/>
      <c r="M31" s="449" t="n"/>
      <c r="N31" s="449" t="n"/>
      <c r="O31" s="449" t="n"/>
      <c r="R31" s="449" t="n"/>
      <c r="S31" s="449" t="n"/>
      <c r="T31" s="449" t="n"/>
      <c r="U31" s="449" t="n"/>
      <c r="V31" s="449" t="n"/>
      <c r="W31" s="449" t="n"/>
      <c r="X31" s="243" t="n"/>
      <c r="Y31" s="449" t="n"/>
      <c r="Z31" s="449" t="n"/>
      <c r="AA31" s="449" t="n"/>
      <c r="AB31" s="449" t="n"/>
      <c r="AC31" s="449" t="n"/>
      <c r="AD31" s="449" t="n"/>
      <c r="AE31" s="151">
        <f>'Vertical WBD'!BL123</f>
        <v/>
      </c>
      <c r="AF31" s="151">
        <f>'Vertical WBD'!BM123</f>
        <v/>
      </c>
      <c r="AG31" s="117">
        <f>IF('Casing Review'!$C$57&gt;0,'Casing Review'!S57, " ")</f>
        <v/>
      </c>
      <c r="AH31" s="612">
        <f>IF('Casing Review'!$C$57&gt;0,'Casing Review'!T57, " ")</f>
        <v/>
      </c>
      <c r="AI31" s="612">
        <f>IF('Casing Review'!$C$57&gt;0,'Casing Review'!U57, " ")</f>
        <v/>
      </c>
      <c r="AJ31" s="118">
        <f>IF('Casing Review'!$C$57&gt;0,'Casing Review'!V57, " ")</f>
        <v/>
      </c>
      <c r="AK31" s="612">
        <f>IF('Casing Review'!$C$57&gt;0,'Casing Review'!W57, " ")</f>
        <v/>
      </c>
      <c r="AL31" s="612">
        <f>IF('Casing Review'!$C$57&gt;0,'Casing Review'!X57, " ")</f>
        <v/>
      </c>
      <c r="AM31" s="118">
        <f>IF('Casing Review'!$C$57&gt;0,'Casing Review'!Y57, " ")</f>
        <v/>
      </c>
      <c r="AN31" s="612">
        <f>IF('Casing Review'!$C$57&gt;0,'Casing Review'!Z57, " ")</f>
        <v/>
      </c>
      <c r="AO31" s="118">
        <f>IF('Casing Review'!$C$57&gt;0,'Casing Review'!AA57, " ")</f>
        <v/>
      </c>
      <c r="AP31" s="612">
        <f>IF('Casing Review'!$C$57&gt;0,'Casing Review'!AB57, " ")</f>
        <v/>
      </c>
      <c r="AQ31" s="729">
        <f>IF('Casing Review'!$C$57&gt;0,'Casing Review'!AC57, " ")</f>
        <v/>
      </c>
      <c r="AR31" s="730">
        <f>IF('Casing Review'!$C$57&gt;0,'Casing Review'!AD57, " ")</f>
        <v/>
      </c>
      <c r="AS31" s="612" t="n"/>
    </row>
    <row r="32">
      <c r="C32" s="449" t="n"/>
      <c r="E32" s="449" t="n"/>
      <c r="F32" s="243" t="n"/>
      <c r="H32" s="449" t="n"/>
      <c r="I32" s="243" t="n"/>
      <c r="K32" s="243" t="n"/>
      <c r="L32" s="449" t="n"/>
      <c r="M32" s="243" t="n"/>
      <c r="N32" s="243" t="n"/>
      <c r="O32" s="243" t="n"/>
      <c r="AG32" s="117" t="n"/>
      <c r="AH32" s="612">
        <f>IF('Casing Review'!$C$59&gt;0,'Casing Review'!T59, " ")</f>
        <v/>
      </c>
      <c r="AI32" s="612">
        <f>IF('Casing Review'!$C$59&gt;0,'Casing Review'!U59, " ")</f>
        <v/>
      </c>
      <c r="AJ32" s="118">
        <f>IF('Casing Review'!$C$59&gt;0,'Casing Review'!V59, " ")</f>
        <v/>
      </c>
      <c r="AK32" s="612">
        <f>IF('Casing Review'!$C$59&gt;0,'Casing Review'!W59, " ")</f>
        <v/>
      </c>
      <c r="AL32" s="612">
        <f>IF('Casing Review'!$C$59&gt;0,'Casing Review'!X59, " ")</f>
        <v/>
      </c>
      <c r="AM32" s="118">
        <f>IF('Casing Review'!$C$59&gt;0,'Casing Review'!Y59, " ")</f>
        <v/>
      </c>
      <c r="AN32" s="612">
        <f>IF('Casing Review'!$C$59&gt;0,'Casing Review'!Z59, " ")</f>
        <v/>
      </c>
      <c r="AO32" s="118">
        <f>IF('Casing Review'!$C$59&gt;0,'Casing Review'!AA59, " ")</f>
        <v/>
      </c>
      <c r="AP32" s="612">
        <f>IF('Casing Review'!$C$59&gt;0,'Casing Review'!AB59, " ")</f>
        <v/>
      </c>
      <c r="AQ32" s="612">
        <f>IF('Casing Review'!$C$59&gt;0,'Casing Review'!AC59, " ")</f>
        <v/>
      </c>
      <c r="AR32" s="730">
        <f>IF('Casing Review'!$C$59&gt;0,'Casing Review'!AD59, " ")</f>
        <v/>
      </c>
      <c r="AS32" s="612" t="n"/>
    </row>
    <row r="33">
      <c r="C33" s="449" t="n"/>
      <c r="E33" s="449" t="n"/>
      <c r="F33" s="243" t="n"/>
      <c r="H33" s="449" t="n"/>
      <c r="I33" s="243" t="n"/>
      <c r="L33" s="449" t="n"/>
      <c r="AG33" s="117" t="n"/>
      <c r="AH33" s="612">
        <f>IF('Casing Review'!$C$61&gt;0,'Casing Review'!T61, " ")</f>
        <v/>
      </c>
      <c r="AI33" s="612">
        <f>IF('Casing Review'!$C$61&gt;0,'Casing Review'!U61, " ")</f>
        <v/>
      </c>
      <c r="AJ33" s="118">
        <f>IF('Casing Review'!$C$61&gt;0,'Casing Review'!V61, " ")</f>
        <v/>
      </c>
      <c r="AK33" s="612">
        <f>IF('Casing Review'!$C$61&gt;0,'Casing Review'!W61, " ")</f>
        <v/>
      </c>
      <c r="AL33" s="612">
        <f>IF('Casing Review'!$C$61&gt;0,'Casing Review'!X61, " ")</f>
        <v/>
      </c>
      <c r="AM33" s="118">
        <f>IF('Casing Review'!$C$61&gt;0,'Casing Review'!Y61, " ")</f>
        <v/>
      </c>
      <c r="AN33" s="612">
        <f>IF('Casing Review'!$C$61&gt;0,'Casing Review'!Z61, " ")</f>
        <v/>
      </c>
      <c r="AO33" s="118">
        <f>IF('Casing Review'!$C$61&gt;0,'Casing Review'!AA61, " ")</f>
        <v/>
      </c>
      <c r="AP33" s="612">
        <f>IF('Casing Review'!$C$61&gt;0,'Casing Review'!AB61, " ")</f>
        <v/>
      </c>
      <c r="AQ33" s="612">
        <f>IF('Casing Review'!$C$61&gt;0,'Casing Review'!AC61, " ")</f>
        <v/>
      </c>
      <c r="AR33" s="730">
        <f>IF('Casing Review'!$C$61&gt;0,'Casing Review'!AD61, " ")</f>
        <v/>
      </c>
      <c r="AS33" s="612" t="n"/>
    </row>
    <row r="34" ht="30" customHeight="1" s="613">
      <c r="C34" s="449" t="n"/>
      <c r="E34" s="449" t="n"/>
      <c r="F34" s="243" t="n"/>
      <c r="H34" s="449" t="n"/>
      <c r="I34" s="243" t="n"/>
      <c r="L34" s="449" t="n"/>
      <c r="AG34" s="144" t="inlineStr">
        <is>
          <t>MW (ppg)</t>
        </is>
      </c>
      <c r="AH34" s="139" t="inlineStr">
        <is>
          <t>Internal Grad. (psi)</t>
        </is>
      </c>
      <c r="AI34" s="139" t="inlineStr">
        <is>
          <t>Backup Mud (ppg)</t>
        </is>
      </c>
      <c r="AJ34" s="140" t="inlineStr">
        <is>
          <t>Internal Mud (ppg)</t>
        </is>
      </c>
      <c r="AK34" s="139" t="inlineStr">
        <is>
          <t>Max Shoe Pressure (psi)*</t>
        </is>
      </c>
      <c r="AL34" s="139" t="inlineStr">
        <is>
          <t>CSG Wt (lbs/ft)</t>
        </is>
      </c>
      <c r="AM34" s="140" t="inlineStr">
        <is>
          <t>CSG Grade</t>
        </is>
      </c>
      <c r="AN34" s="139" t="inlineStr">
        <is>
          <t>CSG Collar</t>
        </is>
      </c>
      <c r="AO34" s="140" t="inlineStr">
        <is>
          <t>Cement Lead (sx)</t>
        </is>
      </c>
      <c r="AP34" s="139" t="inlineStr">
        <is>
          <t>Lead Yield</t>
        </is>
      </c>
      <c r="AQ34" s="731" t="inlineStr">
        <is>
          <t>Cement Tail (sx)</t>
        </is>
      </c>
      <c r="AR34" s="732" t="inlineStr">
        <is>
          <t>Tail Yield</t>
        </is>
      </c>
    </row>
    <row r="35">
      <c r="C35" s="449" t="n"/>
      <c r="E35" s="449" t="n"/>
      <c r="F35" s="243" t="n"/>
      <c r="H35" s="449" t="n"/>
      <c r="I35" s="243" t="n"/>
      <c r="L35" s="449" t="n"/>
      <c r="AG35" s="733">
        <f>IF('Casing Review'!$C$57&gt;0,'Casing Review'!$B$63, " ")</f>
        <v/>
      </c>
      <c r="AH35" s="118">
        <f>IF('Casing Review'!$C$57&gt;0,'Casing Review'!$B$66, " ")</f>
        <v/>
      </c>
      <c r="AI35" s="729">
        <f>IF('Casing Review'!$C$57&gt;0,'Casing Review'!$B$67, " ")</f>
        <v/>
      </c>
      <c r="AJ35" s="729">
        <f>IF('Casing Review'!$C$57&gt;0,'Casing Review'!$B$68, " ")</f>
        <v/>
      </c>
      <c r="AK35" s="612">
        <f>IF('Casing Review'!$C$57&gt;0,'Casing Review'!$B$69, " ")</f>
        <v/>
      </c>
      <c r="AL35" s="729">
        <f>IF('Casing Review'!$C$57&gt;0,'Casing Review'!E$57, " ")</f>
        <v/>
      </c>
      <c r="AM35" s="729">
        <f>IF('Casing Review'!$C$57&gt;0,'Casing Review'!F$57, " ")</f>
        <v/>
      </c>
      <c r="AN35" s="729">
        <f>IF('Casing Review'!$C$57&gt;0,'Casing Review'!G$57, " ")</f>
        <v/>
      </c>
      <c r="AO35" s="729">
        <f>IF('Casing Review'!$C$57&gt;0,'Casing Review'!H$57, " ")</f>
        <v/>
      </c>
      <c r="AP35" s="734">
        <f>IF('Casing Review'!$C$57&gt;0,'Casing Review'!I$57, " ")</f>
        <v/>
      </c>
      <c r="AQ35" s="729">
        <f>IF('Casing Review'!$C$57&gt;0,'Casing Review'!J$57, " ")</f>
        <v/>
      </c>
      <c r="AR35" s="735">
        <f>IF('Casing Review'!$C$57&gt;0,'Casing Review'!K$57, " ")</f>
        <v/>
      </c>
    </row>
    <row r="36">
      <c r="C36" s="449" t="n"/>
      <c r="E36" s="449" t="n"/>
      <c r="F36" s="243" t="n"/>
      <c r="H36" s="449" t="n"/>
      <c r="I36" s="243" t="n"/>
      <c r="L36" s="449" t="n"/>
      <c r="AG36" s="700" t="n"/>
      <c r="AH36" s="243" t="n"/>
      <c r="AK36" s="449" t="n"/>
      <c r="AL36" s="729">
        <f>IF('Casing Review'!$C$59&gt;0,'Casing Review'!E$59, " ")</f>
        <v/>
      </c>
      <c r="AM36" s="729">
        <f>IF('Casing Review'!$C$59&gt;0,'Casing Review'!F$59, " ")</f>
        <v/>
      </c>
      <c r="AN36" s="729">
        <f>IF('Casing Review'!$C$59&gt;0,'Casing Review'!G$59, " ")</f>
        <v/>
      </c>
      <c r="AO36" s="729">
        <f>IF('Casing Review'!$C$59&gt;0,'Casing Review'!H$59, " ")</f>
        <v/>
      </c>
      <c r="AP36" s="734">
        <f>IF('Casing Review'!$C$59&gt;0,'Casing Review'!I$59, " ")</f>
        <v/>
      </c>
      <c r="AQ36" s="729">
        <f>IF('Casing Review'!$C$59&gt;0,'Casing Review'!J$59, " ")</f>
        <v/>
      </c>
      <c r="AR36" s="735">
        <f>IF('Casing Review'!$C$59&gt;0,'Casing Review'!K$59, " ")</f>
        <v/>
      </c>
    </row>
    <row r="37" ht="15.75" customHeight="1" s="613" thickBot="1">
      <c r="C37" s="449" t="n"/>
      <c r="E37" s="449" t="n"/>
      <c r="F37" s="243" t="n"/>
      <c r="H37" s="449" t="n"/>
      <c r="I37" s="243" t="n"/>
      <c r="L37" s="449" t="n"/>
      <c r="AG37" s="654" t="n"/>
      <c r="AH37" s="124" t="n"/>
      <c r="AI37" s="633" t="n"/>
      <c r="AJ37" s="633" t="n"/>
      <c r="AK37" s="154" t="n"/>
      <c r="AL37" s="736">
        <f>IF('Casing Review'!$C$61&gt;0,'Casing Review'!E$61, " ")</f>
        <v/>
      </c>
      <c r="AM37" s="736">
        <f>IF('Casing Review'!$C$61&gt;0,'Casing Review'!F$61, " ")</f>
        <v/>
      </c>
      <c r="AN37" s="736">
        <f>IF('Casing Review'!$C$61&gt;0,'Casing Review'!G$61, " ")</f>
        <v/>
      </c>
      <c r="AO37" s="736">
        <f>IF('Casing Review'!$C$61&gt;0,'Casing Review'!H$61, " ")</f>
        <v/>
      </c>
      <c r="AP37" s="738">
        <f>IF('Casing Review'!$C$61&gt;0,'Casing Review'!I$61, " ")</f>
        <v/>
      </c>
      <c r="AQ37" s="736">
        <f>IF('Casing Review'!$C$61&gt;0,'Casing Review'!J$61, " ")</f>
        <v/>
      </c>
      <c r="AR37" s="739">
        <f>IF('Casing Review'!$C$61&gt;0,'Casing Review'!K$61, " ")</f>
        <v/>
      </c>
    </row>
    <row r="38">
      <c r="C38" s="449" t="n"/>
      <c r="E38" s="449" t="n"/>
      <c r="F38" s="243" t="n"/>
      <c r="H38" s="449" t="n"/>
      <c r="I38" s="243" t="n"/>
      <c r="L38" s="449" t="n"/>
    </row>
    <row r="39">
      <c r="E39" s="449" t="n"/>
      <c r="F39" s="243" t="n"/>
      <c r="I39" s="243" t="n"/>
    </row>
    <row r="40">
      <c r="E40" s="449" t="n"/>
      <c r="F40" s="243" t="n"/>
    </row>
  </sheetData>
  <mergeCells count="12">
    <mergeCell ref="A3:N3"/>
    <mergeCell ref="AE4:AR4"/>
    <mergeCell ref="AT4:BG4"/>
    <mergeCell ref="A4:N4"/>
    <mergeCell ref="AT3:BG3"/>
    <mergeCell ref="P4:AC4"/>
    <mergeCell ref="P3:AC3"/>
    <mergeCell ref="AE3:AR3"/>
    <mergeCell ref="A2:N2"/>
    <mergeCell ref="AE2:AR2"/>
    <mergeCell ref="AT2:BG2"/>
    <mergeCell ref="P2:AC2"/>
  </mergeCells>
  <conditionalFormatting sqref="AY7">
    <cfRule type="expression" priority="122" dxfId="633">
      <formula>AY7&lt;AY$5</formula>
    </cfRule>
  </conditionalFormatting>
  <conditionalFormatting sqref="AY15">
    <cfRule type="expression" priority="19" dxfId="633">
      <formula>AY15&lt;AY$5</formula>
    </cfRule>
    <cfRule type="expression" priority="121" dxfId="633">
      <formula>AY15&lt;$AY$5</formula>
    </cfRule>
  </conditionalFormatting>
  <conditionalFormatting sqref="BB7">
    <cfRule type="expression" priority="11" dxfId="633">
      <formula>BB7&lt;BB$5</formula>
    </cfRule>
    <cfRule type="expression" priority="120" dxfId="633">
      <formula>BB7&lt;BB$5</formula>
    </cfRule>
  </conditionalFormatting>
  <conditionalFormatting sqref="BD7">
    <cfRule type="expression" priority="10" dxfId="633">
      <formula>BD7&lt;BD$5</formula>
    </cfRule>
    <cfRule type="expression" priority="119" dxfId="633">
      <formula>BD7&lt;BD$5</formula>
    </cfRule>
  </conditionalFormatting>
  <conditionalFormatting sqref="BB15">
    <cfRule type="expression" priority="14" dxfId="633">
      <formula>BB15&lt;BB$5</formula>
    </cfRule>
    <cfRule type="expression" priority="118" dxfId="633">
      <formula>BB15&lt;BB$5</formula>
    </cfRule>
  </conditionalFormatting>
  <conditionalFormatting sqref="BD15">
    <cfRule type="expression" priority="7" dxfId="633">
      <formula>BD15&lt;BD$5</formula>
    </cfRule>
    <cfRule type="expression" priority="117" dxfId="633">
      <formula>BD15&lt;BD$5</formula>
    </cfRule>
  </conditionalFormatting>
  <conditionalFormatting sqref="AO7">
    <cfRule type="expression" priority="87" dxfId="633">
      <formula>AO7&lt;AO$5</formula>
    </cfRule>
    <cfRule type="expression" priority="116" dxfId="633">
      <formula>AO7&lt;AO$5</formula>
    </cfRule>
  </conditionalFormatting>
  <conditionalFormatting sqref="AM7">
    <cfRule type="expression" priority="88" dxfId="633">
      <formula>AM7&lt;AM$5</formula>
    </cfRule>
    <cfRule type="expression" priority="115" dxfId="633">
      <formula>AM7&lt;AM$5</formula>
    </cfRule>
  </conditionalFormatting>
  <conditionalFormatting sqref="AJ7">
    <cfRule type="expression" priority="114" dxfId="633">
      <formula>AJ7&lt;AJ$5</formula>
    </cfRule>
  </conditionalFormatting>
  <conditionalFormatting sqref="AJ15">
    <cfRule type="expression" priority="108" dxfId="633">
      <formula>AJ15&lt;AJ$5</formula>
    </cfRule>
    <cfRule type="expression" priority="113" dxfId="633">
      <formula>AJ15&lt;AJ$5</formula>
    </cfRule>
  </conditionalFormatting>
  <conditionalFormatting sqref="AM15">
    <cfRule type="expression" priority="91" dxfId="633">
      <formula>AM15&lt;AM$5</formula>
    </cfRule>
    <cfRule type="expression" priority="112" dxfId="633">
      <formula>AM15&lt;AM$5</formula>
    </cfRule>
  </conditionalFormatting>
  <conditionalFormatting sqref="AO15">
    <cfRule type="expression" priority="84" dxfId="633">
      <formula>AO15&lt;AO$5</formula>
    </cfRule>
    <cfRule type="expression" priority="111" dxfId="633">
      <formula>AO15&lt;AO$5</formula>
    </cfRule>
  </conditionalFormatting>
  <conditionalFormatting sqref="AJ8">
    <cfRule type="expression" priority="110" dxfId="633">
      <formula>AJ8&lt;AJ$5</formula>
    </cfRule>
  </conditionalFormatting>
  <conditionalFormatting sqref="AJ9">
    <cfRule type="expression" priority="109" dxfId="633">
      <formula>AJ9&lt;AJ$5</formula>
    </cfRule>
  </conditionalFormatting>
  <conditionalFormatting sqref="AJ16">
    <cfRule type="expression" priority="107" dxfId="633">
      <formula>AJ16&lt;AJ$5</formula>
    </cfRule>
  </conditionalFormatting>
  <conditionalFormatting sqref="AJ17">
    <cfRule type="expression" priority="106" dxfId="633">
      <formula>AJ17&lt;AJ$5</formula>
    </cfRule>
  </conditionalFormatting>
  <conditionalFormatting sqref="AJ23">
    <cfRule type="expression" priority="105" dxfId="633">
      <formula>AJ23&lt;AJ$5</formula>
    </cfRule>
  </conditionalFormatting>
  <conditionalFormatting sqref="AJ24">
    <cfRule type="expression" priority="104" dxfId="633">
      <formula>AJ24&lt;AJ$5</formula>
    </cfRule>
  </conditionalFormatting>
  <conditionalFormatting sqref="AJ25">
    <cfRule type="expression" priority="103" dxfId="633">
      <formula>AJ25&lt;AJ$5</formula>
    </cfRule>
  </conditionalFormatting>
  <conditionalFormatting sqref="AJ31">
    <cfRule type="expression" priority="102" dxfId="633">
      <formula>AJ31&lt;AJ$5</formula>
    </cfRule>
  </conditionalFormatting>
  <conditionalFormatting sqref="AJ32">
    <cfRule type="expression" priority="101" dxfId="633">
      <formula>AJ32&lt;AJ$5</formula>
    </cfRule>
  </conditionalFormatting>
  <conditionalFormatting sqref="AJ33">
    <cfRule type="expression" priority="100" dxfId="633">
      <formula>AJ33&lt;AJ$5</formula>
    </cfRule>
  </conditionalFormatting>
  <conditionalFormatting sqref="AM33">
    <cfRule type="expression" priority="99" dxfId="633">
      <formula>AM33&lt;AM$5</formula>
    </cfRule>
  </conditionalFormatting>
  <conditionalFormatting sqref="AM32">
    <cfRule type="expression" priority="98" dxfId="633">
      <formula>AM32&lt;AM$5</formula>
    </cfRule>
  </conditionalFormatting>
  <conditionalFormatting sqref="AM31">
    <cfRule type="expression" priority="97" dxfId="633">
      <formula>AM31&lt;AM$5</formula>
    </cfRule>
  </conditionalFormatting>
  <conditionalFormatting sqref="AM25">
    <cfRule type="expression" priority="96" dxfId="633">
      <formula>AM25&lt;AM$5</formula>
    </cfRule>
  </conditionalFormatting>
  <conditionalFormatting sqref="AM24">
    <cfRule type="expression" priority="95" dxfId="633">
      <formula>AM24&lt;AM$5</formula>
    </cfRule>
  </conditionalFormatting>
  <conditionalFormatting sqref="AM23">
    <cfRule type="expression" priority="94" dxfId="633">
      <formula>AM23&lt;AM$5</formula>
    </cfRule>
  </conditionalFormatting>
  <conditionalFormatting sqref="AM17">
    <cfRule type="expression" priority="93" dxfId="633">
      <formula>AM17&lt;AM$5</formula>
    </cfRule>
  </conditionalFormatting>
  <conditionalFormatting sqref="AM16">
    <cfRule type="expression" priority="92" dxfId="633">
      <formula>AM16&lt;AM$5</formula>
    </cfRule>
  </conditionalFormatting>
  <conditionalFormatting sqref="AM9">
    <cfRule type="expression" priority="90" dxfId="633">
      <formula>AM9&lt;AM$5</formula>
    </cfRule>
  </conditionalFormatting>
  <conditionalFormatting sqref="AM8">
    <cfRule type="expression" priority="89" dxfId="633">
      <formula>AM8&lt;AM$5</formula>
    </cfRule>
  </conditionalFormatting>
  <conditionalFormatting sqref="AO8">
    <cfRule type="expression" priority="86" dxfId="633">
      <formula>AO8&lt;AO$5</formula>
    </cfRule>
  </conditionalFormatting>
  <conditionalFormatting sqref="AO9">
    <cfRule type="expression" priority="85" dxfId="633">
      <formula>AO9&lt;AO$5</formula>
    </cfRule>
  </conditionalFormatting>
  <conditionalFormatting sqref="AO16">
    <cfRule type="expression" priority="83" dxfId="633">
      <formula>AO16&lt;AO$5</formula>
    </cfRule>
  </conditionalFormatting>
  <conditionalFormatting sqref="AO17">
    <cfRule type="expression" priority="82" dxfId="633">
      <formula>AO17&lt;AO$5</formula>
    </cfRule>
  </conditionalFormatting>
  <conditionalFormatting sqref="AO23">
    <cfRule type="expression" priority="81" dxfId="633">
      <formula>AO23&lt;AO$5</formula>
    </cfRule>
  </conditionalFormatting>
  <conditionalFormatting sqref="AO24">
    <cfRule type="expression" priority="80" dxfId="633">
      <formula>AO24&lt;AO$5</formula>
    </cfRule>
  </conditionalFormatting>
  <conditionalFormatting sqref="AO25">
    <cfRule type="expression" priority="79" dxfId="633">
      <formula>AO25&lt;AO$5</formula>
    </cfRule>
  </conditionalFormatting>
  <conditionalFormatting sqref="AO31">
    <cfRule type="expression" priority="78" dxfId="633">
      <formula>AO31&lt;AO$5</formula>
    </cfRule>
  </conditionalFormatting>
  <conditionalFormatting sqref="AO32">
    <cfRule type="expression" priority="77" dxfId="633">
      <formula>AO32&lt;AO$5</formula>
    </cfRule>
  </conditionalFormatting>
  <conditionalFormatting sqref="AO33">
    <cfRule type="expression" priority="76" dxfId="633">
      <formula>AO33&lt;AO$5</formula>
    </cfRule>
  </conditionalFormatting>
  <conditionalFormatting sqref="Z7">
    <cfRule type="expression" priority="75" dxfId="633">
      <formula>Z7&lt;Z$5</formula>
    </cfRule>
  </conditionalFormatting>
  <conditionalFormatting sqref="Z8">
    <cfRule type="expression" priority="74" dxfId="633">
      <formula>Z8&lt;Z$5</formula>
    </cfRule>
  </conditionalFormatting>
  <conditionalFormatting sqref="Z9">
    <cfRule type="expression" priority="73" dxfId="633">
      <formula>Z9&lt;Z$5</formula>
    </cfRule>
  </conditionalFormatting>
  <conditionalFormatting sqref="Z15">
    <cfRule type="expression" priority="72" dxfId="633">
      <formula>Z15&lt;Z$5</formula>
    </cfRule>
  </conditionalFormatting>
  <conditionalFormatting sqref="Z16">
    <cfRule type="expression" priority="71" dxfId="633">
      <formula>Z16&lt;Z$5</formula>
    </cfRule>
  </conditionalFormatting>
  <conditionalFormatting sqref="Z17">
    <cfRule type="expression" priority="70" dxfId="633">
      <formula>Z17&lt;Z$5</formula>
    </cfRule>
  </conditionalFormatting>
  <conditionalFormatting sqref="Z23">
    <cfRule type="expression" priority="69" dxfId="633">
      <formula>Z23&lt;Z$5</formula>
    </cfRule>
  </conditionalFormatting>
  <conditionalFormatting sqref="Z24">
    <cfRule type="expression" priority="68" dxfId="633">
      <formula>Z24&lt;Z$5</formula>
    </cfRule>
  </conditionalFormatting>
  <conditionalFormatting sqref="Z25">
    <cfRule type="expression" priority="67" dxfId="633">
      <formula>Z25&lt;Z$5</formula>
    </cfRule>
  </conditionalFormatting>
  <conditionalFormatting sqref="X25">
    <cfRule type="expression" priority="66" dxfId="633">
      <formula>X25&lt;X$5</formula>
    </cfRule>
  </conditionalFormatting>
  <conditionalFormatting sqref="X24">
    <cfRule type="expression" priority="65" dxfId="633">
      <formula>X24&lt;X$5</formula>
    </cfRule>
  </conditionalFormatting>
  <conditionalFormatting sqref="X23">
    <cfRule type="expression" priority="64" dxfId="633">
      <formula>X23&lt;X$5</formula>
    </cfRule>
  </conditionalFormatting>
  <conditionalFormatting sqref="X17">
    <cfRule type="expression" priority="63" dxfId="633">
      <formula>X17&lt;X$5</formula>
    </cfRule>
  </conditionalFormatting>
  <conditionalFormatting sqref="X16">
    <cfRule type="expression" priority="62" dxfId="633">
      <formula>X16&lt;X$5</formula>
    </cfRule>
  </conditionalFormatting>
  <conditionalFormatting sqref="X15">
    <cfRule type="expression" priority="61" dxfId="633">
      <formula>X15&lt;X$5</formula>
    </cfRule>
  </conditionalFormatting>
  <conditionalFormatting sqref="X9">
    <cfRule type="expression" priority="60" dxfId="633">
      <formula>X9&lt;X$5</formula>
    </cfRule>
  </conditionalFormatting>
  <conditionalFormatting sqref="X8">
    <cfRule type="expression" priority="59" dxfId="633">
      <formula>X8&lt;X$5</formula>
    </cfRule>
  </conditionalFormatting>
  <conditionalFormatting sqref="X7">
    <cfRule type="expression" priority="58" dxfId="633">
      <formula>X7&lt;X$5</formula>
    </cfRule>
  </conditionalFormatting>
  <conditionalFormatting sqref="U7">
    <cfRule type="expression" priority="57" dxfId="633">
      <formula>U7&lt;U$5</formula>
    </cfRule>
  </conditionalFormatting>
  <conditionalFormatting sqref="U8">
    <cfRule type="expression" priority="56" dxfId="633">
      <formula>U8&lt;U$5</formula>
    </cfRule>
  </conditionalFormatting>
  <conditionalFormatting sqref="U9">
    <cfRule type="expression" priority="55" dxfId="633">
      <formula>U9&lt;U$5</formula>
    </cfRule>
  </conditionalFormatting>
  <conditionalFormatting sqref="U15">
    <cfRule type="expression" priority="54" dxfId="633">
      <formula>U15&lt;U$5</formula>
    </cfRule>
  </conditionalFormatting>
  <conditionalFormatting sqref="U16">
    <cfRule type="expression" priority="53" dxfId="633">
      <formula>U16&lt;U$5</formula>
    </cfRule>
  </conditionalFormatting>
  <conditionalFormatting sqref="U17">
    <cfRule type="expression" priority="52" dxfId="633">
      <formula>U17&lt;U$5</formula>
    </cfRule>
  </conditionalFormatting>
  <conditionalFormatting sqref="U23">
    <cfRule type="expression" priority="51" dxfId="633">
      <formula>U23&lt;U$5</formula>
    </cfRule>
  </conditionalFormatting>
  <conditionalFormatting sqref="U24">
    <cfRule type="expression" priority="50" dxfId="633">
      <formula>U24&lt;U$5</formula>
    </cfRule>
  </conditionalFormatting>
  <conditionalFormatting sqref="U25">
    <cfRule type="expression" priority="49" dxfId="633">
      <formula>U25&lt;U$5</formula>
    </cfRule>
  </conditionalFormatting>
  <conditionalFormatting sqref="K7">
    <cfRule type="expression" priority="48" dxfId="633">
      <formula>K7&lt;K$5</formula>
    </cfRule>
  </conditionalFormatting>
  <conditionalFormatting sqref="K8">
    <cfRule type="expression" priority="47" dxfId="633">
      <formula>K8&lt;K$5</formula>
    </cfRule>
  </conditionalFormatting>
  <conditionalFormatting sqref="K9">
    <cfRule type="expression" priority="46" dxfId="633">
      <formula>K9&lt;K$5</formula>
    </cfRule>
  </conditionalFormatting>
  <conditionalFormatting sqref="K15">
    <cfRule type="expression" priority="45" dxfId="633">
      <formula>K15&lt;K$5</formula>
    </cfRule>
  </conditionalFormatting>
  <conditionalFormatting sqref="K16">
    <cfRule type="expression" priority="44" dxfId="633">
      <formula>K16&lt;K$5</formula>
    </cfRule>
  </conditionalFormatting>
  <conditionalFormatting sqref="K17">
    <cfRule type="expression" priority="43" dxfId="633">
      <formula>K17&lt;K$5</formula>
    </cfRule>
  </conditionalFormatting>
  <conditionalFormatting sqref="K23">
    <cfRule type="expression" priority="42" dxfId="633">
      <formula>K23&lt;K$5</formula>
    </cfRule>
  </conditionalFormatting>
  <conditionalFormatting sqref="K24">
    <cfRule type="expression" priority="41" dxfId="633">
      <formula>K24&lt;K$5</formula>
    </cfRule>
  </conditionalFormatting>
  <conditionalFormatting sqref="K25">
    <cfRule type="expression" priority="40" dxfId="633">
      <formula>K25&lt;K$5</formula>
    </cfRule>
  </conditionalFormatting>
  <conditionalFormatting sqref="I25">
    <cfRule type="expression" priority="39" dxfId="633">
      <formula>I25&lt;I$5</formula>
    </cfRule>
  </conditionalFormatting>
  <conditionalFormatting sqref="I24">
    <cfRule type="expression" priority="38" dxfId="633">
      <formula>I24&lt;I$5</formula>
    </cfRule>
  </conditionalFormatting>
  <conditionalFormatting sqref="I23">
    <cfRule type="expression" priority="37" dxfId="633">
      <formula>I23&lt;I$5</formula>
    </cfRule>
  </conditionalFormatting>
  <conditionalFormatting sqref="I17">
    <cfRule type="expression" priority="36" dxfId="633">
      <formula>I17&lt;I$5</formula>
    </cfRule>
  </conditionalFormatting>
  <conditionalFormatting sqref="I16">
    <cfRule type="expression" priority="35" dxfId="633">
      <formula>I16&lt;I$5</formula>
    </cfRule>
  </conditionalFormatting>
  <conditionalFormatting sqref="I15">
    <cfRule type="expression" priority="34" dxfId="633">
      <formula>I15&lt;I$5</formula>
    </cfRule>
  </conditionalFormatting>
  <conditionalFormatting sqref="I9">
    <cfRule type="expression" priority="33" dxfId="633">
      <formula>I9&lt;I$5</formula>
    </cfRule>
  </conditionalFormatting>
  <conditionalFormatting sqref="I8">
    <cfRule type="expression" priority="32" dxfId="633">
      <formula>I8&lt;I$5</formula>
    </cfRule>
  </conditionalFormatting>
  <conditionalFormatting sqref="I7">
    <cfRule type="expression" priority="31" dxfId="633">
      <formula>I7&lt;I$5</formula>
    </cfRule>
  </conditionalFormatting>
  <conditionalFormatting sqref="F7">
    <cfRule type="expression" priority="30" dxfId="633">
      <formula>F7&lt;F$5</formula>
    </cfRule>
  </conditionalFormatting>
  <conditionalFormatting sqref="F8">
    <cfRule type="expression" priority="29" dxfId="633">
      <formula>F8&lt;F$5</formula>
    </cfRule>
  </conditionalFormatting>
  <conditionalFormatting sqref="F9">
    <cfRule type="expression" priority="28" dxfId="633">
      <formula>F9&lt;F$5</formula>
    </cfRule>
  </conditionalFormatting>
  <conditionalFormatting sqref="F15">
    <cfRule type="expression" priority="27" dxfId="633">
      <formula>F15&lt;F$5</formula>
    </cfRule>
  </conditionalFormatting>
  <conditionalFormatting sqref="F16">
    <cfRule type="expression" priority="26" dxfId="633">
      <formula>F16&lt;F$5</formula>
    </cfRule>
  </conditionalFormatting>
  <conditionalFormatting sqref="F17">
    <cfRule type="expression" priority="25" dxfId="633">
      <formula>F17&lt;F$5</formula>
    </cfRule>
  </conditionalFormatting>
  <conditionalFormatting sqref="F23">
    <cfRule type="expression" priority="24" dxfId="633">
      <formula>F23&lt;F$5</formula>
    </cfRule>
  </conditionalFormatting>
  <conditionalFormatting sqref="F24">
    <cfRule type="expression" priority="23" dxfId="633">
      <formula>F24&lt;F$5</formula>
    </cfRule>
  </conditionalFormatting>
  <conditionalFormatting sqref="F25">
    <cfRule type="expression" priority="22" dxfId="633">
      <formula>F25&lt;F$5</formula>
    </cfRule>
  </conditionalFormatting>
  <conditionalFormatting sqref="AY8">
    <cfRule type="expression" priority="21" dxfId="633">
      <formula>AY8&lt;AY$5</formula>
    </cfRule>
  </conditionalFormatting>
  <conditionalFormatting sqref="AY9">
    <cfRule type="expression" priority="20" dxfId="633">
      <formula>AY9&lt;AY$5</formula>
    </cfRule>
  </conditionalFormatting>
  <conditionalFormatting sqref="AY16">
    <cfRule type="expression" priority="18" dxfId="633">
      <formula>AY16&lt;AY$5</formula>
    </cfRule>
  </conditionalFormatting>
  <conditionalFormatting sqref="AY17">
    <cfRule type="expression" priority="17" dxfId="633">
      <formula>AY17&lt;AY$5</formula>
    </cfRule>
  </conditionalFormatting>
  <conditionalFormatting sqref="BB17">
    <cfRule type="expression" priority="16" dxfId="633">
      <formula>BB17&lt;BB$5</formula>
    </cfRule>
  </conditionalFormatting>
  <conditionalFormatting sqref="BB16">
    <cfRule type="expression" priority="15" dxfId="633">
      <formula>BB16&lt;BB$5</formula>
    </cfRule>
  </conditionalFormatting>
  <conditionalFormatting sqref="BB9">
    <cfRule type="expression" priority="13" dxfId="633">
      <formula>BB9&lt;BB$5</formula>
    </cfRule>
  </conditionalFormatting>
  <conditionalFormatting sqref="BB8">
    <cfRule type="expression" priority="12" dxfId="633">
      <formula>BB8&lt;BB$5</formula>
    </cfRule>
  </conditionalFormatting>
  <conditionalFormatting sqref="BD8">
    <cfRule type="expression" priority="9" dxfId="633">
      <formula>BD8&lt;BD$5</formula>
    </cfRule>
  </conditionalFormatting>
  <conditionalFormatting sqref="BD9">
    <cfRule type="expression" priority="8" dxfId="633">
      <formula>BD9&lt;BD$5</formula>
    </cfRule>
  </conditionalFormatting>
  <conditionalFormatting sqref="BD16">
    <cfRule type="expression" priority="6" dxfId="633">
      <formula>BD16&lt;BD$5</formula>
    </cfRule>
  </conditionalFormatting>
  <conditionalFormatting sqref="BD17">
    <cfRule type="expression" priority="5" dxfId="633">
      <formula>BD17&lt;BD$5</formula>
    </cfRule>
  </conditionalFormatting>
  <conditionalFormatting sqref="E11:F13 E19:F21 E27:F29">
    <cfRule type="cellIs" priority="4" operator="greaterThan" dxfId="629">
      <formula>0</formula>
    </cfRule>
  </conditionalFormatting>
  <conditionalFormatting sqref="T11:U13 T19:U21 T27:U29">
    <cfRule type="cellIs" priority="3" operator="greaterThan" dxfId="629">
      <formula>0</formula>
    </cfRule>
  </conditionalFormatting>
  <conditionalFormatting sqref="AI11:AJ13 AI19:AJ21 AI27:AJ29 AI35:AJ37">
    <cfRule type="cellIs" priority="2" operator="greaterThan" dxfId="629">
      <formula>0</formula>
    </cfRule>
  </conditionalFormatting>
  <conditionalFormatting sqref="AX11:AY13 AX19:AY21">
    <cfRule type="cellIs" priority="1" operator="greaterThan" dxfId="629">
      <formula>0</formula>
    </cfRule>
  </conditionalFormatting>
  <pageMargins left="0.5" right="0.5" top="0.5" bottom="0.5" header="0.3" footer="0.3"/>
  <pageSetup orientation="landscape" scale="79" fitToHeight="0" fitToWidth="0" verticalDpi="1200"/>
  <headerFooter>
    <oddHeader/>
    <oddFooter>&amp;L&amp;9 &amp;F&amp;R&amp;9 DOGM Casing/Cement Review &amp;D</oddFooter>
    <evenHeader/>
    <evenFooter/>
    <firstHeader/>
    <firstFooter/>
  </headerFooter>
  <colBreaks count="3" manualBreakCount="3">
    <brk id="15" min="0" max="38" man="1"/>
    <brk id="30" min="0" max="38" man="1"/>
    <brk id="45" min="0" max="38" man="1"/>
  </colBreaks>
</worksheet>
</file>

<file path=xl/worksheets/sheet6.xml><?xml version="1.0" encoding="utf-8"?>
<worksheet xmlns="http://schemas.openxmlformats.org/spreadsheetml/2006/main">
  <sheetPr codeName="Sheet9">
    <outlinePr summaryBelow="1" summaryRight="1"/>
    <pageSetUpPr/>
  </sheetPr>
  <dimension ref="A1:M51"/>
  <sheetViews>
    <sheetView zoomScaleNormal="100" workbookViewId="0">
      <selection activeCell="N31" sqref="N31"/>
    </sheetView>
  </sheetViews>
  <sheetFormatPr baseColWidth="8" defaultColWidth="9.109375" defaultRowHeight="13.2"/>
  <cols>
    <col width="26.6640625" customWidth="1" style="645" min="1" max="1"/>
    <col width="39.33203125" customWidth="1" style="645" min="2" max="2"/>
    <col width="12.6640625" customWidth="1" style="645" min="3" max="6"/>
    <col width="29.44140625" customWidth="1" style="645" min="7" max="7"/>
    <col width="9.109375" customWidth="1" style="645" min="8" max="9"/>
    <col width="9.109375" customWidth="1" style="645" min="10" max="16384"/>
  </cols>
  <sheetData>
    <row r="1" ht="10.5" customHeight="1" s="613">
      <c r="A1" s="652" t="inlineStr">
        <is>
          <t>BOPE REVIEW</t>
        </is>
      </c>
      <c r="B1" s="653" t="n"/>
      <c r="C1" s="218" t="n"/>
      <c r="D1" s="655" t="n"/>
      <c r="E1" s="653" t="n"/>
      <c r="F1" s="653" t="n"/>
      <c r="G1" s="656" t="n"/>
      <c r="H1" s="645" t="inlineStr">
        <is>
          <t xml:space="preserve"> </t>
        </is>
      </c>
    </row>
    <row r="2" ht="13.5" customHeight="1" s="613" thickBot="1">
      <c r="A2" s="654" t="n"/>
      <c r="B2" s="633" t="n"/>
      <c r="C2" s="219" t="n"/>
      <c r="D2" s="633" t="n"/>
      <c r="E2" s="633" t="n"/>
      <c r="F2" s="633" t="n"/>
      <c r="G2" s="634" t="n"/>
    </row>
    <row r="3" ht="15" customHeight="1" s="613">
      <c r="A3" s="635" t="inlineStr">
        <is>
          <t>Well Name</t>
        </is>
      </c>
      <c r="B3" s="636" t="n"/>
      <c r="C3" s="239">
        <f>'Casing Review'!B4</f>
        <v/>
      </c>
      <c r="D3" s="233" t="n"/>
      <c r="E3" s="233">
        <f>'Casing Review'!B5</f>
        <v/>
      </c>
      <c r="F3" s="234" t="n"/>
      <c r="G3" s="240">
        <f>'Casing Review'!B6</f>
        <v/>
      </c>
    </row>
    <row r="4" ht="15" customHeight="1" s="613">
      <c r="A4" s="637" t="inlineStr">
        <is>
          <t>String</t>
        </is>
      </c>
      <c r="B4" s="638" t="n"/>
      <c r="C4" s="246" t="inlineStr">
        <is>
          <t>Surface</t>
        </is>
      </c>
      <c r="D4" s="246" t="inlineStr">
        <is>
          <t>Intermediate</t>
        </is>
      </c>
      <c r="E4" s="246" t="inlineStr">
        <is>
          <t>Production</t>
        </is>
      </c>
      <c r="F4" s="246" t="n"/>
      <c r="G4" s="204" t="n"/>
    </row>
    <row r="5" ht="15" customHeight="1" s="613">
      <c r="A5" s="637" t="inlineStr">
        <is>
          <t>Casing Size (")</t>
        </is>
      </c>
      <c r="B5" s="638" t="n"/>
      <c r="C5" s="227">
        <f>'Casing Review'!C12</f>
        <v/>
      </c>
      <c r="D5" s="227">
        <f>'Casing Review'!C27</f>
        <v/>
      </c>
      <c r="E5" s="227">
        <f>IF('Casing Review'!$C$42=0,'Casing Review'!$C$57,'Casing Review'!$C$42)</f>
        <v/>
      </c>
      <c r="F5" s="227">
        <f>IF('Casing Review'!$C$42=0,0,'Casing Review'!$C$57)</f>
        <v/>
      </c>
      <c r="G5" s="204" t="n"/>
    </row>
    <row r="6" ht="15" customHeight="1" s="613">
      <c r="A6" s="637" t="inlineStr">
        <is>
          <t>Setting Depth (TVD)</t>
        </is>
      </c>
      <c r="B6" s="638" t="n"/>
      <c r="C6" s="229">
        <f>'Casing Review'!B19</f>
        <v/>
      </c>
      <c r="D6" s="229">
        <f>IF('Casing Review'!B34=0,'Casing Review'!B64,'Casing Review'!B34)</f>
        <v/>
      </c>
      <c r="E6" s="229">
        <f>IF('Casing Review'!B49=0,'Casing Review'!B64,'Casing Review'!B49)</f>
        <v/>
      </c>
      <c r="F6" s="229">
        <f>IF('Casing Review'!B49=0,0,'Casing Review'!B64)</f>
        <v/>
      </c>
      <c r="G6" s="204" t="n"/>
    </row>
    <row r="7" ht="15" customHeight="1" s="613">
      <c r="A7" s="637" t="inlineStr">
        <is>
          <t>Previous Shoe Setting Depth (TVD)</t>
        </is>
      </c>
      <c r="B7" s="638" t="n"/>
      <c r="C7" s="228" t="n">
        <v>7896</v>
      </c>
      <c r="D7" s="229">
        <f>C6</f>
        <v/>
      </c>
      <c r="E7" s="229">
        <f>D6</f>
        <v/>
      </c>
      <c r="F7" s="229">
        <f>E6</f>
        <v/>
      </c>
      <c r="G7" s="204" t="inlineStr">
        <is>
          <t xml:space="preserve"> </t>
        </is>
      </c>
    </row>
    <row r="8" ht="15" customHeight="1" s="613">
      <c r="A8" s="637" t="inlineStr">
        <is>
          <t>Max Mud Weight (ppg)</t>
        </is>
      </c>
      <c r="B8" s="638" t="n"/>
      <c r="C8" s="232">
        <f>'Casing Review'!$B$18</f>
        <v/>
      </c>
      <c r="D8" s="232">
        <f>'Casing Review'!$B$33</f>
        <v/>
      </c>
      <c r="E8" s="232">
        <f>IF('Casing Review'!B49=0,'Casing Review'!B63,'Casing Review'!B48)</f>
        <v/>
      </c>
      <c r="F8" s="232">
        <f>IF('Casing Review'!B49=0,0,'Casing Review'!B63)</f>
        <v/>
      </c>
      <c r="G8" s="204" t="n"/>
    </row>
    <row r="9" ht="15" customHeight="1" s="613">
      <c r="A9" s="637" t="inlineStr">
        <is>
          <t>BOPE Proposed (psi)</t>
        </is>
      </c>
      <c r="B9" s="638" t="n"/>
      <c r="C9" s="230" t="inlineStr">
        <is>
          <t>500</t>
        </is>
      </c>
      <c r="D9" s="230" t="inlineStr">
        <is>
          <t>5000</t>
        </is>
      </c>
      <c r="E9" s="230" t="inlineStr">
        <is>
          <t>5000</t>
        </is>
      </c>
      <c r="F9" s="230" t="n"/>
      <c r="G9" s="204" t="n"/>
    </row>
    <row r="10" ht="15" customHeight="1" s="613">
      <c r="A10" s="637" t="inlineStr">
        <is>
          <t>Casing Internal Yield (psi)</t>
        </is>
      </c>
      <c r="B10" s="638" t="n"/>
      <c r="C10" s="232">
        <f>'Casing Review'!W12</f>
        <v/>
      </c>
      <c r="D10" s="232">
        <f>IF('Casing Review'!B34=0,'Casing Review'!W57,'Casing Review'!W27)</f>
        <v/>
      </c>
      <c r="E10" s="232">
        <f>IF('Casing Review'!B49=0,IF('Casing Review'!B57=0,0,'Casing Review'!W57),'Casing Review'!W42)</f>
        <v/>
      </c>
      <c r="F10" s="235">
        <f>IF('Casing Review'!B49=0,0,'Casing Review'!W57)</f>
        <v/>
      </c>
      <c r="G10" s="204" t="n"/>
    </row>
    <row r="11" ht="15.75" customHeight="1" s="613" thickBot="1">
      <c r="A11" s="650" t="inlineStr">
        <is>
          <t>Operators Max Anticipated Pressure (psi)</t>
        </is>
      </c>
      <c r="B11" s="651" t="n"/>
      <c r="C11" s="231" t="n">
        <v>5584.5</v>
      </c>
      <c r="D11" s="740" t="n"/>
      <c r="E11" s="740" t="n"/>
      <c r="F11" s="741">
        <f>C11/(0.052*MAX(C6:F6))</f>
        <v/>
      </c>
      <c r="G11" s="220" t="inlineStr">
        <is>
          <t>ppg</t>
        </is>
      </c>
      <c r="J11" s="645" t="inlineStr">
        <is>
          <t>BOPE Test</t>
        </is>
      </c>
    </row>
    <row r="12" ht="10.5" customHeight="1" s="613" thickBot="1"/>
    <row r="13" ht="16.5" customHeight="1" s="613" thickBot="1">
      <c r="A13" s="206" t="inlineStr">
        <is>
          <t>Calculations</t>
        </is>
      </c>
      <c r="B13" s="207">
        <f>C$4</f>
        <v/>
      </c>
      <c r="C13" s="226">
        <f>C$5</f>
        <v/>
      </c>
      <c r="D13" s="208" t="inlineStr">
        <is>
          <t>"</t>
        </is>
      </c>
      <c r="E13" s="202" t="n"/>
      <c r="F13" s="202" t="n"/>
      <c r="G13" s="203" t="n"/>
      <c r="J13" s="216">
        <f>C9</f>
        <v/>
      </c>
      <c r="K13" s="216">
        <f>D9</f>
        <v/>
      </c>
      <c r="L13" s="216">
        <f>E9</f>
        <v/>
      </c>
      <c r="M13" s="216">
        <f>F9</f>
        <v/>
      </c>
    </row>
    <row r="14">
      <c r="A14" s="648" t="inlineStr">
        <is>
          <t>Max BHP [psi]</t>
        </is>
      </c>
      <c r="B14" s="209" t="inlineStr">
        <is>
          <t>.052*Setting Depth*MW =</t>
        </is>
      </c>
      <c r="C14" s="210">
        <f>C$6*0.052*C$8</f>
        <v/>
      </c>
      <c r="G14" s="204" t="n"/>
      <c r="J14" s="216">
        <f>C6</f>
        <v/>
      </c>
      <c r="K14" s="216">
        <f>D6</f>
        <v/>
      </c>
      <c r="L14" s="216">
        <f>E6</f>
        <v/>
      </c>
      <c r="M14" s="216">
        <f>F6</f>
        <v/>
      </c>
    </row>
    <row r="15" ht="15" customHeight="1" s="613">
      <c r="A15" s="205" t="n"/>
      <c r="B15" s="211" t="n"/>
      <c r="C15" s="216" t="inlineStr">
        <is>
          <t xml:space="preserve"> </t>
        </is>
      </c>
      <c r="D15" s="639" t="inlineStr">
        <is>
          <t>BOPE Adequate For Drilling And Setting Casing at Depth?</t>
        </is>
      </c>
      <c r="E15" s="640" t="n"/>
      <c r="F15" s="640" t="n"/>
      <c r="G15" s="641" t="n"/>
      <c r="J15" s="216">
        <f>C10*0.7</f>
        <v/>
      </c>
      <c r="K15" s="216">
        <f>D10*0.7</f>
        <v/>
      </c>
      <c r="L15" s="216">
        <f>E10*0.7</f>
        <v/>
      </c>
      <c r="M15" s="216">
        <f>F10*0.7</f>
        <v/>
      </c>
    </row>
    <row r="16" ht="15" customHeight="1" s="613">
      <c r="A16" s="648" t="inlineStr">
        <is>
          <t>MASP (Gas) [psi]</t>
        </is>
      </c>
      <c r="B16" s="209" t="inlineStr">
        <is>
          <t>Max BHP-(0.12*Setting Depth) =</t>
        </is>
      </c>
      <c r="C16" s="212">
        <f>C$14-0.12*C$6</f>
        <v/>
      </c>
      <c r="D16" s="213">
        <f>IF(C$9&gt;C$16,"YES","NO")</f>
        <v/>
      </c>
      <c r="E16" s="642" t="inlineStr">
        <is>
          <t>Diverter Stip</t>
        </is>
      </c>
      <c r="F16" s="742" t="n"/>
      <c r="G16" s="743" t="n"/>
      <c r="J16" s="216">
        <f>D9</f>
        <v/>
      </c>
      <c r="K16" s="216">
        <f>E9</f>
        <v/>
      </c>
      <c r="L16" s="216">
        <f>F9</f>
        <v/>
      </c>
      <c r="M16" s="216">
        <f>G9</f>
        <v/>
      </c>
    </row>
    <row r="17" ht="15" customHeight="1" s="613">
      <c r="A17" s="648" t="inlineStr">
        <is>
          <t>MASP (Gas/Mud) [psi]</t>
        </is>
      </c>
      <c r="B17" s="209" t="inlineStr">
        <is>
          <t>Max BHP-(0.22*Setting Depth) =</t>
        </is>
      </c>
      <c r="C17" s="212">
        <f>C$14-0.22*C$6</f>
        <v/>
      </c>
      <c r="D17" s="213">
        <f>IF(C$9&gt;C$17,"YES","NO")</f>
        <v/>
      </c>
      <c r="E17" s="647" t="inlineStr">
        <is>
          <t>OK</t>
        </is>
      </c>
      <c r="F17" s="742" t="n"/>
      <c r="G17" s="743" t="n"/>
    </row>
    <row r="18" ht="15" customHeight="1" s="613">
      <c r="A18" s="205" t="n"/>
      <c r="C18" s="216" t="inlineStr">
        <is>
          <t xml:space="preserve"> </t>
        </is>
      </c>
      <c r="D18" s="644" t="inlineStr">
        <is>
          <t>*Can Full Expected Pressure Be Held At Previous Shoe?</t>
        </is>
      </c>
      <c r="G18" s="646" t="n"/>
      <c r="J18" s="645" t="inlineStr">
        <is>
          <t>Casing Shoe</t>
        </is>
      </c>
    </row>
    <row r="19" ht="15" customHeight="1" s="613">
      <c r="A19" s="648" t="inlineStr">
        <is>
          <t>Pressure At Previous Shoe</t>
        </is>
      </c>
      <c r="B19" s="209" t="inlineStr">
        <is>
          <t>Max BHP-.22*(Setting Depth - Previous Shoe Depth) =</t>
        </is>
      </c>
      <c r="C19" s="212">
        <f>C$14-0.22*(C$6-C$7)</f>
        <v/>
      </c>
      <c r="D19" s="213">
        <f>IF(C$7&gt;C$19,"YES","NO")</f>
        <v/>
      </c>
      <c r="E19" s="647" t="inlineStr">
        <is>
          <t>Deepen Conductor as Necessary</t>
        </is>
      </c>
      <c r="F19" s="742" t="n"/>
      <c r="G19" s="743" t="n"/>
      <c r="I19" s="645" t="inlineStr">
        <is>
          <t>Set Depth</t>
        </is>
      </c>
      <c r="J19" s="216">
        <f>C7</f>
        <v/>
      </c>
      <c r="K19" s="216">
        <f>D7</f>
        <v/>
      </c>
      <c r="L19" s="216">
        <f>E7</f>
        <v/>
      </c>
      <c r="M19" s="216">
        <f>F7</f>
        <v/>
      </c>
    </row>
    <row r="20" ht="15" customHeight="1" s="613">
      <c r="A20" s="648" t="inlineStr">
        <is>
          <t>Required Casing/BOPE Test Pressure</t>
        </is>
      </c>
      <c r="B20" s="617" t="n"/>
      <c r="C20" s="210">
        <f>IF(D$9&gt;0,SMALL(J$14:J$16,1),SMALL(J$13:J$15,1))</f>
        <v/>
      </c>
      <c r="D20" s="221" t="inlineStr">
        <is>
          <t>psi</t>
        </is>
      </c>
      <c r="E20" s="214" t="n"/>
      <c r="F20" s="214" t="n"/>
      <c r="G20" s="215" t="n"/>
      <c r="I20" s="645" t="inlineStr">
        <is>
          <t>Burst</t>
        </is>
      </c>
      <c r="J20" s="216">
        <f>C7</f>
        <v/>
      </c>
      <c r="K20" s="216">
        <f>C10</f>
        <v/>
      </c>
      <c r="L20" s="216">
        <f>D10</f>
        <v/>
      </c>
      <c r="M20" s="216">
        <f>E10</f>
        <v/>
      </c>
    </row>
    <row r="21" ht="13.5" customHeight="1" s="613" thickBot="1">
      <c r="A21" s="630" t="inlineStr">
        <is>
          <t>*Max Pressure Allowed @ Previous Casing Shoe =</t>
        </is>
      </c>
      <c r="B21" s="631" t="n"/>
      <c r="C21" s="222">
        <f>IF(D$19="NO",SMALL(J$19:J$21,1),SMALL(J$19:J$20,1))</f>
        <v/>
      </c>
      <c r="D21" s="223" t="inlineStr">
        <is>
          <t>psi</t>
        </is>
      </c>
      <c r="E21" s="632" t="inlineStr">
        <is>
          <t xml:space="preserve">*Assumes 1psi/ft frac gradient </t>
        </is>
      </c>
      <c r="F21" s="633" t="n"/>
      <c r="G21" s="634" t="n"/>
      <c r="I21" s="645" t="inlineStr">
        <is>
          <t>Max Pres</t>
        </is>
      </c>
      <c r="J21" s="216">
        <f>C19</f>
        <v/>
      </c>
      <c r="K21" s="216">
        <f>C29</f>
        <v/>
      </c>
      <c r="L21" s="216">
        <f>C39</f>
        <v/>
      </c>
      <c r="M21" s="216">
        <f>C49</f>
        <v/>
      </c>
    </row>
    <row r="22" ht="9" customHeight="1" s="613" thickBot="1"/>
    <row r="23" ht="16.5" customHeight="1" s="613" thickBot="1">
      <c r="A23" s="206" t="inlineStr">
        <is>
          <t>Calculations</t>
        </is>
      </c>
      <c r="B23" s="207">
        <f>D$4</f>
        <v/>
      </c>
      <c r="C23" s="226">
        <f>D$5</f>
        <v/>
      </c>
      <c r="D23" s="208" t="inlineStr">
        <is>
          <t>"</t>
        </is>
      </c>
      <c r="E23" s="202" t="n"/>
      <c r="F23" s="202" t="n"/>
      <c r="G23" s="203" t="n"/>
    </row>
    <row r="24">
      <c r="A24" s="648" t="inlineStr">
        <is>
          <t>Max BHP [psi]</t>
        </is>
      </c>
      <c r="B24" s="209" t="inlineStr">
        <is>
          <t>.052*Setting Depth*MW =</t>
        </is>
      </c>
      <c r="C24" s="210">
        <f>D$6*0.052*D$8</f>
        <v/>
      </c>
      <c r="G24" s="204" t="n"/>
    </row>
    <row r="25" ht="15" customHeight="1" s="613">
      <c r="A25" s="205" t="n"/>
      <c r="B25" s="211" t="n"/>
      <c r="C25" s="216" t="inlineStr">
        <is>
          <t xml:space="preserve"> </t>
        </is>
      </c>
      <c r="D25" s="639" t="inlineStr">
        <is>
          <t>BOPE Adequate For Drilling And Setting Casing at Depth?</t>
        </is>
      </c>
      <c r="E25" s="640" t="n"/>
      <c r="F25" s="640" t="n"/>
      <c r="G25" s="641" t="n"/>
    </row>
    <row r="26" ht="15" customHeight="1" s="613">
      <c r="A26" s="648" t="inlineStr">
        <is>
          <t>MASP (Gas) [psi]</t>
        </is>
      </c>
      <c r="B26" s="209" t="inlineStr">
        <is>
          <t>Max BHP-(0.12*Setting Depth) =</t>
        </is>
      </c>
      <c r="C26" s="212">
        <f>C$24-0.12*D$6</f>
        <v/>
      </c>
      <c r="D26" s="213">
        <f>IF(D$9&gt;C$26,"YES","NO")</f>
        <v/>
      </c>
      <c r="E26" s="642" t="inlineStr">
        <is>
          <t>5M BOPE</t>
        </is>
      </c>
      <c r="F26" s="742" t="n"/>
      <c r="G26" s="743" t="n"/>
    </row>
    <row r="27" ht="15" customHeight="1" s="613">
      <c r="A27" s="648" t="inlineStr">
        <is>
          <t>MASP (Gas/Mud) [psi]</t>
        </is>
      </c>
      <c r="B27" s="209" t="inlineStr">
        <is>
          <t>Max BHP-(0.22*Setting Depth) =</t>
        </is>
      </c>
      <c r="C27" s="212">
        <f>C$24-0.22*D$6</f>
        <v/>
      </c>
      <c r="D27" s="213">
        <f>IF(D$9&gt;C$27,"YES","NO")</f>
        <v/>
      </c>
      <c r="E27" s="642" t="inlineStr">
        <is>
          <t>OK</t>
        </is>
      </c>
      <c r="F27" s="742" t="n"/>
      <c r="G27" s="743" t="n"/>
    </row>
    <row r="28" ht="15" customHeight="1" s="613">
      <c r="A28" s="205" t="n"/>
      <c r="C28" s="216" t="inlineStr">
        <is>
          <t xml:space="preserve"> </t>
        </is>
      </c>
      <c r="D28" s="649" t="inlineStr">
        <is>
          <t>*Can Full Expected Pressure Be Held At Previous Shoe?</t>
        </is>
      </c>
      <c r="E28" s="616" t="n"/>
      <c r="F28" s="616" t="n"/>
      <c r="G28" s="643" t="n"/>
    </row>
    <row r="29">
      <c r="A29" s="648" t="inlineStr">
        <is>
          <t>Pressure At Previous Shoe</t>
        </is>
      </c>
      <c r="B29" s="209" t="inlineStr">
        <is>
          <t>Max BHP-.22*(Setting Depth - Previous Shoe Depth) =</t>
        </is>
      </c>
      <c r="C29" s="212">
        <f>C$24-0.22*(D$6-D$7)</f>
        <v/>
      </c>
      <c r="D29" s="213">
        <f>IF(D$7&gt;C$29,"YES","NO")</f>
        <v/>
      </c>
      <c r="E29" s="224" t="inlineStr">
        <is>
          <t>Reasonable</t>
        </is>
      </c>
      <c r="F29" s="224" t="n"/>
      <c r="G29" s="225" t="n"/>
    </row>
    <row r="30" ht="15" customHeight="1" s="613">
      <c r="A30" s="648" t="inlineStr">
        <is>
          <t>Required Casing/BOPE Test Pressure</t>
        </is>
      </c>
      <c r="B30" s="617" t="n"/>
      <c r="C30" s="210">
        <f>IF(E$9&gt;0,SMALL(K$14:K$16,1),SMALL(K$13:K$15,1))</f>
        <v/>
      </c>
      <c r="D30" s="239" t="inlineStr">
        <is>
          <t>psi</t>
        </is>
      </c>
      <c r="E30" s="214" t="n"/>
      <c r="F30" s="214" t="n"/>
      <c r="G30" s="215" t="n"/>
    </row>
    <row r="31" ht="12.75" customHeight="1" s="613" thickBot="1">
      <c r="A31" s="630" t="inlineStr">
        <is>
          <t>*Max Pressure Allowed @ Previous Casing Shoe =</t>
        </is>
      </c>
      <c r="B31" s="631" t="n"/>
      <c r="C31" s="222">
        <f>IF(D$29="NO",SMALL(K$19:K$21,1),SMALL(K$19:K$20,1))</f>
        <v/>
      </c>
      <c r="D31" s="223" t="inlineStr">
        <is>
          <t>psi</t>
        </is>
      </c>
      <c r="E31" s="632" t="inlineStr">
        <is>
          <t xml:space="preserve">*Assumes 1psi/ft frac gradient  </t>
        </is>
      </c>
      <c r="F31" s="633" t="n"/>
      <c r="G31" s="634" t="n"/>
    </row>
    <row r="32" ht="9" customHeight="1" s="613" thickBot="1"/>
    <row r="33" ht="16.5" customHeight="1" s="613" thickBot="1">
      <c r="A33" s="206" t="inlineStr">
        <is>
          <t>Calculations</t>
        </is>
      </c>
      <c r="B33" s="207">
        <f>E$4</f>
        <v/>
      </c>
      <c r="C33" s="226">
        <f>E$5</f>
        <v/>
      </c>
      <c r="D33" s="208" t="inlineStr">
        <is>
          <t>"</t>
        </is>
      </c>
      <c r="E33" s="202" t="n"/>
      <c r="F33" s="202" t="n"/>
      <c r="G33" s="203" t="n"/>
    </row>
    <row r="34">
      <c r="A34" s="648" t="inlineStr">
        <is>
          <t>Max BHP [psi]</t>
        </is>
      </c>
      <c r="B34" s="209" t="inlineStr">
        <is>
          <t>.052*Setting Depth*MW =</t>
        </is>
      </c>
      <c r="C34" s="210">
        <f>E$6*0.052*E$8</f>
        <v/>
      </c>
      <c r="G34" s="204" t="n"/>
    </row>
    <row r="35" ht="15" customHeight="1" s="613">
      <c r="A35" s="205" t="n"/>
      <c r="B35" s="211" t="n"/>
      <c r="C35" s="216" t="inlineStr">
        <is>
          <t xml:space="preserve"> </t>
        </is>
      </c>
      <c r="D35" s="639" t="inlineStr">
        <is>
          <t>BOPE Adequate For Drilling And Setting Casing at Depth?</t>
        </is>
      </c>
      <c r="E35" s="640" t="n"/>
      <c r="F35" s="640" t="n"/>
      <c r="G35" s="641" t="n"/>
    </row>
    <row r="36" ht="15" customHeight="1" s="613">
      <c r="A36" s="648" t="inlineStr">
        <is>
          <t>MASP (Gas) [psi]</t>
        </is>
      </c>
      <c r="B36" s="209" t="inlineStr">
        <is>
          <t>Max BHP-(0.12*Setting Depth) =</t>
        </is>
      </c>
      <c r="C36" s="212">
        <f>C$34-0.12*E$6</f>
        <v/>
      </c>
      <c r="D36" s="217">
        <f>IF(E$9&gt;C36,"YES","NO")</f>
        <v/>
      </c>
      <c r="E36" s="642" t="inlineStr">
        <is>
          <t>5M BOPE</t>
        </is>
      </c>
      <c r="F36" s="742" t="n"/>
      <c r="G36" s="743" t="n"/>
    </row>
    <row r="37" ht="15" customHeight="1" s="613">
      <c r="A37" s="648" t="inlineStr">
        <is>
          <t>MASP (Gas/Mud) [psi]</t>
        </is>
      </c>
      <c r="B37" s="209" t="inlineStr">
        <is>
          <t>Max BHP-(0.22*Setting Depth) =</t>
        </is>
      </c>
      <c r="C37" s="212">
        <f>C$34-0.22*E$6</f>
        <v/>
      </c>
      <c r="D37" s="213">
        <f>IF(E$9&gt;C37,"YES","NO")</f>
        <v/>
      </c>
      <c r="E37" s="642" t="inlineStr">
        <is>
          <t>OK</t>
        </is>
      </c>
      <c r="F37" s="742" t="n"/>
      <c r="G37" s="743" t="n"/>
    </row>
    <row r="38" ht="15" customHeight="1" s="613">
      <c r="A38" s="205" t="n"/>
      <c r="C38" s="216" t="inlineStr">
        <is>
          <t xml:space="preserve"> </t>
        </is>
      </c>
      <c r="D38" s="649" t="inlineStr">
        <is>
          <t>*Can Full Expected Pressure Be Held At Previous Shoe?</t>
        </is>
      </c>
      <c r="E38" s="616" t="n"/>
      <c r="F38" s="616" t="n"/>
      <c r="G38" s="643" t="n"/>
    </row>
    <row r="39" ht="15" customHeight="1" s="613">
      <c r="A39" s="648" t="inlineStr">
        <is>
          <t>Pressure At Previous Shoe</t>
        </is>
      </c>
      <c r="B39" s="209" t="inlineStr">
        <is>
          <t>Max BHP-.22*(Setting Depth - Previous Shoe Depth) =</t>
        </is>
      </c>
      <c r="C39" s="212">
        <f>C$34-0.22*(E$6-E$7)</f>
        <v/>
      </c>
      <c r="D39" s="213">
        <f>IF(E$7&gt;C$39,"YES","NO")</f>
        <v/>
      </c>
      <c r="E39" s="647" t="inlineStr">
        <is>
          <t>OK</t>
        </is>
      </c>
      <c r="F39" s="742" t="n"/>
      <c r="G39" s="743" t="n"/>
    </row>
    <row r="40" ht="15" customHeight="1" s="613">
      <c r="A40" s="648" t="inlineStr">
        <is>
          <t>Required Casing/BOPE Test Pressure</t>
        </is>
      </c>
      <c r="B40" s="617" t="n"/>
      <c r="C40" s="210">
        <f>IF(F$9&gt;0,SMALL(L$14:L$16,1),SMALL(L$13:L$15,1))</f>
        <v/>
      </c>
      <c r="D40" s="239" t="inlineStr">
        <is>
          <t>psi</t>
        </is>
      </c>
      <c r="E40" s="214" t="n"/>
      <c r="F40" s="214" t="n"/>
      <c r="G40" s="215" t="n"/>
    </row>
    <row r="41" ht="13.5" customHeight="1" s="613" thickBot="1">
      <c r="A41" s="630" t="inlineStr">
        <is>
          <t>*Max Pressure Allowed @ Previous Casing Shoe =</t>
        </is>
      </c>
      <c r="B41" s="631" t="n"/>
      <c r="C41" s="222">
        <f>IF(D$39="NO",SMALL(L$19:L$21,1),SMALL(L$19:L$20,1))</f>
        <v/>
      </c>
      <c r="D41" s="223" t="inlineStr">
        <is>
          <t>psi</t>
        </is>
      </c>
      <c r="E41" s="632" t="inlineStr">
        <is>
          <t xml:space="preserve">*Assumes 1psi/ft frac gradient  </t>
        </is>
      </c>
      <c r="F41" s="633" t="n"/>
      <c r="G41" s="634" t="n"/>
    </row>
    <row r="42" ht="9" customHeight="1" s="613" thickBot="1"/>
    <row r="43" ht="16.5" customHeight="1" s="613" thickBot="1">
      <c r="A43" s="206" t="inlineStr">
        <is>
          <t>Calculations</t>
        </is>
      </c>
      <c r="B43" s="207">
        <f>F$4</f>
        <v/>
      </c>
      <c r="C43" s="226">
        <f>F$5</f>
        <v/>
      </c>
      <c r="D43" s="208" t="inlineStr">
        <is>
          <t>"</t>
        </is>
      </c>
      <c r="E43" s="202" t="n"/>
      <c r="F43" s="202" t="n"/>
      <c r="G43" s="203" t="n"/>
    </row>
    <row r="44">
      <c r="A44" s="648" t="inlineStr">
        <is>
          <t>Max BHP [psi]</t>
        </is>
      </c>
      <c r="B44" s="209" t="inlineStr">
        <is>
          <t>.052*Setting Depth*MW =</t>
        </is>
      </c>
      <c r="C44" s="210">
        <f>F$6*0.052*F$8</f>
        <v/>
      </c>
      <c r="G44" s="204" t="n"/>
    </row>
    <row r="45" ht="15" customHeight="1" s="613">
      <c r="A45" s="205" t="n"/>
      <c r="B45" s="211" t="n"/>
      <c r="C45" s="216" t="inlineStr">
        <is>
          <t xml:space="preserve"> </t>
        </is>
      </c>
      <c r="D45" s="639" t="inlineStr">
        <is>
          <t>BOPE Adequate For Drilling And Setting Casing at Depth?</t>
        </is>
      </c>
      <c r="E45" s="640" t="n"/>
      <c r="F45" s="640" t="n"/>
      <c r="G45" s="641" t="n"/>
    </row>
    <row r="46" ht="15" customHeight="1" s="613">
      <c r="A46" s="648" t="inlineStr">
        <is>
          <t>MASP (Gas) [psi]</t>
        </is>
      </c>
      <c r="B46" s="209" t="inlineStr">
        <is>
          <t>Max BHP-(0.12*Setting Depth) =</t>
        </is>
      </c>
      <c r="C46" s="212">
        <f>C$44-0.12*F$6</f>
        <v/>
      </c>
      <c r="D46" s="213">
        <f>IF(F$9&gt;C46,"YES","NO")</f>
        <v/>
      </c>
      <c r="E46" s="642" t="n"/>
      <c r="F46" s="742" t="n"/>
      <c r="G46" s="743" t="n"/>
    </row>
    <row r="47" ht="15" customHeight="1" s="613">
      <c r="A47" s="648" t="inlineStr">
        <is>
          <t>MASP (Gas/Mud) [psi]</t>
        </is>
      </c>
      <c r="B47" s="209" t="inlineStr">
        <is>
          <t>Max BHP-(0.22*Setting Depth) =</t>
        </is>
      </c>
      <c r="C47" s="212">
        <f>C$44-0.22*F$6</f>
        <v/>
      </c>
      <c r="D47" s="213">
        <f>IF(F$9&gt;C47,"YES","NO")</f>
        <v/>
      </c>
      <c r="E47" s="642" t="n"/>
      <c r="F47" s="742" t="n"/>
      <c r="G47" s="743" t="n"/>
    </row>
    <row r="48" ht="15" customHeight="1" s="613">
      <c r="A48" s="205" t="n"/>
      <c r="C48" s="216" t="inlineStr">
        <is>
          <t xml:space="preserve"> </t>
        </is>
      </c>
      <c r="D48" s="644" t="inlineStr">
        <is>
          <t>*Can Full Expected Pressure Be Held At Previous Shoe?</t>
        </is>
      </c>
      <c r="G48" s="646" t="n"/>
    </row>
    <row r="49" ht="15" customHeight="1" s="613">
      <c r="A49" s="648" t="inlineStr">
        <is>
          <t>Pressure At Previous Shoe</t>
        </is>
      </c>
      <c r="B49" s="209" t="inlineStr">
        <is>
          <t>Max BHP-.22*(Setting Depth - Previous Shoe Depth) =</t>
        </is>
      </c>
      <c r="C49" s="212">
        <f>C$44-0.22*(F$6-F$7)</f>
        <v/>
      </c>
      <c r="D49" s="213">
        <f>IF(F$7&gt;C49,"YES","NO")</f>
        <v/>
      </c>
      <c r="E49" s="647" t="n"/>
      <c r="F49" s="742" t="n"/>
      <c r="G49" s="743" t="n"/>
    </row>
    <row r="50" ht="15" customHeight="1" s="613">
      <c r="A50" s="648" t="inlineStr">
        <is>
          <t>Required Casing/BOPE Test Pressure</t>
        </is>
      </c>
      <c r="B50" s="617" t="n"/>
      <c r="C50" s="210">
        <f>IF(G$9&gt;0,SMALL(M$14:M$16,1),SMALL(M$13:M$15,1))</f>
        <v/>
      </c>
      <c r="D50" s="221" t="inlineStr">
        <is>
          <t>psi</t>
        </is>
      </c>
      <c r="E50" s="214" t="n"/>
      <c r="F50" s="214" t="n"/>
      <c r="G50" s="215" t="n"/>
    </row>
    <row r="51" ht="13.5" customHeight="1" s="613" thickBot="1">
      <c r="A51" s="630" t="inlineStr">
        <is>
          <t>*Max Pressure Allowed @ Previous Casing Shoe =</t>
        </is>
      </c>
      <c r="B51" s="631" t="n"/>
      <c r="C51" s="222">
        <f>IF(D$49="NO",SMALL(M$19:M$21,1),SMALL(M$19:M$20,1))</f>
        <v/>
      </c>
      <c r="D51" s="223" t="inlineStr">
        <is>
          <t>psi</t>
        </is>
      </c>
      <c r="E51" s="632" t="inlineStr">
        <is>
          <t xml:space="preserve">*Assumes 1psi/ft frac gradient </t>
        </is>
      </c>
      <c r="F51" s="633" t="n"/>
      <c r="G51" s="634" t="n"/>
    </row>
  </sheetData>
  <mergeCells count="42">
    <mergeCell ref="D18:G18"/>
    <mergeCell ref="A30:B30"/>
    <mergeCell ref="E19:G19"/>
    <mergeCell ref="D25:G25"/>
    <mergeCell ref="A11:B11"/>
    <mergeCell ref="A51:B51"/>
    <mergeCell ref="E31:G31"/>
    <mergeCell ref="D15:G15"/>
    <mergeCell ref="D38:G38"/>
    <mergeCell ref="A6:B6"/>
    <mergeCell ref="E46:G46"/>
    <mergeCell ref="E36:G36"/>
    <mergeCell ref="A7:B7"/>
    <mergeCell ref="E49:G49"/>
    <mergeCell ref="D35:G35"/>
    <mergeCell ref="E27:G27"/>
    <mergeCell ref="A41:B41"/>
    <mergeCell ref="E26:G26"/>
    <mergeCell ref="A3:B3"/>
    <mergeCell ref="E16:G16"/>
    <mergeCell ref="A50:B50"/>
    <mergeCell ref="A21:B21"/>
    <mergeCell ref="E41:G41"/>
    <mergeCell ref="D45:G45"/>
    <mergeCell ref="E37:G37"/>
    <mergeCell ref="A5:B5"/>
    <mergeCell ref="E47:G47"/>
    <mergeCell ref="E21:G21"/>
    <mergeCell ref="A1:B2"/>
    <mergeCell ref="A8:B8"/>
    <mergeCell ref="A4:B4"/>
    <mergeCell ref="A20:B20"/>
    <mergeCell ref="D48:G48"/>
    <mergeCell ref="E39:G39"/>
    <mergeCell ref="A10:B10"/>
    <mergeCell ref="E17:G17"/>
    <mergeCell ref="D1:G2"/>
    <mergeCell ref="A9:B9"/>
    <mergeCell ref="A31:B31"/>
    <mergeCell ref="E51:G51"/>
    <mergeCell ref="D28:G28"/>
    <mergeCell ref="A40:B40"/>
  </mergeCells>
  <pageMargins left="0.62" right="0.51" top="0.48" bottom="0.27" header="0.29" footer="0.25"/>
  <pageSetup orientation="landscape" scale="85"/>
</worksheet>
</file>

<file path=xl/worksheets/sheet7.xml><?xml version="1.0" encoding="utf-8"?>
<worksheet xmlns="http://schemas.openxmlformats.org/spreadsheetml/2006/main">
  <sheetPr codeName="Sheet6">
    <outlinePr summaryBelow="1" summaryRight="1"/>
    <pageSetUpPr/>
  </sheetPr>
  <dimension ref="A1:P1527"/>
  <sheetViews>
    <sheetView topLeftCell="A7" workbookViewId="0">
      <pane ySplit="2928" topLeftCell="A1496" activePane="topLeft" state="split"/>
      <selection activeCell="A7" sqref="A7"/>
      <selection pane="bottomLeft" activeCell="D1497" sqref="D1497"/>
    </sheetView>
  </sheetViews>
  <sheetFormatPr baseColWidth="8" defaultRowHeight="14.4"/>
  <sheetData>
    <row r="1">
      <c r="D1" t="inlineStr">
        <is>
          <t xml:space="preserve"> </t>
        </is>
      </c>
    </row>
    <row r="2" ht="15.75" customHeight="1" s="613" thickBot="1"/>
    <row r="3">
      <c r="A3" s="19" t="inlineStr">
        <is>
          <t>O.D.</t>
        </is>
      </c>
      <c r="B3" s="464" t="inlineStr">
        <is>
          <t>Nominal</t>
        </is>
      </c>
      <c r="C3" s="663" t="inlineStr">
        <is>
          <t>Grade</t>
        </is>
      </c>
      <c r="D3" s="464" t="inlineStr">
        <is>
          <t>Collapse</t>
        </is>
      </c>
      <c r="E3" s="657" t="inlineStr">
        <is>
          <t>Internal Yield Pressure</t>
        </is>
      </c>
      <c r="F3" s="666" t="n"/>
      <c r="G3" s="666" t="n"/>
      <c r="H3" s="658" t="n"/>
      <c r="I3" s="657" t="inlineStr">
        <is>
          <t>Joint Strength</t>
        </is>
      </c>
      <c r="J3" s="666" t="n"/>
      <c r="K3" s="658" t="n"/>
      <c r="L3" s="464" t="inlineStr">
        <is>
          <t>Body</t>
        </is>
      </c>
      <c r="M3" s="464" t="inlineStr">
        <is>
          <t>Wall</t>
        </is>
      </c>
      <c r="N3" s="464" t="inlineStr">
        <is>
          <t>I.D.</t>
        </is>
      </c>
      <c r="O3" s="657" t="inlineStr">
        <is>
          <t>Drift Diameter</t>
        </is>
      </c>
      <c r="P3" s="658" t="n"/>
    </row>
    <row r="4">
      <c r="A4" s="20" t="inlineStr">
        <is>
          <t>(inch)</t>
        </is>
      </c>
      <c r="B4" s="465" t="inlineStr">
        <is>
          <t>Weight</t>
        </is>
      </c>
      <c r="C4" s="664" t="n"/>
      <c r="D4" s="465" t="inlineStr">
        <is>
          <t>(psi)</t>
        </is>
      </c>
      <c r="E4" s="659" t="inlineStr">
        <is>
          <t>at Minimum Yield (psi)</t>
        </is>
      </c>
      <c r="H4" s="660" t="n"/>
      <c r="I4" s="659" t="inlineStr">
        <is>
          <t>1000 lbs</t>
        </is>
      </c>
      <c r="K4" s="660" t="n"/>
      <c r="L4" s="465" t="inlineStr">
        <is>
          <t>Yield</t>
        </is>
      </c>
      <c r="M4" s="465" t="inlineStr">
        <is>
          <t>(inch)</t>
        </is>
      </c>
      <c r="N4" s="465" t="inlineStr">
        <is>
          <t>(inch)</t>
        </is>
      </c>
      <c r="O4" s="659" t="inlineStr">
        <is>
          <t>(inch)</t>
        </is>
      </c>
      <c r="P4" s="660" t="n"/>
    </row>
    <row r="5" ht="15.75" customHeight="1" s="613" thickBot="1">
      <c r="A5" s="20" t="n"/>
      <c r="B5" s="465" t="inlineStr">
        <is>
          <t>T &amp; C</t>
        </is>
      </c>
      <c r="C5" s="664" t="n"/>
      <c r="D5" s="465" t="n"/>
      <c r="E5" s="661" t="n"/>
      <c r="F5" s="667" t="n"/>
      <c r="G5" s="667" t="n"/>
      <c r="H5" s="662" t="n"/>
      <c r="I5" s="661" t="n"/>
      <c r="J5" s="667" t="n"/>
      <c r="K5" s="662" t="n"/>
      <c r="L5" s="465" t="inlineStr">
        <is>
          <t>1000 lbs</t>
        </is>
      </c>
      <c r="M5" s="465" t="n"/>
      <c r="N5" s="465" t="n"/>
      <c r="O5" s="661" t="n"/>
      <c r="P5" s="662" t="n"/>
    </row>
    <row r="6" ht="39" customHeight="1" s="613" thickBot="1">
      <c r="A6" s="21" t="n"/>
      <c r="B6" s="466" t="inlineStr">
        <is>
          <t>lbs/ft</t>
        </is>
      </c>
      <c r="C6" s="665" t="n"/>
      <c r="D6" s="466" t="n"/>
      <c r="E6" s="466" t="inlineStr">
        <is>
          <t>Internal Yield Pressure</t>
        </is>
      </c>
      <c r="F6" s="466" t="n"/>
      <c r="G6" s="466" t="n"/>
      <c r="H6" s="466" t="n"/>
      <c r="I6" s="466" t="inlineStr">
        <is>
          <t>Joint Type</t>
        </is>
      </c>
      <c r="J6" s="466" t="inlineStr">
        <is>
          <t>Joint Strength</t>
        </is>
      </c>
      <c r="K6" s="466" t="inlineStr">
        <is>
          <t xml:space="preserve"> </t>
        </is>
      </c>
      <c r="L6" s="466" t="n"/>
      <c r="M6" s="466" t="n"/>
      <c r="N6" s="466" t="n"/>
      <c r="O6" s="466" t="inlineStr">
        <is>
          <t>API</t>
        </is>
      </c>
      <c r="P6" s="661" t="inlineStr">
        <is>
          <t>SD</t>
        </is>
      </c>
    </row>
    <row r="7" ht="15.75" customHeight="1" s="613" thickBot="1">
      <c r="A7" s="20" t="inlineStr">
        <is>
          <t>A</t>
        </is>
      </c>
      <c r="B7" s="465" t="inlineStr">
        <is>
          <t>B</t>
        </is>
      </c>
      <c r="C7" s="465" t="inlineStr">
        <is>
          <t>C</t>
        </is>
      </c>
      <c r="D7" s="465" t="inlineStr">
        <is>
          <t>D</t>
        </is>
      </c>
      <c r="E7" s="465" t="inlineStr">
        <is>
          <t>E</t>
        </is>
      </c>
      <c r="F7" s="465" t="inlineStr">
        <is>
          <t>F</t>
        </is>
      </c>
      <c r="G7" s="465" t="inlineStr">
        <is>
          <t>G</t>
        </is>
      </c>
      <c r="H7" s="465" t="inlineStr">
        <is>
          <t>H</t>
        </is>
      </c>
      <c r="I7" s="465" t="inlineStr">
        <is>
          <t>I</t>
        </is>
      </c>
      <c r="J7" s="465" t="inlineStr">
        <is>
          <t>J</t>
        </is>
      </c>
      <c r="K7" s="465" t="inlineStr">
        <is>
          <t>K</t>
        </is>
      </c>
      <c r="L7" s="465" t="inlineStr">
        <is>
          <t>L</t>
        </is>
      </c>
      <c r="M7" s="465" t="inlineStr">
        <is>
          <t>M</t>
        </is>
      </c>
      <c r="N7" s="465" t="inlineStr">
        <is>
          <t>N</t>
        </is>
      </c>
      <c r="O7" s="465" t="inlineStr">
        <is>
          <t>O</t>
        </is>
      </c>
      <c r="P7" s="659" t="inlineStr">
        <is>
          <t>P</t>
        </is>
      </c>
    </row>
    <row r="8">
      <c r="A8" s="3" t="n">
        <v>4.5</v>
      </c>
      <c r="B8" s="4" t="n">
        <v>9.5</v>
      </c>
      <c r="C8" s="4" t="inlineStr">
        <is>
          <t>J-55</t>
        </is>
      </c>
      <c r="D8" s="4" t="n">
        <v>3310</v>
      </c>
      <c r="E8" s="4" t="n">
        <v>4380</v>
      </c>
      <c r="F8" s="4" t="n"/>
      <c r="G8" s="4" t="n"/>
      <c r="H8" s="4" t="n"/>
      <c r="I8" s="4" t="inlineStr">
        <is>
          <t>STC</t>
        </is>
      </c>
      <c r="J8" s="4" t="n">
        <v>101</v>
      </c>
      <c r="K8" s="4" t="n"/>
      <c r="L8" s="4" t="n">
        <v>152</v>
      </c>
      <c r="M8" s="4" t="n">
        <v>0.205</v>
      </c>
      <c r="N8" s="4" t="n">
        <v>4.09</v>
      </c>
      <c r="O8" s="4" t="n">
        <v>3.965</v>
      </c>
      <c r="P8" s="5" t="n"/>
    </row>
    <row r="9">
      <c r="A9" s="6" t="n">
        <v>4.5</v>
      </c>
      <c r="B9" s="2" t="n">
        <v>9.5</v>
      </c>
      <c r="C9" s="2" t="inlineStr">
        <is>
          <t>K-55</t>
        </is>
      </c>
      <c r="D9" s="2" t="n">
        <v>3310</v>
      </c>
      <c r="E9" s="2" t="n">
        <v>4380</v>
      </c>
      <c r="F9" s="2" t="n"/>
      <c r="G9" s="2" t="n"/>
      <c r="H9" s="2" t="n"/>
      <c r="I9" s="2" t="inlineStr">
        <is>
          <t>STC</t>
        </is>
      </c>
      <c r="J9" s="2" t="n">
        <v>112</v>
      </c>
      <c r="K9" s="2" t="n"/>
      <c r="L9" s="2" t="n">
        <v>152</v>
      </c>
      <c r="M9" s="2" t="n">
        <v>0.205</v>
      </c>
      <c r="N9" s="2" t="n">
        <v>4.09</v>
      </c>
      <c r="O9" s="2" t="n">
        <v>3.965</v>
      </c>
      <c r="P9" s="7" t="n"/>
    </row>
    <row r="10">
      <c r="A10" s="8" t="n">
        <v>4.5</v>
      </c>
      <c r="B10" s="1" t="n">
        <v>10.5</v>
      </c>
      <c r="C10" s="1" t="inlineStr">
        <is>
          <t>J-55</t>
        </is>
      </c>
      <c r="D10" s="1" t="n">
        <v>4010</v>
      </c>
      <c r="E10" s="1" t="n">
        <v>4790</v>
      </c>
      <c r="F10" s="1" t="n"/>
      <c r="G10" s="1" t="n"/>
      <c r="H10" s="1" t="n"/>
      <c r="I10" s="1" t="inlineStr">
        <is>
          <t>STC</t>
        </is>
      </c>
      <c r="J10" s="1" t="n">
        <v>132</v>
      </c>
      <c r="K10" s="1" t="n"/>
      <c r="L10" s="1" t="n">
        <v>166</v>
      </c>
      <c r="M10" s="1" t="n">
        <v>0.224</v>
      </c>
      <c r="N10" s="1" t="n">
        <v>4.052</v>
      </c>
      <c r="O10" s="1" t="n">
        <v>3.927</v>
      </c>
      <c r="P10" s="9" t="n"/>
    </row>
    <row r="11">
      <c r="A11" s="8" t="n">
        <v>4.5</v>
      </c>
      <c r="B11" s="1" t="n">
        <v>10.5</v>
      </c>
      <c r="C11" s="1" t="inlineStr">
        <is>
          <t>J-55</t>
        </is>
      </c>
      <c r="D11" s="1" t="n">
        <v>4010</v>
      </c>
      <c r="E11" s="1" t="n">
        <v>4790</v>
      </c>
      <c r="F11" s="1" t="n"/>
      <c r="G11" s="1" t="n"/>
      <c r="H11" s="1" t="n"/>
      <c r="I11" s="1" t="inlineStr">
        <is>
          <t>BTC</t>
        </is>
      </c>
      <c r="J11" s="1" t="n">
        <v>203</v>
      </c>
      <c r="K11" s="1" t="n"/>
      <c r="L11" s="1" t="n">
        <v>166</v>
      </c>
      <c r="M11" s="1" t="n">
        <v>0.224</v>
      </c>
      <c r="N11" s="1" t="n">
        <v>4.052</v>
      </c>
      <c r="O11" s="1" t="n">
        <v>3.927</v>
      </c>
      <c r="P11" s="9" t="n"/>
    </row>
    <row r="12">
      <c r="A12" s="6" t="n">
        <v>4.5</v>
      </c>
      <c r="B12" s="2" t="n">
        <v>10.5</v>
      </c>
      <c r="C12" s="2" t="inlineStr">
        <is>
          <t>K-55</t>
        </is>
      </c>
      <c r="D12" s="2" t="n">
        <v>4010</v>
      </c>
      <c r="E12" s="2" t="n">
        <v>4790</v>
      </c>
      <c r="F12" s="2" t="n"/>
      <c r="G12" s="2" t="n"/>
      <c r="H12" s="2" t="n"/>
      <c r="I12" s="2" t="inlineStr">
        <is>
          <t>STC</t>
        </is>
      </c>
      <c r="J12" s="2" t="n">
        <v>146</v>
      </c>
      <c r="K12" s="2" t="n"/>
      <c r="L12" s="2" t="n">
        <v>166</v>
      </c>
      <c r="M12" s="2" t="n">
        <v>0.224</v>
      </c>
      <c r="N12" s="2" t="n">
        <v>4.052</v>
      </c>
      <c r="O12" s="2" t="n">
        <v>3.927</v>
      </c>
      <c r="P12" s="7" t="n"/>
    </row>
    <row r="13">
      <c r="A13" s="6" t="n">
        <v>4.5</v>
      </c>
      <c r="B13" s="2" t="n">
        <v>10.5</v>
      </c>
      <c r="C13" s="2" t="inlineStr">
        <is>
          <t>K-55</t>
        </is>
      </c>
      <c r="D13" s="2" t="n">
        <v>4010</v>
      </c>
      <c r="E13" s="2" t="n">
        <v>4790</v>
      </c>
      <c r="F13" s="2" t="n"/>
      <c r="G13" s="2" t="n"/>
      <c r="H13" s="2" t="n"/>
      <c r="I13" s="2" t="inlineStr">
        <is>
          <t>BTC</t>
        </is>
      </c>
      <c r="J13" s="2" t="n">
        <v>249</v>
      </c>
      <c r="K13" s="2" t="n"/>
      <c r="L13" s="2" t="n">
        <v>166</v>
      </c>
      <c r="M13" s="2" t="n">
        <v>0.224</v>
      </c>
      <c r="N13" s="2" t="n">
        <v>4.052</v>
      </c>
      <c r="O13" s="2" t="n">
        <v>3.927</v>
      </c>
      <c r="P13" s="7" t="n"/>
    </row>
    <row r="14">
      <c r="A14" s="8" t="n">
        <v>4.5</v>
      </c>
      <c r="B14" s="1" t="n">
        <v>11.6</v>
      </c>
      <c r="C14" s="1" t="inlineStr">
        <is>
          <t>J-55</t>
        </is>
      </c>
      <c r="D14" s="1" t="n">
        <v>4960</v>
      </c>
      <c r="E14" s="1" t="n">
        <v>5350</v>
      </c>
      <c r="F14" s="1" t="n"/>
      <c r="G14" s="1" t="n"/>
      <c r="H14" s="1" t="n"/>
      <c r="I14" s="1" t="inlineStr">
        <is>
          <t>STC</t>
        </is>
      </c>
      <c r="J14" s="1" t="n">
        <v>154</v>
      </c>
      <c r="K14" s="1" t="n"/>
      <c r="L14" s="1" t="n">
        <v>184</v>
      </c>
      <c r="M14" s="1" t="n">
        <v>0.25</v>
      </c>
      <c r="N14" s="1" t="n">
        <v>4</v>
      </c>
      <c r="O14" s="1" t="n">
        <v>3.875</v>
      </c>
      <c r="P14" s="9" t="n"/>
    </row>
    <row r="15">
      <c r="A15" s="8" t="n">
        <v>4.5</v>
      </c>
      <c r="B15" s="1" t="n">
        <v>11.6</v>
      </c>
      <c r="C15" s="1" t="inlineStr">
        <is>
          <t>J-55</t>
        </is>
      </c>
      <c r="D15" s="1" t="n">
        <v>4960</v>
      </c>
      <c r="E15" s="1" t="n">
        <v>5350</v>
      </c>
      <c r="F15" s="1" t="n"/>
      <c r="G15" s="1" t="n"/>
      <c r="H15" s="1" t="n"/>
      <c r="I15" s="1" t="inlineStr">
        <is>
          <t>LTC</t>
        </is>
      </c>
      <c r="J15" s="1" t="n">
        <v>162</v>
      </c>
      <c r="K15" s="1" t="n"/>
      <c r="L15" s="1" t="n">
        <v>184</v>
      </c>
      <c r="M15" s="1" t="n">
        <v>0.25</v>
      </c>
      <c r="N15" s="1" t="n">
        <v>4</v>
      </c>
      <c r="O15" s="1" t="n">
        <v>3.875</v>
      </c>
      <c r="P15" s="9" t="n"/>
    </row>
    <row r="16">
      <c r="A16" s="8" t="n">
        <v>4.5</v>
      </c>
      <c r="B16" s="1" t="n">
        <v>11.6</v>
      </c>
      <c r="C16" s="1" t="inlineStr">
        <is>
          <t>J-55</t>
        </is>
      </c>
      <c r="D16" s="1" t="n">
        <v>4960</v>
      </c>
      <c r="E16" s="1" t="n">
        <v>5350</v>
      </c>
      <c r="F16" s="1" t="n"/>
      <c r="G16" s="1" t="n"/>
      <c r="H16" s="1" t="n"/>
      <c r="I16" s="1" t="inlineStr">
        <is>
          <t>BTC</t>
        </is>
      </c>
      <c r="J16" s="1" t="n">
        <v>225</v>
      </c>
      <c r="K16" s="1" t="n"/>
      <c r="L16" s="1" t="n">
        <v>184</v>
      </c>
      <c r="M16" s="1" t="n">
        <v>0.25</v>
      </c>
      <c r="N16" s="1" t="n">
        <v>4</v>
      </c>
      <c r="O16" s="1" t="n">
        <v>3.875</v>
      </c>
      <c r="P16" s="9" t="n"/>
    </row>
    <row r="17">
      <c r="A17" s="6" t="n">
        <v>4.5</v>
      </c>
      <c r="B17" s="2" t="n">
        <v>11.6</v>
      </c>
      <c r="C17" s="2" t="inlineStr">
        <is>
          <t>K-55</t>
        </is>
      </c>
      <c r="D17" s="2" t="n">
        <v>4960</v>
      </c>
      <c r="E17" s="2" t="n">
        <v>5350</v>
      </c>
      <c r="F17" s="2" t="n"/>
      <c r="G17" s="2" t="n"/>
      <c r="H17" s="2" t="n"/>
      <c r="I17" s="2" t="inlineStr">
        <is>
          <t>STC</t>
        </is>
      </c>
      <c r="J17" s="2" t="n">
        <v>170</v>
      </c>
      <c r="K17" s="2" t="n"/>
      <c r="L17" s="2" t="n">
        <v>184</v>
      </c>
      <c r="M17" s="2" t="n">
        <v>0.25</v>
      </c>
      <c r="N17" s="2" t="n">
        <v>4</v>
      </c>
      <c r="O17" s="2" t="n">
        <v>3.875</v>
      </c>
      <c r="P17" s="7" t="n"/>
    </row>
    <row r="18">
      <c r="A18" s="6" t="n">
        <v>4.5</v>
      </c>
      <c r="B18" s="2" t="n">
        <v>11.6</v>
      </c>
      <c r="C18" s="2" t="inlineStr">
        <is>
          <t>K-55</t>
        </is>
      </c>
      <c r="D18" s="2" t="n">
        <v>4960</v>
      </c>
      <c r="E18" s="2" t="n">
        <v>5350</v>
      </c>
      <c r="F18" s="2" t="n"/>
      <c r="G18" s="2" t="n"/>
      <c r="H18" s="2" t="n"/>
      <c r="I18" s="2" t="inlineStr">
        <is>
          <t>LTC</t>
        </is>
      </c>
      <c r="J18" s="2" t="n">
        <v>180</v>
      </c>
      <c r="K18" s="2" t="n"/>
      <c r="L18" s="2" t="n">
        <v>184</v>
      </c>
      <c r="M18" s="2" t="n">
        <v>0.25</v>
      </c>
      <c r="N18" s="2" t="n">
        <v>4</v>
      </c>
      <c r="O18" s="2" t="n">
        <v>3.875</v>
      </c>
      <c r="P18" s="7" t="n"/>
    </row>
    <row r="19">
      <c r="A19" s="6" t="n">
        <v>4.5</v>
      </c>
      <c r="B19" s="2" t="n">
        <v>11.6</v>
      </c>
      <c r="C19" s="2" t="inlineStr">
        <is>
          <t>K-55</t>
        </is>
      </c>
      <c r="D19" s="2" t="n">
        <v>4960</v>
      </c>
      <c r="E19" s="2" t="n">
        <v>5350</v>
      </c>
      <c r="F19" s="2" t="n"/>
      <c r="G19" s="2" t="n"/>
      <c r="H19" s="2" t="n"/>
      <c r="I19" s="2" t="inlineStr">
        <is>
          <t>BTC</t>
        </is>
      </c>
      <c r="J19" s="2" t="n">
        <v>277</v>
      </c>
      <c r="K19" s="2" t="n"/>
      <c r="L19" s="2" t="n">
        <v>184</v>
      </c>
      <c r="M19" s="2" t="n">
        <v>0.25</v>
      </c>
      <c r="N19" s="2" t="n">
        <v>4</v>
      </c>
      <c r="O19" s="2" t="n">
        <v>3.875</v>
      </c>
      <c r="P19" s="7" t="n"/>
    </row>
    <row r="20">
      <c r="A20" s="8" t="n">
        <v>4.5</v>
      </c>
      <c r="B20" s="1" t="n">
        <v>11.6</v>
      </c>
      <c r="C20" s="1" t="inlineStr">
        <is>
          <t>L-80</t>
        </is>
      </c>
      <c r="D20" s="1" t="n">
        <v>6350</v>
      </c>
      <c r="E20" s="1" t="n">
        <v>7780</v>
      </c>
      <c r="F20" s="1" t="n"/>
      <c r="G20" s="1" t="n"/>
      <c r="H20" s="1" t="n"/>
      <c r="I20" s="1" t="inlineStr">
        <is>
          <t>LTC</t>
        </is>
      </c>
      <c r="J20" s="1" t="n">
        <v>212</v>
      </c>
      <c r="K20" s="1" t="n"/>
      <c r="L20" s="1" t="n">
        <v>267</v>
      </c>
      <c r="M20" s="1" t="n">
        <v>0.25</v>
      </c>
      <c r="N20" s="1" t="n">
        <v>4</v>
      </c>
      <c r="O20" s="1" t="n">
        <v>3.875</v>
      </c>
      <c r="P20" s="9" t="n"/>
    </row>
    <row r="21">
      <c r="A21" s="8" t="n">
        <v>4.5</v>
      </c>
      <c r="B21" s="1" t="n">
        <v>11.6</v>
      </c>
      <c r="C21" s="1" t="inlineStr">
        <is>
          <t>L-80</t>
        </is>
      </c>
      <c r="D21" s="1" t="n">
        <v>6350</v>
      </c>
      <c r="E21" s="1" t="n">
        <v>7780</v>
      </c>
      <c r="F21" s="1" t="n"/>
      <c r="G21" s="1" t="n"/>
      <c r="H21" s="1" t="n"/>
      <c r="I21" s="1" t="inlineStr">
        <is>
          <t>BTC</t>
        </is>
      </c>
      <c r="J21" s="1" t="n">
        <v>291</v>
      </c>
      <c r="K21" s="1" t="n"/>
      <c r="L21" s="1" t="n">
        <v>267</v>
      </c>
      <c r="M21" s="1" t="n">
        <v>0.25</v>
      </c>
      <c r="N21" s="1" t="n">
        <v>4</v>
      </c>
      <c r="O21" s="1" t="n">
        <v>3.875</v>
      </c>
      <c r="P21" s="9" t="n"/>
    </row>
    <row r="22">
      <c r="A22" s="6" t="n">
        <v>4.5</v>
      </c>
      <c r="B22" s="2" t="n">
        <v>11.6</v>
      </c>
      <c r="C22" s="2" t="inlineStr">
        <is>
          <t>HCL-80</t>
        </is>
      </c>
      <c r="D22" s="2" t="n">
        <v>8650</v>
      </c>
      <c r="E22" s="2" t="n">
        <v>7780</v>
      </c>
      <c r="F22" s="2" t="n"/>
      <c r="G22" s="2" t="n"/>
      <c r="H22" s="2" t="n"/>
      <c r="I22" s="2" t="inlineStr">
        <is>
          <t>LTC</t>
        </is>
      </c>
      <c r="J22" s="2" t="n">
        <v>223</v>
      </c>
      <c r="K22" s="2" t="n"/>
      <c r="L22" s="2" t="n">
        <v>267</v>
      </c>
      <c r="M22" s="2" t="n">
        <v>0.25</v>
      </c>
      <c r="N22" s="2" t="n">
        <v>4</v>
      </c>
      <c r="O22" s="2" t="n">
        <v>3.875</v>
      </c>
      <c r="P22" s="7" t="n"/>
    </row>
    <row r="23">
      <c r="A23" s="6" t="n">
        <v>4.5</v>
      </c>
      <c r="B23" s="2" t="n">
        <v>11.6</v>
      </c>
      <c r="C23" s="2" t="inlineStr">
        <is>
          <t>HCL-80</t>
        </is>
      </c>
      <c r="D23" s="2" t="n">
        <v>8650</v>
      </c>
      <c r="E23" s="2" t="n">
        <v>7780</v>
      </c>
      <c r="F23" s="2" t="n"/>
      <c r="G23" s="2" t="n"/>
      <c r="H23" s="2" t="n"/>
      <c r="I23" s="2" t="inlineStr">
        <is>
          <t>BTC</t>
        </is>
      </c>
      <c r="J23" s="2" t="n">
        <v>312</v>
      </c>
      <c r="K23" s="2" t="n"/>
      <c r="L23" s="2" t="n">
        <v>267</v>
      </c>
      <c r="M23" s="2" t="n">
        <v>0.25</v>
      </c>
      <c r="N23" s="2" t="n">
        <v>4</v>
      </c>
      <c r="O23" s="2" t="n">
        <v>3.875</v>
      </c>
      <c r="P23" s="7" t="n"/>
    </row>
    <row r="24">
      <c r="A24" s="8" t="n">
        <v>4.5</v>
      </c>
      <c r="B24" s="1" t="n">
        <v>11.6</v>
      </c>
      <c r="C24" s="1" t="inlineStr">
        <is>
          <t>N-80</t>
        </is>
      </c>
      <c r="D24" s="1" t="n">
        <v>6350</v>
      </c>
      <c r="E24" s="1" t="n">
        <v>7780</v>
      </c>
      <c r="F24" s="1" t="n"/>
      <c r="G24" s="1" t="n"/>
      <c r="H24" s="1" t="n"/>
      <c r="I24" s="1" t="inlineStr">
        <is>
          <t>LTC</t>
        </is>
      </c>
      <c r="J24" s="1" t="n">
        <v>223</v>
      </c>
      <c r="K24" s="1" t="n"/>
      <c r="L24" s="1" t="n">
        <v>267</v>
      </c>
      <c r="M24" s="1" t="n">
        <v>0.25</v>
      </c>
      <c r="N24" s="1" t="n">
        <v>4</v>
      </c>
      <c r="O24" s="1" t="n">
        <v>3.875</v>
      </c>
      <c r="P24" s="9" t="n"/>
    </row>
    <row r="25">
      <c r="A25" s="8" t="n">
        <v>4.5</v>
      </c>
      <c r="B25" s="1" t="n">
        <v>11.6</v>
      </c>
      <c r="C25" s="1" t="inlineStr">
        <is>
          <t>N-80</t>
        </is>
      </c>
      <c r="D25" s="1" t="n">
        <v>6350</v>
      </c>
      <c r="E25" s="1" t="n">
        <v>7780</v>
      </c>
      <c r="F25" s="1" t="n"/>
      <c r="G25" s="1" t="n"/>
      <c r="H25" s="1" t="n"/>
      <c r="I25" s="1" t="inlineStr">
        <is>
          <t>BTC</t>
        </is>
      </c>
      <c r="J25" s="1" t="n">
        <v>304</v>
      </c>
      <c r="K25" s="1" t="n"/>
      <c r="L25" s="1" t="n">
        <v>267</v>
      </c>
      <c r="M25" s="1" t="n">
        <v>0.25</v>
      </c>
      <c r="N25" s="1" t="n">
        <v>4</v>
      </c>
      <c r="O25" s="1" t="n">
        <v>3.875</v>
      </c>
      <c r="P25" s="9" t="n"/>
    </row>
    <row r="26">
      <c r="A26" s="6" t="n">
        <v>4.5</v>
      </c>
      <c r="B26" s="2" t="n">
        <v>11.6</v>
      </c>
      <c r="C26" s="2" t="inlineStr">
        <is>
          <t>HCN-80</t>
        </is>
      </c>
      <c r="D26" s="2" t="n">
        <v>8650</v>
      </c>
      <c r="E26" s="2" t="n">
        <v>7780</v>
      </c>
      <c r="F26" s="2" t="n"/>
      <c r="G26" s="2" t="n"/>
      <c r="H26" s="2" t="n"/>
      <c r="I26" s="2" t="inlineStr">
        <is>
          <t>LTC</t>
        </is>
      </c>
      <c r="J26" s="2" t="n">
        <v>223</v>
      </c>
      <c r="K26" s="2" t="n"/>
      <c r="L26" s="2" t="n">
        <v>267</v>
      </c>
      <c r="M26" s="2" t="n">
        <v>0.25</v>
      </c>
      <c r="N26" s="2" t="n">
        <v>4</v>
      </c>
      <c r="O26" s="2" t="n">
        <v>3.875</v>
      </c>
      <c r="P26" s="7" t="n"/>
    </row>
    <row r="27">
      <c r="A27" s="6" t="n">
        <v>4.5</v>
      </c>
      <c r="B27" s="2" t="n">
        <v>11.6</v>
      </c>
      <c r="C27" s="2" t="inlineStr">
        <is>
          <t>HCN-80</t>
        </is>
      </c>
      <c r="D27" s="2" t="n">
        <v>8650</v>
      </c>
      <c r="E27" s="2" t="n">
        <v>7780</v>
      </c>
      <c r="F27" s="2" t="n"/>
      <c r="G27" s="2" t="n"/>
      <c r="H27" s="2" t="n"/>
      <c r="I27" s="2" t="inlineStr">
        <is>
          <t>BTC</t>
        </is>
      </c>
      <c r="J27" s="2" t="n">
        <v>312</v>
      </c>
      <c r="K27" s="2" t="n"/>
      <c r="L27" s="2" t="n">
        <v>267</v>
      </c>
      <c r="M27" s="2" t="n">
        <v>0.25</v>
      </c>
      <c r="N27" s="2" t="n">
        <v>4</v>
      </c>
      <c r="O27" s="2" t="n">
        <v>3.875</v>
      </c>
      <c r="P27" s="7" t="n"/>
    </row>
    <row r="28">
      <c r="A28" s="8" t="n">
        <v>4.5</v>
      </c>
      <c r="B28" s="1" t="n">
        <v>11.6</v>
      </c>
      <c r="C28" s="1" t="inlineStr">
        <is>
          <t>C-90</t>
        </is>
      </c>
      <c r="D28" s="1" t="n">
        <v>6810</v>
      </c>
      <c r="E28" s="1" t="n">
        <v>8750</v>
      </c>
      <c r="F28" s="1" t="n"/>
      <c r="G28" s="1" t="n"/>
      <c r="H28" s="1" t="n"/>
      <c r="I28" s="1" t="inlineStr">
        <is>
          <t>LTC</t>
        </is>
      </c>
      <c r="J28" s="1" t="n">
        <v>223</v>
      </c>
      <c r="K28" s="1" t="n"/>
      <c r="L28" s="1" t="n">
        <v>300</v>
      </c>
      <c r="M28" s="1" t="n">
        <v>0.25</v>
      </c>
      <c r="N28" s="1" t="n">
        <v>4</v>
      </c>
      <c r="O28" s="1" t="n">
        <v>3.875</v>
      </c>
      <c r="P28" s="9" t="n"/>
    </row>
    <row r="29">
      <c r="A29" s="8" t="n">
        <v>4.5</v>
      </c>
      <c r="B29" s="1" t="n">
        <v>11.6</v>
      </c>
      <c r="C29" s="1" t="inlineStr">
        <is>
          <t>C-90</t>
        </is>
      </c>
      <c r="D29" s="1" t="n">
        <v>6810</v>
      </c>
      <c r="E29" s="1" t="n">
        <v>8750</v>
      </c>
      <c r="F29" s="1" t="n"/>
      <c r="G29" s="1" t="n"/>
      <c r="H29" s="1" t="n"/>
      <c r="I29" s="1" t="inlineStr">
        <is>
          <t>BTC</t>
        </is>
      </c>
      <c r="J29" s="1" t="n">
        <v>309</v>
      </c>
      <c r="K29" s="1" t="n"/>
      <c r="L29" s="1" t="n">
        <v>300</v>
      </c>
      <c r="M29" s="1" t="n">
        <v>0.25</v>
      </c>
      <c r="N29" s="1" t="n">
        <v>4</v>
      </c>
      <c r="O29" s="1" t="n">
        <v>3.875</v>
      </c>
      <c r="P29" s="9" t="n"/>
    </row>
    <row r="30">
      <c r="A30" s="6" t="n">
        <v>4.5</v>
      </c>
      <c r="B30" s="2" t="n">
        <v>11.6</v>
      </c>
      <c r="C30" s="2" t="inlineStr">
        <is>
          <t>S-95</t>
        </is>
      </c>
      <c r="D30" s="2" t="n">
        <v>8650</v>
      </c>
      <c r="E30" s="2" t="n">
        <v>9240</v>
      </c>
      <c r="F30" s="2" t="n"/>
      <c r="G30" s="2" t="n"/>
      <c r="H30" s="2" t="n"/>
      <c r="I30" s="2" t="inlineStr">
        <is>
          <t>LTC</t>
        </is>
      </c>
      <c r="J30" s="2" t="n">
        <v>245</v>
      </c>
      <c r="K30" s="2" t="n"/>
      <c r="L30" s="2" t="n">
        <v>317</v>
      </c>
      <c r="M30" s="2" t="n">
        <v>0.25</v>
      </c>
      <c r="N30" s="2" t="n">
        <v>4</v>
      </c>
      <c r="O30" s="2" t="n">
        <v>3.875</v>
      </c>
      <c r="P30" s="7" t="n"/>
    </row>
    <row r="31">
      <c r="A31" s="6" t="n">
        <v>4.5</v>
      </c>
      <c r="B31" s="2" t="n">
        <v>11.6</v>
      </c>
      <c r="C31" s="2" t="inlineStr">
        <is>
          <t>S-95</t>
        </is>
      </c>
      <c r="D31" s="2" t="n">
        <v>8650</v>
      </c>
      <c r="E31" s="2" t="n">
        <v>9240</v>
      </c>
      <c r="F31" s="2" t="n"/>
      <c r="G31" s="2" t="n"/>
      <c r="H31" s="2" t="n"/>
      <c r="I31" s="2" t="inlineStr">
        <is>
          <t>BTC</t>
        </is>
      </c>
      <c r="J31" s="2" t="n">
        <v>338</v>
      </c>
      <c r="K31" s="2" t="n"/>
      <c r="L31" s="2" t="n">
        <v>317</v>
      </c>
      <c r="M31" s="2" t="n">
        <v>0.25</v>
      </c>
      <c r="N31" s="2" t="n">
        <v>4</v>
      </c>
      <c r="O31" s="2" t="n">
        <v>3.875</v>
      </c>
      <c r="P31" s="7" t="n"/>
    </row>
    <row r="32">
      <c r="A32" s="8" t="n">
        <v>4.5</v>
      </c>
      <c r="B32" s="1" t="n">
        <v>11.6</v>
      </c>
      <c r="C32" s="1" t="inlineStr">
        <is>
          <t>T-95</t>
        </is>
      </c>
      <c r="D32" s="1" t="n">
        <v>7030</v>
      </c>
      <c r="E32" s="1" t="n">
        <v>9240</v>
      </c>
      <c r="F32" s="1" t="n"/>
      <c r="G32" s="1" t="n"/>
      <c r="H32" s="1" t="n"/>
      <c r="I32" s="1" t="inlineStr">
        <is>
          <t>LTC</t>
        </is>
      </c>
      <c r="J32" s="1" t="n">
        <v>234</v>
      </c>
      <c r="K32" s="1" t="n"/>
      <c r="L32" s="1" t="n">
        <v>317</v>
      </c>
      <c r="M32" s="1" t="n">
        <v>0.25</v>
      </c>
      <c r="N32" s="1" t="n">
        <v>4</v>
      </c>
      <c r="O32" s="1" t="n">
        <v>3.875</v>
      </c>
      <c r="P32" s="9" t="n"/>
    </row>
    <row r="33">
      <c r="A33" s="8" t="n">
        <v>4.5</v>
      </c>
      <c r="B33" s="1" t="n">
        <v>11.6</v>
      </c>
      <c r="C33" s="1" t="inlineStr">
        <is>
          <t>T-95</t>
        </is>
      </c>
      <c r="D33" s="1" t="n">
        <v>7030</v>
      </c>
      <c r="E33" s="1" t="n">
        <v>9240</v>
      </c>
      <c r="F33" s="1" t="n"/>
      <c r="G33" s="1" t="n"/>
      <c r="H33" s="1" t="n"/>
      <c r="I33" s="1" t="inlineStr">
        <is>
          <t>BTC</t>
        </is>
      </c>
      <c r="J33" s="1" t="n">
        <v>325</v>
      </c>
      <c r="K33" s="1" t="n"/>
      <c r="L33" s="1" t="n">
        <v>317</v>
      </c>
      <c r="M33" s="1" t="n">
        <v>0.25</v>
      </c>
      <c r="N33" s="1" t="n">
        <v>4</v>
      </c>
      <c r="O33" s="1" t="n">
        <v>3.875</v>
      </c>
      <c r="P33" s="9" t="n"/>
    </row>
    <row r="34">
      <c r="A34" s="6" t="n">
        <v>4.5</v>
      </c>
      <c r="B34" s="2" t="n">
        <v>11.6</v>
      </c>
      <c r="C34" s="2" t="inlineStr">
        <is>
          <t>C-95</t>
        </is>
      </c>
      <c r="D34" s="2" t="n">
        <v>7030</v>
      </c>
      <c r="E34" s="2" t="n">
        <v>9240</v>
      </c>
      <c r="F34" s="2" t="n"/>
      <c r="G34" s="2" t="n"/>
      <c r="H34" s="2" t="n"/>
      <c r="I34" s="2" t="inlineStr">
        <is>
          <t>LTC</t>
        </is>
      </c>
      <c r="J34" s="2" t="n">
        <v>234</v>
      </c>
      <c r="K34" s="2" t="n"/>
      <c r="L34" s="2" t="n">
        <v>317</v>
      </c>
      <c r="M34" s="2" t="n">
        <v>0.25</v>
      </c>
      <c r="N34" s="2" t="n">
        <v>4</v>
      </c>
      <c r="O34" s="2" t="n">
        <v>3.875</v>
      </c>
      <c r="P34" s="7" t="n"/>
    </row>
    <row r="35">
      <c r="A35" s="6" t="n">
        <v>4.5</v>
      </c>
      <c r="B35" s="2" t="n">
        <v>11.6</v>
      </c>
      <c r="C35" s="2" t="inlineStr">
        <is>
          <t>C-95</t>
        </is>
      </c>
      <c r="D35" s="2" t="n">
        <v>7030</v>
      </c>
      <c r="E35" s="2" t="n">
        <v>9240</v>
      </c>
      <c r="F35" s="2" t="n"/>
      <c r="G35" s="2" t="n"/>
      <c r="H35" s="2" t="n"/>
      <c r="I35" s="2" t="inlineStr">
        <is>
          <t>BTC</t>
        </is>
      </c>
      <c r="J35" s="2" t="n">
        <v>325</v>
      </c>
      <c r="K35" s="2" t="n"/>
      <c r="L35" s="2" t="n">
        <v>317</v>
      </c>
      <c r="M35" s="2" t="n">
        <v>0.25</v>
      </c>
      <c r="N35" s="2" t="n">
        <v>4</v>
      </c>
      <c r="O35" s="2" t="n">
        <v>3.875</v>
      </c>
      <c r="P35" s="7" t="n"/>
    </row>
    <row r="36">
      <c r="A36" s="8" t="n">
        <v>4.5</v>
      </c>
      <c r="B36" s="1" t="n">
        <v>11.6</v>
      </c>
      <c r="C36" s="1" t="inlineStr">
        <is>
          <t>HCP-110</t>
        </is>
      </c>
      <c r="D36" s="1" t="n">
        <v>8650</v>
      </c>
      <c r="E36" s="1" t="n">
        <v>10690</v>
      </c>
      <c r="F36" s="1" t="n"/>
      <c r="G36" s="1" t="n"/>
      <c r="H36" s="1" t="n"/>
      <c r="I36" s="1" t="inlineStr">
        <is>
          <t>LTC</t>
        </is>
      </c>
      <c r="J36" s="1" t="n">
        <v>279</v>
      </c>
      <c r="K36" s="1" t="n"/>
      <c r="L36" s="1" t="n">
        <v>367</v>
      </c>
      <c r="M36" s="1" t="n">
        <v>0.25</v>
      </c>
      <c r="N36" s="1" t="n">
        <v>4</v>
      </c>
      <c r="O36" s="1" t="n">
        <v>3.875</v>
      </c>
      <c r="P36" s="9" t="n"/>
    </row>
    <row r="37">
      <c r="A37" s="8" t="n">
        <v>4.5</v>
      </c>
      <c r="B37" s="1" t="n">
        <v>11.6</v>
      </c>
      <c r="C37" s="1" t="inlineStr">
        <is>
          <t>HCP-110</t>
        </is>
      </c>
      <c r="D37" s="1" t="n">
        <v>8650</v>
      </c>
      <c r="E37" s="1" t="n">
        <v>10690</v>
      </c>
      <c r="F37" s="1" t="n"/>
      <c r="G37" s="1" t="n"/>
      <c r="H37" s="1" t="n"/>
      <c r="I37" s="1" t="inlineStr">
        <is>
          <t>BTC</t>
        </is>
      </c>
      <c r="J37" s="1" t="n">
        <v>385</v>
      </c>
      <c r="K37" s="1" t="n"/>
      <c r="L37" s="1" t="n">
        <v>367</v>
      </c>
      <c r="M37" s="1" t="n">
        <v>0.25</v>
      </c>
      <c r="N37" s="1" t="n">
        <v>4</v>
      </c>
      <c r="O37" s="1" t="n">
        <v>3.875</v>
      </c>
      <c r="P37" s="9" t="n"/>
    </row>
    <row r="38">
      <c r="A38" s="6" t="n">
        <v>4.5</v>
      </c>
      <c r="B38" s="2" t="n">
        <v>11.6</v>
      </c>
      <c r="C38" s="2" t="inlineStr">
        <is>
          <t>P-110</t>
        </is>
      </c>
      <c r="D38" s="2" t="n">
        <v>7580</v>
      </c>
      <c r="E38" s="2" t="n">
        <v>10690</v>
      </c>
      <c r="F38" s="2" t="n"/>
      <c r="G38" s="2" t="n"/>
      <c r="H38" s="2" t="n"/>
      <c r="I38" s="2" t="inlineStr">
        <is>
          <t>LTC</t>
        </is>
      </c>
      <c r="J38" s="2" t="n">
        <v>279</v>
      </c>
      <c r="K38" s="2" t="n"/>
      <c r="L38" s="2" t="n">
        <v>367</v>
      </c>
      <c r="M38" s="2" t="n">
        <v>0.25</v>
      </c>
      <c r="N38" s="2" t="n">
        <v>4</v>
      </c>
      <c r="O38" s="2" t="n">
        <v>3.875</v>
      </c>
      <c r="P38" s="7" t="n"/>
    </row>
    <row r="39">
      <c r="A39" s="6" t="n">
        <v>4.5</v>
      </c>
      <c r="B39" s="2" t="n">
        <v>11.6</v>
      </c>
      <c r="C39" s="2" t="inlineStr">
        <is>
          <t>P-110</t>
        </is>
      </c>
      <c r="D39" s="2" t="n">
        <v>7580</v>
      </c>
      <c r="E39" s="2" t="n">
        <v>10690</v>
      </c>
      <c r="F39" s="2" t="n"/>
      <c r="G39" s="2" t="n"/>
      <c r="H39" s="2" t="n"/>
      <c r="I39" s="2" t="inlineStr">
        <is>
          <t>BTC</t>
        </is>
      </c>
      <c r="J39" s="2" t="n">
        <v>385</v>
      </c>
      <c r="K39" s="2" t="n"/>
      <c r="L39" s="2" t="n">
        <v>367</v>
      </c>
      <c r="M39" s="2" t="n">
        <v>0.25</v>
      </c>
      <c r="N39" s="2" t="n">
        <v>4</v>
      </c>
      <c r="O39" s="2" t="n">
        <v>3.875</v>
      </c>
      <c r="P39" s="7" t="n"/>
    </row>
    <row r="40">
      <c r="A40" s="8" t="n">
        <v>4.5</v>
      </c>
      <c r="B40" s="1" t="n">
        <v>13.5</v>
      </c>
      <c r="C40" s="1" t="inlineStr">
        <is>
          <t>L-80</t>
        </is>
      </c>
      <c r="D40" s="1" t="n">
        <v>8540</v>
      </c>
      <c r="E40" s="1" t="n">
        <v>9020</v>
      </c>
      <c r="F40" s="1" t="n"/>
      <c r="G40" s="1" t="n"/>
      <c r="H40" s="1" t="n"/>
      <c r="I40" s="1" t="inlineStr">
        <is>
          <t>LTC</t>
        </is>
      </c>
      <c r="J40" s="1" t="n">
        <v>257</v>
      </c>
      <c r="K40" s="1" t="n"/>
      <c r="L40" s="1" t="n">
        <v>307</v>
      </c>
      <c r="M40" s="1" t="n">
        <v>0.29</v>
      </c>
      <c r="N40" s="1" t="n">
        <v>3.92</v>
      </c>
      <c r="O40" s="1" t="n">
        <v>3.795</v>
      </c>
      <c r="P40" s="9" t="n"/>
    </row>
    <row r="41">
      <c r="A41" s="8" t="n">
        <v>4.5</v>
      </c>
      <c r="B41" s="1" t="n">
        <v>13.5</v>
      </c>
      <c r="C41" s="1" t="inlineStr">
        <is>
          <t>L-80</t>
        </is>
      </c>
      <c r="D41" s="1" t="n">
        <v>8540</v>
      </c>
      <c r="E41" s="1" t="n">
        <v>9020</v>
      </c>
      <c r="F41" s="1" t="n"/>
      <c r="G41" s="1" t="n"/>
      <c r="H41" s="1" t="n"/>
      <c r="I41" s="1" t="inlineStr">
        <is>
          <t>BTC</t>
        </is>
      </c>
      <c r="J41" s="1" t="n">
        <v>334</v>
      </c>
      <c r="K41" s="1" t="n"/>
      <c r="L41" s="1" t="n">
        <v>307</v>
      </c>
      <c r="M41" s="1" t="n">
        <v>0.29</v>
      </c>
      <c r="N41" s="1" t="n">
        <v>3.92</v>
      </c>
      <c r="O41" s="1" t="n">
        <v>3.795</v>
      </c>
      <c r="P41" s="9" t="n"/>
    </row>
    <row r="42">
      <c r="A42" s="6" t="n">
        <v>4.5</v>
      </c>
      <c r="B42" s="2" t="n">
        <v>13.5</v>
      </c>
      <c r="C42" s="2" t="inlineStr">
        <is>
          <t>HCL-80</t>
        </is>
      </c>
      <c r="D42" s="2" t="n">
        <v>10380</v>
      </c>
      <c r="E42" s="2" t="n">
        <v>9020</v>
      </c>
      <c r="F42" s="2" t="n"/>
      <c r="G42" s="2" t="n"/>
      <c r="H42" s="2" t="n"/>
      <c r="I42" s="2" t="inlineStr">
        <is>
          <t>LTC</t>
        </is>
      </c>
      <c r="J42" s="2" t="n">
        <v>270</v>
      </c>
      <c r="K42" s="2" t="n"/>
      <c r="L42" s="2" t="n">
        <v>307</v>
      </c>
      <c r="M42" s="2" t="n">
        <v>0.29</v>
      </c>
      <c r="N42" s="2" t="n">
        <v>3.92</v>
      </c>
      <c r="O42" s="2" t="n">
        <v>3.795</v>
      </c>
      <c r="P42" s="7" t="n"/>
    </row>
    <row r="43">
      <c r="A43" s="6" t="n">
        <v>4.5</v>
      </c>
      <c r="B43" s="2" t="n">
        <v>13.5</v>
      </c>
      <c r="C43" s="2" t="inlineStr">
        <is>
          <t>HCL-80</t>
        </is>
      </c>
      <c r="D43" s="2" t="n">
        <v>10380</v>
      </c>
      <c r="E43" s="2" t="n">
        <v>9020</v>
      </c>
      <c r="F43" s="2" t="n"/>
      <c r="G43" s="2" t="n"/>
      <c r="H43" s="2" t="n"/>
      <c r="I43" s="2" t="inlineStr">
        <is>
          <t>BTC</t>
        </is>
      </c>
      <c r="J43" s="2" t="n">
        <v>359</v>
      </c>
      <c r="K43" s="2" t="n"/>
      <c r="L43" s="2" t="n">
        <v>307</v>
      </c>
      <c r="M43" s="2" t="n">
        <v>0.29</v>
      </c>
      <c r="N43" s="2" t="n">
        <v>3.92</v>
      </c>
      <c r="O43" s="2" t="n">
        <v>3.795</v>
      </c>
      <c r="P43" s="7" t="n"/>
    </row>
    <row r="44">
      <c r="A44" s="8" t="n">
        <v>4.5</v>
      </c>
      <c r="B44" s="1" t="n">
        <v>13.5</v>
      </c>
      <c r="C44" s="1" t="inlineStr">
        <is>
          <t>N-80</t>
        </is>
      </c>
      <c r="D44" s="1" t="n">
        <v>8540</v>
      </c>
      <c r="E44" s="1" t="n">
        <v>9020</v>
      </c>
      <c r="F44" s="1" t="n"/>
      <c r="G44" s="1" t="n"/>
      <c r="H44" s="1" t="n"/>
      <c r="I44" s="1" t="inlineStr">
        <is>
          <t>LTC</t>
        </is>
      </c>
      <c r="J44" s="1" t="n">
        <v>270</v>
      </c>
      <c r="K44" s="1" t="n"/>
      <c r="L44" s="1" t="n">
        <v>307</v>
      </c>
      <c r="M44" s="1" t="n">
        <v>0.29</v>
      </c>
      <c r="N44" s="1" t="n">
        <v>3.92</v>
      </c>
      <c r="O44" s="1" t="n">
        <v>3.795</v>
      </c>
      <c r="P44" s="9" t="n"/>
    </row>
    <row r="45">
      <c r="A45" s="8" t="n">
        <v>4.5</v>
      </c>
      <c r="B45" s="1" t="n">
        <v>13.5</v>
      </c>
      <c r="C45" s="1" t="inlineStr">
        <is>
          <t>N-80</t>
        </is>
      </c>
      <c r="D45" s="1" t="n">
        <v>8540</v>
      </c>
      <c r="E45" s="1" t="n">
        <v>9020</v>
      </c>
      <c r="F45" s="1" t="n"/>
      <c r="G45" s="1" t="n"/>
      <c r="H45" s="1" t="n"/>
      <c r="I45" s="1" t="inlineStr">
        <is>
          <t>BTC</t>
        </is>
      </c>
      <c r="J45" s="1" t="n">
        <v>349</v>
      </c>
      <c r="K45" s="1" t="n"/>
      <c r="L45" s="1" t="n">
        <v>307</v>
      </c>
      <c r="M45" s="1" t="n">
        <v>0.29</v>
      </c>
      <c r="N45" s="1" t="n">
        <v>3.92</v>
      </c>
      <c r="O45" s="1" t="n">
        <v>3.795</v>
      </c>
      <c r="P45" s="9" t="n"/>
    </row>
    <row r="46">
      <c r="A46" s="6" t="n">
        <v>4.5</v>
      </c>
      <c r="B46" s="2" t="n">
        <v>13.5</v>
      </c>
      <c r="C46" s="2" t="inlineStr">
        <is>
          <t>HCN-80</t>
        </is>
      </c>
      <c r="D46" s="2" t="n">
        <v>10380</v>
      </c>
      <c r="E46" s="2" t="n">
        <v>9020</v>
      </c>
      <c r="F46" s="2" t="n"/>
      <c r="G46" s="2" t="n"/>
      <c r="H46" s="2" t="n"/>
      <c r="I46" s="2" t="inlineStr">
        <is>
          <t>LTC</t>
        </is>
      </c>
      <c r="J46" s="2" t="n">
        <v>270</v>
      </c>
      <c r="K46" s="2" t="n"/>
      <c r="L46" s="2" t="n">
        <v>307</v>
      </c>
      <c r="M46" s="2" t="n">
        <v>0.29</v>
      </c>
      <c r="N46" s="2" t="n">
        <v>3.92</v>
      </c>
      <c r="O46" s="2" t="n">
        <v>3.795</v>
      </c>
      <c r="P46" s="7" t="n"/>
    </row>
    <row r="47">
      <c r="A47" s="6" t="n">
        <v>4.5</v>
      </c>
      <c r="B47" s="2" t="n">
        <v>13.5</v>
      </c>
      <c r="C47" s="2" t="inlineStr">
        <is>
          <t>HCN-80</t>
        </is>
      </c>
      <c r="D47" s="2" t="n">
        <v>10380</v>
      </c>
      <c r="E47" s="2" t="n">
        <v>9020</v>
      </c>
      <c r="F47" s="2" t="n"/>
      <c r="G47" s="2" t="n"/>
      <c r="H47" s="2" t="n"/>
      <c r="I47" s="2" t="inlineStr">
        <is>
          <t>BTC</t>
        </is>
      </c>
      <c r="J47" s="2" t="n">
        <v>359</v>
      </c>
      <c r="K47" s="2" t="n"/>
      <c r="L47" s="2" t="n">
        <v>307</v>
      </c>
      <c r="M47" s="2" t="n">
        <v>0.29</v>
      </c>
      <c r="N47" s="2" t="n">
        <v>3.92</v>
      </c>
      <c r="O47" s="2" t="n">
        <v>3.795</v>
      </c>
      <c r="P47" s="7" t="n"/>
    </row>
    <row r="48">
      <c r="A48" s="8" t="n">
        <v>4.5</v>
      </c>
      <c r="B48" s="1" t="n">
        <v>13.5</v>
      </c>
      <c r="C48" s="1" t="inlineStr">
        <is>
          <t>C-90</t>
        </is>
      </c>
      <c r="D48" s="1" t="n">
        <v>9300</v>
      </c>
      <c r="E48" s="1" t="n">
        <v>10150</v>
      </c>
      <c r="F48" s="1" t="n"/>
      <c r="G48" s="1" t="n"/>
      <c r="H48" s="1" t="n"/>
      <c r="I48" s="1" t="inlineStr">
        <is>
          <t>LTC</t>
        </is>
      </c>
      <c r="J48" s="1" t="n">
        <v>270</v>
      </c>
      <c r="K48" s="1" t="n"/>
      <c r="L48" s="1" t="n">
        <v>345</v>
      </c>
      <c r="M48" s="1" t="n">
        <v>0.29</v>
      </c>
      <c r="N48" s="1" t="n">
        <v>3.92</v>
      </c>
      <c r="O48" s="1" t="n">
        <v>3.795</v>
      </c>
      <c r="P48" s="9" t="n"/>
    </row>
    <row r="49">
      <c r="A49" s="8" t="n">
        <v>4.5</v>
      </c>
      <c r="B49" s="1" t="n">
        <v>13.5</v>
      </c>
      <c r="C49" s="1" t="inlineStr">
        <is>
          <t>C-90</t>
        </is>
      </c>
      <c r="D49" s="1" t="n">
        <v>9300</v>
      </c>
      <c r="E49" s="1" t="n">
        <v>10150</v>
      </c>
      <c r="F49" s="1" t="n"/>
      <c r="G49" s="1" t="n"/>
      <c r="H49" s="1" t="n"/>
      <c r="I49" s="1" t="inlineStr">
        <is>
          <t>BTC</t>
        </is>
      </c>
      <c r="J49" s="1" t="n">
        <v>355</v>
      </c>
      <c r="K49" s="1" t="n"/>
      <c r="L49" s="1" t="n">
        <v>345</v>
      </c>
      <c r="M49" s="1" t="n">
        <v>0.29</v>
      </c>
      <c r="N49" s="1" t="n">
        <v>3.92</v>
      </c>
      <c r="O49" s="1" t="n">
        <v>3.795</v>
      </c>
      <c r="P49" s="9" t="n"/>
    </row>
    <row r="50">
      <c r="A50" s="6" t="n">
        <v>4.5</v>
      </c>
      <c r="B50" s="2" t="n">
        <v>13.5</v>
      </c>
      <c r="C50" s="2" t="inlineStr">
        <is>
          <t>S-95</t>
        </is>
      </c>
      <c r="D50" s="2" t="n">
        <v>10380</v>
      </c>
      <c r="E50" s="2" t="n">
        <v>10710</v>
      </c>
      <c r="F50" s="2" t="n"/>
      <c r="G50" s="2" t="n"/>
      <c r="H50" s="2" t="n"/>
      <c r="I50" s="2" t="inlineStr">
        <is>
          <t>LTC</t>
        </is>
      </c>
      <c r="J50" s="2" t="n">
        <v>297</v>
      </c>
      <c r="K50" s="2" t="n"/>
      <c r="L50" s="2" t="n">
        <v>364</v>
      </c>
      <c r="M50" s="2" t="n">
        <v>0.29</v>
      </c>
      <c r="N50" s="2" t="n">
        <v>3.92</v>
      </c>
      <c r="O50" s="2" t="n">
        <v>3.795</v>
      </c>
      <c r="P50" s="7" t="n"/>
    </row>
    <row r="51">
      <c r="A51" s="6" t="n">
        <v>4.5</v>
      </c>
      <c r="B51" s="2" t="n">
        <v>13.5</v>
      </c>
      <c r="C51" s="2" t="inlineStr">
        <is>
          <t>S-95</t>
        </is>
      </c>
      <c r="D51" s="2" t="n">
        <v>10380</v>
      </c>
      <c r="E51" s="2" t="n">
        <v>10710</v>
      </c>
      <c r="F51" s="2" t="n"/>
      <c r="G51" s="2" t="n"/>
      <c r="H51" s="2" t="n"/>
      <c r="I51" s="2" t="inlineStr">
        <is>
          <t>BTC</t>
        </is>
      </c>
      <c r="J51" s="2" t="n">
        <v>388</v>
      </c>
      <c r="K51" s="2" t="n"/>
      <c r="L51" s="2" t="n">
        <v>364</v>
      </c>
      <c r="M51" s="2" t="n">
        <v>0.29</v>
      </c>
      <c r="N51" s="2" t="n">
        <v>3.92</v>
      </c>
      <c r="O51" s="2" t="n">
        <v>3.795</v>
      </c>
      <c r="P51" s="7" t="n"/>
    </row>
    <row r="52">
      <c r="A52" s="8" t="n">
        <v>4.5</v>
      </c>
      <c r="B52" s="1" t="n">
        <v>13.5</v>
      </c>
      <c r="C52" s="1" t="inlineStr">
        <is>
          <t>T-95</t>
        </is>
      </c>
      <c r="D52" s="1" t="n">
        <v>9660</v>
      </c>
      <c r="E52" s="1" t="n">
        <v>10710</v>
      </c>
      <c r="F52" s="1" t="n"/>
      <c r="G52" s="1" t="n"/>
      <c r="H52" s="1" t="n"/>
      <c r="I52" s="1" t="inlineStr">
        <is>
          <t>LTC</t>
        </is>
      </c>
      <c r="J52" s="1" t="n">
        <v>284</v>
      </c>
      <c r="K52" s="1" t="n"/>
      <c r="L52" s="1" t="n">
        <v>364</v>
      </c>
      <c r="M52" s="1" t="n">
        <v>0.29</v>
      </c>
      <c r="N52" s="1" t="n">
        <v>3.92</v>
      </c>
      <c r="O52" s="1" t="n">
        <v>3.795</v>
      </c>
      <c r="P52" s="9" t="n"/>
    </row>
    <row r="53">
      <c r="A53" s="8" t="n">
        <v>4.5</v>
      </c>
      <c r="B53" s="1" t="n">
        <v>13.5</v>
      </c>
      <c r="C53" s="1" t="inlineStr">
        <is>
          <t>T-95</t>
        </is>
      </c>
      <c r="D53" s="1" t="n">
        <v>9660</v>
      </c>
      <c r="E53" s="1" t="n">
        <v>10710</v>
      </c>
      <c r="F53" s="1" t="n"/>
      <c r="G53" s="1" t="n"/>
      <c r="H53" s="1" t="n"/>
      <c r="I53" s="1" t="inlineStr">
        <is>
          <t>BTC</t>
        </is>
      </c>
      <c r="J53" s="1" t="n">
        <v>374</v>
      </c>
      <c r="K53" s="1" t="n"/>
      <c r="L53" s="1" t="n">
        <v>364</v>
      </c>
      <c r="M53" s="1" t="n">
        <v>0.29</v>
      </c>
      <c r="N53" s="1" t="n">
        <v>3.92</v>
      </c>
      <c r="O53" s="1" t="n">
        <v>3.795</v>
      </c>
      <c r="P53" s="9" t="n"/>
    </row>
    <row r="54">
      <c r="A54" s="6" t="n">
        <v>4.5</v>
      </c>
      <c r="B54" s="2" t="n">
        <v>13.5</v>
      </c>
      <c r="C54" s="2" t="inlineStr">
        <is>
          <t>C-95</t>
        </is>
      </c>
      <c r="D54" s="2" t="n">
        <v>9660</v>
      </c>
      <c r="E54" s="2" t="n">
        <v>10710</v>
      </c>
      <c r="F54" s="2" t="n"/>
      <c r="G54" s="2" t="n"/>
      <c r="H54" s="2" t="n"/>
      <c r="I54" s="2" t="inlineStr">
        <is>
          <t>LTC</t>
        </is>
      </c>
      <c r="J54" s="2" t="n">
        <v>284</v>
      </c>
      <c r="K54" s="2" t="n"/>
      <c r="L54" s="2" t="n">
        <v>364</v>
      </c>
      <c r="M54" s="2" t="n">
        <v>0.29</v>
      </c>
      <c r="N54" s="2" t="n">
        <v>3.92</v>
      </c>
      <c r="O54" s="2" t="n">
        <v>3.795</v>
      </c>
      <c r="P54" s="7" t="n"/>
    </row>
    <row r="55">
      <c r="A55" s="6" t="n">
        <v>4.5</v>
      </c>
      <c r="B55" s="2" t="n">
        <v>13.5</v>
      </c>
      <c r="C55" s="2" t="inlineStr">
        <is>
          <t>C-95</t>
        </is>
      </c>
      <c r="D55" s="2" t="n">
        <v>9660</v>
      </c>
      <c r="E55" s="2" t="n">
        <v>10710</v>
      </c>
      <c r="F55" s="2" t="n"/>
      <c r="G55" s="2" t="n"/>
      <c r="H55" s="2" t="n"/>
      <c r="I55" s="2" t="inlineStr">
        <is>
          <t>BTC</t>
        </is>
      </c>
      <c r="J55" s="2" t="n">
        <v>374</v>
      </c>
      <c r="K55" s="2" t="n"/>
      <c r="L55" s="2" t="n">
        <v>364</v>
      </c>
      <c r="M55" s="2" t="n">
        <v>0.29</v>
      </c>
      <c r="N55" s="2" t="n">
        <v>3.92</v>
      </c>
      <c r="O55" s="2" t="n">
        <v>3.795</v>
      </c>
      <c r="P55" s="7" t="n"/>
    </row>
    <row r="56">
      <c r="A56" s="8" t="n">
        <v>4.5</v>
      </c>
      <c r="B56" s="1" t="n">
        <v>13.5</v>
      </c>
      <c r="C56" s="1" t="inlineStr">
        <is>
          <t>P-110</t>
        </is>
      </c>
      <c r="D56" s="1" t="n">
        <v>10680</v>
      </c>
      <c r="E56" s="1" t="n">
        <v>12410</v>
      </c>
      <c r="F56" s="1" t="n"/>
      <c r="G56" s="1" t="n"/>
      <c r="H56" s="1" t="n"/>
      <c r="I56" s="1" t="inlineStr">
        <is>
          <t>LTC</t>
        </is>
      </c>
      <c r="J56" s="1" t="n">
        <v>338</v>
      </c>
      <c r="K56" s="1" t="n"/>
      <c r="L56" s="1" t="n">
        <v>422</v>
      </c>
      <c r="M56" s="1" t="n">
        <v>0.29</v>
      </c>
      <c r="N56" s="1" t="n">
        <v>3.92</v>
      </c>
      <c r="O56" s="1" t="n">
        <v>3.795</v>
      </c>
      <c r="P56" s="9" t="n"/>
    </row>
    <row r="57">
      <c r="A57" s="8" t="n">
        <v>4.5</v>
      </c>
      <c r="B57" s="1" t="n">
        <v>13.5</v>
      </c>
      <c r="C57" s="1" t="inlineStr">
        <is>
          <t>P-110</t>
        </is>
      </c>
      <c r="D57" s="1" t="n">
        <v>10680</v>
      </c>
      <c r="E57" s="1" t="n">
        <v>12410</v>
      </c>
      <c r="F57" s="1" t="n"/>
      <c r="G57" s="1" t="n"/>
      <c r="H57" s="1" t="n"/>
      <c r="I57" s="1" t="inlineStr">
        <is>
          <t>BTC</t>
        </is>
      </c>
      <c r="J57" s="1" t="n">
        <v>443</v>
      </c>
      <c r="K57" s="1" t="n"/>
      <c r="L57" s="1" t="n">
        <v>422</v>
      </c>
      <c r="M57" s="1" t="n">
        <v>0.29</v>
      </c>
      <c r="N57" s="1" t="n">
        <v>3.92</v>
      </c>
      <c r="O57" s="1" t="n">
        <v>3.795</v>
      </c>
      <c r="P57" s="9" t="n"/>
    </row>
    <row r="58">
      <c r="A58" s="6" t="n">
        <v>4.5</v>
      </c>
      <c r="B58" s="2" t="n">
        <v>15.1</v>
      </c>
      <c r="C58" s="2" t="inlineStr">
        <is>
          <t>L-80</t>
        </is>
      </c>
      <c r="D58" s="2" t="n">
        <v>11090</v>
      </c>
      <c r="E58" s="2" t="n">
        <v>10480</v>
      </c>
      <c r="F58" s="2" t="n"/>
      <c r="G58" s="2" t="n"/>
      <c r="H58" s="2" t="n"/>
      <c r="I58" s="2" t="inlineStr">
        <is>
          <t>LTC</t>
        </is>
      </c>
      <c r="J58" s="2" t="n">
        <v>308</v>
      </c>
      <c r="K58" s="2" t="n"/>
      <c r="L58" s="2" t="n">
        <v>353</v>
      </c>
      <c r="M58" s="2" t="n">
        <v>0.337</v>
      </c>
      <c r="N58" s="2" t="n">
        <v>3.826</v>
      </c>
      <c r="O58" s="2" t="n">
        <v>3.701</v>
      </c>
      <c r="P58" s="7" t="n"/>
    </row>
    <row r="59">
      <c r="A59" s="6" t="n">
        <v>4.5</v>
      </c>
      <c r="B59" s="2" t="n">
        <v>15.1</v>
      </c>
      <c r="C59" s="2" t="inlineStr">
        <is>
          <t>L-80</t>
        </is>
      </c>
      <c r="D59" s="2" t="n">
        <v>11090</v>
      </c>
      <c r="E59" s="2" t="n">
        <v>10480</v>
      </c>
      <c r="F59" s="2" t="n"/>
      <c r="G59" s="2" t="n"/>
      <c r="H59" s="2" t="n"/>
      <c r="I59" s="2" t="inlineStr">
        <is>
          <t>BTC</t>
        </is>
      </c>
      <c r="J59" s="2" t="n">
        <v>384</v>
      </c>
      <c r="K59" s="2" t="n"/>
      <c r="L59" s="2" t="n">
        <v>353</v>
      </c>
      <c r="M59" s="2" t="n">
        <v>0.337</v>
      </c>
      <c r="N59" s="2" t="n">
        <v>3.826</v>
      </c>
      <c r="O59" s="2" t="n">
        <v>3.701</v>
      </c>
      <c r="P59" s="7" t="n"/>
    </row>
    <row r="60">
      <c r="A60" s="8" t="n">
        <v>4.5</v>
      </c>
      <c r="B60" s="1" t="n">
        <v>15.1</v>
      </c>
      <c r="C60" s="1" t="inlineStr">
        <is>
          <t>HCL-80</t>
        </is>
      </c>
      <c r="D60" s="1" t="n">
        <v>12330</v>
      </c>
      <c r="E60" s="1" t="n">
        <v>10480</v>
      </c>
      <c r="F60" s="1" t="n"/>
      <c r="G60" s="1" t="n"/>
      <c r="H60" s="1" t="n"/>
      <c r="I60" s="1" t="inlineStr">
        <is>
          <t>LTC</t>
        </is>
      </c>
      <c r="J60" s="1" t="n">
        <v>325</v>
      </c>
      <c r="K60" s="1" t="n"/>
      <c r="L60" s="1" t="n">
        <v>353</v>
      </c>
      <c r="M60" s="1" t="n">
        <v>0.337</v>
      </c>
      <c r="N60" s="1" t="n">
        <v>3.826</v>
      </c>
      <c r="O60" s="1" t="n">
        <v>3.701</v>
      </c>
      <c r="P60" s="9" t="n"/>
    </row>
    <row r="61">
      <c r="A61" s="8" t="n">
        <v>4.5</v>
      </c>
      <c r="B61" s="1" t="n">
        <v>15.1</v>
      </c>
      <c r="C61" s="1" t="inlineStr">
        <is>
          <t>HCL-80</t>
        </is>
      </c>
      <c r="D61" s="1" t="n">
        <v>12330</v>
      </c>
      <c r="E61" s="1" t="n">
        <v>9790</v>
      </c>
      <c r="F61" s="1" t="n"/>
      <c r="G61" s="1" t="n"/>
      <c r="H61" s="1" t="n"/>
      <c r="I61" s="1" t="inlineStr">
        <is>
          <t>BTC</t>
        </is>
      </c>
      <c r="J61" s="1" t="n">
        <v>408</v>
      </c>
      <c r="K61" s="1" t="n"/>
      <c r="L61" s="1" t="n">
        <v>353</v>
      </c>
      <c r="M61" s="1" t="n">
        <v>0.337</v>
      </c>
      <c r="N61" s="1" t="n">
        <v>3.826</v>
      </c>
      <c r="O61" s="1" t="n">
        <v>3.701</v>
      </c>
      <c r="P61" s="9" t="n"/>
    </row>
    <row r="62">
      <c r="A62" s="6" t="n">
        <v>4.5</v>
      </c>
      <c r="B62" s="2" t="n">
        <v>15.1</v>
      </c>
      <c r="C62" s="2" t="inlineStr">
        <is>
          <t>S-95</t>
        </is>
      </c>
      <c r="D62" s="2" t="n">
        <v>12330</v>
      </c>
      <c r="E62" s="2" t="n">
        <v>12450</v>
      </c>
      <c r="F62" s="2" t="n"/>
      <c r="G62" s="2" t="n"/>
      <c r="H62" s="2" t="n"/>
      <c r="I62" s="2" t="inlineStr">
        <is>
          <t>LTC</t>
        </is>
      </c>
      <c r="J62" s="2" t="n">
        <v>357</v>
      </c>
      <c r="K62" s="2" t="n"/>
      <c r="L62" s="2" t="n">
        <v>419</v>
      </c>
      <c r="M62" s="2" t="n">
        <v>0.337</v>
      </c>
      <c r="N62" s="2" t="n">
        <v>3.826</v>
      </c>
      <c r="O62" s="2" t="n">
        <v>3.701</v>
      </c>
      <c r="P62" s="7" t="n"/>
    </row>
    <row r="63">
      <c r="A63" s="6" t="n">
        <v>4.5</v>
      </c>
      <c r="B63" s="2" t="n">
        <v>15.1</v>
      </c>
      <c r="C63" s="2" t="inlineStr">
        <is>
          <t>S-95</t>
        </is>
      </c>
      <c r="D63" s="2" t="n">
        <v>12330</v>
      </c>
      <c r="E63" s="2" t="n">
        <v>11630</v>
      </c>
      <c r="F63" s="2" t="n"/>
      <c r="G63" s="2" t="n"/>
      <c r="H63" s="2" t="n"/>
      <c r="I63" s="2" t="inlineStr">
        <is>
          <t>BTC</t>
        </is>
      </c>
      <c r="J63" s="2" t="n">
        <v>446</v>
      </c>
      <c r="K63" s="2" t="n"/>
      <c r="L63" s="2" t="n">
        <v>419</v>
      </c>
      <c r="M63" s="2" t="n">
        <v>0.337</v>
      </c>
      <c r="N63" s="2" t="n">
        <v>3.826</v>
      </c>
      <c r="O63" s="2" t="n">
        <v>3.701</v>
      </c>
      <c r="P63" s="7" t="n"/>
    </row>
    <row r="64">
      <c r="A64" s="8" t="n">
        <v>4.5</v>
      </c>
      <c r="B64" s="1" t="n">
        <v>15.1</v>
      </c>
      <c r="C64" s="1" t="inlineStr">
        <is>
          <t>P-110</t>
        </is>
      </c>
      <c r="D64" s="1" t="n">
        <v>14350</v>
      </c>
      <c r="E64" s="1" t="n">
        <v>14420</v>
      </c>
      <c r="F64" s="1" t="n"/>
      <c r="G64" s="1" t="n"/>
      <c r="H64" s="1" t="n"/>
      <c r="I64" s="1" t="inlineStr">
        <is>
          <t>LTC</t>
        </is>
      </c>
      <c r="J64" s="1" t="n">
        <v>406</v>
      </c>
      <c r="K64" s="1" t="n"/>
      <c r="L64" s="1" t="n">
        <v>485</v>
      </c>
      <c r="M64" s="1" t="n">
        <v>0.337</v>
      </c>
      <c r="N64" s="1" t="n">
        <v>3.826</v>
      </c>
      <c r="O64" s="1" t="n">
        <v>3.701</v>
      </c>
      <c r="P64" s="9" t="n"/>
    </row>
    <row r="65">
      <c r="A65" s="8" t="n">
        <v>4.5</v>
      </c>
      <c r="B65" s="1" t="n">
        <v>15.1</v>
      </c>
      <c r="C65" s="1" t="inlineStr">
        <is>
          <t>P-110</t>
        </is>
      </c>
      <c r="D65" s="1" t="n">
        <v>14350</v>
      </c>
      <c r="E65" s="1" t="n">
        <v>13460</v>
      </c>
      <c r="F65" s="1" t="n"/>
      <c r="G65" s="1" t="n"/>
      <c r="H65" s="1" t="n"/>
      <c r="I65" s="1" t="inlineStr">
        <is>
          <t>BTC</t>
        </is>
      </c>
      <c r="J65" s="1" t="n">
        <v>509</v>
      </c>
      <c r="K65" s="1" t="n"/>
      <c r="L65" s="1" t="n">
        <v>485</v>
      </c>
      <c r="M65" s="1" t="n">
        <v>0.337</v>
      </c>
      <c r="N65" s="1" t="n">
        <v>3.826</v>
      </c>
      <c r="O65" s="1" t="n">
        <v>3.701</v>
      </c>
      <c r="P65" s="9" t="n"/>
    </row>
    <row r="66">
      <c r="A66" s="6" t="n">
        <v>4.5</v>
      </c>
      <c r="B66" s="2" t="n">
        <v>15.1</v>
      </c>
      <c r="C66" s="2" t="inlineStr">
        <is>
          <t>Q-125</t>
        </is>
      </c>
      <c r="D66" s="2" t="n">
        <v>15840</v>
      </c>
      <c r="E66" s="2" t="n">
        <v>16380</v>
      </c>
      <c r="F66" s="2" t="n"/>
      <c r="G66" s="2" t="n"/>
      <c r="H66" s="2" t="n"/>
      <c r="I66" s="2" t="inlineStr">
        <is>
          <t>LTC</t>
        </is>
      </c>
      <c r="J66" s="2" t="n">
        <v>438</v>
      </c>
      <c r="K66" s="2" t="n"/>
      <c r="L66" s="2" t="n">
        <v>551</v>
      </c>
      <c r="M66" s="2" t="n">
        <v>0.337</v>
      </c>
      <c r="N66" s="2" t="n">
        <v>3.826</v>
      </c>
      <c r="O66" s="2" t="n">
        <v>3.701</v>
      </c>
      <c r="P66" s="7" t="n"/>
    </row>
    <row r="67">
      <c r="A67" s="6" t="n">
        <v>4.5</v>
      </c>
      <c r="B67" s="2" t="n">
        <v>15.1</v>
      </c>
      <c r="C67" s="2" t="inlineStr">
        <is>
          <t>Q-125</t>
        </is>
      </c>
      <c r="D67" s="2" t="n">
        <v>15840</v>
      </c>
      <c r="E67" s="2" t="n">
        <v>15300</v>
      </c>
      <c r="F67" s="2" t="n"/>
      <c r="G67" s="2" t="n"/>
      <c r="H67" s="2" t="n"/>
      <c r="I67" s="2" t="inlineStr">
        <is>
          <t>BTC</t>
        </is>
      </c>
      <c r="J67" s="2" t="n">
        <v>554</v>
      </c>
      <c r="K67" s="2" t="n"/>
      <c r="L67" s="2" t="n">
        <v>551</v>
      </c>
      <c r="M67" s="2" t="n">
        <v>0.337</v>
      </c>
      <c r="N67" s="2" t="n">
        <v>3.826</v>
      </c>
      <c r="O67" s="2" t="n">
        <v>3.701</v>
      </c>
      <c r="P67" s="7" t="n"/>
    </row>
    <row r="68" ht="15.75" customHeight="1" s="613" thickBot="1">
      <c r="A68" s="10" t="n">
        <v>4.5</v>
      </c>
      <c r="B68" s="11" t="n">
        <v>15.1</v>
      </c>
      <c r="C68" s="11" t="inlineStr">
        <is>
          <t>V-150</t>
        </is>
      </c>
      <c r="D68" s="11" t="n">
        <v>18110</v>
      </c>
      <c r="E68" s="11" t="n">
        <v>19660</v>
      </c>
      <c r="F68" s="11" t="n"/>
      <c r="G68" s="11" t="n"/>
      <c r="H68" s="11" t="n"/>
      <c r="I68" s="11" t="inlineStr">
        <is>
          <t>LTC</t>
        </is>
      </c>
      <c r="J68" s="11" t="n">
        <v>519</v>
      </c>
      <c r="K68" s="11" t="n"/>
      <c r="L68" s="11" t="n">
        <v>661</v>
      </c>
      <c r="M68" s="11" t="n">
        <v>0.337</v>
      </c>
      <c r="N68" s="11" t="n">
        <v>3.826</v>
      </c>
      <c r="O68" s="11" t="n">
        <v>3.701</v>
      </c>
      <c r="P68" s="12" t="n"/>
    </row>
    <row r="69" ht="15.75" customHeight="1" s="613" thickBot="1">
      <c r="A69" s="10" t="n">
        <v>4.5</v>
      </c>
      <c r="B69" s="11" t="n">
        <v>15.1</v>
      </c>
      <c r="C69" s="11" t="inlineStr">
        <is>
          <t>V-150</t>
        </is>
      </c>
      <c r="D69" s="11" t="n">
        <v>18110</v>
      </c>
      <c r="E69" s="11" t="n">
        <v>18360</v>
      </c>
      <c r="F69" s="11" t="n"/>
      <c r="G69" s="11" t="n"/>
      <c r="H69" s="11" t="n"/>
      <c r="I69" s="11" t="inlineStr">
        <is>
          <t>BTC</t>
        </is>
      </c>
      <c r="J69" s="11" t="n">
        <v>658</v>
      </c>
      <c r="K69" s="11" t="n"/>
      <c r="L69" s="11" t="n">
        <v>661</v>
      </c>
      <c r="M69" s="11" t="n">
        <v>0.337</v>
      </c>
      <c r="N69" s="11" t="n">
        <v>3.826</v>
      </c>
      <c r="O69" s="11" t="n">
        <v>3.701</v>
      </c>
      <c r="P69" s="12" t="n"/>
    </row>
    <row r="70">
      <c r="A70" s="3" t="n">
        <v>5</v>
      </c>
      <c r="B70" s="4" t="n">
        <v>11.5</v>
      </c>
      <c r="C70" s="4" t="inlineStr">
        <is>
          <t>J-55</t>
        </is>
      </c>
      <c r="D70" s="4" t="n">
        <v>3060</v>
      </c>
      <c r="E70" s="4" t="n">
        <v>4240</v>
      </c>
      <c r="F70" s="4" t="n"/>
      <c r="G70" s="4" t="n"/>
      <c r="H70" s="4" t="n"/>
      <c r="I70" s="4" t="inlineStr">
        <is>
          <t>STC</t>
        </is>
      </c>
      <c r="J70" s="4" t="n">
        <v>133</v>
      </c>
      <c r="K70" s="4" t="n"/>
      <c r="L70" s="4" t="n">
        <v>182</v>
      </c>
      <c r="M70" s="4" t="n">
        <v>0.22</v>
      </c>
      <c r="N70" s="4" t="n">
        <v>4.56</v>
      </c>
      <c r="O70" s="4" t="n">
        <v>4.435</v>
      </c>
      <c r="P70" s="5" t="n"/>
    </row>
    <row r="71">
      <c r="A71" s="6" t="n">
        <v>5</v>
      </c>
      <c r="B71" s="2" t="n">
        <v>11.5</v>
      </c>
      <c r="C71" s="2" t="inlineStr">
        <is>
          <t>K-55</t>
        </is>
      </c>
      <c r="D71" s="2" t="n">
        <v>3060</v>
      </c>
      <c r="E71" s="2" t="n">
        <v>4240</v>
      </c>
      <c r="F71" s="2" t="n"/>
      <c r="G71" s="2" t="n"/>
      <c r="H71" s="2" t="n"/>
      <c r="I71" s="2" t="inlineStr">
        <is>
          <t>STC</t>
        </is>
      </c>
      <c r="J71" s="2" t="n">
        <v>147</v>
      </c>
      <c r="K71" s="2" t="n"/>
      <c r="L71" s="2" t="n">
        <v>182</v>
      </c>
      <c r="M71" s="2" t="n">
        <v>0.22</v>
      </c>
      <c r="N71" s="2" t="n">
        <v>4.56</v>
      </c>
      <c r="O71" s="2" t="n">
        <v>4.435</v>
      </c>
      <c r="P71" s="7" t="n"/>
    </row>
    <row r="72">
      <c r="A72" s="8" t="n">
        <v>5</v>
      </c>
      <c r="B72" s="1" t="n">
        <v>14</v>
      </c>
      <c r="C72" s="1" t="inlineStr">
        <is>
          <t>J-55</t>
        </is>
      </c>
      <c r="D72" s="1" t="n">
        <v>3120</v>
      </c>
      <c r="E72" s="1" t="n">
        <v>4270</v>
      </c>
      <c r="F72" s="1" t="n"/>
      <c r="G72" s="1" t="n"/>
      <c r="H72" s="1" t="n"/>
      <c r="I72" s="1" t="inlineStr">
        <is>
          <t>STC</t>
        </is>
      </c>
      <c r="J72" s="1" t="n">
        <v>172</v>
      </c>
      <c r="K72" s="1" t="n"/>
      <c r="L72" s="1" t="n">
        <v>222</v>
      </c>
      <c r="M72" s="1" t="n">
        <v>0.244</v>
      </c>
      <c r="N72" s="1" t="n">
        <v>5.012</v>
      </c>
      <c r="O72" s="1" t="n">
        <v>4.887</v>
      </c>
      <c r="P72" s="9" t="n"/>
    </row>
    <row r="73">
      <c r="A73" s="6" t="n">
        <v>5</v>
      </c>
      <c r="B73" s="2" t="n">
        <v>14</v>
      </c>
      <c r="C73" s="2" t="inlineStr">
        <is>
          <t>K-55</t>
        </is>
      </c>
      <c r="D73" s="2" t="n">
        <v>3120</v>
      </c>
      <c r="E73" s="2" t="n">
        <v>4270</v>
      </c>
      <c r="F73" s="2" t="n"/>
      <c r="G73" s="2" t="n"/>
      <c r="H73" s="2" t="n"/>
      <c r="I73" s="2" t="inlineStr">
        <is>
          <t>STC</t>
        </is>
      </c>
      <c r="J73" s="2" t="n">
        <v>189</v>
      </c>
      <c r="K73" s="2" t="n"/>
      <c r="L73" s="2" t="n">
        <v>222</v>
      </c>
      <c r="M73" s="2" t="n">
        <v>0.244</v>
      </c>
      <c r="N73" s="2" t="n">
        <v>5.012</v>
      </c>
      <c r="O73" s="2" t="n">
        <v>4.887</v>
      </c>
      <c r="P73" s="7" t="n"/>
    </row>
    <row r="74">
      <c r="A74" s="8" t="n">
        <v>5</v>
      </c>
      <c r="B74" s="1" t="n">
        <v>13</v>
      </c>
      <c r="C74" s="1" t="inlineStr">
        <is>
          <t>J-55</t>
        </is>
      </c>
      <c r="D74" s="1" t="n">
        <v>4140</v>
      </c>
      <c r="E74" s="1" t="n">
        <v>4870</v>
      </c>
      <c r="F74" s="1" t="n"/>
      <c r="G74" s="1" t="n"/>
      <c r="H74" s="1" t="n"/>
      <c r="I74" s="1" t="inlineStr">
        <is>
          <t>STC</t>
        </is>
      </c>
      <c r="J74" s="1" t="n">
        <v>169</v>
      </c>
      <c r="K74" s="1" t="n"/>
      <c r="L74" s="1" t="n">
        <v>208</v>
      </c>
      <c r="M74" s="1" t="n">
        <v>0.253</v>
      </c>
      <c r="N74" s="1" t="n">
        <v>4.494</v>
      </c>
      <c r="O74" s="1" t="n">
        <v>4.369</v>
      </c>
      <c r="P74" s="9" t="n"/>
    </row>
    <row r="75">
      <c r="A75" s="8" t="n">
        <v>5</v>
      </c>
      <c r="B75" s="1" t="n">
        <v>13</v>
      </c>
      <c r="C75" s="1" t="inlineStr">
        <is>
          <t>J-55</t>
        </is>
      </c>
      <c r="D75" s="1" t="n">
        <v>4140</v>
      </c>
      <c r="E75" s="1" t="n">
        <v>4870</v>
      </c>
      <c r="F75" s="1" t="n"/>
      <c r="G75" s="1" t="n"/>
      <c r="H75" s="1" t="n"/>
      <c r="I75" s="1" t="inlineStr">
        <is>
          <t>LTC</t>
        </is>
      </c>
      <c r="J75" s="1" t="n">
        <v>182</v>
      </c>
      <c r="K75" s="1" t="n"/>
      <c r="L75" s="1" t="n">
        <v>208</v>
      </c>
      <c r="M75" s="1" t="n">
        <v>0.253</v>
      </c>
      <c r="N75" s="1" t="n">
        <v>4.494</v>
      </c>
      <c r="O75" s="1" t="n">
        <v>4.369</v>
      </c>
      <c r="P75" s="9" t="n"/>
    </row>
    <row r="76">
      <c r="A76" s="8" t="n">
        <v>5</v>
      </c>
      <c r="B76" s="1" t="n">
        <v>13</v>
      </c>
      <c r="C76" s="1" t="inlineStr">
        <is>
          <t>J-55</t>
        </is>
      </c>
      <c r="D76" s="1" t="n">
        <v>4140</v>
      </c>
      <c r="E76" s="1" t="n">
        <v>4870</v>
      </c>
      <c r="F76" s="1" t="n"/>
      <c r="G76" s="1" t="n"/>
      <c r="H76" s="1" t="n"/>
      <c r="I76" s="1" t="inlineStr">
        <is>
          <t>BTC</t>
        </is>
      </c>
      <c r="J76" s="1" t="n">
        <v>252</v>
      </c>
      <c r="K76" s="1" t="n"/>
      <c r="L76" s="1" t="n">
        <v>208</v>
      </c>
      <c r="M76" s="1" t="n">
        <v>0.253</v>
      </c>
      <c r="N76" s="1" t="n">
        <v>4.494</v>
      </c>
      <c r="O76" s="1" t="n">
        <v>4.369</v>
      </c>
      <c r="P76" s="9" t="n"/>
    </row>
    <row r="77">
      <c r="A77" s="6" t="n">
        <v>5</v>
      </c>
      <c r="B77" s="2" t="n">
        <v>13</v>
      </c>
      <c r="C77" s="2" t="inlineStr">
        <is>
          <t>K-55</t>
        </is>
      </c>
      <c r="D77" s="2" t="n">
        <v>4140</v>
      </c>
      <c r="E77" s="2" t="n">
        <v>4870</v>
      </c>
      <c r="F77" s="2" t="n"/>
      <c r="G77" s="2" t="n"/>
      <c r="H77" s="2" t="n"/>
      <c r="I77" s="2" t="inlineStr">
        <is>
          <t>STC</t>
        </is>
      </c>
      <c r="J77" s="2" t="n">
        <v>186</v>
      </c>
      <c r="K77" s="2" t="n"/>
      <c r="L77" s="2" t="n">
        <v>208</v>
      </c>
      <c r="M77" s="2" t="n">
        <v>0.253</v>
      </c>
      <c r="N77" s="2" t="n">
        <v>4.494</v>
      </c>
      <c r="O77" s="2" t="n">
        <v>4.369</v>
      </c>
      <c r="P77" s="7" t="n"/>
    </row>
    <row r="78">
      <c r="A78" s="6" t="n">
        <v>5</v>
      </c>
      <c r="B78" s="2" t="n">
        <v>13</v>
      </c>
      <c r="C78" s="2" t="inlineStr">
        <is>
          <t>K-55</t>
        </is>
      </c>
      <c r="D78" s="2" t="n">
        <v>4140</v>
      </c>
      <c r="E78" s="2" t="n">
        <v>4870</v>
      </c>
      <c r="F78" s="2" t="n"/>
      <c r="G78" s="2" t="n"/>
      <c r="H78" s="2" t="n"/>
      <c r="I78" s="2" t="inlineStr">
        <is>
          <t>LTC</t>
        </is>
      </c>
      <c r="J78" s="2" t="n">
        <v>201</v>
      </c>
      <c r="K78" s="2" t="n"/>
      <c r="L78" s="2" t="n">
        <v>208</v>
      </c>
      <c r="M78" s="2" t="n">
        <v>0.253</v>
      </c>
      <c r="N78" s="2" t="n">
        <v>4.494</v>
      </c>
      <c r="O78" s="2" t="n">
        <v>4.369</v>
      </c>
      <c r="P78" s="7" t="n"/>
    </row>
    <row r="79">
      <c r="A79" s="6" t="n">
        <v>5</v>
      </c>
      <c r="B79" s="2" t="n">
        <v>13</v>
      </c>
      <c r="C79" s="2" t="inlineStr">
        <is>
          <t>K-55</t>
        </is>
      </c>
      <c r="D79" s="2" t="n">
        <v>4140</v>
      </c>
      <c r="E79" s="2" t="n">
        <v>4870</v>
      </c>
      <c r="F79" s="2" t="n"/>
      <c r="G79" s="2" t="n"/>
      <c r="H79" s="2" t="n"/>
      <c r="I79" s="2" t="inlineStr">
        <is>
          <t>BTC</t>
        </is>
      </c>
      <c r="J79" s="2" t="n">
        <v>309</v>
      </c>
      <c r="K79" s="2" t="n"/>
      <c r="L79" s="2" t="n">
        <v>208</v>
      </c>
      <c r="M79" s="2" t="n">
        <v>0.253</v>
      </c>
      <c r="N79" s="2" t="n">
        <v>4.494</v>
      </c>
      <c r="O79" s="2" t="n">
        <v>4.369</v>
      </c>
      <c r="P79" s="7" t="n"/>
    </row>
    <row r="80">
      <c r="A80" s="8" t="n">
        <v>5</v>
      </c>
      <c r="B80" s="1" t="n">
        <v>15</v>
      </c>
      <c r="C80" s="1" t="inlineStr">
        <is>
          <t>J-55</t>
        </is>
      </c>
      <c r="D80" s="1" t="n">
        <v>5560</v>
      </c>
      <c r="E80" s="1" t="n">
        <v>5700</v>
      </c>
      <c r="F80" s="1" t="n"/>
      <c r="G80" s="1" t="n"/>
      <c r="H80" s="1" t="n"/>
      <c r="I80" s="1" t="inlineStr">
        <is>
          <t>STC</t>
        </is>
      </c>
      <c r="J80" s="1" t="n">
        <v>207</v>
      </c>
      <c r="K80" s="1" t="n"/>
      <c r="L80" s="1" t="n">
        <v>241</v>
      </c>
      <c r="M80" s="1" t="n">
        <v>0.296</v>
      </c>
      <c r="N80" s="1" t="n">
        <v>4.408</v>
      </c>
      <c r="O80" s="1" t="n">
        <v>4.283</v>
      </c>
      <c r="P80" s="9" t="n"/>
    </row>
    <row r="81">
      <c r="A81" s="8" t="n">
        <v>5</v>
      </c>
      <c r="B81" s="1" t="n">
        <v>15</v>
      </c>
      <c r="C81" s="1" t="inlineStr">
        <is>
          <t>J-55</t>
        </is>
      </c>
      <c r="D81" s="1" t="n">
        <v>5560</v>
      </c>
      <c r="E81" s="1" t="n">
        <v>5700</v>
      </c>
      <c r="F81" s="1" t="n"/>
      <c r="G81" s="1" t="n"/>
      <c r="H81" s="1" t="n"/>
      <c r="I81" s="1" t="inlineStr">
        <is>
          <t>LTC</t>
        </is>
      </c>
      <c r="J81" s="1" t="n">
        <v>223</v>
      </c>
      <c r="K81" s="1" t="n"/>
      <c r="L81" s="1" t="n">
        <v>241</v>
      </c>
      <c r="M81" s="1" t="n">
        <v>0.296</v>
      </c>
      <c r="N81" s="1" t="n">
        <v>4.408</v>
      </c>
      <c r="O81" s="1" t="n">
        <v>4.283</v>
      </c>
      <c r="P81" s="9" t="n"/>
    </row>
    <row r="82">
      <c r="A82" s="8" t="n">
        <v>5</v>
      </c>
      <c r="B82" s="1" t="n">
        <v>15</v>
      </c>
      <c r="C82" s="1" t="inlineStr">
        <is>
          <t>J-55</t>
        </is>
      </c>
      <c r="D82" s="1" t="n">
        <v>5560</v>
      </c>
      <c r="E82" s="1" t="n">
        <v>5700</v>
      </c>
      <c r="F82" s="1" t="n"/>
      <c r="G82" s="1" t="n"/>
      <c r="H82" s="1" t="n"/>
      <c r="I82" s="1" t="inlineStr">
        <is>
          <t>BTC</t>
        </is>
      </c>
      <c r="J82" s="1" t="n">
        <v>293</v>
      </c>
      <c r="K82" s="1" t="n"/>
      <c r="L82" s="1" t="n">
        <v>241</v>
      </c>
      <c r="M82" s="1" t="n">
        <v>0.296</v>
      </c>
      <c r="N82" s="1" t="n">
        <v>4.408</v>
      </c>
      <c r="O82" s="1" t="n">
        <v>4.283</v>
      </c>
      <c r="P82" s="9" t="n"/>
    </row>
    <row r="83">
      <c r="A83" s="6" t="n">
        <v>5</v>
      </c>
      <c r="B83" s="2" t="n">
        <v>15</v>
      </c>
      <c r="C83" s="2" t="inlineStr">
        <is>
          <t>K-55</t>
        </is>
      </c>
      <c r="D83" s="2" t="n">
        <v>5560</v>
      </c>
      <c r="E83" s="2" t="n">
        <v>5700</v>
      </c>
      <c r="F83" s="2" t="n"/>
      <c r="G83" s="2" t="n"/>
      <c r="H83" s="2" t="n"/>
      <c r="I83" s="2" t="inlineStr">
        <is>
          <t>STC</t>
        </is>
      </c>
      <c r="J83" s="2" t="n">
        <v>228</v>
      </c>
      <c r="K83" s="2" t="n"/>
      <c r="L83" s="2" t="n">
        <v>241</v>
      </c>
      <c r="M83" s="2" t="n">
        <v>0.296</v>
      </c>
      <c r="N83" s="2" t="n">
        <v>4.408</v>
      </c>
      <c r="O83" s="2" t="n">
        <v>4.283</v>
      </c>
      <c r="P83" s="7" t="n"/>
    </row>
    <row r="84">
      <c r="A84" s="6" t="n">
        <v>5</v>
      </c>
      <c r="B84" s="2" t="n">
        <v>15</v>
      </c>
      <c r="C84" s="2" t="inlineStr">
        <is>
          <t>K-55</t>
        </is>
      </c>
      <c r="D84" s="2" t="n">
        <v>5560</v>
      </c>
      <c r="E84" s="2" t="n">
        <v>5700</v>
      </c>
      <c r="F84" s="2" t="n"/>
      <c r="G84" s="2" t="n"/>
      <c r="H84" s="2" t="n"/>
      <c r="I84" s="2" t="inlineStr">
        <is>
          <t>LTC</t>
        </is>
      </c>
      <c r="J84" s="2" t="n">
        <v>246</v>
      </c>
      <c r="K84" s="2" t="n"/>
      <c r="L84" s="2" t="n">
        <v>241</v>
      </c>
      <c r="M84" s="2" t="n">
        <v>0.296</v>
      </c>
      <c r="N84" s="2" t="n">
        <v>4.408</v>
      </c>
      <c r="O84" s="2" t="n">
        <v>4.283</v>
      </c>
      <c r="P84" s="7" t="n"/>
    </row>
    <row r="85">
      <c r="A85" s="6" t="n">
        <v>5</v>
      </c>
      <c r="B85" s="2" t="n">
        <v>15</v>
      </c>
      <c r="C85" s="2" t="inlineStr">
        <is>
          <t>K-55</t>
        </is>
      </c>
      <c r="D85" s="2" t="n">
        <v>5560</v>
      </c>
      <c r="E85" s="2" t="n">
        <v>5700</v>
      </c>
      <c r="F85" s="2" t="n"/>
      <c r="G85" s="2" t="n"/>
      <c r="H85" s="2" t="n"/>
      <c r="I85" s="2" t="inlineStr">
        <is>
          <t>BTC</t>
        </is>
      </c>
      <c r="J85" s="2" t="n">
        <v>359</v>
      </c>
      <c r="K85" s="2" t="n"/>
      <c r="L85" s="2" t="n">
        <v>241</v>
      </c>
      <c r="M85" s="2" t="n">
        <v>0.296</v>
      </c>
      <c r="N85" s="2" t="n">
        <v>4.408</v>
      </c>
      <c r="O85" s="2" t="n">
        <v>4.283</v>
      </c>
      <c r="P85" s="7" t="n"/>
    </row>
    <row r="86">
      <c r="A86" s="8" t="n">
        <v>5</v>
      </c>
      <c r="B86" s="1" t="n">
        <v>15</v>
      </c>
      <c r="C86" s="1" t="inlineStr">
        <is>
          <t>L-80</t>
        </is>
      </c>
      <c r="D86" s="1" t="n">
        <v>7250</v>
      </c>
      <c r="E86" s="1" t="n">
        <v>8290</v>
      </c>
      <c r="F86" s="1" t="n"/>
      <c r="G86" s="1" t="n"/>
      <c r="H86" s="1" t="n"/>
      <c r="I86" s="1" t="inlineStr">
        <is>
          <t>LTC</t>
        </is>
      </c>
      <c r="J86" s="1" t="n">
        <v>295</v>
      </c>
      <c r="K86" s="1" t="n"/>
      <c r="L86" s="1" t="n">
        <v>350</v>
      </c>
      <c r="M86" s="1" t="n">
        <v>0.296</v>
      </c>
      <c r="N86" s="1" t="n">
        <v>4.408</v>
      </c>
      <c r="O86" s="1" t="n">
        <v>4.283</v>
      </c>
      <c r="P86" s="9" t="n"/>
    </row>
    <row r="87">
      <c r="A87" s="8" t="n">
        <v>5</v>
      </c>
      <c r="B87" s="1" t="n">
        <v>15</v>
      </c>
      <c r="C87" s="1" t="inlineStr">
        <is>
          <t>L-80</t>
        </is>
      </c>
      <c r="D87" s="1" t="n">
        <v>7250</v>
      </c>
      <c r="E87" s="1" t="n">
        <v>8290</v>
      </c>
      <c r="F87" s="1" t="n"/>
      <c r="G87" s="1" t="n"/>
      <c r="H87" s="1" t="n"/>
      <c r="I87" s="1" t="inlineStr">
        <is>
          <t>BTC</t>
        </is>
      </c>
      <c r="J87" s="1" t="n">
        <v>379</v>
      </c>
      <c r="K87" s="1" t="n"/>
      <c r="L87" s="1" t="n">
        <v>350</v>
      </c>
      <c r="M87" s="1" t="n">
        <v>0.296</v>
      </c>
      <c r="N87" s="1" t="n">
        <v>4.408</v>
      </c>
      <c r="O87" s="1" t="n">
        <v>4.283</v>
      </c>
      <c r="P87" s="9" t="n"/>
    </row>
    <row r="88">
      <c r="A88" s="6" t="n">
        <v>5</v>
      </c>
      <c r="B88" s="2" t="n">
        <v>15</v>
      </c>
      <c r="C88" s="2" t="inlineStr">
        <is>
          <t>HCL-80</t>
        </is>
      </c>
      <c r="D88" s="2" t="n">
        <v>9380</v>
      </c>
      <c r="E88" s="2" t="n">
        <v>8290</v>
      </c>
      <c r="F88" s="2" t="n"/>
      <c r="G88" s="2" t="n"/>
      <c r="H88" s="2" t="n"/>
      <c r="I88" s="2" t="inlineStr">
        <is>
          <t>LTC</t>
        </is>
      </c>
      <c r="J88" s="2" t="n">
        <v>311</v>
      </c>
      <c r="K88" s="2" t="n"/>
      <c r="L88" s="2" t="n">
        <v>350</v>
      </c>
      <c r="M88" s="2" t="n">
        <v>0.296</v>
      </c>
      <c r="N88" s="2" t="n">
        <v>4.408</v>
      </c>
      <c r="O88" s="2" t="n">
        <v>4.283</v>
      </c>
      <c r="P88" s="7" t="n"/>
    </row>
    <row r="89">
      <c r="A89" s="6" t="n">
        <v>5</v>
      </c>
      <c r="B89" s="2" t="n">
        <v>15</v>
      </c>
      <c r="C89" s="2" t="inlineStr">
        <is>
          <t>HCL-80</t>
        </is>
      </c>
      <c r="D89" s="2" t="n">
        <v>9380</v>
      </c>
      <c r="E89" s="2" t="n">
        <v>8290</v>
      </c>
      <c r="F89" s="2" t="n"/>
      <c r="G89" s="2" t="n"/>
      <c r="H89" s="2" t="n"/>
      <c r="I89" s="2" t="inlineStr">
        <is>
          <t>BTC</t>
        </is>
      </c>
      <c r="J89" s="2" t="n">
        <v>408</v>
      </c>
      <c r="K89" s="2" t="n"/>
      <c r="L89" s="2" t="n">
        <v>350</v>
      </c>
      <c r="M89" s="2" t="n">
        <v>0.296</v>
      </c>
      <c r="N89" s="2" t="n">
        <v>4.408</v>
      </c>
      <c r="O89" s="2" t="n">
        <v>4.283</v>
      </c>
      <c r="P89" s="7" t="n"/>
    </row>
    <row r="90">
      <c r="A90" s="8" t="n">
        <v>5</v>
      </c>
      <c r="B90" s="1" t="n">
        <v>15</v>
      </c>
      <c r="C90" s="1" t="inlineStr">
        <is>
          <t>N-80</t>
        </is>
      </c>
      <c r="D90" s="1" t="n">
        <v>7250</v>
      </c>
      <c r="E90" s="1" t="n">
        <v>8290</v>
      </c>
      <c r="F90" s="1" t="n"/>
      <c r="G90" s="1" t="n"/>
      <c r="H90" s="1" t="n"/>
      <c r="I90" s="1" t="inlineStr">
        <is>
          <t>LTC</t>
        </is>
      </c>
      <c r="J90" s="1" t="n">
        <v>311</v>
      </c>
      <c r="K90" s="1" t="n"/>
      <c r="L90" s="1" t="n">
        <v>350</v>
      </c>
      <c r="M90" s="1" t="n">
        <v>0.296</v>
      </c>
      <c r="N90" s="1" t="n">
        <v>4.408</v>
      </c>
      <c r="O90" s="1" t="n">
        <v>4.283</v>
      </c>
      <c r="P90" s="9" t="n"/>
    </row>
    <row r="91">
      <c r="A91" s="8" t="n">
        <v>5</v>
      </c>
      <c r="B91" s="1" t="n">
        <v>15</v>
      </c>
      <c r="C91" s="1" t="inlineStr">
        <is>
          <t>N-80</t>
        </is>
      </c>
      <c r="D91" s="1" t="n">
        <v>7250</v>
      </c>
      <c r="E91" s="1" t="n">
        <v>8290</v>
      </c>
      <c r="F91" s="1" t="n"/>
      <c r="G91" s="1" t="n"/>
      <c r="H91" s="1" t="n"/>
      <c r="I91" s="1" t="inlineStr">
        <is>
          <t>BTC</t>
        </is>
      </c>
      <c r="J91" s="1" t="n">
        <v>396</v>
      </c>
      <c r="K91" s="1" t="n"/>
      <c r="L91" s="1" t="n">
        <v>350</v>
      </c>
      <c r="M91" s="1" t="n">
        <v>0.296</v>
      </c>
      <c r="N91" s="1" t="n">
        <v>4.408</v>
      </c>
      <c r="O91" s="1" t="n">
        <v>4.283</v>
      </c>
      <c r="P91" s="9" t="n"/>
    </row>
    <row r="92">
      <c r="A92" s="6" t="n">
        <v>5</v>
      </c>
      <c r="B92" s="2" t="n">
        <v>15</v>
      </c>
      <c r="C92" s="2" t="inlineStr">
        <is>
          <t>HCN-80</t>
        </is>
      </c>
      <c r="D92" s="2" t="n">
        <v>9380</v>
      </c>
      <c r="E92" s="2" t="n">
        <v>8290</v>
      </c>
      <c r="F92" s="2" t="n"/>
      <c r="G92" s="2" t="n"/>
      <c r="H92" s="2" t="n"/>
      <c r="I92" s="2" t="inlineStr">
        <is>
          <t>LTC</t>
        </is>
      </c>
      <c r="J92" s="2" t="n">
        <v>311</v>
      </c>
      <c r="K92" s="2" t="n"/>
      <c r="L92" s="2" t="n">
        <v>350</v>
      </c>
      <c r="M92" s="2" t="n">
        <v>0.296</v>
      </c>
      <c r="N92" s="2" t="n">
        <v>4.408</v>
      </c>
      <c r="O92" s="2" t="n">
        <v>4.283</v>
      </c>
      <c r="P92" s="7" t="n"/>
    </row>
    <row r="93">
      <c r="A93" s="6" t="n">
        <v>5</v>
      </c>
      <c r="B93" s="2" t="n">
        <v>15</v>
      </c>
      <c r="C93" s="2" t="inlineStr">
        <is>
          <t>HCN-80</t>
        </is>
      </c>
      <c r="D93" s="2" t="n">
        <v>9380</v>
      </c>
      <c r="E93" s="2" t="n">
        <v>8290</v>
      </c>
      <c r="F93" s="2" t="n"/>
      <c r="G93" s="2" t="n"/>
      <c r="H93" s="2" t="n"/>
      <c r="I93" s="2" t="inlineStr">
        <is>
          <t>BTC</t>
        </is>
      </c>
      <c r="J93" s="2" t="n">
        <v>408</v>
      </c>
      <c r="K93" s="2" t="n"/>
      <c r="L93" s="2" t="n">
        <v>350</v>
      </c>
      <c r="M93" s="2" t="n">
        <v>0.296</v>
      </c>
      <c r="N93" s="2" t="n">
        <v>4.408</v>
      </c>
      <c r="O93" s="2" t="n">
        <v>4.283</v>
      </c>
      <c r="P93" s="7" t="n"/>
    </row>
    <row r="94">
      <c r="A94" s="8" t="n">
        <v>5</v>
      </c>
      <c r="B94" s="1" t="n">
        <v>15</v>
      </c>
      <c r="C94" s="1" t="inlineStr">
        <is>
          <t>C-90</t>
        </is>
      </c>
      <c r="D94" s="1" t="n">
        <v>7840</v>
      </c>
      <c r="E94" s="1" t="n">
        <v>9320</v>
      </c>
      <c r="F94" s="1" t="n"/>
      <c r="G94" s="1" t="n"/>
      <c r="H94" s="1" t="n"/>
      <c r="I94" s="1" t="inlineStr">
        <is>
          <t>LTC</t>
        </is>
      </c>
      <c r="J94" s="1" t="n">
        <v>311</v>
      </c>
      <c r="K94" s="1" t="n"/>
      <c r="L94" s="1" t="n">
        <v>394</v>
      </c>
      <c r="M94" s="1" t="n">
        <v>0.296</v>
      </c>
      <c r="N94" s="1" t="n">
        <v>4.408</v>
      </c>
      <c r="O94" s="1" t="n">
        <v>4.283</v>
      </c>
      <c r="P94" s="9" t="n"/>
    </row>
    <row r="95">
      <c r="A95" s="8" t="n">
        <v>5</v>
      </c>
      <c r="B95" s="1" t="n">
        <v>15</v>
      </c>
      <c r="C95" s="1" t="inlineStr">
        <is>
          <t>C-90</t>
        </is>
      </c>
      <c r="D95" s="1" t="n">
        <v>7840</v>
      </c>
      <c r="E95" s="1" t="n">
        <v>9320</v>
      </c>
      <c r="F95" s="1" t="n"/>
      <c r="G95" s="1" t="n"/>
      <c r="H95" s="1" t="n"/>
      <c r="I95" s="1" t="inlineStr">
        <is>
          <t>BTC</t>
        </is>
      </c>
      <c r="J95" s="1" t="n">
        <v>404</v>
      </c>
      <c r="K95" s="1" t="n"/>
      <c r="L95" s="1" t="n">
        <v>394</v>
      </c>
      <c r="M95" s="1" t="n">
        <v>0.296</v>
      </c>
      <c r="N95" s="1" t="n">
        <v>4.408</v>
      </c>
      <c r="O95" s="1" t="n">
        <v>4.283</v>
      </c>
      <c r="P95" s="9" t="n"/>
    </row>
    <row r="96">
      <c r="A96" s="6" t="n">
        <v>5</v>
      </c>
      <c r="B96" s="2" t="n">
        <v>15</v>
      </c>
      <c r="C96" s="2" t="inlineStr">
        <is>
          <t>S-95</t>
        </is>
      </c>
      <c r="D96" s="2" t="n">
        <v>9380</v>
      </c>
      <c r="E96" s="2" t="n">
        <v>9840</v>
      </c>
      <c r="F96" s="2" t="n"/>
      <c r="G96" s="2" t="n"/>
      <c r="H96" s="2" t="n"/>
      <c r="I96" s="2" t="inlineStr">
        <is>
          <t>LTC</t>
        </is>
      </c>
      <c r="J96" s="2" t="n">
        <v>342</v>
      </c>
      <c r="K96" s="2" t="n"/>
      <c r="L96" s="2" t="n">
        <v>416</v>
      </c>
      <c r="M96" s="2" t="n">
        <v>0.296</v>
      </c>
      <c r="N96" s="2" t="n">
        <v>4.408</v>
      </c>
      <c r="O96" s="2" t="n">
        <v>4.283</v>
      </c>
      <c r="P96" s="7" t="n"/>
    </row>
    <row r="97">
      <c r="A97" s="6" t="n">
        <v>5</v>
      </c>
      <c r="B97" s="2" t="n">
        <v>15</v>
      </c>
      <c r="C97" s="2" t="inlineStr">
        <is>
          <t>S-95</t>
        </is>
      </c>
      <c r="D97" s="2" t="n">
        <v>9380</v>
      </c>
      <c r="E97" s="2" t="n">
        <v>9840</v>
      </c>
      <c r="F97" s="2" t="n"/>
      <c r="G97" s="2" t="n"/>
      <c r="H97" s="2" t="n"/>
      <c r="I97" s="2" t="inlineStr">
        <is>
          <t>BTC</t>
        </is>
      </c>
      <c r="J97" s="2" t="n">
        <v>441</v>
      </c>
      <c r="K97" s="2" t="n"/>
      <c r="L97" s="2" t="n">
        <v>416</v>
      </c>
      <c r="M97" s="2" t="n">
        <v>0.296</v>
      </c>
      <c r="N97" s="2" t="n">
        <v>4.408</v>
      </c>
      <c r="O97" s="2" t="n">
        <v>4.283</v>
      </c>
      <c r="P97" s="7" t="n"/>
    </row>
    <row r="98">
      <c r="A98" s="8" t="n">
        <v>5</v>
      </c>
      <c r="B98" s="1" t="n">
        <v>15</v>
      </c>
      <c r="C98" s="1" t="inlineStr">
        <is>
          <t>T-95</t>
        </is>
      </c>
      <c r="D98" s="1" t="n">
        <v>8110</v>
      </c>
      <c r="E98" s="1" t="n">
        <v>9840</v>
      </c>
      <c r="F98" s="1" t="n"/>
      <c r="G98" s="1" t="n"/>
      <c r="H98" s="1" t="n"/>
      <c r="I98" s="1" t="inlineStr">
        <is>
          <t>LTC</t>
        </is>
      </c>
      <c r="J98" s="1" t="n">
        <v>326</v>
      </c>
      <c r="K98" s="1" t="n"/>
      <c r="L98" s="1" t="n">
        <v>416</v>
      </c>
      <c r="M98" s="1" t="n">
        <v>0.296</v>
      </c>
      <c r="N98" s="1" t="n">
        <v>4.408</v>
      </c>
      <c r="O98" s="1" t="n">
        <v>4.283</v>
      </c>
      <c r="P98" s="9" t="n"/>
    </row>
    <row r="99">
      <c r="A99" s="8" t="n">
        <v>5</v>
      </c>
      <c r="B99" s="1" t="n">
        <v>15</v>
      </c>
      <c r="C99" s="1" t="inlineStr">
        <is>
          <t>T-95</t>
        </is>
      </c>
      <c r="D99" s="1" t="n">
        <v>8110</v>
      </c>
      <c r="E99" s="1" t="n">
        <v>9840</v>
      </c>
      <c r="F99" s="1" t="n"/>
      <c r="G99" s="1" t="n"/>
      <c r="H99" s="1" t="n"/>
      <c r="I99" s="1" t="inlineStr">
        <is>
          <t>BTC</t>
        </is>
      </c>
      <c r="J99" s="1" t="n">
        <v>424</v>
      </c>
      <c r="K99" s="1" t="n"/>
      <c r="L99" s="1" t="n">
        <v>416</v>
      </c>
      <c r="M99" s="1" t="n">
        <v>0.296</v>
      </c>
      <c r="N99" s="1" t="n">
        <v>4.408</v>
      </c>
      <c r="O99" s="1" t="n">
        <v>4.283</v>
      </c>
      <c r="P99" s="9" t="n"/>
    </row>
    <row r="100">
      <c r="A100" s="6" t="n">
        <v>5</v>
      </c>
      <c r="B100" s="2" t="n">
        <v>15</v>
      </c>
      <c r="C100" s="2" t="inlineStr">
        <is>
          <t>C-95</t>
        </is>
      </c>
      <c r="D100" s="2" t="n">
        <v>8110</v>
      </c>
      <c r="E100" s="2" t="n">
        <v>9840</v>
      </c>
      <c r="F100" s="2" t="n"/>
      <c r="G100" s="2" t="n"/>
      <c r="H100" s="2" t="n"/>
      <c r="I100" s="2" t="inlineStr">
        <is>
          <t>LTC</t>
        </is>
      </c>
      <c r="J100" s="2" t="n">
        <v>326</v>
      </c>
      <c r="K100" s="2" t="n"/>
      <c r="L100" s="2" t="n">
        <v>416</v>
      </c>
      <c r="M100" s="2" t="n">
        <v>0.296</v>
      </c>
      <c r="N100" s="2" t="n">
        <v>4.408</v>
      </c>
      <c r="O100" s="2" t="n">
        <v>4.283</v>
      </c>
      <c r="P100" s="7" t="n"/>
    </row>
    <row r="101">
      <c r="A101" s="6" t="n">
        <v>5</v>
      </c>
      <c r="B101" s="2" t="n">
        <v>15</v>
      </c>
      <c r="C101" s="2" t="inlineStr">
        <is>
          <t>C-95</t>
        </is>
      </c>
      <c r="D101" s="2" t="n">
        <v>8110</v>
      </c>
      <c r="E101" s="2" t="n">
        <v>9840</v>
      </c>
      <c r="F101" s="2" t="n"/>
      <c r="G101" s="2" t="n"/>
      <c r="H101" s="2" t="n"/>
      <c r="I101" s="2" t="inlineStr">
        <is>
          <t>BTC</t>
        </is>
      </c>
      <c r="J101" s="2" t="n">
        <v>424</v>
      </c>
      <c r="K101" s="2" t="n"/>
      <c r="L101" s="2" t="n">
        <v>416</v>
      </c>
      <c r="M101" s="2" t="n">
        <v>0.296</v>
      </c>
      <c r="N101" s="2" t="n">
        <v>4.408</v>
      </c>
      <c r="O101" s="2" t="n">
        <v>4.283</v>
      </c>
      <c r="P101" s="7" t="n"/>
    </row>
    <row r="102">
      <c r="A102" s="8" t="n">
        <v>5</v>
      </c>
      <c r="B102" s="1" t="n">
        <v>15</v>
      </c>
      <c r="C102" s="1" t="inlineStr">
        <is>
          <t>P-110</t>
        </is>
      </c>
      <c r="D102" s="1" t="n">
        <v>8850</v>
      </c>
      <c r="E102" s="1" t="n">
        <v>11400</v>
      </c>
      <c r="F102" s="1" t="n"/>
      <c r="G102" s="1" t="n"/>
      <c r="H102" s="1" t="n"/>
      <c r="I102" s="1" t="inlineStr">
        <is>
          <t>LTC</t>
        </is>
      </c>
      <c r="J102" s="1" t="n">
        <v>388</v>
      </c>
      <c r="K102" s="1" t="n"/>
      <c r="L102" s="1" t="n">
        <v>481</v>
      </c>
      <c r="M102" s="1" t="n">
        <v>0.296</v>
      </c>
      <c r="N102" s="1" t="n">
        <v>4.408</v>
      </c>
      <c r="O102" s="1" t="n">
        <v>4.283</v>
      </c>
      <c r="P102" s="9" t="n"/>
    </row>
    <row r="103">
      <c r="A103" s="8" t="n">
        <v>5</v>
      </c>
      <c r="B103" s="1" t="n">
        <v>15</v>
      </c>
      <c r="C103" s="1" t="inlineStr">
        <is>
          <t>P-110</t>
        </is>
      </c>
      <c r="D103" s="1" t="n">
        <v>8850</v>
      </c>
      <c r="E103" s="1" t="n">
        <v>11400</v>
      </c>
      <c r="F103" s="1" t="n"/>
      <c r="G103" s="1" t="n"/>
      <c r="H103" s="1" t="n"/>
      <c r="I103" s="1" t="inlineStr">
        <is>
          <t>BTC</t>
        </is>
      </c>
      <c r="J103" s="1" t="n">
        <v>503</v>
      </c>
      <c r="K103" s="1" t="n"/>
      <c r="L103" s="1" t="n">
        <v>481</v>
      </c>
      <c r="M103" s="1" t="n">
        <v>0.296</v>
      </c>
      <c r="N103" s="1" t="n">
        <v>4.408</v>
      </c>
      <c r="O103" s="1" t="n">
        <v>4.283</v>
      </c>
      <c r="P103" s="9" t="n"/>
    </row>
    <row r="104">
      <c r="A104" s="6" t="n">
        <v>5</v>
      </c>
      <c r="B104" s="2" t="n">
        <v>15</v>
      </c>
      <c r="C104" s="2" t="inlineStr">
        <is>
          <t>V-150</t>
        </is>
      </c>
      <c r="D104" s="2" t="n">
        <v>10250</v>
      </c>
      <c r="E104" s="2" t="n">
        <v>15540</v>
      </c>
      <c r="F104" s="2" t="n"/>
      <c r="G104" s="2" t="n"/>
      <c r="H104" s="2" t="n"/>
      <c r="I104" s="2" t="inlineStr">
        <is>
          <t>LTC</t>
        </is>
      </c>
      <c r="J104" s="2" t="n">
        <v>497</v>
      </c>
      <c r="K104" s="2" t="n"/>
      <c r="L104" s="2" t="n">
        <v>656</v>
      </c>
      <c r="M104" s="2" t="n">
        <v>0.296</v>
      </c>
      <c r="N104" s="2" t="n">
        <v>4.408</v>
      </c>
      <c r="O104" s="2" t="n">
        <v>4.283</v>
      </c>
      <c r="P104" s="7" t="n"/>
    </row>
    <row r="105">
      <c r="A105" s="6" t="n">
        <v>5</v>
      </c>
      <c r="B105" s="2" t="n">
        <v>15</v>
      </c>
      <c r="C105" s="2" t="inlineStr">
        <is>
          <t>V-150</t>
        </is>
      </c>
      <c r="D105" s="2" t="n">
        <v>10250</v>
      </c>
      <c r="E105" s="2" t="n">
        <v>15540</v>
      </c>
      <c r="F105" s="2" t="n"/>
      <c r="G105" s="2" t="n"/>
      <c r="H105" s="2" t="n"/>
      <c r="I105" s="2" t="inlineStr">
        <is>
          <t>BTC</t>
        </is>
      </c>
      <c r="J105" s="2" t="n">
        <v>651</v>
      </c>
      <c r="K105" s="2" t="n"/>
      <c r="L105" s="2" t="n">
        <v>656</v>
      </c>
      <c r="M105" s="2" t="n">
        <v>0.296</v>
      </c>
      <c r="N105" s="2" t="n">
        <v>4.408</v>
      </c>
      <c r="O105" s="2" t="n">
        <v>4.283</v>
      </c>
      <c r="P105" s="7" t="n"/>
    </row>
    <row r="106">
      <c r="A106" s="8" t="n">
        <v>5</v>
      </c>
      <c r="B106" s="1" t="n">
        <v>18</v>
      </c>
      <c r="C106" s="1" t="inlineStr">
        <is>
          <t>L-80</t>
        </is>
      </c>
      <c r="D106" s="1" t="n">
        <v>10500</v>
      </c>
      <c r="E106" s="1" t="n">
        <v>10140</v>
      </c>
      <c r="F106" s="1" t="n"/>
      <c r="G106" s="1" t="n"/>
      <c r="H106" s="1" t="n"/>
      <c r="I106" s="1" t="inlineStr">
        <is>
          <t>LTC</t>
        </is>
      </c>
      <c r="J106" s="1" t="n">
        <v>377</v>
      </c>
      <c r="K106" s="1" t="n"/>
      <c r="L106" s="1" t="n">
        <v>422</v>
      </c>
      <c r="M106" s="1" t="n">
        <v>0.362</v>
      </c>
      <c r="N106" s="1" t="n">
        <v>4.276</v>
      </c>
      <c r="O106" s="1" t="n">
        <v>4.151</v>
      </c>
      <c r="P106" s="9" t="n"/>
    </row>
    <row r="107">
      <c r="A107" s="8" t="n">
        <v>5</v>
      </c>
      <c r="B107" s="1" t="n">
        <v>18</v>
      </c>
      <c r="C107" s="1" t="inlineStr">
        <is>
          <t>L-80</t>
        </is>
      </c>
      <c r="D107" s="1" t="n">
        <v>10500</v>
      </c>
      <c r="E107" s="1" t="n">
        <v>9910</v>
      </c>
      <c r="F107" s="1" t="n"/>
      <c r="G107" s="1" t="n"/>
      <c r="H107" s="1" t="n"/>
      <c r="I107" s="1" t="inlineStr">
        <is>
          <t>BTC</t>
        </is>
      </c>
      <c r="J107" s="1" t="n">
        <v>457</v>
      </c>
      <c r="K107" s="1" t="n"/>
      <c r="L107" s="1" t="n">
        <v>422</v>
      </c>
      <c r="M107" s="1" t="n">
        <v>0.362</v>
      </c>
      <c r="N107" s="1" t="n">
        <v>4.276</v>
      </c>
      <c r="O107" s="1" t="n">
        <v>4.151</v>
      </c>
      <c r="P107" s="9" t="n"/>
    </row>
    <row r="108">
      <c r="A108" s="6" t="n">
        <v>5</v>
      </c>
      <c r="B108" s="2" t="n">
        <v>18</v>
      </c>
      <c r="C108" s="2" t="inlineStr">
        <is>
          <t>HCL-80</t>
        </is>
      </c>
      <c r="D108" s="2" t="n">
        <v>11880</v>
      </c>
      <c r="E108" s="2" t="n">
        <v>10140</v>
      </c>
      <c r="F108" s="2" t="n"/>
      <c r="G108" s="2" t="n"/>
      <c r="H108" s="2" t="n"/>
      <c r="I108" s="2" t="inlineStr">
        <is>
          <t>LTC</t>
        </is>
      </c>
      <c r="J108" s="2" t="n">
        <v>396</v>
      </c>
      <c r="K108" s="2" t="n"/>
      <c r="L108" s="2" t="n">
        <v>422</v>
      </c>
      <c r="M108" s="2" t="n">
        <v>0.362</v>
      </c>
      <c r="N108" s="2" t="n">
        <v>4.276</v>
      </c>
      <c r="O108" s="2" t="n">
        <v>4.151</v>
      </c>
      <c r="P108" s="7" t="n"/>
    </row>
    <row r="109">
      <c r="A109" s="6" t="n">
        <v>5</v>
      </c>
      <c r="B109" s="2" t="n">
        <v>18</v>
      </c>
      <c r="C109" s="2" t="inlineStr">
        <is>
          <t>HCL-80</t>
        </is>
      </c>
      <c r="D109" s="2" t="n">
        <v>11880</v>
      </c>
      <c r="E109" s="2" t="n">
        <v>9910</v>
      </c>
      <c r="F109" s="2" t="n"/>
      <c r="G109" s="2" t="n"/>
      <c r="H109" s="2" t="n"/>
      <c r="I109" s="2" t="inlineStr">
        <is>
          <t>BTC</t>
        </is>
      </c>
      <c r="J109" s="2" t="n">
        <v>492</v>
      </c>
      <c r="K109" s="2" t="n"/>
      <c r="L109" s="2" t="n">
        <v>422</v>
      </c>
      <c r="M109" s="2" t="n">
        <v>0.362</v>
      </c>
      <c r="N109" s="2" t="n">
        <v>4.276</v>
      </c>
      <c r="O109" s="2" t="n">
        <v>4.151</v>
      </c>
      <c r="P109" s="7" t="n"/>
    </row>
    <row r="110">
      <c r="A110" s="8" t="n">
        <v>5</v>
      </c>
      <c r="B110" s="1" t="n">
        <v>18</v>
      </c>
      <c r="C110" s="1" t="inlineStr">
        <is>
          <t>N-80</t>
        </is>
      </c>
      <c r="D110" s="1" t="n">
        <v>10500</v>
      </c>
      <c r="E110" s="1" t="n">
        <v>10140</v>
      </c>
      <c r="F110" s="1" t="n"/>
      <c r="G110" s="1" t="n"/>
      <c r="H110" s="1" t="n"/>
      <c r="I110" s="1" t="inlineStr">
        <is>
          <t>LTC</t>
        </is>
      </c>
      <c r="J110" s="1" t="n">
        <v>396</v>
      </c>
      <c r="K110" s="1" t="n"/>
      <c r="L110" s="1" t="n">
        <v>422</v>
      </c>
      <c r="M110" s="1" t="n">
        <v>0.362</v>
      </c>
      <c r="N110" s="1" t="n">
        <v>4.276</v>
      </c>
      <c r="O110" s="1" t="n">
        <v>4.151</v>
      </c>
      <c r="P110" s="9" t="n"/>
    </row>
    <row r="111">
      <c r="A111" s="8" t="n">
        <v>5</v>
      </c>
      <c r="B111" s="1" t="n">
        <v>18</v>
      </c>
      <c r="C111" s="1" t="inlineStr">
        <is>
          <t>N-80</t>
        </is>
      </c>
      <c r="D111" s="1" t="n">
        <v>10500</v>
      </c>
      <c r="E111" s="1" t="n">
        <v>9910</v>
      </c>
      <c r="F111" s="1" t="n"/>
      <c r="G111" s="1" t="n"/>
      <c r="H111" s="1" t="n"/>
      <c r="I111" s="1" t="inlineStr">
        <is>
          <t>BTC</t>
        </is>
      </c>
      <c r="J111" s="1" t="n">
        <v>477</v>
      </c>
      <c r="K111" s="1" t="n"/>
      <c r="L111" s="1" t="n">
        <v>422</v>
      </c>
      <c r="M111" s="1" t="n">
        <v>0.362</v>
      </c>
      <c r="N111" s="1" t="n">
        <v>4.276</v>
      </c>
      <c r="O111" s="1" t="n">
        <v>4.151</v>
      </c>
      <c r="P111" s="9" t="n"/>
    </row>
    <row r="112">
      <c r="A112" s="6" t="n">
        <v>5</v>
      </c>
      <c r="B112" s="2" t="n">
        <v>18</v>
      </c>
      <c r="C112" s="2" t="inlineStr">
        <is>
          <t>HCN-80</t>
        </is>
      </c>
      <c r="D112" s="2" t="n">
        <v>11880</v>
      </c>
      <c r="E112" s="2" t="n">
        <v>10140</v>
      </c>
      <c r="F112" s="2" t="n"/>
      <c r="G112" s="2" t="n"/>
      <c r="H112" s="2" t="n"/>
      <c r="I112" s="2" t="inlineStr">
        <is>
          <t>LTC</t>
        </is>
      </c>
      <c r="J112" s="2" t="n">
        <v>396</v>
      </c>
      <c r="K112" s="2" t="n"/>
      <c r="L112" s="2" t="n">
        <v>422</v>
      </c>
      <c r="M112" s="2" t="n">
        <v>0.362</v>
      </c>
      <c r="N112" s="2" t="n">
        <v>4.276</v>
      </c>
      <c r="O112" s="2" t="n">
        <v>4.151</v>
      </c>
      <c r="P112" s="7" t="n"/>
    </row>
    <row r="113">
      <c r="A113" s="6" t="n">
        <v>5</v>
      </c>
      <c r="B113" s="2" t="n">
        <v>18</v>
      </c>
      <c r="C113" s="2" t="inlineStr">
        <is>
          <t>HCN-80</t>
        </is>
      </c>
      <c r="D113" s="2" t="n">
        <v>11880</v>
      </c>
      <c r="E113" s="2" t="n">
        <v>9910</v>
      </c>
      <c r="F113" s="2" t="n"/>
      <c r="G113" s="2" t="n"/>
      <c r="H113" s="2" t="n"/>
      <c r="I113" s="2" t="inlineStr">
        <is>
          <t>BTC</t>
        </is>
      </c>
      <c r="J113" s="2" t="n">
        <v>492</v>
      </c>
      <c r="K113" s="2" t="n"/>
      <c r="L113" s="2" t="n">
        <v>422</v>
      </c>
      <c r="M113" s="2" t="n">
        <v>0.362</v>
      </c>
      <c r="N113" s="2" t="n">
        <v>4.276</v>
      </c>
      <c r="O113" s="2" t="n">
        <v>4.151</v>
      </c>
      <c r="P113" s="7" t="n"/>
    </row>
    <row r="114">
      <c r="A114" s="8" t="n">
        <v>5</v>
      </c>
      <c r="B114" s="1" t="n">
        <v>18</v>
      </c>
      <c r="C114" s="1" t="inlineStr">
        <is>
          <t>C-90</t>
        </is>
      </c>
      <c r="D114" s="1" t="n">
        <v>11530</v>
      </c>
      <c r="E114" s="1" t="n">
        <v>11400</v>
      </c>
      <c r="F114" s="1" t="n"/>
      <c r="G114" s="1" t="n"/>
      <c r="H114" s="1" t="n"/>
      <c r="I114" s="1" t="inlineStr">
        <is>
          <t>LTC</t>
        </is>
      </c>
      <c r="J114" s="1" t="n">
        <v>396</v>
      </c>
      <c r="K114" s="1" t="n"/>
      <c r="L114" s="1" t="n">
        <v>475</v>
      </c>
      <c r="M114" s="1" t="n">
        <v>0.362</v>
      </c>
      <c r="N114" s="1" t="n">
        <v>4.276</v>
      </c>
      <c r="O114" s="1" t="n">
        <v>4.151</v>
      </c>
      <c r="P114" s="9" t="n"/>
    </row>
    <row r="115">
      <c r="A115" s="8" t="n">
        <v>5</v>
      </c>
      <c r="B115" s="1" t="n">
        <v>18</v>
      </c>
      <c r="C115" s="1" t="inlineStr">
        <is>
          <t>C-90</t>
        </is>
      </c>
      <c r="D115" s="1" t="n">
        <v>11530</v>
      </c>
      <c r="E115" s="1" t="n">
        <v>11150</v>
      </c>
      <c r="F115" s="1" t="n"/>
      <c r="G115" s="1" t="n"/>
      <c r="H115" s="1" t="n"/>
      <c r="I115" s="1" t="inlineStr">
        <is>
          <t>BTC</t>
        </is>
      </c>
      <c r="J115" s="1" t="n">
        <v>484</v>
      </c>
      <c r="K115" s="1" t="n"/>
      <c r="L115" s="1" t="n">
        <v>475</v>
      </c>
      <c r="M115" s="1" t="n">
        <v>0.362</v>
      </c>
      <c r="N115" s="1" t="n">
        <v>4.276</v>
      </c>
      <c r="O115" s="1" t="n">
        <v>4.151</v>
      </c>
      <c r="P115" s="9" t="n"/>
    </row>
    <row r="116">
      <c r="A116" s="6" t="n">
        <v>5</v>
      </c>
      <c r="B116" s="2" t="n">
        <v>18</v>
      </c>
      <c r="C116" s="2" t="inlineStr">
        <is>
          <t>S-95</t>
        </is>
      </c>
      <c r="D116" s="2" t="n">
        <v>12030</v>
      </c>
      <c r="E116" s="2" t="n">
        <v>12040</v>
      </c>
      <c r="F116" s="2" t="n"/>
      <c r="G116" s="2" t="n"/>
      <c r="H116" s="2" t="n"/>
      <c r="I116" s="2" t="inlineStr">
        <is>
          <t>LTC</t>
        </is>
      </c>
      <c r="J116" s="2" t="n">
        <v>436</v>
      </c>
      <c r="K116" s="2" t="n"/>
      <c r="L116" s="2" t="n">
        <v>501</v>
      </c>
      <c r="M116" s="2" t="n">
        <v>0.362</v>
      </c>
      <c r="N116" s="2" t="n">
        <v>4.276</v>
      </c>
      <c r="O116" s="2" t="n">
        <v>4.151</v>
      </c>
      <c r="P116" s="7" t="n"/>
    </row>
    <row r="117">
      <c r="A117" s="6" t="n">
        <v>5</v>
      </c>
      <c r="B117" s="2" t="n">
        <v>18</v>
      </c>
      <c r="C117" s="2" t="inlineStr">
        <is>
          <t>S-95</t>
        </is>
      </c>
      <c r="D117" s="2" t="n">
        <v>12030</v>
      </c>
      <c r="E117" s="2" t="n">
        <v>11770</v>
      </c>
      <c r="F117" s="2" t="n"/>
      <c r="G117" s="2" t="n"/>
      <c r="H117" s="2" t="n"/>
      <c r="I117" s="2" t="inlineStr">
        <is>
          <t>BTC</t>
        </is>
      </c>
      <c r="J117" s="2" t="n">
        <v>532</v>
      </c>
      <c r="K117" s="2" t="n"/>
      <c r="L117" s="2" t="n">
        <v>501</v>
      </c>
      <c r="M117" s="2" t="n">
        <v>0.362</v>
      </c>
      <c r="N117" s="2" t="n">
        <v>4.276</v>
      </c>
      <c r="O117" s="2" t="n">
        <v>4.151</v>
      </c>
      <c r="P117" s="7" t="n"/>
    </row>
    <row r="118">
      <c r="A118" s="8" t="n">
        <v>5</v>
      </c>
      <c r="B118" s="1" t="n">
        <v>18</v>
      </c>
      <c r="C118" s="1" t="inlineStr">
        <is>
          <t>T-95</t>
        </is>
      </c>
      <c r="D118" s="1" t="n">
        <v>12030</v>
      </c>
      <c r="E118" s="1" t="n">
        <v>12040</v>
      </c>
      <c r="F118" s="1" t="n"/>
      <c r="G118" s="1" t="n"/>
      <c r="H118" s="1" t="n"/>
      <c r="I118" s="1" t="inlineStr">
        <is>
          <t>LTC</t>
        </is>
      </c>
      <c r="J118" s="1" t="n">
        <v>416</v>
      </c>
      <c r="K118" s="1" t="n"/>
      <c r="L118" s="1" t="n">
        <v>501</v>
      </c>
      <c r="M118" s="1" t="n">
        <v>0.362</v>
      </c>
      <c r="N118" s="1" t="n">
        <v>4.276</v>
      </c>
      <c r="O118" s="1" t="n">
        <v>4.151</v>
      </c>
      <c r="P118" s="9" t="n"/>
    </row>
    <row r="119">
      <c r="A119" s="8" t="n">
        <v>5</v>
      </c>
      <c r="B119" s="1" t="n">
        <v>18</v>
      </c>
      <c r="C119" s="1" t="inlineStr">
        <is>
          <t>T-95</t>
        </is>
      </c>
      <c r="D119" s="1" t="n">
        <v>12030</v>
      </c>
      <c r="E119" s="1" t="n">
        <v>11770</v>
      </c>
      <c r="F119" s="1" t="n"/>
      <c r="G119" s="1" t="n"/>
      <c r="H119" s="1" t="n"/>
      <c r="I119" s="1" t="inlineStr">
        <is>
          <t>BTC</t>
        </is>
      </c>
      <c r="J119" s="1" t="n">
        <v>512</v>
      </c>
      <c r="K119" s="1" t="n"/>
      <c r="L119" s="1" t="n">
        <v>501</v>
      </c>
      <c r="M119" s="1" t="n">
        <v>0.362</v>
      </c>
      <c r="N119" s="1" t="n">
        <v>4.276</v>
      </c>
      <c r="O119" s="1" t="n">
        <v>4.151</v>
      </c>
      <c r="P119" s="9" t="n"/>
    </row>
    <row r="120">
      <c r="A120" s="6" t="n">
        <v>5</v>
      </c>
      <c r="B120" s="2" t="n">
        <v>18</v>
      </c>
      <c r="C120" s="2" t="inlineStr">
        <is>
          <t>C-95</t>
        </is>
      </c>
      <c r="D120" s="2" t="n">
        <v>12030</v>
      </c>
      <c r="E120" s="2" t="n">
        <v>12040</v>
      </c>
      <c r="F120" s="2" t="n"/>
      <c r="G120" s="2" t="n"/>
      <c r="H120" s="2" t="n"/>
      <c r="I120" s="2" t="inlineStr">
        <is>
          <t>LTC</t>
        </is>
      </c>
      <c r="J120" s="2" t="n">
        <v>416</v>
      </c>
      <c r="K120" s="2" t="n"/>
      <c r="L120" s="2" t="n">
        <v>501</v>
      </c>
      <c r="M120" s="2" t="n">
        <v>0.362</v>
      </c>
      <c r="N120" s="2" t="n">
        <v>4.276</v>
      </c>
      <c r="O120" s="2" t="n">
        <v>4.151</v>
      </c>
      <c r="P120" s="7" t="n"/>
    </row>
    <row r="121">
      <c r="A121" s="6" t="n">
        <v>5</v>
      </c>
      <c r="B121" s="2" t="n">
        <v>18</v>
      </c>
      <c r="C121" s="2" t="inlineStr">
        <is>
          <t>C-95</t>
        </is>
      </c>
      <c r="D121" s="2" t="n">
        <v>12030</v>
      </c>
      <c r="E121" s="2" t="n">
        <v>11770</v>
      </c>
      <c r="F121" s="2" t="n"/>
      <c r="G121" s="2" t="n"/>
      <c r="H121" s="2" t="n"/>
      <c r="I121" s="2" t="inlineStr">
        <is>
          <t>BTC</t>
        </is>
      </c>
      <c r="J121" s="2" t="n">
        <v>512</v>
      </c>
      <c r="K121" s="2" t="n"/>
      <c r="L121" s="2" t="n">
        <v>501</v>
      </c>
      <c r="M121" s="2" t="n">
        <v>0.362</v>
      </c>
      <c r="N121" s="2" t="n">
        <v>4.276</v>
      </c>
      <c r="O121" s="2" t="n">
        <v>4.151</v>
      </c>
      <c r="P121" s="7" t="n"/>
    </row>
    <row r="122">
      <c r="A122" s="8" t="n">
        <v>5</v>
      </c>
      <c r="B122" s="1" t="n">
        <v>18</v>
      </c>
      <c r="C122" s="1" t="inlineStr">
        <is>
          <t>P-110</t>
        </is>
      </c>
      <c r="D122" s="1" t="n">
        <v>13470</v>
      </c>
      <c r="E122" s="1" t="n">
        <v>13940</v>
      </c>
      <c r="F122" s="1" t="n"/>
      <c r="G122" s="1" t="n"/>
      <c r="H122" s="1" t="n"/>
      <c r="I122" s="1" t="inlineStr">
        <is>
          <t>LTC</t>
        </is>
      </c>
      <c r="J122" s="1" t="n">
        <v>495</v>
      </c>
      <c r="K122" s="1" t="n"/>
      <c r="L122" s="1" t="n">
        <v>580</v>
      </c>
      <c r="M122" s="1" t="n">
        <v>0.362</v>
      </c>
      <c r="N122" s="1" t="n">
        <v>4.276</v>
      </c>
      <c r="O122" s="1" t="n">
        <v>4.151</v>
      </c>
      <c r="P122" s="9" t="n"/>
    </row>
    <row r="123">
      <c r="A123" s="8" t="n">
        <v>5</v>
      </c>
      <c r="B123" s="1" t="n">
        <v>18</v>
      </c>
      <c r="C123" s="1" t="inlineStr">
        <is>
          <t>P-110</t>
        </is>
      </c>
      <c r="D123" s="1" t="n">
        <v>13470</v>
      </c>
      <c r="E123" s="1" t="n">
        <v>13620</v>
      </c>
      <c r="F123" s="1" t="n"/>
      <c r="G123" s="1" t="n"/>
      <c r="H123" s="1" t="n"/>
      <c r="I123" s="1" t="inlineStr">
        <is>
          <t>BTC</t>
        </is>
      </c>
      <c r="J123" s="1" t="n">
        <v>606</v>
      </c>
      <c r="K123" s="1" t="n"/>
      <c r="L123" s="1" t="n">
        <v>580</v>
      </c>
      <c r="M123" s="1" t="n">
        <v>0.362</v>
      </c>
      <c r="N123" s="1" t="n">
        <v>4.276</v>
      </c>
      <c r="O123" s="1" t="n">
        <v>4.151</v>
      </c>
      <c r="P123" s="9" t="n"/>
    </row>
    <row r="124">
      <c r="A124" s="6" t="n">
        <v>5</v>
      </c>
      <c r="B124" s="2" t="n">
        <v>18</v>
      </c>
      <c r="C124" s="2" t="inlineStr">
        <is>
          <t>Q-125</t>
        </is>
      </c>
      <c r="D124" s="2" t="n">
        <v>14830</v>
      </c>
      <c r="E124" s="2" t="n">
        <v>15840</v>
      </c>
      <c r="F124" s="2" t="n"/>
      <c r="G124" s="2" t="n"/>
      <c r="H124" s="2" t="n"/>
      <c r="I124" s="2" t="inlineStr">
        <is>
          <t>LTC</t>
        </is>
      </c>
      <c r="J124" s="2" t="n">
        <v>535</v>
      </c>
      <c r="K124" s="2" t="n"/>
      <c r="L124" s="2" t="n">
        <v>659</v>
      </c>
      <c r="M124" s="2" t="n">
        <v>0.362</v>
      </c>
      <c r="N124" s="2" t="n">
        <v>4.276</v>
      </c>
      <c r="O124" s="2" t="n">
        <v>4.151</v>
      </c>
      <c r="P124" s="7" t="n"/>
    </row>
    <row r="125">
      <c r="A125" s="6" t="n">
        <v>5</v>
      </c>
      <c r="B125" s="2" t="n">
        <v>18</v>
      </c>
      <c r="C125" s="2" t="inlineStr">
        <is>
          <t>Q-125</t>
        </is>
      </c>
      <c r="D125" s="2" t="n">
        <v>14830</v>
      </c>
      <c r="E125" s="2" t="n">
        <v>15480</v>
      </c>
      <c r="F125" s="2" t="n"/>
      <c r="G125" s="2" t="n"/>
      <c r="H125" s="2" t="n"/>
      <c r="I125" s="2" t="inlineStr">
        <is>
          <t>BTC</t>
        </is>
      </c>
      <c r="J125" s="2" t="n">
        <v>661</v>
      </c>
      <c r="K125" s="2" t="n"/>
      <c r="L125" s="2" t="n">
        <v>659</v>
      </c>
      <c r="M125" s="2" t="n">
        <v>0.362</v>
      </c>
      <c r="N125" s="2" t="n">
        <v>4.276</v>
      </c>
      <c r="O125" s="2" t="n">
        <v>4.151</v>
      </c>
      <c r="P125" s="7" t="n"/>
    </row>
    <row r="126">
      <c r="A126" s="8" t="n">
        <v>5</v>
      </c>
      <c r="B126" s="1" t="n">
        <v>18</v>
      </c>
      <c r="C126" s="1" t="inlineStr">
        <is>
          <t>V-150</t>
        </is>
      </c>
      <c r="D126" s="1" t="n">
        <v>16860</v>
      </c>
      <c r="E126" s="1" t="n">
        <v>19010</v>
      </c>
      <c r="F126" s="1" t="n"/>
      <c r="G126" s="1" t="n"/>
      <c r="H126" s="1" t="n"/>
      <c r="I126" s="1" t="inlineStr">
        <is>
          <t>LTC</t>
        </is>
      </c>
      <c r="J126" s="1" t="n">
        <v>634</v>
      </c>
      <c r="K126" s="1" t="n"/>
      <c r="L126" s="1" t="n">
        <v>791</v>
      </c>
      <c r="M126" s="1" t="n">
        <v>0.362</v>
      </c>
      <c r="N126" s="1" t="n">
        <v>4.276</v>
      </c>
      <c r="O126" s="1" t="n">
        <v>4.151</v>
      </c>
      <c r="P126" s="9" t="n"/>
    </row>
    <row r="127">
      <c r="A127" s="8" t="n">
        <v>5</v>
      </c>
      <c r="B127" s="1" t="n">
        <v>18</v>
      </c>
      <c r="C127" s="1" t="inlineStr">
        <is>
          <t>V-150</t>
        </is>
      </c>
      <c r="D127" s="1" t="n">
        <v>16860</v>
      </c>
      <c r="E127" s="1" t="n">
        <v>18580</v>
      </c>
      <c r="F127" s="1" t="n"/>
      <c r="G127" s="1" t="n"/>
      <c r="H127" s="1" t="n"/>
      <c r="I127" s="1" t="inlineStr">
        <is>
          <t>BTC</t>
        </is>
      </c>
      <c r="J127" s="1" t="n">
        <v>785</v>
      </c>
      <c r="K127" s="1" t="n"/>
      <c r="L127" s="1" t="n">
        <v>791</v>
      </c>
      <c r="M127" s="1" t="n">
        <v>0.362</v>
      </c>
      <c r="N127" s="1" t="n">
        <v>4.276</v>
      </c>
      <c r="O127" s="1" t="n">
        <v>4.151</v>
      </c>
      <c r="P127" s="9" t="n"/>
    </row>
    <row r="128">
      <c r="A128" s="6" t="n">
        <v>5</v>
      </c>
      <c r="B128" s="2" t="n">
        <v>21.4</v>
      </c>
      <c r="C128" s="2" t="inlineStr">
        <is>
          <t>L-80</t>
        </is>
      </c>
      <c r="D128" s="2" t="n">
        <v>12760</v>
      </c>
      <c r="E128" s="2" t="n">
        <v>10810</v>
      </c>
      <c r="F128" s="2" t="n"/>
      <c r="G128" s="2" t="n"/>
      <c r="H128" s="2" t="n"/>
      <c r="I128" s="2" t="inlineStr">
        <is>
          <t>LTC</t>
        </is>
      </c>
      <c r="J128" s="2" t="n">
        <v>466</v>
      </c>
      <c r="K128" s="2" t="n"/>
      <c r="L128" s="2" t="n">
        <v>501</v>
      </c>
      <c r="M128" s="2" t="n">
        <v>0.437</v>
      </c>
      <c r="N128" s="2" t="n">
        <v>4.126</v>
      </c>
      <c r="O128" s="2" t="n">
        <v>4.001</v>
      </c>
      <c r="P128" s="7" t="n"/>
    </row>
    <row r="129">
      <c r="A129" s="6" t="n">
        <v>5</v>
      </c>
      <c r="B129" s="2" t="n">
        <v>21.4</v>
      </c>
      <c r="C129" s="2" t="inlineStr">
        <is>
          <t>L-80</t>
        </is>
      </c>
      <c r="D129" s="2" t="n">
        <v>12760</v>
      </c>
      <c r="E129" s="2" t="n">
        <v>9910</v>
      </c>
      <c r="F129" s="2" t="n"/>
      <c r="G129" s="2" t="n"/>
      <c r="H129" s="2" t="n"/>
      <c r="I129" s="2" t="inlineStr">
        <is>
          <t>BTC</t>
        </is>
      </c>
      <c r="J129" s="2" t="n">
        <v>510</v>
      </c>
      <c r="K129" s="2" t="n"/>
      <c r="L129" s="2" t="n">
        <v>501</v>
      </c>
      <c r="M129" s="2" t="n">
        <v>0.437</v>
      </c>
      <c r="N129" s="2" t="n">
        <v>4.126</v>
      </c>
      <c r="O129" s="2" t="n">
        <v>4.001</v>
      </c>
      <c r="P129" s="7" t="n"/>
    </row>
    <row r="130">
      <c r="A130" s="8" t="n">
        <v>5</v>
      </c>
      <c r="B130" s="1" t="n">
        <v>21.4</v>
      </c>
      <c r="C130" s="1" t="inlineStr">
        <is>
          <t>N-80</t>
        </is>
      </c>
      <c r="D130" s="1" t="n">
        <v>12760</v>
      </c>
      <c r="E130" s="1" t="n">
        <v>10810</v>
      </c>
      <c r="F130" s="1" t="n"/>
      <c r="G130" s="1" t="n"/>
      <c r="H130" s="1" t="n"/>
      <c r="I130" s="1" t="inlineStr">
        <is>
          <t>LTC</t>
        </is>
      </c>
      <c r="J130" s="1" t="n">
        <v>490</v>
      </c>
      <c r="K130" s="1" t="n"/>
      <c r="L130" s="1" t="n">
        <v>501</v>
      </c>
      <c r="M130" s="1" t="n">
        <v>0.437</v>
      </c>
      <c r="N130" s="1" t="n">
        <v>4.126</v>
      </c>
      <c r="O130" s="1" t="n">
        <v>4.001</v>
      </c>
      <c r="P130" s="9" t="n"/>
    </row>
    <row r="131">
      <c r="A131" s="8" t="n">
        <v>5</v>
      </c>
      <c r="B131" s="1" t="n">
        <v>21.4</v>
      </c>
      <c r="C131" s="1" t="inlineStr">
        <is>
          <t>N-80</t>
        </is>
      </c>
      <c r="D131" s="1" t="n">
        <v>12760</v>
      </c>
      <c r="E131" s="1" t="n">
        <v>9910</v>
      </c>
      <c r="F131" s="1" t="n"/>
      <c r="G131" s="1" t="n"/>
      <c r="H131" s="1" t="n"/>
      <c r="I131" s="1" t="inlineStr">
        <is>
          <t>BTC</t>
        </is>
      </c>
      <c r="J131" s="1" t="n">
        <v>537</v>
      </c>
      <c r="K131" s="1" t="n"/>
      <c r="L131" s="1" t="n">
        <v>501</v>
      </c>
      <c r="M131" s="1" t="n">
        <v>0.437</v>
      </c>
      <c r="N131" s="1" t="n">
        <v>4.126</v>
      </c>
      <c r="O131" s="1" t="n">
        <v>4.001</v>
      </c>
      <c r="P131" s="9" t="n"/>
    </row>
    <row r="132">
      <c r="A132" s="6" t="n">
        <v>5</v>
      </c>
      <c r="B132" s="2" t="n">
        <v>21.4</v>
      </c>
      <c r="C132" s="2" t="inlineStr">
        <is>
          <t>C-90</t>
        </is>
      </c>
      <c r="D132" s="2" t="n">
        <v>14360</v>
      </c>
      <c r="E132" s="2" t="n">
        <v>12170</v>
      </c>
      <c r="F132" s="2" t="n"/>
      <c r="G132" s="2" t="n"/>
      <c r="H132" s="2" t="n"/>
      <c r="I132" s="2" t="inlineStr">
        <is>
          <t>LTC</t>
        </is>
      </c>
      <c r="J132" s="2" t="n">
        <v>490</v>
      </c>
      <c r="K132" s="2" t="n"/>
      <c r="L132" s="2" t="n">
        <v>564</v>
      </c>
      <c r="M132" s="2" t="n">
        <v>0.437</v>
      </c>
      <c r="N132" s="2" t="n">
        <v>4.126</v>
      </c>
      <c r="O132" s="2" t="n">
        <v>4.001</v>
      </c>
      <c r="P132" s="7" t="n"/>
    </row>
    <row r="133">
      <c r="A133" s="6" t="n">
        <v>5</v>
      </c>
      <c r="B133" s="2" t="n">
        <v>21.4</v>
      </c>
      <c r="C133" s="2" t="inlineStr">
        <is>
          <t>C-90</t>
        </is>
      </c>
      <c r="D133" s="2" t="n">
        <v>14360</v>
      </c>
      <c r="E133" s="2" t="n">
        <v>11150</v>
      </c>
      <c r="F133" s="2" t="n"/>
      <c r="G133" s="2" t="n"/>
      <c r="H133" s="2" t="n"/>
      <c r="I133" s="2" t="inlineStr">
        <is>
          <t>BTC</t>
        </is>
      </c>
      <c r="J133" s="2" t="n">
        <v>537</v>
      </c>
      <c r="K133" s="2" t="n"/>
      <c r="L133" s="2" t="n">
        <v>564</v>
      </c>
      <c r="M133" s="2" t="n">
        <v>0.437</v>
      </c>
      <c r="N133" s="2" t="n">
        <v>4.126</v>
      </c>
      <c r="O133" s="2" t="n">
        <v>4.001</v>
      </c>
      <c r="P133" s="7" t="n"/>
    </row>
    <row r="134">
      <c r="A134" s="8" t="n">
        <v>5</v>
      </c>
      <c r="B134" s="1" t="n">
        <v>21.4</v>
      </c>
      <c r="C134" s="1" t="inlineStr">
        <is>
          <t>T-95</t>
        </is>
      </c>
      <c r="D134" s="1" t="n">
        <v>15160</v>
      </c>
      <c r="E134" s="1" t="n">
        <v>12840</v>
      </c>
      <c r="F134" s="1" t="n"/>
      <c r="G134" s="1" t="n"/>
      <c r="H134" s="1" t="n"/>
      <c r="I134" s="1" t="inlineStr">
        <is>
          <t>LTC</t>
        </is>
      </c>
      <c r="J134" s="1" t="n">
        <v>515</v>
      </c>
      <c r="K134" s="1" t="n"/>
      <c r="L134" s="1" t="n">
        <v>595</v>
      </c>
      <c r="M134" s="1" t="n">
        <v>0.437</v>
      </c>
      <c r="N134" s="1" t="n">
        <v>4.126</v>
      </c>
      <c r="O134" s="1" t="n">
        <v>4.001</v>
      </c>
      <c r="P134" s="9" t="n"/>
    </row>
    <row r="135">
      <c r="A135" s="8" t="n">
        <v>5</v>
      </c>
      <c r="B135" s="1" t="n">
        <v>21.4</v>
      </c>
      <c r="C135" s="1" t="inlineStr">
        <is>
          <t>T-95</t>
        </is>
      </c>
      <c r="D135" s="1" t="n">
        <v>15160</v>
      </c>
      <c r="E135" s="1" t="n">
        <v>11770</v>
      </c>
      <c r="F135" s="1" t="n"/>
      <c r="G135" s="1" t="n"/>
      <c r="H135" s="1" t="n"/>
      <c r="I135" s="1" t="inlineStr">
        <is>
          <t>BTC</t>
        </is>
      </c>
      <c r="J135" s="1" t="n">
        <v>563</v>
      </c>
      <c r="K135" s="1" t="n"/>
      <c r="L135" s="1" t="n">
        <v>595</v>
      </c>
      <c r="M135" s="1" t="n">
        <v>0.437</v>
      </c>
      <c r="N135" s="1" t="n">
        <v>4.126</v>
      </c>
      <c r="O135" s="1" t="n">
        <v>4.001</v>
      </c>
      <c r="P135" s="9" t="n"/>
    </row>
    <row r="136">
      <c r="A136" s="6" t="n">
        <v>5</v>
      </c>
      <c r="B136" s="2" t="n">
        <v>21.4</v>
      </c>
      <c r="C136" s="2" t="inlineStr">
        <is>
          <t>C-95</t>
        </is>
      </c>
      <c r="D136" s="2" t="n">
        <v>15160</v>
      </c>
      <c r="E136" s="2" t="n">
        <v>12840</v>
      </c>
      <c r="F136" s="2" t="n"/>
      <c r="G136" s="2" t="n"/>
      <c r="H136" s="2" t="n"/>
      <c r="I136" s="2" t="inlineStr">
        <is>
          <t>LTC</t>
        </is>
      </c>
      <c r="J136" s="2" t="n">
        <v>515</v>
      </c>
      <c r="K136" s="2" t="n"/>
      <c r="L136" s="2" t="n">
        <v>595</v>
      </c>
      <c r="M136" s="2" t="n">
        <v>0.437</v>
      </c>
      <c r="N136" s="2" t="n">
        <v>4.126</v>
      </c>
      <c r="O136" s="2" t="n">
        <v>4.001</v>
      </c>
      <c r="P136" s="7" t="n"/>
    </row>
    <row r="137">
      <c r="A137" s="6" t="n">
        <v>5</v>
      </c>
      <c r="B137" s="2" t="n">
        <v>21.4</v>
      </c>
      <c r="C137" s="2" t="inlineStr">
        <is>
          <t>C-95</t>
        </is>
      </c>
      <c r="D137" s="2" t="n">
        <v>15160</v>
      </c>
      <c r="E137" s="2" t="n">
        <v>11770</v>
      </c>
      <c r="F137" s="2" t="n"/>
      <c r="G137" s="2" t="n"/>
      <c r="H137" s="2" t="n"/>
      <c r="I137" s="2" t="inlineStr">
        <is>
          <t>BTC</t>
        </is>
      </c>
      <c r="J137" s="2" t="n">
        <v>563</v>
      </c>
      <c r="K137" s="2" t="n"/>
      <c r="L137" s="2" t="n">
        <v>595</v>
      </c>
      <c r="M137" s="2" t="n">
        <v>0.437</v>
      </c>
      <c r="N137" s="2" t="n">
        <v>4.126</v>
      </c>
      <c r="O137" s="2" t="n">
        <v>4.001</v>
      </c>
      <c r="P137" s="7" t="n"/>
    </row>
    <row r="138">
      <c r="A138" s="8" t="n">
        <v>5</v>
      </c>
      <c r="B138" s="1" t="n">
        <v>21.4</v>
      </c>
      <c r="C138" s="1" t="inlineStr">
        <is>
          <t>P-110</t>
        </is>
      </c>
      <c r="D138" s="1" t="n">
        <v>17550</v>
      </c>
      <c r="E138" s="1" t="n">
        <v>14870</v>
      </c>
      <c r="F138" s="1" t="n"/>
      <c r="G138" s="1" t="n"/>
      <c r="H138" s="1" t="n"/>
      <c r="I138" s="1" t="inlineStr">
        <is>
          <t>LTC</t>
        </is>
      </c>
      <c r="J138" s="1" t="n">
        <v>613</v>
      </c>
      <c r="K138" s="1" t="n"/>
      <c r="L138" s="1" t="n">
        <v>689</v>
      </c>
      <c r="M138" s="1" t="n">
        <v>0.437</v>
      </c>
      <c r="N138" s="1" t="n">
        <v>4.126</v>
      </c>
      <c r="O138" s="1" t="n">
        <v>4.001</v>
      </c>
      <c r="P138" s="9" t="n"/>
    </row>
    <row r="139">
      <c r="A139" s="8" t="n">
        <v>5</v>
      </c>
      <c r="B139" s="1" t="n">
        <v>21.4</v>
      </c>
      <c r="C139" s="1" t="inlineStr">
        <is>
          <t>P-110</t>
        </is>
      </c>
      <c r="D139" s="1" t="n">
        <v>17550</v>
      </c>
      <c r="E139" s="1" t="n">
        <v>13620</v>
      </c>
      <c r="F139" s="1" t="n"/>
      <c r="G139" s="1" t="n"/>
      <c r="H139" s="1" t="n"/>
      <c r="I139" s="1" t="inlineStr">
        <is>
          <t>BTC</t>
        </is>
      </c>
      <c r="J139" s="1" t="n">
        <v>671</v>
      </c>
      <c r="K139" s="1" t="n"/>
      <c r="L139" s="1" t="n">
        <v>689</v>
      </c>
      <c r="M139" s="1" t="n">
        <v>0.437</v>
      </c>
      <c r="N139" s="1" t="n">
        <v>4.126</v>
      </c>
      <c r="O139" s="1" t="n">
        <v>4.001</v>
      </c>
      <c r="P139" s="9" t="n"/>
    </row>
    <row r="140">
      <c r="A140" s="6" t="n">
        <v>5</v>
      </c>
      <c r="B140" s="2" t="n">
        <v>21.4</v>
      </c>
      <c r="C140" s="2" t="inlineStr">
        <is>
          <t>Q-125</t>
        </is>
      </c>
      <c r="D140" s="2" t="n">
        <v>19940</v>
      </c>
      <c r="E140" s="2" t="n">
        <v>16900</v>
      </c>
      <c r="F140" s="2" t="n"/>
      <c r="G140" s="2" t="n"/>
      <c r="H140" s="2" t="n"/>
      <c r="I140" s="2" t="inlineStr">
        <is>
          <t>LTC</t>
        </is>
      </c>
      <c r="J140" s="2" t="n">
        <v>662</v>
      </c>
      <c r="K140" s="2" t="n"/>
      <c r="L140" s="2" t="n">
        <v>783</v>
      </c>
      <c r="M140" s="2" t="n">
        <v>0.437</v>
      </c>
      <c r="N140" s="2" t="n">
        <v>4.126</v>
      </c>
      <c r="O140" s="2" t="n">
        <v>4.001</v>
      </c>
      <c r="P140" s="7" t="n"/>
    </row>
    <row r="141">
      <c r="A141" s="6" t="n">
        <v>5</v>
      </c>
      <c r="B141" s="2" t="n">
        <v>21.4</v>
      </c>
      <c r="C141" s="2" t="inlineStr">
        <is>
          <t>Q-125</t>
        </is>
      </c>
      <c r="D141" s="2" t="n">
        <v>19940</v>
      </c>
      <c r="E141" s="2" t="n">
        <v>15480</v>
      </c>
      <c r="F141" s="2" t="n"/>
      <c r="G141" s="2" t="n"/>
      <c r="H141" s="2" t="n"/>
      <c r="I141" s="2" t="inlineStr">
        <is>
          <t>BTC</t>
        </is>
      </c>
      <c r="J141" s="2" t="n">
        <v>724</v>
      </c>
      <c r="K141" s="2" t="n"/>
      <c r="L141" s="2" t="n">
        <v>783</v>
      </c>
      <c r="M141" s="2" t="n">
        <v>0.437</v>
      </c>
      <c r="N141" s="2" t="n">
        <v>4.126</v>
      </c>
      <c r="O141" s="2" t="n">
        <v>4.001</v>
      </c>
      <c r="P141" s="7" t="n"/>
    </row>
    <row r="142">
      <c r="A142" s="8" t="n">
        <v>5</v>
      </c>
      <c r="B142" s="1" t="n">
        <v>23.2</v>
      </c>
      <c r="C142" s="1" t="inlineStr">
        <is>
          <t>L-80</t>
        </is>
      </c>
      <c r="D142" s="1" t="n">
        <v>13830</v>
      </c>
      <c r="E142" s="1" t="n">
        <v>10810</v>
      </c>
      <c r="F142" s="1" t="n"/>
      <c r="G142" s="1" t="n"/>
      <c r="H142" s="1" t="n"/>
      <c r="I142" s="1" t="inlineStr">
        <is>
          <t>LTC</t>
        </is>
      </c>
      <c r="J142" s="1" t="n">
        <v>513</v>
      </c>
      <c r="K142" s="1" t="n"/>
      <c r="L142" s="1" t="n">
        <v>543</v>
      </c>
      <c r="M142" s="1" t="n">
        <v>0.478</v>
      </c>
      <c r="N142" s="1" t="n">
        <v>4.044</v>
      </c>
      <c r="O142" s="1" t="n">
        <v>3.919</v>
      </c>
      <c r="P142" s="9" t="n"/>
    </row>
    <row r="143">
      <c r="A143" s="8" t="n">
        <v>5</v>
      </c>
      <c r="B143" s="1" t="n">
        <v>23.2</v>
      </c>
      <c r="C143" s="1" t="inlineStr">
        <is>
          <t>L-80</t>
        </is>
      </c>
      <c r="D143" s="1" t="n">
        <v>13830</v>
      </c>
      <c r="E143" s="1" t="n">
        <v>9910</v>
      </c>
      <c r="F143" s="1" t="n"/>
      <c r="G143" s="1" t="n"/>
      <c r="H143" s="1" t="n"/>
      <c r="I143" s="1" t="inlineStr">
        <is>
          <t>BTC</t>
        </is>
      </c>
      <c r="J143" s="1" t="n">
        <v>510</v>
      </c>
      <c r="K143" s="1" t="n"/>
      <c r="L143" s="1" t="n">
        <v>543</v>
      </c>
      <c r="M143" s="1" t="n">
        <v>0.478</v>
      </c>
      <c r="N143" s="1" t="n">
        <v>4.044</v>
      </c>
      <c r="O143" s="1" t="n">
        <v>3.919</v>
      </c>
      <c r="P143" s="9" t="n"/>
    </row>
    <row r="144">
      <c r="A144" s="6" t="n">
        <v>5</v>
      </c>
      <c r="B144" s="2" t="n">
        <v>23.2</v>
      </c>
      <c r="C144" s="2" t="inlineStr">
        <is>
          <t>HCL-80</t>
        </is>
      </c>
      <c r="D144" s="2" t="n">
        <v>15820</v>
      </c>
      <c r="E144" s="2" t="n">
        <v>10810</v>
      </c>
      <c r="F144" s="2" t="n"/>
      <c r="G144" s="2" t="n"/>
      <c r="H144" s="2" t="n"/>
      <c r="I144" s="2" t="inlineStr">
        <is>
          <t>LTC</t>
        </is>
      </c>
      <c r="J144" s="2" t="n">
        <v>540</v>
      </c>
      <c r="K144" s="2" t="n"/>
      <c r="L144" s="2" t="n">
        <v>543</v>
      </c>
      <c r="M144" s="2" t="n">
        <v>0.478</v>
      </c>
      <c r="N144" s="2" t="n">
        <v>4.044</v>
      </c>
      <c r="O144" s="2" t="n">
        <v>3.919</v>
      </c>
      <c r="P144" s="7" t="n"/>
    </row>
    <row r="145">
      <c r="A145" s="6" t="n">
        <v>5</v>
      </c>
      <c r="B145" s="2" t="n">
        <v>23.2</v>
      </c>
      <c r="C145" s="2" t="inlineStr">
        <is>
          <t>HCL-80</t>
        </is>
      </c>
      <c r="D145" s="2" t="n">
        <v>15820</v>
      </c>
      <c r="E145" s="2" t="n">
        <v>9910</v>
      </c>
      <c r="F145" s="2" t="n"/>
      <c r="G145" s="2" t="n"/>
      <c r="H145" s="2" t="n"/>
      <c r="I145" s="2" t="inlineStr">
        <is>
          <t>BTC</t>
        </is>
      </c>
      <c r="J145" s="2" t="n">
        <v>516</v>
      </c>
      <c r="K145" s="2" t="n"/>
      <c r="L145" s="2" t="n">
        <v>543</v>
      </c>
      <c r="M145" s="2" t="n">
        <v>0.478</v>
      </c>
      <c r="N145" s="2" t="n">
        <v>4.044</v>
      </c>
      <c r="O145" s="2" t="n">
        <v>3.919</v>
      </c>
      <c r="P145" s="7" t="n"/>
    </row>
    <row r="146">
      <c r="A146" s="8" t="n">
        <v>5</v>
      </c>
      <c r="B146" s="1" t="n">
        <v>23.2</v>
      </c>
      <c r="C146" s="1" t="inlineStr">
        <is>
          <t>N-80</t>
        </is>
      </c>
      <c r="D146" s="1" t="n">
        <v>13830</v>
      </c>
      <c r="E146" s="1" t="n">
        <v>10810</v>
      </c>
      <c r="F146" s="1" t="n"/>
      <c r="G146" s="1" t="n"/>
      <c r="H146" s="1" t="n"/>
      <c r="I146" s="1" t="inlineStr">
        <is>
          <t>LTC</t>
        </is>
      </c>
      <c r="J146" s="1" t="n">
        <v>540</v>
      </c>
      <c r="K146" s="1" t="n"/>
      <c r="L146" s="1" t="n">
        <v>543</v>
      </c>
      <c r="M146" s="1" t="n">
        <v>0.478</v>
      </c>
      <c r="N146" s="1" t="n">
        <v>4.044</v>
      </c>
      <c r="O146" s="1" t="n">
        <v>3.919</v>
      </c>
      <c r="P146" s="9" t="n"/>
    </row>
    <row r="147">
      <c r="A147" s="8" t="n">
        <v>5</v>
      </c>
      <c r="B147" s="1" t="n">
        <v>23.2</v>
      </c>
      <c r="C147" s="1" t="inlineStr">
        <is>
          <t>N-80</t>
        </is>
      </c>
      <c r="D147" s="1" t="n">
        <v>13830</v>
      </c>
      <c r="E147" s="1" t="n">
        <v>9910</v>
      </c>
      <c r="F147" s="1" t="n"/>
      <c r="G147" s="1" t="n"/>
      <c r="H147" s="1" t="n"/>
      <c r="I147" s="1" t="inlineStr">
        <is>
          <t>BTC</t>
        </is>
      </c>
      <c r="J147" s="1" t="n">
        <v>537</v>
      </c>
      <c r="K147" s="1" t="n"/>
      <c r="L147" s="1" t="n">
        <v>543</v>
      </c>
      <c r="M147" s="1" t="n">
        <v>0.478</v>
      </c>
      <c r="N147" s="1" t="n">
        <v>4.044</v>
      </c>
      <c r="O147" s="1" t="n">
        <v>3.919</v>
      </c>
      <c r="P147" s="9" t="n"/>
    </row>
    <row r="148">
      <c r="A148" s="6" t="n">
        <v>5</v>
      </c>
      <c r="B148" s="2" t="n">
        <v>23.2</v>
      </c>
      <c r="C148" s="2" t="inlineStr">
        <is>
          <t>HCN-80</t>
        </is>
      </c>
      <c r="D148" s="2" t="n">
        <v>15820</v>
      </c>
      <c r="E148" s="2" t="n">
        <v>10810</v>
      </c>
      <c r="F148" s="2" t="n"/>
      <c r="G148" s="2" t="n"/>
      <c r="H148" s="2" t="n"/>
      <c r="I148" s="2" t="inlineStr">
        <is>
          <t>LTC</t>
        </is>
      </c>
      <c r="J148" s="2" t="n">
        <v>540</v>
      </c>
      <c r="K148" s="2" t="n"/>
      <c r="L148" s="2" t="n">
        <v>543</v>
      </c>
      <c r="M148" s="2" t="n">
        <v>0.478</v>
      </c>
      <c r="N148" s="2" t="n">
        <v>4.044</v>
      </c>
      <c r="O148" s="2" t="n">
        <v>3.919</v>
      </c>
      <c r="P148" s="7" t="n"/>
    </row>
    <row r="149">
      <c r="A149" s="6" t="n">
        <v>5</v>
      </c>
      <c r="B149" s="2" t="n">
        <v>23.2</v>
      </c>
      <c r="C149" s="2" t="inlineStr">
        <is>
          <t>HCN-80</t>
        </is>
      </c>
      <c r="D149" s="2" t="n">
        <v>15820</v>
      </c>
      <c r="E149" s="2" t="n">
        <v>9910</v>
      </c>
      <c r="F149" s="2" t="n"/>
      <c r="G149" s="2" t="n"/>
      <c r="H149" s="2" t="n"/>
      <c r="I149" s="2" t="inlineStr">
        <is>
          <t>BTC</t>
        </is>
      </c>
      <c r="J149" s="2" t="n">
        <v>537</v>
      </c>
      <c r="K149" s="2" t="n"/>
      <c r="L149" s="2" t="n">
        <v>543</v>
      </c>
      <c r="M149" s="2" t="n">
        <v>0.478</v>
      </c>
      <c r="N149" s="2" t="n">
        <v>4.044</v>
      </c>
      <c r="O149" s="2" t="n">
        <v>3.919</v>
      </c>
      <c r="P149" s="7" t="n"/>
    </row>
    <row r="150">
      <c r="A150" s="8" t="n">
        <v>5</v>
      </c>
      <c r="B150" s="1" t="n">
        <v>23.2</v>
      </c>
      <c r="C150" s="1" t="inlineStr">
        <is>
          <t>C-90</t>
        </is>
      </c>
      <c r="D150" s="1" t="n">
        <v>15560</v>
      </c>
      <c r="E150" s="1" t="n">
        <v>12170</v>
      </c>
      <c r="F150" s="1" t="n"/>
      <c r="G150" s="1" t="n"/>
      <c r="H150" s="1" t="n"/>
      <c r="I150" s="1" t="inlineStr">
        <is>
          <t>LTC</t>
        </is>
      </c>
      <c r="J150" s="1" t="n">
        <v>540</v>
      </c>
      <c r="K150" s="1" t="n"/>
      <c r="L150" s="1" t="n">
        <v>611</v>
      </c>
      <c r="M150" s="1" t="n">
        <v>0.478</v>
      </c>
      <c r="N150" s="1" t="n">
        <v>4.044</v>
      </c>
      <c r="O150" s="1" t="n">
        <v>3.919</v>
      </c>
      <c r="P150" s="9" t="n"/>
    </row>
    <row r="151">
      <c r="A151" s="8" t="n">
        <v>5</v>
      </c>
      <c r="B151" s="1" t="n">
        <v>23.2</v>
      </c>
      <c r="C151" s="1" t="inlineStr">
        <is>
          <t>C-90</t>
        </is>
      </c>
      <c r="D151" s="1" t="n">
        <v>15560</v>
      </c>
      <c r="E151" s="1" t="n">
        <v>11150</v>
      </c>
      <c r="F151" s="1" t="n"/>
      <c r="G151" s="1" t="n"/>
      <c r="H151" s="1" t="n"/>
      <c r="I151" s="1" t="inlineStr">
        <is>
          <t>BTC</t>
        </is>
      </c>
      <c r="J151" s="1" t="n">
        <v>537</v>
      </c>
      <c r="K151" s="1" t="n"/>
      <c r="L151" s="1" t="n">
        <v>611</v>
      </c>
      <c r="M151" s="1" t="n">
        <v>0.478</v>
      </c>
      <c r="N151" s="1" t="n">
        <v>4.044</v>
      </c>
      <c r="O151" s="1" t="n">
        <v>3.919</v>
      </c>
      <c r="P151" s="9" t="n"/>
    </row>
    <row r="152">
      <c r="A152" s="6" t="n">
        <v>5</v>
      </c>
      <c r="B152" s="2" t="n">
        <v>23.2</v>
      </c>
      <c r="C152" s="2" t="inlineStr">
        <is>
          <t>S-95</t>
        </is>
      </c>
      <c r="D152" s="2" t="n">
        <v>16430</v>
      </c>
      <c r="E152" s="2" t="n">
        <v>12840</v>
      </c>
      <c r="F152" s="2" t="n"/>
      <c r="G152" s="2" t="n"/>
      <c r="H152" s="2" t="n"/>
      <c r="I152" s="2" t="inlineStr">
        <is>
          <t>LTC</t>
        </is>
      </c>
      <c r="J152" s="2" t="n">
        <v>594</v>
      </c>
      <c r="K152" s="2" t="n"/>
      <c r="L152" s="2" t="n">
        <v>645</v>
      </c>
      <c r="M152" s="2" t="n">
        <v>0.478</v>
      </c>
      <c r="N152" s="2" t="n">
        <v>4.044</v>
      </c>
      <c r="O152" s="2" t="n">
        <v>3.919</v>
      </c>
      <c r="P152" s="7" t="n"/>
    </row>
    <row r="153">
      <c r="A153" s="6" t="n">
        <v>5</v>
      </c>
      <c r="B153" s="2" t="n">
        <v>23.2</v>
      </c>
      <c r="C153" s="2" t="inlineStr">
        <is>
          <t>S-95</t>
        </is>
      </c>
      <c r="D153" s="2" t="n">
        <v>16430</v>
      </c>
      <c r="E153" s="2" t="n">
        <v>11770</v>
      </c>
      <c r="F153" s="2" t="n"/>
      <c r="G153" s="2" t="n"/>
      <c r="H153" s="2" t="n"/>
      <c r="I153" s="2" t="inlineStr">
        <is>
          <t>BTC</t>
        </is>
      </c>
      <c r="J153" s="2" t="n">
        <v>590</v>
      </c>
      <c r="K153" s="2" t="n"/>
      <c r="L153" s="2" t="n">
        <v>645</v>
      </c>
      <c r="M153" s="2" t="n">
        <v>0.478</v>
      </c>
      <c r="N153" s="2" t="n">
        <v>4.044</v>
      </c>
      <c r="O153" s="2" t="n">
        <v>3.919</v>
      </c>
      <c r="P153" s="7" t="n"/>
    </row>
    <row r="154">
      <c r="A154" s="8" t="n">
        <v>5</v>
      </c>
      <c r="B154" s="1" t="n">
        <v>23.2</v>
      </c>
      <c r="C154" s="1" t="inlineStr">
        <is>
          <t>T-95</t>
        </is>
      </c>
      <c r="D154" s="1" t="n">
        <v>16430</v>
      </c>
      <c r="E154" s="1" t="n">
        <v>12840</v>
      </c>
      <c r="F154" s="1" t="n"/>
      <c r="G154" s="1" t="n"/>
      <c r="H154" s="1" t="n"/>
      <c r="I154" s="1" t="inlineStr">
        <is>
          <t>LTC</t>
        </is>
      </c>
      <c r="J154" s="1" t="n">
        <v>567</v>
      </c>
      <c r="K154" s="1" t="n"/>
      <c r="L154" s="1" t="n">
        <v>645</v>
      </c>
      <c r="M154" s="1" t="n">
        <v>0.478</v>
      </c>
      <c r="N154" s="1" t="n">
        <v>4.044</v>
      </c>
      <c r="O154" s="1" t="n">
        <v>3.919</v>
      </c>
      <c r="P154" s="9" t="n"/>
    </row>
    <row r="155">
      <c r="A155" s="8" t="n">
        <v>5</v>
      </c>
      <c r="B155" s="1" t="n">
        <v>23.2</v>
      </c>
      <c r="C155" s="1" t="inlineStr">
        <is>
          <t>T-95</t>
        </is>
      </c>
      <c r="D155" s="1" t="n">
        <v>16430</v>
      </c>
      <c r="E155" s="1" t="n">
        <v>11770</v>
      </c>
      <c r="F155" s="1" t="n"/>
      <c r="G155" s="1" t="n"/>
      <c r="H155" s="1" t="n"/>
      <c r="I155" s="1" t="inlineStr">
        <is>
          <t>BTC</t>
        </is>
      </c>
      <c r="J155" s="1" t="n">
        <v>563</v>
      </c>
      <c r="K155" s="1" t="n"/>
      <c r="L155" s="1" t="n">
        <v>645</v>
      </c>
      <c r="M155" s="1" t="n">
        <v>0.478</v>
      </c>
      <c r="N155" s="1" t="n">
        <v>4.044</v>
      </c>
      <c r="O155" s="1" t="n">
        <v>3.919</v>
      </c>
      <c r="P155" s="9" t="n"/>
    </row>
    <row r="156">
      <c r="A156" s="6" t="n">
        <v>5</v>
      </c>
      <c r="B156" s="2" t="n">
        <v>23.2</v>
      </c>
      <c r="C156" s="2" t="inlineStr">
        <is>
          <t>C-95</t>
        </is>
      </c>
      <c r="D156" s="2" t="n">
        <v>16430</v>
      </c>
      <c r="E156" s="2" t="n">
        <v>12840</v>
      </c>
      <c r="F156" s="2" t="n"/>
      <c r="G156" s="2" t="n"/>
      <c r="H156" s="2" t="n"/>
      <c r="I156" s="2" t="inlineStr">
        <is>
          <t>LTC</t>
        </is>
      </c>
      <c r="J156" s="2" t="n">
        <v>567</v>
      </c>
      <c r="K156" s="2" t="n"/>
      <c r="L156" s="2" t="n">
        <v>645</v>
      </c>
      <c r="M156" s="2" t="n">
        <v>0.478</v>
      </c>
      <c r="N156" s="2" t="n">
        <v>4.044</v>
      </c>
      <c r="O156" s="2" t="n">
        <v>3.919</v>
      </c>
      <c r="P156" s="7" t="n"/>
    </row>
    <row r="157">
      <c r="A157" s="6" t="n">
        <v>5</v>
      </c>
      <c r="B157" s="2" t="n">
        <v>23.2</v>
      </c>
      <c r="C157" s="2" t="inlineStr">
        <is>
          <t>C-95</t>
        </is>
      </c>
      <c r="D157" s="2" t="n">
        <v>16430</v>
      </c>
      <c r="E157" s="2" t="n">
        <v>11770</v>
      </c>
      <c r="F157" s="2" t="n"/>
      <c r="G157" s="2" t="n"/>
      <c r="H157" s="2" t="n"/>
      <c r="I157" s="2" t="inlineStr">
        <is>
          <t>BTC</t>
        </is>
      </c>
      <c r="J157" s="2" t="n">
        <v>563</v>
      </c>
      <c r="K157" s="2" t="n"/>
      <c r="L157" s="2" t="n">
        <v>645</v>
      </c>
      <c r="M157" s="2" t="n">
        <v>0.478</v>
      </c>
      <c r="N157" s="2" t="n">
        <v>4.044</v>
      </c>
      <c r="O157" s="2" t="n">
        <v>3.919</v>
      </c>
      <c r="P157" s="7" t="n"/>
    </row>
    <row r="158">
      <c r="A158" s="8" t="n">
        <v>5</v>
      </c>
      <c r="B158" s="1" t="n">
        <v>23.2</v>
      </c>
      <c r="C158" s="1" t="inlineStr">
        <is>
          <t>P-110</t>
        </is>
      </c>
      <c r="D158" s="1" t="n">
        <v>19020</v>
      </c>
      <c r="E158" s="1" t="n">
        <v>14780</v>
      </c>
      <c r="F158" s="1" t="n"/>
      <c r="G158" s="1" t="n"/>
      <c r="H158" s="1" t="n"/>
      <c r="I158" s="1" t="inlineStr">
        <is>
          <t>LTC</t>
        </is>
      </c>
      <c r="J158" s="1" t="n">
        <v>675</v>
      </c>
      <c r="K158" s="1" t="n"/>
      <c r="L158" s="1" t="n">
        <v>747</v>
      </c>
      <c r="M158" s="1" t="n">
        <v>0.478</v>
      </c>
      <c r="N158" s="1" t="n">
        <v>4.044</v>
      </c>
      <c r="O158" s="1" t="n">
        <v>3.919</v>
      </c>
      <c r="P158" s="9" t="n"/>
    </row>
    <row r="159">
      <c r="A159" s="8" t="n">
        <v>5</v>
      </c>
      <c r="B159" s="1" t="n">
        <v>23.2</v>
      </c>
      <c r="C159" s="1" t="inlineStr">
        <is>
          <t>P-110</t>
        </is>
      </c>
      <c r="D159" s="1" t="n">
        <v>19020</v>
      </c>
      <c r="E159" s="1" t="n">
        <v>13626</v>
      </c>
      <c r="F159" s="1" t="n"/>
      <c r="G159" s="1" t="n"/>
      <c r="H159" s="1" t="n"/>
      <c r="I159" s="1" t="inlineStr">
        <is>
          <t>BTC</t>
        </is>
      </c>
      <c r="J159" s="1" t="n">
        <v>671</v>
      </c>
      <c r="K159" s="1" t="n"/>
      <c r="L159" s="1" t="n">
        <v>747</v>
      </c>
      <c r="M159" s="1" t="n">
        <v>0.478</v>
      </c>
      <c r="N159" s="1" t="n">
        <v>4.044</v>
      </c>
      <c r="O159" s="1" t="n">
        <v>3.919</v>
      </c>
      <c r="P159" s="9" t="n"/>
    </row>
    <row r="160">
      <c r="A160" s="6" t="n">
        <v>5</v>
      </c>
      <c r="B160" s="2" t="n">
        <v>23.2</v>
      </c>
      <c r="C160" s="2" t="inlineStr">
        <is>
          <t>Q-125</t>
        </is>
      </c>
      <c r="D160" s="2" t="n">
        <v>21620</v>
      </c>
      <c r="E160" s="2" t="n">
        <v>16900</v>
      </c>
      <c r="F160" s="2" t="n"/>
      <c r="G160" s="2" t="n"/>
      <c r="H160" s="2" t="n"/>
      <c r="I160" s="2" t="inlineStr">
        <is>
          <t>LTC</t>
        </is>
      </c>
      <c r="J160" s="2" t="n">
        <v>729</v>
      </c>
      <c r="K160" s="2" t="n"/>
      <c r="L160" s="2" t="n">
        <v>849</v>
      </c>
      <c r="M160" s="2" t="n">
        <v>0.478</v>
      </c>
      <c r="N160" s="2" t="n">
        <v>4.044</v>
      </c>
      <c r="O160" s="2" t="n">
        <v>3.919</v>
      </c>
      <c r="P160" s="7" t="n"/>
    </row>
    <row r="161">
      <c r="A161" s="6" t="n">
        <v>5</v>
      </c>
      <c r="B161" s="2" t="n">
        <v>23.2</v>
      </c>
      <c r="C161" s="2" t="inlineStr">
        <is>
          <t>Q-125</t>
        </is>
      </c>
      <c r="D161" s="2" t="n">
        <v>21620</v>
      </c>
      <c r="E161" s="2" t="n">
        <v>15480</v>
      </c>
      <c r="F161" s="2" t="n"/>
      <c r="G161" s="2" t="n"/>
      <c r="H161" s="2" t="n"/>
      <c r="I161" s="2" t="inlineStr">
        <is>
          <t>BTC</t>
        </is>
      </c>
      <c r="J161" s="2" t="n">
        <v>724</v>
      </c>
      <c r="K161" s="2" t="n"/>
      <c r="L161" s="2" t="n">
        <v>849</v>
      </c>
      <c r="M161" s="2" t="n">
        <v>0.478</v>
      </c>
      <c r="N161" s="2" t="n">
        <v>4.044</v>
      </c>
      <c r="O161" s="2" t="n">
        <v>3.919</v>
      </c>
      <c r="P161" s="7" t="n"/>
    </row>
    <row r="162">
      <c r="A162" s="8" t="n">
        <v>5</v>
      </c>
      <c r="B162" s="1" t="n">
        <v>24.1</v>
      </c>
      <c r="C162" s="1" t="inlineStr">
        <is>
          <t>L-80</t>
        </is>
      </c>
      <c r="D162" s="1" t="n">
        <v>14400</v>
      </c>
      <c r="E162" s="1" t="n">
        <v>10810</v>
      </c>
      <c r="F162" s="1" t="n"/>
      <c r="G162" s="1" t="n"/>
      <c r="H162" s="1" t="n"/>
      <c r="I162" s="1" t="inlineStr">
        <is>
          <t>LTC</t>
        </is>
      </c>
      <c r="J162" s="1" t="n">
        <v>538</v>
      </c>
      <c r="K162" s="1" t="n"/>
      <c r="L162" s="1" t="n">
        <v>566</v>
      </c>
      <c r="M162" s="1" t="n">
        <v>0.5</v>
      </c>
      <c r="N162" s="1" t="n">
        <v>4</v>
      </c>
      <c r="O162" s="1" t="n">
        <v>3.875</v>
      </c>
      <c r="P162" s="9" t="n"/>
    </row>
    <row r="163">
      <c r="A163" s="8" t="n">
        <v>5</v>
      </c>
      <c r="B163" s="1" t="n">
        <v>24.1</v>
      </c>
      <c r="C163" s="1" t="inlineStr">
        <is>
          <t>L-80</t>
        </is>
      </c>
      <c r="D163" s="1" t="n">
        <v>14400</v>
      </c>
      <c r="E163" s="1" t="n">
        <v>9910</v>
      </c>
      <c r="F163" s="1" t="n"/>
      <c r="G163" s="1" t="n"/>
      <c r="H163" s="1" t="n"/>
      <c r="I163" s="1" t="inlineStr">
        <is>
          <t>BTC</t>
        </is>
      </c>
      <c r="J163" s="1" t="n">
        <v>510</v>
      </c>
      <c r="K163" s="1" t="n"/>
      <c r="L163" s="1" t="n">
        <v>566</v>
      </c>
      <c r="M163" s="1" t="n">
        <v>0.5</v>
      </c>
      <c r="N163" s="1" t="n">
        <v>4</v>
      </c>
      <c r="O163" s="1" t="n">
        <v>3.875</v>
      </c>
      <c r="P163" s="9" t="n"/>
    </row>
    <row r="164">
      <c r="A164" s="6" t="n">
        <v>5</v>
      </c>
      <c r="B164" s="2" t="n">
        <v>24.1</v>
      </c>
      <c r="C164" s="2" t="inlineStr">
        <is>
          <t>N-80</t>
        </is>
      </c>
      <c r="D164" s="2" t="n">
        <v>14400</v>
      </c>
      <c r="E164" s="2" t="n">
        <v>10810</v>
      </c>
      <c r="F164" s="2" t="n"/>
      <c r="G164" s="2" t="n"/>
      <c r="H164" s="2" t="n"/>
      <c r="I164" s="2" t="inlineStr">
        <is>
          <t>LTC</t>
        </is>
      </c>
      <c r="J164" s="2" t="n">
        <v>558</v>
      </c>
      <c r="K164" s="2" t="n"/>
      <c r="L164" s="2" t="n">
        <v>566</v>
      </c>
      <c r="M164" s="2" t="n">
        <v>0.5</v>
      </c>
      <c r="N164" s="2" t="n">
        <v>4</v>
      </c>
      <c r="O164" s="2" t="n">
        <v>3.875</v>
      </c>
      <c r="P164" s="7" t="n"/>
    </row>
    <row r="165">
      <c r="A165" s="6" t="n">
        <v>5</v>
      </c>
      <c r="B165" s="2" t="n">
        <v>24.1</v>
      </c>
      <c r="C165" s="2" t="inlineStr">
        <is>
          <t>N-80</t>
        </is>
      </c>
      <c r="D165" s="2" t="n">
        <v>14400</v>
      </c>
      <c r="E165" s="2" t="n">
        <v>9910</v>
      </c>
      <c r="F165" s="2" t="n"/>
      <c r="G165" s="2" t="n"/>
      <c r="H165" s="2" t="n"/>
      <c r="I165" s="2" t="inlineStr">
        <is>
          <t>BTC</t>
        </is>
      </c>
      <c r="J165" s="2" t="n">
        <v>537</v>
      </c>
      <c r="K165" s="2" t="n"/>
      <c r="L165" s="2" t="n">
        <v>566</v>
      </c>
      <c r="M165" s="2" t="n">
        <v>0.5</v>
      </c>
      <c r="N165" s="2" t="n">
        <v>4</v>
      </c>
      <c r="O165" s="2" t="n">
        <v>3.875</v>
      </c>
      <c r="P165" s="7" t="n"/>
    </row>
    <row r="166">
      <c r="A166" s="8" t="n">
        <v>5</v>
      </c>
      <c r="B166" s="1" t="n">
        <v>24.1</v>
      </c>
      <c r="C166" s="1" t="inlineStr">
        <is>
          <t>C-90</t>
        </is>
      </c>
      <c r="D166" s="1" t="n">
        <v>16200</v>
      </c>
      <c r="E166" s="1" t="n">
        <v>12170</v>
      </c>
      <c r="F166" s="1" t="n"/>
      <c r="G166" s="1" t="n"/>
      <c r="H166" s="1" t="n"/>
      <c r="I166" s="1" t="inlineStr">
        <is>
          <t>LTC</t>
        </is>
      </c>
      <c r="J166" s="1" t="n">
        <v>567</v>
      </c>
      <c r="K166" s="1" t="n"/>
      <c r="L166" s="1" t="n">
        <v>636</v>
      </c>
      <c r="M166" s="1" t="n">
        <v>0.5</v>
      </c>
      <c r="N166" s="1" t="n">
        <v>4</v>
      </c>
      <c r="O166" s="1" t="n">
        <v>3.875</v>
      </c>
      <c r="P166" s="9" t="n"/>
    </row>
    <row r="167">
      <c r="A167" s="8" t="n">
        <v>5</v>
      </c>
      <c r="B167" s="1" t="n">
        <v>24.1</v>
      </c>
      <c r="C167" s="1" t="inlineStr">
        <is>
          <t>C-90</t>
        </is>
      </c>
      <c r="D167" s="1" t="n">
        <v>16200</v>
      </c>
      <c r="E167" s="1" t="n">
        <v>11150</v>
      </c>
      <c r="F167" s="1" t="n"/>
      <c r="G167" s="1" t="n"/>
      <c r="H167" s="1" t="n"/>
      <c r="I167" s="1" t="inlineStr">
        <is>
          <t>BTC</t>
        </is>
      </c>
      <c r="J167" s="1" t="n">
        <v>537</v>
      </c>
      <c r="K167" s="1" t="n"/>
      <c r="L167" s="1" t="n">
        <v>636</v>
      </c>
      <c r="M167" s="1" t="n">
        <v>0.5</v>
      </c>
      <c r="N167" s="1" t="n">
        <v>4</v>
      </c>
      <c r="O167" s="1" t="n">
        <v>3.875</v>
      </c>
      <c r="P167" s="9" t="n"/>
    </row>
    <row r="168">
      <c r="A168" s="6" t="n">
        <v>5</v>
      </c>
      <c r="B168" s="2" t="n">
        <v>24.1</v>
      </c>
      <c r="C168" s="2" t="inlineStr">
        <is>
          <t>T-95</t>
        </is>
      </c>
      <c r="D168" s="2" t="n">
        <v>17100</v>
      </c>
      <c r="E168" s="2" t="n">
        <v>12840</v>
      </c>
      <c r="F168" s="2" t="n"/>
      <c r="G168" s="2" t="n"/>
      <c r="H168" s="2" t="n"/>
      <c r="I168" s="2" t="inlineStr">
        <is>
          <t>LTC</t>
        </is>
      </c>
      <c r="J168" s="2" t="n">
        <v>595</v>
      </c>
      <c r="K168" s="2" t="n"/>
      <c r="L168" s="2" t="n">
        <v>672</v>
      </c>
      <c r="M168" s="2" t="n">
        <v>0.5</v>
      </c>
      <c r="N168" s="2" t="n">
        <v>4</v>
      </c>
      <c r="O168" s="2" t="n">
        <v>3.875</v>
      </c>
      <c r="P168" s="7" t="n"/>
    </row>
    <row r="169">
      <c r="A169" s="6" t="n">
        <v>5</v>
      </c>
      <c r="B169" s="2" t="n">
        <v>24.1</v>
      </c>
      <c r="C169" s="2" t="inlineStr">
        <is>
          <t>T-95</t>
        </is>
      </c>
      <c r="D169" s="2" t="n">
        <v>17100</v>
      </c>
      <c r="E169" s="2" t="n">
        <v>11770</v>
      </c>
      <c r="F169" s="2" t="n"/>
      <c r="G169" s="2" t="n"/>
      <c r="H169" s="2" t="n"/>
      <c r="I169" s="2" t="inlineStr">
        <is>
          <t>BTC</t>
        </is>
      </c>
      <c r="J169" s="2" t="n">
        <v>563</v>
      </c>
      <c r="K169" s="2" t="n"/>
      <c r="L169" s="2" t="n">
        <v>672</v>
      </c>
      <c r="M169" s="2" t="n">
        <v>0.5</v>
      </c>
      <c r="N169" s="2" t="n">
        <v>4</v>
      </c>
      <c r="O169" s="2" t="n">
        <v>3.875</v>
      </c>
      <c r="P169" s="7" t="n"/>
    </row>
    <row r="170">
      <c r="A170" s="8" t="n">
        <v>5</v>
      </c>
      <c r="B170" s="1" t="n">
        <v>24.1</v>
      </c>
      <c r="C170" s="1" t="inlineStr">
        <is>
          <t>C-95</t>
        </is>
      </c>
      <c r="D170" s="1" t="n">
        <v>17100</v>
      </c>
      <c r="E170" s="1" t="n">
        <v>12840</v>
      </c>
      <c r="F170" s="1" t="n"/>
      <c r="G170" s="1" t="n"/>
      <c r="H170" s="1" t="n"/>
      <c r="I170" s="1" t="inlineStr">
        <is>
          <t>LTC</t>
        </is>
      </c>
      <c r="J170" s="1" t="n">
        <v>595</v>
      </c>
      <c r="K170" s="1" t="n"/>
      <c r="L170" s="1" t="n">
        <v>672</v>
      </c>
      <c r="M170" s="1" t="n">
        <v>0.5</v>
      </c>
      <c r="N170" s="1" t="n">
        <v>4</v>
      </c>
      <c r="O170" s="1" t="n">
        <v>3.875</v>
      </c>
      <c r="P170" s="9" t="n"/>
    </row>
    <row r="171">
      <c r="A171" s="8" t="n">
        <v>5</v>
      </c>
      <c r="B171" s="1" t="n">
        <v>24.1</v>
      </c>
      <c r="C171" s="1" t="inlineStr">
        <is>
          <t>C-95</t>
        </is>
      </c>
      <c r="D171" s="1" t="n">
        <v>17100</v>
      </c>
      <c r="E171" s="1" t="n">
        <v>11770</v>
      </c>
      <c r="F171" s="1" t="n"/>
      <c r="G171" s="1" t="n"/>
      <c r="H171" s="1" t="n"/>
      <c r="I171" s="1" t="inlineStr">
        <is>
          <t>BTC</t>
        </is>
      </c>
      <c r="J171" s="1" t="n">
        <v>563</v>
      </c>
      <c r="K171" s="1" t="n"/>
      <c r="L171" s="1" t="n">
        <v>672</v>
      </c>
      <c r="M171" s="1" t="n">
        <v>0.5</v>
      </c>
      <c r="N171" s="1" t="n">
        <v>4</v>
      </c>
      <c r="O171" s="1" t="n">
        <v>3.875</v>
      </c>
      <c r="P171" s="9" t="n"/>
    </row>
    <row r="172">
      <c r="A172" s="6" t="n">
        <v>5</v>
      </c>
      <c r="B172" s="2" t="n">
        <v>24.1</v>
      </c>
      <c r="C172" s="2" t="inlineStr">
        <is>
          <t>P-110</t>
        </is>
      </c>
      <c r="D172" s="2" t="n">
        <v>19800</v>
      </c>
      <c r="E172" s="2" t="n">
        <v>14870</v>
      </c>
      <c r="F172" s="2" t="n"/>
      <c r="G172" s="2" t="n"/>
      <c r="H172" s="2" t="n"/>
      <c r="I172" s="2" t="inlineStr">
        <is>
          <t>LTC</t>
        </is>
      </c>
      <c r="J172" s="2" t="n">
        <v>708</v>
      </c>
      <c r="K172" s="2" t="n"/>
      <c r="L172" s="2" t="n">
        <v>778</v>
      </c>
      <c r="M172" s="2" t="n">
        <v>0.5</v>
      </c>
      <c r="N172" s="2" t="n">
        <v>4</v>
      </c>
      <c r="O172" s="2" t="n">
        <v>3.875</v>
      </c>
      <c r="P172" s="7" t="n"/>
    </row>
    <row r="173">
      <c r="A173" s="6" t="n">
        <v>5</v>
      </c>
      <c r="B173" s="2" t="n">
        <v>24.1</v>
      </c>
      <c r="C173" s="2" t="inlineStr">
        <is>
          <t>P-110</t>
        </is>
      </c>
      <c r="D173" s="2" t="n">
        <v>19800</v>
      </c>
      <c r="E173" s="2" t="n">
        <v>13620</v>
      </c>
      <c r="F173" s="2" t="n"/>
      <c r="G173" s="2" t="n"/>
      <c r="H173" s="2" t="n"/>
      <c r="I173" s="2" t="inlineStr">
        <is>
          <t>BTC</t>
        </is>
      </c>
      <c r="J173" s="2" t="n">
        <v>671</v>
      </c>
      <c r="K173" s="2" t="n"/>
      <c r="L173" s="2" t="n">
        <v>778</v>
      </c>
      <c r="M173" s="2" t="n">
        <v>0.5</v>
      </c>
      <c r="N173" s="2" t="n">
        <v>4</v>
      </c>
      <c r="O173" s="2" t="n">
        <v>3.875</v>
      </c>
      <c r="P173" s="7" t="n"/>
    </row>
    <row r="174">
      <c r="A174" s="8" t="n">
        <v>5</v>
      </c>
      <c r="B174" s="1" t="n">
        <v>24.1</v>
      </c>
      <c r="C174" s="1" t="inlineStr">
        <is>
          <t>Q-125</t>
        </is>
      </c>
      <c r="D174" s="1" t="n">
        <v>22500</v>
      </c>
      <c r="E174" s="1" t="n">
        <v>16900</v>
      </c>
      <c r="F174" s="1" t="n"/>
      <c r="G174" s="1" t="n"/>
      <c r="H174" s="1" t="n"/>
      <c r="I174" s="1" t="inlineStr">
        <is>
          <t>LTC</t>
        </is>
      </c>
      <c r="J174" s="1" t="n">
        <v>765</v>
      </c>
      <c r="K174" s="1" t="n"/>
      <c r="L174" s="1" t="n">
        <v>884</v>
      </c>
      <c r="M174" s="1" t="n">
        <v>0.5</v>
      </c>
      <c r="N174" s="1" t="n">
        <v>4</v>
      </c>
      <c r="O174" s="1" t="n">
        <v>3.875</v>
      </c>
      <c r="P174" s="9" t="n"/>
    </row>
    <row r="175">
      <c r="A175" s="8" t="n">
        <v>5</v>
      </c>
      <c r="B175" s="1" t="n">
        <v>24.1</v>
      </c>
      <c r="C175" s="1" t="inlineStr">
        <is>
          <t>Q-125</t>
        </is>
      </c>
      <c r="D175" s="1" t="n">
        <v>22500</v>
      </c>
      <c r="E175" s="1" t="n">
        <v>15480</v>
      </c>
      <c r="F175" s="1" t="n"/>
      <c r="G175" s="1" t="n"/>
      <c r="H175" s="1" t="n"/>
      <c r="I175" s="1" t="inlineStr">
        <is>
          <t>BTC</t>
        </is>
      </c>
      <c r="J175" s="1" t="n">
        <v>724</v>
      </c>
      <c r="K175" s="1" t="n"/>
      <c r="L175" s="1" t="n">
        <v>884</v>
      </c>
      <c r="M175" s="1" t="n">
        <v>0.5</v>
      </c>
      <c r="N175" s="1" t="n">
        <v>4</v>
      </c>
      <c r="O175" s="1" t="n">
        <v>3.875</v>
      </c>
      <c r="P175" s="9" t="n"/>
    </row>
    <row r="176" ht="15.75" customHeight="1" s="613" thickBot="1">
      <c r="A176" s="13" t="n">
        <v>5</v>
      </c>
      <c r="B176" s="14" t="n">
        <v>24.1</v>
      </c>
      <c r="C176" s="14" t="inlineStr">
        <is>
          <t>V-150</t>
        </is>
      </c>
      <c r="D176" s="14" t="n">
        <v>27000</v>
      </c>
      <c r="E176" s="14" t="n">
        <v>20280</v>
      </c>
      <c r="F176" s="14" t="n"/>
      <c r="G176" s="14" t="n"/>
      <c r="H176" s="14" t="n"/>
      <c r="I176" s="14" t="inlineStr">
        <is>
          <t>LTC</t>
        </is>
      </c>
      <c r="J176" s="14" t="n">
        <v>907</v>
      </c>
      <c r="K176" s="14" t="n"/>
      <c r="L176" s="14" t="n">
        <v>1060</v>
      </c>
      <c r="M176" s="14" t="n">
        <v>0.5</v>
      </c>
      <c r="N176" s="14" t="n">
        <v>4</v>
      </c>
      <c r="O176" s="14" t="n">
        <v>3.875</v>
      </c>
      <c r="P176" s="15" t="n"/>
    </row>
    <row r="177" ht="15.75" customHeight="1" s="613" thickBot="1">
      <c r="A177" s="13" t="n">
        <v>5</v>
      </c>
      <c r="B177" s="14" t="n">
        <v>24.1</v>
      </c>
      <c r="C177" s="14" t="inlineStr">
        <is>
          <t>V-150</t>
        </is>
      </c>
      <c r="D177" s="14" t="n">
        <v>27000</v>
      </c>
      <c r="E177" s="14" t="n">
        <v>18580</v>
      </c>
      <c r="F177" s="14" t="n"/>
      <c r="G177" s="14" t="n"/>
      <c r="H177" s="14" t="n"/>
      <c r="I177" s="14" t="inlineStr">
        <is>
          <t>BTC</t>
        </is>
      </c>
      <c r="J177" s="14" t="n">
        <v>858</v>
      </c>
      <c r="K177" s="14" t="n"/>
      <c r="L177" s="14" t="n">
        <v>1060</v>
      </c>
      <c r="M177" s="14" t="n">
        <v>0.5</v>
      </c>
      <c r="N177" s="14" t="n">
        <v>4</v>
      </c>
      <c r="O177" s="14" t="n">
        <v>3.875</v>
      </c>
      <c r="P177" s="15" t="n"/>
    </row>
    <row r="178" ht="15.75" customHeight="1" s="613" thickBot="1">
      <c r="A178" s="3" t="n">
        <v>5.5</v>
      </c>
      <c r="B178" s="4" t="n">
        <v>15.5</v>
      </c>
      <c r="C178" s="4" t="inlineStr">
        <is>
          <t>J-55</t>
        </is>
      </c>
      <c r="D178" s="4" t="n">
        <v>4040</v>
      </c>
      <c r="E178" s="4" t="n">
        <v>4810</v>
      </c>
      <c r="F178" s="4" t="n"/>
      <c r="G178" s="4" t="n"/>
      <c r="H178" s="4" t="n"/>
      <c r="I178" s="4" t="inlineStr">
        <is>
          <t>STC</t>
        </is>
      </c>
      <c r="J178" s="4" t="n">
        <v>202</v>
      </c>
      <c r="K178" s="4" t="n"/>
      <c r="L178" s="4" t="n">
        <v>248</v>
      </c>
      <c r="M178" s="4" t="n">
        <v>0.275</v>
      </c>
      <c r="N178" s="4" t="n">
        <v>4.95</v>
      </c>
      <c r="O178" s="4" t="n">
        <v>4.825</v>
      </c>
      <c r="P178" s="5" t="n"/>
    </row>
    <row r="179" ht="15.75" customHeight="1" s="613" thickBot="1">
      <c r="A179" s="3" t="n">
        <v>5.5</v>
      </c>
      <c r="B179" s="4" t="n">
        <v>15.5</v>
      </c>
      <c r="C179" s="4" t="inlineStr">
        <is>
          <t>J-55</t>
        </is>
      </c>
      <c r="D179" s="4" t="n">
        <v>4040</v>
      </c>
      <c r="E179" s="4" t="n">
        <v>4810</v>
      </c>
      <c r="F179" s="4" t="n"/>
      <c r="G179" s="4" t="n"/>
      <c r="H179" s="4" t="n"/>
      <c r="I179" s="4" t="inlineStr">
        <is>
          <t>LTC</t>
        </is>
      </c>
      <c r="J179" s="4" t="n">
        <v>217</v>
      </c>
      <c r="K179" s="4" t="n"/>
      <c r="L179" s="4" t="n">
        <v>248</v>
      </c>
      <c r="M179" s="4" t="n">
        <v>0.275</v>
      </c>
      <c r="N179" s="4" t="n">
        <v>4.95</v>
      </c>
      <c r="O179" s="4" t="n">
        <v>4.825</v>
      </c>
      <c r="P179" s="5" t="n"/>
    </row>
    <row r="180">
      <c r="A180" s="3" t="n">
        <v>5.5</v>
      </c>
      <c r="B180" s="4" t="n">
        <v>15.5</v>
      </c>
      <c r="C180" s="4" t="inlineStr">
        <is>
          <t>J-55</t>
        </is>
      </c>
      <c r="D180" s="4" t="n">
        <v>4040</v>
      </c>
      <c r="E180" s="4" t="n">
        <v>4810</v>
      </c>
      <c r="F180" s="4" t="n"/>
      <c r="G180" s="4" t="n"/>
      <c r="H180" s="4" t="n"/>
      <c r="I180" s="4" t="inlineStr">
        <is>
          <t>BTC</t>
        </is>
      </c>
      <c r="J180" s="4" t="n">
        <v>300</v>
      </c>
      <c r="K180" s="4" t="n"/>
      <c r="L180" s="4" t="n">
        <v>248</v>
      </c>
      <c r="M180" s="4" t="n">
        <v>0.275</v>
      </c>
      <c r="N180" s="4" t="n">
        <v>4.95</v>
      </c>
      <c r="O180" s="4" t="n">
        <v>4.825</v>
      </c>
      <c r="P180" s="5" t="n"/>
    </row>
    <row r="181">
      <c r="A181" s="6" t="n">
        <v>5.5</v>
      </c>
      <c r="B181" s="2" t="n">
        <v>15.5</v>
      </c>
      <c r="C181" s="2" t="inlineStr">
        <is>
          <t>K-55</t>
        </is>
      </c>
      <c r="D181" s="2" t="n">
        <v>4040</v>
      </c>
      <c r="E181" s="2" t="n">
        <v>4810</v>
      </c>
      <c r="F181" s="2" t="n"/>
      <c r="G181" s="2" t="n"/>
      <c r="H181" s="2" t="n"/>
      <c r="I181" s="2" t="inlineStr">
        <is>
          <t>STC</t>
        </is>
      </c>
      <c r="J181" s="2" t="n">
        <v>222</v>
      </c>
      <c r="K181" s="2" t="n"/>
      <c r="L181" s="2" t="n">
        <v>248</v>
      </c>
      <c r="M181" s="2" t="n">
        <v>0.275</v>
      </c>
      <c r="N181" s="2" t="n">
        <v>4.95</v>
      </c>
      <c r="O181" s="2" t="n">
        <v>4.825</v>
      </c>
      <c r="P181" s="7" t="n"/>
    </row>
    <row r="182">
      <c r="A182" s="6" t="n">
        <v>5.5</v>
      </c>
      <c r="B182" s="2" t="n">
        <v>15.5</v>
      </c>
      <c r="C182" s="2" t="inlineStr">
        <is>
          <t>K-55</t>
        </is>
      </c>
      <c r="D182" s="2" t="n">
        <v>4040</v>
      </c>
      <c r="E182" s="2" t="n">
        <v>4810</v>
      </c>
      <c r="F182" s="2" t="n"/>
      <c r="G182" s="2" t="n"/>
      <c r="H182" s="2" t="n"/>
      <c r="I182" s="2" t="inlineStr">
        <is>
          <t>LTC</t>
        </is>
      </c>
      <c r="J182" s="2" t="n">
        <v>239</v>
      </c>
      <c r="K182" s="2" t="n"/>
      <c r="L182" s="2" t="n">
        <v>248</v>
      </c>
      <c r="M182" s="2" t="n">
        <v>0.275</v>
      </c>
      <c r="N182" s="2" t="n">
        <v>4.95</v>
      </c>
      <c r="O182" s="2" t="n">
        <v>4.825</v>
      </c>
      <c r="P182" s="7" t="n"/>
    </row>
    <row r="183">
      <c r="A183" s="6" t="n">
        <v>5.5</v>
      </c>
      <c r="B183" s="2" t="n">
        <v>15.5</v>
      </c>
      <c r="C183" s="2" t="inlineStr">
        <is>
          <t>K-55</t>
        </is>
      </c>
      <c r="D183" s="2" t="n">
        <v>4040</v>
      </c>
      <c r="E183" s="2" t="n">
        <v>4810</v>
      </c>
      <c r="F183" s="2" t="n"/>
      <c r="G183" s="2" t="n"/>
      <c r="H183" s="2" t="n"/>
      <c r="I183" s="2" t="inlineStr">
        <is>
          <t>BTC</t>
        </is>
      </c>
      <c r="J183" s="2" t="n">
        <v>366</v>
      </c>
      <c r="K183" s="2" t="n"/>
      <c r="L183" s="2" t="n">
        <v>248</v>
      </c>
      <c r="M183" s="2" t="n">
        <v>0.275</v>
      </c>
      <c r="N183" s="2" t="n">
        <v>4.95</v>
      </c>
      <c r="O183" s="2" t="n">
        <v>4.825</v>
      </c>
      <c r="P183" s="7" t="n"/>
    </row>
    <row r="184">
      <c r="A184" s="8" t="n">
        <v>5.5</v>
      </c>
      <c r="B184" s="1" t="n">
        <v>17</v>
      </c>
      <c r="C184" s="1" t="inlineStr">
        <is>
          <t>J-55</t>
        </is>
      </c>
      <c r="D184" s="1" t="n">
        <v>4910</v>
      </c>
      <c r="E184" s="1" t="n">
        <v>5320</v>
      </c>
      <c r="F184" s="1" t="n"/>
      <c r="G184" s="1" t="n"/>
      <c r="H184" s="1" t="n"/>
      <c r="I184" s="1" t="inlineStr">
        <is>
          <t>STC</t>
        </is>
      </c>
      <c r="J184" s="1" t="n">
        <v>229</v>
      </c>
      <c r="K184" s="1" t="n"/>
      <c r="L184" s="1" t="n">
        <v>273</v>
      </c>
      <c r="M184" s="1" t="n">
        <v>0.304</v>
      </c>
      <c r="N184" s="1" t="n">
        <v>4.892</v>
      </c>
      <c r="O184" s="1" t="n">
        <v>4.767</v>
      </c>
      <c r="P184" s="9" t="n"/>
    </row>
    <row r="185">
      <c r="A185" s="8" t="n">
        <v>5.5</v>
      </c>
      <c r="B185" s="1" t="n">
        <v>17</v>
      </c>
      <c r="C185" s="1" t="inlineStr">
        <is>
          <t>J-55</t>
        </is>
      </c>
      <c r="D185" s="1" t="n">
        <v>4910</v>
      </c>
      <c r="E185" s="1" t="n">
        <v>5320</v>
      </c>
      <c r="F185" s="1" t="n"/>
      <c r="G185" s="1" t="n"/>
      <c r="H185" s="1" t="n"/>
      <c r="I185" s="1" t="inlineStr">
        <is>
          <t>LTC</t>
        </is>
      </c>
      <c r="J185" s="1" t="n">
        <v>247</v>
      </c>
      <c r="K185" s="1" t="n"/>
      <c r="L185" s="1" t="n">
        <v>273</v>
      </c>
      <c r="M185" s="1" t="n">
        <v>0.304</v>
      </c>
      <c r="N185" s="1" t="n">
        <v>4.892</v>
      </c>
      <c r="O185" s="1" t="n">
        <v>4.767</v>
      </c>
      <c r="P185" s="9" t="n"/>
    </row>
    <row r="186">
      <c r="A186" s="8" t="n">
        <v>5.5</v>
      </c>
      <c r="B186" s="1" t="n">
        <v>17</v>
      </c>
      <c r="C186" s="1" t="inlineStr">
        <is>
          <t>J-55</t>
        </is>
      </c>
      <c r="D186" s="1" t="n">
        <v>4910</v>
      </c>
      <c r="E186" s="1" t="n">
        <v>5320</v>
      </c>
      <c r="F186" s="1" t="n"/>
      <c r="G186" s="1" t="n"/>
      <c r="H186" s="1" t="n"/>
      <c r="I186" s="1" t="inlineStr">
        <is>
          <t>BTC</t>
        </is>
      </c>
      <c r="J186" s="1" t="n">
        <v>329</v>
      </c>
      <c r="K186" s="1" t="n"/>
      <c r="L186" s="1" t="n">
        <v>273</v>
      </c>
      <c r="M186" s="1" t="n">
        <v>0.304</v>
      </c>
      <c r="N186" s="1" t="n">
        <v>4.892</v>
      </c>
      <c r="O186" s="1" t="n">
        <v>4.767</v>
      </c>
      <c r="P186" s="9" t="n"/>
    </row>
    <row r="187">
      <c r="A187" s="6" t="n">
        <v>5.5</v>
      </c>
      <c r="B187" s="2" t="n">
        <v>17</v>
      </c>
      <c r="C187" s="2" t="inlineStr">
        <is>
          <t>K-55</t>
        </is>
      </c>
      <c r="D187" s="2" t="n">
        <v>4910</v>
      </c>
      <c r="E187" s="2" t="n">
        <v>5320</v>
      </c>
      <c r="F187" s="2" t="n"/>
      <c r="G187" s="2" t="n"/>
      <c r="H187" s="2" t="n"/>
      <c r="I187" s="2" t="inlineStr">
        <is>
          <t>STC</t>
        </is>
      </c>
      <c r="J187" s="2" t="n">
        <v>252</v>
      </c>
      <c r="K187" s="2" t="n"/>
      <c r="L187" s="2" t="n">
        <v>273</v>
      </c>
      <c r="M187" s="2" t="n">
        <v>0.304</v>
      </c>
      <c r="N187" s="2" t="n">
        <v>4.892</v>
      </c>
      <c r="O187" s="2" t="n">
        <v>4.767</v>
      </c>
      <c r="P187" s="7" t="n"/>
    </row>
    <row r="188">
      <c r="A188" s="6" t="n">
        <v>5.5</v>
      </c>
      <c r="B188" s="2" t="n">
        <v>17</v>
      </c>
      <c r="C188" s="2" t="inlineStr">
        <is>
          <t>K-55</t>
        </is>
      </c>
      <c r="D188" s="2" t="n">
        <v>4910</v>
      </c>
      <c r="E188" s="2" t="n">
        <v>5320</v>
      </c>
      <c r="F188" s="2" t="n"/>
      <c r="G188" s="2" t="n"/>
      <c r="H188" s="2" t="n"/>
      <c r="I188" s="2" t="inlineStr">
        <is>
          <t>LTC</t>
        </is>
      </c>
      <c r="J188" s="2" t="n">
        <v>272</v>
      </c>
      <c r="K188" s="2" t="n"/>
      <c r="L188" s="2" t="n">
        <v>273</v>
      </c>
      <c r="M188" s="2" t="n">
        <v>0.304</v>
      </c>
      <c r="N188" s="2" t="n">
        <v>4.892</v>
      </c>
      <c r="O188" s="2" t="n">
        <v>4.767</v>
      </c>
      <c r="P188" s="7" t="n"/>
    </row>
    <row r="189">
      <c r="A189" s="6" t="n">
        <v>5.5</v>
      </c>
      <c r="B189" s="2" t="n">
        <v>17</v>
      </c>
      <c r="C189" s="2" t="inlineStr">
        <is>
          <t>K-55</t>
        </is>
      </c>
      <c r="D189" s="2" t="n">
        <v>4910</v>
      </c>
      <c r="E189" s="2" t="n">
        <v>5320</v>
      </c>
      <c r="F189" s="2" t="n"/>
      <c r="G189" s="2" t="n"/>
      <c r="H189" s="2" t="n"/>
      <c r="I189" s="2" t="inlineStr">
        <is>
          <t>BTC</t>
        </is>
      </c>
      <c r="J189" s="2" t="n">
        <v>402</v>
      </c>
      <c r="K189" s="2" t="n"/>
      <c r="L189" s="2" t="n">
        <v>273</v>
      </c>
      <c r="M189" s="2" t="n">
        <v>0.304</v>
      </c>
      <c r="N189" s="2" t="n">
        <v>4.892</v>
      </c>
      <c r="O189" s="2" t="n">
        <v>4.767</v>
      </c>
      <c r="P189" s="7" t="n"/>
    </row>
    <row r="190">
      <c r="A190" s="8" t="n">
        <v>5.5</v>
      </c>
      <c r="B190" s="1" t="n">
        <v>17</v>
      </c>
      <c r="C190" s="1" t="inlineStr">
        <is>
          <t>L-80</t>
        </is>
      </c>
      <c r="D190" s="1" t="n">
        <v>6390</v>
      </c>
      <c r="E190" s="1" t="n">
        <v>7740</v>
      </c>
      <c r="F190" s="1" t="n"/>
      <c r="G190" s="1" t="n"/>
      <c r="H190" s="1" t="n"/>
      <c r="I190" s="1" t="inlineStr">
        <is>
          <t>LTC</t>
        </is>
      </c>
      <c r="J190" s="1" t="n">
        <v>338</v>
      </c>
      <c r="K190" s="1" t="n"/>
      <c r="L190" s="1" t="n">
        <v>397</v>
      </c>
      <c r="M190" s="1" t="n">
        <v>0.304</v>
      </c>
      <c r="N190" s="1" t="n">
        <v>4.892</v>
      </c>
      <c r="O190" s="1" t="n">
        <v>4.767</v>
      </c>
      <c r="P190" s="9" t="n"/>
    </row>
    <row r="191">
      <c r="A191" s="8" t="n">
        <v>5.5</v>
      </c>
      <c r="B191" s="1" t="n">
        <v>17</v>
      </c>
      <c r="C191" s="1" t="inlineStr">
        <is>
          <t>L-80</t>
        </is>
      </c>
      <c r="D191" s="1" t="n">
        <v>6390</v>
      </c>
      <c r="E191" s="1" t="n">
        <v>7740</v>
      </c>
      <c r="F191" s="1" t="n"/>
      <c r="G191" s="1" t="n"/>
      <c r="H191" s="1" t="n"/>
      <c r="I191" s="1" t="inlineStr">
        <is>
          <t>BTC</t>
        </is>
      </c>
      <c r="J191" s="1" t="n">
        <v>428</v>
      </c>
      <c r="K191" s="1" t="n"/>
      <c r="L191" s="1" t="n">
        <v>397</v>
      </c>
      <c r="M191" s="1" t="n">
        <v>0.304</v>
      </c>
      <c r="N191" s="1" t="n">
        <v>4.892</v>
      </c>
      <c r="O191" s="1" t="n">
        <v>4.767</v>
      </c>
      <c r="P191" s="9" t="n"/>
    </row>
    <row r="192">
      <c r="A192" s="6" t="n">
        <v>5.5</v>
      </c>
      <c r="B192" s="2" t="n">
        <v>17</v>
      </c>
      <c r="C192" s="2" t="inlineStr">
        <is>
          <t>HCL-80</t>
        </is>
      </c>
      <c r="D192" s="2" t="n">
        <v>8580</v>
      </c>
      <c r="E192" s="2" t="n">
        <v>7740</v>
      </c>
      <c r="F192" s="2" t="n"/>
      <c r="G192" s="2" t="n"/>
      <c r="H192" s="2" t="n"/>
      <c r="I192" s="2" t="inlineStr">
        <is>
          <t>LTC</t>
        </is>
      </c>
      <c r="J192" s="2" t="n">
        <v>356</v>
      </c>
      <c r="K192" s="2" t="n"/>
      <c r="L192" s="2" t="n">
        <v>397</v>
      </c>
      <c r="M192" s="2" t="n">
        <v>0.304</v>
      </c>
      <c r="N192" s="2" t="n">
        <v>4.892</v>
      </c>
      <c r="O192" s="2" t="n">
        <v>4.767</v>
      </c>
      <c r="P192" s="7" t="n"/>
    </row>
    <row r="193">
      <c r="A193" s="6" t="n">
        <v>5.5</v>
      </c>
      <c r="B193" s="2" t="n">
        <v>17</v>
      </c>
      <c r="C193" s="2" t="inlineStr">
        <is>
          <t>HCL-80</t>
        </is>
      </c>
      <c r="D193" s="2" t="n">
        <v>8580</v>
      </c>
      <c r="E193" s="2" t="n">
        <v>7740</v>
      </c>
      <c r="F193" s="2" t="n"/>
      <c r="G193" s="2" t="n"/>
      <c r="H193" s="2" t="n"/>
      <c r="I193" s="2" t="inlineStr">
        <is>
          <t>BTC</t>
        </is>
      </c>
      <c r="J193" s="2" t="n">
        <v>462</v>
      </c>
      <c r="K193" s="2" t="n"/>
      <c r="L193" s="2" t="n">
        <v>397</v>
      </c>
      <c r="M193" s="2" t="n">
        <v>0.304</v>
      </c>
      <c r="N193" s="2" t="n">
        <v>4.892</v>
      </c>
      <c r="O193" s="2" t="n">
        <v>4.767</v>
      </c>
      <c r="P193" s="7" t="n"/>
    </row>
    <row r="194">
      <c r="A194" s="8" t="n">
        <v>5.5</v>
      </c>
      <c r="B194" s="1" t="n">
        <v>17</v>
      </c>
      <c r="C194" s="1" t="inlineStr">
        <is>
          <t>N-80</t>
        </is>
      </c>
      <c r="D194" s="1" t="n">
        <v>6390</v>
      </c>
      <c r="E194" s="1" t="n">
        <v>7740</v>
      </c>
      <c r="F194" s="1" t="n"/>
      <c r="G194" s="1" t="n"/>
      <c r="H194" s="1" t="n"/>
      <c r="I194" s="1" t="inlineStr">
        <is>
          <t>LTC</t>
        </is>
      </c>
      <c r="J194" s="1" t="n">
        <v>348</v>
      </c>
      <c r="K194" s="1" t="n"/>
      <c r="L194" s="1" t="n">
        <v>397</v>
      </c>
      <c r="M194" s="1" t="n">
        <v>0.304</v>
      </c>
      <c r="N194" s="1" t="n">
        <v>4.892</v>
      </c>
      <c r="O194" s="1" t="n">
        <v>4.767</v>
      </c>
      <c r="P194" s="9" t="n"/>
    </row>
    <row r="195">
      <c r="A195" s="8" t="n">
        <v>5.5</v>
      </c>
      <c r="B195" s="1" t="n">
        <v>17</v>
      </c>
      <c r="C195" s="1" t="inlineStr">
        <is>
          <t>N-80</t>
        </is>
      </c>
      <c r="D195" s="1" t="n">
        <v>6390</v>
      </c>
      <c r="E195" s="1" t="n">
        <v>7740</v>
      </c>
      <c r="F195" s="1" t="n"/>
      <c r="G195" s="1" t="n"/>
      <c r="H195" s="1" t="n"/>
      <c r="I195" s="1" t="inlineStr">
        <is>
          <t>BTC</t>
        </is>
      </c>
      <c r="J195" s="1" t="n">
        <v>446</v>
      </c>
      <c r="K195" s="1" t="n"/>
      <c r="L195" s="1" t="n">
        <v>397</v>
      </c>
      <c r="M195" s="1" t="n">
        <v>0.304</v>
      </c>
      <c r="N195" s="1" t="n">
        <v>4.892</v>
      </c>
      <c r="O195" s="1" t="n">
        <v>4.767</v>
      </c>
      <c r="P195" s="9" t="n"/>
    </row>
    <row r="196">
      <c r="A196" s="6" t="n">
        <v>5.5</v>
      </c>
      <c r="B196" s="2" t="n">
        <v>17</v>
      </c>
      <c r="C196" s="2" t="inlineStr">
        <is>
          <t>HCN-80</t>
        </is>
      </c>
      <c r="D196" s="2" t="n">
        <v>8580</v>
      </c>
      <c r="E196" s="2" t="n">
        <v>7740</v>
      </c>
      <c r="F196" s="2" t="n"/>
      <c r="G196" s="2" t="n"/>
      <c r="H196" s="2" t="n"/>
      <c r="I196" s="2" t="inlineStr">
        <is>
          <t>LTC</t>
        </is>
      </c>
      <c r="J196" s="2" t="n">
        <v>356</v>
      </c>
      <c r="K196" s="2" t="n"/>
      <c r="L196" s="2" t="n">
        <v>397</v>
      </c>
      <c r="M196" s="2" t="n">
        <v>0.304</v>
      </c>
      <c r="N196" s="2" t="n">
        <v>4.892</v>
      </c>
      <c r="O196" s="2" t="n">
        <v>4.767</v>
      </c>
      <c r="P196" s="7" t="n"/>
    </row>
    <row r="197">
      <c r="A197" s="6" t="n">
        <v>5.5</v>
      </c>
      <c r="B197" s="2" t="n">
        <v>17</v>
      </c>
      <c r="C197" s="2" t="inlineStr">
        <is>
          <t>HCN-80</t>
        </is>
      </c>
      <c r="D197" s="2" t="n">
        <v>8580</v>
      </c>
      <c r="E197" s="2" t="n">
        <v>7740</v>
      </c>
      <c r="F197" s="2" t="n"/>
      <c r="G197" s="2" t="n"/>
      <c r="H197" s="2" t="n"/>
      <c r="I197" s="2" t="inlineStr">
        <is>
          <t>BTC</t>
        </is>
      </c>
      <c r="J197" s="2" t="n">
        <v>462</v>
      </c>
      <c r="K197" s="2" t="n"/>
      <c r="L197" s="2" t="n">
        <v>397</v>
      </c>
      <c r="M197" s="2" t="n">
        <v>0.304</v>
      </c>
      <c r="N197" s="2" t="n">
        <v>4.892</v>
      </c>
      <c r="O197" s="2" t="n">
        <v>4.767</v>
      </c>
      <c r="P197" s="7" t="n"/>
    </row>
    <row r="198">
      <c r="A198" s="8" t="n">
        <v>5.5</v>
      </c>
      <c r="B198" s="1" t="n">
        <v>17</v>
      </c>
      <c r="C198" s="1" t="inlineStr">
        <is>
          <t>C-90</t>
        </is>
      </c>
      <c r="D198" s="1" t="n">
        <v>6740</v>
      </c>
      <c r="E198" s="1" t="n">
        <v>8710</v>
      </c>
      <c r="F198" s="1" t="n"/>
      <c r="G198" s="1" t="n"/>
      <c r="H198" s="1" t="n"/>
      <c r="I198" s="1" t="inlineStr">
        <is>
          <t>LTC</t>
        </is>
      </c>
      <c r="J198" s="1" t="n">
        <v>356</v>
      </c>
      <c r="K198" s="1" t="n"/>
      <c r="L198" s="1" t="n">
        <v>447</v>
      </c>
      <c r="M198" s="1" t="n">
        <v>0.304</v>
      </c>
      <c r="N198" s="1" t="n">
        <v>4.892</v>
      </c>
      <c r="O198" s="1" t="n">
        <v>4.767</v>
      </c>
      <c r="P198" s="9" t="n"/>
    </row>
    <row r="199">
      <c r="A199" s="8" t="n">
        <v>5.5</v>
      </c>
      <c r="B199" s="1" t="n">
        <v>17</v>
      </c>
      <c r="C199" s="1" t="inlineStr">
        <is>
          <t>C-90</t>
        </is>
      </c>
      <c r="D199" s="1" t="n">
        <v>6740</v>
      </c>
      <c r="E199" s="1" t="n">
        <v>8710</v>
      </c>
      <c r="F199" s="1" t="n"/>
      <c r="G199" s="1" t="n"/>
      <c r="H199" s="1" t="n"/>
      <c r="I199" s="1" t="inlineStr">
        <is>
          <t>BTC</t>
        </is>
      </c>
      <c r="J199" s="1" t="n">
        <v>456</v>
      </c>
      <c r="K199" s="1" t="n"/>
      <c r="L199" s="1" t="n">
        <v>447</v>
      </c>
      <c r="M199" s="1" t="n">
        <v>0.304</v>
      </c>
      <c r="N199" s="1" t="n">
        <v>4.892</v>
      </c>
      <c r="O199" s="1" t="n">
        <v>4.767</v>
      </c>
      <c r="P199" s="9" t="n"/>
    </row>
    <row r="200">
      <c r="A200" s="6" t="n">
        <v>5.5</v>
      </c>
      <c r="B200" s="2" t="n">
        <v>17</v>
      </c>
      <c r="C200" s="2" t="inlineStr">
        <is>
          <t>S-95</t>
        </is>
      </c>
      <c r="D200" s="2" t="n">
        <v>8580</v>
      </c>
      <c r="E200" s="2" t="n">
        <v>9190</v>
      </c>
      <c r="F200" s="2" t="n"/>
      <c r="G200" s="2" t="n"/>
      <c r="H200" s="2" t="n"/>
      <c r="I200" s="2" t="inlineStr">
        <is>
          <t>LTC</t>
        </is>
      </c>
      <c r="J200" s="2" t="n">
        <v>392</v>
      </c>
      <c r="K200" s="2" t="n"/>
      <c r="L200" s="2" t="n">
        <v>471</v>
      </c>
      <c r="M200" s="2" t="n">
        <v>0.304</v>
      </c>
      <c r="N200" s="2" t="n">
        <v>4.892</v>
      </c>
      <c r="O200" s="2" t="n">
        <v>4.767</v>
      </c>
      <c r="P200" s="7" t="n"/>
    </row>
    <row r="201">
      <c r="A201" s="6" t="n">
        <v>5.5</v>
      </c>
      <c r="B201" s="2" t="n">
        <v>17</v>
      </c>
      <c r="C201" s="2" t="inlineStr">
        <is>
          <t>S-95</t>
        </is>
      </c>
      <c r="D201" s="2" t="n">
        <v>8580</v>
      </c>
      <c r="E201" s="2" t="n">
        <v>9190</v>
      </c>
      <c r="F201" s="2" t="n"/>
      <c r="G201" s="2" t="n"/>
      <c r="H201" s="2" t="n"/>
      <c r="I201" s="2" t="inlineStr">
        <is>
          <t>BTC</t>
        </is>
      </c>
      <c r="J201" s="2" t="n">
        <v>498</v>
      </c>
      <c r="K201" s="2" t="n"/>
      <c r="L201" s="2" t="n">
        <v>471</v>
      </c>
      <c r="M201" s="2" t="n">
        <v>0.304</v>
      </c>
      <c r="N201" s="2" t="n">
        <v>4.892</v>
      </c>
      <c r="O201" s="2" t="n">
        <v>4.767</v>
      </c>
      <c r="P201" s="7" t="n"/>
    </row>
    <row r="202">
      <c r="A202" s="8" t="n">
        <v>5.5</v>
      </c>
      <c r="B202" s="1" t="n">
        <v>17</v>
      </c>
      <c r="C202" s="1" t="inlineStr">
        <is>
          <t>T-95</t>
        </is>
      </c>
      <c r="D202" s="1" t="n">
        <v>6940</v>
      </c>
      <c r="E202" s="1" t="n">
        <v>9190</v>
      </c>
      <c r="F202" s="1" t="n"/>
      <c r="G202" s="1" t="n"/>
      <c r="H202" s="1" t="n"/>
      <c r="I202" s="1" t="inlineStr">
        <is>
          <t>LTC</t>
        </is>
      </c>
      <c r="J202" s="1" t="n">
        <v>374</v>
      </c>
      <c r="K202" s="1" t="n"/>
      <c r="L202" s="1" t="n">
        <v>471</v>
      </c>
      <c r="M202" s="1" t="n">
        <v>0.304</v>
      </c>
      <c r="N202" s="1" t="n">
        <v>4.892</v>
      </c>
      <c r="O202" s="1" t="n">
        <v>4.767</v>
      </c>
      <c r="P202" s="9" t="n"/>
    </row>
    <row r="203">
      <c r="A203" s="8" t="n">
        <v>5.5</v>
      </c>
      <c r="B203" s="1" t="n">
        <v>17</v>
      </c>
      <c r="C203" s="1" t="inlineStr">
        <is>
          <t>T-95</t>
        </is>
      </c>
      <c r="D203" s="1" t="n">
        <v>6940</v>
      </c>
      <c r="E203" s="1" t="n">
        <v>9190</v>
      </c>
      <c r="F203" s="1" t="n"/>
      <c r="G203" s="1" t="n"/>
      <c r="H203" s="1" t="n"/>
      <c r="I203" s="1" t="inlineStr">
        <is>
          <t>BTC</t>
        </is>
      </c>
      <c r="J203" s="1" t="n">
        <v>480</v>
      </c>
      <c r="K203" s="1" t="n"/>
      <c r="L203" s="1" t="n">
        <v>471</v>
      </c>
      <c r="M203" s="1" t="n">
        <v>0.304</v>
      </c>
      <c r="N203" s="1" t="n">
        <v>4.892</v>
      </c>
      <c r="O203" s="1" t="n">
        <v>4.767</v>
      </c>
      <c r="P203" s="9" t="n"/>
    </row>
    <row r="204">
      <c r="A204" s="6" t="n">
        <v>5.5</v>
      </c>
      <c r="B204" s="2" t="n">
        <v>17</v>
      </c>
      <c r="C204" s="2" t="inlineStr">
        <is>
          <t>C-95</t>
        </is>
      </c>
      <c r="D204" s="2" t="n">
        <v>6940</v>
      </c>
      <c r="E204" s="2" t="n">
        <v>9190</v>
      </c>
      <c r="F204" s="2" t="n"/>
      <c r="G204" s="2" t="n"/>
      <c r="H204" s="2" t="n"/>
      <c r="I204" s="2" t="inlineStr">
        <is>
          <t>LTC</t>
        </is>
      </c>
      <c r="J204" s="2" t="n">
        <v>374</v>
      </c>
      <c r="K204" s="2" t="n"/>
      <c r="L204" s="2" t="n">
        <v>471</v>
      </c>
      <c r="M204" s="2" t="n">
        <v>0.304</v>
      </c>
      <c r="N204" s="2" t="n">
        <v>4.892</v>
      </c>
      <c r="O204" s="2" t="n">
        <v>4.767</v>
      </c>
      <c r="P204" s="7" t="n"/>
    </row>
    <row r="205">
      <c r="A205" s="6" t="n">
        <v>5.5</v>
      </c>
      <c r="B205" s="2" t="n">
        <v>17</v>
      </c>
      <c r="C205" s="2" t="inlineStr">
        <is>
          <t>C-95</t>
        </is>
      </c>
      <c r="D205" s="2" t="n">
        <v>6940</v>
      </c>
      <c r="E205" s="2" t="n">
        <v>9190</v>
      </c>
      <c r="F205" s="2" t="n"/>
      <c r="G205" s="2" t="n"/>
      <c r="H205" s="2" t="n"/>
      <c r="I205" s="2" t="inlineStr">
        <is>
          <t>BTC</t>
        </is>
      </c>
      <c r="J205" s="2" t="n">
        <v>480</v>
      </c>
      <c r="K205" s="2" t="n"/>
      <c r="L205" s="2" t="n">
        <v>471</v>
      </c>
      <c r="M205" s="2" t="n">
        <v>0.304</v>
      </c>
      <c r="N205" s="2" t="n">
        <v>4.892</v>
      </c>
      <c r="O205" s="2" t="n">
        <v>4.767</v>
      </c>
      <c r="P205" s="7" t="n"/>
    </row>
    <row r="206">
      <c r="A206" s="8" t="n">
        <v>5.5</v>
      </c>
      <c r="B206" s="1" t="n">
        <v>17</v>
      </c>
      <c r="C206" s="1" t="inlineStr">
        <is>
          <t>HCP-110</t>
        </is>
      </c>
      <c r="D206" s="1" t="n">
        <v>8580</v>
      </c>
      <c r="E206" s="1" t="n">
        <v>10640</v>
      </c>
      <c r="F206" s="1" t="n"/>
      <c r="G206" s="1" t="n"/>
      <c r="H206" s="1" t="n"/>
      <c r="I206" s="1" t="inlineStr">
        <is>
          <t>LTC</t>
        </is>
      </c>
      <c r="J206" s="1" t="n">
        <v>445</v>
      </c>
      <c r="K206" s="1" t="n"/>
      <c r="L206" s="1" t="n">
        <v>546</v>
      </c>
      <c r="M206" s="1" t="n">
        <v>0.304</v>
      </c>
      <c r="N206" s="1" t="n">
        <v>4.892</v>
      </c>
      <c r="O206" s="1" t="n">
        <v>4.767</v>
      </c>
      <c r="P206" s="9" t="n"/>
    </row>
    <row r="207">
      <c r="A207" s="8" t="n">
        <v>5.5</v>
      </c>
      <c r="B207" s="1" t="n">
        <v>17</v>
      </c>
      <c r="C207" s="1" t="inlineStr">
        <is>
          <t>HCP-110</t>
        </is>
      </c>
      <c r="D207" s="1" t="n">
        <v>8580</v>
      </c>
      <c r="E207" s="1" t="n">
        <v>10640</v>
      </c>
      <c r="F207" s="1" t="n"/>
      <c r="G207" s="1" t="n"/>
      <c r="H207" s="1" t="n"/>
      <c r="I207" s="1" t="inlineStr">
        <is>
          <t>BTC</t>
        </is>
      </c>
      <c r="J207" s="1" t="n">
        <v>568</v>
      </c>
      <c r="K207" s="1" t="n"/>
      <c r="L207" s="1" t="n">
        <v>546</v>
      </c>
      <c r="M207" s="1" t="n">
        <v>0.304</v>
      </c>
      <c r="N207" s="1" t="n">
        <v>4.892</v>
      </c>
      <c r="O207" s="1" t="n">
        <v>4.767</v>
      </c>
      <c r="P207" s="9" t="n"/>
    </row>
    <row r="208">
      <c r="A208" s="6" t="n">
        <v>5.5</v>
      </c>
      <c r="B208" s="2" t="n">
        <v>17</v>
      </c>
      <c r="C208" s="2" t="inlineStr">
        <is>
          <t>P-110</t>
        </is>
      </c>
      <c r="D208" s="2" t="n">
        <v>7480</v>
      </c>
      <c r="E208" s="2" t="n">
        <v>10640</v>
      </c>
      <c r="F208" s="2" t="n"/>
      <c r="G208" s="2" t="n"/>
      <c r="H208" s="2" t="n"/>
      <c r="I208" s="2" t="inlineStr">
        <is>
          <t>LTC</t>
        </is>
      </c>
      <c r="J208" s="2" t="n">
        <v>445</v>
      </c>
      <c r="K208" s="2" t="n"/>
      <c r="L208" s="2" t="n">
        <v>546</v>
      </c>
      <c r="M208" s="2" t="n">
        <v>0.304</v>
      </c>
      <c r="N208" s="2" t="n">
        <v>4.892</v>
      </c>
      <c r="O208" s="2" t="n">
        <v>4.767</v>
      </c>
      <c r="P208" s="7" t="n"/>
    </row>
    <row r="209">
      <c r="A209" s="6" t="n">
        <v>5.5</v>
      </c>
      <c r="B209" s="2" t="n">
        <v>17</v>
      </c>
      <c r="C209" s="2" t="inlineStr">
        <is>
          <t>P-110</t>
        </is>
      </c>
      <c r="D209" s="2" t="n">
        <v>7480</v>
      </c>
      <c r="E209" s="2" t="n">
        <v>10640</v>
      </c>
      <c r="F209" s="2" t="n"/>
      <c r="G209" s="2" t="n"/>
      <c r="H209" s="2" t="n"/>
      <c r="I209" s="2" t="inlineStr">
        <is>
          <t>BTC</t>
        </is>
      </c>
      <c r="J209" s="2" t="n">
        <v>568</v>
      </c>
      <c r="K209" s="2" t="n"/>
      <c r="L209" s="2" t="n">
        <v>546</v>
      </c>
      <c r="M209" s="2" t="n">
        <v>0.304</v>
      </c>
      <c r="N209" s="2" t="n">
        <v>4.892</v>
      </c>
      <c r="O209" s="2" t="n">
        <v>4.767</v>
      </c>
      <c r="P209" s="7" t="n"/>
    </row>
    <row r="210">
      <c r="A210" s="8" t="n">
        <v>5.5</v>
      </c>
      <c r="B210" s="1" t="n">
        <v>17</v>
      </c>
      <c r="C210" s="1" t="inlineStr">
        <is>
          <t>HCQ-125</t>
        </is>
      </c>
      <c r="D210" s="1" t="n">
        <v>8580</v>
      </c>
      <c r="E210" s="1" t="n">
        <v>12090</v>
      </c>
      <c r="F210" s="1" t="n"/>
      <c r="G210" s="1" t="n"/>
      <c r="H210" s="1" t="n"/>
      <c r="I210" s="1" t="inlineStr">
        <is>
          <t>LTC</t>
        </is>
      </c>
      <c r="J210" s="1" t="n">
        <v>481</v>
      </c>
      <c r="K210" s="1" t="n"/>
      <c r="L210" s="1" t="n">
        <v>620</v>
      </c>
      <c r="M210" s="1" t="n">
        <v>0.304</v>
      </c>
      <c r="N210" s="1" t="n">
        <v>4.892</v>
      </c>
      <c r="O210" s="1" t="n">
        <v>4.767</v>
      </c>
      <c r="P210" s="9" t="n"/>
    </row>
    <row r="211">
      <c r="A211" s="8" t="n">
        <v>5.5</v>
      </c>
      <c r="B211" s="1" t="n">
        <v>17</v>
      </c>
      <c r="C211" s="1" t="inlineStr">
        <is>
          <t>HCQ-125</t>
        </is>
      </c>
      <c r="D211" s="1" t="n">
        <v>8580</v>
      </c>
      <c r="E211" s="1" t="n">
        <v>12090</v>
      </c>
      <c r="F211" s="1" t="n"/>
      <c r="G211" s="1" t="n"/>
      <c r="H211" s="1" t="n"/>
      <c r="I211" s="1" t="inlineStr">
        <is>
          <t>BTC</t>
        </is>
      </c>
      <c r="J211" s="1" t="n">
        <v>620</v>
      </c>
      <c r="K211" s="1" t="n"/>
      <c r="L211" s="1" t="n">
        <v>620</v>
      </c>
      <c r="M211" s="1" t="n">
        <v>0.304</v>
      </c>
      <c r="N211" s="1" t="n">
        <v>4.892</v>
      </c>
      <c r="O211" s="1" t="n">
        <v>4.767</v>
      </c>
      <c r="P211" s="9" t="n"/>
    </row>
    <row r="212">
      <c r="A212" s="6" t="n">
        <v>5.5</v>
      </c>
      <c r="B212" s="2" t="n">
        <v>17</v>
      </c>
      <c r="C212" s="2" t="inlineStr">
        <is>
          <t>Q-125</t>
        </is>
      </c>
      <c r="D212" s="2" t="n">
        <v>7890</v>
      </c>
      <c r="E212" s="2" t="n">
        <v>12090</v>
      </c>
      <c r="F212" s="2" t="n"/>
      <c r="G212" s="2" t="n"/>
      <c r="H212" s="2" t="n"/>
      <c r="I212" s="2" t="inlineStr">
        <is>
          <t>LTC</t>
        </is>
      </c>
      <c r="J212" s="2" t="n">
        <v>481</v>
      </c>
      <c r="K212" s="2" t="n"/>
      <c r="L212" s="2" t="n">
        <v>620</v>
      </c>
      <c r="M212" s="2" t="n">
        <v>0.304</v>
      </c>
      <c r="N212" s="2" t="n">
        <v>4.892</v>
      </c>
      <c r="O212" s="2" t="n">
        <v>4.767</v>
      </c>
      <c r="P212" s="7" t="n"/>
    </row>
    <row r="213">
      <c r="A213" s="6" t="n">
        <v>5.5</v>
      </c>
      <c r="B213" s="2" t="n">
        <v>17</v>
      </c>
      <c r="C213" s="2" t="inlineStr">
        <is>
          <t>Q-125</t>
        </is>
      </c>
      <c r="D213" s="2" t="n">
        <v>7890</v>
      </c>
      <c r="E213" s="2" t="n">
        <v>12090</v>
      </c>
      <c r="F213" s="2" t="n"/>
      <c r="G213" s="2" t="n"/>
      <c r="H213" s="2" t="n"/>
      <c r="I213" s="2" t="inlineStr">
        <is>
          <t>BTC</t>
        </is>
      </c>
      <c r="J213" s="2" t="n">
        <v>620</v>
      </c>
      <c r="K213" s="2" t="n"/>
      <c r="L213" s="2" t="n">
        <v>620</v>
      </c>
      <c r="M213" s="2" t="n">
        <v>0.304</v>
      </c>
      <c r="N213" s="2" t="n">
        <v>4.892</v>
      </c>
      <c r="O213" s="2" t="n">
        <v>4.767</v>
      </c>
      <c r="P213" s="7" t="n"/>
    </row>
    <row r="214">
      <c r="A214" s="8" t="n">
        <v>5.5</v>
      </c>
      <c r="B214" s="1" t="n">
        <v>20</v>
      </c>
      <c r="C214" s="1" t="inlineStr">
        <is>
          <t>L-80</t>
        </is>
      </c>
      <c r="D214" s="1" t="n">
        <v>8830</v>
      </c>
      <c r="E214" s="1" t="n">
        <v>9190</v>
      </c>
      <c r="F214" s="1" t="n"/>
      <c r="G214" s="1" t="n"/>
      <c r="H214" s="1" t="n"/>
      <c r="I214" s="1" t="inlineStr">
        <is>
          <t>LTC</t>
        </is>
      </c>
      <c r="J214" s="1" t="n">
        <v>416</v>
      </c>
      <c r="K214" s="1" t="n"/>
      <c r="L214" s="1" t="n">
        <v>466</v>
      </c>
      <c r="M214" s="1" t="n">
        <v>0.361</v>
      </c>
      <c r="N214" s="1" t="n">
        <v>4.778</v>
      </c>
      <c r="O214" s="1" t="n">
        <v>4.653</v>
      </c>
      <c r="P214" s="9" t="n"/>
    </row>
    <row r="215">
      <c r="A215" s="8" t="n">
        <v>5.5</v>
      </c>
      <c r="B215" s="1" t="n">
        <v>20</v>
      </c>
      <c r="C215" s="1" t="inlineStr">
        <is>
          <t>L-80</t>
        </is>
      </c>
      <c r="D215" s="1" t="n">
        <v>8830</v>
      </c>
      <c r="E215" s="1" t="n">
        <v>8990</v>
      </c>
      <c r="F215" s="1" t="n"/>
      <c r="G215" s="1" t="n"/>
      <c r="H215" s="1" t="n"/>
      <c r="I215" s="1" t="inlineStr">
        <is>
          <t>BTC</t>
        </is>
      </c>
      <c r="J215" s="1" t="n">
        <v>503</v>
      </c>
      <c r="K215" s="1" t="n"/>
      <c r="L215" s="1" t="n">
        <v>466</v>
      </c>
      <c r="M215" s="1" t="n">
        <v>0.361</v>
      </c>
      <c r="N215" s="1" t="n">
        <v>4.778</v>
      </c>
      <c r="O215" s="1" t="n">
        <v>4.653</v>
      </c>
      <c r="P215" s="9" t="n"/>
    </row>
    <row r="216">
      <c r="A216" s="6" t="n">
        <v>5.5</v>
      </c>
      <c r="B216" s="2" t="n">
        <v>20</v>
      </c>
      <c r="C216" s="2" t="inlineStr">
        <is>
          <t>HCL-80</t>
        </is>
      </c>
      <c r="D216" s="2" t="n">
        <v>10630</v>
      </c>
      <c r="E216" s="2" t="n">
        <v>9190</v>
      </c>
      <c r="F216" s="2" t="n"/>
      <c r="G216" s="2" t="n"/>
      <c r="H216" s="2" t="n"/>
      <c r="I216" s="2" t="inlineStr">
        <is>
          <t>LTC</t>
        </is>
      </c>
      <c r="J216" s="2" t="n">
        <v>438</v>
      </c>
      <c r="K216" s="2" t="n"/>
      <c r="L216" s="2" t="n">
        <v>466</v>
      </c>
      <c r="M216" s="2" t="n">
        <v>0.361</v>
      </c>
      <c r="N216" s="2" t="n">
        <v>4.778</v>
      </c>
      <c r="O216" s="2" t="n">
        <v>4.653</v>
      </c>
      <c r="P216" s="7" t="n"/>
    </row>
    <row r="217">
      <c r="A217" s="6" t="n">
        <v>5.5</v>
      </c>
      <c r="B217" s="2" t="n">
        <v>20</v>
      </c>
      <c r="C217" s="2" t="inlineStr">
        <is>
          <t>HCL-80</t>
        </is>
      </c>
      <c r="D217" s="2" t="n">
        <v>10630</v>
      </c>
      <c r="E217" s="2" t="n">
        <v>8990</v>
      </c>
      <c r="F217" s="2" t="n"/>
      <c r="G217" s="2" t="n"/>
      <c r="H217" s="2" t="n"/>
      <c r="I217" s="2" t="inlineStr">
        <is>
          <t>BTC</t>
        </is>
      </c>
      <c r="J217" s="2" t="n">
        <v>542</v>
      </c>
      <c r="K217" s="2" t="n"/>
      <c r="L217" s="2" t="n">
        <v>466</v>
      </c>
      <c r="M217" s="2" t="n">
        <v>0.361</v>
      </c>
      <c r="N217" s="2" t="n">
        <v>4.778</v>
      </c>
      <c r="O217" s="2" t="n">
        <v>4.653</v>
      </c>
      <c r="P217" s="7" t="n"/>
    </row>
    <row r="218">
      <c r="A218" s="8" t="n">
        <v>5.5</v>
      </c>
      <c r="B218" s="1" t="n">
        <v>20</v>
      </c>
      <c r="C218" s="1" t="inlineStr">
        <is>
          <t>N-80</t>
        </is>
      </c>
      <c r="D218" s="1" t="n">
        <v>8830</v>
      </c>
      <c r="E218" s="1" t="n">
        <v>9190</v>
      </c>
      <c r="F218" s="1" t="n"/>
      <c r="G218" s="1" t="n"/>
      <c r="H218" s="1" t="n"/>
      <c r="I218" s="1" t="inlineStr">
        <is>
          <t>LTC</t>
        </is>
      </c>
      <c r="J218" s="1" t="n">
        <v>428</v>
      </c>
      <c r="K218" s="1" t="n"/>
      <c r="L218" s="1" t="n">
        <v>466</v>
      </c>
      <c r="M218" s="1" t="n">
        <v>0.361</v>
      </c>
      <c r="N218" s="1" t="n">
        <v>4.778</v>
      </c>
      <c r="O218" s="1" t="n">
        <v>4.653</v>
      </c>
      <c r="P218" s="9" t="n"/>
    </row>
    <row r="219">
      <c r="A219" s="8" t="n">
        <v>5.5</v>
      </c>
      <c r="B219" s="1" t="n">
        <v>20</v>
      </c>
      <c r="C219" s="1" t="inlineStr">
        <is>
          <t>N-80</t>
        </is>
      </c>
      <c r="D219" s="1" t="n">
        <v>8830</v>
      </c>
      <c r="E219" s="1" t="n">
        <v>8990</v>
      </c>
      <c r="F219" s="1" t="n"/>
      <c r="G219" s="1" t="n"/>
      <c r="H219" s="1" t="n"/>
      <c r="I219" s="1" t="inlineStr">
        <is>
          <t>BTC</t>
        </is>
      </c>
      <c r="J219" s="1" t="n">
        <v>524</v>
      </c>
      <c r="K219" s="1" t="n"/>
      <c r="L219" s="1" t="n">
        <v>466</v>
      </c>
      <c r="M219" s="1" t="n">
        <v>0.361</v>
      </c>
      <c r="N219" s="1" t="n">
        <v>4.778</v>
      </c>
      <c r="O219" s="1" t="n">
        <v>4.653</v>
      </c>
      <c r="P219" s="9" t="n"/>
    </row>
    <row r="220">
      <c r="A220" s="6" t="n">
        <v>5.5</v>
      </c>
      <c r="B220" s="2" t="n">
        <v>20</v>
      </c>
      <c r="C220" s="2" t="inlineStr">
        <is>
          <t>HCN-80</t>
        </is>
      </c>
      <c r="D220" s="2" t="n">
        <v>10630</v>
      </c>
      <c r="E220" s="2" t="n">
        <v>9190</v>
      </c>
      <c r="F220" s="2" t="n"/>
      <c r="G220" s="2" t="n"/>
      <c r="H220" s="2" t="n"/>
      <c r="I220" s="2" t="inlineStr">
        <is>
          <t>LTC</t>
        </is>
      </c>
      <c r="J220" s="2" t="n">
        <v>438</v>
      </c>
      <c r="K220" s="2" t="n"/>
      <c r="L220" s="2" t="n">
        <v>466</v>
      </c>
      <c r="M220" s="2" t="n">
        <v>0.361</v>
      </c>
      <c r="N220" s="2" t="n">
        <v>4.778</v>
      </c>
      <c r="O220" s="2" t="n">
        <v>4.653</v>
      </c>
      <c r="P220" s="7" t="n"/>
    </row>
    <row r="221">
      <c r="A221" s="6" t="n">
        <v>5.5</v>
      </c>
      <c r="B221" s="2" t="n">
        <v>20</v>
      </c>
      <c r="C221" s="2" t="inlineStr">
        <is>
          <t>HCN-80</t>
        </is>
      </c>
      <c r="D221" s="2" t="n">
        <v>10630</v>
      </c>
      <c r="E221" s="2" t="n">
        <v>8990</v>
      </c>
      <c r="F221" s="2" t="n"/>
      <c r="G221" s="2" t="n"/>
      <c r="H221" s="2" t="n"/>
      <c r="I221" s="2" t="inlineStr">
        <is>
          <t>BTC</t>
        </is>
      </c>
      <c r="J221" s="2" t="n">
        <v>542</v>
      </c>
      <c r="K221" s="2" t="n"/>
      <c r="L221" s="2" t="n">
        <v>466</v>
      </c>
      <c r="M221" s="2" t="n">
        <v>0.361</v>
      </c>
      <c r="N221" s="2" t="n">
        <v>4.778</v>
      </c>
      <c r="O221" s="2" t="n">
        <v>4.653</v>
      </c>
      <c r="P221" s="7" t="n"/>
    </row>
    <row r="222">
      <c r="A222" s="8" t="n">
        <v>5.5</v>
      </c>
      <c r="B222" s="1" t="n">
        <v>20</v>
      </c>
      <c r="C222" s="1" t="inlineStr">
        <is>
          <t>C-90</t>
        </is>
      </c>
      <c r="D222" s="1" t="n">
        <v>9630</v>
      </c>
      <c r="E222" s="1" t="n">
        <v>10340</v>
      </c>
      <c r="F222" s="1" t="n"/>
      <c r="G222" s="1" t="n"/>
      <c r="H222" s="1" t="n"/>
      <c r="I222" s="1" t="inlineStr">
        <is>
          <t>LTC</t>
        </is>
      </c>
      <c r="J222" s="1" t="n">
        <v>438</v>
      </c>
      <c r="K222" s="1" t="n"/>
      <c r="L222" s="1" t="n">
        <v>525</v>
      </c>
      <c r="M222" s="1" t="n">
        <v>0.361</v>
      </c>
      <c r="N222" s="1" t="n">
        <v>4.778</v>
      </c>
      <c r="O222" s="1" t="n">
        <v>4.653</v>
      </c>
      <c r="P222" s="9" t="n"/>
    </row>
    <row r="223">
      <c r="A223" s="8" t="n">
        <v>5.5</v>
      </c>
      <c r="B223" s="1" t="n">
        <v>20</v>
      </c>
      <c r="C223" s="1" t="inlineStr">
        <is>
          <t>C-90</t>
        </is>
      </c>
      <c r="D223" s="1" t="n">
        <v>9630</v>
      </c>
      <c r="E223" s="1" t="n">
        <v>10120</v>
      </c>
      <c r="F223" s="1" t="n"/>
      <c r="G223" s="1" t="n"/>
      <c r="H223" s="1" t="n"/>
      <c r="I223" s="1" t="inlineStr">
        <is>
          <t>BTC</t>
        </is>
      </c>
      <c r="J223" s="1" t="n">
        <v>436</v>
      </c>
      <c r="K223" s="1" t="n"/>
      <c r="L223" s="1" t="n">
        <v>525</v>
      </c>
      <c r="M223" s="1" t="n">
        <v>0.361</v>
      </c>
      <c r="N223" s="1" t="n">
        <v>4.778</v>
      </c>
      <c r="O223" s="1" t="n">
        <v>4.653</v>
      </c>
      <c r="P223" s="9" t="n"/>
    </row>
    <row r="224">
      <c r="A224" s="6" t="n">
        <v>5.5</v>
      </c>
      <c r="B224" s="2" t="n">
        <v>20</v>
      </c>
      <c r="C224" s="2" t="inlineStr">
        <is>
          <t>S-95</t>
        </is>
      </c>
      <c r="D224" s="2" t="n">
        <v>10630</v>
      </c>
      <c r="E224" s="2" t="n">
        <v>10910</v>
      </c>
      <c r="F224" s="2" t="n"/>
      <c r="G224" s="2" t="n"/>
      <c r="H224" s="2" t="n"/>
      <c r="I224" s="2" t="inlineStr">
        <is>
          <t>LTC</t>
        </is>
      </c>
      <c r="J224" s="2" t="n">
        <v>482</v>
      </c>
      <c r="K224" s="2" t="n"/>
      <c r="L224" s="2" t="n">
        <v>554</v>
      </c>
      <c r="M224" s="2" t="n">
        <v>0.361</v>
      </c>
      <c r="N224" s="2" t="n">
        <v>4.778</v>
      </c>
      <c r="O224" s="2" t="n">
        <v>4.653</v>
      </c>
      <c r="P224" s="7" t="n"/>
    </row>
    <row r="225">
      <c r="A225" s="6" t="n">
        <v>5.5</v>
      </c>
      <c r="B225" s="2" t="n">
        <v>20</v>
      </c>
      <c r="C225" s="2" t="inlineStr">
        <is>
          <t>S-95</t>
        </is>
      </c>
      <c r="D225" s="2" t="n">
        <v>10630</v>
      </c>
      <c r="E225" s="2" t="n">
        <v>10680</v>
      </c>
      <c r="F225" s="2" t="n"/>
      <c r="G225" s="2" t="n"/>
      <c r="H225" s="2" t="n"/>
      <c r="I225" s="2" t="inlineStr">
        <is>
          <t>BTC</t>
        </is>
      </c>
      <c r="J225" s="2" t="n">
        <v>585</v>
      </c>
      <c r="K225" s="2" t="n"/>
      <c r="L225" s="2" t="n">
        <v>554</v>
      </c>
      <c r="M225" s="2" t="n">
        <v>0.361</v>
      </c>
      <c r="N225" s="2" t="n">
        <v>4.778</v>
      </c>
      <c r="O225" s="2" t="n">
        <v>4.653</v>
      </c>
      <c r="P225" s="7" t="n"/>
    </row>
    <row r="226">
      <c r="A226" s="8" t="n">
        <v>5.5</v>
      </c>
      <c r="B226" s="1" t="n">
        <v>20</v>
      </c>
      <c r="C226" s="1" t="inlineStr">
        <is>
          <t>T-95</t>
        </is>
      </c>
      <c r="D226" s="1" t="n">
        <v>10010</v>
      </c>
      <c r="E226" s="1" t="n">
        <v>10910</v>
      </c>
      <c r="F226" s="1" t="n"/>
      <c r="G226" s="1" t="n"/>
      <c r="H226" s="1" t="n"/>
      <c r="I226" s="1" t="inlineStr">
        <is>
          <t>LTC</t>
        </is>
      </c>
      <c r="J226" s="1" t="n">
        <v>460</v>
      </c>
      <c r="K226" s="1" t="n"/>
      <c r="L226" s="1" t="n">
        <v>554</v>
      </c>
      <c r="M226" s="1" t="n">
        <v>0.361</v>
      </c>
      <c r="N226" s="1" t="n">
        <v>4.778</v>
      </c>
      <c r="O226" s="1" t="n">
        <v>4.653</v>
      </c>
      <c r="P226" s="9" t="n"/>
    </row>
    <row r="227">
      <c r="A227" s="8" t="n">
        <v>5.5</v>
      </c>
      <c r="B227" s="1" t="n">
        <v>20</v>
      </c>
      <c r="C227" s="1" t="inlineStr">
        <is>
          <t>T-95</t>
        </is>
      </c>
      <c r="D227" s="1" t="n">
        <v>10010</v>
      </c>
      <c r="E227" s="1" t="n">
        <v>10680</v>
      </c>
      <c r="F227" s="1" t="n"/>
      <c r="G227" s="1" t="n"/>
      <c r="H227" s="1" t="n"/>
      <c r="I227" s="1" t="inlineStr">
        <is>
          <t>BTC</t>
        </is>
      </c>
      <c r="J227" s="1" t="n">
        <v>563</v>
      </c>
      <c r="K227" s="1" t="n"/>
      <c r="L227" s="1" t="n">
        <v>554</v>
      </c>
      <c r="M227" s="1" t="n">
        <v>0.361</v>
      </c>
      <c r="N227" s="1" t="n">
        <v>4.778</v>
      </c>
      <c r="O227" s="1" t="n">
        <v>4.653</v>
      </c>
      <c r="P227" s="9" t="n"/>
    </row>
    <row r="228">
      <c r="A228" s="6" t="n">
        <v>5.5</v>
      </c>
      <c r="B228" s="2" t="n">
        <v>20</v>
      </c>
      <c r="C228" s="2" t="inlineStr">
        <is>
          <t>C-95</t>
        </is>
      </c>
      <c r="D228" s="2" t="n">
        <v>10010</v>
      </c>
      <c r="E228" s="2" t="n">
        <v>10910</v>
      </c>
      <c r="F228" s="2" t="n"/>
      <c r="G228" s="2" t="n"/>
      <c r="H228" s="2" t="n"/>
      <c r="I228" s="2" t="inlineStr">
        <is>
          <t>LTC</t>
        </is>
      </c>
      <c r="J228" s="2" t="n">
        <v>460</v>
      </c>
      <c r="K228" s="2" t="n"/>
      <c r="L228" s="2" t="n">
        <v>554</v>
      </c>
      <c r="M228" s="2" t="n">
        <v>0.361</v>
      </c>
      <c r="N228" s="2" t="n">
        <v>4.778</v>
      </c>
      <c r="O228" s="2" t="n">
        <v>4.653</v>
      </c>
      <c r="P228" s="7" t="n"/>
    </row>
    <row r="229">
      <c r="A229" s="6" t="n">
        <v>5.5</v>
      </c>
      <c r="B229" s="2" t="n">
        <v>20</v>
      </c>
      <c r="C229" s="2" t="inlineStr">
        <is>
          <t>C-95</t>
        </is>
      </c>
      <c r="D229" s="2" t="n">
        <v>10010</v>
      </c>
      <c r="E229" s="2" t="n">
        <v>10680</v>
      </c>
      <c r="F229" s="2" t="n"/>
      <c r="G229" s="2" t="n"/>
      <c r="H229" s="2" t="n"/>
      <c r="I229" s="2" t="inlineStr">
        <is>
          <t>BTC</t>
        </is>
      </c>
      <c r="J229" s="2" t="n">
        <v>563</v>
      </c>
      <c r="K229" s="2" t="n"/>
      <c r="L229" s="2" t="n">
        <v>554</v>
      </c>
      <c r="M229" s="2" t="n">
        <v>0.361</v>
      </c>
      <c r="N229" s="2" t="n">
        <v>4.778</v>
      </c>
      <c r="O229" s="2" t="n">
        <v>4.653</v>
      </c>
      <c r="P229" s="7" t="n"/>
    </row>
    <row r="230">
      <c r="A230" s="8" t="n">
        <v>5.5</v>
      </c>
      <c r="B230" s="1" t="n">
        <v>20</v>
      </c>
      <c r="C230" s="1" t="inlineStr">
        <is>
          <t>P-110</t>
        </is>
      </c>
      <c r="D230" s="1" t="n">
        <v>11100</v>
      </c>
      <c r="E230" s="1" t="n">
        <v>12630</v>
      </c>
      <c r="F230" s="1" t="n"/>
      <c r="G230" s="1" t="n"/>
      <c r="H230" s="1" t="n"/>
      <c r="I230" s="1" t="inlineStr">
        <is>
          <t>LTC</t>
        </is>
      </c>
      <c r="J230" s="1" t="n">
        <v>548</v>
      </c>
      <c r="K230" s="1" t="n"/>
      <c r="L230" s="1" t="n">
        <v>641</v>
      </c>
      <c r="M230" s="1" t="n">
        <v>0.361</v>
      </c>
      <c r="N230" s="1" t="n">
        <v>4.778</v>
      </c>
      <c r="O230" s="1" t="n">
        <v>4.653</v>
      </c>
      <c r="P230" s="9" t="n"/>
    </row>
    <row r="231">
      <c r="A231" s="8" t="n">
        <v>5.5</v>
      </c>
      <c r="B231" s="1" t="n">
        <v>20</v>
      </c>
      <c r="C231" s="1" t="inlineStr">
        <is>
          <t>P-110</t>
        </is>
      </c>
      <c r="D231" s="1" t="n">
        <v>11100</v>
      </c>
      <c r="E231" s="1" t="n">
        <v>12360</v>
      </c>
      <c r="F231" s="1" t="n"/>
      <c r="G231" s="1" t="n"/>
      <c r="H231" s="1" t="n"/>
      <c r="I231" s="1" t="inlineStr">
        <is>
          <t>BTC</t>
        </is>
      </c>
      <c r="J231" s="1" t="n">
        <v>667</v>
      </c>
      <c r="K231" s="1" t="n"/>
      <c r="L231" s="1" t="n">
        <v>641</v>
      </c>
      <c r="M231" s="1" t="n">
        <v>0.361</v>
      </c>
      <c r="N231" s="1" t="n">
        <v>4.778</v>
      </c>
      <c r="O231" s="1" t="n">
        <v>4.653</v>
      </c>
      <c r="P231" s="9" t="n"/>
    </row>
    <row r="232">
      <c r="A232" s="6" t="n">
        <v>5.5</v>
      </c>
      <c r="B232" s="2" t="n">
        <v>20</v>
      </c>
      <c r="C232" s="2" t="inlineStr">
        <is>
          <t>Q-125</t>
        </is>
      </c>
      <c r="D232" s="2" t="n">
        <v>12080</v>
      </c>
      <c r="E232" s="2" t="n">
        <v>14360</v>
      </c>
      <c r="F232" s="2" t="n"/>
      <c r="G232" s="2" t="n"/>
      <c r="H232" s="2" t="n"/>
      <c r="I232" s="2" t="inlineStr">
        <is>
          <t>LTC</t>
        </is>
      </c>
      <c r="J232" s="2" t="n">
        <v>592</v>
      </c>
      <c r="K232" s="2" t="n"/>
      <c r="L232" s="2" t="n">
        <v>729</v>
      </c>
      <c r="M232" s="2" t="n">
        <v>0.361</v>
      </c>
      <c r="N232" s="2" t="n">
        <v>4.778</v>
      </c>
      <c r="O232" s="2" t="n">
        <v>4.653</v>
      </c>
      <c r="P232" s="7" t="n"/>
    </row>
    <row r="233">
      <c r="A233" s="6" t="n">
        <v>5.5</v>
      </c>
      <c r="B233" s="2" t="n">
        <v>20</v>
      </c>
      <c r="C233" s="2" t="inlineStr">
        <is>
          <t>Q-125</t>
        </is>
      </c>
      <c r="D233" s="2" t="n">
        <v>12080</v>
      </c>
      <c r="E233" s="2" t="n">
        <v>14050</v>
      </c>
      <c r="F233" s="2" t="n"/>
      <c r="G233" s="2" t="n"/>
      <c r="H233" s="2" t="n"/>
      <c r="I233" s="2" t="inlineStr">
        <is>
          <t>BTC</t>
        </is>
      </c>
      <c r="J233" s="2" t="n">
        <v>728</v>
      </c>
      <c r="K233" s="2" t="n"/>
      <c r="L233" s="2" t="n">
        <v>729</v>
      </c>
      <c r="M233" s="2" t="n">
        <v>0.361</v>
      </c>
      <c r="N233" s="2" t="n">
        <v>4.778</v>
      </c>
      <c r="O233" s="2" t="n">
        <v>4.653</v>
      </c>
      <c r="P233" s="7" t="n"/>
    </row>
    <row r="234">
      <c r="A234" s="8" t="n">
        <v>5.5</v>
      </c>
      <c r="B234" s="1" t="n">
        <v>20</v>
      </c>
      <c r="C234" s="1" t="inlineStr">
        <is>
          <t>V-150</t>
        </is>
      </c>
      <c r="D234" s="1" t="n">
        <v>13460</v>
      </c>
      <c r="E234" s="1" t="n">
        <v>17230</v>
      </c>
      <c r="F234" s="1" t="n"/>
      <c r="G234" s="1" t="n"/>
      <c r="H234" s="1" t="n"/>
      <c r="I234" s="1" t="inlineStr">
        <is>
          <t>LTC</t>
        </is>
      </c>
      <c r="J234" s="1" t="n">
        <v>701</v>
      </c>
      <c r="K234" s="1" t="n"/>
      <c r="L234" s="1" t="n">
        <v>874</v>
      </c>
      <c r="M234" s="1" t="n">
        <v>0.361</v>
      </c>
      <c r="N234" s="1" t="n">
        <v>4.778</v>
      </c>
      <c r="O234" s="1" t="n">
        <v>4.653</v>
      </c>
      <c r="P234" s="9" t="n"/>
    </row>
    <row r="235">
      <c r="A235" s="8" t="n">
        <v>5.5</v>
      </c>
      <c r="B235" s="1" t="n">
        <v>20</v>
      </c>
      <c r="C235" s="1" t="inlineStr">
        <is>
          <t>V-150</t>
        </is>
      </c>
      <c r="D235" s="1" t="n">
        <v>13460</v>
      </c>
      <c r="E235" s="1" t="n">
        <v>16860</v>
      </c>
      <c r="F235" s="1" t="n"/>
      <c r="G235" s="1" t="n"/>
      <c r="H235" s="1" t="n"/>
      <c r="I235" s="1" t="inlineStr">
        <is>
          <t>BTC</t>
        </is>
      </c>
      <c r="J235" s="1" t="n">
        <v>865</v>
      </c>
      <c r="K235" s="1" t="n"/>
      <c r="L235" s="1" t="n">
        <v>874</v>
      </c>
      <c r="M235" s="1" t="n">
        <v>0.361</v>
      </c>
      <c r="N235" s="1" t="n">
        <v>4.778</v>
      </c>
      <c r="O235" s="1" t="n">
        <v>4.653</v>
      </c>
      <c r="P235" s="9" t="n"/>
    </row>
    <row r="236">
      <c r="A236" s="6" t="n">
        <v>5.5</v>
      </c>
      <c r="B236" s="2" t="n">
        <v>23</v>
      </c>
      <c r="C236" s="2" t="inlineStr">
        <is>
          <t>L-80</t>
        </is>
      </c>
      <c r="D236" s="2" t="n">
        <v>11160</v>
      </c>
      <c r="E236" s="2" t="n">
        <v>9880</v>
      </c>
      <c r="F236" s="2" t="n"/>
      <c r="G236" s="2" t="n"/>
      <c r="H236" s="2" t="n"/>
      <c r="I236" s="2" t="inlineStr">
        <is>
          <t>LTC</t>
        </is>
      </c>
      <c r="J236" s="2" t="n">
        <v>489</v>
      </c>
      <c r="K236" s="2" t="n"/>
      <c r="L236" s="2" t="n">
        <v>530</v>
      </c>
      <c r="M236" s="2" t="n">
        <v>0.415</v>
      </c>
      <c r="N236" s="2" t="n">
        <v>4.67</v>
      </c>
      <c r="O236" s="2" t="n">
        <v>4.545</v>
      </c>
      <c r="P236" s="7" t="n"/>
    </row>
    <row r="237">
      <c r="A237" s="6" t="n">
        <v>5.5</v>
      </c>
      <c r="B237" s="2" t="n">
        <v>23</v>
      </c>
      <c r="C237" s="2" t="inlineStr">
        <is>
          <t>L-80</t>
        </is>
      </c>
      <c r="D237" s="2" t="n">
        <v>11160</v>
      </c>
      <c r="E237" s="2" t="n">
        <v>8990</v>
      </c>
      <c r="F237" s="2" t="n"/>
      <c r="G237" s="2" t="n"/>
      <c r="H237" s="2" t="n"/>
      <c r="I237" s="2" t="inlineStr">
        <is>
          <t>BTC</t>
        </is>
      </c>
      <c r="J237" s="2" t="n">
        <v>550</v>
      </c>
      <c r="K237" s="2" t="n"/>
      <c r="L237" s="2" t="n">
        <v>530</v>
      </c>
      <c r="M237" s="2" t="n">
        <v>0.415</v>
      </c>
      <c r="N237" s="2" t="n">
        <v>4.67</v>
      </c>
      <c r="O237" s="2" t="n">
        <v>4.545</v>
      </c>
      <c r="P237" s="7" t="n"/>
    </row>
    <row r="238">
      <c r="A238" s="8" t="n">
        <v>5.5</v>
      </c>
      <c r="B238" s="1" t="n">
        <v>23</v>
      </c>
      <c r="C238" s="1" t="inlineStr">
        <is>
          <t>HCL-80</t>
        </is>
      </c>
      <c r="D238" s="1" t="n">
        <v>12450</v>
      </c>
      <c r="E238" s="1" t="n">
        <v>9880</v>
      </c>
      <c r="F238" s="1" t="n"/>
      <c r="G238" s="1" t="n"/>
      <c r="H238" s="1" t="n"/>
      <c r="I238" s="1" t="inlineStr">
        <is>
          <t>LTC</t>
        </is>
      </c>
      <c r="J238" s="1" t="n">
        <v>514</v>
      </c>
      <c r="K238" s="1" t="n"/>
      <c r="L238" s="1" t="n">
        <v>530</v>
      </c>
      <c r="M238" s="1" t="n">
        <v>0.415</v>
      </c>
      <c r="N238" s="1" t="n">
        <v>4.67</v>
      </c>
      <c r="O238" s="1" t="n">
        <v>4.545</v>
      </c>
      <c r="P238" s="9" t="n"/>
    </row>
    <row r="239">
      <c r="A239" s="8" t="n">
        <v>5.5</v>
      </c>
      <c r="B239" s="1" t="n">
        <v>23</v>
      </c>
      <c r="C239" s="1" t="inlineStr">
        <is>
          <t>HCL-80</t>
        </is>
      </c>
      <c r="D239" s="1" t="n">
        <v>12450</v>
      </c>
      <c r="E239" s="1" t="n">
        <v>8990</v>
      </c>
      <c r="F239" s="1" t="n"/>
      <c r="G239" s="1" t="n"/>
      <c r="H239" s="1" t="n"/>
      <c r="I239" s="1" t="inlineStr">
        <is>
          <t>BTC</t>
        </is>
      </c>
      <c r="J239" s="1" t="n">
        <v>551</v>
      </c>
      <c r="K239" s="1" t="n"/>
      <c r="L239" s="1" t="n">
        <v>530</v>
      </c>
      <c r="M239" s="1" t="n">
        <v>0.415</v>
      </c>
      <c r="N239" s="1" t="n">
        <v>4.67</v>
      </c>
      <c r="O239" s="1" t="n">
        <v>4.545</v>
      </c>
      <c r="P239" s="9" t="n"/>
    </row>
    <row r="240">
      <c r="A240" s="6" t="n">
        <v>5.5</v>
      </c>
      <c r="B240" s="2" t="n">
        <v>23</v>
      </c>
      <c r="C240" s="2" t="inlineStr">
        <is>
          <t>N-80</t>
        </is>
      </c>
      <c r="D240" s="2" t="n">
        <v>11160</v>
      </c>
      <c r="E240" s="2" t="n">
        <v>9880</v>
      </c>
      <c r="F240" s="2" t="n"/>
      <c r="G240" s="2" t="n"/>
      <c r="H240" s="2" t="n"/>
      <c r="I240" s="2" t="inlineStr">
        <is>
          <t>LTC</t>
        </is>
      </c>
      <c r="J240" s="2" t="n">
        <v>502</v>
      </c>
      <c r="K240" s="2" t="n"/>
      <c r="L240" s="2" t="n">
        <v>530</v>
      </c>
      <c r="M240" s="2" t="n">
        <v>0.415</v>
      </c>
      <c r="N240" s="2" t="n">
        <v>4.67</v>
      </c>
      <c r="O240" s="2" t="n">
        <v>4.545</v>
      </c>
      <c r="P240" s="7" t="n"/>
    </row>
    <row r="241">
      <c r="A241" s="6" t="n">
        <v>5.5</v>
      </c>
      <c r="B241" s="2" t="n">
        <v>23</v>
      </c>
      <c r="C241" s="2" t="inlineStr">
        <is>
          <t>N-80</t>
        </is>
      </c>
      <c r="D241" s="2" t="n">
        <v>11160</v>
      </c>
      <c r="E241" s="2" t="n">
        <v>8990</v>
      </c>
      <c r="F241" s="2" t="n"/>
      <c r="G241" s="2" t="n"/>
      <c r="H241" s="2" t="n"/>
      <c r="I241" s="2" t="inlineStr">
        <is>
          <t>BTC</t>
        </is>
      </c>
      <c r="J241" s="2" t="n">
        <v>579</v>
      </c>
      <c r="K241" s="2" t="n"/>
      <c r="L241" s="2" t="n">
        <v>530</v>
      </c>
      <c r="M241" s="2" t="n">
        <v>0.415</v>
      </c>
      <c r="N241" s="2" t="n">
        <v>4.67</v>
      </c>
      <c r="O241" s="2" t="n">
        <v>4.545</v>
      </c>
      <c r="P241" s="7" t="n"/>
    </row>
    <row r="242">
      <c r="A242" s="8" t="n">
        <v>5.5</v>
      </c>
      <c r="B242" s="1" t="n">
        <v>23</v>
      </c>
      <c r="C242" s="1" t="inlineStr">
        <is>
          <t>HCN-80</t>
        </is>
      </c>
      <c r="D242" s="1" t="n">
        <v>12450</v>
      </c>
      <c r="E242" s="1" t="n">
        <v>9880</v>
      </c>
      <c r="F242" s="1" t="n"/>
      <c r="G242" s="1" t="n"/>
      <c r="H242" s="1" t="n"/>
      <c r="I242" s="1" t="inlineStr">
        <is>
          <t>LTC</t>
        </is>
      </c>
      <c r="J242" s="1" t="n">
        <v>514</v>
      </c>
      <c r="K242" s="1" t="n"/>
      <c r="L242" s="1" t="n">
        <v>530</v>
      </c>
      <c r="M242" s="1" t="n">
        <v>0.415</v>
      </c>
      <c r="N242" s="1" t="n">
        <v>4.67</v>
      </c>
      <c r="O242" s="1" t="n">
        <v>4.545</v>
      </c>
      <c r="P242" s="9" t="n"/>
    </row>
    <row r="243">
      <c r="A243" s="8" t="n">
        <v>5.5</v>
      </c>
      <c r="B243" s="1" t="n">
        <v>23</v>
      </c>
      <c r="C243" s="1" t="inlineStr">
        <is>
          <t>HCN-80</t>
        </is>
      </c>
      <c r="D243" s="1" t="n">
        <v>12450</v>
      </c>
      <c r="E243" s="1" t="n">
        <v>8990</v>
      </c>
      <c r="F243" s="1" t="n"/>
      <c r="G243" s="1" t="n"/>
      <c r="H243" s="1" t="n"/>
      <c r="I243" s="1" t="inlineStr">
        <is>
          <t>BTC</t>
        </is>
      </c>
      <c r="J243" s="1" t="n">
        <v>579</v>
      </c>
      <c r="K243" s="1" t="n"/>
      <c r="L243" s="1" t="n">
        <v>530</v>
      </c>
      <c r="M243" s="1" t="n">
        <v>0.415</v>
      </c>
      <c r="N243" s="1" t="n">
        <v>4.67</v>
      </c>
      <c r="O243" s="1" t="n">
        <v>4.545</v>
      </c>
      <c r="P243" s="9" t="n"/>
    </row>
    <row r="244">
      <c r="A244" s="6" t="n">
        <v>5.5</v>
      </c>
      <c r="B244" s="2" t="n">
        <v>23</v>
      </c>
      <c r="C244" s="2" t="inlineStr">
        <is>
          <t>C-90</t>
        </is>
      </c>
      <c r="D244" s="2" t="n">
        <v>12380</v>
      </c>
      <c r="E244" s="2" t="n">
        <v>11110</v>
      </c>
      <c r="F244" s="2" t="n"/>
      <c r="G244" s="2" t="n"/>
      <c r="H244" s="2" t="n"/>
      <c r="I244" s="2" t="inlineStr">
        <is>
          <t>LTC</t>
        </is>
      </c>
      <c r="J244" s="2" t="n">
        <v>514</v>
      </c>
      <c r="K244" s="2" t="n"/>
      <c r="L244" s="2" t="n">
        <v>597</v>
      </c>
      <c r="M244" s="2" t="n">
        <v>0.415</v>
      </c>
      <c r="N244" s="2" t="n">
        <v>4.67</v>
      </c>
      <c r="O244" s="2" t="n">
        <v>4.545</v>
      </c>
      <c r="P244" s="7" t="n"/>
    </row>
    <row r="245">
      <c r="A245" s="6" t="n">
        <v>5.5</v>
      </c>
      <c r="B245" s="2" t="n">
        <v>23</v>
      </c>
      <c r="C245" s="2" t="inlineStr">
        <is>
          <t>C-90</t>
        </is>
      </c>
      <c r="D245" s="2" t="n">
        <v>12380</v>
      </c>
      <c r="E245" s="2" t="n">
        <v>10120</v>
      </c>
      <c r="F245" s="2" t="n"/>
      <c r="G245" s="2" t="n"/>
      <c r="H245" s="2" t="n"/>
      <c r="I245" s="2" t="inlineStr">
        <is>
          <t>BTC</t>
        </is>
      </c>
      <c r="J245" s="2" t="n">
        <v>579</v>
      </c>
      <c r="K245" s="2" t="n"/>
      <c r="L245" s="2" t="n">
        <v>597</v>
      </c>
      <c r="M245" s="2" t="n">
        <v>0.415</v>
      </c>
      <c r="N245" s="2" t="n">
        <v>4.67</v>
      </c>
      <c r="O245" s="2" t="n">
        <v>4.545</v>
      </c>
      <c r="P245" s="7" t="n"/>
    </row>
    <row r="246">
      <c r="A246" s="8" t="n">
        <v>5.5</v>
      </c>
      <c r="B246" s="1" t="n">
        <v>23</v>
      </c>
      <c r="C246" s="1" t="inlineStr">
        <is>
          <t>S-95</t>
        </is>
      </c>
      <c r="D246" s="1" t="n">
        <v>12940</v>
      </c>
      <c r="E246" s="1" t="n">
        <v>11730</v>
      </c>
      <c r="F246" s="1" t="n"/>
      <c r="G246" s="1" t="n"/>
      <c r="H246" s="1" t="n"/>
      <c r="I246" s="1" t="inlineStr">
        <is>
          <t>LTC</t>
        </is>
      </c>
      <c r="J246" s="1" t="n">
        <v>566</v>
      </c>
      <c r="K246" s="1" t="n"/>
      <c r="L246" s="1" t="n">
        <v>630</v>
      </c>
      <c r="M246" s="1" t="n">
        <v>0.415</v>
      </c>
      <c r="N246" s="1" t="n">
        <v>4.67</v>
      </c>
      <c r="O246" s="1" t="n">
        <v>4.545</v>
      </c>
      <c r="P246" s="9" t="n"/>
    </row>
    <row r="247">
      <c r="A247" s="8" t="n">
        <v>5.5</v>
      </c>
      <c r="B247" s="1" t="n">
        <v>23</v>
      </c>
      <c r="C247" s="1" t="inlineStr">
        <is>
          <t>S-95</t>
        </is>
      </c>
      <c r="D247" s="1" t="n">
        <v>12940</v>
      </c>
      <c r="E247" s="1" t="n">
        <v>10680</v>
      </c>
      <c r="F247" s="1" t="n"/>
      <c r="G247" s="1" t="n"/>
      <c r="H247" s="1" t="n"/>
      <c r="I247" s="1" t="inlineStr">
        <is>
          <t>BTC</t>
        </is>
      </c>
      <c r="J247" s="1" t="n">
        <v>637</v>
      </c>
      <c r="K247" s="1" t="n"/>
      <c r="L247" s="1" t="n">
        <v>630</v>
      </c>
      <c r="M247" s="1" t="n">
        <v>0.415</v>
      </c>
      <c r="N247" s="1" t="n">
        <v>4.67</v>
      </c>
      <c r="O247" s="1" t="n">
        <v>4.545</v>
      </c>
      <c r="P247" s="9" t="n"/>
    </row>
    <row r="248">
      <c r="A248" s="6" t="n">
        <v>5.5</v>
      </c>
      <c r="B248" s="2" t="n">
        <v>23</v>
      </c>
      <c r="C248" s="2" t="inlineStr">
        <is>
          <t>T-95</t>
        </is>
      </c>
      <c r="D248" s="2" t="n">
        <v>12940</v>
      </c>
      <c r="E248" s="2" t="n">
        <v>11730</v>
      </c>
      <c r="F248" s="2" t="n"/>
      <c r="G248" s="2" t="n"/>
      <c r="H248" s="2" t="n"/>
      <c r="I248" s="2" t="inlineStr">
        <is>
          <t>LTC</t>
        </is>
      </c>
      <c r="J248" s="2" t="n">
        <v>540</v>
      </c>
      <c r="K248" s="2" t="n"/>
      <c r="L248" s="2" t="n">
        <v>630</v>
      </c>
      <c r="M248" s="2" t="n">
        <v>0.415</v>
      </c>
      <c r="N248" s="2" t="n">
        <v>4.67</v>
      </c>
      <c r="O248" s="2" t="n">
        <v>4.545</v>
      </c>
      <c r="P248" s="7" t="n"/>
    </row>
    <row r="249">
      <c r="A249" s="6" t="n">
        <v>5.5</v>
      </c>
      <c r="B249" s="2" t="n">
        <v>23</v>
      </c>
      <c r="C249" s="2" t="inlineStr">
        <is>
          <t>T-95</t>
        </is>
      </c>
      <c r="D249" s="2" t="n">
        <v>12940</v>
      </c>
      <c r="E249" s="2" t="n">
        <v>10680</v>
      </c>
      <c r="F249" s="2" t="n"/>
      <c r="G249" s="2" t="n"/>
      <c r="H249" s="2" t="n"/>
      <c r="I249" s="2" t="inlineStr">
        <is>
          <t>BTC</t>
        </is>
      </c>
      <c r="J249" s="2" t="n">
        <v>608</v>
      </c>
      <c r="K249" s="2" t="n"/>
      <c r="L249" s="2" t="n">
        <v>630</v>
      </c>
      <c r="M249" s="2" t="n">
        <v>0.415</v>
      </c>
      <c r="N249" s="2" t="n">
        <v>4.67</v>
      </c>
      <c r="O249" s="2" t="n">
        <v>4.545</v>
      </c>
      <c r="P249" s="7" t="n"/>
    </row>
    <row r="250">
      <c r="A250" s="8" t="n">
        <v>5.5</v>
      </c>
      <c r="B250" s="1" t="n">
        <v>23</v>
      </c>
      <c r="C250" s="1" t="inlineStr">
        <is>
          <t>C-95</t>
        </is>
      </c>
      <c r="D250" s="1" t="n">
        <v>12940</v>
      </c>
      <c r="E250" s="1" t="n">
        <v>11730</v>
      </c>
      <c r="F250" s="1" t="n"/>
      <c r="G250" s="1" t="n"/>
      <c r="H250" s="1" t="n"/>
      <c r="I250" s="1" t="inlineStr">
        <is>
          <t>LTC</t>
        </is>
      </c>
      <c r="J250" s="1" t="n">
        <v>540</v>
      </c>
      <c r="K250" s="1" t="n"/>
      <c r="L250" s="1" t="n">
        <v>630</v>
      </c>
      <c r="M250" s="1" t="n">
        <v>0.415</v>
      </c>
      <c r="N250" s="1" t="n">
        <v>4.67</v>
      </c>
      <c r="O250" s="1" t="n">
        <v>4.545</v>
      </c>
      <c r="P250" s="9" t="n"/>
    </row>
    <row r="251">
      <c r="A251" s="8" t="n">
        <v>5.5</v>
      </c>
      <c r="B251" s="1" t="n">
        <v>23</v>
      </c>
      <c r="C251" s="1" t="inlineStr">
        <is>
          <t>C-95</t>
        </is>
      </c>
      <c r="D251" s="1" t="n">
        <v>12940</v>
      </c>
      <c r="E251" s="1" t="n">
        <v>10680</v>
      </c>
      <c r="F251" s="1" t="n"/>
      <c r="G251" s="1" t="n"/>
      <c r="H251" s="1" t="n"/>
      <c r="I251" s="1" t="inlineStr">
        <is>
          <t>BTC</t>
        </is>
      </c>
      <c r="J251" s="1" t="n">
        <v>608</v>
      </c>
      <c r="K251" s="1" t="n"/>
      <c r="L251" s="1" t="n">
        <v>630</v>
      </c>
      <c r="M251" s="1" t="n">
        <v>0.415</v>
      </c>
      <c r="N251" s="1" t="n">
        <v>4.67</v>
      </c>
      <c r="O251" s="1" t="n">
        <v>4.545</v>
      </c>
      <c r="P251" s="9" t="n"/>
    </row>
    <row r="252">
      <c r="A252" s="6" t="n">
        <v>5.5</v>
      </c>
      <c r="B252" s="2" t="n">
        <v>23</v>
      </c>
      <c r="C252" s="2" t="inlineStr">
        <is>
          <t>P-110</t>
        </is>
      </c>
      <c r="D252" s="2" t="n">
        <v>14540</v>
      </c>
      <c r="E252" s="2" t="n">
        <v>13580</v>
      </c>
      <c r="F252" s="2" t="n"/>
      <c r="G252" s="2" t="n"/>
      <c r="H252" s="2" t="n"/>
      <c r="I252" s="2" t="inlineStr">
        <is>
          <t>LTC</t>
        </is>
      </c>
      <c r="J252" s="2" t="n">
        <v>643</v>
      </c>
      <c r="K252" s="2" t="n"/>
      <c r="L252" s="2" t="n">
        <v>729</v>
      </c>
      <c r="M252" s="2" t="n">
        <v>0.415</v>
      </c>
      <c r="N252" s="2" t="n">
        <v>4.67</v>
      </c>
      <c r="O252" s="2" t="n">
        <v>4.545</v>
      </c>
      <c r="P252" s="7" t="n"/>
    </row>
    <row r="253">
      <c r="A253" s="6" t="n">
        <v>5.5</v>
      </c>
      <c r="B253" s="2" t="n">
        <v>23</v>
      </c>
      <c r="C253" s="2" t="inlineStr">
        <is>
          <t>P-110</t>
        </is>
      </c>
      <c r="D253" s="2" t="n">
        <v>14540</v>
      </c>
      <c r="E253" s="2" t="n">
        <v>12360</v>
      </c>
      <c r="F253" s="2" t="n"/>
      <c r="G253" s="2" t="n"/>
      <c r="H253" s="2" t="n"/>
      <c r="I253" s="2" t="inlineStr">
        <is>
          <t>BTC</t>
        </is>
      </c>
      <c r="J253" s="2" t="n">
        <v>724</v>
      </c>
      <c r="K253" s="2" t="n"/>
      <c r="L253" s="2" t="n">
        <v>729</v>
      </c>
      <c r="M253" s="2" t="n">
        <v>0.415</v>
      </c>
      <c r="N253" s="2" t="n">
        <v>4.67</v>
      </c>
      <c r="O253" s="2" t="n">
        <v>4.545</v>
      </c>
      <c r="P253" s="7" t="n"/>
    </row>
    <row r="254">
      <c r="A254" s="8" t="n">
        <v>5.5</v>
      </c>
      <c r="B254" s="1" t="n">
        <v>23</v>
      </c>
      <c r="C254" s="1" t="inlineStr">
        <is>
          <t>Q-125</t>
        </is>
      </c>
      <c r="D254" s="1" t="n">
        <v>16070</v>
      </c>
      <c r="E254" s="1" t="n">
        <v>15430</v>
      </c>
      <c r="F254" s="1" t="n"/>
      <c r="G254" s="1" t="n"/>
      <c r="H254" s="1" t="n"/>
      <c r="I254" s="1" t="inlineStr">
        <is>
          <t>LTC</t>
        </is>
      </c>
      <c r="J254" s="1" t="n">
        <v>694</v>
      </c>
      <c r="K254" s="1" t="n"/>
      <c r="L254" s="1" t="n">
        <v>829</v>
      </c>
      <c r="M254" s="1" t="n">
        <v>0.415</v>
      </c>
      <c r="N254" s="1" t="n">
        <v>4.67</v>
      </c>
      <c r="O254" s="1" t="n">
        <v>4.545</v>
      </c>
      <c r="P254" s="9" t="n"/>
    </row>
    <row r="255">
      <c r="A255" s="8" t="n">
        <v>5.5</v>
      </c>
      <c r="B255" s="1" t="n">
        <v>23</v>
      </c>
      <c r="C255" s="1" t="inlineStr">
        <is>
          <t>Q-125</t>
        </is>
      </c>
      <c r="D255" s="1" t="n">
        <v>16070</v>
      </c>
      <c r="E255" s="1" t="n">
        <v>14050</v>
      </c>
      <c r="F255" s="1" t="n"/>
      <c r="G255" s="1" t="n"/>
      <c r="H255" s="1" t="n"/>
      <c r="I255" s="1" t="inlineStr">
        <is>
          <t>BTC</t>
        </is>
      </c>
      <c r="J255" s="1" t="n">
        <v>782</v>
      </c>
      <c r="K255" s="1" t="n"/>
      <c r="L255" s="1" t="n">
        <v>829</v>
      </c>
      <c r="M255" s="1" t="n">
        <v>0.415</v>
      </c>
      <c r="N255" s="1" t="n">
        <v>4.67</v>
      </c>
      <c r="O255" s="1" t="n">
        <v>4.545</v>
      </c>
      <c r="P255" s="9" t="n"/>
    </row>
    <row r="256">
      <c r="A256" s="6" t="n">
        <v>5.5</v>
      </c>
      <c r="B256" s="2" t="n">
        <v>23</v>
      </c>
      <c r="C256" s="2" t="inlineStr">
        <is>
          <t>V-150</t>
        </is>
      </c>
      <c r="D256" s="2" t="n">
        <v>18390</v>
      </c>
      <c r="E256" s="2" t="n">
        <v>18520</v>
      </c>
      <c r="F256" s="2" t="n"/>
      <c r="G256" s="2" t="n"/>
      <c r="H256" s="2" t="n"/>
      <c r="I256" s="2" t="inlineStr">
        <is>
          <t>LTC</t>
        </is>
      </c>
      <c r="J256" s="2" t="n">
        <v>823</v>
      </c>
      <c r="K256" s="2" t="n"/>
      <c r="L256" s="2" t="n">
        <v>995</v>
      </c>
      <c r="M256" s="2" t="n">
        <v>0.415</v>
      </c>
      <c r="N256" s="2" t="n">
        <v>4.67</v>
      </c>
      <c r="O256" s="2" t="n">
        <v>4.545</v>
      </c>
      <c r="P256" s="7" t="n"/>
    </row>
    <row r="257">
      <c r="A257" s="6" t="n">
        <v>5.5</v>
      </c>
      <c r="B257" s="2" t="n">
        <v>23</v>
      </c>
      <c r="C257" s="2" t="inlineStr">
        <is>
          <t>V-150</t>
        </is>
      </c>
      <c r="D257" s="2" t="n">
        <v>18390</v>
      </c>
      <c r="E257" s="2" t="n">
        <v>16860</v>
      </c>
      <c r="F257" s="2" t="n"/>
      <c r="G257" s="2" t="n"/>
      <c r="H257" s="2" t="n"/>
      <c r="I257" s="2" t="inlineStr">
        <is>
          <t>BTC</t>
        </is>
      </c>
      <c r="J257" s="2" t="n">
        <v>927</v>
      </c>
      <c r="K257" s="2" t="n"/>
      <c r="L257" s="2" t="n">
        <v>995</v>
      </c>
      <c r="M257" s="2" t="n">
        <v>0.415</v>
      </c>
      <c r="N257" s="2" t="n">
        <v>4.67</v>
      </c>
      <c r="O257" s="2" t="n">
        <v>4.545</v>
      </c>
      <c r="P257" s="7" t="n"/>
    </row>
    <row r="258">
      <c r="A258" s="8" t="n">
        <v>5.5</v>
      </c>
      <c r="B258" s="1" t="n">
        <v>26</v>
      </c>
      <c r="C258" s="1" t="inlineStr">
        <is>
          <t>C-90</t>
        </is>
      </c>
      <c r="D258" s="1" t="n">
        <v>14240</v>
      </c>
      <c r="E258" s="1" t="n">
        <v>11110</v>
      </c>
      <c r="F258" s="1" t="n"/>
      <c r="G258" s="1" t="n"/>
      <c r="H258" s="1" t="n"/>
      <c r="I258" s="1" t="inlineStr">
        <is>
          <t>LTC</t>
        </is>
      </c>
      <c r="J258" s="1" t="n">
        <v>598</v>
      </c>
      <c r="K258" s="1" t="n"/>
      <c r="L258" s="1" t="n">
        <v>676</v>
      </c>
      <c r="M258" s="1" t="n">
        <v>0.476</v>
      </c>
      <c r="N258" s="1" t="n">
        <v>4.548</v>
      </c>
      <c r="O258" s="1" t="n">
        <v>4.423</v>
      </c>
      <c r="P258" s="9" t="n"/>
    </row>
    <row r="259">
      <c r="A259" s="8" t="n">
        <v>5.5</v>
      </c>
      <c r="B259" s="1" t="n">
        <v>26</v>
      </c>
      <c r="C259" s="1" t="inlineStr">
        <is>
          <t>C-90</t>
        </is>
      </c>
      <c r="D259" s="1" t="n">
        <v>14240</v>
      </c>
      <c r="E259" s="1" t="n">
        <v>10120</v>
      </c>
      <c r="F259" s="1" t="n"/>
      <c r="G259" s="1" t="n"/>
      <c r="H259" s="1" t="n"/>
      <c r="I259" s="1" t="inlineStr">
        <is>
          <t>BTC</t>
        </is>
      </c>
      <c r="J259" s="1" t="n">
        <v>579</v>
      </c>
      <c r="K259" s="1" t="n"/>
      <c r="L259" s="1" t="n">
        <v>676</v>
      </c>
      <c r="M259" s="1" t="n">
        <v>0.476</v>
      </c>
      <c r="N259" s="1" t="n">
        <v>4.548</v>
      </c>
      <c r="O259" s="1" t="n">
        <v>4.423</v>
      </c>
      <c r="P259" s="9" t="n"/>
    </row>
    <row r="260">
      <c r="A260" s="6" t="n">
        <v>5.5</v>
      </c>
      <c r="B260" s="2" t="n">
        <v>26</v>
      </c>
      <c r="C260" s="2" t="inlineStr">
        <is>
          <t>T-95</t>
        </is>
      </c>
      <c r="D260" s="2" t="n">
        <v>15030</v>
      </c>
      <c r="E260" s="2" t="n">
        <v>11730</v>
      </c>
      <c r="F260" s="2" t="n"/>
      <c r="G260" s="2" t="n"/>
      <c r="H260" s="2" t="n"/>
      <c r="I260" s="2" t="inlineStr">
        <is>
          <t>LTC</t>
        </is>
      </c>
      <c r="J260" s="2" t="n">
        <v>628</v>
      </c>
      <c r="K260" s="2" t="n"/>
      <c r="L260" s="2" t="n">
        <v>714</v>
      </c>
      <c r="M260" s="2" t="n">
        <v>0.476</v>
      </c>
      <c r="N260" s="2" t="n">
        <v>4.548</v>
      </c>
      <c r="O260" s="2" t="n">
        <v>4.423</v>
      </c>
      <c r="P260" s="7" t="n"/>
    </row>
    <row r="261">
      <c r="A261" s="6" t="n">
        <v>5.5</v>
      </c>
      <c r="B261" s="2" t="n">
        <v>26</v>
      </c>
      <c r="C261" s="2" t="inlineStr">
        <is>
          <t>T-95</t>
        </is>
      </c>
      <c r="D261" s="2" t="n">
        <v>15030</v>
      </c>
      <c r="E261" s="2" t="n">
        <v>10680</v>
      </c>
      <c r="F261" s="2" t="n"/>
      <c r="G261" s="2" t="n"/>
      <c r="H261" s="2" t="n"/>
      <c r="I261" s="2" t="inlineStr">
        <is>
          <t>BTC</t>
        </is>
      </c>
      <c r="J261" s="2" t="n">
        <v>608</v>
      </c>
      <c r="K261" s="2" t="n"/>
      <c r="L261" s="2" t="n">
        <v>714</v>
      </c>
      <c r="M261" s="2" t="n">
        <v>0.476</v>
      </c>
      <c r="N261" s="2" t="n">
        <v>4.548</v>
      </c>
      <c r="O261" s="2" t="n">
        <v>4.423</v>
      </c>
      <c r="P261" s="7" t="n"/>
    </row>
    <row r="262">
      <c r="A262" s="8" t="n">
        <v>5.5</v>
      </c>
      <c r="B262" s="1" t="n">
        <v>26</v>
      </c>
      <c r="C262" s="1" t="inlineStr">
        <is>
          <t>C-95</t>
        </is>
      </c>
      <c r="D262" s="1" t="n">
        <v>15030</v>
      </c>
      <c r="E262" s="1" t="n">
        <v>11730</v>
      </c>
      <c r="F262" s="1" t="n"/>
      <c r="G262" s="1" t="n"/>
      <c r="H262" s="1" t="n"/>
      <c r="I262" s="1" t="inlineStr">
        <is>
          <t>LTC</t>
        </is>
      </c>
      <c r="J262" s="1" t="n">
        <v>628</v>
      </c>
      <c r="K262" s="1" t="n"/>
      <c r="L262" s="1" t="n">
        <v>714</v>
      </c>
      <c r="M262" s="1" t="n">
        <v>0.476</v>
      </c>
      <c r="N262" s="1" t="n">
        <v>4.548</v>
      </c>
      <c r="O262" s="1" t="n">
        <v>4.423</v>
      </c>
      <c r="P262" s="9" t="n"/>
    </row>
    <row r="263">
      <c r="A263" s="8" t="n">
        <v>5.5</v>
      </c>
      <c r="B263" s="1" t="n">
        <v>26</v>
      </c>
      <c r="C263" s="1" t="inlineStr">
        <is>
          <t>C-95</t>
        </is>
      </c>
      <c r="D263" s="1" t="n">
        <v>15030</v>
      </c>
      <c r="E263" s="1" t="n">
        <v>10680</v>
      </c>
      <c r="F263" s="1" t="n"/>
      <c r="G263" s="1" t="n"/>
      <c r="H263" s="1" t="n"/>
      <c r="I263" s="1" t="inlineStr">
        <is>
          <t>BTC</t>
        </is>
      </c>
      <c r="J263" s="1" t="n">
        <v>608</v>
      </c>
      <c r="K263" s="1" t="n"/>
      <c r="L263" s="1" t="n">
        <v>714</v>
      </c>
      <c r="M263" s="1" t="n">
        <v>0.476</v>
      </c>
      <c r="N263" s="1" t="n">
        <v>4.548</v>
      </c>
      <c r="O263" s="1" t="n">
        <v>4.423</v>
      </c>
      <c r="P263" s="9" t="n"/>
    </row>
    <row r="264">
      <c r="A264" s="6" t="n">
        <v>5.5</v>
      </c>
      <c r="B264" s="2" t="n">
        <v>26</v>
      </c>
      <c r="C264" s="2" t="inlineStr">
        <is>
          <t>P-110</t>
        </is>
      </c>
      <c r="D264" s="2" t="n">
        <v>17400</v>
      </c>
      <c r="E264" s="2" t="n">
        <v>13580</v>
      </c>
      <c r="F264" s="2" t="n"/>
      <c r="G264" s="2" t="n"/>
      <c r="H264" s="2" t="n"/>
      <c r="I264" s="2" t="inlineStr">
        <is>
          <t>LTC</t>
        </is>
      </c>
      <c r="J264" s="2" t="n">
        <v>748</v>
      </c>
      <c r="K264" s="2" t="n"/>
      <c r="L264" s="2" t="n">
        <v>826</v>
      </c>
      <c r="M264" s="2" t="n">
        <v>0.476</v>
      </c>
      <c r="N264" s="2" t="n">
        <v>4.548</v>
      </c>
      <c r="O264" s="2" t="n">
        <v>4.423</v>
      </c>
      <c r="P264" s="7" t="n"/>
    </row>
    <row r="265">
      <c r="A265" s="6" t="n">
        <v>5.5</v>
      </c>
      <c r="B265" s="2" t="n">
        <v>26</v>
      </c>
      <c r="C265" s="2" t="inlineStr">
        <is>
          <t>P-110</t>
        </is>
      </c>
      <c r="D265" s="2" t="n">
        <v>17400</v>
      </c>
      <c r="E265" s="2" t="n">
        <v>12360</v>
      </c>
      <c r="F265" s="2" t="n"/>
      <c r="G265" s="2" t="n"/>
      <c r="H265" s="2" t="n"/>
      <c r="I265" s="2" t="inlineStr">
        <is>
          <t>BTC</t>
        </is>
      </c>
      <c r="J265" s="2" t="n">
        <v>724</v>
      </c>
      <c r="K265" s="2" t="n"/>
      <c r="L265" s="2" t="n">
        <v>826</v>
      </c>
      <c r="M265" s="2" t="n">
        <v>0.476</v>
      </c>
      <c r="N265" s="2" t="n">
        <v>4.548</v>
      </c>
      <c r="O265" s="2" t="n">
        <v>4.423</v>
      </c>
      <c r="P265" s="7" t="n"/>
    </row>
    <row r="266">
      <c r="A266" s="8" t="n">
        <v>5.5</v>
      </c>
      <c r="B266" s="1" t="n">
        <v>26</v>
      </c>
      <c r="C266" s="1" t="inlineStr">
        <is>
          <t>Q-125</t>
        </is>
      </c>
      <c r="D266" s="1" t="n">
        <v>19770</v>
      </c>
      <c r="E266" s="1" t="n">
        <v>15430</v>
      </c>
      <c r="F266" s="1" t="n"/>
      <c r="G266" s="1" t="n"/>
      <c r="H266" s="1" t="n"/>
      <c r="I266" s="1" t="inlineStr">
        <is>
          <t>LTC</t>
        </is>
      </c>
      <c r="J266" s="1" t="n">
        <v>808</v>
      </c>
      <c r="K266" s="1" t="n"/>
      <c r="L266" s="1" t="n">
        <v>939</v>
      </c>
      <c r="M266" s="1" t="n">
        <v>0.476</v>
      </c>
      <c r="N266" s="1" t="n">
        <v>4.548</v>
      </c>
      <c r="O266" s="1" t="n">
        <v>4.423</v>
      </c>
      <c r="P266" s="9" t="n"/>
    </row>
    <row r="267">
      <c r="A267" s="8" t="n">
        <v>5.5</v>
      </c>
      <c r="B267" s="1" t="n">
        <v>26</v>
      </c>
      <c r="C267" s="1" t="inlineStr">
        <is>
          <t>Q-125</t>
        </is>
      </c>
      <c r="D267" s="1" t="n">
        <v>19770</v>
      </c>
      <c r="E267" s="1" t="n">
        <v>14050</v>
      </c>
      <c r="F267" s="1" t="n"/>
      <c r="G267" s="1" t="n"/>
      <c r="H267" s="1" t="n"/>
      <c r="I267" s="1" t="inlineStr">
        <is>
          <t>BTC</t>
        </is>
      </c>
      <c r="J267" s="1" t="n">
        <v>782</v>
      </c>
      <c r="K267" s="1" t="n"/>
      <c r="L267" s="1" t="n">
        <v>939</v>
      </c>
      <c r="M267" s="1" t="n">
        <v>0.476</v>
      </c>
      <c r="N267" s="1" t="n">
        <v>4.548</v>
      </c>
      <c r="O267" s="1" t="n">
        <v>4.423</v>
      </c>
      <c r="P267" s="9" t="n"/>
    </row>
    <row r="268">
      <c r="A268" s="6" t="n">
        <v>5.5</v>
      </c>
      <c r="B268" s="2" t="n">
        <v>26</v>
      </c>
      <c r="C268" s="2" t="inlineStr">
        <is>
          <t>V-150</t>
        </is>
      </c>
      <c r="D268" s="2" t="n">
        <v>23720</v>
      </c>
      <c r="E268" s="2" t="n">
        <v>18520</v>
      </c>
      <c r="F268" s="2" t="n"/>
      <c r="G268" s="2" t="n"/>
      <c r="H268" s="2" t="n"/>
      <c r="I268" s="2" t="inlineStr">
        <is>
          <t>LTC</t>
        </is>
      </c>
      <c r="J268" s="2" t="n">
        <v>957</v>
      </c>
      <c r="K268" s="2" t="n"/>
      <c r="L268" s="2" t="n">
        <v>1127</v>
      </c>
      <c r="M268" s="2" t="n">
        <v>0.476</v>
      </c>
      <c r="N268" s="2" t="n">
        <v>4.548</v>
      </c>
      <c r="O268" s="2" t="n">
        <v>4.423</v>
      </c>
      <c r="P268" s="7" t="n"/>
    </row>
    <row r="269">
      <c r="A269" s="6" t="n">
        <v>5.5</v>
      </c>
      <c r="B269" s="2" t="n">
        <v>26</v>
      </c>
      <c r="C269" s="2" t="inlineStr">
        <is>
          <t>V-150</t>
        </is>
      </c>
      <c r="D269" s="2" t="n">
        <v>23720</v>
      </c>
      <c r="E269" s="2" t="n">
        <v>16860</v>
      </c>
      <c r="F269" s="2" t="n"/>
      <c r="G269" s="2" t="n"/>
      <c r="H269" s="2" t="n"/>
      <c r="I269" s="2" t="inlineStr">
        <is>
          <t>BTC</t>
        </is>
      </c>
      <c r="J269" s="2" t="n">
        <v>927</v>
      </c>
      <c r="K269" s="2" t="n"/>
      <c r="L269" s="2" t="n">
        <v>1127</v>
      </c>
      <c r="M269" s="2" t="n">
        <v>0.476</v>
      </c>
      <c r="N269" s="2" t="n">
        <v>4.548</v>
      </c>
      <c r="O269" s="2" t="n">
        <v>4.423</v>
      </c>
      <c r="P269" s="7" t="n"/>
    </row>
    <row r="270">
      <c r="A270" s="8" t="n">
        <v>5.5</v>
      </c>
      <c r="B270" s="1" t="n">
        <v>26.8</v>
      </c>
      <c r="C270" s="1" t="inlineStr">
        <is>
          <t>C-90</t>
        </is>
      </c>
      <c r="D270" s="1" t="n">
        <v>14880</v>
      </c>
      <c r="E270" s="1" t="n">
        <v>14320</v>
      </c>
      <c r="F270" s="1" t="n"/>
      <c r="G270" s="1" t="n"/>
      <c r="H270" s="1" t="n"/>
      <c r="I270" s="1" t="inlineStr">
        <is>
          <t>PE</t>
        </is>
      </c>
      <c r="J270" s="1" t="n">
        <v>707</v>
      </c>
      <c r="K270" s="1" t="n"/>
      <c r="L270" s="1" t="n">
        <v>707</v>
      </c>
      <c r="M270" s="1" t="n">
        <v>0.5</v>
      </c>
      <c r="N270" s="1" t="n">
        <v>4.5</v>
      </c>
      <c r="O270" s="1" t="n">
        <v>4.375</v>
      </c>
      <c r="P270" s="9" t="n"/>
    </row>
    <row r="271">
      <c r="A271" s="6" t="n">
        <v>5.5</v>
      </c>
      <c r="B271" s="2" t="n">
        <v>26.8</v>
      </c>
      <c r="C271" s="2" t="inlineStr">
        <is>
          <t>T-95</t>
        </is>
      </c>
      <c r="D271" s="2" t="n">
        <v>15700</v>
      </c>
      <c r="E271" s="2" t="n">
        <v>15110</v>
      </c>
      <c r="F271" s="2" t="n"/>
      <c r="G271" s="2" t="n"/>
      <c r="H271" s="2" t="n"/>
      <c r="I271" s="2" t="inlineStr">
        <is>
          <t>PE</t>
        </is>
      </c>
      <c r="J271" s="2" t="n">
        <v>746</v>
      </c>
      <c r="K271" s="2" t="n"/>
      <c r="L271" s="2" t="n">
        <v>746</v>
      </c>
      <c r="M271" s="2" t="n">
        <v>0.5</v>
      </c>
      <c r="N271" s="2" t="n">
        <v>4.5</v>
      </c>
      <c r="O271" s="2" t="n">
        <v>4.375</v>
      </c>
      <c r="P271" s="7" t="n"/>
    </row>
    <row r="272">
      <c r="A272" s="8" t="n">
        <v>5.5</v>
      </c>
      <c r="B272" s="1" t="n">
        <v>29.7</v>
      </c>
      <c r="C272" s="1" t="inlineStr">
        <is>
          <t>C-90</t>
        </is>
      </c>
      <c r="D272" s="1" t="n">
        <v>16510</v>
      </c>
      <c r="E272" s="1" t="n">
        <v>16090</v>
      </c>
      <c r="F272" s="1" t="n"/>
      <c r="G272" s="1" t="n"/>
      <c r="H272" s="1" t="n"/>
      <c r="I272" s="1" t="inlineStr">
        <is>
          <t>PE</t>
        </is>
      </c>
      <c r="J272" s="1" t="n">
        <v>785</v>
      </c>
      <c r="K272" s="1" t="n"/>
      <c r="L272" s="1" t="n">
        <v>785</v>
      </c>
      <c r="M272" s="1" t="n">
        <v>0.5620000000000001</v>
      </c>
      <c r="N272" s="1" t="n">
        <v>4.376</v>
      </c>
      <c r="O272" s="1" t="n">
        <v>4.251</v>
      </c>
      <c r="P272" s="9" t="n"/>
    </row>
    <row r="273">
      <c r="A273" s="6" t="n">
        <v>5.5</v>
      </c>
      <c r="B273" s="2" t="n">
        <v>29.7</v>
      </c>
      <c r="C273" s="2" t="inlineStr">
        <is>
          <t>T-95</t>
        </is>
      </c>
      <c r="D273" s="2" t="n">
        <v>17430</v>
      </c>
      <c r="E273" s="2" t="n">
        <v>16990</v>
      </c>
      <c r="F273" s="2" t="n"/>
      <c r="G273" s="2" t="n"/>
      <c r="H273" s="2" t="n"/>
      <c r="I273" s="2" t="inlineStr">
        <is>
          <t>PE</t>
        </is>
      </c>
      <c r="J273" s="2" t="n">
        <v>828</v>
      </c>
      <c r="K273" s="2" t="n"/>
      <c r="L273" s="2" t="n">
        <v>828</v>
      </c>
      <c r="M273" s="2" t="n">
        <v>0.5620000000000001</v>
      </c>
      <c r="N273" s="2" t="n">
        <v>4.376</v>
      </c>
      <c r="O273" s="2" t="n">
        <v>4.251</v>
      </c>
      <c r="P273" s="7" t="n"/>
    </row>
    <row r="274">
      <c r="A274" s="8" t="n">
        <v>5.5</v>
      </c>
      <c r="B274" s="1" t="n">
        <v>32.6</v>
      </c>
      <c r="C274" s="1" t="inlineStr">
        <is>
          <t>C-90</t>
        </is>
      </c>
      <c r="D274" s="1" t="n">
        <v>18130</v>
      </c>
      <c r="E274" s="1" t="n">
        <v>17900</v>
      </c>
      <c r="F274" s="1" t="n"/>
      <c r="G274" s="1" t="n"/>
      <c r="H274" s="1" t="n"/>
      <c r="I274" s="1" t="inlineStr">
        <is>
          <t>PE</t>
        </is>
      </c>
      <c r="J274" s="1" t="n">
        <v>861</v>
      </c>
      <c r="K274" s="1" t="n"/>
      <c r="L274" s="1" t="n">
        <v>861</v>
      </c>
      <c r="M274" s="1" t="n">
        <v>0.625</v>
      </c>
      <c r="N274" s="1" t="n">
        <v>4.25</v>
      </c>
      <c r="O274" s="1" t="n">
        <v>4.125</v>
      </c>
      <c r="P274" s="9" t="n"/>
    </row>
    <row r="275">
      <c r="A275" s="6" t="n">
        <v>5.5</v>
      </c>
      <c r="B275" s="2" t="n">
        <v>32.6</v>
      </c>
      <c r="C275" s="2" t="inlineStr">
        <is>
          <t>T-95</t>
        </is>
      </c>
      <c r="D275" s="2" t="n">
        <v>19140</v>
      </c>
      <c r="E275" s="2" t="n">
        <v>18810</v>
      </c>
      <c r="F275" s="2" t="n"/>
      <c r="G275" s="2" t="n"/>
      <c r="H275" s="2" t="n"/>
      <c r="I275" s="2" t="inlineStr">
        <is>
          <t>PE</t>
        </is>
      </c>
      <c r="J275" s="2" t="n">
        <v>909</v>
      </c>
      <c r="K275" s="2" t="n"/>
      <c r="L275" s="2" t="n">
        <v>909</v>
      </c>
      <c r="M275" s="2" t="n">
        <v>0.625</v>
      </c>
      <c r="N275" s="2" t="n">
        <v>4.25</v>
      </c>
      <c r="O275" s="2" t="n">
        <v>4.125</v>
      </c>
      <c r="P275" s="7" t="n"/>
    </row>
    <row r="276">
      <c r="A276" s="8" t="n">
        <v>5.5</v>
      </c>
      <c r="B276" s="1" t="n">
        <v>35.3</v>
      </c>
      <c r="C276" s="1" t="inlineStr">
        <is>
          <t>C-90</t>
        </is>
      </c>
      <c r="D276" s="1" t="n">
        <v>19680</v>
      </c>
      <c r="E276" s="1" t="n">
        <v>19670</v>
      </c>
      <c r="F276" s="1" t="n"/>
      <c r="G276" s="1" t="n"/>
      <c r="H276" s="1" t="n"/>
      <c r="I276" s="1" t="inlineStr">
        <is>
          <t>PE</t>
        </is>
      </c>
      <c r="J276" s="1" t="n">
        <v>935</v>
      </c>
      <c r="K276" s="1" t="n"/>
      <c r="L276" s="1" t="n">
        <v>935</v>
      </c>
      <c r="M276" s="1" t="n">
        <v>0.6870000000000001</v>
      </c>
      <c r="N276" s="1" t="n">
        <v>4.126</v>
      </c>
      <c r="O276" s="1" t="n">
        <v>4.001</v>
      </c>
      <c r="P276" s="9" t="n"/>
    </row>
    <row r="277">
      <c r="A277" s="6" t="n">
        <v>5.5</v>
      </c>
      <c r="B277" s="2" t="n">
        <v>35.3</v>
      </c>
      <c r="C277" s="2" t="inlineStr">
        <is>
          <t>T-95</t>
        </is>
      </c>
      <c r="D277" s="2" t="n">
        <v>20760</v>
      </c>
      <c r="E277" s="2" t="n">
        <v>20770</v>
      </c>
      <c r="F277" s="2" t="n"/>
      <c r="G277" s="2" t="n"/>
      <c r="H277" s="2" t="n"/>
      <c r="I277" s="2" t="inlineStr">
        <is>
          <t>PE</t>
        </is>
      </c>
      <c r="J277" s="2" t="n">
        <v>987</v>
      </c>
      <c r="K277" s="2" t="n"/>
      <c r="L277" s="2" t="n">
        <v>987</v>
      </c>
      <c r="M277" s="2" t="n">
        <v>0.6870000000000001</v>
      </c>
      <c r="N277" s="2" t="n">
        <v>4.126</v>
      </c>
      <c r="O277" s="2" t="n">
        <v>4.001</v>
      </c>
      <c r="P277" s="7" t="n"/>
    </row>
    <row r="278">
      <c r="A278" s="8" t="n">
        <v>5.5</v>
      </c>
      <c r="B278" s="1" t="n">
        <v>38</v>
      </c>
      <c r="C278" s="1" t="inlineStr">
        <is>
          <t>C-90</t>
        </is>
      </c>
      <c r="D278" s="1" t="n">
        <v>21200</v>
      </c>
      <c r="E278" s="1" t="n">
        <v>21480</v>
      </c>
      <c r="F278" s="1" t="n"/>
      <c r="G278" s="1" t="n"/>
      <c r="H278" s="1" t="n"/>
      <c r="I278" s="1" t="inlineStr">
        <is>
          <t>PE</t>
        </is>
      </c>
      <c r="J278" s="1" t="n">
        <v>1007</v>
      </c>
      <c r="K278" s="1" t="n"/>
      <c r="L278" s="1" t="n">
        <v>1007</v>
      </c>
      <c r="M278" s="1" t="n">
        <v>0.75</v>
      </c>
      <c r="N278" s="1" t="n">
        <v>4</v>
      </c>
      <c r="O278" s="1" t="n">
        <v>3.875</v>
      </c>
      <c r="P278" s="9" t="n"/>
    </row>
    <row r="279">
      <c r="A279" s="6" t="n">
        <v>5.5</v>
      </c>
      <c r="B279" s="2" t="n">
        <v>38</v>
      </c>
      <c r="C279" s="2" t="inlineStr">
        <is>
          <t>T-95</t>
        </is>
      </c>
      <c r="D279" s="2" t="n">
        <v>22380</v>
      </c>
      <c r="E279" s="2" t="n">
        <v>22670</v>
      </c>
      <c r="F279" s="2" t="n"/>
      <c r="G279" s="2" t="n"/>
      <c r="H279" s="2" t="n"/>
      <c r="I279" s="2" t="inlineStr">
        <is>
          <t>PE</t>
        </is>
      </c>
      <c r="J279" s="2" t="n">
        <v>1063</v>
      </c>
      <c r="K279" s="2" t="n"/>
      <c r="L279" s="2" t="n">
        <v>1063</v>
      </c>
      <c r="M279" s="2" t="n">
        <v>0.75</v>
      </c>
      <c r="N279" s="2" t="n">
        <v>4</v>
      </c>
      <c r="O279" s="2" t="n">
        <v>3.875</v>
      </c>
      <c r="P279" s="7" t="n"/>
    </row>
    <row r="280">
      <c r="A280" s="8" t="n">
        <v>5.5</v>
      </c>
      <c r="B280" s="1" t="n">
        <v>40.5</v>
      </c>
      <c r="C280" s="1" t="inlineStr">
        <is>
          <t>C-90</t>
        </is>
      </c>
      <c r="D280" s="1" t="n">
        <v>22650</v>
      </c>
      <c r="E280" s="1" t="n">
        <v>23250</v>
      </c>
      <c r="F280" s="1" t="n"/>
      <c r="G280" s="1" t="n"/>
      <c r="H280" s="1" t="n"/>
      <c r="I280" s="1" t="inlineStr">
        <is>
          <t>PE</t>
        </is>
      </c>
      <c r="J280" s="1" t="n">
        <v>1076</v>
      </c>
      <c r="K280" s="1" t="n"/>
      <c r="L280" s="1" t="n">
        <v>1076</v>
      </c>
      <c r="M280" s="1" t="n">
        <v>0.8120000000000001</v>
      </c>
      <c r="N280" s="1" t="n">
        <v>3.876</v>
      </c>
      <c r="O280" s="1" t="n">
        <v>3.751</v>
      </c>
      <c r="P280" s="9" t="n"/>
    </row>
    <row r="281">
      <c r="A281" s="6" t="n">
        <v>5.5</v>
      </c>
      <c r="B281" s="2" t="n">
        <v>40.5</v>
      </c>
      <c r="C281" s="2" t="inlineStr">
        <is>
          <t>T-95</t>
        </is>
      </c>
      <c r="D281" s="2" t="n">
        <v>23920</v>
      </c>
      <c r="E281" s="2" t="n">
        <v>24540</v>
      </c>
      <c r="F281" s="2" t="n"/>
      <c r="G281" s="2" t="n"/>
      <c r="H281" s="2" t="n"/>
      <c r="I281" s="2" t="inlineStr">
        <is>
          <t>PE</t>
        </is>
      </c>
      <c r="J281" s="2" t="n">
        <v>1136</v>
      </c>
      <c r="K281" s="2" t="n"/>
      <c r="L281" s="2" t="n">
        <v>1136</v>
      </c>
      <c r="M281" s="2" t="n">
        <v>0.8120000000000001</v>
      </c>
      <c r="N281" s="2" t="n">
        <v>3.876</v>
      </c>
      <c r="O281" s="2" t="n">
        <v>3.751</v>
      </c>
      <c r="P281" s="7" t="n"/>
    </row>
    <row r="282">
      <c r="A282" s="8" t="n">
        <v>5.5</v>
      </c>
      <c r="B282" s="1" t="n">
        <v>43.1</v>
      </c>
      <c r="C282" s="1" t="inlineStr">
        <is>
          <t>C-90</t>
        </is>
      </c>
      <c r="D282" s="1" t="n">
        <v>24080</v>
      </c>
      <c r="E282" s="1" t="n">
        <v>25060</v>
      </c>
      <c r="F282" s="1" t="n"/>
      <c r="G282" s="1" t="n"/>
      <c r="H282" s="1" t="n"/>
      <c r="I282" s="1" t="inlineStr">
        <is>
          <t>PE</t>
        </is>
      </c>
      <c r="J282" s="1" t="n">
        <v>1144</v>
      </c>
      <c r="K282" s="1" t="n"/>
      <c r="L282" s="1" t="n">
        <v>1144</v>
      </c>
      <c r="M282" s="1" t="n">
        <v>0.875</v>
      </c>
      <c r="N282" s="1" t="n">
        <v>3.75</v>
      </c>
      <c r="O282" s="1" t="n">
        <v>3.625</v>
      </c>
      <c r="P282" s="9" t="n"/>
    </row>
    <row r="283" ht="15.75" customHeight="1" s="613" thickBot="1">
      <c r="A283" s="13" t="n">
        <v>5.5</v>
      </c>
      <c r="B283" s="14" t="n">
        <v>43.1</v>
      </c>
      <c r="C283" s="14" t="inlineStr">
        <is>
          <t>T-95</t>
        </is>
      </c>
      <c r="D283" s="14" t="n">
        <v>25400</v>
      </c>
      <c r="E283" s="14" t="n">
        <v>26450</v>
      </c>
      <c r="F283" s="14" t="n"/>
      <c r="G283" s="14" t="n"/>
      <c r="H283" s="14" t="n"/>
      <c r="I283" s="2" t="inlineStr">
        <is>
          <t>PE</t>
        </is>
      </c>
      <c r="J283" s="14" t="n">
        <v>1208</v>
      </c>
      <c r="K283" s="14" t="n"/>
      <c r="L283" s="14" t="n">
        <v>1208</v>
      </c>
      <c r="M283" s="14" t="n">
        <v>0.875</v>
      </c>
      <c r="N283" s="14" t="n">
        <v>3.75</v>
      </c>
      <c r="O283" s="14" t="n">
        <v>3.625</v>
      </c>
      <c r="P283" s="15" t="n"/>
    </row>
    <row r="284" ht="15.75" customHeight="1" s="613" thickBot="1">
      <c r="A284" s="3" t="n">
        <v>5.625</v>
      </c>
      <c r="B284" s="4" t="n">
        <v>26.7</v>
      </c>
      <c r="C284" s="4" t="inlineStr">
        <is>
          <t>L-80</t>
        </is>
      </c>
      <c r="D284" s="4" t="n">
        <v>12420</v>
      </c>
      <c r="E284" s="4" t="n">
        <v>9880</v>
      </c>
      <c r="F284" s="4" t="n"/>
      <c r="G284" s="4" t="n"/>
      <c r="H284" s="4" t="n"/>
      <c r="I284" s="4" t="inlineStr">
        <is>
          <t>LTC</t>
        </is>
      </c>
      <c r="J284" s="4" t="n">
        <v>488</v>
      </c>
      <c r="K284" s="4" t="n"/>
      <c r="L284" s="4" t="n">
        <v>617</v>
      </c>
      <c r="M284" s="4" t="n">
        <v>0.477</v>
      </c>
      <c r="N284" s="4" t="n">
        <v>4.671</v>
      </c>
      <c r="O284" s="4" t="n"/>
      <c r="P284" s="5" t="n">
        <v>4.544</v>
      </c>
    </row>
    <row r="285">
      <c r="A285" s="3" t="n">
        <v>5.625</v>
      </c>
      <c r="B285" s="4" t="n">
        <v>26.7</v>
      </c>
      <c r="C285" s="4" t="inlineStr">
        <is>
          <t>L-80</t>
        </is>
      </c>
      <c r="D285" s="4" t="n">
        <v>12420</v>
      </c>
      <c r="E285" s="4" t="n">
        <v>8990</v>
      </c>
      <c r="F285" s="4" t="n"/>
      <c r="G285" s="4" t="n"/>
      <c r="H285" s="4" t="n"/>
      <c r="I285" s="4" t="inlineStr">
        <is>
          <t>BTC</t>
        </is>
      </c>
      <c r="J285" s="4" t="n">
        <v>550</v>
      </c>
      <c r="K285" s="4" t="n"/>
      <c r="L285" s="4" t="n">
        <v>617</v>
      </c>
      <c r="M285" s="4" t="n">
        <v>0.477</v>
      </c>
      <c r="N285" s="4" t="n">
        <v>4.671</v>
      </c>
      <c r="O285" s="4" t="n"/>
      <c r="P285" s="5" t="n">
        <v>4.544</v>
      </c>
    </row>
    <row r="286">
      <c r="A286" s="6" t="n">
        <v>5.625</v>
      </c>
      <c r="B286" s="2" t="n">
        <v>26.7</v>
      </c>
      <c r="C286" s="2" t="inlineStr">
        <is>
          <t>HCL-80</t>
        </is>
      </c>
      <c r="D286" s="2" t="n">
        <v>14750</v>
      </c>
      <c r="E286" s="2" t="n">
        <v>9880</v>
      </c>
      <c r="F286" s="2" t="n"/>
      <c r="G286" s="2" t="n"/>
      <c r="H286" s="2" t="n"/>
      <c r="I286" s="2" t="inlineStr">
        <is>
          <t>LTC</t>
        </is>
      </c>
      <c r="J286" s="2" t="n">
        <v>501</v>
      </c>
      <c r="K286" s="2" t="n"/>
      <c r="L286" s="2" t="n">
        <v>617</v>
      </c>
      <c r="M286" s="2" t="n">
        <v>0.477</v>
      </c>
      <c r="N286" s="2" t="n">
        <v>4.671</v>
      </c>
      <c r="O286" s="2" t="n"/>
      <c r="P286" s="7" t="n">
        <v>4.544</v>
      </c>
    </row>
    <row r="287">
      <c r="A287" s="6" t="n">
        <v>5.625</v>
      </c>
      <c r="B287" s="2" t="n">
        <v>26.7</v>
      </c>
      <c r="C287" s="2" t="inlineStr">
        <is>
          <t>HCL-80</t>
        </is>
      </c>
      <c r="D287" s="2" t="n">
        <v>14750</v>
      </c>
      <c r="E287" s="2" t="n">
        <v>8990</v>
      </c>
      <c r="F287" s="2" t="n"/>
      <c r="G287" s="2" t="n"/>
      <c r="H287" s="2" t="n"/>
      <c r="I287" s="2" t="inlineStr">
        <is>
          <t>BTC</t>
        </is>
      </c>
      <c r="J287" s="2" t="n">
        <v>550</v>
      </c>
      <c r="K287" s="2" t="n"/>
      <c r="L287" s="2" t="n">
        <v>617</v>
      </c>
      <c r="M287" s="2" t="n">
        <v>0.477</v>
      </c>
      <c r="N287" s="2" t="n">
        <v>4.671</v>
      </c>
      <c r="O287" s="2" t="n"/>
      <c r="P287" s="7" t="n">
        <v>4.544</v>
      </c>
    </row>
    <row r="288">
      <c r="A288" s="8" t="n">
        <v>5.625</v>
      </c>
      <c r="B288" s="1" t="n">
        <v>26.7</v>
      </c>
      <c r="C288" s="1" t="inlineStr">
        <is>
          <t>H2S-90</t>
        </is>
      </c>
      <c r="D288" s="1" t="n">
        <v>14750</v>
      </c>
      <c r="E288" s="1" t="n">
        <v>11110</v>
      </c>
      <c r="F288" s="1" t="n"/>
      <c r="G288" s="1" t="n"/>
      <c r="H288" s="1" t="n"/>
      <c r="I288" s="1" t="inlineStr">
        <is>
          <t>LTC</t>
        </is>
      </c>
      <c r="J288" s="1" t="n">
        <v>514</v>
      </c>
      <c r="K288" s="1" t="n"/>
      <c r="L288" s="1" t="n">
        <v>694</v>
      </c>
      <c r="M288" s="1" t="n">
        <v>0.477</v>
      </c>
      <c r="N288" s="1" t="n">
        <v>4.671</v>
      </c>
      <c r="O288" s="1" t="n"/>
      <c r="P288" s="9" t="n">
        <v>4.544</v>
      </c>
    </row>
    <row r="289">
      <c r="A289" s="8" t="n">
        <v>5.625</v>
      </c>
      <c r="B289" s="1" t="n">
        <v>26.7</v>
      </c>
      <c r="C289" s="1" t="inlineStr">
        <is>
          <t>H2S-90</t>
        </is>
      </c>
      <c r="D289" s="1" t="n">
        <v>14750</v>
      </c>
      <c r="E289" s="1" t="n">
        <v>10120</v>
      </c>
      <c r="F289" s="1" t="n"/>
      <c r="G289" s="1" t="n"/>
      <c r="H289" s="1" t="n"/>
      <c r="I289" s="1" t="inlineStr">
        <is>
          <t>BTC</t>
        </is>
      </c>
      <c r="J289" s="1" t="n">
        <v>579</v>
      </c>
      <c r="K289" s="1" t="n"/>
      <c r="L289" s="1" t="n">
        <v>694</v>
      </c>
      <c r="M289" s="1" t="n">
        <v>0.477</v>
      </c>
      <c r="N289" s="1" t="n">
        <v>4.671</v>
      </c>
      <c r="O289" s="1" t="n"/>
      <c r="P289" s="9" t="n">
        <v>4.544</v>
      </c>
    </row>
    <row r="290">
      <c r="A290" s="6" t="n">
        <v>5.625</v>
      </c>
      <c r="B290" s="2" t="n">
        <v>26.7</v>
      </c>
      <c r="C290" s="2" t="inlineStr">
        <is>
          <t>H2S-90</t>
        </is>
      </c>
      <c r="D290" s="2" t="n">
        <v>14750</v>
      </c>
      <c r="E290" s="2" t="n">
        <v>11730</v>
      </c>
      <c r="F290" s="2" t="n"/>
      <c r="G290" s="2" t="n"/>
      <c r="H290" s="2" t="n"/>
      <c r="I290" s="2" t="inlineStr">
        <is>
          <t>LTC</t>
        </is>
      </c>
      <c r="J290" s="2" t="n">
        <v>539</v>
      </c>
      <c r="K290" s="2" t="n"/>
      <c r="L290" s="2" t="n">
        <v>733</v>
      </c>
      <c r="M290" s="2" t="n">
        <v>0.477</v>
      </c>
      <c r="N290" s="2" t="n">
        <v>4.671</v>
      </c>
      <c r="O290" s="2" t="n"/>
      <c r="P290" s="7" t="n">
        <v>4.544</v>
      </c>
    </row>
    <row r="291">
      <c r="A291" s="6" t="n">
        <v>5.625</v>
      </c>
      <c r="B291" s="2" t="n">
        <v>26.7</v>
      </c>
      <c r="C291" s="2" t="inlineStr">
        <is>
          <t>H2S-90</t>
        </is>
      </c>
      <c r="D291" s="2" t="n">
        <v>14750</v>
      </c>
      <c r="E291" s="2" t="n">
        <v>10680</v>
      </c>
      <c r="F291" s="2" t="n"/>
      <c r="G291" s="2" t="n"/>
      <c r="H291" s="2" t="n"/>
      <c r="I291" s="2" t="inlineStr">
        <is>
          <t>BTC</t>
        </is>
      </c>
      <c r="J291" s="2" t="n">
        <v>608</v>
      </c>
      <c r="K291" s="2" t="n"/>
      <c r="L291" s="2" t="n">
        <v>733</v>
      </c>
      <c r="M291" s="2" t="n">
        <v>0.477</v>
      </c>
      <c r="N291" s="2" t="n">
        <v>4.671</v>
      </c>
      <c r="O291" s="2" t="n"/>
      <c r="P291" s="7" t="n">
        <v>4.544</v>
      </c>
    </row>
    <row r="292" ht="15.75" customHeight="1" s="613" thickBot="1">
      <c r="A292" s="10" t="n">
        <v>5.625</v>
      </c>
      <c r="B292" s="11" t="n">
        <v>26.7</v>
      </c>
      <c r="C292" s="11" t="inlineStr">
        <is>
          <t>P-110</t>
        </is>
      </c>
      <c r="D292" s="11" t="n">
        <v>17080</v>
      </c>
      <c r="E292" s="11" t="n">
        <v>13580</v>
      </c>
      <c r="F292" s="11" t="n"/>
      <c r="G292" s="11" t="n"/>
      <c r="H292" s="11" t="n"/>
      <c r="I292" s="11" t="inlineStr">
        <is>
          <t>LTC</t>
        </is>
      </c>
      <c r="J292" s="11" t="n">
        <v>642</v>
      </c>
      <c r="K292" s="11" t="n"/>
      <c r="L292" s="11" t="n">
        <v>849</v>
      </c>
      <c r="M292" s="11" t="n">
        <v>0.477</v>
      </c>
      <c r="N292" s="11" t="n">
        <v>4.671</v>
      </c>
      <c r="O292" s="11" t="n"/>
      <c r="P292" s="12" t="n">
        <v>4.544</v>
      </c>
    </row>
    <row r="293" ht="15.75" customHeight="1" s="613" thickBot="1">
      <c r="A293" s="10" t="n">
        <v>5.625</v>
      </c>
      <c r="B293" s="11" t="n">
        <v>26.7</v>
      </c>
      <c r="C293" s="11" t="inlineStr">
        <is>
          <t>P-110</t>
        </is>
      </c>
      <c r="D293" s="11" t="n">
        <v>17080</v>
      </c>
      <c r="E293" s="11" t="n">
        <v>12360</v>
      </c>
      <c r="F293" s="11" t="n"/>
      <c r="G293" s="11" t="n"/>
      <c r="H293" s="11" t="n"/>
      <c r="I293" s="11" t="inlineStr">
        <is>
          <t>BTC</t>
        </is>
      </c>
      <c r="J293" s="11" t="n">
        <v>724</v>
      </c>
      <c r="K293" s="11" t="n"/>
      <c r="L293" s="11" t="n">
        <v>849</v>
      </c>
      <c r="M293" s="11" t="n">
        <v>0.477</v>
      </c>
      <c r="N293" s="11" t="n">
        <v>4.671</v>
      </c>
      <c r="O293" s="11" t="n"/>
      <c r="P293" s="12" t="n">
        <v>4.544</v>
      </c>
    </row>
    <row r="294">
      <c r="A294" s="3" t="n">
        <v>5.75</v>
      </c>
      <c r="B294" s="4" t="n">
        <v>16.5</v>
      </c>
      <c r="C294" s="4" t="inlineStr">
        <is>
          <t>J-55</t>
        </is>
      </c>
      <c r="D294" s="4" t="n">
        <v>3720</v>
      </c>
      <c r="E294" s="4" t="n">
        <v>4620</v>
      </c>
      <c r="F294" s="4" t="n"/>
      <c r="G294" s="4" t="n"/>
      <c r="H294" s="4" t="n"/>
      <c r="I294" s="4" t="inlineStr">
        <is>
          <t>BTC</t>
        </is>
      </c>
      <c r="J294" s="4" t="n">
        <v>314</v>
      </c>
      <c r="K294" s="4" t="n"/>
      <c r="L294" s="4" t="n">
        <v>234</v>
      </c>
      <c r="M294" s="4" t="n">
        <v>0.276</v>
      </c>
      <c r="N294" s="4" t="n">
        <v>5.198</v>
      </c>
      <c r="O294" s="4" t="n"/>
      <c r="P294" s="5" t="n">
        <v>5.073</v>
      </c>
    </row>
    <row r="295">
      <c r="A295" s="6" t="n">
        <v>5.75</v>
      </c>
      <c r="B295" s="2" t="n">
        <v>18.1</v>
      </c>
      <c r="C295" s="2" t="inlineStr">
        <is>
          <t>J-55</t>
        </is>
      </c>
      <c r="D295" s="2" t="n">
        <v>4520</v>
      </c>
      <c r="E295" s="2" t="n">
        <v>5090</v>
      </c>
      <c r="F295" s="2" t="n"/>
      <c r="G295" s="2" t="n"/>
      <c r="H295" s="2" t="n"/>
      <c r="I295" s="2" t="inlineStr">
        <is>
          <t>BTC</t>
        </is>
      </c>
      <c r="J295" s="2" t="n">
        <v>344</v>
      </c>
      <c r="K295" s="2" t="n"/>
      <c r="L295" s="2" t="n">
        <v>286</v>
      </c>
      <c r="M295" s="2" t="n">
        <v>0.304</v>
      </c>
      <c r="N295" s="2" t="n">
        <v>5.142</v>
      </c>
      <c r="O295" s="2" t="n"/>
      <c r="P295" s="7" t="n">
        <v>5.017</v>
      </c>
    </row>
    <row r="296">
      <c r="A296" s="8" t="n">
        <v>5.75</v>
      </c>
      <c r="B296" s="1" t="n">
        <v>18.1</v>
      </c>
      <c r="C296" s="1" t="inlineStr">
        <is>
          <t>L-80</t>
        </is>
      </c>
      <c r="D296" s="1" t="n">
        <v>5700</v>
      </c>
      <c r="E296" s="1" t="n">
        <v>7400</v>
      </c>
      <c r="F296" s="1" t="n"/>
      <c r="G296" s="1" t="n"/>
      <c r="H296" s="1" t="n"/>
      <c r="I296" s="1" t="inlineStr">
        <is>
          <t>BTC</t>
        </is>
      </c>
      <c r="J296" s="1" t="n">
        <v>447</v>
      </c>
      <c r="K296" s="1" t="n"/>
      <c r="L296" s="1" t="n">
        <v>416</v>
      </c>
      <c r="M296" s="1" t="n">
        <v>0.304</v>
      </c>
      <c r="N296" s="1" t="n">
        <v>5.142</v>
      </c>
      <c r="O296" s="1" t="n"/>
      <c r="P296" s="9" t="n">
        <v>5.017</v>
      </c>
    </row>
    <row r="297">
      <c r="A297" s="6" t="n">
        <v>5.75</v>
      </c>
      <c r="B297" s="2" t="n">
        <v>18.1</v>
      </c>
      <c r="C297" s="2" t="inlineStr">
        <is>
          <t>N-80</t>
        </is>
      </c>
      <c r="D297" s="2" t="n">
        <v>5700</v>
      </c>
      <c r="E297" s="2" t="n">
        <v>7400</v>
      </c>
      <c r="F297" s="2" t="n"/>
      <c r="G297" s="2" t="n"/>
      <c r="H297" s="2" t="n"/>
      <c r="I297" s="2" t="inlineStr">
        <is>
          <t>BTC</t>
        </is>
      </c>
      <c r="J297" s="2" t="n">
        <v>466</v>
      </c>
      <c r="K297" s="2" t="n"/>
      <c r="L297" s="2" t="n">
        <v>416</v>
      </c>
      <c r="M297" s="2" t="n">
        <v>0.304</v>
      </c>
      <c r="N297" s="2" t="n">
        <v>5.142</v>
      </c>
      <c r="O297" s="2" t="n"/>
      <c r="P297" s="7" t="n">
        <v>5.017</v>
      </c>
    </row>
    <row r="298">
      <c r="A298" s="8" t="n">
        <v>5.75</v>
      </c>
      <c r="B298" s="1" t="n">
        <v>18.1</v>
      </c>
      <c r="C298" s="1" t="inlineStr">
        <is>
          <t>C-95</t>
        </is>
      </c>
      <c r="D298" s="1" t="n">
        <v>6380</v>
      </c>
      <c r="E298" s="1" t="n">
        <v>8790</v>
      </c>
      <c r="F298" s="1" t="n"/>
      <c r="G298" s="1" t="n"/>
      <c r="H298" s="1" t="n"/>
      <c r="I298" s="1" t="inlineStr">
        <is>
          <t>BTC</t>
        </is>
      </c>
      <c r="J298" s="1" t="n">
        <v>502</v>
      </c>
      <c r="K298" s="1" t="n"/>
      <c r="L298" s="1" t="n">
        <v>494</v>
      </c>
      <c r="M298" s="1" t="n">
        <v>0.304</v>
      </c>
      <c r="N298" s="1" t="n">
        <v>5.142</v>
      </c>
      <c r="O298" s="1" t="n"/>
      <c r="P298" s="9" t="n">
        <v>5.017</v>
      </c>
    </row>
    <row r="299">
      <c r="A299" s="6" t="n">
        <v>5.75</v>
      </c>
      <c r="B299" s="2" t="n">
        <v>18.1</v>
      </c>
      <c r="C299" s="2" t="inlineStr">
        <is>
          <t>P-110</t>
        </is>
      </c>
      <c r="D299" s="2" t="n">
        <v>6640</v>
      </c>
      <c r="E299" s="2" t="n">
        <v>10180</v>
      </c>
      <c r="F299" s="2" t="n"/>
      <c r="G299" s="2" t="n"/>
      <c r="H299" s="2" t="n"/>
      <c r="I299" s="2" t="inlineStr">
        <is>
          <t>BTC</t>
        </is>
      </c>
      <c r="J299" s="2" t="n">
        <v>594</v>
      </c>
      <c r="K299" s="2" t="n"/>
      <c r="L299" s="2" t="n">
        <v>572</v>
      </c>
      <c r="M299" s="2" t="n">
        <v>0.304</v>
      </c>
      <c r="N299" s="2" t="n">
        <v>5.142</v>
      </c>
      <c r="O299" s="2" t="n"/>
      <c r="P299" s="7" t="n">
        <v>5.017</v>
      </c>
    </row>
    <row r="300">
      <c r="A300" s="8" t="n">
        <v>5.75</v>
      </c>
      <c r="B300" s="1" t="n">
        <v>19.7</v>
      </c>
      <c r="C300" s="1" t="inlineStr">
        <is>
          <t>J-55</t>
        </is>
      </c>
      <c r="D300" s="1" t="n">
        <v>5410</v>
      </c>
      <c r="E300" s="1" t="n">
        <v>5610</v>
      </c>
      <c r="F300" s="1" t="n"/>
      <c r="G300" s="1" t="n"/>
      <c r="H300" s="1" t="n"/>
      <c r="I300" s="1" t="inlineStr">
        <is>
          <t>BTC</t>
        </is>
      </c>
      <c r="J300" s="1" t="n">
        <v>377</v>
      </c>
      <c r="K300" s="1" t="n"/>
      <c r="L300" s="1" t="n">
        <v>313</v>
      </c>
      <c r="M300" s="1" t="n">
        <v>0.335</v>
      </c>
      <c r="N300" s="1" t="n">
        <v>5.08</v>
      </c>
      <c r="O300" s="1" t="n"/>
      <c r="P300" s="9" t="n">
        <v>4.955</v>
      </c>
    </row>
    <row r="301">
      <c r="A301" s="6" t="n">
        <v>5.75</v>
      </c>
      <c r="B301" s="2" t="n">
        <v>19.7</v>
      </c>
      <c r="C301" s="2" t="inlineStr">
        <is>
          <t>L-80</t>
        </is>
      </c>
      <c r="D301" s="2" t="n">
        <v>7030</v>
      </c>
      <c r="E301" s="2" t="n">
        <v>8160</v>
      </c>
      <c r="F301" s="2" t="n"/>
      <c r="G301" s="2" t="n"/>
      <c r="H301" s="2" t="n"/>
      <c r="I301" s="2" t="inlineStr">
        <is>
          <t>BTC</t>
        </is>
      </c>
      <c r="J301" s="2" t="n">
        <v>490</v>
      </c>
      <c r="K301" s="2" t="n"/>
      <c r="L301" s="2" t="n">
        <v>456</v>
      </c>
      <c r="M301" s="2" t="n">
        <v>0.335</v>
      </c>
      <c r="N301" s="2" t="n">
        <v>5.08</v>
      </c>
      <c r="O301" s="2" t="n"/>
      <c r="P301" s="7" t="n">
        <v>4.955</v>
      </c>
    </row>
    <row r="302">
      <c r="A302" s="8" t="n">
        <v>5.75</v>
      </c>
      <c r="B302" s="1" t="n">
        <v>19.7</v>
      </c>
      <c r="C302" s="1" t="inlineStr">
        <is>
          <t>N-80</t>
        </is>
      </c>
      <c r="D302" s="1" t="n">
        <v>7030</v>
      </c>
      <c r="E302" s="1" t="n">
        <v>8160</v>
      </c>
      <c r="F302" s="1" t="n"/>
      <c r="G302" s="1" t="n"/>
      <c r="H302" s="1" t="n"/>
      <c r="I302" s="1" t="inlineStr">
        <is>
          <t>BTC</t>
        </is>
      </c>
      <c r="J302" s="1" t="n">
        <v>511</v>
      </c>
      <c r="K302" s="1" t="n"/>
      <c r="L302" s="1" t="n">
        <v>456</v>
      </c>
      <c r="M302" s="1" t="n">
        <v>0.335</v>
      </c>
      <c r="N302" s="1" t="n">
        <v>5.08</v>
      </c>
      <c r="O302" s="1" t="n"/>
      <c r="P302" s="9" t="n">
        <v>4.955</v>
      </c>
    </row>
    <row r="303">
      <c r="A303" s="6" t="n">
        <v>5.75</v>
      </c>
      <c r="B303" s="2" t="n">
        <v>19.7</v>
      </c>
      <c r="C303" s="2" t="inlineStr">
        <is>
          <t>C-95</t>
        </is>
      </c>
      <c r="D303" s="2" t="n">
        <v>7980</v>
      </c>
      <c r="E303" s="2" t="n">
        <v>9690</v>
      </c>
      <c r="F303" s="2" t="n"/>
      <c r="G303" s="2" t="n"/>
      <c r="H303" s="2" t="n"/>
      <c r="I303" s="2" t="inlineStr">
        <is>
          <t>BTC</t>
        </is>
      </c>
      <c r="J303" s="2" t="n">
        <v>550</v>
      </c>
      <c r="K303" s="2" t="n"/>
      <c r="L303" s="2" t="n">
        <v>541</v>
      </c>
      <c r="M303" s="2" t="n">
        <v>0.335</v>
      </c>
      <c r="N303" s="2" t="n">
        <v>5.08</v>
      </c>
      <c r="O303" s="2" t="n"/>
      <c r="P303" s="7" t="n">
        <v>4.955</v>
      </c>
    </row>
    <row r="304">
      <c r="A304" s="8" t="n">
        <v>5.75</v>
      </c>
      <c r="B304" s="1" t="n">
        <v>19.7</v>
      </c>
      <c r="C304" s="1" t="inlineStr">
        <is>
          <t>P-110</t>
        </is>
      </c>
      <c r="D304" s="1" t="n">
        <v>8530</v>
      </c>
      <c r="E304" s="1" t="n">
        <v>11220</v>
      </c>
      <c r="F304" s="1" t="n"/>
      <c r="G304" s="1" t="n"/>
      <c r="H304" s="1" t="n"/>
      <c r="I304" s="1" t="inlineStr">
        <is>
          <t>BTC</t>
        </is>
      </c>
      <c r="J304" s="1" t="n">
        <v>651</v>
      </c>
      <c r="K304" s="1" t="n"/>
      <c r="L304" s="1" t="n">
        <v>627</v>
      </c>
      <c r="M304" s="1" t="n">
        <v>0.335</v>
      </c>
      <c r="N304" s="1" t="n">
        <v>5.08</v>
      </c>
      <c r="O304" s="1" t="n"/>
      <c r="P304" s="9" t="n">
        <v>4.955</v>
      </c>
    </row>
    <row r="305">
      <c r="A305" s="6" t="n">
        <v>5.75</v>
      </c>
      <c r="B305" s="2" t="n">
        <v>21.8</v>
      </c>
      <c r="C305" s="2" t="inlineStr">
        <is>
          <t>L-80</t>
        </is>
      </c>
      <c r="D305" s="2" t="n">
        <v>8740</v>
      </c>
      <c r="E305" s="2" t="n">
        <v>9130</v>
      </c>
      <c r="F305" s="2" t="n"/>
      <c r="G305" s="2" t="n"/>
      <c r="H305" s="2" t="n"/>
      <c r="I305" s="2" t="inlineStr">
        <is>
          <t>BTC</t>
        </is>
      </c>
      <c r="J305" s="2" t="n">
        <v>545</v>
      </c>
      <c r="K305" s="2" t="n"/>
      <c r="L305" s="2" t="n">
        <v>507</v>
      </c>
      <c r="M305" s="2" t="n">
        <v>0.375</v>
      </c>
      <c r="N305" s="2" t="n">
        <v>5</v>
      </c>
      <c r="O305" s="2" t="n"/>
      <c r="P305" s="7" t="n">
        <v>4.875</v>
      </c>
    </row>
    <row r="306">
      <c r="A306" s="8" t="n">
        <v>5.75</v>
      </c>
      <c r="B306" s="1" t="n">
        <v>21.8</v>
      </c>
      <c r="C306" s="1" t="inlineStr">
        <is>
          <t>N-80</t>
        </is>
      </c>
      <c r="D306" s="1" t="n">
        <v>8740</v>
      </c>
      <c r="E306" s="1" t="n">
        <v>9130</v>
      </c>
      <c r="F306" s="1" t="n"/>
      <c r="G306" s="1" t="n"/>
      <c r="H306" s="1" t="n"/>
      <c r="I306" s="1" t="inlineStr">
        <is>
          <t>BTC</t>
        </is>
      </c>
      <c r="J306" s="1" t="n">
        <v>568</v>
      </c>
      <c r="K306" s="1" t="n"/>
      <c r="L306" s="1" t="n">
        <v>507</v>
      </c>
      <c r="M306" s="1" t="n">
        <v>0.375</v>
      </c>
      <c r="N306" s="1" t="n">
        <v>5</v>
      </c>
      <c r="O306" s="1" t="n"/>
      <c r="P306" s="9" t="n">
        <v>4.875</v>
      </c>
    </row>
    <row r="307">
      <c r="A307" s="6" t="n">
        <v>5.75</v>
      </c>
      <c r="B307" s="2" t="n">
        <v>21.8</v>
      </c>
      <c r="C307" s="2" t="inlineStr">
        <is>
          <t>C-95</t>
        </is>
      </c>
      <c r="D307" s="2" t="n">
        <v>10050</v>
      </c>
      <c r="E307" s="2" t="n">
        <v>10840</v>
      </c>
      <c r="F307" s="2" t="n"/>
      <c r="G307" s="2" t="n"/>
      <c r="H307" s="2" t="n"/>
      <c r="I307" s="2" t="inlineStr">
        <is>
          <t>BTC</t>
        </is>
      </c>
      <c r="J307" s="2" t="n">
        <v>611</v>
      </c>
      <c r="K307" s="2" t="n"/>
      <c r="L307" s="2" t="n">
        <v>602</v>
      </c>
      <c r="M307" s="2" t="n">
        <v>0.375</v>
      </c>
      <c r="N307" s="2" t="n">
        <v>5</v>
      </c>
      <c r="O307" s="2" t="n"/>
      <c r="P307" s="7" t="n">
        <v>4.875</v>
      </c>
    </row>
    <row r="308">
      <c r="A308" s="8" t="n">
        <v>5.75</v>
      </c>
      <c r="B308" s="1" t="n">
        <v>21.8</v>
      </c>
      <c r="C308" s="1" t="inlineStr">
        <is>
          <t>P-110</t>
        </is>
      </c>
      <c r="D308" s="1" t="n">
        <v>10960</v>
      </c>
      <c r="E308" s="1" t="n">
        <v>12550</v>
      </c>
      <c r="F308" s="1" t="n"/>
      <c r="G308" s="1" t="n"/>
      <c r="H308" s="1" t="n"/>
      <c r="I308" s="1" t="inlineStr">
        <is>
          <t>BTC</t>
        </is>
      </c>
      <c r="J308" s="1" t="n">
        <v>723</v>
      </c>
      <c r="K308" s="1" t="n"/>
      <c r="L308" s="1" t="n">
        <v>697</v>
      </c>
      <c r="M308" s="1" t="n">
        <v>0.375</v>
      </c>
      <c r="N308" s="1" t="n">
        <v>5</v>
      </c>
      <c r="O308" s="1" t="n"/>
      <c r="P308" s="9" t="n">
        <v>4.875</v>
      </c>
    </row>
    <row r="309">
      <c r="A309" s="6" t="n">
        <v>5.75</v>
      </c>
      <c r="B309" s="2" t="n">
        <v>24.2</v>
      </c>
      <c r="C309" s="2" t="inlineStr">
        <is>
          <t>L-80</t>
        </is>
      </c>
      <c r="D309" s="2" t="n">
        <v>10650</v>
      </c>
      <c r="E309" s="2" t="n">
        <v>10230</v>
      </c>
      <c r="F309" s="2" t="n"/>
      <c r="G309" s="2" t="n"/>
      <c r="H309" s="2" t="n"/>
      <c r="I309" s="2" t="inlineStr">
        <is>
          <t>BTC</t>
        </is>
      </c>
      <c r="J309" s="2" t="n">
        <v>605</v>
      </c>
      <c r="K309" s="2" t="n"/>
      <c r="L309" s="2" t="n">
        <v>563</v>
      </c>
      <c r="M309" s="2" t="n">
        <v>0.42</v>
      </c>
      <c r="N309" s="2" t="n">
        <v>4.91</v>
      </c>
      <c r="O309" s="2" t="n"/>
      <c r="P309" s="7" t="n">
        <v>4.785</v>
      </c>
    </row>
    <row r="310">
      <c r="A310" s="8" t="n">
        <v>5.75</v>
      </c>
      <c r="B310" s="1" t="n">
        <v>24.2</v>
      </c>
      <c r="C310" s="1" t="inlineStr">
        <is>
          <t>N-80</t>
        </is>
      </c>
      <c r="D310" s="1" t="n">
        <v>10650</v>
      </c>
      <c r="E310" s="1" t="n">
        <v>10230</v>
      </c>
      <c r="F310" s="1" t="n"/>
      <c r="G310" s="1" t="n"/>
      <c r="H310" s="1" t="n"/>
      <c r="I310" s="1" t="inlineStr">
        <is>
          <t>BTC</t>
        </is>
      </c>
      <c r="J310" s="1" t="n">
        <v>630</v>
      </c>
      <c r="K310" s="1" t="n"/>
      <c r="L310" s="1" t="n">
        <v>563</v>
      </c>
      <c r="M310" s="1" t="n">
        <v>0.42</v>
      </c>
      <c r="N310" s="1" t="n">
        <v>4.91</v>
      </c>
      <c r="O310" s="1" t="n"/>
      <c r="P310" s="9" t="n">
        <v>4.785</v>
      </c>
    </row>
    <row r="311">
      <c r="A311" s="6" t="n">
        <v>5.75</v>
      </c>
      <c r="B311" s="2" t="n">
        <v>24.2</v>
      </c>
      <c r="C311" s="2" t="inlineStr">
        <is>
          <t>C-95</t>
        </is>
      </c>
      <c r="D311" s="2" t="n">
        <v>12370</v>
      </c>
      <c r="E311" s="2" t="n">
        <v>12140</v>
      </c>
      <c r="F311" s="2" t="n"/>
      <c r="G311" s="2" t="n"/>
      <c r="H311" s="2" t="n"/>
      <c r="I311" s="2" t="inlineStr">
        <is>
          <t>BTC</t>
        </is>
      </c>
      <c r="J311" s="2" t="n">
        <v>679</v>
      </c>
      <c r="K311" s="2" t="n"/>
      <c r="L311" s="2" t="n">
        <v>668</v>
      </c>
      <c r="M311" s="2" t="n">
        <v>0.42</v>
      </c>
      <c r="N311" s="2" t="n">
        <v>4.91</v>
      </c>
      <c r="O311" s="2" t="n"/>
      <c r="P311" s="7" t="n">
        <v>4.785</v>
      </c>
    </row>
    <row r="312" ht="15.75" customHeight="1" s="613" thickBot="1">
      <c r="A312" s="10" t="n">
        <v>5.75</v>
      </c>
      <c r="B312" s="11" t="n">
        <v>24.2</v>
      </c>
      <c r="C312" s="11" t="inlineStr">
        <is>
          <t>P-110</t>
        </is>
      </c>
      <c r="D312" s="11" t="n">
        <v>13700</v>
      </c>
      <c r="E312" s="11" t="n">
        <v>14060</v>
      </c>
      <c r="F312" s="11" t="n"/>
      <c r="G312" s="11" t="n"/>
      <c r="H312" s="11" t="n"/>
      <c r="I312" s="11" t="inlineStr">
        <is>
          <t>BTC</t>
        </is>
      </c>
      <c r="J312" s="11" t="n">
        <v>803</v>
      </c>
      <c r="K312" s="11" t="n"/>
      <c r="L312" s="11" t="n">
        <v>774</v>
      </c>
      <c r="M312" s="11" t="n">
        <v>0.42</v>
      </c>
      <c r="N312" s="11" t="n">
        <v>4.91</v>
      </c>
      <c r="O312" s="11" t="n"/>
      <c r="P312" s="12" t="n">
        <v>4.785</v>
      </c>
    </row>
    <row r="313">
      <c r="A313" s="3" t="n">
        <v>6.625</v>
      </c>
      <c r="B313" s="4" t="n">
        <v>20</v>
      </c>
      <c r="C313" s="4" t="inlineStr">
        <is>
          <t>H-40</t>
        </is>
      </c>
      <c r="D313" s="4" t="n">
        <v>2520</v>
      </c>
      <c r="E313" s="4" t="n">
        <v>3040</v>
      </c>
      <c r="F313" s="4" t="n"/>
      <c r="G313" s="4" t="n"/>
      <c r="H313" s="4" t="n"/>
      <c r="I313" s="4" t="inlineStr">
        <is>
          <t>STC</t>
        </is>
      </c>
      <c r="J313" s="4" t="n">
        <v>184</v>
      </c>
      <c r="K313" s="4" t="n"/>
      <c r="L313" s="4" t="n">
        <v>229</v>
      </c>
      <c r="M313" s="4" t="n">
        <v>0.288</v>
      </c>
      <c r="N313" s="4" t="n">
        <v>6.049</v>
      </c>
      <c r="O313" s="4" t="n">
        <v>5.924</v>
      </c>
      <c r="P313" s="5" t="n"/>
    </row>
    <row r="314">
      <c r="A314" s="6" t="n">
        <v>6.625</v>
      </c>
      <c r="B314" s="2" t="n">
        <v>20</v>
      </c>
      <c r="C314" s="2" t="inlineStr">
        <is>
          <t>J-55</t>
        </is>
      </c>
      <c r="D314" s="2" t="n">
        <v>2970</v>
      </c>
      <c r="E314" s="2" t="n">
        <v>4180</v>
      </c>
      <c r="F314" s="2" t="n"/>
      <c r="G314" s="2" t="n"/>
      <c r="H314" s="2" t="n"/>
      <c r="I314" s="2" t="inlineStr">
        <is>
          <t>STC</t>
        </is>
      </c>
      <c r="J314" s="2" t="n">
        <v>245</v>
      </c>
      <c r="K314" s="2" t="n"/>
      <c r="L314" s="2" t="n">
        <v>315</v>
      </c>
      <c r="M314" s="2" t="n">
        <v>0.288</v>
      </c>
      <c r="N314" s="2" t="n">
        <v>6.049</v>
      </c>
      <c r="O314" s="2" t="n">
        <v>5.924</v>
      </c>
      <c r="P314" s="7" t="n"/>
    </row>
    <row r="315">
      <c r="A315" s="6" t="n">
        <v>6.625</v>
      </c>
      <c r="B315" s="2" t="n">
        <v>20</v>
      </c>
      <c r="C315" s="2" t="inlineStr">
        <is>
          <t>J-55</t>
        </is>
      </c>
      <c r="D315" s="2" t="n">
        <v>2970</v>
      </c>
      <c r="E315" s="2" t="n">
        <v>4180</v>
      </c>
      <c r="F315" s="2" t="n"/>
      <c r="G315" s="2" t="n"/>
      <c r="H315" s="2" t="n"/>
      <c r="I315" s="2" t="inlineStr">
        <is>
          <t>LTC</t>
        </is>
      </c>
      <c r="J315" s="2" t="n">
        <v>266</v>
      </c>
      <c r="K315" s="2" t="n"/>
      <c r="L315" s="2" t="n">
        <v>315</v>
      </c>
      <c r="M315" s="2" t="n">
        <v>0.288</v>
      </c>
      <c r="N315" s="2" t="n">
        <v>6.049</v>
      </c>
      <c r="O315" s="2" t="n">
        <v>5.924</v>
      </c>
      <c r="P315" s="7" t="n"/>
    </row>
    <row r="316">
      <c r="A316" s="6" t="n">
        <v>6.625</v>
      </c>
      <c r="B316" s="2" t="n">
        <v>20</v>
      </c>
      <c r="C316" s="2" t="inlineStr">
        <is>
          <t>J-55</t>
        </is>
      </c>
      <c r="D316" s="2" t="n">
        <v>2970</v>
      </c>
      <c r="E316" s="2" t="n">
        <v>4180</v>
      </c>
      <c r="F316" s="2" t="n"/>
      <c r="G316" s="2" t="n"/>
      <c r="H316" s="2" t="n"/>
      <c r="I316" s="2" t="inlineStr">
        <is>
          <t>BTC</t>
        </is>
      </c>
      <c r="J316" s="2" t="n">
        <v>374</v>
      </c>
      <c r="K316" s="2" t="n"/>
      <c r="L316" s="2" t="n">
        <v>315</v>
      </c>
      <c r="M316" s="2" t="n">
        <v>0.288</v>
      </c>
      <c r="N316" s="2" t="n">
        <v>6.049</v>
      </c>
      <c r="O316" s="2" t="n">
        <v>5.924</v>
      </c>
      <c r="P316" s="7" t="n"/>
    </row>
    <row r="317">
      <c r="A317" s="8" t="n">
        <v>6.625</v>
      </c>
      <c r="B317" s="1" t="n">
        <v>20</v>
      </c>
      <c r="C317" s="1" t="inlineStr">
        <is>
          <t>K-55</t>
        </is>
      </c>
      <c r="D317" s="1" t="n">
        <v>2970</v>
      </c>
      <c r="E317" s="1" t="n">
        <v>4180</v>
      </c>
      <c r="F317" s="1" t="n"/>
      <c r="G317" s="1" t="n"/>
      <c r="H317" s="1" t="n"/>
      <c r="I317" s="1" t="inlineStr">
        <is>
          <t>STC</t>
        </is>
      </c>
      <c r="J317" s="1" t="n">
        <v>267</v>
      </c>
      <c r="K317" s="1" t="n"/>
      <c r="L317" s="1" t="n">
        <v>315</v>
      </c>
      <c r="M317" s="1" t="n">
        <v>0.288</v>
      </c>
      <c r="N317" s="1" t="n">
        <v>6.049</v>
      </c>
      <c r="O317" s="1" t="n">
        <v>5.924</v>
      </c>
      <c r="P317" s="9" t="n"/>
    </row>
    <row r="318">
      <c r="A318" s="8" t="n">
        <v>6.625</v>
      </c>
      <c r="B318" s="1" t="n">
        <v>20</v>
      </c>
      <c r="C318" s="1" t="inlineStr">
        <is>
          <t>K-55</t>
        </is>
      </c>
      <c r="D318" s="1" t="n">
        <v>2970</v>
      </c>
      <c r="E318" s="1" t="n">
        <v>4180</v>
      </c>
      <c r="F318" s="1" t="n"/>
      <c r="G318" s="1" t="n"/>
      <c r="H318" s="1" t="n"/>
      <c r="I318" s="1" t="inlineStr">
        <is>
          <t>LTC</t>
        </is>
      </c>
      <c r="J318" s="1" t="n">
        <v>290</v>
      </c>
      <c r="K318" s="1" t="n"/>
      <c r="L318" s="1" t="n">
        <v>315</v>
      </c>
      <c r="M318" s="1" t="n">
        <v>0.288</v>
      </c>
      <c r="N318" s="1" t="n">
        <v>6.049</v>
      </c>
      <c r="O318" s="1" t="n">
        <v>5.924</v>
      </c>
      <c r="P318" s="9" t="n"/>
    </row>
    <row r="319">
      <c r="A319" s="8" t="n">
        <v>6.625</v>
      </c>
      <c r="B319" s="1" t="n">
        <v>20</v>
      </c>
      <c r="C319" s="1" t="inlineStr">
        <is>
          <t>K-55</t>
        </is>
      </c>
      <c r="D319" s="1" t="n">
        <v>2970</v>
      </c>
      <c r="E319" s="1" t="n">
        <v>4180</v>
      </c>
      <c r="F319" s="1" t="n"/>
      <c r="G319" s="1" t="n"/>
      <c r="H319" s="1" t="n"/>
      <c r="I319" s="1" t="inlineStr">
        <is>
          <t>BTC</t>
        </is>
      </c>
      <c r="J319" s="1" t="n">
        <v>453</v>
      </c>
      <c r="K319" s="1" t="n"/>
      <c r="L319" s="1" t="n">
        <v>315</v>
      </c>
      <c r="M319" s="1" t="n">
        <v>0.288</v>
      </c>
      <c r="N319" s="1" t="n">
        <v>6.049</v>
      </c>
      <c r="O319" s="1" t="n">
        <v>5.924</v>
      </c>
      <c r="P319" s="9" t="n"/>
    </row>
    <row r="320">
      <c r="A320" s="6" t="n">
        <v>6.625</v>
      </c>
      <c r="B320" s="2" t="n">
        <v>24</v>
      </c>
      <c r="C320" s="2" t="inlineStr">
        <is>
          <t>J-55</t>
        </is>
      </c>
      <c r="D320" s="2" t="n">
        <v>4560</v>
      </c>
      <c r="E320" s="2" t="n">
        <v>5110</v>
      </c>
      <c r="F320" s="2" t="n"/>
      <c r="G320" s="2" t="n"/>
      <c r="H320" s="2" t="n"/>
      <c r="I320" s="2" t="inlineStr">
        <is>
          <t>STC</t>
        </is>
      </c>
      <c r="J320" s="2" t="n">
        <v>314</v>
      </c>
      <c r="K320" s="2" t="n"/>
      <c r="L320" s="2" t="n">
        <v>382</v>
      </c>
      <c r="M320" s="2" t="n">
        <v>0.352</v>
      </c>
      <c r="N320" s="2" t="n">
        <v>5.921</v>
      </c>
      <c r="O320" s="2" t="n">
        <v>5.796</v>
      </c>
      <c r="P320" s="7" t="n"/>
    </row>
    <row r="321">
      <c r="A321" s="6" t="n">
        <v>6.625</v>
      </c>
      <c r="B321" s="2" t="n">
        <v>24</v>
      </c>
      <c r="C321" s="2" t="inlineStr">
        <is>
          <t>J-55</t>
        </is>
      </c>
      <c r="D321" s="2" t="n">
        <v>4560</v>
      </c>
      <c r="E321" s="2" t="n">
        <v>5110</v>
      </c>
      <c r="F321" s="2" t="n"/>
      <c r="G321" s="2" t="n"/>
      <c r="H321" s="2" t="n"/>
      <c r="I321" s="2" t="inlineStr">
        <is>
          <t>LTC</t>
        </is>
      </c>
      <c r="J321" s="2" t="n">
        <v>340</v>
      </c>
      <c r="K321" s="2" t="n"/>
      <c r="L321" s="2" t="n">
        <v>382</v>
      </c>
      <c r="M321" s="2" t="n">
        <v>0.352</v>
      </c>
      <c r="N321" s="2" t="n">
        <v>5.921</v>
      </c>
      <c r="O321" s="2" t="n">
        <v>5.796</v>
      </c>
      <c r="P321" s="7" t="n"/>
    </row>
    <row r="322">
      <c r="A322" s="6" t="n">
        <v>6.625</v>
      </c>
      <c r="B322" s="2" t="n">
        <v>24</v>
      </c>
      <c r="C322" s="2" t="inlineStr">
        <is>
          <t>J-55</t>
        </is>
      </c>
      <c r="D322" s="2" t="n">
        <v>4560</v>
      </c>
      <c r="E322" s="2" t="n">
        <v>5110</v>
      </c>
      <c r="F322" s="2" t="n"/>
      <c r="G322" s="2" t="n"/>
      <c r="H322" s="2" t="n"/>
      <c r="I322" s="2" t="inlineStr">
        <is>
          <t>BTC</t>
        </is>
      </c>
      <c r="J322" s="2" t="n">
        <v>453</v>
      </c>
      <c r="K322" s="2" t="n"/>
      <c r="L322" s="2" t="n">
        <v>382</v>
      </c>
      <c r="M322" s="2" t="n">
        <v>0.352</v>
      </c>
      <c r="N322" s="2" t="n">
        <v>5.921</v>
      </c>
      <c r="O322" s="2" t="n">
        <v>5.796</v>
      </c>
      <c r="P322" s="7" t="n"/>
    </row>
    <row r="323">
      <c r="A323" s="8" t="n">
        <v>6.625</v>
      </c>
      <c r="B323" s="1" t="n">
        <v>24</v>
      </c>
      <c r="C323" s="1" t="inlineStr">
        <is>
          <t>K-55</t>
        </is>
      </c>
      <c r="D323" s="1" t="n">
        <v>4560</v>
      </c>
      <c r="E323" s="1" t="n">
        <v>5110</v>
      </c>
      <c r="F323" s="1" t="n"/>
      <c r="G323" s="1" t="n"/>
      <c r="H323" s="1" t="n"/>
      <c r="I323" s="1" t="inlineStr">
        <is>
          <t>STC</t>
        </is>
      </c>
      <c r="J323" s="1" t="n">
        <v>342</v>
      </c>
      <c r="K323" s="1" t="n"/>
      <c r="L323" s="1" t="n">
        <v>382</v>
      </c>
      <c r="M323" s="1" t="n">
        <v>0.352</v>
      </c>
      <c r="N323" s="1" t="n">
        <v>5.921</v>
      </c>
      <c r="O323" s="1" t="n">
        <v>5.796</v>
      </c>
      <c r="P323" s="9" t="n"/>
    </row>
    <row r="324">
      <c r="A324" s="8" t="n">
        <v>6.625</v>
      </c>
      <c r="B324" s="1" t="n">
        <v>24</v>
      </c>
      <c r="C324" s="1" t="inlineStr">
        <is>
          <t>K-55</t>
        </is>
      </c>
      <c r="D324" s="1" t="n">
        <v>4560</v>
      </c>
      <c r="E324" s="1" t="n">
        <v>5110</v>
      </c>
      <c r="F324" s="1" t="n"/>
      <c r="G324" s="1" t="n"/>
      <c r="H324" s="1" t="n"/>
      <c r="I324" s="1" t="inlineStr">
        <is>
          <t>LTC</t>
        </is>
      </c>
      <c r="J324" s="1" t="n">
        <v>372</v>
      </c>
      <c r="K324" s="1" t="n"/>
      <c r="L324" s="1" t="n">
        <v>382</v>
      </c>
      <c r="M324" s="1" t="n">
        <v>0.352</v>
      </c>
      <c r="N324" s="1" t="n">
        <v>5.921</v>
      </c>
      <c r="O324" s="1" t="n">
        <v>5.796</v>
      </c>
      <c r="P324" s="9" t="n"/>
    </row>
    <row r="325">
      <c r="A325" s="8" t="n">
        <v>6.625</v>
      </c>
      <c r="B325" s="1" t="n">
        <v>24</v>
      </c>
      <c r="C325" s="1" t="inlineStr">
        <is>
          <t>K-55</t>
        </is>
      </c>
      <c r="D325" s="1" t="n">
        <v>4560</v>
      </c>
      <c r="E325" s="1" t="n">
        <v>5110</v>
      </c>
      <c r="F325" s="1" t="n"/>
      <c r="G325" s="1" t="n"/>
      <c r="H325" s="1" t="n"/>
      <c r="I325" s="1" t="inlineStr">
        <is>
          <t>BTC</t>
        </is>
      </c>
      <c r="J325" s="1" t="n">
        <v>548</v>
      </c>
      <c r="K325" s="1" t="n"/>
      <c r="L325" s="1" t="n">
        <v>382</v>
      </c>
      <c r="M325" s="1" t="n">
        <v>0.352</v>
      </c>
      <c r="N325" s="1" t="n">
        <v>5.921</v>
      </c>
      <c r="O325" s="1" t="n">
        <v>5.796</v>
      </c>
      <c r="P325" s="9" t="n"/>
    </row>
    <row r="326">
      <c r="A326" s="6" t="n">
        <v>6.625</v>
      </c>
      <c r="B326" s="2" t="n">
        <v>24</v>
      </c>
      <c r="C326" s="2" t="inlineStr">
        <is>
          <t>L-80</t>
        </is>
      </c>
      <c r="D326" s="2" t="n">
        <v>5760</v>
      </c>
      <c r="E326" s="2" t="n">
        <v>7440</v>
      </c>
      <c r="F326" s="2" t="n"/>
      <c r="G326" s="2" t="n"/>
      <c r="H326" s="2" t="n"/>
      <c r="I326" s="2" t="inlineStr">
        <is>
          <t>LTC</t>
        </is>
      </c>
      <c r="J326" s="2" t="n">
        <v>473</v>
      </c>
      <c r="K326" s="2" t="n"/>
      <c r="L326" s="2" t="n">
        <v>555</v>
      </c>
      <c r="M326" s="2" t="n">
        <v>0.352</v>
      </c>
      <c r="N326" s="2" t="n">
        <v>5.921</v>
      </c>
      <c r="O326" s="2" t="n">
        <v>5.796</v>
      </c>
      <c r="P326" s="7" t="n"/>
    </row>
    <row r="327">
      <c r="A327" s="6" t="n">
        <v>6.625</v>
      </c>
      <c r="B327" s="2" t="n">
        <v>24</v>
      </c>
      <c r="C327" s="2" t="inlineStr">
        <is>
          <t>L-80</t>
        </is>
      </c>
      <c r="D327" s="2" t="n">
        <v>5760</v>
      </c>
      <c r="E327" s="2" t="n">
        <v>7440</v>
      </c>
      <c r="F327" s="2" t="n"/>
      <c r="G327" s="2" t="n"/>
      <c r="H327" s="2" t="n"/>
      <c r="I327" s="2" t="inlineStr">
        <is>
          <t>BTC</t>
        </is>
      </c>
      <c r="J327" s="2" t="n">
        <v>592</v>
      </c>
      <c r="K327" s="2" t="n"/>
      <c r="L327" s="2" t="n">
        <v>555</v>
      </c>
      <c r="M327" s="2" t="n">
        <v>0.352</v>
      </c>
      <c r="N327" s="2" t="n">
        <v>5.921</v>
      </c>
      <c r="O327" s="2" t="n">
        <v>5.796</v>
      </c>
      <c r="P327" s="7" t="n"/>
    </row>
    <row r="328">
      <c r="A328" s="8" t="n">
        <v>6.625</v>
      </c>
      <c r="B328" s="1" t="n">
        <v>24</v>
      </c>
      <c r="C328" s="1" t="inlineStr">
        <is>
          <t>N-80</t>
        </is>
      </c>
      <c r="D328" s="1" t="n">
        <v>5760</v>
      </c>
      <c r="E328" s="1" t="n">
        <v>7440</v>
      </c>
      <c r="F328" s="1" t="n"/>
      <c r="G328" s="1" t="n"/>
      <c r="H328" s="1" t="n"/>
      <c r="I328" s="1" t="inlineStr">
        <is>
          <t>LTC</t>
        </is>
      </c>
      <c r="J328" s="1" t="n">
        <v>481</v>
      </c>
      <c r="K328" s="1" t="n"/>
      <c r="L328" s="1" t="n">
        <v>555</v>
      </c>
      <c r="M328" s="1" t="n">
        <v>0.352</v>
      </c>
      <c r="N328" s="1" t="n">
        <v>5.921</v>
      </c>
      <c r="O328" s="1" t="n">
        <v>5.796</v>
      </c>
      <c r="P328" s="9" t="n"/>
    </row>
    <row r="329">
      <c r="A329" s="8" t="n">
        <v>6.625</v>
      </c>
      <c r="B329" s="1" t="n">
        <v>24</v>
      </c>
      <c r="C329" s="1" t="inlineStr">
        <is>
          <t>N-80</t>
        </is>
      </c>
      <c r="D329" s="1" t="n">
        <v>5760</v>
      </c>
      <c r="E329" s="1" t="n">
        <v>7440</v>
      </c>
      <c r="F329" s="1" t="n"/>
      <c r="G329" s="1" t="n"/>
      <c r="H329" s="1" t="n"/>
      <c r="I329" s="1" t="inlineStr">
        <is>
          <t>BTC</t>
        </is>
      </c>
      <c r="J329" s="1" t="n">
        <v>615</v>
      </c>
      <c r="K329" s="1" t="n"/>
      <c r="L329" s="1" t="n">
        <v>555</v>
      </c>
      <c r="M329" s="1" t="n">
        <v>0.352</v>
      </c>
      <c r="N329" s="1" t="n">
        <v>5.921</v>
      </c>
      <c r="O329" s="1" t="n">
        <v>5.796</v>
      </c>
      <c r="P329" s="9" t="n"/>
    </row>
    <row r="330">
      <c r="A330" s="6" t="n">
        <v>6.625</v>
      </c>
      <c r="B330" s="2" t="n">
        <v>24</v>
      </c>
      <c r="C330" s="2" t="inlineStr">
        <is>
          <t>C-90</t>
        </is>
      </c>
      <c r="D330" s="2" t="n">
        <v>6140</v>
      </c>
      <c r="E330" s="2" t="n">
        <v>8370</v>
      </c>
      <c r="F330" s="2" t="n"/>
      <c r="G330" s="2" t="n"/>
      <c r="H330" s="2" t="n"/>
      <c r="I330" s="2" t="inlineStr">
        <is>
          <t>LTC</t>
        </is>
      </c>
      <c r="J330" s="2" t="n">
        <v>520</v>
      </c>
      <c r="K330" s="2" t="n"/>
      <c r="L330" s="2" t="n">
        <v>624</v>
      </c>
      <c r="M330" s="2" t="n">
        <v>0.352</v>
      </c>
      <c r="N330" s="2" t="n">
        <v>5.921</v>
      </c>
      <c r="O330" s="2" t="n">
        <v>5.796</v>
      </c>
      <c r="P330" s="7" t="n"/>
    </row>
    <row r="331">
      <c r="A331" s="6" t="n">
        <v>6.625</v>
      </c>
      <c r="B331" s="2" t="n">
        <v>24</v>
      </c>
      <c r="C331" s="2" t="inlineStr">
        <is>
          <t>C-90</t>
        </is>
      </c>
      <c r="D331" s="2" t="n">
        <v>6140</v>
      </c>
      <c r="E331" s="2" t="n">
        <v>8370</v>
      </c>
      <c r="F331" s="2" t="n"/>
      <c r="G331" s="2" t="n"/>
      <c r="H331" s="2" t="n"/>
      <c r="I331" s="2" t="inlineStr">
        <is>
          <t>BTC</t>
        </is>
      </c>
      <c r="J331" s="2" t="n">
        <v>633</v>
      </c>
      <c r="K331" s="2" t="n"/>
      <c r="L331" s="2" t="n">
        <v>624</v>
      </c>
      <c r="M331" s="2" t="n">
        <v>0.352</v>
      </c>
      <c r="N331" s="2" t="n">
        <v>5.921</v>
      </c>
      <c r="O331" s="2" t="n">
        <v>5.796</v>
      </c>
      <c r="P331" s="7" t="n"/>
    </row>
    <row r="332">
      <c r="A332" s="8" t="n">
        <v>6.625</v>
      </c>
      <c r="B332" s="1" t="n">
        <v>24</v>
      </c>
      <c r="C332" s="1" t="inlineStr">
        <is>
          <t>C-95</t>
        </is>
      </c>
      <c r="D332" s="1" t="n">
        <v>6310</v>
      </c>
      <c r="E332" s="1" t="n">
        <v>8830</v>
      </c>
      <c r="F332" s="1" t="n"/>
      <c r="G332" s="1" t="n"/>
      <c r="H332" s="1" t="n"/>
      <c r="I332" s="1" t="inlineStr">
        <is>
          <t>LTC</t>
        </is>
      </c>
      <c r="J332" s="1" t="n">
        <v>546</v>
      </c>
      <c r="K332" s="1" t="n"/>
      <c r="L332" s="1" t="n">
        <v>659</v>
      </c>
      <c r="M332" s="1" t="n">
        <v>0.352</v>
      </c>
      <c r="N332" s="1" t="n">
        <v>5.921</v>
      </c>
      <c r="O332" s="1" t="n">
        <v>5.796</v>
      </c>
      <c r="P332" s="9" t="n"/>
    </row>
    <row r="333">
      <c r="A333" s="8" t="n">
        <v>6.625</v>
      </c>
      <c r="B333" s="1" t="n">
        <v>24</v>
      </c>
      <c r="C333" s="1" t="inlineStr">
        <is>
          <t>C-95</t>
        </is>
      </c>
      <c r="D333" s="1" t="n">
        <v>6310</v>
      </c>
      <c r="E333" s="1" t="n">
        <v>8830</v>
      </c>
      <c r="F333" s="1" t="n"/>
      <c r="G333" s="1" t="n"/>
      <c r="H333" s="1" t="n"/>
      <c r="I333" s="1" t="inlineStr">
        <is>
          <t>BTC</t>
        </is>
      </c>
      <c r="J333" s="1" t="n">
        <v>665</v>
      </c>
      <c r="K333" s="1" t="n"/>
      <c r="L333" s="1" t="n">
        <v>659</v>
      </c>
      <c r="M333" s="1" t="n">
        <v>0.352</v>
      </c>
      <c r="N333" s="1" t="n">
        <v>5.921</v>
      </c>
      <c r="O333" s="1" t="n">
        <v>5.796</v>
      </c>
      <c r="P333" s="9" t="n"/>
    </row>
    <row r="334">
      <c r="A334" s="6" t="n">
        <v>6.625</v>
      </c>
      <c r="B334" s="2" t="n">
        <v>24</v>
      </c>
      <c r="C334" s="2" t="inlineStr">
        <is>
          <t>P-110</t>
        </is>
      </c>
      <c r="D334" s="2" t="n">
        <v>6730</v>
      </c>
      <c r="E334" s="2" t="n">
        <v>10230</v>
      </c>
      <c r="F334" s="2" t="n"/>
      <c r="G334" s="2" t="n"/>
      <c r="H334" s="2" t="n"/>
      <c r="I334" s="2" t="inlineStr">
        <is>
          <t>LTC</t>
        </is>
      </c>
      <c r="J334" s="2" t="n">
        <v>641</v>
      </c>
      <c r="K334" s="2" t="n"/>
      <c r="L334" s="2" t="n">
        <v>763</v>
      </c>
      <c r="M334" s="2" t="n">
        <v>0.352</v>
      </c>
      <c r="N334" s="2" t="n">
        <v>5.921</v>
      </c>
      <c r="O334" s="2" t="n">
        <v>5.796</v>
      </c>
      <c r="P334" s="7" t="n"/>
    </row>
    <row r="335">
      <c r="A335" s="6" t="n">
        <v>6.625</v>
      </c>
      <c r="B335" s="2" t="n">
        <v>24</v>
      </c>
      <c r="C335" s="2" t="inlineStr">
        <is>
          <t>P-110</t>
        </is>
      </c>
      <c r="D335" s="2" t="n">
        <v>6730</v>
      </c>
      <c r="E335" s="2" t="n">
        <v>10230</v>
      </c>
      <c r="F335" s="2" t="n"/>
      <c r="G335" s="2" t="n"/>
      <c r="H335" s="2" t="n"/>
      <c r="I335" s="2" t="inlineStr">
        <is>
          <t>BTC</t>
        </is>
      </c>
      <c r="J335" s="2" t="n">
        <v>786</v>
      </c>
      <c r="K335" s="2" t="n"/>
      <c r="L335" s="2" t="n">
        <v>763</v>
      </c>
      <c r="M335" s="2" t="n">
        <v>0.352</v>
      </c>
      <c r="N335" s="2" t="n">
        <v>5.921</v>
      </c>
      <c r="O335" s="2" t="n">
        <v>5.796</v>
      </c>
      <c r="P335" s="7" t="n"/>
    </row>
    <row r="336">
      <c r="A336" s="8" t="n">
        <v>6.625</v>
      </c>
      <c r="B336" s="1" t="n">
        <v>28</v>
      </c>
      <c r="C336" s="1" t="inlineStr">
        <is>
          <t>L-80</t>
        </is>
      </c>
      <c r="D336" s="1" t="n">
        <v>8170</v>
      </c>
      <c r="E336" s="1" t="n">
        <v>8810</v>
      </c>
      <c r="F336" s="1" t="n"/>
      <c r="G336" s="1" t="n"/>
      <c r="H336" s="1" t="n"/>
      <c r="I336" s="1" t="inlineStr">
        <is>
          <t>LTC</t>
        </is>
      </c>
      <c r="J336" s="1" t="n">
        <v>576</v>
      </c>
      <c r="K336" s="1" t="n"/>
      <c r="L336" s="1" t="n">
        <v>651</v>
      </c>
      <c r="M336" s="1" t="n">
        <v>0.417</v>
      </c>
      <c r="N336" s="1" t="n">
        <v>5.791</v>
      </c>
      <c r="O336" s="1" t="n">
        <v>5.666</v>
      </c>
      <c r="P336" s="9" t="n"/>
    </row>
    <row r="337">
      <c r="A337" s="8" t="n">
        <v>6.625</v>
      </c>
      <c r="B337" s="1" t="n">
        <v>28</v>
      </c>
      <c r="C337" s="1" t="inlineStr">
        <is>
          <t>L-80</t>
        </is>
      </c>
      <c r="D337" s="1" t="n">
        <v>8170</v>
      </c>
      <c r="E337" s="1" t="n">
        <v>8810</v>
      </c>
      <c r="F337" s="1" t="n"/>
      <c r="G337" s="1" t="n"/>
      <c r="H337" s="1" t="n"/>
      <c r="I337" s="1" t="inlineStr">
        <is>
          <t>BTC</t>
        </is>
      </c>
      <c r="J337" s="1" t="n">
        <v>693</v>
      </c>
      <c r="K337" s="1" t="n"/>
      <c r="L337" s="1" t="n">
        <v>651</v>
      </c>
      <c r="M337" s="1" t="n">
        <v>0.417</v>
      </c>
      <c r="N337" s="1" t="n">
        <v>5.791</v>
      </c>
      <c r="O337" s="1" t="n">
        <v>5.666</v>
      </c>
      <c r="P337" s="9" t="n"/>
    </row>
    <row r="338">
      <c r="A338" s="6" t="n">
        <v>6.625</v>
      </c>
      <c r="B338" s="2" t="n">
        <v>28</v>
      </c>
      <c r="C338" s="2" t="inlineStr">
        <is>
          <t>N-80</t>
        </is>
      </c>
      <c r="D338" s="2" t="n">
        <v>8170</v>
      </c>
      <c r="E338" s="2" t="n">
        <v>8810</v>
      </c>
      <c r="F338" s="2" t="n"/>
      <c r="G338" s="2" t="n"/>
      <c r="H338" s="2" t="n"/>
      <c r="I338" s="2" t="inlineStr">
        <is>
          <t>LTC</t>
        </is>
      </c>
      <c r="J338" s="2" t="n">
        <v>586</v>
      </c>
      <c r="K338" s="2" t="n"/>
      <c r="L338" s="2" t="n">
        <v>651</v>
      </c>
      <c r="M338" s="2" t="n">
        <v>0.417</v>
      </c>
      <c r="N338" s="2" t="n">
        <v>5.791</v>
      </c>
      <c r="O338" s="2" t="n">
        <v>5.666</v>
      </c>
      <c r="P338" s="7" t="n"/>
    </row>
    <row r="339">
      <c r="A339" s="6" t="n">
        <v>6.625</v>
      </c>
      <c r="B339" s="2" t="n">
        <v>28</v>
      </c>
      <c r="C339" s="2" t="inlineStr">
        <is>
          <t>N-80</t>
        </is>
      </c>
      <c r="D339" s="2" t="n">
        <v>8170</v>
      </c>
      <c r="E339" s="2" t="n">
        <v>8810</v>
      </c>
      <c r="F339" s="2" t="n"/>
      <c r="G339" s="2" t="n"/>
      <c r="H339" s="2" t="n"/>
      <c r="I339" s="2" t="inlineStr">
        <is>
          <t>BTC</t>
        </is>
      </c>
      <c r="J339" s="2" t="n">
        <v>721</v>
      </c>
      <c r="K339" s="2" t="n"/>
      <c r="L339" s="2" t="n">
        <v>651</v>
      </c>
      <c r="M339" s="2" t="n">
        <v>0.417</v>
      </c>
      <c r="N339" s="2" t="n">
        <v>5.791</v>
      </c>
      <c r="O339" s="2" t="n">
        <v>5.666</v>
      </c>
      <c r="P339" s="7" t="n"/>
    </row>
    <row r="340">
      <c r="A340" s="8" t="n">
        <v>6.625</v>
      </c>
      <c r="B340" s="1" t="n">
        <v>28</v>
      </c>
      <c r="C340" s="1" t="inlineStr">
        <is>
          <t>C-90</t>
        </is>
      </c>
      <c r="D340" s="1" t="n">
        <v>8880</v>
      </c>
      <c r="E340" s="1" t="n">
        <v>9910</v>
      </c>
      <c r="F340" s="1" t="n"/>
      <c r="G340" s="1" t="n"/>
      <c r="H340" s="1" t="n"/>
      <c r="I340" s="1" t="inlineStr">
        <is>
          <t>LTC</t>
        </is>
      </c>
      <c r="J340" s="1" t="n">
        <v>633</v>
      </c>
      <c r="K340" s="1" t="n"/>
      <c r="L340" s="1" t="n">
        <v>732</v>
      </c>
      <c r="M340" s="1" t="n">
        <v>0.417</v>
      </c>
      <c r="N340" s="1" t="n">
        <v>5.791</v>
      </c>
      <c r="O340" s="1" t="n">
        <v>5.666</v>
      </c>
      <c r="P340" s="9" t="n"/>
    </row>
    <row r="341">
      <c r="A341" s="8" t="n">
        <v>6.625</v>
      </c>
      <c r="B341" s="1" t="n">
        <v>28</v>
      </c>
      <c r="C341" s="1" t="inlineStr">
        <is>
          <t>C-90</t>
        </is>
      </c>
      <c r="D341" s="1" t="n">
        <v>8880</v>
      </c>
      <c r="E341" s="1" t="n">
        <v>9910</v>
      </c>
      <c r="F341" s="1" t="n"/>
      <c r="G341" s="1" t="n"/>
      <c r="H341" s="1" t="n"/>
      <c r="I341" s="1" t="inlineStr">
        <is>
          <t>BTC</t>
        </is>
      </c>
      <c r="J341" s="1" t="n">
        <v>742</v>
      </c>
      <c r="K341" s="1" t="n"/>
      <c r="L341" s="1" t="n">
        <v>732</v>
      </c>
      <c r="M341" s="1" t="n">
        <v>0.417</v>
      </c>
      <c r="N341" s="1" t="n">
        <v>5.791</v>
      </c>
      <c r="O341" s="1" t="n">
        <v>5.666</v>
      </c>
      <c r="P341" s="9" t="n"/>
    </row>
    <row r="342">
      <c r="A342" s="6" t="n">
        <v>6.625</v>
      </c>
      <c r="B342" s="2" t="n">
        <v>28</v>
      </c>
      <c r="C342" s="2" t="inlineStr">
        <is>
          <t>C-95</t>
        </is>
      </c>
      <c r="D342" s="2" t="n">
        <v>9220</v>
      </c>
      <c r="E342" s="2" t="n">
        <v>10460</v>
      </c>
      <c r="F342" s="2" t="n"/>
      <c r="G342" s="2" t="n"/>
      <c r="H342" s="2" t="n"/>
      <c r="I342" s="2" t="inlineStr">
        <is>
          <t>LTC</t>
        </is>
      </c>
      <c r="J342" s="2" t="n">
        <v>665</v>
      </c>
      <c r="K342" s="2" t="n"/>
      <c r="L342" s="2" t="n">
        <v>773</v>
      </c>
      <c r="M342" s="2" t="n">
        <v>0.417</v>
      </c>
      <c r="N342" s="2" t="n">
        <v>5.791</v>
      </c>
      <c r="O342" s="2" t="n">
        <v>5.666</v>
      </c>
      <c r="P342" s="7" t="n"/>
    </row>
    <row r="343">
      <c r="A343" s="6" t="n">
        <v>6.625</v>
      </c>
      <c r="B343" s="2" t="n">
        <v>28</v>
      </c>
      <c r="C343" s="2" t="inlineStr">
        <is>
          <t>C-95</t>
        </is>
      </c>
      <c r="D343" s="2" t="n">
        <v>9220</v>
      </c>
      <c r="E343" s="2" t="n">
        <v>10460</v>
      </c>
      <c r="F343" s="2" t="n"/>
      <c r="G343" s="2" t="n"/>
      <c r="H343" s="2" t="n"/>
      <c r="I343" s="2" t="inlineStr">
        <is>
          <t>BTC</t>
        </is>
      </c>
      <c r="J343" s="2" t="n">
        <v>780</v>
      </c>
      <c r="K343" s="2" t="n"/>
      <c r="L343" s="2" t="n">
        <v>773</v>
      </c>
      <c r="M343" s="2" t="n">
        <v>0.417</v>
      </c>
      <c r="N343" s="2" t="n">
        <v>5.791</v>
      </c>
      <c r="O343" s="2" t="n">
        <v>5.666</v>
      </c>
      <c r="P343" s="7" t="n"/>
    </row>
    <row r="344">
      <c r="A344" s="8" t="n">
        <v>6.625</v>
      </c>
      <c r="B344" s="1" t="n">
        <v>28</v>
      </c>
      <c r="C344" s="1" t="inlineStr">
        <is>
          <t>P-110</t>
        </is>
      </c>
      <c r="D344" s="1" t="n">
        <v>10160</v>
      </c>
      <c r="E344" s="1" t="n">
        <v>12120</v>
      </c>
      <c r="F344" s="1" t="n"/>
      <c r="G344" s="1" t="n"/>
      <c r="H344" s="1" t="n"/>
      <c r="I344" s="1" t="inlineStr">
        <is>
          <t>LTC</t>
        </is>
      </c>
      <c r="J344" s="1" t="n">
        <v>781</v>
      </c>
      <c r="K344" s="1" t="n"/>
      <c r="L344" s="1" t="n">
        <v>895</v>
      </c>
      <c r="M344" s="1" t="n">
        <v>0.417</v>
      </c>
      <c r="N344" s="1" t="n">
        <v>5.791</v>
      </c>
      <c r="O344" s="1" t="n">
        <v>5.666</v>
      </c>
      <c r="P344" s="9" t="n"/>
    </row>
    <row r="345">
      <c r="A345" s="8" t="n">
        <v>6.625</v>
      </c>
      <c r="B345" s="1" t="n">
        <v>28</v>
      </c>
      <c r="C345" s="1" t="inlineStr">
        <is>
          <t>P-110</t>
        </is>
      </c>
      <c r="D345" s="1" t="n">
        <v>10160</v>
      </c>
      <c r="E345" s="1" t="n">
        <v>12120</v>
      </c>
      <c r="F345" s="1" t="n"/>
      <c r="G345" s="1" t="n"/>
      <c r="H345" s="1" t="n"/>
      <c r="I345" s="1" t="inlineStr">
        <is>
          <t>BTC</t>
        </is>
      </c>
      <c r="J345" s="1" t="n">
        <v>922</v>
      </c>
      <c r="K345" s="1" t="n"/>
      <c r="L345" s="1" t="n">
        <v>895</v>
      </c>
      <c r="M345" s="1" t="n">
        <v>0.417</v>
      </c>
      <c r="N345" s="1" t="n">
        <v>5.791</v>
      </c>
      <c r="O345" s="1" t="n">
        <v>5.666</v>
      </c>
      <c r="P345" s="9" t="n"/>
    </row>
    <row r="346">
      <c r="A346" s="6" t="n">
        <v>6.625</v>
      </c>
      <c r="B346" s="2" t="n">
        <v>32</v>
      </c>
      <c r="C346" s="2" t="inlineStr">
        <is>
          <t>L-80</t>
        </is>
      </c>
      <c r="D346" s="2" t="n">
        <v>10320</v>
      </c>
      <c r="E346" s="2" t="n">
        <v>10040</v>
      </c>
      <c r="F346" s="2" t="n"/>
      <c r="G346" s="2" t="n"/>
      <c r="H346" s="2" t="n"/>
      <c r="I346" s="2" t="inlineStr">
        <is>
          <t>LTC</t>
        </is>
      </c>
      <c r="J346" s="2" t="n">
        <v>666</v>
      </c>
      <c r="K346" s="2" t="n"/>
      <c r="L346" s="2" t="n">
        <v>734</v>
      </c>
      <c r="M346" s="2" t="n">
        <v>0.475</v>
      </c>
      <c r="N346" s="2" t="n">
        <v>5.675</v>
      </c>
      <c r="O346" s="2" t="n">
        <v>5.55</v>
      </c>
      <c r="P346" s="7" t="n"/>
    </row>
    <row r="347">
      <c r="A347" s="6" t="n">
        <v>6.625</v>
      </c>
      <c r="B347" s="2" t="n">
        <v>32</v>
      </c>
      <c r="C347" s="2" t="inlineStr">
        <is>
          <t>L-80</t>
        </is>
      </c>
      <c r="D347" s="2" t="n">
        <v>10320</v>
      </c>
      <c r="E347" s="2" t="n">
        <v>9820</v>
      </c>
      <c r="F347" s="2" t="n"/>
      <c r="G347" s="2" t="n"/>
      <c r="H347" s="2" t="n"/>
      <c r="I347" s="2" t="inlineStr">
        <is>
          <t>BTC</t>
        </is>
      </c>
      <c r="J347" s="2" t="n">
        <v>783</v>
      </c>
      <c r="K347" s="2" t="n"/>
      <c r="L347" s="2" t="n">
        <v>734</v>
      </c>
      <c r="M347" s="2" t="n">
        <v>0.475</v>
      </c>
      <c r="N347" s="2" t="n">
        <v>5.675</v>
      </c>
      <c r="O347" s="2" t="n">
        <v>5.55</v>
      </c>
      <c r="P347" s="7" t="n"/>
    </row>
    <row r="348">
      <c r="A348" s="8" t="n">
        <v>6.625</v>
      </c>
      <c r="B348" s="1" t="n">
        <v>32</v>
      </c>
      <c r="C348" s="1" t="inlineStr">
        <is>
          <t>N-80</t>
        </is>
      </c>
      <c r="D348" s="1" t="n">
        <v>10320</v>
      </c>
      <c r="E348" s="1" t="n">
        <v>10040</v>
      </c>
      <c r="F348" s="1" t="n"/>
      <c r="G348" s="1" t="n"/>
      <c r="H348" s="1" t="n"/>
      <c r="I348" s="1" t="inlineStr">
        <is>
          <t>LTC</t>
        </is>
      </c>
      <c r="J348" s="1" t="n">
        <v>677</v>
      </c>
      <c r="K348" s="1" t="n"/>
      <c r="L348" s="1" t="n">
        <v>734</v>
      </c>
      <c r="M348" s="1" t="n">
        <v>0.475</v>
      </c>
      <c r="N348" s="1" t="n">
        <v>5.675</v>
      </c>
      <c r="O348" s="1" t="n">
        <v>5.55</v>
      </c>
      <c r="P348" s="9" t="n"/>
    </row>
    <row r="349">
      <c r="A349" s="8" t="n">
        <v>6.625</v>
      </c>
      <c r="B349" s="1" t="n">
        <v>32</v>
      </c>
      <c r="C349" s="1" t="inlineStr">
        <is>
          <t>N-80</t>
        </is>
      </c>
      <c r="D349" s="1" t="n">
        <v>10320</v>
      </c>
      <c r="E349" s="1" t="n">
        <v>9820</v>
      </c>
      <c r="F349" s="1" t="n"/>
      <c r="G349" s="1" t="n"/>
      <c r="H349" s="1" t="n"/>
      <c r="I349" s="1" t="inlineStr">
        <is>
          <t>BTC</t>
        </is>
      </c>
      <c r="J349" s="1" t="n">
        <v>814</v>
      </c>
      <c r="K349" s="1" t="n"/>
      <c r="L349" s="1" t="n">
        <v>734</v>
      </c>
      <c r="M349" s="1" t="n">
        <v>0.475</v>
      </c>
      <c r="N349" s="1" t="n">
        <v>5.675</v>
      </c>
      <c r="O349" s="1" t="n">
        <v>5.55</v>
      </c>
      <c r="P349" s="9" t="n"/>
    </row>
    <row r="350">
      <c r="A350" s="6" t="n">
        <v>6.625</v>
      </c>
      <c r="B350" s="2" t="n">
        <v>32</v>
      </c>
      <c r="C350" s="2" t="inlineStr">
        <is>
          <t>C-90</t>
        </is>
      </c>
      <c r="D350" s="2" t="n">
        <v>11330</v>
      </c>
      <c r="E350" s="2" t="n">
        <v>11290</v>
      </c>
      <c r="F350" s="2" t="n"/>
      <c r="G350" s="2" t="n"/>
      <c r="H350" s="2" t="n"/>
      <c r="I350" s="2" t="inlineStr">
        <is>
          <t>LTC</t>
        </is>
      </c>
      <c r="J350" s="2" t="n">
        <v>732</v>
      </c>
      <c r="K350" s="2" t="n"/>
      <c r="L350" s="2" t="n">
        <v>826</v>
      </c>
      <c r="M350" s="2" t="n">
        <v>0.475</v>
      </c>
      <c r="N350" s="2" t="n">
        <v>5.675</v>
      </c>
      <c r="O350" s="2" t="n">
        <v>5.55</v>
      </c>
      <c r="P350" s="7" t="n"/>
    </row>
    <row r="351">
      <c r="A351" s="6" t="n">
        <v>6.625</v>
      </c>
      <c r="B351" s="2" t="n">
        <v>32</v>
      </c>
      <c r="C351" s="2" t="inlineStr">
        <is>
          <t>C-90</t>
        </is>
      </c>
      <c r="D351" s="2" t="n">
        <v>11330</v>
      </c>
      <c r="E351" s="2" t="n">
        <v>11050</v>
      </c>
      <c r="F351" s="2" t="n"/>
      <c r="G351" s="2" t="n"/>
      <c r="H351" s="2" t="n"/>
      <c r="I351" s="2" t="inlineStr">
        <is>
          <t>BTC</t>
        </is>
      </c>
      <c r="J351" s="2" t="n">
        <v>837</v>
      </c>
      <c r="K351" s="2" t="n"/>
      <c r="L351" s="2" t="n">
        <v>826</v>
      </c>
      <c r="M351" s="2" t="n">
        <v>0.475</v>
      </c>
      <c r="N351" s="2" t="n">
        <v>5.675</v>
      </c>
      <c r="O351" s="2" t="n">
        <v>5.55</v>
      </c>
      <c r="P351" s="7" t="n"/>
    </row>
    <row r="352">
      <c r="A352" s="8" t="n">
        <v>6.625</v>
      </c>
      <c r="B352" s="1" t="n">
        <v>32</v>
      </c>
      <c r="C352" s="1" t="inlineStr">
        <is>
          <t>C-95</t>
        </is>
      </c>
      <c r="D352" s="1" t="n">
        <v>11810</v>
      </c>
      <c r="E352" s="1" t="n">
        <v>11920</v>
      </c>
      <c r="F352" s="1" t="n"/>
      <c r="G352" s="1" t="n"/>
      <c r="H352" s="1" t="n"/>
      <c r="I352" s="1" t="inlineStr">
        <is>
          <t>LTC</t>
        </is>
      </c>
      <c r="J352" s="1" t="n">
        <v>769</v>
      </c>
      <c r="K352" s="1" t="n"/>
      <c r="L352" s="1" t="n">
        <v>872</v>
      </c>
      <c r="M352" s="1" t="n">
        <v>0.475</v>
      </c>
      <c r="N352" s="1" t="n">
        <v>5.675</v>
      </c>
      <c r="O352" s="1" t="n">
        <v>5.55</v>
      </c>
      <c r="P352" s="9" t="n"/>
    </row>
    <row r="353">
      <c r="A353" s="8" t="n">
        <v>6.625</v>
      </c>
      <c r="B353" s="1" t="n">
        <v>32</v>
      </c>
      <c r="C353" s="1" t="inlineStr">
        <is>
          <t>C-95</t>
        </is>
      </c>
      <c r="D353" s="1" t="n">
        <v>11810</v>
      </c>
      <c r="E353" s="1" t="n">
        <v>11660</v>
      </c>
      <c r="F353" s="1" t="n"/>
      <c r="G353" s="1" t="n"/>
      <c r="H353" s="1" t="n"/>
      <c r="I353" s="1" t="inlineStr">
        <is>
          <t>BTC</t>
        </is>
      </c>
      <c r="J353" s="1" t="n">
        <v>880</v>
      </c>
      <c r="K353" s="1" t="n"/>
      <c r="L353" s="1" t="n">
        <v>872</v>
      </c>
      <c r="M353" s="1" t="n">
        <v>0.475</v>
      </c>
      <c r="N353" s="1" t="n">
        <v>5.675</v>
      </c>
      <c r="O353" s="1" t="n">
        <v>5.55</v>
      </c>
      <c r="P353" s="9" t="n"/>
    </row>
    <row r="354">
      <c r="A354" s="6" t="n">
        <v>6.625</v>
      </c>
      <c r="B354" s="2" t="n">
        <v>32</v>
      </c>
      <c r="C354" s="2" t="inlineStr">
        <is>
          <t>P-110</t>
        </is>
      </c>
      <c r="D354" s="2" t="n">
        <v>13220</v>
      </c>
      <c r="E354" s="2" t="n">
        <v>13800</v>
      </c>
      <c r="F354" s="2" t="n"/>
      <c r="G354" s="2" t="n"/>
      <c r="H354" s="2" t="n"/>
      <c r="I354" s="2" t="inlineStr">
        <is>
          <t>LTC</t>
        </is>
      </c>
      <c r="J354" s="2" t="n">
        <v>904</v>
      </c>
      <c r="K354" s="2" t="n"/>
      <c r="L354" s="2" t="n">
        <v>1009</v>
      </c>
      <c r="M354" s="2" t="n">
        <v>0.475</v>
      </c>
      <c r="N354" s="2" t="n">
        <v>5.675</v>
      </c>
      <c r="O354" s="2" t="n">
        <v>5.55</v>
      </c>
      <c r="P354" s="7" t="n"/>
    </row>
    <row r="355">
      <c r="A355" s="6" t="n">
        <v>6.625</v>
      </c>
      <c r="B355" s="2" t="n">
        <v>32</v>
      </c>
      <c r="C355" s="2" t="inlineStr">
        <is>
          <t>P-110</t>
        </is>
      </c>
      <c r="D355" s="2" t="n">
        <v>13220</v>
      </c>
      <c r="E355" s="2" t="n">
        <v>13500</v>
      </c>
      <c r="F355" s="2" t="n"/>
      <c r="G355" s="2" t="n"/>
      <c r="H355" s="2" t="n"/>
      <c r="I355" s="2" t="inlineStr">
        <is>
          <t>BTC</t>
        </is>
      </c>
      <c r="J355" s="2" t="n">
        <v>1040</v>
      </c>
      <c r="K355" s="2" t="n"/>
      <c r="L355" s="2" t="n">
        <v>1009</v>
      </c>
      <c r="M355" s="2" t="n">
        <v>0.475</v>
      </c>
      <c r="N355" s="2" t="n">
        <v>5.675</v>
      </c>
      <c r="O355" s="2" t="n">
        <v>5.55</v>
      </c>
      <c r="P355" s="7" t="n"/>
    </row>
    <row r="356" ht="15.75" customHeight="1" s="613" thickBot="1">
      <c r="A356" s="10" t="n">
        <v>6.625</v>
      </c>
      <c r="B356" s="11" t="n">
        <v>32</v>
      </c>
      <c r="C356" s="11" t="inlineStr">
        <is>
          <t>Q-125</t>
        </is>
      </c>
      <c r="D356" s="11" t="n">
        <v>14530</v>
      </c>
      <c r="E356" s="11" t="n">
        <v>15680</v>
      </c>
      <c r="F356" s="11" t="n"/>
      <c r="G356" s="11" t="n"/>
      <c r="H356" s="11" t="n"/>
      <c r="I356" s="11" t="inlineStr">
        <is>
          <t>LTC</t>
        </is>
      </c>
      <c r="J356" s="11" t="n">
        <v>989</v>
      </c>
      <c r="K356" s="11" t="n"/>
      <c r="L356" s="11" t="n">
        <v>1147</v>
      </c>
      <c r="M356" s="11" t="n">
        <v>0.475</v>
      </c>
      <c r="N356" s="11" t="n">
        <v>5.675</v>
      </c>
      <c r="O356" s="11" t="n">
        <v>5.55</v>
      </c>
      <c r="P356" s="12" t="n"/>
    </row>
    <row r="357" ht="15.75" customHeight="1" s="613" thickBot="1">
      <c r="A357" s="10" t="n">
        <v>6.625</v>
      </c>
      <c r="B357" s="11" t="n">
        <v>32</v>
      </c>
      <c r="C357" s="11" t="inlineStr">
        <is>
          <t>Q-125</t>
        </is>
      </c>
      <c r="D357" s="11" t="n">
        <v>14530</v>
      </c>
      <c r="E357" s="11" t="n">
        <v>15340</v>
      </c>
      <c r="F357" s="11" t="n"/>
      <c r="G357" s="11" t="n"/>
      <c r="H357" s="11" t="n"/>
      <c r="I357" s="11" t="inlineStr">
        <is>
          <t>BTC</t>
        </is>
      </c>
      <c r="J357" s="11" t="n">
        <v>1138</v>
      </c>
      <c r="K357" s="11" t="n"/>
      <c r="L357" s="11" t="n">
        <v>1147</v>
      </c>
      <c r="M357" s="11" t="n">
        <v>0.475</v>
      </c>
      <c r="N357" s="11" t="n">
        <v>5.675</v>
      </c>
      <c r="O357" s="11" t="n">
        <v>5.55</v>
      </c>
      <c r="P357" s="12" t="n"/>
    </row>
    <row r="358">
      <c r="A358" s="3" t="n">
        <v>7</v>
      </c>
      <c r="B358" s="4" t="n">
        <v>20</v>
      </c>
      <c r="C358" s="4" t="inlineStr">
        <is>
          <t>H-40</t>
        </is>
      </c>
      <c r="D358" s="4" t="n">
        <v>1970</v>
      </c>
      <c r="E358" s="4" t="n">
        <v>2720</v>
      </c>
      <c r="F358" s="4" t="n"/>
      <c r="G358" s="4" t="n"/>
      <c r="H358" s="4" t="n"/>
      <c r="I358" s="4" t="inlineStr">
        <is>
          <t>STC</t>
        </is>
      </c>
      <c r="J358" s="4" t="n">
        <v>176</v>
      </c>
      <c r="K358" s="4" t="n"/>
      <c r="L358" s="4" t="n">
        <v>230</v>
      </c>
      <c r="M358" s="4" t="n">
        <v>0.272</v>
      </c>
      <c r="N358" s="4" t="n">
        <v>6.456</v>
      </c>
      <c r="O358" s="4" t="n">
        <v>6.331</v>
      </c>
      <c r="P358" s="5" t="n"/>
    </row>
    <row r="359">
      <c r="A359" s="6" t="n">
        <v>7</v>
      </c>
      <c r="B359" s="2" t="n">
        <v>20</v>
      </c>
      <c r="C359" s="2" t="inlineStr">
        <is>
          <t>J-55</t>
        </is>
      </c>
      <c r="D359" s="2" t="n">
        <v>2270</v>
      </c>
      <c r="E359" s="2" t="n">
        <v>3740</v>
      </c>
      <c r="F359" s="2" t="n"/>
      <c r="G359" s="2" t="n"/>
      <c r="H359" s="2" t="n"/>
      <c r="I359" s="2" t="inlineStr">
        <is>
          <t>STC</t>
        </is>
      </c>
      <c r="J359" s="2" t="n">
        <v>234</v>
      </c>
      <c r="K359" s="2" t="n"/>
      <c r="L359" s="2" t="n">
        <v>316</v>
      </c>
      <c r="M359" s="2" t="n">
        <v>0.272</v>
      </c>
      <c r="N359" s="2" t="n">
        <v>6.456</v>
      </c>
      <c r="O359" s="2" t="n">
        <v>6.331</v>
      </c>
      <c r="P359" s="7" t="n"/>
    </row>
    <row r="360">
      <c r="A360" s="6" t="n">
        <v>7</v>
      </c>
      <c r="B360" s="2" t="n">
        <v>20</v>
      </c>
      <c r="C360" s="2" t="inlineStr">
        <is>
          <t>J-55</t>
        </is>
      </c>
      <c r="D360" s="2" t="n">
        <v>2270</v>
      </c>
      <c r="E360" s="2" t="n">
        <v>3740</v>
      </c>
      <c r="F360" s="2" t="n"/>
      <c r="G360" s="2" t="n"/>
      <c r="H360" s="2" t="n"/>
      <c r="I360" s="2" t="inlineStr">
        <is>
          <t>LTC</t>
        </is>
      </c>
      <c r="J360" s="2" t="n">
        <v>257</v>
      </c>
      <c r="K360" s="2" t="n"/>
      <c r="L360" s="2" t="n">
        <v>316</v>
      </c>
      <c r="M360" s="2" t="n">
        <v>0.272</v>
      </c>
      <c r="N360" s="2" t="n">
        <v>6.456</v>
      </c>
      <c r="O360" s="2" t="n">
        <v>6.331</v>
      </c>
      <c r="P360" s="7" t="n"/>
    </row>
    <row r="361">
      <c r="A361" s="6" t="n">
        <v>7</v>
      </c>
      <c r="B361" s="2" t="n">
        <v>20</v>
      </c>
      <c r="C361" s="2" t="inlineStr">
        <is>
          <t>J-55</t>
        </is>
      </c>
      <c r="D361" s="2" t="n">
        <v>2270</v>
      </c>
      <c r="E361" s="2" t="n">
        <v>3740</v>
      </c>
      <c r="F361" s="2" t="n"/>
      <c r="G361" s="2" t="n"/>
      <c r="H361" s="2" t="n"/>
      <c r="I361" s="2" t="inlineStr">
        <is>
          <t>BTC</t>
        </is>
      </c>
      <c r="J361" s="2" t="n">
        <v>373</v>
      </c>
      <c r="K361" s="2" t="n"/>
      <c r="L361" s="2" t="n">
        <v>316</v>
      </c>
      <c r="M361" s="2" t="n">
        <v>0.272</v>
      </c>
      <c r="N361" s="2" t="n">
        <v>6.456</v>
      </c>
      <c r="O361" s="2" t="n">
        <v>6.331</v>
      </c>
      <c r="P361" s="7" t="n"/>
    </row>
    <row r="362">
      <c r="A362" s="8" t="n">
        <v>7</v>
      </c>
      <c r="B362" s="1" t="n">
        <v>20</v>
      </c>
      <c r="C362" s="1" t="inlineStr">
        <is>
          <t>K-55</t>
        </is>
      </c>
      <c r="D362" s="1" t="n">
        <v>2270</v>
      </c>
      <c r="E362" s="1" t="n">
        <v>3740</v>
      </c>
      <c r="F362" s="1" t="n"/>
      <c r="G362" s="1" t="n"/>
      <c r="H362" s="1" t="n"/>
      <c r="I362" s="1" t="inlineStr">
        <is>
          <t>STC</t>
        </is>
      </c>
      <c r="J362" s="1" t="n">
        <v>254</v>
      </c>
      <c r="K362" s="1" t="n"/>
      <c r="L362" s="1" t="n">
        <v>316</v>
      </c>
      <c r="M362" s="1" t="n">
        <v>0.272</v>
      </c>
      <c r="N362" s="1" t="n">
        <v>6.456</v>
      </c>
      <c r="O362" s="1" t="n">
        <v>6.331</v>
      </c>
      <c r="P362" s="9" t="n"/>
    </row>
    <row r="363">
      <c r="A363" s="8" t="n">
        <v>7</v>
      </c>
      <c r="B363" s="1" t="n">
        <v>20</v>
      </c>
      <c r="C363" s="1" t="inlineStr">
        <is>
          <t>K-55</t>
        </is>
      </c>
      <c r="D363" s="1" t="n">
        <v>2270</v>
      </c>
      <c r="E363" s="1" t="n">
        <v>3740</v>
      </c>
      <c r="F363" s="1" t="n"/>
      <c r="G363" s="1" t="n"/>
      <c r="H363" s="1" t="n"/>
      <c r="I363" s="1" t="inlineStr">
        <is>
          <t>LTC</t>
        </is>
      </c>
      <c r="J363" s="1" t="n">
        <v>281</v>
      </c>
      <c r="K363" s="1" t="n"/>
      <c r="L363" s="1" t="n">
        <v>316</v>
      </c>
      <c r="M363" s="1" t="n">
        <v>0.272</v>
      </c>
      <c r="N363" s="1" t="n">
        <v>6.456</v>
      </c>
      <c r="O363" s="1" t="n">
        <v>6.331</v>
      </c>
      <c r="P363" s="9" t="n"/>
    </row>
    <row r="364">
      <c r="A364" s="8" t="n">
        <v>7</v>
      </c>
      <c r="B364" s="1" t="n">
        <v>20</v>
      </c>
      <c r="C364" s="1" t="inlineStr">
        <is>
          <t>K-55</t>
        </is>
      </c>
      <c r="D364" s="1" t="n">
        <v>2270</v>
      </c>
      <c r="E364" s="1" t="n">
        <v>3740</v>
      </c>
      <c r="F364" s="1" t="n"/>
      <c r="G364" s="1" t="n"/>
      <c r="H364" s="1" t="n"/>
      <c r="I364" s="1" t="inlineStr">
        <is>
          <t>BTC</t>
        </is>
      </c>
      <c r="J364" s="1" t="n">
        <v>451</v>
      </c>
      <c r="K364" s="1" t="n"/>
      <c r="L364" s="1" t="n">
        <v>316</v>
      </c>
      <c r="M364" s="1" t="n">
        <v>0.272</v>
      </c>
      <c r="N364" s="1" t="n">
        <v>6.456</v>
      </c>
      <c r="O364" s="1" t="n">
        <v>6.331</v>
      </c>
      <c r="P364" s="9" t="n"/>
    </row>
    <row r="365">
      <c r="A365" s="6" t="n">
        <v>7</v>
      </c>
      <c r="B365" s="2" t="n">
        <v>23</v>
      </c>
      <c r="C365" s="2" t="inlineStr">
        <is>
          <t>J-55</t>
        </is>
      </c>
      <c r="D365" s="2" t="n">
        <v>3270</v>
      </c>
      <c r="E365" s="2" t="n">
        <v>4360</v>
      </c>
      <c r="F365" s="2" t="n"/>
      <c r="G365" s="2" t="n"/>
      <c r="H365" s="2" t="n"/>
      <c r="I365" s="2" t="inlineStr">
        <is>
          <t>STC</t>
        </is>
      </c>
      <c r="J365" s="2" t="n">
        <v>284</v>
      </c>
      <c r="K365" s="2" t="n"/>
      <c r="L365" s="2" t="n">
        <v>366</v>
      </c>
      <c r="M365" s="2" t="n">
        <v>0.317</v>
      </c>
      <c r="N365" s="2" t="n">
        <v>6.366</v>
      </c>
      <c r="O365" s="2" t="n">
        <v>6.241</v>
      </c>
      <c r="P365" s="7" t="n">
        <v>6.25</v>
      </c>
    </row>
    <row r="366">
      <c r="A366" s="6" t="n">
        <v>7</v>
      </c>
      <c r="B366" s="2" t="n">
        <v>23</v>
      </c>
      <c r="C366" s="2" t="inlineStr">
        <is>
          <t>J-55</t>
        </is>
      </c>
      <c r="D366" s="2" t="n">
        <v>3270</v>
      </c>
      <c r="E366" s="2" t="n">
        <v>4360</v>
      </c>
      <c r="F366" s="2" t="n"/>
      <c r="G366" s="2" t="n"/>
      <c r="H366" s="2" t="n"/>
      <c r="I366" s="2" t="inlineStr">
        <is>
          <t>LTC</t>
        </is>
      </c>
      <c r="J366" s="2" t="n">
        <v>313</v>
      </c>
      <c r="K366" s="2" t="n"/>
      <c r="L366" s="2" t="n">
        <v>366</v>
      </c>
      <c r="M366" s="2" t="n">
        <v>0.317</v>
      </c>
      <c r="N366" s="2" t="n">
        <v>6.366</v>
      </c>
      <c r="O366" s="2" t="n">
        <v>6.241</v>
      </c>
      <c r="P366" s="7" t="n">
        <v>6.25</v>
      </c>
    </row>
    <row r="367">
      <c r="A367" s="6" t="n">
        <v>7</v>
      </c>
      <c r="B367" s="2" t="n">
        <v>23</v>
      </c>
      <c r="C367" s="2" t="inlineStr">
        <is>
          <t>J-55</t>
        </is>
      </c>
      <c r="D367" s="2" t="n">
        <v>3270</v>
      </c>
      <c r="E367" s="2" t="n">
        <v>4360</v>
      </c>
      <c r="F367" s="2" t="n"/>
      <c r="G367" s="2" t="n"/>
      <c r="H367" s="2" t="n"/>
      <c r="I367" s="2" t="inlineStr">
        <is>
          <t>BTC</t>
        </is>
      </c>
      <c r="J367" s="2" t="n">
        <v>432</v>
      </c>
      <c r="K367" s="2" t="n"/>
      <c r="L367" s="2" t="n">
        <v>366</v>
      </c>
      <c r="M367" s="2" t="n">
        <v>0.317</v>
      </c>
      <c r="N367" s="2" t="n">
        <v>6.366</v>
      </c>
      <c r="O367" s="2" t="n">
        <v>6.241</v>
      </c>
      <c r="P367" s="7" t="n">
        <v>6.25</v>
      </c>
    </row>
    <row r="368">
      <c r="A368" s="8" t="n">
        <v>7</v>
      </c>
      <c r="B368" s="1" t="n">
        <v>23</v>
      </c>
      <c r="C368" s="1" t="inlineStr">
        <is>
          <t>K-55</t>
        </is>
      </c>
      <c r="D368" s="1" t="n">
        <v>3270</v>
      </c>
      <c r="E368" s="1" t="n">
        <v>4360</v>
      </c>
      <c r="F368" s="1" t="n"/>
      <c r="G368" s="1" t="n"/>
      <c r="H368" s="1" t="n"/>
      <c r="I368" s="1" t="inlineStr">
        <is>
          <t>STC</t>
        </is>
      </c>
      <c r="J368" s="1" t="n">
        <v>309</v>
      </c>
      <c r="K368" s="1" t="n"/>
      <c r="L368" s="1" t="n">
        <v>366</v>
      </c>
      <c r="M368" s="1" t="n">
        <v>0.317</v>
      </c>
      <c r="N368" s="1" t="n">
        <v>6.366</v>
      </c>
      <c r="O368" s="1" t="n">
        <v>6.241</v>
      </c>
      <c r="P368" s="9" t="n">
        <v>6.25</v>
      </c>
    </row>
    <row r="369">
      <c r="A369" s="8" t="n">
        <v>7</v>
      </c>
      <c r="B369" s="1" t="n">
        <v>23</v>
      </c>
      <c r="C369" s="1" t="inlineStr">
        <is>
          <t>K-55</t>
        </is>
      </c>
      <c r="D369" s="1" t="n">
        <v>3270</v>
      </c>
      <c r="E369" s="1" t="n">
        <v>4360</v>
      </c>
      <c r="F369" s="1" t="n"/>
      <c r="G369" s="1" t="n"/>
      <c r="H369" s="1" t="n"/>
      <c r="I369" s="1" t="inlineStr">
        <is>
          <t>LTC</t>
        </is>
      </c>
      <c r="J369" s="1" t="n">
        <v>341</v>
      </c>
      <c r="K369" s="1" t="n"/>
      <c r="L369" s="1" t="n">
        <v>366</v>
      </c>
      <c r="M369" s="1" t="n">
        <v>0.317</v>
      </c>
      <c r="N369" s="1" t="n">
        <v>6.366</v>
      </c>
      <c r="O369" s="1" t="n">
        <v>6.241</v>
      </c>
      <c r="P369" s="9" t="n">
        <v>6.25</v>
      </c>
    </row>
    <row r="370">
      <c r="A370" s="8" t="n">
        <v>7</v>
      </c>
      <c r="B370" s="1" t="n">
        <v>23</v>
      </c>
      <c r="C370" s="1" t="inlineStr">
        <is>
          <t>K-55</t>
        </is>
      </c>
      <c r="D370" s="1" t="n">
        <v>3270</v>
      </c>
      <c r="E370" s="1" t="n">
        <v>4360</v>
      </c>
      <c r="F370" s="1" t="n"/>
      <c r="G370" s="1" t="n"/>
      <c r="H370" s="1" t="n"/>
      <c r="I370" s="1" t="inlineStr">
        <is>
          <t>BTC</t>
        </is>
      </c>
      <c r="J370" s="1" t="n">
        <v>522</v>
      </c>
      <c r="K370" s="1" t="n"/>
      <c r="L370" s="1" t="n">
        <v>366</v>
      </c>
      <c r="M370" s="1" t="n">
        <v>0.317</v>
      </c>
      <c r="N370" s="1" t="n">
        <v>6.366</v>
      </c>
      <c r="O370" s="1" t="n">
        <v>6.241</v>
      </c>
      <c r="P370" s="9" t="n">
        <v>6.25</v>
      </c>
    </row>
    <row r="371">
      <c r="A371" s="6" t="n">
        <v>7</v>
      </c>
      <c r="B371" s="2" t="n">
        <v>23</v>
      </c>
      <c r="C371" s="2" t="inlineStr">
        <is>
          <t>L-80</t>
        </is>
      </c>
      <c r="D371" s="2" t="n">
        <v>3830</v>
      </c>
      <c r="E371" s="2" t="n">
        <v>6340</v>
      </c>
      <c r="F371" s="2" t="n"/>
      <c r="G371" s="2" t="n"/>
      <c r="H371" s="2" t="n"/>
      <c r="I371" s="2" t="inlineStr">
        <is>
          <t>LTC</t>
        </is>
      </c>
      <c r="J371" s="2" t="n">
        <v>435</v>
      </c>
      <c r="K371" s="2" t="n"/>
      <c r="L371" s="2" t="n">
        <v>532</v>
      </c>
      <c r="M371" s="2" t="n">
        <v>0.317</v>
      </c>
      <c r="N371" s="2" t="n">
        <v>6.366</v>
      </c>
      <c r="O371" s="2" t="n">
        <v>6.241</v>
      </c>
      <c r="P371" s="7" t="n">
        <v>6.25</v>
      </c>
    </row>
    <row r="372">
      <c r="A372" s="6" t="n">
        <v>7</v>
      </c>
      <c r="B372" s="2" t="n">
        <v>23</v>
      </c>
      <c r="C372" s="2" t="inlineStr">
        <is>
          <t>L-80</t>
        </is>
      </c>
      <c r="D372" s="2" t="n">
        <v>3830</v>
      </c>
      <c r="E372" s="2" t="n">
        <v>6340</v>
      </c>
      <c r="F372" s="2" t="n"/>
      <c r="G372" s="2" t="n"/>
      <c r="H372" s="2" t="n"/>
      <c r="I372" s="2" t="inlineStr">
        <is>
          <t>BTC</t>
        </is>
      </c>
      <c r="J372" s="2" t="n">
        <v>565</v>
      </c>
      <c r="K372" s="2" t="n"/>
      <c r="L372" s="2" t="n">
        <v>532</v>
      </c>
      <c r="M372" s="2" t="n">
        <v>0.317</v>
      </c>
      <c r="N372" s="2" t="n">
        <v>6.366</v>
      </c>
      <c r="O372" s="2" t="n">
        <v>6.241</v>
      </c>
      <c r="P372" s="7" t="n">
        <v>6.25</v>
      </c>
    </row>
    <row r="373">
      <c r="A373" s="8" t="n">
        <v>7</v>
      </c>
      <c r="B373" s="1" t="n">
        <v>23</v>
      </c>
      <c r="C373" s="1" t="inlineStr">
        <is>
          <t>HCL-80</t>
        </is>
      </c>
      <c r="D373" s="1" t="n">
        <v>5650</v>
      </c>
      <c r="E373" s="1" t="n">
        <v>6340</v>
      </c>
      <c r="F373" s="1" t="n"/>
      <c r="G373" s="1" t="n"/>
      <c r="H373" s="1" t="n"/>
      <c r="I373" s="1" t="inlineStr">
        <is>
          <t>LTC</t>
        </is>
      </c>
      <c r="J373" s="1" t="n">
        <v>485</v>
      </c>
      <c r="K373" s="1" t="n"/>
      <c r="L373" s="1" t="n">
        <v>532</v>
      </c>
      <c r="M373" s="1" t="n">
        <v>0.317</v>
      </c>
      <c r="N373" s="1" t="n">
        <v>6.366</v>
      </c>
      <c r="O373" s="1" t="n">
        <v>6.241</v>
      </c>
      <c r="P373" s="9" t="n">
        <v>6.25</v>
      </c>
    </row>
    <row r="374">
      <c r="A374" s="8" t="n">
        <v>7</v>
      </c>
      <c r="B374" s="1" t="n">
        <v>23</v>
      </c>
      <c r="C374" s="1" t="inlineStr">
        <is>
          <t>HCL-80</t>
        </is>
      </c>
      <c r="D374" s="1" t="n">
        <v>5650</v>
      </c>
      <c r="E374" s="1" t="n">
        <v>6340</v>
      </c>
      <c r="F374" s="1" t="n"/>
      <c r="G374" s="1" t="n"/>
      <c r="H374" s="1" t="n"/>
      <c r="I374" s="1" t="inlineStr">
        <is>
          <t>BTC</t>
        </is>
      </c>
      <c r="J374" s="1" t="n">
        <v>614</v>
      </c>
      <c r="K374" s="1" t="n"/>
      <c r="L374" s="1" t="n">
        <v>532</v>
      </c>
      <c r="M374" s="1" t="n">
        <v>0.317</v>
      </c>
      <c r="N374" s="1" t="n">
        <v>6.366</v>
      </c>
      <c r="O374" s="1" t="n">
        <v>6.241</v>
      </c>
      <c r="P374" s="9" t="n">
        <v>6.25</v>
      </c>
    </row>
    <row r="375">
      <c r="A375" s="6" t="n">
        <v>7</v>
      </c>
      <c r="B375" s="2" t="n">
        <v>23</v>
      </c>
      <c r="C375" s="2" t="inlineStr">
        <is>
          <t>N-80</t>
        </is>
      </c>
      <c r="D375" s="2" t="n">
        <v>3830</v>
      </c>
      <c r="E375" s="2" t="n">
        <v>6340</v>
      </c>
      <c r="F375" s="2" t="n"/>
      <c r="G375" s="2" t="n"/>
      <c r="H375" s="2" t="n"/>
      <c r="I375" s="2" t="inlineStr">
        <is>
          <t>LTC</t>
        </is>
      </c>
      <c r="J375" s="2" t="n">
        <v>442</v>
      </c>
      <c r="K375" s="2" t="n"/>
      <c r="L375" s="2" t="n">
        <v>532</v>
      </c>
      <c r="M375" s="2" t="n">
        <v>0.317</v>
      </c>
      <c r="N375" s="2" t="n">
        <v>6.366</v>
      </c>
      <c r="O375" s="2" t="n">
        <v>6.241</v>
      </c>
      <c r="P375" s="7" t="n">
        <v>6.25</v>
      </c>
    </row>
    <row r="376">
      <c r="A376" s="6" t="n">
        <v>7</v>
      </c>
      <c r="B376" s="2" t="n">
        <v>23</v>
      </c>
      <c r="C376" s="2" t="inlineStr">
        <is>
          <t>N-80</t>
        </is>
      </c>
      <c r="D376" s="2" t="n">
        <v>3830</v>
      </c>
      <c r="E376" s="2" t="n">
        <v>6340</v>
      </c>
      <c r="F376" s="2" t="n"/>
      <c r="G376" s="2" t="n"/>
      <c r="H376" s="2" t="n"/>
      <c r="I376" s="2" t="inlineStr">
        <is>
          <t>BTC</t>
        </is>
      </c>
      <c r="J376" s="2" t="n">
        <v>588</v>
      </c>
      <c r="K376" s="2" t="n"/>
      <c r="L376" s="2" t="n">
        <v>532</v>
      </c>
      <c r="M376" s="2" t="n">
        <v>0.317</v>
      </c>
      <c r="N376" s="2" t="n">
        <v>6.366</v>
      </c>
      <c r="O376" s="2" t="n">
        <v>6.241</v>
      </c>
      <c r="P376" s="7" t="n">
        <v>6.25</v>
      </c>
    </row>
    <row r="377">
      <c r="A377" s="8" t="n">
        <v>7</v>
      </c>
      <c r="B377" s="1" t="n">
        <v>23</v>
      </c>
      <c r="C377" s="1" t="inlineStr">
        <is>
          <t>HCN-80</t>
        </is>
      </c>
      <c r="D377" s="1" t="n">
        <v>5650</v>
      </c>
      <c r="E377" s="1" t="n">
        <v>6340</v>
      </c>
      <c r="F377" s="1" t="n"/>
      <c r="G377" s="1" t="n"/>
      <c r="H377" s="1" t="n"/>
      <c r="I377" s="1" t="inlineStr">
        <is>
          <t>LTC</t>
        </is>
      </c>
      <c r="J377" s="1" t="n">
        <v>485</v>
      </c>
      <c r="K377" s="1" t="n"/>
      <c r="L377" s="1" t="n">
        <v>532</v>
      </c>
      <c r="M377" s="1" t="n">
        <v>0.317</v>
      </c>
      <c r="N377" s="1" t="n">
        <v>6.366</v>
      </c>
      <c r="O377" s="1" t="n">
        <v>6.241</v>
      </c>
      <c r="P377" s="9" t="n">
        <v>6.25</v>
      </c>
    </row>
    <row r="378">
      <c r="A378" s="8" t="n">
        <v>7</v>
      </c>
      <c r="B378" s="1" t="n">
        <v>23</v>
      </c>
      <c r="C378" s="1" t="inlineStr">
        <is>
          <t>HCN-80</t>
        </is>
      </c>
      <c r="D378" s="1" t="n">
        <v>5650</v>
      </c>
      <c r="E378" s="1" t="n">
        <v>6340</v>
      </c>
      <c r="F378" s="1" t="n"/>
      <c r="G378" s="1" t="n"/>
      <c r="H378" s="1" t="n"/>
      <c r="I378" s="1" t="inlineStr">
        <is>
          <t>BTC</t>
        </is>
      </c>
      <c r="J378" s="1" t="n">
        <v>614</v>
      </c>
      <c r="K378" s="1" t="n"/>
      <c r="L378" s="1" t="n">
        <v>532</v>
      </c>
      <c r="M378" s="1" t="n">
        <v>0.317</v>
      </c>
      <c r="N378" s="1" t="n">
        <v>6.366</v>
      </c>
      <c r="O378" s="1" t="n">
        <v>6.241</v>
      </c>
      <c r="P378" s="9" t="n">
        <v>6.25</v>
      </c>
    </row>
    <row r="379">
      <c r="A379" s="6" t="n">
        <v>7</v>
      </c>
      <c r="B379" s="2" t="n">
        <v>23</v>
      </c>
      <c r="C379" s="2" t="inlineStr">
        <is>
          <t>C-90</t>
        </is>
      </c>
      <c r="D379" s="2" t="n">
        <v>4030</v>
      </c>
      <c r="E379" s="2" t="n">
        <v>7130</v>
      </c>
      <c r="F379" s="2" t="n"/>
      <c r="G379" s="2" t="n"/>
      <c r="H379" s="2" t="n"/>
      <c r="I379" s="2" t="inlineStr">
        <is>
          <t>LTC</t>
        </is>
      </c>
      <c r="J379" s="2" t="n">
        <v>479</v>
      </c>
      <c r="K379" s="2" t="n"/>
      <c r="L379" s="2" t="n">
        <v>599</v>
      </c>
      <c r="M379" s="2" t="n">
        <v>0.317</v>
      </c>
      <c r="N379" s="2" t="n">
        <v>6.366</v>
      </c>
      <c r="O379" s="2" t="n">
        <v>6.241</v>
      </c>
      <c r="P379" s="7" t="n">
        <v>6.25</v>
      </c>
    </row>
    <row r="380">
      <c r="A380" s="6" t="n">
        <v>7</v>
      </c>
      <c r="B380" s="2" t="n">
        <v>23</v>
      </c>
      <c r="C380" s="2" t="inlineStr">
        <is>
          <t>C-90</t>
        </is>
      </c>
      <c r="D380" s="2" t="n">
        <v>4030</v>
      </c>
      <c r="E380" s="2" t="n">
        <v>7130</v>
      </c>
      <c r="F380" s="2" t="n"/>
      <c r="G380" s="2" t="n"/>
      <c r="H380" s="2" t="n"/>
      <c r="I380" s="2" t="inlineStr">
        <is>
          <t>BTC</t>
        </is>
      </c>
      <c r="J380" s="2" t="n">
        <v>605</v>
      </c>
      <c r="K380" s="2" t="n"/>
      <c r="L380" s="2" t="n">
        <v>599</v>
      </c>
      <c r="M380" s="2" t="n">
        <v>0.317</v>
      </c>
      <c r="N380" s="2" t="n">
        <v>6.366</v>
      </c>
      <c r="O380" s="2" t="n">
        <v>6.241</v>
      </c>
      <c r="P380" s="7" t="n">
        <v>6.25</v>
      </c>
    </row>
    <row r="381">
      <c r="A381" s="8" t="n">
        <v>7</v>
      </c>
      <c r="B381" s="1" t="n">
        <v>23</v>
      </c>
      <c r="C381" s="1" t="inlineStr">
        <is>
          <t>H2S-90</t>
        </is>
      </c>
      <c r="D381" s="1" t="n">
        <v>5650</v>
      </c>
      <c r="E381" s="1" t="n">
        <v>7130</v>
      </c>
      <c r="F381" s="1" t="n"/>
      <c r="G381" s="1" t="n"/>
      <c r="H381" s="1" t="n"/>
      <c r="I381" s="1" t="inlineStr">
        <is>
          <t>LTC</t>
        </is>
      </c>
      <c r="J381" s="1" t="n">
        <v>485</v>
      </c>
      <c r="K381" s="1" t="n"/>
      <c r="L381" s="1" t="n">
        <v>599</v>
      </c>
      <c r="M381" s="1" t="n">
        <v>0.317</v>
      </c>
      <c r="N381" s="1" t="n">
        <v>6.366</v>
      </c>
      <c r="O381" s="1" t="n">
        <v>6.241</v>
      </c>
      <c r="P381" s="9" t="n">
        <v>6.25</v>
      </c>
    </row>
    <row r="382">
      <c r="A382" s="8" t="n">
        <v>7</v>
      </c>
      <c r="B382" s="1" t="n">
        <v>23</v>
      </c>
      <c r="C382" s="1" t="inlineStr">
        <is>
          <t>H2S-90</t>
        </is>
      </c>
      <c r="D382" s="1" t="n">
        <v>5650</v>
      </c>
      <c r="E382" s="1" t="n">
        <v>7130</v>
      </c>
      <c r="F382" s="1" t="n"/>
      <c r="G382" s="1" t="n"/>
      <c r="H382" s="1" t="n"/>
      <c r="I382" s="1" t="inlineStr">
        <is>
          <t>BTC</t>
        </is>
      </c>
      <c r="J382" s="1" t="n">
        <v>614</v>
      </c>
      <c r="K382" s="1" t="n"/>
      <c r="L382" s="1" t="n">
        <v>599</v>
      </c>
      <c r="M382" s="1" t="n">
        <v>0.317</v>
      </c>
      <c r="N382" s="1" t="n">
        <v>6.366</v>
      </c>
      <c r="O382" s="1" t="n">
        <v>6.241</v>
      </c>
      <c r="P382" s="9" t="n">
        <v>6.25</v>
      </c>
    </row>
    <row r="383">
      <c r="A383" s="6" t="n">
        <v>7</v>
      </c>
      <c r="B383" s="2" t="n">
        <v>23</v>
      </c>
      <c r="C383" s="2" t="inlineStr">
        <is>
          <t>S-95</t>
        </is>
      </c>
      <c r="D383" s="2" t="n">
        <v>5650</v>
      </c>
      <c r="E383" s="2" t="n">
        <v>7530</v>
      </c>
      <c r="F383" s="2" t="n"/>
      <c r="G383" s="2" t="n"/>
      <c r="H383" s="2" t="n"/>
      <c r="I383" s="2" t="inlineStr">
        <is>
          <t>LTC</t>
        </is>
      </c>
      <c r="J383" s="2" t="n">
        <v>512</v>
      </c>
      <c r="K383" s="2" t="n"/>
      <c r="L383" s="2" t="n">
        <v>632</v>
      </c>
      <c r="M383" s="2" t="n">
        <v>0.317</v>
      </c>
      <c r="N383" s="2" t="n">
        <v>6.366</v>
      </c>
      <c r="O383" s="2" t="n">
        <v>6.241</v>
      </c>
      <c r="P383" s="7" t="n">
        <v>6.25</v>
      </c>
    </row>
    <row r="384">
      <c r="A384" s="6" t="n">
        <v>7</v>
      </c>
      <c r="B384" s="2" t="n">
        <v>23</v>
      </c>
      <c r="C384" s="2" t="inlineStr">
        <is>
          <t>S-95</t>
        </is>
      </c>
      <c r="D384" s="2" t="n">
        <v>5650</v>
      </c>
      <c r="E384" s="2" t="n">
        <v>7530</v>
      </c>
      <c r="F384" s="2" t="n"/>
      <c r="G384" s="2" t="n"/>
      <c r="H384" s="2" t="n"/>
      <c r="I384" s="2" t="inlineStr">
        <is>
          <t>BTC</t>
        </is>
      </c>
      <c r="J384" s="2" t="n">
        <v>659</v>
      </c>
      <c r="K384" s="2" t="n"/>
      <c r="L384" s="2" t="n">
        <v>632</v>
      </c>
      <c r="M384" s="2" t="n">
        <v>0.317</v>
      </c>
      <c r="N384" s="2" t="n">
        <v>6.366</v>
      </c>
      <c r="O384" s="2" t="n">
        <v>6.241</v>
      </c>
      <c r="P384" s="7" t="n">
        <v>6.25</v>
      </c>
    </row>
    <row r="385">
      <c r="A385" s="8" t="n">
        <v>7</v>
      </c>
      <c r="B385" s="1" t="n">
        <v>23</v>
      </c>
      <c r="C385" s="1" t="inlineStr">
        <is>
          <t>T-95</t>
        </is>
      </c>
      <c r="D385" s="1" t="n">
        <v>4140</v>
      </c>
      <c r="E385" s="1" t="n">
        <v>7530</v>
      </c>
      <c r="F385" s="1" t="n"/>
      <c r="G385" s="1" t="n"/>
      <c r="H385" s="1" t="n"/>
      <c r="I385" s="1" t="inlineStr">
        <is>
          <t>LTC</t>
        </is>
      </c>
      <c r="J385" s="1" t="n">
        <v>505</v>
      </c>
      <c r="K385" s="1" t="n"/>
      <c r="L385" s="1" t="n">
        <v>632</v>
      </c>
      <c r="M385" s="1" t="n">
        <v>0.317</v>
      </c>
      <c r="N385" s="1" t="n">
        <v>6.366</v>
      </c>
      <c r="O385" s="1" t="n">
        <v>6.241</v>
      </c>
      <c r="P385" s="9" t="n">
        <v>6.25</v>
      </c>
    </row>
    <row r="386">
      <c r="A386" s="8" t="n">
        <v>7</v>
      </c>
      <c r="B386" s="1" t="n">
        <v>23</v>
      </c>
      <c r="C386" s="1" t="inlineStr">
        <is>
          <t>T-95</t>
        </is>
      </c>
      <c r="D386" s="1" t="n">
        <v>4140</v>
      </c>
      <c r="E386" s="1" t="n">
        <v>7530</v>
      </c>
      <c r="F386" s="1" t="n"/>
      <c r="G386" s="1" t="n"/>
      <c r="H386" s="1" t="n"/>
      <c r="I386" s="1" t="inlineStr">
        <is>
          <t>BTC</t>
        </is>
      </c>
      <c r="J386" s="1" t="n">
        <v>636</v>
      </c>
      <c r="K386" s="1" t="n"/>
      <c r="L386" s="1" t="n">
        <v>632</v>
      </c>
      <c r="M386" s="1" t="n">
        <v>0.317</v>
      </c>
      <c r="N386" s="1" t="n">
        <v>6.366</v>
      </c>
      <c r="O386" s="1" t="n">
        <v>6.241</v>
      </c>
      <c r="P386" s="9" t="n">
        <v>6.25</v>
      </c>
    </row>
    <row r="387">
      <c r="A387" s="6" t="n">
        <v>7</v>
      </c>
      <c r="B387" s="2" t="n">
        <v>23</v>
      </c>
      <c r="C387" s="2" t="inlineStr">
        <is>
          <t>H2S-95</t>
        </is>
      </c>
      <c r="D387" s="2" t="n">
        <v>5650</v>
      </c>
      <c r="E387" s="2" t="n">
        <v>7530</v>
      </c>
      <c r="F387" s="2" t="n"/>
      <c r="G387" s="2" t="n"/>
      <c r="H387" s="2" t="n"/>
      <c r="I387" s="2" t="inlineStr">
        <is>
          <t>LTC</t>
        </is>
      </c>
      <c r="J387" s="2" t="n">
        <v>505</v>
      </c>
      <c r="K387" s="2" t="n"/>
      <c r="L387" s="2" t="n">
        <v>632</v>
      </c>
      <c r="M387" s="2" t="n">
        <v>0.317</v>
      </c>
      <c r="N387" s="2" t="n">
        <v>6.366</v>
      </c>
      <c r="O387" s="2" t="n">
        <v>6.241</v>
      </c>
      <c r="P387" s="7" t="n">
        <v>6.25</v>
      </c>
    </row>
    <row r="388">
      <c r="A388" s="6" t="n">
        <v>7</v>
      </c>
      <c r="B388" s="2" t="n">
        <v>23</v>
      </c>
      <c r="C388" s="2" t="inlineStr">
        <is>
          <t>H2S-95</t>
        </is>
      </c>
      <c r="D388" s="2" t="n">
        <v>5650</v>
      </c>
      <c r="E388" s="2" t="n">
        <v>7530</v>
      </c>
      <c r="F388" s="2" t="n"/>
      <c r="G388" s="2" t="n"/>
      <c r="H388" s="2" t="n"/>
      <c r="I388" s="2" t="inlineStr">
        <is>
          <t>BTC</t>
        </is>
      </c>
      <c r="J388" s="2" t="n">
        <v>636</v>
      </c>
      <c r="K388" s="2" t="n"/>
      <c r="L388" s="2" t="n">
        <v>632</v>
      </c>
      <c r="M388" s="2" t="n">
        <v>0.317</v>
      </c>
      <c r="N388" s="2" t="n">
        <v>6.366</v>
      </c>
      <c r="O388" s="2" t="n">
        <v>6.241</v>
      </c>
      <c r="P388" s="7" t="n">
        <v>6.25</v>
      </c>
    </row>
    <row r="389">
      <c r="A389" s="8" t="n">
        <v>7</v>
      </c>
      <c r="B389" s="1" t="n">
        <v>23</v>
      </c>
      <c r="C389" s="1" t="inlineStr">
        <is>
          <t>C-95</t>
        </is>
      </c>
      <c r="D389" s="1" t="n">
        <v>4140</v>
      </c>
      <c r="E389" s="1" t="n">
        <v>7530</v>
      </c>
      <c r="F389" s="1" t="n"/>
      <c r="G389" s="1" t="n"/>
      <c r="H389" s="1" t="n"/>
      <c r="I389" s="1" t="inlineStr">
        <is>
          <t>LTC</t>
        </is>
      </c>
      <c r="J389" s="1" t="n">
        <v>505</v>
      </c>
      <c r="K389" s="1" t="n"/>
      <c r="L389" s="1" t="n">
        <v>632</v>
      </c>
      <c r="M389" s="1" t="n">
        <v>0.317</v>
      </c>
      <c r="N389" s="1" t="n">
        <v>6.366</v>
      </c>
      <c r="O389" s="1" t="n">
        <v>6.241</v>
      </c>
      <c r="P389" s="9" t="n">
        <v>6.25</v>
      </c>
    </row>
    <row r="390">
      <c r="A390" s="8" t="n">
        <v>7</v>
      </c>
      <c r="B390" s="1" t="n">
        <v>23</v>
      </c>
      <c r="C390" s="1" t="inlineStr">
        <is>
          <t>C-95</t>
        </is>
      </c>
      <c r="D390" s="1" t="n">
        <v>4140</v>
      </c>
      <c r="E390" s="1" t="n">
        <v>7530</v>
      </c>
      <c r="F390" s="1" t="n"/>
      <c r="G390" s="1" t="n"/>
      <c r="H390" s="1" t="n"/>
      <c r="I390" s="1" t="inlineStr">
        <is>
          <t>BTC</t>
        </is>
      </c>
      <c r="J390" s="1" t="n">
        <v>636</v>
      </c>
      <c r="K390" s="1" t="n"/>
      <c r="L390" s="1" t="n">
        <v>632</v>
      </c>
      <c r="M390" s="1" t="n">
        <v>0.317</v>
      </c>
      <c r="N390" s="1" t="n">
        <v>6.366</v>
      </c>
      <c r="O390" s="1" t="n">
        <v>6.241</v>
      </c>
      <c r="P390" s="9" t="n">
        <v>6.25</v>
      </c>
    </row>
    <row r="391">
      <c r="A391" s="6" t="n">
        <v>7</v>
      </c>
      <c r="B391" s="2" t="n">
        <v>26</v>
      </c>
      <c r="C391" s="2" t="inlineStr">
        <is>
          <t>J-55</t>
        </is>
      </c>
      <c r="D391" s="2" t="n">
        <v>4320</v>
      </c>
      <c r="E391" s="2" t="n">
        <v>4980</v>
      </c>
      <c r="F391" s="2" t="n"/>
      <c r="G391" s="2" t="n"/>
      <c r="H391" s="2" t="n"/>
      <c r="I391" s="2" t="inlineStr">
        <is>
          <t>STC</t>
        </is>
      </c>
      <c r="J391" s="2" t="n">
        <v>334</v>
      </c>
      <c r="K391" s="2" t="n"/>
      <c r="L391" s="2" t="n">
        <v>415</v>
      </c>
      <c r="M391" s="2" t="n">
        <v>0.362</v>
      </c>
      <c r="N391" s="2" t="n">
        <v>6.276</v>
      </c>
      <c r="O391" s="2" t="n">
        <v>6.151</v>
      </c>
      <c r="P391" s="7" t="n"/>
    </row>
    <row r="392">
      <c r="A392" s="6" t="n">
        <v>7</v>
      </c>
      <c r="B392" s="2" t="n">
        <v>26</v>
      </c>
      <c r="C392" s="2" t="inlineStr">
        <is>
          <t>J-55</t>
        </is>
      </c>
      <c r="D392" s="2" t="n">
        <v>4320</v>
      </c>
      <c r="E392" s="2" t="n">
        <v>4980</v>
      </c>
      <c r="F392" s="2" t="n"/>
      <c r="G392" s="2" t="n"/>
      <c r="H392" s="2" t="n"/>
      <c r="I392" s="2" t="inlineStr">
        <is>
          <t>LTC</t>
        </is>
      </c>
      <c r="J392" s="2" t="n">
        <v>367</v>
      </c>
      <c r="K392" s="2" t="n"/>
      <c r="L392" s="2" t="n">
        <v>415</v>
      </c>
      <c r="M392" s="2" t="n">
        <v>0.362</v>
      </c>
      <c r="N392" s="2" t="n">
        <v>6.276</v>
      </c>
      <c r="O392" s="2" t="n">
        <v>6.151</v>
      </c>
      <c r="P392" s="7" t="n"/>
    </row>
    <row r="393">
      <c r="A393" s="6" t="n">
        <v>7</v>
      </c>
      <c r="B393" s="2" t="n">
        <v>26</v>
      </c>
      <c r="C393" s="2" t="inlineStr">
        <is>
          <t>J-55</t>
        </is>
      </c>
      <c r="D393" s="2" t="n">
        <v>4320</v>
      </c>
      <c r="E393" s="2" t="n">
        <v>4980</v>
      </c>
      <c r="F393" s="2" t="n"/>
      <c r="G393" s="2" t="n"/>
      <c r="H393" s="2" t="n"/>
      <c r="I393" s="2" t="inlineStr">
        <is>
          <t>BTC</t>
        </is>
      </c>
      <c r="J393" s="2" t="n">
        <v>490</v>
      </c>
      <c r="K393" s="2" t="n"/>
      <c r="L393" s="2" t="n">
        <v>415</v>
      </c>
      <c r="M393" s="2" t="n">
        <v>0.362</v>
      </c>
      <c r="N393" s="2" t="n">
        <v>6.276</v>
      </c>
      <c r="O393" s="2" t="n">
        <v>6.151</v>
      </c>
      <c r="P393" s="7" t="n"/>
    </row>
    <row r="394">
      <c r="A394" s="8" t="n">
        <v>7</v>
      </c>
      <c r="B394" s="1" t="n">
        <v>26</v>
      </c>
      <c r="C394" s="1" t="inlineStr">
        <is>
          <t>K-55</t>
        </is>
      </c>
      <c r="D394" s="1" t="n">
        <v>4320</v>
      </c>
      <c r="E394" s="1" t="n">
        <v>4980</v>
      </c>
      <c r="F394" s="1" t="n"/>
      <c r="G394" s="1" t="n"/>
      <c r="H394" s="1" t="n"/>
      <c r="I394" s="1" t="inlineStr">
        <is>
          <t>STC</t>
        </is>
      </c>
      <c r="J394" s="1" t="n">
        <v>364</v>
      </c>
      <c r="K394" s="1" t="n"/>
      <c r="L394" s="1" t="n">
        <v>415</v>
      </c>
      <c r="M394" s="1" t="n">
        <v>0.362</v>
      </c>
      <c r="N394" s="1" t="n">
        <v>6.276</v>
      </c>
      <c r="O394" s="1" t="n">
        <v>6.151</v>
      </c>
      <c r="P394" s="9" t="n"/>
    </row>
    <row r="395">
      <c r="A395" s="8" t="n">
        <v>7</v>
      </c>
      <c r="B395" s="1" t="n">
        <v>26</v>
      </c>
      <c r="C395" s="1" t="inlineStr">
        <is>
          <t>K-55</t>
        </is>
      </c>
      <c r="D395" s="1" t="n">
        <v>4320</v>
      </c>
      <c r="E395" s="1" t="n">
        <v>4980</v>
      </c>
      <c r="F395" s="1" t="n"/>
      <c r="G395" s="1" t="n"/>
      <c r="H395" s="1" t="n"/>
      <c r="I395" s="1" t="inlineStr">
        <is>
          <t>LTC</t>
        </is>
      </c>
      <c r="J395" s="1" t="n">
        <v>401</v>
      </c>
      <c r="K395" s="1" t="n"/>
      <c r="L395" s="1" t="n">
        <v>415</v>
      </c>
      <c r="M395" s="1" t="n">
        <v>0.362</v>
      </c>
      <c r="N395" s="1" t="n">
        <v>6.276</v>
      </c>
      <c r="O395" s="1" t="n">
        <v>6.151</v>
      </c>
      <c r="P395" s="9" t="n"/>
    </row>
    <row r="396">
      <c r="A396" s="8" t="n">
        <v>7</v>
      </c>
      <c r="B396" s="1" t="n">
        <v>26</v>
      </c>
      <c r="C396" s="1" t="inlineStr">
        <is>
          <t>K-55</t>
        </is>
      </c>
      <c r="D396" s="1" t="n">
        <v>4320</v>
      </c>
      <c r="E396" s="1" t="n">
        <v>4980</v>
      </c>
      <c r="F396" s="1" t="n"/>
      <c r="G396" s="1" t="n"/>
      <c r="H396" s="1" t="n"/>
      <c r="I396" s="1" t="inlineStr">
        <is>
          <t>BTC</t>
        </is>
      </c>
      <c r="J396" s="1" t="n">
        <v>592</v>
      </c>
      <c r="K396" s="1" t="n"/>
      <c r="L396" s="1" t="n">
        <v>415</v>
      </c>
      <c r="M396" s="1" t="n">
        <v>0.362</v>
      </c>
      <c r="N396" s="1" t="n">
        <v>6.276</v>
      </c>
      <c r="O396" s="1" t="n">
        <v>6.151</v>
      </c>
      <c r="P396" s="9" t="n"/>
    </row>
    <row r="397">
      <c r="A397" s="6" t="n">
        <v>7</v>
      </c>
      <c r="B397" s="2" t="n">
        <v>26</v>
      </c>
      <c r="C397" s="2" t="inlineStr">
        <is>
          <t>L-80</t>
        </is>
      </c>
      <c r="D397" s="2" t="n">
        <v>5410</v>
      </c>
      <c r="E397" s="2" t="n">
        <v>7240</v>
      </c>
      <c r="F397" s="2" t="n"/>
      <c r="G397" s="2" t="n"/>
      <c r="H397" s="2" t="n"/>
      <c r="I397" s="2" t="inlineStr">
        <is>
          <t>LTC</t>
        </is>
      </c>
      <c r="J397" s="2" t="n">
        <v>511</v>
      </c>
      <c r="K397" s="2" t="n"/>
      <c r="L397" s="2" t="n">
        <v>604</v>
      </c>
      <c r="M397" s="2" t="n">
        <v>0.362</v>
      </c>
      <c r="N397" s="2" t="n">
        <v>6.276</v>
      </c>
      <c r="O397" s="2" t="n">
        <v>6.151</v>
      </c>
      <c r="P397" s="7" t="n"/>
    </row>
    <row r="398">
      <c r="A398" s="6" t="n">
        <v>7</v>
      </c>
      <c r="B398" s="2" t="n">
        <v>26</v>
      </c>
      <c r="C398" s="2" t="inlineStr">
        <is>
          <t>L-80</t>
        </is>
      </c>
      <c r="D398" s="2" t="n">
        <v>5410</v>
      </c>
      <c r="E398" s="2" t="n">
        <v>7240</v>
      </c>
      <c r="F398" s="2" t="n"/>
      <c r="G398" s="2" t="n"/>
      <c r="H398" s="2" t="n"/>
      <c r="I398" s="2" t="inlineStr">
        <is>
          <t>BTC</t>
        </is>
      </c>
      <c r="J398" s="2" t="n">
        <v>641</v>
      </c>
      <c r="K398" s="2" t="n"/>
      <c r="L398" s="2" t="n">
        <v>604</v>
      </c>
      <c r="M398" s="2" t="n">
        <v>0.362</v>
      </c>
      <c r="N398" s="2" t="n">
        <v>6.276</v>
      </c>
      <c r="O398" s="2" t="n">
        <v>6.151</v>
      </c>
      <c r="P398" s="7" t="n"/>
    </row>
    <row r="399">
      <c r="A399" s="8" t="n">
        <v>7</v>
      </c>
      <c r="B399" s="1" t="n">
        <v>26</v>
      </c>
      <c r="C399" s="1" t="inlineStr">
        <is>
          <t>HCL-80</t>
        </is>
      </c>
      <c r="D399" s="1" t="n">
        <v>7800</v>
      </c>
      <c r="E399" s="1" t="n">
        <v>7240</v>
      </c>
      <c r="F399" s="1" t="n"/>
      <c r="G399" s="1" t="n"/>
      <c r="H399" s="1" t="n"/>
      <c r="I399" s="1" t="inlineStr">
        <is>
          <t>LTC</t>
        </is>
      </c>
      <c r="J399" s="1" t="n">
        <v>570</v>
      </c>
      <c r="K399" s="1" t="n"/>
      <c r="L399" s="1" t="n">
        <v>604</v>
      </c>
      <c r="M399" s="1" t="n">
        <v>0.362</v>
      </c>
      <c r="N399" s="1" t="n">
        <v>6.276</v>
      </c>
      <c r="O399" s="1" t="n">
        <v>6.151</v>
      </c>
      <c r="P399" s="9" t="n"/>
    </row>
    <row r="400">
      <c r="A400" s="8" t="n">
        <v>7</v>
      </c>
      <c r="B400" s="1" t="n">
        <v>26</v>
      </c>
      <c r="C400" s="1" t="inlineStr">
        <is>
          <t>HCL-80</t>
        </is>
      </c>
      <c r="D400" s="1" t="n">
        <v>7800</v>
      </c>
      <c r="E400" s="1" t="n">
        <v>7240</v>
      </c>
      <c r="F400" s="1" t="n"/>
      <c r="G400" s="1" t="n"/>
      <c r="H400" s="1" t="n"/>
      <c r="I400" s="1" t="inlineStr">
        <is>
          <t>BTC</t>
        </is>
      </c>
      <c r="J400" s="1" t="n">
        <v>696</v>
      </c>
      <c r="K400" s="1" t="n"/>
      <c r="L400" s="1" t="n">
        <v>604</v>
      </c>
      <c r="M400" s="1" t="n">
        <v>0.362</v>
      </c>
      <c r="N400" s="1" t="n">
        <v>6.276</v>
      </c>
      <c r="O400" s="1" t="n">
        <v>6.151</v>
      </c>
      <c r="P400" s="9" t="n"/>
    </row>
    <row r="401">
      <c r="A401" s="6" t="n">
        <v>7</v>
      </c>
      <c r="B401" s="2" t="n">
        <v>26</v>
      </c>
      <c r="C401" s="2" t="inlineStr">
        <is>
          <t>N-80</t>
        </is>
      </c>
      <c r="D401" s="2" t="n">
        <v>5410</v>
      </c>
      <c r="E401" s="2" t="n">
        <v>7240</v>
      </c>
      <c r="F401" s="2" t="n"/>
      <c r="G401" s="2" t="n"/>
      <c r="H401" s="2" t="n"/>
      <c r="I401" s="2" t="inlineStr">
        <is>
          <t>LTC</t>
        </is>
      </c>
      <c r="J401" s="2" t="n">
        <v>519</v>
      </c>
      <c r="K401" s="2" t="n"/>
      <c r="L401" s="2" t="n">
        <v>604</v>
      </c>
      <c r="M401" s="2" t="n">
        <v>0.362</v>
      </c>
      <c r="N401" s="2" t="n">
        <v>6.276</v>
      </c>
      <c r="O401" s="2" t="n">
        <v>6.151</v>
      </c>
      <c r="P401" s="7" t="n"/>
    </row>
    <row r="402">
      <c r="A402" s="6" t="n">
        <v>7</v>
      </c>
      <c r="B402" s="2" t="n">
        <v>26</v>
      </c>
      <c r="C402" s="2" t="inlineStr">
        <is>
          <t>N-80</t>
        </is>
      </c>
      <c r="D402" s="2" t="n">
        <v>5410</v>
      </c>
      <c r="E402" s="2" t="n">
        <v>7240</v>
      </c>
      <c r="F402" s="2" t="n"/>
      <c r="G402" s="2" t="n"/>
      <c r="H402" s="2" t="n"/>
      <c r="I402" s="2" t="inlineStr">
        <is>
          <t>BTC</t>
        </is>
      </c>
      <c r="J402" s="2" t="n">
        <v>667</v>
      </c>
      <c r="K402" s="2" t="n"/>
      <c r="L402" s="2" t="n">
        <v>604</v>
      </c>
      <c r="M402" s="2" t="n">
        <v>0.362</v>
      </c>
      <c r="N402" s="2" t="n">
        <v>6.276</v>
      </c>
      <c r="O402" s="2" t="n">
        <v>6.151</v>
      </c>
      <c r="P402" s="7" t="n"/>
    </row>
    <row r="403">
      <c r="A403" s="8" t="n">
        <v>7</v>
      </c>
      <c r="B403" s="1" t="n">
        <v>26</v>
      </c>
      <c r="C403" s="1" t="inlineStr">
        <is>
          <t>HCN-80</t>
        </is>
      </c>
      <c r="D403" s="1" t="n">
        <v>7800</v>
      </c>
      <c r="E403" s="1" t="n">
        <v>7240</v>
      </c>
      <c r="F403" s="1" t="n"/>
      <c r="G403" s="1" t="n"/>
      <c r="H403" s="1" t="n"/>
      <c r="I403" s="1" t="inlineStr">
        <is>
          <t>LTC</t>
        </is>
      </c>
      <c r="J403" s="1" t="n">
        <v>570</v>
      </c>
      <c r="K403" s="1" t="n"/>
      <c r="L403" s="1" t="n">
        <v>604</v>
      </c>
      <c r="M403" s="1" t="n">
        <v>0.362</v>
      </c>
      <c r="N403" s="1" t="n">
        <v>6.276</v>
      </c>
      <c r="O403" s="1" t="n">
        <v>6.151</v>
      </c>
      <c r="P403" s="9" t="n"/>
    </row>
    <row r="404">
      <c r="A404" s="8" t="n">
        <v>7</v>
      </c>
      <c r="B404" s="1" t="n">
        <v>26</v>
      </c>
      <c r="C404" s="1" t="inlineStr">
        <is>
          <t>HCN-80</t>
        </is>
      </c>
      <c r="D404" s="1" t="n">
        <v>7800</v>
      </c>
      <c r="E404" s="1" t="n">
        <v>7240</v>
      </c>
      <c r="F404" s="1" t="n"/>
      <c r="G404" s="1" t="n"/>
      <c r="H404" s="1" t="n"/>
      <c r="I404" s="1" t="inlineStr">
        <is>
          <t>BTC</t>
        </is>
      </c>
      <c r="J404" s="1" t="n">
        <v>696</v>
      </c>
      <c r="K404" s="1" t="n"/>
      <c r="L404" s="1" t="n">
        <v>604</v>
      </c>
      <c r="M404" s="1" t="n">
        <v>0.362</v>
      </c>
      <c r="N404" s="1" t="n">
        <v>6.276</v>
      </c>
      <c r="O404" s="1" t="n">
        <v>6.151</v>
      </c>
      <c r="P404" s="9" t="n"/>
    </row>
    <row r="405">
      <c r="A405" s="6" t="n">
        <v>7</v>
      </c>
      <c r="B405" s="2" t="n">
        <v>26</v>
      </c>
      <c r="C405" s="2" t="inlineStr">
        <is>
          <t>C-90</t>
        </is>
      </c>
      <c r="D405" s="2" t="n">
        <v>5740</v>
      </c>
      <c r="E405" s="2" t="n">
        <v>8140</v>
      </c>
      <c r="F405" s="2" t="n"/>
      <c r="G405" s="2" t="n"/>
      <c r="H405" s="2" t="n"/>
      <c r="I405" s="2" t="inlineStr">
        <is>
          <t>LTC</t>
        </is>
      </c>
      <c r="J405" s="2" t="n">
        <v>563</v>
      </c>
      <c r="K405" s="2" t="n"/>
      <c r="L405" s="2" t="n">
        <v>679</v>
      </c>
      <c r="M405" s="2" t="n">
        <v>0.362</v>
      </c>
      <c r="N405" s="2" t="n">
        <v>6.276</v>
      </c>
      <c r="O405" s="2" t="n">
        <v>6.151</v>
      </c>
      <c r="P405" s="7" t="n"/>
    </row>
    <row r="406">
      <c r="A406" s="6" t="n">
        <v>7</v>
      </c>
      <c r="B406" s="2" t="n">
        <v>26</v>
      </c>
      <c r="C406" s="2" t="inlineStr">
        <is>
          <t>C-90</t>
        </is>
      </c>
      <c r="D406" s="2" t="n">
        <v>5740</v>
      </c>
      <c r="E406" s="2" t="n">
        <v>8140</v>
      </c>
      <c r="F406" s="2" t="n"/>
      <c r="G406" s="2" t="n"/>
      <c r="H406" s="2" t="n"/>
      <c r="I406" s="2" t="inlineStr">
        <is>
          <t>BTC</t>
        </is>
      </c>
      <c r="J406" s="2" t="n">
        <v>687</v>
      </c>
      <c r="K406" s="2" t="n"/>
      <c r="L406" s="2" t="n">
        <v>679</v>
      </c>
      <c r="M406" s="2" t="n">
        <v>0.362</v>
      </c>
      <c r="N406" s="2" t="n">
        <v>6.276</v>
      </c>
      <c r="O406" s="2" t="n">
        <v>6.151</v>
      </c>
      <c r="P406" s="7" t="n"/>
    </row>
    <row r="407">
      <c r="A407" s="8" t="n">
        <v>7</v>
      </c>
      <c r="B407" s="1" t="n">
        <v>26</v>
      </c>
      <c r="C407" s="1" t="inlineStr">
        <is>
          <t>H2S-90</t>
        </is>
      </c>
      <c r="D407" s="1" t="n">
        <v>7800</v>
      </c>
      <c r="E407" s="1" t="n">
        <v>8150</v>
      </c>
      <c r="F407" s="1" t="n"/>
      <c r="G407" s="1" t="n"/>
      <c r="H407" s="1" t="n"/>
      <c r="I407" s="1" t="inlineStr">
        <is>
          <t>LTC</t>
        </is>
      </c>
      <c r="J407" s="1" t="n">
        <v>570</v>
      </c>
      <c r="K407" s="1" t="n"/>
      <c r="L407" s="1" t="n">
        <v>679</v>
      </c>
      <c r="M407" s="1" t="n">
        <v>0.362</v>
      </c>
      <c r="N407" s="1" t="n">
        <v>6.276</v>
      </c>
      <c r="O407" s="1" t="n">
        <v>6.151</v>
      </c>
      <c r="P407" s="9" t="n"/>
    </row>
    <row r="408">
      <c r="A408" s="8" t="n">
        <v>7</v>
      </c>
      <c r="B408" s="1" t="n">
        <v>26</v>
      </c>
      <c r="C408" s="1" t="inlineStr">
        <is>
          <t>H2S-90</t>
        </is>
      </c>
      <c r="D408" s="1" t="n">
        <v>7800</v>
      </c>
      <c r="E408" s="1" t="n">
        <v>8150</v>
      </c>
      <c r="F408" s="1" t="n"/>
      <c r="G408" s="1" t="n"/>
      <c r="H408" s="1" t="n"/>
      <c r="I408" s="1" t="inlineStr">
        <is>
          <t>BTC</t>
        </is>
      </c>
      <c r="J408" s="1" t="n">
        <v>696</v>
      </c>
      <c r="K408" s="1" t="n"/>
      <c r="L408" s="1" t="n">
        <v>679</v>
      </c>
      <c r="M408" s="1" t="n">
        <v>0.362</v>
      </c>
      <c r="N408" s="1" t="n">
        <v>6.276</v>
      </c>
      <c r="O408" s="1" t="n">
        <v>6.151</v>
      </c>
      <c r="P408" s="9" t="n"/>
    </row>
    <row r="409">
      <c r="A409" s="6" t="n">
        <v>7</v>
      </c>
      <c r="B409" s="2" t="n">
        <v>26</v>
      </c>
      <c r="C409" s="2" t="inlineStr">
        <is>
          <t>S-95</t>
        </is>
      </c>
      <c r="D409" s="2" t="n">
        <v>7800</v>
      </c>
      <c r="E409" s="2" t="n">
        <v>8600</v>
      </c>
      <c r="F409" s="2" t="n"/>
      <c r="G409" s="2" t="n"/>
      <c r="H409" s="2" t="n"/>
      <c r="I409" s="2" t="inlineStr">
        <is>
          <t>LTC</t>
        </is>
      </c>
      <c r="J409" s="2" t="n">
        <v>602</v>
      </c>
      <c r="K409" s="2" t="n"/>
      <c r="L409" s="2" t="n">
        <v>717</v>
      </c>
      <c r="M409" s="2" t="n">
        <v>0.362</v>
      </c>
      <c r="N409" s="2" t="n">
        <v>6.276</v>
      </c>
      <c r="O409" s="2" t="n">
        <v>6.151</v>
      </c>
      <c r="P409" s="7" t="n"/>
    </row>
    <row r="410">
      <c r="A410" s="6" t="n">
        <v>7</v>
      </c>
      <c r="B410" s="2" t="n">
        <v>26</v>
      </c>
      <c r="C410" s="2" t="inlineStr">
        <is>
          <t>S-95</t>
        </is>
      </c>
      <c r="D410" s="2" t="n">
        <v>7800</v>
      </c>
      <c r="E410" s="2" t="n">
        <v>8600</v>
      </c>
      <c r="F410" s="2" t="n"/>
      <c r="G410" s="2" t="n"/>
      <c r="H410" s="2" t="n"/>
      <c r="I410" s="2" t="inlineStr">
        <is>
          <t>BTC</t>
        </is>
      </c>
      <c r="J410" s="2" t="n">
        <v>747</v>
      </c>
      <c r="K410" s="2" t="n"/>
      <c r="L410" s="2" t="n">
        <v>717</v>
      </c>
      <c r="M410" s="2" t="n">
        <v>0.362</v>
      </c>
      <c r="N410" s="2" t="n">
        <v>6.276</v>
      </c>
      <c r="O410" s="2" t="n">
        <v>6.151</v>
      </c>
      <c r="P410" s="7" t="n"/>
    </row>
    <row r="411">
      <c r="A411" s="8" t="n">
        <v>7</v>
      </c>
      <c r="B411" s="1" t="n">
        <v>26</v>
      </c>
      <c r="C411" s="1" t="inlineStr">
        <is>
          <t>T-95</t>
        </is>
      </c>
      <c r="D411" s="1" t="n">
        <v>5880</v>
      </c>
      <c r="E411" s="1" t="n">
        <v>8600</v>
      </c>
      <c r="F411" s="1" t="n"/>
      <c r="G411" s="1" t="n"/>
      <c r="H411" s="1" t="n"/>
      <c r="I411" s="1" t="inlineStr">
        <is>
          <t>LTC</t>
        </is>
      </c>
      <c r="J411" s="1" t="n">
        <v>593</v>
      </c>
      <c r="K411" s="1" t="n"/>
      <c r="L411" s="1" t="n">
        <v>717</v>
      </c>
      <c r="M411" s="1" t="n">
        <v>0.362</v>
      </c>
      <c r="N411" s="1" t="n">
        <v>6.276</v>
      </c>
      <c r="O411" s="1" t="n">
        <v>6.151</v>
      </c>
      <c r="P411" s="9" t="n"/>
    </row>
    <row r="412">
      <c r="A412" s="8" t="n">
        <v>7</v>
      </c>
      <c r="B412" s="1" t="n">
        <v>26</v>
      </c>
      <c r="C412" s="1" t="inlineStr">
        <is>
          <t>T-95</t>
        </is>
      </c>
      <c r="D412" s="1" t="n">
        <v>5880</v>
      </c>
      <c r="E412" s="1" t="n">
        <v>8600</v>
      </c>
      <c r="F412" s="1" t="n"/>
      <c r="G412" s="1" t="n"/>
      <c r="H412" s="1" t="n"/>
      <c r="I412" s="1" t="inlineStr">
        <is>
          <t>BTC</t>
        </is>
      </c>
      <c r="J412" s="1" t="n">
        <v>722</v>
      </c>
      <c r="K412" s="1" t="n"/>
      <c r="L412" s="1" t="n">
        <v>717</v>
      </c>
      <c r="M412" s="1" t="n">
        <v>0.362</v>
      </c>
      <c r="N412" s="1" t="n">
        <v>6.276</v>
      </c>
      <c r="O412" s="1" t="n">
        <v>6.151</v>
      </c>
      <c r="P412" s="9" t="n"/>
    </row>
    <row r="413">
      <c r="A413" s="6" t="n">
        <v>7</v>
      </c>
      <c r="B413" s="2" t="n">
        <v>26</v>
      </c>
      <c r="C413" s="2" t="inlineStr">
        <is>
          <t>H2S-95</t>
        </is>
      </c>
      <c r="D413" s="2" t="n">
        <v>7800</v>
      </c>
      <c r="E413" s="2" t="n">
        <v>8600</v>
      </c>
      <c r="F413" s="2" t="n"/>
      <c r="G413" s="2" t="n"/>
      <c r="H413" s="2" t="n"/>
      <c r="I413" s="2" t="inlineStr">
        <is>
          <t>LTC</t>
        </is>
      </c>
      <c r="J413" s="2" t="n">
        <v>593</v>
      </c>
      <c r="K413" s="2" t="n"/>
      <c r="L413" s="2" t="n">
        <v>717</v>
      </c>
      <c r="M413" s="2" t="n">
        <v>0.362</v>
      </c>
      <c r="N413" s="2" t="n">
        <v>6.276</v>
      </c>
      <c r="O413" s="2" t="n">
        <v>6.151</v>
      </c>
      <c r="P413" s="7" t="n"/>
    </row>
    <row r="414">
      <c r="A414" s="6" t="n">
        <v>7</v>
      </c>
      <c r="B414" s="2" t="n">
        <v>26</v>
      </c>
      <c r="C414" s="2" t="inlineStr">
        <is>
          <t>H2S-95</t>
        </is>
      </c>
      <c r="D414" s="2" t="n">
        <v>7800</v>
      </c>
      <c r="E414" s="2" t="n">
        <v>8600</v>
      </c>
      <c r="F414" s="2" t="n"/>
      <c r="G414" s="2" t="n"/>
      <c r="H414" s="2" t="n"/>
      <c r="I414" s="2" t="inlineStr">
        <is>
          <t>BTC</t>
        </is>
      </c>
      <c r="J414" s="2" t="n">
        <v>722</v>
      </c>
      <c r="K414" s="2" t="n"/>
      <c r="L414" s="2" t="n">
        <v>717</v>
      </c>
      <c r="M414" s="2" t="n">
        <v>0.362</v>
      </c>
      <c r="N414" s="2" t="n">
        <v>6.276</v>
      </c>
      <c r="O414" s="2" t="n">
        <v>6.151</v>
      </c>
      <c r="P414" s="7" t="n"/>
    </row>
    <row r="415">
      <c r="A415" s="8" t="n">
        <v>7</v>
      </c>
      <c r="B415" s="1" t="n">
        <v>26</v>
      </c>
      <c r="C415" s="1" t="inlineStr">
        <is>
          <t>C-95</t>
        </is>
      </c>
      <c r="D415" s="1" t="n">
        <v>5880</v>
      </c>
      <c r="E415" s="1" t="n">
        <v>8600</v>
      </c>
      <c r="F415" s="1" t="n"/>
      <c r="G415" s="1" t="n"/>
      <c r="H415" s="1" t="n"/>
      <c r="I415" s="1" t="inlineStr">
        <is>
          <t>LTC</t>
        </is>
      </c>
      <c r="J415" s="1" t="n">
        <v>593</v>
      </c>
      <c r="K415" s="1" t="n"/>
      <c r="L415" s="1" t="n">
        <v>717</v>
      </c>
      <c r="M415" s="1" t="n">
        <v>0.362</v>
      </c>
      <c r="N415" s="1" t="n">
        <v>6.276</v>
      </c>
      <c r="O415" s="1" t="n">
        <v>6.151</v>
      </c>
      <c r="P415" s="9" t="n"/>
    </row>
    <row r="416">
      <c r="A416" s="8" t="n">
        <v>7</v>
      </c>
      <c r="B416" s="1" t="n">
        <v>26</v>
      </c>
      <c r="C416" s="1" t="inlineStr">
        <is>
          <t>C-95</t>
        </is>
      </c>
      <c r="D416" s="1" t="n">
        <v>5880</v>
      </c>
      <c r="E416" s="1" t="n">
        <v>8600</v>
      </c>
      <c r="F416" s="1" t="n"/>
      <c r="G416" s="1" t="n"/>
      <c r="H416" s="1" t="n"/>
      <c r="I416" s="1" t="inlineStr">
        <is>
          <t>BTC</t>
        </is>
      </c>
      <c r="J416" s="1" t="n">
        <v>722</v>
      </c>
      <c r="K416" s="1" t="n"/>
      <c r="L416" s="1" t="n">
        <v>717</v>
      </c>
      <c r="M416" s="1" t="n">
        <v>0.362</v>
      </c>
      <c r="N416" s="1" t="n">
        <v>6.276</v>
      </c>
      <c r="O416" s="1" t="n">
        <v>6.151</v>
      </c>
      <c r="P416" s="9" t="n"/>
    </row>
    <row r="417">
      <c r="A417" s="6" t="n">
        <v>7</v>
      </c>
      <c r="B417" s="2" t="n">
        <v>26</v>
      </c>
      <c r="C417" s="2" t="inlineStr">
        <is>
          <t>HCP-110</t>
        </is>
      </c>
      <c r="D417" s="2" t="n">
        <v>7800</v>
      </c>
      <c r="E417" s="2" t="n">
        <v>9950</v>
      </c>
      <c r="F417" s="2" t="n"/>
      <c r="G417" s="2" t="n"/>
      <c r="H417" s="2" t="n"/>
      <c r="I417" s="2" t="inlineStr">
        <is>
          <t>LTC</t>
        </is>
      </c>
      <c r="J417" s="2" t="n">
        <v>693</v>
      </c>
      <c r="K417" s="2" t="n"/>
      <c r="L417" s="2" t="n">
        <v>830</v>
      </c>
      <c r="M417" s="2" t="n">
        <v>0.362</v>
      </c>
      <c r="N417" s="2" t="n">
        <v>6.276</v>
      </c>
      <c r="O417" s="2" t="n">
        <v>6.151</v>
      </c>
      <c r="P417" s="7" t="n"/>
    </row>
    <row r="418">
      <c r="A418" s="6" t="n">
        <v>7</v>
      </c>
      <c r="B418" s="2" t="n">
        <v>26</v>
      </c>
      <c r="C418" s="2" t="inlineStr">
        <is>
          <t>HCP-110</t>
        </is>
      </c>
      <c r="D418" s="2" t="n">
        <v>7800</v>
      </c>
      <c r="E418" s="2" t="n">
        <v>9950</v>
      </c>
      <c r="F418" s="2" t="n"/>
      <c r="G418" s="2" t="n"/>
      <c r="H418" s="2" t="n"/>
      <c r="I418" s="2" t="inlineStr">
        <is>
          <t>BTC</t>
        </is>
      </c>
      <c r="J418" s="2" t="n">
        <v>853</v>
      </c>
      <c r="K418" s="2" t="n"/>
      <c r="L418" s="2" t="n">
        <v>830</v>
      </c>
      <c r="M418" s="2" t="n">
        <v>0.362</v>
      </c>
      <c r="N418" s="2" t="n">
        <v>6.276</v>
      </c>
      <c r="O418" s="2" t="n">
        <v>6.151</v>
      </c>
      <c r="P418" s="7" t="n"/>
    </row>
    <row r="419">
      <c r="A419" s="8" t="n">
        <v>7</v>
      </c>
      <c r="B419" s="1" t="n">
        <v>26</v>
      </c>
      <c r="C419" s="1" t="inlineStr">
        <is>
          <t>P-110</t>
        </is>
      </c>
      <c r="D419" s="1" t="n">
        <v>6230</v>
      </c>
      <c r="E419" s="1" t="n">
        <v>9950</v>
      </c>
      <c r="F419" s="1" t="n"/>
      <c r="G419" s="1" t="n"/>
      <c r="H419" s="1" t="n"/>
      <c r="I419" s="1" t="inlineStr">
        <is>
          <t>LTC</t>
        </is>
      </c>
      <c r="J419" s="1" t="n">
        <v>693</v>
      </c>
      <c r="K419" s="1" t="n"/>
      <c r="L419" s="1" t="n">
        <v>830</v>
      </c>
      <c r="M419" s="1" t="n">
        <v>0.362</v>
      </c>
      <c r="N419" s="1" t="n">
        <v>6.276</v>
      </c>
      <c r="O419" s="1" t="n">
        <v>6.151</v>
      </c>
      <c r="P419" s="9" t="n"/>
    </row>
    <row r="420">
      <c r="A420" s="8" t="n">
        <v>7</v>
      </c>
      <c r="B420" s="1" t="n">
        <v>26</v>
      </c>
      <c r="C420" s="1" t="inlineStr">
        <is>
          <t>P-110</t>
        </is>
      </c>
      <c r="D420" s="1" t="n">
        <v>6230</v>
      </c>
      <c r="E420" s="1" t="n">
        <v>9950</v>
      </c>
      <c r="F420" s="1" t="n"/>
      <c r="G420" s="1" t="n"/>
      <c r="H420" s="1" t="n"/>
      <c r="I420" s="1" t="inlineStr">
        <is>
          <t>BTC</t>
        </is>
      </c>
      <c r="J420" s="1" t="n">
        <v>853</v>
      </c>
      <c r="K420" s="1" t="n"/>
      <c r="L420" s="1" t="n">
        <v>830</v>
      </c>
      <c r="M420" s="1" t="n">
        <v>0.362</v>
      </c>
      <c r="N420" s="1" t="n">
        <v>6.276</v>
      </c>
      <c r="O420" s="1" t="n">
        <v>6.151</v>
      </c>
      <c r="P420" s="9" t="n"/>
    </row>
    <row r="421">
      <c r="A421" s="6" t="n">
        <v>7</v>
      </c>
      <c r="B421" s="2" t="n">
        <v>29</v>
      </c>
      <c r="C421" s="2" t="inlineStr">
        <is>
          <t>L-80</t>
        </is>
      </c>
      <c r="D421" s="2" t="n">
        <v>7020</v>
      </c>
      <c r="E421" s="2" t="n">
        <v>8160</v>
      </c>
      <c r="F421" s="2" t="n"/>
      <c r="G421" s="2" t="n"/>
      <c r="H421" s="2" t="n"/>
      <c r="I421" s="2" t="inlineStr">
        <is>
          <t>LTC</t>
        </is>
      </c>
      <c r="J421" s="2" t="n">
        <v>587</v>
      </c>
      <c r="K421" s="2" t="n"/>
      <c r="L421" s="2" t="n">
        <v>676</v>
      </c>
      <c r="M421" s="2" t="n">
        <v>0.408</v>
      </c>
      <c r="N421" s="2" t="n">
        <v>6.184</v>
      </c>
      <c r="O421" s="2" t="n">
        <v>6.059</v>
      </c>
      <c r="P421" s="7" t="n"/>
    </row>
    <row r="422">
      <c r="A422" s="6" t="n">
        <v>7</v>
      </c>
      <c r="B422" s="2" t="n">
        <v>29</v>
      </c>
      <c r="C422" s="2" t="inlineStr">
        <is>
          <t>L-80</t>
        </is>
      </c>
      <c r="D422" s="2" t="n">
        <v>7020</v>
      </c>
      <c r="E422" s="2" t="n">
        <v>8160</v>
      </c>
      <c r="F422" s="2" t="n"/>
      <c r="G422" s="2" t="n"/>
      <c r="H422" s="2" t="n"/>
      <c r="I422" s="2" t="inlineStr">
        <is>
          <t>BTC</t>
        </is>
      </c>
      <c r="J422" s="2" t="n">
        <v>718</v>
      </c>
      <c r="K422" s="2" t="n"/>
      <c r="L422" s="2" t="n">
        <v>676</v>
      </c>
      <c r="M422" s="2" t="n">
        <v>0.408</v>
      </c>
      <c r="N422" s="2" t="n">
        <v>6.184</v>
      </c>
      <c r="O422" s="2" t="n">
        <v>6.059</v>
      </c>
      <c r="P422" s="7" t="n"/>
    </row>
    <row r="423">
      <c r="A423" s="8" t="n">
        <v>7</v>
      </c>
      <c r="B423" s="1" t="n">
        <v>29</v>
      </c>
      <c r="C423" s="1" t="inlineStr">
        <is>
          <t>HCL-80</t>
        </is>
      </c>
      <c r="D423" s="1" t="n">
        <v>9200</v>
      </c>
      <c r="E423" s="1" t="n">
        <v>8160</v>
      </c>
      <c r="F423" s="1" t="n"/>
      <c r="G423" s="1" t="n"/>
      <c r="H423" s="1" t="n"/>
      <c r="I423" s="1" t="inlineStr">
        <is>
          <t>LTC</t>
        </is>
      </c>
      <c r="J423" s="1" t="n">
        <v>655</v>
      </c>
      <c r="K423" s="1" t="n"/>
      <c r="L423" s="1" t="n">
        <v>676</v>
      </c>
      <c r="M423" s="1" t="n">
        <v>0.408</v>
      </c>
      <c r="N423" s="1" t="n">
        <v>6.184</v>
      </c>
      <c r="O423" s="1" t="n">
        <v>6.059</v>
      </c>
      <c r="P423" s="9" t="n"/>
    </row>
    <row r="424">
      <c r="A424" s="8" t="n">
        <v>7</v>
      </c>
      <c r="B424" s="1" t="n">
        <v>29</v>
      </c>
      <c r="C424" s="1" t="inlineStr">
        <is>
          <t>HCL-80</t>
        </is>
      </c>
      <c r="D424" s="1" t="n">
        <v>9200</v>
      </c>
      <c r="E424" s="1" t="n">
        <v>8160</v>
      </c>
      <c r="F424" s="1" t="n"/>
      <c r="G424" s="1" t="n"/>
      <c r="H424" s="1" t="n"/>
      <c r="I424" s="1" t="inlineStr">
        <is>
          <t>BTC</t>
        </is>
      </c>
      <c r="J424" s="1" t="n">
        <v>780</v>
      </c>
      <c r="K424" s="1" t="n"/>
      <c r="L424" s="1" t="n">
        <v>676</v>
      </c>
      <c r="M424" s="1" t="n">
        <v>0.408</v>
      </c>
      <c r="N424" s="1" t="n">
        <v>6.184</v>
      </c>
      <c r="O424" s="1" t="n">
        <v>6.059</v>
      </c>
      <c r="P424" s="9" t="n"/>
    </row>
    <row r="425">
      <c r="A425" s="6" t="n">
        <v>7</v>
      </c>
      <c r="B425" s="2" t="n">
        <v>29</v>
      </c>
      <c r="C425" s="2" t="inlineStr">
        <is>
          <t>N-80</t>
        </is>
      </c>
      <c r="D425" s="2" t="n">
        <v>7020</v>
      </c>
      <c r="E425" s="2" t="n">
        <v>8160</v>
      </c>
      <c r="F425" s="2" t="n"/>
      <c r="G425" s="2" t="n"/>
      <c r="H425" s="2" t="n"/>
      <c r="I425" s="2" t="inlineStr">
        <is>
          <t>LTC</t>
        </is>
      </c>
      <c r="J425" s="2" t="n">
        <v>597</v>
      </c>
      <c r="K425" s="2" t="n"/>
      <c r="L425" s="2" t="n">
        <v>676</v>
      </c>
      <c r="M425" s="2" t="n">
        <v>0.408</v>
      </c>
      <c r="N425" s="2" t="n">
        <v>6.184</v>
      </c>
      <c r="O425" s="2" t="n">
        <v>6.059</v>
      </c>
      <c r="P425" s="7" t="n"/>
    </row>
    <row r="426">
      <c r="A426" s="6" t="n">
        <v>7</v>
      </c>
      <c r="B426" s="2" t="n">
        <v>29</v>
      </c>
      <c r="C426" s="2" t="inlineStr">
        <is>
          <t>N-80</t>
        </is>
      </c>
      <c r="D426" s="2" t="n">
        <v>7020</v>
      </c>
      <c r="E426" s="2" t="n">
        <v>8160</v>
      </c>
      <c r="F426" s="2" t="n"/>
      <c r="G426" s="2" t="n"/>
      <c r="H426" s="2" t="n"/>
      <c r="I426" s="2" t="inlineStr">
        <is>
          <t>BTC</t>
        </is>
      </c>
      <c r="J426" s="2" t="n">
        <v>746</v>
      </c>
      <c r="K426" s="2" t="n"/>
      <c r="L426" s="2" t="n">
        <v>676</v>
      </c>
      <c r="M426" s="2" t="n">
        <v>0.408</v>
      </c>
      <c r="N426" s="2" t="n">
        <v>6.184</v>
      </c>
      <c r="O426" s="2" t="n">
        <v>6.059</v>
      </c>
      <c r="P426" s="7" t="n"/>
    </row>
    <row r="427">
      <c r="A427" s="8" t="n">
        <v>7</v>
      </c>
      <c r="B427" s="1" t="n">
        <v>29</v>
      </c>
      <c r="C427" s="1" t="inlineStr">
        <is>
          <t>HCN-80</t>
        </is>
      </c>
      <c r="D427" s="1" t="n">
        <v>9200</v>
      </c>
      <c r="E427" s="1" t="n">
        <v>8160</v>
      </c>
      <c r="F427" s="1" t="n"/>
      <c r="G427" s="1" t="n"/>
      <c r="H427" s="1" t="n"/>
      <c r="I427" s="1" t="inlineStr">
        <is>
          <t>LTC</t>
        </is>
      </c>
      <c r="J427" s="1" t="n">
        <v>655</v>
      </c>
      <c r="K427" s="1" t="n"/>
      <c r="L427" s="1" t="n">
        <v>676</v>
      </c>
      <c r="M427" s="1" t="n">
        <v>0.408</v>
      </c>
      <c r="N427" s="1" t="n">
        <v>6.184</v>
      </c>
      <c r="O427" s="1" t="n">
        <v>6.059</v>
      </c>
      <c r="P427" s="9" t="n"/>
    </row>
    <row r="428">
      <c r="A428" s="8" t="n">
        <v>7</v>
      </c>
      <c r="B428" s="1" t="n">
        <v>29</v>
      </c>
      <c r="C428" s="1" t="inlineStr">
        <is>
          <t>HCN-80</t>
        </is>
      </c>
      <c r="D428" s="1" t="n">
        <v>9200</v>
      </c>
      <c r="E428" s="1" t="n">
        <v>8160</v>
      </c>
      <c r="F428" s="1" t="n"/>
      <c r="G428" s="1" t="n"/>
      <c r="H428" s="1" t="n"/>
      <c r="I428" s="1" t="inlineStr">
        <is>
          <t>BTC</t>
        </is>
      </c>
      <c r="J428" s="1" t="n">
        <v>780</v>
      </c>
      <c r="K428" s="1" t="n"/>
      <c r="L428" s="1" t="n">
        <v>676</v>
      </c>
      <c r="M428" s="1" t="n">
        <v>0.408</v>
      </c>
      <c r="N428" s="1" t="n">
        <v>6.184</v>
      </c>
      <c r="O428" s="1" t="n">
        <v>6.059</v>
      </c>
      <c r="P428" s="9" t="n"/>
    </row>
    <row r="429">
      <c r="A429" s="6" t="n">
        <v>7</v>
      </c>
      <c r="B429" s="2" t="n">
        <v>29</v>
      </c>
      <c r="C429" s="2" t="inlineStr">
        <is>
          <t>C-90</t>
        </is>
      </c>
      <c r="D429" s="2" t="n">
        <v>7580</v>
      </c>
      <c r="E429" s="2" t="n">
        <v>9180</v>
      </c>
      <c r="F429" s="2" t="n"/>
      <c r="G429" s="2" t="n"/>
      <c r="H429" s="2" t="n"/>
      <c r="I429" s="2" t="inlineStr">
        <is>
          <t>LTC</t>
        </is>
      </c>
      <c r="J429" s="2" t="n">
        <v>648</v>
      </c>
      <c r="K429" s="2" t="n"/>
      <c r="L429" s="2" t="n">
        <v>760</v>
      </c>
      <c r="M429" s="2" t="n">
        <v>0.408</v>
      </c>
      <c r="N429" s="2" t="n">
        <v>6.184</v>
      </c>
      <c r="O429" s="2" t="n">
        <v>6.059</v>
      </c>
      <c r="P429" s="7" t="n"/>
    </row>
    <row r="430">
      <c r="A430" s="6" t="n">
        <v>7</v>
      </c>
      <c r="B430" s="2" t="n">
        <v>29</v>
      </c>
      <c r="C430" s="2" t="inlineStr">
        <is>
          <t>C-90</t>
        </is>
      </c>
      <c r="D430" s="2" t="n">
        <v>7580</v>
      </c>
      <c r="E430" s="2" t="n">
        <v>9180</v>
      </c>
      <c r="F430" s="2" t="n"/>
      <c r="G430" s="2" t="n"/>
      <c r="H430" s="2" t="n"/>
      <c r="I430" s="2" t="inlineStr">
        <is>
          <t>BTC</t>
        </is>
      </c>
      <c r="J430" s="2" t="n">
        <v>768</v>
      </c>
      <c r="K430" s="2" t="n"/>
      <c r="L430" s="2" t="n">
        <v>760</v>
      </c>
      <c r="M430" s="2" t="n">
        <v>0.408</v>
      </c>
      <c r="N430" s="2" t="n">
        <v>6.184</v>
      </c>
      <c r="O430" s="2" t="n">
        <v>6.059</v>
      </c>
      <c r="P430" s="7" t="n"/>
    </row>
    <row r="431">
      <c r="A431" s="8" t="n">
        <v>7</v>
      </c>
      <c r="B431" s="1" t="n">
        <v>29</v>
      </c>
      <c r="C431" s="1" t="inlineStr">
        <is>
          <t>H2S-90</t>
        </is>
      </c>
      <c r="D431" s="1" t="n">
        <v>9200</v>
      </c>
      <c r="E431" s="1" t="n">
        <v>9180</v>
      </c>
      <c r="F431" s="1" t="n"/>
      <c r="G431" s="1" t="n"/>
      <c r="H431" s="1" t="n"/>
      <c r="I431" s="1" t="inlineStr">
        <is>
          <t>LTC</t>
        </is>
      </c>
      <c r="J431" s="1" t="n">
        <v>655</v>
      </c>
      <c r="K431" s="1" t="n"/>
      <c r="L431" s="1" t="n">
        <v>760</v>
      </c>
      <c r="M431" s="1" t="n">
        <v>0.408</v>
      </c>
      <c r="N431" s="1" t="n">
        <v>6.184</v>
      </c>
      <c r="O431" s="1" t="n">
        <v>6.059</v>
      </c>
      <c r="P431" s="9" t="n"/>
    </row>
    <row r="432">
      <c r="A432" s="8" t="n">
        <v>7</v>
      </c>
      <c r="B432" s="1" t="n">
        <v>29</v>
      </c>
      <c r="C432" s="1" t="inlineStr">
        <is>
          <t>H2S-90</t>
        </is>
      </c>
      <c r="D432" s="1" t="n">
        <v>9200</v>
      </c>
      <c r="E432" s="1" t="n">
        <v>9180</v>
      </c>
      <c r="F432" s="1" t="n"/>
      <c r="G432" s="1" t="n"/>
      <c r="H432" s="1" t="n"/>
      <c r="I432" s="1" t="inlineStr">
        <is>
          <t>BTC</t>
        </is>
      </c>
      <c r="J432" s="1" t="n">
        <v>780</v>
      </c>
      <c r="K432" s="1" t="n"/>
      <c r="L432" s="1" t="n">
        <v>760</v>
      </c>
      <c r="M432" s="1" t="n">
        <v>0.408</v>
      </c>
      <c r="N432" s="1" t="n">
        <v>6.184</v>
      </c>
      <c r="O432" s="1" t="n">
        <v>6.059</v>
      </c>
      <c r="P432" s="9" t="n"/>
    </row>
    <row r="433">
      <c r="A433" s="6" t="n">
        <v>7</v>
      </c>
      <c r="B433" s="2" t="n">
        <v>29</v>
      </c>
      <c r="C433" s="2" t="inlineStr">
        <is>
          <t>S-95</t>
        </is>
      </c>
      <c r="D433" s="2" t="n">
        <v>9200</v>
      </c>
      <c r="E433" s="2" t="n">
        <v>9690</v>
      </c>
      <c r="F433" s="2" t="n"/>
      <c r="G433" s="2" t="n"/>
      <c r="H433" s="2" t="n"/>
      <c r="I433" s="2" t="inlineStr">
        <is>
          <t>LTC</t>
        </is>
      </c>
      <c r="J433" s="2" t="n">
        <v>692</v>
      </c>
      <c r="K433" s="2" t="n"/>
      <c r="L433" s="2" t="n">
        <v>803</v>
      </c>
      <c r="M433" s="2" t="n">
        <v>0.408</v>
      </c>
      <c r="N433" s="2" t="n">
        <v>6.184</v>
      </c>
      <c r="O433" s="2" t="n">
        <v>6.059</v>
      </c>
      <c r="P433" s="7" t="n"/>
    </row>
    <row r="434">
      <c r="A434" s="6" t="n">
        <v>7</v>
      </c>
      <c r="B434" s="2" t="n">
        <v>29</v>
      </c>
      <c r="C434" s="2" t="inlineStr">
        <is>
          <t>S-95</t>
        </is>
      </c>
      <c r="D434" s="2" t="n">
        <v>9200</v>
      </c>
      <c r="E434" s="2" t="n">
        <v>9690</v>
      </c>
      <c r="F434" s="2" t="n"/>
      <c r="G434" s="2" t="n"/>
      <c r="H434" s="2" t="n"/>
      <c r="I434" s="2" t="inlineStr">
        <is>
          <t>BTC</t>
        </is>
      </c>
      <c r="J434" s="2" t="n">
        <v>836</v>
      </c>
      <c r="K434" s="2" t="n"/>
      <c r="L434" s="2" t="n">
        <v>803</v>
      </c>
      <c r="M434" s="2" t="n">
        <v>0.408</v>
      </c>
      <c r="N434" s="2" t="n">
        <v>6.184</v>
      </c>
      <c r="O434" s="2" t="n">
        <v>6.059</v>
      </c>
      <c r="P434" s="7" t="n"/>
    </row>
    <row r="435">
      <c r="A435" s="8" t="n">
        <v>7</v>
      </c>
      <c r="B435" s="1" t="n">
        <v>29</v>
      </c>
      <c r="C435" s="1" t="inlineStr">
        <is>
          <t>T-95</t>
        </is>
      </c>
      <c r="D435" s="1" t="n">
        <v>7830</v>
      </c>
      <c r="E435" s="1" t="n">
        <v>9690</v>
      </c>
      <c r="F435" s="1" t="n"/>
      <c r="G435" s="1" t="n"/>
      <c r="H435" s="1" t="n"/>
      <c r="I435" s="1" t="inlineStr">
        <is>
          <t>LTC</t>
        </is>
      </c>
      <c r="J435" s="1" t="n">
        <v>683</v>
      </c>
      <c r="K435" s="1" t="n"/>
      <c r="L435" s="1" t="n">
        <v>803</v>
      </c>
      <c r="M435" s="1" t="n">
        <v>0.408</v>
      </c>
      <c r="N435" s="1" t="n">
        <v>6.184</v>
      </c>
      <c r="O435" s="1" t="n">
        <v>6.059</v>
      </c>
      <c r="P435" s="9" t="n"/>
    </row>
    <row r="436">
      <c r="A436" s="8" t="n">
        <v>7</v>
      </c>
      <c r="B436" s="1" t="n">
        <v>29</v>
      </c>
      <c r="C436" s="1" t="inlineStr">
        <is>
          <t>T-95</t>
        </is>
      </c>
      <c r="D436" s="1" t="n">
        <v>7830</v>
      </c>
      <c r="E436" s="1" t="n">
        <v>9690</v>
      </c>
      <c r="F436" s="1" t="n"/>
      <c r="G436" s="1" t="n"/>
      <c r="H436" s="1" t="n"/>
      <c r="I436" s="1" t="inlineStr">
        <is>
          <t>BTC</t>
        </is>
      </c>
      <c r="J436" s="1" t="n">
        <v>808</v>
      </c>
      <c r="K436" s="1" t="n"/>
      <c r="L436" s="1" t="n">
        <v>803</v>
      </c>
      <c r="M436" s="1" t="n">
        <v>0.408</v>
      </c>
      <c r="N436" s="1" t="n">
        <v>6.184</v>
      </c>
      <c r="O436" s="1" t="n">
        <v>6.059</v>
      </c>
      <c r="P436" s="9" t="n"/>
    </row>
    <row r="437">
      <c r="A437" s="6" t="n">
        <v>7</v>
      </c>
      <c r="B437" s="2" t="n">
        <v>29</v>
      </c>
      <c r="C437" s="2" t="inlineStr">
        <is>
          <t>H2S-95</t>
        </is>
      </c>
      <c r="D437" s="2" t="n">
        <v>9200</v>
      </c>
      <c r="E437" s="2" t="n">
        <v>9690</v>
      </c>
      <c r="F437" s="2" t="n"/>
      <c r="G437" s="2" t="n"/>
      <c r="H437" s="2" t="n"/>
      <c r="I437" s="2" t="inlineStr">
        <is>
          <t>LTC</t>
        </is>
      </c>
      <c r="J437" s="2" t="n">
        <v>683</v>
      </c>
      <c r="K437" s="2" t="n"/>
      <c r="L437" s="2" t="n">
        <v>803</v>
      </c>
      <c r="M437" s="2" t="n">
        <v>0.408</v>
      </c>
      <c r="N437" s="2" t="n">
        <v>6.184</v>
      </c>
      <c r="O437" s="2" t="n">
        <v>6.059</v>
      </c>
      <c r="P437" s="7" t="n"/>
    </row>
    <row r="438">
      <c r="A438" s="6" t="n">
        <v>7</v>
      </c>
      <c r="B438" s="2" t="n">
        <v>29</v>
      </c>
      <c r="C438" s="2" t="inlineStr">
        <is>
          <t>H2S-95</t>
        </is>
      </c>
      <c r="D438" s="2" t="n">
        <v>9200</v>
      </c>
      <c r="E438" s="2" t="n">
        <v>9690</v>
      </c>
      <c r="F438" s="2" t="n"/>
      <c r="G438" s="2" t="n"/>
      <c r="H438" s="2" t="n"/>
      <c r="I438" s="2" t="inlineStr">
        <is>
          <t>BTC</t>
        </is>
      </c>
      <c r="J438" s="2" t="n">
        <v>808</v>
      </c>
      <c r="K438" s="2" t="n"/>
      <c r="L438" s="2" t="n">
        <v>803</v>
      </c>
      <c r="M438" s="2" t="n">
        <v>0.408</v>
      </c>
      <c r="N438" s="2" t="n">
        <v>6.184</v>
      </c>
      <c r="O438" s="2" t="n">
        <v>6.059</v>
      </c>
      <c r="P438" s="7" t="n"/>
    </row>
    <row r="439">
      <c r="A439" s="8" t="n">
        <v>7</v>
      </c>
      <c r="B439" s="1" t="n">
        <v>29</v>
      </c>
      <c r="C439" s="1" t="inlineStr">
        <is>
          <t>C-95</t>
        </is>
      </c>
      <c r="D439" s="1" t="n">
        <v>7830</v>
      </c>
      <c r="E439" s="1" t="n">
        <v>9690</v>
      </c>
      <c r="F439" s="1" t="n"/>
      <c r="G439" s="1" t="n"/>
      <c r="H439" s="1" t="n"/>
      <c r="I439" s="1" t="inlineStr">
        <is>
          <t>LTC</t>
        </is>
      </c>
      <c r="J439" s="1" t="n">
        <v>683</v>
      </c>
      <c r="K439" s="1" t="n"/>
      <c r="L439" s="1" t="n">
        <v>803</v>
      </c>
      <c r="M439" s="1" t="n">
        <v>0.408</v>
      </c>
      <c r="N439" s="1" t="n">
        <v>6.184</v>
      </c>
      <c r="O439" s="1" t="n">
        <v>6.059</v>
      </c>
      <c r="P439" s="9" t="n"/>
    </row>
    <row r="440">
      <c r="A440" s="8" t="n">
        <v>7</v>
      </c>
      <c r="B440" s="1" t="n">
        <v>29</v>
      </c>
      <c r="C440" s="1" t="inlineStr">
        <is>
          <t>C-95</t>
        </is>
      </c>
      <c r="D440" s="1" t="n">
        <v>7830</v>
      </c>
      <c r="E440" s="1" t="n">
        <v>9690</v>
      </c>
      <c r="F440" s="1" t="n"/>
      <c r="G440" s="1" t="n"/>
      <c r="H440" s="1" t="n"/>
      <c r="I440" s="1" t="inlineStr">
        <is>
          <t>BTC</t>
        </is>
      </c>
      <c r="J440" s="1" t="n">
        <v>808</v>
      </c>
      <c r="K440" s="1" t="n"/>
      <c r="L440" s="1" t="n">
        <v>803</v>
      </c>
      <c r="M440" s="1" t="n">
        <v>0.408</v>
      </c>
      <c r="N440" s="1" t="n">
        <v>6.184</v>
      </c>
      <c r="O440" s="1" t="n">
        <v>6.059</v>
      </c>
      <c r="P440" s="9" t="n"/>
    </row>
    <row r="441">
      <c r="A441" s="6" t="n">
        <v>7</v>
      </c>
      <c r="B441" s="2" t="n">
        <v>29</v>
      </c>
      <c r="C441" s="2" t="inlineStr">
        <is>
          <t>HCP-110</t>
        </is>
      </c>
      <c r="D441" s="2" t="n">
        <v>9200</v>
      </c>
      <c r="E441" s="2" t="n">
        <v>11220</v>
      </c>
      <c r="F441" s="2" t="n"/>
      <c r="G441" s="2" t="n"/>
      <c r="H441" s="2" t="n"/>
      <c r="I441" s="2" t="inlineStr">
        <is>
          <t>LTC</t>
        </is>
      </c>
      <c r="J441" s="2" t="n">
        <v>797</v>
      </c>
      <c r="K441" s="2" t="n"/>
      <c r="L441" s="2" t="n">
        <v>929</v>
      </c>
      <c r="M441" s="2" t="n">
        <v>0.408</v>
      </c>
      <c r="N441" s="2" t="n">
        <v>6.184</v>
      </c>
      <c r="O441" s="2" t="n">
        <v>6.059</v>
      </c>
      <c r="P441" s="7" t="n"/>
    </row>
    <row r="442">
      <c r="A442" s="6" t="n">
        <v>7</v>
      </c>
      <c r="B442" s="2" t="n">
        <v>29</v>
      </c>
      <c r="C442" s="2" t="inlineStr">
        <is>
          <t>HCP-110</t>
        </is>
      </c>
      <c r="D442" s="2" t="n">
        <v>9200</v>
      </c>
      <c r="E442" s="2" t="n">
        <v>11220</v>
      </c>
      <c r="F442" s="2" t="n"/>
      <c r="G442" s="2" t="n"/>
      <c r="H442" s="2" t="n"/>
      <c r="I442" s="2" t="inlineStr">
        <is>
          <t>BTC</t>
        </is>
      </c>
      <c r="J442" s="2" t="n">
        <v>955</v>
      </c>
      <c r="K442" s="2" t="n"/>
      <c r="L442" s="2" t="n">
        <v>929</v>
      </c>
      <c r="M442" s="2" t="n">
        <v>0.408</v>
      </c>
      <c r="N442" s="2" t="n">
        <v>6.184</v>
      </c>
      <c r="O442" s="2" t="n">
        <v>6.059</v>
      </c>
      <c r="P442" s="7" t="n"/>
    </row>
    <row r="443">
      <c r="A443" s="8" t="n">
        <v>7</v>
      </c>
      <c r="B443" s="1" t="n">
        <v>29</v>
      </c>
      <c r="C443" s="1" t="inlineStr">
        <is>
          <t>P-110</t>
        </is>
      </c>
      <c r="D443" s="1" t="n">
        <v>8530</v>
      </c>
      <c r="E443" s="1" t="n">
        <v>11220</v>
      </c>
      <c r="F443" s="1" t="n"/>
      <c r="G443" s="1" t="n"/>
      <c r="H443" s="1" t="n"/>
      <c r="I443" s="1" t="inlineStr">
        <is>
          <t>LTC</t>
        </is>
      </c>
      <c r="J443" s="1" t="n">
        <v>797</v>
      </c>
      <c r="K443" s="1" t="n"/>
      <c r="L443" s="1" t="n">
        <v>929</v>
      </c>
      <c r="M443" s="1" t="n">
        <v>0.408</v>
      </c>
      <c r="N443" s="1" t="n">
        <v>6.184</v>
      </c>
      <c r="O443" s="1" t="n">
        <v>6.059</v>
      </c>
      <c r="P443" s="9" t="n"/>
    </row>
    <row r="444">
      <c r="A444" s="8" t="n">
        <v>7</v>
      </c>
      <c r="B444" s="1" t="n">
        <v>29</v>
      </c>
      <c r="C444" s="1" t="inlineStr">
        <is>
          <t>P-110</t>
        </is>
      </c>
      <c r="D444" s="1" t="n">
        <v>8530</v>
      </c>
      <c r="E444" s="1" t="n">
        <v>11220</v>
      </c>
      <c r="F444" s="1" t="n"/>
      <c r="G444" s="1" t="n"/>
      <c r="H444" s="1" t="n"/>
      <c r="I444" s="1" t="inlineStr">
        <is>
          <t>BTC</t>
        </is>
      </c>
      <c r="J444" s="1" t="n">
        <v>955</v>
      </c>
      <c r="K444" s="1" t="n"/>
      <c r="L444" s="1" t="n">
        <v>929</v>
      </c>
      <c r="M444" s="1" t="n">
        <v>0.408</v>
      </c>
      <c r="N444" s="1" t="n">
        <v>6.184</v>
      </c>
      <c r="O444" s="1" t="n">
        <v>6.059</v>
      </c>
      <c r="P444" s="9" t="n"/>
    </row>
    <row r="445">
      <c r="A445" s="6" t="n">
        <v>7</v>
      </c>
      <c r="B445" s="2" t="n">
        <v>29</v>
      </c>
      <c r="C445" s="2" t="inlineStr">
        <is>
          <t>HCQ-125</t>
        </is>
      </c>
      <c r="D445" s="2" t="n">
        <v>9200</v>
      </c>
      <c r="E445" s="2" t="n">
        <v>12750</v>
      </c>
      <c r="F445" s="2" t="n"/>
      <c r="G445" s="2" t="n"/>
      <c r="H445" s="2" t="n"/>
      <c r="I445" s="2" t="inlineStr">
        <is>
          <t>LTC</t>
        </is>
      </c>
      <c r="J445" s="2" t="n">
        <v>885</v>
      </c>
      <c r="K445" s="2" t="n"/>
      <c r="L445" s="2" t="n">
        <v>1056</v>
      </c>
      <c r="M445" s="2" t="n">
        <v>0.408</v>
      </c>
      <c r="N445" s="2" t="n">
        <v>6.184</v>
      </c>
      <c r="O445" s="2" t="n">
        <v>6.059</v>
      </c>
      <c r="P445" s="7" t="n"/>
    </row>
    <row r="446">
      <c r="A446" s="6" t="n">
        <v>7</v>
      </c>
      <c r="B446" s="2" t="n">
        <v>29</v>
      </c>
      <c r="C446" s="2" t="inlineStr">
        <is>
          <t>HCQ-125</t>
        </is>
      </c>
      <c r="D446" s="2" t="n">
        <v>9200</v>
      </c>
      <c r="E446" s="2" t="n">
        <v>12750</v>
      </c>
      <c r="F446" s="2" t="n"/>
      <c r="G446" s="2" t="n"/>
      <c r="H446" s="2" t="n"/>
      <c r="I446" s="2" t="inlineStr">
        <is>
          <t>BTC</t>
        </is>
      </c>
      <c r="J446" s="2" t="n">
        <v>1045</v>
      </c>
      <c r="K446" s="2" t="n"/>
      <c r="L446" s="2" t="n">
        <v>1056</v>
      </c>
      <c r="M446" s="2" t="n">
        <v>0.408</v>
      </c>
      <c r="N446" s="2" t="n">
        <v>6.184</v>
      </c>
      <c r="O446" s="2" t="n">
        <v>6.059</v>
      </c>
      <c r="P446" s="7" t="n"/>
    </row>
    <row r="447">
      <c r="A447" s="8" t="n">
        <v>7</v>
      </c>
      <c r="B447" s="1" t="n">
        <v>29</v>
      </c>
      <c r="C447" s="1" t="inlineStr">
        <is>
          <t>Q-125</t>
        </is>
      </c>
      <c r="D447" s="1" t="n">
        <v>9100</v>
      </c>
      <c r="E447" s="1" t="n">
        <v>12750</v>
      </c>
      <c r="F447" s="1" t="n"/>
      <c r="G447" s="1" t="n"/>
      <c r="H447" s="1" t="n"/>
      <c r="I447" s="1" t="inlineStr">
        <is>
          <t>LTC</t>
        </is>
      </c>
      <c r="J447" s="1" t="n">
        <v>885</v>
      </c>
      <c r="K447" s="1" t="n"/>
      <c r="L447" s="1" t="n">
        <v>1056</v>
      </c>
      <c r="M447" s="1" t="n">
        <v>0.408</v>
      </c>
      <c r="N447" s="1" t="n">
        <v>6.184</v>
      </c>
      <c r="O447" s="1" t="n">
        <v>6.059</v>
      </c>
      <c r="P447" s="9" t="n"/>
    </row>
    <row r="448">
      <c r="A448" s="8" t="n">
        <v>7</v>
      </c>
      <c r="B448" s="1" t="n">
        <v>29</v>
      </c>
      <c r="C448" s="1" t="inlineStr">
        <is>
          <t>Q-125</t>
        </is>
      </c>
      <c r="D448" s="1" t="n">
        <v>9100</v>
      </c>
      <c r="E448" s="1" t="n">
        <v>12750</v>
      </c>
      <c r="F448" s="1" t="n"/>
      <c r="G448" s="1" t="n"/>
      <c r="H448" s="1" t="n"/>
      <c r="I448" s="1" t="inlineStr">
        <is>
          <t>BTC</t>
        </is>
      </c>
      <c r="J448" s="1" t="n">
        <v>1045</v>
      </c>
      <c r="K448" s="1" t="n"/>
      <c r="L448" s="1" t="n">
        <v>1056</v>
      </c>
      <c r="M448" s="1" t="n">
        <v>0.408</v>
      </c>
      <c r="N448" s="1" t="n">
        <v>6.184</v>
      </c>
      <c r="O448" s="1" t="n">
        <v>6.059</v>
      </c>
      <c r="P448" s="9" t="n"/>
    </row>
    <row r="449">
      <c r="A449" s="6" t="n">
        <v>7</v>
      </c>
      <c r="B449" s="2" t="n">
        <v>29</v>
      </c>
      <c r="C449" s="2" t="inlineStr">
        <is>
          <t>V-150</t>
        </is>
      </c>
      <c r="D449" s="2" t="n">
        <v>9790</v>
      </c>
      <c r="E449" s="2" t="n">
        <v>15300</v>
      </c>
      <c r="F449" s="2" t="n"/>
      <c r="G449" s="2" t="n"/>
      <c r="H449" s="2" t="n"/>
      <c r="I449" s="2" t="inlineStr">
        <is>
          <t>LTC</t>
        </is>
      </c>
      <c r="J449" s="2" t="n">
        <v>1049</v>
      </c>
      <c r="K449" s="2" t="n"/>
      <c r="L449" s="2" t="n">
        <v>1267</v>
      </c>
      <c r="M449" s="2" t="n">
        <v>0.408</v>
      </c>
      <c r="N449" s="2" t="n">
        <v>6.184</v>
      </c>
      <c r="O449" s="2" t="n">
        <v>6.059</v>
      </c>
      <c r="P449" s="7" t="n"/>
    </row>
    <row r="450">
      <c r="A450" s="6" t="n">
        <v>7</v>
      </c>
      <c r="B450" s="2" t="n">
        <v>29</v>
      </c>
      <c r="C450" s="2" t="inlineStr">
        <is>
          <t>V-150</t>
        </is>
      </c>
      <c r="D450" s="2" t="n">
        <v>9790</v>
      </c>
      <c r="E450" s="2" t="n">
        <v>15300</v>
      </c>
      <c r="F450" s="2" t="n"/>
      <c r="G450" s="2" t="n"/>
      <c r="H450" s="2" t="n"/>
      <c r="I450" s="2" t="inlineStr">
        <is>
          <t>BTC</t>
        </is>
      </c>
      <c r="J450" s="2" t="n">
        <v>1243</v>
      </c>
      <c r="K450" s="2" t="n"/>
      <c r="L450" s="2" t="n">
        <v>1267</v>
      </c>
      <c r="M450" s="2" t="n">
        <v>0.408</v>
      </c>
      <c r="N450" s="2" t="n">
        <v>6.184</v>
      </c>
      <c r="O450" s="2" t="n">
        <v>6.059</v>
      </c>
      <c r="P450" s="7" t="n"/>
    </row>
    <row r="451">
      <c r="A451" s="8" t="n">
        <v>7</v>
      </c>
      <c r="B451" s="1" t="n">
        <v>32</v>
      </c>
      <c r="C451" s="1" t="inlineStr">
        <is>
          <t>L-80</t>
        </is>
      </c>
      <c r="D451" s="1" t="n">
        <v>8610</v>
      </c>
      <c r="E451" s="1" t="n">
        <v>9060</v>
      </c>
      <c r="F451" s="1" t="n"/>
      <c r="G451" s="1" t="n"/>
      <c r="H451" s="1" t="n"/>
      <c r="I451" s="1" t="inlineStr">
        <is>
          <t>LTC</t>
        </is>
      </c>
      <c r="J451" s="1" t="n">
        <v>661</v>
      </c>
      <c r="K451" s="1" t="n"/>
      <c r="L451" s="1" t="n">
        <v>745</v>
      </c>
      <c r="M451" s="1" t="n">
        <v>0.453</v>
      </c>
      <c r="N451" s="1" t="n">
        <v>6.094</v>
      </c>
      <c r="O451" s="1" t="n">
        <v>5.969</v>
      </c>
      <c r="P451" s="9" t="n">
        <v>6</v>
      </c>
    </row>
    <row r="452">
      <c r="A452" s="8" t="n">
        <v>7</v>
      </c>
      <c r="B452" s="1" t="n">
        <v>32</v>
      </c>
      <c r="C452" s="1" t="inlineStr">
        <is>
          <t>L-80</t>
        </is>
      </c>
      <c r="D452" s="1" t="n">
        <v>8610</v>
      </c>
      <c r="E452" s="1" t="n">
        <v>8460</v>
      </c>
      <c r="F452" s="1" t="n"/>
      <c r="G452" s="1" t="n"/>
      <c r="H452" s="1" t="n"/>
      <c r="I452" s="1" t="inlineStr">
        <is>
          <t>BTC</t>
        </is>
      </c>
      <c r="J452" s="1" t="n">
        <v>791</v>
      </c>
      <c r="K452" s="1" t="n"/>
      <c r="L452" s="1" t="n">
        <v>745</v>
      </c>
      <c r="M452" s="1" t="n">
        <v>0.453</v>
      </c>
      <c r="N452" s="1" t="n">
        <v>6.094</v>
      </c>
      <c r="O452" s="1" t="n">
        <v>5.969</v>
      </c>
      <c r="P452" s="9" t="n">
        <v>6</v>
      </c>
    </row>
    <row r="453">
      <c r="A453" s="6" t="n">
        <v>7</v>
      </c>
      <c r="B453" s="2" t="n">
        <v>32</v>
      </c>
      <c r="C453" s="2" t="inlineStr">
        <is>
          <t>HCL-80</t>
        </is>
      </c>
      <c r="D453" s="2" t="n">
        <v>10400</v>
      </c>
      <c r="E453" s="2" t="n">
        <v>9060</v>
      </c>
      <c r="F453" s="2" t="n"/>
      <c r="G453" s="2" t="n"/>
      <c r="H453" s="2" t="n"/>
      <c r="I453" s="2" t="inlineStr">
        <is>
          <t>LTC</t>
        </is>
      </c>
      <c r="J453" s="2" t="n">
        <v>738</v>
      </c>
      <c r="K453" s="2" t="n"/>
      <c r="L453" s="2" t="n">
        <v>745</v>
      </c>
      <c r="M453" s="2" t="n">
        <v>0.453</v>
      </c>
      <c r="N453" s="2" t="n">
        <v>6.094</v>
      </c>
      <c r="O453" s="2" t="n">
        <v>5.969</v>
      </c>
      <c r="P453" s="7" t="n">
        <v>6</v>
      </c>
    </row>
    <row r="454">
      <c r="A454" s="6" t="n">
        <v>7</v>
      </c>
      <c r="B454" s="2" t="n">
        <v>32</v>
      </c>
      <c r="C454" s="2" t="inlineStr">
        <is>
          <t>HCL-80</t>
        </is>
      </c>
      <c r="D454" s="2" t="n">
        <v>10400</v>
      </c>
      <c r="E454" s="2" t="n">
        <v>8460</v>
      </c>
      <c r="F454" s="2" t="n"/>
      <c r="G454" s="2" t="n"/>
      <c r="H454" s="2" t="n"/>
      <c r="I454" s="2" t="inlineStr">
        <is>
          <t>BTC</t>
        </is>
      </c>
      <c r="J454" s="2" t="n">
        <v>832</v>
      </c>
      <c r="K454" s="2" t="n"/>
      <c r="L454" s="2" t="n">
        <v>745</v>
      </c>
      <c r="M454" s="2" t="n">
        <v>0.453</v>
      </c>
      <c r="N454" s="2" t="n">
        <v>6.094</v>
      </c>
      <c r="O454" s="2" t="n">
        <v>5.969</v>
      </c>
      <c r="P454" s="7" t="n">
        <v>6</v>
      </c>
    </row>
    <row r="455">
      <c r="A455" s="8" t="n">
        <v>7</v>
      </c>
      <c r="B455" s="1" t="n">
        <v>32</v>
      </c>
      <c r="C455" s="1" t="inlineStr">
        <is>
          <t>N-80</t>
        </is>
      </c>
      <c r="D455" s="1" t="n">
        <v>8610</v>
      </c>
      <c r="E455" s="1" t="n">
        <v>9060</v>
      </c>
      <c r="F455" s="1" t="n"/>
      <c r="G455" s="1" t="n"/>
      <c r="H455" s="1" t="n"/>
      <c r="I455" s="1" t="inlineStr">
        <is>
          <t>LTC</t>
        </is>
      </c>
      <c r="J455" s="1" t="n">
        <v>672</v>
      </c>
      <c r="K455" s="1" t="n"/>
      <c r="L455" s="1" t="n">
        <v>745</v>
      </c>
      <c r="M455" s="1" t="n">
        <v>0.453</v>
      </c>
      <c r="N455" s="1" t="n">
        <v>6.094</v>
      </c>
      <c r="O455" s="1" t="n">
        <v>5.969</v>
      </c>
      <c r="P455" s="9" t="n">
        <v>6</v>
      </c>
    </row>
    <row r="456">
      <c r="A456" s="8" t="n">
        <v>7</v>
      </c>
      <c r="B456" s="1" t="n">
        <v>32</v>
      </c>
      <c r="C456" s="1" t="inlineStr">
        <is>
          <t>N-80</t>
        </is>
      </c>
      <c r="D456" s="1" t="n">
        <v>8610</v>
      </c>
      <c r="E456" s="1" t="n">
        <v>8460</v>
      </c>
      <c r="F456" s="1" t="n"/>
      <c r="G456" s="1" t="n"/>
      <c r="H456" s="1" t="n"/>
      <c r="I456" s="1" t="inlineStr">
        <is>
          <t>BTC</t>
        </is>
      </c>
      <c r="J456" s="1" t="n">
        <v>823</v>
      </c>
      <c r="K456" s="1" t="n"/>
      <c r="L456" s="1" t="n">
        <v>745</v>
      </c>
      <c r="M456" s="1" t="n">
        <v>0.453</v>
      </c>
      <c r="N456" s="1" t="n">
        <v>6.094</v>
      </c>
      <c r="O456" s="1" t="n">
        <v>5.969</v>
      </c>
      <c r="P456" s="9" t="n">
        <v>6</v>
      </c>
    </row>
    <row r="457">
      <c r="A457" s="6" t="n">
        <v>7</v>
      </c>
      <c r="B457" s="2" t="n">
        <v>32</v>
      </c>
      <c r="C457" s="2" t="inlineStr">
        <is>
          <t>HCN-80</t>
        </is>
      </c>
      <c r="D457" s="2" t="n">
        <v>10400</v>
      </c>
      <c r="E457" s="2" t="n">
        <v>9060</v>
      </c>
      <c r="F457" s="2" t="n"/>
      <c r="G457" s="2" t="n"/>
      <c r="H457" s="2" t="n"/>
      <c r="I457" s="2" t="inlineStr">
        <is>
          <t>LTC</t>
        </is>
      </c>
      <c r="J457" s="2" t="n">
        <v>738</v>
      </c>
      <c r="K457" s="2" t="n"/>
      <c r="L457" s="2" t="n">
        <v>745</v>
      </c>
      <c r="M457" s="2" t="n">
        <v>0.453</v>
      </c>
      <c r="N457" s="2" t="n">
        <v>6.094</v>
      </c>
      <c r="O457" s="2" t="n">
        <v>5.969</v>
      </c>
      <c r="P457" s="7" t="n">
        <v>6</v>
      </c>
    </row>
    <row r="458">
      <c r="A458" s="6" t="n">
        <v>7</v>
      </c>
      <c r="B458" s="2" t="n">
        <v>32</v>
      </c>
      <c r="C458" s="2" t="inlineStr">
        <is>
          <t>HCN-80</t>
        </is>
      </c>
      <c r="D458" s="2" t="n">
        <v>10400</v>
      </c>
      <c r="E458" s="2" t="n">
        <v>8460</v>
      </c>
      <c r="F458" s="2" t="n"/>
      <c r="G458" s="2" t="n"/>
      <c r="H458" s="2" t="n"/>
      <c r="I458" s="2" t="inlineStr">
        <is>
          <t>BTC</t>
        </is>
      </c>
      <c r="J458" s="2" t="n">
        <v>860</v>
      </c>
      <c r="K458" s="2" t="n"/>
      <c r="L458" s="2" t="n">
        <v>745</v>
      </c>
      <c r="M458" s="2" t="n">
        <v>0.453</v>
      </c>
      <c r="N458" s="2" t="n">
        <v>6.094</v>
      </c>
      <c r="O458" s="2" t="n">
        <v>5.969</v>
      </c>
      <c r="P458" s="7" t="n">
        <v>6</v>
      </c>
    </row>
    <row r="459">
      <c r="A459" s="8" t="n">
        <v>7</v>
      </c>
      <c r="B459" s="1" t="n">
        <v>32</v>
      </c>
      <c r="C459" s="1" t="inlineStr">
        <is>
          <t>C-90</t>
        </is>
      </c>
      <c r="D459" s="1" t="n">
        <v>9380</v>
      </c>
      <c r="E459" s="1" t="n">
        <v>10190</v>
      </c>
      <c r="F459" s="1" t="n"/>
      <c r="G459" s="1" t="n"/>
      <c r="H459" s="1" t="n"/>
      <c r="I459" s="1" t="inlineStr">
        <is>
          <t>LTC</t>
        </is>
      </c>
      <c r="J459" s="1" t="n">
        <v>729</v>
      </c>
      <c r="K459" s="1" t="n"/>
      <c r="L459" s="1" t="n">
        <v>839</v>
      </c>
      <c r="M459" s="1" t="n">
        <v>0.453</v>
      </c>
      <c r="N459" s="1" t="n">
        <v>6.094</v>
      </c>
      <c r="O459" s="1" t="n">
        <v>5.969</v>
      </c>
      <c r="P459" s="9" t="n">
        <v>6</v>
      </c>
    </row>
    <row r="460">
      <c r="A460" s="8" t="n">
        <v>7</v>
      </c>
      <c r="B460" s="1" t="n">
        <v>32</v>
      </c>
      <c r="C460" s="1" t="inlineStr">
        <is>
          <t>C-90</t>
        </is>
      </c>
      <c r="D460" s="1" t="n">
        <v>9380</v>
      </c>
      <c r="E460" s="1" t="n">
        <v>9520</v>
      </c>
      <c r="F460" s="1" t="n"/>
      <c r="G460" s="1" t="n"/>
      <c r="H460" s="1" t="n"/>
      <c r="I460" s="1" t="inlineStr">
        <is>
          <t>BTC</t>
        </is>
      </c>
      <c r="J460" s="1" t="n">
        <v>847</v>
      </c>
      <c r="K460" s="1" t="n"/>
      <c r="L460" s="1" t="n">
        <v>839</v>
      </c>
      <c r="M460" s="1" t="n">
        <v>0.453</v>
      </c>
      <c r="N460" s="1" t="n">
        <v>6.094</v>
      </c>
      <c r="O460" s="1" t="n">
        <v>5.969</v>
      </c>
      <c r="P460" s="9" t="n">
        <v>6</v>
      </c>
    </row>
    <row r="461">
      <c r="A461" s="6" t="n">
        <v>7</v>
      </c>
      <c r="B461" s="2" t="n">
        <v>32</v>
      </c>
      <c r="C461" s="2" t="inlineStr">
        <is>
          <t>H2S-90</t>
        </is>
      </c>
      <c r="D461" s="2" t="n">
        <v>10400</v>
      </c>
      <c r="E461" s="2" t="n">
        <v>10190</v>
      </c>
      <c r="F461" s="2" t="n"/>
      <c r="G461" s="2" t="n"/>
      <c r="H461" s="2" t="n"/>
      <c r="I461" s="2" t="inlineStr">
        <is>
          <t>LTC</t>
        </is>
      </c>
      <c r="J461" s="2" t="n">
        <v>738</v>
      </c>
      <c r="K461" s="2" t="n"/>
      <c r="L461" s="2" t="n">
        <v>839</v>
      </c>
      <c r="M461" s="2" t="n">
        <v>0.453</v>
      </c>
      <c r="N461" s="2" t="n">
        <v>6.094</v>
      </c>
      <c r="O461" s="2" t="n">
        <v>5.969</v>
      </c>
      <c r="P461" s="7" t="n">
        <v>6</v>
      </c>
    </row>
    <row r="462">
      <c r="A462" s="6" t="n">
        <v>7</v>
      </c>
      <c r="B462" s="2" t="n">
        <v>32</v>
      </c>
      <c r="C462" s="2" t="inlineStr">
        <is>
          <t>H2S-90</t>
        </is>
      </c>
      <c r="D462" s="2" t="n">
        <v>10400</v>
      </c>
      <c r="E462" s="2" t="n">
        <v>9520</v>
      </c>
      <c r="F462" s="2" t="n"/>
      <c r="G462" s="2" t="n"/>
      <c r="H462" s="2" t="n"/>
      <c r="I462" s="2" t="inlineStr">
        <is>
          <t>BTC</t>
        </is>
      </c>
      <c r="J462" s="2" t="n">
        <v>860</v>
      </c>
      <c r="K462" s="2" t="n"/>
      <c r="L462" s="2" t="n">
        <v>839</v>
      </c>
      <c r="M462" s="2" t="n">
        <v>0.453</v>
      </c>
      <c r="N462" s="2" t="n">
        <v>6.094</v>
      </c>
      <c r="O462" s="2" t="n">
        <v>5.969</v>
      </c>
      <c r="P462" s="7" t="n">
        <v>6</v>
      </c>
    </row>
    <row r="463">
      <c r="A463" s="8" t="n">
        <v>7</v>
      </c>
      <c r="B463" s="1" t="n">
        <v>32</v>
      </c>
      <c r="C463" s="1" t="inlineStr">
        <is>
          <t>S-95</t>
        </is>
      </c>
      <c r="D463" s="1" t="n">
        <v>10400</v>
      </c>
      <c r="E463" s="1" t="n">
        <v>10760</v>
      </c>
      <c r="F463" s="1" t="n"/>
      <c r="G463" s="1" t="n"/>
      <c r="H463" s="1" t="n"/>
      <c r="I463" s="1" t="inlineStr">
        <is>
          <t>LTC</t>
        </is>
      </c>
      <c r="J463" s="1" t="n">
        <v>779</v>
      </c>
      <c r="K463" s="1" t="n"/>
      <c r="L463" s="1" t="n">
        <v>885</v>
      </c>
      <c r="M463" s="1" t="n">
        <v>0.453</v>
      </c>
      <c r="N463" s="1" t="n">
        <v>6.094</v>
      </c>
      <c r="O463" s="1" t="n">
        <v>5.969</v>
      </c>
      <c r="P463" s="9" t="n">
        <v>6</v>
      </c>
    </row>
    <row r="464">
      <c r="A464" s="8" t="n">
        <v>7</v>
      </c>
      <c r="B464" s="1" t="n">
        <v>32</v>
      </c>
      <c r="C464" s="1" t="inlineStr">
        <is>
          <t>S-95</t>
        </is>
      </c>
      <c r="D464" s="1" t="n">
        <v>10400</v>
      </c>
      <c r="E464" s="1" t="n">
        <v>10050</v>
      </c>
      <c r="F464" s="1" t="n"/>
      <c r="G464" s="1" t="n"/>
      <c r="H464" s="1" t="n"/>
      <c r="I464" s="1" t="inlineStr">
        <is>
          <t>BTC</t>
        </is>
      </c>
      <c r="J464" s="1" t="n">
        <v>922</v>
      </c>
      <c r="K464" s="1" t="n"/>
      <c r="L464" s="1" t="n">
        <v>885</v>
      </c>
      <c r="M464" s="1" t="n">
        <v>0.453</v>
      </c>
      <c r="N464" s="1" t="n">
        <v>6.094</v>
      </c>
      <c r="O464" s="1" t="n">
        <v>5.969</v>
      </c>
      <c r="P464" s="9" t="n">
        <v>6</v>
      </c>
    </row>
    <row r="465">
      <c r="A465" s="6" t="n">
        <v>7</v>
      </c>
      <c r="B465" s="2" t="n">
        <v>32</v>
      </c>
      <c r="C465" s="2" t="inlineStr">
        <is>
          <t>T-95</t>
        </is>
      </c>
      <c r="D465" s="2" t="n">
        <v>9750</v>
      </c>
      <c r="E465" s="2" t="n">
        <v>10760</v>
      </c>
      <c r="F465" s="2" t="n"/>
      <c r="G465" s="2" t="n"/>
      <c r="H465" s="2" t="n"/>
      <c r="I465" s="2" t="inlineStr">
        <is>
          <t>LTC</t>
        </is>
      </c>
      <c r="J465" s="2" t="n">
        <v>768</v>
      </c>
      <c r="K465" s="2" t="n"/>
      <c r="L465" s="2" t="n">
        <v>885</v>
      </c>
      <c r="M465" s="2" t="n">
        <v>0.453</v>
      </c>
      <c r="N465" s="2" t="n">
        <v>6.094</v>
      </c>
      <c r="O465" s="2" t="n">
        <v>5.969</v>
      </c>
      <c r="P465" s="7" t="n">
        <v>6</v>
      </c>
    </row>
    <row r="466">
      <c r="A466" s="6" t="n">
        <v>7</v>
      </c>
      <c r="B466" s="2" t="n">
        <v>32</v>
      </c>
      <c r="C466" s="2" t="inlineStr">
        <is>
          <t>T-95</t>
        </is>
      </c>
      <c r="D466" s="2" t="n">
        <v>9750</v>
      </c>
      <c r="E466" s="2" t="n">
        <v>10050</v>
      </c>
      <c r="F466" s="2" t="n"/>
      <c r="G466" s="2" t="n"/>
      <c r="H466" s="2" t="n"/>
      <c r="I466" s="2" t="inlineStr">
        <is>
          <t>BTC</t>
        </is>
      </c>
      <c r="J466" s="2" t="n">
        <v>891</v>
      </c>
      <c r="K466" s="2" t="n"/>
      <c r="L466" s="2" t="n">
        <v>885</v>
      </c>
      <c r="M466" s="2" t="n">
        <v>0.453</v>
      </c>
      <c r="N466" s="2" t="n">
        <v>6.094</v>
      </c>
      <c r="O466" s="2" t="n">
        <v>5.969</v>
      </c>
      <c r="P466" s="7" t="n">
        <v>6</v>
      </c>
    </row>
    <row r="467">
      <c r="A467" s="8" t="n">
        <v>7</v>
      </c>
      <c r="B467" s="1" t="n">
        <v>32</v>
      </c>
      <c r="C467" s="1" t="inlineStr">
        <is>
          <t>H2S-95</t>
        </is>
      </c>
      <c r="D467" s="1" t="n">
        <v>10400</v>
      </c>
      <c r="E467" s="1" t="n">
        <v>10760</v>
      </c>
      <c r="F467" s="1" t="n"/>
      <c r="G467" s="1" t="n"/>
      <c r="H467" s="1" t="n"/>
      <c r="I467" s="1" t="inlineStr">
        <is>
          <t>LTC</t>
        </is>
      </c>
      <c r="J467" s="1" t="n">
        <v>768</v>
      </c>
      <c r="K467" s="1" t="n"/>
      <c r="L467" s="1" t="n">
        <v>885</v>
      </c>
      <c r="M467" s="1" t="n">
        <v>0.453</v>
      </c>
      <c r="N467" s="1" t="n">
        <v>6.094</v>
      </c>
      <c r="O467" s="1" t="n">
        <v>5.969</v>
      </c>
      <c r="P467" s="9" t="n">
        <v>6</v>
      </c>
    </row>
    <row r="468">
      <c r="A468" s="8" t="n">
        <v>7</v>
      </c>
      <c r="B468" s="1" t="n">
        <v>32</v>
      </c>
      <c r="C468" s="1" t="inlineStr">
        <is>
          <t>H2S-95</t>
        </is>
      </c>
      <c r="D468" s="1" t="n">
        <v>10400</v>
      </c>
      <c r="E468" s="1" t="n">
        <v>10050</v>
      </c>
      <c r="F468" s="1" t="n"/>
      <c r="G468" s="1" t="n"/>
      <c r="H468" s="1" t="n"/>
      <c r="I468" s="1" t="inlineStr">
        <is>
          <t>BTC</t>
        </is>
      </c>
      <c r="J468" s="1" t="n">
        <v>891</v>
      </c>
      <c r="K468" s="1" t="n"/>
      <c r="L468" s="1" t="n">
        <v>885</v>
      </c>
      <c r="M468" s="1" t="n">
        <v>0.453</v>
      </c>
      <c r="N468" s="1" t="n">
        <v>6.094</v>
      </c>
      <c r="O468" s="1" t="n">
        <v>5.969</v>
      </c>
      <c r="P468" s="9" t="n">
        <v>6</v>
      </c>
    </row>
    <row r="469">
      <c r="A469" s="6" t="n">
        <v>7</v>
      </c>
      <c r="B469" s="2" t="n">
        <v>32</v>
      </c>
      <c r="C469" s="2" t="inlineStr">
        <is>
          <t>C-95</t>
        </is>
      </c>
      <c r="D469" s="2" t="n">
        <v>9750</v>
      </c>
      <c r="E469" s="2" t="n">
        <v>10760</v>
      </c>
      <c r="F469" s="2" t="n"/>
      <c r="G469" s="2" t="n"/>
      <c r="H469" s="2" t="n"/>
      <c r="I469" s="2" t="inlineStr">
        <is>
          <t>LTC</t>
        </is>
      </c>
      <c r="J469" s="2" t="n">
        <v>768</v>
      </c>
      <c r="K469" s="2" t="n"/>
      <c r="L469" s="2" t="n">
        <v>885</v>
      </c>
      <c r="M469" s="2" t="n">
        <v>0.453</v>
      </c>
      <c r="N469" s="2" t="n">
        <v>6.094</v>
      </c>
      <c r="O469" s="2" t="n">
        <v>5.969</v>
      </c>
      <c r="P469" s="7" t="n">
        <v>6</v>
      </c>
    </row>
    <row r="470">
      <c r="A470" s="6" t="n">
        <v>7</v>
      </c>
      <c r="B470" s="2" t="n">
        <v>32</v>
      </c>
      <c r="C470" s="2" t="inlineStr">
        <is>
          <t>C-95</t>
        </is>
      </c>
      <c r="D470" s="2" t="n">
        <v>9750</v>
      </c>
      <c r="E470" s="2" t="n">
        <v>10050</v>
      </c>
      <c r="F470" s="2" t="n"/>
      <c r="G470" s="2" t="n"/>
      <c r="H470" s="2" t="n"/>
      <c r="I470" s="2" t="inlineStr">
        <is>
          <t>BTC</t>
        </is>
      </c>
      <c r="J470" s="2" t="n">
        <v>891</v>
      </c>
      <c r="K470" s="2" t="n"/>
      <c r="L470" s="2" t="n">
        <v>885</v>
      </c>
      <c r="M470" s="2" t="n">
        <v>0.453</v>
      </c>
      <c r="N470" s="2" t="n">
        <v>6.094</v>
      </c>
      <c r="O470" s="2" t="n">
        <v>5.969</v>
      </c>
      <c r="P470" s="7" t="n">
        <v>6</v>
      </c>
    </row>
    <row r="471">
      <c r="A471" s="8" t="n">
        <v>7</v>
      </c>
      <c r="B471" s="1" t="n">
        <v>32</v>
      </c>
      <c r="C471" s="1" t="inlineStr">
        <is>
          <t>P-110</t>
        </is>
      </c>
      <c r="D471" s="1" t="n">
        <v>10780</v>
      </c>
      <c r="E471" s="1" t="n">
        <v>12460</v>
      </c>
      <c r="F471" s="1" t="n"/>
      <c r="G471" s="1" t="n"/>
      <c r="H471" s="1" t="n"/>
      <c r="I471" s="1" t="inlineStr">
        <is>
          <t>LTC</t>
        </is>
      </c>
      <c r="J471" s="1" t="n">
        <v>897</v>
      </c>
      <c r="K471" s="1" t="n"/>
      <c r="L471" s="1" t="n">
        <v>1025</v>
      </c>
      <c r="M471" s="1" t="n">
        <v>0.453</v>
      </c>
      <c r="N471" s="1" t="n">
        <v>6.094</v>
      </c>
      <c r="O471" s="1" t="n">
        <v>5.969</v>
      </c>
      <c r="P471" s="9" t="n">
        <v>6</v>
      </c>
    </row>
    <row r="472">
      <c r="A472" s="8" t="n">
        <v>7</v>
      </c>
      <c r="B472" s="1" t="n">
        <v>32</v>
      </c>
      <c r="C472" s="1" t="inlineStr">
        <is>
          <t>P-110</t>
        </is>
      </c>
      <c r="D472" s="1" t="n">
        <v>10780</v>
      </c>
      <c r="E472" s="1" t="n">
        <v>11640</v>
      </c>
      <c r="F472" s="1" t="n"/>
      <c r="G472" s="1" t="n"/>
      <c r="H472" s="1" t="n"/>
      <c r="I472" s="1" t="inlineStr">
        <is>
          <t>BTC</t>
        </is>
      </c>
      <c r="J472" s="1" t="n">
        <v>1053</v>
      </c>
      <c r="K472" s="1" t="n"/>
      <c r="L472" s="1" t="n">
        <v>1025</v>
      </c>
      <c r="M472" s="1" t="n">
        <v>0.453</v>
      </c>
      <c r="N472" s="1" t="n">
        <v>6.094</v>
      </c>
      <c r="O472" s="1" t="n">
        <v>5.969</v>
      </c>
      <c r="P472" s="9" t="n">
        <v>6</v>
      </c>
    </row>
    <row r="473">
      <c r="A473" s="6" t="n">
        <v>7</v>
      </c>
      <c r="B473" s="2" t="n">
        <v>32</v>
      </c>
      <c r="C473" s="2" t="inlineStr">
        <is>
          <t>Q-125</t>
        </is>
      </c>
      <c r="D473" s="2" t="n">
        <v>11720</v>
      </c>
      <c r="E473" s="2" t="n">
        <v>14160</v>
      </c>
      <c r="F473" s="2" t="n"/>
      <c r="G473" s="2" t="n"/>
      <c r="H473" s="2" t="n"/>
      <c r="I473" s="2" t="inlineStr">
        <is>
          <t>LTC</t>
        </is>
      </c>
      <c r="J473" s="2" t="n">
        <v>996</v>
      </c>
      <c r="K473" s="2" t="n"/>
      <c r="L473" s="2" t="n">
        <v>1165</v>
      </c>
      <c r="M473" s="2" t="n">
        <v>0.453</v>
      </c>
      <c r="N473" s="2" t="n">
        <v>6.094</v>
      </c>
      <c r="O473" s="2" t="n">
        <v>5.969</v>
      </c>
      <c r="P473" s="7" t="n">
        <v>6</v>
      </c>
    </row>
    <row r="474">
      <c r="A474" s="6" t="n">
        <v>7</v>
      </c>
      <c r="B474" s="2" t="n">
        <v>32</v>
      </c>
      <c r="C474" s="2" t="inlineStr">
        <is>
          <t>Q-125</t>
        </is>
      </c>
      <c r="D474" s="2" t="n">
        <v>11720</v>
      </c>
      <c r="E474" s="2" t="n">
        <v>13220</v>
      </c>
      <c r="F474" s="2" t="n"/>
      <c r="G474" s="2" t="n"/>
      <c r="H474" s="2" t="n"/>
      <c r="I474" s="2" t="inlineStr">
        <is>
          <t>BTC</t>
        </is>
      </c>
      <c r="J474" s="2" t="n">
        <v>1152</v>
      </c>
      <c r="K474" s="2" t="n"/>
      <c r="L474" s="2" t="n">
        <v>1165</v>
      </c>
      <c r="M474" s="2" t="n">
        <v>0.453</v>
      </c>
      <c r="N474" s="2" t="n">
        <v>6.094</v>
      </c>
      <c r="O474" s="2" t="n">
        <v>5.969</v>
      </c>
      <c r="P474" s="7" t="n">
        <v>6</v>
      </c>
    </row>
    <row r="475">
      <c r="A475" s="8" t="n">
        <v>7</v>
      </c>
      <c r="B475" s="1" t="n">
        <v>32</v>
      </c>
      <c r="C475" s="1" t="inlineStr">
        <is>
          <t>V-150</t>
        </is>
      </c>
      <c r="D475" s="1" t="n">
        <v>13020</v>
      </c>
      <c r="E475" s="1" t="n">
        <v>16990</v>
      </c>
      <c r="F475" s="1" t="n"/>
      <c r="G475" s="1" t="n"/>
      <c r="H475" s="1" t="n"/>
      <c r="I475" s="1" t="inlineStr">
        <is>
          <t>LTC</t>
        </is>
      </c>
      <c r="J475" s="1" t="n">
        <v>1180</v>
      </c>
      <c r="K475" s="1" t="n"/>
      <c r="L475" s="1" t="n">
        <v>1398</v>
      </c>
      <c r="M475" s="1" t="n">
        <v>0.453</v>
      </c>
      <c r="N475" s="1" t="n">
        <v>6.094</v>
      </c>
      <c r="O475" s="1" t="n">
        <v>5.969</v>
      </c>
      <c r="P475" s="9" t="n">
        <v>6</v>
      </c>
    </row>
    <row r="476">
      <c r="A476" s="8" t="n">
        <v>7</v>
      </c>
      <c r="B476" s="1" t="n">
        <v>32</v>
      </c>
      <c r="C476" s="1" t="inlineStr">
        <is>
          <t>V-150</t>
        </is>
      </c>
      <c r="D476" s="1" t="n">
        <v>13020</v>
      </c>
      <c r="E476" s="1" t="n">
        <v>15870</v>
      </c>
      <c r="F476" s="1" t="n"/>
      <c r="G476" s="1" t="n"/>
      <c r="H476" s="1" t="n"/>
      <c r="I476" s="1" t="inlineStr">
        <is>
          <t>BTC</t>
        </is>
      </c>
      <c r="J476" s="1" t="n">
        <v>1370</v>
      </c>
      <c r="K476" s="1" t="n"/>
      <c r="L476" s="1" t="n">
        <v>1398</v>
      </c>
      <c r="M476" s="1" t="n">
        <v>0.453</v>
      </c>
      <c r="N476" s="1" t="n">
        <v>6.094</v>
      </c>
      <c r="O476" s="1" t="n">
        <v>5.969</v>
      </c>
      <c r="P476" s="9" t="n">
        <v>6</v>
      </c>
    </row>
    <row r="477">
      <c r="A477" s="6" t="n">
        <v>7</v>
      </c>
      <c r="B477" s="2" t="n">
        <v>35</v>
      </c>
      <c r="C477" s="2" t="inlineStr">
        <is>
          <t>L-80</t>
        </is>
      </c>
      <c r="D477" s="2" t="n">
        <v>10180</v>
      </c>
      <c r="E477" s="2" t="n">
        <v>9240</v>
      </c>
      <c r="F477" s="2" t="n"/>
      <c r="G477" s="2" t="n"/>
      <c r="H477" s="2" t="n"/>
      <c r="I477" s="2" t="inlineStr">
        <is>
          <t>LTC</t>
        </is>
      </c>
      <c r="J477" s="2" t="n">
        <v>734</v>
      </c>
      <c r="K477" s="2" t="n"/>
      <c r="L477" s="2" t="n">
        <v>814</v>
      </c>
      <c r="M477" s="2" t="n">
        <v>0.498</v>
      </c>
      <c r="N477" s="2" t="n">
        <v>6.004</v>
      </c>
      <c r="O477" s="2" t="n">
        <v>5.879</v>
      </c>
      <c r="P477" s="7" t="n"/>
    </row>
    <row r="478">
      <c r="A478" s="6" t="n">
        <v>7</v>
      </c>
      <c r="B478" s="2" t="n">
        <v>35</v>
      </c>
      <c r="C478" s="2" t="inlineStr">
        <is>
          <t>L-80</t>
        </is>
      </c>
      <c r="D478" s="2" t="n">
        <v>10180</v>
      </c>
      <c r="E478" s="2" t="n">
        <v>8460</v>
      </c>
      <c r="F478" s="2" t="n"/>
      <c r="G478" s="2" t="n"/>
      <c r="H478" s="2" t="n"/>
      <c r="I478" s="2" t="inlineStr">
        <is>
          <t>BTC</t>
        </is>
      </c>
      <c r="J478" s="2" t="n">
        <v>833</v>
      </c>
      <c r="K478" s="2" t="n"/>
      <c r="L478" s="2" t="n">
        <v>814</v>
      </c>
      <c r="M478" s="2" t="n">
        <v>0.498</v>
      </c>
      <c r="N478" s="2" t="n">
        <v>6.004</v>
      </c>
      <c r="O478" s="2" t="n">
        <v>5.879</v>
      </c>
      <c r="P478" s="7" t="n"/>
    </row>
    <row r="479">
      <c r="A479" s="8" t="n">
        <v>7</v>
      </c>
      <c r="B479" s="1" t="n">
        <v>35</v>
      </c>
      <c r="C479" s="1" t="inlineStr">
        <is>
          <t>HCL-80</t>
        </is>
      </c>
      <c r="D479" s="1" t="n">
        <v>11600</v>
      </c>
      <c r="E479" s="1" t="n">
        <v>9240</v>
      </c>
      <c r="F479" s="1" t="n"/>
      <c r="G479" s="1" t="n"/>
      <c r="H479" s="1" t="n"/>
      <c r="I479" s="1" t="inlineStr">
        <is>
          <t>LTC</t>
        </is>
      </c>
      <c r="J479" s="1" t="n">
        <v>819</v>
      </c>
      <c r="K479" s="1" t="n"/>
      <c r="L479" s="1" t="n">
        <v>814</v>
      </c>
      <c r="M479" s="1" t="n">
        <v>0.498</v>
      </c>
      <c r="N479" s="1" t="n">
        <v>6.004</v>
      </c>
      <c r="O479" s="1" t="n">
        <v>5.879</v>
      </c>
      <c r="P479" s="9" t="n"/>
    </row>
    <row r="480">
      <c r="A480" s="8" t="n">
        <v>7</v>
      </c>
      <c r="B480" s="1" t="n">
        <v>35</v>
      </c>
      <c r="C480" s="1" t="inlineStr">
        <is>
          <t>HCL-80</t>
        </is>
      </c>
      <c r="D480" s="1" t="n">
        <v>11600</v>
      </c>
      <c r="E480" s="1" t="n">
        <v>8460</v>
      </c>
      <c r="F480" s="1" t="n"/>
      <c r="G480" s="1" t="n"/>
      <c r="H480" s="1" t="n"/>
      <c r="I480" s="1" t="inlineStr">
        <is>
          <t>BTC</t>
        </is>
      </c>
      <c r="J480" s="1" t="n">
        <v>832</v>
      </c>
      <c r="K480" s="1" t="n"/>
      <c r="L480" s="1" t="n">
        <v>814</v>
      </c>
      <c r="M480" s="1" t="n">
        <v>0.498</v>
      </c>
      <c r="N480" s="1" t="n">
        <v>6.004</v>
      </c>
      <c r="O480" s="1" t="n">
        <v>5.879</v>
      </c>
      <c r="P480" s="9" t="n"/>
    </row>
    <row r="481">
      <c r="A481" s="6" t="n">
        <v>7</v>
      </c>
      <c r="B481" s="2" t="n">
        <v>35</v>
      </c>
      <c r="C481" s="2" t="inlineStr">
        <is>
          <t>N-80</t>
        </is>
      </c>
      <c r="D481" s="2" t="n">
        <v>10180</v>
      </c>
      <c r="E481" s="2" t="n">
        <v>9240</v>
      </c>
      <c r="F481" s="2" t="n"/>
      <c r="G481" s="2" t="n"/>
      <c r="H481" s="2" t="n"/>
      <c r="I481" s="2" t="inlineStr">
        <is>
          <t>LTC</t>
        </is>
      </c>
      <c r="J481" s="2" t="n">
        <v>746</v>
      </c>
      <c r="K481" s="2" t="n"/>
      <c r="L481" s="2" t="n">
        <v>814</v>
      </c>
      <c r="M481" s="2" t="n">
        <v>0.498</v>
      </c>
      <c r="N481" s="2" t="n">
        <v>6.004</v>
      </c>
      <c r="O481" s="2" t="n">
        <v>5.879</v>
      </c>
      <c r="P481" s="7" t="n"/>
    </row>
    <row r="482">
      <c r="A482" s="6" t="n">
        <v>7</v>
      </c>
      <c r="B482" s="2" t="n">
        <v>35</v>
      </c>
      <c r="C482" s="2" t="inlineStr">
        <is>
          <t>N-80</t>
        </is>
      </c>
      <c r="D482" s="2" t="n">
        <v>10180</v>
      </c>
      <c r="E482" s="2" t="n">
        <v>8460</v>
      </c>
      <c r="F482" s="2" t="n"/>
      <c r="G482" s="2" t="n"/>
      <c r="H482" s="2" t="n"/>
      <c r="I482" s="2" t="inlineStr">
        <is>
          <t>BTC</t>
        </is>
      </c>
      <c r="J482" s="2" t="n">
        <v>876</v>
      </c>
      <c r="K482" s="2" t="n"/>
      <c r="L482" s="2" t="n">
        <v>814</v>
      </c>
      <c r="M482" s="2" t="n">
        <v>0.498</v>
      </c>
      <c r="N482" s="2" t="n">
        <v>6.004</v>
      </c>
      <c r="O482" s="2" t="n">
        <v>5.879</v>
      </c>
      <c r="P482" s="7" t="n"/>
    </row>
    <row r="483">
      <c r="A483" s="8" t="n">
        <v>7</v>
      </c>
      <c r="B483" s="1" t="n">
        <v>35</v>
      </c>
      <c r="C483" s="1" t="inlineStr">
        <is>
          <t>HCN-80</t>
        </is>
      </c>
      <c r="D483" s="1" t="n">
        <v>11600</v>
      </c>
      <c r="E483" s="1" t="n">
        <v>9240</v>
      </c>
      <c r="F483" s="1" t="n"/>
      <c r="G483" s="1" t="n"/>
      <c r="H483" s="1" t="n"/>
      <c r="I483" s="1" t="inlineStr">
        <is>
          <t>LTC</t>
        </is>
      </c>
      <c r="J483" s="1" t="n">
        <v>819</v>
      </c>
      <c r="K483" s="1" t="n"/>
      <c r="L483" s="1" t="n">
        <v>814</v>
      </c>
      <c r="M483" s="1" t="n">
        <v>0.498</v>
      </c>
      <c r="N483" s="1" t="n">
        <v>6.004</v>
      </c>
      <c r="O483" s="1" t="n">
        <v>5.879</v>
      </c>
      <c r="P483" s="9" t="n"/>
    </row>
    <row r="484">
      <c r="A484" s="8" t="n">
        <v>7</v>
      </c>
      <c r="B484" s="1" t="n">
        <v>35</v>
      </c>
      <c r="C484" s="1" t="inlineStr">
        <is>
          <t>HCN-80</t>
        </is>
      </c>
      <c r="D484" s="1" t="n">
        <v>11600</v>
      </c>
      <c r="E484" s="1" t="n">
        <v>8460</v>
      </c>
      <c r="F484" s="1" t="n"/>
      <c r="G484" s="1" t="n"/>
      <c r="H484" s="1" t="n"/>
      <c r="I484" s="1" t="inlineStr">
        <is>
          <t>BTC</t>
        </is>
      </c>
      <c r="J484" s="1" t="n">
        <v>876</v>
      </c>
      <c r="K484" s="1" t="n"/>
      <c r="L484" s="1" t="n">
        <v>814</v>
      </c>
      <c r="M484" s="1" t="n">
        <v>0.498</v>
      </c>
      <c r="N484" s="1" t="n">
        <v>6.004</v>
      </c>
      <c r="O484" s="1" t="n">
        <v>5.879</v>
      </c>
      <c r="P484" s="9" t="n"/>
    </row>
    <row r="485">
      <c r="A485" s="6" t="n">
        <v>7</v>
      </c>
      <c r="B485" s="2" t="n">
        <v>35</v>
      </c>
      <c r="C485" s="2" t="inlineStr">
        <is>
          <t>C-90</t>
        </is>
      </c>
      <c r="D485" s="2" t="n">
        <v>11170</v>
      </c>
      <c r="E485" s="2" t="n">
        <v>10390</v>
      </c>
      <c r="F485" s="2" t="n"/>
      <c r="G485" s="2" t="n"/>
      <c r="H485" s="2" t="n"/>
      <c r="I485" s="2" t="inlineStr">
        <is>
          <t>LTC</t>
        </is>
      </c>
      <c r="J485" s="2" t="n">
        <v>809</v>
      </c>
      <c r="K485" s="2" t="n"/>
      <c r="L485" s="2" t="n">
        <v>915</v>
      </c>
      <c r="M485" s="2" t="n">
        <v>0.498</v>
      </c>
      <c r="N485" s="2" t="n">
        <v>6.004</v>
      </c>
      <c r="O485" s="2" t="n">
        <v>5.879</v>
      </c>
      <c r="P485" s="7" t="n"/>
    </row>
    <row r="486">
      <c r="A486" s="6" t="n">
        <v>7</v>
      </c>
      <c r="B486" s="2" t="n">
        <v>35</v>
      </c>
      <c r="C486" s="2" t="inlineStr">
        <is>
          <t>C-90</t>
        </is>
      </c>
      <c r="D486" s="2" t="n">
        <v>11170</v>
      </c>
      <c r="E486" s="2" t="n">
        <v>9520</v>
      </c>
      <c r="F486" s="2" t="n"/>
      <c r="G486" s="2" t="n"/>
      <c r="H486" s="2" t="n"/>
      <c r="I486" s="2" t="inlineStr">
        <is>
          <t>BTC</t>
        </is>
      </c>
      <c r="J486" s="2" t="n">
        <v>876</v>
      </c>
      <c r="K486" s="2" t="n"/>
      <c r="L486" s="2" t="n">
        <v>915</v>
      </c>
      <c r="M486" s="2" t="n">
        <v>0.498</v>
      </c>
      <c r="N486" s="2" t="n">
        <v>6.004</v>
      </c>
      <c r="O486" s="2" t="n">
        <v>5.879</v>
      </c>
      <c r="P486" s="7" t="n"/>
    </row>
    <row r="487">
      <c r="A487" s="8" t="n">
        <v>7</v>
      </c>
      <c r="B487" s="1" t="n">
        <v>35</v>
      </c>
      <c r="C487" s="1" t="inlineStr">
        <is>
          <t>H2S-90</t>
        </is>
      </c>
      <c r="D487" s="1" t="n">
        <v>11600</v>
      </c>
      <c r="E487" s="1" t="n">
        <v>10390</v>
      </c>
      <c r="F487" s="1" t="n"/>
      <c r="G487" s="1" t="n"/>
      <c r="H487" s="1" t="n"/>
      <c r="I487" s="1" t="inlineStr">
        <is>
          <t>LTC</t>
        </is>
      </c>
      <c r="J487" s="1" t="n">
        <v>819</v>
      </c>
      <c r="K487" s="1" t="n"/>
      <c r="L487" s="1" t="n">
        <v>915</v>
      </c>
      <c r="M487" s="1" t="n">
        <v>0.498</v>
      </c>
      <c r="N487" s="1" t="n">
        <v>6.004</v>
      </c>
      <c r="O487" s="1" t="n">
        <v>5.879</v>
      </c>
      <c r="P487" s="9" t="n"/>
    </row>
    <row r="488">
      <c r="A488" s="8" t="n">
        <v>7</v>
      </c>
      <c r="B488" s="1" t="n">
        <v>35</v>
      </c>
      <c r="C488" s="1" t="inlineStr">
        <is>
          <t>H2S-90</t>
        </is>
      </c>
      <c r="D488" s="1" t="n">
        <v>11600</v>
      </c>
      <c r="E488" s="1" t="n">
        <v>9520</v>
      </c>
      <c r="F488" s="1" t="n"/>
      <c r="G488" s="1" t="n"/>
      <c r="H488" s="1" t="n"/>
      <c r="I488" s="1" t="inlineStr">
        <is>
          <t>BTC</t>
        </is>
      </c>
      <c r="J488" s="1" t="n">
        <v>876</v>
      </c>
      <c r="K488" s="1" t="n"/>
      <c r="L488" s="1" t="n">
        <v>915</v>
      </c>
      <c r="M488" s="1" t="n">
        <v>0.498</v>
      </c>
      <c r="N488" s="1" t="n">
        <v>6.004</v>
      </c>
      <c r="O488" s="1" t="n">
        <v>5.879</v>
      </c>
      <c r="P488" s="9" t="n"/>
    </row>
    <row r="489">
      <c r="A489" s="6" t="n">
        <v>7</v>
      </c>
      <c r="B489" s="2" t="n">
        <v>35</v>
      </c>
      <c r="C489" s="2" t="inlineStr">
        <is>
          <t>S-95</t>
        </is>
      </c>
      <c r="D489" s="2" t="n">
        <v>11650</v>
      </c>
      <c r="E489" s="2" t="n">
        <v>10970</v>
      </c>
      <c r="F489" s="2" t="n"/>
      <c r="G489" s="2" t="n"/>
      <c r="H489" s="2" t="n"/>
      <c r="I489" s="2" t="inlineStr">
        <is>
          <t>LTC</t>
        </is>
      </c>
      <c r="J489" s="2" t="n">
        <v>865</v>
      </c>
      <c r="K489" s="2" t="n"/>
      <c r="L489" s="2" t="n">
        <v>966</v>
      </c>
      <c r="M489" s="2" t="n">
        <v>0.498</v>
      </c>
      <c r="N489" s="2" t="n">
        <v>6.004</v>
      </c>
      <c r="O489" s="2" t="n">
        <v>5.879</v>
      </c>
      <c r="P489" s="7" t="n"/>
    </row>
    <row r="490">
      <c r="A490" s="6" t="n">
        <v>7</v>
      </c>
      <c r="B490" s="2" t="n">
        <v>35</v>
      </c>
      <c r="C490" s="2" t="inlineStr">
        <is>
          <t>S-95</t>
        </is>
      </c>
      <c r="D490" s="2" t="n">
        <v>11650</v>
      </c>
      <c r="E490" s="2" t="n">
        <v>10050</v>
      </c>
      <c r="F490" s="2" t="n"/>
      <c r="G490" s="2" t="n"/>
      <c r="H490" s="2" t="n"/>
      <c r="I490" s="2" t="inlineStr">
        <is>
          <t>BTC</t>
        </is>
      </c>
      <c r="J490" s="2" t="n">
        <v>964</v>
      </c>
      <c r="K490" s="2" t="n"/>
      <c r="L490" s="2" t="n">
        <v>966</v>
      </c>
      <c r="M490" s="2" t="n">
        <v>0.498</v>
      </c>
      <c r="N490" s="2" t="n">
        <v>6.004</v>
      </c>
      <c r="O490" s="2" t="n">
        <v>5.879</v>
      </c>
      <c r="P490" s="7" t="n"/>
    </row>
    <row r="491">
      <c r="A491" s="8" t="n">
        <v>7</v>
      </c>
      <c r="B491" s="1" t="n">
        <v>35</v>
      </c>
      <c r="C491" s="1" t="inlineStr">
        <is>
          <t>T-95</t>
        </is>
      </c>
      <c r="D491" s="1" t="n">
        <v>11650</v>
      </c>
      <c r="E491" s="1" t="n">
        <v>10970</v>
      </c>
      <c r="F491" s="1" t="n"/>
      <c r="G491" s="1" t="n"/>
      <c r="H491" s="1" t="n"/>
      <c r="I491" s="1" t="inlineStr">
        <is>
          <t>LTC</t>
        </is>
      </c>
      <c r="J491" s="1" t="n">
        <v>853</v>
      </c>
      <c r="K491" s="1" t="n"/>
      <c r="L491" s="1" t="n">
        <v>966</v>
      </c>
      <c r="M491" s="1" t="n">
        <v>0.498</v>
      </c>
      <c r="N491" s="1" t="n">
        <v>6.004</v>
      </c>
      <c r="O491" s="1" t="n">
        <v>5.879</v>
      </c>
      <c r="P491" s="9" t="n"/>
    </row>
    <row r="492">
      <c r="A492" s="8" t="n">
        <v>7</v>
      </c>
      <c r="B492" s="1" t="n">
        <v>35</v>
      </c>
      <c r="C492" s="1" t="inlineStr">
        <is>
          <t>T-95</t>
        </is>
      </c>
      <c r="D492" s="1" t="n">
        <v>11650</v>
      </c>
      <c r="E492" s="1" t="n">
        <v>10050</v>
      </c>
      <c r="F492" s="1" t="n"/>
      <c r="G492" s="1" t="n"/>
      <c r="H492" s="1" t="n"/>
      <c r="I492" s="1" t="inlineStr">
        <is>
          <t>BTC</t>
        </is>
      </c>
      <c r="J492" s="1" t="n">
        <v>920</v>
      </c>
      <c r="K492" s="1" t="n"/>
      <c r="L492" s="1" t="n">
        <v>966</v>
      </c>
      <c r="M492" s="1" t="n">
        <v>0.498</v>
      </c>
      <c r="N492" s="1" t="n">
        <v>6.004</v>
      </c>
      <c r="O492" s="1" t="n">
        <v>5.879</v>
      </c>
      <c r="P492" s="9" t="n"/>
    </row>
    <row r="493">
      <c r="A493" s="6" t="n">
        <v>7</v>
      </c>
      <c r="B493" s="2" t="n">
        <v>35</v>
      </c>
      <c r="C493" s="2" t="inlineStr">
        <is>
          <t>H2S-95</t>
        </is>
      </c>
      <c r="D493" s="2" t="n">
        <v>11650</v>
      </c>
      <c r="E493" s="2" t="n">
        <v>10970</v>
      </c>
      <c r="F493" s="2" t="n"/>
      <c r="G493" s="2" t="n"/>
      <c r="H493" s="2" t="n"/>
      <c r="I493" s="2" t="inlineStr">
        <is>
          <t>LTC</t>
        </is>
      </c>
      <c r="J493" s="2" t="n">
        <v>853</v>
      </c>
      <c r="K493" s="2" t="n"/>
      <c r="L493" s="2" t="n">
        <v>966</v>
      </c>
      <c r="M493" s="2" t="n">
        <v>0.498</v>
      </c>
      <c r="N493" s="2" t="n">
        <v>6.004</v>
      </c>
      <c r="O493" s="2" t="n">
        <v>5.879</v>
      </c>
      <c r="P493" s="7" t="n"/>
    </row>
    <row r="494">
      <c r="A494" s="6" t="n">
        <v>7</v>
      </c>
      <c r="B494" s="2" t="n">
        <v>35</v>
      </c>
      <c r="C494" s="2" t="inlineStr">
        <is>
          <t>H2S-95</t>
        </is>
      </c>
      <c r="D494" s="2" t="n">
        <v>11650</v>
      </c>
      <c r="E494" s="2" t="n">
        <v>10050</v>
      </c>
      <c r="F494" s="2" t="n"/>
      <c r="G494" s="2" t="n"/>
      <c r="H494" s="2" t="n"/>
      <c r="I494" s="2" t="inlineStr">
        <is>
          <t>BTC</t>
        </is>
      </c>
      <c r="J494" s="2" t="n">
        <v>920</v>
      </c>
      <c r="K494" s="2" t="n"/>
      <c r="L494" s="2" t="n">
        <v>966</v>
      </c>
      <c r="M494" s="2" t="n">
        <v>0.498</v>
      </c>
      <c r="N494" s="2" t="n">
        <v>6.004</v>
      </c>
      <c r="O494" s="2" t="n">
        <v>5.879</v>
      </c>
      <c r="P494" s="7" t="n"/>
    </row>
    <row r="495">
      <c r="A495" s="8" t="n">
        <v>7</v>
      </c>
      <c r="B495" s="1" t="n">
        <v>35</v>
      </c>
      <c r="C495" s="1" t="inlineStr">
        <is>
          <t>C-95</t>
        </is>
      </c>
      <c r="D495" s="1" t="n">
        <v>11650</v>
      </c>
      <c r="E495" s="1" t="n">
        <v>10970</v>
      </c>
      <c r="F495" s="1" t="n"/>
      <c r="G495" s="1" t="n"/>
      <c r="H495" s="1" t="n"/>
      <c r="I495" s="1" t="inlineStr">
        <is>
          <t>LTC</t>
        </is>
      </c>
      <c r="J495" s="1" t="n">
        <v>853</v>
      </c>
      <c r="K495" s="1" t="n"/>
      <c r="L495" s="1" t="n">
        <v>966</v>
      </c>
      <c r="M495" s="1" t="n">
        <v>0.498</v>
      </c>
      <c r="N495" s="1" t="n">
        <v>6.004</v>
      </c>
      <c r="O495" s="1" t="n">
        <v>5.879</v>
      </c>
      <c r="P495" s="9" t="n"/>
    </row>
    <row r="496">
      <c r="A496" s="8" t="n">
        <v>7</v>
      </c>
      <c r="B496" s="1" t="n">
        <v>35</v>
      </c>
      <c r="C496" s="1" t="inlineStr">
        <is>
          <t>C-95</t>
        </is>
      </c>
      <c r="D496" s="1" t="n">
        <v>11650</v>
      </c>
      <c r="E496" s="1" t="n">
        <v>10050</v>
      </c>
      <c r="F496" s="1" t="n"/>
      <c r="G496" s="1" t="n"/>
      <c r="H496" s="1" t="n"/>
      <c r="I496" s="1" t="inlineStr">
        <is>
          <t>BTC</t>
        </is>
      </c>
      <c r="J496" s="1" t="n">
        <v>920</v>
      </c>
      <c r="K496" s="1" t="n"/>
      <c r="L496" s="1" t="n">
        <v>966</v>
      </c>
      <c r="M496" s="1" t="n">
        <v>0.498</v>
      </c>
      <c r="N496" s="1" t="n">
        <v>6.004</v>
      </c>
      <c r="O496" s="1" t="n">
        <v>5.879</v>
      </c>
      <c r="P496" s="9" t="n"/>
    </row>
    <row r="497">
      <c r="A497" s="6" t="n">
        <v>7</v>
      </c>
      <c r="B497" s="2" t="n">
        <v>35</v>
      </c>
      <c r="C497" s="2" t="inlineStr">
        <is>
          <t>P-110</t>
        </is>
      </c>
      <c r="D497" s="2" t="n">
        <v>13020</v>
      </c>
      <c r="E497" s="2" t="n">
        <v>12700</v>
      </c>
      <c r="F497" s="2" t="n"/>
      <c r="G497" s="2" t="n"/>
      <c r="H497" s="2" t="n"/>
      <c r="I497" s="2" t="inlineStr">
        <is>
          <t>LTC</t>
        </is>
      </c>
      <c r="J497" s="2" t="n">
        <v>996</v>
      </c>
      <c r="K497" s="2" t="n"/>
      <c r="L497" s="2" t="n">
        <v>1119</v>
      </c>
      <c r="M497" s="2" t="n">
        <v>0.498</v>
      </c>
      <c r="N497" s="2" t="n">
        <v>6.004</v>
      </c>
      <c r="O497" s="2" t="n">
        <v>5.879</v>
      </c>
      <c r="P497" s="7" t="n"/>
    </row>
    <row r="498">
      <c r="A498" s="6" t="n">
        <v>7</v>
      </c>
      <c r="B498" s="2" t="n">
        <v>35</v>
      </c>
      <c r="C498" s="2" t="inlineStr">
        <is>
          <t>P-110</t>
        </is>
      </c>
      <c r="D498" s="2" t="n">
        <v>13020</v>
      </c>
      <c r="E498" s="2" t="n">
        <v>11640</v>
      </c>
      <c r="F498" s="2" t="n"/>
      <c r="G498" s="2" t="n"/>
      <c r="H498" s="2" t="n"/>
      <c r="I498" s="2" t="inlineStr">
        <is>
          <t>BTC</t>
        </is>
      </c>
      <c r="J498" s="2" t="n">
        <v>1096</v>
      </c>
      <c r="K498" s="2" t="n"/>
      <c r="L498" s="2" t="n">
        <v>1119</v>
      </c>
      <c r="M498" s="2" t="n">
        <v>0.498</v>
      </c>
      <c r="N498" s="2" t="n">
        <v>6.004</v>
      </c>
      <c r="O498" s="2" t="n">
        <v>5.879</v>
      </c>
      <c r="P498" s="7" t="n"/>
    </row>
    <row r="499">
      <c r="A499" s="8" t="n">
        <v>7</v>
      </c>
      <c r="B499" s="1" t="n">
        <v>35</v>
      </c>
      <c r="C499" s="1" t="inlineStr">
        <is>
          <t>Q-125</t>
        </is>
      </c>
      <c r="D499" s="1" t="n">
        <v>14310</v>
      </c>
      <c r="E499" s="1" t="n">
        <v>14430</v>
      </c>
      <c r="F499" s="1" t="n"/>
      <c r="G499" s="1" t="n"/>
      <c r="H499" s="1" t="n"/>
      <c r="I499" s="1" t="inlineStr">
        <is>
          <t>LTC</t>
        </is>
      </c>
      <c r="J499" s="1" t="n">
        <v>1106</v>
      </c>
      <c r="K499" s="1" t="n"/>
      <c r="L499" s="1" t="n">
        <v>1272</v>
      </c>
      <c r="M499" s="1" t="n">
        <v>0.498</v>
      </c>
      <c r="N499" s="1" t="n">
        <v>6.004</v>
      </c>
      <c r="O499" s="1" t="n">
        <v>5.879</v>
      </c>
      <c r="P499" s="9" t="n"/>
    </row>
    <row r="500">
      <c r="A500" s="8" t="n">
        <v>7</v>
      </c>
      <c r="B500" s="1" t="n">
        <v>35</v>
      </c>
      <c r="C500" s="1" t="inlineStr">
        <is>
          <t>Q-125</t>
        </is>
      </c>
      <c r="D500" s="1" t="n">
        <v>14310</v>
      </c>
      <c r="E500" s="1" t="n">
        <v>13220</v>
      </c>
      <c r="F500" s="1" t="n"/>
      <c r="G500" s="1" t="n"/>
      <c r="H500" s="1" t="n"/>
      <c r="I500" s="1" t="inlineStr">
        <is>
          <t>BTC</t>
        </is>
      </c>
      <c r="J500" s="1" t="n">
        <v>1183</v>
      </c>
      <c r="K500" s="1" t="n"/>
      <c r="L500" s="1" t="n">
        <v>1272</v>
      </c>
      <c r="M500" s="1" t="n">
        <v>0.498</v>
      </c>
      <c r="N500" s="1" t="n">
        <v>6.004</v>
      </c>
      <c r="O500" s="1" t="n">
        <v>5.879</v>
      </c>
      <c r="P500" s="9" t="n"/>
    </row>
    <row r="501">
      <c r="A501" s="6" t="n">
        <v>7</v>
      </c>
      <c r="B501" s="2" t="n">
        <v>35</v>
      </c>
      <c r="C501" s="2" t="inlineStr">
        <is>
          <t>V-150</t>
        </is>
      </c>
      <c r="D501" s="2" t="n">
        <v>16220</v>
      </c>
      <c r="E501" s="2" t="n">
        <v>17320</v>
      </c>
      <c r="F501" s="2" t="n"/>
      <c r="G501" s="2" t="n"/>
      <c r="H501" s="2" t="n"/>
      <c r="I501" s="2" t="inlineStr">
        <is>
          <t>LTC</t>
        </is>
      </c>
      <c r="J501" s="2" t="n">
        <v>1311</v>
      </c>
      <c r="K501" s="2" t="n"/>
      <c r="L501" s="2" t="n">
        <v>1526</v>
      </c>
      <c r="M501" s="2" t="n">
        <v>0.498</v>
      </c>
      <c r="N501" s="2" t="n">
        <v>6.004</v>
      </c>
      <c r="O501" s="2" t="n">
        <v>5.879</v>
      </c>
      <c r="P501" s="7" t="n"/>
    </row>
    <row r="502">
      <c r="A502" s="6" t="n">
        <v>7</v>
      </c>
      <c r="B502" s="2" t="n">
        <v>35</v>
      </c>
      <c r="C502" s="2" t="inlineStr">
        <is>
          <t>V-150</t>
        </is>
      </c>
      <c r="D502" s="2" t="n">
        <v>16220</v>
      </c>
      <c r="E502" s="2" t="n">
        <v>15870</v>
      </c>
      <c r="F502" s="2" t="n"/>
      <c r="G502" s="2" t="n"/>
      <c r="H502" s="2" t="n"/>
      <c r="I502" s="2" t="inlineStr">
        <is>
          <t>BTC</t>
        </is>
      </c>
      <c r="J502" s="2" t="n">
        <v>1402</v>
      </c>
      <c r="K502" s="2" t="n"/>
      <c r="L502" s="2" t="n">
        <v>1526</v>
      </c>
      <c r="M502" s="2" t="n">
        <v>0.498</v>
      </c>
      <c r="N502" s="2" t="n">
        <v>6.004</v>
      </c>
      <c r="O502" s="2" t="n">
        <v>5.879</v>
      </c>
      <c r="P502" s="7" t="n"/>
    </row>
    <row r="503">
      <c r="A503" s="8" t="n">
        <v>7</v>
      </c>
      <c r="B503" s="1" t="n">
        <v>38</v>
      </c>
      <c r="C503" s="1" t="inlineStr">
        <is>
          <t>L-80</t>
        </is>
      </c>
      <c r="D503" s="1" t="n">
        <v>11390</v>
      </c>
      <c r="E503" s="1" t="n">
        <v>9240</v>
      </c>
      <c r="F503" s="1" t="n"/>
      <c r="G503" s="1" t="n"/>
      <c r="H503" s="1" t="n"/>
      <c r="I503" s="1" t="inlineStr">
        <is>
          <t>LTC</t>
        </is>
      </c>
      <c r="J503" s="1" t="n">
        <v>801</v>
      </c>
      <c r="K503" s="1" t="n"/>
      <c r="L503" s="1" t="n">
        <v>877</v>
      </c>
      <c r="M503" s="1" t="n">
        <v>0.54</v>
      </c>
      <c r="N503" s="1" t="n">
        <v>5.92</v>
      </c>
      <c r="O503" s="1" t="n">
        <v>5.795</v>
      </c>
      <c r="P503" s="9" t="n"/>
    </row>
    <row r="504">
      <c r="A504" s="8" t="n">
        <v>7</v>
      </c>
      <c r="B504" s="1" t="n">
        <v>38</v>
      </c>
      <c r="C504" s="1" t="inlineStr">
        <is>
          <t>L-80</t>
        </is>
      </c>
      <c r="D504" s="1" t="n">
        <v>11390</v>
      </c>
      <c r="E504" s="1" t="n">
        <v>8460</v>
      </c>
      <c r="F504" s="1" t="n"/>
      <c r="G504" s="1" t="n"/>
      <c r="H504" s="1" t="n"/>
      <c r="I504" s="1" t="inlineStr">
        <is>
          <t>BTC</t>
        </is>
      </c>
      <c r="J504" s="1" t="n">
        <v>832</v>
      </c>
      <c r="K504" s="1" t="n"/>
      <c r="L504" s="1" t="n">
        <v>877</v>
      </c>
      <c r="M504" s="1" t="n">
        <v>0.54</v>
      </c>
      <c r="N504" s="1" t="n">
        <v>5.92</v>
      </c>
      <c r="O504" s="1" t="n">
        <v>5.795</v>
      </c>
      <c r="P504" s="9" t="n"/>
    </row>
    <row r="505">
      <c r="A505" s="6" t="n">
        <v>7</v>
      </c>
      <c r="B505" s="2" t="n">
        <v>38</v>
      </c>
      <c r="C505" s="2" t="inlineStr">
        <is>
          <t>HCL-80</t>
        </is>
      </c>
      <c r="D505" s="2" t="n">
        <v>12700</v>
      </c>
      <c r="E505" s="2" t="n">
        <v>9240</v>
      </c>
      <c r="F505" s="2" t="n"/>
      <c r="G505" s="2" t="n"/>
      <c r="H505" s="2" t="n"/>
      <c r="I505" s="2" t="inlineStr">
        <is>
          <t>LTC</t>
        </is>
      </c>
      <c r="J505" s="2" t="n">
        <v>831</v>
      </c>
      <c r="K505" s="2" t="n"/>
      <c r="L505" s="2" t="n">
        <v>877</v>
      </c>
      <c r="M505" s="2" t="n">
        <v>0.54</v>
      </c>
      <c r="N505" s="2" t="n">
        <v>5.92</v>
      </c>
      <c r="O505" s="2" t="n">
        <v>5.795</v>
      </c>
      <c r="P505" s="7" t="n"/>
    </row>
    <row r="506">
      <c r="A506" s="6" t="n">
        <v>7</v>
      </c>
      <c r="B506" s="2" t="n">
        <v>38</v>
      </c>
      <c r="C506" s="2" t="inlineStr">
        <is>
          <t>HCL-80</t>
        </is>
      </c>
      <c r="D506" s="2" t="n">
        <v>12700</v>
      </c>
      <c r="E506" s="2" t="n">
        <v>8460</v>
      </c>
      <c r="F506" s="2" t="n"/>
      <c r="G506" s="2" t="n"/>
      <c r="H506" s="2" t="n"/>
      <c r="I506" s="2" t="inlineStr">
        <is>
          <t>BTC</t>
        </is>
      </c>
      <c r="J506" s="2" t="n">
        <v>832</v>
      </c>
      <c r="K506" s="2" t="n"/>
      <c r="L506" s="2" t="n">
        <v>877</v>
      </c>
      <c r="M506" s="2" t="n">
        <v>0.54</v>
      </c>
      <c r="N506" s="2" t="n">
        <v>5.92</v>
      </c>
      <c r="O506" s="2" t="n">
        <v>5.795</v>
      </c>
      <c r="P506" s="7" t="n"/>
    </row>
    <row r="507">
      <c r="A507" s="8" t="n">
        <v>7</v>
      </c>
      <c r="B507" s="1" t="n">
        <v>38</v>
      </c>
      <c r="C507" s="1" t="inlineStr">
        <is>
          <t>N-80</t>
        </is>
      </c>
      <c r="D507" s="1" t="n">
        <v>11390</v>
      </c>
      <c r="E507" s="1" t="n">
        <v>9240</v>
      </c>
      <c r="F507" s="1" t="n"/>
      <c r="G507" s="1" t="n"/>
      <c r="H507" s="1" t="n"/>
      <c r="I507" s="1" t="inlineStr">
        <is>
          <t>LTC</t>
        </is>
      </c>
      <c r="J507" s="1" t="n">
        <v>814</v>
      </c>
      <c r="K507" s="1" t="n"/>
      <c r="L507" s="1" t="n">
        <v>877</v>
      </c>
      <c r="M507" s="1" t="n">
        <v>0.54</v>
      </c>
      <c r="N507" s="1" t="n">
        <v>5.92</v>
      </c>
      <c r="O507" s="1" t="n">
        <v>5.795</v>
      </c>
      <c r="P507" s="9" t="n"/>
    </row>
    <row r="508">
      <c r="A508" s="8" t="n">
        <v>7</v>
      </c>
      <c r="B508" s="1" t="n">
        <v>38</v>
      </c>
      <c r="C508" s="1" t="inlineStr">
        <is>
          <t>N-80</t>
        </is>
      </c>
      <c r="D508" s="1" t="n">
        <v>11390</v>
      </c>
      <c r="E508" s="1" t="n">
        <v>8460</v>
      </c>
      <c r="F508" s="1" t="n"/>
      <c r="G508" s="1" t="n"/>
      <c r="H508" s="1" t="n"/>
      <c r="I508" s="1" t="inlineStr">
        <is>
          <t>BTC</t>
        </is>
      </c>
      <c r="J508" s="1" t="n">
        <v>876</v>
      </c>
      <c r="K508" s="1" t="n"/>
      <c r="L508" s="1" t="n">
        <v>877</v>
      </c>
      <c r="M508" s="1" t="n">
        <v>0.54</v>
      </c>
      <c r="N508" s="1" t="n">
        <v>5.92</v>
      </c>
      <c r="O508" s="1" t="n">
        <v>5.795</v>
      </c>
      <c r="P508" s="9" t="n"/>
    </row>
    <row r="509">
      <c r="A509" s="6" t="n">
        <v>7</v>
      </c>
      <c r="B509" s="2" t="n">
        <v>38</v>
      </c>
      <c r="C509" s="2" t="inlineStr">
        <is>
          <t>HCN-80</t>
        </is>
      </c>
      <c r="D509" s="2" t="n">
        <v>12700</v>
      </c>
      <c r="E509" s="2" t="n">
        <v>9240</v>
      </c>
      <c r="F509" s="2" t="n"/>
      <c r="G509" s="2" t="n"/>
      <c r="H509" s="2" t="n"/>
      <c r="I509" s="2" t="inlineStr">
        <is>
          <t>LTC</t>
        </is>
      </c>
      <c r="J509" s="2" t="n">
        <v>831</v>
      </c>
      <c r="K509" s="2" t="n"/>
      <c r="L509" s="2" t="n">
        <v>877</v>
      </c>
      <c r="M509" s="2" t="n">
        <v>0.54</v>
      </c>
      <c r="N509" s="2" t="n">
        <v>5.92</v>
      </c>
      <c r="O509" s="2" t="n">
        <v>5.795</v>
      </c>
      <c r="P509" s="7" t="n"/>
    </row>
    <row r="510">
      <c r="A510" s="6" t="n">
        <v>7</v>
      </c>
      <c r="B510" s="2" t="n">
        <v>38</v>
      </c>
      <c r="C510" s="2" t="inlineStr">
        <is>
          <t>HCN-80</t>
        </is>
      </c>
      <c r="D510" s="2" t="n">
        <v>12700</v>
      </c>
      <c r="E510" s="2" t="n">
        <v>8460</v>
      </c>
      <c r="F510" s="2" t="n"/>
      <c r="G510" s="2" t="n"/>
      <c r="H510" s="2" t="n"/>
      <c r="I510" s="2" t="inlineStr">
        <is>
          <t>BTC</t>
        </is>
      </c>
      <c r="J510" s="2" t="n">
        <v>876</v>
      </c>
      <c r="K510" s="2" t="n"/>
      <c r="L510" s="2" t="n">
        <v>877</v>
      </c>
      <c r="M510" s="2" t="n">
        <v>0.54</v>
      </c>
      <c r="N510" s="2" t="n">
        <v>5.92</v>
      </c>
      <c r="O510" s="2" t="n">
        <v>5.795</v>
      </c>
      <c r="P510" s="7" t="n"/>
    </row>
    <row r="511">
      <c r="A511" s="8" t="n">
        <v>7</v>
      </c>
      <c r="B511" s="1" t="n">
        <v>38</v>
      </c>
      <c r="C511" s="1" t="inlineStr">
        <is>
          <t>C-90</t>
        </is>
      </c>
      <c r="D511" s="1" t="n">
        <v>12820</v>
      </c>
      <c r="E511" s="1" t="n">
        <v>10390</v>
      </c>
      <c r="F511" s="1" t="n"/>
      <c r="G511" s="1" t="n"/>
      <c r="H511" s="1" t="n"/>
      <c r="I511" s="1" t="inlineStr">
        <is>
          <t>LTC</t>
        </is>
      </c>
      <c r="J511" s="1" t="n">
        <v>883</v>
      </c>
      <c r="K511" s="1" t="n"/>
      <c r="L511" s="1" t="n">
        <v>986</v>
      </c>
      <c r="M511" s="1" t="n">
        <v>0.54</v>
      </c>
      <c r="N511" s="1" t="n">
        <v>5.92</v>
      </c>
      <c r="O511" s="1" t="n">
        <v>5.795</v>
      </c>
      <c r="P511" s="9" t="n"/>
    </row>
    <row r="512">
      <c r="A512" s="8" t="n">
        <v>7</v>
      </c>
      <c r="B512" s="1" t="n">
        <v>38</v>
      </c>
      <c r="C512" s="1" t="inlineStr">
        <is>
          <t>C-90</t>
        </is>
      </c>
      <c r="D512" s="1" t="n">
        <v>12820</v>
      </c>
      <c r="E512" s="1" t="n">
        <v>9520</v>
      </c>
      <c r="F512" s="1" t="n"/>
      <c r="G512" s="1" t="n"/>
      <c r="H512" s="1" t="n"/>
      <c r="I512" s="1" t="inlineStr">
        <is>
          <t>BTC</t>
        </is>
      </c>
      <c r="J512" s="1" t="n">
        <v>876</v>
      </c>
      <c r="K512" s="1" t="n"/>
      <c r="L512" s="1" t="n">
        <v>986</v>
      </c>
      <c r="M512" s="1" t="n">
        <v>0.54</v>
      </c>
      <c r="N512" s="1" t="n">
        <v>5.92</v>
      </c>
      <c r="O512" s="1" t="n">
        <v>5.795</v>
      </c>
      <c r="P512" s="9" t="n"/>
    </row>
    <row r="513">
      <c r="A513" s="6" t="n">
        <v>7</v>
      </c>
      <c r="B513" s="2" t="n">
        <v>38</v>
      </c>
      <c r="C513" s="2" t="inlineStr">
        <is>
          <t>H2S-90</t>
        </is>
      </c>
      <c r="D513" s="2" t="n">
        <v>12820</v>
      </c>
      <c r="E513" s="2" t="n">
        <v>10390</v>
      </c>
      <c r="F513" s="2" t="n"/>
      <c r="G513" s="2" t="n"/>
      <c r="H513" s="2" t="n"/>
      <c r="I513" s="2" t="inlineStr">
        <is>
          <t>LTC</t>
        </is>
      </c>
      <c r="J513" s="2" t="n">
        <v>883</v>
      </c>
      <c r="K513" s="2" t="n"/>
      <c r="L513" s="2" t="n">
        <v>986</v>
      </c>
      <c r="M513" s="2" t="n">
        <v>0.54</v>
      </c>
      <c r="N513" s="2" t="n">
        <v>5.92</v>
      </c>
      <c r="O513" s="2" t="n">
        <v>5.795</v>
      </c>
      <c r="P513" s="7" t="n"/>
    </row>
    <row r="514">
      <c r="A514" s="6" t="n">
        <v>7</v>
      </c>
      <c r="B514" s="2" t="n">
        <v>38</v>
      </c>
      <c r="C514" s="2" t="inlineStr">
        <is>
          <t>H2S-90</t>
        </is>
      </c>
      <c r="D514" s="2" t="n">
        <v>12820</v>
      </c>
      <c r="E514" s="2" t="n">
        <v>9520</v>
      </c>
      <c r="F514" s="2" t="n"/>
      <c r="G514" s="2" t="n"/>
      <c r="H514" s="2" t="n"/>
      <c r="I514" s="2" t="inlineStr">
        <is>
          <t>BTC</t>
        </is>
      </c>
      <c r="J514" s="2" t="n">
        <v>876</v>
      </c>
      <c r="K514" s="2" t="n"/>
      <c r="L514" s="2" t="n">
        <v>986</v>
      </c>
      <c r="M514" s="2" t="n">
        <v>0.54</v>
      </c>
      <c r="N514" s="2" t="n">
        <v>5.92</v>
      </c>
      <c r="O514" s="2" t="n">
        <v>5.795</v>
      </c>
      <c r="P514" s="7" t="n"/>
    </row>
    <row r="515">
      <c r="A515" s="8" t="n">
        <v>7</v>
      </c>
      <c r="B515" s="1" t="n">
        <v>38</v>
      </c>
      <c r="C515" s="1" t="inlineStr">
        <is>
          <t>S-95</t>
        </is>
      </c>
      <c r="D515" s="1" t="n">
        <v>13440</v>
      </c>
      <c r="E515" s="1" t="n">
        <v>10970</v>
      </c>
      <c r="F515" s="1" t="n"/>
      <c r="G515" s="1" t="n"/>
      <c r="H515" s="1" t="n"/>
      <c r="I515" s="1" t="inlineStr">
        <is>
          <t>LTC</t>
        </is>
      </c>
      <c r="J515" s="1" t="n">
        <v>944</v>
      </c>
      <c r="K515" s="1" t="n"/>
      <c r="L515" s="1" t="n">
        <v>1041</v>
      </c>
      <c r="M515" s="1" t="n">
        <v>0.54</v>
      </c>
      <c r="N515" s="1" t="n">
        <v>5.92</v>
      </c>
      <c r="O515" s="1" t="n">
        <v>5.795</v>
      </c>
      <c r="P515" s="9" t="n"/>
    </row>
    <row r="516">
      <c r="A516" s="8" t="n">
        <v>7</v>
      </c>
      <c r="B516" s="1" t="n">
        <v>38</v>
      </c>
      <c r="C516" s="1" t="inlineStr">
        <is>
          <t>S-95</t>
        </is>
      </c>
      <c r="D516" s="1" t="n">
        <v>13440</v>
      </c>
      <c r="E516" s="1" t="n">
        <v>10050</v>
      </c>
      <c r="F516" s="1" t="n"/>
      <c r="G516" s="1" t="n"/>
      <c r="H516" s="1" t="n"/>
      <c r="I516" s="1" t="inlineStr">
        <is>
          <t>BTC</t>
        </is>
      </c>
      <c r="J516" s="1" t="n">
        <v>964</v>
      </c>
      <c r="K516" s="1" t="n"/>
      <c r="L516" s="1" t="n">
        <v>1041</v>
      </c>
      <c r="M516" s="1" t="n">
        <v>0.54</v>
      </c>
      <c r="N516" s="1" t="n">
        <v>5.92</v>
      </c>
      <c r="O516" s="1" t="n">
        <v>5.795</v>
      </c>
      <c r="P516" s="9" t="n"/>
    </row>
    <row r="517">
      <c r="A517" s="6" t="n">
        <v>7</v>
      </c>
      <c r="B517" s="2" t="n">
        <v>38</v>
      </c>
      <c r="C517" s="2" t="inlineStr">
        <is>
          <t>T-95</t>
        </is>
      </c>
      <c r="D517" s="2" t="n">
        <v>13440</v>
      </c>
      <c r="E517" s="2" t="n">
        <v>10970</v>
      </c>
      <c r="F517" s="2" t="n"/>
      <c r="G517" s="2" t="n"/>
      <c r="H517" s="2" t="n"/>
      <c r="I517" s="2" t="inlineStr">
        <is>
          <t>LTC</t>
        </is>
      </c>
      <c r="J517" s="2" t="n">
        <v>931</v>
      </c>
      <c r="K517" s="2" t="n"/>
      <c r="L517" s="2" t="n">
        <v>1041</v>
      </c>
      <c r="M517" s="2" t="n">
        <v>0.54</v>
      </c>
      <c r="N517" s="2" t="n">
        <v>5.92</v>
      </c>
      <c r="O517" s="2" t="n">
        <v>5.795</v>
      </c>
      <c r="P517" s="7" t="n"/>
    </row>
    <row r="518">
      <c r="A518" s="6" t="n">
        <v>7</v>
      </c>
      <c r="B518" s="2" t="n">
        <v>38</v>
      </c>
      <c r="C518" s="2" t="inlineStr">
        <is>
          <t>T-95</t>
        </is>
      </c>
      <c r="D518" s="2" t="n">
        <v>13440</v>
      </c>
      <c r="E518" s="2" t="n">
        <v>10050</v>
      </c>
      <c r="F518" s="2" t="n"/>
      <c r="G518" s="2" t="n"/>
      <c r="H518" s="2" t="n"/>
      <c r="I518" s="2" t="inlineStr">
        <is>
          <t>BTC</t>
        </is>
      </c>
      <c r="J518" s="2" t="n">
        <v>920</v>
      </c>
      <c r="K518" s="2" t="n"/>
      <c r="L518" s="2" t="n">
        <v>1041</v>
      </c>
      <c r="M518" s="2" t="n">
        <v>0.54</v>
      </c>
      <c r="N518" s="2" t="n">
        <v>5.92</v>
      </c>
      <c r="O518" s="2" t="n">
        <v>5.795</v>
      </c>
      <c r="P518" s="7" t="n"/>
    </row>
    <row r="519">
      <c r="A519" s="8" t="n">
        <v>7</v>
      </c>
      <c r="B519" s="1" t="n">
        <v>38</v>
      </c>
      <c r="C519" s="1" t="inlineStr">
        <is>
          <t>H2S-95</t>
        </is>
      </c>
      <c r="D519" s="1" t="n">
        <v>13440</v>
      </c>
      <c r="E519" s="1" t="n">
        <v>10970</v>
      </c>
      <c r="F519" s="1" t="n"/>
      <c r="G519" s="1" t="n"/>
      <c r="H519" s="1" t="n"/>
      <c r="I519" s="1" t="inlineStr">
        <is>
          <t>LTC</t>
        </is>
      </c>
      <c r="J519" s="1" t="n">
        <v>931</v>
      </c>
      <c r="K519" s="1" t="n"/>
      <c r="L519" s="1" t="n">
        <v>1041</v>
      </c>
      <c r="M519" s="1" t="n">
        <v>0.54</v>
      </c>
      <c r="N519" s="1" t="n">
        <v>5.92</v>
      </c>
      <c r="O519" s="1" t="n">
        <v>5.795</v>
      </c>
      <c r="P519" s="9" t="n"/>
    </row>
    <row r="520">
      <c r="A520" s="8" t="n">
        <v>7</v>
      </c>
      <c r="B520" s="1" t="n">
        <v>38</v>
      </c>
      <c r="C520" s="1" t="inlineStr">
        <is>
          <t>H2S-95</t>
        </is>
      </c>
      <c r="D520" s="1" t="n">
        <v>13440</v>
      </c>
      <c r="E520" s="1" t="n">
        <v>10050</v>
      </c>
      <c r="F520" s="1" t="n"/>
      <c r="G520" s="1" t="n"/>
      <c r="H520" s="1" t="n"/>
      <c r="I520" s="1" t="inlineStr">
        <is>
          <t>BTC</t>
        </is>
      </c>
      <c r="J520" s="1" t="n">
        <v>920</v>
      </c>
      <c r="K520" s="1" t="n"/>
      <c r="L520" s="1" t="n">
        <v>1041</v>
      </c>
      <c r="M520" s="1" t="n">
        <v>0.54</v>
      </c>
      <c r="N520" s="1" t="n">
        <v>5.92</v>
      </c>
      <c r="O520" s="1" t="n">
        <v>5.795</v>
      </c>
      <c r="P520" s="9" t="n"/>
    </row>
    <row r="521">
      <c r="A521" s="6" t="n">
        <v>7</v>
      </c>
      <c r="B521" s="2" t="n">
        <v>38</v>
      </c>
      <c r="C521" s="2" t="inlineStr">
        <is>
          <t>C-95</t>
        </is>
      </c>
      <c r="D521" s="2" t="n">
        <v>13440</v>
      </c>
      <c r="E521" s="2" t="n">
        <v>10970</v>
      </c>
      <c r="F521" s="2" t="n"/>
      <c r="G521" s="2" t="n"/>
      <c r="H521" s="2" t="n"/>
      <c r="I521" s="2" t="inlineStr">
        <is>
          <t>LTC</t>
        </is>
      </c>
      <c r="J521" s="2" t="n">
        <v>931</v>
      </c>
      <c r="K521" s="2" t="n"/>
      <c r="L521" s="2" t="n">
        <v>1041</v>
      </c>
      <c r="M521" s="2" t="n">
        <v>0.54</v>
      </c>
      <c r="N521" s="2" t="n">
        <v>5.92</v>
      </c>
      <c r="O521" s="2" t="n">
        <v>5.795</v>
      </c>
      <c r="P521" s="7" t="n"/>
    </row>
    <row r="522">
      <c r="A522" s="6" t="n">
        <v>7</v>
      </c>
      <c r="B522" s="2" t="n">
        <v>38</v>
      </c>
      <c r="C522" s="2" t="inlineStr">
        <is>
          <t>C-95</t>
        </is>
      </c>
      <c r="D522" s="2" t="n">
        <v>13440</v>
      </c>
      <c r="E522" s="2" t="n">
        <v>10050</v>
      </c>
      <c r="F522" s="2" t="n"/>
      <c r="G522" s="2" t="n"/>
      <c r="H522" s="2" t="n"/>
      <c r="I522" s="2" t="inlineStr">
        <is>
          <t>BTC</t>
        </is>
      </c>
      <c r="J522" s="2" t="n">
        <v>920</v>
      </c>
      <c r="K522" s="2" t="n"/>
      <c r="L522" s="2" t="n">
        <v>1041</v>
      </c>
      <c r="M522" s="2" t="n">
        <v>0.54</v>
      </c>
      <c r="N522" s="2" t="n">
        <v>5.92</v>
      </c>
      <c r="O522" s="2" t="n">
        <v>5.795</v>
      </c>
      <c r="P522" s="7" t="n"/>
    </row>
    <row r="523">
      <c r="A523" s="8" t="n">
        <v>7</v>
      </c>
      <c r="B523" s="1" t="n">
        <v>38</v>
      </c>
      <c r="C523" s="1" t="inlineStr">
        <is>
          <t>P-110</t>
        </is>
      </c>
      <c r="D523" s="1" t="n">
        <v>15140</v>
      </c>
      <c r="E523" s="1" t="n">
        <v>12700</v>
      </c>
      <c r="F523" s="1" t="n"/>
      <c r="G523" s="1" t="n"/>
      <c r="H523" s="1" t="n"/>
      <c r="I523" s="1" t="inlineStr">
        <is>
          <t>LTC</t>
        </is>
      </c>
      <c r="J523" s="1" t="n">
        <v>1087</v>
      </c>
      <c r="K523" s="1" t="n"/>
      <c r="L523" s="1" t="n">
        <v>1205</v>
      </c>
      <c r="M523" s="1" t="n">
        <v>0.54</v>
      </c>
      <c r="N523" s="1" t="n">
        <v>5.92</v>
      </c>
      <c r="O523" s="1" t="n">
        <v>5.795</v>
      </c>
      <c r="P523" s="9" t="n"/>
    </row>
    <row r="524">
      <c r="A524" s="8" t="n">
        <v>7</v>
      </c>
      <c r="B524" s="1" t="n">
        <v>38</v>
      </c>
      <c r="C524" s="1" t="inlineStr">
        <is>
          <t>P-110</t>
        </is>
      </c>
      <c r="D524" s="1" t="n">
        <v>15140</v>
      </c>
      <c r="E524" s="1" t="n">
        <v>11640</v>
      </c>
      <c r="F524" s="1" t="n"/>
      <c r="G524" s="1" t="n"/>
      <c r="H524" s="1" t="n"/>
      <c r="I524" s="1" t="inlineStr">
        <is>
          <t>BTC</t>
        </is>
      </c>
      <c r="J524" s="1" t="n">
        <v>1096</v>
      </c>
      <c r="K524" s="1" t="n"/>
      <c r="L524" s="1" t="n">
        <v>1205</v>
      </c>
      <c r="M524" s="1" t="n">
        <v>0.54</v>
      </c>
      <c r="N524" s="1" t="n">
        <v>5.92</v>
      </c>
      <c r="O524" s="1" t="n">
        <v>5.795</v>
      </c>
      <c r="P524" s="9" t="n"/>
    </row>
    <row r="525">
      <c r="A525" s="6" t="n">
        <v>7</v>
      </c>
      <c r="B525" s="2" t="n">
        <v>38</v>
      </c>
      <c r="C525" s="2" t="inlineStr">
        <is>
          <t>Q-125</t>
        </is>
      </c>
      <c r="D525" s="2" t="n">
        <v>16750</v>
      </c>
      <c r="E525" s="2" t="n">
        <v>14430</v>
      </c>
      <c r="F525" s="2" t="n"/>
      <c r="G525" s="2" t="n"/>
      <c r="H525" s="2" t="n"/>
      <c r="I525" s="2" t="inlineStr">
        <is>
          <t>LTC</t>
        </is>
      </c>
      <c r="J525" s="2" t="n">
        <v>1207</v>
      </c>
      <c r="K525" s="2" t="n"/>
      <c r="L525" s="2" t="n">
        <v>1370</v>
      </c>
      <c r="M525" s="2" t="n">
        <v>0.54</v>
      </c>
      <c r="N525" s="2" t="n">
        <v>5.92</v>
      </c>
      <c r="O525" s="2" t="n">
        <v>5.795</v>
      </c>
      <c r="P525" s="7" t="n"/>
    </row>
    <row r="526">
      <c r="A526" s="6" t="n">
        <v>7</v>
      </c>
      <c r="B526" s="2" t="n">
        <v>38</v>
      </c>
      <c r="C526" s="2" t="inlineStr">
        <is>
          <t>Q-125</t>
        </is>
      </c>
      <c r="D526" s="2" t="n">
        <v>16750</v>
      </c>
      <c r="E526" s="2" t="n">
        <v>13220</v>
      </c>
      <c r="F526" s="2" t="n"/>
      <c r="G526" s="2" t="n"/>
      <c r="H526" s="2" t="n"/>
      <c r="I526" s="2" t="inlineStr">
        <is>
          <t>BTC</t>
        </is>
      </c>
      <c r="J526" s="2" t="n">
        <v>1183</v>
      </c>
      <c r="K526" s="2" t="n"/>
      <c r="L526" s="2" t="n">
        <v>1370</v>
      </c>
      <c r="M526" s="2" t="n">
        <v>0.54</v>
      </c>
      <c r="N526" s="2" t="n">
        <v>5.92</v>
      </c>
      <c r="O526" s="2" t="n">
        <v>5.795</v>
      </c>
      <c r="P526" s="7" t="n"/>
    </row>
    <row r="527">
      <c r="A527" s="8" t="n">
        <v>7</v>
      </c>
      <c r="B527" s="1" t="n">
        <v>38</v>
      </c>
      <c r="C527" s="1" t="inlineStr">
        <is>
          <t>V-150</t>
        </is>
      </c>
      <c r="D527" s="1" t="n">
        <v>19240</v>
      </c>
      <c r="E527" s="1" t="n">
        <v>17320</v>
      </c>
      <c r="F527" s="1" t="n"/>
      <c r="G527" s="1" t="n"/>
      <c r="H527" s="1" t="n"/>
      <c r="I527" s="1" t="inlineStr">
        <is>
          <t>LTC</t>
        </is>
      </c>
      <c r="J527" s="1" t="n">
        <v>1430</v>
      </c>
      <c r="K527" s="1" t="n"/>
      <c r="L527" s="1" t="n">
        <v>1644</v>
      </c>
      <c r="M527" s="1" t="n">
        <v>0.54</v>
      </c>
      <c r="N527" s="1" t="n">
        <v>5.92</v>
      </c>
      <c r="O527" s="1" t="n">
        <v>5.795</v>
      </c>
      <c r="P527" s="9" t="n"/>
    </row>
    <row r="528">
      <c r="A528" s="8" t="n">
        <v>7</v>
      </c>
      <c r="B528" s="1" t="n">
        <v>38</v>
      </c>
      <c r="C528" s="1" t="inlineStr">
        <is>
          <t>V-150</t>
        </is>
      </c>
      <c r="D528" s="1" t="n">
        <v>19240</v>
      </c>
      <c r="E528" s="1" t="n">
        <v>15870</v>
      </c>
      <c r="F528" s="1" t="n"/>
      <c r="G528" s="1" t="n"/>
      <c r="H528" s="1" t="n"/>
      <c r="I528" s="1" t="inlineStr">
        <is>
          <t>BTC</t>
        </is>
      </c>
      <c r="J528" s="1" t="n">
        <v>1402</v>
      </c>
      <c r="K528" s="1" t="n"/>
      <c r="L528" s="1" t="n">
        <v>1644</v>
      </c>
      <c r="M528" s="1" t="n">
        <v>0.54</v>
      </c>
      <c r="N528" s="1" t="n">
        <v>5.92</v>
      </c>
      <c r="O528" s="1" t="n">
        <v>5.795</v>
      </c>
      <c r="P528" s="9" t="n"/>
    </row>
    <row r="529">
      <c r="A529" s="6" t="n">
        <v>7</v>
      </c>
      <c r="B529" s="2" t="n">
        <v>41</v>
      </c>
      <c r="C529" s="2" t="inlineStr">
        <is>
          <t>C-90</t>
        </is>
      </c>
      <c r="D529" s="2" t="n">
        <v>13900</v>
      </c>
      <c r="E529" s="2" t="n">
        <v>10390</v>
      </c>
      <c r="F529" s="2" t="n"/>
      <c r="G529" s="2" t="n"/>
      <c r="H529" s="2" t="n"/>
      <c r="I529" s="2" t="inlineStr">
        <is>
          <t>LTC</t>
        </is>
      </c>
      <c r="J529" s="2" t="n">
        <v>903</v>
      </c>
      <c r="K529" s="2" t="n"/>
      <c r="L529" s="2" t="n">
        <v>1069</v>
      </c>
      <c r="M529" s="2" t="n">
        <v>0.59</v>
      </c>
      <c r="N529" s="2" t="n">
        <v>5.82</v>
      </c>
      <c r="O529" s="2" t="n">
        <v>5.695</v>
      </c>
      <c r="P529" s="7" t="n"/>
    </row>
    <row r="530">
      <c r="A530" s="6" t="n">
        <v>7</v>
      </c>
      <c r="B530" s="2" t="n">
        <v>41</v>
      </c>
      <c r="C530" s="2" t="inlineStr">
        <is>
          <t>C-90</t>
        </is>
      </c>
      <c r="D530" s="2" t="n">
        <v>13900</v>
      </c>
      <c r="E530" s="2" t="n">
        <v>9520</v>
      </c>
      <c r="F530" s="2" t="n"/>
      <c r="G530" s="2" t="n"/>
      <c r="H530" s="2" t="n"/>
      <c r="I530" s="2" t="inlineStr">
        <is>
          <t>BTC</t>
        </is>
      </c>
      <c r="J530" s="2" t="n">
        <v>876</v>
      </c>
      <c r="K530" s="2" t="n"/>
      <c r="L530" s="2" t="n">
        <v>1069</v>
      </c>
      <c r="M530" s="2" t="n">
        <v>0.59</v>
      </c>
      <c r="N530" s="2" t="n">
        <v>5.82</v>
      </c>
      <c r="O530" s="2" t="n">
        <v>5.695</v>
      </c>
      <c r="P530" s="7" t="n"/>
    </row>
    <row r="531">
      <c r="A531" s="8" t="n">
        <v>7</v>
      </c>
      <c r="B531" s="1" t="n">
        <v>41</v>
      </c>
      <c r="C531" s="1" t="inlineStr">
        <is>
          <t>H2S-90</t>
        </is>
      </c>
      <c r="D531" s="1" t="n">
        <v>13900</v>
      </c>
      <c r="E531" s="1" t="n">
        <v>10390</v>
      </c>
      <c r="F531" s="1" t="n"/>
      <c r="G531" s="1" t="n"/>
      <c r="H531" s="1" t="n"/>
      <c r="I531" s="1" t="inlineStr">
        <is>
          <t>LTC</t>
        </is>
      </c>
      <c r="J531" s="1" t="n">
        <v>903</v>
      </c>
      <c r="K531" s="1" t="n"/>
      <c r="L531" s="1" t="n">
        <v>1069</v>
      </c>
      <c r="M531" s="1" t="n">
        <v>0.59</v>
      </c>
      <c r="N531" s="1" t="n">
        <v>5.82</v>
      </c>
      <c r="O531" s="1" t="n">
        <v>5.695</v>
      </c>
      <c r="P531" s="9" t="n"/>
    </row>
    <row r="532">
      <c r="A532" s="8" t="n">
        <v>7</v>
      </c>
      <c r="B532" s="1" t="n">
        <v>41</v>
      </c>
      <c r="C532" s="1" t="inlineStr">
        <is>
          <t>H2S-90</t>
        </is>
      </c>
      <c r="D532" s="1" t="n">
        <v>13900</v>
      </c>
      <c r="E532" s="1" t="n">
        <v>9520</v>
      </c>
      <c r="F532" s="1" t="n"/>
      <c r="G532" s="1" t="n"/>
      <c r="H532" s="1" t="n"/>
      <c r="I532" s="1" t="inlineStr">
        <is>
          <t>BTC</t>
        </is>
      </c>
      <c r="J532" s="1" t="n">
        <v>876</v>
      </c>
      <c r="K532" s="1" t="n"/>
      <c r="L532" s="1" t="n">
        <v>1069</v>
      </c>
      <c r="M532" s="1" t="n">
        <v>0.59</v>
      </c>
      <c r="N532" s="1" t="n">
        <v>5.82</v>
      </c>
      <c r="O532" s="1" t="n">
        <v>5.695</v>
      </c>
      <c r="P532" s="9" t="n"/>
    </row>
    <row r="533">
      <c r="A533" s="6" t="n">
        <v>7</v>
      </c>
      <c r="B533" s="2" t="n">
        <v>41</v>
      </c>
      <c r="C533" s="2" t="inlineStr">
        <is>
          <t>T-95</t>
        </is>
      </c>
      <c r="D533" s="2" t="n">
        <v>14670</v>
      </c>
      <c r="E533" s="2" t="n">
        <v>10970</v>
      </c>
      <c r="F533" s="2" t="n"/>
      <c r="G533" s="2" t="n"/>
      <c r="H533" s="2" t="n"/>
      <c r="I533" s="2" t="inlineStr">
        <is>
          <t>LTC</t>
        </is>
      </c>
      <c r="J533" s="2" t="n">
        <v>952</v>
      </c>
      <c r="K533" s="2" t="n"/>
      <c r="L533" s="2" t="n">
        <v>1129</v>
      </c>
      <c r="M533" s="2" t="n">
        <v>0.59</v>
      </c>
      <c r="N533" s="2" t="n">
        <v>5.82</v>
      </c>
      <c r="O533" s="2" t="n">
        <v>5.695</v>
      </c>
      <c r="P533" s="7" t="n"/>
    </row>
    <row r="534">
      <c r="A534" s="6" t="n">
        <v>7</v>
      </c>
      <c r="B534" s="2" t="n">
        <v>41</v>
      </c>
      <c r="C534" s="2" t="inlineStr">
        <is>
          <t>T-95</t>
        </is>
      </c>
      <c r="D534" s="2" t="n">
        <v>14670</v>
      </c>
      <c r="E534" s="2" t="n">
        <v>10050</v>
      </c>
      <c r="F534" s="2" t="n"/>
      <c r="G534" s="2" t="n"/>
      <c r="H534" s="2" t="n"/>
      <c r="I534" s="2" t="inlineStr">
        <is>
          <t>BTC</t>
        </is>
      </c>
      <c r="J534" s="2" t="n">
        <v>920</v>
      </c>
      <c r="K534" s="2" t="n"/>
      <c r="L534" s="2" t="n">
        <v>1129</v>
      </c>
      <c r="M534" s="2" t="n">
        <v>0.59</v>
      </c>
      <c r="N534" s="2" t="n">
        <v>5.82</v>
      </c>
      <c r="O534" s="2" t="n">
        <v>5.695</v>
      </c>
      <c r="P534" s="7" t="n"/>
    </row>
    <row r="535">
      <c r="A535" s="8" t="n">
        <v>7</v>
      </c>
      <c r="B535" s="1" t="n">
        <v>41</v>
      </c>
      <c r="C535" s="1" t="inlineStr">
        <is>
          <t>H2S-95</t>
        </is>
      </c>
      <c r="D535" s="1" t="n">
        <v>14670</v>
      </c>
      <c r="E535" s="1" t="n">
        <v>10970</v>
      </c>
      <c r="F535" s="1" t="n"/>
      <c r="G535" s="1" t="n"/>
      <c r="H535" s="1" t="n"/>
      <c r="I535" s="1" t="inlineStr">
        <is>
          <t>LTC</t>
        </is>
      </c>
      <c r="J535" s="1" t="n">
        <v>950</v>
      </c>
      <c r="K535" s="1" t="n"/>
      <c r="L535" s="1" t="n">
        <v>1129</v>
      </c>
      <c r="M535" s="1" t="n">
        <v>0.59</v>
      </c>
      <c r="N535" s="1" t="n">
        <v>5.82</v>
      </c>
      <c r="O535" s="1" t="n">
        <v>5.695</v>
      </c>
      <c r="P535" s="9" t="n"/>
    </row>
    <row r="536">
      <c r="A536" s="8" t="n">
        <v>7</v>
      </c>
      <c r="B536" s="1" t="n">
        <v>41</v>
      </c>
      <c r="C536" s="1" t="inlineStr">
        <is>
          <t>H2S-95</t>
        </is>
      </c>
      <c r="D536" s="1" t="n">
        <v>14670</v>
      </c>
      <c r="E536" s="1" t="n">
        <v>10050</v>
      </c>
      <c r="F536" s="1" t="n"/>
      <c r="G536" s="1" t="n"/>
      <c r="H536" s="1" t="n"/>
      <c r="I536" s="1" t="inlineStr">
        <is>
          <t>BTC</t>
        </is>
      </c>
      <c r="J536" s="1" t="n">
        <v>920</v>
      </c>
      <c r="K536" s="1" t="n"/>
      <c r="L536" s="1" t="n">
        <v>1129</v>
      </c>
      <c r="M536" s="1" t="n">
        <v>0.59</v>
      </c>
      <c r="N536" s="1" t="n">
        <v>5.82</v>
      </c>
      <c r="O536" s="1" t="n">
        <v>5.695</v>
      </c>
      <c r="P536" s="9" t="n"/>
    </row>
    <row r="537">
      <c r="A537" s="6" t="n">
        <v>7</v>
      </c>
      <c r="B537" s="2" t="n">
        <v>41</v>
      </c>
      <c r="C537" s="2" t="inlineStr">
        <is>
          <t>P-110</t>
        </is>
      </c>
      <c r="D537" s="2" t="n">
        <v>16990</v>
      </c>
      <c r="E537" s="2" t="n">
        <v>12700</v>
      </c>
      <c r="F537" s="2" t="n"/>
      <c r="G537" s="2" t="n"/>
      <c r="H537" s="2" t="n"/>
      <c r="I537" s="2" t="inlineStr">
        <is>
          <t>LTC</t>
        </is>
      </c>
      <c r="J537" s="2" t="n">
        <v>1111</v>
      </c>
      <c r="K537" s="2" t="n"/>
      <c r="L537" s="2" t="n">
        <v>1307</v>
      </c>
      <c r="M537" s="2" t="n">
        <v>0.59</v>
      </c>
      <c r="N537" s="2" t="n">
        <v>5.82</v>
      </c>
      <c r="O537" s="2" t="n">
        <v>5.695</v>
      </c>
      <c r="P537" s="7" t="n"/>
    </row>
    <row r="538">
      <c r="A538" s="6" t="n">
        <v>7</v>
      </c>
      <c r="B538" s="2" t="n">
        <v>41</v>
      </c>
      <c r="C538" s="2" t="inlineStr">
        <is>
          <t>P-110</t>
        </is>
      </c>
      <c r="D538" s="2" t="n">
        <v>16990</v>
      </c>
      <c r="E538" s="2" t="n">
        <v>11640</v>
      </c>
      <c r="F538" s="2" t="n"/>
      <c r="G538" s="2" t="n"/>
      <c r="H538" s="2" t="n"/>
      <c r="I538" s="2" t="inlineStr">
        <is>
          <t>BTC</t>
        </is>
      </c>
      <c r="J538" s="2" t="n">
        <v>1096</v>
      </c>
      <c r="K538" s="2" t="n"/>
      <c r="L538" s="2" t="n">
        <v>1307</v>
      </c>
      <c r="M538" s="2" t="n">
        <v>0.59</v>
      </c>
      <c r="N538" s="2" t="n">
        <v>5.82</v>
      </c>
      <c r="O538" s="2" t="n">
        <v>5.695</v>
      </c>
      <c r="P538" s="7" t="n"/>
    </row>
    <row r="539">
      <c r="A539" s="8" t="n">
        <v>7</v>
      </c>
      <c r="B539" s="1" t="n">
        <v>41</v>
      </c>
      <c r="C539" s="1" t="inlineStr">
        <is>
          <t>Q-125</t>
        </is>
      </c>
      <c r="D539" s="1" t="n">
        <v>19300</v>
      </c>
      <c r="E539" s="1" t="n">
        <v>14430</v>
      </c>
      <c r="F539" s="1" t="n"/>
      <c r="G539" s="1" t="n"/>
      <c r="H539" s="1" t="n"/>
      <c r="I539" s="1" t="inlineStr">
        <is>
          <t>LTC</t>
        </is>
      </c>
      <c r="J539" s="1" t="n">
        <v>1244</v>
      </c>
      <c r="K539" s="1" t="n"/>
      <c r="L539" s="1" t="n">
        <v>1485</v>
      </c>
      <c r="M539" s="1" t="n">
        <v>0.59</v>
      </c>
      <c r="N539" s="1" t="n">
        <v>5.82</v>
      </c>
      <c r="O539" s="1" t="n">
        <v>5.695</v>
      </c>
      <c r="P539" s="9" t="n"/>
    </row>
    <row r="540">
      <c r="A540" s="8" t="n">
        <v>7</v>
      </c>
      <c r="B540" s="1" t="n">
        <v>41</v>
      </c>
      <c r="C540" s="1" t="inlineStr">
        <is>
          <t>Q-125</t>
        </is>
      </c>
      <c r="D540" s="1" t="n">
        <v>19300</v>
      </c>
      <c r="E540" s="1" t="n">
        <v>13220</v>
      </c>
      <c r="F540" s="1" t="n"/>
      <c r="G540" s="1" t="n"/>
      <c r="H540" s="1" t="n"/>
      <c r="I540" s="1" t="inlineStr">
        <is>
          <t>BTC</t>
        </is>
      </c>
      <c r="J540" s="1" t="n">
        <v>1183</v>
      </c>
      <c r="K540" s="1" t="n"/>
      <c r="L540" s="1" t="n">
        <v>1485</v>
      </c>
      <c r="M540" s="1" t="n">
        <v>0.59</v>
      </c>
      <c r="N540" s="1" t="n">
        <v>5.82</v>
      </c>
      <c r="O540" s="1" t="n">
        <v>5.695</v>
      </c>
      <c r="P540" s="9" t="n"/>
    </row>
    <row r="541">
      <c r="A541" s="6" t="n">
        <v>7</v>
      </c>
      <c r="B541" s="2" t="n">
        <v>41</v>
      </c>
      <c r="C541" s="2" t="inlineStr">
        <is>
          <t>V-150</t>
        </is>
      </c>
      <c r="D541" s="2" t="n">
        <v>22820</v>
      </c>
      <c r="E541" s="2" t="n">
        <v>17320</v>
      </c>
      <c r="F541" s="2" t="n"/>
      <c r="G541" s="2" t="n"/>
      <c r="H541" s="2" t="n"/>
      <c r="I541" s="2" t="inlineStr">
        <is>
          <t>LTC</t>
        </is>
      </c>
      <c r="J541" s="2" t="n">
        <v>1488</v>
      </c>
      <c r="K541" s="2" t="n"/>
      <c r="L541" s="2" t="n">
        <v>1782</v>
      </c>
      <c r="M541" s="2" t="n">
        <v>0.59</v>
      </c>
      <c r="N541" s="2" t="n">
        <v>5.82</v>
      </c>
      <c r="O541" s="2" t="n">
        <v>5.695</v>
      </c>
      <c r="P541" s="7" t="n"/>
    </row>
    <row r="542">
      <c r="A542" s="6" t="n">
        <v>7</v>
      </c>
      <c r="B542" s="2" t="n">
        <v>41</v>
      </c>
      <c r="C542" s="2" t="inlineStr">
        <is>
          <t>V-150</t>
        </is>
      </c>
      <c r="D542" s="2" t="n">
        <v>22820</v>
      </c>
      <c r="E542" s="2" t="n">
        <v>15870</v>
      </c>
      <c r="F542" s="2" t="n"/>
      <c r="G542" s="2" t="n"/>
      <c r="H542" s="2" t="n"/>
      <c r="I542" s="2" t="inlineStr">
        <is>
          <t>BTC</t>
        </is>
      </c>
      <c r="J542" s="2" t="n">
        <v>1402</v>
      </c>
      <c r="K542" s="2" t="n"/>
      <c r="L542" s="2" t="n">
        <v>1782</v>
      </c>
      <c r="M542" s="2" t="n">
        <v>0.59</v>
      </c>
      <c r="N542" s="2" t="n">
        <v>5.82</v>
      </c>
      <c r="O542" s="2" t="n">
        <v>5.695</v>
      </c>
      <c r="P542" s="7" t="n"/>
    </row>
    <row r="543">
      <c r="A543" s="8" t="n">
        <v>7</v>
      </c>
      <c r="B543" s="1" t="n">
        <v>42.7</v>
      </c>
      <c r="C543" s="1" t="inlineStr">
        <is>
          <t>C-90</t>
        </is>
      </c>
      <c r="D543" s="1" t="n">
        <v>14640</v>
      </c>
      <c r="E543" s="1" t="n">
        <v>14060</v>
      </c>
      <c r="F543" s="1" t="n"/>
      <c r="G543" s="1" t="n"/>
      <c r="H543" s="1" t="n"/>
      <c r="I543" s="1" t="inlineStr">
        <is>
          <t>PE</t>
        </is>
      </c>
      <c r="J543" s="1" t="n">
        <v>1127</v>
      </c>
      <c r="K543" s="1" t="n"/>
      <c r="L543" s="1" t="n">
        <v>1127</v>
      </c>
      <c r="M543" s="1" t="n">
        <v>0.625</v>
      </c>
      <c r="N543" s="1" t="n">
        <v>5.75</v>
      </c>
      <c r="O543" s="1" t="n">
        <v>5.625</v>
      </c>
      <c r="P543" s="9" t="n"/>
    </row>
    <row r="544">
      <c r="A544" s="6" t="n">
        <v>7</v>
      </c>
      <c r="B544" s="2" t="n">
        <v>42.7</v>
      </c>
      <c r="C544" s="2" t="inlineStr">
        <is>
          <t>T-95</t>
        </is>
      </c>
      <c r="D544" s="2" t="n">
        <v>15450</v>
      </c>
      <c r="E544" s="2" t="n">
        <v>14840</v>
      </c>
      <c r="F544" s="2" t="n"/>
      <c r="G544" s="2" t="n"/>
      <c r="H544" s="2" t="n"/>
      <c r="I544" s="2" t="inlineStr">
        <is>
          <t>PE</t>
        </is>
      </c>
      <c r="J544" s="2" t="n">
        <v>1189</v>
      </c>
      <c r="K544" s="2" t="n"/>
      <c r="L544" s="2" t="n">
        <v>1189</v>
      </c>
      <c r="M544" s="2" t="n">
        <v>0.625</v>
      </c>
      <c r="N544" s="2" t="n">
        <v>5.75</v>
      </c>
      <c r="O544" s="2" t="n">
        <v>5.625</v>
      </c>
      <c r="P544" s="7" t="n"/>
    </row>
    <row r="545">
      <c r="A545" s="8" t="n">
        <v>7</v>
      </c>
      <c r="B545" s="1" t="n">
        <v>46.4</v>
      </c>
      <c r="C545" s="1" t="inlineStr">
        <is>
          <t>C-90</t>
        </is>
      </c>
      <c r="D545" s="1" t="n">
        <v>15930</v>
      </c>
      <c r="E545" s="1" t="n">
        <v>15460</v>
      </c>
      <c r="F545" s="1" t="n"/>
      <c r="G545" s="1" t="n"/>
      <c r="H545" s="1" t="n"/>
      <c r="I545" s="1" t="inlineStr">
        <is>
          <t>PE</t>
        </is>
      </c>
      <c r="J545" s="1" t="n">
        <v>1226</v>
      </c>
      <c r="K545" s="1" t="n"/>
      <c r="L545" s="1" t="n">
        <v>1226</v>
      </c>
      <c r="M545" s="1" t="n">
        <v>0.6870000000000001</v>
      </c>
      <c r="N545" s="1" t="n">
        <v>5.626</v>
      </c>
      <c r="O545" s="1" t="n">
        <v>5.5</v>
      </c>
      <c r="P545" s="9" t="n"/>
    </row>
    <row r="546">
      <c r="A546" s="6" t="n">
        <v>7</v>
      </c>
      <c r="B546" s="2" t="n">
        <v>46.4</v>
      </c>
      <c r="C546" s="2" t="inlineStr">
        <is>
          <t>T-95</t>
        </is>
      </c>
      <c r="D546" s="2" t="n">
        <v>16820</v>
      </c>
      <c r="E546" s="2" t="n">
        <v>16320</v>
      </c>
      <c r="F546" s="2" t="n"/>
      <c r="G546" s="2" t="n"/>
      <c r="H546" s="2" t="n"/>
      <c r="I546" s="2" t="inlineStr">
        <is>
          <t>PE</t>
        </is>
      </c>
      <c r="J546" s="2" t="n">
        <v>1294</v>
      </c>
      <c r="K546" s="2" t="n"/>
      <c r="L546" s="2" t="n">
        <v>1294</v>
      </c>
      <c r="M546" s="2" t="n">
        <v>0.6870000000000001</v>
      </c>
      <c r="N546" s="2" t="n">
        <v>5.626</v>
      </c>
      <c r="O546" s="2" t="n">
        <v>5.5</v>
      </c>
      <c r="P546" s="7" t="n"/>
    </row>
    <row r="547">
      <c r="A547" s="8" t="n">
        <v>7</v>
      </c>
      <c r="B547" s="1" t="n">
        <v>50.1</v>
      </c>
      <c r="C547" s="1" t="inlineStr">
        <is>
          <t>C-90</t>
        </is>
      </c>
      <c r="D547" s="1" t="n">
        <v>17220</v>
      </c>
      <c r="E547" s="1" t="n">
        <v>16880</v>
      </c>
      <c r="F547" s="1" t="n"/>
      <c r="G547" s="1" t="n"/>
      <c r="H547" s="1" t="n"/>
      <c r="I547" s="1" t="inlineStr">
        <is>
          <t>PE</t>
        </is>
      </c>
      <c r="J547" s="1" t="n">
        <v>1325</v>
      </c>
      <c r="K547" s="1" t="n"/>
      <c r="L547" s="1" t="n">
        <v>1325</v>
      </c>
      <c r="M547" s="1" t="n">
        <v>0.75</v>
      </c>
      <c r="N547" s="1" t="n">
        <v>5.5</v>
      </c>
      <c r="O547" s="1" t="n">
        <v>5.375</v>
      </c>
      <c r="P547" s="9" t="n"/>
    </row>
    <row r="548">
      <c r="A548" s="6" t="n">
        <v>7</v>
      </c>
      <c r="B548" s="2" t="n">
        <v>50.1</v>
      </c>
      <c r="C548" s="2" t="inlineStr">
        <is>
          <t>T-95</t>
        </is>
      </c>
      <c r="D548" s="2" t="n">
        <v>18810</v>
      </c>
      <c r="E548" s="2" t="n">
        <v>17810</v>
      </c>
      <c r="F548" s="2" t="n"/>
      <c r="G548" s="2" t="n"/>
      <c r="H548" s="2" t="n"/>
      <c r="I548" s="2" t="inlineStr">
        <is>
          <t>PE</t>
        </is>
      </c>
      <c r="J548" s="2" t="n">
        <v>1399</v>
      </c>
      <c r="K548" s="2" t="n"/>
      <c r="L548" s="2" t="n">
        <v>1399</v>
      </c>
      <c r="M548" s="2" t="n">
        <v>0.75</v>
      </c>
      <c r="N548" s="2" t="n">
        <v>5.5</v>
      </c>
      <c r="O548" s="2" t="n">
        <v>5.375</v>
      </c>
      <c r="P548" s="7" t="n"/>
    </row>
    <row r="549">
      <c r="A549" s="8" t="n">
        <v>7</v>
      </c>
      <c r="B549" s="1" t="n">
        <v>53.6</v>
      </c>
      <c r="C549" s="1" t="inlineStr">
        <is>
          <t>C-90</t>
        </is>
      </c>
      <c r="D549" s="1" t="n">
        <v>18460</v>
      </c>
      <c r="E549" s="1" t="n">
        <v>18270</v>
      </c>
      <c r="F549" s="1" t="n"/>
      <c r="G549" s="1" t="n"/>
      <c r="H549" s="1" t="n"/>
      <c r="I549" s="1" t="inlineStr">
        <is>
          <t>PE</t>
        </is>
      </c>
      <c r="J549" s="1" t="n">
        <v>1421</v>
      </c>
      <c r="K549" s="1" t="n"/>
      <c r="L549" s="1" t="n">
        <v>1421</v>
      </c>
      <c r="M549" s="1" t="n">
        <v>0.8120000000000001</v>
      </c>
      <c r="N549" s="1" t="n">
        <v>5.376</v>
      </c>
      <c r="O549" s="1" t="n">
        <v>5.251</v>
      </c>
      <c r="P549" s="9" t="n"/>
    </row>
    <row r="550">
      <c r="A550" s="6" t="n">
        <v>7</v>
      </c>
      <c r="B550" s="2" t="n">
        <v>53.6</v>
      </c>
      <c r="C550" s="2" t="inlineStr">
        <is>
          <t>T-95</t>
        </is>
      </c>
      <c r="D550" s="2" t="n">
        <v>19480</v>
      </c>
      <c r="E550" s="2" t="n">
        <v>19290</v>
      </c>
      <c r="F550" s="2" t="n"/>
      <c r="G550" s="2" t="n"/>
      <c r="H550" s="2" t="n"/>
      <c r="I550" s="2" t="inlineStr">
        <is>
          <t>PE</t>
        </is>
      </c>
      <c r="J550" s="2" t="n">
        <v>1500</v>
      </c>
      <c r="K550" s="2" t="n"/>
      <c r="L550" s="2" t="n">
        <v>1500</v>
      </c>
      <c r="M550" s="2" t="n">
        <v>0.8120000000000001</v>
      </c>
      <c r="N550" s="2" t="n">
        <v>5.376</v>
      </c>
      <c r="O550" s="2" t="n">
        <v>5.251</v>
      </c>
      <c r="P550" s="7" t="n"/>
    </row>
    <row r="551">
      <c r="A551" s="8" t="n">
        <v>7</v>
      </c>
      <c r="B551" s="1" t="n">
        <v>57.1</v>
      </c>
      <c r="C551" s="1" t="inlineStr">
        <is>
          <t>C-90</t>
        </is>
      </c>
      <c r="D551" s="1" t="n">
        <v>19690</v>
      </c>
      <c r="E551" s="1" t="n">
        <v>19690</v>
      </c>
      <c r="F551" s="1" t="n"/>
      <c r="G551" s="1" t="n"/>
      <c r="H551" s="1" t="n"/>
      <c r="I551" s="1" t="inlineStr">
        <is>
          <t>PE</t>
        </is>
      </c>
      <c r="J551" s="1" t="n">
        <v>1515</v>
      </c>
      <c r="K551" s="1" t="n"/>
      <c r="L551" s="1" t="n">
        <v>1515</v>
      </c>
      <c r="M551" s="1" t="n">
        <v>0.875</v>
      </c>
      <c r="N551" s="1" t="n">
        <v>5.25</v>
      </c>
      <c r="O551" s="1" t="n">
        <v>5.125</v>
      </c>
      <c r="P551" s="9" t="n"/>
    </row>
    <row r="552" ht="15.75" customHeight="1" s="613" thickBot="1">
      <c r="A552" s="13" t="n">
        <v>7</v>
      </c>
      <c r="B552" s="14" t="n">
        <v>57.1</v>
      </c>
      <c r="C552" s="14" t="inlineStr">
        <is>
          <t>T-95</t>
        </is>
      </c>
      <c r="D552" s="14" t="n">
        <v>20780</v>
      </c>
      <c r="E552" s="14" t="n">
        <v>20780</v>
      </c>
      <c r="F552" s="14" t="n"/>
      <c r="G552" s="14" t="n"/>
      <c r="H552" s="14" t="n"/>
      <c r="I552" s="2" t="inlineStr">
        <is>
          <t>PE</t>
        </is>
      </c>
      <c r="J552" s="14" t="n">
        <v>1600</v>
      </c>
      <c r="K552" s="14" t="n"/>
      <c r="L552" s="14" t="n">
        <v>1600</v>
      </c>
      <c r="M552" s="14" t="n">
        <v>0.875</v>
      </c>
      <c r="N552" s="14" t="n">
        <v>5.25</v>
      </c>
      <c r="O552" s="14" t="n">
        <v>5.125</v>
      </c>
      <c r="P552" s="15" t="n"/>
    </row>
    <row r="553">
      <c r="A553" s="3" t="n">
        <v>7.625</v>
      </c>
      <c r="B553" s="4" t="n">
        <v>24</v>
      </c>
      <c r="C553" s="4" t="inlineStr">
        <is>
          <t>H-40</t>
        </is>
      </c>
      <c r="D553" s="4" t="n">
        <v>2030</v>
      </c>
      <c r="E553" s="4" t="n">
        <v>2750</v>
      </c>
      <c r="F553" s="4" t="n"/>
      <c r="G553" s="4" t="n"/>
      <c r="H553" s="4" t="n"/>
      <c r="I553" s="4" t="inlineStr">
        <is>
          <t>STC</t>
        </is>
      </c>
      <c r="J553" s="4" t="n">
        <v>212</v>
      </c>
      <c r="K553" s="4" t="n"/>
      <c r="L553" s="4" t="n">
        <v>276</v>
      </c>
      <c r="M553" s="4" t="n">
        <v>0.3</v>
      </c>
      <c r="N553" s="4" t="n">
        <v>7.025</v>
      </c>
      <c r="O553" s="4" t="n">
        <v>6.9</v>
      </c>
      <c r="P553" s="5" t="n"/>
    </row>
    <row r="554">
      <c r="A554" s="6" t="n">
        <v>7.625</v>
      </c>
      <c r="B554" s="2" t="n">
        <v>26.4</v>
      </c>
      <c r="C554" s="2" t="inlineStr">
        <is>
          <t>J-55</t>
        </is>
      </c>
      <c r="D554" s="2" t="n">
        <v>2890</v>
      </c>
      <c r="E554" s="2" t="n">
        <v>4140</v>
      </c>
      <c r="F554" s="2" t="n"/>
      <c r="G554" s="2" t="n"/>
      <c r="H554" s="2" t="n"/>
      <c r="I554" s="2" t="inlineStr">
        <is>
          <t>STC</t>
        </is>
      </c>
      <c r="J554" s="2" t="n">
        <v>315</v>
      </c>
      <c r="K554" s="2" t="n"/>
      <c r="L554" s="2" t="n">
        <v>414</v>
      </c>
      <c r="M554" s="2" t="n">
        <v>0.328</v>
      </c>
      <c r="N554" s="2" t="n">
        <v>6.969</v>
      </c>
      <c r="O554" s="2" t="n">
        <v>6.844</v>
      </c>
      <c r="P554" s="7" t="n"/>
    </row>
    <row r="555">
      <c r="A555" s="6" t="n">
        <v>7.625</v>
      </c>
      <c r="B555" s="2" t="n">
        <v>26.4</v>
      </c>
      <c r="C555" s="2" t="inlineStr">
        <is>
          <t>J-55</t>
        </is>
      </c>
      <c r="D555" s="2" t="n">
        <v>2890</v>
      </c>
      <c r="E555" s="2" t="n">
        <v>4140</v>
      </c>
      <c r="F555" s="2" t="n"/>
      <c r="G555" s="2" t="n"/>
      <c r="H555" s="2" t="n"/>
      <c r="I555" s="2" t="inlineStr">
        <is>
          <t>LTC</t>
        </is>
      </c>
      <c r="J555" s="2" t="n">
        <v>346</v>
      </c>
      <c r="K555" s="2" t="n"/>
      <c r="L555" s="2" t="n">
        <v>414</v>
      </c>
      <c r="M555" s="2" t="n">
        <v>0.328</v>
      </c>
      <c r="N555" s="2" t="n">
        <v>6.969</v>
      </c>
      <c r="O555" s="2" t="n">
        <v>6.844</v>
      </c>
      <c r="P555" s="7" t="n"/>
    </row>
    <row r="556">
      <c r="A556" s="6" t="n">
        <v>7.625</v>
      </c>
      <c r="B556" s="2" t="n">
        <v>26.4</v>
      </c>
      <c r="C556" s="2" t="inlineStr">
        <is>
          <t>J-55</t>
        </is>
      </c>
      <c r="D556" s="2" t="n">
        <v>2890</v>
      </c>
      <c r="E556" s="2" t="n">
        <v>4140</v>
      </c>
      <c r="F556" s="2" t="n"/>
      <c r="G556" s="2" t="n"/>
      <c r="H556" s="2" t="n"/>
      <c r="I556" s="2" t="inlineStr">
        <is>
          <t>BTC</t>
        </is>
      </c>
      <c r="J556" s="2" t="n">
        <v>483</v>
      </c>
      <c r="K556" s="2" t="n"/>
      <c r="L556" s="2" t="n">
        <v>414</v>
      </c>
      <c r="M556" s="2" t="n">
        <v>0.328</v>
      </c>
      <c r="N556" s="2" t="n">
        <v>6.969</v>
      </c>
      <c r="O556" s="2" t="n">
        <v>6.844</v>
      </c>
      <c r="P556" s="7" t="n"/>
    </row>
    <row r="557">
      <c r="A557" s="8" t="n">
        <v>7.625</v>
      </c>
      <c r="B557" s="1" t="n">
        <v>26.4</v>
      </c>
      <c r="C557" s="1" t="inlineStr">
        <is>
          <t>K-55</t>
        </is>
      </c>
      <c r="D557" s="1" t="n">
        <v>2890</v>
      </c>
      <c r="E557" s="1" t="n">
        <v>4140</v>
      </c>
      <c r="F557" s="1" t="n"/>
      <c r="G557" s="1" t="n"/>
      <c r="H557" s="1" t="n"/>
      <c r="I557" s="1" t="inlineStr">
        <is>
          <t>STC</t>
        </is>
      </c>
      <c r="J557" s="1" t="n">
        <v>342</v>
      </c>
      <c r="K557" s="1" t="n"/>
      <c r="L557" s="1" t="n">
        <v>414</v>
      </c>
      <c r="M557" s="1" t="n">
        <v>0.328</v>
      </c>
      <c r="N557" s="1" t="n">
        <v>6.969</v>
      </c>
      <c r="O557" s="1" t="n">
        <v>6.844</v>
      </c>
      <c r="P557" s="9" t="n"/>
    </row>
    <row r="558">
      <c r="A558" s="8" t="n">
        <v>7.625</v>
      </c>
      <c r="B558" s="1" t="n">
        <v>26.4</v>
      </c>
      <c r="C558" s="1" t="inlineStr">
        <is>
          <t>K-55</t>
        </is>
      </c>
      <c r="D558" s="1" t="n">
        <v>2890</v>
      </c>
      <c r="E558" s="1" t="n">
        <v>4140</v>
      </c>
      <c r="F558" s="1" t="n"/>
      <c r="G558" s="1" t="n"/>
      <c r="H558" s="1" t="n"/>
      <c r="I558" s="1" t="inlineStr">
        <is>
          <t>LTC</t>
        </is>
      </c>
      <c r="J558" s="1" t="n">
        <v>377</v>
      </c>
      <c r="K558" s="1" t="n"/>
      <c r="L558" s="1" t="n">
        <v>414</v>
      </c>
      <c r="M558" s="1" t="n">
        <v>0.328</v>
      </c>
      <c r="N558" s="1" t="n">
        <v>6.969</v>
      </c>
      <c r="O558" s="1" t="n">
        <v>6.844</v>
      </c>
      <c r="P558" s="9" t="n"/>
    </row>
    <row r="559">
      <c r="A559" s="8" t="n">
        <v>7.625</v>
      </c>
      <c r="B559" s="1" t="n">
        <v>26.4</v>
      </c>
      <c r="C559" s="1" t="inlineStr">
        <is>
          <t>K-55</t>
        </is>
      </c>
      <c r="D559" s="1" t="n">
        <v>2890</v>
      </c>
      <c r="E559" s="1" t="n">
        <v>4140</v>
      </c>
      <c r="F559" s="1" t="n"/>
      <c r="G559" s="1" t="n"/>
      <c r="H559" s="1" t="n"/>
      <c r="I559" s="1" t="inlineStr">
        <is>
          <t>BTC</t>
        </is>
      </c>
      <c r="J559" s="1" t="n">
        <v>581</v>
      </c>
      <c r="K559" s="1" t="n"/>
      <c r="L559" s="1" t="n">
        <v>414</v>
      </c>
      <c r="M559" s="1" t="n">
        <v>0.328</v>
      </c>
      <c r="N559" s="1" t="n">
        <v>6.969</v>
      </c>
      <c r="O559" s="1" t="n">
        <v>6.844</v>
      </c>
      <c r="P559" s="9" t="n"/>
    </row>
    <row r="560">
      <c r="A560" s="6" t="n">
        <v>7.625</v>
      </c>
      <c r="B560" s="2" t="n">
        <v>26.4</v>
      </c>
      <c r="C560" s="2" t="inlineStr">
        <is>
          <t>L-80</t>
        </is>
      </c>
      <c r="D560" s="2" t="n">
        <v>3400</v>
      </c>
      <c r="E560" s="2" t="n">
        <v>6020</v>
      </c>
      <c r="F560" s="2" t="n"/>
      <c r="G560" s="2" t="n"/>
      <c r="H560" s="2" t="n"/>
      <c r="I560" s="2" t="inlineStr">
        <is>
          <t>LTC</t>
        </is>
      </c>
      <c r="J560" s="2" t="n">
        <v>482</v>
      </c>
      <c r="K560" s="2" t="n"/>
      <c r="L560" s="2" t="n">
        <v>602</v>
      </c>
      <c r="M560" s="2" t="n">
        <v>0.328</v>
      </c>
      <c r="N560" s="2" t="n">
        <v>6.969</v>
      </c>
      <c r="O560" s="2" t="n">
        <v>6.844</v>
      </c>
      <c r="P560" s="7" t="n"/>
    </row>
    <row r="561">
      <c r="A561" s="6" t="n">
        <v>7.625</v>
      </c>
      <c r="B561" s="2" t="n">
        <v>26.4</v>
      </c>
      <c r="C561" s="2" t="inlineStr">
        <is>
          <t>L-80</t>
        </is>
      </c>
      <c r="D561" s="2" t="n">
        <v>3400</v>
      </c>
      <c r="E561" s="2" t="n">
        <v>6020</v>
      </c>
      <c r="F561" s="2" t="n"/>
      <c r="G561" s="2" t="n"/>
      <c r="H561" s="2" t="n"/>
      <c r="I561" s="2" t="inlineStr">
        <is>
          <t>BTC</t>
        </is>
      </c>
      <c r="J561" s="2" t="n">
        <v>635</v>
      </c>
      <c r="K561" s="2" t="n"/>
      <c r="L561" s="2" t="n">
        <v>602</v>
      </c>
      <c r="M561" s="2" t="n">
        <v>0.328</v>
      </c>
      <c r="N561" s="2" t="n">
        <v>6.969</v>
      </c>
      <c r="O561" s="2" t="n">
        <v>6.844</v>
      </c>
      <c r="P561" s="7" t="n"/>
    </row>
    <row r="562">
      <c r="A562" s="8" t="n">
        <v>7.625</v>
      </c>
      <c r="B562" s="1" t="n">
        <v>26.4</v>
      </c>
      <c r="C562" s="1" t="inlineStr">
        <is>
          <t>HCL-80</t>
        </is>
      </c>
      <c r="D562" s="1" t="n">
        <v>4850</v>
      </c>
      <c r="E562" s="1" t="n">
        <v>6020</v>
      </c>
      <c r="F562" s="1" t="n"/>
      <c r="G562" s="1" t="n"/>
      <c r="H562" s="1" t="n"/>
      <c r="I562" s="1" t="inlineStr">
        <is>
          <t>LTC</t>
        </is>
      </c>
      <c r="J562" s="1" t="n">
        <v>533</v>
      </c>
      <c r="K562" s="1" t="n"/>
      <c r="L562" s="1" t="n">
        <v>602</v>
      </c>
      <c r="M562" s="1" t="n">
        <v>0.328</v>
      </c>
      <c r="N562" s="1" t="n">
        <v>6.969</v>
      </c>
      <c r="O562" s="1" t="n">
        <v>6.844</v>
      </c>
      <c r="P562" s="9" t="n"/>
    </row>
    <row r="563">
      <c r="A563" s="8" t="n">
        <v>7.625</v>
      </c>
      <c r="B563" s="1" t="n">
        <v>26.4</v>
      </c>
      <c r="C563" s="1" t="inlineStr">
        <is>
          <t>HCL-80</t>
        </is>
      </c>
      <c r="D563" s="1" t="n">
        <v>4850</v>
      </c>
      <c r="E563" s="1" t="n">
        <v>6020</v>
      </c>
      <c r="F563" s="1" t="n"/>
      <c r="G563" s="1" t="n"/>
      <c r="H563" s="1" t="n"/>
      <c r="I563" s="1" t="inlineStr">
        <is>
          <t>BTC</t>
        </is>
      </c>
      <c r="J563" s="1" t="n">
        <v>691</v>
      </c>
      <c r="K563" s="1" t="n"/>
      <c r="L563" s="1" t="n">
        <v>602</v>
      </c>
      <c r="M563" s="1" t="n">
        <v>0.328</v>
      </c>
      <c r="N563" s="1" t="n">
        <v>6.969</v>
      </c>
      <c r="O563" s="1" t="n">
        <v>6.844</v>
      </c>
      <c r="P563" s="9" t="n"/>
    </row>
    <row r="564">
      <c r="A564" s="6" t="n">
        <v>7.625</v>
      </c>
      <c r="B564" s="2" t="n">
        <v>26.4</v>
      </c>
      <c r="C564" s="2" t="inlineStr">
        <is>
          <t>N-80</t>
        </is>
      </c>
      <c r="D564" s="2" t="n">
        <v>3400</v>
      </c>
      <c r="E564" s="2" t="n">
        <v>6020</v>
      </c>
      <c r="F564" s="2" t="n"/>
      <c r="G564" s="2" t="n"/>
      <c r="H564" s="2" t="n"/>
      <c r="I564" s="2" t="inlineStr">
        <is>
          <t>LTC</t>
        </is>
      </c>
      <c r="J564" s="2" t="n">
        <v>490</v>
      </c>
      <c r="K564" s="2" t="n"/>
      <c r="L564" s="2" t="n">
        <v>602</v>
      </c>
      <c r="M564" s="2" t="n">
        <v>0.328</v>
      </c>
      <c r="N564" s="2" t="n">
        <v>6.969</v>
      </c>
      <c r="O564" s="2" t="n">
        <v>6.844</v>
      </c>
      <c r="P564" s="7" t="n"/>
    </row>
    <row r="565">
      <c r="A565" s="6" t="n">
        <v>7.625</v>
      </c>
      <c r="B565" s="2" t="n">
        <v>26.4</v>
      </c>
      <c r="C565" s="2" t="inlineStr">
        <is>
          <t>N-80</t>
        </is>
      </c>
      <c r="D565" s="2" t="n">
        <v>3400</v>
      </c>
      <c r="E565" s="2" t="n">
        <v>6020</v>
      </c>
      <c r="F565" s="2" t="n"/>
      <c r="G565" s="2" t="n"/>
      <c r="H565" s="2" t="n"/>
      <c r="I565" s="2" t="inlineStr">
        <is>
          <t>BTC</t>
        </is>
      </c>
      <c r="J565" s="2" t="n">
        <v>659</v>
      </c>
      <c r="K565" s="2" t="n"/>
      <c r="L565" s="2" t="n">
        <v>602</v>
      </c>
      <c r="M565" s="2" t="n">
        <v>0.328</v>
      </c>
      <c r="N565" s="2" t="n">
        <v>6.969</v>
      </c>
      <c r="O565" s="2" t="n">
        <v>6.844</v>
      </c>
      <c r="P565" s="7" t="n"/>
    </row>
    <row r="566">
      <c r="A566" s="8" t="n">
        <v>7.625</v>
      </c>
      <c r="B566" s="1" t="n">
        <v>26.4</v>
      </c>
      <c r="C566" s="1" t="inlineStr">
        <is>
          <t>HCN-80</t>
        </is>
      </c>
      <c r="D566" s="1" t="n">
        <v>4850</v>
      </c>
      <c r="E566" s="1" t="n">
        <v>6020</v>
      </c>
      <c r="F566" s="1" t="n"/>
      <c r="G566" s="1" t="n"/>
      <c r="H566" s="1" t="n"/>
      <c r="I566" s="1" t="inlineStr">
        <is>
          <t>LTC</t>
        </is>
      </c>
      <c r="J566" s="1" t="n">
        <v>553</v>
      </c>
      <c r="K566" s="1" t="n"/>
      <c r="L566" s="1" t="n">
        <v>602</v>
      </c>
      <c r="M566" s="1" t="n">
        <v>0.328</v>
      </c>
      <c r="N566" s="1" t="n">
        <v>6.969</v>
      </c>
      <c r="O566" s="1" t="n">
        <v>6.844</v>
      </c>
      <c r="P566" s="9" t="n"/>
    </row>
    <row r="567">
      <c r="A567" s="8" t="n">
        <v>7.625</v>
      </c>
      <c r="B567" s="1" t="n">
        <v>26.4</v>
      </c>
      <c r="C567" s="1" t="inlineStr">
        <is>
          <t>HCN-80</t>
        </is>
      </c>
      <c r="D567" s="1" t="n">
        <v>4850</v>
      </c>
      <c r="E567" s="1" t="n">
        <v>6020</v>
      </c>
      <c r="F567" s="1" t="n"/>
      <c r="G567" s="1" t="n"/>
      <c r="H567" s="1" t="n"/>
      <c r="I567" s="1" t="inlineStr">
        <is>
          <t>BTC</t>
        </is>
      </c>
      <c r="J567" s="1" t="n">
        <v>691</v>
      </c>
      <c r="K567" s="1" t="n"/>
      <c r="L567" s="1" t="n">
        <v>602</v>
      </c>
      <c r="M567" s="1" t="n">
        <v>0.328</v>
      </c>
      <c r="N567" s="1" t="n">
        <v>6.969</v>
      </c>
      <c r="O567" s="1" t="n">
        <v>6.844</v>
      </c>
      <c r="P567" s="9" t="n"/>
    </row>
    <row r="568">
      <c r="A568" s="6" t="n">
        <v>7.625</v>
      </c>
      <c r="B568" s="2" t="n">
        <v>26.4</v>
      </c>
      <c r="C568" s="2" t="inlineStr">
        <is>
          <t>C-90</t>
        </is>
      </c>
      <c r="D568" s="2" t="n">
        <v>3610</v>
      </c>
      <c r="E568" s="2" t="n">
        <v>6780</v>
      </c>
      <c r="F568" s="2" t="n"/>
      <c r="G568" s="2" t="n"/>
      <c r="H568" s="2" t="n"/>
      <c r="I568" s="2" t="inlineStr">
        <is>
          <t>LTC</t>
        </is>
      </c>
      <c r="J568" s="2" t="n">
        <v>532</v>
      </c>
      <c r="K568" s="2" t="n"/>
      <c r="L568" s="2" t="n">
        <v>677</v>
      </c>
      <c r="M568" s="2" t="n">
        <v>0.328</v>
      </c>
      <c r="N568" s="2" t="n">
        <v>6.969</v>
      </c>
      <c r="O568" s="2" t="n">
        <v>6.844</v>
      </c>
      <c r="P568" s="7" t="n"/>
    </row>
    <row r="569">
      <c r="A569" s="6" t="n">
        <v>7.625</v>
      </c>
      <c r="B569" s="2" t="n">
        <v>26.4</v>
      </c>
      <c r="C569" s="2" t="inlineStr">
        <is>
          <t>C-90</t>
        </is>
      </c>
      <c r="D569" s="2" t="n">
        <v>3610</v>
      </c>
      <c r="E569" s="2" t="n">
        <v>6780</v>
      </c>
      <c r="F569" s="2" t="n"/>
      <c r="G569" s="2" t="n"/>
      <c r="H569" s="2" t="n"/>
      <c r="I569" s="2" t="inlineStr">
        <is>
          <t>BTC</t>
        </is>
      </c>
      <c r="J569" s="2" t="n">
        <v>681</v>
      </c>
      <c r="K569" s="2" t="n"/>
      <c r="L569" s="2" t="n">
        <v>677</v>
      </c>
      <c r="M569" s="2" t="n">
        <v>0.328</v>
      </c>
      <c r="N569" s="2" t="n">
        <v>6.969</v>
      </c>
      <c r="O569" s="2" t="n">
        <v>6.844</v>
      </c>
      <c r="P569" s="7" t="n"/>
    </row>
    <row r="570">
      <c r="A570" s="8" t="n">
        <v>7.625</v>
      </c>
      <c r="B570" s="1" t="n">
        <v>26.4</v>
      </c>
      <c r="C570" s="1" t="inlineStr">
        <is>
          <t>H2S-90</t>
        </is>
      </c>
      <c r="D570" s="1" t="n">
        <v>4850</v>
      </c>
      <c r="E570" s="1" t="n">
        <v>6780</v>
      </c>
      <c r="F570" s="1" t="n"/>
      <c r="G570" s="1" t="n"/>
      <c r="H570" s="1" t="n"/>
      <c r="I570" s="1" t="inlineStr">
        <is>
          <t>LTC</t>
        </is>
      </c>
      <c r="J570" s="1" t="n">
        <v>553</v>
      </c>
      <c r="K570" s="1" t="n"/>
      <c r="L570" s="1" t="n">
        <v>677</v>
      </c>
      <c r="M570" s="1" t="n">
        <v>0.328</v>
      </c>
      <c r="N570" s="1" t="n">
        <v>6.969</v>
      </c>
      <c r="O570" s="1" t="n">
        <v>6.844</v>
      </c>
      <c r="P570" s="9" t="n"/>
    </row>
    <row r="571">
      <c r="A571" s="8" t="n">
        <v>7.625</v>
      </c>
      <c r="B571" s="1" t="n">
        <v>26.4</v>
      </c>
      <c r="C571" s="1" t="inlineStr">
        <is>
          <t>H2S-90</t>
        </is>
      </c>
      <c r="D571" s="1" t="n">
        <v>4850</v>
      </c>
      <c r="E571" s="1" t="n">
        <v>6780</v>
      </c>
      <c r="F571" s="1" t="n"/>
      <c r="G571" s="1" t="n"/>
      <c r="H571" s="1" t="n"/>
      <c r="I571" s="1" t="inlineStr">
        <is>
          <t>BTC</t>
        </is>
      </c>
      <c r="J571" s="1" t="n">
        <v>691</v>
      </c>
      <c r="K571" s="1" t="n"/>
      <c r="L571" s="1" t="n">
        <v>677</v>
      </c>
      <c r="M571" s="1" t="n">
        <v>0.328</v>
      </c>
      <c r="N571" s="1" t="n">
        <v>6.969</v>
      </c>
      <c r="O571" s="1" t="n">
        <v>6.844</v>
      </c>
      <c r="P571" s="9" t="n"/>
    </row>
    <row r="572">
      <c r="A572" s="6" t="n">
        <v>7.625</v>
      </c>
      <c r="B572" s="2" t="n">
        <v>26.4</v>
      </c>
      <c r="C572" s="2" t="inlineStr">
        <is>
          <t>S-95</t>
        </is>
      </c>
      <c r="D572" s="2" t="n">
        <v>4850</v>
      </c>
      <c r="E572" s="2" t="n">
        <v>7150</v>
      </c>
      <c r="F572" s="2" t="n"/>
      <c r="G572" s="2" t="n"/>
      <c r="H572" s="2" t="n"/>
      <c r="I572" s="2" t="inlineStr">
        <is>
          <t>LTC</t>
        </is>
      </c>
      <c r="J572" s="2" t="n">
        <v>568</v>
      </c>
      <c r="K572" s="2" t="n"/>
      <c r="L572" s="2" t="n">
        <v>714</v>
      </c>
      <c r="M572" s="2" t="n">
        <v>0.328</v>
      </c>
      <c r="N572" s="2" t="n">
        <v>6.969</v>
      </c>
      <c r="O572" s="2" t="n">
        <v>6.844</v>
      </c>
      <c r="P572" s="7" t="n"/>
    </row>
    <row r="573">
      <c r="A573" s="6" t="n">
        <v>7.625</v>
      </c>
      <c r="B573" s="2" t="n">
        <v>26.4</v>
      </c>
      <c r="C573" s="2" t="inlineStr">
        <is>
          <t>S-95</t>
        </is>
      </c>
      <c r="D573" s="2" t="n">
        <v>4850</v>
      </c>
      <c r="E573" s="2" t="n">
        <v>7150</v>
      </c>
      <c r="F573" s="2" t="n"/>
      <c r="G573" s="2" t="n"/>
      <c r="H573" s="2" t="n"/>
      <c r="I573" s="2" t="inlineStr">
        <is>
          <t>BTC</t>
        </is>
      </c>
      <c r="J573" s="2" t="n">
        <v>740</v>
      </c>
      <c r="K573" s="2" t="n"/>
      <c r="L573" s="2" t="n">
        <v>714</v>
      </c>
      <c r="M573" s="2" t="n">
        <v>0.328</v>
      </c>
      <c r="N573" s="2" t="n">
        <v>6.969</v>
      </c>
      <c r="O573" s="2" t="n">
        <v>6.844</v>
      </c>
      <c r="P573" s="7" t="n"/>
    </row>
    <row r="574">
      <c r="A574" s="8" t="n">
        <v>7.625</v>
      </c>
      <c r="B574" s="1" t="n">
        <v>26.4</v>
      </c>
      <c r="C574" s="1" t="inlineStr">
        <is>
          <t>T-95</t>
        </is>
      </c>
      <c r="D574" s="1" t="n">
        <v>3710</v>
      </c>
      <c r="E574" s="1" t="n">
        <v>7150</v>
      </c>
      <c r="F574" s="1" t="n"/>
      <c r="G574" s="1" t="n"/>
      <c r="H574" s="1" t="n"/>
      <c r="I574" s="1" t="inlineStr">
        <is>
          <t>LTC</t>
        </is>
      </c>
      <c r="J574" s="1" t="n">
        <v>560</v>
      </c>
      <c r="K574" s="1" t="n"/>
      <c r="L574" s="1" t="n">
        <v>714</v>
      </c>
      <c r="M574" s="1" t="n">
        <v>0.328</v>
      </c>
      <c r="N574" s="1" t="n">
        <v>6.969</v>
      </c>
      <c r="O574" s="1" t="n">
        <v>6.844</v>
      </c>
      <c r="P574" s="9" t="n"/>
    </row>
    <row r="575">
      <c r="A575" s="8" t="n">
        <v>7.625</v>
      </c>
      <c r="B575" s="1" t="n">
        <v>26.4</v>
      </c>
      <c r="C575" s="1" t="inlineStr">
        <is>
          <t>T-95</t>
        </is>
      </c>
      <c r="D575" s="1" t="n">
        <v>3710</v>
      </c>
      <c r="E575" s="1" t="n">
        <v>7150</v>
      </c>
      <c r="F575" s="1" t="n"/>
      <c r="G575" s="1" t="n"/>
      <c r="H575" s="1" t="n"/>
      <c r="I575" s="1" t="inlineStr">
        <is>
          <t>BTC</t>
        </is>
      </c>
      <c r="J575" s="1" t="n">
        <v>716</v>
      </c>
      <c r="K575" s="1" t="n"/>
      <c r="L575" s="1" t="n">
        <v>714</v>
      </c>
      <c r="M575" s="1" t="n">
        <v>0.328</v>
      </c>
      <c r="N575" s="1" t="n">
        <v>6.969</v>
      </c>
      <c r="O575" s="1" t="n">
        <v>6.844</v>
      </c>
      <c r="P575" s="9" t="n"/>
    </row>
    <row r="576">
      <c r="A576" s="6" t="n">
        <v>7.625</v>
      </c>
      <c r="B576" s="2" t="n">
        <v>26.4</v>
      </c>
      <c r="C576" s="2" t="inlineStr">
        <is>
          <t>H2S-95</t>
        </is>
      </c>
      <c r="D576" s="2" t="n">
        <v>4850</v>
      </c>
      <c r="E576" s="2" t="n">
        <v>7150</v>
      </c>
      <c r="F576" s="2" t="n"/>
      <c r="G576" s="2" t="n"/>
      <c r="H576" s="2" t="n"/>
      <c r="I576" s="2" t="inlineStr">
        <is>
          <t>LTC</t>
        </is>
      </c>
      <c r="J576" s="2" t="n">
        <v>560</v>
      </c>
      <c r="K576" s="2" t="n"/>
      <c r="L576" s="2" t="n">
        <v>714</v>
      </c>
      <c r="M576" s="2" t="n">
        <v>0.328</v>
      </c>
      <c r="N576" s="2" t="n">
        <v>6.969</v>
      </c>
      <c r="O576" s="2" t="n">
        <v>6.844</v>
      </c>
      <c r="P576" s="7" t="n"/>
    </row>
    <row r="577">
      <c r="A577" s="6" t="n">
        <v>7.625</v>
      </c>
      <c r="B577" s="2" t="n">
        <v>26.4</v>
      </c>
      <c r="C577" s="2" t="inlineStr">
        <is>
          <t>H2S-95</t>
        </is>
      </c>
      <c r="D577" s="2" t="n">
        <v>4850</v>
      </c>
      <c r="E577" s="2" t="n">
        <v>7150</v>
      </c>
      <c r="F577" s="2" t="n"/>
      <c r="G577" s="2" t="n"/>
      <c r="H577" s="2" t="n"/>
      <c r="I577" s="2" t="inlineStr">
        <is>
          <t>BTC</t>
        </is>
      </c>
      <c r="J577" s="2" t="n">
        <v>716</v>
      </c>
      <c r="K577" s="2" t="n"/>
      <c r="L577" s="2" t="n">
        <v>714</v>
      </c>
      <c r="M577" s="2" t="n">
        <v>0.328</v>
      </c>
      <c r="N577" s="2" t="n">
        <v>6.969</v>
      </c>
      <c r="O577" s="2" t="n">
        <v>6.844</v>
      </c>
      <c r="P577" s="7" t="n"/>
    </row>
    <row r="578">
      <c r="A578" s="8" t="n">
        <v>7.625</v>
      </c>
      <c r="B578" s="1" t="n">
        <v>26.4</v>
      </c>
      <c r="C578" s="1" t="inlineStr">
        <is>
          <t>C-95</t>
        </is>
      </c>
      <c r="D578" s="1" t="n">
        <v>3710</v>
      </c>
      <c r="E578" s="1" t="n">
        <v>7150</v>
      </c>
      <c r="F578" s="1" t="n"/>
      <c r="G578" s="1" t="n"/>
      <c r="H578" s="1" t="n"/>
      <c r="I578" s="1" t="inlineStr">
        <is>
          <t>LTC</t>
        </is>
      </c>
      <c r="J578" s="1" t="n">
        <v>560</v>
      </c>
      <c r="K578" s="1" t="n"/>
      <c r="L578" s="1" t="n">
        <v>714</v>
      </c>
      <c r="M578" s="1" t="n">
        <v>0.328</v>
      </c>
      <c r="N578" s="1" t="n">
        <v>6.969</v>
      </c>
      <c r="O578" s="1" t="n">
        <v>6.844</v>
      </c>
      <c r="P578" s="9" t="n"/>
    </row>
    <row r="579">
      <c r="A579" s="8" t="n">
        <v>7.625</v>
      </c>
      <c r="B579" s="1" t="n">
        <v>26.4</v>
      </c>
      <c r="C579" s="1" t="inlineStr">
        <is>
          <t>C-95</t>
        </is>
      </c>
      <c r="D579" s="1" t="n">
        <v>3710</v>
      </c>
      <c r="E579" s="1" t="n">
        <v>7150</v>
      </c>
      <c r="F579" s="1" t="n"/>
      <c r="G579" s="1" t="n"/>
      <c r="H579" s="1" t="n"/>
      <c r="I579" s="1" t="inlineStr">
        <is>
          <t>BTC</t>
        </is>
      </c>
      <c r="J579" s="1" t="n">
        <v>716</v>
      </c>
      <c r="K579" s="1" t="n"/>
      <c r="L579" s="1" t="n">
        <v>714</v>
      </c>
      <c r="M579" s="1" t="n">
        <v>0.328</v>
      </c>
      <c r="N579" s="1" t="n">
        <v>6.969</v>
      </c>
      <c r="O579" s="1" t="n">
        <v>6.844</v>
      </c>
      <c r="P579" s="9" t="n"/>
    </row>
    <row r="580">
      <c r="A580" s="6" t="n">
        <v>7.625</v>
      </c>
      <c r="B580" s="2" t="n">
        <v>26.4</v>
      </c>
      <c r="C580" s="2" t="inlineStr">
        <is>
          <t>HCP-110</t>
        </is>
      </c>
      <c r="D580" s="2" t="n">
        <v>4850</v>
      </c>
      <c r="E580" s="2" t="n">
        <v>8280</v>
      </c>
      <c r="F580" s="2" t="n"/>
      <c r="G580" s="2" t="n"/>
      <c r="H580" s="2" t="n"/>
      <c r="I580" s="2" t="inlineStr">
        <is>
          <t>LTC</t>
        </is>
      </c>
      <c r="J580" s="2" t="n">
        <v>654</v>
      </c>
      <c r="K580" s="2" t="n"/>
      <c r="L580" s="2" t="n">
        <v>827</v>
      </c>
      <c r="M580" s="2" t="n">
        <v>0.328</v>
      </c>
      <c r="N580" s="2" t="n">
        <v>6.969</v>
      </c>
      <c r="O580" s="2" t="n">
        <v>6.844</v>
      </c>
      <c r="P580" s="7" t="n"/>
    </row>
    <row r="581">
      <c r="A581" s="6" t="n">
        <v>7.625</v>
      </c>
      <c r="B581" s="2" t="n">
        <v>26.4</v>
      </c>
      <c r="C581" s="2" t="inlineStr">
        <is>
          <t>HCP-110</t>
        </is>
      </c>
      <c r="D581" s="2" t="n">
        <v>4850</v>
      </c>
      <c r="E581" s="2" t="n">
        <v>8280</v>
      </c>
      <c r="F581" s="2" t="n"/>
      <c r="G581" s="2" t="n"/>
      <c r="H581" s="2" t="n"/>
      <c r="I581" s="2" t="inlineStr">
        <is>
          <t>BTC</t>
        </is>
      </c>
      <c r="J581" s="2" t="n">
        <v>845</v>
      </c>
      <c r="K581" s="2" t="n"/>
      <c r="L581" s="2" t="n">
        <v>827</v>
      </c>
      <c r="M581" s="2" t="n">
        <v>0.328</v>
      </c>
      <c r="N581" s="2" t="n">
        <v>6.969</v>
      </c>
      <c r="O581" s="2" t="n">
        <v>6.844</v>
      </c>
      <c r="P581" s="7" t="n"/>
    </row>
    <row r="582">
      <c r="A582" s="8" t="n">
        <v>7.625</v>
      </c>
      <c r="B582" s="1" t="n">
        <v>26.4</v>
      </c>
      <c r="C582" s="1" t="inlineStr">
        <is>
          <t>P-110</t>
        </is>
      </c>
      <c r="D582" s="1" t="n">
        <v>3920</v>
      </c>
      <c r="E582" s="1" t="n">
        <v>8280</v>
      </c>
      <c r="F582" s="1" t="n"/>
      <c r="G582" s="1" t="n"/>
      <c r="H582" s="1" t="n"/>
      <c r="I582" s="1" t="inlineStr">
        <is>
          <t>LTC</t>
        </is>
      </c>
      <c r="J582" s="1" t="n">
        <v>654</v>
      </c>
      <c r="K582" s="1" t="n"/>
      <c r="L582" s="1" t="n">
        <v>827</v>
      </c>
      <c r="M582" s="1" t="n">
        <v>0.328</v>
      </c>
      <c r="N582" s="1" t="n">
        <v>6.969</v>
      </c>
      <c r="O582" s="1" t="n">
        <v>6.844</v>
      </c>
      <c r="P582" s="9" t="n"/>
    </row>
    <row r="583">
      <c r="A583" s="8" t="n">
        <v>7.625</v>
      </c>
      <c r="B583" s="1" t="n">
        <v>26.4</v>
      </c>
      <c r="C583" s="1" t="inlineStr">
        <is>
          <t>P-110</t>
        </is>
      </c>
      <c r="D583" s="1" t="n">
        <v>3920</v>
      </c>
      <c r="E583" s="1" t="n">
        <v>8280</v>
      </c>
      <c r="F583" s="1" t="n"/>
      <c r="G583" s="1" t="n"/>
      <c r="H583" s="1" t="n"/>
      <c r="I583" s="1" t="inlineStr">
        <is>
          <t>BTC</t>
        </is>
      </c>
      <c r="J583" s="1" t="n">
        <v>845</v>
      </c>
      <c r="K583" s="1" t="n"/>
      <c r="L583" s="1" t="n">
        <v>827</v>
      </c>
      <c r="M583" s="1" t="n">
        <v>0.328</v>
      </c>
      <c r="N583" s="1" t="n">
        <v>6.969</v>
      </c>
      <c r="O583" s="1" t="n">
        <v>6.844</v>
      </c>
      <c r="P583" s="9" t="n"/>
    </row>
    <row r="584">
      <c r="A584" s="6" t="n">
        <v>7.625</v>
      </c>
      <c r="B584" s="2" t="n">
        <v>29.7</v>
      </c>
      <c r="C584" s="2" t="inlineStr">
        <is>
          <t>L-80</t>
        </is>
      </c>
      <c r="D584" s="2" t="n">
        <v>4790</v>
      </c>
      <c r="E584" s="2" t="n">
        <v>6890</v>
      </c>
      <c r="F584" s="2" t="n"/>
      <c r="G584" s="2" t="n"/>
      <c r="H584" s="2" t="n"/>
      <c r="I584" s="2" t="inlineStr">
        <is>
          <t>LTC</t>
        </is>
      </c>
      <c r="J584" s="2" t="n">
        <v>566</v>
      </c>
      <c r="K584" s="2" t="n"/>
      <c r="L584" s="2" t="n">
        <v>683</v>
      </c>
      <c r="M584" s="2" t="n">
        <v>0.375</v>
      </c>
      <c r="N584" s="2" t="n">
        <v>6.875</v>
      </c>
      <c r="O584" s="2" t="n">
        <v>6.75</v>
      </c>
      <c r="P584" s="7" t="n"/>
    </row>
    <row r="585">
      <c r="A585" s="6" t="n">
        <v>7.625</v>
      </c>
      <c r="B585" s="2" t="n">
        <v>29.7</v>
      </c>
      <c r="C585" s="2" t="inlineStr">
        <is>
          <t>L-80</t>
        </is>
      </c>
      <c r="D585" s="2" t="n">
        <v>4790</v>
      </c>
      <c r="E585" s="2" t="n">
        <v>6890</v>
      </c>
      <c r="F585" s="2" t="n"/>
      <c r="G585" s="2" t="n"/>
      <c r="H585" s="2" t="n"/>
      <c r="I585" s="2" t="inlineStr">
        <is>
          <t>BTC</t>
        </is>
      </c>
      <c r="J585" s="2" t="n">
        <v>721</v>
      </c>
      <c r="K585" s="2" t="n"/>
      <c r="L585" s="2" t="n">
        <v>683</v>
      </c>
      <c r="M585" s="2" t="n">
        <v>0.375</v>
      </c>
      <c r="N585" s="2" t="n">
        <v>6.875</v>
      </c>
      <c r="O585" s="2" t="n">
        <v>6.75</v>
      </c>
      <c r="P585" s="7" t="n"/>
    </row>
    <row r="586">
      <c r="A586" s="8" t="n">
        <v>7.625</v>
      </c>
      <c r="B586" s="1" t="n">
        <v>29.7</v>
      </c>
      <c r="C586" s="1" t="inlineStr">
        <is>
          <t>HCL-80</t>
        </is>
      </c>
      <c r="D586" s="1" t="n">
        <v>7150</v>
      </c>
      <c r="E586" s="1" t="n">
        <v>6890</v>
      </c>
      <c r="F586" s="1" t="n"/>
      <c r="G586" s="1" t="n"/>
      <c r="H586" s="1" t="n"/>
      <c r="I586" s="1" t="inlineStr">
        <is>
          <t>LTC</t>
        </is>
      </c>
      <c r="J586" s="1" t="n">
        <v>650</v>
      </c>
      <c r="K586" s="1" t="n"/>
      <c r="L586" s="1" t="n">
        <v>683</v>
      </c>
      <c r="M586" s="1" t="n">
        <v>0.375</v>
      </c>
      <c r="N586" s="1" t="n">
        <v>6.875</v>
      </c>
      <c r="O586" s="1" t="n">
        <v>6.75</v>
      </c>
      <c r="P586" s="9" t="n"/>
    </row>
    <row r="587">
      <c r="A587" s="8" t="n">
        <v>7.625</v>
      </c>
      <c r="B587" s="1" t="n">
        <v>29.7</v>
      </c>
      <c r="C587" s="1" t="inlineStr">
        <is>
          <t>HCL-80</t>
        </is>
      </c>
      <c r="D587" s="1" t="n">
        <v>7150</v>
      </c>
      <c r="E587" s="1" t="n">
        <v>6890</v>
      </c>
      <c r="F587" s="1" t="n"/>
      <c r="G587" s="1" t="n"/>
      <c r="H587" s="1" t="n"/>
      <c r="I587" s="1" t="inlineStr">
        <is>
          <t>BTC</t>
        </is>
      </c>
      <c r="J587" s="1" t="n">
        <v>785</v>
      </c>
      <c r="K587" s="1" t="n"/>
      <c r="L587" s="1" t="n">
        <v>683</v>
      </c>
      <c r="M587" s="1" t="n">
        <v>0.375</v>
      </c>
      <c r="N587" s="1" t="n">
        <v>6.875</v>
      </c>
      <c r="O587" s="1" t="n">
        <v>6.75</v>
      </c>
      <c r="P587" s="9" t="n"/>
    </row>
    <row r="588">
      <c r="A588" s="6" t="n">
        <v>7.625</v>
      </c>
      <c r="B588" s="2" t="n">
        <v>29.7</v>
      </c>
      <c r="C588" s="2" t="inlineStr">
        <is>
          <t>N-80</t>
        </is>
      </c>
      <c r="D588" s="2" t="n">
        <v>4790</v>
      </c>
      <c r="E588" s="2" t="n">
        <v>6890</v>
      </c>
      <c r="F588" s="2" t="n"/>
      <c r="G588" s="2" t="n"/>
      <c r="H588" s="2" t="n"/>
      <c r="I588" s="2" t="inlineStr">
        <is>
          <t>LTC</t>
        </is>
      </c>
      <c r="J588" s="2" t="n">
        <v>575</v>
      </c>
      <c r="K588" s="2" t="n"/>
      <c r="L588" s="2" t="n">
        <v>683</v>
      </c>
      <c r="M588" s="2" t="n">
        <v>0.375</v>
      </c>
      <c r="N588" s="2" t="n">
        <v>6.875</v>
      </c>
      <c r="O588" s="2" t="n">
        <v>6.75</v>
      </c>
      <c r="P588" s="7" t="n"/>
    </row>
    <row r="589">
      <c r="A589" s="6" t="n">
        <v>7.625</v>
      </c>
      <c r="B589" s="2" t="n">
        <v>29.7</v>
      </c>
      <c r="C589" s="2" t="inlineStr">
        <is>
          <t>N-80</t>
        </is>
      </c>
      <c r="D589" s="2" t="n">
        <v>4790</v>
      </c>
      <c r="E589" s="2" t="n">
        <v>6890</v>
      </c>
      <c r="F589" s="2" t="n"/>
      <c r="G589" s="2" t="n"/>
      <c r="H589" s="2" t="n"/>
      <c r="I589" s="2" t="inlineStr">
        <is>
          <t>BTC</t>
        </is>
      </c>
      <c r="J589" s="2" t="n">
        <v>749</v>
      </c>
      <c r="K589" s="2" t="n"/>
      <c r="L589" s="2" t="n">
        <v>683</v>
      </c>
      <c r="M589" s="2" t="n">
        <v>0.375</v>
      </c>
      <c r="N589" s="2" t="n">
        <v>6.875</v>
      </c>
      <c r="O589" s="2" t="n">
        <v>6.75</v>
      </c>
      <c r="P589" s="7" t="n"/>
    </row>
    <row r="590">
      <c r="A590" s="8" t="n">
        <v>7.625</v>
      </c>
      <c r="B590" s="1" t="n">
        <v>29.7</v>
      </c>
      <c r="C590" s="1" t="inlineStr">
        <is>
          <t>HCN-80</t>
        </is>
      </c>
      <c r="D590" s="1" t="n">
        <v>7150</v>
      </c>
      <c r="E590" s="1" t="n">
        <v>6890</v>
      </c>
      <c r="F590" s="1" t="n"/>
      <c r="G590" s="1" t="n"/>
      <c r="H590" s="1" t="n"/>
      <c r="I590" s="1" t="inlineStr">
        <is>
          <t>LTC</t>
        </is>
      </c>
      <c r="J590" s="1" t="n">
        <v>650</v>
      </c>
      <c r="K590" s="1" t="n"/>
      <c r="L590" s="1" t="n">
        <v>683</v>
      </c>
      <c r="M590" s="1" t="n">
        <v>0.375</v>
      </c>
      <c r="N590" s="1" t="n">
        <v>6.875</v>
      </c>
      <c r="O590" s="1" t="n">
        <v>6.75</v>
      </c>
      <c r="P590" s="9" t="n"/>
    </row>
    <row r="591">
      <c r="A591" s="8" t="n">
        <v>7.625</v>
      </c>
      <c r="B591" s="1" t="n">
        <v>29.7</v>
      </c>
      <c r="C591" s="1" t="inlineStr">
        <is>
          <t>HCN-80</t>
        </is>
      </c>
      <c r="D591" s="1" t="n">
        <v>7150</v>
      </c>
      <c r="E591" s="1" t="n">
        <v>6890</v>
      </c>
      <c r="F591" s="1" t="n"/>
      <c r="G591" s="1" t="n"/>
      <c r="H591" s="1" t="n"/>
      <c r="I591" s="1" t="inlineStr">
        <is>
          <t>BTC</t>
        </is>
      </c>
      <c r="J591" s="1" t="n">
        <v>785</v>
      </c>
      <c r="K591" s="1" t="n"/>
      <c r="L591" s="1" t="n">
        <v>683</v>
      </c>
      <c r="M591" s="1" t="n">
        <v>0.375</v>
      </c>
      <c r="N591" s="1" t="n">
        <v>6.875</v>
      </c>
      <c r="O591" s="1" t="n">
        <v>6.75</v>
      </c>
      <c r="P591" s="9" t="n"/>
    </row>
    <row r="592">
      <c r="A592" s="6" t="n">
        <v>7.625</v>
      </c>
      <c r="B592" s="2" t="n">
        <v>29.7</v>
      </c>
      <c r="C592" s="2" t="inlineStr">
        <is>
          <t>C-90</t>
        </is>
      </c>
      <c r="D592" s="2" t="n">
        <v>5040</v>
      </c>
      <c r="E592" s="2" t="n">
        <v>7750</v>
      </c>
      <c r="F592" s="2" t="n"/>
      <c r="G592" s="2" t="n"/>
      <c r="H592" s="2" t="n"/>
      <c r="I592" s="2" t="inlineStr">
        <is>
          <t>LTC</t>
        </is>
      </c>
      <c r="J592" s="2" t="n">
        <v>625</v>
      </c>
      <c r="K592" s="2" t="n"/>
      <c r="L592" s="2" t="n">
        <v>769</v>
      </c>
      <c r="M592" s="2" t="n">
        <v>0.375</v>
      </c>
      <c r="N592" s="2" t="n">
        <v>6.875</v>
      </c>
      <c r="O592" s="2" t="n">
        <v>6.75</v>
      </c>
      <c r="P592" s="7" t="n"/>
    </row>
    <row r="593">
      <c r="A593" s="6" t="n">
        <v>7.625</v>
      </c>
      <c r="B593" s="2" t="n">
        <v>29.7</v>
      </c>
      <c r="C593" s="2" t="inlineStr">
        <is>
          <t>C-90</t>
        </is>
      </c>
      <c r="D593" s="2" t="n">
        <v>5040</v>
      </c>
      <c r="E593" s="2" t="n">
        <v>7750</v>
      </c>
      <c r="F593" s="2" t="n"/>
      <c r="G593" s="2" t="n"/>
      <c r="H593" s="2" t="n"/>
      <c r="I593" s="2" t="inlineStr">
        <is>
          <t>BTC</t>
        </is>
      </c>
      <c r="J593" s="2" t="n">
        <v>773</v>
      </c>
      <c r="K593" s="2" t="n"/>
      <c r="L593" s="2" t="n">
        <v>769</v>
      </c>
      <c r="M593" s="2" t="n">
        <v>0.375</v>
      </c>
      <c r="N593" s="2" t="n">
        <v>6.875</v>
      </c>
      <c r="O593" s="2" t="n">
        <v>6.75</v>
      </c>
      <c r="P593" s="7" t="n"/>
    </row>
    <row r="594">
      <c r="A594" s="8" t="n">
        <v>7.625</v>
      </c>
      <c r="B594" s="1" t="n">
        <v>29.7</v>
      </c>
      <c r="C594" s="1" t="inlineStr">
        <is>
          <t>H2S-90</t>
        </is>
      </c>
      <c r="D594" s="1" t="n">
        <v>7150</v>
      </c>
      <c r="E594" s="1" t="n">
        <v>7750</v>
      </c>
      <c r="F594" s="1" t="n"/>
      <c r="G594" s="1" t="n"/>
      <c r="H594" s="1" t="n"/>
      <c r="I594" s="1" t="inlineStr">
        <is>
          <t>LTC</t>
        </is>
      </c>
      <c r="J594" s="1" t="n">
        <v>650</v>
      </c>
      <c r="K594" s="1" t="n"/>
      <c r="L594" s="1" t="n">
        <v>769</v>
      </c>
      <c r="M594" s="1" t="n">
        <v>0.375</v>
      </c>
      <c r="N594" s="1" t="n">
        <v>6.875</v>
      </c>
      <c r="O594" s="1" t="n">
        <v>6.75</v>
      </c>
      <c r="P594" s="9" t="n"/>
    </row>
    <row r="595">
      <c r="A595" s="8" t="n">
        <v>7.625</v>
      </c>
      <c r="B595" s="1" t="n">
        <v>29.7</v>
      </c>
      <c r="C595" s="1" t="inlineStr">
        <is>
          <t>H2S-90</t>
        </is>
      </c>
      <c r="D595" s="1" t="n">
        <v>7150</v>
      </c>
      <c r="E595" s="1" t="n">
        <v>7750</v>
      </c>
      <c r="F595" s="1" t="n"/>
      <c r="G595" s="1" t="n"/>
      <c r="H595" s="1" t="n"/>
      <c r="I595" s="1" t="inlineStr">
        <is>
          <t>BTC</t>
        </is>
      </c>
      <c r="J595" s="1" t="n">
        <v>785</v>
      </c>
      <c r="K595" s="1" t="n"/>
      <c r="L595" s="1" t="n">
        <v>769</v>
      </c>
      <c r="M595" s="1" t="n">
        <v>0.375</v>
      </c>
      <c r="N595" s="1" t="n">
        <v>6.875</v>
      </c>
      <c r="O595" s="1" t="n">
        <v>6.75</v>
      </c>
      <c r="P595" s="9" t="n"/>
    </row>
    <row r="596">
      <c r="A596" s="6" t="n">
        <v>7.625</v>
      </c>
      <c r="B596" s="2" t="n">
        <v>29.7</v>
      </c>
      <c r="C596" s="2" t="inlineStr">
        <is>
          <t>S-95</t>
        </is>
      </c>
      <c r="D596" s="2" t="n">
        <v>7150</v>
      </c>
      <c r="E596" s="2" t="n">
        <v>8180</v>
      </c>
      <c r="F596" s="2" t="n"/>
      <c r="G596" s="2" t="n"/>
      <c r="H596" s="2" t="n"/>
      <c r="I596" s="2" t="inlineStr">
        <is>
          <t>LTC</t>
        </is>
      </c>
      <c r="J596" s="2" t="n">
        <v>668</v>
      </c>
      <c r="K596" s="2" t="n"/>
      <c r="L596" s="2" t="n">
        <v>811</v>
      </c>
      <c r="M596" s="2" t="n">
        <v>0.375</v>
      </c>
      <c r="N596" s="2" t="n">
        <v>6.875</v>
      </c>
      <c r="O596" s="2" t="n">
        <v>6.75</v>
      </c>
      <c r="P596" s="7" t="n"/>
    </row>
    <row r="597">
      <c r="A597" s="6" t="n">
        <v>7.625</v>
      </c>
      <c r="B597" s="2" t="n">
        <v>29.7</v>
      </c>
      <c r="C597" s="2" t="inlineStr">
        <is>
          <t>S-95</t>
        </is>
      </c>
      <c r="D597" s="2" t="n">
        <v>7150</v>
      </c>
      <c r="E597" s="2" t="n">
        <v>8180</v>
      </c>
      <c r="F597" s="2" t="n"/>
      <c r="G597" s="2" t="n"/>
      <c r="H597" s="2" t="n"/>
      <c r="I597" s="2" t="inlineStr">
        <is>
          <t>BTC</t>
        </is>
      </c>
      <c r="J597" s="2" t="n">
        <v>841</v>
      </c>
      <c r="K597" s="2" t="n"/>
      <c r="L597" s="2" t="n">
        <v>811</v>
      </c>
      <c r="M597" s="2" t="n">
        <v>0.375</v>
      </c>
      <c r="N597" s="2" t="n">
        <v>6.875</v>
      </c>
      <c r="O597" s="2" t="n">
        <v>6.75</v>
      </c>
      <c r="P597" s="7" t="n"/>
    </row>
    <row r="598">
      <c r="A598" s="8" t="n">
        <v>7.625</v>
      </c>
      <c r="B598" s="1" t="n">
        <v>29.7</v>
      </c>
      <c r="C598" s="1" t="inlineStr">
        <is>
          <t>T-95</t>
        </is>
      </c>
      <c r="D598" s="1" t="n">
        <v>5140</v>
      </c>
      <c r="E598" s="1" t="n">
        <v>8180</v>
      </c>
      <c r="F598" s="1" t="n"/>
      <c r="G598" s="1" t="n"/>
      <c r="H598" s="1" t="n"/>
      <c r="I598" s="1" t="inlineStr">
        <is>
          <t>LTC</t>
        </is>
      </c>
      <c r="J598" s="1" t="n">
        <v>659</v>
      </c>
      <c r="K598" s="1" t="n"/>
      <c r="L598" s="1" t="n">
        <v>811</v>
      </c>
      <c r="M598" s="1" t="n">
        <v>0.375</v>
      </c>
      <c r="N598" s="1" t="n">
        <v>6.875</v>
      </c>
      <c r="O598" s="1" t="n">
        <v>6.75</v>
      </c>
      <c r="P598" s="9" t="n"/>
    </row>
    <row r="599">
      <c r="A599" s="8" t="n">
        <v>7.625</v>
      </c>
      <c r="B599" s="1" t="n">
        <v>29.7</v>
      </c>
      <c r="C599" s="1" t="inlineStr">
        <is>
          <t>T-95</t>
        </is>
      </c>
      <c r="D599" s="1" t="n">
        <v>5140</v>
      </c>
      <c r="E599" s="1" t="n">
        <v>8180</v>
      </c>
      <c r="F599" s="1" t="n"/>
      <c r="G599" s="1" t="n"/>
      <c r="H599" s="1" t="n"/>
      <c r="I599" s="1" t="inlineStr">
        <is>
          <t>BTC</t>
        </is>
      </c>
      <c r="J599" s="1" t="n">
        <v>813</v>
      </c>
      <c r="K599" s="1" t="n"/>
      <c r="L599" s="1" t="n">
        <v>811</v>
      </c>
      <c r="M599" s="1" t="n">
        <v>0.375</v>
      </c>
      <c r="N599" s="1" t="n">
        <v>6.875</v>
      </c>
      <c r="O599" s="1" t="n">
        <v>6.75</v>
      </c>
      <c r="P599" s="9" t="n"/>
    </row>
    <row r="600">
      <c r="A600" s="6" t="n">
        <v>7.625</v>
      </c>
      <c r="B600" s="2" t="n">
        <v>29.7</v>
      </c>
      <c r="C600" s="2" t="inlineStr">
        <is>
          <t>H2S-95</t>
        </is>
      </c>
      <c r="D600" s="2" t="n">
        <v>7150</v>
      </c>
      <c r="E600" s="2" t="n">
        <v>8180</v>
      </c>
      <c r="F600" s="2" t="n"/>
      <c r="G600" s="2" t="n"/>
      <c r="H600" s="2" t="n"/>
      <c r="I600" s="2" t="inlineStr">
        <is>
          <t>LTC</t>
        </is>
      </c>
      <c r="J600" s="2" t="n">
        <v>659</v>
      </c>
      <c r="K600" s="2" t="n"/>
      <c r="L600" s="2" t="n">
        <v>811</v>
      </c>
      <c r="M600" s="2" t="n">
        <v>0.375</v>
      </c>
      <c r="N600" s="2" t="n">
        <v>6.875</v>
      </c>
      <c r="O600" s="2" t="n">
        <v>6.75</v>
      </c>
      <c r="P600" s="7" t="n"/>
    </row>
    <row r="601">
      <c r="A601" s="6" t="n">
        <v>7.625</v>
      </c>
      <c r="B601" s="2" t="n">
        <v>29.7</v>
      </c>
      <c r="C601" s="2" t="inlineStr">
        <is>
          <t>H2S-95</t>
        </is>
      </c>
      <c r="D601" s="2" t="n">
        <v>7150</v>
      </c>
      <c r="E601" s="2" t="n">
        <v>8180</v>
      </c>
      <c r="F601" s="2" t="n"/>
      <c r="G601" s="2" t="n"/>
      <c r="H601" s="2" t="n"/>
      <c r="I601" s="2" t="inlineStr">
        <is>
          <t>BTC</t>
        </is>
      </c>
      <c r="J601" s="2" t="n">
        <v>813</v>
      </c>
      <c r="K601" s="2" t="n"/>
      <c r="L601" s="2" t="n">
        <v>811</v>
      </c>
      <c r="M601" s="2" t="n">
        <v>0.375</v>
      </c>
      <c r="N601" s="2" t="n">
        <v>6.875</v>
      </c>
      <c r="O601" s="2" t="n">
        <v>6.75</v>
      </c>
      <c r="P601" s="7" t="n"/>
    </row>
    <row r="602">
      <c r="A602" s="8" t="n">
        <v>7.625</v>
      </c>
      <c r="B602" s="1" t="n">
        <v>29.7</v>
      </c>
      <c r="C602" s="1" t="inlineStr">
        <is>
          <t>C-95</t>
        </is>
      </c>
      <c r="D602" s="1" t="n">
        <v>5140</v>
      </c>
      <c r="E602" s="1" t="n">
        <v>8180</v>
      </c>
      <c r="F602" s="1" t="n"/>
      <c r="G602" s="1" t="n"/>
      <c r="H602" s="1" t="n"/>
      <c r="I602" s="1" t="inlineStr">
        <is>
          <t>LTC</t>
        </is>
      </c>
      <c r="J602" s="1" t="n">
        <v>659</v>
      </c>
      <c r="K602" s="1" t="n"/>
      <c r="L602" s="1" t="n">
        <v>811</v>
      </c>
      <c r="M602" s="1" t="n">
        <v>0.375</v>
      </c>
      <c r="N602" s="1" t="n">
        <v>6.875</v>
      </c>
      <c r="O602" s="1" t="n">
        <v>6.75</v>
      </c>
      <c r="P602" s="9" t="n"/>
    </row>
    <row r="603">
      <c r="A603" s="8" t="n">
        <v>7.625</v>
      </c>
      <c r="B603" s="1" t="n">
        <v>29.7</v>
      </c>
      <c r="C603" s="1" t="inlineStr">
        <is>
          <t>C-95</t>
        </is>
      </c>
      <c r="D603" s="1" t="n">
        <v>5140</v>
      </c>
      <c r="E603" s="1" t="n">
        <v>8180</v>
      </c>
      <c r="F603" s="1" t="n"/>
      <c r="G603" s="1" t="n"/>
      <c r="H603" s="1" t="n"/>
      <c r="I603" s="1" t="inlineStr">
        <is>
          <t>BTC</t>
        </is>
      </c>
      <c r="J603" s="1" t="n">
        <v>813</v>
      </c>
      <c r="K603" s="1" t="n"/>
      <c r="L603" s="1" t="n">
        <v>811</v>
      </c>
      <c r="M603" s="1" t="n">
        <v>0.375</v>
      </c>
      <c r="N603" s="1" t="n">
        <v>6.875</v>
      </c>
      <c r="O603" s="1" t="n">
        <v>6.75</v>
      </c>
      <c r="P603" s="9" t="n"/>
    </row>
    <row r="604">
      <c r="A604" s="6" t="n">
        <v>7.625</v>
      </c>
      <c r="B604" s="2" t="n">
        <v>29.7</v>
      </c>
      <c r="C604" s="2" t="inlineStr">
        <is>
          <t>HCP-110</t>
        </is>
      </c>
      <c r="D604" s="2" t="n">
        <v>7150</v>
      </c>
      <c r="E604" s="2" t="n">
        <v>9470</v>
      </c>
      <c r="F604" s="2" t="n"/>
      <c r="G604" s="2" t="n"/>
      <c r="H604" s="2" t="n"/>
      <c r="I604" s="2" t="inlineStr">
        <is>
          <t>LTC</t>
        </is>
      </c>
      <c r="J604" s="2" t="n">
        <v>769</v>
      </c>
      <c r="K604" s="2" t="n"/>
      <c r="L604" s="2" t="n">
        <v>940</v>
      </c>
      <c r="M604" s="2" t="n">
        <v>0.375</v>
      </c>
      <c r="N604" s="2" t="n">
        <v>6.875</v>
      </c>
      <c r="O604" s="2" t="n">
        <v>6.75</v>
      </c>
      <c r="P604" s="7" t="n"/>
    </row>
    <row r="605">
      <c r="A605" s="6" t="n">
        <v>7.625</v>
      </c>
      <c r="B605" s="2" t="n">
        <v>29.7</v>
      </c>
      <c r="C605" s="2" t="inlineStr">
        <is>
          <t>HCP-110</t>
        </is>
      </c>
      <c r="D605" s="2" t="n">
        <v>7150</v>
      </c>
      <c r="E605" s="2" t="n">
        <v>9470</v>
      </c>
      <c r="F605" s="2" t="n"/>
      <c r="G605" s="2" t="n"/>
      <c r="H605" s="2" t="n"/>
      <c r="I605" s="2" t="inlineStr">
        <is>
          <t>BTC</t>
        </is>
      </c>
      <c r="J605" s="2" t="n">
        <v>960</v>
      </c>
      <c r="K605" s="2" t="n"/>
      <c r="L605" s="2" t="n">
        <v>940</v>
      </c>
      <c r="M605" s="2" t="n">
        <v>0.375</v>
      </c>
      <c r="N605" s="2" t="n">
        <v>6.875</v>
      </c>
      <c r="O605" s="2" t="n">
        <v>6.75</v>
      </c>
      <c r="P605" s="7" t="n"/>
    </row>
    <row r="606">
      <c r="A606" s="8" t="n">
        <v>7.625</v>
      </c>
      <c r="B606" s="1" t="n">
        <v>29.7</v>
      </c>
      <c r="C606" s="1" t="inlineStr">
        <is>
          <t>P-110</t>
        </is>
      </c>
      <c r="D606" s="1" t="n">
        <v>5350</v>
      </c>
      <c r="E606" s="1" t="n">
        <v>9470</v>
      </c>
      <c r="F606" s="1" t="n"/>
      <c r="G606" s="1" t="n"/>
      <c r="H606" s="1" t="n"/>
      <c r="I606" s="1" t="inlineStr">
        <is>
          <t>LTC</t>
        </is>
      </c>
      <c r="J606" s="1" t="n">
        <v>769</v>
      </c>
      <c r="K606" s="1" t="n"/>
      <c r="L606" s="1" t="n">
        <v>940</v>
      </c>
      <c r="M606" s="1" t="n">
        <v>0.375</v>
      </c>
      <c r="N606" s="1" t="n">
        <v>6.875</v>
      </c>
      <c r="O606" s="1" t="n">
        <v>6.75</v>
      </c>
      <c r="P606" s="9" t="n"/>
    </row>
    <row r="607">
      <c r="A607" s="8" t="n">
        <v>7.625</v>
      </c>
      <c r="B607" s="1" t="n">
        <v>29.7</v>
      </c>
      <c r="C607" s="1" t="inlineStr">
        <is>
          <t>P-110</t>
        </is>
      </c>
      <c r="D607" s="1" t="n">
        <v>5350</v>
      </c>
      <c r="E607" s="1" t="n">
        <v>9470</v>
      </c>
      <c r="F607" s="1" t="n"/>
      <c r="G607" s="1" t="n"/>
      <c r="H607" s="1" t="n"/>
      <c r="I607" s="1" t="inlineStr">
        <is>
          <t>BTC</t>
        </is>
      </c>
      <c r="J607" s="1" t="n">
        <v>960</v>
      </c>
      <c r="K607" s="1" t="n"/>
      <c r="L607" s="1" t="n">
        <v>940</v>
      </c>
      <c r="M607" s="1" t="n">
        <v>0.375</v>
      </c>
      <c r="N607" s="1" t="n">
        <v>6.875</v>
      </c>
      <c r="O607" s="1" t="n">
        <v>6.75</v>
      </c>
      <c r="P607" s="9" t="n"/>
    </row>
    <row r="608">
      <c r="A608" s="6" t="n">
        <v>7.625</v>
      </c>
      <c r="B608" s="2" t="n">
        <v>33.7</v>
      </c>
      <c r="C608" s="2" t="inlineStr">
        <is>
          <t>L-80</t>
        </is>
      </c>
      <c r="D608" s="2" t="n">
        <v>6560</v>
      </c>
      <c r="E608" s="2" t="n">
        <v>7900</v>
      </c>
      <c r="F608" s="2" t="n"/>
      <c r="G608" s="2" t="n"/>
      <c r="H608" s="2" t="n"/>
      <c r="I608" s="2" t="inlineStr">
        <is>
          <t>LTC</t>
        </is>
      </c>
      <c r="J608" s="2" t="n">
        <v>664</v>
      </c>
      <c r="K608" s="2" t="n"/>
      <c r="L608" s="2" t="n">
        <v>778</v>
      </c>
      <c r="M608" s="2" t="n">
        <v>0.43</v>
      </c>
      <c r="N608" s="2" t="n">
        <v>6.765</v>
      </c>
      <c r="O608" s="2" t="n">
        <v>6.64</v>
      </c>
      <c r="P608" s="7" t="n"/>
    </row>
    <row r="609">
      <c r="A609" s="6" t="n">
        <v>7.625</v>
      </c>
      <c r="B609" s="2" t="n">
        <v>33.7</v>
      </c>
      <c r="C609" s="2" t="inlineStr">
        <is>
          <t>L-80</t>
        </is>
      </c>
      <c r="D609" s="2" t="n">
        <v>6560</v>
      </c>
      <c r="E609" s="2" t="n">
        <v>7900</v>
      </c>
      <c r="F609" s="2" t="n"/>
      <c r="G609" s="2" t="n"/>
      <c r="H609" s="2" t="n"/>
      <c r="I609" s="2" t="inlineStr">
        <is>
          <t>BTC</t>
        </is>
      </c>
      <c r="J609" s="2" t="n">
        <v>820</v>
      </c>
      <c r="K609" s="2" t="n"/>
      <c r="L609" s="2" t="n">
        <v>778</v>
      </c>
      <c r="M609" s="2" t="n">
        <v>0.43</v>
      </c>
      <c r="N609" s="2" t="n">
        <v>6.765</v>
      </c>
      <c r="O609" s="2" t="n">
        <v>6.64</v>
      </c>
      <c r="P609" s="7" t="n"/>
    </row>
    <row r="610">
      <c r="A610" s="8" t="n">
        <v>7.625</v>
      </c>
      <c r="B610" s="1" t="n">
        <v>33.7</v>
      </c>
      <c r="C610" s="1" t="inlineStr">
        <is>
          <t>HCL-80</t>
        </is>
      </c>
      <c r="D610" s="1" t="n">
        <v>8800</v>
      </c>
      <c r="E610" s="1" t="n">
        <v>7900</v>
      </c>
      <c r="F610" s="1" t="n"/>
      <c r="G610" s="1" t="n"/>
      <c r="H610" s="1" t="n"/>
      <c r="I610" s="1" t="inlineStr">
        <is>
          <t>LTC</t>
        </is>
      </c>
      <c r="J610" s="1" t="n">
        <v>762</v>
      </c>
      <c r="K610" s="1" t="n"/>
      <c r="L610" s="1" t="n">
        <v>778</v>
      </c>
      <c r="M610" s="1" t="n">
        <v>0.43</v>
      </c>
      <c r="N610" s="1" t="n">
        <v>6.765</v>
      </c>
      <c r="O610" s="1" t="n">
        <v>6.64</v>
      </c>
      <c r="P610" s="9" t="n"/>
    </row>
    <row r="611">
      <c r="A611" s="8" t="n">
        <v>7.625</v>
      </c>
      <c r="B611" s="1" t="n">
        <v>33.7</v>
      </c>
      <c r="C611" s="1" t="inlineStr">
        <is>
          <t>HCL-80</t>
        </is>
      </c>
      <c r="D611" s="1" t="n">
        <v>8800</v>
      </c>
      <c r="E611" s="1" t="n">
        <v>7900</v>
      </c>
      <c r="F611" s="1" t="n"/>
      <c r="G611" s="1" t="n"/>
      <c r="H611" s="1" t="n"/>
      <c r="I611" s="1" t="inlineStr">
        <is>
          <t>BTC</t>
        </is>
      </c>
      <c r="J611" s="1" t="n">
        <v>894</v>
      </c>
      <c r="K611" s="1" t="n"/>
      <c r="L611" s="1" t="n">
        <v>778</v>
      </c>
      <c r="M611" s="1" t="n">
        <v>0.43</v>
      </c>
      <c r="N611" s="1" t="n">
        <v>6.765</v>
      </c>
      <c r="O611" s="1" t="n">
        <v>6.64</v>
      </c>
      <c r="P611" s="9" t="n"/>
    </row>
    <row r="612">
      <c r="A612" s="6" t="n">
        <v>7.625</v>
      </c>
      <c r="B612" s="2" t="n">
        <v>33.7</v>
      </c>
      <c r="C612" s="2" t="inlineStr">
        <is>
          <t>N-80</t>
        </is>
      </c>
      <c r="D612" s="2" t="n">
        <v>6560</v>
      </c>
      <c r="E612" s="2" t="n">
        <v>7900</v>
      </c>
      <c r="F612" s="2" t="n"/>
      <c r="G612" s="2" t="n"/>
      <c r="H612" s="2" t="n"/>
      <c r="I612" s="2" t="inlineStr">
        <is>
          <t>LTC</t>
        </is>
      </c>
      <c r="J612" s="2" t="n">
        <v>674</v>
      </c>
      <c r="K612" s="2" t="n"/>
      <c r="L612" s="2" t="n">
        <v>778</v>
      </c>
      <c r="M612" s="2" t="n">
        <v>0.43</v>
      </c>
      <c r="N612" s="2" t="n">
        <v>6.765</v>
      </c>
      <c r="O612" s="2" t="n">
        <v>6.64</v>
      </c>
      <c r="P612" s="7" t="n"/>
    </row>
    <row r="613">
      <c r="A613" s="6" t="n">
        <v>7.625</v>
      </c>
      <c r="B613" s="2" t="n">
        <v>33.7</v>
      </c>
      <c r="C613" s="2" t="inlineStr">
        <is>
          <t>N-80</t>
        </is>
      </c>
      <c r="D613" s="2" t="n">
        <v>6560</v>
      </c>
      <c r="E613" s="2" t="n">
        <v>7900</v>
      </c>
      <c r="F613" s="2" t="n"/>
      <c r="G613" s="2" t="n"/>
      <c r="H613" s="2" t="n"/>
      <c r="I613" s="2" t="inlineStr">
        <is>
          <t>BTC</t>
        </is>
      </c>
      <c r="J613" s="2" t="n">
        <v>852</v>
      </c>
      <c r="K613" s="2" t="n"/>
      <c r="L613" s="2" t="n">
        <v>778</v>
      </c>
      <c r="M613" s="2" t="n">
        <v>0.43</v>
      </c>
      <c r="N613" s="2" t="n">
        <v>6.765</v>
      </c>
      <c r="O613" s="2" t="n">
        <v>6.64</v>
      </c>
      <c r="P613" s="7" t="n"/>
    </row>
    <row r="614">
      <c r="A614" s="8" t="n">
        <v>7.625</v>
      </c>
      <c r="B614" s="1" t="n">
        <v>33.7</v>
      </c>
      <c r="C614" s="1" t="inlineStr">
        <is>
          <t>HCN-80</t>
        </is>
      </c>
      <c r="D614" s="1" t="n">
        <v>8800</v>
      </c>
      <c r="E614" s="1" t="n">
        <v>7900</v>
      </c>
      <c r="F614" s="1" t="n"/>
      <c r="G614" s="1" t="n"/>
      <c r="H614" s="1" t="n"/>
      <c r="I614" s="1" t="inlineStr">
        <is>
          <t>LTC</t>
        </is>
      </c>
      <c r="J614" s="1" t="n">
        <v>762</v>
      </c>
      <c r="K614" s="1" t="n"/>
      <c r="L614" s="1" t="n">
        <v>778</v>
      </c>
      <c r="M614" s="1" t="n">
        <v>0.43</v>
      </c>
      <c r="N614" s="1" t="n">
        <v>6.765</v>
      </c>
      <c r="O614" s="1" t="n">
        <v>6.64</v>
      </c>
      <c r="P614" s="9" t="n"/>
    </row>
    <row r="615">
      <c r="A615" s="8" t="n">
        <v>7.625</v>
      </c>
      <c r="B615" s="1" t="n">
        <v>33.7</v>
      </c>
      <c r="C615" s="1" t="inlineStr">
        <is>
          <t>HCN-80</t>
        </is>
      </c>
      <c r="D615" s="1" t="n">
        <v>8800</v>
      </c>
      <c r="E615" s="1" t="n">
        <v>7900</v>
      </c>
      <c r="F615" s="1" t="n"/>
      <c r="G615" s="1" t="n"/>
      <c r="H615" s="1" t="n"/>
      <c r="I615" s="1" t="inlineStr">
        <is>
          <t>BTC</t>
        </is>
      </c>
      <c r="J615" s="1" t="n">
        <v>894</v>
      </c>
      <c r="K615" s="1" t="n"/>
      <c r="L615" s="1" t="n">
        <v>778</v>
      </c>
      <c r="M615" s="1" t="n">
        <v>0.43</v>
      </c>
      <c r="N615" s="1" t="n">
        <v>6.765</v>
      </c>
      <c r="O615" s="1" t="n">
        <v>6.64</v>
      </c>
      <c r="P615" s="9" t="n"/>
    </row>
    <row r="616">
      <c r="A616" s="6" t="n">
        <v>7.625</v>
      </c>
      <c r="B616" s="2" t="n">
        <v>33.7</v>
      </c>
      <c r="C616" s="2" t="inlineStr">
        <is>
          <t>C-90</t>
        </is>
      </c>
      <c r="D616" s="2" t="n">
        <v>7050</v>
      </c>
      <c r="E616" s="2" t="n">
        <v>8880</v>
      </c>
      <c r="F616" s="2" t="n"/>
      <c r="G616" s="2" t="n"/>
      <c r="H616" s="2" t="n"/>
      <c r="I616" s="2" t="inlineStr">
        <is>
          <t>LTC</t>
        </is>
      </c>
      <c r="J616" s="2" t="n">
        <v>733</v>
      </c>
      <c r="K616" s="2" t="n"/>
      <c r="L616" s="2" t="n">
        <v>875</v>
      </c>
      <c r="M616" s="2" t="n">
        <v>0.43</v>
      </c>
      <c r="N616" s="2" t="n">
        <v>6.765</v>
      </c>
      <c r="O616" s="2" t="n">
        <v>6.64</v>
      </c>
      <c r="P616" s="7" t="n"/>
    </row>
    <row r="617">
      <c r="A617" s="6" t="n">
        <v>7.625</v>
      </c>
      <c r="B617" s="2" t="n">
        <v>33.7</v>
      </c>
      <c r="C617" s="2" t="inlineStr">
        <is>
          <t>C-90</t>
        </is>
      </c>
      <c r="D617" s="2" t="n">
        <v>7050</v>
      </c>
      <c r="E617" s="2" t="n">
        <v>8880</v>
      </c>
      <c r="F617" s="2" t="n"/>
      <c r="G617" s="2" t="n"/>
      <c r="H617" s="2" t="n"/>
      <c r="I617" s="2" t="inlineStr">
        <is>
          <t>BTC</t>
        </is>
      </c>
      <c r="J617" s="2" t="n">
        <v>880</v>
      </c>
      <c r="K617" s="2" t="n"/>
      <c r="L617" s="2" t="n">
        <v>875</v>
      </c>
      <c r="M617" s="2" t="n">
        <v>0.43</v>
      </c>
      <c r="N617" s="2" t="n">
        <v>6.765</v>
      </c>
      <c r="O617" s="2" t="n">
        <v>6.64</v>
      </c>
      <c r="P617" s="7" t="n"/>
    </row>
    <row r="618">
      <c r="A618" s="8" t="n">
        <v>7.625</v>
      </c>
      <c r="B618" s="1" t="n">
        <v>33.7</v>
      </c>
      <c r="C618" s="1" t="inlineStr">
        <is>
          <t>H2S-90</t>
        </is>
      </c>
      <c r="D618" s="1" t="n">
        <v>8800</v>
      </c>
      <c r="E618" s="1" t="n">
        <v>8880</v>
      </c>
      <c r="F618" s="1" t="n"/>
      <c r="G618" s="1" t="n"/>
      <c r="H618" s="1" t="n"/>
      <c r="I618" s="1" t="inlineStr">
        <is>
          <t>LTC</t>
        </is>
      </c>
      <c r="J618" s="1" t="n">
        <v>762</v>
      </c>
      <c r="K618" s="1" t="n"/>
      <c r="L618" s="1" t="n">
        <v>875</v>
      </c>
      <c r="M618" s="1" t="n">
        <v>0.43</v>
      </c>
      <c r="N618" s="1" t="n">
        <v>6.765</v>
      </c>
      <c r="O618" s="1" t="n">
        <v>6.64</v>
      </c>
      <c r="P618" s="9" t="n"/>
    </row>
    <row r="619">
      <c r="A619" s="8" t="n">
        <v>7.625</v>
      </c>
      <c r="B619" s="1" t="n">
        <v>33.7</v>
      </c>
      <c r="C619" s="1" t="inlineStr">
        <is>
          <t>H2S-90</t>
        </is>
      </c>
      <c r="D619" s="1" t="n">
        <v>8800</v>
      </c>
      <c r="E619" s="1" t="n">
        <v>8880</v>
      </c>
      <c r="F619" s="1" t="n"/>
      <c r="G619" s="1" t="n"/>
      <c r="H619" s="1" t="n"/>
      <c r="I619" s="1" t="inlineStr">
        <is>
          <t>BTC</t>
        </is>
      </c>
      <c r="J619" s="1" t="n">
        <v>894</v>
      </c>
      <c r="K619" s="1" t="n"/>
      <c r="L619" s="1" t="n">
        <v>875</v>
      </c>
      <c r="M619" s="1" t="n">
        <v>0.43</v>
      </c>
      <c r="N619" s="1" t="n">
        <v>6.765</v>
      </c>
      <c r="O619" s="1" t="n">
        <v>6.64</v>
      </c>
      <c r="P619" s="9" t="n"/>
    </row>
    <row r="620">
      <c r="A620" s="6" t="n">
        <v>7.625</v>
      </c>
      <c r="B620" s="2" t="n">
        <v>33.7</v>
      </c>
      <c r="C620" s="2" t="inlineStr">
        <is>
          <t>S-95</t>
        </is>
      </c>
      <c r="D620" s="2" t="n">
        <v>8800</v>
      </c>
      <c r="E620" s="2" t="n">
        <v>9380</v>
      </c>
      <c r="F620" s="2" t="n"/>
      <c r="G620" s="2" t="n"/>
      <c r="H620" s="2" t="n"/>
      <c r="I620" s="2" t="inlineStr">
        <is>
          <t>LTC</t>
        </is>
      </c>
      <c r="J620" s="2" t="n">
        <v>783</v>
      </c>
      <c r="K620" s="2" t="n"/>
      <c r="L620" s="2" t="n">
        <v>923</v>
      </c>
      <c r="M620" s="2" t="n">
        <v>0.43</v>
      </c>
      <c r="N620" s="2" t="n">
        <v>6.765</v>
      </c>
      <c r="O620" s="2" t="n">
        <v>6.64</v>
      </c>
      <c r="P620" s="7" t="n"/>
    </row>
    <row r="621">
      <c r="A621" s="6" t="n">
        <v>7.625</v>
      </c>
      <c r="B621" s="2" t="n">
        <v>33.7</v>
      </c>
      <c r="C621" s="2" t="inlineStr">
        <is>
          <t>S-95</t>
        </is>
      </c>
      <c r="D621" s="2" t="n">
        <v>8800</v>
      </c>
      <c r="E621" s="2" t="n">
        <v>9380</v>
      </c>
      <c r="F621" s="2" t="n"/>
      <c r="G621" s="2" t="n"/>
      <c r="H621" s="2" t="n"/>
      <c r="I621" s="2" t="inlineStr">
        <is>
          <t>BTC</t>
        </is>
      </c>
      <c r="J621" s="2" t="n">
        <v>957</v>
      </c>
      <c r="K621" s="2" t="n"/>
      <c r="L621" s="2" t="n">
        <v>923</v>
      </c>
      <c r="M621" s="2" t="n">
        <v>0.43</v>
      </c>
      <c r="N621" s="2" t="n">
        <v>6.765</v>
      </c>
      <c r="O621" s="2" t="n">
        <v>6.64</v>
      </c>
      <c r="P621" s="7" t="n"/>
    </row>
    <row r="622">
      <c r="A622" s="8" t="n">
        <v>7.625</v>
      </c>
      <c r="B622" s="1" t="n">
        <v>33.7</v>
      </c>
      <c r="C622" s="1" t="inlineStr">
        <is>
          <t>T-95</t>
        </is>
      </c>
      <c r="D622" s="1" t="n">
        <v>7280</v>
      </c>
      <c r="E622" s="1" t="n">
        <v>9380</v>
      </c>
      <c r="F622" s="1" t="n"/>
      <c r="G622" s="1" t="n"/>
      <c r="H622" s="1" t="n"/>
      <c r="I622" s="1" t="inlineStr">
        <is>
          <t>LTC</t>
        </is>
      </c>
      <c r="J622" s="1" t="n">
        <v>772</v>
      </c>
      <c r="K622" s="1" t="n"/>
      <c r="L622" s="1" t="n">
        <v>923</v>
      </c>
      <c r="M622" s="1" t="n">
        <v>0.43</v>
      </c>
      <c r="N622" s="1" t="n">
        <v>6.765</v>
      </c>
      <c r="O622" s="1" t="n">
        <v>6.64</v>
      </c>
      <c r="P622" s="9" t="n"/>
    </row>
    <row r="623">
      <c r="A623" s="8" t="n">
        <v>7.625</v>
      </c>
      <c r="B623" s="1" t="n">
        <v>33.7</v>
      </c>
      <c r="C623" s="1" t="inlineStr">
        <is>
          <t>T-95</t>
        </is>
      </c>
      <c r="D623" s="1" t="n">
        <v>7280</v>
      </c>
      <c r="E623" s="1" t="n">
        <v>9380</v>
      </c>
      <c r="F623" s="1" t="n"/>
      <c r="G623" s="1" t="n"/>
      <c r="H623" s="1" t="n"/>
      <c r="I623" s="1" t="inlineStr">
        <is>
          <t>BTC</t>
        </is>
      </c>
      <c r="J623" s="1" t="n">
        <v>925</v>
      </c>
      <c r="K623" s="1" t="n"/>
      <c r="L623" s="1" t="n">
        <v>923</v>
      </c>
      <c r="M623" s="1" t="n">
        <v>0.43</v>
      </c>
      <c r="N623" s="1" t="n">
        <v>6.765</v>
      </c>
      <c r="O623" s="1" t="n">
        <v>6.64</v>
      </c>
      <c r="P623" s="9" t="n"/>
    </row>
    <row r="624">
      <c r="A624" s="6" t="n">
        <v>7.625</v>
      </c>
      <c r="B624" s="2" t="n">
        <v>33.7</v>
      </c>
      <c r="C624" s="2" t="inlineStr">
        <is>
          <t>H2S-95</t>
        </is>
      </c>
      <c r="D624" s="2" t="n">
        <v>8800</v>
      </c>
      <c r="E624" s="2" t="n">
        <v>9380</v>
      </c>
      <c r="F624" s="2" t="n"/>
      <c r="G624" s="2" t="n"/>
      <c r="H624" s="2" t="n"/>
      <c r="I624" s="2" t="inlineStr">
        <is>
          <t>LTC</t>
        </is>
      </c>
      <c r="J624" s="2" t="n">
        <v>772</v>
      </c>
      <c r="K624" s="2" t="n"/>
      <c r="L624" s="2" t="n">
        <v>923</v>
      </c>
      <c r="M624" s="2" t="n">
        <v>0.43</v>
      </c>
      <c r="N624" s="2" t="n">
        <v>6.765</v>
      </c>
      <c r="O624" s="2" t="n">
        <v>6.64</v>
      </c>
      <c r="P624" s="7" t="n"/>
    </row>
    <row r="625">
      <c r="A625" s="6" t="n">
        <v>7.625</v>
      </c>
      <c r="B625" s="2" t="n">
        <v>33.7</v>
      </c>
      <c r="C625" s="2" t="inlineStr">
        <is>
          <t>H2S-95</t>
        </is>
      </c>
      <c r="D625" s="2" t="n">
        <v>8800</v>
      </c>
      <c r="E625" s="2" t="n">
        <v>9380</v>
      </c>
      <c r="F625" s="2" t="n"/>
      <c r="G625" s="2" t="n"/>
      <c r="H625" s="2" t="n"/>
      <c r="I625" s="2" t="inlineStr">
        <is>
          <t>BTC</t>
        </is>
      </c>
      <c r="J625" s="2" t="n">
        <v>925</v>
      </c>
      <c r="K625" s="2" t="n"/>
      <c r="L625" s="2" t="n">
        <v>923</v>
      </c>
      <c r="M625" s="2" t="n">
        <v>0.43</v>
      </c>
      <c r="N625" s="2" t="n">
        <v>6.765</v>
      </c>
      <c r="O625" s="2" t="n">
        <v>6.64</v>
      </c>
      <c r="P625" s="7" t="n"/>
    </row>
    <row r="626">
      <c r="A626" s="8" t="n">
        <v>7.625</v>
      </c>
      <c r="B626" s="1" t="n">
        <v>33.7</v>
      </c>
      <c r="C626" s="1" t="inlineStr">
        <is>
          <t>C-95</t>
        </is>
      </c>
      <c r="D626" s="1" t="n">
        <v>7280</v>
      </c>
      <c r="E626" s="1" t="n">
        <v>9380</v>
      </c>
      <c r="F626" s="1" t="n"/>
      <c r="G626" s="1" t="n"/>
      <c r="H626" s="1" t="n"/>
      <c r="I626" s="1" t="inlineStr">
        <is>
          <t>LTC</t>
        </is>
      </c>
      <c r="J626" s="1" t="n">
        <v>772</v>
      </c>
      <c r="K626" s="1" t="n"/>
      <c r="L626" s="1" t="n">
        <v>923</v>
      </c>
      <c r="M626" s="1" t="n">
        <v>0.43</v>
      </c>
      <c r="N626" s="1" t="n">
        <v>6.765</v>
      </c>
      <c r="O626" s="1" t="n">
        <v>6.64</v>
      </c>
      <c r="P626" s="9" t="n"/>
    </row>
    <row r="627">
      <c r="A627" s="8" t="n">
        <v>7.625</v>
      </c>
      <c r="B627" s="1" t="n">
        <v>33.7</v>
      </c>
      <c r="C627" s="1" t="inlineStr">
        <is>
          <t>C-95</t>
        </is>
      </c>
      <c r="D627" s="1" t="n">
        <v>7280</v>
      </c>
      <c r="E627" s="1" t="n">
        <v>9380</v>
      </c>
      <c r="F627" s="1" t="n"/>
      <c r="G627" s="1" t="n"/>
      <c r="H627" s="1" t="n"/>
      <c r="I627" s="1" t="inlineStr">
        <is>
          <t>BTC</t>
        </is>
      </c>
      <c r="J627" s="1" t="n">
        <v>925</v>
      </c>
      <c r="K627" s="1" t="n"/>
      <c r="L627" s="1" t="n">
        <v>923</v>
      </c>
      <c r="M627" s="1" t="n">
        <v>0.43</v>
      </c>
      <c r="N627" s="1" t="n">
        <v>6.765</v>
      </c>
      <c r="O627" s="1" t="n">
        <v>6.64</v>
      </c>
      <c r="P627" s="9" t="n"/>
    </row>
    <row r="628">
      <c r="A628" s="6" t="n">
        <v>7.625</v>
      </c>
      <c r="B628" s="2" t="n">
        <v>33.7</v>
      </c>
      <c r="C628" s="2" t="inlineStr">
        <is>
          <t>HCP-110</t>
        </is>
      </c>
      <c r="D628" s="2" t="n">
        <v>8800</v>
      </c>
      <c r="E628" s="2" t="n">
        <v>10860</v>
      </c>
      <c r="F628" s="2" t="n"/>
      <c r="G628" s="2" t="n"/>
      <c r="H628" s="2" t="n"/>
      <c r="I628" s="2" t="inlineStr">
        <is>
          <t>LTC</t>
        </is>
      </c>
      <c r="J628" s="2" t="n">
        <v>901</v>
      </c>
      <c r="K628" s="2" t="n"/>
      <c r="L628" s="2" t="n">
        <v>1069</v>
      </c>
      <c r="M628" s="2" t="n">
        <v>0.43</v>
      </c>
      <c r="N628" s="2" t="n">
        <v>6.765</v>
      </c>
      <c r="O628" s="2" t="n">
        <v>6.64</v>
      </c>
      <c r="P628" s="7" t="n"/>
    </row>
    <row r="629">
      <c r="A629" s="6" t="n">
        <v>7.625</v>
      </c>
      <c r="B629" s="2" t="n">
        <v>33.7</v>
      </c>
      <c r="C629" s="2" t="inlineStr">
        <is>
          <t>HCP-110</t>
        </is>
      </c>
      <c r="D629" s="2" t="n">
        <v>8800</v>
      </c>
      <c r="E629" s="2" t="n">
        <v>10860</v>
      </c>
      <c r="F629" s="2" t="n"/>
      <c r="G629" s="2" t="n"/>
      <c r="H629" s="2" t="n"/>
      <c r="I629" s="2" t="inlineStr">
        <is>
          <t>BTC</t>
        </is>
      </c>
      <c r="J629" s="2" t="n">
        <v>1093</v>
      </c>
      <c r="K629" s="2" t="n"/>
      <c r="L629" s="2" t="n">
        <v>1069</v>
      </c>
      <c r="M629" s="2" t="n">
        <v>0.43</v>
      </c>
      <c r="N629" s="2" t="n">
        <v>6.765</v>
      </c>
      <c r="O629" s="2" t="n">
        <v>6.64</v>
      </c>
      <c r="P629" s="7" t="n"/>
    </row>
    <row r="630">
      <c r="A630" s="8" t="n">
        <v>7.625</v>
      </c>
      <c r="B630" s="1" t="n">
        <v>33.7</v>
      </c>
      <c r="C630" s="1" t="inlineStr">
        <is>
          <t>P-110</t>
        </is>
      </c>
      <c r="D630" s="1" t="n">
        <v>7870</v>
      </c>
      <c r="E630" s="1" t="n">
        <v>10860</v>
      </c>
      <c r="F630" s="1" t="n"/>
      <c r="G630" s="1" t="n"/>
      <c r="H630" s="1" t="n"/>
      <c r="I630" s="1" t="inlineStr">
        <is>
          <t>LTC</t>
        </is>
      </c>
      <c r="J630" s="1" t="n">
        <v>901</v>
      </c>
      <c r="K630" s="1" t="n"/>
      <c r="L630" s="1" t="n">
        <v>1069</v>
      </c>
      <c r="M630" s="1" t="n">
        <v>0.43</v>
      </c>
      <c r="N630" s="1" t="n">
        <v>6.765</v>
      </c>
      <c r="O630" s="1" t="n">
        <v>6.64</v>
      </c>
      <c r="P630" s="9" t="n"/>
    </row>
    <row r="631">
      <c r="A631" s="8" t="n">
        <v>7.625</v>
      </c>
      <c r="B631" s="1" t="n">
        <v>33.7</v>
      </c>
      <c r="C631" s="1" t="inlineStr">
        <is>
          <t>P-110</t>
        </is>
      </c>
      <c r="D631" s="1" t="n">
        <v>7870</v>
      </c>
      <c r="E631" s="1" t="n">
        <v>10860</v>
      </c>
      <c r="F631" s="1" t="n"/>
      <c r="G631" s="1" t="n"/>
      <c r="H631" s="1" t="n"/>
      <c r="I631" s="1" t="inlineStr">
        <is>
          <t>BTC</t>
        </is>
      </c>
      <c r="J631" s="1" t="n">
        <v>1093</v>
      </c>
      <c r="K631" s="1" t="n"/>
      <c r="L631" s="1" t="n">
        <v>1069</v>
      </c>
      <c r="M631" s="1" t="n">
        <v>0.43</v>
      </c>
      <c r="N631" s="1" t="n">
        <v>6.765</v>
      </c>
      <c r="O631" s="1" t="n">
        <v>6.64</v>
      </c>
      <c r="P631" s="9" t="n"/>
    </row>
    <row r="632">
      <c r="A632" s="6" t="n">
        <v>7.625</v>
      </c>
      <c r="B632" s="2" t="n">
        <v>33.7</v>
      </c>
      <c r="C632" s="2" t="inlineStr">
        <is>
          <t>HCQ-125</t>
        </is>
      </c>
      <c r="D632" s="2" t="n">
        <v>8800</v>
      </c>
      <c r="E632" s="2" t="n">
        <v>12340</v>
      </c>
      <c r="F632" s="2" t="n"/>
      <c r="G632" s="2" t="n"/>
      <c r="H632" s="2" t="n"/>
      <c r="I632" s="2" t="inlineStr">
        <is>
          <t>LTC</t>
        </is>
      </c>
      <c r="J632" s="2" t="n">
        <v>1009</v>
      </c>
      <c r="K632" s="2" t="n"/>
      <c r="L632" s="2" t="n">
        <v>1215</v>
      </c>
      <c r="M632" s="2" t="n">
        <v>0.43</v>
      </c>
      <c r="N632" s="2" t="n">
        <v>6.765</v>
      </c>
      <c r="O632" s="2" t="n">
        <v>6.64</v>
      </c>
      <c r="P632" s="7" t="n"/>
    </row>
    <row r="633">
      <c r="A633" s="6" t="n">
        <v>7.625</v>
      </c>
      <c r="B633" s="2" t="n">
        <v>33.7</v>
      </c>
      <c r="C633" s="2" t="inlineStr">
        <is>
          <t>HCQ-125</t>
        </is>
      </c>
      <c r="D633" s="2" t="n">
        <v>8800</v>
      </c>
      <c r="E633" s="2" t="n">
        <v>12340</v>
      </c>
      <c r="F633" s="2" t="n"/>
      <c r="G633" s="2" t="n"/>
      <c r="H633" s="2" t="n"/>
      <c r="I633" s="2" t="inlineStr">
        <is>
          <t>BTC</t>
        </is>
      </c>
      <c r="J633" s="2" t="n">
        <v>1197</v>
      </c>
      <c r="K633" s="2" t="n"/>
      <c r="L633" s="2" t="n">
        <v>1215</v>
      </c>
      <c r="M633" s="2" t="n">
        <v>0.43</v>
      </c>
      <c r="N633" s="2" t="n">
        <v>6.765</v>
      </c>
      <c r="O633" s="2" t="n">
        <v>6.64</v>
      </c>
      <c r="P633" s="7" t="n"/>
    </row>
    <row r="634">
      <c r="A634" s="8" t="n">
        <v>7.625</v>
      </c>
      <c r="B634" s="1" t="n">
        <v>33.7</v>
      </c>
      <c r="C634" s="1" t="inlineStr">
        <is>
          <t>Q-125</t>
        </is>
      </c>
      <c r="D634" s="1" t="n">
        <v>8350</v>
      </c>
      <c r="E634" s="1" t="n">
        <v>12340</v>
      </c>
      <c r="F634" s="1" t="n"/>
      <c r="G634" s="1" t="n"/>
      <c r="H634" s="1" t="n"/>
      <c r="I634" s="1" t="inlineStr">
        <is>
          <t>LTC</t>
        </is>
      </c>
      <c r="J634" s="1" t="n">
        <v>1009</v>
      </c>
      <c r="K634" s="1" t="n"/>
      <c r="L634" s="1" t="n">
        <v>1215</v>
      </c>
      <c r="M634" s="1" t="n">
        <v>0.43</v>
      </c>
      <c r="N634" s="1" t="n">
        <v>6.765</v>
      </c>
      <c r="O634" s="1" t="n">
        <v>6.64</v>
      </c>
      <c r="P634" s="9" t="n"/>
    </row>
    <row r="635">
      <c r="A635" s="8" t="n">
        <v>7.625</v>
      </c>
      <c r="B635" s="1" t="n">
        <v>33.7</v>
      </c>
      <c r="C635" s="1" t="inlineStr">
        <is>
          <t>Q-125</t>
        </is>
      </c>
      <c r="D635" s="1" t="n">
        <v>8350</v>
      </c>
      <c r="E635" s="1" t="n">
        <v>12340</v>
      </c>
      <c r="F635" s="1" t="n"/>
      <c r="G635" s="1" t="n"/>
      <c r="H635" s="1" t="n"/>
      <c r="I635" s="1" t="inlineStr">
        <is>
          <t>BTC</t>
        </is>
      </c>
      <c r="J635" s="1" t="n">
        <v>1197</v>
      </c>
      <c r="K635" s="1" t="n"/>
      <c r="L635" s="1" t="n">
        <v>1215</v>
      </c>
      <c r="M635" s="1" t="n">
        <v>0.43</v>
      </c>
      <c r="N635" s="1" t="n">
        <v>6.765</v>
      </c>
      <c r="O635" s="1" t="n">
        <v>6.64</v>
      </c>
      <c r="P635" s="9" t="n"/>
    </row>
    <row r="636">
      <c r="A636" s="6" t="n">
        <v>7.625</v>
      </c>
      <c r="B636" s="2" t="n">
        <v>33.7</v>
      </c>
      <c r="C636" s="2" t="inlineStr">
        <is>
          <t>V-150</t>
        </is>
      </c>
      <c r="D636" s="2" t="n">
        <v>8850</v>
      </c>
      <c r="E636" s="2" t="n">
        <v>14800</v>
      </c>
      <c r="F636" s="2" t="n"/>
      <c r="G636" s="2" t="n"/>
      <c r="H636" s="2" t="n"/>
      <c r="I636" s="2" t="inlineStr">
        <is>
          <t>LTC</t>
        </is>
      </c>
      <c r="J636" s="2" t="n">
        <v>1207</v>
      </c>
      <c r="K636" s="2" t="n"/>
      <c r="L636" s="2" t="n">
        <v>1458</v>
      </c>
      <c r="M636" s="2" t="n">
        <v>0.43</v>
      </c>
      <c r="N636" s="2" t="n">
        <v>6.765</v>
      </c>
      <c r="O636" s="2" t="n">
        <v>6.64</v>
      </c>
      <c r="P636" s="7" t="n"/>
    </row>
    <row r="637">
      <c r="A637" s="6" t="n">
        <v>7.625</v>
      </c>
      <c r="B637" s="2" t="n">
        <v>33.7</v>
      </c>
      <c r="C637" s="2" t="inlineStr">
        <is>
          <t>V-150</t>
        </is>
      </c>
      <c r="D637" s="2" t="n">
        <v>8850</v>
      </c>
      <c r="E637" s="2" t="n">
        <v>14800</v>
      </c>
      <c r="F637" s="2" t="n"/>
      <c r="G637" s="2" t="n"/>
      <c r="H637" s="2" t="n"/>
      <c r="I637" s="2" t="inlineStr">
        <is>
          <t>BTC</t>
        </is>
      </c>
      <c r="J637" s="2" t="n">
        <v>1424</v>
      </c>
      <c r="K637" s="2" t="n"/>
      <c r="L637" s="2" t="n">
        <v>1458</v>
      </c>
      <c r="M637" s="2" t="n">
        <v>0.43</v>
      </c>
      <c r="N637" s="2" t="n">
        <v>6.765</v>
      </c>
      <c r="O637" s="2" t="n">
        <v>6.64</v>
      </c>
      <c r="P637" s="7" t="n"/>
    </row>
    <row r="638">
      <c r="A638" s="8" t="n">
        <v>7.625</v>
      </c>
      <c r="B638" s="1" t="n">
        <v>39</v>
      </c>
      <c r="C638" s="1" t="inlineStr">
        <is>
          <t>L-80</t>
        </is>
      </c>
      <c r="D638" s="1" t="n">
        <v>8820</v>
      </c>
      <c r="E638" s="1" t="n">
        <v>9180</v>
      </c>
      <c r="F638" s="1" t="n"/>
      <c r="G638" s="1" t="n"/>
      <c r="H638" s="1" t="n"/>
      <c r="I638" s="1" t="inlineStr">
        <is>
          <t>LTC</t>
        </is>
      </c>
      <c r="J638" s="1" t="n">
        <v>786</v>
      </c>
      <c r="K638" s="1" t="n"/>
      <c r="L638" s="1" t="n">
        <v>895</v>
      </c>
      <c r="M638" s="1" t="n">
        <v>0.5</v>
      </c>
      <c r="N638" s="1" t="n">
        <v>6.625</v>
      </c>
      <c r="O638" s="1" t="n">
        <v>6.5</v>
      </c>
      <c r="P638" s="9" t="n"/>
    </row>
    <row r="639">
      <c r="A639" s="8" t="n">
        <v>7.625</v>
      </c>
      <c r="B639" s="1" t="n">
        <v>39</v>
      </c>
      <c r="C639" s="1" t="inlineStr">
        <is>
          <t>L-80</t>
        </is>
      </c>
      <c r="D639" s="1" t="n">
        <v>8820</v>
      </c>
      <c r="E639" s="1" t="n">
        <v>9180</v>
      </c>
      <c r="F639" s="1" t="n"/>
      <c r="G639" s="1" t="n"/>
      <c r="H639" s="1" t="n"/>
      <c r="I639" s="1" t="inlineStr">
        <is>
          <t>BTC</t>
        </is>
      </c>
      <c r="J639" s="1" t="n">
        <v>945</v>
      </c>
      <c r="K639" s="1" t="n"/>
      <c r="L639" s="1" t="n">
        <v>895</v>
      </c>
      <c r="M639" s="1" t="n">
        <v>0.5</v>
      </c>
      <c r="N639" s="1" t="n">
        <v>6.625</v>
      </c>
      <c r="O639" s="1" t="n">
        <v>6.5</v>
      </c>
      <c r="P639" s="9" t="n"/>
    </row>
    <row r="640">
      <c r="A640" s="6" t="n">
        <v>7.625</v>
      </c>
      <c r="B640" s="2" t="n">
        <v>39</v>
      </c>
      <c r="C640" s="2" t="inlineStr">
        <is>
          <t>HCL-80</t>
        </is>
      </c>
      <c r="D640" s="2" t="n">
        <v>10600</v>
      </c>
      <c r="E640" s="2" t="n">
        <v>9180</v>
      </c>
      <c r="F640" s="2" t="n"/>
      <c r="G640" s="2" t="n"/>
      <c r="H640" s="2" t="n"/>
      <c r="I640" s="2" t="inlineStr">
        <is>
          <t>LTC</t>
        </is>
      </c>
      <c r="J640" s="2" t="n">
        <v>901</v>
      </c>
      <c r="K640" s="2" t="n"/>
      <c r="L640" s="2" t="n">
        <v>895</v>
      </c>
      <c r="M640" s="2" t="n">
        <v>0.5</v>
      </c>
      <c r="N640" s="2" t="n">
        <v>6.625</v>
      </c>
      <c r="O640" s="2" t="n">
        <v>6.5</v>
      </c>
      <c r="P640" s="7" t="n"/>
    </row>
    <row r="641">
      <c r="A641" s="6" t="n">
        <v>7.625</v>
      </c>
      <c r="B641" s="2" t="n">
        <v>39</v>
      </c>
      <c r="C641" s="2" t="inlineStr">
        <is>
          <t>HCL-80</t>
        </is>
      </c>
      <c r="D641" s="2" t="n">
        <v>10600</v>
      </c>
      <c r="E641" s="2" t="n">
        <v>9180</v>
      </c>
      <c r="F641" s="2" t="n"/>
      <c r="G641" s="2" t="n"/>
      <c r="H641" s="2" t="n"/>
      <c r="I641" s="2" t="inlineStr">
        <is>
          <t>BTC</t>
        </is>
      </c>
      <c r="J641" s="2" t="n">
        <v>1029</v>
      </c>
      <c r="K641" s="2" t="n"/>
      <c r="L641" s="2" t="n">
        <v>895</v>
      </c>
      <c r="M641" s="2" t="n">
        <v>0.5</v>
      </c>
      <c r="N641" s="2" t="n">
        <v>6.625</v>
      </c>
      <c r="O641" s="2" t="n">
        <v>6.5</v>
      </c>
      <c r="P641" s="7" t="n"/>
    </row>
    <row r="642">
      <c r="A642" s="8" t="n">
        <v>7.625</v>
      </c>
      <c r="B642" s="1" t="n">
        <v>39</v>
      </c>
      <c r="C642" s="1" t="inlineStr">
        <is>
          <t>N-80</t>
        </is>
      </c>
      <c r="D642" s="1" t="n">
        <v>8820</v>
      </c>
      <c r="E642" s="1" t="n">
        <v>9180</v>
      </c>
      <c r="F642" s="1" t="n"/>
      <c r="G642" s="1" t="n"/>
      <c r="H642" s="1" t="n"/>
      <c r="I642" s="1" t="inlineStr">
        <is>
          <t>LTC</t>
        </is>
      </c>
      <c r="J642" s="1" t="n">
        <v>798</v>
      </c>
      <c r="K642" s="1" t="n"/>
      <c r="L642" s="1" t="n">
        <v>895</v>
      </c>
      <c r="M642" s="1" t="n">
        <v>0.5</v>
      </c>
      <c r="N642" s="1" t="n">
        <v>6.625</v>
      </c>
      <c r="O642" s="1" t="n">
        <v>6.5</v>
      </c>
      <c r="P642" s="9" t="n"/>
    </row>
    <row r="643">
      <c r="A643" s="8" t="n">
        <v>7.625</v>
      </c>
      <c r="B643" s="1" t="n">
        <v>39</v>
      </c>
      <c r="C643" s="1" t="inlineStr">
        <is>
          <t>N-80</t>
        </is>
      </c>
      <c r="D643" s="1" t="n">
        <v>8820</v>
      </c>
      <c r="E643" s="1" t="n">
        <v>9180</v>
      </c>
      <c r="F643" s="1" t="n"/>
      <c r="G643" s="1" t="n"/>
      <c r="H643" s="1" t="n"/>
      <c r="I643" s="1" t="inlineStr">
        <is>
          <t>BTC</t>
        </is>
      </c>
      <c r="J643" s="1" t="n">
        <v>981</v>
      </c>
      <c r="K643" s="1" t="n"/>
      <c r="L643" s="1" t="n">
        <v>895</v>
      </c>
      <c r="M643" s="1" t="n">
        <v>0.5</v>
      </c>
      <c r="N643" s="1" t="n">
        <v>6.625</v>
      </c>
      <c r="O643" s="1" t="n">
        <v>6.5</v>
      </c>
      <c r="P643" s="9" t="n"/>
    </row>
    <row r="644">
      <c r="A644" s="6" t="n">
        <v>7.625</v>
      </c>
      <c r="B644" s="2" t="n">
        <v>39</v>
      </c>
      <c r="C644" s="2" t="inlineStr">
        <is>
          <t>HCN-80</t>
        </is>
      </c>
      <c r="D644" s="2" t="n">
        <v>10600</v>
      </c>
      <c r="E644" s="2" t="n">
        <v>9180</v>
      </c>
      <c r="F644" s="2" t="n"/>
      <c r="G644" s="2" t="n"/>
      <c r="H644" s="2" t="n"/>
      <c r="I644" s="2" t="inlineStr">
        <is>
          <t>LTC</t>
        </is>
      </c>
      <c r="J644" s="2" t="n">
        <v>901</v>
      </c>
      <c r="K644" s="2" t="n"/>
      <c r="L644" s="2" t="n">
        <v>895</v>
      </c>
      <c r="M644" s="2" t="n">
        <v>0.5</v>
      </c>
      <c r="N644" s="2" t="n">
        <v>6.625</v>
      </c>
      <c r="O644" s="2" t="n">
        <v>6.5</v>
      </c>
      <c r="P644" s="7" t="n"/>
    </row>
    <row r="645">
      <c r="A645" s="6" t="n">
        <v>7.625</v>
      </c>
      <c r="B645" s="2" t="n">
        <v>39</v>
      </c>
      <c r="C645" s="2" t="inlineStr">
        <is>
          <t>HCN-80</t>
        </is>
      </c>
      <c r="D645" s="2" t="n">
        <v>10600</v>
      </c>
      <c r="E645" s="2" t="n">
        <v>9180</v>
      </c>
      <c r="F645" s="2" t="n"/>
      <c r="G645" s="2" t="n"/>
      <c r="H645" s="2" t="n"/>
      <c r="I645" s="2" t="inlineStr">
        <is>
          <t>BTC</t>
        </is>
      </c>
      <c r="J645" s="2" t="n">
        <v>1029</v>
      </c>
      <c r="K645" s="2" t="n"/>
      <c r="L645" s="2" t="n">
        <v>895</v>
      </c>
      <c r="M645" s="2" t="n">
        <v>0.5</v>
      </c>
      <c r="N645" s="2" t="n">
        <v>6.625</v>
      </c>
      <c r="O645" s="2" t="n">
        <v>6.5</v>
      </c>
      <c r="P645" s="7" t="n"/>
    </row>
    <row r="646">
      <c r="A646" s="8" t="n">
        <v>7.625</v>
      </c>
      <c r="B646" s="1" t="n">
        <v>39</v>
      </c>
      <c r="C646" s="1" t="inlineStr">
        <is>
          <t>C-90</t>
        </is>
      </c>
      <c r="D646" s="1" t="n">
        <v>9620</v>
      </c>
      <c r="E646" s="1" t="n">
        <v>10330</v>
      </c>
      <c r="F646" s="1" t="n"/>
      <c r="G646" s="1" t="n"/>
      <c r="H646" s="1" t="n"/>
      <c r="I646" s="1" t="inlineStr">
        <is>
          <t>LTC</t>
        </is>
      </c>
      <c r="J646" s="1" t="n">
        <v>867</v>
      </c>
      <c r="K646" s="1" t="n"/>
      <c r="L646" s="1" t="n">
        <v>1007</v>
      </c>
      <c r="M646" s="1" t="n">
        <v>0.5</v>
      </c>
      <c r="N646" s="1" t="n">
        <v>6.625</v>
      </c>
      <c r="O646" s="1" t="n">
        <v>6.5</v>
      </c>
      <c r="P646" s="9" t="n"/>
    </row>
    <row r="647">
      <c r="A647" s="8" t="n">
        <v>7.625</v>
      </c>
      <c r="B647" s="1" t="n">
        <v>39</v>
      </c>
      <c r="C647" s="1" t="inlineStr">
        <is>
          <t>C-90</t>
        </is>
      </c>
      <c r="D647" s="1" t="n">
        <v>9620</v>
      </c>
      <c r="E647" s="1" t="n">
        <v>10330</v>
      </c>
      <c r="F647" s="1" t="n"/>
      <c r="G647" s="1" t="n"/>
      <c r="H647" s="1" t="n"/>
      <c r="I647" s="1" t="inlineStr">
        <is>
          <t>BTC</t>
        </is>
      </c>
      <c r="J647" s="1" t="n">
        <v>1013</v>
      </c>
      <c r="K647" s="1" t="n"/>
      <c r="L647" s="1" t="n">
        <v>1007</v>
      </c>
      <c r="M647" s="1" t="n">
        <v>0.5</v>
      </c>
      <c r="N647" s="1" t="n">
        <v>6.625</v>
      </c>
      <c r="O647" s="1" t="n">
        <v>6.5</v>
      </c>
      <c r="P647" s="9" t="n"/>
    </row>
    <row r="648">
      <c r="A648" s="6" t="n">
        <v>7.625</v>
      </c>
      <c r="B648" s="2" t="n">
        <v>39</v>
      </c>
      <c r="C648" s="2" t="inlineStr">
        <is>
          <t>H2S-90</t>
        </is>
      </c>
      <c r="D648" s="2" t="n">
        <v>10600</v>
      </c>
      <c r="E648" s="2" t="n">
        <v>10330</v>
      </c>
      <c r="F648" s="2" t="n"/>
      <c r="G648" s="2" t="n"/>
      <c r="H648" s="2" t="n"/>
      <c r="I648" s="2" t="inlineStr">
        <is>
          <t>LTC</t>
        </is>
      </c>
      <c r="J648" s="2" t="n">
        <v>901</v>
      </c>
      <c r="K648" s="2" t="n"/>
      <c r="L648" s="2" t="n">
        <v>1007</v>
      </c>
      <c r="M648" s="2" t="n">
        <v>0.5</v>
      </c>
      <c r="N648" s="2" t="n">
        <v>6.625</v>
      </c>
      <c r="O648" s="2" t="n">
        <v>6.5</v>
      </c>
      <c r="P648" s="7" t="n"/>
    </row>
    <row r="649">
      <c r="A649" s="6" t="n">
        <v>7.625</v>
      </c>
      <c r="B649" s="2" t="n">
        <v>39</v>
      </c>
      <c r="C649" s="2" t="inlineStr">
        <is>
          <t>H2S-90</t>
        </is>
      </c>
      <c r="D649" s="2" t="n">
        <v>10600</v>
      </c>
      <c r="E649" s="2" t="n">
        <v>10330</v>
      </c>
      <c r="F649" s="2" t="n"/>
      <c r="G649" s="2" t="n"/>
      <c r="H649" s="2" t="n"/>
      <c r="I649" s="2" t="inlineStr">
        <is>
          <t>BTC</t>
        </is>
      </c>
      <c r="J649" s="2" t="n">
        <v>1029</v>
      </c>
      <c r="K649" s="2" t="n"/>
      <c r="L649" s="2" t="n">
        <v>1007</v>
      </c>
      <c r="M649" s="2" t="n">
        <v>0.5</v>
      </c>
      <c r="N649" s="2" t="n">
        <v>6.625</v>
      </c>
      <c r="O649" s="2" t="n">
        <v>6.5</v>
      </c>
      <c r="P649" s="7" t="n"/>
    </row>
    <row r="650">
      <c r="A650" s="8" t="n">
        <v>7.625</v>
      </c>
      <c r="B650" s="1" t="n">
        <v>39</v>
      </c>
      <c r="C650" s="1" t="inlineStr">
        <is>
          <t>S-95</t>
        </is>
      </c>
      <c r="D650" s="1" t="n">
        <v>10600</v>
      </c>
      <c r="E650" s="1" t="n">
        <v>10900</v>
      </c>
      <c r="F650" s="1" t="n"/>
      <c r="G650" s="1" t="n"/>
      <c r="H650" s="1" t="n"/>
      <c r="I650" s="1" t="inlineStr">
        <is>
          <t>LTC</t>
        </is>
      </c>
      <c r="J650" s="1" t="n">
        <v>926</v>
      </c>
      <c r="K650" s="1" t="n"/>
      <c r="L650" s="1" t="n">
        <v>1063</v>
      </c>
      <c r="M650" s="1" t="n">
        <v>0.5</v>
      </c>
      <c r="N650" s="1" t="n">
        <v>6.625</v>
      </c>
      <c r="O650" s="1" t="n">
        <v>6.5</v>
      </c>
      <c r="P650" s="9" t="n"/>
    </row>
    <row r="651">
      <c r="A651" s="8" t="n">
        <v>7.625</v>
      </c>
      <c r="B651" s="1" t="n">
        <v>39</v>
      </c>
      <c r="C651" s="1" t="inlineStr">
        <is>
          <t>S-95</t>
        </is>
      </c>
      <c r="D651" s="1" t="n">
        <v>10600</v>
      </c>
      <c r="E651" s="1" t="n">
        <v>10900</v>
      </c>
      <c r="F651" s="1" t="n"/>
      <c r="G651" s="1" t="n"/>
      <c r="H651" s="1" t="n"/>
      <c r="I651" s="1" t="inlineStr">
        <is>
          <t>BTC</t>
        </is>
      </c>
      <c r="J651" s="1" t="n">
        <v>1101</v>
      </c>
      <c r="K651" s="1" t="n"/>
      <c r="L651" s="1" t="n">
        <v>1063</v>
      </c>
      <c r="M651" s="1" t="n">
        <v>0.5</v>
      </c>
      <c r="N651" s="1" t="n">
        <v>6.625</v>
      </c>
      <c r="O651" s="1" t="n">
        <v>6.5</v>
      </c>
      <c r="P651" s="9" t="n"/>
    </row>
    <row r="652">
      <c r="A652" s="6" t="n">
        <v>7.625</v>
      </c>
      <c r="B652" s="2" t="n">
        <v>39</v>
      </c>
      <c r="C652" s="2" t="inlineStr">
        <is>
          <t>T-95</t>
        </is>
      </c>
      <c r="D652" s="2" t="n">
        <v>10000</v>
      </c>
      <c r="E652" s="2" t="n">
        <v>10900</v>
      </c>
      <c r="F652" s="2" t="n"/>
      <c r="G652" s="2" t="n"/>
      <c r="H652" s="2" t="n"/>
      <c r="I652" s="2" t="inlineStr">
        <is>
          <t>LTC</t>
        </is>
      </c>
      <c r="J652" s="2" t="n">
        <v>914</v>
      </c>
      <c r="K652" s="2" t="n"/>
      <c r="L652" s="2" t="n">
        <v>1063</v>
      </c>
      <c r="M652" s="2" t="n">
        <v>0.5</v>
      </c>
      <c r="N652" s="2" t="n">
        <v>6.625</v>
      </c>
      <c r="O652" s="2" t="n">
        <v>6.5</v>
      </c>
      <c r="P652" s="7" t="n"/>
    </row>
    <row r="653">
      <c r="A653" s="6" t="n">
        <v>7.625</v>
      </c>
      <c r="B653" s="2" t="n">
        <v>39</v>
      </c>
      <c r="C653" s="2" t="inlineStr">
        <is>
          <t>T-95</t>
        </is>
      </c>
      <c r="D653" s="2" t="n">
        <v>10000</v>
      </c>
      <c r="E653" s="2" t="n">
        <v>10900</v>
      </c>
      <c r="F653" s="2" t="n"/>
      <c r="G653" s="2" t="n"/>
      <c r="H653" s="2" t="n"/>
      <c r="I653" s="2" t="inlineStr">
        <is>
          <t>BTC</t>
        </is>
      </c>
      <c r="J653" s="2" t="n">
        <v>1065</v>
      </c>
      <c r="K653" s="2" t="n"/>
      <c r="L653" s="2" t="n">
        <v>1063</v>
      </c>
      <c r="M653" s="2" t="n">
        <v>0.5</v>
      </c>
      <c r="N653" s="2" t="n">
        <v>6.625</v>
      </c>
      <c r="O653" s="2" t="n">
        <v>6.5</v>
      </c>
      <c r="P653" s="7" t="n"/>
    </row>
    <row r="654">
      <c r="A654" s="8" t="n">
        <v>7.625</v>
      </c>
      <c r="B654" s="1" t="n">
        <v>39</v>
      </c>
      <c r="C654" s="1" t="inlineStr">
        <is>
          <t>H2S-95</t>
        </is>
      </c>
      <c r="D654" s="1" t="n">
        <v>10600</v>
      </c>
      <c r="E654" s="1" t="n">
        <v>10900</v>
      </c>
      <c r="F654" s="1" t="n"/>
      <c r="G654" s="1" t="n"/>
      <c r="H654" s="1" t="n"/>
      <c r="I654" s="1" t="inlineStr">
        <is>
          <t>LTC</t>
        </is>
      </c>
      <c r="J654" s="1" t="n">
        <v>914</v>
      </c>
      <c r="K654" s="1" t="n"/>
      <c r="L654" s="1" t="n">
        <v>1063</v>
      </c>
      <c r="M654" s="1" t="n">
        <v>0.5</v>
      </c>
      <c r="N654" s="1" t="n">
        <v>6.625</v>
      </c>
      <c r="O654" s="1" t="n">
        <v>6.5</v>
      </c>
      <c r="P654" s="9" t="n"/>
    </row>
    <row r="655">
      <c r="A655" s="8" t="n">
        <v>7.625</v>
      </c>
      <c r="B655" s="1" t="n">
        <v>39</v>
      </c>
      <c r="C655" s="1" t="inlineStr">
        <is>
          <t>H2S-95</t>
        </is>
      </c>
      <c r="D655" s="1" t="n">
        <v>10600</v>
      </c>
      <c r="E655" s="1" t="n">
        <v>10900</v>
      </c>
      <c r="F655" s="1" t="n"/>
      <c r="G655" s="1" t="n"/>
      <c r="H655" s="1" t="n"/>
      <c r="I655" s="1" t="inlineStr">
        <is>
          <t>BTC</t>
        </is>
      </c>
      <c r="J655" s="1" t="n">
        <v>1065</v>
      </c>
      <c r="K655" s="1" t="n"/>
      <c r="L655" s="1" t="n">
        <v>1063</v>
      </c>
      <c r="M655" s="1" t="n">
        <v>0.5</v>
      </c>
      <c r="N655" s="1" t="n">
        <v>6.625</v>
      </c>
      <c r="O655" s="1" t="n">
        <v>6.5</v>
      </c>
      <c r="P655" s="9" t="n"/>
    </row>
    <row r="656">
      <c r="A656" s="6" t="n">
        <v>7.625</v>
      </c>
      <c r="B656" s="2" t="n">
        <v>39</v>
      </c>
      <c r="C656" s="2" t="inlineStr">
        <is>
          <t>C-95</t>
        </is>
      </c>
      <c r="D656" s="2" t="n">
        <v>10000</v>
      </c>
      <c r="E656" s="2" t="n">
        <v>10900</v>
      </c>
      <c r="F656" s="2" t="n"/>
      <c r="G656" s="2" t="n"/>
      <c r="H656" s="2" t="n"/>
      <c r="I656" s="2" t="inlineStr">
        <is>
          <t>LTC</t>
        </is>
      </c>
      <c r="J656" s="2" t="n">
        <v>914</v>
      </c>
      <c r="K656" s="2" t="n"/>
      <c r="L656" s="2" t="n">
        <v>1063</v>
      </c>
      <c r="M656" s="2" t="n">
        <v>0.5</v>
      </c>
      <c r="N656" s="2" t="n">
        <v>6.625</v>
      </c>
      <c r="O656" s="2" t="n">
        <v>6.5</v>
      </c>
      <c r="P656" s="7" t="n"/>
    </row>
    <row r="657">
      <c r="A657" s="6" t="n">
        <v>7.625</v>
      </c>
      <c r="B657" s="2" t="n">
        <v>39</v>
      </c>
      <c r="C657" s="2" t="inlineStr">
        <is>
          <t>C-95</t>
        </is>
      </c>
      <c r="D657" s="2" t="n">
        <v>10000</v>
      </c>
      <c r="E657" s="2" t="n">
        <v>10900</v>
      </c>
      <c r="F657" s="2" t="n"/>
      <c r="G657" s="2" t="n"/>
      <c r="H657" s="2" t="n"/>
      <c r="I657" s="2" t="inlineStr">
        <is>
          <t>BTC</t>
        </is>
      </c>
      <c r="J657" s="2" t="n">
        <v>1065</v>
      </c>
      <c r="K657" s="2" t="n"/>
      <c r="L657" s="2" t="n">
        <v>1063</v>
      </c>
      <c r="M657" s="2" t="n">
        <v>0.5</v>
      </c>
      <c r="N657" s="2" t="n">
        <v>6.625</v>
      </c>
      <c r="O657" s="2" t="n">
        <v>6.5</v>
      </c>
      <c r="P657" s="7" t="n"/>
    </row>
    <row r="658">
      <c r="A658" s="8" t="n">
        <v>7.625</v>
      </c>
      <c r="B658" s="1" t="n">
        <v>39</v>
      </c>
      <c r="C658" s="1" t="inlineStr">
        <is>
          <t>P-110</t>
        </is>
      </c>
      <c r="D658" s="1" t="n">
        <v>11080</v>
      </c>
      <c r="E658" s="1" t="n">
        <v>12620</v>
      </c>
      <c r="F658" s="1" t="n"/>
      <c r="G658" s="1" t="n"/>
      <c r="H658" s="1" t="n"/>
      <c r="I658" s="1" t="inlineStr">
        <is>
          <t>LTC</t>
        </is>
      </c>
      <c r="J658" s="1" t="n">
        <v>1066</v>
      </c>
      <c r="K658" s="1" t="n"/>
      <c r="L658" s="1" t="n">
        <v>1231</v>
      </c>
      <c r="M658" s="1" t="n">
        <v>0.5</v>
      </c>
      <c r="N658" s="1" t="n">
        <v>6.625</v>
      </c>
      <c r="O658" s="1" t="n">
        <v>6.5</v>
      </c>
      <c r="P658" s="9" t="n"/>
    </row>
    <row r="659">
      <c r="A659" s="8" t="n">
        <v>7.625</v>
      </c>
      <c r="B659" s="1" t="n">
        <v>39</v>
      </c>
      <c r="C659" s="1" t="inlineStr">
        <is>
          <t>P-110</t>
        </is>
      </c>
      <c r="D659" s="1" t="n">
        <v>11080</v>
      </c>
      <c r="E659" s="1" t="n">
        <v>12620</v>
      </c>
      <c r="F659" s="1" t="n"/>
      <c r="G659" s="1" t="n"/>
      <c r="H659" s="1" t="n"/>
      <c r="I659" s="1" t="inlineStr">
        <is>
          <t>BTC</t>
        </is>
      </c>
      <c r="J659" s="1" t="n">
        <v>1258</v>
      </c>
      <c r="K659" s="1" t="n"/>
      <c r="L659" s="1" t="n">
        <v>1231</v>
      </c>
      <c r="M659" s="1" t="n">
        <v>0.5</v>
      </c>
      <c r="N659" s="1" t="n">
        <v>6.625</v>
      </c>
      <c r="O659" s="1" t="n">
        <v>6.5</v>
      </c>
      <c r="P659" s="9" t="n"/>
    </row>
    <row r="660">
      <c r="A660" s="6" t="n">
        <v>7.625</v>
      </c>
      <c r="B660" s="2" t="n">
        <v>39</v>
      </c>
      <c r="C660" s="2" t="inlineStr">
        <is>
          <t>Q-125</t>
        </is>
      </c>
      <c r="D660" s="2" t="n">
        <v>12060</v>
      </c>
      <c r="E660" s="2" t="n">
        <v>14340</v>
      </c>
      <c r="F660" s="2" t="n"/>
      <c r="G660" s="2" t="n"/>
      <c r="H660" s="2" t="n"/>
      <c r="I660" s="2" t="inlineStr">
        <is>
          <t>LTC</t>
        </is>
      </c>
      <c r="J660" s="2" t="n">
        <v>1194</v>
      </c>
      <c r="K660" s="2" t="n"/>
      <c r="L660" s="2" t="n">
        <v>1399</v>
      </c>
      <c r="M660" s="2" t="n">
        <v>0.5</v>
      </c>
      <c r="N660" s="2" t="n">
        <v>6.625</v>
      </c>
      <c r="O660" s="2" t="n">
        <v>6.5</v>
      </c>
      <c r="P660" s="7" t="n"/>
    </row>
    <row r="661">
      <c r="A661" s="6" t="n">
        <v>7.625</v>
      </c>
      <c r="B661" s="2" t="n">
        <v>39</v>
      </c>
      <c r="C661" s="2" t="inlineStr">
        <is>
          <t>Q-125</t>
        </is>
      </c>
      <c r="D661" s="2" t="n">
        <v>12060</v>
      </c>
      <c r="E661" s="2" t="n">
        <v>14340</v>
      </c>
      <c r="F661" s="2" t="n"/>
      <c r="G661" s="2" t="n"/>
      <c r="H661" s="2" t="n"/>
      <c r="I661" s="2" t="inlineStr">
        <is>
          <t>BTC</t>
        </is>
      </c>
      <c r="J661" s="2" t="n">
        <v>1379</v>
      </c>
      <c r="K661" s="2" t="n"/>
      <c r="L661" s="2" t="n">
        <v>1399</v>
      </c>
      <c r="M661" s="2" t="n">
        <v>0.5</v>
      </c>
      <c r="N661" s="2" t="n">
        <v>6.625</v>
      </c>
      <c r="O661" s="2" t="n">
        <v>6.5</v>
      </c>
      <c r="P661" s="7" t="n"/>
    </row>
    <row r="662">
      <c r="A662" s="8" t="n">
        <v>7.625</v>
      </c>
      <c r="B662" s="1" t="n">
        <v>39</v>
      </c>
      <c r="C662" s="1" t="inlineStr">
        <is>
          <t>V-150</t>
        </is>
      </c>
      <c r="D662" s="1" t="n">
        <v>13440</v>
      </c>
      <c r="E662" s="1" t="n">
        <v>17210</v>
      </c>
      <c r="F662" s="1" t="n"/>
      <c r="G662" s="1" t="n"/>
      <c r="H662" s="1" t="n"/>
      <c r="I662" s="1" t="inlineStr">
        <is>
          <t>LTC</t>
        </is>
      </c>
      <c r="J662" s="1" t="n">
        <v>1428</v>
      </c>
      <c r="K662" s="1" t="n"/>
      <c r="L662" s="1" t="n">
        <v>1679</v>
      </c>
      <c r="M662" s="1" t="n">
        <v>0.5</v>
      </c>
      <c r="N662" s="1" t="n">
        <v>6.625</v>
      </c>
      <c r="O662" s="1" t="n">
        <v>6.5</v>
      </c>
      <c r="P662" s="9" t="n"/>
    </row>
    <row r="663">
      <c r="A663" s="8" t="n">
        <v>7.625</v>
      </c>
      <c r="B663" s="1" t="n">
        <v>39</v>
      </c>
      <c r="C663" s="1" t="inlineStr">
        <is>
          <t>V-150</t>
        </is>
      </c>
      <c r="D663" s="1" t="n">
        <v>13440</v>
      </c>
      <c r="E663" s="1" t="n">
        <v>17210</v>
      </c>
      <c r="F663" s="1" t="n"/>
      <c r="G663" s="1" t="n"/>
      <c r="H663" s="1" t="n"/>
      <c r="I663" s="1" t="inlineStr">
        <is>
          <t>BTC</t>
        </is>
      </c>
      <c r="J663" s="1" t="n">
        <v>1640</v>
      </c>
      <c r="K663" s="1" t="n"/>
      <c r="L663" s="1" t="n">
        <v>1679</v>
      </c>
      <c r="M663" s="1" t="n">
        <v>0.5</v>
      </c>
      <c r="N663" s="1" t="n">
        <v>6.625</v>
      </c>
      <c r="O663" s="1" t="n">
        <v>6.5</v>
      </c>
      <c r="P663" s="9" t="n"/>
    </row>
    <row r="664">
      <c r="A664" s="6" t="n">
        <v>7.625</v>
      </c>
      <c r="B664" s="2" t="n">
        <v>42.8</v>
      </c>
      <c r="C664" s="2" t="inlineStr">
        <is>
          <t>L-80</t>
        </is>
      </c>
      <c r="D664" s="2" t="n">
        <v>10810</v>
      </c>
      <c r="E664" s="2" t="n">
        <v>10320</v>
      </c>
      <c r="F664" s="2" t="n"/>
      <c r="G664" s="2" t="n"/>
      <c r="H664" s="2" t="n"/>
      <c r="I664" s="2" t="inlineStr">
        <is>
          <t>LTC</t>
        </is>
      </c>
      <c r="J664" s="2" t="n">
        <v>891</v>
      </c>
      <c r="K664" s="2" t="n"/>
      <c r="L664" s="2" t="n">
        <v>998</v>
      </c>
      <c r="M664" s="2" t="n">
        <v>0.5620000000000001</v>
      </c>
      <c r="N664" s="2" t="n">
        <v>6.501</v>
      </c>
      <c r="O664" s="2" t="n">
        <v>6.376</v>
      </c>
      <c r="P664" s="7" t="n"/>
    </row>
    <row r="665">
      <c r="A665" s="6" t="n">
        <v>7.625</v>
      </c>
      <c r="B665" s="2" t="n">
        <v>42.8</v>
      </c>
      <c r="C665" s="2" t="inlineStr">
        <is>
          <t>L-80</t>
        </is>
      </c>
      <c r="D665" s="2" t="n">
        <v>10810</v>
      </c>
      <c r="E665" s="2" t="n">
        <v>9790</v>
      </c>
      <c r="F665" s="2" t="n"/>
      <c r="G665" s="2" t="n"/>
      <c r="H665" s="2" t="n"/>
      <c r="I665" s="2" t="inlineStr">
        <is>
          <t>BTC</t>
        </is>
      </c>
      <c r="J665" s="2" t="n">
        <v>1053</v>
      </c>
      <c r="K665" s="2" t="n"/>
      <c r="L665" s="2" t="n">
        <v>998</v>
      </c>
      <c r="M665" s="2" t="n">
        <v>0.5620000000000001</v>
      </c>
      <c r="N665" s="2" t="n">
        <v>6.501</v>
      </c>
      <c r="O665" s="2" t="n">
        <v>6.376</v>
      </c>
      <c r="P665" s="7" t="n"/>
    </row>
    <row r="666">
      <c r="A666" s="8" t="n">
        <v>7.625</v>
      </c>
      <c r="B666" s="1" t="n">
        <v>42.8</v>
      </c>
      <c r="C666" s="1" t="inlineStr">
        <is>
          <t>N-80</t>
        </is>
      </c>
      <c r="D666" s="1" t="n">
        <v>10810</v>
      </c>
      <c r="E666" s="1" t="n">
        <v>10320</v>
      </c>
      <c r="F666" s="1" t="n"/>
      <c r="G666" s="1" t="n"/>
      <c r="H666" s="1" t="n"/>
      <c r="I666" s="1" t="inlineStr">
        <is>
          <t>LTC</t>
        </is>
      </c>
      <c r="J666" s="1" t="n">
        <v>905</v>
      </c>
      <c r="K666" s="1" t="n"/>
      <c r="L666" s="1" t="n">
        <v>998</v>
      </c>
      <c r="M666" s="1" t="n">
        <v>0.5620000000000001</v>
      </c>
      <c r="N666" s="1" t="n">
        <v>6.501</v>
      </c>
      <c r="O666" s="1" t="n">
        <v>6.376</v>
      </c>
      <c r="P666" s="9" t="n"/>
    </row>
    <row r="667">
      <c r="A667" s="8" t="n">
        <v>7.625</v>
      </c>
      <c r="B667" s="1" t="n">
        <v>42.8</v>
      </c>
      <c r="C667" s="1" t="inlineStr">
        <is>
          <t>N-80</t>
        </is>
      </c>
      <c r="D667" s="1" t="n">
        <v>10810</v>
      </c>
      <c r="E667" s="1" t="n">
        <v>9790</v>
      </c>
      <c r="F667" s="1" t="n"/>
      <c r="G667" s="1" t="n"/>
      <c r="H667" s="1" t="n"/>
      <c r="I667" s="1" t="inlineStr">
        <is>
          <t>BTC</t>
        </is>
      </c>
      <c r="J667" s="1" t="n">
        <v>1093</v>
      </c>
      <c r="K667" s="1" t="n"/>
      <c r="L667" s="1" t="n">
        <v>998</v>
      </c>
      <c r="M667" s="1" t="n">
        <v>0.5620000000000001</v>
      </c>
      <c r="N667" s="1" t="n">
        <v>6.501</v>
      </c>
      <c r="O667" s="1" t="n">
        <v>6.376</v>
      </c>
      <c r="P667" s="9" t="n"/>
    </row>
    <row r="668">
      <c r="A668" s="6" t="n">
        <v>7.625</v>
      </c>
      <c r="B668" s="2" t="n">
        <v>42.8</v>
      </c>
      <c r="C668" s="2" t="inlineStr">
        <is>
          <t>C-90</t>
        </is>
      </c>
      <c r="D668" s="2" t="n">
        <v>11890</v>
      </c>
      <c r="E668" s="2" t="n">
        <v>11610</v>
      </c>
      <c r="F668" s="2" t="n"/>
      <c r="G668" s="2" t="n"/>
      <c r="H668" s="2" t="n"/>
      <c r="I668" s="2" t="inlineStr">
        <is>
          <t>LTC</t>
        </is>
      </c>
      <c r="J668" s="2" t="n">
        <v>983</v>
      </c>
      <c r="K668" s="2" t="n"/>
      <c r="L668" s="2" t="n">
        <v>1122</v>
      </c>
      <c r="M668" s="2" t="n">
        <v>0.5620000000000001</v>
      </c>
      <c r="N668" s="2" t="n">
        <v>6.501</v>
      </c>
      <c r="O668" s="2" t="n">
        <v>6.376</v>
      </c>
      <c r="P668" s="7" t="n"/>
    </row>
    <row r="669">
      <c r="A669" s="6" t="n">
        <v>7.625</v>
      </c>
      <c r="B669" s="2" t="n">
        <v>42.8</v>
      </c>
      <c r="C669" s="2" t="inlineStr">
        <is>
          <t>C-90</t>
        </is>
      </c>
      <c r="D669" s="2" t="n">
        <v>11890</v>
      </c>
      <c r="E669" s="2" t="n">
        <v>11010</v>
      </c>
      <c r="F669" s="2" t="n"/>
      <c r="G669" s="2" t="n"/>
      <c r="H669" s="2" t="n"/>
      <c r="I669" s="2" t="inlineStr">
        <is>
          <t>BTC</t>
        </is>
      </c>
      <c r="J669" s="2" t="n">
        <v>1129</v>
      </c>
      <c r="K669" s="2" t="n"/>
      <c r="L669" s="2" t="n">
        <v>1122</v>
      </c>
      <c r="M669" s="2" t="n">
        <v>0.5620000000000001</v>
      </c>
      <c r="N669" s="2" t="n">
        <v>6.501</v>
      </c>
      <c r="O669" s="2" t="n">
        <v>6.376</v>
      </c>
      <c r="P669" s="7" t="n"/>
    </row>
    <row r="670">
      <c r="A670" s="8" t="n">
        <v>7.625</v>
      </c>
      <c r="B670" s="1" t="n">
        <v>42.8</v>
      </c>
      <c r="C670" s="1" t="inlineStr">
        <is>
          <t>T-95</t>
        </is>
      </c>
      <c r="D670" s="1" t="n">
        <v>12410</v>
      </c>
      <c r="E670" s="1" t="n">
        <v>12250</v>
      </c>
      <c r="F670" s="1" t="n"/>
      <c r="G670" s="1" t="n"/>
      <c r="H670" s="1" t="n"/>
      <c r="I670" s="1" t="inlineStr">
        <is>
          <t>LTC</t>
        </is>
      </c>
      <c r="J670" s="1" t="n">
        <v>1037</v>
      </c>
      <c r="K670" s="1" t="n"/>
      <c r="L670" s="1" t="n">
        <v>1185</v>
      </c>
      <c r="M670" s="1" t="n">
        <v>0.5620000000000001</v>
      </c>
      <c r="N670" s="1" t="n">
        <v>6.501</v>
      </c>
      <c r="O670" s="1" t="n">
        <v>6.376</v>
      </c>
      <c r="P670" s="9" t="n"/>
    </row>
    <row r="671">
      <c r="A671" s="8" t="n">
        <v>7.625</v>
      </c>
      <c r="B671" s="1" t="n">
        <v>42.8</v>
      </c>
      <c r="C671" s="1" t="inlineStr">
        <is>
          <t>T-95</t>
        </is>
      </c>
      <c r="D671" s="1" t="n">
        <v>12410</v>
      </c>
      <c r="E671" s="1" t="n">
        <v>11620</v>
      </c>
      <c r="F671" s="1" t="n"/>
      <c r="G671" s="1" t="n"/>
      <c r="H671" s="1" t="n"/>
      <c r="I671" s="1" t="inlineStr">
        <is>
          <t>BTC</t>
        </is>
      </c>
      <c r="J671" s="1" t="n">
        <v>1187</v>
      </c>
      <c r="K671" s="1" t="n"/>
      <c r="L671" s="1" t="n">
        <v>1185</v>
      </c>
      <c r="M671" s="1" t="n">
        <v>0.5620000000000001</v>
      </c>
      <c r="N671" s="1" t="n">
        <v>6.501</v>
      </c>
      <c r="O671" s="1" t="n">
        <v>6.376</v>
      </c>
      <c r="P671" s="9" t="n"/>
    </row>
    <row r="672">
      <c r="A672" s="6" t="n">
        <v>7.625</v>
      </c>
      <c r="B672" s="2" t="n">
        <v>42.8</v>
      </c>
      <c r="C672" s="2" t="inlineStr">
        <is>
          <t>C-95</t>
        </is>
      </c>
      <c r="D672" s="2" t="n">
        <v>12410</v>
      </c>
      <c r="E672" s="2" t="n">
        <v>12250</v>
      </c>
      <c r="F672" s="2" t="n"/>
      <c r="G672" s="2" t="n"/>
      <c r="H672" s="2" t="n"/>
      <c r="I672" s="2" t="inlineStr">
        <is>
          <t>LTC</t>
        </is>
      </c>
      <c r="J672" s="2" t="n">
        <v>1037</v>
      </c>
      <c r="K672" s="2" t="n"/>
      <c r="L672" s="2" t="n">
        <v>1185</v>
      </c>
      <c r="M672" s="2" t="n">
        <v>0.5620000000000001</v>
      </c>
      <c r="N672" s="2" t="n">
        <v>6.501</v>
      </c>
      <c r="O672" s="2" t="n">
        <v>6.376</v>
      </c>
      <c r="P672" s="7" t="n"/>
    </row>
    <row r="673">
      <c r="A673" s="6" t="n">
        <v>7.625</v>
      </c>
      <c r="B673" s="2" t="n">
        <v>42.8</v>
      </c>
      <c r="C673" s="2" t="inlineStr">
        <is>
          <t>C-95</t>
        </is>
      </c>
      <c r="D673" s="2" t="n">
        <v>12410</v>
      </c>
      <c r="E673" s="2" t="n">
        <v>11620</v>
      </c>
      <c r="F673" s="2" t="n"/>
      <c r="G673" s="2" t="n"/>
      <c r="H673" s="2" t="n"/>
      <c r="I673" s="2" t="inlineStr">
        <is>
          <t>BTC</t>
        </is>
      </c>
      <c r="J673" s="2" t="n">
        <v>1187</v>
      </c>
      <c r="K673" s="2" t="n"/>
      <c r="L673" s="2" t="n">
        <v>1185</v>
      </c>
      <c r="M673" s="2" t="n">
        <v>0.5620000000000001</v>
      </c>
      <c r="N673" s="2" t="n">
        <v>6.501</v>
      </c>
      <c r="O673" s="2" t="n">
        <v>6.376</v>
      </c>
      <c r="P673" s="7" t="n"/>
    </row>
    <row r="674">
      <c r="A674" s="8" t="n">
        <v>7.625</v>
      </c>
      <c r="B674" s="1" t="n">
        <v>42.8</v>
      </c>
      <c r="C674" s="1" t="inlineStr">
        <is>
          <t>P-110</t>
        </is>
      </c>
      <c r="D674" s="1" t="n">
        <v>13920</v>
      </c>
      <c r="E674" s="1" t="n">
        <v>14190</v>
      </c>
      <c r="F674" s="1" t="n"/>
      <c r="G674" s="1" t="n"/>
      <c r="H674" s="1" t="n"/>
      <c r="I674" s="1" t="inlineStr">
        <is>
          <t>LTC</t>
        </is>
      </c>
      <c r="J674" s="1" t="n">
        <v>1210</v>
      </c>
      <c r="K674" s="1" t="n"/>
      <c r="L674" s="1" t="n">
        <v>1372</v>
      </c>
      <c r="M674" s="1" t="n">
        <v>0.5620000000000001</v>
      </c>
      <c r="N674" s="1" t="n">
        <v>6.501</v>
      </c>
      <c r="O674" s="1" t="n">
        <v>6.376</v>
      </c>
      <c r="P674" s="9" t="n"/>
    </row>
    <row r="675">
      <c r="A675" s="8" t="n">
        <v>7.625</v>
      </c>
      <c r="B675" s="1" t="n">
        <v>42.8</v>
      </c>
      <c r="C675" s="1" t="inlineStr">
        <is>
          <t>P-110</t>
        </is>
      </c>
      <c r="D675" s="1" t="n">
        <v>13920</v>
      </c>
      <c r="E675" s="1" t="n">
        <v>13460</v>
      </c>
      <c r="F675" s="1" t="n"/>
      <c r="G675" s="1" t="n"/>
      <c r="H675" s="1" t="n"/>
      <c r="I675" s="1" t="inlineStr">
        <is>
          <t>BTC</t>
        </is>
      </c>
      <c r="J675" s="1" t="n">
        <v>1402</v>
      </c>
      <c r="K675" s="1" t="n"/>
      <c r="L675" s="1" t="n">
        <v>1372</v>
      </c>
      <c r="M675" s="1" t="n">
        <v>0.5620000000000001</v>
      </c>
      <c r="N675" s="1" t="n">
        <v>6.501</v>
      </c>
      <c r="O675" s="1" t="n">
        <v>6.376</v>
      </c>
      <c r="P675" s="9" t="n"/>
    </row>
    <row r="676">
      <c r="A676" s="6" t="n">
        <v>7.625</v>
      </c>
      <c r="B676" s="2" t="n">
        <v>42.8</v>
      </c>
      <c r="C676" s="2" t="inlineStr">
        <is>
          <t>Q-125</t>
        </is>
      </c>
      <c r="D676" s="2" t="n">
        <v>15350</v>
      </c>
      <c r="E676" s="2" t="n">
        <v>16120</v>
      </c>
      <c r="F676" s="2" t="n"/>
      <c r="G676" s="2" t="n"/>
      <c r="H676" s="2" t="n"/>
      <c r="I676" s="2" t="inlineStr">
        <is>
          <t>LTC</t>
        </is>
      </c>
      <c r="J676" s="2" t="n">
        <v>1355</v>
      </c>
      <c r="K676" s="2" t="n"/>
      <c r="L676" s="2" t="n">
        <v>1559</v>
      </c>
      <c r="M676" s="2" t="n">
        <v>0.5620000000000001</v>
      </c>
      <c r="N676" s="2" t="n">
        <v>6.501</v>
      </c>
      <c r="O676" s="2" t="n">
        <v>6.376</v>
      </c>
      <c r="P676" s="7" t="n"/>
    </row>
    <row r="677">
      <c r="A677" s="6" t="n">
        <v>7.625</v>
      </c>
      <c r="B677" s="2" t="n">
        <v>42.8</v>
      </c>
      <c r="C677" s="2" t="inlineStr">
        <is>
          <t>Q-125</t>
        </is>
      </c>
      <c r="D677" s="2" t="n">
        <v>15350</v>
      </c>
      <c r="E677" s="2" t="n">
        <v>15290</v>
      </c>
      <c r="F677" s="2" t="n"/>
      <c r="G677" s="2" t="n"/>
      <c r="H677" s="2" t="n"/>
      <c r="I677" s="2" t="inlineStr">
        <is>
          <t>BTC</t>
        </is>
      </c>
      <c r="J677" s="2" t="n">
        <v>1536</v>
      </c>
      <c r="K677" s="2" t="n"/>
      <c r="L677" s="2" t="n">
        <v>1559</v>
      </c>
      <c r="M677" s="2" t="n">
        <v>0.5620000000000001</v>
      </c>
      <c r="N677" s="2" t="n">
        <v>6.501</v>
      </c>
      <c r="O677" s="2" t="n">
        <v>6.376</v>
      </c>
      <c r="P677" s="7" t="n"/>
    </row>
    <row r="678">
      <c r="A678" s="8" t="n">
        <v>7.625</v>
      </c>
      <c r="B678" s="1" t="n">
        <v>45.3</v>
      </c>
      <c r="C678" s="1" t="inlineStr">
        <is>
          <t>L-80</t>
        </is>
      </c>
      <c r="D678" s="1" t="n">
        <v>11510</v>
      </c>
      <c r="E678" s="1" t="n">
        <v>10490</v>
      </c>
      <c r="F678" s="1" t="n"/>
      <c r="G678" s="1" t="n"/>
      <c r="H678" s="1" t="n"/>
      <c r="I678" s="1" t="inlineStr">
        <is>
          <t>LTC</t>
        </is>
      </c>
      <c r="J678" s="1" t="n">
        <v>947</v>
      </c>
      <c r="K678" s="1" t="n"/>
      <c r="L678" s="1" t="n">
        <v>1051</v>
      </c>
      <c r="M678" s="1" t="n">
        <v>0.595</v>
      </c>
      <c r="N678" s="1" t="n">
        <v>6.435</v>
      </c>
      <c r="O678" s="1" t="n">
        <v>6.31</v>
      </c>
      <c r="P678" s="9" t="n"/>
    </row>
    <row r="679">
      <c r="A679" s="8" t="n">
        <v>7.625</v>
      </c>
      <c r="B679" s="1" t="n">
        <v>45.3</v>
      </c>
      <c r="C679" s="1" t="inlineStr">
        <is>
          <t>L-80</t>
        </is>
      </c>
      <c r="D679" s="1" t="n">
        <v>11510</v>
      </c>
      <c r="E679" s="1" t="n">
        <v>9790</v>
      </c>
      <c r="F679" s="1" t="n"/>
      <c r="G679" s="1" t="n"/>
      <c r="H679" s="1" t="n"/>
      <c r="I679" s="1" t="inlineStr">
        <is>
          <t>BTC</t>
        </is>
      </c>
      <c r="J679" s="1" t="n">
        <v>1109</v>
      </c>
      <c r="K679" s="1" t="n"/>
      <c r="L679" s="1" t="n">
        <v>1051</v>
      </c>
      <c r="M679" s="1" t="n">
        <v>0.595</v>
      </c>
      <c r="N679" s="1" t="n">
        <v>6.435</v>
      </c>
      <c r="O679" s="1" t="n">
        <v>6.31</v>
      </c>
      <c r="P679" s="9" t="n"/>
    </row>
    <row r="680">
      <c r="A680" s="6" t="n">
        <v>7.625</v>
      </c>
      <c r="B680" s="2" t="n">
        <v>45.3</v>
      </c>
      <c r="C680" s="2" t="inlineStr">
        <is>
          <t>HCL-80</t>
        </is>
      </c>
      <c r="D680" s="2" t="n">
        <v>12900</v>
      </c>
      <c r="E680" s="2" t="n">
        <v>10490</v>
      </c>
      <c r="F680" s="2" t="n"/>
      <c r="G680" s="2" t="n"/>
      <c r="H680" s="2" t="n"/>
      <c r="I680" s="2" t="inlineStr">
        <is>
          <t>LTC</t>
        </is>
      </c>
      <c r="J680" s="2" t="n">
        <v>1086</v>
      </c>
      <c r="K680" s="2" t="n"/>
      <c r="L680" s="2" t="n">
        <v>1051</v>
      </c>
      <c r="M680" s="2" t="n">
        <v>0.595</v>
      </c>
      <c r="N680" s="2" t="n">
        <v>6.435</v>
      </c>
      <c r="O680" s="2" t="n">
        <v>6.31</v>
      </c>
      <c r="P680" s="7" t="n"/>
    </row>
    <row r="681">
      <c r="A681" s="6" t="n">
        <v>7.625</v>
      </c>
      <c r="B681" s="2" t="n">
        <v>45.3</v>
      </c>
      <c r="C681" s="2" t="inlineStr">
        <is>
          <t>HCL-80</t>
        </is>
      </c>
      <c r="D681" s="2" t="n">
        <v>12900</v>
      </c>
      <c r="E681" s="2" t="n">
        <v>9790</v>
      </c>
      <c r="F681" s="2" t="n"/>
      <c r="G681" s="2" t="n"/>
      <c r="H681" s="2" t="n"/>
      <c r="I681" s="2" t="inlineStr">
        <is>
          <t>BTC</t>
        </is>
      </c>
      <c r="J681" s="2" t="n">
        <v>1177</v>
      </c>
      <c r="K681" s="2" t="n"/>
      <c r="L681" s="2" t="n">
        <v>1051</v>
      </c>
      <c r="M681" s="2" t="n">
        <v>0.595</v>
      </c>
      <c r="N681" s="2" t="n">
        <v>6.435</v>
      </c>
      <c r="O681" s="2" t="n">
        <v>6.31</v>
      </c>
      <c r="P681" s="7" t="n"/>
    </row>
    <row r="682">
      <c r="A682" s="8" t="n">
        <v>7.625</v>
      </c>
      <c r="B682" s="1" t="n">
        <v>45.3</v>
      </c>
      <c r="C682" s="1" t="inlineStr">
        <is>
          <t>N-80</t>
        </is>
      </c>
      <c r="D682" s="1" t="n">
        <v>11510</v>
      </c>
      <c r="E682" s="1" t="n">
        <v>10490</v>
      </c>
      <c r="F682" s="1" t="n"/>
      <c r="G682" s="1" t="n"/>
      <c r="H682" s="1" t="n"/>
      <c r="I682" s="1" t="inlineStr">
        <is>
          <t>LTC</t>
        </is>
      </c>
      <c r="J682" s="1" t="n">
        <v>962</v>
      </c>
      <c r="K682" s="1" t="n"/>
      <c r="L682" s="1" t="n">
        <v>1051</v>
      </c>
      <c r="M682" s="1" t="n">
        <v>0.595</v>
      </c>
      <c r="N682" s="1" t="n">
        <v>6.435</v>
      </c>
      <c r="O682" s="1" t="n">
        <v>6.31</v>
      </c>
      <c r="P682" s="9" t="n"/>
    </row>
    <row r="683">
      <c r="A683" s="8" t="n">
        <v>7.625</v>
      </c>
      <c r="B683" s="1" t="n">
        <v>45.3</v>
      </c>
      <c r="C683" s="1" t="inlineStr">
        <is>
          <t>N-80</t>
        </is>
      </c>
      <c r="D683" s="1" t="n">
        <v>11510</v>
      </c>
      <c r="E683" s="1" t="n">
        <v>9790</v>
      </c>
      <c r="F683" s="1" t="n"/>
      <c r="G683" s="1" t="n"/>
      <c r="H683" s="1" t="n"/>
      <c r="I683" s="1" t="inlineStr">
        <is>
          <t>BTC</t>
        </is>
      </c>
      <c r="J683" s="1" t="n">
        <v>1152</v>
      </c>
      <c r="K683" s="1" t="n"/>
      <c r="L683" s="1" t="n">
        <v>1051</v>
      </c>
      <c r="M683" s="1" t="n">
        <v>0.595</v>
      </c>
      <c r="N683" s="1" t="n">
        <v>6.435</v>
      </c>
      <c r="O683" s="1" t="n">
        <v>6.31</v>
      </c>
      <c r="P683" s="9" t="n"/>
    </row>
    <row r="684">
      <c r="A684" s="6" t="n">
        <v>7.625</v>
      </c>
      <c r="B684" s="2" t="n">
        <v>45.3</v>
      </c>
      <c r="C684" s="2" t="inlineStr">
        <is>
          <t>HCN-80</t>
        </is>
      </c>
      <c r="D684" s="2" t="n">
        <v>12900</v>
      </c>
      <c r="E684" s="2" t="n">
        <v>10490</v>
      </c>
      <c r="F684" s="2" t="n"/>
      <c r="G684" s="2" t="n"/>
      <c r="H684" s="2" t="n"/>
      <c r="I684" s="2" t="inlineStr">
        <is>
          <t>LTC</t>
        </is>
      </c>
      <c r="J684" s="2" t="n">
        <v>1086</v>
      </c>
      <c r="K684" s="2" t="n"/>
      <c r="L684" s="2" t="n">
        <v>1051</v>
      </c>
      <c r="M684" s="2" t="n">
        <v>0.595</v>
      </c>
      <c r="N684" s="2" t="n">
        <v>6.435</v>
      </c>
      <c r="O684" s="2" t="n">
        <v>6.31</v>
      </c>
      <c r="P684" s="7" t="n"/>
    </row>
    <row r="685">
      <c r="A685" s="6" t="n">
        <v>7.625</v>
      </c>
      <c r="B685" s="2" t="n">
        <v>45.3</v>
      </c>
      <c r="C685" s="2" t="inlineStr">
        <is>
          <t>HCN-80</t>
        </is>
      </c>
      <c r="D685" s="2" t="n">
        <v>12900</v>
      </c>
      <c r="E685" s="2" t="n">
        <v>9790</v>
      </c>
      <c r="F685" s="2" t="n"/>
      <c r="G685" s="2" t="n"/>
      <c r="H685" s="2" t="n"/>
      <c r="I685" s="2" t="inlineStr">
        <is>
          <t>BTC</t>
        </is>
      </c>
      <c r="J685" s="2" t="n">
        <v>1208</v>
      </c>
      <c r="K685" s="2" t="n"/>
      <c r="L685" s="2" t="n">
        <v>1051</v>
      </c>
      <c r="M685" s="2" t="n">
        <v>0.595</v>
      </c>
      <c r="N685" s="2" t="n">
        <v>6.435</v>
      </c>
      <c r="O685" s="2" t="n">
        <v>6.31</v>
      </c>
      <c r="P685" s="7" t="n"/>
    </row>
    <row r="686">
      <c r="A686" s="8" t="n">
        <v>7.625</v>
      </c>
      <c r="B686" s="1" t="n">
        <v>45.3</v>
      </c>
      <c r="C686" s="1" t="inlineStr">
        <is>
          <t>C-90</t>
        </is>
      </c>
      <c r="D686" s="1" t="n">
        <v>12950</v>
      </c>
      <c r="E686" s="1" t="n">
        <v>11810</v>
      </c>
      <c r="F686" s="1" t="n"/>
      <c r="G686" s="1" t="n"/>
      <c r="H686" s="1" t="n"/>
      <c r="I686" s="1" t="inlineStr">
        <is>
          <t>LTC</t>
        </is>
      </c>
      <c r="J686" s="1" t="n">
        <v>1045</v>
      </c>
      <c r="K686" s="1" t="n"/>
      <c r="L686" s="1" t="n">
        <v>1183</v>
      </c>
      <c r="M686" s="1" t="n">
        <v>0.595</v>
      </c>
      <c r="N686" s="1" t="n">
        <v>6.435</v>
      </c>
      <c r="O686" s="1" t="n">
        <v>6.31</v>
      </c>
      <c r="P686" s="9" t="n"/>
    </row>
    <row r="687">
      <c r="A687" s="8" t="n">
        <v>7.625</v>
      </c>
      <c r="B687" s="1" t="n">
        <v>45.3</v>
      </c>
      <c r="C687" s="1" t="inlineStr">
        <is>
          <t>C-90</t>
        </is>
      </c>
      <c r="D687" s="1" t="n">
        <v>12950</v>
      </c>
      <c r="E687" s="1" t="n">
        <v>11010</v>
      </c>
      <c r="F687" s="1" t="n"/>
      <c r="G687" s="1" t="n"/>
      <c r="H687" s="1" t="n"/>
      <c r="I687" s="1" t="inlineStr">
        <is>
          <t>BTC</t>
        </is>
      </c>
      <c r="J687" s="1" t="n">
        <v>1189</v>
      </c>
      <c r="K687" s="1" t="n"/>
      <c r="L687" s="1" t="n">
        <v>1183</v>
      </c>
      <c r="M687" s="1" t="n">
        <v>0.595</v>
      </c>
      <c r="N687" s="1" t="n">
        <v>6.435</v>
      </c>
      <c r="O687" s="1" t="n">
        <v>6.31</v>
      </c>
      <c r="P687" s="9" t="n"/>
    </row>
    <row r="688">
      <c r="A688" s="6" t="n">
        <v>7.625</v>
      </c>
      <c r="B688" s="2" t="n">
        <v>45.3</v>
      </c>
      <c r="C688" s="2" t="inlineStr">
        <is>
          <t>H2S-90</t>
        </is>
      </c>
      <c r="D688" s="2" t="n">
        <v>12950</v>
      </c>
      <c r="E688" s="2" t="n">
        <v>11810</v>
      </c>
      <c r="F688" s="2" t="n"/>
      <c r="G688" s="2" t="n"/>
      <c r="H688" s="2" t="n"/>
      <c r="I688" s="2" t="inlineStr">
        <is>
          <t>LTC</t>
        </is>
      </c>
      <c r="J688" s="2" t="n">
        <v>1086</v>
      </c>
      <c r="K688" s="2" t="n"/>
      <c r="L688" s="2" t="n">
        <v>1183</v>
      </c>
      <c r="M688" s="2" t="n">
        <v>0.595</v>
      </c>
      <c r="N688" s="2" t="n">
        <v>6.435</v>
      </c>
      <c r="O688" s="2" t="n">
        <v>6.31</v>
      </c>
      <c r="P688" s="7" t="n"/>
    </row>
    <row r="689">
      <c r="A689" s="6" t="n">
        <v>7.625</v>
      </c>
      <c r="B689" s="2" t="n">
        <v>45.3</v>
      </c>
      <c r="C689" s="2" t="inlineStr">
        <is>
          <t>H2S-90</t>
        </is>
      </c>
      <c r="D689" s="2" t="n">
        <v>12950</v>
      </c>
      <c r="E689" s="2" t="n">
        <v>11010</v>
      </c>
      <c r="F689" s="2" t="n"/>
      <c r="G689" s="2" t="n"/>
      <c r="H689" s="2" t="n"/>
      <c r="I689" s="2" t="inlineStr">
        <is>
          <t>BTC</t>
        </is>
      </c>
      <c r="J689" s="2" t="n">
        <v>1208</v>
      </c>
      <c r="K689" s="2" t="n"/>
      <c r="L689" s="2" t="n">
        <v>1183</v>
      </c>
      <c r="M689" s="2" t="n">
        <v>0.595</v>
      </c>
      <c r="N689" s="2" t="n">
        <v>6.435</v>
      </c>
      <c r="O689" s="2" t="n">
        <v>6.31</v>
      </c>
      <c r="P689" s="7" t="n"/>
    </row>
    <row r="690">
      <c r="A690" s="8" t="n">
        <v>7.625</v>
      </c>
      <c r="B690" s="1" t="n">
        <v>45.3</v>
      </c>
      <c r="C690" s="1" t="inlineStr">
        <is>
          <t>S-95</t>
        </is>
      </c>
      <c r="D690" s="1" t="n">
        <v>13660</v>
      </c>
      <c r="E690" s="1" t="n">
        <v>12460</v>
      </c>
      <c r="F690" s="1" t="n"/>
      <c r="G690" s="1" t="n"/>
      <c r="H690" s="1" t="n"/>
      <c r="I690" s="1" t="inlineStr">
        <is>
          <t>LTC</t>
        </is>
      </c>
      <c r="J690" s="1" t="n">
        <v>1116</v>
      </c>
      <c r="K690" s="1" t="n"/>
      <c r="L690" s="1" t="n">
        <v>1248</v>
      </c>
      <c r="M690" s="1" t="n">
        <v>0.595</v>
      </c>
      <c r="N690" s="1" t="n">
        <v>6.435</v>
      </c>
      <c r="O690" s="1" t="n">
        <v>6.31</v>
      </c>
      <c r="P690" s="9" t="n"/>
    </row>
    <row r="691">
      <c r="A691" s="8" t="n">
        <v>7.625</v>
      </c>
      <c r="B691" s="1" t="n">
        <v>45.3</v>
      </c>
      <c r="C691" s="1" t="inlineStr">
        <is>
          <t>S-95</t>
        </is>
      </c>
      <c r="D691" s="1" t="n">
        <v>13660</v>
      </c>
      <c r="E691" s="1" t="n">
        <v>11620</v>
      </c>
      <c r="F691" s="1" t="n"/>
      <c r="G691" s="1" t="n"/>
      <c r="H691" s="1" t="n"/>
      <c r="I691" s="1" t="inlineStr">
        <is>
          <t>BTC</t>
        </is>
      </c>
      <c r="J691" s="1" t="n">
        <v>1293</v>
      </c>
      <c r="K691" s="1" t="n"/>
      <c r="L691" s="1" t="n">
        <v>1248</v>
      </c>
      <c r="M691" s="1" t="n">
        <v>0.595</v>
      </c>
      <c r="N691" s="1" t="n">
        <v>6.435</v>
      </c>
      <c r="O691" s="1" t="n">
        <v>6.31</v>
      </c>
      <c r="P691" s="9" t="n"/>
    </row>
    <row r="692">
      <c r="A692" s="6" t="n">
        <v>7.625</v>
      </c>
      <c r="B692" s="2" t="n">
        <v>45.3</v>
      </c>
      <c r="C692" s="2" t="inlineStr">
        <is>
          <t>T-95</t>
        </is>
      </c>
      <c r="D692" s="2" t="n">
        <v>13660</v>
      </c>
      <c r="E692" s="2" t="n">
        <v>12460</v>
      </c>
      <c r="F692" s="2" t="n"/>
      <c r="G692" s="2" t="n"/>
      <c r="H692" s="2" t="n"/>
      <c r="I692" s="2" t="inlineStr">
        <is>
          <t>LTC</t>
        </is>
      </c>
      <c r="J692" s="2" t="n">
        <v>1101</v>
      </c>
      <c r="K692" s="2" t="n"/>
      <c r="L692" s="2" t="n">
        <v>1248</v>
      </c>
      <c r="M692" s="2" t="n">
        <v>0.595</v>
      </c>
      <c r="N692" s="2" t="n">
        <v>6.435</v>
      </c>
      <c r="O692" s="2" t="n">
        <v>6.31</v>
      </c>
      <c r="P692" s="7" t="n"/>
    </row>
    <row r="693">
      <c r="A693" s="6" t="n">
        <v>7.625</v>
      </c>
      <c r="B693" s="2" t="n">
        <v>45.3</v>
      </c>
      <c r="C693" s="2" t="inlineStr">
        <is>
          <t>T-95</t>
        </is>
      </c>
      <c r="D693" s="2" t="n">
        <v>13660</v>
      </c>
      <c r="E693" s="2" t="n">
        <v>11620</v>
      </c>
      <c r="F693" s="2" t="n"/>
      <c r="G693" s="2" t="n"/>
      <c r="H693" s="2" t="n"/>
      <c r="I693" s="2" t="inlineStr">
        <is>
          <t>BTC</t>
        </is>
      </c>
      <c r="J693" s="2" t="n">
        <v>1251</v>
      </c>
      <c r="K693" s="2" t="n"/>
      <c r="L693" s="2" t="n">
        <v>1248</v>
      </c>
      <c r="M693" s="2" t="n">
        <v>0.595</v>
      </c>
      <c r="N693" s="2" t="n">
        <v>6.435</v>
      </c>
      <c r="O693" s="2" t="n">
        <v>6.31</v>
      </c>
      <c r="P693" s="7" t="n"/>
    </row>
    <row r="694">
      <c r="A694" s="8" t="n">
        <v>7.625</v>
      </c>
      <c r="B694" s="1" t="n">
        <v>45.3</v>
      </c>
      <c r="C694" s="1" t="inlineStr">
        <is>
          <t>H2S-95</t>
        </is>
      </c>
      <c r="D694" s="1" t="n">
        <v>13660</v>
      </c>
      <c r="E694" s="1" t="n">
        <v>12460</v>
      </c>
      <c r="F694" s="1" t="n"/>
      <c r="G694" s="1" t="n"/>
      <c r="H694" s="1" t="n"/>
      <c r="I694" s="1" t="inlineStr">
        <is>
          <t>LTC</t>
        </is>
      </c>
      <c r="J694" s="1" t="n">
        <v>1101</v>
      </c>
      <c r="K694" s="1" t="n"/>
      <c r="L694" s="1" t="n">
        <v>1248</v>
      </c>
      <c r="M694" s="1" t="n">
        <v>0.595</v>
      </c>
      <c r="N694" s="1" t="n">
        <v>6.435</v>
      </c>
      <c r="O694" s="1" t="n">
        <v>6.31</v>
      </c>
      <c r="P694" s="9" t="n"/>
    </row>
    <row r="695">
      <c r="A695" s="8" t="n">
        <v>7.625</v>
      </c>
      <c r="B695" s="1" t="n">
        <v>45.3</v>
      </c>
      <c r="C695" s="1" t="inlineStr">
        <is>
          <t>H2S-95</t>
        </is>
      </c>
      <c r="D695" s="1" t="n">
        <v>13660</v>
      </c>
      <c r="E695" s="1" t="n">
        <v>11620</v>
      </c>
      <c r="F695" s="1" t="n"/>
      <c r="G695" s="1" t="n"/>
      <c r="H695" s="1" t="n"/>
      <c r="I695" s="1" t="inlineStr">
        <is>
          <t>BTC</t>
        </is>
      </c>
      <c r="J695" s="1" t="n">
        <v>1251</v>
      </c>
      <c r="K695" s="1" t="n"/>
      <c r="L695" s="1" t="n">
        <v>1248</v>
      </c>
      <c r="M695" s="1" t="n">
        <v>0.595</v>
      </c>
      <c r="N695" s="1" t="n">
        <v>6.435</v>
      </c>
      <c r="O695" s="1" t="n">
        <v>6.31</v>
      </c>
      <c r="P695" s="9" t="n"/>
    </row>
    <row r="696">
      <c r="A696" s="6" t="n">
        <v>7.625</v>
      </c>
      <c r="B696" s="2" t="n">
        <v>45.3</v>
      </c>
      <c r="C696" s="2" t="inlineStr">
        <is>
          <t>C-95</t>
        </is>
      </c>
      <c r="D696" s="2" t="n">
        <v>13660</v>
      </c>
      <c r="E696" s="2" t="n">
        <v>12460</v>
      </c>
      <c r="F696" s="2" t="n"/>
      <c r="G696" s="2" t="n"/>
      <c r="H696" s="2" t="n"/>
      <c r="I696" s="2" t="inlineStr">
        <is>
          <t>LTC</t>
        </is>
      </c>
      <c r="J696" s="2" t="n">
        <v>1101</v>
      </c>
      <c r="K696" s="2" t="n"/>
      <c r="L696" s="2" t="n">
        <v>1248</v>
      </c>
      <c r="M696" s="2" t="n">
        <v>0.595</v>
      </c>
      <c r="N696" s="2" t="n">
        <v>6.435</v>
      </c>
      <c r="O696" s="2" t="n">
        <v>6.31</v>
      </c>
      <c r="P696" s="7" t="n"/>
    </row>
    <row r="697">
      <c r="A697" s="6" t="n">
        <v>7.625</v>
      </c>
      <c r="B697" s="2" t="n">
        <v>45.3</v>
      </c>
      <c r="C697" s="2" t="inlineStr">
        <is>
          <t>C-95</t>
        </is>
      </c>
      <c r="D697" s="2" t="n">
        <v>13660</v>
      </c>
      <c r="E697" s="2" t="n">
        <v>11620</v>
      </c>
      <c r="F697" s="2" t="n"/>
      <c r="G697" s="2" t="n"/>
      <c r="H697" s="2" t="n"/>
      <c r="I697" s="2" t="inlineStr">
        <is>
          <t>BTC</t>
        </is>
      </c>
      <c r="J697" s="2" t="n">
        <v>1251</v>
      </c>
      <c r="K697" s="2" t="n"/>
      <c r="L697" s="2" t="n">
        <v>1248</v>
      </c>
      <c r="M697" s="2" t="n">
        <v>0.595</v>
      </c>
      <c r="N697" s="2" t="n">
        <v>6.435</v>
      </c>
      <c r="O697" s="2" t="n">
        <v>6.31</v>
      </c>
      <c r="P697" s="7" t="n"/>
    </row>
    <row r="698">
      <c r="A698" s="8" t="n">
        <v>7.625</v>
      </c>
      <c r="B698" s="1" t="n">
        <v>45.3</v>
      </c>
      <c r="C698" s="1" t="inlineStr">
        <is>
          <t>P-110</t>
        </is>
      </c>
      <c r="D698" s="1" t="n">
        <v>15430</v>
      </c>
      <c r="E698" s="1" t="n">
        <v>14430</v>
      </c>
      <c r="F698" s="1" t="n"/>
      <c r="G698" s="1" t="n"/>
      <c r="H698" s="1" t="n"/>
      <c r="I698" s="1" t="inlineStr">
        <is>
          <t>LTC</t>
        </is>
      </c>
      <c r="J698" s="1" t="n">
        <v>1285</v>
      </c>
      <c r="K698" s="1" t="n"/>
      <c r="L698" s="1" t="n">
        <v>1446</v>
      </c>
      <c r="M698" s="1" t="n">
        <v>0.595</v>
      </c>
      <c r="N698" s="1" t="n">
        <v>6.435</v>
      </c>
      <c r="O698" s="1" t="n">
        <v>6.31</v>
      </c>
      <c r="P698" s="9" t="n"/>
    </row>
    <row r="699">
      <c r="A699" s="8" t="n">
        <v>7.625</v>
      </c>
      <c r="B699" s="1" t="n">
        <v>45.3</v>
      </c>
      <c r="C699" s="1" t="inlineStr">
        <is>
          <t>P-110</t>
        </is>
      </c>
      <c r="D699" s="1" t="n">
        <v>15430</v>
      </c>
      <c r="E699" s="1" t="n">
        <v>13460</v>
      </c>
      <c r="F699" s="1" t="n"/>
      <c r="G699" s="1" t="n"/>
      <c r="H699" s="1" t="n"/>
      <c r="I699" s="1" t="inlineStr">
        <is>
          <t>BTC</t>
        </is>
      </c>
      <c r="J699" s="1" t="n">
        <v>1477</v>
      </c>
      <c r="K699" s="1" t="n"/>
      <c r="L699" s="1" t="n">
        <v>1446</v>
      </c>
      <c r="M699" s="1" t="n">
        <v>0.595</v>
      </c>
      <c r="N699" s="1" t="n">
        <v>6.435</v>
      </c>
      <c r="O699" s="1" t="n">
        <v>6.31</v>
      </c>
      <c r="P699" s="9" t="n"/>
    </row>
    <row r="700">
      <c r="A700" s="6" t="n">
        <v>7.625</v>
      </c>
      <c r="B700" s="2" t="n">
        <v>45.3</v>
      </c>
      <c r="C700" s="2" t="inlineStr">
        <is>
          <t>Q-125</t>
        </is>
      </c>
      <c r="D700" s="2" t="n">
        <v>17090</v>
      </c>
      <c r="E700" s="2" t="n">
        <v>16400</v>
      </c>
      <c r="F700" s="2" t="n"/>
      <c r="G700" s="2" t="n"/>
      <c r="H700" s="2" t="n"/>
      <c r="I700" s="2" t="inlineStr">
        <is>
          <t>LTC</t>
        </is>
      </c>
      <c r="J700" s="2" t="n">
        <v>1439</v>
      </c>
      <c r="K700" s="2" t="n"/>
      <c r="L700" s="2" t="n">
        <v>1643</v>
      </c>
      <c r="M700" s="2" t="n">
        <v>0.595</v>
      </c>
      <c r="N700" s="2" t="n">
        <v>6.435</v>
      </c>
      <c r="O700" s="2" t="n">
        <v>6.31</v>
      </c>
      <c r="P700" s="7" t="n"/>
    </row>
    <row r="701">
      <c r="A701" s="6" t="n">
        <v>7.625</v>
      </c>
      <c r="B701" s="2" t="n">
        <v>45.3</v>
      </c>
      <c r="C701" s="2" t="inlineStr">
        <is>
          <t>Q-125</t>
        </is>
      </c>
      <c r="D701" s="2" t="n">
        <v>17090</v>
      </c>
      <c r="E701" s="2" t="n">
        <v>15290</v>
      </c>
      <c r="F701" s="2" t="n"/>
      <c r="G701" s="2" t="n"/>
      <c r="H701" s="2" t="n"/>
      <c r="I701" s="2" t="inlineStr">
        <is>
          <t>BTC</t>
        </is>
      </c>
      <c r="J701" s="2" t="n">
        <v>1619</v>
      </c>
      <c r="K701" s="2" t="n"/>
      <c r="L701" s="2" t="n">
        <v>1643</v>
      </c>
      <c r="M701" s="2" t="n">
        <v>0.595</v>
      </c>
      <c r="N701" s="2" t="n">
        <v>6.435</v>
      </c>
      <c r="O701" s="2" t="n">
        <v>6.31</v>
      </c>
      <c r="P701" s="7" t="n"/>
    </row>
    <row r="702">
      <c r="A702" s="8" t="n">
        <v>7.625</v>
      </c>
      <c r="B702" s="1" t="n">
        <v>45.3</v>
      </c>
      <c r="C702" s="1" t="inlineStr">
        <is>
          <t>V-150</t>
        </is>
      </c>
      <c r="D702" s="1" t="n">
        <v>19660</v>
      </c>
      <c r="E702" s="1" t="n">
        <v>19680</v>
      </c>
      <c r="F702" s="1" t="n"/>
      <c r="G702" s="1" t="n"/>
      <c r="H702" s="1" t="n"/>
      <c r="I702" s="1" t="inlineStr">
        <is>
          <t>LTC</t>
        </is>
      </c>
      <c r="J702" s="1" t="n">
        <v>1721</v>
      </c>
      <c r="K702" s="1" t="n"/>
      <c r="L702" s="1" t="n">
        <v>1971</v>
      </c>
      <c r="M702" s="1" t="n">
        <v>0.595</v>
      </c>
      <c r="N702" s="1" t="n">
        <v>6.435</v>
      </c>
      <c r="O702" s="1" t="n">
        <v>6.31</v>
      </c>
      <c r="P702" s="9" t="n"/>
    </row>
    <row r="703">
      <c r="A703" s="8" t="n">
        <v>7.625</v>
      </c>
      <c r="B703" s="1" t="n">
        <v>45.3</v>
      </c>
      <c r="C703" s="1" t="inlineStr">
        <is>
          <t>V-150</t>
        </is>
      </c>
      <c r="D703" s="1" t="n">
        <v>19660</v>
      </c>
      <c r="E703" s="1" t="n">
        <v>18350</v>
      </c>
      <c r="F703" s="1" t="n"/>
      <c r="G703" s="1" t="n"/>
      <c r="H703" s="1" t="n"/>
      <c r="I703" s="1" t="inlineStr">
        <is>
          <t>BTC</t>
        </is>
      </c>
      <c r="J703" s="1" t="n">
        <v>1926</v>
      </c>
      <c r="K703" s="1" t="n"/>
      <c r="L703" s="1" t="n">
        <v>1971</v>
      </c>
      <c r="M703" s="1" t="n">
        <v>0.595</v>
      </c>
      <c r="N703" s="1" t="n">
        <v>6.435</v>
      </c>
      <c r="O703" s="1" t="n">
        <v>6.31</v>
      </c>
      <c r="P703" s="9" t="n"/>
    </row>
    <row r="704">
      <c r="A704" s="6" t="n">
        <v>7.625</v>
      </c>
      <c r="B704" s="2" t="n">
        <v>47.1</v>
      </c>
      <c r="C704" s="2" t="inlineStr">
        <is>
          <t>L-80</t>
        </is>
      </c>
      <c r="D704" s="2" t="n">
        <v>12040</v>
      </c>
      <c r="E704" s="2" t="n">
        <v>10490</v>
      </c>
      <c r="F704" s="2" t="n"/>
      <c r="G704" s="2" t="n"/>
      <c r="H704" s="2" t="n"/>
      <c r="I704" s="2" t="inlineStr">
        <is>
          <t>LTC</t>
        </is>
      </c>
      <c r="J704" s="2" t="n">
        <v>997</v>
      </c>
      <c r="K704" s="2" t="n"/>
      <c r="L704" s="2" t="n">
        <v>1100</v>
      </c>
      <c r="M704" s="2" t="n">
        <v>0.625</v>
      </c>
      <c r="N704" s="2" t="n">
        <v>6.375</v>
      </c>
      <c r="O704" s="2" t="n">
        <v>6.25</v>
      </c>
      <c r="P704" s="7" t="n"/>
    </row>
    <row r="705">
      <c r="A705" s="6" t="n">
        <v>7.625</v>
      </c>
      <c r="B705" s="2" t="n">
        <v>47.1</v>
      </c>
      <c r="C705" s="2" t="inlineStr">
        <is>
          <t>L-80</t>
        </is>
      </c>
      <c r="D705" s="2" t="n">
        <v>12040</v>
      </c>
      <c r="E705" s="2" t="n">
        <v>9790</v>
      </c>
      <c r="F705" s="2" t="n"/>
      <c r="G705" s="2" t="n"/>
      <c r="H705" s="2" t="n"/>
      <c r="I705" s="2" t="inlineStr">
        <is>
          <t>BTC</t>
        </is>
      </c>
      <c r="J705" s="2" t="n">
        <v>1160</v>
      </c>
      <c r="K705" s="2" t="n"/>
      <c r="L705" s="2" t="n">
        <v>1100</v>
      </c>
      <c r="M705" s="2" t="n">
        <v>0.625</v>
      </c>
      <c r="N705" s="2" t="n">
        <v>6.375</v>
      </c>
      <c r="O705" s="2" t="n">
        <v>6.25</v>
      </c>
      <c r="P705" s="7" t="n"/>
    </row>
    <row r="706">
      <c r="A706" s="8" t="n">
        <v>7.625</v>
      </c>
      <c r="B706" s="1" t="n">
        <v>47.1</v>
      </c>
      <c r="C706" s="1" t="inlineStr">
        <is>
          <t>N-80</t>
        </is>
      </c>
      <c r="D706" s="1" t="n">
        <v>12040</v>
      </c>
      <c r="E706" s="1" t="n">
        <v>10490</v>
      </c>
      <c r="F706" s="1" t="n"/>
      <c r="G706" s="1" t="n"/>
      <c r="H706" s="1" t="n"/>
      <c r="I706" s="1" t="inlineStr">
        <is>
          <t>LTC</t>
        </is>
      </c>
      <c r="J706" s="1" t="n">
        <v>1013</v>
      </c>
      <c r="K706" s="1" t="n"/>
      <c r="L706" s="1" t="n">
        <v>1100</v>
      </c>
      <c r="M706" s="1" t="n">
        <v>0.625</v>
      </c>
      <c r="N706" s="1" t="n">
        <v>6.375</v>
      </c>
      <c r="O706" s="1" t="n">
        <v>6.25</v>
      </c>
      <c r="P706" s="9" t="n"/>
    </row>
    <row r="707">
      <c r="A707" s="8" t="n">
        <v>7.625</v>
      </c>
      <c r="B707" s="1" t="n">
        <v>47.1</v>
      </c>
      <c r="C707" s="1" t="inlineStr">
        <is>
          <t>N-80</t>
        </is>
      </c>
      <c r="D707" s="1" t="n">
        <v>12040</v>
      </c>
      <c r="E707" s="1" t="n">
        <v>9790</v>
      </c>
      <c r="F707" s="1" t="n"/>
      <c r="G707" s="1" t="n"/>
      <c r="H707" s="1" t="n"/>
      <c r="I707" s="1" t="inlineStr">
        <is>
          <t>BTC</t>
        </is>
      </c>
      <c r="J707" s="1" t="n">
        <v>1205</v>
      </c>
      <c r="K707" s="1" t="n"/>
      <c r="L707" s="1" t="n">
        <v>1100</v>
      </c>
      <c r="M707" s="1" t="n">
        <v>0.625</v>
      </c>
      <c r="N707" s="1" t="n">
        <v>6.375</v>
      </c>
      <c r="O707" s="1" t="n">
        <v>6.25</v>
      </c>
      <c r="P707" s="9" t="n"/>
    </row>
    <row r="708">
      <c r="A708" s="6" t="n">
        <v>7.625</v>
      </c>
      <c r="B708" s="2" t="n">
        <v>47.1</v>
      </c>
      <c r="C708" s="2" t="inlineStr">
        <is>
          <t>C-90</t>
        </is>
      </c>
      <c r="D708" s="2" t="n">
        <v>13540</v>
      </c>
      <c r="E708" s="2" t="n">
        <v>11810</v>
      </c>
      <c r="F708" s="2" t="n"/>
      <c r="G708" s="2" t="n"/>
      <c r="H708" s="2" t="n"/>
      <c r="I708" s="2" t="inlineStr">
        <is>
          <t>LTC</t>
        </is>
      </c>
      <c r="J708" s="2" t="n">
        <v>1100</v>
      </c>
      <c r="K708" s="2" t="n"/>
      <c r="L708" s="2" t="n">
        <v>1237</v>
      </c>
      <c r="M708" s="2" t="n">
        <v>0.625</v>
      </c>
      <c r="N708" s="2" t="n">
        <v>6.375</v>
      </c>
      <c r="O708" s="2" t="n">
        <v>6.25</v>
      </c>
      <c r="P708" s="7" t="n"/>
    </row>
    <row r="709">
      <c r="A709" s="6" t="n">
        <v>7.625</v>
      </c>
      <c r="B709" s="2" t="n">
        <v>47.1</v>
      </c>
      <c r="C709" s="2" t="inlineStr">
        <is>
          <t>C-90</t>
        </is>
      </c>
      <c r="D709" s="2" t="n">
        <v>13540</v>
      </c>
      <c r="E709" s="2" t="n">
        <v>11010</v>
      </c>
      <c r="F709" s="2" t="n"/>
      <c r="G709" s="2" t="n"/>
      <c r="H709" s="2" t="n"/>
      <c r="I709" s="2" t="inlineStr">
        <is>
          <t>BTC</t>
        </is>
      </c>
      <c r="J709" s="2" t="n">
        <v>1238</v>
      </c>
      <c r="K709" s="2" t="n"/>
      <c r="L709" s="2" t="n">
        <v>1237</v>
      </c>
      <c r="M709" s="2" t="n">
        <v>0.625</v>
      </c>
      <c r="N709" s="2" t="n">
        <v>6.375</v>
      </c>
      <c r="O709" s="2" t="n">
        <v>6.25</v>
      </c>
      <c r="P709" s="7" t="n"/>
    </row>
    <row r="710">
      <c r="A710" s="8" t="n">
        <v>7.625</v>
      </c>
      <c r="B710" s="1" t="n">
        <v>47.1</v>
      </c>
      <c r="C710" s="1" t="inlineStr">
        <is>
          <t>T-95</t>
        </is>
      </c>
      <c r="D710" s="1" t="n">
        <v>14300</v>
      </c>
      <c r="E710" s="1" t="n">
        <v>12460</v>
      </c>
      <c r="F710" s="1" t="n"/>
      <c r="G710" s="1" t="n"/>
      <c r="H710" s="1" t="n"/>
      <c r="I710" s="1" t="inlineStr">
        <is>
          <t>LTC</t>
        </is>
      </c>
      <c r="J710" s="1" t="n">
        <v>1159</v>
      </c>
      <c r="K710" s="1" t="n"/>
      <c r="L710" s="1" t="n">
        <v>1306</v>
      </c>
      <c r="M710" s="1" t="n">
        <v>0.625</v>
      </c>
      <c r="N710" s="1" t="n">
        <v>6.375</v>
      </c>
      <c r="O710" s="1" t="n">
        <v>6.25</v>
      </c>
      <c r="P710" s="9" t="n"/>
    </row>
    <row r="711">
      <c r="A711" s="8" t="n">
        <v>7.625</v>
      </c>
      <c r="B711" s="1" t="n">
        <v>47.1</v>
      </c>
      <c r="C711" s="1" t="inlineStr">
        <is>
          <t>T-95</t>
        </is>
      </c>
      <c r="D711" s="1" t="n">
        <v>14300</v>
      </c>
      <c r="E711" s="1" t="n">
        <v>11620</v>
      </c>
      <c r="F711" s="1" t="n"/>
      <c r="G711" s="1" t="n"/>
      <c r="H711" s="1" t="n"/>
      <c r="I711" s="1" t="inlineStr">
        <is>
          <t>BTC</t>
        </is>
      </c>
      <c r="J711" s="1" t="n">
        <v>1300</v>
      </c>
      <c r="K711" s="1" t="n"/>
      <c r="L711" s="1" t="n">
        <v>1306</v>
      </c>
      <c r="M711" s="1" t="n">
        <v>0.625</v>
      </c>
      <c r="N711" s="1" t="n">
        <v>6.375</v>
      </c>
      <c r="O711" s="1" t="n">
        <v>6.25</v>
      </c>
      <c r="P711" s="9" t="n"/>
    </row>
    <row r="712">
      <c r="A712" s="6" t="n">
        <v>7.625</v>
      </c>
      <c r="B712" s="2" t="n">
        <v>47.1</v>
      </c>
      <c r="C712" s="2" t="inlineStr">
        <is>
          <t>C-95</t>
        </is>
      </c>
      <c r="D712" s="2" t="n">
        <v>14300</v>
      </c>
      <c r="E712" s="2" t="n">
        <v>12460</v>
      </c>
      <c r="F712" s="2" t="n"/>
      <c r="G712" s="2" t="n"/>
      <c r="H712" s="2" t="n"/>
      <c r="I712" s="2" t="inlineStr">
        <is>
          <t>LTC</t>
        </is>
      </c>
      <c r="J712" s="2" t="n">
        <v>1159</v>
      </c>
      <c r="K712" s="2" t="n"/>
      <c r="L712" s="2" t="n">
        <v>1306</v>
      </c>
      <c r="M712" s="2" t="n">
        <v>0.625</v>
      </c>
      <c r="N712" s="2" t="n">
        <v>6.375</v>
      </c>
      <c r="O712" s="2" t="n">
        <v>6.25</v>
      </c>
      <c r="P712" s="7" t="n"/>
    </row>
    <row r="713">
      <c r="A713" s="6" t="n">
        <v>7.625</v>
      </c>
      <c r="B713" s="2" t="n">
        <v>47.1</v>
      </c>
      <c r="C713" s="2" t="inlineStr">
        <is>
          <t>C-95</t>
        </is>
      </c>
      <c r="D713" s="2" t="n">
        <v>14300</v>
      </c>
      <c r="E713" s="2" t="n">
        <v>11620</v>
      </c>
      <c r="F713" s="2" t="n"/>
      <c r="G713" s="2" t="n"/>
      <c r="H713" s="2" t="n"/>
      <c r="I713" s="2" t="inlineStr">
        <is>
          <t>BTC</t>
        </is>
      </c>
      <c r="J713" s="2" t="n">
        <v>1300</v>
      </c>
      <c r="K713" s="2" t="n"/>
      <c r="L713" s="2" t="n">
        <v>1306</v>
      </c>
      <c r="M713" s="2" t="n">
        <v>0.625</v>
      </c>
      <c r="N713" s="2" t="n">
        <v>6.375</v>
      </c>
      <c r="O713" s="2" t="n">
        <v>6.25</v>
      </c>
      <c r="P713" s="7" t="n"/>
    </row>
    <row r="714">
      <c r="A714" s="8" t="n">
        <v>7.625</v>
      </c>
      <c r="B714" s="1" t="n">
        <v>47.1</v>
      </c>
      <c r="C714" s="1" t="inlineStr">
        <is>
          <t>P-110</t>
        </is>
      </c>
      <c r="D714" s="1" t="n">
        <v>16550</v>
      </c>
      <c r="E714" s="1" t="n">
        <v>14430</v>
      </c>
      <c r="F714" s="1" t="n"/>
      <c r="G714" s="1" t="n"/>
      <c r="H714" s="1" t="n"/>
      <c r="I714" s="1" t="inlineStr">
        <is>
          <t>LTC</t>
        </is>
      </c>
      <c r="J714" s="1" t="n">
        <v>1353</v>
      </c>
      <c r="K714" s="1" t="n"/>
      <c r="L714" s="1" t="n">
        <v>1512</v>
      </c>
      <c r="M714" s="1" t="n">
        <v>0.625</v>
      </c>
      <c r="N714" s="1" t="n">
        <v>6.375</v>
      </c>
      <c r="O714" s="1" t="n">
        <v>6.25</v>
      </c>
      <c r="P714" s="9" t="n"/>
    </row>
    <row r="715">
      <c r="A715" s="8" t="n">
        <v>7.625</v>
      </c>
      <c r="B715" s="1" t="n">
        <v>47.1</v>
      </c>
      <c r="C715" s="1" t="inlineStr">
        <is>
          <t>P-110</t>
        </is>
      </c>
      <c r="D715" s="1" t="n">
        <v>16550</v>
      </c>
      <c r="E715" s="1" t="n">
        <v>13460</v>
      </c>
      <c r="F715" s="1" t="n"/>
      <c r="G715" s="1" t="n"/>
      <c r="H715" s="1" t="n"/>
      <c r="I715" s="1" t="inlineStr">
        <is>
          <t>BTC</t>
        </is>
      </c>
      <c r="J715" s="1" t="n">
        <v>1545</v>
      </c>
      <c r="K715" s="1" t="n"/>
      <c r="L715" s="1" t="n">
        <v>1512</v>
      </c>
      <c r="M715" s="1" t="n">
        <v>0.625</v>
      </c>
      <c r="N715" s="1" t="n">
        <v>6.375</v>
      </c>
      <c r="O715" s="1" t="n">
        <v>6.25</v>
      </c>
      <c r="P715" s="9" t="n"/>
    </row>
    <row r="716">
      <c r="A716" s="6" t="n">
        <v>7.625</v>
      </c>
      <c r="B716" s="2" t="n">
        <v>47.1</v>
      </c>
      <c r="C716" s="2" t="inlineStr">
        <is>
          <t>Q-125</t>
        </is>
      </c>
      <c r="D716" s="2" t="n">
        <v>18700</v>
      </c>
      <c r="E716" s="2" t="n">
        <v>16400</v>
      </c>
      <c r="F716" s="2" t="n"/>
      <c r="G716" s="2" t="n"/>
      <c r="H716" s="2" t="n"/>
      <c r="I716" s="2" t="inlineStr">
        <is>
          <t>LTC</t>
        </is>
      </c>
      <c r="J716" s="2" t="n">
        <v>1515</v>
      </c>
      <c r="K716" s="2" t="n"/>
      <c r="L716" s="2" t="n">
        <v>1718</v>
      </c>
      <c r="M716" s="2" t="n">
        <v>0.625</v>
      </c>
      <c r="N716" s="2" t="n">
        <v>6.375</v>
      </c>
      <c r="O716" s="2" t="n">
        <v>6.25</v>
      </c>
      <c r="P716" s="7" t="n"/>
    </row>
    <row r="717">
      <c r="A717" s="6" t="n">
        <v>7.625</v>
      </c>
      <c r="B717" s="2" t="n">
        <v>47.1</v>
      </c>
      <c r="C717" s="2" t="inlineStr">
        <is>
          <t>Q-125</t>
        </is>
      </c>
      <c r="D717" s="2" t="n">
        <v>18700</v>
      </c>
      <c r="E717" s="2" t="n">
        <v>15290</v>
      </c>
      <c r="F717" s="2" t="n"/>
      <c r="G717" s="2" t="n"/>
      <c r="H717" s="2" t="n"/>
      <c r="I717" s="2" t="inlineStr">
        <is>
          <t>BTC</t>
        </is>
      </c>
      <c r="J717" s="2" t="n">
        <v>1672</v>
      </c>
      <c r="K717" s="2" t="n"/>
      <c r="L717" s="2" t="n">
        <v>1718</v>
      </c>
      <c r="M717" s="2" t="n">
        <v>0.625</v>
      </c>
      <c r="N717" s="2" t="n">
        <v>6.375</v>
      </c>
      <c r="O717" s="2" t="n">
        <v>6.25</v>
      </c>
      <c r="P717" s="7" t="n"/>
    </row>
    <row r="718">
      <c r="A718" s="8" t="n">
        <v>7.625</v>
      </c>
      <c r="B718" s="1" t="n">
        <v>51.2</v>
      </c>
      <c r="C718" s="1" t="inlineStr">
        <is>
          <t>C-90</t>
        </is>
      </c>
      <c r="D718" s="1" t="n">
        <v>14760</v>
      </c>
      <c r="E718" s="1" t="n">
        <v>14190</v>
      </c>
      <c r="F718" s="1" t="n"/>
      <c r="G718" s="1" t="n"/>
      <c r="H718" s="1" t="n"/>
      <c r="I718" s="1" t="inlineStr">
        <is>
          <t>PE</t>
        </is>
      </c>
      <c r="J718" s="1" t="n">
        <v>1348</v>
      </c>
      <c r="K718" s="1" t="n"/>
      <c r="L718" s="1" t="n">
        <v>1348</v>
      </c>
      <c r="M718" s="1" t="n">
        <v>0.6870000000000001</v>
      </c>
      <c r="N718" s="1" t="n">
        <v>6.251</v>
      </c>
      <c r="O718" s="1" t="n">
        <v>6.126</v>
      </c>
      <c r="P718" s="9" t="n"/>
    </row>
    <row r="719">
      <c r="A719" s="6" t="n">
        <v>7.625</v>
      </c>
      <c r="B719" s="2" t="n">
        <v>51.2</v>
      </c>
      <c r="C719" s="2" t="inlineStr">
        <is>
          <t>T-95</t>
        </is>
      </c>
      <c r="D719" s="2" t="n">
        <v>15580</v>
      </c>
      <c r="E719" s="2" t="n">
        <v>14980</v>
      </c>
      <c r="F719" s="2" t="n"/>
      <c r="G719" s="2" t="n"/>
      <c r="H719" s="2" t="n"/>
      <c r="I719" s="2" t="inlineStr">
        <is>
          <t>PE</t>
        </is>
      </c>
      <c r="J719" s="2" t="n">
        <v>1423</v>
      </c>
      <c r="K719" s="2" t="n"/>
      <c r="L719" s="2" t="n">
        <v>1423</v>
      </c>
      <c r="M719" s="2" t="n">
        <v>0.6870000000000001</v>
      </c>
      <c r="N719" s="2" t="n">
        <v>6.251</v>
      </c>
      <c r="O719" s="2" t="n">
        <v>6.126</v>
      </c>
      <c r="P719" s="7" t="n"/>
    </row>
    <row r="720">
      <c r="A720" s="8" t="n">
        <v>7.625</v>
      </c>
      <c r="B720" s="1" t="n">
        <v>55.3</v>
      </c>
      <c r="C720" s="1" t="inlineStr">
        <is>
          <t>C-90</t>
        </is>
      </c>
      <c r="D720" s="1" t="n">
        <v>15960</v>
      </c>
      <c r="E720" s="1" t="n">
        <v>15490</v>
      </c>
      <c r="F720" s="1" t="n"/>
      <c r="G720" s="1" t="n"/>
      <c r="H720" s="1" t="n"/>
      <c r="I720" s="1" t="inlineStr">
        <is>
          <t>PE</t>
        </is>
      </c>
      <c r="J720" s="1" t="n">
        <v>1458</v>
      </c>
      <c r="K720" s="1" t="n"/>
      <c r="L720" s="1" t="n">
        <v>1458</v>
      </c>
      <c r="M720" s="1" t="n">
        <v>0.75</v>
      </c>
      <c r="N720" s="1" t="n">
        <v>6.125</v>
      </c>
      <c r="O720" s="1" t="n">
        <v>6</v>
      </c>
      <c r="P720" s="9" t="n"/>
    </row>
    <row r="721" ht="15.75" customHeight="1" s="613" thickBot="1">
      <c r="A721" s="13" t="n">
        <v>7.625</v>
      </c>
      <c r="B721" s="14" t="n">
        <v>55.3</v>
      </c>
      <c r="C721" s="14" t="inlineStr">
        <is>
          <t>T-95</t>
        </is>
      </c>
      <c r="D721" s="14" t="n">
        <v>16850</v>
      </c>
      <c r="E721" s="14" t="n">
        <v>16350</v>
      </c>
      <c r="F721" s="14" t="n"/>
      <c r="G721" s="14" t="n"/>
      <c r="H721" s="14" t="n"/>
      <c r="I721" s="2" t="inlineStr">
        <is>
          <t>PE</t>
        </is>
      </c>
      <c r="J721" s="14" t="n">
        <v>1539</v>
      </c>
      <c r="K721" s="14" t="n"/>
      <c r="L721" s="14" t="n">
        <v>1539</v>
      </c>
      <c r="M721" s="14" t="n">
        <v>0.75</v>
      </c>
      <c r="N721" s="14" t="n">
        <v>6.125</v>
      </c>
      <c r="O721" s="14" t="n">
        <v>6</v>
      </c>
      <c r="P721" s="15" t="n"/>
    </row>
    <row r="722" ht="15.75" customHeight="1" s="613" thickBot="1">
      <c r="A722" s="3" t="n">
        <v>7.75</v>
      </c>
      <c r="B722" s="4" t="n">
        <v>46.1</v>
      </c>
      <c r="C722" s="4" t="inlineStr">
        <is>
          <t>L-80</t>
        </is>
      </c>
      <c r="D722" s="4" t="n">
        <v>11340</v>
      </c>
      <c r="E722" s="4" t="n">
        <v>10490</v>
      </c>
      <c r="F722" s="4" t="n"/>
      <c r="G722" s="4" t="n"/>
      <c r="H722" s="4" t="n"/>
      <c r="I722" s="4" t="inlineStr">
        <is>
          <t>LTC</t>
        </is>
      </c>
      <c r="J722" s="4" t="n">
        <v>841</v>
      </c>
      <c r="K722" s="4" t="n"/>
      <c r="L722" s="4" t="n">
        <v>1070</v>
      </c>
      <c r="M722" s="4" t="n">
        <v>0.595</v>
      </c>
      <c r="N722" s="4" t="n">
        <v>6.56</v>
      </c>
      <c r="O722" s="4" t="n">
        <v>6.435</v>
      </c>
      <c r="P722" s="5" t="n">
        <v>6.5</v>
      </c>
    </row>
    <row r="723">
      <c r="A723" s="3" t="n">
        <v>7.75</v>
      </c>
      <c r="B723" s="4" t="n">
        <v>46.1</v>
      </c>
      <c r="C723" s="4" t="inlineStr">
        <is>
          <t>L-80</t>
        </is>
      </c>
      <c r="D723" s="4" t="n">
        <v>11340</v>
      </c>
      <c r="E723" s="4" t="n">
        <v>9790</v>
      </c>
      <c r="F723" s="4" t="n"/>
      <c r="G723" s="4" t="n"/>
      <c r="H723" s="4" t="n"/>
      <c r="I723" s="4" t="inlineStr">
        <is>
          <t>BTC</t>
        </is>
      </c>
      <c r="J723" s="4" t="n">
        <v>1001</v>
      </c>
      <c r="K723" s="4" t="n"/>
      <c r="L723" s="4" t="n">
        <v>1070</v>
      </c>
      <c r="M723" s="4" t="n">
        <v>0.595</v>
      </c>
      <c r="N723" s="4" t="n">
        <v>6.56</v>
      </c>
      <c r="O723" s="4" t="n">
        <v>6.435</v>
      </c>
      <c r="P723" s="5" t="n">
        <v>6.5</v>
      </c>
    </row>
    <row r="724">
      <c r="A724" s="6" t="n">
        <v>7.75</v>
      </c>
      <c r="B724" s="2" t="n">
        <v>46.1</v>
      </c>
      <c r="C724" s="2" t="inlineStr">
        <is>
          <t>HCL-80</t>
        </is>
      </c>
      <c r="D724" s="2" t="n">
        <v>13320</v>
      </c>
      <c r="E724" s="2" t="n">
        <v>10490</v>
      </c>
      <c r="F724" s="2" t="n"/>
      <c r="G724" s="2" t="n"/>
      <c r="H724" s="2" t="n"/>
      <c r="I724" s="2" t="inlineStr">
        <is>
          <t>LTC</t>
        </is>
      </c>
      <c r="J724" s="2" t="n">
        <v>965</v>
      </c>
      <c r="K724" s="2" t="n"/>
      <c r="L724" s="2" t="n">
        <v>1070</v>
      </c>
      <c r="M724" s="2" t="n">
        <v>0.595</v>
      </c>
      <c r="N724" s="2" t="n">
        <v>6.56</v>
      </c>
      <c r="O724" s="2" t="n">
        <v>6.435</v>
      </c>
      <c r="P724" s="7" t="n">
        <v>6.5</v>
      </c>
    </row>
    <row r="725">
      <c r="A725" s="6" t="n">
        <v>7.75</v>
      </c>
      <c r="B725" s="2" t="n">
        <v>46.1</v>
      </c>
      <c r="C725" s="2" t="inlineStr">
        <is>
          <t>HCL-80</t>
        </is>
      </c>
      <c r="D725" s="2" t="n">
        <v>13320</v>
      </c>
      <c r="E725" s="2" t="n">
        <v>9790</v>
      </c>
      <c r="F725" s="2" t="n"/>
      <c r="G725" s="2" t="n"/>
      <c r="H725" s="2" t="n"/>
      <c r="I725" s="2" t="inlineStr">
        <is>
          <t>BTC</t>
        </is>
      </c>
      <c r="J725" s="2" t="n">
        <v>1091</v>
      </c>
      <c r="K725" s="2" t="n"/>
      <c r="L725" s="2" t="n">
        <v>1070</v>
      </c>
      <c r="M725" s="2" t="n">
        <v>0.595</v>
      </c>
      <c r="N725" s="2" t="n">
        <v>6.56</v>
      </c>
      <c r="O725" s="2" t="n">
        <v>6.435</v>
      </c>
      <c r="P725" s="7" t="n">
        <v>6.5</v>
      </c>
    </row>
    <row r="726">
      <c r="A726" s="8" t="n">
        <v>7.75</v>
      </c>
      <c r="B726" s="1" t="n">
        <v>46.1</v>
      </c>
      <c r="C726" s="1" t="inlineStr">
        <is>
          <t>C-90</t>
        </is>
      </c>
      <c r="D726" s="1" t="n">
        <v>12740</v>
      </c>
      <c r="E726" s="1" t="n">
        <v>11810</v>
      </c>
      <c r="F726" s="1" t="n"/>
      <c r="G726" s="1" t="n"/>
      <c r="H726" s="1" t="n"/>
      <c r="I726" s="1" t="inlineStr">
        <is>
          <t>LTC</t>
        </is>
      </c>
      <c r="J726" s="1" t="n">
        <v>928</v>
      </c>
      <c r="K726" s="1" t="n"/>
      <c r="L726" s="1" t="n">
        <v>1204</v>
      </c>
      <c r="M726" s="1" t="n">
        <v>0.595</v>
      </c>
      <c r="N726" s="1" t="n">
        <v>6.56</v>
      </c>
      <c r="O726" s="1" t="n">
        <v>6.435</v>
      </c>
      <c r="P726" s="9" t="n">
        <v>6.5</v>
      </c>
    </row>
    <row r="727">
      <c r="A727" s="8" t="n">
        <v>7.75</v>
      </c>
      <c r="B727" s="1" t="n">
        <v>46.1</v>
      </c>
      <c r="C727" s="1" t="inlineStr">
        <is>
          <t>C-90</t>
        </is>
      </c>
      <c r="D727" s="1" t="n">
        <v>12740</v>
      </c>
      <c r="E727" s="1" t="n">
        <v>11010</v>
      </c>
      <c r="F727" s="1" t="n"/>
      <c r="G727" s="1" t="n"/>
      <c r="H727" s="1" t="n"/>
      <c r="I727" s="1" t="inlineStr">
        <is>
          <t>BTC</t>
        </is>
      </c>
      <c r="J727" s="1" t="n">
        <v>1074</v>
      </c>
      <c r="K727" s="1" t="n"/>
      <c r="L727" s="1" t="n">
        <v>1204</v>
      </c>
      <c r="M727" s="1" t="n">
        <v>0.595</v>
      </c>
      <c r="N727" s="1" t="n">
        <v>6.56</v>
      </c>
      <c r="O727" s="1" t="n">
        <v>6.435</v>
      </c>
      <c r="P727" s="9" t="n">
        <v>6.5</v>
      </c>
    </row>
    <row r="728">
      <c r="A728" s="6" t="n">
        <v>7.75</v>
      </c>
      <c r="B728" s="2" t="n">
        <v>46.1</v>
      </c>
      <c r="C728" s="2" t="inlineStr">
        <is>
          <t>H2S-90</t>
        </is>
      </c>
      <c r="D728" s="2" t="n">
        <v>12740</v>
      </c>
      <c r="E728" s="2" t="n">
        <v>11810</v>
      </c>
      <c r="F728" s="2" t="n"/>
      <c r="G728" s="2" t="n"/>
      <c r="H728" s="2" t="n"/>
      <c r="I728" s="2" t="inlineStr">
        <is>
          <t>LTC</t>
        </is>
      </c>
      <c r="J728" s="2" t="n">
        <v>965</v>
      </c>
      <c r="K728" s="2" t="n"/>
      <c r="L728" s="2" t="n">
        <v>1204</v>
      </c>
      <c r="M728" s="2" t="n">
        <v>0.595</v>
      </c>
      <c r="N728" s="2" t="n">
        <v>6.56</v>
      </c>
      <c r="O728" s="2" t="n">
        <v>6.435</v>
      </c>
      <c r="P728" s="7" t="n">
        <v>6.5</v>
      </c>
    </row>
    <row r="729">
      <c r="A729" s="6" t="n">
        <v>7.75</v>
      </c>
      <c r="B729" s="2" t="n">
        <v>46.1</v>
      </c>
      <c r="C729" s="2" t="inlineStr">
        <is>
          <t>H2S-90</t>
        </is>
      </c>
      <c r="D729" s="2" t="n">
        <v>12740</v>
      </c>
      <c r="E729" s="2" t="n">
        <v>11010</v>
      </c>
      <c r="F729" s="2" t="n"/>
      <c r="G729" s="2" t="n"/>
      <c r="H729" s="2" t="n"/>
      <c r="I729" s="2" t="inlineStr">
        <is>
          <t>BTC</t>
        </is>
      </c>
      <c r="J729" s="2" t="n">
        <v>1091</v>
      </c>
      <c r="K729" s="2" t="n"/>
      <c r="L729" s="2" t="n">
        <v>1204</v>
      </c>
      <c r="M729" s="2" t="n">
        <v>0.595</v>
      </c>
      <c r="N729" s="2" t="n">
        <v>6.56</v>
      </c>
      <c r="O729" s="2" t="n">
        <v>6.435</v>
      </c>
      <c r="P729" s="7" t="n">
        <v>6.5</v>
      </c>
    </row>
    <row r="730">
      <c r="A730" s="8" t="n">
        <v>7.75</v>
      </c>
      <c r="B730" s="1" t="n">
        <v>46.1</v>
      </c>
      <c r="C730" s="1" t="inlineStr">
        <is>
          <t>S-95</t>
        </is>
      </c>
      <c r="D730" s="1" t="n">
        <v>13320</v>
      </c>
      <c r="E730" s="1" t="n">
        <v>12460</v>
      </c>
      <c r="F730" s="1" t="n"/>
      <c r="G730" s="1" t="n"/>
      <c r="H730" s="1" t="n"/>
      <c r="I730" s="1" t="inlineStr">
        <is>
          <t>LTC</t>
        </is>
      </c>
      <c r="J730" s="1" t="n">
        <v>992</v>
      </c>
      <c r="K730" s="1" t="n"/>
      <c r="L730" s="1" t="n">
        <v>1271</v>
      </c>
      <c r="M730" s="1" t="n">
        <v>0.595</v>
      </c>
      <c r="N730" s="1" t="n">
        <v>6.56</v>
      </c>
      <c r="O730" s="1" t="n">
        <v>6.435</v>
      </c>
      <c r="P730" s="9" t="n">
        <v>6.5</v>
      </c>
    </row>
    <row r="731">
      <c r="A731" s="8" t="n">
        <v>7.75</v>
      </c>
      <c r="B731" s="1" t="n">
        <v>46.1</v>
      </c>
      <c r="C731" s="1" t="inlineStr">
        <is>
          <t>S-95</t>
        </is>
      </c>
      <c r="D731" s="1" t="n">
        <v>13320</v>
      </c>
      <c r="E731" s="1" t="n">
        <v>11620</v>
      </c>
      <c r="F731" s="1" t="n"/>
      <c r="G731" s="1" t="n"/>
      <c r="H731" s="1" t="n"/>
      <c r="I731" s="1" t="inlineStr">
        <is>
          <t>BTC</t>
        </is>
      </c>
      <c r="J731" s="1" t="n">
        <v>1168</v>
      </c>
      <c r="K731" s="1" t="n"/>
      <c r="L731" s="1" t="n">
        <v>1271</v>
      </c>
      <c r="M731" s="1" t="n">
        <v>0.595</v>
      </c>
      <c r="N731" s="1" t="n">
        <v>6.56</v>
      </c>
      <c r="O731" s="1" t="n">
        <v>6.435</v>
      </c>
      <c r="P731" s="9" t="n">
        <v>6.5</v>
      </c>
    </row>
    <row r="732">
      <c r="A732" s="6" t="n">
        <v>7.75</v>
      </c>
      <c r="B732" s="2" t="n">
        <v>46.1</v>
      </c>
      <c r="C732" s="2" t="inlineStr">
        <is>
          <t>T-95</t>
        </is>
      </c>
      <c r="D732" s="2" t="n">
        <v>13320</v>
      </c>
      <c r="E732" s="2" t="n">
        <v>12460</v>
      </c>
      <c r="F732" s="2" t="n"/>
      <c r="G732" s="2" t="n"/>
      <c r="H732" s="2" t="n"/>
      <c r="I732" s="2" t="inlineStr">
        <is>
          <t>LTC</t>
        </is>
      </c>
      <c r="J732" s="2" t="n">
        <v>978</v>
      </c>
      <c r="K732" s="2" t="n"/>
      <c r="L732" s="2" t="n">
        <v>1271</v>
      </c>
      <c r="M732" s="2" t="n">
        <v>0.595</v>
      </c>
      <c r="N732" s="2" t="n">
        <v>6.56</v>
      </c>
      <c r="O732" s="2" t="n">
        <v>6.435</v>
      </c>
      <c r="P732" s="7" t="n">
        <v>6.5</v>
      </c>
    </row>
    <row r="733">
      <c r="A733" s="6" t="n">
        <v>7.75</v>
      </c>
      <c r="B733" s="2" t="n">
        <v>46.1</v>
      </c>
      <c r="C733" s="2" t="inlineStr">
        <is>
          <t>T-95</t>
        </is>
      </c>
      <c r="D733" s="2" t="n">
        <v>13320</v>
      </c>
      <c r="E733" s="2" t="n">
        <v>11620</v>
      </c>
      <c r="F733" s="2" t="n"/>
      <c r="G733" s="2" t="n"/>
      <c r="H733" s="2" t="n"/>
      <c r="I733" s="2" t="inlineStr">
        <is>
          <t>BTC</t>
        </is>
      </c>
      <c r="J733" s="2" t="n">
        <v>1129</v>
      </c>
      <c r="K733" s="2" t="n"/>
      <c r="L733" s="2" t="n">
        <v>1271</v>
      </c>
      <c r="M733" s="2" t="n">
        <v>0.595</v>
      </c>
      <c r="N733" s="2" t="n">
        <v>6.56</v>
      </c>
      <c r="O733" s="2" t="n">
        <v>6.435</v>
      </c>
      <c r="P733" s="7" t="n">
        <v>6.5</v>
      </c>
    </row>
    <row r="734">
      <c r="A734" s="8" t="n">
        <v>7.75</v>
      </c>
      <c r="B734" s="1" t="n">
        <v>46.1</v>
      </c>
      <c r="C734" s="1" t="inlineStr">
        <is>
          <t>H2S-95</t>
        </is>
      </c>
      <c r="D734" s="1" t="n">
        <v>13320</v>
      </c>
      <c r="E734" s="1" t="n">
        <v>12460</v>
      </c>
      <c r="F734" s="1" t="n"/>
      <c r="G734" s="1" t="n"/>
      <c r="H734" s="1" t="n"/>
      <c r="I734" s="1" t="inlineStr">
        <is>
          <t>LTC</t>
        </is>
      </c>
      <c r="J734" s="1" t="n">
        <v>978</v>
      </c>
      <c r="K734" s="1" t="n"/>
      <c r="L734" s="1" t="n">
        <v>1271</v>
      </c>
      <c r="M734" s="1" t="n">
        <v>0.595</v>
      </c>
      <c r="N734" s="1" t="n">
        <v>6.56</v>
      </c>
      <c r="O734" s="1" t="n">
        <v>6.435</v>
      </c>
      <c r="P734" s="9" t="n">
        <v>6.5</v>
      </c>
    </row>
    <row r="735">
      <c r="A735" s="8" t="n">
        <v>7.75</v>
      </c>
      <c r="B735" s="1" t="n">
        <v>46.1</v>
      </c>
      <c r="C735" s="1" t="inlineStr">
        <is>
          <t>H2S-95</t>
        </is>
      </c>
      <c r="D735" s="1" t="n">
        <v>13320</v>
      </c>
      <c r="E735" s="1" t="n">
        <v>11620</v>
      </c>
      <c r="F735" s="1" t="n"/>
      <c r="G735" s="1" t="n"/>
      <c r="H735" s="1" t="n"/>
      <c r="I735" s="1" t="inlineStr">
        <is>
          <t>BTC</t>
        </is>
      </c>
      <c r="J735" s="1" t="n">
        <v>1129</v>
      </c>
      <c r="K735" s="1" t="n"/>
      <c r="L735" s="1" t="n">
        <v>1271</v>
      </c>
      <c r="M735" s="1" t="n">
        <v>0.595</v>
      </c>
      <c r="N735" s="1" t="n">
        <v>6.56</v>
      </c>
      <c r="O735" s="1" t="n">
        <v>6.435</v>
      </c>
      <c r="P735" s="9" t="n">
        <v>6.5</v>
      </c>
    </row>
    <row r="736">
      <c r="A736" s="6" t="n">
        <v>7.75</v>
      </c>
      <c r="B736" s="2" t="n">
        <v>46.1</v>
      </c>
      <c r="C736" s="2" t="inlineStr">
        <is>
          <t>C-95</t>
        </is>
      </c>
      <c r="D736" s="2" t="n">
        <v>13320</v>
      </c>
      <c r="E736" s="2" t="n">
        <v>12460</v>
      </c>
      <c r="F736" s="2" t="n"/>
      <c r="G736" s="2" t="n"/>
      <c r="H736" s="2" t="n"/>
      <c r="I736" s="2" t="inlineStr">
        <is>
          <t>LTC</t>
        </is>
      </c>
      <c r="J736" s="2" t="n">
        <v>978</v>
      </c>
      <c r="K736" s="2" t="n"/>
      <c r="L736" s="2" t="n">
        <v>1271</v>
      </c>
      <c r="M736" s="2" t="n">
        <v>0.595</v>
      </c>
      <c r="N736" s="2" t="n">
        <v>6.56</v>
      </c>
      <c r="O736" s="2" t="n">
        <v>6.435</v>
      </c>
      <c r="P736" s="7" t="n">
        <v>6.5</v>
      </c>
    </row>
    <row r="737">
      <c r="A737" s="6" t="n">
        <v>7.75</v>
      </c>
      <c r="B737" s="2" t="n">
        <v>46.1</v>
      </c>
      <c r="C737" s="2" t="inlineStr">
        <is>
          <t>C-95</t>
        </is>
      </c>
      <c r="D737" s="2" t="n">
        <v>13320</v>
      </c>
      <c r="E737" s="2" t="n">
        <v>11620</v>
      </c>
      <c r="F737" s="2" t="n"/>
      <c r="G737" s="2" t="n"/>
      <c r="H737" s="2" t="n"/>
      <c r="I737" s="2" t="inlineStr">
        <is>
          <t>BTC</t>
        </is>
      </c>
      <c r="J737" s="2" t="n">
        <v>1129</v>
      </c>
      <c r="K737" s="2" t="n"/>
      <c r="L737" s="2" t="n">
        <v>1271</v>
      </c>
      <c r="M737" s="2" t="n">
        <v>0.595</v>
      </c>
      <c r="N737" s="2" t="n">
        <v>6.56</v>
      </c>
      <c r="O737" s="2" t="n">
        <v>6.435</v>
      </c>
      <c r="P737" s="7" t="n">
        <v>6.5</v>
      </c>
    </row>
    <row r="738">
      <c r="A738" s="8" t="n">
        <v>7.75</v>
      </c>
      <c r="B738" s="1" t="n">
        <v>46.1</v>
      </c>
      <c r="C738" s="1" t="inlineStr">
        <is>
          <t>P-110</t>
        </is>
      </c>
      <c r="D738" s="1" t="n">
        <v>14990</v>
      </c>
      <c r="E738" s="1" t="n">
        <v>14430</v>
      </c>
      <c r="F738" s="1" t="n"/>
      <c r="G738" s="1" t="n"/>
      <c r="H738" s="1" t="n"/>
      <c r="I738" s="1" t="inlineStr">
        <is>
          <t>LTC</t>
        </is>
      </c>
      <c r="J738" s="1" t="n">
        <v>1142</v>
      </c>
      <c r="K738" s="1" t="n"/>
      <c r="L738" s="1" t="n">
        <v>1471</v>
      </c>
      <c r="M738" s="1" t="n">
        <v>0.595</v>
      </c>
      <c r="N738" s="1" t="n">
        <v>6.56</v>
      </c>
      <c r="O738" s="1" t="n">
        <v>6.435</v>
      </c>
      <c r="P738" s="9" t="n">
        <v>6.5</v>
      </c>
    </row>
    <row r="739">
      <c r="A739" s="8" t="n">
        <v>7.75</v>
      </c>
      <c r="B739" s="1" t="n">
        <v>46.1</v>
      </c>
      <c r="C739" s="1" t="inlineStr">
        <is>
          <t>P-110</t>
        </is>
      </c>
      <c r="D739" s="1" t="n">
        <v>14990</v>
      </c>
      <c r="E739" s="1" t="n">
        <v>13460</v>
      </c>
      <c r="F739" s="1" t="n"/>
      <c r="G739" s="1" t="n"/>
      <c r="H739" s="1" t="n"/>
      <c r="I739" s="1" t="inlineStr">
        <is>
          <t>BTC</t>
        </is>
      </c>
      <c r="J739" s="1" t="n">
        <v>1334</v>
      </c>
      <c r="K739" s="1" t="n"/>
      <c r="L739" s="1" t="n">
        <v>1471</v>
      </c>
      <c r="M739" s="1" t="n">
        <v>0.595</v>
      </c>
      <c r="N739" s="1" t="n">
        <v>6.56</v>
      </c>
      <c r="O739" s="1" t="n">
        <v>6.435</v>
      </c>
      <c r="P739" s="9" t="n">
        <v>6.5</v>
      </c>
    </row>
    <row r="740" ht="15.75" customHeight="1" s="613" thickBot="1">
      <c r="A740" s="13" t="n">
        <v>7.75</v>
      </c>
      <c r="B740" s="14" t="n">
        <v>46.1</v>
      </c>
      <c r="C740" s="14" t="inlineStr">
        <is>
          <t>Q-125</t>
        </is>
      </c>
      <c r="D740" s="14" t="n">
        <v>16580</v>
      </c>
      <c r="E740" s="14" t="n">
        <v>16400</v>
      </c>
      <c r="F740" s="14" t="n"/>
      <c r="G740" s="14" t="n"/>
      <c r="H740" s="14" t="n"/>
      <c r="I740" s="14" t="inlineStr">
        <is>
          <t>LTC</t>
        </is>
      </c>
      <c r="J740" s="14" t="n">
        <v>1279</v>
      </c>
      <c r="K740" s="14" t="n"/>
      <c r="L740" s="14" t="n">
        <v>1672</v>
      </c>
      <c r="M740" s="14" t="n">
        <v>0.595</v>
      </c>
      <c r="N740" s="14" t="n">
        <v>6.56</v>
      </c>
      <c r="O740" s="14" t="n">
        <v>6.435</v>
      </c>
      <c r="P740" s="15" t="n">
        <v>6.5</v>
      </c>
    </row>
    <row r="741" ht="15.75" customHeight="1" s="613" thickBot="1">
      <c r="A741" s="13" t="n">
        <v>7.75</v>
      </c>
      <c r="B741" s="14" t="n">
        <v>46.1</v>
      </c>
      <c r="C741" s="14" t="inlineStr">
        <is>
          <t>Q-125</t>
        </is>
      </c>
      <c r="D741" s="14" t="n">
        <v>16580</v>
      </c>
      <c r="E741" s="14" t="n">
        <v>15290</v>
      </c>
      <c r="F741" s="14" t="n"/>
      <c r="G741" s="14" t="n"/>
      <c r="H741" s="14" t="n"/>
      <c r="I741" s="14" t="inlineStr">
        <is>
          <t>BTC</t>
        </is>
      </c>
      <c r="J741" s="14" t="n">
        <v>1462</v>
      </c>
      <c r="K741" s="14" t="n"/>
      <c r="L741" s="14" t="n">
        <v>1672</v>
      </c>
      <c r="M741" s="14" t="n">
        <v>0.595</v>
      </c>
      <c r="N741" s="14" t="n">
        <v>6.56</v>
      </c>
      <c r="O741" s="14" t="n">
        <v>6.435</v>
      </c>
      <c r="P741" s="15" t="n">
        <v>6.5</v>
      </c>
    </row>
    <row r="742">
      <c r="A742" s="3" t="n">
        <v>8.625</v>
      </c>
      <c r="B742" s="4" t="n">
        <v>24</v>
      </c>
      <c r="C742" s="4" t="inlineStr">
        <is>
          <t>J-55</t>
        </is>
      </c>
      <c r="D742" s="4" t="n">
        <v>1370</v>
      </c>
      <c r="E742" s="4" t="n">
        <v>2950</v>
      </c>
      <c r="F742" s="4" t="n"/>
      <c r="G742" s="4" t="n"/>
      <c r="H742" s="4" t="n"/>
      <c r="I742" s="4" t="inlineStr">
        <is>
          <t>STC</t>
        </is>
      </c>
      <c r="J742" s="4" t="n">
        <v>244</v>
      </c>
      <c r="K742" s="4" t="n"/>
      <c r="L742" s="4" t="n">
        <v>381</v>
      </c>
      <c r="M742" s="4" t="n">
        <v>0.264</v>
      </c>
      <c r="N742" s="4" t="n">
        <v>8.097</v>
      </c>
      <c r="O742" s="4" t="n">
        <v>7.972</v>
      </c>
      <c r="P742" s="5" t="n"/>
    </row>
    <row r="743">
      <c r="A743" s="6" t="n">
        <v>8.625</v>
      </c>
      <c r="B743" s="2" t="n">
        <v>24</v>
      </c>
      <c r="C743" s="2" t="inlineStr">
        <is>
          <t>K-55</t>
        </is>
      </c>
      <c r="D743" s="2" t="n">
        <v>1370</v>
      </c>
      <c r="E743" s="2" t="n">
        <v>2950</v>
      </c>
      <c r="F743" s="2" t="n"/>
      <c r="G743" s="2" t="n"/>
      <c r="H743" s="2" t="n"/>
      <c r="I743" s="2" t="inlineStr">
        <is>
          <t>STC</t>
        </is>
      </c>
      <c r="J743" s="2" t="n">
        <v>263</v>
      </c>
      <c r="K743" s="2" t="n"/>
      <c r="L743" s="2" t="n">
        <v>381</v>
      </c>
      <c r="M743" s="2" t="n">
        <v>0.264</v>
      </c>
      <c r="N743" s="2" t="n">
        <v>8.097</v>
      </c>
      <c r="O743" s="2" t="n">
        <v>7.972</v>
      </c>
      <c r="P743" s="7" t="n"/>
    </row>
    <row r="744">
      <c r="A744" s="8" t="n">
        <v>8.625</v>
      </c>
      <c r="B744" s="1" t="n">
        <v>24</v>
      </c>
      <c r="C744" s="1" t="inlineStr">
        <is>
          <t>HCK-55</t>
        </is>
      </c>
      <c r="D744" s="1" t="n">
        <v>1780</v>
      </c>
      <c r="E744" s="1" t="n">
        <v>2950</v>
      </c>
      <c r="F744" s="1" t="n"/>
      <c r="G744" s="1" t="n"/>
      <c r="H744" s="1" t="n"/>
      <c r="I744" s="1" t="inlineStr">
        <is>
          <t>STC</t>
        </is>
      </c>
      <c r="J744" s="1" t="n">
        <v>326</v>
      </c>
      <c r="K744" s="1" t="n"/>
      <c r="L744" s="1" t="n">
        <v>381</v>
      </c>
      <c r="M744" s="1" t="n">
        <v>0.264</v>
      </c>
      <c r="N744" s="1" t="n">
        <v>8.097</v>
      </c>
      <c r="O744" s="1" t="n">
        <v>7.972</v>
      </c>
      <c r="P744" s="9" t="n"/>
    </row>
    <row r="745">
      <c r="A745" s="6" t="n">
        <v>8.625</v>
      </c>
      <c r="B745" s="2" t="n">
        <v>28</v>
      </c>
      <c r="C745" s="2" t="inlineStr">
        <is>
          <t>H-40</t>
        </is>
      </c>
      <c r="D745" s="2" t="n">
        <v>1610</v>
      </c>
      <c r="E745" s="2" t="n">
        <v>2470</v>
      </c>
      <c r="F745" s="2" t="n"/>
      <c r="G745" s="2" t="n"/>
      <c r="H745" s="2" t="n"/>
      <c r="I745" s="2" t="inlineStr">
        <is>
          <t>STC</t>
        </is>
      </c>
      <c r="J745" s="2" t="n">
        <v>233</v>
      </c>
      <c r="K745" s="2" t="n"/>
      <c r="L745" s="2" t="n">
        <v>318</v>
      </c>
      <c r="M745" s="2" t="n">
        <v>0.304</v>
      </c>
      <c r="N745" s="2" t="n">
        <v>8.016999999999999</v>
      </c>
      <c r="O745" s="2" t="n">
        <v>7.892</v>
      </c>
      <c r="P745" s="7" t="n"/>
    </row>
    <row r="746">
      <c r="A746" s="8" t="n">
        <v>8.625</v>
      </c>
      <c r="B746" s="1" t="n">
        <v>28</v>
      </c>
      <c r="C746" s="1" t="inlineStr">
        <is>
          <t>HCK-55</t>
        </is>
      </c>
      <c r="D746" s="1" t="n">
        <v>2680</v>
      </c>
      <c r="E746" s="1" t="n">
        <v>3390</v>
      </c>
      <c r="F746" s="1" t="n"/>
      <c r="G746" s="1" t="n"/>
      <c r="H746" s="1" t="n"/>
      <c r="I746" s="1" t="inlineStr">
        <is>
          <t>STC</t>
        </is>
      </c>
      <c r="J746" s="1" t="n">
        <v>414</v>
      </c>
      <c r="K746" s="1" t="n"/>
      <c r="L746" s="1" t="n">
        <v>437</v>
      </c>
      <c r="M746" s="1" t="n">
        <v>0.304</v>
      </c>
      <c r="N746" s="1" t="n">
        <v>8.016999999999999</v>
      </c>
      <c r="O746" s="1" t="n">
        <v>7.892</v>
      </c>
      <c r="P746" s="9" t="n"/>
    </row>
    <row r="747">
      <c r="A747" s="8" t="n">
        <v>8.625</v>
      </c>
      <c r="B747" s="1" t="n">
        <v>28</v>
      </c>
      <c r="C747" s="1" t="inlineStr">
        <is>
          <t>HCK-55</t>
        </is>
      </c>
      <c r="D747" s="1" t="n">
        <v>2680</v>
      </c>
      <c r="E747" s="1" t="n">
        <v>3390</v>
      </c>
      <c r="F747" s="1" t="n"/>
      <c r="G747" s="1" t="n"/>
      <c r="H747" s="1" t="n"/>
      <c r="I747" s="1" t="inlineStr">
        <is>
          <t>LTC</t>
        </is>
      </c>
      <c r="J747" s="1" t="n">
        <v>464</v>
      </c>
      <c r="K747" s="1" t="n"/>
      <c r="L747" s="1" t="n">
        <v>437</v>
      </c>
      <c r="M747" s="1" t="n">
        <v>0.304</v>
      </c>
      <c r="N747" s="1" t="n">
        <v>8.016999999999999</v>
      </c>
      <c r="O747" s="1" t="n">
        <v>7.892</v>
      </c>
      <c r="P747" s="9" t="n"/>
    </row>
    <row r="748">
      <c r="A748" s="8" t="n">
        <v>8.625</v>
      </c>
      <c r="B748" s="1" t="n">
        <v>28</v>
      </c>
      <c r="C748" s="1" t="inlineStr">
        <is>
          <t>HCK-55</t>
        </is>
      </c>
      <c r="D748" s="1" t="n">
        <v>2680</v>
      </c>
      <c r="E748" s="1" t="n">
        <v>3390</v>
      </c>
      <c r="F748" s="1" t="n"/>
      <c r="G748" s="1" t="n"/>
      <c r="H748" s="1" t="n"/>
      <c r="I748" s="1" t="inlineStr">
        <is>
          <t>BTC</t>
        </is>
      </c>
      <c r="J748" s="1" t="n">
        <v>651</v>
      </c>
      <c r="K748" s="1" t="n"/>
      <c r="L748" s="1" t="n">
        <v>437</v>
      </c>
      <c r="M748" s="1" t="n">
        <v>0.304</v>
      </c>
      <c r="N748" s="1" t="n">
        <v>8.016999999999999</v>
      </c>
      <c r="O748" s="1" t="n">
        <v>7.892</v>
      </c>
      <c r="P748" s="9" t="n"/>
    </row>
    <row r="749">
      <c r="A749" s="6" t="n">
        <v>8.625</v>
      </c>
      <c r="B749" s="2" t="n">
        <v>32</v>
      </c>
      <c r="C749" s="2" t="inlineStr">
        <is>
          <t>H-40</t>
        </is>
      </c>
      <c r="D749" s="2" t="n">
        <v>2200</v>
      </c>
      <c r="E749" s="2" t="n">
        <v>2860</v>
      </c>
      <c r="F749" s="2" t="n"/>
      <c r="G749" s="2" t="n"/>
      <c r="H749" s="2" t="n"/>
      <c r="I749" s="2" t="inlineStr">
        <is>
          <t>STC</t>
        </is>
      </c>
      <c r="J749" s="2" t="n">
        <v>279</v>
      </c>
      <c r="K749" s="2" t="n"/>
      <c r="L749" s="2" t="n">
        <v>366</v>
      </c>
      <c r="M749" s="2" t="n">
        <v>0.352</v>
      </c>
      <c r="N749" s="2" t="n">
        <v>7.921</v>
      </c>
      <c r="O749" s="2" t="n">
        <v>7.796</v>
      </c>
      <c r="P749" s="7" t="n">
        <v>7.875</v>
      </c>
    </row>
    <row r="750">
      <c r="A750" s="8" t="n">
        <v>8.625</v>
      </c>
      <c r="B750" s="1" t="n">
        <v>32</v>
      </c>
      <c r="C750" s="1" t="inlineStr">
        <is>
          <t>J-55</t>
        </is>
      </c>
      <c r="D750" s="1" t="n">
        <v>2530</v>
      </c>
      <c r="E750" s="1" t="n">
        <v>3930</v>
      </c>
      <c r="F750" s="1" t="n"/>
      <c r="G750" s="1" t="n"/>
      <c r="H750" s="1" t="n"/>
      <c r="I750" s="1" t="inlineStr">
        <is>
          <t>STC</t>
        </is>
      </c>
      <c r="J750" s="1" t="n">
        <v>372</v>
      </c>
      <c r="K750" s="1" t="n"/>
      <c r="L750" s="1" t="n">
        <v>503</v>
      </c>
      <c r="M750" s="1" t="n">
        <v>0.352</v>
      </c>
      <c r="N750" s="1" t="n">
        <v>7.921</v>
      </c>
      <c r="O750" s="1" t="n">
        <v>7.796</v>
      </c>
      <c r="P750" s="9" t="n">
        <v>7.875</v>
      </c>
    </row>
    <row r="751">
      <c r="A751" s="8" t="n">
        <v>8.625</v>
      </c>
      <c r="B751" s="1" t="n">
        <v>32</v>
      </c>
      <c r="C751" s="1" t="inlineStr">
        <is>
          <t>J-55</t>
        </is>
      </c>
      <c r="D751" s="1" t="n">
        <v>2530</v>
      </c>
      <c r="E751" s="1" t="n">
        <v>3930</v>
      </c>
      <c r="F751" s="1" t="n"/>
      <c r="G751" s="1" t="n"/>
      <c r="H751" s="1" t="n"/>
      <c r="I751" s="1" t="inlineStr">
        <is>
          <t>LTC</t>
        </is>
      </c>
      <c r="J751" s="1" t="n">
        <v>417</v>
      </c>
      <c r="K751" s="1" t="n"/>
      <c r="L751" s="1" t="n">
        <v>503</v>
      </c>
      <c r="M751" s="1" t="n">
        <v>0.352</v>
      </c>
      <c r="N751" s="1" t="n">
        <v>7.921</v>
      </c>
      <c r="O751" s="1" t="n">
        <v>7.796</v>
      </c>
      <c r="P751" s="9" t="n">
        <v>7.875</v>
      </c>
    </row>
    <row r="752">
      <c r="A752" s="8" t="n">
        <v>8.625</v>
      </c>
      <c r="B752" s="1" t="n">
        <v>32</v>
      </c>
      <c r="C752" s="1" t="inlineStr">
        <is>
          <t>J-55</t>
        </is>
      </c>
      <c r="D752" s="1" t="n">
        <v>2530</v>
      </c>
      <c r="E752" s="1" t="n">
        <v>3930</v>
      </c>
      <c r="F752" s="1" t="n"/>
      <c r="G752" s="1" t="n"/>
      <c r="H752" s="1" t="n"/>
      <c r="I752" s="1" t="inlineStr">
        <is>
          <t>BTC</t>
        </is>
      </c>
      <c r="J752" s="1" t="n">
        <v>579</v>
      </c>
      <c r="K752" s="1" t="n"/>
      <c r="L752" s="1" t="n">
        <v>503</v>
      </c>
      <c r="M752" s="1" t="n">
        <v>0.352</v>
      </c>
      <c r="N752" s="1" t="n">
        <v>7.921</v>
      </c>
      <c r="O752" s="1" t="n">
        <v>7.796</v>
      </c>
      <c r="P752" s="9" t="n">
        <v>7.875</v>
      </c>
    </row>
    <row r="753">
      <c r="A753" s="6" t="n">
        <v>8.625</v>
      </c>
      <c r="B753" s="2" t="n">
        <v>32</v>
      </c>
      <c r="C753" s="2" t="inlineStr">
        <is>
          <t>K-55</t>
        </is>
      </c>
      <c r="D753" s="2" t="n">
        <v>2530</v>
      </c>
      <c r="E753" s="2" t="n">
        <v>3930</v>
      </c>
      <c r="F753" s="2" t="n"/>
      <c r="G753" s="2" t="n"/>
      <c r="H753" s="2" t="n"/>
      <c r="I753" s="2" t="inlineStr">
        <is>
          <t>STC</t>
        </is>
      </c>
      <c r="J753" s="2" t="n">
        <v>402</v>
      </c>
      <c r="K753" s="2" t="n"/>
      <c r="L753" s="2" t="n">
        <v>503</v>
      </c>
      <c r="M753" s="2" t="n">
        <v>0.352</v>
      </c>
      <c r="N753" s="2" t="n">
        <v>7.921</v>
      </c>
      <c r="O753" s="2" t="n">
        <v>7.796</v>
      </c>
      <c r="P753" s="7" t="n">
        <v>7.875</v>
      </c>
    </row>
    <row r="754">
      <c r="A754" s="6" t="n">
        <v>8.625</v>
      </c>
      <c r="B754" s="2" t="n">
        <v>32</v>
      </c>
      <c r="C754" s="2" t="inlineStr">
        <is>
          <t>K-55</t>
        </is>
      </c>
      <c r="D754" s="2" t="n">
        <v>2530</v>
      </c>
      <c r="E754" s="2" t="n">
        <v>3930</v>
      </c>
      <c r="F754" s="2" t="n"/>
      <c r="G754" s="2" t="n"/>
      <c r="H754" s="2" t="n"/>
      <c r="I754" s="2" t="inlineStr">
        <is>
          <t>LTC</t>
        </is>
      </c>
      <c r="J754" s="2" t="n">
        <v>452</v>
      </c>
      <c r="K754" s="2" t="n"/>
      <c r="L754" s="2" t="n">
        <v>503</v>
      </c>
      <c r="M754" s="2" t="n">
        <v>0.352</v>
      </c>
      <c r="N754" s="2" t="n">
        <v>7.921</v>
      </c>
      <c r="O754" s="2" t="n">
        <v>7.796</v>
      </c>
      <c r="P754" s="7" t="n">
        <v>7.875</v>
      </c>
    </row>
    <row r="755">
      <c r="A755" s="6" t="n">
        <v>8.625</v>
      </c>
      <c r="B755" s="2" t="n">
        <v>32</v>
      </c>
      <c r="C755" s="2" t="inlineStr">
        <is>
          <t>K-55</t>
        </is>
      </c>
      <c r="D755" s="2" t="n">
        <v>2530</v>
      </c>
      <c r="E755" s="2" t="n">
        <v>3930</v>
      </c>
      <c r="F755" s="2" t="n"/>
      <c r="G755" s="2" t="n"/>
      <c r="H755" s="2" t="n"/>
      <c r="I755" s="2" t="inlineStr">
        <is>
          <t>BTC</t>
        </is>
      </c>
      <c r="J755" s="2" t="n">
        <v>690</v>
      </c>
      <c r="K755" s="2" t="n"/>
      <c r="L755" s="2" t="n">
        <v>503</v>
      </c>
      <c r="M755" s="2" t="n">
        <v>0.352</v>
      </c>
      <c r="N755" s="2" t="n">
        <v>7.921</v>
      </c>
      <c r="O755" s="2" t="n">
        <v>7.796</v>
      </c>
      <c r="P755" s="7" t="n">
        <v>7.875</v>
      </c>
    </row>
    <row r="756">
      <c r="A756" s="8" t="n">
        <v>8.625</v>
      </c>
      <c r="B756" s="1" t="n">
        <v>32</v>
      </c>
      <c r="C756" s="1" t="inlineStr">
        <is>
          <t>HCK-55</t>
        </is>
      </c>
      <c r="D756" s="1" t="n">
        <v>4130</v>
      </c>
      <c r="E756" s="1" t="n">
        <v>3930</v>
      </c>
      <c r="F756" s="1" t="n"/>
      <c r="G756" s="1" t="n"/>
      <c r="H756" s="1" t="n"/>
      <c r="I756" s="1" t="inlineStr">
        <is>
          <t>STC</t>
        </is>
      </c>
      <c r="J756" s="1" t="n">
        <v>497</v>
      </c>
      <c r="K756" s="1" t="n"/>
      <c r="L756" s="1" t="n">
        <v>503</v>
      </c>
      <c r="M756" s="1" t="n">
        <v>0.352</v>
      </c>
      <c r="N756" s="1" t="n">
        <v>7.921</v>
      </c>
      <c r="O756" s="1" t="n">
        <v>7.796</v>
      </c>
      <c r="P756" s="9" t="n">
        <v>7.875</v>
      </c>
    </row>
    <row r="757">
      <c r="A757" s="8" t="n">
        <v>8.625</v>
      </c>
      <c r="B757" s="1" t="n">
        <v>32</v>
      </c>
      <c r="C757" s="1" t="inlineStr">
        <is>
          <t>HCK-55</t>
        </is>
      </c>
      <c r="D757" s="1" t="n">
        <v>4130</v>
      </c>
      <c r="E757" s="1" t="n">
        <v>3930</v>
      </c>
      <c r="F757" s="1" t="n"/>
      <c r="G757" s="1" t="n"/>
      <c r="H757" s="1" t="n"/>
      <c r="I757" s="1" t="inlineStr">
        <is>
          <t>LTC</t>
        </is>
      </c>
      <c r="J757" s="1" t="n">
        <v>556</v>
      </c>
      <c r="K757" s="1" t="n"/>
      <c r="L757" s="1" t="n">
        <v>503</v>
      </c>
      <c r="M757" s="1" t="n">
        <v>0.352</v>
      </c>
      <c r="N757" s="1" t="n">
        <v>7.921</v>
      </c>
      <c r="O757" s="1" t="n">
        <v>7.796</v>
      </c>
      <c r="P757" s="9" t="n">
        <v>7.875</v>
      </c>
    </row>
    <row r="758">
      <c r="A758" s="8" t="n">
        <v>8.625</v>
      </c>
      <c r="B758" s="1" t="n">
        <v>32</v>
      </c>
      <c r="C758" s="1" t="inlineStr">
        <is>
          <t>HCK-55</t>
        </is>
      </c>
      <c r="D758" s="1" t="n">
        <v>4130</v>
      </c>
      <c r="E758" s="1" t="n">
        <v>3930</v>
      </c>
      <c r="F758" s="1" t="n"/>
      <c r="G758" s="1" t="n"/>
      <c r="H758" s="1" t="n"/>
      <c r="I758" s="1" t="inlineStr">
        <is>
          <t>BTC</t>
        </is>
      </c>
      <c r="J758" s="1" t="n">
        <v>749</v>
      </c>
      <c r="K758" s="1" t="n"/>
      <c r="L758" s="1" t="n">
        <v>503</v>
      </c>
      <c r="M758" s="1" t="n">
        <v>0.352</v>
      </c>
      <c r="N758" s="1" t="n">
        <v>7.921</v>
      </c>
      <c r="O758" s="1" t="n">
        <v>7.796</v>
      </c>
      <c r="P758" s="9" t="n">
        <v>7.875</v>
      </c>
    </row>
    <row r="759">
      <c r="A759" s="6" t="n">
        <v>8.625</v>
      </c>
      <c r="B759" s="2" t="n">
        <v>36</v>
      </c>
      <c r="C759" s="2" t="inlineStr">
        <is>
          <t>J-55</t>
        </is>
      </c>
      <c r="D759" s="2" t="n">
        <v>3450</v>
      </c>
      <c r="E759" s="2" t="n">
        <v>4460</v>
      </c>
      <c r="F759" s="2" t="n"/>
      <c r="G759" s="2" t="n"/>
      <c r="H759" s="2" t="n"/>
      <c r="I759" s="2" t="inlineStr">
        <is>
          <t>STC</t>
        </is>
      </c>
      <c r="J759" s="2" t="n">
        <v>434</v>
      </c>
      <c r="K759" s="2" t="n"/>
      <c r="L759" s="2" t="n">
        <v>568</v>
      </c>
      <c r="M759" s="2" t="n">
        <v>0.4</v>
      </c>
      <c r="N759" s="2" t="n">
        <v>7.825</v>
      </c>
      <c r="O759" s="2" t="n">
        <v>7.7</v>
      </c>
      <c r="P759" s="7" t="n"/>
    </row>
    <row r="760">
      <c r="A760" s="6" t="n">
        <v>8.625</v>
      </c>
      <c r="B760" s="2" t="n">
        <v>36</v>
      </c>
      <c r="C760" s="2" t="inlineStr">
        <is>
          <t>J-55</t>
        </is>
      </c>
      <c r="D760" s="2" t="n">
        <v>3450</v>
      </c>
      <c r="E760" s="2" t="n">
        <v>4460</v>
      </c>
      <c r="F760" s="2" t="n"/>
      <c r="G760" s="2" t="n"/>
      <c r="H760" s="2" t="n"/>
      <c r="I760" s="2" t="inlineStr">
        <is>
          <t>LTC</t>
        </is>
      </c>
      <c r="J760" s="2" t="n">
        <v>486</v>
      </c>
      <c r="K760" s="2" t="n"/>
      <c r="L760" s="2" t="n">
        <v>568</v>
      </c>
      <c r="M760" s="2" t="n">
        <v>0.4</v>
      </c>
      <c r="N760" s="2" t="n">
        <v>7.825</v>
      </c>
      <c r="O760" s="2" t="n">
        <v>7.7</v>
      </c>
      <c r="P760" s="7" t="n"/>
    </row>
    <row r="761">
      <c r="A761" s="6" t="n">
        <v>8.625</v>
      </c>
      <c r="B761" s="2" t="n">
        <v>36</v>
      </c>
      <c r="C761" s="2" t="inlineStr">
        <is>
          <t>J-55</t>
        </is>
      </c>
      <c r="D761" s="2" t="n">
        <v>3450</v>
      </c>
      <c r="E761" s="2" t="n">
        <v>4460</v>
      </c>
      <c r="F761" s="2" t="n"/>
      <c r="G761" s="2" t="n"/>
      <c r="H761" s="2" t="n"/>
      <c r="I761" s="2" t="inlineStr">
        <is>
          <t>BTC</t>
        </is>
      </c>
      <c r="J761" s="2" t="n">
        <v>654</v>
      </c>
      <c r="K761" s="2" t="n"/>
      <c r="L761" s="2" t="n">
        <v>568</v>
      </c>
      <c r="M761" s="2" t="n">
        <v>0.4</v>
      </c>
      <c r="N761" s="2" t="n">
        <v>7.825</v>
      </c>
      <c r="O761" s="2" t="n">
        <v>7.7</v>
      </c>
      <c r="P761" s="7" t="n"/>
    </row>
    <row r="762">
      <c r="A762" s="8" t="n">
        <v>8.625</v>
      </c>
      <c r="B762" s="1" t="n">
        <v>36</v>
      </c>
      <c r="C762" s="1" t="inlineStr">
        <is>
          <t>K-55</t>
        </is>
      </c>
      <c r="D762" s="1" t="n">
        <v>3450</v>
      </c>
      <c r="E762" s="1" t="n">
        <v>4460</v>
      </c>
      <c r="F762" s="1" t="n"/>
      <c r="G762" s="1" t="n"/>
      <c r="H762" s="1" t="n"/>
      <c r="I762" s="1" t="inlineStr">
        <is>
          <t>STC</t>
        </is>
      </c>
      <c r="J762" s="1" t="n">
        <v>468</v>
      </c>
      <c r="K762" s="1" t="n"/>
      <c r="L762" s="1" t="n">
        <v>568</v>
      </c>
      <c r="M762" s="1" t="n">
        <v>0.4</v>
      </c>
      <c r="N762" s="1" t="n">
        <v>7.825</v>
      </c>
      <c r="O762" s="1" t="n">
        <v>7.7</v>
      </c>
      <c r="P762" s="9" t="n"/>
    </row>
    <row r="763">
      <c r="A763" s="8" t="n">
        <v>8.625</v>
      </c>
      <c r="B763" s="1" t="n">
        <v>36</v>
      </c>
      <c r="C763" s="1" t="inlineStr">
        <is>
          <t>K-55</t>
        </is>
      </c>
      <c r="D763" s="1" t="n">
        <v>3450</v>
      </c>
      <c r="E763" s="1" t="n">
        <v>4460</v>
      </c>
      <c r="F763" s="1" t="n"/>
      <c r="G763" s="1" t="n"/>
      <c r="H763" s="1" t="n"/>
      <c r="I763" s="1" t="inlineStr">
        <is>
          <t>LTC</t>
        </is>
      </c>
      <c r="J763" s="1" t="n">
        <v>526</v>
      </c>
      <c r="K763" s="1" t="n"/>
      <c r="L763" s="1" t="n">
        <v>568</v>
      </c>
      <c r="M763" s="1" t="n">
        <v>0.4</v>
      </c>
      <c r="N763" s="1" t="n">
        <v>7.825</v>
      </c>
      <c r="O763" s="1" t="n">
        <v>7.7</v>
      </c>
      <c r="P763" s="9" t="n"/>
    </row>
    <row r="764">
      <c r="A764" s="8" t="n">
        <v>8.625</v>
      </c>
      <c r="B764" s="1" t="n">
        <v>36</v>
      </c>
      <c r="C764" s="1" t="inlineStr">
        <is>
          <t>K-55</t>
        </is>
      </c>
      <c r="D764" s="1" t="n">
        <v>3450</v>
      </c>
      <c r="E764" s="1" t="n">
        <v>4460</v>
      </c>
      <c r="F764" s="1" t="n"/>
      <c r="G764" s="1" t="n"/>
      <c r="H764" s="1" t="n"/>
      <c r="I764" s="1" t="inlineStr">
        <is>
          <t>BTC</t>
        </is>
      </c>
      <c r="J764" s="1" t="n">
        <v>780</v>
      </c>
      <c r="K764" s="1" t="n"/>
      <c r="L764" s="1" t="n">
        <v>568</v>
      </c>
      <c r="M764" s="1" t="n">
        <v>0.4</v>
      </c>
      <c r="N764" s="1" t="n">
        <v>7.825</v>
      </c>
      <c r="O764" s="1" t="n">
        <v>7.7</v>
      </c>
      <c r="P764" s="9" t="n"/>
    </row>
    <row r="765">
      <c r="A765" s="6" t="n">
        <v>8.625</v>
      </c>
      <c r="B765" s="2" t="n">
        <v>36</v>
      </c>
      <c r="C765" s="2" t="inlineStr">
        <is>
          <t>HCK-55</t>
        </is>
      </c>
      <c r="D765" s="2" t="n">
        <v>5300</v>
      </c>
      <c r="E765" s="2" t="n">
        <v>4460</v>
      </c>
      <c r="F765" s="2" t="n"/>
      <c r="G765" s="2" t="n"/>
      <c r="H765" s="2" t="n"/>
      <c r="I765" s="2" t="inlineStr">
        <is>
          <t>STC</t>
        </is>
      </c>
      <c r="J765" s="2" t="n">
        <v>579</v>
      </c>
      <c r="K765" s="2" t="n"/>
      <c r="L765" s="2" t="n">
        <v>568</v>
      </c>
      <c r="M765" s="2" t="n">
        <v>0.4</v>
      </c>
      <c r="N765" s="2" t="n">
        <v>7.825</v>
      </c>
      <c r="O765" s="2" t="n">
        <v>7.7</v>
      </c>
      <c r="P765" s="7" t="n"/>
    </row>
    <row r="766">
      <c r="A766" s="6" t="n">
        <v>8.625</v>
      </c>
      <c r="B766" s="2" t="n">
        <v>36</v>
      </c>
      <c r="C766" s="2" t="inlineStr">
        <is>
          <t>HCK-55</t>
        </is>
      </c>
      <c r="D766" s="2" t="n">
        <v>5300</v>
      </c>
      <c r="E766" s="2" t="n">
        <v>4460</v>
      </c>
      <c r="F766" s="2" t="n"/>
      <c r="G766" s="2" t="n"/>
      <c r="H766" s="2" t="n"/>
      <c r="I766" s="2" t="inlineStr">
        <is>
          <t>LTC</t>
        </is>
      </c>
      <c r="J766" s="2" t="n">
        <v>648</v>
      </c>
      <c r="K766" s="2" t="n"/>
      <c r="L766" s="2" t="n">
        <v>568</v>
      </c>
      <c r="M766" s="2" t="n">
        <v>0.4</v>
      </c>
      <c r="N766" s="2" t="n">
        <v>7.825</v>
      </c>
      <c r="O766" s="2" t="n">
        <v>7.7</v>
      </c>
      <c r="P766" s="7" t="n"/>
    </row>
    <row r="767">
      <c r="A767" s="6" t="n">
        <v>8.625</v>
      </c>
      <c r="B767" s="2" t="n">
        <v>36</v>
      </c>
      <c r="C767" s="2" t="inlineStr">
        <is>
          <t>HCK-55</t>
        </is>
      </c>
      <c r="D767" s="2" t="n">
        <v>5300</v>
      </c>
      <c r="E767" s="2" t="n">
        <v>4460</v>
      </c>
      <c r="F767" s="2" t="n"/>
      <c r="G767" s="2" t="n"/>
      <c r="H767" s="2" t="n"/>
      <c r="I767" s="2" t="inlineStr">
        <is>
          <t>BTC</t>
        </is>
      </c>
      <c r="J767" s="2" t="n">
        <v>847</v>
      </c>
      <c r="K767" s="2" t="n"/>
      <c r="L767" s="2" t="n">
        <v>568</v>
      </c>
      <c r="M767" s="2" t="n">
        <v>0.4</v>
      </c>
      <c r="N767" s="2" t="n">
        <v>7.825</v>
      </c>
      <c r="O767" s="2" t="n">
        <v>7.7</v>
      </c>
      <c r="P767" s="7" t="n"/>
    </row>
    <row r="768">
      <c r="A768" s="8" t="n">
        <v>8.625</v>
      </c>
      <c r="B768" s="1" t="n">
        <v>36</v>
      </c>
      <c r="C768" s="1" t="inlineStr">
        <is>
          <t>L-80</t>
        </is>
      </c>
      <c r="D768" s="1" t="n">
        <v>4100</v>
      </c>
      <c r="E768" s="1" t="n">
        <v>6490</v>
      </c>
      <c r="F768" s="1" t="n"/>
      <c r="G768" s="1" t="n"/>
      <c r="H768" s="1" t="n"/>
      <c r="I768" s="1" t="inlineStr">
        <is>
          <t>LTC</t>
        </is>
      </c>
      <c r="J768" s="1" t="n">
        <v>678</v>
      </c>
      <c r="K768" s="1" t="n"/>
      <c r="L768" s="1" t="n">
        <v>827</v>
      </c>
      <c r="M768" s="1" t="n">
        <v>0.4</v>
      </c>
      <c r="N768" s="1" t="n">
        <v>7.825</v>
      </c>
      <c r="O768" s="1" t="n">
        <v>7.7</v>
      </c>
      <c r="P768" s="9" t="n"/>
    </row>
    <row r="769">
      <c r="A769" s="8" t="n">
        <v>8.625</v>
      </c>
      <c r="B769" s="1" t="n">
        <v>36</v>
      </c>
      <c r="C769" s="1" t="inlineStr">
        <is>
          <t>L-80</t>
        </is>
      </c>
      <c r="D769" s="1" t="n">
        <v>4100</v>
      </c>
      <c r="E769" s="1" t="n">
        <v>6490</v>
      </c>
      <c r="F769" s="1" t="n"/>
      <c r="G769" s="1" t="n"/>
      <c r="H769" s="1" t="n"/>
      <c r="I769" s="1" t="inlineStr">
        <is>
          <t>BTC</t>
        </is>
      </c>
      <c r="J769" s="1" t="n">
        <v>864</v>
      </c>
      <c r="K769" s="1" t="n"/>
      <c r="L769" s="1" t="n">
        <v>827</v>
      </c>
      <c r="M769" s="1" t="n">
        <v>0.4</v>
      </c>
      <c r="N769" s="1" t="n">
        <v>7.825</v>
      </c>
      <c r="O769" s="1" t="n">
        <v>7.7</v>
      </c>
      <c r="P769" s="9" t="n"/>
    </row>
    <row r="770">
      <c r="A770" s="6" t="n">
        <v>8.625</v>
      </c>
      <c r="B770" s="2" t="n">
        <v>36</v>
      </c>
      <c r="C770" s="2" t="inlineStr">
        <is>
          <t>HCL-80</t>
        </is>
      </c>
      <c r="D770" s="2" t="n">
        <v>6060</v>
      </c>
      <c r="E770" s="2" t="n">
        <v>6490</v>
      </c>
      <c r="F770" s="2" t="n"/>
      <c r="G770" s="2" t="n"/>
      <c r="H770" s="2" t="n"/>
      <c r="I770" s="2" t="inlineStr">
        <is>
          <t>LTC</t>
        </is>
      </c>
      <c r="J770" s="2" t="n">
        <v>779</v>
      </c>
      <c r="K770" s="2" t="n"/>
      <c r="L770" s="2" t="n">
        <v>827</v>
      </c>
      <c r="M770" s="2" t="n">
        <v>0.4</v>
      </c>
      <c r="N770" s="2" t="n">
        <v>7.825</v>
      </c>
      <c r="O770" s="2" t="n">
        <v>7.7</v>
      </c>
      <c r="P770" s="7" t="n"/>
    </row>
    <row r="771">
      <c r="A771" s="6" t="n">
        <v>8.625</v>
      </c>
      <c r="B771" s="2" t="n">
        <v>36</v>
      </c>
      <c r="C771" s="2" t="inlineStr">
        <is>
          <t>HCL-80</t>
        </is>
      </c>
      <c r="D771" s="2" t="n">
        <v>6060</v>
      </c>
      <c r="E771" s="2" t="n">
        <v>6490</v>
      </c>
      <c r="F771" s="2" t="n"/>
      <c r="G771" s="2" t="n"/>
      <c r="H771" s="2" t="n"/>
      <c r="I771" s="2" t="inlineStr">
        <is>
          <t>BTC</t>
        </is>
      </c>
      <c r="J771" s="2" t="n">
        <v>945</v>
      </c>
      <c r="K771" s="2" t="n"/>
      <c r="L771" s="2" t="n">
        <v>827</v>
      </c>
      <c r="M771" s="2" t="n">
        <v>0.4</v>
      </c>
      <c r="N771" s="2" t="n">
        <v>7.825</v>
      </c>
      <c r="O771" s="2" t="n">
        <v>7.7</v>
      </c>
      <c r="P771" s="7" t="n"/>
    </row>
    <row r="772">
      <c r="A772" s="8" t="n">
        <v>8.625</v>
      </c>
      <c r="B772" s="1" t="n">
        <v>36</v>
      </c>
      <c r="C772" s="1" t="inlineStr">
        <is>
          <t>N-80</t>
        </is>
      </c>
      <c r="D772" s="1" t="n">
        <v>4100</v>
      </c>
      <c r="E772" s="1" t="n">
        <v>6490</v>
      </c>
      <c r="F772" s="1" t="n"/>
      <c r="G772" s="1" t="n"/>
      <c r="H772" s="1" t="n"/>
      <c r="I772" s="1" t="inlineStr">
        <is>
          <t>LTC</t>
        </is>
      </c>
      <c r="J772" s="1" t="n">
        <v>688</v>
      </c>
      <c r="K772" s="1" t="n"/>
      <c r="L772" s="1" t="n">
        <v>827</v>
      </c>
      <c r="M772" s="1" t="n">
        <v>0.4</v>
      </c>
      <c r="N772" s="1" t="n">
        <v>7.825</v>
      </c>
      <c r="O772" s="1" t="n">
        <v>7.7</v>
      </c>
      <c r="P772" s="9" t="n"/>
    </row>
    <row r="773">
      <c r="A773" s="8" t="n">
        <v>8.625</v>
      </c>
      <c r="B773" s="1" t="n">
        <v>36</v>
      </c>
      <c r="C773" s="1" t="inlineStr">
        <is>
          <t>N-80</t>
        </is>
      </c>
      <c r="D773" s="1" t="n">
        <v>4100</v>
      </c>
      <c r="E773" s="1" t="n">
        <v>6490</v>
      </c>
      <c r="F773" s="1" t="n"/>
      <c r="G773" s="1" t="n"/>
      <c r="H773" s="1" t="n"/>
      <c r="I773" s="1" t="inlineStr">
        <is>
          <t>BTC</t>
        </is>
      </c>
      <c r="J773" s="1" t="n">
        <v>895</v>
      </c>
      <c r="K773" s="1" t="n"/>
      <c r="L773" s="1" t="n">
        <v>827</v>
      </c>
      <c r="M773" s="1" t="n">
        <v>0.4</v>
      </c>
      <c r="N773" s="1" t="n">
        <v>7.825</v>
      </c>
      <c r="O773" s="1" t="n">
        <v>7.7</v>
      </c>
      <c r="P773" s="9" t="n"/>
    </row>
    <row r="774">
      <c r="A774" s="6" t="n">
        <v>8.625</v>
      </c>
      <c r="B774" s="2" t="n">
        <v>36</v>
      </c>
      <c r="C774" s="2" t="inlineStr">
        <is>
          <t>HCN-80</t>
        </is>
      </c>
      <c r="D774" s="2" t="n">
        <v>6060</v>
      </c>
      <c r="E774" s="2" t="n">
        <v>6490</v>
      </c>
      <c r="F774" s="2" t="n"/>
      <c r="G774" s="2" t="n"/>
      <c r="H774" s="2" t="n"/>
      <c r="I774" s="2" t="inlineStr">
        <is>
          <t>LTC</t>
        </is>
      </c>
      <c r="J774" s="2" t="n">
        <v>779</v>
      </c>
      <c r="K774" s="2" t="n"/>
      <c r="L774" s="2" t="n">
        <v>827</v>
      </c>
      <c r="M774" s="2" t="n">
        <v>0.4</v>
      </c>
      <c r="N774" s="2" t="n">
        <v>7.825</v>
      </c>
      <c r="O774" s="2" t="n">
        <v>7.7</v>
      </c>
      <c r="P774" s="7" t="n"/>
    </row>
    <row r="775">
      <c r="A775" s="6" t="n">
        <v>8.625</v>
      </c>
      <c r="B775" s="2" t="n">
        <v>36</v>
      </c>
      <c r="C775" s="2" t="inlineStr">
        <is>
          <t>HCN-80</t>
        </is>
      </c>
      <c r="D775" s="2" t="n">
        <v>6060</v>
      </c>
      <c r="E775" s="2" t="n">
        <v>6490</v>
      </c>
      <c r="F775" s="2" t="n"/>
      <c r="G775" s="2" t="n"/>
      <c r="H775" s="2" t="n"/>
      <c r="I775" s="2" t="inlineStr">
        <is>
          <t>BTC</t>
        </is>
      </c>
      <c r="J775" s="2" t="n">
        <v>945</v>
      </c>
      <c r="K775" s="2" t="n"/>
      <c r="L775" s="2" t="n">
        <v>827</v>
      </c>
      <c r="M775" s="2" t="n">
        <v>0.4</v>
      </c>
      <c r="N775" s="2" t="n">
        <v>7.825</v>
      </c>
      <c r="O775" s="2" t="n">
        <v>7.7</v>
      </c>
      <c r="P775" s="7" t="n"/>
    </row>
    <row r="776">
      <c r="A776" s="8" t="n">
        <v>8.625</v>
      </c>
      <c r="B776" s="1" t="n">
        <v>40</v>
      </c>
      <c r="C776" s="1" t="inlineStr">
        <is>
          <t>L-80</t>
        </is>
      </c>
      <c r="D776" s="1" t="n">
        <v>5520</v>
      </c>
      <c r="E776" s="1" t="n">
        <v>7300</v>
      </c>
      <c r="F776" s="1" t="n"/>
      <c r="G776" s="1" t="n"/>
      <c r="H776" s="1" t="n"/>
      <c r="I776" s="1" t="inlineStr">
        <is>
          <t>LTC</t>
        </is>
      </c>
      <c r="J776" s="1" t="n">
        <v>776</v>
      </c>
      <c r="K776" s="1" t="n"/>
      <c r="L776" s="1" t="n">
        <v>925</v>
      </c>
      <c r="M776" s="1" t="n">
        <v>0.45</v>
      </c>
      <c r="N776" s="1" t="n">
        <v>7.725</v>
      </c>
      <c r="O776" s="1" t="n">
        <v>7.6</v>
      </c>
      <c r="P776" s="9" t="n">
        <v>7.625</v>
      </c>
    </row>
    <row r="777">
      <c r="A777" s="8" t="n">
        <v>8.625</v>
      </c>
      <c r="B777" s="1" t="n">
        <v>40</v>
      </c>
      <c r="C777" s="1" t="inlineStr">
        <is>
          <t>L-80</t>
        </is>
      </c>
      <c r="D777" s="1" t="n">
        <v>5520</v>
      </c>
      <c r="E777" s="1" t="n">
        <v>7300</v>
      </c>
      <c r="F777" s="1" t="n"/>
      <c r="G777" s="1" t="n"/>
      <c r="H777" s="1" t="n"/>
      <c r="I777" s="1" t="inlineStr">
        <is>
          <t>BTC</t>
        </is>
      </c>
      <c r="J777" s="1" t="n">
        <v>966</v>
      </c>
      <c r="K777" s="1" t="n"/>
      <c r="L777" s="1" t="n">
        <v>925</v>
      </c>
      <c r="M777" s="1" t="n">
        <v>0.45</v>
      </c>
      <c r="N777" s="1" t="n">
        <v>7.725</v>
      </c>
      <c r="O777" s="1" t="n">
        <v>7.6</v>
      </c>
      <c r="P777" s="9" t="n">
        <v>7.625</v>
      </c>
    </row>
    <row r="778">
      <c r="A778" s="6" t="n">
        <v>8.625</v>
      </c>
      <c r="B778" s="2" t="n">
        <v>40</v>
      </c>
      <c r="C778" s="2" t="inlineStr">
        <is>
          <t>HCL-80</t>
        </is>
      </c>
      <c r="D778" s="2" t="n">
        <v>7900</v>
      </c>
      <c r="E778" s="2" t="n">
        <v>7300</v>
      </c>
      <c r="F778" s="2" t="n"/>
      <c r="G778" s="2" t="n"/>
      <c r="H778" s="2" t="n"/>
      <c r="I778" s="2" t="inlineStr">
        <is>
          <t>LTC</t>
        </is>
      </c>
      <c r="J778" s="2" t="n">
        <v>892</v>
      </c>
      <c r="K778" s="2" t="n"/>
      <c r="L778" s="2" t="n">
        <v>925</v>
      </c>
      <c r="M778" s="2" t="n">
        <v>0.45</v>
      </c>
      <c r="N778" s="2" t="n">
        <v>7.725</v>
      </c>
      <c r="O778" s="2" t="n">
        <v>7.6</v>
      </c>
      <c r="P778" s="7" t="n">
        <v>7.625</v>
      </c>
    </row>
    <row r="779">
      <c r="A779" s="6" t="n">
        <v>8.625</v>
      </c>
      <c r="B779" s="2" t="n">
        <v>40</v>
      </c>
      <c r="C779" s="2" t="inlineStr">
        <is>
          <t>HCL-80</t>
        </is>
      </c>
      <c r="D779" s="2" t="n">
        <v>7900</v>
      </c>
      <c r="E779" s="2" t="n">
        <v>7300</v>
      </c>
      <c r="F779" s="2" t="n"/>
      <c r="G779" s="2" t="n"/>
      <c r="H779" s="2" t="n"/>
      <c r="I779" s="2" t="inlineStr">
        <is>
          <t>BTC</t>
        </is>
      </c>
      <c r="J779" s="2" t="n">
        <v>1057</v>
      </c>
      <c r="K779" s="2" t="n"/>
      <c r="L779" s="2" t="n">
        <v>925</v>
      </c>
      <c r="M779" s="2" t="n">
        <v>0.45</v>
      </c>
      <c r="N779" s="2" t="n">
        <v>7.725</v>
      </c>
      <c r="O779" s="2" t="n">
        <v>7.6</v>
      </c>
      <c r="P779" s="7" t="n">
        <v>7.625</v>
      </c>
    </row>
    <row r="780">
      <c r="A780" s="8" t="n">
        <v>8.625</v>
      </c>
      <c r="B780" s="1" t="n">
        <v>40</v>
      </c>
      <c r="C780" s="1" t="inlineStr">
        <is>
          <t>N-80</t>
        </is>
      </c>
      <c r="D780" s="1" t="n">
        <v>5520</v>
      </c>
      <c r="E780" s="1" t="n">
        <v>7300</v>
      </c>
      <c r="F780" s="1" t="n"/>
      <c r="G780" s="1" t="n"/>
      <c r="H780" s="1" t="n"/>
      <c r="I780" s="1" t="inlineStr">
        <is>
          <t>LTC</t>
        </is>
      </c>
      <c r="J780" s="1" t="n">
        <v>788</v>
      </c>
      <c r="K780" s="1" t="n"/>
      <c r="L780" s="1" t="n">
        <v>925</v>
      </c>
      <c r="M780" s="1" t="n">
        <v>0.45</v>
      </c>
      <c r="N780" s="1" t="n">
        <v>7.725</v>
      </c>
      <c r="O780" s="1" t="n">
        <v>7.6</v>
      </c>
      <c r="P780" s="9" t="n">
        <v>7.625</v>
      </c>
    </row>
    <row r="781">
      <c r="A781" s="8" t="n">
        <v>8.625</v>
      </c>
      <c r="B781" s="1" t="n">
        <v>40</v>
      </c>
      <c r="C781" s="1" t="inlineStr">
        <is>
          <t>N-80</t>
        </is>
      </c>
      <c r="D781" s="1" t="n">
        <v>5520</v>
      </c>
      <c r="E781" s="1" t="n">
        <v>7300</v>
      </c>
      <c r="F781" s="1" t="n"/>
      <c r="G781" s="1" t="n"/>
      <c r="H781" s="1" t="n"/>
      <c r="I781" s="1" t="inlineStr">
        <is>
          <t>BTC</t>
        </is>
      </c>
      <c r="J781" s="1" t="n">
        <v>1001</v>
      </c>
      <c r="K781" s="1" t="n"/>
      <c r="L781" s="1" t="n">
        <v>925</v>
      </c>
      <c r="M781" s="1" t="n">
        <v>0.45</v>
      </c>
      <c r="N781" s="1" t="n">
        <v>7.725</v>
      </c>
      <c r="O781" s="1" t="n">
        <v>7.6</v>
      </c>
      <c r="P781" s="9" t="n">
        <v>7.625</v>
      </c>
    </row>
    <row r="782">
      <c r="A782" s="6" t="n">
        <v>8.625</v>
      </c>
      <c r="B782" s="2" t="n">
        <v>40</v>
      </c>
      <c r="C782" s="2" t="inlineStr">
        <is>
          <t>HCN-80</t>
        </is>
      </c>
      <c r="D782" s="2" t="n">
        <v>7900</v>
      </c>
      <c r="E782" s="2" t="n">
        <v>7300</v>
      </c>
      <c r="F782" s="2" t="n"/>
      <c r="G782" s="2" t="n"/>
      <c r="H782" s="2" t="n"/>
      <c r="I782" s="2" t="inlineStr">
        <is>
          <t>LTC</t>
        </is>
      </c>
      <c r="J782" s="2" t="n">
        <v>892</v>
      </c>
      <c r="K782" s="2" t="n"/>
      <c r="L782" s="2" t="n">
        <v>925</v>
      </c>
      <c r="M782" s="2" t="n">
        <v>0.45</v>
      </c>
      <c r="N782" s="2" t="n">
        <v>7.725</v>
      </c>
      <c r="O782" s="2" t="n">
        <v>7.6</v>
      </c>
      <c r="P782" s="7" t="n">
        <v>7.625</v>
      </c>
    </row>
    <row r="783">
      <c r="A783" s="6" t="n">
        <v>8.625</v>
      </c>
      <c r="B783" s="2" t="n">
        <v>40</v>
      </c>
      <c r="C783" s="2" t="inlineStr">
        <is>
          <t>HCN-80</t>
        </is>
      </c>
      <c r="D783" s="2" t="n">
        <v>7900</v>
      </c>
      <c r="E783" s="2" t="n">
        <v>7300</v>
      </c>
      <c r="F783" s="2" t="n"/>
      <c r="G783" s="2" t="n"/>
      <c r="H783" s="2" t="n"/>
      <c r="I783" s="2" t="inlineStr">
        <is>
          <t>BTC</t>
        </is>
      </c>
      <c r="J783" s="2" t="n">
        <v>1057</v>
      </c>
      <c r="K783" s="2" t="n"/>
      <c r="L783" s="2" t="n">
        <v>925</v>
      </c>
      <c r="M783" s="2" t="n">
        <v>0.45</v>
      </c>
      <c r="N783" s="2" t="n">
        <v>7.725</v>
      </c>
      <c r="O783" s="2" t="n">
        <v>7.6</v>
      </c>
      <c r="P783" s="7" t="n">
        <v>7.625</v>
      </c>
    </row>
    <row r="784">
      <c r="A784" s="8" t="n">
        <v>8.625</v>
      </c>
      <c r="B784" s="1" t="n">
        <v>40</v>
      </c>
      <c r="C784" s="1" t="inlineStr">
        <is>
          <t>C-90</t>
        </is>
      </c>
      <c r="D784" s="1" t="n">
        <v>5870</v>
      </c>
      <c r="E784" s="1" t="n">
        <v>8220</v>
      </c>
      <c r="F784" s="1" t="n"/>
      <c r="G784" s="1" t="n"/>
      <c r="H784" s="1" t="n"/>
      <c r="I784" s="1" t="inlineStr">
        <is>
          <t>LTC</t>
        </is>
      </c>
      <c r="J784" s="1" t="n">
        <v>858</v>
      </c>
      <c r="K784" s="1" t="n"/>
      <c r="L784" s="1" t="n">
        <v>1040</v>
      </c>
      <c r="M784" s="1" t="n">
        <v>0.45</v>
      </c>
      <c r="N784" s="1" t="n">
        <v>7.725</v>
      </c>
      <c r="O784" s="1" t="n">
        <v>7.6</v>
      </c>
      <c r="P784" s="9" t="n">
        <v>7.625</v>
      </c>
    </row>
    <row r="785">
      <c r="A785" s="8" t="n">
        <v>8.625</v>
      </c>
      <c r="B785" s="1" t="n">
        <v>40</v>
      </c>
      <c r="C785" s="1" t="inlineStr">
        <is>
          <t>C-90</t>
        </is>
      </c>
      <c r="D785" s="1" t="n">
        <v>5870</v>
      </c>
      <c r="E785" s="1" t="n">
        <v>8220</v>
      </c>
      <c r="F785" s="1" t="n"/>
      <c r="G785" s="1" t="n"/>
      <c r="H785" s="1" t="n"/>
      <c r="I785" s="1" t="inlineStr">
        <is>
          <t>BTC</t>
        </is>
      </c>
      <c r="J785" s="1" t="n">
        <v>1038</v>
      </c>
      <c r="K785" s="1" t="n"/>
      <c r="L785" s="1" t="n">
        <v>1040</v>
      </c>
      <c r="M785" s="1" t="n">
        <v>0.45</v>
      </c>
      <c r="N785" s="1" t="n">
        <v>7.725</v>
      </c>
      <c r="O785" s="1" t="n">
        <v>7.6</v>
      </c>
      <c r="P785" s="9" t="n">
        <v>7.625</v>
      </c>
    </row>
    <row r="786">
      <c r="A786" s="6" t="n">
        <v>8.625</v>
      </c>
      <c r="B786" s="2" t="n">
        <v>40</v>
      </c>
      <c r="C786" s="2" t="inlineStr">
        <is>
          <t>H2S-90</t>
        </is>
      </c>
      <c r="D786" s="2" t="n">
        <v>7900</v>
      </c>
      <c r="E786" s="2" t="n">
        <v>8220</v>
      </c>
      <c r="F786" s="2" t="n"/>
      <c r="G786" s="2" t="n"/>
      <c r="H786" s="2" t="n"/>
      <c r="I786" s="2" t="inlineStr">
        <is>
          <t>LTC</t>
        </is>
      </c>
      <c r="J786" s="2" t="n">
        <v>892</v>
      </c>
      <c r="K786" s="2" t="n"/>
      <c r="L786" s="2" t="n">
        <v>1040</v>
      </c>
      <c r="M786" s="2" t="n">
        <v>0.45</v>
      </c>
      <c r="N786" s="2" t="n">
        <v>7.725</v>
      </c>
      <c r="O786" s="2" t="n">
        <v>7.6</v>
      </c>
      <c r="P786" s="7" t="n">
        <v>7.625</v>
      </c>
    </row>
    <row r="787">
      <c r="A787" s="6" t="n">
        <v>8.625</v>
      </c>
      <c r="B787" s="2" t="n">
        <v>40</v>
      </c>
      <c r="C787" s="2" t="inlineStr">
        <is>
          <t>H2S-90</t>
        </is>
      </c>
      <c r="D787" s="2" t="n">
        <v>7900</v>
      </c>
      <c r="E787" s="2" t="n">
        <v>8220</v>
      </c>
      <c r="F787" s="2" t="n"/>
      <c r="G787" s="2" t="n"/>
      <c r="H787" s="2" t="n"/>
      <c r="I787" s="2" t="inlineStr">
        <is>
          <t>BTC</t>
        </is>
      </c>
      <c r="J787" s="2" t="n">
        <v>1057</v>
      </c>
      <c r="K787" s="2" t="n"/>
      <c r="L787" s="2" t="n">
        <v>1040</v>
      </c>
      <c r="M787" s="2" t="n">
        <v>0.45</v>
      </c>
      <c r="N787" s="2" t="n">
        <v>7.725</v>
      </c>
      <c r="O787" s="2" t="n">
        <v>7.6</v>
      </c>
      <c r="P787" s="7" t="n">
        <v>7.625</v>
      </c>
    </row>
    <row r="788">
      <c r="A788" s="8" t="n">
        <v>8.625</v>
      </c>
      <c r="B788" s="1" t="n">
        <v>40</v>
      </c>
      <c r="C788" s="1" t="inlineStr">
        <is>
          <t>S-95</t>
        </is>
      </c>
      <c r="D788" s="1" t="n">
        <v>7900</v>
      </c>
      <c r="E788" s="1" t="n">
        <v>8670</v>
      </c>
      <c r="F788" s="1" t="n"/>
      <c r="G788" s="1" t="n"/>
      <c r="H788" s="1" t="n"/>
      <c r="I788" s="1" t="inlineStr">
        <is>
          <t>LTC</t>
        </is>
      </c>
      <c r="J788" s="1" t="n">
        <v>915</v>
      </c>
      <c r="K788" s="1" t="n"/>
      <c r="L788" s="1" t="n">
        <v>1098</v>
      </c>
      <c r="M788" s="1" t="n">
        <v>0.45</v>
      </c>
      <c r="N788" s="1" t="n">
        <v>7.725</v>
      </c>
      <c r="O788" s="1" t="n">
        <v>7.6</v>
      </c>
      <c r="P788" s="9" t="n">
        <v>7.625</v>
      </c>
    </row>
    <row r="789">
      <c r="A789" s="8" t="n">
        <v>8.625</v>
      </c>
      <c r="B789" s="1" t="n">
        <v>40</v>
      </c>
      <c r="C789" s="1" t="inlineStr">
        <is>
          <t>S-95</t>
        </is>
      </c>
      <c r="D789" s="1" t="n">
        <v>7900</v>
      </c>
      <c r="E789" s="1" t="n">
        <v>8670</v>
      </c>
      <c r="F789" s="1" t="n"/>
      <c r="G789" s="1" t="n"/>
      <c r="H789" s="1" t="n"/>
      <c r="I789" s="1" t="inlineStr">
        <is>
          <t>BTC</t>
        </is>
      </c>
      <c r="J789" s="1" t="n">
        <v>1127</v>
      </c>
      <c r="K789" s="1" t="n"/>
      <c r="L789" s="1" t="n">
        <v>1098</v>
      </c>
      <c r="M789" s="1" t="n">
        <v>0.45</v>
      </c>
      <c r="N789" s="1" t="n">
        <v>7.725</v>
      </c>
      <c r="O789" s="1" t="n">
        <v>7.6</v>
      </c>
      <c r="P789" s="9" t="n">
        <v>7.625</v>
      </c>
    </row>
    <row r="790">
      <c r="A790" s="6" t="n">
        <v>8.625</v>
      </c>
      <c r="B790" s="2" t="n">
        <v>40</v>
      </c>
      <c r="C790" s="2" t="inlineStr">
        <is>
          <t>T-95</t>
        </is>
      </c>
      <c r="D790" s="2" t="n">
        <v>6020</v>
      </c>
      <c r="E790" s="2" t="n">
        <v>8670</v>
      </c>
      <c r="F790" s="2" t="n"/>
      <c r="G790" s="2" t="n"/>
      <c r="H790" s="2" t="n"/>
      <c r="I790" s="2" t="inlineStr">
        <is>
          <t>LTC</t>
        </is>
      </c>
      <c r="J790" s="2" t="n">
        <v>904</v>
      </c>
      <c r="K790" s="2" t="n"/>
      <c r="L790" s="2" t="n">
        <v>1098</v>
      </c>
      <c r="M790" s="2" t="n">
        <v>0.45</v>
      </c>
      <c r="N790" s="2" t="n">
        <v>7.725</v>
      </c>
      <c r="O790" s="2" t="n">
        <v>7.6</v>
      </c>
      <c r="P790" s="7" t="n">
        <v>7.625</v>
      </c>
    </row>
    <row r="791">
      <c r="A791" s="6" t="n">
        <v>8.625</v>
      </c>
      <c r="B791" s="2" t="n">
        <v>40</v>
      </c>
      <c r="C791" s="2" t="inlineStr">
        <is>
          <t>T-95</t>
        </is>
      </c>
      <c r="D791" s="2" t="n">
        <v>6020</v>
      </c>
      <c r="E791" s="2" t="n">
        <v>8670</v>
      </c>
      <c r="F791" s="2" t="n"/>
      <c r="G791" s="2" t="n"/>
      <c r="H791" s="2" t="n"/>
      <c r="I791" s="2" t="inlineStr">
        <is>
          <t>BTC</t>
        </is>
      </c>
      <c r="J791" s="2" t="n">
        <v>1092</v>
      </c>
      <c r="K791" s="2" t="n"/>
      <c r="L791" s="2" t="n">
        <v>1098</v>
      </c>
      <c r="M791" s="2" t="n">
        <v>0.45</v>
      </c>
      <c r="N791" s="2" t="n">
        <v>7.725</v>
      </c>
      <c r="O791" s="2" t="n">
        <v>7.6</v>
      </c>
      <c r="P791" s="7" t="n">
        <v>7.625</v>
      </c>
    </row>
    <row r="792">
      <c r="A792" s="8" t="n">
        <v>8.625</v>
      </c>
      <c r="B792" s="1" t="n">
        <v>40</v>
      </c>
      <c r="C792" s="1" t="inlineStr">
        <is>
          <t>H2S-95</t>
        </is>
      </c>
      <c r="D792" s="1" t="n">
        <v>7900</v>
      </c>
      <c r="E792" s="1" t="n">
        <v>8670</v>
      </c>
      <c r="F792" s="1" t="n"/>
      <c r="G792" s="1" t="n"/>
      <c r="H792" s="1" t="n"/>
      <c r="I792" s="1" t="inlineStr">
        <is>
          <t>LTC</t>
        </is>
      </c>
      <c r="J792" s="1" t="n">
        <v>904</v>
      </c>
      <c r="K792" s="1" t="n"/>
      <c r="L792" s="1" t="n">
        <v>1098</v>
      </c>
      <c r="M792" s="1" t="n">
        <v>0.45</v>
      </c>
      <c r="N792" s="1" t="n">
        <v>7.725</v>
      </c>
      <c r="O792" s="1" t="n">
        <v>7.6</v>
      </c>
      <c r="P792" s="9" t="n">
        <v>7.625</v>
      </c>
    </row>
    <row r="793">
      <c r="A793" s="8" t="n">
        <v>8.625</v>
      </c>
      <c r="B793" s="1" t="n">
        <v>40</v>
      </c>
      <c r="C793" s="1" t="inlineStr">
        <is>
          <t>H2S-95</t>
        </is>
      </c>
      <c r="D793" s="1" t="n">
        <v>7900</v>
      </c>
      <c r="E793" s="1" t="n">
        <v>8670</v>
      </c>
      <c r="F793" s="1" t="n"/>
      <c r="G793" s="1" t="n"/>
      <c r="H793" s="1" t="n"/>
      <c r="I793" s="1" t="inlineStr">
        <is>
          <t>BTC</t>
        </is>
      </c>
      <c r="J793" s="1" t="n">
        <v>1092</v>
      </c>
      <c r="K793" s="1" t="n"/>
      <c r="L793" s="1" t="n">
        <v>1098</v>
      </c>
      <c r="M793" s="1" t="n">
        <v>0.45</v>
      </c>
      <c r="N793" s="1" t="n">
        <v>7.725</v>
      </c>
      <c r="O793" s="1" t="n">
        <v>7.6</v>
      </c>
      <c r="P793" s="9" t="n">
        <v>7.625</v>
      </c>
    </row>
    <row r="794">
      <c r="A794" s="6" t="n">
        <v>8.625</v>
      </c>
      <c r="B794" s="2" t="n">
        <v>40</v>
      </c>
      <c r="C794" s="2" t="inlineStr">
        <is>
          <t>C-95</t>
        </is>
      </c>
      <c r="D794" s="2" t="n">
        <v>6020</v>
      </c>
      <c r="E794" s="2" t="n">
        <v>8670</v>
      </c>
      <c r="F794" s="2" t="n"/>
      <c r="G794" s="2" t="n"/>
      <c r="H794" s="2" t="n"/>
      <c r="I794" s="2" t="inlineStr">
        <is>
          <t>LTC</t>
        </is>
      </c>
      <c r="J794" s="2" t="n">
        <v>904</v>
      </c>
      <c r="K794" s="2" t="n"/>
      <c r="L794" s="2" t="n">
        <v>1098</v>
      </c>
      <c r="M794" s="2" t="n">
        <v>0.45</v>
      </c>
      <c r="N794" s="2" t="n">
        <v>7.725</v>
      </c>
      <c r="O794" s="2" t="n">
        <v>7.6</v>
      </c>
      <c r="P794" s="7" t="n">
        <v>7.625</v>
      </c>
    </row>
    <row r="795">
      <c r="A795" s="6" t="n">
        <v>8.625</v>
      </c>
      <c r="B795" s="2" t="n">
        <v>40</v>
      </c>
      <c r="C795" s="2" t="inlineStr">
        <is>
          <t>C-95</t>
        </is>
      </c>
      <c r="D795" s="2" t="n">
        <v>6020</v>
      </c>
      <c r="E795" s="2" t="n">
        <v>8670</v>
      </c>
      <c r="F795" s="2" t="n"/>
      <c r="G795" s="2" t="n"/>
      <c r="H795" s="2" t="n"/>
      <c r="I795" s="2" t="inlineStr">
        <is>
          <t>BTC</t>
        </is>
      </c>
      <c r="J795" s="2" t="n">
        <v>1092</v>
      </c>
      <c r="K795" s="2" t="n"/>
      <c r="L795" s="2" t="n">
        <v>1098</v>
      </c>
      <c r="M795" s="2" t="n">
        <v>0.45</v>
      </c>
      <c r="N795" s="2" t="n">
        <v>7.725</v>
      </c>
      <c r="O795" s="2" t="n">
        <v>7.6</v>
      </c>
      <c r="P795" s="7" t="n">
        <v>7.625</v>
      </c>
    </row>
    <row r="796">
      <c r="A796" s="8" t="n">
        <v>8.625</v>
      </c>
      <c r="B796" s="1" t="n">
        <v>40</v>
      </c>
      <c r="C796" s="1" t="inlineStr">
        <is>
          <t>HCP-110</t>
        </is>
      </c>
      <c r="D796" s="1" t="n">
        <v>7900</v>
      </c>
      <c r="E796" s="1" t="n">
        <v>10040</v>
      </c>
      <c r="F796" s="1" t="n"/>
      <c r="G796" s="1" t="n"/>
      <c r="H796" s="1" t="n"/>
      <c r="I796" s="1" t="inlineStr">
        <is>
          <t>LTC</t>
        </is>
      </c>
      <c r="J796" s="1" t="n">
        <v>1055</v>
      </c>
      <c r="K796" s="1" t="n"/>
      <c r="L796" s="1" t="n">
        <v>1271</v>
      </c>
      <c r="M796" s="1" t="n">
        <v>0.45</v>
      </c>
      <c r="N796" s="1" t="n">
        <v>7.725</v>
      </c>
      <c r="O796" s="1" t="n">
        <v>7.6</v>
      </c>
      <c r="P796" s="9" t="n">
        <v>7.625</v>
      </c>
    </row>
    <row r="797">
      <c r="A797" s="8" t="n">
        <v>8.625</v>
      </c>
      <c r="B797" s="1" t="n">
        <v>40</v>
      </c>
      <c r="C797" s="1" t="inlineStr">
        <is>
          <t>HCP-110</t>
        </is>
      </c>
      <c r="D797" s="1" t="n">
        <v>7900</v>
      </c>
      <c r="E797" s="1" t="n">
        <v>10040</v>
      </c>
      <c r="F797" s="1" t="n"/>
      <c r="G797" s="1" t="n"/>
      <c r="H797" s="1" t="n"/>
      <c r="I797" s="1" t="inlineStr">
        <is>
          <t>BTC</t>
        </is>
      </c>
      <c r="J797" s="1" t="n">
        <v>1228</v>
      </c>
      <c r="K797" s="1" t="n"/>
      <c r="L797" s="1" t="n">
        <v>1271</v>
      </c>
      <c r="M797" s="1" t="n">
        <v>0.45</v>
      </c>
      <c r="N797" s="1" t="n">
        <v>7.725</v>
      </c>
      <c r="O797" s="1" t="n">
        <v>7.6</v>
      </c>
      <c r="P797" s="9" t="n">
        <v>7.625</v>
      </c>
    </row>
    <row r="798">
      <c r="A798" s="6" t="n">
        <v>8.625</v>
      </c>
      <c r="B798" s="2" t="n">
        <v>40</v>
      </c>
      <c r="C798" s="2" t="inlineStr">
        <is>
          <t>P-110</t>
        </is>
      </c>
      <c r="D798" s="2" t="n">
        <v>6390</v>
      </c>
      <c r="E798" s="2" t="n">
        <v>10040</v>
      </c>
      <c r="F798" s="2" t="n"/>
      <c r="G798" s="2" t="n"/>
      <c r="H798" s="2" t="n"/>
      <c r="I798" s="2" t="inlineStr">
        <is>
          <t>LTC</t>
        </is>
      </c>
      <c r="J798" s="2" t="n">
        <v>1055</v>
      </c>
      <c r="K798" s="2" t="n"/>
      <c r="L798" s="2" t="n">
        <v>1271</v>
      </c>
      <c r="M798" s="2" t="n">
        <v>0.45</v>
      </c>
      <c r="N798" s="2" t="n">
        <v>7.725</v>
      </c>
      <c r="O798" s="2" t="n">
        <v>7.6</v>
      </c>
      <c r="P798" s="7" t="n">
        <v>7.625</v>
      </c>
    </row>
    <row r="799">
      <c r="A799" s="6" t="n">
        <v>8.625</v>
      </c>
      <c r="B799" s="2" t="n">
        <v>40</v>
      </c>
      <c r="C799" s="2" t="inlineStr">
        <is>
          <t>P-110</t>
        </is>
      </c>
      <c r="D799" s="2" t="n">
        <v>6390</v>
      </c>
      <c r="E799" s="2" t="n">
        <v>10040</v>
      </c>
      <c r="F799" s="2" t="n"/>
      <c r="G799" s="2" t="n"/>
      <c r="H799" s="2" t="n"/>
      <c r="I799" s="2" t="inlineStr">
        <is>
          <t>BTC</t>
        </is>
      </c>
      <c r="J799" s="2" t="n">
        <v>1228</v>
      </c>
      <c r="K799" s="2" t="n"/>
      <c r="L799" s="2" t="n">
        <v>1271</v>
      </c>
      <c r="M799" s="2" t="n">
        <v>0.45</v>
      </c>
      <c r="N799" s="2" t="n">
        <v>7.725</v>
      </c>
      <c r="O799" s="2" t="n">
        <v>7.6</v>
      </c>
      <c r="P799" s="7" t="n">
        <v>7.625</v>
      </c>
    </row>
    <row r="800">
      <c r="A800" s="8" t="n">
        <v>8.625</v>
      </c>
      <c r="B800" s="1" t="n">
        <v>49</v>
      </c>
      <c r="C800" s="1" t="inlineStr">
        <is>
          <t>L-80</t>
        </is>
      </c>
      <c r="D800" s="1" t="n">
        <v>8580</v>
      </c>
      <c r="E800" s="1" t="n">
        <v>9040</v>
      </c>
      <c r="F800" s="1" t="n"/>
      <c r="G800" s="1" t="n"/>
      <c r="H800" s="1" t="n"/>
      <c r="I800" s="1" t="inlineStr">
        <is>
          <t>LTC</t>
        </is>
      </c>
      <c r="J800" s="1" t="n">
        <v>983</v>
      </c>
      <c r="K800" s="1" t="n"/>
      <c r="L800" s="1" t="n">
        <v>1129</v>
      </c>
      <c r="M800" s="1" t="n">
        <v>0.5570000000000001</v>
      </c>
      <c r="N800" s="1" t="n">
        <v>7.511</v>
      </c>
      <c r="O800" s="1" t="n">
        <v>7.386</v>
      </c>
      <c r="P800" s="9" t="n"/>
    </row>
    <row r="801">
      <c r="A801" s="8" t="n">
        <v>8.625</v>
      </c>
      <c r="B801" s="1" t="n">
        <v>49</v>
      </c>
      <c r="C801" s="1" t="inlineStr">
        <is>
          <t>L-80</t>
        </is>
      </c>
      <c r="D801" s="1" t="n">
        <v>8580</v>
      </c>
      <c r="E801" s="1" t="n">
        <v>9040</v>
      </c>
      <c r="F801" s="1" t="n"/>
      <c r="G801" s="1" t="n"/>
      <c r="H801" s="1" t="n"/>
      <c r="I801" s="1" t="inlineStr">
        <is>
          <t>BTC</t>
        </is>
      </c>
      <c r="J801" s="1" t="n">
        <v>1180</v>
      </c>
      <c r="K801" s="1" t="n"/>
      <c r="L801" s="1" t="n">
        <v>1129</v>
      </c>
      <c r="M801" s="1" t="n">
        <v>0.5570000000000001</v>
      </c>
      <c r="N801" s="1" t="n">
        <v>7.511</v>
      </c>
      <c r="O801" s="1" t="n">
        <v>7.386</v>
      </c>
      <c r="P801" s="9" t="n"/>
    </row>
    <row r="802">
      <c r="A802" s="6" t="n">
        <v>8.625</v>
      </c>
      <c r="B802" s="2" t="n">
        <v>49</v>
      </c>
      <c r="C802" s="2" t="inlineStr">
        <is>
          <t>HCL-80</t>
        </is>
      </c>
      <c r="D802" s="2" t="n">
        <v>10400</v>
      </c>
      <c r="E802" s="2" t="n">
        <v>9040</v>
      </c>
      <c r="F802" s="2" t="n"/>
      <c r="G802" s="2" t="n"/>
      <c r="H802" s="2" t="n"/>
      <c r="I802" s="2" t="inlineStr">
        <is>
          <t>LTC</t>
        </is>
      </c>
      <c r="J802" s="2" t="n">
        <v>1129</v>
      </c>
      <c r="K802" s="2" t="n"/>
      <c r="L802" s="2" t="n">
        <v>1129</v>
      </c>
      <c r="M802" s="2" t="n">
        <v>0.5570000000000001</v>
      </c>
      <c r="N802" s="2" t="n">
        <v>7.511</v>
      </c>
      <c r="O802" s="2" t="n">
        <v>7.386</v>
      </c>
      <c r="P802" s="7" t="n"/>
    </row>
    <row r="803">
      <c r="A803" s="6" t="n">
        <v>8.625</v>
      </c>
      <c r="B803" s="2" t="n">
        <v>49</v>
      </c>
      <c r="C803" s="2" t="inlineStr">
        <is>
          <t>HCL-80</t>
        </is>
      </c>
      <c r="D803" s="2" t="n">
        <v>10400</v>
      </c>
      <c r="E803" s="2" t="n">
        <v>9040</v>
      </c>
      <c r="F803" s="2" t="n"/>
      <c r="G803" s="2" t="n"/>
      <c r="H803" s="2" t="n"/>
      <c r="I803" s="2" t="inlineStr">
        <is>
          <t>BTC</t>
        </is>
      </c>
      <c r="J803" s="2" t="n">
        <v>1291</v>
      </c>
      <c r="K803" s="2" t="n"/>
      <c r="L803" s="2" t="n">
        <v>1129</v>
      </c>
      <c r="M803" s="2" t="n">
        <v>0.5570000000000001</v>
      </c>
      <c r="N803" s="2" t="n">
        <v>7.511</v>
      </c>
      <c r="O803" s="2" t="n">
        <v>7.386</v>
      </c>
      <c r="P803" s="7" t="n"/>
    </row>
    <row r="804">
      <c r="A804" s="8" t="n">
        <v>8.625</v>
      </c>
      <c r="B804" s="1" t="n">
        <v>49</v>
      </c>
      <c r="C804" s="1" t="inlineStr">
        <is>
          <t>N-80</t>
        </is>
      </c>
      <c r="D804" s="1" t="n">
        <v>8580</v>
      </c>
      <c r="E804" s="1" t="n">
        <v>9040</v>
      </c>
      <c r="F804" s="1" t="n"/>
      <c r="G804" s="1" t="n"/>
      <c r="H804" s="1" t="n"/>
      <c r="I804" s="1" t="inlineStr">
        <is>
          <t>LTC</t>
        </is>
      </c>
      <c r="J804" s="1" t="n">
        <v>997</v>
      </c>
      <c r="K804" s="1" t="n"/>
      <c r="L804" s="1" t="n">
        <v>1129</v>
      </c>
      <c r="M804" s="1" t="n">
        <v>0.5570000000000001</v>
      </c>
      <c r="N804" s="1" t="n">
        <v>7.511</v>
      </c>
      <c r="O804" s="1" t="n">
        <v>7.386</v>
      </c>
      <c r="P804" s="9" t="n"/>
    </row>
    <row r="805">
      <c r="A805" s="8" t="n">
        <v>8.625</v>
      </c>
      <c r="B805" s="1" t="n">
        <v>49</v>
      </c>
      <c r="C805" s="1" t="inlineStr">
        <is>
          <t>N-80</t>
        </is>
      </c>
      <c r="D805" s="1" t="n">
        <v>8580</v>
      </c>
      <c r="E805" s="1" t="n">
        <v>9040</v>
      </c>
      <c r="F805" s="1" t="n"/>
      <c r="G805" s="1" t="n"/>
      <c r="H805" s="1" t="n"/>
      <c r="I805" s="1" t="inlineStr">
        <is>
          <t>BTC</t>
        </is>
      </c>
      <c r="J805" s="1" t="n">
        <v>1222</v>
      </c>
      <c r="K805" s="1" t="n"/>
      <c r="L805" s="1" t="n">
        <v>1129</v>
      </c>
      <c r="M805" s="1" t="n">
        <v>0.5570000000000001</v>
      </c>
      <c r="N805" s="1" t="n">
        <v>7.511</v>
      </c>
      <c r="O805" s="1" t="n">
        <v>7.386</v>
      </c>
      <c r="P805" s="9" t="n"/>
    </row>
    <row r="806">
      <c r="A806" s="6" t="n">
        <v>8.625</v>
      </c>
      <c r="B806" s="2" t="n">
        <v>49</v>
      </c>
      <c r="C806" s="2" t="inlineStr">
        <is>
          <t>HCN-80</t>
        </is>
      </c>
      <c r="D806" s="2" t="n">
        <v>10400</v>
      </c>
      <c r="E806" s="2" t="n">
        <v>9040</v>
      </c>
      <c r="F806" s="2" t="n"/>
      <c r="G806" s="2" t="n"/>
      <c r="H806" s="2" t="n"/>
      <c r="I806" s="2" t="inlineStr">
        <is>
          <t>LTC</t>
        </is>
      </c>
      <c r="J806" s="2" t="n">
        <v>1129</v>
      </c>
      <c r="K806" s="2" t="n"/>
      <c r="L806" s="2" t="n">
        <v>1129</v>
      </c>
      <c r="M806" s="2" t="n">
        <v>0.5570000000000001</v>
      </c>
      <c r="N806" s="2" t="n">
        <v>7.511</v>
      </c>
      <c r="O806" s="2" t="n">
        <v>7.386</v>
      </c>
      <c r="P806" s="7" t="n"/>
    </row>
    <row r="807">
      <c r="A807" s="6" t="n">
        <v>8.625</v>
      </c>
      <c r="B807" s="2" t="n">
        <v>49</v>
      </c>
      <c r="C807" s="2" t="inlineStr">
        <is>
          <t>HCN-80</t>
        </is>
      </c>
      <c r="D807" s="2" t="n">
        <v>10400</v>
      </c>
      <c r="E807" s="2" t="n">
        <v>9040</v>
      </c>
      <c r="F807" s="2" t="n"/>
      <c r="G807" s="2" t="n"/>
      <c r="H807" s="2" t="n"/>
      <c r="I807" s="2" t="inlineStr">
        <is>
          <t>BTC</t>
        </is>
      </c>
      <c r="J807" s="2" t="n">
        <v>1291</v>
      </c>
      <c r="K807" s="2" t="n"/>
      <c r="L807" s="2" t="n">
        <v>1129</v>
      </c>
      <c r="M807" s="2" t="n">
        <v>0.5570000000000001</v>
      </c>
      <c r="N807" s="2" t="n">
        <v>7.511</v>
      </c>
      <c r="O807" s="2" t="n">
        <v>7.386</v>
      </c>
      <c r="P807" s="7" t="n"/>
    </row>
    <row r="808">
      <c r="A808" s="8" t="n">
        <v>8.625</v>
      </c>
      <c r="B808" s="1" t="n">
        <v>49</v>
      </c>
      <c r="C808" s="1" t="inlineStr">
        <is>
          <t>C-90</t>
        </is>
      </c>
      <c r="D808" s="1" t="n">
        <v>9340</v>
      </c>
      <c r="E808" s="1" t="n">
        <v>10170</v>
      </c>
      <c r="F808" s="1" t="n"/>
      <c r="G808" s="1" t="n"/>
      <c r="H808" s="1" t="n"/>
      <c r="I808" s="1" t="inlineStr">
        <is>
          <t>LTC</t>
        </is>
      </c>
      <c r="J808" s="1" t="n">
        <v>1085</v>
      </c>
      <c r="K808" s="1" t="n"/>
      <c r="L808" s="1" t="n">
        <v>1271</v>
      </c>
      <c r="M808" s="1" t="n">
        <v>0.5570000000000001</v>
      </c>
      <c r="N808" s="1" t="n">
        <v>7.511</v>
      </c>
      <c r="O808" s="1" t="n">
        <v>7.386</v>
      </c>
      <c r="P808" s="9" t="n"/>
    </row>
    <row r="809">
      <c r="A809" s="8" t="n">
        <v>8.625</v>
      </c>
      <c r="B809" s="1" t="n">
        <v>49</v>
      </c>
      <c r="C809" s="1" t="inlineStr">
        <is>
          <t>C-90</t>
        </is>
      </c>
      <c r="D809" s="1" t="n">
        <v>9340</v>
      </c>
      <c r="E809" s="1" t="n">
        <v>10170</v>
      </c>
      <c r="F809" s="1" t="n"/>
      <c r="G809" s="1" t="n"/>
      <c r="H809" s="1" t="n"/>
      <c r="I809" s="1" t="inlineStr">
        <is>
          <t>BTC</t>
        </is>
      </c>
      <c r="J809" s="1" t="n">
        <v>1268</v>
      </c>
      <c r="K809" s="1" t="n"/>
      <c r="L809" s="1" t="n">
        <v>1271</v>
      </c>
      <c r="M809" s="1" t="n">
        <v>0.5570000000000001</v>
      </c>
      <c r="N809" s="1" t="n">
        <v>7.511</v>
      </c>
      <c r="O809" s="1" t="n">
        <v>7.386</v>
      </c>
      <c r="P809" s="9" t="n"/>
    </row>
    <row r="810">
      <c r="A810" s="6" t="n">
        <v>8.625</v>
      </c>
      <c r="B810" s="2" t="n">
        <v>49</v>
      </c>
      <c r="C810" s="2" t="inlineStr">
        <is>
          <t>H2S-90</t>
        </is>
      </c>
      <c r="D810" s="2" t="n">
        <v>10400</v>
      </c>
      <c r="E810" s="2" t="n">
        <v>10170</v>
      </c>
      <c r="F810" s="2" t="n"/>
      <c r="G810" s="2" t="n"/>
      <c r="H810" s="2" t="n"/>
      <c r="I810" s="2" t="inlineStr">
        <is>
          <t>LTC</t>
        </is>
      </c>
      <c r="J810" s="2" t="n">
        <v>1129</v>
      </c>
      <c r="K810" s="2" t="n"/>
      <c r="L810" s="2" t="n">
        <v>1271</v>
      </c>
      <c r="M810" s="2" t="n">
        <v>0.5570000000000001</v>
      </c>
      <c r="N810" s="2" t="n">
        <v>7.511</v>
      </c>
      <c r="O810" s="2" t="n">
        <v>7.386</v>
      </c>
      <c r="P810" s="7" t="n"/>
    </row>
    <row r="811">
      <c r="A811" s="6" t="n">
        <v>8.625</v>
      </c>
      <c r="B811" s="2" t="n">
        <v>49</v>
      </c>
      <c r="C811" s="2" t="inlineStr">
        <is>
          <t>H2S-90</t>
        </is>
      </c>
      <c r="D811" s="2" t="n">
        <v>10400</v>
      </c>
      <c r="E811" s="2" t="n">
        <v>10170</v>
      </c>
      <c r="F811" s="2" t="n"/>
      <c r="G811" s="2" t="n"/>
      <c r="H811" s="2" t="n"/>
      <c r="I811" s="2" t="inlineStr">
        <is>
          <t>BTC</t>
        </is>
      </c>
      <c r="J811" s="2" t="n">
        <v>1291</v>
      </c>
      <c r="K811" s="2" t="n"/>
      <c r="L811" s="2" t="n">
        <v>1271</v>
      </c>
      <c r="M811" s="2" t="n">
        <v>0.5570000000000001</v>
      </c>
      <c r="N811" s="2" t="n">
        <v>7.511</v>
      </c>
      <c r="O811" s="2" t="n">
        <v>7.386</v>
      </c>
      <c r="P811" s="7" t="n"/>
    </row>
    <row r="812">
      <c r="A812" s="8" t="n">
        <v>8.625</v>
      </c>
      <c r="B812" s="1" t="n">
        <v>49</v>
      </c>
      <c r="C812" s="1" t="inlineStr">
        <is>
          <t>S-95</t>
        </is>
      </c>
      <c r="D812" s="1" t="n">
        <v>10400</v>
      </c>
      <c r="E812" s="1" t="n">
        <v>10740</v>
      </c>
      <c r="F812" s="1" t="n"/>
      <c r="G812" s="1" t="n"/>
      <c r="H812" s="1" t="n"/>
      <c r="I812" s="1" t="inlineStr">
        <is>
          <t>LTC</t>
        </is>
      </c>
      <c r="J812" s="1" t="n">
        <v>1159</v>
      </c>
      <c r="K812" s="1" t="n"/>
      <c r="L812" s="1" t="n">
        <v>1341</v>
      </c>
      <c r="M812" s="1" t="n">
        <v>0.5570000000000001</v>
      </c>
      <c r="N812" s="1" t="n">
        <v>7.511</v>
      </c>
      <c r="O812" s="1" t="n">
        <v>7.386</v>
      </c>
      <c r="P812" s="9" t="n"/>
    </row>
    <row r="813">
      <c r="A813" s="8" t="n">
        <v>8.625</v>
      </c>
      <c r="B813" s="1" t="n">
        <v>49</v>
      </c>
      <c r="C813" s="1" t="inlineStr">
        <is>
          <t>S-95</t>
        </is>
      </c>
      <c r="D813" s="1" t="n">
        <v>10400</v>
      </c>
      <c r="E813" s="1" t="n">
        <v>10740</v>
      </c>
      <c r="F813" s="1" t="n"/>
      <c r="G813" s="1" t="n"/>
      <c r="H813" s="1" t="n"/>
      <c r="I813" s="1" t="inlineStr">
        <is>
          <t>BTC</t>
        </is>
      </c>
      <c r="J813" s="1" t="n">
        <v>1377</v>
      </c>
      <c r="K813" s="1" t="n"/>
      <c r="L813" s="1" t="n">
        <v>1341</v>
      </c>
      <c r="M813" s="1" t="n">
        <v>0.5570000000000001</v>
      </c>
      <c r="N813" s="1" t="n">
        <v>7.511</v>
      </c>
      <c r="O813" s="1" t="n">
        <v>7.386</v>
      </c>
      <c r="P813" s="9" t="n"/>
    </row>
    <row r="814">
      <c r="A814" s="6" t="n">
        <v>8.625</v>
      </c>
      <c r="B814" s="2" t="n">
        <v>49</v>
      </c>
      <c r="C814" s="2" t="inlineStr">
        <is>
          <t>T-95</t>
        </is>
      </c>
      <c r="D814" s="2" t="n">
        <v>9710</v>
      </c>
      <c r="E814" s="2" t="n">
        <v>10740</v>
      </c>
      <c r="F814" s="2" t="n"/>
      <c r="G814" s="2" t="n"/>
      <c r="H814" s="2" t="n"/>
      <c r="I814" s="2" t="inlineStr">
        <is>
          <t>LTC</t>
        </is>
      </c>
      <c r="J814" s="2" t="n">
        <v>1144</v>
      </c>
      <c r="K814" s="2" t="n"/>
      <c r="L814" s="2" t="n">
        <v>1341</v>
      </c>
      <c r="M814" s="2" t="n">
        <v>0.5570000000000001</v>
      </c>
      <c r="N814" s="2" t="n">
        <v>7.511</v>
      </c>
      <c r="O814" s="2" t="n">
        <v>7.386</v>
      </c>
      <c r="P814" s="7" t="n"/>
    </row>
    <row r="815">
      <c r="A815" s="6" t="n">
        <v>8.625</v>
      </c>
      <c r="B815" s="2" t="n">
        <v>49</v>
      </c>
      <c r="C815" s="2" t="inlineStr">
        <is>
          <t>T-95</t>
        </is>
      </c>
      <c r="D815" s="2" t="n">
        <v>9710</v>
      </c>
      <c r="E815" s="2" t="n">
        <v>10740</v>
      </c>
      <c r="F815" s="2" t="n"/>
      <c r="G815" s="2" t="n"/>
      <c r="H815" s="2" t="n"/>
      <c r="I815" s="2" t="inlineStr">
        <is>
          <t>BTC</t>
        </is>
      </c>
      <c r="J815" s="2" t="n">
        <v>1334</v>
      </c>
      <c r="K815" s="2" t="n"/>
      <c r="L815" s="2" t="n">
        <v>1341</v>
      </c>
      <c r="M815" s="2" t="n">
        <v>0.5570000000000001</v>
      </c>
      <c r="N815" s="2" t="n">
        <v>7.511</v>
      </c>
      <c r="O815" s="2" t="n">
        <v>7.386</v>
      </c>
      <c r="P815" s="7" t="n"/>
    </row>
    <row r="816">
      <c r="A816" s="8" t="n">
        <v>8.625</v>
      </c>
      <c r="B816" s="1" t="n">
        <v>49</v>
      </c>
      <c r="C816" s="1" t="inlineStr">
        <is>
          <t>H2S-95</t>
        </is>
      </c>
      <c r="D816" s="1" t="n">
        <v>10400</v>
      </c>
      <c r="E816" s="1" t="n">
        <v>10740</v>
      </c>
      <c r="F816" s="1" t="n"/>
      <c r="G816" s="1" t="n"/>
      <c r="H816" s="1" t="n"/>
      <c r="I816" s="1" t="inlineStr">
        <is>
          <t>LTC</t>
        </is>
      </c>
      <c r="J816" s="1" t="n">
        <v>1144</v>
      </c>
      <c r="K816" s="1" t="n"/>
      <c r="L816" s="1" t="n">
        <v>1341</v>
      </c>
      <c r="M816" s="1" t="n">
        <v>0.5570000000000001</v>
      </c>
      <c r="N816" s="1" t="n">
        <v>7.511</v>
      </c>
      <c r="O816" s="1" t="n">
        <v>7.386</v>
      </c>
      <c r="P816" s="9" t="n"/>
    </row>
    <row r="817">
      <c r="A817" s="8" t="n">
        <v>8.625</v>
      </c>
      <c r="B817" s="1" t="n">
        <v>49</v>
      </c>
      <c r="C817" s="1" t="inlineStr">
        <is>
          <t>H2S-95</t>
        </is>
      </c>
      <c r="D817" s="1" t="n">
        <v>10400</v>
      </c>
      <c r="E817" s="1" t="n">
        <v>10740</v>
      </c>
      <c r="F817" s="1" t="n"/>
      <c r="G817" s="1" t="n"/>
      <c r="H817" s="1" t="n"/>
      <c r="I817" s="1" t="inlineStr">
        <is>
          <t>BTC</t>
        </is>
      </c>
      <c r="J817" s="1" t="n">
        <v>1334</v>
      </c>
      <c r="K817" s="1" t="n"/>
      <c r="L817" s="1" t="n">
        <v>1341</v>
      </c>
      <c r="M817" s="1" t="n">
        <v>0.5570000000000001</v>
      </c>
      <c r="N817" s="1" t="n">
        <v>7.511</v>
      </c>
      <c r="O817" s="1" t="n">
        <v>7.386</v>
      </c>
      <c r="P817" s="9" t="n"/>
    </row>
    <row r="818">
      <c r="A818" s="6" t="n">
        <v>8.625</v>
      </c>
      <c r="B818" s="2" t="n">
        <v>49</v>
      </c>
      <c r="C818" s="2" t="inlineStr">
        <is>
          <t>C-95</t>
        </is>
      </c>
      <c r="D818" s="2" t="n">
        <v>9710</v>
      </c>
      <c r="E818" s="2" t="n">
        <v>10740</v>
      </c>
      <c r="F818" s="2" t="n"/>
      <c r="G818" s="2" t="n"/>
      <c r="H818" s="2" t="n"/>
      <c r="I818" s="2" t="inlineStr">
        <is>
          <t>LTC</t>
        </is>
      </c>
      <c r="J818" s="2" t="n">
        <v>1144</v>
      </c>
      <c r="K818" s="2" t="n"/>
      <c r="L818" s="2" t="n">
        <v>1341</v>
      </c>
      <c r="M818" s="2" t="n">
        <v>0.5570000000000001</v>
      </c>
      <c r="N818" s="2" t="n">
        <v>7.511</v>
      </c>
      <c r="O818" s="2" t="n">
        <v>7.386</v>
      </c>
      <c r="P818" s="7" t="n"/>
    </row>
    <row r="819">
      <c r="A819" s="6" t="n">
        <v>8.625</v>
      </c>
      <c r="B819" s="2" t="n">
        <v>49</v>
      </c>
      <c r="C819" s="2" t="inlineStr">
        <is>
          <t>C-95</t>
        </is>
      </c>
      <c r="D819" s="2" t="n">
        <v>9710</v>
      </c>
      <c r="E819" s="2" t="n">
        <v>10740</v>
      </c>
      <c r="F819" s="2" t="n"/>
      <c r="G819" s="2" t="n"/>
      <c r="H819" s="2" t="n"/>
      <c r="I819" s="2" t="inlineStr">
        <is>
          <t>BTC</t>
        </is>
      </c>
      <c r="J819" s="2" t="n">
        <v>1334</v>
      </c>
      <c r="K819" s="2" t="n"/>
      <c r="L819" s="2" t="n">
        <v>1341</v>
      </c>
      <c r="M819" s="2" t="n">
        <v>0.5570000000000001</v>
      </c>
      <c r="N819" s="2" t="n">
        <v>7.511</v>
      </c>
      <c r="O819" s="2" t="n">
        <v>7.386</v>
      </c>
      <c r="P819" s="7" t="n"/>
    </row>
    <row r="820">
      <c r="A820" s="8" t="n">
        <v>8.625</v>
      </c>
      <c r="B820" s="1" t="n">
        <v>49</v>
      </c>
      <c r="C820" s="1" t="inlineStr">
        <is>
          <t>P-110</t>
        </is>
      </c>
      <c r="D820" s="1" t="n">
        <v>10740</v>
      </c>
      <c r="E820" s="1" t="n">
        <v>12430</v>
      </c>
      <c r="F820" s="1" t="n"/>
      <c r="G820" s="1" t="n"/>
      <c r="H820" s="1" t="n"/>
      <c r="I820" s="1" t="inlineStr">
        <is>
          <t>LTC</t>
        </is>
      </c>
      <c r="J820" s="1" t="n">
        <v>1335</v>
      </c>
      <c r="K820" s="1" t="n"/>
      <c r="L820" s="1" t="n">
        <v>1553</v>
      </c>
      <c r="M820" s="1" t="n">
        <v>0.5570000000000001</v>
      </c>
      <c r="N820" s="1" t="n">
        <v>7.511</v>
      </c>
      <c r="O820" s="1" t="n">
        <v>7.386</v>
      </c>
      <c r="P820" s="9" t="n"/>
    </row>
    <row r="821">
      <c r="A821" s="8" t="n">
        <v>8.625</v>
      </c>
      <c r="B821" s="1" t="n">
        <v>49</v>
      </c>
      <c r="C821" s="1" t="inlineStr">
        <is>
          <t>P-110</t>
        </is>
      </c>
      <c r="D821" s="1" t="n">
        <v>10740</v>
      </c>
      <c r="E821" s="1" t="n">
        <v>12430</v>
      </c>
      <c r="F821" s="1" t="n"/>
      <c r="G821" s="1" t="n"/>
      <c r="H821" s="1" t="n"/>
      <c r="I821" s="1" t="inlineStr">
        <is>
          <t>BTC</t>
        </is>
      </c>
      <c r="J821" s="1" t="n">
        <v>1574</v>
      </c>
      <c r="K821" s="1" t="n"/>
      <c r="L821" s="1" t="n">
        <v>1553</v>
      </c>
      <c r="M821" s="1" t="n">
        <v>0.5570000000000001</v>
      </c>
      <c r="N821" s="1" t="n">
        <v>7.511</v>
      </c>
      <c r="O821" s="1" t="n">
        <v>7.386</v>
      </c>
      <c r="P821" s="9" t="n"/>
    </row>
    <row r="822">
      <c r="A822" s="6" t="n">
        <v>8.625</v>
      </c>
      <c r="B822" s="2" t="n">
        <v>49</v>
      </c>
      <c r="C822" s="2" t="inlineStr">
        <is>
          <t>Q-125</t>
        </is>
      </c>
      <c r="D822" s="2" t="n">
        <v>11650</v>
      </c>
      <c r="E822" s="2" t="n">
        <v>14130</v>
      </c>
      <c r="F822" s="2" t="n"/>
      <c r="G822" s="2" t="n"/>
      <c r="H822" s="2" t="n"/>
      <c r="I822" s="2" t="inlineStr">
        <is>
          <t>LTC</t>
        </is>
      </c>
      <c r="J822" s="2" t="n">
        <v>1496</v>
      </c>
      <c r="K822" s="2" t="n"/>
      <c r="L822" s="2" t="n">
        <v>1765</v>
      </c>
      <c r="M822" s="2" t="n">
        <v>0.5570000000000001</v>
      </c>
      <c r="N822" s="2" t="n">
        <v>7.511</v>
      </c>
      <c r="O822" s="2" t="n">
        <v>7.386</v>
      </c>
      <c r="P822" s="7" t="n"/>
    </row>
    <row r="823">
      <c r="A823" s="6" t="n">
        <v>8.625</v>
      </c>
      <c r="B823" s="2" t="n">
        <v>49</v>
      </c>
      <c r="C823" s="2" t="inlineStr">
        <is>
          <t>Q-125</t>
        </is>
      </c>
      <c r="D823" s="2" t="n">
        <v>11650</v>
      </c>
      <c r="E823" s="2" t="n">
        <v>14130</v>
      </c>
      <c r="F823" s="2" t="n"/>
      <c r="G823" s="2" t="n"/>
      <c r="H823" s="2" t="n"/>
      <c r="I823" s="2" t="inlineStr">
        <is>
          <t>BTC</t>
        </is>
      </c>
      <c r="J823" s="2" t="n">
        <v>1728</v>
      </c>
      <c r="K823" s="2" t="n"/>
      <c r="L823" s="2" t="n">
        <v>1765</v>
      </c>
      <c r="M823" s="2" t="n">
        <v>0.5570000000000001</v>
      </c>
      <c r="N823" s="2" t="n">
        <v>7.511</v>
      </c>
      <c r="O823" s="2" t="n">
        <v>7.386</v>
      </c>
      <c r="P823" s="7" t="n"/>
    </row>
    <row r="824">
      <c r="A824" s="8" t="n">
        <v>8.625</v>
      </c>
      <c r="B824" s="1" t="n">
        <v>49</v>
      </c>
      <c r="C824" s="1" t="inlineStr">
        <is>
          <t>V-150</t>
        </is>
      </c>
      <c r="D824" s="1" t="n">
        <v>12950</v>
      </c>
      <c r="E824" s="1" t="n">
        <v>16950</v>
      </c>
      <c r="F824" s="1" t="n"/>
      <c r="G824" s="1" t="n"/>
      <c r="H824" s="1" t="n"/>
      <c r="I824" s="1" t="inlineStr">
        <is>
          <t>LTC</t>
        </is>
      </c>
      <c r="J824" s="1" t="n">
        <v>1789</v>
      </c>
      <c r="K824" s="1" t="n"/>
      <c r="L824" s="1" t="n">
        <v>2118</v>
      </c>
      <c r="M824" s="1" t="n">
        <v>0.5570000000000001</v>
      </c>
      <c r="N824" s="1" t="n">
        <v>7.511</v>
      </c>
      <c r="O824" s="1" t="n">
        <v>7.386</v>
      </c>
      <c r="P824" s="9" t="n"/>
    </row>
    <row r="825">
      <c r="A825" s="8" t="n">
        <v>8.625</v>
      </c>
      <c r="B825" s="1" t="n">
        <v>49</v>
      </c>
      <c r="C825" s="1" t="inlineStr">
        <is>
          <t>V-150</t>
        </is>
      </c>
      <c r="D825" s="1" t="n">
        <v>12950</v>
      </c>
      <c r="E825" s="1" t="n">
        <v>16950</v>
      </c>
      <c r="F825" s="1" t="n"/>
      <c r="G825" s="1" t="n"/>
      <c r="H825" s="1" t="n"/>
      <c r="I825" s="1" t="inlineStr">
        <is>
          <t>BTC</t>
        </is>
      </c>
      <c r="J825" s="1" t="n">
        <v>2056</v>
      </c>
      <c r="K825" s="1" t="n"/>
      <c r="L825" s="1" t="n">
        <v>2118</v>
      </c>
      <c r="M825" s="1" t="n">
        <v>0.5570000000000001</v>
      </c>
      <c r="N825" s="1" t="n">
        <v>7.511</v>
      </c>
      <c r="O825" s="1" t="n">
        <v>7.386</v>
      </c>
      <c r="P825" s="9" t="n"/>
    </row>
    <row r="826">
      <c r="A826" s="6" t="n">
        <v>8.625</v>
      </c>
      <c r="B826" s="2" t="n">
        <v>44</v>
      </c>
      <c r="C826" s="2" t="inlineStr">
        <is>
          <t>L-80</t>
        </is>
      </c>
      <c r="D826" s="2" t="n">
        <v>6950</v>
      </c>
      <c r="E826" s="2" t="n">
        <v>8120</v>
      </c>
      <c r="F826" s="2" t="n"/>
      <c r="G826" s="2" t="n"/>
      <c r="H826" s="2" t="n"/>
      <c r="I826" s="2" t="inlineStr">
        <is>
          <t>LTC</t>
        </is>
      </c>
      <c r="J826" s="2" t="n">
        <v>874</v>
      </c>
      <c r="K826" s="2" t="n"/>
      <c r="L826" s="2" t="n">
        <v>1021</v>
      </c>
      <c r="M826" s="2" t="n">
        <v>5</v>
      </c>
      <c r="N826" s="2" t="n">
        <v>7.625</v>
      </c>
      <c r="O826" s="2" t="n">
        <v>7.5</v>
      </c>
      <c r="P826" s="7" t="n"/>
    </row>
    <row r="827">
      <c r="A827" s="6" t="n">
        <v>8.625</v>
      </c>
      <c r="B827" s="2" t="n">
        <v>44</v>
      </c>
      <c r="C827" s="2" t="inlineStr">
        <is>
          <t>L-80</t>
        </is>
      </c>
      <c r="D827" s="2" t="n">
        <v>6950</v>
      </c>
      <c r="E827" s="2" t="n">
        <v>8120</v>
      </c>
      <c r="F827" s="2" t="n"/>
      <c r="G827" s="2" t="n"/>
      <c r="H827" s="2" t="n"/>
      <c r="I827" s="2" t="inlineStr">
        <is>
          <t>BTC</t>
        </is>
      </c>
      <c r="J827" s="2" t="n">
        <v>1066</v>
      </c>
      <c r="K827" s="2" t="n"/>
      <c r="L827" s="2" t="n">
        <v>1021</v>
      </c>
      <c r="M827" s="2" t="n">
        <v>5</v>
      </c>
      <c r="N827" s="2" t="n">
        <v>7.625</v>
      </c>
      <c r="O827" s="2" t="n">
        <v>7.5</v>
      </c>
      <c r="P827" s="7" t="n"/>
    </row>
    <row r="828">
      <c r="A828" s="8" t="n">
        <v>8.625</v>
      </c>
      <c r="B828" s="1" t="n">
        <v>44</v>
      </c>
      <c r="C828" s="1" t="inlineStr">
        <is>
          <t>HCL-80</t>
        </is>
      </c>
      <c r="D828" s="1" t="n">
        <v>9100</v>
      </c>
      <c r="E828" s="1" t="n">
        <v>8120</v>
      </c>
      <c r="F828" s="1" t="n"/>
      <c r="G828" s="1" t="n"/>
      <c r="H828" s="1" t="n"/>
      <c r="I828" s="1" t="inlineStr">
        <is>
          <t>LTC</t>
        </is>
      </c>
      <c r="J828" s="1" t="n">
        <v>1004</v>
      </c>
      <c r="K828" s="1" t="n"/>
      <c r="L828" s="1" t="n">
        <v>1021</v>
      </c>
      <c r="M828" s="1" t="n">
        <v>5</v>
      </c>
      <c r="N828" s="1" t="n">
        <v>7.625</v>
      </c>
      <c r="O828" s="1" t="n">
        <v>7.5</v>
      </c>
      <c r="P828" s="9" t="n"/>
    </row>
    <row r="829">
      <c r="A829" s="8" t="n">
        <v>8.625</v>
      </c>
      <c r="B829" s="1" t="n">
        <v>44</v>
      </c>
      <c r="C829" s="1" t="inlineStr">
        <is>
          <t>HCL-80</t>
        </is>
      </c>
      <c r="D829" s="1" t="n">
        <v>9100</v>
      </c>
      <c r="E829" s="1" t="n">
        <v>8120</v>
      </c>
      <c r="F829" s="1" t="n"/>
      <c r="G829" s="1" t="n"/>
      <c r="H829" s="1" t="n"/>
      <c r="I829" s="1" t="inlineStr">
        <is>
          <t>BTC</t>
        </is>
      </c>
      <c r="J829" s="1" t="n">
        <v>1167</v>
      </c>
      <c r="K829" s="1" t="n"/>
      <c r="L829" s="1" t="n">
        <v>1021</v>
      </c>
      <c r="M829" s="1" t="n">
        <v>5</v>
      </c>
      <c r="N829" s="1" t="n">
        <v>7.625</v>
      </c>
      <c r="O829" s="1" t="n">
        <v>7.5</v>
      </c>
      <c r="P829" s="9" t="n"/>
    </row>
    <row r="830">
      <c r="A830" s="6" t="n">
        <v>8.625</v>
      </c>
      <c r="B830" s="2" t="n">
        <v>44</v>
      </c>
      <c r="C830" s="2" t="inlineStr">
        <is>
          <t>N-80</t>
        </is>
      </c>
      <c r="D830" s="2" t="n">
        <v>6950</v>
      </c>
      <c r="E830" s="2" t="n">
        <v>8120</v>
      </c>
      <c r="F830" s="2" t="n"/>
      <c r="G830" s="2" t="n"/>
      <c r="H830" s="2" t="n"/>
      <c r="I830" s="2" t="inlineStr">
        <is>
          <t>LTC</t>
        </is>
      </c>
      <c r="J830" s="2" t="n">
        <v>887</v>
      </c>
      <c r="K830" s="2" t="n"/>
      <c r="L830" s="2" t="n">
        <v>1021</v>
      </c>
      <c r="M830" s="2" t="n">
        <v>5</v>
      </c>
      <c r="N830" s="2" t="n">
        <v>7.625</v>
      </c>
      <c r="O830" s="2" t="n">
        <v>7.5</v>
      </c>
      <c r="P830" s="7" t="n"/>
    </row>
    <row r="831">
      <c r="A831" s="6" t="n">
        <v>8.625</v>
      </c>
      <c r="B831" s="2" t="n">
        <v>44</v>
      </c>
      <c r="C831" s="2" t="inlineStr">
        <is>
          <t>N-80</t>
        </is>
      </c>
      <c r="D831" s="2" t="n">
        <v>6950</v>
      </c>
      <c r="E831" s="2" t="n">
        <v>8120</v>
      </c>
      <c r="F831" s="2" t="n"/>
      <c r="G831" s="2" t="n"/>
      <c r="H831" s="2" t="n"/>
      <c r="I831" s="2" t="inlineStr">
        <is>
          <t>BTC</t>
        </is>
      </c>
      <c r="J831" s="2" t="n">
        <v>1105</v>
      </c>
      <c r="K831" s="2" t="n"/>
      <c r="L831" s="2" t="n">
        <v>1021</v>
      </c>
      <c r="M831" s="2" t="n">
        <v>5</v>
      </c>
      <c r="N831" s="2" t="n">
        <v>7.625</v>
      </c>
      <c r="O831" s="2" t="n">
        <v>7.5</v>
      </c>
      <c r="P831" s="7" t="n"/>
    </row>
    <row r="832">
      <c r="A832" s="8" t="n">
        <v>8.625</v>
      </c>
      <c r="B832" s="1" t="n">
        <v>44</v>
      </c>
      <c r="C832" s="1" t="inlineStr">
        <is>
          <t>HCN-80</t>
        </is>
      </c>
      <c r="D832" s="1" t="n">
        <v>9100</v>
      </c>
      <c r="E832" s="1" t="n">
        <v>8120</v>
      </c>
      <c r="F832" s="1" t="n"/>
      <c r="G832" s="1" t="n"/>
      <c r="H832" s="1" t="n"/>
      <c r="I832" s="1" t="inlineStr">
        <is>
          <t>LTC</t>
        </is>
      </c>
      <c r="J832" s="1" t="n">
        <v>1004</v>
      </c>
      <c r="K832" s="1" t="n"/>
      <c r="L832" s="1" t="n">
        <v>1021</v>
      </c>
      <c r="M832" s="1" t="n">
        <v>5</v>
      </c>
      <c r="N832" s="1" t="n">
        <v>7.625</v>
      </c>
      <c r="O832" s="1" t="n">
        <v>7.5</v>
      </c>
      <c r="P832" s="9" t="n"/>
    </row>
    <row r="833">
      <c r="A833" s="8" t="n">
        <v>8.625</v>
      </c>
      <c r="B833" s="1" t="n">
        <v>44</v>
      </c>
      <c r="C833" s="1" t="inlineStr">
        <is>
          <t>HCN-80</t>
        </is>
      </c>
      <c r="D833" s="1" t="n">
        <v>9100</v>
      </c>
      <c r="E833" s="1" t="n">
        <v>8120</v>
      </c>
      <c r="F833" s="1" t="n"/>
      <c r="G833" s="1" t="n"/>
      <c r="H833" s="1" t="n"/>
      <c r="I833" s="1" t="inlineStr">
        <is>
          <t>BTC</t>
        </is>
      </c>
      <c r="J833" s="1" t="n">
        <v>1167</v>
      </c>
      <c r="K833" s="1" t="n"/>
      <c r="L833" s="1" t="n">
        <v>1021</v>
      </c>
      <c r="M833" s="1" t="n">
        <v>5</v>
      </c>
      <c r="N833" s="1" t="n">
        <v>7.625</v>
      </c>
      <c r="O833" s="1" t="n">
        <v>7.5</v>
      </c>
      <c r="P833" s="9" t="n"/>
    </row>
    <row r="834">
      <c r="A834" s="6" t="n">
        <v>8.625</v>
      </c>
      <c r="B834" s="2" t="n">
        <v>44</v>
      </c>
      <c r="C834" s="2" t="inlineStr">
        <is>
          <t>C-90</t>
        </is>
      </c>
      <c r="D834" s="2" t="n">
        <v>7490</v>
      </c>
      <c r="E834" s="2" t="n">
        <v>9130</v>
      </c>
      <c r="F834" s="2" t="n"/>
      <c r="G834" s="2" t="n"/>
      <c r="H834" s="2" t="n"/>
      <c r="I834" s="2" t="inlineStr">
        <is>
          <t>LTC</t>
        </is>
      </c>
      <c r="J834" s="2" t="n">
        <v>965</v>
      </c>
      <c r="K834" s="2" t="n"/>
      <c r="L834" s="2" t="n">
        <v>1149</v>
      </c>
      <c r="M834" s="2" t="n">
        <v>5</v>
      </c>
      <c r="N834" s="2" t="n">
        <v>7.625</v>
      </c>
      <c r="O834" s="2" t="n">
        <v>7.5</v>
      </c>
      <c r="P834" s="7" t="n"/>
    </row>
    <row r="835">
      <c r="A835" s="6" t="n">
        <v>8.625</v>
      </c>
      <c r="B835" s="2" t="n">
        <v>44</v>
      </c>
      <c r="C835" s="2" t="inlineStr">
        <is>
          <t>C-90</t>
        </is>
      </c>
      <c r="D835" s="2" t="n">
        <v>7490</v>
      </c>
      <c r="E835" s="2" t="n">
        <v>9130</v>
      </c>
      <c r="F835" s="2" t="n"/>
      <c r="G835" s="2" t="n"/>
      <c r="H835" s="2" t="n"/>
      <c r="I835" s="2" t="inlineStr">
        <is>
          <t>BTC</t>
        </is>
      </c>
      <c r="J835" s="2" t="n">
        <v>1146</v>
      </c>
      <c r="K835" s="2" t="n"/>
      <c r="L835" s="2" t="n">
        <v>1149</v>
      </c>
      <c r="M835" s="2" t="n">
        <v>5</v>
      </c>
      <c r="N835" s="2" t="n">
        <v>7.625</v>
      </c>
      <c r="O835" s="2" t="n">
        <v>7.5</v>
      </c>
      <c r="P835" s="7" t="n"/>
    </row>
    <row r="836">
      <c r="A836" s="8" t="n">
        <v>8.625</v>
      </c>
      <c r="B836" s="1" t="n">
        <v>44</v>
      </c>
      <c r="C836" s="1" t="inlineStr">
        <is>
          <t>H2S-90</t>
        </is>
      </c>
      <c r="D836" s="1" t="n">
        <v>9100</v>
      </c>
      <c r="E836" s="1" t="n">
        <v>9130</v>
      </c>
      <c r="F836" s="1" t="n"/>
      <c r="G836" s="1" t="n"/>
      <c r="H836" s="1" t="n"/>
      <c r="I836" s="1" t="inlineStr">
        <is>
          <t>LTC</t>
        </is>
      </c>
      <c r="J836" s="1" t="n">
        <v>1004</v>
      </c>
      <c r="K836" s="1" t="n"/>
      <c r="L836" s="1" t="n">
        <v>1149</v>
      </c>
      <c r="M836" s="1" t="n">
        <v>5</v>
      </c>
      <c r="N836" s="1" t="n">
        <v>7.625</v>
      </c>
      <c r="O836" s="1" t="n">
        <v>7.5</v>
      </c>
      <c r="P836" s="9" t="n"/>
    </row>
    <row r="837">
      <c r="A837" s="8" t="n">
        <v>8.625</v>
      </c>
      <c r="B837" s="1" t="n">
        <v>44</v>
      </c>
      <c r="C837" s="1" t="inlineStr">
        <is>
          <t>H2S-90</t>
        </is>
      </c>
      <c r="D837" s="1" t="n">
        <v>9100</v>
      </c>
      <c r="E837" s="1" t="n">
        <v>9130</v>
      </c>
      <c r="F837" s="1" t="n"/>
      <c r="G837" s="1" t="n"/>
      <c r="H837" s="1" t="n"/>
      <c r="I837" s="1" t="inlineStr">
        <is>
          <t>BTC</t>
        </is>
      </c>
      <c r="J837" s="1" t="n">
        <v>1167</v>
      </c>
      <c r="K837" s="1" t="n"/>
      <c r="L837" s="1" t="n">
        <v>1149</v>
      </c>
      <c r="M837" s="1" t="n">
        <v>5</v>
      </c>
      <c r="N837" s="1" t="n">
        <v>7.625</v>
      </c>
      <c r="O837" s="1" t="n">
        <v>7.5</v>
      </c>
      <c r="P837" s="9" t="n"/>
    </row>
    <row r="838">
      <c r="A838" s="6" t="n">
        <v>8.625</v>
      </c>
      <c r="B838" s="2" t="n">
        <v>44</v>
      </c>
      <c r="C838" s="2" t="inlineStr">
        <is>
          <t>S-95</t>
        </is>
      </c>
      <c r="D838" s="2" t="n">
        <v>9100</v>
      </c>
      <c r="E838" s="2" t="n">
        <v>9640</v>
      </c>
      <c r="F838" s="2" t="n"/>
      <c r="G838" s="2" t="n"/>
      <c r="H838" s="2" t="n"/>
      <c r="I838" s="2" t="inlineStr">
        <is>
          <t>LTC</t>
        </is>
      </c>
      <c r="J838" s="2" t="n">
        <v>1030</v>
      </c>
      <c r="K838" s="2" t="n"/>
      <c r="L838" s="2" t="n">
        <v>1212</v>
      </c>
      <c r="M838" s="2" t="n">
        <v>5</v>
      </c>
      <c r="N838" s="2" t="n">
        <v>7.625</v>
      </c>
      <c r="O838" s="2" t="n">
        <v>7.5</v>
      </c>
      <c r="P838" s="7" t="n"/>
    </row>
    <row r="839">
      <c r="A839" s="6" t="n">
        <v>8.625</v>
      </c>
      <c r="B839" s="2" t="n">
        <v>44</v>
      </c>
      <c r="C839" s="2" t="inlineStr">
        <is>
          <t>S-95</t>
        </is>
      </c>
      <c r="D839" s="2" t="n">
        <v>9100</v>
      </c>
      <c r="E839" s="2" t="n">
        <v>9640</v>
      </c>
      <c r="F839" s="2" t="n"/>
      <c r="G839" s="2" t="n"/>
      <c r="H839" s="2" t="n"/>
      <c r="I839" s="2" t="inlineStr">
        <is>
          <t>BTC</t>
        </is>
      </c>
      <c r="J839" s="2" t="n">
        <v>1244</v>
      </c>
      <c r="K839" s="2" t="n"/>
      <c r="L839" s="2" t="n">
        <v>1212</v>
      </c>
      <c r="M839" s="2" t="n">
        <v>5</v>
      </c>
      <c r="N839" s="2" t="n">
        <v>7.625</v>
      </c>
      <c r="O839" s="2" t="n">
        <v>7.5</v>
      </c>
      <c r="P839" s="7" t="n"/>
    </row>
    <row r="840">
      <c r="A840" s="8" t="n">
        <v>8.625</v>
      </c>
      <c r="B840" s="1" t="n">
        <v>44</v>
      </c>
      <c r="C840" s="1" t="inlineStr">
        <is>
          <t>T-95</t>
        </is>
      </c>
      <c r="D840" s="1" t="n">
        <v>7740</v>
      </c>
      <c r="E840" s="1" t="n">
        <v>9640</v>
      </c>
      <c r="F840" s="1" t="n"/>
      <c r="G840" s="1" t="n"/>
      <c r="H840" s="1" t="n"/>
      <c r="I840" s="1" t="inlineStr">
        <is>
          <t>LTC</t>
        </is>
      </c>
      <c r="J840" s="1" t="n">
        <v>1017</v>
      </c>
      <c r="K840" s="1" t="n"/>
      <c r="L840" s="1" t="n">
        <v>1212</v>
      </c>
      <c r="M840" s="1" t="n">
        <v>5</v>
      </c>
      <c r="N840" s="1" t="n">
        <v>7.625</v>
      </c>
      <c r="O840" s="1" t="n">
        <v>7.5</v>
      </c>
      <c r="P840" s="9" t="n"/>
    </row>
    <row r="841">
      <c r="A841" s="8" t="n">
        <v>8.625</v>
      </c>
      <c r="B841" s="1" t="n">
        <v>44</v>
      </c>
      <c r="C841" s="1" t="inlineStr">
        <is>
          <t>T-95</t>
        </is>
      </c>
      <c r="D841" s="1" t="n">
        <v>7740</v>
      </c>
      <c r="E841" s="1" t="n">
        <v>9640</v>
      </c>
      <c r="F841" s="1" t="n"/>
      <c r="G841" s="1" t="n"/>
      <c r="H841" s="1" t="n"/>
      <c r="I841" s="1" t="inlineStr">
        <is>
          <t>BTC</t>
        </is>
      </c>
      <c r="J841" s="1" t="n">
        <v>1206</v>
      </c>
      <c r="K841" s="1" t="n"/>
      <c r="L841" s="1" t="n">
        <v>1212</v>
      </c>
      <c r="M841" s="1" t="n">
        <v>5</v>
      </c>
      <c r="N841" s="1" t="n">
        <v>7.625</v>
      </c>
      <c r="O841" s="1" t="n">
        <v>7.5</v>
      </c>
      <c r="P841" s="9" t="n"/>
    </row>
    <row r="842">
      <c r="A842" s="6" t="n">
        <v>8.625</v>
      </c>
      <c r="B842" s="2" t="n">
        <v>44</v>
      </c>
      <c r="C842" s="2" t="inlineStr">
        <is>
          <t>H2S-95</t>
        </is>
      </c>
      <c r="D842" s="2" t="n">
        <v>9100</v>
      </c>
      <c r="E842" s="2" t="n">
        <v>9640</v>
      </c>
      <c r="F842" s="2" t="n"/>
      <c r="G842" s="2" t="n"/>
      <c r="H842" s="2" t="n"/>
      <c r="I842" s="2" t="inlineStr">
        <is>
          <t>LTC</t>
        </is>
      </c>
      <c r="J842" s="2" t="n">
        <v>1017</v>
      </c>
      <c r="K842" s="2" t="n"/>
      <c r="L842" s="2" t="n">
        <v>1212</v>
      </c>
      <c r="M842" s="2" t="n">
        <v>5</v>
      </c>
      <c r="N842" s="2" t="n">
        <v>7.625</v>
      </c>
      <c r="O842" s="2" t="n">
        <v>7.5</v>
      </c>
      <c r="P842" s="7" t="n"/>
    </row>
    <row r="843">
      <c r="A843" s="6" t="n">
        <v>8.625</v>
      </c>
      <c r="B843" s="2" t="n">
        <v>44</v>
      </c>
      <c r="C843" s="2" t="inlineStr">
        <is>
          <t>H2S-95</t>
        </is>
      </c>
      <c r="D843" s="2" t="n">
        <v>9100</v>
      </c>
      <c r="E843" s="2" t="n">
        <v>9640</v>
      </c>
      <c r="F843" s="2" t="n"/>
      <c r="G843" s="2" t="n"/>
      <c r="H843" s="2" t="n"/>
      <c r="I843" s="2" t="inlineStr">
        <is>
          <t>BTC</t>
        </is>
      </c>
      <c r="J843" s="2" t="n">
        <v>1206</v>
      </c>
      <c r="K843" s="2" t="n"/>
      <c r="L843" s="2" t="n">
        <v>1212</v>
      </c>
      <c r="M843" s="2" t="n">
        <v>5</v>
      </c>
      <c r="N843" s="2" t="n">
        <v>7.625</v>
      </c>
      <c r="O843" s="2" t="n">
        <v>7.5</v>
      </c>
      <c r="P843" s="7" t="n"/>
    </row>
    <row r="844">
      <c r="A844" s="8" t="n">
        <v>8.625</v>
      </c>
      <c r="B844" s="1" t="n">
        <v>44</v>
      </c>
      <c r="C844" s="1" t="inlineStr">
        <is>
          <t>C-95</t>
        </is>
      </c>
      <c r="D844" s="1" t="n">
        <v>7740</v>
      </c>
      <c r="E844" s="1" t="n">
        <v>9640</v>
      </c>
      <c r="F844" s="1" t="n"/>
      <c r="G844" s="1" t="n"/>
      <c r="H844" s="1" t="n"/>
      <c r="I844" s="1" t="inlineStr">
        <is>
          <t>LTC</t>
        </is>
      </c>
      <c r="J844" s="1" t="n">
        <v>1017</v>
      </c>
      <c r="K844" s="1" t="n"/>
      <c r="L844" s="1" t="n">
        <v>1212</v>
      </c>
      <c r="M844" s="1" t="n">
        <v>5</v>
      </c>
      <c r="N844" s="1" t="n">
        <v>7.625</v>
      </c>
      <c r="O844" s="1" t="n">
        <v>7.5</v>
      </c>
      <c r="P844" s="9" t="n"/>
    </row>
    <row r="845">
      <c r="A845" s="8" t="n">
        <v>8.625</v>
      </c>
      <c r="B845" s="1" t="n">
        <v>44</v>
      </c>
      <c r="C845" s="1" t="inlineStr">
        <is>
          <t>C-95</t>
        </is>
      </c>
      <c r="D845" s="1" t="n">
        <v>7740</v>
      </c>
      <c r="E845" s="1" t="n">
        <v>9640</v>
      </c>
      <c r="F845" s="1" t="n"/>
      <c r="G845" s="1" t="n"/>
      <c r="H845" s="1" t="n"/>
      <c r="I845" s="1" t="inlineStr">
        <is>
          <t>BTC</t>
        </is>
      </c>
      <c r="J845" s="1" t="n">
        <v>1206</v>
      </c>
      <c r="K845" s="1" t="n"/>
      <c r="L845" s="1" t="n">
        <v>1212</v>
      </c>
      <c r="M845" s="1" t="n">
        <v>5</v>
      </c>
      <c r="N845" s="1" t="n">
        <v>7.625</v>
      </c>
      <c r="O845" s="1" t="n">
        <v>7.5</v>
      </c>
      <c r="P845" s="9" t="n"/>
    </row>
    <row r="846">
      <c r="A846" s="6" t="n">
        <v>8.625</v>
      </c>
      <c r="B846" s="2" t="n">
        <v>44</v>
      </c>
      <c r="C846" s="2" t="inlineStr">
        <is>
          <t>HCP-110</t>
        </is>
      </c>
      <c r="D846" s="2" t="n">
        <v>9100</v>
      </c>
      <c r="E846" s="2" t="n">
        <v>11160</v>
      </c>
      <c r="F846" s="2" t="n"/>
      <c r="G846" s="2" t="n"/>
      <c r="H846" s="2" t="n"/>
      <c r="I846" s="2" t="inlineStr">
        <is>
          <t>LTC</t>
        </is>
      </c>
      <c r="J846" s="2" t="n">
        <v>1186</v>
      </c>
      <c r="K846" s="2" t="n"/>
      <c r="L846" s="2" t="n">
        <v>1404</v>
      </c>
      <c r="M846" s="2" t="n">
        <v>5</v>
      </c>
      <c r="N846" s="2" t="n">
        <v>7.625</v>
      </c>
      <c r="O846" s="2" t="n">
        <v>7.5</v>
      </c>
      <c r="P846" s="7" t="n"/>
    </row>
    <row r="847">
      <c r="A847" s="6" t="n">
        <v>8.625</v>
      </c>
      <c r="B847" s="2" t="n">
        <v>44</v>
      </c>
      <c r="C847" s="2" t="inlineStr">
        <is>
          <t>HCP-110</t>
        </is>
      </c>
      <c r="D847" s="2" t="n">
        <v>9100</v>
      </c>
      <c r="E847" s="2" t="n">
        <v>11160</v>
      </c>
      <c r="F847" s="2" t="n"/>
      <c r="G847" s="2" t="n"/>
      <c r="H847" s="2" t="n"/>
      <c r="I847" s="2" t="inlineStr">
        <is>
          <t>BTC</t>
        </is>
      </c>
      <c r="J847" s="2" t="n">
        <v>1423</v>
      </c>
      <c r="K847" s="2" t="n"/>
      <c r="L847" s="2" t="n">
        <v>1404</v>
      </c>
      <c r="M847" s="2" t="n">
        <v>5</v>
      </c>
      <c r="N847" s="2" t="n">
        <v>7.625</v>
      </c>
      <c r="O847" s="2" t="n">
        <v>7.5</v>
      </c>
      <c r="P847" s="7" t="n"/>
    </row>
    <row r="848">
      <c r="A848" s="8" t="n">
        <v>8.625</v>
      </c>
      <c r="B848" s="1" t="n">
        <v>44</v>
      </c>
      <c r="C848" s="1" t="inlineStr">
        <is>
          <t>P-110</t>
        </is>
      </c>
      <c r="D848" s="1" t="n">
        <v>8420</v>
      </c>
      <c r="E848" s="1" t="n">
        <v>11160</v>
      </c>
      <c r="F848" s="1" t="n"/>
      <c r="G848" s="1" t="n"/>
      <c r="H848" s="1" t="n"/>
      <c r="I848" s="1" t="inlineStr">
        <is>
          <t>LTC</t>
        </is>
      </c>
      <c r="J848" s="1" t="n">
        <v>1186</v>
      </c>
      <c r="K848" s="1" t="n"/>
      <c r="L848" s="1" t="n">
        <v>1404</v>
      </c>
      <c r="M848" s="1" t="n">
        <v>5</v>
      </c>
      <c r="N848" s="1" t="n">
        <v>7.625</v>
      </c>
      <c r="O848" s="1" t="n">
        <v>7.5</v>
      </c>
      <c r="P848" s="9" t="n"/>
    </row>
    <row r="849">
      <c r="A849" s="8" t="n">
        <v>8.625</v>
      </c>
      <c r="B849" s="1" t="n">
        <v>44</v>
      </c>
      <c r="C849" s="1" t="inlineStr">
        <is>
          <t>P-110</t>
        </is>
      </c>
      <c r="D849" s="1" t="n">
        <v>8420</v>
      </c>
      <c r="E849" s="1" t="n">
        <v>11160</v>
      </c>
      <c r="F849" s="1" t="n"/>
      <c r="G849" s="1" t="n"/>
      <c r="H849" s="1" t="n"/>
      <c r="I849" s="1" t="inlineStr">
        <is>
          <t>BTC</t>
        </is>
      </c>
      <c r="J849" s="1" t="n">
        <v>1423</v>
      </c>
      <c r="K849" s="1" t="n"/>
      <c r="L849" s="1" t="n">
        <v>1404</v>
      </c>
      <c r="M849" s="1" t="n">
        <v>5</v>
      </c>
      <c r="N849" s="1" t="n">
        <v>7.625</v>
      </c>
      <c r="O849" s="1" t="n">
        <v>7.5</v>
      </c>
      <c r="P849" s="9" t="n"/>
    </row>
    <row r="850">
      <c r="A850" s="6" t="n">
        <v>8.625</v>
      </c>
      <c r="B850" s="2" t="n">
        <v>44</v>
      </c>
      <c r="C850" s="2" t="inlineStr">
        <is>
          <t>HCQ-125</t>
        </is>
      </c>
      <c r="D850" s="2" t="n">
        <v>9100</v>
      </c>
      <c r="E850" s="2" t="n">
        <v>12680</v>
      </c>
      <c r="F850" s="2" t="n"/>
      <c r="G850" s="2" t="n"/>
      <c r="H850" s="2" t="n"/>
      <c r="I850" s="2" t="inlineStr">
        <is>
          <t>LTC</t>
        </is>
      </c>
      <c r="J850" s="2" t="n">
        <v>1330</v>
      </c>
      <c r="K850" s="2" t="n"/>
      <c r="L850" s="2" t="n">
        <v>1595</v>
      </c>
      <c r="M850" s="2" t="n">
        <v>5</v>
      </c>
      <c r="N850" s="2" t="n">
        <v>7.625</v>
      </c>
      <c r="O850" s="2" t="n">
        <v>7.5</v>
      </c>
      <c r="P850" s="7" t="n"/>
    </row>
    <row r="851">
      <c r="A851" s="6" t="n">
        <v>8.625</v>
      </c>
      <c r="B851" s="2" t="n">
        <v>44</v>
      </c>
      <c r="C851" s="2" t="inlineStr">
        <is>
          <t>HCQ-125</t>
        </is>
      </c>
      <c r="D851" s="2" t="n">
        <v>9100</v>
      </c>
      <c r="E851" s="2" t="n">
        <v>12680</v>
      </c>
      <c r="F851" s="2" t="n"/>
      <c r="G851" s="2" t="n"/>
      <c r="H851" s="2" t="n"/>
      <c r="I851" s="2" t="inlineStr">
        <is>
          <t>BTC</t>
        </is>
      </c>
      <c r="J851" s="2" t="n">
        <v>1562</v>
      </c>
      <c r="K851" s="2" t="n"/>
      <c r="L851" s="2" t="n">
        <v>1595</v>
      </c>
      <c r="M851" s="2" t="n">
        <v>5</v>
      </c>
      <c r="N851" s="2" t="n">
        <v>7.625</v>
      </c>
      <c r="O851" s="2" t="n">
        <v>7.5</v>
      </c>
      <c r="P851" s="7" t="n"/>
    </row>
    <row r="852">
      <c r="A852" s="8" t="n">
        <v>8.625</v>
      </c>
      <c r="B852" s="1" t="n">
        <v>44</v>
      </c>
      <c r="C852" s="1" t="inlineStr">
        <is>
          <t>Q-125</t>
        </is>
      </c>
      <c r="D852" s="1" t="n">
        <v>8980</v>
      </c>
      <c r="E852" s="1" t="n">
        <v>12680</v>
      </c>
      <c r="F852" s="1" t="n"/>
      <c r="G852" s="1" t="n"/>
      <c r="H852" s="1" t="n"/>
      <c r="I852" s="1" t="inlineStr">
        <is>
          <t>LTC</t>
        </is>
      </c>
      <c r="J852" s="1" t="n">
        <v>1330</v>
      </c>
      <c r="K852" s="1" t="n"/>
      <c r="L852" s="1" t="n">
        <v>1595</v>
      </c>
      <c r="M852" s="1" t="n">
        <v>5</v>
      </c>
      <c r="N852" s="1" t="n">
        <v>7.625</v>
      </c>
      <c r="O852" s="1" t="n">
        <v>7.5</v>
      </c>
      <c r="P852" s="9" t="n"/>
    </row>
    <row r="853">
      <c r="A853" s="8" t="n">
        <v>8.625</v>
      </c>
      <c r="B853" s="1" t="n">
        <v>44</v>
      </c>
      <c r="C853" s="1" t="inlineStr">
        <is>
          <t>Q-125</t>
        </is>
      </c>
      <c r="D853" s="1" t="n">
        <v>8980</v>
      </c>
      <c r="E853" s="1" t="n">
        <v>12680</v>
      </c>
      <c r="F853" s="1" t="n"/>
      <c r="G853" s="1" t="n"/>
      <c r="H853" s="1" t="n"/>
      <c r="I853" s="1" t="inlineStr">
        <is>
          <t>BTC</t>
        </is>
      </c>
      <c r="J853" s="1" t="n">
        <v>1562</v>
      </c>
      <c r="K853" s="1" t="n"/>
      <c r="L853" s="1" t="n">
        <v>1595</v>
      </c>
      <c r="M853" s="1" t="n">
        <v>5</v>
      </c>
      <c r="N853" s="1" t="n">
        <v>7.625</v>
      </c>
      <c r="O853" s="1" t="n">
        <v>7.5</v>
      </c>
      <c r="P853" s="9" t="n"/>
    </row>
    <row r="854" ht="15.75" customHeight="1" s="613" thickBot="1">
      <c r="A854" s="13" t="n">
        <v>8.625</v>
      </c>
      <c r="B854" s="14" t="n">
        <v>44</v>
      </c>
      <c r="C854" s="14" t="inlineStr">
        <is>
          <t>V-150</t>
        </is>
      </c>
      <c r="D854" s="14" t="n">
        <v>9640</v>
      </c>
      <c r="E854" s="14" t="n">
        <v>15220</v>
      </c>
      <c r="F854" s="14" t="n"/>
      <c r="G854" s="14" t="n"/>
      <c r="H854" s="14" t="n"/>
      <c r="I854" s="14" t="inlineStr">
        <is>
          <t>LTC</t>
        </is>
      </c>
      <c r="J854" s="14" t="n">
        <v>1591</v>
      </c>
      <c r="K854" s="14" t="n"/>
      <c r="L854" s="14" t="n">
        <v>1914</v>
      </c>
      <c r="M854" s="14" t="n">
        <v>5</v>
      </c>
      <c r="N854" s="14" t="n">
        <v>7.625</v>
      </c>
      <c r="O854" s="14" t="n">
        <v>7.5</v>
      </c>
      <c r="P854" s="15" t="n"/>
    </row>
    <row r="855" ht="15.75" customHeight="1" s="613" thickBot="1">
      <c r="A855" s="13" t="n">
        <v>8.625</v>
      </c>
      <c r="B855" s="14" t="n">
        <v>44</v>
      </c>
      <c r="C855" s="14" t="inlineStr">
        <is>
          <t>V-150</t>
        </is>
      </c>
      <c r="D855" s="14" t="n">
        <v>9640</v>
      </c>
      <c r="E855" s="14" t="n">
        <v>15220</v>
      </c>
      <c r="F855" s="14" t="n"/>
      <c r="G855" s="14" t="n"/>
      <c r="H855" s="14" t="n"/>
      <c r="I855" s="14" t="inlineStr">
        <is>
          <t>BTC</t>
        </is>
      </c>
      <c r="J855" s="14" t="n">
        <v>1859</v>
      </c>
      <c r="K855" s="14" t="n"/>
      <c r="L855" s="14" t="n">
        <v>1914</v>
      </c>
      <c r="M855" s="14" t="n">
        <v>5</v>
      </c>
      <c r="N855" s="14" t="n">
        <v>7.625</v>
      </c>
      <c r="O855" s="14" t="n">
        <v>7.5</v>
      </c>
      <c r="P855" s="15" t="n"/>
    </row>
    <row r="856">
      <c r="A856" s="3" t="n">
        <v>9.625</v>
      </c>
      <c r="B856" s="4" t="n">
        <v>32.3</v>
      </c>
      <c r="C856" s="4" t="inlineStr">
        <is>
          <t>H-40</t>
        </is>
      </c>
      <c r="D856" s="4" t="n">
        <v>1370</v>
      </c>
      <c r="E856" s="4" t="n">
        <v>2270</v>
      </c>
      <c r="F856" s="4" t="n"/>
      <c r="G856" s="4" t="n"/>
      <c r="H856" s="4" t="n"/>
      <c r="I856" s="4" t="inlineStr">
        <is>
          <t>STC</t>
        </is>
      </c>
      <c r="J856" s="4" t="n">
        <v>254</v>
      </c>
      <c r="K856" s="4" t="n"/>
      <c r="L856" s="4" t="n">
        <v>365</v>
      </c>
      <c r="M856" s="4" t="n">
        <v>0.312</v>
      </c>
      <c r="N856" s="4" t="n">
        <v>9.000999999999999</v>
      </c>
      <c r="O856" s="4" t="n">
        <v>8.845000000000001</v>
      </c>
      <c r="P856" s="5" t="n"/>
    </row>
    <row r="857">
      <c r="A857" s="6" t="n">
        <v>9.625</v>
      </c>
      <c r="B857" s="2" t="n">
        <v>36</v>
      </c>
      <c r="C857" s="2" t="inlineStr">
        <is>
          <t>H-40</t>
        </is>
      </c>
      <c r="D857" s="2" t="n">
        <v>1720</v>
      </c>
      <c r="E857" s="2" t="n">
        <v>2560</v>
      </c>
      <c r="F857" s="2" t="n"/>
      <c r="G857" s="2" t="n"/>
      <c r="H857" s="2" t="n"/>
      <c r="I857" s="2" t="inlineStr">
        <is>
          <t>STC</t>
        </is>
      </c>
      <c r="J857" s="2" t="n">
        <v>294</v>
      </c>
      <c r="K857" s="2" t="n"/>
      <c r="L857" s="2" t="n">
        <v>410</v>
      </c>
      <c r="M857" s="2" t="n">
        <v>0.352</v>
      </c>
      <c r="N857" s="2" t="n">
        <v>8.920999999999999</v>
      </c>
      <c r="O857" s="2" t="n">
        <v>8.765000000000001</v>
      </c>
      <c r="P857" s="7" t="n"/>
    </row>
    <row r="858">
      <c r="A858" s="8" t="n">
        <v>9.625</v>
      </c>
      <c r="B858" s="1" t="n">
        <v>36</v>
      </c>
      <c r="C858" s="1" t="inlineStr">
        <is>
          <t>J-55</t>
        </is>
      </c>
      <c r="D858" s="1" t="n">
        <v>2020</v>
      </c>
      <c r="E858" s="1" t="n">
        <v>3520</v>
      </c>
      <c r="F858" s="1" t="n"/>
      <c r="G858" s="1" t="n"/>
      <c r="H858" s="1" t="n"/>
      <c r="I858" s="1" t="inlineStr">
        <is>
          <t>STC</t>
        </is>
      </c>
      <c r="J858" s="1" t="n">
        <v>394</v>
      </c>
      <c r="K858" s="1" t="n"/>
      <c r="L858" s="1" t="n">
        <v>564</v>
      </c>
      <c r="M858" s="1" t="n">
        <v>0.352</v>
      </c>
      <c r="N858" s="1" t="n">
        <v>8.920999999999999</v>
      </c>
      <c r="O858" s="1" t="n">
        <v>8.765000000000001</v>
      </c>
      <c r="P858" s="9" t="n"/>
    </row>
    <row r="859">
      <c r="A859" s="8" t="n">
        <v>9.625</v>
      </c>
      <c r="B859" s="1" t="n">
        <v>36</v>
      </c>
      <c r="C859" s="1" t="inlineStr">
        <is>
          <t>J-55</t>
        </is>
      </c>
      <c r="D859" s="1" t="n">
        <v>2020</v>
      </c>
      <c r="E859" s="1" t="n">
        <v>3520</v>
      </c>
      <c r="F859" s="1" t="n"/>
      <c r="G859" s="1" t="n"/>
      <c r="H859" s="1" t="n"/>
      <c r="I859" s="1" t="inlineStr">
        <is>
          <t>LTC</t>
        </is>
      </c>
      <c r="J859" s="1" t="n">
        <v>453</v>
      </c>
      <c r="K859" s="1" t="n"/>
      <c r="L859" s="1" t="n">
        <v>564</v>
      </c>
      <c r="M859" s="1" t="n">
        <v>0.352</v>
      </c>
      <c r="N859" s="1" t="n">
        <v>8.920999999999999</v>
      </c>
      <c r="O859" s="1" t="n">
        <v>8.765000000000001</v>
      </c>
      <c r="P859" s="9" t="n"/>
    </row>
    <row r="860">
      <c r="A860" s="8" t="n">
        <v>9.625</v>
      </c>
      <c r="B860" s="1" t="n">
        <v>36</v>
      </c>
      <c r="C860" s="1" t="inlineStr">
        <is>
          <t>J-55</t>
        </is>
      </c>
      <c r="D860" s="1" t="n">
        <v>2020</v>
      </c>
      <c r="E860" s="1" t="n">
        <v>3520</v>
      </c>
      <c r="F860" s="1" t="n"/>
      <c r="G860" s="1" t="n"/>
      <c r="H860" s="1" t="n"/>
      <c r="I860" s="1" t="inlineStr">
        <is>
          <t>BTC</t>
        </is>
      </c>
      <c r="J860" s="1" t="n">
        <v>639</v>
      </c>
      <c r="K860" s="1" t="n"/>
      <c r="L860" s="1" t="n">
        <v>564</v>
      </c>
      <c r="M860" s="1" t="n">
        <v>0.352</v>
      </c>
      <c r="N860" s="1" t="n">
        <v>8.920999999999999</v>
      </c>
      <c r="O860" s="1" t="n">
        <v>8.765000000000001</v>
      </c>
      <c r="P860" s="9" t="n"/>
    </row>
    <row r="861">
      <c r="A861" s="6" t="n">
        <v>9.625</v>
      </c>
      <c r="B861" s="2" t="n">
        <v>36</v>
      </c>
      <c r="C861" s="2" t="inlineStr">
        <is>
          <t>K-55</t>
        </is>
      </c>
      <c r="D861" s="2" t="n">
        <v>2020</v>
      </c>
      <c r="E861" s="2" t="n">
        <v>3520</v>
      </c>
      <c r="F861" s="2" t="n"/>
      <c r="G861" s="2" t="n"/>
      <c r="H861" s="2" t="n"/>
      <c r="I861" s="2" t="inlineStr">
        <is>
          <t>STC</t>
        </is>
      </c>
      <c r="J861" s="2" t="n">
        <v>423</v>
      </c>
      <c r="K861" s="2" t="n"/>
      <c r="L861" s="2" t="n">
        <v>564</v>
      </c>
      <c r="M861" s="2" t="n">
        <v>0.352</v>
      </c>
      <c r="N861" s="2" t="n">
        <v>8.920999999999999</v>
      </c>
      <c r="O861" s="2" t="n">
        <v>8.765000000000001</v>
      </c>
      <c r="P861" s="7" t="n"/>
    </row>
    <row r="862">
      <c r="A862" s="6" t="n">
        <v>9.625</v>
      </c>
      <c r="B862" s="2" t="n">
        <v>36</v>
      </c>
      <c r="C862" s="2" t="inlineStr">
        <is>
          <t>K-55</t>
        </is>
      </c>
      <c r="D862" s="2" t="n">
        <v>2020</v>
      </c>
      <c r="E862" s="2" t="n">
        <v>3520</v>
      </c>
      <c r="F862" s="2" t="n"/>
      <c r="G862" s="2" t="n"/>
      <c r="H862" s="2" t="n"/>
      <c r="I862" s="2" t="inlineStr">
        <is>
          <t>LTC</t>
        </is>
      </c>
      <c r="J862" s="2" t="n">
        <v>489</v>
      </c>
      <c r="K862" s="2" t="n"/>
      <c r="L862" s="2" t="n">
        <v>564</v>
      </c>
      <c r="M862" s="2" t="n">
        <v>0.352</v>
      </c>
      <c r="N862" s="2" t="n">
        <v>8.920999999999999</v>
      </c>
      <c r="O862" s="2" t="n">
        <v>8.765000000000001</v>
      </c>
      <c r="P862" s="7" t="n"/>
    </row>
    <row r="863">
      <c r="A863" s="6" t="n">
        <v>9.625</v>
      </c>
      <c r="B863" s="2" t="n">
        <v>36</v>
      </c>
      <c r="C863" s="2" t="inlineStr">
        <is>
          <t>K-55</t>
        </is>
      </c>
      <c r="D863" s="2" t="n">
        <v>2020</v>
      </c>
      <c r="E863" s="2" t="n">
        <v>3520</v>
      </c>
      <c r="F863" s="2" t="n"/>
      <c r="G863" s="2" t="n"/>
      <c r="H863" s="2" t="n"/>
      <c r="I863" s="2" t="inlineStr">
        <is>
          <t>BTC</t>
        </is>
      </c>
      <c r="J863" s="2" t="n">
        <v>755</v>
      </c>
      <c r="K863" s="2" t="n"/>
      <c r="L863" s="2" t="n">
        <v>564</v>
      </c>
      <c r="M863" s="2" t="n">
        <v>0.352</v>
      </c>
      <c r="N863" s="2" t="n">
        <v>8.920999999999999</v>
      </c>
      <c r="O863" s="2" t="n">
        <v>8.765000000000001</v>
      </c>
      <c r="P863" s="7" t="n"/>
    </row>
    <row r="864">
      <c r="A864" s="8" t="n">
        <v>9.625</v>
      </c>
      <c r="B864" s="1" t="n">
        <v>36</v>
      </c>
      <c r="C864" s="1" t="inlineStr">
        <is>
          <t>HCK-55</t>
        </is>
      </c>
      <c r="D864" s="1" t="n">
        <v>2980</v>
      </c>
      <c r="E864" s="1" t="n">
        <v>3520</v>
      </c>
      <c r="F864" s="1" t="n"/>
      <c r="G864" s="1" t="n"/>
      <c r="H864" s="1" t="n"/>
      <c r="I864" s="1" t="inlineStr">
        <is>
          <t>STC</t>
        </is>
      </c>
      <c r="J864" s="1" t="n">
        <v>526</v>
      </c>
      <c r="K864" s="1" t="n"/>
      <c r="L864" s="1" t="n">
        <v>564</v>
      </c>
      <c r="M864" s="1" t="n">
        <v>0.352</v>
      </c>
      <c r="N864" s="1" t="n">
        <v>8.920999999999999</v>
      </c>
      <c r="O864" s="1" t="n">
        <v>8.765000000000001</v>
      </c>
      <c r="P864" s="9" t="n"/>
    </row>
    <row r="865">
      <c r="A865" s="8" t="n">
        <v>9.625</v>
      </c>
      <c r="B865" s="1" t="n">
        <v>36</v>
      </c>
      <c r="C865" s="1" t="inlineStr">
        <is>
          <t>HCK-55</t>
        </is>
      </c>
      <c r="D865" s="1" t="n">
        <v>2980</v>
      </c>
      <c r="E865" s="1" t="n">
        <v>3520</v>
      </c>
      <c r="F865" s="1" t="n"/>
      <c r="G865" s="1" t="n"/>
      <c r="H865" s="1" t="n"/>
      <c r="I865" s="1" t="inlineStr">
        <is>
          <t>LTC</t>
        </is>
      </c>
      <c r="J865" s="1" t="n">
        <v>605</v>
      </c>
      <c r="K865" s="1" t="n"/>
      <c r="L865" s="1" t="n">
        <v>564</v>
      </c>
      <c r="M865" s="1" t="n">
        <v>0.352</v>
      </c>
      <c r="N865" s="1" t="n">
        <v>8.920999999999999</v>
      </c>
      <c r="O865" s="1" t="n">
        <v>8.765000000000001</v>
      </c>
      <c r="P865" s="9" t="n"/>
    </row>
    <row r="866">
      <c r="A866" s="8" t="n">
        <v>9.625</v>
      </c>
      <c r="B866" s="1" t="n">
        <v>36</v>
      </c>
      <c r="C866" s="1" t="inlineStr">
        <is>
          <t>HCK-55</t>
        </is>
      </c>
      <c r="D866" s="1" t="n">
        <v>2980</v>
      </c>
      <c r="E866" s="1" t="n">
        <v>3520</v>
      </c>
      <c r="F866" s="1" t="n"/>
      <c r="G866" s="1" t="n"/>
      <c r="H866" s="1" t="n"/>
      <c r="I866" s="1" t="inlineStr">
        <is>
          <t>BTC</t>
        </is>
      </c>
      <c r="J866" s="1" t="n">
        <v>829</v>
      </c>
      <c r="K866" s="1" t="n"/>
      <c r="L866" s="1" t="n">
        <v>564</v>
      </c>
      <c r="M866" s="1" t="n">
        <v>0.352</v>
      </c>
      <c r="N866" s="1" t="n">
        <v>8.920999999999999</v>
      </c>
      <c r="O866" s="1" t="n">
        <v>8.765000000000001</v>
      </c>
      <c r="P866" s="9" t="n"/>
    </row>
    <row r="867">
      <c r="A867" s="6" t="n">
        <v>9.625</v>
      </c>
      <c r="B867" s="2" t="n">
        <v>40</v>
      </c>
      <c r="C867" s="2" t="inlineStr">
        <is>
          <t>J-55</t>
        </is>
      </c>
      <c r="D867" s="2" t="n">
        <v>2570</v>
      </c>
      <c r="E867" s="2" t="n">
        <v>3950</v>
      </c>
      <c r="F867" s="2" t="n"/>
      <c r="G867" s="2" t="n"/>
      <c r="H867" s="2" t="n"/>
      <c r="I867" s="2" t="inlineStr">
        <is>
          <t>STC</t>
        </is>
      </c>
      <c r="J867" s="2" t="n">
        <v>452</v>
      </c>
      <c r="K867" s="2" t="n"/>
      <c r="L867" s="2" t="n">
        <v>630</v>
      </c>
      <c r="M867" s="2" t="n">
        <v>0.395</v>
      </c>
      <c r="N867" s="2" t="n">
        <v>8.835000000000001</v>
      </c>
      <c r="O867" s="2" t="n">
        <v>8.679</v>
      </c>
      <c r="P867" s="7" t="n">
        <v>8.75</v>
      </c>
    </row>
    <row r="868">
      <c r="A868" s="6" t="n">
        <v>9.625</v>
      </c>
      <c r="B868" s="2" t="n">
        <v>40</v>
      </c>
      <c r="C868" s="2" t="inlineStr">
        <is>
          <t>J-55</t>
        </is>
      </c>
      <c r="D868" s="2" t="n">
        <v>2570</v>
      </c>
      <c r="E868" s="2" t="n">
        <v>3950</v>
      </c>
      <c r="F868" s="2" t="n"/>
      <c r="G868" s="2" t="n"/>
      <c r="H868" s="2" t="n"/>
      <c r="I868" s="2" t="inlineStr">
        <is>
          <t>LTC</t>
        </is>
      </c>
      <c r="J868" s="2" t="n">
        <v>520</v>
      </c>
      <c r="K868" s="2" t="n"/>
      <c r="L868" s="2" t="n">
        <v>630</v>
      </c>
      <c r="M868" s="2" t="n">
        <v>0.395</v>
      </c>
      <c r="N868" s="2" t="n">
        <v>8.835000000000001</v>
      </c>
      <c r="O868" s="2" t="n">
        <v>8.679</v>
      </c>
      <c r="P868" s="7" t="n">
        <v>8.75</v>
      </c>
    </row>
    <row r="869">
      <c r="A869" s="6" t="n">
        <v>9.625</v>
      </c>
      <c r="B869" s="2" t="n">
        <v>40</v>
      </c>
      <c r="C869" s="2" t="inlineStr">
        <is>
          <t>J-55</t>
        </is>
      </c>
      <c r="D869" s="2" t="n">
        <v>2570</v>
      </c>
      <c r="E869" s="2" t="n">
        <v>3950</v>
      </c>
      <c r="F869" s="2" t="n"/>
      <c r="G869" s="2" t="n"/>
      <c r="H869" s="2" t="n"/>
      <c r="I869" s="2" t="inlineStr">
        <is>
          <t>BTC</t>
        </is>
      </c>
      <c r="J869" s="2" t="n">
        <v>714</v>
      </c>
      <c r="K869" s="2" t="n"/>
      <c r="L869" s="2" t="n">
        <v>630</v>
      </c>
      <c r="M869" s="2" t="n">
        <v>0.395</v>
      </c>
      <c r="N869" s="2" t="n">
        <v>8.835000000000001</v>
      </c>
      <c r="O869" s="2" t="n">
        <v>8.679</v>
      </c>
      <c r="P869" s="7" t="n">
        <v>8.75</v>
      </c>
    </row>
    <row r="870">
      <c r="A870" s="8" t="n">
        <v>9.625</v>
      </c>
      <c r="B870" s="1" t="n">
        <v>40</v>
      </c>
      <c r="C870" s="1" t="inlineStr">
        <is>
          <t>K-55</t>
        </is>
      </c>
      <c r="D870" s="1" t="n">
        <v>2570</v>
      </c>
      <c r="E870" s="1" t="n">
        <v>3950</v>
      </c>
      <c r="F870" s="1" t="n"/>
      <c r="G870" s="1" t="n"/>
      <c r="H870" s="1" t="n"/>
      <c r="I870" s="1" t="inlineStr">
        <is>
          <t>STC</t>
        </is>
      </c>
      <c r="J870" s="1" t="n">
        <v>486</v>
      </c>
      <c r="K870" s="1" t="n"/>
      <c r="L870" s="1" t="n">
        <v>630</v>
      </c>
      <c r="M870" s="1" t="n">
        <v>0.395</v>
      </c>
      <c r="N870" s="1" t="n">
        <v>8.835000000000001</v>
      </c>
      <c r="O870" s="1" t="n">
        <v>8.679</v>
      </c>
      <c r="P870" s="9" t="n">
        <v>8.75</v>
      </c>
    </row>
    <row r="871">
      <c r="A871" s="8" t="n">
        <v>9.625</v>
      </c>
      <c r="B871" s="1" t="n">
        <v>40</v>
      </c>
      <c r="C871" s="1" t="inlineStr">
        <is>
          <t>K-55</t>
        </is>
      </c>
      <c r="D871" s="1" t="n">
        <v>2570</v>
      </c>
      <c r="E871" s="1" t="n">
        <v>3950</v>
      </c>
      <c r="F871" s="1" t="n"/>
      <c r="G871" s="1" t="n"/>
      <c r="H871" s="1" t="n"/>
      <c r="I871" s="1" t="inlineStr">
        <is>
          <t>LTC</t>
        </is>
      </c>
      <c r="J871" s="1" t="n">
        <v>561</v>
      </c>
      <c r="K871" s="1" t="n"/>
      <c r="L871" s="1" t="n">
        <v>630</v>
      </c>
      <c r="M871" s="1" t="n">
        <v>0.395</v>
      </c>
      <c r="N871" s="1" t="n">
        <v>8.835000000000001</v>
      </c>
      <c r="O871" s="1" t="n">
        <v>8.679</v>
      </c>
      <c r="P871" s="9" t="n">
        <v>8.75</v>
      </c>
    </row>
    <row r="872">
      <c r="A872" s="8" t="n">
        <v>9.625</v>
      </c>
      <c r="B872" s="1" t="n">
        <v>40</v>
      </c>
      <c r="C872" s="1" t="inlineStr">
        <is>
          <t>K-55</t>
        </is>
      </c>
      <c r="D872" s="1" t="n">
        <v>2570</v>
      </c>
      <c r="E872" s="1" t="n">
        <v>3950</v>
      </c>
      <c r="F872" s="1" t="n"/>
      <c r="G872" s="1" t="n"/>
      <c r="H872" s="1" t="n"/>
      <c r="I872" s="1" t="inlineStr">
        <is>
          <t>BTC</t>
        </is>
      </c>
      <c r="J872" s="1" t="n">
        <v>843</v>
      </c>
      <c r="K872" s="1" t="n"/>
      <c r="L872" s="1" t="n">
        <v>630</v>
      </c>
      <c r="M872" s="1" t="n">
        <v>0.395</v>
      </c>
      <c r="N872" s="1" t="n">
        <v>8.835000000000001</v>
      </c>
      <c r="O872" s="1" t="n">
        <v>8.679</v>
      </c>
      <c r="P872" s="9" t="n">
        <v>8.75</v>
      </c>
    </row>
    <row r="873">
      <c r="A873" s="6" t="n">
        <v>9.625</v>
      </c>
      <c r="B873" s="2" t="n">
        <v>40</v>
      </c>
      <c r="C873" s="2" t="inlineStr">
        <is>
          <t>HCK-55</t>
        </is>
      </c>
      <c r="D873" s="2" t="n">
        <v>4230</v>
      </c>
      <c r="E873" s="2" t="n">
        <v>3950</v>
      </c>
      <c r="F873" s="2" t="n"/>
      <c r="G873" s="2" t="n"/>
      <c r="H873" s="2" t="n"/>
      <c r="I873" s="2" t="inlineStr">
        <is>
          <t>STC</t>
        </is>
      </c>
      <c r="J873" s="2" t="n">
        <v>604</v>
      </c>
      <c r="K873" s="2" t="n"/>
      <c r="L873" s="2" t="n">
        <v>630</v>
      </c>
      <c r="M873" s="2" t="n">
        <v>0.395</v>
      </c>
      <c r="N873" s="2" t="n">
        <v>8.835000000000001</v>
      </c>
      <c r="O873" s="2" t="n">
        <v>8.679</v>
      </c>
      <c r="P873" s="7" t="n">
        <v>8.75</v>
      </c>
    </row>
    <row r="874">
      <c r="A874" s="6" t="n">
        <v>9.625</v>
      </c>
      <c r="B874" s="2" t="n">
        <v>40</v>
      </c>
      <c r="C874" s="2" t="inlineStr">
        <is>
          <t>HCK-55</t>
        </is>
      </c>
      <c r="D874" s="2" t="n">
        <v>4230</v>
      </c>
      <c r="E874" s="2" t="n">
        <v>3950</v>
      </c>
      <c r="F874" s="2" t="n"/>
      <c r="G874" s="2" t="n"/>
      <c r="H874" s="2" t="n"/>
      <c r="I874" s="2" t="inlineStr">
        <is>
          <t>LTC</t>
        </is>
      </c>
      <c r="J874" s="2" t="n">
        <v>694</v>
      </c>
      <c r="K874" s="2" t="n"/>
      <c r="L874" s="2" t="n">
        <v>630</v>
      </c>
      <c r="M874" s="2" t="n">
        <v>0.395</v>
      </c>
      <c r="N874" s="2" t="n">
        <v>8.835000000000001</v>
      </c>
      <c r="O874" s="2" t="n">
        <v>8.679</v>
      </c>
      <c r="P874" s="7" t="n">
        <v>8.75</v>
      </c>
    </row>
    <row r="875">
      <c r="A875" s="6" t="n">
        <v>9.625</v>
      </c>
      <c r="B875" s="2" t="n">
        <v>40</v>
      </c>
      <c r="C875" s="2" t="inlineStr">
        <is>
          <t>HCK-55</t>
        </is>
      </c>
      <c r="D875" s="2" t="n">
        <v>4230</v>
      </c>
      <c r="E875" s="2" t="n">
        <v>3950</v>
      </c>
      <c r="F875" s="2" t="n"/>
      <c r="G875" s="2" t="n"/>
      <c r="H875" s="2" t="n"/>
      <c r="I875" s="2" t="inlineStr">
        <is>
          <t>BTC</t>
        </is>
      </c>
      <c r="J875" s="2" t="n">
        <v>926</v>
      </c>
      <c r="K875" s="2" t="n"/>
      <c r="L875" s="2" t="n">
        <v>630</v>
      </c>
      <c r="M875" s="2" t="n">
        <v>0.395</v>
      </c>
      <c r="N875" s="2" t="n">
        <v>8.835000000000001</v>
      </c>
      <c r="O875" s="2" t="n">
        <v>8.679</v>
      </c>
      <c r="P875" s="7" t="n">
        <v>8.75</v>
      </c>
    </row>
    <row r="876">
      <c r="A876" s="8" t="n">
        <v>9.625</v>
      </c>
      <c r="B876" s="1" t="n">
        <v>40</v>
      </c>
      <c r="C876" s="1" t="inlineStr">
        <is>
          <t>L-80</t>
        </is>
      </c>
      <c r="D876" s="1" t="n">
        <v>3090</v>
      </c>
      <c r="E876" s="1" t="n">
        <v>5750</v>
      </c>
      <c r="F876" s="1" t="n"/>
      <c r="G876" s="1" t="n"/>
      <c r="H876" s="1" t="n"/>
      <c r="I876" s="1" t="inlineStr">
        <is>
          <t>LTC</t>
        </is>
      </c>
      <c r="J876" s="1" t="n">
        <v>727</v>
      </c>
      <c r="K876" s="1" t="n"/>
      <c r="L876" s="1" t="n">
        <v>916</v>
      </c>
      <c r="M876" s="1" t="n">
        <v>0.395</v>
      </c>
      <c r="N876" s="1" t="n">
        <v>8.835000000000001</v>
      </c>
      <c r="O876" s="1" t="n">
        <v>8.679</v>
      </c>
      <c r="P876" s="9" t="n">
        <v>8.75</v>
      </c>
    </row>
    <row r="877">
      <c r="A877" s="8" t="n">
        <v>9.625</v>
      </c>
      <c r="B877" s="1" t="n">
        <v>40</v>
      </c>
      <c r="C877" s="1" t="inlineStr">
        <is>
          <t>L-80</t>
        </is>
      </c>
      <c r="D877" s="1" t="n">
        <v>3090</v>
      </c>
      <c r="E877" s="1" t="n">
        <v>5750</v>
      </c>
      <c r="F877" s="1" t="n"/>
      <c r="G877" s="1" t="n"/>
      <c r="H877" s="1" t="n"/>
      <c r="I877" s="1" t="inlineStr">
        <is>
          <t>BTC</t>
        </is>
      </c>
      <c r="J877" s="1" t="n">
        <v>947</v>
      </c>
      <c r="K877" s="1" t="n"/>
      <c r="L877" s="1" t="n">
        <v>916</v>
      </c>
      <c r="M877" s="1" t="n">
        <v>0.395</v>
      </c>
      <c r="N877" s="1" t="n">
        <v>8.835000000000001</v>
      </c>
      <c r="O877" s="1" t="n">
        <v>8.679</v>
      </c>
      <c r="P877" s="9" t="n">
        <v>8.75</v>
      </c>
    </row>
    <row r="878">
      <c r="A878" s="6" t="n">
        <v>9.625</v>
      </c>
      <c r="B878" s="2" t="n">
        <v>40</v>
      </c>
      <c r="C878" s="2" t="inlineStr">
        <is>
          <t>HCL-80</t>
        </is>
      </c>
      <c r="D878" s="2" t="n">
        <v>4230</v>
      </c>
      <c r="E878" s="2" t="n">
        <v>5750</v>
      </c>
      <c r="F878" s="2" t="n"/>
      <c r="G878" s="2" t="n"/>
      <c r="H878" s="2" t="n"/>
      <c r="I878" s="2" t="inlineStr">
        <is>
          <t>LTC</t>
        </is>
      </c>
      <c r="J878" s="2" t="n">
        <v>837</v>
      </c>
      <c r="K878" s="2" t="n"/>
      <c r="L878" s="2" t="n">
        <v>916</v>
      </c>
      <c r="M878" s="2" t="n">
        <v>0.395</v>
      </c>
      <c r="N878" s="2" t="n">
        <v>8.835000000000001</v>
      </c>
      <c r="O878" s="2" t="n">
        <v>8.679</v>
      </c>
      <c r="P878" s="7" t="n">
        <v>8.75</v>
      </c>
    </row>
    <row r="879">
      <c r="A879" s="6" t="n">
        <v>9.625</v>
      </c>
      <c r="B879" s="2" t="n">
        <v>40</v>
      </c>
      <c r="C879" s="2" t="inlineStr">
        <is>
          <t>HCL-80</t>
        </is>
      </c>
      <c r="D879" s="2" t="n">
        <v>4230</v>
      </c>
      <c r="E879" s="2" t="n">
        <v>5750</v>
      </c>
      <c r="F879" s="2" t="n"/>
      <c r="G879" s="2" t="n"/>
      <c r="H879" s="2" t="n"/>
      <c r="I879" s="2" t="inlineStr">
        <is>
          <t>BTC</t>
        </is>
      </c>
      <c r="J879" s="2" t="n">
        <v>1042</v>
      </c>
      <c r="K879" s="2" t="n"/>
      <c r="L879" s="2" t="n">
        <v>916</v>
      </c>
      <c r="M879" s="2" t="n">
        <v>0.395</v>
      </c>
      <c r="N879" s="2" t="n">
        <v>8.835000000000001</v>
      </c>
      <c r="O879" s="2" t="n">
        <v>8.679</v>
      </c>
      <c r="P879" s="7" t="n">
        <v>8.75</v>
      </c>
    </row>
    <row r="880">
      <c r="A880" s="8" t="n">
        <v>9.625</v>
      </c>
      <c r="B880" s="1" t="n">
        <v>40</v>
      </c>
      <c r="C880" s="1" t="inlineStr">
        <is>
          <t>N-80</t>
        </is>
      </c>
      <c r="D880" s="1" t="n">
        <v>3090</v>
      </c>
      <c r="E880" s="1" t="n">
        <v>5750</v>
      </c>
      <c r="F880" s="1" t="n"/>
      <c r="G880" s="1" t="n"/>
      <c r="H880" s="1" t="n"/>
      <c r="I880" s="1" t="inlineStr">
        <is>
          <t>LTC</t>
        </is>
      </c>
      <c r="J880" s="1" t="n">
        <v>737</v>
      </c>
      <c r="K880" s="1" t="n"/>
      <c r="L880" s="1" t="n">
        <v>916</v>
      </c>
      <c r="M880" s="1" t="n">
        <v>0.395</v>
      </c>
      <c r="N880" s="1" t="n">
        <v>8.835000000000001</v>
      </c>
      <c r="O880" s="1" t="n">
        <v>8.679</v>
      </c>
      <c r="P880" s="9" t="n">
        <v>8.75</v>
      </c>
    </row>
    <row r="881">
      <c r="A881" s="8" t="n">
        <v>9.625</v>
      </c>
      <c r="B881" s="1" t="n">
        <v>40</v>
      </c>
      <c r="C881" s="1" t="inlineStr">
        <is>
          <t>N-80</t>
        </is>
      </c>
      <c r="D881" s="1" t="n">
        <v>3090</v>
      </c>
      <c r="E881" s="1" t="n">
        <v>5750</v>
      </c>
      <c r="F881" s="1" t="n"/>
      <c r="G881" s="1" t="n"/>
      <c r="H881" s="1" t="n"/>
      <c r="I881" s="1" t="inlineStr">
        <is>
          <t>BTC</t>
        </is>
      </c>
      <c r="J881" s="1" t="n">
        <v>979</v>
      </c>
      <c r="K881" s="1" t="n"/>
      <c r="L881" s="1" t="n">
        <v>916</v>
      </c>
      <c r="M881" s="1" t="n">
        <v>0.395</v>
      </c>
      <c r="N881" s="1" t="n">
        <v>8.835000000000001</v>
      </c>
      <c r="O881" s="1" t="n">
        <v>8.679</v>
      </c>
      <c r="P881" s="9" t="n">
        <v>8.75</v>
      </c>
    </row>
    <row r="882">
      <c r="A882" s="6" t="n">
        <v>9.625</v>
      </c>
      <c r="B882" s="2" t="n">
        <v>40</v>
      </c>
      <c r="C882" s="2" t="inlineStr">
        <is>
          <t>HCN-80</t>
        </is>
      </c>
      <c r="D882" s="2" t="n">
        <v>4230</v>
      </c>
      <c r="E882" s="2" t="n">
        <v>5750</v>
      </c>
      <c r="F882" s="2" t="n"/>
      <c r="G882" s="2" t="n"/>
      <c r="H882" s="2" t="n"/>
      <c r="I882" s="2" t="inlineStr">
        <is>
          <t>LTC</t>
        </is>
      </c>
      <c r="J882" s="2" t="n">
        <v>837</v>
      </c>
      <c r="K882" s="2" t="n"/>
      <c r="L882" s="2" t="n">
        <v>916</v>
      </c>
      <c r="M882" s="2" t="n">
        <v>0.395</v>
      </c>
      <c r="N882" s="2" t="n">
        <v>8.835000000000001</v>
      </c>
      <c r="O882" s="2" t="n">
        <v>8.679</v>
      </c>
      <c r="P882" s="7" t="n">
        <v>8.75</v>
      </c>
    </row>
    <row r="883">
      <c r="A883" s="6" t="n">
        <v>9.625</v>
      </c>
      <c r="B883" s="2" t="n">
        <v>40</v>
      </c>
      <c r="C883" s="2" t="inlineStr">
        <is>
          <t>HCN-80</t>
        </is>
      </c>
      <c r="D883" s="2" t="n">
        <v>4230</v>
      </c>
      <c r="E883" s="2" t="n">
        <v>5750</v>
      </c>
      <c r="F883" s="2" t="n"/>
      <c r="G883" s="2" t="n"/>
      <c r="H883" s="2" t="n"/>
      <c r="I883" s="2" t="inlineStr">
        <is>
          <t>BTC</t>
        </is>
      </c>
      <c r="J883" s="2" t="n">
        <v>1042</v>
      </c>
      <c r="K883" s="2" t="n"/>
      <c r="L883" s="2" t="n">
        <v>916</v>
      </c>
      <c r="M883" s="2" t="n">
        <v>0.395</v>
      </c>
      <c r="N883" s="2" t="n">
        <v>8.835000000000001</v>
      </c>
      <c r="O883" s="2" t="n">
        <v>8.679</v>
      </c>
      <c r="P883" s="7" t="n">
        <v>8.75</v>
      </c>
    </row>
    <row r="884">
      <c r="A884" s="8" t="n">
        <v>9.625</v>
      </c>
      <c r="B884" s="1" t="n">
        <v>40</v>
      </c>
      <c r="C884" s="1" t="inlineStr">
        <is>
          <t>C-90</t>
        </is>
      </c>
      <c r="D884" s="1" t="n">
        <v>3250</v>
      </c>
      <c r="E884" s="1" t="n">
        <v>6460</v>
      </c>
      <c r="F884" s="1" t="n"/>
      <c r="G884" s="1" t="n"/>
      <c r="H884" s="1" t="n"/>
      <c r="I884" s="1" t="inlineStr">
        <is>
          <t>LTC</t>
        </is>
      </c>
      <c r="J884" s="1" t="n">
        <v>804</v>
      </c>
      <c r="K884" s="1" t="n"/>
      <c r="L884" s="1" t="n">
        <v>1031</v>
      </c>
      <c r="M884" s="1" t="n">
        <v>0.395</v>
      </c>
      <c r="N884" s="1" t="n">
        <v>8.835000000000001</v>
      </c>
      <c r="O884" s="1" t="n">
        <v>8.679</v>
      </c>
      <c r="P884" s="9" t="n">
        <v>8.75</v>
      </c>
    </row>
    <row r="885">
      <c r="A885" s="8" t="n">
        <v>9.625</v>
      </c>
      <c r="B885" s="1" t="n">
        <v>40</v>
      </c>
      <c r="C885" s="1" t="inlineStr">
        <is>
          <t>C-90</t>
        </is>
      </c>
      <c r="D885" s="1" t="n">
        <v>3250</v>
      </c>
      <c r="E885" s="1" t="n">
        <v>6460</v>
      </c>
      <c r="F885" s="1" t="n"/>
      <c r="G885" s="1" t="n"/>
      <c r="H885" s="1" t="n"/>
      <c r="I885" s="1" t="inlineStr">
        <is>
          <t>BTC</t>
        </is>
      </c>
      <c r="J885" s="1" t="n">
        <v>1021</v>
      </c>
      <c r="K885" s="1" t="n"/>
      <c r="L885" s="1" t="n">
        <v>1031</v>
      </c>
      <c r="M885" s="1" t="n">
        <v>0.395</v>
      </c>
      <c r="N885" s="1" t="n">
        <v>8.835000000000001</v>
      </c>
      <c r="O885" s="1" t="n">
        <v>8.679</v>
      </c>
      <c r="P885" s="9" t="n">
        <v>8.75</v>
      </c>
    </row>
    <row r="886">
      <c r="A886" s="6" t="n">
        <v>9.625</v>
      </c>
      <c r="B886" s="2" t="n">
        <v>40</v>
      </c>
      <c r="C886" s="2" t="inlineStr">
        <is>
          <t>H2S-90</t>
        </is>
      </c>
      <c r="D886" s="2" t="n">
        <v>4230</v>
      </c>
      <c r="E886" s="2" t="n">
        <v>6460</v>
      </c>
      <c r="F886" s="2" t="n"/>
      <c r="G886" s="2" t="n"/>
      <c r="H886" s="2" t="n"/>
      <c r="I886" s="2" t="inlineStr">
        <is>
          <t>LTC</t>
        </is>
      </c>
      <c r="J886" s="2" t="n">
        <v>837</v>
      </c>
      <c r="K886" s="2" t="n"/>
      <c r="L886" s="2" t="n">
        <v>1031</v>
      </c>
      <c r="M886" s="2" t="n">
        <v>0.395</v>
      </c>
      <c r="N886" s="2" t="n">
        <v>8.835000000000001</v>
      </c>
      <c r="O886" s="2" t="n">
        <v>8.679</v>
      </c>
      <c r="P886" s="7" t="n">
        <v>8.75</v>
      </c>
    </row>
    <row r="887">
      <c r="A887" s="6" t="n">
        <v>9.625</v>
      </c>
      <c r="B887" s="2" t="n">
        <v>40</v>
      </c>
      <c r="C887" s="2" t="inlineStr">
        <is>
          <t>H2S-90</t>
        </is>
      </c>
      <c r="D887" s="2" t="n">
        <v>4230</v>
      </c>
      <c r="E887" s="2" t="n">
        <v>6460</v>
      </c>
      <c r="F887" s="2" t="n"/>
      <c r="G887" s="2" t="n"/>
      <c r="H887" s="2" t="n"/>
      <c r="I887" s="2" t="inlineStr">
        <is>
          <t>BTC</t>
        </is>
      </c>
      <c r="J887" s="2" t="n">
        <v>1042</v>
      </c>
      <c r="K887" s="2" t="n"/>
      <c r="L887" s="2" t="n">
        <v>1031</v>
      </c>
      <c r="M887" s="2" t="n">
        <v>0.395</v>
      </c>
      <c r="N887" s="2" t="n">
        <v>8.835000000000001</v>
      </c>
      <c r="O887" s="2" t="n">
        <v>8.679</v>
      </c>
      <c r="P887" s="7" t="n">
        <v>8.75</v>
      </c>
    </row>
    <row r="888">
      <c r="A888" s="8" t="n">
        <v>9.625</v>
      </c>
      <c r="B888" s="1" t="n">
        <v>40</v>
      </c>
      <c r="C888" s="1" t="inlineStr">
        <is>
          <t>S-95</t>
        </is>
      </c>
      <c r="D888" s="1" t="n">
        <v>4230</v>
      </c>
      <c r="E888" s="1" t="n">
        <v>6820</v>
      </c>
      <c r="F888" s="1" t="n"/>
      <c r="G888" s="1" t="n"/>
      <c r="H888" s="1" t="n"/>
      <c r="I888" s="1" t="inlineStr">
        <is>
          <t>LTC</t>
        </is>
      </c>
      <c r="J888" s="1" t="n">
        <v>858</v>
      </c>
      <c r="K888" s="1" t="n"/>
      <c r="L888" s="1" t="n">
        <v>1088</v>
      </c>
      <c r="M888" s="1" t="n">
        <v>0.395</v>
      </c>
      <c r="N888" s="1" t="n">
        <v>8.835000000000001</v>
      </c>
      <c r="O888" s="1" t="n">
        <v>8.679</v>
      </c>
      <c r="P888" s="9" t="n">
        <v>8.75</v>
      </c>
    </row>
    <row r="889">
      <c r="A889" s="8" t="n">
        <v>9.625</v>
      </c>
      <c r="B889" s="1" t="n">
        <v>40</v>
      </c>
      <c r="C889" s="1" t="inlineStr">
        <is>
          <t>S-95</t>
        </is>
      </c>
      <c r="D889" s="1" t="n">
        <v>4230</v>
      </c>
      <c r="E889" s="1" t="n">
        <v>6820</v>
      </c>
      <c r="F889" s="1" t="n"/>
      <c r="G889" s="1" t="n"/>
      <c r="H889" s="1" t="n"/>
      <c r="I889" s="1" t="inlineStr">
        <is>
          <t>BTC</t>
        </is>
      </c>
      <c r="J889" s="1" t="n">
        <v>1106</v>
      </c>
      <c r="K889" s="1" t="n"/>
      <c r="L889" s="1" t="n">
        <v>1088</v>
      </c>
      <c r="M889" s="1" t="n">
        <v>0.395</v>
      </c>
      <c r="N889" s="1" t="n">
        <v>8.835000000000001</v>
      </c>
      <c r="O889" s="1" t="n">
        <v>8.679</v>
      </c>
      <c r="P889" s="9" t="n">
        <v>8.75</v>
      </c>
    </row>
    <row r="890">
      <c r="A890" s="6" t="n">
        <v>9.625</v>
      </c>
      <c r="B890" s="2" t="n">
        <v>40</v>
      </c>
      <c r="C890" s="2" t="inlineStr">
        <is>
          <t>T-95</t>
        </is>
      </c>
      <c r="D890" s="2" t="n">
        <v>3320</v>
      </c>
      <c r="E890" s="2" t="n">
        <v>6820</v>
      </c>
      <c r="F890" s="2" t="n"/>
      <c r="G890" s="2" t="n"/>
      <c r="H890" s="2" t="n"/>
      <c r="I890" s="2" t="inlineStr">
        <is>
          <t>LTC</t>
        </is>
      </c>
      <c r="J890" s="2" t="n">
        <v>847</v>
      </c>
      <c r="K890" s="2" t="n"/>
      <c r="L890" s="2" t="n">
        <v>1088</v>
      </c>
      <c r="M890" s="2" t="n">
        <v>0.395</v>
      </c>
      <c r="N890" s="2" t="n">
        <v>8.835000000000001</v>
      </c>
      <c r="O890" s="2" t="n">
        <v>8.679</v>
      </c>
      <c r="P890" s="7" t="n">
        <v>8.75</v>
      </c>
    </row>
    <row r="891">
      <c r="A891" s="6" t="n">
        <v>9.625</v>
      </c>
      <c r="B891" s="2" t="n">
        <v>40</v>
      </c>
      <c r="C891" s="2" t="inlineStr">
        <is>
          <t>T-95</t>
        </is>
      </c>
      <c r="D891" s="2" t="n">
        <v>3320</v>
      </c>
      <c r="E891" s="2" t="n">
        <v>6820</v>
      </c>
      <c r="F891" s="2" t="n"/>
      <c r="G891" s="2" t="n"/>
      <c r="H891" s="2" t="n"/>
      <c r="I891" s="2" t="inlineStr">
        <is>
          <t>BTC</t>
        </is>
      </c>
      <c r="J891" s="2" t="n">
        <v>1074</v>
      </c>
      <c r="K891" s="2" t="n"/>
      <c r="L891" s="2" t="n">
        <v>1088</v>
      </c>
      <c r="M891" s="2" t="n">
        <v>0.395</v>
      </c>
      <c r="N891" s="2" t="n">
        <v>8.835000000000001</v>
      </c>
      <c r="O891" s="2" t="n">
        <v>8.679</v>
      </c>
      <c r="P891" s="7" t="n">
        <v>8.75</v>
      </c>
    </row>
    <row r="892">
      <c r="A892" s="8" t="n">
        <v>9.625</v>
      </c>
      <c r="B892" s="1" t="n">
        <v>40</v>
      </c>
      <c r="C892" s="1" t="inlineStr">
        <is>
          <t>H2S-95</t>
        </is>
      </c>
      <c r="D892" s="1" t="n">
        <v>4230</v>
      </c>
      <c r="E892" s="1" t="n">
        <v>6820</v>
      </c>
      <c r="F892" s="1" t="n"/>
      <c r="G892" s="1" t="n"/>
      <c r="H892" s="1" t="n"/>
      <c r="I892" s="1" t="inlineStr">
        <is>
          <t>LTC</t>
        </is>
      </c>
      <c r="J892" s="1" t="n">
        <v>847</v>
      </c>
      <c r="K892" s="1" t="n"/>
      <c r="L892" s="1" t="n">
        <v>1088</v>
      </c>
      <c r="M892" s="1" t="n">
        <v>0.395</v>
      </c>
      <c r="N892" s="1" t="n">
        <v>8.835000000000001</v>
      </c>
      <c r="O892" s="1" t="n">
        <v>8.679</v>
      </c>
      <c r="P892" s="9" t="n">
        <v>8.75</v>
      </c>
    </row>
    <row r="893">
      <c r="A893" s="8" t="n">
        <v>9.625</v>
      </c>
      <c r="B893" s="1" t="n">
        <v>40</v>
      </c>
      <c r="C893" s="1" t="inlineStr">
        <is>
          <t>H2S-95</t>
        </is>
      </c>
      <c r="D893" s="1" t="n">
        <v>4230</v>
      </c>
      <c r="E893" s="1" t="n">
        <v>6820</v>
      </c>
      <c r="F893" s="1" t="n"/>
      <c r="G893" s="1" t="n"/>
      <c r="H893" s="1" t="n"/>
      <c r="I893" s="1" t="inlineStr">
        <is>
          <t>BTC</t>
        </is>
      </c>
      <c r="J893" s="1" t="n">
        <v>1074</v>
      </c>
      <c r="K893" s="1" t="n"/>
      <c r="L893" s="1" t="n">
        <v>1088</v>
      </c>
      <c r="M893" s="1" t="n">
        <v>0.395</v>
      </c>
      <c r="N893" s="1" t="n">
        <v>8.835000000000001</v>
      </c>
      <c r="O893" s="1" t="n">
        <v>8.679</v>
      </c>
      <c r="P893" s="9" t="n">
        <v>8.75</v>
      </c>
    </row>
    <row r="894">
      <c r="A894" s="6" t="n">
        <v>9.625</v>
      </c>
      <c r="B894" s="2" t="n">
        <v>40</v>
      </c>
      <c r="C894" s="2" t="inlineStr">
        <is>
          <t>C-95</t>
        </is>
      </c>
      <c r="D894" s="2" t="n">
        <v>3320</v>
      </c>
      <c r="E894" s="2" t="n">
        <v>6820</v>
      </c>
      <c r="F894" s="2" t="n"/>
      <c r="G894" s="2" t="n"/>
      <c r="H894" s="2" t="n"/>
      <c r="I894" s="2" t="inlineStr">
        <is>
          <t>LTC</t>
        </is>
      </c>
      <c r="J894" s="2" t="n">
        <v>847</v>
      </c>
      <c r="K894" s="2" t="n"/>
      <c r="L894" s="2" t="n">
        <v>1088</v>
      </c>
      <c r="M894" s="2" t="n">
        <v>0.395</v>
      </c>
      <c r="N894" s="2" t="n">
        <v>8.835000000000001</v>
      </c>
      <c r="O894" s="2" t="n">
        <v>8.679</v>
      </c>
      <c r="P894" s="7" t="n">
        <v>8.75</v>
      </c>
    </row>
    <row r="895">
      <c r="A895" s="6" t="n">
        <v>9.625</v>
      </c>
      <c r="B895" s="2" t="n">
        <v>40</v>
      </c>
      <c r="C895" s="2" t="inlineStr">
        <is>
          <t>C-95</t>
        </is>
      </c>
      <c r="D895" s="2" t="n">
        <v>3320</v>
      </c>
      <c r="E895" s="2" t="n">
        <v>6820</v>
      </c>
      <c r="F895" s="2" t="n"/>
      <c r="G895" s="2" t="n"/>
      <c r="H895" s="2" t="n"/>
      <c r="I895" s="2" t="inlineStr">
        <is>
          <t>BTC</t>
        </is>
      </c>
      <c r="J895" s="2" t="n">
        <v>1074</v>
      </c>
      <c r="K895" s="2" t="n"/>
      <c r="L895" s="2" t="n">
        <v>1088</v>
      </c>
      <c r="M895" s="2" t="n">
        <v>0.395</v>
      </c>
      <c r="N895" s="2" t="n">
        <v>8.835000000000001</v>
      </c>
      <c r="O895" s="2" t="n">
        <v>8.679</v>
      </c>
      <c r="P895" s="7" t="n">
        <v>8.75</v>
      </c>
    </row>
    <row r="896">
      <c r="A896" s="8" t="n">
        <v>9.625</v>
      </c>
      <c r="B896" s="1" t="n">
        <v>43.5</v>
      </c>
      <c r="C896" s="1" t="inlineStr">
        <is>
          <t>L-80</t>
        </is>
      </c>
      <c r="D896" s="1" t="n">
        <v>3810</v>
      </c>
      <c r="E896" s="1" t="n">
        <v>6330</v>
      </c>
      <c r="F896" s="1" t="n"/>
      <c r="G896" s="1" t="n"/>
      <c r="H896" s="1" t="n"/>
      <c r="I896" s="1" t="inlineStr">
        <is>
          <t>LTC</t>
        </is>
      </c>
      <c r="J896" s="1" t="n">
        <v>813</v>
      </c>
      <c r="K896" s="1" t="n"/>
      <c r="L896" s="1" t="n">
        <v>1005</v>
      </c>
      <c r="M896" s="1" t="n">
        <v>0.435</v>
      </c>
      <c r="N896" s="1" t="n">
        <v>8.755000000000001</v>
      </c>
      <c r="O896" s="1" t="n">
        <v>8.599</v>
      </c>
      <c r="P896" s="9" t="n">
        <v>8.625</v>
      </c>
    </row>
    <row r="897">
      <c r="A897" s="8" t="n">
        <v>9.625</v>
      </c>
      <c r="B897" s="1" t="n">
        <v>43.5</v>
      </c>
      <c r="C897" s="1" t="inlineStr">
        <is>
          <t>L-80</t>
        </is>
      </c>
      <c r="D897" s="1" t="n">
        <v>3810</v>
      </c>
      <c r="E897" s="1" t="n">
        <v>6330</v>
      </c>
      <c r="F897" s="1" t="n"/>
      <c r="G897" s="1" t="n"/>
      <c r="H897" s="1" t="n"/>
      <c r="I897" s="1" t="inlineStr">
        <is>
          <t>BTC</t>
        </is>
      </c>
      <c r="J897" s="1" t="n">
        <v>1038</v>
      </c>
      <c r="K897" s="1" t="n"/>
      <c r="L897" s="1" t="n">
        <v>1005</v>
      </c>
      <c r="M897" s="1" t="n">
        <v>0.435</v>
      </c>
      <c r="N897" s="1" t="n">
        <v>8.755000000000001</v>
      </c>
      <c r="O897" s="1" t="n">
        <v>8.599</v>
      </c>
      <c r="P897" s="9" t="n">
        <v>8.625</v>
      </c>
    </row>
    <row r="898">
      <c r="A898" s="6" t="n">
        <v>9.625</v>
      </c>
      <c r="B898" s="2" t="n">
        <v>43.5</v>
      </c>
      <c r="C898" s="2" t="inlineStr">
        <is>
          <t>HCL-80</t>
        </is>
      </c>
      <c r="D898" s="2" t="n">
        <v>5600</v>
      </c>
      <c r="E898" s="2" t="n">
        <v>6330</v>
      </c>
      <c r="F898" s="2" t="n"/>
      <c r="G898" s="2" t="n"/>
      <c r="H898" s="2" t="n"/>
      <c r="I898" s="2" t="inlineStr">
        <is>
          <t>LTC</t>
        </is>
      </c>
      <c r="J898" s="2" t="n">
        <v>936</v>
      </c>
      <c r="K898" s="2" t="n"/>
      <c r="L898" s="2" t="n">
        <v>1005</v>
      </c>
      <c r="M898" s="2" t="n">
        <v>0.435</v>
      </c>
      <c r="N898" s="2" t="n">
        <v>8.755000000000001</v>
      </c>
      <c r="O898" s="2" t="n">
        <v>8.599</v>
      </c>
      <c r="P898" s="7" t="n">
        <v>8.625</v>
      </c>
    </row>
    <row r="899">
      <c r="A899" s="6" t="n">
        <v>9.625</v>
      </c>
      <c r="B899" s="2" t="n">
        <v>43.5</v>
      </c>
      <c r="C899" s="2" t="inlineStr">
        <is>
          <t>HCL-80</t>
        </is>
      </c>
      <c r="D899" s="2" t="n">
        <v>5600</v>
      </c>
      <c r="E899" s="2" t="n">
        <v>6330</v>
      </c>
      <c r="F899" s="2" t="n"/>
      <c r="G899" s="2" t="n"/>
      <c r="H899" s="2" t="n"/>
      <c r="I899" s="2" t="inlineStr">
        <is>
          <t>BTC</t>
        </is>
      </c>
      <c r="J899" s="2" t="n">
        <v>1142</v>
      </c>
      <c r="K899" s="2" t="n"/>
      <c r="L899" s="2" t="n">
        <v>1005</v>
      </c>
      <c r="M899" s="2" t="n">
        <v>0.435</v>
      </c>
      <c r="N899" s="2" t="n">
        <v>8.755000000000001</v>
      </c>
      <c r="O899" s="2" t="n">
        <v>8.599</v>
      </c>
      <c r="P899" s="7" t="n">
        <v>8.625</v>
      </c>
    </row>
    <row r="900">
      <c r="A900" s="8" t="n">
        <v>9.625</v>
      </c>
      <c r="B900" s="1" t="n">
        <v>43.5</v>
      </c>
      <c r="C900" s="1" t="inlineStr">
        <is>
          <t>N-80</t>
        </is>
      </c>
      <c r="D900" s="1" t="n">
        <v>3810</v>
      </c>
      <c r="E900" s="1" t="n">
        <v>6330</v>
      </c>
      <c r="F900" s="1" t="n"/>
      <c r="G900" s="1" t="n"/>
      <c r="H900" s="1" t="n"/>
      <c r="I900" s="1" t="inlineStr">
        <is>
          <t>LTC</t>
        </is>
      </c>
      <c r="J900" s="1" t="n">
        <v>825</v>
      </c>
      <c r="K900" s="1" t="n"/>
      <c r="L900" s="1" t="n">
        <v>1005</v>
      </c>
      <c r="M900" s="1" t="n">
        <v>0.435</v>
      </c>
      <c r="N900" s="1" t="n">
        <v>8.755000000000001</v>
      </c>
      <c r="O900" s="1" t="n">
        <v>8.599</v>
      </c>
      <c r="P900" s="9" t="n">
        <v>8.625</v>
      </c>
    </row>
    <row r="901">
      <c r="A901" s="8" t="n">
        <v>9.625</v>
      </c>
      <c r="B901" s="1" t="n">
        <v>43.5</v>
      </c>
      <c r="C901" s="1" t="inlineStr">
        <is>
          <t>N-80</t>
        </is>
      </c>
      <c r="D901" s="1" t="n">
        <v>3810</v>
      </c>
      <c r="E901" s="1" t="n">
        <v>6330</v>
      </c>
      <c r="F901" s="1" t="n"/>
      <c r="G901" s="1" t="n"/>
      <c r="H901" s="1" t="n"/>
      <c r="I901" s="1" t="inlineStr">
        <is>
          <t>BTC</t>
        </is>
      </c>
      <c r="J901" s="1" t="n">
        <v>1074</v>
      </c>
      <c r="K901" s="1" t="n"/>
      <c r="L901" s="1" t="n">
        <v>1005</v>
      </c>
      <c r="M901" s="1" t="n">
        <v>0.435</v>
      </c>
      <c r="N901" s="1" t="n">
        <v>8.755000000000001</v>
      </c>
      <c r="O901" s="1" t="n">
        <v>8.599</v>
      </c>
      <c r="P901" s="9" t="n">
        <v>8.625</v>
      </c>
    </row>
    <row r="902">
      <c r="A902" s="6" t="n">
        <v>9.625</v>
      </c>
      <c r="B902" s="2" t="n">
        <v>43.5</v>
      </c>
      <c r="C902" s="2" t="inlineStr">
        <is>
          <t>HCN-80</t>
        </is>
      </c>
      <c r="D902" s="2" t="n">
        <v>5600</v>
      </c>
      <c r="E902" s="2" t="n">
        <v>6330</v>
      </c>
      <c r="F902" s="2" t="n"/>
      <c r="G902" s="2" t="n"/>
      <c r="H902" s="2" t="n"/>
      <c r="I902" s="2" t="inlineStr">
        <is>
          <t>LTC</t>
        </is>
      </c>
      <c r="J902" s="2" t="n">
        <v>936</v>
      </c>
      <c r="K902" s="2" t="n"/>
      <c r="L902" s="2" t="n">
        <v>1005</v>
      </c>
      <c r="M902" s="2" t="n">
        <v>0.435</v>
      </c>
      <c r="N902" s="2" t="n">
        <v>8.755000000000001</v>
      </c>
      <c r="O902" s="2" t="n">
        <v>8.599</v>
      </c>
      <c r="P902" s="7" t="n">
        <v>8.625</v>
      </c>
    </row>
    <row r="903">
      <c r="A903" s="6" t="n">
        <v>9.625</v>
      </c>
      <c r="B903" s="2" t="n">
        <v>43.5</v>
      </c>
      <c r="C903" s="2" t="inlineStr">
        <is>
          <t>HCN-80</t>
        </is>
      </c>
      <c r="D903" s="2" t="n">
        <v>5600</v>
      </c>
      <c r="E903" s="2" t="n">
        <v>6330</v>
      </c>
      <c r="F903" s="2" t="n"/>
      <c r="G903" s="2" t="n"/>
      <c r="H903" s="2" t="n"/>
      <c r="I903" s="2" t="inlineStr">
        <is>
          <t>BTC</t>
        </is>
      </c>
      <c r="J903" s="2" t="n">
        <v>1142</v>
      </c>
      <c r="K903" s="2" t="n"/>
      <c r="L903" s="2" t="n">
        <v>1005</v>
      </c>
      <c r="M903" s="2" t="n">
        <v>0.435</v>
      </c>
      <c r="N903" s="2" t="n">
        <v>8.755000000000001</v>
      </c>
      <c r="O903" s="2" t="n">
        <v>8.599</v>
      </c>
      <c r="P903" s="7" t="n">
        <v>8.625</v>
      </c>
    </row>
    <row r="904">
      <c r="A904" s="8" t="n">
        <v>9.625</v>
      </c>
      <c r="B904" s="1" t="n">
        <v>43.5</v>
      </c>
      <c r="C904" s="1" t="inlineStr">
        <is>
          <t>C-90</t>
        </is>
      </c>
      <c r="D904" s="1" t="n">
        <v>4010</v>
      </c>
      <c r="E904" s="1" t="n">
        <v>7120</v>
      </c>
      <c r="F904" s="1" t="n"/>
      <c r="G904" s="1" t="n"/>
      <c r="H904" s="1" t="n"/>
      <c r="I904" s="1" t="inlineStr">
        <is>
          <t>LTC</t>
        </is>
      </c>
      <c r="J904" s="1" t="n">
        <v>899</v>
      </c>
      <c r="K904" s="1" t="n"/>
      <c r="L904" s="1" t="n">
        <v>1130</v>
      </c>
      <c r="M904" s="1" t="n">
        <v>0.435</v>
      </c>
      <c r="N904" s="1" t="n">
        <v>8.755000000000001</v>
      </c>
      <c r="O904" s="1" t="n">
        <v>8.599</v>
      </c>
      <c r="P904" s="9" t="n"/>
    </row>
    <row r="905">
      <c r="A905" s="8" t="n">
        <v>9.625</v>
      </c>
      <c r="B905" s="1" t="n">
        <v>43.5</v>
      </c>
      <c r="C905" s="1" t="inlineStr">
        <is>
          <t>C-90</t>
        </is>
      </c>
      <c r="D905" s="1" t="n">
        <v>4010</v>
      </c>
      <c r="E905" s="1" t="n">
        <v>7120</v>
      </c>
      <c r="F905" s="1" t="n"/>
      <c r="G905" s="1" t="n"/>
      <c r="H905" s="1" t="n"/>
      <c r="I905" s="1" t="inlineStr">
        <is>
          <t>BTC</t>
        </is>
      </c>
      <c r="J905" s="1" t="n">
        <v>1119</v>
      </c>
      <c r="K905" s="1" t="n"/>
      <c r="L905" s="1" t="n">
        <v>1130</v>
      </c>
      <c r="M905" s="1" t="n">
        <v>0.435</v>
      </c>
      <c r="N905" s="1" t="n">
        <v>8.755000000000001</v>
      </c>
      <c r="O905" s="1" t="n">
        <v>8.599</v>
      </c>
      <c r="P905" s="9" t="n"/>
    </row>
    <row r="906">
      <c r="A906" s="6" t="n">
        <v>9.625</v>
      </c>
      <c r="B906" s="2" t="n">
        <v>43.5</v>
      </c>
      <c r="C906" s="2" t="inlineStr">
        <is>
          <t>H2S-90</t>
        </is>
      </c>
      <c r="D906" s="2" t="n">
        <v>5600</v>
      </c>
      <c r="E906" s="2" t="n">
        <v>7120</v>
      </c>
      <c r="F906" s="2" t="n"/>
      <c r="G906" s="2" t="n"/>
      <c r="H906" s="2" t="n"/>
      <c r="I906" s="2" t="inlineStr">
        <is>
          <t>LTC</t>
        </is>
      </c>
      <c r="J906" s="2" t="n">
        <v>936</v>
      </c>
      <c r="K906" s="2" t="n"/>
      <c r="L906" s="2" t="n">
        <v>1130</v>
      </c>
      <c r="M906" s="2" t="n">
        <v>0.435</v>
      </c>
      <c r="N906" s="2" t="n">
        <v>8.755000000000001</v>
      </c>
      <c r="O906" s="2" t="n">
        <v>8.599</v>
      </c>
      <c r="P906" s="7" t="n">
        <v>8.625</v>
      </c>
    </row>
    <row r="907">
      <c r="A907" s="6" t="n">
        <v>9.625</v>
      </c>
      <c r="B907" s="2" t="n">
        <v>43.5</v>
      </c>
      <c r="C907" s="2" t="inlineStr">
        <is>
          <t>H2S-90</t>
        </is>
      </c>
      <c r="D907" s="2" t="n">
        <v>5600</v>
      </c>
      <c r="E907" s="2" t="n">
        <v>7120</v>
      </c>
      <c r="F907" s="2" t="n"/>
      <c r="G907" s="2" t="n"/>
      <c r="H907" s="2" t="n"/>
      <c r="I907" s="2" t="inlineStr">
        <is>
          <t>BTC</t>
        </is>
      </c>
      <c r="J907" s="2" t="n">
        <v>1142</v>
      </c>
      <c r="K907" s="2" t="n"/>
      <c r="L907" s="2" t="n">
        <v>1130</v>
      </c>
      <c r="M907" s="2" t="n">
        <v>0.435</v>
      </c>
      <c r="N907" s="2" t="n">
        <v>8.755000000000001</v>
      </c>
      <c r="O907" s="2" t="n">
        <v>8.599</v>
      </c>
      <c r="P907" s="7" t="n">
        <v>8.625</v>
      </c>
    </row>
    <row r="908">
      <c r="A908" s="8" t="n">
        <v>9.625</v>
      </c>
      <c r="B908" s="1" t="n">
        <v>43.5</v>
      </c>
      <c r="C908" s="1" t="inlineStr">
        <is>
          <t>S-95</t>
        </is>
      </c>
      <c r="D908" s="1" t="n">
        <v>5600</v>
      </c>
      <c r="E908" s="1" t="n">
        <v>7510</v>
      </c>
      <c r="F908" s="1" t="n"/>
      <c r="G908" s="1" t="n"/>
      <c r="H908" s="1" t="n"/>
      <c r="I908" s="1" t="inlineStr">
        <is>
          <t>LTC</t>
        </is>
      </c>
      <c r="J908" s="1" t="n">
        <v>959</v>
      </c>
      <c r="K908" s="1" t="n"/>
      <c r="L908" s="1" t="n">
        <v>1193</v>
      </c>
      <c r="M908" s="1" t="n">
        <v>0.435</v>
      </c>
      <c r="N908" s="1" t="n">
        <v>8.755000000000001</v>
      </c>
      <c r="O908" s="1" t="n">
        <v>8.599</v>
      </c>
      <c r="P908" s="9" t="n">
        <v>8.625</v>
      </c>
    </row>
    <row r="909">
      <c r="A909" s="8" t="n">
        <v>9.625</v>
      </c>
      <c r="B909" s="1" t="n">
        <v>43.5</v>
      </c>
      <c r="C909" s="1" t="inlineStr">
        <is>
          <t>S-95</t>
        </is>
      </c>
      <c r="D909" s="1" t="n">
        <v>5600</v>
      </c>
      <c r="E909" s="1" t="n">
        <v>7510</v>
      </c>
      <c r="F909" s="1" t="n"/>
      <c r="G909" s="1" t="n"/>
      <c r="H909" s="1" t="n"/>
      <c r="I909" s="1" t="inlineStr">
        <is>
          <t>BTC</t>
        </is>
      </c>
      <c r="J909" s="1" t="n">
        <v>1213</v>
      </c>
      <c r="K909" s="1" t="n"/>
      <c r="L909" s="1" t="n">
        <v>1193</v>
      </c>
      <c r="M909" s="1" t="n">
        <v>0.435</v>
      </c>
      <c r="N909" s="1" t="n">
        <v>8.755000000000001</v>
      </c>
      <c r="O909" s="1" t="n">
        <v>8.599</v>
      </c>
      <c r="P909" s="9" t="n">
        <v>8.625</v>
      </c>
    </row>
    <row r="910">
      <c r="A910" s="6" t="n">
        <v>9.625</v>
      </c>
      <c r="B910" s="2" t="n">
        <v>43.5</v>
      </c>
      <c r="C910" s="2" t="inlineStr">
        <is>
          <t>T-95</t>
        </is>
      </c>
      <c r="D910" s="2" t="n">
        <v>4120</v>
      </c>
      <c r="E910" s="2" t="n">
        <v>7510</v>
      </c>
      <c r="F910" s="2" t="n"/>
      <c r="G910" s="2" t="n"/>
      <c r="H910" s="2" t="n"/>
      <c r="I910" s="2" t="inlineStr">
        <is>
          <t>LTC</t>
        </is>
      </c>
      <c r="J910" s="2" t="n">
        <v>948</v>
      </c>
      <c r="K910" s="2" t="n"/>
      <c r="L910" s="2" t="n">
        <v>1193</v>
      </c>
      <c r="M910" s="2" t="n">
        <v>0.435</v>
      </c>
      <c r="N910" s="2" t="n">
        <v>8.755000000000001</v>
      </c>
      <c r="O910" s="2" t="n">
        <v>8.599</v>
      </c>
      <c r="P910" s="7" t="n"/>
    </row>
    <row r="911">
      <c r="A911" s="6" t="n">
        <v>9.625</v>
      </c>
      <c r="B911" s="2" t="n">
        <v>43.5</v>
      </c>
      <c r="C911" s="2" t="inlineStr">
        <is>
          <t>T-95</t>
        </is>
      </c>
      <c r="D911" s="2" t="n">
        <v>4120</v>
      </c>
      <c r="E911" s="2" t="n">
        <v>7510</v>
      </c>
      <c r="F911" s="2" t="n"/>
      <c r="G911" s="2" t="n"/>
      <c r="H911" s="2" t="n"/>
      <c r="I911" s="2" t="inlineStr">
        <is>
          <t>BTC</t>
        </is>
      </c>
      <c r="J911" s="2" t="n">
        <v>1178</v>
      </c>
      <c r="K911" s="2" t="n"/>
      <c r="L911" s="2" t="n">
        <v>1193</v>
      </c>
      <c r="M911" s="2" t="n">
        <v>0.435</v>
      </c>
      <c r="N911" s="2" t="n">
        <v>8.755000000000001</v>
      </c>
      <c r="O911" s="2" t="n">
        <v>8.599</v>
      </c>
      <c r="P911" s="7" t="n"/>
    </row>
    <row r="912">
      <c r="A912" s="8" t="n">
        <v>9.625</v>
      </c>
      <c r="B912" s="1" t="n">
        <v>43.5</v>
      </c>
      <c r="C912" s="1" t="inlineStr">
        <is>
          <t>H2S-95</t>
        </is>
      </c>
      <c r="D912" s="1" t="n">
        <v>5600</v>
      </c>
      <c r="E912" s="1" t="n">
        <v>7510</v>
      </c>
      <c r="F912" s="1" t="n"/>
      <c r="G912" s="1" t="n"/>
      <c r="H912" s="1" t="n"/>
      <c r="I912" s="1" t="inlineStr">
        <is>
          <t>LTC</t>
        </is>
      </c>
      <c r="J912" s="1" t="n">
        <v>948</v>
      </c>
      <c r="K912" s="1" t="n"/>
      <c r="L912" s="1" t="n">
        <v>1193</v>
      </c>
      <c r="M912" s="1" t="n">
        <v>0.435</v>
      </c>
      <c r="N912" s="1" t="n">
        <v>8.755000000000001</v>
      </c>
      <c r="O912" s="1" t="n">
        <v>8.599</v>
      </c>
      <c r="P912" s="9" t="n">
        <v>8.625</v>
      </c>
    </row>
    <row r="913">
      <c r="A913" s="8" t="n">
        <v>9.625</v>
      </c>
      <c r="B913" s="1" t="n">
        <v>43.5</v>
      </c>
      <c r="C913" s="1" t="inlineStr">
        <is>
          <t>H2S-95</t>
        </is>
      </c>
      <c r="D913" s="1" t="n">
        <v>5600</v>
      </c>
      <c r="E913" s="1" t="n">
        <v>7510</v>
      </c>
      <c r="F913" s="1" t="n"/>
      <c r="G913" s="1" t="n"/>
      <c r="H913" s="1" t="n"/>
      <c r="I913" s="1" t="inlineStr">
        <is>
          <t>BTC</t>
        </is>
      </c>
      <c r="J913" s="1" t="n">
        <v>1178</v>
      </c>
      <c r="K913" s="1" t="n"/>
      <c r="L913" s="1" t="n">
        <v>1193</v>
      </c>
      <c r="M913" s="1" t="n">
        <v>0.435</v>
      </c>
      <c r="N913" s="1" t="n">
        <v>8.755000000000001</v>
      </c>
      <c r="O913" s="1" t="n">
        <v>8.599</v>
      </c>
      <c r="P913" s="9" t="n">
        <v>8.625</v>
      </c>
    </row>
    <row r="914">
      <c r="A914" s="6" t="n">
        <v>9.625</v>
      </c>
      <c r="B914" s="2" t="n">
        <v>43.5</v>
      </c>
      <c r="C914" s="2" t="inlineStr">
        <is>
          <t>C-95</t>
        </is>
      </c>
      <c r="D914" s="2" t="n">
        <v>4120</v>
      </c>
      <c r="E914" s="2" t="n">
        <v>7510</v>
      </c>
      <c r="F914" s="2" t="n"/>
      <c r="G914" s="2" t="n"/>
      <c r="H914" s="2" t="n"/>
      <c r="I914" s="2" t="inlineStr">
        <is>
          <t>LTC</t>
        </is>
      </c>
      <c r="J914" s="2" t="n">
        <v>948</v>
      </c>
      <c r="K914" s="2" t="n"/>
      <c r="L914" s="2" t="n">
        <v>1193</v>
      </c>
      <c r="M914" s="2" t="n">
        <v>0.435</v>
      </c>
      <c r="N914" s="2" t="n">
        <v>8.755000000000001</v>
      </c>
      <c r="O914" s="2" t="n">
        <v>8.599</v>
      </c>
      <c r="P914" s="7" t="n">
        <v>8.625</v>
      </c>
    </row>
    <row r="915">
      <c r="A915" s="6" t="n">
        <v>9.625</v>
      </c>
      <c r="B915" s="2" t="n">
        <v>43.5</v>
      </c>
      <c r="C915" s="2" t="inlineStr">
        <is>
          <t>C-95</t>
        </is>
      </c>
      <c r="D915" s="2" t="n">
        <v>4120</v>
      </c>
      <c r="E915" s="2" t="n">
        <v>7510</v>
      </c>
      <c r="F915" s="2" t="n"/>
      <c r="G915" s="2" t="n"/>
      <c r="H915" s="2" t="n"/>
      <c r="I915" s="2" t="inlineStr">
        <is>
          <t>BTC</t>
        </is>
      </c>
      <c r="J915" s="2" t="n">
        <v>1178</v>
      </c>
      <c r="K915" s="2" t="n"/>
      <c r="L915" s="2" t="n">
        <v>1193</v>
      </c>
      <c r="M915" s="2" t="n">
        <v>0.435</v>
      </c>
      <c r="N915" s="2" t="n">
        <v>8.755000000000001</v>
      </c>
      <c r="O915" s="2" t="n">
        <v>8.599</v>
      </c>
      <c r="P915" s="7" t="n">
        <v>8.625</v>
      </c>
    </row>
    <row r="916">
      <c r="A916" s="8" t="n">
        <v>9.625</v>
      </c>
      <c r="B916" s="1" t="n">
        <v>43.5</v>
      </c>
      <c r="C916" s="1" t="inlineStr">
        <is>
          <t>HCP-110</t>
        </is>
      </c>
      <c r="D916" s="1" t="n">
        <v>5600</v>
      </c>
      <c r="E916" s="1" t="n">
        <v>8700</v>
      </c>
      <c r="F916" s="1" t="n"/>
      <c r="G916" s="1" t="n"/>
      <c r="H916" s="1" t="n"/>
      <c r="I916" s="1" t="inlineStr">
        <is>
          <t>LTC</t>
        </is>
      </c>
      <c r="J916" s="1" t="n">
        <v>1106</v>
      </c>
      <c r="K916" s="1" t="n"/>
      <c r="L916" s="1" t="n">
        <v>1381</v>
      </c>
      <c r="M916" s="1" t="n">
        <v>0.435</v>
      </c>
      <c r="N916" s="1" t="n">
        <v>8.755000000000001</v>
      </c>
      <c r="O916" s="1" t="n">
        <v>8.599</v>
      </c>
      <c r="P916" s="9" t="n">
        <v>8.625</v>
      </c>
    </row>
    <row r="917">
      <c r="A917" s="8" t="n">
        <v>9.625</v>
      </c>
      <c r="B917" s="1" t="n">
        <v>43.5</v>
      </c>
      <c r="C917" s="1" t="inlineStr">
        <is>
          <t>HCP-110</t>
        </is>
      </c>
      <c r="D917" s="1" t="n">
        <v>5600</v>
      </c>
      <c r="E917" s="1" t="n">
        <v>8700</v>
      </c>
      <c r="F917" s="1" t="n"/>
      <c r="G917" s="1" t="n"/>
      <c r="H917" s="1" t="n"/>
      <c r="I917" s="1" t="inlineStr">
        <is>
          <t>BTC</t>
        </is>
      </c>
      <c r="J917" s="1" t="n">
        <v>1388</v>
      </c>
      <c r="K917" s="1" t="n"/>
      <c r="L917" s="1" t="n">
        <v>1381</v>
      </c>
      <c r="M917" s="1" t="n">
        <v>0.435</v>
      </c>
      <c r="N917" s="1" t="n">
        <v>8.755000000000001</v>
      </c>
      <c r="O917" s="1" t="n">
        <v>8.599</v>
      </c>
      <c r="P917" s="9" t="n">
        <v>8.625</v>
      </c>
    </row>
    <row r="918">
      <c r="A918" s="6" t="n">
        <v>9.625</v>
      </c>
      <c r="B918" s="2" t="n">
        <v>43.5</v>
      </c>
      <c r="C918" s="2" t="inlineStr">
        <is>
          <t>P-110</t>
        </is>
      </c>
      <c r="D918" s="2" t="n">
        <v>4420</v>
      </c>
      <c r="E918" s="2" t="n">
        <v>8700</v>
      </c>
      <c r="F918" s="2" t="n"/>
      <c r="G918" s="2" t="n"/>
      <c r="H918" s="2" t="n"/>
      <c r="I918" s="2" t="inlineStr">
        <is>
          <t>LTC</t>
        </is>
      </c>
      <c r="J918" s="2" t="n">
        <v>1106</v>
      </c>
      <c r="K918" s="2" t="n"/>
      <c r="L918" s="2" t="n">
        <v>1381</v>
      </c>
      <c r="M918" s="2" t="n">
        <v>0.435</v>
      </c>
      <c r="N918" s="2" t="n">
        <v>8.755000000000001</v>
      </c>
      <c r="O918" s="2" t="n">
        <v>8.599</v>
      </c>
      <c r="P918" s="7" t="n">
        <v>8.625</v>
      </c>
    </row>
    <row r="919">
      <c r="A919" s="6" t="n">
        <v>9.625</v>
      </c>
      <c r="B919" s="2" t="n">
        <v>43.5</v>
      </c>
      <c r="C919" s="2" t="inlineStr">
        <is>
          <t>P-110</t>
        </is>
      </c>
      <c r="D919" s="2" t="n">
        <v>4420</v>
      </c>
      <c r="E919" s="2" t="n">
        <v>8700</v>
      </c>
      <c r="F919" s="2" t="n"/>
      <c r="G919" s="2" t="n"/>
      <c r="H919" s="2" t="n"/>
      <c r="I919" s="2" t="inlineStr">
        <is>
          <t>BTC</t>
        </is>
      </c>
      <c r="J919" s="2" t="n">
        <v>1388</v>
      </c>
      <c r="K919" s="2" t="n"/>
      <c r="L919" s="2" t="n">
        <v>1381</v>
      </c>
      <c r="M919" s="2" t="n">
        <v>0.435</v>
      </c>
      <c r="N919" s="2" t="n">
        <v>8.755000000000001</v>
      </c>
      <c r="O919" s="2" t="n">
        <v>8.599</v>
      </c>
      <c r="P919" s="7" t="n">
        <v>8.625</v>
      </c>
    </row>
    <row r="920">
      <c r="A920" s="8" t="n">
        <v>9.625</v>
      </c>
      <c r="B920" s="1" t="n">
        <v>43.5</v>
      </c>
      <c r="C920" s="1" t="inlineStr">
        <is>
          <t>HCQ-125</t>
        </is>
      </c>
      <c r="D920" s="1" t="n">
        <v>5600</v>
      </c>
      <c r="E920" s="1" t="n">
        <v>9890</v>
      </c>
      <c r="F920" s="1" t="n"/>
      <c r="G920" s="1" t="n"/>
      <c r="H920" s="1" t="n"/>
      <c r="I920" s="1" t="inlineStr">
        <is>
          <t>LTC</t>
        </is>
      </c>
      <c r="J920" s="1" t="n">
        <v>1240</v>
      </c>
      <c r="K920" s="1" t="n"/>
      <c r="L920" s="1" t="n">
        <v>1570</v>
      </c>
      <c r="M920" s="1" t="n">
        <v>0.435</v>
      </c>
      <c r="N920" s="1" t="n">
        <v>8.755000000000001</v>
      </c>
      <c r="O920" s="1" t="n">
        <v>8.599</v>
      </c>
      <c r="P920" s="9" t="n">
        <v>8.625</v>
      </c>
    </row>
    <row r="921">
      <c r="A921" s="8" t="n">
        <v>9.625</v>
      </c>
      <c r="B921" s="1" t="n">
        <v>43.5</v>
      </c>
      <c r="C921" s="1" t="inlineStr">
        <is>
          <t>HCQ-125</t>
        </is>
      </c>
      <c r="D921" s="1" t="n">
        <v>5600</v>
      </c>
      <c r="E921" s="1" t="n">
        <v>9890</v>
      </c>
      <c r="F921" s="1" t="n"/>
      <c r="G921" s="1" t="n"/>
      <c r="H921" s="1" t="n"/>
      <c r="I921" s="1" t="inlineStr">
        <is>
          <t>BTC</t>
        </is>
      </c>
      <c r="J921" s="1" t="n">
        <v>1527</v>
      </c>
      <c r="K921" s="1" t="n"/>
      <c r="L921" s="1" t="n">
        <v>1570</v>
      </c>
      <c r="M921" s="1" t="n">
        <v>0.435</v>
      </c>
      <c r="N921" s="1" t="n">
        <v>8.755000000000001</v>
      </c>
      <c r="O921" s="1" t="n">
        <v>8.599</v>
      </c>
      <c r="P921" s="9" t="n">
        <v>8.625</v>
      </c>
    </row>
    <row r="922">
      <c r="A922" s="6" t="n">
        <v>9.625</v>
      </c>
      <c r="B922" s="2" t="n">
        <v>43.5</v>
      </c>
      <c r="C922" s="2" t="inlineStr">
        <is>
          <t>Q-125</t>
        </is>
      </c>
      <c r="D922" s="2" t="n">
        <v>4620</v>
      </c>
      <c r="E922" s="2" t="n">
        <v>9890</v>
      </c>
      <c r="F922" s="2" t="n"/>
      <c r="G922" s="2" t="n"/>
      <c r="H922" s="2" t="n"/>
      <c r="I922" s="2" t="inlineStr">
        <is>
          <t>LTC</t>
        </is>
      </c>
      <c r="J922" s="2" t="n">
        <v>1240</v>
      </c>
      <c r="K922" s="2" t="n"/>
      <c r="L922" s="2" t="n">
        <v>1570</v>
      </c>
      <c r="M922" s="2" t="n">
        <v>0.435</v>
      </c>
      <c r="N922" s="2" t="n">
        <v>8.755000000000001</v>
      </c>
      <c r="O922" s="2" t="n">
        <v>8.599</v>
      </c>
      <c r="P922" s="7" t="n">
        <v>8.625</v>
      </c>
    </row>
    <row r="923">
      <c r="A923" s="6" t="n">
        <v>9.625</v>
      </c>
      <c r="B923" s="2" t="n">
        <v>43.5</v>
      </c>
      <c r="C923" s="2" t="inlineStr">
        <is>
          <t>Q-125</t>
        </is>
      </c>
      <c r="D923" s="2" t="n">
        <v>4620</v>
      </c>
      <c r="E923" s="2" t="n">
        <v>9890</v>
      </c>
      <c r="F923" s="2" t="n"/>
      <c r="G923" s="2" t="n"/>
      <c r="H923" s="2" t="n"/>
      <c r="I923" s="2" t="inlineStr">
        <is>
          <t>BTC</t>
        </is>
      </c>
      <c r="J923" s="2" t="n">
        <v>1527</v>
      </c>
      <c r="K923" s="2" t="n"/>
      <c r="L923" s="2" t="n">
        <v>1570</v>
      </c>
      <c r="M923" s="2" t="n">
        <v>0.435</v>
      </c>
      <c r="N923" s="2" t="n">
        <v>8.755000000000001</v>
      </c>
      <c r="O923" s="2" t="n">
        <v>8.599</v>
      </c>
      <c r="P923" s="7" t="n">
        <v>8.625</v>
      </c>
    </row>
    <row r="924">
      <c r="A924" s="8" t="n">
        <v>9.625</v>
      </c>
      <c r="B924" s="1" t="n">
        <v>47</v>
      </c>
      <c r="C924" s="1" t="inlineStr">
        <is>
          <t>L-80</t>
        </is>
      </c>
      <c r="D924" s="1" t="n">
        <v>4760</v>
      </c>
      <c r="E924" s="1" t="n">
        <v>6870</v>
      </c>
      <c r="F924" s="1" t="n"/>
      <c r="G924" s="1" t="n"/>
      <c r="H924" s="1" t="n"/>
      <c r="I924" s="1" t="inlineStr">
        <is>
          <t>LTC</t>
        </is>
      </c>
      <c r="J924" s="1" t="n">
        <v>893</v>
      </c>
      <c r="K924" s="1" t="n"/>
      <c r="L924" s="1" t="n">
        <v>1086</v>
      </c>
      <c r="M924" s="1" t="n">
        <v>0.472</v>
      </c>
      <c r="N924" s="1" t="n">
        <v>8.680999999999999</v>
      </c>
      <c r="O924" s="1" t="n">
        <v>8.525</v>
      </c>
      <c r="P924" s="9" t="n">
        <v>8.625</v>
      </c>
    </row>
    <row r="925">
      <c r="A925" s="8" t="n">
        <v>9.625</v>
      </c>
      <c r="B925" s="1" t="n">
        <v>47</v>
      </c>
      <c r="C925" s="1" t="inlineStr">
        <is>
          <t>L-80</t>
        </is>
      </c>
      <c r="D925" s="1" t="n">
        <v>4760</v>
      </c>
      <c r="E925" s="1" t="n">
        <v>6870</v>
      </c>
      <c r="F925" s="1" t="n"/>
      <c r="G925" s="1" t="n"/>
      <c r="H925" s="1" t="n"/>
      <c r="I925" s="1" t="inlineStr">
        <is>
          <t>BTC</t>
        </is>
      </c>
      <c r="J925" s="1" t="n">
        <v>1122</v>
      </c>
      <c r="K925" s="1" t="n"/>
      <c r="L925" s="1" t="n">
        <v>1086</v>
      </c>
      <c r="M925" s="1" t="n">
        <v>0.472</v>
      </c>
      <c r="N925" s="1" t="n">
        <v>8.680999999999999</v>
      </c>
      <c r="O925" s="1" t="n">
        <v>8.525</v>
      </c>
      <c r="P925" s="9" t="n">
        <v>8.625</v>
      </c>
    </row>
    <row r="926">
      <c r="A926" s="6" t="n">
        <v>9.625</v>
      </c>
      <c r="B926" s="2" t="n">
        <v>47</v>
      </c>
      <c r="C926" s="2" t="inlineStr">
        <is>
          <t>HCL-80</t>
        </is>
      </c>
      <c r="D926" s="2" t="n">
        <v>7100</v>
      </c>
      <c r="E926" s="2" t="n">
        <v>6870</v>
      </c>
      <c r="F926" s="2" t="n"/>
      <c r="G926" s="2" t="n"/>
      <c r="H926" s="2" t="n"/>
      <c r="I926" s="2" t="inlineStr">
        <is>
          <t>LTC</t>
        </is>
      </c>
      <c r="J926" s="2" t="n">
        <v>1027</v>
      </c>
      <c r="K926" s="2" t="n"/>
      <c r="L926" s="2" t="n">
        <v>1086</v>
      </c>
      <c r="M926" s="2" t="n">
        <v>0.472</v>
      </c>
      <c r="N926" s="2" t="n">
        <v>8.680999999999999</v>
      </c>
      <c r="O926" s="2" t="n">
        <v>8.525</v>
      </c>
      <c r="P926" s="7" t="n">
        <v>8.625</v>
      </c>
    </row>
    <row r="927">
      <c r="A927" s="6" t="n">
        <v>9.625</v>
      </c>
      <c r="B927" s="2" t="n">
        <v>47</v>
      </c>
      <c r="C927" s="2" t="inlineStr">
        <is>
          <t>HCL-80</t>
        </is>
      </c>
      <c r="D927" s="2" t="n">
        <v>7100</v>
      </c>
      <c r="E927" s="2" t="n">
        <v>6870</v>
      </c>
      <c r="F927" s="2" t="n"/>
      <c r="G927" s="2" t="n"/>
      <c r="H927" s="2" t="n"/>
      <c r="I927" s="2" t="inlineStr">
        <is>
          <t>BTC</t>
        </is>
      </c>
      <c r="J927" s="2" t="n">
        <v>1234</v>
      </c>
      <c r="K927" s="2" t="n"/>
      <c r="L927" s="2" t="n">
        <v>1086</v>
      </c>
      <c r="M927" s="2" t="n">
        <v>0.472</v>
      </c>
      <c r="N927" s="2" t="n">
        <v>8.680999999999999</v>
      </c>
      <c r="O927" s="2" t="n">
        <v>8.525</v>
      </c>
      <c r="P927" s="7" t="n">
        <v>8.625</v>
      </c>
    </row>
    <row r="928">
      <c r="A928" s="8" t="n">
        <v>9.625</v>
      </c>
      <c r="B928" s="1" t="n">
        <v>47</v>
      </c>
      <c r="C928" s="1" t="inlineStr">
        <is>
          <t>N-80</t>
        </is>
      </c>
      <c r="D928" s="1" t="n">
        <v>4760</v>
      </c>
      <c r="E928" s="1" t="n">
        <v>6870</v>
      </c>
      <c r="F928" s="1" t="n"/>
      <c r="G928" s="1" t="n"/>
      <c r="H928" s="1" t="n"/>
      <c r="I928" s="1" t="inlineStr">
        <is>
          <t>LTC</t>
        </is>
      </c>
      <c r="J928" s="1" t="n">
        <v>905</v>
      </c>
      <c r="K928" s="1" t="n"/>
      <c r="L928" s="1" t="n">
        <v>1086</v>
      </c>
      <c r="M928" s="1" t="n">
        <v>0.472</v>
      </c>
      <c r="N928" s="1" t="n">
        <v>8.680999999999999</v>
      </c>
      <c r="O928" s="1" t="n">
        <v>8.525</v>
      </c>
      <c r="P928" s="9" t="n">
        <v>8.625</v>
      </c>
    </row>
    <row r="929">
      <c r="A929" s="8" t="n">
        <v>9.625</v>
      </c>
      <c r="B929" s="1" t="n">
        <v>47</v>
      </c>
      <c r="C929" s="1" t="inlineStr">
        <is>
          <t>N-80</t>
        </is>
      </c>
      <c r="D929" s="1" t="n">
        <v>4760</v>
      </c>
      <c r="E929" s="1" t="n">
        <v>6870</v>
      </c>
      <c r="F929" s="1" t="n"/>
      <c r="G929" s="1" t="n"/>
      <c r="H929" s="1" t="n"/>
      <c r="I929" s="1" t="inlineStr">
        <is>
          <t>BTC</t>
        </is>
      </c>
      <c r="J929" s="1" t="n">
        <v>1161</v>
      </c>
      <c r="K929" s="1" t="n"/>
      <c r="L929" s="1" t="n">
        <v>1086</v>
      </c>
      <c r="M929" s="1" t="n">
        <v>0.472</v>
      </c>
      <c r="N929" s="1" t="n">
        <v>8.680999999999999</v>
      </c>
      <c r="O929" s="1" t="n">
        <v>8.525</v>
      </c>
      <c r="P929" s="9" t="n">
        <v>8.625</v>
      </c>
    </row>
    <row r="930">
      <c r="A930" s="6" t="n">
        <v>9.625</v>
      </c>
      <c r="B930" s="2" t="n">
        <v>47</v>
      </c>
      <c r="C930" s="2" t="inlineStr">
        <is>
          <t>HCN-80</t>
        </is>
      </c>
      <c r="D930" s="2" t="n">
        <v>7100</v>
      </c>
      <c r="E930" s="2" t="n">
        <v>6870</v>
      </c>
      <c r="F930" s="2" t="n"/>
      <c r="G930" s="2" t="n"/>
      <c r="H930" s="2" t="n"/>
      <c r="I930" s="2" t="inlineStr">
        <is>
          <t>LTC</t>
        </is>
      </c>
      <c r="J930" s="2" t="n">
        <v>1027</v>
      </c>
      <c r="K930" s="2" t="n"/>
      <c r="L930" s="2" t="n">
        <v>1086</v>
      </c>
      <c r="M930" s="2" t="n">
        <v>0.472</v>
      </c>
      <c r="N930" s="2" t="n">
        <v>8.680999999999999</v>
      </c>
      <c r="O930" s="2" t="n">
        <v>8.525</v>
      </c>
      <c r="P930" s="7" t="n">
        <v>8.625</v>
      </c>
    </row>
    <row r="931">
      <c r="A931" s="6" t="n">
        <v>9.625</v>
      </c>
      <c r="B931" s="2" t="n">
        <v>47</v>
      </c>
      <c r="C931" s="2" t="inlineStr">
        <is>
          <t>HCN-80</t>
        </is>
      </c>
      <c r="D931" s="2" t="n">
        <v>7100</v>
      </c>
      <c r="E931" s="2" t="n">
        <v>6870</v>
      </c>
      <c r="F931" s="2" t="n"/>
      <c r="G931" s="2" t="n"/>
      <c r="H931" s="2" t="n"/>
      <c r="I931" s="2" t="inlineStr">
        <is>
          <t>BTC</t>
        </is>
      </c>
      <c r="J931" s="2" t="n">
        <v>1234</v>
      </c>
      <c r="K931" s="2" t="n"/>
      <c r="L931" s="2" t="n">
        <v>1086</v>
      </c>
      <c r="M931" s="2" t="n">
        <v>0.472</v>
      </c>
      <c r="N931" s="2" t="n">
        <v>8.680999999999999</v>
      </c>
      <c r="O931" s="2" t="n">
        <v>8.525</v>
      </c>
      <c r="P931" s="7" t="n">
        <v>8.625</v>
      </c>
    </row>
    <row r="932">
      <c r="A932" s="8" t="n">
        <v>9.625</v>
      </c>
      <c r="B932" s="1" t="n">
        <v>47</v>
      </c>
      <c r="C932" s="1" t="inlineStr">
        <is>
          <t>C-90</t>
        </is>
      </c>
      <c r="D932" s="1" t="n">
        <v>5000</v>
      </c>
      <c r="E932" s="1" t="n">
        <v>7720</v>
      </c>
      <c r="F932" s="1" t="n"/>
      <c r="G932" s="1" t="n"/>
      <c r="H932" s="1" t="n"/>
      <c r="I932" s="1" t="inlineStr">
        <is>
          <t>LTC</t>
        </is>
      </c>
      <c r="J932" s="1" t="n">
        <v>987</v>
      </c>
      <c r="K932" s="1" t="n"/>
      <c r="L932" s="1" t="n">
        <v>1221</v>
      </c>
      <c r="M932" s="1" t="n">
        <v>0.472</v>
      </c>
      <c r="N932" s="1" t="n">
        <v>8.680999999999999</v>
      </c>
      <c r="O932" s="1" t="n">
        <v>8.525</v>
      </c>
      <c r="P932" s="9" t="n"/>
    </row>
    <row r="933">
      <c r="A933" s="8" t="n">
        <v>9.625</v>
      </c>
      <c r="B933" s="1" t="n">
        <v>47</v>
      </c>
      <c r="C933" s="1" t="inlineStr">
        <is>
          <t>C-90</t>
        </is>
      </c>
      <c r="D933" s="1" t="n">
        <v>5000</v>
      </c>
      <c r="E933" s="1" t="n">
        <v>7720</v>
      </c>
      <c r="F933" s="1" t="n"/>
      <c r="G933" s="1" t="n"/>
      <c r="H933" s="1" t="n"/>
      <c r="I933" s="1" t="inlineStr">
        <is>
          <t>BTC</t>
        </is>
      </c>
      <c r="J933" s="1" t="n">
        <v>1210</v>
      </c>
      <c r="K933" s="1" t="n"/>
      <c r="L933" s="1" t="n">
        <v>1221</v>
      </c>
      <c r="M933" s="1" t="n">
        <v>0.472</v>
      </c>
      <c r="N933" s="1" t="n">
        <v>8.680999999999999</v>
      </c>
      <c r="O933" s="1" t="n">
        <v>8.525</v>
      </c>
      <c r="P933" s="9" t="n"/>
    </row>
    <row r="934">
      <c r="A934" s="6" t="n">
        <v>9.625</v>
      </c>
      <c r="B934" s="2" t="n">
        <v>47</v>
      </c>
      <c r="C934" s="2" t="inlineStr">
        <is>
          <t>H2S-90</t>
        </is>
      </c>
      <c r="D934" s="2" t="n">
        <v>7100</v>
      </c>
      <c r="E934" s="2" t="n">
        <v>7720</v>
      </c>
      <c r="F934" s="2" t="n"/>
      <c r="G934" s="2" t="n"/>
      <c r="H934" s="2" t="n"/>
      <c r="I934" s="2" t="inlineStr">
        <is>
          <t>LTC</t>
        </is>
      </c>
      <c r="J934" s="2" t="n">
        <v>1027</v>
      </c>
      <c r="K934" s="2" t="n"/>
      <c r="L934" s="2" t="n">
        <v>1221</v>
      </c>
      <c r="M934" s="2" t="n">
        <v>0.472</v>
      </c>
      <c r="N934" s="2" t="n">
        <v>8.680999999999999</v>
      </c>
      <c r="O934" s="2" t="n">
        <v>8.525</v>
      </c>
      <c r="P934" s="7" t="n">
        <v>8.625</v>
      </c>
    </row>
    <row r="935">
      <c r="A935" s="6" t="n">
        <v>9.625</v>
      </c>
      <c r="B935" s="2" t="n">
        <v>47</v>
      </c>
      <c r="C935" s="2" t="inlineStr">
        <is>
          <t>H2S-90</t>
        </is>
      </c>
      <c r="D935" s="2" t="n">
        <v>7100</v>
      </c>
      <c r="E935" s="2" t="n">
        <v>7720</v>
      </c>
      <c r="F935" s="2" t="n"/>
      <c r="G935" s="2" t="n"/>
      <c r="H935" s="2" t="n"/>
      <c r="I935" s="2" t="inlineStr">
        <is>
          <t>BTC</t>
        </is>
      </c>
      <c r="J935" s="2" t="n">
        <v>1234</v>
      </c>
      <c r="K935" s="2" t="n"/>
      <c r="L935" s="2" t="n">
        <v>1221</v>
      </c>
      <c r="M935" s="2" t="n">
        <v>0.472</v>
      </c>
      <c r="N935" s="2" t="n">
        <v>8.680999999999999</v>
      </c>
      <c r="O935" s="2" t="n">
        <v>8.525</v>
      </c>
      <c r="P935" s="7" t="n">
        <v>8.625</v>
      </c>
    </row>
    <row r="936">
      <c r="A936" s="8" t="n">
        <v>9.625</v>
      </c>
      <c r="B936" s="1" t="n">
        <v>47</v>
      </c>
      <c r="C936" s="1" t="inlineStr">
        <is>
          <t>S-95</t>
        </is>
      </c>
      <c r="D936" s="1" t="n">
        <v>7100</v>
      </c>
      <c r="E936" s="1" t="n">
        <v>8150</v>
      </c>
      <c r="F936" s="1" t="n"/>
      <c r="G936" s="1" t="n"/>
      <c r="H936" s="1" t="n"/>
      <c r="I936" s="1" t="inlineStr">
        <is>
          <t>LTC</t>
        </is>
      </c>
      <c r="J936" s="1" t="n">
        <v>1053</v>
      </c>
      <c r="K936" s="1" t="n"/>
      <c r="L936" s="1" t="n">
        <v>1289</v>
      </c>
      <c r="M936" s="1" t="n">
        <v>0.472</v>
      </c>
      <c r="N936" s="1" t="n">
        <v>8.680999999999999</v>
      </c>
      <c r="O936" s="1" t="n">
        <v>8.525</v>
      </c>
      <c r="P936" s="9" t="n">
        <v>8.625</v>
      </c>
    </row>
    <row r="937">
      <c r="A937" s="8" t="n">
        <v>9.625</v>
      </c>
      <c r="B937" s="1" t="n">
        <v>47</v>
      </c>
      <c r="C937" s="1" t="inlineStr">
        <is>
          <t>S-95</t>
        </is>
      </c>
      <c r="D937" s="1" t="n">
        <v>7100</v>
      </c>
      <c r="E937" s="1" t="n">
        <v>8150</v>
      </c>
      <c r="F937" s="1" t="n"/>
      <c r="G937" s="1" t="n"/>
      <c r="H937" s="1" t="n"/>
      <c r="I937" s="1" t="inlineStr">
        <is>
          <t>BTC</t>
        </is>
      </c>
      <c r="J937" s="1" t="n">
        <v>1311</v>
      </c>
      <c r="K937" s="1" t="n"/>
      <c r="L937" s="1" t="n">
        <v>1289</v>
      </c>
      <c r="M937" s="1" t="n">
        <v>0.472</v>
      </c>
      <c r="N937" s="1" t="n">
        <v>8.680999999999999</v>
      </c>
      <c r="O937" s="1" t="n">
        <v>8.525</v>
      </c>
      <c r="P937" s="9" t="n">
        <v>8.625</v>
      </c>
    </row>
    <row r="938">
      <c r="A938" s="6" t="n">
        <v>9.625</v>
      </c>
      <c r="B938" s="2" t="n">
        <v>47</v>
      </c>
      <c r="C938" s="2" t="inlineStr">
        <is>
          <t>T-95</t>
        </is>
      </c>
      <c r="D938" s="2" t="n">
        <v>5090</v>
      </c>
      <c r="E938" s="2" t="n">
        <v>8150</v>
      </c>
      <c r="F938" s="2" t="n"/>
      <c r="G938" s="2" t="n"/>
      <c r="H938" s="2" t="n"/>
      <c r="I938" s="2" t="inlineStr">
        <is>
          <t>LTC</t>
        </is>
      </c>
      <c r="J938" s="2" t="n">
        <v>1040</v>
      </c>
      <c r="K938" s="2" t="n"/>
      <c r="L938" s="2" t="n">
        <v>1289</v>
      </c>
      <c r="M938" s="2" t="n">
        <v>0.472</v>
      </c>
      <c r="N938" s="2" t="n">
        <v>8.680999999999999</v>
      </c>
      <c r="O938" s="2" t="n">
        <v>8.525</v>
      </c>
      <c r="P938" s="7" t="n"/>
    </row>
    <row r="939">
      <c r="A939" s="6" t="n">
        <v>9.625</v>
      </c>
      <c r="B939" s="2" t="n">
        <v>47</v>
      </c>
      <c r="C939" s="2" t="inlineStr">
        <is>
          <t>T-95</t>
        </is>
      </c>
      <c r="D939" s="2" t="n">
        <v>5090</v>
      </c>
      <c r="E939" s="2" t="n">
        <v>8150</v>
      </c>
      <c r="F939" s="2" t="n"/>
      <c r="G939" s="2" t="n"/>
      <c r="H939" s="2" t="n"/>
      <c r="I939" s="2" t="inlineStr">
        <is>
          <t>BTC</t>
        </is>
      </c>
      <c r="J939" s="2" t="n">
        <v>1273</v>
      </c>
      <c r="K939" s="2" t="n"/>
      <c r="L939" s="2" t="n">
        <v>1289</v>
      </c>
      <c r="M939" s="2" t="n">
        <v>0.472</v>
      </c>
      <c r="N939" s="2" t="n">
        <v>8.680999999999999</v>
      </c>
      <c r="O939" s="2" t="n">
        <v>8.525</v>
      </c>
      <c r="P939" s="7" t="n"/>
    </row>
    <row r="940">
      <c r="A940" s="8" t="n">
        <v>9.625</v>
      </c>
      <c r="B940" s="1" t="n">
        <v>47</v>
      </c>
      <c r="C940" s="1" t="inlineStr">
        <is>
          <t>H2S-95</t>
        </is>
      </c>
      <c r="D940" s="1" t="n">
        <v>7100</v>
      </c>
      <c r="E940" s="1" t="n">
        <v>8150</v>
      </c>
      <c r="F940" s="1" t="n"/>
      <c r="G940" s="1" t="n"/>
      <c r="H940" s="1" t="n"/>
      <c r="I940" s="1" t="inlineStr">
        <is>
          <t>LTC</t>
        </is>
      </c>
      <c r="J940" s="1" t="n">
        <v>1040</v>
      </c>
      <c r="K940" s="1" t="n"/>
      <c r="L940" s="1" t="n">
        <v>1289</v>
      </c>
      <c r="M940" s="1" t="n">
        <v>0.472</v>
      </c>
      <c r="N940" s="1" t="n">
        <v>8.680999999999999</v>
      </c>
      <c r="O940" s="1" t="n">
        <v>8.525</v>
      </c>
      <c r="P940" s="9" t="n">
        <v>8.625</v>
      </c>
    </row>
    <row r="941">
      <c r="A941" s="8" t="n">
        <v>9.625</v>
      </c>
      <c r="B941" s="1" t="n">
        <v>47</v>
      </c>
      <c r="C941" s="1" t="inlineStr">
        <is>
          <t>H2S-95</t>
        </is>
      </c>
      <c r="D941" s="1" t="n">
        <v>7100</v>
      </c>
      <c r="E941" s="1" t="n">
        <v>8150</v>
      </c>
      <c r="F941" s="1" t="n"/>
      <c r="G941" s="1" t="n"/>
      <c r="H941" s="1" t="n"/>
      <c r="I941" s="1" t="inlineStr">
        <is>
          <t>BTC</t>
        </is>
      </c>
      <c r="J941" s="1" t="n">
        <v>1273</v>
      </c>
      <c r="K941" s="1" t="n"/>
      <c r="L941" s="1" t="n">
        <v>1289</v>
      </c>
      <c r="M941" s="1" t="n">
        <v>0.472</v>
      </c>
      <c r="N941" s="1" t="n">
        <v>8.680999999999999</v>
      </c>
      <c r="O941" s="1" t="n">
        <v>8.525</v>
      </c>
      <c r="P941" s="9" t="n">
        <v>8.625</v>
      </c>
    </row>
    <row r="942">
      <c r="A942" s="6" t="n">
        <v>9.625</v>
      </c>
      <c r="B942" s="2" t="n">
        <v>47</v>
      </c>
      <c r="C942" s="2" t="inlineStr">
        <is>
          <t>C-95</t>
        </is>
      </c>
      <c r="D942" s="2" t="n">
        <v>5090</v>
      </c>
      <c r="E942" s="2" t="n">
        <v>8150</v>
      </c>
      <c r="F942" s="2" t="n"/>
      <c r="G942" s="2" t="n"/>
      <c r="H942" s="2" t="n"/>
      <c r="I942" s="2" t="inlineStr">
        <is>
          <t>LTC</t>
        </is>
      </c>
      <c r="J942" s="2" t="n">
        <v>1040</v>
      </c>
      <c r="K942" s="2" t="n"/>
      <c r="L942" s="2" t="n">
        <v>1289</v>
      </c>
      <c r="M942" s="2" t="n">
        <v>0.472</v>
      </c>
      <c r="N942" s="2" t="n">
        <v>8.680999999999999</v>
      </c>
      <c r="O942" s="2" t="n">
        <v>8.525</v>
      </c>
      <c r="P942" s="7" t="n">
        <v>8.625</v>
      </c>
    </row>
    <row r="943">
      <c r="A943" s="6" t="n">
        <v>9.625</v>
      </c>
      <c r="B943" s="2" t="n">
        <v>47</v>
      </c>
      <c r="C943" s="2" t="inlineStr">
        <is>
          <t>C-95</t>
        </is>
      </c>
      <c r="D943" s="2" t="n">
        <v>5090</v>
      </c>
      <c r="E943" s="2" t="n">
        <v>8150</v>
      </c>
      <c r="F943" s="2" t="n"/>
      <c r="G943" s="2" t="n"/>
      <c r="H943" s="2" t="n"/>
      <c r="I943" s="2" t="inlineStr">
        <is>
          <t>BTC</t>
        </is>
      </c>
      <c r="J943" s="2" t="n">
        <v>1273</v>
      </c>
      <c r="K943" s="2" t="n"/>
      <c r="L943" s="2" t="n">
        <v>1289</v>
      </c>
      <c r="M943" s="2" t="n">
        <v>0.472</v>
      </c>
      <c r="N943" s="2" t="n">
        <v>8.680999999999999</v>
      </c>
      <c r="O943" s="2" t="n">
        <v>8.525</v>
      </c>
      <c r="P943" s="7" t="n">
        <v>8.625</v>
      </c>
    </row>
    <row r="944">
      <c r="A944" s="8" t="n">
        <v>9.625</v>
      </c>
      <c r="B944" s="1" t="n">
        <v>47</v>
      </c>
      <c r="C944" s="1" t="inlineStr">
        <is>
          <t>HCP-110</t>
        </is>
      </c>
      <c r="D944" s="1" t="n">
        <v>7100</v>
      </c>
      <c r="E944" s="1" t="n">
        <v>9440</v>
      </c>
      <c r="F944" s="1" t="n"/>
      <c r="G944" s="1" t="n"/>
      <c r="H944" s="1" t="n"/>
      <c r="I944" s="1" t="inlineStr">
        <is>
          <t>LTC</t>
        </is>
      </c>
      <c r="J944" s="1" t="n">
        <v>1213</v>
      </c>
      <c r="K944" s="1" t="n"/>
      <c r="L944" s="1" t="n">
        <v>1493</v>
      </c>
      <c r="M944" s="1" t="n">
        <v>0.472</v>
      </c>
      <c r="N944" s="1" t="n">
        <v>8.680999999999999</v>
      </c>
      <c r="O944" s="1" t="n">
        <v>8.525</v>
      </c>
      <c r="P944" s="9" t="n">
        <v>8.625</v>
      </c>
    </row>
    <row r="945">
      <c r="A945" s="8" t="n">
        <v>9.625</v>
      </c>
      <c r="B945" s="1" t="n">
        <v>47</v>
      </c>
      <c r="C945" s="1" t="inlineStr">
        <is>
          <t>HCP-110</t>
        </is>
      </c>
      <c r="D945" s="1" t="n">
        <v>7100</v>
      </c>
      <c r="E945" s="1" t="n">
        <v>9440</v>
      </c>
      <c r="F945" s="1" t="n"/>
      <c r="G945" s="1" t="n"/>
      <c r="H945" s="1" t="n"/>
      <c r="I945" s="1" t="inlineStr">
        <is>
          <t>BTC</t>
        </is>
      </c>
      <c r="J945" s="1" t="n">
        <v>1500</v>
      </c>
      <c r="K945" s="1" t="n"/>
      <c r="L945" s="1" t="n">
        <v>1493</v>
      </c>
      <c r="M945" s="1" t="n">
        <v>0.472</v>
      </c>
      <c r="N945" s="1" t="n">
        <v>8.680999999999999</v>
      </c>
      <c r="O945" s="1" t="n">
        <v>8.525</v>
      </c>
      <c r="P945" s="9" t="n">
        <v>8.625</v>
      </c>
    </row>
    <row r="946">
      <c r="A946" s="6" t="n">
        <v>9.625</v>
      </c>
      <c r="B946" s="2" t="n">
        <v>47</v>
      </c>
      <c r="C946" s="2" t="inlineStr">
        <is>
          <t>P-110</t>
        </is>
      </c>
      <c r="D946" s="2" t="n">
        <v>5300</v>
      </c>
      <c r="E946" s="2" t="n">
        <v>9440</v>
      </c>
      <c r="F946" s="2" t="n"/>
      <c r="G946" s="2" t="n"/>
      <c r="H946" s="2" t="n"/>
      <c r="I946" s="2" t="inlineStr">
        <is>
          <t>LTC</t>
        </is>
      </c>
      <c r="J946" s="2" t="n">
        <v>1213</v>
      </c>
      <c r="K946" s="2" t="n"/>
      <c r="L946" s="2" t="n">
        <v>1493</v>
      </c>
      <c r="M946" s="2" t="n">
        <v>0.472</v>
      </c>
      <c r="N946" s="2" t="n">
        <v>8.680999999999999</v>
      </c>
      <c r="O946" s="2" t="n">
        <v>8.525</v>
      </c>
      <c r="P946" s="7" t="n">
        <v>8.625</v>
      </c>
    </row>
    <row r="947">
      <c r="A947" s="6" t="n">
        <v>9.625</v>
      </c>
      <c r="B947" s="2" t="n">
        <v>47</v>
      </c>
      <c r="C947" s="2" t="inlineStr">
        <is>
          <t>P-110</t>
        </is>
      </c>
      <c r="D947" s="2" t="n">
        <v>5300</v>
      </c>
      <c r="E947" s="2" t="n">
        <v>9440</v>
      </c>
      <c r="F947" s="2" t="n"/>
      <c r="G947" s="2" t="n"/>
      <c r="H947" s="2" t="n"/>
      <c r="I947" s="2" t="inlineStr">
        <is>
          <t>BTC</t>
        </is>
      </c>
      <c r="J947" s="2" t="n">
        <v>1500</v>
      </c>
      <c r="K947" s="2" t="n"/>
      <c r="L947" s="2" t="n">
        <v>1493</v>
      </c>
      <c r="M947" s="2" t="n">
        <v>0.472</v>
      </c>
      <c r="N947" s="2" t="n">
        <v>8.680999999999999</v>
      </c>
      <c r="O947" s="2" t="n">
        <v>8.525</v>
      </c>
      <c r="P947" s="7" t="n">
        <v>8.625</v>
      </c>
    </row>
    <row r="948">
      <c r="A948" s="8" t="n">
        <v>9.625</v>
      </c>
      <c r="B948" s="1" t="n">
        <v>47</v>
      </c>
      <c r="C948" s="1" t="inlineStr">
        <is>
          <t>HCQ-125</t>
        </is>
      </c>
      <c r="D948" s="1" t="n">
        <v>7100</v>
      </c>
      <c r="E948" s="1" t="n">
        <v>10730</v>
      </c>
      <c r="F948" s="1" t="n"/>
      <c r="G948" s="1" t="n"/>
      <c r="H948" s="1" t="n"/>
      <c r="I948" s="1" t="inlineStr">
        <is>
          <t>LTC</t>
        </is>
      </c>
      <c r="J948" s="1" t="n">
        <v>1361</v>
      </c>
      <c r="K948" s="1" t="n"/>
      <c r="L948" s="1" t="n">
        <v>1697</v>
      </c>
      <c r="M948" s="1" t="n">
        <v>0.472</v>
      </c>
      <c r="N948" s="1" t="n">
        <v>8.680999999999999</v>
      </c>
      <c r="O948" s="1" t="n">
        <v>8.525</v>
      </c>
      <c r="P948" s="9" t="n">
        <v>8.625</v>
      </c>
    </row>
    <row r="949">
      <c r="A949" s="8" t="n">
        <v>9.625</v>
      </c>
      <c r="B949" s="1" t="n">
        <v>47</v>
      </c>
      <c r="C949" s="1" t="inlineStr">
        <is>
          <t>HCQ-125</t>
        </is>
      </c>
      <c r="D949" s="1" t="n">
        <v>7100</v>
      </c>
      <c r="E949" s="1" t="n">
        <v>10730</v>
      </c>
      <c r="F949" s="1" t="n"/>
      <c r="G949" s="1" t="n"/>
      <c r="H949" s="1" t="n"/>
      <c r="I949" s="1" t="inlineStr">
        <is>
          <t>BTC</t>
        </is>
      </c>
      <c r="J949" s="1" t="n">
        <v>1650</v>
      </c>
      <c r="K949" s="1" t="n"/>
      <c r="L949" s="1" t="n">
        <v>1697</v>
      </c>
      <c r="M949" s="1" t="n">
        <v>0.472</v>
      </c>
      <c r="N949" s="1" t="n">
        <v>8.680999999999999</v>
      </c>
      <c r="O949" s="1" t="n">
        <v>8.525</v>
      </c>
      <c r="P949" s="9" t="n">
        <v>8.625</v>
      </c>
    </row>
    <row r="950">
      <c r="A950" s="6" t="n">
        <v>9.625</v>
      </c>
      <c r="B950" s="2" t="n">
        <v>47</v>
      </c>
      <c r="C950" s="2" t="inlineStr">
        <is>
          <t>Q-125</t>
        </is>
      </c>
      <c r="D950" s="2" t="n">
        <v>5640</v>
      </c>
      <c r="E950" s="2" t="n">
        <v>10730</v>
      </c>
      <c r="F950" s="2" t="n"/>
      <c r="G950" s="2" t="n"/>
      <c r="H950" s="2" t="n"/>
      <c r="I950" s="2" t="inlineStr">
        <is>
          <t>LTC</t>
        </is>
      </c>
      <c r="J950" s="2" t="n">
        <v>1361</v>
      </c>
      <c r="K950" s="2" t="n"/>
      <c r="L950" s="2" t="n">
        <v>1697</v>
      </c>
      <c r="M950" s="2" t="n">
        <v>0.472</v>
      </c>
      <c r="N950" s="2" t="n">
        <v>8.680999999999999</v>
      </c>
      <c r="O950" s="2" t="n">
        <v>8.525</v>
      </c>
      <c r="P950" s="7" t="n">
        <v>8.625</v>
      </c>
    </row>
    <row r="951">
      <c r="A951" s="6" t="n">
        <v>9.625</v>
      </c>
      <c r="B951" s="2" t="n">
        <v>47</v>
      </c>
      <c r="C951" s="2" t="inlineStr">
        <is>
          <t>Q-125</t>
        </is>
      </c>
      <c r="D951" s="2" t="n">
        <v>5640</v>
      </c>
      <c r="E951" s="2" t="n">
        <v>10730</v>
      </c>
      <c r="F951" s="2" t="n"/>
      <c r="G951" s="2" t="n"/>
      <c r="H951" s="2" t="n"/>
      <c r="I951" s="2" t="inlineStr">
        <is>
          <t>BTC</t>
        </is>
      </c>
      <c r="J951" s="2" t="n">
        <v>1650</v>
      </c>
      <c r="K951" s="2" t="n"/>
      <c r="L951" s="2" t="n">
        <v>1697</v>
      </c>
      <c r="M951" s="2" t="n">
        <v>0.472</v>
      </c>
      <c r="N951" s="2" t="n">
        <v>8.680999999999999</v>
      </c>
      <c r="O951" s="2" t="n">
        <v>8.525</v>
      </c>
      <c r="P951" s="7" t="n">
        <v>8.625</v>
      </c>
    </row>
    <row r="952">
      <c r="A952" s="8" t="n">
        <v>9.625</v>
      </c>
      <c r="B952" s="1" t="n">
        <v>53.5</v>
      </c>
      <c r="C952" s="1" t="inlineStr">
        <is>
          <t>L-80</t>
        </is>
      </c>
      <c r="D952" s="1" t="n">
        <v>6620</v>
      </c>
      <c r="E952" s="1" t="n">
        <v>7930</v>
      </c>
      <c r="F952" s="1" t="n"/>
      <c r="G952" s="1" t="n"/>
      <c r="H952" s="1" t="n"/>
      <c r="I952" s="1" t="inlineStr">
        <is>
          <t>LTC</t>
        </is>
      </c>
      <c r="J952" s="1" t="n">
        <v>1047</v>
      </c>
      <c r="K952" s="1" t="n"/>
      <c r="L952" s="1" t="n">
        <v>1244</v>
      </c>
      <c r="M952" s="1" t="n">
        <v>0.545</v>
      </c>
      <c r="N952" s="1" t="n">
        <v>8.535</v>
      </c>
      <c r="O952" s="1" t="n">
        <v>8.379</v>
      </c>
      <c r="P952" s="9" t="n">
        <v>8.5</v>
      </c>
    </row>
    <row r="953">
      <c r="A953" s="8" t="n">
        <v>9.625</v>
      </c>
      <c r="B953" s="1" t="n">
        <v>53.5</v>
      </c>
      <c r="C953" s="1" t="inlineStr">
        <is>
          <t>L-80</t>
        </is>
      </c>
      <c r="D953" s="1" t="n">
        <v>6620</v>
      </c>
      <c r="E953" s="1" t="n">
        <v>7930</v>
      </c>
      <c r="F953" s="1" t="n"/>
      <c r="G953" s="1" t="n"/>
      <c r="H953" s="1" t="n"/>
      <c r="I953" s="1" t="inlineStr">
        <is>
          <t>BTC</t>
        </is>
      </c>
      <c r="J953" s="1" t="n">
        <v>1286</v>
      </c>
      <c r="K953" s="1" t="n"/>
      <c r="L953" s="1" t="n">
        <v>1244</v>
      </c>
      <c r="M953" s="1" t="n">
        <v>0.545</v>
      </c>
      <c r="N953" s="1" t="n">
        <v>8.535</v>
      </c>
      <c r="O953" s="1" t="n">
        <v>8.379</v>
      </c>
      <c r="P953" s="9" t="n">
        <v>8.5</v>
      </c>
    </row>
    <row r="954">
      <c r="A954" s="6" t="n">
        <v>9.625</v>
      </c>
      <c r="B954" s="2" t="n">
        <v>53.5</v>
      </c>
      <c r="C954" s="2" t="inlineStr">
        <is>
          <t>HCL-80</t>
        </is>
      </c>
      <c r="D954" s="2" t="n">
        <v>8850</v>
      </c>
      <c r="E954" s="2" t="n">
        <v>7930</v>
      </c>
      <c r="F954" s="2" t="n"/>
      <c r="G954" s="2" t="n"/>
      <c r="H954" s="2" t="n"/>
      <c r="I954" s="2" t="inlineStr">
        <is>
          <t>LTC</t>
        </is>
      </c>
      <c r="J954" s="2" t="n">
        <v>1205</v>
      </c>
      <c r="K954" s="2" t="n"/>
      <c r="L954" s="2" t="n">
        <v>1244</v>
      </c>
      <c r="M954" s="2" t="n">
        <v>0.545</v>
      </c>
      <c r="N954" s="2" t="n">
        <v>8.535</v>
      </c>
      <c r="O954" s="2" t="n">
        <v>8.379</v>
      </c>
      <c r="P954" s="7" t="n">
        <v>8.5</v>
      </c>
    </row>
    <row r="955">
      <c r="A955" s="6" t="n">
        <v>9.625</v>
      </c>
      <c r="B955" s="2" t="n">
        <v>53.5</v>
      </c>
      <c r="C955" s="2" t="inlineStr">
        <is>
          <t>HCL-80</t>
        </is>
      </c>
      <c r="D955" s="2" t="n">
        <v>8850</v>
      </c>
      <c r="E955" s="2" t="n">
        <v>7930</v>
      </c>
      <c r="F955" s="2" t="n"/>
      <c r="G955" s="2" t="n"/>
      <c r="H955" s="2" t="n"/>
      <c r="I955" s="2" t="inlineStr">
        <is>
          <t>BTC</t>
        </is>
      </c>
      <c r="J955" s="2" t="n">
        <v>1414</v>
      </c>
      <c r="K955" s="2" t="n"/>
      <c r="L955" s="2" t="n">
        <v>1244</v>
      </c>
      <c r="M955" s="2" t="n">
        <v>0.545</v>
      </c>
      <c r="N955" s="2" t="n">
        <v>8.535</v>
      </c>
      <c r="O955" s="2" t="n">
        <v>8.379</v>
      </c>
      <c r="P955" s="7" t="n">
        <v>8.5</v>
      </c>
    </row>
    <row r="956">
      <c r="A956" s="8" t="n">
        <v>9.625</v>
      </c>
      <c r="B956" s="1" t="n">
        <v>53.5</v>
      </c>
      <c r="C956" s="1" t="inlineStr">
        <is>
          <t>N-80</t>
        </is>
      </c>
      <c r="D956" s="1" t="n">
        <v>6620</v>
      </c>
      <c r="E956" s="1" t="n">
        <v>7930</v>
      </c>
      <c r="F956" s="1" t="n"/>
      <c r="G956" s="1" t="n"/>
      <c r="H956" s="1" t="n"/>
      <c r="I956" s="1" t="inlineStr">
        <is>
          <t>LTC</t>
        </is>
      </c>
      <c r="J956" s="1" t="n">
        <v>1062</v>
      </c>
      <c r="K956" s="1" t="n"/>
      <c r="L956" s="1" t="n">
        <v>1244</v>
      </c>
      <c r="M956" s="1" t="n">
        <v>0.545</v>
      </c>
      <c r="N956" s="1" t="n">
        <v>8.535</v>
      </c>
      <c r="O956" s="1" t="n">
        <v>8.379</v>
      </c>
      <c r="P956" s="9" t="n">
        <v>8.5</v>
      </c>
    </row>
    <row r="957">
      <c r="A957" s="8" t="n">
        <v>9.625</v>
      </c>
      <c r="B957" s="1" t="n">
        <v>53.5</v>
      </c>
      <c r="C957" s="1" t="inlineStr">
        <is>
          <t>N-80</t>
        </is>
      </c>
      <c r="D957" s="1" t="n">
        <v>6620</v>
      </c>
      <c r="E957" s="1" t="n">
        <v>7930</v>
      </c>
      <c r="F957" s="1" t="n"/>
      <c r="G957" s="1" t="n"/>
      <c r="H957" s="1" t="n"/>
      <c r="I957" s="1" t="inlineStr">
        <is>
          <t>BTC</t>
        </is>
      </c>
      <c r="J957" s="1" t="n">
        <v>1329</v>
      </c>
      <c r="K957" s="1" t="n"/>
      <c r="L957" s="1" t="n">
        <v>1244</v>
      </c>
      <c r="M957" s="1" t="n">
        <v>0.545</v>
      </c>
      <c r="N957" s="1" t="n">
        <v>8.535</v>
      </c>
      <c r="O957" s="1" t="n">
        <v>8.379</v>
      </c>
      <c r="P957" s="9" t="n">
        <v>8.5</v>
      </c>
    </row>
    <row r="958">
      <c r="A958" s="6" t="n">
        <v>9.625</v>
      </c>
      <c r="B958" s="2" t="n">
        <v>53.5</v>
      </c>
      <c r="C958" s="2" t="inlineStr">
        <is>
          <t>HCN-80</t>
        </is>
      </c>
      <c r="D958" s="2" t="n">
        <v>8850</v>
      </c>
      <c r="E958" s="2" t="n">
        <v>7930</v>
      </c>
      <c r="F958" s="2" t="n"/>
      <c r="G958" s="2" t="n"/>
      <c r="H958" s="2" t="n"/>
      <c r="I958" s="2" t="inlineStr">
        <is>
          <t>LTC</t>
        </is>
      </c>
      <c r="J958" s="2" t="n">
        <v>1205</v>
      </c>
      <c r="K958" s="2" t="n"/>
      <c r="L958" s="2" t="n">
        <v>1244</v>
      </c>
      <c r="M958" s="2" t="n">
        <v>0.545</v>
      </c>
      <c r="N958" s="2" t="n">
        <v>8.535</v>
      </c>
      <c r="O958" s="2" t="n">
        <v>8.379</v>
      </c>
      <c r="P958" s="7" t="n">
        <v>8.5</v>
      </c>
    </row>
    <row r="959">
      <c r="A959" s="6" t="n">
        <v>9.625</v>
      </c>
      <c r="B959" s="2" t="n">
        <v>53.5</v>
      </c>
      <c r="C959" s="2" t="inlineStr">
        <is>
          <t>HCN-80</t>
        </is>
      </c>
      <c r="D959" s="2" t="n">
        <v>8850</v>
      </c>
      <c r="E959" s="2" t="n">
        <v>7930</v>
      </c>
      <c r="F959" s="2" t="n"/>
      <c r="G959" s="2" t="n"/>
      <c r="H959" s="2" t="n"/>
      <c r="I959" s="2" t="inlineStr">
        <is>
          <t>BTC</t>
        </is>
      </c>
      <c r="J959" s="2" t="n">
        <v>1414</v>
      </c>
      <c r="K959" s="2" t="n"/>
      <c r="L959" s="2" t="n">
        <v>1244</v>
      </c>
      <c r="M959" s="2" t="n">
        <v>0.545</v>
      </c>
      <c r="N959" s="2" t="n">
        <v>8.535</v>
      </c>
      <c r="O959" s="2" t="n">
        <v>8.379</v>
      </c>
      <c r="P959" s="7" t="n">
        <v>8.5</v>
      </c>
    </row>
    <row r="960">
      <c r="A960" s="8" t="n">
        <v>9.625</v>
      </c>
      <c r="B960" s="1" t="n">
        <v>53.5</v>
      </c>
      <c r="C960" s="1" t="inlineStr">
        <is>
          <t>C-90</t>
        </is>
      </c>
      <c r="D960" s="1" t="n">
        <v>7120</v>
      </c>
      <c r="E960" s="1" t="n">
        <v>8920</v>
      </c>
      <c r="F960" s="1" t="n"/>
      <c r="G960" s="1" t="n"/>
      <c r="H960" s="1" t="n"/>
      <c r="I960" s="1" t="inlineStr">
        <is>
          <t>LTC</t>
        </is>
      </c>
      <c r="J960" s="1" t="n">
        <v>1157</v>
      </c>
      <c r="K960" s="1" t="n"/>
      <c r="L960" s="1" t="n">
        <v>1399</v>
      </c>
      <c r="M960" s="1" t="n">
        <v>0.545</v>
      </c>
      <c r="N960" s="1" t="n">
        <v>8.535</v>
      </c>
      <c r="O960" s="1" t="n">
        <v>8.379</v>
      </c>
      <c r="P960" s="9" t="n">
        <v>8.5</v>
      </c>
    </row>
    <row r="961">
      <c r="A961" s="8" t="n">
        <v>9.625</v>
      </c>
      <c r="B961" s="1" t="n">
        <v>53.5</v>
      </c>
      <c r="C961" s="1" t="inlineStr">
        <is>
          <t>C-90</t>
        </is>
      </c>
      <c r="D961" s="1" t="n">
        <v>7120</v>
      </c>
      <c r="E961" s="1" t="n">
        <v>8920</v>
      </c>
      <c r="F961" s="1" t="n"/>
      <c r="G961" s="1" t="n"/>
      <c r="H961" s="1" t="n"/>
      <c r="I961" s="1" t="inlineStr">
        <is>
          <t>BTC</t>
        </is>
      </c>
      <c r="J961" s="1" t="n">
        <v>1386</v>
      </c>
      <c r="K961" s="1" t="n"/>
      <c r="L961" s="1" t="n">
        <v>1399</v>
      </c>
      <c r="M961" s="1" t="n">
        <v>0.545</v>
      </c>
      <c r="N961" s="1" t="n">
        <v>8.535</v>
      </c>
      <c r="O961" s="1" t="n">
        <v>8.379</v>
      </c>
      <c r="P961" s="9" t="n">
        <v>8.5</v>
      </c>
    </row>
    <row r="962">
      <c r="A962" s="6" t="n">
        <v>9.625</v>
      </c>
      <c r="B962" s="2" t="n">
        <v>53.5</v>
      </c>
      <c r="C962" s="2" t="inlineStr">
        <is>
          <t>H2S-90</t>
        </is>
      </c>
      <c r="D962" s="2" t="n">
        <v>8850</v>
      </c>
      <c r="E962" s="2" t="n">
        <v>8920</v>
      </c>
      <c r="F962" s="2" t="n"/>
      <c r="G962" s="2" t="n"/>
      <c r="H962" s="2" t="n"/>
      <c r="I962" s="2" t="inlineStr">
        <is>
          <t>LTC</t>
        </is>
      </c>
      <c r="J962" s="2" t="n">
        <v>1205</v>
      </c>
      <c r="K962" s="2" t="n"/>
      <c r="L962" s="2" t="n">
        <v>1399</v>
      </c>
      <c r="M962" s="2" t="n">
        <v>0.545</v>
      </c>
      <c r="N962" s="2" t="n">
        <v>8.535</v>
      </c>
      <c r="O962" s="2" t="n">
        <v>8.379</v>
      </c>
      <c r="P962" s="7" t="n">
        <v>8.5</v>
      </c>
    </row>
    <row r="963">
      <c r="A963" s="6" t="n">
        <v>9.625</v>
      </c>
      <c r="B963" s="2" t="n">
        <v>53.5</v>
      </c>
      <c r="C963" s="2" t="inlineStr">
        <is>
          <t>H2S-90</t>
        </is>
      </c>
      <c r="D963" s="2" t="n">
        <v>8850</v>
      </c>
      <c r="E963" s="2" t="n">
        <v>8920</v>
      </c>
      <c r="F963" s="2" t="n"/>
      <c r="G963" s="2" t="n"/>
      <c r="H963" s="2" t="n"/>
      <c r="I963" s="2" t="inlineStr">
        <is>
          <t>BTC</t>
        </is>
      </c>
      <c r="J963" s="2" t="n">
        <v>1414</v>
      </c>
      <c r="K963" s="2" t="n"/>
      <c r="L963" s="2" t="n">
        <v>1399</v>
      </c>
      <c r="M963" s="2" t="n">
        <v>0.545</v>
      </c>
      <c r="N963" s="2" t="n">
        <v>8.535</v>
      </c>
      <c r="O963" s="2" t="n">
        <v>8.379</v>
      </c>
      <c r="P963" s="7" t="n">
        <v>8.5</v>
      </c>
    </row>
    <row r="964">
      <c r="A964" s="8" t="n">
        <v>9.625</v>
      </c>
      <c r="B964" s="1" t="n">
        <v>53.5</v>
      </c>
      <c r="C964" s="1" t="inlineStr">
        <is>
          <t>S-95</t>
        </is>
      </c>
      <c r="D964" s="1" t="n">
        <v>8850</v>
      </c>
      <c r="E964" s="1" t="n">
        <v>9410</v>
      </c>
      <c r="F964" s="1" t="n"/>
      <c r="G964" s="1" t="n"/>
      <c r="H964" s="1" t="n"/>
      <c r="I964" s="1" t="inlineStr">
        <is>
          <t>LTC</t>
        </is>
      </c>
      <c r="J964" s="1" t="n">
        <v>1235</v>
      </c>
      <c r="K964" s="1" t="n"/>
      <c r="L964" s="1" t="n">
        <v>1477</v>
      </c>
      <c r="M964" s="1" t="n">
        <v>0.545</v>
      </c>
      <c r="N964" s="1" t="n">
        <v>8.535</v>
      </c>
      <c r="O964" s="1" t="n">
        <v>8.379</v>
      </c>
      <c r="P964" s="9" t="n">
        <v>8.5</v>
      </c>
    </row>
    <row r="965">
      <c r="A965" s="8" t="n">
        <v>9.625</v>
      </c>
      <c r="B965" s="1" t="n">
        <v>53.5</v>
      </c>
      <c r="C965" s="1" t="inlineStr">
        <is>
          <t>S-95</t>
        </is>
      </c>
      <c r="D965" s="1" t="n">
        <v>8850</v>
      </c>
      <c r="E965" s="1" t="n">
        <v>9410</v>
      </c>
      <c r="F965" s="1" t="n"/>
      <c r="G965" s="1" t="n"/>
      <c r="H965" s="1" t="n"/>
      <c r="I965" s="1" t="inlineStr">
        <is>
          <t>BTC</t>
        </is>
      </c>
      <c r="J965" s="1" t="n">
        <v>1502</v>
      </c>
      <c r="K965" s="1" t="n"/>
      <c r="L965" s="1" t="n">
        <v>1477</v>
      </c>
      <c r="M965" s="1" t="n">
        <v>0.545</v>
      </c>
      <c r="N965" s="1" t="n">
        <v>8.535</v>
      </c>
      <c r="O965" s="1" t="n">
        <v>8.379</v>
      </c>
      <c r="P965" s="9" t="n">
        <v>8.5</v>
      </c>
    </row>
    <row r="966">
      <c r="A966" s="6" t="n">
        <v>9.625</v>
      </c>
      <c r="B966" s="2" t="n">
        <v>53.5</v>
      </c>
      <c r="C966" s="2" t="inlineStr">
        <is>
          <t>T-95</t>
        </is>
      </c>
      <c r="D966" s="2" t="n">
        <v>7340</v>
      </c>
      <c r="E966" s="2" t="n">
        <v>9410</v>
      </c>
      <c r="F966" s="2" t="n"/>
      <c r="G966" s="2" t="n"/>
      <c r="H966" s="2" t="n"/>
      <c r="I966" s="2" t="inlineStr">
        <is>
          <t>LTC</t>
        </is>
      </c>
      <c r="J966" s="2" t="n">
        <v>1220</v>
      </c>
      <c r="K966" s="2" t="n"/>
      <c r="L966" s="2" t="n">
        <v>1477</v>
      </c>
      <c r="M966" s="2" t="n">
        <v>0.545</v>
      </c>
      <c r="N966" s="2" t="n">
        <v>8.535</v>
      </c>
      <c r="O966" s="2" t="n">
        <v>8.379</v>
      </c>
      <c r="P966" s="7" t="n">
        <v>8.5</v>
      </c>
    </row>
    <row r="967">
      <c r="A967" s="6" t="n">
        <v>9.625</v>
      </c>
      <c r="B967" s="2" t="n">
        <v>53.5</v>
      </c>
      <c r="C967" s="2" t="inlineStr">
        <is>
          <t>T-95</t>
        </is>
      </c>
      <c r="D967" s="2" t="n">
        <v>7340</v>
      </c>
      <c r="E967" s="2" t="n">
        <v>9410</v>
      </c>
      <c r="F967" s="2" t="n"/>
      <c r="G967" s="2" t="n"/>
      <c r="H967" s="2" t="n"/>
      <c r="I967" s="2" t="inlineStr">
        <is>
          <t>BTC</t>
        </is>
      </c>
      <c r="J967" s="2" t="n">
        <v>1458</v>
      </c>
      <c r="K967" s="2" t="n"/>
      <c r="L967" s="2" t="n">
        <v>1477</v>
      </c>
      <c r="M967" s="2" t="n">
        <v>0.545</v>
      </c>
      <c r="N967" s="2" t="n">
        <v>8.535</v>
      </c>
      <c r="O967" s="2" t="n">
        <v>8.379</v>
      </c>
      <c r="P967" s="7" t="n">
        <v>8.5</v>
      </c>
    </row>
    <row r="968">
      <c r="A968" s="8" t="n">
        <v>9.625</v>
      </c>
      <c r="B968" s="1" t="n">
        <v>53.5</v>
      </c>
      <c r="C968" s="1" t="inlineStr">
        <is>
          <t>H2S-95</t>
        </is>
      </c>
      <c r="D968" s="1" t="n">
        <v>8850</v>
      </c>
      <c r="E968" s="1" t="n">
        <v>9410</v>
      </c>
      <c r="F968" s="1" t="n"/>
      <c r="G968" s="1" t="n"/>
      <c r="H968" s="1" t="n"/>
      <c r="I968" s="1" t="inlineStr">
        <is>
          <t>LTC</t>
        </is>
      </c>
      <c r="J968" s="1" t="n">
        <v>1220</v>
      </c>
      <c r="K968" s="1" t="n"/>
      <c r="L968" s="1" t="n">
        <v>1477</v>
      </c>
      <c r="M968" s="1" t="n">
        <v>0.545</v>
      </c>
      <c r="N968" s="1" t="n">
        <v>8.535</v>
      </c>
      <c r="O968" s="1" t="n">
        <v>8.379</v>
      </c>
      <c r="P968" s="9" t="n">
        <v>8.5</v>
      </c>
    </row>
    <row r="969">
      <c r="A969" s="8" t="n">
        <v>9.625</v>
      </c>
      <c r="B969" s="1" t="n">
        <v>53.5</v>
      </c>
      <c r="C969" s="1" t="inlineStr">
        <is>
          <t>H2S-95</t>
        </is>
      </c>
      <c r="D969" s="1" t="n">
        <v>8850</v>
      </c>
      <c r="E969" s="1" t="n">
        <v>9410</v>
      </c>
      <c r="F969" s="1" t="n"/>
      <c r="G969" s="1" t="n"/>
      <c r="H969" s="1" t="n"/>
      <c r="I969" s="1" t="inlineStr">
        <is>
          <t>BTC</t>
        </is>
      </c>
      <c r="J969" s="1" t="n">
        <v>1458</v>
      </c>
      <c r="K969" s="1" t="n"/>
      <c r="L969" s="1" t="n">
        <v>1477</v>
      </c>
      <c r="M969" s="1" t="n">
        <v>0.545</v>
      </c>
      <c r="N969" s="1" t="n">
        <v>8.535</v>
      </c>
      <c r="O969" s="1" t="n">
        <v>8.379</v>
      </c>
      <c r="P969" s="9" t="n">
        <v>8.5</v>
      </c>
    </row>
    <row r="970">
      <c r="A970" s="6" t="n">
        <v>9.625</v>
      </c>
      <c r="B970" s="2" t="n">
        <v>53.5</v>
      </c>
      <c r="C970" s="2" t="inlineStr">
        <is>
          <t>C-95</t>
        </is>
      </c>
      <c r="D970" s="2" t="n">
        <v>7340</v>
      </c>
      <c r="E970" s="2" t="n">
        <v>9410</v>
      </c>
      <c r="F970" s="2" t="n"/>
      <c r="G970" s="2" t="n"/>
      <c r="H970" s="2" t="n"/>
      <c r="I970" s="2" t="inlineStr">
        <is>
          <t>LTC</t>
        </is>
      </c>
      <c r="J970" s="2" t="n">
        <v>1220</v>
      </c>
      <c r="K970" s="2" t="n"/>
      <c r="L970" s="2" t="n">
        <v>1477</v>
      </c>
      <c r="M970" s="2" t="n">
        <v>0.545</v>
      </c>
      <c r="N970" s="2" t="n">
        <v>8.535</v>
      </c>
      <c r="O970" s="2" t="n">
        <v>8.379</v>
      </c>
      <c r="P970" s="7" t="n">
        <v>8.5</v>
      </c>
    </row>
    <row r="971">
      <c r="A971" s="6" t="n">
        <v>9.625</v>
      </c>
      <c r="B971" s="2" t="n">
        <v>53.5</v>
      </c>
      <c r="C971" s="2" t="inlineStr">
        <is>
          <t>C-95</t>
        </is>
      </c>
      <c r="D971" s="2" t="n">
        <v>7340</v>
      </c>
      <c r="E971" s="2" t="n">
        <v>9410</v>
      </c>
      <c r="F971" s="2" t="n"/>
      <c r="G971" s="2" t="n"/>
      <c r="H971" s="2" t="n"/>
      <c r="I971" s="2" t="inlineStr">
        <is>
          <t>BTC</t>
        </is>
      </c>
      <c r="J971" s="2" t="n">
        <v>1458</v>
      </c>
      <c r="K971" s="2" t="n"/>
      <c r="L971" s="2" t="n">
        <v>1477</v>
      </c>
      <c r="M971" s="2" t="n">
        <v>0.545</v>
      </c>
      <c r="N971" s="2" t="n">
        <v>8.535</v>
      </c>
      <c r="O971" s="2" t="n">
        <v>8.379</v>
      </c>
      <c r="P971" s="7" t="n">
        <v>8.5</v>
      </c>
    </row>
    <row r="972">
      <c r="A972" s="8" t="n">
        <v>9.625</v>
      </c>
      <c r="B972" s="1" t="n">
        <v>53.5</v>
      </c>
      <c r="C972" s="1" t="inlineStr">
        <is>
          <t>HCP-110</t>
        </is>
      </c>
      <c r="D972" s="1" t="n">
        <v>8850</v>
      </c>
      <c r="E972" s="1" t="n">
        <v>10900</v>
      </c>
      <c r="F972" s="1" t="n"/>
      <c r="G972" s="1" t="n"/>
      <c r="H972" s="1" t="n"/>
      <c r="I972" s="1" t="inlineStr">
        <is>
          <t>LTC</t>
        </is>
      </c>
      <c r="J972" s="1" t="n">
        <v>1422</v>
      </c>
      <c r="K972" s="1" t="n"/>
      <c r="L972" s="1" t="n">
        <v>1710</v>
      </c>
      <c r="M972" s="1" t="n">
        <v>0.545</v>
      </c>
      <c r="N972" s="1" t="n">
        <v>8.535</v>
      </c>
      <c r="O972" s="1" t="n">
        <v>8.379</v>
      </c>
      <c r="P972" s="9" t="n">
        <v>8.5</v>
      </c>
    </row>
    <row r="973">
      <c r="A973" s="8" t="n">
        <v>9.625</v>
      </c>
      <c r="B973" s="1" t="n">
        <v>53.5</v>
      </c>
      <c r="C973" s="1" t="inlineStr">
        <is>
          <t>HCP-110</t>
        </is>
      </c>
      <c r="D973" s="1" t="n">
        <v>8850</v>
      </c>
      <c r="E973" s="1" t="n">
        <v>10900</v>
      </c>
      <c r="F973" s="1" t="n"/>
      <c r="G973" s="1" t="n"/>
      <c r="H973" s="1" t="n"/>
      <c r="I973" s="1" t="inlineStr">
        <is>
          <t>BTC</t>
        </is>
      </c>
      <c r="J973" s="1" t="n">
        <v>1718</v>
      </c>
      <c r="K973" s="1" t="n"/>
      <c r="L973" s="1" t="n">
        <v>1710</v>
      </c>
      <c r="M973" s="1" t="n">
        <v>0.545</v>
      </c>
      <c r="N973" s="1" t="n">
        <v>8.535</v>
      </c>
      <c r="O973" s="1" t="n">
        <v>8.379</v>
      </c>
      <c r="P973" s="9" t="n">
        <v>8.5</v>
      </c>
    </row>
    <row r="974">
      <c r="A974" s="6" t="n">
        <v>9.625</v>
      </c>
      <c r="B974" s="2" t="n">
        <v>53.5</v>
      </c>
      <c r="C974" s="2" t="inlineStr">
        <is>
          <t>P-110</t>
        </is>
      </c>
      <c r="D974" s="2" t="n">
        <v>7950</v>
      </c>
      <c r="E974" s="2" t="n">
        <v>10900</v>
      </c>
      <c r="F974" s="2" t="n"/>
      <c r="G974" s="2" t="n"/>
      <c r="H974" s="2" t="n"/>
      <c r="I974" s="2" t="inlineStr">
        <is>
          <t>LTC</t>
        </is>
      </c>
      <c r="J974" s="2" t="n">
        <v>1422</v>
      </c>
      <c r="K974" s="2" t="n"/>
      <c r="L974" s="2" t="n">
        <v>1710</v>
      </c>
      <c r="M974" s="2" t="n">
        <v>0.545</v>
      </c>
      <c r="N974" s="2" t="n">
        <v>8.535</v>
      </c>
      <c r="O974" s="2" t="n">
        <v>8.379</v>
      </c>
      <c r="P974" s="7" t="n">
        <v>8.5</v>
      </c>
    </row>
    <row r="975">
      <c r="A975" s="6" t="n">
        <v>9.625</v>
      </c>
      <c r="B975" s="2" t="n">
        <v>53.5</v>
      </c>
      <c r="C975" s="2" t="inlineStr">
        <is>
          <t>P-110</t>
        </is>
      </c>
      <c r="D975" s="2" t="n">
        <v>7950</v>
      </c>
      <c r="E975" s="2" t="n">
        <v>10900</v>
      </c>
      <c r="F975" s="2" t="n"/>
      <c r="G975" s="2" t="n"/>
      <c r="H975" s="2" t="n"/>
      <c r="I975" s="2" t="inlineStr">
        <is>
          <t>BTC</t>
        </is>
      </c>
      <c r="J975" s="2" t="n">
        <v>1718</v>
      </c>
      <c r="K975" s="2" t="n"/>
      <c r="L975" s="2" t="n">
        <v>1710</v>
      </c>
      <c r="M975" s="2" t="n">
        <v>0.545</v>
      </c>
      <c r="N975" s="2" t="n">
        <v>8.535</v>
      </c>
      <c r="O975" s="2" t="n">
        <v>8.379</v>
      </c>
      <c r="P975" s="7" t="n">
        <v>8.5</v>
      </c>
    </row>
    <row r="976">
      <c r="A976" s="8" t="n">
        <v>9.625</v>
      </c>
      <c r="B976" s="1" t="n">
        <v>53.5</v>
      </c>
      <c r="C976" s="1" t="inlineStr">
        <is>
          <t>HCQ-125</t>
        </is>
      </c>
      <c r="D976" s="1" t="n">
        <v>8850</v>
      </c>
      <c r="E976" s="1" t="n">
        <v>12390</v>
      </c>
      <c r="F976" s="1" t="n"/>
      <c r="G976" s="1" t="n"/>
      <c r="H976" s="1" t="n"/>
      <c r="I976" s="1" t="inlineStr">
        <is>
          <t>LTC</t>
        </is>
      </c>
      <c r="J976" s="1" t="n">
        <v>1595</v>
      </c>
      <c r="K976" s="1" t="n"/>
      <c r="L976" s="1" t="n">
        <v>1943</v>
      </c>
      <c r="M976" s="1" t="n">
        <v>0.545</v>
      </c>
      <c r="N976" s="1" t="n">
        <v>8.535</v>
      </c>
      <c r="O976" s="1" t="n">
        <v>8.379</v>
      </c>
      <c r="P976" s="9" t="n">
        <v>8.5</v>
      </c>
    </row>
    <row r="977">
      <c r="A977" s="8" t="n">
        <v>9.625</v>
      </c>
      <c r="B977" s="1" t="n">
        <v>53.5</v>
      </c>
      <c r="C977" s="1" t="inlineStr">
        <is>
          <t>HCQ-125</t>
        </is>
      </c>
      <c r="D977" s="1" t="n">
        <v>8850</v>
      </c>
      <c r="E977" s="1" t="n">
        <v>12390</v>
      </c>
      <c r="F977" s="1" t="n"/>
      <c r="G977" s="1" t="n"/>
      <c r="H977" s="1" t="n"/>
      <c r="I977" s="1" t="inlineStr">
        <is>
          <t>BTC</t>
        </is>
      </c>
      <c r="J977" s="1" t="n">
        <v>1890</v>
      </c>
      <c r="K977" s="1" t="n"/>
      <c r="L977" s="1" t="n">
        <v>1943</v>
      </c>
      <c r="M977" s="1" t="n">
        <v>0.545</v>
      </c>
      <c r="N977" s="1" t="n">
        <v>8.535</v>
      </c>
      <c r="O977" s="1" t="n">
        <v>8.379</v>
      </c>
      <c r="P977" s="9" t="n">
        <v>8.5</v>
      </c>
    </row>
    <row r="978">
      <c r="A978" s="6" t="n">
        <v>9.625</v>
      </c>
      <c r="B978" s="2" t="n">
        <v>53.5</v>
      </c>
      <c r="C978" s="2" t="inlineStr">
        <is>
          <t>Q-125</t>
        </is>
      </c>
      <c r="D978" s="2" t="n">
        <v>8440</v>
      </c>
      <c r="E978" s="2" t="n">
        <v>12390</v>
      </c>
      <c r="F978" s="2" t="n"/>
      <c r="G978" s="2" t="n"/>
      <c r="H978" s="2" t="n"/>
      <c r="I978" s="2" t="inlineStr">
        <is>
          <t>LTC</t>
        </is>
      </c>
      <c r="J978" s="2" t="n">
        <v>1595</v>
      </c>
      <c r="K978" s="2" t="n"/>
      <c r="L978" s="2" t="n">
        <v>1943</v>
      </c>
      <c r="M978" s="2" t="n">
        <v>0.545</v>
      </c>
      <c r="N978" s="2" t="n">
        <v>8.535</v>
      </c>
      <c r="O978" s="2" t="n">
        <v>8.379</v>
      </c>
      <c r="P978" s="7" t="n">
        <v>8.5</v>
      </c>
    </row>
    <row r="979">
      <c r="A979" s="6" t="n">
        <v>9.625</v>
      </c>
      <c r="B979" s="2" t="n">
        <v>53.5</v>
      </c>
      <c r="C979" s="2" t="inlineStr">
        <is>
          <t>Q-125</t>
        </is>
      </c>
      <c r="D979" s="2" t="n">
        <v>8440</v>
      </c>
      <c r="E979" s="2" t="n">
        <v>12390</v>
      </c>
      <c r="F979" s="2" t="n"/>
      <c r="G979" s="2" t="n"/>
      <c r="H979" s="2" t="n"/>
      <c r="I979" s="2" t="inlineStr">
        <is>
          <t>BTC</t>
        </is>
      </c>
      <c r="J979" s="2" t="n">
        <v>1890</v>
      </c>
      <c r="K979" s="2" t="n"/>
      <c r="L979" s="2" t="n">
        <v>1943</v>
      </c>
      <c r="M979" s="2" t="n">
        <v>0.545</v>
      </c>
      <c r="N979" s="2" t="n">
        <v>8.535</v>
      </c>
      <c r="O979" s="2" t="n">
        <v>8.379</v>
      </c>
      <c r="P979" s="7" t="n">
        <v>8.5</v>
      </c>
    </row>
    <row r="980">
      <c r="A980" s="8" t="n">
        <v>9.625</v>
      </c>
      <c r="B980" s="1" t="n">
        <v>53.5</v>
      </c>
      <c r="C980" s="1" t="inlineStr">
        <is>
          <t>V-150</t>
        </is>
      </c>
      <c r="D980" s="1" t="n">
        <v>8960</v>
      </c>
      <c r="E980" s="1" t="n">
        <v>14860</v>
      </c>
      <c r="F980" s="1" t="n"/>
      <c r="G980" s="1" t="n"/>
      <c r="H980" s="1" t="n"/>
      <c r="I980" s="1" t="inlineStr">
        <is>
          <t>LTC</t>
        </is>
      </c>
      <c r="J980" s="1" t="n">
        <v>1909</v>
      </c>
      <c r="K980" s="1" t="n"/>
      <c r="L980" s="1" t="n">
        <v>2332</v>
      </c>
      <c r="M980" s="1" t="n">
        <v>0.545</v>
      </c>
      <c r="N980" s="1" t="n">
        <v>8.535</v>
      </c>
      <c r="O980" s="1" t="n">
        <v>8.379</v>
      </c>
      <c r="P980" s="9" t="n">
        <v>8.5</v>
      </c>
    </row>
    <row r="981">
      <c r="A981" s="8" t="n">
        <v>9.625</v>
      </c>
      <c r="B981" s="1" t="n">
        <v>53.5</v>
      </c>
      <c r="C981" s="1" t="inlineStr">
        <is>
          <t>V-150</t>
        </is>
      </c>
      <c r="D981" s="1" t="n">
        <v>8960</v>
      </c>
      <c r="E981" s="1" t="n">
        <v>14860</v>
      </c>
      <c r="F981" s="1" t="n"/>
      <c r="G981" s="1" t="n"/>
      <c r="H981" s="1" t="n"/>
      <c r="I981" s="1" t="inlineStr">
        <is>
          <t>BTC</t>
        </is>
      </c>
      <c r="J981" s="1" t="n">
        <v>2251</v>
      </c>
      <c r="K981" s="1" t="n"/>
      <c r="L981" s="1" t="n">
        <v>2332</v>
      </c>
      <c r="M981" s="1" t="n">
        <v>0.545</v>
      </c>
      <c r="N981" s="1" t="n">
        <v>8.535</v>
      </c>
      <c r="O981" s="1" t="n">
        <v>8.379</v>
      </c>
      <c r="P981" s="9" t="n">
        <v>8.5</v>
      </c>
    </row>
    <row r="982">
      <c r="A982" s="6" t="n">
        <v>9.625</v>
      </c>
      <c r="B982" s="2" t="n">
        <v>58.4</v>
      </c>
      <c r="C982" s="2" t="inlineStr">
        <is>
          <t>L-80</t>
        </is>
      </c>
      <c r="D982" s="2" t="n">
        <v>7890</v>
      </c>
      <c r="E982" s="2" t="n">
        <v>8650</v>
      </c>
      <c r="F982" s="2" t="n"/>
      <c r="G982" s="2" t="n"/>
      <c r="H982" s="2" t="n"/>
      <c r="I982" s="2" t="inlineStr">
        <is>
          <t>LTC</t>
        </is>
      </c>
      <c r="J982" s="2" t="n">
        <v>1151</v>
      </c>
      <c r="K982" s="2" t="n"/>
      <c r="L982" s="2" t="n">
        <v>1350</v>
      </c>
      <c r="M982" s="2" t="n">
        <v>0.595</v>
      </c>
      <c r="N982" s="2" t="n">
        <v>8.435</v>
      </c>
      <c r="O982" s="2" t="n">
        <v>8.279</v>
      </c>
      <c r="P982" s="7" t="n">
        <v>8.375</v>
      </c>
    </row>
    <row r="983">
      <c r="A983" s="6" t="n">
        <v>9.625</v>
      </c>
      <c r="B983" s="2" t="n">
        <v>58.4</v>
      </c>
      <c r="C983" s="2" t="inlineStr">
        <is>
          <t>L-80</t>
        </is>
      </c>
      <c r="D983" s="2" t="n">
        <v>7890</v>
      </c>
      <c r="E983" s="2" t="n">
        <v>8650</v>
      </c>
      <c r="F983" s="2" t="n"/>
      <c r="G983" s="2" t="n"/>
      <c r="H983" s="2" t="n"/>
      <c r="I983" s="2" t="inlineStr">
        <is>
          <t>BTC</t>
        </is>
      </c>
      <c r="J983" s="2" t="n">
        <v>1396</v>
      </c>
      <c r="K983" s="2" t="n"/>
      <c r="L983" s="2" t="n">
        <v>1350</v>
      </c>
      <c r="M983" s="2" t="n">
        <v>0.595</v>
      </c>
      <c r="N983" s="2" t="n">
        <v>8.435</v>
      </c>
      <c r="O983" s="2" t="n">
        <v>8.279</v>
      </c>
      <c r="P983" s="7" t="n">
        <v>8.375</v>
      </c>
    </row>
    <row r="984">
      <c r="A984" s="8" t="n">
        <v>9.625</v>
      </c>
      <c r="B984" s="1" t="n">
        <v>58.4</v>
      </c>
      <c r="C984" s="1" t="inlineStr">
        <is>
          <t>N-80</t>
        </is>
      </c>
      <c r="D984" s="1" t="n">
        <v>7890</v>
      </c>
      <c r="E984" s="1" t="n">
        <v>8650</v>
      </c>
      <c r="F984" s="1" t="n"/>
      <c r="G984" s="1" t="n"/>
      <c r="H984" s="1" t="n"/>
      <c r="I984" s="1" t="inlineStr">
        <is>
          <t>LTC</t>
        </is>
      </c>
      <c r="J984" s="1" t="n">
        <v>1167</v>
      </c>
      <c r="K984" s="1" t="n"/>
      <c r="L984" s="1" t="n">
        <v>1350</v>
      </c>
      <c r="M984" s="1" t="n">
        <v>0.595</v>
      </c>
      <c r="N984" s="1" t="n">
        <v>8.435</v>
      </c>
      <c r="O984" s="1" t="n">
        <v>8.279</v>
      </c>
      <c r="P984" s="9" t="n">
        <v>8.375</v>
      </c>
    </row>
    <row r="985">
      <c r="A985" s="8" t="n">
        <v>9.625</v>
      </c>
      <c r="B985" s="1" t="n">
        <v>58.4</v>
      </c>
      <c r="C985" s="1" t="inlineStr">
        <is>
          <t>N-80</t>
        </is>
      </c>
      <c r="D985" s="1" t="n">
        <v>7890</v>
      </c>
      <c r="E985" s="1" t="n">
        <v>8650</v>
      </c>
      <c r="F985" s="1" t="n"/>
      <c r="G985" s="1" t="n"/>
      <c r="H985" s="1" t="n"/>
      <c r="I985" s="1" t="inlineStr">
        <is>
          <t>BTC</t>
        </is>
      </c>
      <c r="J985" s="1" t="n">
        <v>1443</v>
      </c>
      <c r="K985" s="1" t="n"/>
      <c r="L985" s="1" t="n">
        <v>1350</v>
      </c>
      <c r="M985" s="1" t="n">
        <v>0.595</v>
      </c>
      <c r="N985" s="1" t="n">
        <v>8.435</v>
      </c>
      <c r="O985" s="1" t="n">
        <v>8.279</v>
      </c>
      <c r="P985" s="9" t="n">
        <v>8.375</v>
      </c>
    </row>
    <row r="986">
      <c r="A986" s="6" t="n">
        <v>9.625</v>
      </c>
      <c r="B986" s="2" t="n">
        <v>58.4</v>
      </c>
      <c r="C986" s="2" t="inlineStr">
        <is>
          <t>C-90</t>
        </is>
      </c>
      <c r="D986" s="2" t="n">
        <v>8560</v>
      </c>
      <c r="E986" s="2" t="n">
        <v>9740</v>
      </c>
      <c r="F986" s="2" t="n"/>
      <c r="G986" s="2" t="n"/>
      <c r="H986" s="2" t="n"/>
      <c r="I986" s="2" t="inlineStr">
        <is>
          <t>LTC</t>
        </is>
      </c>
      <c r="J986" s="2" t="n">
        <v>1272</v>
      </c>
      <c r="K986" s="2" t="n"/>
      <c r="L986" s="2" t="n">
        <v>1519</v>
      </c>
      <c r="M986" s="2" t="n">
        <v>0.595</v>
      </c>
      <c r="N986" s="2" t="n">
        <v>8.435</v>
      </c>
      <c r="O986" s="2" t="n">
        <v>8.279</v>
      </c>
      <c r="P986" s="7" t="n">
        <v>8.375</v>
      </c>
    </row>
    <row r="987">
      <c r="A987" s="6" t="n">
        <v>9.625</v>
      </c>
      <c r="B987" s="2" t="n">
        <v>58.4</v>
      </c>
      <c r="C987" s="2" t="inlineStr">
        <is>
          <t>C-90</t>
        </is>
      </c>
      <c r="D987" s="2" t="n">
        <v>8560</v>
      </c>
      <c r="E987" s="2" t="n">
        <v>9740</v>
      </c>
      <c r="F987" s="2" t="n"/>
      <c r="G987" s="2" t="n"/>
      <c r="H987" s="2" t="n"/>
      <c r="I987" s="2" t="inlineStr">
        <is>
          <t>BTC</t>
        </is>
      </c>
      <c r="J987" s="2" t="n">
        <v>1504</v>
      </c>
      <c r="K987" s="2" t="n"/>
      <c r="L987" s="2" t="n">
        <v>1519</v>
      </c>
      <c r="M987" s="2" t="n">
        <v>0.595</v>
      </c>
      <c r="N987" s="2" t="n">
        <v>8.435</v>
      </c>
      <c r="O987" s="2" t="n">
        <v>8.279</v>
      </c>
      <c r="P987" s="7" t="n">
        <v>8.375</v>
      </c>
    </row>
    <row r="988">
      <c r="A988" s="8" t="n">
        <v>9.625</v>
      </c>
      <c r="B988" s="1" t="n">
        <v>58.4</v>
      </c>
      <c r="C988" s="1" t="inlineStr">
        <is>
          <t>T-95</t>
        </is>
      </c>
      <c r="D988" s="1" t="n">
        <v>8880</v>
      </c>
      <c r="E988" s="1" t="n">
        <v>10280</v>
      </c>
      <c r="F988" s="1" t="n"/>
      <c r="G988" s="1" t="n"/>
      <c r="H988" s="1" t="n"/>
      <c r="I988" s="1" t="inlineStr">
        <is>
          <t>LTC</t>
        </is>
      </c>
      <c r="J988" s="1" t="n">
        <v>1341</v>
      </c>
      <c r="K988" s="1" t="n"/>
      <c r="L988" s="1" t="n">
        <v>1604</v>
      </c>
      <c r="M988" s="1" t="n">
        <v>0.595</v>
      </c>
      <c r="N988" s="1" t="n">
        <v>8.435</v>
      </c>
      <c r="O988" s="1" t="n">
        <v>8.279</v>
      </c>
      <c r="P988" s="9" t="n">
        <v>8.375</v>
      </c>
    </row>
    <row r="989">
      <c r="A989" s="8" t="n">
        <v>9.625</v>
      </c>
      <c r="B989" s="1" t="n">
        <v>58.4</v>
      </c>
      <c r="C989" s="1" t="inlineStr">
        <is>
          <t>T-95</t>
        </is>
      </c>
      <c r="D989" s="1" t="n">
        <v>8880</v>
      </c>
      <c r="E989" s="1" t="n">
        <v>10280</v>
      </c>
      <c r="F989" s="1" t="n"/>
      <c r="G989" s="1" t="n"/>
      <c r="H989" s="1" t="n"/>
      <c r="I989" s="1" t="inlineStr">
        <is>
          <t>BTC</t>
        </is>
      </c>
      <c r="J989" s="1" t="n">
        <v>1583</v>
      </c>
      <c r="K989" s="1" t="n"/>
      <c r="L989" s="1" t="n">
        <v>1604</v>
      </c>
      <c r="M989" s="1" t="n">
        <v>0.595</v>
      </c>
      <c r="N989" s="1" t="n">
        <v>8.435</v>
      </c>
      <c r="O989" s="1" t="n">
        <v>8.279</v>
      </c>
      <c r="P989" s="9" t="n">
        <v>8.375</v>
      </c>
    </row>
    <row r="990">
      <c r="A990" s="6" t="n">
        <v>9.625</v>
      </c>
      <c r="B990" s="2" t="n">
        <v>58.4</v>
      </c>
      <c r="C990" s="2" t="inlineStr">
        <is>
          <t>C-95</t>
        </is>
      </c>
      <c r="D990" s="2" t="n">
        <v>8880</v>
      </c>
      <c r="E990" s="2" t="n">
        <v>10280</v>
      </c>
      <c r="F990" s="2" t="n"/>
      <c r="G990" s="2" t="n"/>
      <c r="H990" s="2" t="n"/>
      <c r="I990" s="2" t="inlineStr">
        <is>
          <t>LTC</t>
        </is>
      </c>
      <c r="J990" s="2" t="n">
        <v>1341</v>
      </c>
      <c r="K990" s="2" t="n"/>
      <c r="L990" s="2" t="n">
        <v>1604</v>
      </c>
      <c r="M990" s="2" t="n">
        <v>0.595</v>
      </c>
      <c r="N990" s="2" t="n">
        <v>8.435</v>
      </c>
      <c r="O990" s="2" t="n">
        <v>8.279</v>
      </c>
      <c r="P990" s="7" t="n">
        <v>8.375</v>
      </c>
    </row>
    <row r="991">
      <c r="A991" s="6" t="n">
        <v>9.625</v>
      </c>
      <c r="B991" s="2" t="n">
        <v>58.4</v>
      </c>
      <c r="C991" s="2" t="inlineStr">
        <is>
          <t>C-95</t>
        </is>
      </c>
      <c r="D991" s="2" t="n">
        <v>8880</v>
      </c>
      <c r="E991" s="2" t="n">
        <v>10280</v>
      </c>
      <c r="F991" s="2" t="n"/>
      <c r="G991" s="2" t="n"/>
      <c r="H991" s="2" t="n"/>
      <c r="I991" s="2" t="inlineStr">
        <is>
          <t>BTC</t>
        </is>
      </c>
      <c r="J991" s="2" t="n">
        <v>1583</v>
      </c>
      <c r="K991" s="2" t="n"/>
      <c r="L991" s="2" t="n">
        <v>1604</v>
      </c>
      <c r="M991" s="2" t="n">
        <v>0.595</v>
      </c>
      <c r="N991" s="2" t="n">
        <v>8.435</v>
      </c>
      <c r="O991" s="2" t="n">
        <v>8.279</v>
      </c>
      <c r="P991" s="7" t="n">
        <v>8.375</v>
      </c>
    </row>
    <row r="992">
      <c r="A992" s="8" t="n">
        <v>9.625</v>
      </c>
      <c r="B992" s="1" t="n">
        <v>58.4</v>
      </c>
      <c r="C992" s="1" t="inlineStr">
        <is>
          <t>P-110</t>
        </is>
      </c>
      <c r="D992" s="1" t="n">
        <v>9760</v>
      </c>
      <c r="E992" s="1" t="n">
        <v>11900</v>
      </c>
      <c r="F992" s="1" t="n"/>
      <c r="G992" s="1" t="n"/>
      <c r="H992" s="1" t="n"/>
      <c r="I992" s="1" t="inlineStr">
        <is>
          <t>LTC</t>
        </is>
      </c>
      <c r="J992" s="1" t="n">
        <v>1564</v>
      </c>
      <c r="K992" s="1" t="n"/>
      <c r="L992" s="1" t="n">
        <v>1857</v>
      </c>
      <c r="M992" s="1" t="n">
        <v>0.595</v>
      </c>
      <c r="N992" s="1" t="n">
        <v>8.435</v>
      </c>
      <c r="O992" s="1" t="n">
        <v>8.279</v>
      </c>
      <c r="P992" s="9" t="n">
        <v>8.375</v>
      </c>
    </row>
    <row r="993">
      <c r="A993" s="8" t="n">
        <v>9.625</v>
      </c>
      <c r="B993" s="1" t="n">
        <v>58.4</v>
      </c>
      <c r="C993" s="1" t="inlineStr">
        <is>
          <t>P-110</t>
        </is>
      </c>
      <c r="D993" s="1" t="n">
        <v>9760</v>
      </c>
      <c r="E993" s="1" t="n">
        <v>11900</v>
      </c>
      <c r="F993" s="1" t="n"/>
      <c r="G993" s="1" t="n"/>
      <c r="H993" s="1" t="n"/>
      <c r="I993" s="1" t="inlineStr">
        <is>
          <t>BTC</t>
        </is>
      </c>
      <c r="J993" s="1" t="n">
        <v>1865</v>
      </c>
      <c r="K993" s="1" t="n"/>
      <c r="L993" s="1" t="n">
        <v>1857</v>
      </c>
      <c r="M993" s="1" t="n">
        <v>0.595</v>
      </c>
      <c r="N993" s="1" t="n">
        <v>8.435</v>
      </c>
      <c r="O993" s="1" t="n">
        <v>8.279</v>
      </c>
      <c r="P993" s="9" t="n">
        <v>8.375</v>
      </c>
    </row>
    <row r="994">
      <c r="A994" s="6" t="n">
        <v>9.625</v>
      </c>
      <c r="B994" s="2" t="n">
        <v>58.4</v>
      </c>
      <c r="C994" s="2" t="inlineStr">
        <is>
          <t>Q-125</t>
        </is>
      </c>
      <c r="D994" s="2" t="n">
        <v>10530</v>
      </c>
      <c r="E994" s="2" t="n">
        <v>13520</v>
      </c>
      <c r="F994" s="2" t="n"/>
      <c r="G994" s="2" t="n"/>
      <c r="H994" s="2" t="n"/>
      <c r="I994" s="2" t="inlineStr">
        <is>
          <t>LTC</t>
        </is>
      </c>
      <c r="J994" s="2" t="n">
        <v>1754</v>
      </c>
      <c r="K994" s="2" t="n"/>
      <c r="L994" s="2" t="n">
        <v>2110</v>
      </c>
      <c r="M994" s="2" t="n">
        <v>0.595</v>
      </c>
      <c r="N994" s="2" t="n">
        <v>8.435</v>
      </c>
      <c r="O994" s="2" t="n">
        <v>8.279</v>
      </c>
      <c r="P994" s="7" t="n">
        <v>8.375</v>
      </c>
    </row>
    <row r="995">
      <c r="A995" s="6" t="n">
        <v>9.625</v>
      </c>
      <c r="B995" s="2" t="n">
        <v>58.4</v>
      </c>
      <c r="C995" s="2" t="inlineStr">
        <is>
          <t>Q-125</t>
        </is>
      </c>
      <c r="D995" s="2" t="n">
        <v>10530</v>
      </c>
      <c r="E995" s="2" t="n">
        <v>13520</v>
      </c>
      <c r="F995" s="2" t="n"/>
      <c r="G995" s="2" t="n"/>
      <c r="H995" s="2" t="n"/>
      <c r="I995" s="2" t="inlineStr">
        <is>
          <t>BTC</t>
        </is>
      </c>
      <c r="J995" s="2" t="n">
        <v>2052</v>
      </c>
      <c r="K995" s="2" t="n"/>
      <c r="L995" s="2" t="n">
        <v>2110</v>
      </c>
      <c r="M995" s="2" t="n">
        <v>0.595</v>
      </c>
      <c r="N995" s="2" t="n">
        <v>8.435</v>
      </c>
      <c r="O995" s="2" t="n">
        <v>8.279</v>
      </c>
      <c r="P995" s="7" t="n">
        <v>8.375</v>
      </c>
    </row>
    <row r="996">
      <c r="A996" s="8" t="n">
        <v>9.625</v>
      </c>
      <c r="B996" s="1" t="n">
        <v>59.4</v>
      </c>
      <c r="C996" s="1" t="inlineStr">
        <is>
          <t>C-90</t>
        </is>
      </c>
      <c r="D996" s="1" t="n">
        <v>8980</v>
      </c>
      <c r="E996" s="1" t="n">
        <v>9970</v>
      </c>
      <c r="F996" s="1" t="n"/>
      <c r="G996" s="1" t="n"/>
      <c r="H996" s="1" t="n"/>
      <c r="I996" s="1" t="inlineStr">
        <is>
          <t>PE</t>
        </is>
      </c>
      <c r="J996" s="1" t="n">
        <v>1553</v>
      </c>
      <c r="K996" s="1" t="n"/>
      <c r="L996" s="1" t="n">
        <v>1553</v>
      </c>
      <c r="M996" s="1" t="n">
        <v>0.609</v>
      </c>
      <c r="N996" s="1" t="n">
        <v>8.407</v>
      </c>
      <c r="O996" s="1" t="n">
        <v>8.250999999999999</v>
      </c>
      <c r="P996" s="9" t="n"/>
    </row>
    <row r="997">
      <c r="A997" s="6" t="n">
        <v>9.625</v>
      </c>
      <c r="B997" s="2" t="n">
        <v>59.4</v>
      </c>
      <c r="C997" s="2" t="inlineStr">
        <is>
          <t>T-95</t>
        </is>
      </c>
      <c r="D997" s="2" t="n">
        <v>9320</v>
      </c>
      <c r="E997" s="2" t="n">
        <v>10520</v>
      </c>
      <c r="F997" s="2" t="n"/>
      <c r="G997" s="2" t="n"/>
      <c r="H997" s="2" t="n"/>
      <c r="I997" s="2" t="inlineStr">
        <is>
          <t>PE</t>
        </is>
      </c>
      <c r="J997" s="2" t="n">
        <v>1634</v>
      </c>
      <c r="K997" s="2" t="n"/>
      <c r="L997" s="2" t="n">
        <v>1634</v>
      </c>
      <c r="M997" s="2" t="n">
        <v>0.609</v>
      </c>
      <c r="N997" s="2" t="n">
        <v>8.407</v>
      </c>
      <c r="O997" s="2" t="n">
        <v>8.250999999999999</v>
      </c>
      <c r="P997" s="7" t="n"/>
    </row>
    <row r="998">
      <c r="A998" s="8" t="n">
        <v>9.625</v>
      </c>
      <c r="B998" s="1" t="n">
        <v>64.90000000000001</v>
      </c>
      <c r="C998" s="1" t="inlineStr">
        <is>
          <t>C-90</t>
        </is>
      </c>
      <c r="D998" s="1" t="n">
        <v>10800</v>
      </c>
      <c r="E998" s="1" t="n">
        <v>11000</v>
      </c>
      <c r="F998" s="1" t="n"/>
      <c r="G998" s="1" t="n"/>
      <c r="H998" s="1" t="n"/>
      <c r="I998" s="1" t="inlineStr">
        <is>
          <t>PE</t>
        </is>
      </c>
      <c r="J998" s="1" t="n">
        <v>1701</v>
      </c>
      <c r="K998" s="1" t="n"/>
      <c r="L998" s="1" t="n">
        <v>1701</v>
      </c>
      <c r="M998" s="1" t="n">
        <v>0.672</v>
      </c>
      <c r="N998" s="1" t="n">
        <v>8.281000000000001</v>
      </c>
      <c r="O998" s="1" t="n">
        <v>8.125</v>
      </c>
      <c r="P998" s="9" t="n"/>
    </row>
    <row r="999">
      <c r="A999" s="6" t="n">
        <v>9.625</v>
      </c>
      <c r="B999" s="2" t="n">
        <v>64.90000000000001</v>
      </c>
      <c r="C999" s="2" t="inlineStr">
        <is>
          <t>T-95</t>
        </is>
      </c>
      <c r="D999" s="2" t="n">
        <v>11260</v>
      </c>
      <c r="E999" s="2" t="n">
        <v>11610</v>
      </c>
      <c r="F999" s="2" t="n"/>
      <c r="G999" s="2" t="n"/>
      <c r="H999" s="2" t="n"/>
      <c r="I999" s="2" t="inlineStr">
        <is>
          <t>PE</t>
        </is>
      </c>
      <c r="J999" s="2" t="n">
        <v>1796</v>
      </c>
      <c r="K999" s="2" t="n"/>
      <c r="L999" s="2" t="n">
        <v>1796</v>
      </c>
      <c r="M999" s="2" t="n">
        <v>0.672</v>
      </c>
      <c r="N999" s="2" t="n">
        <v>8.281000000000001</v>
      </c>
      <c r="O999" s="2" t="n">
        <v>8.125</v>
      </c>
      <c r="P999" s="7" t="n"/>
    </row>
    <row r="1000">
      <c r="A1000" s="8" t="n">
        <v>9.625</v>
      </c>
      <c r="B1000" s="1" t="n">
        <v>70.3</v>
      </c>
      <c r="C1000" s="1" t="inlineStr">
        <is>
          <t>C-90</t>
        </is>
      </c>
      <c r="D1000" s="1" t="n">
        <v>12610</v>
      </c>
      <c r="E1000" s="1" t="n">
        <v>12010</v>
      </c>
      <c r="F1000" s="1" t="n"/>
      <c r="G1000" s="1" t="n"/>
      <c r="H1000" s="1" t="n"/>
      <c r="I1000" s="1" t="inlineStr">
        <is>
          <t>PE</t>
        </is>
      </c>
      <c r="J1000" s="1" t="n">
        <v>1845</v>
      </c>
      <c r="K1000" s="1" t="n"/>
      <c r="L1000" s="1" t="n">
        <v>1845</v>
      </c>
      <c r="M1000" s="1" t="n">
        <v>0.734</v>
      </c>
      <c r="N1000" s="1" t="n">
        <v>8.157</v>
      </c>
      <c r="O1000" s="1" t="n">
        <v>8.000999999999999</v>
      </c>
      <c r="P1000" s="9" t="n"/>
    </row>
    <row r="1001">
      <c r="A1001" s="6" t="n">
        <v>9.625</v>
      </c>
      <c r="B1001" s="2" t="n">
        <v>70.3</v>
      </c>
      <c r="C1001" s="2" t="inlineStr">
        <is>
          <t>T-95</t>
        </is>
      </c>
      <c r="D1001" s="2" t="n">
        <v>13180</v>
      </c>
      <c r="E1001" s="2" t="n">
        <v>12680</v>
      </c>
      <c r="F1001" s="2" t="n"/>
      <c r="G1001" s="2" t="n"/>
      <c r="H1001" s="2" t="n"/>
      <c r="I1001" s="2" t="inlineStr">
        <is>
          <t>PE</t>
        </is>
      </c>
      <c r="J1001" s="2" t="n">
        <v>1948</v>
      </c>
      <c r="K1001" s="2" t="n"/>
      <c r="L1001" s="2" t="n">
        <v>1948</v>
      </c>
      <c r="M1001" s="2" t="n">
        <v>0.734</v>
      </c>
      <c r="N1001" s="2" t="n">
        <v>8.157</v>
      </c>
      <c r="O1001" s="2" t="n">
        <v>8.000999999999999</v>
      </c>
      <c r="P1001" s="7" t="n"/>
    </row>
    <row r="1002">
      <c r="A1002" s="8" t="n">
        <v>9.625</v>
      </c>
      <c r="B1002" s="1" t="n">
        <v>75.59999999999999</v>
      </c>
      <c r="C1002" s="1" t="inlineStr">
        <is>
          <t>C-90</t>
        </is>
      </c>
      <c r="D1002" s="1" t="n">
        <v>13670</v>
      </c>
      <c r="E1002" s="1" t="n">
        <v>13040</v>
      </c>
      <c r="F1002" s="1" t="n"/>
      <c r="G1002" s="1" t="n"/>
      <c r="H1002" s="1" t="n"/>
      <c r="I1002" s="1" t="inlineStr">
        <is>
          <t>PE</t>
        </is>
      </c>
      <c r="J1002" s="1" t="n">
        <v>1989</v>
      </c>
      <c r="K1002" s="1" t="n"/>
      <c r="L1002" s="1" t="n">
        <v>1989</v>
      </c>
      <c r="M1002" s="1" t="n">
        <v>0.797</v>
      </c>
      <c r="N1002" s="1" t="n">
        <v>8.031000000000001</v>
      </c>
      <c r="O1002" s="1" t="n">
        <v>7.875</v>
      </c>
      <c r="P1002" s="9" t="n"/>
    </row>
    <row r="1003" ht="15.75" customHeight="1" s="613" thickBot="1">
      <c r="A1003" s="13" t="n">
        <v>9.625</v>
      </c>
      <c r="B1003" s="14" t="n">
        <v>75.59999999999999</v>
      </c>
      <c r="C1003" s="14" t="inlineStr">
        <is>
          <t>T-95</t>
        </is>
      </c>
      <c r="D1003" s="14" t="n">
        <v>14430</v>
      </c>
      <c r="E1003" s="14" t="n">
        <v>13770</v>
      </c>
      <c r="F1003" s="14" t="n"/>
      <c r="G1003" s="14" t="n"/>
      <c r="H1003" s="14" t="n"/>
      <c r="I1003" s="2" t="inlineStr">
        <is>
          <t>PE</t>
        </is>
      </c>
      <c r="J1003" s="14" t="n">
        <v>2100</v>
      </c>
      <c r="K1003" s="14" t="n"/>
      <c r="L1003" s="14" t="n">
        <v>2100</v>
      </c>
      <c r="M1003" s="14" t="n">
        <v>0.797</v>
      </c>
      <c r="N1003" s="14" t="n">
        <v>8.031000000000001</v>
      </c>
      <c r="O1003" s="14" t="n">
        <v>7.875</v>
      </c>
      <c r="P1003" s="15" t="n"/>
    </row>
    <row r="1004" ht="15.75" customHeight="1" s="613" thickBot="1">
      <c r="A1004" s="3" t="n">
        <v>9.75</v>
      </c>
      <c r="B1004" s="4" t="n">
        <v>59.2</v>
      </c>
      <c r="C1004" s="4" t="inlineStr">
        <is>
          <t>H2S-90</t>
        </is>
      </c>
      <c r="D1004" s="4" t="n">
        <v>9750</v>
      </c>
      <c r="E1004" s="4" t="n">
        <v>9610</v>
      </c>
      <c r="F1004" s="4" t="n"/>
      <c r="G1004" s="4" t="n"/>
      <c r="H1004" s="4" t="n"/>
      <c r="I1004" s="4" t="inlineStr">
        <is>
          <t>LTC</t>
        </is>
      </c>
      <c r="J1004" s="4" t="n">
        <v>1175</v>
      </c>
      <c r="K1004" s="4" t="n"/>
      <c r="L1004" s="4" t="n">
        <v>1540</v>
      </c>
      <c r="M1004" s="4" t="n">
        <v>0.595</v>
      </c>
      <c r="N1004" s="4" t="n">
        <v>8.56</v>
      </c>
      <c r="O1004" s="4" t="n"/>
      <c r="P1004" s="5" t="n">
        <v>8.5</v>
      </c>
    </row>
    <row r="1005">
      <c r="A1005" s="3" t="n">
        <v>9.75</v>
      </c>
      <c r="B1005" s="4" t="n">
        <v>59.2</v>
      </c>
      <c r="C1005" s="4" t="inlineStr">
        <is>
          <t>H2S-90</t>
        </is>
      </c>
      <c r="D1005" s="4" t="n">
        <v>9750</v>
      </c>
      <c r="E1005" s="4" t="n">
        <v>9610</v>
      </c>
      <c r="F1005" s="4" t="n"/>
      <c r="G1005" s="4" t="n"/>
      <c r="H1005" s="4" t="n"/>
      <c r="I1005" s="4" t="inlineStr">
        <is>
          <t>BTC</t>
        </is>
      </c>
      <c r="J1005" s="4" t="n">
        <v>1383</v>
      </c>
      <c r="K1005" s="4" t="n"/>
      <c r="L1005" s="4" t="n">
        <v>1540</v>
      </c>
      <c r="M1005" s="4" t="n">
        <v>0.595</v>
      </c>
      <c r="N1005" s="4" t="n">
        <v>8.56</v>
      </c>
      <c r="O1005" s="4" t="n"/>
      <c r="P1005" s="5" t="n">
        <v>8.5</v>
      </c>
    </row>
    <row r="1006">
      <c r="A1006" s="6" t="n">
        <v>9.75</v>
      </c>
      <c r="B1006" s="2" t="n">
        <v>59.2</v>
      </c>
      <c r="C1006" s="2" t="inlineStr">
        <is>
          <t>S-95</t>
        </is>
      </c>
      <c r="D1006" s="2" t="n">
        <v>9750</v>
      </c>
      <c r="E1006" s="2" t="n">
        <v>10150</v>
      </c>
      <c r="F1006" s="2" t="n"/>
      <c r="G1006" s="2" t="n"/>
      <c r="H1006" s="2" t="n"/>
      <c r="I1006" s="2" t="inlineStr">
        <is>
          <t>LTC</t>
        </is>
      </c>
      <c r="J1006" s="2" t="n">
        <v>1204</v>
      </c>
      <c r="K1006" s="2" t="n"/>
      <c r="L1006" s="2" t="n">
        <v>1626</v>
      </c>
      <c r="M1006" s="2" t="n">
        <v>0.595</v>
      </c>
      <c r="N1006" s="2" t="n">
        <v>8.56</v>
      </c>
      <c r="O1006" s="2" t="n"/>
      <c r="P1006" s="7" t="n">
        <v>8.5</v>
      </c>
    </row>
    <row r="1007">
      <c r="A1007" s="6" t="n">
        <v>9.75</v>
      </c>
      <c r="B1007" s="2" t="n">
        <v>59.2</v>
      </c>
      <c r="C1007" s="2" t="inlineStr">
        <is>
          <t>S-95</t>
        </is>
      </c>
      <c r="D1007" s="2" t="n">
        <v>9750</v>
      </c>
      <c r="E1007" s="2" t="n">
        <v>10150</v>
      </c>
      <c r="F1007" s="2" t="n"/>
      <c r="G1007" s="2" t="n"/>
      <c r="H1007" s="2" t="n"/>
      <c r="I1007" s="2" t="inlineStr">
        <is>
          <t>BTC</t>
        </is>
      </c>
      <c r="J1007" s="2" t="n">
        <v>1469</v>
      </c>
      <c r="K1007" s="2" t="n"/>
      <c r="L1007" s="2" t="n">
        <v>1626</v>
      </c>
      <c r="M1007" s="2" t="n">
        <v>0.595</v>
      </c>
      <c r="N1007" s="2" t="n">
        <v>8.56</v>
      </c>
      <c r="O1007" s="2" t="n"/>
      <c r="P1007" s="7" t="n">
        <v>8.5</v>
      </c>
    </row>
    <row r="1008">
      <c r="A1008" s="8" t="n">
        <v>9.75</v>
      </c>
      <c r="B1008" s="1" t="n">
        <v>59.2</v>
      </c>
      <c r="C1008" s="1" t="inlineStr">
        <is>
          <t>H2S-95</t>
        </is>
      </c>
      <c r="D1008" s="1" t="n">
        <v>9750</v>
      </c>
      <c r="E1008" s="1" t="n">
        <v>10150</v>
      </c>
      <c r="F1008" s="1" t="n"/>
      <c r="G1008" s="1" t="n"/>
      <c r="H1008" s="1" t="n"/>
      <c r="I1008" s="1" t="inlineStr">
        <is>
          <t>LTC</t>
        </is>
      </c>
      <c r="J1008" s="1" t="n">
        <v>1189</v>
      </c>
      <c r="K1008" s="1" t="n"/>
      <c r="L1008" s="1" t="n">
        <v>1626</v>
      </c>
      <c r="M1008" s="1" t="n">
        <v>0.595</v>
      </c>
      <c r="N1008" s="1" t="n">
        <v>8.56</v>
      </c>
      <c r="O1008" s="1" t="n"/>
      <c r="P1008" s="9" t="n">
        <v>8.5</v>
      </c>
    </row>
    <row r="1009">
      <c r="A1009" s="8" t="n">
        <v>9.75</v>
      </c>
      <c r="B1009" s="1" t="n">
        <v>59.2</v>
      </c>
      <c r="C1009" s="1" t="inlineStr">
        <is>
          <t>H2S-95</t>
        </is>
      </c>
      <c r="D1009" s="1" t="n">
        <v>9750</v>
      </c>
      <c r="E1009" s="1" t="n">
        <v>10150</v>
      </c>
      <c r="F1009" s="1" t="n"/>
      <c r="G1009" s="1" t="n"/>
      <c r="H1009" s="1" t="n"/>
      <c r="I1009" s="1" t="inlineStr">
        <is>
          <t>BTC</t>
        </is>
      </c>
      <c r="J1009" s="1" t="n">
        <v>1426</v>
      </c>
      <c r="K1009" s="1" t="n"/>
      <c r="L1009" s="1" t="n">
        <v>1626</v>
      </c>
      <c r="M1009" s="1" t="n">
        <v>0.595</v>
      </c>
      <c r="N1009" s="1" t="n">
        <v>8.56</v>
      </c>
      <c r="O1009" s="1" t="n"/>
      <c r="P1009" s="9" t="n">
        <v>8.5</v>
      </c>
    </row>
    <row r="1010">
      <c r="A1010" s="6" t="n">
        <v>9.75</v>
      </c>
      <c r="B1010" s="2" t="n">
        <v>59.2</v>
      </c>
      <c r="C1010" s="2" t="inlineStr">
        <is>
          <t>HCP-110</t>
        </is>
      </c>
      <c r="D1010" s="2" t="n">
        <v>9750</v>
      </c>
      <c r="E1010" s="2" t="n">
        <v>11750</v>
      </c>
      <c r="F1010" s="2" t="n"/>
      <c r="G1010" s="2" t="n"/>
      <c r="H1010" s="2" t="n"/>
      <c r="I1010" s="2" t="inlineStr">
        <is>
          <t>LTC</t>
        </is>
      </c>
      <c r="J1010" s="2" t="n">
        <v>1387</v>
      </c>
      <c r="K1010" s="2" t="n"/>
      <c r="L1010" s="2" t="n">
        <v>1882</v>
      </c>
      <c r="M1010" s="2" t="n">
        <v>0.595</v>
      </c>
      <c r="N1010" s="2" t="n">
        <v>8.56</v>
      </c>
      <c r="O1010" s="2" t="n"/>
      <c r="P1010" s="7" t="n">
        <v>8.5</v>
      </c>
    </row>
    <row r="1011">
      <c r="A1011" s="6" t="n">
        <v>9.75</v>
      </c>
      <c r="B1011" s="2" t="n">
        <v>59.2</v>
      </c>
      <c r="C1011" s="2" t="inlineStr">
        <is>
          <t>HCP-110</t>
        </is>
      </c>
      <c r="D1011" s="2" t="n">
        <v>9750</v>
      </c>
      <c r="E1011" s="2" t="n">
        <v>11750</v>
      </c>
      <c r="F1011" s="2" t="n"/>
      <c r="G1011" s="2" t="n"/>
      <c r="H1011" s="2" t="n"/>
      <c r="I1011" s="2" t="inlineStr">
        <is>
          <t>BTC</t>
        </is>
      </c>
      <c r="J1011" s="2" t="n">
        <v>1681</v>
      </c>
      <c r="K1011" s="2" t="n"/>
      <c r="L1011" s="2" t="n">
        <v>1882</v>
      </c>
      <c r="M1011" s="2" t="n">
        <v>0.595</v>
      </c>
      <c r="N1011" s="2" t="n">
        <v>8.56</v>
      </c>
      <c r="O1011" s="2" t="n"/>
      <c r="P1011" s="7" t="n">
        <v>8.5</v>
      </c>
    </row>
    <row r="1012">
      <c r="A1012" s="8" t="n">
        <v>9.75</v>
      </c>
      <c r="B1012" s="1" t="n">
        <v>59.2</v>
      </c>
      <c r="C1012" s="1" t="inlineStr">
        <is>
          <t>P-110</t>
        </is>
      </c>
      <c r="D1012" s="1" t="n">
        <v>9490</v>
      </c>
      <c r="E1012" s="1" t="n">
        <v>11750</v>
      </c>
      <c r="F1012" s="1" t="n"/>
      <c r="G1012" s="1" t="n"/>
      <c r="H1012" s="1" t="n"/>
      <c r="I1012" s="1" t="inlineStr">
        <is>
          <t>LTC</t>
        </is>
      </c>
      <c r="J1012" s="1" t="n">
        <v>1387</v>
      </c>
      <c r="K1012" s="1" t="n"/>
      <c r="L1012" s="1" t="n">
        <v>1882</v>
      </c>
      <c r="M1012" s="1" t="n">
        <v>0.595</v>
      </c>
      <c r="N1012" s="1" t="n">
        <v>8.56</v>
      </c>
      <c r="O1012" s="1" t="n"/>
      <c r="P1012" s="9" t="n">
        <v>8.5</v>
      </c>
    </row>
    <row r="1013">
      <c r="A1013" s="8" t="n">
        <v>9.75</v>
      </c>
      <c r="B1013" s="1" t="n">
        <v>59.2</v>
      </c>
      <c r="C1013" s="1" t="inlineStr">
        <is>
          <t>P-110</t>
        </is>
      </c>
      <c r="D1013" s="1" t="n">
        <v>9490</v>
      </c>
      <c r="E1013" s="1" t="n">
        <v>11750</v>
      </c>
      <c r="F1013" s="1" t="n"/>
      <c r="G1013" s="1" t="n"/>
      <c r="H1013" s="1" t="n"/>
      <c r="I1013" s="1" t="inlineStr">
        <is>
          <t>BTC</t>
        </is>
      </c>
      <c r="J1013" s="1" t="n">
        <v>1681</v>
      </c>
      <c r="K1013" s="1" t="n"/>
      <c r="L1013" s="1" t="n">
        <v>1882</v>
      </c>
      <c r="M1013" s="1" t="n">
        <v>0.595</v>
      </c>
      <c r="N1013" s="1" t="n">
        <v>8.56</v>
      </c>
      <c r="O1013" s="1" t="n"/>
      <c r="P1013" s="9" t="n">
        <v>8.5</v>
      </c>
    </row>
    <row r="1014" ht="15.75" customHeight="1" s="613" thickBot="1">
      <c r="A1014" s="13" t="n">
        <v>9.75</v>
      </c>
      <c r="B1014" s="14" t="n">
        <v>59.2</v>
      </c>
      <c r="C1014" s="14" t="inlineStr">
        <is>
          <t>Q-125</t>
        </is>
      </c>
      <c r="D1014" s="14" t="n">
        <v>10210</v>
      </c>
      <c r="E1014" s="14" t="n">
        <v>13350</v>
      </c>
      <c r="F1014" s="14" t="n"/>
      <c r="G1014" s="14" t="n"/>
      <c r="H1014" s="14" t="n"/>
      <c r="I1014" s="14" t="inlineStr">
        <is>
          <t>LTC</t>
        </is>
      </c>
      <c r="J1014" s="14" t="n">
        <v>1555</v>
      </c>
      <c r="K1014" s="14" t="n"/>
      <c r="L1014" s="14" t="n">
        <v>2139</v>
      </c>
      <c r="M1014" s="14" t="n">
        <v>0.595</v>
      </c>
      <c r="N1014" s="14" t="n">
        <v>8.56</v>
      </c>
      <c r="O1014" s="14" t="n"/>
      <c r="P1014" s="15" t="n">
        <v>8.5</v>
      </c>
    </row>
    <row r="1015" ht="15.75" customHeight="1" s="613" thickBot="1">
      <c r="A1015" s="13" t="n">
        <v>9.75</v>
      </c>
      <c r="B1015" s="14" t="n">
        <v>59.2</v>
      </c>
      <c r="C1015" s="14" t="inlineStr">
        <is>
          <t>Q-125</t>
        </is>
      </c>
      <c r="D1015" s="14" t="n">
        <v>10210</v>
      </c>
      <c r="E1015" s="14" t="n">
        <v>13350</v>
      </c>
      <c r="F1015" s="14" t="n"/>
      <c r="G1015" s="14" t="n"/>
      <c r="H1015" s="14" t="n"/>
      <c r="I1015" s="14" t="inlineStr">
        <is>
          <t>BTC</t>
        </is>
      </c>
      <c r="J1015" s="14" t="n">
        <v>1850</v>
      </c>
      <c r="K1015" s="14" t="n"/>
      <c r="L1015" s="14" t="n">
        <v>2139</v>
      </c>
      <c r="M1015" s="14" t="n">
        <v>0.595</v>
      </c>
      <c r="N1015" s="14" t="n">
        <v>8.56</v>
      </c>
      <c r="O1015" s="14" t="n"/>
      <c r="P1015" s="15" t="n">
        <v>8.5</v>
      </c>
    </row>
    <row r="1016" ht="15.75" customHeight="1" s="613" thickBot="1">
      <c r="A1016" s="3" t="n">
        <v>9.875</v>
      </c>
      <c r="B1016" s="4" t="n">
        <v>62.8</v>
      </c>
      <c r="C1016" s="4" t="inlineStr">
        <is>
          <t>H2S-90</t>
        </is>
      </c>
      <c r="D1016" s="4" t="n">
        <v>10180</v>
      </c>
      <c r="E1016" s="4" t="n">
        <v>9970</v>
      </c>
      <c r="F1016" s="4" t="n"/>
      <c r="G1016" s="4" t="n"/>
      <c r="H1016" s="4" t="n"/>
      <c r="I1016" s="4" t="inlineStr">
        <is>
          <t>LTC</t>
        </is>
      </c>
      <c r="J1016" s="4" t="n">
        <v>1096</v>
      </c>
      <c r="K1016" s="4" t="n"/>
      <c r="L1016" s="4" t="n">
        <v>1635</v>
      </c>
      <c r="M1016" s="4" t="n">
        <v>0.625</v>
      </c>
      <c r="N1016" s="4" t="n">
        <v>8.625</v>
      </c>
      <c r="O1016" s="4" t="n"/>
      <c r="P1016" s="5" t="n">
        <v>8.5</v>
      </c>
    </row>
    <row r="1017">
      <c r="A1017" s="3" t="n">
        <v>9.875</v>
      </c>
      <c r="B1017" s="4" t="n">
        <v>62.8</v>
      </c>
      <c r="C1017" s="4" t="inlineStr">
        <is>
          <t>H2S-90</t>
        </is>
      </c>
      <c r="D1017" s="4" t="n">
        <v>10180</v>
      </c>
      <c r="E1017" s="4" t="n">
        <v>9940</v>
      </c>
      <c r="F1017" s="4" t="n"/>
      <c r="G1017" s="4" t="n"/>
      <c r="H1017" s="4" t="n"/>
      <c r="I1017" s="4" t="inlineStr">
        <is>
          <t>BTC</t>
        </is>
      </c>
      <c r="J1017" s="4" t="n">
        <v>1304</v>
      </c>
      <c r="K1017" s="4" t="n"/>
      <c r="L1017" s="4" t="n">
        <v>1635</v>
      </c>
      <c r="M1017" s="4" t="n">
        <v>0.625</v>
      </c>
      <c r="N1017" s="4" t="n">
        <v>8.625</v>
      </c>
      <c r="O1017" s="4" t="n"/>
      <c r="P1017" s="5" t="n">
        <v>8.5</v>
      </c>
    </row>
    <row r="1018">
      <c r="A1018" s="6" t="n">
        <v>9.875</v>
      </c>
      <c r="B1018" s="2" t="n">
        <v>62.8</v>
      </c>
      <c r="C1018" s="2" t="inlineStr">
        <is>
          <t>S-95</t>
        </is>
      </c>
      <c r="D1018" s="2" t="n">
        <v>10180</v>
      </c>
      <c r="E1018" s="2" t="n">
        <v>10520</v>
      </c>
      <c r="F1018" s="2" t="n"/>
      <c r="G1018" s="2" t="n"/>
      <c r="H1018" s="2" t="n"/>
      <c r="I1018" s="2" t="inlineStr">
        <is>
          <t>LTC</t>
        </is>
      </c>
      <c r="J1018" s="2" t="n">
        <v>1123</v>
      </c>
      <c r="K1018" s="2" t="n"/>
      <c r="L1018" s="2" t="n">
        <v>1725</v>
      </c>
      <c r="M1018" s="2" t="n">
        <v>0.625</v>
      </c>
      <c r="N1018" s="2" t="n">
        <v>8.625</v>
      </c>
      <c r="O1018" s="2" t="n"/>
      <c r="P1018" s="7" t="n">
        <v>8.5</v>
      </c>
    </row>
    <row r="1019">
      <c r="A1019" s="6" t="n">
        <v>9.875</v>
      </c>
      <c r="B1019" s="2" t="n">
        <v>62.8</v>
      </c>
      <c r="C1019" s="2" t="inlineStr">
        <is>
          <t>S-95</t>
        </is>
      </c>
      <c r="D1019" s="2" t="n">
        <v>10180</v>
      </c>
      <c r="E1019" s="2" t="n">
        <v>10490</v>
      </c>
      <c r="F1019" s="2" t="n"/>
      <c r="G1019" s="2" t="n"/>
      <c r="H1019" s="2" t="n"/>
      <c r="I1019" s="2" t="inlineStr">
        <is>
          <t>BTC</t>
        </is>
      </c>
      <c r="J1019" s="2" t="n">
        <v>1385</v>
      </c>
      <c r="K1019" s="2" t="n"/>
      <c r="L1019" s="2" t="n">
        <v>1725</v>
      </c>
      <c r="M1019" s="2" t="n">
        <v>0.625</v>
      </c>
      <c r="N1019" s="2" t="n">
        <v>8.625</v>
      </c>
      <c r="O1019" s="2" t="n"/>
      <c r="P1019" s="7" t="n">
        <v>8.5</v>
      </c>
    </row>
    <row r="1020">
      <c r="A1020" s="8" t="n">
        <v>9.875</v>
      </c>
      <c r="B1020" s="1" t="n">
        <v>62.8</v>
      </c>
      <c r="C1020" s="1" t="inlineStr">
        <is>
          <t>H2S-95</t>
        </is>
      </c>
      <c r="D1020" s="1" t="n">
        <v>10180</v>
      </c>
      <c r="E1020" s="1" t="n">
        <v>10520</v>
      </c>
      <c r="F1020" s="1" t="n"/>
      <c r="G1020" s="1" t="n"/>
      <c r="H1020" s="1" t="n"/>
      <c r="I1020" s="1" t="inlineStr">
        <is>
          <t>LTC</t>
        </is>
      </c>
      <c r="J1020" s="1" t="n">
        <v>1109</v>
      </c>
      <c r="K1020" s="1" t="n"/>
      <c r="L1020" s="1" t="n">
        <v>1725</v>
      </c>
      <c r="M1020" s="1" t="n">
        <v>0.625</v>
      </c>
      <c r="N1020" s="1" t="n">
        <v>8.625</v>
      </c>
      <c r="O1020" s="1" t="n"/>
      <c r="P1020" s="9" t="n">
        <v>8.5</v>
      </c>
    </row>
    <row r="1021">
      <c r="A1021" s="8" t="n">
        <v>9.875</v>
      </c>
      <c r="B1021" s="1" t="n">
        <v>62.8</v>
      </c>
      <c r="C1021" s="1" t="inlineStr">
        <is>
          <t>H2S-95</t>
        </is>
      </c>
      <c r="D1021" s="1" t="n">
        <v>10180</v>
      </c>
      <c r="E1021" s="1" t="n">
        <v>10490</v>
      </c>
      <c r="F1021" s="1" t="n"/>
      <c r="G1021" s="1" t="n"/>
      <c r="H1021" s="1" t="n"/>
      <c r="I1021" s="1" t="inlineStr">
        <is>
          <t>BTC</t>
        </is>
      </c>
      <c r="J1021" s="1" t="n">
        <v>1344</v>
      </c>
      <c r="K1021" s="1" t="n"/>
      <c r="L1021" s="1" t="n">
        <v>1725</v>
      </c>
      <c r="M1021" s="1" t="n">
        <v>0.625</v>
      </c>
      <c r="N1021" s="1" t="n">
        <v>8.625</v>
      </c>
      <c r="O1021" s="1" t="n"/>
      <c r="P1021" s="9" t="n">
        <v>8.5</v>
      </c>
    </row>
    <row r="1022">
      <c r="A1022" s="6" t="n">
        <v>9.875</v>
      </c>
      <c r="B1022" s="2" t="n">
        <v>62.8</v>
      </c>
      <c r="C1022" s="2" t="inlineStr">
        <is>
          <t>P-110</t>
        </is>
      </c>
      <c r="D1022" s="2" t="n">
        <v>10280</v>
      </c>
      <c r="E1022" s="2" t="n">
        <v>12180</v>
      </c>
      <c r="F1022" s="2" t="n"/>
      <c r="G1022" s="2" t="n"/>
      <c r="H1022" s="2" t="n"/>
      <c r="I1022" s="2" t="inlineStr">
        <is>
          <t>LTC</t>
        </is>
      </c>
      <c r="J1022" s="2" t="n">
        <v>1294</v>
      </c>
      <c r="K1022" s="2" t="n"/>
      <c r="L1022" s="2" t="n">
        <v>1998</v>
      </c>
      <c r="M1022" s="2" t="n">
        <v>0.625</v>
      </c>
      <c r="N1022" s="2" t="n">
        <v>8.625</v>
      </c>
      <c r="O1022" s="2" t="n"/>
      <c r="P1022" s="7" t="n">
        <v>8.5</v>
      </c>
    </row>
    <row r="1023">
      <c r="A1023" s="6" t="n">
        <v>9.875</v>
      </c>
      <c r="B1023" s="2" t="n">
        <v>62.8</v>
      </c>
      <c r="C1023" s="2" t="inlineStr">
        <is>
          <t>P-110</t>
        </is>
      </c>
      <c r="D1023" s="2" t="n">
        <v>10280</v>
      </c>
      <c r="E1023" s="2" t="n">
        <v>12140</v>
      </c>
      <c r="F1023" s="2" t="n"/>
      <c r="G1023" s="2" t="n"/>
      <c r="H1023" s="2" t="n"/>
      <c r="I1023" s="2" t="inlineStr">
        <is>
          <t>BTC</t>
        </is>
      </c>
      <c r="J1023" s="2" t="n">
        <v>1584</v>
      </c>
      <c r="K1023" s="2" t="n"/>
      <c r="L1023" s="2" t="n">
        <v>1998</v>
      </c>
      <c r="M1023" s="2" t="n">
        <v>0.625</v>
      </c>
      <c r="N1023" s="2" t="n">
        <v>8.625</v>
      </c>
      <c r="O1023" s="2" t="n"/>
      <c r="P1023" s="7" t="n">
        <v>8.5</v>
      </c>
    </row>
    <row r="1024" ht="15.75" customHeight="1" s="613" thickBot="1">
      <c r="A1024" s="10" t="n">
        <v>9.875</v>
      </c>
      <c r="B1024" s="11" t="n">
        <v>62.8</v>
      </c>
      <c r="C1024" s="11" t="inlineStr">
        <is>
          <t>Q-125</t>
        </is>
      </c>
      <c r="D1024" s="11" t="n">
        <v>11140</v>
      </c>
      <c r="E1024" s="11" t="n">
        <v>13840</v>
      </c>
      <c r="F1024" s="11" t="n"/>
      <c r="G1024" s="11" t="n"/>
      <c r="H1024" s="11" t="n"/>
      <c r="I1024" s="11" t="inlineStr">
        <is>
          <t>LTC</t>
        </is>
      </c>
      <c r="J1024" s="11" t="n">
        <v>1451</v>
      </c>
      <c r="K1024" s="11" t="n"/>
      <c r="L1024" s="11" t="n">
        <v>2270</v>
      </c>
      <c r="M1024" s="11" t="n">
        <v>0.625</v>
      </c>
      <c r="N1024" s="11" t="n">
        <v>8.625</v>
      </c>
      <c r="O1024" s="11" t="n"/>
      <c r="P1024" s="12" t="n">
        <v>8.5</v>
      </c>
    </row>
    <row r="1025" ht="15.75" customHeight="1" s="613" thickBot="1">
      <c r="A1025" s="10" t="n">
        <v>9.875</v>
      </c>
      <c r="B1025" s="11" t="n">
        <v>62.8</v>
      </c>
      <c r="C1025" s="11" t="inlineStr">
        <is>
          <t>Q-125</t>
        </is>
      </c>
      <c r="D1025" s="11" t="n">
        <v>11140</v>
      </c>
      <c r="E1025" s="11" t="n">
        <v>13800</v>
      </c>
      <c r="F1025" s="11" t="n"/>
      <c r="G1025" s="11" t="n"/>
      <c r="H1025" s="11" t="n"/>
      <c r="I1025" s="11" t="inlineStr">
        <is>
          <t>BTC</t>
        </is>
      </c>
      <c r="J1025" s="11" t="n">
        <v>1743</v>
      </c>
      <c r="K1025" s="11" t="n"/>
      <c r="L1025" s="11" t="n">
        <v>2270</v>
      </c>
      <c r="M1025" s="11" t="n">
        <v>0.625</v>
      </c>
      <c r="N1025" s="11" t="n">
        <v>8.625</v>
      </c>
      <c r="O1025" s="11" t="n"/>
      <c r="P1025" s="12" t="n">
        <v>8.5</v>
      </c>
    </row>
    <row r="1026">
      <c r="A1026" s="16" t="n">
        <v>10.75</v>
      </c>
      <c r="B1026" s="17" t="n">
        <v>32.75</v>
      </c>
      <c r="C1026" s="17" t="inlineStr">
        <is>
          <t>H-40</t>
        </is>
      </c>
      <c r="D1026" s="17" t="n">
        <v>840</v>
      </c>
      <c r="E1026" s="17" t="n">
        <v>1820</v>
      </c>
      <c r="F1026" s="17" t="n"/>
      <c r="G1026" s="17" t="n"/>
      <c r="H1026" s="17" t="n"/>
      <c r="I1026" s="17" t="inlineStr">
        <is>
          <t>STC</t>
        </is>
      </c>
      <c r="J1026" s="17" t="n">
        <v>205</v>
      </c>
      <c r="K1026" s="17" t="n"/>
      <c r="L1026" s="17" t="n">
        <v>367</v>
      </c>
      <c r="M1026" s="17" t="n">
        <v>0.279</v>
      </c>
      <c r="N1026" s="17" t="n">
        <v>10.192</v>
      </c>
      <c r="O1026" s="17" t="n">
        <v>10.036</v>
      </c>
      <c r="P1026" s="18" t="n"/>
    </row>
    <row r="1027">
      <c r="A1027" s="8" t="n">
        <v>10.75</v>
      </c>
      <c r="B1027" s="1" t="n">
        <v>40.5</v>
      </c>
      <c r="C1027" s="1" t="inlineStr">
        <is>
          <t>H-40</t>
        </is>
      </c>
      <c r="D1027" s="1" t="n">
        <v>1390</v>
      </c>
      <c r="E1027" s="1" t="n">
        <v>2280</v>
      </c>
      <c r="F1027" s="1" t="n"/>
      <c r="G1027" s="1" t="n"/>
      <c r="H1027" s="1" t="n"/>
      <c r="I1027" s="1" t="inlineStr">
        <is>
          <t>STC</t>
        </is>
      </c>
      <c r="J1027" s="1" t="n">
        <v>314</v>
      </c>
      <c r="K1027" s="1" t="n"/>
      <c r="L1027" s="1" t="n">
        <v>457</v>
      </c>
      <c r="M1027" s="1" t="n">
        <v>0.35</v>
      </c>
      <c r="N1027" s="1" t="n">
        <v>10.05</v>
      </c>
      <c r="O1027" s="1" t="n">
        <v>9.894</v>
      </c>
      <c r="P1027" s="9" t="n"/>
    </row>
    <row r="1028">
      <c r="A1028" s="6" t="n">
        <v>10.75</v>
      </c>
      <c r="B1028" s="2" t="n">
        <v>40.5</v>
      </c>
      <c r="C1028" s="2" t="inlineStr">
        <is>
          <t>J-55</t>
        </is>
      </c>
      <c r="D1028" s="2" t="n">
        <v>1580</v>
      </c>
      <c r="E1028" s="2" t="n">
        <v>3130</v>
      </c>
      <c r="F1028" s="2" t="n"/>
      <c r="G1028" s="2" t="n"/>
      <c r="H1028" s="2" t="n"/>
      <c r="I1028" s="2" t="inlineStr">
        <is>
          <t>STC</t>
        </is>
      </c>
      <c r="J1028" s="2" t="n">
        <v>420</v>
      </c>
      <c r="K1028" s="2" t="n"/>
      <c r="L1028" s="2" t="n">
        <v>629</v>
      </c>
      <c r="M1028" s="2" t="n">
        <v>0.35</v>
      </c>
      <c r="N1028" s="2" t="n">
        <v>10.05</v>
      </c>
      <c r="O1028" s="2" t="n">
        <v>9.894</v>
      </c>
      <c r="P1028" s="7" t="n"/>
    </row>
    <row r="1029">
      <c r="A1029" s="6" t="n">
        <v>10.75</v>
      </c>
      <c r="B1029" s="2" t="n">
        <v>40.5</v>
      </c>
      <c r="C1029" s="2" t="inlineStr">
        <is>
          <t>J-55</t>
        </is>
      </c>
      <c r="D1029" s="2" t="n">
        <v>1580</v>
      </c>
      <c r="E1029" s="2" t="n">
        <v>3130</v>
      </c>
      <c r="F1029" s="2" t="n"/>
      <c r="G1029" s="2" t="n"/>
      <c r="H1029" s="2" t="n"/>
      <c r="I1029" s="2" t="inlineStr">
        <is>
          <t>BTC</t>
        </is>
      </c>
      <c r="J1029" s="2" t="n">
        <v>700</v>
      </c>
      <c r="K1029" s="2" t="n"/>
      <c r="L1029" s="2" t="n">
        <v>629</v>
      </c>
      <c r="M1029" s="2" t="n">
        <v>0.35</v>
      </c>
      <c r="N1029" s="2" t="n">
        <v>10.05</v>
      </c>
      <c r="O1029" s="2" t="n">
        <v>9.894</v>
      </c>
      <c r="P1029" s="7" t="n"/>
    </row>
    <row r="1030">
      <c r="A1030" s="8" t="n">
        <v>10.75</v>
      </c>
      <c r="B1030" s="1" t="n">
        <v>40.5</v>
      </c>
      <c r="C1030" s="1" t="inlineStr">
        <is>
          <t>K-55</t>
        </is>
      </c>
      <c r="D1030" s="1" t="n">
        <v>1580</v>
      </c>
      <c r="E1030" s="1" t="n">
        <v>3130</v>
      </c>
      <c r="F1030" s="1" t="n"/>
      <c r="G1030" s="1" t="n"/>
      <c r="H1030" s="1" t="n"/>
      <c r="I1030" s="1" t="inlineStr">
        <is>
          <t>STC</t>
        </is>
      </c>
      <c r="J1030" s="1" t="n">
        <v>450</v>
      </c>
      <c r="K1030" s="1" t="n"/>
      <c r="L1030" s="1" t="n">
        <v>629</v>
      </c>
      <c r="M1030" s="1" t="n">
        <v>0.35</v>
      </c>
      <c r="N1030" s="1" t="n">
        <v>10.05</v>
      </c>
      <c r="O1030" s="1" t="n">
        <v>9.894</v>
      </c>
      <c r="P1030" s="9" t="n"/>
    </row>
    <row r="1031">
      <c r="A1031" s="8" t="n">
        <v>10.75</v>
      </c>
      <c r="B1031" s="1" t="n">
        <v>40.5</v>
      </c>
      <c r="C1031" s="1" t="inlineStr">
        <is>
          <t>K-55</t>
        </is>
      </c>
      <c r="D1031" s="1" t="n">
        <v>1580</v>
      </c>
      <c r="E1031" s="1" t="n">
        <v>3130</v>
      </c>
      <c r="F1031" s="1" t="n"/>
      <c r="G1031" s="1" t="n"/>
      <c r="H1031" s="1" t="n"/>
      <c r="I1031" s="1" t="inlineStr">
        <is>
          <t>BTC</t>
        </is>
      </c>
      <c r="J1031" s="1" t="n">
        <v>819</v>
      </c>
      <c r="K1031" s="1" t="n"/>
      <c r="L1031" s="1" t="n">
        <v>629</v>
      </c>
      <c r="M1031" s="1" t="n">
        <v>0.35</v>
      </c>
      <c r="N1031" s="1" t="n">
        <v>10.05</v>
      </c>
      <c r="O1031" s="1" t="n">
        <v>9.894</v>
      </c>
      <c r="P1031" s="9" t="n"/>
    </row>
    <row r="1032">
      <c r="A1032" s="6" t="n">
        <v>10.75</v>
      </c>
      <c r="B1032" s="2" t="n">
        <v>40.5</v>
      </c>
      <c r="C1032" s="2" t="inlineStr">
        <is>
          <t>HCK-55</t>
        </is>
      </c>
      <c r="D1032" s="2" t="n">
        <v>2100</v>
      </c>
      <c r="E1032" s="2" t="n">
        <v>3130</v>
      </c>
      <c r="F1032" s="2" t="n"/>
      <c r="G1032" s="2" t="n"/>
      <c r="H1032" s="2" t="n"/>
      <c r="I1032" s="2" t="inlineStr">
        <is>
          <t>STC</t>
        </is>
      </c>
      <c r="J1032" s="2" t="n">
        <v>562</v>
      </c>
      <c r="K1032" s="2" t="n"/>
      <c r="L1032" s="2" t="n">
        <v>629</v>
      </c>
      <c r="M1032" s="2" t="n">
        <v>0.35</v>
      </c>
      <c r="N1032" s="2" t="n">
        <v>10.05</v>
      </c>
      <c r="O1032" s="2" t="n">
        <v>9.894</v>
      </c>
      <c r="P1032" s="7" t="n"/>
    </row>
    <row r="1033">
      <c r="A1033" s="6" t="n">
        <v>10.75</v>
      </c>
      <c r="B1033" s="2" t="n">
        <v>40.5</v>
      </c>
      <c r="C1033" s="2" t="inlineStr">
        <is>
          <t>HCK-55</t>
        </is>
      </c>
      <c r="D1033" s="2" t="n">
        <v>2100</v>
      </c>
      <c r="E1033" s="2" t="n">
        <v>3130</v>
      </c>
      <c r="F1033" s="2" t="n"/>
      <c r="G1033" s="2" t="n"/>
      <c r="H1033" s="2" t="n"/>
      <c r="I1033" s="2" t="inlineStr">
        <is>
          <t>BTC</t>
        </is>
      </c>
      <c r="J1033" s="2" t="n">
        <v>911</v>
      </c>
      <c r="K1033" s="2" t="n"/>
      <c r="L1033" s="2" t="n">
        <v>629</v>
      </c>
      <c r="M1033" s="2" t="n">
        <v>0.35</v>
      </c>
      <c r="N1033" s="2" t="n">
        <v>10.05</v>
      </c>
      <c r="O1033" s="2" t="n">
        <v>9.894</v>
      </c>
      <c r="P1033" s="7" t="n"/>
    </row>
    <row r="1034">
      <c r="A1034" s="8" t="n">
        <v>10.75</v>
      </c>
      <c r="B1034" s="1" t="n">
        <v>40.5</v>
      </c>
      <c r="C1034" s="1" t="inlineStr">
        <is>
          <t>N-80</t>
        </is>
      </c>
      <c r="D1034" s="1" t="n">
        <v>1730</v>
      </c>
      <c r="E1034" s="1" t="n">
        <v>4560</v>
      </c>
      <c r="F1034" s="1" t="n"/>
      <c r="G1034" s="1" t="n"/>
      <c r="H1034" s="1" t="n"/>
      <c r="I1034" s="1" t="inlineStr">
        <is>
          <t>STC</t>
        </is>
      </c>
      <c r="J1034" s="1" t="n">
        <v>597</v>
      </c>
      <c r="K1034" s="1" t="n"/>
      <c r="L1034" s="1" t="n">
        <v>915</v>
      </c>
      <c r="M1034" s="1" t="n">
        <v>0.35</v>
      </c>
      <c r="N1034" s="1" t="n">
        <v>10.05</v>
      </c>
      <c r="O1034" s="1" t="n">
        <v>9.894</v>
      </c>
      <c r="P1034" s="9" t="n"/>
    </row>
    <row r="1035">
      <c r="A1035" s="8" t="n">
        <v>10.75</v>
      </c>
      <c r="B1035" s="1" t="n">
        <v>40.5</v>
      </c>
      <c r="C1035" s="1" t="inlineStr">
        <is>
          <t>N-80</t>
        </is>
      </c>
      <c r="D1035" s="1" t="n">
        <v>1730</v>
      </c>
      <c r="E1035" s="1" t="n">
        <v>4560</v>
      </c>
      <c r="F1035" s="1" t="n"/>
      <c r="G1035" s="1" t="n"/>
      <c r="H1035" s="1" t="n"/>
      <c r="I1035" s="1" t="inlineStr">
        <is>
          <t>BTC</t>
        </is>
      </c>
      <c r="J1035" s="1" t="n">
        <v>964</v>
      </c>
      <c r="K1035" s="1" t="n"/>
      <c r="L1035" s="1" t="n">
        <v>915</v>
      </c>
      <c r="M1035" s="1" t="n">
        <v>0.35</v>
      </c>
      <c r="N1035" s="1" t="n">
        <v>10.05</v>
      </c>
      <c r="O1035" s="1" t="n">
        <v>9.894</v>
      </c>
      <c r="P1035" s="9" t="n"/>
    </row>
    <row r="1036">
      <c r="A1036" s="6" t="n">
        <v>10.75</v>
      </c>
      <c r="B1036" s="2" t="n">
        <v>40.5</v>
      </c>
      <c r="C1036" s="2" t="inlineStr">
        <is>
          <t>HCN-80</t>
        </is>
      </c>
      <c r="D1036" s="2" t="n">
        <v>2100</v>
      </c>
      <c r="E1036" s="2" t="n">
        <v>4560</v>
      </c>
      <c r="F1036" s="2" t="n"/>
      <c r="G1036" s="2" t="n"/>
      <c r="H1036" s="2" t="n"/>
      <c r="I1036" s="2" t="inlineStr">
        <is>
          <t>STC</t>
        </is>
      </c>
      <c r="J1036" s="2" t="n">
        <v>681</v>
      </c>
      <c r="K1036" s="2" t="n"/>
      <c r="L1036" s="2" t="n">
        <v>915</v>
      </c>
      <c r="M1036" s="2" t="n">
        <v>0.35</v>
      </c>
      <c r="N1036" s="2" t="n">
        <v>10.05</v>
      </c>
      <c r="O1036" s="2" t="n">
        <v>9.894</v>
      </c>
      <c r="P1036" s="7" t="n"/>
    </row>
    <row r="1037">
      <c r="A1037" s="6" t="n">
        <v>10.75</v>
      </c>
      <c r="B1037" s="2" t="n">
        <v>40.5</v>
      </c>
      <c r="C1037" s="2" t="inlineStr">
        <is>
          <t>HCN-80</t>
        </is>
      </c>
      <c r="D1037" s="2" t="n">
        <v>2100</v>
      </c>
      <c r="E1037" s="2" t="n">
        <v>4560</v>
      </c>
      <c r="F1037" s="2" t="n"/>
      <c r="G1037" s="2" t="n"/>
      <c r="H1037" s="2" t="n"/>
      <c r="I1037" s="2" t="inlineStr">
        <is>
          <t>BTC</t>
        </is>
      </c>
      <c r="J1037" s="2" t="n">
        <v>1034</v>
      </c>
      <c r="K1037" s="2" t="n"/>
      <c r="L1037" s="2" t="n">
        <v>915</v>
      </c>
      <c r="M1037" s="2" t="n">
        <v>0.35</v>
      </c>
      <c r="N1037" s="2" t="n">
        <v>10.05</v>
      </c>
      <c r="O1037" s="2" t="n">
        <v>9.894</v>
      </c>
      <c r="P1037" s="7" t="n"/>
    </row>
    <row r="1038">
      <c r="A1038" s="8" t="n">
        <v>10.75</v>
      </c>
      <c r="B1038" s="1" t="n">
        <v>45.5</v>
      </c>
      <c r="C1038" s="1" t="inlineStr">
        <is>
          <t>J-55</t>
        </is>
      </c>
      <c r="D1038" s="1" t="n">
        <v>2090</v>
      </c>
      <c r="E1038" s="1" t="n">
        <v>3580</v>
      </c>
      <c r="F1038" s="1" t="n"/>
      <c r="G1038" s="1" t="n"/>
      <c r="H1038" s="1" t="n"/>
      <c r="I1038" s="1" t="inlineStr">
        <is>
          <t>STC</t>
        </is>
      </c>
      <c r="J1038" s="1" t="n">
        <v>493</v>
      </c>
      <c r="K1038" s="1" t="n"/>
      <c r="L1038" s="1" t="n">
        <v>715</v>
      </c>
      <c r="M1038" s="1" t="n">
        <v>0.4</v>
      </c>
      <c r="N1038" s="1" t="n">
        <v>9.949999999999999</v>
      </c>
      <c r="O1038" s="1" t="n">
        <v>9.794</v>
      </c>
      <c r="P1038" s="9" t="n">
        <v>9.875</v>
      </c>
    </row>
    <row r="1039">
      <c r="A1039" s="8" t="n">
        <v>10.75</v>
      </c>
      <c r="B1039" s="1" t="n">
        <v>45.5</v>
      </c>
      <c r="C1039" s="1" t="inlineStr">
        <is>
          <t>J-55</t>
        </is>
      </c>
      <c r="D1039" s="1" t="n">
        <v>2090</v>
      </c>
      <c r="E1039" s="1" t="n">
        <v>3580</v>
      </c>
      <c r="F1039" s="1" t="n"/>
      <c r="G1039" s="1" t="n"/>
      <c r="H1039" s="1" t="n"/>
      <c r="I1039" s="1" t="inlineStr">
        <is>
          <t>BTC</t>
        </is>
      </c>
      <c r="J1039" s="1" t="n">
        <v>796</v>
      </c>
      <c r="K1039" s="1" t="n"/>
      <c r="L1039" s="1" t="n">
        <v>715</v>
      </c>
      <c r="M1039" s="1" t="n">
        <v>0.4</v>
      </c>
      <c r="N1039" s="1" t="n">
        <v>9.949999999999999</v>
      </c>
      <c r="O1039" s="1" t="n">
        <v>9.794</v>
      </c>
      <c r="P1039" s="9" t="n">
        <v>9.875</v>
      </c>
    </row>
    <row r="1040">
      <c r="A1040" s="6" t="n">
        <v>10.75</v>
      </c>
      <c r="B1040" s="2" t="n">
        <v>45.5</v>
      </c>
      <c r="C1040" s="2" t="inlineStr">
        <is>
          <t>K-55</t>
        </is>
      </c>
      <c r="D1040" s="2" t="n">
        <v>2090</v>
      </c>
      <c r="E1040" s="2" t="n">
        <v>3580</v>
      </c>
      <c r="F1040" s="2" t="n"/>
      <c r="G1040" s="2" t="n"/>
      <c r="H1040" s="2" t="n"/>
      <c r="I1040" s="2" t="inlineStr">
        <is>
          <t>STC</t>
        </is>
      </c>
      <c r="J1040" s="2" t="n">
        <v>528</v>
      </c>
      <c r="K1040" s="2" t="n"/>
      <c r="L1040" s="2" t="n">
        <v>715</v>
      </c>
      <c r="M1040" s="2" t="n">
        <v>0.4</v>
      </c>
      <c r="N1040" s="2" t="n">
        <v>9.949999999999999</v>
      </c>
      <c r="O1040" s="2" t="n">
        <v>9.794</v>
      </c>
      <c r="P1040" s="7" t="n">
        <v>9.875</v>
      </c>
    </row>
    <row r="1041">
      <c r="A1041" s="6" t="n">
        <v>10.75</v>
      </c>
      <c r="B1041" s="2" t="n">
        <v>45.5</v>
      </c>
      <c r="C1041" s="2" t="inlineStr">
        <is>
          <t>K-55</t>
        </is>
      </c>
      <c r="D1041" s="2" t="n">
        <v>2090</v>
      </c>
      <c r="E1041" s="2" t="n">
        <v>3580</v>
      </c>
      <c r="F1041" s="2" t="n"/>
      <c r="G1041" s="2" t="n"/>
      <c r="H1041" s="2" t="n"/>
      <c r="I1041" s="2" t="inlineStr">
        <is>
          <t>BTC</t>
        </is>
      </c>
      <c r="J1041" s="2" t="n">
        <v>931</v>
      </c>
      <c r="K1041" s="2" t="n"/>
      <c r="L1041" s="2" t="n">
        <v>715</v>
      </c>
      <c r="M1041" s="2" t="n">
        <v>0.4</v>
      </c>
      <c r="N1041" s="2" t="n">
        <v>9.949999999999999</v>
      </c>
      <c r="O1041" s="2" t="n">
        <v>9.794</v>
      </c>
      <c r="P1041" s="7" t="n">
        <v>9.875</v>
      </c>
    </row>
    <row r="1042">
      <c r="A1042" s="8" t="n">
        <v>10.75</v>
      </c>
      <c r="B1042" s="1" t="n">
        <v>45.5</v>
      </c>
      <c r="C1042" s="1" t="inlineStr">
        <is>
          <t>HCK-55</t>
        </is>
      </c>
      <c r="D1042" s="1" t="n">
        <v>3130</v>
      </c>
      <c r="E1042" s="1" t="n">
        <v>3580</v>
      </c>
      <c r="F1042" s="1" t="n"/>
      <c r="G1042" s="1" t="n"/>
      <c r="H1042" s="1" t="n"/>
      <c r="I1042" s="1" t="inlineStr">
        <is>
          <t>STC</t>
        </is>
      </c>
      <c r="J1042" s="1" t="n">
        <v>659</v>
      </c>
      <c r="K1042" s="1" t="n"/>
      <c r="L1042" s="1" t="n">
        <v>715</v>
      </c>
      <c r="M1042" s="1" t="n">
        <v>0.4</v>
      </c>
      <c r="N1042" s="1" t="n">
        <v>9.949999999999999</v>
      </c>
      <c r="O1042" s="1" t="n">
        <v>9.794</v>
      </c>
      <c r="P1042" s="9" t="n">
        <v>9.875</v>
      </c>
    </row>
    <row r="1043">
      <c r="A1043" s="8" t="n">
        <v>10.75</v>
      </c>
      <c r="B1043" s="1" t="n">
        <v>45.5</v>
      </c>
      <c r="C1043" s="1" t="inlineStr">
        <is>
          <t>HCK-55</t>
        </is>
      </c>
      <c r="D1043" s="1" t="n">
        <v>3130</v>
      </c>
      <c r="E1043" s="1" t="n">
        <v>3580</v>
      </c>
      <c r="F1043" s="1" t="n"/>
      <c r="G1043" s="1" t="n"/>
      <c r="H1043" s="1" t="n"/>
      <c r="I1043" s="1" t="inlineStr">
        <is>
          <t>BTC</t>
        </is>
      </c>
      <c r="J1043" s="1" t="n">
        <v>1037</v>
      </c>
      <c r="K1043" s="1" t="n"/>
      <c r="L1043" s="1" t="n">
        <v>715</v>
      </c>
      <c r="M1043" s="1" t="n">
        <v>0.4</v>
      </c>
      <c r="N1043" s="1" t="n">
        <v>9.949999999999999</v>
      </c>
      <c r="O1043" s="1" t="n">
        <v>9.794</v>
      </c>
      <c r="P1043" s="9" t="n">
        <v>9.875</v>
      </c>
    </row>
    <row r="1044">
      <c r="A1044" s="6" t="n">
        <v>10.75</v>
      </c>
      <c r="B1044" s="2" t="n">
        <v>45.5</v>
      </c>
      <c r="C1044" s="2" t="inlineStr">
        <is>
          <t>N-80</t>
        </is>
      </c>
      <c r="D1044" s="2" t="n">
        <v>2470</v>
      </c>
      <c r="E1044" s="2" t="n">
        <v>5210</v>
      </c>
      <c r="F1044" s="2" t="n"/>
      <c r="G1044" s="2" t="n"/>
      <c r="H1044" s="2" t="n"/>
      <c r="I1044" s="2" t="inlineStr">
        <is>
          <t>STC</t>
        </is>
      </c>
      <c r="J1044" s="2" t="n">
        <v>701</v>
      </c>
      <c r="K1044" s="2" t="n"/>
      <c r="L1044" s="2" t="n">
        <v>1040</v>
      </c>
      <c r="M1044" s="2" t="n">
        <v>0.4</v>
      </c>
      <c r="N1044" s="2" t="n">
        <v>9.949999999999999</v>
      </c>
      <c r="O1044" s="2" t="n">
        <v>9.794</v>
      </c>
      <c r="P1044" s="7" t="n">
        <v>9.875</v>
      </c>
    </row>
    <row r="1045">
      <c r="A1045" s="6" t="n">
        <v>10.75</v>
      </c>
      <c r="B1045" s="2" t="n">
        <v>45.5</v>
      </c>
      <c r="C1045" s="2" t="inlineStr">
        <is>
          <t>N-80</t>
        </is>
      </c>
      <c r="D1045" s="2" t="n">
        <v>2470</v>
      </c>
      <c r="E1045" s="2" t="n">
        <v>5210</v>
      </c>
      <c r="F1045" s="2" t="n"/>
      <c r="G1045" s="2" t="n"/>
      <c r="H1045" s="2" t="n"/>
      <c r="I1045" s="2" t="inlineStr">
        <is>
          <t>BTC</t>
        </is>
      </c>
      <c r="J1045" s="2" t="n">
        <v>1097</v>
      </c>
      <c r="K1045" s="2" t="n"/>
      <c r="L1045" s="2" t="n">
        <v>1040</v>
      </c>
      <c r="M1045" s="2" t="n">
        <v>0.4</v>
      </c>
      <c r="N1045" s="2" t="n">
        <v>9.949999999999999</v>
      </c>
      <c r="O1045" s="2" t="n">
        <v>9.794</v>
      </c>
      <c r="P1045" s="7" t="n">
        <v>9.875</v>
      </c>
    </row>
    <row r="1046">
      <c r="A1046" s="8" t="n">
        <v>10.75</v>
      </c>
      <c r="B1046" s="1" t="n">
        <v>45.5</v>
      </c>
      <c r="C1046" s="1" t="inlineStr">
        <is>
          <t>HCN-80</t>
        </is>
      </c>
      <c r="D1046" s="1" t="n">
        <v>3130</v>
      </c>
      <c r="E1046" s="1" t="n">
        <v>5210</v>
      </c>
      <c r="F1046" s="1" t="n"/>
      <c r="G1046" s="1" t="n"/>
      <c r="H1046" s="1" t="n"/>
      <c r="I1046" s="1" t="inlineStr">
        <is>
          <t>STC</t>
        </is>
      </c>
      <c r="J1046" s="1" t="n">
        <v>799</v>
      </c>
      <c r="K1046" s="1" t="n"/>
      <c r="L1046" s="1" t="n">
        <v>1040</v>
      </c>
      <c r="M1046" s="1" t="n">
        <v>0.4</v>
      </c>
      <c r="N1046" s="1" t="n">
        <v>9.949999999999999</v>
      </c>
      <c r="O1046" s="1" t="n">
        <v>9.794</v>
      </c>
      <c r="P1046" s="9" t="n">
        <v>9.875</v>
      </c>
    </row>
    <row r="1047">
      <c r="A1047" s="8" t="n">
        <v>10.75</v>
      </c>
      <c r="B1047" s="1" t="n">
        <v>45.5</v>
      </c>
      <c r="C1047" s="1" t="inlineStr">
        <is>
          <t>HCN-80</t>
        </is>
      </c>
      <c r="D1047" s="1" t="n">
        <v>3130</v>
      </c>
      <c r="E1047" s="1" t="n">
        <v>5210</v>
      </c>
      <c r="F1047" s="1" t="n"/>
      <c r="G1047" s="1" t="n"/>
      <c r="H1047" s="1" t="n"/>
      <c r="I1047" s="1" t="inlineStr">
        <is>
          <t>BTC</t>
        </is>
      </c>
      <c r="J1047" s="1" t="n">
        <v>1175</v>
      </c>
      <c r="K1047" s="1" t="n"/>
      <c r="L1047" s="1" t="n">
        <v>1040</v>
      </c>
      <c r="M1047" s="1" t="n">
        <v>0.4</v>
      </c>
      <c r="N1047" s="1" t="n">
        <v>9.949999999999999</v>
      </c>
      <c r="O1047" s="1" t="n">
        <v>9.794</v>
      </c>
      <c r="P1047" s="9" t="n">
        <v>9.875</v>
      </c>
    </row>
    <row r="1048">
      <c r="A1048" s="6" t="n">
        <v>10.75</v>
      </c>
      <c r="B1048" s="2" t="n">
        <v>51</v>
      </c>
      <c r="C1048" s="2" t="inlineStr">
        <is>
          <t>J-55</t>
        </is>
      </c>
      <c r="D1048" s="2" t="n">
        <v>2700</v>
      </c>
      <c r="E1048" s="2" t="n">
        <v>4030</v>
      </c>
      <c r="F1048" s="2" t="n"/>
      <c r="G1048" s="2" t="n"/>
      <c r="H1048" s="2" t="n"/>
      <c r="I1048" s="2" t="inlineStr">
        <is>
          <t>STC</t>
        </is>
      </c>
      <c r="J1048" s="2" t="n">
        <v>565</v>
      </c>
      <c r="K1048" s="2" t="n"/>
      <c r="L1048" s="2" t="n">
        <v>801</v>
      </c>
      <c r="M1048" s="2" t="n">
        <v>0.45</v>
      </c>
      <c r="N1048" s="2" t="n">
        <v>9.85</v>
      </c>
      <c r="O1048" s="2" t="n">
        <v>9.694000000000001</v>
      </c>
      <c r="P1048" s="7" t="n"/>
    </row>
    <row r="1049">
      <c r="A1049" s="6" t="n">
        <v>10.75</v>
      </c>
      <c r="B1049" s="2" t="n">
        <v>51</v>
      </c>
      <c r="C1049" s="2" t="inlineStr">
        <is>
          <t>J-55</t>
        </is>
      </c>
      <c r="D1049" s="2" t="n">
        <v>2700</v>
      </c>
      <c r="E1049" s="2" t="n">
        <v>4030</v>
      </c>
      <c r="F1049" s="2" t="n"/>
      <c r="G1049" s="2" t="n"/>
      <c r="H1049" s="2" t="n"/>
      <c r="I1049" s="2" t="inlineStr">
        <is>
          <t>BTC</t>
        </is>
      </c>
      <c r="J1049" s="2" t="n">
        <v>891</v>
      </c>
      <c r="K1049" s="2" t="n"/>
      <c r="L1049" s="2" t="n">
        <v>801</v>
      </c>
      <c r="M1049" s="2" t="n">
        <v>0.45</v>
      </c>
      <c r="N1049" s="2" t="n">
        <v>9.85</v>
      </c>
      <c r="O1049" s="2" t="n">
        <v>9.694000000000001</v>
      </c>
      <c r="P1049" s="7" t="n"/>
    </row>
    <row r="1050">
      <c r="A1050" s="8" t="n">
        <v>10.75</v>
      </c>
      <c r="B1050" s="1" t="n">
        <v>51</v>
      </c>
      <c r="C1050" s="1" t="inlineStr">
        <is>
          <t>K-55</t>
        </is>
      </c>
      <c r="D1050" s="1" t="n">
        <v>2700</v>
      </c>
      <c r="E1050" s="1" t="n">
        <v>4030</v>
      </c>
      <c r="F1050" s="1" t="n"/>
      <c r="G1050" s="1" t="n"/>
      <c r="H1050" s="1" t="n"/>
      <c r="I1050" s="1" t="inlineStr">
        <is>
          <t>STC</t>
        </is>
      </c>
      <c r="J1050" s="1" t="n">
        <v>606</v>
      </c>
      <c r="K1050" s="1" t="n"/>
      <c r="L1050" s="1" t="n">
        <v>801</v>
      </c>
      <c r="M1050" s="1" t="n">
        <v>0.45</v>
      </c>
      <c r="N1050" s="1" t="n">
        <v>9.85</v>
      </c>
      <c r="O1050" s="1" t="n">
        <v>9.694000000000001</v>
      </c>
      <c r="P1050" s="9" t="n"/>
    </row>
    <row r="1051">
      <c r="A1051" s="8" t="n">
        <v>10.75</v>
      </c>
      <c r="B1051" s="1" t="n">
        <v>51</v>
      </c>
      <c r="C1051" s="1" t="inlineStr">
        <is>
          <t>K-55</t>
        </is>
      </c>
      <c r="D1051" s="1" t="n">
        <v>2700</v>
      </c>
      <c r="E1051" s="1" t="n">
        <v>4030</v>
      </c>
      <c r="F1051" s="1" t="n"/>
      <c r="G1051" s="1" t="n"/>
      <c r="H1051" s="1" t="n"/>
      <c r="I1051" s="1" t="inlineStr">
        <is>
          <t>BTC</t>
        </is>
      </c>
      <c r="J1051" s="1" t="n">
        <v>1043</v>
      </c>
      <c r="K1051" s="1" t="n"/>
      <c r="L1051" s="1" t="n">
        <v>801</v>
      </c>
      <c r="M1051" s="1" t="n">
        <v>0.45</v>
      </c>
      <c r="N1051" s="1" t="n">
        <v>9.85</v>
      </c>
      <c r="O1051" s="1" t="n">
        <v>9.694000000000001</v>
      </c>
      <c r="P1051" s="9" t="n"/>
    </row>
    <row r="1052">
      <c r="A1052" s="6" t="n">
        <v>10.75</v>
      </c>
      <c r="B1052" s="2" t="n">
        <v>51</v>
      </c>
      <c r="C1052" s="2" t="inlineStr">
        <is>
          <t>HCK-55</t>
        </is>
      </c>
      <c r="D1052" s="2" t="n">
        <v>4420</v>
      </c>
      <c r="E1052" s="2" t="n">
        <v>4030</v>
      </c>
      <c r="F1052" s="2" t="n"/>
      <c r="G1052" s="2" t="n"/>
      <c r="H1052" s="2" t="n"/>
      <c r="I1052" s="2" t="inlineStr">
        <is>
          <t>STC</t>
        </is>
      </c>
      <c r="J1052" s="2" t="n">
        <v>756</v>
      </c>
      <c r="K1052" s="2" t="n"/>
      <c r="L1052" s="2" t="n">
        <v>801</v>
      </c>
      <c r="M1052" s="2" t="n">
        <v>0.45</v>
      </c>
      <c r="N1052" s="2" t="n">
        <v>9.85</v>
      </c>
      <c r="O1052" s="2" t="n">
        <v>9.694000000000001</v>
      </c>
      <c r="P1052" s="7" t="n"/>
    </row>
    <row r="1053">
      <c r="A1053" s="6" t="n">
        <v>10.75</v>
      </c>
      <c r="B1053" s="2" t="n">
        <v>51</v>
      </c>
      <c r="C1053" s="2" t="inlineStr">
        <is>
          <t>HCK-55</t>
        </is>
      </c>
      <c r="D1053" s="2" t="n">
        <v>4420</v>
      </c>
      <c r="E1053" s="2" t="n">
        <v>4030</v>
      </c>
      <c r="F1053" s="2" t="n"/>
      <c r="G1053" s="2" t="n"/>
      <c r="H1053" s="2" t="n"/>
      <c r="I1053" s="2" t="inlineStr">
        <is>
          <t>BTC</t>
        </is>
      </c>
      <c r="J1053" s="2" t="n">
        <v>1160</v>
      </c>
      <c r="K1053" s="2" t="n"/>
      <c r="L1053" s="2" t="n">
        <v>801</v>
      </c>
      <c r="M1053" s="2" t="n">
        <v>0.45</v>
      </c>
      <c r="N1053" s="2" t="n">
        <v>9.85</v>
      </c>
      <c r="O1053" s="2" t="n">
        <v>9.694000000000001</v>
      </c>
      <c r="P1053" s="7" t="n"/>
    </row>
    <row r="1054">
      <c r="A1054" s="8" t="n">
        <v>10.75</v>
      </c>
      <c r="B1054" s="1" t="n">
        <v>51</v>
      </c>
      <c r="C1054" s="1" t="inlineStr">
        <is>
          <t>L-80</t>
        </is>
      </c>
      <c r="D1054" s="1" t="n">
        <v>3220</v>
      </c>
      <c r="E1054" s="1" t="n">
        <v>5860</v>
      </c>
      <c r="F1054" s="1" t="n"/>
      <c r="G1054" s="1" t="n"/>
      <c r="H1054" s="1" t="n"/>
      <c r="I1054" s="1" t="inlineStr">
        <is>
          <t>STC</t>
        </is>
      </c>
      <c r="J1054" s="1" t="n">
        <v>794</v>
      </c>
      <c r="K1054" s="1" t="n"/>
      <c r="L1054" s="1" t="n">
        <v>1165</v>
      </c>
      <c r="M1054" s="1" t="n">
        <v>0.45</v>
      </c>
      <c r="N1054" s="1" t="n">
        <v>9.85</v>
      </c>
      <c r="O1054" s="1" t="n">
        <v>9.694000000000001</v>
      </c>
      <c r="P1054" s="9" t="n"/>
    </row>
    <row r="1055">
      <c r="A1055" s="8" t="n">
        <v>10.75</v>
      </c>
      <c r="B1055" s="1" t="n">
        <v>51</v>
      </c>
      <c r="C1055" s="1" t="inlineStr">
        <is>
          <t>L-80</t>
        </is>
      </c>
      <c r="D1055" s="1" t="n">
        <v>3220</v>
      </c>
      <c r="E1055" s="1" t="n">
        <v>5860</v>
      </c>
      <c r="F1055" s="1" t="n"/>
      <c r="G1055" s="1" t="n"/>
      <c r="H1055" s="1" t="n"/>
      <c r="I1055" s="1" t="inlineStr">
        <is>
          <t>BTC</t>
        </is>
      </c>
      <c r="J1055" s="1" t="n">
        <v>1190</v>
      </c>
      <c r="K1055" s="1" t="n"/>
      <c r="L1055" s="1" t="n">
        <v>1165</v>
      </c>
      <c r="M1055" s="1" t="n">
        <v>0.45</v>
      </c>
      <c r="N1055" s="1" t="n">
        <v>9.85</v>
      </c>
      <c r="O1055" s="1" t="n">
        <v>9.694000000000001</v>
      </c>
      <c r="P1055" s="9" t="n"/>
    </row>
    <row r="1056">
      <c r="A1056" s="6" t="n">
        <v>10.75</v>
      </c>
      <c r="B1056" s="2" t="n">
        <v>51</v>
      </c>
      <c r="C1056" s="2" t="inlineStr">
        <is>
          <t>HCL-80</t>
        </is>
      </c>
      <c r="D1056" s="2" t="n">
        <v>4460</v>
      </c>
      <c r="E1056" s="2" t="n">
        <v>5860</v>
      </c>
      <c r="F1056" s="2" t="n"/>
      <c r="G1056" s="2" t="n"/>
      <c r="H1056" s="2" t="n"/>
      <c r="I1056" s="2" t="inlineStr">
        <is>
          <t>STC</t>
        </is>
      </c>
      <c r="J1056" s="2" t="n">
        <v>906</v>
      </c>
      <c r="K1056" s="2" t="n"/>
      <c r="L1056" s="2" t="n">
        <v>1165</v>
      </c>
      <c r="M1056" s="2" t="n">
        <v>0.45</v>
      </c>
      <c r="N1056" s="2" t="n">
        <v>9.85</v>
      </c>
      <c r="O1056" s="2" t="n">
        <v>9.694000000000001</v>
      </c>
      <c r="P1056" s="7" t="n"/>
    </row>
    <row r="1057">
      <c r="A1057" s="6" t="n">
        <v>10.75</v>
      </c>
      <c r="B1057" s="2" t="n">
        <v>51</v>
      </c>
      <c r="C1057" s="2" t="inlineStr">
        <is>
          <t>HCL-80</t>
        </is>
      </c>
      <c r="D1057" s="2" t="n">
        <v>4460</v>
      </c>
      <c r="E1057" s="2" t="n">
        <v>5860</v>
      </c>
      <c r="F1057" s="2" t="n"/>
      <c r="G1057" s="2" t="n"/>
      <c r="H1057" s="2" t="n"/>
      <c r="I1057" s="2" t="inlineStr">
        <is>
          <t>BTC</t>
        </is>
      </c>
      <c r="J1057" s="2" t="n">
        <v>1316</v>
      </c>
      <c r="K1057" s="2" t="n"/>
      <c r="L1057" s="2" t="n">
        <v>1165</v>
      </c>
      <c r="M1057" s="2" t="n">
        <v>0.45</v>
      </c>
      <c r="N1057" s="2" t="n">
        <v>9.85</v>
      </c>
      <c r="O1057" s="2" t="n">
        <v>9.694000000000001</v>
      </c>
      <c r="P1057" s="7" t="n"/>
    </row>
    <row r="1058">
      <c r="A1058" s="8" t="n">
        <v>10.75</v>
      </c>
      <c r="B1058" s="1" t="n">
        <v>51</v>
      </c>
      <c r="C1058" s="1" t="inlineStr">
        <is>
          <t>N-80</t>
        </is>
      </c>
      <c r="D1058" s="1" t="n">
        <v>3220</v>
      </c>
      <c r="E1058" s="1" t="n">
        <v>5860</v>
      </c>
      <c r="F1058" s="1" t="n"/>
      <c r="G1058" s="1" t="n"/>
      <c r="H1058" s="1" t="n"/>
      <c r="I1058" s="1" t="inlineStr">
        <is>
          <t>STC</t>
        </is>
      </c>
      <c r="J1058" s="1" t="n">
        <v>804</v>
      </c>
      <c r="K1058" s="1" t="n"/>
      <c r="L1058" s="1" t="n">
        <v>1165</v>
      </c>
      <c r="M1058" s="1" t="n">
        <v>0.45</v>
      </c>
      <c r="N1058" s="1" t="n">
        <v>9.85</v>
      </c>
      <c r="O1058" s="1" t="n">
        <v>9.694000000000001</v>
      </c>
      <c r="P1058" s="9" t="n"/>
    </row>
    <row r="1059">
      <c r="A1059" s="8" t="n">
        <v>10.75</v>
      </c>
      <c r="B1059" s="1" t="n">
        <v>51</v>
      </c>
      <c r="C1059" s="1" t="inlineStr">
        <is>
          <t>N-80</t>
        </is>
      </c>
      <c r="D1059" s="1" t="n">
        <v>3220</v>
      </c>
      <c r="E1059" s="1" t="n">
        <v>5860</v>
      </c>
      <c r="F1059" s="1" t="n"/>
      <c r="G1059" s="1" t="n"/>
      <c r="H1059" s="1" t="n"/>
      <c r="I1059" s="1" t="inlineStr">
        <is>
          <t>BTC</t>
        </is>
      </c>
      <c r="J1059" s="1" t="n">
        <v>1228</v>
      </c>
      <c r="K1059" s="1" t="n"/>
      <c r="L1059" s="1" t="n">
        <v>1165</v>
      </c>
      <c r="M1059" s="1" t="n">
        <v>0.45</v>
      </c>
      <c r="N1059" s="1" t="n">
        <v>9.85</v>
      </c>
      <c r="O1059" s="1" t="n">
        <v>9.694000000000001</v>
      </c>
      <c r="P1059" s="9" t="n"/>
    </row>
    <row r="1060" ht="14.25" customHeight="1" s="613">
      <c r="A1060" s="6" t="n">
        <v>10.75</v>
      </c>
      <c r="B1060" s="2" t="n">
        <v>51</v>
      </c>
      <c r="C1060" s="2" t="inlineStr">
        <is>
          <t>HCN-80</t>
        </is>
      </c>
      <c r="D1060" s="2" t="n">
        <v>4460</v>
      </c>
      <c r="E1060" s="2" t="n">
        <v>5860</v>
      </c>
      <c r="F1060" s="2" t="n"/>
      <c r="G1060" s="2" t="n"/>
      <c r="H1060" s="2" t="n"/>
      <c r="I1060" s="2" t="inlineStr">
        <is>
          <t>STC</t>
        </is>
      </c>
      <c r="J1060" s="2" t="n">
        <v>916</v>
      </c>
      <c r="K1060" s="2" t="n"/>
      <c r="L1060" s="2" t="n">
        <v>1165</v>
      </c>
      <c r="M1060" s="2" t="n">
        <v>0.45</v>
      </c>
      <c r="N1060" s="2" t="n">
        <v>9.85</v>
      </c>
      <c r="O1060" s="2" t="n">
        <v>9.694000000000001</v>
      </c>
      <c r="P1060" s="7" t="n"/>
    </row>
    <row r="1061" ht="14.25" customHeight="1" s="613">
      <c r="A1061" s="6" t="n">
        <v>10.75</v>
      </c>
      <c r="B1061" s="2" t="n">
        <v>51</v>
      </c>
      <c r="C1061" s="2" t="inlineStr">
        <is>
          <t>HCN-80</t>
        </is>
      </c>
      <c r="D1061" s="2" t="n">
        <v>4460</v>
      </c>
      <c r="E1061" s="2" t="n">
        <v>5860</v>
      </c>
      <c r="F1061" s="2" t="n"/>
      <c r="G1061" s="2" t="n"/>
      <c r="H1061" s="2" t="n"/>
      <c r="I1061" s="2" t="inlineStr">
        <is>
          <t>BTC</t>
        </is>
      </c>
      <c r="J1061" s="2" t="n">
        <v>1316</v>
      </c>
      <c r="K1061" s="2" t="n"/>
      <c r="L1061" s="2" t="n">
        <v>1165</v>
      </c>
      <c r="M1061" s="2" t="n">
        <v>0.45</v>
      </c>
      <c r="N1061" s="2" t="n">
        <v>9.85</v>
      </c>
      <c r="O1061" s="2" t="n">
        <v>9.694000000000001</v>
      </c>
      <c r="P1061" s="7" t="n"/>
    </row>
    <row r="1062">
      <c r="A1062" s="8" t="n">
        <v>10.75</v>
      </c>
      <c r="B1062" s="1" t="n">
        <v>51</v>
      </c>
      <c r="C1062" s="1" t="inlineStr">
        <is>
          <t>C-90</t>
        </is>
      </c>
      <c r="D1062" s="1" t="n">
        <v>3400</v>
      </c>
      <c r="E1062" s="1" t="n">
        <v>6590</v>
      </c>
      <c r="F1062" s="1" t="n"/>
      <c r="G1062" s="1" t="n"/>
      <c r="H1062" s="1" t="n"/>
      <c r="I1062" s="1" t="inlineStr">
        <is>
          <t>STC</t>
        </is>
      </c>
      <c r="J1062" s="1" t="n">
        <v>879</v>
      </c>
      <c r="K1062" s="1" t="n"/>
      <c r="L1062" s="1" t="n">
        <v>1311</v>
      </c>
      <c r="M1062" s="1" t="n">
        <v>0.45</v>
      </c>
      <c r="N1062" s="1" t="n">
        <v>9.85</v>
      </c>
      <c r="O1062" s="1" t="n">
        <v>9.694000000000001</v>
      </c>
      <c r="P1062" s="9" t="n"/>
    </row>
    <row r="1063">
      <c r="A1063" s="8" t="n">
        <v>10.75</v>
      </c>
      <c r="B1063" s="1" t="n">
        <v>51</v>
      </c>
      <c r="C1063" s="1" t="inlineStr">
        <is>
          <t>C-90</t>
        </is>
      </c>
      <c r="D1063" s="1" t="n">
        <v>3400</v>
      </c>
      <c r="E1063" s="1" t="n">
        <v>6590</v>
      </c>
      <c r="F1063" s="1" t="n"/>
      <c r="G1063" s="1" t="n"/>
      <c r="H1063" s="1" t="n"/>
      <c r="I1063" s="1" t="inlineStr">
        <is>
          <t>BTC</t>
        </is>
      </c>
      <c r="J1063" s="1" t="n">
        <v>1287</v>
      </c>
      <c r="K1063" s="1" t="n"/>
      <c r="L1063" s="1" t="n">
        <v>1311</v>
      </c>
      <c r="M1063" s="1" t="n">
        <v>0.45</v>
      </c>
      <c r="N1063" s="1" t="n">
        <v>9.85</v>
      </c>
      <c r="O1063" s="1" t="n">
        <v>9.694000000000001</v>
      </c>
      <c r="P1063" s="9" t="n"/>
    </row>
    <row r="1064">
      <c r="A1064" s="6" t="n">
        <v>10.75</v>
      </c>
      <c r="B1064" s="2" t="n">
        <v>51</v>
      </c>
      <c r="C1064" s="2" t="inlineStr">
        <is>
          <t>H2S-90</t>
        </is>
      </c>
      <c r="D1064" s="2" t="n">
        <v>4460</v>
      </c>
      <c r="E1064" s="2" t="n">
        <v>6590</v>
      </c>
      <c r="F1064" s="2" t="n"/>
      <c r="G1064" s="2" t="n"/>
      <c r="H1064" s="2" t="n"/>
      <c r="I1064" s="2" t="inlineStr">
        <is>
          <t>STC</t>
        </is>
      </c>
      <c r="J1064" s="2" t="n">
        <v>916</v>
      </c>
      <c r="K1064" s="2" t="n"/>
      <c r="L1064" s="2" t="n">
        <v>1311</v>
      </c>
      <c r="M1064" s="2" t="n">
        <v>0.45</v>
      </c>
      <c r="N1064" s="2" t="n">
        <v>9.85</v>
      </c>
      <c r="O1064" s="2" t="n">
        <v>9.694000000000001</v>
      </c>
      <c r="P1064" s="7" t="n"/>
    </row>
    <row r="1065">
      <c r="A1065" s="6" t="n">
        <v>10.75</v>
      </c>
      <c r="B1065" s="2" t="n">
        <v>51</v>
      </c>
      <c r="C1065" s="2" t="inlineStr">
        <is>
          <t>H2S-90</t>
        </is>
      </c>
      <c r="D1065" s="2" t="n">
        <v>4460</v>
      </c>
      <c r="E1065" s="2" t="n">
        <v>6590</v>
      </c>
      <c r="F1065" s="2" t="n"/>
      <c r="G1065" s="2" t="n"/>
      <c r="H1065" s="2" t="n"/>
      <c r="I1065" s="2" t="inlineStr">
        <is>
          <t>BTC</t>
        </is>
      </c>
      <c r="J1065" s="2" t="n">
        <v>1316</v>
      </c>
      <c r="K1065" s="2" t="n"/>
      <c r="L1065" s="2" t="n">
        <v>1311</v>
      </c>
      <c r="M1065" s="2" t="n">
        <v>0.45</v>
      </c>
      <c r="N1065" s="2" t="n">
        <v>9.85</v>
      </c>
      <c r="O1065" s="2" t="n">
        <v>9.694000000000001</v>
      </c>
      <c r="P1065" s="7" t="n"/>
    </row>
    <row r="1066">
      <c r="A1066" s="8" t="n">
        <v>10.75</v>
      </c>
      <c r="B1066" s="1" t="n">
        <v>51</v>
      </c>
      <c r="C1066" s="1" t="inlineStr">
        <is>
          <t>S-95</t>
        </is>
      </c>
      <c r="D1066" s="1" t="n">
        <v>4460</v>
      </c>
      <c r="E1066" s="1" t="n">
        <v>6960</v>
      </c>
      <c r="F1066" s="1" t="n"/>
      <c r="G1066" s="1" t="n"/>
      <c r="H1066" s="1" t="n"/>
      <c r="I1066" s="1" t="inlineStr">
        <is>
          <t>STC</t>
        </is>
      </c>
      <c r="J1066" s="1" t="n">
        <v>937</v>
      </c>
      <c r="K1066" s="1" t="n"/>
      <c r="L1066" s="1" t="n">
        <v>1383</v>
      </c>
      <c r="M1066" s="1" t="n">
        <v>0.45</v>
      </c>
      <c r="N1066" s="1" t="n">
        <v>9.85</v>
      </c>
      <c r="O1066" s="1" t="n">
        <v>9.694000000000001</v>
      </c>
      <c r="P1066" s="9" t="n"/>
    </row>
    <row r="1067">
      <c r="A1067" s="8" t="n">
        <v>10.75</v>
      </c>
      <c r="B1067" s="1" t="n">
        <v>51</v>
      </c>
      <c r="C1067" s="1" t="inlineStr">
        <is>
          <t>S-95</t>
        </is>
      </c>
      <c r="D1067" s="1" t="n">
        <v>4460</v>
      </c>
      <c r="E1067" s="1" t="n">
        <v>6960</v>
      </c>
      <c r="F1067" s="1" t="n"/>
      <c r="G1067" s="1" t="n"/>
      <c r="H1067" s="1" t="n"/>
      <c r="I1067" s="1" t="inlineStr">
        <is>
          <t>BTC</t>
        </is>
      </c>
      <c r="J1067" s="1" t="n">
        <v>1392</v>
      </c>
      <c r="K1067" s="1" t="n"/>
      <c r="L1067" s="1" t="n">
        <v>1383</v>
      </c>
      <c r="M1067" s="1" t="n">
        <v>0.45</v>
      </c>
      <c r="N1067" s="1" t="n">
        <v>9.85</v>
      </c>
      <c r="O1067" s="1" t="n">
        <v>9.694000000000001</v>
      </c>
      <c r="P1067" s="9" t="n"/>
    </row>
    <row r="1068">
      <c r="A1068" s="6" t="n">
        <v>10.75</v>
      </c>
      <c r="B1068" s="2" t="n">
        <v>51</v>
      </c>
      <c r="C1068" s="2" t="inlineStr">
        <is>
          <t>T-95</t>
        </is>
      </c>
      <c r="D1068" s="2" t="n">
        <v>3480</v>
      </c>
      <c r="E1068" s="2" t="n">
        <v>6960</v>
      </c>
      <c r="F1068" s="2" t="n"/>
      <c r="G1068" s="2" t="n"/>
      <c r="H1068" s="2" t="n"/>
      <c r="I1068" s="2" t="inlineStr">
        <is>
          <t>STC</t>
        </is>
      </c>
      <c r="J1068" s="2" t="n">
        <v>927</v>
      </c>
      <c r="K1068" s="2" t="n"/>
      <c r="L1068" s="2" t="n">
        <v>1383</v>
      </c>
      <c r="M1068" s="2" t="n">
        <v>0.45</v>
      </c>
      <c r="N1068" s="2" t="n">
        <v>9.85</v>
      </c>
      <c r="O1068" s="2" t="n">
        <v>9.694000000000001</v>
      </c>
      <c r="P1068" s="7" t="n"/>
    </row>
    <row r="1069">
      <c r="A1069" s="6" t="n">
        <v>10.75</v>
      </c>
      <c r="B1069" s="2" t="n">
        <v>51</v>
      </c>
      <c r="C1069" s="2" t="inlineStr">
        <is>
          <t>T-95</t>
        </is>
      </c>
      <c r="D1069" s="2" t="n">
        <v>3480</v>
      </c>
      <c r="E1069" s="2" t="n">
        <v>6960</v>
      </c>
      <c r="F1069" s="2" t="n"/>
      <c r="G1069" s="2" t="n"/>
      <c r="H1069" s="2" t="n"/>
      <c r="I1069" s="2" t="inlineStr">
        <is>
          <t>BTC</t>
        </is>
      </c>
      <c r="J1069" s="2" t="n">
        <v>1354</v>
      </c>
      <c r="K1069" s="2" t="n"/>
      <c r="L1069" s="2" t="n">
        <v>1383</v>
      </c>
      <c r="M1069" s="2" t="n">
        <v>0.45</v>
      </c>
      <c r="N1069" s="2" t="n">
        <v>9.85</v>
      </c>
      <c r="O1069" s="2" t="n">
        <v>9.694000000000001</v>
      </c>
      <c r="P1069" s="7" t="n"/>
    </row>
    <row r="1070">
      <c r="A1070" s="8" t="n">
        <v>10.75</v>
      </c>
      <c r="B1070" s="1" t="n">
        <v>51</v>
      </c>
      <c r="C1070" s="1" t="inlineStr">
        <is>
          <t>H2S-95</t>
        </is>
      </c>
      <c r="D1070" s="1" t="n">
        <v>4460</v>
      </c>
      <c r="E1070" s="1" t="n">
        <v>6960</v>
      </c>
      <c r="F1070" s="1" t="n"/>
      <c r="G1070" s="1" t="n"/>
      <c r="H1070" s="1" t="n"/>
      <c r="I1070" s="1" t="inlineStr">
        <is>
          <t>STC</t>
        </is>
      </c>
      <c r="J1070" s="1" t="n">
        <v>927</v>
      </c>
      <c r="K1070" s="1" t="n"/>
      <c r="L1070" s="1" t="n">
        <v>1383</v>
      </c>
      <c r="M1070" s="1" t="n">
        <v>0.45</v>
      </c>
      <c r="N1070" s="1" t="n">
        <v>9.85</v>
      </c>
      <c r="O1070" s="1" t="n">
        <v>9.694000000000001</v>
      </c>
      <c r="P1070" s="9" t="n"/>
    </row>
    <row r="1071">
      <c r="A1071" s="8" t="n">
        <v>10.75</v>
      </c>
      <c r="B1071" s="1" t="n">
        <v>51</v>
      </c>
      <c r="C1071" s="1" t="inlineStr">
        <is>
          <t>H2S-95</t>
        </is>
      </c>
      <c r="D1071" s="1" t="n">
        <v>4460</v>
      </c>
      <c r="E1071" s="1" t="n">
        <v>6960</v>
      </c>
      <c r="F1071" s="1" t="n"/>
      <c r="G1071" s="1" t="n"/>
      <c r="H1071" s="1" t="n"/>
      <c r="I1071" s="1" t="inlineStr">
        <is>
          <t>BTC</t>
        </is>
      </c>
      <c r="J1071" s="1" t="n">
        <v>1354</v>
      </c>
      <c r="K1071" s="1" t="n"/>
      <c r="L1071" s="1" t="n">
        <v>1383</v>
      </c>
      <c r="M1071" s="1" t="n">
        <v>0.45</v>
      </c>
      <c r="N1071" s="1" t="n">
        <v>9.85</v>
      </c>
      <c r="O1071" s="1" t="n">
        <v>9.694000000000001</v>
      </c>
      <c r="P1071" s="9" t="n"/>
    </row>
    <row r="1072">
      <c r="A1072" s="6" t="n">
        <v>10.75</v>
      </c>
      <c r="B1072" s="2" t="n">
        <v>51</v>
      </c>
      <c r="C1072" s="2" t="inlineStr">
        <is>
          <t>C-95</t>
        </is>
      </c>
      <c r="D1072" s="2" t="n">
        <v>3480</v>
      </c>
      <c r="E1072" s="2" t="n">
        <v>6960</v>
      </c>
      <c r="F1072" s="2" t="n"/>
      <c r="G1072" s="2" t="n"/>
      <c r="H1072" s="2" t="n"/>
      <c r="I1072" s="2" t="inlineStr">
        <is>
          <t>STC</t>
        </is>
      </c>
      <c r="J1072" s="2" t="n">
        <v>927</v>
      </c>
      <c r="K1072" s="2" t="n"/>
      <c r="L1072" s="2" t="n">
        <v>1383</v>
      </c>
      <c r="M1072" s="2" t="n">
        <v>0.45</v>
      </c>
      <c r="N1072" s="2" t="n">
        <v>9.85</v>
      </c>
      <c r="O1072" s="2" t="n">
        <v>9.694000000000001</v>
      </c>
      <c r="P1072" s="7" t="n"/>
    </row>
    <row r="1073">
      <c r="A1073" s="6" t="n">
        <v>10.75</v>
      </c>
      <c r="B1073" s="2" t="n">
        <v>51</v>
      </c>
      <c r="C1073" s="2" t="inlineStr">
        <is>
          <t>C-95</t>
        </is>
      </c>
      <c r="D1073" s="2" t="n">
        <v>3480</v>
      </c>
      <c r="E1073" s="2" t="n">
        <v>6960</v>
      </c>
      <c r="F1073" s="2" t="n"/>
      <c r="G1073" s="2" t="n"/>
      <c r="H1073" s="2" t="n"/>
      <c r="I1073" s="2" t="inlineStr">
        <is>
          <t>BTC</t>
        </is>
      </c>
      <c r="J1073" s="2" t="n">
        <v>1354</v>
      </c>
      <c r="K1073" s="2" t="n"/>
      <c r="L1073" s="2" t="n">
        <v>1383</v>
      </c>
      <c r="M1073" s="2" t="n">
        <v>0.45</v>
      </c>
      <c r="N1073" s="2" t="n">
        <v>9.85</v>
      </c>
      <c r="O1073" s="2" t="n">
        <v>9.694000000000001</v>
      </c>
      <c r="P1073" s="7" t="n"/>
    </row>
    <row r="1074">
      <c r="A1074" s="8" t="n">
        <v>10.75</v>
      </c>
      <c r="B1074" s="1" t="n">
        <v>51</v>
      </c>
      <c r="C1074" s="1" t="inlineStr">
        <is>
          <t>HCP-110</t>
        </is>
      </c>
      <c r="D1074" s="1" t="n">
        <v>4460</v>
      </c>
      <c r="E1074" s="1" t="n">
        <v>8060</v>
      </c>
      <c r="F1074" s="1" t="n"/>
      <c r="G1074" s="1" t="n"/>
      <c r="H1074" s="1" t="n"/>
      <c r="I1074" s="1" t="inlineStr">
        <is>
          <t>STC</t>
        </is>
      </c>
      <c r="J1074" s="1" t="n">
        <v>1080</v>
      </c>
      <c r="K1074" s="1" t="n"/>
      <c r="L1074" s="1" t="n">
        <v>1602</v>
      </c>
      <c r="M1074" s="1" t="n">
        <v>0.45</v>
      </c>
      <c r="N1074" s="1" t="n">
        <v>9.85</v>
      </c>
      <c r="O1074" s="1" t="n">
        <v>9.694000000000001</v>
      </c>
      <c r="P1074" s="9" t="n"/>
    </row>
    <row r="1075">
      <c r="A1075" s="8" t="n">
        <v>10.75</v>
      </c>
      <c r="B1075" s="1" t="n">
        <v>51</v>
      </c>
      <c r="C1075" s="1" t="inlineStr">
        <is>
          <t>HCP-110</t>
        </is>
      </c>
      <c r="D1075" s="1" t="n">
        <v>4460</v>
      </c>
      <c r="E1075" s="1" t="n">
        <v>8060</v>
      </c>
      <c r="F1075" s="1" t="n"/>
      <c r="G1075" s="1" t="n"/>
      <c r="H1075" s="1" t="n"/>
      <c r="I1075" s="1" t="inlineStr">
        <is>
          <t>BTC</t>
        </is>
      </c>
      <c r="J1075" s="1" t="n">
        <v>1594</v>
      </c>
      <c r="K1075" s="1" t="n"/>
      <c r="L1075" s="1" t="n">
        <v>1602</v>
      </c>
      <c r="M1075" s="1" t="n">
        <v>0.45</v>
      </c>
      <c r="N1075" s="1" t="n">
        <v>9.85</v>
      </c>
      <c r="O1075" s="1" t="n">
        <v>9.694000000000001</v>
      </c>
      <c r="P1075" s="9" t="n"/>
    </row>
    <row r="1076">
      <c r="A1076" s="6" t="n">
        <v>10.75</v>
      </c>
      <c r="B1076" s="2" t="n">
        <v>51</v>
      </c>
      <c r="C1076" s="2" t="inlineStr">
        <is>
          <t>P-110</t>
        </is>
      </c>
      <c r="D1076" s="2" t="n">
        <v>3660</v>
      </c>
      <c r="E1076" s="2" t="n">
        <v>8060</v>
      </c>
      <c r="F1076" s="2" t="n"/>
      <c r="G1076" s="2" t="n"/>
      <c r="H1076" s="2" t="n"/>
      <c r="I1076" s="2" t="inlineStr">
        <is>
          <t>STC</t>
        </is>
      </c>
      <c r="J1076" s="2" t="n">
        <v>1080</v>
      </c>
      <c r="K1076" s="2" t="n"/>
      <c r="L1076" s="2" t="n">
        <v>1602</v>
      </c>
      <c r="M1076" s="2" t="n">
        <v>0.45</v>
      </c>
      <c r="N1076" s="2" t="n">
        <v>9.85</v>
      </c>
      <c r="O1076" s="2" t="n">
        <v>9.694000000000001</v>
      </c>
      <c r="P1076" s="7" t="n"/>
    </row>
    <row r="1077">
      <c r="A1077" s="6" t="n">
        <v>10.75</v>
      </c>
      <c r="B1077" s="2" t="n">
        <v>51</v>
      </c>
      <c r="C1077" s="2" t="inlineStr">
        <is>
          <t>P-110</t>
        </is>
      </c>
      <c r="D1077" s="2" t="n">
        <v>3660</v>
      </c>
      <c r="E1077" s="2" t="n">
        <v>8060</v>
      </c>
      <c r="F1077" s="2" t="n"/>
      <c r="G1077" s="2" t="n"/>
      <c r="H1077" s="2" t="n"/>
      <c r="I1077" s="2" t="inlineStr">
        <is>
          <t>BTC</t>
        </is>
      </c>
      <c r="J1077" s="2" t="n">
        <v>1594</v>
      </c>
      <c r="K1077" s="2" t="n"/>
      <c r="L1077" s="2" t="n">
        <v>1602</v>
      </c>
      <c r="M1077" s="2" t="n">
        <v>0.45</v>
      </c>
      <c r="N1077" s="2" t="n">
        <v>9.85</v>
      </c>
      <c r="O1077" s="2" t="n">
        <v>9.694000000000001</v>
      </c>
      <c r="P1077" s="7" t="n"/>
    </row>
    <row r="1078">
      <c r="A1078" s="8" t="n">
        <v>10.75</v>
      </c>
      <c r="B1078" s="1" t="n">
        <v>51</v>
      </c>
      <c r="C1078" s="1" t="inlineStr">
        <is>
          <t>HCQ-125</t>
        </is>
      </c>
      <c r="D1078" s="1" t="n">
        <v>4660</v>
      </c>
      <c r="E1078" s="1" t="n">
        <v>9160</v>
      </c>
      <c r="F1078" s="1" t="n"/>
      <c r="G1078" s="1" t="n"/>
      <c r="H1078" s="1" t="n"/>
      <c r="I1078" s="1" t="inlineStr">
        <is>
          <t>STC</t>
        </is>
      </c>
      <c r="J1078" s="1" t="n">
        <v>1213</v>
      </c>
      <c r="K1078" s="1" t="n"/>
      <c r="L1078" s="1" t="n">
        <v>1820</v>
      </c>
      <c r="M1078" s="1" t="n">
        <v>0.45</v>
      </c>
      <c r="N1078" s="1" t="n">
        <v>9.85</v>
      </c>
      <c r="O1078" s="1" t="n">
        <v>9.694000000000001</v>
      </c>
      <c r="P1078" s="9" t="n"/>
    </row>
    <row r="1079">
      <c r="A1079" s="8" t="n">
        <v>10.75</v>
      </c>
      <c r="B1079" s="1" t="n">
        <v>51</v>
      </c>
      <c r="C1079" s="1" t="inlineStr">
        <is>
          <t>HCQ-125</t>
        </is>
      </c>
      <c r="D1079" s="1" t="n">
        <v>4660</v>
      </c>
      <c r="E1079" s="1" t="n">
        <v>9160</v>
      </c>
      <c r="F1079" s="1" t="n"/>
      <c r="G1079" s="1" t="n"/>
      <c r="H1079" s="1" t="n"/>
      <c r="I1079" s="1" t="inlineStr">
        <is>
          <t>BTC</t>
        </is>
      </c>
      <c r="J1079" s="1" t="n">
        <v>1758</v>
      </c>
      <c r="K1079" s="1" t="n"/>
      <c r="L1079" s="1" t="n">
        <v>1820</v>
      </c>
      <c r="M1079" s="1" t="n">
        <v>0.45</v>
      </c>
      <c r="N1079" s="1" t="n">
        <v>9.85</v>
      </c>
      <c r="O1079" s="1" t="n">
        <v>9.694000000000001</v>
      </c>
      <c r="P1079" s="9" t="n"/>
    </row>
    <row r="1080">
      <c r="A1080" s="6" t="n">
        <v>10.75</v>
      </c>
      <c r="B1080" s="2" t="n">
        <v>51</v>
      </c>
      <c r="C1080" s="2" t="inlineStr">
        <is>
          <t>Q-125</t>
        </is>
      </c>
      <c r="D1080" s="2" t="n">
        <v>3740</v>
      </c>
      <c r="E1080" s="2" t="n">
        <v>9160</v>
      </c>
      <c r="F1080" s="2" t="n"/>
      <c r="G1080" s="2" t="n"/>
      <c r="H1080" s="2" t="n"/>
      <c r="I1080" s="2" t="inlineStr">
        <is>
          <t>STC</t>
        </is>
      </c>
      <c r="J1080" s="2" t="n">
        <v>1213</v>
      </c>
      <c r="K1080" s="2" t="n"/>
      <c r="L1080" s="2" t="n">
        <v>1820</v>
      </c>
      <c r="M1080" s="2" t="n">
        <v>0.45</v>
      </c>
      <c r="N1080" s="2" t="n">
        <v>9.85</v>
      </c>
      <c r="O1080" s="2" t="n">
        <v>9.694000000000001</v>
      </c>
      <c r="P1080" s="7" t="n"/>
    </row>
    <row r="1081">
      <c r="A1081" s="6" t="n">
        <v>10.75</v>
      </c>
      <c r="B1081" s="2" t="n">
        <v>51</v>
      </c>
      <c r="C1081" s="2" t="inlineStr">
        <is>
          <t>Q-125</t>
        </is>
      </c>
      <c r="D1081" s="2" t="n">
        <v>3740</v>
      </c>
      <c r="E1081" s="2" t="n">
        <v>9160</v>
      </c>
      <c r="F1081" s="2" t="n"/>
      <c r="G1081" s="2" t="n"/>
      <c r="H1081" s="2" t="n"/>
      <c r="I1081" s="2" t="inlineStr">
        <is>
          <t>BTC</t>
        </is>
      </c>
      <c r="J1081" s="2" t="n">
        <v>1758</v>
      </c>
      <c r="K1081" s="2" t="n"/>
      <c r="L1081" s="2" t="n">
        <v>1820</v>
      </c>
      <c r="M1081" s="2" t="n">
        <v>0.45</v>
      </c>
      <c r="N1081" s="2" t="n">
        <v>9.85</v>
      </c>
      <c r="O1081" s="2" t="n">
        <v>9.694000000000001</v>
      </c>
      <c r="P1081" s="7" t="n"/>
    </row>
    <row r="1082">
      <c r="A1082" s="8" t="n">
        <v>10.75</v>
      </c>
      <c r="B1082" s="1" t="n">
        <v>55.5</v>
      </c>
      <c r="C1082" s="1" t="inlineStr">
        <is>
          <t>HCK-55</t>
        </is>
      </c>
      <c r="D1082" s="1" t="n">
        <v>5220</v>
      </c>
      <c r="E1082" s="1" t="n">
        <v>4430</v>
      </c>
      <c r="F1082" s="1" t="n"/>
      <c r="G1082" s="1" t="n"/>
      <c r="H1082" s="1" t="n"/>
      <c r="I1082" s="1" t="inlineStr">
        <is>
          <t>STC</t>
        </is>
      </c>
      <c r="J1082" s="1" t="n">
        <v>843</v>
      </c>
      <c r="K1082" s="1" t="n"/>
      <c r="L1082" s="1" t="n">
        <v>877</v>
      </c>
      <c r="M1082" s="1" t="n">
        <v>0.495</v>
      </c>
      <c r="N1082" s="1" t="n">
        <v>9.76</v>
      </c>
      <c r="O1082" s="1" t="n">
        <v>9.603999999999999</v>
      </c>
      <c r="P1082" s="9" t="n">
        <v>9.625</v>
      </c>
    </row>
    <row r="1083">
      <c r="A1083" s="8" t="n">
        <v>10.75</v>
      </c>
      <c r="B1083" s="1" t="n">
        <v>55.5</v>
      </c>
      <c r="C1083" s="1" t="inlineStr">
        <is>
          <t>HCK-55</t>
        </is>
      </c>
      <c r="D1083" s="1" t="n">
        <v>5220</v>
      </c>
      <c r="E1083" s="1" t="n">
        <v>4430</v>
      </c>
      <c r="F1083" s="1" t="n"/>
      <c r="G1083" s="1" t="n"/>
      <c r="H1083" s="1" t="n"/>
      <c r="I1083" s="1" t="inlineStr">
        <is>
          <t>BTC</t>
        </is>
      </c>
      <c r="J1083" s="1" t="n">
        <v>1271</v>
      </c>
      <c r="K1083" s="1" t="n"/>
      <c r="L1083" s="1" t="n">
        <v>877</v>
      </c>
      <c r="M1083" s="1" t="n">
        <v>0.495</v>
      </c>
      <c r="N1083" s="1" t="n">
        <v>9.76</v>
      </c>
      <c r="O1083" s="1" t="n">
        <v>9.603999999999999</v>
      </c>
      <c r="P1083" s="9" t="n">
        <v>9.625</v>
      </c>
    </row>
    <row r="1084">
      <c r="A1084" s="6" t="n">
        <v>10.75</v>
      </c>
      <c r="B1084" s="2" t="n">
        <v>55.5</v>
      </c>
      <c r="C1084" s="2" t="inlineStr">
        <is>
          <t>L-80</t>
        </is>
      </c>
      <c r="D1084" s="2" t="n">
        <v>4020</v>
      </c>
      <c r="E1084" s="2" t="n">
        <v>6450</v>
      </c>
      <c r="F1084" s="2" t="n"/>
      <c r="G1084" s="2" t="n"/>
      <c r="H1084" s="2" t="n"/>
      <c r="I1084" s="2" t="inlineStr">
        <is>
          <t>STC</t>
        </is>
      </c>
      <c r="J1084" s="2" t="n">
        <v>884</v>
      </c>
      <c r="K1084" s="2" t="n"/>
      <c r="L1084" s="2" t="n">
        <v>1276</v>
      </c>
      <c r="M1084" s="2" t="n">
        <v>0.495</v>
      </c>
      <c r="N1084" s="2" t="n">
        <v>9.76</v>
      </c>
      <c r="O1084" s="2" t="n">
        <v>9.603999999999999</v>
      </c>
      <c r="P1084" s="7" t="n">
        <v>9.625</v>
      </c>
    </row>
    <row r="1085">
      <c r="A1085" s="6" t="n">
        <v>10.75</v>
      </c>
      <c r="B1085" s="2" t="n">
        <v>55.5</v>
      </c>
      <c r="C1085" s="2" t="inlineStr">
        <is>
          <t>L-80</t>
        </is>
      </c>
      <c r="D1085" s="2" t="n">
        <v>4020</v>
      </c>
      <c r="E1085" s="2" t="n">
        <v>6450</v>
      </c>
      <c r="F1085" s="2" t="n"/>
      <c r="G1085" s="2" t="n"/>
      <c r="H1085" s="2" t="n"/>
      <c r="I1085" s="2" t="inlineStr">
        <is>
          <t>BTC</t>
        </is>
      </c>
      <c r="J1085" s="2" t="n">
        <v>1303</v>
      </c>
      <c r="K1085" s="2" t="n"/>
      <c r="L1085" s="2" t="n">
        <v>1276</v>
      </c>
      <c r="M1085" s="2" t="n">
        <v>0.495</v>
      </c>
      <c r="N1085" s="2" t="n">
        <v>9.76</v>
      </c>
      <c r="O1085" s="2" t="n">
        <v>9.603999999999999</v>
      </c>
      <c r="P1085" s="7" t="n">
        <v>9.625</v>
      </c>
    </row>
    <row r="1086">
      <c r="A1086" s="8" t="n">
        <v>10.75</v>
      </c>
      <c r="B1086" s="1" t="n">
        <v>55.5</v>
      </c>
      <c r="C1086" s="1" t="inlineStr">
        <is>
          <t>HCL-80</t>
        </is>
      </c>
      <c r="D1086" s="1" t="n">
        <v>5950</v>
      </c>
      <c r="E1086" s="1" t="n">
        <v>6450</v>
      </c>
      <c r="F1086" s="1" t="n"/>
      <c r="G1086" s="1" t="n"/>
      <c r="H1086" s="1" t="n"/>
      <c r="I1086" s="1" t="inlineStr">
        <is>
          <t>STC</t>
        </is>
      </c>
      <c r="J1086" s="1" t="n">
        <v>1010</v>
      </c>
      <c r="K1086" s="1" t="n"/>
      <c r="L1086" s="1" t="n">
        <v>1276</v>
      </c>
      <c r="M1086" s="1" t="n">
        <v>0.495</v>
      </c>
      <c r="N1086" s="1" t="n">
        <v>9.76</v>
      </c>
      <c r="O1086" s="1" t="n">
        <v>9.603999999999999</v>
      </c>
      <c r="P1086" s="9" t="n">
        <v>9.625</v>
      </c>
    </row>
    <row r="1087">
      <c r="A1087" s="8" t="n">
        <v>10.75</v>
      </c>
      <c r="B1087" s="1" t="n">
        <v>55.5</v>
      </c>
      <c r="C1087" s="1" t="inlineStr">
        <is>
          <t>HCL-80</t>
        </is>
      </c>
      <c r="D1087" s="1" t="n">
        <v>5950</v>
      </c>
      <c r="E1087" s="1" t="n">
        <v>6450</v>
      </c>
      <c r="F1087" s="1" t="n"/>
      <c r="G1087" s="1" t="n"/>
      <c r="H1087" s="1" t="n"/>
      <c r="I1087" s="1" t="inlineStr">
        <is>
          <t>BTC</t>
        </is>
      </c>
      <c r="J1087" s="1" t="n">
        <v>1441</v>
      </c>
      <c r="K1087" s="1" t="n"/>
      <c r="L1087" s="1" t="n">
        <v>1276</v>
      </c>
      <c r="M1087" s="1" t="n">
        <v>0.495</v>
      </c>
      <c r="N1087" s="1" t="n">
        <v>9.76</v>
      </c>
      <c r="O1087" s="1" t="n">
        <v>9.603999999999999</v>
      </c>
      <c r="P1087" s="9" t="n">
        <v>9.625</v>
      </c>
    </row>
    <row r="1088">
      <c r="A1088" s="6" t="n">
        <v>10.75</v>
      </c>
      <c r="B1088" s="2" t="n">
        <v>55.5</v>
      </c>
      <c r="C1088" s="2" t="inlineStr">
        <is>
          <t>N-80</t>
        </is>
      </c>
      <c r="D1088" s="2" t="n">
        <v>4020</v>
      </c>
      <c r="E1088" s="2" t="n">
        <v>6450</v>
      </c>
      <c r="F1088" s="2" t="n"/>
      <c r="G1088" s="2" t="n"/>
      <c r="H1088" s="2" t="n"/>
      <c r="I1088" s="2" t="inlineStr">
        <is>
          <t>STC</t>
        </is>
      </c>
      <c r="J1088" s="2" t="n">
        <v>895</v>
      </c>
      <c r="K1088" s="2" t="n"/>
      <c r="L1088" s="2" t="n">
        <v>1276</v>
      </c>
      <c r="M1088" s="2" t="n">
        <v>0.495</v>
      </c>
      <c r="N1088" s="2" t="n">
        <v>9.76</v>
      </c>
      <c r="O1088" s="2" t="n">
        <v>9.603999999999999</v>
      </c>
      <c r="P1088" s="7" t="n">
        <v>9.625</v>
      </c>
    </row>
    <row r="1089">
      <c r="A1089" s="6" t="n">
        <v>10.75</v>
      </c>
      <c r="B1089" s="2" t="n">
        <v>55.5</v>
      </c>
      <c r="C1089" s="2" t="inlineStr">
        <is>
          <t>N-80</t>
        </is>
      </c>
      <c r="D1089" s="2" t="n">
        <v>4020</v>
      </c>
      <c r="E1089" s="2" t="n">
        <v>6450</v>
      </c>
      <c r="F1089" s="2" t="n"/>
      <c r="G1089" s="2" t="n"/>
      <c r="H1089" s="2" t="n"/>
      <c r="I1089" s="2" t="inlineStr">
        <is>
          <t>BTC</t>
        </is>
      </c>
      <c r="J1089" s="2" t="n">
        <v>1345</v>
      </c>
      <c r="K1089" s="2" t="n"/>
      <c r="L1089" s="2" t="n">
        <v>1276</v>
      </c>
      <c r="M1089" s="2" t="n">
        <v>0.495</v>
      </c>
      <c r="N1089" s="2" t="n">
        <v>9.76</v>
      </c>
      <c r="O1089" s="2" t="n">
        <v>9.603999999999999</v>
      </c>
      <c r="P1089" s="7" t="n">
        <v>9.625</v>
      </c>
    </row>
    <row r="1090">
      <c r="A1090" s="8" t="n">
        <v>10.75</v>
      </c>
      <c r="B1090" s="1" t="n">
        <v>55.5</v>
      </c>
      <c r="C1090" s="1" t="inlineStr">
        <is>
          <t>HCN-80</t>
        </is>
      </c>
      <c r="D1090" s="1" t="n">
        <v>5950</v>
      </c>
      <c r="E1090" s="1" t="n">
        <v>6450</v>
      </c>
      <c r="F1090" s="1" t="n"/>
      <c r="G1090" s="1" t="n"/>
      <c r="H1090" s="1" t="n"/>
      <c r="I1090" s="1" t="inlineStr">
        <is>
          <t>STC</t>
        </is>
      </c>
      <c r="J1090" s="1" t="n">
        <v>1021</v>
      </c>
      <c r="K1090" s="1" t="n"/>
      <c r="L1090" s="1" t="n">
        <v>1276</v>
      </c>
      <c r="M1090" s="1" t="n">
        <v>0.495</v>
      </c>
      <c r="N1090" s="1" t="n">
        <v>9.76</v>
      </c>
      <c r="O1090" s="1" t="n">
        <v>9.603999999999999</v>
      </c>
      <c r="P1090" s="9" t="n">
        <v>9.625</v>
      </c>
    </row>
    <row r="1091">
      <c r="A1091" s="8" t="n">
        <v>10.75</v>
      </c>
      <c r="B1091" s="1" t="n">
        <v>55.5</v>
      </c>
      <c r="C1091" s="1" t="inlineStr">
        <is>
          <t>HCN-80</t>
        </is>
      </c>
      <c r="D1091" s="1" t="n">
        <v>5950</v>
      </c>
      <c r="E1091" s="1" t="n">
        <v>6450</v>
      </c>
      <c r="F1091" s="1" t="n"/>
      <c r="G1091" s="1" t="n"/>
      <c r="H1091" s="1" t="n"/>
      <c r="I1091" s="1" t="inlineStr">
        <is>
          <t>BTC</t>
        </is>
      </c>
      <c r="J1091" s="1" t="n">
        <v>1441</v>
      </c>
      <c r="K1091" s="1" t="n"/>
      <c r="L1091" s="1" t="n">
        <v>1276</v>
      </c>
      <c r="M1091" s="1" t="n">
        <v>0.495</v>
      </c>
      <c r="N1091" s="1" t="n">
        <v>9.76</v>
      </c>
      <c r="O1091" s="1" t="n">
        <v>9.603999999999999</v>
      </c>
      <c r="P1091" s="9" t="n">
        <v>9.625</v>
      </c>
    </row>
    <row r="1092">
      <c r="A1092" s="6" t="n">
        <v>10.75</v>
      </c>
      <c r="B1092" s="2" t="n">
        <v>55.5</v>
      </c>
      <c r="C1092" s="2" t="inlineStr">
        <is>
          <t>C-90</t>
        </is>
      </c>
      <c r="D1092" s="2" t="n">
        <v>4160</v>
      </c>
      <c r="E1092" s="2" t="n">
        <v>7250</v>
      </c>
      <c r="F1092" s="2" t="n"/>
      <c r="G1092" s="2" t="n"/>
      <c r="H1092" s="2" t="n"/>
      <c r="I1092" s="2" t="inlineStr">
        <is>
          <t>STC</t>
        </is>
      </c>
      <c r="J1092" s="2" t="n">
        <v>979</v>
      </c>
      <c r="K1092" s="2" t="n"/>
      <c r="L1092" s="2" t="n">
        <v>1435</v>
      </c>
      <c r="M1092" s="2" t="n">
        <v>0.495</v>
      </c>
      <c r="N1092" s="2" t="n">
        <v>9.76</v>
      </c>
      <c r="O1092" s="2" t="n">
        <v>9.603999999999999</v>
      </c>
      <c r="P1092" s="7" t="n">
        <v>9.625</v>
      </c>
    </row>
    <row r="1093">
      <c r="A1093" s="6" t="n">
        <v>10.75</v>
      </c>
      <c r="B1093" s="2" t="n">
        <v>55.5</v>
      </c>
      <c r="C1093" s="2" t="inlineStr">
        <is>
          <t>C-90</t>
        </is>
      </c>
      <c r="D1093" s="2" t="n">
        <v>4160</v>
      </c>
      <c r="E1093" s="2" t="n">
        <v>7250</v>
      </c>
      <c r="F1093" s="2" t="n"/>
      <c r="G1093" s="2" t="n"/>
      <c r="H1093" s="2" t="n"/>
      <c r="I1093" s="2" t="inlineStr">
        <is>
          <t>BTC</t>
        </is>
      </c>
      <c r="J1093" s="2" t="n">
        <v>1409</v>
      </c>
      <c r="K1093" s="2" t="n"/>
      <c r="L1093" s="2" t="n">
        <v>1435</v>
      </c>
      <c r="M1093" s="2" t="n">
        <v>0.495</v>
      </c>
      <c r="N1093" s="2" t="n">
        <v>9.76</v>
      </c>
      <c r="O1093" s="2" t="n">
        <v>9.603999999999999</v>
      </c>
      <c r="P1093" s="7" t="n">
        <v>9.625</v>
      </c>
    </row>
    <row r="1094">
      <c r="A1094" s="8" t="n">
        <v>10.75</v>
      </c>
      <c r="B1094" s="1" t="n">
        <v>55.5</v>
      </c>
      <c r="C1094" s="1" t="inlineStr">
        <is>
          <t>H2S-90</t>
        </is>
      </c>
      <c r="D1094" s="1" t="n">
        <v>5950</v>
      </c>
      <c r="E1094" s="1" t="n">
        <v>7250</v>
      </c>
      <c r="F1094" s="1" t="n"/>
      <c r="G1094" s="1" t="n"/>
      <c r="H1094" s="1" t="n"/>
      <c r="I1094" s="1" t="inlineStr">
        <is>
          <t>STC</t>
        </is>
      </c>
      <c r="J1094" s="1" t="n">
        <v>1021</v>
      </c>
      <c r="K1094" s="1" t="n"/>
      <c r="L1094" s="1" t="n">
        <v>1435</v>
      </c>
      <c r="M1094" s="1" t="n">
        <v>0.495</v>
      </c>
      <c r="N1094" s="1" t="n">
        <v>9.76</v>
      </c>
      <c r="O1094" s="1" t="n">
        <v>9.603999999999999</v>
      </c>
      <c r="P1094" s="9" t="n">
        <v>9.625</v>
      </c>
    </row>
    <row r="1095">
      <c r="A1095" s="8" t="n">
        <v>10.75</v>
      </c>
      <c r="B1095" s="1" t="n">
        <v>55.5</v>
      </c>
      <c r="C1095" s="1" t="inlineStr">
        <is>
          <t>H2S-90</t>
        </is>
      </c>
      <c r="D1095" s="1" t="n">
        <v>5950</v>
      </c>
      <c r="E1095" s="1" t="n">
        <v>7250</v>
      </c>
      <c r="F1095" s="1" t="n"/>
      <c r="G1095" s="1" t="n"/>
      <c r="H1095" s="1" t="n"/>
      <c r="I1095" s="1" t="inlineStr">
        <is>
          <t>BTC</t>
        </is>
      </c>
      <c r="J1095" s="1" t="n">
        <v>1441</v>
      </c>
      <c r="K1095" s="1" t="n"/>
      <c r="L1095" s="1" t="n">
        <v>1435</v>
      </c>
      <c r="M1095" s="1" t="n">
        <v>0.495</v>
      </c>
      <c r="N1095" s="1" t="n">
        <v>9.76</v>
      </c>
      <c r="O1095" s="1" t="n">
        <v>9.603999999999999</v>
      </c>
      <c r="P1095" s="9" t="n">
        <v>9.625</v>
      </c>
    </row>
    <row r="1096">
      <c r="A1096" s="6" t="n">
        <v>10.75</v>
      </c>
      <c r="B1096" s="2" t="n">
        <v>55.5</v>
      </c>
      <c r="C1096" s="2" t="inlineStr">
        <is>
          <t>S-95</t>
        </is>
      </c>
      <c r="D1096" s="2" t="n">
        <v>5950</v>
      </c>
      <c r="E1096" s="2" t="n">
        <v>7660</v>
      </c>
      <c r="F1096" s="2" t="n"/>
      <c r="G1096" s="2" t="n"/>
      <c r="H1096" s="2" t="n"/>
      <c r="I1096" s="2" t="inlineStr">
        <is>
          <t>STC</t>
        </is>
      </c>
      <c r="J1096" s="2" t="n">
        <v>1043</v>
      </c>
      <c r="K1096" s="2" t="n"/>
      <c r="L1096" s="2" t="n">
        <v>1515</v>
      </c>
      <c r="M1096" s="2" t="n">
        <v>0.495</v>
      </c>
      <c r="N1096" s="2" t="n">
        <v>9.76</v>
      </c>
      <c r="O1096" s="2" t="n">
        <v>9.603999999999999</v>
      </c>
      <c r="P1096" s="7" t="n">
        <v>9.625</v>
      </c>
    </row>
    <row r="1097">
      <c r="A1097" s="6" t="n">
        <v>10.75</v>
      </c>
      <c r="B1097" s="2" t="n">
        <v>55.5</v>
      </c>
      <c r="C1097" s="2" t="inlineStr">
        <is>
          <t>S-95</t>
        </is>
      </c>
      <c r="D1097" s="2" t="n">
        <v>5950</v>
      </c>
      <c r="E1097" s="2" t="n">
        <v>7660</v>
      </c>
      <c r="F1097" s="2" t="n"/>
      <c r="G1097" s="2" t="n"/>
      <c r="H1097" s="2" t="n"/>
      <c r="I1097" s="2" t="inlineStr">
        <is>
          <t>BTC</t>
        </is>
      </c>
      <c r="J1097" s="2" t="n">
        <v>1524</v>
      </c>
      <c r="K1097" s="2" t="n"/>
      <c r="L1097" s="2" t="n">
        <v>1515</v>
      </c>
      <c r="M1097" s="2" t="n">
        <v>0.495</v>
      </c>
      <c r="N1097" s="2" t="n">
        <v>9.76</v>
      </c>
      <c r="O1097" s="2" t="n">
        <v>9.603999999999999</v>
      </c>
      <c r="P1097" s="7" t="n">
        <v>9.625</v>
      </c>
    </row>
    <row r="1098">
      <c r="A1098" s="8" t="n">
        <v>10.75</v>
      </c>
      <c r="B1098" s="1" t="n">
        <v>55.5</v>
      </c>
      <c r="C1098" s="1" t="inlineStr">
        <is>
          <t>T-95</t>
        </is>
      </c>
      <c r="D1098" s="1" t="n">
        <v>4290</v>
      </c>
      <c r="E1098" s="1" t="n">
        <v>7660</v>
      </c>
      <c r="F1098" s="1" t="n"/>
      <c r="G1098" s="1" t="n"/>
      <c r="H1098" s="1" t="n"/>
      <c r="I1098" s="1" t="inlineStr">
        <is>
          <t>STC</t>
        </is>
      </c>
      <c r="J1098" s="1" t="n">
        <v>1032</v>
      </c>
      <c r="K1098" s="1" t="n"/>
      <c r="L1098" s="1" t="n">
        <v>1515</v>
      </c>
      <c r="M1098" s="1" t="n">
        <v>0.495</v>
      </c>
      <c r="N1098" s="1" t="n">
        <v>9.76</v>
      </c>
      <c r="O1098" s="1" t="n">
        <v>9.603999999999999</v>
      </c>
      <c r="P1098" s="9" t="n"/>
    </row>
    <row r="1099">
      <c r="A1099" s="8" t="n">
        <v>10.75</v>
      </c>
      <c r="B1099" s="1" t="n">
        <v>55.5</v>
      </c>
      <c r="C1099" s="1" t="inlineStr">
        <is>
          <t>T-95</t>
        </is>
      </c>
      <c r="D1099" s="1" t="n">
        <v>4290</v>
      </c>
      <c r="E1099" s="1" t="n">
        <v>7660</v>
      </c>
      <c r="F1099" s="1" t="n"/>
      <c r="G1099" s="1" t="n"/>
      <c r="H1099" s="1" t="n"/>
      <c r="I1099" s="1" t="inlineStr">
        <is>
          <t>BTC</t>
        </is>
      </c>
      <c r="J1099" s="1" t="n">
        <v>1483</v>
      </c>
      <c r="K1099" s="1" t="n"/>
      <c r="L1099" s="1" t="n">
        <v>1515</v>
      </c>
      <c r="M1099" s="1" t="n">
        <v>0.495</v>
      </c>
      <c r="N1099" s="1" t="n">
        <v>9.76</v>
      </c>
      <c r="O1099" s="1" t="n">
        <v>9.603999999999999</v>
      </c>
      <c r="P1099" s="9" t="n"/>
    </row>
    <row r="1100">
      <c r="A1100" s="6" t="n">
        <v>10.75</v>
      </c>
      <c r="B1100" s="2" t="n">
        <v>55.5</v>
      </c>
      <c r="C1100" s="2" t="inlineStr">
        <is>
          <t>H2S-95</t>
        </is>
      </c>
      <c r="D1100" s="2" t="n">
        <v>5950</v>
      </c>
      <c r="E1100" s="2" t="n">
        <v>7660</v>
      </c>
      <c r="F1100" s="2" t="n"/>
      <c r="G1100" s="2" t="n"/>
      <c r="H1100" s="2" t="n"/>
      <c r="I1100" s="2" t="inlineStr">
        <is>
          <t>STC</t>
        </is>
      </c>
      <c r="J1100" s="2" t="n">
        <v>1032</v>
      </c>
      <c r="K1100" s="2" t="n"/>
      <c r="L1100" s="2" t="n">
        <v>1515</v>
      </c>
      <c r="M1100" s="2" t="n">
        <v>0.495</v>
      </c>
      <c r="N1100" s="2" t="n">
        <v>9.76</v>
      </c>
      <c r="O1100" s="2" t="n">
        <v>9.603999999999999</v>
      </c>
      <c r="P1100" s="7" t="n">
        <v>9.625</v>
      </c>
    </row>
    <row r="1101">
      <c r="A1101" s="6" t="n">
        <v>10.75</v>
      </c>
      <c r="B1101" s="2" t="n">
        <v>55.5</v>
      </c>
      <c r="C1101" s="2" t="inlineStr">
        <is>
          <t>H2S-95</t>
        </is>
      </c>
      <c r="D1101" s="2" t="n">
        <v>5950</v>
      </c>
      <c r="E1101" s="2" t="n">
        <v>7660</v>
      </c>
      <c r="F1101" s="2" t="n"/>
      <c r="G1101" s="2" t="n"/>
      <c r="H1101" s="2" t="n"/>
      <c r="I1101" s="2" t="inlineStr">
        <is>
          <t>BTC</t>
        </is>
      </c>
      <c r="J1101" s="2" t="n">
        <v>1483</v>
      </c>
      <c r="K1101" s="2" t="n"/>
      <c r="L1101" s="2" t="n">
        <v>1515</v>
      </c>
      <c r="M1101" s="2" t="n">
        <v>0.495</v>
      </c>
      <c r="N1101" s="2" t="n">
        <v>9.76</v>
      </c>
      <c r="O1101" s="2" t="n">
        <v>9.603999999999999</v>
      </c>
      <c r="P1101" s="7" t="n">
        <v>9.625</v>
      </c>
    </row>
    <row r="1102">
      <c r="A1102" s="8" t="n">
        <v>10.75</v>
      </c>
      <c r="B1102" s="1" t="n">
        <v>55.5</v>
      </c>
      <c r="C1102" s="1" t="inlineStr">
        <is>
          <t>C-95</t>
        </is>
      </c>
      <c r="D1102" s="1" t="n">
        <v>4290</v>
      </c>
      <c r="E1102" s="1" t="n">
        <v>7660</v>
      </c>
      <c r="F1102" s="1" t="n"/>
      <c r="G1102" s="1" t="n"/>
      <c r="H1102" s="1" t="n"/>
      <c r="I1102" s="1" t="inlineStr">
        <is>
          <t>STC</t>
        </is>
      </c>
      <c r="J1102" s="1" t="n">
        <v>1032</v>
      </c>
      <c r="K1102" s="1" t="n"/>
      <c r="L1102" s="1" t="n">
        <v>1515</v>
      </c>
      <c r="M1102" s="1" t="n">
        <v>0.495</v>
      </c>
      <c r="N1102" s="1" t="n">
        <v>9.76</v>
      </c>
      <c r="O1102" s="1" t="n">
        <v>9.603999999999999</v>
      </c>
      <c r="P1102" s="9" t="n">
        <v>9.625</v>
      </c>
    </row>
    <row r="1103">
      <c r="A1103" s="8" t="n">
        <v>10.75</v>
      </c>
      <c r="B1103" s="1" t="n">
        <v>55.5</v>
      </c>
      <c r="C1103" s="1" t="inlineStr">
        <is>
          <t>C-95</t>
        </is>
      </c>
      <c r="D1103" s="1" t="n">
        <v>4290</v>
      </c>
      <c r="E1103" s="1" t="n">
        <v>7660</v>
      </c>
      <c r="F1103" s="1" t="n"/>
      <c r="G1103" s="1" t="n"/>
      <c r="H1103" s="1" t="n"/>
      <c r="I1103" s="1" t="inlineStr">
        <is>
          <t>BTC</t>
        </is>
      </c>
      <c r="J1103" s="1" t="n">
        <v>1483</v>
      </c>
      <c r="K1103" s="1" t="n"/>
      <c r="L1103" s="1" t="n">
        <v>1515</v>
      </c>
      <c r="M1103" s="1" t="n">
        <v>0.495</v>
      </c>
      <c r="N1103" s="1" t="n">
        <v>9.76</v>
      </c>
      <c r="O1103" s="1" t="n">
        <v>9.603999999999999</v>
      </c>
      <c r="P1103" s="9" t="n">
        <v>9.625</v>
      </c>
    </row>
    <row r="1104">
      <c r="A1104" s="6" t="n">
        <v>10.75</v>
      </c>
      <c r="B1104" s="2" t="n">
        <v>55.5</v>
      </c>
      <c r="C1104" s="2" t="inlineStr">
        <is>
          <t>HCP-110</t>
        </is>
      </c>
      <c r="D1104" s="2" t="n">
        <v>5950</v>
      </c>
      <c r="E1104" s="2" t="n">
        <v>8860</v>
      </c>
      <c r="F1104" s="2" t="n"/>
      <c r="G1104" s="2" t="n"/>
      <c r="H1104" s="2" t="n"/>
      <c r="I1104" s="2" t="inlineStr">
        <is>
          <t>STC</t>
        </is>
      </c>
      <c r="J1104" s="2" t="n">
        <v>1203</v>
      </c>
      <c r="K1104" s="2" t="n"/>
      <c r="L1104" s="2" t="n">
        <v>1754</v>
      </c>
      <c r="M1104" s="2" t="n">
        <v>0.495</v>
      </c>
      <c r="N1104" s="2" t="n">
        <v>9.76</v>
      </c>
      <c r="O1104" s="2" t="n">
        <v>9.603999999999999</v>
      </c>
      <c r="P1104" s="7" t="n">
        <v>9.625</v>
      </c>
    </row>
    <row r="1105">
      <c r="A1105" s="6" t="n">
        <v>10.75</v>
      </c>
      <c r="B1105" s="2" t="n">
        <v>55.5</v>
      </c>
      <c r="C1105" s="2" t="inlineStr">
        <is>
          <t>HCP-110</t>
        </is>
      </c>
      <c r="D1105" s="2" t="n">
        <v>5950</v>
      </c>
      <c r="E1105" s="2" t="n">
        <v>8860</v>
      </c>
      <c r="F1105" s="2" t="n"/>
      <c r="G1105" s="2" t="n"/>
      <c r="H1105" s="2" t="n"/>
      <c r="I1105" s="2" t="inlineStr">
        <is>
          <t>BTC</t>
        </is>
      </c>
      <c r="J1105" s="2" t="n">
        <v>1745</v>
      </c>
      <c r="K1105" s="2" t="n"/>
      <c r="L1105" s="2" t="n">
        <v>1754</v>
      </c>
      <c r="M1105" s="2" t="n">
        <v>0.495</v>
      </c>
      <c r="N1105" s="2" t="n">
        <v>9.76</v>
      </c>
      <c r="O1105" s="2" t="n">
        <v>9.603999999999999</v>
      </c>
      <c r="P1105" s="7" t="n">
        <v>9.625</v>
      </c>
    </row>
    <row r="1106">
      <c r="A1106" s="8" t="n">
        <v>10.75</v>
      </c>
      <c r="B1106" s="1" t="n">
        <v>55.5</v>
      </c>
      <c r="C1106" s="1" t="inlineStr">
        <is>
          <t>P-110</t>
        </is>
      </c>
      <c r="D1106" s="1" t="n">
        <v>4610</v>
      </c>
      <c r="E1106" s="1" t="n">
        <v>8860</v>
      </c>
      <c r="F1106" s="1" t="n"/>
      <c r="G1106" s="1" t="n"/>
      <c r="H1106" s="1" t="n"/>
      <c r="I1106" s="1" t="inlineStr">
        <is>
          <t>STC</t>
        </is>
      </c>
      <c r="J1106" s="1" t="n">
        <v>1203</v>
      </c>
      <c r="K1106" s="1" t="n"/>
      <c r="L1106" s="1" t="n">
        <v>1754</v>
      </c>
      <c r="M1106" s="1" t="n">
        <v>0.495</v>
      </c>
      <c r="N1106" s="1" t="n">
        <v>9.76</v>
      </c>
      <c r="O1106" s="1" t="n">
        <v>9.603999999999999</v>
      </c>
      <c r="P1106" s="9" t="n">
        <v>9.625</v>
      </c>
    </row>
    <row r="1107">
      <c r="A1107" s="8" t="n">
        <v>10.75</v>
      </c>
      <c r="B1107" s="1" t="n">
        <v>55.5</v>
      </c>
      <c r="C1107" s="1" t="inlineStr">
        <is>
          <t>P-110</t>
        </is>
      </c>
      <c r="D1107" s="1" t="n">
        <v>4610</v>
      </c>
      <c r="E1107" s="1" t="n">
        <v>8860</v>
      </c>
      <c r="F1107" s="1" t="n"/>
      <c r="G1107" s="1" t="n"/>
      <c r="H1107" s="1" t="n"/>
      <c r="I1107" s="1" t="inlineStr">
        <is>
          <t>BTC</t>
        </is>
      </c>
      <c r="J1107" s="1" t="n">
        <v>1745</v>
      </c>
      <c r="K1107" s="1" t="n"/>
      <c r="L1107" s="1" t="n">
        <v>1754</v>
      </c>
      <c r="M1107" s="1" t="n">
        <v>0.495</v>
      </c>
      <c r="N1107" s="1" t="n">
        <v>9.76</v>
      </c>
      <c r="O1107" s="1" t="n">
        <v>9.603999999999999</v>
      </c>
      <c r="P1107" s="9" t="n">
        <v>9.625</v>
      </c>
    </row>
    <row r="1108">
      <c r="A1108" s="6" t="n">
        <v>10.75</v>
      </c>
      <c r="B1108" s="2" t="n">
        <v>55.5</v>
      </c>
      <c r="C1108" s="2" t="inlineStr">
        <is>
          <t>HCQ-125</t>
        </is>
      </c>
      <c r="D1108" s="2" t="n">
        <v>5950</v>
      </c>
      <c r="E1108" s="2" t="n">
        <v>10070</v>
      </c>
      <c r="F1108" s="2" t="n"/>
      <c r="G1108" s="2" t="n"/>
      <c r="H1108" s="2" t="n"/>
      <c r="I1108" s="2" t="inlineStr">
        <is>
          <t>STC</t>
        </is>
      </c>
      <c r="J1108" s="2" t="n">
        <v>1351</v>
      </c>
      <c r="K1108" s="2" t="n"/>
      <c r="L1108" s="2" t="n">
        <v>1993</v>
      </c>
      <c r="M1108" s="2" t="n">
        <v>0.495</v>
      </c>
      <c r="N1108" s="2" t="n">
        <v>9.76</v>
      </c>
      <c r="O1108" s="2" t="n">
        <v>9.603999999999999</v>
      </c>
      <c r="P1108" s="7" t="n">
        <v>9.625</v>
      </c>
    </row>
    <row r="1109">
      <c r="A1109" s="6" t="n">
        <v>10.75</v>
      </c>
      <c r="B1109" s="2" t="n">
        <v>55.5</v>
      </c>
      <c r="C1109" s="2" t="inlineStr">
        <is>
          <t>HCQ-125</t>
        </is>
      </c>
      <c r="D1109" s="2" t="n">
        <v>5950</v>
      </c>
      <c r="E1109" s="2" t="n">
        <v>10070</v>
      </c>
      <c r="F1109" s="2" t="n"/>
      <c r="G1109" s="2" t="n"/>
      <c r="H1109" s="2" t="n"/>
      <c r="I1109" s="2" t="inlineStr">
        <is>
          <t>BTC</t>
        </is>
      </c>
      <c r="J1109" s="2" t="n">
        <v>1925</v>
      </c>
      <c r="K1109" s="2" t="n"/>
      <c r="L1109" s="2" t="n">
        <v>1993</v>
      </c>
      <c r="M1109" s="2" t="n">
        <v>0.495</v>
      </c>
      <c r="N1109" s="2" t="n">
        <v>9.76</v>
      </c>
      <c r="O1109" s="2" t="n">
        <v>9.603999999999999</v>
      </c>
      <c r="P1109" s="7" t="n">
        <v>9.625</v>
      </c>
    </row>
    <row r="1110">
      <c r="A1110" s="8" t="n">
        <v>10.75</v>
      </c>
      <c r="B1110" s="1" t="n">
        <v>55.5</v>
      </c>
      <c r="C1110" s="1" t="inlineStr">
        <is>
          <t>Q-125</t>
        </is>
      </c>
      <c r="D1110" s="1" t="n">
        <v>4850</v>
      </c>
      <c r="E1110" s="1" t="n">
        <v>10070</v>
      </c>
      <c r="F1110" s="1" t="n"/>
      <c r="G1110" s="1" t="n"/>
      <c r="H1110" s="1" t="n"/>
      <c r="I1110" s="1" t="inlineStr">
        <is>
          <t>STC</t>
        </is>
      </c>
      <c r="J1110" s="1" t="n">
        <v>1351</v>
      </c>
      <c r="K1110" s="1" t="n"/>
      <c r="L1110" s="1" t="n">
        <v>1993</v>
      </c>
      <c r="M1110" s="1" t="n">
        <v>0.495</v>
      </c>
      <c r="N1110" s="1" t="n">
        <v>9.76</v>
      </c>
      <c r="O1110" s="1" t="n">
        <v>9.603999999999999</v>
      </c>
      <c r="P1110" s="9" t="n">
        <v>9.625</v>
      </c>
    </row>
    <row r="1111">
      <c r="A1111" s="8" t="n">
        <v>10.75</v>
      </c>
      <c r="B1111" s="1" t="n">
        <v>55.5</v>
      </c>
      <c r="C1111" s="1" t="inlineStr">
        <is>
          <t>Q-125</t>
        </is>
      </c>
      <c r="D1111" s="1" t="n">
        <v>4850</v>
      </c>
      <c r="E1111" s="1" t="n">
        <v>10070</v>
      </c>
      <c r="F1111" s="1" t="n"/>
      <c r="G1111" s="1" t="n"/>
      <c r="H1111" s="1" t="n"/>
      <c r="I1111" s="1" t="inlineStr">
        <is>
          <t>BTC</t>
        </is>
      </c>
      <c r="J1111" s="1" t="n">
        <v>1925</v>
      </c>
      <c r="K1111" s="1" t="n"/>
      <c r="L1111" s="1" t="n">
        <v>1993</v>
      </c>
      <c r="M1111" s="1" t="n">
        <v>0.495</v>
      </c>
      <c r="N1111" s="1" t="n">
        <v>9.76</v>
      </c>
      <c r="O1111" s="1" t="n">
        <v>9.603999999999999</v>
      </c>
      <c r="P1111" s="9" t="n">
        <v>9.625</v>
      </c>
    </row>
    <row r="1112">
      <c r="A1112" s="6" t="n">
        <v>10.75</v>
      </c>
      <c r="B1112" s="2" t="n">
        <v>60.7</v>
      </c>
      <c r="C1112" s="2" t="inlineStr">
        <is>
          <t>L-80</t>
        </is>
      </c>
      <c r="D1112" s="2" t="n">
        <v>5160</v>
      </c>
      <c r="E1112" s="2" t="n">
        <v>7100</v>
      </c>
      <c r="F1112" s="2" t="n"/>
      <c r="G1112" s="2" t="n"/>
      <c r="H1112" s="2" t="n"/>
      <c r="I1112" s="2" t="inlineStr">
        <is>
          <t>STC</t>
        </is>
      </c>
      <c r="J1112" s="2" t="n">
        <v>983</v>
      </c>
      <c r="K1112" s="2" t="n"/>
      <c r="L1112" s="2" t="n">
        <v>1398</v>
      </c>
      <c r="M1112" s="2" t="n">
        <v>0.545</v>
      </c>
      <c r="N1112" s="2" t="n">
        <v>9.66</v>
      </c>
      <c r="O1112" s="2" t="n">
        <v>9.504</v>
      </c>
      <c r="P1112" s="7" t="n"/>
    </row>
    <row r="1113">
      <c r="A1113" s="6" t="n">
        <v>10.75</v>
      </c>
      <c r="B1113" s="2" t="n">
        <v>60.7</v>
      </c>
      <c r="C1113" s="2" t="inlineStr">
        <is>
          <t>L-80</t>
        </is>
      </c>
      <c r="D1113" s="2" t="n">
        <v>5160</v>
      </c>
      <c r="E1113" s="2" t="n">
        <v>7100</v>
      </c>
      <c r="F1113" s="2" t="n"/>
      <c r="G1113" s="2" t="n"/>
      <c r="H1113" s="2" t="n"/>
      <c r="I1113" s="2" t="inlineStr">
        <is>
          <t>BTC</t>
        </is>
      </c>
      <c r="J1113" s="2" t="n">
        <v>1428</v>
      </c>
      <c r="K1113" s="2" t="n"/>
      <c r="L1113" s="2" t="n">
        <v>1398</v>
      </c>
      <c r="M1113" s="2" t="n">
        <v>0.545</v>
      </c>
      <c r="N1113" s="2" t="n">
        <v>9.66</v>
      </c>
      <c r="O1113" s="2" t="n">
        <v>9.504</v>
      </c>
      <c r="P1113" s="7" t="n"/>
    </row>
    <row r="1114">
      <c r="A1114" s="8" t="n">
        <v>10.75</v>
      </c>
      <c r="B1114" s="1" t="n">
        <v>60.7</v>
      </c>
      <c r="C1114" s="1" t="inlineStr">
        <is>
          <t>HCL-80</t>
        </is>
      </c>
      <c r="D1114" s="1" t="n">
        <v>7550</v>
      </c>
      <c r="E1114" s="1" t="n">
        <v>7100</v>
      </c>
      <c r="F1114" s="1" t="n"/>
      <c r="G1114" s="1" t="n"/>
      <c r="H1114" s="1" t="n"/>
      <c r="I1114" s="1" t="inlineStr">
        <is>
          <t>STC</t>
        </is>
      </c>
      <c r="J1114" s="1" t="n">
        <v>1123</v>
      </c>
      <c r="K1114" s="1" t="n"/>
      <c r="L1114" s="1" t="n">
        <v>1398</v>
      </c>
      <c r="M1114" s="1" t="n">
        <v>0.545</v>
      </c>
      <c r="N1114" s="1" t="n">
        <v>9.66</v>
      </c>
      <c r="O1114" s="1" t="n">
        <v>9.504</v>
      </c>
      <c r="P1114" s="9" t="n"/>
    </row>
    <row r="1115">
      <c r="A1115" s="8" t="n">
        <v>10.75</v>
      </c>
      <c r="B1115" s="1" t="n">
        <v>60.7</v>
      </c>
      <c r="C1115" s="1" t="inlineStr">
        <is>
          <t>HCL-80</t>
        </is>
      </c>
      <c r="D1115" s="1" t="n">
        <v>7550</v>
      </c>
      <c r="E1115" s="1" t="n">
        <v>7100</v>
      </c>
      <c r="F1115" s="1" t="n"/>
      <c r="G1115" s="1" t="n"/>
      <c r="H1115" s="1" t="n"/>
      <c r="I1115" s="1" t="inlineStr">
        <is>
          <t>BTC</t>
        </is>
      </c>
      <c r="J1115" s="1" t="n">
        <v>1579</v>
      </c>
      <c r="K1115" s="1" t="n"/>
      <c r="L1115" s="1" t="n">
        <v>1398</v>
      </c>
      <c r="M1115" s="1" t="n">
        <v>0.545</v>
      </c>
      <c r="N1115" s="1" t="n">
        <v>9.66</v>
      </c>
      <c r="O1115" s="1" t="n">
        <v>9.504</v>
      </c>
      <c r="P1115" s="9" t="n"/>
    </row>
    <row r="1116">
      <c r="A1116" s="6" t="n">
        <v>10.75</v>
      </c>
      <c r="B1116" s="2" t="n">
        <v>60.7</v>
      </c>
      <c r="C1116" s="2" t="inlineStr">
        <is>
          <t>N-80</t>
        </is>
      </c>
      <c r="D1116" s="2" t="n">
        <v>5160</v>
      </c>
      <c r="E1116" s="2" t="n">
        <v>7100</v>
      </c>
      <c r="F1116" s="2" t="n"/>
      <c r="G1116" s="2" t="n"/>
      <c r="H1116" s="2" t="n"/>
      <c r="I1116" s="2" t="inlineStr">
        <is>
          <t>STC</t>
        </is>
      </c>
      <c r="J1116" s="2" t="n">
        <v>996</v>
      </c>
      <c r="K1116" s="2" t="n"/>
      <c r="L1116" s="2" t="n">
        <v>1398</v>
      </c>
      <c r="M1116" s="2" t="n">
        <v>0.545</v>
      </c>
      <c r="N1116" s="2" t="n">
        <v>9.66</v>
      </c>
      <c r="O1116" s="2" t="n">
        <v>9.504</v>
      </c>
      <c r="P1116" s="7" t="n"/>
    </row>
    <row r="1117">
      <c r="A1117" s="6" t="n">
        <v>10.75</v>
      </c>
      <c r="B1117" s="2" t="n">
        <v>60.7</v>
      </c>
      <c r="C1117" s="2" t="inlineStr">
        <is>
          <t>N-80</t>
        </is>
      </c>
      <c r="D1117" s="2" t="n">
        <v>5160</v>
      </c>
      <c r="E1117" s="2" t="n">
        <v>7100</v>
      </c>
      <c r="F1117" s="2" t="n"/>
      <c r="G1117" s="2" t="n"/>
      <c r="H1117" s="2" t="n"/>
      <c r="I1117" s="2" t="inlineStr">
        <is>
          <t>BTC</t>
        </is>
      </c>
      <c r="J1117" s="2" t="n">
        <v>1473</v>
      </c>
      <c r="K1117" s="2" t="n"/>
      <c r="L1117" s="2" t="n">
        <v>1398</v>
      </c>
      <c r="M1117" s="2" t="n">
        <v>0.545</v>
      </c>
      <c r="N1117" s="2" t="n">
        <v>9.66</v>
      </c>
      <c r="O1117" s="2" t="n">
        <v>9.504</v>
      </c>
      <c r="P1117" s="7" t="n"/>
    </row>
    <row r="1118">
      <c r="A1118" s="8" t="n">
        <v>10.75</v>
      </c>
      <c r="B1118" s="1" t="n">
        <v>60.7</v>
      </c>
      <c r="C1118" s="1" t="inlineStr">
        <is>
          <t>N-80</t>
        </is>
      </c>
      <c r="D1118" s="1" t="n">
        <v>5160</v>
      </c>
      <c r="E1118" s="1" t="n">
        <v>7100</v>
      </c>
      <c r="F1118" s="1" t="n"/>
      <c r="G1118" s="1" t="n"/>
      <c r="H1118" s="1" t="n"/>
      <c r="I1118" s="1" t="inlineStr">
        <is>
          <t>STC</t>
        </is>
      </c>
      <c r="J1118" s="1" t="n">
        <v>996</v>
      </c>
      <c r="K1118" s="1" t="n"/>
      <c r="L1118" s="1" t="n">
        <v>1398</v>
      </c>
      <c r="M1118" s="1" t="n">
        <v>0.545</v>
      </c>
      <c r="N1118" s="1" t="n">
        <v>9.66</v>
      </c>
      <c r="O1118" s="1" t="n">
        <v>9.504</v>
      </c>
      <c r="P1118" s="9" t="n"/>
    </row>
    <row r="1119">
      <c r="A1119" s="8" t="n">
        <v>10.75</v>
      </c>
      <c r="B1119" s="1" t="n">
        <v>60.7</v>
      </c>
      <c r="C1119" s="1" t="inlineStr">
        <is>
          <t>N-80</t>
        </is>
      </c>
      <c r="D1119" s="1" t="n">
        <v>5160</v>
      </c>
      <c r="E1119" s="1" t="n">
        <v>7100</v>
      </c>
      <c r="F1119" s="1" t="n"/>
      <c r="G1119" s="1" t="n"/>
      <c r="H1119" s="1" t="n"/>
      <c r="I1119" s="1" t="inlineStr">
        <is>
          <t>BTC</t>
        </is>
      </c>
      <c r="J1119" s="1" t="n">
        <v>1473</v>
      </c>
      <c r="K1119" s="1" t="n"/>
      <c r="L1119" s="1" t="n">
        <v>1398</v>
      </c>
      <c r="M1119" s="1" t="n">
        <v>0.545</v>
      </c>
      <c r="N1119" s="1" t="n">
        <v>9.66</v>
      </c>
      <c r="O1119" s="1" t="n">
        <v>9.504</v>
      </c>
      <c r="P1119" s="9" t="n"/>
    </row>
    <row r="1120">
      <c r="A1120" s="6" t="n">
        <v>10.75</v>
      </c>
      <c r="B1120" s="2" t="n">
        <v>60.7</v>
      </c>
      <c r="C1120" s="2" t="inlineStr">
        <is>
          <t>HCN-80</t>
        </is>
      </c>
      <c r="D1120" s="2" t="n">
        <v>7550</v>
      </c>
      <c r="E1120" s="2" t="n">
        <v>7100</v>
      </c>
      <c r="F1120" s="2" t="n"/>
      <c r="G1120" s="2" t="n"/>
      <c r="H1120" s="2" t="n"/>
      <c r="I1120" s="2" t="inlineStr">
        <is>
          <t>STC</t>
        </is>
      </c>
      <c r="J1120" s="2" t="n">
        <v>1136</v>
      </c>
      <c r="K1120" s="2" t="n"/>
      <c r="L1120" s="2" t="n">
        <v>1398</v>
      </c>
      <c r="M1120" s="2" t="n">
        <v>0.545</v>
      </c>
      <c r="N1120" s="2" t="n">
        <v>9.66</v>
      </c>
      <c r="O1120" s="2" t="n">
        <v>9.504</v>
      </c>
      <c r="P1120" s="7" t="n"/>
    </row>
    <row r="1121">
      <c r="A1121" s="6" t="n">
        <v>10.75</v>
      </c>
      <c r="B1121" s="2" t="n">
        <v>60.7</v>
      </c>
      <c r="C1121" s="2" t="inlineStr">
        <is>
          <t>HCN-80</t>
        </is>
      </c>
      <c r="D1121" s="2" t="n">
        <v>7550</v>
      </c>
      <c r="E1121" s="2" t="n">
        <v>7100</v>
      </c>
      <c r="F1121" s="2" t="n"/>
      <c r="G1121" s="2" t="n"/>
      <c r="H1121" s="2" t="n"/>
      <c r="I1121" s="2" t="inlineStr">
        <is>
          <t>BTC</t>
        </is>
      </c>
      <c r="J1121" s="2" t="n">
        <v>1579</v>
      </c>
      <c r="K1121" s="2" t="n"/>
      <c r="L1121" s="2" t="n">
        <v>1398</v>
      </c>
      <c r="M1121" s="2" t="n">
        <v>0.545</v>
      </c>
      <c r="N1121" s="2" t="n">
        <v>9.66</v>
      </c>
      <c r="O1121" s="2" t="n">
        <v>9.504</v>
      </c>
      <c r="P1121" s="7" t="n"/>
    </row>
    <row r="1122">
      <c r="A1122" s="8" t="n">
        <v>10.75</v>
      </c>
      <c r="B1122" s="1" t="n">
        <v>60.7</v>
      </c>
      <c r="C1122" s="1" t="inlineStr">
        <is>
          <t>C-90</t>
        </is>
      </c>
      <c r="D1122" s="1" t="n">
        <v>5460</v>
      </c>
      <c r="E1122" s="1" t="n">
        <v>7980</v>
      </c>
      <c r="F1122" s="1" t="n"/>
      <c r="G1122" s="1" t="n"/>
      <c r="H1122" s="1" t="n"/>
      <c r="I1122" s="1" t="inlineStr">
        <is>
          <t>STC</t>
        </is>
      </c>
      <c r="J1122" s="1" t="n">
        <v>1089</v>
      </c>
      <c r="K1122" s="1" t="n"/>
      <c r="L1122" s="1" t="n">
        <v>1573</v>
      </c>
      <c r="M1122" s="1" t="n">
        <v>0.545</v>
      </c>
      <c r="N1122" s="1" t="n">
        <v>9.66</v>
      </c>
      <c r="O1122" s="1" t="n">
        <v>9.504</v>
      </c>
      <c r="P1122" s="9" t="n"/>
    </row>
    <row r="1123">
      <c r="A1123" s="8" t="n">
        <v>10.75</v>
      </c>
      <c r="B1123" s="1" t="n">
        <v>60.7</v>
      </c>
      <c r="C1123" s="1" t="inlineStr">
        <is>
          <t>C-90</t>
        </is>
      </c>
      <c r="D1123" s="1" t="n">
        <v>5460</v>
      </c>
      <c r="E1123" s="1" t="n">
        <v>7980</v>
      </c>
      <c r="F1123" s="1" t="n"/>
      <c r="G1123" s="1" t="n"/>
      <c r="H1123" s="1" t="n"/>
      <c r="I1123" s="1" t="inlineStr">
        <is>
          <t>BTC</t>
        </is>
      </c>
      <c r="J1123" s="1" t="n">
        <v>1544</v>
      </c>
      <c r="K1123" s="1" t="n"/>
      <c r="L1123" s="1" t="n">
        <v>1573</v>
      </c>
      <c r="M1123" s="1" t="n">
        <v>0.545</v>
      </c>
      <c r="N1123" s="1" t="n">
        <v>9.66</v>
      </c>
      <c r="O1123" s="1" t="n">
        <v>9.504</v>
      </c>
      <c r="P1123" s="9" t="n"/>
    </row>
    <row r="1124">
      <c r="A1124" s="6" t="n">
        <v>10.75</v>
      </c>
      <c r="B1124" s="2" t="n">
        <v>60.7</v>
      </c>
      <c r="C1124" s="2" t="inlineStr">
        <is>
          <t>H2S-90</t>
        </is>
      </c>
      <c r="D1124" s="2" t="n">
        <v>7550</v>
      </c>
      <c r="E1124" s="2" t="n">
        <v>7980</v>
      </c>
      <c r="F1124" s="2" t="n"/>
      <c r="G1124" s="2" t="n"/>
      <c r="H1124" s="2" t="n"/>
      <c r="I1124" s="2" t="inlineStr">
        <is>
          <t>STC</t>
        </is>
      </c>
      <c r="J1124" s="2" t="n">
        <v>1136</v>
      </c>
      <c r="K1124" s="2" t="n"/>
      <c r="L1124" s="2" t="n">
        <v>1573</v>
      </c>
      <c r="M1124" s="2" t="n">
        <v>0.545</v>
      </c>
      <c r="N1124" s="2" t="n">
        <v>9.66</v>
      </c>
      <c r="O1124" s="2" t="n">
        <v>9.504</v>
      </c>
      <c r="P1124" s="7" t="n"/>
    </row>
    <row r="1125">
      <c r="A1125" s="6" t="n">
        <v>10.75</v>
      </c>
      <c r="B1125" s="2" t="n">
        <v>60.7</v>
      </c>
      <c r="C1125" s="2" t="inlineStr">
        <is>
          <t>H2S-90</t>
        </is>
      </c>
      <c r="D1125" s="2" t="n">
        <v>7550</v>
      </c>
      <c r="E1125" s="2" t="n">
        <v>7980</v>
      </c>
      <c r="F1125" s="2" t="n"/>
      <c r="G1125" s="2" t="n"/>
      <c r="H1125" s="2" t="n"/>
      <c r="I1125" s="2" t="inlineStr">
        <is>
          <t>BTC</t>
        </is>
      </c>
      <c r="J1125" s="2" t="n">
        <v>1579</v>
      </c>
      <c r="K1125" s="2" t="n"/>
      <c r="L1125" s="2" t="n">
        <v>1573</v>
      </c>
      <c r="M1125" s="2" t="n">
        <v>0.545</v>
      </c>
      <c r="N1125" s="2" t="n">
        <v>9.66</v>
      </c>
      <c r="O1125" s="2" t="n">
        <v>9.504</v>
      </c>
      <c r="P1125" s="7" t="n"/>
    </row>
    <row r="1126">
      <c r="A1126" s="8" t="n">
        <v>10.75</v>
      </c>
      <c r="B1126" s="1" t="n">
        <v>60.7</v>
      </c>
      <c r="C1126" s="1" t="inlineStr">
        <is>
          <t>S-95</t>
        </is>
      </c>
      <c r="D1126" s="1" t="n">
        <v>7550</v>
      </c>
      <c r="E1126" s="1" t="n">
        <v>8430</v>
      </c>
      <c r="F1126" s="1" t="n"/>
      <c r="G1126" s="1" t="n"/>
      <c r="H1126" s="1" t="n"/>
      <c r="I1126" s="1" t="inlineStr">
        <is>
          <t>STC</t>
        </is>
      </c>
      <c r="J1126" s="1" t="n">
        <v>1161</v>
      </c>
      <c r="K1126" s="1" t="n"/>
      <c r="L1126" s="1" t="n">
        <v>1660</v>
      </c>
      <c r="M1126" s="1" t="n">
        <v>0.545</v>
      </c>
      <c r="N1126" s="1" t="n">
        <v>9.66</v>
      </c>
      <c r="O1126" s="1" t="n">
        <v>9.504</v>
      </c>
      <c r="P1126" s="9" t="n"/>
    </row>
    <row r="1127">
      <c r="A1127" s="8" t="n">
        <v>10.75</v>
      </c>
      <c r="B1127" s="1" t="n">
        <v>60.7</v>
      </c>
      <c r="C1127" s="1" t="inlineStr">
        <is>
          <t>S-95</t>
        </is>
      </c>
      <c r="D1127" s="1" t="n">
        <v>7550</v>
      </c>
      <c r="E1127" s="1" t="n">
        <v>8430</v>
      </c>
      <c r="F1127" s="1" t="n"/>
      <c r="G1127" s="1" t="n"/>
      <c r="H1127" s="1" t="n"/>
      <c r="I1127" s="1" t="inlineStr">
        <is>
          <t>BTC</t>
        </is>
      </c>
      <c r="J1127" s="1" t="n">
        <v>1670</v>
      </c>
      <c r="K1127" s="1" t="n"/>
      <c r="L1127" s="1" t="n">
        <v>1660</v>
      </c>
      <c r="M1127" s="1" t="n">
        <v>0.545</v>
      </c>
      <c r="N1127" s="1" t="n">
        <v>9.66</v>
      </c>
      <c r="O1127" s="1" t="n">
        <v>9.504</v>
      </c>
      <c r="P1127" s="9" t="n"/>
    </row>
    <row r="1128">
      <c r="A1128" s="6" t="n">
        <v>10.75</v>
      </c>
      <c r="B1128" s="2" t="n">
        <v>60.7</v>
      </c>
      <c r="C1128" s="2" t="inlineStr">
        <is>
          <t>T-95</t>
        </is>
      </c>
      <c r="D1128" s="2" t="n">
        <v>5590</v>
      </c>
      <c r="E1128" s="2" t="n">
        <v>8430</v>
      </c>
      <c r="F1128" s="2" t="n"/>
      <c r="G1128" s="2" t="n"/>
      <c r="H1128" s="2" t="n"/>
      <c r="I1128" s="2" t="inlineStr">
        <is>
          <t>STC</t>
        </is>
      </c>
      <c r="J1128" s="2" t="n">
        <v>1148</v>
      </c>
      <c r="K1128" s="2" t="n"/>
      <c r="L1128" s="2" t="n">
        <v>1660</v>
      </c>
      <c r="M1128" s="2" t="n">
        <v>0.545</v>
      </c>
      <c r="N1128" s="2" t="n">
        <v>9.66</v>
      </c>
      <c r="O1128" s="2" t="n">
        <v>9.504</v>
      </c>
      <c r="P1128" s="7" t="n"/>
    </row>
    <row r="1129">
      <c r="A1129" s="6" t="n">
        <v>10.75</v>
      </c>
      <c r="B1129" s="2" t="n">
        <v>60.7</v>
      </c>
      <c r="C1129" s="2" t="inlineStr">
        <is>
          <t>T-95</t>
        </is>
      </c>
      <c r="D1129" s="2" t="n">
        <v>5590</v>
      </c>
      <c r="E1129" s="2" t="n">
        <v>8430</v>
      </c>
      <c r="F1129" s="2" t="n"/>
      <c r="G1129" s="2" t="n"/>
      <c r="H1129" s="2" t="n"/>
      <c r="I1129" s="2" t="inlineStr">
        <is>
          <t>BTC</t>
        </is>
      </c>
      <c r="J1129" s="2" t="n">
        <v>1625</v>
      </c>
      <c r="K1129" s="2" t="n"/>
      <c r="L1129" s="2" t="n">
        <v>1660</v>
      </c>
      <c r="M1129" s="2" t="n">
        <v>0.545</v>
      </c>
      <c r="N1129" s="2" t="n">
        <v>9.66</v>
      </c>
      <c r="O1129" s="2" t="n">
        <v>9.504</v>
      </c>
      <c r="P1129" s="7" t="n"/>
    </row>
    <row r="1130">
      <c r="A1130" s="8" t="n">
        <v>10.75</v>
      </c>
      <c r="B1130" s="1" t="n">
        <v>60.7</v>
      </c>
      <c r="C1130" s="1" t="inlineStr">
        <is>
          <t>H2S-95</t>
        </is>
      </c>
      <c r="D1130" s="1" t="n">
        <v>7550</v>
      </c>
      <c r="E1130" s="1" t="n">
        <v>8430</v>
      </c>
      <c r="F1130" s="1" t="n"/>
      <c r="G1130" s="1" t="n"/>
      <c r="H1130" s="1" t="n"/>
      <c r="I1130" s="1" t="inlineStr">
        <is>
          <t>STC</t>
        </is>
      </c>
      <c r="J1130" s="1" t="n">
        <v>1148</v>
      </c>
      <c r="K1130" s="1" t="n"/>
      <c r="L1130" s="1" t="n">
        <v>1660</v>
      </c>
      <c r="M1130" s="1" t="n">
        <v>0.545</v>
      </c>
      <c r="N1130" s="1" t="n">
        <v>9.66</v>
      </c>
      <c r="O1130" s="1" t="n">
        <v>9.504</v>
      </c>
      <c r="P1130" s="9" t="n"/>
    </row>
    <row r="1131">
      <c r="A1131" s="8" t="n">
        <v>10.75</v>
      </c>
      <c r="B1131" s="1" t="n">
        <v>60.7</v>
      </c>
      <c r="C1131" s="1" t="inlineStr">
        <is>
          <t>H2S-95</t>
        </is>
      </c>
      <c r="D1131" s="1" t="n">
        <v>7550</v>
      </c>
      <c r="E1131" s="1" t="n">
        <v>8430</v>
      </c>
      <c r="F1131" s="1" t="n"/>
      <c r="G1131" s="1" t="n"/>
      <c r="H1131" s="1" t="n"/>
      <c r="I1131" s="1" t="inlineStr">
        <is>
          <t>BTC</t>
        </is>
      </c>
      <c r="J1131" s="1" t="n">
        <v>1625</v>
      </c>
      <c r="K1131" s="1" t="n"/>
      <c r="L1131" s="1" t="n">
        <v>1660</v>
      </c>
      <c r="M1131" s="1" t="n">
        <v>0.545</v>
      </c>
      <c r="N1131" s="1" t="n">
        <v>9.66</v>
      </c>
      <c r="O1131" s="1" t="n">
        <v>9.504</v>
      </c>
      <c r="P1131" s="9" t="n"/>
    </row>
    <row r="1132">
      <c r="A1132" s="6" t="n">
        <v>10.75</v>
      </c>
      <c r="B1132" s="2" t="n">
        <v>60.7</v>
      </c>
      <c r="C1132" s="2" t="inlineStr">
        <is>
          <t>C-95</t>
        </is>
      </c>
      <c r="D1132" s="2" t="n">
        <v>5590</v>
      </c>
      <c r="E1132" s="2" t="n">
        <v>8430</v>
      </c>
      <c r="F1132" s="2" t="n"/>
      <c r="G1132" s="2" t="n"/>
      <c r="H1132" s="2" t="n"/>
      <c r="I1132" s="2" t="inlineStr">
        <is>
          <t>STC</t>
        </is>
      </c>
      <c r="J1132" s="2" t="n">
        <v>1148</v>
      </c>
      <c r="K1132" s="2" t="n"/>
      <c r="L1132" s="2" t="n">
        <v>1660</v>
      </c>
      <c r="M1132" s="2" t="n">
        <v>0.545</v>
      </c>
      <c r="N1132" s="2" t="n">
        <v>9.66</v>
      </c>
      <c r="O1132" s="2" t="n">
        <v>9.504</v>
      </c>
      <c r="P1132" s="7" t="n"/>
    </row>
    <row r="1133">
      <c r="A1133" s="6" t="n">
        <v>10.75</v>
      </c>
      <c r="B1133" s="2" t="n">
        <v>60.7</v>
      </c>
      <c r="C1133" s="2" t="inlineStr">
        <is>
          <t>C-95</t>
        </is>
      </c>
      <c r="D1133" s="2" t="n">
        <v>5590</v>
      </c>
      <c r="E1133" s="2" t="n">
        <v>8430</v>
      </c>
      <c r="F1133" s="2" t="n"/>
      <c r="G1133" s="2" t="n"/>
      <c r="H1133" s="2" t="n"/>
      <c r="I1133" s="2" t="inlineStr">
        <is>
          <t>BTC</t>
        </is>
      </c>
      <c r="J1133" s="2" t="n">
        <v>1625</v>
      </c>
      <c r="K1133" s="2" t="n"/>
      <c r="L1133" s="2" t="n">
        <v>1660</v>
      </c>
      <c r="M1133" s="2" t="n">
        <v>0.545</v>
      </c>
      <c r="N1133" s="2" t="n">
        <v>9.66</v>
      </c>
      <c r="O1133" s="2" t="n">
        <v>9.504</v>
      </c>
      <c r="P1133" s="7" t="n"/>
    </row>
    <row r="1134">
      <c r="A1134" s="8" t="n">
        <v>10.75</v>
      </c>
      <c r="B1134" s="1" t="n">
        <v>60.7</v>
      </c>
      <c r="C1134" s="1" t="inlineStr">
        <is>
          <t>HCP-110</t>
        </is>
      </c>
      <c r="D1134" s="1" t="n">
        <v>7550</v>
      </c>
      <c r="E1134" s="1" t="n">
        <v>9760</v>
      </c>
      <c r="F1134" s="1" t="n"/>
      <c r="G1134" s="1" t="n"/>
      <c r="H1134" s="1" t="n"/>
      <c r="I1134" s="1" t="inlineStr">
        <is>
          <t>STC</t>
        </is>
      </c>
      <c r="J1134" s="1" t="n">
        <v>1338</v>
      </c>
      <c r="K1134" s="1" t="n"/>
      <c r="L1134" s="1" t="n">
        <v>1922</v>
      </c>
      <c r="M1134" s="1" t="n">
        <v>0.545</v>
      </c>
      <c r="N1134" s="1" t="n">
        <v>9.66</v>
      </c>
      <c r="O1134" s="1" t="n">
        <v>9.504</v>
      </c>
      <c r="P1134" s="9" t="n"/>
    </row>
    <row r="1135">
      <c r="A1135" s="8" t="n">
        <v>10.75</v>
      </c>
      <c r="B1135" s="1" t="n">
        <v>60.7</v>
      </c>
      <c r="C1135" s="1" t="inlineStr">
        <is>
          <t>HCP-110</t>
        </is>
      </c>
      <c r="D1135" s="1" t="n">
        <v>7550</v>
      </c>
      <c r="E1135" s="1" t="n">
        <v>9760</v>
      </c>
      <c r="F1135" s="1" t="n"/>
      <c r="G1135" s="1" t="n"/>
      <c r="H1135" s="1" t="n"/>
      <c r="I1135" s="1" t="inlineStr">
        <is>
          <t>BTC</t>
        </is>
      </c>
      <c r="J1135" s="1" t="n">
        <v>1912</v>
      </c>
      <c r="K1135" s="1" t="n"/>
      <c r="L1135" s="1" t="n">
        <v>1922</v>
      </c>
      <c r="M1135" s="1" t="n">
        <v>0.545</v>
      </c>
      <c r="N1135" s="1" t="n">
        <v>9.66</v>
      </c>
      <c r="O1135" s="1" t="n">
        <v>9.504</v>
      </c>
      <c r="P1135" s="9" t="n"/>
    </row>
    <row r="1136">
      <c r="A1136" s="6" t="n">
        <v>10.75</v>
      </c>
      <c r="B1136" s="2" t="n">
        <v>60.7</v>
      </c>
      <c r="C1136" s="2" t="inlineStr">
        <is>
          <t>P-110</t>
        </is>
      </c>
      <c r="D1136" s="2" t="n">
        <v>5880</v>
      </c>
      <c r="E1136" s="2" t="n">
        <v>9760</v>
      </c>
      <c r="F1136" s="2" t="n"/>
      <c r="G1136" s="2" t="n"/>
      <c r="H1136" s="2" t="n"/>
      <c r="I1136" s="2" t="inlineStr">
        <is>
          <t>STC</t>
        </is>
      </c>
      <c r="J1136" s="2" t="n">
        <v>1338</v>
      </c>
      <c r="K1136" s="2" t="n"/>
      <c r="L1136" s="2" t="n">
        <v>1922</v>
      </c>
      <c r="M1136" s="2" t="n">
        <v>0.545</v>
      </c>
      <c r="N1136" s="2" t="n">
        <v>9.66</v>
      </c>
      <c r="O1136" s="2" t="n">
        <v>9.504</v>
      </c>
      <c r="P1136" s="7" t="n"/>
    </row>
    <row r="1137">
      <c r="A1137" s="6" t="n">
        <v>10.75</v>
      </c>
      <c r="B1137" s="2" t="n">
        <v>60.7</v>
      </c>
      <c r="C1137" s="2" t="inlineStr">
        <is>
          <t>P-110</t>
        </is>
      </c>
      <c r="D1137" s="2" t="n">
        <v>5880</v>
      </c>
      <c r="E1137" s="2" t="n">
        <v>9760</v>
      </c>
      <c r="F1137" s="2" t="n"/>
      <c r="G1137" s="2" t="n"/>
      <c r="H1137" s="2" t="n"/>
      <c r="I1137" s="2" t="inlineStr">
        <is>
          <t>BTC</t>
        </is>
      </c>
      <c r="J1137" s="2" t="n">
        <v>1912</v>
      </c>
      <c r="K1137" s="2" t="n"/>
      <c r="L1137" s="2" t="n">
        <v>1922</v>
      </c>
      <c r="M1137" s="2" t="n">
        <v>0.545</v>
      </c>
      <c r="N1137" s="2" t="n">
        <v>9.66</v>
      </c>
      <c r="O1137" s="2" t="n">
        <v>9.504</v>
      </c>
      <c r="P1137" s="7" t="n"/>
    </row>
    <row r="1138">
      <c r="A1138" s="8" t="n">
        <v>10.75</v>
      </c>
      <c r="B1138" s="1" t="n">
        <v>60.7</v>
      </c>
      <c r="C1138" s="1" t="inlineStr">
        <is>
          <t>HCQ-125</t>
        </is>
      </c>
      <c r="D1138" s="1" t="n">
        <v>7550</v>
      </c>
      <c r="E1138" s="1" t="n">
        <v>11090</v>
      </c>
      <c r="F1138" s="1" t="n"/>
      <c r="G1138" s="1" t="n"/>
      <c r="H1138" s="1" t="n"/>
      <c r="I1138" s="1" t="inlineStr">
        <is>
          <t>STC</t>
        </is>
      </c>
      <c r="J1138" s="1" t="n">
        <v>1503</v>
      </c>
      <c r="K1138" s="1" t="n"/>
      <c r="L1138" s="1" t="n">
        <v>2184</v>
      </c>
      <c r="M1138" s="1" t="n">
        <v>0.545</v>
      </c>
      <c r="N1138" s="1" t="n">
        <v>9.66</v>
      </c>
      <c r="O1138" s="1" t="n">
        <v>9.504</v>
      </c>
      <c r="P1138" s="9" t="n"/>
    </row>
    <row r="1139">
      <c r="A1139" s="8" t="n">
        <v>10.75</v>
      </c>
      <c r="B1139" s="1" t="n">
        <v>60.7</v>
      </c>
      <c r="C1139" s="1" t="inlineStr">
        <is>
          <t>HCQ-125</t>
        </is>
      </c>
      <c r="D1139" s="1" t="n">
        <v>7550</v>
      </c>
      <c r="E1139" s="1" t="n">
        <v>11090</v>
      </c>
      <c r="F1139" s="1" t="n"/>
      <c r="G1139" s="1" t="n"/>
      <c r="H1139" s="1" t="n"/>
      <c r="I1139" s="1" t="inlineStr">
        <is>
          <t>BTC</t>
        </is>
      </c>
      <c r="J1139" s="1" t="n">
        <v>2109</v>
      </c>
      <c r="K1139" s="1" t="n"/>
      <c r="L1139" s="1" t="n">
        <v>2184</v>
      </c>
      <c r="M1139" s="1" t="n">
        <v>0.545</v>
      </c>
      <c r="N1139" s="1" t="n">
        <v>9.66</v>
      </c>
      <c r="O1139" s="1" t="n">
        <v>9.504</v>
      </c>
      <c r="P1139" s="9" t="n"/>
    </row>
    <row r="1140">
      <c r="A1140" s="6" t="n">
        <v>10.75</v>
      </c>
      <c r="B1140" s="2" t="n">
        <v>60.7</v>
      </c>
      <c r="C1140" s="2" t="inlineStr">
        <is>
          <t>Q-125</t>
        </is>
      </c>
      <c r="D1140" s="2" t="n">
        <v>6070</v>
      </c>
      <c r="E1140" s="2" t="n">
        <v>11090</v>
      </c>
      <c r="F1140" s="2" t="n"/>
      <c r="G1140" s="2" t="n"/>
      <c r="H1140" s="2" t="n"/>
      <c r="I1140" s="2" t="inlineStr">
        <is>
          <t>STC</t>
        </is>
      </c>
      <c r="J1140" s="2" t="n">
        <v>1503</v>
      </c>
      <c r="K1140" s="2" t="n"/>
      <c r="L1140" s="2" t="n">
        <v>2184</v>
      </c>
      <c r="M1140" s="2" t="n">
        <v>0.545</v>
      </c>
      <c r="N1140" s="2" t="n">
        <v>9.66</v>
      </c>
      <c r="O1140" s="2" t="n">
        <v>9.504</v>
      </c>
      <c r="P1140" s="7" t="n"/>
    </row>
    <row r="1141">
      <c r="A1141" s="6" t="n">
        <v>10.75</v>
      </c>
      <c r="B1141" s="2" t="n">
        <v>60.7</v>
      </c>
      <c r="C1141" s="2" t="inlineStr">
        <is>
          <t>Q-125</t>
        </is>
      </c>
      <c r="D1141" s="2" t="n">
        <v>6070</v>
      </c>
      <c r="E1141" s="2" t="n">
        <v>11090</v>
      </c>
      <c r="F1141" s="2" t="n"/>
      <c r="G1141" s="2" t="n"/>
      <c r="H1141" s="2" t="n"/>
      <c r="I1141" s="2" t="inlineStr">
        <is>
          <t>BTC</t>
        </is>
      </c>
      <c r="J1141" s="2" t="n">
        <v>2109</v>
      </c>
      <c r="K1141" s="2" t="n"/>
      <c r="L1141" s="2" t="n">
        <v>2184</v>
      </c>
      <c r="M1141" s="2" t="n">
        <v>0.545</v>
      </c>
      <c r="N1141" s="2" t="n">
        <v>9.66</v>
      </c>
      <c r="O1141" s="2" t="n">
        <v>9.504</v>
      </c>
      <c r="P1141" s="7" t="n"/>
    </row>
    <row r="1142">
      <c r="A1142" s="8" t="n">
        <v>10.75</v>
      </c>
      <c r="B1142" s="1" t="n">
        <v>65.7</v>
      </c>
      <c r="C1142" s="1" t="inlineStr">
        <is>
          <t>L-80</t>
        </is>
      </c>
      <c r="D1142" s="1" t="n">
        <v>6300</v>
      </c>
      <c r="E1142" s="1" t="n">
        <v>7750</v>
      </c>
      <c r="F1142" s="1" t="n"/>
      <c r="G1142" s="1" t="n"/>
      <c r="H1142" s="1" t="n"/>
      <c r="I1142" s="1" t="inlineStr">
        <is>
          <t>STC</t>
        </is>
      </c>
      <c r="J1142" s="1" t="n">
        <v>1082</v>
      </c>
      <c r="K1142" s="1" t="n"/>
      <c r="L1142" s="1" t="n">
        <v>1519</v>
      </c>
      <c r="M1142" s="1" t="n">
        <v>0.595</v>
      </c>
      <c r="N1142" s="1" t="n">
        <v>9.56</v>
      </c>
      <c r="O1142" s="1" t="n">
        <v>9.404</v>
      </c>
      <c r="P1142" s="9" t="n">
        <v>9.504</v>
      </c>
    </row>
    <row r="1143">
      <c r="A1143" s="8" t="n">
        <v>10.75</v>
      </c>
      <c r="B1143" s="1" t="n">
        <v>65.7</v>
      </c>
      <c r="C1143" s="1" t="inlineStr">
        <is>
          <t>L-80</t>
        </is>
      </c>
      <c r="D1143" s="1" t="n">
        <v>6300</v>
      </c>
      <c r="E1143" s="1" t="n">
        <v>7750</v>
      </c>
      <c r="F1143" s="1" t="n"/>
      <c r="G1143" s="1" t="n"/>
      <c r="H1143" s="1" t="n"/>
      <c r="I1143" s="1" t="inlineStr">
        <is>
          <t>BTC</t>
        </is>
      </c>
      <c r="J1143" s="1" t="n">
        <v>1551</v>
      </c>
      <c r="K1143" s="1" t="n"/>
      <c r="L1143" s="1" t="n">
        <v>1519</v>
      </c>
      <c r="M1143" s="1" t="n">
        <v>0.595</v>
      </c>
      <c r="N1143" s="1" t="n">
        <v>9.56</v>
      </c>
      <c r="O1143" s="1" t="n">
        <v>9.404</v>
      </c>
      <c r="P1143" s="9" t="n">
        <v>9.504</v>
      </c>
    </row>
    <row r="1144">
      <c r="A1144" s="6" t="n">
        <v>10.75</v>
      </c>
      <c r="B1144" s="2" t="n">
        <v>65.7</v>
      </c>
      <c r="C1144" s="2" t="inlineStr">
        <is>
          <t>HCL-80</t>
        </is>
      </c>
      <c r="D1144" s="2" t="n">
        <v>8640</v>
      </c>
      <c r="E1144" s="2" t="n">
        <v>7750</v>
      </c>
      <c r="F1144" s="2" t="n"/>
      <c r="G1144" s="2" t="n"/>
      <c r="H1144" s="2" t="n"/>
      <c r="I1144" s="2" t="inlineStr">
        <is>
          <t>STC</t>
        </is>
      </c>
      <c r="J1144" s="2" t="n">
        <v>1236</v>
      </c>
      <c r="K1144" s="2" t="n"/>
      <c r="L1144" s="2" t="n">
        <v>1519</v>
      </c>
      <c r="M1144" s="2" t="n">
        <v>0.595</v>
      </c>
      <c r="N1144" s="2" t="n">
        <v>9.56</v>
      </c>
      <c r="O1144" s="2" t="n">
        <v>9.404</v>
      </c>
      <c r="P1144" s="7" t="n">
        <v>9.504</v>
      </c>
    </row>
    <row r="1145">
      <c r="A1145" s="6" t="n">
        <v>10.75</v>
      </c>
      <c r="B1145" s="2" t="n">
        <v>65.7</v>
      </c>
      <c r="C1145" s="2" t="inlineStr">
        <is>
          <t>HCL-80</t>
        </is>
      </c>
      <c r="D1145" s="2" t="n">
        <v>8640</v>
      </c>
      <c r="E1145" s="2" t="n">
        <v>7750</v>
      </c>
      <c r="F1145" s="2" t="n"/>
      <c r="G1145" s="2" t="n"/>
      <c r="H1145" s="2" t="n"/>
      <c r="I1145" s="2" t="inlineStr">
        <is>
          <t>BTC</t>
        </is>
      </c>
      <c r="J1145" s="2" t="n">
        <v>1716</v>
      </c>
      <c r="K1145" s="2" t="n"/>
      <c r="L1145" s="2" t="n">
        <v>1519</v>
      </c>
      <c r="M1145" s="2" t="n">
        <v>0.595</v>
      </c>
      <c r="N1145" s="2" t="n">
        <v>9.56</v>
      </c>
      <c r="O1145" s="2" t="n">
        <v>9.404</v>
      </c>
      <c r="P1145" s="7" t="n">
        <v>9.504</v>
      </c>
    </row>
    <row r="1146">
      <c r="A1146" s="8" t="n">
        <v>10.75</v>
      </c>
      <c r="B1146" s="1" t="n">
        <v>65.7</v>
      </c>
      <c r="C1146" s="1" t="inlineStr">
        <is>
          <t>N-80</t>
        </is>
      </c>
      <c r="D1146" s="1" t="n">
        <v>6300</v>
      </c>
      <c r="E1146" s="1" t="n">
        <v>7750</v>
      </c>
      <c r="F1146" s="1" t="n"/>
      <c r="G1146" s="1" t="n"/>
      <c r="H1146" s="1" t="n"/>
      <c r="I1146" s="1" t="inlineStr">
        <is>
          <t>STC</t>
        </is>
      </c>
      <c r="J1146" s="1" t="n">
        <v>1096</v>
      </c>
      <c r="K1146" s="1" t="n"/>
      <c r="L1146" s="1" t="n">
        <v>1519</v>
      </c>
      <c r="M1146" s="1" t="n">
        <v>0.595</v>
      </c>
      <c r="N1146" s="1" t="n">
        <v>9.56</v>
      </c>
      <c r="O1146" s="1" t="n">
        <v>9.404</v>
      </c>
      <c r="P1146" s="9" t="n">
        <v>9.504</v>
      </c>
    </row>
    <row r="1147">
      <c r="A1147" s="8" t="n">
        <v>10.75</v>
      </c>
      <c r="B1147" s="1" t="n">
        <v>65.7</v>
      </c>
      <c r="C1147" s="1" t="inlineStr">
        <is>
          <t>N-80</t>
        </is>
      </c>
      <c r="D1147" s="1" t="n">
        <v>6300</v>
      </c>
      <c r="E1147" s="1" t="n">
        <v>7750</v>
      </c>
      <c r="F1147" s="1" t="n"/>
      <c r="G1147" s="1" t="n"/>
      <c r="H1147" s="1" t="n"/>
      <c r="I1147" s="1" t="inlineStr">
        <is>
          <t>BTC</t>
        </is>
      </c>
      <c r="J1147" s="1" t="n">
        <v>1600</v>
      </c>
      <c r="K1147" s="1" t="n"/>
      <c r="L1147" s="1" t="n">
        <v>1519</v>
      </c>
      <c r="M1147" s="1" t="n">
        <v>0.595</v>
      </c>
      <c r="N1147" s="1" t="n">
        <v>9.56</v>
      </c>
      <c r="O1147" s="1" t="n">
        <v>9.404</v>
      </c>
      <c r="P1147" s="9" t="n">
        <v>9.504</v>
      </c>
    </row>
    <row r="1148">
      <c r="A1148" s="6" t="n">
        <v>10.75</v>
      </c>
      <c r="B1148" s="2" t="n">
        <v>65.7</v>
      </c>
      <c r="C1148" s="2" t="inlineStr">
        <is>
          <t>HCN-80</t>
        </is>
      </c>
      <c r="D1148" s="2" t="n">
        <v>8640</v>
      </c>
      <c r="E1148" s="2" t="n">
        <v>7750</v>
      </c>
      <c r="F1148" s="2" t="n"/>
      <c r="G1148" s="2" t="n"/>
      <c r="H1148" s="2" t="n"/>
      <c r="I1148" s="2" t="inlineStr">
        <is>
          <t>STC</t>
        </is>
      </c>
      <c r="J1148" s="2" t="n">
        <v>1249</v>
      </c>
      <c r="K1148" s="2" t="n"/>
      <c r="L1148" s="2" t="n">
        <v>1519</v>
      </c>
      <c r="M1148" s="2" t="n">
        <v>0.595</v>
      </c>
      <c r="N1148" s="2" t="n">
        <v>9.56</v>
      </c>
      <c r="O1148" s="2" t="n">
        <v>9.404</v>
      </c>
      <c r="P1148" s="7" t="n">
        <v>9.504</v>
      </c>
    </row>
    <row r="1149">
      <c r="A1149" s="6" t="n">
        <v>10.75</v>
      </c>
      <c r="B1149" s="2" t="n">
        <v>65.7</v>
      </c>
      <c r="C1149" s="2" t="inlineStr">
        <is>
          <t>HCN-80</t>
        </is>
      </c>
      <c r="D1149" s="2" t="n">
        <v>8640</v>
      </c>
      <c r="E1149" s="2" t="n">
        <v>7750</v>
      </c>
      <c r="F1149" s="2" t="n"/>
      <c r="G1149" s="2" t="n"/>
      <c r="H1149" s="2" t="n"/>
      <c r="I1149" s="2" t="inlineStr">
        <is>
          <t>BTC</t>
        </is>
      </c>
      <c r="J1149" s="2" t="n">
        <v>1716</v>
      </c>
      <c r="K1149" s="2" t="n"/>
      <c r="L1149" s="2" t="n">
        <v>1519</v>
      </c>
      <c r="M1149" s="2" t="n">
        <v>0.595</v>
      </c>
      <c r="N1149" s="2" t="n">
        <v>9.56</v>
      </c>
      <c r="O1149" s="2" t="n">
        <v>9.404</v>
      </c>
      <c r="P1149" s="7" t="n">
        <v>9.504</v>
      </c>
    </row>
    <row r="1150">
      <c r="A1150" s="8" t="n">
        <v>10.75</v>
      </c>
      <c r="B1150" s="1" t="n">
        <v>65.7</v>
      </c>
      <c r="C1150" s="1" t="inlineStr">
        <is>
          <t>C-90</t>
        </is>
      </c>
      <c r="D1150" s="1" t="n">
        <v>6760</v>
      </c>
      <c r="E1150" s="1" t="n">
        <v>8720</v>
      </c>
      <c r="F1150" s="1" t="n"/>
      <c r="G1150" s="1" t="n"/>
      <c r="H1150" s="1" t="n"/>
      <c r="I1150" s="1" t="inlineStr">
        <is>
          <t>STC</t>
        </is>
      </c>
      <c r="J1150" s="1" t="n">
        <v>1198</v>
      </c>
      <c r="K1150" s="1" t="n"/>
      <c r="L1150" s="1" t="n">
        <v>1708</v>
      </c>
      <c r="M1150" s="1" t="n">
        <v>0.595</v>
      </c>
      <c r="N1150" s="1" t="n">
        <v>9.56</v>
      </c>
      <c r="O1150" s="1" t="n">
        <v>9.404</v>
      </c>
      <c r="P1150" s="9" t="n"/>
    </row>
    <row r="1151">
      <c r="A1151" s="8" t="n">
        <v>10.75</v>
      </c>
      <c r="B1151" s="1" t="n">
        <v>65.7</v>
      </c>
      <c r="C1151" s="1" t="inlineStr">
        <is>
          <t>C-90</t>
        </is>
      </c>
      <c r="D1151" s="1" t="n">
        <v>6760</v>
      </c>
      <c r="E1151" s="1" t="n">
        <v>8720</v>
      </c>
      <c r="F1151" s="1" t="n"/>
      <c r="G1151" s="1" t="n"/>
      <c r="H1151" s="1" t="n"/>
      <c r="I1151" s="1" t="inlineStr">
        <is>
          <t>BTC</t>
        </is>
      </c>
      <c r="J1151" s="1" t="n">
        <v>1677</v>
      </c>
      <c r="K1151" s="1" t="n"/>
      <c r="L1151" s="1" t="n">
        <v>1708</v>
      </c>
      <c r="M1151" s="1" t="n">
        <v>0.595</v>
      </c>
      <c r="N1151" s="1" t="n">
        <v>9.56</v>
      </c>
      <c r="O1151" s="1" t="n">
        <v>9.404</v>
      </c>
      <c r="P1151" s="9" t="n"/>
    </row>
    <row r="1152">
      <c r="A1152" s="6" t="n">
        <v>10.75</v>
      </c>
      <c r="B1152" s="2" t="n">
        <v>65.7</v>
      </c>
      <c r="C1152" s="2" t="inlineStr">
        <is>
          <t>H2S-90</t>
        </is>
      </c>
      <c r="D1152" s="2" t="n">
        <v>8640</v>
      </c>
      <c r="E1152" s="2" t="n">
        <v>8720</v>
      </c>
      <c r="F1152" s="2" t="n"/>
      <c r="G1152" s="2" t="n"/>
      <c r="H1152" s="2" t="n"/>
      <c r="I1152" s="2" t="inlineStr">
        <is>
          <t>STC</t>
        </is>
      </c>
      <c r="J1152" s="2" t="n">
        <v>1249</v>
      </c>
      <c r="K1152" s="2" t="n"/>
      <c r="L1152" s="2" t="n">
        <v>1708</v>
      </c>
      <c r="M1152" s="2" t="n">
        <v>0.595</v>
      </c>
      <c r="N1152" s="2" t="n">
        <v>9.56</v>
      </c>
      <c r="O1152" s="2" t="n">
        <v>9.404</v>
      </c>
      <c r="P1152" s="7" t="n">
        <v>9.504</v>
      </c>
    </row>
    <row r="1153">
      <c r="A1153" s="6" t="n">
        <v>10.75</v>
      </c>
      <c r="B1153" s="2" t="n">
        <v>65.7</v>
      </c>
      <c r="C1153" s="2" t="inlineStr">
        <is>
          <t>H2S-90</t>
        </is>
      </c>
      <c r="D1153" s="2" t="n">
        <v>8640</v>
      </c>
      <c r="E1153" s="2" t="n">
        <v>8720</v>
      </c>
      <c r="F1153" s="2" t="n"/>
      <c r="G1153" s="2" t="n"/>
      <c r="H1153" s="2" t="n"/>
      <c r="I1153" s="2" t="inlineStr">
        <is>
          <t>BTC</t>
        </is>
      </c>
      <c r="J1153" s="2" t="n">
        <v>1716</v>
      </c>
      <c r="K1153" s="2" t="n"/>
      <c r="L1153" s="2" t="n">
        <v>1708</v>
      </c>
      <c r="M1153" s="2" t="n">
        <v>0.595</v>
      </c>
      <c r="N1153" s="2" t="n">
        <v>9.56</v>
      </c>
      <c r="O1153" s="2" t="n">
        <v>9.404</v>
      </c>
      <c r="P1153" s="7" t="n">
        <v>9.504</v>
      </c>
    </row>
    <row r="1154">
      <c r="A1154" s="8" t="n">
        <v>10.75</v>
      </c>
      <c r="B1154" s="1" t="n">
        <v>65.7</v>
      </c>
      <c r="C1154" s="1" t="inlineStr">
        <is>
          <t>S-95</t>
        </is>
      </c>
      <c r="D1154" s="1" t="n">
        <v>8640</v>
      </c>
      <c r="E1154" s="1" t="n">
        <v>9200</v>
      </c>
      <c r="F1154" s="1" t="n"/>
      <c r="G1154" s="1" t="n"/>
      <c r="H1154" s="1" t="n"/>
      <c r="I1154" s="1" t="inlineStr">
        <is>
          <t>STC</t>
        </is>
      </c>
      <c r="J1154" s="1" t="n">
        <v>1277</v>
      </c>
      <c r="K1154" s="1" t="n"/>
      <c r="L1154" s="1" t="n">
        <v>1803</v>
      </c>
      <c r="M1154" s="1" t="n">
        <v>0.595</v>
      </c>
      <c r="N1154" s="1" t="n">
        <v>9.56</v>
      </c>
      <c r="O1154" s="1" t="n">
        <v>9.404</v>
      </c>
      <c r="P1154" s="9" t="n">
        <v>9.504</v>
      </c>
    </row>
    <row r="1155">
      <c r="A1155" s="8" t="n">
        <v>10.75</v>
      </c>
      <c r="B1155" s="1" t="n">
        <v>65.7</v>
      </c>
      <c r="C1155" s="1" t="inlineStr">
        <is>
          <t>S-95</t>
        </is>
      </c>
      <c r="D1155" s="1" t="n">
        <v>8640</v>
      </c>
      <c r="E1155" s="1" t="n">
        <v>9200</v>
      </c>
      <c r="F1155" s="1" t="n"/>
      <c r="G1155" s="1" t="n"/>
      <c r="H1155" s="1" t="n"/>
      <c r="I1155" s="1" t="inlineStr">
        <is>
          <t>BTC</t>
        </is>
      </c>
      <c r="J1155" s="1" t="n">
        <v>1814</v>
      </c>
      <c r="K1155" s="1" t="n"/>
      <c r="L1155" s="1" t="n">
        <v>1803</v>
      </c>
      <c r="M1155" s="1" t="n">
        <v>0.595</v>
      </c>
      <c r="N1155" s="1" t="n">
        <v>9.56</v>
      </c>
      <c r="O1155" s="1" t="n">
        <v>9.404</v>
      </c>
      <c r="P1155" s="9" t="n">
        <v>9.504</v>
      </c>
    </row>
    <row r="1156">
      <c r="A1156" s="6" t="n">
        <v>10.75</v>
      </c>
      <c r="B1156" s="2" t="n">
        <v>65.7</v>
      </c>
      <c r="C1156" s="2" t="inlineStr">
        <is>
          <t>T-95</t>
        </is>
      </c>
      <c r="D1156" s="2" t="n">
        <v>6960</v>
      </c>
      <c r="E1156" s="2" t="n">
        <v>9200</v>
      </c>
      <c r="F1156" s="2" t="n"/>
      <c r="G1156" s="2" t="n"/>
      <c r="H1156" s="2" t="n"/>
      <c r="I1156" s="2" t="inlineStr">
        <is>
          <t>STC</t>
        </is>
      </c>
      <c r="J1156" s="2" t="n">
        <v>1263</v>
      </c>
      <c r="K1156" s="2" t="n"/>
      <c r="L1156" s="2" t="n">
        <v>1803</v>
      </c>
      <c r="M1156" s="2" t="n">
        <v>0.595</v>
      </c>
      <c r="N1156" s="2" t="n">
        <v>9.56</v>
      </c>
      <c r="O1156" s="2" t="n">
        <v>9.404</v>
      </c>
      <c r="P1156" s="7" t="n"/>
    </row>
    <row r="1157">
      <c r="A1157" s="6" t="n">
        <v>10.75</v>
      </c>
      <c r="B1157" s="2" t="n">
        <v>65.7</v>
      </c>
      <c r="C1157" s="2" t="inlineStr">
        <is>
          <t>T-95</t>
        </is>
      </c>
      <c r="D1157" s="2" t="n">
        <v>6960</v>
      </c>
      <c r="E1157" s="2" t="n">
        <v>9200</v>
      </c>
      <c r="F1157" s="2" t="n"/>
      <c r="G1157" s="2" t="n"/>
      <c r="H1157" s="2" t="n"/>
      <c r="I1157" s="2" t="inlineStr">
        <is>
          <t>BTC</t>
        </is>
      </c>
      <c r="J1157" s="2" t="n">
        <v>1765</v>
      </c>
      <c r="K1157" s="2" t="n"/>
      <c r="L1157" s="2" t="n">
        <v>1803</v>
      </c>
      <c r="M1157" s="2" t="n">
        <v>0.595</v>
      </c>
      <c r="N1157" s="2" t="n">
        <v>9.56</v>
      </c>
      <c r="O1157" s="2" t="n">
        <v>9.404</v>
      </c>
      <c r="P1157" s="7" t="n"/>
    </row>
    <row r="1158">
      <c r="A1158" s="8" t="n">
        <v>10.75</v>
      </c>
      <c r="B1158" s="1" t="n">
        <v>65.7</v>
      </c>
      <c r="C1158" s="1" t="inlineStr">
        <is>
          <t>H2S-95</t>
        </is>
      </c>
      <c r="D1158" s="1" t="n">
        <v>8640</v>
      </c>
      <c r="E1158" s="1" t="n">
        <v>9200</v>
      </c>
      <c r="F1158" s="1" t="n"/>
      <c r="G1158" s="1" t="n"/>
      <c r="H1158" s="1" t="n"/>
      <c r="I1158" s="1" t="inlineStr">
        <is>
          <t>STC</t>
        </is>
      </c>
      <c r="J1158" s="1" t="n">
        <v>1263</v>
      </c>
      <c r="K1158" s="1" t="n"/>
      <c r="L1158" s="1" t="n">
        <v>1803</v>
      </c>
      <c r="M1158" s="1" t="n">
        <v>0.595</v>
      </c>
      <c r="N1158" s="1" t="n">
        <v>9.56</v>
      </c>
      <c r="O1158" s="1" t="n">
        <v>9.404</v>
      </c>
      <c r="P1158" s="9" t="n">
        <v>9.504</v>
      </c>
    </row>
    <row r="1159">
      <c r="A1159" s="8" t="n">
        <v>10.75</v>
      </c>
      <c r="B1159" s="1" t="n">
        <v>65.7</v>
      </c>
      <c r="C1159" s="1" t="inlineStr">
        <is>
          <t>H2S-95</t>
        </is>
      </c>
      <c r="D1159" s="1" t="n">
        <v>8640</v>
      </c>
      <c r="E1159" s="1" t="n">
        <v>9200</v>
      </c>
      <c r="F1159" s="1" t="n"/>
      <c r="G1159" s="1" t="n"/>
      <c r="H1159" s="1" t="n"/>
      <c r="I1159" s="1" t="inlineStr">
        <is>
          <t>BTC</t>
        </is>
      </c>
      <c r="J1159" s="1" t="n">
        <v>1765</v>
      </c>
      <c r="K1159" s="1" t="n"/>
      <c r="L1159" s="1" t="n">
        <v>1803</v>
      </c>
      <c r="M1159" s="1" t="n">
        <v>0.595</v>
      </c>
      <c r="N1159" s="1" t="n">
        <v>9.56</v>
      </c>
      <c r="O1159" s="1" t="n">
        <v>9.404</v>
      </c>
      <c r="P1159" s="9" t="n">
        <v>9.504</v>
      </c>
    </row>
    <row r="1160">
      <c r="A1160" s="6" t="n">
        <v>10.75</v>
      </c>
      <c r="B1160" s="2" t="n">
        <v>65.7</v>
      </c>
      <c r="C1160" s="2" t="inlineStr">
        <is>
          <t>C-95</t>
        </is>
      </c>
      <c r="D1160" s="2" t="n">
        <v>6960</v>
      </c>
      <c r="E1160" s="2" t="n">
        <v>9200</v>
      </c>
      <c r="F1160" s="2" t="n"/>
      <c r="G1160" s="2" t="n"/>
      <c r="H1160" s="2" t="n"/>
      <c r="I1160" s="2" t="inlineStr">
        <is>
          <t>STC</t>
        </is>
      </c>
      <c r="J1160" s="2" t="n">
        <v>1263</v>
      </c>
      <c r="K1160" s="2" t="n"/>
      <c r="L1160" s="2" t="n">
        <v>1803</v>
      </c>
      <c r="M1160" s="2" t="n">
        <v>0.595</v>
      </c>
      <c r="N1160" s="2" t="n">
        <v>9.56</v>
      </c>
      <c r="O1160" s="2" t="n">
        <v>9.404</v>
      </c>
      <c r="P1160" s="7" t="n">
        <v>9.504</v>
      </c>
    </row>
    <row r="1161">
      <c r="A1161" s="6" t="n">
        <v>10.75</v>
      </c>
      <c r="B1161" s="2" t="n">
        <v>65.7</v>
      </c>
      <c r="C1161" s="2" t="inlineStr">
        <is>
          <t>C-95</t>
        </is>
      </c>
      <c r="D1161" s="2" t="n">
        <v>6960</v>
      </c>
      <c r="E1161" s="2" t="n">
        <v>9200</v>
      </c>
      <c r="F1161" s="2" t="n"/>
      <c r="G1161" s="2" t="n"/>
      <c r="H1161" s="2" t="n"/>
      <c r="I1161" s="2" t="inlineStr">
        <is>
          <t>BTC</t>
        </is>
      </c>
      <c r="J1161" s="2" t="n">
        <v>1765</v>
      </c>
      <c r="K1161" s="2" t="n"/>
      <c r="L1161" s="2" t="n">
        <v>1803</v>
      </c>
      <c r="M1161" s="2" t="n">
        <v>0.595</v>
      </c>
      <c r="N1161" s="2" t="n">
        <v>9.56</v>
      </c>
      <c r="O1161" s="2" t="n">
        <v>9.404</v>
      </c>
      <c r="P1161" s="7" t="n">
        <v>9.504</v>
      </c>
    </row>
    <row r="1162">
      <c r="A1162" s="8" t="n">
        <v>10.75</v>
      </c>
      <c r="B1162" s="1" t="n">
        <v>65.7</v>
      </c>
      <c r="C1162" s="1" t="inlineStr">
        <is>
          <t>HCP-110</t>
        </is>
      </c>
      <c r="D1162" s="1" t="n">
        <v>8640</v>
      </c>
      <c r="E1162" s="1" t="n">
        <v>10650</v>
      </c>
      <c r="F1162" s="1" t="n"/>
      <c r="G1162" s="1" t="n"/>
      <c r="H1162" s="1" t="n"/>
      <c r="I1162" s="1" t="inlineStr">
        <is>
          <t>STC</t>
        </is>
      </c>
      <c r="J1162" s="1" t="n">
        <v>1472</v>
      </c>
      <c r="K1162" s="1" t="n"/>
      <c r="L1162" s="1" t="n">
        <v>2088</v>
      </c>
      <c r="M1162" s="1" t="n">
        <v>0.595</v>
      </c>
      <c r="N1162" s="1" t="n">
        <v>9.56</v>
      </c>
      <c r="O1162" s="1" t="n">
        <v>9.404</v>
      </c>
      <c r="P1162" s="9" t="n">
        <v>9.504</v>
      </c>
    </row>
    <row r="1163">
      <c r="A1163" s="8" t="n">
        <v>10.75</v>
      </c>
      <c r="B1163" s="1" t="n">
        <v>65.7</v>
      </c>
      <c r="C1163" s="1" t="inlineStr">
        <is>
          <t>HCP-110</t>
        </is>
      </c>
      <c r="D1163" s="1" t="n">
        <v>8640</v>
      </c>
      <c r="E1163" s="1" t="n">
        <v>10650</v>
      </c>
      <c r="F1163" s="1" t="n"/>
      <c r="G1163" s="1" t="n"/>
      <c r="H1163" s="1" t="n"/>
      <c r="I1163" s="1" t="inlineStr">
        <is>
          <t>BTC</t>
        </is>
      </c>
      <c r="J1163" s="1" t="n">
        <v>2077</v>
      </c>
      <c r="K1163" s="1" t="n"/>
      <c r="L1163" s="1" t="n">
        <v>2088</v>
      </c>
      <c r="M1163" s="1" t="n">
        <v>0.595</v>
      </c>
      <c r="N1163" s="1" t="n">
        <v>9.56</v>
      </c>
      <c r="O1163" s="1" t="n">
        <v>9.404</v>
      </c>
      <c r="P1163" s="9" t="n">
        <v>9.504</v>
      </c>
    </row>
    <row r="1164">
      <c r="A1164" s="6" t="n">
        <v>10.75</v>
      </c>
      <c r="B1164" s="2" t="n">
        <v>65.7</v>
      </c>
      <c r="C1164" s="2" t="inlineStr">
        <is>
          <t>P-110</t>
        </is>
      </c>
      <c r="D1164" s="2" t="n">
        <v>7500</v>
      </c>
      <c r="E1164" s="2" t="n">
        <v>10650</v>
      </c>
      <c r="F1164" s="2" t="n"/>
      <c r="G1164" s="2" t="n"/>
      <c r="H1164" s="2" t="n"/>
      <c r="I1164" s="2" t="inlineStr">
        <is>
          <t>STC</t>
        </is>
      </c>
      <c r="J1164" s="2" t="n">
        <v>1472</v>
      </c>
      <c r="K1164" s="2" t="n"/>
      <c r="L1164" s="2" t="n">
        <v>2088</v>
      </c>
      <c r="M1164" s="2" t="n">
        <v>0.595</v>
      </c>
      <c r="N1164" s="2" t="n">
        <v>9.56</v>
      </c>
      <c r="O1164" s="2" t="n">
        <v>9.404</v>
      </c>
      <c r="P1164" s="7" t="n">
        <v>9.504</v>
      </c>
    </row>
    <row r="1165">
      <c r="A1165" s="6" t="n">
        <v>10.75</v>
      </c>
      <c r="B1165" s="2" t="n">
        <v>65.7</v>
      </c>
      <c r="C1165" s="2" t="inlineStr">
        <is>
          <t>P-110</t>
        </is>
      </c>
      <c r="D1165" s="2" t="n">
        <v>7500</v>
      </c>
      <c r="E1165" s="2" t="n">
        <v>10650</v>
      </c>
      <c r="F1165" s="2" t="n"/>
      <c r="G1165" s="2" t="n"/>
      <c r="H1165" s="2" t="n"/>
      <c r="I1165" s="2" t="inlineStr">
        <is>
          <t>BTC</t>
        </is>
      </c>
      <c r="J1165" s="2" t="n">
        <v>2077</v>
      </c>
      <c r="K1165" s="2" t="n"/>
      <c r="L1165" s="2" t="n">
        <v>2088</v>
      </c>
      <c r="M1165" s="2" t="n">
        <v>0.595</v>
      </c>
      <c r="N1165" s="2" t="n">
        <v>9.56</v>
      </c>
      <c r="O1165" s="2" t="n">
        <v>9.404</v>
      </c>
      <c r="P1165" s="7" t="n">
        <v>9.504</v>
      </c>
    </row>
    <row r="1166">
      <c r="A1166" s="8" t="n">
        <v>10.75</v>
      </c>
      <c r="B1166" s="1" t="n">
        <v>65.7</v>
      </c>
      <c r="C1166" s="1" t="inlineStr">
        <is>
          <t>HCQ-125</t>
        </is>
      </c>
      <c r="D1166" s="1" t="n">
        <v>8640</v>
      </c>
      <c r="E1166" s="1" t="n">
        <v>12110</v>
      </c>
      <c r="F1166" s="1" t="n"/>
      <c r="G1166" s="1" t="n"/>
      <c r="H1166" s="1" t="n"/>
      <c r="I1166" s="1" t="inlineStr">
        <is>
          <t>STC</t>
        </is>
      </c>
      <c r="J1166" s="1" t="n">
        <v>1653</v>
      </c>
      <c r="K1166" s="1" t="n"/>
      <c r="L1166" s="1" t="n">
        <v>2373</v>
      </c>
      <c r="M1166" s="1" t="n">
        <v>0.595</v>
      </c>
      <c r="N1166" s="1" t="n">
        <v>9.56</v>
      </c>
      <c r="O1166" s="1" t="n">
        <v>9.404</v>
      </c>
      <c r="P1166" s="9" t="n">
        <v>9.504</v>
      </c>
    </row>
    <row r="1167">
      <c r="A1167" s="8" t="n">
        <v>10.75</v>
      </c>
      <c r="B1167" s="1" t="n">
        <v>65.7</v>
      </c>
      <c r="C1167" s="1" t="inlineStr">
        <is>
          <t>HCQ-125</t>
        </is>
      </c>
      <c r="D1167" s="1" t="n">
        <v>8640</v>
      </c>
      <c r="E1167" s="1" t="n">
        <v>12110</v>
      </c>
      <c r="F1167" s="1" t="n"/>
      <c r="G1167" s="1" t="n"/>
      <c r="H1167" s="1" t="n"/>
      <c r="I1167" s="1" t="inlineStr">
        <is>
          <t>BTC</t>
        </is>
      </c>
      <c r="J1167" s="1" t="n">
        <v>2291</v>
      </c>
      <c r="K1167" s="1" t="n"/>
      <c r="L1167" s="1" t="n">
        <v>2373</v>
      </c>
      <c r="M1167" s="1" t="n">
        <v>0.595</v>
      </c>
      <c r="N1167" s="1" t="n">
        <v>9.56</v>
      </c>
      <c r="O1167" s="1" t="n">
        <v>9.404</v>
      </c>
      <c r="P1167" s="9" t="n">
        <v>9.504</v>
      </c>
    </row>
    <row r="1168">
      <c r="A1168" s="6" t="n">
        <v>10.75</v>
      </c>
      <c r="B1168" s="2" t="n">
        <v>65.7</v>
      </c>
      <c r="C1168" s="2" t="inlineStr">
        <is>
          <t>Q-125</t>
        </is>
      </c>
      <c r="D1168" s="2" t="n">
        <v>7920</v>
      </c>
      <c r="E1168" s="2" t="n">
        <v>12110</v>
      </c>
      <c r="F1168" s="2" t="n"/>
      <c r="G1168" s="2" t="n"/>
      <c r="H1168" s="2" t="n"/>
      <c r="I1168" s="2" t="inlineStr">
        <is>
          <t>STC</t>
        </is>
      </c>
      <c r="J1168" s="2" t="n">
        <v>1653</v>
      </c>
      <c r="K1168" s="2" t="n"/>
      <c r="L1168" s="2" t="n">
        <v>2373</v>
      </c>
      <c r="M1168" s="2" t="n">
        <v>0.595</v>
      </c>
      <c r="N1168" s="2" t="n">
        <v>9.56</v>
      </c>
      <c r="O1168" s="2" t="n">
        <v>9.404</v>
      </c>
      <c r="P1168" s="7" t="n">
        <v>9.504</v>
      </c>
    </row>
    <row r="1169">
      <c r="A1169" s="6" t="n">
        <v>10.75</v>
      </c>
      <c r="B1169" s="2" t="n">
        <v>65.7</v>
      </c>
      <c r="C1169" s="2" t="inlineStr">
        <is>
          <t>Q-125</t>
        </is>
      </c>
      <c r="D1169" s="2" t="n">
        <v>7920</v>
      </c>
      <c r="E1169" s="2" t="n">
        <v>12110</v>
      </c>
      <c r="F1169" s="2" t="n"/>
      <c r="G1169" s="2" t="n"/>
      <c r="H1169" s="2" t="n"/>
      <c r="I1169" s="2" t="inlineStr">
        <is>
          <t>BTC</t>
        </is>
      </c>
      <c r="J1169" s="2" t="n">
        <v>2291</v>
      </c>
      <c r="K1169" s="2" t="n"/>
      <c r="L1169" s="2" t="n">
        <v>2373</v>
      </c>
      <c r="M1169" s="2" t="n">
        <v>0.595</v>
      </c>
      <c r="N1169" s="2" t="n">
        <v>9.56</v>
      </c>
      <c r="O1169" s="2" t="n">
        <v>9.404</v>
      </c>
      <c r="P1169" s="7" t="n">
        <v>9.504</v>
      </c>
    </row>
    <row r="1170">
      <c r="A1170" s="8" t="n">
        <v>10.75</v>
      </c>
      <c r="B1170" s="1" t="n">
        <v>65.7</v>
      </c>
      <c r="C1170" s="1" t="inlineStr">
        <is>
          <t>V-150</t>
        </is>
      </c>
      <c r="D1170" s="1" t="n">
        <v>8320</v>
      </c>
      <c r="E1170" s="1" t="n">
        <v>14530</v>
      </c>
      <c r="F1170" s="1" t="n"/>
      <c r="G1170" s="1" t="n"/>
      <c r="H1170" s="1" t="n"/>
      <c r="I1170" s="1" t="inlineStr">
        <is>
          <t>STC</t>
        </is>
      </c>
      <c r="J1170" s="1" t="n">
        <v>1978</v>
      </c>
      <c r="K1170" s="1" t="n"/>
      <c r="L1170" s="1" t="n">
        <v>2847</v>
      </c>
      <c r="M1170" s="1" t="n">
        <v>0.595</v>
      </c>
      <c r="N1170" s="1" t="n">
        <v>9.56</v>
      </c>
      <c r="O1170" s="1" t="n">
        <v>9.404</v>
      </c>
      <c r="P1170" s="9" t="n">
        <v>9.504</v>
      </c>
    </row>
    <row r="1171">
      <c r="A1171" s="8" t="n">
        <v>10.75</v>
      </c>
      <c r="B1171" s="1" t="n">
        <v>65.7</v>
      </c>
      <c r="C1171" s="1" t="inlineStr">
        <is>
          <t>V-150</t>
        </is>
      </c>
      <c r="D1171" s="1" t="n">
        <v>8320</v>
      </c>
      <c r="E1171" s="1" t="n">
        <v>14530</v>
      </c>
      <c r="F1171" s="1" t="n"/>
      <c r="G1171" s="1" t="n"/>
      <c r="H1171" s="1" t="n"/>
      <c r="I1171" s="1" t="inlineStr">
        <is>
          <t>BTC</t>
        </is>
      </c>
      <c r="J1171" s="1" t="n">
        <v>2730</v>
      </c>
      <c r="K1171" s="1" t="n"/>
      <c r="L1171" s="1" t="n">
        <v>2847</v>
      </c>
      <c r="M1171" s="1" t="n">
        <v>0.595</v>
      </c>
      <c r="N1171" s="1" t="n">
        <v>9.56</v>
      </c>
      <c r="O1171" s="1" t="n">
        <v>9.404</v>
      </c>
      <c r="P1171" s="9" t="n">
        <v>9.504</v>
      </c>
    </row>
    <row r="1172">
      <c r="A1172" s="6" t="n">
        <v>10.75</v>
      </c>
      <c r="B1172" s="2" t="n">
        <v>71.09999999999999</v>
      </c>
      <c r="C1172" s="2" t="inlineStr">
        <is>
          <t>H2S-90</t>
        </is>
      </c>
      <c r="D1172" s="2" t="n">
        <v>9300</v>
      </c>
      <c r="E1172" s="2" t="n">
        <v>9200</v>
      </c>
      <c r="F1172" s="2" t="n"/>
      <c r="G1172" s="2" t="n"/>
      <c r="H1172" s="2" t="n"/>
      <c r="I1172" s="2" t="inlineStr">
        <is>
          <t>STC</t>
        </is>
      </c>
      <c r="J1172" s="2" t="n">
        <v>1317</v>
      </c>
      <c r="K1172" s="2" t="n"/>
      <c r="L1172" s="2" t="n">
        <v>1856</v>
      </c>
      <c r="M1172" s="2" t="n">
        <v>0.65</v>
      </c>
      <c r="N1172" s="2" t="n">
        <v>9.449999999999999</v>
      </c>
      <c r="O1172" s="2" t="n">
        <v>9.294</v>
      </c>
      <c r="P1172" s="7" t="n"/>
    </row>
    <row r="1173">
      <c r="A1173" s="6" t="n">
        <v>10.75</v>
      </c>
      <c r="B1173" s="2" t="n">
        <v>71.09999999999999</v>
      </c>
      <c r="C1173" s="2" t="inlineStr">
        <is>
          <t>H2S-90</t>
        </is>
      </c>
      <c r="D1173" s="2" t="n">
        <v>9300</v>
      </c>
      <c r="E1173" s="2" t="n">
        <v>8980</v>
      </c>
      <c r="F1173" s="2" t="n"/>
      <c r="G1173" s="2" t="n"/>
      <c r="H1173" s="2" t="n"/>
      <c r="I1173" s="2" t="inlineStr">
        <is>
          <t>BTC</t>
        </is>
      </c>
      <c r="J1173" s="2" t="n">
        <v>1822</v>
      </c>
      <c r="K1173" s="2" t="n"/>
      <c r="L1173" s="2" t="n">
        <v>1856</v>
      </c>
      <c r="M1173" s="2" t="n">
        <v>0.65</v>
      </c>
      <c r="N1173" s="2" t="n">
        <v>9.449999999999999</v>
      </c>
      <c r="O1173" s="2" t="n">
        <v>9.294</v>
      </c>
      <c r="P1173" s="7" t="n"/>
    </row>
    <row r="1174">
      <c r="A1174" s="8" t="n">
        <v>10.75</v>
      </c>
      <c r="B1174" s="1" t="n">
        <v>71.09999999999999</v>
      </c>
      <c r="C1174" s="1" t="inlineStr">
        <is>
          <t>S-95</t>
        </is>
      </c>
      <c r="D1174" s="1" t="n">
        <v>9600</v>
      </c>
      <c r="E1174" s="1" t="n">
        <v>9710</v>
      </c>
      <c r="F1174" s="1" t="n"/>
      <c r="G1174" s="1" t="n"/>
      <c r="H1174" s="1" t="n"/>
      <c r="I1174" s="1" t="inlineStr">
        <is>
          <t>STC</t>
        </is>
      </c>
      <c r="J1174" s="1" t="n">
        <v>1403</v>
      </c>
      <c r="K1174" s="1" t="n"/>
      <c r="L1174" s="1" t="n">
        <v>1959</v>
      </c>
      <c r="M1174" s="1" t="n">
        <v>0.65</v>
      </c>
      <c r="N1174" s="1" t="n">
        <v>9.449999999999999</v>
      </c>
      <c r="O1174" s="1" t="n">
        <v>9.294</v>
      </c>
      <c r="P1174" s="9" t="n"/>
    </row>
    <row r="1175">
      <c r="A1175" s="8" t="n">
        <v>10.75</v>
      </c>
      <c r="B1175" s="1" t="n">
        <v>71.09999999999999</v>
      </c>
      <c r="C1175" s="1" t="inlineStr">
        <is>
          <t>S-95</t>
        </is>
      </c>
      <c r="D1175" s="1" t="n">
        <v>9600</v>
      </c>
      <c r="E1175" s="1" t="n">
        <v>9480</v>
      </c>
      <c r="F1175" s="1" t="n"/>
      <c r="G1175" s="1" t="n"/>
      <c r="H1175" s="1" t="n"/>
      <c r="I1175" s="1" t="inlineStr">
        <is>
          <t>BTC</t>
        </is>
      </c>
      <c r="J1175" s="1" t="n">
        <v>1971</v>
      </c>
      <c r="K1175" s="1" t="n"/>
      <c r="L1175" s="1" t="n">
        <v>1959</v>
      </c>
      <c r="M1175" s="1" t="n">
        <v>0.65</v>
      </c>
      <c r="N1175" s="1" t="n">
        <v>9.449999999999999</v>
      </c>
      <c r="O1175" s="1" t="n">
        <v>9.294</v>
      </c>
      <c r="P1175" s="9" t="n"/>
    </row>
    <row r="1176">
      <c r="A1176" s="6" t="n">
        <v>10.75</v>
      </c>
      <c r="B1176" s="2" t="n">
        <v>71.09999999999999</v>
      </c>
      <c r="C1176" s="2" t="inlineStr">
        <is>
          <t>H2S-95</t>
        </is>
      </c>
      <c r="D1176" s="2" t="n">
        <v>9600</v>
      </c>
      <c r="E1176" s="2" t="n">
        <v>9710</v>
      </c>
      <c r="F1176" s="2" t="n"/>
      <c r="G1176" s="2" t="n"/>
      <c r="H1176" s="2" t="n"/>
      <c r="I1176" s="2" t="inlineStr">
        <is>
          <t>STC</t>
        </is>
      </c>
      <c r="J1176" s="2" t="n">
        <v>1388</v>
      </c>
      <c r="K1176" s="2" t="n"/>
      <c r="L1176" s="2" t="n">
        <v>1959</v>
      </c>
      <c r="M1176" s="2" t="n">
        <v>0.65</v>
      </c>
      <c r="N1176" s="2" t="n">
        <v>9.449999999999999</v>
      </c>
      <c r="O1176" s="2" t="n">
        <v>9.294</v>
      </c>
      <c r="P1176" s="7" t="n"/>
    </row>
    <row r="1177">
      <c r="A1177" s="6" t="n">
        <v>10.75</v>
      </c>
      <c r="B1177" s="2" t="n">
        <v>71.09999999999999</v>
      </c>
      <c r="C1177" s="2" t="inlineStr">
        <is>
          <t>H2S-95</t>
        </is>
      </c>
      <c r="D1177" s="2" t="n">
        <v>9600</v>
      </c>
      <c r="E1177" s="2" t="n">
        <v>9480</v>
      </c>
      <c r="F1177" s="2" t="n"/>
      <c r="G1177" s="2" t="n"/>
      <c r="H1177" s="2" t="n"/>
      <c r="I1177" s="2" t="inlineStr">
        <is>
          <t>BTC</t>
        </is>
      </c>
      <c r="J1177" s="2" t="n">
        <v>1918</v>
      </c>
      <c r="K1177" s="2" t="n"/>
      <c r="L1177" s="2" t="n">
        <v>1959</v>
      </c>
      <c r="M1177" s="2" t="n">
        <v>0.65</v>
      </c>
      <c r="N1177" s="2" t="n">
        <v>9.449999999999999</v>
      </c>
      <c r="O1177" s="2" t="n">
        <v>9.294</v>
      </c>
      <c r="P1177" s="7" t="n"/>
    </row>
    <row r="1178">
      <c r="A1178" s="8" t="n">
        <v>10.75</v>
      </c>
      <c r="B1178" s="1" t="n">
        <v>71.09999999999999</v>
      </c>
      <c r="C1178" s="1" t="inlineStr">
        <is>
          <t>HCP-110</t>
        </is>
      </c>
      <c r="D1178" s="1" t="n">
        <v>9600</v>
      </c>
      <c r="E1178" s="1" t="n">
        <v>11240</v>
      </c>
      <c r="F1178" s="1" t="n"/>
      <c r="G1178" s="1" t="n"/>
      <c r="H1178" s="1" t="n"/>
      <c r="I1178" s="1" t="inlineStr">
        <is>
          <t>STC</t>
        </is>
      </c>
      <c r="J1178" s="1" t="n">
        <v>1618</v>
      </c>
      <c r="K1178" s="1" t="n"/>
      <c r="L1178" s="1" t="n">
        <v>2269</v>
      </c>
      <c r="M1178" s="1" t="n">
        <v>0.65</v>
      </c>
      <c r="N1178" s="1" t="n">
        <v>9.449999999999999</v>
      </c>
      <c r="O1178" s="1" t="n">
        <v>9.294</v>
      </c>
      <c r="P1178" s="9" t="n"/>
    </row>
    <row r="1179">
      <c r="A1179" s="8" t="n">
        <v>10.75</v>
      </c>
      <c r="B1179" s="1" t="n">
        <v>71.09999999999999</v>
      </c>
      <c r="C1179" s="1" t="inlineStr">
        <is>
          <t>HCP-110</t>
        </is>
      </c>
      <c r="D1179" s="1" t="n">
        <v>9600</v>
      </c>
      <c r="E1179" s="1" t="n">
        <v>10980</v>
      </c>
      <c r="F1179" s="1" t="n"/>
      <c r="G1179" s="1" t="n"/>
      <c r="H1179" s="1" t="n"/>
      <c r="I1179" s="1" t="inlineStr">
        <is>
          <t>BTC</t>
        </is>
      </c>
      <c r="J1179" s="1" t="n">
        <v>2257</v>
      </c>
      <c r="K1179" s="1" t="n"/>
      <c r="L1179" s="1" t="n">
        <v>2269</v>
      </c>
      <c r="M1179" s="1" t="n">
        <v>0.65</v>
      </c>
      <c r="N1179" s="1" t="n">
        <v>9.449999999999999</v>
      </c>
      <c r="O1179" s="1" t="n">
        <v>9.294</v>
      </c>
      <c r="P1179" s="9" t="n"/>
    </row>
    <row r="1180">
      <c r="A1180" s="6" t="n">
        <v>10.75</v>
      </c>
      <c r="B1180" s="2" t="n">
        <v>71.09999999999999</v>
      </c>
      <c r="C1180" s="2" t="inlineStr">
        <is>
          <t>P-110</t>
        </is>
      </c>
      <c r="D1180" s="2" t="n">
        <v>9300</v>
      </c>
      <c r="E1180" s="2" t="n">
        <v>11240</v>
      </c>
      <c r="F1180" s="2" t="n"/>
      <c r="G1180" s="2" t="n"/>
      <c r="H1180" s="2" t="n"/>
      <c r="I1180" s="2" t="inlineStr">
        <is>
          <t>STC</t>
        </is>
      </c>
      <c r="J1180" s="2" t="n">
        <v>1618</v>
      </c>
      <c r="K1180" s="2" t="n"/>
      <c r="L1180" s="2" t="n">
        <v>2269</v>
      </c>
      <c r="M1180" s="2" t="n">
        <v>0.65</v>
      </c>
      <c r="N1180" s="2" t="n">
        <v>9.449999999999999</v>
      </c>
      <c r="O1180" s="2" t="n">
        <v>9.294</v>
      </c>
      <c r="P1180" s="7" t="n"/>
    </row>
    <row r="1181">
      <c r="A1181" s="6" t="n">
        <v>10.75</v>
      </c>
      <c r="B1181" s="2" t="n">
        <v>71.09999999999999</v>
      </c>
      <c r="C1181" s="2" t="inlineStr">
        <is>
          <t>P-110</t>
        </is>
      </c>
      <c r="D1181" s="2" t="n">
        <v>9300</v>
      </c>
      <c r="E1181" s="2" t="n">
        <v>10980</v>
      </c>
      <c r="F1181" s="2" t="n"/>
      <c r="G1181" s="2" t="n"/>
      <c r="H1181" s="2" t="n"/>
      <c r="I1181" s="2" t="inlineStr">
        <is>
          <t>BTC</t>
        </is>
      </c>
      <c r="J1181" s="2" t="n">
        <v>2257</v>
      </c>
      <c r="K1181" s="2" t="n"/>
      <c r="L1181" s="2" t="n">
        <v>2269</v>
      </c>
      <c r="M1181" s="2" t="n">
        <v>0.65</v>
      </c>
      <c r="N1181" s="2" t="n">
        <v>9.449999999999999</v>
      </c>
      <c r="O1181" s="2" t="n">
        <v>9.294</v>
      </c>
      <c r="P1181" s="7" t="n"/>
    </row>
    <row r="1182">
      <c r="A1182" s="8" t="n">
        <v>10.75</v>
      </c>
      <c r="B1182" s="1" t="n">
        <v>71.09999999999999</v>
      </c>
      <c r="C1182" s="1" t="inlineStr">
        <is>
          <t>Q-125</t>
        </is>
      </c>
      <c r="D1182" s="1" t="n">
        <v>9990</v>
      </c>
      <c r="E1182" s="1" t="n">
        <v>12780</v>
      </c>
      <c r="F1182" s="1" t="n"/>
      <c r="G1182" s="1" t="n"/>
      <c r="H1182" s="1" t="n"/>
      <c r="I1182" s="1" t="inlineStr">
        <is>
          <t>STC</t>
        </is>
      </c>
      <c r="J1182" s="1" t="n">
        <v>1817</v>
      </c>
      <c r="K1182" s="1" t="n"/>
      <c r="L1182" s="1" t="n">
        <v>2578</v>
      </c>
      <c r="M1182" s="1" t="n">
        <v>0.65</v>
      </c>
      <c r="N1182" s="1" t="n">
        <v>9.449999999999999</v>
      </c>
      <c r="O1182" s="1" t="n">
        <v>9.294</v>
      </c>
      <c r="P1182" s="9" t="n"/>
    </row>
    <row r="1183">
      <c r="A1183" s="8" t="n">
        <v>10.75</v>
      </c>
      <c r="B1183" s="1" t="n">
        <v>71.09999999999999</v>
      </c>
      <c r="C1183" s="1" t="inlineStr">
        <is>
          <t>Q-125</t>
        </is>
      </c>
      <c r="D1183" s="1" t="n">
        <v>9990</v>
      </c>
      <c r="E1183" s="1" t="n">
        <v>12480</v>
      </c>
      <c r="F1183" s="1" t="n"/>
      <c r="G1183" s="1" t="n"/>
      <c r="H1183" s="1" t="n"/>
      <c r="I1183" s="1" t="inlineStr">
        <is>
          <t>BTC</t>
        </is>
      </c>
      <c r="J1183" s="1" t="n">
        <v>2489</v>
      </c>
      <c r="K1183" s="1" t="n"/>
      <c r="L1183" s="1" t="n">
        <v>2578</v>
      </c>
      <c r="M1183" s="1" t="n">
        <v>0.65</v>
      </c>
      <c r="N1183" s="1" t="n">
        <v>9.449999999999999</v>
      </c>
      <c r="O1183" s="1" t="n">
        <v>9.294</v>
      </c>
      <c r="P1183" s="9" t="n"/>
    </row>
    <row r="1184">
      <c r="A1184" s="6" t="n">
        <v>10.75</v>
      </c>
      <c r="B1184" s="2" t="n">
        <v>71.09999999999999</v>
      </c>
      <c r="C1184" s="2" t="inlineStr">
        <is>
          <t>V-150</t>
        </is>
      </c>
      <c r="D1184" s="2" t="n">
        <v>10880</v>
      </c>
      <c r="E1184" s="2" t="n">
        <v>15330</v>
      </c>
      <c r="F1184" s="2" t="n"/>
      <c r="G1184" s="2" t="n"/>
      <c r="H1184" s="2" t="n"/>
      <c r="I1184" s="2" t="inlineStr">
        <is>
          <t>STC</t>
        </is>
      </c>
      <c r="J1184" s="2" t="n">
        <v>2174</v>
      </c>
      <c r="K1184" s="2" t="n"/>
      <c r="L1184" s="2" t="n">
        <v>3094</v>
      </c>
      <c r="M1184" s="2" t="n">
        <v>0.65</v>
      </c>
      <c r="N1184" s="2" t="n">
        <v>9.449999999999999</v>
      </c>
      <c r="O1184" s="2" t="n">
        <v>9.294</v>
      </c>
      <c r="P1184" s="7" t="n"/>
    </row>
    <row r="1185">
      <c r="A1185" s="6" t="n">
        <v>10.75</v>
      </c>
      <c r="B1185" s="2" t="n">
        <v>71.09999999999999</v>
      </c>
      <c r="C1185" s="2" t="inlineStr">
        <is>
          <t>V-150</t>
        </is>
      </c>
      <c r="D1185" s="2" t="n">
        <v>10880</v>
      </c>
      <c r="E1185" s="2" t="n">
        <v>14970</v>
      </c>
      <c r="F1185" s="2" t="n"/>
      <c r="G1185" s="2" t="n"/>
      <c r="H1185" s="2" t="n"/>
      <c r="I1185" s="2" t="inlineStr">
        <is>
          <t>BTC</t>
        </is>
      </c>
      <c r="J1185" s="2" t="n">
        <v>2966</v>
      </c>
      <c r="K1185" s="2" t="n"/>
      <c r="L1185" s="2" t="n">
        <v>3094</v>
      </c>
      <c r="M1185" s="2" t="n">
        <v>0.65</v>
      </c>
      <c r="N1185" s="2" t="n">
        <v>9.449999999999999</v>
      </c>
      <c r="O1185" s="2" t="n">
        <v>9.294</v>
      </c>
      <c r="P1185" s="7" t="n"/>
    </row>
    <row r="1186">
      <c r="A1186" s="8" t="n">
        <v>10.75</v>
      </c>
      <c r="B1186" s="1" t="n">
        <v>73.2</v>
      </c>
      <c r="C1186" s="1" t="inlineStr">
        <is>
          <t>C-90</t>
        </is>
      </c>
      <c r="D1186" s="1" t="n">
        <v>8760</v>
      </c>
      <c r="E1186" s="1" t="n">
        <v>9850</v>
      </c>
      <c r="F1186" s="1" t="n"/>
      <c r="G1186" s="1" t="n"/>
      <c r="H1186" s="1" t="n"/>
      <c r="I1186" s="1" t="inlineStr">
        <is>
          <t>PE</t>
        </is>
      </c>
      <c r="J1186" s="1" t="n">
        <v>1915</v>
      </c>
      <c r="K1186" s="1" t="n"/>
      <c r="L1186" s="1" t="n">
        <v>1915</v>
      </c>
      <c r="M1186" s="1" t="n">
        <v>0.672</v>
      </c>
      <c r="N1186" s="1" t="n">
        <v>9.406000000000001</v>
      </c>
      <c r="O1186" s="1" t="n">
        <v>9.25</v>
      </c>
      <c r="P1186" s="9" t="n"/>
    </row>
    <row r="1187">
      <c r="A1187" s="6" t="n">
        <v>10.75</v>
      </c>
      <c r="B1187" s="2" t="n">
        <v>73.2</v>
      </c>
      <c r="C1187" s="2" t="inlineStr">
        <is>
          <t>T-95</t>
        </is>
      </c>
      <c r="D1187" s="2" t="n">
        <v>9090</v>
      </c>
      <c r="E1187" s="2" t="n">
        <v>10390</v>
      </c>
      <c r="F1187" s="2" t="n"/>
      <c r="G1187" s="2" t="n"/>
      <c r="H1187" s="2" t="n"/>
      <c r="I1187" s="2" t="inlineStr">
        <is>
          <t>PE</t>
        </is>
      </c>
      <c r="J1187" s="2" t="n">
        <v>2021</v>
      </c>
      <c r="K1187" s="2" t="n"/>
      <c r="L1187" s="2" t="n">
        <v>2021</v>
      </c>
      <c r="M1187" s="2" t="n">
        <v>0.672</v>
      </c>
      <c r="N1187" s="2" t="n">
        <v>9.406000000000001</v>
      </c>
      <c r="O1187" s="2" t="n">
        <v>9.25</v>
      </c>
      <c r="P1187" s="7" t="n"/>
    </row>
    <row r="1188">
      <c r="A1188" s="8" t="n">
        <v>10.75</v>
      </c>
      <c r="B1188" s="1" t="n">
        <v>79.2</v>
      </c>
      <c r="C1188" s="1" t="inlineStr">
        <is>
          <t>C-90</t>
        </is>
      </c>
      <c r="D1188" s="1" t="n">
        <v>10370</v>
      </c>
      <c r="E1188" s="1" t="n">
        <v>10750</v>
      </c>
      <c r="F1188" s="1" t="n"/>
      <c r="G1188" s="1" t="n"/>
      <c r="H1188" s="1" t="n"/>
      <c r="I1188" s="1" t="inlineStr">
        <is>
          <t>PE</t>
        </is>
      </c>
      <c r="J1188" s="1" t="n">
        <v>2079</v>
      </c>
      <c r="K1188" s="1" t="n"/>
      <c r="L1188" s="1" t="n">
        <v>2079</v>
      </c>
      <c r="M1188" s="1" t="n">
        <v>0.734</v>
      </c>
      <c r="N1188" s="1" t="n">
        <v>9.282</v>
      </c>
      <c r="O1188" s="1" t="n">
        <v>9.125999999999999</v>
      </c>
      <c r="P1188" s="9" t="n"/>
    </row>
    <row r="1189">
      <c r="A1189" s="6" t="n">
        <v>10.75</v>
      </c>
      <c r="B1189" s="2" t="n">
        <v>79.2</v>
      </c>
      <c r="C1189" s="2" t="inlineStr">
        <is>
          <t>T-95</t>
        </is>
      </c>
      <c r="D1189" s="2" t="n">
        <v>10800</v>
      </c>
      <c r="E1189" s="2" t="n">
        <v>11350</v>
      </c>
      <c r="F1189" s="2" t="n"/>
      <c r="G1189" s="2" t="n"/>
      <c r="H1189" s="2" t="n"/>
      <c r="I1189" s="2" t="inlineStr">
        <is>
          <t>PE</t>
        </is>
      </c>
      <c r="J1189" s="2" t="n">
        <v>2194</v>
      </c>
      <c r="K1189" s="2" t="n"/>
      <c r="L1189" s="2" t="n">
        <v>2194</v>
      </c>
      <c r="M1189" s="2" t="n">
        <v>0.734</v>
      </c>
      <c r="N1189" s="2" t="n">
        <v>9.282</v>
      </c>
      <c r="O1189" s="2" t="n">
        <v>9.125999999999999</v>
      </c>
      <c r="P1189" s="7" t="n"/>
    </row>
    <row r="1190">
      <c r="A1190" s="8" t="n">
        <v>10.75</v>
      </c>
      <c r="B1190" s="1" t="n">
        <v>85.3</v>
      </c>
      <c r="C1190" s="1" t="inlineStr">
        <is>
          <t>C-90</t>
        </is>
      </c>
      <c r="D1190" s="1" t="n">
        <v>12010</v>
      </c>
      <c r="E1190" s="1" t="n">
        <v>11680</v>
      </c>
      <c r="F1190" s="1" t="n"/>
      <c r="G1190" s="1" t="n"/>
      <c r="H1190" s="1" t="n"/>
      <c r="I1190" s="1" t="inlineStr">
        <is>
          <t>PE</t>
        </is>
      </c>
      <c r="J1190" s="1" t="n">
        <v>2243</v>
      </c>
      <c r="K1190" s="1" t="n"/>
      <c r="L1190" s="1" t="n">
        <v>2243</v>
      </c>
      <c r="M1190" s="1" t="n">
        <v>0.797</v>
      </c>
      <c r="N1190" s="1" t="n">
        <v>9.156000000000001</v>
      </c>
      <c r="O1190" s="1" t="n">
        <v>9</v>
      </c>
      <c r="P1190" s="9" t="n"/>
    </row>
    <row r="1191" ht="15.75" customHeight="1" s="613" thickBot="1">
      <c r="A1191" s="13" t="n">
        <v>10.75</v>
      </c>
      <c r="B1191" s="14" t="n">
        <v>85.3</v>
      </c>
      <c r="C1191" s="14" t="inlineStr">
        <is>
          <t>T-95</t>
        </is>
      </c>
      <c r="D1191" s="14" t="n">
        <v>12540</v>
      </c>
      <c r="E1191" s="14" t="n">
        <v>12330</v>
      </c>
      <c r="F1191" s="14" t="n"/>
      <c r="G1191" s="14" t="n"/>
      <c r="H1191" s="14" t="n"/>
      <c r="I1191" s="14" t="inlineStr">
        <is>
          <t>PE</t>
        </is>
      </c>
      <c r="J1191" s="14" t="n">
        <v>2367</v>
      </c>
      <c r="K1191" s="14" t="n"/>
      <c r="L1191" s="14" t="n">
        <v>2367</v>
      </c>
      <c r="M1191" s="14" t="n">
        <v>0.797</v>
      </c>
      <c r="N1191" s="14" t="n">
        <v>9.156000000000001</v>
      </c>
      <c r="O1191" s="14" t="n">
        <v>9</v>
      </c>
      <c r="P1191" s="15" t="n"/>
    </row>
    <row r="1192" ht="15.75" customHeight="1" s="613" thickBot="1">
      <c r="A1192" s="3" t="n">
        <v>11.75</v>
      </c>
      <c r="B1192" s="4" t="n">
        <v>42</v>
      </c>
      <c r="C1192" s="4" t="inlineStr">
        <is>
          <t>H-40</t>
        </is>
      </c>
      <c r="D1192" s="4" t="n">
        <v>1040</v>
      </c>
      <c r="E1192" s="4" t="n">
        <v>1980</v>
      </c>
      <c r="F1192" s="4" t="n"/>
      <c r="G1192" s="4" t="n"/>
      <c r="H1192" s="4" t="n"/>
      <c r="I1192" s="4" t="inlineStr">
        <is>
          <t>STC</t>
        </is>
      </c>
      <c r="J1192" s="4" t="n">
        <v>307</v>
      </c>
      <c r="K1192" s="4" t="n"/>
      <c r="L1192" s="4" t="n">
        <v>478</v>
      </c>
      <c r="M1192" s="4" t="n">
        <v>0.333</v>
      </c>
      <c r="N1192" s="4" t="n">
        <v>11.084</v>
      </c>
      <c r="O1192" s="4" t="n">
        <v>10.928</v>
      </c>
      <c r="P1192" s="5" t="n">
        <v>11</v>
      </c>
    </row>
    <row r="1193">
      <c r="A1193" s="3" t="n">
        <v>11.75</v>
      </c>
      <c r="B1193" s="4" t="n">
        <v>42</v>
      </c>
      <c r="C1193" s="4" t="inlineStr">
        <is>
          <t>H-40</t>
        </is>
      </c>
      <c r="D1193" s="4" t="n">
        <v>1040</v>
      </c>
      <c r="E1193" s="4" t="n">
        <v>1980</v>
      </c>
      <c r="F1193" s="4" t="n"/>
      <c r="G1193" s="4" t="n"/>
      <c r="H1193" s="4" t="n"/>
      <c r="I1193" s="4" t="inlineStr">
        <is>
          <t>BTC</t>
        </is>
      </c>
      <c r="J1193" s="4" t="n">
        <v>554</v>
      </c>
      <c r="K1193" s="4" t="n"/>
      <c r="L1193" s="4" t="n">
        <v>478</v>
      </c>
      <c r="M1193" s="4" t="n">
        <v>0.333</v>
      </c>
      <c r="N1193" s="4" t="n">
        <v>11.084</v>
      </c>
      <c r="O1193" s="4" t="n">
        <v>10.928</v>
      </c>
      <c r="P1193" s="5" t="n">
        <v>11</v>
      </c>
    </row>
    <row r="1194">
      <c r="A1194" s="6" t="n">
        <v>11.75</v>
      </c>
      <c r="B1194" s="2" t="n">
        <v>47</v>
      </c>
      <c r="C1194" s="2" t="inlineStr">
        <is>
          <t>J-55</t>
        </is>
      </c>
      <c r="D1194" s="2" t="n">
        <v>1510</v>
      </c>
      <c r="E1194" s="2" t="n">
        <v>3070</v>
      </c>
      <c r="F1194" s="2" t="n"/>
      <c r="G1194" s="2" t="n"/>
      <c r="H1194" s="2" t="n"/>
      <c r="I1194" s="2" t="inlineStr">
        <is>
          <t>STC</t>
        </is>
      </c>
      <c r="J1194" s="2" t="n">
        <v>477</v>
      </c>
      <c r="K1194" s="2" t="n"/>
      <c r="L1194" s="2" t="n">
        <v>737</v>
      </c>
      <c r="M1194" s="2" t="n">
        <v>0.375</v>
      </c>
      <c r="N1194" s="2" t="n">
        <v>11</v>
      </c>
      <c r="O1194" s="2" t="n">
        <v>10.844</v>
      </c>
      <c r="P1194" s="7" t="n"/>
    </row>
    <row r="1195" ht="15.75" customHeight="1" s="613" thickBot="1">
      <c r="A1195" s="6" t="n">
        <v>11.75</v>
      </c>
      <c r="B1195" s="2" t="n">
        <v>47</v>
      </c>
      <c r="C1195" s="2" t="inlineStr">
        <is>
          <t>J-55</t>
        </is>
      </c>
      <c r="D1195" s="2" t="n">
        <v>1510</v>
      </c>
      <c r="E1195" s="2" t="n">
        <v>3070</v>
      </c>
      <c r="F1195" s="2" t="n"/>
      <c r="G1195" s="2" t="n"/>
      <c r="H1195" s="2" t="n"/>
      <c r="I1195" s="2" t="inlineStr">
        <is>
          <t>BTC</t>
        </is>
      </c>
      <c r="J1195" s="2" t="n">
        <v>807</v>
      </c>
      <c r="K1195" s="2" t="n"/>
      <c r="L1195" s="2" t="n">
        <v>737</v>
      </c>
      <c r="M1195" s="2" t="n">
        <v>0.375</v>
      </c>
      <c r="N1195" s="2" t="n">
        <v>11</v>
      </c>
      <c r="O1195" s="2" t="n">
        <v>10.844</v>
      </c>
      <c r="P1195" s="7" t="n"/>
    </row>
    <row r="1196" ht="15.75" customHeight="1" s="613" thickBot="1">
      <c r="A1196" s="8" t="n">
        <v>11.75</v>
      </c>
      <c r="B1196" s="1" t="n">
        <v>47</v>
      </c>
      <c r="C1196" s="1" t="inlineStr">
        <is>
          <t>K-55</t>
        </is>
      </c>
      <c r="D1196" s="1" t="n">
        <v>1510</v>
      </c>
      <c r="E1196" s="1" t="n">
        <v>3070</v>
      </c>
      <c r="F1196" s="1" t="n"/>
      <c r="G1196" s="1" t="n"/>
      <c r="H1196" s="1" t="n"/>
      <c r="I1196" s="4" t="inlineStr">
        <is>
          <t>STC</t>
        </is>
      </c>
      <c r="J1196" s="1" t="n">
        <v>509</v>
      </c>
      <c r="K1196" s="1" t="n"/>
      <c r="L1196" s="1" t="n">
        <v>737</v>
      </c>
      <c r="M1196" s="1" t="n">
        <v>0.375</v>
      </c>
      <c r="N1196" s="1" t="n">
        <v>11</v>
      </c>
      <c r="O1196" s="1" t="n">
        <v>10.844</v>
      </c>
      <c r="P1196" s="9" t="n"/>
    </row>
    <row r="1197">
      <c r="A1197" s="8" t="n">
        <v>11.75</v>
      </c>
      <c r="B1197" s="1" t="n">
        <v>47</v>
      </c>
      <c r="C1197" s="1" t="inlineStr">
        <is>
          <t>K-55</t>
        </is>
      </c>
      <c r="D1197" s="1" t="n">
        <v>1510</v>
      </c>
      <c r="E1197" s="1" t="n">
        <v>3070</v>
      </c>
      <c r="F1197" s="1" t="n"/>
      <c r="G1197" s="1" t="n"/>
      <c r="H1197" s="1" t="n"/>
      <c r="I1197" s="4" t="inlineStr">
        <is>
          <t>BTC</t>
        </is>
      </c>
      <c r="J1197" s="1" t="n">
        <v>935</v>
      </c>
      <c r="K1197" s="1" t="n"/>
      <c r="L1197" s="1" t="n">
        <v>737</v>
      </c>
      <c r="M1197" s="1" t="n">
        <v>0.375</v>
      </c>
      <c r="N1197" s="1" t="n">
        <v>11</v>
      </c>
      <c r="O1197" s="1" t="n">
        <v>10.844</v>
      </c>
      <c r="P1197" s="9" t="n"/>
    </row>
    <row r="1198">
      <c r="A1198" s="6" t="n">
        <v>11.75</v>
      </c>
      <c r="B1198" s="2" t="n">
        <v>47</v>
      </c>
      <c r="C1198" s="2" t="inlineStr">
        <is>
          <t>HCK-55</t>
        </is>
      </c>
      <c r="D1198" s="2" t="n">
        <v>2000</v>
      </c>
      <c r="E1198" s="2" t="n">
        <v>3070</v>
      </c>
      <c r="F1198" s="2" t="n"/>
      <c r="G1198" s="2" t="n"/>
      <c r="H1198" s="2" t="n"/>
      <c r="I1198" s="2" t="inlineStr">
        <is>
          <t>STC</t>
        </is>
      </c>
      <c r="J1198" s="2" t="n">
        <v>638</v>
      </c>
      <c r="K1198" s="2" t="n"/>
      <c r="L1198" s="2" t="n">
        <v>737</v>
      </c>
      <c r="M1198" s="2" t="n">
        <v>0.375</v>
      </c>
      <c r="N1198" s="2" t="n">
        <v>11</v>
      </c>
      <c r="O1198" s="2" t="n">
        <v>10.844</v>
      </c>
      <c r="P1198" s="7" t="n"/>
    </row>
    <row r="1199" ht="15.75" customHeight="1" s="613" thickBot="1">
      <c r="A1199" s="6" t="n">
        <v>11.75</v>
      </c>
      <c r="B1199" s="2" t="n">
        <v>47</v>
      </c>
      <c r="C1199" s="2" t="inlineStr">
        <is>
          <t>HCK-55</t>
        </is>
      </c>
      <c r="D1199" s="2" t="n">
        <v>2000</v>
      </c>
      <c r="E1199" s="2" t="n">
        <v>3070</v>
      </c>
      <c r="F1199" s="2" t="n"/>
      <c r="G1199" s="2" t="n"/>
      <c r="H1199" s="2" t="n"/>
      <c r="I1199" s="2" t="inlineStr">
        <is>
          <t>BTC</t>
        </is>
      </c>
      <c r="J1199" s="2" t="n">
        <v>1054</v>
      </c>
      <c r="K1199" s="2" t="n"/>
      <c r="L1199" s="2" t="n">
        <v>737</v>
      </c>
      <c r="M1199" s="2" t="n">
        <v>0.375</v>
      </c>
      <c r="N1199" s="2" t="n">
        <v>11</v>
      </c>
      <c r="O1199" s="2" t="n">
        <v>10.844</v>
      </c>
      <c r="P1199" s="7" t="n"/>
    </row>
    <row r="1200" ht="15.75" customHeight="1" s="613" thickBot="1">
      <c r="A1200" s="8" t="n">
        <v>11.75</v>
      </c>
      <c r="B1200" s="1" t="n">
        <v>54</v>
      </c>
      <c r="C1200" s="1" t="inlineStr">
        <is>
          <t>J-55</t>
        </is>
      </c>
      <c r="D1200" s="1" t="n">
        <v>2070</v>
      </c>
      <c r="E1200" s="1" t="n">
        <v>3560</v>
      </c>
      <c r="F1200" s="1" t="n"/>
      <c r="G1200" s="1" t="n"/>
      <c r="H1200" s="1" t="n"/>
      <c r="I1200" s="4" t="inlineStr">
        <is>
          <t>STC</t>
        </is>
      </c>
      <c r="J1200" s="1" t="n">
        <v>568</v>
      </c>
      <c r="K1200" s="1" t="n"/>
      <c r="L1200" s="1" t="n">
        <v>850</v>
      </c>
      <c r="M1200" s="1" t="n">
        <v>0.435</v>
      </c>
      <c r="N1200" s="1" t="n">
        <v>10.88</v>
      </c>
      <c r="O1200" s="1" t="n">
        <v>10.724</v>
      </c>
      <c r="P1200" s="9" t="n"/>
    </row>
    <row r="1201">
      <c r="A1201" s="8" t="n">
        <v>11.75</v>
      </c>
      <c r="B1201" s="1" t="n">
        <v>54</v>
      </c>
      <c r="C1201" s="1" t="inlineStr">
        <is>
          <t>J-55</t>
        </is>
      </c>
      <c r="D1201" s="1" t="n">
        <v>2070</v>
      </c>
      <c r="E1201" s="1" t="n">
        <v>3560</v>
      </c>
      <c r="F1201" s="1" t="n"/>
      <c r="G1201" s="1" t="n"/>
      <c r="H1201" s="1" t="n"/>
      <c r="I1201" s="4" t="inlineStr">
        <is>
          <t>BTC</t>
        </is>
      </c>
      <c r="J1201" s="1" t="n">
        <v>931</v>
      </c>
      <c r="K1201" s="1" t="n"/>
      <c r="L1201" s="1" t="n">
        <v>850</v>
      </c>
      <c r="M1201" s="1" t="n">
        <v>0.435</v>
      </c>
      <c r="N1201" s="1" t="n">
        <v>10.88</v>
      </c>
      <c r="O1201" s="1" t="n">
        <v>10.724</v>
      </c>
      <c r="P1201" s="9" t="n"/>
    </row>
    <row r="1202">
      <c r="A1202" s="6" t="n">
        <v>11.75</v>
      </c>
      <c r="B1202" s="2" t="n">
        <v>54</v>
      </c>
      <c r="C1202" s="2" t="inlineStr">
        <is>
          <t>K-55</t>
        </is>
      </c>
      <c r="D1202" s="2" t="n">
        <v>2070</v>
      </c>
      <c r="E1202" s="2" t="n">
        <v>3560</v>
      </c>
      <c r="F1202" s="2" t="n"/>
      <c r="G1202" s="2" t="n"/>
      <c r="H1202" s="2" t="n"/>
      <c r="I1202" s="2" t="inlineStr">
        <is>
          <t>STC</t>
        </is>
      </c>
      <c r="J1202" s="2" t="n">
        <v>606</v>
      </c>
      <c r="K1202" s="2" t="n"/>
      <c r="L1202" s="2" t="n">
        <v>850</v>
      </c>
      <c r="M1202" s="2" t="n">
        <v>0.435</v>
      </c>
      <c r="N1202" s="2" t="n">
        <v>10.88</v>
      </c>
      <c r="O1202" s="2" t="n">
        <v>10.724</v>
      </c>
      <c r="P1202" s="7" t="n"/>
    </row>
    <row r="1203" ht="15.75" customHeight="1" s="613" thickBot="1">
      <c r="A1203" s="6" t="n">
        <v>11.75</v>
      </c>
      <c r="B1203" s="2" t="n">
        <v>54</v>
      </c>
      <c r="C1203" s="2" t="inlineStr">
        <is>
          <t>K-55</t>
        </is>
      </c>
      <c r="D1203" s="2" t="n">
        <v>2070</v>
      </c>
      <c r="E1203" s="2" t="n">
        <v>3560</v>
      </c>
      <c r="F1203" s="2" t="n"/>
      <c r="G1203" s="2" t="n"/>
      <c r="H1203" s="2" t="n"/>
      <c r="I1203" s="2" t="inlineStr">
        <is>
          <t>BTC</t>
        </is>
      </c>
      <c r="J1203" s="2" t="n">
        <v>1079</v>
      </c>
      <c r="K1203" s="2" t="n"/>
      <c r="L1203" s="2" t="n">
        <v>850</v>
      </c>
      <c r="M1203" s="2" t="n">
        <v>0.435</v>
      </c>
      <c r="N1203" s="2" t="n">
        <v>10.88</v>
      </c>
      <c r="O1203" s="2" t="n">
        <v>10.724</v>
      </c>
      <c r="P1203" s="7" t="n"/>
    </row>
    <row r="1204" ht="15.75" customHeight="1" s="613" thickBot="1">
      <c r="A1204" s="8" t="n">
        <v>11.75</v>
      </c>
      <c r="B1204" s="1" t="n">
        <v>54</v>
      </c>
      <c r="C1204" s="1" t="inlineStr">
        <is>
          <t>HCK-55</t>
        </is>
      </c>
      <c r="D1204" s="1" t="n">
        <v>3100</v>
      </c>
      <c r="E1204" s="1" t="n">
        <v>3560</v>
      </c>
      <c r="F1204" s="1" t="n"/>
      <c r="G1204" s="1" t="n"/>
      <c r="H1204" s="1" t="n"/>
      <c r="I1204" s="4" t="inlineStr">
        <is>
          <t>STC</t>
        </is>
      </c>
      <c r="J1204" s="1" t="n">
        <v>760</v>
      </c>
      <c r="K1204" s="1" t="n"/>
      <c r="L1204" s="1" t="n">
        <v>850</v>
      </c>
      <c r="M1204" s="1" t="n">
        <v>0.435</v>
      </c>
      <c r="N1204" s="1" t="n">
        <v>10.88</v>
      </c>
      <c r="O1204" s="1" t="n">
        <v>10.724</v>
      </c>
      <c r="P1204" s="9" t="n"/>
    </row>
    <row r="1205">
      <c r="A1205" s="8" t="n">
        <v>11.75</v>
      </c>
      <c r="B1205" s="1" t="n">
        <v>54</v>
      </c>
      <c r="C1205" s="1" t="inlineStr">
        <is>
          <t>HCK-55</t>
        </is>
      </c>
      <c r="D1205" s="1" t="n">
        <v>3100</v>
      </c>
      <c r="E1205" s="1" t="n">
        <v>3560</v>
      </c>
      <c r="F1205" s="1" t="n"/>
      <c r="G1205" s="1" t="n"/>
      <c r="H1205" s="1" t="n"/>
      <c r="I1205" s="4" t="inlineStr">
        <is>
          <t>BTC</t>
        </is>
      </c>
      <c r="J1205" s="1" t="n">
        <v>1216</v>
      </c>
      <c r="K1205" s="1" t="n"/>
      <c r="L1205" s="1" t="n">
        <v>850</v>
      </c>
      <c r="M1205" s="1" t="n">
        <v>0.435</v>
      </c>
      <c r="N1205" s="1" t="n">
        <v>10.88</v>
      </c>
      <c r="O1205" s="1" t="n">
        <v>10.724</v>
      </c>
      <c r="P1205" s="9" t="n"/>
    </row>
    <row r="1206">
      <c r="A1206" s="6" t="n">
        <v>11.75</v>
      </c>
      <c r="B1206" s="2" t="n">
        <v>60</v>
      </c>
      <c r="C1206" s="2" t="inlineStr">
        <is>
          <t>J-55</t>
        </is>
      </c>
      <c r="D1206" s="2" t="n">
        <v>2660</v>
      </c>
      <c r="E1206" s="2" t="n">
        <v>4010</v>
      </c>
      <c r="F1206" s="2" t="n"/>
      <c r="G1206" s="2" t="n"/>
      <c r="H1206" s="2" t="n"/>
      <c r="I1206" s="2" t="inlineStr">
        <is>
          <t>STC</t>
        </is>
      </c>
      <c r="J1206" s="2" t="n">
        <v>649</v>
      </c>
      <c r="K1206" s="2" t="n"/>
      <c r="L1206" s="2" t="n">
        <v>952</v>
      </c>
      <c r="M1206" s="2" t="n">
        <v>0.489</v>
      </c>
      <c r="N1206" s="2" t="n">
        <v>10.772</v>
      </c>
      <c r="O1206" s="2" t="n">
        <v>10.616</v>
      </c>
      <c r="P1206" s="7" t="n">
        <v>10.625</v>
      </c>
    </row>
    <row r="1207" ht="15.75" customHeight="1" s="613" thickBot="1">
      <c r="A1207" s="6" t="n">
        <v>11.75</v>
      </c>
      <c r="B1207" s="2" t="n">
        <v>60</v>
      </c>
      <c r="C1207" s="2" t="inlineStr">
        <is>
          <t>J-55</t>
        </is>
      </c>
      <c r="D1207" s="2" t="n">
        <v>2660</v>
      </c>
      <c r="E1207" s="2" t="n">
        <v>4010</v>
      </c>
      <c r="F1207" s="2" t="n"/>
      <c r="G1207" s="2" t="n"/>
      <c r="H1207" s="2" t="n"/>
      <c r="I1207" s="2" t="inlineStr">
        <is>
          <t>BTC</t>
        </is>
      </c>
      <c r="J1207" s="2" t="n">
        <v>1042</v>
      </c>
      <c r="K1207" s="2" t="n"/>
      <c r="L1207" s="2" t="n">
        <v>952</v>
      </c>
      <c r="M1207" s="2" t="n">
        <v>0.489</v>
      </c>
      <c r="N1207" s="2" t="n">
        <v>10.772</v>
      </c>
      <c r="O1207" s="2" t="n">
        <v>10.616</v>
      </c>
      <c r="P1207" s="7" t="n">
        <v>10.625</v>
      </c>
    </row>
    <row r="1208" ht="15.75" customHeight="1" s="613" thickBot="1">
      <c r="A1208" s="8" t="n">
        <v>11.75</v>
      </c>
      <c r="B1208" s="1" t="n">
        <v>60</v>
      </c>
      <c r="C1208" s="1" t="inlineStr">
        <is>
          <t>K-55</t>
        </is>
      </c>
      <c r="D1208" s="1" t="n">
        <v>2660</v>
      </c>
      <c r="E1208" s="1" t="n">
        <v>4010</v>
      </c>
      <c r="F1208" s="1" t="n"/>
      <c r="G1208" s="1" t="n"/>
      <c r="H1208" s="1" t="n"/>
      <c r="I1208" s="4" t="inlineStr">
        <is>
          <t>STC</t>
        </is>
      </c>
      <c r="J1208" s="1" t="n">
        <v>693</v>
      </c>
      <c r="K1208" s="1" t="n"/>
      <c r="L1208" s="1" t="n">
        <v>952</v>
      </c>
      <c r="M1208" s="1" t="n">
        <v>0.489</v>
      </c>
      <c r="N1208" s="1" t="n">
        <v>10.772</v>
      </c>
      <c r="O1208" s="1" t="n">
        <v>10.616</v>
      </c>
      <c r="P1208" s="9" t="n">
        <v>10.625</v>
      </c>
    </row>
    <row r="1209">
      <c r="A1209" s="8" t="n">
        <v>11.75</v>
      </c>
      <c r="B1209" s="1" t="n">
        <v>60</v>
      </c>
      <c r="C1209" s="1" t="inlineStr">
        <is>
          <t>K-55</t>
        </is>
      </c>
      <c r="D1209" s="1" t="n">
        <v>2660</v>
      </c>
      <c r="E1209" s="1" t="n">
        <v>4010</v>
      </c>
      <c r="F1209" s="1" t="n"/>
      <c r="G1209" s="1" t="n"/>
      <c r="H1209" s="1" t="n"/>
      <c r="I1209" s="4" t="inlineStr">
        <is>
          <t>BTC</t>
        </is>
      </c>
      <c r="J1209" s="1" t="n">
        <v>1208</v>
      </c>
      <c r="K1209" s="1" t="n"/>
      <c r="L1209" s="1" t="n">
        <v>952</v>
      </c>
      <c r="M1209" s="1" t="n">
        <v>0.489</v>
      </c>
      <c r="N1209" s="1" t="n">
        <v>10.772</v>
      </c>
      <c r="O1209" s="1" t="n">
        <v>10.616</v>
      </c>
      <c r="P1209" s="9" t="n">
        <v>10.625</v>
      </c>
    </row>
    <row r="1210">
      <c r="A1210" s="6" t="n">
        <v>11.75</v>
      </c>
      <c r="B1210" s="2" t="n">
        <v>60</v>
      </c>
      <c r="C1210" s="2" t="inlineStr">
        <is>
          <t>HCK-55</t>
        </is>
      </c>
      <c r="D1210" s="2" t="n">
        <v>4360</v>
      </c>
      <c r="E1210" s="2" t="n">
        <v>4010</v>
      </c>
      <c r="F1210" s="2" t="n"/>
      <c r="G1210" s="2" t="n"/>
      <c r="H1210" s="2" t="n"/>
      <c r="I1210" s="2" t="inlineStr">
        <is>
          <t>STC</t>
        </is>
      </c>
      <c r="J1210" s="2" t="n">
        <v>869</v>
      </c>
      <c r="K1210" s="2" t="n"/>
      <c r="L1210" s="2" t="n">
        <v>952</v>
      </c>
      <c r="M1210" s="2" t="n">
        <v>0.489</v>
      </c>
      <c r="N1210" s="2" t="n">
        <v>10.772</v>
      </c>
      <c r="O1210" s="2" t="n">
        <v>10.616</v>
      </c>
      <c r="P1210" s="7" t="n">
        <v>10.625</v>
      </c>
    </row>
    <row r="1211" ht="15.75" customHeight="1" s="613" thickBot="1">
      <c r="A1211" s="6" t="n">
        <v>11.75</v>
      </c>
      <c r="B1211" s="2" t="n">
        <v>60</v>
      </c>
      <c r="C1211" s="2" t="inlineStr">
        <is>
          <t>HCK-55</t>
        </is>
      </c>
      <c r="D1211" s="2" t="n">
        <v>4360</v>
      </c>
      <c r="E1211" s="2" t="n">
        <v>4010</v>
      </c>
      <c r="F1211" s="2" t="n"/>
      <c r="G1211" s="2" t="n"/>
      <c r="H1211" s="2" t="n"/>
      <c r="I1211" s="2" t="inlineStr">
        <is>
          <t>BTC</t>
        </is>
      </c>
      <c r="J1211" s="2" t="n">
        <v>1361</v>
      </c>
      <c r="K1211" s="2" t="n"/>
      <c r="L1211" s="2" t="n">
        <v>952</v>
      </c>
      <c r="M1211" s="2" t="n">
        <v>0.489</v>
      </c>
      <c r="N1211" s="2" t="n">
        <v>10.772</v>
      </c>
      <c r="O1211" s="2" t="n">
        <v>10.616</v>
      </c>
      <c r="P1211" s="7" t="n">
        <v>10.625</v>
      </c>
    </row>
    <row r="1212" ht="15.75" customHeight="1" s="613" thickBot="1">
      <c r="A1212" s="8" t="n">
        <v>11.75</v>
      </c>
      <c r="B1212" s="1" t="n">
        <v>60</v>
      </c>
      <c r="C1212" s="1" t="inlineStr">
        <is>
          <t>L-80</t>
        </is>
      </c>
      <c r="D1212" s="1" t="n">
        <v>3180</v>
      </c>
      <c r="E1212" s="1" t="n">
        <v>5830</v>
      </c>
      <c r="F1212" s="1" t="n"/>
      <c r="G1212" s="1" t="n"/>
      <c r="H1212" s="1" t="n"/>
      <c r="I1212" s="4" t="inlineStr">
        <is>
          <t>STC</t>
        </is>
      </c>
      <c r="J1212" s="1" t="n">
        <v>913</v>
      </c>
      <c r="K1212" s="1" t="n"/>
      <c r="L1212" s="1" t="n">
        <v>1384</v>
      </c>
      <c r="M1212" s="1" t="n">
        <v>0.489</v>
      </c>
      <c r="N1212" s="1" t="n">
        <v>10.772</v>
      </c>
      <c r="O1212" s="1" t="n">
        <v>10.616</v>
      </c>
      <c r="P1212" s="9" t="n">
        <v>10.625</v>
      </c>
    </row>
    <row r="1213">
      <c r="A1213" s="8" t="n">
        <v>11.75</v>
      </c>
      <c r="B1213" s="1" t="n">
        <v>60</v>
      </c>
      <c r="C1213" s="1" t="inlineStr">
        <is>
          <t>L-80</t>
        </is>
      </c>
      <c r="D1213" s="1" t="n">
        <v>3180</v>
      </c>
      <c r="E1213" s="1" t="n">
        <v>5830</v>
      </c>
      <c r="F1213" s="1" t="n"/>
      <c r="G1213" s="1" t="n"/>
      <c r="H1213" s="1" t="n"/>
      <c r="I1213" s="4" t="inlineStr">
        <is>
          <t>BTC</t>
        </is>
      </c>
      <c r="J1213" s="1" t="n">
        <v>1399</v>
      </c>
      <c r="K1213" s="1" t="n"/>
      <c r="L1213" s="1" t="n">
        <v>1384</v>
      </c>
      <c r="M1213" s="1" t="n">
        <v>0.489</v>
      </c>
      <c r="N1213" s="1" t="n">
        <v>10.772</v>
      </c>
      <c r="O1213" s="1" t="n">
        <v>10.616</v>
      </c>
      <c r="P1213" s="9" t="n">
        <v>10.625</v>
      </c>
    </row>
    <row r="1214">
      <c r="A1214" s="6" t="n">
        <v>11.75</v>
      </c>
      <c r="B1214" s="2" t="n">
        <v>60</v>
      </c>
      <c r="C1214" s="2" t="inlineStr">
        <is>
          <t>HCL-80</t>
        </is>
      </c>
      <c r="D1214" s="2" t="n">
        <v>4410</v>
      </c>
      <c r="E1214" s="2" t="n">
        <v>5830</v>
      </c>
      <c r="F1214" s="2" t="n"/>
      <c r="G1214" s="2" t="n"/>
      <c r="H1214" s="2" t="n"/>
      <c r="I1214" s="2" t="inlineStr">
        <is>
          <t>STC</t>
        </is>
      </c>
      <c r="J1214" s="2" t="n">
        <v>1055</v>
      </c>
      <c r="K1214" s="2" t="n"/>
      <c r="L1214" s="2" t="n">
        <v>1384</v>
      </c>
      <c r="M1214" s="2" t="n">
        <v>0.489</v>
      </c>
      <c r="N1214" s="2" t="n">
        <v>10.772</v>
      </c>
      <c r="O1214" s="2" t="n">
        <v>10.616</v>
      </c>
      <c r="P1214" s="7" t="n">
        <v>10.625</v>
      </c>
    </row>
    <row r="1215" ht="15.75" customHeight="1" s="613" thickBot="1">
      <c r="A1215" s="6" t="n">
        <v>11.75</v>
      </c>
      <c r="B1215" s="2" t="n">
        <v>60</v>
      </c>
      <c r="C1215" s="2" t="inlineStr">
        <is>
          <t>HCL-80</t>
        </is>
      </c>
      <c r="D1215" s="2" t="n">
        <v>4410</v>
      </c>
      <c r="E1215" s="2" t="n">
        <v>5830</v>
      </c>
      <c r="F1215" s="2" t="n"/>
      <c r="G1215" s="2" t="n"/>
      <c r="H1215" s="2" t="n"/>
      <c r="I1215" s="2" t="inlineStr">
        <is>
          <t>BTC</t>
        </is>
      </c>
      <c r="J1215" s="2" t="n">
        <v>1555</v>
      </c>
      <c r="K1215" s="2" t="n"/>
      <c r="L1215" s="2" t="n">
        <v>1384</v>
      </c>
      <c r="M1215" s="2" t="n">
        <v>0.489</v>
      </c>
      <c r="N1215" s="2" t="n">
        <v>10.772</v>
      </c>
      <c r="O1215" s="2" t="n">
        <v>10.616</v>
      </c>
      <c r="P1215" s="7" t="n">
        <v>10.625</v>
      </c>
    </row>
    <row r="1216" ht="15.75" customHeight="1" s="613" thickBot="1">
      <c r="A1216" s="8" t="n">
        <v>11.75</v>
      </c>
      <c r="B1216" s="1" t="n">
        <v>60</v>
      </c>
      <c r="C1216" s="1" t="inlineStr">
        <is>
          <t>N-80</t>
        </is>
      </c>
      <c r="D1216" s="1" t="n">
        <v>3180</v>
      </c>
      <c r="E1216" s="1" t="n">
        <v>5830</v>
      </c>
      <c r="F1216" s="1" t="n"/>
      <c r="G1216" s="1" t="n"/>
      <c r="H1216" s="1" t="n"/>
      <c r="I1216" s="4" t="inlineStr">
        <is>
          <t>STC</t>
        </is>
      </c>
      <c r="J1216" s="1" t="n">
        <v>924</v>
      </c>
      <c r="K1216" s="1" t="n"/>
      <c r="L1216" s="1" t="n">
        <v>1384</v>
      </c>
      <c r="M1216" s="1" t="n">
        <v>0.489</v>
      </c>
      <c r="N1216" s="1" t="n">
        <v>10.772</v>
      </c>
      <c r="O1216" s="1" t="n">
        <v>10.616</v>
      </c>
      <c r="P1216" s="9" t="n">
        <v>10.625</v>
      </c>
    </row>
    <row r="1217">
      <c r="A1217" s="8" t="n">
        <v>11.75</v>
      </c>
      <c r="B1217" s="1" t="n">
        <v>60</v>
      </c>
      <c r="C1217" s="1" t="inlineStr">
        <is>
          <t>N-80</t>
        </is>
      </c>
      <c r="D1217" s="1" t="n">
        <v>3180</v>
      </c>
      <c r="E1217" s="1" t="n">
        <v>5830</v>
      </c>
      <c r="F1217" s="1" t="n"/>
      <c r="G1217" s="1" t="n"/>
      <c r="H1217" s="1" t="n"/>
      <c r="I1217" s="4" t="inlineStr">
        <is>
          <t>BTC</t>
        </is>
      </c>
      <c r="J1217" s="1" t="n">
        <v>1440</v>
      </c>
      <c r="K1217" s="1" t="n"/>
      <c r="L1217" s="1" t="n">
        <v>1384</v>
      </c>
      <c r="M1217" s="1" t="n">
        <v>0.489</v>
      </c>
      <c r="N1217" s="1" t="n">
        <v>10.772</v>
      </c>
      <c r="O1217" s="1" t="n">
        <v>10.616</v>
      </c>
      <c r="P1217" s="9" t="n">
        <v>10.625</v>
      </c>
    </row>
    <row r="1218">
      <c r="A1218" s="6" t="n">
        <v>11.75</v>
      </c>
      <c r="B1218" s="2" t="n">
        <v>60</v>
      </c>
      <c r="C1218" s="2" t="inlineStr">
        <is>
          <t>HCN-80</t>
        </is>
      </c>
      <c r="D1218" s="2" t="n">
        <v>4410</v>
      </c>
      <c r="E1218" s="2" t="n">
        <v>5830</v>
      </c>
      <c r="F1218" s="2" t="n"/>
      <c r="G1218" s="2" t="n"/>
      <c r="H1218" s="2" t="n"/>
      <c r="I1218" s="2" t="inlineStr">
        <is>
          <t>STC</t>
        </is>
      </c>
      <c r="J1218" s="2" t="n">
        <v>1055</v>
      </c>
      <c r="K1218" s="2" t="n"/>
      <c r="L1218" s="2" t="n">
        <v>1384</v>
      </c>
      <c r="M1218" s="2" t="n">
        <v>0.489</v>
      </c>
      <c r="N1218" s="2" t="n">
        <v>10.772</v>
      </c>
      <c r="O1218" s="2" t="n">
        <v>10.616</v>
      </c>
      <c r="P1218" s="7" t="n">
        <v>10.625</v>
      </c>
    </row>
    <row r="1219" ht="15.75" customHeight="1" s="613" thickBot="1">
      <c r="A1219" s="6" t="n">
        <v>11.75</v>
      </c>
      <c r="B1219" s="2" t="n">
        <v>60</v>
      </c>
      <c r="C1219" s="2" t="inlineStr">
        <is>
          <t>HCN-80</t>
        </is>
      </c>
      <c r="D1219" s="2" t="n">
        <v>4410</v>
      </c>
      <c r="E1219" s="2" t="n">
        <v>5830</v>
      </c>
      <c r="F1219" s="2" t="n"/>
      <c r="G1219" s="2" t="n"/>
      <c r="H1219" s="2" t="n"/>
      <c r="I1219" s="2" t="inlineStr">
        <is>
          <t>BTC</t>
        </is>
      </c>
      <c r="J1219" s="2" t="n">
        <v>1555</v>
      </c>
      <c r="K1219" s="2" t="n"/>
      <c r="L1219" s="2" t="n">
        <v>1384</v>
      </c>
      <c r="M1219" s="2" t="n">
        <v>0.489</v>
      </c>
      <c r="N1219" s="2" t="n">
        <v>10.772</v>
      </c>
      <c r="O1219" s="2" t="n">
        <v>10.616</v>
      </c>
      <c r="P1219" s="7" t="n">
        <v>10.625</v>
      </c>
    </row>
    <row r="1220" ht="15.75" customHeight="1" s="613" thickBot="1">
      <c r="A1220" s="8" t="n">
        <v>11.75</v>
      </c>
      <c r="B1220" s="1" t="n">
        <v>60</v>
      </c>
      <c r="C1220" s="1" t="inlineStr">
        <is>
          <t>C-90</t>
        </is>
      </c>
      <c r="D1220" s="1" t="n">
        <v>3360</v>
      </c>
      <c r="E1220" s="1" t="n">
        <v>6550</v>
      </c>
      <c r="F1220" s="1" t="n"/>
      <c r="G1220" s="1" t="n"/>
      <c r="H1220" s="1" t="n"/>
      <c r="I1220" s="4" t="inlineStr">
        <is>
          <t>STC</t>
        </is>
      </c>
      <c r="J1220" s="1" t="n">
        <v>1011</v>
      </c>
      <c r="K1220" s="1" t="n"/>
      <c r="L1220" s="1" t="n">
        <v>1557</v>
      </c>
      <c r="M1220" s="1" t="n">
        <v>0.489</v>
      </c>
      <c r="N1220" s="1" t="n">
        <v>10.772</v>
      </c>
      <c r="O1220" s="1" t="n">
        <v>10.616</v>
      </c>
      <c r="P1220" s="9" t="n">
        <v>10.625</v>
      </c>
    </row>
    <row r="1221">
      <c r="A1221" s="8" t="n">
        <v>11.75</v>
      </c>
      <c r="B1221" s="1" t="n">
        <v>60</v>
      </c>
      <c r="C1221" s="1" t="inlineStr">
        <is>
          <t>C-90</t>
        </is>
      </c>
      <c r="D1221" s="1" t="n">
        <v>3360</v>
      </c>
      <c r="E1221" s="1" t="n">
        <v>6550</v>
      </c>
      <c r="F1221" s="1" t="n"/>
      <c r="G1221" s="1" t="n"/>
      <c r="H1221" s="1" t="n"/>
      <c r="I1221" s="4" t="inlineStr">
        <is>
          <t>BTC</t>
        </is>
      </c>
      <c r="J1221" s="1" t="n">
        <v>1517</v>
      </c>
      <c r="K1221" s="1" t="n"/>
      <c r="L1221" s="1" t="n">
        <v>1557</v>
      </c>
      <c r="M1221" s="1" t="n">
        <v>0.489</v>
      </c>
      <c r="N1221" s="1" t="n">
        <v>10.772</v>
      </c>
      <c r="O1221" s="1" t="n">
        <v>10.616</v>
      </c>
      <c r="P1221" s="9" t="n">
        <v>10.625</v>
      </c>
    </row>
    <row r="1222">
      <c r="A1222" s="6" t="n">
        <v>11.75</v>
      </c>
      <c r="B1222" s="2" t="n">
        <v>60</v>
      </c>
      <c r="C1222" s="2" t="inlineStr">
        <is>
          <t>H2S-90</t>
        </is>
      </c>
      <c r="D1222" s="2" t="n">
        <v>4410</v>
      </c>
      <c r="E1222" s="2" t="n">
        <v>6550</v>
      </c>
      <c r="F1222" s="2" t="n"/>
      <c r="G1222" s="2" t="n"/>
      <c r="H1222" s="2" t="n"/>
      <c r="I1222" s="2" t="inlineStr">
        <is>
          <t>STC</t>
        </is>
      </c>
      <c r="J1222" s="2" t="n">
        <v>1055</v>
      </c>
      <c r="K1222" s="2" t="n"/>
      <c r="L1222" s="2" t="n">
        <v>1557</v>
      </c>
      <c r="M1222" s="2" t="n">
        <v>0.489</v>
      </c>
      <c r="N1222" s="2" t="n">
        <v>10.772</v>
      </c>
      <c r="O1222" s="2" t="n">
        <v>10.616</v>
      </c>
      <c r="P1222" s="7" t="n">
        <v>10.625</v>
      </c>
    </row>
    <row r="1223" ht="15.75" customHeight="1" s="613" thickBot="1">
      <c r="A1223" s="6" t="n">
        <v>11.75</v>
      </c>
      <c r="B1223" s="2" t="n">
        <v>60</v>
      </c>
      <c r="C1223" s="2" t="inlineStr">
        <is>
          <t>H2S-90</t>
        </is>
      </c>
      <c r="D1223" s="2" t="n">
        <v>4410</v>
      </c>
      <c r="E1223" s="2" t="n">
        <v>6550</v>
      </c>
      <c r="F1223" s="2" t="n"/>
      <c r="G1223" s="2" t="n"/>
      <c r="H1223" s="2" t="n"/>
      <c r="I1223" s="2" t="inlineStr">
        <is>
          <t>BTC</t>
        </is>
      </c>
      <c r="J1223" s="2" t="n">
        <v>1555</v>
      </c>
      <c r="K1223" s="2" t="n"/>
      <c r="L1223" s="2" t="n">
        <v>1557</v>
      </c>
      <c r="M1223" s="2" t="n">
        <v>0.489</v>
      </c>
      <c r="N1223" s="2" t="n">
        <v>10.772</v>
      </c>
      <c r="O1223" s="2" t="n">
        <v>10.616</v>
      </c>
      <c r="P1223" s="7" t="n">
        <v>10.625</v>
      </c>
    </row>
    <row r="1224" ht="15.75" customHeight="1" s="613" thickBot="1">
      <c r="A1224" s="8" t="n">
        <v>11.75</v>
      </c>
      <c r="B1224" s="1" t="n">
        <v>60</v>
      </c>
      <c r="C1224" s="1" t="inlineStr">
        <is>
          <t>S-95</t>
        </is>
      </c>
      <c r="D1224" s="1" t="n">
        <v>4410</v>
      </c>
      <c r="E1224" s="1" t="n">
        <v>6920</v>
      </c>
      <c r="F1224" s="1" t="n"/>
      <c r="G1224" s="1" t="n"/>
      <c r="H1224" s="1" t="n"/>
      <c r="I1224" s="4" t="inlineStr">
        <is>
          <t>STC</t>
        </is>
      </c>
      <c r="J1224" s="1" t="n">
        <v>1077</v>
      </c>
      <c r="K1224" s="1" t="n"/>
      <c r="L1224" s="1" t="n">
        <v>1644</v>
      </c>
      <c r="M1224" s="1" t="n">
        <v>0.489</v>
      </c>
      <c r="N1224" s="1" t="n">
        <v>10.772</v>
      </c>
      <c r="O1224" s="1" t="n">
        <v>10.616</v>
      </c>
      <c r="P1224" s="9" t="n">
        <v>10.625</v>
      </c>
    </row>
    <row r="1225">
      <c r="A1225" s="8" t="n">
        <v>11.75</v>
      </c>
      <c r="B1225" s="1" t="n">
        <v>60</v>
      </c>
      <c r="C1225" s="1" t="inlineStr">
        <is>
          <t>S-95</t>
        </is>
      </c>
      <c r="D1225" s="1" t="n">
        <v>4410</v>
      </c>
      <c r="E1225" s="1" t="n">
        <v>6920</v>
      </c>
      <c r="F1225" s="1" t="n"/>
      <c r="G1225" s="1" t="n"/>
      <c r="H1225" s="1" t="n"/>
      <c r="I1225" s="4" t="inlineStr">
        <is>
          <t>BTC</t>
        </is>
      </c>
      <c r="J1225" s="1" t="n">
        <v>1638</v>
      </c>
      <c r="K1225" s="1" t="n"/>
      <c r="L1225" s="1" t="n">
        <v>1644</v>
      </c>
      <c r="M1225" s="1" t="n">
        <v>0.489</v>
      </c>
      <c r="N1225" s="1" t="n">
        <v>10.772</v>
      </c>
      <c r="O1225" s="1" t="n">
        <v>10.616</v>
      </c>
      <c r="P1225" s="9" t="n">
        <v>10.625</v>
      </c>
    </row>
    <row r="1226">
      <c r="A1226" s="6" t="n">
        <v>11.75</v>
      </c>
      <c r="B1226" s="2" t="n">
        <v>60</v>
      </c>
      <c r="C1226" s="2" t="inlineStr">
        <is>
          <t>T-95</t>
        </is>
      </c>
      <c r="D1226" s="2" t="n">
        <v>3440</v>
      </c>
      <c r="E1226" s="2" t="n">
        <v>6920</v>
      </c>
      <c r="F1226" s="2" t="n"/>
      <c r="G1226" s="2" t="n"/>
      <c r="H1226" s="2" t="n"/>
      <c r="I1226" s="2" t="inlineStr">
        <is>
          <t>STC</t>
        </is>
      </c>
      <c r="J1226" s="2" t="n">
        <v>1066</v>
      </c>
      <c r="K1226" s="2" t="n"/>
      <c r="L1226" s="2" t="n">
        <v>1644</v>
      </c>
      <c r="M1226" s="2" t="n">
        <v>0.489</v>
      </c>
      <c r="N1226" s="2" t="n">
        <v>10.772</v>
      </c>
      <c r="O1226" s="2" t="n">
        <v>10.616</v>
      </c>
      <c r="P1226" s="7" t="n">
        <v>10.625</v>
      </c>
    </row>
    <row r="1227" ht="15.75" customHeight="1" s="613" thickBot="1">
      <c r="A1227" s="6" t="n">
        <v>11.75</v>
      </c>
      <c r="B1227" s="2" t="n">
        <v>60</v>
      </c>
      <c r="C1227" s="2" t="inlineStr">
        <is>
          <t>T-95</t>
        </is>
      </c>
      <c r="D1227" s="2" t="n">
        <v>3440</v>
      </c>
      <c r="E1227" s="2" t="n">
        <v>6920</v>
      </c>
      <c r="F1227" s="2" t="n"/>
      <c r="G1227" s="2" t="n"/>
      <c r="H1227" s="2" t="n"/>
      <c r="I1227" s="2" t="inlineStr">
        <is>
          <t>BTC</t>
        </is>
      </c>
      <c r="J1227" s="2" t="n">
        <v>1596</v>
      </c>
      <c r="K1227" s="2" t="n"/>
      <c r="L1227" s="2" t="n">
        <v>1644</v>
      </c>
      <c r="M1227" s="2" t="n">
        <v>0.489</v>
      </c>
      <c r="N1227" s="2" t="n">
        <v>10.772</v>
      </c>
      <c r="O1227" s="2" t="n">
        <v>10.616</v>
      </c>
      <c r="P1227" s="7" t="n">
        <v>10.625</v>
      </c>
    </row>
    <row r="1228" ht="15.75" customHeight="1" s="613" thickBot="1">
      <c r="A1228" s="8" t="n">
        <v>11.75</v>
      </c>
      <c r="B1228" s="1" t="n">
        <v>60</v>
      </c>
      <c r="C1228" s="1" t="inlineStr">
        <is>
          <t>H2S-95</t>
        </is>
      </c>
      <c r="D1228" s="1" t="n">
        <v>4410</v>
      </c>
      <c r="E1228" s="1" t="n">
        <v>6920</v>
      </c>
      <c r="F1228" s="1" t="n"/>
      <c r="G1228" s="1" t="n"/>
      <c r="H1228" s="1" t="n"/>
      <c r="I1228" s="4" t="inlineStr">
        <is>
          <t>STC</t>
        </is>
      </c>
      <c r="J1228" s="1" t="n">
        <v>1066</v>
      </c>
      <c r="K1228" s="1" t="n"/>
      <c r="L1228" s="1" t="n">
        <v>1644</v>
      </c>
      <c r="M1228" s="1" t="n">
        <v>0.489</v>
      </c>
      <c r="N1228" s="1" t="n">
        <v>10.772</v>
      </c>
      <c r="O1228" s="1" t="n">
        <v>10.616</v>
      </c>
      <c r="P1228" s="9" t="n">
        <v>10.625</v>
      </c>
    </row>
    <row r="1229">
      <c r="A1229" s="8" t="n">
        <v>11.75</v>
      </c>
      <c r="B1229" s="1" t="n">
        <v>60</v>
      </c>
      <c r="C1229" s="1" t="inlineStr">
        <is>
          <t>H2S-95</t>
        </is>
      </c>
      <c r="D1229" s="1" t="n">
        <v>4410</v>
      </c>
      <c r="E1229" s="1" t="n">
        <v>6920</v>
      </c>
      <c r="F1229" s="1" t="n"/>
      <c r="G1229" s="1" t="n"/>
      <c r="H1229" s="1" t="n"/>
      <c r="I1229" s="4" t="inlineStr">
        <is>
          <t>BTC</t>
        </is>
      </c>
      <c r="J1229" s="1" t="n">
        <v>1596</v>
      </c>
      <c r="K1229" s="1" t="n"/>
      <c r="L1229" s="1" t="n">
        <v>1644</v>
      </c>
      <c r="M1229" s="1" t="n">
        <v>0.489</v>
      </c>
      <c r="N1229" s="1" t="n">
        <v>10.772</v>
      </c>
      <c r="O1229" s="1" t="n">
        <v>10.616</v>
      </c>
      <c r="P1229" s="9" t="n">
        <v>10.625</v>
      </c>
    </row>
    <row r="1230">
      <c r="A1230" s="6" t="n">
        <v>11.75</v>
      </c>
      <c r="B1230" s="2" t="n">
        <v>60</v>
      </c>
      <c r="C1230" s="2" t="inlineStr">
        <is>
          <t>C-95</t>
        </is>
      </c>
      <c r="D1230" s="2" t="n">
        <v>3440</v>
      </c>
      <c r="E1230" s="2" t="n">
        <v>6920</v>
      </c>
      <c r="F1230" s="2" t="n"/>
      <c r="G1230" s="2" t="n"/>
      <c r="H1230" s="2" t="n"/>
      <c r="I1230" s="2" t="inlineStr">
        <is>
          <t>STC</t>
        </is>
      </c>
      <c r="J1230" s="2" t="n">
        <v>1066</v>
      </c>
      <c r="K1230" s="2" t="n"/>
      <c r="L1230" s="2" t="n">
        <v>1644</v>
      </c>
      <c r="M1230" s="2" t="n">
        <v>0.489</v>
      </c>
      <c r="N1230" s="2" t="n">
        <v>10.772</v>
      </c>
      <c r="O1230" s="2" t="n">
        <v>10.616</v>
      </c>
      <c r="P1230" s="7" t="n">
        <v>10.625</v>
      </c>
    </row>
    <row r="1231" ht="15.75" customHeight="1" s="613" thickBot="1">
      <c r="A1231" s="6" t="n">
        <v>11.75</v>
      </c>
      <c r="B1231" s="2" t="n">
        <v>60</v>
      </c>
      <c r="C1231" s="2" t="inlineStr">
        <is>
          <t>C-95</t>
        </is>
      </c>
      <c r="D1231" s="2" t="n">
        <v>3440</v>
      </c>
      <c r="E1231" s="2" t="n">
        <v>6920</v>
      </c>
      <c r="F1231" s="2" t="n"/>
      <c r="G1231" s="2" t="n"/>
      <c r="H1231" s="2" t="n"/>
      <c r="I1231" s="2" t="inlineStr">
        <is>
          <t>BTC</t>
        </is>
      </c>
      <c r="J1231" s="2" t="n">
        <v>1596</v>
      </c>
      <c r="K1231" s="2" t="n"/>
      <c r="L1231" s="2" t="n">
        <v>1644</v>
      </c>
      <c r="M1231" s="2" t="n">
        <v>0.489</v>
      </c>
      <c r="N1231" s="2" t="n">
        <v>10.772</v>
      </c>
      <c r="O1231" s="2" t="n">
        <v>10.616</v>
      </c>
      <c r="P1231" s="7" t="n">
        <v>10.625</v>
      </c>
    </row>
    <row r="1232" ht="15.75" customHeight="1" s="613" thickBot="1">
      <c r="A1232" s="8" t="n">
        <v>11.75</v>
      </c>
      <c r="B1232" s="1" t="n">
        <v>60</v>
      </c>
      <c r="C1232" s="1" t="inlineStr">
        <is>
          <t>HCP-110</t>
        </is>
      </c>
      <c r="D1232" s="1" t="n">
        <v>4410</v>
      </c>
      <c r="E1232" s="1" t="n">
        <v>8010</v>
      </c>
      <c r="F1232" s="1" t="n"/>
      <c r="G1232" s="1" t="n"/>
      <c r="H1232" s="1" t="n"/>
      <c r="I1232" s="4" t="inlineStr">
        <is>
          <t>STC</t>
        </is>
      </c>
      <c r="J1232" s="1" t="n">
        <v>1242</v>
      </c>
      <c r="K1232" s="1" t="n"/>
      <c r="L1232" s="1" t="n">
        <v>1903</v>
      </c>
      <c r="M1232" s="1" t="n">
        <v>0.489</v>
      </c>
      <c r="N1232" s="1" t="n">
        <v>10.772</v>
      </c>
      <c r="O1232" s="1" t="n">
        <v>10.616</v>
      </c>
      <c r="P1232" s="9" t="n">
        <v>10.625</v>
      </c>
    </row>
    <row r="1233">
      <c r="A1233" s="8" t="n">
        <v>11.75</v>
      </c>
      <c r="B1233" s="1" t="n">
        <v>60</v>
      </c>
      <c r="C1233" s="1" t="inlineStr">
        <is>
          <t>HCP-110</t>
        </is>
      </c>
      <c r="D1233" s="1" t="n">
        <v>4410</v>
      </c>
      <c r="E1233" s="1" t="n">
        <v>8010</v>
      </c>
      <c r="F1233" s="1" t="n"/>
      <c r="G1233" s="1" t="n"/>
      <c r="H1233" s="1" t="n"/>
      <c r="I1233" s="4" t="inlineStr">
        <is>
          <t>BTC</t>
        </is>
      </c>
      <c r="J1233" s="1" t="n">
        <v>1877</v>
      </c>
      <c r="K1233" s="1" t="n"/>
      <c r="L1233" s="1" t="n">
        <v>1903</v>
      </c>
      <c r="M1233" s="1" t="n">
        <v>0.489</v>
      </c>
      <c r="N1233" s="1" t="n">
        <v>10.772</v>
      </c>
      <c r="O1233" s="1" t="n">
        <v>10.616</v>
      </c>
      <c r="P1233" s="9" t="n">
        <v>10.625</v>
      </c>
    </row>
    <row r="1234">
      <c r="A1234" s="6" t="n">
        <v>11.75</v>
      </c>
      <c r="B1234" s="2" t="n">
        <v>60</v>
      </c>
      <c r="C1234" s="2" t="inlineStr">
        <is>
          <t>P-110</t>
        </is>
      </c>
      <c r="D1234" s="2" t="n">
        <v>3610</v>
      </c>
      <c r="E1234" s="2" t="n">
        <v>8010</v>
      </c>
      <c r="F1234" s="2" t="n"/>
      <c r="G1234" s="2" t="n"/>
      <c r="H1234" s="2" t="n"/>
      <c r="I1234" s="2" t="inlineStr">
        <is>
          <t>STC</t>
        </is>
      </c>
      <c r="J1234" s="2" t="n">
        <v>1242</v>
      </c>
      <c r="K1234" s="2" t="n"/>
      <c r="L1234" s="2" t="n">
        <v>1903</v>
      </c>
      <c r="M1234" s="2" t="n">
        <v>0.489</v>
      </c>
      <c r="N1234" s="2" t="n">
        <v>10.772</v>
      </c>
      <c r="O1234" s="2" t="n">
        <v>10.616</v>
      </c>
      <c r="P1234" s="7" t="n">
        <v>10.625</v>
      </c>
    </row>
    <row r="1235" ht="15.75" customHeight="1" s="613" thickBot="1">
      <c r="A1235" s="6" t="n">
        <v>11.75</v>
      </c>
      <c r="B1235" s="2" t="n">
        <v>60</v>
      </c>
      <c r="C1235" s="2" t="inlineStr">
        <is>
          <t>P-110</t>
        </is>
      </c>
      <c r="D1235" s="2" t="n">
        <v>3610</v>
      </c>
      <c r="E1235" s="2" t="n">
        <v>8010</v>
      </c>
      <c r="F1235" s="2" t="n"/>
      <c r="G1235" s="2" t="n"/>
      <c r="H1235" s="2" t="n"/>
      <c r="I1235" s="2" t="inlineStr">
        <is>
          <t>BTC</t>
        </is>
      </c>
      <c r="J1235" s="2" t="n">
        <v>1877</v>
      </c>
      <c r="K1235" s="2" t="n"/>
      <c r="L1235" s="2" t="n">
        <v>1903</v>
      </c>
      <c r="M1235" s="2" t="n">
        <v>0.489</v>
      </c>
      <c r="N1235" s="2" t="n">
        <v>10.772</v>
      </c>
      <c r="O1235" s="2" t="n">
        <v>10.616</v>
      </c>
      <c r="P1235" s="7" t="n">
        <v>10.625</v>
      </c>
    </row>
    <row r="1236" ht="15.75" customHeight="1" s="613" thickBot="1">
      <c r="A1236" s="8" t="n">
        <v>11.75</v>
      </c>
      <c r="B1236" s="1" t="n">
        <v>60</v>
      </c>
      <c r="C1236" s="1" t="inlineStr">
        <is>
          <t>HCQ-125</t>
        </is>
      </c>
      <c r="D1236" s="1" t="n">
        <v>4410</v>
      </c>
      <c r="E1236" s="1" t="n">
        <v>9100</v>
      </c>
      <c r="F1236" s="1" t="n"/>
      <c r="G1236" s="1" t="n"/>
      <c r="H1236" s="1" t="n"/>
      <c r="I1236" s="4" t="inlineStr">
        <is>
          <t>STC</t>
        </is>
      </c>
      <c r="J1236" s="1" t="n">
        <v>1396</v>
      </c>
      <c r="K1236" s="1" t="n"/>
      <c r="L1236" s="1" t="n">
        <v>2163</v>
      </c>
      <c r="M1236" s="1" t="n">
        <v>0.489</v>
      </c>
      <c r="N1236" s="1" t="n">
        <v>10.772</v>
      </c>
      <c r="O1236" s="1" t="n">
        <v>10.616</v>
      </c>
      <c r="P1236" s="9" t="n">
        <v>10.625</v>
      </c>
    </row>
    <row r="1237">
      <c r="A1237" s="8" t="n">
        <v>11.75</v>
      </c>
      <c r="B1237" s="1" t="n">
        <v>60</v>
      </c>
      <c r="C1237" s="1" t="inlineStr">
        <is>
          <t>HCQ-125</t>
        </is>
      </c>
      <c r="D1237" s="1" t="n">
        <v>4410</v>
      </c>
      <c r="E1237" s="1" t="n">
        <v>9100</v>
      </c>
      <c r="F1237" s="1" t="n"/>
      <c r="G1237" s="1" t="n"/>
      <c r="H1237" s="1" t="n"/>
      <c r="I1237" s="4" t="inlineStr">
        <is>
          <t>BTC</t>
        </is>
      </c>
      <c r="J1237" s="1" t="n">
        <v>2074</v>
      </c>
      <c r="K1237" s="1" t="n"/>
      <c r="L1237" s="1" t="n">
        <v>2163</v>
      </c>
      <c r="M1237" s="1" t="n">
        <v>0.489</v>
      </c>
      <c r="N1237" s="1" t="n">
        <v>10.772</v>
      </c>
      <c r="O1237" s="1" t="n">
        <v>10.616</v>
      </c>
      <c r="P1237" s="9" t="n">
        <v>10.625</v>
      </c>
    </row>
    <row r="1238">
      <c r="A1238" s="6" t="n">
        <v>11.75</v>
      </c>
      <c r="B1238" s="2" t="n">
        <v>60</v>
      </c>
      <c r="C1238" s="2" t="inlineStr">
        <is>
          <t>Q-125</t>
        </is>
      </c>
      <c r="D1238" s="2" t="n">
        <v>3680</v>
      </c>
      <c r="E1238" s="2" t="n">
        <v>9100</v>
      </c>
      <c r="F1238" s="2" t="n"/>
      <c r="G1238" s="2" t="n"/>
      <c r="H1238" s="2" t="n"/>
      <c r="I1238" s="2" t="inlineStr">
        <is>
          <t>STC</t>
        </is>
      </c>
      <c r="J1238" s="2" t="n">
        <v>1396</v>
      </c>
      <c r="K1238" s="2" t="n"/>
      <c r="L1238" s="2" t="n">
        <v>2163</v>
      </c>
      <c r="M1238" s="2" t="n">
        <v>0.489</v>
      </c>
      <c r="N1238" s="2" t="n">
        <v>10.772</v>
      </c>
      <c r="O1238" s="2" t="n">
        <v>10.616</v>
      </c>
      <c r="P1238" s="7" t="n">
        <v>10.625</v>
      </c>
    </row>
    <row r="1239" ht="15.75" customHeight="1" s="613" thickBot="1">
      <c r="A1239" s="6" t="n">
        <v>11.75</v>
      </c>
      <c r="B1239" s="2" t="n">
        <v>60</v>
      </c>
      <c r="C1239" s="2" t="inlineStr">
        <is>
          <t>Q-125</t>
        </is>
      </c>
      <c r="D1239" s="2" t="n">
        <v>3680</v>
      </c>
      <c r="E1239" s="2" t="n">
        <v>9100</v>
      </c>
      <c r="F1239" s="2" t="n"/>
      <c r="G1239" s="2" t="n"/>
      <c r="H1239" s="2" t="n"/>
      <c r="I1239" s="2" t="inlineStr">
        <is>
          <t>BTC</t>
        </is>
      </c>
      <c r="J1239" s="2" t="n">
        <v>2074</v>
      </c>
      <c r="K1239" s="2" t="n"/>
      <c r="L1239" s="2" t="n">
        <v>2163</v>
      </c>
      <c r="M1239" s="2" t="n">
        <v>0.489</v>
      </c>
      <c r="N1239" s="2" t="n">
        <v>10.772</v>
      </c>
      <c r="O1239" s="2" t="n">
        <v>10.616</v>
      </c>
      <c r="P1239" s="7" t="n">
        <v>10.625</v>
      </c>
    </row>
    <row r="1240" ht="15.75" customHeight="1" s="613" thickBot="1">
      <c r="A1240" s="8" t="n">
        <v>11.75</v>
      </c>
      <c r="B1240" s="1" t="n">
        <v>65</v>
      </c>
      <c r="C1240" s="1" t="inlineStr">
        <is>
          <t>L-80</t>
        </is>
      </c>
      <c r="D1240" s="1" t="n">
        <v>3870</v>
      </c>
      <c r="E1240" s="1" t="n">
        <v>6360</v>
      </c>
      <c r="F1240" s="1" t="n"/>
      <c r="G1240" s="1" t="n"/>
      <c r="H1240" s="1" t="n"/>
      <c r="I1240" s="4" t="inlineStr">
        <is>
          <t>STC</t>
        </is>
      </c>
      <c r="J1240" s="1" t="n">
        <v>1007</v>
      </c>
      <c r="K1240" s="1" t="n"/>
      <c r="L1240" s="1" t="n">
        <v>1505</v>
      </c>
      <c r="M1240" s="1" t="n">
        <v>0.534</v>
      </c>
      <c r="N1240" s="1" t="n">
        <v>10.682</v>
      </c>
      <c r="O1240" s="1" t="n">
        <v>10.526</v>
      </c>
      <c r="P1240" s="9" t="n">
        <v>10.625</v>
      </c>
    </row>
    <row r="1241">
      <c r="A1241" s="8" t="n">
        <v>11.75</v>
      </c>
      <c r="B1241" s="1" t="n">
        <v>65</v>
      </c>
      <c r="C1241" s="1" t="inlineStr">
        <is>
          <t>L-80</t>
        </is>
      </c>
      <c r="D1241" s="1" t="n">
        <v>3870</v>
      </c>
      <c r="E1241" s="1" t="n">
        <v>6360</v>
      </c>
      <c r="F1241" s="1" t="n"/>
      <c r="G1241" s="1" t="n"/>
      <c r="H1241" s="1" t="n"/>
      <c r="I1241" s="4" t="inlineStr">
        <is>
          <t>BTC</t>
        </is>
      </c>
      <c r="J1241" s="1" t="n">
        <v>1521</v>
      </c>
      <c r="K1241" s="1" t="n"/>
      <c r="L1241" s="1" t="n">
        <v>1505</v>
      </c>
      <c r="M1241" s="1" t="n">
        <v>0.534</v>
      </c>
      <c r="N1241" s="1" t="n">
        <v>10.682</v>
      </c>
      <c r="O1241" s="1" t="n">
        <v>10.526</v>
      </c>
      <c r="P1241" s="9" t="n">
        <v>10.625</v>
      </c>
    </row>
    <row r="1242">
      <c r="A1242" s="6" t="n">
        <v>11.75</v>
      </c>
      <c r="B1242" s="2" t="n">
        <v>65</v>
      </c>
      <c r="C1242" s="2" t="inlineStr">
        <is>
          <t>HCL-80</t>
        </is>
      </c>
      <c r="D1242" s="2" t="n">
        <v>5740</v>
      </c>
      <c r="E1242" s="2" t="n">
        <v>6360</v>
      </c>
      <c r="F1242" s="2" t="n"/>
      <c r="G1242" s="2" t="n"/>
      <c r="H1242" s="2" t="n"/>
      <c r="I1242" s="2" t="inlineStr">
        <is>
          <t>STC</t>
        </is>
      </c>
      <c r="J1242" s="2" t="n">
        <v>1152</v>
      </c>
      <c r="K1242" s="2" t="n"/>
      <c r="L1242" s="2" t="n">
        <v>1505</v>
      </c>
      <c r="M1242" s="2" t="n">
        <v>0.534</v>
      </c>
      <c r="N1242" s="2" t="n">
        <v>10.682</v>
      </c>
      <c r="O1242" s="2" t="n">
        <v>10.526</v>
      </c>
      <c r="P1242" s="7" t="n">
        <v>10.625</v>
      </c>
    </row>
    <row r="1243" ht="15.75" customHeight="1" s="613" thickBot="1">
      <c r="A1243" s="6" t="n">
        <v>11.75</v>
      </c>
      <c r="B1243" s="2" t="n">
        <v>65</v>
      </c>
      <c r="C1243" s="2" t="inlineStr">
        <is>
          <t>HCL-80</t>
        </is>
      </c>
      <c r="D1243" s="2" t="n">
        <v>5740</v>
      </c>
      <c r="E1243" s="2" t="n">
        <v>6360</v>
      </c>
      <c r="F1243" s="2" t="n"/>
      <c r="G1243" s="2" t="n"/>
      <c r="H1243" s="2" t="n"/>
      <c r="I1243" s="2" t="inlineStr">
        <is>
          <t>BTC</t>
        </is>
      </c>
      <c r="J1243" s="2" t="n">
        <v>1691</v>
      </c>
      <c r="K1243" s="2" t="n"/>
      <c r="L1243" s="2" t="n">
        <v>1505</v>
      </c>
      <c r="M1243" s="2" t="n">
        <v>0.534</v>
      </c>
      <c r="N1243" s="2" t="n">
        <v>10.682</v>
      </c>
      <c r="O1243" s="2" t="n">
        <v>10.526</v>
      </c>
      <c r="P1243" s="7" t="n">
        <v>10.625</v>
      </c>
    </row>
    <row r="1244" ht="15.75" customHeight="1" s="613" thickBot="1">
      <c r="A1244" s="8" t="n">
        <v>11.75</v>
      </c>
      <c r="B1244" s="1" t="n">
        <v>65</v>
      </c>
      <c r="C1244" s="1" t="inlineStr">
        <is>
          <t>N-80</t>
        </is>
      </c>
      <c r="D1244" s="1" t="n">
        <v>3870</v>
      </c>
      <c r="E1244" s="1" t="n">
        <v>6360</v>
      </c>
      <c r="F1244" s="1" t="n"/>
      <c r="G1244" s="1" t="n"/>
      <c r="H1244" s="1" t="n"/>
      <c r="I1244" s="4" t="inlineStr">
        <is>
          <t>STC</t>
        </is>
      </c>
      <c r="J1244" s="1" t="n">
        <v>1019</v>
      </c>
      <c r="K1244" s="1" t="n"/>
      <c r="L1244" s="1" t="n">
        <v>1505</v>
      </c>
      <c r="M1244" s="1" t="n">
        <v>0.534</v>
      </c>
      <c r="N1244" s="1" t="n">
        <v>10.682</v>
      </c>
      <c r="O1244" s="1" t="n">
        <v>10.526</v>
      </c>
      <c r="P1244" s="9" t="n">
        <v>10.625</v>
      </c>
    </row>
    <row r="1245">
      <c r="A1245" s="8" t="n">
        <v>11.75</v>
      </c>
      <c r="B1245" s="1" t="n">
        <v>65</v>
      </c>
      <c r="C1245" s="1" t="inlineStr">
        <is>
          <t>N-80</t>
        </is>
      </c>
      <c r="D1245" s="1" t="n">
        <v>3870</v>
      </c>
      <c r="E1245" s="1" t="n">
        <v>6360</v>
      </c>
      <c r="F1245" s="1" t="n"/>
      <c r="G1245" s="1" t="n"/>
      <c r="H1245" s="1" t="n"/>
      <c r="I1245" s="4" t="inlineStr">
        <is>
          <t>BTC</t>
        </is>
      </c>
      <c r="J1245" s="1" t="n">
        <v>1566</v>
      </c>
      <c r="K1245" s="1" t="n"/>
      <c r="L1245" s="1" t="n">
        <v>1505</v>
      </c>
      <c r="M1245" s="1" t="n">
        <v>0.534</v>
      </c>
      <c r="N1245" s="1" t="n">
        <v>10.682</v>
      </c>
      <c r="O1245" s="1" t="n">
        <v>10.526</v>
      </c>
      <c r="P1245" s="9" t="n">
        <v>10.625</v>
      </c>
    </row>
    <row r="1246">
      <c r="A1246" s="6" t="n">
        <v>11.75</v>
      </c>
      <c r="B1246" s="2" t="n">
        <v>65</v>
      </c>
      <c r="C1246" s="2" t="inlineStr">
        <is>
          <t>HCN-80</t>
        </is>
      </c>
      <c r="D1246" s="2" t="n">
        <v>5740</v>
      </c>
      <c r="E1246" s="2" t="n">
        <v>6360</v>
      </c>
      <c r="F1246" s="2" t="n"/>
      <c r="G1246" s="2" t="n"/>
      <c r="H1246" s="2" t="n"/>
      <c r="I1246" s="2" t="inlineStr">
        <is>
          <t>STC</t>
        </is>
      </c>
      <c r="J1246" s="2" t="n">
        <v>1164</v>
      </c>
      <c r="K1246" s="2" t="n"/>
      <c r="L1246" s="2" t="n">
        <v>1505</v>
      </c>
      <c r="M1246" s="2" t="n">
        <v>0.534</v>
      </c>
      <c r="N1246" s="2" t="n">
        <v>10.682</v>
      </c>
      <c r="O1246" s="2" t="n">
        <v>10.526</v>
      </c>
      <c r="P1246" s="7" t="n">
        <v>10.625</v>
      </c>
    </row>
    <row r="1247" ht="15.75" customHeight="1" s="613" thickBot="1">
      <c r="A1247" s="6" t="n">
        <v>11.75</v>
      </c>
      <c r="B1247" s="2" t="n">
        <v>65</v>
      </c>
      <c r="C1247" s="2" t="inlineStr">
        <is>
          <t>HCN-80</t>
        </is>
      </c>
      <c r="D1247" s="2" t="n">
        <v>5740</v>
      </c>
      <c r="E1247" s="2" t="n">
        <v>6360</v>
      </c>
      <c r="F1247" s="2" t="n"/>
      <c r="G1247" s="2" t="n"/>
      <c r="H1247" s="2" t="n"/>
      <c r="I1247" s="2" t="inlineStr">
        <is>
          <t>BTC</t>
        </is>
      </c>
      <c r="J1247" s="2" t="n">
        <v>1691</v>
      </c>
      <c r="K1247" s="2" t="n"/>
      <c r="L1247" s="2" t="n">
        <v>1505</v>
      </c>
      <c r="M1247" s="2" t="n">
        <v>0.534</v>
      </c>
      <c r="N1247" s="2" t="n">
        <v>10.682</v>
      </c>
      <c r="O1247" s="2" t="n">
        <v>10.526</v>
      </c>
      <c r="P1247" s="7" t="n">
        <v>10.625</v>
      </c>
    </row>
    <row r="1248" ht="15.75" customHeight="1" s="613" thickBot="1">
      <c r="A1248" s="8" t="n">
        <v>11.75</v>
      </c>
      <c r="B1248" s="1" t="n">
        <v>65</v>
      </c>
      <c r="C1248" s="1" t="inlineStr">
        <is>
          <t>H2S-90</t>
        </is>
      </c>
      <c r="D1248" s="1" t="n">
        <v>5140</v>
      </c>
      <c r="E1248" s="1" t="n">
        <v>7160</v>
      </c>
      <c r="F1248" s="1" t="n"/>
      <c r="G1248" s="1" t="n"/>
      <c r="H1248" s="1" t="n"/>
      <c r="I1248" s="4" t="inlineStr">
        <is>
          <t>STC</t>
        </is>
      </c>
      <c r="J1248" s="1" t="n">
        <v>1164</v>
      </c>
      <c r="K1248" s="1" t="n"/>
      <c r="L1248" s="1" t="n">
        <v>1639</v>
      </c>
      <c r="M1248" s="1" t="n">
        <v>0.534</v>
      </c>
      <c r="N1248" s="1" t="n">
        <v>10.682</v>
      </c>
      <c r="O1248" s="1" t="n">
        <v>10.526</v>
      </c>
      <c r="P1248" s="9" t="n">
        <v>10.625</v>
      </c>
    </row>
    <row r="1249">
      <c r="A1249" s="8" t="n">
        <v>11.75</v>
      </c>
      <c r="B1249" s="1" t="n">
        <v>65</v>
      </c>
      <c r="C1249" s="1" t="inlineStr">
        <is>
          <t>H2S-90</t>
        </is>
      </c>
      <c r="D1249" s="1" t="n">
        <v>5140</v>
      </c>
      <c r="E1249" s="1" t="n">
        <v>7160</v>
      </c>
      <c r="F1249" s="1" t="n"/>
      <c r="G1249" s="1" t="n"/>
      <c r="H1249" s="1" t="n"/>
      <c r="I1249" s="4" t="inlineStr">
        <is>
          <t>BTC</t>
        </is>
      </c>
      <c r="J1249" s="1" t="n">
        <v>1691</v>
      </c>
      <c r="K1249" s="1" t="n"/>
      <c r="L1249" s="1" t="n">
        <v>1639</v>
      </c>
      <c r="M1249" s="1" t="n">
        <v>0.534</v>
      </c>
      <c r="N1249" s="1" t="n">
        <v>10.682</v>
      </c>
      <c r="O1249" s="1" t="n">
        <v>10.526</v>
      </c>
      <c r="P1249" s="9" t="n">
        <v>10.625</v>
      </c>
    </row>
    <row r="1250">
      <c r="A1250" s="6" t="n">
        <v>11.75</v>
      </c>
      <c r="B1250" s="2" t="n">
        <v>65</v>
      </c>
      <c r="C1250" s="2" t="inlineStr">
        <is>
          <t>S-95</t>
        </is>
      </c>
      <c r="D1250" s="2" t="n">
        <v>5740</v>
      </c>
      <c r="E1250" s="2" t="n">
        <v>7560</v>
      </c>
      <c r="F1250" s="2" t="n"/>
      <c r="G1250" s="2" t="n"/>
      <c r="H1250" s="2" t="n"/>
      <c r="I1250" s="2" t="inlineStr">
        <is>
          <t>STC</t>
        </is>
      </c>
      <c r="J1250" s="2" t="n">
        <v>1189</v>
      </c>
      <c r="K1250" s="2" t="n"/>
      <c r="L1250" s="2" t="n">
        <v>1788</v>
      </c>
      <c r="M1250" s="2" t="n">
        <v>0.534</v>
      </c>
      <c r="N1250" s="2" t="n">
        <v>10.682</v>
      </c>
      <c r="O1250" s="2" t="n">
        <v>10.526</v>
      </c>
      <c r="P1250" s="7" t="n">
        <v>10.625</v>
      </c>
    </row>
    <row r="1251" ht="15.75" customHeight="1" s="613" thickBot="1">
      <c r="A1251" s="6" t="n">
        <v>11.75</v>
      </c>
      <c r="B1251" s="2" t="n">
        <v>65</v>
      </c>
      <c r="C1251" s="2" t="inlineStr">
        <is>
          <t>S-95</t>
        </is>
      </c>
      <c r="D1251" s="2" t="n">
        <v>5740</v>
      </c>
      <c r="E1251" s="2" t="n">
        <v>7560</v>
      </c>
      <c r="F1251" s="2" t="n"/>
      <c r="G1251" s="2" t="n"/>
      <c r="H1251" s="2" t="n"/>
      <c r="I1251" s="2" t="inlineStr">
        <is>
          <t>BTC</t>
        </is>
      </c>
      <c r="J1251" s="2" t="n">
        <v>1781</v>
      </c>
      <c r="K1251" s="2" t="n"/>
      <c r="L1251" s="2" t="n">
        <v>1788</v>
      </c>
      <c r="M1251" s="2" t="n">
        <v>0.534</v>
      </c>
      <c r="N1251" s="2" t="n">
        <v>10.682</v>
      </c>
      <c r="O1251" s="2" t="n">
        <v>10.526</v>
      </c>
      <c r="P1251" s="7" t="n">
        <v>10.625</v>
      </c>
    </row>
    <row r="1252" ht="15.75" customHeight="1" s="613" thickBot="1">
      <c r="A1252" s="8" t="n">
        <v>11.75</v>
      </c>
      <c r="B1252" s="1" t="n">
        <v>65</v>
      </c>
      <c r="C1252" s="1" t="inlineStr">
        <is>
          <t>H2S-95</t>
        </is>
      </c>
      <c r="D1252" s="1" t="n">
        <v>5740</v>
      </c>
      <c r="E1252" s="1" t="n">
        <v>7560</v>
      </c>
      <c r="F1252" s="1" t="n"/>
      <c r="G1252" s="1" t="n"/>
      <c r="H1252" s="1" t="n"/>
      <c r="I1252" s="4" t="inlineStr">
        <is>
          <t>STC</t>
        </is>
      </c>
      <c r="J1252" s="1" t="n">
        <v>1177</v>
      </c>
      <c r="K1252" s="1" t="n"/>
      <c r="L1252" s="1" t="n">
        <v>1788</v>
      </c>
      <c r="M1252" s="1" t="n">
        <v>0.534</v>
      </c>
      <c r="N1252" s="1" t="n">
        <v>10.682</v>
      </c>
      <c r="O1252" s="1" t="n">
        <v>10.526</v>
      </c>
      <c r="P1252" s="9" t="n">
        <v>10.625</v>
      </c>
    </row>
    <row r="1253">
      <c r="A1253" s="8" t="n">
        <v>11.75</v>
      </c>
      <c r="B1253" s="1" t="n">
        <v>65</v>
      </c>
      <c r="C1253" s="1" t="inlineStr">
        <is>
          <t>H2S-95</t>
        </is>
      </c>
      <c r="D1253" s="1" t="n">
        <v>5740</v>
      </c>
      <c r="E1253" s="1" t="n">
        <v>7560</v>
      </c>
      <c r="F1253" s="1" t="n"/>
      <c r="G1253" s="1" t="n"/>
      <c r="H1253" s="1" t="n"/>
      <c r="I1253" s="4" t="inlineStr">
        <is>
          <t>BTC</t>
        </is>
      </c>
      <c r="J1253" s="1" t="n">
        <v>1736</v>
      </c>
      <c r="K1253" s="1" t="n"/>
      <c r="L1253" s="1" t="n">
        <v>1788</v>
      </c>
      <c r="M1253" s="1" t="n">
        <v>0.534</v>
      </c>
      <c r="N1253" s="1" t="n">
        <v>10.682</v>
      </c>
      <c r="O1253" s="1" t="n">
        <v>10.526</v>
      </c>
      <c r="P1253" s="9" t="n">
        <v>10.625</v>
      </c>
    </row>
    <row r="1254">
      <c r="A1254" s="6" t="n">
        <v>11.75</v>
      </c>
      <c r="B1254" s="2" t="n">
        <v>65</v>
      </c>
      <c r="C1254" s="2" t="inlineStr">
        <is>
          <t>HCP-110</t>
        </is>
      </c>
      <c r="D1254" s="2" t="n">
        <v>5740</v>
      </c>
      <c r="E1254" s="2" t="n">
        <v>8750</v>
      </c>
      <c r="F1254" s="2" t="n"/>
      <c r="G1254" s="2" t="n"/>
      <c r="H1254" s="2" t="n"/>
      <c r="I1254" s="2" t="inlineStr">
        <is>
          <t>STC</t>
        </is>
      </c>
      <c r="J1254" s="2" t="n">
        <v>1371</v>
      </c>
      <c r="K1254" s="2" t="n"/>
      <c r="L1254" s="2" t="n">
        <v>2070</v>
      </c>
      <c r="M1254" s="2" t="n">
        <v>0.534</v>
      </c>
      <c r="N1254" s="2" t="n">
        <v>10.682</v>
      </c>
      <c r="O1254" s="2" t="n">
        <v>10.526</v>
      </c>
      <c r="P1254" s="7" t="n">
        <v>10.625</v>
      </c>
    </row>
    <row r="1255" ht="15.75" customHeight="1" s="613" thickBot="1">
      <c r="A1255" s="6" t="n">
        <v>11.75</v>
      </c>
      <c r="B1255" s="2" t="n">
        <v>65</v>
      </c>
      <c r="C1255" s="2" t="inlineStr">
        <is>
          <t>HCP-110</t>
        </is>
      </c>
      <c r="D1255" s="2" t="n">
        <v>5740</v>
      </c>
      <c r="E1255" s="2" t="n">
        <v>8750</v>
      </c>
      <c r="F1255" s="2" t="n"/>
      <c r="G1255" s="2" t="n"/>
      <c r="H1255" s="2" t="n"/>
      <c r="I1255" s="2" t="inlineStr">
        <is>
          <t>BTC</t>
        </is>
      </c>
      <c r="J1255" s="2" t="n">
        <v>2041</v>
      </c>
      <c r="K1255" s="2" t="n"/>
      <c r="L1255" s="2" t="n">
        <v>2070</v>
      </c>
      <c r="M1255" s="2" t="n">
        <v>0.534</v>
      </c>
      <c r="N1255" s="2" t="n">
        <v>10.682</v>
      </c>
      <c r="O1255" s="2" t="n">
        <v>10.526</v>
      </c>
      <c r="P1255" s="7" t="n">
        <v>10.625</v>
      </c>
    </row>
    <row r="1256" ht="15.75" customHeight="1" s="613" thickBot="1">
      <c r="A1256" s="8" t="n">
        <v>11.75</v>
      </c>
      <c r="B1256" s="1" t="n">
        <v>65</v>
      </c>
      <c r="C1256" s="1" t="inlineStr">
        <is>
          <t>P-110</t>
        </is>
      </c>
      <c r="D1256" s="1" t="n">
        <v>4480</v>
      </c>
      <c r="E1256" s="1" t="n">
        <v>8750</v>
      </c>
      <c r="F1256" s="1" t="n"/>
      <c r="G1256" s="1" t="n"/>
      <c r="H1256" s="1" t="n"/>
      <c r="I1256" s="4" t="inlineStr">
        <is>
          <t>STC</t>
        </is>
      </c>
      <c r="J1256" s="1" t="n">
        <v>1371</v>
      </c>
      <c r="K1256" s="1" t="n"/>
      <c r="L1256" s="1" t="n">
        <v>2070</v>
      </c>
      <c r="M1256" s="1" t="n">
        <v>0.534</v>
      </c>
      <c r="N1256" s="1" t="n">
        <v>10.682</v>
      </c>
      <c r="O1256" s="1" t="n">
        <v>10.526</v>
      </c>
      <c r="P1256" s="9" t="n">
        <v>10.625</v>
      </c>
    </row>
    <row r="1257">
      <c r="A1257" s="8" t="n">
        <v>11.75</v>
      </c>
      <c r="B1257" s="1" t="n">
        <v>65</v>
      </c>
      <c r="C1257" s="1" t="inlineStr">
        <is>
          <t>P-110</t>
        </is>
      </c>
      <c r="D1257" s="1" t="n">
        <v>4480</v>
      </c>
      <c r="E1257" s="1" t="n">
        <v>8750</v>
      </c>
      <c r="F1257" s="1" t="n"/>
      <c r="G1257" s="1" t="n"/>
      <c r="H1257" s="1" t="n"/>
      <c r="I1257" s="4" t="inlineStr">
        <is>
          <t>BTC</t>
        </is>
      </c>
      <c r="J1257" s="1" t="n">
        <v>2041</v>
      </c>
      <c r="K1257" s="1" t="n"/>
      <c r="L1257" s="1" t="n">
        <v>2070</v>
      </c>
      <c r="M1257" s="1" t="n">
        <v>0.534</v>
      </c>
      <c r="N1257" s="1" t="n">
        <v>10.682</v>
      </c>
      <c r="O1257" s="1" t="n">
        <v>10.526</v>
      </c>
      <c r="P1257" s="9" t="n">
        <v>10.625</v>
      </c>
    </row>
    <row r="1258">
      <c r="A1258" s="6" t="n">
        <v>11.75</v>
      </c>
      <c r="B1258" s="2" t="n">
        <v>65</v>
      </c>
      <c r="C1258" s="2" t="inlineStr">
        <is>
          <t>HCQ-125</t>
        </is>
      </c>
      <c r="D1258" s="2" t="n">
        <v>5740</v>
      </c>
      <c r="E1258" s="2" t="n">
        <v>9940</v>
      </c>
      <c r="F1258" s="2" t="n"/>
      <c r="G1258" s="2" t="n"/>
      <c r="H1258" s="2" t="n"/>
      <c r="I1258" s="2" t="inlineStr">
        <is>
          <t>STC</t>
        </is>
      </c>
      <c r="J1258" s="2" t="n">
        <v>1540</v>
      </c>
      <c r="K1258" s="2" t="n"/>
      <c r="L1258" s="2" t="n">
        <v>2352</v>
      </c>
      <c r="M1258" s="2" t="n">
        <v>0.534</v>
      </c>
      <c r="N1258" s="2" t="n">
        <v>10.682</v>
      </c>
      <c r="O1258" s="2" t="n">
        <v>10.526</v>
      </c>
      <c r="P1258" s="7" t="n">
        <v>10.625</v>
      </c>
    </row>
    <row r="1259" ht="15.75" customHeight="1" s="613" thickBot="1">
      <c r="A1259" s="6" t="n">
        <v>11.75</v>
      </c>
      <c r="B1259" s="2" t="n">
        <v>65</v>
      </c>
      <c r="C1259" s="2" t="inlineStr">
        <is>
          <t>HCQ-125</t>
        </is>
      </c>
      <c r="D1259" s="2" t="n">
        <v>5740</v>
      </c>
      <c r="E1259" s="2" t="n">
        <v>9940</v>
      </c>
      <c r="F1259" s="2" t="n"/>
      <c r="G1259" s="2" t="n"/>
      <c r="H1259" s="2" t="n"/>
      <c r="I1259" s="2" t="inlineStr">
        <is>
          <t>BTC</t>
        </is>
      </c>
      <c r="J1259" s="2" t="n">
        <v>2256</v>
      </c>
      <c r="K1259" s="2" t="n"/>
      <c r="L1259" s="2" t="n">
        <v>2352</v>
      </c>
      <c r="M1259" s="2" t="n">
        <v>0.534</v>
      </c>
      <c r="N1259" s="2" t="n">
        <v>10.682</v>
      </c>
      <c r="O1259" s="2" t="n">
        <v>10.526</v>
      </c>
      <c r="P1259" s="7" t="n">
        <v>10.625</v>
      </c>
    </row>
    <row r="1260" ht="15.75" customHeight="1" s="613" thickBot="1">
      <c r="A1260" s="8" t="n">
        <v>11.75</v>
      </c>
      <c r="B1260" s="1" t="n">
        <v>65</v>
      </c>
      <c r="C1260" s="1" t="inlineStr">
        <is>
          <t>Q-125</t>
        </is>
      </c>
      <c r="D1260" s="1" t="n">
        <v>4690</v>
      </c>
      <c r="E1260" s="1" t="n">
        <v>9940</v>
      </c>
      <c r="F1260" s="1" t="n"/>
      <c r="G1260" s="1" t="n"/>
      <c r="H1260" s="1" t="n"/>
      <c r="I1260" s="4" t="inlineStr">
        <is>
          <t>STC</t>
        </is>
      </c>
      <c r="J1260" s="1" t="n">
        <v>1540</v>
      </c>
      <c r="K1260" s="1" t="n"/>
      <c r="L1260" s="1" t="n">
        <v>2352</v>
      </c>
      <c r="M1260" s="1" t="n">
        <v>0.534</v>
      </c>
      <c r="N1260" s="1" t="n">
        <v>10.682</v>
      </c>
      <c r="O1260" s="1" t="n">
        <v>10.526</v>
      </c>
      <c r="P1260" s="9" t="n">
        <v>10.625</v>
      </c>
    </row>
    <row r="1261">
      <c r="A1261" s="8" t="n">
        <v>11.75</v>
      </c>
      <c r="B1261" s="1" t="n">
        <v>65</v>
      </c>
      <c r="C1261" s="1" t="inlineStr">
        <is>
          <t>Q-125</t>
        </is>
      </c>
      <c r="D1261" s="1" t="n">
        <v>4690</v>
      </c>
      <c r="E1261" s="1" t="n">
        <v>9940</v>
      </c>
      <c r="F1261" s="1" t="n"/>
      <c r="G1261" s="1" t="n"/>
      <c r="H1261" s="1" t="n"/>
      <c r="I1261" s="4" t="inlineStr">
        <is>
          <t>BTC</t>
        </is>
      </c>
      <c r="J1261" s="1" t="n">
        <v>2256</v>
      </c>
      <c r="K1261" s="1" t="n"/>
      <c r="L1261" s="1" t="n">
        <v>2352</v>
      </c>
      <c r="M1261" s="1" t="n">
        <v>0.534</v>
      </c>
      <c r="N1261" s="1" t="n">
        <v>10.682</v>
      </c>
      <c r="O1261" s="1" t="n">
        <v>10.526</v>
      </c>
      <c r="P1261" s="9" t="n">
        <v>10.625</v>
      </c>
    </row>
    <row r="1262">
      <c r="A1262" s="6" t="n">
        <v>11.75</v>
      </c>
      <c r="B1262" s="2" t="n">
        <v>71</v>
      </c>
      <c r="C1262" s="2" t="inlineStr">
        <is>
          <t>H2S-90</t>
        </is>
      </c>
      <c r="D1262" s="2" t="n">
        <v>7280</v>
      </c>
      <c r="E1262" s="2" t="n">
        <v>7800</v>
      </c>
      <c r="F1262" s="2" t="n"/>
      <c r="G1262" s="2" t="n"/>
      <c r="H1262" s="2" t="n"/>
      <c r="I1262" s="2" t="inlineStr">
        <is>
          <t>STC</t>
        </is>
      </c>
      <c r="J1262" s="2" t="n">
        <v>1226</v>
      </c>
      <c r="K1262" s="2" t="n"/>
      <c r="L1262" s="2" t="n">
        <v>1838</v>
      </c>
      <c r="M1262" s="2" t="n">
        <v>0.582</v>
      </c>
      <c r="N1262" s="2" t="n">
        <v>10.586</v>
      </c>
      <c r="O1262" s="2" t="n">
        <v>10.43</v>
      </c>
      <c r="P1262" s="7" t="n"/>
    </row>
    <row r="1263" ht="15.75" customHeight="1" s="613" thickBot="1">
      <c r="A1263" s="6" t="n">
        <v>11.75</v>
      </c>
      <c r="B1263" s="2" t="n">
        <v>71</v>
      </c>
      <c r="C1263" s="2" t="inlineStr">
        <is>
          <t>H2S-90</t>
        </is>
      </c>
      <c r="D1263" s="2" t="n">
        <v>7280</v>
      </c>
      <c r="E1263" s="2" t="n">
        <v>7800</v>
      </c>
      <c r="F1263" s="2" t="n"/>
      <c r="G1263" s="2" t="n"/>
      <c r="H1263" s="2" t="n"/>
      <c r="I1263" s="2" t="inlineStr">
        <is>
          <t>BTC</t>
        </is>
      </c>
      <c r="J1263" s="2" t="n">
        <v>1790</v>
      </c>
      <c r="K1263" s="2" t="n"/>
      <c r="L1263" s="2" t="n">
        <v>1838</v>
      </c>
      <c r="M1263" s="2" t="n">
        <v>0.582</v>
      </c>
      <c r="N1263" s="2" t="n">
        <v>10.586</v>
      </c>
      <c r="O1263" s="2" t="n">
        <v>10.43</v>
      </c>
      <c r="P1263" s="7" t="n"/>
    </row>
    <row r="1264" ht="15.75" customHeight="1" s="613" thickBot="1">
      <c r="A1264" s="8" t="n">
        <v>11.75</v>
      </c>
      <c r="B1264" s="1" t="n">
        <v>71</v>
      </c>
      <c r="C1264" s="1" t="inlineStr">
        <is>
          <t>S-95</t>
        </is>
      </c>
      <c r="D1264" s="1" t="n">
        <v>7280</v>
      </c>
      <c r="E1264" s="1" t="n">
        <v>8230</v>
      </c>
      <c r="F1264" s="1" t="n"/>
      <c r="G1264" s="1" t="n"/>
      <c r="H1264" s="1" t="n"/>
      <c r="I1264" s="4" t="inlineStr">
        <is>
          <t>STC</t>
        </is>
      </c>
      <c r="J1264" s="1" t="n">
        <v>1306</v>
      </c>
      <c r="K1264" s="1" t="n"/>
      <c r="L1264" s="1" t="n">
        <v>1940</v>
      </c>
      <c r="M1264" s="1" t="n">
        <v>0.582</v>
      </c>
      <c r="N1264" s="1" t="n">
        <v>10.586</v>
      </c>
      <c r="O1264" s="1" t="n">
        <v>10.43</v>
      </c>
      <c r="P1264" s="9" t="n"/>
    </row>
    <row r="1265">
      <c r="A1265" s="8" t="n">
        <v>11.75</v>
      </c>
      <c r="B1265" s="1" t="n">
        <v>71</v>
      </c>
      <c r="C1265" s="1" t="inlineStr">
        <is>
          <t>S-95</t>
        </is>
      </c>
      <c r="D1265" s="1" t="n">
        <v>7280</v>
      </c>
      <c r="E1265" s="1" t="n">
        <v>8230</v>
      </c>
      <c r="F1265" s="1" t="n"/>
      <c r="G1265" s="1" t="n"/>
      <c r="H1265" s="1" t="n"/>
      <c r="I1265" s="4" t="inlineStr">
        <is>
          <t>BTC</t>
        </is>
      </c>
      <c r="J1265" s="1" t="n">
        <v>1933</v>
      </c>
      <c r="K1265" s="1" t="n"/>
      <c r="L1265" s="1" t="n">
        <v>1940</v>
      </c>
      <c r="M1265" s="1" t="n">
        <v>0.582</v>
      </c>
      <c r="N1265" s="1" t="n">
        <v>10.586</v>
      </c>
      <c r="O1265" s="1" t="n">
        <v>10.43</v>
      </c>
      <c r="P1265" s="9" t="n"/>
    </row>
    <row r="1266">
      <c r="A1266" s="6" t="n">
        <v>11.75</v>
      </c>
      <c r="B1266" s="2" t="n">
        <v>71</v>
      </c>
      <c r="C1266" s="2" t="inlineStr">
        <is>
          <t>H2S-95</t>
        </is>
      </c>
      <c r="D1266" s="2" t="n">
        <v>7280</v>
      </c>
      <c r="E1266" s="2" t="n">
        <v>8230</v>
      </c>
      <c r="F1266" s="2" t="n"/>
      <c r="G1266" s="2" t="n"/>
      <c r="H1266" s="2" t="n"/>
      <c r="I1266" s="2" t="inlineStr">
        <is>
          <t>STC</t>
        </is>
      </c>
      <c r="J1266" s="2" t="n">
        <v>1293</v>
      </c>
      <c r="K1266" s="2" t="n"/>
      <c r="L1266" s="2" t="n">
        <v>1940</v>
      </c>
      <c r="M1266" s="2" t="n">
        <v>0.582</v>
      </c>
      <c r="N1266" s="2" t="n">
        <v>10.586</v>
      </c>
      <c r="O1266" s="2" t="n">
        <v>10.43</v>
      </c>
      <c r="P1266" s="7" t="n"/>
    </row>
    <row r="1267" ht="15.75" customHeight="1" s="613" thickBot="1">
      <c r="A1267" s="6" t="n">
        <v>11.75</v>
      </c>
      <c r="B1267" s="2" t="n">
        <v>71</v>
      </c>
      <c r="C1267" s="2" t="inlineStr">
        <is>
          <t>H2S-95</t>
        </is>
      </c>
      <c r="D1267" s="2" t="n">
        <v>7280</v>
      </c>
      <c r="E1267" s="2" t="n">
        <v>8230</v>
      </c>
      <c r="F1267" s="2" t="n"/>
      <c r="G1267" s="2" t="n"/>
      <c r="H1267" s="2" t="n"/>
      <c r="I1267" s="2" t="inlineStr">
        <is>
          <t>BTC</t>
        </is>
      </c>
      <c r="J1267" s="2" t="n">
        <v>1884</v>
      </c>
      <c r="K1267" s="2" t="n"/>
      <c r="L1267" s="2" t="n">
        <v>1940</v>
      </c>
      <c r="M1267" s="2" t="n">
        <v>0.582</v>
      </c>
      <c r="N1267" s="2" t="n">
        <v>10.586</v>
      </c>
      <c r="O1267" s="2" t="n">
        <v>10.43</v>
      </c>
      <c r="P1267" s="7" t="n"/>
    </row>
    <row r="1268" ht="15.75" customHeight="1" s="613" thickBot="1">
      <c r="A1268" s="8" t="n">
        <v>11.75</v>
      </c>
      <c r="B1268" s="1" t="n">
        <v>71</v>
      </c>
      <c r="C1268" s="1" t="inlineStr">
        <is>
          <t>HCP-110</t>
        </is>
      </c>
      <c r="D1268" s="1" t="n">
        <v>7280</v>
      </c>
      <c r="E1268" s="1" t="n">
        <v>9530</v>
      </c>
      <c r="F1268" s="1" t="n"/>
      <c r="G1268" s="1" t="n"/>
      <c r="H1268" s="1" t="n"/>
      <c r="I1268" s="4" t="inlineStr">
        <is>
          <t>STC</t>
        </is>
      </c>
      <c r="J1268" s="1" t="n">
        <v>1506</v>
      </c>
      <c r="K1268" s="1" t="n"/>
      <c r="L1268" s="1" t="n">
        <v>2246</v>
      </c>
      <c r="M1268" s="1" t="n">
        <v>0.582</v>
      </c>
      <c r="N1268" s="1" t="n">
        <v>10.586</v>
      </c>
      <c r="O1268" s="1" t="n">
        <v>10.43</v>
      </c>
      <c r="P1268" s="9" t="n"/>
    </row>
    <row r="1269">
      <c r="A1269" s="8" t="n">
        <v>11.75</v>
      </c>
      <c r="B1269" s="1" t="n">
        <v>71</v>
      </c>
      <c r="C1269" s="1" t="inlineStr">
        <is>
          <t>HCP-110</t>
        </is>
      </c>
      <c r="D1269" s="1" t="n">
        <v>7280</v>
      </c>
      <c r="E1269" s="1" t="n">
        <v>9530</v>
      </c>
      <c r="F1269" s="1" t="n"/>
      <c r="G1269" s="1" t="n"/>
      <c r="H1269" s="1" t="n"/>
      <c r="I1269" s="4" t="inlineStr">
        <is>
          <t>BTC</t>
        </is>
      </c>
      <c r="J1269" s="1" t="n">
        <v>2215</v>
      </c>
      <c r="K1269" s="1" t="n"/>
      <c r="L1269" s="1" t="n">
        <v>2246</v>
      </c>
      <c r="M1269" s="1" t="n">
        <v>0.582</v>
      </c>
      <c r="N1269" s="1" t="n">
        <v>10.586</v>
      </c>
      <c r="O1269" s="1" t="n">
        <v>10.43</v>
      </c>
      <c r="P1269" s="9" t="n"/>
    </row>
    <row r="1270">
      <c r="A1270" s="6" t="n">
        <v>11.75</v>
      </c>
      <c r="B1270" s="2" t="n">
        <v>71</v>
      </c>
      <c r="C1270" s="2" t="inlineStr">
        <is>
          <t>P-110</t>
        </is>
      </c>
      <c r="D1270" s="2" t="n">
        <v>5470</v>
      </c>
      <c r="E1270" s="2" t="n">
        <v>9530</v>
      </c>
      <c r="F1270" s="2" t="n"/>
      <c r="G1270" s="2" t="n"/>
      <c r="H1270" s="2" t="n"/>
      <c r="I1270" s="2" t="inlineStr">
        <is>
          <t>STC</t>
        </is>
      </c>
      <c r="J1270" s="2" t="n">
        <v>1506</v>
      </c>
      <c r="K1270" s="2" t="n"/>
      <c r="L1270" s="2" t="n">
        <v>2246</v>
      </c>
      <c r="M1270" s="2" t="n">
        <v>0.582</v>
      </c>
      <c r="N1270" s="2" t="n">
        <v>10.586</v>
      </c>
      <c r="O1270" s="2" t="n">
        <v>10.43</v>
      </c>
      <c r="P1270" s="7" t="n"/>
    </row>
    <row r="1271" ht="15.75" customHeight="1" s="613" thickBot="1">
      <c r="A1271" s="6" t="n">
        <v>11.75</v>
      </c>
      <c r="B1271" s="2" t="n">
        <v>71</v>
      </c>
      <c r="C1271" s="2" t="inlineStr">
        <is>
          <t>P-110</t>
        </is>
      </c>
      <c r="D1271" s="2" t="n">
        <v>5470</v>
      </c>
      <c r="E1271" s="2" t="n">
        <v>9530</v>
      </c>
      <c r="F1271" s="2" t="n"/>
      <c r="G1271" s="2" t="n"/>
      <c r="H1271" s="2" t="n"/>
      <c r="I1271" s="2" t="inlineStr">
        <is>
          <t>BTC</t>
        </is>
      </c>
      <c r="J1271" s="2" t="n">
        <v>2215</v>
      </c>
      <c r="K1271" s="2" t="n"/>
      <c r="L1271" s="2" t="n">
        <v>2246</v>
      </c>
      <c r="M1271" s="2" t="n">
        <v>0.582</v>
      </c>
      <c r="N1271" s="2" t="n">
        <v>10.586</v>
      </c>
      <c r="O1271" s="2" t="n">
        <v>10.43</v>
      </c>
      <c r="P1271" s="7" t="n"/>
    </row>
    <row r="1272" ht="15.75" customHeight="1" s="613" thickBot="1">
      <c r="A1272" s="8" t="n">
        <v>11.75</v>
      </c>
      <c r="B1272" s="1" t="n">
        <v>71</v>
      </c>
      <c r="C1272" s="1" t="inlineStr">
        <is>
          <t>HCQ-125</t>
        </is>
      </c>
      <c r="D1272" s="1" t="n">
        <v>7280</v>
      </c>
      <c r="E1272" s="1" t="n">
        <v>10840</v>
      </c>
      <c r="F1272" s="1" t="n"/>
      <c r="G1272" s="1" t="n"/>
      <c r="H1272" s="1" t="n"/>
      <c r="I1272" s="4" t="inlineStr">
        <is>
          <t>STC</t>
        </is>
      </c>
      <c r="J1272" s="1" t="n">
        <v>1693</v>
      </c>
      <c r="K1272" s="1" t="n"/>
      <c r="L1272" s="1" t="n">
        <v>2552</v>
      </c>
      <c r="M1272" s="1" t="n">
        <v>0.582</v>
      </c>
      <c r="N1272" s="1" t="n">
        <v>10.586</v>
      </c>
      <c r="O1272" s="1" t="n">
        <v>10.43</v>
      </c>
      <c r="P1272" s="9" t="n"/>
    </row>
    <row r="1273">
      <c r="A1273" s="8" t="n">
        <v>11.75</v>
      </c>
      <c r="B1273" s="1" t="n">
        <v>71</v>
      </c>
      <c r="C1273" s="1" t="inlineStr">
        <is>
          <t>HCQ-125</t>
        </is>
      </c>
      <c r="D1273" s="1" t="n">
        <v>7280</v>
      </c>
      <c r="E1273" s="1" t="n">
        <v>10840</v>
      </c>
      <c r="F1273" s="1" t="n"/>
      <c r="G1273" s="1" t="n"/>
      <c r="H1273" s="1" t="n"/>
      <c r="I1273" s="4" t="inlineStr">
        <is>
          <t>BTC</t>
        </is>
      </c>
      <c r="J1273" s="1" t="n">
        <v>2448</v>
      </c>
      <c r="K1273" s="1" t="n"/>
      <c r="L1273" s="1" t="n">
        <v>2552</v>
      </c>
      <c r="M1273" s="1" t="n">
        <v>0.582</v>
      </c>
      <c r="N1273" s="1" t="n">
        <v>10.586</v>
      </c>
      <c r="O1273" s="1" t="n">
        <v>10.43</v>
      </c>
      <c r="P1273" s="9" t="n"/>
    </row>
    <row r="1274" ht="15.75" customHeight="1" s="613" thickBot="1">
      <c r="A1274" s="13" t="n">
        <v>11.75</v>
      </c>
      <c r="B1274" s="14" t="n">
        <v>71</v>
      </c>
      <c r="C1274" s="14" t="inlineStr">
        <is>
          <t>Q-125</t>
        </is>
      </c>
      <c r="D1274" s="14" t="n">
        <v>5760</v>
      </c>
      <c r="E1274" s="14" t="n">
        <v>10840</v>
      </c>
      <c r="F1274" s="14" t="n"/>
      <c r="G1274" s="14" t="n"/>
      <c r="H1274" s="14" t="n"/>
      <c r="I1274" s="2" t="inlineStr">
        <is>
          <t>STC</t>
        </is>
      </c>
      <c r="J1274" s="14" t="n">
        <v>1693</v>
      </c>
      <c r="K1274" s="14" t="n"/>
      <c r="L1274" s="14" t="n">
        <v>2552</v>
      </c>
      <c r="M1274" s="14" t="n">
        <v>0.582</v>
      </c>
      <c r="N1274" s="14" t="n">
        <v>10.586</v>
      </c>
      <c r="O1274" s="14" t="n">
        <v>10.43</v>
      </c>
      <c r="P1274" s="15" t="n"/>
    </row>
    <row r="1275" ht="15.75" customHeight="1" s="613" thickBot="1">
      <c r="A1275" s="13" t="n">
        <v>11.75</v>
      </c>
      <c r="B1275" s="14" t="n">
        <v>71</v>
      </c>
      <c r="C1275" s="14" t="inlineStr">
        <is>
          <t>Q-125</t>
        </is>
      </c>
      <c r="D1275" s="14" t="n">
        <v>5760</v>
      </c>
      <c r="E1275" s="14" t="n">
        <v>10840</v>
      </c>
      <c r="F1275" s="14" t="n"/>
      <c r="G1275" s="14" t="n"/>
      <c r="H1275" s="14" t="n"/>
      <c r="I1275" s="2" t="inlineStr">
        <is>
          <t>BTC</t>
        </is>
      </c>
      <c r="J1275" s="14" t="n">
        <v>2448</v>
      </c>
      <c r="K1275" s="14" t="n"/>
      <c r="L1275" s="14" t="n">
        <v>2552</v>
      </c>
      <c r="M1275" s="14" t="n">
        <v>0.582</v>
      </c>
      <c r="N1275" s="14" t="n">
        <v>10.586</v>
      </c>
      <c r="O1275" s="14" t="n">
        <v>10.43</v>
      </c>
      <c r="P1275" s="15" t="n"/>
    </row>
    <row r="1276" ht="15.75" customHeight="1" s="613" thickBot="1">
      <c r="A1276" s="3" t="n">
        <v>11.875</v>
      </c>
      <c r="B1276" s="4" t="n">
        <v>71.8</v>
      </c>
      <c r="C1276" s="4" t="inlineStr">
        <is>
          <t>H2S-90</t>
        </is>
      </c>
      <c r="D1276" s="4" t="n">
        <v>7190</v>
      </c>
      <c r="E1276" s="4" t="n">
        <v>7270</v>
      </c>
      <c r="F1276" s="4" t="n"/>
      <c r="G1276" s="4" t="n"/>
      <c r="H1276" s="4" t="n"/>
      <c r="I1276" s="4" t="inlineStr">
        <is>
          <t>STC</t>
        </is>
      </c>
      <c r="J1276" s="4" t="n">
        <v>1129</v>
      </c>
      <c r="K1276" s="4" t="n"/>
      <c r="L1276" s="4" t="n">
        <v>1858</v>
      </c>
      <c r="M1276" s="4" t="n">
        <v>0.582</v>
      </c>
      <c r="N1276" s="4" t="n">
        <v>10.711</v>
      </c>
      <c r="O1276" s="4" t="n"/>
      <c r="P1276" s="5" t="n"/>
    </row>
    <row r="1277">
      <c r="A1277" s="3" t="n">
        <v>11.875</v>
      </c>
      <c r="B1277" s="4" t="n">
        <v>71.8</v>
      </c>
      <c r="C1277" s="4" t="inlineStr">
        <is>
          <t>H2S-90</t>
        </is>
      </c>
      <c r="D1277" s="4" t="n">
        <v>7190</v>
      </c>
      <c r="E1277" s="4" t="n">
        <v>7270</v>
      </c>
      <c r="F1277" s="4" t="n"/>
      <c r="G1277" s="4" t="n"/>
      <c r="H1277" s="4" t="n"/>
      <c r="I1277" s="4" t="inlineStr">
        <is>
          <t>BTC</t>
        </is>
      </c>
      <c r="J1277" s="4" t="n">
        <v>1647</v>
      </c>
      <c r="K1277" s="4" t="n"/>
      <c r="L1277" s="4" t="n">
        <v>1858</v>
      </c>
      <c r="M1277" s="4" t="n">
        <v>0.582</v>
      </c>
      <c r="N1277" s="4" t="n">
        <v>10.711</v>
      </c>
      <c r="O1277" s="4" t="n"/>
      <c r="P1277" s="5" t="n"/>
    </row>
    <row r="1278">
      <c r="A1278" s="6" t="n">
        <v>11.875</v>
      </c>
      <c r="B1278" s="2" t="n">
        <v>71.8</v>
      </c>
      <c r="C1278" s="2" t="inlineStr">
        <is>
          <t>S-95</t>
        </is>
      </c>
      <c r="D1278" s="2" t="n">
        <v>7190</v>
      </c>
      <c r="E1278" s="2" t="n">
        <v>8150</v>
      </c>
      <c r="F1278" s="2" t="n"/>
      <c r="G1278" s="2" t="n"/>
      <c r="H1278" s="2" t="n"/>
      <c r="I1278" s="2" t="inlineStr">
        <is>
          <t>STC</t>
        </is>
      </c>
      <c r="J1278" s="2" t="n">
        <v>1153</v>
      </c>
      <c r="K1278" s="2" t="n"/>
      <c r="L1278" s="2" t="n">
        <v>1962</v>
      </c>
      <c r="M1278" s="2" t="n">
        <v>0.582</v>
      </c>
      <c r="N1278" s="2" t="n">
        <v>10.711</v>
      </c>
      <c r="O1278" s="2" t="n"/>
      <c r="P1278" s="7" t="n"/>
    </row>
    <row r="1279" ht="15.75" customHeight="1" s="613" thickBot="1">
      <c r="A1279" s="6" t="n">
        <v>11.875</v>
      </c>
      <c r="B1279" s="2" t="n">
        <v>71.8</v>
      </c>
      <c r="C1279" s="2" t="inlineStr">
        <is>
          <t>S-95</t>
        </is>
      </c>
      <c r="D1279" s="2" t="n">
        <v>7190</v>
      </c>
      <c r="E1279" s="2" t="n">
        <v>8150</v>
      </c>
      <c r="F1279" s="2" t="n"/>
      <c r="G1279" s="2" t="n"/>
      <c r="H1279" s="2" t="n"/>
      <c r="I1279" s="2" t="inlineStr">
        <is>
          <t>BTC</t>
        </is>
      </c>
      <c r="J1279" s="2" t="n">
        <v>1735</v>
      </c>
      <c r="K1279" s="2" t="n"/>
      <c r="L1279" s="2" t="n">
        <v>1962</v>
      </c>
      <c r="M1279" s="2" t="n">
        <v>0.582</v>
      </c>
      <c r="N1279" s="2" t="n">
        <v>10.711</v>
      </c>
      <c r="O1279" s="2" t="n"/>
      <c r="P1279" s="7" t="n"/>
    </row>
    <row r="1280" ht="15.75" customHeight="1" s="613" thickBot="1">
      <c r="A1280" s="8" t="n">
        <v>11.875</v>
      </c>
      <c r="B1280" s="1" t="n">
        <v>71.8</v>
      </c>
      <c r="C1280" s="1" t="inlineStr">
        <is>
          <t>H2S-95</t>
        </is>
      </c>
      <c r="D1280" s="1" t="n">
        <v>7190</v>
      </c>
      <c r="E1280" s="1" t="n">
        <v>8150</v>
      </c>
      <c r="F1280" s="1" t="n"/>
      <c r="G1280" s="1" t="n"/>
      <c r="H1280" s="1" t="n"/>
      <c r="I1280" s="4" t="inlineStr">
        <is>
          <t>STC</t>
        </is>
      </c>
      <c r="J1280" s="1" t="n">
        <v>1141</v>
      </c>
      <c r="K1280" s="1" t="n"/>
      <c r="L1280" s="1" t="n">
        <v>1962</v>
      </c>
      <c r="M1280" s="1" t="n">
        <v>0.582</v>
      </c>
      <c r="N1280" s="1" t="n">
        <v>10.711</v>
      </c>
      <c r="O1280" s="1" t="n"/>
      <c r="P1280" s="9" t="n"/>
    </row>
    <row r="1281">
      <c r="A1281" s="8" t="n">
        <v>11.875</v>
      </c>
      <c r="B1281" s="1" t="n">
        <v>71.8</v>
      </c>
      <c r="C1281" s="1" t="inlineStr">
        <is>
          <t>H2S-95</t>
        </is>
      </c>
      <c r="D1281" s="1" t="n">
        <v>7190</v>
      </c>
      <c r="E1281" s="1" t="n">
        <v>8150</v>
      </c>
      <c r="F1281" s="1" t="n"/>
      <c r="G1281" s="1" t="n"/>
      <c r="H1281" s="1" t="n"/>
      <c r="I1281" s="4" t="inlineStr">
        <is>
          <t>BTC</t>
        </is>
      </c>
      <c r="J1281" s="1" t="n">
        <v>1691</v>
      </c>
      <c r="K1281" s="1" t="n"/>
      <c r="L1281" s="1" t="n">
        <v>1962</v>
      </c>
      <c r="M1281" s="1" t="n">
        <v>0.582</v>
      </c>
      <c r="N1281" s="1" t="n">
        <v>10.711</v>
      </c>
      <c r="O1281" s="1" t="n"/>
      <c r="P1281" s="9" t="n"/>
    </row>
    <row r="1282">
      <c r="A1282" s="6" t="n">
        <v>11.875</v>
      </c>
      <c r="B1282" s="2" t="n">
        <v>71.8</v>
      </c>
      <c r="C1282" s="2" t="inlineStr">
        <is>
          <t>HCP-110</t>
        </is>
      </c>
      <c r="D1282" s="2" t="n">
        <v>7190</v>
      </c>
      <c r="E1282" s="2" t="n">
        <v>9430</v>
      </c>
      <c r="F1282" s="2" t="n"/>
      <c r="G1282" s="2" t="n"/>
      <c r="H1282" s="2" t="n"/>
      <c r="I1282" s="2" t="inlineStr">
        <is>
          <t>STC</t>
        </is>
      </c>
      <c r="J1282" s="2" t="n">
        <v>1329</v>
      </c>
      <c r="K1282" s="2" t="n"/>
      <c r="L1282" s="2" t="n">
        <v>2271</v>
      </c>
      <c r="M1282" s="2" t="n">
        <v>0.582</v>
      </c>
      <c r="N1282" s="2" t="n">
        <v>10.711</v>
      </c>
      <c r="O1282" s="2" t="n"/>
      <c r="P1282" s="7" t="n"/>
    </row>
    <row r="1283" ht="15.75" customHeight="1" s="613" thickBot="1">
      <c r="A1283" s="6" t="n">
        <v>11.875</v>
      </c>
      <c r="B1283" s="2" t="n">
        <v>71.8</v>
      </c>
      <c r="C1283" s="2" t="inlineStr">
        <is>
          <t>HCP-110</t>
        </is>
      </c>
      <c r="D1283" s="2" t="n">
        <v>7190</v>
      </c>
      <c r="E1283" s="2" t="n">
        <v>9430</v>
      </c>
      <c r="F1283" s="2" t="n"/>
      <c r="G1283" s="2" t="n"/>
      <c r="H1283" s="2" t="n"/>
      <c r="I1283" s="2" t="inlineStr">
        <is>
          <t>BTC</t>
        </is>
      </c>
      <c r="J1283" s="2" t="n">
        <v>1988</v>
      </c>
      <c r="K1283" s="2" t="n"/>
      <c r="L1283" s="2" t="n">
        <v>2271</v>
      </c>
      <c r="M1283" s="2" t="n">
        <v>0.582</v>
      </c>
      <c r="N1283" s="2" t="n">
        <v>10.711</v>
      </c>
      <c r="O1283" s="2" t="n"/>
      <c r="P1283" s="7" t="n"/>
    </row>
    <row r="1284" ht="15.75" customHeight="1" s="613" thickBot="1">
      <c r="A1284" s="8" t="n">
        <v>11.875</v>
      </c>
      <c r="B1284" s="1" t="n">
        <v>71.8</v>
      </c>
      <c r="C1284" s="1" t="inlineStr">
        <is>
          <t>P-110</t>
        </is>
      </c>
      <c r="D1284" s="1" t="n">
        <v>5290</v>
      </c>
      <c r="E1284" s="1" t="n">
        <v>9430</v>
      </c>
      <c r="F1284" s="1" t="n"/>
      <c r="G1284" s="1" t="n"/>
      <c r="H1284" s="1" t="n"/>
      <c r="I1284" s="4" t="inlineStr">
        <is>
          <t>STC</t>
        </is>
      </c>
      <c r="J1284" s="1" t="n">
        <v>1329</v>
      </c>
      <c r="K1284" s="1" t="n"/>
      <c r="L1284" s="1" t="n">
        <v>2271</v>
      </c>
      <c r="M1284" s="1" t="n">
        <v>0.582</v>
      </c>
      <c r="N1284" s="1" t="n">
        <v>10.711</v>
      </c>
      <c r="O1284" s="1" t="n"/>
      <c r="P1284" s="9" t="n"/>
    </row>
    <row r="1285">
      <c r="A1285" s="8" t="n">
        <v>11.875</v>
      </c>
      <c r="B1285" s="1" t="n">
        <v>71.8</v>
      </c>
      <c r="C1285" s="1" t="inlineStr">
        <is>
          <t>P-110</t>
        </is>
      </c>
      <c r="D1285" s="1" t="n">
        <v>5290</v>
      </c>
      <c r="E1285" s="1" t="n">
        <v>9430</v>
      </c>
      <c r="F1285" s="1" t="n"/>
      <c r="G1285" s="1" t="n"/>
      <c r="H1285" s="1" t="n"/>
      <c r="I1285" s="4" t="inlineStr">
        <is>
          <t>BTC</t>
        </is>
      </c>
      <c r="J1285" s="1" t="n">
        <v>1988</v>
      </c>
      <c r="K1285" s="1" t="n"/>
      <c r="L1285" s="1" t="n">
        <v>2271</v>
      </c>
      <c r="M1285" s="1" t="n">
        <v>0.582</v>
      </c>
      <c r="N1285" s="1" t="n">
        <v>10.711</v>
      </c>
      <c r="O1285" s="1" t="n"/>
      <c r="P1285" s="9" t="n"/>
    </row>
    <row r="1286">
      <c r="A1286" s="6" t="n">
        <v>11.875</v>
      </c>
      <c r="B1286" s="2" t="n">
        <v>71.8</v>
      </c>
      <c r="C1286" s="2" t="inlineStr">
        <is>
          <t>HCQ-125</t>
        </is>
      </c>
      <c r="D1286" s="2" t="n">
        <v>7190</v>
      </c>
      <c r="E1286" s="2" t="n">
        <v>10720</v>
      </c>
      <c r="F1286" s="2" t="n"/>
      <c r="G1286" s="2" t="n"/>
      <c r="H1286" s="2" t="n"/>
      <c r="I1286" s="2" t="inlineStr">
        <is>
          <t>STC</t>
        </is>
      </c>
      <c r="J1286" s="2" t="n">
        <v>1494</v>
      </c>
      <c r="K1286" s="2" t="n"/>
      <c r="L1286" s="2" t="n">
        <v>2581</v>
      </c>
      <c r="M1286" s="2" t="n">
        <v>0.582</v>
      </c>
      <c r="N1286" s="2" t="n">
        <v>10.711</v>
      </c>
      <c r="O1286" s="2" t="n"/>
      <c r="P1286" s="7" t="n"/>
    </row>
    <row r="1287" ht="15.75" customHeight="1" s="613" thickBot="1">
      <c r="A1287" s="6" t="n">
        <v>11.875</v>
      </c>
      <c r="B1287" s="2" t="n">
        <v>71.8</v>
      </c>
      <c r="C1287" s="2" t="inlineStr">
        <is>
          <t>HCQ-125</t>
        </is>
      </c>
      <c r="D1287" s="2" t="n">
        <v>7190</v>
      </c>
      <c r="E1287" s="2" t="n">
        <v>10720</v>
      </c>
      <c r="F1287" s="2" t="n"/>
      <c r="G1287" s="2" t="n"/>
      <c r="H1287" s="2" t="n"/>
      <c r="I1287" s="2" t="inlineStr">
        <is>
          <t>BTC</t>
        </is>
      </c>
      <c r="J1287" s="2" t="n">
        <v>2198</v>
      </c>
      <c r="K1287" s="2" t="n"/>
      <c r="L1287" s="2" t="n">
        <v>2581</v>
      </c>
      <c r="M1287" s="2" t="n">
        <v>0.582</v>
      </c>
      <c r="N1287" s="2" t="n">
        <v>10.711</v>
      </c>
      <c r="O1287" s="2" t="n"/>
      <c r="P1287" s="7" t="n"/>
    </row>
    <row r="1288" ht="15.75" customHeight="1" s="613" thickBot="1">
      <c r="A1288" s="10" t="n">
        <v>11.875</v>
      </c>
      <c r="B1288" s="11" t="n">
        <v>71.8</v>
      </c>
      <c r="C1288" s="11" t="inlineStr">
        <is>
          <t>Q-125</t>
        </is>
      </c>
      <c r="D1288" s="11" t="n">
        <v>5630</v>
      </c>
      <c r="E1288" s="11" t="n">
        <v>10720</v>
      </c>
      <c r="F1288" s="11" t="n"/>
      <c r="G1288" s="11" t="n"/>
      <c r="H1288" s="11" t="n"/>
      <c r="I1288" s="4" t="inlineStr">
        <is>
          <t>STC</t>
        </is>
      </c>
      <c r="J1288" s="11" t="n">
        <v>1494</v>
      </c>
      <c r="K1288" s="11" t="n"/>
      <c r="L1288" s="11" t="n">
        <v>2581</v>
      </c>
      <c r="M1288" s="11" t="n">
        <v>0.582</v>
      </c>
      <c r="N1288" s="11" t="n">
        <v>10.711</v>
      </c>
      <c r="O1288" s="11" t="n"/>
      <c r="P1288" s="12" t="n"/>
    </row>
    <row r="1289" ht="15.75" customHeight="1" s="613" thickBot="1">
      <c r="A1289" s="10" t="n">
        <v>11.875</v>
      </c>
      <c r="B1289" s="11" t="n">
        <v>71.8</v>
      </c>
      <c r="C1289" s="11" t="inlineStr">
        <is>
          <t>Q-125</t>
        </is>
      </c>
      <c r="D1289" s="11" t="n">
        <v>5630</v>
      </c>
      <c r="E1289" s="11" t="n">
        <v>10720</v>
      </c>
      <c r="F1289" s="11" t="n"/>
      <c r="G1289" s="11" t="n"/>
      <c r="H1289" s="11" t="n"/>
      <c r="I1289" s="4" t="inlineStr">
        <is>
          <t>BTC</t>
        </is>
      </c>
      <c r="J1289" s="11" t="n">
        <v>2198</v>
      </c>
      <c r="K1289" s="11" t="n"/>
      <c r="L1289" s="11" t="n">
        <v>2581</v>
      </c>
      <c r="M1289" s="11" t="n">
        <v>0.582</v>
      </c>
      <c r="N1289" s="11" t="n">
        <v>10.711</v>
      </c>
      <c r="O1289" s="11" t="n"/>
      <c r="P1289" s="12" t="n"/>
    </row>
    <row r="1290" ht="15.75" customHeight="1" s="613" thickBot="1">
      <c r="A1290" s="3" t="n">
        <v>13.375</v>
      </c>
      <c r="B1290" s="4" t="n">
        <v>48</v>
      </c>
      <c r="C1290" s="4" t="inlineStr">
        <is>
          <t>H-40</t>
        </is>
      </c>
      <c r="D1290" s="4" t="n">
        <v>740</v>
      </c>
      <c r="E1290" s="4" t="n">
        <v>1730</v>
      </c>
      <c r="F1290" s="4" t="n"/>
      <c r="G1290" s="4" t="n"/>
      <c r="H1290" s="4" t="n"/>
      <c r="I1290" s="4" t="inlineStr">
        <is>
          <t>STC</t>
        </is>
      </c>
      <c r="J1290" s="4" t="n">
        <v>322</v>
      </c>
      <c r="K1290" s="4" t="n"/>
      <c r="L1290" s="4" t="n">
        <v>541</v>
      </c>
      <c r="M1290" s="4" t="n">
        <v>0.33</v>
      </c>
      <c r="N1290" s="4" t="n">
        <v>12.715</v>
      </c>
      <c r="O1290" s="4" t="n">
        <v>12.559</v>
      </c>
      <c r="P1290" s="5" t="n"/>
    </row>
    <row r="1291">
      <c r="A1291" s="3" t="n">
        <v>13.375</v>
      </c>
      <c r="B1291" s="4" t="n">
        <v>48</v>
      </c>
      <c r="C1291" s="4" t="inlineStr">
        <is>
          <t>H-40</t>
        </is>
      </c>
      <c r="D1291" s="4" t="n">
        <v>740</v>
      </c>
      <c r="E1291" s="4" t="n">
        <v>1730</v>
      </c>
      <c r="F1291" s="4" t="n"/>
      <c r="G1291" s="4" t="n"/>
      <c r="H1291" s="4" t="n"/>
      <c r="I1291" s="4" t="inlineStr">
        <is>
          <t>BTC</t>
        </is>
      </c>
      <c r="J1291" s="4" t="n">
        <v>607</v>
      </c>
      <c r="K1291" s="4" t="n"/>
      <c r="L1291" s="4" t="n">
        <v>541</v>
      </c>
      <c r="M1291" s="4" t="n">
        <v>0.33</v>
      </c>
      <c r="N1291" s="4" t="n">
        <v>12.715</v>
      </c>
      <c r="O1291" s="4" t="n">
        <v>12.559</v>
      </c>
      <c r="P1291" s="5" t="n"/>
    </row>
    <row r="1292">
      <c r="A1292" s="6" t="n">
        <v>13.375</v>
      </c>
      <c r="B1292" s="2" t="n">
        <v>54.5</v>
      </c>
      <c r="C1292" s="2" t="inlineStr">
        <is>
          <t>J-55</t>
        </is>
      </c>
      <c r="D1292" s="2" t="n">
        <v>1130</v>
      </c>
      <c r="E1292" s="2" t="n">
        <v>2730</v>
      </c>
      <c r="F1292" s="2" t="n"/>
      <c r="G1292" s="2" t="n"/>
      <c r="H1292" s="2" t="n"/>
      <c r="I1292" s="2" t="inlineStr">
        <is>
          <t>STC</t>
        </is>
      </c>
      <c r="J1292" s="2" t="n">
        <v>514</v>
      </c>
      <c r="K1292" s="2" t="n"/>
      <c r="L1292" s="2" t="n">
        <v>853</v>
      </c>
      <c r="M1292" s="2" t="n">
        <v>0.38</v>
      </c>
      <c r="N1292" s="2" t="n">
        <v>12.615</v>
      </c>
      <c r="O1292" s="2" t="n">
        <v>12.459</v>
      </c>
      <c r="P1292" s="7" t="n"/>
    </row>
    <row r="1293">
      <c r="A1293" s="6" t="n">
        <v>13.375</v>
      </c>
      <c r="B1293" s="2" t="n">
        <v>54.5</v>
      </c>
      <c r="C1293" s="2" t="inlineStr">
        <is>
          <t>J-55</t>
        </is>
      </c>
      <c r="D1293" s="2" t="n">
        <v>1130</v>
      </c>
      <c r="E1293" s="2" t="n">
        <v>2730</v>
      </c>
      <c r="F1293" s="2" t="n"/>
      <c r="G1293" s="2" t="n"/>
      <c r="H1293" s="2" t="n"/>
      <c r="I1293" s="2" t="inlineStr">
        <is>
          <t>BTC</t>
        </is>
      </c>
      <c r="J1293" s="2" t="n">
        <v>909</v>
      </c>
      <c r="K1293" s="2" t="n"/>
      <c r="L1293" s="2" t="n">
        <v>853</v>
      </c>
      <c r="M1293" s="2" t="n">
        <v>0.38</v>
      </c>
      <c r="N1293" s="2" t="n">
        <v>12.615</v>
      </c>
      <c r="O1293" s="2" t="n">
        <v>12.459</v>
      </c>
      <c r="P1293" s="7" t="n"/>
    </row>
    <row r="1294">
      <c r="A1294" s="8" t="n">
        <v>13.375</v>
      </c>
      <c r="B1294" s="1" t="n">
        <v>54.5</v>
      </c>
      <c r="C1294" s="1" t="inlineStr">
        <is>
          <t>K-55</t>
        </is>
      </c>
      <c r="D1294" s="1" t="n">
        <v>1130</v>
      </c>
      <c r="E1294" s="1" t="n">
        <v>2730</v>
      </c>
      <c r="F1294" s="1" t="n"/>
      <c r="G1294" s="1" t="n"/>
      <c r="H1294" s="1" t="n"/>
      <c r="I1294" s="1" t="inlineStr">
        <is>
          <t>STC</t>
        </is>
      </c>
      <c r="J1294" s="1" t="n">
        <v>547</v>
      </c>
      <c r="K1294" s="1" t="n"/>
      <c r="L1294" s="1" t="n">
        <v>853</v>
      </c>
      <c r="M1294" s="1" t="n">
        <v>0.38</v>
      </c>
      <c r="N1294" s="1" t="n">
        <v>12.615</v>
      </c>
      <c r="O1294" s="1" t="n">
        <v>12.459</v>
      </c>
      <c r="P1294" s="9" t="n"/>
    </row>
    <row r="1295">
      <c r="A1295" s="8" t="n">
        <v>13.375</v>
      </c>
      <c r="B1295" s="1" t="n">
        <v>54.5</v>
      </c>
      <c r="C1295" s="1" t="inlineStr">
        <is>
          <t>K-55</t>
        </is>
      </c>
      <c r="D1295" s="1" t="n">
        <v>1130</v>
      </c>
      <c r="E1295" s="1" t="n">
        <v>2730</v>
      </c>
      <c r="F1295" s="1" t="n"/>
      <c r="G1295" s="1" t="n"/>
      <c r="H1295" s="1" t="n"/>
      <c r="I1295" s="1" t="inlineStr">
        <is>
          <t>BTC</t>
        </is>
      </c>
      <c r="J1295" s="1" t="n">
        <v>1038</v>
      </c>
      <c r="K1295" s="1" t="n"/>
      <c r="L1295" s="1" t="n">
        <v>853</v>
      </c>
      <c r="M1295" s="1" t="n">
        <v>0.38</v>
      </c>
      <c r="N1295" s="1" t="n">
        <v>12.615</v>
      </c>
      <c r="O1295" s="1" t="n">
        <v>12.459</v>
      </c>
      <c r="P1295" s="9" t="n"/>
    </row>
    <row r="1296">
      <c r="A1296" s="6" t="n">
        <v>13.375</v>
      </c>
      <c r="B1296" s="2" t="n">
        <v>54.5</v>
      </c>
      <c r="C1296" s="2" t="inlineStr">
        <is>
          <t>HCK-55</t>
        </is>
      </c>
      <c r="D1296" s="2" t="n">
        <v>1400</v>
      </c>
      <c r="E1296" s="2" t="n">
        <v>2730</v>
      </c>
      <c r="F1296" s="2" t="n"/>
      <c r="G1296" s="2" t="n"/>
      <c r="H1296" s="2" t="n"/>
      <c r="I1296" s="2" t="inlineStr">
        <is>
          <t>STC</t>
        </is>
      </c>
      <c r="J1296" s="2" t="n">
        <v>689</v>
      </c>
      <c r="K1296" s="2" t="n"/>
      <c r="L1296" s="2" t="n">
        <v>853</v>
      </c>
      <c r="M1296" s="2" t="n">
        <v>0.38</v>
      </c>
      <c r="N1296" s="2" t="n">
        <v>12.615</v>
      </c>
      <c r="O1296" s="2" t="n">
        <v>12.459</v>
      </c>
      <c r="P1296" s="7" t="n"/>
    </row>
    <row r="1297">
      <c r="A1297" s="6" t="n">
        <v>13.375</v>
      </c>
      <c r="B1297" s="2" t="n">
        <v>54.5</v>
      </c>
      <c r="C1297" s="2" t="inlineStr">
        <is>
          <t>HCK-55</t>
        </is>
      </c>
      <c r="D1297" s="2" t="n">
        <v>1400</v>
      </c>
      <c r="E1297" s="2" t="n">
        <v>2730</v>
      </c>
      <c r="F1297" s="2" t="n"/>
      <c r="G1297" s="2" t="n"/>
      <c r="H1297" s="2" t="n"/>
      <c r="I1297" s="2" t="inlineStr">
        <is>
          <t>BTC</t>
        </is>
      </c>
      <c r="J1297" s="2" t="n">
        <v>1194</v>
      </c>
      <c r="K1297" s="2" t="n"/>
      <c r="L1297" s="2" t="n">
        <v>853</v>
      </c>
      <c r="M1297" s="2" t="n">
        <v>0.38</v>
      </c>
      <c r="N1297" s="2" t="n">
        <v>12.615</v>
      </c>
      <c r="O1297" s="2" t="n">
        <v>12.459</v>
      </c>
      <c r="P1297" s="7" t="n"/>
    </row>
    <row r="1298">
      <c r="A1298" s="8" t="n">
        <v>13.375</v>
      </c>
      <c r="B1298" s="1" t="n">
        <v>61</v>
      </c>
      <c r="C1298" s="1" t="inlineStr">
        <is>
          <t>J-55</t>
        </is>
      </c>
      <c r="D1298" s="1" t="n">
        <v>1540</v>
      </c>
      <c r="E1298" s="1" t="n">
        <v>3090</v>
      </c>
      <c r="F1298" s="1" t="n"/>
      <c r="G1298" s="1" t="n"/>
      <c r="H1298" s="1" t="n"/>
      <c r="I1298" s="1" t="inlineStr">
        <is>
          <t>STC</t>
        </is>
      </c>
      <c r="J1298" s="1" t="n">
        <v>595</v>
      </c>
      <c r="K1298" s="1" t="n"/>
      <c r="L1298" s="1" t="n">
        <v>962</v>
      </c>
      <c r="M1298" s="1" t="n">
        <v>0.43</v>
      </c>
      <c r="N1298" s="1" t="n">
        <v>12.515</v>
      </c>
      <c r="O1298" s="1" t="n">
        <v>12.359</v>
      </c>
      <c r="P1298" s="9" t="n"/>
    </row>
    <row r="1299">
      <c r="A1299" s="8" t="n">
        <v>13.375</v>
      </c>
      <c r="B1299" s="1" t="n">
        <v>61</v>
      </c>
      <c r="C1299" s="1" t="inlineStr">
        <is>
          <t>J-55</t>
        </is>
      </c>
      <c r="D1299" s="1" t="n">
        <v>1540</v>
      </c>
      <c r="E1299" s="1" t="n">
        <v>3090</v>
      </c>
      <c r="F1299" s="1" t="n"/>
      <c r="G1299" s="1" t="n"/>
      <c r="H1299" s="1" t="n"/>
      <c r="I1299" s="1" t="inlineStr">
        <is>
          <t>BTC</t>
        </is>
      </c>
      <c r="J1299" s="1" t="n">
        <v>1025</v>
      </c>
      <c r="K1299" s="1" t="n"/>
      <c r="L1299" s="1" t="n">
        <v>962</v>
      </c>
      <c r="M1299" s="1" t="n">
        <v>0.43</v>
      </c>
      <c r="N1299" s="1" t="n">
        <v>12.515</v>
      </c>
      <c r="O1299" s="1" t="n">
        <v>12.359</v>
      </c>
      <c r="P1299" s="9" t="n"/>
    </row>
    <row r="1300">
      <c r="A1300" s="6" t="n">
        <v>13.375</v>
      </c>
      <c r="B1300" s="2" t="n">
        <v>61</v>
      </c>
      <c r="C1300" s="2" t="inlineStr">
        <is>
          <t>K-55</t>
        </is>
      </c>
      <c r="D1300" s="2" t="n">
        <v>1540</v>
      </c>
      <c r="E1300" s="2" t="n">
        <v>3090</v>
      </c>
      <c r="F1300" s="2" t="n"/>
      <c r="G1300" s="2" t="n"/>
      <c r="H1300" s="2" t="n"/>
      <c r="I1300" s="2" t="inlineStr">
        <is>
          <t>STC</t>
        </is>
      </c>
      <c r="J1300" s="2" t="n">
        <v>633</v>
      </c>
      <c r="K1300" s="2" t="n"/>
      <c r="L1300" s="2" t="n">
        <v>962</v>
      </c>
      <c r="M1300" s="2" t="n">
        <v>0.43</v>
      </c>
      <c r="N1300" s="2" t="n">
        <v>12.515</v>
      </c>
      <c r="O1300" s="2" t="n">
        <v>12.359</v>
      </c>
      <c r="P1300" s="7" t="n"/>
    </row>
    <row r="1301">
      <c r="A1301" s="6" t="n">
        <v>13.375</v>
      </c>
      <c r="B1301" s="2" t="n">
        <v>61</v>
      </c>
      <c r="C1301" s="2" t="inlineStr">
        <is>
          <t>K-55</t>
        </is>
      </c>
      <c r="D1301" s="2" t="n">
        <v>1540</v>
      </c>
      <c r="E1301" s="2" t="n">
        <v>3090</v>
      </c>
      <c r="F1301" s="2" t="n"/>
      <c r="G1301" s="2" t="n"/>
      <c r="H1301" s="2" t="n"/>
      <c r="I1301" s="2" t="inlineStr">
        <is>
          <t>BTC</t>
        </is>
      </c>
      <c r="J1301" s="2" t="n">
        <v>1169</v>
      </c>
      <c r="K1301" s="2" t="n"/>
      <c r="L1301" s="2" t="n">
        <v>962</v>
      </c>
      <c r="M1301" s="2" t="n">
        <v>0.43</v>
      </c>
      <c r="N1301" s="2" t="n">
        <v>12.515</v>
      </c>
      <c r="O1301" s="2" t="n">
        <v>12.359</v>
      </c>
      <c r="P1301" s="7" t="n"/>
    </row>
    <row r="1302">
      <c r="A1302" s="8" t="n">
        <v>13.375</v>
      </c>
      <c r="B1302" s="1" t="n">
        <v>61</v>
      </c>
      <c r="C1302" s="1" t="inlineStr">
        <is>
          <t>HCK-55</t>
        </is>
      </c>
      <c r="D1302" s="1" t="n">
        <v>2040</v>
      </c>
      <c r="E1302" s="1" t="n">
        <v>3090</v>
      </c>
      <c r="F1302" s="1" t="n"/>
      <c r="G1302" s="1" t="n"/>
      <c r="H1302" s="1" t="n"/>
      <c r="I1302" s="1" t="inlineStr">
        <is>
          <t>STC</t>
        </is>
      </c>
      <c r="J1302" s="1" t="n">
        <v>798</v>
      </c>
      <c r="K1302" s="1" t="n"/>
      <c r="L1302" s="1" t="n">
        <v>962</v>
      </c>
      <c r="M1302" s="1" t="n">
        <v>0.43</v>
      </c>
      <c r="N1302" s="1" t="n">
        <v>12.515</v>
      </c>
      <c r="O1302" s="1" t="n">
        <v>12.359</v>
      </c>
      <c r="P1302" s="9" t="n"/>
    </row>
    <row r="1303">
      <c r="A1303" s="8" t="n">
        <v>13.375</v>
      </c>
      <c r="B1303" s="1" t="n">
        <v>61</v>
      </c>
      <c r="C1303" s="1" t="inlineStr">
        <is>
          <t>HCK-55</t>
        </is>
      </c>
      <c r="D1303" s="1" t="n">
        <v>2040</v>
      </c>
      <c r="E1303" s="1" t="n">
        <v>3090</v>
      </c>
      <c r="F1303" s="1" t="n"/>
      <c r="G1303" s="1" t="n"/>
      <c r="H1303" s="1" t="n"/>
      <c r="I1303" s="1" t="inlineStr">
        <is>
          <t>BTC</t>
        </is>
      </c>
      <c r="J1303" s="1" t="n">
        <v>1345</v>
      </c>
      <c r="K1303" s="1" t="n"/>
      <c r="L1303" s="1" t="n">
        <v>962</v>
      </c>
      <c r="M1303" s="1" t="n">
        <v>0.43</v>
      </c>
      <c r="N1303" s="1" t="n">
        <v>12.515</v>
      </c>
      <c r="O1303" s="1" t="n">
        <v>12.359</v>
      </c>
      <c r="P1303" s="9" t="n"/>
    </row>
    <row r="1304">
      <c r="A1304" s="6" t="n">
        <v>13.375</v>
      </c>
      <c r="B1304" s="2" t="n">
        <v>68</v>
      </c>
      <c r="C1304" s="2" t="inlineStr">
        <is>
          <t>J-55</t>
        </is>
      </c>
      <c r="D1304" s="2" t="n">
        <v>1950</v>
      </c>
      <c r="E1304" s="2" t="n">
        <v>3450</v>
      </c>
      <c r="F1304" s="2" t="n"/>
      <c r="G1304" s="2" t="n"/>
      <c r="H1304" s="2" t="n"/>
      <c r="I1304" s="2" t="inlineStr">
        <is>
          <t>STC</t>
        </is>
      </c>
      <c r="J1304" s="2" t="n">
        <v>675</v>
      </c>
      <c r="K1304" s="2" t="n"/>
      <c r="L1304" s="2" t="n">
        <v>1069</v>
      </c>
      <c r="M1304" s="2" t="n">
        <v>0.48</v>
      </c>
      <c r="N1304" s="2" t="n">
        <v>12.415</v>
      </c>
      <c r="O1304" s="2" t="n">
        <v>12.259</v>
      </c>
      <c r="P1304" s="7" t="n"/>
    </row>
    <row r="1305">
      <c r="A1305" s="6" t="n">
        <v>13.375</v>
      </c>
      <c r="B1305" s="2" t="n">
        <v>68</v>
      </c>
      <c r="C1305" s="2" t="inlineStr">
        <is>
          <t>J-55</t>
        </is>
      </c>
      <c r="D1305" s="2" t="n">
        <v>1950</v>
      </c>
      <c r="E1305" s="2" t="n">
        <v>3450</v>
      </c>
      <c r="F1305" s="2" t="n"/>
      <c r="G1305" s="2" t="n"/>
      <c r="H1305" s="2" t="n"/>
      <c r="I1305" s="2" t="inlineStr">
        <is>
          <t>BTC</t>
        </is>
      </c>
      <c r="J1305" s="2" t="n">
        <v>1140</v>
      </c>
      <c r="K1305" s="2" t="n"/>
      <c r="L1305" s="2" t="n">
        <v>1069</v>
      </c>
      <c r="M1305" s="2" t="n">
        <v>0.48</v>
      </c>
      <c r="N1305" s="2" t="n">
        <v>12.415</v>
      </c>
      <c r="O1305" s="2" t="n">
        <v>12.259</v>
      </c>
      <c r="P1305" s="7" t="n"/>
    </row>
    <row r="1306">
      <c r="A1306" s="8" t="n">
        <v>13.375</v>
      </c>
      <c r="B1306" s="1" t="n">
        <v>68</v>
      </c>
      <c r="C1306" s="1" t="inlineStr">
        <is>
          <t>K-55</t>
        </is>
      </c>
      <c r="D1306" s="1" t="n">
        <v>1950</v>
      </c>
      <c r="E1306" s="1" t="n">
        <v>3450</v>
      </c>
      <c r="F1306" s="1" t="n"/>
      <c r="G1306" s="1" t="n"/>
      <c r="H1306" s="1" t="n"/>
      <c r="I1306" s="1" t="inlineStr">
        <is>
          <t>STC</t>
        </is>
      </c>
      <c r="J1306" s="1" t="n">
        <v>718</v>
      </c>
      <c r="K1306" s="1" t="n"/>
      <c r="L1306" s="1" t="n">
        <v>1069</v>
      </c>
      <c r="M1306" s="1" t="n">
        <v>0.48</v>
      </c>
      <c r="N1306" s="1" t="n">
        <v>12.415</v>
      </c>
      <c r="O1306" s="1" t="n">
        <v>12.259</v>
      </c>
      <c r="P1306" s="9" t="n"/>
    </row>
    <row r="1307">
      <c r="A1307" s="8" t="n">
        <v>13.375</v>
      </c>
      <c r="B1307" s="1" t="n">
        <v>68</v>
      </c>
      <c r="C1307" s="1" t="inlineStr">
        <is>
          <t>K-55</t>
        </is>
      </c>
      <c r="D1307" s="1" t="n">
        <v>1950</v>
      </c>
      <c r="E1307" s="1" t="n">
        <v>3450</v>
      </c>
      <c r="F1307" s="1" t="n"/>
      <c r="G1307" s="1" t="n"/>
      <c r="H1307" s="1" t="n"/>
      <c r="I1307" s="1" t="inlineStr">
        <is>
          <t>BTC</t>
        </is>
      </c>
      <c r="J1307" s="1" t="n">
        <v>1300</v>
      </c>
      <c r="K1307" s="1" t="n"/>
      <c r="L1307" s="1" t="n">
        <v>1069</v>
      </c>
      <c r="M1307" s="1" t="n">
        <v>0.48</v>
      </c>
      <c r="N1307" s="1" t="n">
        <v>12.415</v>
      </c>
      <c r="O1307" s="1" t="n">
        <v>12.259</v>
      </c>
      <c r="P1307" s="9" t="n"/>
    </row>
    <row r="1308">
      <c r="A1308" s="6" t="n">
        <v>13.375</v>
      </c>
      <c r="B1308" s="2" t="n">
        <v>68</v>
      </c>
      <c r="C1308" s="2" t="inlineStr">
        <is>
          <t>HCK-55</t>
        </is>
      </c>
      <c r="D1308" s="2" t="n">
        <v>2850</v>
      </c>
      <c r="E1308" s="2" t="n">
        <v>3450</v>
      </c>
      <c r="F1308" s="2" t="n"/>
      <c r="G1308" s="2" t="n"/>
      <c r="H1308" s="2" t="n"/>
      <c r="I1308" s="2" t="inlineStr">
        <is>
          <t>STC</t>
        </is>
      </c>
      <c r="J1308" s="2" t="n">
        <v>905</v>
      </c>
      <c r="K1308" s="2" t="n"/>
      <c r="L1308" s="2" t="n">
        <v>1069</v>
      </c>
      <c r="M1308" s="2" t="n">
        <v>0.48</v>
      </c>
      <c r="N1308" s="2" t="n">
        <v>12.415</v>
      </c>
      <c r="O1308" s="2" t="n">
        <v>12.259</v>
      </c>
      <c r="P1308" s="7" t="n"/>
    </row>
    <row r="1309">
      <c r="A1309" s="6" t="n">
        <v>13.375</v>
      </c>
      <c r="B1309" s="2" t="n">
        <v>68</v>
      </c>
      <c r="C1309" s="2" t="inlineStr">
        <is>
          <t>HCK-55</t>
        </is>
      </c>
      <c r="D1309" s="2" t="n">
        <v>2850</v>
      </c>
      <c r="E1309" s="2" t="n">
        <v>3450</v>
      </c>
      <c r="F1309" s="2" t="n"/>
      <c r="G1309" s="2" t="n"/>
      <c r="H1309" s="2" t="n"/>
      <c r="I1309" s="2" t="inlineStr">
        <is>
          <t>BTC</t>
        </is>
      </c>
      <c r="J1309" s="2" t="n">
        <v>1496</v>
      </c>
      <c r="K1309" s="2" t="n"/>
      <c r="L1309" s="2" t="n">
        <v>1069</v>
      </c>
      <c r="M1309" s="2" t="n">
        <v>0.48</v>
      </c>
      <c r="N1309" s="2" t="n">
        <v>12.415</v>
      </c>
      <c r="O1309" s="2" t="n">
        <v>12.259</v>
      </c>
      <c r="P1309" s="7" t="n"/>
    </row>
    <row r="1310">
      <c r="A1310" s="8" t="n">
        <v>13.375</v>
      </c>
      <c r="B1310" s="1" t="n">
        <v>68</v>
      </c>
      <c r="C1310" s="1" t="inlineStr">
        <is>
          <t>L-80</t>
        </is>
      </c>
      <c r="D1310" s="1" t="n">
        <v>2260</v>
      </c>
      <c r="E1310" s="1" t="n">
        <v>5020</v>
      </c>
      <c r="F1310" s="1" t="n"/>
      <c r="G1310" s="1" t="n"/>
      <c r="H1310" s="1" t="n"/>
      <c r="I1310" s="1" t="inlineStr">
        <is>
          <t>STC</t>
        </is>
      </c>
      <c r="J1310" s="1" t="n">
        <v>952</v>
      </c>
      <c r="K1310" s="1" t="n"/>
      <c r="L1310" s="1" t="n">
        <v>1556</v>
      </c>
      <c r="M1310" s="1" t="n">
        <v>0.48</v>
      </c>
      <c r="N1310" s="1" t="n">
        <v>12.415</v>
      </c>
      <c r="O1310" s="1" t="n">
        <v>12.259</v>
      </c>
      <c r="P1310" s="9" t="n"/>
    </row>
    <row r="1311">
      <c r="A1311" s="8" t="n">
        <v>13.375</v>
      </c>
      <c r="B1311" s="1" t="n">
        <v>68</v>
      </c>
      <c r="C1311" s="1" t="inlineStr">
        <is>
          <t>L-80</t>
        </is>
      </c>
      <c r="D1311" s="1" t="n">
        <v>2260</v>
      </c>
      <c r="E1311" s="1" t="n">
        <v>5020</v>
      </c>
      <c r="F1311" s="1" t="n"/>
      <c r="G1311" s="1" t="n"/>
      <c r="H1311" s="1" t="n"/>
      <c r="I1311" s="1" t="inlineStr">
        <is>
          <t>BTC</t>
        </is>
      </c>
      <c r="J1311" s="1" t="n">
        <v>1545</v>
      </c>
      <c r="K1311" s="1" t="n"/>
      <c r="L1311" s="1" t="n">
        <v>1556</v>
      </c>
      <c r="M1311" s="1" t="n">
        <v>0.48</v>
      </c>
      <c r="N1311" s="1" t="n">
        <v>12.415</v>
      </c>
      <c r="O1311" s="1" t="n">
        <v>12.259</v>
      </c>
      <c r="P1311" s="9" t="n"/>
    </row>
    <row r="1312">
      <c r="A1312" s="6" t="n">
        <v>13.375</v>
      </c>
      <c r="B1312" s="2" t="n">
        <v>68</v>
      </c>
      <c r="C1312" s="2" t="inlineStr">
        <is>
          <t>HCL-80</t>
        </is>
      </c>
      <c r="D1312" s="2" t="n">
        <v>2910</v>
      </c>
      <c r="E1312" s="2" t="n">
        <v>5020</v>
      </c>
      <c r="F1312" s="2" t="n"/>
      <c r="G1312" s="2" t="n"/>
      <c r="H1312" s="2" t="n"/>
      <c r="I1312" s="2" t="inlineStr">
        <is>
          <t>STC</t>
        </is>
      </c>
      <c r="J1312" s="2" t="n">
        <v>1093</v>
      </c>
      <c r="K1312" s="2" t="n"/>
      <c r="L1312" s="2" t="n">
        <v>1556</v>
      </c>
      <c r="M1312" s="2" t="n">
        <v>0.48</v>
      </c>
      <c r="N1312" s="2" t="n">
        <v>12.415</v>
      </c>
      <c r="O1312" s="2" t="n">
        <v>12.259</v>
      </c>
      <c r="P1312" s="7" t="n"/>
    </row>
    <row r="1313">
      <c r="A1313" s="6" t="n">
        <v>13.375</v>
      </c>
      <c r="B1313" s="2" t="n">
        <v>68</v>
      </c>
      <c r="C1313" s="2" t="inlineStr">
        <is>
          <t>HCL-80</t>
        </is>
      </c>
      <c r="D1313" s="2" t="n">
        <v>2910</v>
      </c>
      <c r="E1313" s="2" t="n">
        <v>5020</v>
      </c>
      <c r="F1313" s="2" t="n"/>
      <c r="G1313" s="2" t="n"/>
      <c r="H1313" s="2" t="n"/>
      <c r="I1313" s="2" t="inlineStr">
        <is>
          <t>BTC</t>
        </is>
      </c>
      <c r="J1313" s="2" t="n">
        <v>1732</v>
      </c>
      <c r="K1313" s="2" t="n"/>
      <c r="L1313" s="2" t="n">
        <v>1556</v>
      </c>
      <c r="M1313" s="2" t="n">
        <v>0.48</v>
      </c>
      <c r="N1313" s="2" t="n">
        <v>12.415</v>
      </c>
      <c r="O1313" s="2" t="n">
        <v>12.259</v>
      </c>
      <c r="P1313" s="7" t="n"/>
    </row>
    <row r="1314">
      <c r="A1314" s="8" t="n">
        <v>13.375</v>
      </c>
      <c r="B1314" s="1" t="n">
        <v>68</v>
      </c>
      <c r="C1314" s="1" t="inlineStr">
        <is>
          <t>N-80</t>
        </is>
      </c>
      <c r="D1314" s="1" t="n">
        <v>2260</v>
      </c>
      <c r="E1314" s="1" t="n">
        <v>5020</v>
      </c>
      <c r="F1314" s="1" t="n"/>
      <c r="G1314" s="1" t="n"/>
      <c r="H1314" s="1" t="n"/>
      <c r="I1314" s="1" t="inlineStr">
        <is>
          <t>STC</t>
        </is>
      </c>
      <c r="J1314" s="1" t="n">
        <v>963</v>
      </c>
      <c r="K1314" s="1" t="n"/>
      <c r="L1314" s="1" t="n">
        <v>1556</v>
      </c>
      <c r="M1314" s="1" t="n">
        <v>0.48</v>
      </c>
      <c r="N1314" s="1" t="n">
        <v>12.415</v>
      </c>
      <c r="O1314" s="1" t="n">
        <v>12.259</v>
      </c>
      <c r="P1314" s="9" t="n"/>
    </row>
    <row r="1315">
      <c r="A1315" s="8" t="n">
        <v>13.375</v>
      </c>
      <c r="B1315" s="1" t="n">
        <v>68</v>
      </c>
      <c r="C1315" s="1" t="inlineStr">
        <is>
          <t>N-80</t>
        </is>
      </c>
      <c r="D1315" s="1" t="n">
        <v>2260</v>
      </c>
      <c r="E1315" s="1" t="n">
        <v>5020</v>
      </c>
      <c r="F1315" s="1" t="n"/>
      <c r="G1315" s="1" t="n"/>
      <c r="H1315" s="1" t="n"/>
      <c r="I1315" s="1" t="inlineStr">
        <is>
          <t>BTC</t>
        </is>
      </c>
      <c r="J1315" s="1" t="n">
        <v>1585</v>
      </c>
      <c r="K1315" s="1" t="n"/>
      <c r="L1315" s="1" t="n">
        <v>1556</v>
      </c>
      <c r="M1315" s="1" t="n">
        <v>0.48</v>
      </c>
      <c r="N1315" s="1" t="n">
        <v>12.415</v>
      </c>
      <c r="O1315" s="1" t="n">
        <v>12.259</v>
      </c>
      <c r="P1315" s="9" t="n"/>
    </row>
    <row r="1316">
      <c r="A1316" s="6" t="n">
        <v>13.375</v>
      </c>
      <c r="B1316" s="2" t="n">
        <v>68</v>
      </c>
      <c r="C1316" s="2" t="inlineStr">
        <is>
          <t>HCN-80</t>
        </is>
      </c>
      <c r="D1316" s="2" t="n">
        <v>2910</v>
      </c>
      <c r="E1316" s="2" t="n">
        <v>5020</v>
      </c>
      <c r="F1316" s="2" t="n"/>
      <c r="G1316" s="2" t="n"/>
      <c r="H1316" s="2" t="n"/>
      <c r="I1316" s="2" t="inlineStr">
        <is>
          <t>STC</t>
        </is>
      </c>
      <c r="J1316" s="2" t="n">
        <v>1103</v>
      </c>
      <c r="K1316" s="2" t="n"/>
      <c r="L1316" s="2" t="n">
        <v>1556</v>
      </c>
      <c r="M1316" s="2" t="n">
        <v>0.48</v>
      </c>
      <c r="N1316" s="2" t="n">
        <v>12.415</v>
      </c>
      <c r="O1316" s="2" t="n">
        <v>12.259</v>
      </c>
      <c r="P1316" s="7" t="n"/>
    </row>
    <row r="1317">
      <c r="A1317" s="6" t="n">
        <v>13.375</v>
      </c>
      <c r="B1317" s="2" t="n">
        <v>68</v>
      </c>
      <c r="C1317" s="2" t="inlineStr">
        <is>
          <t>HCN-80</t>
        </is>
      </c>
      <c r="D1317" s="2" t="n">
        <v>2910</v>
      </c>
      <c r="E1317" s="2" t="n">
        <v>5020</v>
      </c>
      <c r="F1317" s="2" t="n"/>
      <c r="G1317" s="2" t="n"/>
      <c r="H1317" s="2" t="n"/>
      <c r="I1317" s="2" t="inlineStr">
        <is>
          <t>BTC</t>
        </is>
      </c>
      <c r="J1317" s="2" t="n">
        <v>1732</v>
      </c>
      <c r="K1317" s="2" t="n"/>
      <c r="L1317" s="2" t="n">
        <v>1556</v>
      </c>
      <c r="M1317" s="2" t="n">
        <v>0.48</v>
      </c>
      <c r="N1317" s="2" t="n">
        <v>12.415</v>
      </c>
      <c r="O1317" s="2" t="n">
        <v>12.259</v>
      </c>
      <c r="P1317" s="7" t="n"/>
    </row>
    <row r="1318">
      <c r="A1318" s="8" t="n">
        <v>13.375</v>
      </c>
      <c r="B1318" s="1" t="n">
        <v>68</v>
      </c>
      <c r="C1318" s="1" t="inlineStr">
        <is>
          <t>C-90</t>
        </is>
      </c>
      <c r="D1318" s="1" t="n">
        <v>2320</v>
      </c>
      <c r="E1318" s="1" t="n">
        <v>5650</v>
      </c>
      <c r="F1318" s="1" t="n"/>
      <c r="G1318" s="1" t="n"/>
      <c r="H1318" s="1" t="n"/>
      <c r="I1318" s="1" t="inlineStr">
        <is>
          <t>STC</t>
        </is>
      </c>
      <c r="J1318" s="1" t="n">
        <v>1057</v>
      </c>
      <c r="K1318" s="1" t="n"/>
      <c r="L1318" s="1" t="n">
        <v>1750</v>
      </c>
      <c r="M1318" s="1" t="n">
        <v>0.48</v>
      </c>
      <c r="N1318" s="1" t="n">
        <v>12.415</v>
      </c>
      <c r="O1318" s="1" t="n">
        <v>12.259</v>
      </c>
      <c r="P1318" s="9" t="n"/>
    </row>
    <row r="1319">
      <c r="A1319" s="8" t="n">
        <v>13.375</v>
      </c>
      <c r="B1319" s="1" t="n">
        <v>68</v>
      </c>
      <c r="C1319" s="1" t="inlineStr">
        <is>
          <t>C-90</t>
        </is>
      </c>
      <c r="D1319" s="1" t="n">
        <v>2320</v>
      </c>
      <c r="E1319" s="1" t="n">
        <v>5650</v>
      </c>
      <c r="F1319" s="1" t="n"/>
      <c r="G1319" s="1" t="n"/>
      <c r="H1319" s="1" t="n"/>
      <c r="I1319" s="1" t="inlineStr">
        <is>
          <t>BTC</t>
        </is>
      </c>
      <c r="J1319" s="1" t="n">
        <v>1683</v>
      </c>
      <c r="K1319" s="1" t="n"/>
      <c r="L1319" s="1" t="n">
        <v>1750</v>
      </c>
      <c r="M1319" s="1" t="n">
        <v>0.48</v>
      </c>
      <c r="N1319" s="1" t="n">
        <v>12.415</v>
      </c>
      <c r="O1319" s="1" t="n">
        <v>12.259</v>
      </c>
      <c r="P1319" s="9" t="n"/>
    </row>
    <row r="1320">
      <c r="A1320" s="6" t="n">
        <v>13.375</v>
      </c>
      <c r="B1320" s="2" t="n">
        <v>68</v>
      </c>
      <c r="C1320" s="2" t="inlineStr">
        <is>
          <t>S-95</t>
        </is>
      </c>
      <c r="D1320" s="2" t="n">
        <v>2910</v>
      </c>
      <c r="E1320" s="2" t="n">
        <v>5970</v>
      </c>
      <c r="F1320" s="2" t="n"/>
      <c r="G1320" s="2" t="n"/>
      <c r="H1320" s="2" t="n"/>
      <c r="I1320" s="2" t="inlineStr">
        <is>
          <t>STC</t>
        </is>
      </c>
      <c r="J1320" s="2" t="n">
        <v>1125</v>
      </c>
      <c r="K1320" s="2" t="n"/>
      <c r="L1320" s="2" t="n">
        <v>1847</v>
      </c>
      <c r="M1320" s="2" t="n">
        <v>0.48</v>
      </c>
      <c r="N1320" s="2" t="n">
        <v>12.415</v>
      </c>
      <c r="O1320" s="2" t="n">
        <v>12.259</v>
      </c>
      <c r="P1320" s="7" t="n"/>
    </row>
    <row r="1321">
      <c r="A1321" s="6" t="n">
        <v>13.375</v>
      </c>
      <c r="B1321" s="2" t="n">
        <v>68</v>
      </c>
      <c r="C1321" s="2" t="inlineStr">
        <is>
          <t>S-95</t>
        </is>
      </c>
      <c r="D1321" s="2" t="n">
        <v>2910</v>
      </c>
      <c r="E1321" s="2" t="n">
        <v>5970</v>
      </c>
      <c r="F1321" s="2" t="n"/>
      <c r="G1321" s="2" t="n"/>
      <c r="H1321" s="2" t="n"/>
      <c r="I1321" s="2" t="inlineStr">
        <is>
          <t>BTC</t>
        </is>
      </c>
      <c r="J1321" s="2" t="n">
        <v>1812</v>
      </c>
      <c r="K1321" s="2" t="n"/>
      <c r="L1321" s="2" t="n">
        <v>1847</v>
      </c>
      <c r="M1321" s="2" t="n">
        <v>0.48</v>
      </c>
      <c r="N1321" s="2" t="n">
        <v>12.415</v>
      </c>
      <c r="O1321" s="2" t="n">
        <v>12.259</v>
      </c>
      <c r="P1321" s="7" t="n"/>
    </row>
    <row r="1322">
      <c r="A1322" s="8" t="n">
        <v>13.375</v>
      </c>
      <c r="B1322" s="1" t="n">
        <v>68</v>
      </c>
      <c r="C1322" s="1" t="inlineStr">
        <is>
          <t>T-95</t>
        </is>
      </c>
      <c r="D1322" s="1" t="n">
        <v>2330</v>
      </c>
      <c r="E1322" s="1" t="n">
        <v>5970</v>
      </c>
      <c r="F1322" s="1" t="n"/>
      <c r="G1322" s="1" t="n"/>
      <c r="H1322" s="1" t="n"/>
      <c r="I1322" s="1" t="inlineStr">
        <is>
          <t>STC</t>
        </is>
      </c>
      <c r="J1322" s="1" t="n">
        <v>1114</v>
      </c>
      <c r="K1322" s="1" t="n"/>
      <c r="L1322" s="1" t="n">
        <v>1847</v>
      </c>
      <c r="M1322" s="1" t="n">
        <v>0.48</v>
      </c>
      <c r="N1322" s="1" t="n">
        <v>12.415</v>
      </c>
      <c r="O1322" s="1" t="n">
        <v>12.259</v>
      </c>
      <c r="P1322" s="9" t="n"/>
    </row>
    <row r="1323">
      <c r="A1323" s="8" t="n">
        <v>13.375</v>
      </c>
      <c r="B1323" s="1" t="n">
        <v>68</v>
      </c>
      <c r="C1323" s="1" t="inlineStr">
        <is>
          <t>T-95</t>
        </is>
      </c>
      <c r="D1323" s="1" t="n">
        <v>2330</v>
      </c>
      <c r="E1323" s="1" t="n">
        <v>5970</v>
      </c>
      <c r="F1323" s="1" t="n"/>
      <c r="G1323" s="1" t="n"/>
      <c r="H1323" s="1" t="n"/>
      <c r="I1323" s="1" t="inlineStr">
        <is>
          <t>BTC</t>
        </is>
      </c>
      <c r="J1323" s="1" t="n">
        <v>1772</v>
      </c>
      <c r="K1323" s="1" t="n"/>
      <c r="L1323" s="1" t="n">
        <v>1847</v>
      </c>
      <c r="M1323" s="1" t="n">
        <v>0.48</v>
      </c>
      <c r="N1323" s="1" t="n">
        <v>12.415</v>
      </c>
      <c r="O1323" s="1" t="n">
        <v>12.259</v>
      </c>
      <c r="P1323" s="9" t="n"/>
    </row>
    <row r="1324">
      <c r="A1324" s="6" t="n">
        <v>13.375</v>
      </c>
      <c r="B1324" s="2" t="n">
        <v>68</v>
      </c>
      <c r="C1324" s="2" t="inlineStr">
        <is>
          <t>C-95</t>
        </is>
      </c>
      <c r="D1324" s="2" t="n">
        <v>2330</v>
      </c>
      <c r="E1324" s="2" t="n">
        <v>5970</v>
      </c>
      <c r="F1324" s="2" t="n"/>
      <c r="G1324" s="2" t="n"/>
      <c r="H1324" s="2" t="n"/>
      <c r="I1324" s="2" t="inlineStr">
        <is>
          <t>STC</t>
        </is>
      </c>
      <c r="J1324" s="2" t="n">
        <v>1114</v>
      </c>
      <c r="K1324" s="2" t="n"/>
      <c r="L1324" s="2" t="n">
        <v>1847</v>
      </c>
      <c r="M1324" s="2" t="n">
        <v>0.48</v>
      </c>
      <c r="N1324" s="2" t="n">
        <v>12.415</v>
      </c>
      <c r="O1324" s="2" t="n">
        <v>12.259</v>
      </c>
      <c r="P1324" s="7" t="n"/>
    </row>
    <row r="1325">
      <c r="A1325" s="6" t="n">
        <v>13.375</v>
      </c>
      <c r="B1325" s="2" t="n">
        <v>68</v>
      </c>
      <c r="C1325" s="2" t="inlineStr">
        <is>
          <t>C-95</t>
        </is>
      </c>
      <c r="D1325" s="2" t="n">
        <v>2330</v>
      </c>
      <c r="E1325" s="2" t="n">
        <v>5970</v>
      </c>
      <c r="F1325" s="2" t="n"/>
      <c r="G1325" s="2" t="n"/>
      <c r="H1325" s="2" t="n"/>
      <c r="I1325" s="2" t="inlineStr">
        <is>
          <t>BTC</t>
        </is>
      </c>
      <c r="J1325" s="2" t="n">
        <v>1772</v>
      </c>
      <c r="K1325" s="2" t="n"/>
      <c r="L1325" s="2" t="n">
        <v>1847</v>
      </c>
      <c r="M1325" s="2" t="n">
        <v>0.48</v>
      </c>
      <c r="N1325" s="2" t="n">
        <v>12.415</v>
      </c>
      <c r="O1325" s="2" t="n">
        <v>12.259</v>
      </c>
      <c r="P1325" s="7" t="n"/>
    </row>
    <row r="1326">
      <c r="A1326" s="8" t="n">
        <v>13.375</v>
      </c>
      <c r="B1326" s="1" t="n">
        <v>68</v>
      </c>
      <c r="C1326" s="1" t="inlineStr">
        <is>
          <t>HCP-110</t>
        </is>
      </c>
      <c r="D1326" s="1" t="n">
        <v>2910</v>
      </c>
      <c r="E1326" s="1" t="n">
        <v>6910</v>
      </c>
      <c r="F1326" s="1" t="n"/>
      <c r="G1326" s="1" t="n"/>
      <c r="H1326" s="1" t="n"/>
      <c r="I1326" s="1" t="inlineStr">
        <is>
          <t>STC</t>
        </is>
      </c>
      <c r="J1326" s="1" t="n">
        <v>1297</v>
      </c>
      <c r="K1326" s="1" t="n"/>
      <c r="L1326" s="1" t="n">
        <v>2139</v>
      </c>
      <c r="M1326" s="1" t="n">
        <v>0.48</v>
      </c>
      <c r="N1326" s="1" t="n">
        <v>12.415</v>
      </c>
      <c r="O1326" s="1" t="n">
        <v>12.259</v>
      </c>
      <c r="P1326" s="9" t="n"/>
    </row>
    <row r="1327">
      <c r="A1327" s="8" t="n">
        <v>13.375</v>
      </c>
      <c r="B1327" s="1" t="n">
        <v>68</v>
      </c>
      <c r="C1327" s="1" t="inlineStr">
        <is>
          <t>HCP-110</t>
        </is>
      </c>
      <c r="D1327" s="1" t="n">
        <v>2910</v>
      </c>
      <c r="E1327" s="1" t="n">
        <v>6910</v>
      </c>
      <c r="F1327" s="1" t="n"/>
      <c r="G1327" s="1" t="n"/>
      <c r="H1327" s="1" t="n"/>
      <c r="I1327" s="1" t="inlineStr">
        <is>
          <t>BTC</t>
        </is>
      </c>
      <c r="J1327" s="1" t="n">
        <v>2079</v>
      </c>
      <c r="K1327" s="1" t="n"/>
      <c r="L1327" s="1" t="n">
        <v>2139</v>
      </c>
      <c r="M1327" s="1" t="n">
        <v>0.48</v>
      </c>
      <c r="N1327" s="1" t="n">
        <v>12.415</v>
      </c>
      <c r="O1327" s="1" t="n">
        <v>12.259</v>
      </c>
      <c r="P1327" s="9" t="n"/>
    </row>
    <row r="1328">
      <c r="A1328" s="6" t="n">
        <v>13.375</v>
      </c>
      <c r="B1328" s="2" t="n">
        <v>68</v>
      </c>
      <c r="C1328" s="2" t="inlineStr">
        <is>
          <t>P-110</t>
        </is>
      </c>
      <c r="D1328" s="2" t="n">
        <v>2340</v>
      </c>
      <c r="E1328" s="2" t="n">
        <v>6910</v>
      </c>
      <c r="F1328" s="2" t="n"/>
      <c r="G1328" s="2" t="n"/>
      <c r="H1328" s="2" t="n"/>
      <c r="I1328" s="2" t="inlineStr">
        <is>
          <t>STC</t>
        </is>
      </c>
      <c r="J1328" s="2" t="n">
        <v>1297</v>
      </c>
      <c r="K1328" s="2" t="n"/>
      <c r="L1328" s="2" t="n">
        <v>2139</v>
      </c>
      <c r="M1328" s="2" t="n">
        <v>0.48</v>
      </c>
      <c r="N1328" s="2" t="n">
        <v>12.415</v>
      </c>
      <c r="O1328" s="2" t="n">
        <v>12.259</v>
      </c>
      <c r="P1328" s="7" t="n"/>
    </row>
    <row r="1329">
      <c r="A1329" s="6" t="n">
        <v>13.375</v>
      </c>
      <c r="B1329" s="2" t="n">
        <v>68</v>
      </c>
      <c r="C1329" s="2" t="inlineStr">
        <is>
          <t>P-110</t>
        </is>
      </c>
      <c r="D1329" s="2" t="n">
        <v>2340</v>
      </c>
      <c r="E1329" s="2" t="n">
        <v>6910</v>
      </c>
      <c r="F1329" s="2" t="n"/>
      <c r="G1329" s="2" t="n"/>
      <c r="H1329" s="2" t="n"/>
      <c r="I1329" s="2" t="inlineStr">
        <is>
          <t>BTC</t>
        </is>
      </c>
      <c r="J1329" s="2" t="n">
        <v>2079</v>
      </c>
      <c r="K1329" s="2" t="n"/>
      <c r="L1329" s="2" t="n">
        <v>2139</v>
      </c>
      <c r="M1329" s="2" t="n">
        <v>0.48</v>
      </c>
      <c r="N1329" s="2" t="n">
        <v>12.415</v>
      </c>
      <c r="O1329" s="2" t="n">
        <v>12.259</v>
      </c>
      <c r="P1329" s="7" t="n"/>
    </row>
    <row r="1330">
      <c r="A1330" s="8" t="n">
        <v>13.375</v>
      </c>
      <c r="B1330" s="1" t="n">
        <v>72</v>
      </c>
      <c r="C1330" s="1" t="inlineStr">
        <is>
          <t>L-80</t>
        </is>
      </c>
      <c r="D1330" s="1" t="n">
        <v>2670</v>
      </c>
      <c r="E1330" s="1" t="n">
        <v>5380</v>
      </c>
      <c r="F1330" s="1" t="n"/>
      <c r="G1330" s="1" t="n"/>
      <c r="H1330" s="1" t="n"/>
      <c r="I1330" s="1" t="inlineStr">
        <is>
          <t>STC</t>
        </is>
      </c>
      <c r="J1330" s="1" t="n">
        <v>1029</v>
      </c>
      <c r="K1330" s="1" t="n"/>
      <c r="L1330" s="1" t="n">
        <v>1661</v>
      </c>
      <c r="M1330" s="1" t="n">
        <v>0.514</v>
      </c>
      <c r="N1330" s="1" t="n">
        <v>12.347</v>
      </c>
      <c r="O1330" s="1" t="n">
        <v>12.191</v>
      </c>
      <c r="P1330" s="9" t="n">
        <v>12.25</v>
      </c>
    </row>
    <row r="1331">
      <c r="A1331" s="8" t="n">
        <v>13.375</v>
      </c>
      <c r="B1331" s="1" t="n">
        <v>72</v>
      </c>
      <c r="C1331" s="1" t="inlineStr">
        <is>
          <t>L-80</t>
        </is>
      </c>
      <c r="D1331" s="1" t="n">
        <v>2670</v>
      </c>
      <c r="E1331" s="1" t="n">
        <v>5380</v>
      </c>
      <c r="F1331" s="1" t="n"/>
      <c r="G1331" s="1" t="n"/>
      <c r="H1331" s="1" t="n"/>
      <c r="I1331" s="1" t="inlineStr">
        <is>
          <t>BTC</t>
        </is>
      </c>
      <c r="J1331" s="1" t="n">
        <v>1650</v>
      </c>
      <c r="K1331" s="1" t="n"/>
      <c r="L1331" s="1" t="n">
        <v>1661</v>
      </c>
      <c r="M1331" s="1" t="n">
        <v>0.514</v>
      </c>
      <c r="N1331" s="1" t="n">
        <v>12.347</v>
      </c>
      <c r="O1331" s="1" t="n">
        <v>12.191</v>
      </c>
      <c r="P1331" s="9" t="n">
        <v>12.25</v>
      </c>
    </row>
    <row r="1332">
      <c r="A1332" s="6" t="n">
        <v>13.375</v>
      </c>
      <c r="B1332" s="2" t="n">
        <v>72</v>
      </c>
      <c r="C1332" s="2" t="inlineStr">
        <is>
          <t>HCL-80</t>
        </is>
      </c>
      <c r="D1332" s="2" t="n">
        <v>3470</v>
      </c>
      <c r="E1332" s="2" t="n">
        <v>5380</v>
      </c>
      <c r="F1332" s="2" t="n"/>
      <c r="G1332" s="2" t="n"/>
      <c r="H1332" s="2" t="n"/>
      <c r="I1332" s="2" t="inlineStr">
        <is>
          <t>STC</t>
        </is>
      </c>
      <c r="J1332" s="2" t="n">
        <v>1181</v>
      </c>
      <c r="K1332" s="2" t="n"/>
      <c r="L1332" s="2" t="n">
        <v>1661</v>
      </c>
      <c r="M1332" s="2" t="n">
        <v>0.514</v>
      </c>
      <c r="N1332" s="2" t="n">
        <v>12.347</v>
      </c>
      <c r="O1332" s="2" t="n">
        <v>12.191</v>
      </c>
      <c r="P1332" s="7" t="n">
        <v>12.25</v>
      </c>
    </row>
    <row r="1333">
      <c r="A1333" s="6" t="n">
        <v>13.375</v>
      </c>
      <c r="B1333" s="2" t="n">
        <v>72</v>
      </c>
      <c r="C1333" s="2" t="inlineStr">
        <is>
          <t>HCL-80</t>
        </is>
      </c>
      <c r="D1333" s="2" t="n">
        <v>3470</v>
      </c>
      <c r="E1333" s="2" t="n">
        <v>5380</v>
      </c>
      <c r="F1333" s="2" t="n"/>
      <c r="G1333" s="2" t="n"/>
      <c r="H1333" s="2" t="n"/>
      <c r="I1333" s="2" t="inlineStr">
        <is>
          <t>BTC</t>
        </is>
      </c>
      <c r="J1333" s="2" t="n">
        <v>1850</v>
      </c>
      <c r="K1333" s="2" t="n"/>
      <c r="L1333" s="2" t="n">
        <v>1661</v>
      </c>
      <c r="M1333" s="2" t="n">
        <v>0.514</v>
      </c>
      <c r="N1333" s="2" t="n">
        <v>12.347</v>
      </c>
      <c r="O1333" s="2" t="n">
        <v>12.191</v>
      </c>
      <c r="P1333" s="7" t="n">
        <v>12.25</v>
      </c>
    </row>
    <row r="1334">
      <c r="A1334" s="8" t="n">
        <v>13.375</v>
      </c>
      <c r="B1334" s="1" t="n">
        <v>72</v>
      </c>
      <c r="C1334" s="1" t="inlineStr">
        <is>
          <t>N-80</t>
        </is>
      </c>
      <c r="D1334" s="1" t="n">
        <v>2670</v>
      </c>
      <c r="E1334" s="1" t="n">
        <v>5380</v>
      </c>
      <c r="F1334" s="1" t="n"/>
      <c r="G1334" s="1" t="n"/>
      <c r="H1334" s="1" t="n"/>
      <c r="I1334" s="1" t="inlineStr">
        <is>
          <t>STC</t>
        </is>
      </c>
      <c r="J1334" s="1" t="n">
        <v>1040</v>
      </c>
      <c r="K1334" s="1" t="n"/>
      <c r="L1334" s="1" t="n">
        <v>1661</v>
      </c>
      <c r="M1334" s="1" t="n">
        <v>0.514</v>
      </c>
      <c r="N1334" s="1" t="n">
        <v>12.347</v>
      </c>
      <c r="O1334" s="1" t="n">
        <v>12.191</v>
      </c>
      <c r="P1334" s="9" t="n">
        <v>12.25</v>
      </c>
    </row>
    <row r="1335">
      <c r="A1335" s="8" t="n">
        <v>13.375</v>
      </c>
      <c r="B1335" s="1" t="n">
        <v>72</v>
      </c>
      <c r="C1335" s="1" t="inlineStr">
        <is>
          <t>N-80</t>
        </is>
      </c>
      <c r="D1335" s="1" t="n">
        <v>2670</v>
      </c>
      <c r="E1335" s="1" t="n">
        <v>5380</v>
      </c>
      <c r="F1335" s="1" t="n"/>
      <c r="G1335" s="1" t="n"/>
      <c r="H1335" s="1" t="n"/>
      <c r="I1335" s="1" t="inlineStr">
        <is>
          <t>BTC</t>
        </is>
      </c>
      <c r="J1335" s="1" t="n">
        <v>1693</v>
      </c>
      <c r="K1335" s="1" t="n"/>
      <c r="L1335" s="1" t="n">
        <v>1661</v>
      </c>
      <c r="M1335" s="1" t="n">
        <v>0.514</v>
      </c>
      <c r="N1335" s="1" t="n">
        <v>12.347</v>
      </c>
      <c r="O1335" s="1" t="n">
        <v>12.191</v>
      </c>
      <c r="P1335" s="9" t="n">
        <v>12.25</v>
      </c>
    </row>
    <row r="1336">
      <c r="A1336" s="6" t="n">
        <v>13.375</v>
      </c>
      <c r="B1336" s="2" t="n">
        <v>72</v>
      </c>
      <c r="C1336" s="2" t="inlineStr">
        <is>
          <t>HCN-80</t>
        </is>
      </c>
      <c r="D1336" s="2" t="n">
        <v>3470</v>
      </c>
      <c r="E1336" s="2" t="n">
        <v>5380</v>
      </c>
      <c r="F1336" s="2" t="n"/>
      <c r="G1336" s="2" t="n"/>
      <c r="H1336" s="2" t="n"/>
      <c r="I1336" s="2" t="inlineStr">
        <is>
          <t>STC</t>
        </is>
      </c>
      <c r="J1336" s="2" t="n">
        <v>1192</v>
      </c>
      <c r="K1336" s="2" t="n"/>
      <c r="L1336" s="2" t="n">
        <v>1661</v>
      </c>
      <c r="M1336" s="2" t="n">
        <v>0.514</v>
      </c>
      <c r="N1336" s="2" t="n">
        <v>12.347</v>
      </c>
      <c r="O1336" s="2" t="n">
        <v>12.191</v>
      </c>
      <c r="P1336" s="7" t="n">
        <v>12.25</v>
      </c>
    </row>
    <row r="1337">
      <c r="A1337" s="6" t="n">
        <v>13.375</v>
      </c>
      <c r="B1337" s="2" t="n">
        <v>72</v>
      </c>
      <c r="C1337" s="2" t="inlineStr">
        <is>
          <t>HCN-80</t>
        </is>
      </c>
      <c r="D1337" s="2" t="n">
        <v>3470</v>
      </c>
      <c r="E1337" s="2" t="n">
        <v>5380</v>
      </c>
      <c r="F1337" s="2" t="n"/>
      <c r="G1337" s="2" t="n"/>
      <c r="H1337" s="2" t="n"/>
      <c r="I1337" s="2" t="inlineStr">
        <is>
          <t>BTC</t>
        </is>
      </c>
      <c r="J1337" s="2" t="n">
        <v>1850</v>
      </c>
      <c r="K1337" s="2" t="n"/>
      <c r="L1337" s="2" t="n">
        <v>1661</v>
      </c>
      <c r="M1337" s="2" t="n">
        <v>0.514</v>
      </c>
      <c r="N1337" s="2" t="n">
        <v>12.347</v>
      </c>
      <c r="O1337" s="2" t="n">
        <v>12.191</v>
      </c>
      <c r="P1337" s="7" t="n">
        <v>12.25</v>
      </c>
    </row>
    <row r="1338">
      <c r="A1338" s="8" t="n">
        <v>13.375</v>
      </c>
      <c r="B1338" s="1" t="n">
        <v>72</v>
      </c>
      <c r="C1338" s="1" t="inlineStr">
        <is>
          <t>C-90</t>
        </is>
      </c>
      <c r="D1338" s="1" t="n">
        <v>2780</v>
      </c>
      <c r="E1338" s="1" t="n">
        <v>6050</v>
      </c>
      <c r="F1338" s="1" t="n"/>
      <c r="G1338" s="1" t="n"/>
      <c r="H1338" s="1" t="n"/>
      <c r="I1338" s="1" t="inlineStr">
        <is>
          <t>STC</t>
        </is>
      </c>
      <c r="J1338" s="1" t="n">
        <v>1142</v>
      </c>
      <c r="K1338" s="1" t="n"/>
      <c r="L1338" s="1" t="n">
        <v>1869</v>
      </c>
      <c r="M1338" s="1" t="n">
        <v>0.514</v>
      </c>
      <c r="N1338" s="1" t="n">
        <v>12.347</v>
      </c>
      <c r="O1338" s="1" t="n">
        <v>12.191</v>
      </c>
      <c r="P1338" s="9" t="n">
        <v>12.25</v>
      </c>
    </row>
    <row r="1339">
      <c r="A1339" s="8" t="n">
        <v>13.375</v>
      </c>
      <c r="B1339" s="1" t="n">
        <v>72</v>
      </c>
      <c r="C1339" s="1" t="inlineStr">
        <is>
          <t>C-90</t>
        </is>
      </c>
      <c r="D1339" s="1" t="n">
        <v>2780</v>
      </c>
      <c r="E1339" s="1" t="n">
        <v>6050</v>
      </c>
      <c r="F1339" s="1" t="n"/>
      <c r="G1339" s="1" t="n"/>
      <c r="H1339" s="1" t="n"/>
      <c r="I1339" s="1" t="inlineStr">
        <is>
          <t>BTC</t>
        </is>
      </c>
      <c r="J1339" s="1" t="n">
        <v>1798</v>
      </c>
      <c r="K1339" s="1" t="n"/>
      <c r="L1339" s="1" t="n">
        <v>1869</v>
      </c>
      <c r="M1339" s="1" t="n">
        <v>0.514</v>
      </c>
      <c r="N1339" s="1" t="n">
        <v>12.347</v>
      </c>
      <c r="O1339" s="1" t="n">
        <v>12.191</v>
      </c>
      <c r="P1339" s="9" t="n">
        <v>12.25</v>
      </c>
    </row>
    <row r="1340">
      <c r="A1340" s="6" t="n">
        <v>13.375</v>
      </c>
      <c r="B1340" s="2" t="n">
        <v>72</v>
      </c>
      <c r="C1340" s="2" t="inlineStr">
        <is>
          <t>H2S-90</t>
        </is>
      </c>
      <c r="D1340" s="2" t="n">
        <v>3470</v>
      </c>
      <c r="E1340" s="2" t="n">
        <v>6050</v>
      </c>
      <c r="F1340" s="2" t="n"/>
      <c r="G1340" s="2" t="n"/>
      <c r="H1340" s="2" t="n"/>
      <c r="I1340" s="2" t="inlineStr">
        <is>
          <t>STC</t>
        </is>
      </c>
      <c r="J1340" s="2" t="n">
        <v>1192</v>
      </c>
      <c r="K1340" s="2" t="n"/>
      <c r="L1340" s="2" t="n">
        <v>1869</v>
      </c>
      <c r="M1340" s="2" t="n">
        <v>0.514</v>
      </c>
      <c r="N1340" s="2" t="n">
        <v>12.347</v>
      </c>
      <c r="O1340" s="2" t="n">
        <v>12.191</v>
      </c>
      <c r="P1340" s="7" t="n">
        <v>12.25</v>
      </c>
    </row>
    <row r="1341">
      <c r="A1341" s="6" t="n">
        <v>13.375</v>
      </c>
      <c r="B1341" s="2" t="n">
        <v>72</v>
      </c>
      <c r="C1341" s="2" t="inlineStr">
        <is>
          <t>H2S-90</t>
        </is>
      </c>
      <c r="D1341" s="2" t="n">
        <v>3470</v>
      </c>
      <c r="E1341" s="2" t="n">
        <v>6050</v>
      </c>
      <c r="F1341" s="2" t="n"/>
      <c r="G1341" s="2" t="n"/>
      <c r="H1341" s="2" t="n"/>
      <c r="I1341" s="2" t="inlineStr">
        <is>
          <t>BTC</t>
        </is>
      </c>
      <c r="J1341" s="2" t="n">
        <v>1850</v>
      </c>
      <c r="K1341" s="2" t="n"/>
      <c r="L1341" s="2" t="n">
        <v>1869</v>
      </c>
      <c r="M1341" s="2" t="n">
        <v>0.514</v>
      </c>
      <c r="N1341" s="2" t="n">
        <v>12.347</v>
      </c>
      <c r="O1341" s="2" t="n">
        <v>12.191</v>
      </c>
      <c r="P1341" s="7" t="n">
        <v>12.25</v>
      </c>
    </row>
    <row r="1342">
      <c r="A1342" s="8" t="n">
        <v>13.375</v>
      </c>
      <c r="B1342" s="1" t="n">
        <v>72</v>
      </c>
      <c r="C1342" s="1" t="inlineStr">
        <is>
          <t>S-95</t>
        </is>
      </c>
      <c r="D1342" s="1" t="n">
        <v>3470</v>
      </c>
      <c r="E1342" s="1" t="n">
        <v>6390</v>
      </c>
      <c r="F1342" s="1" t="n"/>
      <c r="G1342" s="1" t="n"/>
      <c r="H1342" s="1" t="n"/>
      <c r="I1342" s="1" t="inlineStr">
        <is>
          <t>STC</t>
        </is>
      </c>
      <c r="J1342" s="1" t="n">
        <v>1215</v>
      </c>
      <c r="K1342" s="1" t="n"/>
      <c r="L1342" s="1" t="n">
        <v>1973</v>
      </c>
      <c r="M1342" s="1" t="n">
        <v>0.514</v>
      </c>
      <c r="N1342" s="1" t="n">
        <v>12.347</v>
      </c>
      <c r="O1342" s="1" t="n">
        <v>12.191</v>
      </c>
      <c r="P1342" s="9" t="n">
        <v>12.25</v>
      </c>
    </row>
    <row r="1343">
      <c r="A1343" s="8" t="n">
        <v>13.375</v>
      </c>
      <c r="B1343" s="1" t="n">
        <v>72</v>
      </c>
      <c r="C1343" s="1" t="inlineStr">
        <is>
          <t>S-95</t>
        </is>
      </c>
      <c r="D1343" s="1" t="n">
        <v>3470</v>
      </c>
      <c r="E1343" s="1" t="n">
        <v>6390</v>
      </c>
      <c r="F1343" s="1" t="n"/>
      <c r="G1343" s="1" t="n"/>
      <c r="H1343" s="1" t="n"/>
      <c r="I1343" s="1" t="inlineStr">
        <is>
          <t>BTC</t>
        </is>
      </c>
      <c r="J1343" s="1" t="n">
        <v>1935</v>
      </c>
      <c r="K1343" s="1" t="n"/>
      <c r="L1343" s="1" t="n">
        <v>1973</v>
      </c>
      <c r="M1343" s="1" t="n">
        <v>0.514</v>
      </c>
      <c r="N1343" s="1" t="n">
        <v>12.347</v>
      </c>
      <c r="O1343" s="1" t="n">
        <v>12.191</v>
      </c>
      <c r="P1343" s="9" t="n">
        <v>12.25</v>
      </c>
    </row>
    <row r="1344">
      <c r="A1344" s="6" t="n">
        <v>13.375</v>
      </c>
      <c r="B1344" s="2" t="n">
        <v>72</v>
      </c>
      <c r="C1344" s="2" t="inlineStr">
        <is>
          <t>T-95</t>
        </is>
      </c>
      <c r="D1344" s="2" t="n">
        <v>2820</v>
      </c>
      <c r="E1344" s="2" t="n">
        <v>6390</v>
      </c>
      <c r="F1344" s="2" t="n"/>
      <c r="G1344" s="2" t="n"/>
      <c r="H1344" s="2" t="n"/>
      <c r="I1344" s="2" t="inlineStr">
        <is>
          <t>STC</t>
        </is>
      </c>
      <c r="J1344" s="2" t="n">
        <v>1204</v>
      </c>
      <c r="K1344" s="2" t="n"/>
      <c r="L1344" s="2" t="n">
        <v>1973</v>
      </c>
      <c r="M1344" s="2" t="n">
        <v>0.514</v>
      </c>
      <c r="N1344" s="2" t="n">
        <v>12.347</v>
      </c>
      <c r="O1344" s="2" t="n">
        <v>12.191</v>
      </c>
      <c r="P1344" s="7" t="n">
        <v>12.25</v>
      </c>
    </row>
    <row r="1345">
      <c r="A1345" s="6" t="n">
        <v>13.375</v>
      </c>
      <c r="B1345" s="2" t="n">
        <v>72</v>
      </c>
      <c r="C1345" s="2" t="inlineStr">
        <is>
          <t>T-95</t>
        </is>
      </c>
      <c r="D1345" s="2" t="n">
        <v>2820</v>
      </c>
      <c r="E1345" s="2" t="n">
        <v>6390</v>
      </c>
      <c r="F1345" s="2" t="n"/>
      <c r="G1345" s="2" t="n"/>
      <c r="H1345" s="2" t="n"/>
      <c r="I1345" s="2" t="inlineStr">
        <is>
          <t>BTC</t>
        </is>
      </c>
      <c r="J1345" s="2" t="n">
        <v>1893</v>
      </c>
      <c r="K1345" s="2" t="n"/>
      <c r="L1345" s="2" t="n">
        <v>1973</v>
      </c>
      <c r="M1345" s="2" t="n">
        <v>0.514</v>
      </c>
      <c r="N1345" s="2" t="n">
        <v>12.347</v>
      </c>
      <c r="O1345" s="2" t="n">
        <v>12.191</v>
      </c>
      <c r="P1345" s="7" t="n">
        <v>12.25</v>
      </c>
    </row>
    <row r="1346">
      <c r="A1346" s="8" t="n">
        <v>13.375</v>
      </c>
      <c r="B1346" s="1" t="n">
        <v>72</v>
      </c>
      <c r="C1346" s="1" t="inlineStr">
        <is>
          <t>H2S-95</t>
        </is>
      </c>
      <c r="D1346" s="1" t="n">
        <v>3470</v>
      </c>
      <c r="E1346" s="1" t="n">
        <v>6390</v>
      </c>
      <c r="F1346" s="1" t="n"/>
      <c r="G1346" s="1" t="n"/>
      <c r="H1346" s="1" t="n"/>
      <c r="I1346" s="1" t="inlineStr">
        <is>
          <t>STC</t>
        </is>
      </c>
      <c r="J1346" s="1" t="n">
        <v>1204</v>
      </c>
      <c r="K1346" s="1" t="n"/>
      <c r="L1346" s="1" t="n">
        <v>1973</v>
      </c>
      <c r="M1346" s="1" t="n">
        <v>0.514</v>
      </c>
      <c r="N1346" s="1" t="n">
        <v>12.347</v>
      </c>
      <c r="O1346" s="1" t="n">
        <v>12.191</v>
      </c>
      <c r="P1346" s="9" t="n">
        <v>12.25</v>
      </c>
    </row>
    <row r="1347">
      <c r="A1347" s="8" t="n">
        <v>13.375</v>
      </c>
      <c r="B1347" s="1" t="n">
        <v>72</v>
      </c>
      <c r="C1347" s="1" t="inlineStr">
        <is>
          <t>H2S-95</t>
        </is>
      </c>
      <c r="D1347" s="1" t="n">
        <v>3470</v>
      </c>
      <c r="E1347" s="1" t="n">
        <v>6390</v>
      </c>
      <c r="F1347" s="1" t="n"/>
      <c r="G1347" s="1" t="n"/>
      <c r="H1347" s="1" t="n"/>
      <c r="I1347" s="1" t="inlineStr">
        <is>
          <t>BTC</t>
        </is>
      </c>
      <c r="J1347" s="1" t="n">
        <v>1893</v>
      </c>
      <c r="K1347" s="1" t="n"/>
      <c r="L1347" s="1" t="n">
        <v>1973</v>
      </c>
      <c r="M1347" s="1" t="n">
        <v>0.514</v>
      </c>
      <c r="N1347" s="1" t="n">
        <v>12.347</v>
      </c>
      <c r="O1347" s="1" t="n">
        <v>12.191</v>
      </c>
      <c r="P1347" s="9" t="n">
        <v>12.25</v>
      </c>
    </row>
    <row r="1348">
      <c r="A1348" s="6" t="n">
        <v>13.375</v>
      </c>
      <c r="B1348" s="2" t="n">
        <v>72</v>
      </c>
      <c r="C1348" s="2" t="inlineStr">
        <is>
          <t>C-95</t>
        </is>
      </c>
      <c r="D1348" s="2" t="n">
        <v>2820</v>
      </c>
      <c r="E1348" s="2" t="n">
        <v>6390</v>
      </c>
      <c r="F1348" s="2" t="n"/>
      <c r="G1348" s="2" t="n"/>
      <c r="H1348" s="2" t="n"/>
      <c r="I1348" s="2" t="inlineStr">
        <is>
          <t>STC</t>
        </is>
      </c>
      <c r="J1348" s="2" t="n">
        <v>1204</v>
      </c>
      <c r="K1348" s="2" t="n"/>
      <c r="L1348" s="2" t="n">
        <v>1973</v>
      </c>
      <c r="M1348" s="2" t="n">
        <v>0.514</v>
      </c>
      <c r="N1348" s="2" t="n">
        <v>12.347</v>
      </c>
      <c r="O1348" s="2" t="n">
        <v>12.191</v>
      </c>
      <c r="P1348" s="7" t="n">
        <v>12.25</v>
      </c>
    </row>
    <row r="1349">
      <c r="A1349" s="6" t="n">
        <v>13.375</v>
      </c>
      <c r="B1349" s="2" t="n">
        <v>72</v>
      </c>
      <c r="C1349" s="2" t="inlineStr">
        <is>
          <t>C-95</t>
        </is>
      </c>
      <c r="D1349" s="2" t="n">
        <v>2820</v>
      </c>
      <c r="E1349" s="2" t="n">
        <v>6390</v>
      </c>
      <c r="F1349" s="2" t="n"/>
      <c r="G1349" s="2" t="n"/>
      <c r="H1349" s="2" t="n"/>
      <c r="I1349" s="2" t="inlineStr">
        <is>
          <t>BTC</t>
        </is>
      </c>
      <c r="J1349" s="2" t="n">
        <v>1893</v>
      </c>
      <c r="K1349" s="2" t="n"/>
      <c r="L1349" s="2" t="n">
        <v>1973</v>
      </c>
      <c r="M1349" s="2" t="n">
        <v>0.514</v>
      </c>
      <c r="N1349" s="2" t="n">
        <v>12.347</v>
      </c>
      <c r="O1349" s="2" t="n">
        <v>12.191</v>
      </c>
      <c r="P1349" s="7" t="n">
        <v>12.25</v>
      </c>
    </row>
    <row r="1350">
      <c r="A1350" s="8" t="n">
        <v>13.375</v>
      </c>
      <c r="B1350" s="1" t="n">
        <v>72</v>
      </c>
      <c r="C1350" s="1" t="inlineStr">
        <is>
          <t>HCP-110</t>
        </is>
      </c>
      <c r="D1350" s="1" t="n">
        <v>3470</v>
      </c>
      <c r="E1350" s="1" t="n">
        <v>7400</v>
      </c>
      <c r="F1350" s="1" t="n"/>
      <c r="G1350" s="1" t="n"/>
      <c r="H1350" s="1" t="n"/>
      <c r="I1350" s="1" t="inlineStr">
        <is>
          <t>STC</t>
        </is>
      </c>
      <c r="J1350" s="1" t="n">
        <v>1402</v>
      </c>
      <c r="K1350" s="1" t="n"/>
      <c r="L1350" s="1" t="n">
        <v>2284</v>
      </c>
      <c r="M1350" s="1" t="n">
        <v>0.514</v>
      </c>
      <c r="N1350" s="1" t="n">
        <v>12.347</v>
      </c>
      <c r="O1350" s="1" t="n">
        <v>12.191</v>
      </c>
      <c r="P1350" s="9" t="n">
        <v>12.25</v>
      </c>
    </row>
    <row r="1351">
      <c r="A1351" s="8" t="n">
        <v>13.375</v>
      </c>
      <c r="B1351" s="1" t="n">
        <v>72</v>
      </c>
      <c r="C1351" s="1" t="inlineStr">
        <is>
          <t>HCP-110</t>
        </is>
      </c>
      <c r="D1351" s="1" t="n">
        <v>3470</v>
      </c>
      <c r="E1351" s="1" t="n">
        <v>7400</v>
      </c>
      <c r="F1351" s="1" t="n"/>
      <c r="G1351" s="1" t="n"/>
      <c r="H1351" s="1" t="n"/>
      <c r="I1351" s="1" t="inlineStr">
        <is>
          <t>BTC</t>
        </is>
      </c>
      <c r="J1351" s="1" t="n">
        <v>2221</v>
      </c>
      <c r="K1351" s="1" t="n"/>
      <c r="L1351" s="1" t="n">
        <v>2284</v>
      </c>
      <c r="M1351" s="1" t="n">
        <v>0.514</v>
      </c>
      <c r="N1351" s="1" t="n">
        <v>12.347</v>
      </c>
      <c r="O1351" s="1" t="n">
        <v>12.191</v>
      </c>
      <c r="P1351" s="9" t="n">
        <v>12.25</v>
      </c>
    </row>
    <row r="1352">
      <c r="A1352" s="6" t="n">
        <v>13.375</v>
      </c>
      <c r="B1352" s="2" t="n">
        <v>72</v>
      </c>
      <c r="C1352" s="2" t="inlineStr">
        <is>
          <t>P-110</t>
        </is>
      </c>
      <c r="D1352" s="2" t="n">
        <v>2890</v>
      </c>
      <c r="E1352" s="2" t="n">
        <v>7400</v>
      </c>
      <c r="F1352" s="2" t="n"/>
      <c r="G1352" s="2" t="n"/>
      <c r="H1352" s="2" t="n"/>
      <c r="I1352" s="2" t="inlineStr">
        <is>
          <t>STC</t>
        </is>
      </c>
      <c r="J1352" s="2" t="n">
        <v>1402</v>
      </c>
      <c r="K1352" s="2" t="n"/>
      <c r="L1352" s="2" t="n">
        <v>2284</v>
      </c>
      <c r="M1352" s="2" t="n">
        <v>0.514</v>
      </c>
      <c r="N1352" s="2" t="n">
        <v>12.347</v>
      </c>
      <c r="O1352" s="2" t="n">
        <v>12.191</v>
      </c>
      <c r="P1352" s="7" t="n">
        <v>12.25</v>
      </c>
    </row>
    <row r="1353">
      <c r="A1353" s="6" t="n">
        <v>13.375</v>
      </c>
      <c r="B1353" s="2" t="n">
        <v>72</v>
      </c>
      <c r="C1353" s="2" t="inlineStr">
        <is>
          <t>P-110</t>
        </is>
      </c>
      <c r="D1353" s="2" t="n">
        <v>2890</v>
      </c>
      <c r="E1353" s="2" t="n">
        <v>7400</v>
      </c>
      <c r="F1353" s="2" t="n"/>
      <c r="G1353" s="2" t="n"/>
      <c r="H1353" s="2" t="n"/>
      <c r="I1353" s="2" t="inlineStr">
        <is>
          <t>BTC</t>
        </is>
      </c>
      <c r="J1353" s="2" t="n">
        <v>2221</v>
      </c>
      <c r="K1353" s="2" t="n"/>
      <c r="L1353" s="2" t="n">
        <v>2284</v>
      </c>
      <c r="M1353" s="2" t="n">
        <v>0.514</v>
      </c>
      <c r="N1353" s="2" t="n">
        <v>12.347</v>
      </c>
      <c r="O1353" s="2" t="n">
        <v>12.191</v>
      </c>
      <c r="P1353" s="7" t="n">
        <v>12.25</v>
      </c>
    </row>
    <row r="1354">
      <c r="A1354" s="8" t="n">
        <v>13.375</v>
      </c>
      <c r="B1354" s="1" t="n">
        <v>72</v>
      </c>
      <c r="C1354" s="1" t="inlineStr">
        <is>
          <t>HCQ-125</t>
        </is>
      </c>
      <c r="D1354" s="1" t="n">
        <v>3470</v>
      </c>
      <c r="E1354" s="1" t="n">
        <v>8410</v>
      </c>
      <c r="F1354" s="1" t="n"/>
      <c r="G1354" s="1" t="n"/>
      <c r="H1354" s="1" t="n"/>
      <c r="I1354" s="1" t="inlineStr">
        <is>
          <t>STC</t>
        </is>
      </c>
      <c r="J1354" s="1" t="n">
        <v>1577</v>
      </c>
      <c r="K1354" s="1" t="n"/>
      <c r="L1354" s="1" t="n">
        <v>2596</v>
      </c>
      <c r="M1354" s="1" t="n">
        <v>0.514</v>
      </c>
      <c r="N1354" s="1" t="n">
        <v>12.347</v>
      </c>
      <c r="O1354" s="1" t="n">
        <v>12.191</v>
      </c>
      <c r="P1354" s="9" t="n">
        <v>12.25</v>
      </c>
    </row>
    <row r="1355">
      <c r="A1355" s="8" t="n">
        <v>13.375</v>
      </c>
      <c r="B1355" s="1" t="n">
        <v>72</v>
      </c>
      <c r="C1355" s="1" t="inlineStr">
        <is>
          <t>HCQ-125</t>
        </is>
      </c>
      <c r="D1355" s="1" t="n">
        <v>3470</v>
      </c>
      <c r="E1355" s="1" t="n">
        <v>8410</v>
      </c>
      <c r="F1355" s="1" t="n"/>
      <c r="G1355" s="1" t="n"/>
      <c r="H1355" s="1" t="n"/>
      <c r="I1355" s="1" t="inlineStr">
        <is>
          <t>BTC</t>
        </is>
      </c>
      <c r="J1355" s="1" t="n">
        <v>2463</v>
      </c>
      <c r="K1355" s="1" t="n"/>
      <c r="L1355" s="1" t="n">
        <v>2596</v>
      </c>
      <c r="M1355" s="1" t="n">
        <v>0.514</v>
      </c>
      <c r="N1355" s="1" t="n">
        <v>12.347</v>
      </c>
      <c r="O1355" s="1" t="n">
        <v>12.191</v>
      </c>
      <c r="P1355" s="9" t="n">
        <v>12.25</v>
      </c>
    </row>
    <row r="1356">
      <c r="A1356" s="6" t="n">
        <v>13.375</v>
      </c>
      <c r="B1356" s="2" t="n">
        <v>72</v>
      </c>
      <c r="C1356" s="2" t="inlineStr">
        <is>
          <t>Q-125</t>
        </is>
      </c>
      <c r="D1356" s="2" t="n">
        <v>2880</v>
      </c>
      <c r="E1356" s="2" t="n">
        <v>8410</v>
      </c>
      <c r="F1356" s="2" t="n"/>
      <c r="G1356" s="2" t="n"/>
      <c r="H1356" s="2" t="n"/>
      <c r="I1356" s="2" t="inlineStr">
        <is>
          <t>STC</t>
        </is>
      </c>
      <c r="J1356" s="2" t="n">
        <v>1577</v>
      </c>
      <c r="K1356" s="2" t="n"/>
      <c r="L1356" s="2" t="n">
        <v>2596</v>
      </c>
      <c r="M1356" s="2" t="n">
        <v>0.514</v>
      </c>
      <c r="N1356" s="2" t="n">
        <v>12.347</v>
      </c>
      <c r="O1356" s="2" t="n">
        <v>12.191</v>
      </c>
      <c r="P1356" s="7" t="n">
        <v>12.25</v>
      </c>
    </row>
    <row r="1357">
      <c r="A1357" s="6" t="n">
        <v>13.375</v>
      </c>
      <c r="B1357" s="2" t="n">
        <v>72</v>
      </c>
      <c r="C1357" s="2" t="inlineStr">
        <is>
          <t>Q-125</t>
        </is>
      </c>
      <c r="D1357" s="2" t="n">
        <v>2880</v>
      </c>
      <c r="E1357" s="2" t="n">
        <v>8410</v>
      </c>
      <c r="F1357" s="2" t="n"/>
      <c r="G1357" s="2" t="n"/>
      <c r="H1357" s="2" t="n"/>
      <c r="I1357" s="2" t="inlineStr">
        <is>
          <t>BTC</t>
        </is>
      </c>
      <c r="J1357" s="2" t="n">
        <v>2463</v>
      </c>
      <c r="K1357" s="2" t="n"/>
      <c r="L1357" s="2" t="n">
        <v>2596</v>
      </c>
      <c r="M1357" s="2" t="n">
        <v>0.514</v>
      </c>
      <c r="N1357" s="2" t="n">
        <v>12.347</v>
      </c>
      <c r="O1357" s="2" t="n">
        <v>12.191</v>
      </c>
      <c r="P1357" s="7" t="n">
        <v>12.25</v>
      </c>
    </row>
    <row r="1358">
      <c r="A1358" s="8" t="n">
        <v>13.375</v>
      </c>
      <c r="B1358" s="1" t="n">
        <v>72</v>
      </c>
      <c r="C1358" s="1" t="inlineStr">
        <is>
          <t>V-150</t>
        </is>
      </c>
      <c r="D1358" s="1" t="n">
        <v>2880</v>
      </c>
      <c r="E1358" s="1" t="n">
        <v>10090</v>
      </c>
      <c r="F1358" s="1" t="n"/>
      <c r="G1358" s="1" t="n"/>
      <c r="H1358" s="1" t="n"/>
      <c r="I1358" s="1" t="inlineStr">
        <is>
          <t>STC</t>
        </is>
      </c>
      <c r="J1358" s="1" t="n">
        <v>1887</v>
      </c>
      <c r="K1358" s="1" t="n"/>
      <c r="L1358" s="1" t="n">
        <v>3115</v>
      </c>
      <c r="M1358" s="1" t="n">
        <v>0.514</v>
      </c>
      <c r="N1358" s="1" t="n">
        <v>12.347</v>
      </c>
      <c r="O1358" s="1" t="n">
        <v>12.191</v>
      </c>
      <c r="P1358" s="9" t="n">
        <v>12.25</v>
      </c>
    </row>
    <row r="1359">
      <c r="A1359" s="8" t="n">
        <v>13.375</v>
      </c>
      <c r="B1359" s="1" t="n">
        <v>72</v>
      </c>
      <c r="C1359" s="1" t="inlineStr">
        <is>
          <t>V-150</t>
        </is>
      </c>
      <c r="D1359" s="1" t="n">
        <v>2880</v>
      </c>
      <c r="E1359" s="1" t="n">
        <v>10090</v>
      </c>
      <c r="F1359" s="1" t="n"/>
      <c r="G1359" s="1" t="n"/>
      <c r="H1359" s="1" t="n"/>
      <c r="I1359" s="1" t="inlineStr">
        <is>
          <t>BTC</t>
        </is>
      </c>
      <c r="J1359" s="1" t="n">
        <v>2939</v>
      </c>
      <c r="K1359" s="1" t="n"/>
      <c r="L1359" s="1" t="n">
        <v>3115</v>
      </c>
      <c r="M1359" s="1" t="n">
        <v>0.514</v>
      </c>
      <c r="N1359" s="1" t="n">
        <v>12.347</v>
      </c>
      <c r="O1359" s="1" t="n">
        <v>12.191</v>
      </c>
      <c r="P1359" s="9" t="n">
        <v>12.25</v>
      </c>
    </row>
    <row r="1360">
      <c r="A1360" s="6" t="n">
        <v>13.375</v>
      </c>
      <c r="B1360" s="2" t="n">
        <v>80.7</v>
      </c>
      <c r="C1360" s="2" t="inlineStr">
        <is>
          <t>H2S-90</t>
        </is>
      </c>
      <c r="D1360" s="2" t="n">
        <v>4990</v>
      </c>
      <c r="E1360" s="2" t="n">
        <v>7340</v>
      </c>
      <c r="F1360" s="2" t="n"/>
      <c r="G1360" s="2" t="n"/>
      <c r="H1360" s="2" t="n"/>
      <c r="I1360" s="2" t="inlineStr">
        <is>
          <t>BTC</t>
        </is>
      </c>
      <c r="J1360" s="2" t="n">
        <v>2077</v>
      </c>
      <c r="K1360" s="2" t="n"/>
      <c r="L1360" s="2" t="n">
        <v>2098</v>
      </c>
      <c r="M1360" s="2" t="n">
        <v>0.58</v>
      </c>
      <c r="N1360" s="2" t="n">
        <v>12.215</v>
      </c>
      <c r="O1360" s="2" t="n">
        <v>12.059</v>
      </c>
      <c r="P1360" s="7" t="n"/>
    </row>
    <row r="1361">
      <c r="A1361" s="8" t="n">
        <v>13.375</v>
      </c>
      <c r="B1361" s="1" t="n">
        <v>80.7</v>
      </c>
      <c r="C1361" s="1" t="inlineStr">
        <is>
          <t>S-95</t>
        </is>
      </c>
      <c r="D1361" s="1" t="n">
        <v>4990</v>
      </c>
      <c r="E1361" s="1" t="n">
        <v>7210</v>
      </c>
      <c r="F1361" s="1" t="n"/>
      <c r="G1361" s="1" t="n"/>
      <c r="H1361" s="1" t="n"/>
      <c r="I1361" s="1" t="inlineStr">
        <is>
          <t>BTC</t>
        </is>
      </c>
      <c r="J1361" s="1" t="n">
        <v>2173</v>
      </c>
      <c r="K1361" s="1" t="n"/>
      <c r="L1361" s="1" t="n">
        <v>2215</v>
      </c>
      <c r="M1361" s="1" t="n">
        <v>0.58</v>
      </c>
      <c r="N1361" s="1" t="n">
        <v>12.215</v>
      </c>
      <c r="O1361" s="1" t="n">
        <v>12.059</v>
      </c>
      <c r="P1361" s="9" t="n"/>
    </row>
    <row r="1362">
      <c r="A1362" s="6" t="n">
        <v>13.375</v>
      </c>
      <c r="B1362" s="2" t="n">
        <v>80.7</v>
      </c>
      <c r="C1362" s="2" t="inlineStr">
        <is>
          <t>H2S-95</t>
        </is>
      </c>
      <c r="D1362" s="2" t="n">
        <v>4990</v>
      </c>
      <c r="E1362" s="2" t="n">
        <v>7210</v>
      </c>
      <c r="F1362" s="2" t="n"/>
      <c r="G1362" s="2" t="n"/>
      <c r="H1362" s="2" t="n"/>
      <c r="I1362" s="2" t="inlineStr">
        <is>
          <t>BTC</t>
        </is>
      </c>
      <c r="J1362" s="2" t="n">
        <v>2125</v>
      </c>
      <c r="K1362" s="2" t="n"/>
      <c r="L1362" s="2" t="n">
        <v>2215</v>
      </c>
      <c r="M1362" s="2" t="n">
        <v>0.58</v>
      </c>
      <c r="N1362" s="2" t="n">
        <v>12.215</v>
      </c>
      <c r="O1362" s="2" t="n">
        <v>12.059</v>
      </c>
      <c r="P1362" s="7" t="n"/>
    </row>
    <row r="1363">
      <c r="A1363" s="8" t="n">
        <v>13.375</v>
      </c>
      <c r="B1363" s="1" t="n">
        <v>80.7</v>
      </c>
      <c r="C1363" s="1" t="inlineStr">
        <is>
          <t>HCP-110</t>
        </is>
      </c>
      <c r="D1363" s="1" t="n">
        <v>4990</v>
      </c>
      <c r="E1363" s="1" t="n">
        <v>8350</v>
      </c>
      <c r="F1363" s="1" t="n"/>
      <c r="G1363" s="1" t="n"/>
      <c r="H1363" s="1" t="n"/>
      <c r="I1363" s="1" t="inlineStr">
        <is>
          <t>BTC</t>
        </is>
      </c>
      <c r="J1363" s="1" t="n">
        <v>2493</v>
      </c>
      <c r="K1363" s="1" t="n"/>
      <c r="L1363" s="1" t="n">
        <v>2565</v>
      </c>
      <c r="M1363" s="1" t="n">
        <v>0.58</v>
      </c>
      <c r="N1363" s="1" t="n">
        <v>12.215</v>
      </c>
      <c r="O1363" s="1" t="n">
        <v>12.059</v>
      </c>
      <c r="P1363" s="9" t="n"/>
    </row>
    <row r="1364">
      <c r="A1364" s="6" t="n">
        <v>13.375</v>
      </c>
      <c r="B1364" s="2" t="n">
        <v>80.7</v>
      </c>
      <c r="C1364" s="2" t="inlineStr">
        <is>
          <t>P-110</t>
        </is>
      </c>
      <c r="D1364" s="2" t="n">
        <v>4000</v>
      </c>
      <c r="E1364" s="2" t="n">
        <v>8350</v>
      </c>
      <c r="F1364" s="2" t="n"/>
      <c r="G1364" s="2" t="n"/>
      <c r="H1364" s="2" t="n"/>
      <c r="I1364" s="2" t="inlineStr">
        <is>
          <t>BTC</t>
        </is>
      </c>
      <c r="J1364" s="2" t="n">
        <v>2493</v>
      </c>
      <c r="K1364" s="2" t="n"/>
      <c r="L1364" s="2" t="n">
        <v>2565</v>
      </c>
      <c r="M1364" s="2" t="n">
        <v>0.58</v>
      </c>
      <c r="N1364" s="2" t="n">
        <v>12.215</v>
      </c>
      <c r="O1364" s="2" t="n">
        <v>12.059</v>
      </c>
      <c r="P1364" s="7" t="n"/>
    </row>
    <row r="1365">
      <c r="A1365" s="8" t="n">
        <v>13.375</v>
      </c>
      <c r="B1365" s="1" t="n">
        <v>80.7</v>
      </c>
      <c r="C1365" s="1" t="inlineStr">
        <is>
          <t>HCQ-125</t>
        </is>
      </c>
      <c r="D1365" s="1" t="n">
        <v>4990</v>
      </c>
      <c r="E1365" s="1" t="n">
        <v>9490</v>
      </c>
      <c r="F1365" s="1" t="n"/>
      <c r="G1365" s="1" t="n"/>
      <c r="H1365" s="1" t="n"/>
      <c r="I1365" s="1" t="inlineStr">
        <is>
          <t>BTC</t>
        </is>
      </c>
      <c r="J1365" s="1" t="n">
        <v>2765</v>
      </c>
      <c r="K1365" s="1" t="n"/>
      <c r="L1365" s="1" t="n">
        <v>2914</v>
      </c>
      <c r="M1365" s="1" t="n">
        <v>0.58</v>
      </c>
      <c r="N1365" s="1" t="n">
        <v>12.215</v>
      </c>
      <c r="O1365" s="1" t="n">
        <v>12.059</v>
      </c>
      <c r="P1365" s="9" t="n"/>
    </row>
    <row r="1366">
      <c r="A1366" s="6" t="n">
        <v>13.375</v>
      </c>
      <c r="B1366" s="2" t="n">
        <v>80.7</v>
      </c>
      <c r="C1366" s="2" t="inlineStr">
        <is>
          <t>Q-125</t>
        </is>
      </c>
      <c r="D1366" s="2" t="n">
        <v>4140</v>
      </c>
      <c r="E1366" s="2" t="n">
        <v>9490</v>
      </c>
      <c r="F1366" s="2" t="n"/>
      <c r="G1366" s="2" t="n"/>
      <c r="H1366" s="2" t="n"/>
      <c r="I1366" s="2" t="inlineStr">
        <is>
          <t>BTC</t>
        </is>
      </c>
      <c r="J1366" s="2" t="n">
        <v>2765</v>
      </c>
      <c r="K1366" s="2" t="n"/>
      <c r="L1366" s="2" t="n">
        <v>2914</v>
      </c>
      <c r="M1366" s="2" t="n">
        <v>0.58</v>
      </c>
      <c r="N1366" s="2" t="n">
        <v>12.215</v>
      </c>
      <c r="O1366" s="2" t="n">
        <v>12.059</v>
      </c>
      <c r="P1366" s="7" t="n"/>
    </row>
    <row r="1367">
      <c r="A1367" s="8" t="n">
        <v>13.375</v>
      </c>
      <c r="B1367" s="1" t="n">
        <v>86</v>
      </c>
      <c r="C1367" s="1" t="inlineStr">
        <is>
          <t>S-95</t>
        </is>
      </c>
      <c r="D1367" s="1" t="n">
        <v>6240</v>
      </c>
      <c r="E1367" s="1" t="n">
        <v>7750</v>
      </c>
      <c r="F1367" s="1" t="n"/>
      <c r="G1367" s="1" t="n"/>
      <c r="H1367" s="1" t="n"/>
      <c r="I1367" s="1" t="inlineStr">
        <is>
          <t>BTC</t>
        </is>
      </c>
      <c r="J1367" s="1" t="n">
        <v>2333</v>
      </c>
      <c r="K1367" s="1" t="n"/>
      <c r="L1367" s="1" t="n">
        <v>2378</v>
      </c>
      <c r="M1367" s="1" t="n">
        <v>0.625</v>
      </c>
      <c r="N1367" s="1" t="n">
        <v>12.125</v>
      </c>
      <c r="O1367" s="1" t="n">
        <v>11.969</v>
      </c>
      <c r="P1367" s="9" t="n"/>
    </row>
    <row r="1368">
      <c r="A1368" s="6" t="n">
        <v>13.375</v>
      </c>
      <c r="B1368" s="2" t="n">
        <v>86</v>
      </c>
      <c r="C1368" s="2" t="inlineStr">
        <is>
          <t>HCP-110</t>
        </is>
      </c>
      <c r="D1368" s="2" t="n">
        <v>6240</v>
      </c>
      <c r="E1368" s="2" t="n">
        <v>8980</v>
      </c>
      <c r="F1368" s="2" t="n"/>
      <c r="G1368" s="2" t="n"/>
      <c r="H1368" s="2" t="n"/>
      <c r="I1368" s="2" t="inlineStr">
        <is>
          <t>BTC</t>
        </is>
      </c>
      <c r="J1368" s="2" t="n">
        <v>2677</v>
      </c>
      <c r="K1368" s="2" t="n"/>
      <c r="L1368" s="2" t="n">
        <v>2754</v>
      </c>
      <c r="M1368" s="2" t="n">
        <v>0.625</v>
      </c>
      <c r="N1368" s="2" t="n">
        <v>12.125</v>
      </c>
      <c r="O1368" s="2" t="n">
        <v>11.969</v>
      </c>
      <c r="P1368" s="7" t="n"/>
    </row>
    <row r="1369">
      <c r="A1369" s="8" t="n">
        <v>13.375</v>
      </c>
      <c r="B1369" s="1" t="n">
        <v>86</v>
      </c>
      <c r="C1369" s="1" t="inlineStr">
        <is>
          <t>P-110</t>
        </is>
      </c>
      <c r="D1369" s="1" t="n">
        <v>4780</v>
      </c>
      <c r="E1369" s="1" t="n">
        <v>8980</v>
      </c>
      <c r="F1369" s="1" t="n"/>
      <c r="G1369" s="1" t="n"/>
      <c r="H1369" s="1" t="n"/>
      <c r="I1369" s="1" t="inlineStr">
        <is>
          <t>BTC</t>
        </is>
      </c>
      <c r="J1369" s="1" t="n">
        <v>2677</v>
      </c>
      <c r="K1369" s="1" t="n"/>
      <c r="L1369" s="1" t="n">
        <v>2754</v>
      </c>
      <c r="M1369" s="1" t="n">
        <v>0.625</v>
      </c>
      <c r="N1369" s="1" t="n">
        <v>12.125</v>
      </c>
      <c r="O1369" s="1" t="n">
        <v>11.969</v>
      </c>
      <c r="P1369" s="9" t="n"/>
    </row>
    <row r="1370">
      <c r="A1370" s="6" t="n">
        <v>13.375</v>
      </c>
      <c r="B1370" s="2" t="n">
        <v>86</v>
      </c>
      <c r="C1370" s="2" t="inlineStr">
        <is>
          <t>HCQ-125</t>
        </is>
      </c>
      <c r="D1370" s="2" t="n">
        <v>6240</v>
      </c>
      <c r="E1370" s="2" t="n">
        <v>10200</v>
      </c>
      <c r="F1370" s="2" t="n"/>
      <c r="G1370" s="2" t="n"/>
      <c r="H1370" s="2" t="n"/>
      <c r="I1370" s="2" t="inlineStr">
        <is>
          <t>BTC</t>
        </is>
      </c>
      <c r="J1370" s="2" t="n">
        <v>2969</v>
      </c>
      <c r="K1370" s="2" t="n"/>
      <c r="L1370" s="2" t="n">
        <v>3129</v>
      </c>
      <c r="M1370" s="2" t="n">
        <v>0.625</v>
      </c>
      <c r="N1370" s="2" t="n">
        <v>12.125</v>
      </c>
      <c r="O1370" s="2" t="n">
        <v>11.969</v>
      </c>
      <c r="P1370" s="7" t="n"/>
    </row>
    <row r="1371" ht="15.75" customHeight="1" s="613" thickBot="1">
      <c r="A1371" s="10" t="n">
        <v>13.375</v>
      </c>
      <c r="B1371" s="11" t="n">
        <v>86</v>
      </c>
      <c r="C1371" s="11" t="inlineStr">
        <is>
          <t>Q-125</t>
        </is>
      </c>
      <c r="D1371" s="11" t="n">
        <v>5030</v>
      </c>
      <c r="E1371" s="11" t="n">
        <v>10200</v>
      </c>
      <c r="F1371" s="11" t="n"/>
      <c r="G1371" s="11" t="n"/>
      <c r="H1371" s="11" t="n"/>
      <c r="I1371" s="11" t="inlineStr">
        <is>
          <t>BTC</t>
        </is>
      </c>
      <c r="J1371" s="11" t="n">
        <v>2969</v>
      </c>
      <c r="K1371" s="11" t="n"/>
      <c r="L1371" s="11" t="n">
        <v>3129</v>
      </c>
      <c r="M1371" s="11" t="n">
        <v>0.625</v>
      </c>
      <c r="N1371" s="11" t="n">
        <v>12.125</v>
      </c>
      <c r="O1371" s="11" t="n">
        <v>11.969</v>
      </c>
      <c r="P1371" s="12" t="n"/>
    </row>
    <row r="1372">
      <c r="A1372" s="3" t="n">
        <v>13.625</v>
      </c>
      <c r="B1372" s="4" t="n">
        <v>88.2</v>
      </c>
      <c r="C1372" s="4" t="inlineStr">
        <is>
          <t>H2S-90</t>
        </is>
      </c>
      <c r="D1372" s="4" t="n">
        <v>5930</v>
      </c>
      <c r="E1372" s="4" t="n">
        <v>7220</v>
      </c>
      <c r="F1372" s="4" t="n"/>
      <c r="G1372" s="4" t="n"/>
      <c r="H1372" s="4" t="n"/>
      <c r="I1372" s="4" t="inlineStr">
        <is>
          <t>BTC</t>
        </is>
      </c>
      <c r="J1372" s="4" t="n">
        <v>1801</v>
      </c>
      <c r="K1372" s="4" t="n"/>
      <c r="L1372" s="4" t="n">
        <v>2297</v>
      </c>
      <c r="M1372" s="4" t="n">
        <v>0.625</v>
      </c>
      <c r="N1372" s="4" t="n">
        <v>12.375</v>
      </c>
      <c r="O1372" s="4" t="n"/>
      <c r="P1372" s="5" t="n">
        <v>12.25</v>
      </c>
    </row>
    <row r="1373">
      <c r="A1373" s="6" t="n">
        <v>13.625</v>
      </c>
      <c r="B1373" s="2" t="n">
        <v>88.2</v>
      </c>
      <c r="C1373" s="2" t="inlineStr">
        <is>
          <t>S-95</t>
        </is>
      </c>
      <c r="D1373" s="2" t="n">
        <v>5930</v>
      </c>
      <c r="E1373" s="2" t="n">
        <v>7630</v>
      </c>
      <c r="F1373" s="2" t="n"/>
      <c r="G1373" s="2" t="n"/>
      <c r="H1373" s="2" t="n"/>
      <c r="I1373" s="2" t="inlineStr">
        <is>
          <t>BTC</t>
        </is>
      </c>
      <c r="J1373" s="2" t="n">
        <v>1885</v>
      </c>
      <c r="K1373" s="2" t="n"/>
      <c r="L1373" s="2" t="n">
        <v>2425</v>
      </c>
      <c r="M1373" s="2" t="n">
        <v>0.625</v>
      </c>
      <c r="N1373" s="2" t="n">
        <v>12.375</v>
      </c>
      <c r="O1373" s="2" t="n"/>
      <c r="P1373" s="7" t="n">
        <v>12.25</v>
      </c>
    </row>
    <row r="1374">
      <c r="A1374" s="8" t="n">
        <v>13.625</v>
      </c>
      <c r="B1374" s="1" t="n">
        <v>88.2</v>
      </c>
      <c r="C1374" s="1" t="inlineStr">
        <is>
          <t>H2S-95</t>
        </is>
      </c>
      <c r="D1374" s="1" t="n">
        <v>5930</v>
      </c>
      <c r="E1374" s="1" t="n">
        <v>7630</v>
      </c>
      <c r="F1374" s="1" t="n"/>
      <c r="G1374" s="1" t="n"/>
      <c r="H1374" s="1" t="n"/>
      <c r="I1374" s="1" t="inlineStr">
        <is>
          <t>BTC</t>
        </is>
      </c>
      <c r="J1374" s="1" t="n">
        <v>1843</v>
      </c>
      <c r="K1374" s="1" t="n"/>
      <c r="L1374" s="1" t="n">
        <v>2425</v>
      </c>
      <c r="M1374" s="1" t="n">
        <v>0.625</v>
      </c>
      <c r="N1374" s="1" t="n">
        <v>12.375</v>
      </c>
      <c r="O1374" s="1" t="n"/>
      <c r="P1374" s="9" t="n">
        <v>12.25</v>
      </c>
    </row>
    <row r="1375">
      <c r="A1375" s="6" t="n">
        <v>13.625</v>
      </c>
      <c r="B1375" s="2" t="n">
        <v>88.2</v>
      </c>
      <c r="C1375" s="2" t="inlineStr">
        <is>
          <t>HCP-110</t>
        </is>
      </c>
      <c r="D1375" s="2" t="n">
        <v>5930</v>
      </c>
      <c r="E1375" s="2" t="n">
        <v>8830</v>
      </c>
      <c r="F1375" s="2" t="n"/>
      <c r="G1375" s="2" t="n"/>
      <c r="H1375" s="2" t="n"/>
      <c r="I1375" s="2" t="inlineStr">
        <is>
          <t>BTC</t>
        </is>
      </c>
      <c r="J1375" s="2" t="n">
        <v>2163</v>
      </c>
      <c r="K1375" s="2" t="n"/>
      <c r="L1375" s="2" t="n">
        <v>2808</v>
      </c>
      <c r="M1375" s="2" t="n">
        <v>0.625</v>
      </c>
      <c r="N1375" s="2" t="n">
        <v>12.375</v>
      </c>
      <c r="O1375" s="2" t="n"/>
      <c r="P1375" s="7" t="n">
        <v>12.25</v>
      </c>
    </row>
    <row r="1376">
      <c r="A1376" s="8" t="n">
        <v>13.625</v>
      </c>
      <c r="B1376" s="1" t="n">
        <v>88.2</v>
      </c>
      <c r="C1376" s="1" t="inlineStr">
        <is>
          <t>P-110</t>
        </is>
      </c>
      <c r="D1376" s="1" t="n">
        <v>4570</v>
      </c>
      <c r="E1376" s="1" t="n">
        <v>8830</v>
      </c>
      <c r="F1376" s="1" t="n"/>
      <c r="G1376" s="1" t="n"/>
      <c r="H1376" s="1" t="n"/>
      <c r="I1376" s="1" t="inlineStr">
        <is>
          <t>BTC</t>
        </is>
      </c>
      <c r="J1376" s="1" t="n">
        <v>2163</v>
      </c>
      <c r="K1376" s="1" t="n"/>
      <c r="L1376" s="1" t="n">
        <v>2808</v>
      </c>
      <c r="M1376" s="1" t="n">
        <v>0.625</v>
      </c>
      <c r="N1376" s="1" t="n">
        <v>12.375</v>
      </c>
      <c r="O1376" s="1" t="n"/>
      <c r="P1376" s="9" t="n">
        <v>12.25</v>
      </c>
    </row>
    <row r="1377">
      <c r="A1377" s="6" t="n">
        <v>13.625</v>
      </c>
      <c r="B1377" s="2" t="n">
        <v>88.2</v>
      </c>
      <c r="C1377" s="2" t="inlineStr">
        <is>
          <t>HCQ-125</t>
        </is>
      </c>
      <c r="D1377" s="2" t="n">
        <v>5930</v>
      </c>
      <c r="E1377" s="2" t="n">
        <v>10030</v>
      </c>
      <c r="F1377" s="2" t="n"/>
      <c r="G1377" s="2" t="n"/>
      <c r="H1377" s="2" t="n"/>
      <c r="I1377" s="2" t="inlineStr">
        <is>
          <t>BTC</t>
        </is>
      </c>
      <c r="J1377" s="2" t="n">
        <v>2399</v>
      </c>
      <c r="K1377" s="2" t="n"/>
      <c r="L1377" s="2" t="n">
        <v>3191</v>
      </c>
      <c r="M1377" s="2" t="n">
        <v>0.625</v>
      </c>
      <c r="N1377" s="2" t="n">
        <v>12.375</v>
      </c>
      <c r="O1377" s="2" t="n"/>
      <c r="P1377" s="7" t="n">
        <v>12.25</v>
      </c>
    </row>
    <row r="1378" ht="15.75" customHeight="1" s="613" thickBot="1">
      <c r="A1378" s="10" t="n">
        <v>13.625</v>
      </c>
      <c r="B1378" s="11" t="n">
        <v>88.2</v>
      </c>
      <c r="C1378" s="11" t="inlineStr">
        <is>
          <t>Q-125</t>
        </is>
      </c>
      <c r="D1378" s="11" t="n">
        <v>4800</v>
      </c>
      <c r="E1378" s="11" t="n">
        <v>10030</v>
      </c>
      <c r="F1378" s="11" t="n"/>
      <c r="G1378" s="11" t="n"/>
      <c r="H1378" s="11" t="n"/>
      <c r="I1378" s="11" t="inlineStr">
        <is>
          <t>BTC</t>
        </is>
      </c>
      <c r="J1378" s="11" t="n">
        <v>2399</v>
      </c>
      <c r="K1378" s="11" t="n"/>
      <c r="L1378" s="11" t="n">
        <v>3191</v>
      </c>
      <c r="M1378" s="11" t="n">
        <v>0.625</v>
      </c>
      <c r="N1378" s="11" t="n">
        <v>12.375</v>
      </c>
      <c r="O1378" s="11" t="n"/>
      <c r="P1378" s="12" t="n">
        <v>12.25</v>
      </c>
    </row>
    <row r="1379" ht="15.75" customHeight="1" s="613" thickBot="1">
      <c r="A1379" s="3" t="n">
        <v>16</v>
      </c>
      <c r="B1379" s="4" t="n">
        <v>65</v>
      </c>
      <c r="C1379" s="4" t="inlineStr">
        <is>
          <t>H-40</t>
        </is>
      </c>
      <c r="D1379" s="4" t="n">
        <v>630</v>
      </c>
      <c r="E1379" s="4" t="n">
        <v>1640</v>
      </c>
      <c r="F1379" s="4" t="n"/>
      <c r="G1379" s="4" t="n"/>
      <c r="H1379" s="4" t="n"/>
      <c r="I1379" s="4" t="inlineStr">
        <is>
          <t>STC</t>
        </is>
      </c>
      <c r="J1379" s="4" t="n">
        <v>439</v>
      </c>
      <c r="K1379" s="4" t="n"/>
      <c r="L1379" s="4" t="n">
        <v>736</v>
      </c>
      <c r="M1379" s="4" t="n">
        <v>0.375</v>
      </c>
      <c r="N1379" s="4" t="n">
        <v>15.25</v>
      </c>
      <c r="O1379" s="4" t="n">
        <v>15.062</v>
      </c>
      <c r="P1379" s="5" t="n"/>
    </row>
    <row r="1380">
      <c r="A1380" s="3" t="n">
        <v>16</v>
      </c>
      <c r="B1380" s="4" t="n">
        <v>65</v>
      </c>
      <c r="C1380" s="4" t="inlineStr">
        <is>
          <t>H-40</t>
        </is>
      </c>
      <c r="D1380" s="4" t="n">
        <v>630</v>
      </c>
      <c r="E1380" s="4" t="n">
        <v>1640</v>
      </c>
      <c r="F1380" s="4" t="n"/>
      <c r="G1380" s="4" t="n"/>
      <c r="H1380" s="4" t="n"/>
      <c r="I1380" s="4" t="inlineStr">
        <is>
          <t>BTC</t>
        </is>
      </c>
      <c r="J1380" s="4" t="n">
        <v>781</v>
      </c>
      <c r="K1380" s="4" t="n"/>
      <c r="L1380" s="4" t="n">
        <v>736</v>
      </c>
      <c r="M1380" s="4" t="n">
        <v>0.375</v>
      </c>
      <c r="N1380" s="4" t="n">
        <v>15.25</v>
      </c>
      <c r="O1380" s="4" t="n">
        <v>15.062</v>
      </c>
      <c r="P1380" s="5" t="n"/>
    </row>
    <row r="1381">
      <c r="A1381" s="6" t="n">
        <v>16</v>
      </c>
      <c r="B1381" s="2" t="n">
        <v>75</v>
      </c>
      <c r="C1381" s="2" t="inlineStr">
        <is>
          <t>J-55</t>
        </is>
      </c>
      <c r="D1381" s="2" t="n">
        <v>1020</v>
      </c>
      <c r="E1381" s="2" t="n">
        <v>2630</v>
      </c>
      <c r="F1381" s="2" t="n"/>
      <c r="G1381" s="2" t="n"/>
      <c r="H1381" s="2" t="n"/>
      <c r="I1381" s="2" t="inlineStr">
        <is>
          <t>STC</t>
        </is>
      </c>
      <c r="J1381" s="2" t="n">
        <v>710</v>
      </c>
      <c r="K1381" s="2" t="n"/>
      <c r="L1381" s="2" t="n">
        <v>1178</v>
      </c>
      <c r="M1381" s="2" t="n">
        <v>0.438</v>
      </c>
      <c r="N1381" s="2" t="n">
        <v>15.124</v>
      </c>
      <c r="O1381" s="2" t="n">
        <v>14.936</v>
      </c>
      <c r="P1381" s="7" t="n"/>
    </row>
    <row r="1382">
      <c r="A1382" s="6" t="n">
        <v>16</v>
      </c>
      <c r="B1382" s="2" t="n">
        <v>75</v>
      </c>
      <c r="C1382" s="2" t="inlineStr">
        <is>
          <t>J-55</t>
        </is>
      </c>
      <c r="D1382" s="2" t="n">
        <v>1020</v>
      </c>
      <c r="E1382" s="2" t="n">
        <v>2630</v>
      </c>
      <c r="F1382" s="2" t="n"/>
      <c r="G1382" s="2" t="n"/>
      <c r="H1382" s="2" t="n"/>
      <c r="I1382" s="2" t="inlineStr">
        <is>
          <t>BTC</t>
        </is>
      </c>
      <c r="J1382" s="2" t="n">
        <v>1200</v>
      </c>
      <c r="K1382" s="2" t="n"/>
      <c r="L1382" s="2" t="n">
        <v>1178</v>
      </c>
      <c r="M1382" s="2" t="n">
        <v>0.438</v>
      </c>
      <c r="N1382" s="2" t="n">
        <v>15.124</v>
      </c>
      <c r="O1382" s="2" t="n">
        <v>14.936</v>
      </c>
      <c r="P1382" s="7" t="n"/>
    </row>
    <row r="1383">
      <c r="A1383" s="8" t="n">
        <v>16</v>
      </c>
      <c r="B1383" s="1" t="n">
        <v>75</v>
      </c>
      <c r="C1383" s="1" t="inlineStr">
        <is>
          <t>K-55</t>
        </is>
      </c>
      <c r="D1383" s="1" t="n">
        <v>1020</v>
      </c>
      <c r="E1383" s="1" t="n">
        <v>2630</v>
      </c>
      <c r="F1383" s="1" t="n"/>
      <c r="G1383" s="1" t="n"/>
      <c r="H1383" s="1" t="n"/>
      <c r="I1383" s="1" t="inlineStr">
        <is>
          <t>STC</t>
        </is>
      </c>
      <c r="J1383" s="1" t="n">
        <v>752</v>
      </c>
      <c r="K1383" s="1" t="n"/>
      <c r="L1383" s="1" t="n">
        <v>1178</v>
      </c>
      <c r="M1383" s="1" t="n">
        <v>0.438</v>
      </c>
      <c r="N1383" s="1" t="n">
        <v>15.124</v>
      </c>
      <c r="O1383" s="1" t="n">
        <v>14.936</v>
      </c>
      <c r="P1383" s="9" t="n"/>
    </row>
    <row r="1384">
      <c r="A1384" s="8" t="n">
        <v>16</v>
      </c>
      <c r="B1384" s="1" t="n">
        <v>75</v>
      </c>
      <c r="C1384" s="1" t="inlineStr">
        <is>
          <t>K-55</t>
        </is>
      </c>
      <c r="D1384" s="1" t="n">
        <v>1020</v>
      </c>
      <c r="E1384" s="1" t="n">
        <v>2630</v>
      </c>
      <c r="F1384" s="1" t="n"/>
      <c r="G1384" s="1" t="n"/>
      <c r="H1384" s="1" t="n"/>
      <c r="I1384" s="1" t="inlineStr">
        <is>
          <t>BTC</t>
        </is>
      </c>
      <c r="J1384" s="1" t="n">
        <v>1331</v>
      </c>
      <c r="K1384" s="1" t="n"/>
      <c r="L1384" s="1" t="n">
        <v>1178</v>
      </c>
      <c r="M1384" s="1" t="n">
        <v>0.438</v>
      </c>
      <c r="N1384" s="1" t="n">
        <v>15.124</v>
      </c>
      <c r="O1384" s="1" t="n">
        <v>14.936</v>
      </c>
      <c r="P1384" s="9" t="n"/>
    </row>
    <row r="1385">
      <c r="A1385" s="6" t="n">
        <v>16</v>
      </c>
      <c r="B1385" s="2" t="n">
        <v>84</v>
      </c>
      <c r="C1385" s="2" t="inlineStr">
        <is>
          <t>J-55</t>
        </is>
      </c>
      <c r="D1385" s="2" t="n">
        <v>1410</v>
      </c>
      <c r="E1385" s="2" t="n">
        <v>2980</v>
      </c>
      <c r="F1385" s="2" t="n"/>
      <c r="G1385" s="2" t="n"/>
      <c r="H1385" s="2" t="n"/>
      <c r="I1385" s="2" t="inlineStr">
        <is>
          <t>STC</t>
        </is>
      </c>
      <c r="J1385" s="2" t="n">
        <v>817</v>
      </c>
      <c r="K1385" s="2" t="n"/>
      <c r="L1385" s="2" t="n">
        <v>1326</v>
      </c>
      <c r="M1385" s="2" t="n">
        <v>0.495</v>
      </c>
      <c r="N1385" s="2" t="n">
        <v>15.01</v>
      </c>
      <c r="O1385" s="2" t="n">
        <v>14.822</v>
      </c>
      <c r="P1385" s="7" t="n"/>
    </row>
    <row r="1386">
      <c r="A1386" s="6" t="n">
        <v>16</v>
      </c>
      <c r="B1386" s="2" t="n">
        <v>84</v>
      </c>
      <c r="C1386" s="2" t="inlineStr">
        <is>
          <t>J-55</t>
        </is>
      </c>
      <c r="D1386" s="2" t="n">
        <v>1410</v>
      </c>
      <c r="E1386" s="2" t="n">
        <v>2980</v>
      </c>
      <c r="F1386" s="2" t="n"/>
      <c r="G1386" s="2" t="n"/>
      <c r="H1386" s="2" t="n"/>
      <c r="I1386" s="2" t="inlineStr">
        <is>
          <t>BTC</t>
        </is>
      </c>
      <c r="J1386" s="2" t="n">
        <v>1351</v>
      </c>
      <c r="K1386" s="2" t="n"/>
      <c r="L1386" s="2" t="n">
        <v>1326</v>
      </c>
      <c r="M1386" s="2" t="n">
        <v>0.495</v>
      </c>
      <c r="N1386" s="2" t="n">
        <v>15.01</v>
      </c>
      <c r="O1386" s="2" t="n">
        <v>14.822</v>
      </c>
      <c r="P1386" s="7" t="n"/>
    </row>
    <row r="1387">
      <c r="A1387" s="8" t="n">
        <v>16</v>
      </c>
      <c r="B1387" s="1" t="n">
        <v>84</v>
      </c>
      <c r="C1387" s="1" t="inlineStr">
        <is>
          <t>K-55</t>
        </is>
      </c>
      <c r="D1387" s="1" t="n">
        <v>1410</v>
      </c>
      <c r="E1387" s="1" t="n">
        <v>2980</v>
      </c>
      <c r="F1387" s="1" t="n"/>
      <c r="G1387" s="1" t="n"/>
      <c r="H1387" s="1" t="n"/>
      <c r="I1387" s="1" t="inlineStr">
        <is>
          <t>STC</t>
        </is>
      </c>
      <c r="J1387" s="1" t="n">
        <v>865</v>
      </c>
      <c r="K1387" s="1" t="n"/>
      <c r="L1387" s="1" t="n">
        <v>1326</v>
      </c>
      <c r="M1387" s="1" t="n">
        <v>0.495</v>
      </c>
      <c r="N1387" s="1" t="n">
        <v>15.01</v>
      </c>
      <c r="O1387" s="1" t="n">
        <v>14.822</v>
      </c>
      <c r="P1387" s="9" t="n"/>
    </row>
    <row r="1388">
      <c r="A1388" s="8" t="n">
        <v>16</v>
      </c>
      <c r="B1388" s="1" t="n">
        <v>84</v>
      </c>
      <c r="C1388" s="1" t="inlineStr">
        <is>
          <t>K-55</t>
        </is>
      </c>
      <c r="D1388" s="1" t="n">
        <v>1410</v>
      </c>
      <c r="E1388" s="1" t="n">
        <v>2980</v>
      </c>
      <c r="F1388" s="1" t="n"/>
      <c r="G1388" s="1" t="n"/>
      <c r="H1388" s="1" t="n"/>
      <c r="I1388" s="1" t="inlineStr">
        <is>
          <t>BTC</t>
        </is>
      </c>
      <c r="J1388" s="1" t="n">
        <v>1499</v>
      </c>
      <c r="K1388" s="1" t="n"/>
      <c r="L1388" s="1" t="n">
        <v>1326</v>
      </c>
      <c r="M1388" s="1" t="n">
        <v>0.495</v>
      </c>
      <c r="N1388" s="1" t="n">
        <v>15.01</v>
      </c>
      <c r="O1388" s="1" t="n">
        <v>14.822</v>
      </c>
      <c r="P1388" s="9" t="n"/>
    </row>
    <row r="1389">
      <c r="A1389" s="6" t="n">
        <v>16</v>
      </c>
      <c r="B1389" s="2" t="n">
        <v>84</v>
      </c>
      <c r="C1389" s="2" t="inlineStr">
        <is>
          <t>N-80</t>
        </is>
      </c>
      <c r="D1389" s="2" t="n">
        <v>1480</v>
      </c>
      <c r="E1389" s="2" t="n">
        <v>4330</v>
      </c>
      <c r="F1389" s="2" t="n"/>
      <c r="G1389" s="2" t="n"/>
      <c r="H1389" s="2" t="n"/>
      <c r="I1389" s="2" t="inlineStr">
        <is>
          <t>STC</t>
        </is>
      </c>
      <c r="J1389" s="2" t="n">
        <v>1167</v>
      </c>
      <c r="K1389" s="2" t="n"/>
      <c r="L1389" s="2" t="n">
        <v>1929</v>
      </c>
      <c r="M1389" s="2" t="n">
        <v>0.495</v>
      </c>
      <c r="N1389" s="2" t="n">
        <v>15.01</v>
      </c>
      <c r="O1389" s="2" t="n">
        <v>14.822</v>
      </c>
      <c r="P1389" s="7" t="n"/>
    </row>
    <row r="1390">
      <c r="A1390" s="6" t="n">
        <v>16</v>
      </c>
      <c r="B1390" s="2" t="n">
        <v>84</v>
      </c>
      <c r="C1390" s="2" t="inlineStr">
        <is>
          <t>N-80</t>
        </is>
      </c>
      <c r="D1390" s="2" t="n">
        <v>1480</v>
      </c>
      <c r="E1390" s="2" t="n">
        <v>4330</v>
      </c>
      <c r="F1390" s="2" t="n"/>
      <c r="G1390" s="2" t="n"/>
      <c r="H1390" s="2" t="n"/>
      <c r="I1390" s="2" t="inlineStr">
        <is>
          <t>BTC</t>
        </is>
      </c>
      <c r="J1390" s="2" t="n">
        <v>1898</v>
      </c>
      <c r="K1390" s="2" t="n"/>
      <c r="L1390" s="2" t="n">
        <v>1929</v>
      </c>
      <c r="M1390" s="2" t="n">
        <v>0.495</v>
      </c>
      <c r="N1390" s="2" t="n">
        <v>15.01</v>
      </c>
      <c r="O1390" s="2" t="n">
        <v>14.822</v>
      </c>
      <c r="P1390" s="7" t="n"/>
    </row>
    <row r="1391">
      <c r="A1391" s="8" t="n">
        <v>16</v>
      </c>
      <c r="B1391" s="1" t="n">
        <v>84</v>
      </c>
      <c r="C1391" s="1" t="inlineStr">
        <is>
          <t>HCN-80</t>
        </is>
      </c>
      <c r="D1391" s="1" t="n">
        <v>1910</v>
      </c>
      <c r="E1391" s="1" t="n">
        <v>4330</v>
      </c>
      <c r="F1391" s="1" t="n"/>
      <c r="G1391" s="1" t="n"/>
      <c r="H1391" s="1" t="n"/>
      <c r="I1391" s="1" t="inlineStr">
        <is>
          <t>STC</t>
        </is>
      </c>
      <c r="J1391" s="1" t="n">
        <v>1342</v>
      </c>
      <c r="K1391" s="1" t="n"/>
      <c r="L1391" s="1" t="n">
        <v>1929</v>
      </c>
      <c r="M1391" s="1" t="n">
        <v>0.495</v>
      </c>
      <c r="N1391" s="1" t="n">
        <v>15.01</v>
      </c>
      <c r="O1391" s="1" t="n">
        <v>14.822</v>
      </c>
      <c r="P1391" s="9" t="n"/>
    </row>
    <row r="1392">
      <c r="A1392" s="8" t="n">
        <v>16</v>
      </c>
      <c r="B1392" s="1" t="n">
        <v>84</v>
      </c>
      <c r="C1392" s="1" t="inlineStr">
        <is>
          <t>HCN-80</t>
        </is>
      </c>
      <c r="D1392" s="1" t="n">
        <v>1910</v>
      </c>
      <c r="E1392" s="1" t="n">
        <v>4330</v>
      </c>
      <c r="F1392" s="1" t="n"/>
      <c r="G1392" s="1" t="n"/>
      <c r="H1392" s="1" t="n"/>
      <c r="I1392" s="1" t="inlineStr">
        <is>
          <t>BTC</t>
        </is>
      </c>
      <c r="J1392" s="1" t="n">
        <v>1898</v>
      </c>
      <c r="K1392" s="1" t="n"/>
      <c r="L1392" s="1" t="n">
        <v>1929</v>
      </c>
      <c r="M1392" s="1" t="n">
        <v>0.495</v>
      </c>
      <c r="N1392" s="1" t="n">
        <v>15.01</v>
      </c>
      <c r="O1392" s="1" t="n">
        <v>14.822</v>
      </c>
      <c r="P1392" s="9" t="n"/>
    </row>
    <row r="1393">
      <c r="A1393" s="6" t="n">
        <v>16</v>
      </c>
      <c r="B1393" s="2" t="n">
        <v>84</v>
      </c>
      <c r="C1393" s="2" t="inlineStr">
        <is>
          <t>HCP-110</t>
        </is>
      </c>
      <c r="D1393" s="2" t="n">
        <v>1910</v>
      </c>
      <c r="E1393" s="2" t="n">
        <v>5960</v>
      </c>
      <c r="F1393" s="2" t="n"/>
      <c r="G1393" s="2" t="n"/>
      <c r="H1393" s="2" t="n"/>
      <c r="I1393" s="2" t="inlineStr">
        <is>
          <t>STC</t>
        </is>
      </c>
      <c r="J1393" s="2" t="n">
        <v>1575</v>
      </c>
      <c r="K1393" s="2" t="n"/>
      <c r="L1393" s="2" t="n">
        <v>2652</v>
      </c>
      <c r="M1393" s="2" t="n">
        <v>0.495</v>
      </c>
      <c r="N1393" s="2" t="n">
        <v>15.01</v>
      </c>
      <c r="O1393" s="2" t="n">
        <v>14.822</v>
      </c>
      <c r="P1393" s="7" t="n"/>
    </row>
    <row r="1394">
      <c r="A1394" s="6" t="n">
        <v>16</v>
      </c>
      <c r="B1394" s="2" t="n">
        <v>84</v>
      </c>
      <c r="C1394" s="2" t="inlineStr">
        <is>
          <t>HCP-110</t>
        </is>
      </c>
      <c r="D1394" s="2" t="n">
        <v>1910</v>
      </c>
      <c r="E1394" s="2" t="n">
        <v>5960</v>
      </c>
      <c r="F1394" s="2" t="n"/>
      <c r="G1394" s="2" t="n"/>
      <c r="H1394" s="2" t="n"/>
      <c r="I1394" s="2" t="inlineStr">
        <is>
          <t>BTC</t>
        </is>
      </c>
      <c r="J1394" s="2" t="n">
        <v>2518</v>
      </c>
      <c r="K1394" s="2" t="n"/>
      <c r="L1394" s="2" t="n">
        <v>2652</v>
      </c>
      <c r="M1394" s="2" t="n">
        <v>0.495</v>
      </c>
      <c r="N1394" s="2" t="n">
        <v>15.01</v>
      </c>
      <c r="O1394" s="2" t="n">
        <v>14.822</v>
      </c>
      <c r="P1394" s="7" t="n"/>
    </row>
    <row r="1395">
      <c r="A1395" s="8" t="n">
        <v>16</v>
      </c>
      <c r="B1395" s="1" t="n">
        <v>84</v>
      </c>
      <c r="C1395" s="1" t="inlineStr">
        <is>
          <t>P-110</t>
        </is>
      </c>
      <c r="D1395" s="1" t="n">
        <v>1480</v>
      </c>
      <c r="E1395" s="1" t="n">
        <v>5960</v>
      </c>
      <c r="F1395" s="1" t="n"/>
      <c r="G1395" s="1" t="n"/>
      <c r="H1395" s="1" t="n"/>
      <c r="I1395" s="1" t="inlineStr">
        <is>
          <t>STC</t>
        </is>
      </c>
      <c r="J1395" s="1" t="n">
        <v>1575</v>
      </c>
      <c r="K1395" s="1" t="n"/>
      <c r="L1395" s="1" t="n">
        <v>2652</v>
      </c>
      <c r="M1395" s="1" t="n">
        <v>0.495</v>
      </c>
      <c r="N1395" s="1" t="n">
        <v>15.01</v>
      </c>
      <c r="O1395" s="1" t="n">
        <v>14.822</v>
      </c>
      <c r="P1395" s="9" t="n"/>
    </row>
    <row r="1396">
      <c r="A1396" s="8" t="n">
        <v>16</v>
      </c>
      <c r="B1396" s="1" t="n">
        <v>84</v>
      </c>
      <c r="C1396" s="1" t="inlineStr">
        <is>
          <t>P-110</t>
        </is>
      </c>
      <c r="D1396" s="1" t="n">
        <v>1480</v>
      </c>
      <c r="E1396" s="1" t="n">
        <v>5960</v>
      </c>
      <c r="F1396" s="1" t="n"/>
      <c r="G1396" s="1" t="n"/>
      <c r="H1396" s="1" t="n"/>
      <c r="I1396" s="1" t="inlineStr">
        <is>
          <t>BTC</t>
        </is>
      </c>
      <c r="J1396" s="1" t="n">
        <v>2518</v>
      </c>
      <c r="K1396" s="1" t="n"/>
      <c r="L1396" s="1" t="n">
        <v>2652</v>
      </c>
      <c r="M1396" s="1" t="n">
        <v>0.495</v>
      </c>
      <c r="N1396" s="1" t="n">
        <v>15.01</v>
      </c>
      <c r="O1396" s="1" t="n">
        <v>14.822</v>
      </c>
      <c r="P1396" s="9" t="n"/>
    </row>
    <row r="1397">
      <c r="A1397" s="6" t="n">
        <v>16</v>
      </c>
      <c r="B1397" s="2" t="n">
        <v>84</v>
      </c>
      <c r="C1397" s="2" t="inlineStr">
        <is>
          <t>HCQ-125</t>
        </is>
      </c>
      <c r="D1397" s="2" t="n">
        <v>1910</v>
      </c>
      <c r="E1397" s="2" t="n">
        <v>6770</v>
      </c>
      <c r="F1397" s="2" t="n"/>
      <c r="G1397" s="2" t="n"/>
      <c r="H1397" s="2" t="n"/>
      <c r="I1397" s="2" t="inlineStr">
        <is>
          <t>STC</t>
        </is>
      </c>
      <c r="J1397" s="2" t="n">
        <v>1773</v>
      </c>
      <c r="K1397" s="2" t="n"/>
      <c r="L1397" s="2" t="n">
        <v>3014</v>
      </c>
      <c r="M1397" s="2" t="n">
        <v>0.495</v>
      </c>
      <c r="N1397" s="2" t="n">
        <v>15.01</v>
      </c>
      <c r="O1397" s="2" t="n">
        <v>14.822</v>
      </c>
      <c r="P1397" s="7" t="n"/>
    </row>
    <row r="1398">
      <c r="A1398" s="6" t="n">
        <v>16</v>
      </c>
      <c r="B1398" s="2" t="n">
        <v>84</v>
      </c>
      <c r="C1398" s="2" t="inlineStr">
        <is>
          <t>HCQ-125</t>
        </is>
      </c>
      <c r="D1398" s="2" t="n">
        <v>1910</v>
      </c>
      <c r="E1398" s="2" t="n">
        <v>6770</v>
      </c>
      <c r="F1398" s="2" t="n"/>
      <c r="G1398" s="2" t="n"/>
      <c r="H1398" s="2" t="n"/>
      <c r="I1398" s="2" t="inlineStr">
        <is>
          <t>BTC</t>
        </is>
      </c>
      <c r="J1398" s="2" t="n">
        <v>2809</v>
      </c>
      <c r="K1398" s="2" t="n"/>
      <c r="L1398" s="2" t="n">
        <v>3014</v>
      </c>
      <c r="M1398" s="2" t="n">
        <v>0.495</v>
      </c>
      <c r="N1398" s="2" t="n">
        <v>15.01</v>
      </c>
      <c r="O1398" s="2" t="n">
        <v>14.822</v>
      </c>
      <c r="P1398" s="7" t="n"/>
    </row>
    <row r="1399">
      <c r="A1399" s="8" t="n">
        <v>16</v>
      </c>
      <c r="B1399" s="1" t="n">
        <v>84</v>
      </c>
      <c r="C1399" s="1" t="inlineStr">
        <is>
          <t>Q-125</t>
        </is>
      </c>
      <c r="D1399" s="1" t="n">
        <v>1480</v>
      </c>
      <c r="E1399" s="1" t="n">
        <v>6770</v>
      </c>
      <c r="F1399" s="1" t="n"/>
      <c r="G1399" s="1" t="n"/>
      <c r="H1399" s="1" t="n"/>
      <c r="I1399" s="1" t="inlineStr">
        <is>
          <t>STC</t>
        </is>
      </c>
      <c r="J1399" s="1" t="n">
        <v>1773</v>
      </c>
      <c r="K1399" s="1" t="n"/>
      <c r="L1399" s="1" t="n">
        <v>3014</v>
      </c>
      <c r="M1399" s="1" t="n">
        <v>0.495</v>
      </c>
      <c r="N1399" s="1" t="n">
        <v>15.01</v>
      </c>
      <c r="O1399" s="1" t="n">
        <v>14.822</v>
      </c>
      <c r="P1399" s="9" t="n"/>
    </row>
    <row r="1400">
      <c r="A1400" s="8" t="n">
        <v>16</v>
      </c>
      <c r="B1400" s="1" t="n">
        <v>84</v>
      </c>
      <c r="C1400" s="1" t="inlineStr">
        <is>
          <t>Q-125</t>
        </is>
      </c>
      <c r="D1400" s="1" t="n">
        <v>1480</v>
      </c>
      <c r="E1400" s="1" t="n">
        <v>6770</v>
      </c>
      <c r="F1400" s="1" t="n"/>
      <c r="G1400" s="1" t="n"/>
      <c r="H1400" s="1" t="n"/>
      <c r="I1400" s="1" t="inlineStr">
        <is>
          <t>BTC</t>
        </is>
      </c>
      <c r="J1400" s="1" t="n">
        <v>2809</v>
      </c>
      <c r="K1400" s="1" t="n"/>
      <c r="L1400" s="1" t="n">
        <v>3014</v>
      </c>
      <c r="M1400" s="1" t="n">
        <v>0.495</v>
      </c>
      <c r="N1400" s="1" t="n">
        <v>15.01</v>
      </c>
      <c r="O1400" s="1" t="n">
        <v>14.822</v>
      </c>
      <c r="P1400" s="9" t="n"/>
    </row>
    <row r="1401">
      <c r="A1401" s="6" t="n">
        <v>16</v>
      </c>
      <c r="B1401" s="2" t="n">
        <v>95</v>
      </c>
      <c r="C1401" s="2" t="inlineStr">
        <is>
          <t>N-80</t>
        </is>
      </c>
      <c r="D1401" s="2" t="n">
        <v>2180</v>
      </c>
      <c r="E1401" s="2" t="n">
        <v>4950</v>
      </c>
      <c r="F1401" s="2" t="n"/>
      <c r="G1401" s="2" t="n"/>
      <c r="H1401" s="2" t="n"/>
      <c r="I1401" s="2" t="inlineStr">
        <is>
          <t>BTC</t>
        </is>
      </c>
      <c r="J1401" s="2" t="n">
        <v>2161</v>
      </c>
      <c r="K1401" s="2" t="n"/>
      <c r="L1401" s="2" t="n">
        <v>2196</v>
      </c>
      <c r="M1401" s="2" t="n">
        <v>0.5659999999999999</v>
      </c>
      <c r="N1401" s="2" t="n">
        <v>14.868</v>
      </c>
      <c r="O1401" s="2" t="n"/>
      <c r="P1401" s="7" t="n">
        <v>14.75</v>
      </c>
    </row>
    <row r="1402">
      <c r="A1402" s="8" t="n">
        <v>16</v>
      </c>
      <c r="B1402" s="1" t="n">
        <v>95</v>
      </c>
      <c r="C1402" s="1" t="inlineStr">
        <is>
          <t>HCN-80</t>
        </is>
      </c>
      <c r="D1402" s="1" t="n">
        <v>2580</v>
      </c>
      <c r="E1402" s="1" t="n">
        <v>4950</v>
      </c>
      <c r="F1402" s="1" t="n"/>
      <c r="G1402" s="1" t="n"/>
      <c r="H1402" s="1" t="n"/>
      <c r="I1402" s="1" t="inlineStr">
        <is>
          <t>BTC</t>
        </is>
      </c>
      <c r="J1402" s="1" t="n">
        <v>2161</v>
      </c>
      <c r="K1402" s="1" t="n"/>
      <c r="L1402" s="1" t="n">
        <v>2196</v>
      </c>
      <c r="M1402" s="1" t="n">
        <v>0.5659999999999999</v>
      </c>
      <c r="N1402" s="1" t="n">
        <v>14.868</v>
      </c>
      <c r="O1402" s="1" t="n"/>
      <c r="P1402" s="9" t="n">
        <v>14.75</v>
      </c>
    </row>
    <row r="1403">
      <c r="A1403" s="6" t="n">
        <v>16</v>
      </c>
      <c r="B1403" s="2" t="n">
        <v>95</v>
      </c>
      <c r="C1403" s="2" t="inlineStr">
        <is>
          <t>HCP-110</t>
        </is>
      </c>
      <c r="D1403" s="2" t="n">
        <v>2580</v>
      </c>
      <c r="E1403" s="2" t="n">
        <v>6810</v>
      </c>
      <c r="F1403" s="2" t="n"/>
      <c r="G1403" s="2" t="n"/>
      <c r="H1403" s="2" t="n"/>
      <c r="I1403" s="2" t="inlineStr">
        <is>
          <t>BTC</t>
        </is>
      </c>
      <c r="J1403" s="2" t="n">
        <v>2866</v>
      </c>
      <c r="K1403" s="2" t="n"/>
      <c r="L1403" s="2" t="n">
        <v>3019</v>
      </c>
      <c r="M1403" s="2" t="n">
        <v>0.5659999999999999</v>
      </c>
      <c r="N1403" s="2" t="n">
        <v>14.868</v>
      </c>
      <c r="O1403" s="2" t="n"/>
      <c r="P1403" s="7" t="n">
        <v>14.75</v>
      </c>
    </row>
    <row r="1404">
      <c r="A1404" s="8" t="n">
        <v>16</v>
      </c>
      <c r="B1404" s="1" t="n">
        <v>95</v>
      </c>
      <c r="C1404" s="1" t="inlineStr">
        <is>
          <t>P-110</t>
        </is>
      </c>
      <c r="D1404" s="1" t="n">
        <v>2230</v>
      </c>
      <c r="E1404" s="1" t="n">
        <v>6810</v>
      </c>
      <c r="F1404" s="1" t="n"/>
      <c r="G1404" s="1" t="n"/>
      <c r="H1404" s="1" t="n"/>
      <c r="I1404" s="1" t="inlineStr">
        <is>
          <t>BTC</t>
        </is>
      </c>
      <c r="J1404" s="1" t="n">
        <v>2866</v>
      </c>
      <c r="K1404" s="1" t="n"/>
      <c r="L1404" s="1" t="n">
        <v>3019</v>
      </c>
      <c r="M1404" s="1" t="n">
        <v>0.5659999999999999</v>
      </c>
      <c r="N1404" s="1" t="n">
        <v>14.868</v>
      </c>
      <c r="O1404" s="1" t="n"/>
      <c r="P1404" s="9" t="n">
        <v>14.75</v>
      </c>
    </row>
    <row r="1405">
      <c r="A1405" s="6" t="n">
        <v>16</v>
      </c>
      <c r="B1405" s="2" t="n">
        <v>95</v>
      </c>
      <c r="C1405" s="2" t="inlineStr">
        <is>
          <t>HCQ-125</t>
        </is>
      </c>
      <c r="D1405" s="2" t="n">
        <v>2580</v>
      </c>
      <c r="E1405" s="2" t="n">
        <v>7740</v>
      </c>
      <c r="F1405" s="2" t="n"/>
      <c r="G1405" s="2" t="n"/>
      <c r="H1405" s="2" t="n"/>
      <c r="I1405" s="2" t="inlineStr">
        <is>
          <t>BTC</t>
        </is>
      </c>
      <c r="J1405" s="2" t="n">
        <v>3198</v>
      </c>
      <c r="K1405" s="2" t="n"/>
      <c r="L1405" s="2" t="n">
        <v>3431</v>
      </c>
      <c r="M1405" s="2" t="n">
        <v>0.5659999999999999</v>
      </c>
      <c r="N1405" s="2" t="n">
        <v>14.868</v>
      </c>
      <c r="O1405" s="2" t="n"/>
      <c r="P1405" s="7" t="n">
        <v>14.75</v>
      </c>
    </row>
    <row r="1406">
      <c r="A1406" s="8" t="n">
        <v>16</v>
      </c>
      <c r="B1406" s="1" t="n">
        <v>95</v>
      </c>
      <c r="C1406" s="1" t="inlineStr">
        <is>
          <t>Q-125</t>
        </is>
      </c>
      <c r="D1406" s="1" t="n">
        <v>2230</v>
      </c>
      <c r="E1406" s="1" t="n">
        <v>7740</v>
      </c>
      <c r="F1406" s="1" t="n"/>
      <c r="G1406" s="1" t="n"/>
      <c r="H1406" s="1" t="n"/>
      <c r="I1406" s="1" t="inlineStr">
        <is>
          <t>BTC</t>
        </is>
      </c>
      <c r="J1406" s="1" t="n">
        <v>3198</v>
      </c>
      <c r="K1406" s="1" t="n"/>
      <c r="L1406" s="1" t="n">
        <v>3431</v>
      </c>
      <c r="M1406" s="1" t="n">
        <v>0.5659999999999999</v>
      </c>
      <c r="N1406" s="1" t="n">
        <v>14.868</v>
      </c>
      <c r="O1406" s="1" t="n"/>
      <c r="P1406" s="9" t="n">
        <v>14.75</v>
      </c>
    </row>
    <row r="1407">
      <c r="A1407" s="6" t="n">
        <v>16</v>
      </c>
      <c r="B1407" s="2" t="n">
        <v>97</v>
      </c>
      <c r="C1407" s="2" t="inlineStr">
        <is>
          <t>N-80</t>
        </is>
      </c>
      <c r="D1407" s="2" t="n">
        <v>2270</v>
      </c>
      <c r="E1407" s="2" t="n">
        <v>5030</v>
      </c>
      <c r="F1407" s="2" t="n"/>
      <c r="G1407" s="2" t="n"/>
      <c r="H1407" s="2" t="n"/>
      <c r="I1407" s="2" t="inlineStr">
        <is>
          <t>BTC</t>
        </is>
      </c>
      <c r="J1407" s="2" t="n">
        <v>2194</v>
      </c>
      <c r="K1407" s="2" t="n"/>
      <c r="L1407" s="2" t="n">
        <v>2230</v>
      </c>
      <c r="M1407" s="2" t="n">
        <v>0.575</v>
      </c>
      <c r="N1407" s="2" t="n">
        <v>14.85</v>
      </c>
      <c r="O1407" s="2" t="n"/>
      <c r="P1407" s="7" t="n">
        <v>14.75</v>
      </c>
    </row>
    <row r="1408">
      <c r="A1408" s="8" t="n">
        <v>16</v>
      </c>
      <c r="B1408" s="1" t="n">
        <v>97</v>
      </c>
      <c r="C1408" s="1" t="inlineStr">
        <is>
          <t>HCN-80</t>
        </is>
      </c>
      <c r="D1408" s="1" t="n">
        <v>2990</v>
      </c>
      <c r="E1408" s="1" t="n">
        <v>5030</v>
      </c>
      <c r="F1408" s="1" t="n"/>
      <c r="G1408" s="1" t="n"/>
      <c r="H1408" s="1" t="n"/>
      <c r="I1408" s="1" t="inlineStr">
        <is>
          <t>BTC</t>
        </is>
      </c>
      <c r="J1408" s="1" t="n">
        <v>2194</v>
      </c>
      <c r="K1408" s="1" t="n"/>
      <c r="L1408" s="1" t="n">
        <v>2230</v>
      </c>
      <c r="M1408" s="1" t="n">
        <v>0.575</v>
      </c>
      <c r="N1408" s="1" t="n">
        <v>14.85</v>
      </c>
      <c r="O1408" s="1" t="n"/>
      <c r="P1408" s="9" t="n">
        <v>14.75</v>
      </c>
    </row>
    <row r="1409">
      <c r="A1409" s="6" t="n">
        <v>16</v>
      </c>
      <c r="B1409" s="2" t="n">
        <v>97</v>
      </c>
      <c r="C1409" s="2" t="inlineStr">
        <is>
          <t>HCP-110</t>
        </is>
      </c>
      <c r="D1409" s="2" t="n">
        <v>2990</v>
      </c>
      <c r="E1409" s="2" t="n">
        <v>6920</v>
      </c>
      <c r="F1409" s="2" t="n"/>
      <c r="G1409" s="2" t="n"/>
      <c r="H1409" s="2" t="n"/>
      <c r="I1409" s="2" t="inlineStr">
        <is>
          <t>BTC</t>
        </is>
      </c>
      <c r="J1409" s="2" t="n">
        <v>2910</v>
      </c>
      <c r="K1409" s="2" t="n"/>
      <c r="L1409" s="2" t="n">
        <v>3067</v>
      </c>
      <c r="M1409" s="2" t="n">
        <v>0.575</v>
      </c>
      <c r="N1409" s="2" t="n">
        <v>14.85</v>
      </c>
      <c r="O1409" s="2" t="n"/>
      <c r="P1409" s="7" t="n">
        <v>14.75</v>
      </c>
    </row>
    <row r="1410">
      <c r="A1410" s="8" t="n">
        <v>16</v>
      </c>
      <c r="B1410" s="1" t="n">
        <v>97</v>
      </c>
      <c r="C1410" s="1" t="inlineStr">
        <is>
          <t>P-110</t>
        </is>
      </c>
      <c r="D1410" s="1" t="n">
        <v>2340</v>
      </c>
      <c r="E1410" s="1" t="n">
        <v>6920</v>
      </c>
      <c r="F1410" s="1" t="n"/>
      <c r="G1410" s="1" t="n"/>
      <c r="H1410" s="1" t="n"/>
      <c r="I1410" s="1" t="inlineStr">
        <is>
          <t>BTC</t>
        </is>
      </c>
      <c r="J1410" s="1" t="n">
        <v>2910</v>
      </c>
      <c r="K1410" s="1" t="n"/>
      <c r="L1410" s="1" t="n">
        <v>3067</v>
      </c>
      <c r="M1410" s="1" t="n">
        <v>0.575</v>
      </c>
      <c r="N1410" s="1" t="n">
        <v>14.85</v>
      </c>
      <c r="O1410" s="1" t="n"/>
      <c r="P1410" s="9" t="n">
        <v>14.75</v>
      </c>
    </row>
    <row r="1411">
      <c r="A1411" s="6" t="n">
        <v>16</v>
      </c>
      <c r="B1411" s="2" t="n">
        <v>97</v>
      </c>
      <c r="C1411" s="2" t="inlineStr">
        <is>
          <t>HCQ-125</t>
        </is>
      </c>
      <c r="D1411" s="2" t="n">
        <v>2990</v>
      </c>
      <c r="E1411" s="2" t="n">
        <v>7860</v>
      </c>
      <c r="F1411" s="2" t="n"/>
      <c r="G1411" s="2" t="n"/>
      <c r="H1411" s="2" t="n"/>
      <c r="I1411" s="2" t="inlineStr">
        <is>
          <t>BTC</t>
        </is>
      </c>
      <c r="J1411" s="2" t="n">
        <v>3246</v>
      </c>
      <c r="K1411" s="2" t="n"/>
      <c r="L1411" s="2" t="n">
        <v>3485</v>
      </c>
      <c r="M1411" s="2" t="n">
        <v>0.575</v>
      </c>
      <c r="N1411" s="2" t="n">
        <v>14.85</v>
      </c>
      <c r="O1411" s="2" t="n"/>
      <c r="P1411" s="7" t="n">
        <v>14.75</v>
      </c>
    </row>
    <row r="1412">
      <c r="A1412" s="8" t="n">
        <v>16</v>
      </c>
      <c r="B1412" s="1" t="n">
        <v>97</v>
      </c>
      <c r="C1412" s="1" t="inlineStr">
        <is>
          <t>Q-125</t>
        </is>
      </c>
      <c r="D1412" s="1" t="n">
        <v>2340</v>
      </c>
      <c r="E1412" s="1" t="n">
        <v>7860</v>
      </c>
      <c r="F1412" s="1" t="n"/>
      <c r="G1412" s="1" t="n"/>
      <c r="H1412" s="1" t="n"/>
      <c r="I1412" s="1" t="inlineStr">
        <is>
          <t>BTC</t>
        </is>
      </c>
      <c r="J1412" s="1" t="n">
        <v>3246</v>
      </c>
      <c r="K1412" s="1" t="n"/>
      <c r="L1412" s="1" t="n">
        <v>3485</v>
      </c>
      <c r="M1412" s="1" t="n">
        <v>0.575</v>
      </c>
      <c r="N1412" s="1" t="n">
        <v>14.85</v>
      </c>
      <c r="O1412" s="1" t="n"/>
      <c r="P1412" s="9" t="n">
        <v>14.75</v>
      </c>
    </row>
    <row r="1413">
      <c r="A1413" s="6" t="n">
        <v>16</v>
      </c>
      <c r="B1413" s="2" t="n">
        <v>109</v>
      </c>
      <c r="C1413" s="2" t="inlineStr">
        <is>
          <t>J-55</t>
        </is>
      </c>
      <c r="D1413" s="2" t="n">
        <v>2560</v>
      </c>
      <c r="E1413" s="2" t="n">
        <v>3950</v>
      </c>
      <c r="F1413" s="2" t="n"/>
      <c r="G1413" s="2" t="n"/>
      <c r="H1413" s="2" t="n"/>
      <c r="I1413" s="2" t="inlineStr">
        <is>
          <t>STC</t>
        </is>
      </c>
      <c r="J1413" s="2" t="n">
        <v>1116</v>
      </c>
      <c r="K1413" s="2" t="n"/>
      <c r="L1413" s="2" t="n">
        <v>1739</v>
      </c>
      <c r="M1413" s="2" t="n">
        <v>0.656</v>
      </c>
      <c r="N1413" s="2" t="n">
        <v>14.688</v>
      </c>
      <c r="O1413" s="2" t="n">
        <v>14.5</v>
      </c>
      <c r="P1413" s="7" t="n"/>
    </row>
    <row r="1414">
      <c r="A1414" s="6" t="n">
        <v>16</v>
      </c>
      <c r="B1414" s="2" t="n">
        <v>109</v>
      </c>
      <c r="C1414" s="2" t="inlineStr">
        <is>
          <t>J-55</t>
        </is>
      </c>
      <c r="D1414" s="2" t="n">
        <v>2560</v>
      </c>
      <c r="E1414" s="2" t="n">
        <v>3950</v>
      </c>
      <c r="F1414" s="2" t="n"/>
      <c r="G1414" s="2" t="n"/>
      <c r="H1414" s="2" t="n"/>
      <c r="I1414" s="2" t="inlineStr">
        <is>
          <t>BTC</t>
        </is>
      </c>
      <c r="J1414" s="2" t="n">
        <v>1772</v>
      </c>
      <c r="K1414" s="2" t="n"/>
      <c r="L1414" s="2" t="n">
        <v>1739</v>
      </c>
      <c r="M1414" s="2" t="n">
        <v>0.656</v>
      </c>
      <c r="N1414" s="2" t="n">
        <v>14.688</v>
      </c>
      <c r="O1414" s="2" t="n">
        <v>14.5</v>
      </c>
      <c r="P1414" s="7" t="n"/>
    </row>
    <row r="1415">
      <c r="A1415" s="8" t="n">
        <v>16</v>
      </c>
      <c r="B1415" s="1" t="n">
        <v>109</v>
      </c>
      <c r="C1415" s="1" t="inlineStr">
        <is>
          <t>K-55</t>
        </is>
      </c>
      <c r="D1415" s="1" t="n">
        <v>2560</v>
      </c>
      <c r="E1415" s="1" t="n">
        <v>3950</v>
      </c>
      <c r="F1415" s="1" t="n"/>
      <c r="G1415" s="1" t="n"/>
      <c r="H1415" s="1" t="n"/>
      <c r="I1415" s="1" t="inlineStr">
        <is>
          <t>STC</t>
        </is>
      </c>
      <c r="J1415" s="1" t="n">
        <v>1181</v>
      </c>
      <c r="K1415" s="1" t="n"/>
      <c r="L1415" s="1" t="n">
        <v>1739</v>
      </c>
      <c r="M1415" s="1" t="n">
        <v>0.656</v>
      </c>
      <c r="N1415" s="1" t="n">
        <v>14.688</v>
      </c>
      <c r="O1415" s="1" t="n">
        <v>14.5</v>
      </c>
      <c r="P1415" s="9" t="n"/>
    </row>
    <row r="1416">
      <c r="A1416" s="8" t="n">
        <v>16</v>
      </c>
      <c r="B1416" s="1" t="n">
        <v>109</v>
      </c>
      <c r="C1416" s="1" t="inlineStr">
        <is>
          <t>K-55</t>
        </is>
      </c>
      <c r="D1416" s="1" t="n">
        <v>2560</v>
      </c>
      <c r="E1416" s="1" t="n">
        <v>3950</v>
      </c>
      <c r="F1416" s="1" t="n"/>
      <c r="G1416" s="1" t="n"/>
      <c r="H1416" s="1" t="n"/>
      <c r="I1416" s="1" t="inlineStr">
        <is>
          <t>BTC</t>
        </is>
      </c>
      <c r="J1416" s="1" t="n">
        <v>1965</v>
      </c>
      <c r="K1416" s="1" t="n"/>
      <c r="L1416" s="1" t="n">
        <v>1739</v>
      </c>
      <c r="M1416" s="1" t="n">
        <v>0.656</v>
      </c>
      <c r="N1416" s="1" t="n">
        <v>14.688</v>
      </c>
      <c r="O1416" s="1" t="n">
        <v>14.5</v>
      </c>
      <c r="P1416" s="9" t="n"/>
    </row>
    <row r="1417">
      <c r="A1417" s="6" t="n">
        <v>16</v>
      </c>
      <c r="B1417" s="2" t="n">
        <v>109</v>
      </c>
      <c r="C1417" s="2" t="inlineStr">
        <is>
          <t>N-80</t>
        </is>
      </c>
      <c r="D1417" s="2" t="n">
        <v>3080</v>
      </c>
      <c r="E1417" s="2" t="n">
        <v>5740</v>
      </c>
      <c r="F1417" s="2" t="n"/>
      <c r="G1417" s="2" t="n"/>
      <c r="H1417" s="2" t="n"/>
      <c r="I1417" s="2" t="inlineStr">
        <is>
          <t>STC</t>
        </is>
      </c>
      <c r="J1417" s="2" t="n">
        <v>1594</v>
      </c>
      <c r="K1417" s="2" t="n"/>
      <c r="L1417" s="2" t="n">
        <v>1739</v>
      </c>
      <c r="M1417" s="2" t="n">
        <v>0.656</v>
      </c>
      <c r="N1417" s="2" t="n">
        <v>14.688</v>
      </c>
      <c r="O1417" s="2" t="n">
        <v>14.5</v>
      </c>
      <c r="P1417" s="7" t="n"/>
    </row>
    <row r="1418">
      <c r="A1418" s="6" t="n">
        <v>16</v>
      </c>
      <c r="B1418" s="2" t="n">
        <v>109</v>
      </c>
      <c r="C1418" s="2" t="inlineStr">
        <is>
          <t>N-80</t>
        </is>
      </c>
      <c r="D1418" s="2" t="n">
        <v>3080</v>
      </c>
      <c r="E1418" s="2" t="n">
        <v>5740</v>
      </c>
      <c r="F1418" s="2" t="n"/>
      <c r="G1418" s="2" t="n"/>
      <c r="H1418" s="2" t="n"/>
      <c r="I1418" s="2" t="inlineStr">
        <is>
          <t>BTC</t>
        </is>
      </c>
      <c r="J1418" s="2" t="n">
        <v>2489</v>
      </c>
      <c r="K1418" s="2" t="n"/>
      <c r="L1418" s="2" t="n">
        <v>1739</v>
      </c>
      <c r="M1418" s="2" t="n">
        <v>0.656</v>
      </c>
      <c r="N1418" s="2" t="n">
        <v>14.688</v>
      </c>
      <c r="O1418" s="2" t="n">
        <v>14.5</v>
      </c>
      <c r="P1418" s="7" t="n"/>
    </row>
    <row r="1419">
      <c r="A1419" s="8" t="n">
        <v>16</v>
      </c>
      <c r="B1419" s="1" t="n">
        <v>118</v>
      </c>
      <c r="C1419" s="1" t="inlineStr">
        <is>
          <t>J-55</t>
        </is>
      </c>
      <c r="D1419" s="1" t="n">
        <v>3170</v>
      </c>
      <c r="E1419" s="1" t="n">
        <v>4300</v>
      </c>
      <c r="F1419" s="1" t="n"/>
      <c r="G1419" s="1" t="n"/>
      <c r="H1419" s="1" t="n"/>
      <c r="I1419" s="1" t="inlineStr">
        <is>
          <t>STC</t>
        </is>
      </c>
      <c r="J1419" s="1" t="n">
        <v>1224</v>
      </c>
      <c r="K1419" s="1" t="n"/>
      <c r="L1419" s="1" t="n">
        <v>1889</v>
      </c>
      <c r="M1419" s="1" t="n">
        <v>0.715</v>
      </c>
      <c r="N1419" s="1" t="n">
        <v>14.57</v>
      </c>
      <c r="O1419" s="1" t="n">
        <v>14.382</v>
      </c>
      <c r="P1419" s="9" t="n"/>
    </row>
    <row r="1420">
      <c r="A1420" s="8" t="n">
        <v>16</v>
      </c>
      <c r="B1420" s="1" t="n">
        <v>118</v>
      </c>
      <c r="C1420" s="1" t="inlineStr">
        <is>
          <t>J-55</t>
        </is>
      </c>
      <c r="D1420" s="1" t="n">
        <v>3170</v>
      </c>
      <c r="E1420" s="1" t="n">
        <v>4300</v>
      </c>
      <c r="F1420" s="1" t="n"/>
      <c r="G1420" s="1" t="n"/>
      <c r="H1420" s="1" t="n"/>
      <c r="I1420" s="1" t="inlineStr">
        <is>
          <t>BTC</t>
        </is>
      </c>
      <c r="J1420" s="1" t="n">
        <v>1924</v>
      </c>
      <c r="K1420" s="1" t="n"/>
      <c r="L1420" s="1" t="n">
        <v>1889</v>
      </c>
      <c r="M1420" s="1" t="n">
        <v>0.715</v>
      </c>
      <c r="N1420" s="1" t="n">
        <v>14.57</v>
      </c>
      <c r="O1420" s="1" t="n">
        <v>14.382</v>
      </c>
      <c r="P1420" s="9" t="n"/>
    </row>
    <row r="1421">
      <c r="A1421" s="6" t="n">
        <v>16</v>
      </c>
      <c r="B1421" s="2" t="n">
        <v>118</v>
      </c>
      <c r="C1421" s="2" t="inlineStr">
        <is>
          <t>K-55</t>
        </is>
      </c>
      <c r="D1421" s="2" t="n">
        <v>3170</v>
      </c>
      <c r="E1421" s="2" t="n">
        <v>4300</v>
      </c>
      <c r="F1421" s="2" t="n"/>
      <c r="G1421" s="2" t="n"/>
      <c r="H1421" s="2" t="n"/>
      <c r="I1421" s="2" t="inlineStr">
        <is>
          <t>STC</t>
        </is>
      </c>
      <c r="J1421" s="2" t="n">
        <v>1296</v>
      </c>
      <c r="K1421" s="2" t="n"/>
      <c r="L1421" s="2" t="n">
        <v>1889</v>
      </c>
      <c r="M1421" s="2" t="n">
        <v>0.715</v>
      </c>
      <c r="N1421" s="2" t="n">
        <v>14.57</v>
      </c>
      <c r="O1421" s="2" t="n">
        <v>14.382</v>
      </c>
      <c r="P1421" s="7" t="n"/>
    </row>
    <row r="1422">
      <c r="A1422" s="6" t="n">
        <v>16</v>
      </c>
      <c r="B1422" s="2" t="n">
        <v>118</v>
      </c>
      <c r="C1422" s="2" t="inlineStr">
        <is>
          <t>K-55</t>
        </is>
      </c>
      <c r="D1422" s="2" t="n">
        <v>3170</v>
      </c>
      <c r="E1422" s="2" t="n">
        <v>4300</v>
      </c>
      <c r="F1422" s="2" t="n"/>
      <c r="G1422" s="2" t="n"/>
      <c r="H1422" s="2" t="n"/>
      <c r="I1422" s="2" t="inlineStr">
        <is>
          <t>BTC</t>
        </is>
      </c>
      <c r="J1422" s="2" t="n">
        <v>2131</v>
      </c>
      <c r="K1422" s="2" t="n"/>
      <c r="L1422" s="2" t="n">
        <v>1889</v>
      </c>
      <c r="M1422" s="2" t="n">
        <v>0.715</v>
      </c>
      <c r="N1422" s="2" t="n">
        <v>14.57</v>
      </c>
      <c r="O1422" s="2" t="n">
        <v>14.382</v>
      </c>
      <c r="P1422" s="7" t="n"/>
    </row>
    <row r="1423" ht="15.75" customHeight="1" s="613" thickBot="1">
      <c r="A1423" s="10" t="n">
        <v>16</v>
      </c>
      <c r="B1423" s="11" t="n">
        <v>118</v>
      </c>
      <c r="C1423" s="11" t="inlineStr">
        <is>
          <t>N-80</t>
        </is>
      </c>
      <c r="D1423" s="11" t="n">
        <v>3680</v>
      </c>
      <c r="E1423" s="11" t="n">
        <v>6260</v>
      </c>
      <c r="F1423" s="11" t="n"/>
      <c r="G1423" s="11" t="n"/>
      <c r="H1423" s="11" t="n"/>
      <c r="I1423" s="1" t="inlineStr">
        <is>
          <t>STC</t>
        </is>
      </c>
      <c r="J1423" s="11" t="n">
        <v>1741</v>
      </c>
      <c r="K1423" s="11" t="n"/>
      <c r="L1423" s="11" t="n">
        <v>2747</v>
      </c>
      <c r="M1423" s="11" t="n">
        <v>0.715</v>
      </c>
      <c r="N1423" s="11" t="n">
        <v>14.57</v>
      </c>
      <c r="O1423" s="11" t="n">
        <v>14.382</v>
      </c>
      <c r="P1423" s="12" t="n"/>
    </row>
    <row r="1424" ht="15.75" customHeight="1" s="613" thickBot="1">
      <c r="A1424" s="10" t="n">
        <v>16</v>
      </c>
      <c r="B1424" s="11" t="n">
        <v>118</v>
      </c>
      <c r="C1424" s="11" t="inlineStr">
        <is>
          <t>N-80</t>
        </is>
      </c>
      <c r="D1424" s="11" t="n">
        <v>3680</v>
      </c>
      <c r="E1424" s="11" t="n">
        <v>6260</v>
      </c>
      <c r="F1424" s="11" t="n"/>
      <c r="G1424" s="11" t="n"/>
      <c r="H1424" s="11" t="n"/>
      <c r="I1424" s="1" t="inlineStr">
        <is>
          <t>BTC</t>
        </is>
      </c>
      <c r="J1424" s="11" t="n">
        <v>2703</v>
      </c>
      <c r="K1424" s="11" t="n"/>
      <c r="L1424" s="11" t="n">
        <v>2747</v>
      </c>
      <c r="M1424" s="11" t="n">
        <v>0.715</v>
      </c>
      <c r="N1424" s="11" t="n">
        <v>14.57</v>
      </c>
      <c r="O1424" s="11" t="n">
        <v>14.382</v>
      </c>
      <c r="P1424" s="12" t="n"/>
    </row>
    <row r="1425" ht="15.75" customHeight="1" s="613" thickBot="1">
      <c r="A1425" s="3" t="n">
        <v>18.625</v>
      </c>
      <c r="B1425" s="4" t="n">
        <v>87.5</v>
      </c>
      <c r="C1425" s="4" t="inlineStr">
        <is>
          <t>H-40</t>
        </is>
      </c>
      <c r="D1425" s="4" t="n">
        <v>630</v>
      </c>
      <c r="E1425" s="4" t="n">
        <v>1630</v>
      </c>
      <c r="F1425" s="4" t="n"/>
      <c r="G1425" s="4" t="n"/>
      <c r="H1425" s="4" t="n"/>
      <c r="I1425" s="4" t="inlineStr">
        <is>
          <t>STC</t>
        </is>
      </c>
      <c r="J1425" s="4" t="n">
        <v>559</v>
      </c>
      <c r="K1425" s="4" t="n"/>
      <c r="L1425" s="4" t="n">
        <v>995</v>
      </c>
      <c r="M1425" s="4" t="n">
        <v>0.435</v>
      </c>
      <c r="N1425" s="4" t="n">
        <v>17.755</v>
      </c>
      <c r="O1425" s="4" t="n">
        <v>17.567</v>
      </c>
      <c r="P1425" s="5" t="n"/>
    </row>
    <row r="1426">
      <c r="A1426" s="3" t="n">
        <v>18.625</v>
      </c>
      <c r="B1426" s="4" t="n">
        <v>87.5</v>
      </c>
      <c r="C1426" s="4" t="inlineStr">
        <is>
          <t>H-40</t>
        </is>
      </c>
      <c r="D1426" s="4" t="n">
        <v>630</v>
      </c>
      <c r="E1426" s="4" t="n">
        <v>1630</v>
      </c>
      <c r="F1426" s="4" t="n"/>
      <c r="G1426" s="4" t="n"/>
      <c r="H1426" s="4" t="n"/>
      <c r="I1426" s="4" t="inlineStr">
        <is>
          <t>BTC</t>
        </is>
      </c>
      <c r="J1426" s="4" t="n">
        <v>993</v>
      </c>
      <c r="K1426" s="4" t="n"/>
      <c r="L1426" s="4" t="n">
        <v>995</v>
      </c>
      <c r="M1426" s="4" t="n">
        <v>0.435</v>
      </c>
      <c r="N1426" s="4" t="n">
        <v>17.755</v>
      </c>
      <c r="O1426" s="4" t="n">
        <v>17.567</v>
      </c>
      <c r="P1426" s="5" t="n"/>
    </row>
    <row r="1427">
      <c r="A1427" s="6" t="n">
        <v>18.625</v>
      </c>
      <c r="B1427" s="2" t="n">
        <v>87.5</v>
      </c>
      <c r="C1427" s="2" t="inlineStr">
        <is>
          <t>J-55</t>
        </is>
      </c>
      <c r="D1427" s="2" t="n">
        <v>630</v>
      </c>
      <c r="E1427" s="2" t="n">
        <v>2250</v>
      </c>
      <c r="F1427" s="2" t="n"/>
      <c r="G1427" s="2" t="n"/>
      <c r="H1427" s="2" t="n"/>
      <c r="I1427" s="2" t="inlineStr">
        <is>
          <t>STC</t>
        </is>
      </c>
      <c r="J1427" s="2" t="n">
        <v>754</v>
      </c>
      <c r="K1427" s="2" t="n"/>
      <c r="L1427" s="2" t="n">
        <v>1368</v>
      </c>
      <c r="M1427" s="2" t="n">
        <v>0.435</v>
      </c>
      <c r="N1427" s="2" t="n">
        <v>17.755</v>
      </c>
      <c r="O1427" s="2" t="n">
        <v>17.567</v>
      </c>
      <c r="P1427" s="7" t="n"/>
    </row>
    <row r="1428">
      <c r="A1428" s="6" t="n">
        <v>18.625</v>
      </c>
      <c r="B1428" s="2" t="n">
        <v>87.5</v>
      </c>
      <c r="C1428" s="2" t="inlineStr">
        <is>
          <t>J-55</t>
        </is>
      </c>
      <c r="D1428" s="2" t="n">
        <v>630</v>
      </c>
      <c r="E1428" s="2" t="n">
        <v>2250</v>
      </c>
      <c r="F1428" s="2" t="n"/>
      <c r="G1428" s="2" t="n"/>
      <c r="H1428" s="2" t="n"/>
      <c r="I1428" s="2" t="inlineStr">
        <is>
          <t>BTC</t>
        </is>
      </c>
      <c r="J1428" s="2" t="n">
        <v>1329</v>
      </c>
      <c r="K1428" s="2" t="n"/>
      <c r="L1428" s="2" t="n">
        <v>1368</v>
      </c>
      <c r="M1428" s="2" t="n">
        <v>0.435</v>
      </c>
      <c r="N1428" s="2" t="n">
        <v>17.755</v>
      </c>
      <c r="O1428" s="2" t="n">
        <v>17.567</v>
      </c>
      <c r="P1428" s="7" t="n"/>
    </row>
    <row r="1429">
      <c r="A1429" s="8" t="n">
        <v>18.625</v>
      </c>
      <c r="B1429" s="1" t="n">
        <v>87.5</v>
      </c>
      <c r="C1429" s="1" t="inlineStr">
        <is>
          <t>K-55</t>
        </is>
      </c>
      <c r="D1429" s="1" t="n">
        <v>630</v>
      </c>
      <c r="E1429" s="1" t="n">
        <v>2250</v>
      </c>
      <c r="F1429" s="1" t="n"/>
      <c r="G1429" s="1" t="n"/>
      <c r="H1429" s="1" t="n"/>
      <c r="I1429" s="1" t="inlineStr">
        <is>
          <t>STC</t>
        </is>
      </c>
      <c r="J1429" s="1" t="n">
        <v>794</v>
      </c>
      <c r="K1429" s="1" t="n"/>
      <c r="L1429" s="1" t="n">
        <v>1368</v>
      </c>
      <c r="M1429" s="1" t="n">
        <v>0.435</v>
      </c>
      <c r="N1429" s="1" t="n">
        <v>17.755</v>
      </c>
      <c r="O1429" s="1" t="n">
        <v>17.567</v>
      </c>
      <c r="P1429" s="9" t="n"/>
    </row>
    <row r="1430">
      <c r="A1430" s="8" t="n">
        <v>18.625</v>
      </c>
      <c r="B1430" s="1" t="n">
        <v>87.5</v>
      </c>
      <c r="C1430" s="1" t="inlineStr">
        <is>
          <t>K-55</t>
        </is>
      </c>
      <c r="D1430" s="1" t="n">
        <v>630</v>
      </c>
      <c r="E1430" s="1" t="n">
        <v>2250</v>
      </c>
      <c r="F1430" s="1" t="n"/>
      <c r="G1430" s="1" t="n"/>
      <c r="H1430" s="1" t="n"/>
      <c r="I1430" s="1" t="inlineStr">
        <is>
          <t>BTC</t>
        </is>
      </c>
      <c r="J1430" s="1" t="n">
        <v>1427</v>
      </c>
      <c r="K1430" s="1" t="n"/>
      <c r="L1430" s="1" t="n">
        <v>1368</v>
      </c>
      <c r="M1430" s="1" t="n">
        <v>0.435</v>
      </c>
      <c r="N1430" s="1" t="n">
        <v>17.755</v>
      </c>
      <c r="O1430" s="1" t="n">
        <v>17.567</v>
      </c>
      <c r="P1430" s="9" t="n"/>
    </row>
    <row r="1431">
      <c r="A1431" s="6" t="n">
        <v>18.625</v>
      </c>
      <c r="B1431" s="2" t="n">
        <v>87.5</v>
      </c>
      <c r="C1431" s="2" t="inlineStr">
        <is>
          <t>N-80</t>
        </is>
      </c>
      <c r="D1431" s="2" t="n">
        <v>630</v>
      </c>
      <c r="E1431" s="2" t="n">
        <v>3270</v>
      </c>
      <c r="F1431" s="2" t="n"/>
      <c r="G1431" s="2" t="n"/>
      <c r="H1431" s="2" t="n"/>
      <c r="I1431" s="2" t="inlineStr">
        <is>
          <t>STC</t>
        </is>
      </c>
      <c r="J1431" s="2" t="n">
        <v>1079</v>
      </c>
      <c r="K1431" s="2" t="n"/>
      <c r="L1431" s="2" t="n">
        <v>1990</v>
      </c>
      <c r="M1431" s="2" t="n">
        <v>0.435</v>
      </c>
      <c r="N1431" s="2" t="n">
        <v>17.755</v>
      </c>
      <c r="O1431" s="2" t="n">
        <v>17.567</v>
      </c>
      <c r="P1431" s="7" t="n"/>
    </row>
    <row r="1432">
      <c r="A1432" s="6" t="n">
        <v>18.625</v>
      </c>
      <c r="B1432" s="2" t="n">
        <v>87.5</v>
      </c>
      <c r="C1432" s="2" t="inlineStr">
        <is>
          <t>N-80</t>
        </is>
      </c>
      <c r="D1432" s="2" t="n">
        <v>630</v>
      </c>
      <c r="E1432" s="2" t="n">
        <v>3270</v>
      </c>
      <c r="F1432" s="2" t="n"/>
      <c r="G1432" s="2" t="n"/>
      <c r="H1432" s="2" t="n"/>
      <c r="I1432" s="2" t="inlineStr">
        <is>
          <t>BTC</t>
        </is>
      </c>
      <c r="J1432" s="2" t="n">
        <v>1887</v>
      </c>
      <c r="K1432" s="2" t="n"/>
      <c r="L1432" s="2" t="n">
        <v>1990</v>
      </c>
      <c r="M1432" s="2" t="n">
        <v>0.435</v>
      </c>
      <c r="N1432" s="2" t="n">
        <v>17.755</v>
      </c>
      <c r="O1432" s="2" t="n">
        <v>17.567</v>
      </c>
      <c r="P1432" s="7" t="n"/>
    </row>
    <row r="1433">
      <c r="A1433" s="8" t="n">
        <v>18.625</v>
      </c>
      <c r="B1433" s="1" t="n">
        <v>94.5</v>
      </c>
      <c r="C1433" s="1" t="inlineStr">
        <is>
          <t>H-40</t>
        </is>
      </c>
      <c r="D1433" s="1" t="n">
        <v>780</v>
      </c>
      <c r="E1433" s="1" t="n">
        <v>1760</v>
      </c>
      <c r="F1433" s="1" t="n"/>
      <c r="G1433" s="1" t="n"/>
      <c r="H1433" s="1" t="n"/>
      <c r="I1433" s="1" t="inlineStr">
        <is>
          <t>STC</t>
        </is>
      </c>
      <c r="J1433" s="1" t="n">
        <v>609</v>
      </c>
      <c r="K1433" s="1" t="n"/>
      <c r="L1433" s="1" t="n">
        <v>1068</v>
      </c>
      <c r="M1433" s="1" t="n">
        <v>0.468</v>
      </c>
      <c r="N1433" s="1" t="n">
        <v>17.689</v>
      </c>
      <c r="O1433" s="1" t="n">
        <v>17.501</v>
      </c>
      <c r="P1433" s="9" t="n"/>
    </row>
    <row r="1434">
      <c r="A1434" s="8" t="n">
        <v>18.625</v>
      </c>
      <c r="B1434" s="1" t="n">
        <v>94.5</v>
      </c>
      <c r="C1434" s="1" t="inlineStr">
        <is>
          <t>H-40</t>
        </is>
      </c>
      <c r="D1434" s="1" t="n">
        <v>780</v>
      </c>
      <c r="E1434" s="1" t="n">
        <v>1760</v>
      </c>
      <c r="F1434" s="1" t="n"/>
      <c r="G1434" s="1" t="n"/>
      <c r="H1434" s="1" t="n"/>
      <c r="I1434" s="1" t="inlineStr">
        <is>
          <t>BTC</t>
        </is>
      </c>
      <c r="J1434" s="1" t="n">
        <v>1067</v>
      </c>
      <c r="K1434" s="1" t="n"/>
      <c r="L1434" s="1" t="n">
        <v>1068</v>
      </c>
      <c r="M1434" s="1" t="n">
        <v>0.468</v>
      </c>
      <c r="N1434" s="1" t="n">
        <v>17.689</v>
      </c>
      <c r="O1434" s="1" t="n">
        <v>17.501</v>
      </c>
      <c r="P1434" s="9" t="n"/>
    </row>
    <row r="1435">
      <c r="A1435" s="6" t="n">
        <v>18.625</v>
      </c>
      <c r="B1435" s="2" t="n">
        <v>94.5</v>
      </c>
      <c r="C1435" s="2" t="inlineStr">
        <is>
          <t>J-55</t>
        </is>
      </c>
      <c r="D1435" s="2" t="n">
        <v>780</v>
      </c>
      <c r="E1435" s="2" t="n">
        <v>2420</v>
      </c>
      <c r="F1435" s="2" t="n"/>
      <c r="G1435" s="2" t="n"/>
      <c r="H1435" s="2" t="n"/>
      <c r="I1435" s="2" t="inlineStr">
        <is>
          <t>STC</t>
        </is>
      </c>
      <c r="J1435" s="2" t="n">
        <v>821</v>
      </c>
      <c r="K1435" s="2" t="n"/>
      <c r="L1435" s="2" t="n">
        <v>1469</v>
      </c>
      <c r="M1435" s="2" t="n">
        <v>0.468</v>
      </c>
      <c r="N1435" s="2" t="n">
        <v>17.689</v>
      </c>
      <c r="O1435" s="2" t="n">
        <v>17.501</v>
      </c>
      <c r="P1435" s="7" t="n"/>
    </row>
    <row r="1436">
      <c r="A1436" s="6" t="n">
        <v>18.625</v>
      </c>
      <c r="B1436" s="2" t="n">
        <v>94.5</v>
      </c>
      <c r="C1436" s="2" t="inlineStr">
        <is>
          <t>J-55</t>
        </is>
      </c>
      <c r="D1436" s="2" t="n">
        <v>780</v>
      </c>
      <c r="E1436" s="2" t="n">
        <v>2420</v>
      </c>
      <c r="F1436" s="2" t="n"/>
      <c r="G1436" s="2" t="n"/>
      <c r="H1436" s="2" t="n"/>
      <c r="I1436" s="2" t="inlineStr">
        <is>
          <t>BTC</t>
        </is>
      </c>
      <c r="J1436" s="2" t="n">
        <v>1427</v>
      </c>
      <c r="K1436" s="2" t="n"/>
      <c r="L1436" s="2" t="n">
        <v>1469</v>
      </c>
      <c r="M1436" s="2" t="n">
        <v>0.468</v>
      </c>
      <c r="N1436" s="2" t="n">
        <v>17.689</v>
      </c>
      <c r="O1436" s="2" t="n">
        <v>17.501</v>
      </c>
      <c r="P1436" s="7" t="n"/>
    </row>
    <row r="1437">
      <c r="A1437" s="8" t="n">
        <v>18.625</v>
      </c>
      <c r="B1437" s="1" t="n">
        <v>94.5</v>
      </c>
      <c r="C1437" s="1" t="inlineStr">
        <is>
          <t>K-55</t>
        </is>
      </c>
      <c r="D1437" s="1" t="n">
        <v>780</v>
      </c>
      <c r="E1437" s="1" t="n">
        <v>2420</v>
      </c>
      <c r="F1437" s="1" t="n"/>
      <c r="G1437" s="1" t="n"/>
      <c r="H1437" s="1" t="n"/>
      <c r="I1437" s="1" t="inlineStr">
        <is>
          <t>STC</t>
        </is>
      </c>
      <c r="J1437" s="1" t="n">
        <v>865</v>
      </c>
      <c r="K1437" s="1" t="n"/>
      <c r="L1437" s="1" t="n">
        <v>1469</v>
      </c>
      <c r="M1437" s="1" t="n">
        <v>0.468</v>
      </c>
      <c r="N1437" s="1" t="n">
        <v>17.689</v>
      </c>
      <c r="O1437" s="1" t="n">
        <v>17.501</v>
      </c>
      <c r="P1437" s="9" t="n"/>
    </row>
    <row r="1438">
      <c r="A1438" s="8" t="n">
        <v>18.625</v>
      </c>
      <c r="B1438" s="1" t="n">
        <v>94.5</v>
      </c>
      <c r="C1438" s="1" t="inlineStr">
        <is>
          <t>K-55</t>
        </is>
      </c>
      <c r="D1438" s="1" t="n">
        <v>780</v>
      </c>
      <c r="E1438" s="1" t="n">
        <v>2420</v>
      </c>
      <c r="F1438" s="1" t="n"/>
      <c r="G1438" s="1" t="n"/>
      <c r="H1438" s="1" t="n"/>
      <c r="I1438" s="1" t="inlineStr">
        <is>
          <t>BTC</t>
        </is>
      </c>
      <c r="J1438" s="1" t="n">
        <v>1533</v>
      </c>
      <c r="K1438" s="1" t="n"/>
      <c r="L1438" s="1" t="n">
        <v>1469</v>
      </c>
      <c r="M1438" s="1" t="n">
        <v>0.468</v>
      </c>
      <c r="N1438" s="1" t="n">
        <v>17.689</v>
      </c>
      <c r="O1438" s="1" t="n">
        <v>17.501</v>
      </c>
      <c r="P1438" s="9" t="n"/>
    </row>
    <row r="1439">
      <c r="A1439" s="6" t="n">
        <v>18.625</v>
      </c>
      <c r="B1439" s="2" t="n">
        <v>94.5</v>
      </c>
      <c r="C1439" s="2" t="inlineStr">
        <is>
          <t>N-80</t>
        </is>
      </c>
      <c r="D1439" s="2" t="n">
        <v>780</v>
      </c>
      <c r="E1439" s="2" t="n">
        <v>3520</v>
      </c>
      <c r="F1439" s="2" t="n"/>
      <c r="G1439" s="2" t="n"/>
      <c r="H1439" s="2" t="n"/>
      <c r="I1439" s="2" t="inlineStr">
        <is>
          <t>STC</t>
        </is>
      </c>
      <c r="J1439" s="2" t="n">
        <v>1174</v>
      </c>
      <c r="K1439" s="2" t="n"/>
      <c r="L1439" s="2" t="n">
        <v>2137</v>
      </c>
      <c r="M1439" s="2" t="n">
        <v>0.468</v>
      </c>
      <c r="N1439" s="2" t="n">
        <v>17.689</v>
      </c>
      <c r="O1439" s="2" t="n">
        <v>17.501</v>
      </c>
      <c r="P1439" s="7" t="n"/>
    </row>
    <row r="1440">
      <c r="A1440" s="6" t="n">
        <v>18.625</v>
      </c>
      <c r="B1440" s="2" t="n">
        <v>94.5</v>
      </c>
      <c r="C1440" s="2" t="inlineStr">
        <is>
          <t>N-80</t>
        </is>
      </c>
      <c r="D1440" s="2" t="n">
        <v>780</v>
      </c>
      <c r="E1440" s="2" t="n">
        <v>3520</v>
      </c>
      <c r="F1440" s="2" t="n"/>
      <c r="G1440" s="2" t="n"/>
      <c r="H1440" s="2" t="n"/>
      <c r="I1440" s="2" t="inlineStr">
        <is>
          <t>BTC</t>
        </is>
      </c>
      <c r="J1440" s="2" t="n">
        <v>2027</v>
      </c>
      <c r="K1440" s="2" t="n"/>
      <c r="L1440" s="2" t="n">
        <v>2137</v>
      </c>
      <c r="M1440" s="2" t="n">
        <v>0.468</v>
      </c>
      <c r="N1440" s="2" t="n">
        <v>17.689</v>
      </c>
      <c r="O1440" s="2" t="n">
        <v>17.501</v>
      </c>
      <c r="P1440" s="7" t="n"/>
    </row>
    <row r="1441">
      <c r="A1441" s="8" t="n">
        <v>18.625</v>
      </c>
      <c r="B1441" s="1" t="n">
        <v>106</v>
      </c>
      <c r="C1441" s="1" t="inlineStr">
        <is>
          <t>H-40</t>
        </is>
      </c>
      <c r="D1441" s="1" t="n">
        <v>1140</v>
      </c>
      <c r="E1441" s="1" t="n">
        <v>2000</v>
      </c>
      <c r="F1441" s="1" t="n"/>
      <c r="G1441" s="1" t="n"/>
      <c r="H1441" s="1" t="n"/>
      <c r="I1441" s="1" t="inlineStr">
        <is>
          <t>STC</t>
        </is>
      </c>
      <c r="J1441" s="1" t="n">
        <v>703</v>
      </c>
      <c r="K1441" s="1" t="n"/>
      <c r="L1441" s="1" t="n">
        <v>1208</v>
      </c>
      <c r="M1441" s="1" t="n">
        <v>0.531</v>
      </c>
      <c r="N1441" s="1" t="n">
        <v>17.563</v>
      </c>
      <c r="O1441" s="1" t="n">
        <v>17.375</v>
      </c>
      <c r="P1441" s="9" t="n"/>
    </row>
    <row r="1442">
      <c r="A1442" s="8" t="n">
        <v>18.625</v>
      </c>
      <c r="B1442" s="1" t="n">
        <v>106</v>
      </c>
      <c r="C1442" s="1" t="inlineStr">
        <is>
          <t>H-40</t>
        </is>
      </c>
      <c r="D1442" s="1" t="n">
        <v>1140</v>
      </c>
      <c r="E1442" s="1" t="n">
        <v>2000</v>
      </c>
      <c r="F1442" s="1" t="n"/>
      <c r="G1442" s="1" t="n"/>
      <c r="H1442" s="1" t="n"/>
      <c r="I1442" s="1" t="inlineStr">
        <is>
          <t>BTC</t>
        </is>
      </c>
      <c r="J1442" s="1" t="n">
        <v>1206</v>
      </c>
      <c r="K1442" s="1" t="n"/>
      <c r="L1442" s="1" t="n">
        <v>1208</v>
      </c>
      <c r="M1442" s="1" t="n">
        <v>0.531</v>
      </c>
      <c r="N1442" s="1" t="n">
        <v>17.563</v>
      </c>
      <c r="O1442" s="1" t="n">
        <v>17.375</v>
      </c>
      <c r="P1442" s="9" t="n"/>
    </row>
    <row r="1443">
      <c r="A1443" s="6" t="n">
        <v>18.625</v>
      </c>
      <c r="B1443" s="2" t="n">
        <v>106</v>
      </c>
      <c r="C1443" s="2" t="inlineStr">
        <is>
          <t>J-55</t>
        </is>
      </c>
      <c r="D1443" s="2" t="n">
        <v>1140</v>
      </c>
      <c r="E1443" s="2" t="n">
        <v>2740</v>
      </c>
      <c r="F1443" s="2" t="n"/>
      <c r="G1443" s="2" t="n"/>
      <c r="H1443" s="2" t="n"/>
      <c r="I1443" s="2" t="inlineStr">
        <is>
          <t>STC</t>
        </is>
      </c>
      <c r="J1443" s="2" t="n">
        <v>948</v>
      </c>
      <c r="K1443" s="2" t="n"/>
      <c r="L1443" s="2" t="n">
        <v>1661</v>
      </c>
      <c r="M1443" s="2" t="n">
        <v>0.531</v>
      </c>
      <c r="N1443" s="2" t="n">
        <v>17.563</v>
      </c>
      <c r="O1443" s="2" t="n">
        <v>17.375</v>
      </c>
      <c r="P1443" s="7" t="n"/>
    </row>
    <row r="1444">
      <c r="A1444" s="6" t="n">
        <v>18.625</v>
      </c>
      <c r="B1444" s="2" t="n">
        <v>106</v>
      </c>
      <c r="C1444" s="2" t="inlineStr">
        <is>
          <t>J-55</t>
        </is>
      </c>
      <c r="D1444" s="2" t="n">
        <v>1140</v>
      </c>
      <c r="E1444" s="2" t="n">
        <v>2740</v>
      </c>
      <c r="F1444" s="2" t="n"/>
      <c r="G1444" s="2" t="n"/>
      <c r="H1444" s="2" t="n"/>
      <c r="I1444" s="2" t="inlineStr">
        <is>
          <t>BTC</t>
        </is>
      </c>
      <c r="J1444" s="2" t="n">
        <v>1613</v>
      </c>
      <c r="K1444" s="2" t="n"/>
      <c r="L1444" s="2" t="n">
        <v>1661</v>
      </c>
      <c r="M1444" s="2" t="n">
        <v>0.531</v>
      </c>
      <c r="N1444" s="2" t="n">
        <v>17.563</v>
      </c>
      <c r="O1444" s="2" t="n">
        <v>17.375</v>
      </c>
      <c r="P1444" s="7" t="n"/>
    </row>
    <row r="1445">
      <c r="A1445" s="8" t="n">
        <v>18.625</v>
      </c>
      <c r="B1445" s="1" t="n">
        <v>106</v>
      </c>
      <c r="C1445" s="1" t="inlineStr">
        <is>
          <t>K-55</t>
        </is>
      </c>
      <c r="D1445" s="1" t="n">
        <v>1140</v>
      </c>
      <c r="E1445" s="1" t="n">
        <v>2740</v>
      </c>
      <c r="F1445" s="1" t="n"/>
      <c r="G1445" s="1" t="n"/>
      <c r="H1445" s="1" t="n"/>
      <c r="I1445" s="1" t="inlineStr">
        <is>
          <t>STC</t>
        </is>
      </c>
      <c r="J1445" s="1" t="n">
        <v>998</v>
      </c>
      <c r="K1445" s="1" t="n"/>
      <c r="L1445" s="1" t="n">
        <v>1661</v>
      </c>
      <c r="M1445" s="1" t="n">
        <v>0.531</v>
      </c>
      <c r="N1445" s="1" t="n">
        <v>17.563</v>
      </c>
      <c r="O1445" s="1" t="n">
        <v>17.375</v>
      </c>
      <c r="P1445" s="9" t="n"/>
    </row>
    <row r="1446">
      <c r="A1446" s="8" t="n">
        <v>18.625</v>
      </c>
      <c r="B1446" s="1" t="n">
        <v>106</v>
      </c>
      <c r="C1446" s="1" t="inlineStr">
        <is>
          <t>K-55</t>
        </is>
      </c>
      <c r="D1446" s="1" t="n">
        <v>1140</v>
      </c>
      <c r="E1446" s="1" t="n">
        <v>2740</v>
      </c>
      <c r="F1446" s="1" t="n"/>
      <c r="G1446" s="1" t="n"/>
      <c r="H1446" s="1" t="n"/>
      <c r="I1446" s="1" t="inlineStr">
        <is>
          <t>BTC</t>
        </is>
      </c>
      <c r="J1446" s="1" t="n">
        <v>1733</v>
      </c>
      <c r="K1446" s="1" t="n"/>
      <c r="L1446" s="1" t="n">
        <v>1661</v>
      </c>
      <c r="M1446" s="1" t="n">
        <v>0.531</v>
      </c>
      <c r="N1446" s="1" t="n">
        <v>17.563</v>
      </c>
      <c r="O1446" s="1" t="n">
        <v>17.375</v>
      </c>
      <c r="P1446" s="9" t="n"/>
    </row>
    <row r="1447">
      <c r="A1447" s="6" t="n">
        <v>18.625</v>
      </c>
      <c r="B1447" s="2" t="n">
        <v>106</v>
      </c>
      <c r="C1447" s="2" t="inlineStr">
        <is>
          <t>N-80</t>
        </is>
      </c>
      <c r="D1447" s="2" t="n">
        <v>1150</v>
      </c>
      <c r="E1447" s="2" t="n">
        <v>3990</v>
      </c>
      <c r="F1447" s="2" t="n"/>
      <c r="G1447" s="2" t="n"/>
      <c r="H1447" s="2" t="n"/>
      <c r="I1447" s="2" t="inlineStr">
        <is>
          <t>STC</t>
        </is>
      </c>
      <c r="J1447" s="2" t="n">
        <v>1356</v>
      </c>
      <c r="K1447" s="2" t="n"/>
      <c r="L1447" s="2" t="n">
        <v>2416</v>
      </c>
      <c r="M1447" s="2" t="n">
        <v>0.531</v>
      </c>
      <c r="N1447" s="2" t="n">
        <v>17.563</v>
      </c>
      <c r="O1447" s="2" t="n">
        <v>17.375</v>
      </c>
      <c r="P1447" s="7" t="n"/>
    </row>
    <row r="1448">
      <c r="A1448" s="6" t="n">
        <v>18.625</v>
      </c>
      <c r="B1448" s="2" t="n">
        <v>106</v>
      </c>
      <c r="C1448" s="2" t="inlineStr">
        <is>
          <t>N-80</t>
        </is>
      </c>
      <c r="D1448" s="2" t="n">
        <v>1150</v>
      </c>
      <c r="E1448" s="2" t="n">
        <v>3990</v>
      </c>
      <c r="F1448" s="2" t="n"/>
      <c r="G1448" s="2" t="n"/>
      <c r="H1448" s="2" t="n"/>
      <c r="I1448" s="2" t="inlineStr">
        <is>
          <t>BTC</t>
        </is>
      </c>
      <c r="J1448" s="2" t="n">
        <v>2292</v>
      </c>
      <c r="K1448" s="2" t="n"/>
      <c r="L1448" s="2" t="n">
        <v>2416</v>
      </c>
      <c r="M1448" s="2" t="n">
        <v>0.531</v>
      </c>
      <c r="N1448" s="2" t="n">
        <v>17.563</v>
      </c>
      <c r="O1448" s="2" t="n">
        <v>17.375</v>
      </c>
      <c r="P1448" s="7" t="n"/>
    </row>
    <row r="1449">
      <c r="A1449" s="8" t="n">
        <v>18.625</v>
      </c>
      <c r="B1449" s="1" t="n">
        <v>117.5</v>
      </c>
      <c r="C1449" s="1" t="inlineStr">
        <is>
          <t>H-40</t>
        </is>
      </c>
      <c r="D1449" s="1" t="n">
        <v>1500</v>
      </c>
      <c r="E1449" s="1" t="n">
        <v>2230</v>
      </c>
      <c r="F1449" s="1" t="n"/>
      <c r="G1449" s="1" t="n"/>
      <c r="H1449" s="1" t="n"/>
      <c r="I1449" s="1" t="inlineStr">
        <is>
          <t>STC</t>
        </is>
      </c>
      <c r="J1449" s="1" t="n">
        <v>795</v>
      </c>
      <c r="K1449" s="1" t="n"/>
      <c r="L1449" s="1" t="n">
        <v>1344</v>
      </c>
      <c r="M1449" s="1" t="n">
        <v>0.593</v>
      </c>
      <c r="N1449" s="1" t="n">
        <v>17.439</v>
      </c>
      <c r="O1449" s="1" t="n">
        <v>17.251</v>
      </c>
      <c r="P1449" s="9" t="n"/>
    </row>
    <row r="1450">
      <c r="A1450" s="8" t="n">
        <v>18.625</v>
      </c>
      <c r="B1450" s="1" t="n">
        <v>117.5</v>
      </c>
      <c r="C1450" s="1" t="inlineStr">
        <is>
          <t>H-40</t>
        </is>
      </c>
      <c r="D1450" s="1" t="n">
        <v>1500</v>
      </c>
      <c r="E1450" s="1" t="n">
        <v>2230</v>
      </c>
      <c r="F1450" s="1" t="n"/>
      <c r="G1450" s="1" t="n"/>
      <c r="H1450" s="1" t="n"/>
      <c r="I1450" s="1" t="inlineStr">
        <is>
          <t>BTC</t>
        </is>
      </c>
      <c r="J1450" s="1" t="n">
        <v>1342</v>
      </c>
      <c r="K1450" s="1" t="n"/>
      <c r="L1450" s="1" t="n">
        <v>1344</v>
      </c>
      <c r="M1450" s="1" t="n">
        <v>0.593</v>
      </c>
      <c r="N1450" s="1" t="n">
        <v>17.439</v>
      </c>
      <c r="O1450" s="1" t="n">
        <v>17.251</v>
      </c>
      <c r="P1450" s="9" t="n"/>
    </row>
    <row r="1451">
      <c r="A1451" s="6" t="n">
        <v>18.625</v>
      </c>
      <c r="B1451" s="2" t="n">
        <v>117.5</v>
      </c>
      <c r="C1451" s="2" t="inlineStr">
        <is>
          <t>J-55</t>
        </is>
      </c>
      <c r="D1451" s="2" t="n">
        <v>1510</v>
      </c>
      <c r="E1451" s="2" t="n">
        <v>3060</v>
      </c>
      <c r="F1451" s="2" t="n"/>
      <c r="G1451" s="2" t="n"/>
      <c r="H1451" s="2" t="n"/>
      <c r="I1451" s="2" t="inlineStr">
        <is>
          <t>STC</t>
        </is>
      </c>
      <c r="J1451" s="2" t="n">
        <v>1072</v>
      </c>
      <c r="K1451" s="2" t="n"/>
      <c r="L1451" s="2" t="n">
        <v>1849</v>
      </c>
      <c r="M1451" s="2" t="n">
        <v>0.593</v>
      </c>
      <c r="N1451" s="2" t="n">
        <v>17.439</v>
      </c>
      <c r="O1451" s="2" t="n">
        <v>17.251</v>
      </c>
      <c r="P1451" s="7" t="n"/>
    </row>
    <row r="1452">
      <c r="A1452" s="6" t="n">
        <v>18.625</v>
      </c>
      <c r="B1452" s="2" t="n">
        <v>117.5</v>
      </c>
      <c r="C1452" s="2" t="inlineStr">
        <is>
          <t>J-55</t>
        </is>
      </c>
      <c r="D1452" s="2" t="n">
        <v>1510</v>
      </c>
      <c r="E1452" s="2" t="n">
        <v>3060</v>
      </c>
      <c r="F1452" s="2" t="n"/>
      <c r="G1452" s="2" t="n"/>
      <c r="H1452" s="2" t="n"/>
      <c r="I1452" s="2" t="inlineStr">
        <is>
          <t>BTC</t>
        </is>
      </c>
      <c r="J1452" s="2" t="n">
        <v>1795</v>
      </c>
      <c r="K1452" s="2" t="n"/>
      <c r="L1452" s="2" t="n">
        <v>1849</v>
      </c>
      <c r="M1452" s="2" t="n">
        <v>0.593</v>
      </c>
      <c r="N1452" s="2" t="n">
        <v>17.439</v>
      </c>
      <c r="O1452" s="2" t="n">
        <v>17.251</v>
      </c>
      <c r="P1452" s="7" t="n"/>
    </row>
    <row r="1453">
      <c r="A1453" s="8" t="n">
        <v>18.625</v>
      </c>
      <c r="B1453" s="1" t="n">
        <v>117.5</v>
      </c>
      <c r="C1453" s="1" t="inlineStr">
        <is>
          <t>K-55</t>
        </is>
      </c>
      <c r="D1453" s="1" t="n">
        <v>1510</v>
      </c>
      <c r="E1453" s="1" t="n">
        <v>3060</v>
      </c>
      <c r="F1453" s="1" t="n"/>
      <c r="G1453" s="1" t="n"/>
      <c r="H1453" s="1" t="n"/>
      <c r="I1453" s="1" t="inlineStr">
        <is>
          <t>STC</t>
        </is>
      </c>
      <c r="J1453" s="1" t="n">
        <v>1129</v>
      </c>
      <c r="K1453" s="1" t="n"/>
      <c r="L1453" s="1" t="n">
        <v>1849</v>
      </c>
      <c r="M1453" s="1" t="n">
        <v>0.593</v>
      </c>
      <c r="N1453" s="1" t="n">
        <v>17.439</v>
      </c>
      <c r="O1453" s="1" t="n">
        <v>17.251</v>
      </c>
      <c r="P1453" s="9" t="n"/>
    </row>
    <row r="1454">
      <c r="A1454" s="8" t="n">
        <v>18.625</v>
      </c>
      <c r="B1454" s="1" t="n">
        <v>117.5</v>
      </c>
      <c r="C1454" s="1" t="inlineStr">
        <is>
          <t>K-55</t>
        </is>
      </c>
      <c r="D1454" s="1" t="n">
        <v>1510</v>
      </c>
      <c r="E1454" s="1" t="n">
        <v>3060</v>
      </c>
      <c r="F1454" s="1" t="n"/>
      <c r="G1454" s="1" t="n"/>
      <c r="H1454" s="1" t="n"/>
      <c r="I1454" s="1" t="inlineStr">
        <is>
          <t>BTC</t>
        </is>
      </c>
      <c r="J1454" s="1" t="n">
        <v>1929</v>
      </c>
      <c r="K1454" s="1" t="n"/>
      <c r="L1454" s="1" t="n">
        <v>1849</v>
      </c>
      <c r="M1454" s="1" t="n">
        <v>0.593</v>
      </c>
      <c r="N1454" s="1" t="n">
        <v>17.439</v>
      </c>
      <c r="O1454" s="1" t="n">
        <v>17.251</v>
      </c>
      <c r="P1454" s="9" t="n"/>
    </row>
    <row r="1455" ht="15.75" customHeight="1" s="613" thickBot="1">
      <c r="A1455" s="13" t="n">
        <v>18.625</v>
      </c>
      <c r="B1455" s="14" t="n">
        <v>117.5</v>
      </c>
      <c r="C1455" s="14" t="inlineStr">
        <is>
          <t>N-80</t>
        </is>
      </c>
      <c r="D1455" s="14" t="n">
        <v>1620</v>
      </c>
      <c r="E1455" s="14" t="n">
        <v>4460</v>
      </c>
      <c r="F1455" s="14" t="n"/>
      <c r="G1455" s="14" t="n"/>
      <c r="H1455" s="14" t="n"/>
      <c r="I1455" s="2" t="inlineStr">
        <is>
          <t>STC</t>
        </is>
      </c>
      <c r="J1455" s="14" t="n">
        <v>1534</v>
      </c>
      <c r="K1455" s="14" t="n"/>
      <c r="L1455" s="14" t="n">
        <v>2689</v>
      </c>
      <c r="M1455" s="14" t="n">
        <v>0.593</v>
      </c>
      <c r="N1455" s="14" t="n">
        <v>17.439</v>
      </c>
      <c r="O1455" s="14" t="n">
        <v>17.251</v>
      </c>
      <c r="P1455" s="15" t="n"/>
    </row>
    <row r="1456" ht="15.75" customHeight="1" s="613" thickBot="1">
      <c r="A1456" s="13" t="n">
        <v>18.625</v>
      </c>
      <c r="B1456" s="14" t="n">
        <v>117.5</v>
      </c>
      <c r="C1456" s="14" t="inlineStr">
        <is>
          <t>N-80</t>
        </is>
      </c>
      <c r="D1456" s="14" t="n">
        <v>1620</v>
      </c>
      <c r="E1456" s="14" t="n">
        <v>4460</v>
      </c>
      <c r="F1456" s="14" t="n"/>
      <c r="G1456" s="14" t="n"/>
      <c r="H1456" s="14" t="n"/>
      <c r="I1456" s="2" t="inlineStr">
        <is>
          <t>BTC</t>
        </is>
      </c>
      <c r="J1456" s="14" t="n">
        <v>2551</v>
      </c>
      <c r="K1456" s="14" t="n"/>
      <c r="L1456" s="14" t="n">
        <v>2689</v>
      </c>
      <c r="M1456" s="14" t="n">
        <v>0.593</v>
      </c>
      <c r="N1456" s="14" t="n">
        <v>17.439</v>
      </c>
      <c r="O1456" s="14" t="n">
        <v>17.251</v>
      </c>
      <c r="P1456" s="15" t="n"/>
    </row>
    <row r="1457" ht="15.75" customHeight="1" s="613" thickBot="1">
      <c r="A1457" s="3" t="n">
        <v>20</v>
      </c>
      <c r="B1457" s="4" t="n">
        <v>94</v>
      </c>
      <c r="C1457" s="4" t="inlineStr">
        <is>
          <t>H-40</t>
        </is>
      </c>
      <c r="D1457" s="4" t="n">
        <v>520</v>
      </c>
      <c r="E1457" s="4" t="n">
        <v>1530</v>
      </c>
      <c r="F1457" s="4" t="n"/>
      <c r="G1457" s="4" t="n"/>
      <c r="H1457" s="4" t="n"/>
      <c r="I1457" s="1" t="inlineStr">
        <is>
          <t>STC</t>
        </is>
      </c>
      <c r="J1457" s="4" t="n">
        <v>581</v>
      </c>
      <c r="K1457" s="4" t="n"/>
      <c r="L1457" s="4" t="n">
        <v>1077</v>
      </c>
      <c r="M1457" s="4" t="n">
        <v>0.438</v>
      </c>
      <c r="N1457" s="4" t="n">
        <v>19.124</v>
      </c>
      <c r="O1457" s="4" t="n">
        <v>18.936</v>
      </c>
      <c r="P1457" s="5" t="n"/>
    </row>
    <row r="1458">
      <c r="A1458" s="3" t="n">
        <v>20</v>
      </c>
      <c r="B1458" s="4" t="n">
        <v>94</v>
      </c>
      <c r="C1458" s="4" t="inlineStr">
        <is>
          <t>H-40</t>
        </is>
      </c>
      <c r="D1458" s="4" t="n">
        <v>520</v>
      </c>
      <c r="E1458" s="4" t="n">
        <v>1530</v>
      </c>
      <c r="F1458" s="4" t="n"/>
      <c r="G1458" s="4" t="n"/>
      <c r="H1458" s="4" t="n"/>
      <c r="I1458" s="1" t="inlineStr">
        <is>
          <t>BTC</t>
        </is>
      </c>
      <c r="J1458" s="4" t="n">
        <v>1041</v>
      </c>
      <c r="K1458" s="4" t="n"/>
      <c r="L1458" s="4" t="n">
        <v>1077</v>
      </c>
      <c r="M1458" s="4" t="n">
        <v>0.438</v>
      </c>
      <c r="N1458" s="4" t="n">
        <v>19.124</v>
      </c>
      <c r="O1458" s="4" t="n">
        <v>18.936</v>
      </c>
      <c r="P1458" s="5" t="n"/>
    </row>
    <row r="1459">
      <c r="A1459" s="6" t="n">
        <v>20</v>
      </c>
      <c r="B1459" s="2" t="n">
        <v>94</v>
      </c>
      <c r="C1459" s="2" t="inlineStr">
        <is>
          <t>J-55</t>
        </is>
      </c>
      <c r="D1459" s="2" t="n">
        <v>520</v>
      </c>
      <c r="E1459" s="2" t="n">
        <v>2110</v>
      </c>
      <c r="F1459" s="2" t="n"/>
      <c r="G1459" s="2" t="n"/>
      <c r="H1459" s="2" t="n"/>
      <c r="I1459" s="2" t="inlineStr">
        <is>
          <t>STC</t>
        </is>
      </c>
      <c r="J1459" s="2" t="n">
        <v>783</v>
      </c>
      <c r="K1459" s="2" t="n"/>
      <c r="L1459" s="2" t="n">
        <v>1480</v>
      </c>
      <c r="M1459" s="2" t="n">
        <v>0.438</v>
      </c>
      <c r="N1459" s="2" t="n">
        <v>19.124</v>
      </c>
      <c r="O1459" s="2" t="n">
        <v>18.936</v>
      </c>
      <c r="P1459" s="7" t="n"/>
    </row>
    <row r="1460">
      <c r="A1460" s="6" t="n">
        <v>20</v>
      </c>
      <c r="B1460" s="2" t="n">
        <v>94</v>
      </c>
      <c r="C1460" s="2" t="inlineStr">
        <is>
          <t>J-55</t>
        </is>
      </c>
      <c r="D1460" s="2" t="n">
        <v>520</v>
      </c>
      <c r="E1460" s="2" t="n">
        <v>2110</v>
      </c>
      <c r="F1460" s="2" t="n"/>
      <c r="G1460" s="2" t="n"/>
      <c r="H1460" s="2" t="n"/>
      <c r="I1460" s="2" t="inlineStr">
        <is>
          <t>LTC</t>
        </is>
      </c>
      <c r="J1460" s="2" t="n">
        <v>907</v>
      </c>
      <c r="K1460" s="2" t="n"/>
      <c r="L1460" s="2" t="n">
        <v>1480</v>
      </c>
      <c r="M1460" s="2" t="n">
        <v>0.438</v>
      </c>
      <c r="N1460" s="2" t="n">
        <v>19.124</v>
      </c>
      <c r="O1460" s="2" t="n">
        <v>18.936</v>
      </c>
      <c r="P1460" s="7" t="n"/>
    </row>
    <row r="1461">
      <c r="A1461" s="6" t="n">
        <v>20</v>
      </c>
      <c r="B1461" s="2" t="n">
        <v>94</v>
      </c>
      <c r="C1461" s="2" t="inlineStr">
        <is>
          <t>J-55</t>
        </is>
      </c>
      <c r="D1461" s="2" t="n">
        <v>520</v>
      </c>
      <c r="E1461" s="2" t="n">
        <v>2110</v>
      </c>
      <c r="F1461" s="2" t="n"/>
      <c r="G1461" s="2" t="n"/>
      <c r="H1461" s="2" t="n"/>
      <c r="I1461" s="2" t="inlineStr">
        <is>
          <t>BTC</t>
        </is>
      </c>
      <c r="J1461" s="2" t="n">
        <v>1402</v>
      </c>
      <c r="K1461" s="2" t="n"/>
      <c r="L1461" s="2" t="n">
        <v>1480</v>
      </c>
      <c r="M1461" s="2" t="n">
        <v>0.438</v>
      </c>
      <c r="N1461" s="2" t="n">
        <v>19.124</v>
      </c>
      <c r="O1461" s="2" t="n">
        <v>18.936</v>
      </c>
      <c r="P1461" s="7" t="n"/>
    </row>
    <row r="1462">
      <c r="A1462" s="8" t="n">
        <v>20</v>
      </c>
      <c r="B1462" s="1" t="n">
        <v>94</v>
      </c>
      <c r="C1462" s="1" t="inlineStr">
        <is>
          <t>K-55</t>
        </is>
      </c>
      <c r="D1462" s="1" t="n">
        <v>520</v>
      </c>
      <c r="E1462" s="1" t="n">
        <v>2110</v>
      </c>
      <c r="F1462" s="1" t="n"/>
      <c r="G1462" s="1" t="n"/>
      <c r="H1462" s="1" t="n"/>
      <c r="I1462" s="1" t="inlineStr">
        <is>
          <t>STC</t>
        </is>
      </c>
      <c r="J1462" s="1" t="n">
        <v>824</v>
      </c>
      <c r="K1462" s="1" t="n"/>
      <c r="L1462" s="1" t="n">
        <v>1480</v>
      </c>
      <c r="M1462" s="1" t="n">
        <v>0.438</v>
      </c>
      <c r="N1462" s="1" t="n">
        <v>19.124</v>
      </c>
      <c r="O1462" s="1" t="n">
        <v>18.936</v>
      </c>
      <c r="P1462" s="9" t="n"/>
    </row>
    <row r="1463">
      <c r="A1463" s="8" t="n">
        <v>20</v>
      </c>
      <c r="B1463" s="1" t="n">
        <v>94</v>
      </c>
      <c r="C1463" s="1" t="inlineStr">
        <is>
          <t>K-55</t>
        </is>
      </c>
      <c r="D1463" s="1" t="n">
        <v>520</v>
      </c>
      <c r="E1463" s="1" t="n">
        <v>2110</v>
      </c>
      <c r="F1463" s="1" t="n"/>
      <c r="G1463" s="1" t="n"/>
      <c r="H1463" s="1" t="n"/>
      <c r="I1463" s="1" t="inlineStr">
        <is>
          <t>LTC</t>
        </is>
      </c>
      <c r="J1463" s="1" t="n">
        <v>955</v>
      </c>
      <c r="K1463" s="1" t="n"/>
      <c r="L1463" s="1" t="n">
        <v>1480</v>
      </c>
      <c r="M1463" s="1" t="n">
        <v>0.438</v>
      </c>
      <c r="N1463" s="1" t="n">
        <v>19.124</v>
      </c>
      <c r="O1463" s="1" t="n">
        <v>18.936</v>
      </c>
      <c r="P1463" s="9" t="n"/>
    </row>
    <row r="1464">
      <c r="A1464" s="8" t="n">
        <v>20</v>
      </c>
      <c r="B1464" s="1" t="n">
        <v>94</v>
      </c>
      <c r="C1464" s="1" t="inlineStr">
        <is>
          <t>K-55</t>
        </is>
      </c>
      <c r="D1464" s="1" t="n">
        <v>520</v>
      </c>
      <c r="E1464" s="1" t="n">
        <v>2110</v>
      </c>
      <c r="F1464" s="1" t="n"/>
      <c r="G1464" s="1" t="n"/>
      <c r="H1464" s="1" t="n"/>
      <c r="I1464" s="1" t="inlineStr">
        <is>
          <t>BTC</t>
        </is>
      </c>
      <c r="J1464" s="1" t="n">
        <v>1479</v>
      </c>
      <c r="K1464" s="1" t="n"/>
      <c r="L1464" s="1" t="n">
        <v>1480</v>
      </c>
      <c r="M1464" s="1" t="n">
        <v>0.438</v>
      </c>
      <c r="N1464" s="1" t="n">
        <v>19.124</v>
      </c>
      <c r="O1464" s="1" t="n">
        <v>18.936</v>
      </c>
      <c r="P1464" s="9" t="n"/>
    </row>
    <row r="1465">
      <c r="A1465" s="6" t="n">
        <v>20</v>
      </c>
      <c r="B1465" s="2" t="n">
        <v>106.5</v>
      </c>
      <c r="C1465" s="2" t="inlineStr">
        <is>
          <t>J-55</t>
        </is>
      </c>
      <c r="D1465" s="2" t="n">
        <v>770</v>
      </c>
      <c r="E1465" s="2" t="n">
        <v>2410</v>
      </c>
      <c r="F1465" s="2" t="n"/>
      <c r="G1465" s="2" t="n"/>
      <c r="H1465" s="2" t="n"/>
      <c r="I1465" s="2" t="inlineStr">
        <is>
          <t>STC</t>
        </is>
      </c>
      <c r="J1465" s="2" t="n">
        <v>913</v>
      </c>
      <c r="K1465" s="2" t="n"/>
      <c r="L1465" s="2" t="n">
        <v>1685</v>
      </c>
      <c r="M1465" s="2" t="n">
        <v>0.5</v>
      </c>
      <c r="N1465" s="2" t="n">
        <v>19</v>
      </c>
      <c r="O1465" s="2" t="n">
        <v>18.812</v>
      </c>
      <c r="P1465" s="7" t="n"/>
    </row>
    <row r="1466">
      <c r="A1466" s="6" t="n">
        <v>20</v>
      </c>
      <c r="B1466" s="2" t="n">
        <v>106.5</v>
      </c>
      <c r="C1466" s="2" t="inlineStr">
        <is>
          <t>J-55</t>
        </is>
      </c>
      <c r="D1466" s="2" t="n">
        <v>770</v>
      </c>
      <c r="E1466" s="2" t="n">
        <v>2410</v>
      </c>
      <c r="F1466" s="2" t="n"/>
      <c r="G1466" s="2" t="n"/>
      <c r="H1466" s="2" t="n"/>
      <c r="I1466" s="2" t="inlineStr">
        <is>
          <t>LTC</t>
        </is>
      </c>
      <c r="J1466" s="2" t="n">
        <v>1056</v>
      </c>
      <c r="K1466" s="2" t="n"/>
      <c r="L1466" s="2" t="n">
        <v>1685</v>
      </c>
      <c r="M1466" s="2" t="n">
        <v>0.5</v>
      </c>
      <c r="N1466" s="2" t="n">
        <v>19</v>
      </c>
      <c r="O1466" s="2" t="n">
        <v>18.812</v>
      </c>
      <c r="P1466" s="7" t="n"/>
    </row>
    <row r="1467">
      <c r="A1467" s="6" t="n">
        <v>20</v>
      </c>
      <c r="B1467" s="2" t="n">
        <v>106.5</v>
      </c>
      <c r="C1467" s="2" t="inlineStr">
        <is>
          <t>J-55</t>
        </is>
      </c>
      <c r="D1467" s="2" t="n">
        <v>770</v>
      </c>
      <c r="E1467" s="2" t="n">
        <v>2410</v>
      </c>
      <c r="F1467" s="2" t="n"/>
      <c r="G1467" s="2" t="n"/>
      <c r="H1467" s="2" t="n"/>
      <c r="I1467" s="2" t="inlineStr">
        <is>
          <t>BTC</t>
        </is>
      </c>
      <c r="J1467" s="2" t="n">
        <v>1595</v>
      </c>
      <c r="K1467" s="2" t="n"/>
      <c r="L1467" s="2" t="n">
        <v>1685</v>
      </c>
      <c r="M1467" s="2" t="n">
        <v>0.5</v>
      </c>
      <c r="N1467" s="2" t="n">
        <v>19</v>
      </c>
      <c r="O1467" s="2" t="n">
        <v>18.812</v>
      </c>
      <c r="P1467" s="7" t="n"/>
    </row>
    <row r="1468">
      <c r="A1468" s="8" t="n">
        <v>20</v>
      </c>
      <c r="B1468" s="1" t="n">
        <v>106.5</v>
      </c>
      <c r="C1468" s="1" t="inlineStr">
        <is>
          <t>K-55</t>
        </is>
      </c>
      <c r="D1468" s="1" t="n">
        <v>770</v>
      </c>
      <c r="E1468" s="1" t="n">
        <v>2410</v>
      </c>
      <c r="F1468" s="1" t="n"/>
      <c r="G1468" s="1" t="n"/>
      <c r="H1468" s="1" t="n"/>
      <c r="I1468" s="1" t="inlineStr">
        <is>
          <t>STC</t>
        </is>
      </c>
      <c r="J1468" s="1" t="n">
        <v>960</v>
      </c>
      <c r="K1468" s="1" t="n"/>
      <c r="L1468" s="1" t="n">
        <v>1685</v>
      </c>
      <c r="M1468" s="1" t="n">
        <v>0.5</v>
      </c>
      <c r="N1468" s="1" t="n">
        <v>19</v>
      </c>
      <c r="O1468" s="1" t="n">
        <v>18.812</v>
      </c>
      <c r="P1468" s="9" t="n"/>
    </row>
    <row r="1469">
      <c r="A1469" s="8" t="n">
        <v>20</v>
      </c>
      <c r="B1469" s="1" t="n">
        <v>106.5</v>
      </c>
      <c r="C1469" s="1" t="inlineStr">
        <is>
          <t>K-55</t>
        </is>
      </c>
      <c r="D1469" s="1" t="n">
        <v>770</v>
      </c>
      <c r="E1469" s="1" t="n">
        <v>2410</v>
      </c>
      <c r="F1469" s="1" t="n"/>
      <c r="G1469" s="1" t="n"/>
      <c r="H1469" s="1" t="n"/>
      <c r="I1469" s="1" t="inlineStr">
        <is>
          <t>LTC</t>
        </is>
      </c>
      <c r="J1469" s="1" t="n">
        <v>1113</v>
      </c>
      <c r="K1469" s="1" t="n"/>
      <c r="L1469" s="1" t="n">
        <v>1685</v>
      </c>
      <c r="M1469" s="1" t="n">
        <v>0.5</v>
      </c>
      <c r="N1469" s="1" t="n">
        <v>19</v>
      </c>
      <c r="O1469" s="1" t="n">
        <v>18.812</v>
      </c>
      <c r="P1469" s="9" t="n"/>
    </row>
    <row r="1470">
      <c r="A1470" s="8" t="n">
        <v>20</v>
      </c>
      <c r="B1470" s="1" t="n">
        <v>106.5</v>
      </c>
      <c r="C1470" s="1" t="inlineStr">
        <is>
          <t>K-55</t>
        </is>
      </c>
      <c r="D1470" s="1" t="n">
        <v>770</v>
      </c>
      <c r="E1470" s="1" t="n">
        <v>2410</v>
      </c>
      <c r="F1470" s="1" t="n"/>
      <c r="G1470" s="1" t="n"/>
      <c r="H1470" s="1" t="n"/>
      <c r="I1470" s="1" t="inlineStr">
        <is>
          <t>BTC</t>
        </is>
      </c>
      <c r="J1470" s="1" t="n">
        <v>1683</v>
      </c>
      <c r="K1470" s="1" t="n"/>
      <c r="L1470" s="1" t="n">
        <v>1685</v>
      </c>
      <c r="M1470" s="1" t="n">
        <v>0.5</v>
      </c>
      <c r="N1470" s="1" t="n">
        <v>19</v>
      </c>
      <c r="O1470" s="1" t="n">
        <v>18.812</v>
      </c>
      <c r="P1470" s="9" t="n"/>
    </row>
    <row r="1471">
      <c r="A1471" s="6" t="n">
        <v>20</v>
      </c>
      <c r="B1471" s="2" t="n">
        <v>106.5</v>
      </c>
      <c r="C1471" s="2" t="inlineStr">
        <is>
          <t>N-80</t>
        </is>
      </c>
      <c r="D1471" s="2" t="n">
        <v>770</v>
      </c>
      <c r="E1471" s="2" t="n">
        <v>3500</v>
      </c>
      <c r="F1471" s="2" t="n"/>
      <c r="G1471" s="2" t="n"/>
      <c r="H1471" s="2" t="n"/>
      <c r="I1471" s="2" t="inlineStr">
        <is>
          <t>STC</t>
        </is>
      </c>
      <c r="J1471" s="2" t="n">
        <v>1307</v>
      </c>
      <c r="K1471" s="2" t="n"/>
      <c r="L1471" s="2" t="n">
        <v>2450</v>
      </c>
      <c r="M1471" s="2" t="n">
        <v>0.5</v>
      </c>
      <c r="N1471" s="2" t="n">
        <v>19</v>
      </c>
      <c r="O1471" s="2" t="n">
        <v>18.812</v>
      </c>
      <c r="P1471" s="7" t="n"/>
    </row>
    <row r="1472">
      <c r="A1472" s="6" t="n">
        <v>20</v>
      </c>
      <c r="B1472" s="2" t="n">
        <v>106.5</v>
      </c>
      <c r="C1472" s="2" t="inlineStr">
        <is>
          <t>N-80</t>
        </is>
      </c>
      <c r="D1472" s="2" t="n">
        <v>770</v>
      </c>
      <c r="E1472" s="2" t="n">
        <v>3500</v>
      </c>
      <c r="F1472" s="2" t="n"/>
      <c r="G1472" s="2" t="n"/>
      <c r="H1472" s="2" t="n"/>
      <c r="I1472" s="2" t="inlineStr">
        <is>
          <t>LTC</t>
        </is>
      </c>
      <c r="J1472" s="2" t="n">
        <v>1514</v>
      </c>
      <c r="K1472" s="2" t="n"/>
      <c r="L1472" s="2" t="n">
        <v>2450</v>
      </c>
      <c r="M1472" s="2" t="n">
        <v>0.5</v>
      </c>
      <c r="N1472" s="2" t="n">
        <v>19</v>
      </c>
      <c r="O1472" s="2" t="n">
        <v>18.812</v>
      </c>
      <c r="P1472" s="7" t="n"/>
    </row>
    <row r="1473">
      <c r="A1473" s="6" t="n">
        <v>20</v>
      </c>
      <c r="B1473" s="2" t="n">
        <v>106.5</v>
      </c>
      <c r="C1473" s="2" t="inlineStr">
        <is>
          <t>N-80</t>
        </is>
      </c>
      <c r="D1473" s="2" t="n">
        <v>770</v>
      </c>
      <c r="E1473" s="2" t="n">
        <v>3500</v>
      </c>
      <c r="F1473" s="2" t="n"/>
      <c r="G1473" s="2" t="n"/>
      <c r="H1473" s="2" t="n"/>
      <c r="I1473" s="2" t="inlineStr">
        <is>
          <t>BTC</t>
        </is>
      </c>
      <c r="J1473" s="2" t="n">
        <v>2281</v>
      </c>
      <c r="K1473" s="2" t="n"/>
      <c r="L1473" s="2" t="n">
        <v>2450</v>
      </c>
      <c r="M1473" s="2" t="n">
        <v>0.5</v>
      </c>
      <c r="N1473" s="2" t="n">
        <v>19</v>
      </c>
      <c r="O1473" s="2" t="n">
        <v>18.812</v>
      </c>
      <c r="P1473" s="7" t="n"/>
    </row>
    <row r="1474">
      <c r="A1474" s="8" t="n">
        <v>20</v>
      </c>
      <c r="B1474" s="1" t="n">
        <v>133</v>
      </c>
      <c r="C1474" s="1" t="inlineStr">
        <is>
          <t>K-55</t>
        </is>
      </c>
      <c r="D1474" s="1" t="n">
        <v>1500</v>
      </c>
      <c r="E1474" s="1" t="n">
        <v>3060</v>
      </c>
      <c r="F1474" s="1" t="n"/>
      <c r="G1474" s="1" t="n"/>
      <c r="H1474" s="1" t="n"/>
      <c r="I1474" s="1" t="inlineStr">
        <is>
          <t>STC</t>
        </is>
      </c>
      <c r="J1474" s="1" t="n">
        <v>1253</v>
      </c>
      <c r="K1474" s="1" t="n"/>
      <c r="L1474" s="1" t="n">
        <v>2125</v>
      </c>
      <c r="M1474" s="1" t="n">
        <v>0.635</v>
      </c>
      <c r="N1474" s="1" t="n">
        <v>18.73</v>
      </c>
      <c r="O1474" s="1" t="n">
        <v>18.542</v>
      </c>
      <c r="P1474" s="9" t="n"/>
    </row>
    <row r="1475">
      <c r="A1475" s="8" t="n">
        <v>20</v>
      </c>
      <c r="B1475" s="1" t="n">
        <v>133</v>
      </c>
      <c r="C1475" s="1" t="inlineStr">
        <is>
          <t>K-55</t>
        </is>
      </c>
      <c r="D1475" s="1" t="n">
        <v>1500</v>
      </c>
      <c r="E1475" s="1" t="n">
        <v>3060</v>
      </c>
      <c r="F1475" s="1" t="n"/>
      <c r="G1475" s="1" t="n"/>
      <c r="H1475" s="1" t="n"/>
      <c r="I1475" s="1" t="inlineStr">
        <is>
          <t>LTC</t>
        </is>
      </c>
      <c r="J1475" s="1" t="n">
        <v>1453</v>
      </c>
      <c r="K1475" s="1" t="n"/>
      <c r="L1475" s="1" t="n">
        <v>2125</v>
      </c>
      <c r="M1475" s="1" t="n">
        <v>0.635</v>
      </c>
      <c r="N1475" s="1" t="n">
        <v>18.73</v>
      </c>
      <c r="O1475" s="1" t="n">
        <v>18.542</v>
      </c>
      <c r="P1475" s="9" t="n"/>
    </row>
    <row r="1476">
      <c r="A1476" s="8" t="n">
        <v>20</v>
      </c>
      <c r="B1476" s="1" t="n">
        <v>133</v>
      </c>
      <c r="C1476" s="1" t="inlineStr">
        <is>
          <t>K-55</t>
        </is>
      </c>
      <c r="D1476" s="1" t="n">
        <v>1500</v>
      </c>
      <c r="E1476" s="1" t="n">
        <v>3060</v>
      </c>
      <c r="F1476" s="1" t="n"/>
      <c r="G1476" s="1" t="n"/>
      <c r="H1476" s="1" t="n"/>
      <c r="I1476" s="1" t="inlineStr">
        <is>
          <t>BTC</t>
        </is>
      </c>
      <c r="J1476" s="1" t="n">
        <v>2123</v>
      </c>
      <c r="K1476" s="1" t="n"/>
      <c r="L1476" s="1" t="n">
        <v>2125</v>
      </c>
      <c r="M1476" s="1" t="n">
        <v>0.635</v>
      </c>
      <c r="N1476" s="1" t="n">
        <v>18.73</v>
      </c>
      <c r="O1476" s="1" t="n">
        <v>18.542</v>
      </c>
      <c r="P1476" s="9" t="n"/>
    </row>
    <row r="1477">
      <c r="A1477" s="6" t="n">
        <v>20</v>
      </c>
      <c r="B1477" s="2" t="n">
        <v>133</v>
      </c>
      <c r="C1477" s="2" t="inlineStr">
        <is>
          <t>L-80</t>
        </is>
      </c>
      <c r="D1477" s="2" t="n">
        <v>1600</v>
      </c>
      <c r="E1477" s="2" t="n">
        <v>4450</v>
      </c>
      <c r="F1477" s="2" t="n"/>
      <c r="G1477" s="2" t="n"/>
      <c r="H1477" s="2" t="n"/>
      <c r="I1477" s="2" t="inlineStr">
        <is>
          <t>STC</t>
        </is>
      </c>
      <c r="J1477" s="2" t="n">
        <v>1692</v>
      </c>
      <c r="K1477" s="2" t="n"/>
      <c r="L1477" s="2" t="n">
        <v>3091</v>
      </c>
      <c r="M1477" s="2" t="n">
        <v>0.635</v>
      </c>
      <c r="N1477" s="2" t="n">
        <v>18.73</v>
      </c>
      <c r="O1477" s="2" t="n">
        <v>18.542</v>
      </c>
      <c r="P1477" s="7" t="n"/>
    </row>
    <row r="1478">
      <c r="A1478" s="6" t="n">
        <v>20</v>
      </c>
      <c r="B1478" s="2" t="n">
        <v>133</v>
      </c>
      <c r="C1478" s="2" t="inlineStr">
        <is>
          <t>L-80</t>
        </is>
      </c>
      <c r="D1478" s="2" t="n">
        <v>1600</v>
      </c>
      <c r="E1478" s="2" t="n">
        <v>4450</v>
      </c>
      <c r="F1478" s="2" t="n"/>
      <c r="G1478" s="2" t="n"/>
      <c r="H1478" s="2" t="n"/>
      <c r="I1478" s="2" t="inlineStr">
        <is>
          <t>LTC</t>
        </is>
      </c>
      <c r="J1478" s="2" t="n">
        <v>1958</v>
      </c>
      <c r="K1478" s="2" t="n"/>
      <c r="L1478" s="2" t="n">
        <v>3091</v>
      </c>
      <c r="M1478" s="2" t="n">
        <v>0.635</v>
      </c>
      <c r="N1478" s="2" t="n">
        <v>18.73</v>
      </c>
      <c r="O1478" s="2" t="n">
        <v>18.542</v>
      </c>
      <c r="P1478" s="7" t="n"/>
    </row>
    <row r="1479">
      <c r="A1479" s="6" t="n">
        <v>20</v>
      </c>
      <c r="B1479" s="2" t="n">
        <v>133</v>
      </c>
      <c r="C1479" s="2" t="inlineStr">
        <is>
          <t>L-80</t>
        </is>
      </c>
      <c r="D1479" s="2" t="n">
        <v>1600</v>
      </c>
      <c r="E1479" s="2" t="n">
        <v>4450</v>
      </c>
      <c r="F1479" s="2" t="n"/>
      <c r="G1479" s="2" t="n"/>
      <c r="H1479" s="2" t="n"/>
      <c r="I1479" s="2" t="inlineStr">
        <is>
          <t>BTC</t>
        </is>
      </c>
      <c r="J1479" s="2" t="n">
        <v>2849</v>
      </c>
      <c r="K1479" s="2" t="n"/>
      <c r="L1479" s="2" t="n">
        <v>3091</v>
      </c>
      <c r="M1479" s="2" t="n">
        <v>0.635</v>
      </c>
      <c r="N1479" s="2" t="n">
        <v>18.73</v>
      </c>
      <c r="O1479" s="2" t="n">
        <v>18.542</v>
      </c>
      <c r="P1479" s="7" t="n"/>
    </row>
    <row r="1480">
      <c r="A1480" s="8" t="n">
        <v>20</v>
      </c>
      <c r="B1480" s="1" t="n">
        <v>133</v>
      </c>
      <c r="C1480" s="1" t="inlineStr">
        <is>
          <t>N-80</t>
        </is>
      </c>
      <c r="D1480" s="1" t="n">
        <v>1600</v>
      </c>
      <c r="E1480" s="1" t="n">
        <v>4450</v>
      </c>
      <c r="F1480" s="1" t="n"/>
      <c r="G1480" s="1" t="n"/>
      <c r="H1480" s="1" t="n"/>
      <c r="I1480" s="1" t="inlineStr">
        <is>
          <t>STC</t>
        </is>
      </c>
      <c r="J1480" s="1" t="n">
        <v>1707</v>
      </c>
      <c r="K1480" s="1" t="n"/>
      <c r="L1480" s="1" t="n">
        <v>3091</v>
      </c>
      <c r="M1480" s="1" t="n">
        <v>0.635</v>
      </c>
      <c r="N1480" s="1" t="n">
        <v>18.73</v>
      </c>
      <c r="O1480" s="1" t="n">
        <v>18.542</v>
      </c>
      <c r="P1480" s="9" t="n"/>
    </row>
    <row r="1481">
      <c r="A1481" s="8" t="n">
        <v>20</v>
      </c>
      <c r="B1481" s="1" t="n">
        <v>133</v>
      </c>
      <c r="C1481" s="1" t="inlineStr">
        <is>
          <t>N-80</t>
        </is>
      </c>
      <c r="D1481" s="1" t="n">
        <v>1600</v>
      </c>
      <c r="E1481" s="1" t="n">
        <v>4450</v>
      </c>
      <c r="F1481" s="1" t="n"/>
      <c r="G1481" s="1" t="n"/>
      <c r="H1481" s="1" t="n"/>
      <c r="I1481" s="1" t="inlineStr">
        <is>
          <t>LTC</t>
        </is>
      </c>
      <c r="J1481" s="1" t="n">
        <v>1976</v>
      </c>
      <c r="K1481" s="1" t="n"/>
      <c r="L1481" s="1" t="n">
        <v>3091</v>
      </c>
      <c r="M1481" s="1" t="n">
        <v>0.635</v>
      </c>
      <c r="N1481" s="1" t="n">
        <v>18.73</v>
      </c>
      <c r="O1481" s="1" t="n">
        <v>18.542</v>
      </c>
      <c r="P1481" s="9" t="n"/>
    </row>
    <row r="1482">
      <c r="A1482" s="8" t="n">
        <v>20</v>
      </c>
      <c r="B1482" s="1" t="n">
        <v>133</v>
      </c>
      <c r="C1482" s="1" t="inlineStr">
        <is>
          <t>N-80</t>
        </is>
      </c>
      <c r="D1482" s="1" t="n">
        <v>1600</v>
      </c>
      <c r="E1482" s="1" t="n">
        <v>4450</v>
      </c>
      <c r="F1482" s="1" t="n"/>
      <c r="G1482" s="1" t="n"/>
      <c r="H1482" s="1" t="n"/>
      <c r="I1482" s="1" t="inlineStr">
        <is>
          <t>BTC</t>
        </is>
      </c>
      <c r="J1482" s="1" t="n">
        <v>2877</v>
      </c>
      <c r="K1482" s="1" t="n"/>
      <c r="L1482" s="1" t="n">
        <v>3091</v>
      </c>
      <c r="M1482" s="1" t="n">
        <v>0.635</v>
      </c>
      <c r="N1482" s="1" t="n">
        <v>18.73</v>
      </c>
      <c r="O1482" s="1" t="n">
        <v>18.542</v>
      </c>
      <c r="P1482" s="9" t="n"/>
    </row>
    <row r="1483">
      <c r="A1483" s="6" t="n">
        <v>20</v>
      </c>
      <c r="B1483" s="2" t="n">
        <v>169</v>
      </c>
      <c r="C1483" s="2" t="inlineStr">
        <is>
          <t>K-55</t>
        </is>
      </c>
      <c r="D1483" s="2" t="n">
        <v>2500</v>
      </c>
      <c r="E1483" s="2" t="n">
        <v>3230</v>
      </c>
      <c r="F1483" s="2" t="n"/>
      <c r="G1483" s="2" t="n"/>
      <c r="H1483" s="2" t="n"/>
      <c r="I1483" s="2" t="inlineStr">
        <is>
          <t>STC</t>
        </is>
      </c>
      <c r="J1483" s="2" t="n">
        <v>1402</v>
      </c>
      <c r="K1483" s="2" t="n"/>
      <c r="L1483" s="2" t="n">
        <v>2692</v>
      </c>
      <c r="M1483" s="2" t="n">
        <v>0.8120000000000001</v>
      </c>
      <c r="N1483" s="2" t="n">
        <v>18.376</v>
      </c>
      <c r="O1483" s="2" t="n">
        <v>18.188</v>
      </c>
      <c r="P1483" s="7" t="n"/>
    </row>
    <row r="1484">
      <c r="A1484" s="6" t="n">
        <v>20</v>
      </c>
      <c r="B1484" s="2" t="n">
        <v>169</v>
      </c>
      <c r="C1484" s="2" t="inlineStr">
        <is>
          <t>K-55</t>
        </is>
      </c>
      <c r="D1484" s="2" t="n">
        <v>2500</v>
      </c>
      <c r="E1484" s="2" t="n">
        <v>3430</v>
      </c>
      <c r="F1484" s="2" t="n"/>
      <c r="G1484" s="2" t="n"/>
      <c r="H1484" s="2" t="n"/>
      <c r="I1484" s="2" t="inlineStr">
        <is>
          <t>LTC</t>
        </is>
      </c>
      <c r="J1484" s="2" t="n">
        <v>1732</v>
      </c>
      <c r="K1484" s="2" t="n"/>
      <c r="L1484" s="2" t="n">
        <v>2692</v>
      </c>
      <c r="M1484" s="2" t="n">
        <v>0.8120000000000001</v>
      </c>
      <c r="N1484" s="2" t="n">
        <v>18.376</v>
      </c>
      <c r="O1484" s="2" t="n">
        <v>18.188</v>
      </c>
      <c r="P1484" s="7" t="n"/>
    </row>
    <row r="1485">
      <c r="A1485" s="6" t="n">
        <v>20</v>
      </c>
      <c r="B1485" s="2" t="n">
        <v>169</v>
      </c>
      <c r="C1485" s="2" t="inlineStr">
        <is>
          <t>K-55</t>
        </is>
      </c>
      <c r="D1485" s="2" t="n">
        <v>2500</v>
      </c>
      <c r="E1485" s="2" t="n">
        <v>3380</v>
      </c>
      <c r="F1485" s="2" t="n"/>
      <c r="G1485" s="2" t="n"/>
      <c r="H1485" s="2" t="n"/>
      <c r="I1485" s="2" t="inlineStr">
        <is>
          <t>BTC</t>
        </is>
      </c>
      <c r="J1485" s="2" t="n">
        <v>2689</v>
      </c>
      <c r="K1485" s="2" t="n"/>
      <c r="L1485" s="2" t="n">
        <v>2692</v>
      </c>
      <c r="M1485" s="2" t="n">
        <v>0.8120000000000001</v>
      </c>
      <c r="N1485" s="2" t="n">
        <v>18.376</v>
      </c>
      <c r="O1485" s="2" t="n">
        <v>18.188</v>
      </c>
      <c r="P1485" s="7" t="n"/>
    </row>
    <row r="1486">
      <c r="A1486" s="8" t="n">
        <v>20</v>
      </c>
      <c r="B1486" s="1" t="n">
        <v>169</v>
      </c>
      <c r="C1486" s="1" t="inlineStr">
        <is>
          <t>L-80</t>
        </is>
      </c>
      <c r="D1486" s="1" t="n">
        <v>3020</v>
      </c>
      <c r="E1486" s="1" t="n">
        <v>4690</v>
      </c>
      <c r="F1486" s="1" t="n"/>
      <c r="G1486" s="1" t="n"/>
      <c r="H1486" s="1" t="n"/>
      <c r="I1486" s="1" t="inlineStr">
        <is>
          <t>STC</t>
        </is>
      </c>
      <c r="J1486" s="1" t="n">
        <v>2202</v>
      </c>
      <c r="K1486" s="1" t="n"/>
      <c r="L1486" s="1" t="n">
        <v>3916</v>
      </c>
      <c r="M1486" s="1" t="n">
        <v>0.8120000000000001</v>
      </c>
      <c r="N1486" s="1" t="n">
        <v>18.376</v>
      </c>
      <c r="O1486" s="1" t="n">
        <v>18.188</v>
      </c>
      <c r="P1486" s="9" t="n"/>
    </row>
    <row r="1487">
      <c r="A1487" s="8" t="n">
        <v>20</v>
      </c>
      <c r="B1487" s="1" t="n">
        <v>169</v>
      </c>
      <c r="C1487" s="1" t="inlineStr">
        <is>
          <t>L-80</t>
        </is>
      </c>
      <c r="D1487" s="1" t="n">
        <v>3020</v>
      </c>
      <c r="E1487" s="1" t="n">
        <v>4990</v>
      </c>
      <c r="F1487" s="1" t="n"/>
      <c r="G1487" s="1" t="n"/>
      <c r="H1487" s="1" t="n"/>
      <c r="I1487" s="1" t="inlineStr">
        <is>
          <t>LTC</t>
        </is>
      </c>
      <c r="J1487" s="1" t="n">
        <v>2549</v>
      </c>
      <c r="K1487" s="1" t="n"/>
      <c r="L1487" s="1" t="n">
        <v>3916</v>
      </c>
      <c r="M1487" s="1" t="n">
        <v>0.8120000000000001</v>
      </c>
      <c r="N1487" s="1" t="n">
        <v>18.376</v>
      </c>
      <c r="O1487" s="1" t="n">
        <v>18.188</v>
      </c>
      <c r="P1487" s="9" t="n"/>
    </row>
    <row r="1488">
      <c r="A1488" s="8" t="n">
        <v>20</v>
      </c>
      <c r="B1488" s="1" t="n">
        <v>169</v>
      </c>
      <c r="C1488" s="1" t="inlineStr">
        <is>
          <t>L-80</t>
        </is>
      </c>
      <c r="D1488" s="1" t="n">
        <v>3020</v>
      </c>
      <c r="E1488" s="1" t="n">
        <v>4920</v>
      </c>
      <c r="F1488" s="1" t="n"/>
      <c r="G1488" s="1" t="n"/>
      <c r="H1488" s="1" t="n"/>
      <c r="I1488" s="1" t="inlineStr">
        <is>
          <t>BTC</t>
        </is>
      </c>
      <c r="J1488" s="1" t="n">
        <v>3610</v>
      </c>
      <c r="K1488" s="1" t="n"/>
      <c r="L1488" s="1" t="n">
        <v>3916</v>
      </c>
      <c r="M1488" s="1" t="n">
        <v>0.8120000000000001</v>
      </c>
      <c r="N1488" s="1" t="n">
        <v>18.376</v>
      </c>
      <c r="O1488" s="1" t="n">
        <v>18.188</v>
      </c>
      <c r="P1488" s="9" t="n"/>
    </row>
    <row r="1489">
      <c r="A1489" s="6" t="n">
        <v>20</v>
      </c>
      <c r="B1489" s="2" t="n">
        <v>169</v>
      </c>
      <c r="C1489" s="2" t="inlineStr">
        <is>
          <t>N-80</t>
        </is>
      </c>
      <c r="D1489" s="2" t="n">
        <v>3020</v>
      </c>
      <c r="E1489" s="2" t="n">
        <v>4690</v>
      </c>
      <c r="F1489" s="2" t="n"/>
      <c r="G1489" s="2" t="n"/>
      <c r="H1489" s="2" t="n"/>
      <c r="I1489" s="2" t="inlineStr">
        <is>
          <t>STC</t>
        </is>
      </c>
      <c r="J1489" s="2" t="n">
        <v>2221</v>
      </c>
      <c r="K1489" s="2" t="n"/>
      <c r="L1489" s="2" t="n">
        <v>3916</v>
      </c>
      <c r="M1489" s="2" t="n">
        <v>0.8120000000000001</v>
      </c>
      <c r="N1489" s="2" t="n">
        <v>18.376</v>
      </c>
      <c r="O1489" s="2" t="n">
        <v>18.188</v>
      </c>
      <c r="P1489" s="7" t="n"/>
    </row>
    <row r="1490">
      <c r="A1490" s="6" t="n">
        <v>20</v>
      </c>
      <c r="B1490" s="2" t="n">
        <v>169</v>
      </c>
      <c r="C1490" s="2" t="inlineStr">
        <is>
          <t>N-80</t>
        </is>
      </c>
      <c r="D1490" s="2" t="n">
        <v>3020</v>
      </c>
      <c r="E1490" s="2" t="n">
        <v>4990</v>
      </c>
      <c r="F1490" s="2" t="n"/>
      <c r="G1490" s="2" t="n"/>
      <c r="H1490" s="2" t="n"/>
      <c r="I1490" s="2" t="inlineStr">
        <is>
          <t>LTC</t>
        </is>
      </c>
      <c r="J1490" s="2" t="n">
        <v>2573</v>
      </c>
      <c r="K1490" s="2" t="n"/>
      <c r="L1490" s="2" t="n">
        <v>3916</v>
      </c>
      <c r="M1490" s="2" t="n">
        <v>0.8120000000000001</v>
      </c>
      <c r="N1490" s="2" t="n">
        <v>18.376</v>
      </c>
      <c r="O1490" s="2" t="n">
        <v>18.188</v>
      </c>
      <c r="P1490" s="7" t="n"/>
    </row>
    <row r="1491">
      <c r="A1491" s="6" t="n">
        <v>20</v>
      </c>
      <c r="B1491" s="2" t="n">
        <v>169</v>
      </c>
      <c r="C1491" s="2" t="inlineStr">
        <is>
          <t>N-80</t>
        </is>
      </c>
      <c r="D1491" s="2" t="n">
        <v>3020</v>
      </c>
      <c r="E1491" s="2" t="n">
        <v>4920</v>
      </c>
      <c r="F1491" s="2" t="n"/>
      <c r="G1491" s="2" t="n"/>
      <c r="H1491" s="2" t="n"/>
      <c r="I1491" s="2" t="inlineStr">
        <is>
          <t>BTC</t>
        </is>
      </c>
      <c r="J1491" s="2" t="n">
        <v>3645</v>
      </c>
      <c r="K1491" s="2" t="n"/>
      <c r="L1491" s="2" t="n">
        <v>3916</v>
      </c>
      <c r="M1491" s="2" t="n">
        <v>0.8120000000000001</v>
      </c>
      <c r="N1491" s="2" t="n">
        <v>18.376</v>
      </c>
      <c r="O1491" s="2" t="n">
        <v>18.188</v>
      </c>
      <c r="P1491" s="7" t="n"/>
    </row>
    <row r="1492">
      <c r="A1492" s="8" t="n">
        <v>4.5</v>
      </c>
      <c r="B1492" s="1" t="n">
        <v>15.1</v>
      </c>
      <c r="C1492" s="1" t="inlineStr">
        <is>
          <t>HCQ-125</t>
        </is>
      </c>
      <c r="D1492" s="1" t="n">
        <v>16070</v>
      </c>
      <c r="E1492" s="1" t="n">
        <v>16390</v>
      </c>
      <c r="F1492" s="1" t="n"/>
      <c r="G1492" s="1" t="n"/>
      <c r="H1492" s="1" t="n"/>
      <c r="I1492" s="1" t="inlineStr">
        <is>
          <t>CDC</t>
        </is>
      </c>
      <c r="J1492" s="1" t="n">
        <v>384</v>
      </c>
      <c r="K1492" s="1" t="n"/>
      <c r="L1492" s="1" t="n">
        <v>551</v>
      </c>
      <c r="M1492" s="1" t="n">
        <v>0.337</v>
      </c>
      <c r="N1492" s="1" t="n">
        <v>3.826</v>
      </c>
      <c r="O1492" s="1" t="n">
        <v>3.701</v>
      </c>
      <c r="P1492" s="9" t="n"/>
    </row>
    <row r="1493">
      <c r="A1493" s="8" t="n">
        <v>4.5</v>
      </c>
      <c r="B1493" s="1" t="n">
        <v>11.6</v>
      </c>
      <c r="C1493" s="1" t="inlineStr">
        <is>
          <t>I-80</t>
        </is>
      </c>
      <c r="D1493" s="1" t="n">
        <v>6221</v>
      </c>
      <c r="E1493" s="1" t="n">
        <v>7780</v>
      </c>
      <c r="F1493" s="1" t="n"/>
      <c r="G1493" s="1" t="n"/>
      <c r="H1493" s="1" t="n"/>
      <c r="I1493" s="1" t="inlineStr">
        <is>
          <t>DQX</t>
        </is>
      </c>
      <c r="J1493" s="1" t="n">
        <v>267</v>
      </c>
      <c r="K1493" s="1" t="n"/>
      <c r="L1493" s="1" t="n">
        <v>267</v>
      </c>
      <c r="M1493" s="1" t="n">
        <v>0.25</v>
      </c>
      <c r="N1493" s="1" t="n">
        <v>4</v>
      </c>
      <c r="O1493" s="1" t="n">
        <v>3.875</v>
      </c>
      <c r="P1493" s="9" t="n"/>
    </row>
    <row r="1494">
      <c r="A1494" s="8" t="n">
        <v>4.5</v>
      </c>
      <c r="B1494" s="1" t="n">
        <v>11.6</v>
      </c>
      <c r="C1494" s="1" t="inlineStr">
        <is>
          <t>I-80</t>
        </is>
      </c>
      <c r="D1494" s="1" t="n">
        <v>6360</v>
      </c>
      <c r="E1494" s="1" t="n">
        <v>7780</v>
      </c>
      <c r="F1494" s="1" t="n"/>
      <c r="G1494" s="1" t="n"/>
      <c r="H1494" s="1" t="n"/>
      <c r="I1494" s="1" t="inlineStr">
        <is>
          <t>LTC</t>
        </is>
      </c>
      <c r="J1494" s="1" t="n">
        <v>212</v>
      </c>
      <c r="K1494" s="1" t="n"/>
      <c r="L1494" s="1" t="n">
        <v>267</v>
      </c>
      <c r="M1494" s="1" t="n">
        <v>0.25</v>
      </c>
      <c r="N1494" s="1" t="n">
        <v>4</v>
      </c>
      <c r="O1494" s="1" t="n">
        <v>3.875</v>
      </c>
      <c r="P1494" s="9" t="n"/>
    </row>
    <row r="1495">
      <c r="A1495" s="8" t="n">
        <v>5</v>
      </c>
      <c r="B1495" s="1" t="n">
        <v>18</v>
      </c>
      <c r="C1495" s="1" t="inlineStr">
        <is>
          <t>HCP-110</t>
        </is>
      </c>
      <c r="D1495" s="1" t="n">
        <v>14360</v>
      </c>
      <c r="E1495" s="1" t="n">
        <v>13950</v>
      </c>
      <c r="F1495" s="1" t="n"/>
      <c r="G1495" s="1" t="n"/>
      <c r="H1495" s="1" t="n"/>
      <c r="I1495" s="1" t="inlineStr">
        <is>
          <t>LTC</t>
        </is>
      </c>
      <c r="J1495" s="1" t="n">
        <v>495</v>
      </c>
      <c r="K1495" s="1" t="n"/>
      <c r="L1495" s="1" t="n">
        <v>580</v>
      </c>
      <c r="M1495" s="1" t="n">
        <v>0.362</v>
      </c>
      <c r="N1495" s="1" t="n">
        <v>4.276</v>
      </c>
      <c r="O1495" s="1" t="n">
        <v>4.151</v>
      </c>
      <c r="P1495" s="9" t="n"/>
    </row>
    <row r="1496">
      <c r="A1496" s="8" t="n">
        <v>5</v>
      </c>
      <c r="B1496" s="1" t="n">
        <v>18</v>
      </c>
      <c r="C1496" s="1" t="inlineStr">
        <is>
          <t>HCP-110</t>
        </is>
      </c>
      <c r="D1496" s="1" t="n">
        <v>14360</v>
      </c>
      <c r="E1496" s="1" t="n">
        <v>13950</v>
      </c>
      <c r="F1496" s="1" t="n"/>
      <c r="G1496" s="1" t="n"/>
      <c r="H1496" s="1" t="n"/>
      <c r="I1496" s="1" t="inlineStr">
        <is>
          <t>ST-L</t>
        </is>
      </c>
      <c r="J1496" s="1" t="n">
        <v>341</v>
      </c>
      <c r="K1496" s="1" t="n"/>
      <c r="L1496" s="1" t="n">
        <v>580</v>
      </c>
      <c r="M1496" s="1" t="n">
        <v>0.362</v>
      </c>
      <c r="N1496" s="1" t="n">
        <v>4.276</v>
      </c>
      <c r="O1496" s="1" t="n">
        <v>4.151</v>
      </c>
      <c r="P1496" s="9" t="n"/>
    </row>
    <row r="1497">
      <c r="A1497" s="8" t="n">
        <v>8.625</v>
      </c>
      <c r="B1497" s="1" t="n">
        <v>28</v>
      </c>
      <c r="C1497" s="1" t="inlineStr">
        <is>
          <t>I-55</t>
        </is>
      </c>
      <c r="D1497" s="1" t="n">
        <v>1880</v>
      </c>
      <c r="E1497" s="1" t="n">
        <v>3390</v>
      </c>
      <c r="F1497" s="1" t="n"/>
      <c r="G1497" s="1" t="n"/>
      <c r="H1497" s="1" t="n"/>
      <c r="I1497" s="1" t="inlineStr">
        <is>
          <t>LTC</t>
        </is>
      </c>
      <c r="J1497" s="1" t="n">
        <v>348</v>
      </c>
      <c r="K1497" s="1" t="n"/>
      <c r="L1497" s="1" t="n">
        <v>437</v>
      </c>
      <c r="M1497" s="1" t="n">
        <v>0.304</v>
      </c>
      <c r="N1497" s="1" t="n">
        <v>8.016999999999999</v>
      </c>
      <c r="O1497" s="1" t="n">
        <v>7.892</v>
      </c>
      <c r="P1497" s="9" t="n"/>
    </row>
    <row r="1498">
      <c r="A1498" s="8" t="n">
        <v>5.5</v>
      </c>
      <c r="B1498" s="1" t="n">
        <v>17</v>
      </c>
      <c r="C1498" s="1" t="inlineStr">
        <is>
          <t>I-80</t>
        </is>
      </c>
      <c r="D1498" s="1" t="n">
        <v>6290</v>
      </c>
      <c r="E1498" s="1" t="n">
        <v>7740</v>
      </c>
      <c r="F1498" s="1" t="n"/>
      <c r="G1498" s="1" t="n"/>
      <c r="H1498" s="1" t="n"/>
      <c r="I1498" s="1" t="inlineStr">
        <is>
          <t>LTC</t>
        </is>
      </c>
      <c r="J1498" s="1" t="n">
        <v>320</v>
      </c>
      <c r="K1498" s="1" t="n"/>
      <c r="L1498" s="1" t="n">
        <v>397</v>
      </c>
      <c r="M1498" s="1" t="n">
        <v>0.304</v>
      </c>
      <c r="N1498" s="1" t="n">
        <v>4.892</v>
      </c>
      <c r="O1498" s="1" t="n">
        <v>4.767</v>
      </c>
      <c r="P1498" s="9" t="n"/>
    </row>
    <row r="1499">
      <c r="A1499" s="8" t="n">
        <v>16</v>
      </c>
      <c r="B1499" s="1" t="n">
        <v>109</v>
      </c>
      <c r="C1499" s="1" t="inlineStr">
        <is>
          <t>C-75</t>
        </is>
      </c>
      <c r="D1499" s="1" t="n">
        <v>2980</v>
      </c>
      <c r="E1499" s="1" t="n">
        <v>5380</v>
      </c>
      <c r="F1499" s="1" t="n"/>
      <c r="G1499" s="1" t="n"/>
      <c r="H1499" s="1" t="n"/>
      <c r="I1499" s="1" t="inlineStr">
        <is>
          <t>STC</t>
        </is>
      </c>
      <c r="J1499" s="1" t="n">
        <v>1499</v>
      </c>
      <c r="K1499" s="1" t="n"/>
      <c r="L1499" s="1" t="n">
        <v>2372</v>
      </c>
      <c r="M1499" s="1" t="n">
        <v>0.656</v>
      </c>
      <c r="N1499" s="1" t="n">
        <v>14.688</v>
      </c>
      <c r="O1499" s="1" t="n">
        <v>14.5</v>
      </c>
      <c r="P1499" s="9" t="n"/>
    </row>
    <row r="1500">
      <c r="A1500" s="8" t="n">
        <v>36</v>
      </c>
      <c r="B1500" s="1" t="n">
        <v>373.8</v>
      </c>
      <c r="C1500" s="1" t="inlineStr">
        <is>
          <t>X-52</t>
        </is>
      </c>
      <c r="D1500" s="1" t="n">
        <v>1054</v>
      </c>
      <c r="E1500" s="1" t="n">
        <v>2527</v>
      </c>
      <c r="F1500" s="1" t="n"/>
      <c r="G1500" s="1" t="n"/>
      <c r="H1500" s="1" t="n"/>
      <c r="I1500" s="1" t="inlineStr">
        <is>
          <t>PE</t>
        </is>
      </c>
      <c r="J1500" s="1" t="n">
        <v>5718</v>
      </c>
      <c r="K1500" s="1" t="n"/>
      <c r="L1500" s="1" t="n">
        <v>5718</v>
      </c>
      <c r="M1500" s="1" t="n">
        <v>1</v>
      </c>
      <c r="N1500" s="1">
        <f>+A1500-2*M1500</f>
        <v/>
      </c>
      <c r="O1500" s="1" t="n">
        <v>34</v>
      </c>
      <c r="P1500" s="9" t="n"/>
    </row>
    <row r="1501">
      <c r="A1501" s="8" t="n">
        <v>30</v>
      </c>
      <c r="B1501" s="1" t="n">
        <v>309.72</v>
      </c>
      <c r="C1501" s="1" t="inlineStr">
        <is>
          <t>X-52</t>
        </is>
      </c>
      <c r="D1501" s="1" t="n">
        <v>1631</v>
      </c>
      <c r="E1501" s="1" t="n">
        <v>3033</v>
      </c>
      <c r="F1501" s="1" t="n"/>
      <c r="G1501" s="1" t="n"/>
      <c r="H1501" s="1" t="n"/>
      <c r="I1501" s="1" t="inlineStr">
        <is>
          <t>DDS</t>
        </is>
      </c>
      <c r="J1501" s="1" t="n">
        <v>2175</v>
      </c>
      <c r="K1501" s="1" t="n"/>
      <c r="L1501" s="1" t="n">
        <v>4738</v>
      </c>
      <c r="M1501" s="1" t="n">
        <v>1</v>
      </c>
      <c r="N1501" s="1">
        <f>+A1501-2*M1501</f>
        <v/>
      </c>
      <c r="O1501" s="1" t="n">
        <v>27.812</v>
      </c>
      <c r="P1501" s="9" t="n"/>
    </row>
    <row r="1502">
      <c r="A1502" s="8" t="n">
        <v>24</v>
      </c>
      <c r="B1502" s="1" t="n">
        <v>186.2</v>
      </c>
      <c r="C1502" s="1" t="inlineStr">
        <is>
          <t>X-52</t>
        </is>
      </c>
      <c r="D1502" s="1" t="n">
        <v>1415</v>
      </c>
      <c r="E1502" s="1" t="n">
        <v>2843</v>
      </c>
      <c r="F1502" s="1" t="n"/>
      <c r="G1502" s="1" t="n"/>
      <c r="H1502" s="1" t="n"/>
      <c r="I1502" s="1" t="inlineStr">
        <is>
          <t>DDS</t>
        </is>
      </c>
      <c r="J1502" s="1" t="n">
        <v>1309</v>
      </c>
      <c r="K1502" s="1" t="n"/>
      <c r="L1502" s="1" t="n">
        <v>2848</v>
      </c>
      <c r="M1502" s="1" t="n">
        <v>0.75</v>
      </c>
      <c r="N1502" s="1">
        <f>+A1502-2*M1502</f>
        <v/>
      </c>
      <c r="O1502" s="1" t="n">
        <v>22.25</v>
      </c>
      <c r="P1502" s="9" t="n"/>
    </row>
    <row r="1503">
      <c r="A1503" s="8" t="n">
        <v>24</v>
      </c>
      <c r="B1503" s="1" t="n">
        <v>245.6</v>
      </c>
      <c r="C1503" s="1" t="inlineStr">
        <is>
          <t>X-52</t>
        </is>
      </c>
      <c r="D1503" s="1" t="n">
        <v>2612</v>
      </c>
      <c r="E1503" s="1" t="n">
        <v>3791</v>
      </c>
      <c r="F1503" s="1" t="n"/>
      <c r="G1503" s="1" t="n"/>
      <c r="H1503" s="1" t="n"/>
      <c r="I1503" s="1" t="inlineStr">
        <is>
          <t>DDS</t>
        </is>
      </c>
      <c r="J1503" s="1" t="n">
        <v>1724</v>
      </c>
      <c r="K1503" s="1" t="n"/>
      <c r="L1503" s="1" t="n">
        <v>3757</v>
      </c>
      <c r="M1503" s="1" t="n">
        <v>1</v>
      </c>
      <c r="N1503" s="1">
        <f>+A1503-2*M1503</f>
        <v/>
      </c>
      <c r="O1503" s="1" t="n">
        <v>21.6</v>
      </c>
      <c r="P1503" s="9" t="n"/>
    </row>
    <row r="1504">
      <c r="A1504" s="8" t="n">
        <v>24</v>
      </c>
      <c r="B1504" s="1" t="n">
        <v>303.7</v>
      </c>
      <c r="C1504" s="1" t="inlineStr">
        <is>
          <t>X-52</t>
        </is>
      </c>
      <c r="D1504" s="1" t="n">
        <v>4227</v>
      </c>
      <c r="E1504" s="1" t="n">
        <v>4739</v>
      </c>
      <c r="F1504" s="1" t="n"/>
      <c r="G1504" s="1" t="n"/>
      <c r="H1504" s="1" t="n"/>
      <c r="I1504" s="1" t="inlineStr">
        <is>
          <t>DDS</t>
        </is>
      </c>
      <c r="J1504" s="1" t="n">
        <v>2170</v>
      </c>
      <c r="K1504" s="1" t="n"/>
      <c r="L1504" s="1" t="n">
        <v>4645</v>
      </c>
      <c r="M1504" s="1" t="n">
        <v>1.25</v>
      </c>
      <c r="N1504" s="1">
        <f>+A1504-2*M1504</f>
        <v/>
      </c>
      <c r="O1504" s="1" t="n">
        <v>21.5</v>
      </c>
      <c r="P1504" s="9" t="n"/>
    </row>
    <row r="1505">
      <c r="A1505" s="8" t="n">
        <v>20</v>
      </c>
      <c r="B1505" s="1" t="n">
        <v>154.2</v>
      </c>
      <c r="C1505" s="1" t="inlineStr">
        <is>
          <t>X-56</t>
        </is>
      </c>
      <c r="D1505" s="1" t="n">
        <v>2145</v>
      </c>
      <c r="E1505" s="1" t="n">
        <v>3675</v>
      </c>
      <c r="F1505" s="1" t="n"/>
      <c r="G1505" s="1" t="n"/>
      <c r="H1505" s="1" t="n"/>
      <c r="I1505" s="1" t="inlineStr">
        <is>
          <t>DDS</t>
        </is>
      </c>
      <c r="J1505" s="1" t="n">
        <v>1168</v>
      </c>
      <c r="K1505" s="1" t="n"/>
      <c r="L1505" s="1" t="n">
        <v>2539</v>
      </c>
      <c r="M1505" s="1" t="n">
        <v>0.75</v>
      </c>
      <c r="N1505" s="1">
        <f>+A1505-2*M1505</f>
        <v/>
      </c>
      <c r="O1505" s="1" t="n">
        <v>18.5</v>
      </c>
      <c r="P1505" s="9" t="n"/>
    </row>
    <row r="1506">
      <c r="A1506" s="8" t="n">
        <v>20</v>
      </c>
      <c r="B1506" s="1" t="n">
        <v>202.9</v>
      </c>
      <c r="C1506" s="1" t="inlineStr">
        <is>
          <t>X-52</t>
        </is>
      </c>
      <c r="D1506" s="1" t="n">
        <v>3904</v>
      </c>
      <c r="E1506" s="1" t="n">
        <v>4550</v>
      </c>
      <c r="F1506" s="1" t="n"/>
      <c r="G1506" s="1" t="n"/>
      <c r="H1506" s="1" t="n"/>
      <c r="I1506" s="1" t="inlineStr">
        <is>
          <t>DDS</t>
        </is>
      </c>
      <c r="J1506" s="1" t="n">
        <v>1425</v>
      </c>
      <c r="K1506" s="1" t="n"/>
      <c r="L1506" s="1" t="n">
        <v>3031</v>
      </c>
      <c r="M1506" s="1" t="n">
        <v>1</v>
      </c>
      <c r="N1506" s="1">
        <f>+A1506-2*M1506</f>
        <v/>
      </c>
      <c r="O1506" s="1" t="n">
        <v>18</v>
      </c>
      <c r="P1506" s="9" t="n"/>
    </row>
    <row r="1507">
      <c r="A1507" s="8" t="n">
        <v>16</v>
      </c>
      <c r="B1507" s="1" t="n">
        <v>109</v>
      </c>
      <c r="C1507" s="1" t="inlineStr">
        <is>
          <t>N-80 HP</t>
        </is>
      </c>
      <c r="D1507" s="1" t="n">
        <v>4090</v>
      </c>
      <c r="E1507" s="1" t="n">
        <v>6080</v>
      </c>
      <c r="F1507" s="1" t="n"/>
      <c r="G1507" s="1" t="n"/>
      <c r="H1507" s="1" t="n"/>
      <c r="I1507" s="1" t="inlineStr">
        <is>
          <t>BTC</t>
        </is>
      </c>
      <c r="J1507" s="1" t="n">
        <v>2823</v>
      </c>
      <c r="K1507" s="1" t="n"/>
      <c r="L1507" s="1" t="n">
        <v>7010</v>
      </c>
      <c r="M1507" s="1" t="n">
        <v>0.656</v>
      </c>
      <c r="N1507" s="1" t="n">
        <v>14.688</v>
      </c>
      <c r="O1507" s="1" t="n">
        <v>14.501</v>
      </c>
      <c r="P1507" s="9" t="n"/>
    </row>
    <row r="1508">
      <c r="A1508" s="8" t="n">
        <v>5</v>
      </c>
      <c r="B1508" s="1" t="n">
        <v>18</v>
      </c>
      <c r="C1508" s="1" t="inlineStr">
        <is>
          <t>P-110</t>
        </is>
      </c>
      <c r="D1508" s="1" t="n">
        <v>13470</v>
      </c>
      <c r="E1508" s="1" t="n">
        <v>13950</v>
      </c>
      <c r="F1508" s="1" t="n"/>
      <c r="G1508" s="1" t="n"/>
      <c r="H1508" s="1" t="n"/>
      <c r="I1508" s="1" t="inlineStr">
        <is>
          <t>ST-L</t>
        </is>
      </c>
      <c r="J1508" s="1" t="n">
        <v>341</v>
      </c>
      <c r="K1508" s="1" t="n"/>
      <c r="L1508" s="1" t="n">
        <v>387</v>
      </c>
      <c r="M1508" s="1" t="n">
        <v>0.362</v>
      </c>
      <c r="N1508" s="1">
        <f>+A1508-2*M1508</f>
        <v/>
      </c>
      <c r="O1508" s="1" t="n">
        <v>4.151</v>
      </c>
      <c r="P1508" s="9" t="n"/>
    </row>
    <row r="1509">
      <c r="A1509" s="8" t="n">
        <v>4.5</v>
      </c>
      <c r="B1509" s="1" t="n">
        <v>15.1</v>
      </c>
      <c r="C1509" s="1" t="inlineStr">
        <is>
          <t>HCP-110</t>
        </is>
      </c>
      <c r="D1509" s="1" t="n">
        <v>15130</v>
      </c>
      <c r="E1509" s="1" t="n">
        <v>14420</v>
      </c>
      <c r="F1509" s="1" t="n"/>
      <c r="G1509" s="1" t="n"/>
      <c r="H1509" s="1" t="n"/>
      <c r="I1509" s="1" t="inlineStr">
        <is>
          <t>LTC</t>
        </is>
      </c>
      <c r="J1509" s="1" t="n">
        <v>406</v>
      </c>
      <c r="K1509" s="1" t="n"/>
      <c r="L1509" s="1" t="n">
        <v>485</v>
      </c>
      <c r="M1509" s="1" t="n">
        <v>0.337</v>
      </c>
      <c r="N1509" s="1">
        <f>+A1509-2*M1509</f>
        <v/>
      </c>
      <c r="O1509" s="1" t="n">
        <v>3.701</v>
      </c>
      <c r="P1509" s="9" t="n"/>
    </row>
    <row r="1510">
      <c r="A1510" s="251" t="n">
        <v>5.5</v>
      </c>
      <c r="B1510" s="251" t="n">
        <v>20</v>
      </c>
      <c r="C1510" s="251" t="inlineStr">
        <is>
          <t>N-80</t>
        </is>
      </c>
      <c r="D1510" s="251" t="n">
        <v>8830</v>
      </c>
      <c r="E1510" s="251" t="n">
        <v>9190</v>
      </c>
      <c r="F1510" s="251" t="n"/>
      <c r="G1510" s="251" t="n"/>
      <c r="H1510" s="251" t="n"/>
      <c r="I1510" s="251" t="inlineStr">
        <is>
          <t>TTRS1</t>
        </is>
      </c>
      <c r="J1510" s="251" t="n">
        <v>466</v>
      </c>
      <c r="K1510" s="251" t="n"/>
      <c r="L1510" s="251" t="n">
        <v>466</v>
      </c>
      <c r="M1510" s="251" t="n">
        <v>0.361</v>
      </c>
      <c r="N1510" s="251">
        <f>+A1510-2*M1510</f>
        <v/>
      </c>
      <c r="O1510" s="251" t="n">
        <v>4.653</v>
      </c>
      <c r="P1510" s="251" t="n"/>
    </row>
    <row r="1511">
      <c r="A1511" s="251" t="n">
        <v>5.5</v>
      </c>
      <c r="B1511" s="251" t="n">
        <v>20</v>
      </c>
      <c r="C1511" s="251" t="inlineStr">
        <is>
          <t>P-110</t>
        </is>
      </c>
      <c r="D1511" s="251" t="n">
        <v>11110</v>
      </c>
      <c r="E1511" s="251" t="n">
        <v>12640</v>
      </c>
      <c r="F1511" s="251" t="n"/>
      <c r="G1511" s="251" t="n"/>
      <c r="H1511" s="251" t="n"/>
      <c r="I1511" s="251" t="inlineStr">
        <is>
          <t>TTRS1</t>
        </is>
      </c>
      <c r="J1511" s="251" t="n">
        <v>641</v>
      </c>
      <c r="K1511" s="251" t="n"/>
      <c r="L1511" s="251" t="n">
        <v>641</v>
      </c>
      <c r="M1511" s="251" t="n">
        <v>0.361</v>
      </c>
      <c r="N1511" s="251">
        <f>+A1511-2*M1511</f>
        <v/>
      </c>
      <c r="O1511" s="251" t="n">
        <v>4.653</v>
      </c>
      <c r="P1511" s="251" t="n"/>
    </row>
    <row r="1512">
      <c r="A1512" s="251" t="n">
        <v>5</v>
      </c>
      <c r="B1512" s="251" t="n">
        <v>18</v>
      </c>
      <c r="C1512" s="251" t="inlineStr">
        <is>
          <t>HCP-110</t>
        </is>
      </c>
      <c r="D1512" s="251" t="n">
        <v>15440</v>
      </c>
      <c r="E1512" s="251" t="n">
        <v>13940</v>
      </c>
      <c r="F1512" s="251" t="n"/>
      <c r="G1512" s="251" t="n"/>
      <c r="H1512" s="251" t="n"/>
      <c r="I1512" s="251" t="inlineStr">
        <is>
          <t>SLIJ-II</t>
        </is>
      </c>
      <c r="J1512" s="251" t="n">
        <v>415</v>
      </c>
      <c r="K1512" s="251" t="n"/>
      <c r="L1512" s="251" t="n">
        <v>580</v>
      </c>
      <c r="M1512" s="251" t="n">
        <v>0.362</v>
      </c>
      <c r="N1512" s="251">
        <f>+A1512-2*M1512</f>
        <v/>
      </c>
      <c r="O1512" s="251" t="n">
        <v>4.151</v>
      </c>
      <c r="P1512" s="251" t="n"/>
    </row>
    <row r="1513">
      <c r="A1513" s="251" t="n">
        <v>4.5</v>
      </c>
      <c r="B1513" s="251" t="n">
        <v>15.1</v>
      </c>
      <c r="C1513" s="251" t="inlineStr">
        <is>
          <t>HCP-110</t>
        </is>
      </c>
      <c r="D1513" s="251" t="n">
        <v>15130</v>
      </c>
      <c r="E1513" s="251" t="n">
        <v>14420</v>
      </c>
      <c r="F1513" s="251" t="n"/>
      <c r="G1513" s="251" t="n"/>
      <c r="H1513" s="251" t="n"/>
      <c r="I1513" s="251" t="inlineStr">
        <is>
          <t>U-SF</t>
        </is>
      </c>
      <c r="J1513" s="251" t="n">
        <v>449</v>
      </c>
      <c r="K1513" s="251" t="n"/>
      <c r="L1513" s="251" t="n">
        <v>485</v>
      </c>
      <c r="M1513" s="251" t="n">
        <v>0.337</v>
      </c>
      <c r="N1513" s="251">
        <f>+A1513-2*M1513</f>
        <v/>
      </c>
      <c r="O1513" s="251" t="n">
        <v>3.701</v>
      </c>
      <c r="P1513" s="251" t="n"/>
    </row>
    <row r="1514">
      <c r="A1514" s="251" t="n">
        <v>9.875</v>
      </c>
      <c r="B1514" s="251" t="n">
        <v>62.8</v>
      </c>
      <c r="C1514" s="251" t="inlineStr">
        <is>
          <t>HCP-110</t>
        </is>
      </c>
      <c r="D1514" s="251" t="n">
        <v>10280</v>
      </c>
      <c r="E1514" s="251" t="n">
        <v>12180</v>
      </c>
      <c r="F1514" s="251" t="n"/>
      <c r="G1514" s="251" t="n"/>
      <c r="H1514" s="251" t="n"/>
      <c r="I1514" s="251" t="inlineStr">
        <is>
          <t>LTC</t>
        </is>
      </c>
      <c r="J1514" s="251" t="n">
        <v>1294</v>
      </c>
      <c r="K1514" s="251" t="n"/>
      <c r="L1514" s="251" t="n">
        <v>1998</v>
      </c>
      <c r="M1514" s="251" t="n">
        <v>0.625</v>
      </c>
      <c r="N1514" s="251">
        <f>+A1514-2*M1514</f>
        <v/>
      </c>
      <c r="O1514" s="251" t="n">
        <v>8.5</v>
      </c>
      <c r="P1514" s="251" t="n"/>
    </row>
    <row r="1515">
      <c r="A1515" s="251" t="n">
        <v>5.5</v>
      </c>
      <c r="B1515" s="251" t="n">
        <v>17</v>
      </c>
      <c r="C1515" s="251" t="inlineStr">
        <is>
          <t>SeAH-70</t>
        </is>
      </c>
      <c r="D1515" s="251" t="n">
        <v>5780</v>
      </c>
      <c r="E1515" s="251" t="n">
        <v>6770</v>
      </c>
      <c r="F1515" s="251" t="n"/>
      <c r="G1515" s="251" t="n"/>
      <c r="H1515" s="251" t="n"/>
      <c r="I1515" s="251" t="inlineStr">
        <is>
          <t>LTC</t>
        </is>
      </c>
      <c r="J1515" s="251" t="n">
        <v>285</v>
      </c>
      <c r="K1515" s="251" t="n"/>
      <c r="L1515" s="251" t="n">
        <v>347</v>
      </c>
      <c r="M1515" s="251" t="n">
        <v>0.304</v>
      </c>
      <c r="N1515" s="251">
        <f>+A1515-2*M1515</f>
        <v/>
      </c>
      <c r="O1515" s="251" t="n">
        <v>4.767</v>
      </c>
      <c r="P1515" s="251" t="n"/>
    </row>
    <row r="1516">
      <c r="A1516" s="251" t="n">
        <v>5.5</v>
      </c>
      <c r="B1516" s="251" t="n">
        <v>17</v>
      </c>
      <c r="C1516" s="251" t="inlineStr">
        <is>
          <t>SeAH-90</t>
        </is>
      </c>
      <c r="D1516" s="251" t="n">
        <v>6740</v>
      </c>
      <c r="E1516" s="251" t="n">
        <v>8710</v>
      </c>
      <c r="F1516" s="251" t="n"/>
      <c r="G1516" s="251" t="n"/>
      <c r="H1516" s="251" t="n"/>
      <c r="I1516" s="251" t="inlineStr">
        <is>
          <t>LTC</t>
        </is>
      </c>
      <c r="J1516" s="251" t="n">
        <v>356</v>
      </c>
      <c r="K1516" s="251" t="n"/>
      <c r="L1516" s="251" t="n">
        <v>447</v>
      </c>
      <c r="M1516" s="251" t="n">
        <v>0.304</v>
      </c>
      <c r="N1516" s="251">
        <f>+A1516-2*M1516</f>
        <v/>
      </c>
      <c r="O1516" s="251" t="n">
        <v>4.767</v>
      </c>
      <c r="P1516" s="251" t="n"/>
    </row>
    <row r="1517">
      <c r="A1517" s="251" t="n">
        <v>5.5</v>
      </c>
      <c r="B1517" s="251" t="n">
        <v>17</v>
      </c>
      <c r="C1517" s="251" t="inlineStr">
        <is>
          <t>SB-80</t>
        </is>
      </c>
      <c r="D1517" s="251" t="n">
        <v>6290</v>
      </c>
      <c r="E1517" s="251" t="n">
        <v>7740</v>
      </c>
      <c r="F1517" s="251" t="n"/>
      <c r="G1517" s="251" t="n"/>
      <c r="H1517" s="251" t="n"/>
      <c r="I1517" s="251" t="inlineStr">
        <is>
          <t>LTC</t>
        </is>
      </c>
      <c r="J1517" s="251" t="n">
        <v>320</v>
      </c>
      <c r="K1517" s="251" t="n"/>
      <c r="L1517" s="251" t="n">
        <v>397</v>
      </c>
      <c r="M1517" s="251" t="n">
        <v>0.304</v>
      </c>
      <c r="N1517" s="251">
        <f>+A1517-2*M1517</f>
        <v/>
      </c>
      <c r="O1517" s="251" t="n">
        <v>4.767</v>
      </c>
      <c r="P1517" s="251" t="n"/>
    </row>
    <row r="1518">
      <c r="A1518" s="251" t="n">
        <v>4.5</v>
      </c>
      <c r="B1518" s="251" t="n">
        <v>13.5</v>
      </c>
      <c r="C1518" s="251" t="inlineStr">
        <is>
          <t>HCP-110</t>
        </is>
      </c>
      <c r="D1518" s="251" t="n">
        <v>11250</v>
      </c>
      <c r="E1518" s="251" t="n">
        <v>12410</v>
      </c>
      <c r="F1518" s="251" t="n"/>
      <c r="G1518" s="251" t="n"/>
      <c r="H1518" s="251" t="n"/>
      <c r="I1518" s="251" t="inlineStr">
        <is>
          <t>BTC</t>
        </is>
      </c>
      <c r="J1518" s="251" t="n">
        <v>443</v>
      </c>
      <c r="K1518" s="251" t="n"/>
      <c r="L1518" s="251" t="n">
        <v>422</v>
      </c>
      <c r="M1518" s="251" t="n">
        <v>0.29</v>
      </c>
      <c r="N1518" s="251" t="n">
        <v>3.92</v>
      </c>
      <c r="O1518" s="251" t="n">
        <v>3.795</v>
      </c>
      <c r="P1518" s="251" t="n"/>
    </row>
    <row r="1519">
      <c r="A1519" s="251" t="n">
        <v>7</v>
      </c>
      <c r="B1519" s="251" t="n">
        <v>23</v>
      </c>
      <c r="C1519" s="251" t="inlineStr">
        <is>
          <t>HCP-110</t>
        </is>
      </c>
      <c r="D1519" s="251" t="n">
        <v>5710</v>
      </c>
      <c r="E1519" s="251" t="n">
        <v>8720</v>
      </c>
      <c r="F1519" s="251" t="n"/>
      <c r="G1519" s="251" t="n"/>
      <c r="H1519" s="251" t="n"/>
      <c r="I1519" s="251" t="inlineStr">
        <is>
          <t>LTC</t>
        </is>
      </c>
      <c r="J1519" s="251" t="n">
        <v>590</v>
      </c>
      <c r="K1519" s="251" t="n"/>
      <c r="L1519" s="251" t="n">
        <v>732</v>
      </c>
      <c r="M1519" s="251" t="n">
        <v>0.317</v>
      </c>
      <c r="N1519" s="251" t="n">
        <v>6.366</v>
      </c>
      <c r="O1519" s="251" t="n">
        <v>6.241</v>
      </c>
      <c r="P1519" s="251" t="n"/>
    </row>
    <row r="1520">
      <c r="A1520" s="251" t="n"/>
      <c r="B1520" s="251" t="n"/>
      <c r="C1520" s="251" t="n"/>
      <c r="D1520" s="251" t="n"/>
      <c r="E1520" s="251" t="n"/>
      <c r="F1520" s="251" t="n"/>
      <c r="G1520" s="251" t="n"/>
      <c r="H1520" s="251" t="n"/>
      <c r="I1520" s="251" t="n"/>
      <c r="J1520" s="251" t="n"/>
      <c r="K1520" s="251" t="n"/>
      <c r="L1520" s="251" t="n"/>
      <c r="M1520" s="251" t="n"/>
      <c r="N1520" s="251" t="n"/>
      <c r="O1520" s="251" t="n"/>
      <c r="P1520" s="251" t="n"/>
    </row>
    <row r="1521">
      <c r="A1521" s="251" t="n"/>
      <c r="B1521" s="251" t="n"/>
      <c r="C1521" s="251" t="n"/>
      <c r="D1521" s="251" t="n"/>
      <c r="E1521" s="251" t="n"/>
      <c r="F1521" s="251" t="n"/>
      <c r="G1521" s="251" t="n"/>
      <c r="H1521" s="251" t="n"/>
      <c r="I1521" s="251" t="n"/>
      <c r="J1521" s="251" t="n"/>
      <c r="K1521" s="251" t="n"/>
      <c r="L1521" s="251" t="n"/>
      <c r="M1521" s="251" t="n"/>
      <c r="N1521" s="251" t="n"/>
      <c r="O1521" s="251" t="n"/>
      <c r="P1521" s="251" t="n"/>
    </row>
    <row r="1522">
      <c r="A1522" s="251" t="n"/>
      <c r="B1522" s="251" t="n"/>
      <c r="C1522" s="251" t="n"/>
      <c r="D1522" s="251" t="n"/>
      <c r="E1522" s="251" t="n"/>
      <c r="F1522" s="251" t="n"/>
      <c r="G1522" s="251" t="n"/>
      <c r="H1522" s="251" t="n"/>
      <c r="I1522" s="251" t="n"/>
      <c r="J1522" s="251" t="n"/>
      <c r="K1522" s="251" t="n"/>
      <c r="L1522" s="251" t="n"/>
      <c r="M1522" s="251" t="n"/>
      <c r="N1522" s="251" t="n"/>
      <c r="O1522" s="251" t="n"/>
      <c r="P1522" s="251" t="n"/>
    </row>
    <row r="1523">
      <c r="A1523" s="251" t="n"/>
      <c r="B1523" s="251" t="n"/>
      <c r="C1523" s="251" t="n"/>
      <c r="D1523" s="251" t="n"/>
      <c r="E1523" s="251" t="n"/>
      <c r="F1523" s="251" t="n"/>
      <c r="G1523" s="251" t="n"/>
      <c r="H1523" s="251" t="n"/>
      <c r="I1523" s="251" t="n"/>
      <c r="J1523" s="251" t="n"/>
      <c r="K1523" s="251" t="n"/>
      <c r="L1523" s="251" t="n"/>
      <c r="M1523" s="251" t="n"/>
      <c r="N1523" s="251" t="n"/>
      <c r="O1523" s="251" t="n"/>
      <c r="P1523" s="251" t="n"/>
    </row>
    <row r="1524">
      <c r="A1524" s="251" t="n"/>
      <c r="B1524" s="251" t="n"/>
      <c r="C1524" s="251" t="n"/>
      <c r="D1524" s="251" t="n"/>
      <c r="E1524" s="251" t="n"/>
      <c r="F1524" s="251" t="n"/>
      <c r="G1524" s="251" t="n"/>
      <c r="H1524" s="251" t="n"/>
      <c r="I1524" s="251" t="n"/>
      <c r="J1524" s="251" t="n"/>
      <c r="K1524" s="251" t="n"/>
      <c r="L1524" s="251" t="n"/>
      <c r="M1524" s="251" t="n"/>
      <c r="N1524" s="251" t="n"/>
      <c r="O1524" s="251" t="n"/>
      <c r="P1524" s="251" t="n"/>
    </row>
    <row r="1525">
      <c r="A1525" s="251" t="n"/>
      <c r="B1525" s="251" t="n"/>
      <c r="C1525" s="251" t="n"/>
      <c r="D1525" s="251" t="n"/>
      <c r="E1525" s="251" t="n"/>
      <c r="F1525" s="251" t="n"/>
      <c r="G1525" s="251" t="n"/>
      <c r="H1525" s="251" t="n"/>
      <c r="I1525" s="251" t="n"/>
      <c r="J1525" s="251" t="n"/>
      <c r="K1525" s="251" t="n"/>
      <c r="L1525" s="251" t="n"/>
      <c r="M1525" s="251" t="n"/>
      <c r="N1525" s="251" t="n"/>
      <c r="O1525" s="251" t="n"/>
      <c r="P1525" s="251" t="n"/>
    </row>
    <row r="1526">
      <c r="A1526" s="251" t="n"/>
      <c r="B1526" s="251" t="n"/>
      <c r="C1526" s="251" t="n"/>
      <c r="D1526" s="251" t="n"/>
      <c r="E1526" s="251" t="n"/>
      <c r="F1526" s="251" t="n"/>
      <c r="G1526" s="251" t="n"/>
      <c r="H1526" s="251" t="n"/>
      <c r="I1526" s="251" t="n"/>
      <c r="J1526" s="251" t="n"/>
      <c r="K1526" s="251" t="n"/>
      <c r="L1526" s="251" t="n"/>
      <c r="M1526" s="251" t="n"/>
      <c r="N1526" s="251" t="n"/>
      <c r="O1526" s="251" t="n"/>
      <c r="P1526" s="251" t="n"/>
    </row>
    <row r="1527">
      <c r="A1527" s="251" t="n"/>
      <c r="B1527" s="251" t="n"/>
      <c r="C1527" s="251" t="n"/>
      <c r="D1527" s="251" t="n"/>
      <c r="E1527" s="251" t="n"/>
      <c r="F1527" s="251" t="n"/>
      <c r="G1527" s="251" t="n"/>
      <c r="H1527" s="251" t="n"/>
      <c r="I1527" s="251" t="n"/>
      <c r="J1527" s="251" t="n"/>
      <c r="K1527" s="251" t="n"/>
      <c r="L1527" s="251" t="n"/>
      <c r="M1527" s="251" t="n"/>
      <c r="N1527" s="251" t="n"/>
      <c r="O1527" s="251" t="n"/>
      <c r="P1527" s="251" t="n"/>
    </row>
  </sheetData>
  <mergeCells count="10">
    <mergeCell ref="O3:P3"/>
    <mergeCell ref="E3:H3"/>
    <mergeCell ref="O5:P5"/>
    <mergeCell ref="I5:K5"/>
    <mergeCell ref="E4:H4"/>
    <mergeCell ref="C3:C6"/>
    <mergeCell ref="I4:K4"/>
    <mergeCell ref="I3:K3"/>
    <mergeCell ref="O4:P4"/>
    <mergeCell ref="E5:H5"/>
  </mergeCells>
  <pageMargins left="0.7" right="0.7" top="0.75" bottom="0.75" header="0.3" footer="0.3"/>
  <pageSetup orientation="portrait" verticalDpi="1200"/>
</worksheet>
</file>

<file path=xl/worksheets/sheet8.xml><?xml version="1.0" encoding="utf-8"?>
<worksheet xmlns="http://schemas.openxmlformats.org/spreadsheetml/2006/main">
  <sheetPr codeName="Sheet7">
    <outlinePr summaryBelow="1" summaryRight="1"/>
    <pageSetUpPr/>
  </sheetPr>
  <dimension ref="A2:CD156"/>
  <sheetViews>
    <sheetView topLeftCell="A4" zoomScaleNormal="100" workbookViewId="0">
      <selection activeCell="E18" sqref="E18"/>
    </sheetView>
  </sheetViews>
  <sheetFormatPr baseColWidth="8" defaultColWidth="9.109375" defaultRowHeight="14.4"/>
  <cols>
    <col width="8.33203125" customWidth="1" style="613" min="1" max="1"/>
    <col width="8.5546875" customWidth="1" style="613" min="2" max="2"/>
    <col width="4.6640625" customWidth="1" style="613" min="3" max="3"/>
    <col width="8.5546875" customWidth="1" style="613" min="4" max="4"/>
    <col width="7.6640625" customWidth="1" style="613" min="5" max="6"/>
    <col width="9.6640625" customWidth="1" style="613" min="7" max="7"/>
    <col width="7.6640625" customWidth="1" style="613" min="8" max="10"/>
    <col width="12" customWidth="1" style="613" min="11" max="11"/>
    <col width="8.33203125" customWidth="1" style="613" min="12" max="12"/>
    <col width="7.6640625" customWidth="1" style="613" min="13" max="13"/>
    <col width="7.109375" customWidth="1" style="613" min="14" max="14"/>
    <col width="8.5546875" customWidth="1" style="613" min="15" max="15"/>
    <col width="7.6640625" customWidth="1" style="613" min="16" max="16"/>
    <col width="9.6640625" customWidth="1" style="613" min="17" max="17"/>
    <col width="7.44140625" customWidth="1" style="613" min="18" max="18"/>
    <col width="9.6640625" customWidth="1" style="613" min="19" max="19"/>
    <col width="8.6640625" customWidth="1" style="613" min="20" max="21"/>
    <col width="7.88671875" customWidth="1" style="613" min="22" max="22"/>
    <col width="8.5546875" customWidth="1" style="613" min="23" max="23"/>
    <col width="6.6640625" customWidth="1" style="613" min="24" max="24"/>
    <col width="3.5546875" customWidth="1" style="689" min="25" max="25"/>
    <col width="9.6640625" customWidth="1" style="689" min="26" max="26"/>
    <col width="9.109375" customWidth="1" style="693" min="27" max="28"/>
    <col width="7.6640625" customWidth="1" style="693" min="29" max="36"/>
    <col width="6.88671875" customWidth="1" style="693" min="37" max="37"/>
    <col width="7.6640625" customWidth="1" style="693" min="38" max="39"/>
    <col width="9.109375" customWidth="1" style="693" min="40" max="46"/>
    <col width="11.44140625" customWidth="1" style="693" min="47" max="47"/>
    <col width="9.88671875" customWidth="1" style="693" min="48" max="48"/>
    <col width="9.109375" customWidth="1" style="693" min="49" max="77"/>
    <col width="9.109375" customWidth="1" style="613" min="78" max="80"/>
    <col width="9.109375" customWidth="1" style="613" min="81" max="16384"/>
  </cols>
  <sheetData>
    <row r="1" ht="8.25" customHeight="1" s="613"/>
    <row r="2">
      <c r="B2" s="347" t="inlineStr">
        <is>
          <t>Well:</t>
        </is>
      </c>
      <c r="C2" s="702" t="inlineStr">
        <is>
          <t>Butcher Butte 19-134H-22</t>
        </is>
      </c>
      <c r="D2" s="744" t="n"/>
      <c r="E2" s="744" t="n"/>
      <c r="F2" s="744" t="n"/>
      <c r="G2" s="744" t="n"/>
      <c r="AA2" s="689" t="n"/>
      <c r="AB2" s="689" t="n"/>
      <c r="BZ2" s="693" t="n"/>
      <c r="CA2" s="693" t="n"/>
    </row>
    <row r="3" ht="15.75" customHeight="1" s="613" thickBot="1">
      <c r="B3" s="347" t="inlineStr">
        <is>
          <t>API:</t>
        </is>
      </c>
      <c r="C3" s="706" t="n">
        <v>43013537460000</v>
      </c>
      <c r="D3" s="744" t="n"/>
      <c r="E3" s="744" t="n"/>
      <c r="F3" s="744" t="n"/>
      <c r="G3" s="744" t="n"/>
      <c r="I3" s="418">
        <f>IF(MAX(AE48:AL48)=0,"SHL survey footages must be from nearest section lines.","")</f>
        <v/>
      </c>
      <c r="X3" s="688" t="inlineStr">
        <is>
          <t>Notes</t>
        </is>
      </c>
      <c r="AP3" s="668" t="inlineStr">
        <is>
          <t>UTM Radians</t>
        </is>
      </c>
      <c r="AQ3" s="668" t="inlineStr">
        <is>
          <t>UTM Degrees</t>
        </is>
      </c>
      <c r="AR3" s="668" t="inlineStr">
        <is>
          <t>SP Grid Radians</t>
        </is>
      </c>
      <c r="AS3" s="668" t="inlineStr">
        <is>
          <t>SP Grid Degrees</t>
        </is>
      </c>
      <c r="BZ3" s="693" t="n"/>
      <c r="CA3" s="693" t="n"/>
    </row>
    <row r="4" ht="7.5" customHeight="1" s="613" thickBot="1">
      <c r="S4" s="689" t="n"/>
      <c r="T4" s="693" t="n"/>
      <c r="U4" s="693" t="n"/>
      <c r="V4" s="693" t="n"/>
      <c r="X4" s="677" t="n"/>
      <c r="Y4" s="677" t="n"/>
      <c r="AP4" s="633" t="n"/>
      <c r="AQ4" s="633" t="n"/>
      <c r="AR4" s="633" t="n"/>
      <c r="AS4" s="633" t="n"/>
      <c r="BZ4" s="693" t="n"/>
      <c r="CA4" s="693" t="n"/>
    </row>
    <row r="5" ht="26.25" customHeight="1" s="613" thickBot="1">
      <c r="B5" s="417" t="n"/>
      <c r="C5" s="414" t="n"/>
      <c r="D5" s="416" t="inlineStr">
        <is>
          <t>Measured</t>
        </is>
      </c>
      <c r="E5" s="710" t="inlineStr">
        <is>
          <t>Directional Data</t>
        </is>
      </c>
      <c r="F5" s="679" t="n"/>
      <c r="G5" s="679" t="n"/>
      <c r="H5" s="711" t="n"/>
      <c r="I5" s="710" t="inlineStr">
        <is>
          <t>Section Line Footages</t>
        </is>
      </c>
      <c r="J5" s="679" t="n"/>
      <c r="K5" s="679" t="n"/>
      <c r="L5" s="711" t="n"/>
      <c r="M5" s="415" t="inlineStr">
        <is>
          <t xml:space="preserve">   Survey Plat North Reference</t>
        </is>
      </c>
      <c r="N5" s="414" t="n"/>
      <c r="O5" s="653" t="n"/>
      <c r="P5" s="653" t="n"/>
      <c r="Q5" s="653" t="n"/>
      <c r="R5" s="653" t="n"/>
      <c r="S5" s="413" t="n"/>
      <c r="T5" s="707" t="inlineStr">
        <is>
          <t>UTM Coordinates</t>
        </is>
      </c>
      <c r="U5" s="679" t="n"/>
      <c r="V5" s="680" t="n"/>
      <c r="X5" s="690" t="n"/>
      <c r="Y5" s="745" t="n"/>
      <c r="Z5" s="745" t="n"/>
      <c r="AA5" s="745" t="n"/>
      <c r="AB5" s="745" t="n"/>
      <c r="AC5" s="745" t="n"/>
      <c r="AD5" s="745" t="n"/>
      <c r="AE5" s="745" t="n"/>
      <c r="AF5" s="745" t="n"/>
      <c r="AG5" s="746" t="n"/>
      <c r="AI5" s="678" t="inlineStr">
        <is>
          <t>Corrected Directional Data to Survey Plat North Reference</t>
        </is>
      </c>
      <c r="AJ5" s="679" t="n"/>
      <c r="AK5" s="679" t="n"/>
      <c r="AL5" s="680" t="n"/>
      <c r="AN5" s="672" t="inlineStr">
        <is>
          <t>Geodetic North Convergence Angle</t>
        </is>
      </c>
      <c r="AO5" s="673" t="n"/>
      <c r="AP5" s="747">
        <f>ATAN(TAN(RADIANS(IF($V$7=11,117,111)-IF(ISNUMBER($U$13),$U$13+$U$14/60+$U$15/3600,$U$16)))*SIN(RADIANS(IF(ISNUMBER($T$13),$T$13+$T$14/60+$T$15/3600,$T$16))))</f>
        <v/>
      </c>
      <c r="AQ5" s="748">
        <f>DEGREES($AP$5)</f>
        <v/>
      </c>
      <c r="AR5" s="749">
        <f>ATAN(TAN(RADIANS(111.5-IF(ISNUMBER($U$13),$U$13+$U$14/60+$U$15/3600,$U$16)))*SIN(RADIANS(IF(ISNUMBER($T$13),$T$13+$T$14/60+$T$15/3600,$T$16))))</f>
        <v/>
      </c>
      <c r="AS5" s="748">
        <f>DEGREES($AR$5)</f>
        <v/>
      </c>
      <c r="BZ5" s="693" t="n"/>
      <c r="CA5" s="693" t="n"/>
    </row>
    <row r="6" ht="15" customHeight="1" s="613">
      <c r="B6" s="705" t="n"/>
      <c r="C6" s="638" t="n"/>
      <c r="D6" s="412" t="inlineStr">
        <is>
          <t>Depth</t>
        </is>
      </c>
      <c r="E6" s="708" t="inlineStr">
        <is>
          <t>N-S</t>
        </is>
      </c>
      <c r="F6" s="616" t="n"/>
      <c r="G6" s="709" t="inlineStr">
        <is>
          <t>E-W</t>
        </is>
      </c>
      <c r="H6" s="617" t="n"/>
      <c r="I6" s="708" t="inlineStr">
        <is>
          <t>FNL-FSL</t>
        </is>
      </c>
      <c r="J6" s="616" t="n"/>
      <c r="K6" s="709" t="inlineStr">
        <is>
          <t>FEL-FWL</t>
        </is>
      </c>
      <c r="L6" s="617" t="n"/>
      <c r="M6" s="451" t="inlineStr">
        <is>
          <t>Qtr-Qtr</t>
        </is>
      </c>
      <c r="N6" s="451" t="inlineStr">
        <is>
          <t>Section</t>
        </is>
      </c>
      <c r="O6" s="451" t="inlineStr">
        <is>
          <t>Township</t>
        </is>
      </c>
      <c r="P6" s="451" t="inlineStr">
        <is>
          <t>T-Dir.</t>
        </is>
      </c>
      <c r="Q6" s="451" t="inlineStr">
        <is>
          <t>Range</t>
        </is>
      </c>
      <c r="R6" s="451" t="inlineStr">
        <is>
          <t>R-Dir.</t>
        </is>
      </c>
      <c r="S6" s="451" t="inlineStr">
        <is>
          <t>Meridian</t>
        </is>
      </c>
      <c r="T6" s="412" t="inlineStr">
        <is>
          <t>Easting</t>
        </is>
      </c>
      <c r="U6" s="451" t="inlineStr">
        <is>
          <t>Northing</t>
        </is>
      </c>
      <c r="V6" s="411" t="inlineStr">
        <is>
          <t>Zone</t>
        </is>
      </c>
      <c r="X6" s="750" t="n"/>
      <c r="Y6" s="157" t="n"/>
      <c r="Z6" s="157" t="n"/>
      <c r="AA6" s="157" t="n"/>
      <c r="AB6" s="157" t="n"/>
      <c r="AC6" s="157" t="n"/>
      <c r="AD6" s="157" t="n"/>
      <c r="AE6" s="157" t="n"/>
      <c r="AF6" s="157" t="n"/>
      <c r="AG6" s="751" t="n"/>
      <c r="AI6" s="681" t="inlineStr">
        <is>
          <t>N-S</t>
        </is>
      </c>
      <c r="AJ6" s="616" t="n"/>
      <c r="AK6" s="682" t="inlineStr">
        <is>
          <t>E-W</t>
        </is>
      </c>
      <c r="AL6" s="643" t="n"/>
      <c r="BZ6" s="693" t="n"/>
      <c r="CA6" s="693" t="n"/>
    </row>
    <row r="7">
      <c r="B7" s="703" t="inlineStr">
        <is>
          <t>Surface</t>
        </is>
      </c>
      <c r="C7" s="704" t="n"/>
      <c r="D7" s="445" t="n">
        <v>0</v>
      </c>
      <c r="E7" s="445" t="n"/>
      <c r="F7" s="442" t="n"/>
      <c r="G7" s="444" t="n"/>
      <c r="H7" s="442" t="n"/>
      <c r="I7" s="410">
        <f>IF(DxSurvey!H45="y",MAX(DxSurvey!B47:C47)+DxSurvey!G47,MAX(DxSurvey!B47:C47))</f>
        <v/>
      </c>
      <c r="J7" s="409">
        <f>IF(DxSurvey!B47&gt;0,1,2)</f>
        <v/>
      </c>
      <c r="K7" s="408">
        <f>IF(DxSurvey!H45="y",MAX(DxSurvey!D47:E47)+DxSurvey!H47,MAX(DxSurvey!D47:E47))</f>
        <v/>
      </c>
      <c r="L7" s="407">
        <f>IF(DxSurvey!D47&gt;0,1,2)</f>
        <v/>
      </c>
      <c r="M7" s="406">
        <f>IF(OR(ISNUMBER($AE$48),ISNUMBER($AG$48),ISNUMBER($AI$48),ISNUMBER($AK$48)),VLOOKUP(MAX($AE$48:$AL$48),$AV$56:$AZ$59,1+IF(ISNUMBER($AE$48),$AE$46,IF(ISNUMBER($AG$48),$AG$46,IF(ISNUMBER($AI$48),$AI$46,IF(ISNUMBER($AK$48),$AK$46,"")))),FALSE),"")</f>
        <v/>
      </c>
      <c r="N7" s="405" t="n">
        <v>23</v>
      </c>
      <c r="O7" s="404" t="n">
        <v>3</v>
      </c>
      <c r="P7" s="403" t="n">
        <v>2</v>
      </c>
      <c r="Q7" s="404" t="n">
        <v>2</v>
      </c>
      <c r="R7" s="403" t="n">
        <v>2</v>
      </c>
      <c r="S7" s="402" t="n">
        <v>2</v>
      </c>
      <c r="T7" s="401" t="n">
        <v>558548.9669999999</v>
      </c>
      <c r="U7" s="400" t="n">
        <v>4451004.947</v>
      </c>
      <c r="V7" s="399" t="n">
        <v>12</v>
      </c>
      <c r="X7" s="750" t="n"/>
      <c r="Y7" s="157" t="n"/>
      <c r="Z7" s="157" t="n"/>
      <c r="AA7" s="157" t="n"/>
      <c r="AB7" s="157" t="n"/>
      <c r="AC7" s="157" t="n"/>
      <c r="AD7" s="157" t="n"/>
      <c r="AE7" s="157" t="n"/>
      <c r="AF7" s="157" t="n"/>
      <c r="AG7" s="751" t="n"/>
      <c r="AI7" s="398" t="inlineStr">
        <is>
          <t>Angle</t>
        </is>
      </c>
      <c r="AJ7" s="752">
        <f>IF(AND($AY$50=2,$Q$13=1),-$P$14,IF(AND($AY$50=1,$Q$13=2),$P$14,0))</f>
        <v/>
      </c>
      <c r="AK7" s="444" t="n"/>
      <c r="AL7" s="397" t="n"/>
      <c r="BZ7" s="693" t="n"/>
      <c r="CA7" s="693" t="n"/>
    </row>
    <row r="8">
      <c r="B8" s="608" t="inlineStr">
        <is>
          <t>K.O. Point</t>
        </is>
      </c>
      <c r="C8" s="609" t="n"/>
      <c r="D8" s="395">
        <f>DxSurvey!C8</f>
        <v/>
      </c>
      <c r="E8" s="394">
        <f>ABS(DxSurvey!D8)</f>
        <v/>
      </c>
      <c r="F8" s="393">
        <f>IF(DxSurvey!D8&gt;=0,"N","S")</f>
        <v/>
      </c>
      <c r="G8" s="392">
        <f>ABS(DxSurvey!E8)</f>
        <v/>
      </c>
      <c r="H8" s="393">
        <f>IF(DxSurvey!E8&gt;=0,"E","W")</f>
        <v/>
      </c>
      <c r="I8" s="396">
        <f>IF(ISNUMBER($AE$66),$AE$66,IF(ISNUMBER($AG$66),$AG$66,IF(ISNUMBER($AI$66),$AI$66,IF(ISNUMBER($AK$66),$AK$66,IF(ISNUMBER('BHL Section 1'!$I$8),'BHL Section 1'!$I$8,IF(ISNUMBER('BHL Section 2'!$I$8),'BHL Section 2'!$I$8,""))))))</f>
        <v/>
      </c>
      <c r="J8" s="390">
        <f>IF(ISNUMBER($AE$66),$AE$61,IF(ISNUMBER($AG$66),$AG$61,IF(ISNUMBER($AI$66),$AI$61,IF(ISNUMBER($AK$66),$AK$61,IF(ISNUMBER('BHL Section 1'!$I$8),'BHL Section 1'!$J$8,IF(ISNUMBER('BHL Section 2'!$I$8),'BHL Section 2'!$J$8,""))))))</f>
        <v/>
      </c>
      <c r="K8" s="440">
        <f>IF(ISNUMBER($AF$66),$AF$66,IF(ISNUMBER($AH$66),$AH$66,IF(ISNUMBER($AJ$66),$AJ$66,IF(ISNUMBER($AL$66),$AL$66,IF(ISNUMBER('BHL Section 1'!$K$8),'BHL Section 1'!$K$8,IF(ISNUMBER('BHL Section 2'!$K$8),'BHL Section 2'!$K$8,""))))))</f>
        <v/>
      </c>
      <c r="L8" s="391">
        <f>IF(ISNUMBER($AF$66),$AF$61,IF(ISNUMBER($AH$66),$AH$61,IF(ISNUMBER($AJ$66),$AJ$61,IF(ISNUMBER($AL$66),$AL$61,IF(ISNUMBER('BHL Section 1'!$K$8),'BHL Section 1'!$L$8,IF(ISNUMBER('BHL Section 2'!$K$8),'BHL Section 2'!$L$8,""))))))</f>
        <v/>
      </c>
      <c r="M8" s="390">
        <f>IF(OR(ISNUMBER($AE$58),ISNUMBER($AG$58),ISNUMBER($AI$58),ISNUMBER($AK$58)),VLOOKUP(MAX($AE$58:$AL$58),$AV$56:$AZ$59,1+IF(ISNUMBER($AE$58),$AE$46,IF(ISNUMBER($AG$58),$AG$46,IF(ISNUMBER($AI$58),$AI$46,IF(ISNUMBER($AK$58),$AK$46,"")))),FALSE),IF(AND(ISNUMBER('BHL Section 1'!$I$8),ISNUMBER('BHL Section 1'!$K$8)),'BHL Section 1'!$M$8,IF(AND(ISNUMBER('BHL Section 2'!$I$8),ISNUMBER('BHL Section 2'!$K$8)),'BHL Section 2'!$M$8,"")))</f>
        <v/>
      </c>
      <c r="N8" s="390">
        <f>IF(MAX($AE$58:$AL$58)&gt;0,$N$7,IF(MAX('BHL Section 1'!$AE$58:$AL$58)&gt;0,'BHL Section 1'!$L$38,IF(MAX('BHL Section 2'!$AE$58:$AL$58)&gt;0,'BHL Section 2'!$L$38,IF(MAX('BHL Section 3'!$AE$58:$AL$58)&gt;0,'BHL Section 3'!$L$38,""))))</f>
        <v/>
      </c>
      <c r="O8" s="389">
        <f>$O$7</f>
        <v/>
      </c>
      <c r="P8" s="389">
        <f>IF('SHL Section'!$P$7=1,"N","S")</f>
        <v/>
      </c>
      <c r="Q8" s="389">
        <f>$Q$7</f>
        <v/>
      </c>
      <c r="R8" s="389">
        <f>IF('SHL Section'!$R$7=1,"E","W")</f>
        <v/>
      </c>
      <c r="S8" s="389">
        <f>IF($S$7=1,"Salt Lake","Uintah")</f>
        <v/>
      </c>
      <c r="T8" s="388">
        <f>IF($Q$13=1,$T$7+(IF($AL$8=1,$G$8,-$G$8)*COS($AP$5)-IF($AJ$8=1,$E$8,-$E$8)*SIN($AP$5))/3.28084,$T$7+(IF($AL$8=1,$G$8,-$G$8)*COS($AR$5-$AP$5)+IF($AJ$8=1,$E$8,-$E$8)*SIN($AR$5-$AP$5))/3.28084)</f>
        <v/>
      </c>
      <c r="U8" s="437">
        <f>IF($Q$13=1,$U$7+(IF($AJ$8=1,$E$8,-$E$8)*COS($AP$5)+IF($AL$8=1,$G$8,-$G$8)*SIN($AP$5))/3.28084,$U$7+(IF($AJ$8=1,$E$8,-$E$8)*COS($AR$5-$AP$5)-IF($AL$8=1,$G$8,-$G$8)*SIN($AR$5-$AP$5))/3.28084)</f>
        <v/>
      </c>
      <c r="V8" s="387">
        <f>$V$7</f>
        <v/>
      </c>
      <c r="X8" s="750" t="n"/>
      <c r="Y8" s="157" t="n"/>
      <c r="Z8" s="157" t="n"/>
      <c r="AA8" s="157" t="n"/>
      <c r="AB8" s="157" t="n"/>
      <c r="AC8" s="157" t="n"/>
      <c r="AD8" s="157" t="n"/>
      <c r="AE8" s="157" t="n"/>
      <c r="AF8" s="157" t="n"/>
      <c r="AG8" s="751" t="n"/>
      <c r="AI8" s="386">
        <f>IF($AJ$8=1,$E$8,-$E$8)*COS(RADIANS($AJ$7))-IF($AL$8=1,$G$8,-$G$8)*SIN(RADIANS($AJ$7))</f>
        <v/>
      </c>
      <c r="AJ8" s="385">
        <f>IF(F8="N",1,2)</f>
        <v/>
      </c>
      <c r="AK8" s="437">
        <f>IF($AL$8=1,$G$8,-$G$8)*COS(RADIANS($AJ$7))+IF($AJ$8=1,$E$8,-$E$8)*SIN(RADIANS($AJ$7))</f>
        <v/>
      </c>
      <c r="AL8" s="384">
        <f>IF(H8="E",1,2)</f>
        <v/>
      </c>
    </row>
    <row r="9">
      <c r="B9" s="608" t="inlineStr">
        <is>
          <t>Prod. Interval</t>
        </is>
      </c>
      <c r="C9" s="609" t="n"/>
      <c r="D9" s="395">
        <f>DxSurvey!C9</f>
        <v/>
      </c>
      <c r="E9" s="394">
        <f>ABS(DxSurvey!D9)</f>
        <v/>
      </c>
      <c r="F9" s="393">
        <f>IF(DxSurvey!D9&gt;=0,"N","S")</f>
        <v/>
      </c>
      <c r="G9" s="392">
        <f>ABS(DxSurvey!E9)</f>
        <v/>
      </c>
      <c r="H9" s="393">
        <f>IF(DxSurvey!E9&gt;=0,"E","W")</f>
        <v/>
      </c>
      <c r="I9" s="438">
        <f>IF(ISNUMBER($AE$77),$AE$77,IF(ISNUMBER($AG$77),$AG$77,IF(ISNUMBER($AI$77),$AI$77,IF(ISNUMBER($AK$77),$AK$77,IF(ISNUMBER('BHL Section 1'!$I$9),'BHL Section 1'!$I$9,IF(ISNUMBER('BHL Section 2'!$I$9),'BHL Section 2'!$I$9,IF(ISNUMBER('BHL Section 3'!$I$9),'BHL Section 3'!$I$9,"")))))))</f>
        <v/>
      </c>
      <c r="J9" s="390">
        <f>IF(ISNUMBER($AE$77),$AE$72,IF(ISNUMBER($AG$77),$AG$72,IF(ISNUMBER($AI$77),$AI$72,IF(ISNUMBER($AK$77),$AK$72,IF(ISNUMBER('BHL Section 1'!$I$9),'BHL Section 1'!$J$9,IF(ISNUMBER('BHL Section 2'!$I$9),'BHL Section 2'!$J$9,IF(ISNUMBER('BHL Section 3'!$I$9),'BHL Section 3'!$J$9,"")))))))</f>
        <v/>
      </c>
      <c r="K9" s="437">
        <f>IF(ISNUMBER($AF$77),$AF$77,IF(ISNUMBER($AH$77),$AH$77,IF(ISNUMBER($AJ$77),$AJ$77,IF(ISNUMBER($AL$77),$AL$77,IF(ISNUMBER('BHL Section 1'!$K$9),'BHL Section 1'!$K$9,IF(ISNUMBER('BHL Section 2'!$K$9),'BHL Section 2'!$K$9,IF(ISNUMBER('BHL Section 3'!$K$9),'BHL Section 3'!$K$9,"")))))))</f>
        <v/>
      </c>
      <c r="L9" s="391">
        <f>IF(ISNUMBER($AF$77),$AF$72,IF(ISNUMBER($AH$77),$AH$72,IF(ISNUMBER($AJ$77),$AJ$72,IF(ISNUMBER($AL$77),$AL$72,IF(ISNUMBER('BHL Section 1'!$K$9),'BHL Section 1'!$L$9,IF(ISNUMBER('BHL Section 2'!$K$9),'BHL Section 2'!$L$9,IF(ISNUMBER('BHL Section 3'!$K$9),'BHL Section 3'!$L$9,"")))))))</f>
        <v/>
      </c>
      <c r="M9" s="390">
        <f>IF(OR(ISNUMBER($AE$69),ISNUMBER($AG$69),ISNUMBER($AI$69),ISNUMBER($AK$69)),VLOOKUP(MAX($AE$69:$AL$69),$AV$56:$AZ$59,1+IF(ISNUMBER($AE$69),$AE$46,IF(ISNUMBER($AG$69),$AG$46,IF(ISNUMBER($AI$69),$AI$46,IF(ISNUMBER($AK$69),$AK$46,"")))),FALSE),IF(AND(ISNUMBER('BHL Section 1'!$I$9),ISNUMBER('BHL Section 1'!$K$9)),'BHL Section 1'!$M$9,IF(AND(ISNUMBER('BHL Section 2'!$I$9),ISNUMBER('BHL Section 2'!$K$9)),'BHL Section 2'!$M$9,IF(AND(ISNUMBER('BHL Section 3'!$I$9),ISNUMBER('BHL Section 3'!$K$9)),'BHL Section 3'!$M$9,""))))</f>
        <v/>
      </c>
      <c r="N9" s="390">
        <f>IF(MAX($AE$69:$AL$69)&gt;0,$N$7,IF(MAX('BHL Section 1'!$AE$69:$AL$69)&gt;0,'BHL Section 1'!$L$38,IF(MAX('BHL Section 2'!$AE$69:$AL$69)&gt;0,'BHL Section 2'!$L$38,IF(MAX('BHL Section 3'!$AE$69:$AL$69)&gt;0,'BHL Section 3'!$L$38,""))))</f>
        <v/>
      </c>
      <c r="O9" s="389">
        <f>$O$7</f>
        <v/>
      </c>
      <c r="P9" s="389">
        <f>IF('SHL Section'!$P$7=1,"N","S")</f>
        <v/>
      </c>
      <c r="Q9" s="389">
        <f>$Q$7</f>
        <v/>
      </c>
      <c r="R9" s="389">
        <f>IF('SHL Section'!$R$7=1,"E","W")</f>
        <v/>
      </c>
      <c r="S9" s="389">
        <f>IF($S$7=1,"Salt Lake","Uintah")</f>
        <v/>
      </c>
      <c r="T9" s="388">
        <f>IF($Q$13=1,$T$7+(IF($AL$9=1,$G$9,-$G$9)*COS($AP$5)-IF($AJ$9=1,$E$9,-$E$9)*SIN($AP$5))/3.28084,$T$7+(IF($AL$9=1,$G$9,-$G$9)*COS($AR$5-$AP$5)+IF($AJ$9=1,$E$9,-$E$9)*SIN($AR$5-$AP$5))/3.28084)</f>
        <v/>
      </c>
      <c r="U9" s="437">
        <f>IF($Q$13=1,$U$7+(IF($AJ$9=1,$E$9,-$E$9)*COS($AP$5)+IF($AL$9=1,$G$9,-$G$9)*SIN($AP$5))/3.28084,$U$7+(IF($AJ$9=1,$E$9,-$E$9)*COS($AR$5-$AP$5)-IF($AL$9=1,$G$9,-$G$9)*SIN($AR$5-$AP$5))/3.28084)</f>
        <v/>
      </c>
      <c r="V9" s="387">
        <f>$V$7</f>
        <v/>
      </c>
      <c r="X9" s="750" t="n"/>
      <c r="Y9" s="157" t="n"/>
      <c r="Z9" s="157" t="n"/>
      <c r="AA9" s="157" t="n"/>
      <c r="AB9" s="157" t="n"/>
      <c r="AC9" s="157" t="n"/>
      <c r="AD9" s="157" t="n"/>
      <c r="AE9" s="157" t="n"/>
      <c r="AF9" s="157" t="n"/>
      <c r="AG9" s="751" t="n"/>
      <c r="AI9" s="386">
        <f>IF($AJ$9=1,$E$9,-$E$9)*COS(RADIANS($AJ$7))-IF($AL$9=1,$G$9,-$G$9)*SIN(RADIANS($AJ$7))</f>
        <v/>
      </c>
      <c r="AJ9" s="385">
        <f>IF(F9="N",1,2)</f>
        <v/>
      </c>
      <c r="AK9" s="437">
        <f>IF($AL$9=1,$G$9,-$G$9)*COS(RADIANS($AJ$7))+IF($AJ$9=1,$E$9,-$E$9)*SIN(RADIANS($AJ$7))</f>
        <v/>
      </c>
      <c r="AL9" s="384">
        <f>IF(H9="E",1,2)</f>
        <v/>
      </c>
    </row>
    <row r="10" ht="15.75" customHeight="1" s="613" thickBot="1">
      <c r="B10" s="610" t="inlineStr">
        <is>
          <t>Total Depth</t>
        </is>
      </c>
      <c r="C10" s="611" t="n"/>
      <c r="D10" s="452">
        <f>DxSurvey!C10</f>
        <v/>
      </c>
      <c r="E10" s="453">
        <f>ABS(DxSurvey!D10)</f>
        <v/>
      </c>
      <c r="F10" s="454">
        <f>IF(DxSurvey!D10&gt;=0,"N","S")</f>
        <v/>
      </c>
      <c r="G10" s="455">
        <f>ABS(DxSurvey!E10)</f>
        <v/>
      </c>
      <c r="H10" s="611">
        <f>IF(DxSurvey!E10&gt;=0,"E","W")</f>
        <v/>
      </c>
      <c r="I10" s="435">
        <f>IF(ISNUMBER($AE$88),$AE$88,IF(ISNUMBER($AG$88),$AG$88,IF(ISNUMBER($AI$88),$AI$88,IF(ISNUMBER($AK$88),$AK$88,IF(ISNUMBER('BHL Section 1'!$I$10),'BHL Section 1'!$I$10,IF(ISNUMBER('BHL Section 2'!$I$10),'BHL Section 2'!$I$10,IF(ISNUMBER('BHL Section 3'!$I$10),'BHL Section 3'!$I$10,"")))))))</f>
        <v/>
      </c>
      <c r="J10" s="382">
        <f>IF(ISNUMBER($AE$88),$AE$83,IF(ISNUMBER($AG$88),$AG$83,IF(ISNUMBER($AI$88),$AI$83,IF(ISNUMBER($AK$88),$AK$83,IF(ISNUMBER('BHL Section 1'!$I$10),'BHL Section 1'!$J$10,IF(ISNUMBER('BHL Section 2'!$I$10),'BHL Section 2'!$J$10,IF(ISNUMBER('BHL Section 3'!$I$10),'BHL Section 3'!$J$10,"")))))))</f>
        <v/>
      </c>
      <c r="K10" s="434">
        <f>IF(ISNUMBER($AF$88),$AF$88,IF(ISNUMBER($AH$88),$AH$88,IF(ISNUMBER($AJ$88),$AJ$88,IF(ISNUMBER($AL$88),$AL$88,IF(ISNUMBER('BHL Section 1'!$K$10),'BHL Section 1'!$K$10,IF(ISNUMBER('BHL Section 2'!$K$10),'BHL Section 2'!$K$10,IF(ISNUMBER('BHL Section 3'!$K$10),'BHL Section 3'!$K$10,"")))))))</f>
        <v/>
      </c>
      <c r="L10" s="383">
        <f>IF(ISNUMBER($AF$88),$AF$83,IF(ISNUMBER($AH$88),$AH$83,IF(ISNUMBER($AJ$88),$AJ$83,IF(ISNUMBER($AL$88),$AL$83,IF(ISNUMBER('BHL Section 1'!$K$10),'BHL Section 1'!$L$10,IF(ISNUMBER('BHL Section 2'!$K$10),'BHL Section 2'!$L$10,IF(ISNUMBER('BHL Section 3'!$K$10),'BHL Section 3'!$L$10,"")))))))</f>
        <v/>
      </c>
      <c r="M10" s="382">
        <f>IF(OR(ISNUMBER($AE$80),ISNUMBER($AG$80),ISNUMBER($AI$80),ISNUMBER($AK$80)),VLOOKUP(MAX($AE$80:$AL$80),$AV$56:$AZ$59,1+IF(ISNUMBER($AE$80),$AE$46,IF(ISNUMBER($AG$80),$AG$46,IF(ISNUMBER($AI$80),$AI$46,IF(ISNUMBER($AK$80),$AK$46,"")))),FALSE),IF(AND(ISNUMBER('BHL Section 1'!$I$10),ISNUMBER('BHL Section 1'!$K$10)),'BHL Section 1'!$M$10,IF(AND(ISNUMBER('BHL Section 2'!$I$10),ISNUMBER('BHL Section 2'!$K$10)),'BHL Section 2'!$M$10,IF(AND(ISNUMBER('BHL Section 3'!$I$10),ISNUMBER('BHL Section 3'!$K$10)),'BHL Section 3'!$M$10,""))))</f>
        <v/>
      </c>
      <c r="N10" s="382">
        <f>IF(MAX($AE$80:$AL$80)&gt;0,$N$7,IF(MAX('BHL Section 1'!$AE$80:$AL$80)&gt;0,'BHL Section 1'!$L$38,IF(MAX('BHL Section 2'!$AE$80:$AL$80)&gt;0,'BHL Section 2'!$L$38,IF(MAX('BHL Section 3'!$AE$80:$AL$80)&gt;0,'BHL Section 3'!$L$38,""))))</f>
        <v/>
      </c>
      <c r="O10" s="381">
        <f>$O$7</f>
        <v/>
      </c>
      <c r="P10" s="381">
        <f>IF('SHL Section'!$P$7=1,"N","S")</f>
        <v/>
      </c>
      <c r="Q10" s="381">
        <f>$Q$7</f>
        <v/>
      </c>
      <c r="R10" s="381">
        <f>IF('SHL Section'!$R$7=1,"E","W")</f>
        <v/>
      </c>
      <c r="S10" s="381">
        <f>IF($S$7=1,"Salt Lake","Uintah")</f>
        <v/>
      </c>
      <c r="T10" s="380">
        <f>IF($Q$13=1,$T$7+(IF($AL$10=1,$G$10,-$G$10)*COS($AP$5)-IF($AJ$10=1,$E$10,-$E$10)*SIN($AP$5))/3.28084,$T$7+(IF($AL$10=1,$G$10,-$G$10)*COS($AR$5-$AP$5)+IF($AJ$10=1,$E$10,-$E$10)*SIN($AR$5-$AP$5))/3.28084)</f>
        <v/>
      </c>
      <c r="U10" s="434">
        <f>IF($Q$13=1,$U$7+(IF($AJ$10=1,$E$10,-$E$10)*COS($AP$5)+IF($AL$10=1,$G$10,-$G$10)*SIN($AP$5))/3.28084,$U$7+(IF($AJ$10=1,$E$10,-$E$10)*COS($AR$5-$AP$5)-IF($AL$10=1,$G$10,-$G$10)*SIN($AR$5-$AP$5))/3.28084)</f>
        <v/>
      </c>
      <c r="V10" s="379">
        <f>$V$7</f>
        <v/>
      </c>
      <c r="X10" s="753" t="n"/>
      <c r="Y10" s="744" t="n"/>
      <c r="Z10" s="744" t="n"/>
      <c r="AA10" s="744" t="n"/>
      <c r="AB10" s="744" t="n"/>
      <c r="AC10" s="744" t="n"/>
      <c r="AD10" s="744" t="n"/>
      <c r="AE10" s="744" t="n"/>
      <c r="AF10" s="744" t="n"/>
      <c r="AG10" s="754" t="n"/>
      <c r="AI10" s="378">
        <f>IF($AJ$10=1,$E$10,-$E$10)*COS(RADIANS($AJ$7))-IF($AL$10=1,$G$10,-$G$10)*SIN(RADIANS($AJ$7))</f>
        <v/>
      </c>
      <c r="AJ10" s="456">
        <f>IF(F10="N",1,2)</f>
        <v/>
      </c>
      <c r="AK10" s="434">
        <f>IF($AL$10=1,$G$10,-$G$10)*COS(RADIANS($AJ$7))+IF($AJ$10=1,$E$10,-$E$10)*SIN(RADIANS($AJ$7))</f>
        <v/>
      </c>
      <c r="AL10" s="377">
        <f>IF(H10="E",1,2)</f>
        <v/>
      </c>
      <c r="BZ10" s="693" t="n"/>
      <c r="CA10" s="693" t="n"/>
    </row>
    <row r="11">
      <c r="G11" s="376" t="n"/>
      <c r="H11" s="360" t="n"/>
      <c r="I11" s="360" t="n"/>
      <c r="J11" s="360" t="n"/>
      <c r="K11" s="360" t="n"/>
      <c r="L11" s="360" t="n"/>
      <c r="M11" s="360" t="n"/>
      <c r="N11" s="360" t="n"/>
      <c r="O11" s="360" t="n"/>
      <c r="P11" s="360" t="n"/>
      <c r="Q11" s="360" t="n"/>
      <c r="R11" s="360" t="n"/>
      <c r="S11" s="375" t="n"/>
      <c r="T11" s="360" t="n"/>
      <c r="U11" s="360" t="n"/>
      <c r="V11" s="360" t="n"/>
      <c r="W11" s="360" t="n"/>
      <c r="AE11" s="360" t="n"/>
      <c r="AF11" s="360" t="n"/>
      <c r="BZ11" s="693" t="n"/>
      <c r="CA11" s="693" t="n"/>
      <c r="CB11" s="693" t="n"/>
      <c r="CC11" s="693" t="n"/>
    </row>
    <row r="12">
      <c r="B12" s="374" t="inlineStr">
        <is>
          <t xml:space="preserve">For single section line bearing and distance, input in green shaded area. </t>
        </is>
      </c>
      <c r="C12" s="373" t="n"/>
      <c r="D12" s="373" t="n"/>
      <c r="E12" s="373" t="n"/>
      <c r="F12" s="373" t="n"/>
      <c r="G12" s="373" t="n"/>
      <c r="H12" s="373" t="n"/>
      <c r="I12" s="373" t="n"/>
      <c r="J12" s="373" t="n"/>
      <c r="K12" s="373" t="n"/>
      <c r="L12" s="360" t="n"/>
      <c r="M12" s="360" t="n"/>
      <c r="N12" s="696" t="inlineStr">
        <is>
          <t>Directional Survey Correction</t>
        </is>
      </c>
      <c r="O12" s="616" t="n"/>
      <c r="P12" s="616" t="n"/>
      <c r="Q12" s="617" t="n"/>
      <c r="R12" s="360" t="n"/>
      <c r="S12" s="372" t="inlineStr">
        <is>
          <t>Plat SHL</t>
        </is>
      </c>
      <c r="T12" s="371" t="inlineStr">
        <is>
          <t>Latitude</t>
        </is>
      </c>
      <c r="U12" s="370" t="inlineStr">
        <is>
          <t>Longitude</t>
        </is>
      </c>
      <c r="Z12" s="300" t="n"/>
      <c r="AA12" s="640" t="inlineStr">
        <is>
          <t>Directional Survey Interpolation</t>
        </is>
      </c>
      <c r="AB12" s="339" t="n"/>
      <c r="AC12" s="339" t="n"/>
      <c r="AD12" s="339" t="n"/>
      <c r="AE12" s="338" t="n"/>
      <c r="AF12" s="360" t="n"/>
      <c r="AG12" s="360" t="n"/>
      <c r="AH12" s="358" t="n"/>
      <c r="AI12" s="360" t="n"/>
      <c r="AJ12" s="360" t="n"/>
      <c r="AK12" s="360" t="n"/>
      <c r="AL12" s="360" t="n"/>
      <c r="AM12" s="360" t="n"/>
      <c r="BZ12" s="693" t="n"/>
      <c r="CA12" s="693" t="n"/>
    </row>
    <row r="13">
      <c r="B13" s="369" t="inlineStr">
        <is>
          <t xml:space="preserve">For single quarter section line bearing and distance, input in either of two areas. </t>
        </is>
      </c>
      <c r="C13" s="368" t="n"/>
      <c r="D13" s="368" t="n"/>
      <c r="E13" s="368" t="n"/>
      <c r="F13" s="368" t="n"/>
      <c r="G13" s="368" t="n"/>
      <c r="H13" s="368" t="n"/>
      <c r="I13" s="368" t="n"/>
      <c r="J13" s="368" t="n"/>
      <c r="K13" s="368" t="n"/>
      <c r="L13" s="360" t="n"/>
      <c r="M13" s="360" t="n"/>
      <c r="N13" s="367" t="inlineStr">
        <is>
          <t>Survey North Reference</t>
        </is>
      </c>
      <c r="O13" s="366" t="n"/>
      <c r="P13" s="365" t="n"/>
      <c r="Q13" s="364" t="n">
        <v>2</v>
      </c>
      <c r="R13" s="360" t="n"/>
      <c r="S13" s="363" t="inlineStr">
        <is>
          <t>deg. (dd)</t>
        </is>
      </c>
      <c r="T13" s="362" t="n"/>
      <c r="U13" s="361" t="n"/>
      <c r="V13" s="360" t="n"/>
      <c r="W13" s="360" t="n"/>
      <c r="X13" s="360" t="n"/>
      <c r="Y13" s="360" t="n"/>
      <c r="Z13" s="478" t="n"/>
      <c r="AA13" s="360" t="n"/>
      <c r="AB13" s="451" t="inlineStr">
        <is>
          <t>MD</t>
        </is>
      </c>
      <c r="AC13" s="451" t="inlineStr">
        <is>
          <t>TVD</t>
        </is>
      </c>
      <c r="AD13" s="451" t="inlineStr">
        <is>
          <t>N-S</t>
        </is>
      </c>
      <c r="AE13" s="359" t="inlineStr">
        <is>
          <t>E-W</t>
        </is>
      </c>
      <c r="AF13" s="360" t="n"/>
      <c r="AG13" s="360" t="n"/>
      <c r="AH13" s="358" t="n"/>
      <c r="AI13" s="360" t="n"/>
      <c r="AJ13" s="360" t="n"/>
      <c r="AK13" s="360" t="n"/>
      <c r="AL13" s="360" t="n"/>
      <c r="AM13" s="360" t="n"/>
      <c r="BZ13" s="693" t="n"/>
      <c r="CA13" s="693" t="n"/>
    </row>
    <row r="14">
      <c r="L14" s="360" t="n"/>
      <c r="M14" s="360" t="n"/>
      <c r="N14" s="459" t="inlineStr">
        <is>
          <t>Convergence Angle</t>
        </is>
      </c>
      <c r="O14" s="460" t="n"/>
      <c r="P14" s="755" t="n">
        <v>0.92</v>
      </c>
      <c r="Q14" s="461" t="inlineStr">
        <is>
          <t>(d.ddd)</t>
        </is>
      </c>
      <c r="R14" s="360" t="n"/>
      <c r="S14" s="357" t="inlineStr">
        <is>
          <t>min. (mm)</t>
        </is>
      </c>
      <c r="T14" s="356" t="n"/>
      <c r="U14" s="355" t="n"/>
      <c r="V14" s="360" t="n"/>
      <c r="W14" s="360" t="n"/>
      <c r="X14" s="360" t="n"/>
      <c r="Y14" s="360" t="n"/>
      <c r="Z14" s="478" t="n"/>
      <c r="AA14" s="351" t="inlineStr">
        <is>
          <t>Survey Pt. 1</t>
        </is>
      </c>
      <c r="AB14" s="354" t="n">
        <v>7891</v>
      </c>
      <c r="AC14" s="756" t="n">
        <v>7531.67</v>
      </c>
      <c r="AD14" s="756" t="n">
        <v>954.42</v>
      </c>
      <c r="AE14" s="757" t="n">
        <v>91.03</v>
      </c>
      <c r="BZ14" s="693" t="n"/>
      <c r="CA14" s="693" t="n"/>
    </row>
    <row r="15">
      <c r="L15" s="360" t="n"/>
      <c r="M15" s="360" t="n"/>
      <c r="N15" s="360" t="n"/>
      <c r="O15" s="360" t="n"/>
      <c r="P15" s="360" t="n"/>
      <c r="Q15" s="360" t="n"/>
      <c r="R15" s="360" t="n"/>
      <c r="S15" s="350" t="inlineStr">
        <is>
          <t>sec. (ss.ss)</t>
        </is>
      </c>
      <c r="T15" s="353" t="n"/>
      <c r="U15" s="352" t="n"/>
      <c r="V15" s="360" t="n"/>
      <c r="W15" s="360" t="n"/>
      <c r="X15" s="360" t="n"/>
      <c r="Y15" s="360" t="n"/>
      <c r="Z15" s="478" t="n"/>
      <c r="AA15" s="351" t="inlineStr">
        <is>
          <t>Survey Pt. 2</t>
        </is>
      </c>
      <c r="AB15" s="479" t="n">
        <v>7964</v>
      </c>
      <c r="AC15" s="756" t="n">
        <v>7535.7</v>
      </c>
      <c r="AD15" s="756" t="n">
        <v>1027.23</v>
      </c>
      <c r="AE15" s="757" t="n">
        <v>93.97</v>
      </c>
      <c r="AF15" s="342" t="n"/>
      <c r="AG15" s="342" t="n"/>
      <c r="AH15" s="342" t="n"/>
      <c r="AI15" s="342" t="n"/>
      <c r="AJ15" s="342" t="n"/>
      <c r="AK15" s="342" t="n"/>
      <c r="AL15" s="342" t="n"/>
      <c r="AM15" s="342" t="n"/>
      <c r="AN15" s="342" t="n"/>
      <c r="AO15" s="342" t="n"/>
      <c r="AP15" s="342" t="n"/>
      <c r="AQ15" s="342" t="n"/>
      <c r="AR15" s="342" t="n"/>
      <c r="AS15" s="342" t="n"/>
      <c r="AT15" s="342" t="n"/>
      <c r="AU15" s="342" t="n"/>
      <c r="AV15" s="342" t="n"/>
      <c r="AW15" s="342" t="n"/>
      <c r="AX15" s="342" t="n"/>
      <c r="AY15" s="342" t="n"/>
      <c r="AZ15" s="342" t="n"/>
      <c r="BA15" s="342" t="n"/>
      <c r="BB15" s="342" t="n"/>
      <c r="BC15" s="342" t="n"/>
      <c r="BD15" s="342" t="n"/>
      <c r="BE15" s="342" t="n"/>
      <c r="BF15" s="342" t="n"/>
      <c r="BG15" s="342" t="n"/>
      <c r="BH15" s="342" t="n"/>
      <c r="BI15" s="342" t="n"/>
      <c r="BJ15" s="342" t="n"/>
      <c r="BK15" s="342" t="n"/>
      <c r="BL15" s="342" t="n"/>
      <c r="BM15" s="342" t="n"/>
      <c r="BN15" s="342" t="n"/>
      <c r="BO15" s="342" t="n"/>
      <c r="BP15" s="342" t="n"/>
      <c r="BQ15" s="342" t="n"/>
      <c r="BR15" s="342" t="n"/>
      <c r="BS15" s="342" t="n"/>
      <c r="BT15" s="342" t="n"/>
      <c r="BU15" s="342" t="n"/>
      <c r="BV15" s="342" t="n"/>
      <c r="BW15" s="342" t="n"/>
      <c r="BX15" s="342" t="n"/>
      <c r="BY15" s="342" t="n"/>
      <c r="BZ15" s="342" t="n"/>
      <c r="CA15" s="342" t="n"/>
      <c r="CB15" s="341" t="n"/>
    </row>
    <row r="16" customFormat="1" s="341">
      <c r="L16" s="360" t="n"/>
      <c r="M16" s="360" t="n"/>
      <c r="S16" s="350" t="inlineStr">
        <is>
          <t xml:space="preserve"> or dec.</t>
        </is>
      </c>
      <c r="T16" s="758" t="n">
        <v>40.207409</v>
      </c>
      <c r="U16" s="759" t="n">
        <v>110.312008</v>
      </c>
      <c r="Y16" s="689" t="n"/>
      <c r="Z16" s="297" t="n"/>
      <c r="AA16" s="349" t="inlineStr">
        <is>
          <t>Reference Depth</t>
        </is>
      </c>
      <c r="AB16" s="348" t="n">
        <v>7914</v>
      </c>
      <c r="AC16" s="760">
        <f>AC$14+(AC$15-AC$14)/($AB$15-$AB$14)*($AB$16-$AB$14)</f>
        <v/>
      </c>
      <c r="AD16" s="760">
        <f>AD$14+(AD$15-AD$14)/($AB$15-$AB$14)*($AB$16-$AB$14)</f>
        <v/>
      </c>
      <c r="AE16" s="761">
        <f>AE$14+(AE$15-AE$14)/($AB$15-$AB$14)*($AB$16-$AB$14)</f>
        <v/>
      </c>
      <c r="AF16" s="342" t="n"/>
      <c r="AG16" s="342" t="n"/>
      <c r="AH16" s="342" t="n"/>
      <c r="AI16" s="342" t="n"/>
      <c r="AJ16" s="342" t="n"/>
      <c r="AK16" s="342" t="n"/>
      <c r="AL16" s="342" t="n"/>
      <c r="AM16" s="342" t="n"/>
      <c r="AN16" s="342" t="n"/>
      <c r="AO16" s="342" t="n"/>
      <c r="AP16" s="342" t="n"/>
      <c r="AQ16" s="342" t="n"/>
      <c r="AR16" s="342" t="n"/>
      <c r="AS16" s="342" t="n"/>
      <c r="AT16" s="342" t="n"/>
      <c r="AU16" s="342" t="n"/>
      <c r="AV16" s="342" t="n"/>
      <c r="AW16" s="342" t="n"/>
      <c r="AX16" s="342" t="n"/>
      <c r="AY16" s="342" t="n"/>
      <c r="AZ16" s="342" t="n"/>
      <c r="BA16" s="342" t="n"/>
      <c r="BB16" s="342" t="n"/>
      <c r="BC16" s="342" t="n"/>
      <c r="BD16" s="342" t="n"/>
      <c r="BE16" s="342" t="n"/>
      <c r="BF16" s="342" t="n"/>
      <c r="BG16" s="342" t="n"/>
      <c r="BH16" s="342" t="n"/>
      <c r="BI16" s="342" t="n"/>
      <c r="BJ16" s="342" t="n"/>
      <c r="BK16" s="342" t="n"/>
      <c r="BL16" s="342" t="n"/>
      <c r="BM16" s="342" t="n"/>
      <c r="BN16" s="342" t="n"/>
      <c r="BO16" s="342" t="n"/>
      <c r="BP16" s="342" t="n"/>
      <c r="BQ16" s="342" t="n"/>
      <c r="BR16" s="342" t="n"/>
      <c r="BS16" s="342" t="n"/>
      <c r="BT16" s="342" t="n"/>
      <c r="BU16" s="342" t="n"/>
      <c r="BV16" s="342" t="n"/>
      <c r="BW16" s="342" t="n"/>
      <c r="BX16" s="342" t="n"/>
      <c r="BY16" s="342" t="n"/>
      <c r="BZ16" s="342" t="n"/>
      <c r="CA16" s="342" t="n"/>
    </row>
    <row r="17" customFormat="1" s="341">
      <c r="B17" s="623" t="n"/>
      <c r="F17" s="503" t="inlineStr">
        <is>
          <t>OVERRIDE</t>
        </is>
      </c>
      <c r="L17" s="503" t="inlineStr">
        <is>
          <t>OVERRIDE</t>
        </is>
      </c>
      <c r="P17" s="503" t="inlineStr">
        <is>
          <t>OVERRIDE</t>
        </is>
      </c>
      <c r="V17" s="503" t="inlineStr">
        <is>
          <t>OVERRIDE</t>
        </is>
      </c>
      <c r="Y17" s="689" t="n"/>
      <c r="Z17" s="689" t="n"/>
      <c r="AA17" s="689" t="n"/>
      <c r="AB17" s="689" t="n"/>
      <c r="AC17" s="676" t="inlineStr">
        <is>
          <t>Distances from Section and Quarter Corners</t>
        </is>
      </c>
      <c r="AD17" s="677" t="n"/>
      <c r="AE17" s="677" t="n"/>
      <c r="AF17" s="677" t="n"/>
      <c r="AG17" s="677" t="n"/>
      <c r="AH17" s="677" t="n"/>
      <c r="AI17" s="677" t="n"/>
      <c r="AJ17" s="677" t="n"/>
      <c r="AK17" s="677" t="n"/>
      <c r="AL17" s="677" t="n"/>
      <c r="AM17" s="677" t="n"/>
      <c r="AN17" s="677" t="n"/>
      <c r="AO17" s="677" t="n"/>
      <c r="AP17" s="677" t="n"/>
      <c r="AQ17" s="677" t="n"/>
      <c r="AR17" s="677" t="n"/>
      <c r="AS17" s="677" t="n"/>
      <c r="AT17" s="677" t="n"/>
      <c r="AU17" s="335" t="inlineStr">
        <is>
          <t>Qtr-Qtr Section</t>
        </is>
      </c>
      <c r="AV17" s="674" t="inlineStr">
        <is>
          <t>1 N-NENE</t>
        </is>
      </c>
      <c r="AW17" s="675" t="n"/>
      <c r="AX17" s="674" t="inlineStr">
        <is>
          <t>2 N-NWNE</t>
        </is>
      </c>
      <c r="AY17" s="675" t="n"/>
      <c r="AZ17" s="674" t="inlineStr">
        <is>
          <t>3 N-NENW</t>
        </is>
      </c>
      <c r="BA17" s="675" t="n"/>
      <c r="BB17" s="674" t="inlineStr">
        <is>
          <t>4 N-NWNW</t>
        </is>
      </c>
      <c r="BC17" s="675" t="n"/>
      <c r="BD17" s="674" t="inlineStr">
        <is>
          <t>5 W-NWNW</t>
        </is>
      </c>
      <c r="BE17" s="675" t="n"/>
      <c r="BF17" s="674" t="inlineStr">
        <is>
          <t>6 W-SWNW</t>
        </is>
      </c>
      <c r="BG17" s="675" t="n"/>
      <c r="BH17" s="674" t="inlineStr">
        <is>
          <t>7 W-NWSW</t>
        </is>
      </c>
      <c r="BI17" s="675" t="n"/>
      <c r="BJ17" s="674" t="inlineStr">
        <is>
          <t>8 W-SWSW</t>
        </is>
      </c>
      <c r="BK17" s="675" t="n"/>
      <c r="BL17" s="674" t="inlineStr">
        <is>
          <t>9 S-SWSW</t>
        </is>
      </c>
      <c r="BM17" s="675" t="n"/>
      <c r="BN17" s="674" t="inlineStr">
        <is>
          <t>10 S-SESW</t>
        </is>
      </c>
      <c r="BO17" s="675" t="n"/>
      <c r="BP17" s="674" t="inlineStr">
        <is>
          <t>11 S-SWSE</t>
        </is>
      </c>
      <c r="BQ17" s="675" t="n"/>
      <c r="BR17" s="674" t="inlineStr">
        <is>
          <t>12 S-SESE</t>
        </is>
      </c>
      <c r="BS17" s="675" t="n"/>
      <c r="BT17" s="674" t="inlineStr">
        <is>
          <t>13 E-SESE</t>
        </is>
      </c>
      <c r="BU17" s="675" t="n"/>
      <c r="BV17" s="674" t="inlineStr">
        <is>
          <t>14 E-NESE</t>
        </is>
      </c>
      <c r="BW17" s="675" t="n"/>
      <c r="BX17" s="674" t="inlineStr">
        <is>
          <t>15 E-SENE</t>
        </is>
      </c>
      <c r="BY17" s="675" t="n"/>
      <c r="BZ17" s="674" t="inlineStr">
        <is>
          <t>16 E-NENE</t>
        </is>
      </c>
      <c r="CA17" s="675" t="n"/>
    </row>
    <row r="18">
      <c r="B18" s="347" t="n"/>
      <c r="C18" s="346" t="n"/>
      <c r="D18" s="429" t="inlineStr">
        <is>
          <t>dist.</t>
        </is>
      </c>
      <c r="E18" s="301">
        <f>IF(NOT(ISBLANK(F18)),F18,DGET('Grid Numbers'!$A$2:$L$4952,'Grid Numbers'!$H$2,$L$66:$R$67))</f>
        <v/>
      </c>
      <c r="F18" s="504" t="n"/>
      <c r="G18" s="346" t="n"/>
      <c r="H18" s="346" t="n"/>
      <c r="I18" s="346" t="n"/>
      <c r="J18" s="429" t="inlineStr">
        <is>
          <t>dist.</t>
        </is>
      </c>
      <c r="K18" s="303">
        <f>IF(NOT(ISBLANK(L18)),L18,DGET('Grid Numbers'!$A$2:$L$4952,'Grid Numbers'!$H$2,$L$68:$R$69))</f>
        <v/>
      </c>
      <c r="L18" s="506" t="n"/>
      <c r="N18" s="429" t="inlineStr">
        <is>
          <t>dist.</t>
        </is>
      </c>
      <c r="O18" s="301">
        <f>IF(NOT(ISBLANK(P18)),P18,DGET('Grid Numbers'!$A$2:$L$4952,'Grid Numbers'!$H$2,$L$70:$R$71))</f>
        <v/>
      </c>
      <c r="P18" s="505" t="n"/>
      <c r="T18" s="429" t="inlineStr">
        <is>
          <t>dist.</t>
        </is>
      </c>
      <c r="U18" s="301">
        <f>IF(NOT(ISBLANK(V18)),V18,DGET('Grid Numbers'!$A$2:$L$4952,'Grid Numbers'!$H$2,$L$72:$R$73))</f>
        <v/>
      </c>
      <c r="V18" s="505" t="n"/>
      <c r="AA18" s="689" t="n"/>
      <c r="AB18" s="689" t="n"/>
      <c r="AC18" s="300" t="n"/>
      <c r="AD18" s="342" t="n"/>
      <c r="AE18" s="674" t="inlineStr">
        <is>
          <t>NE SC</t>
        </is>
      </c>
      <c r="AF18" s="675" t="n"/>
      <c r="AG18" s="674" t="inlineStr">
        <is>
          <t>NW SC</t>
        </is>
      </c>
      <c r="AH18" s="675" t="n"/>
      <c r="AI18" s="674" t="inlineStr">
        <is>
          <t>SW SC</t>
        </is>
      </c>
      <c r="AJ18" s="675" t="n"/>
      <c r="AK18" s="674" t="inlineStr">
        <is>
          <t>SE SC</t>
        </is>
      </c>
      <c r="AL18" s="675" t="n"/>
      <c r="AM18" s="674" t="inlineStr">
        <is>
          <t>N QC</t>
        </is>
      </c>
      <c r="AN18" s="675" t="n"/>
      <c r="AO18" s="674" t="inlineStr">
        <is>
          <t>W QC</t>
        </is>
      </c>
      <c r="AP18" s="675" t="n"/>
      <c r="AQ18" s="674" t="inlineStr">
        <is>
          <t>S QC</t>
        </is>
      </c>
      <c r="AR18" s="675" t="n"/>
      <c r="AS18" s="674" t="inlineStr">
        <is>
          <t>E QC</t>
        </is>
      </c>
      <c r="AT18" s="675" t="n"/>
      <c r="AU18" s="335" t="inlineStr">
        <is>
          <t>N-S &amp; E-W</t>
        </is>
      </c>
      <c r="AV18" s="467" t="inlineStr">
        <is>
          <t>N-S</t>
        </is>
      </c>
      <c r="AW18" s="468" t="inlineStr">
        <is>
          <t>E-W</t>
        </is>
      </c>
      <c r="AX18" s="467" t="inlineStr">
        <is>
          <t>N-S</t>
        </is>
      </c>
      <c r="AY18" s="468" t="inlineStr">
        <is>
          <t>E-W</t>
        </is>
      </c>
      <c r="AZ18" s="467" t="inlineStr">
        <is>
          <t>N-S</t>
        </is>
      </c>
      <c r="BA18" s="468" t="inlineStr">
        <is>
          <t>E-W</t>
        </is>
      </c>
      <c r="BB18" s="467" t="inlineStr">
        <is>
          <t>N-S</t>
        </is>
      </c>
      <c r="BC18" s="468" t="inlineStr">
        <is>
          <t>E-W</t>
        </is>
      </c>
      <c r="BD18" s="467" t="inlineStr">
        <is>
          <t>N-S</t>
        </is>
      </c>
      <c r="BE18" s="468" t="inlineStr">
        <is>
          <t>E-W</t>
        </is>
      </c>
      <c r="BF18" s="467" t="inlineStr">
        <is>
          <t>N-S</t>
        </is>
      </c>
      <c r="BG18" s="468" t="inlineStr">
        <is>
          <t>E-W</t>
        </is>
      </c>
      <c r="BH18" s="467" t="inlineStr">
        <is>
          <t>N-S</t>
        </is>
      </c>
      <c r="BI18" s="468" t="inlineStr">
        <is>
          <t>E-W</t>
        </is>
      </c>
      <c r="BJ18" s="467" t="inlineStr">
        <is>
          <t>N-S</t>
        </is>
      </c>
      <c r="BK18" s="468" t="inlineStr">
        <is>
          <t>E-W</t>
        </is>
      </c>
      <c r="BL18" s="467" t="inlineStr">
        <is>
          <t>N-S</t>
        </is>
      </c>
      <c r="BM18" s="468" t="inlineStr">
        <is>
          <t>E-W</t>
        </is>
      </c>
      <c r="BN18" s="467" t="inlineStr">
        <is>
          <t>N-S</t>
        </is>
      </c>
      <c r="BO18" s="468" t="inlineStr">
        <is>
          <t>E-W</t>
        </is>
      </c>
      <c r="BP18" s="467" t="inlineStr">
        <is>
          <t>N-S</t>
        </is>
      </c>
      <c r="BQ18" s="468" t="inlineStr">
        <is>
          <t>E-W</t>
        </is>
      </c>
      <c r="BR18" s="467" t="inlineStr">
        <is>
          <t>N-S</t>
        </is>
      </c>
      <c r="BS18" s="468" t="inlineStr">
        <is>
          <t>E-W</t>
        </is>
      </c>
      <c r="BT18" s="467" t="inlineStr">
        <is>
          <t>N-S</t>
        </is>
      </c>
      <c r="BU18" s="468" t="inlineStr">
        <is>
          <t>E-W</t>
        </is>
      </c>
      <c r="BV18" s="467" t="inlineStr">
        <is>
          <t>N-S</t>
        </is>
      </c>
      <c r="BW18" s="468" t="inlineStr">
        <is>
          <t>E-W</t>
        </is>
      </c>
      <c r="BX18" s="467" t="inlineStr">
        <is>
          <t>N-S</t>
        </is>
      </c>
      <c r="BY18" s="468" t="inlineStr">
        <is>
          <t>E-W</t>
        </is>
      </c>
      <c r="BZ18" s="467" t="inlineStr">
        <is>
          <t>N-S</t>
        </is>
      </c>
      <c r="CA18" s="468" t="inlineStr">
        <is>
          <t>E-W</t>
        </is>
      </c>
    </row>
    <row r="19" ht="12" customHeight="1" s="613">
      <c r="B19" s="347" t="n"/>
      <c r="C19" s="346" t="n"/>
      <c r="D19" s="429" t="inlineStr">
        <is>
          <t>deg.</t>
        </is>
      </c>
      <c r="E19" s="295">
        <f>IF(NOT(ISBLANK(F19)),F19,DGET('Grid Numbers'!$A$2:$L$4952,'Grid Numbers'!$I$2,$L$66:$R$67))</f>
        <v/>
      </c>
      <c r="F19" s="504" t="n"/>
      <c r="G19" s="346" t="n"/>
      <c r="H19" s="346" t="n"/>
      <c r="I19" s="346" t="n"/>
      <c r="J19" s="429" t="inlineStr">
        <is>
          <t>deg.</t>
        </is>
      </c>
      <c r="K19" s="296">
        <f>IF(NOT(ISBLANK(L19)),L19,DGET('Grid Numbers'!$A$2:$L$4952,'Grid Numbers'!$I$2,$L$68:$R$69))</f>
        <v/>
      </c>
      <c r="L19" s="505" t="n"/>
      <c r="N19" s="429" t="inlineStr">
        <is>
          <t>deg.</t>
        </is>
      </c>
      <c r="O19" s="295">
        <f>IF(NOT(ISBLANK(P19)),P19,DGET('Grid Numbers'!$A$2:$L$4952,'Grid Numbers'!$I$2,$L$70:$R$71))</f>
        <v/>
      </c>
      <c r="P19" s="505" t="n"/>
      <c r="T19" s="429" t="inlineStr">
        <is>
          <t>deg.</t>
        </is>
      </c>
      <c r="U19" s="295">
        <f>IF(NOT(ISBLANK(V19)),V19,DGET('Grid Numbers'!$A$2:$L$4952,'Grid Numbers'!$I$2,$L$72:$R$73))</f>
        <v/>
      </c>
      <c r="V19" s="505" t="n"/>
      <c r="AA19" s="689" t="n"/>
      <c r="AB19" s="689" t="n"/>
      <c r="AC19" s="469" t="inlineStr">
        <is>
          <t>Quad</t>
        </is>
      </c>
      <c r="AD19" s="470" t="inlineStr">
        <is>
          <t>SHL/BHL</t>
        </is>
      </c>
      <c r="AE19" s="671" t="inlineStr">
        <is>
          <t>N-S</t>
        </is>
      </c>
      <c r="AF19" s="671" t="inlineStr">
        <is>
          <t>E-W</t>
        </is>
      </c>
      <c r="AG19" s="671" t="inlineStr">
        <is>
          <t>N-S</t>
        </is>
      </c>
      <c r="AH19" s="671" t="inlineStr">
        <is>
          <t>E-W</t>
        </is>
      </c>
      <c r="AI19" s="671" t="inlineStr">
        <is>
          <t>N-S</t>
        </is>
      </c>
      <c r="AJ19" s="671" t="inlineStr">
        <is>
          <t>E-W</t>
        </is>
      </c>
      <c r="AK19" s="671" t="inlineStr">
        <is>
          <t>N-S</t>
        </is>
      </c>
      <c r="AL19" s="671" t="inlineStr">
        <is>
          <t>E-W</t>
        </is>
      </c>
      <c r="AM19" s="671" t="inlineStr">
        <is>
          <t>N-S</t>
        </is>
      </c>
      <c r="AN19" s="671" t="inlineStr">
        <is>
          <t>E-W</t>
        </is>
      </c>
      <c r="AO19" s="671" t="inlineStr">
        <is>
          <t>N-S</t>
        </is>
      </c>
      <c r="AP19" s="671" t="inlineStr">
        <is>
          <t>E-W</t>
        </is>
      </c>
      <c r="AQ19" s="671" t="inlineStr">
        <is>
          <t>N-S</t>
        </is>
      </c>
      <c r="AR19" s="671" t="inlineStr">
        <is>
          <t>E-W</t>
        </is>
      </c>
      <c r="AS19" s="671" t="inlineStr">
        <is>
          <t>N-S</t>
        </is>
      </c>
      <c r="AT19" s="671" t="inlineStr">
        <is>
          <t>E-W</t>
        </is>
      </c>
      <c r="AU19" s="335" t="n"/>
      <c r="AV19" s="762">
        <f>IF(AND($U$18&gt;0,$O$18&gt;0),$U$18*SIN(RADIANS(90-$U$23)),IF(AND($U$18=0,$O$18&gt;0),$O$18/2*SIN(RADIANS(90-$O$23)),IF(AND($U$18&gt;0,$O$18=0),$U$18/2*SIN(RADIANS(90-$U$23)),IF(AND($U$18=0,$O$18=0,$K$18=0),$E$18/4*SIN(RADIANS(90-$E$23)),$K$18/4*SIN(RADIANS(90-$K$23))))))</f>
        <v/>
      </c>
      <c r="AW19" s="763">
        <f>IF(AND($U$18&gt;0,$O$18&gt;0),$U$18*COS(RADIANS(90-$U$23)),IF(AND($U$18=0,$O$18&gt;0),$O$18/2*COS(RADIANS(90-$O$23)),IF(AND($U$18&gt;0,$O$18=0),$U$18/2*COS(RADIANS(90-$U$23)),IF(AND($U$18=0,$O$18=0,$K$18=0),$E$18/4*COS(RADIANS(90-$E$23)),$K$18/4*COS(RADIANS(90-$K$23))))))</f>
        <v/>
      </c>
      <c r="AX19" s="762">
        <f>IF(AND($U$18&gt;0,$O$18&gt;0),$O$18*SIN(RADIANS(90-$O$23)),IF(AND($U$18=0,$O$18&gt;0),$O$18/2*SIN(RADIANS(90-$O$23)),IF(AND($U$18&gt;0,$O$18=0),$U$18/2*SIN(RADIANS(90-$U$23)),IF(AND($U$18=0,$O$18=0,$K$18=0),$E$18/4*SIN(RADIANS(90-$E$23)),$K$18/4*SIN(RADIANS(90-$K$23))))))</f>
        <v/>
      </c>
      <c r="AY19" s="763">
        <f>IF(AND($U$18&gt;0,$O$18&gt;0),$O$18*COS(RADIANS(90-$O$23)),IF(AND($U$18=0,$O$18&gt;0),$O$18/2*COS(RADIANS(90-$O$23)),IF(AND($U$18&gt;0,$O$18=0),$U$18/2*COS(RADIANS(90-$U$23)),IF(AND($U$18=0,$O$18=0,$K$18=0),$E$18/4*COS(RADIANS(90-$E$23)),$K$18/4*COS(RADIANS(90-$K$23))))))</f>
        <v/>
      </c>
      <c r="AZ19" s="762">
        <f>IF(AND($K$18&gt;0,$E$18&gt;0,OR($O$18&gt;0,$U$18&gt;0)),$K$18*SIN(RADIANS(90-$K$23)),IF(AND($K$18=0,$E$18&gt;0,OR($O$18&gt;0,$U$18&gt;0)),$E$18/2*SIN(RADIANS(90-$E$23)),IF(AND($K$18&gt;0,$E$18=0,OR($O$18&gt;0,$U$18&gt;0)),$K$18/2*SIN(RADIANS(90-$K$23)),IF(AND($K$18&gt;0,$O$18=0,$U$18=0),$K$18/4*SIN(RADIANS(90-$K$23)),$E$18/4*SIN(RADIANS(90-$E$23))))))</f>
        <v/>
      </c>
      <c r="BA19" s="763">
        <f>IF(AND($K$18&gt;0,$E$18&gt;0,OR($O$18&gt;0,$U$18&gt;0)),$K$18*COS(RADIANS(90-$K$23)),IF(AND($K$18=0,$E$18&gt;0,OR($O$18&gt;0,$U$18&gt;0)),$E$18/2*COS(RADIANS(90-$E$23)),IF(AND($K$18&gt;0,$E$18=0,OR($O$18&gt;0,$U$18&gt;0)),$K$18/2*COS(RADIANS(90-$K$23)),IF(AND($K$18&gt;0,$O$18=0,$U$18=0),$K$18/4*COS(RADIANS(90-$K$23)),$E$18/4*COS(RADIANS(90-$E$23))))))</f>
        <v/>
      </c>
      <c r="BB19" s="762">
        <f>IF(AND($K$18&gt;0,$E$18&gt;0,OR($O$18&gt;0,$U$18&gt;0)),$E$18*SIN(RADIANS(90-$E$23)),IF(AND($K$18=0,$E$18&gt;0,OR($O$18&gt;0,$U$18&gt;0)),$E$18/2*SIN(RADIANS(90-$E$23)),IF(AND($K$18&gt;0,$E$18=0,OR($O$18&gt;0,$U$18&gt;0)),$K$18/2*SIN(RADIANS(90-$K$23)),IF(AND($K$18&gt;0,$O$18=0,$U$18=0),$K$18/4*SIN(RADIANS(90-$K$23)),$E$18/4*SIN(RADIANS(90-$E$23))))))</f>
        <v/>
      </c>
      <c r="BC19" s="764">
        <f>IF(AND($K$18&gt;0,$E$18&gt;0,OR($O$18&gt;0,$U$18&gt;0)),$E$18*COS(RADIANS(90-$E$23)),IF(AND($K$18=0,$E$18&gt;0,OR($O$18&gt;0,$U$18&gt;0)),$E$18/2*COS(RADIANS(90-$E$23)),IF(AND($K$18&gt;0,$E$18=0,OR($O$18&gt;0,$U$18&gt;0)),$K$18/2*COS(RADIANS(90-$K$23)),IF(AND($K$18&gt;0,$O$18=0,$U$18=0),$K$18/4*COS(RADIANS(90-$K$23)),$E$18/4*COS(RADIANS(90-$E$23))))))</f>
        <v/>
      </c>
      <c r="BD19" s="762">
        <f>IF(AND($B$33&gt;0,$B$25&gt;0,OR($B$41&gt;0,$B$49&gt;0)),$B$25*COS(RADIANS(180-$B$30)),IF(AND($B$33=0,$B$25&gt;0,OR($B$41&gt;0,$B$49&gt;0)),$B$25/2*COS(RADIANS(180-$B$30)),IF(AND($B$33&gt;0,$B$25=0,OR($B$41&gt;0,$B$49&gt;0)),$B$33/2*COS(RADIANS(180-$B$38)),IF(AND($B$33&gt;0,$B$41=0,$B$49=0),$B$33/4*COS(RADIANS(180-$B$38)),$B$25/4*COS(RADIANS(180-$B$30))))))</f>
        <v/>
      </c>
      <c r="BE19" s="763">
        <f>IF(AND($B$33&gt;0,$B$25&gt;0,OR($B$41&gt;0,$B$49&gt;0)),$B$25*-SIN(RADIANS(180-$B$30)),IF(AND($B$33&gt;0,$B$25&gt;0,OR($B$41&gt;0,$B$49&gt;0)),$B$33*-SIN(RADIANS(180-$B$38)),IF(AND($B$33&gt;0,$B$25=0,OR($B$41&gt;0,$B$49&gt;0)),$B$33/2*-SIN(RADIANS(180-$B$38)),IF(AND($B$33&gt;0,$B$41=0,$B$49=0),$B$33/4*-SIN(RADIANS(180-$B$38)),$B$25/4*-SIN(RADIANS(180-$B$30))))))</f>
        <v/>
      </c>
      <c r="BF19" s="762">
        <f>IF(AND($B$33&gt;0,$B$25&gt;0,OR($B$41&gt;0,$B$49&gt;0)),$B$33*COS(RADIANS(180-$B$38)),IF(AND($B$33=0,$B$25&gt;0,OR($B$41&gt;0,$B$49&gt;0)),$B$25/2*COS(RADIANS(180-$B$30)),IF(AND($B$33&gt;0,$B$25=0,OR($B$41&gt;0,$B$49&gt;0)),$B$33/2*COS(RADIANS(180-$B$38)),IF(AND($B$33&gt;0,$B$41=0,$B$49=0),$B$33/4*COS(RADIANS(180-$B$38)),$B$25/4*COS(RADIANS(180-$B$30))))))</f>
        <v/>
      </c>
      <c r="BG19" s="763">
        <f>IF(AND($B$33&gt;0,$B$25&gt;0,OR($B$41&gt;0,$B$49&gt;0)),$B$33*-SIN(RADIANS(180-$B$38)),IF(AND($B$33&gt;0,$B$25&gt;0,OR($B$41&gt;0,$B$49&gt;0)),$B$33*-SIN(RADIANS(180-$B$38)),IF(AND($B$33&gt;0,$B$25=0,OR($B$41&gt;0,$B$49&gt;0)),$B$33/2*-SIN(RADIANS(180-$B$38)),IF(AND($B$33&gt;0,$B$41=0,$B$49=0),$B$33/4*-SIN(RADIANS(180-$B$38)),$B$25/4*-SIN(RADIANS(180-$B$30))))))</f>
        <v/>
      </c>
      <c r="BH19" s="762">
        <f>IF(AND($B$49&gt;0,$B$41&gt;0),$B$41*COS(RADIANS(180-$B$46)),IF(AND($B$49=0,$B$41&gt;0),$B$41/2*COS(RADIANS(180-$B$46)),IF(AND($B$49&gt;0,$B$41=0),$B$49/2*COS(RADIANS(180-$B$54)),IF(AND($B$49=0,$B$41=0,$B$33=0),$B$25/4*COS(RADIANS(180-$B$30)),$B$33/4*COS(RADIANS(180-$B$38))))))</f>
        <v/>
      </c>
      <c r="BI19" s="763">
        <f>IF(AND($B$49&gt;0,$B$41&gt;0),$B$41*-SIN(RADIANS(180-$B$46)),IF(AND($B$49=0,$B$41&gt;0),$B$41/2*-SIN(RADIANS(180-$B$46)),IF(AND($B$49&gt;0,$B$41=0),$B$49/2*-SIN(RADIANS(180-$B$54)),IF(AND($B$49=0,$B$41=0,$B$33=0),$B$25/4*-SIN(RADIANS(180-$B$30)),$B$33/4*-SIN(RADIANS(180-$B$38))))))</f>
        <v/>
      </c>
      <c r="BJ19" s="762">
        <f>IF(AND($B$49&gt;0,$B$41&gt;0),$B$49*COS(RADIANS(180-$B$54)),IF(AND($B$49=0,$B$41&gt;0),$B$41/2*COS(RADIANS(180-$B$46)),IF(AND($B$49&gt;0,$B$41=0),$B$49/2*COS(RADIANS(180-$B$54)),IF(AND($B$49=0,$B$41=0,$B$33=0),$B$25/4*COS(RADIANS(180-$B$30)),$B$33/4*COS(RADIANS(180-$B$38))))))</f>
        <v/>
      </c>
      <c r="BK19" s="763">
        <f>IF(AND($B$49&gt;0,$B$41&gt;0),$B$49*-SIN(RADIANS(180-$B$54)),IF(AND($B$49=0,$B$41&gt;0),$B$41/2*-SIN(RADIANS(180-$B$46)),IF(AND($B$49&gt;0,$B$41=0),$B$49/2*-SIN(RADIANS(180-$B$54)),IF(AND($B$49=0,$B$41=0,$B$33=0),$B$25/4*-SIN(RADIANS(180-$B$30)),$B$33/4*-SIN(RADIANS(180-$B$38))))))</f>
        <v/>
      </c>
      <c r="BL19" s="762">
        <f>IF(AND($K$57&gt;0,$E$57&gt;0,OR($O$57&gt;0,$U$57&gt;0)),$E$57*SIN(RADIANS(90-$E$62)),IF(AND($K$57=0,$E$57&gt;0,OR($O$57&gt;0,$U$57&gt;0)),$E$57/2*SIN(RADIANS(90-$E$62)),IF(AND($K$57&gt;0,$E$57=0,OR($O$57&gt;0,$U$57&gt;0)),$K$57/2*SIN(RADIANS(90-$K$62)),IF(AND($K$57&gt;0,$O$57=0,$U$57=0),$K$57/4*SIN(RADIANS(90-$K$62)),$E$57/4*SIN(RADIANS(90-$E$62))))))</f>
        <v/>
      </c>
      <c r="BM19" s="764">
        <f>IF(AND($K$57&gt;0,$E$57&gt;0,OR($O$57&gt;0,$U$57&gt;0)),$E$57*COS(RADIANS(90-$E$62)),IF(AND($K$57=0,$E$57&gt;0,OR($O$57&gt;0,$U$57&gt;0)),$E$57/2*COS(RADIANS(90-$E$62)),IF(AND($K$57&gt;0,$E$57=0,OR($O$57&gt;0,$U$57&gt;0)),$K$57/2*COS(RADIANS(90-$K$62)),IF(AND($K$57&gt;0,$O$57=0,$U$57=0),$K$57/4*COS(RADIANS(90-$K$62)),$E$57/4*COS(RADIANS(90-$E$62))))))</f>
        <v/>
      </c>
      <c r="BN19" s="762">
        <f>IF(AND($K$57&gt;0,$E$57&gt;0,OR($O$57&gt;0,$U$57&gt;0)),$K$57*SIN(RADIANS(90-$K$62)),IF(AND($K$57=0,$E$57&gt;0,OR($O$57&gt;0,$U$57&gt;0)),$E$57/2*SIN(RADIANS(90-$E$62)),IF(AND($K$57&gt;0,$E$57=0,OR($O$57&gt;0,$U$57&gt;0)),$K$57/2*SIN(RADIANS(90-$K$62)),IF(AND($K$57&gt;0,$O$57=0,$U$57=0),$K$57/4*SIN(RADIANS(90-$K$62)),$E$57/4*SIN(RADIANS(90-$E$62))))))</f>
        <v/>
      </c>
      <c r="BO19" s="763">
        <f>IF(AND($K$57&gt;0,$E$57&gt;0,OR($O$57&gt;0,$U$57&gt;0)),$K$57*COS(RADIANS(90-$K$62)),IF(AND($K$57=0,$E$57&gt;0,OR($O$57&gt;0,$U$57&gt;0)),$E$57/2*COS(RADIANS(90-$E$62)),IF(AND($K$57&gt;0,$E$57=0,OR($O$57&gt;0,$U$57&gt;0)),$K$57/2*COS(RADIANS(90-$K$62)),IF(AND($K$57&gt;0,$O$57=0,$U$57=0),$K$57/4*COS(RADIANS(90-$K$62)),$E$57/4*COS(RADIANS(90-$E$62))))))</f>
        <v/>
      </c>
      <c r="BP19" s="762">
        <f>IF(AND($U$57&gt;0,$O$57&gt;0),$O$57*SIN(RADIANS(90-$O$62)),IF(AND($U$57=0,$O$57&gt;0),$O$57/2*SIN(RADIANS(90-$O$62)),IF(AND($U$57&gt;0,$O$57=0),$U$57/2*SIN(RADIANS(90-$U$62)),IF(AND($U$57=0,$O$57=0,$K$57=0),$E$57/4*SIN(RADIANS(90-$E$62)),$K$57/4*SIN(RADIANS(90-$K$62))))))</f>
        <v/>
      </c>
      <c r="BQ19" s="763">
        <f>IF(AND($U$57&gt;0,$O$57&gt;0),$O$57*COS(RADIANS(90-$O$62)),IF(AND($U$57=0,$O$57&gt;0),$O$57/2*COS(RADIANS(90-$O$62)),IF(AND($U$57&gt;0,$O$57=0),$U$57/2*COS(RADIANS(90-$U$62)),IF(AND($U$57=0,$O$57=0,$K$57=0),$E$57/4*COS(RADIANS(90-$E$62)),$K$57/4*COS(RADIANS(90-$K$62))))))</f>
        <v/>
      </c>
      <c r="BR19" s="762">
        <f>IF(AND($U$57&gt;0,$O$57&gt;0),$U$57*SIN(RADIANS(90-$U$62)),IF(AND($U$57=0,$O$57&gt;0),$O$57/2*SIN(RADIANS(90-$O$62)),IF(AND($U$57&gt;0,$O$57=0),$U$57/2*SIN(RADIANS(90-$U$62)),IF(AND($U$57=0,$O$57=0,$K$57=0),$E$57/4*SIN(RADIANS(90-$E$62)),$K$57/4*SIN(RADIANS(90-$K$62))))))</f>
        <v/>
      </c>
      <c r="BS19" s="763">
        <f>IF(AND($U$57&gt;0,$O$57&gt;0),$U$57*COS(RADIANS(90-$U$62)),IF(AND($U$57=0,$O$57&gt;0),$O$57/2*COS(RADIANS(90-$O$62)),IF(AND($U$57&gt;0,$O$57=0),$U$57/2*COS(RADIANS(90-$U$62)),IF(AND($U$57=0,$O$57=0,$K$57=0),$E$57/4*COS(RADIANS(90-$E$62)),$K$57/4*COS(RADIANS(90-$K$62))))))</f>
        <v/>
      </c>
      <c r="BT19" s="762">
        <f>IF(AND($W$49&gt;0,$W$41&gt;0),$W$49*COS(RADIANS(180-$W$54)),IF(AND($W$49=0,$W$41&gt;0),$W$41/2*COS(RADIANS(180-$W$46)),IF(AND($W$49&gt;0,$W$41=0),$W$49/2*COS(RADIANS(180-$W$54)),IF(AND($W$49=0,$W$41=0,$W$33=0),$W$25/4*COS(RADIANS(180-$W$30)),$W$33/4*COS(RADIANS(180-$W$38))))))</f>
        <v/>
      </c>
      <c r="BU19" s="763">
        <f>IF(AND($W$49&gt;0,$W$41&gt;0),$W$49*-SIN(RADIANS(180-$W$54)),IF(AND($W$49=0,$W$41&gt;0),$W$41/2*-SIN(RADIANS(180-$W$46)),IF(AND($W$49&gt;0,$W$41=0),$W$49/2*-SIN(RADIANS(180-$W$54)),IF(AND($W$49=0,$W$41=0,$W$33=0),$W$25/4*-SIN(RADIANS(180-$W$30)),$W$33/4*-SIN(RADIANS(180-$W$38))))))</f>
        <v/>
      </c>
      <c r="BV19" s="762">
        <f>IF(AND($W$49&gt;0,$W$41&gt;0),$W$41*COS(RADIANS(180-$W$46)),IF(AND($W$49=0,$W$41&gt;0),$W$41/2*COS(RADIANS(180-$W$46)),IF(AND($W$49&gt;0,$W$41=0),$W$49/2*COS(RADIANS(180-$W$54)),IF(AND($W$49=0,$W$41=0,$W$33=0),$W$25/4*COS(RADIANS(180-$W$30)),$W$33/4*COS(RADIANS(180-$W$38))))))</f>
        <v/>
      </c>
      <c r="BW19" s="763">
        <f>IF(AND($W$49&gt;0,$W$41&gt;0),$W$41*-SIN(RADIANS(180-$W$46)),IF(AND($W$49=0,$W$41&gt;0),$W$41/2*-SIN(RADIANS(180-$W$46)),IF(AND($W$49&gt;0,$W$41=0),$W$49/2*-SIN(RADIANS(180-$W$54)),IF(AND($W$49=0,$W$41=0,$W$33=0),$W$25/4*-SIN(RADIANS(180-$W$30)),$W$33/4*-SIN(RADIANS(180-$W$38))))))</f>
        <v/>
      </c>
      <c r="BX19" s="762">
        <f>IF(AND($W$33&gt;0,$W$25&gt;0,OR($W$41&gt;0,$W$49&gt;0)),$W$33*COS(RADIANS(180-$W$38)),IF(AND($W$33=0,$W$25&gt;0,OR($W$41&gt;0,$W$49&gt;0)),$W$25/2*COS(RADIANS(180-$W$30)),IF(AND($W$33&gt;0,$W$25=0,OR($W$41&gt;0,$W$49&gt;0)),$W$33/2*COS(RADIANS(180-$W$38)),IF(AND($W$33&gt;0,$W$41=0,$W$49=0),$W$33/4*COS(RADIANS(180-$W$38)),$W$25/4*COS(RADIANS(180-$W$30))))))</f>
        <v/>
      </c>
      <c r="BY19" s="763">
        <f>IF(AND($W$33&gt;0,$W$25&gt;0,OR($W$41&gt;0,$W$49&gt;0)),$W$33*-SIN(RADIANS(180-$W$38)),IF(AND($W$33&gt;0,$W$25&gt;0,OR($W$41&gt;0,$W$49&gt;0)),$W$33*-SIN(RADIANS(180-$W$38)),IF(AND($W$33&gt;0,$W$25=0,OR($W$41&gt;0,$W$49&gt;0)),$W$33/2*-SIN(RADIANS(180-$W$38)),IF(AND($W$33&gt;0,$W$41=0,$W$49=0),$W$33/4*-SIN(RADIANS(180-$W$38)),$W$25/4*-SIN(RADIANS(180-$W$30))))))</f>
        <v/>
      </c>
      <c r="BZ19" s="762">
        <f>IF(AND($W$33&gt;0,$W$25&gt;0,OR($W$41&gt;0,$W$49&gt;0)),$W$25*COS(RADIANS(180-$W$30)),IF(AND($W$33=0,$W$25&gt;0,OR($W$41&gt;0,$W$49&gt;0)),$W$25/2*COS(RADIANS(180-$W$30)),IF(AND($W$33&gt;0,$W$25=0,OR($W$41&gt;0,$W$49&gt;0)),$W$33/2*COS(RADIANS(180-$W$38)),IF(AND($W$33&gt;0,$W$41=0,$W$49=0),$W$33/4*COS(RADIANS(180-$W$38)),$W$25/4*COS(RADIANS(180-$W$30))))))</f>
        <v/>
      </c>
      <c r="CA19" s="763">
        <f>IF(AND($W$33&gt;0,$W$25&gt;0,OR($W$41&gt;0,$W$49&gt;0)),$W$25*-SIN(RADIANS(180-$W$30)),IF(AND($W$33&gt;0,$W$25&gt;0,OR($W$41&gt;0,$W$49&gt;0)),$W$33*-SIN(RADIANS(180-$W$38)),IF(AND($W$33&gt;0,$W$25=0,OR($W$41&gt;0,$W$49&gt;0)),$W$33/2*-SIN(RADIANS(180-$W$38)),IF(AND($W$33&gt;0,$W$41=0,$W$49=0),$W$33/4*-SIN(RADIANS(180-$W$38)),$W$25/4*-SIN(RADIANS(180-$W$30))))))</f>
        <v/>
      </c>
    </row>
    <row r="20" ht="12" customHeight="1" s="613">
      <c r="B20" s="347" t="n"/>
      <c r="C20" s="346" t="n"/>
      <c r="D20" s="429" t="inlineStr">
        <is>
          <t>min.</t>
        </is>
      </c>
      <c r="E20" s="295">
        <f>IF(NOT(ISBLANK(F20)),F20,DGET('Grid Numbers'!$A$2:$L$4952,'Grid Numbers'!$J$2,$L$66:$R$67))</f>
        <v/>
      </c>
      <c r="F20" s="504" t="n"/>
      <c r="G20" s="346" t="n"/>
      <c r="H20" s="346" t="n"/>
      <c r="I20" s="346" t="n"/>
      <c r="J20" s="429" t="inlineStr">
        <is>
          <t>min.</t>
        </is>
      </c>
      <c r="K20" s="296">
        <f>IF(NOT(ISBLANK(L20)),L20,DGET('Grid Numbers'!$A$2:$L$4952,'Grid Numbers'!$J$2,$L$68:$R$69))</f>
        <v/>
      </c>
      <c r="L20" s="505" t="n"/>
      <c r="N20" s="429" t="inlineStr">
        <is>
          <t>min.</t>
        </is>
      </c>
      <c r="O20" s="295">
        <f>IF(NOT(ISBLANK(P20)),P20,DGET('Grid Numbers'!$A$2:$L$4952,'Grid Numbers'!$J$2,$L$70:$R$71))</f>
        <v/>
      </c>
      <c r="P20" s="505" t="n"/>
      <c r="T20" s="429" t="inlineStr">
        <is>
          <t>min.</t>
        </is>
      </c>
      <c r="U20" s="295">
        <f>IF(NOT(ISBLANK(V20)),V20,DGET('Grid Numbers'!$A$2:$L$4952,'Grid Numbers'!$J$2,$L$72:$R$73))</f>
        <v/>
      </c>
      <c r="V20" s="505" t="n"/>
      <c r="AA20" s="689" t="n"/>
      <c r="AB20" s="689" t="n"/>
      <c r="AC20" s="480" t="n">
        <v>1</v>
      </c>
      <c r="AD20" s="319" t="inlineStr">
        <is>
          <t>SHL</t>
        </is>
      </c>
      <c r="AE20" s="345">
        <f>IF($AE$48=1,$AE$52,IF($AE$48=2,$AE$53,IF($AE$48=3,$AE$54,IF($AE$48=4,$AE$55,""))))</f>
        <v/>
      </c>
      <c r="AF20" s="345">
        <f>IF($AE$48=1,$AF$52,IF($AE$48=2,$AF$53,IF($AE$48=3,$AF$54,IF($AE$48=4,$AF$55,""))))</f>
        <v/>
      </c>
      <c r="AG20" s="344">
        <f>IF($AE$20="","",$AY$26+$AE$20)</f>
        <v/>
      </c>
      <c r="AH20" s="344">
        <f>IF($AF$20="","",$AZ$26+$AF$20)</f>
        <v/>
      </c>
      <c r="AI20" s="344">
        <f>IF($AE$20="","",$BG$26+$AY$26+$AE$20)</f>
        <v/>
      </c>
      <c r="AJ20" s="344">
        <f>IF($AF$20="","",$AZ$26+$BH$26+$AF$20)</f>
        <v/>
      </c>
      <c r="AK20" s="344">
        <f>IF($AE$20="","",$BW$26+$AE$20)</f>
        <v/>
      </c>
      <c r="AL20" s="344">
        <f>IF($AF$20="","",$AF$20+$BX$26)</f>
        <v/>
      </c>
      <c r="AM20" s="344">
        <f>IF($AE$20="","",$AW$22+$AE$20)</f>
        <v/>
      </c>
      <c r="AN20" s="344">
        <f>IF($AF$20="","",$AX$22+$AF$20)</f>
        <v/>
      </c>
      <c r="AO20" s="344">
        <f>IF($AE$20="","",$AY$26+$AE$20+$BE$22)</f>
        <v/>
      </c>
      <c r="AP20" s="344">
        <f>IF($AF$20="","",$AZ$26+$AF$20+$BF$22)</f>
        <v/>
      </c>
      <c r="AQ20" s="344">
        <f>IF($AE$20="","",$BW$26+$AE$20+$BQ$22)</f>
        <v/>
      </c>
      <c r="AR20" s="344">
        <f>IF($AF$20="","",$AF$20+$BX$26+$BR$22)</f>
        <v/>
      </c>
      <c r="AS20" s="344">
        <f>IF($AE$20="","",$BY$22+$AE$20)</f>
        <v/>
      </c>
      <c r="AT20" s="344">
        <f>IF($AF$20="","",$AF$20+$BZ$22)</f>
        <v/>
      </c>
      <c r="AU20" s="335" t="inlineStr">
        <is>
          <t>Qtr Section</t>
        </is>
      </c>
      <c r="AV20" s="674" t="inlineStr">
        <is>
          <t>1 N-NE</t>
        </is>
      </c>
      <c r="AW20" s="677" t="n"/>
      <c r="AX20" s="677" t="n"/>
      <c r="AY20" s="675" t="n"/>
      <c r="AZ20" s="674" t="inlineStr">
        <is>
          <t>2 N-NW</t>
        </is>
      </c>
      <c r="BA20" s="677" t="n"/>
      <c r="BB20" s="677" t="n"/>
      <c r="BC20" s="675" t="n"/>
      <c r="BD20" s="674" t="inlineStr">
        <is>
          <t>3 W-NW</t>
        </is>
      </c>
      <c r="BE20" s="677" t="n"/>
      <c r="BF20" s="677" t="n"/>
      <c r="BG20" s="675" t="n"/>
      <c r="BH20" s="674" t="inlineStr">
        <is>
          <t>4 W-SW</t>
        </is>
      </c>
      <c r="BI20" s="677" t="n"/>
      <c r="BJ20" s="677" t="n"/>
      <c r="BK20" s="675" t="n"/>
      <c r="BL20" s="674" t="inlineStr">
        <is>
          <t>5 S-SW</t>
        </is>
      </c>
      <c r="BM20" s="677" t="n"/>
      <c r="BN20" s="677" t="n"/>
      <c r="BO20" s="675" t="n"/>
      <c r="BP20" s="674" t="inlineStr">
        <is>
          <t>6 S-SE</t>
        </is>
      </c>
      <c r="BQ20" s="677" t="n"/>
      <c r="BR20" s="677" t="n"/>
      <c r="BS20" s="675" t="n"/>
      <c r="BT20" s="674" t="inlineStr">
        <is>
          <t>7 E-SE</t>
        </is>
      </c>
      <c r="BU20" s="677" t="n"/>
      <c r="BV20" s="677" t="n"/>
      <c r="BW20" s="675" t="n"/>
      <c r="BX20" s="674" t="inlineStr">
        <is>
          <t>8 E-NE</t>
        </is>
      </c>
      <c r="BY20" s="677" t="n"/>
      <c r="BZ20" s="677" t="n"/>
      <c r="CA20" s="675" t="n"/>
      <c r="CC20" s="462" t="inlineStr">
        <is>
          <t>Closure =</t>
        </is>
      </c>
      <c r="CD20" s="765">
        <f>(CC22^2+CD22^2)^0.5</f>
        <v/>
      </c>
    </row>
    <row r="21" ht="12" customHeight="1" s="613">
      <c r="D21" s="429" t="inlineStr">
        <is>
          <t>sec.</t>
        </is>
      </c>
      <c r="E21" s="295">
        <f>IF(NOT(ISBLANK(F21)),F21,DGET('Grid Numbers'!$A$2:$L$4952,'Grid Numbers'!$K$2,$L$66:$R$67))</f>
        <v/>
      </c>
      <c r="F21" s="505" t="n"/>
      <c r="J21" s="429" t="inlineStr">
        <is>
          <t>sec.</t>
        </is>
      </c>
      <c r="K21" s="296">
        <f>IF(NOT(ISBLANK(L21)),L21,DGET('Grid Numbers'!$A$2:$L$4952,'Grid Numbers'!$K$2,$L$68:$R$69))</f>
        <v/>
      </c>
      <c r="L21" s="505" t="n"/>
      <c r="N21" s="429" t="inlineStr">
        <is>
          <t>sec.</t>
        </is>
      </c>
      <c r="O21" s="295">
        <f>IF(NOT(ISBLANK(P21)),P21,DGET('Grid Numbers'!$A$2:$L$4952,'Grid Numbers'!$K$2,$L$70:$R$71))</f>
        <v/>
      </c>
      <c r="P21" s="505" t="n"/>
      <c r="T21" s="429" t="inlineStr">
        <is>
          <t>sec.</t>
        </is>
      </c>
      <c r="U21" s="295">
        <f>IF(NOT(ISBLANK(V21)),V21,DGET('Grid Numbers'!$A$2:$L$4952,'Grid Numbers'!$K$2,$L$72:$R$73))</f>
        <v/>
      </c>
      <c r="V21" s="505" t="n"/>
      <c r="AA21" s="343" t="n"/>
      <c r="AB21" s="340" t="n"/>
      <c r="AC21" s="480" t="n">
        <v>2</v>
      </c>
      <c r="AD21" s="319" t="inlineStr">
        <is>
          <t>SHL</t>
        </is>
      </c>
      <c r="AE21" s="326">
        <f>IF($AG$21="","",$AG$21-$AY$26)</f>
        <v/>
      </c>
      <c r="AF21" s="326">
        <f>IF($AH$21="","",$AH$21-$AZ$26)</f>
        <v/>
      </c>
      <c r="AG21" s="327">
        <f>IF($AG$48=1,$AG$52,IF($AG$48=2,$AG$53,IF($AG$48=3,$AG$54,IF($AG$48=4,$AG$55,""))))</f>
        <v/>
      </c>
      <c r="AH21" s="327">
        <f>IF($AG$48=1,$AH$52,IF($AG$48=2,$AH$53,IF($AG$48=3,$AH$54,IF($AG$48=4,$AH$55,""))))</f>
        <v/>
      </c>
      <c r="AI21" s="326">
        <f>IF($AG$21="","",$BG$26+$AG$21)</f>
        <v/>
      </c>
      <c r="AJ21" s="326">
        <f>IF($AH$21="","",$AH$21+$BH$26)</f>
        <v/>
      </c>
      <c r="AK21" s="326">
        <f>IF($AG$21="","",$AG$21-$AY$26+$BW$26)</f>
        <v/>
      </c>
      <c r="AL21" s="326">
        <f>IF($AH$21="","",$AH$21-$AZ$26+$BX$26)</f>
        <v/>
      </c>
      <c r="AM21" s="326">
        <f>IF($AG$21="","",$AG$21-$BA$22)</f>
        <v/>
      </c>
      <c r="AN21" s="326">
        <f>IF($AH$21="","",AH$21-$BB$22)</f>
        <v/>
      </c>
      <c r="AO21" s="326">
        <f>IF($AG$21="","",$BE$22+$AG$21)</f>
        <v/>
      </c>
      <c r="AP21" s="326">
        <f>IF($AH$21="","",$AH$21+$BF$22)</f>
        <v/>
      </c>
      <c r="AQ21" s="326">
        <f>IF($AG$21="","",$BG$26+$AG$21-$BM$22)</f>
        <v/>
      </c>
      <c r="AR21" s="326">
        <f>IF($AH$21="","",$AH$21+$BH$26-$BN$22)</f>
        <v/>
      </c>
      <c r="AS21" s="326">
        <f>IF($AG$21="","",$AG$21-$AY$26+$BY$22)</f>
        <v/>
      </c>
      <c r="AT21" s="326">
        <f>IF($AH$21="","",$AH$21-$AZ$26+$BZ$22)</f>
        <v/>
      </c>
      <c r="AU21" s="335" t="inlineStr">
        <is>
          <t>N-S &amp; E-W</t>
        </is>
      </c>
      <c r="AV21" s="478" t="n"/>
      <c r="AW21" s="467" t="inlineStr">
        <is>
          <t>N-S</t>
        </is>
      </c>
      <c r="AX21" s="468" t="inlineStr">
        <is>
          <t>E-W</t>
        </is>
      </c>
      <c r="AY21" s="481" t="n"/>
      <c r="AZ21" s="478" t="n"/>
      <c r="BA21" s="467" t="inlineStr">
        <is>
          <t>N-S</t>
        </is>
      </c>
      <c r="BB21" s="468" t="inlineStr">
        <is>
          <t>E-W</t>
        </is>
      </c>
      <c r="BC21" s="481" t="n"/>
      <c r="BD21" s="478" t="n"/>
      <c r="BE21" s="467" t="inlineStr">
        <is>
          <t>N-S</t>
        </is>
      </c>
      <c r="BF21" s="468" t="inlineStr">
        <is>
          <t>E-W</t>
        </is>
      </c>
      <c r="BG21" s="481" t="n"/>
      <c r="BH21" s="478" t="n"/>
      <c r="BI21" s="467" t="inlineStr">
        <is>
          <t>N-S</t>
        </is>
      </c>
      <c r="BJ21" s="468" t="inlineStr">
        <is>
          <t>E-W</t>
        </is>
      </c>
      <c r="BK21" s="481" t="n"/>
      <c r="BL21" s="478" t="n"/>
      <c r="BM21" s="467" t="inlineStr">
        <is>
          <t>N-S</t>
        </is>
      </c>
      <c r="BN21" s="468" t="inlineStr">
        <is>
          <t>E-W</t>
        </is>
      </c>
      <c r="BO21" s="481" t="n"/>
      <c r="BP21" s="478" t="n"/>
      <c r="BQ21" s="467" t="inlineStr">
        <is>
          <t>N-S</t>
        </is>
      </c>
      <c r="BR21" s="468" t="inlineStr">
        <is>
          <t>E-W</t>
        </is>
      </c>
      <c r="BS21" s="481" t="n"/>
      <c r="BT21" s="478" t="n"/>
      <c r="BU21" s="467" t="inlineStr">
        <is>
          <t>N-S</t>
        </is>
      </c>
      <c r="BV21" s="468" t="inlineStr">
        <is>
          <t>E-W</t>
        </is>
      </c>
      <c r="BW21" s="481" t="n"/>
      <c r="BX21" s="478" t="n"/>
      <c r="BY21" s="467" t="inlineStr">
        <is>
          <t>N-S</t>
        </is>
      </c>
      <c r="BZ21" s="468" t="inlineStr">
        <is>
          <t>E-W</t>
        </is>
      </c>
      <c r="CA21" s="481" t="n"/>
      <c r="CC21" s="467" t="inlineStr">
        <is>
          <t>N-S</t>
        </is>
      </c>
      <c r="CD21" s="468" t="inlineStr">
        <is>
          <t>E-W</t>
        </is>
      </c>
    </row>
    <row r="22" ht="12" customHeight="1" s="613">
      <c r="A22" s="341" t="n"/>
      <c r="B22" s="341" t="n"/>
      <c r="C22" s="341" t="n"/>
      <c r="D22" s="429" t="inlineStr">
        <is>
          <t>dir.</t>
        </is>
      </c>
      <c r="E22" s="321">
        <f>IF(NOT(ISBLANK(F22)),F22,DGET('Grid Numbers'!$A$2:$L$4952,'Grid Numbers'!$L$2,$L$66:$R$67))</f>
        <v/>
      </c>
      <c r="F22" s="508" t="n"/>
      <c r="G22" s="342" t="n"/>
      <c r="H22" s="342" t="n"/>
      <c r="I22" s="342" t="n"/>
      <c r="J22" s="429" t="inlineStr">
        <is>
          <t>dir.</t>
        </is>
      </c>
      <c r="K22" s="321">
        <f>IF(NOT(ISBLANK(L22)),L22,DGET('Grid Numbers'!$A$2:$L$4952,'Grid Numbers'!$L$2,$L$68:$R$69))</f>
        <v/>
      </c>
      <c r="L22" s="507" t="n"/>
      <c r="M22" s="341" t="n"/>
      <c r="N22" s="429" t="inlineStr">
        <is>
          <t>dir.</t>
        </is>
      </c>
      <c r="O22" s="321">
        <f>IF(NOT(ISBLANK(P22)),P22,DGET('Grid Numbers'!$A$2:$L$4952,'Grid Numbers'!$L$2,$L$70:$R$71))</f>
        <v/>
      </c>
      <c r="P22" s="508" t="n"/>
      <c r="Q22" s="342" t="n"/>
      <c r="R22" s="342" t="n"/>
      <c r="S22" s="342" t="n"/>
      <c r="T22" s="429" t="inlineStr">
        <is>
          <t>dir.</t>
        </is>
      </c>
      <c r="U22" s="321">
        <f>IF(NOT(ISBLANK(V22)),V22,DGET('Grid Numbers'!$A$2:$L$4952,'Grid Numbers'!$L$2,$L$72:$R$73))</f>
        <v/>
      </c>
      <c r="V22" s="507" t="n"/>
      <c r="W22" s="341" t="n"/>
      <c r="X22" s="341" t="n"/>
      <c r="AA22" s="689" t="n"/>
      <c r="AB22" s="689" t="n"/>
      <c r="AC22" s="480" t="n">
        <v>3</v>
      </c>
      <c r="AD22" s="319" t="inlineStr">
        <is>
          <t>SHL</t>
        </is>
      </c>
      <c r="AE22" s="326">
        <f>IF($AI$22="","",$AI$22-$BG$26-$AY$26)</f>
        <v/>
      </c>
      <c r="AF22" s="328">
        <f>IF($AJ$22="","",$AJ$22-$BH$26-$AZ$26)</f>
        <v/>
      </c>
      <c r="AG22" s="326">
        <f>IF($AI$22="","",$AI$22-$BG$26)</f>
        <v/>
      </c>
      <c r="AH22" s="326">
        <f>IF($AJ$22="","",$AJ$22-$BH$26)</f>
        <v/>
      </c>
      <c r="AI22" s="327">
        <f>IF($AI$48=1,$AI$52,IF($AI$48=2,$AI$53,IF($AI$48=3,$AI$54,IF($AI$48=4,$AI$55,""))))</f>
        <v/>
      </c>
      <c r="AJ22" s="327">
        <f>IF($AI$48=1,$AJ$52,IF($AI$48=2,$AJ$53,IF($AI$48=3,$AJ$54,IF($AI$48=4,$AJ$55,""))))</f>
        <v/>
      </c>
      <c r="AK22" s="326">
        <f>IF($AI$22="","",$AI$22-$BO$26)</f>
        <v/>
      </c>
      <c r="AL22" s="326">
        <f>IF($AJ$22="","",$AJ$22-$BP$26)</f>
        <v/>
      </c>
      <c r="AM22" s="326">
        <f>IF($AI$22="","",$AI$22-$BG$26-$BA$22)</f>
        <v/>
      </c>
      <c r="AN22" s="326">
        <f>IF($AJ$22="","",$AJ$22-$BH$26-$BB$22)</f>
        <v/>
      </c>
      <c r="AO22" s="326">
        <f>IF($AI$22="","",$AI$22-$BI$22)</f>
        <v/>
      </c>
      <c r="AP22" s="326">
        <f>IF($AJ$22="","",$AJ$22-$BJ$22)</f>
        <v/>
      </c>
      <c r="AQ22" s="326">
        <f>IF($AI$22="","",$AI$22-$BM$22)</f>
        <v/>
      </c>
      <c r="AR22" s="326">
        <f>IF($AJ$22="","",$AJ$22-$BN$22)</f>
        <v/>
      </c>
      <c r="AS22" s="326">
        <f>IF($AI$22="","",$AI$22-$BO$26-$BU$22)</f>
        <v/>
      </c>
      <c r="AT22" s="326">
        <f>IF($AJ$22="","",$AJ$22-$BP$26-$BV$22)</f>
        <v/>
      </c>
      <c r="AU22" s="335" t="n"/>
      <c r="AV22" s="478" t="n"/>
      <c r="AW22" s="766">
        <f>AV19+AX19</f>
        <v/>
      </c>
      <c r="AX22" s="767">
        <f>AW19+AY19</f>
        <v/>
      </c>
      <c r="AY22" s="481" t="n"/>
      <c r="AZ22" s="478" t="n"/>
      <c r="BA22" s="766">
        <f>AZ19+BB19</f>
        <v/>
      </c>
      <c r="BB22" s="767">
        <f>BA19+BC19</f>
        <v/>
      </c>
      <c r="BC22" s="481" t="n"/>
      <c r="BD22" s="478" t="n"/>
      <c r="BE22" s="766">
        <f>BD19+BF19</f>
        <v/>
      </c>
      <c r="BF22" s="767">
        <f>BE19+BG19</f>
        <v/>
      </c>
      <c r="BG22" s="481" t="n"/>
      <c r="BH22" s="478" t="n"/>
      <c r="BI22" s="766">
        <f>BH19+BJ19</f>
        <v/>
      </c>
      <c r="BJ22" s="767">
        <f>BI19+BK19</f>
        <v/>
      </c>
      <c r="BK22" s="481" t="n"/>
      <c r="BL22" s="478" t="n"/>
      <c r="BM22" s="766">
        <f>BL19+BN19</f>
        <v/>
      </c>
      <c r="BN22" s="767">
        <f>BM19+BO19</f>
        <v/>
      </c>
      <c r="BO22" s="481" t="n"/>
      <c r="BP22" s="478" t="n"/>
      <c r="BQ22" s="766">
        <f>BP19+BR19</f>
        <v/>
      </c>
      <c r="BR22" s="767">
        <f>BQ19+BS19</f>
        <v/>
      </c>
      <c r="BS22" s="481" t="n"/>
      <c r="BT22" s="478" t="n"/>
      <c r="BU22" s="766">
        <f>BT19+BV19</f>
        <v/>
      </c>
      <c r="BV22" s="767">
        <f>BU19+BW19</f>
        <v/>
      </c>
      <c r="BW22" s="481" t="n"/>
      <c r="BX22" s="478" t="n"/>
      <c r="BY22" s="766">
        <f>BX19+BZ19</f>
        <v/>
      </c>
      <c r="BZ22" s="767">
        <f>BY19+CA19</f>
        <v/>
      </c>
      <c r="CA22" s="481" t="n"/>
      <c r="CC22" s="768">
        <f>AY26+BG26-BO26-BW26</f>
        <v/>
      </c>
      <c r="CD22" s="769">
        <f>AZ26+BH26-BP26-BX26</f>
        <v/>
      </c>
    </row>
    <row r="23" ht="12" customHeight="1" s="613" thickBot="1">
      <c r="B23" s="697">
        <f>CONCATENATE("NW SC of ",$L$38)</f>
        <v/>
      </c>
      <c r="D23" s="509" t="inlineStr">
        <is>
          <t>dec. deg.</t>
        </is>
      </c>
      <c r="E23" s="770">
        <f>IF(E19="","",IF(OR(E22=1,E22=4),180-(E19+E20/60+E21/3600),(E19+E20/60+E21/3600)))</f>
        <v/>
      </c>
      <c r="J23" s="429" t="inlineStr">
        <is>
          <t>dec. deg.</t>
        </is>
      </c>
      <c r="K23" s="770">
        <f>IF(K19="","",IF(OR(K22=1,K22=4),180-(K19+K20/60+K21/3600),(K19+K20/60+K21/3600)))</f>
        <v/>
      </c>
      <c r="L23" s="697">
        <f>CONCATENATE("N QC of ",$L$38)</f>
        <v/>
      </c>
      <c r="N23" s="429" t="inlineStr">
        <is>
          <t>dec. deg.</t>
        </is>
      </c>
      <c r="O23" s="771">
        <f>IF(O19="","",IF(OR(O22=1,O22=4),180-(O19+O20/60+O21/3600),(O19+O20/60+O21/3600)))</f>
        <v/>
      </c>
      <c r="T23" s="429" t="inlineStr">
        <is>
          <t>dec. deg.</t>
        </is>
      </c>
      <c r="U23" s="772">
        <f>IF(U19="","",IF(OR(U22=1,U22=4),180-(U19+U20/60+U21/3600),(U19+U20/60+U21/3600)))</f>
        <v/>
      </c>
      <c r="V23" s="698">
        <f>CONCATENATE("NE SC of ",$L$38)</f>
        <v/>
      </c>
      <c r="Y23" s="340" t="n"/>
      <c r="Z23" s="340" t="n"/>
      <c r="AA23" s="340" t="n"/>
      <c r="AB23" s="689" t="n"/>
      <c r="AC23" s="469" t="n">
        <v>4</v>
      </c>
      <c r="AD23" s="676" t="inlineStr">
        <is>
          <t>SHL</t>
        </is>
      </c>
      <c r="AE23" s="324">
        <f>IF($AK$23="","",$AK$23-$BW$26)</f>
        <v/>
      </c>
      <c r="AF23" s="324">
        <f>IF($AL$23="","",$AL$23-$BX$26)</f>
        <v/>
      </c>
      <c r="AG23" s="324">
        <f>IF($AK$23="","",$AK$23+$BO$26-$BG$26)</f>
        <v/>
      </c>
      <c r="AH23" s="324">
        <f>IF($AL$23="","",$AL$23+$BP$26+$BH$26)</f>
        <v/>
      </c>
      <c r="AI23" s="324">
        <f>IF($AK$23="","",$AK$23+$BO$26)</f>
        <v/>
      </c>
      <c r="AJ23" s="324">
        <f>IF($AL$23="","",$AL$23+$BP$26)</f>
        <v/>
      </c>
      <c r="AK23" s="325">
        <f>IF($AK$48=1,$AK$52,IF($AK$48=2,$AK$53,IF($AK$48=3,$AK$54,IF($AK$48=4,$AK$55,""))))</f>
        <v/>
      </c>
      <c r="AL23" s="325">
        <f>IF($AK$48=1,$AL$52,IF($AK$48=2,$AL$53,IF($AK$48=3,$AL$54,IF($AK$48=4,$AL$55,""))))</f>
        <v/>
      </c>
      <c r="AM23" s="324">
        <f>IF($AK$23="","",$AK$23-$BW$26+$AW$22)</f>
        <v/>
      </c>
      <c r="AN23" s="324">
        <f>IF($AL$23="","",$AL$23-$BX$26+$AX$22)</f>
        <v/>
      </c>
      <c r="AO23" s="324">
        <f>IF($AK$23="","",$AK$23+$BO$26-$BI$22)</f>
        <v/>
      </c>
      <c r="AP23" s="324">
        <f>IF($AL$23="","",$AL$23+$BP$26-$BJ$22)</f>
        <v/>
      </c>
      <c r="AQ23" s="324">
        <f>IF($AK$23="","",$AK$23+$BQ$22)</f>
        <v/>
      </c>
      <c r="AR23" s="324">
        <f>IF($AL$23="","",$AL$23+$BR$22)</f>
        <v/>
      </c>
      <c r="AS23" s="324">
        <f>IF($AK$23="","",$AK$23-$BU$22)</f>
        <v/>
      </c>
      <c r="AT23" s="324">
        <f>IF($AL$23="","",$AL$23-$BV$22)</f>
        <v/>
      </c>
      <c r="AU23" s="335" t="n"/>
      <c r="AV23" s="478" t="n"/>
      <c r="BD23" s="478" t="n"/>
      <c r="BL23" s="478" t="n"/>
      <c r="BT23" s="478" t="n"/>
      <c r="BZ23" s="693" t="n"/>
      <c r="CA23" s="693" t="n"/>
      <c r="CB23" s="692" t="n"/>
    </row>
    <row r="24" ht="12" customHeight="1" s="613">
      <c r="C24" s="432" t="n"/>
      <c r="D24" s="503" t="inlineStr">
        <is>
          <t>OVERRIDE</t>
        </is>
      </c>
      <c r="E24" s="653" t="n"/>
      <c r="F24" s="653" t="n"/>
      <c r="G24" s="653" t="n"/>
      <c r="H24" s="653" t="n"/>
      <c r="I24" s="653" t="n"/>
      <c r="J24" s="653" t="n"/>
      <c r="K24" s="653" t="n"/>
      <c r="L24" s="431" t="n"/>
      <c r="M24" s="430" t="n"/>
      <c r="N24" s="653" t="n"/>
      <c r="O24" s="653" t="n"/>
      <c r="P24" s="653" t="n"/>
      <c r="Q24" s="653" t="n"/>
      <c r="R24" s="653" t="n"/>
      <c r="S24" s="653" t="n"/>
      <c r="T24" s="653" t="n"/>
      <c r="U24" s="503" t="inlineStr">
        <is>
          <t>OVERRIDE</t>
        </is>
      </c>
      <c r="V24" s="656" t="n"/>
      <c r="AA24" s="689" t="n"/>
      <c r="AB24" s="689" t="n"/>
      <c r="AC24" s="671" t="n"/>
      <c r="AD24" s="617" t="n"/>
      <c r="AE24" s="323">
        <f>IF(ISNUMBER($AE$20),AE$20,IF(ISNUMBER($AG$21),AE$21,IF(ISNUMBER($AI$22),AE$22,IF(ISNUMBER($AK$23),AE$23,""))))</f>
        <v/>
      </c>
      <c r="AF24" s="323">
        <f>IF(ISNUMBER($AF$20),AF$20,IF(ISNUMBER($AH$21),AF$21,IF(ISNUMBER($AJ$22),AF$22,IF(ISNUMBER($AL$23),AF$23,""))))</f>
        <v/>
      </c>
      <c r="AG24" s="323">
        <f>IF(ISNUMBER($AE$20),AG$20,IF(ISNUMBER($AG$21),AG$21,IF(ISNUMBER($AI$22),AG$22,IF(ISNUMBER($AK$23),AG$23,""))))</f>
        <v/>
      </c>
      <c r="AH24" s="323">
        <f>IF(ISNUMBER($AF$20),AH$20,IF(ISNUMBER($AH$21),AH$21,IF(ISNUMBER($AJ$22),AH$22,IF(ISNUMBER($AL$23),AH$23,""))))</f>
        <v/>
      </c>
      <c r="AI24" s="323">
        <f>IF(ISNUMBER($AE$20),AI$20,IF(ISNUMBER($AG$21),AI$21,IF(ISNUMBER($AI$22),AI$22,IF(ISNUMBER($AK$23),AI$23,""))))</f>
        <v/>
      </c>
      <c r="AJ24" s="323">
        <f>IF(ISNUMBER($AF$20),AJ$20,IF(ISNUMBER($AH$21),AJ$21,IF(ISNUMBER($AJ$22),AJ$22,IF(ISNUMBER($AL$23),AJ$23,""))))</f>
        <v/>
      </c>
      <c r="AK24" s="323">
        <f>IF(ISNUMBER($AE$20),AK$20,IF(ISNUMBER($AG$21),AK$21,IF(ISNUMBER($AI$22),AK$22,IF(ISNUMBER($AK$23),AK$23,""))))</f>
        <v/>
      </c>
      <c r="AL24" s="323">
        <f>IF(ISNUMBER($AF$20),AL$20,IF(ISNUMBER($AH$21),AL$21,IF(ISNUMBER($AJ$22),AL$22,IF(ISNUMBER($AL$23),AL$23,""))))</f>
        <v/>
      </c>
      <c r="AM24" s="323">
        <f>IF(ISNUMBER($AE$20),AM$20,IF(ISNUMBER($AG$21),AM$21,IF(ISNUMBER($AI$22),AM$22,IF(ISNUMBER($AK$23),AM$23,""))))</f>
        <v/>
      </c>
      <c r="AN24" s="323">
        <f>IF(ISNUMBER($AF$20),AN$20,IF(ISNUMBER($AH$21),AN$21,IF(ISNUMBER($AJ$22),AN$22,IF(ISNUMBER($AL$23),AN$23,""))))</f>
        <v/>
      </c>
      <c r="AO24" s="323">
        <f>IF(ISNUMBER($AE$20),AO$20,IF(ISNUMBER($AG$21),AO$21,IF(ISNUMBER($AI$22),AO$22,IF(ISNUMBER($AK$23),AO$23,""))))</f>
        <v/>
      </c>
      <c r="AP24" s="323">
        <f>IF(ISNUMBER($AF$20),AP$20,IF(ISNUMBER($AH$21),AP$21,IF(ISNUMBER($AJ$22),AP$22,IF(ISNUMBER($AL$23),AP$23,""))))</f>
        <v/>
      </c>
      <c r="AQ24" s="323">
        <f>IF(ISNUMBER($AE$20),AQ$20,IF(ISNUMBER($AG$21),AQ$21,IF(ISNUMBER($AI$22),AQ$22,IF(ISNUMBER($AK$23),AQ$23,""))))</f>
        <v/>
      </c>
      <c r="AR24" s="323">
        <f>IF(ISNUMBER($AF$20),AR$20,IF(ISNUMBER($AH$21),AR$21,IF(ISNUMBER($AJ$22),AR$22,IF(ISNUMBER($AL$23),AR$23,""))))</f>
        <v/>
      </c>
      <c r="AS24" s="323">
        <f>IF(ISNUMBER($AE$20),AS$20,IF(ISNUMBER($AG$21),AS$21,IF(ISNUMBER($AI$22),AS$22,IF(ISNUMBER($AK$23),AS$23,""))))</f>
        <v/>
      </c>
      <c r="AT24" s="323">
        <f>IF(ISNUMBER($AF$20),AT$20,IF(ISNUMBER($AH$21),AT$21,IF(ISNUMBER($AJ$22),AT$22,IF(ISNUMBER($AL$23),AT$23,""))))</f>
        <v/>
      </c>
      <c r="AU24" s="335" t="inlineStr">
        <is>
          <t>Section</t>
        </is>
      </c>
      <c r="AV24" s="674" t="inlineStr">
        <is>
          <t>N</t>
        </is>
      </c>
      <c r="AW24" s="677" t="n"/>
      <c r="AX24" s="677" t="n"/>
      <c r="AY24" s="677" t="n"/>
      <c r="AZ24" s="677" t="n"/>
      <c r="BA24" s="677" t="n"/>
      <c r="BB24" s="677" t="n"/>
      <c r="BC24" s="675" t="n"/>
      <c r="BD24" s="674" t="inlineStr">
        <is>
          <t>W</t>
        </is>
      </c>
      <c r="BE24" s="677" t="n"/>
      <c r="BF24" s="677" t="n"/>
      <c r="BG24" s="677" t="n"/>
      <c r="BH24" s="677" t="n"/>
      <c r="BI24" s="677" t="n"/>
      <c r="BJ24" s="677" t="n"/>
      <c r="BK24" s="675" t="n"/>
      <c r="BL24" s="674" t="inlineStr">
        <is>
          <t>S</t>
        </is>
      </c>
      <c r="BM24" s="677" t="n"/>
      <c r="BN24" s="677" t="n"/>
      <c r="BO24" s="677" t="n"/>
      <c r="BP24" s="677" t="n"/>
      <c r="BQ24" s="677" t="n"/>
      <c r="BR24" s="677" t="n"/>
      <c r="BS24" s="675" t="n"/>
      <c r="BT24" s="674" t="inlineStr">
        <is>
          <t>E</t>
        </is>
      </c>
      <c r="BU24" s="677" t="n"/>
      <c r="BV24" s="677" t="n"/>
      <c r="BW24" s="677" t="n"/>
      <c r="BX24" s="677" t="n"/>
      <c r="BY24" s="677" t="n"/>
      <c r="BZ24" s="677" t="n"/>
      <c r="CA24" s="675" t="n"/>
    </row>
    <row r="25" ht="12" customHeight="1" s="613">
      <c r="A25" s="429" t="inlineStr">
        <is>
          <t>dist.</t>
        </is>
      </c>
      <c r="B25" s="368">
        <f>IF(NOT(ISBLANK(D25)),D25,DGET('Grid Numbers'!$A$2:$L$4952,'Grid Numbers'!$H$2,$B$66:$H$67))</f>
        <v/>
      </c>
      <c r="C25" s="700" t="n"/>
      <c r="D25" s="504" t="n"/>
      <c r="L25" s="310" t="n"/>
      <c r="M25" s="309" t="n"/>
      <c r="U25" s="504" t="n"/>
      <c r="V25" s="646" t="n"/>
      <c r="W25" s="473">
        <f>IF(NOT(ISBLANK(U25)),U25,DGET('Grid Numbers'!$A$2:$L$4952,'Grid Numbers'!$H$2,$B$74:$H$75))</f>
        <v/>
      </c>
      <c r="X25" s="426" t="inlineStr">
        <is>
          <t>dist.</t>
        </is>
      </c>
      <c r="AA25" s="689" t="n"/>
      <c r="AB25" s="689" t="n"/>
      <c r="AC25" s="482" t="n"/>
      <c r="AD25" s="331" t="n"/>
      <c r="AE25" s="330" t="n"/>
      <c r="AF25" s="330" t="n"/>
      <c r="AG25" s="330" t="n"/>
      <c r="AH25" s="330" t="n"/>
      <c r="AI25" s="330" t="n"/>
      <c r="AJ25" s="330" t="n"/>
      <c r="AK25" s="330" t="n"/>
      <c r="AL25" s="330" t="n"/>
      <c r="AM25" s="330" t="n"/>
      <c r="AN25" s="330" t="n"/>
      <c r="AO25" s="330" t="n"/>
      <c r="AP25" s="330" t="n"/>
      <c r="AQ25" s="330" t="n"/>
      <c r="AR25" s="330" t="n"/>
      <c r="AS25" s="330" t="n"/>
      <c r="AT25" s="330" t="n"/>
      <c r="AU25" s="335" t="inlineStr">
        <is>
          <t>N-S &amp; E-W</t>
        </is>
      </c>
      <c r="AV25" s="300" t="n"/>
      <c r="AW25" s="339" t="n"/>
      <c r="AX25" s="339" t="n"/>
      <c r="AY25" s="467" t="inlineStr">
        <is>
          <t>N-S</t>
        </is>
      </c>
      <c r="AZ25" s="468" t="inlineStr">
        <is>
          <t>E-W</t>
        </is>
      </c>
      <c r="BA25" s="339" t="n"/>
      <c r="BB25" s="339" t="n"/>
      <c r="BC25" s="338" t="n"/>
      <c r="BD25" s="300" t="n"/>
      <c r="BE25" s="339" t="n"/>
      <c r="BF25" s="339" t="n"/>
      <c r="BG25" s="467" t="inlineStr">
        <is>
          <t>N-S</t>
        </is>
      </c>
      <c r="BH25" s="468" t="inlineStr">
        <is>
          <t>E-W</t>
        </is>
      </c>
      <c r="BI25" s="339" t="n"/>
      <c r="BJ25" s="339" t="n"/>
      <c r="BK25" s="338" t="n"/>
      <c r="BL25" s="300" t="n"/>
      <c r="BM25" s="339" t="n"/>
      <c r="BN25" s="339" t="n"/>
      <c r="BO25" s="467" t="inlineStr">
        <is>
          <t>N-S</t>
        </is>
      </c>
      <c r="BP25" s="468" t="inlineStr">
        <is>
          <t>E-W</t>
        </is>
      </c>
      <c r="BQ25" s="339" t="n"/>
      <c r="BR25" s="339" t="n"/>
      <c r="BS25" s="338" t="n"/>
      <c r="BT25" s="300" t="n"/>
      <c r="BU25" s="339" t="n"/>
      <c r="BV25" s="339" t="n"/>
      <c r="BW25" s="467" t="inlineStr">
        <is>
          <t>N-S</t>
        </is>
      </c>
      <c r="BX25" s="468" t="inlineStr">
        <is>
          <t>E-W</t>
        </is>
      </c>
      <c r="BY25" s="339" t="n"/>
      <c r="BZ25" s="339" t="n"/>
      <c r="CA25" s="338" t="n"/>
    </row>
    <row r="26" ht="12" customHeight="1" s="613">
      <c r="A26" s="429" t="inlineStr">
        <is>
          <t>deg.</t>
        </is>
      </c>
      <c r="B26" s="295">
        <f>IF(NOT(ISBLANK(D26)),D26,DGET('Grid Numbers'!$A$2:$L$4952,'Grid Numbers'!$I$2,$B$66:$H$67))</f>
        <v/>
      </c>
      <c r="C26" s="700" t="n"/>
      <c r="D26" s="504" t="n"/>
      <c r="G26" s="686" t="inlineStr">
        <is>
          <t>Quadrant 2</t>
        </is>
      </c>
      <c r="H26" s="677" t="n"/>
      <c r="I26" s="337" t="n"/>
      <c r="L26" s="310" t="n"/>
      <c r="M26" s="309" t="n"/>
      <c r="Q26" s="686" t="inlineStr">
        <is>
          <t>Quadrant 1</t>
        </is>
      </c>
      <c r="R26" s="677" t="n"/>
      <c r="U26" s="504" t="n"/>
      <c r="V26" s="646" t="n"/>
      <c r="W26" s="474">
        <f>IF(NOT(ISBLANK(U26)),U26,DGET('Grid Numbers'!$A$2:$L$4952,'Grid Numbers'!$I$2,$B$74:$H$75))</f>
        <v/>
      </c>
      <c r="X26" s="426" t="inlineStr">
        <is>
          <t>deg.</t>
        </is>
      </c>
      <c r="AA26" s="689" t="n"/>
      <c r="AB26" s="689" t="n"/>
      <c r="AC26" s="480" t="n">
        <v>1</v>
      </c>
      <c r="AD26" s="319" t="inlineStr">
        <is>
          <t>BHL1</t>
        </is>
      </c>
      <c r="AE26" s="327">
        <f>IF(AND($AS$24+$AI$8&gt;0,$AN$24+$AK$8&gt;0),$AE$24+$AI$8,"")</f>
        <v/>
      </c>
      <c r="AF26" s="327">
        <f>IF(AND($AS$24+$AI$8&gt;0,$AN$24+$AK$8&gt;0),$AF$24+$AK$8,"")</f>
        <v/>
      </c>
      <c r="AG26" s="326">
        <f>IF($AE$26="","",$AY$26+$AE$26)</f>
        <v/>
      </c>
      <c r="AH26" s="326">
        <f>IF($AF$26="","",$AZ$26+$AF$26)</f>
        <v/>
      </c>
      <c r="AI26" s="326">
        <f>IF($AE$26="","",$BG$26+$AY$26+$AE$26)</f>
        <v/>
      </c>
      <c r="AJ26" s="326">
        <f>IF($AF$26="","",$AZ$26+$BH$26+$AF$26)</f>
        <v/>
      </c>
      <c r="AK26" s="326">
        <f>IF($AE$26="","",$BW$26+$AE$26)</f>
        <v/>
      </c>
      <c r="AL26" s="326">
        <f>IF($AF$26="","",$AF$26+$BX$26)</f>
        <v/>
      </c>
      <c r="AM26" s="326">
        <f>IF($AE$26="","",$AW$22+$AE$26)</f>
        <v/>
      </c>
      <c r="AN26" s="326">
        <f>IF($AF$26="","",$AX$22+$AF$26)</f>
        <v/>
      </c>
      <c r="AO26" s="326">
        <f>IF($AE$26="","",$AY$26+$AE$26+$BE$22)</f>
        <v/>
      </c>
      <c r="AP26" s="326">
        <f>IF($AF$26="","",$AZ$26+$AF$26+$BF$22)</f>
        <v/>
      </c>
      <c r="AQ26" s="326">
        <f>IF($AE$26="","",$BW$26+$AE$26+$BQ$22)</f>
        <v/>
      </c>
      <c r="AR26" s="326">
        <f>IF($AF$26="","",$AF$26+$BX$26+$BR$22)</f>
        <v/>
      </c>
      <c r="AS26" s="326">
        <f>IF($AE$26="","",$BY$22+$AE$26)</f>
        <v/>
      </c>
      <c r="AT26" s="326">
        <f>IF($AF$26="","",$AF$26+$BZ$22)</f>
        <v/>
      </c>
      <c r="AU26" s="335" t="n"/>
      <c r="AV26" s="478" t="n"/>
      <c r="AY26" s="766">
        <f>AW22+BA22</f>
        <v/>
      </c>
      <c r="AZ26" s="767">
        <f>AX22+BB22</f>
        <v/>
      </c>
      <c r="BC26" s="481" t="n"/>
      <c r="BD26" s="478" t="n"/>
      <c r="BG26" s="766">
        <f>BE22+BI22</f>
        <v/>
      </c>
      <c r="BH26" s="767">
        <f>BF22+BJ22</f>
        <v/>
      </c>
      <c r="BK26" s="481" t="n"/>
      <c r="BL26" s="478" t="n"/>
      <c r="BO26" s="766">
        <f>BM22+BQ22</f>
        <v/>
      </c>
      <c r="BP26" s="767">
        <f>BN22+BR22</f>
        <v/>
      </c>
      <c r="BS26" s="481" t="n"/>
      <c r="BT26" s="478" t="n"/>
      <c r="BW26" s="766">
        <f>BU22+BY22</f>
        <v/>
      </c>
      <c r="BX26" s="767">
        <f>BV22+BZ22</f>
        <v/>
      </c>
      <c r="BZ26" s="693" t="n"/>
      <c r="CA26" s="481" t="n"/>
    </row>
    <row r="27" ht="12" customHeight="1" s="613">
      <c r="A27" s="429" t="inlineStr">
        <is>
          <t>min.</t>
        </is>
      </c>
      <c r="B27" s="295">
        <f>IF(NOT(ISBLANK(D27)),D27,DGET('Grid Numbers'!$A$2:$L$4952,'Grid Numbers'!$J$2,$B$66:$H$67))</f>
        <v/>
      </c>
      <c r="C27" s="700" t="n"/>
      <c r="D27" s="504" t="n"/>
      <c r="G27" s="322">
        <f>IF(ISNUMBER($AG$48),$B$7,"")</f>
        <v/>
      </c>
      <c r="H27" s="314">
        <f>IF(AND(G28="",G28=""),"",IF($AG$48=1,"NE/NW",IF($AG$48=2,"NW/NW",IF($AG$48=3,"SW/NW",IF($AG$48=4,"SE/NW","")))))</f>
        <v/>
      </c>
      <c r="L27" s="310" t="n"/>
      <c r="M27" s="309" t="n"/>
      <c r="Q27" s="322">
        <f>IF(ISNUMBER($AE$48),$B$7,"")</f>
        <v/>
      </c>
      <c r="R27" s="314">
        <f>IF(AND(Q28="",Q28=""),"",IF($AE$48=1,"NE/NE",IF($AE$48=2,"NW/NE",IF($AE$48=3,"SW/NE",IF($AE$48=4,"SE/NE","")))))</f>
        <v/>
      </c>
      <c r="U27" s="504" t="n"/>
      <c r="V27" s="646" t="n"/>
      <c r="W27" s="474">
        <f>IF(NOT(ISBLANK(U27)),U27,DGET('Grid Numbers'!$A$2:$L$4952,'Grid Numbers'!$J$2,$B$74:$H$75))</f>
        <v/>
      </c>
      <c r="X27" s="426" t="inlineStr">
        <is>
          <t>min.</t>
        </is>
      </c>
      <c r="AA27" s="689" t="n"/>
      <c r="AB27" s="689" t="n"/>
      <c r="AC27" s="480" t="n">
        <v>2</v>
      </c>
      <c r="AD27" s="319" t="inlineStr">
        <is>
          <t>BHL1</t>
        </is>
      </c>
      <c r="AE27" s="326">
        <f>IF($AG$27="","",$AG$27-$AY$26)</f>
        <v/>
      </c>
      <c r="AF27" s="326">
        <f>IF($AH$27="","",$AH$27-$AZ$26)</f>
        <v/>
      </c>
      <c r="AG27" s="327">
        <f>IF(AND($AO$24+$AI$8&gt;0,$AN$24+$AK$8&lt;0),$AG$24+$AI$8,"")</f>
        <v/>
      </c>
      <c r="AH27" s="327">
        <f>IF(AND($AO$24+$AI$8&gt;0,$AN$24+$AK$8&lt;0),$AH$24+$AK$8,"")</f>
        <v/>
      </c>
      <c r="AI27" s="326">
        <f>IF($AG$27="","",$BG$26+$AG$27)</f>
        <v/>
      </c>
      <c r="AJ27" s="326">
        <f>IF($AH$27="","",$AH$27+$BH$26)</f>
        <v/>
      </c>
      <c r="AK27" s="326">
        <f>IF($AG$27="","",$AG$27-$AY$26+$BW$26)</f>
        <v/>
      </c>
      <c r="AL27" s="326">
        <f>IF($AH$27="","",$AH$27-$AZ$26+$BX$26)</f>
        <v/>
      </c>
      <c r="AM27" s="326">
        <f>IF($AG$27="","",$AG$27-$BA$22)</f>
        <v/>
      </c>
      <c r="AN27" s="326">
        <f>IF($AH$27="","",AH$27-$BB$22)</f>
        <v/>
      </c>
      <c r="AO27" s="326">
        <f>IF($AG$27="","",$BE$22+$AG$27)</f>
        <v/>
      </c>
      <c r="AP27" s="326">
        <f>IF($AH$27="","",$AH$27+$BF$22)</f>
        <v/>
      </c>
      <c r="AQ27" s="326">
        <f>IF($AG$27="","",$BG$26+$AG$27-$BM$22)</f>
        <v/>
      </c>
      <c r="AR27" s="326">
        <f>IF($AH$27="","",$AH$27+$BH$26-$BN$22)</f>
        <v/>
      </c>
      <c r="AS27" s="326">
        <f>IF($AG$27="","",$AG$27-$AY$26+$BY$22)</f>
        <v/>
      </c>
      <c r="AT27" s="326">
        <f>IF($AH$27="","",$AH$27-$AZ$26+$BZ$22)</f>
        <v/>
      </c>
      <c r="AU27" s="335" t="n"/>
      <c r="BZ27" s="693" t="n"/>
      <c r="CA27" s="693" t="n"/>
    </row>
    <row r="28" ht="12" customHeight="1" s="613">
      <c r="A28" s="429" t="inlineStr">
        <is>
          <t>sec.</t>
        </is>
      </c>
      <c r="B28" s="295">
        <f>IF(NOT(ISBLANK(D28)),D28,DGET('Grid Numbers'!$A$2:$L$4952,'Grid Numbers'!$K$2,$B$66:$H$67))</f>
        <v/>
      </c>
      <c r="C28" s="700" t="n"/>
      <c r="D28" s="505" t="n"/>
      <c r="G28" s="311">
        <f>IF(ISNUMBER($AG$48),$I$7,"")</f>
        <v/>
      </c>
      <c r="H28" s="311">
        <f>IF(ISNUMBER($AG$48),"FNL","")</f>
        <v/>
      </c>
      <c r="J28" s="693" t="n"/>
      <c r="K28" s="693" t="n"/>
      <c r="L28" s="310" t="n"/>
      <c r="M28" s="309" t="n"/>
      <c r="Q28" s="311">
        <f>IF(ISNUMBER($AE$48),$I$7,"")</f>
        <v/>
      </c>
      <c r="R28" s="311">
        <f>IF(ISNUMBER($AE$48),"FNL","")</f>
        <v/>
      </c>
      <c r="U28" s="505" t="n"/>
      <c r="V28" s="646" t="n"/>
      <c r="W28" s="474">
        <f>IF(NOT(ISBLANK(U28)),U28,DGET('Grid Numbers'!$A$2:$L$4952,'Grid Numbers'!$K$2,$B$74:$H$75))</f>
        <v/>
      </c>
      <c r="X28" s="426" t="inlineStr">
        <is>
          <t>sec.</t>
        </is>
      </c>
      <c r="AA28" s="689" t="n"/>
      <c r="AB28" s="689" t="n"/>
      <c r="AC28" s="480" t="n">
        <v>3</v>
      </c>
      <c r="AD28" s="319" t="inlineStr">
        <is>
          <t>BHL1</t>
        </is>
      </c>
      <c r="AE28" s="326">
        <f>IF($AI$28="","",$AI$28-$BG$26-$AY$26)</f>
        <v/>
      </c>
      <c r="AF28" s="328">
        <f>IF($AJ$28="","",$AJ$28-$BH$26-$AZ$26)</f>
        <v/>
      </c>
      <c r="AG28" s="326">
        <f>IF($AI$28="","",$AI$28-$BG$26)</f>
        <v/>
      </c>
      <c r="AH28" s="326">
        <f>IF($AJ$28="","",$AJ$28-$BH$26)</f>
        <v/>
      </c>
      <c r="AI28" s="327">
        <f>IF(AND($AO$24+$AI$8&lt;0,$AR$24+$AK$8&lt;0),$AI$24+$AI$8,"")</f>
        <v/>
      </c>
      <c r="AJ28" s="327">
        <f>IF(AND($AO$24+$AI$8&lt;0,$AR$24+$AK$8&lt;0),$AJ$24+$AK$8,"")</f>
        <v/>
      </c>
      <c r="AK28" s="326">
        <f>IF($AI$28="","",$AI$28-$BO$26)</f>
        <v/>
      </c>
      <c r="AL28" s="326">
        <f>IF($AJ$28="","",$AJ$28-$BP$26)</f>
        <v/>
      </c>
      <c r="AM28" s="326">
        <f>IF($AI$28="","",$AI$28-$BG$26-$BA$26)</f>
        <v/>
      </c>
      <c r="AN28" s="326">
        <f>IF($AJ$28="","",$AJ$28-$BH$26-$BB$26)</f>
        <v/>
      </c>
      <c r="AO28" s="326">
        <f>IF($AI$28="","",$AI$28-$BI$26)</f>
        <v/>
      </c>
      <c r="AP28" s="326">
        <f>IF($AJ$28="","",$AJ$28-$BJ$26)</f>
        <v/>
      </c>
      <c r="AQ28" s="326">
        <f>IF($AI$28="","",$AI$28-$BM$26)</f>
        <v/>
      </c>
      <c r="AR28" s="326">
        <f>IF($AJ$28="","",$AJ$28-$BN$26)</f>
        <v/>
      </c>
      <c r="AS28" s="326">
        <f>IF($AI$28="","",$AI$28-$BO$26-$BU$26)</f>
        <v/>
      </c>
      <c r="AT28" s="326">
        <f>IF($AJ$28="","",$AJ$28-$BP$26-$BV$22)</f>
        <v/>
      </c>
      <c r="AU28" s="335" t="inlineStr">
        <is>
          <t>Cosine</t>
        </is>
      </c>
      <c r="AV28" s="773">
        <f>$AW$19/($AV$19^2+$AW$19^2)^0.5</f>
        <v/>
      </c>
      <c r="AW28" s="773" t="n"/>
      <c r="AX28" s="773">
        <f>$AY$19/($AX$19^2+$AY$19^2)^0.5</f>
        <v/>
      </c>
      <c r="AY28" s="764" t="n"/>
      <c r="AZ28" s="773">
        <f>$BA$19/($AZ$19^2+$BA$19^2)^0.5</f>
        <v/>
      </c>
      <c r="BA28" s="773" t="n"/>
      <c r="BB28" s="773">
        <f>$BC$19/($BB$19^2+$BC$19^2)^0.5</f>
        <v/>
      </c>
      <c r="BC28" s="764" t="n"/>
      <c r="BD28" s="773">
        <f>$BD$19/($BD$19^2+$BE$19^2)^0.5</f>
        <v/>
      </c>
      <c r="BE28" s="773" t="n"/>
      <c r="BF28" s="773">
        <f>$BF$19/($BF$19^2+$BG$19^2)^0.5</f>
        <v/>
      </c>
      <c r="BG28" s="764" t="n"/>
      <c r="BH28" s="773">
        <f>$BH$19/($BH$19^2+$BI$19^2)^0.5</f>
        <v/>
      </c>
      <c r="BI28" s="773" t="n"/>
      <c r="BJ28" s="773">
        <f>$BJ$19/($BJ$19^2+$BK$19^2)^0.5</f>
        <v/>
      </c>
      <c r="BK28" s="764" t="n"/>
      <c r="BL28" s="773">
        <f>$BM$19/($BL$19^2+$BM$19^2)^0.5</f>
        <v/>
      </c>
      <c r="BM28" s="773" t="n"/>
      <c r="BN28" s="773">
        <f>$BO$19/($BN$19^2+$BO$19^2)^0.5</f>
        <v/>
      </c>
      <c r="BO28" s="764" t="n"/>
      <c r="BP28" s="773">
        <f>$BQ$19/($BP$19^2+$BQ$19^2)^0.5</f>
        <v/>
      </c>
      <c r="BQ28" s="773" t="n"/>
      <c r="BR28" s="773">
        <f>$BS$19/($BR$19^2+$BS$19^2)^0.5</f>
        <v/>
      </c>
      <c r="BS28" s="764" t="n"/>
      <c r="BT28" s="773">
        <f>$BT$19/($BT$19^2+$BU$19^2)^0.5</f>
        <v/>
      </c>
      <c r="BU28" s="773" t="n"/>
      <c r="BV28" s="773">
        <f>$BV$19/($BV$19^2+$BW$19^2)^0.5</f>
        <v/>
      </c>
      <c r="BW28" s="764" t="n"/>
      <c r="BX28" s="773">
        <f>$BX$19/($BX$19^2+$BY$19^2)^0.5</f>
        <v/>
      </c>
      <c r="BY28" s="773" t="n"/>
      <c r="BZ28" s="773">
        <f>$BZ$19/($BZ$19^2+$CA$19^2)^0.5</f>
        <v/>
      </c>
      <c r="CA28" s="764" t="n"/>
    </row>
    <row r="29" ht="12" customHeight="1" s="613">
      <c r="A29" s="429" t="inlineStr">
        <is>
          <t>dir.</t>
        </is>
      </c>
      <c r="B29" s="321">
        <f>IF(NOT(ISBLANK(D29)),D29,DGET('Grid Numbers'!$A$2:$L$4952,'Grid Numbers'!$L$2,$B$66:$H$67))</f>
        <v/>
      </c>
      <c r="C29" s="700" t="n"/>
      <c r="D29" s="508" t="n"/>
      <c r="G29" s="307">
        <f>IF(ISNUMBER($AG$48),$K$7,"")</f>
        <v/>
      </c>
      <c r="H29" s="307">
        <f>IF(ISNUMBER($AG$48),"FWL","")</f>
        <v/>
      </c>
      <c r="J29" s="693" t="n"/>
      <c r="K29" s="693" t="n"/>
      <c r="L29" s="310" t="n"/>
      <c r="M29" s="309" t="n"/>
      <c r="Q29" s="307">
        <f>IF(ISNUMBER($AE$48),$K$7,"")</f>
        <v/>
      </c>
      <c r="R29" s="307">
        <f>IF(ISNUMBER($AE$48),"FEL","")</f>
        <v/>
      </c>
      <c r="U29" s="508" t="n"/>
      <c r="V29" s="646" t="n"/>
      <c r="W29" s="321">
        <f>IF(NOT(ISBLANK(U29)),U29,DGET('Grid Numbers'!$A$2:$L$4952,'Grid Numbers'!$L$2,$B$74:$H$75))</f>
        <v/>
      </c>
      <c r="X29" s="426" t="inlineStr">
        <is>
          <t>dir.</t>
        </is>
      </c>
      <c r="AA29" s="689" t="n"/>
      <c r="AB29" s="689" t="n"/>
      <c r="AC29" s="469" t="n">
        <v>4</v>
      </c>
      <c r="AD29" s="676" t="inlineStr">
        <is>
          <t>BHL1</t>
        </is>
      </c>
      <c r="AE29" s="324">
        <f>IF($AK$29="","",$AK$29-$BW$26)</f>
        <v/>
      </c>
      <c r="AF29" s="324">
        <f>IF($AL$29="","",$AL$29-$BX$26)</f>
        <v/>
      </c>
      <c r="AG29" s="324">
        <f>IF($AK$29="","",$AK$29+$BO$26-$BG$26)</f>
        <v/>
      </c>
      <c r="AH29" s="324">
        <f>IF($AL$29="","",$AL$29+$BP$26+$BH$26)</f>
        <v/>
      </c>
      <c r="AI29" s="324">
        <f>IF($AK$29="","",$AK$29+$BO$26)</f>
        <v/>
      </c>
      <c r="AJ29" s="324">
        <f>IF($AL$29="","",$AL$29+$BP$26)</f>
        <v/>
      </c>
      <c r="AK29" s="325">
        <f>IF(AND($AS$24+$AI$8&lt;0,$AR$24+$AK$8&gt;0),$AK$24+$AI$8,"")</f>
        <v/>
      </c>
      <c r="AL29" s="325">
        <f>IF(AND($AS$24+$AI$8&lt;0,$AR$24+$AK$8&gt;0),$AL$24+$AK$8,"")</f>
        <v/>
      </c>
      <c r="AM29" s="324">
        <f>IF($AK$29="","",$AK$29-$BW$26+$AW$22)</f>
        <v/>
      </c>
      <c r="AN29" s="324">
        <f>IF($AL$29="","",$AL$29-$BX$26+$AX$22)</f>
        <v/>
      </c>
      <c r="AO29" s="324">
        <f>IF($AK$29="","",$AK$29+$BO$26-$BI$22)</f>
        <v/>
      </c>
      <c r="AP29" s="324">
        <f>IF($AL$29="","",$AL$29+$BP$26-$BJ$22)</f>
        <v/>
      </c>
      <c r="AQ29" s="324">
        <f>IF($AK$29="","",$AK$29+$BQ$22)</f>
        <v/>
      </c>
      <c r="AR29" s="324">
        <f>IF($AL$29="","",$AL$29+$BR$22)</f>
        <v/>
      </c>
      <c r="AS29" s="324">
        <f>IF($AK$29="","",$AK$29-$BU$22)</f>
        <v/>
      </c>
      <c r="AT29" s="324">
        <f>IF($AL$29="","",$AL$29-$BV$22)</f>
        <v/>
      </c>
      <c r="AV29" s="764" t="n"/>
      <c r="AW29" s="764" t="n"/>
      <c r="AX29" s="764" t="n"/>
      <c r="AY29" s="764" t="n"/>
      <c r="AZ29" s="764" t="n"/>
      <c r="BA29" s="764" t="n"/>
      <c r="BB29" s="764" t="n"/>
      <c r="BC29" s="764" t="n"/>
      <c r="BD29" s="764" t="n"/>
      <c r="BE29" s="764" t="n"/>
      <c r="BF29" s="764" t="n"/>
      <c r="BG29" s="764" t="n"/>
      <c r="BH29" s="764" t="n"/>
      <c r="BI29" s="764" t="n"/>
      <c r="BJ29" s="764" t="n"/>
      <c r="BK29" s="764" t="n"/>
      <c r="BL29" s="764" t="n"/>
      <c r="BM29" s="764" t="n"/>
      <c r="BN29" s="764" t="n"/>
      <c r="BO29" s="764" t="n"/>
      <c r="BP29" s="764" t="n"/>
      <c r="BQ29" s="764" t="n"/>
      <c r="BR29" s="764" t="n"/>
      <c r="BS29" s="764" t="n"/>
      <c r="BT29" s="764" t="n"/>
      <c r="BU29" s="764" t="n"/>
      <c r="BV29" s="764" t="n"/>
      <c r="BW29" s="764" t="n"/>
      <c r="BX29" s="764" t="n"/>
      <c r="BY29" s="764" t="n"/>
      <c r="BZ29" s="764" t="n"/>
      <c r="CA29" s="764" t="n"/>
    </row>
    <row r="30" ht="12" customHeight="1" s="613">
      <c r="A30" s="429" t="inlineStr">
        <is>
          <t>dec. deg.</t>
        </is>
      </c>
      <c r="B30" s="771">
        <f>IF(B26="","",IF(OR(B29=1,B29=4),180-(B26+B27/60+B28/3600),180+(B26+B27/60+B28/3600)))</f>
        <v/>
      </c>
      <c r="C30" s="700" t="n"/>
      <c r="G30" s="315">
        <f>IF(ISNUMBER($AG$58),$B$8,"")</f>
        <v/>
      </c>
      <c r="H30" s="314">
        <f>IF(AND(G31="",G32=""),"",IF($AG$58=1,"NE/NW",IF($AG$58=2,"NW/NW",IF($AG$58=3,"SW/NW",IF($AG$58=4,"SE/NW","")))))</f>
        <v/>
      </c>
      <c r="J30" s="427" t="n"/>
      <c r="K30" s="427" t="n"/>
      <c r="L30" s="310" t="n"/>
      <c r="M30" s="309" t="n"/>
      <c r="Q30" s="334">
        <f>IF(ISNUMBER($AE$58),$B$8,"")</f>
        <v/>
      </c>
      <c r="R30" s="314">
        <f>IF(AND(Q31="",Q32=""),"",IF($AE$58=1,"NE/NE",IF($AE$58=2,"NW/NE",IF($AE$58=3,"SW/NE",IF($AE$58=4,"SE/NE","")))))</f>
        <v/>
      </c>
      <c r="V30" s="646" t="n"/>
      <c r="W30" s="770">
        <f>IF(W26="","",IF(OR(W29=1,W29=4),180-(W26+W27/60+W28/3600),180+(W26+W27/60+W28/3600)))</f>
        <v/>
      </c>
      <c r="X30" s="426" t="inlineStr">
        <is>
          <t>dec. deg.</t>
        </is>
      </c>
      <c r="AA30" s="689" t="n"/>
      <c r="AB30" s="689" t="n"/>
      <c r="AC30" s="671" t="n"/>
      <c r="AD30" s="617" t="n"/>
      <c r="AE30" s="323">
        <f>IF(ISNUMBER($AE$26),AE$26,IF(ISNUMBER($AG$27),AE$27,IF(ISNUMBER($AI$28),AE$28,IF(ISNUMBER($AK$29),AE$29,""))))</f>
        <v/>
      </c>
      <c r="AF30" s="323">
        <f>IF(ISNUMBER($AF$26),AF$26,IF(ISNUMBER($AH$27),AF$27,IF(ISNUMBER($AJ$28),AF$28,IF(ISNUMBER($AL$29),AF$29,""))))</f>
        <v/>
      </c>
      <c r="AG30" s="323">
        <f>IF(ISNUMBER($AE$26),AG$26,IF(ISNUMBER($AG$27),AG$27,IF(ISNUMBER($AI$28),AG$28,IF(ISNUMBER($AK$29),AG$29,""))))</f>
        <v/>
      </c>
      <c r="AH30" s="323">
        <f>IF(ISNUMBER($AF$26),AH$26,IF(ISNUMBER($AH$27),AH$27,IF(ISNUMBER($AJ$28),AH$28,IF(ISNUMBER($AL$29),AH$29,""))))</f>
        <v/>
      </c>
      <c r="AI30" s="323">
        <f>IF(ISNUMBER($AE$26),AI$26,IF(ISNUMBER($AG$27),AI$27,IF(ISNUMBER($AI$28),AI$28,IF(ISNUMBER($AK$29),AI$29,""))))</f>
        <v/>
      </c>
      <c r="AJ30" s="323">
        <f>IF(ISNUMBER($AF$26),AJ$26,IF(ISNUMBER($AH$27),AJ$27,IF(ISNUMBER($AJ$28),AJ$28,IF(ISNUMBER($AL$29),AJ$29,""))))</f>
        <v/>
      </c>
      <c r="AK30" s="323">
        <f>IF(ISNUMBER($AE$26),AK$26,IF(ISNUMBER($AG$27),AK$27,IF(ISNUMBER($AI$28),AK$28,IF(ISNUMBER($AK$29),AK$29,""))))</f>
        <v/>
      </c>
      <c r="AL30" s="323">
        <f>IF(ISNUMBER($AF$26),AL$26,IF(ISNUMBER($AH$27),AL$27,IF(ISNUMBER($AJ$28),AL$28,IF(ISNUMBER($AL$29),AL$29,""))))</f>
        <v/>
      </c>
      <c r="AM30" s="323">
        <f>IF(ISNUMBER($AE$26),AM$26,IF(ISNUMBER($AG$27),AM$27,IF(ISNUMBER($AI$28),AM$28,IF(ISNUMBER($AK$29),AM$29,""))))</f>
        <v/>
      </c>
      <c r="AN30" s="323">
        <f>IF(ISNUMBER($AF$26),AN$26,IF(ISNUMBER($AH$27),AN$27,IF(ISNUMBER($AJ$28),AN$28,IF(ISNUMBER($AL$29),AN$29,""))))</f>
        <v/>
      </c>
      <c r="AO30" s="323">
        <f>IF(ISNUMBER($AE$26),AO$26,IF(ISNUMBER($AG$27),AO$27,IF(ISNUMBER($AI$28),AO$28,IF(ISNUMBER($AK$29),AO$29,""))))</f>
        <v/>
      </c>
      <c r="AP30" s="323">
        <f>IF(ISNUMBER($AF$26),AP$26,IF(ISNUMBER($AH$27),AP$27,IF(ISNUMBER($AJ$28),AP$28,IF(ISNUMBER($AL$29),AP$29,""))))</f>
        <v/>
      </c>
      <c r="AQ30" s="323">
        <f>IF(ISNUMBER($AE$26),AQ$26,IF(ISNUMBER($AG$27),AQ$27,IF(ISNUMBER($AI$28),AQ$28,IF(ISNUMBER($AK$29),AQ$29,""))))</f>
        <v/>
      </c>
      <c r="AR30" s="323">
        <f>IF(ISNUMBER($AF$26),AR$26,IF(ISNUMBER($AH$27),AR$27,IF(ISNUMBER($AJ$28),AR$28,IF(ISNUMBER($AL$29),AR$29,""))))</f>
        <v/>
      </c>
      <c r="AS30" s="323">
        <f>IF(ISNUMBER($AE$26),AS$26,IF(ISNUMBER($AG$27),AS$27,IF(ISNUMBER($AI$28),AS$28,IF(ISNUMBER($AK$29),AS$29,""))))</f>
        <v/>
      </c>
      <c r="AT30" s="323">
        <f>IF(ISNUMBER($AF$26),AT$26,IF(ISNUMBER($AH$27),AT$27,IF(ISNUMBER($AJ$28),AT$28,IF(ISNUMBER($AL$29),AT$29,""))))</f>
        <v/>
      </c>
      <c r="AV30" s="764" t="n"/>
      <c r="AW30" s="764" t="n"/>
      <c r="AX30" s="764" t="n"/>
      <c r="AY30" s="764" t="n"/>
      <c r="AZ30" s="764" t="n"/>
      <c r="BA30" s="764" t="n"/>
      <c r="BB30" s="764" t="n"/>
      <c r="BC30" s="764" t="n"/>
      <c r="BD30" s="764" t="n"/>
      <c r="BE30" s="764" t="n"/>
      <c r="BF30" s="764" t="n"/>
      <c r="BG30" s="764" t="n"/>
      <c r="BH30" s="764" t="n"/>
      <c r="BI30" s="764" t="n"/>
      <c r="BJ30" s="764" t="n"/>
      <c r="BK30" s="764" t="n"/>
      <c r="BL30" s="764" t="n"/>
      <c r="BM30" s="764" t="n"/>
      <c r="BN30" s="764" t="n"/>
      <c r="BO30" s="764" t="n"/>
      <c r="BP30" s="764" t="n"/>
      <c r="BQ30" s="764" t="n"/>
      <c r="BR30" s="764" t="n"/>
      <c r="BS30" s="764" t="n"/>
      <c r="BT30" s="764" t="n"/>
      <c r="BU30" s="764" t="n"/>
      <c r="BV30" s="764" t="n"/>
      <c r="BW30" s="764" t="n"/>
      <c r="BX30" s="764" t="n"/>
      <c r="BY30" s="764" t="n"/>
      <c r="BZ30" s="764" t="n"/>
      <c r="CA30" s="764" t="n"/>
    </row>
    <row r="31" ht="12" customHeight="1" s="613">
      <c r="C31" s="700" t="n"/>
      <c r="G31" s="312">
        <f>IF(ISNUMBER($AG$58),$I$8,"")</f>
        <v/>
      </c>
      <c r="H31" s="311">
        <f>IF(ISNUMBER($AG$58),"FNL","")</f>
        <v/>
      </c>
      <c r="J31" s="427" t="n"/>
      <c r="K31" s="427" t="n"/>
      <c r="L31" s="310" t="n"/>
      <c r="M31" s="309" t="n"/>
      <c r="Q31" s="312">
        <f>IF(ISNUMBER($AE$58),$I$8,"")</f>
        <v/>
      </c>
      <c r="R31" s="311">
        <f>IF(ISNUMBER($AE$58),"FNL","")</f>
        <v/>
      </c>
      <c r="V31" s="646" t="n"/>
      <c r="AA31" s="689" t="n"/>
      <c r="AB31" s="689" t="n"/>
      <c r="AC31" s="482" t="n"/>
      <c r="AD31" s="331" t="n"/>
      <c r="AE31" s="330" t="n"/>
      <c r="AF31" s="330" t="n"/>
      <c r="AG31" s="330" t="n"/>
      <c r="AH31" s="330" t="n"/>
      <c r="AI31" s="330" t="n"/>
      <c r="AJ31" s="330" t="n"/>
      <c r="AK31" s="330" t="n"/>
      <c r="AL31" s="330" t="n"/>
      <c r="AM31" s="330" t="n"/>
      <c r="AN31" s="330" t="n"/>
      <c r="AO31" s="330" t="n"/>
      <c r="AP31" s="330" t="n"/>
      <c r="AQ31" s="330" t="n"/>
      <c r="AR31" s="330" t="n"/>
      <c r="AS31" s="330" t="n"/>
      <c r="AT31" s="330" t="n"/>
      <c r="AV31" s="764" t="n"/>
      <c r="AW31" s="764" t="n"/>
      <c r="AX31" s="764" t="n"/>
      <c r="AY31" s="764" t="n"/>
      <c r="AZ31" s="764" t="n"/>
      <c r="BA31" s="764" t="n"/>
      <c r="BB31" s="764" t="n"/>
      <c r="BC31" s="764" t="n"/>
      <c r="BD31" s="764" t="n"/>
      <c r="BE31" s="764" t="n"/>
      <c r="BF31" s="764" t="n"/>
      <c r="BG31" s="764" t="n"/>
      <c r="BH31" s="764" t="n"/>
      <c r="BI31" s="764" t="n"/>
      <c r="BJ31" s="764" t="n"/>
      <c r="BK31" s="764" t="n"/>
      <c r="BL31" s="764" t="n"/>
      <c r="BM31" s="764" t="n"/>
      <c r="BN31" s="764" t="n"/>
      <c r="BO31" s="764" t="n"/>
      <c r="BP31" s="764" t="n"/>
      <c r="BQ31" s="764" t="n"/>
      <c r="BR31" s="764" t="n"/>
      <c r="BS31" s="764" t="n"/>
      <c r="BT31" s="764" t="n"/>
      <c r="BU31" s="764" t="n"/>
      <c r="BV31" s="764" t="n"/>
      <c r="BW31" s="764" t="n"/>
      <c r="BX31" s="764" t="n"/>
      <c r="BY31" s="764" t="n"/>
      <c r="BZ31" s="764" t="n"/>
      <c r="CA31" s="764" t="n"/>
    </row>
    <row r="32" ht="12" customHeight="1" s="613">
      <c r="C32" s="700" t="n"/>
      <c r="D32" s="503" t="inlineStr">
        <is>
          <t>OVERRIDE</t>
        </is>
      </c>
      <c r="F32" s="693" t="n"/>
      <c r="G32" s="308">
        <f>IF(ISNUMBER($AG$58),$K$8,"")</f>
        <v/>
      </c>
      <c r="H32" s="307">
        <f>IF(ISNUMBER($AG$58),"FWL","")</f>
        <v/>
      </c>
      <c r="I32" s="428" t="n"/>
      <c r="J32" s="427" t="n"/>
      <c r="K32" s="427" t="n"/>
      <c r="L32" s="310" t="n"/>
      <c r="M32" s="309" t="n"/>
      <c r="Q32" s="308">
        <f>IF(ISNUMBER($AE$58),$K$8,"")</f>
        <v/>
      </c>
      <c r="R32" s="307">
        <f>IF(ISNUMBER($AE$58),"FEL","")</f>
        <v/>
      </c>
      <c r="U32" s="503" t="inlineStr">
        <is>
          <t>OVERRIDE</t>
        </is>
      </c>
      <c r="V32" s="646" t="n"/>
      <c r="AA32" s="689" t="n"/>
      <c r="AB32" s="689" t="n"/>
      <c r="AC32" s="480" t="n">
        <v>1</v>
      </c>
      <c r="AD32" s="319" t="inlineStr">
        <is>
          <t>BHL2</t>
        </is>
      </c>
      <c r="AE32" s="327">
        <f>IF(AND($AS$24+$AI$9&gt;0,$AN$24+$AK$9&gt;0),$AE$24+$AI$9,"")</f>
        <v/>
      </c>
      <c r="AF32" s="327">
        <f>IF(AND($AS$24+$AI$9&gt;0,$AN$24+$AK$9&gt;0),$AF$24+$AK$9,"")</f>
        <v/>
      </c>
      <c r="AG32" s="326">
        <f>IF($AE$32="","",$AY$26+$AE$32)</f>
        <v/>
      </c>
      <c r="AH32" s="326">
        <f>IF($AF$32="","",$AZ$26+$AF$32)</f>
        <v/>
      </c>
      <c r="AI32" s="326">
        <f>IF($AE$32="","",$BG$26+$AY$26+$AE$32)</f>
        <v/>
      </c>
      <c r="AJ32" s="326">
        <f>IF($AF$32="","",$AZ$26+$BH$26+$AF$32)</f>
        <v/>
      </c>
      <c r="AK32" s="326">
        <f>IF($AE$32="","",$BW$26+$AE$32)</f>
        <v/>
      </c>
      <c r="AL32" s="326">
        <f>IF($AF$32="","",$AF$32+$BX$26)</f>
        <v/>
      </c>
      <c r="AM32" s="326">
        <f>IF($AE$32="","",$AW$22+$AE$32)</f>
        <v/>
      </c>
      <c r="AN32" s="326">
        <f>IF($AF$32="","",$AX$22+$AF$32)</f>
        <v/>
      </c>
      <c r="AO32" s="326">
        <f>IF($AE$32="","",$AY$26+$AE$32+$BE$22)</f>
        <v/>
      </c>
      <c r="AP32" s="326">
        <f>IF($AF$32="","",$AZ$26+$AF$32+$BF$22)</f>
        <v/>
      </c>
      <c r="AQ32" s="326">
        <f>IF($AE$32="","",$BW$26+$AE$32+$BQ$22)</f>
        <v/>
      </c>
      <c r="AR32" s="326">
        <f>IF($AF$32="","",$AF$32+$BX$26+$BR$22)</f>
        <v/>
      </c>
      <c r="AS32" s="326">
        <f>IF($AE$32="","",$BY$22+$AE$32)</f>
        <v/>
      </c>
      <c r="AT32" s="326">
        <f>IF($AF$32="","",$AF$32+$BZ$22)</f>
        <v/>
      </c>
      <c r="AV32" s="764" t="n"/>
      <c r="AW32" s="764" t="n"/>
      <c r="AX32" s="764" t="n"/>
      <c r="AY32" s="764" t="n"/>
      <c r="AZ32" s="764" t="n"/>
      <c r="BA32" s="764" t="n"/>
      <c r="BB32" s="764" t="n"/>
      <c r="BC32" s="764" t="n"/>
      <c r="BD32" s="764" t="n"/>
      <c r="BE32" s="764" t="n"/>
      <c r="BF32" s="764" t="n"/>
      <c r="BG32" s="764" t="n"/>
      <c r="BH32" s="764" t="n"/>
      <c r="BI32" s="764" t="n"/>
      <c r="BJ32" s="764" t="n"/>
      <c r="BK32" s="764" t="n"/>
      <c r="BL32" s="764" t="n"/>
      <c r="BM32" s="764" t="n"/>
      <c r="BN32" s="764" t="n"/>
      <c r="BO32" s="764" t="n"/>
      <c r="BP32" s="764" t="n"/>
      <c r="BQ32" s="764" t="n"/>
      <c r="BR32" s="764" t="n"/>
      <c r="BS32" s="764" t="n"/>
      <c r="BT32" s="764" t="n"/>
      <c r="BU32" s="764" t="n"/>
      <c r="BV32" s="764" t="n"/>
      <c r="BW32" s="764" t="n"/>
      <c r="BX32" s="764" t="n"/>
      <c r="BY32" s="764" t="n"/>
      <c r="BZ32" s="764" t="n"/>
      <c r="CA32" s="764" t="n"/>
    </row>
    <row r="33" ht="12" customHeight="1" s="613">
      <c r="A33" s="429" t="inlineStr">
        <is>
          <t>dist.</t>
        </is>
      </c>
      <c r="B33" s="303">
        <f>IF(NOT(ISBLANK(D33)),D33,DGET('Grid Numbers'!$A$2:$L$4952,'Grid Numbers'!$H$2,$B$68:$H$69))</f>
        <v/>
      </c>
      <c r="C33" s="700" t="n"/>
      <c r="D33" s="504" t="n"/>
      <c r="G33" s="315">
        <f>IF(ISNUMBER($AG$69),$B$9,"")</f>
        <v/>
      </c>
      <c r="H33" s="314">
        <f>IF(AND(G34="",G35=""),"",IF($AG$69=1,"NE/NW",IF($AG$69=2,"NW/NW",IF($AG$69=3,"SW/NW",IF($AG$69=4,"SE/NW","")))))</f>
        <v/>
      </c>
      <c r="J33" s="427" t="n"/>
      <c r="K33" s="427" t="n"/>
      <c r="L33" s="310" t="n"/>
      <c r="M33" s="309" t="n"/>
      <c r="Q33" s="334">
        <f>IF(ISNUMBER($AE$69),$B$9,"")</f>
        <v/>
      </c>
      <c r="R33" s="314">
        <f>IF(AND(Q34="",Q35=""),"",IF($AE$69=1,"NE/NE",IF($AE$69=2,"NW/NE",IF($AE$69=3,"SW/NE",IF($AE$69=4,"SE/NE","")))))</f>
        <v/>
      </c>
      <c r="S33" s="428" t="n"/>
      <c r="T33" s="427" t="n"/>
      <c r="U33" s="504" t="n"/>
      <c r="V33" s="646" t="n"/>
      <c r="W33" s="303">
        <f>IF(NOT(ISBLANK(U33)),U33,DGET('Grid Numbers'!$A$2:$L$4952,'Grid Numbers'!$H$2,$B$76:$H$77))</f>
        <v/>
      </c>
      <c r="X33" s="426" t="inlineStr">
        <is>
          <t>dist.</t>
        </is>
      </c>
      <c r="AA33" s="689" t="n"/>
      <c r="AB33" s="689" t="n"/>
      <c r="AC33" s="480" t="n">
        <v>2</v>
      </c>
      <c r="AD33" s="319" t="inlineStr">
        <is>
          <t>BHL2</t>
        </is>
      </c>
      <c r="AE33" s="326">
        <f>IF($AG$33="","",$AG$33-$AY$26)</f>
        <v/>
      </c>
      <c r="AF33" s="326">
        <f>IF($AH$33="","",$AH$33-$AZ$26)</f>
        <v/>
      </c>
      <c r="AG33" s="327">
        <f>IF(AND($AO$24+$AI$9&gt;0,$AN$24+$AK$9&lt;0),$AG$24+$AI$9,"")</f>
        <v/>
      </c>
      <c r="AH33" s="327">
        <f>IF(AND($AO$24+$AI$9&gt;0,$AN$24+$AK$9&lt;0),$AH$24+$AK$9,"")</f>
        <v/>
      </c>
      <c r="AI33" s="326">
        <f>IF($AG$33="","",$BG$26+$AG$33)</f>
        <v/>
      </c>
      <c r="AJ33" s="326">
        <f>IF($AH$33="","",$AH$33+$BH$26)</f>
        <v/>
      </c>
      <c r="AK33" s="326">
        <f>IF($AG$33="","",$AG$33-$AY$26+$BW$26)</f>
        <v/>
      </c>
      <c r="AL33" s="326">
        <f>IF($AH$33="","",$AH$33-$AZ$26+$BX$26)</f>
        <v/>
      </c>
      <c r="AM33" s="326">
        <f>IF($AG$33="","",$AG$33-$BA$22)</f>
        <v/>
      </c>
      <c r="AN33" s="326">
        <f>IF($AH$33="","",AH$33-$BB$22)</f>
        <v/>
      </c>
      <c r="AO33" s="326">
        <f>IF($AG$33="","",$BE$22+$AG$33)</f>
        <v/>
      </c>
      <c r="AP33" s="326">
        <f>IF($AH$33="","",$AH$33+$BF$22)</f>
        <v/>
      </c>
      <c r="AQ33" s="326">
        <f>IF($AG$33="","",$BG$26+$AG$33-$BM$22)</f>
        <v/>
      </c>
      <c r="AR33" s="326">
        <f>IF($AH$33="","",$AH$33+$BH$26-$BN$22)</f>
        <v/>
      </c>
      <c r="AS33" s="326">
        <f>IF($AG$33="","",$AG$33-$AY$26+$BY$22)</f>
        <v/>
      </c>
      <c r="AT33" s="326">
        <f>IF($AH$33="","",$AH$33-$AZ$26+$BZ$22)</f>
        <v/>
      </c>
    </row>
    <row r="34" ht="12" customHeight="1" s="613">
      <c r="A34" s="429" t="inlineStr">
        <is>
          <t>deg.</t>
        </is>
      </c>
      <c r="B34" s="296">
        <f>IF(NOT(ISBLANK(D34)),D34,DGET('Grid Numbers'!$A$2:$L$4952,'Grid Numbers'!$I$2,$B$68:$H$69))</f>
        <v/>
      </c>
      <c r="C34" s="700" t="n"/>
      <c r="D34" s="504" t="n"/>
      <c r="G34" s="312">
        <f>IF(ISNUMBER($AG$69),$I$9,"")</f>
        <v/>
      </c>
      <c r="H34" s="311">
        <f>IF(ISNUMBER($AG$69),"FNL","")</f>
        <v/>
      </c>
      <c r="J34" s="427" t="n"/>
      <c r="K34" s="427" t="n"/>
      <c r="L34" s="310" t="n"/>
      <c r="M34" s="309" t="n"/>
      <c r="Q34" s="312">
        <f>IF(ISNUMBER($AE$69),$I$9,"")</f>
        <v/>
      </c>
      <c r="R34" s="311">
        <f>IF(ISNUMBER($AE$69),"FNL","")</f>
        <v/>
      </c>
      <c r="S34" s="428" t="n"/>
      <c r="T34" s="427" t="n"/>
      <c r="U34" s="504" t="n"/>
      <c r="V34" s="646" t="n"/>
      <c r="W34" s="472">
        <f>IF(NOT(ISBLANK(U34)),U34,DGET('Grid Numbers'!$A$2:$L$4952,'Grid Numbers'!$I$2,$B$76:$H$77))</f>
        <v/>
      </c>
      <c r="X34" s="426" t="inlineStr">
        <is>
          <t>deg.</t>
        </is>
      </c>
      <c r="AA34" s="689" t="n"/>
      <c r="AB34" s="689" t="n"/>
      <c r="AC34" s="480" t="n">
        <v>3</v>
      </c>
      <c r="AD34" s="319" t="inlineStr">
        <is>
          <t>BHL2</t>
        </is>
      </c>
      <c r="AE34" s="326">
        <f>IF($AI$34="","",$AI$34-$BG$26-$AY$26)</f>
        <v/>
      </c>
      <c r="AF34" s="328">
        <f>IF($AJ$34="","",$AJ$34-$BH$26-$AZ$26)</f>
        <v/>
      </c>
      <c r="AG34" s="326">
        <f>IF($AI$34="","",$AI$34-$BG$26)</f>
        <v/>
      </c>
      <c r="AH34" s="326">
        <f>IF($AJ$34="","",$AJ$34-$BH$26)</f>
        <v/>
      </c>
      <c r="AI34" s="327">
        <f>IF(AND($AO$24+$AI$9&lt;0,$AR$24+$AK$9&lt;0),$AI$24+$AI$9,"")</f>
        <v/>
      </c>
      <c r="AJ34" s="327">
        <f>IF(AND($AO$24+$AI$9&lt;0,$AR$24+$AK$9&lt;0),$AJ$24+$AK$9,"")</f>
        <v/>
      </c>
      <c r="AK34" s="326">
        <f>IF($AI$34="","",$AI$34-$BO$26)</f>
        <v/>
      </c>
      <c r="AL34" s="326">
        <f>IF($AJ$34="","",$AJ$34-$BP$26)</f>
        <v/>
      </c>
      <c r="AM34" s="326">
        <f>IF($AI$34="","",$AI$34-$BG$26-$BA$26)</f>
        <v/>
      </c>
      <c r="AN34" s="326">
        <f>IF($AJ$34="","",$AJ$34-$BH$26-$BB$26)</f>
        <v/>
      </c>
      <c r="AO34" s="326">
        <f>IF($AI$34="","",$AI$34-$BI$26)</f>
        <v/>
      </c>
      <c r="AP34" s="326">
        <f>IF($AJ$34="","",$AJ$34-$BJ$26)</f>
        <v/>
      </c>
      <c r="AQ34" s="326">
        <f>IF($AI$34="","",$AI$34-$BM$26)</f>
        <v/>
      </c>
      <c r="AR34" s="326">
        <f>IF($AJ$34="","",$AJ$34-$BN$26)</f>
        <v/>
      </c>
      <c r="AS34" s="326">
        <f>IF($AI$34="","",$AI$34-$BO$26-$BU$26)</f>
        <v/>
      </c>
      <c r="AT34" s="326">
        <f>IF($AJ$34="","",$AJ$34-$BP$26-$BV$22)</f>
        <v/>
      </c>
      <c r="BE34" s="764" t="n"/>
      <c r="BF34" s="764" t="n"/>
      <c r="BG34" s="764" t="n"/>
      <c r="BH34" s="764" t="n"/>
      <c r="BI34" s="764" t="n"/>
      <c r="BJ34" s="764" t="n"/>
      <c r="BK34" s="764" t="n"/>
      <c r="BL34" s="764" t="n"/>
      <c r="BM34" s="764" t="n"/>
      <c r="BN34" s="764" t="n"/>
      <c r="BO34" s="764" t="n"/>
      <c r="BP34" s="764" t="n"/>
      <c r="BZ34" s="693" t="n"/>
      <c r="CA34" s="693" t="n"/>
    </row>
    <row r="35" ht="12" customHeight="1" s="613">
      <c r="A35" s="429" t="inlineStr">
        <is>
          <t>min.</t>
        </is>
      </c>
      <c r="B35" s="296">
        <f>IF(NOT(ISBLANK(D35)),D35,DGET('Grid Numbers'!$A$2:$L$4952,'Grid Numbers'!$J$2,$B$68:$H$69))</f>
        <v/>
      </c>
      <c r="C35" s="700" t="n"/>
      <c r="D35" s="504" t="n"/>
      <c r="G35" s="308">
        <f>IF(ISNUMBER($AG$69),$K$9,"")</f>
        <v/>
      </c>
      <c r="H35" s="307">
        <f>IF(ISNUMBER($AG$69),"FWL","")</f>
        <v/>
      </c>
      <c r="J35" s="427" t="n"/>
      <c r="K35" s="427" t="n"/>
      <c r="L35" s="310" t="n"/>
      <c r="M35" s="309" t="n"/>
      <c r="Q35" s="308">
        <f>IF(ISNUMBER($AE$69),$K$9,"")</f>
        <v/>
      </c>
      <c r="R35" s="307">
        <f>IF(ISNUMBER($AE$69),"FEL","")</f>
        <v/>
      </c>
      <c r="S35" s="428" t="n"/>
      <c r="T35" s="427" t="n"/>
      <c r="U35" s="504" t="n"/>
      <c r="V35" s="646" t="n"/>
      <c r="W35" s="472">
        <f>IF(NOT(ISBLANK(U35)),U35,DGET('Grid Numbers'!$A$2:$L$4952,'Grid Numbers'!$J$2,$B$76:$H$77))</f>
        <v/>
      </c>
      <c r="X35" s="426" t="inlineStr">
        <is>
          <t>min.</t>
        </is>
      </c>
      <c r="AA35" s="689" t="n"/>
      <c r="AB35" s="294" t="n"/>
      <c r="AC35" s="469" t="n">
        <v>4</v>
      </c>
      <c r="AD35" s="676" t="inlineStr">
        <is>
          <t>BHL2</t>
        </is>
      </c>
      <c r="AE35" s="324">
        <f>IF($AK$35="","",$AK$35-$BW$26)</f>
        <v/>
      </c>
      <c r="AF35" s="324">
        <f>IF($AL$35="","",$AL$35-$BX$26)</f>
        <v/>
      </c>
      <c r="AG35" s="324">
        <f>IF($AK$35="","",$AK$35+$BO$26-$BG$26)</f>
        <v/>
      </c>
      <c r="AH35" s="324">
        <f>IF($AL$35="","",$AL$35+$BP$26+$BH$26)</f>
        <v/>
      </c>
      <c r="AI35" s="324">
        <f>IF($AK$35="","",$AK$35+$BO$26)</f>
        <v/>
      </c>
      <c r="AJ35" s="324">
        <f>IF($AL$35="","",$AL$35+$BP$26)</f>
        <v/>
      </c>
      <c r="AK35" s="325">
        <f>IF(AND($AS$24+$AI$9&lt;0,$AR$24+$AK$9&gt;0),$AK$24+$AI$9,"")</f>
        <v/>
      </c>
      <c r="AL35" s="325">
        <f>IF(AND($AS$24+$AI$9&lt;0,$AR$24+$AK$9&gt;0),$AL$24+$AK$9,"")</f>
        <v/>
      </c>
      <c r="AM35" s="324">
        <f>IF($AK$35="","",$AK$35-$BW$26+$AW$22)</f>
        <v/>
      </c>
      <c r="AN35" s="324">
        <f>IF($AL$35="","",$AL$35-$BX$26+$AX$22)</f>
        <v/>
      </c>
      <c r="AO35" s="324">
        <f>IF($AK$35="","",$AK$35+$BO$26-$BI$22)</f>
        <v/>
      </c>
      <c r="AP35" s="324">
        <f>IF($AL$35="","",$AL$35+$BP$26-$BJ$22)</f>
        <v/>
      </c>
      <c r="AQ35" s="324">
        <f>IF($AK$35="","",$AK$35+$BQ$22)</f>
        <v/>
      </c>
      <c r="AR35" s="324">
        <f>IF($AL$35="","",$AL$35+$BR$22)</f>
        <v/>
      </c>
      <c r="AS35" s="324">
        <f>IF($AK$35="","",$AK$35-$BU$22)</f>
        <v/>
      </c>
      <c r="AT35" s="324">
        <f>IF($AL$35="","",$AL$35-$BV$22)</f>
        <v/>
      </c>
      <c r="BG35" s="319" t="n">
        <v>1</v>
      </c>
      <c r="BH35" s="319" t="n">
        <v>2</v>
      </c>
      <c r="BI35" s="319" t="n">
        <v>3</v>
      </c>
      <c r="BJ35" s="319" t="n">
        <v>4</v>
      </c>
      <c r="BK35" s="319" t="n">
        <v>5</v>
      </c>
      <c r="BL35" s="319" t="n">
        <v>6</v>
      </c>
      <c r="BM35" s="319" t="n">
        <v>7</v>
      </c>
      <c r="BN35" s="319" t="n">
        <v>8</v>
      </c>
      <c r="BO35" s="319" t="n">
        <v>9</v>
      </c>
      <c r="BZ35" s="693" t="n"/>
      <c r="CA35" s="693" t="n"/>
    </row>
    <row r="36" ht="12" customHeight="1" s="613">
      <c r="A36" s="429" t="inlineStr">
        <is>
          <t>sec.</t>
        </is>
      </c>
      <c r="B36" s="296">
        <f>IF(NOT(ISBLANK(D36)),D36,DGET('Grid Numbers'!$A$2:$L$4952,'Grid Numbers'!$K$2,$B$68:$H$69))</f>
        <v/>
      </c>
      <c r="C36" s="700" t="n"/>
      <c r="D36" s="505" t="n"/>
      <c r="G36" s="315">
        <f>IF(ISNUMBER($AG$80),$B$10,"")</f>
        <v/>
      </c>
      <c r="H36" s="314">
        <f>IF(AND(G37="",G38=""),"",IF($AG$80=1,"NE/NW",IF($AG$80=2,"NW/NW",IF($AG$80=3,"SW/NW",IF($AG$80=4,"SE/NW","")))))</f>
        <v/>
      </c>
      <c r="J36" s="427" t="n"/>
      <c r="K36" s="427" t="n"/>
      <c r="L36" s="310" t="n"/>
      <c r="M36" s="309" t="n"/>
      <c r="Q36" s="334">
        <f>IF(ISNUMBER($AE$80),$B$10,"")</f>
        <v/>
      </c>
      <c r="R36" s="314">
        <f>IF(AND(Q37="",Q38=""),"",IF($AE$80=1,"NE/NE",IF($AE$80=2,"NW/NE",IF($AE$80=3,"SW/NE",IF($AE$80=4,"SE/NE","")))))</f>
        <v/>
      </c>
      <c r="S36" s="428" t="n"/>
      <c r="T36" s="427" t="n"/>
      <c r="U36" s="505" t="n"/>
      <c r="V36" s="646" t="n"/>
      <c r="W36" s="472">
        <f>IF(NOT(ISBLANK(U36)),U36,DGET('Grid Numbers'!$A$2:$L$4952,'Grid Numbers'!$K$2,$B$76:$H$77))</f>
        <v/>
      </c>
      <c r="X36" s="426" t="inlineStr">
        <is>
          <t>sec.</t>
        </is>
      </c>
      <c r="AA36" s="689" t="n"/>
      <c r="AB36" s="294" t="n"/>
      <c r="AC36" s="671" t="n"/>
      <c r="AD36" s="617" t="n"/>
      <c r="AE36" s="323">
        <f>IF(ISNUMBER($AE$32),AE$32,IF(ISNUMBER($AG$33),AE$33,IF(ISNUMBER($AI$34),AE$34,IF(ISNUMBER($AK$35),AE$35,""))))</f>
        <v/>
      </c>
      <c r="AF36" s="323">
        <f>IF(ISNUMBER($AF$32),AF$32,IF(ISNUMBER($AH$33),AF$33,IF(ISNUMBER($AJ$34),AF$34,IF(ISNUMBER($AL$35),AF$35,""))))</f>
        <v/>
      </c>
      <c r="AG36" s="323">
        <f>IF(ISNUMBER($AE$32),AG$32,IF(ISNUMBER($AG$33),AG$33,IF(ISNUMBER($AI$34),AG$34,IF(ISNUMBER($AK$35),AG$35,""))))</f>
        <v/>
      </c>
      <c r="AH36" s="323">
        <f>IF(ISNUMBER($AF$32),AH$32,IF(ISNUMBER($AH$33),AH$33,IF(ISNUMBER($AJ$34),AH$34,IF(ISNUMBER($AL$35),AH$35,""))))</f>
        <v/>
      </c>
      <c r="AI36" s="323">
        <f>IF(ISNUMBER($AE$32),AI$32,IF(ISNUMBER($AG$33),AI$33,IF(ISNUMBER($AI$34),AI$34,IF(ISNUMBER($AK$35),AI$35,""))))</f>
        <v/>
      </c>
      <c r="AJ36" s="323">
        <f>IF(ISNUMBER($AF$32),AJ$32,IF(ISNUMBER($AH$33),AJ$33,IF(ISNUMBER($AJ$34),AJ$34,IF(ISNUMBER($AL$35),AJ$35,""))))</f>
        <v/>
      </c>
      <c r="AK36" s="323">
        <f>IF(ISNUMBER($AE$32),AK$32,IF(ISNUMBER($AG$33),AK$33,IF(ISNUMBER($AI$34),AK$34,IF(ISNUMBER($AK$35),AK$35,""))))</f>
        <v/>
      </c>
      <c r="AL36" s="323">
        <f>IF(ISNUMBER($AF$32),AL$32,IF(ISNUMBER($AH$33),AL$33,IF(ISNUMBER($AJ$34),AL$34,IF(ISNUMBER($AL$35),AL$35,""))))</f>
        <v/>
      </c>
      <c r="AM36" s="323">
        <f>IF(ISNUMBER($AE$32),AM$32,IF(ISNUMBER($AG$33),AM$33,IF(ISNUMBER($AI$34),AM$34,IF(ISNUMBER($AK$35),AM$35,""))))</f>
        <v/>
      </c>
      <c r="AN36" s="323">
        <f>IF(ISNUMBER($AF$32),AN$32,IF(ISNUMBER($AH$33),AN$33,IF(ISNUMBER($AJ$34),AN$34,IF(ISNUMBER($AL$35),AN$35,""))))</f>
        <v/>
      </c>
      <c r="AO36" s="323">
        <f>IF(ISNUMBER($AE$32),AO$32,IF(ISNUMBER($AG$33),AO$33,IF(ISNUMBER($AI$34),AO$34,IF(ISNUMBER($AK$35),AO$35,""))))</f>
        <v/>
      </c>
      <c r="AP36" s="323">
        <f>IF(ISNUMBER($AF$32),AP$32,IF(ISNUMBER($AH$33),AP$33,IF(ISNUMBER($AJ$34),AP$34,IF(ISNUMBER($AL$35),AP$35,""))))</f>
        <v/>
      </c>
      <c r="AQ36" s="323">
        <f>IF(ISNUMBER($AE$32),AQ$32,IF(ISNUMBER($AG$33),AQ$33,IF(ISNUMBER($AI$34),AQ$34,IF(ISNUMBER($AK$35),AQ$35,""))))</f>
        <v/>
      </c>
      <c r="AR36" s="323">
        <f>IF(ISNUMBER($AF$32),AR$32,IF(ISNUMBER($AH$33),AR$33,IF(ISNUMBER($AJ$34),AR$34,IF(ISNUMBER($AL$35),AR$35,""))))</f>
        <v/>
      </c>
      <c r="AS36" s="323">
        <f>IF(ISNUMBER($AE$32),AS$32,IF(ISNUMBER($AG$33),AS$33,IF(ISNUMBER($AI$34),AS$34,IF(ISNUMBER($AK$35),AS$35,""))))</f>
        <v/>
      </c>
      <c r="AT36" s="323">
        <f>IF(ISNUMBER($AF$32),AT$32,IF(ISNUMBER($AH$33),AT$33,IF(ISNUMBER($AJ$34),AT$34,IF(ISNUMBER($AL$35),AT$35,""))))</f>
        <v/>
      </c>
      <c r="BD36" s="467" t="inlineStr">
        <is>
          <t>Quad</t>
        </is>
      </c>
      <c r="BE36" s="333" t="inlineStr">
        <is>
          <t>BHL</t>
        </is>
      </c>
      <c r="BF36" s="468" t="inlineStr">
        <is>
          <t>Sec. Logic</t>
        </is>
      </c>
      <c r="BG36" s="319" t="inlineStr">
        <is>
          <t>SHL</t>
        </is>
      </c>
      <c r="BH36" s="319" t="inlineStr">
        <is>
          <t>N</t>
        </is>
      </c>
      <c r="BI36" s="319" t="inlineStr">
        <is>
          <t>NE</t>
        </is>
      </c>
      <c r="BJ36" s="319" t="inlineStr">
        <is>
          <t>E</t>
        </is>
      </c>
      <c r="BK36" s="319" t="inlineStr">
        <is>
          <t>SE</t>
        </is>
      </c>
      <c r="BL36" s="319" t="inlineStr">
        <is>
          <t>S</t>
        </is>
      </c>
      <c r="BM36" s="319" t="inlineStr">
        <is>
          <t>SW</t>
        </is>
      </c>
      <c r="BN36" s="319" t="inlineStr">
        <is>
          <t>W</t>
        </is>
      </c>
      <c r="BO36" s="319" t="inlineStr">
        <is>
          <t>NW</t>
        </is>
      </c>
      <c r="BZ36" s="693" t="n"/>
      <c r="CA36" s="693" t="n"/>
    </row>
    <row r="37" ht="12" customHeight="1" s="613" thickBot="1">
      <c r="A37" s="429" t="inlineStr">
        <is>
          <t>dir.</t>
        </is>
      </c>
      <c r="B37" s="321">
        <f>IF(NOT(ISBLANK(D37)),D37,DGET('Grid Numbers'!$A$2:$L$4952,'Grid Numbers'!$L$2,$B$68:$H$69))</f>
        <v/>
      </c>
      <c r="C37" s="700" t="n"/>
      <c r="D37" s="508" t="n"/>
      <c r="G37" s="312">
        <f>IF(ISNUMBER($AG$80),$I$10,"")</f>
        <v/>
      </c>
      <c r="H37" s="311">
        <f>IF(ISNUMBER($AG$80),"FNL","")</f>
        <v/>
      </c>
      <c r="J37" s="427" t="n"/>
      <c r="K37" s="427" t="n"/>
      <c r="L37" s="310" t="n"/>
      <c r="M37" s="309" t="n"/>
      <c r="O37" s="693" t="n"/>
      <c r="P37" s="693" t="n"/>
      <c r="Q37" s="312">
        <f>IF(ISNUMBER($AE$80),$I$10,"")</f>
        <v/>
      </c>
      <c r="R37" s="311">
        <f>IF(ISNUMBER($AE$80),"FNL","")</f>
        <v/>
      </c>
      <c r="S37" s="428" t="n"/>
      <c r="T37" s="427" t="n"/>
      <c r="U37" s="508" t="n"/>
      <c r="V37" s="646" t="n"/>
      <c r="W37" s="321">
        <f>IF(NOT(ISBLANK(U37)),U37,DGET('Grid Numbers'!$A$2:$L$4952,'Grid Numbers'!$L$2,$B$76:$H$77))</f>
        <v/>
      </c>
      <c r="X37" s="426" t="inlineStr">
        <is>
          <t>dir.</t>
        </is>
      </c>
      <c r="AA37" s="689" t="n"/>
      <c r="AB37" s="689" t="n"/>
      <c r="AC37" s="482" t="n"/>
      <c r="AD37" s="331" t="n"/>
      <c r="AE37" s="330" t="n"/>
      <c r="AF37" s="330" t="n"/>
      <c r="AG37" s="330" t="n"/>
      <c r="AH37" s="330" t="n"/>
      <c r="AI37" s="330" t="n"/>
      <c r="AJ37" s="330" t="n"/>
      <c r="AK37" s="330" t="n"/>
      <c r="AL37" s="330" t="n"/>
      <c r="AM37" s="330" t="n"/>
      <c r="AN37" s="330" t="n"/>
      <c r="AO37" s="330" t="n"/>
      <c r="AP37" s="330" t="n"/>
      <c r="AQ37" s="330" t="n"/>
      <c r="AR37" s="330" t="n"/>
      <c r="AS37" s="330" t="n"/>
      <c r="AT37" s="330" t="n"/>
      <c r="AV37" s="313" t="inlineStr">
        <is>
          <t>FNL</t>
        </is>
      </c>
      <c r="AW37" s="329" t="inlineStr">
        <is>
          <t>True</t>
        </is>
      </c>
      <c r="AX37" s="313" t="inlineStr">
        <is>
          <t>S-E</t>
        </is>
      </c>
      <c r="AY37" s="313" t="inlineStr">
        <is>
          <t>N</t>
        </is>
      </c>
      <c r="AZ37" s="293" t="inlineStr">
        <is>
          <t>NE</t>
        </is>
      </c>
      <c r="BA37" s="313" t="inlineStr">
        <is>
          <t>Salt Lake</t>
        </is>
      </c>
      <c r="BB37" s="313" t="inlineStr">
        <is>
          <t>NE-NE</t>
        </is>
      </c>
      <c r="BD37" s="480" t="n">
        <v>1</v>
      </c>
      <c r="BE37" s="319" t="inlineStr">
        <is>
          <t>BHL1</t>
        </is>
      </c>
      <c r="BF37" s="481">
        <f>IF(AND(MAX($AE$58:$AL$58)&lt;1,ISNUMBER($AE$26), ISNUMBER($AF$26)),IF(AND($AE$26&gt;0,$AF$26&gt;0),3,IF(AND($AE$26&lt;0,IF(-$AE$26&lt;$BZ$19,$AO$62,$AO$65)&lt;0),4,IF(AND(IF(-$AF$26&lt;$AW$19,$AN$62,$AN$63)&lt;0,$AF$26&lt;0),2,""))),"")</f>
        <v/>
      </c>
      <c r="BG37" s="293" t="n">
        <v>1</v>
      </c>
      <c r="BH37" s="293" t="n">
        <v>36</v>
      </c>
      <c r="BI37" s="293" t="n">
        <v>31</v>
      </c>
      <c r="BJ37" s="293" t="n">
        <v>6</v>
      </c>
      <c r="BK37" s="293" t="n">
        <v>7</v>
      </c>
      <c r="BL37" s="293" t="n">
        <v>12</v>
      </c>
      <c r="BM37" s="293" t="n">
        <v>11</v>
      </c>
      <c r="BN37" s="293" t="n">
        <v>2</v>
      </c>
      <c r="BO37" s="293" t="n">
        <v>35</v>
      </c>
      <c r="BZ37" s="693" t="n"/>
      <c r="CA37" s="693" t="n"/>
    </row>
    <row r="38" ht="12" customHeight="1" s="613" thickBot="1">
      <c r="A38" s="429" t="inlineStr">
        <is>
          <t>dec. deg.</t>
        </is>
      </c>
      <c r="B38" s="771">
        <f>IF(B34="","",IF(OR(B37=1,B37=4),180-(B34+B35/60+B36/3600),180+(B34+B35/60+B36/3600)))</f>
        <v/>
      </c>
      <c r="C38" s="700" t="n"/>
      <c r="F38" s="774" t="n"/>
      <c r="G38" s="308">
        <f>IF(ISNUMBER($AG$80),$K$10,"")</f>
        <v/>
      </c>
      <c r="H38" s="307">
        <f>IF(ISNUMBER($AG$80),"FWL","")</f>
        <v/>
      </c>
      <c r="I38" s="428" t="n"/>
      <c r="J38" s="427" t="n"/>
      <c r="K38" s="427" t="n"/>
      <c r="L38" s="699">
        <f>$N$7</f>
        <v/>
      </c>
      <c r="M38" s="656" t="n"/>
      <c r="P38" s="774" t="n"/>
      <c r="Q38" s="308">
        <f>IF(ISNUMBER($AE$80),$K$10,"")</f>
        <v/>
      </c>
      <c r="R38" s="307">
        <f>IF(ISNUMBER($AE$80),"FEL","")</f>
        <v/>
      </c>
      <c r="S38" s="428" t="n"/>
      <c r="T38" s="427" t="n"/>
      <c r="U38" s="689" t="n"/>
      <c r="V38" s="646" t="n"/>
      <c r="W38" s="770">
        <f>IF(W34="","",IF(OR(W37=1,W37=4),180-(W34+W35/60+W36/3600),180+(W34+W35/60+W36/3600)))</f>
        <v/>
      </c>
      <c r="X38" s="426" t="inlineStr">
        <is>
          <t>dec. deg.</t>
        </is>
      </c>
      <c r="AA38" s="689" t="n"/>
      <c r="AB38" s="294" t="n"/>
      <c r="AC38" s="480" t="n">
        <v>1</v>
      </c>
      <c r="AD38" s="319" t="inlineStr">
        <is>
          <t>BHL3</t>
        </is>
      </c>
      <c r="AE38" s="327">
        <f>IF(AND($AS$24+$AI$10&gt;0,$AN$24+$AK$10&gt;0),$AE$24+$AI$10,"")</f>
        <v/>
      </c>
      <c r="AF38" s="327">
        <f>IF(AND($AS$24+$AI$10&gt;0,$AN$24+$AK$10&gt;0),$AF$24+$AK$10,"")</f>
        <v/>
      </c>
      <c r="AG38" s="326">
        <f>IF($AE$38="","",$AY$26+$AE$38)</f>
        <v/>
      </c>
      <c r="AH38" s="326">
        <f>IF($AF$38="","",$AZ$26+$AF$38)</f>
        <v/>
      </c>
      <c r="AI38" s="326">
        <f>IF($AE$38="","",$BG$26+$AY$26+$AE$38)</f>
        <v/>
      </c>
      <c r="AJ38" s="326">
        <f>IF($AF$38="","",$AZ$26+$BH$26+$AF$38)</f>
        <v/>
      </c>
      <c r="AK38" s="326">
        <f>IF($AE$38="","",$BW$26+$AE$38)</f>
        <v/>
      </c>
      <c r="AL38" s="326">
        <f>IF($AF$38="","",$AF$38+$BX$26)</f>
        <v/>
      </c>
      <c r="AM38" s="326">
        <f>IF($AE$38="","",$AW$22+$AE$38)</f>
        <v/>
      </c>
      <c r="AN38" s="326">
        <f>IF($AF$38="","",$AX$22+$AF$38)</f>
        <v/>
      </c>
      <c r="AO38" s="326">
        <f>IF($AE$38="","",$AY$26+$AE$38+$BE$22)</f>
        <v/>
      </c>
      <c r="AP38" s="326">
        <f>IF($AF$38="","",$AZ$26+$AF$38+$BF$22)</f>
        <v/>
      </c>
      <c r="AQ38" s="326">
        <f>IF($AE$38="","",$BW$26+$AE$38+$BQ$22)</f>
        <v/>
      </c>
      <c r="AR38" s="326">
        <f>IF($AF$38="","",$AF$38+$BX$26+$BR$22)</f>
        <v/>
      </c>
      <c r="AS38" s="326">
        <f>IF($AE$38="","",$BY$22+$AE$38)</f>
        <v/>
      </c>
      <c r="AT38" s="326">
        <f>IF($AF$38="","",$AF$38+$BZ$22)</f>
        <v/>
      </c>
      <c r="AV38" s="313" t="inlineStr">
        <is>
          <t>FSL</t>
        </is>
      </c>
      <c r="AW38" s="313" t="inlineStr">
        <is>
          <t>Grid</t>
        </is>
      </c>
      <c r="AX38" s="313" t="inlineStr">
        <is>
          <t>N-E</t>
        </is>
      </c>
      <c r="AY38" s="313" t="inlineStr">
        <is>
          <t>S</t>
        </is>
      </c>
      <c r="AZ38" s="293" t="inlineStr">
        <is>
          <t>NW</t>
        </is>
      </c>
      <c r="BA38" s="313" t="inlineStr">
        <is>
          <t>Uintah</t>
        </is>
      </c>
      <c r="BB38" s="313" t="inlineStr">
        <is>
          <t>NW-NE</t>
        </is>
      </c>
      <c r="BD38" s="480" t="n">
        <v>2</v>
      </c>
      <c r="BE38" s="319" t="inlineStr">
        <is>
          <t>BHL1</t>
        </is>
      </c>
      <c r="BF38" s="481">
        <f>IF(AND(MAX($AE$58:$AL$58)&lt;1,ISNUMBER($AG$27), ISNUMBER($AH$27)),IF(AND(IF($AH$27&lt;$BC$19,$AP$63,$AP$62)&lt;0,$AH$27&gt;0),2,IF(AND($AG$27&gt;0,$AH$27&lt;0),9,IF(AND($AG$27&lt;0,IF(-$AG$27&lt;$BD$19,$AQ$63,$AQ$64)&lt;0),8,""))),"")</f>
        <v/>
      </c>
      <c r="BG38" s="293" t="n">
        <v>2</v>
      </c>
      <c r="BH38" s="293" t="n">
        <v>35</v>
      </c>
      <c r="BI38" s="293" t="n">
        <v>36</v>
      </c>
      <c r="BJ38" s="293" t="n">
        <v>1</v>
      </c>
      <c r="BK38" s="293" t="n">
        <v>12</v>
      </c>
      <c r="BL38" s="293" t="n">
        <v>11</v>
      </c>
      <c r="BM38" s="293" t="n">
        <v>10</v>
      </c>
      <c r="BN38" s="293" t="n">
        <v>3</v>
      </c>
      <c r="BO38" s="293" t="n">
        <v>34</v>
      </c>
      <c r="BZ38" s="693" t="n"/>
      <c r="CA38" s="693" t="n"/>
    </row>
    <row r="39" ht="12" customHeight="1" s="613" thickBot="1">
      <c r="A39" s="687">
        <f>CONCATENATE("W QC of ",$L$38)</f>
        <v/>
      </c>
      <c r="B39" s="646" t="n"/>
      <c r="C39" s="425" t="n"/>
      <c r="D39" s="424" t="n"/>
      <c r="E39" s="424" t="n"/>
      <c r="F39" s="424" t="n"/>
      <c r="G39" s="424" t="n"/>
      <c r="H39" s="424" t="n"/>
      <c r="I39" s="424" t="n"/>
      <c r="J39" s="424" t="n"/>
      <c r="K39" s="424" t="n"/>
      <c r="L39" s="700" t="n"/>
      <c r="M39" s="646" t="n"/>
      <c r="N39" s="424" t="n"/>
      <c r="O39" s="424" t="n"/>
      <c r="P39" s="424" t="n"/>
      <c r="Q39" s="424" t="n"/>
      <c r="R39" s="424" t="n"/>
      <c r="S39" s="424" t="n"/>
      <c r="T39" s="424" t="n"/>
      <c r="U39" s="424" t="n"/>
      <c r="V39" s="423" t="n"/>
      <c r="W39" s="701">
        <f>CONCATENATE("E QC of ",$L$38)</f>
        <v/>
      </c>
      <c r="AA39" s="689" t="n"/>
      <c r="AB39" s="294" t="n"/>
      <c r="AC39" s="480" t="n">
        <v>2</v>
      </c>
      <c r="AD39" s="319" t="inlineStr">
        <is>
          <t>BHL3</t>
        </is>
      </c>
      <c r="AE39" s="326">
        <f>IF($AG$39="","",$AG$39-$AY$26)</f>
        <v/>
      </c>
      <c r="AF39" s="326">
        <f>IF($AH$39="","",$AH$39-$AZ$26)</f>
        <v/>
      </c>
      <c r="AG39" s="327">
        <f>IF(AND($AO$24+$AI$10&gt;0,$AN$24+$AK$10&lt;0),$AG$24+$AI$10,"")</f>
        <v/>
      </c>
      <c r="AH39" s="327">
        <f>IF(AND($AO$24+$AI$10&gt;0,$AN$24+$AK$10&lt;0),$AH$24+$AK$10,"")</f>
        <v/>
      </c>
      <c r="AI39" s="326">
        <f>IF($AG$39="","",$BG$26+$AG$39)</f>
        <v/>
      </c>
      <c r="AJ39" s="326">
        <f>IF($AH$39="","",$AH$39+$BH$26)</f>
        <v/>
      </c>
      <c r="AK39" s="326">
        <f>IF($AG$39="","",$AG$39-$AY$26+$BW$26)</f>
        <v/>
      </c>
      <c r="AL39" s="326">
        <f>IF($AH$39="","",$AH$39-$AZ$26+$BX$26)</f>
        <v/>
      </c>
      <c r="AM39" s="326">
        <f>IF($AG$39="","",$AG$39-$BA$22)</f>
        <v/>
      </c>
      <c r="AN39" s="326">
        <f>IF($AH$39="","",AH$39-$BB$22)</f>
        <v/>
      </c>
      <c r="AO39" s="326">
        <f>IF($AG$39="","",$BE$22+$AG$39)</f>
        <v/>
      </c>
      <c r="AP39" s="326">
        <f>IF($AH$39="","",$AH$39+$BF$22)</f>
        <v/>
      </c>
      <c r="AQ39" s="326">
        <f>IF($AG$39="","",$BG$26+$AG$39-$BM$22)</f>
        <v/>
      </c>
      <c r="AR39" s="326">
        <f>IF($AH$39="","",$AH$39+$BH$26-$BN$22)</f>
        <v/>
      </c>
      <c r="AS39" s="326">
        <f>IF($AG$39="","",$AG$39-$AY$26+$BY$22)</f>
        <v/>
      </c>
      <c r="AT39" s="326">
        <f>IF($AH$39="","",$AH$39-$AZ$26+$BZ$22)</f>
        <v/>
      </c>
      <c r="AV39" s="313" t="inlineStr">
        <is>
          <t>FEL</t>
        </is>
      </c>
      <c r="AW39" s="313" t="inlineStr">
        <is>
          <t>Mag</t>
        </is>
      </c>
      <c r="AX39" s="313" t="inlineStr">
        <is>
          <t>S-W</t>
        </is>
      </c>
      <c r="AY39" s="313" t="inlineStr">
        <is>
          <t>E</t>
        </is>
      </c>
      <c r="AZ39" s="293" t="inlineStr">
        <is>
          <t>SW</t>
        </is>
      </c>
      <c r="BA39" s="313" t="n"/>
      <c r="BB39" s="313" t="inlineStr">
        <is>
          <t>SW-NE</t>
        </is>
      </c>
      <c r="BD39" s="480" t="n">
        <v>3</v>
      </c>
      <c r="BE39" s="319" t="inlineStr">
        <is>
          <t>BHL1</t>
        </is>
      </c>
      <c r="BF39" s="481">
        <f>IF(AND(MAX($AE$58:$AL$58)&lt;1,ISNUMBER($AI$28), ISNUMBER($AJ$28)),IF(AND($AI$28&gt;0,IF($AI$28&lt;$BJ$19,$AS$64,$AS$63)&lt;0),8,IF(AND($AI$28&lt;0,$AJ$28&lt;0),7,IF(AND(IF($AJ$28&lt;$BM$19,$AR$64,$AR$65)&lt;0,$AJ$28&gt;0),6,""))),"")</f>
        <v/>
      </c>
      <c r="BG39" s="293" t="n">
        <v>3</v>
      </c>
      <c r="BH39" s="293" t="n">
        <v>34</v>
      </c>
      <c r="BI39" s="293" t="n">
        <v>35</v>
      </c>
      <c r="BJ39" s="293" t="n">
        <v>2</v>
      </c>
      <c r="BK39" s="293" t="n">
        <v>11</v>
      </c>
      <c r="BL39" s="293" t="n">
        <v>10</v>
      </c>
      <c r="BM39" s="293" t="n">
        <v>9</v>
      </c>
      <c r="BN39" s="293" t="n">
        <v>4</v>
      </c>
      <c r="BO39" s="293" t="n">
        <v>33</v>
      </c>
      <c r="BZ39" s="693" t="n"/>
      <c r="CA39" s="693" t="n"/>
    </row>
    <row r="40" ht="12" customHeight="1" s="613">
      <c r="B40" s="646" t="n"/>
      <c r="C40" s="422" t="n"/>
      <c r="D40" s="503" t="inlineStr">
        <is>
          <t>OVERRIDE</t>
        </is>
      </c>
      <c r="E40" s="421" t="n"/>
      <c r="F40" s="421" t="n"/>
      <c r="G40" s="421" t="n"/>
      <c r="H40" s="421" t="n"/>
      <c r="I40" s="421" t="n"/>
      <c r="J40" s="421" t="n"/>
      <c r="K40" s="421" t="n"/>
      <c r="L40" s="700" t="n"/>
      <c r="M40" s="646" t="n"/>
      <c r="N40" s="421" t="n"/>
      <c r="O40" s="421" t="n"/>
      <c r="P40" s="421" t="n"/>
      <c r="Q40" s="421" t="n"/>
      <c r="R40" s="421" t="n"/>
      <c r="S40" s="421" t="n"/>
      <c r="T40" s="421" t="n"/>
      <c r="U40" s="503" t="inlineStr">
        <is>
          <t>OVERRIDE</t>
        </is>
      </c>
      <c r="V40" s="646" t="n"/>
      <c r="AA40" s="689" t="n"/>
      <c r="AB40" s="294" t="n"/>
      <c r="AC40" s="480" t="n">
        <v>3</v>
      </c>
      <c r="AD40" s="319" t="inlineStr">
        <is>
          <t>BHL3</t>
        </is>
      </c>
      <c r="AE40" s="326">
        <f>IF($AI$40="","",$AI$40-$BG$26-$AY$26)</f>
        <v/>
      </c>
      <c r="AF40" s="328">
        <f>IF($AJ$40="","",$AJ$40-$BH$26-$AZ$26)</f>
        <v/>
      </c>
      <c r="AG40" s="326">
        <f>IF($AI$40="","",$AI$40-$BG$26)</f>
        <v/>
      </c>
      <c r="AH40" s="326">
        <f>IF($AJ$40="","",$AJ$40-$BH$26)</f>
        <v/>
      </c>
      <c r="AI40" s="327">
        <f>IF(AND($AO$24+$AI$10&lt;0,$AR$24+$AK$10&lt;0),$AI$24+$AI$10,"")</f>
        <v/>
      </c>
      <c r="AJ40" s="327">
        <f>IF(AND($AO$24+$AI$10&lt;0,$AR$24+$AK$10&lt;0),$AJ$24+$AK$10,"")</f>
        <v/>
      </c>
      <c r="AK40" s="326">
        <f>IF($AI$40="","",$AI$40-$BO$26)</f>
        <v/>
      </c>
      <c r="AL40" s="326">
        <f>IF($AJ$40="","",$AJ$40-$BP$26)</f>
        <v/>
      </c>
      <c r="AM40" s="326">
        <f>IF($AI$40="","",$AI$40-$BG$26-$BA$26)</f>
        <v/>
      </c>
      <c r="AN40" s="326">
        <f>IF($AJ$40="","",$AJ$40-$BH$26-$BB$26)</f>
        <v/>
      </c>
      <c r="AO40" s="326">
        <f>IF($AI$40="","",$AI$40-$BI$26)</f>
        <v/>
      </c>
      <c r="AP40" s="326">
        <f>IF($AJ$40="","",$AJ$40-$BJ$26)</f>
        <v/>
      </c>
      <c r="AQ40" s="326">
        <f>IF($AI$40="","",$AI$40-$BM$26)</f>
        <v/>
      </c>
      <c r="AR40" s="326">
        <f>IF($AJ$40="","",$AJ$40-$BN$26)</f>
        <v/>
      </c>
      <c r="AS40" s="326">
        <f>IF($AI$40="","",$AI$40-$BO$26-$BU$26)</f>
        <v/>
      </c>
      <c r="AT40" s="326">
        <f>IF($AJ$40="","",$AJ$40-$BP$26-$BV$22)</f>
        <v/>
      </c>
      <c r="AV40" s="313" t="inlineStr">
        <is>
          <t>FWL</t>
        </is>
      </c>
      <c r="AW40" s="313" t="n"/>
      <c r="AX40" s="313" t="inlineStr">
        <is>
          <t>N-W</t>
        </is>
      </c>
      <c r="AY40" s="313" t="inlineStr">
        <is>
          <t>W</t>
        </is>
      </c>
      <c r="AZ40" s="293" t="inlineStr">
        <is>
          <t>SE</t>
        </is>
      </c>
      <c r="BA40" s="313" t="n"/>
      <c r="BB40" s="313" t="inlineStr">
        <is>
          <t>SE-NE</t>
        </is>
      </c>
      <c r="BD40" s="469" t="n">
        <v>4</v>
      </c>
      <c r="BE40" s="676" t="inlineStr">
        <is>
          <t>BHL1</t>
        </is>
      </c>
      <c r="BF40" s="318">
        <f>IF(AND(MAX($AE$58:$AL$58)&lt;1,ISNUMBER($AK$29), ISNUMBER($AL$29)),IF(AND(IF(-$AL$29&lt;$BS$19,$AT$65,$AT$64)&lt;0,$AL$29&lt;0),6,IF(AND($AK$29&lt;0,$AL$29&gt;0),5,IF(AND($AK$29&gt;0,IF($AK$29&lt;$BT$19,$AU$65,$AU$62)&lt;0),4,""))),"")</f>
        <v/>
      </c>
      <c r="BG40" s="293" t="n">
        <v>4</v>
      </c>
      <c r="BH40" s="293" t="n">
        <v>33</v>
      </c>
      <c r="BI40" s="293" t="n">
        <v>34</v>
      </c>
      <c r="BJ40" s="293" t="n">
        <v>3</v>
      </c>
      <c r="BK40" s="293" t="n">
        <v>10</v>
      </c>
      <c r="BL40" s="293" t="n">
        <v>9</v>
      </c>
      <c r="BM40" s="293" t="n">
        <v>8</v>
      </c>
      <c r="BN40" s="293" t="n">
        <v>5</v>
      </c>
      <c r="BO40" s="293" t="n">
        <v>32</v>
      </c>
      <c r="BZ40" s="693" t="n"/>
      <c r="CA40" s="693" t="n"/>
    </row>
    <row r="41" ht="12" customHeight="1" s="613" thickBot="1">
      <c r="A41" s="429" t="inlineStr">
        <is>
          <t>dist.</t>
        </is>
      </c>
      <c r="B41" s="301">
        <f>IF(NOT(ISBLANK(D41)),D41,DGET('Grid Numbers'!$A$2:$L$4952,'Grid Numbers'!$H$2,$B$70:$H$71))</f>
        <v/>
      </c>
      <c r="C41" s="700" t="n"/>
      <c r="D41" s="504" t="n"/>
      <c r="L41" s="654" t="n"/>
      <c r="M41" s="634" t="n"/>
      <c r="U41" s="504" t="n"/>
      <c r="V41" s="646" t="n"/>
      <c r="W41" s="473">
        <f>IF(NOT(ISBLANK(U41)),U41,DGET('Grid Numbers'!$A$2:$L$4952,'Grid Numbers'!$H$2,$B$78:$H$79))</f>
        <v/>
      </c>
      <c r="X41" s="426" t="inlineStr">
        <is>
          <t>dist.</t>
        </is>
      </c>
      <c r="AA41" s="689" t="n"/>
      <c r="AB41" s="294" t="n"/>
      <c r="AC41" s="469" t="n">
        <v>4</v>
      </c>
      <c r="AD41" s="676" t="inlineStr">
        <is>
          <t>BHL3</t>
        </is>
      </c>
      <c r="AE41" s="324">
        <f>IF($AK$41="","",$AK$41-$BW$26)</f>
        <v/>
      </c>
      <c r="AF41" s="324">
        <f>IF($AL$41="","",$AL$41-$BX$26)</f>
        <v/>
      </c>
      <c r="AG41" s="324">
        <f>IF($AK$41="","",$AK$41+$BO$26-$BG$26)</f>
        <v/>
      </c>
      <c r="AH41" s="324">
        <f>IF($AL$41="","",$AL$41+$BP$26+$BH$26)</f>
        <v/>
      </c>
      <c r="AI41" s="324">
        <f>IF($AK$41="","",$AK$41+$BO$26)</f>
        <v/>
      </c>
      <c r="AJ41" s="324">
        <f>IF($AL$41="","",$AL$41+$BP$26)</f>
        <v/>
      </c>
      <c r="AK41" s="325">
        <f>IF(AND($AS$24+$AI$10&lt;0,$AR$24+$AK$10&gt;0),$AK$24+$AI$10,"")</f>
        <v/>
      </c>
      <c r="AL41" s="325">
        <f>IF(AND($AS$24+$AI$10&lt;0,$AR$24+$AK$10&gt;0),$AL$24+$AK$10,"")</f>
        <v/>
      </c>
      <c r="AM41" s="324">
        <f>IF($AK$41="","",$AK$41-$BW$26+$AW$22)</f>
        <v/>
      </c>
      <c r="AN41" s="324">
        <f>IF($AL$41="","",$AL$41-$BX$26+$AX$22)</f>
        <v/>
      </c>
      <c r="AO41" s="324">
        <f>IF($AK$41="","",$AK$41+$BO$26-$BI$22)</f>
        <v/>
      </c>
      <c r="AP41" s="324">
        <f>IF($AL$41="","",$AL$41+$BP$26-$BJ$22)</f>
        <v/>
      </c>
      <c r="AQ41" s="324">
        <f>IF($AK$41="","",$AK$41+$BQ$22)</f>
        <v/>
      </c>
      <c r="AR41" s="324">
        <f>IF($AL$41="","",$AL$41+$BR$22)</f>
        <v/>
      </c>
      <c r="AS41" s="324">
        <f>IF($AK$41="","",$AK$41-$BU$22)</f>
        <v/>
      </c>
      <c r="AT41" s="324">
        <f>IF($AL$41="","",$AL$41-$BV$22)</f>
        <v/>
      </c>
      <c r="AV41" s="313" t="n"/>
      <c r="AW41" s="313" t="n"/>
      <c r="AX41" s="313" t="n"/>
      <c r="AY41" s="313" t="n"/>
      <c r="AZ41" s="313" t="n"/>
      <c r="BA41" s="313" t="n"/>
      <c r="BB41" s="313" t="inlineStr">
        <is>
          <t>NE-NW</t>
        </is>
      </c>
      <c r="BD41" s="480" t="n">
        <v>1</v>
      </c>
      <c r="BE41" s="319" t="inlineStr">
        <is>
          <t>BHL2</t>
        </is>
      </c>
      <c r="BF41" s="481">
        <f>IF(AND(MAX($AE$69:$AL$69)&lt;1,ISNUMBER($AE$32), ISNUMBER($AF$32)),IF(AND($AE$32&gt;0,$AF$32&gt;0),3,IF(AND($AE$32&lt;0,IF(-$AE$32&lt;$BZ$19,$AO$73,$AO$76)&lt;0),4,IF(AND(IF(-$AF$32&lt;$AW$19,$AN$73,$AN$74)&lt;0,$AF$32&lt;0),2,""))),"")</f>
        <v/>
      </c>
      <c r="BG41" s="293" t="n">
        <v>5</v>
      </c>
      <c r="BH41" s="293" t="n">
        <v>32</v>
      </c>
      <c r="BI41" s="293" t="n">
        <v>33</v>
      </c>
      <c r="BJ41" s="293" t="n">
        <v>4</v>
      </c>
      <c r="BK41" s="293" t="n">
        <v>9</v>
      </c>
      <c r="BL41" s="293" t="n">
        <v>8</v>
      </c>
      <c r="BM41" s="293" t="n">
        <v>7</v>
      </c>
      <c r="BN41" s="293" t="n">
        <v>6</v>
      </c>
      <c r="BO41" s="293" t="n">
        <v>31</v>
      </c>
      <c r="BZ41" s="693" t="n"/>
      <c r="CA41" s="693" t="n"/>
    </row>
    <row r="42" ht="12" customHeight="1" s="613">
      <c r="A42" s="429" t="inlineStr">
        <is>
          <t>deg.</t>
        </is>
      </c>
      <c r="B42" s="295">
        <f>IF(NOT(ISBLANK(D42)),D42,DGET('Grid Numbers'!$A$2:$L$4952,'Grid Numbers'!$I$2,$B$70:$H$71))</f>
        <v/>
      </c>
      <c r="C42" s="700" t="n"/>
      <c r="D42" s="504" t="n"/>
      <c r="G42" s="686" t="inlineStr">
        <is>
          <t>Quadrant 3</t>
        </is>
      </c>
      <c r="H42" s="677" t="n"/>
      <c r="L42" s="310" t="n"/>
      <c r="M42" s="309" t="n"/>
      <c r="Q42" s="686" t="inlineStr">
        <is>
          <t>Quadrant 4</t>
        </is>
      </c>
      <c r="R42" s="677" t="n"/>
      <c r="U42" s="504" t="n"/>
      <c r="V42" s="646" t="n"/>
      <c r="W42" s="474">
        <f>IF(NOT(ISBLANK(U42)),U42,DGET('Grid Numbers'!$A$2:$L$4952,'Grid Numbers'!$I$2,$B$78:$H$79))</f>
        <v/>
      </c>
      <c r="X42" s="426" t="inlineStr">
        <is>
          <t>deg.</t>
        </is>
      </c>
      <c r="AA42" s="689" t="n"/>
      <c r="AB42" s="294" t="n"/>
      <c r="AC42" s="671" t="n"/>
      <c r="AD42" s="617" t="n"/>
      <c r="AE42" s="323">
        <f>IF(ISNUMBER($AE$38),AE$38,IF(ISNUMBER($AG$39),AE$39,IF(ISNUMBER($AI$40),AE$40,IF(ISNUMBER($AK$41),AE$41,""))))</f>
        <v/>
      </c>
      <c r="AF42" s="323">
        <f>IF(ISNUMBER($AF$38),AF$38,IF(ISNUMBER($AH$39),AF$39,IF(ISNUMBER($AJ$40),AF$40,IF(ISNUMBER($AL$41),AF$41,""))))</f>
        <v/>
      </c>
      <c r="AG42" s="323">
        <f>IF(ISNUMBER($AE$38),AG$38,IF(ISNUMBER($AG$39),AG$39,IF(ISNUMBER($AI$40),AG$40,IF(ISNUMBER($AK$41),AG$41,""))))</f>
        <v/>
      </c>
      <c r="AH42" s="323">
        <f>IF(ISNUMBER($AF$38),AH$38,IF(ISNUMBER($AH$39),AH$39,IF(ISNUMBER($AJ$40),AH$40,IF(ISNUMBER($AL$41),AH$41,""))))</f>
        <v/>
      </c>
      <c r="AI42" s="323">
        <f>IF(ISNUMBER($AE$38),AI$38,IF(ISNUMBER($AG$39),AI$39,IF(ISNUMBER($AI$40),AI$40,IF(ISNUMBER($AK$41),AI$41,""))))</f>
        <v/>
      </c>
      <c r="AJ42" s="323">
        <f>IF(ISNUMBER($AF$38),AJ$38,IF(ISNUMBER($AH$39),AJ$39,IF(ISNUMBER($AJ$40),AJ$40,IF(ISNUMBER($AL$41),AJ$41,""))))</f>
        <v/>
      </c>
      <c r="AK42" s="323">
        <f>IF(ISNUMBER($AE$38),AK$38,IF(ISNUMBER($AG$39),AK$39,IF(ISNUMBER($AI$40),AK$40,IF(ISNUMBER($AK$41),AK$41,""))))</f>
        <v/>
      </c>
      <c r="AL42" s="323">
        <f>IF(ISNUMBER($AF$38),AL$38,IF(ISNUMBER($AH$39),AL$39,IF(ISNUMBER($AJ$40),AL$40,IF(ISNUMBER($AL$41),AL$41,""))))</f>
        <v/>
      </c>
      <c r="AM42" s="323">
        <f>IF(ISNUMBER($AE$38),AM$38,IF(ISNUMBER($AG$39),AM$39,IF(ISNUMBER($AI$40),AM$40,IF(ISNUMBER($AK$41),AM$41,""))))</f>
        <v/>
      </c>
      <c r="AN42" s="323">
        <f>IF(ISNUMBER($AF$38),AN$38,IF(ISNUMBER($AH$39),AN$39,IF(ISNUMBER($AJ$40),AN$40,IF(ISNUMBER($AL$41),AN$41,""))))</f>
        <v/>
      </c>
      <c r="AO42" s="323">
        <f>IF(ISNUMBER($AE$38),AO$38,IF(ISNUMBER($AG$39),AO$39,IF(ISNUMBER($AI$40),AO$40,IF(ISNUMBER($AK$41),AO$41,""))))</f>
        <v/>
      </c>
      <c r="AP42" s="323">
        <f>IF(ISNUMBER($AF$38),AP$38,IF(ISNUMBER($AH$39),AP$39,IF(ISNUMBER($AJ$40),AP$40,IF(ISNUMBER($AL$41),AP$41,""))))</f>
        <v/>
      </c>
      <c r="AQ42" s="323">
        <f>IF(ISNUMBER($AE$38),AQ$38,IF(ISNUMBER($AG$39),AQ$39,IF(ISNUMBER($AI$40),AQ$40,IF(ISNUMBER($AK$41),AQ$41,""))))</f>
        <v/>
      </c>
      <c r="AR42" s="323">
        <f>IF(ISNUMBER($AF$38),AR$38,IF(ISNUMBER($AH$39),AR$39,IF(ISNUMBER($AJ$40),AR$40,IF(ISNUMBER($AL$41),AR$41,""))))</f>
        <v/>
      </c>
      <c r="AS42" s="323">
        <f>IF(ISNUMBER($AE$38),AS$38,IF(ISNUMBER($AG$39),AS$39,IF(ISNUMBER($AI$40),AS$40,IF(ISNUMBER($AK$41),AS$41,""))))</f>
        <v/>
      </c>
      <c r="AT42" s="323">
        <f>IF(ISNUMBER($AF$38),AT$38,IF(ISNUMBER($AH$39),AT$39,IF(ISNUMBER($AJ$40),AT$40,IF(ISNUMBER($AL$41),AT$41,""))))</f>
        <v/>
      </c>
      <c r="AV42" s="313" t="n"/>
      <c r="AW42" s="313" t="n"/>
      <c r="AX42" s="313" t="n"/>
      <c r="AY42" s="313" t="n"/>
      <c r="AZ42" s="313" t="n"/>
      <c r="BA42" s="313" t="n"/>
      <c r="BB42" s="313" t="inlineStr">
        <is>
          <t>NW-NW</t>
        </is>
      </c>
      <c r="BD42" s="480" t="n">
        <v>2</v>
      </c>
      <c r="BE42" s="319" t="inlineStr">
        <is>
          <t>BHL2</t>
        </is>
      </c>
      <c r="BF42" s="481">
        <f>IF(AND(MAX($AE$69:$AL$69)&lt;1,ISNUMBER($AG$33), ISNUMBER($AH$33)),IF(AND(IF($AH$33&lt;$BC$19,$AP$74,$AP$73)&lt;0,$AH$33&gt;0),2,IF(AND($AG$33&gt;0,$AH$33&lt;0),9,IF(AND($AG$33&lt;0,IF(-$AG$33&lt;$BD$19,$AQ$74,$AQ$75)&lt;0),8,""))),"")</f>
        <v/>
      </c>
      <c r="BG42" s="293" t="n">
        <v>6</v>
      </c>
      <c r="BH42" s="293" t="n">
        <v>31</v>
      </c>
      <c r="BI42" s="293" t="n">
        <v>32</v>
      </c>
      <c r="BJ42" s="293" t="n">
        <v>5</v>
      </c>
      <c r="BK42" s="293" t="n">
        <v>8</v>
      </c>
      <c r="BL42" s="293" t="n">
        <v>7</v>
      </c>
      <c r="BM42" s="293" t="n">
        <v>12</v>
      </c>
      <c r="BN42" s="293" t="n">
        <v>1</v>
      </c>
      <c r="BO42" s="293" t="n">
        <v>36</v>
      </c>
      <c r="BZ42" s="693" t="n"/>
      <c r="CA42" s="693" t="n"/>
    </row>
    <row r="43" ht="12" customHeight="1" s="613">
      <c r="A43" s="429" t="inlineStr">
        <is>
          <t>min.</t>
        </is>
      </c>
      <c r="B43" s="295">
        <f>IF(NOT(ISBLANK(D43)),D43,DGET('Grid Numbers'!$A$2:$L$4952,'Grid Numbers'!$J$2,$B$70:$H$71))</f>
        <v/>
      </c>
      <c r="C43" s="700" t="n"/>
      <c r="D43" s="504" t="n"/>
      <c r="G43" s="322">
        <f>IF(ISNUMBER($AI$48),$B$7,"")</f>
        <v/>
      </c>
      <c r="H43" s="314">
        <f>IF(AND(G44="",G44=""),"",IF($AI$48=1,"NE/SW",IF($AI$48=2,"NW/SW",IF($AI$48=3,"SW/SW",IF($AI$48=4,"SE/SW","")))))</f>
        <v/>
      </c>
      <c r="L43" s="310" t="n"/>
      <c r="M43" s="309" t="n"/>
      <c r="Q43" s="322">
        <f>IF(ISNUMBER($AK$48),$B$7,"")</f>
        <v/>
      </c>
      <c r="R43" s="314">
        <f>IF(AND(Q44="",Q44=""),"",IF($AK$48=1,"NE/SE",IF($AK$48=2,"NW/SE",IF($AK$48=3,"SW/SE",IF($AK$48=4,"SE/SE","")))))</f>
        <v/>
      </c>
      <c r="U43" s="504" t="n"/>
      <c r="V43" s="646" t="n"/>
      <c r="W43" s="474">
        <f>IF(NOT(ISBLANK(U43)),U43,DGET('Grid Numbers'!$A$2:$L$4952,'Grid Numbers'!$J$2,$B$78:$H$79))</f>
        <v/>
      </c>
      <c r="X43" s="426" t="inlineStr">
        <is>
          <t>min.</t>
        </is>
      </c>
      <c r="AA43" s="689" t="n"/>
      <c r="AB43" s="294" t="n"/>
      <c r="AV43" s="313" t="n"/>
      <c r="AW43" s="313" t="n"/>
      <c r="AX43" s="313" t="n"/>
      <c r="AY43" s="313" t="n"/>
      <c r="AZ43" s="313" t="n"/>
      <c r="BA43" s="313" t="n"/>
      <c r="BB43" s="313" t="inlineStr">
        <is>
          <t>SW-NW</t>
        </is>
      </c>
      <c r="BD43" s="480" t="n">
        <v>3</v>
      </c>
      <c r="BE43" s="319" t="inlineStr">
        <is>
          <t>BHL2</t>
        </is>
      </c>
      <c r="BF43" s="481">
        <f>IF(AND(MAX($AE$69:$AL$69)&lt;1,ISNUMBER($AI$34), ISNUMBER($AJ$34)),IF(AND($AI$34&gt;0,IF($AI$34&lt;$BJ$19,$AS$75,$AS$74)&lt;0),8,IF(AND($AI$34&lt;0,$AJ$34&lt;0),7,IF(AND(IF($AJ$34&lt;$BM$19,$AR$75,$AR$76)&lt;0,$AJ$34&gt;0),6,""))),"")</f>
        <v/>
      </c>
      <c r="BG43" s="293" t="n">
        <v>7</v>
      </c>
      <c r="BH43" s="293" t="n">
        <v>6</v>
      </c>
      <c r="BI43" s="293" t="n">
        <v>5</v>
      </c>
      <c r="BJ43" s="293" t="n">
        <v>8</v>
      </c>
      <c r="BK43" s="293" t="n">
        <v>17</v>
      </c>
      <c r="BL43" s="293" t="n">
        <v>18</v>
      </c>
      <c r="BM43" s="293" t="n">
        <v>13</v>
      </c>
      <c r="BN43" s="293" t="n">
        <v>12</v>
      </c>
      <c r="BO43" s="293" t="n">
        <v>1</v>
      </c>
      <c r="BZ43" s="693" t="n"/>
      <c r="CA43" s="693" t="n"/>
    </row>
    <row r="44" ht="12" customHeight="1" s="613">
      <c r="A44" s="429" t="inlineStr">
        <is>
          <t>sec.</t>
        </is>
      </c>
      <c r="B44" s="295">
        <f>IF(NOT(ISBLANK(D44)),D44,DGET('Grid Numbers'!$A$2:$L$4952,'Grid Numbers'!$K$2,$B$70:$H$71))</f>
        <v/>
      </c>
      <c r="C44" s="700" t="n"/>
      <c r="D44" s="505" t="n"/>
      <c r="G44" s="311">
        <f>IF(ISNUMBER($AI$48),$I$7,"")</f>
        <v/>
      </c>
      <c r="H44" s="311">
        <f>IF(ISNUMBER($AI$48),"FSL","")</f>
        <v/>
      </c>
      <c r="J44" s="693" t="n"/>
      <c r="K44" s="693" t="n"/>
      <c r="L44" s="310" t="n"/>
      <c r="M44" s="309" t="n"/>
      <c r="Q44" s="311">
        <f>IF(ISNUMBER($AK$48),$I$7,"")</f>
        <v/>
      </c>
      <c r="R44" s="311">
        <f>IF(ISNUMBER($AK$48),"FSL","")</f>
        <v/>
      </c>
      <c r="T44" s="693" t="n"/>
      <c r="U44" s="505" t="n"/>
      <c r="V44" s="646" t="n"/>
      <c r="W44" s="474">
        <f>IF(NOT(ISBLANK(U44)),U44,DGET('Grid Numbers'!$A$2:$L$4952,'Grid Numbers'!$K$2,$B$78:$H$79))</f>
        <v/>
      </c>
      <c r="X44" s="426" t="inlineStr">
        <is>
          <t>sec.</t>
        </is>
      </c>
      <c r="AA44" s="689" t="n"/>
      <c r="AB44" s="294" t="n"/>
      <c r="AV44" s="313" t="n"/>
      <c r="AW44" s="313" t="n"/>
      <c r="AX44" s="313" t="n"/>
      <c r="AY44" s="313" t="n"/>
      <c r="AZ44" s="313" t="n"/>
      <c r="BA44" s="313" t="n"/>
      <c r="BB44" s="313" t="inlineStr">
        <is>
          <t>SE-NW</t>
        </is>
      </c>
      <c r="BD44" s="469" t="n">
        <v>4</v>
      </c>
      <c r="BE44" s="676" t="inlineStr">
        <is>
          <t>BHL2</t>
        </is>
      </c>
      <c r="BF44" s="318">
        <f>IF(AND(MAX($AE$69:$AL$69)&lt;1,ISNUMBER($AK$35), ISNUMBER($AL$35)),IF(AND(IF(-$AL$35&lt;$BS$19,$AT$76,$AT$75)&lt;0,$AL$35&lt;0),6,IF(AND($AK$35&lt;0,$AL$35&gt;0),5,IF(AND($AK$35&gt;0,IF($AK$35&lt;$BT$19,$AU$76,$AU$73)&lt;0),4,""))),"")</f>
        <v/>
      </c>
      <c r="BG44" s="293" t="n">
        <v>8</v>
      </c>
      <c r="BH44" s="293" t="n">
        <v>5</v>
      </c>
      <c r="BI44" s="293" t="n">
        <v>4</v>
      </c>
      <c r="BJ44" s="293" t="n">
        <v>9</v>
      </c>
      <c r="BK44" s="293" t="n">
        <v>16</v>
      </c>
      <c r="BL44" s="293" t="n">
        <v>17</v>
      </c>
      <c r="BM44" s="293" t="n">
        <v>18</v>
      </c>
      <c r="BN44" s="293" t="n">
        <v>7</v>
      </c>
      <c r="BO44" s="293" t="n">
        <v>6</v>
      </c>
      <c r="BZ44" s="693" t="n"/>
      <c r="CA44" s="693" t="n"/>
    </row>
    <row r="45" ht="12" customHeight="1" s="613">
      <c r="A45" s="429" t="inlineStr">
        <is>
          <t>dir.</t>
        </is>
      </c>
      <c r="B45" s="321">
        <f>IF(NOT(ISBLANK(D45)),D45,DGET('Grid Numbers'!$A$2:$L$4952,'Grid Numbers'!$L$2,$B$70:$H$71))</f>
        <v/>
      </c>
      <c r="C45" s="700" t="n"/>
      <c r="D45" s="508" t="n"/>
      <c r="G45" s="307">
        <f>IF(ISNUMBER($AI$48),$K$7,"")</f>
        <v/>
      </c>
      <c r="H45" s="307">
        <f>IF(ISNUMBER($AI$48),"FWL","")</f>
        <v/>
      </c>
      <c r="J45" s="693" t="n"/>
      <c r="K45" s="693" t="n"/>
      <c r="L45" s="310" t="n"/>
      <c r="M45" s="309" t="n"/>
      <c r="Q45" s="307">
        <f>IF(ISNUMBER($AK$48),$K$7,"")</f>
        <v/>
      </c>
      <c r="R45" s="307">
        <f>IF(ISNUMBER($AK$48),"FEL","")</f>
        <v/>
      </c>
      <c r="T45" s="693" t="n"/>
      <c r="U45" s="508" t="n"/>
      <c r="V45" s="646" t="n"/>
      <c r="W45" s="321">
        <f>IF(NOT(ISBLANK(U45)),U45,DGET('Grid Numbers'!$A$2:$L$4952,'Grid Numbers'!$L$2,$B$78:$H$79))</f>
        <v/>
      </c>
      <c r="X45" s="426" t="inlineStr">
        <is>
          <t>dir.</t>
        </is>
      </c>
      <c r="AA45" s="689" t="n"/>
      <c r="AB45" s="294" t="n"/>
      <c r="AC45" s="319" t="n"/>
      <c r="AD45" s="319" t="n"/>
      <c r="AE45" s="683" t="inlineStr">
        <is>
          <t>Quad 1 (NE)</t>
        </is>
      </c>
      <c r="AF45" s="617" t="n"/>
      <c r="AG45" s="685" t="inlineStr">
        <is>
          <t>Quad 2 (NW)</t>
        </is>
      </c>
      <c r="AH45" s="616" t="n"/>
      <c r="AI45" s="683" t="inlineStr">
        <is>
          <t>Quad 3 (SW)</t>
        </is>
      </c>
      <c r="AJ45" s="617" t="n"/>
      <c r="AK45" s="683" t="inlineStr">
        <is>
          <t>Quad 4 (SE)</t>
        </is>
      </c>
      <c r="AL45" s="617" t="n"/>
      <c r="AV45" s="313" t="n"/>
      <c r="AW45" s="313" t="n"/>
      <c r="AX45" s="313" t="n"/>
      <c r="AY45" s="313" t="n"/>
      <c r="AZ45" s="313" t="n"/>
      <c r="BA45" s="313" t="n"/>
      <c r="BB45" s="313" t="inlineStr">
        <is>
          <t>NE-SW</t>
        </is>
      </c>
      <c r="BD45" s="480" t="n">
        <v>1</v>
      </c>
      <c r="BE45" s="319" t="inlineStr">
        <is>
          <t>BHL3</t>
        </is>
      </c>
      <c r="BF45" s="481">
        <f>IF(AND(MAX($AE$80:$AL$80)&lt;1,ISNUMBER($AE$38), ISNUMBER($AF$38)),IF(AND($AE$38&gt;0,$AF$38&gt;0),3,IF(AND($AE$38&lt;0,IF(-$AE$38&lt;$BZ$19,$AO$84,$AO$87)&lt;0),4,IF(AND(IF(-$AF$38&lt;$AW$19,$AN$84,$AN$85)&lt;0,$AF$38&lt;0),2,""))),"")</f>
        <v/>
      </c>
      <c r="BG45" s="293" t="n">
        <v>9</v>
      </c>
      <c r="BH45" s="293" t="n">
        <v>4</v>
      </c>
      <c r="BI45" s="293" t="n">
        <v>3</v>
      </c>
      <c r="BJ45" s="293" t="n">
        <v>10</v>
      </c>
      <c r="BK45" s="293" t="n">
        <v>15</v>
      </c>
      <c r="BL45" s="293" t="n">
        <v>16</v>
      </c>
      <c r="BM45" s="293" t="n">
        <v>17</v>
      </c>
      <c r="BN45" s="293" t="n">
        <v>8</v>
      </c>
      <c r="BO45" s="293" t="n">
        <v>5</v>
      </c>
      <c r="BZ45" s="693" t="n"/>
      <c r="CA45" s="693" t="n"/>
    </row>
    <row r="46" ht="12" customHeight="1" s="613">
      <c r="A46" s="429" t="inlineStr">
        <is>
          <t>dec. deg.</t>
        </is>
      </c>
      <c r="B46" s="771">
        <f>IF(B42="","",IF(OR(B45=1,B45=4),180-(B42+B43/60+B44/3600),180+(B42+B43/60+B44/3600)))</f>
        <v/>
      </c>
      <c r="C46" s="700" t="n"/>
      <c r="G46" s="315">
        <f>IF(ISNUMBER($AI$58),$B$8,"")</f>
        <v/>
      </c>
      <c r="H46" s="314">
        <f>IF(AND(G47="",G48=""),"",IF($AI$58=1,"NE/SW",IF($AI$58=2,"NW/SW",IF($AI$58=3,"SW/SW",IF($AI$58=4,"SE/SW","")))))</f>
        <v/>
      </c>
      <c r="I46" s="428" t="n"/>
      <c r="J46" s="427" t="n"/>
      <c r="K46" s="427" t="n"/>
      <c r="L46" s="310" t="n"/>
      <c r="M46" s="309" t="n"/>
      <c r="Q46" s="315">
        <f>IF(ISNUMBER($AK$58),$B$8,"")</f>
        <v/>
      </c>
      <c r="R46" s="314">
        <f>IF(AND(Q47="",Q48=""),"",IF($AK$58=1,"NE/SE",IF($AK$58=2,"NW/SE",IF($AK$58=3,"SW/SE",IF($AK$58=4,"SE/SE","")))))</f>
        <v/>
      </c>
      <c r="S46" s="428" t="n"/>
      <c r="T46" s="427" t="n"/>
      <c r="U46" s="462" t="n"/>
      <c r="V46" s="646" t="n"/>
      <c r="W46" s="770">
        <f>IF(W42="","",IF(OR(W45=1,W45=4),180-(W42+W43/60+W44/3600),180+(W42+W43/60+W44/3600)))</f>
        <v/>
      </c>
      <c r="X46" s="426" t="inlineStr">
        <is>
          <t>dec. deg.</t>
        </is>
      </c>
      <c r="AA46" s="689" t="n"/>
      <c r="AB46" s="294" t="n"/>
      <c r="AD46" s="319" t="n"/>
      <c r="AE46" s="683" t="n">
        <v>1</v>
      </c>
      <c r="AF46" s="617" t="n"/>
      <c r="AG46" s="683" t="n">
        <v>2</v>
      </c>
      <c r="AH46" s="617" t="n"/>
      <c r="AI46" s="683" t="n">
        <v>3</v>
      </c>
      <c r="AJ46" s="617" t="n"/>
      <c r="AK46" s="683" t="n">
        <v>4</v>
      </c>
      <c r="AL46" s="617" t="n"/>
      <c r="AV46" s="313" t="n"/>
      <c r="AW46" s="313" t="n"/>
      <c r="AX46" s="313" t="n"/>
      <c r="AY46" s="313" t="n"/>
      <c r="AZ46" s="313" t="n"/>
      <c r="BA46" s="313" t="n"/>
      <c r="BB46" s="313" t="inlineStr">
        <is>
          <t>NW-SW</t>
        </is>
      </c>
      <c r="BD46" s="480" t="n">
        <v>2</v>
      </c>
      <c r="BE46" s="319" t="inlineStr">
        <is>
          <t>BHL3</t>
        </is>
      </c>
      <c r="BF46" s="481">
        <f>IF(AND(MAX($AE$80:$AL$80)&lt;1,ISNUMBER($AG$39), ISNUMBER($AH$39)),IF(AND(IF($AH$39&lt;$BC$19,$AP$85,$AP$84)&lt;0,$AH$39&gt;0),2,IF(AND($AG$39&gt;0,$AH$39&lt;0),9,IF(AND($AG$39&lt;0,IF(-$AG$39&lt;$BD$19,$AQ$85,$AQ$86)&lt;0),8,""))),"")</f>
        <v/>
      </c>
      <c r="BG46" s="293" t="n">
        <v>10</v>
      </c>
      <c r="BH46" s="293" t="n">
        <v>3</v>
      </c>
      <c r="BI46" s="293" t="n">
        <v>2</v>
      </c>
      <c r="BJ46" s="293" t="n">
        <v>11</v>
      </c>
      <c r="BK46" s="293" t="n">
        <v>14</v>
      </c>
      <c r="BL46" s="293" t="n">
        <v>15</v>
      </c>
      <c r="BM46" s="293" t="n">
        <v>16</v>
      </c>
      <c r="BN46" s="293" t="n">
        <v>9</v>
      </c>
      <c r="BO46" s="293" t="n">
        <v>4</v>
      </c>
      <c r="BZ46" s="693" t="n"/>
      <c r="CA46" s="693" t="n"/>
    </row>
    <row r="47" ht="12" customHeight="1" s="613">
      <c r="C47" s="700" t="n"/>
      <c r="G47" s="312">
        <f>IF(ISNUMBER($AI$58),$I$8,"")</f>
        <v/>
      </c>
      <c r="H47" s="311">
        <f>IF(ISNUMBER($AI$58),"FSL","")</f>
        <v/>
      </c>
      <c r="I47" s="428" t="n"/>
      <c r="J47" s="427" t="n"/>
      <c r="K47" s="427" t="n"/>
      <c r="L47" s="310" t="n"/>
      <c r="M47" s="309" t="n"/>
      <c r="Q47" s="312">
        <f>IF(ISNUMBER($AK$58),$I$8,"")</f>
        <v/>
      </c>
      <c r="R47" s="311">
        <f>IF(ISNUMBER($AK$58),"FSL","")</f>
        <v/>
      </c>
      <c r="S47" s="428" t="n"/>
      <c r="T47" s="427" t="n"/>
      <c r="V47" s="646" t="n"/>
      <c r="AA47" s="689" t="n"/>
      <c r="AE47" s="674" t="inlineStr">
        <is>
          <t>SHL Qtr-Qtr Logic</t>
        </is>
      </c>
      <c r="AF47" s="675" t="n"/>
      <c r="AG47" s="676" t="inlineStr">
        <is>
          <t>SHL Qtr-Qtr Logic</t>
        </is>
      </c>
      <c r="AH47" s="677" t="n"/>
      <c r="AI47" s="674" t="inlineStr">
        <is>
          <t>SHL Qtr-Qtr Logic</t>
        </is>
      </c>
      <c r="AJ47" s="675" t="n"/>
      <c r="AK47" s="674" t="inlineStr">
        <is>
          <t>SHL Qtr-Qtr Logic</t>
        </is>
      </c>
      <c r="AL47" s="675" t="n"/>
      <c r="AV47" s="313" t="n"/>
      <c r="AW47" s="313" t="n"/>
      <c r="AX47" s="313" t="n"/>
      <c r="AY47" s="313" t="n"/>
      <c r="AZ47" s="313" t="n"/>
      <c r="BA47" s="313" t="n"/>
      <c r="BB47" s="313" t="inlineStr">
        <is>
          <t>SW-SW</t>
        </is>
      </c>
      <c r="BD47" s="480" t="n">
        <v>3</v>
      </c>
      <c r="BE47" s="319" t="inlineStr">
        <is>
          <t>BHL3</t>
        </is>
      </c>
      <c r="BF47" s="481">
        <f>IF(AND(MAX($AE$80:$AL$80)&lt;1,ISNUMBER($AI$40), ISNUMBER($AJ$40)),IF(AND($AI$40&gt;0,IF($AI$40&lt;$BJ$19,$AS$86,$AS$85)&lt;0),8,IF(AND($AI$40&lt;0,$AJ$40&lt;0),7,IF(AND(IF($AJ$40&lt;$BM$19,$AR$86,$AR$87)&lt;0,$AJ$40&gt;0),6,""))),"")</f>
        <v/>
      </c>
      <c r="BG47" s="293" t="n">
        <v>11</v>
      </c>
      <c r="BH47" s="293" t="n">
        <v>2</v>
      </c>
      <c r="BI47" s="293" t="n">
        <v>1</v>
      </c>
      <c r="BJ47" s="293" t="n">
        <v>12</v>
      </c>
      <c r="BK47" s="293" t="n">
        <v>13</v>
      </c>
      <c r="BL47" s="293" t="n">
        <v>14</v>
      </c>
      <c r="BM47" s="293" t="n">
        <v>15</v>
      </c>
      <c r="BN47" s="293" t="n">
        <v>10</v>
      </c>
      <c r="BO47" s="293" t="n">
        <v>3</v>
      </c>
      <c r="BZ47" s="693" t="n"/>
      <c r="CA47" s="693" t="n"/>
    </row>
    <row r="48" ht="12" customHeight="1" s="613">
      <c r="C48" s="700" t="n"/>
      <c r="D48" s="503" t="inlineStr">
        <is>
          <t>OVERRIDE</t>
        </is>
      </c>
      <c r="G48" s="308">
        <f>IF(ISNUMBER($AI$58),$K$8,"")</f>
        <v/>
      </c>
      <c r="H48" s="307">
        <f>IF(ISNUMBER($AI$58),"FWL","")</f>
        <v/>
      </c>
      <c r="I48" s="428" t="n"/>
      <c r="J48" s="427" t="n"/>
      <c r="K48" s="427" t="n"/>
      <c r="L48" s="310" t="n"/>
      <c r="M48" s="309" t="n"/>
      <c r="Q48" s="308">
        <f>IF(ISNUMBER($AK$58),$K$8,"")</f>
        <v/>
      </c>
      <c r="R48" s="307">
        <f>IF(ISNUMBER($AK$58),"FEL","")</f>
        <v/>
      </c>
      <c r="S48" s="428" t="n"/>
      <c r="T48" s="427" t="n"/>
      <c r="U48" s="503" t="inlineStr">
        <is>
          <t>OVERRIDE</t>
        </is>
      </c>
      <c r="V48" s="646" t="n"/>
      <c r="AA48" s="689" t="n"/>
      <c r="AE48" s="671">
        <f>IF(AND($J$7=1,$L$7=1,$I$7/$AX$28&lt;$BY$22-($K$7/$BX$28+$BZ$22)*$AW$22/$AX$22,$K$7/$BX$28&lt;$AX$22-($I$7/$AX$28+$AW$22)*$BZ$22/$BY$22),IF(AND($I$7/$AX$28&gt;$BZ$19-$AV$19,$K$7/$BX$28&gt;$AW$19-$CA$19),3,IF(AND($I$7/$AX$28&lt;$BZ$19-$AV$19,$K$7/$BZ$28&gt;$AW$19-$CA$19),2,IF(AND($I$7/$AV$28&gt;$BZ$19-$AV$19,$K$7/$BX$28&lt;$AW$19-$CA$19),4,1))),"")</f>
        <v/>
      </c>
      <c r="AF48" s="617" t="n"/>
      <c r="AG48" s="671">
        <f>IF(AND($J$7=1,$L$7=2,$I$7/$AZ$28&lt;$BE$22+($K$7/$BF$28-$BF$22)*$BA$22/$BB$22,$K$7/$BF$28&lt;$BB$22+($I$7/$AZ$28-$BA$22)*$BF$22/$BE$22),IF(AND($I$7/$AZ$28&gt;$BD$19+$BB$19,$K$7/$BF$28&gt;$BC$19+$BE$19),4,IF(AND($I$7/$AZ$28&lt;$BD$19+$BB$19,$K$7/$BD$28&gt;$BC$19+$BE$19),1,IF(AND($I$7/$BB$28&gt;$BD$19+$BB$19,$K$7/$BF$28&lt;$BC$19+$BE$19),3,2))),"")</f>
        <v/>
      </c>
      <c r="AH48" s="617" t="n"/>
      <c r="AI48" s="671">
        <f>IF(AND($J$7=2,$L$7=2,$I$7/$BN$28&lt;$BI$22-($K$7/$BH$28+$BJ$22)*$BM$22/$BN$22,$K$7/$BH$28&lt;$BN$22-($I$7/$BN$28+$BM$22)*$BJ$22/$BI$22),IF(AND($I$7/$BN$28&gt;$BJ$19-$BL$19,$K$7/$BH$28&gt;$BM$19-$BK$19),1,IF(AND($I$7/$BL$28&gt;$BJ$19-$BL$19,$K$7/$BH$28&lt;$BM$19-$BK$19),2,IF(AND($I$7/$BL$28&lt;$BJ$19-$BL$19,$K$7/$BJ$28&lt;$BM$19-$BK$19),3,4))),"")</f>
        <v/>
      </c>
      <c r="AJ48" s="617" t="n"/>
      <c r="AK48" s="671">
        <f>IF(AND($J$7=2,$L$7=1,$I$7/$BP$28&lt;$BU$22+($K$7/$BV$28-$BV$22)*$BQ$22/$BR$22,$K$7/$BV$28&lt;$BR$22+($I$7/$BP$28-$BQ$22)*$BV$22/$BU$22),IF(AND($I$7/$BR$28&gt;$BT$19+$BR$19,$K$7/$BV$28&lt;$BS$19+$BU$19),1,IF(AND($I$7/$BP$28&gt;$BT$19+$BR$19,$K$7/$BT$28&gt;$BS$19+$BU$19),2,IF(AND($I$7/$BP$28&lt;$BT$19+$BR$19,$K$7/$BT$28&gt;$BS$19+$BU$19),3,4))),"")</f>
        <v/>
      </c>
      <c r="AL48" s="617" t="n"/>
      <c r="AV48" s="313" t="n"/>
      <c r="AW48" s="313" t="n"/>
      <c r="AX48" s="313" t="n"/>
      <c r="AY48" s="313" t="n"/>
      <c r="AZ48" s="313" t="n"/>
      <c r="BA48" s="313" t="n"/>
      <c r="BB48" s="313" t="inlineStr">
        <is>
          <t>SE-SW</t>
        </is>
      </c>
      <c r="BD48" s="469" t="n">
        <v>4</v>
      </c>
      <c r="BE48" s="676" t="inlineStr">
        <is>
          <t>BHL3</t>
        </is>
      </c>
      <c r="BF48" s="318">
        <f>IF(AND(MAX($AE$80:$AL$80)&lt;1,ISNUMBER($AK$41), ISNUMBER($AL$41)),IF(AND(IF(-$AL$41&lt;$BS$19,$AT$87,$AT$86)&lt;0,$AL$41&lt;0),6,IF(AND($AK$41&lt;0,$AL$41&gt;0),5,IF(AND($AK$41&gt;0,IF($AK$41&lt;$BT$19,$AU$87,$AU$84)&lt;0),4,""))),"")</f>
        <v/>
      </c>
      <c r="BG48" s="293" t="n">
        <v>12</v>
      </c>
      <c r="BH48" s="293" t="n">
        <v>1</v>
      </c>
      <c r="BI48" s="293" t="n">
        <v>6</v>
      </c>
      <c r="BJ48" s="293" t="n">
        <v>7</v>
      </c>
      <c r="BK48" s="293" t="n">
        <v>18</v>
      </c>
      <c r="BL48" s="293" t="n">
        <v>13</v>
      </c>
      <c r="BM48" s="293" t="n">
        <v>14</v>
      </c>
      <c r="BN48" s="293" t="n">
        <v>11</v>
      </c>
      <c r="BO48" s="293" t="n">
        <v>2</v>
      </c>
      <c r="BZ48" s="693" t="n"/>
      <c r="CA48" s="693" t="n"/>
    </row>
    <row r="49" ht="12" customHeight="1" s="613">
      <c r="A49" s="429" t="inlineStr">
        <is>
          <t>dist.</t>
        </is>
      </c>
      <c r="B49" s="301">
        <f>IF(NOT(ISBLANK(D49)),D49,DGET('Grid Numbers'!$A$2:$L$4952,'Grid Numbers'!$H$2,$B$72:$H$73))</f>
        <v/>
      </c>
      <c r="C49" s="700" t="n"/>
      <c r="D49" s="504" t="n"/>
      <c r="G49" s="315">
        <f>IF(ISNUMBER($AI$69),$B$9,"")</f>
        <v/>
      </c>
      <c r="H49" s="314">
        <f>IF(AND(G50="",G51=""),"",IF($AI$69=1,"NE/SW",IF($AI$69=2,"NW/SW",IF($AI$69=3,"SW/SW",IF($AI$69=4,"SE/SW","")))))</f>
        <v/>
      </c>
      <c r="I49" s="428" t="n"/>
      <c r="J49" s="427" t="n"/>
      <c r="K49" s="427" t="n"/>
      <c r="L49" s="310" t="n"/>
      <c r="M49" s="309" t="n"/>
      <c r="Q49" s="315">
        <f>IF(ISNUMBER($AK$69),$B$9,"")</f>
        <v/>
      </c>
      <c r="R49" s="314">
        <f>IF(AND(Q50="",Q51=""),"",IF($AK$69=1,"NE/SE",IF($AK$69=2,"NW/SE",IF($AK$69=3,"SW/SE",IF($AK$69=4,"SE/SE","")))))</f>
        <v/>
      </c>
      <c r="S49" s="428" t="n"/>
      <c r="T49" s="427" t="n"/>
      <c r="U49" s="504" t="n"/>
      <c r="V49" s="646" t="n"/>
      <c r="W49" s="301">
        <f>IF(NOT(ISBLANK(U49)),U49,DGET('Grid Numbers'!$A$2:$L$4952,'Grid Numbers'!$H$2,$B$80:$H$81))</f>
        <v/>
      </c>
      <c r="X49" s="426" t="inlineStr">
        <is>
          <t>dist.</t>
        </is>
      </c>
      <c r="AA49" s="689" t="n"/>
      <c r="AE49" s="291" t="n"/>
      <c r="AF49" s="290" t="n"/>
      <c r="AG49" s="292" t="n"/>
      <c r="AH49" s="292" t="n"/>
      <c r="AI49" s="291" t="n"/>
      <c r="AJ49" s="290" t="n"/>
      <c r="AK49" s="291" t="n"/>
      <c r="AL49" s="290" t="n"/>
      <c r="AV49" s="313" t="n"/>
      <c r="AW49" s="313" t="n"/>
      <c r="AX49" s="313" t="n"/>
      <c r="AY49" s="313" t="n"/>
      <c r="AZ49" s="313" t="n"/>
      <c r="BA49" s="313" t="n"/>
      <c r="BB49" s="313" t="inlineStr">
        <is>
          <t>NE-SE</t>
        </is>
      </c>
      <c r="BG49" s="293" t="n">
        <v>13</v>
      </c>
      <c r="BH49" s="293" t="n">
        <v>12</v>
      </c>
      <c r="BI49" s="293" t="n">
        <v>7</v>
      </c>
      <c r="BJ49" s="293" t="n">
        <v>18</v>
      </c>
      <c r="BK49" s="293" t="n">
        <v>19</v>
      </c>
      <c r="BL49" s="293" t="n">
        <v>24</v>
      </c>
      <c r="BM49" s="293" t="n">
        <v>23</v>
      </c>
      <c r="BN49" s="293" t="n">
        <v>14</v>
      </c>
      <c r="BO49" s="293" t="n">
        <v>11</v>
      </c>
      <c r="BZ49" s="693" t="n"/>
      <c r="CA49" s="693" t="n"/>
    </row>
    <row r="50" ht="12" customHeight="1" s="613">
      <c r="A50" s="429" t="inlineStr">
        <is>
          <t>deg.</t>
        </is>
      </c>
      <c r="B50" s="295">
        <f>IF(NOT(ISBLANK(D50)),D50,DGET('Grid Numbers'!$A$2:$L$4952,'Grid Numbers'!$I$2,$B$72:$H$73))</f>
        <v/>
      </c>
      <c r="C50" s="700" t="n"/>
      <c r="D50" s="504" t="n"/>
      <c r="G50" s="312">
        <f>IF(ISNUMBER($AI$69),$I$9,"")</f>
        <v/>
      </c>
      <c r="H50" s="311">
        <f>IF(ISNUMBER($AI$69),"FSL","")</f>
        <v/>
      </c>
      <c r="I50" s="428" t="n"/>
      <c r="J50" s="427" t="n"/>
      <c r="K50" s="427" t="n"/>
      <c r="L50" s="310" t="n"/>
      <c r="M50" s="309" t="n"/>
      <c r="Q50" s="312">
        <f>IF(ISNUMBER($AK$69),$I$9,"")</f>
        <v/>
      </c>
      <c r="R50" s="311">
        <f>IF(ISNUMBER($AK$69),"FSL","")</f>
        <v/>
      </c>
      <c r="S50" s="428" t="n"/>
      <c r="T50" s="427" t="n"/>
      <c r="U50" s="504" t="n"/>
      <c r="V50" s="646" t="n"/>
      <c r="W50" s="474">
        <f>IF(NOT(ISBLANK(U50)),U50,DGET('Grid Numbers'!$A$2:$L$4952,'Grid Numbers'!$I$2,$B$80:$H$81))</f>
        <v/>
      </c>
      <c r="X50" s="426" t="inlineStr">
        <is>
          <t>deg.</t>
        </is>
      </c>
      <c r="AA50" s="689" t="n"/>
      <c r="AE50" s="674" t="inlineStr">
        <is>
          <t>SHL NE SC Calc</t>
        </is>
      </c>
      <c r="AF50" s="675" t="n"/>
      <c r="AG50" s="676" t="inlineStr">
        <is>
          <t>SHL NW SC Calc</t>
        </is>
      </c>
      <c r="AH50" s="677" t="n"/>
      <c r="AI50" s="674" t="inlineStr">
        <is>
          <t>SHL SW SC Calc</t>
        </is>
      </c>
      <c r="AJ50" s="675" t="n"/>
      <c r="AK50" s="674" t="inlineStr">
        <is>
          <t>SHL SE SC Calc</t>
        </is>
      </c>
      <c r="AL50" s="675" t="n"/>
      <c r="AV50" s="313" t="n"/>
      <c r="AW50" s="313" t="n"/>
      <c r="AX50" s="317" t="inlineStr">
        <is>
          <t>Plat North Reference</t>
        </is>
      </c>
      <c r="AY50" s="316" t="n">
        <v>1</v>
      </c>
      <c r="AZ50" s="313" t="n"/>
      <c r="BA50" s="313" t="n"/>
      <c r="BB50" s="313" t="inlineStr">
        <is>
          <t>NW-SE</t>
        </is>
      </c>
      <c r="BD50" s="300" t="inlineStr">
        <is>
          <t>BHL1 Section</t>
        </is>
      </c>
      <c r="BE50" s="338">
        <f>IF(MAX($AE$58:$AL$58)&gt;0,$N$7,VLOOKUP($N$7,$BG$37:$BO$72,MAX($BF$37:$BF$40),FALSE))</f>
        <v/>
      </c>
      <c r="BG50" s="293" t="n">
        <v>14</v>
      </c>
      <c r="BH50" s="293" t="n">
        <v>11</v>
      </c>
      <c r="BI50" s="293" t="n">
        <v>12</v>
      </c>
      <c r="BJ50" s="293" t="n">
        <v>13</v>
      </c>
      <c r="BK50" s="293" t="n">
        <v>24</v>
      </c>
      <c r="BL50" s="293" t="n">
        <v>23</v>
      </c>
      <c r="BM50" s="293" t="n">
        <v>22</v>
      </c>
      <c r="BN50" s="293" t="n">
        <v>15</v>
      </c>
      <c r="BO50" s="293" t="n">
        <v>10</v>
      </c>
      <c r="BZ50" s="693" t="n"/>
      <c r="CA50" s="693" t="n"/>
    </row>
    <row r="51" ht="12" customHeight="1" s="613">
      <c r="A51" s="429" t="inlineStr">
        <is>
          <t>min.</t>
        </is>
      </c>
      <c r="B51" s="295">
        <f>IF(NOT(ISBLANK(D51)),D51,DGET('Grid Numbers'!$A$2:$L$4952,'Grid Numbers'!$J$2,$B$72:$H$73))</f>
        <v/>
      </c>
      <c r="C51" s="700" t="n"/>
      <c r="D51" s="504" t="n"/>
      <c r="G51" s="308">
        <f>IF(ISNUMBER($AI$69),$K$9,"")</f>
        <v/>
      </c>
      <c r="H51" s="307">
        <f>IF(ISNUMBER($AI$69),"FWL","")</f>
        <v/>
      </c>
      <c r="I51" s="428" t="n"/>
      <c r="J51" s="427" t="n"/>
      <c r="K51" s="427" t="n"/>
      <c r="L51" s="310" t="n"/>
      <c r="M51" s="309" t="n"/>
      <c r="Q51" s="308">
        <f>IF(ISNUMBER($AK$69),$K$9,"")</f>
        <v/>
      </c>
      <c r="R51" s="307">
        <f>IF(ISNUMBER($AK$69),"FEL","")</f>
        <v/>
      </c>
      <c r="S51" s="428" t="n"/>
      <c r="T51" s="427" t="n"/>
      <c r="U51" s="504" t="n"/>
      <c r="V51" s="646" t="n"/>
      <c r="W51" s="474">
        <f>IF(NOT(ISBLANK(U51)),U51,DGET('Grid Numbers'!$A$2:$L$4952,'Grid Numbers'!$J$2,$B$80:$H$81))</f>
        <v/>
      </c>
      <c r="X51" s="426" t="inlineStr">
        <is>
          <t>min.</t>
        </is>
      </c>
      <c r="AA51" s="689" t="n"/>
      <c r="AB51" s="294" t="n"/>
      <c r="AC51" s="294" t="n"/>
      <c r="AD51" s="470" t="inlineStr">
        <is>
          <t>Qtr-Qtr</t>
        </is>
      </c>
      <c r="AE51" s="671" t="inlineStr">
        <is>
          <t>N-S</t>
        </is>
      </c>
      <c r="AF51" s="671" t="inlineStr">
        <is>
          <t>E-W</t>
        </is>
      </c>
      <c r="AG51" s="468" t="inlineStr">
        <is>
          <t>N-S</t>
        </is>
      </c>
      <c r="AH51" s="467" t="inlineStr">
        <is>
          <t>E-W</t>
        </is>
      </c>
      <c r="AI51" s="671" t="inlineStr">
        <is>
          <t>N-S</t>
        </is>
      </c>
      <c r="AJ51" s="671" t="inlineStr">
        <is>
          <t>E-W</t>
        </is>
      </c>
      <c r="AK51" s="671" t="inlineStr">
        <is>
          <t>N-S</t>
        </is>
      </c>
      <c r="AL51" s="671" t="inlineStr">
        <is>
          <t>E-W</t>
        </is>
      </c>
      <c r="AV51" s="313" t="n"/>
      <c r="AW51" s="313" t="n"/>
      <c r="AX51" s="313" t="n"/>
      <c r="AY51" s="313" t="n"/>
      <c r="AZ51" s="313" t="n"/>
      <c r="BA51" s="313" t="n"/>
      <c r="BB51" s="313" t="inlineStr">
        <is>
          <t>SW-SE</t>
        </is>
      </c>
      <c r="BD51" s="478" t="n"/>
      <c r="BE51" s="481">
        <f>IF(MAX('BHL Section 1'!$AE$58:$AL$58)&gt;0,'BHL Section 1'!$L$38,VLOOKUP('BHL Section 1'!$L$38,$BG$37:$BO$72,MAX('BHL Section 1'!$BF$37:$BF$40),FALSE))</f>
        <v/>
      </c>
      <c r="BG51" s="293" t="n">
        <v>15</v>
      </c>
      <c r="BH51" s="293" t="n">
        <v>10</v>
      </c>
      <c r="BI51" s="293" t="n">
        <v>11</v>
      </c>
      <c r="BJ51" s="293" t="n">
        <v>14</v>
      </c>
      <c r="BK51" s="293" t="n">
        <v>23</v>
      </c>
      <c r="BL51" s="293" t="n">
        <v>22</v>
      </c>
      <c r="BM51" s="293" t="n">
        <v>21</v>
      </c>
      <c r="BN51" s="293" t="n">
        <v>16</v>
      </c>
      <c r="BO51" s="293" t="n">
        <v>9</v>
      </c>
      <c r="BZ51" s="693" t="n"/>
      <c r="CA51" s="693" t="n"/>
    </row>
    <row r="52" ht="12" customHeight="1" s="613">
      <c r="A52" s="429" t="inlineStr">
        <is>
          <t>sec.</t>
        </is>
      </c>
      <c r="B52" s="295">
        <f>IF(NOT(ISBLANK(D52)),D52,DGET('Grid Numbers'!$A$2:$L$4952,'Grid Numbers'!$K$2,$B$72:$H$73))</f>
        <v/>
      </c>
      <c r="C52" s="700" t="n"/>
      <c r="D52" s="505" t="n"/>
      <c r="G52" s="315">
        <f>IF(ISNUMBER($AI$80),$B$10,"")</f>
        <v/>
      </c>
      <c r="H52" s="314">
        <f>IF(AND(G53="",G54=""),"",IF($AI$80=1,"NE/SW",IF($AI$80=2,"NW/SW",IF($AI$80=3,"SW/SW",IF($AI$80=4,"SE/SW","")))))</f>
        <v/>
      </c>
      <c r="I52" s="428" t="n"/>
      <c r="J52" s="427" t="n"/>
      <c r="K52" s="427" t="n"/>
      <c r="L52" s="310" t="n"/>
      <c r="M52" s="309" t="n"/>
      <c r="P52" s="693" t="n"/>
      <c r="Q52" s="315">
        <f>IF(ISNUMBER($AK$80),$B$10,"")</f>
        <v/>
      </c>
      <c r="R52" s="314">
        <f>IF(AND(Q53="",Q54=""),"",IF($AK$80=1,"NE/SE",IF($AK$80=2,"NW/SE",IF($AK$80=3,"SW/SE",IF($AK$80=4,"SE/SE","")))))</f>
        <v/>
      </c>
      <c r="S52" s="428" t="n"/>
      <c r="T52" s="427" t="n"/>
      <c r="U52" s="505" t="n"/>
      <c r="V52" s="646" t="n"/>
      <c r="W52" s="474">
        <f>IF(NOT(ISBLANK(U52)),U52,DGET('Grid Numbers'!$A$2:$L$4952,'Grid Numbers'!$K$2,$B$80:$H$81))</f>
        <v/>
      </c>
      <c r="X52" s="426" t="inlineStr">
        <is>
          <t>sec.</t>
        </is>
      </c>
      <c r="AA52" s="689" t="n"/>
      <c r="AB52" s="689" t="n"/>
      <c r="AD52" s="319" t="n">
        <v>1</v>
      </c>
      <c r="AE52" s="483">
        <f>IF($AD52=AE$48,-($Q$28/$AV$28+$Q$29/$BZ$28*$AV$19/$AW$19)/(1-$AV$19/$AW$19*$CA$19/$BZ$19),"")</f>
        <v/>
      </c>
      <c r="AF52" s="484">
        <f>IF($AD52=AE$48,-($Q$29/$BZ$28+$Q$28/$AV$28*$CA$19/$BZ$19)/(1-$AV$19/$AW$19*$CA$19/$BZ$19),"")</f>
        <v/>
      </c>
      <c r="AG52" s="420">
        <f>IF($AD52=AG$48,-($G$28/$AZ$28-$BB$19-($G$29/$BD$28-$BC$19)*$AZ$19/$BA$19)/(1-$AZ$19/$BA$19*$BE$19/$BD$19),"")</f>
        <v/>
      </c>
      <c r="AH52" s="420">
        <f>IF($AD52=AG$48,($G$29/$BD$28-$BC$19-($G$28/$AZ$28-$BB$19)*$BE$19/$BD$19)/(1-$AZ$19/$BA$19*$BE$19/$BD$19)+$BC$19,"")</f>
        <v/>
      </c>
      <c r="AI52" s="483">
        <f>IF($AD52=AI$48,($G$44/$BN$28-$BJ$19+$BL$19+($G$45/$BH$28-$BM$19+$BK$19)*$BN$19/$BO$19)/(1-$BI$19/$BH$19*$BN$19/$BO$19)+$BJ$19,"")</f>
        <v/>
      </c>
      <c r="AJ52" s="484">
        <f>IF($AD52=AI$48,($G$45/$BH$28-$BM$19+$BK$19+($G$44/$BN$28-$BJ$19+$BL$19)*$BI$19/$BH$19)/(1-$BI$19/$BH$19*$BN$19/$BO$19)+$BM$19,"")</f>
        <v/>
      </c>
      <c r="AK52" s="483">
        <f>IF($AD52=AK$48,($Q$44/$BR$28-$BT$19-($Q$45/$BV$28-$BU$19)*$BR$19/$BS$19)/(1-$BW$19/$BV$19*$BR$19/$BS$19)+$BT$19,"")</f>
        <v/>
      </c>
      <c r="AL52" s="484">
        <f>IF($AD52=AK$48,-($Q$45/$BV$28-$BU$19-($Q$44/$BR$28-$BT$19)*$BW$19/$BV$19)/(1-$BW$19/$BV$19*$BR$19/$BS$19),"")</f>
        <v/>
      </c>
      <c r="AV52" s="313" t="n"/>
      <c r="AW52" s="313" t="n"/>
      <c r="AX52" s="313" t="n"/>
      <c r="AY52" s="313" t="n"/>
      <c r="AZ52" s="313" t="n"/>
      <c r="BA52" s="313" t="n"/>
      <c r="BB52" s="313" t="inlineStr">
        <is>
          <t>SE-SE</t>
        </is>
      </c>
      <c r="BD52" s="297" t="n"/>
      <c r="BE52" s="318">
        <f>IF(MAX('BHL Section 2'!$AE$58:$AL$58)&gt;0,'BHL Section 2'!$L$38,VLOOKUP('BHL Section 2'!$L$38,$BG$37:$BO$72,MAX('BHL Section 2'!$BF$37:$BF$40),FALSE))</f>
        <v/>
      </c>
      <c r="BG52" s="293" t="n">
        <v>16</v>
      </c>
      <c r="BH52" s="293" t="n">
        <v>9</v>
      </c>
      <c r="BI52" s="293" t="n">
        <v>10</v>
      </c>
      <c r="BJ52" s="293" t="n">
        <v>15</v>
      </c>
      <c r="BK52" s="293" t="n">
        <v>22</v>
      </c>
      <c r="BL52" s="293" t="n">
        <v>21</v>
      </c>
      <c r="BM52" s="293" t="n">
        <v>20</v>
      </c>
      <c r="BN52" s="293" t="n">
        <v>17</v>
      </c>
      <c r="BO52" s="293" t="n">
        <v>8</v>
      </c>
      <c r="BZ52" s="693" t="n"/>
      <c r="CA52" s="693" t="n"/>
    </row>
    <row r="53" ht="12" customHeight="1" s="613">
      <c r="A53" s="429" t="inlineStr">
        <is>
          <t>dir.</t>
        </is>
      </c>
      <c r="B53" s="321">
        <f>IF(NOT(ISBLANK(D53)),D53,DGET('Grid Numbers'!$A$2:$L$4952,'Grid Numbers'!$L$2,$B$72:$H$73))</f>
        <v/>
      </c>
      <c r="C53" s="700" t="n"/>
      <c r="D53" s="508" t="n"/>
      <c r="G53" s="312">
        <f>IF(ISNUMBER($AI$80),$I$10,"")</f>
        <v/>
      </c>
      <c r="H53" s="311">
        <f>IF(ISNUMBER($AI$80),"FSL","")</f>
        <v/>
      </c>
      <c r="I53" s="428" t="n"/>
      <c r="J53" s="427" t="n"/>
      <c r="K53" s="427" t="n"/>
      <c r="L53" s="310" t="n"/>
      <c r="M53" s="309" t="n"/>
      <c r="P53" s="693" t="n"/>
      <c r="Q53" s="312">
        <f>IF(ISNUMBER($AK$80),$I$10,"")</f>
        <v/>
      </c>
      <c r="R53" s="311">
        <f>IF(ISNUMBER($AK$80),"FSL","")</f>
        <v/>
      </c>
      <c r="S53" s="428" t="n"/>
      <c r="T53" s="427" t="n"/>
      <c r="U53" s="508" t="n"/>
      <c r="V53" s="646" t="n"/>
      <c r="W53" s="321">
        <f>IF(NOT(ISBLANK(U53)),U53,DGET('Grid Numbers'!$A$2:$L$4952,'Grid Numbers'!$L$2,$B$80:$H$81))</f>
        <v/>
      </c>
      <c r="X53" s="426" t="inlineStr">
        <is>
          <t>dir.</t>
        </is>
      </c>
      <c r="AA53" s="689" t="n"/>
      <c r="AB53" s="689" t="n"/>
      <c r="AD53" s="319" t="n">
        <v>2</v>
      </c>
      <c r="AE53" s="483">
        <f>IF($AD53=AE$48,-($Q$28/$AX$28+$AV$19+($Q$29/$BZ$28-$AW$19)*$AX$19/$AY$19)/(1-$AX$19/$AY$19*$CA$19/$BZ$19),"")</f>
        <v/>
      </c>
      <c r="AF53" s="484">
        <f>IF($AD53=AE$48,-($Q$29/$BZ$28-$AW$19+($Q$28/$AX$28+$AV$19)*$CA$19/$BZ$19)/(1-$AX$19/$AY$19*$CA$19/$BZ$19)-$AW$19,"")</f>
        <v/>
      </c>
      <c r="AG53" s="420">
        <f>IF($AD53=AG$48,-($G$28/$BB$28-$G$29/$BD$28*$BB$19/$BC$19)/(1-$BE$19/$BD$19*$BB$19/$BC$19),"")</f>
        <v/>
      </c>
      <c r="AH53" s="420">
        <f>IF($AD53=AG$48,($G$29/$BD$28-$G$28/$BB$28*$BE$19/$BD$19)/(1-$BE$19/$BD$19*$BB$19/$BC$19),"")</f>
        <v/>
      </c>
      <c r="AI53" s="483">
        <f>IF($AD53=AI$48,($G$44/$BL$28-$BJ$19+($G$45/$BH$28+$BK$19)*$BL$19/$BM$19)/(1-$BI$19/$BH$19*$BL$19/$BM$19)+$BJ$19,"")</f>
        <v/>
      </c>
      <c r="AJ53" s="484">
        <f>IF($AD53=AI$48,($G$45/$BH$28+$BK$19+($G$44/$BL$28-$BJ$19)*$BI$19/$BH$19)/(1-$BI$19/$BH$19*$BL$19/$BM$19),"")</f>
        <v/>
      </c>
      <c r="AK53" s="483">
        <f>IF($AD53=AK$48,($Q$44/$BP$28-$BT19-$BR$19-($Q$45/$BV$28-$BS$19-$BU$19)*$BP$19/$BQ$19)/(1-$BW$19/$BV$19*$BP$19/$BQ$19)+$BT$19,"")</f>
        <v/>
      </c>
      <c r="AL53" s="484">
        <f>IF($AD53=AK$48,-($Q$45/$BV$28-$BS$19-$BU$19-($Q$44/$BP$28-$BT$19-$BR$19)*$BW$19/$BV$19)/(1-$BW$19/$BV$19*$BP$19/$BQ$19)-$BS$19,"")</f>
        <v/>
      </c>
      <c r="BD53" s="300" t="inlineStr">
        <is>
          <t>BHL2 Section</t>
        </is>
      </c>
      <c r="BE53" s="338">
        <f>IF(MAX($AE$69:$AL$69)&gt;0,$N$7,VLOOKUP($N$7,$BG$37:$BO$72,MAX($BF$41:$BF$44),FALSE))</f>
        <v/>
      </c>
      <c r="BG53" s="293" t="n">
        <v>17</v>
      </c>
      <c r="BH53" s="293" t="n">
        <v>8</v>
      </c>
      <c r="BI53" s="293" t="n">
        <v>9</v>
      </c>
      <c r="BJ53" s="293" t="n">
        <v>16</v>
      </c>
      <c r="BK53" s="293" t="n">
        <v>21</v>
      </c>
      <c r="BL53" s="293" t="n">
        <v>20</v>
      </c>
      <c r="BM53" s="293" t="n">
        <v>19</v>
      </c>
      <c r="BN53" s="293" t="n">
        <v>18</v>
      </c>
      <c r="BO53" s="293" t="n">
        <v>7</v>
      </c>
      <c r="BZ53" s="693" t="n"/>
      <c r="CA53" s="693" t="n"/>
    </row>
    <row r="54" ht="12" customHeight="1" s="613">
      <c r="A54" s="429" t="inlineStr">
        <is>
          <t>dec. deg.</t>
        </is>
      </c>
      <c r="B54" s="771">
        <f>IF(B50="","",IF(OR(B53=1,B53=4),180-(B50+B51/60+B52/3600),180+(B50+B51/60+B52/3600)))</f>
        <v/>
      </c>
      <c r="C54" s="700" t="n"/>
      <c r="F54" s="774" t="n"/>
      <c r="G54" s="308">
        <f>IF(ISNUMBER($AI$80),$K$10,"")</f>
        <v/>
      </c>
      <c r="H54" s="307">
        <f>IF(ISNUMBER($AI$80),"FWL","")</f>
        <v/>
      </c>
      <c r="I54" s="428" t="n"/>
      <c r="J54" s="427" t="n"/>
      <c r="K54" s="427" t="n"/>
      <c r="L54" s="310" t="n"/>
      <c r="M54" s="309" t="n"/>
      <c r="P54" s="774" t="n"/>
      <c r="Q54" s="308">
        <f>IF(ISNUMBER($AK$80),$K$10,"")</f>
        <v/>
      </c>
      <c r="R54" s="307">
        <f>IF(ISNUMBER($AK$80),"FEL","")</f>
        <v/>
      </c>
      <c r="S54" s="428" t="n"/>
      <c r="T54" s="427" t="n"/>
      <c r="U54" s="689" t="n"/>
      <c r="V54" s="646" t="n"/>
      <c r="W54" s="770">
        <f>IF(W50="","",IF(OR(W53=1,W53=4),180-(W50+W51/60+W52/3600),180+(W50+W51/60+W52/3600)))</f>
        <v/>
      </c>
      <c r="X54" s="426" t="inlineStr">
        <is>
          <t>dec. deg.</t>
        </is>
      </c>
      <c r="AA54" s="689" t="n"/>
      <c r="AB54" s="689" t="n"/>
      <c r="AD54" s="319" t="n">
        <v>3</v>
      </c>
      <c r="AE54" s="483">
        <f>IF($AD54=AE$48,-($Q$28/$AX$28+$AV$19-$BZ$19+($Q$29/$BX$28+$CA$19-$AW$19)*$AX$19/$AY$19)/(1-$AX$19/$AY$19*$BY$19/$BX$19)-$BZ$19,"")</f>
        <v/>
      </c>
      <c r="AF54" s="484">
        <f>IF($AD54=AE$48,-($Q$29/$BX$28+$CA$19-$AW$19+($Q$28/$AX$28+$AV$19-$BZ$19)*$BY$19/$BX$19)/(1-$AX$19/$AY$19*$BY$19/$BX$19)-$AW$19,"")</f>
        <v/>
      </c>
      <c r="AG54" s="420">
        <f>IF($AD54=AG$48,-($G$28/$BB$28-$BD$19-($G$29/$BF$28-$BE$19)*$BB$19/$BC$19)/(1-$BG$19/$BF$19*$BB$19/$BC$19)-$BD$19,"")</f>
        <v/>
      </c>
      <c r="AH54" s="420">
        <f>IF($AD54=AG$48,($G$29/$BF$28-$BE$19-($G$28/$BB$28-$BD$19)*$BG$19/$BF$19)/(1-$BG$19/$BF$19*$BB$19/$BC$19),"")</f>
        <v/>
      </c>
      <c r="AI54" s="483">
        <f>IF($AD54=AI$48,($G$44/$BL$28+$G$45/$BJ$28*$BL$19/$BM$19)/(1-$BK$19/$BJ$19*$BL$19/$BM$19),"")</f>
        <v/>
      </c>
      <c r="AJ54" s="484">
        <f>IF($AD54=AI$48,($G$45/$BJ$28+$G$44/$BL$28*$BK$19/$BJ$19)/(1-$BK$19/$BJ$19*$BL$19/$BM$19),"")</f>
        <v/>
      </c>
      <c r="AK54" s="483">
        <f>IF($AD54=AK$48,($Q$44/$BP$28-$BR$19-($Q$45/$BT$28-$BS$19)*$BP$19/$BQ$19)/(1-$BU$19/$BT$19*$BP$19/$BQ$19),"")</f>
        <v/>
      </c>
      <c r="AL54" s="484">
        <f>IF($AD54=AK$48,-($Q$45/$BT$28-$BS$19-($Q$44/$BP$28-$BR$19)*$BU$19/$BT$19)/(1-$BU$19/$BT$19*$BP$19/$BQ$19)-$BS$19,"")</f>
        <v/>
      </c>
      <c r="BD54" s="478" t="n"/>
      <c r="BE54" s="481">
        <f>IF(MAX('BHL Section 1'!$AE$69:$AL$69)&gt;0,'BHL Section 1'!$L$38,VLOOKUP('BHL Section 1'!$L$38,$BG$37:$BO$72,MAX('BHL Section 1'!$BF$41:$BF$44),FALSE))</f>
        <v/>
      </c>
      <c r="BG54" s="293" t="n">
        <v>18</v>
      </c>
      <c r="BH54" s="293" t="n">
        <v>7</v>
      </c>
      <c r="BI54" s="293" t="n">
        <v>8</v>
      </c>
      <c r="BJ54" s="293" t="n">
        <v>17</v>
      </c>
      <c r="BK54" s="293" t="n">
        <v>20</v>
      </c>
      <c r="BL54" s="293" t="n">
        <v>19</v>
      </c>
      <c r="BM54" s="293" t="n">
        <v>24</v>
      </c>
      <c r="BN54" s="293" t="n">
        <v>13</v>
      </c>
      <c r="BO54" s="293" t="n">
        <v>12</v>
      </c>
      <c r="BZ54" s="693" t="n"/>
      <c r="CA54" s="693" t="n"/>
    </row>
    <row r="55" ht="12" customHeight="1" s="613" thickBot="1">
      <c r="C55" s="654" t="n"/>
      <c r="D55" s="633" t="n"/>
      <c r="E55" s="633" t="n"/>
      <c r="F55" s="633" t="n"/>
      <c r="G55" s="633" t="n"/>
      <c r="H55" s="633" t="n"/>
      <c r="I55" s="633" t="n"/>
      <c r="J55" s="633" t="n"/>
      <c r="K55" s="633" t="n"/>
      <c r="L55" s="305" t="n"/>
      <c r="M55" s="304" t="n"/>
      <c r="N55" s="633" t="n"/>
      <c r="O55" s="633" t="n"/>
      <c r="P55" s="633" t="n"/>
      <c r="Q55" s="633" t="n"/>
      <c r="R55" s="633" t="n"/>
      <c r="S55" s="633" t="n"/>
      <c r="T55" s="633" t="n"/>
      <c r="U55" s="633" t="n"/>
      <c r="V55" s="634" t="n"/>
      <c r="AA55" s="689" t="n"/>
      <c r="AB55" s="689" t="n"/>
      <c r="AD55" s="319" t="n">
        <v>4</v>
      </c>
      <c r="AE55" s="483">
        <f>IF($AD55=AE$48,-($Q$28/$AV$28-$BZ$19+($Q$29/$BX$28+$CA$19)*$AV$19/$AW$19)/(1-$AV$19/$AW$19*$BY$19/$BX$19)-$BZ$19,"")</f>
        <v/>
      </c>
      <c r="AF55" s="484">
        <f>IF($AD55=AE$48,-($Q$29/$BX$28+$CA$19+($Q$28/$AV$28-$BZ$19)*$BY$19/$BX$19)/(1-$AV$19/$AW$19*$BY$19/$BX$19),"")</f>
        <v/>
      </c>
      <c r="AG55" s="420">
        <f>IF($AD55=AG$48,-($G$28/$AZ$28-$BD$19-$BB$19-($G$29/$BF$28-$BC$19-$BE$19)*$AZ$19/$BA$19)/(1-$AZ$19/$BA$19*$BG$19/$BF$19)-$BD$19,"")</f>
        <v/>
      </c>
      <c r="AH55" s="420">
        <f>IF($AD55=AG$48,($G$29/$BF$28-$BC$19-$BE$19-($G$28/$AZ$28-$BD$19-$BB$19)*$BG$19/$BF$19)/(1-$AZ$19/$BA$19*$BG$19/$BF$19)+$BC$19,"")</f>
        <v/>
      </c>
      <c r="AI55" s="483">
        <f>IF($AD55=AI$48,($G$44/$BN$28+$BL$19+($G$45/$BJ$28-$BM$19)*$BN$19/$BO$19)/(1-$BK$19/$BJ$19*$BN$19/$BO$19),"")</f>
        <v/>
      </c>
      <c r="AJ55" s="484">
        <f>IF($AD55=AI$48,($G$45/$BJ$28-$BM$19+($G$44/$BN$28+$BL$19)*$BK$19/$BJ$19)/(1-$BK$19/$BJ$19*$BN$19/$BO$19)+$BM$19,"")</f>
        <v/>
      </c>
      <c r="AK55" s="483">
        <f>IF($AD55=AK$48,($Q$44/$BR$28-$Q$45/$BT$28*$BR$19/$BS$19)/(1-$BU$19/$BT$19*$BR$19/$BS$19),"")</f>
        <v/>
      </c>
      <c r="AL55" s="484">
        <f>IF($AD55=AK$48,-($Q$45/$BT$28-$Q$44/$BR$28*$BU$19/$BT$19)/(1-$BU$19/$BT$19*$BR$19/$BS$19),"")</f>
        <v/>
      </c>
      <c r="AW55" s="693" t="n">
        <v>1</v>
      </c>
      <c r="AX55" s="693" t="n">
        <v>2</v>
      </c>
      <c r="AY55" s="693" t="n">
        <v>3</v>
      </c>
      <c r="AZ55" s="693" t="n">
        <v>4</v>
      </c>
      <c r="BD55" s="297" t="n"/>
      <c r="BE55" s="318">
        <f>IF(MAX('BHL Section 2'!$AE$69:$AL$69)&gt;0,'BHL Section 2'!$L$38,VLOOKUP('BHL Section 2'!$L$38,$BG$37:$BO$72,MAX('BHL Section 2'!$BF$41:$BF$44),FALSE))</f>
        <v/>
      </c>
      <c r="BG55" s="293" t="n">
        <v>19</v>
      </c>
      <c r="BH55" s="293" t="n">
        <v>18</v>
      </c>
      <c r="BI55" s="293" t="n">
        <v>17</v>
      </c>
      <c r="BJ55" s="293" t="n">
        <v>20</v>
      </c>
      <c r="BK55" s="293" t="n">
        <v>29</v>
      </c>
      <c r="BL55" s="293" t="n">
        <v>30</v>
      </c>
      <c r="BM55" s="293" t="n">
        <v>25</v>
      </c>
      <c r="BN55" s="293" t="n">
        <v>24</v>
      </c>
      <c r="BO55" s="293" t="n">
        <v>13</v>
      </c>
      <c r="BZ55" s="693" t="n"/>
      <c r="CA55" s="693" t="n"/>
    </row>
    <row r="56" ht="15.75" customHeight="1" s="613" thickBot="1">
      <c r="B56" s="670">
        <f>CONCATENATE("SW SC of ",$L$38)</f>
        <v/>
      </c>
      <c r="L56" s="669">
        <f>CONCATENATE("S QC of ",$L$38)</f>
        <v/>
      </c>
      <c r="M56" s="653" t="n"/>
      <c r="V56" s="684">
        <f>CONCATENATE("SE SC of ",$L$38)</f>
        <v/>
      </c>
      <c r="AA56" s="689" t="n"/>
      <c r="AB56" s="689" t="n"/>
      <c r="AE56" s="291" t="n"/>
      <c r="AF56" s="290" t="n"/>
      <c r="AG56" s="292" t="n"/>
      <c r="AH56" s="292" t="n"/>
      <c r="AI56" s="291" t="n"/>
      <c r="AJ56" s="290" t="n"/>
      <c r="AK56" s="291" t="n"/>
      <c r="AL56" s="290" t="n"/>
      <c r="AV56" s="693" t="n">
        <v>1</v>
      </c>
      <c r="AW56" s="293" t="inlineStr">
        <is>
          <t>NE-NE</t>
        </is>
      </c>
      <c r="AX56" s="293" t="inlineStr">
        <is>
          <t>NE-NW</t>
        </is>
      </c>
      <c r="AY56" s="293" t="inlineStr">
        <is>
          <t>NE-SW</t>
        </is>
      </c>
      <c r="AZ56" s="293" t="inlineStr">
        <is>
          <t>NE-SE</t>
        </is>
      </c>
      <c r="BD56" s="300" t="inlineStr">
        <is>
          <t>BHL3 Section</t>
        </is>
      </c>
      <c r="BE56" s="338">
        <f>IF(MAX($AE$80:$AL$80)&gt;0,$N$7,VLOOKUP($N$7,$BG$37:$BO$72,MAX($BF$45:$BF$48),FALSE))</f>
        <v/>
      </c>
      <c r="BG56" s="293" t="n">
        <v>20</v>
      </c>
      <c r="BH56" s="293" t="n">
        <v>17</v>
      </c>
      <c r="BI56" s="293" t="n">
        <v>16</v>
      </c>
      <c r="BJ56" s="293" t="n">
        <v>21</v>
      </c>
      <c r="BK56" s="293" t="n">
        <v>28</v>
      </c>
      <c r="BL56" s="293" t="n">
        <v>29</v>
      </c>
      <c r="BM56" s="293" t="n">
        <v>30</v>
      </c>
      <c r="BN56" s="293" t="n">
        <v>19</v>
      </c>
      <c r="BO56" s="293" t="n">
        <v>18</v>
      </c>
      <c r="BZ56" s="693" t="n"/>
      <c r="CA56" s="693" t="n"/>
    </row>
    <row r="57" ht="12" customHeight="1" s="613">
      <c r="D57" s="429" t="inlineStr">
        <is>
          <t>dist.</t>
        </is>
      </c>
      <c r="E57" s="302">
        <f>IF(NOT(ISBLANK(F57)),F57,DGET('Grid Numbers'!$A$2:$L$4952,'Grid Numbers'!$H$2,$L$74:$R$75))</f>
        <v/>
      </c>
      <c r="F57" s="504" t="n"/>
      <c r="H57" s="299" t="n"/>
      <c r="I57" s="299" t="n"/>
      <c r="J57" s="429" t="inlineStr">
        <is>
          <t>dist.</t>
        </is>
      </c>
      <c r="K57" s="303">
        <f>IF(NOT(ISBLANK(L57)),L57,DGET('Grid Numbers'!$A$2:$L$4952,'Grid Numbers'!$H$2,$L$76:$R$77))</f>
        <v/>
      </c>
      <c r="L57" s="504" t="n"/>
      <c r="N57" s="429" t="inlineStr">
        <is>
          <t>dist.</t>
        </is>
      </c>
      <c r="O57" s="302">
        <f>IF(NOT(ISBLANK(P57)),P57,DGET('Grid Numbers'!$A$2:$L$4952,'Grid Numbers'!$H$2,$L$78:$R$79))</f>
        <v/>
      </c>
      <c r="P57" s="504" t="n"/>
      <c r="Q57" s="299" t="n"/>
      <c r="R57" s="299" t="n"/>
      <c r="T57" s="429" t="inlineStr">
        <is>
          <t>dist.</t>
        </is>
      </c>
      <c r="U57" s="301">
        <f>IF(NOT(ISBLANK(V57)),V57,DGET('Grid Numbers'!$A$2:$L$4952,'Grid Numbers'!$H$2,$L$80:$R$81))</f>
        <v/>
      </c>
      <c r="V57" s="504" t="n"/>
      <c r="AA57" s="689" t="n"/>
      <c r="AB57" s="689" t="n"/>
      <c r="AE57" s="674" t="inlineStr">
        <is>
          <t>BHL1 Qtr-Qtr Logic</t>
        </is>
      </c>
      <c r="AF57" s="675" t="n"/>
      <c r="AG57" s="676" t="inlineStr">
        <is>
          <t>BHL1 Qtr-Qtr Logic</t>
        </is>
      </c>
      <c r="AH57" s="677" t="n"/>
      <c r="AI57" s="674" t="inlineStr">
        <is>
          <t>BHL1 Qtr-Qtr Logic</t>
        </is>
      </c>
      <c r="AJ57" s="675" t="n"/>
      <c r="AK57" s="674" t="inlineStr">
        <is>
          <t>BHL1 Qtr-Qtr Logic</t>
        </is>
      </c>
      <c r="AL57" s="675" t="n"/>
      <c r="AV57" s="693" t="n">
        <v>2</v>
      </c>
      <c r="AW57" s="293" t="inlineStr">
        <is>
          <t>NW-NE</t>
        </is>
      </c>
      <c r="AX57" s="293" t="inlineStr">
        <is>
          <t>NW-NW</t>
        </is>
      </c>
      <c r="AY57" s="293" t="inlineStr">
        <is>
          <t>NW-SW</t>
        </is>
      </c>
      <c r="AZ57" s="293" t="inlineStr">
        <is>
          <t>NW-SE</t>
        </is>
      </c>
      <c r="BD57" s="478" t="n"/>
      <c r="BE57" s="481">
        <f>IF(MAX('BHL Section 1'!$AE$80:$AL$80)&gt;0,'BHL Section 1'!$L$38,VLOOKUP('BHL Section 1'!$L$38,$BG$37:$BO$72,MAX('BHL Section 1'!$BF$45:$BF$48),FALSE))</f>
        <v/>
      </c>
      <c r="BG57" s="293" t="n">
        <v>21</v>
      </c>
      <c r="BH57" s="293" t="n">
        <v>16</v>
      </c>
      <c r="BI57" s="293" t="n">
        <v>15</v>
      </c>
      <c r="BJ57" s="293" t="n">
        <v>22</v>
      </c>
      <c r="BK57" s="293" t="n">
        <v>27</v>
      </c>
      <c r="BL57" s="293" t="n">
        <v>28</v>
      </c>
      <c r="BM57" s="293" t="n">
        <v>29</v>
      </c>
      <c r="BN57" s="293" t="n">
        <v>20</v>
      </c>
      <c r="BO57" s="293" t="n">
        <v>17</v>
      </c>
      <c r="BZ57" s="693" t="n"/>
      <c r="CA57" s="693" t="n"/>
    </row>
    <row r="58" ht="12" customHeight="1" s="613">
      <c r="D58" s="429" t="inlineStr">
        <is>
          <t>deg.</t>
        </is>
      </c>
      <c r="E58" s="295">
        <f>IF(NOT(ISBLANK(F58)),F58,DGET('Grid Numbers'!$A$2:$L$4952,'Grid Numbers'!$I$2,$L$74:$R$75))</f>
        <v/>
      </c>
      <c r="F58" s="504" t="n"/>
      <c r="J58" s="429" t="inlineStr">
        <is>
          <t>deg.</t>
        </is>
      </c>
      <c r="K58" s="296">
        <f>IF(NOT(ISBLANK(L58)),L58,DGET('Grid Numbers'!$A$2:$L$4952,'Grid Numbers'!$I$2,$L$76:$R$77))</f>
        <v/>
      </c>
      <c r="L58" s="504" t="n"/>
      <c r="N58" s="429" t="inlineStr">
        <is>
          <t>deg.</t>
        </is>
      </c>
      <c r="O58" s="295">
        <f>IF(NOT(ISBLANK(P58)),P58,DGET('Grid Numbers'!$A$2:$L$4952,'Grid Numbers'!$I$2,$L$78:$R$79))</f>
        <v/>
      </c>
      <c r="P58" s="504" t="n"/>
      <c r="T58" s="429" t="inlineStr">
        <is>
          <t>deg.</t>
        </is>
      </c>
      <c r="U58" s="295">
        <f>IF(NOT(ISBLANK(V58)),V58,DGET('Grid Numbers'!$A$2:$L$4952,'Grid Numbers'!$I$2,$L$80:$R$81))</f>
        <v/>
      </c>
      <c r="V58" s="504" t="n"/>
      <c r="AA58" s="689" t="n"/>
      <c r="AB58" s="689" t="n"/>
      <c r="AE58" s="671">
        <f>IF($AE$26="","",IF(AND((-$AE$26+$AF$26*$AV$19/$AW$19)&gt;0,-$AE$26&lt;$BZ$19,(-$AF$26+$AE$26*$CA$19/$BZ$19)&gt;0,-$AF$26&lt;$AW$19),1,IF(AND((-$AE$26-$AV$19+($AF$26+$AW$19)*$AX$19/$AY$19)&gt;0,-$AE$26&lt;$BZ$19,-$AF$26&gt;$AW$19,-$AF$26&lt;$AX$22),2,IF(AND(-$AE$26&lt;$BY$22,-$AE$26&gt;$BZ$19,-$AF$26&gt;$AW$19,-$AF$26&lt;$AX$22),3,IF(AND(-$AE$26&lt;$BY$22,-$AE$26&gt;$BZ$19,(-$AF$26-$CA$19-(-$AE$26-$BZ$19)*$BY$19/$BX$19)&gt;0,-$AF$26&lt;$AW$19),4,"")))))</f>
        <v/>
      </c>
      <c r="AF58" s="617" t="n"/>
      <c r="AG58" s="671">
        <f>IF($AG$27="","",IF(AND((-$AG$27+$BB$19+($AH$27-$BC$19)*$AZ$19/$BA$19)&gt;0,-$AG$27&lt;$BD$19,$AH$27&gt;$BC$19,$AH$27&lt;$BB$22),1,IF(AND((-$AG$27+$AH$27*$BB$19/$BC$19)&gt;0,-$AG$27&lt;$BD$19,($AH$27-$AG$27*$BE$19/$BD$19)&gt;0,$AH$27&lt;$BC$19),2,IF(AND(-$AG$27&gt;$BD$19,-$AG$27&lt;$BE$22,($AH$27+$BE$19+(-$AG$27-$BD$19)*$BG$19/$BF$19)&gt;0,$AH$27&lt;$BC$19),3,IF(AND(-$AG$27&gt;$BD$19,-$AG$27&lt;$BE$22,$AH$27&gt;$BC$19,$AH$27&lt;$BB$22),4,"")))))</f>
        <v/>
      </c>
      <c r="AH58" s="617" t="n"/>
      <c r="AI58" s="671">
        <f>IF($AI$28="","",IF(AND($AI$28&gt;$BJ$19,$AI$28&lt;$BI$22,$AJ$28&gt;$BM$19,$AJ$28&lt;$BN$22),1,IF(AND($AI$28&gt;$BJ$19,$AI$28&lt;$BI$22,($AJ$28-$BK$19-($AI$28-$BJ$19)*$BI$19/$BH$19)&gt;0,$AJ$28&lt;$BM$19),2,IF(AND(($AI$28-$AJ$28*$BL$19/$BM$19)&gt;0,$AI$28&lt;$BJ$19,($AJ$28-$AI$28*$BK$19/$BJ$19)&gt;0,$AJ$28&lt;$BM$19),3,IF(AND(($AI$28-$BL$19-($AJ$28-$BM$19)*$BN$19/$BO$19)&gt;0,$AI$28&lt;$BJ$19,$AJ$28&gt;$BM$19,$AJ$28&lt;$BN$22),4,"")))))</f>
        <v/>
      </c>
      <c r="AJ58" s="617" t="n"/>
      <c r="AK58" s="671">
        <f>IF($AK$29="","",IF(AND($AK$29&gt;$BT$19,$AK$29&lt;$BU$22,(-$AL$29+$BU$19+($AK$29-$BT$19)*$BW$19/$BV$19)&gt;0,-$AL$29&lt;$BS$19),1,IF(AND($AK$29&gt;$BT$19,$AK$29&lt;$BU$22,-$AL$29&gt;$BS$19,-$AL$29&lt;$BR$22),2,IF(AND(($AK$29+$BR$19+(-$AL$29-$BS$19)*$BP$19/$BQ$19)&gt;0,$AK$29&lt;$BT$19,-$AL$29&gt;$BS$19,-$AL$29&lt;$BR$22),3,IF(AND(($AK$29-$AL$29*$BR$19/$BS$19)&gt;0,$AK$29&lt;$BT$19,(-$AL$29+$AK$29*$BU$19/$BT$19)&gt;0,-$AL$29&lt;$BS$19),4,"")))))</f>
        <v/>
      </c>
      <c r="AL58" s="617" t="n"/>
      <c r="AV58" s="693" t="n">
        <v>3</v>
      </c>
      <c r="AW58" s="293" t="inlineStr">
        <is>
          <t>SW-NE</t>
        </is>
      </c>
      <c r="AX58" s="293" t="inlineStr">
        <is>
          <t>SW-NW</t>
        </is>
      </c>
      <c r="AY58" s="293" t="inlineStr">
        <is>
          <t>SW-SW</t>
        </is>
      </c>
      <c r="AZ58" s="293" t="inlineStr">
        <is>
          <t>SW-SE</t>
        </is>
      </c>
      <c r="BD58" s="297" t="n"/>
      <c r="BE58" s="318">
        <f>IF(MAX('BHL Section 2'!$AE$80:$AL$80)&gt;0,'BHL Section 2'!$L$38,VLOOKUP('BHL Section 2'!$L$38,$BG$37:$BO$72,MAX('BHL Section 2'!$BF$45:$BF$48),FALSE))</f>
        <v/>
      </c>
      <c r="BG58" s="293" t="n">
        <v>22</v>
      </c>
      <c r="BH58" s="293" t="n">
        <v>15</v>
      </c>
      <c r="BI58" s="293" t="n">
        <v>14</v>
      </c>
      <c r="BJ58" s="293" t="n">
        <v>23</v>
      </c>
      <c r="BK58" s="293" t="n">
        <v>26</v>
      </c>
      <c r="BL58" s="293" t="n">
        <v>27</v>
      </c>
      <c r="BM58" s="293" t="n">
        <v>28</v>
      </c>
      <c r="BN58" s="293" t="n">
        <v>21</v>
      </c>
      <c r="BO58" s="293" t="n">
        <v>16</v>
      </c>
      <c r="BZ58" s="693" t="n"/>
      <c r="CA58" s="693" t="n"/>
    </row>
    <row r="59" ht="12" customHeight="1" s="613">
      <c r="D59" s="429" t="inlineStr">
        <is>
          <t>min.</t>
        </is>
      </c>
      <c r="E59" s="295">
        <f>IF(NOT(ISBLANK(F59)),F59,DGET('Grid Numbers'!$A$2:$L$4952,'Grid Numbers'!$J$2,$L$74:$R$75))</f>
        <v/>
      </c>
      <c r="F59" s="504" t="n"/>
      <c r="J59" s="429" t="inlineStr">
        <is>
          <t>min.</t>
        </is>
      </c>
      <c r="K59" s="296">
        <f>IF(NOT(ISBLANK(L59)),L59,DGET('Grid Numbers'!$A$2:$L$4952,'Grid Numbers'!$J$2,$L$76:$R$77))</f>
        <v/>
      </c>
      <c r="L59" s="504" t="n"/>
      <c r="N59" s="429" t="inlineStr">
        <is>
          <t>min.</t>
        </is>
      </c>
      <c r="O59" s="295">
        <f>IF(NOT(ISBLANK(P59)),P59,DGET('Grid Numbers'!$A$2:$L$4952,'Grid Numbers'!$J$2,$L$78:$R$79))</f>
        <v/>
      </c>
      <c r="P59" s="504" t="n"/>
      <c r="T59" s="429" t="inlineStr">
        <is>
          <t>min.</t>
        </is>
      </c>
      <c r="U59" s="295">
        <f>IF(NOT(ISBLANK(V59)),V59,DGET('Grid Numbers'!$A$2:$L$4952,'Grid Numbers'!$J$2,$L$80:$R$81))</f>
        <v/>
      </c>
      <c r="V59" s="504" t="n"/>
      <c r="AA59" s="689" t="n"/>
      <c r="AB59" s="689" t="n"/>
      <c r="AE59" s="291" t="n"/>
      <c r="AF59" s="290" t="n"/>
      <c r="AG59" s="292" t="n"/>
      <c r="AH59" s="292" t="n"/>
      <c r="AI59" s="291" t="n"/>
      <c r="AJ59" s="290" t="n"/>
      <c r="AK59" s="291" t="n"/>
      <c r="AL59" s="290" t="n"/>
      <c r="AV59" s="693" t="n">
        <v>4</v>
      </c>
      <c r="AW59" s="293" t="inlineStr">
        <is>
          <t>SE-NE</t>
        </is>
      </c>
      <c r="AX59" s="293" t="inlineStr">
        <is>
          <t>SE-NW</t>
        </is>
      </c>
      <c r="AY59" s="293" t="inlineStr">
        <is>
          <t>SE-SW</t>
        </is>
      </c>
      <c r="AZ59" s="293" t="inlineStr">
        <is>
          <t>SE-SE</t>
        </is>
      </c>
      <c r="BG59" s="293" t="n">
        <v>23</v>
      </c>
      <c r="BH59" s="293" t="n">
        <v>14</v>
      </c>
      <c r="BI59" s="293" t="n">
        <v>13</v>
      </c>
      <c r="BJ59" s="293" t="n">
        <v>24</v>
      </c>
      <c r="BK59" s="293" t="n">
        <v>25</v>
      </c>
      <c r="BL59" s="293" t="n">
        <v>26</v>
      </c>
      <c r="BM59" s="293" t="n">
        <v>27</v>
      </c>
      <c r="BN59" s="293" t="n">
        <v>22</v>
      </c>
      <c r="BO59" s="293" t="n">
        <v>15</v>
      </c>
      <c r="BZ59" s="693" t="n"/>
      <c r="CA59" s="693" t="n"/>
    </row>
    <row r="60" ht="12" customHeight="1" s="613">
      <c r="D60" s="429" t="inlineStr">
        <is>
          <t>sec.</t>
        </is>
      </c>
      <c r="E60" s="295">
        <f>IF(NOT(ISBLANK(F60)),F60,DGET('Grid Numbers'!$A$2:$L$4952,'Grid Numbers'!$K$2,$L$74:$R$75))</f>
        <v/>
      </c>
      <c r="F60" s="505" t="n"/>
      <c r="J60" s="429" t="inlineStr">
        <is>
          <t>sec.</t>
        </is>
      </c>
      <c r="K60" s="296">
        <f>IF(NOT(ISBLANK(L60)),L60,DGET('Grid Numbers'!$A$2:$L$4952,'Grid Numbers'!$K$2,$L$76:$R$77))</f>
        <v/>
      </c>
      <c r="L60" s="505" t="n"/>
      <c r="N60" s="429" t="inlineStr">
        <is>
          <t>sec.</t>
        </is>
      </c>
      <c r="O60" s="295">
        <f>IF(NOT(ISBLANK(P60)),P60,DGET('Grid Numbers'!$A$2:$L$4952,'Grid Numbers'!$K$2,$L$78:$R$79))</f>
        <v/>
      </c>
      <c r="P60" s="505" t="n"/>
      <c r="T60" s="429" t="inlineStr">
        <is>
          <t>sec.</t>
        </is>
      </c>
      <c r="U60" s="295">
        <f>IF(NOT(ISBLANK(V60)),V60,DGET('Grid Numbers'!$A$2:$L$4952,'Grid Numbers'!$K$2,$L$80:$R$81))</f>
        <v/>
      </c>
      <c r="V60" s="505" t="n"/>
      <c r="AA60" s="689" t="n"/>
      <c r="AB60" s="689" t="n"/>
      <c r="AE60" s="674" t="inlineStr">
        <is>
          <t>BHL1 NE Line Calc</t>
        </is>
      </c>
      <c r="AF60" s="675" t="n"/>
      <c r="AG60" s="674" t="inlineStr">
        <is>
          <t>BHL1 NW Line Calc</t>
        </is>
      </c>
      <c r="AH60" s="675" t="n"/>
      <c r="AI60" s="674" t="inlineStr">
        <is>
          <t>BHL1 SW Line Calc</t>
        </is>
      </c>
      <c r="AJ60" s="675" t="n"/>
      <c r="AK60" s="674" t="inlineStr">
        <is>
          <t>BHL1 SE Line Calc</t>
        </is>
      </c>
      <c r="AL60" s="675" t="n"/>
      <c r="BG60" s="293" t="n">
        <v>24</v>
      </c>
      <c r="BH60" s="293" t="n">
        <v>13</v>
      </c>
      <c r="BI60" s="293" t="n">
        <v>18</v>
      </c>
      <c r="BJ60" s="293" t="n">
        <v>19</v>
      </c>
      <c r="BK60" s="293" t="n">
        <v>30</v>
      </c>
      <c r="BL60" s="293" t="n">
        <v>25</v>
      </c>
      <c r="BM60" s="293" t="n">
        <v>26</v>
      </c>
      <c r="BN60" s="293" t="n">
        <v>23</v>
      </c>
      <c r="BO60" s="293" t="n">
        <v>14</v>
      </c>
      <c r="BZ60" s="693" t="n"/>
      <c r="CA60" s="693" t="n"/>
    </row>
    <row r="61" ht="12" customHeight="1" s="613">
      <c r="D61" s="429" t="inlineStr">
        <is>
          <t>dir.</t>
        </is>
      </c>
      <c r="E61" s="321">
        <f>IF(NOT(ISBLANK(F61)),F61,DGET('Grid Numbers'!$A$2:$L$4952,'Grid Numbers'!$L$2,$L$74:$R$75))</f>
        <v/>
      </c>
      <c r="F61" s="508" t="n"/>
      <c r="J61" s="429" t="inlineStr">
        <is>
          <t>dir.</t>
        </is>
      </c>
      <c r="K61" s="321">
        <f>IF(NOT(ISBLANK(L61)),L61,DGET('Grid Numbers'!$A$2:$L$4952,'Grid Numbers'!$L$2,$L$76:$R$77))</f>
        <v/>
      </c>
      <c r="L61" s="508" t="n"/>
      <c r="N61" s="429" t="inlineStr">
        <is>
          <t>dir.</t>
        </is>
      </c>
      <c r="O61" s="321">
        <f>IF(NOT(ISBLANK(P61)),P61,DGET('Grid Numbers'!$A$2:$L$4952,'Grid Numbers'!$L$2,$L$78:$R$79))</f>
        <v/>
      </c>
      <c r="P61" s="508" t="n"/>
      <c r="T61" s="429" t="inlineStr">
        <is>
          <t>dir.</t>
        </is>
      </c>
      <c r="U61" s="321">
        <f>IF(NOT(ISBLANK(V61)),V61,DGET('Grid Numbers'!$A$2:$L$4952,'Grid Numbers'!$L$2,$L$80:$R$81))</f>
        <v/>
      </c>
      <c r="V61" s="508" t="n"/>
      <c r="AA61" s="689" t="n"/>
      <c r="AB61" s="689" t="n"/>
      <c r="AD61" s="470" t="inlineStr">
        <is>
          <t>Qtr-Qtr</t>
        </is>
      </c>
      <c r="AE61" s="671" t="inlineStr">
        <is>
          <t>FNL</t>
        </is>
      </c>
      <c r="AF61" s="671" t="inlineStr">
        <is>
          <t>FEL</t>
        </is>
      </c>
      <c r="AG61" s="468" t="inlineStr">
        <is>
          <t>FNL</t>
        </is>
      </c>
      <c r="AH61" s="467" t="inlineStr">
        <is>
          <t>FWL</t>
        </is>
      </c>
      <c r="AI61" s="671" t="inlineStr">
        <is>
          <t>FSL</t>
        </is>
      </c>
      <c r="AJ61" s="671" t="inlineStr">
        <is>
          <t>FWL</t>
        </is>
      </c>
      <c r="AK61" s="671" t="inlineStr">
        <is>
          <t>FSL</t>
        </is>
      </c>
      <c r="AL61" s="671" t="inlineStr">
        <is>
          <t>FEL</t>
        </is>
      </c>
      <c r="AN61" s="693" t="inlineStr">
        <is>
          <t>Calc w/o perpendicular correction</t>
        </is>
      </c>
      <c r="AW61" s="294">
        <f>VLOOKUP(MAX($AE$48:$AL$48),$AV$56:$AZ$59,MAX($AE$48:$AL$48)+1,FALSE)</f>
        <v/>
      </c>
      <c r="BG61" s="293" t="n">
        <v>25</v>
      </c>
      <c r="BH61" s="293" t="n">
        <v>24</v>
      </c>
      <c r="BI61" s="293" t="n">
        <v>19</v>
      </c>
      <c r="BJ61" s="293" t="n">
        <v>30</v>
      </c>
      <c r="BK61" s="293" t="n">
        <v>31</v>
      </c>
      <c r="BL61" s="293" t="n">
        <v>36</v>
      </c>
      <c r="BM61" s="293" t="n">
        <v>35</v>
      </c>
      <c r="BN61" s="293" t="n">
        <v>26</v>
      </c>
      <c r="BO61" s="293" t="n">
        <v>23</v>
      </c>
      <c r="BZ61" s="693" t="n"/>
      <c r="CA61" s="693" t="n"/>
    </row>
    <row r="62" ht="12" customHeight="1" s="613">
      <c r="D62" s="429" t="inlineStr">
        <is>
          <t>dec. deg.</t>
        </is>
      </c>
      <c r="E62" s="770">
        <f>IF(E58="","",IF(OR(E61=1,E61=4),180-(E58+E59/60+E60/3600),(E58+E59/60+E60/3600)))</f>
        <v/>
      </c>
      <c r="F62" s="503" t="inlineStr">
        <is>
          <t>OVERRIDE</t>
        </is>
      </c>
      <c r="J62" s="429" t="inlineStr">
        <is>
          <t>dec. deg.</t>
        </is>
      </c>
      <c r="K62" s="770">
        <f>IF(K58="","",IF(OR(K61=1,K61=4),180-(K58+K59/60+K60/3600),(K58+K59/60+K60/3600)))</f>
        <v/>
      </c>
      <c r="L62" s="503" t="inlineStr">
        <is>
          <t>OVERRIDE</t>
        </is>
      </c>
      <c r="N62" s="429" t="inlineStr">
        <is>
          <t>dec. deg.</t>
        </is>
      </c>
      <c r="O62" s="771">
        <f>IF(O58="","",IF(OR(O61=1,O61=4),180-(O58+O59/60+O60/3600),(O58+O59/60+O60/3600)))</f>
        <v/>
      </c>
      <c r="P62" s="503" t="inlineStr">
        <is>
          <t>OVERRIDE</t>
        </is>
      </c>
      <c r="T62" s="429" t="inlineStr">
        <is>
          <t>dec. deg.</t>
        </is>
      </c>
      <c r="U62" s="771">
        <f>IF(U58="","",IF(OR(U61=1,U61=4),180-(U58+U59/60+U60/3600),(U58+U59/60+U60/3600)))</f>
        <v/>
      </c>
      <c r="V62" s="503" t="inlineStr">
        <is>
          <t>OVERRIDE</t>
        </is>
      </c>
      <c r="AA62" s="689" t="n"/>
      <c r="AB62" s="689" t="n"/>
      <c r="AD62" s="319" t="n">
        <v>1</v>
      </c>
      <c r="AE62" s="483">
        <f>IF($AD62=AE$58,(-$AE$30+$AF$30*$AV$19/$AW$19)*$AV$28,"")</f>
        <v/>
      </c>
      <c r="AF62" s="484">
        <f>IF($AD62=AE$58,(-$AF$30+$AE$30*$CA$19/$BZ$19)*$BZ$28,"")</f>
        <v/>
      </c>
      <c r="AG62" s="483">
        <f>IF($AD62=AG$58,(-$AG$30+$BB$19+($AH$30-$BC$19)*$AZ$19/$BA$19)*$AZ$28,"")</f>
        <v/>
      </c>
      <c r="AH62" s="484">
        <f>IF($AD62=AG$58,($AH$30-$AG$30*$BE$19/$BD$19)*$BD$28,"")</f>
        <v/>
      </c>
      <c r="AI62" s="483">
        <f>IF($AD62=AI$58,($AI$30-$BL$19-($AJ$30-$BM$19)*$BN$19/$BO$19)*$BN$28,"")</f>
        <v/>
      </c>
      <c r="AJ62" s="484">
        <f>IF($AD62=AI$58,($AJ$30-$BK$19-($AI$30-$BJ$19)*$BI$19/$BH$19)*$BH$28,"")</f>
        <v/>
      </c>
      <c r="AK62" s="483">
        <f>IF($AD62=AK$58,($AK$30-$AL$30*$BR$19/$BS$19)*$BR$28,"")</f>
        <v/>
      </c>
      <c r="AL62" s="484">
        <f>IF($AD62=AK$58,(-$AL$30+$BU$19+($AK$30-$BT$19)*$BW$19/$BV$19)*$BV$28,"")</f>
        <v/>
      </c>
      <c r="AN62" s="289">
        <f>(-$AE$30+$AF$30*$AV$19/$AW$19)</f>
        <v/>
      </c>
      <c r="AO62" s="288">
        <f>(-$AF$30+$AE$30*$CA$19/$BZ$19)</f>
        <v/>
      </c>
      <c r="AP62" s="289">
        <f>(-$AG$30+$BB$19+($AH$30-$BC$19)*$AZ$19/$BA$19)</f>
        <v/>
      </c>
      <c r="AQ62" s="288">
        <f>($AH$30-$AG$30*$BE$19/$BD$19)</f>
        <v/>
      </c>
      <c r="AR62" s="289">
        <f>($AI$30-$BL$19-($AJ$30-$BM$19)*$BN$19/$BO$19)</f>
        <v/>
      </c>
      <c r="AS62" s="288">
        <f>($AJ$30-$BK$19-($AI$30-$BJ$19)*$BI$19/$BH$19)</f>
        <v/>
      </c>
      <c r="AT62" s="289">
        <f>($AK$30-$AL$30*$BR$19/$BS$19)</f>
        <v/>
      </c>
      <c r="AU62" s="288">
        <f>(-$AL$30+$BU$19+($AK$30-$BT$19)*$BW$19/$BV$19)</f>
        <v/>
      </c>
      <c r="BG62" s="293" t="n">
        <v>26</v>
      </c>
      <c r="BH62" s="293" t="n">
        <v>23</v>
      </c>
      <c r="BI62" s="293" t="n">
        <v>24</v>
      </c>
      <c r="BJ62" s="293" t="n">
        <v>25</v>
      </c>
      <c r="BK62" s="293" t="n">
        <v>36</v>
      </c>
      <c r="BL62" s="293" t="n">
        <v>35</v>
      </c>
      <c r="BM62" s="293" t="n">
        <v>34</v>
      </c>
      <c r="BN62" s="293" t="n">
        <v>27</v>
      </c>
      <c r="BO62" s="293" t="n">
        <v>22</v>
      </c>
      <c r="BZ62" s="693" t="n"/>
      <c r="CA62" s="693" t="n"/>
    </row>
    <row r="63" ht="12" customHeight="1" s="613">
      <c r="AA63" s="689" t="n"/>
      <c r="AB63" s="689" t="n"/>
      <c r="AD63" s="319" t="n">
        <v>2</v>
      </c>
      <c r="AE63" s="483">
        <f>IF($AD63=AE$58,(-$AE$30-$AV$19+($AF$30+$AW$19)*$AX$19/$AY$19)*$AX$28,"")</f>
        <v/>
      </c>
      <c r="AF63" s="484">
        <f>IF($AD63=AE$58,(-$AF$30+$AE$30*$CA$19/$BZ$19)*$BZ$28,"")</f>
        <v/>
      </c>
      <c r="AG63" s="483">
        <f>IF($AD63=AG$58,(-$AG$30+$AH$30*$BB$19/$BC$19)*$BB$28,"")</f>
        <v/>
      </c>
      <c r="AH63" s="484">
        <f>IF($AD63=AG$58,($AH$30-$AG$30*$BE$19/$BD$19)*$BD$28,"")</f>
        <v/>
      </c>
      <c r="AI63" s="483">
        <f>IF($AD63=AI$58,($AI$30-$AJ$30*$BL$19/$BM$19)*$BL$28,"")</f>
        <v/>
      </c>
      <c r="AJ63" s="484">
        <f>IF($AD63=AI$58,($AJ$30-$BK$19-($AI$30-$BJ$19)*$BI$19/$BH$19)*$BH$28,"")</f>
        <v/>
      </c>
      <c r="AK63" s="483">
        <f>IF($AD63=AK$58,($AK$30+$BR$19+(-$AL$30-$BS$19)*$BP$19/$BQ$19)*$BP$28,"")</f>
        <v/>
      </c>
      <c r="AL63" s="484">
        <f>IF($AD63=AK$58,(-$AL$30+$BU$19+($AK$30-$BT$19)*$BW$19/$BV$19)*$BV$28,"")</f>
        <v/>
      </c>
      <c r="AN63" s="483">
        <f>(-$AE$30-$AV$19+($AF$30+$AW$19)*$AX$19/$AY$19)</f>
        <v/>
      </c>
      <c r="AO63" s="484">
        <f>(-$AF$30+$AE$30*$CA$19/$BZ$19)</f>
        <v/>
      </c>
      <c r="AP63" s="483">
        <f>(-$AG$30+$AH$30*$BB$19/$BC$19)</f>
        <v/>
      </c>
      <c r="AQ63" s="484">
        <f>($AH$30-$AG$30*$BE$19/$BD$19)</f>
        <v/>
      </c>
      <c r="AR63" s="483">
        <f>($AI$30-$AJ$30*$BL$19/$BM$19)</f>
        <v/>
      </c>
      <c r="AS63" s="484">
        <f>($AJ$30-$BK$19-($AI$30-$BJ$19)*$BI$19/$BH$19)</f>
        <v/>
      </c>
      <c r="AT63" s="483">
        <f>($AK$30+$BR$19+(-$AL$30-$BS$19)*$BP$19/$BQ$19)</f>
        <v/>
      </c>
      <c r="AU63" s="484">
        <f>(-$AL$30+$BU$19+($AK$30-$BT$19)*$BW$19/$BV$19)</f>
        <v/>
      </c>
      <c r="BG63" s="293" t="n">
        <v>27</v>
      </c>
      <c r="BH63" s="293" t="n">
        <v>22</v>
      </c>
      <c r="BI63" s="293" t="n">
        <v>23</v>
      </c>
      <c r="BJ63" s="293" t="n">
        <v>26</v>
      </c>
      <c r="BK63" s="293" t="n">
        <v>35</v>
      </c>
      <c r="BL63" s="293" t="n">
        <v>34</v>
      </c>
      <c r="BM63" s="293" t="n">
        <v>33</v>
      </c>
      <c r="BN63" s="293" t="n">
        <v>28</v>
      </c>
      <c r="BO63" s="293" t="n">
        <v>21</v>
      </c>
      <c r="BZ63" s="693" t="n"/>
      <c r="CA63" s="693" t="n"/>
    </row>
    <row r="64" ht="12" customHeight="1" s="613">
      <c r="B64">
        <f>IF('Grid Numbers'!C1710 = S, 2, 1)</f>
        <v/>
      </c>
      <c r="AA64" s="689" t="n"/>
      <c r="AB64" s="689" t="n"/>
      <c r="AD64" s="319" t="n">
        <v>3</v>
      </c>
      <c r="AE64" s="483">
        <f>IF($AD64=AE$58,(-$AE$30-$AV$19+($AF$30+$AW$19)*$AX$19/$AY$19)*$AX$28,"")</f>
        <v/>
      </c>
      <c r="AF64" s="484">
        <f>IF($AD64=AE$58,(-$AF$30-$CA$19-(-$AE$30-$BZ$19)*$BY$19/$BX$19)*$BX$28,"")</f>
        <v/>
      </c>
      <c r="AG64" s="483">
        <f>IF($AD64=AG$58,(-$AG$30+$AH$30*$BB$19/$BC$19)*$BB$28,"")</f>
        <v/>
      </c>
      <c r="AH64" s="484">
        <f>IF($AD64=AG$58,($AH$30+$BE$19+(-$AG$30-$BD$19)*$BG$19/$BF$19)*$BF$28,"")</f>
        <v/>
      </c>
      <c r="AI64" s="483">
        <f>IF($AD64=AI$58,($AI$30-$AJ$30*$BL$19/$BM$19)*$BL$28,"")</f>
        <v/>
      </c>
      <c r="AJ64" s="484">
        <f>IF($AD64=AI$58,($AJ$30-$AI$30*$BK$19/$BJ$19)*$BJ$28,"")</f>
        <v/>
      </c>
      <c r="AK64" s="483">
        <f>IF($AD64=AK$58,($AK$30+$BR$19+(-$AL$30-$BS$19)*$BP$19/$BQ$19)*$BP$28,"")</f>
        <v/>
      </c>
      <c r="AL64" s="484">
        <f>IF($AD64=AK$58,(-$AL$30+$AK$30*$BU$19/$BT$19)*$BT$28,"")</f>
        <v/>
      </c>
      <c r="AN64" s="483">
        <f>(-$AE$30-$AV$19+($AF$30+$AW$19)*$AX$19/$AY$19)</f>
        <v/>
      </c>
      <c r="AO64" s="484">
        <f>(-$AF$30-$CA$19-(-$AE$30-$BZ$19)*$BY$19/$BX$19)</f>
        <v/>
      </c>
      <c r="AP64" s="483">
        <f>(-$AG$30+$AH$30*$BB$19/$BC$19)</f>
        <v/>
      </c>
      <c r="AQ64" s="484">
        <f>($AH$30+$BE$19+(-$AG$30-$BD$19)*$BG$19/$BF$19)</f>
        <v/>
      </c>
      <c r="AR64" s="483">
        <f>($AI$30-$AJ$30*$BL$19/$BM$19)</f>
        <v/>
      </c>
      <c r="AS64" s="484">
        <f>($AJ$30-$AI$30*$BK$19/$BJ$19)</f>
        <v/>
      </c>
      <c r="AT64" s="483">
        <f>($AK$30+$BR$19+(-$AL$30-$BS$19)*$BP$19/$BQ$19)</f>
        <v/>
      </c>
      <c r="AU64" s="484">
        <f>(-$AL$30+$AK$30*$BU$19/$BT$19)</f>
        <v/>
      </c>
      <c r="BG64" s="293" t="n">
        <v>28</v>
      </c>
      <c r="BH64" s="293" t="n">
        <v>21</v>
      </c>
      <c r="BI64" s="293" t="n">
        <v>22</v>
      </c>
      <c r="BJ64" s="293" t="n">
        <v>27</v>
      </c>
      <c r="BK64" s="293" t="n">
        <v>34</v>
      </c>
      <c r="BL64" s="293" t="n">
        <v>33</v>
      </c>
      <c r="BM64" s="293" t="n">
        <v>32</v>
      </c>
      <c r="BN64" s="293" t="n">
        <v>29</v>
      </c>
      <c r="BO64" s="293" t="n">
        <v>20</v>
      </c>
      <c r="BZ64" s="693" t="n"/>
      <c r="CA64" s="693" t="n"/>
    </row>
    <row r="65" ht="12" customHeight="1" s="613">
      <c r="J65">
        <f>DGET('Grid Numbers'!$A$2:$M$4952,'Grid Numbers'!$M$2,$B$66:$H$67)</f>
        <v/>
      </c>
      <c r="AA65" s="689" t="n"/>
      <c r="AB65" s="689" t="n"/>
      <c r="AD65" s="319" t="n">
        <v>4</v>
      </c>
      <c r="AE65" s="286">
        <f>IF($AD65=AE$58,(-$AE$30+$AF$30*$AV$19/$AW$19)*$AV$28,"")</f>
        <v/>
      </c>
      <c r="AF65" s="285">
        <f>IF($AD65=AE$58,(-$AF$30-$CA$19-(-$AE$30-$BZ$19)*$BY$19/$BX$19)*$BX$28,"")</f>
        <v/>
      </c>
      <c r="AG65" s="286">
        <f>IF($AD65=AG$58,(-$AG$30+$BB$19+($AH$30-$BC$19)*$AZ$19/$BA$19)*$AZ$28,"")</f>
        <v/>
      </c>
      <c r="AH65" s="285">
        <f>IF($AD65=AG$58,($AH$30+$BE$19+(-$AG$30-$BD$19)*$BG$19/$BF$19)*$BF$28,"")</f>
        <v/>
      </c>
      <c r="AI65" s="286">
        <f>IF($AD65=AI$58,($AI$30-$BL$19-($AJ$30-$BM$19)*$BN$19/$BO$19)*$BN$28,"")</f>
        <v/>
      </c>
      <c r="AJ65" s="285">
        <f>IF($AD65=AI$58,($AJ$30-$AI$30*$BK$19/$BJ$19)*$BJ$28,"")</f>
        <v/>
      </c>
      <c r="AK65" s="286">
        <f>IF($AD65=AK$58,($AK$30-$AL$30*$BR$19/$BS$19)*$BR$28,"")</f>
        <v/>
      </c>
      <c r="AL65" s="285">
        <f>IF($AD65=AK$58,(-$AL$30+$AK$30*$BU$19/$BT$19)*$BT$28,"")</f>
        <v/>
      </c>
      <c r="AN65" s="286">
        <f>(-$AE$30+$AF$30*$AV$19/$AW$19)</f>
        <v/>
      </c>
      <c r="AO65" s="285">
        <f>(-$AF$30-$CA$19-(-$AE$30-$BZ$19)*$BY$19/$BX$19)</f>
        <v/>
      </c>
      <c r="AP65" s="286">
        <f>(-$AG$30+$BB$19+($AH$30-$BC$19)*$AZ$19/$BA$19)</f>
        <v/>
      </c>
      <c r="AQ65" s="285">
        <f>($AH$30+$BE$19+(-$AG$30-$BD$19)*$BG$19/$BF$19)</f>
        <v/>
      </c>
      <c r="AR65" s="286">
        <f>($AI$30-$BL$19-($AJ$30-$BM$19)*$BN$19/$BO$19)</f>
        <v/>
      </c>
      <c r="AS65" s="285">
        <f>($AJ$30-$AI$30*$BK$19/$BJ$19)</f>
        <v/>
      </c>
      <c r="AT65" s="286">
        <f>($AK$30-$AL$30*$BR$19/$BS$19)</f>
        <v/>
      </c>
      <c r="AU65" s="285">
        <f>(-$AL$30+$AK$30*$BU$19/$BT$19)</f>
        <v/>
      </c>
      <c r="BG65" s="293" t="n">
        <v>29</v>
      </c>
      <c r="BH65" s="293" t="n">
        <v>20</v>
      </c>
      <c r="BI65" s="293" t="n">
        <v>21</v>
      </c>
      <c r="BJ65" s="293" t="n">
        <v>28</v>
      </c>
      <c r="BK65" s="293" t="n">
        <v>33</v>
      </c>
      <c r="BL65" s="293" t="n">
        <v>32</v>
      </c>
      <c r="BM65" s="293" t="n">
        <v>31</v>
      </c>
      <c r="BN65" s="293" t="n">
        <v>30</v>
      </c>
      <c r="BO65" s="293" t="n">
        <v>19</v>
      </c>
      <c r="BZ65" s="693" t="n"/>
      <c r="CA65" s="693" t="n"/>
    </row>
    <row r="66" ht="12" customHeight="1" s="613">
      <c r="B66" s="512" t="inlineStr">
        <is>
          <t>A</t>
        </is>
      </c>
      <c r="C66" s="512" t="inlineStr">
        <is>
          <t>B</t>
        </is>
      </c>
      <c r="D66" s="512" t="inlineStr">
        <is>
          <t>C</t>
        </is>
      </c>
      <c r="E66" s="512" t="inlineStr">
        <is>
          <t>D</t>
        </is>
      </c>
      <c r="F66" s="512" t="inlineStr">
        <is>
          <t>E</t>
        </is>
      </c>
      <c r="G66" s="512" t="inlineStr">
        <is>
          <t>F</t>
        </is>
      </c>
      <c r="H66" s="512" t="inlineStr">
        <is>
          <t>G</t>
        </is>
      </c>
      <c r="L66" s="512" t="inlineStr">
        <is>
          <t>A</t>
        </is>
      </c>
      <c r="M66" s="512" t="inlineStr">
        <is>
          <t>B</t>
        </is>
      </c>
      <c r="N66" s="512" t="inlineStr">
        <is>
          <t>C</t>
        </is>
      </c>
      <c r="O66" s="512" t="inlineStr">
        <is>
          <t>D</t>
        </is>
      </c>
      <c r="P66" s="512" t="inlineStr">
        <is>
          <t>E</t>
        </is>
      </c>
      <c r="Q66" s="512" t="inlineStr">
        <is>
          <t>F</t>
        </is>
      </c>
      <c r="R66" s="512" t="inlineStr">
        <is>
          <t>G</t>
        </is>
      </c>
      <c r="U66" s="689" t="n"/>
      <c r="V66" s="689" t="n"/>
      <c r="AA66" s="689" t="n"/>
      <c r="AB66" s="689" t="n"/>
      <c r="AE66" s="284">
        <f>IF(ISNUMBER($AE$62),AE$62,IF(ISNUMBER($AE$63),AE$63,IF(ISNUMBER($AE$64),AE$64,IF(ISNUMBER($AE$65),AE$65,""))))</f>
        <v/>
      </c>
      <c r="AF66" s="283">
        <f>IF(ISNUMBER($AF$62),AF$62,IF(ISNUMBER($AF$63),AF$63,IF(ISNUMBER($AF$64),AF$64,IF(ISNUMBER($AF$65),AF$65,""))))</f>
        <v/>
      </c>
      <c r="AG66" s="284">
        <f>IF(ISNUMBER($AG$62),AG$62,IF(ISNUMBER($AG$63),AG$63,IF(ISNUMBER($AG$64),AG$64,IF(ISNUMBER($AG$65),AG$65,""))))</f>
        <v/>
      </c>
      <c r="AH66" s="283">
        <f>IF(ISNUMBER($AH$62),AH$62,IF(ISNUMBER($AH$63),AH$63,IF(ISNUMBER($AH$64),AH$64,IF(ISNUMBER($AH$65),AH$65,""))))</f>
        <v/>
      </c>
      <c r="AI66" s="284">
        <f>IF(ISNUMBER($AI$62),AI$62,IF(ISNUMBER($AI$63),AI$63,IF(ISNUMBER($AI$64),AI$64,IF(ISNUMBER($AI$65),AI$65,""))))</f>
        <v/>
      </c>
      <c r="AJ66" s="283">
        <f>IF(ISNUMBER($AJ$62),AJ$62,IF(ISNUMBER($AJ$63),AJ$63,IF(ISNUMBER($AJ$64),AJ$64,IF(ISNUMBER($AJ$65),AJ$65,""))))</f>
        <v/>
      </c>
      <c r="AK66" s="284">
        <f>IF(ISNUMBER($AK$62),AK$62,IF(ISNUMBER($AK$63),AK$63,IF(ISNUMBER($AK$64),AK$64,IF(ISNUMBER($AK$65),AK$65,""))))</f>
        <v/>
      </c>
      <c r="AL66" s="283">
        <f>IF(ISNUMBER($AL$62),AL$62,IF(ISNUMBER($AL$63),AL$63,IF(ISNUMBER($AL$64),AL$64,IF(ISNUMBER($AL$65),AL$65,""))))</f>
        <v/>
      </c>
      <c r="AO66" s="420" t="n"/>
      <c r="AP66" s="420" t="n"/>
      <c r="AQ66" s="420" t="n"/>
      <c r="AR66" s="420" t="n"/>
      <c r="AS66" s="420" t="n"/>
      <c r="AT66" s="420" t="n"/>
      <c r="BG66" s="293" t="n">
        <v>30</v>
      </c>
      <c r="BH66" s="293" t="n">
        <v>19</v>
      </c>
      <c r="BI66" s="293" t="n">
        <v>20</v>
      </c>
      <c r="BJ66" s="293" t="n">
        <v>29</v>
      </c>
      <c r="BK66" s="293" t="n">
        <v>32</v>
      </c>
      <c r="BL66" s="293" t="n">
        <v>31</v>
      </c>
      <c r="BM66" s="293" t="n">
        <v>36</v>
      </c>
      <c r="BN66" s="293" t="n">
        <v>25</v>
      </c>
      <c r="BO66" s="293" t="n">
        <v>24</v>
      </c>
      <c r="BZ66" s="693" t="n"/>
      <c r="CA66" s="693" t="n"/>
    </row>
    <row r="67" ht="12" customHeight="1" s="613">
      <c r="B67" s="477">
        <f>$L$38</f>
        <v/>
      </c>
      <c r="C67" s="477">
        <f>$O$7</f>
        <v/>
      </c>
      <c r="D67" s="477">
        <f>$P$7</f>
        <v/>
      </c>
      <c r="E67" s="477">
        <f>$Q$7</f>
        <v/>
      </c>
      <c r="F67" s="477">
        <f>$R$7</f>
        <v/>
      </c>
      <c r="G67" s="477">
        <f>$S$7</f>
        <v/>
      </c>
      <c r="H67" s="485" t="inlineStr">
        <is>
          <t>West-Up2</t>
        </is>
      </c>
      <c r="L67" s="477">
        <f>$L$38</f>
        <v/>
      </c>
      <c r="M67" s="477">
        <f>$O$7</f>
        <v/>
      </c>
      <c r="N67" s="477">
        <f>$P$7</f>
        <v/>
      </c>
      <c r="O67" s="477">
        <f>$Q$7</f>
        <v/>
      </c>
      <c r="P67" s="477">
        <f>$R$7</f>
        <v/>
      </c>
      <c r="Q67" s="477">
        <f>$S$7</f>
        <v/>
      </c>
      <c r="R67" s="485" t="inlineStr">
        <is>
          <t>North-Left2</t>
        </is>
      </c>
      <c r="U67" s="689" t="n"/>
      <c r="V67" s="689" t="n"/>
      <c r="AA67" s="689" t="n"/>
      <c r="AB67" s="689" t="n"/>
      <c r="AE67" s="291" t="n"/>
      <c r="AF67" s="290" t="n"/>
      <c r="AG67" s="292" t="n"/>
      <c r="AH67" s="292" t="n"/>
      <c r="AI67" s="291" t="n"/>
      <c r="AJ67" s="290" t="n"/>
      <c r="AK67" s="291" t="n"/>
      <c r="AL67" s="290" t="n"/>
      <c r="AO67" s="420" t="n"/>
      <c r="AP67" s="420" t="n"/>
      <c r="AQ67" s="420" t="n"/>
      <c r="AR67" s="420" t="n"/>
      <c r="AS67" s="420" t="n"/>
      <c r="AT67" s="420" t="n"/>
      <c r="BG67" s="293" t="n">
        <v>31</v>
      </c>
      <c r="BH67" s="293" t="n">
        <v>30</v>
      </c>
      <c r="BI67" s="293" t="n">
        <v>29</v>
      </c>
      <c r="BJ67" s="293" t="n">
        <v>32</v>
      </c>
      <c r="BK67" s="293" t="n">
        <v>5</v>
      </c>
      <c r="BL67" s="293" t="n">
        <v>6</v>
      </c>
      <c r="BM67" s="293" t="n">
        <v>1</v>
      </c>
      <c r="BN67" s="293" t="n">
        <v>36</v>
      </c>
      <c r="BO67" s="293" t="n">
        <v>25</v>
      </c>
      <c r="BZ67" s="693" t="n"/>
      <c r="CA67" s="693" t="n"/>
    </row>
    <row r="68" ht="12" customHeight="1" s="613">
      <c r="B68" s="512" t="inlineStr">
        <is>
          <t>A</t>
        </is>
      </c>
      <c r="C68" s="512" t="inlineStr">
        <is>
          <t>B</t>
        </is>
      </c>
      <c r="D68" s="512" t="inlineStr">
        <is>
          <t>C</t>
        </is>
      </c>
      <c r="E68" s="512" t="inlineStr">
        <is>
          <t>D</t>
        </is>
      </c>
      <c r="F68" s="512" t="inlineStr">
        <is>
          <t>E</t>
        </is>
      </c>
      <c r="G68" s="512" t="inlineStr">
        <is>
          <t>F</t>
        </is>
      </c>
      <c r="H68" s="512" t="inlineStr">
        <is>
          <t>G</t>
        </is>
      </c>
      <c r="L68" s="512" t="inlineStr">
        <is>
          <t>A</t>
        </is>
      </c>
      <c r="M68" s="512" t="inlineStr">
        <is>
          <t>B</t>
        </is>
      </c>
      <c r="N68" s="512" t="inlineStr">
        <is>
          <t>C</t>
        </is>
      </c>
      <c r="O68" s="512" t="inlineStr">
        <is>
          <t>D</t>
        </is>
      </c>
      <c r="P68" s="512" t="inlineStr">
        <is>
          <t>E</t>
        </is>
      </c>
      <c r="Q68" s="512" t="inlineStr">
        <is>
          <t>F</t>
        </is>
      </c>
      <c r="R68" s="512" t="inlineStr">
        <is>
          <t>G</t>
        </is>
      </c>
      <c r="U68" s="689" t="n"/>
      <c r="V68" s="689" t="n"/>
      <c r="AA68" s="689" t="n"/>
      <c r="AB68" s="689" t="n"/>
      <c r="AE68" s="674" t="inlineStr">
        <is>
          <t>BHL2 Qtr-Qtr Logic</t>
        </is>
      </c>
      <c r="AF68" s="675" t="n"/>
      <c r="AG68" s="676" t="inlineStr">
        <is>
          <t>BHL2 Qtr-Qtr Logic</t>
        </is>
      </c>
      <c r="AH68" s="677" t="n"/>
      <c r="AI68" s="674" t="inlineStr">
        <is>
          <t>BHL2 Qtr-Qtr Logic</t>
        </is>
      </c>
      <c r="AJ68" s="675" t="n"/>
      <c r="AK68" s="674" t="inlineStr">
        <is>
          <t>BHL2 Qtr-Qtr Logic</t>
        </is>
      </c>
      <c r="AL68" s="675" t="n"/>
      <c r="AO68" s="420" t="n"/>
      <c r="AP68" s="420" t="n"/>
      <c r="AQ68" s="420" t="n"/>
      <c r="AR68" s="420" t="n"/>
      <c r="AS68" s="420" t="n"/>
      <c r="AT68" s="420" t="n"/>
      <c r="BG68" s="293" t="n">
        <v>32</v>
      </c>
      <c r="BH68" s="293" t="n">
        <v>29</v>
      </c>
      <c r="BI68" s="293" t="n">
        <v>28</v>
      </c>
      <c r="BJ68" s="293" t="n">
        <v>33</v>
      </c>
      <c r="BK68" s="293" t="n">
        <v>4</v>
      </c>
      <c r="BL68" s="293" t="n">
        <v>5</v>
      </c>
      <c r="BM68" s="293" t="n">
        <v>6</v>
      </c>
      <c r="BN68" s="293" t="n">
        <v>31</v>
      </c>
      <c r="BO68" s="293" t="n">
        <v>30</v>
      </c>
      <c r="BZ68" s="693" t="n"/>
      <c r="CA68" s="693" t="n"/>
    </row>
    <row r="69" ht="12" customHeight="1" s="613">
      <c r="B69" s="477">
        <f>$L$38</f>
        <v/>
      </c>
      <c r="C69" s="477">
        <f>$O$7</f>
        <v/>
      </c>
      <c r="D69" s="477">
        <f>$P$7</f>
        <v/>
      </c>
      <c r="E69" s="477">
        <f>$Q$7</f>
        <v/>
      </c>
      <c r="F69" s="477">
        <f>$R$7</f>
        <v/>
      </c>
      <c r="G69" s="477">
        <f>$S$7</f>
        <v/>
      </c>
      <c r="H69" s="511" t="inlineStr">
        <is>
          <t>West-Up1</t>
        </is>
      </c>
      <c r="L69" s="477">
        <f>$L$38</f>
        <v/>
      </c>
      <c r="M69" s="477">
        <f>$O$7</f>
        <v/>
      </c>
      <c r="N69" s="477">
        <f>$P$7</f>
        <v/>
      </c>
      <c r="O69" s="477">
        <f>$Q$7</f>
        <v/>
      </c>
      <c r="P69" s="477">
        <f>$R$7</f>
        <v/>
      </c>
      <c r="Q69" s="477">
        <f>$S$7</f>
        <v/>
      </c>
      <c r="R69" s="485" t="inlineStr">
        <is>
          <t>North-Left1</t>
        </is>
      </c>
      <c r="U69" s="689" t="n"/>
      <c r="V69" s="689" t="n"/>
      <c r="AA69" s="689" t="n"/>
      <c r="AB69" s="689" t="n"/>
      <c r="AE69" s="671">
        <f>IF($AE$32="","",IF(AND((-$AE$32+$AF$32*$AV$19/$AW$19)&gt;0,-$AE$32&lt;$BZ$19,(-$AF$32+$AE$32*$CA$19/$BZ$19)&gt;0,-$AF$32&lt;$AW$19),1,IF(AND((-$AE$32-$AV$19+($AF$32+$AW$19)*$AX$19/$AY$19)&gt;0,-$AE$32&lt;$BZ$19,-$AF$32&gt;$AW$19,-$AF$32&lt;$AX$22),2,IF(AND(-$AE$32&lt;$BY$22,-$AE$32&gt;$BZ$19,-$AF$32&gt;$AW$19,-$AF$32&lt;$AX$22),3,IF(AND(-$AE$32&lt;$BY$22,-$AE$32&gt;$BZ$19,(-$AF$32-$CA$19-(-$AE$32-$BZ$19)*$BY$19/$BX$19)&gt;0,-$AF$32&lt;$AW$19),4,"")))))</f>
        <v/>
      </c>
      <c r="AF69" s="617" t="n"/>
      <c r="AG69" s="671">
        <f>IF($AG$33="","",IF(AND((-$AG$33+$BB$19+($AH$33-$BC$19)*$AZ$19/$BA$19)&gt;0,-$AG$33&lt;$BD$19,$AH$33&gt;$BC$19,$AH$33&lt;$BB$22),1,IF(AND((-$AG$33+$AH$33*$BB$19/$BC$19)&gt;0,-$AG$33&lt;$BD$19,($AH$33-$AG$33*$BE$19/$BD$19)&gt;0,$AH$33&lt;$BC$19),2,IF(AND(-$AG$33&gt;$BD$19,-$AG$33&lt;$BE$22,($AH$33+$BE$19+(-$AG$33-$BD$19)*$BG$19/$BF$19)&gt;0,$AH$33&lt;$BC$19),3,IF(AND(-$AG$33&gt;$BD$19,-$AG$33&lt;$BE$22,$AH$33&gt;$BC$19,$AH$33&lt;$BB$22),4,"")))))</f>
        <v/>
      </c>
      <c r="AH69" s="617" t="n"/>
      <c r="AI69" s="671">
        <f>IF($AI$34="","",IF(AND($AI$34&gt;$BJ$19,$AI$34&lt;$BI$22,$AJ$34&gt;$BM$19,$AJ$34&lt;$BN$22),1,IF(AND($AI$34&gt;$BJ$19,$AI$34&lt;$BI$22,($AJ$34-$BK$19-($AI$34-$BJ$19)*$BI$19/$BH$19)&gt;0,$AJ$34&lt;$BM$19),2,IF(AND(($AI$34-$AJ$34*$BL$19/$BM$19)&gt;0,$AI$34&lt;$BJ$19,($AJ$34-$AI$34*$BK$19/$BJ$19)&gt;0,$AJ$34&lt;$BM$19),3,IF(AND(($AI$34-$BL$19-($AJ$34-$BM$19)*$BN$19/$BO$19)&gt;0,$AI$34&lt;$BJ$19,$AJ$34&gt;$BM$19,$AJ$34&lt;$BN$22),4,"")))))</f>
        <v/>
      </c>
      <c r="AJ69" s="617" t="n"/>
      <c r="AK69" s="671">
        <f>IF($AK$35="","",IF(AND($AK$35&gt;$BT$19,$AK$35&lt;$BU$22,(-$AL$35+$BU$19+($AK$35-$BT$19)*$BW$19/$BV$19)&gt;0,-$AL$35&lt;$BS$19),1,IF(AND($AK$35&gt;$BT$19,$AK$35&lt;$BU$22,-$AL$35&gt;$BS$19,-$AL$35&lt;$BR$22),2,IF(AND(($AK$35+$BR$19+(-$AL$35-$BS$19)*$BP$19/$BQ$19)&gt;0,$AK$35&lt;$BT$19,-$AL$35&gt;$BS$19,-$AL$35&lt;$BR$22),3,IF(AND(($AK$35-$AL$35*$BR$19/$BS$19)&gt;0,$AK$35&lt;$BT$19,(-$AL$35+$AK$35*$BU$19/$BT$19)&gt;0,-$AL$35&lt;$BS$19),4,"")))))</f>
        <v/>
      </c>
      <c r="AL69" s="617" t="n"/>
      <c r="BG69" s="293" t="n">
        <v>33</v>
      </c>
      <c r="BH69" s="293" t="n">
        <v>28</v>
      </c>
      <c r="BI69" s="293" t="n">
        <v>27</v>
      </c>
      <c r="BJ69" s="293" t="n">
        <v>34</v>
      </c>
      <c r="BK69" s="293" t="n">
        <v>3</v>
      </c>
      <c r="BL69" s="293" t="n">
        <v>4</v>
      </c>
      <c r="BM69" s="293" t="n">
        <v>5</v>
      </c>
      <c r="BN69" s="293" t="n">
        <v>32</v>
      </c>
      <c r="BO69" s="293" t="n">
        <v>29</v>
      </c>
      <c r="BZ69" s="693" t="n"/>
      <c r="CA69" s="693" t="n"/>
    </row>
    <row r="70" ht="12" customHeight="1" s="613">
      <c r="B70" s="512" t="inlineStr">
        <is>
          <t>A</t>
        </is>
      </c>
      <c r="C70" s="512" t="inlineStr">
        <is>
          <t>B</t>
        </is>
      </c>
      <c r="D70" s="512" t="inlineStr">
        <is>
          <t>C</t>
        </is>
      </c>
      <c r="E70" s="512" t="inlineStr">
        <is>
          <t>D</t>
        </is>
      </c>
      <c r="F70" s="512" t="inlineStr">
        <is>
          <t>E</t>
        </is>
      </c>
      <c r="G70" s="512" t="inlineStr">
        <is>
          <t>F</t>
        </is>
      </c>
      <c r="H70" s="512" t="inlineStr">
        <is>
          <t>G</t>
        </is>
      </c>
      <c r="L70" s="512" t="inlineStr">
        <is>
          <t>A</t>
        </is>
      </c>
      <c r="M70" s="512" t="inlineStr">
        <is>
          <t>B</t>
        </is>
      </c>
      <c r="N70" s="512" t="inlineStr">
        <is>
          <t>C</t>
        </is>
      </c>
      <c r="O70" s="512" t="inlineStr">
        <is>
          <t>D</t>
        </is>
      </c>
      <c r="P70" s="512" t="inlineStr">
        <is>
          <t>E</t>
        </is>
      </c>
      <c r="Q70" s="512" t="inlineStr">
        <is>
          <t>F</t>
        </is>
      </c>
      <c r="R70" s="512" t="inlineStr">
        <is>
          <t>G</t>
        </is>
      </c>
      <c r="U70" s="689" t="n"/>
      <c r="V70" s="689" t="n"/>
      <c r="AA70" s="689" t="n"/>
      <c r="AB70" s="689" t="n"/>
      <c r="AE70" s="291" t="n"/>
      <c r="AF70" s="290" t="n"/>
      <c r="AG70" s="292" t="n"/>
      <c r="AH70" s="292" t="n"/>
      <c r="AI70" s="291" t="n"/>
      <c r="AJ70" s="290" t="n"/>
      <c r="AK70" s="291" t="n"/>
      <c r="AL70" s="290" t="n"/>
      <c r="BG70" s="293" t="n">
        <v>34</v>
      </c>
      <c r="BH70" s="293" t="n">
        <v>27</v>
      </c>
      <c r="BI70" s="293" t="n">
        <v>26</v>
      </c>
      <c r="BJ70" s="293" t="n">
        <v>35</v>
      </c>
      <c r="BK70" s="293" t="n">
        <v>2</v>
      </c>
      <c r="BL70" s="293" t="n">
        <v>3</v>
      </c>
      <c r="BM70" s="293" t="n">
        <v>4</v>
      </c>
      <c r="BN70" s="293" t="n">
        <v>33</v>
      </c>
      <c r="BO70" s="293" t="n">
        <v>28</v>
      </c>
      <c r="BZ70" s="693" t="n"/>
      <c r="CA70" s="693" t="n"/>
    </row>
    <row r="71" ht="12" customHeight="1" s="613">
      <c r="B71" s="477">
        <f>$L$38</f>
        <v/>
      </c>
      <c r="C71" s="477">
        <f>$O$7</f>
        <v/>
      </c>
      <c r="D71" s="477">
        <f>$P$7</f>
        <v/>
      </c>
      <c r="E71" s="477">
        <f>$Q$7</f>
        <v/>
      </c>
      <c r="F71" s="477">
        <f>$R$7</f>
        <v/>
      </c>
      <c r="G71" s="477">
        <f>$S$7</f>
        <v/>
      </c>
      <c r="H71" s="511" t="inlineStr">
        <is>
          <t>West-Down1</t>
        </is>
      </c>
      <c r="L71" s="477">
        <f>$L$38</f>
        <v/>
      </c>
      <c r="M71" s="477">
        <f>$O$7</f>
        <v/>
      </c>
      <c r="N71" s="477">
        <f>$P$7</f>
        <v/>
      </c>
      <c r="O71" s="477">
        <f>$Q$7</f>
        <v/>
      </c>
      <c r="P71" s="477">
        <f>$R$7</f>
        <v/>
      </c>
      <c r="Q71" s="477">
        <f>$S$7</f>
        <v/>
      </c>
      <c r="R71" s="485" t="inlineStr">
        <is>
          <t>North-Right1</t>
        </is>
      </c>
      <c r="U71" s="689" t="n"/>
      <c r="V71" s="689" t="n"/>
      <c r="AA71" s="689" t="n"/>
      <c r="AB71" s="689" t="n"/>
      <c r="AE71" s="674" t="inlineStr">
        <is>
          <t>BHL2 NE Line Calc</t>
        </is>
      </c>
      <c r="AF71" s="675" t="n"/>
      <c r="AG71" s="674" t="inlineStr">
        <is>
          <t>BHL2 NW Line Calc</t>
        </is>
      </c>
      <c r="AH71" s="675" t="n"/>
      <c r="AI71" s="674" t="inlineStr">
        <is>
          <t>BHL3 SW Line Calc</t>
        </is>
      </c>
      <c r="AJ71" s="675" t="n"/>
      <c r="AK71" s="674" t="inlineStr">
        <is>
          <t>BHL4 SE Line Calc</t>
        </is>
      </c>
      <c r="AL71" s="675" t="n"/>
      <c r="BG71" s="293" t="n">
        <v>35</v>
      </c>
      <c r="BH71" s="293" t="n">
        <v>26</v>
      </c>
      <c r="BI71" s="293" t="n">
        <v>25</v>
      </c>
      <c r="BJ71" s="293" t="n">
        <v>36</v>
      </c>
      <c r="BK71" s="293" t="n">
        <v>1</v>
      </c>
      <c r="BL71" s="293" t="n">
        <v>2</v>
      </c>
      <c r="BM71" s="293" t="n">
        <v>3</v>
      </c>
      <c r="BN71" s="293" t="n">
        <v>34</v>
      </c>
      <c r="BO71" s="293" t="n">
        <v>27</v>
      </c>
      <c r="BZ71" s="693" t="n"/>
      <c r="CA71" s="693" t="n"/>
    </row>
    <row r="72" ht="12" customHeight="1" s="613">
      <c r="B72" s="512" t="inlineStr">
        <is>
          <t>A</t>
        </is>
      </c>
      <c r="C72" s="512" t="inlineStr">
        <is>
          <t>B</t>
        </is>
      </c>
      <c r="D72" s="512" t="inlineStr">
        <is>
          <t>C</t>
        </is>
      </c>
      <c r="E72" s="512" t="inlineStr">
        <is>
          <t>D</t>
        </is>
      </c>
      <c r="F72" s="512" t="inlineStr">
        <is>
          <t>E</t>
        </is>
      </c>
      <c r="G72" s="512" t="inlineStr">
        <is>
          <t>F</t>
        </is>
      </c>
      <c r="H72" s="512" t="inlineStr">
        <is>
          <t>G</t>
        </is>
      </c>
      <c r="L72" s="512" t="inlineStr">
        <is>
          <t>A</t>
        </is>
      </c>
      <c r="M72" s="512" t="inlineStr">
        <is>
          <t>B</t>
        </is>
      </c>
      <c r="N72" s="512" t="inlineStr">
        <is>
          <t>C</t>
        </is>
      </c>
      <c r="O72" s="512" t="inlineStr">
        <is>
          <t>D</t>
        </is>
      </c>
      <c r="P72" s="512" t="inlineStr">
        <is>
          <t>E</t>
        </is>
      </c>
      <c r="Q72" s="512" t="inlineStr">
        <is>
          <t>F</t>
        </is>
      </c>
      <c r="R72" s="512" t="inlineStr">
        <is>
          <t>G</t>
        </is>
      </c>
      <c r="U72" s="689" t="n"/>
      <c r="V72" s="689" t="n"/>
      <c r="AA72" s="689" t="n"/>
      <c r="AB72" s="689" t="n"/>
      <c r="AD72" s="470" t="inlineStr">
        <is>
          <t>Qtr-Qtr</t>
        </is>
      </c>
      <c r="AE72" s="671" t="inlineStr">
        <is>
          <t>FNL</t>
        </is>
      </c>
      <c r="AF72" s="671" t="inlineStr">
        <is>
          <t>FEL</t>
        </is>
      </c>
      <c r="AG72" s="468" t="inlineStr">
        <is>
          <t>FNL</t>
        </is>
      </c>
      <c r="AH72" s="467" t="inlineStr">
        <is>
          <t>FWL</t>
        </is>
      </c>
      <c r="AI72" s="671" t="inlineStr">
        <is>
          <t>FSL</t>
        </is>
      </c>
      <c r="AJ72" s="671" t="inlineStr">
        <is>
          <t>FWL</t>
        </is>
      </c>
      <c r="AK72" s="671" t="inlineStr">
        <is>
          <t>FSL</t>
        </is>
      </c>
      <c r="AL72" s="671" t="inlineStr">
        <is>
          <t>FEL</t>
        </is>
      </c>
      <c r="AN72" s="693" t="inlineStr">
        <is>
          <t>Calc w/o perpendicular correction</t>
        </is>
      </c>
      <c r="BG72" s="293" t="n">
        <v>36</v>
      </c>
      <c r="BH72" s="293" t="n">
        <v>25</v>
      </c>
      <c r="BI72" s="293" t="n">
        <v>30</v>
      </c>
      <c r="BJ72" s="293" t="n">
        <v>31</v>
      </c>
      <c r="BK72" s="293" t="n">
        <v>6</v>
      </c>
      <c r="BL72" s="293" t="n">
        <v>1</v>
      </c>
      <c r="BM72" s="293" t="n">
        <v>2</v>
      </c>
      <c r="BN72" s="293" t="n">
        <v>35</v>
      </c>
      <c r="BO72" s="293" t="n">
        <v>26</v>
      </c>
      <c r="BZ72" s="693" t="n"/>
      <c r="CA72" s="693" t="n"/>
    </row>
    <row r="73" ht="12" customHeight="1" s="613">
      <c r="B73" s="477">
        <f>$L$38</f>
        <v/>
      </c>
      <c r="C73" s="477">
        <f>$O$7</f>
        <v/>
      </c>
      <c r="D73" s="477">
        <f>$P$7</f>
        <v/>
      </c>
      <c r="E73" s="477">
        <f>$Q$7</f>
        <v/>
      </c>
      <c r="F73" s="477">
        <f>$R$7</f>
        <v/>
      </c>
      <c r="G73" s="477">
        <f>$S$7</f>
        <v/>
      </c>
      <c r="H73" s="511" t="inlineStr">
        <is>
          <t>West-Down2</t>
        </is>
      </c>
      <c r="L73" s="477">
        <f>$L$38</f>
        <v/>
      </c>
      <c r="M73" s="477">
        <f>$O$7</f>
        <v/>
      </c>
      <c r="N73" s="477">
        <f>$P$7</f>
        <v/>
      </c>
      <c r="O73" s="477">
        <f>$Q$7</f>
        <v/>
      </c>
      <c r="P73" s="477">
        <f>$R$7</f>
        <v/>
      </c>
      <c r="Q73" s="477">
        <f>$S$7</f>
        <v/>
      </c>
      <c r="R73" s="485" t="inlineStr">
        <is>
          <t>North-Right2</t>
        </is>
      </c>
      <c r="U73" s="689" t="n"/>
      <c r="V73" s="689" t="n"/>
      <c r="AA73" s="689" t="n"/>
      <c r="AB73" s="689" t="n"/>
      <c r="AD73" s="319" t="n">
        <v>1</v>
      </c>
      <c r="AE73" s="483">
        <f>IF($AD73=AE$69,(-$AE$36+$AF$36*$AV$19/$AW$19)*$AV$28,"")</f>
        <v/>
      </c>
      <c r="AF73" s="484">
        <f>IF($AD73=AE$69,(-$AF$36+$AE$36*$CA$19/$BZ$19)*$BZ$28,"")</f>
        <v/>
      </c>
      <c r="AG73" s="483">
        <f>IF($AD73=AG$69,(-$AG$36+$BB$19+($AH$36-$BC$19)*$AZ$19/$BA$19)*$AZ$28,"")</f>
        <v/>
      </c>
      <c r="AH73" s="484">
        <f>IF($AD73=AG$69,($AH$36-$AG$36*$BE$19/$BD$19)*$BD$28,"")</f>
        <v/>
      </c>
      <c r="AI73" s="483">
        <f>IF($AD73=AI$69,($AI$36-$BL$19-($AJ$36-$BM$19)*$BN$19/$BO$19)*$BN$28,"")</f>
        <v/>
      </c>
      <c r="AJ73" s="484">
        <f>IF($AD73=AI$69,($AJ$36-$BK$19-($AI$36-$BJ$19)*$BI$19/$BH$19)*$BH$28,"")</f>
        <v/>
      </c>
      <c r="AK73" s="483">
        <f>IF($AD73=AK$69,($AK$36-$AL$36*$BR$19/$BS$19)*$BR$28,"")</f>
        <v/>
      </c>
      <c r="AL73" s="484">
        <f>IF($AD73=AK$69,(-$AL$36+$BU$19+($AK$36-$BT$19)*$BW$19/$BV$19)*$BV$28,"")</f>
        <v/>
      </c>
      <c r="AN73" s="289">
        <f>(-$AE$36+$AF$36*$AV$19/$AW$19)</f>
        <v/>
      </c>
      <c r="AO73" s="288">
        <f>(-$AF$36+$AE$36*$CA$19/$BZ$19)</f>
        <v/>
      </c>
      <c r="AP73" s="289">
        <f>(-$AG$36+$BB$19+($AH$36-$BC$19)*$AZ$19/$BA$19)</f>
        <v/>
      </c>
      <c r="AQ73" s="288">
        <f>($AH$36-$AG$36*$BE$19/$BD$19)</f>
        <v/>
      </c>
      <c r="AR73" s="289">
        <f>($AI$36-$BL$19-($AJ$36-$BM$19)*$BN$19/$BO$19)</f>
        <v/>
      </c>
      <c r="AS73" s="288">
        <f>($AJ$36-$BK$19-($AI$36-$BJ$19)*$BI$19/$BH$19)</f>
        <v/>
      </c>
      <c r="AT73" s="289">
        <f>($AK$36-$AL$36*$BR$19/$BS$19)</f>
        <v/>
      </c>
      <c r="AU73" s="288">
        <f>(-$AL$36+$BU$19+($AK$36-$BT$19)*$BW$19/$BV$19)</f>
        <v/>
      </c>
      <c r="BZ73" s="693" t="n"/>
      <c r="CA73" s="693" t="n"/>
    </row>
    <row r="74" ht="12" customHeight="1" s="613">
      <c r="B74" s="512" t="inlineStr">
        <is>
          <t>A</t>
        </is>
      </c>
      <c r="C74" s="512" t="inlineStr">
        <is>
          <t>B</t>
        </is>
      </c>
      <c r="D74" s="512" t="inlineStr">
        <is>
          <t>C</t>
        </is>
      </c>
      <c r="E74" s="512" t="inlineStr">
        <is>
          <t>D</t>
        </is>
      </c>
      <c r="F74" s="512" t="inlineStr">
        <is>
          <t>E</t>
        </is>
      </c>
      <c r="G74" s="512" t="inlineStr">
        <is>
          <t>F</t>
        </is>
      </c>
      <c r="H74" s="512" t="inlineStr">
        <is>
          <t>G</t>
        </is>
      </c>
      <c r="L74" s="512" t="inlineStr">
        <is>
          <t>A</t>
        </is>
      </c>
      <c r="M74" s="512" t="inlineStr">
        <is>
          <t>B</t>
        </is>
      </c>
      <c r="N74" s="512" t="inlineStr">
        <is>
          <t>C</t>
        </is>
      </c>
      <c r="O74" s="512" t="inlineStr">
        <is>
          <t>D</t>
        </is>
      </c>
      <c r="P74" s="512" t="inlineStr">
        <is>
          <t>E</t>
        </is>
      </c>
      <c r="Q74" s="512" t="inlineStr">
        <is>
          <t>F</t>
        </is>
      </c>
      <c r="R74" s="512" t="inlineStr">
        <is>
          <t>G</t>
        </is>
      </c>
      <c r="U74" s="689" t="n"/>
      <c r="V74" s="689" t="n"/>
      <c r="AA74" s="689" t="n"/>
      <c r="AB74" s="689" t="n"/>
      <c r="AD74" s="319" t="n">
        <v>2</v>
      </c>
      <c r="AE74" s="483">
        <f>IF($AD74=AE$69,(-$AE$36-$AV$19+($AF$36+$AW$19)*$AX$19/$AY$19)*$AX$28,"")</f>
        <v/>
      </c>
      <c r="AF74" s="484">
        <f>IF($AD74=AE$69,(-$AF$36+$AE$36*$CA$19/$BZ$19)*$BZ$28,"")</f>
        <v/>
      </c>
      <c r="AG74" s="483">
        <f>IF($AD74=AG$69,(-$AG$36+$AH$36*$BB$19/$BC$19)*$BB$28,"")</f>
        <v/>
      </c>
      <c r="AH74" s="484">
        <f>IF($AD74=AG$69,($AH$36-$AG$36*$BE$19/$BD$19)*$BD$28,"")</f>
        <v/>
      </c>
      <c r="AI74" s="483">
        <f>IF($AD74=AI$69,($AI$36-$AJ$36*$BL$19/$BM$19)*$BL$28,"")</f>
        <v/>
      </c>
      <c r="AJ74" s="484">
        <f>IF($AD74=AI$69,($AJ$36-$BK$19-($AI$36-$BJ$19)*$BI$19/$BH$19)*$BH$28,"")</f>
        <v/>
      </c>
      <c r="AK74" s="483">
        <f>IF($AD74=AK$69,($AK$36+$BR$19+(-$AL$36-$BS$19)*$BP$19/$BQ$19)*$BP$28,"")</f>
        <v/>
      </c>
      <c r="AL74" s="484">
        <f>IF($AD74=AK$69,(-$AL$36+$BU$19+($AK$36-$BT$19)*$BW$19/$BV$19)*$BV$28,"")</f>
        <v/>
      </c>
      <c r="AN74" s="483">
        <f>(-$AE$36-$AV$19+($AF$36+$AW$19)*$AX$19/$AY$19)</f>
        <v/>
      </c>
      <c r="AO74" s="484">
        <f>(-$AF$36+$AE$36*$CA$19/$BZ$19)</f>
        <v/>
      </c>
      <c r="AP74" s="483">
        <f>(-$AG$36+$AH$36*$BB$19/$BC$19)</f>
        <v/>
      </c>
      <c r="AQ74" s="484">
        <f>($AH$36-$AG$36*$BE$19/$BD$19)</f>
        <v/>
      </c>
      <c r="AR74" s="483">
        <f>($AI$36-$AJ$36*$BL$19/$BM$19)</f>
        <v/>
      </c>
      <c r="AS74" s="484">
        <f>($AJ$36-$BK$19-($AI$36-$BJ$19)*$BI$19/$BH$19)</f>
        <v/>
      </c>
      <c r="AT74" s="483">
        <f>($AK$36+$BR$19+(-$AL$36-$BS$19)*$BP$19/$BQ$19)</f>
        <v/>
      </c>
      <c r="AU74" s="484">
        <f>(-$AL$36+$BU$19+($AK$36-$BT$19)*$BW$19/$BV$19)</f>
        <v/>
      </c>
      <c r="BZ74" s="693" t="n"/>
      <c r="CA74" s="693" t="n"/>
    </row>
    <row r="75" ht="12" customHeight="1" s="613">
      <c r="B75" s="477">
        <f>$L$38</f>
        <v/>
      </c>
      <c r="C75" s="477">
        <f>$O$7</f>
        <v/>
      </c>
      <c r="D75" s="477">
        <f>$P$7</f>
        <v/>
      </c>
      <c r="E75" s="477">
        <f>$Q$7</f>
        <v/>
      </c>
      <c r="F75" s="477">
        <f>$R$7</f>
        <v/>
      </c>
      <c r="G75" s="477">
        <f>$S$7</f>
        <v/>
      </c>
      <c r="H75" s="485" t="inlineStr">
        <is>
          <t>East-Up2</t>
        </is>
      </c>
      <c r="L75" s="477">
        <f>$L$38</f>
        <v/>
      </c>
      <c r="M75" s="477">
        <f>$O$7</f>
        <v/>
      </c>
      <c r="N75" s="477">
        <f>$P$7</f>
        <v/>
      </c>
      <c r="O75" s="477">
        <f>$Q$7</f>
        <v/>
      </c>
      <c r="P75" s="477">
        <f>$R$7</f>
        <v/>
      </c>
      <c r="Q75" s="477">
        <f>$S$7</f>
        <v/>
      </c>
      <c r="R75" s="485" t="inlineStr">
        <is>
          <t>South-Left2</t>
        </is>
      </c>
      <c r="U75" s="689" t="n"/>
      <c r="V75" s="689" t="n"/>
      <c r="AA75" s="689" t="n"/>
      <c r="AB75" s="689" t="n"/>
      <c r="AD75" s="319" t="n">
        <v>3</v>
      </c>
      <c r="AE75" s="483">
        <f>IF($AD75=AE$69,(-$AE$36-$AV$19+($AF$36+$AW$19)*$AX$19/$AY$19)*$AX$28,"")</f>
        <v/>
      </c>
      <c r="AF75" s="484">
        <f>IF($AD75=AE$69,(-$AF$36-$CA$19-(-$AE$36-$BZ$19)*$BY$19/$BX$19)*$BX$28,"")</f>
        <v/>
      </c>
      <c r="AG75" s="483">
        <f>IF($AD75=AG$69,(-$AG$36+$AH$36*$BB$19/$BC$19)*$BB$28,"")</f>
        <v/>
      </c>
      <c r="AH75" s="484">
        <f>IF($AD75=AG$69,($AH$36+$BE$19+(-$AG$36-$BD$19)*$BG$19/$BF$19)*$BF$28,"")</f>
        <v/>
      </c>
      <c r="AI75" s="483">
        <f>IF($AD75=AI$69,($AI$36-$AJ$36*$BL$19/$BM$19)*$BL$28,"")</f>
        <v/>
      </c>
      <c r="AJ75" s="484">
        <f>IF($AD75=AI$69,($AJ$36-$AI$36*$BK$19/$BJ$19)*$BJ$28,"")</f>
        <v/>
      </c>
      <c r="AK75" s="483">
        <f>IF($AD75=AK$69,($AK$36+$BR$19+(-$AL$36-$BS$19)*$BP$19/$BQ$19)*$BP$28,"")</f>
        <v/>
      </c>
      <c r="AL75" s="484">
        <f>IF($AD75=AK$69,(-$AL$36+$AK$36*$BU$19/$BT$19)*$BT$28,"")</f>
        <v/>
      </c>
      <c r="AN75" s="483">
        <f>(-$AE$36-$AV$19+($AF$36+$AW$19)*$AX$19/$AY$19)</f>
        <v/>
      </c>
      <c r="AO75" s="484">
        <f>(-$AF$36-$CA$19-(-$AE$36-$BZ$19)*$BY$19/$BX$19)</f>
        <v/>
      </c>
      <c r="AP75" s="483">
        <f>(-$AG$36+$AH$36*$BB$19/$BC$19)</f>
        <v/>
      </c>
      <c r="AQ75" s="484">
        <f>($AH$36+$BE$19+(-$AG$36-$BD$19)*$BG$19/$BF$19)</f>
        <v/>
      </c>
      <c r="AR75" s="483">
        <f>($AI$36-$AJ$36*$BL$19/$BM$19)</f>
        <v/>
      </c>
      <c r="AS75" s="484">
        <f>($AJ$36-$AI$36*$BK$19/$BJ$19)</f>
        <v/>
      </c>
      <c r="AT75" s="483">
        <f>($AK$36+$BR$19+(-$AL$36-$BS$19)*$BP$19/$BQ$19)</f>
        <v/>
      </c>
      <c r="AU75" s="484">
        <f>(-$AL$36+$AK$36*$BU$19/$BT$19)</f>
        <v/>
      </c>
      <c r="BZ75" s="693" t="n"/>
      <c r="CA75" s="693" t="n"/>
    </row>
    <row r="76" ht="12" customHeight="1" s="613">
      <c r="B76" s="512" t="inlineStr">
        <is>
          <t>A</t>
        </is>
      </c>
      <c r="C76" s="512" t="inlineStr">
        <is>
          <t>B</t>
        </is>
      </c>
      <c r="D76" s="512" t="inlineStr">
        <is>
          <t>C</t>
        </is>
      </c>
      <c r="E76" s="512" t="inlineStr">
        <is>
          <t>D</t>
        </is>
      </c>
      <c r="F76" s="512" t="inlineStr">
        <is>
          <t>E</t>
        </is>
      </c>
      <c r="G76" s="512" t="inlineStr">
        <is>
          <t>F</t>
        </is>
      </c>
      <c r="H76" s="512" t="inlineStr">
        <is>
          <t>G</t>
        </is>
      </c>
      <c r="L76" s="512" t="inlineStr">
        <is>
          <t>A</t>
        </is>
      </c>
      <c r="M76" s="512" t="inlineStr">
        <is>
          <t>B</t>
        </is>
      </c>
      <c r="N76" s="512" t="inlineStr">
        <is>
          <t>C</t>
        </is>
      </c>
      <c r="O76" s="512" t="inlineStr">
        <is>
          <t>D</t>
        </is>
      </c>
      <c r="P76" s="512" t="inlineStr">
        <is>
          <t>E</t>
        </is>
      </c>
      <c r="Q76" s="512" t="inlineStr">
        <is>
          <t>F</t>
        </is>
      </c>
      <c r="R76" s="512" t="inlineStr">
        <is>
          <t>G</t>
        </is>
      </c>
      <c r="U76" s="689" t="n"/>
      <c r="V76" s="689" t="n"/>
      <c r="AA76" s="689" t="n"/>
      <c r="AB76" s="689" t="n"/>
      <c r="AD76" s="319" t="n">
        <v>4</v>
      </c>
      <c r="AE76" s="483">
        <f>IF($AD76=AE$69,(-$AE$36+$AF$36*$AV$19/$AW$19)*$AV$28,"")</f>
        <v/>
      </c>
      <c r="AF76" s="484">
        <f>IF($AD76=AE$69,(-$AF$36-$CA$19-(-$AE$36-$BZ$19)*$BY$19/$BX$19)*$BX$28,"")</f>
        <v/>
      </c>
      <c r="AG76" s="483">
        <f>IF($AD76=AG$69,(-$AG$36+$BB$19+($AH$36-$BC$19)*$AZ$19/$BA$19)*$AZ$28,"")</f>
        <v/>
      </c>
      <c r="AH76" s="484">
        <f>IF($AD76=AG$69,($AH$36+$BE$19+(-$AG$36-$BD$19)*$BG$19/$BF$19)*$BF$28,"")</f>
        <v/>
      </c>
      <c r="AI76" s="483">
        <f>IF($AD76=AI$69,($AI$36-$BL$19-($AJ$36-$BM$19)*$BN$19/$BO$19)*$BN$28,"")</f>
        <v/>
      </c>
      <c r="AJ76" s="484">
        <f>IF($AD76=AI$69,($AJ$36-$AI$36*$BK$19/$BJ$19)*$BJ$28,"")</f>
        <v/>
      </c>
      <c r="AK76" s="483">
        <f>IF($AD76=AK$69,($AK$36-$AL$36*$BR$19/$BS$19)*$BR$28,"")</f>
        <v/>
      </c>
      <c r="AL76" s="484">
        <f>IF($AD76=AK$69,(-$AL$36+$AK$36*$BU$19/$BT$19)*$BT$28,"")</f>
        <v/>
      </c>
      <c r="AN76" s="286">
        <f>(-$AE$36+$AF$36*$AV$19/$AW$19)</f>
        <v/>
      </c>
      <c r="AO76" s="285">
        <f>(-$AF$36-$CA$19-(-$AE$36-$BZ$19)*$BY$19/$BX$19)</f>
        <v/>
      </c>
      <c r="AP76" s="286">
        <f>(-$AG$36+$BB$19+($AH$36-$BC$19)*$AZ$19/$BA$19)</f>
        <v/>
      </c>
      <c r="AQ76" s="285">
        <f>($AH$36+$BE$19+(-$AG$36-$BD$19)*$BG$19/$BF$19)</f>
        <v/>
      </c>
      <c r="AR76" s="286">
        <f>($AI$36-$BL$19-($AJ$36-$BM$19)*$BN$19/$BO$19)</f>
        <v/>
      </c>
      <c r="AS76" s="285">
        <f>($AJ$36-$AI$36*$BK$19/$BJ$19)</f>
        <v/>
      </c>
      <c r="AT76" s="286">
        <f>($AK$36-$AL$36*$BR$19/$BS$19)</f>
        <v/>
      </c>
      <c r="AU76" s="285">
        <f>(-$AL$36+$AK$36*$BU$19/$BT$19)</f>
        <v/>
      </c>
      <c r="BZ76" s="693" t="n"/>
      <c r="CA76" s="693" t="n"/>
    </row>
    <row r="77" ht="12" customHeight="1" s="613">
      <c r="B77" s="477">
        <f>$L$38</f>
        <v/>
      </c>
      <c r="C77" s="477">
        <f>$O$7</f>
        <v/>
      </c>
      <c r="D77" s="477">
        <f>$P$7</f>
        <v/>
      </c>
      <c r="E77" s="477">
        <f>$Q$7</f>
        <v/>
      </c>
      <c r="F77" s="477">
        <f>$R$7</f>
        <v/>
      </c>
      <c r="G77" s="477">
        <f>$S$7</f>
        <v/>
      </c>
      <c r="H77" s="511" t="inlineStr">
        <is>
          <t>East-Up1</t>
        </is>
      </c>
      <c r="L77" s="477">
        <f>$L$38</f>
        <v/>
      </c>
      <c r="M77" s="477">
        <f>$O$7</f>
        <v/>
      </c>
      <c r="N77" s="477">
        <f>$P$7</f>
        <v/>
      </c>
      <c r="O77" s="477">
        <f>$Q$7</f>
        <v/>
      </c>
      <c r="P77" s="477">
        <f>$R$7</f>
        <v/>
      </c>
      <c r="Q77" s="477">
        <f>$S$7</f>
        <v/>
      </c>
      <c r="R77" s="485" t="inlineStr">
        <is>
          <t>South-Left1</t>
        </is>
      </c>
      <c r="U77" s="689" t="n"/>
      <c r="V77" s="689" t="n"/>
      <c r="AA77" s="689" t="n"/>
      <c r="AB77" s="689" t="n"/>
      <c r="AE77" s="284">
        <f>IF(ISNUMBER($AE$73),AE$73,IF(ISNUMBER($AE$74),AE$74,IF(ISNUMBER($AE$75),AE$75,IF(ISNUMBER($AE$76),AE$76,""))))</f>
        <v/>
      </c>
      <c r="AF77" s="283">
        <f>IF(ISNUMBER($AF$73),AF$73,IF(ISNUMBER($AF$74),AF$74,IF(ISNUMBER($AF$75),AF$75,IF(ISNUMBER($AF$76),AF$76,""))))</f>
        <v/>
      </c>
      <c r="AG77" s="284">
        <f>IF(ISNUMBER($AG$73),AG$73,IF(ISNUMBER($AG$74),AG$74,IF(ISNUMBER($AG$75),AG$75,IF(ISNUMBER($AG$76),AG$76,""))))</f>
        <v/>
      </c>
      <c r="AH77" s="283">
        <f>IF(ISNUMBER($AH$73),AH$73,IF(ISNUMBER($AH$74),AH$74,IF(ISNUMBER($AH$75),AH$75,IF(ISNUMBER($AH$76),AH$76,""))))</f>
        <v/>
      </c>
      <c r="AI77" s="284">
        <f>IF(ISNUMBER($AI$73),AI$73,IF(ISNUMBER($AI$74),AI$74,IF(ISNUMBER($AI$75),AI$75,IF(ISNUMBER($AI$76),AI$76,""))))</f>
        <v/>
      </c>
      <c r="AJ77" s="283">
        <f>IF(ISNUMBER($AJ$73),AJ$73,IF(ISNUMBER($AJ$74),AJ$74,IF(ISNUMBER($AJ$75),AJ$75,IF(ISNUMBER($AJ$76),AJ$76,""))))</f>
        <v/>
      </c>
      <c r="AK77" s="284">
        <f>IF(ISNUMBER($AK$73),AK$73,IF(ISNUMBER($AK$74),AK$74,IF(ISNUMBER($AK$75),AK$75,IF(ISNUMBER($AK$76),AK$76,""))))</f>
        <v/>
      </c>
      <c r="AL77" s="283">
        <f>IF(ISNUMBER($AL$73),AL$73,IF(ISNUMBER($AL$74),AL$74,IF(ISNUMBER($AL$75),AL$75,IF(ISNUMBER($AL$76),AL$76,""))))</f>
        <v/>
      </c>
      <c r="BZ77" s="693" t="n"/>
      <c r="CA77" s="693" t="n"/>
    </row>
    <row r="78" ht="12" customHeight="1" s="613">
      <c r="B78" s="512" t="inlineStr">
        <is>
          <t>A</t>
        </is>
      </c>
      <c r="C78" s="512" t="inlineStr">
        <is>
          <t>B</t>
        </is>
      </c>
      <c r="D78" s="512" t="inlineStr">
        <is>
          <t>C</t>
        </is>
      </c>
      <c r="E78" s="512" t="inlineStr">
        <is>
          <t>D</t>
        </is>
      </c>
      <c r="F78" s="512" t="inlineStr">
        <is>
          <t>E</t>
        </is>
      </c>
      <c r="G78" s="512" t="inlineStr">
        <is>
          <t>F</t>
        </is>
      </c>
      <c r="H78" s="512" t="inlineStr">
        <is>
          <t>G</t>
        </is>
      </c>
      <c r="L78" s="512" t="inlineStr">
        <is>
          <t>A</t>
        </is>
      </c>
      <c r="M78" s="512" t="inlineStr">
        <is>
          <t>B</t>
        </is>
      </c>
      <c r="N78" s="512" t="inlineStr">
        <is>
          <t>C</t>
        </is>
      </c>
      <c r="O78" s="512" t="inlineStr">
        <is>
          <t>D</t>
        </is>
      </c>
      <c r="P78" s="512" t="inlineStr">
        <is>
          <t>E</t>
        </is>
      </c>
      <c r="Q78" s="512" t="inlineStr">
        <is>
          <t>F</t>
        </is>
      </c>
      <c r="R78" s="512" t="inlineStr">
        <is>
          <t>G</t>
        </is>
      </c>
      <c r="U78" s="689" t="n"/>
      <c r="V78" s="689" t="n"/>
      <c r="AA78" s="689" t="n"/>
      <c r="AB78" s="689" t="n"/>
      <c r="AE78" s="291" t="n"/>
      <c r="AF78" s="290" t="n"/>
      <c r="AG78" s="292" t="n"/>
      <c r="AH78" s="292" t="n"/>
      <c r="AI78" s="291" t="n"/>
      <c r="AJ78" s="290" t="n"/>
      <c r="AK78" s="291" t="n"/>
      <c r="AL78" s="290" t="n"/>
      <c r="BZ78" s="693" t="n"/>
      <c r="CA78" s="693" t="n"/>
    </row>
    <row r="79" ht="12" customHeight="1" s="613">
      <c r="B79" s="477">
        <f>$L$38</f>
        <v/>
      </c>
      <c r="C79" s="477">
        <f>$O$7</f>
        <v/>
      </c>
      <c r="D79" s="477">
        <f>$P$7</f>
        <v/>
      </c>
      <c r="E79" s="477">
        <f>$Q$7</f>
        <v/>
      </c>
      <c r="F79" s="477">
        <f>$R$7</f>
        <v/>
      </c>
      <c r="G79" s="477">
        <f>$S$7</f>
        <v/>
      </c>
      <c r="H79" s="511" t="inlineStr">
        <is>
          <t>East-Down1</t>
        </is>
      </c>
      <c r="L79" s="477">
        <f>$L$38</f>
        <v/>
      </c>
      <c r="M79" s="477">
        <f>$O$7</f>
        <v/>
      </c>
      <c r="N79" s="477">
        <f>$P$7</f>
        <v/>
      </c>
      <c r="O79" s="477">
        <f>$Q$7</f>
        <v/>
      </c>
      <c r="P79" s="477">
        <f>$R$7</f>
        <v/>
      </c>
      <c r="Q79" s="477">
        <f>$S$7</f>
        <v/>
      </c>
      <c r="R79" s="485" t="inlineStr">
        <is>
          <t>South-Right1</t>
        </is>
      </c>
      <c r="U79" s="689" t="n"/>
      <c r="V79" s="689" t="n"/>
      <c r="AA79" s="689" t="n"/>
      <c r="AB79" s="689" t="n"/>
      <c r="AE79" s="674" t="inlineStr">
        <is>
          <t>BHL3 Qtr-Qtr Logic</t>
        </is>
      </c>
      <c r="AF79" s="675" t="n"/>
      <c r="AG79" s="676" t="inlineStr">
        <is>
          <t>BHL3 Qtr-Qtr Logic</t>
        </is>
      </c>
      <c r="AH79" s="677" t="n"/>
      <c r="AI79" s="674" t="inlineStr">
        <is>
          <t>BHL3 Qtr-Qtr Logic</t>
        </is>
      </c>
      <c r="AJ79" s="675" t="n"/>
      <c r="AK79" s="674" t="inlineStr">
        <is>
          <t>BHL3 Qtr-Qtr Logic</t>
        </is>
      </c>
      <c r="AL79" s="675" t="n"/>
      <c r="BZ79" s="693" t="n"/>
      <c r="CA79" s="693" t="n"/>
    </row>
    <row r="80" ht="12" customHeight="1" s="613">
      <c r="B80" s="512" t="inlineStr">
        <is>
          <t>A</t>
        </is>
      </c>
      <c r="C80" s="512" t="inlineStr">
        <is>
          <t>B</t>
        </is>
      </c>
      <c r="D80" s="512" t="inlineStr">
        <is>
          <t>C</t>
        </is>
      </c>
      <c r="E80" s="512" t="inlineStr">
        <is>
          <t>D</t>
        </is>
      </c>
      <c r="F80" s="512" t="inlineStr">
        <is>
          <t>E</t>
        </is>
      </c>
      <c r="G80" s="512" t="inlineStr">
        <is>
          <t>F</t>
        </is>
      </c>
      <c r="H80" s="512" t="inlineStr">
        <is>
          <t>G</t>
        </is>
      </c>
      <c r="L80" s="512" t="inlineStr">
        <is>
          <t>A</t>
        </is>
      </c>
      <c r="M80" s="512" t="inlineStr">
        <is>
          <t>B</t>
        </is>
      </c>
      <c r="N80" s="512" t="inlineStr">
        <is>
          <t>C</t>
        </is>
      </c>
      <c r="O80" s="512" t="inlineStr">
        <is>
          <t>D</t>
        </is>
      </c>
      <c r="P80" s="512" t="inlineStr">
        <is>
          <t>E</t>
        </is>
      </c>
      <c r="Q80" s="512" t="inlineStr">
        <is>
          <t>F</t>
        </is>
      </c>
      <c r="R80" s="512" t="inlineStr">
        <is>
          <t>G</t>
        </is>
      </c>
      <c r="U80" s="689" t="n"/>
      <c r="V80" s="689" t="n"/>
      <c r="AA80" s="689" t="n"/>
      <c r="AB80" s="689" t="n"/>
      <c r="AE80" s="671">
        <f>IF($AE$38="","",IF(AND((-$AE$38+$AF$38*$AV$19/$AW$19)&gt;0,-$AE$38&lt;$BZ$19,(-$AF$38+$AE$38*$CA$19/$BZ$19)&gt;0,-$AF$38&lt;$AW$19),1,IF(AND((-$AE$38-$AV$19+($AF$38+$AW$19)*$AX$19/$AY$19)&gt;0,-$AE$38&lt;$BZ$19,-$AF$38&gt;$AW$19,-$AF$38&lt;$AX$22),2,IF(AND(-$AE$38&lt;$BY$22,-$AE$38&gt;$BZ$19,-$AF$38&gt;$AW$19,-$AF$38&lt;$AX$22),3,IF(AND(-$AE$38&lt;$BY$22,-$AE$38&gt;$BZ$19,(-$AF$38-$CA$19-(-$AE$38-$BZ$19)*$BY$19/$BX$19)&gt;0,-$AF$38&lt;$AW$19),4,"")))))</f>
        <v/>
      </c>
      <c r="AF80" s="617" t="n"/>
      <c r="AG80" s="671">
        <f>IF($AG$39="","",IF(AND((-$AG$39+$BB$19+($AH$39-$BC$19)*$AZ$19/$BA$19)&gt;0,-$AG$39&lt;$BD$19,$AH$39&gt;$BC$19,$AH$39&lt;$BB$22),1,IF(AND((-$AG$39+$AH$39*$BB$19/$BC$19)&gt;0,-$AG$39&lt;$BD$19,($AH$39-$AG$39*$BE$19/$BD$19)&gt;0,$AH$39&lt;$BC$19),2,IF(AND(-$AG$39&gt;$BD$19,-$AG$39&lt;$BE$22,($AH$39+$BE$19+(-$AG$39-$BD$19)*$BG$19/$BF$19)&gt;0,$AH$39&lt;$BC$19),3,IF(AND(-$AG$39&gt;$BD$19,-$AG$39&lt;$BE$22,$AH$39&gt;$BC$19,$AH$39&lt;$BB$22),4,"")))))</f>
        <v/>
      </c>
      <c r="AH80" s="617" t="n"/>
      <c r="AI80" s="671">
        <f>IF($AI$40="","",IF(AND($AI$40&gt;$BJ$19,$AI$40&lt;$BI$22,$AJ$40&gt;$BM$19,$AJ$40&lt;$BN$22),1,IF(AND($AI$40&gt;$BJ$19,$AI$40&lt;$BI$22,($AJ$40-$BK$19-($AI$40-$BJ$19)*$BI$19/$BH$19)&gt;0,$AJ$40&lt;$BM$19),2,IF(AND(($AI$40-$AJ$40*$BL$19/$BM$19)&gt;0,$AI$40&lt;$BJ$19,($AJ$40-$AI$40*$BK$19/$BJ$19)&gt;0,$AJ$40&lt;$BM$19),3,IF(AND(($AI$40-$BL$19-($AJ$40-$BM$19)*$BN$19/$BO$19)&gt;0,$AI$40&lt;$BJ$19,$AJ$40&gt;$BM$19,$AJ$40&lt;$BN$22),4,"")))))</f>
        <v/>
      </c>
      <c r="AJ80" s="617" t="n"/>
      <c r="AK80" s="671">
        <f>IF($AK$41="","",IF(AND($AK$41&gt;$BT$19,$AK$41&lt;$BU$22,(-$AL$41+$BU$19+($AK$41-$BT$19)*$BW$19/$BV$19)&gt;0,-$AL$41&lt;$BS$19),1,IF(AND($AK$41&gt;$BT$19,$AK$41&lt;$BU$22,-$AL$41&gt;$BS$19,-$AL$41&lt;$BR$22),2,IF(AND(($AK$41+$BR$19+(-$AL$41-$BS$19)*$BP$19/$BQ$19)&gt;0,$AK$41&lt;$BT$19,-$AL$41&gt;$BS$19,-$AL$41&lt;$BR$22),3,IF(AND(($AK$41-$AL$41*$BR$19/$BS$19)&gt;0,$AK$41&lt;$BT$19,(-$AL$41+$AK$41*$BU$19/$BT$19)&gt;0,-$AL$41&lt;$BS$19),4,"")))))</f>
        <v/>
      </c>
      <c r="AL80" s="617" t="n"/>
      <c r="BZ80" s="693" t="n"/>
      <c r="CA80" s="693" t="n"/>
    </row>
    <row r="81" ht="12" customHeight="1" s="613">
      <c r="B81" s="477">
        <f>$L$38</f>
        <v/>
      </c>
      <c r="C81" s="477">
        <f>$O$7</f>
        <v/>
      </c>
      <c r="D81" s="477">
        <f>$P$7</f>
        <v/>
      </c>
      <c r="E81" s="477">
        <f>$Q$7</f>
        <v/>
      </c>
      <c r="F81" s="477">
        <f>$R$7</f>
        <v/>
      </c>
      <c r="G81" s="477">
        <f>$S$7</f>
        <v/>
      </c>
      <c r="H81" s="511" t="inlineStr">
        <is>
          <t>East-Down2</t>
        </is>
      </c>
      <c r="L81" s="477">
        <f>$L$38</f>
        <v/>
      </c>
      <c r="M81" s="477">
        <f>$O$7</f>
        <v/>
      </c>
      <c r="N81" s="477">
        <f>$P$7</f>
        <v/>
      </c>
      <c r="O81" s="477">
        <f>$Q$7</f>
        <v/>
      </c>
      <c r="P81" s="477">
        <f>$R$7</f>
        <v/>
      </c>
      <c r="Q81" s="477">
        <f>$S$7</f>
        <v/>
      </c>
      <c r="R81" s="485" t="inlineStr">
        <is>
          <t>South-Right2</t>
        </is>
      </c>
      <c r="U81" s="689" t="n"/>
      <c r="V81" s="689" t="n"/>
      <c r="AA81" s="689" t="n"/>
      <c r="AB81" s="689" t="n"/>
      <c r="AE81" s="291" t="n"/>
      <c r="AF81" s="290" t="n"/>
      <c r="AG81" s="292" t="n"/>
      <c r="AH81" s="292" t="n"/>
      <c r="AI81" s="291" t="n"/>
      <c r="AJ81" s="290" t="n"/>
      <c r="AK81" s="291" t="n"/>
      <c r="AL81" s="290" t="n"/>
      <c r="BZ81" s="693" t="n"/>
      <c r="CA81" s="693" t="n"/>
    </row>
    <row r="82" ht="12" customHeight="1" s="613">
      <c r="U82" s="689" t="n"/>
      <c r="V82" s="689" t="n"/>
      <c r="AA82" s="689" t="n"/>
      <c r="AB82" s="689" t="n"/>
      <c r="AE82" s="674" t="inlineStr">
        <is>
          <t>BHL3 NE Line Calc</t>
        </is>
      </c>
      <c r="AF82" s="675" t="n"/>
      <c r="AG82" s="674" t="inlineStr">
        <is>
          <t>BHL3 NW Line Calc</t>
        </is>
      </c>
      <c r="AH82" s="675" t="n"/>
      <c r="AI82" s="674" t="inlineStr">
        <is>
          <t>BHL3 SW Line Calc</t>
        </is>
      </c>
      <c r="AJ82" s="675" t="n"/>
      <c r="AK82" s="674" t="inlineStr">
        <is>
          <t>BHL3 SE Line Calc</t>
        </is>
      </c>
      <c r="AL82" s="675" t="n"/>
      <c r="BZ82" s="693" t="n"/>
      <c r="CA82" s="693" t="n"/>
    </row>
    <row r="83" ht="12" customHeight="1" s="613">
      <c r="U83" s="689" t="n"/>
      <c r="V83" s="689" t="n"/>
      <c r="AA83" s="689" t="n"/>
      <c r="AB83" s="689" t="n"/>
      <c r="AD83" s="470" t="inlineStr">
        <is>
          <t>Qtr-Qtr</t>
        </is>
      </c>
      <c r="AE83" s="671" t="inlineStr">
        <is>
          <t>FNL</t>
        </is>
      </c>
      <c r="AF83" s="671" t="inlineStr">
        <is>
          <t>FEL</t>
        </is>
      </c>
      <c r="AG83" s="468" t="inlineStr">
        <is>
          <t>FNL</t>
        </is>
      </c>
      <c r="AH83" s="467" t="inlineStr">
        <is>
          <t>FWL</t>
        </is>
      </c>
      <c r="AI83" s="671" t="inlineStr">
        <is>
          <t>FSL</t>
        </is>
      </c>
      <c r="AJ83" s="671" t="inlineStr">
        <is>
          <t>FWL</t>
        </is>
      </c>
      <c r="AK83" s="671" t="inlineStr">
        <is>
          <t>FSL</t>
        </is>
      </c>
      <c r="AL83" s="671" t="inlineStr">
        <is>
          <t>FEL</t>
        </is>
      </c>
      <c r="AN83" s="693" t="inlineStr">
        <is>
          <t>Calc w/o perpendicular correction</t>
        </is>
      </c>
      <c r="BZ83" s="693" t="n"/>
      <c r="CA83" s="693" t="n"/>
    </row>
    <row r="84" ht="12" customHeight="1" s="613">
      <c r="D84" s="513" t="n"/>
      <c r="E84" s="513" t="n"/>
      <c r="F84" s="513" t="n"/>
      <c r="G84" s="513" t="n"/>
      <c r="U84" s="689" t="n"/>
      <c r="V84" s="689" t="n"/>
      <c r="AA84" s="689" t="n"/>
      <c r="AB84" s="689" t="n"/>
      <c r="AD84" s="319" t="n">
        <v>1</v>
      </c>
      <c r="AE84" s="483">
        <f>IF($AD84=AE$80,(-$AE$42+$AF$42*$AV$19/$AW$19)*$AV$28,"")</f>
        <v/>
      </c>
      <c r="AF84" s="484">
        <f>IF($AD84=AE$80,(-$AF$42+$AE$42*$CA$19/$BZ$19)*$BZ$28,"")</f>
        <v/>
      </c>
      <c r="AG84" s="483">
        <f>IF($AD84=AG$80,(-$AG$42+$BB$19+($AH$42-$BC$19)*$AZ$19/$BA$19)*$AZ$28,"")</f>
        <v/>
      </c>
      <c r="AH84" s="484">
        <f>IF($AD84=AG$80,($AH$42-$AG$42*$BE$19/$BD$19)*$BD$28,"")</f>
        <v/>
      </c>
      <c r="AI84" s="483">
        <f>IF($AD84=AI$80,($AI$42-$BL$19-($AJ$42-$BM$19)*$BN$19/$BO$19)*$BN$28,"")</f>
        <v/>
      </c>
      <c r="AJ84" s="484">
        <f>IF($AD84=AI$80,($AJ$42-$BK$19-($AI$42-$BJ$19)*$BI$19/$BH$19)*$BH$28,"")</f>
        <v/>
      </c>
      <c r="AK84" s="483">
        <f>IF($AD84=AK$80,($AK$42-$AL$42*$BR$19/$BS$19)*$BR$28,"")</f>
        <v/>
      </c>
      <c r="AL84" s="484">
        <f>IF($AD84=AK$80,(-$AL$42+$BU$19+($AK$42-$BT$19)*$BW$19/$BV$19)*$BV$28,"")</f>
        <v/>
      </c>
      <c r="AN84" s="289">
        <f>(-$AE$42+$AF$42*$AV$19/$AW$19)</f>
        <v/>
      </c>
      <c r="AO84" s="288">
        <f>(-$AF$42+$AE$42*$CA$19/$BZ$19)</f>
        <v/>
      </c>
      <c r="AP84" s="289">
        <f>(-$AG$42+$BB$19+($AH$42-$BC$19)*$AZ$19/$BA$19)</f>
        <v/>
      </c>
      <c r="AQ84" s="288">
        <f>($AH$42-$AG$42*$BE$19/$BD$19)</f>
        <v/>
      </c>
      <c r="AR84" s="289">
        <f>($AI$42-$BL$19-($AJ$42-$BM$19)*$BN$19/$BO$19)</f>
        <v/>
      </c>
      <c r="AS84" s="288">
        <f>($AJ$42-$BK$19-($AI$42-$BJ$19)*$BI$19/$BH$19)</f>
        <v/>
      </c>
      <c r="AT84" s="289">
        <f>($AK$42-$AL$42*$BR$19/$BS$19)</f>
        <v/>
      </c>
      <c r="AU84" s="288">
        <f>(-$AL$42+$BU$19+($AK$42-$BT$19)*$BW$19/$BV$19)</f>
        <v/>
      </c>
      <c r="BZ84" s="693" t="n"/>
      <c r="CA84" s="693" t="n"/>
    </row>
    <row r="85" ht="12" customHeight="1" s="613">
      <c r="C85" s="513" t="n"/>
      <c r="H85" s="513" t="n"/>
      <c r="U85" s="689" t="n"/>
      <c r="V85" s="689" t="n"/>
      <c r="AA85" s="689" t="n"/>
      <c r="AB85" s="689" t="n"/>
      <c r="AD85" s="319" t="n">
        <v>2</v>
      </c>
      <c r="AE85" s="483">
        <f>IF($AD85=AE$80,(-$AE$42-$AV$19+($AF$42+$AW$19)*$AX$19/$AY$19)*$AX$28,"")</f>
        <v/>
      </c>
      <c r="AF85" s="484">
        <f>IF($AD85=AE$80,(-$AF$42+$AE$42*$CA$19/$BZ$19)*$BZ$28,"")</f>
        <v/>
      </c>
      <c r="AG85" s="483">
        <f>IF($AD85=AG$80,(-$AG$42+$AH$42*$BB$19/$BC$19)*$BB$28,"")</f>
        <v/>
      </c>
      <c r="AH85" s="484">
        <f>IF($AD85=AG$80,($AH$42-$AG$42*$BE$19/$BD$19)*$BD$28,"")</f>
        <v/>
      </c>
      <c r="AI85" s="483">
        <f>IF($AD85=AI$80,($AI$42-$AJ$42*$BL$19/$BM$19)*$BL$28,"")</f>
        <v/>
      </c>
      <c r="AJ85" s="484">
        <f>IF($AD85=AI$80,($AJ$42-$BK$19-($AI$42-$BJ$19)*$BI$19/$BH$19)*$BH$28,"")</f>
        <v/>
      </c>
      <c r="AK85" s="483">
        <f>IF($AD85=AK$80,($AK$42+$BR$19+(-$AL$42-$BS$19)*$BP$19/$BQ$19)*$BP$28,"")</f>
        <v/>
      </c>
      <c r="AL85" s="484">
        <f>IF($AD85=AK$80,(-$AL$42+$BU$19+($AK$42-$BT$19)*$BW$19/$BV$19)*$BV$28,"")</f>
        <v/>
      </c>
      <c r="AN85" s="483">
        <f>(-$AE$42-$AV$19+($AF$42+$AW$19)*$AX$19/$AY$19)</f>
        <v/>
      </c>
      <c r="AO85" s="484">
        <f>(-$AF$42+$AE$42*$CA$19/$BZ$19)</f>
        <v/>
      </c>
      <c r="AP85" s="483">
        <f>(-$AG$42+$AH$42*$BB$19/$BC$19)</f>
        <v/>
      </c>
      <c r="AQ85" s="484">
        <f>($AH$42-$AG$42*$BE$19/$BD$19)</f>
        <v/>
      </c>
      <c r="AR85" s="483">
        <f>($AI$42-$AJ$42*$BL$19/$BM$19)</f>
        <v/>
      </c>
      <c r="AS85" s="484">
        <f>($AJ$42-$BK$19-($AI$42-$BJ$19)*$BI$19/$BH$19)</f>
        <v/>
      </c>
      <c r="AT85" s="483">
        <f>($AK$42+$BR$19+(-$AL$42-$BS$19)*$BP$19/$BQ$19)</f>
        <v/>
      </c>
      <c r="AU85" s="484">
        <f>(-$AL$42+$BU$19+($AK$42-$BT$19)*$BW$19/$BV$19)</f>
        <v/>
      </c>
      <c r="BZ85" s="693" t="n"/>
      <c r="CA85" s="693" t="n"/>
    </row>
    <row r="86" ht="12" customHeight="1" s="613">
      <c r="C86" s="513" t="n"/>
      <c r="H86" s="513" t="n"/>
      <c r="U86" s="689" t="n"/>
      <c r="V86" s="689" t="n"/>
      <c r="AA86" s="689" t="n"/>
      <c r="AB86" s="689" t="n"/>
      <c r="AD86" s="319" t="n">
        <v>3</v>
      </c>
      <c r="AE86" s="483">
        <f>IF($AD86=AE$80,(-$AE$42-$AV$19+($AF$42+$AW$19)*$AX$19/$AY$19)*$AX$28,"")</f>
        <v/>
      </c>
      <c r="AF86" s="484">
        <f>IF($AD86=AE$80,(-$AF$42-$CA$19-(-$AE$42-$BZ$19)*$BY$19/$BX$19)*$BX$28,"")</f>
        <v/>
      </c>
      <c r="AG86" s="483">
        <f>IF($AD86=AG$80,(-$AG$42+$AH$42*$BB$19/$BC$19)*$BB$28,"")</f>
        <v/>
      </c>
      <c r="AH86" s="484">
        <f>IF($AD86=AG$80,($AH$42+$BE$19+(-$AG$42-$BD$19)*$BG$19/$BF$19)*$BF$28,"")</f>
        <v/>
      </c>
      <c r="AI86" s="483">
        <f>IF($AD86=AI$80,($AI$42-$AJ$42*$BL$19/$BM$19)*$BL$28,"")</f>
        <v/>
      </c>
      <c r="AJ86" s="484">
        <f>IF($AD86=AI$80,($AJ$42-$AI$42*$BK$19/$BJ$19)*$BJ$28,"")</f>
        <v/>
      </c>
      <c r="AK86" s="483">
        <f>IF($AD86=AK$80,($AK$42+$BR$19+(-$AL$42-$BS$19)*$BP$19/$BQ$19)*$BP$28,"")</f>
        <v/>
      </c>
      <c r="AL86" s="484">
        <f>IF($AD86=AK$80,(-$AL$42+$AK$42*$BU$19/$BT$19)*$BT$28,"")</f>
        <v/>
      </c>
      <c r="AN86" s="483">
        <f>(-$AE$42-$AV$19+($AF$42+$AW$19)*$AX$19/$AY$19)</f>
        <v/>
      </c>
      <c r="AO86" s="484">
        <f>(-$AF$42-$CA$19-(-$AE$42-$BZ$19)*$BY$19/$BX$19)</f>
        <v/>
      </c>
      <c r="AP86" s="483">
        <f>(-$AG$42+$AH$42*$BB$19/$BC$19)</f>
        <v/>
      </c>
      <c r="AQ86" s="484">
        <f>($AH$42+$BE$19+(-$AG$42-$BD$19)*$BG$19/$BF$19)</f>
        <v/>
      </c>
      <c r="AR86" s="483">
        <f>($AI$42-$AJ$42*$BL$19/$BM$19)</f>
        <v/>
      </c>
      <c r="AS86" s="484">
        <f>($AJ$42-$AI$42*$BK$19/$BJ$19)</f>
        <v/>
      </c>
      <c r="AT86" s="483">
        <f>($AK$42+$BR$19+(-$AL$42-$BS$19)*$BP$19/$BQ$19)</f>
        <v/>
      </c>
      <c r="AU86" s="484">
        <f>(-$AL$42+$AK$42*$BU$19/$BT$19)</f>
        <v/>
      </c>
      <c r="BZ86" s="693" t="n"/>
      <c r="CA86" s="693" t="n"/>
    </row>
    <row r="87" ht="12" customHeight="1" s="613">
      <c r="C87" s="513" t="n"/>
      <c r="H87" s="513" t="n"/>
      <c r="U87" s="689" t="n"/>
      <c r="V87" s="689" t="n"/>
      <c r="AA87" s="689" t="n"/>
      <c r="AB87" s="689" t="n"/>
      <c r="AD87" s="319" t="n">
        <v>4</v>
      </c>
      <c r="AE87" s="286">
        <f>IF($AD87=AE$80,(-$AE$42+$AF$42*$AV$19/$AW$19)*$AV$28,"")</f>
        <v/>
      </c>
      <c r="AF87" s="285">
        <f>IF($AD87=AE$80,(-$AF$42-$CA$19-(-$AE$42-$BZ$19)*$BY$19/$BX$19)*$BX$28,"")</f>
        <v/>
      </c>
      <c r="AG87" s="286">
        <f>IF($AD87=AG$80,(-$AG$42+$BB$19+($AH$42-$BC$19)*$AZ$19/$BA$19)*$AZ$28,"")</f>
        <v/>
      </c>
      <c r="AH87" s="285">
        <f>IF($AD87=AG$80,($AH$42+$BE$19+(-$AG$42-$BD$19)*$BG$19/$BF$19)*$BF$28,"")</f>
        <v/>
      </c>
      <c r="AI87" s="286">
        <f>IF($AD87=AI$80,($AI$42-$BL$19-($AJ$42-$BM$19)*$BN$19/$BO$19)*$BN$28,"")</f>
        <v/>
      </c>
      <c r="AJ87" s="285">
        <f>IF($AD87=AI$80,($AJ$42-$AI$42*$BK$19/$BJ$19)*$BJ$28,"")</f>
        <v/>
      </c>
      <c r="AK87" s="286">
        <f>IF($AD87=AK$80,($AK$42-$AL$42*$BR$19/$BS$19)*$BR$28,"")</f>
        <v/>
      </c>
      <c r="AL87" s="285">
        <f>IF($AD87=AK$80,(-$AL$42+$AK$42*$BU$19/$BT$19)*$BT$28,"")</f>
        <v/>
      </c>
      <c r="AN87" s="286">
        <f>(-$AE$42+$AF$42*$AV$19/$AW$19)</f>
        <v/>
      </c>
      <c r="AO87" s="285">
        <f>(-$AF$42-$CA$19-(-$AE$42-$BZ$19)*$BY$19/$BX$19)</f>
        <v/>
      </c>
      <c r="AP87" s="286">
        <f>(-$AG$42+$BB$19+($AH$42-$BC$19)*$AZ$19/$BA$19)</f>
        <v/>
      </c>
      <c r="AQ87" s="285">
        <f>($AH$42+$BE$19+(-$AG$42-$BD$19)*$BG$19/$BF$19)</f>
        <v/>
      </c>
      <c r="AR87" s="286">
        <f>($AI$42-$BL$19-($AJ$42-$BM$19)*$BN$19/$BO$19)</f>
        <v/>
      </c>
      <c r="AS87" s="285">
        <f>($AJ$42-$AI$42*$BK$19/$BJ$19)</f>
        <v/>
      </c>
      <c r="AT87" s="286">
        <f>($AK$42-$AL$42*$BR$19/$BS$19)</f>
        <v/>
      </c>
      <c r="AU87" s="285">
        <f>(-$AL$42+$AK$42*$BU$19/$BT$19)</f>
        <v/>
      </c>
      <c r="BZ87" s="693" t="n"/>
      <c r="CA87" s="693" t="n"/>
    </row>
    <row r="88" ht="12" customHeight="1" s="613">
      <c r="C88" s="513" t="n"/>
      <c r="H88" s="513" t="n"/>
      <c r="U88" s="689" t="n"/>
      <c r="V88" s="689" t="n"/>
      <c r="AA88" s="689" t="n"/>
      <c r="AB88" s="689" t="n"/>
      <c r="AE88" s="284">
        <f>IF(ISNUMBER($AE$84),AE$84,IF(ISNUMBER($AE$85),AE$85,IF(ISNUMBER($AE$86),AE$86,IF(ISNUMBER($AE$87),AE$87,""))))</f>
        <v/>
      </c>
      <c r="AF88" s="283">
        <f>IF(ISNUMBER($AF$84),AF$84,IF(ISNUMBER($AF$85),AF$85,IF(ISNUMBER($AF$86),AF$86,IF(ISNUMBER($AF$87),AF$87,""))))</f>
        <v/>
      </c>
      <c r="AG88" s="284">
        <f>IF(ISNUMBER($AG$84),AG$84,IF(ISNUMBER($AG$85),AG$85,IF(ISNUMBER($AG$86),AG$86,IF(ISNUMBER($AG$87),AG$87,""))))</f>
        <v/>
      </c>
      <c r="AH88" s="283">
        <f>IF(ISNUMBER($AH$84),AH$84,IF(ISNUMBER($AH$85),AH$85,IF(ISNUMBER($AH$86),AH$86,IF(ISNUMBER($AH$87),AH$87,""))))</f>
        <v/>
      </c>
      <c r="AI88" s="284">
        <f>IF(ISNUMBER($AI$84),AI$84,IF(ISNUMBER($AI$85),AI$85,IF(ISNUMBER($AI$86),AI$86,IF(ISNUMBER($AI$87),AI$87,""))))</f>
        <v/>
      </c>
      <c r="AJ88" s="283">
        <f>IF(ISNUMBER($AJ$84),AJ$84,IF(ISNUMBER($AJ$85),AJ$85,IF(ISNUMBER($AJ$86),AJ$86,IF(ISNUMBER($AJ$87),AJ$87,""))))</f>
        <v/>
      </c>
      <c r="AK88" s="284">
        <f>IF(ISNUMBER($AK$84),AK$84,IF(ISNUMBER($AK$85),AK$85,IF(ISNUMBER($AK$86),AK$86,IF(ISNUMBER($AK$87),AK$87,""))))</f>
        <v/>
      </c>
      <c r="AL88" s="283">
        <f>IF(ISNUMBER($AL$84),AL$84,IF(ISNUMBER($AL$85),AL$85,IF(ISNUMBER($AL$86),AL$86,IF(ISNUMBER($AL$87),AL$87,""))))</f>
        <v/>
      </c>
      <c r="BZ88" s="693" t="n"/>
      <c r="CA88" s="693" t="n"/>
    </row>
    <row r="89" ht="12" customHeight="1" s="613">
      <c r="D89" s="513" t="n"/>
      <c r="E89" s="513" t="n"/>
      <c r="F89" s="513" t="n"/>
      <c r="G89" s="513" t="n"/>
      <c r="U89" s="689" t="n"/>
      <c r="V89" s="689" t="n"/>
      <c r="AA89" s="689" t="n"/>
      <c r="AB89" s="689" t="n"/>
      <c r="BZ89" s="693" t="n"/>
      <c r="CA89" s="693" t="n"/>
    </row>
    <row r="90" ht="12" customHeight="1" s="613">
      <c r="U90" s="689" t="n"/>
      <c r="V90" s="689" t="n"/>
      <c r="AA90" s="689" t="n"/>
      <c r="AB90" s="689" t="n"/>
      <c r="BZ90" s="693" t="n"/>
      <c r="CA90" s="693" t="n"/>
    </row>
    <row r="91" ht="12" customHeight="1" s="613">
      <c r="U91" s="689" t="n"/>
      <c r="V91" s="689" t="n"/>
      <c r="AA91" s="689" t="n"/>
      <c r="AB91" s="689" t="n"/>
      <c r="BZ91" s="693" t="n"/>
      <c r="CA91" s="693" t="n"/>
    </row>
    <row r="92" ht="12" customHeight="1" s="613">
      <c r="U92" s="689" t="n"/>
      <c r="V92" s="689" t="n"/>
      <c r="AA92" s="689" t="n"/>
      <c r="AB92" s="689" t="n"/>
      <c r="BZ92" s="693" t="n"/>
      <c r="CA92" s="693" t="n"/>
    </row>
    <row r="93" ht="12" customHeight="1" s="613">
      <c r="U93" s="689" t="n"/>
      <c r="V93" s="689" t="n"/>
      <c r="AA93" s="689" t="n"/>
      <c r="AB93" s="689" t="n"/>
      <c r="BZ93" s="693" t="n"/>
      <c r="CA93" s="693" t="n"/>
    </row>
    <row r="94" ht="12" customHeight="1" s="613">
      <c r="U94" s="689" t="n"/>
      <c r="V94" s="689" t="n"/>
      <c r="AA94" s="689" t="n"/>
      <c r="AB94" s="689" t="n"/>
      <c r="BZ94" s="693" t="n"/>
      <c r="CA94" s="693" t="n"/>
    </row>
    <row r="95">
      <c r="U95" s="689" t="n"/>
      <c r="V95" s="689" t="n"/>
      <c r="AA95" s="689" t="n"/>
      <c r="AB95" s="689" t="n"/>
      <c r="BZ95" s="693" t="n"/>
      <c r="CA95" s="693" t="n"/>
    </row>
    <row r="96">
      <c r="AA96" s="689" t="n"/>
      <c r="AB96" s="689" t="n"/>
      <c r="BZ96" s="693" t="n"/>
      <c r="CA96" s="693" t="n"/>
    </row>
    <row r="97">
      <c r="AA97" s="689" t="n"/>
      <c r="AB97" s="689" t="n"/>
      <c r="BZ97" s="693" t="n"/>
      <c r="CA97" s="693" t="n"/>
    </row>
    <row r="98">
      <c r="AA98" s="689" t="n"/>
      <c r="AB98" s="689" t="n"/>
      <c r="BZ98" s="693" t="n"/>
      <c r="CA98" s="693" t="n"/>
    </row>
    <row r="99">
      <c r="AA99" s="689" t="n"/>
      <c r="AB99" s="689" t="n"/>
      <c r="BZ99" s="693" t="n"/>
      <c r="CA99" s="693" t="n"/>
    </row>
    <row r="100">
      <c r="AA100" s="689" t="n"/>
      <c r="AB100" s="689" t="n"/>
      <c r="BZ100" s="693" t="n"/>
      <c r="CA100" s="693" t="n"/>
    </row>
    <row r="101">
      <c r="AA101" s="689" t="n"/>
      <c r="AB101" s="689" t="n"/>
      <c r="BZ101" s="693" t="n"/>
      <c r="CA101" s="693" t="n"/>
    </row>
    <row r="102">
      <c r="AA102" s="689" t="n"/>
      <c r="AB102" s="689" t="n"/>
      <c r="BZ102" s="693" t="n"/>
      <c r="CA102" s="693" t="n"/>
    </row>
    <row r="103">
      <c r="AA103" s="689" t="n"/>
      <c r="AB103" s="689" t="n"/>
      <c r="BZ103" s="693" t="n"/>
      <c r="CA103" s="693" t="n"/>
    </row>
    <row r="104">
      <c r="AA104" s="689" t="n"/>
      <c r="AB104" s="689" t="n"/>
      <c r="BZ104" s="693" t="n"/>
      <c r="CA104" s="693" t="n"/>
    </row>
    <row r="105">
      <c r="AA105" s="689" t="n"/>
      <c r="AB105" s="689" t="n"/>
      <c r="BZ105" s="693" t="n"/>
      <c r="CA105" s="693" t="n"/>
    </row>
    <row r="106">
      <c r="AA106" s="689" t="n"/>
      <c r="AB106" s="689" t="n"/>
      <c r="BZ106" s="693" t="n"/>
      <c r="CA106" s="693" t="n"/>
    </row>
    <row r="107">
      <c r="AA107" s="689" t="n"/>
      <c r="AB107" s="689" t="n"/>
      <c r="BZ107" s="693" t="n"/>
      <c r="CA107" s="693" t="n"/>
    </row>
    <row r="108">
      <c r="AA108" s="689" t="n"/>
      <c r="AB108" s="689" t="n"/>
      <c r="BZ108" s="693" t="n"/>
      <c r="CA108" s="693" t="n"/>
    </row>
    <row r="109">
      <c r="AA109" s="689" t="n"/>
      <c r="AB109" s="689" t="n"/>
      <c r="BZ109" s="693" t="n"/>
      <c r="CA109" s="693" t="n"/>
    </row>
    <row r="110">
      <c r="AA110" s="689" t="n"/>
      <c r="AB110" s="689" t="n"/>
      <c r="BZ110" s="693" t="n"/>
      <c r="CA110" s="693" t="n"/>
    </row>
    <row r="111">
      <c r="AA111" s="689" t="n"/>
      <c r="AB111" s="689" t="n"/>
      <c r="BZ111" s="693" t="n"/>
      <c r="CA111" s="693" t="n"/>
    </row>
    <row r="112">
      <c r="AA112" s="689" t="n"/>
      <c r="AB112" s="689" t="n"/>
      <c r="BZ112" s="693" t="n"/>
      <c r="CA112" s="693" t="n"/>
    </row>
    <row r="113">
      <c r="N113" s="406">
        <f>IF(OR(ISNUMBER($AE$48),ISNUMBER($AG$48),ISNUMBER($AI$48),ISNUMBER($AK$48)),VLOOKUP(MAX($AE$48:$AL$48),$AV$56:$AZ$59,1+IF(ISNUMBER($AE$48),$AE$46,IF(ISNUMBER($AG$48),$AG$46,IF(ISNUMBER($AI$48),$AI$46,IF(ISNUMBER($AK$48),$AK$46,"")))),FALSE),"")</f>
        <v/>
      </c>
      <c r="O113" s="405" t="n">
        <v>25</v>
      </c>
      <c r="P113" s="404" t="n">
        <v>3</v>
      </c>
      <c r="Q113" s="403" t="n">
        <v>2</v>
      </c>
      <c r="R113" s="404" t="n">
        <v>1</v>
      </c>
      <c r="S113" s="403" t="n">
        <v>2</v>
      </c>
      <c r="T113" s="402" t="n"/>
      <c r="AA113" s="689" t="n"/>
      <c r="AB113" s="689" t="n"/>
      <c r="BZ113" s="693" t="n"/>
      <c r="CA113" s="693" t="n"/>
    </row>
    <row r="114">
      <c r="N114" s="390" t="inlineStr">
        <is>
          <t>SE-SE</t>
        </is>
      </c>
      <c r="O114" s="390" t="n">
        <v>19</v>
      </c>
      <c r="P114" s="389">
        <f>$O$7</f>
        <v/>
      </c>
      <c r="Q114" s="389" t="inlineStr">
        <is>
          <t>S</t>
        </is>
      </c>
      <c r="R114" s="389">
        <f>$Q$7</f>
        <v/>
      </c>
      <c r="S114" s="389" t="inlineStr">
        <is>
          <t>W</t>
        </is>
      </c>
      <c r="T114" s="389">
        <f>IF($S$7=1,"Salt Lake","Uintah")</f>
        <v/>
      </c>
      <c r="AA114" s="689" t="n"/>
      <c r="AB114" s="689" t="n"/>
      <c r="BZ114" s="693" t="n"/>
      <c r="CA114" s="693" t="n"/>
    </row>
    <row r="115">
      <c r="N115" s="390" t="n"/>
      <c r="O115" s="390" t="n"/>
      <c r="P115" s="389">
        <f>$O$7</f>
        <v/>
      </c>
      <c r="Q115" s="389" t="inlineStr">
        <is>
          <t>S</t>
        </is>
      </c>
      <c r="R115" s="389">
        <f>$Q$7</f>
        <v/>
      </c>
      <c r="S115" s="389" t="inlineStr">
        <is>
          <t>W</t>
        </is>
      </c>
      <c r="T115" s="389">
        <f>IF($S$7=1,"Salt Lake","Uintah")</f>
        <v/>
      </c>
      <c r="AA115" s="689" t="n"/>
      <c r="AB115" s="689" t="n"/>
      <c r="BZ115" s="693" t="n"/>
      <c r="CA115" s="693" t="n"/>
    </row>
    <row r="116" ht="15.75" customHeight="1" s="613" thickBot="1">
      <c r="N116" s="382" t="inlineStr">
        <is>
          <t>SW-SE</t>
        </is>
      </c>
      <c r="O116" s="382" t="n">
        <v>36</v>
      </c>
      <c r="P116" s="381">
        <f>$O$7</f>
        <v/>
      </c>
      <c r="Q116" s="381" t="inlineStr">
        <is>
          <t>S</t>
        </is>
      </c>
      <c r="R116" s="381">
        <f>$Q$7</f>
        <v/>
      </c>
      <c r="S116" s="381" t="inlineStr">
        <is>
          <t>W</t>
        </is>
      </c>
      <c r="T116" s="381">
        <f>IF($S$7=1,"Salt Lake","Uintah")</f>
        <v/>
      </c>
      <c r="AA116" s="689" t="n"/>
      <c r="AB116" s="689" t="n"/>
      <c r="BZ116" s="693" t="n"/>
      <c r="CA116" s="693" t="n"/>
    </row>
    <row r="117">
      <c r="AA117" s="689" t="n"/>
      <c r="AB117" s="689" t="n"/>
      <c r="BZ117" s="693" t="n"/>
      <c r="CA117" s="693" t="n"/>
    </row>
    <row r="118">
      <c r="AA118" s="689" t="n"/>
      <c r="AB118" s="689" t="n"/>
      <c r="BZ118" s="693" t="n"/>
      <c r="CA118" s="693" t="n"/>
    </row>
    <row r="119">
      <c r="AA119" s="689" t="n"/>
      <c r="AB119" s="689" t="n"/>
      <c r="BZ119" s="693" t="n"/>
      <c r="CA119" s="693" t="n"/>
    </row>
    <row r="120">
      <c r="AA120" s="689" t="n"/>
      <c r="AB120" s="689" t="n"/>
      <c r="BZ120" s="693" t="n"/>
      <c r="CA120" s="693" t="n"/>
    </row>
    <row r="121">
      <c r="AA121" s="689" t="n"/>
      <c r="AB121" s="689" t="n"/>
      <c r="BZ121" s="693" t="n"/>
      <c r="CA121" s="693" t="n"/>
    </row>
    <row r="122">
      <c r="AA122" s="689" t="n"/>
      <c r="AB122" s="689" t="n"/>
      <c r="BZ122" s="693" t="n"/>
      <c r="CA122" s="693" t="n"/>
    </row>
    <row r="123">
      <c r="AA123" s="689" t="n"/>
      <c r="AB123" s="689" t="n"/>
      <c r="BZ123" s="693" t="n"/>
      <c r="CA123" s="693" t="n"/>
    </row>
    <row r="124">
      <c r="AA124" s="689" t="n"/>
      <c r="AB124" s="689" t="n"/>
      <c r="BZ124" s="693" t="n"/>
      <c r="CA124" s="693" t="n"/>
    </row>
    <row r="125">
      <c r="AA125" s="689" t="n"/>
      <c r="AB125" s="689" t="n"/>
      <c r="BZ125" s="693" t="n"/>
      <c r="CA125" s="693" t="n"/>
    </row>
    <row r="126">
      <c r="AA126" s="689" t="n"/>
      <c r="AB126" s="689" t="n"/>
      <c r="BZ126" s="693" t="n"/>
      <c r="CA126" s="693" t="n"/>
    </row>
    <row r="127">
      <c r="AA127" s="689" t="n"/>
      <c r="AB127" s="689" t="n"/>
      <c r="BZ127" s="693" t="n"/>
      <c r="CA127" s="693" t="n"/>
    </row>
    <row r="128">
      <c r="AA128" s="689" t="n"/>
      <c r="AB128" s="689" t="n"/>
      <c r="BZ128" s="693" t="n"/>
      <c r="CA128" s="693" t="n"/>
    </row>
    <row r="129">
      <c r="AA129" s="689" t="n"/>
      <c r="AB129" s="689" t="n"/>
      <c r="BZ129" s="693" t="n"/>
      <c r="CA129" s="693" t="n"/>
    </row>
    <row r="130">
      <c r="AA130" s="689" t="n"/>
      <c r="AB130" s="689" t="n"/>
      <c r="BZ130" s="693" t="n"/>
      <c r="CA130" s="693" t="n"/>
    </row>
    <row r="131">
      <c r="AA131" s="689" t="n"/>
      <c r="AB131" s="689" t="n"/>
      <c r="BZ131" s="693" t="n"/>
      <c r="CA131" s="693" t="n"/>
    </row>
    <row r="132">
      <c r="AA132" s="689" t="n"/>
      <c r="AB132" s="689" t="n"/>
      <c r="BZ132" s="693" t="n"/>
      <c r="CA132" s="693" t="n"/>
    </row>
    <row r="133">
      <c r="AA133" s="689" t="n"/>
      <c r="AB133" s="689" t="n"/>
      <c r="BZ133" s="693" t="n"/>
      <c r="CA133" s="693" t="n"/>
    </row>
    <row r="134">
      <c r="AA134" s="689" t="n"/>
      <c r="AB134" s="689" t="n"/>
      <c r="BZ134" s="693" t="n"/>
      <c r="CA134" s="693" t="n"/>
    </row>
    <row r="135">
      <c r="AA135" s="689" t="n"/>
      <c r="AB135" s="689" t="n"/>
      <c r="BZ135" s="693" t="n"/>
      <c r="CA135" s="693" t="n"/>
    </row>
    <row r="136">
      <c r="AA136" s="689" t="n"/>
      <c r="AB136" s="689" t="n"/>
      <c r="BZ136" s="693" t="n"/>
      <c r="CA136" s="693" t="n"/>
    </row>
    <row r="137">
      <c r="AA137" s="689" t="n"/>
      <c r="AB137" s="689" t="n"/>
      <c r="BZ137" s="693" t="n"/>
      <c r="CA137" s="693" t="n"/>
    </row>
    <row r="138">
      <c r="AA138" s="689" t="n"/>
      <c r="AB138" s="689" t="n"/>
      <c r="BZ138" s="693" t="n"/>
      <c r="CA138" s="693" t="n"/>
    </row>
    <row r="139">
      <c r="AA139" s="689" t="n"/>
      <c r="AB139" s="689" t="n"/>
      <c r="BZ139" s="693" t="n"/>
      <c r="CA139" s="693" t="n"/>
    </row>
    <row r="140">
      <c r="AA140" s="689" t="n"/>
      <c r="AB140" s="689" t="n"/>
      <c r="BZ140" s="693" t="n"/>
      <c r="CA140" s="693" t="n"/>
    </row>
    <row r="141">
      <c r="AA141" s="689" t="n"/>
      <c r="AB141" s="689" t="n"/>
      <c r="BZ141" s="693" t="n"/>
      <c r="CA141" s="693" t="n"/>
    </row>
    <row r="142">
      <c r="AA142" s="689" t="n"/>
      <c r="AB142" s="689" t="n"/>
      <c r="BZ142" s="693" t="n"/>
      <c r="CA142" s="693" t="n"/>
    </row>
    <row r="143">
      <c r="AA143" s="689" t="n"/>
      <c r="AB143" s="689" t="n"/>
      <c r="BZ143" s="693" t="n"/>
      <c r="CA143" s="693" t="n"/>
    </row>
    <row r="144">
      <c r="AA144" s="689" t="n"/>
      <c r="AB144" s="689" t="n"/>
      <c r="BZ144" s="693" t="n"/>
      <c r="CA144" s="693" t="n"/>
    </row>
    <row r="145">
      <c r="AA145" s="689" t="n"/>
      <c r="AB145" s="689" t="n"/>
      <c r="BZ145" s="693" t="n"/>
      <c r="CA145" s="693" t="n"/>
    </row>
    <row r="146">
      <c r="AA146" s="689" t="n"/>
      <c r="AB146" s="689" t="n"/>
      <c r="BZ146" s="693" t="n"/>
      <c r="CA146" s="693" t="n"/>
    </row>
    <row r="147">
      <c r="AA147" s="689" t="n"/>
      <c r="AB147" s="689" t="n"/>
      <c r="BZ147" s="693" t="n"/>
      <c r="CA147" s="693" t="n"/>
    </row>
    <row r="148">
      <c r="AA148" s="689" t="n"/>
      <c r="AB148" s="689" t="n"/>
      <c r="BZ148" s="693" t="n"/>
      <c r="CA148" s="693" t="n"/>
    </row>
    <row r="149">
      <c r="AA149" s="689" t="n"/>
      <c r="AB149" s="689" t="n"/>
      <c r="BZ149" s="693" t="n"/>
      <c r="CA149" s="693" t="n"/>
    </row>
    <row r="150">
      <c r="AA150" s="689" t="n"/>
      <c r="AB150" s="689" t="n"/>
      <c r="BZ150" s="693" t="n"/>
      <c r="CA150" s="693" t="n"/>
    </row>
    <row r="151">
      <c r="AA151" s="689" t="n"/>
      <c r="AB151" s="689" t="n"/>
      <c r="BZ151" s="693" t="n"/>
      <c r="CA151" s="693" t="n"/>
    </row>
    <row r="152">
      <c r="AA152" s="689" t="n"/>
      <c r="AB152" s="689" t="n"/>
      <c r="BZ152" s="693" t="n"/>
      <c r="CA152" s="693" t="n"/>
    </row>
    <row r="153">
      <c r="AA153" s="689" t="n"/>
      <c r="AB153" s="689" t="n"/>
      <c r="BZ153" s="693" t="n"/>
      <c r="CA153" s="693" t="n"/>
    </row>
    <row r="154">
      <c r="AA154" s="689" t="n"/>
      <c r="AB154" s="689" t="n"/>
      <c r="BZ154" s="693" t="n"/>
      <c r="CA154" s="693" t="n"/>
    </row>
    <row r="155">
      <c r="AA155" s="689" t="n"/>
      <c r="BZ155" s="693" t="n"/>
      <c r="CA155" s="693" t="n"/>
    </row>
    <row r="156">
      <c r="AA156" s="689" t="n"/>
    </row>
  </sheetData>
  <mergeCells count="135">
    <mergeCell ref="BL17:BM17"/>
    <mergeCell ref="BN17:BO17"/>
    <mergeCell ref="BX17:BY17"/>
    <mergeCell ref="BZ17:CA17"/>
    <mergeCell ref="AN5:AO5"/>
    <mergeCell ref="AK71:AL71"/>
    <mergeCell ref="AE47:AF47"/>
    <mergeCell ref="AK18:AL18"/>
    <mergeCell ref="AV17:AW17"/>
    <mergeCell ref="AC24:AD24"/>
    <mergeCell ref="BL24:BS24"/>
    <mergeCell ref="Q26:R26"/>
    <mergeCell ref="AO18:AP18"/>
    <mergeCell ref="AQ18:AR18"/>
    <mergeCell ref="AI50:AJ50"/>
    <mergeCell ref="AE82:AF82"/>
    <mergeCell ref="N12:Q12"/>
    <mergeCell ref="AS3:AS4"/>
    <mergeCell ref="AZ20:BC20"/>
    <mergeCell ref="AV24:BC24"/>
    <mergeCell ref="AE60:AF60"/>
    <mergeCell ref="AE68:AF68"/>
    <mergeCell ref="AG68:AH68"/>
    <mergeCell ref="AI68:AJ68"/>
    <mergeCell ref="AC36:AD36"/>
    <mergeCell ref="AG58:AH58"/>
    <mergeCell ref="AE45:AF45"/>
    <mergeCell ref="V56:W56"/>
    <mergeCell ref="BT20:BW20"/>
    <mergeCell ref="AI48:AJ48"/>
    <mergeCell ref="AK48:AL48"/>
    <mergeCell ref="AG60:AH60"/>
    <mergeCell ref="I6:J6"/>
    <mergeCell ref="AG69:AH69"/>
    <mergeCell ref="AI69:AJ69"/>
    <mergeCell ref="AE50:AF50"/>
    <mergeCell ref="AE46:AF46"/>
    <mergeCell ref="AG46:AH46"/>
    <mergeCell ref="AK47:AL47"/>
    <mergeCell ref="L38:M41"/>
    <mergeCell ref="AI5:AL5"/>
    <mergeCell ref="AC30:AD30"/>
    <mergeCell ref="BD17:BE17"/>
    <mergeCell ref="AI80:AJ80"/>
    <mergeCell ref="W39:X40"/>
    <mergeCell ref="E5:H5"/>
    <mergeCell ref="AI79:AJ79"/>
    <mergeCell ref="AK79:AL79"/>
    <mergeCell ref="BH17:BI17"/>
    <mergeCell ref="BJ17:BK17"/>
    <mergeCell ref="BT17:BU17"/>
    <mergeCell ref="BV17:BW17"/>
    <mergeCell ref="AE48:AF48"/>
    <mergeCell ref="AE57:AF57"/>
    <mergeCell ref="AK50:AL50"/>
    <mergeCell ref="AG57:AH57"/>
    <mergeCell ref="AG71:AH71"/>
    <mergeCell ref="G26:H26"/>
    <mergeCell ref="AI71:AJ71"/>
    <mergeCell ref="BD24:BK24"/>
    <mergeCell ref="AG18:AH18"/>
    <mergeCell ref="AC17:AT17"/>
    <mergeCell ref="B6:C6"/>
    <mergeCell ref="X5:AG10"/>
    <mergeCell ref="AI18:AJ18"/>
    <mergeCell ref="AI58:AJ58"/>
    <mergeCell ref="T5:V5"/>
    <mergeCell ref="BL20:BO20"/>
    <mergeCell ref="K6:L6"/>
    <mergeCell ref="AM18:AN18"/>
    <mergeCell ref="BP20:BS20"/>
    <mergeCell ref="AI57:AJ57"/>
    <mergeCell ref="BT24:CA24"/>
    <mergeCell ref="B7:C7"/>
    <mergeCell ref="G42:H42"/>
    <mergeCell ref="V23:W23"/>
    <mergeCell ref="Q42:R42"/>
    <mergeCell ref="AQ3:AQ4"/>
    <mergeCell ref="B56:C56"/>
    <mergeCell ref="AV20:AY20"/>
    <mergeCell ref="AI60:AJ60"/>
    <mergeCell ref="AI6:AJ6"/>
    <mergeCell ref="AG80:AH80"/>
    <mergeCell ref="AC42:AD42"/>
    <mergeCell ref="AG48:AH48"/>
    <mergeCell ref="AX17:AY17"/>
    <mergeCell ref="E6:F6"/>
    <mergeCell ref="BP17:BQ17"/>
    <mergeCell ref="AG45:AH45"/>
    <mergeCell ref="C2:G2"/>
    <mergeCell ref="AI46:AJ46"/>
    <mergeCell ref="AK46:AL46"/>
    <mergeCell ref="B9:C9"/>
    <mergeCell ref="AG47:AH47"/>
    <mergeCell ref="AI47:AJ47"/>
    <mergeCell ref="AZ17:BA17"/>
    <mergeCell ref="BB17:BC17"/>
    <mergeCell ref="X3:Y4"/>
    <mergeCell ref="AE79:AF79"/>
    <mergeCell ref="AS18:AT18"/>
    <mergeCell ref="AG79:AH79"/>
    <mergeCell ref="BF17:BG17"/>
    <mergeCell ref="AG82:AH82"/>
    <mergeCell ref="AI82:AJ82"/>
    <mergeCell ref="AK82:AL82"/>
    <mergeCell ref="BR17:BS17"/>
    <mergeCell ref="AK57:AL57"/>
    <mergeCell ref="AG50:AH50"/>
    <mergeCell ref="C3:G3"/>
    <mergeCell ref="AE71:AF71"/>
    <mergeCell ref="BD20:BG20"/>
    <mergeCell ref="AE18:AF18"/>
    <mergeCell ref="AE58:AF58"/>
    <mergeCell ref="AK68:AL68"/>
    <mergeCell ref="B23:C23"/>
    <mergeCell ref="AK58:AL58"/>
    <mergeCell ref="BH20:BK20"/>
    <mergeCell ref="G6:H6"/>
    <mergeCell ref="L23:M23"/>
    <mergeCell ref="B8:C8"/>
    <mergeCell ref="AI45:AJ45"/>
    <mergeCell ref="AK45:AL45"/>
    <mergeCell ref="A39:B40"/>
    <mergeCell ref="BX20:CA20"/>
    <mergeCell ref="AK60:AL60"/>
    <mergeCell ref="AK69:AL69"/>
    <mergeCell ref="B10:C10"/>
    <mergeCell ref="AE69:AF69"/>
    <mergeCell ref="L56:M56"/>
    <mergeCell ref="AK6:AL6"/>
    <mergeCell ref="AK80:AL80"/>
    <mergeCell ref="AE80:AF80"/>
    <mergeCell ref="AP3:AP4"/>
    <mergeCell ref="AR3:AR4"/>
    <mergeCell ref="I5:L5"/>
  </mergeCells>
  <conditionalFormatting sqref="AE52:AF52">
    <cfRule type="expression" priority="185" dxfId="46">
      <formula>$AE48=1</formula>
    </cfRule>
  </conditionalFormatting>
  <conditionalFormatting sqref="AG52:AH52">
    <cfRule type="expression" priority="184" dxfId="46">
      <formula>$AG48=1</formula>
    </cfRule>
  </conditionalFormatting>
  <conditionalFormatting sqref="AI52:AJ52">
    <cfRule type="expression" priority="183" dxfId="46">
      <formula>$AI48=1</formula>
    </cfRule>
  </conditionalFormatting>
  <conditionalFormatting sqref="AK52:AL52">
    <cfRule type="expression" priority="182" dxfId="46">
      <formula>$AK48=1</formula>
    </cfRule>
  </conditionalFormatting>
  <conditionalFormatting sqref="AE53:AF53">
    <cfRule type="expression" priority="181" dxfId="46">
      <formula>$AE48=2</formula>
    </cfRule>
  </conditionalFormatting>
  <conditionalFormatting sqref="AG53:AH53">
    <cfRule type="expression" priority="180" dxfId="46">
      <formula>$AG48=2</formula>
    </cfRule>
  </conditionalFormatting>
  <conditionalFormatting sqref="AI53:AJ53">
    <cfRule type="expression" priority="179" dxfId="46">
      <formula>$AI48=2</formula>
    </cfRule>
  </conditionalFormatting>
  <conditionalFormatting sqref="AK53:AL53">
    <cfRule type="expression" priority="178" dxfId="46">
      <formula>$AK48=2</formula>
    </cfRule>
  </conditionalFormatting>
  <conditionalFormatting sqref="AE54:AF54">
    <cfRule type="expression" priority="177" dxfId="46">
      <formula>$AE48=3</formula>
    </cfRule>
  </conditionalFormatting>
  <conditionalFormatting sqref="AG54:AH54">
    <cfRule type="expression" priority="176" dxfId="46">
      <formula>$AG48=3</formula>
    </cfRule>
  </conditionalFormatting>
  <conditionalFormatting sqref="AI54:AJ54">
    <cfRule type="expression" priority="175" dxfId="46">
      <formula>$AI48=3</formula>
    </cfRule>
  </conditionalFormatting>
  <conditionalFormatting sqref="AK54:AL54">
    <cfRule type="expression" priority="174" dxfId="46">
      <formula>$AK48=3</formula>
    </cfRule>
  </conditionalFormatting>
  <conditionalFormatting sqref="AE55:AF55">
    <cfRule type="expression" priority="173" dxfId="46">
      <formula>$AE48=4</formula>
    </cfRule>
  </conditionalFormatting>
  <conditionalFormatting sqref="AG55:AH55">
    <cfRule type="expression" priority="172" dxfId="46">
      <formula>$AG48=4</formula>
    </cfRule>
  </conditionalFormatting>
  <conditionalFormatting sqref="AI55:AJ55">
    <cfRule type="expression" priority="171" dxfId="46">
      <formula>$AI48=4</formula>
    </cfRule>
  </conditionalFormatting>
  <conditionalFormatting sqref="AK55:AL55">
    <cfRule type="expression" priority="170" dxfId="46">
      <formula>$AK48=4</formula>
    </cfRule>
  </conditionalFormatting>
  <conditionalFormatting sqref="AE65:AF65">
    <cfRule type="expression" priority="169" dxfId="46">
      <formula>$AE$58=4</formula>
    </cfRule>
  </conditionalFormatting>
  <conditionalFormatting sqref="AG65:AH65">
    <cfRule type="expression" priority="168" dxfId="46">
      <formula>$AG$58=4</formula>
    </cfRule>
  </conditionalFormatting>
  <conditionalFormatting sqref="AI65:AJ65">
    <cfRule type="expression" priority="167" dxfId="46">
      <formula>$AI$58=4</formula>
    </cfRule>
  </conditionalFormatting>
  <conditionalFormatting sqref="AK65:AL65">
    <cfRule type="expression" priority="166" dxfId="46">
      <formula>$AK$58=4</formula>
    </cfRule>
  </conditionalFormatting>
  <conditionalFormatting sqref="AE64:AF64">
    <cfRule type="expression" priority="165" dxfId="46">
      <formula>$AE$58=3</formula>
    </cfRule>
  </conditionalFormatting>
  <conditionalFormatting sqref="AG64:AH64">
    <cfRule type="expression" priority="164" dxfId="46">
      <formula>$AG$58=3</formula>
    </cfRule>
  </conditionalFormatting>
  <conditionalFormatting sqref="AI64:AJ64">
    <cfRule type="expression" priority="163" dxfId="46">
      <formula>$AI$58=3</formula>
    </cfRule>
  </conditionalFormatting>
  <conditionalFormatting sqref="AK64:AL64">
    <cfRule type="expression" priority="162" dxfId="46">
      <formula>$AK$58=3</formula>
    </cfRule>
  </conditionalFormatting>
  <conditionalFormatting sqref="AE63:AF63">
    <cfRule type="expression" priority="161" dxfId="46">
      <formula>$AE$58=2</formula>
    </cfRule>
  </conditionalFormatting>
  <conditionalFormatting sqref="AG63:AH63">
    <cfRule type="expression" priority="160" dxfId="46">
      <formula>$AG$58=2</formula>
    </cfRule>
  </conditionalFormatting>
  <conditionalFormatting sqref="AI63:AJ63">
    <cfRule type="expression" priority="159" dxfId="46">
      <formula>$AI$58=2</formula>
    </cfRule>
  </conditionalFormatting>
  <conditionalFormatting sqref="AK63:AL63">
    <cfRule type="expression" priority="158" dxfId="46">
      <formula>$AK$58=2</formula>
    </cfRule>
  </conditionalFormatting>
  <conditionalFormatting sqref="AE62:AF62">
    <cfRule type="expression" priority="157" dxfId="46">
      <formula>$AE$58=1</formula>
    </cfRule>
  </conditionalFormatting>
  <conditionalFormatting sqref="AG62:AH62">
    <cfRule type="expression" priority="156" dxfId="46">
      <formula>$AG$58=1</formula>
    </cfRule>
  </conditionalFormatting>
  <conditionalFormatting sqref="AI62:AJ62">
    <cfRule type="expression" priority="155" dxfId="46">
      <formula>$AI$58=1</formula>
    </cfRule>
  </conditionalFormatting>
  <conditionalFormatting sqref="AK62:AL62">
    <cfRule type="expression" priority="154" dxfId="46">
      <formula>$AK$58=1</formula>
    </cfRule>
  </conditionalFormatting>
  <conditionalFormatting sqref="AE74:AF74">
    <cfRule type="expression" priority="153" dxfId="46">
      <formula>$AE$69=2</formula>
    </cfRule>
  </conditionalFormatting>
  <conditionalFormatting sqref="AE73:AF73">
    <cfRule type="expression" priority="152" dxfId="46">
      <formula>$AE$69=1</formula>
    </cfRule>
  </conditionalFormatting>
  <conditionalFormatting sqref="AE87:AF87">
    <cfRule type="expression" priority="151" dxfId="46">
      <formula>$AE$80=4</formula>
    </cfRule>
  </conditionalFormatting>
  <conditionalFormatting sqref="AG87:AH87">
    <cfRule type="expression" priority="150" dxfId="46">
      <formula>$AG$80=4</formula>
    </cfRule>
  </conditionalFormatting>
  <conditionalFormatting sqref="AI87:AJ87">
    <cfRule type="expression" priority="149" dxfId="46">
      <formula>$AI$80=4</formula>
    </cfRule>
  </conditionalFormatting>
  <conditionalFormatting sqref="AK87:AL87">
    <cfRule type="expression" priority="148" dxfId="46">
      <formula>$AK$80=4</formula>
    </cfRule>
  </conditionalFormatting>
  <conditionalFormatting sqref="AE86:AF86">
    <cfRule type="expression" priority="147" dxfId="46">
      <formula>$AE$80=3</formula>
    </cfRule>
  </conditionalFormatting>
  <conditionalFormatting sqref="AG86:AH86">
    <cfRule type="expression" priority="146" dxfId="46">
      <formula>$AG$80=3</formula>
    </cfRule>
  </conditionalFormatting>
  <conditionalFormatting sqref="AI86:AJ86">
    <cfRule type="expression" priority="145" dxfId="46">
      <formula>$AI$80=3</formula>
    </cfRule>
  </conditionalFormatting>
  <conditionalFormatting sqref="AK86:AL86">
    <cfRule type="expression" priority="144" dxfId="46">
      <formula>$AK$80=3</formula>
    </cfRule>
  </conditionalFormatting>
  <conditionalFormatting sqref="AE85:AF85">
    <cfRule type="expression" priority="143" dxfId="46">
      <formula>$AE$80=2</formula>
    </cfRule>
  </conditionalFormatting>
  <conditionalFormatting sqref="AG85:AH85">
    <cfRule type="expression" priority="142" dxfId="46">
      <formula>$AG$80=2</formula>
    </cfRule>
  </conditionalFormatting>
  <conditionalFormatting sqref="AI85:AJ85">
    <cfRule type="expression" priority="141" dxfId="46">
      <formula>$AI$80=2</formula>
    </cfRule>
  </conditionalFormatting>
  <conditionalFormatting sqref="AK85:AL85">
    <cfRule type="expression" priority="140" dxfId="46">
      <formula>$AK$80=2</formula>
    </cfRule>
  </conditionalFormatting>
  <conditionalFormatting sqref="AE84:AF84">
    <cfRule type="expression" priority="139" dxfId="46">
      <formula>$AE$80=1</formula>
    </cfRule>
  </conditionalFormatting>
  <conditionalFormatting sqref="AG84:AH84">
    <cfRule type="expression" priority="138" dxfId="46">
      <formula>$AG$80=1</formula>
    </cfRule>
  </conditionalFormatting>
  <conditionalFormatting sqref="AI84:AJ84">
    <cfRule type="expression" priority="137" dxfId="46">
      <formula>$AI$80=1</formula>
    </cfRule>
  </conditionalFormatting>
  <conditionalFormatting sqref="AK84:AL84">
    <cfRule type="expression" priority="136" dxfId="46">
      <formula>$AK$80=1</formula>
    </cfRule>
  </conditionalFormatting>
  <conditionalFormatting sqref="AE48:AF48">
    <cfRule type="cellIs" priority="135" operator="between" dxfId="46">
      <formula>1</formula>
      <formula>4</formula>
    </cfRule>
  </conditionalFormatting>
  <conditionalFormatting sqref="AG48:AH48">
    <cfRule type="cellIs" priority="134" operator="between" dxfId="46">
      <formula>1</formula>
      <formula>4</formula>
    </cfRule>
  </conditionalFormatting>
  <conditionalFormatting sqref="AI48:AJ48">
    <cfRule type="cellIs" priority="133" operator="between" dxfId="46">
      <formula>1</formula>
      <formula>4</formula>
    </cfRule>
  </conditionalFormatting>
  <conditionalFormatting sqref="AK48:AL48">
    <cfRule type="cellIs" priority="132" operator="between" dxfId="46">
      <formula>1</formula>
      <formula>4</formula>
    </cfRule>
  </conditionalFormatting>
  <conditionalFormatting sqref="AE75:AF75">
    <cfRule type="expression" priority="131" dxfId="46">
      <formula>$AE$69=3</formula>
    </cfRule>
  </conditionalFormatting>
  <conditionalFormatting sqref="AE76:AF76">
    <cfRule type="expression" priority="130" dxfId="46">
      <formula>$AE$69=4</formula>
    </cfRule>
  </conditionalFormatting>
  <conditionalFormatting sqref="AG74:AH74">
    <cfRule type="expression" priority="129" dxfId="46">
      <formula>$AG$69=2</formula>
    </cfRule>
  </conditionalFormatting>
  <conditionalFormatting sqref="AG73:AH73">
    <cfRule type="expression" priority="128" dxfId="46">
      <formula>$AG$69=1</formula>
    </cfRule>
  </conditionalFormatting>
  <conditionalFormatting sqref="AG75:AH75">
    <cfRule type="expression" priority="127" dxfId="46">
      <formula>$AG$69=3</formula>
    </cfRule>
  </conditionalFormatting>
  <conditionalFormatting sqref="AG76:AH76">
    <cfRule type="expression" priority="126" dxfId="46">
      <formula>$AG$69=4</formula>
    </cfRule>
  </conditionalFormatting>
  <conditionalFormatting sqref="AI74:AJ74">
    <cfRule type="expression" priority="125" dxfId="46">
      <formula>$AI$69=2</formula>
    </cfRule>
  </conditionalFormatting>
  <conditionalFormatting sqref="AI73:AJ73">
    <cfRule type="expression" priority="124" dxfId="46">
      <formula>$AI$69=1</formula>
    </cfRule>
  </conditionalFormatting>
  <conditionalFormatting sqref="AI75:AJ75">
    <cfRule type="expression" priority="123" dxfId="46">
      <formula>$AI$69=3</formula>
    </cfRule>
  </conditionalFormatting>
  <conditionalFormatting sqref="AI76:AJ76">
    <cfRule type="expression" priority="122" dxfId="46">
      <formula>$AI$69=4</formula>
    </cfRule>
  </conditionalFormatting>
  <conditionalFormatting sqref="AK74:AL74">
    <cfRule type="expression" priority="121" dxfId="46">
      <formula>$AK$69=2</formula>
    </cfRule>
  </conditionalFormatting>
  <conditionalFormatting sqref="AK73:AL73">
    <cfRule type="expression" priority="120" dxfId="46">
      <formula>$AK$69=1</formula>
    </cfRule>
  </conditionalFormatting>
  <conditionalFormatting sqref="AK75:AL75">
    <cfRule type="expression" priority="119" dxfId="46">
      <formula>$AK$69=3</formula>
    </cfRule>
  </conditionalFormatting>
  <conditionalFormatting sqref="AK76:AL76">
    <cfRule type="expression" priority="118" dxfId="46">
      <formula>$AK$69=4</formula>
    </cfRule>
  </conditionalFormatting>
  <conditionalFormatting sqref="AI58:AJ58">
    <cfRule type="cellIs" priority="117" operator="between" dxfId="46">
      <formula>1</formula>
      <formula>4</formula>
    </cfRule>
  </conditionalFormatting>
  <conditionalFormatting sqref="AE58:AH58">
    <cfRule type="cellIs" priority="116" operator="between" dxfId="46">
      <formula>1</formula>
      <formula>4</formula>
    </cfRule>
  </conditionalFormatting>
  <conditionalFormatting sqref="AK58:AL58">
    <cfRule type="cellIs" priority="115" operator="between" dxfId="46">
      <formula>1</formula>
      <formula>4</formula>
    </cfRule>
  </conditionalFormatting>
  <conditionalFormatting sqref="AI69:AJ69">
    <cfRule type="cellIs" priority="114" operator="between" dxfId="46">
      <formula>1</formula>
      <formula>4</formula>
    </cfRule>
  </conditionalFormatting>
  <conditionalFormatting sqref="AE69:AH69">
    <cfRule type="cellIs" priority="113" operator="between" dxfId="46">
      <formula>1</formula>
      <formula>4</formula>
    </cfRule>
  </conditionalFormatting>
  <conditionalFormatting sqref="AK69:AL69">
    <cfRule type="cellIs" priority="112" operator="between" dxfId="46">
      <formula>1</formula>
      <formula>4</formula>
    </cfRule>
  </conditionalFormatting>
  <conditionalFormatting sqref="AI80:AJ80">
    <cfRule type="cellIs" priority="111" operator="between" dxfId="46">
      <formula>1</formula>
      <formula>4</formula>
    </cfRule>
  </conditionalFormatting>
  <conditionalFormatting sqref="AE80:AH80">
    <cfRule type="cellIs" priority="110" operator="between" dxfId="46">
      <formula>1</formula>
      <formula>4</formula>
    </cfRule>
  </conditionalFormatting>
  <conditionalFormatting sqref="AK80:AL80">
    <cfRule type="cellIs" priority="109" operator="between" dxfId="46">
      <formula>1</formula>
      <formula>4</formula>
    </cfRule>
  </conditionalFormatting>
  <conditionalFormatting sqref="L38:M41">
    <cfRule type="expression" priority="107" dxfId="45">
      <formula>$CD$20&gt;3</formula>
    </cfRule>
    <cfRule type="expression" priority="108" dxfId="44">
      <formula>$CD$20&lt;0.1</formula>
    </cfRule>
  </conditionalFormatting>
  <conditionalFormatting sqref="AN65:AO65">
    <cfRule type="expression" priority="106" dxfId="46">
      <formula>$AE$58=4</formula>
    </cfRule>
  </conditionalFormatting>
  <conditionalFormatting sqref="AP65:AQ65">
    <cfRule type="expression" priority="105" dxfId="46">
      <formula>$AG$58=4</formula>
    </cfRule>
  </conditionalFormatting>
  <conditionalFormatting sqref="AR65:AS65">
    <cfRule type="expression" priority="104" dxfId="46">
      <formula>$AI$58=4</formula>
    </cfRule>
  </conditionalFormatting>
  <conditionalFormatting sqref="AT65:AU65">
    <cfRule type="expression" priority="103" dxfId="46">
      <formula>$AK$58=4</formula>
    </cfRule>
  </conditionalFormatting>
  <conditionalFormatting sqref="AN64:AO64">
    <cfRule type="expression" priority="102" dxfId="46">
      <formula>$AE$58=3</formula>
    </cfRule>
  </conditionalFormatting>
  <conditionalFormatting sqref="AP64:AQ64">
    <cfRule type="expression" priority="101" dxfId="46">
      <formula>$AG$58=3</formula>
    </cfRule>
  </conditionalFormatting>
  <conditionalFormatting sqref="AR64:AS64">
    <cfRule type="expression" priority="100" dxfId="46">
      <formula>$AI$58=3</formula>
    </cfRule>
  </conditionalFormatting>
  <conditionalFormatting sqref="AT64:AU64">
    <cfRule type="expression" priority="99" dxfId="46">
      <formula>$AK$58=3</formula>
    </cfRule>
  </conditionalFormatting>
  <conditionalFormatting sqref="AN63:AO63">
    <cfRule type="expression" priority="98" dxfId="46">
      <formula>$AE$58=2</formula>
    </cfRule>
  </conditionalFormatting>
  <conditionalFormatting sqref="AP63:AQ63">
    <cfRule type="expression" priority="97" dxfId="46">
      <formula>$AG$58=2</formula>
    </cfRule>
  </conditionalFormatting>
  <conditionalFormatting sqref="AR63:AS63">
    <cfRule type="expression" priority="96" dxfId="46">
      <formula>$AI$58=2</formula>
    </cfRule>
  </conditionalFormatting>
  <conditionalFormatting sqref="AT63:AU63">
    <cfRule type="expression" priority="95" dxfId="46">
      <formula>$AK$58=2</formula>
    </cfRule>
  </conditionalFormatting>
  <conditionalFormatting sqref="AN62:AO62">
    <cfRule type="expression" priority="94" dxfId="46">
      <formula>$AE$58=1</formula>
    </cfRule>
  </conditionalFormatting>
  <conditionalFormatting sqref="AP62:AQ62">
    <cfRule type="expression" priority="93" dxfId="46">
      <formula>$AG$58=1</formula>
    </cfRule>
  </conditionalFormatting>
  <conditionalFormatting sqref="AR62:AS62">
    <cfRule type="expression" priority="92" dxfId="46">
      <formula>$AI$58=1</formula>
    </cfRule>
  </conditionalFormatting>
  <conditionalFormatting sqref="AT62:AU62">
    <cfRule type="expression" priority="91" dxfId="46">
      <formula>$AK$58=1</formula>
    </cfRule>
  </conditionalFormatting>
  <conditionalFormatting sqref="AN74:AO74">
    <cfRule type="expression" priority="90" dxfId="46">
      <formula>$AE$69=2</formula>
    </cfRule>
  </conditionalFormatting>
  <conditionalFormatting sqref="AN73:AO73">
    <cfRule type="expression" priority="89" dxfId="46">
      <formula>$AE$69=1</formula>
    </cfRule>
  </conditionalFormatting>
  <conditionalFormatting sqref="AN75:AO75">
    <cfRule type="expression" priority="88" dxfId="46">
      <formula>$AE$69=3</formula>
    </cfRule>
  </conditionalFormatting>
  <conditionalFormatting sqref="AN76:AO76">
    <cfRule type="expression" priority="87" dxfId="46">
      <formula>$AE$69=4</formula>
    </cfRule>
  </conditionalFormatting>
  <conditionalFormatting sqref="AP74:AQ74">
    <cfRule type="expression" priority="86" dxfId="46">
      <formula>$AG$69=2</formula>
    </cfRule>
  </conditionalFormatting>
  <conditionalFormatting sqref="AP73:AQ73">
    <cfRule type="expression" priority="85" dxfId="46">
      <formula>$AG$69=1</formula>
    </cfRule>
  </conditionalFormatting>
  <conditionalFormatting sqref="AP75:AQ75">
    <cfRule type="expression" priority="84" dxfId="46">
      <formula>$AG$69=3</formula>
    </cfRule>
  </conditionalFormatting>
  <conditionalFormatting sqref="AP76:AQ76">
    <cfRule type="expression" priority="83" dxfId="46">
      <formula>$AG$69=4</formula>
    </cfRule>
  </conditionalFormatting>
  <conditionalFormatting sqref="AR74:AS74">
    <cfRule type="expression" priority="82" dxfId="46">
      <formula>$AI$69=2</formula>
    </cfRule>
  </conditionalFormatting>
  <conditionalFormatting sqref="AR73:AS73">
    <cfRule type="expression" priority="81" dxfId="46">
      <formula>$AI$69=1</formula>
    </cfRule>
  </conditionalFormatting>
  <conditionalFormatting sqref="AR75:AS75">
    <cfRule type="expression" priority="80" dxfId="46">
      <formula>$AI$69=3</formula>
    </cfRule>
  </conditionalFormatting>
  <conditionalFormatting sqref="AR76:AS76">
    <cfRule type="expression" priority="79" dxfId="46">
      <formula>$AI$69=4</formula>
    </cfRule>
  </conditionalFormatting>
  <conditionalFormatting sqref="AT74:AU74">
    <cfRule type="expression" priority="78" dxfId="46">
      <formula>$AK$69=2</formula>
    </cfRule>
  </conditionalFormatting>
  <conditionalFormatting sqref="AT73:AU73">
    <cfRule type="expression" priority="77" dxfId="46">
      <formula>$AK$69=1</formula>
    </cfRule>
  </conditionalFormatting>
  <conditionalFormatting sqref="AT75:AU75">
    <cfRule type="expression" priority="76" dxfId="46">
      <formula>$AK$69=3</formula>
    </cfRule>
  </conditionalFormatting>
  <conditionalFormatting sqref="AT76:AU76">
    <cfRule type="expression" priority="75" dxfId="46">
      <formula>$AK$69=4</formula>
    </cfRule>
  </conditionalFormatting>
  <conditionalFormatting sqref="AN85:AO85">
    <cfRule type="expression" priority="74" dxfId="46">
      <formula>$AE$80=2</formula>
    </cfRule>
  </conditionalFormatting>
  <conditionalFormatting sqref="AN84:AO84">
    <cfRule type="expression" priority="73" dxfId="46">
      <formula>$AE$80=1</formula>
    </cfRule>
  </conditionalFormatting>
  <conditionalFormatting sqref="AN86:AO86">
    <cfRule type="expression" priority="72" dxfId="46">
      <formula>$AE$80=3</formula>
    </cfRule>
  </conditionalFormatting>
  <conditionalFormatting sqref="AN87:AO87">
    <cfRule type="expression" priority="71" dxfId="46">
      <formula>$AE$80=4</formula>
    </cfRule>
  </conditionalFormatting>
  <conditionalFormatting sqref="AP85:AQ85">
    <cfRule type="expression" priority="70" dxfId="46">
      <formula>$AG$80=2</formula>
    </cfRule>
  </conditionalFormatting>
  <conditionalFormatting sqref="AP84:AQ84">
    <cfRule type="expression" priority="69" dxfId="46">
      <formula>$AG$80=1</formula>
    </cfRule>
  </conditionalFormatting>
  <conditionalFormatting sqref="AP86:AQ86">
    <cfRule type="expression" priority="68" dxfId="46">
      <formula>$AG$80=3</formula>
    </cfRule>
  </conditionalFormatting>
  <conditionalFormatting sqref="AP87:AQ87">
    <cfRule type="expression" priority="67" dxfId="46">
      <formula>$AG$80=4</formula>
    </cfRule>
  </conditionalFormatting>
  <conditionalFormatting sqref="AR85:AS85">
    <cfRule type="expression" priority="66" dxfId="46">
      <formula>$AI$80=2</formula>
    </cfRule>
  </conditionalFormatting>
  <conditionalFormatting sqref="AR84:AS84">
    <cfRule type="expression" priority="65" dxfId="46">
      <formula>$AI$80=1</formula>
    </cfRule>
  </conditionalFormatting>
  <conditionalFormatting sqref="AR86:AS86">
    <cfRule type="expression" priority="64" dxfId="46">
      <formula>$AI$80=3</formula>
    </cfRule>
  </conditionalFormatting>
  <conditionalFormatting sqref="AR87:AS87">
    <cfRule type="expression" priority="63" dxfId="46">
      <formula>$AI$80=4</formula>
    </cfRule>
  </conditionalFormatting>
  <conditionalFormatting sqref="AT85:AU85">
    <cfRule type="expression" priority="62" dxfId="46">
      <formula>$AK$80=2</formula>
    </cfRule>
  </conditionalFormatting>
  <conditionalFormatting sqref="AT84:AU84">
    <cfRule type="expression" priority="61" dxfId="46">
      <formula>$AK$80=1</formula>
    </cfRule>
  </conditionalFormatting>
  <conditionalFormatting sqref="AT86:AU86">
    <cfRule type="expression" priority="60" dxfId="46">
      <formula>$AK$80=3</formula>
    </cfRule>
  </conditionalFormatting>
  <conditionalFormatting sqref="AT87:AU87">
    <cfRule type="expression" priority="59" dxfId="46">
      <formula>$AK$80=4</formula>
    </cfRule>
  </conditionalFormatting>
  <conditionalFormatting sqref="M67:R67">
    <cfRule type="expression" priority="27" dxfId="0">
      <formula>" =MOD(ROW(),8)=0"</formula>
    </cfRule>
  </conditionalFormatting>
  <conditionalFormatting sqref="M69:R69">
    <cfRule type="expression" priority="26" dxfId="0">
      <formula>" =MOD(ROW(),8)=0"</formula>
    </cfRule>
  </conditionalFormatting>
  <conditionalFormatting sqref="M71:R71">
    <cfRule type="expression" priority="25" dxfId="0">
      <formula>" =MOD(ROW(),8)=0"</formula>
    </cfRule>
  </conditionalFormatting>
  <conditionalFormatting sqref="M73:R73">
    <cfRule type="expression" priority="24" dxfId="0">
      <formula>" =MOD(ROW(),8)=0"</formula>
    </cfRule>
  </conditionalFormatting>
  <conditionalFormatting sqref="C75:H75">
    <cfRule type="expression" priority="23" dxfId="0">
      <formula>" =MOD(ROW(),8)=0"</formula>
    </cfRule>
  </conditionalFormatting>
  <conditionalFormatting sqref="C77:G77">
    <cfRule type="expression" priority="22" dxfId="0">
      <formula>" =MOD(ROW(),8)=0"</formula>
    </cfRule>
  </conditionalFormatting>
  <conditionalFormatting sqref="C79:G79">
    <cfRule type="expression" priority="21" dxfId="0">
      <formula>" =MOD(ROW(),8)=0"</formula>
    </cfRule>
  </conditionalFormatting>
  <conditionalFormatting sqref="C81:G81">
    <cfRule type="expression" priority="20" dxfId="0">
      <formula>" =MOD(ROW(),8)=0"</formula>
    </cfRule>
  </conditionalFormatting>
  <conditionalFormatting sqref="M75:R75">
    <cfRule type="expression" priority="19" dxfId="0">
      <formula>" =MOD(ROW(),8)=0"</formula>
    </cfRule>
  </conditionalFormatting>
  <conditionalFormatting sqref="M77:R77">
    <cfRule type="expression" priority="18" dxfId="0">
      <formula>" =MOD(ROW(),8)=0"</formula>
    </cfRule>
  </conditionalFormatting>
  <conditionalFormatting sqref="M79:R79">
    <cfRule type="expression" priority="17" dxfId="0">
      <formula>" =MOD(ROW(),8)=0"</formula>
    </cfRule>
  </conditionalFormatting>
  <conditionalFormatting sqref="M81:R81">
    <cfRule type="expression" priority="16" dxfId="0">
      <formula>" =MOD(ROW(),8)=0"</formula>
    </cfRule>
  </conditionalFormatting>
  <conditionalFormatting sqref="B69">
    <cfRule type="expression" priority="15" dxfId="0">
      <formula>" =MOD(ROW(),8)=0"</formula>
    </cfRule>
  </conditionalFormatting>
  <conditionalFormatting sqref="B71">
    <cfRule type="expression" priority="14" dxfId="0">
      <formula>" =MOD(ROW(),8)=0"</formula>
    </cfRule>
  </conditionalFormatting>
  <conditionalFormatting sqref="B73">
    <cfRule type="expression" priority="13" dxfId="0">
      <formula>" =MOD(ROW(),8)=0"</formula>
    </cfRule>
  </conditionalFormatting>
  <conditionalFormatting sqref="B75">
    <cfRule type="expression" priority="12" dxfId="0">
      <formula>" =MOD(ROW(),8)=0"</formula>
    </cfRule>
  </conditionalFormatting>
  <conditionalFormatting sqref="B77">
    <cfRule type="expression" priority="11" dxfId="0">
      <formula>" =MOD(ROW(),8)=0"</formula>
    </cfRule>
  </conditionalFormatting>
  <conditionalFormatting sqref="B79">
    <cfRule type="expression" priority="10" dxfId="0">
      <formula>" =MOD(ROW(),8)=0"</formula>
    </cfRule>
  </conditionalFormatting>
  <conditionalFormatting sqref="B81">
    <cfRule type="expression" priority="9" dxfId="0">
      <formula>" =MOD(ROW(),8)=0"</formula>
    </cfRule>
  </conditionalFormatting>
  <conditionalFormatting sqref="L81">
    <cfRule type="expression" priority="8" dxfId="0">
      <formula>" =MOD(ROW(),8)=0"</formula>
    </cfRule>
  </conditionalFormatting>
  <conditionalFormatting sqref="L79">
    <cfRule type="expression" priority="7" dxfId="0">
      <formula>" =MOD(ROW(),8)=0"</formula>
    </cfRule>
  </conditionalFormatting>
  <conditionalFormatting sqref="L77">
    <cfRule type="expression" priority="6" dxfId="0">
      <formula>" =MOD(ROW(),8)=0"</formula>
    </cfRule>
  </conditionalFormatting>
  <conditionalFormatting sqref="L75">
    <cfRule type="expression" priority="5" dxfId="0">
      <formula>" =MOD(ROW(),8)=0"</formula>
    </cfRule>
  </conditionalFormatting>
  <conditionalFormatting sqref="L73">
    <cfRule type="expression" priority="4" dxfId="0">
      <formula>" =MOD(ROW(),8)=0"</formula>
    </cfRule>
  </conditionalFormatting>
  <conditionalFormatting sqref="L71">
    <cfRule type="expression" priority="3" dxfId="0">
      <formula>" =MOD(ROW(),8)=0"</formula>
    </cfRule>
  </conditionalFormatting>
  <conditionalFormatting sqref="L69">
    <cfRule type="expression" priority="2" dxfId="0">
      <formula>" =MOD(ROW(),8)=0"</formula>
    </cfRule>
  </conditionalFormatting>
  <conditionalFormatting sqref="L67">
    <cfRule type="expression" priority="1" dxfId="0">
      <formula>" =MOD(ROW(),8)=0"</formula>
    </cfRule>
  </conditionalFormatting>
  <conditionalFormatting sqref="B67:H67">
    <cfRule type="expression" priority="31" dxfId="0">
      <formula>" =MOD(ROW(),8)=0"</formula>
    </cfRule>
  </conditionalFormatting>
  <conditionalFormatting sqref="C69:G69">
    <cfRule type="expression" priority="30" dxfId="0">
      <formula>" =MOD(ROW(),8)=0"</formula>
    </cfRule>
  </conditionalFormatting>
  <conditionalFormatting sqref="C71:G71">
    <cfRule type="expression" priority="29" dxfId="0">
      <formula>" =MOD(ROW(),8)=0"</formula>
    </cfRule>
  </conditionalFormatting>
  <conditionalFormatting sqref="C73:G73">
    <cfRule type="expression" priority="28" dxfId="0">
      <formula>" =MOD(ROW(),8)=0"</formula>
    </cfRule>
  </conditionalFormatting>
  <pageMargins left="0.7" right="0.7" top="0.75" bottom="0.75" header="0.3" footer="0.3"/>
  <pageSetup orientation="portrait"/>
</worksheet>
</file>

<file path=xl/worksheets/sheet9.xml><?xml version="1.0" encoding="utf-8"?>
<worksheet xmlns="http://schemas.openxmlformats.org/spreadsheetml/2006/main">
  <sheetPr codeName="Sheet10">
    <outlinePr summaryBelow="1" summaryRight="1"/>
    <pageSetUpPr/>
  </sheetPr>
  <dimension ref="A2:CD155"/>
  <sheetViews>
    <sheetView topLeftCell="A6" zoomScaleNormal="100" workbookViewId="0">
      <selection activeCell="B32" sqref="B32"/>
    </sheetView>
  </sheetViews>
  <sheetFormatPr baseColWidth="8" defaultColWidth="9.109375" defaultRowHeight="14.4"/>
  <cols>
    <col width="8.33203125" customWidth="1" style="613" min="1" max="1"/>
    <col width="8.5546875" customWidth="1" style="613" min="2" max="2"/>
    <col width="4.6640625" customWidth="1" style="613" min="3" max="3"/>
    <col width="8.5546875" customWidth="1" style="613" min="4" max="4"/>
    <col width="7.6640625" customWidth="1" style="613" min="5" max="6"/>
    <col width="9.6640625" customWidth="1" style="613" min="7" max="7"/>
    <col width="7.6640625" customWidth="1" style="613" min="8" max="14"/>
    <col width="8.5546875" customWidth="1" style="613" min="15" max="15"/>
    <col width="8.6640625" customWidth="1" style="613" min="16" max="16"/>
    <col width="9.6640625" customWidth="1" style="613" min="17" max="17"/>
    <col width="7.6640625" customWidth="1" style="613" min="18" max="18"/>
    <col width="8.5546875" customWidth="1" style="613" min="19" max="19"/>
    <col width="6.6640625" customWidth="1" style="613" min="20" max="20"/>
    <col width="7.6640625" customWidth="1" style="613" min="21" max="21"/>
    <col width="9.88671875" customWidth="1" style="613" min="22" max="22"/>
    <col width="8.5546875" customWidth="1" style="613" min="23" max="23"/>
    <col width="6.6640625" customWidth="1" style="613" min="24" max="24"/>
    <col width="3.5546875" customWidth="1" style="689" min="25" max="25"/>
    <col width="9.6640625" customWidth="1" style="689" min="26" max="26"/>
    <col width="9.109375" customWidth="1" style="693" min="27" max="28"/>
    <col width="7.6640625" customWidth="1" style="693" min="29" max="46"/>
    <col width="10.88671875" customWidth="1" style="693" min="47" max="47"/>
    <col width="9.33203125" customWidth="1" style="693" min="48" max="48"/>
    <col width="9.109375" customWidth="1" style="693" min="49" max="77"/>
    <col width="9.109375" customWidth="1" style="613" min="78" max="79"/>
    <col width="9.109375" customWidth="1" style="613" min="80" max="16384"/>
  </cols>
  <sheetData>
    <row r="1" ht="8.25" customHeight="1" s="613"/>
    <row r="2">
      <c r="B2" s="347" t="inlineStr">
        <is>
          <t>Well:</t>
        </is>
      </c>
      <c r="C2" s="715">
        <f>'SHL Section'!$C$2:$G$2</f>
        <v/>
      </c>
      <c r="D2" s="677" t="n"/>
      <c r="E2" s="677" t="n"/>
      <c r="F2" s="677" t="n"/>
      <c r="G2" s="677" t="n"/>
      <c r="AA2" s="689" t="n"/>
      <c r="AB2" s="689" t="n"/>
      <c r="BZ2" s="693" t="n"/>
      <c r="CA2" s="693" t="n"/>
    </row>
    <row r="3">
      <c r="B3" s="347" t="inlineStr">
        <is>
          <t>API:</t>
        </is>
      </c>
      <c r="C3" s="716">
        <f>'SHL Section'!$C$3:$G$3</f>
        <v/>
      </c>
      <c r="D3" s="677" t="n"/>
      <c r="E3" s="677" t="n"/>
      <c r="F3" s="677" t="n"/>
      <c r="G3" s="677" t="n"/>
      <c r="BZ3" s="693" t="n"/>
      <c r="CA3" s="693" t="n"/>
    </row>
    <row r="4" ht="7.5" customHeight="1" s="613" thickBot="1">
      <c r="S4" s="689" t="n"/>
      <c r="T4" s="693" t="n"/>
      <c r="U4" s="693" t="n"/>
      <c r="V4" s="693" t="n"/>
      <c r="BZ4" s="693" t="n"/>
      <c r="CA4" s="693" t="n"/>
    </row>
    <row r="5" ht="26.25" customHeight="1" s="613">
      <c r="B5" s="417" t="n"/>
      <c r="C5" s="414" t="n"/>
      <c r="D5" s="416" t="inlineStr">
        <is>
          <t>Measured</t>
        </is>
      </c>
      <c r="E5" s="710" t="inlineStr">
        <is>
          <t>Directional Data</t>
        </is>
      </c>
      <c r="F5" s="679" t="n"/>
      <c r="G5" s="679" t="n"/>
      <c r="H5" s="711" t="n"/>
      <c r="I5" s="710" t="inlineStr">
        <is>
          <t>Section Line Footages</t>
        </is>
      </c>
      <c r="J5" s="679" t="n"/>
      <c r="K5" s="679" t="n"/>
      <c r="L5" s="711" t="n"/>
      <c r="M5" s="653" t="n"/>
      <c r="N5" s="653" t="n"/>
      <c r="O5" s="653" t="n"/>
      <c r="P5" s="653" t="n"/>
      <c r="Q5" s="653" t="n"/>
      <c r="R5" s="653" t="n"/>
      <c r="S5" s="413" t="n"/>
      <c r="T5" s="717" t="inlineStr">
        <is>
          <t>UTM</t>
        </is>
      </c>
      <c r="U5" s="679" t="n"/>
      <c r="V5" s="680" t="n"/>
      <c r="BZ5" s="693" t="n"/>
      <c r="CA5" s="693" t="n"/>
    </row>
    <row r="6" ht="15" customHeight="1" s="613">
      <c r="B6" s="705" t="n"/>
      <c r="C6" s="638" t="n"/>
      <c r="D6" s="412" t="inlineStr">
        <is>
          <t>Depth</t>
        </is>
      </c>
      <c r="E6" s="708" t="inlineStr">
        <is>
          <t>N-S</t>
        </is>
      </c>
      <c r="F6" s="616" t="n"/>
      <c r="G6" s="709" t="inlineStr">
        <is>
          <t>E-W</t>
        </is>
      </c>
      <c r="H6" s="617" t="n"/>
      <c r="I6" s="708" t="inlineStr">
        <is>
          <t>FNL-FSL</t>
        </is>
      </c>
      <c r="J6" s="616" t="n"/>
      <c r="K6" s="709" t="inlineStr">
        <is>
          <t>FEL-FWL</t>
        </is>
      </c>
      <c r="L6" s="617" t="n"/>
      <c r="M6" s="451" t="inlineStr">
        <is>
          <t>Qtr-Qtr</t>
        </is>
      </c>
      <c r="N6" s="451" t="inlineStr">
        <is>
          <t>Section</t>
        </is>
      </c>
      <c r="O6" s="451" t="inlineStr">
        <is>
          <t>Township</t>
        </is>
      </c>
      <c r="P6" s="451" t="inlineStr">
        <is>
          <t>T-Dir.</t>
        </is>
      </c>
      <c r="Q6" s="451" t="inlineStr">
        <is>
          <t>Range</t>
        </is>
      </c>
      <c r="R6" s="451" t="inlineStr">
        <is>
          <t>R-Dir.</t>
        </is>
      </c>
      <c r="S6" s="451" t="inlineStr">
        <is>
          <t>Meridian</t>
        </is>
      </c>
      <c r="T6" s="412" t="inlineStr">
        <is>
          <t>Easting</t>
        </is>
      </c>
      <c r="U6" s="451" t="inlineStr">
        <is>
          <t>Northing</t>
        </is>
      </c>
      <c r="V6" s="411" t="inlineStr">
        <is>
          <t>Zone</t>
        </is>
      </c>
      <c r="BZ6" s="693" t="n"/>
      <c r="CA6" s="693" t="n"/>
    </row>
    <row r="7">
      <c r="B7" s="703" t="inlineStr">
        <is>
          <t>Surface</t>
        </is>
      </c>
      <c r="C7" s="704" t="n"/>
      <c r="D7" s="445" t="n">
        <v>0</v>
      </c>
      <c r="E7" s="445" t="n"/>
      <c r="F7" s="442" t="n"/>
      <c r="G7" s="444" t="n"/>
      <c r="H7" s="442" t="n"/>
      <c r="I7" s="445">
        <f>'SHL Section'!$I$7</f>
        <v/>
      </c>
      <c r="J7" s="442">
        <f>IF('SHL Section'!$J$7=1,"FNL","FSL")</f>
        <v/>
      </c>
      <c r="K7" s="444">
        <f>'SHL Section'!$K$7</f>
        <v/>
      </c>
      <c r="L7" s="443">
        <f>IF('SHL Section'!$L$7=1,"FEL","FWL")</f>
        <v/>
      </c>
      <c r="M7" s="406">
        <f>'SHL Section'!$M$7</f>
        <v/>
      </c>
      <c r="N7" s="406">
        <f>'SHL Section'!$N$7</f>
        <v/>
      </c>
      <c r="O7" s="442">
        <f>'SHL Section'!$O$7</f>
        <v/>
      </c>
      <c r="P7" s="442">
        <f>IF('SHL Section'!$P$7=1,"N","S")</f>
        <v/>
      </c>
      <c r="Q7" s="442">
        <f>'SHL Section'!$Q$7</f>
        <v/>
      </c>
      <c r="R7" s="442">
        <f>IF('SHL Section'!$R$7=1,"E","W")</f>
        <v/>
      </c>
      <c r="S7" s="442">
        <f>IF('SHL Section'!$S$7=1,"Salt Lake","Uintah")</f>
        <v/>
      </c>
      <c r="T7" s="441">
        <f>'SHL Section'!$T$7</f>
        <v/>
      </c>
      <c r="U7" s="440">
        <f>'SHL Section'!$U$7</f>
        <v/>
      </c>
      <c r="V7" s="439">
        <f>'SHL Section'!$V$7</f>
        <v/>
      </c>
      <c r="BZ7" s="693" t="n"/>
      <c r="CA7" s="693" t="n"/>
    </row>
    <row r="8">
      <c r="B8" s="608" t="inlineStr">
        <is>
          <t>K.O. Point</t>
        </is>
      </c>
      <c r="C8" s="609" t="n"/>
      <c r="D8" s="438">
        <f>'SHL Section'!$D$8</f>
        <v/>
      </c>
      <c r="E8" s="438">
        <f>'SHL Section'!$AI$8</f>
        <v/>
      </c>
      <c r="F8" s="390">
        <f>IF('SHL Section'!$AJ$8=1,"N","S")</f>
        <v/>
      </c>
      <c r="G8" s="437">
        <f>'SHL Section'!$AK$8</f>
        <v/>
      </c>
      <c r="H8" s="390">
        <f>IF('SHL Section'!$AL$8=1,"E","W")</f>
        <v/>
      </c>
      <c r="I8" s="438">
        <f>IF(ISNUMBER($AE$66),$AE$66,IF(ISNUMBER($AG$66),$AG$66,IF(ISNUMBER($AI$66),$AI$66,IF(ISNUMBER($AK$66),$AK$66,""))))</f>
        <v/>
      </c>
      <c r="J8" s="390">
        <f>IF(ISNUMBER($AE$66),$AE$61,IF(ISNUMBER($AG$66),$AG$61,IF(ISNUMBER($AI$66),$AI$61,IF(ISNUMBER($AK$66),$AK$61,""))))</f>
        <v/>
      </c>
      <c r="K8" s="437">
        <f>IF(ISNUMBER($AF$66),$AF$66,IF(ISNUMBER($AH$66),$AH$66,IF(ISNUMBER($AJ$66),$AJ$66,IF(ISNUMBER($AL$66),$AL$66,""))))</f>
        <v/>
      </c>
      <c r="L8" s="391">
        <f>IF(ISNUMBER($AF$66),$AF$61,IF(ISNUMBER($AH$66),$AH$61,IF(ISNUMBER($AJ$66),$AJ$61,IF(ISNUMBER($AL$66),$AL$61,""))))</f>
        <v/>
      </c>
      <c r="M8" s="390">
        <f>IF(OR(ISNUMBER($AE$58),ISNUMBER($AG$58),ISNUMBER($AI$58),ISNUMBER($AK$58)),VLOOKUP(MAX($AE$58:$AL$58),$AV$56:$AZ$59,1+IF(ISNUMBER($AE$58),$AE$46,IF(ISNUMBER($AG$58),$AG$46,IF(ISNUMBER($AI$58),$AI$46,IF(ISNUMBER($AK$58),$AK$46,"")))),FALSE),"")</f>
        <v/>
      </c>
      <c r="N8" s="390">
        <f>'SHL Section'!$N$8</f>
        <v/>
      </c>
      <c r="O8" s="390">
        <f>'SHL Section'!$O$8</f>
        <v/>
      </c>
      <c r="P8" s="390">
        <f>'SHL Section'!$P$8</f>
        <v/>
      </c>
      <c r="Q8" s="390">
        <f>'SHL Section'!$Q$8</f>
        <v/>
      </c>
      <c r="R8" s="390">
        <f>'SHL Section'!$R$8</f>
        <v/>
      </c>
      <c r="S8" s="390">
        <f>IF('SHL Section'!$S$8=1,"Salt Lake","Uintah")</f>
        <v/>
      </c>
      <c r="T8" s="388">
        <f>IF($H8=1,$T$7+$G8/3.28084,$T$7-$G8/3.28084)</f>
        <v/>
      </c>
      <c r="U8" s="437">
        <f>IF($F8=1,$U$7+$E8/3.28084,$U$7-$E8/3.28084)</f>
        <v/>
      </c>
      <c r="V8" s="436">
        <f>$V$7</f>
        <v/>
      </c>
      <c r="BZ8" s="693" t="n"/>
      <c r="CA8" s="693" t="n"/>
    </row>
    <row r="9">
      <c r="B9" s="608" t="inlineStr">
        <is>
          <t>Prod. Interval</t>
        </is>
      </c>
      <c r="C9" s="609" t="n"/>
      <c r="D9" s="438">
        <f>'SHL Section'!$D$9</f>
        <v/>
      </c>
      <c r="E9" s="438">
        <f>'SHL Section'!$AI$9</f>
        <v/>
      </c>
      <c r="F9" s="390">
        <f>IF('SHL Section'!$AJ$9=1,"N","S")</f>
        <v/>
      </c>
      <c r="G9" s="437">
        <f>'SHL Section'!$AK$9</f>
        <v/>
      </c>
      <c r="H9" s="390">
        <f>IF('SHL Section'!$AL$9=1,"E","W")</f>
        <v/>
      </c>
      <c r="I9" s="438">
        <f>IF(ISNUMBER($AE$77),$AE$77,IF(ISNUMBER($AG$77),$AG$77,IF(ISNUMBER($AI$77),$AI$77,IF(ISNUMBER($AK$77),$AK$77,""))))</f>
        <v/>
      </c>
      <c r="J9" s="390">
        <f>IF(ISNUMBER($AE$77),$AE$72,IF(ISNUMBER($AG$77),$AG$72,IF(ISNUMBER($AI$77),$AI$72,IF(ISNUMBER($AK$77),$AK$72,""))))</f>
        <v/>
      </c>
      <c r="K9" s="437">
        <f>IF(ISNUMBER($AF$77),$AF$77,IF(ISNUMBER($AH$77),$AH$77,IF(ISNUMBER($AJ$77),$AJ$77,IF(ISNUMBER($AL$77),$AL$77,""))))</f>
        <v/>
      </c>
      <c r="L9" s="391">
        <f>IF(ISNUMBER($AF$77),$AF$72,IF(ISNUMBER($AH$77),$AH$72,IF(ISNUMBER($AJ$77),$AJ$72,IF(ISNUMBER($AL$77),$AL$72,""))))</f>
        <v/>
      </c>
      <c r="M9" s="390">
        <f>IF(OR(ISNUMBER($AE$69),ISNUMBER($AG$69),ISNUMBER($AI$69),ISNUMBER($AK$69)),VLOOKUP(MAX($AE$69:$AL$69),$AV$56:$AZ$59,1+IF(ISNUMBER($AE$69),$AE$46,IF(ISNUMBER($AG$69),$AG$46,IF(ISNUMBER($AI$69),$AI$46,IF(ISNUMBER($AK$69),$AK$46,"")))),FALSE),"")</f>
        <v/>
      </c>
      <c r="N9" s="390">
        <f>'SHL Section'!$N$9</f>
        <v/>
      </c>
      <c r="O9" s="390">
        <f>'SHL Section'!$O$9</f>
        <v/>
      </c>
      <c r="P9" s="390">
        <f>'SHL Section'!$P$9</f>
        <v/>
      </c>
      <c r="Q9" s="390">
        <f>'SHL Section'!$Q$9</f>
        <v/>
      </c>
      <c r="R9" s="390">
        <f>'SHL Section'!$R$9</f>
        <v/>
      </c>
      <c r="S9" s="390">
        <f>IF('SHL Section'!$S$9=1,"Salt Lake","Uintah")</f>
        <v/>
      </c>
      <c r="T9" s="388">
        <f>IF($H9=1,$T$7+$G9/3.28084,$T$7-$G9/3.28084)</f>
        <v/>
      </c>
      <c r="U9" s="437">
        <f>IF($F9=1,$U$7+$E9/3.28084,$U$7-$E9/3.28084)</f>
        <v/>
      </c>
      <c r="V9" s="436">
        <f>$V$7</f>
        <v/>
      </c>
      <c r="BZ9" s="693" t="n"/>
      <c r="CA9" s="693" t="n"/>
    </row>
    <row r="10" ht="15.75" customHeight="1" s="613" thickBot="1">
      <c r="B10" s="610" t="inlineStr">
        <is>
          <t>Total Depth</t>
        </is>
      </c>
      <c r="C10" s="611" t="n"/>
      <c r="D10" s="435">
        <f>'SHL Section'!$D$10</f>
        <v/>
      </c>
      <c r="E10" s="435">
        <f>'SHL Section'!$AI$10</f>
        <v/>
      </c>
      <c r="F10" s="382">
        <f>IF('SHL Section'!$AJ$10=1,"N","S")</f>
        <v/>
      </c>
      <c r="G10" s="434">
        <f>'SHL Section'!$AK$10</f>
        <v/>
      </c>
      <c r="H10" s="382">
        <f>IF('SHL Section'!$AL$10=1,"E","W")</f>
        <v/>
      </c>
      <c r="I10" s="435">
        <f>IF(ISNUMBER($AE$88),$AE$88,IF(ISNUMBER($AG$88),$AG$88,IF(ISNUMBER($AI$88),$AI$88,IF(ISNUMBER($AK$88),$AK$88,""))))</f>
        <v/>
      </c>
      <c r="J10" s="382">
        <f>IF(ISNUMBER($AE$88),$AE$83,IF(ISNUMBER($AG$88),$AG$83,IF(ISNUMBER($AI$88),$AI$83,IF(ISNUMBER($AK$88),$AK$83,""))))</f>
        <v/>
      </c>
      <c r="K10" s="434">
        <f>IF(ISNUMBER($AF$88),$AF$88,IF(ISNUMBER($AH$88),$AH$88,IF(ISNUMBER($AJ$88),$AJ$88,IF(ISNUMBER($AL$88),$AL$88,""))))</f>
        <v/>
      </c>
      <c r="L10" s="383">
        <f>IF(ISNUMBER($AF$88),$AF$83,IF(ISNUMBER($AH$88),$AH$83,IF(ISNUMBER($AJ$88),$AJ$83,IF(ISNUMBER($AL$88),$AL$83,""))))</f>
        <v/>
      </c>
      <c r="M10" s="382">
        <f>IF(OR(ISNUMBER($AE$80),ISNUMBER($AG$80),ISNUMBER($AI$80),ISNUMBER($AK$80)),VLOOKUP(MAX($AE$80:$AL$80),$AV$56:$AZ$59,1+IF(ISNUMBER($AE$80),$AE$46,IF(ISNUMBER($AG$80),$AG$46,IF(ISNUMBER($AI$80),$AI$46,IF(ISNUMBER($AK$80),$AK$46,"")))),FALSE),"")</f>
        <v/>
      </c>
      <c r="N10" s="382">
        <f>'SHL Section'!$N$10</f>
        <v/>
      </c>
      <c r="O10" s="382">
        <f>'SHL Section'!$O$10</f>
        <v/>
      </c>
      <c r="P10" s="382">
        <f>'SHL Section'!$P$10</f>
        <v/>
      </c>
      <c r="Q10" s="382">
        <f>'SHL Section'!$Q$10</f>
        <v/>
      </c>
      <c r="R10" s="382">
        <f>'SHL Section'!$R$10</f>
        <v/>
      </c>
      <c r="S10" s="382">
        <f>IF('SHL Section'!$S$10=1,"Salt Lake","Uintah")</f>
        <v/>
      </c>
      <c r="T10" s="380">
        <f>IF($H10=1,$T$7+$G10/3.28084,$T$7-$G10/3.28084)</f>
        <v/>
      </c>
      <c r="U10" s="434">
        <f>IF($F10=1,$U$7+$E10/3.28084,$U$7-$E10/3.28084)</f>
        <v/>
      </c>
      <c r="V10" s="433">
        <f>$V$7</f>
        <v/>
      </c>
      <c r="BZ10" s="693" t="n"/>
      <c r="CA10" s="693" t="n"/>
    </row>
    <row r="11">
      <c r="G11" s="376" t="n"/>
      <c r="H11" s="360" t="n"/>
      <c r="I11" s="360" t="n"/>
      <c r="J11" s="360" t="n"/>
      <c r="K11" s="360" t="n"/>
      <c r="L11" s="360" t="n"/>
      <c r="M11" s="360" t="n"/>
      <c r="N11" s="360" t="n"/>
      <c r="O11" s="360" t="n"/>
      <c r="P11" s="360" t="n"/>
      <c r="Q11" s="360" t="n"/>
      <c r="R11" s="360" t="n"/>
      <c r="S11" s="360" t="n"/>
      <c r="T11" s="360" t="n"/>
      <c r="U11" s="360" t="n"/>
      <c r="V11" s="360" t="n"/>
      <c r="W11" s="360" t="n"/>
      <c r="AE11" s="360" t="n"/>
      <c r="AF11" s="360" t="n"/>
      <c r="BZ11" s="693" t="n"/>
      <c r="CA11" s="693" t="n"/>
      <c r="CB11" s="693" t="n"/>
      <c r="CC11" s="693" t="n"/>
    </row>
    <row r="12">
      <c r="B12" s="374" t="inlineStr">
        <is>
          <t xml:space="preserve">For single section line bearing and distance, input in green shaded area. </t>
        </is>
      </c>
      <c r="C12" s="373" t="n"/>
      <c r="D12" s="373" t="n"/>
      <c r="E12" s="373" t="n"/>
      <c r="F12" s="373" t="n"/>
      <c r="G12" s="373" t="n"/>
      <c r="H12" s="373" t="n"/>
      <c r="I12" s="373" t="n"/>
      <c r="J12" s="373" t="n"/>
      <c r="K12" s="373" t="n"/>
      <c r="L12" s="360" t="n"/>
      <c r="M12" s="360" t="n"/>
      <c r="N12" s="358" t="n"/>
      <c r="O12" s="360" t="n"/>
      <c r="P12" s="360" t="n"/>
      <c r="Q12" s="360" t="n"/>
      <c r="R12" s="360" t="n"/>
      <c r="S12" s="360" t="n"/>
      <c r="T12" s="360" t="n"/>
      <c r="U12" s="360" t="n"/>
      <c r="AA12" s="360" t="n"/>
      <c r="AB12" s="360" t="n"/>
      <c r="AC12" s="360" t="n"/>
      <c r="AD12" s="360" t="n"/>
      <c r="AE12" s="360" t="n"/>
      <c r="AF12" s="360" t="n"/>
      <c r="AG12" s="360" t="n"/>
      <c r="AH12" s="358" t="n"/>
      <c r="AI12" s="360" t="n"/>
      <c r="AJ12" s="360" t="n"/>
      <c r="AL12" s="360" t="n"/>
      <c r="AM12" s="360" t="n"/>
      <c r="BZ12" s="693" t="n"/>
      <c r="CA12" s="693" t="n"/>
    </row>
    <row r="13">
      <c r="B13" s="369" t="inlineStr">
        <is>
          <t xml:space="preserve">For single quarter section line bearing and distance, input in either of two areas. </t>
        </is>
      </c>
      <c r="C13" s="368" t="n"/>
      <c r="D13" s="368" t="n"/>
      <c r="E13" s="368" t="n"/>
      <c r="F13" s="368" t="n"/>
      <c r="G13" s="368" t="n"/>
      <c r="H13" s="368" t="n"/>
      <c r="I13" s="368" t="n"/>
      <c r="J13" s="368" t="n"/>
      <c r="K13" s="368" t="n"/>
      <c r="L13" s="360" t="n"/>
      <c r="M13" s="360" t="n"/>
      <c r="N13" s="360" t="n"/>
      <c r="O13" s="360" t="n"/>
      <c r="P13" s="360" t="n"/>
      <c r="Q13" s="360" t="n"/>
      <c r="R13" s="360" t="n"/>
      <c r="S13" s="360" t="n"/>
      <c r="T13" s="360" t="n"/>
      <c r="U13" s="360" t="n"/>
      <c r="V13" s="360" t="n"/>
      <c r="W13" s="360" t="n"/>
      <c r="X13" s="360" t="n"/>
      <c r="Y13" s="360" t="n"/>
      <c r="Z13" s="360" t="n"/>
      <c r="AA13" s="360" t="n"/>
      <c r="AB13" s="360" t="n"/>
      <c r="AC13" s="360" t="n"/>
      <c r="AD13" s="360" t="n"/>
      <c r="AE13" s="360" t="n"/>
      <c r="AF13" s="360" t="n"/>
      <c r="AG13" s="360" t="n"/>
      <c r="AH13" s="358" t="n"/>
      <c r="AI13" s="360" t="n"/>
      <c r="AJ13" s="360" t="n"/>
      <c r="AK13" s="360" t="n"/>
      <c r="AL13" s="360" t="n"/>
      <c r="AM13" s="360" t="n"/>
      <c r="BZ13" s="693" t="n"/>
      <c r="CA13" s="693" t="n"/>
    </row>
    <row r="14" customFormat="1" s="341">
      <c r="M14" s="360" t="n"/>
      <c r="N14" s="360" t="n"/>
      <c r="O14" s="360" t="n"/>
      <c r="P14" s="360" t="n"/>
      <c r="Q14" s="360" t="n"/>
      <c r="R14" s="360" t="n"/>
      <c r="S14" s="360" t="n"/>
      <c r="T14" s="360" t="n"/>
      <c r="U14" s="360" t="n"/>
      <c r="V14" s="360" t="n"/>
      <c r="W14" s="360" t="n"/>
      <c r="X14" s="360" t="n"/>
      <c r="Y14" s="360" t="n"/>
      <c r="Z14" s="360" t="n"/>
      <c r="AA14" s="689" t="n"/>
      <c r="AB14" s="689" t="n"/>
      <c r="AC14" s="693" t="n"/>
      <c r="AD14" s="693" t="n"/>
      <c r="AE14" s="693" t="n"/>
      <c r="AF14" s="693" t="n"/>
      <c r="AG14" s="693" t="n"/>
      <c r="AH14" s="693" t="n"/>
      <c r="AI14" s="693" t="n"/>
      <c r="AJ14" s="693" t="n"/>
      <c r="AK14" s="693" t="n"/>
      <c r="AL14" s="693" t="n"/>
      <c r="AM14" s="693" t="n"/>
      <c r="AN14" s="693" t="n"/>
      <c r="AO14" s="693" t="n"/>
      <c r="AP14" s="693" t="n"/>
      <c r="AQ14" s="693" t="n"/>
      <c r="AR14" s="693" t="n"/>
      <c r="AS14" s="693" t="n"/>
      <c r="AT14" s="693" t="n"/>
      <c r="AU14" s="693" t="n"/>
      <c r="AV14" s="693" t="n"/>
      <c r="AW14" s="693" t="n"/>
      <c r="AX14" s="693" t="n"/>
      <c r="AY14" s="693" t="n"/>
      <c r="AZ14" s="693" t="n"/>
      <c r="BA14" s="693" t="n"/>
      <c r="BB14" s="693" t="n"/>
      <c r="BC14" s="693" t="n"/>
      <c r="BD14" s="693" t="n"/>
      <c r="BE14" s="693" t="n"/>
      <c r="BF14" s="693" t="n"/>
      <c r="BG14" s="693" t="n"/>
      <c r="BH14" s="693" t="n"/>
      <c r="BI14" s="693" t="n"/>
      <c r="BJ14" s="693" t="n"/>
      <c r="BK14" s="693" t="n"/>
      <c r="BL14" s="693" t="n"/>
      <c r="BM14" s="693" t="n"/>
      <c r="BN14" s="693" t="n"/>
      <c r="BO14" s="693" t="n"/>
      <c r="BP14" s="693" t="n"/>
      <c r="BQ14" s="693" t="n"/>
      <c r="BR14" s="693" t="n"/>
      <c r="BS14" s="693" t="n"/>
      <c r="BT14" s="693" t="n"/>
      <c r="BU14" s="693" t="n"/>
      <c r="BV14" s="693" t="n"/>
      <c r="BW14" s="693" t="n"/>
      <c r="BX14" s="693" t="n"/>
      <c r="BY14" s="693" t="n"/>
      <c r="BZ14" s="693" t="n"/>
      <c r="CA14" s="693" t="n"/>
    </row>
    <row r="15" customFormat="1" s="341">
      <c r="M15" s="360" t="n"/>
      <c r="N15" s="360" t="n"/>
      <c r="O15" s="360" t="n"/>
      <c r="P15" s="360" t="n"/>
      <c r="Q15" s="360" t="n"/>
      <c r="R15" s="360" t="n"/>
      <c r="S15" s="360" t="n"/>
      <c r="T15" s="360" t="n"/>
      <c r="U15" s="360" t="n"/>
      <c r="V15" s="360" t="n"/>
      <c r="W15" s="360" t="n"/>
      <c r="X15" s="360" t="n"/>
      <c r="Y15" s="360" t="n"/>
      <c r="Z15" s="360" t="n"/>
      <c r="AA15" s="689" t="n"/>
      <c r="AB15" s="689" t="n"/>
      <c r="AC15" s="342" t="n"/>
      <c r="AD15" s="342" t="n"/>
      <c r="AE15" s="342" t="n"/>
      <c r="AF15" s="342" t="n"/>
      <c r="AG15" s="342" t="n"/>
      <c r="AH15" s="342" t="n"/>
      <c r="AI15" s="342" t="n"/>
      <c r="AJ15" s="342" t="n"/>
      <c r="AK15" s="342" t="n"/>
      <c r="AL15" s="342" t="n"/>
      <c r="AM15" s="342" t="n"/>
      <c r="AN15" s="342" t="n"/>
      <c r="AO15" s="342" t="n"/>
      <c r="AP15" s="342" t="n"/>
      <c r="AQ15" s="342" t="n"/>
      <c r="AR15" s="342" t="n"/>
      <c r="AS15" s="342" t="n"/>
      <c r="AT15" s="342" t="n"/>
      <c r="AU15" s="342" t="n"/>
      <c r="AV15" s="342" t="n"/>
      <c r="AW15" s="342" t="n"/>
      <c r="AX15" s="342" t="n"/>
      <c r="AY15" s="342" t="n"/>
      <c r="AZ15" s="342" t="n"/>
      <c r="BA15" s="342" t="n"/>
      <c r="BB15" s="342" t="n"/>
      <c r="BC15" s="342" t="n"/>
      <c r="BD15" s="342" t="n"/>
      <c r="BE15" s="342" t="n"/>
      <c r="BF15" s="342" t="n"/>
      <c r="BG15" s="342" t="n"/>
      <c r="BH15" s="342" t="n"/>
      <c r="BI15" s="342" t="n"/>
      <c r="BJ15" s="342" t="n"/>
      <c r="BK15" s="342" t="n"/>
      <c r="BL15" s="342" t="n"/>
      <c r="BM15" s="342" t="n"/>
      <c r="BN15" s="342" t="n"/>
      <c r="BO15" s="342" t="n"/>
      <c r="BP15" s="342" t="n"/>
      <c r="BQ15" s="342" t="n"/>
      <c r="BR15" s="342" t="n"/>
      <c r="BS15" s="342" t="n"/>
      <c r="BT15" s="342" t="n"/>
      <c r="BU15" s="342" t="n"/>
      <c r="BV15" s="342" t="n"/>
      <c r="BW15" s="342" t="n"/>
      <c r="BX15" s="342" t="n"/>
      <c r="BY15" s="342" t="n"/>
      <c r="BZ15" s="342" t="n"/>
      <c r="CA15" s="342" t="n"/>
    </row>
    <row r="16">
      <c r="A16" s="341" t="n"/>
      <c r="B16" s="341" t="n"/>
      <c r="C16" s="341" t="n"/>
      <c r="D16" s="341" t="n"/>
      <c r="E16" s="341" t="n"/>
      <c r="F16" s="341" t="n"/>
      <c r="G16" s="341" t="n"/>
      <c r="H16" s="341" t="n"/>
      <c r="I16" s="341" t="n"/>
      <c r="J16" s="341" t="n"/>
      <c r="K16" s="341" t="n"/>
      <c r="L16" s="360" t="n"/>
      <c r="M16" s="360" t="n"/>
      <c r="AA16" s="689" t="n"/>
      <c r="AB16" s="689" t="n"/>
      <c r="AC16" s="342" t="n"/>
      <c r="AD16" s="342" t="n"/>
      <c r="AE16" s="342" t="n"/>
      <c r="AF16" s="342" t="n"/>
      <c r="AG16" s="342" t="n"/>
      <c r="AH16" s="342" t="n"/>
      <c r="AI16" s="342" t="n"/>
      <c r="AJ16" s="342" t="n"/>
      <c r="AK16" s="342" t="n"/>
      <c r="AL16" s="342" t="n"/>
      <c r="AM16" s="342" t="n"/>
      <c r="AN16" s="342" t="n"/>
      <c r="AO16" s="342" t="n"/>
      <c r="AP16" s="342" t="n"/>
      <c r="AQ16" s="342" t="n"/>
      <c r="AR16" s="342" t="n"/>
      <c r="AS16" s="342" t="n"/>
      <c r="AT16" s="342" t="n"/>
      <c r="AU16" s="342" t="n"/>
      <c r="AV16" s="342" t="n"/>
      <c r="AW16" s="342" t="n"/>
      <c r="AX16" s="342" t="n"/>
      <c r="AY16" s="342" t="n"/>
      <c r="AZ16" s="342" t="n"/>
      <c r="BA16" s="342" t="n"/>
      <c r="BB16" s="342" t="n"/>
      <c r="BC16" s="342" t="n"/>
      <c r="BD16" s="342" t="n"/>
      <c r="BE16" s="342" t="n"/>
      <c r="BF16" s="342" t="n"/>
      <c r="BG16" s="342" t="n"/>
      <c r="BH16" s="342" t="n"/>
      <c r="BI16" s="342" t="n"/>
      <c r="BJ16" s="342" t="n"/>
      <c r="BK16" s="342" t="n"/>
      <c r="BL16" s="342" t="n"/>
      <c r="BM16" s="342" t="n"/>
      <c r="BN16" s="342" t="n"/>
      <c r="BO16" s="342" t="n"/>
      <c r="BP16" s="342" t="n"/>
      <c r="BQ16" s="342" t="n"/>
      <c r="BR16" s="342" t="n"/>
      <c r="BS16" s="342" t="n"/>
      <c r="BT16" s="342" t="n"/>
      <c r="BU16" s="342" t="n"/>
      <c r="BV16" s="342" t="n"/>
      <c r="BW16" s="342" t="n"/>
      <c r="BX16" s="342" t="n"/>
      <c r="BY16" s="342" t="n"/>
      <c r="BZ16" s="342" t="n"/>
      <c r="CA16" s="342" t="n"/>
      <c r="CB16" s="341" t="n"/>
    </row>
    <row r="17" ht="12" customHeight="1" s="613">
      <c r="B17" s="623" t="n"/>
      <c r="E17" s="420">
        <f>IF(AND($L$38='SHL Section'!$BE$50,MAX('SHL Section'!$BF$37:$BF$40)=6),'SHL Section'!$E$57,IF(AND($L$38='SHL Section'!$BE$53,MAX('SHL Section'!$BF$41:$BF$44)=6),'SHL Section'!$E$57,IF(AND($L$38='SHL Section'!$BE$56,MAX('SHL Section'!$BF$45:$BF$48)=6),'SHL Section'!$E$57,E18)))</f>
        <v/>
      </c>
      <c r="F17" s="503" t="inlineStr">
        <is>
          <t>OVERRIDE</t>
        </is>
      </c>
      <c r="G17" s="449" t="n"/>
      <c r="H17" s="449" t="n"/>
      <c r="I17" s="449" t="n"/>
      <c r="J17" s="449" t="n"/>
      <c r="K17" s="420">
        <f>IF(AND($L$38='SHL Section'!$BE$50,AND($L$38='SHL Section'!$BE$50,MAX('SHL Section'!$BF$37:$BF$40)=6)),'SHL Section'!$K$57,IF(AND($L$38='SHL Section'!$BE$53,MAX('SHL Section'!$BF$41:$BF$44)=6),'SHL Section'!$K$57,IF(AND($L$38='SHL Section'!$BE$56,MAX('SHL Section'!$BF$45:$BF$48)=6),'SHL Section'!$K$57,K18)))</f>
        <v/>
      </c>
      <c r="L17" s="503" t="inlineStr">
        <is>
          <t>OVERRIDE</t>
        </is>
      </c>
      <c r="M17" s="449" t="n"/>
      <c r="N17" s="449" t="n"/>
      <c r="O17" s="420">
        <f>IF(AND($L$38='SHL Section'!$BE$50,MAX('SHL Section'!$BF$37:$BF$40)=6),'SHL Section'!$O$57,IF(AND($L$38='SHL Section'!$BE$53,MAX('SHL Section'!$BF$41:$BF$44)=6),'SHL Section'!$O$57,IF(AND($L$38='SHL Section'!$BE$56,MAX('SHL Section'!$BF$45:$BF$48)=6),'SHL Section'!$O$57,O18)))</f>
        <v/>
      </c>
      <c r="P17" s="503" t="inlineStr">
        <is>
          <t>OVERRIDE</t>
        </is>
      </c>
      <c r="Q17" s="449" t="n"/>
      <c r="R17" s="449" t="n"/>
      <c r="S17" s="449" t="n"/>
      <c r="T17" s="449" t="n"/>
      <c r="U17" s="420">
        <f>IF(AND($L$38='SHL Section'!$BE$50,MAX('SHL Section'!$BF$37:$BF$40)=6),'SHL Section'!$U$57,IF(AND($L$38='SHL Section'!$BE$53,MAX('SHL Section'!$BF$41:$BF$44)=6),'SHL Section'!$U$57,IF(AND($L$38='SHL Section'!$BE$56,MAX('SHL Section'!$BF$45:$BF$48)=6),'SHL Section'!$U$57,U18)))</f>
        <v/>
      </c>
      <c r="V17" s="503" t="inlineStr">
        <is>
          <t>OVERRIDE</t>
        </is>
      </c>
      <c r="AA17" s="689" t="n"/>
      <c r="AB17" s="689" t="n"/>
      <c r="AC17" s="676" t="inlineStr">
        <is>
          <t>Distances from Section and Quarter Corners</t>
        </is>
      </c>
      <c r="AD17" s="677" t="n"/>
      <c r="AE17" s="677" t="n"/>
      <c r="AF17" s="677" t="n"/>
      <c r="AG17" s="677" t="n"/>
      <c r="AH17" s="677" t="n"/>
      <c r="AI17" s="677" t="n"/>
      <c r="AJ17" s="677" t="n"/>
      <c r="AK17" s="677" t="n"/>
      <c r="AL17" s="677" t="n"/>
      <c r="AM17" s="677" t="n"/>
      <c r="AN17" s="677" t="n"/>
      <c r="AO17" s="677" t="n"/>
      <c r="AP17" s="677" t="n"/>
      <c r="AQ17" s="677" t="n"/>
      <c r="AR17" s="677" t="n"/>
      <c r="AS17" s="677" t="n"/>
      <c r="AT17" s="677" t="n"/>
      <c r="AU17" s="335" t="inlineStr">
        <is>
          <t>Qtr-Qtr Section</t>
        </is>
      </c>
      <c r="AV17" s="674" t="inlineStr">
        <is>
          <t>1 N-NENE</t>
        </is>
      </c>
      <c r="AW17" s="675" t="n"/>
      <c r="AX17" s="674" t="inlineStr">
        <is>
          <t>2 N-NWNE</t>
        </is>
      </c>
      <c r="AY17" s="675" t="n"/>
      <c r="AZ17" s="674" t="inlineStr">
        <is>
          <t>3 N-NENW</t>
        </is>
      </c>
      <c r="BA17" s="675" t="n"/>
      <c r="BB17" s="674" t="inlineStr">
        <is>
          <t>4 N-NWNW</t>
        </is>
      </c>
      <c r="BC17" s="675" t="n"/>
      <c r="BD17" s="674" t="inlineStr">
        <is>
          <t>5 W-NWNW</t>
        </is>
      </c>
      <c r="BE17" s="675" t="n"/>
      <c r="BF17" s="674" t="inlineStr">
        <is>
          <t>6 W-SWNW</t>
        </is>
      </c>
      <c r="BG17" s="675" t="n"/>
      <c r="BH17" s="674" t="inlineStr">
        <is>
          <t>7 W-NWSW</t>
        </is>
      </c>
      <c r="BI17" s="675" t="n"/>
      <c r="BJ17" s="674" t="inlineStr">
        <is>
          <t>8 W-SWSW</t>
        </is>
      </c>
      <c r="BK17" s="675" t="n"/>
      <c r="BL17" s="674" t="inlineStr">
        <is>
          <t>9 S-SWSW</t>
        </is>
      </c>
      <c r="BM17" s="675" t="n"/>
      <c r="BN17" s="674" t="inlineStr">
        <is>
          <t>10 S-SESW</t>
        </is>
      </c>
      <c r="BO17" s="675" t="n"/>
      <c r="BP17" s="674" t="inlineStr">
        <is>
          <t>11 S-SWSE</t>
        </is>
      </c>
      <c r="BQ17" s="675" t="n"/>
      <c r="BR17" s="674" t="inlineStr">
        <is>
          <t>12 S-SESE</t>
        </is>
      </c>
      <c r="BS17" s="675" t="n"/>
      <c r="BT17" s="674" t="inlineStr">
        <is>
          <t>13 E-SESE</t>
        </is>
      </c>
      <c r="BU17" s="675" t="n"/>
      <c r="BV17" s="674" t="inlineStr">
        <is>
          <t>14 E-NESE</t>
        </is>
      </c>
      <c r="BW17" s="675" t="n"/>
      <c r="BX17" s="674" t="inlineStr">
        <is>
          <t>15 E-SENE</t>
        </is>
      </c>
      <c r="BY17" s="675" t="n"/>
      <c r="BZ17" s="674" t="inlineStr">
        <is>
          <t>16 E-NENE</t>
        </is>
      </c>
      <c r="CA17" s="675" t="n"/>
    </row>
    <row r="18" ht="12" customHeight="1" s="613">
      <c r="B18" s="347" t="n"/>
      <c r="C18" s="346" t="n"/>
      <c r="D18" s="429" t="inlineStr">
        <is>
          <t>dist.</t>
        </is>
      </c>
      <c r="E18" s="301">
        <f>IF(NOT(ISBLANK(F18)),F18,DGET('Grid Numbers'!$A$2:$L$4952,'Grid Numbers'!$H$2,$L$66:$R$67))</f>
        <v/>
      </c>
      <c r="F18" s="504" t="n"/>
      <c r="G18" s="346" t="n"/>
      <c r="H18" s="346" t="n"/>
      <c r="I18" s="346" t="n"/>
      <c r="J18" s="429" t="inlineStr">
        <is>
          <t>dist.</t>
        </is>
      </c>
      <c r="K18" s="303">
        <f>IF(NOT(ISBLANK(L18)),L18,DGET('Grid Numbers'!$A$2:$L$4952,'Grid Numbers'!$H$2,$L$68:$R$69))</f>
        <v/>
      </c>
      <c r="L18" s="506" t="n"/>
      <c r="N18" s="429" t="inlineStr">
        <is>
          <t>dist.</t>
        </is>
      </c>
      <c r="O18" s="301">
        <f>IF(NOT(ISBLANK(P18)),P18,DGET('Grid Numbers'!$A$2:$L$4952,'Grid Numbers'!$H$2,$L$70:$R$71))</f>
        <v/>
      </c>
      <c r="P18" s="505" t="n"/>
      <c r="T18" s="429" t="inlineStr">
        <is>
          <t>dist.</t>
        </is>
      </c>
      <c r="U18" s="301">
        <f>IF(NOT(ISBLANK(V18)),V18,DGET('Grid Numbers'!$A$2:$L$4952,'Grid Numbers'!$H$2,$L$72:$R$73))</f>
        <v/>
      </c>
      <c r="V18" s="505" t="n"/>
      <c r="AA18" s="689" t="n"/>
      <c r="AB18" s="689" t="n"/>
      <c r="AC18" s="300" t="n"/>
      <c r="AD18" s="342" t="n"/>
      <c r="AE18" s="674" t="inlineStr">
        <is>
          <t>NE SC</t>
        </is>
      </c>
      <c r="AF18" s="675" t="n"/>
      <c r="AG18" s="674" t="inlineStr">
        <is>
          <t>NW SC</t>
        </is>
      </c>
      <c r="AH18" s="675" t="n"/>
      <c r="AI18" s="674" t="inlineStr">
        <is>
          <t>SW SC</t>
        </is>
      </c>
      <c r="AJ18" s="675" t="n"/>
      <c r="AK18" s="674" t="inlineStr">
        <is>
          <t>SE SC</t>
        </is>
      </c>
      <c r="AL18" s="675" t="n"/>
      <c r="AM18" s="674" t="inlineStr">
        <is>
          <t>N QC</t>
        </is>
      </c>
      <c r="AN18" s="675" t="n"/>
      <c r="AO18" s="674" t="inlineStr">
        <is>
          <t>W QC</t>
        </is>
      </c>
      <c r="AP18" s="675" t="n"/>
      <c r="AQ18" s="674" t="inlineStr">
        <is>
          <t>S QC</t>
        </is>
      </c>
      <c r="AR18" s="675" t="n"/>
      <c r="AS18" s="674" t="inlineStr">
        <is>
          <t>E QC</t>
        </is>
      </c>
      <c r="AT18" s="675" t="n"/>
      <c r="AU18" s="335" t="inlineStr">
        <is>
          <t>N-S &amp; E-W</t>
        </is>
      </c>
      <c r="AV18" s="467" t="inlineStr">
        <is>
          <t>N-S</t>
        </is>
      </c>
      <c r="AW18" s="468" t="inlineStr">
        <is>
          <t>E-W</t>
        </is>
      </c>
      <c r="AX18" s="467" t="inlineStr">
        <is>
          <t>N-S</t>
        </is>
      </c>
      <c r="AY18" s="468" t="inlineStr">
        <is>
          <t>E-W</t>
        </is>
      </c>
      <c r="AZ18" s="467" t="inlineStr">
        <is>
          <t>N-S</t>
        </is>
      </c>
      <c r="BA18" s="468" t="inlineStr">
        <is>
          <t>E-W</t>
        </is>
      </c>
      <c r="BB18" s="467" t="inlineStr">
        <is>
          <t>N-S</t>
        </is>
      </c>
      <c r="BC18" s="468" t="inlineStr">
        <is>
          <t>E-W</t>
        </is>
      </c>
      <c r="BD18" s="467" t="inlineStr">
        <is>
          <t>N-S</t>
        </is>
      </c>
      <c r="BE18" s="468" t="inlineStr">
        <is>
          <t>E-W</t>
        </is>
      </c>
      <c r="BF18" s="467" t="inlineStr">
        <is>
          <t>N-S</t>
        </is>
      </c>
      <c r="BG18" s="468" t="inlineStr">
        <is>
          <t>E-W</t>
        </is>
      </c>
      <c r="BH18" s="467" t="inlineStr">
        <is>
          <t>N-S</t>
        </is>
      </c>
      <c r="BI18" s="468" t="inlineStr">
        <is>
          <t>E-W</t>
        </is>
      </c>
      <c r="BJ18" s="467" t="inlineStr">
        <is>
          <t>N-S</t>
        </is>
      </c>
      <c r="BK18" s="468" t="inlineStr">
        <is>
          <t>E-W</t>
        </is>
      </c>
      <c r="BL18" s="467" t="inlineStr">
        <is>
          <t>N-S</t>
        </is>
      </c>
      <c r="BM18" s="468" t="inlineStr">
        <is>
          <t>E-W</t>
        </is>
      </c>
      <c r="BN18" s="467" t="inlineStr">
        <is>
          <t>N-S</t>
        </is>
      </c>
      <c r="BO18" s="468" t="inlineStr">
        <is>
          <t>E-W</t>
        </is>
      </c>
      <c r="BP18" s="467" t="inlineStr">
        <is>
          <t>N-S</t>
        </is>
      </c>
      <c r="BQ18" s="468" t="inlineStr">
        <is>
          <t>E-W</t>
        </is>
      </c>
      <c r="BR18" s="467" t="inlineStr">
        <is>
          <t>N-S</t>
        </is>
      </c>
      <c r="BS18" s="468" t="inlineStr">
        <is>
          <t>E-W</t>
        </is>
      </c>
      <c r="BT18" s="467" t="inlineStr">
        <is>
          <t>N-S</t>
        </is>
      </c>
      <c r="BU18" s="468" t="inlineStr">
        <is>
          <t>E-W</t>
        </is>
      </c>
      <c r="BV18" s="467" t="inlineStr">
        <is>
          <t>N-S</t>
        </is>
      </c>
      <c r="BW18" s="468" t="inlineStr">
        <is>
          <t>E-W</t>
        </is>
      </c>
      <c r="BX18" s="467" t="inlineStr">
        <is>
          <t>N-S</t>
        </is>
      </c>
      <c r="BY18" s="468" t="inlineStr">
        <is>
          <t>E-W</t>
        </is>
      </c>
      <c r="BZ18" s="467" t="inlineStr">
        <is>
          <t>N-S</t>
        </is>
      </c>
      <c r="CA18" s="468" t="inlineStr">
        <is>
          <t>E-W</t>
        </is>
      </c>
    </row>
    <row r="19" ht="12" customHeight="1" s="613">
      <c r="B19" s="347" t="n"/>
      <c r="C19" s="346" t="n"/>
      <c r="D19" s="429" t="inlineStr">
        <is>
          <t>deg.</t>
        </is>
      </c>
      <c r="E19" s="295">
        <f>IF(NOT(ISBLANK(F19)),F19,DGET('Grid Numbers'!$A$2:$L$4952,'Grid Numbers'!$I$2,$L$66:$R$67))</f>
        <v/>
      </c>
      <c r="F19" s="504" t="n"/>
      <c r="G19" s="346" t="n"/>
      <c r="H19" s="346" t="n"/>
      <c r="I19" s="346" t="n"/>
      <c r="J19" s="429" t="inlineStr">
        <is>
          <t>deg.</t>
        </is>
      </c>
      <c r="K19" s="296">
        <f>IF(NOT(ISBLANK(L19)),L19,DGET('Grid Numbers'!$A$2:$L$4952,'Grid Numbers'!$I$2,$L$68:$R$69))</f>
        <v/>
      </c>
      <c r="L19" s="505" t="n"/>
      <c r="N19" s="429" t="inlineStr">
        <is>
          <t>deg.</t>
        </is>
      </c>
      <c r="O19" s="295">
        <f>IF(NOT(ISBLANK(P19)),P19,DGET('Grid Numbers'!$A$2:$L$4952,'Grid Numbers'!$I$2,$L$70:$R$71))</f>
        <v/>
      </c>
      <c r="P19" s="505" t="n"/>
      <c r="T19" s="429" t="inlineStr">
        <is>
          <t>deg.</t>
        </is>
      </c>
      <c r="U19" s="295">
        <f>IF(NOT(ISBLANK(V19)),V19,DGET('Grid Numbers'!$A$2:$L$4952,'Grid Numbers'!$I$2,$L$72:$R$73))</f>
        <v/>
      </c>
      <c r="V19" s="505" t="n"/>
      <c r="AA19" s="689" t="n"/>
      <c r="AB19" s="689" t="n"/>
      <c r="AC19" s="469" t="inlineStr">
        <is>
          <t>Quad</t>
        </is>
      </c>
      <c r="AD19" s="470" t="n"/>
      <c r="AE19" s="671" t="inlineStr">
        <is>
          <t>N-S</t>
        </is>
      </c>
      <c r="AF19" s="671" t="inlineStr">
        <is>
          <t>E-W</t>
        </is>
      </c>
      <c r="AG19" s="671" t="inlineStr">
        <is>
          <t>N-S</t>
        </is>
      </c>
      <c r="AH19" s="671" t="inlineStr">
        <is>
          <t>E-W</t>
        </is>
      </c>
      <c r="AI19" s="671" t="inlineStr">
        <is>
          <t>N-S</t>
        </is>
      </c>
      <c r="AJ19" s="671" t="inlineStr">
        <is>
          <t>E-W</t>
        </is>
      </c>
      <c r="AK19" s="671" t="inlineStr">
        <is>
          <t>N-S</t>
        </is>
      </c>
      <c r="AL19" s="671" t="inlineStr">
        <is>
          <t>E-W</t>
        </is>
      </c>
      <c r="AM19" s="671" t="inlineStr">
        <is>
          <t>N-S</t>
        </is>
      </c>
      <c r="AN19" s="671" t="inlineStr">
        <is>
          <t>E-W</t>
        </is>
      </c>
      <c r="AO19" s="671" t="inlineStr">
        <is>
          <t>N-S</t>
        </is>
      </c>
      <c r="AP19" s="671" t="inlineStr">
        <is>
          <t>E-W</t>
        </is>
      </c>
      <c r="AQ19" s="671" t="inlineStr">
        <is>
          <t>N-S</t>
        </is>
      </c>
      <c r="AR19" s="671" t="inlineStr">
        <is>
          <t>E-W</t>
        </is>
      </c>
      <c r="AS19" s="671" t="inlineStr">
        <is>
          <t>N-S</t>
        </is>
      </c>
      <c r="AT19" s="671" t="inlineStr">
        <is>
          <t>E-W</t>
        </is>
      </c>
      <c r="AU19" s="335" t="n"/>
      <c r="AV19" s="775">
        <f>IF(AND($U$17&gt;0,$O$17&gt;0),$U$17*SIN(RADIANS(90-$U$23)),IF(AND($U$17=0,$O$17&gt;0),$O$17/2*SIN(RADIANS(90-$O$23)),IF(AND($U$17&gt;0,$O$17=0),$U$17/2*SIN(RADIANS(90-$U$23)),IF(AND($U$17=0,$O$17=0,$K$17=0),$E$17/4*SIN(RADIANS(90-$E$23)),$K$17/4*SIN(RADIANS(90-$K$23))))))</f>
        <v/>
      </c>
      <c r="AW19" s="776">
        <f>IF(AND($U$17&gt;0,$O$17&gt;0),$U$17*COS(RADIANS(90-$U$23)),IF(AND($U$17=0,$O$17&gt;0),$O$17/2*COS(RADIANS(90-$O$23)),IF(AND($U$17&gt;0,$O$17=0),$U$17/2*COS(RADIANS(90-$U$23)),IF(AND($U$17=0,$O$17=0,$K$17=0),$E$17/4*COS(RADIANS(90-$E$23)),$K$17/4*COS(RADIANS(90-$K$23))))))</f>
        <v/>
      </c>
      <c r="AX19" s="775">
        <f>IF(AND($U$17&gt;0,$O$17&gt;0),$O$17*SIN(RADIANS(90-$O$23)),IF(AND($U$17=0,$O$17&gt;0),$O$17/2*SIN(RADIANS(90-$O$23)),IF(AND($U$17&gt;0,$O$17=0),$U$17/2*SIN(RADIANS(90-$U$23)),IF(AND($U$17=0,$O$17=0,$K$17=0),$E$17/4*SIN(RADIANS(90-$E$23)),$K$17/4*SIN(RADIANS(90-$K$23))))))</f>
        <v/>
      </c>
      <c r="AY19" s="776">
        <f>IF(AND($U$17&gt;0,$O$17&gt;0),$O$17*COS(RADIANS(90-$O$23)),IF(AND($U$17=0,$O$17&gt;0),$O$17/2*COS(RADIANS(90-$O$23)),IF(AND($U$17&gt;0,$O$17=0),$U$17/2*COS(RADIANS(90-$U$23)),IF(AND($U$17=0,$O$17=0,$K$17=0),$E$17/4*COS(RADIANS(90-$E$23)),$K$17/4*COS(RADIANS(90-$K$23))))))</f>
        <v/>
      </c>
      <c r="AZ19" s="775">
        <f>IF(AND($K$17&gt;0,$E$17&gt;0,OR($O$17&gt;0,$U$17&gt;0)),$K$17*SIN(RADIANS(90-$K$23)),IF(AND($K$17=0,$E$17&gt;0,OR($O$17&gt;0,$U$17&gt;0)),$E$17/2*SIN(RADIANS(90-$E$23)),IF(AND($K$17&gt;0,$E$17=0,OR($O$17&gt;0,$U$17&gt;0)),$K$17/2*SIN(RADIANS(90-$K$23)),IF(AND($K$17&gt;0,$O$17=0,$U$17=0),$K$17/4*SIN(RADIANS(90-$K$23)),$E$17/4*SIN(RADIANS(90-$E$23))))))</f>
        <v/>
      </c>
      <c r="BA19" s="776">
        <f>IF(AND($K$17&gt;0,$E$17&gt;0,OR($O$17&gt;0,$U$17&gt;0)),$K$17*COS(RADIANS(90-$K$23)),IF(AND($K$17=0,$E$17&gt;0,OR($O$17&gt;0,$U$17&gt;0)),$E$17/2*COS(RADIANS(90-$E$23)),IF(AND($K$17&gt;0,$E$17=0,OR($O$17&gt;0,$U$17&gt;0)),$K$17/2*COS(RADIANS(90-$K$23)),IF(AND($K$17&gt;0,$O$17=0,$U$17=0),$K$17/4*COS(RADIANS(90-$K$23)),$E$17/4*COS(RADIANS(90-$E$23))))))</f>
        <v/>
      </c>
      <c r="BB19" s="775">
        <f>IF(AND($K$17&gt;0,$E$17&gt;0,OR($O$17&gt;0,$U$17&gt;0)),$E$17*SIN(RADIANS(90-$E$23)),IF(AND($K$17=0,$E$17&gt;0,OR($O$17&gt;0,$U$17&gt;0)),$E$17/2*SIN(RADIANS(90-$E$23)),IF(AND($K$17&gt;0,$E$17=0,OR($O$17&gt;0,$U$17&gt;0)),$K$17/2*SIN(RADIANS(90-$K$23)),IF(AND($K$17&gt;0,$O$17=0,$U$17=0),$K$17/4*SIN(RADIANS(90-$K$23)),$E$17/4*SIN(RADIANS(90-$E$23))))))</f>
        <v/>
      </c>
      <c r="BC19" s="764">
        <f>IF(AND($K$17&gt;0,$E$17&gt;0,OR($O$17&gt;0,$U$17&gt;0)),$E$17*COS(RADIANS(90-$E$23)),IF(AND($K$17=0,$E$17&gt;0,OR($O$17&gt;0,$U$17&gt;0)),$E$17/2*COS(RADIANS(90-$E$23)),IF(AND($K$17&gt;0,$E$17=0,OR($O$17&gt;0,$U$17&gt;0)),$K$17/2*COS(RADIANS(90-$K$23)),IF(AND($K$17&gt;0,$O$17=0,$U$17=0),$K$17/4*COS(RADIANS(90-$K$23)),$E$17/4*COS(RADIANS(90-$E$23))))))</f>
        <v/>
      </c>
      <c r="BD19" s="775">
        <f>IF(AND($B$32&gt;0,$B$24&gt;0,OR($B$41&gt;0,$B$49&gt;0)),$B$24*COS(RADIANS(180-$B$30)),IF(AND($B$32=0,$B$24&gt;0,OR($B$41&gt;0,$B$49&gt;0)),$B$24/2*COS(RADIANS(180-$B$30)),IF(AND($B$32&gt;0,$B$24=0,OR($B$41&gt;0,$B$49&gt;0)),$B$32/2*COS(RADIANS(180-$B$38)),IF(AND($B$32&gt;0,$B$41=0,$B$49=0),$B$32/4*COS(RADIANS(180-$B$38)),$B$24/4*COS(RADIANS(180-$B$30))))))</f>
        <v/>
      </c>
      <c r="BE19" s="776">
        <f>IF(AND($B$32&gt;0,$B$24&gt;0,OR($B$41&gt;0,$B$49&gt;0)),$B$24*-SIN(RADIANS(180-$B$30)),IF(AND($B$32&gt;0,$B$24&gt;0,OR($B$41&gt;0,$B$49&gt;0)),$B$32*-SIN(RADIANS(180-$B$38)),IF(AND($B$32&gt;0,$B$24=0,OR($B$41&gt;0,$B$49&gt;0)),$B$32/2*-SIN(RADIANS(180-$B$38)),IF(AND($B$32&gt;0,$B$41=0,$B$49=0),$B$32/4*-SIN(RADIANS(180-$B$38)),$B$24/4*-SIN(RADIANS(180-$B$30))))))</f>
        <v/>
      </c>
      <c r="BF19" s="775">
        <f>IF(AND($B$32&gt;0,$B$24&gt;0,OR($B$41&gt;0,$B$49&gt;0)),$B$32*COS(RADIANS(180-$B$38)),IF(AND($B$32=0,$B$24&gt;0,OR($B$41&gt;0,$B$49&gt;0)),$B$24/2*COS(RADIANS(180-$B$30)),IF(AND($B$32&gt;0,$B$24=0,OR($B$41&gt;0,$B$49&gt;0)),$B$32/2*COS(RADIANS(180-$B$38)),IF(AND($B$32&gt;0,$B$41=0,$B$49=0),$B$32/4*COS(RADIANS(180-$B$38)),$B$24/4*COS(RADIANS(180-$B$30))))))</f>
        <v/>
      </c>
      <c r="BG19" s="776">
        <f>IF(AND($B$32&gt;0,$B$24&gt;0,OR($B$41&gt;0,$B$49&gt;0)),$B$32*-SIN(RADIANS(180-$B$38)),IF(AND($B$32&gt;0,$B$24&gt;0,OR($B$41&gt;0,$B$49&gt;0)),$B$32*-SIN(RADIANS(180-$B$38)),IF(AND($B$32&gt;0,$B$24=0,OR($B$41&gt;0,$B$49&gt;0)),$B$32/2*-SIN(RADIANS(180-$B$38)),IF(AND($B$32&gt;0,$B$41=0,$B$49=0),$B$32/4*-SIN(RADIANS(180-$B$38)),$B$24/4*-SIN(RADIANS(180-$B$30))))))</f>
        <v/>
      </c>
      <c r="BH19" s="775">
        <f>IF(AND($B$49&gt;0,$B$41&gt;0),$B$41*COS(RADIANS(180-$B$47)),IF(AND($B$49=0,$B$41&gt;0),$B$41/2*COS(RADIANS(180-$B$47)),IF(AND($B$49&gt;0,$B$41=0),$B$49/2*COS(RADIANS(180-$B$55)),IF(AND($B$49=0,$B$41=0,$B$32=0),$B$24/4*COS(RADIANS(180-$B$30)),$B$32/4*COS(RADIANS(180-$B$38))))))</f>
        <v/>
      </c>
      <c r="BI19" s="776">
        <f>IF(AND($B$49&gt;0,$B$41&gt;0),$B$41*-SIN(RADIANS(180-$B$47)),IF(AND($B$49=0,$B$41&gt;0),$B$41/2*-SIN(RADIANS(180-$B$47)),IF(AND($B$49&gt;0,$B$41=0),$B$49/2*-SIN(RADIANS(180-$B$55)),IF(AND($B$49=0,$B$41=0,$B$32=0),$B$24/4*-SIN(RADIANS(180-$B$30)),$B$32/4*-SIN(RADIANS(180-$B$38))))))</f>
        <v/>
      </c>
      <c r="BJ19" s="775">
        <f>IF(AND($B$49&gt;0,$B$41&gt;0),$B$49*COS(RADIANS(180-$B$55)),IF(AND($B$49=0,$B$41&gt;0),$B$41/2*COS(RADIANS(180-$B$47)),IF(AND($B$49&gt;0,$B$41=0),$B$49/2*COS(RADIANS(180-$B$55)),IF(AND($B$49=0,$B$41=0,$B$32=0),$B$24/4*COS(RADIANS(180-$B$30)),$B$32/4*COS(RADIANS(180-$B$38))))))</f>
        <v/>
      </c>
      <c r="BK19" s="776">
        <f>IF(AND($B$49&gt;0,$B$41&gt;0),$B$49*-SIN(RADIANS(180-$B$55)),IF(AND($B$49=0,$B$41&gt;0),$B$41/2*-SIN(RADIANS(180-$B$47)),IF(AND($B$49&gt;0,$B$41=0),$B$49/2*-SIN(RADIANS(180-$B$55)),IF(AND($B$49=0,$B$41=0,$B$32=0),$B$24/4*-SIN(RADIANS(180-$B$30)),$B$32/4*-SIN(RADIANS(180-$B$38))))))</f>
        <v/>
      </c>
      <c r="BL19" s="775">
        <f>IF(AND($K$63&gt;0,$E$63&gt;0,OR($O$63&gt;0,$U$63&gt;0)),$E$63*SIN(RADIANS(90-$E$62)),IF(AND($K$63=0,$E$63&gt;0,OR($O$63&gt;0,$U$63&gt;0)),$E$63/2*SIN(RADIANS(90-$E$62)),IF(AND($K$63&gt;0,$E$63=0,OR($O$63&gt;0,$U$63&gt;0)),$K$63/2*SIN(RADIANS(90-$K$62)),IF(AND($K$63&gt;0,$O$63=0,$U$63=0),$K$63/4*SIN(RADIANS(90-$K$62)),$E$63/4*SIN(RADIANS(90-$E$62))))))</f>
        <v/>
      </c>
      <c r="BM19" s="764">
        <f>IF(AND($K$63&gt;0,$E$63&gt;0,OR($O$63&gt;0,$U$63&gt;0)),$E$63*COS(RADIANS(90-$E$62)),IF(AND($K$63=0,$E$63&gt;0,OR($O$63&gt;0,$U$63&gt;0)),$E$63/2*COS(RADIANS(90-$E$62)),IF(AND($K$63&gt;0,$E$63=0,OR($O$63&gt;0,$U$63&gt;0)),$K$63/2*COS(RADIANS(90-$K$62)),IF(AND($K$63&gt;0,$O$63=0,$U$63=0),$K$63/4*COS(RADIANS(90-$K$62)),$E$63/4*COS(RADIANS(90-$E$62))))))</f>
        <v/>
      </c>
      <c r="BN19" s="775">
        <f>IF(AND($K$63&gt;0,$E$63&gt;0,OR($O$63&gt;0,$U$63&gt;0)),$K$63*SIN(RADIANS(90-$K$62)),IF(AND($K$63=0,$E$63&gt;0,OR($O$63&gt;0,$U$63&gt;0)),$E$63/2*SIN(RADIANS(90-$E$62)),IF(AND($K$63&gt;0,$E$63=0,OR($O$63&gt;0,$U$63&gt;0)),$K$63/2*SIN(RADIANS(90-$K$62)),IF(AND($K$63&gt;0,$O$63=0,$U$63=0),$K$63/4*SIN(RADIANS(90-$K$62)),$E$63/4*SIN(RADIANS(90-$E$62))))))</f>
        <v/>
      </c>
      <c r="BO19" s="776">
        <f>IF(AND($K$63&gt;0,$E$63&gt;0,OR($O$63&gt;0,$U$63&gt;0)),$K$63*COS(RADIANS(90-$K$62)),IF(AND($K$63=0,$E$63&gt;0,OR($O$63&gt;0,$U$63&gt;0)),$E$63/2*COS(RADIANS(90-$E$62)),IF(AND($K$63&gt;0,$E$63=0,OR($O$63&gt;0,$U$63&gt;0)),$K$63/2*COS(RADIANS(90-$K$62)),IF(AND($K$63&gt;0,$O$63=0,$U$63=0),$K$63/4*COS(RADIANS(90-$K$62)),$E$63/4*COS(RADIANS(90-$E$62))))))</f>
        <v/>
      </c>
      <c r="BP19" s="775">
        <f>IF(AND($U$63&gt;0,$O$63&gt;0),$O$63*SIN(RADIANS(90-$O$62)),IF(AND($U$63=0,$O$63&gt;0),$O$63/2*SIN(RADIANS(90-$O$62)),IF(AND($U$63&gt;0,$O$63=0),$U$63/2*SIN(RADIANS(90-$U$62)),IF(AND($U$63=0,$O$63=0,$K$63=0),$E$63/4*SIN(RADIANS(90-$E$62)),$K$63/4*SIN(RADIANS(90-$K$62))))))</f>
        <v/>
      </c>
      <c r="BQ19" s="776">
        <f>IF(AND($U$63&gt;0,$O$63&gt;0),$O$63*COS(RADIANS(90-$O$62)),IF(AND($U$63=0,$O$63&gt;0),$O$63/2*COS(RADIANS(90-$O$62)),IF(AND($U$63&gt;0,$O$63=0),$U$63/2*COS(RADIANS(90-$U$62)),IF(AND($U$63=0,$O$63=0,$K$63=0),$E$63/4*COS(RADIANS(90-$E$62)),$K$63/4*COS(RADIANS(90-$K$62))))))</f>
        <v/>
      </c>
      <c r="BR19" s="775">
        <f>IF(AND($U$63&gt;0,$O$63&gt;0),$U$63*SIN(RADIANS(90-$U$62)),IF(AND($U$63=0,$O$63&gt;0),$O$63/2*SIN(RADIANS(90-$O$62)),IF(AND($U$63&gt;0,$O$63=0),$U$63/2*SIN(RADIANS(90-$U$62)),IF(AND($U$63=0,$O$63=0,$K$63=0),$E$63/4*SIN(RADIANS(90-$E$62)),$K$63/4*SIN(RADIANS(90-$K$62))))))</f>
        <v/>
      </c>
      <c r="BS19" s="776">
        <f>IF(AND($U$63&gt;0,$O$63&gt;0),$U$63*COS(RADIANS(90-$U$62)),IF(AND($U$63=0,$O$63&gt;0),$O$63/2*COS(RADIANS(90-$O$62)),IF(AND($U$63&gt;0,$O$63=0),$U$63/2*COS(RADIANS(90-$U$62)),IF(AND($U$63=0,$O$63=0,$K$63=0),$E$63/4*COS(RADIANS(90-$E$62)),$K$63/4*COS(RADIANS(90-$K$62))))))</f>
        <v/>
      </c>
      <c r="BT19" s="775">
        <f>IF(AND($W$49&gt;0,$W$41&gt;0),$W$49*COS(RADIANS(180-$W$55)),IF(AND($W$49=0,$W$41&gt;0),$W$41/2*COS(RADIANS(180-$W$47)),IF(AND($W$49&gt;0,$W$41=0),$W$49/2*COS(RADIANS(180-$W$55)),IF(AND($W$49=0,$W$41=0,$W$32=0),$W$24/4*COS(RADIANS(180-$W$30)),$W$32/4*COS(RADIANS(180-$W$38))))))</f>
        <v/>
      </c>
      <c r="BU19" s="776">
        <f>IF(AND($W$49&gt;0,$W$41&gt;0),$W$49*-SIN(RADIANS(180-$W$55)),IF(AND($W$49=0,$W$41&gt;0),$W$41/2*-SIN(RADIANS(180-$W$47)),IF(AND($W$49&gt;0,$W$41=0),$W$49/2*-SIN(RADIANS(180-$W$55)),IF(AND($W$49=0,$W$41=0,$W$32=0),$W$24/4*-SIN(RADIANS(180-$W$30)),$W$32/4*-SIN(RADIANS(180-$W$38))))))</f>
        <v/>
      </c>
      <c r="BV19" s="775">
        <f>IF(AND($W$49&gt;0,$W$41&gt;0),$W$41*COS(RADIANS(180-$W$47)),IF(AND($W$49=0,$W$41&gt;0),$W$41/2*COS(RADIANS(180-$W$47)),IF(AND($W$49&gt;0,$W$41=0),$W$49/2*COS(RADIANS(180-$W$55)),IF(AND($W$49=0,$W$41=0,$W$32=0),$W$24/4*COS(RADIANS(180-$W$30)),$W$32/4*COS(RADIANS(180-$W$38))))))</f>
        <v/>
      </c>
      <c r="BW19" s="776">
        <f>IF(AND($W$49&gt;0,$W$41&gt;0),$W$41*-SIN(RADIANS(180-$W$47)),IF(AND($W$49=0,$W$41&gt;0),$W$41/2*-SIN(RADIANS(180-$W$47)),IF(AND($W$49&gt;0,$W$41=0),$W$49/2*-SIN(RADIANS(180-$W$55)),IF(AND($W$49=0,$W$41=0,$W$32=0),$W$24/4*-SIN(RADIANS(180-$W$30)),$W$32/4*-SIN(RADIANS(180-$W$38))))))</f>
        <v/>
      </c>
      <c r="BX19" s="775">
        <f>IF(AND($W$32&gt;0,$W$24&gt;0,OR($W$41&gt;0,$W$49&gt;0)),$W$32*COS(RADIANS(180-$W$38)),IF(AND($W$32=0,$W$24&gt;0,OR($W$41&gt;0,$W$49&gt;0)),$W$24/2*COS(RADIANS(180-$W$30)),IF(AND($W$32&gt;0,$W$24=0,OR($W$41&gt;0,$W$49&gt;0)),$W$32/2*COS(RADIANS(180-$W$38)),IF(AND($W$32&gt;0,$W$41=0,$W$49=0),$W$32/4*COS(RADIANS(180-$W$38)),$W$24/4*COS(RADIANS(180-$W$30))))))</f>
        <v/>
      </c>
      <c r="BY19" s="776">
        <f>IF(AND($W$32&gt;0,$W$24&gt;0,OR($W$41&gt;0,$W$49&gt;0)),$W$32*-SIN(RADIANS(180-$W$38)),IF(AND($W$32&gt;0,$W$24&gt;0,OR($W$41&gt;0,$W$49&gt;0)),$W$32*-SIN(RADIANS(180-$W$38)),IF(AND($W$32&gt;0,$W$24=0,OR($W$41&gt;0,$W$49&gt;0)),$W$32/2*-SIN(RADIANS(180-$W$38)),IF(AND($W$32&gt;0,$W$41=0,$W$49=0),$W$32/4*-SIN(RADIANS(180-$W$38)),$W$24/4*-SIN(RADIANS(180-$W$30))))))</f>
        <v/>
      </c>
      <c r="BZ19" s="775">
        <f>IF(AND($W$32&gt;0,$W$24&gt;0,OR($W$41&gt;0,$W$49&gt;0)),$W$24*COS(RADIANS(180-$W$30)),IF(AND($W$32=0,$W$24&gt;0,OR($W$41&gt;0,$W$49&gt;0)),$W$24/2*COS(RADIANS(180-$W$30)),IF(AND($W$32&gt;0,$W$24=0,OR($W$41&gt;0,$W$49&gt;0)),$W$32/2*COS(RADIANS(180-$W$38)),IF(AND($W$32&gt;0,$W$41=0,$W$49=0),$W$32/4*COS(RADIANS(180-$W$38)),$W$24/4*COS(RADIANS(180-$W$30))))))</f>
        <v/>
      </c>
      <c r="CA19" s="776">
        <f>IF(AND($W$32&gt;0,$W$24&gt;0,OR($W$41&gt;0,$W$49&gt;0)),$W$24*-SIN(RADIANS(180-$W$30)),IF(AND($W$32&gt;0,$W$24&gt;0,OR($W$41&gt;0,$W$49&gt;0)),$W$32*-SIN(RADIANS(180-$W$38)),IF(AND($W$32&gt;0,$W$24=0,OR($W$41&gt;0,$W$49&gt;0)),$W$32/2*-SIN(RADIANS(180-$W$38)),IF(AND($W$32&gt;0,$W$41=0,$W$49=0),$W$32/4*-SIN(RADIANS(180-$W$38)),$W$24/4*-SIN(RADIANS(180-$W$30))))))</f>
        <v/>
      </c>
    </row>
    <row r="20" ht="12" customHeight="1" s="613">
      <c r="B20" s="347" t="n"/>
      <c r="C20" s="346" t="n"/>
      <c r="D20" s="429" t="inlineStr">
        <is>
          <t>min.</t>
        </is>
      </c>
      <c r="E20" s="295">
        <f>IF(NOT(ISBLANK(F20)),F20,DGET('Grid Numbers'!$A$2:$L$4952,'Grid Numbers'!$J$2,$L$66:$R$67))</f>
        <v/>
      </c>
      <c r="F20" s="504" t="n"/>
      <c r="G20" s="346" t="n"/>
      <c r="H20" s="346" t="n"/>
      <c r="I20" s="346" t="n"/>
      <c r="J20" s="429" t="inlineStr">
        <is>
          <t>min.</t>
        </is>
      </c>
      <c r="K20" s="296">
        <f>IF(NOT(ISBLANK(L20)),L20,DGET('Grid Numbers'!$A$2:$L$4952,'Grid Numbers'!$J$2,$L$68:$R$69))</f>
        <v/>
      </c>
      <c r="L20" s="505" t="n"/>
      <c r="N20" s="429" t="inlineStr">
        <is>
          <t>min.</t>
        </is>
      </c>
      <c r="O20" s="295">
        <f>IF(NOT(ISBLANK(P20)),P20,DGET('Grid Numbers'!$A$2:$L$4952,'Grid Numbers'!$J$2,$L$70:$R$71))</f>
        <v/>
      </c>
      <c r="P20" s="505" t="n"/>
      <c r="T20" s="429" t="inlineStr">
        <is>
          <t>min.</t>
        </is>
      </c>
      <c r="U20" s="295">
        <f>IF(NOT(ISBLANK(V20)),V20,DGET('Grid Numbers'!$A$2:$L$4952,'Grid Numbers'!$J$2,$L$72:$R$73))</f>
        <v/>
      </c>
      <c r="V20" s="505" t="n"/>
      <c r="AA20" s="689" t="n"/>
      <c r="AB20" s="689" t="n"/>
      <c r="AC20" s="320" t="n">
        <v>1</v>
      </c>
      <c r="AD20" s="319" t="inlineStr">
        <is>
          <t>SHL</t>
        </is>
      </c>
      <c r="AE20" s="327">
        <f>IF($L$38='SHL Section'!$BE$50,IF('SHL Section'!$BF$38=8,'SHL Section'!$AG$24,IF('SHL Section'!$BF$39=7,'SHL Section'!$AI$24,IF('SHL Section'!$BF$40=6,'SHL Section'!$AK$24,""))),IF($L$38='SHL Section'!$BE$53,IF('SHL Section'!$BF$42=8,'SHL Section'!$AG$24,IF('SHL Section'!$BF$43=7,'SHL Section'!$AI$24,IF('SHL Section'!$BF$44=6,'SHL Section'!$AK$24,""))),IF($L$38='SHL Section'!$BE$56,IF('SHL Section'!$BF$46=8,'SHL Section'!$AG$24,IF('SHL Section'!$BF$47=7,'SHL Section'!$AI$24,IF('SHL Section'!$BF$48=6,'SHL Section'!$AK$24,""))),"")))</f>
        <v/>
      </c>
      <c r="AF20" s="327">
        <f>IF($L$38='SHL Section'!$BE$50,IF('SHL Section'!$BF$38=8,'SHL Section'!$AH$24,IF('SHL Section'!$BF$39=7,'SHL Section'!$AJ$24,IF('SHL Section'!$BF$40=6,'SHL Section'!$AL$24,""))),IF($L$38='SHL Section'!$BE$53,IF('SHL Section'!$BF$42=8,'SHL Section'!$AH$24,IF('SHL Section'!$BF$43=7,'SHL Section'!$AJ$24,IF('SHL Section'!$BF$44=6,'SHL Section'!$AL$24,""))),IF($L$38='SHL Section'!$BE$56,IF('SHL Section'!$BF$46=8,'SHL Section'!$AH$24,IF('SHL Section'!$BF$47=7,'SHL Section'!$AJ$24,IF('SHL Section'!$BF$48=6,'SHL Section'!$AL$24,""))),"")))</f>
        <v/>
      </c>
      <c r="AG20" s="344">
        <f>IF($AE$20="","",$AY$26+$AE$20)</f>
        <v/>
      </c>
      <c r="AH20" s="344">
        <f>IF($AF$20="","",$AZ$26+$AF$20)</f>
        <v/>
      </c>
      <c r="AI20" s="344">
        <f>IF($AE$20="","",$BG$26+$AY$26+$AE$20)</f>
        <v/>
      </c>
      <c r="AJ20" s="344">
        <f>IF($AF$20="","",$AZ$26+$BH$26+$AF$20)</f>
        <v/>
      </c>
      <c r="AK20" s="344">
        <f>IF($AE$20="","",$BW$26+$AE$20)</f>
        <v/>
      </c>
      <c r="AL20" s="344">
        <f>IF($AF$20="","",$AF$20+$BX$26)</f>
        <v/>
      </c>
      <c r="AM20" s="344">
        <f>IF($AE$20="","",$AW$22+$AE$20)</f>
        <v/>
      </c>
      <c r="AN20" s="344">
        <f>IF($AF$20="","",$AX$22+$AF$20)</f>
        <v/>
      </c>
      <c r="AO20" s="344">
        <f>IF($AE$20="","",$AY$26+$AE$20+$BE$22)</f>
        <v/>
      </c>
      <c r="AP20" s="344">
        <f>IF($AF$20="","",$AZ$26+$AF$20+$BF$22)</f>
        <v/>
      </c>
      <c r="AQ20" s="344">
        <f>IF($AE$20="","",$BW$26+$AE$20+$BQ$22)</f>
        <v/>
      </c>
      <c r="AR20" s="344">
        <f>IF($AF$20="","",$AF$20+$BX$26+$BR$22)</f>
        <v/>
      </c>
      <c r="AS20" s="344">
        <f>IF($AE$20="","",$BY$22+$AE$20)</f>
        <v/>
      </c>
      <c r="AT20" s="344">
        <f>IF($AF$20="","",$AF$20+$BZ$22)</f>
        <v/>
      </c>
      <c r="AU20" s="335" t="inlineStr">
        <is>
          <t>Qtr Section</t>
        </is>
      </c>
      <c r="AV20" s="674" t="inlineStr">
        <is>
          <t>1 N-NE</t>
        </is>
      </c>
      <c r="AW20" s="677" t="n"/>
      <c r="AX20" s="677" t="n"/>
      <c r="AY20" s="675" t="n"/>
      <c r="AZ20" s="674" t="inlineStr">
        <is>
          <t>2 N-NW</t>
        </is>
      </c>
      <c r="BA20" s="677" t="n"/>
      <c r="BB20" s="677" t="n"/>
      <c r="BC20" s="675" t="n"/>
      <c r="BD20" s="674" t="inlineStr">
        <is>
          <t>3 W-NW</t>
        </is>
      </c>
      <c r="BE20" s="677" t="n"/>
      <c r="BF20" s="677" t="n"/>
      <c r="BG20" s="675" t="n"/>
      <c r="BH20" s="674" t="inlineStr">
        <is>
          <t>4 W-SW</t>
        </is>
      </c>
      <c r="BI20" s="677" t="n"/>
      <c r="BJ20" s="677" t="n"/>
      <c r="BK20" s="675" t="n"/>
      <c r="BL20" s="674" t="inlineStr">
        <is>
          <t>5 S-SW</t>
        </is>
      </c>
      <c r="BM20" s="677" t="n"/>
      <c r="BN20" s="677" t="n"/>
      <c r="BO20" s="675" t="n"/>
      <c r="BP20" s="674" t="inlineStr">
        <is>
          <t>6 S-SE</t>
        </is>
      </c>
      <c r="BQ20" s="677" t="n"/>
      <c r="BR20" s="677" t="n"/>
      <c r="BS20" s="675" t="n"/>
      <c r="BT20" s="674" t="inlineStr">
        <is>
          <t>7 E-SE</t>
        </is>
      </c>
      <c r="BU20" s="677" t="n"/>
      <c r="BV20" s="677" t="n"/>
      <c r="BW20" s="675" t="n"/>
      <c r="BX20" s="674" t="inlineStr">
        <is>
          <t>8 E-NE</t>
        </is>
      </c>
      <c r="BY20" s="677" t="n"/>
      <c r="BZ20" s="677" t="n"/>
      <c r="CA20" s="675" t="n"/>
      <c r="CC20" s="462" t="inlineStr">
        <is>
          <t>Closure =</t>
        </is>
      </c>
      <c r="CD20" s="765">
        <f>(CC22^2+CD22^2)^0.5</f>
        <v/>
      </c>
    </row>
    <row r="21" ht="12" customHeight="1" s="613">
      <c r="D21" s="429" t="inlineStr">
        <is>
          <t>sec.</t>
        </is>
      </c>
      <c r="E21" s="295">
        <f>IF(NOT(ISBLANK(F21)),F21,DGET('Grid Numbers'!$A$2:$L$4952,'Grid Numbers'!$K$2,$L$66:$R$67))</f>
        <v/>
      </c>
      <c r="F21" s="505" t="n"/>
      <c r="J21" s="429" t="inlineStr">
        <is>
          <t>sec.</t>
        </is>
      </c>
      <c r="K21" s="296">
        <f>IF(NOT(ISBLANK(L21)),L21,DGET('Grid Numbers'!$A$2:$L$4952,'Grid Numbers'!$K$2,$L$68:$R$69))</f>
        <v/>
      </c>
      <c r="L21" s="505" t="n"/>
      <c r="N21" s="429" t="inlineStr">
        <is>
          <t>sec.</t>
        </is>
      </c>
      <c r="O21" s="295">
        <f>IF(NOT(ISBLANK(P21)),P21,DGET('Grid Numbers'!$A$2:$L$4952,'Grid Numbers'!$K$2,$L$70:$R$71))</f>
        <v/>
      </c>
      <c r="P21" s="505" t="n"/>
      <c r="T21" s="429" t="inlineStr">
        <is>
          <t>sec.</t>
        </is>
      </c>
      <c r="U21" s="295">
        <f>IF(NOT(ISBLANK(V21)),V21,DGET('Grid Numbers'!$A$2:$L$4952,'Grid Numbers'!$K$2,$L$72:$R$73))</f>
        <v/>
      </c>
      <c r="V21" s="505" t="n"/>
      <c r="AA21" s="340" t="n"/>
      <c r="AB21" s="340" t="n"/>
      <c r="AC21" s="320" t="n">
        <v>2</v>
      </c>
      <c r="AD21" s="319" t="inlineStr">
        <is>
          <t>SHL</t>
        </is>
      </c>
      <c r="AE21" s="326">
        <f>IF($AG$21="","",$AG$21-$AY$26)</f>
        <v/>
      </c>
      <c r="AF21" s="326">
        <f>IF($AH$21="","",$AH$21-$AZ$26)</f>
        <v/>
      </c>
      <c r="AG21" s="327">
        <f>IF($L$38='SHL Section'!$BE$50,IF('SHL Section'!$BF$37=4,'SHL Section'!$AE$24,IF('SHL Section'!$BF$39=6,'SHL Section'!$AI$24,IF('SHL Section'!$BF$40=5,'SHL Section'!$AK$24,""))),IF($L$38='SHL Section'!$BE$53,IF('SHL Section'!$BF$41=4,'SHL Section'!$AE$24,IF('SHL Section'!$BF$43=6,'SHL Section'!$AI$24,IF('SHL Section'!$BF$44=5,'SHL Section'!$AK$24,""))),IF($L$38='SHL Section'!$BE$56,IF('SHL Section'!$BF$45=4,'SHL Section'!$AE$24,IF('SHL Section'!$BF$47=6,'SHL Section'!$AI$24,IF('SHL Section'!$BF$48=5,'SHL Section'!$AK$24,""))),"")))</f>
        <v/>
      </c>
      <c r="AH21" s="327">
        <f>IF($L$38='SHL Section'!$BE$50,IF('SHL Section'!$BF$37=4,'SHL Section'!$AF$24,IF('SHL Section'!$BF$39=6,'SHL Section'!$AJ$24,IF('SHL Section'!$BF$40=5,'SHL Section'!$AL$24,""))),IF($L$38='SHL Section'!$BE$53,IF('SHL Section'!$BF$41=4,'SHL Section'!$AF$24,IF('SHL Section'!$BF$43=6,'SHL Section'!$AJ$24,IF('SHL Section'!$BF$44=5,'SHL Section'!$AL$24,""))),IF($L$38='SHL Section'!$BE$56,IF('SHL Section'!$BF$45=4,'SHL Section'!$AF$24,IF('SHL Section'!$BF$47=6,'SHL Section'!$AJ$24,IF('SHL Section'!$BF$48=5,'SHL Section'!$AL$24,""))),"")))</f>
        <v/>
      </c>
      <c r="AI21" s="326">
        <f>IF($AG$21="","",$BG$26+$AG$21)</f>
        <v/>
      </c>
      <c r="AJ21" s="326">
        <f>IF($AH$21="","",$AH$21+$BH$26)</f>
        <v/>
      </c>
      <c r="AK21" s="326">
        <f>IF($AG$21="","",$AG$21-$AY$26+$BW$26)</f>
        <v/>
      </c>
      <c r="AL21" s="326">
        <f>IF($AH$21="","",$AH$21-$AZ$26+$BX$26)</f>
        <v/>
      </c>
      <c r="AM21" s="326">
        <f>IF($AG$21="","",$AG$21-$BA$22)</f>
        <v/>
      </c>
      <c r="AN21" s="326">
        <f>IF($AH$21="","",AH$21-$BB$22)</f>
        <v/>
      </c>
      <c r="AO21" s="326">
        <f>IF($AG$21="","",$BE$22+$AG$21)</f>
        <v/>
      </c>
      <c r="AP21" s="326">
        <f>IF($AH$21="","",$AH$21+$BF$22)</f>
        <v/>
      </c>
      <c r="AQ21" s="326">
        <f>IF($AG$21="","",$BG$26+$AG$21-$BM$22)</f>
        <v/>
      </c>
      <c r="AR21" s="326">
        <f>IF($AH$21="","",$AH$21+$BH$26-$BN$22)</f>
        <v/>
      </c>
      <c r="AS21" s="326">
        <f>IF($AG$21="","",$AG$21-$AY$26+$BY$22)</f>
        <v/>
      </c>
      <c r="AT21" s="326">
        <f>IF($AH$21="","",$AH$21-$AZ$26+$BZ$22)</f>
        <v/>
      </c>
      <c r="AU21" s="335" t="inlineStr">
        <is>
          <t>N-S &amp; E-W</t>
        </is>
      </c>
      <c r="AV21" s="298" t="n"/>
      <c r="AW21" s="467" t="inlineStr">
        <is>
          <t>N-S</t>
        </is>
      </c>
      <c r="AX21" s="468" t="inlineStr">
        <is>
          <t>E-W</t>
        </is>
      </c>
      <c r="AY21" s="336" t="n"/>
      <c r="AZ21" s="298" t="n"/>
      <c r="BA21" s="467" t="inlineStr">
        <is>
          <t>N-S</t>
        </is>
      </c>
      <c r="BB21" s="468" t="inlineStr">
        <is>
          <t>E-W</t>
        </is>
      </c>
      <c r="BC21" s="336" t="n"/>
      <c r="BD21" s="298" t="n"/>
      <c r="BE21" s="467" t="inlineStr">
        <is>
          <t>N-S</t>
        </is>
      </c>
      <c r="BF21" s="468" t="inlineStr">
        <is>
          <t>E-W</t>
        </is>
      </c>
      <c r="BG21" s="336" t="n"/>
      <c r="BH21" s="298" t="n"/>
      <c r="BI21" s="467" t="inlineStr">
        <is>
          <t>N-S</t>
        </is>
      </c>
      <c r="BJ21" s="468" t="inlineStr">
        <is>
          <t>E-W</t>
        </is>
      </c>
      <c r="BK21" s="336" t="n"/>
      <c r="BL21" s="298" t="n"/>
      <c r="BM21" s="467" t="inlineStr">
        <is>
          <t>N-S</t>
        </is>
      </c>
      <c r="BN21" s="468" t="inlineStr">
        <is>
          <t>E-W</t>
        </is>
      </c>
      <c r="BO21" s="336" t="n"/>
      <c r="BP21" s="298" t="n"/>
      <c r="BQ21" s="467" t="inlineStr">
        <is>
          <t>N-S</t>
        </is>
      </c>
      <c r="BR21" s="468" t="inlineStr">
        <is>
          <t>E-W</t>
        </is>
      </c>
      <c r="BS21" s="336" t="n"/>
      <c r="BT21" s="298" t="n"/>
      <c r="BU21" s="467" t="inlineStr">
        <is>
          <t>N-S</t>
        </is>
      </c>
      <c r="BV21" s="468" t="inlineStr">
        <is>
          <t>E-W</t>
        </is>
      </c>
      <c r="BW21" s="336" t="n"/>
      <c r="BX21" s="298" t="n"/>
      <c r="BY21" s="467" t="inlineStr">
        <is>
          <t>N-S</t>
        </is>
      </c>
      <c r="BZ21" s="468" t="inlineStr">
        <is>
          <t>E-W</t>
        </is>
      </c>
      <c r="CA21" s="336" t="n"/>
      <c r="CC21" s="467" t="inlineStr">
        <is>
          <t>N-S</t>
        </is>
      </c>
      <c r="CD21" s="468" t="inlineStr">
        <is>
          <t>E-W</t>
        </is>
      </c>
    </row>
    <row r="22" ht="12" customHeight="1" s="613">
      <c r="A22" s="341" t="n"/>
      <c r="B22" s="341" t="n"/>
      <c r="C22" s="341" t="n"/>
      <c r="D22" s="429" t="inlineStr">
        <is>
          <t>dir.</t>
        </is>
      </c>
      <c r="E22" s="321">
        <f>IF(NOT(ISBLANK(F22)),F22,DGET('Grid Numbers'!$A$2:$L$4952,'Grid Numbers'!$L$2,$L$66:$R$67))</f>
        <v/>
      </c>
      <c r="F22" s="508" t="n"/>
      <c r="G22" s="342" t="n"/>
      <c r="H22" s="342" t="n"/>
      <c r="I22" s="342" t="n"/>
      <c r="J22" s="429" t="inlineStr">
        <is>
          <t>dir.</t>
        </is>
      </c>
      <c r="K22" s="321">
        <f>IF(NOT(ISBLANK(L22)),L22,DGET('Grid Numbers'!$A$2:$L$4952,'Grid Numbers'!$L$2,$L$68:$R$69))</f>
        <v/>
      </c>
      <c r="L22" s="507" t="n"/>
      <c r="M22" s="341" t="n"/>
      <c r="N22" s="429" t="inlineStr">
        <is>
          <t>dir.</t>
        </is>
      </c>
      <c r="O22" s="321">
        <f>IF(NOT(ISBLANK(P22)),P22,DGET('Grid Numbers'!$A$2:$L$4952,'Grid Numbers'!$L$2,$L$70:$R$71))</f>
        <v/>
      </c>
      <c r="P22" s="508" t="n"/>
      <c r="Q22" s="342" t="n"/>
      <c r="R22" s="342" t="n"/>
      <c r="S22" s="342" t="n"/>
      <c r="T22" s="429" t="inlineStr">
        <is>
          <t>dir.</t>
        </is>
      </c>
      <c r="U22" s="321">
        <f>IF(NOT(ISBLANK(V22)),V22,DGET('Grid Numbers'!$A$2:$L$4952,'Grid Numbers'!$L$2,$L$72:$R$73))</f>
        <v/>
      </c>
      <c r="V22" s="507" t="n"/>
      <c r="W22" s="341" t="n"/>
      <c r="X22" s="341" t="n"/>
      <c r="AA22" s="689" t="n"/>
      <c r="AB22" s="689" t="n"/>
      <c r="AC22" s="320" t="n">
        <v>3</v>
      </c>
      <c r="AD22" s="319" t="inlineStr">
        <is>
          <t>SHL</t>
        </is>
      </c>
      <c r="AE22" s="326">
        <f>IF($AI$22="","",$AI$22-$BG$26-$AY$26)</f>
        <v/>
      </c>
      <c r="AF22" s="326">
        <f>IF($AJ$22="","",$AJ$22-$BH$26-$AZ$26)</f>
        <v/>
      </c>
      <c r="AG22" s="326">
        <f>IF($AI$22="","",$AI$22-$BG$26)</f>
        <v/>
      </c>
      <c r="AH22" s="326">
        <f>IF($AJ$22="","",$AJ$22-$BH$26)</f>
        <v/>
      </c>
      <c r="AI22" s="327">
        <f>IF($L$38='SHL Section'!$BE$50,IF('SHL Section'!$BF$37=3,'SHL Section'!$AE$24,IF('SHL Section'!$BF$38=2,'SHL Section'!$AG$24,IF('SHL Section'!$BF$40=4,'SHL Section'!$AK$24,""))),IF($L$38='SHL Section'!$BE$53,IF('SHL Section'!$BF$41=3,'SHL Section'!$AE$24,IF('SHL Section'!$BF$42=2,'SHL Section'!$AG$24,IF('SHL Section'!$BF$44=4,'SHL Section'!$AK$24,""))),IF($L$38='SHL Section'!$BE$56,IF('SHL Section'!$BF$45=3,'SHL Section'!$AE$24,IF('SHL Section'!$BF$46=2,'SHL Section'!$AG$24,IF('SHL Section'!$BF$48=4,'SHL Section'!$AK$24,""))),"")))</f>
        <v/>
      </c>
      <c r="AJ22" s="327">
        <f>IF($L$38='SHL Section'!$BE$50,IF('SHL Section'!$BF$37=3,'SHL Section'!$AF$24,IF('SHL Section'!$BF$38=2,'SHL Section'!$AH$24,IF('SHL Section'!$BF$40=4,'SHL Section'!$AL$24,""))),IF($L$38='SHL Section'!$BE$53,IF('SHL Section'!$BF$41=3,'SHL Section'!$AF$24,IF('SHL Section'!$BF$42=2,'SHL Section'!$AH$24,IF('SHL Section'!$BF$44=4,'SHL Section'!$AL$24,""))),IF($L$38='SHL Section'!$BE$56,IF('SHL Section'!$BF$45=3,'SHL Section'!$AF$24,IF('SHL Section'!$BF$46=2,'SHL Section'!$AH$24,IF('SHL Section'!$BF$48=4,'SHL Section'!$AL$24,""))),"")))</f>
        <v/>
      </c>
      <c r="AK22" s="326">
        <f>IF($AI$22="","",$AI$22-$BO$26)</f>
        <v/>
      </c>
      <c r="AL22" s="326">
        <f>IF($AJ$22="","",$AJ$22-$BP$26)</f>
        <v/>
      </c>
      <c r="AM22" s="326">
        <f>IF($AI$22="","",$AI$22-$BG$26-$BA$22)</f>
        <v/>
      </c>
      <c r="AN22" s="326">
        <f>IF($AJ$22="","",$AJ$22-$BH$26-$BB$22)</f>
        <v/>
      </c>
      <c r="AO22" s="326">
        <f>IF($AI$22="","",$AI$22-$BI$22)</f>
        <v/>
      </c>
      <c r="AP22" s="326">
        <f>IF($AJ$22="","",$AJ$22-$BJ$22)</f>
        <v/>
      </c>
      <c r="AQ22" s="326">
        <f>IF($AI$22="","",$AI$22-$BM$22)</f>
        <v/>
      </c>
      <c r="AR22" s="326">
        <f>IF($AJ$22="","",$AJ$22-$BN$22)</f>
        <v/>
      </c>
      <c r="AS22" s="326">
        <f>IF($AI$22="","",$AI$22-$BO$26-$BU$22)</f>
        <v/>
      </c>
      <c r="AT22" s="326">
        <f>IF($AJ$22="","",$AJ$22-$BP$26-$BV$22)</f>
        <v/>
      </c>
      <c r="AU22" s="335" t="n"/>
      <c r="AV22" s="298" t="n"/>
      <c r="AW22" s="766">
        <f>AV19+AX19</f>
        <v/>
      </c>
      <c r="AX22" s="767">
        <f>AW19+AY19</f>
        <v/>
      </c>
      <c r="AY22" s="336" t="n"/>
      <c r="AZ22" s="298" t="n"/>
      <c r="BA22" s="766">
        <f>AZ19+BB19</f>
        <v/>
      </c>
      <c r="BB22" s="767">
        <f>BA19+BC19</f>
        <v/>
      </c>
      <c r="BC22" s="336" t="n"/>
      <c r="BD22" s="298" t="n"/>
      <c r="BE22" s="766">
        <f>BD19+BF19</f>
        <v/>
      </c>
      <c r="BF22" s="767">
        <f>BE19+BG19</f>
        <v/>
      </c>
      <c r="BG22" s="336" t="n"/>
      <c r="BH22" s="298" t="n"/>
      <c r="BI22" s="766">
        <f>BH19+BJ19</f>
        <v/>
      </c>
      <c r="BJ22" s="767">
        <f>BI19+BK19</f>
        <v/>
      </c>
      <c r="BK22" s="336" t="n"/>
      <c r="BL22" s="298" t="n"/>
      <c r="BM22" s="766">
        <f>BL19+BN19</f>
        <v/>
      </c>
      <c r="BN22" s="767">
        <f>BM19+BO19</f>
        <v/>
      </c>
      <c r="BO22" s="336" t="n"/>
      <c r="BP22" s="298" t="n"/>
      <c r="BQ22" s="766">
        <f>BP19+BR19</f>
        <v/>
      </c>
      <c r="BR22" s="767">
        <f>BQ19+BS19</f>
        <v/>
      </c>
      <c r="BS22" s="336" t="n"/>
      <c r="BT22" s="298" t="n"/>
      <c r="BU22" s="766">
        <f>BT19+BV19</f>
        <v/>
      </c>
      <c r="BV22" s="767">
        <f>BU19+BW19</f>
        <v/>
      </c>
      <c r="BW22" s="336" t="n"/>
      <c r="BX22" s="298" t="n"/>
      <c r="BY22" s="766">
        <f>BX19+BZ19</f>
        <v/>
      </c>
      <c r="BZ22" s="767">
        <f>BY19+CA19</f>
        <v/>
      </c>
      <c r="CA22" s="336" t="n"/>
      <c r="CC22" s="768">
        <f>AY26+BG26-BO26-BW26</f>
        <v/>
      </c>
      <c r="CD22" s="769">
        <f>AZ26+BH26-BP26-BX26</f>
        <v/>
      </c>
    </row>
    <row r="23" ht="12" customHeight="1" s="613" thickBot="1">
      <c r="B23" s="697">
        <f>CONCATENATE("NW SC of ",$L$38)</f>
        <v/>
      </c>
      <c r="D23" s="429" t="inlineStr">
        <is>
          <t>dec. deg.</t>
        </is>
      </c>
      <c r="E23" s="770">
        <f>IF(AND($L$38='SHL Section'!$BE$50,MAX('SHL Section'!$BF$37:$BF$40)=6),'SHL Section'!$E$62,IF(AND($L$38='SHL Section'!$BE$53,MAX('SHL Section'!$BF$41:$BF$44)=6),'SHL Section'!$E$62,IF(AND($L$38='SHL Section'!$BE$56,MAX('SHL Section'!$BF$45:$BF$48)=6),'SHL Section'!$E$62,IF(E19="","",IF(OR(E22=1,E22=4),180-(E19+E20/60+E21/3600),(E19+E20/60+E21/3600))))))</f>
        <v/>
      </c>
      <c r="J23" s="429" t="inlineStr">
        <is>
          <t>dec. deg.</t>
        </is>
      </c>
      <c r="K23" s="770">
        <f>IF(AND($L$38='SHL Section'!$BE$50,MAX('SHL Section'!$BF$37:$BF$40)=6),'SHL Section'!$K$62,IF(AND($L$38='SHL Section'!$BE$53,MAX('SHL Section'!$BF$41:$BF$44)=6),'SHL Section'!$K$62,IF(AND($L$38='SHL Section'!$BE$56,MAX('SHL Section'!$BF$45:$BF$48)=6),'SHL Section'!$K$62,IF(K19="","",IF(OR(K22=1,K22=4),180-(K19+K20/60+K21/3600),(K19+K20/60+K21/3600))))))</f>
        <v/>
      </c>
      <c r="L23" s="714">
        <f>CONCATENATE("N QC of ",$L$38)</f>
        <v/>
      </c>
      <c r="M23" s="633" t="n"/>
      <c r="N23" s="429" t="inlineStr">
        <is>
          <t>dec. deg.</t>
        </is>
      </c>
      <c r="O23" s="771">
        <f>IF(AND($L$38='SHL Section'!$BE$50,MAX('SHL Section'!$BF$37:$BF$40)=6),'SHL Section'!$O$62,IF(AND($L$38='SHL Section'!$BE$53,MAX('SHL Section'!$BF$41:$BF$44)=6),'SHL Section'!$O$62,IF(AND($L$38='SHL Section'!$BE$56,MAX('SHL Section'!$BF$45:$BF$48)=6),'SHL Section'!$O$62,IF(O19="","",IF(OR(O22=1,O22=4),180-(O19+O20/60+O21/3600),(O19+O20/60+O21/3600))))))</f>
        <v/>
      </c>
      <c r="T23" s="429" t="inlineStr">
        <is>
          <t>dec. deg.</t>
        </is>
      </c>
      <c r="U23" s="771">
        <f>IF(AND($L$38='SHL Section'!$BE$50,MAX('SHL Section'!$BF$37:$BF$40)=6),'SHL Section'!$U$62,IF(AND($L$38='SHL Section'!$BE$53,MAX('SHL Section'!$BF$41:$BF$44)=6),'SHL Section'!$U$62,IF(AND($L$38='SHL Section'!$BE$56,MAX('SHL Section'!$BF$45:$BF$48)=6),'SHL Section'!$U$62,IF(U19="","",IF(OR(U22=1,U22=4),180-(U19+U20/60+U21/3600),(U19+U20/60+U21/3600))))))</f>
        <v/>
      </c>
      <c r="V23" s="698">
        <f>CONCATENATE("NE SC of ",$L$38)</f>
        <v/>
      </c>
      <c r="Y23" s="340" t="n"/>
      <c r="Z23" s="340" t="n"/>
      <c r="AA23" s="689" t="n"/>
      <c r="AB23" s="689" t="n"/>
      <c r="AC23" s="469" t="n">
        <v>4</v>
      </c>
      <c r="AD23" s="676" t="inlineStr">
        <is>
          <t>SHL</t>
        </is>
      </c>
      <c r="AE23" s="324">
        <f>IF($AK$23="","",$AK$23-$BW$26)</f>
        <v/>
      </c>
      <c r="AF23" s="324">
        <f>IF($AL$23="","",$AL$23-$BX$26)</f>
        <v/>
      </c>
      <c r="AG23" s="324">
        <f>IF($AK$23="","",$AK$23+$BO$26-$BG$26)</f>
        <v/>
      </c>
      <c r="AH23" s="324">
        <f>IF($AL$23="","",$AL$23+$BP$26+$BH$26)</f>
        <v/>
      </c>
      <c r="AI23" s="324">
        <f>IF($AK$23="","",$AK$23+$BO$26)</f>
        <v/>
      </c>
      <c r="AJ23" s="324">
        <f>IF($AL$23="","",$AL$23+$BP$26)</f>
        <v/>
      </c>
      <c r="AK23" s="325">
        <f>IF($L$38='SHL Section'!$BE$50,IF('SHL Section'!$BF$37=2,'SHL Section'!$AE$24,IF('SHL Section'!$BF$38=9,'SHL Section'!$AG$24,IF('SHL Section'!$BF$39=8,'SHL Section'!$AI$24,""))),IF($L$38='SHL Section'!$BE$53,IF('SHL Section'!$BF$41=2,'SHL Section'!$AE$24,IF('SHL Section'!$BF$42=9,'SHL Section'!$AG$24,IF('SHL Section'!$BF$43=8,'SHL Section'!$AI$24,""))),IF($L$38='SHL Section'!$BE$56,IF('SHL Section'!$BF$45=2,'SHL Section'!$AE$24,IF('SHL Section'!$BF$46=9,'SHL Section'!$AG$24,IF('SHL Section'!$BF$47=8,'SHL Section'!$AI$24,""))),"")))</f>
        <v/>
      </c>
      <c r="AL23" s="325">
        <f>IF($L$38='SHL Section'!$BE$50,IF('SHL Section'!$BF$37=2,'SHL Section'!$AF$24,IF('SHL Section'!$BF$38=9,'SHL Section'!$AH$24,IF('SHL Section'!$BF$39=8,'SHL Section'!$AJ$24,""))),IF($L$38='SHL Section'!$BE$53,IF('SHL Section'!$BF$41=2,'SHL Section'!$AF$24,IF('SHL Section'!$BF$42=9,'SHL Section'!$AH$24,IF('SHL Section'!$BF$43=8,'SHL Section'!$AJ$24,""))),IF($L$38='SHL Section'!$BE$56,IF('SHL Section'!$BF$45=2,'SHL Section'!$AF$24,IF('SHL Section'!$BF$46=9,'SHL Section'!$AH$24,IF('SHL Section'!$BF$47=8,'SHL Section'!$AJ$24,""))),"")))</f>
        <v/>
      </c>
      <c r="AM23" s="324">
        <f>IF($AK$23="","",$AK$23-$BW$26+$AW$22)</f>
        <v/>
      </c>
      <c r="AN23" s="324">
        <f>IF($AL$23="","",$AL$23-$BX$26+$AX$22)</f>
        <v/>
      </c>
      <c r="AO23" s="324">
        <f>IF($AK$23="","",$AK$23+$BO$26-$BI$22)</f>
        <v/>
      </c>
      <c r="AP23" s="324">
        <f>IF($AL$23="","",$AL$23+$BP$26-$BJ$22)</f>
        <v/>
      </c>
      <c r="AQ23" s="324">
        <f>IF($AK$23="","",$AK$23+$BQ$22)</f>
        <v/>
      </c>
      <c r="AR23" s="324">
        <f>IF($AL$23="","",$AL$23+$BR$22)</f>
        <v/>
      </c>
      <c r="AS23" s="324">
        <f>IF($AK$23="","",$AK$23-$BU$22)</f>
        <v/>
      </c>
      <c r="AT23" s="324">
        <f>IF($AL$23="","",$AL$23-$BV$22)</f>
        <v/>
      </c>
      <c r="AU23" s="335" t="n"/>
      <c r="AV23" s="298" t="n"/>
      <c r="BD23" s="298" t="n"/>
      <c r="BL23" s="298" t="n"/>
      <c r="BT23" s="298" t="n"/>
      <c r="BZ23" s="693" t="n"/>
      <c r="CA23" s="693" t="n"/>
      <c r="CB23" s="244" t="n"/>
    </row>
    <row r="24" ht="12" customHeight="1" s="613">
      <c r="B24" s="420">
        <f>IF(AND($L$38='SHL Section'!$BE$50,MAX('SHL Section'!$BF$37:$BF$40)=4),'SHL Section'!$W$25,IF(AND($L$38='SHL Section'!$BE$53,MAX('SHL Section'!$BF$41:$BF$44)=4),'SHL Section'!$W$25,IF(AND($L$38='SHL Section'!$BE$56,MAX('SHL Section'!$BF$45:$BF$48)=4),'SHL Section'!$W$25,B25)))</f>
        <v/>
      </c>
      <c r="C24" s="432" t="n"/>
      <c r="D24" s="653" t="n"/>
      <c r="E24" s="653" t="n"/>
      <c r="F24" s="653" t="n"/>
      <c r="G24" s="653" t="n"/>
      <c r="H24" s="653" t="n"/>
      <c r="I24" s="653" t="n"/>
      <c r="J24" s="653" t="n"/>
      <c r="K24" s="653" t="n"/>
      <c r="L24" s="431" t="n"/>
      <c r="M24" s="430" t="n"/>
      <c r="N24" s="653" t="n"/>
      <c r="O24" s="653" t="n"/>
      <c r="P24" s="653" t="n"/>
      <c r="Q24" s="653" t="n"/>
      <c r="R24" s="653" t="n"/>
      <c r="S24" s="653" t="n"/>
      <c r="T24" s="653" t="n"/>
      <c r="U24" s="653" t="n"/>
      <c r="V24" s="656" t="n"/>
      <c r="W24" s="428">
        <f>IF(AND($L$38='SHL Section'!$BE$50,MAX('SHL Section'!$BF$37:$BF$40)=8),'SHL Section'!$B$25,IF(AND($L$38='SHL Section'!$BE$53,MAX('SHL Section'!$BF$41:$BF$44)=8),'SHL Section'!$B$25,IF(AND($L$38='SHL Section'!$BE$56,MAX('SHL Section'!$BF$45:$BF$48)=8),'SHL Section'!$B$25,W25)))</f>
        <v/>
      </c>
      <c r="AA24" s="689" t="n"/>
      <c r="AB24" s="689" t="n"/>
      <c r="AC24" s="671" t="n"/>
      <c r="AD24" s="617" t="n"/>
      <c r="AE24" s="323">
        <f>IF(ISNUMBER($AE$20),AE$20,IF(ISNUMBER($AG$21),AE$21,IF(ISNUMBER($AI$22),AE$22,IF(ISNUMBER($AK$23),AE$23,""))))</f>
        <v/>
      </c>
      <c r="AF24" s="323">
        <f>IF(ISNUMBER($AF$20),AF$20,IF(ISNUMBER($AH$21),AF$21,IF(ISNUMBER($AJ$22),AF$22,IF(ISNUMBER($AL$23),AF$23,""))))</f>
        <v/>
      </c>
      <c r="AG24" s="323">
        <f>IF(ISNUMBER($AE$20),AG$20,IF(ISNUMBER($AG$21),AG$21,IF(ISNUMBER($AI$22),AG$22,IF(ISNUMBER($AK$23),AG$23,""))))</f>
        <v/>
      </c>
      <c r="AH24" s="323">
        <f>IF(ISNUMBER($AF$20),AH$20,IF(ISNUMBER($AH$21),AH$21,IF(ISNUMBER($AJ$22),AH$22,IF(ISNUMBER($AL$23),AH$23,""))))</f>
        <v/>
      </c>
      <c r="AI24" s="323">
        <f>IF(ISNUMBER($AE$20),AI$20,IF(ISNUMBER($AG$21),AI$21,IF(ISNUMBER($AI$22),AI$22,IF(ISNUMBER($AK$23),AI$23,""))))</f>
        <v/>
      </c>
      <c r="AJ24" s="323">
        <f>IF(ISNUMBER($AF$20),AJ$20,IF(ISNUMBER($AH$21),AJ$21,IF(ISNUMBER($AJ$22),AJ$22,IF(ISNUMBER($AL$23),AJ$23,""))))</f>
        <v/>
      </c>
      <c r="AK24" s="323">
        <f>IF(ISNUMBER($AE$20),AK$20,IF(ISNUMBER($AG$21),AK$21,IF(ISNUMBER($AI$22),AK$22,IF(ISNUMBER($AK$23),AK$23,""))))</f>
        <v/>
      </c>
      <c r="AL24" s="323">
        <f>IF(ISNUMBER($AF$20),AL$20,IF(ISNUMBER($AH$21),AL$21,IF(ISNUMBER($AJ$22),AL$22,IF(ISNUMBER($AL$23),AL$23,""))))</f>
        <v/>
      </c>
      <c r="AM24" s="323">
        <f>IF(ISNUMBER($AE$20),AM$20,IF(ISNUMBER($AG$21),AM$21,IF(ISNUMBER($AI$22),AM$22,IF(ISNUMBER($AK$23),AM$23,""))))</f>
        <v/>
      </c>
      <c r="AN24" s="323">
        <f>IF(ISNUMBER($AF$20),AN$20,IF(ISNUMBER($AH$21),AN$21,IF(ISNUMBER($AJ$22),AN$22,IF(ISNUMBER($AL$23),AN$23,""))))</f>
        <v/>
      </c>
      <c r="AO24" s="323">
        <f>IF(ISNUMBER($AE$20),AO$20,IF(ISNUMBER($AG$21),AO$21,IF(ISNUMBER($AI$22),AO$22,IF(ISNUMBER($AK$23),AO$23,""))))</f>
        <v/>
      </c>
      <c r="AP24" s="323">
        <f>IF(ISNUMBER($AF$20),AP$20,IF(ISNUMBER($AH$21),AP$21,IF(ISNUMBER($AJ$22),AP$22,IF(ISNUMBER($AL$23),AP$23,""))))</f>
        <v/>
      </c>
      <c r="AQ24" s="323">
        <f>IF(ISNUMBER($AE$20),AQ$20,IF(ISNUMBER($AG$21),AQ$21,IF(ISNUMBER($AI$22),AQ$22,IF(ISNUMBER($AK$23),AQ$23,""))))</f>
        <v/>
      </c>
      <c r="AR24" s="323">
        <f>IF(ISNUMBER($AF$20),AR$20,IF(ISNUMBER($AH$21),AR$21,IF(ISNUMBER($AJ$22),AR$22,IF(ISNUMBER($AL$23),AR$23,""))))</f>
        <v/>
      </c>
      <c r="AS24" s="323">
        <f>IF(ISNUMBER($AE$20),AS$20,IF(ISNUMBER($AG$21),AS$21,IF(ISNUMBER($AI$22),AS$22,IF(ISNUMBER($AK$23),AS$23,""))))</f>
        <v/>
      </c>
      <c r="AT24" s="323">
        <f>IF(ISNUMBER($AF$20),AT$20,IF(ISNUMBER($AH$21),AT$21,IF(ISNUMBER($AJ$22),AT$22,IF(ISNUMBER($AL$23),AT$23,""))))</f>
        <v/>
      </c>
      <c r="AU24" s="335" t="inlineStr">
        <is>
          <t>Section</t>
        </is>
      </c>
      <c r="AV24" s="674" t="inlineStr">
        <is>
          <t>N</t>
        </is>
      </c>
      <c r="AW24" s="677" t="n"/>
      <c r="AX24" s="677" t="n"/>
      <c r="AY24" s="677" t="n"/>
      <c r="AZ24" s="677" t="n"/>
      <c r="BA24" s="677" t="n"/>
      <c r="BB24" s="677" t="n"/>
      <c r="BC24" s="675" t="n"/>
      <c r="BD24" s="674" t="inlineStr">
        <is>
          <t>W</t>
        </is>
      </c>
      <c r="BE24" s="677" t="n"/>
      <c r="BF24" s="677" t="n"/>
      <c r="BG24" s="677" t="n"/>
      <c r="BH24" s="677" t="n"/>
      <c r="BI24" s="677" t="n"/>
      <c r="BJ24" s="677" t="n"/>
      <c r="BK24" s="675" t="n"/>
      <c r="BL24" s="674" t="inlineStr">
        <is>
          <t>S</t>
        </is>
      </c>
      <c r="BM24" s="677" t="n"/>
      <c r="BN24" s="677" t="n"/>
      <c r="BO24" s="677" t="n"/>
      <c r="BP24" s="677" t="n"/>
      <c r="BQ24" s="677" t="n"/>
      <c r="BR24" s="677" t="n"/>
      <c r="BS24" s="675" t="n"/>
      <c r="BT24" s="674" t="inlineStr">
        <is>
          <t>E</t>
        </is>
      </c>
      <c r="BU24" s="677" t="n"/>
      <c r="BV24" s="677" t="n"/>
      <c r="BW24" s="677" t="n"/>
      <c r="BX24" s="677" t="n"/>
      <c r="BY24" s="677" t="n"/>
      <c r="BZ24" s="677" t="n"/>
      <c r="CA24" s="675" t="n"/>
    </row>
    <row r="25" ht="12" customHeight="1" s="613">
      <c r="A25" s="429" t="inlineStr">
        <is>
          <t>dist.</t>
        </is>
      </c>
      <c r="B25" s="368">
        <f>IF(NOT(ISBLANK(D25)),D25,DGET('Grid Numbers'!$A$2:$L$4952,'Grid Numbers'!$H$2,$B$66:$H$67))</f>
        <v/>
      </c>
      <c r="C25" s="700" t="n"/>
      <c r="D25" s="504" t="n"/>
      <c r="L25" s="310" t="n"/>
      <c r="M25" s="309" t="n"/>
      <c r="U25" s="504" t="n"/>
      <c r="V25" s="646" t="n"/>
      <c r="W25" s="473">
        <f>IF(NOT(ISBLANK(U25)),U25,DGET('Grid Numbers'!$A$2:$L$4952,'Grid Numbers'!$H$2,$B$74:$H$75))</f>
        <v/>
      </c>
      <c r="X25" s="426" t="inlineStr">
        <is>
          <t>dist.</t>
        </is>
      </c>
      <c r="AA25" s="689" t="n"/>
      <c r="AB25" s="689" t="n"/>
      <c r="AC25" s="332" t="n"/>
      <c r="AD25" s="331" t="n"/>
      <c r="AE25" s="330" t="n"/>
      <c r="AF25" s="330" t="n"/>
      <c r="AG25" s="330" t="n"/>
      <c r="AH25" s="330" t="n"/>
      <c r="AI25" s="330" t="n"/>
      <c r="AJ25" s="330" t="n"/>
      <c r="AK25" s="330" t="n"/>
      <c r="AL25" s="330" t="n"/>
      <c r="AM25" s="330" t="n"/>
      <c r="AN25" s="330" t="n"/>
      <c r="AO25" s="330" t="n"/>
      <c r="AP25" s="330" t="n"/>
      <c r="AQ25" s="330" t="n"/>
      <c r="AR25" s="330" t="n"/>
      <c r="AS25" s="330" t="n"/>
      <c r="AT25" s="330" t="n"/>
      <c r="AU25" s="335" t="inlineStr">
        <is>
          <t>N-S &amp; E-W</t>
        </is>
      </c>
      <c r="AV25" s="300" t="n"/>
      <c r="AW25" s="339" t="n"/>
      <c r="AX25" s="339" t="n"/>
      <c r="AY25" s="467" t="inlineStr">
        <is>
          <t>N-S</t>
        </is>
      </c>
      <c r="AZ25" s="468" t="inlineStr">
        <is>
          <t>E-W</t>
        </is>
      </c>
      <c r="BA25" s="339" t="n"/>
      <c r="BB25" s="339" t="n"/>
      <c r="BC25" s="338" t="n"/>
      <c r="BD25" s="300" t="n"/>
      <c r="BE25" s="339" t="n"/>
      <c r="BF25" s="339" t="n"/>
      <c r="BG25" s="467" t="inlineStr">
        <is>
          <t>N-S</t>
        </is>
      </c>
      <c r="BH25" s="468" t="inlineStr">
        <is>
          <t>E-W</t>
        </is>
      </c>
      <c r="BI25" s="339" t="n"/>
      <c r="BJ25" s="339" t="n"/>
      <c r="BK25" s="338" t="n"/>
      <c r="BL25" s="300" t="n"/>
      <c r="BM25" s="339" t="n"/>
      <c r="BN25" s="339" t="n"/>
      <c r="BO25" s="467" t="inlineStr">
        <is>
          <t>N-S</t>
        </is>
      </c>
      <c r="BP25" s="468" t="inlineStr">
        <is>
          <t>E-W</t>
        </is>
      </c>
      <c r="BQ25" s="339" t="n"/>
      <c r="BR25" s="339" t="n"/>
      <c r="BS25" s="338" t="n"/>
      <c r="BT25" s="300" t="n"/>
      <c r="BU25" s="339" t="n"/>
      <c r="BV25" s="339" t="n"/>
      <c r="BW25" s="467" t="inlineStr">
        <is>
          <t>N-S</t>
        </is>
      </c>
      <c r="BX25" s="468" t="inlineStr">
        <is>
          <t>E-W</t>
        </is>
      </c>
      <c r="BY25" s="339" t="n"/>
      <c r="BZ25" s="339" t="n"/>
      <c r="CA25" s="338" t="n"/>
    </row>
    <row r="26" ht="12" customHeight="1" s="613">
      <c r="A26" s="429" t="inlineStr">
        <is>
          <t>deg.</t>
        </is>
      </c>
      <c r="B26" s="295">
        <f>IF(NOT(ISBLANK(D26)),D26,DGET('Grid Numbers'!$A$2:$L$4952,'Grid Numbers'!$I$2,$B$66:$H$67))</f>
        <v/>
      </c>
      <c r="C26" s="700" t="n"/>
      <c r="D26" s="504" t="n"/>
      <c r="G26" s="686" t="inlineStr">
        <is>
          <t>Quadrant 2</t>
        </is>
      </c>
      <c r="H26" s="677" t="n"/>
      <c r="I26" s="337" t="n"/>
      <c r="L26" s="310" t="n"/>
      <c r="M26" s="309" t="n"/>
      <c r="Q26" s="686" t="inlineStr">
        <is>
          <t>Quadrant 1</t>
        </is>
      </c>
      <c r="R26" s="677" t="n"/>
      <c r="U26" s="504" t="n"/>
      <c r="V26" s="646" t="n"/>
      <c r="W26" s="474">
        <f>IF(NOT(ISBLANK(U26)),U26,DGET('Grid Numbers'!$A$2:$L$4952,'Grid Numbers'!$I$2,$B$74:$H$75))</f>
        <v/>
      </c>
      <c r="X26" s="426" t="inlineStr">
        <is>
          <t>deg.</t>
        </is>
      </c>
      <c r="AB26" s="689" t="n"/>
      <c r="AC26" s="320" t="n">
        <v>1</v>
      </c>
      <c r="AD26" s="319" t="inlineStr">
        <is>
          <t>BHL1</t>
        </is>
      </c>
      <c r="AE26" s="327">
        <f>IF(AND($AS$24+'SHL Section'!$AI$8&gt;0,$AN$24+'SHL Section'!$AK$8&gt;0),$AE$24+'SHL Section'!$AI$8,"")</f>
        <v/>
      </c>
      <c r="AF26" s="327">
        <f>IF(AND($AS$24+'SHL Section'!$AI$8&gt;0,$AN$24+'SHL Section'!$AK$8&gt;0),$AF$24+'SHL Section'!$AK$8,"")</f>
        <v/>
      </c>
      <c r="AG26" s="326">
        <f>IF($AE$26="","",$AY$26+$AE$26)</f>
        <v/>
      </c>
      <c r="AH26" s="326">
        <f>IF($AF$26="","",$AZ$26+$AF$26)</f>
        <v/>
      </c>
      <c r="AI26" s="326">
        <f>IF($AE$26="","",$BG$26+$AY$26+$AE$26)</f>
        <v/>
      </c>
      <c r="AJ26" s="326">
        <f>IF($AF$26="","",$AZ$26+$BH$26+$AF$26)</f>
        <v/>
      </c>
      <c r="AK26" s="326">
        <f>IF($AE$26="","",$BW$26+$AE$26)</f>
        <v/>
      </c>
      <c r="AL26" s="326">
        <f>IF($AF$26="","",$AF$26+$BX$26)</f>
        <v/>
      </c>
      <c r="AM26" s="326">
        <f>IF($AE$26="","",$AW$22+$AE$26)</f>
        <v/>
      </c>
      <c r="AN26" s="326">
        <f>IF($AF$26="","",$AX$22+$AF$26)</f>
        <v/>
      </c>
      <c r="AO26" s="326">
        <f>IF($AE$26="","",$AY$26+$AE$26+$BE$22)</f>
        <v/>
      </c>
      <c r="AP26" s="326">
        <f>IF($AF$26="","",$AZ$26+$AF$26+$BF$22)</f>
        <v/>
      </c>
      <c r="AQ26" s="326">
        <f>IF($AE$26="","",$BW$26+$AE$26+$BQ$22)</f>
        <v/>
      </c>
      <c r="AR26" s="326">
        <f>IF($AF$26="","",$AF$26+$BX$26+$BR$22)</f>
        <v/>
      </c>
      <c r="AS26" s="326">
        <f>IF($AE$26="","",$BY$22+$AE$26)</f>
        <v/>
      </c>
      <c r="AT26" s="326">
        <f>IF($AF$26="","",$AF$26+$BZ$22)</f>
        <v/>
      </c>
      <c r="AU26" s="335" t="n"/>
      <c r="AV26" s="298" t="n"/>
      <c r="AY26" s="766">
        <f>AW22+BA22</f>
        <v/>
      </c>
      <c r="AZ26" s="767">
        <f>AX22+BB22</f>
        <v/>
      </c>
      <c r="BC26" s="336" t="n"/>
      <c r="BD26" s="298" t="n"/>
      <c r="BG26" s="766">
        <f>BE22+BI22</f>
        <v/>
      </c>
      <c r="BH26" s="767">
        <f>BF22+BJ22</f>
        <v/>
      </c>
      <c r="BK26" s="336" t="n"/>
      <c r="BL26" s="298" t="n"/>
      <c r="BO26" s="766">
        <f>BM22+BQ22</f>
        <v/>
      </c>
      <c r="BP26" s="767">
        <f>BN22+BR22</f>
        <v/>
      </c>
      <c r="BS26" s="336" t="n"/>
      <c r="BT26" s="298" t="n"/>
      <c r="BW26" s="766">
        <f>BU22+BY22</f>
        <v/>
      </c>
      <c r="BX26" s="767">
        <f>BV22+BZ22</f>
        <v/>
      </c>
      <c r="BZ26" s="693" t="n"/>
      <c r="CA26" s="336" t="n"/>
    </row>
    <row r="27" ht="12" customHeight="1" s="613">
      <c r="A27" s="429" t="inlineStr">
        <is>
          <t>min.</t>
        </is>
      </c>
      <c r="B27" s="295">
        <f>IF(NOT(ISBLANK(D27)),D27,DGET('Grid Numbers'!$A$2:$L$4952,'Grid Numbers'!$J$2,$B$66:$H$67))</f>
        <v/>
      </c>
      <c r="C27" s="700" t="n"/>
      <c r="D27" s="504" t="n"/>
      <c r="G27" s="315">
        <f>IF(ISNUMBER($AG$58),$B$8,"")</f>
        <v/>
      </c>
      <c r="H27" s="314">
        <f>IF(AND(G28="",G29=""),"",IF($AG$58=1,"NE/NW",IF($AG$58=2,"NW/NW",IF($AG$58=3,"SW/NW",IF($AG$58=4,"SE/NW","")))))</f>
        <v/>
      </c>
      <c r="L27" s="310" t="n"/>
      <c r="M27" s="309" t="n"/>
      <c r="Q27" s="334">
        <f>IF(ISNUMBER($AE$58),$B$8,"")</f>
        <v/>
      </c>
      <c r="R27" s="314">
        <f>IF(AND(Q28="",Q29=""),"",IF($AE$58=1,"NE/NE",IF($AE$58=2,"NW/NE",IF($AE$58=3,"SW/NE",IF($AE$58=4,"SE/NE","")))))</f>
        <v/>
      </c>
      <c r="U27" s="504" t="n"/>
      <c r="V27" s="646" t="n"/>
      <c r="W27" s="474">
        <f>IF(NOT(ISBLANK(U27)),U27,DGET('Grid Numbers'!$A$2:$L$4952,'Grid Numbers'!$J$2,$B$74:$H$75))</f>
        <v/>
      </c>
      <c r="X27" s="426" t="inlineStr">
        <is>
          <t>min.</t>
        </is>
      </c>
      <c r="AB27" s="689" t="n"/>
      <c r="AC27" s="320" t="n">
        <v>2</v>
      </c>
      <c r="AD27" s="319" t="inlineStr">
        <is>
          <t>BHL1</t>
        </is>
      </c>
      <c r="AE27" s="326">
        <f>IF($AG$27="","",$AG$27-$AY$26)</f>
        <v/>
      </c>
      <c r="AF27" s="326">
        <f>IF($AH$27="","",$AH$27-$AZ$26)</f>
        <v/>
      </c>
      <c r="AG27" s="327">
        <f>IF(AND($AO$24+'SHL Section'!$AI$8&gt;0,$AN$24+'SHL Section'!$AK$8&lt;0),$AG$24+'SHL Section'!$AI$8,"")</f>
        <v/>
      </c>
      <c r="AH27" s="327">
        <f>IF(AND($AO$24+'SHL Section'!$AI$8&gt;0,$AN$24+'SHL Section'!$AK$8&lt;0),$AH$24+'SHL Section'!$AK$8,"")</f>
        <v/>
      </c>
      <c r="AI27" s="326">
        <f>IF($AG$27="","",$BG$26+$AG$27)</f>
        <v/>
      </c>
      <c r="AJ27" s="326">
        <f>IF($AH$27="","",$AH$27+$BH$26)</f>
        <v/>
      </c>
      <c r="AK27" s="326">
        <f>IF($AG$27="","",$AG$27-$AY$26+$BW$26)</f>
        <v/>
      </c>
      <c r="AL27" s="326">
        <f>IF($AH$27="","",$AH$27-$AZ$26+$BX$26)</f>
        <v/>
      </c>
      <c r="AM27" s="326">
        <f>IF($AG$27="","",$AG$27-$BA$22)</f>
        <v/>
      </c>
      <c r="AN27" s="326">
        <f>IF($AH$27="","",AH$27-$BB$22)</f>
        <v/>
      </c>
      <c r="AO27" s="326">
        <f>IF($AG$27="","",$BE$22+$AG$27)</f>
        <v/>
      </c>
      <c r="AP27" s="326">
        <f>IF($AH$27="","",$AH$27+$BF$22)</f>
        <v/>
      </c>
      <c r="AQ27" s="326">
        <f>IF($AG$27="","",$BG$26+$AG$27-$BM$22)</f>
        <v/>
      </c>
      <c r="AR27" s="326">
        <f>IF($AH$27="","",$AH$27+$BH$26-$BN$22)</f>
        <v/>
      </c>
      <c r="AS27" s="326">
        <f>IF($AG$27="","",$AG$27-$AY$26+$BY$22)</f>
        <v/>
      </c>
      <c r="AT27" s="326">
        <f>IF($AH$27="","",$AH$27-$AZ$26+$BZ$22)</f>
        <v/>
      </c>
    </row>
    <row r="28" ht="12" customHeight="1" s="613">
      <c r="A28" s="429" t="inlineStr">
        <is>
          <t>sec.</t>
        </is>
      </c>
      <c r="B28" s="295">
        <f>IF(NOT(ISBLANK(D28)),D28,DGET('Grid Numbers'!$A$2:$L$4952,'Grid Numbers'!$K$2,$B$66:$H$67))</f>
        <v/>
      </c>
      <c r="C28" s="700" t="n"/>
      <c r="D28" s="505" t="n"/>
      <c r="G28" s="312">
        <f>IF(ISNUMBER($AG$58),$I$8,"")</f>
        <v/>
      </c>
      <c r="H28" s="311">
        <f>IF(ISNUMBER($AG$58),"FNL","")</f>
        <v/>
      </c>
      <c r="J28" s="693" t="n"/>
      <c r="K28" s="693" t="n"/>
      <c r="L28" s="310" t="n"/>
      <c r="M28" s="309" t="n"/>
      <c r="Q28" s="312">
        <f>IF(ISNUMBER($AE$58),$I$8,"")</f>
        <v/>
      </c>
      <c r="R28" s="311">
        <f>IF(ISNUMBER($AE$58),"FNL","")</f>
        <v/>
      </c>
      <c r="U28" s="505" t="n"/>
      <c r="V28" s="646" t="n"/>
      <c r="W28" s="474">
        <f>IF(NOT(ISBLANK(U28)),U28,DGET('Grid Numbers'!$A$2:$L$4952,'Grid Numbers'!$K$2,$B$74:$H$75))</f>
        <v/>
      </c>
      <c r="X28" s="426" t="inlineStr">
        <is>
          <t>sec.</t>
        </is>
      </c>
      <c r="AB28" s="689" t="n"/>
      <c r="AC28" s="320" t="n">
        <v>3</v>
      </c>
      <c r="AD28" s="319" t="inlineStr">
        <is>
          <t>BHL1</t>
        </is>
      </c>
      <c r="AE28" s="326">
        <f>IF($AI$28="","",$AI$28-$BG$26-$AY$26)</f>
        <v/>
      </c>
      <c r="AF28" s="326">
        <f>IF($AJ$28="","",$AJ$28-$BH$26-$AZ$26)</f>
        <v/>
      </c>
      <c r="AG28" s="326">
        <f>IF($AI$28="","",$AI$28-$BG$26)</f>
        <v/>
      </c>
      <c r="AH28" s="326">
        <f>IF($AJ$28="","",$AJ$28-$BH$26)</f>
        <v/>
      </c>
      <c r="AI28" s="327">
        <f>IF(AND($AO$24+'SHL Section'!$AI$8&lt;0,$AR$24+'SHL Section'!$AK$8&lt;0),$AI$24+'SHL Section'!$AI$8,"")</f>
        <v/>
      </c>
      <c r="AJ28" s="327">
        <f>IF(AND($AO$24+'SHL Section'!$AI$8&lt;0,$AR$24+'SHL Section'!$AK$8&lt;0),$AJ$24+'SHL Section'!$AK$8,"")</f>
        <v/>
      </c>
      <c r="AK28" s="326">
        <f>IF($AI$28="","",$AI$28-$BO$26)</f>
        <v/>
      </c>
      <c r="AL28" s="326">
        <f>IF($AJ$28="","",$AJ$28-$BP$26)</f>
        <v/>
      </c>
      <c r="AM28" s="326">
        <f>IF($AI$28="","",$AI$28-$BG$26-$BA$26)</f>
        <v/>
      </c>
      <c r="AN28" s="326">
        <f>IF($AJ$28="","",$AJ$28-$BH$26-$BB$26)</f>
        <v/>
      </c>
      <c r="AO28" s="326">
        <f>IF($AI$28="","",$AI$28-$BI$26)</f>
        <v/>
      </c>
      <c r="AP28" s="326">
        <f>IF($AJ$28="","",$AJ$28-$BJ$26)</f>
        <v/>
      </c>
      <c r="AQ28" s="326">
        <f>IF($AI$28="","",$AI$28-$BM$26)</f>
        <v/>
      </c>
      <c r="AR28" s="326">
        <f>IF($AJ$28="","",$AJ$28-$BN$26)</f>
        <v/>
      </c>
      <c r="AS28" s="326">
        <f>IF($AI$28="","",$AI$28-$BO$26-$BU$26)</f>
        <v/>
      </c>
      <c r="AT28" s="326">
        <f>IF($AJ$28="","",$AJ$28-$BP$26-$BV$22)</f>
        <v/>
      </c>
      <c r="AU28" s="335" t="inlineStr">
        <is>
          <t>Cosine</t>
        </is>
      </c>
      <c r="AV28" s="773">
        <f>$AW$19/($AV$19^2+$AW$19^2)^0.5</f>
        <v/>
      </c>
      <c r="AW28" s="773" t="n"/>
      <c r="AX28" s="773">
        <f>$AY$19/($AX$19^2+$AY$19^2)^0.5</f>
        <v/>
      </c>
      <c r="AY28" s="764" t="n"/>
      <c r="AZ28" s="773">
        <f>$BA$19/($AZ$19^2+$BA$19^2)^0.5</f>
        <v/>
      </c>
      <c r="BA28" s="773" t="n"/>
      <c r="BB28" s="773">
        <f>$BC$19/($BB$19^2+$BC$19^2)^0.5</f>
        <v/>
      </c>
      <c r="BC28" s="764" t="n"/>
      <c r="BD28" s="773">
        <f>$BD$19/($BD$19^2+$BE$19^2)^0.5</f>
        <v/>
      </c>
      <c r="BE28" s="773" t="n"/>
      <c r="BF28" s="773">
        <f>$BF$19/($BF$19^2+$BG$19^2)^0.5</f>
        <v/>
      </c>
      <c r="BG28" s="764" t="n"/>
      <c r="BH28" s="773">
        <f>$BH$19/($BH$19^2+$BI$19^2)^0.5</f>
        <v/>
      </c>
      <c r="BI28" s="773" t="n"/>
      <c r="BJ28" s="773">
        <f>$BJ$19/($BJ$19^2+$BK$19^2)^0.5</f>
        <v/>
      </c>
      <c r="BK28" s="764" t="n"/>
      <c r="BL28" s="773">
        <f>$BM$19/($BL$19^2+$BM$19^2)^0.5</f>
        <v/>
      </c>
      <c r="BM28" s="773" t="n"/>
      <c r="BN28" s="773">
        <f>$BO$19/($BN$19^2+$BO$19^2)^0.5</f>
        <v/>
      </c>
      <c r="BO28" s="764" t="n"/>
      <c r="BP28" s="773">
        <f>$BQ$19/($BP$19^2+$BQ$19^2)^0.5</f>
        <v/>
      </c>
      <c r="BQ28" s="773" t="n"/>
      <c r="BR28" s="773">
        <f>$BS$19/($BR$19^2+$BS$19^2)^0.5</f>
        <v/>
      </c>
      <c r="BS28" s="764" t="n"/>
      <c r="BT28" s="773">
        <f>$BT$19/($BT$19^2+$BU$19^2)^0.5</f>
        <v/>
      </c>
      <c r="BU28" s="773" t="n"/>
      <c r="BV28" s="773">
        <f>$BV$19/($BV$19^2+$BW$19^2)^0.5</f>
        <v/>
      </c>
      <c r="BW28" s="764" t="n"/>
      <c r="BX28" s="773">
        <f>$BX$19/($BX$19^2+$BY$19^2)^0.5</f>
        <v/>
      </c>
      <c r="BY28" s="773" t="n"/>
      <c r="BZ28" s="773">
        <f>$BZ$19/($BZ$19^2+$CA$19^2)^0.5</f>
        <v/>
      </c>
      <c r="CA28" s="764" t="n"/>
    </row>
    <row r="29" ht="12" customHeight="1" s="613">
      <c r="A29" s="429" t="inlineStr">
        <is>
          <t>dir.</t>
        </is>
      </c>
      <c r="B29" s="321">
        <f>IF(NOT(ISBLANK(D29)),D29,DGET('Grid Numbers'!$A$2:$L$4952,'Grid Numbers'!$L$2,$B$66:$H$67))</f>
        <v/>
      </c>
      <c r="C29" s="700" t="n"/>
      <c r="D29" s="508" t="n"/>
      <c r="G29" s="308">
        <f>IF(ISNUMBER($AG$58),$K$8,"")</f>
        <v/>
      </c>
      <c r="H29" s="307">
        <f>IF(ISNUMBER($AG$58),"FWL","")</f>
        <v/>
      </c>
      <c r="J29" s="693" t="n"/>
      <c r="K29" s="693" t="n"/>
      <c r="L29" s="310" t="n"/>
      <c r="M29" s="309" t="n"/>
      <c r="Q29" s="308">
        <f>IF(ISNUMBER($AE$58),$K$8,"")</f>
        <v/>
      </c>
      <c r="R29" s="307">
        <f>IF(ISNUMBER($AE$58),"FEL","")</f>
        <v/>
      </c>
      <c r="U29" s="508" t="n"/>
      <c r="V29" s="646" t="n"/>
      <c r="W29" s="321">
        <f>IF(NOT(ISBLANK(U29)),U29,DGET('Grid Numbers'!$A$2:$L$4952,'Grid Numbers'!$L$2,$B$74:$H$75))</f>
        <v/>
      </c>
      <c r="X29" s="426" t="inlineStr">
        <is>
          <t>dir.</t>
        </is>
      </c>
      <c r="AB29" s="689" t="n"/>
      <c r="AC29" s="469" t="n">
        <v>4</v>
      </c>
      <c r="AD29" s="676" t="inlineStr">
        <is>
          <t>BHL1</t>
        </is>
      </c>
      <c r="AE29" s="324">
        <f>IF($AK$29="","",$AK$29-$BW$26)</f>
        <v/>
      </c>
      <c r="AF29" s="324">
        <f>IF($AL$29="","",$AL$29-$BX$26)</f>
        <v/>
      </c>
      <c r="AG29" s="324">
        <f>IF($AK$29="","",$AK$29+$BO$26-$BG$26)</f>
        <v/>
      </c>
      <c r="AH29" s="324">
        <f>IF($AL$29="","",$AL$29+$BP$26+$BH$26)</f>
        <v/>
      </c>
      <c r="AI29" s="324">
        <f>IF($AK$29="","",$AK$29+$BO$26)</f>
        <v/>
      </c>
      <c r="AJ29" s="324">
        <f>IF($AL$29="","",$AL$29+$BP$26)</f>
        <v/>
      </c>
      <c r="AK29" s="325">
        <f>IF(AND($AS$24+'SHL Section'!$AI$8&lt;0,$AR$24+'SHL Section'!$AK$8&gt;0),$AK$24+'SHL Section'!$AI$8,"")</f>
        <v/>
      </c>
      <c r="AL29" s="325">
        <f>IF(AND($AS$24+'SHL Section'!$AI$8&lt;0,$AR$24+'SHL Section'!$AK$8&gt;0),$AL$24+'SHL Section'!$AK$8,"")</f>
        <v/>
      </c>
      <c r="AM29" s="324">
        <f>IF($AK$29="","",$AK$29-$BW$26+$AW$22)</f>
        <v/>
      </c>
      <c r="AN29" s="324">
        <f>IF($AL$29="","",$AL$29-$BX$26+$AX$22)</f>
        <v/>
      </c>
      <c r="AO29" s="324">
        <f>IF($AK$29="","",$AK$29+$BO$26-$BI$22)</f>
        <v/>
      </c>
      <c r="AP29" s="324">
        <f>IF($AL$29="","",$AL$29+$BP$26-$BJ$22)</f>
        <v/>
      </c>
      <c r="AQ29" s="324">
        <f>IF($AK$29="","",$AK$29+$BQ$22)</f>
        <v/>
      </c>
      <c r="AR29" s="324">
        <f>IF($AL$29="","",$AL$29+$BR$22)</f>
        <v/>
      </c>
      <c r="AS29" s="324">
        <f>IF($AK$29="","",$AK$29-$BU$22)</f>
        <v/>
      </c>
      <c r="AT29" s="324">
        <f>IF($AL$29="","",$AL$29-$BV$22)</f>
        <v/>
      </c>
      <c r="AV29" s="764" t="n"/>
      <c r="AW29" s="764" t="n"/>
      <c r="AX29" s="764" t="n"/>
      <c r="AY29" s="764" t="n"/>
      <c r="AZ29" s="764" t="n"/>
      <c r="BA29" s="764" t="n"/>
      <c r="BB29" s="764" t="n"/>
      <c r="BC29" s="764" t="n"/>
      <c r="BD29" s="764" t="n"/>
      <c r="BE29" s="764" t="n"/>
      <c r="BF29" s="764" t="n"/>
      <c r="BG29" s="764" t="n"/>
      <c r="BH29" s="764" t="n"/>
      <c r="BI29" s="764" t="n"/>
      <c r="BJ29" s="764" t="n"/>
      <c r="BK29" s="764" t="n"/>
      <c r="BL29" s="764" t="n"/>
      <c r="BM29" s="764" t="n"/>
      <c r="BN29" s="764" t="n"/>
      <c r="BO29" s="764" t="n"/>
      <c r="BP29" s="764" t="n"/>
      <c r="BQ29" s="764" t="n"/>
      <c r="BR29" s="764" t="n"/>
      <c r="BS29" s="764" t="n"/>
      <c r="BT29" s="764" t="n"/>
      <c r="BU29" s="764" t="n"/>
      <c r="BV29" s="764" t="n"/>
      <c r="BW29" s="764" t="n"/>
      <c r="BX29" s="764" t="n"/>
      <c r="BY29" s="764" t="n"/>
      <c r="BZ29" s="764" t="n"/>
      <c r="CA29" s="764" t="n"/>
    </row>
    <row r="30" ht="12" customHeight="1" s="613">
      <c r="A30" s="429" t="inlineStr">
        <is>
          <t>dec. deg.</t>
        </is>
      </c>
      <c r="B30" s="771">
        <f>IF(AND($L$38='SHL Section'!$BE$50,MAX('SHL Section'!$BF$37:$BF$40)=4),'SHL Section'!$W$30,IF(AND($L$38='SHL Section'!$BE$53,MAX('SHL Section'!$BF$41:$BF$44)=4),'SHL Section'!$W$30,IF(AND($L$38='SHL Section'!$BE$56,MAX('SHL Section'!$BF$45:$BF$48)=4),'SHL Section'!$W$30,IF(B26="","",IF(OR(B29=1,B29=4),180-(B26+B27/60+B28/3600),180+(B26+B27/60+B28/3600))))))</f>
        <v/>
      </c>
      <c r="C30" s="700" t="n"/>
      <c r="G30" s="315">
        <f>IF(ISNUMBER($AG$69),$B$9,"")</f>
        <v/>
      </c>
      <c r="H30" s="314">
        <f>IF(AND(G31="",G32=""),"",IF($AG$69=1,"NE/NW",IF($AG$69=2,"NW/NW",IF($AG$69=3,"SW/NW",IF($AG$69=4,"SE/NW","")))))</f>
        <v/>
      </c>
      <c r="J30" s="427" t="n"/>
      <c r="K30" s="427" t="n"/>
      <c r="L30" s="310" t="n"/>
      <c r="M30" s="309" t="n"/>
      <c r="Q30" s="334">
        <f>IF(ISNUMBER($AE$69),$B$9,"")</f>
        <v/>
      </c>
      <c r="R30" s="314">
        <f>IF(AND(Q31="",Q32=""),"",IF($AE$69=1,"NE/NE",IF($AE$69=2,"NW/NE",IF($AE$69=3,"SW/NE",IF($AE$69=4,"SE/NE","")))))</f>
        <v/>
      </c>
      <c r="V30" s="646" t="n"/>
      <c r="W30" s="770">
        <f>IF(AND($L$38='SHL Section'!$BE$50,MAX('SHL Section'!$BF$37:$BF$40)=8),'SHL Section'!$B$30,IF(AND($L$38='SHL Section'!$BE$53,MAX('SHL Section'!$BF$41:$BF$44)=8),'SHL Section'!$B$30,IF(AND($L$38='SHL Section'!$BE$56,MAX('SHL Section'!$BF$45:$BF$48)=8),'SHL Section'!$B$30,IF(W26="","",IF(OR(W29=1,W29=4),180-(W26+W27/60+W28/3600),180+(W26+W27/60+W28/3600))))))</f>
        <v/>
      </c>
      <c r="X30" s="426" t="inlineStr">
        <is>
          <t>dec. deg.</t>
        </is>
      </c>
      <c r="AB30" s="689" t="n"/>
      <c r="AC30" s="671" t="n"/>
      <c r="AD30" s="617" t="n"/>
      <c r="AE30" s="323">
        <f>IF(ISNUMBER($AE$26),AE$26,IF(ISNUMBER($AG$27),AE$27,IF(ISNUMBER($AI$28),AE$28,IF(ISNUMBER($AK$29),AE$29,""))))</f>
        <v/>
      </c>
      <c r="AF30" s="323">
        <f>IF(ISNUMBER($AF$26),AF$26,IF(ISNUMBER($AH$27),AF$27,IF(ISNUMBER($AJ$28),AF$28,IF(ISNUMBER($AL$29),AF$29,""))))</f>
        <v/>
      </c>
      <c r="AG30" s="323">
        <f>IF(ISNUMBER($AE$26),AG$26,IF(ISNUMBER($AG$27),AG$27,IF(ISNUMBER($AI$28),AG$28,IF(ISNUMBER($AK$29),AG$29,""))))</f>
        <v/>
      </c>
      <c r="AH30" s="323">
        <f>IF(ISNUMBER($AF$26),AH$26,IF(ISNUMBER($AH$27),AH$27,IF(ISNUMBER($AJ$28),AH$28,IF(ISNUMBER($AL$29),AH$29,""))))</f>
        <v/>
      </c>
      <c r="AI30" s="323">
        <f>IF(ISNUMBER($AE$26),AI$26,IF(ISNUMBER($AG$27),AI$27,IF(ISNUMBER($AI$28),AI$28,IF(ISNUMBER($AK$29),AI$29,""))))</f>
        <v/>
      </c>
      <c r="AJ30" s="323">
        <f>IF(ISNUMBER($AF$26),AJ$26,IF(ISNUMBER($AH$27),AJ$27,IF(ISNUMBER($AJ$28),AJ$28,IF(ISNUMBER($AL$29),AJ$29,""))))</f>
        <v/>
      </c>
      <c r="AK30" s="323">
        <f>IF(ISNUMBER($AE$26),AK$26,IF(ISNUMBER($AG$27),AK$27,IF(ISNUMBER($AI$28),AK$28,IF(ISNUMBER($AK$29),AK$29,""))))</f>
        <v/>
      </c>
      <c r="AL30" s="323">
        <f>IF(ISNUMBER($AF$26),AL$26,IF(ISNUMBER($AH$27),AL$27,IF(ISNUMBER($AJ$28),AL$28,IF(ISNUMBER($AL$29),AL$29,""))))</f>
        <v/>
      </c>
      <c r="AM30" s="323">
        <f>IF(ISNUMBER($AE$26),AM$26,IF(ISNUMBER($AG$27),AM$27,IF(ISNUMBER($AI$28),AM$28,IF(ISNUMBER($AK$29),AM$29,""))))</f>
        <v/>
      </c>
      <c r="AN30" s="323">
        <f>IF(ISNUMBER($AF$26),AN$26,IF(ISNUMBER($AH$27),AN$27,IF(ISNUMBER($AJ$28),AN$28,IF(ISNUMBER($AL$29),AN$29,""))))</f>
        <v/>
      </c>
      <c r="AO30" s="323">
        <f>IF(ISNUMBER($AE$26),AO$26,IF(ISNUMBER($AG$27),AO$27,IF(ISNUMBER($AI$28),AO$28,IF(ISNUMBER($AK$29),AO$29,""))))</f>
        <v/>
      </c>
      <c r="AP30" s="323">
        <f>IF(ISNUMBER($AF$26),AP$26,IF(ISNUMBER($AH$27),AP$27,IF(ISNUMBER($AJ$28),AP$28,IF(ISNUMBER($AL$29),AP$29,""))))</f>
        <v/>
      </c>
      <c r="AQ30" s="323">
        <f>IF(ISNUMBER($AE$26),AQ$26,IF(ISNUMBER($AG$27),AQ$27,IF(ISNUMBER($AI$28),AQ$28,IF(ISNUMBER($AK$29),AQ$29,""))))</f>
        <v/>
      </c>
      <c r="AR30" s="323">
        <f>IF(ISNUMBER($AF$26),AR$26,IF(ISNUMBER($AH$27),AR$27,IF(ISNUMBER($AJ$28),AR$28,IF(ISNUMBER($AL$29),AR$29,""))))</f>
        <v/>
      </c>
      <c r="AS30" s="323">
        <f>IF(ISNUMBER($AE$26),AS$26,IF(ISNUMBER($AG$27),AS$27,IF(ISNUMBER($AI$28),AS$28,IF(ISNUMBER($AK$29),AS$29,""))))</f>
        <v/>
      </c>
      <c r="AT30" s="323">
        <f>IF(ISNUMBER($AF$26),AT$26,IF(ISNUMBER($AH$27),AT$27,IF(ISNUMBER($AJ$28),AT$28,IF(ISNUMBER($AL$29),AT$29,""))))</f>
        <v/>
      </c>
      <c r="AV30" s="764" t="n"/>
      <c r="AW30" s="764" t="n"/>
      <c r="AX30" s="764" t="n"/>
      <c r="AY30" s="764" t="n"/>
      <c r="AZ30" s="764" t="n"/>
      <c r="BA30" s="764" t="n"/>
      <c r="BB30" s="764" t="n"/>
      <c r="BC30" s="764" t="n"/>
      <c r="BD30" s="764" t="n"/>
      <c r="BE30" s="764" t="n"/>
      <c r="BF30" s="764" t="n"/>
      <c r="BG30" s="764" t="n"/>
      <c r="BH30" s="764" t="n"/>
      <c r="BI30" s="764" t="n"/>
      <c r="BJ30" s="764" t="n"/>
      <c r="BK30" s="764" t="n"/>
      <c r="BL30" s="764" t="n"/>
      <c r="BM30" s="764" t="n"/>
      <c r="BN30" s="764" t="n"/>
      <c r="BO30" s="764" t="n"/>
      <c r="BP30" s="764" t="n"/>
      <c r="BQ30" s="764" t="n"/>
      <c r="BR30" s="764" t="n"/>
      <c r="BS30" s="764" t="n"/>
      <c r="BT30" s="764" t="n"/>
      <c r="BU30" s="764" t="n"/>
      <c r="BV30" s="764" t="n"/>
      <c r="BW30" s="764" t="n"/>
      <c r="BX30" s="764" t="n"/>
      <c r="BY30" s="764" t="n"/>
      <c r="BZ30" s="764" t="n"/>
      <c r="CA30" s="764" t="n"/>
    </row>
    <row r="31" ht="12" customHeight="1" s="613">
      <c r="C31" s="700" t="n"/>
      <c r="G31" s="312">
        <f>IF(ISNUMBER($AG$69),$I$9,"")</f>
        <v/>
      </c>
      <c r="H31" s="311">
        <f>IF(ISNUMBER($AG$69),"FNL","")</f>
        <v/>
      </c>
      <c r="J31" s="427" t="n"/>
      <c r="K31" s="427" t="n"/>
      <c r="L31" s="310" t="n"/>
      <c r="M31" s="309" t="n"/>
      <c r="Q31" s="312">
        <f>IF(ISNUMBER($AE$69),$I$9,"")</f>
        <v/>
      </c>
      <c r="R31" s="311">
        <f>IF(ISNUMBER($AE$69),"FNL","")</f>
        <v/>
      </c>
      <c r="V31" s="646" t="n"/>
      <c r="AB31" s="689" t="n"/>
      <c r="AC31" s="332" t="n"/>
      <c r="AD31" s="331" t="n"/>
      <c r="AE31" s="330" t="n"/>
      <c r="AF31" s="330" t="n"/>
      <c r="AG31" s="330" t="n"/>
      <c r="AH31" s="330" t="n"/>
      <c r="AI31" s="330" t="n"/>
      <c r="AJ31" s="330" t="n"/>
      <c r="AK31" s="330" t="n"/>
      <c r="AL31" s="330" t="n"/>
      <c r="AM31" s="330" t="n"/>
      <c r="AN31" s="330" t="n"/>
      <c r="AO31" s="330" t="n"/>
      <c r="AP31" s="330" t="n"/>
      <c r="AQ31" s="330" t="n"/>
      <c r="AR31" s="330" t="n"/>
      <c r="AS31" s="330" t="n"/>
      <c r="AT31" s="330" t="n"/>
      <c r="AV31" s="764" t="n"/>
      <c r="AW31" s="764" t="n"/>
      <c r="AX31" s="764" t="n"/>
      <c r="AY31" s="764" t="n"/>
      <c r="AZ31" s="764" t="n"/>
      <c r="BA31" s="764" t="n"/>
      <c r="BB31" s="764" t="n"/>
      <c r="BC31" s="764" t="n"/>
      <c r="BD31" s="764" t="n"/>
      <c r="BE31" s="764" t="n"/>
      <c r="BF31" s="764" t="n"/>
      <c r="BG31" s="764" t="n"/>
      <c r="BH31" s="764" t="n"/>
      <c r="BI31" s="764" t="n"/>
      <c r="BJ31" s="764" t="n"/>
      <c r="BK31" s="764" t="n"/>
      <c r="BL31" s="764" t="n"/>
      <c r="BM31" s="764" t="n"/>
      <c r="BN31" s="764" t="n"/>
      <c r="BO31" s="764" t="n"/>
      <c r="BP31" s="764" t="n"/>
      <c r="BQ31" s="764" t="n"/>
      <c r="BR31" s="764" t="n"/>
      <c r="BS31" s="764" t="n"/>
      <c r="BT31" s="764" t="n"/>
      <c r="BU31" s="764" t="n"/>
      <c r="BV31" s="764" t="n"/>
      <c r="BW31" s="764" t="n"/>
      <c r="BX31" s="764" t="n"/>
      <c r="BY31" s="764" t="n"/>
      <c r="BZ31" s="764" t="n"/>
      <c r="CA31" s="764" t="n"/>
    </row>
    <row r="32" ht="12" customHeight="1" s="613">
      <c r="B32" s="420">
        <f>IF(AND($L$38='SHL Section'!$BE$50,MAX('SHL Section'!$BF$37:$BF$40)=4),'SHL Section'!$W$33,IF(AND($L$38='SHL Section'!$BE$53,MAX('SHL Section'!$BF$41:$BF$44)=4),'SHL Section'!$W$33,IF(AND($L$38='SHL Section'!$BE$56,MAX('SHL Section'!$BF$45:$BF$48)=4),'SHL Section'!$W$33,B33)))</f>
        <v/>
      </c>
      <c r="C32" s="700" t="n"/>
      <c r="F32" s="693" t="n"/>
      <c r="G32" s="308">
        <f>IF(ISNUMBER($AG$69),$K$9,"")</f>
        <v/>
      </c>
      <c r="H32" s="307">
        <f>IF(ISNUMBER($AG$69),"FWL","")</f>
        <v/>
      </c>
      <c r="I32" s="428" t="n"/>
      <c r="J32" s="427" t="n"/>
      <c r="K32" s="427" t="n"/>
      <c r="L32" s="310" t="n"/>
      <c r="M32" s="309" t="n"/>
      <c r="Q32" s="308">
        <f>IF(ISNUMBER($AE$69),$K$9,"")</f>
        <v/>
      </c>
      <c r="R32" s="307">
        <f>IF(ISNUMBER($AE$69),"FEL","")</f>
        <v/>
      </c>
      <c r="V32" s="646" t="n"/>
      <c r="W32" s="428">
        <f>IF(AND($L$38='SHL Section'!$BE$50,MAX('SHL Section'!$BF$37:$BF$40)=8),'SHL Section'!$B$33,IF(AND($L$38='SHL Section'!$BE$53,MAX('SHL Section'!$BF$41:$BF$44)=8),'SHL Section'!$B$33,IF(AND($L$38='SHL Section'!$BE$56,MAX('SHL Section'!$BF$45:$BF$48)=8),'SHL Section'!$B$33,W33)))</f>
        <v/>
      </c>
      <c r="AB32" s="689" t="n"/>
      <c r="AC32" s="320" t="n">
        <v>1</v>
      </c>
      <c r="AD32" s="319" t="inlineStr">
        <is>
          <t>BHL2</t>
        </is>
      </c>
      <c r="AE32" s="327">
        <f>IF(AND($AS$24+'SHL Section'!$AI$9&gt;0,$AN$24+'SHL Section'!$AK$9&gt;0),$AE$24+'SHL Section'!$AI$9,"")</f>
        <v/>
      </c>
      <c r="AF32" s="327">
        <f>IF(AND($AS$24+'SHL Section'!$AI$9&gt;0,$AN$24+'SHL Section'!$AK$9&gt;0),$AF$24+'SHL Section'!$AK$9,"")</f>
        <v/>
      </c>
      <c r="AG32" s="326">
        <f>IF($AE$32="","",$AY$26+$AE$32)</f>
        <v/>
      </c>
      <c r="AH32" s="326">
        <f>IF($AF$32="","",$AZ$26+$AF$32)</f>
        <v/>
      </c>
      <c r="AI32" s="326">
        <f>IF($AE$32="","",$BG$26+$AY$26+$AE$32)</f>
        <v/>
      </c>
      <c r="AJ32" s="326">
        <f>IF($AF$32="","",$AZ$26+$BH$26+$AF$32)</f>
        <v/>
      </c>
      <c r="AK32" s="326">
        <f>IF($AE$32="","",$BW$26+$AE$32)</f>
        <v/>
      </c>
      <c r="AL32" s="326">
        <f>IF($AF$32="","",$AF$32+$BX$26)</f>
        <v/>
      </c>
      <c r="AM32" s="326">
        <f>IF($AE$32="","",$AW$22+$AE$32)</f>
        <v/>
      </c>
      <c r="AN32" s="326">
        <f>IF($AF$32="","",$AX$22+$AF$32)</f>
        <v/>
      </c>
      <c r="AO32" s="326">
        <f>IF($AE$32="","",$AY$26+$AE$32+$BE$22)</f>
        <v/>
      </c>
      <c r="AP32" s="326">
        <f>IF($AF$32="","",$AZ$26+$AF$32+$BF$22)</f>
        <v/>
      </c>
      <c r="AQ32" s="326">
        <f>IF($AE$32="","",$BW$26+$AE$32+$BQ$22)</f>
        <v/>
      </c>
      <c r="AR32" s="326">
        <f>IF($AF$32="","",$AF$32+$BX$26+$BR$22)</f>
        <v/>
      </c>
      <c r="AS32" s="326">
        <f>IF($AE$32="","",$BY$22+$AE$32)</f>
        <v/>
      </c>
      <c r="AT32" s="326">
        <f>IF($AF$32="","",$AF$32+$BZ$22)</f>
        <v/>
      </c>
      <c r="AV32" s="764" t="n"/>
      <c r="AW32" s="764" t="n"/>
      <c r="AX32" s="764" t="n"/>
      <c r="AY32" s="764" t="n"/>
      <c r="AZ32" s="764" t="n"/>
      <c r="BA32" s="764" t="n"/>
      <c r="BB32" s="764" t="n"/>
      <c r="BC32" s="764" t="n"/>
      <c r="BD32" s="764" t="n"/>
      <c r="BE32" s="764" t="n"/>
      <c r="BF32" s="764" t="n"/>
      <c r="BG32" s="764" t="n"/>
      <c r="BH32" s="764" t="n"/>
      <c r="BI32" s="764" t="n"/>
      <c r="BJ32" s="764" t="n"/>
      <c r="BK32" s="764" t="n"/>
      <c r="BL32" s="764" t="n"/>
      <c r="BM32" s="764" t="n"/>
      <c r="BN32" s="764" t="n"/>
      <c r="BO32" s="764" t="n"/>
      <c r="BP32" s="764" t="n"/>
      <c r="BQ32" s="764" t="n"/>
      <c r="BR32" s="764" t="n"/>
      <c r="BS32" s="764" t="n"/>
      <c r="BT32" s="764" t="n"/>
      <c r="BU32" s="764" t="n"/>
      <c r="BV32" s="764" t="n"/>
      <c r="BW32" s="764" t="n"/>
      <c r="BX32" s="764" t="n"/>
      <c r="BY32" s="764" t="n"/>
      <c r="BZ32" s="764" t="n"/>
      <c r="CA32" s="764" t="n"/>
    </row>
    <row r="33" ht="12" customHeight="1" s="613">
      <c r="A33" s="429" t="inlineStr">
        <is>
          <t>dist.</t>
        </is>
      </c>
      <c r="B33" s="303">
        <f>IF(NOT(ISBLANK(D33)),D33,DGET('Grid Numbers'!$A$2:$L$4952,'Grid Numbers'!$H$2,$B$68:$H$69))</f>
        <v/>
      </c>
      <c r="C33" s="700" t="n"/>
      <c r="D33" s="504" t="n"/>
      <c r="G33" s="315">
        <f>IF(ISNUMBER($AG$80),$B$10,"")</f>
        <v/>
      </c>
      <c r="H33" s="314">
        <f>IF(AND(G34="",G35=""),"",IF($AG$80=1,"NE/NW",IF($AG$80=2,"NW/NW",IF($AG$80=3,"SW/NW",IF($AG$80=4,"SE/NW","")))))</f>
        <v/>
      </c>
      <c r="J33" s="427" t="n"/>
      <c r="K33" s="427" t="n"/>
      <c r="L33" s="310" t="n"/>
      <c r="M33" s="309" t="n"/>
      <c r="Q33" s="334">
        <f>IF(ISNUMBER($AE$80),$B$10,"")</f>
        <v/>
      </c>
      <c r="R33" s="314">
        <f>IF(AND(Q34="",Q35=""),"",IF($AE$80=1,"NE/NE",IF($AE$80=2,"NW/NE",IF($AE$80=3,"SW/NE",IF($AE$80=4,"SE/NE","")))))</f>
        <v/>
      </c>
      <c r="S33" s="428" t="n"/>
      <c r="T33" s="427" t="n"/>
      <c r="U33" s="504" t="n"/>
      <c r="V33" s="646" t="n"/>
      <c r="W33" s="303">
        <f>IF(NOT(ISBLANK(U33)),U33,DGET('Grid Numbers'!$A$2:$L$4952,'Grid Numbers'!$H$2,$B$76:$H$77))</f>
        <v/>
      </c>
      <c r="X33" s="426" t="inlineStr">
        <is>
          <t>dist.</t>
        </is>
      </c>
      <c r="AB33" s="689" t="n"/>
      <c r="AC33" s="320" t="n">
        <v>2</v>
      </c>
      <c r="AD33" s="319" t="inlineStr">
        <is>
          <t>BHL2</t>
        </is>
      </c>
      <c r="AE33" s="326">
        <f>IF($AG$33="","",$AG$33-$AY$26)</f>
        <v/>
      </c>
      <c r="AF33" s="326">
        <f>IF($AH$33="","",$AH$33-$AZ$26)</f>
        <v/>
      </c>
      <c r="AG33" s="327">
        <f>IF(AND($AO$24+'SHL Section'!$AI$9&gt;0,$AN$24+'SHL Section'!$AK$9&lt;0),$AG$24+'SHL Section'!$AI$9,"")</f>
        <v/>
      </c>
      <c r="AH33" s="327">
        <f>IF(AND($AO$24+'SHL Section'!$AI$9&gt;0,$AN$24+'SHL Section'!$AK$9&lt;0),$AH$24+'SHL Section'!$AK$9,"")</f>
        <v/>
      </c>
      <c r="AI33" s="326">
        <f>IF($AG$33="","",$BG$26+$AG$33)</f>
        <v/>
      </c>
      <c r="AJ33" s="326">
        <f>IF($AH$33="","",$AH$33+$BH$26)</f>
        <v/>
      </c>
      <c r="AK33" s="326">
        <f>IF($AG$33="","",$AG$33-$AY$26+$BW$26)</f>
        <v/>
      </c>
      <c r="AL33" s="326">
        <f>IF($AH$33="","",$AH$33-$AZ$26+$BX$26)</f>
        <v/>
      </c>
      <c r="AM33" s="326">
        <f>IF($AG$33="","",$AG$33-$BA$22)</f>
        <v/>
      </c>
      <c r="AN33" s="326">
        <f>IF($AH$33="","",AH$33-$BB$22)</f>
        <v/>
      </c>
      <c r="AO33" s="326">
        <f>IF($AG$33="","",$BE$22+$AG$33)</f>
        <v/>
      </c>
      <c r="AP33" s="326">
        <f>IF($AH$33="","",$AH$33+$BF$22)</f>
        <v/>
      </c>
      <c r="AQ33" s="326">
        <f>IF($AG$33="","",$BG$26+$AG$33-$BM$22)</f>
        <v/>
      </c>
      <c r="AR33" s="326">
        <f>IF($AH$33="","",$AH$33+$BH$26-$BN$22)</f>
        <v/>
      </c>
      <c r="AS33" s="326">
        <f>IF($AG$33="","",$AG$33-$AY$26+$BY$22)</f>
        <v/>
      </c>
      <c r="AT33" s="326">
        <f>IF($AH$33="","",$AH$33-$AZ$26+$BZ$22)</f>
        <v/>
      </c>
    </row>
    <row r="34" ht="12" customHeight="1" s="613">
      <c r="A34" s="429" t="inlineStr">
        <is>
          <t>deg.</t>
        </is>
      </c>
      <c r="B34" s="296">
        <f>IF(NOT(ISBLANK(D34)),D34,DGET('Grid Numbers'!$A$2:$L$4952,'Grid Numbers'!$I$2,$B$68:$H$69))</f>
        <v/>
      </c>
      <c r="C34" s="700" t="n"/>
      <c r="D34" s="504" t="n"/>
      <c r="G34" s="312">
        <f>IF(ISNUMBER($AG$80),$I$10,"")</f>
        <v/>
      </c>
      <c r="H34" s="311">
        <f>IF(ISNUMBER($AG$80),"FNL","")</f>
        <v/>
      </c>
      <c r="J34" s="427" t="n"/>
      <c r="K34" s="427" t="n"/>
      <c r="L34" s="310" t="n"/>
      <c r="M34" s="309" t="n"/>
      <c r="Q34" s="312">
        <f>IF(ISNUMBER($AE$80),$I$10,"")</f>
        <v/>
      </c>
      <c r="R34" s="311">
        <f>IF(ISNUMBER($AE$80),"FNL","")</f>
        <v/>
      </c>
      <c r="S34" s="428" t="n"/>
      <c r="T34" s="427" t="n"/>
      <c r="U34" s="504" t="n"/>
      <c r="V34" s="646" t="n"/>
      <c r="W34" s="472">
        <f>IF(NOT(ISBLANK(U34)),U34,DGET('Grid Numbers'!$A$2:$L$4952,'Grid Numbers'!$I$2,$B$76:$H$77))</f>
        <v/>
      </c>
      <c r="X34" s="426" t="inlineStr">
        <is>
          <t>deg.</t>
        </is>
      </c>
      <c r="AB34" s="689" t="n"/>
      <c r="AC34" s="320" t="n">
        <v>3</v>
      </c>
      <c r="AD34" s="319" t="inlineStr">
        <is>
          <t>BHL2</t>
        </is>
      </c>
      <c r="AE34" s="326">
        <f>IF($AI$34="","",$AI$34-$BG$26-$AY$26)</f>
        <v/>
      </c>
      <c r="AF34" s="328">
        <f>IF($AJ$34="","",$AJ$34-$BH$26-$AZ$26)</f>
        <v/>
      </c>
      <c r="AG34" s="326">
        <f>IF($AI$34="","",$AI$34-$BG$26)</f>
        <v/>
      </c>
      <c r="AH34" s="326">
        <f>IF($AJ$34="","",$AJ$34-$BH$26)</f>
        <v/>
      </c>
      <c r="AI34" s="327">
        <f>IF(AND($AO$24+'SHL Section'!$AI$9&lt;0,$AR$24+'SHL Section'!$AK$9&lt;0),$AI$24+'SHL Section'!$AI$9,"")</f>
        <v/>
      </c>
      <c r="AJ34" s="327">
        <f>IF(AND($AO$24+'SHL Section'!$AI$9&lt;0,$AR$24+'SHL Section'!$AK$9&lt;0),$AJ$24+'SHL Section'!$AK$9,"")</f>
        <v/>
      </c>
      <c r="AK34" s="326">
        <f>IF($AI$34="","",$AI$34-$BO$26)</f>
        <v/>
      </c>
      <c r="AL34" s="326">
        <f>IF($AJ$34="","",$AJ$34-$BP$26)</f>
        <v/>
      </c>
      <c r="AM34" s="326">
        <f>IF($AI$34="","",$AI$34-$BG$26-$BA$26)</f>
        <v/>
      </c>
      <c r="AN34" s="326">
        <f>IF($AJ$34="","",$AJ$34-$BH$26-$BB$26)</f>
        <v/>
      </c>
      <c r="AO34" s="326">
        <f>IF($AI$34="","",$AI$34-$BI$26)</f>
        <v/>
      </c>
      <c r="AP34" s="326">
        <f>IF($AJ$34="","",$AJ$34-$BJ$26)</f>
        <v/>
      </c>
      <c r="AQ34" s="326">
        <f>IF($AI$34="","",$AI$34-$BM$26)</f>
        <v/>
      </c>
      <c r="AR34" s="326">
        <f>IF($AJ$34="","",$AJ$34-$BN$26)</f>
        <v/>
      </c>
      <c r="AS34" s="326">
        <f>IF($AI$34="","",$AI$34-$BO$26-$BU$26)</f>
        <v/>
      </c>
      <c r="AT34" s="326">
        <f>IF($AJ$34="","",$AJ$34-$BP$26-$BV$22)</f>
        <v/>
      </c>
      <c r="BZ34" s="693" t="n"/>
      <c r="CA34" s="693" t="n"/>
    </row>
    <row r="35" ht="12" customHeight="1" s="613">
      <c r="A35" s="429" t="inlineStr">
        <is>
          <t>min.</t>
        </is>
      </c>
      <c r="B35" s="296">
        <f>IF(NOT(ISBLANK(D35)),D35,DGET('Grid Numbers'!$A$2:$L$4952,'Grid Numbers'!$J$2,$B$68:$H$69))</f>
        <v/>
      </c>
      <c r="C35" s="700" t="n"/>
      <c r="D35" s="504" t="n"/>
      <c r="G35" s="308">
        <f>IF(ISNUMBER($AG$80),$K$10,"")</f>
        <v/>
      </c>
      <c r="H35" s="307">
        <f>IF(ISNUMBER($AG$80),"FWL","")</f>
        <v/>
      </c>
      <c r="J35" s="427" t="n"/>
      <c r="K35" s="427" t="n"/>
      <c r="L35" s="310" t="n"/>
      <c r="M35" s="309" t="n"/>
      <c r="Q35" s="308">
        <f>IF(ISNUMBER($AE$80),$K$10,"")</f>
        <v/>
      </c>
      <c r="R35" s="307">
        <f>IF(ISNUMBER($AE$80),"FEL","")</f>
        <v/>
      </c>
      <c r="S35" s="428" t="n"/>
      <c r="T35" s="427" t="n"/>
      <c r="U35" s="504" t="n"/>
      <c r="V35" s="646" t="n"/>
      <c r="W35" s="472">
        <f>IF(NOT(ISBLANK(U35)),U35,DGET('Grid Numbers'!$A$2:$L$4952,'Grid Numbers'!$J$2,$B$76:$H$77))</f>
        <v/>
      </c>
      <c r="X35" s="426" t="inlineStr">
        <is>
          <t>min.</t>
        </is>
      </c>
      <c r="AB35" s="294" t="n"/>
      <c r="AC35" s="469" t="n">
        <v>4</v>
      </c>
      <c r="AD35" s="676" t="inlineStr">
        <is>
          <t>BHL2</t>
        </is>
      </c>
      <c r="AE35" s="324">
        <f>IF($AK$35="","",$AK$35-$BW$26)</f>
        <v/>
      </c>
      <c r="AF35" s="324">
        <f>IF($AL$35="","",$AL$35-$BX$26)</f>
        <v/>
      </c>
      <c r="AG35" s="324">
        <f>IF($AK$35="","",$AK$35+$BO$26-$BG$26)</f>
        <v/>
      </c>
      <c r="AH35" s="324">
        <f>IF($AL$35="","",$AL$35+$BP$26+$BH$26)</f>
        <v/>
      </c>
      <c r="AI35" s="324">
        <f>IF($AK$35="","",$AK$35+$BO$26)</f>
        <v/>
      </c>
      <c r="AJ35" s="324">
        <f>IF($AL$35="","",$AL$35+$BP$26)</f>
        <v/>
      </c>
      <c r="AK35" s="325">
        <f>IF(AND($AS$24+'SHL Section'!$AI$9&lt;0,$AR$24+'SHL Section'!$AK$9&gt;0),$AK$24+'SHL Section'!$AI$9,"")</f>
        <v/>
      </c>
      <c r="AL35" s="325">
        <f>IF(AND($AS$24+'SHL Section'!$AI$9&lt;0,$AR$24+'SHL Section'!$AK$9&gt;0),$AL$24+'SHL Section'!$AK$9,"")</f>
        <v/>
      </c>
      <c r="AM35" s="324">
        <f>IF($AK$35="","",$AK$35-$BW$26+$AW$22)</f>
        <v/>
      </c>
      <c r="AN35" s="324">
        <f>IF($AL$35="","",$AL$35-$BX$26+$AX$22)</f>
        <v/>
      </c>
      <c r="AO35" s="324">
        <f>IF($AK$35="","",$AK$35+$BO$26-$BI$22)</f>
        <v/>
      </c>
      <c r="AP35" s="324">
        <f>IF($AL$35="","",$AL$35+$BP$26-$BJ$22)</f>
        <v/>
      </c>
      <c r="AQ35" s="324">
        <f>IF($AK$35="","",$AK$35+$BQ$22)</f>
        <v/>
      </c>
      <c r="AR35" s="324">
        <f>IF($AL$35="","",$AL$35+$BR$22)</f>
        <v/>
      </c>
      <c r="AS35" s="324">
        <f>IF($AK$35="","",$AK$35-$BU$22)</f>
        <v/>
      </c>
      <c r="AT35" s="324">
        <f>IF($AL$35="","",$AL$35-$BV$22)</f>
        <v/>
      </c>
      <c r="BG35" s="319" t="n">
        <v>1</v>
      </c>
      <c r="BH35" s="319" t="n">
        <v>2</v>
      </c>
      <c r="BI35" s="319" t="n">
        <v>3</v>
      </c>
      <c r="BJ35" s="319" t="n">
        <v>4</v>
      </c>
      <c r="BK35" s="319" t="n">
        <v>5</v>
      </c>
      <c r="BL35" s="319" t="n">
        <v>6</v>
      </c>
      <c r="BM35" s="319" t="n">
        <v>7</v>
      </c>
      <c r="BN35" s="319" t="n">
        <v>8</v>
      </c>
      <c r="BO35" s="319" t="n">
        <v>9</v>
      </c>
      <c r="BZ35" s="693" t="n"/>
      <c r="CA35" s="693" t="n"/>
    </row>
    <row r="36" ht="12" customHeight="1" s="613">
      <c r="A36" s="429" t="inlineStr">
        <is>
          <t>sec.</t>
        </is>
      </c>
      <c r="B36" s="296">
        <f>IF(NOT(ISBLANK(D36)),D36,DGET('Grid Numbers'!$A$2:$L$4952,'Grid Numbers'!$K$2,$B$68:$H$69))</f>
        <v/>
      </c>
      <c r="C36" s="700" t="n"/>
      <c r="D36" s="505" t="n"/>
      <c r="J36" s="427" t="n"/>
      <c r="K36" s="427" t="n"/>
      <c r="L36" s="310" t="n"/>
      <c r="M36" s="309" t="n"/>
      <c r="S36" s="428" t="n"/>
      <c r="T36" s="427" t="n"/>
      <c r="U36" s="505" t="n"/>
      <c r="V36" s="646" t="n"/>
      <c r="W36" s="472">
        <f>IF(NOT(ISBLANK(U36)),U36,DGET('Grid Numbers'!$A$2:$L$4952,'Grid Numbers'!$K$2,$B$76:$H$77))</f>
        <v/>
      </c>
      <c r="X36" s="426" t="inlineStr">
        <is>
          <t>sec.</t>
        </is>
      </c>
      <c r="AB36" s="294" t="n"/>
      <c r="AC36" s="671" t="n"/>
      <c r="AD36" s="617" t="n"/>
      <c r="AE36" s="323">
        <f>IF(ISNUMBER($AE$32),AE$32,IF(ISNUMBER($AG$33),AE$33,IF(ISNUMBER($AI$34),AE$34,IF(ISNUMBER($AK$35),AE$35,""))))</f>
        <v/>
      </c>
      <c r="AF36" s="323">
        <f>IF(ISNUMBER($AF$32),AF$32,IF(ISNUMBER($AH$33),AF$33,IF(ISNUMBER($AJ$34),AF$34,IF(ISNUMBER($AL$35),AF$35,""))))</f>
        <v/>
      </c>
      <c r="AG36" s="323">
        <f>IF(ISNUMBER($AE$32),AG$32,IF(ISNUMBER($AG$33),AG$33,IF(ISNUMBER($AI$34),AG$34,IF(ISNUMBER($AK$35),AG$35,""))))</f>
        <v/>
      </c>
      <c r="AH36" s="323">
        <f>IF(ISNUMBER($AF$32),AH$32,IF(ISNUMBER($AH$33),AH$33,IF(ISNUMBER($AJ$34),AH$34,IF(ISNUMBER($AL$35),AH$35,""))))</f>
        <v/>
      </c>
      <c r="AI36" s="323">
        <f>IF(ISNUMBER($AE$32),AI$32,IF(ISNUMBER($AG$33),AI$33,IF(ISNUMBER($AI$34),AI$34,IF(ISNUMBER($AK$35),AI$35,""))))</f>
        <v/>
      </c>
      <c r="AJ36" s="323">
        <f>IF(ISNUMBER($AF$32),AJ$32,IF(ISNUMBER($AH$33),AJ$33,IF(ISNUMBER($AJ$34),AJ$34,IF(ISNUMBER($AL$35),AJ$35,""))))</f>
        <v/>
      </c>
      <c r="AK36" s="323">
        <f>IF(ISNUMBER($AE$32),AK$32,IF(ISNUMBER($AG$33),AK$33,IF(ISNUMBER($AI$34),AK$34,IF(ISNUMBER($AK$35),AK$35,""))))</f>
        <v/>
      </c>
      <c r="AL36" s="323">
        <f>IF(ISNUMBER($AF$32),AL$32,IF(ISNUMBER($AH$33),AL$33,IF(ISNUMBER($AJ$34),AL$34,IF(ISNUMBER($AL$35),AL$35,""))))</f>
        <v/>
      </c>
      <c r="AM36" s="323">
        <f>IF(ISNUMBER($AE$32),AM$32,IF(ISNUMBER($AG$33),AM$33,IF(ISNUMBER($AI$34),AM$34,IF(ISNUMBER($AK$35),AM$35,""))))</f>
        <v/>
      </c>
      <c r="AN36" s="323">
        <f>IF(ISNUMBER($AF$32),AN$32,IF(ISNUMBER($AH$33),AN$33,IF(ISNUMBER($AJ$34),AN$34,IF(ISNUMBER($AL$35),AN$35,""))))</f>
        <v/>
      </c>
      <c r="AO36" s="323">
        <f>IF(ISNUMBER($AE$32),AO$32,IF(ISNUMBER($AG$33),AO$33,IF(ISNUMBER($AI$34),AO$34,IF(ISNUMBER($AK$35),AO$35,""))))</f>
        <v/>
      </c>
      <c r="AP36" s="323">
        <f>IF(ISNUMBER($AF$32),AP$32,IF(ISNUMBER($AH$33),AP$33,IF(ISNUMBER($AJ$34),AP$34,IF(ISNUMBER($AL$35),AP$35,""))))</f>
        <v/>
      </c>
      <c r="AQ36" s="323">
        <f>IF(ISNUMBER($AE$32),AQ$32,IF(ISNUMBER($AG$33),AQ$33,IF(ISNUMBER($AI$34),AQ$34,IF(ISNUMBER($AK$35),AQ$35,""))))</f>
        <v/>
      </c>
      <c r="AR36" s="323">
        <f>IF(ISNUMBER($AF$32),AR$32,IF(ISNUMBER($AH$33),AR$33,IF(ISNUMBER($AJ$34),AR$34,IF(ISNUMBER($AL$35),AR$35,""))))</f>
        <v/>
      </c>
      <c r="AS36" s="323">
        <f>IF(ISNUMBER($AE$32),AS$32,IF(ISNUMBER($AG$33),AS$33,IF(ISNUMBER($AI$34),AS$34,IF(ISNUMBER($AK$35),AS$35,""))))</f>
        <v/>
      </c>
      <c r="AT36" s="323">
        <f>IF(ISNUMBER($AF$32),AT$32,IF(ISNUMBER($AH$33),AT$33,IF(ISNUMBER($AJ$34),AT$34,IF(ISNUMBER($AL$35),AT$35,""))))</f>
        <v/>
      </c>
      <c r="AV36" s="313" t="inlineStr">
        <is>
          <t>FNL</t>
        </is>
      </c>
      <c r="AW36" s="313" t="inlineStr">
        <is>
          <t>SHL</t>
        </is>
      </c>
      <c r="AX36" s="313" t="inlineStr">
        <is>
          <t>S-E</t>
        </is>
      </c>
      <c r="AY36" s="313" t="inlineStr">
        <is>
          <t>N</t>
        </is>
      </c>
      <c r="AZ36" s="293" t="inlineStr">
        <is>
          <t>NE</t>
        </is>
      </c>
      <c r="BA36" s="313" t="inlineStr">
        <is>
          <t>Salt Lake</t>
        </is>
      </c>
      <c r="BB36" s="313" t="inlineStr">
        <is>
          <t>NE-NE</t>
        </is>
      </c>
      <c r="BD36" s="467" t="inlineStr">
        <is>
          <t>Quad</t>
        </is>
      </c>
      <c r="BE36" s="333" t="inlineStr">
        <is>
          <t>BHL</t>
        </is>
      </c>
      <c r="BF36" s="468" t="inlineStr">
        <is>
          <t>Sec. Logic</t>
        </is>
      </c>
      <c r="BG36" s="319" t="inlineStr">
        <is>
          <t>SHL</t>
        </is>
      </c>
      <c r="BH36" s="319" t="inlineStr">
        <is>
          <t>N</t>
        </is>
      </c>
      <c r="BI36" s="319" t="inlineStr">
        <is>
          <t>NE</t>
        </is>
      </c>
      <c r="BJ36" s="319" t="inlineStr">
        <is>
          <t>E</t>
        </is>
      </c>
      <c r="BK36" s="319" t="inlineStr">
        <is>
          <t>SE</t>
        </is>
      </c>
      <c r="BL36" s="319" t="inlineStr">
        <is>
          <t>S</t>
        </is>
      </c>
      <c r="BM36" s="319" t="inlineStr">
        <is>
          <t>SW</t>
        </is>
      </c>
      <c r="BN36" s="319" t="inlineStr">
        <is>
          <t>W</t>
        </is>
      </c>
      <c r="BO36" s="319" t="inlineStr">
        <is>
          <t>NW</t>
        </is>
      </c>
      <c r="BZ36" s="693" t="n"/>
      <c r="CA36" s="693" t="n"/>
    </row>
    <row r="37" ht="12" customHeight="1" s="613" thickBot="1">
      <c r="A37" s="429" t="inlineStr">
        <is>
          <t>dir.</t>
        </is>
      </c>
      <c r="B37" s="321">
        <f>IF(NOT(ISBLANK(D37)),D37,DGET('Grid Numbers'!$A$2:$L$4952,'Grid Numbers'!$L$2,$B$68:$H$69))</f>
        <v/>
      </c>
      <c r="C37" s="700" t="n"/>
      <c r="D37" s="508" t="n"/>
      <c r="J37" s="427" t="n"/>
      <c r="K37" s="427" t="n"/>
      <c r="L37" s="310" t="n"/>
      <c r="M37" s="309" t="n"/>
      <c r="O37" s="693" t="n"/>
      <c r="P37" s="693" t="n"/>
      <c r="S37" s="428" t="n"/>
      <c r="T37" s="427" t="n"/>
      <c r="U37" s="508" t="n"/>
      <c r="V37" s="646" t="n"/>
      <c r="W37" s="321">
        <f>IF(NOT(ISBLANK(U37)),U37,DGET('Grid Numbers'!$A$2:$L$4952,'Grid Numbers'!$L$2,$B$76:$H$77))</f>
        <v/>
      </c>
      <c r="X37" s="426" t="inlineStr">
        <is>
          <t>dir.</t>
        </is>
      </c>
      <c r="AB37" s="689" t="n"/>
      <c r="AC37" s="332" t="n"/>
      <c r="AD37" s="331" t="n"/>
      <c r="AE37" s="330" t="n"/>
      <c r="AF37" s="330" t="n"/>
      <c r="AG37" s="330" t="n"/>
      <c r="AH37" s="330" t="n"/>
      <c r="AI37" s="330" t="n"/>
      <c r="AJ37" s="330" t="n"/>
      <c r="AK37" s="330" t="n"/>
      <c r="AL37" s="330" t="n"/>
      <c r="AM37" s="330" t="n"/>
      <c r="AN37" s="330" t="n"/>
      <c r="AO37" s="330" t="n"/>
      <c r="AP37" s="330" t="n"/>
      <c r="AQ37" s="330" t="n"/>
      <c r="AR37" s="330" t="n"/>
      <c r="AS37" s="330" t="n"/>
      <c r="AT37" s="330" t="n"/>
      <c r="AV37" s="313" t="inlineStr">
        <is>
          <t>FSL</t>
        </is>
      </c>
      <c r="AW37" s="313" t="inlineStr">
        <is>
          <t>CPL</t>
        </is>
      </c>
      <c r="AX37" s="313" t="inlineStr">
        <is>
          <t>N-E</t>
        </is>
      </c>
      <c r="AY37" s="313" t="inlineStr">
        <is>
          <t>S</t>
        </is>
      </c>
      <c r="AZ37" s="293" t="inlineStr">
        <is>
          <t>NW</t>
        </is>
      </c>
      <c r="BA37" s="313" t="inlineStr">
        <is>
          <t>Uintah</t>
        </is>
      </c>
      <c r="BB37" s="313" t="inlineStr">
        <is>
          <t>NW-NE</t>
        </is>
      </c>
      <c r="BD37" s="320" t="n">
        <v>1</v>
      </c>
      <c r="BE37" s="319" t="inlineStr">
        <is>
          <t>BHL1</t>
        </is>
      </c>
      <c r="BF37" s="336">
        <f>IF(AND(MAX($AE$58:$AL$58)&lt;1,ISNUMBER($AE$26), ISNUMBER($AF$26)),IF(AND($AE$26&gt;0,$AF$26&gt;0),3,IF(AND($AE$26&lt;0,IF(-$AE$26&lt;$BZ$19,$AO$62,$AO$65)&lt;0),4,IF(AND(IF(-$AF$26&lt;$AW$19,$AN$62,$AN$63)&lt;0,$AF$26&lt;0),2,""))),"")</f>
        <v/>
      </c>
      <c r="BG37" s="293" t="n">
        <v>1</v>
      </c>
      <c r="BH37" s="293" t="n">
        <v>36</v>
      </c>
      <c r="BI37" s="293" t="n">
        <v>31</v>
      </c>
      <c r="BJ37" s="293" t="n">
        <v>6</v>
      </c>
      <c r="BK37" s="293" t="n">
        <v>7</v>
      </c>
      <c r="BL37" s="293" t="n">
        <v>12</v>
      </c>
      <c r="BM37" s="293" t="n">
        <v>11</v>
      </c>
      <c r="BN37" s="293" t="n">
        <v>2</v>
      </c>
      <c r="BO37" s="293" t="n">
        <v>35</v>
      </c>
      <c r="BZ37" s="693" t="n"/>
      <c r="CA37" s="693" t="n"/>
    </row>
    <row r="38" ht="12" customHeight="1" s="613" thickBot="1">
      <c r="A38" s="429" t="inlineStr">
        <is>
          <t>dec. deg.</t>
        </is>
      </c>
      <c r="B38" s="771">
        <f>IF(AND($L$38='SHL Section'!$BE$50,MAX('SHL Section'!$BF$37:$BF$40)=4),'SHL Section'!$W$38,IF(AND($L$38='SHL Section'!$BE$53,MAX('SHL Section'!$BF$41:$BF$44)=4),'SHL Section'!$W$38,IF(AND($L$38='SHL Section'!$BE$56,MAX('SHL Section'!$BF$45:$BF$48)=4),'SHL Section'!$W$38,IF(B34="","",IF(OR(B37=1,B37=4),180-(B34+B35/60+B36/3600),180+(B34+B35/60+B36/3600))))))</f>
        <v/>
      </c>
      <c r="C38" s="700" t="n"/>
      <c r="F38" s="774" t="n"/>
      <c r="I38" s="428" t="n"/>
      <c r="J38" s="427" t="n"/>
      <c r="K38" s="427" t="n"/>
      <c r="L38" s="699">
        <f>IF(NOT('SHL Section'!$BE$50='SHL Section'!$N$7),'SHL Section'!$BE$50,IF(NOT('SHL Section'!$BE$53='SHL Section'!$N$7),'SHL Section'!$BE$53,IF(NOT('SHL Section'!$BE$56='SHL Section'!$N$7),'SHL Section'!$BE$56,"")))</f>
        <v/>
      </c>
      <c r="M38" s="656" t="n"/>
      <c r="P38" s="774" t="n"/>
      <c r="S38" s="428" t="n"/>
      <c r="T38" s="427" t="n"/>
      <c r="U38" s="689" t="n"/>
      <c r="V38" s="646" t="n"/>
      <c r="W38" s="770">
        <f>IF(AND($L$38='SHL Section'!$BE$50,MAX('SHL Section'!$BF$37:$BF$40)=8),'SHL Section'!$B$38,IF(AND($L$38='SHL Section'!$BE$53,MAX('SHL Section'!$BF$41:$BF$44)=8),'SHL Section'!$B$38,IF(AND($L$38='SHL Section'!$BE$56,MAX('SHL Section'!$BF$45:$BF$48)=8),'SHL Section'!$B$38,IF(W34="","",IF(OR(W37=1,W37=4),180-(W34+W35/60+W36/3600),180+(W34+W35/60+W36/3600))))))</f>
        <v/>
      </c>
      <c r="X38" s="426" t="inlineStr">
        <is>
          <t>dec. deg.</t>
        </is>
      </c>
      <c r="AB38" s="294" t="n"/>
      <c r="AC38" s="320" t="n">
        <v>1</v>
      </c>
      <c r="AD38" s="319" t="inlineStr">
        <is>
          <t>BHL3</t>
        </is>
      </c>
      <c r="AE38" s="327">
        <f>IF(AND($AS$24+'SHL Section'!$AI$10&gt;0,$AN$24+'SHL Section'!$AK$10&gt;0),$AE$24+'SHL Section'!$AI$10,"")</f>
        <v/>
      </c>
      <c r="AF38" s="327">
        <f>IF(AND($AS$24+'SHL Section'!$AI$10&gt;0,$AN$24+'SHL Section'!$AK$10&gt;0),$AF$24+'SHL Section'!$AK$10,"")</f>
        <v/>
      </c>
      <c r="AG38" s="326">
        <f>IF($AE$38="","",$AY$26+$AE$38)</f>
        <v/>
      </c>
      <c r="AH38" s="326">
        <f>IF($AF$38="","",$AZ$26+$AF$38)</f>
        <v/>
      </c>
      <c r="AI38" s="326">
        <f>IF($AE$38="","",$BG$26+$AY$26+$AE$38)</f>
        <v/>
      </c>
      <c r="AJ38" s="326">
        <f>IF($AF$38="","",$AZ$26+$BH$26+$AF$38)</f>
        <v/>
      </c>
      <c r="AK38" s="326">
        <f>IF($AE$38="","",$BW$26+$AE$38)</f>
        <v/>
      </c>
      <c r="AL38" s="326">
        <f>IF($AF$38="","",$AF$38+$BX$26)</f>
        <v/>
      </c>
      <c r="AM38" s="326">
        <f>IF($AE$38="","",$AW$22+$AE$38)</f>
        <v/>
      </c>
      <c r="AN38" s="326">
        <f>IF($AF$38="","",$AX$22+$AF$38)</f>
        <v/>
      </c>
      <c r="AO38" s="326">
        <f>IF($AE$38="","",$AY$26+$AE$38+$BE$22)</f>
        <v/>
      </c>
      <c r="AP38" s="326">
        <f>IF($AF$38="","",$AZ$26+$AF$38+$BF$22)</f>
        <v/>
      </c>
      <c r="AQ38" s="326">
        <f>IF($AE$38="","",$BW$26+$AE$38+$BQ$22)</f>
        <v/>
      </c>
      <c r="AR38" s="326">
        <f>IF($AF$38="","",$AF$38+$BX$26+$BR$22)</f>
        <v/>
      </c>
      <c r="AS38" s="326">
        <f>IF($AE$38="","",$BY$22+$AE$38)</f>
        <v/>
      </c>
      <c r="AT38" s="326">
        <f>IF($AF$38="","",$AF$38+$BZ$22)</f>
        <v/>
      </c>
      <c r="AV38" s="313" t="inlineStr">
        <is>
          <t>FEL</t>
        </is>
      </c>
      <c r="AW38" s="313" t="inlineStr">
        <is>
          <t>FTL</t>
        </is>
      </c>
      <c r="AX38" s="313" t="inlineStr">
        <is>
          <t>S-W</t>
        </is>
      </c>
      <c r="AY38" s="313" t="inlineStr">
        <is>
          <t>E</t>
        </is>
      </c>
      <c r="AZ38" s="293" t="inlineStr">
        <is>
          <t>SW</t>
        </is>
      </c>
      <c r="BA38" s="313" t="n"/>
      <c r="BB38" s="313" t="inlineStr">
        <is>
          <t>SW-NE</t>
        </is>
      </c>
      <c r="BD38" s="320" t="n">
        <v>2</v>
      </c>
      <c r="BE38" s="319" t="inlineStr">
        <is>
          <t>BHL1</t>
        </is>
      </c>
      <c r="BF38" s="336">
        <f>IF(AND(MAX($AE$58:$AL$58)&lt;1,ISNUMBER($AG$27), ISNUMBER($AH$27)),IF(AND(IF($AH$27&lt;$BC$19,$AP$63,$AP$62)&lt;0,$AH$27&gt;0),2,IF(AND($AG$27&gt;0,$AH$27&lt;0),9,IF(AND($AG$27&lt;0,IF(-$AG$27&lt;$BD$19,$AQ$63,$AQ$64)&lt;0),8,""))),"")</f>
        <v/>
      </c>
      <c r="BG38" s="293" t="n">
        <v>2</v>
      </c>
      <c r="BH38" s="293" t="n">
        <v>35</v>
      </c>
      <c r="BI38" s="293" t="n">
        <v>36</v>
      </c>
      <c r="BJ38" s="293" t="n">
        <v>1</v>
      </c>
      <c r="BK38" s="293" t="n">
        <v>12</v>
      </c>
      <c r="BL38" s="293" t="n">
        <v>11</v>
      </c>
      <c r="BM38" s="293" t="n">
        <v>10</v>
      </c>
      <c r="BN38" s="293" t="n">
        <v>3</v>
      </c>
      <c r="BO38" s="293" t="n">
        <v>34</v>
      </c>
      <c r="BZ38" s="693" t="n"/>
      <c r="CA38" s="693" t="n"/>
    </row>
    <row r="39" ht="12" customHeight="1" s="613" thickBot="1">
      <c r="A39" s="687">
        <f>CONCATENATE("W QC of ",$L$38)</f>
        <v/>
      </c>
      <c r="B39" s="646" t="n"/>
      <c r="C39" s="425" t="n"/>
      <c r="D39" s="424" t="n"/>
      <c r="E39" s="424" t="n"/>
      <c r="F39" s="424" t="n"/>
      <c r="G39" s="424" t="n"/>
      <c r="H39" s="424" t="n"/>
      <c r="I39" s="424" t="n"/>
      <c r="J39" s="424" t="n"/>
      <c r="K39" s="424" t="n"/>
      <c r="L39" s="700" t="n"/>
      <c r="M39" s="646" t="n"/>
      <c r="N39" s="424" t="n"/>
      <c r="O39" s="424" t="n"/>
      <c r="P39" s="424" t="n"/>
      <c r="Q39" s="424" t="n"/>
      <c r="R39" s="424" t="n"/>
      <c r="S39" s="424" t="n"/>
      <c r="T39" s="424" t="n"/>
      <c r="U39" s="424" t="n"/>
      <c r="V39" s="423" t="n"/>
      <c r="W39" s="713">
        <f>CONCATENATE("E QC of ",$L$38)</f>
        <v/>
      </c>
      <c r="AA39" s="689" t="n"/>
      <c r="AB39" s="294" t="n"/>
      <c r="AC39" s="320" t="n">
        <v>2</v>
      </c>
      <c r="AD39" s="319" t="inlineStr">
        <is>
          <t>BHL3</t>
        </is>
      </c>
      <c r="AE39" s="326">
        <f>IF($AG$39="","",$AG$39-$AY$26)</f>
        <v/>
      </c>
      <c r="AF39" s="326">
        <f>IF($AH$39="","",$AH$39-$AZ$26)</f>
        <v/>
      </c>
      <c r="AG39" s="327">
        <f>IF(AND($AO$24+'SHL Section'!$AI$10&gt;0,$AN$24+'SHL Section'!$AK$10&lt;0),$AG$24+'SHL Section'!$AI$10,"")</f>
        <v/>
      </c>
      <c r="AH39" s="327">
        <f>IF(AND($AO$24+'SHL Section'!$AI$10&gt;0,$AN$24+'SHL Section'!$AK$10&lt;0),$AH$24+'SHL Section'!$AK$10,"")</f>
        <v/>
      </c>
      <c r="AI39" s="326">
        <f>IF($AG$39="","",$BG$26+$AG$39)</f>
        <v/>
      </c>
      <c r="AJ39" s="326">
        <f>IF($AH$39="","",$AH$39+$BH$26)</f>
        <v/>
      </c>
      <c r="AK39" s="326">
        <f>IF($AG$39="","",$AG$39-$AY$26+$BW$26)</f>
        <v/>
      </c>
      <c r="AL39" s="326">
        <f>IF($AH$39="","",$AH$39-$AZ$26+$BX$26)</f>
        <v/>
      </c>
      <c r="AM39" s="326">
        <f>IF($AG$39="","",$AG$39-$BA$22)</f>
        <v/>
      </c>
      <c r="AN39" s="326">
        <f>IF($AH$39="","",AH$39-$BB$22)</f>
        <v/>
      </c>
      <c r="AO39" s="326">
        <f>IF($AG$39="","",$BE$22+$AG$39)</f>
        <v/>
      </c>
      <c r="AP39" s="326">
        <f>IF($AH$39="","",$AH$39+$BF$22)</f>
        <v/>
      </c>
      <c r="AQ39" s="326">
        <f>IF($AG$39="","",$BG$26+$AG$39-$BM$22)</f>
        <v/>
      </c>
      <c r="AR39" s="326">
        <f>IF($AH$39="","",$AH$39+$BH$26-$BN$22)</f>
        <v/>
      </c>
      <c r="AS39" s="326">
        <f>IF($AG$39="","",$AG$39-$AY$26+$BY$22)</f>
        <v/>
      </c>
      <c r="AT39" s="326">
        <f>IF($AH$39="","",$AH$39-$AZ$26+$BZ$22)</f>
        <v/>
      </c>
      <c r="AV39" s="313" t="inlineStr">
        <is>
          <t>FWL</t>
        </is>
      </c>
      <c r="AW39" s="313" t="inlineStr">
        <is>
          <t>BHL</t>
        </is>
      </c>
      <c r="AX39" s="313" t="inlineStr">
        <is>
          <t>N-W</t>
        </is>
      </c>
      <c r="AY39" s="313" t="inlineStr">
        <is>
          <t>W</t>
        </is>
      </c>
      <c r="AZ39" s="293" t="inlineStr">
        <is>
          <t>SE</t>
        </is>
      </c>
      <c r="BA39" s="313" t="n"/>
      <c r="BB39" s="313" t="inlineStr">
        <is>
          <t>SE-NE</t>
        </is>
      </c>
      <c r="BD39" s="320" t="n">
        <v>3</v>
      </c>
      <c r="BE39" s="319" t="inlineStr">
        <is>
          <t>BHL1</t>
        </is>
      </c>
      <c r="BF39" s="336">
        <f>IF(AND(MAX($AE$58:$AL$58)&lt;1,ISNUMBER($AI$28), ISNUMBER($AJ$28)),IF(AND($AI$28&gt;0,IF($AI$28&lt;$BJ$19,$AS$64,$AS$63)&lt;0),8,IF(AND($AI$28&lt;0,$AJ$28&lt;0),7,IF(AND(IF($AJ$28&lt;$BM$19,$AR$64,$AR$65)&lt;0,$AJ$28&gt;0),6,""))),"")</f>
        <v/>
      </c>
      <c r="BG39" s="293" t="n">
        <v>3</v>
      </c>
      <c r="BH39" s="293" t="n">
        <v>34</v>
      </c>
      <c r="BI39" s="293" t="n">
        <v>35</v>
      </c>
      <c r="BJ39" s="293" t="n">
        <v>2</v>
      </c>
      <c r="BK39" s="293" t="n">
        <v>11</v>
      </c>
      <c r="BL39" s="293" t="n">
        <v>10</v>
      </c>
      <c r="BM39" s="293" t="n">
        <v>9</v>
      </c>
      <c r="BN39" s="293" t="n">
        <v>4</v>
      </c>
      <c r="BO39" s="293" t="n">
        <v>33</v>
      </c>
      <c r="BZ39" s="693" t="n"/>
      <c r="CA39" s="693" t="n"/>
    </row>
    <row r="40" ht="12" customHeight="1" s="613">
      <c r="B40" s="646" t="n"/>
      <c r="C40" s="422" t="n"/>
      <c r="D40" s="421" t="n"/>
      <c r="E40" s="421" t="n"/>
      <c r="F40" s="421" t="n"/>
      <c r="G40" s="421" t="n"/>
      <c r="H40" s="421" t="n"/>
      <c r="I40" s="421" t="n"/>
      <c r="J40" s="421" t="n"/>
      <c r="K40" s="421" t="n"/>
      <c r="L40" s="700" t="n"/>
      <c r="M40" s="646" t="n"/>
      <c r="N40" s="421" t="n"/>
      <c r="O40" s="421" t="n"/>
      <c r="P40" s="421" t="n"/>
      <c r="Q40" s="421" t="n"/>
      <c r="R40" s="421" t="n"/>
      <c r="S40" s="421" t="n"/>
      <c r="T40" s="421" t="n"/>
      <c r="U40" s="421" t="n"/>
      <c r="V40" s="646" t="n"/>
      <c r="W40" s="700" t="n"/>
      <c r="AA40" s="689" t="n"/>
      <c r="AB40" s="294" t="n"/>
      <c r="AC40" s="320" t="n">
        <v>3</v>
      </c>
      <c r="AD40" s="319" t="inlineStr">
        <is>
          <t>BHL3</t>
        </is>
      </c>
      <c r="AE40" s="326">
        <f>IF($AI$40="","",$AI$40-$BG$26-$AY$26)</f>
        <v/>
      </c>
      <c r="AF40" s="328">
        <f>IF($AJ$40="","",$AJ$40-$BH$26-$AZ$26)</f>
        <v/>
      </c>
      <c r="AG40" s="326">
        <f>IF($AI$40="","",$AI$40-$BG$26)</f>
        <v/>
      </c>
      <c r="AH40" s="326">
        <f>IF($AJ$40="","",$AJ$40-$BH$26)</f>
        <v/>
      </c>
      <c r="AI40" s="327">
        <f>IF(AND($AO$24+'SHL Section'!$AI$10&lt;0,$AR$24+'SHL Section'!$AK$10&lt;0),$AI$24+'SHL Section'!$AI$10,"")</f>
        <v/>
      </c>
      <c r="AJ40" s="327">
        <f>IF(AND($AO$24+'SHL Section'!$AI$10&lt;0,$AR$24+'SHL Section'!$AK$10&lt;0),$AJ$24+'SHL Section'!$AK$10,"")</f>
        <v/>
      </c>
      <c r="AK40" s="326">
        <f>IF($AI$40="","",$AI$40-$BO$26)</f>
        <v/>
      </c>
      <c r="AL40" s="326">
        <f>IF($AJ$40="","",$AJ$40-$BP$26)</f>
        <v/>
      </c>
      <c r="AM40" s="326">
        <f>IF($AI$40="","",$AI$40-$BG$26-$BA$26)</f>
        <v/>
      </c>
      <c r="AN40" s="326">
        <f>IF($AJ$40="","",$AJ$40-$BH$26-$BB$26)</f>
        <v/>
      </c>
      <c r="AO40" s="326">
        <f>IF($AI$40="","",$AI$40-$BI$26)</f>
        <v/>
      </c>
      <c r="AP40" s="326">
        <f>IF($AJ$40="","",$AJ$40-$BJ$26)</f>
        <v/>
      </c>
      <c r="AQ40" s="326">
        <f>IF($AI$40="","",$AI$40-$BM$26)</f>
        <v/>
      </c>
      <c r="AR40" s="326">
        <f>IF($AJ$40="","",$AJ$40-$BN$26)</f>
        <v/>
      </c>
      <c r="AS40" s="326">
        <f>IF($AI$40="","",$AI$40-$BO$26-$BU$26)</f>
        <v/>
      </c>
      <c r="AT40" s="326">
        <f>IF($AJ$40="","",$AJ$40-$BP$26-$BV$22)</f>
        <v/>
      </c>
      <c r="AV40" s="313" t="n"/>
      <c r="AW40" s="313" t="n"/>
      <c r="AX40" s="313" t="n"/>
      <c r="AY40" s="313" t="n"/>
      <c r="AZ40" s="313" t="n"/>
      <c r="BA40" s="313" t="n"/>
      <c r="BB40" s="313" t="inlineStr">
        <is>
          <t>NE-NW</t>
        </is>
      </c>
      <c r="BD40" s="469" t="n">
        <v>4</v>
      </c>
      <c r="BE40" s="676" t="inlineStr">
        <is>
          <t>BHL1</t>
        </is>
      </c>
      <c r="BF40" s="318">
        <f>IF(AND(MAX($AE$58:$AL$58)&lt;1,ISNUMBER($AK$29), ISNUMBER($AL$29)),IF(AND(IF(-$AL$29&lt;$BS$19,$AT$65,$AT$64)&lt;0,$AL$29&lt;0),6,IF(AND($AK$29&lt;0,$AL$29&gt;0),5,IF(AND($AK$29&gt;0,IF($AK$29&lt;$BT$19,$AU$65,$AU$62)&lt;0),4,""))),"")</f>
        <v/>
      </c>
      <c r="BG40" s="293" t="n">
        <v>4</v>
      </c>
      <c r="BH40" s="293" t="n">
        <v>33</v>
      </c>
      <c r="BI40" s="293" t="n">
        <v>34</v>
      </c>
      <c r="BJ40" s="293" t="n">
        <v>3</v>
      </c>
      <c r="BK40" s="293" t="n">
        <v>10</v>
      </c>
      <c r="BL40" s="293" t="n">
        <v>9</v>
      </c>
      <c r="BM40" s="293" t="n">
        <v>8</v>
      </c>
      <c r="BN40" s="293" t="n">
        <v>5</v>
      </c>
      <c r="BO40" s="293" t="n">
        <v>32</v>
      </c>
      <c r="BZ40" s="693" t="n"/>
      <c r="CA40" s="693" t="n"/>
    </row>
    <row r="41" ht="12" customHeight="1" s="613" thickBot="1">
      <c r="B41" s="420">
        <f>IF(AND($L$38='SHL Section'!$BE$50,MAX('SHL Section'!$BF$37:$BF$40)=4),'SHL Section'!$W$41,IF(AND($L$38='SHL Section'!$BE$53,MAX('SHL Section'!$BF$41:$BF$44)=4),'SHL Section'!$W$41,IF(AND($L$38='SHL Section'!$BE$56,MAX('SHL Section'!$BF$45:$BF$48)=4),'SHL Section'!$W$41,B42)))</f>
        <v/>
      </c>
      <c r="C41" s="700" t="n"/>
      <c r="L41" s="654" t="n"/>
      <c r="M41" s="634" t="n"/>
      <c r="V41" s="646" t="n"/>
      <c r="W41" s="428">
        <f>IF(AND($L$38='SHL Section'!$BE$50,MAX('SHL Section'!$BF$37:$BF$40)=8),'SHL Section'!$B$41,IF(AND($L$38='SHL Section'!$BE$53,MAX('SHL Section'!$BF$41:$BF$44)=8),'SHL Section'!$B$41,IF(AND($L$38='SHL Section'!$BE$56,MAX('SHL Section'!$BF$45:$BF$48)=8),'SHL Section'!$B$41,W42)))</f>
        <v/>
      </c>
      <c r="AA41" s="689" t="n"/>
      <c r="AB41" s="294" t="n"/>
      <c r="AC41" s="469" t="n">
        <v>4</v>
      </c>
      <c r="AD41" s="676" t="inlineStr">
        <is>
          <t>BHL3</t>
        </is>
      </c>
      <c r="AE41" s="324">
        <f>IF($AK$41="","",$AK$41-$BW$26)</f>
        <v/>
      </c>
      <c r="AF41" s="324">
        <f>IF($AL$41="","",$AL$41-$BX$26)</f>
        <v/>
      </c>
      <c r="AG41" s="324">
        <f>IF($AK$41="","",$AK$41+$BO$26-$BG$26)</f>
        <v/>
      </c>
      <c r="AH41" s="324">
        <f>IF($AL$41="","",$AL$41+$BP$26+$BH$26)</f>
        <v/>
      </c>
      <c r="AI41" s="324">
        <f>IF($AK$41="","",$AK$41+$BO$26)</f>
        <v/>
      </c>
      <c r="AJ41" s="324">
        <f>IF($AL$41="","",$AL$41+$BP$26)</f>
        <v/>
      </c>
      <c r="AK41" s="325">
        <f>IF(AND($AS$24+'SHL Section'!$AI$10&lt;0,$AR$24+'SHL Section'!$AK$10&gt;0),$AK$24+'SHL Section'!$AI$10,"")</f>
        <v/>
      </c>
      <c r="AL41" s="325">
        <f>IF(AND($AS$24+'SHL Section'!$AI$10&lt;0,$AR$24+'SHL Section'!$AK$10&gt;0),$AL$24+'SHL Section'!$AK$10,"")</f>
        <v/>
      </c>
      <c r="AM41" s="324">
        <f>IF($AK$41="","",$AK$41-$BW$26+$AW$22)</f>
        <v/>
      </c>
      <c r="AN41" s="324">
        <f>IF($AL$41="","",$AL$41-$BX$26+$AX$22)</f>
        <v/>
      </c>
      <c r="AO41" s="324">
        <f>IF($AK$41="","",$AK$41+$BO$26-$BI$22)</f>
        <v/>
      </c>
      <c r="AP41" s="324">
        <f>IF($AL$41="","",$AL$41+$BP$26-$BJ$22)</f>
        <v/>
      </c>
      <c r="AQ41" s="324">
        <f>IF($AK$41="","",$AK$41+$BQ$22)</f>
        <v/>
      </c>
      <c r="AR41" s="324">
        <f>IF($AL$41="","",$AL$41+$BR$22)</f>
        <v/>
      </c>
      <c r="AS41" s="324">
        <f>IF($AK$41="","",$AK$41-$BU$22)</f>
        <v/>
      </c>
      <c r="AT41" s="324">
        <f>IF($AL$41="","",$AL$41-$BV$22)</f>
        <v/>
      </c>
      <c r="AV41" s="313" t="n"/>
      <c r="AW41" s="313" t="n"/>
      <c r="AX41" s="313" t="n"/>
      <c r="AY41" s="313" t="n"/>
      <c r="AZ41" s="313" t="n"/>
      <c r="BA41" s="313" t="n"/>
      <c r="BB41" s="313" t="inlineStr">
        <is>
          <t>NW-NW</t>
        </is>
      </c>
      <c r="BD41" s="320" t="n">
        <v>1</v>
      </c>
      <c r="BE41" s="319" t="inlineStr">
        <is>
          <t>BHL2</t>
        </is>
      </c>
      <c r="BF41" s="336">
        <f>IF(AND(MAX($AE$69:$AL$69)&lt;1,ISNUMBER($AE$32), ISNUMBER($AF$32)),IF(AND($AE$32&gt;0,$AF$32&gt;0),3,IF(AND($AE$32&lt;0,IF(-$AE$32&lt;$BZ$19,$AO$73,$AO$76)&lt;0),4,IF(AND(IF(-$AF$32&lt;$AW$19,$AN$73,$AN$74)&lt;0,$AF$32&lt;0),2,""))),"")</f>
        <v/>
      </c>
      <c r="BG41" s="293" t="n">
        <v>5</v>
      </c>
      <c r="BH41" s="293" t="n">
        <v>32</v>
      </c>
      <c r="BI41" s="293" t="n">
        <v>33</v>
      </c>
      <c r="BJ41" s="293" t="n">
        <v>4</v>
      </c>
      <c r="BK41" s="293" t="n">
        <v>9</v>
      </c>
      <c r="BL41" s="293" t="n">
        <v>8</v>
      </c>
      <c r="BM41" s="293" t="n">
        <v>7</v>
      </c>
      <c r="BN41" s="293" t="n">
        <v>6</v>
      </c>
      <c r="BO41" s="293" t="n">
        <v>31</v>
      </c>
      <c r="BZ41" s="693" t="n"/>
      <c r="CA41" s="693" t="n"/>
    </row>
    <row r="42" ht="12" customHeight="1" s="613">
      <c r="A42" s="429" t="inlineStr">
        <is>
          <t>dist.</t>
        </is>
      </c>
      <c r="B42" s="301">
        <f>IF(NOT(ISBLANK(D42)),D42,DGET('Grid Numbers'!$A$2:$L$4952,'Grid Numbers'!$H$2,$B$70:$H$71))</f>
        <v/>
      </c>
      <c r="C42" s="700" t="n"/>
      <c r="D42" s="504" t="n"/>
      <c r="G42" s="686" t="inlineStr">
        <is>
          <t>Quadrant 3</t>
        </is>
      </c>
      <c r="H42" s="677" t="n"/>
      <c r="L42" s="310" t="n"/>
      <c r="M42" s="309" t="n"/>
      <c r="Q42" s="686" t="inlineStr">
        <is>
          <t>Quadrant 4</t>
        </is>
      </c>
      <c r="R42" s="677" t="n"/>
      <c r="U42" s="504" t="n"/>
      <c r="V42" s="646" t="n"/>
      <c r="W42" s="473">
        <f>IF(NOT(ISBLANK(U42)),U42,DGET('Grid Numbers'!$A$2:$L$4952,'Grid Numbers'!$H$2,$B$78:$H$79))</f>
        <v/>
      </c>
      <c r="X42" s="426" t="inlineStr">
        <is>
          <t>dist.</t>
        </is>
      </c>
      <c r="AA42" s="689" t="n"/>
      <c r="AB42" s="294" t="n"/>
      <c r="AC42" s="671" t="n"/>
      <c r="AD42" s="617" t="n"/>
      <c r="AE42" s="323">
        <f>IF(ISNUMBER($AE$38),AE$38,IF(ISNUMBER($AG$39),AE$39,IF(ISNUMBER($AI$40),AE$40,IF(ISNUMBER($AK$41),AE$41,""))))</f>
        <v/>
      </c>
      <c r="AF42" s="323">
        <f>IF(ISNUMBER($AF$38),AF$38,IF(ISNUMBER($AH$39),AF$39,IF(ISNUMBER($AJ$40),AF$40,IF(ISNUMBER($AL$41),AF$41,""))))</f>
        <v/>
      </c>
      <c r="AG42" s="323">
        <f>IF(ISNUMBER($AE$38),AG$38,IF(ISNUMBER($AG$39),AG$39,IF(ISNUMBER($AI$40),AG$40,IF(ISNUMBER($AK$41),AG$41,""))))</f>
        <v/>
      </c>
      <c r="AH42" s="323">
        <f>IF(ISNUMBER($AF$38),AH$38,IF(ISNUMBER($AH$39),AH$39,IF(ISNUMBER($AJ$40),AH$40,IF(ISNUMBER($AL$41),AH$41,""))))</f>
        <v/>
      </c>
      <c r="AI42" s="323">
        <f>IF(ISNUMBER($AE$38),AI$38,IF(ISNUMBER($AG$39),AI$39,IF(ISNUMBER($AI$40),AI$40,IF(ISNUMBER($AK$41),AI$41,""))))</f>
        <v/>
      </c>
      <c r="AJ42" s="323">
        <f>IF(ISNUMBER($AF$38),AJ$38,IF(ISNUMBER($AH$39),AJ$39,IF(ISNUMBER($AJ$40),AJ$40,IF(ISNUMBER($AL$41),AJ$41,""))))</f>
        <v/>
      </c>
      <c r="AK42" s="323">
        <f>IF(ISNUMBER($AE$38),AK$38,IF(ISNUMBER($AG$39),AK$39,IF(ISNUMBER($AI$40),AK$40,IF(ISNUMBER($AK$41),AK$41,""))))</f>
        <v/>
      </c>
      <c r="AL42" s="323">
        <f>IF(ISNUMBER($AF$38),AL$38,IF(ISNUMBER($AH$39),AL$39,IF(ISNUMBER($AJ$40),AL$40,IF(ISNUMBER($AL$41),AL$41,""))))</f>
        <v/>
      </c>
      <c r="AM42" s="323">
        <f>IF(ISNUMBER($AE$38),AM$38,IF(ISNUMBER($AG$39),AM$39,IF(ISNUMBER($AI$40),AM$40,IF(ISNUMBER($AK$41),AM$41,""))))</f>
        <v/>
      </c>
      <c r="AN42" s="323">
        <f>IF(ISNUMBER($AF$38),AN$38,IF(ISNUMBER($AH$39),AN$39,IF(ISNUMBER($AJ$40),AN$40,IF(ISNUMBER($AL$41),AN$41,""))))</f>
        <v/>
      </c>
      <c r="AO42" s="323">
        <f>IF(ISNUMBER($AE$38),AO$38,IF(ISNUMBER($AG$39),AO$39,IF(ISNUMBER($AI$40),AO$40,IF(ISNUMBER($AK$41),AO$41,""))))</f>
        <v/>
      </c>
      <c r="AP42" s="323">
        <f>IF(ISNUMBER($AF$38),AP$38,IF(ISNUMBER($AH$39),AP$39,IF(ISNUMBER($AJ$40),AP$40,IF(ISNUMBER($AL$41),AP$41,""))))</f>
        <v/>
      </c>
      <c r="AQ42" s="323">
        <f>IF(ISNUMBER($AE$38),AQ$38,IF(ISNUMBER($AG$39),AQ$39,IF(ISNUMBER($AI$40),AQ$40,IF(ISNUMBER($AK$41),AQ$41,""))))</f>
        <v/>
      </c>
      <c r="AR42" s="323">
        <f>IF(ISNUMBER($AF$38),AR$38,IF(ISNUMBER($AH$39),AR$39,IF(ISNUMBER($AJ$40),AR$40,IF(ISNUMBER($AL$41),AR$41,""))))</f>
        <v/>
      </c>
      <c r="AS42" s="323">
        <f>IF(ISNUMBER($AE$38),AS$38,IF(ISNUMBER($AG$39),AS$39,IF(ISNUMBER($AI$40),AS$40,IF(ISNUMBER($AK$41),AS$41,""))))</f>
        <v/>
      </c>
      <c r="AT42" s="323">
        <f>IF(ISNUMBER($AF$38),AT$38,IF(ISNUMBER($AH$39),AT$39,IF(ISNUMBER($AJ$40),AT$40,IF(ISNUMBER($AL$41),AT$41,""))))</f>
        <v/>
      </c>
      <c r="AV42" s="313" t="n"/>
      <c r="AW42" s="313" t="n"/>
      <c r="AX42" s="313" t="n"/>
      <c r="AY42" s="313" t="n"/>
      <c r="AZ42" s="313" t="n"/>
      <c r="BA42" s="313" t="n"/>
      <c r="BB42" s="313" t="inlineStr">
        <is>
          <t>SW-NW</t>
        </is>
      </c>
      <c r="BD42" s="320" t="n">
        <v>2</v>
      </c>
      <c r="BE42" s="319" t="inlineStr">
        <is>
          <t>BHL2</t>
        </is>
      </c>
      <c r="BF42" s="336">
        <f>IF(AND(MAX($AE$69:$AL$69)&lt;1,ISNUMBER($AG$33), ISNUMBER($AH$33)),IF(AND(IF($AH$33&lt;$BC$19,$AP$74,$AP$73)&lt;0,$AH$33&gt;0),2,IF(AND($AG$33&gt;0,$AH$33&lt;0),9,IF(AND($AG$33&lt;0,IF(-$AG$33&lt;$BD$19,$AQ$74,$AQ$75)&lt;0),8,""))),"")</f>
        <v/>
      </c>
      <c r="BG42" s="293" t="n">
        <v>6</v>
      </c>
      <c r="BH42" s="293" t="n">
        <v>31</v>
      </c>
      <c r="BI42" s="293" t="n">
        <v>32</v>
      </c>
      <c r="BJ42" s="293" t="n">
        <v>5</v>
      </c>
      <c r="BK42" s="293" t="n">
        <v>8</v>
      </c>
      <c r="BL42" s="293" t="n">
        <v>7</v>
      </c>
      <c r="BM42" s="293" t="n">
        <v>12</v>
      </c>
      <c r="BN42" s="293" t="n">
        <v>1</v>
      </c>
      <c r="BO42" s="293" t="n">
        <v>36</v>
      </c>
      <c r="BZ42" s="693" t="n"/>
      <c r="CA42" s="693" t="n"/>
    </row>
    <row r="43" ht="12" customHeight="1" s="613">
      <c r="A43" s="429" t="inlineStr">
        <is>
          <t>deg.</t>
        </is>
      </c>
      <c r="B43" s="295">
        <f>IF(NOT(ISBLANK(D43)),D43,DGET('Grid Numbers'!$A$2:$L$4952,'Grid Numbers'!$I$2,$B$70:$H$71))</f>
        <v/>
      </c>
      <c r="C43" s="700" t="n"/>
      <c r="D43" s="504" t="n"/>
      <c r="G43" s="315">
        <f>IF(ISNUMBER($AI$58),$B$8,"")</f>
        <v/>
      </c>
      <c r="H43" s="314">
        <f>IF(AND(G44="",G45=""),"",IF($AI$58=1,"NE/SW",IF($AI$58=2,"NW/SW",IF($AI$58=3,"SW/SW",IF($AI$58=4,"SE/SW","")))))</f>
        <v/>
      </c>
      <c r="L43" s="310" t="n"/>
      <c r="M43" s="309" t="n"/>
      <c r="Q43" s="315">
        <f>IF(ISNUMBER($AK$58),$B$8,"")</f>
        <v/>
      </c>
      <c r="R43" s="314">
        <f>IF(AND(Q44="",Q45=""),"",IF($AK$58=1,"NE/SE",IF($AK$58=2,"NW/SE",IF($AK$58=3,"SW/SE",IF($AK$58=4,"SE/SE","")))))</f>
        <v/>
      </c>
      <c r="U43" s="504" t="n"/>
      <c r="V43" s="646" t="n"/>
      <c r="W43" s="474">
        <f>IF(NOT(ISBLANK(U43)),U43,DGET('Grid Numbers'!$A$2:$L$4952,'Grid Numbers'!$I$2,$B$78:$H$79))</f>
        <v/>
      </c>
      <c r="X43" s="426" t="inlineStr">
        <is>
          <t>deg.</t>
        </is>
      </c>
      <c r="AA43" s="689" t="n"/>
      <c r="AB43" s="294" t="n"/>
      <c r="AV43" s="313" t="n"/>
      <c r="AW43" s="313" t="n"/>
      <c r="AX43" s="313" t="n"/>
      <c r="AY43" s="313" t="n"/>
      <c r="AZ43" s="313" t="n"/>
      <c r="BA43" s="313" t="n"/>
      <c r="BB43" s="313" t="inlineStr">
        <is>
          <t>SE-NW</t>
        </is>
      </c>
      <c r="BD43" s="320" t="n">
        <v>3</v>
      </c>
      <c r="BE43" s="319" t="inlineStr">
        <is>
          <t>BHL2</t>
        </is>
      </c>
      <c r="BF43" s="336">
        <f>IF(AND(MAX($AE$69:$AL$69)&lt;1,ISNUMBER($AI$34), ISNUMBER($AJ$34)),IF(AND($AI$34&gt;0,IF($AI$34&lt;$BJ$19,$AS$75,$AS$74)&lt;0),8,IF(AND($AI$34&lt;0,$AJ$34&lt;0),7,IF(AND(IF($AJ$34&lt;$BM$19,$AR$75,$AR$76)&lt;0,$AJ$34&gt;0),6,""))),"")</f>
        <v/>
      </c>
      <c r="BG43" s="293" t="n">
        <v>7</v>
      </c>
      <c r="BH43" s="293" t="n">
        <v>6</v>
      </c>
      <c r="BI43" s="293" t="n">
        <v>5</v>
      </c>
      <c r="BJ43" s="293" t="n">
        <v>8</v>
      </c>
      <c r="BK43" s="293" t="n">
        <v>17</v>
      </c>
      <c r="BL43" s="293" t="n">
        <v>18</v>
      </c>
      <c r="BM43" s="293" t="n">
        <v>13</v>
      </c>
      <c r="BN43" s="293" t="n">
        <v>12</v>
      </c>
      <c r="BO43" s="293" t="n">
        <v>1</v>
      </c>
      <c r="BZ43" s="693" t="n"/>
      <c r="CA43" s="693" t="n"/>
    </row>
    <row r="44" ht="12" customHeight="1" s="613">
      <c r="A44" s="429" t="inlineStr">
        <is>
          <t>min.</t>
        </is>
      </c>
      <c r="B44" s="295">
        <f>IF(NOT(ISBLANK(D44)),D44,DGET('Grid Numbers'!$A$2:$L$4952,'Grid Numbers'!$J$2,$B$70:$H$71))</f>
        <v/>
      </c>
      <c r="C44" s="700" t="n"/>
      <c r="D44" s="504" t="n"/>
      <c r="G44" s="312">
        <f>IF(ISNUMBER($AI$58),$I$8,"")</f>
        <v/>
      </c>
      <c r="H44" s="311">
        <f>IF(ISNUMBER($AI$58),"FSL","")</f>
        <v/>
      </c>
      <c r="J44" s="693" t="n"/>
      <c r="K44" s="693" t="n"/>
      <c r="L44" s="310" t="n"/>
      <c r="M44" s="309" t="n"/>
      <c r="Q44" s="312">
        <f>IF(ISNUMBER($AK$58),$I$8,"")</f>
        <v/>
      </c>
      <c r="R44" s="311">
        <f>IF(ISNUMBER($AK$58),"FSL","")</f>
        <v/>
      </c>
      <c r="T44" s="693" t="n"/>
      <c r="U44" s="504" t="n"/>
      <c r="V44" s="646" t="n"/>
      <c r="W44" s="474">
        <f>IF(NOT(ISBLANK(U44)),U44,DGET('Grid Numbers'!$A$2:$L$4952,'Grid Numbers'!$J$2,$B$78:$H$79))</f>
        <v/>
      </c>
      <c r="X44" s="426" t="inlineStr">
        <is>
          <t>min.</t>
        </is>
      </c>
      <c r="AA44" s="689" t="n"/>
      <c r="AB44" s="294" t="n"/>
      <c r="AV44" s="313" t="n"/>
      <c r="AW44" s="313" t="n"/>
      <c r="AX44" s="313" t="n"/>
      <c r="AY44" s="313" t="n"/>
      <c r="AZ44" s="313" t="n"/>
      <c r="BA44" s="313" t="n"/>
      <c r="BB44" s="313" t="inlineStr">
        <is>
          <t>NE-SW</t>
        </is>
      </c>
      <c r="BD44" s="469" t="n">
        <v>4</v>
      </c>
      <c r="BE44" s="676" t="inlineStr">
        <is>
          <t>BHL2</t>
        </is>
      </c>
      <c r="BF44" s="318">
        <f>IF(AND(MAX($AE$69:$AL$69)&lt;1,ISNUMBER($AK$35), ISNUMBER($AL$35)),IF(AND(IF(-$AL$35&lt;$BS$19,$AT$76,$AT$75)&lt;0,$AL$35&lt;0),6,IF(AND($AK$35&lt;0,$AL$35&gt;0),5,IF(AND($AK$35&gt;0,IF($AK$35&lt;$BT$19,$AU$76,$AU$73)&lt;0),4,""))),"")</f>
        <v/>
      </c>
      <c r="BG44" s="293" t="n">
        <v>8</v>
      </c>
      <c r="BH44" s="293" t="n">
        <v>5</v>
      </c>
      <c r="BI44" s="293" t="n">
        <v>4</v>
      </c>
      <c r="BJ44" s="293" t="n">
        <v>9</v>
      </c>
      <c r="BK44" s="293" t="n">
        <v>16</v>
      </c>
      <c r="BL44" s="293" t="n">
        <v>17</v>
      </c>
      <c r="BM44" s="293" t="n">
        <v>18</v>
      </c>
      <c r="BN44" s="293" t="n">
        <v>7</v>
      </c>
      <c r="BO44" s="293" t="n">
        <v>6</v>
      </c>
      <c r="BZ44" s="693" t="n"/>
      <c r="CA44" s="693" t="n"/>
    </row>
    <row r="45" ht="12" customHeight="1" s="613">
      <c r="A45" s="429" t="inlineStr">
        <is>
          <t>sec.</t>
        </is>
      </c>
      <c r="B45" s="295">
        <f>IF(NOT(ISBLANK(D45)),D45,DGET('Grid Numbers'!$A$2:$L$4952,'Grid Numbers'!$K$2,$B$70:$H$71))</f>
        <v/>
      </c>
      <c r="C45" s="700" t="n"/>
      <c r="D45" s="505" t="n"/>
      <c r="G45" s="308">
        <f>IF(ISNUMBER($AI$58),$K$8,"")</f>
        <v/>
      </c>
      <c r="H45" s="307">
        <f>IF(ISNUMBER($AI$58),"FWL","")</f>
        <v/>
      </c>
      <c r="J45" s="693" t="n"/>
      <c r="K45" s="693" t="n"/>
      <c r="L45" s="310" t="n"/>
      <c r="M45" s="309" t="n"/>
      <c r="Q45" s="308">
        <f>IF(ISNUMBER($AK$58),$K$8,"")</f>
        <v/>
      </c>
      <c r="R45" s="307">
        <f>IF(ISNUMBER($AK$58),"FEL","")</f>
        <v/>
      </c>
      <c r="T45" s="693" t="n"/>
      <c r="U45" s="505" t="n"/>
      <c r="V45" s="646" t="n"/>
      <c r="W45" s="474">
        <f>IF(NOT(ISBLANK(U45)),U45,DGET('Grid Numbers'!$A$2:$L$4952,'Grid Numbers'!$K$2,$B$78:$H$79))</f>
        <v/>
      </c>
      <c r="X45" s="426" t="inlineStr">
        <is>
          <t>sec.</t>
        </is>
      </c>
      <c r="AA45" s="689" t="n"/>
      <c r="AB45" s="294" t="n"/>
      <c r="AC45" s="319" t="n"/>
      <c r="AD45" s="319" t="n"/>
      <c r="AE45" s="683" t="inlineStr">
        <is>
          <t>Quad 1 (NE)</t>
        </is>
      </c>
      <c r="AF45" s="617" t="n"/>
      <c r="AG45" s="685" t="inlineStr">
        <is>
          <t>Quad 2 (NW)</t>
        </is>
      </c>
      <c r="AH45" s="616" t="n"/>
      <c r="AI45" s="683" t="inlineStr">
        <is>
          <t>Quad 3 (SW)</t>
        </is>
      </c>
      <c r="AJ45" s="617" t="n"/>
      <c r="AK45" s="683" t="inlineStr">
        <is>
          <t>Quad 4 (SE)</t>
        </is>
      </c>
      <c r="AL45" s="617" t="n"/>
      <c r="AV45" s="313" t="n"/>
      <c r="AW45" s="313" t="n"/>
      <c r="AX45" s="313" t="n"/>
      <c r="AY45" s="313" t="n"/>
      <c r="AZ45" s="313" t="n"/>
      <c r="BA45" s="313" t="n"/>
      <c r="BB45" s="313" t="inlineStr">
        <is>
          <t>NW-SW</t>
        </is>
      </c>
      <c r="BD45" s="320" t="n">
        <v>1</v>
      </c>
      <c r="BE45" s="319" t="inlineStr">
        <is>
          <t>BHL3</t>
        </is>
      </c>
      <c r="BF45" s="336">
        <f>IF(AND(MAX($AE$80:$AL$80)&lt;1,ISNUMBER($AE$38), ISNUMBER($AF$38)),IF(AND($AE$38&gt;0,$AF$38&gt;0),3,IF(AND($AE$38&lt;0,IF(-$AE$38&lt;$BZ$19,$AO$84,$AO$87)&lt;0),4,IF(AND(IF(-$AF$38&lt;$AW$19,$AN$84,$AN$85)&lt;0,$AF$38&lt;0),2,""))),"")</f>
        <v/>
      </c>
      <c r="BG45" s="293" t="n">
        <v>9</v>
      </c>
      <c r="BH45" s="293" t="n">
        <v>4</v>
      </c>
      <c r="BI45" s="293" t="n">
        <v>3</v>
      </c>
      <c r="BJ45" s="293" t="n">
        <v>10</v>
      </c>
      <c r="BK45" s="293" t="n">
        <v>15</v>
      </c>
      <c r="BL45" s="293" t="n">
        <v>16</v>
      </c>
      <c r="BM45" s="293" t="n">
        <v>17</v>
      </c>
      <c r="BN45" s="293" t="n">
        <v>8</v>
      </c>
      <c r="BO45" s="293" t="n">
        <v>5</v>
      </c>
      <c r="BZ45" s="693" t="n"/>
      <c r="CA45" s="693" t="n"/>
    </row>
    <row r="46" ht="12" customHeight="1" s="613">
      <c r="A46" s="429" t="inlineStr">
        <is>
          <t>dir.</t>
        </is>
      </c>
      <c r="B46" s="321">
        <f>IF(NOT(ISBLANK(D46)),D46,DGET('Grid Numbers'!$A$2:$L$4952,'Grid Numbers'!$L$2,$B$70:$H$71))</f>
        <v/>
      </c>
      <c r="C46" s="700" t="n"/>
      <c r="D46" s="508" t="n"/>
      <c r="G46" s="315">
        <f>IF(ISNUMBER($AI$69),$B$9,"")</f>
        <v/>
      </c>
      <c r="H46" s="314">
        <f>IF(AND(G47="",G48=""),"",IF($AI$69=1,"NE/SW",IF($AI$69=2,"NW/SW",IF($AI$69=3,"SW/SW",IF($AI$69=4,"SE/SW","")))))</f>
        <v/>
      </c>
      <c r="I46" s="428" t="n"/>
      <c r="J46" s="427" t="n"/>
      <c r="K46" s="427" t="n"/>
      <c r="L46" s="310" t="n"/>
      <c r="M46" s="309" t="n"/>
      <c r="Q46" s="315">
        <f>IF(ISNUMBER($AK$69),$B$9,"")</f>
        <v/>
      </c>
      <c r="R46" s="314">
        <f>IF(AND(Q47="",Q48=""),"",IF($AK$69=1,"NE/SE",IF($AK$69=2,"NW/SE",IF($AK$69=3,"SW/SE",IF($AK$69=4,"SE/SE","")))))</f>
        <v/>
      </c>
      <c r="S46" s="428" t="n"/>
      <c r="T46" s="427" t="n"/>
      <c r="U46" s="508" t="n"/>
      <c r="V46" s="646" t="n"/>
      <c r="W46" s="321">
        <f>IF(NOT(ISBLANK(U46)),U46,DGET('Grid Numbers'!$A$2:$L$4952,'Grid Numbers'!$L$2,$B$78:$H$79))</f>
        <v/>
      </c>
      <c r="X46" s="426" t="inlineStr">
        <is>
          <t>dir.</t>
        </is>
      </c>
      <c r="AA46" s="689" t="n"/>
      <c r="AB46" s="294" t="n"/>
      <c r="AD46" s="319" t="n"/>
      <c r="AE46" s="712" t="n">
        <v>1</v>
      </c>
      <c r="AF46" s="617" t="n"/>
      <c r="AG46" s="712" t="n">
        <v>2</v>
      </c>
      <c r="AH46" s="617" t="n"/>
      <c r="AI46" s="712" t="n">
        <v>3</v>
      </c>
      <c r="AJ46" s="617" t="n"/>
      <c r="AK46" s="712" t="n">
        <v>4</v>
      </c>
      <c r="AL46" s="617" t="n"/>
      <c r="AV46" s="313" t="n"/>
      <c r="AW46" s="313" t="n"/>
      <c r="AX46" s="313" t="n"/>
      <c r="AY46" s="313" t="n"/>
      <c r="AZ46" s="313" t="n"/>
      <c r="BA46" s="313" t="n"/>
      <c r="BB46" s="313" t="inlineStr">
        <is>
          <t>SW-SW</t>
        </is>
      </c>
      <c r="BD46" s="320" t="n">
        <v>2</v>
      </c>
      <c r="BE46" s="319" t="inlineStr">
        <is>
          <t>BHL3</t>
        </is>
      </c>
      <c r="BF46" s="336">
        <f>IF(AND(MAX($AE$80:$AL$80)&lt;1,ISNUMBER($AG$39), ISNUMBER($AH$39)),IF(AND(IF($AH$39&lt;$BC$19,$AP$85,$AP$84)&lt;0,$AH$39&gt;0),2,IF(AND($AG$39&gt;0,$AH$39&lt;0),9,IF(AND($AG$39&lt;0,IF(-$AG$39&lt;$BD$19,$AQ$85,$AQ$86)&lt;0),8,""))),"")</f>
        <v/>
      </c>
      <c r="BG46" s="293" t="n">
        <v>10</v>
      </c>
      <c r="BH46" s="293" t="n">
        <v>3</v>
      </c>
      <c r="BI46" s="293" t="n">
        <v>2</v>
      </c>
      <c r="BJ46" s="293" t="n">
        <v>11</v>
      </c>
      <c r="BK46" s="293" t="n">
        <v>14</v>
      </c>
      <c r="BL46" s="293" t="n">
        <v>15</v>
      </c>
      <c r="BM46" s="293" t="n">
        <v>16</v>
      </c>
      <c r="BN46" s="293" t="n">
        <v>9</v>
      </c>
      <c r="BO46" s="293" t="n">
        <v>4</v>
      </c>
      <c r="BZ46" s="693" t="n"/>
      <c r="CA46" s="693" t="n"/>
    </row>
    <row r="47" ht="12" customHeight="1" s="613">
      <c r="A47" s="429" t="inlineStr">
        <is>
          <t>dec. deg.</t>
        </is>
      </c>
      <c r="B47" s="771">
        <f>IF(AND($L$38='SHL Section'!$BE$50,MAX('SHL Section'!$BF$37:$BF$40)=4),'SHL Section'!$W$46,IF(AND($L$38='SHL Section'!$BE$53,MAX('SHL Section'!$BF$41:$BF$44)=4),'SHL Section'!$W$46,IF(AND($L$38='SHL Section'!$BE$56,MAX('SHL Section'!$BF$45:$BF$48)=4),'SHL Section'!$W$46,IF(B43="","",IF(OR(B46=1,B46=4),180-(B43+B44/60+B45/3600),180+(B43+B44/60+B45/3600))))))</f>
        <v/>
      </c>
      <c r="C47" s="700" t="n"/>
      <c r="G47" s="312">
        <f>IF(ISNUMBER($AI$69),$I$9,"")</f>
        <v/>
      </c>
      <c r="H47" s="311">
        <f>IF(ISNUMBER($AI$69),"FSL","")</f>
        <v/>
      </c>
      <c r="I47" s="428" t="n"/>
      <c r="J47" s="427" t="n"/>
      <c r="K47" s="427" t="n"/>
      <c r="L47" s="310" t="n"/>
      <c r="M47" s="309" t="n"/>
      <c r="Q47" s="312">
        <f>IF(ISNUMBER($AK$69),$I$9,"")</f>
        <v/>
      </c>
      <c r="R47" s="311">
        <f>IF(ISNUMBER($AK$69),"FSL","")</f>
        <v/>
      </c>
      <c r="S47" s="428" t="n"/>
      <c r="T47" s="427" t="n"/>
      <c r="V47" s="646" t="n"/>
      <c r="W47" s="770">
        <f>IF(AND($L$38='SHL Section'!$BE$50,MAX('SHL Section'!$BF$37:$BF$40)=8),'SHL Section'!$B$46,IF(AND($L$38='SHL Section'!$BE$53,MAX('SHL Section'!$BF$41:$BF$44)=8),'SHL Section'!$B$46,IF(AND($L$38='SHL Section'!$BE$56,MAX('SHL Section'!$BF$45:$BF$48)=8),'SHL Section'!$B$46,IF(W43="","",IF(OR(W46=1,W46=4),180-(W43+W44/60+W45/3600),180+(W43+W44/60+W45/3600))))))</f>
        <v/>
      </c>
      <c r="X47" s="426" t="inlineStr">
        <is>
          <t>dec. deg.</t>
        </is>
      </c>
      <c r="AA47" s="689" t="n"/>
      <c r="AE47" s="674" t="inlineStr">
        <is>
          <t>SHL Qtr-Qtr Logic</t>
        </is>
      </c>
      <c r="AF47" s="675" t="n"/>
      <c r="AG47" s="676" t="inlineStr">
        <is>
          <t>SHL Qtr-Qtr Logic</t>
        </is>
      </c>
      <c r="AH47" s="677" t="n"/>
      <c r="AI47" s="674" t="inlineStr">
        <is>
          <t>SHL Qtr-Qtr Logic</t>
        </is>
      </c>
      <c r="AJ47" s="675" t="n"/>
      <c r="AK47" s="674" t="inlineStr">
        <is>
          <t>SHL Qtr-Qtr Logic</t>
        </is>
      </c>
      <c r="AL47" s="675" t="n"/>
      <c r="AV47" s="313" t="n"/>
      <c r="AW47" s="313" t="n"/>
      <c r="AX47" s="313" t="n"/>
      <c r="AY47" s="313" t="n"/>
      <c r="AZ47" s="313" t="n"/>
      <c r="BA47" s="313" t="n"/>
      <c r="BB47" s="313" t="inlineStr">
        <is>
          <t>SE-SW</t>
        </is>
      </c>
      <c r="BD47" s="320" t="n">
        <v>3</v>
      </c>
      <c r="BE47" s="319" t="inlineStr">
        <is>
          <t>BHL3</t>
        </is>
      </c>
      <c r="BF47" s="336">
        <f>IF(AND(MAX($AE$80:$AL$80)&lt;1,ISNUMBER($AI$40), ISNUMBER($AJ$40)),IF(AND($AI$40&gt;0,IF($AI$40&lt;$BJ$19,$AS$86,$AS$85)&lt;0),8,IF(AND($AI$40&lt;0,$AJ$40&lt;0),7,IF(AND(IF($AJ$40&lt;$BM$19,$AR$86,$AR$87)&lt;0,$AJ$40&gt;0),6,""))),"")</f>
        <v/>
      </c>
      <c r="BG47" s="293" t="n">
        <v>11</v>
      </c>
      <c r="BH47" s="293" t="n">
        <v>2</v>
      </c>
      <c r="BI47" s="293" t="n">
        <v>1</v>
      </c>
      <c r="BJ47" s="293" t="n">
        <v>12</v>
      </c>
      <c r="BK47" s="293" t="n">
        <v>13</v>
      </c>
      <c r="BL47" s="293" t="n">
        <v>14</v>
      </c>
      <c r="BM47" s="293" t="n">
        <v>15</v>
      </c>
      <c r="BN47" s="293" t="n">
        <v>10</v>
      </c>
      <c r="BO47" s="293" t="n">
        <v>3</v>
      </c>
      <c r="BZ47" s="693" t="n"/>
      <c r="CA47" s="693" t="n"/>
    </row>
    <row r="48" ht="12" customHeight="1" s="613">
      <c r="C48" s="700" t="n"/>
      <c r="G48" s="308">
        <f>IF(ISNUMBER($AI$69),$K$9,"")</f>
        <v/>
      </c>
      <c r="H48" s="307">
        <f>IF(ISNUMBER($AI$69),"FWL","")</f>
        <v/>
      </c>
      <c r="I48" s="428" t="n"/>
      <c r="J48" s="427" t="n"/>
      <c r="K48" s="427" t="n"/>
      <c r="L48" s="310" t="n"/>
      <c r="M48" s="309" t="n"/>
      <c r="Q48" s="308">
        <f>IF(ISNUMBER($AK$69),$K$9,"")</f>
        <v/>
      </c>
      <c r="R48" s="307">
        <f>IF(ISNUMBER($AK$69),"FEL","")</f>
        <v/>
      </c>
      <c r="S48" s="428" t="n"/>
      <c r="T48" s="427" t="n"/>
      <c r="V48" s="646" t="n"/>
      <c r="AE48" s="671" t="n"/>
      <c r="AF48" s="617" t="n"/>
      <c r="AG48" s="671" t="n"/>
      <c r="AH48" s="617" t="n"/>
      <c r="AI48" s="671" t="n"/>
      <c r="AJ48" s="617" t="n"/>
      <c r="AK48" s="671" t="n"/>
      <c r="AL48" s="617" t="n"/>
      <c r="AV48" s="313" t="n"/>
      <c r="AW48" s="313" t="n"/>
      <c r="AX48" s="313" t="n"/>
      <c r="AY48" s="313" t="n"/>
      <c r="AZ48" s="313" t="n"/>
      <c r="BA48" s="313" t="n"/>
      <c r="BB48" s="313" t="inlineStr">
        <is>
          <t>NE-SE</t>
        </is>
      </c>
      <c r="BD48" s="469" t="n">
        <v>4</v>
      </c>
      <c r="BE48" s="676" t="inlineStr">
        <is>
          <t>BHL3</t>
        </is>
      </c>
      <c r="BF48" s="318">
        <f>IF(AND(MAX($AE$80:$AL$80)&lt;1,ISNUMBER($AK$41), ISNUMBER($AL$41)),IF(AND(IF(-$AL$41&lt;$BS$19,$AT$87,$AT$86)&lt;0,$AL$41&lt;0),6,IF(AND($AK$41&lt;0,$AL$41&gt;0),5,IF(AND($AK$41&gt;0,IF($AK$41&lt;$BT$19,$AU$87,$AU$84)&lt;0),4,""))),"")</f>
        <v/>
      </c>
      <c r="BG48" s="293" t="n">
        <v>12</v>
      </c>
      <c r="BH48" s="293" t="n">
        <v>1</v>
      </c>
      <c r="BI48" s="293" t="n">
        <v>6</v>
      </c>
      <c r="BJ48" s="293" t="n">
        <v>7</v>
      </c>
      <c r="BK48" s="293" t="n">
        <v>18</v>
      </c>
      <c r="BL48" s="293" t="n">
        <v>13</v>
      </c>
      <c r="BM48" s="293" t="n">
        <v>14</v>
      </c>
      <c r="BN48" s="293" t="n">
        <v>11</v>
      </c>
      <c r="BO48" s="293" t="n">
        <v>2</v>
      </c>
      <c r="BZ48" s="693" t="n"/>
      <c r="CA48" s="693" t="n"/>
    </row>
    <row r="49" ht="12" customHeight="1" s="613">
      <c r="B49" s="420">
        <f>IF(AND($L$38='SHL Section'!$BE$50,MAX('SHL Section'!$BF$37:$BF$40)=4),'SHL Section'!$W$49,IF(AND($L$38='SHL Section'!$BE$53,MAX('SHL Section'!$BF$41:$BF$44)=4),'SHL Section'!$W$49,IF(AND($L$38='SHL Section'!$BE$56,MAX('SHL Section'!$BF$45:$BF$48)=4),'SHL Section'!$W$49,B50)))</f>
        <v/>
      </c>
      <c r="C49" s="700" t="n"/>
      <c r="G49" s="315">
        <f>IF(ISNUMBER($AI$80),$B$10,"")</f>
        <v/>
      </c>
      <c r="H49" s="314">
        <f>IF(AND(G50="",G51=""),"",IF($AI$80=1,"NE/SW",IF($AI$80=2,"NW/SW",IF($AI$80=3,"SW/SW",IF($AI$80=4,"SE/SW","")))))</f>
        <v/>
      </c>
      <c r="I49" s="428" t="n"/>
      <c r="J49" s="427" t="n"/>
      <c r="K49" s="427" t="n"/>
      <c r="L49" s="310" t="n"/>
      <c r="M49" s="309" t="n"/>
      <c r="Q49" s="315">
        <f>IF(ISNUMBER($AK$80),$B$10,"")</f>
        <v/>
      </c>
      <c r="R49" s="314">
        <f>IF(AND(Q50="",Q51=""),"",IF($AK$80=1,"NE/SE",IF($AK$80=2,"NW/SE",IF($AK$80=3,"SW/SE",IF($AK$80=4,"SE/SE","")))))</f>
        <v/>
      </c>
      <c r="S49" s="428" t="n"/>
      <c r="T49" s="427" t="n"/>
      <c r="U49" s="689" t="n"/>
      <c r="V49" s="646" t="n"/>
      <c r="W49" s="428">
        <f>IF(AND($L$38='SHL Section'!$BE$50,MAX('SHL Section'!$BF$37:$BF$40)=8),'SHL Section'!$B$49,IF(AND($L$38='SHL Section'!$BE$53,MAX('SHL Section'!$BF$41:$BF$44)=8),'SHL Section'!$B$49,IF(AND($L$38='SHL Section'!$BE$56,MAX('SHL Section'!$BF$45:$BF$48)=8),'SHL Section'!$B$49,W50)))</f>
        <v/>
      </c>
      <c r="AA49" s="689" t="n"/>
      <c r="AE49" s="291" t="n"/>
      <c r="AF49" s="290" t="n"/>
      <c r="AG49" s="292" t="n"/>
      <c r="AH49" s="292" t="n"/>
      <c r="AI49" s="291" t="n"/>
      <c r="AJ49" s="290" t="n"/>
      <c r="AK49" s="291" t="n"/>
      <c r="AL49" s="290" t="n"/>
      <c r="AV49" s="313" t="n"/>
      <c r="AW49" s="313" t="n"/>
      <c r="AX49" s="313" t="n"/>
      <c r="AY49" s="313" t="n"/>
      <c r="AZ49" s="313" t="n"/>
      <c r="BA49" s="313" t="n"/>
      <c r="BB49" s="313" t="inlineStr">
        <is>
          <t>NW-SE</t>
        </is>
      </c>
      <c r="BG49" s="293" t="n">
        <v>13</v>
      </c>
      <c r="BH49" s="293" t="n">
        <v>12</v>
      </c>
      <c r="BI49" s="293" t="n">
        <v>7</v>
      </c>
      <c r="BJ49" s="293" t="n">
        <v>18</v>
      </c>
      <c r="BK49" s="293" t="n">
        <v>19</v>
      </c>
      <c r="BL49" s="293" t="n">
        <v>24</v>
      </c>
      <c r="BM49" s="293" t="n">
        <v>23</v>
      </c>
      <c r="BN49" s="293" t="n">
        <v>14</v>
      </c>
      <c r="BO49" s="293" t="n">
        <v>11</v>
      </c>
      <c r="BZ49" s="693" t="n"/>
      <c r="CA49" s="693" t="n"/>
    </row>
    <row r="50" ht="12" customHeight="1" s="613">
      <c r="A50" s="429" t="inlineStr">
        <is>
          <t>dist.</t>
        </is>
      </c>
      <c r="B50" s="301">
        <f>IF(NOT(ISBLANK(D50)),D50,DGET('Grid Numbers'!$A$2:$L$4952,'Grid Numbers'!$H$2,$B$72:$H$73))</f>
        <v/>
      </c>
      <c r="C50" s="700" t="n"/>
      <c r="D50" s="504" t="n"/>
      <c r="G50" s="312">
        <f>IF(ISNUMBER($AI$80),$I$10,"")</f>
        <v/>
      </c>
      <c r="H50" s="311">
        <f>IF(ISNUMBER($AI$80),"FSL","")</f>
        <v/>
      </c>
      <c r="I50" s="428" t="n"/>
      <c r="J50" s="427" t="n"/>
      <c r="K50" s="427" t="n"/>
      <c r="L50" s="310" t="n"/>
      <c r="M50" s="309" t="n"/>
      <c r="Q50" s="312">
        <f>IF(ISNUMBER($AK$80),$I$10,"")</f>
        <v/>
      </c>
      <c r="R50" s="311">
        <f>IF(ISNUMBER($AK$80),"FSL","")</f>
        <v/>
      </c>
      <c r="S50" s="428" t="n"/>
      <c r="T50" s="427" t="n"/>
      <c r="U50" s="504" t="n"/>
      <c r="V50" s="646" t="n"/>
      <c r="W50" s="301">
        <f>IF(NOT(ISBLANK(U50)),U50,DGET('Grid Numbers'!$A$2:$L$4952,'Grid Numbers'!$H$2,$B$80:$H$81))</f>
        <v/>
      </c>
      <c r="X50" s="426" t="inlineStr">
        <is>
          <t>dist.</t>
        </is>
      </c>
      <c r="AA50" s="689" t="n"/>
      <c r="AE50" s="674" t="inlineStr">
        <is>
          <t>SHL NE SC Calc</t>
        </is>
      </c>
      <c r="AF50" s="675" t="n"/>
      <c r="AG50" s="676" t="inlineStr">
        <is>
          <t>SHL NW SC Calc</t>
        </is>
      </c>
      <c r="AH50" s="677" t="n"/>
      <c r="AI50" s="674" t="inlineStr">
        <is>
          <t>SHL SW SC Calc</t>
        </is>
      </c>
      <c r="AJ50" s="675" t="n"/>
      <c r="AK50" s="674" t="inlineStr">
        <is>
          <t>SHL SE SC Calc</t>
        </is>
      </c>
      <c r="AL50" s="675" t="n"/>
      <c r="AV50" s="313" t="n"/>
      <c r="AW50" s="313" t="n"/>
      <c r="AX50" s="313" t="n"/>
      <c r="AY50" s="313" t="n"/>
      <c r="AZ50" s="313" t="n"/>
      <c r="BA50" s="313" t="n"/>
      <c r="BB50" s="313" t="inlineStr">
        <is>
          <t>SW-SE</t>
        </is>
      </c>
      <c r="BG50" s="293" t="n">
        <v>14</v>
      </c>
      <c r="BH50" s="293" t="n">
        <v>11</v>
      </c>
      <c r="BI50" s="293" t="n">
        <v>12</v>
      </c>
      <c r="BJ50" s="293" t="n">
        <v>13</v>
      </c>
      <c r="BK50" s="293" t="n">
        <v>24</v>
      </c>
      <c r="BL50" s="293" t="n">
        <v>23</v>
      </c>
      <c r="BM50" s="293" t="n">
        <v>22</v>
      </c>
      <c r="BN50" s="293" t="n">
        <v>15</v>
      </c>
      <c r="BO50" s="293" t="n">
        <v>10</v>
      </c>
      <c r="BZ50" s="693" t="n"/>
      <c r="CA50" s="693" t="n"/>
    </row>
    <row r="51" ht="12" customHeight="1" s="613">
      <c r="A51" s="429" t="inlineStr">
        <is>
          <t>deg.</t>
        </is>
      </c>
      <c r="B51" s="295">
        <f>IF(NOT(ISBLANK(D51)),D51,DGET('Grid Numbers'!$A$2:$L$4952,'Grid Numbers'!$I$2,$B$72:$H$73))</f>
        <v/>
      </c>
      <c r="C51" s="700" t="n"/>
      <c r="D51" s="504" t="n"/>
      <c r="G51" s="308">
        <f>IF(ISNUMBER($AI$80),$K$10,"")</f>
        <v/>
      </c>
      <c r="H51" s="307">
        <f>IF(ISNUMBER($AI$80),"FWL","")</f>
        <v/>
      </c>
      <c r="I51" s="428" t="n"/>
      <c r="J51" s="427" t="n"/>
      <c r="K51" s="427" t="n"/>
      <c r="L51" s="310" t="n"/>
      <c r="M51" s="309" t="n"/>
      <c r="Q51" s="308">
        <f>IF(ISNUMBER($AK$80),$K$10,"")</f>
        <v/>
      </c>
      <c r="R51" s="307">
        <f>IF(ISNUMBER($AK$80),"FEL","")</f>
        <v/>
      </c>
      <c r="S51" s="428" t="n"/>
      <c r="T51" s="427" t="n"/>
      <c r="U51" s="504" t="n"/>
      <c r="V51" s="646" t="n"/>
      <c r="W51" s="474">
        <f>IF(NOT(ISBLANK(U51)),U51,DGET('Grid Numbers'!$A$2:$L$4952,'Grid Numbers'!$I$2,$B$80:$H$81))</f>
        <v/>
      </c>
      <c r="X51" s="426" t="inlineStr">
        <is>
          <t>deg.</t>
        </is>
      </c>
      <c r="AA51" s="689" t="n"/>
      <c r="AB51" s="294" t="n"/>
      <c r="AC51" s="294" t="n"/>
      <c r="AD51" s="470" t="inlineStr">
        <is>
          <t>Qtr-Qtr</t>
        </is>
      </c>
      <c r="AE51" s="671" t="inlineStr">
        <is>
          <t>N-S</t>
        </is>
      </c>
      <c r="AF51" s="671" t="inlineStr">
        <is>
          <t>E-W</t>
        </is>
      </c>
      <c r="AG51" s="468" t="inlineStr">
        <is>
          <t>N-S</t>
        </is>
      </c>
      <c r="AH51" s="467" t="inlineStr">
        <is>
          <t>E-W</t>
        </is>
      </c>
      <c r="AI51" s="671" t="inlineStr">
        <is>
          <t>N-S</t>
        </is>
      </c>
      <c r="AJ51" s="671" t="inlineStr">
        <is>
          <t>E-W</t>
        </is>
      </c>
      <c r="AK51" s="671" t="inlineStr">
        <is>
          <t>N-S</t>
        </is>
      </c>
      <c r="AL51" s="671" t="inlineStr">
        <is>
          <t>E-W</t>
        </is>
      </c>
      <c r="AV51" s="313" t="n"/>
      <c r="AW51" s="313" t="n"/>
      <c r="AX51" s="313" t="n"/>
      <c r="AY51" s="313" t="n"/>
      <c r="AZ51" s="313" t="n"/>
      <c r="BA51" s="313" t="n"/>
      <c r="BB51" s="313" t="inlineStr">
        <is>
          <t>SE-SE</t>
        </is>
      </c>
      <c r="BG51" s="293" t="n">
        <v>15</v>
      </c>
      <c r="BH51" s="293" t="n">
        <v>10</v>
      </c>
      <c r="BI51" s="293" t="n">
        <v>11</v>
      </c>
      <c r="BJ51" s="293" t="n">
        <v>14</v>
      </c>
      <c r="BK51" s="293" t="n">
        <v>23</v>
      </c>
      <c r="BL51" s="293" t="n">
        <v>22</v>
      </c>
      <c r="BM51" s="293" t="n">
        <v>21</v>
      </c>
      <c r="BN51" s="293" t="n">
        <v>16</v>
      </c>
      <c r="BO51" s="293" t="n">
        <v>9</v>
      </c>
      <c r="BZ51" s="693" t="n"/>
      <c r="CA51" s="693" t="n"/>
    </row>
    <row r="52" ht="12" customHeight="1" s="613">
      <c r="A52" s="429" t="inlineStr">
        <is>
          <t>min.</t>
        </is>
      </c>
      <c r="B52" s="295">
        <f>IF(NOT(ISBLANK(D52)),D52,DGET('Grid Numbers'!$A$2:$L$4952,'Grid Numbers'!$J$2,$B$72:$H$73))</f>
        <v/>
      </c>
      <c r="C52" s="700" t="n"/>
      <c r="D52" s="504" t="n"/>
      <c r="I52" s="428" t="n"/>
      <c r="J52" s="427" t="n"/>
      <c r="K52" s="427" t="n"/>
      <c r="L52" s="310" t="n"/>
      <c r="M52" s="309" t="n"/>
      <c r="P52" s="693" t="n"/>
      <c r="S52" s="428" t="n"/>
      <c r="T52" s="427" t="n"/>
      <c r="U52" s="504" t="n"/>
      <c r="V52" s="646" t="n"/>
      <c r="W52" s="474">
        <f>IF(NOT(ISBLANK(U52)),U52,DGET('Grid Numbers'!$A$2:$L$4952,'Grid Numbers'!$J$2,$B$80:$H$81))</f>
        <v/>
      </c>
      <c r="X52" s="426" t="inlineStr">
        <is>
          <t>min.</t>
        </is>
      </c>
      <c r="AA52" s="689" t="n"/>
      <c r="AB52" s="689" t="n"/>
      <c r="AD52" s="319" t="n">
        <v>1</v>
      </c>
      <c r="AE52" s="306">
        <f>IF($AD52=AE$48,-($Q$30/$AV$28+$Q$31/$BZ$28*$AV$19/$AW$19)/(1-$AV$19/$AW$19*$CA$19/$BZ$19),"")</f>
        <v/>
      </c>
      <c r="AF52" s="287">
        <f>IF($AD52=AE$48,-($Q$31/$BZ$28+$Q$30/$AV$28*$CA$19/$BZ$19)/(1-$AV$19/$AW$19*$CA$19/$BZ$19),"")</f>
        <v/>
      </c>
      <c r="AG52" s="420">
        <f>IF($AD52=AG$48,-($G$30/$AZ$28-$BB$19-($G$31/$BD$28-$BC$19)*$AZ$19/$BA$19)/(1-$AZ$19/$BA$19*$BE$19/$BD$19),"")</f>
        <v/>
      </c>
      <c r="AH52" s="420">
        <f>IF($AD52=AG$48,($G$31/$BD$28-$BC$19-($G$30/$AZ$28-$BB$19)*$BE$19/$BD$19)/(1-$AZ$19/$BA$19*$BE$19/$BD$19)+$BC$19,"")</f>
        <v/>
      </c>
      <c r="AI52" s="306">
        <f>IF($AD52=AI$48,($G$46/$BN$28-$BJ$19+$BL$19+($G$47/$BH$28-$BM$19+$BK$19)*$BN$19/$BO$19)/(1-$BI$19/$BH$19*$BN$19/$BO$19)+$BJ$19,"")</f>
        <v/>
      </c>
      <c r="AJ52" s="287">
        <f>IF($AD52=AI$48,($G$47/$BH$28-$BM$19+$BK$19+($G$46/$BN$28-$BJ$19+$BL$19)*$BI$19/$BH$19)/(1-$BI$19/$BH$19*$BN$19/$BO$19)+$BM$19,"")</f>
        <v/>
      </c>
      <c r="AK52" s="306">
        <f>IF($AD52=AK$48,($Q$46/$BR$28-$BT$19-($Q$47/$BV$28-$BU$19)*$BR$19/$BS$19)/(1-$BW$19/$BV$19*$BR$19/$BS$19)+$BT$19,"")</f>
        <v/>
      </c>
      <c r="AL52" s="287">
        <f>IF($AD52=AK$48,-($Q$47/$BV$28-$BU$19-($Q$46/$BR$28-$BT$19)*$BW$19/$BV$19)/(1-$BW$19/$BV$19*$BR$19/$BS$19),"")</f>
        <v/>
      </c>
      <c r="BG52" s="293" t="n">
        <v>16</v>
      </c>
      <c r="BH52" s="293" t="n">
        <v>9</v>
      </c>
      <c r="BI52" s="293" t="n">
        <v>10</v>
      </c>
      <c r="BJ52" s="293" t="n">
        <v>15</v>
      </c>
      <c r="BK52" s="293" t="n">
        <v>22</v>
      </c>
      <c r="BL52" s="293" t="n">
        <v>21</v>
      </c>
      <c r="BM52" s="293" t="n">
        <v>20</v>
      </c>
      <c r="BN52" s="293" t="n">
        <v>17</v>
      </c>
      <c r="BO52" s="293" t="n">
        <v>8</v>
      </c>
      <c r="BZ52" s="693" t="n"/>
      <c r="CA52" s="693" t="n"/>
    </row>
    <row r="53" ht="12" customHeight="1" s="613">
      <c r="A53" s="429" t="inlineStr">
        <is>
          <t>sec.</t>
        </is>
      </c>
      <c r="B53" s="295">
        <f>IF(NOT(ISBLANK(D53)),D53,DGET('Grid Numbers'!$A$2:$L$4952,'Grid Numbers'!$K$2,$B$72:$H$73))</f>
        <v/>
      </c>
      <c r="C53" s="700" t="n"/>
      <c r="D53" s="505" t="n"/>
      <c r="I53" s="428" t="n"/>
      <c r="J53" s="427" t="n"/>
      <c r="K53" s="427" t="n"/>
      <c r="L53" s="310" t="n"/>
      <c r="M53" s="309" t="n"/>
      <c r="P53" s="693" t="n"/>
      <c r="S53" s="428" t="n"/>
      <c r="T53" s="427" t="n"/>
      <c r="U53" s="505" t="n"/>
      <c r="V53" s="646" t="n"/>
      <c r="W53" s="474">
        <f>IF(NOT(ISBLANK(U53)),U53,DGET('Grid Numbers'!$A$2:$L$4952,'Grid Numbers'!$K$2,$B$80:$H$81))</f>
        <v/>
      </c>
      <c r="X53" s="426" t="inlineStr">
        <is>
          <t>sec.</t>
        </is>
      </c>
      <c r="AA53" s="689" t="n"/>
      <c r="AB53" s="689" t="n"/>
      <c r="AD53" s="319" t="n">
        <v>2</v>
      </c>
      <c r="AE53" s="306">
        <f>IF($AD53=AE$48,-($Q$30/$AX$28+$AV$19+($Q$31/$BZ$28-$AW$19)*$AX$19/$AY$19)/(1-$AX$19/$AY$19*$CA$19/$BZ$19),"")</f>
        <v/>
      </c>
      <c r="AF53" s="287">
        <f>IF($AD53=AE$48,-($Q$31/$BZ$28-$AW$19+($Q$30/$AX$28+$AV$19)*$CA$19/$BZ$19)/(1-$AX$19/$AY$19*$CA$19/$BZ$19)-$AW$19,"")</f>
        <v/>
      </c>
      <c r="AG53" s="420">
        <f>IF($AD53=AG$48,-($G$30/$BB$28-$G$31/$BD$28*$BB$19/$BC$19)/(1-$BE$19/$BD$19*$BB$19/$BC$19),"")</f>
        <v/>
      </c>
      <c r="AH53" s="420">
        <f>IF($AD53=AG$48,($G$31/$BD$28-$G$30/$BB$28*$BE$19/$BD$19)/(1-$BE$19/$BD$19*$BB$19/$BC$19),"")</f>
        <v/>
      </c>
      <c r="AI53" s="306">
        <f>IF($AD53=AI$48,($G$46/$BL$28-$BJ$19+($G$47/$BH$28+$BK$19)*$BL$19/$BM$19)/(1-$BI$19/$BH$19*$BL$19/$BM$19)+$BJ$19,"")</f>
        <v/>
      </c>
      <c r="AJ53" s="287">
        <f>IF($AD53=AI$48,($G$47/$BH$28+$BK$19+($G$46/$BL$28-$BJ$19)*$BI$19/$BH$19)/(1-$BI$19/$BH$19*$BL$19/$BM$19),"")</f>
        <v/>
      </c>
      <c r="AK53" s="306">
        <f>IF($AD53=AK$48,($Q$46/$BP$28-$BT19-$BR$19-($Q$47/$BV$28-$BS$19-$BU$19)*$BP$19/$BQ$19)/(1-$BW$19/$BV$19*$BP$19/$BQ$19)+$BT$19,"")</f>
        <v/>
      </c>
      <c r="AL53" s="287">
        <f>IF($AD53=AK$48,-($Q$47/$BV$28-$BS$19-$BU$19-($Q$46/$BP$28-$BT$19-$BR$19)*$BW$19/$BV$19)/(1-$BW$19/$BV$19*$BP$19/$BQ$19)-$BS$19,"")</f>
        <v/>
      </c>
      <c r="BG53" s="293" t="n">
        <v>17</v>
      </c>
      <c r="BH53" s="293" t="n">
        <v>8</v>
      </c>
      <c r="BI53" s="293" t="n">
        <v>9</v>
      </c>
      <c r="BJ53" s="293" t="n">
        <v>16</v>
      </c>
      <c r="BK53" s="293" t="n">
        <v>21</v>
      </c>
      <c r="BL53" s="293" t="n">
        <v>20</v>
      </c>
      <c r="BM53" s="293" t="n">
        <v>19</v>
      </c>
      <c r="BN53" s="293" t="n">
        <v>18</v>
      </c>
      <c r="BO53" s="293" t="n">
        <v>7</v>
      </c>
      <c r="BZ53" s="693" t="n"/>
      <c r="CA53" s="693" t="n"/>
    </row>
    <row r="54">
      <c r="A54" s="429" t="inlineStr">
        <is>
          <t>dir.</t>
        </is>
      </c>
      <c r="B54" s="321">
        <f>IF(NOT(ISBLANK(D54)),D54,DGET('Grid Numbers'!$A$2:$L$4952,'Grid Numbers'!$L$2,$B$72:$H$73))</f>
        <v/>
      </c>
      <c r="C54" s="700" t="n"/>
      <c r="D54" s="508" t="n"/>
      <c r="F54" s="774" t="n"/>
      <c r="I54" s="428" t="n"/>
      <c r="J54" s="427" t="n"/>
      <c r="K54" s="427" t="n"/>
      <c r="L54" s="310" t="n"/>
      <c r="M54" s="309" t="n"/>
      <c r="P54" s="774" t="n"/>
      <c r="S54" s="428" t="n"/>
      <c r="T54" s="427" t="n"/>
      <c r="U54" s="508" t="n"/>
      <c r="V54" s="646" t="n"/>
      <c r="W54" s="321">
        <f>IF(NOT(ISBLANK(U54)),U54,DGET('Grid Numbers'!$A$2:$L$4952,'Grid Numbers'!$L$2,$B$80:$H$81))</f>
        <v/>
      </c>
      <c r="X54" s="426" t="inlineStr">
        <is>
          <t>dir.</t>
        </is>
      </c>
      <c r="AA54" s="689" t="n"/>
      <c r="AB54" s="689" t="n"/>
      <c r="AD54" s="319" t="n">
        <v>3</v>
      </c>
      <c r="AE54" s="306">
        <f>IF($AD54=AE$48,-($Q$30/$AX$28+$AV$19-$BZ$19+($Q$31/$BX$28+$CA$19-$AW$19)*$AX$19/$AY$19)/(1-$AX$19/$AY$19*$BY$19/$BX$19)-$BZ$19,"")</f>
        <v/>
      </c>
      <c r="AF54" s="287">
        <f>IF($AD54=AE$48,-($Q$31/$BX$28+$CA$19-$AW$19+($Q$30/$AX$28+$AV$19-$BZ$19)*$BY$19/$BX$19)/(1-$AX$19/$AY$19*$BY$19/$BX$19)-$AW$19,"")</f>
        <v/>
      </c>
      <c r="AG54" s="420">
        <f>IF($AD54=AG$48,-($G$30/$BB$28-$BD$19-($G$31/$BF$28-$BE$19)*$BB$19/$BC$19)/(1-$BG$19/$BF$19*$BB$19/$BC$19)-$BD$19,"")</f>
        <v/>
      </c>
      <c r="AH54" s="420">
        <f>IF($AD54=AG$48,($G$31/$BF$28-$BE$19-($G$30/$BB$28-$BD$19)*$BG$19/$BF$19)/(1-$BG$19/$BF$19*$BB$19/$BC$19),"")</f>
        <v/>
      </c>
      <c r="AI54" s="306">
        <f>IF($AD54=AI$48,($G$46/$BL$28+$G$47/$BJ$28*$BL$19/$BM$19)/(1-$BK$19/$BJ$19*$BL$19/$BM$19),"")</f>
        <v/>
      </c>
      <c r="AJ54" s="287">
        <f>IF($AD54=AI$48,($G$47/$BJ$28+$G$46/$BL$28*$BK$19/$BJ$19)/(1-$BK$19/$BJ$19*$BL$19/$BM$19),"")</f>
        <v/>
      </c>
      <c r="AK54" s="306">
        <f>IF($AD54=AK$48,($Q$46/$BP$28-$BR$19-($Q$47/$BT$28-$BS$19)*$BP$19/$BQ$19)/(1-$BU$19/$BT$19*$BP$19/$BQ$19),"")</f>
        <v/>
      </c>
      <c r="AL54" s="287">
        <f>IF($AD54=AK$48,-($Q$47/$BT$28-$BS$19-($Q$46/$BP$28-$BR$19)*$BU$19/$BT$19)/(1-$BU$19/$BT$19*$BP$19/$BQ$19)-$BS$19,"")</f>
        <v/>
      </c>
      <c r="BG54" s="293" t="n">
        <v>18</v>
      </c>
      <c r="BH54" s="293" t="n">
        <v>7</v>
      </c>
      <c r="BI54" s="293" t="n">
        <v>8</v>
      </c>
      <c r="BJ54" s="293" t="n">
        <v>17</v>
      </c>
      <c r="BK54" s="293" t="n">
        <v>20</v>
      </c>
      <c r="BL54" s="293" t="n">
        <v>19</v>
      </c>
      <c r="BM54" s="293" t="n">
        <v>24</v>
      </c>
      <c r="BN54" s="293" t="n">
        <v>13</v>
      </c>
      <c r="BO54" s="293" t="n">
        <v>12</v>
      </c>
      <c r="BZ54" s="693" t="n"/>
      <c r="CA54" s="693" t="n"/>
    </row>
    <row r="55" ht="12" customHeight="1" s="613" thickBot="1">
      <c r="A55" s="429" t="inlineStr">
        <is>
          <t>dec. deg.</t>
        </is>
      </c>
      <c r="B55" s="771">
        <f>IF(AND($L$38='SHL Section'!$BE$50,MAX('SHL Section'!$BF$37:$BF$40)=4),'SHL Section'!$W$54,IF(AND($L$38='SHL Section'!$BE$53,MAX('SHL Section'!$BF$41:$BF$44)=4),'SHL Section'!$W$54,IF(AND($L$38='SHL Section'!$BE$56,MAX('SHL Section'!$BF$45:$BF$48)=4),'SHL Section'!$W$54,IF(B51="","",IF(OR(B54=1,B54=4),180-(B51+B52/60+B53/3600),180+(B51+B52/60+B53/3600))))))</f>
        <v/>
      </c>
      <c r="C55" s="654" t="n"/>
      <c r="D55" s="633" t="n"/>
      <c r="E55" s="633" t="n"/>
      <c r="F55" s="633" t="n"/>
      <c r="G55" s="633" t="n"/>
      <c r="H55" s="633" t="n"/>
      <c r="I55" s="633" t="n"/>
      <c r="J55" s="633" t="n"/>
      <c r="K55" s="633" t="n"/>
      <c r="L55" s="305" t="n"/>
      <c r="M55" s="304" t="n"/>
      <c r="N55" s="633" t="n"/>
      <c r="O55" s="633" t="n"/>
      <c r="P55" s="633" t="n"/>
      <c r="Q55" s="633" t="n"/>
      <c r="R55" s="633" t="n"/>
      <c r="S55" s="633" t="n"/>
      <c r="T55" s="633" t="n"/>
      <c r="U55" s="633" t="n"/>
      <c r="V55" s="634" t="n"/>
      <c r="W55" s="770">
        <f>IF(AND($L$38='SHL Section'!$BE$50,MAX('SHL Section'!$BF$37:$BF$40)=8),'SHL Section'!$B$54,IF(AND($L$38='SHL Section'!$BE$53,MAX('SHL Section'!$BF$41:$BF$44)=8),'SHL Section'!$B$54,IF(AND($L$38='SHL Section'!$BE$56,MAX('SHL Section'!$BF$45:$BF$48)=8),'SHL Section'!$B$54,IF(W51="","",IF(OR(W54=1,W54=4),180-(W51+W52/60+W53/3600),180+(W51+W52/60+W53/3600))))))</f>
        <v/>
      </c>
      <c r="X55" s="426" t="inlineStr">
        <is>
          <t>dec. deg.</t>
        </is>
      </c>
      <c r="AA55" s="689" t="n"/>
      <c r="AB55" s="689" t="n"/>
      <c r="AD55" s="319" t="n">
        <v>4</v>
      </c>
      <c r="AE55" s="306">
        <f>IF($AD55=AE$48,-($Q$30/$AV$28-$BZ$19+($Q$31/$BX$28+$CA$19)*$AV$19/$AW$19)/(1-$AV$19/$AW$19*$BY$19/$BX$19)-$BZ$19,"")</f>
        <v/>
      </c>
      <c r="AF55" s="287">
        <f>IF($AD55=AE$48,-($Q$31/$BX$28+$CA$19+($Q$30/$AV$28-$BZ$19)*$BY$19/$BX$19)/(1-$AV$19/$AW$19*$BY$19/$BX$19),"")</f>
        <v/>
      </c>
      <c r="AG55" s="420">
        <f>IF($AD55=AG$48,-($G$30/$AZ$28-$BD$19-$BB$19-($G$31/$BF$28-$BC$19-$BE$19)*$AZ$19/$BA$19)/(1-$AZ$19/$BA$19*$BG$19/$BF$19)-$BD$19,"")</f>
        <v/>
      </c>
      <c r="AH55" s="420">
        <f>IF($AD55=AG$48,($G$31/$BF$28-$BC$19-$BE$19-($G$30/$AZ$28-$BD$19-$BB$19)*$BG$19/$BF$19)/(1-$AZ$19/$BA$19*$BG$19/$BF$19)+$BC$19,"")</f>
        <v/>
      </c>
      <c r="AI55" s="306">
        <f>IF($AD55=AI$48,($G$46/$BN$28+$BL$19+($G$47/$BJ$28-$BM$19)*$BN$19/$BO$19)/(1-$BK$19/$BJ$19*$BN$19/$BO$19),"")</f>
        <v/>
      </c>
      <c r="AJ55" s="287">
        <f>IF($AD55=AI$48,($G$47/$BJ$28-$BM$19+($G$46/$BN$28+$BL$19)*$BK$19/$BJ$19)/(1-$BK$19/$BJ$19*$BN$19/$BO$19)+$BM$19,"")</f>
        <v/>
      </c>
      <c r="AK55" s="306">
        <f>IF($AD55=AK$48,($Q$46/$BR$28-$Q$47/$BT$28*$BR$19/$BS$19)/(1-$BU$19/$BT$19*$BR$19/$BS$19),"")</f>
        <v/>
      </c>
      <c r="AL55" s="287">
        <f>IF($AD55=AK$48,-($Q$47/$BT$28-$Q$46/$BR$28*$BU$19/$BT$19)/(1-$BU$19/$BT$19*$BR$19/$BS$19),"")</f>
        <v/>
      </c>
      <c r="AW55" s="693" t="n">
        <v>1</v>
      </c>
      <c r="AX55" s="693" t="n">
        <v>2</v>
      </c>
      <c r="AY55" s="693" t="n">
        <v>3</v>
      </c>
      <c r="AZ55" s="693" t="n">
        <v>4</v>
      </c>
      <c r="BG55" s="293" t="n">
        <v>19</v>
      </c>
      <c r="BH55" s="293" t="n">
        <v>18</v>
      </c>
      <c r="BI55" s="293" t="n">
        <v>17</v>
      </c>
      <c r="BJ55" s="293" t="n">
        <v>20</v>
      </c>
      <c r="BK55" s="293" t="n">
        <v>29</v>
      </c>
      <c r="BL55" s="293" t="n">
        <v>30</v>
      </c>
      <c r="BM55" s="293" t="n">
        <v>25</v>
      </c>
      <c r="BN55" s="293" t="n">
        <v>24</v>
      </c>
      <c r="BO55" s="293" t="n">
        <v>13</v>
      </c>
      <c r="BZ55" s="693" t="n"/>
      <c r="CA55" s="693" t="n"/>
    </row>
    <row r="56" ht="12" customHeight="1" s="613" thickBot="1">
      <c r="B56" s="670">
        <f>CONCATENATE("SW SC of ",$L$38)</f>
        <v/>
      </c>
      <c r="L56" s="669">
        <f>CONCATENATE("S QC of ",$L$38)</f>
        <v/>
      </c>
      <c r="M56" s="653" t="n"/>
      <c r="V56" s="684">
        <f>CONCATENATE("SE SC of ",$L$38)</f>
        <v/>
      </c>
      <c r="AA56" s="689" t="n"/>
      <c r="AB56" s="689" t="n"/>
      <c r="AE56" s="291" t="n"/>
      <c r="AF56" s="290" t="n"/>
      <c r="AG56" s="292" t="n"/>
      <c r="AH56" s="292" t="n"/>
      <c r="AI56" s="291" t="n"/>
      <c r="AJ56" s="290" t="n"/>
      <c r="AK56" s="291" t="n"/>
      <c r="AL56" s="290" t="n"/>
      <c r="AV56" s="693" t="n">
        <v>1</v>
      </c>
      <c r="AW56" s="293" t="inlineStr">
        <is>
          <t>NE-NE</t>
        </is>
      </c>
      <c r="AX56" s="293" t="inlineStr">
        <is>
          <t>NE-NW</t>
        </is>
      </c>
      <c r="AY56" s="293" t="inlineStr">
        <is>
          <t>NE-SW</t>
        </is>
      </c>
      <c r="AZ56" s="293" t="inlineStr">
        <is>
          <t>NE-SE</t>
        </is>
      </c>
      <c r="BG56" s="293" t="n">
        <v>20</v>
      </c>
      <c r="BH56" s="293" t="n">
        <v>17</v>
      </c>
      <c r="BI56" s="293" t="n">
        <v>16</v>
      </c>
      <c r="BJ56" s="293" t="n">
        <v>21</v>
      </c>
      <c r="BK56" s="293" t="n">
        <v>28</v>
      </c>
      <c r="BL56" s="293" t="n">
        <v>29</v>
      </c>
      <c r="BM56" s="293" t="n">
        <v>30</v>
      </c>
      <c r="BN56" s="293" t="n">
        <v>19</v>
      </c>
      <c r="BO56" s="293" t="n">
        <v>18</v>
      </c>
      <c r="BZ56" s="693" t="n"/>
      <c r="CA56" s="693" t="n"/>
    </row>
    <row r="57" ht="12" customHeight="1" s="613">
      <c r="D57" s="429" t="inlineStr">
        <is>
          <t>dist.</t>
        </is>
      </c>
      <c r="E57" s="302">
        <f>IF(NOT(ISBLANK(F57)),F57,DGET('Grid Numbers'!$A$2:$L$4952,'Grid Numbers'!$H$2,$L$74:$R$75))</f>
        <v/>
      </c>
      <c r="F57" s="504" t="n"/>
      <c r="H57" s="299" t="n"/>
      <c r="I57" s="299" t="n"/>
      <c r="J57" s="429" t="inlineStr">
        <is>
          <t>dist.</t>
        </is>
      </c>
      <c r="K57" s="303">
        <f>IF(NOT(ISBLANK(L57)),L57,DGET('Grid Numbers'!$A$2:$L$4952,'Grid Numbers'!$H$2,$L$76:$R$77))</f>
        <v/>
      </c>
      <c r="L57" s="504" t="n"/>
      <c r="N57" s="429" t="inlineStr">
        <is>
          <t>dist.</t>
        </is>
      </c>
      <c r="O57" s="302">
        <f>IF(NOT(ISBLANK(P57)),P57,DGET('Grid Numbers'!$A$2:$L$4952,'Grid Numbers'!$H$2,$L$78:$R$79))</f>
        <v/>
      </c>
      <c r="P57" s="504" t="n"/>
      <c r="Q57" s="299" t="n"/>
      <c r="R57" s="299" t="n"/>
      <c r="T57" s="429" t="inlineStr">
        <is>
          <t>dist.</t>
        </is>
      </c>
      <c r="U57" s="301">
        <f>IF(NOT(ISBLANK(V57)),V57,DGET('Grid Numbers'!$A$2:$L$4952,'Grid Numbers'!$H$2,$L$80:$R$81))</f>
        <v/>
      </c>
      <c r="V57" s="504" t="n"/>
      <c r="AA57" s="689" t="n"/>
      <c r="AB57" s="689" t="n"/>
      <c r="AE57" s="674" t="inlineStr">
        <is>
          <t>BHL1 Qtr-Qtr Logic</t>
        </is>
      </c>
      <c r="AF57" s="675" t="n"/>
      <c r="AG57" s="676" t="inlineStr">
        <is>
          <t>BHL1 Qtr-Qtr Logic</t>
        </is>
      </c>
      <c r="AH57" s="677" t="n"/>
      <c r="AI57" s="674" t="inlineStr">
        <is>
          <t>BHL1 Qtr-Qtr Logic</t>
        </is>
      </c>
      <c r="AJ57" s="675" t="n"/>
      <c r="AK57" s="674" t="inlineStr">
        <is>
          <t>BHL1 Qtr-Qtr Logic</t>
        </is>
      </c>
      <c r="AL57" s="675" t="n"/>
      <c r="AV57" s="693" t="n">
        <v>2</v>
      </c>
      <c r="AW57" s="293" t="inlineStr">
        <is>
          <t>NW-NE</t>
        </is>
      </c>
      <c r="AX57" s="293" t="inlineStr">
        <is>
          <t>NW-NW</t>
        </is>
      </c>
      <c r="AY57" s="293" t="inlineStr">
        <is>
          <t>NW-SW</t>
        </is>
      </c>
      <c r="AZ57" s="293" t="inlineStr">
        <is>
          <t>NW-SE</t>
        </is>
      </c>
      <c r="BG57" s="293" t="n">
        <v>21</v>
      </c>
      <c r="BH57" s="293" t="n">
        <v>16</v>
      </c>
      <c r="BI57" s="293" t="n">
        <v>15</v>
      </c>
      <c r="BJ57" s="293" t="n">
        <v>22</v>
      </c>
      <c r="BK57" s="293" t="n">
        <v>27</v>
      </c>
      <c r="BL57" s="293" t="n">
        <v>28</v>
      </c>
      <c r="BM57" s="293" t="n">
        <v>29</v>
      </c>
      <c r="BN57" s="293" t="n">
        <v>20</v>
      </c>
      <c r="BO57" s="293" t="n">
        <v>17</v>
      </c>
      <c r="BZ57" s="693" t="n"/>
      <c r="CA57" s="693" t="n"/>
    </row>
    <row r="58" ht="12" customHeight="1" s="613">
      <c r="D58" s="429" t="inlineStr">
        <is>
          <t>deg.</t>
        </is>
      </c>
      <c r="E58" s="295">
        <f>IF(NOT(ISBLANK(F58)),F58,DGET('Grid Numbers'!$A$2:$L$4952,'Grid Numbers'!$I$2,$L$74:$R$75))</f>
        <v/>
      </c>
      <c r="F58" s="504" t="n"/>
      <c r="J58" s="429" t="inlineStr">
        <is>
          <t>deg.</t>
        </is>
      </c>
      <c r="K58" s="296">
        <f>IF(NOT(ISBLANK(L58)),L58,DGET('Grid Numbers'!$A$2:$L$4952,'Grid Numbers'!$I$2,$L$76:$R$77))</f>
        <v/>
      </c>
      <c r="L58" s="504" t="n"/>
      <c r="N58" s="429" t="inlineStr">
        <is>
          <t>deg.</t>
        </is>
      </c>
      <c r="O58" s="295">
        <f>IF(NOT(ISBLANK(P58)),P58,DGET('Grid Numbers'!$A$2:$L$4952,'Grid Numbers'!$I$2,$L$78:$R$79))</f>
        <v/>
      </c>
      <c r="P58" s="504" t="n"/>
      <c r="T58" s="429" t="inlineStr">
        <is>
          <t>deg.</t>
        </is>
      </c>
      <c r="U58" s="295">
        <f>IF(NOT(ISBLANK(V58)),V58,DGET('Grid Numbers'!$A$2:$L$4952,'Grid Numbers'!$I$2,$L$80:$R$81))</f>
        <v/>
      </c>
      <c r="V58" s="504" t="n"/>
      <c r="AA58" s="689" t="n"/>
      <c r="AB58" s="689" t="n"/>
      <c r="AE58" s="671">
        <f>IF($AE$30="","",IF(AND((-$AE$30+$AF$30*$AV$19/$AW$19)&gt;0,-$AE$30&lt;$BZ$19,(-$AF$30+$AE$30*$CA$19/$BZ$19)&gt;0,-$AF$30&lt;$AW$19),1,IF(AND((-$AE$30-$AV$19+($AF$30+$AW$19)*$AX$19/$AY$19)&gt;0,-$AE$30&lt;$BZ$19,-$AF$30&gt;$AW$19,-$AF$30&lt;$AX$22),2,IF(AND(-$AE$30&lt;$BY$22,-$AE$30&gt;$BZ$19,-$AF$30&gt;$AW$19,-$AF$30&lt;$AX$22),3,IF(AND(-$AE$30&lt;$BY$22,-$AE$30&gt;$BZ$19,(-$AF$30-$CA$19-(-$AE$30-$BZ$19)*$BY$19/$BX$19)&gt;0,-$AF$30&lt;$AW$19),4,"")))))</f>
        <v/>
      </c>
      <c r="AF58" s="617" t="n"/>
      <c r="AG58" s="671">
        <f>IF($AG$30="","",IF(AND((-$AG$30+$BB$19+($AH$30-$BC$19)*$AZ$19/$BA$19)&gt;0,-$AG$30&lt;$BD$19,$AH$30&gt;$BC$19,$AH$30&lt;$BB$22),1,IF(AND((-$AG$30+$AH$30*$BB$19/$BC$19)&gt;0,-$AG$30&lt;$BD$19,($AH$30-$AG$30*$BE$19/$BD$19)&gt;0,$AH$30&lt;$BC$19),2,IF(AND(-$AG$30&gt;$BD$19,-$AG$30&lt;$BE$22,($AH$30+$BE$19+(-$AG$30-$BD$19)*$BG$19/$BF$19)&gt;0,$AH$30&lt;$BC$19),3,IF(AND(-$AG$30&gt;$BD$19,-$AG$30&lt;$BE$22,$AH$30&gt;$BC$19,$AH$30&lt;$BB$22),4,"")))))</f>
        <v/>
      </c>
      <c r="AH58" s="617" t="n"/>
      <c r="AI58" s="671">
        <f>IF($AI$30="","",IF(AND($AI$30&gt;$BJ$19,$AI$30&lt;$BI$22,$AJ$30&gt;$BM$19,$AJ$30&lt;$BN$22),1,IF(AND($AI$30&gt;$BJ$19,$AI$30&lt;$BI$22,($AJ$30-$BK$19-($AI$30-$BJ$19)*$BI$19/$BH$19)&gt;0,$AJ$30&lt;$BM$19),2,IF(AND(($AI$30-$AJ$30*$BL$19/$BM$19)&gt;0,$AI$30&lt;$BJ$19,($AJ$30-$AI$30*$BK$19/$BJ$19)&gt;0,$AJ$30&lt;$BM$19),3,IF(AND(($AI$30-$BL$19-($AJ$30-$BM$19)*$BN$19/$BO$19)&gt;0,$AI$30&lt;$BJ$19,$AJ$30&gt;$BM$19,$AJ$30&lt;$BN$22),4,"")))))</f>
        <v/>
      </c>
      <c r="AJ58" s="617" t="n"/>
      <c r="AK58" s="671">
        <f>IF($AK$30="","",IF(AND($AK$30&gt;$BT$19,$AK$30&lt;$BU$22,(-$AL$30+$BU$19+($AK$30-$BT$19)*$BW$19/$BV$19)&gt;0,-$AL$30&lt;$BS$19),1,IF(AND($AK$30&gt;$BT$19,$AK$30&lt;$BU$22,-$AL$30&gt;$BS$19,-$AL$30&lt;$BR$22),2,IF(AND(($AK$30+$BR$19+(-$AL$30-$BS$19)*$BP$19/$BQ$19)&gt;0,$AK$30&lt;$BT$19,-$AL$30&gt;$BS$19,-$AL$30&lt;$BR$22),3,IF(AND(($AK$30-$AL$30*$BR$19/$BS$19)&gt;0,$AK$30&lt;$BT$19,(-$AL$30+$AK$30*$BU$19/$BT$19)&gt;0,-$AL$30&lt;$BS$19),4,"")))))</f>
        <v/>
      </c>
      <c r="AL58" s="617" t="n"/>
      <c r="AV58" s="693" t="n">
        <v>3</v>
      </c>
      <c r="AW58" s="293" t="inlineStr">
        <is>
          <t>SW-NE</t>
        </is>
      </c>
      <c r="AX58" s="293" t="inlineStr">
        <is>
          <t>SW-NW</t>
        </is>
      </c>
      <c r="AY58" s="293" t="inlineStr">
        <is>
          <t>SW-SW</t>
        </is>
      </c>
      <c r="AZ58" s="293" t="inlineStr">
        <is>
          <t>SW-SE</t>
        </is>
      </c>
      <c r="BG58" s="293" t="n">
        <v>22</v>
      </c>
      <c r="BH58" s="293" t="n">
        <v>15</v>
      </c>
      <c r="BI58" s="293" t="n">
        <v>14</v>
      </c>
      <c r="BJ58" s="293" t="n">
        <v>23</v>
      </c>
      <c r="BK58" s="293" t="n">
        <v>26</v>
      </c>
      <c r="BL58" s="293" t="n">
        <v>27</v>
      </c>
      <c r="BM58" s="293" t="n">
        <v>28</v>
      </c>
      <c r="BN58" s="293" t="n">
        <v>21</v>
      </c>
      <c r="BO58" s="293" t="n">
        <v>16</v>
      </c>
      <c r="BZ58" s="693" t="n"/>
      <c r="CA58" s="693" t="n"/>
    </row>
    <row r="59" ht="12" customHeight="1" s="613">
      <c r="D59" s="429" t="inlineStr">
        <is>
          <t>min.</t>
        </is>
      </c>
      <c r="E59" s="295">
        <f>IF(NOT(ISBLANK(F59)),F59,DGET('Grid Numbers'!$A$2:$L$4952,'Grid Numbers'!$J$2,$L$74:$R$75))</f>
        <v/>
      </c>
      <c r="F59" s="504" t="n"/>
      <c r="J59" s="429" t="inlineStr">
        <is>
          <t>min.</t>
        </is>
      </c>
      <c r="K59" s="296">
        <f>IF(NOT(ISBLANK(L59)),L59,DGET('Grid Numbers'!$A$2:$L$4952,'Grid Numbers'!$J$2,$L$76:$R$77))</f>
        <v/>
      </c>
      <c r="L59" s="504" t="n"/>
      <c r="N59" s="429" t="inlineStr">
        <is>
          <t>min.</t>
        </is>
      </c>
      <c r="O59" s="295">
        <f>IF(NOT(ISBLANK(P59)),P59,DGET('Grid Numbers'!$A$2:$L$4952,'Grid Numbers'!$J$2,$L$78:$R$79))</f>
        <v/>
      </c>
      <c r="P59" s="504" t="n"/>
      <c r="T59" s="429" t="inlineStr">
        <is>
          <t>min.</t>
        </is>
      </c>
      <c r="U59" s="295">
        <f>IF(NOT(ISBLANK(V59)),V59,DGET('Grid Numbers'!$A$2:$L$4952,'Grid Numbers'!$J$2,$L$80:$R$81))</f>
        <v/>
      </c>
      <c r="V59" s="504" t="n"/>
      <c r="AA59" s="689" t="n"/>
      <c r="AB59" s="689" t="n"/>
      <c r="AE59" s="291" t="n"/>
      <c r="AF59" s="290" t="n"/>
      <c r="AG59" s="292" t="n"/>
      <c r="AH59" s="292" t="n"/>
      <c r="AI59" s="291" t="n"/>
      <c r="AJ59" s="290" t="n"/>
      <c r="AK59" s="291" t="n"/>
      <c r="AL59" s="290" t="n"/>
      <c r="AV59" s="693" t="n">
        <v>4</v>
      </c>
      <c r="AW59" s="293" t="inlineStr">
        <is>
          <t>SE-NE</t>
        </is>
      </c>
      <c r="AX59" s="293" t="inlineStr">
        <is>
          <t>SE-NW</t>
        </is>
      </c>
      <c r="AY59" s="293" t="inlineStr">
        <is>
          <t>SE-SW</t>
        </is>
      </c>
      <c r="AZ59" s="293" t="inlineStr">
        <is>
          <t>SE-SE</t>
        </is>
      </c>
      <c r="BG59" s="293" t="n">
        <v>23</v>
      </c>
      <c r="BH59" s="293" t="n">
        <v>14</v>
      </c>
      <c r="BI59" s="293" t="n">
        <v>13</v>
      </c>
      <c r="BJ59" s="293" t="n">
        <v>24</v>
      </c>
      <c r="BK59" s="293" t="n">
        <v>25</v>
      </c>
      <c r="BL59" s="293" t="n">
        <v>26</v>
      </c>
      <c r="BM59" s="293" t="n">
        <v>27</v>
      </c>
      <c r="BN59" s="293" t="n">
        <v>22</v>
      </c>
      <c r="BO59" s="293" t="n">
        <v>15</v>
      </c>
      <c r="BZ59" s="693" t="n"/>
      <c r="CA59" s="693" t="n"/>
    </row>
    <row r="60" ht="12" customHeight="1" s="613">
      <c r="D60" s="429" t="inlineStr">
        <is>
          <t>sec.</t>
        </is>
      </c>
      <c r="E60" s="295">
        <f>IF(NOT(ISBLANK(F60)),F60,DGET('Grid Numbers'!$A$2:$L$4952,'Grid Numbers'!$K$2,$L$74:$R$75))</f>
        <v/>
      </c>
      <c r="F60" s="505" t="n"/>
      <c r="J60" s="429" t="inlineStr">
        <is>
          <t>sec.</t>
        </is>
      </c>
      <c r="K60" s="296">
        <f>IF(NOT(ISBLANK(L60)),L60,DGET('Grid Numbers'!$A$2:$L$4952,'Grid Numbers'!$K$2,$L$76:$R$77))</f>
        <v/>
      </c>
      <c r="L60" s="505" t="n"/>
      <c r="N60" s="429" t="inlineStr">
        <is>
          <t>sec.</t>
        </is>
      </c>
      <c r="O60" s="295">
        <f>IF(NOT(ISBLANK(P60)),P60,DGET('Grid Numbers'!$A$2:$L$4952,'Grid Numbers'!$K$2,$L$78:$R$79))</f>
        <v/>
      </c>
      <c r="P60" s="505" t="n"/>
      <c r="T60" s="429" t="inlineStr">
        <is>
          <t>sec.</t>
        </is>
      </c>
      <c r="U60" s="295">
        <f>IF(NOT(ISBLANK(V60)),V60,DGET('Grid Numbers'!$A$2:$L$4952,'Grid Numbers'!$K$2,$L$80:$R$81))</f>
        <v/>
      </c>
      <c r="V60" s="505" t="n"/>
      <c r="AA60" s="689" t="n"/>
      <c r="AB60" s="689" t="n"/>
      <c r="AE60" s="674" t="inlineStr">
        <is>
          <t>BHL1 NE Line Calc</t>
        </is>
      </c>
      <c r="AF60" s="675" t="n"/>
      <c r="AG60" s="674" t="inlineStr">
        <is>
          <t>BHL1 NW Line Calc</t>
        </is>
      </c>
      <c r="AH60" s="675" t="n"/>
      <c r="AI60" s="674" t="inlineStr">
        <is>
          <t>BHL1 SW Line Calc</t>
        </is>
      </c>
      <c r="AJ60" s="675" t="n"/>
      <c r="AK60" s="674" t="inlineStr">
        <is>
          <t>BHL1 SE Line Calc</t>
        </is>
      </c>
      <c r="AL60" s="675" t="n"/>
      <c r="BG60" s="293" t="n">
        <v>24</v>
      </c>
      <c r="BH60" s="293" t="n">
        <v>13</v>
      </c>
      <c r="BI60" s="293" t="n">
        <v>18</v>
      </c>
      <c r="BJ60" s="293" t="n">
        <v>19</v>
      </c>
      <c r="BK60" s="293" t="n">
        <v>30</v>
      </c>
      <c r="BL60" s="293" t="n">
        <v>25</v>
      </c>
      <c r="BM60" s="293" t="n">
        <v>26</v>
      </c>
      <c r="BN60" s="293" t="n">
        <v>23</v>
      </c>
      <c r="BO60" s="293" t="n">
        <v>14</v>
      </c>
      <c r="BZ60" s="693" t="n"/>
      <c r="CA60" s="693" t="n"/>
    </row>
    <row r="61" ht="12" customHeight="1" s="613">
      <c r="D61" s="429" t="inlineStr">
        <is>
          <t>dir.</t>
        </is>
      </c>
      <c r="E61" s="321">
        <f>IF(NOT(ISBLANK(F61)),F61,DGET('Grid Numbers'!$A$2:$L$4952,'Grid Numbers'!$L$2,$L$74:$R$75))</f>
        <v/>
      </c>
      <c r="F61" s="508" t="n"/>
      <c r="J61" s="429" t="inlineStr">
        <is>
          <t>dir.</t>
        </is>
      </c>
      <c r="K61" s="321">
        <f>IF(NOT(ISBLANK(L61)),L61,DGET('Grid Numbers'!$A$2:$L$4952,'Grid Numbers'!$L$2,$L$76:$R$77))</f>
        <v/>
      </c>
      <c r="L61" s="508" t="n"/>
      <c r="N61" s="429" t="inlineStr">
        <is>
          <t>dir.</t>
        </is>
      </c>
      <c r="O61" s="321">
        <f>IF(NOT(ISBLANK(P61)),P61,DGET('Grid Numbers'!$A$2:$L$4952,'Grid Numbers'!$L$2,$L$78:$R$79))</f>
        <v/>
      </c>
      <c r="P61" s="508" t="n"/>
      <c r="T61" s="429" t="inlineStr">
        <is>
          <t>dir.</t>
        </is>
      </c>
      <c r="U61" s="321">
        <f>IF(NOT(ISBLANK(V61)),V61,DGET('Grid Numbers'!$A$2:$L$4952,'Grid Numbers'!$L$2,$L$80:$R$81))</f>
        <v/>
      </c>
      <c r="V61" s="508" t="n"/>
      <c r="AA61" s="689" t="n"/>
      <c r="AB61" s="689" t="n"/>
      <c r="AD61" s="470" t="inlineStr">
        <is>
          <t>Qtr-Qtr</t>
        </is>
      </c>
      <c r="AE61" s="671" t="inlineStr">
        <is>
          <t>FNL</t>
        </is>
      </c>
      <c r="AF61" s="671" t="inlineStr">
        <is>
          <t>FEL</t>
        </is>
      </c>
      <c r="AG61" s="468" t="inlineStr">
        <is>
          <t>FNL</t>
        </is>
      </c>
      <c r="AH61" s="467" t="inlineStr">
        <is>
          <t>FWL</t>
        </is>
      </c>
      <c r="AI61" s="671" t="inlineStr">
        <is>
          <t>FSL</t>
        </is>
      </c>
      <c r="AJ61" s="671" t="inlineStr">
        <is>
          <t>FWL</t>
        </is>
      </c>
      <c r="AK61" s="671" t="inlineStr">
        <is>
          <t>FSL</t>
        </is>
      </c>
      <c r="AL61" s="671" t="inlineStr">
        <is>
          <t>FEL</t>
        </is>
      </c>
      <c r="AN61" s="693" t="inlineStr">
        <is>
          <t>Calc w/o perpendicular correction</t>
        </is>
      </c>
      <c r="AW61" s="294">
        <f>VLOOKUP(MAX($AE$48:$AL$48),$AV$56:$AZ$59,MAX($AE$48:$AL$48)+1,FALSE)</f>
        <v/>
      </c>
      <c r="BG61" s="293" t="n">
        <v>25</v>
      </c>
      <c r="BH61" s="293" t="n">
        <v>24</v>
      </c>
      <c r="BI61" s="293" t="n">
        <v>19</v>
      </c>
      <c r="BJ61" s="293" t="n">
        <v>30</v>
      </c>
      <c r="BK61" s="293" t="n">
        <v>31</v>
      </c>
      <c r="BL61" s="293" t="n">
        <v>36</v>
      </c>
      <c r="BM61" s="293" t="n">
        <v>35</v>
      </c>
      <c r="BN61" s="293" t="n">
        <v>26</v>
      </c>
      <c r="BO61" s="293" t="n">
        <v>23</v>
      </c>
      <c r="BZ61" s="693" t="n"/>
      <c r="CA61" s="693" t="n"/>
    </row>
    <row r="62" ht="12" customHeight="1" s="613">
      <c r="D62" s="429" t="inlineStr">
        <is>
          <t>dec. deg.</t>
        </is>
      </c>
      <c r="E62" s="770">
        <f>IF(AND($L$38='SHL Section'!$BE$50,MAX('SHL Section'!$BF$37:$BF$40)=2),'SHL Section'!$E$23,IF(AND($L$38='SHL Section'!$BE$53,MAX('SHL Section'!$BF$41:$BF$44)=2),'SHL Section'!$E$23,IF(AND($L$38='SHL Section'!$BE$56,MAX('SHL Section'!$BF$45:$BF$48)=2),'SHL Section'!$E$23,IF(E58="","",IF(OR(E61=1,E61=4),180-(E58+E59/60+E60/3600),(E58+E59/60+E60/3600))))))</f>
        <v/>
      </c>
      <c r="J62" s="429" t="inlineStr">
        <is>
          <t>dec. deg.</t>
        </is>
      </c>
      <c r="K62" s="770">
        <f>IF(AND($L$38='SHL Section'!$BE$50,MAX('SHL Section'!$BF$37:$BF$40)=2),'SHL Section'!$K$23,IF(AND($L$38='SHL Section'!$BE$53,MAX('SHL Section'!$BF$41:$BF$44)=2),'SHL Section'!$K$23,IF(AND($L$38='SHL Section'!$BE$56,MAX('SHL Section'!$BF$45:$BF$48)=2),'SHL Section'!$K$23,IF(K58="","",IF(OR(K61=1,K61=4),180-(K58+K59/60+K60/3600),(K58+K59/60+K60/3600))))))</f>
        <v/>
      </c>
      <c r="L62" s="449" t="n"/>
      <c r="M62" s="449" t="n"/>
      <c r="N62" s="429" t="inlineStr">
        <is>
          <t>dec. deg.</t>
        </is>
      </c>
      <c r="O62" s="770">
        <f>IF(AND($L$38='SHL Section'!$BE$50,MAX('SHL Section'!$BF$37:$BF$40)=2),'SHL Section'!$O$23,IF(AND($L$38='SHL Section'!$BE$53,MAX('SHL Section'!$BF$41:$BF$44)=2),'SHL Section'!$O$23,IF(AND($L$38='SHL Section'!$BE$56,MAX('SHL Section'!$BF$45:$BF$48)=2),'SHL Section'!$O$23,IF(O58="","",IF(OR(O61=1,O61=4),180-(O58+O59/60+O60/3600),(O58+O59/60+O60/3600))))))</f>
        <v/>
      </c>
      <c r="T62" s="429" t="inlineStr">
        <is>
          <t>dec. deg.</t>
        </is>
      </c>
      <c r="U62" s="771">
        <f>IF(AND($L$38='SHL Section'!$BE$50,MAX('SHL Section'!$BF$37:$BF$40)=2),'SHL Section'!$U$23,IF(AND($L$38='SHL Section'!$BE$53,MAX('SHL Section'!$BF$41:$BF$44)=2),'SHL Section'!$U$23,IF(AND($L$38='SHL Section'!$BE$56,MAX('SHL Section'!$BF$45:$BF$48)=2),'SHL Section'!$U$23,IF(U58="","",IF(OR(U61=1,U61=4),180-(U58+U59/60+U60/3600),(U58+U59/60+U60/3600))))))</f>
        <v/>
      </c>
      <c r="AA62" s="689" t="n"/>
      <c r="AB62" s="689" t="n"/>
      <c r="AD62" s="319" t="n">
        <v>1</v>
      </c>
      <c r="AE62" s="306">
        <f>IF($AD62=AE$58,(-$AE$30+$AF$30*$AV$19/$AW$19)*$AV$28,"")</f>
        <v/>
      </c>
      <c r="AF62" s="287">
        <f>IF($AD62=AE$58,(-$AF$30+$AE$30*$CA$19/$BZ$19)*$BZ$28,"")</f>
        <v/>
      </c>
      <c r="AG62" s="306">
        <f>IF($AD62=AG$58,(-$AG$30+$BB$19+($AH$30-$BC$19)*$AZ$19/$BA$19)*$AZ$28,"")</f>
        <v/>
      </c>
      <c r="AH62" s="287">
        <f>IF($AD62=AG$58,($AH$30-$AG$30*$BE$19/$BD$19)*$BD$28,"")</f>
        <v/>
      </c>
      <c r="AI62" s="306">
        <f>IF($AD62=AI$58,($AI$30-$BL$19-($AJ$30-$BM$19)*$BN$19/$BO$19)*$BN$28,"")</f>
        <v/>
      </c>
      <c r="AJ62" s="287">
        <f>IF($AD62=AI$58,($AJ$30-$BK$19-($AI$30-$BJ$19)*$BI$19/$BH$19)*$BH$28,"")</f>
        <v/>
      </c>
      <c r="AK62" s="306">
        <f>IF($AD62=AK$58,($AK$30-$AL$30*$BR$19/$BS$19)*$BR$28,"")</f>
        <v/>
      </c>
      <c r="AL62" s="287">
        <f>IF($AD62=AK$58,(-$AL$30+$BU$19+($AK$30-$BT$19)*$BW$19/$BV$19)*$BV$28,"")</f>
        <v/>
      </c>
      <c r="AN62" s="289">
        <f>IF(ISNUMBER($AE$30),(-$AE$30+$AF$30*$AV$19/$AW$19),"")</f>
        <v/>
      </c>
      <c r="AO62" s="288">
        <f>IF(ISNUMBER($AF$30),(-$AF$30+$AE$30*$CA$19/$BZ$19),"")</f>
        <v/>
      </c>
      <c r="AP62" s="289">
        <f>IF(ISNUMBER($AG$30),(-$AG$30+$BB$19+($AH$30-$BC$19)*$AZ$19/$BA$19),"")</f>
        <v/>
      </c>
      <c r="AQ62" s="288">
        <f>IF(ISNUMBER($AH$30),($AH$30-$AG$30*$BE$19/$BD$19),"")</f>
        <v/>
      </c>
      <c r="AR62" s="289">
        <f>IF(ISNUMBER($AI$30),($AI$30-$BL$19-($AJ$30-$BM$19)*$BN$19/$BO$19),"")</f>
        <v/>
      </c>
      <c r="AS62" s="288">
        <f>IF(ISNUMBER($AJ$30),($AJ$30-$BK$19-($AI$30-$BJ$19)*$BI$19/$BH$19),"")</f>
        <v/>
      </c>
      <c r="AT62" s="289">
        <f>IF(ISNUMBER($AK$30),($AK$30-$AL$30*$BR$19/$BS$19),"")</f>
        <v/>
      </c>
      <c r="AU62" s="288">
        <f>IF(ISNUMBER($AL$30),(-$AL$30+$BU$19+($AK$30-$BT$19)*$BW$19/$BV$19),"")</f>
        <v/>
      </c>
      <c r="BG62" s="293" t="n">
        <v>26</v>
      </c>
      <c r="BH62" s="293" t="n">
        <v>23</v>
      </c>
      <c r="BI62" s="293" t="n">
        <v>24</v>
      </c>
      <c r="BJ62" s="293" t="n">
        <v>25</v>
      </c>
      <c r="BK62" s="293" t="n">
        <v>36</v>
      </c>
      <c r="BL62" s="293" t="n">
        <v>35</v>
      </c>
      <c r="BM62" s="293" t="n">
        <v>34</v>
      </c>
      <c r="BN62" s="293" t="n">
        <v>27</v>
      </c>
      <c r="BO62" s="293" t="n">
        <v>22</v>
      </c>
      <c r="BZ62" s="693" t="n"/>
      <c r="CA62" s="693" t="n"/>
    </row>
    <row r="63" ht="12" customHeight="1" s="613">
      <c r="E63" s="420">
        <f>IF(AND($L$38='SHL Section'!$BE$50,MAX('SHL Section'!$BF$37:$BF$40)=2),'SHL Section'!$E$18,IF(AND($L$38='SHL Section'!$BE$53,MAX('SHL Section'!$BF$41:$BF$44)=2),'SHL Section'!$E$18,IF(AND($L$38='SHL Section'!$BE$56,MAX('SHL Section'!$BF$45:$BF$48)=2),'SHL Section'!$E$18,E57)))</f>
        <v/>
      </c>
      <c r="F63" s="449" t="n"/>
      <c r="G63" s="449" t="n"/>
      <c r="H63" s="449" t="n"/>
      <c r="I63" s="449" t="n"/>
      <c r="J63" s="449" t="n"/>
      <c r="K63" s="420">
        <f>IF(AND($L$38='SHL Section'!$BE$50,MAX('SHL Section'!$BF$37:$BF$40)=2),'SHL Section'!$K$18,IF(AND($L$38='SHL Section'!$BE$53,MAX('SHL Section'!$BF$41:$BF$44)=2),'SHL Section'!$K$18,IF(AND($L$38='SHL Section'!$BE$56,MAX('SHL Section'!$BF$45:$BF$48)=2),'SHL Section'!$K$18,K57)))</f>
        <v/>
      </c>
      <c r="N63" s="449" t="n"/>
      <c r="O63" s="420">
        <f>IF(AND($L$38='SHL Section'!$BE$50,MAX('SHL Section'!$BF$37:$BF$40)=2),'SHL Section'!$O$18,IF(AND($L$38='SHL Section'!$BE$53,MAX('SHL Section'!$BF$41:$BF$44)=2),'SHL Section'!$O$18,IF(AND($L$38='SHL Section'!$BE$56,MAX('SHL Section'!$BF$45:$BF$48)=2),'SHL Section'!$O$18,O57)))</f>
        <v/>
      </c>
      <c r="P63" s="449" t="n"/>
      <c r="Q63" s="449" t="n"/>
      <c r="R63" s="449" t="n"/>
      <c r="S63" s="449" t="n"/>
      <c r="T63" s="449" t="n"/>
      <c r="U63" s="420">
        <f>IF(AND($L$38='SHL Section'!$BE$50,MAX('SHL Section'!$BF$37:$BF$40)=2),'SHL Section'!$U$18,IF(AND($L$38='SHL Section'!$BE$53,MAX('SHL Section'!$BF$41:$BF$44)=2),'SHL Section'!$U$18,IF(AND($L$38='SHL Section'!$BE$56,MAX('SHL Section'!$BF$45:$BF$48)=2),'SHL Section'!$U$18,'BHL Section 1'!U57)))</f>
        <v/>
      </c>
      <c r="AA63" s="689" t="n"/>
      <c r="AB63" s="689" t="n"/>
      <c r="AD63" s="319" t="n">
        <v>2</v>
      </c>
      <c r="AE63" s="306">
        <f>IF($AD63=AE$58,(-$AE$30-$AV$19+($AF$30+$AW$19)*$AX$19/$AY$19)*$AX$28,"")</f>
        <v/>
      </c>
      <c r="AF63" s="287">
        <f>IF($AD63=AE$58,(-$AF$30+$AE$30*$CA$19/$BZ$19)*$BZ$28,"")</f>
        <v/>
      </c>
      <c r="AG63" s="306">
        <f>IF($AD63=AG$58,(-$AG$30+$AH$30*$BB$19/$BC$19)*$BB$28,"")</f>
        <v/>
      </c>
      <c r="AH63" s="287">
        <f>IF($AD63=AG$58,($AH$30-$AG$30*$BE$19/$BD$19)*$BD$28,"")</f>
        <v/>
      </c>
      <c r="AI63" s="306">
        <f>IF($AD63=AI$58,($AI$30-$AJ$30*$BL$19/$BM$19)*$BL$28,"")</f>
        <v/>
      </c>
      <c r="AJ63" s="287">
        <f>IF($AD63=AI$58,($AJ$30-$BK$19-($AI$30-$BJ$19)*$BI$19/$BH$19)*$BH$28,"")</f>
        <v/>
      </c>
      <c r="AK63" s="306">
        <f>IF($AD63=AK$58,($AK$30+$BR$19+(-$AL$30-$BS$19)*$BP$19/$BQ$19)*$BP$28,"")</f>
        <v/>
      </c>
      <c r="AL63" s="287">
        <f>IF($AD63=AK$58,(-$AL$30+$BU$19+($AK$30-$BT$19)*$BW$19/$BV$19)*$BV$28,"")</f>
        <v/>
      </c>
      <c r="AN63" s="306">
        <f>IF(ISNUMBER($AE$30),(-$AE$30-$AV$19+($AF$30+$AW$19)*$AX$19/$AY$19),"")</f>
        <v/>
      </c>
      <c r="AO63" s="287">
        <f>IF(ISNUMBER($AF$30),(-$AF$30+$AE$30*$CA$19/$BZ$19),"")</f>
        <v/>
      </c>
      <c r="AP63" s="306">
        <f>IF(ISNUMBER($AG$30),(-$AG$30+$AH$30*$BB$19/$BC$19),"")</f>
        <v/>
      </c>
      <c r="AQ63" s="287">
        <f>IF(ISNUMBER($AH$30),($AH$30-$AG$30*$BE$19/$BD$19),"")</f>
        <v/>
      </c>
      <c r="AR63" s="306">
        <f>IF(ISNUMBER($AI$30),($AI$30-$AJ$30*$BL$19/$BM$19),"")</f>
        <v/>
      </c>
      <c r="AS63" s="287">
        <f>IF(ISNUMBER($AJ$30),($AJ$30-$BK$19-($AI$30-$BJ$19)*$BI$19/$BH$19),"")</f>
        <v/>
      </c>
      <c r="AT63" s="306">
        <f>IF(ISNUMBER($AK$30),($AK$30+$BR$19+(-$AL$30-$BS$19)*$BP$19/$BQ$19),"")</f>
        <v/>
      </c>
      <c r="AU63" s="287">
        <f>IF(ISNUMBER($AL$30),(-$AL$30+$BU$19+($AK$30-$BT$19)*$BW$19/$BV$19),"")</f>
        <v/>
      </c>
      <c r="BG63" s="293" t="n">
        <v>27</v>
      </c>
      <c r="BH63" s="293" t="n">
        <v>22</v>
      </c>
      <c r="BI63" s="293" t="n">
        <v>23</v>
      </c>
      <c r="BJ63" s="293" t="n">
        <v>26</v>
      </c>
      <c r="BK63" s="293" t="n">
        <v>35</v>
      </c>
      <c r="BL63" s="293" t="n">
        <v>34</v>
      </c>
      <c r="BM63" s="293" t="n">
        <v>33</v>
      </c>
      <c r="BN63" s="293" t="n">
        <v>28</v>
      </c>
      <c r="BO63" s="293" t="n">
        <v>21</v>
      </c>
      <c r="BZ63" s="693" t="n"/>
      <c r="CA63" s="693" t="n"/>
    </row>
    <row r="64" ht="12" customHeight="1" s="613">
      <c r="W64" s="419" t="n"/>
      <c r="AA64" s="689" t="n"/>
      <c r="AB64" s="689" t="n"/>
      <c r="AD64" s="319" t="n">
        <v>3</v>
      </c>
      <c r="AE64" s="306">
        <f>IF($AD64=AE$58,(-$AE$30-$AV$19+($AF$30+$AW$19)*$AX$19/$AY$19)*$AX$28,"")</f>
        <v/>
      </c>
      <c r="AF64" s="287">
        <f>IF($AD64=AE$58,(-$AF$30-$CA$19-(-$AE$30-$BZ$19)*$BY$19/$BX$19)*$BX$28,"")</f>
        <v/>
      </c>
      <c r="AG64" s="306">
        <f>IF($AD64=AG$58,(-$AG$30+$AH$30*$BB$19/$BC$19)*$BB$28,"")</f>
        <v/>
      </c>
      <c r="AH64" s="287">
        <f>IF($AD64=AG$58,($AH$30+$BE$19+(-$AG$30-$BD$19)*$BG$19/$BF$19)*$BF$28,"")</f>
        <v/>
      </c>
      <c r="AI64" s="306">
        <f>IF($AD64=AI$58,($AI$30-$AJ$30*$BL$19/$BM$19)*$BL$28,"")</f>
        <v/>
      </c>
      <c r="AJ64" s="287">
        <f>IF($AD64=AI$58,($AJ$30-$AI$30*$BK$19/$BJ$19)*$BJ$28,"")</f>
        <v/>
      </c>
      <c r="AK64" s="306">
        <f>IF($AD64=AK$58,($AK$30+$BR$19+(-$AL$30-$BS$19)*$BP$19/$BQ$19)*$BP$28,"")</f>
        <v/>
      </c>
      <c r="AL64" s="287">
        <f>IF($AD64=AK$58,(-$AL$30+$AK$30*$BU$19/$BT$19)*$BT$28,"")</f>
        <v/>
      </c>
      <c r="AN64" s="306">
        <f>IF(ISNUMBER($AE$30),(-$AE$30-$AV$19+($AF$30+$AW$19)*$AX$19/$AY$19),"")</f>
        <v/>
      </c>
      <c r="AO64" s="287">
        <f>IF(ISNUMBER($AF$30),(-$AF$30-$CA$19-(-$AE$30-$BZ$19)*$BY$19/$BX$19),"")</f>
        <v/>
      </c>
      <c r="AP64" s="306">
        <f>IF(ISNUMBER($AG$30),(-$AG$30+$AH$30*$BB$19/$BC$19),"")</f>
        <v/>
      </c>
      <c r="AQ64" s="287">
        <f>IF(ISNUMBER($AH$30),($AH$30+$BE$19+(-$AG$30-$BD$19)*$BG$19/$BF$19),"")</f>
        <v/>
      </c>
      <c r="AR64" s="306">
        <f>IF(ISNUMBER($AI$30),($AI$30-$AJ$30*$BL$19/$BM$19),"")</f>
        <v/>
      </c>
      <c r="AS64" s="287">
        <f>IF(ISNUMBER($AJ$30),($AJ$30-$AI$30*$BK$19/$BJ$19),"")</f>
        <v/>
      </c>
      <c r="AT64" s="306">
        <f>IF(ISNUMBER($AK$30),($AK$30+$BR$19+(-$AL$30-$BS$19)*$BP$19/$BQ$19),"")</f>
        <v/>
      </c>
      <c r="AU64" s="287">
        <f>IF(ISNUMBER($AL$30),(-$AL$30+$AK$30*$BU$19/$BT$19),"")</f>
        <v/>
      </c>
      <c r="BG64" s="293" t="n">
        <v>28</v>
      </c>
      <c r="BH64" s="293" t="n">
        <v>21</v>
      </c>
      <c r="BI64" s="293" t="n">
        <v>22</v>
      </c>
      <c r="BJ64" s="293" t="n">
        <v>27</v>
      </c>
      <c r="BK64" s="293" t="n">
        <v>34</v>
      </c>
      <c r="BL64" s="293" t="n">
        <v>33</v>
      </c>
      <c r="BM64" s="293" t="n">
        <v>32</v>
      </c>
      <c r="BN64" s="293" t="n">
        <v>29</v>
      </c>
      <c r="BO64" s="293" t="n">
        <v>20</v>
      </c>
      <c r="BZ64" s="693" t="n"/>
      <c r="CA64" s="693" t="n"/>
    </row>
    <row r="65" ht="12" customHeight="1" s="613">
      <c r="AA65" s="689" t="n"/>
      <c r="AB65" s="689" t="n"/>
      <c r="AD65" s="319" t="n">
        <v>4</v>
      </c>
      <c r="AE65" s="286">
        <f>IF($AD65=AE$58,(-$AE$30+$AF$30*$AV$19/$AW$19)*$AV$28,"")</f>
        <v/>
      </c>
      <c r="AF65" s="285">
        <f>IF($AD65=AE$58,(-$AF$30-$CA$19-(-$AE$30-$BZ$19)*$BY$19/$BX$19)*$BX$28,"")</f>
        <v/>
      </c>
      <c r="AG65" s="286">
        <f>IF($AD65=AG$58,(-$AG$30+$BB$19+($AH$30-$BC$19)*$AZ$19/$BA$19)*$AZ$28,"")</f>
        <v/>
      </c>
      <c r="AH65" s="285">
        <f>IF($AD65=AG$58,($AH$30+$BE$19+(-$AG$30-$BD$19)*$BG$19/$BF$19)*$BF$28,"")</f>
        <v/>
      </c>
      <c r="AI65" s="286">
        <f>IF($AD65=AI$58,($AI$30-$BL$19-($AJ$30-$BM$19)*$BN$19/$BO$19)*$BN$28,"")</f>
        <v/>
      </c>
      <c r="AJ65" s="285">
        <f>IF($AD65=AI$58,($AJ$30-$AI$30*$BK$19/$BJ$19)*$BJ$28,"")</f>
        <v/>
      </c>
      <c r="AK65" s="286">
        <f>IF($AD65=AK$58,($AK$30-$AL$30*$BR$19/$BS$19)*$BR$28,"")</f>
        <v/>
      </c>
      <c r="AL65" s="285">
        <f>IF($AD65=AK$58,(-$AL$30+$AK$30*$BU$19/$BT$19)*$BT$28,"")</f>
        <v/>
      </c>
      <c r="AN65" s="286">
        <f>IF(ISNUMBER($AE$30),(-$AE$30+$AF$30*$AV$19/$AW$19),"")</f>
        <v/>
      </c>
      <c r="AO65" s="285">
        <f>IF(ISNUMBER($AF$30),(-$AF$30-$CA$19-(-$AE$30-$BZ$19)*$BY$19/$BX$19),"")</f>
        <v/>
      </c>
      <c r="AP65" s="286">
        <f>IF(ISNUMBER($AG$30),(-$AG$30+$BB$19+($AH$30-$BC$19)*$AZ$19/$BA$19),"")</f>
        <v/>
      </c>
      <c r="AQ65" s="285">
        <f>IF(ISNUMBER($AH$30),($AH$30+$BE$19+(-$AG$30-$BD$19)*$BG$19/$BF$19),"")</f>
        <v/>
      </c>
      <c r="AR65" s="286">
        <f>IF(ISNUMBER($AI$30),($AI$30-$BL$19-($AJ$30-$BM$19)*$BN$19/$BO$19),"")</f>
        <v/>
      </c>
      <c r="AS65" s="285">
        <f>IF(ISNUMBER($AJ$30),($AJ$30-$AI$30*$BK$19/$BJ$19),"")</f>
        <v/>
      </c>
      <c r="AT65" s="286">
        <f>IF(ISNUMBER($AK$30),($AK$30-$AL$30*$BR$19/$BS$19),"")</f>
        <v/>
      </c>
      <c r="AU65" s="285">
        <f>IF(ISNUMBER($AL$30),(-$AL$30+$AK$30*$BU$19/$BT$19),"")</f>
        <v/>
      </c>
      <c r="BG65" s="293" t="n">
        <v>29</v>
      </c>
      <c r="BH65" s="293" t="n">
        <v>20</v>
      </c>
      <c r="BI65" s="293" t="n">
        <v>21</v>
      </c>
      <c r="BJ65" s="293" t="n">
        <v>28</v>
      </c>
      <c r="BK65" s="293" t="n">
        <v>33</v>
      </c>
      <c r="BL65" s="293" t="n">
        <v>32</v>
      </c>
      <c r="BM65" s="293" t="n">
        <v>31</v>
      </c>
      <c r="BN65" s="293" t="n">
        <v>30</v>
      </c>
      <c r="BO65" s="293" t="n">
        <v>19</v>
      </c>
      <c r="BZ65" s="693" t="n"/>
      <c r="CA65" s="693" t="n"/>
    </row>
    <row r="66" ht="12" customHeight="1" s="613">
      <c r="B66" s="463" t="inlineStr">
        <is>
          <t>A</t>
        </is>
      </c>
      <c r="C66" s="463" t="inlineStr">
        <is>
          <t>B</t>
        </is>
      </c>
      <c r="D66" s="463" t="inlineStr">
        <is>
          <t>C</t>
        </is>
      </c>
      <c r="E66" s="463" t="inlineStr">
        <is>
          <t>D</t>
        </is>
      </c>
      <c r="F66" s="463" t="inlineStr">
        <is>
          <t>E</t>
        </is>
      </c>
      <c r="G66" s="463" t="inlineStr">
        <is>
          <t>F</t>
        </is>
      </c>
      <c r="H66" s="463" t="inlineStr">
        <is>
          <t>G</t>
        </is>
      </c>
      <c r="L66" s="463" t="inlineStr">
        <is>
          <t>A</t>
        </is>
      </c>
      <c r="M66" s="463" t="inlineStr">
        <is>
          <t>B</t>
        </is>
      </c>
      <c r="N66" s="463" t="inlineStr">
        <is>
          <t>C</t>
        </is>
      </c>
      <c r="O66" s="463" t="inlineStr">
        <is>
          <t>D</t>
        </is>
      </c>
      <c r="P66" s="463" t="inlineStr">
        <is>
          <t>E</t>
        </is>
      </c>
      <c r="Q66" s="463" t="inlineStr">
        <is>
          <t>F</t>
        </is>
      </c>
      <c r="R66" s="463" t="inlineStr">
        <is>
          <t>G</t>
        </is>
      </c>
      <c r="AA66" s="689" t="n"/>
      <c r="AB66" s="689" t="n"/>
      <c r="AE66" s="284">
        <f>IF(ISNUMBER($AE$62),AE$62,IF(ISNUMBER($AE$63),AE$63,IF(ISNUMBER($AE$64),AE$64,IF(ISNUMBER($AE$65),AE$65,""))))</f>
        <v/>
      </c>
      <c r="AF66" s="283">
        <f>IF(ISNUMBER($AF$62),AF$62,IF(ISNUMBER($AF$63),AF$63,IF(ISNUMBER($AF$64),AF$64,IF(ISNUMBER($AF$65),AF$65,""))))</f>
        <v/>
      </c>
      <c r="AG66" s="284">
        <f>IF(ISNUMBER($AG$62),AG$62,IF(ISNUMBER($AG$63),AG$63,IF(ISNUMBER($AG$64),AG$64,IF(ISNUMBER($AG$65),AG$65,""))))</f>
        <v/>
      </c>
      <c r="AH66" s="283">
        <f>IF(ISNUMBER($AH$62),AH$62,IF(ISNUMBER($AH$63),AH$63,IF(ISNUMBER($AH$64),AH$64,IF(ISNUMBER($AH$65),AH$65,""))))</f>
        <v/>
      </c>
      <c r="AI66" s="284">
        <f>IF(ISNUMBER($AI$62),AI$62,IF(ISNUMBER($AI$63),AI$63,IF(ISNUMBER($AI$64),AI$64,IF(ISNUMBER($AI$65),AI$65,""))))</f>
        <v/>
      </c>
      <c r="AJ66" s="283">
        <f>IF(ISNUMBER($AJ$62),AJ$62,IF(ISNUMBER($AJ$63),AJ$63,IF(ISNUMBER($AJ$64),AJ$64,IF(ISNUMBER($AJ$65),AJ$65,""))))</f>
        <v/>
      </c>
      <c r="AK66" s="284">
        <f>IF(ISNUMBER($AK$62),AK$62,IF(ISNUMBER($AK$63),AK$63,IF(ISNUMBER($AK$64),AK$64,IF(ISNUMBER($AK$65),AK$65,""))))</f>
        <v/>
      </c>
      <c r="AL66" s="283">
        <f>IF(ISNUMBER($AL$62),AL$62,IF(ISNUMBER($AL$63),AL$63,IF(ISNUMBER($AL$64),AL$64,IF(ISNUMBER($AL$65),AL$65,""))))</f>
        <v/>
      </c>
      <c r="AO66" s="420" t="n"/>
      <c r="AP66" s="420" t="n"/>
      <c r="AQ66" s="420" t="n"/>
      <c r="AR66" s="420" t="n"/>
      <c r="AS66" s="420" t="n"/>
      <c r="AT66" s="420" t="n"/>
      <c r="BG66" s="293" t="n">
        <v>30</v>
      </c>
      <c r="BH66" s="293" t="n">
        <v>19</v>
      </c>
      <c r="BI66" s="293" t="n">
        <v>20</v>
      </c>
      <c r="BJ66" s="293" t="n">
        <v>29</v>
      </c>
      <c r="BK66" s="293" t="n">
        <v>32</v>
      </c>
      <c r="BL66" s="293" t="n">
        <v>31</v>
      </c>
      <c r="BM66" s="293" t="n">
        <v>36</v>
      </c>
      <c r="BN66" s="293" t="n">
        <v>25</v>
      </c>
      <c r="BO66" s="293" t="n">
        <v>24</v>
      </c>
      <c r="BZ66" s="693" t="n"/>
      <c r="CA66" s="693" t="n"/>
    </row>
    <row r="67" ht="12" customHeight="1" s="613">
      <c r="B67" s="476">
        <f>$L$38</f>
        <v/>
      </c>
      <c r="C67" s="476">
        <f>$O$7</f>
        <v/>
      </c>
      <c r="D67" s="476">
        <f>IF($P$7 = "S", 2,1)</f>
        <v/>
      </c>
      <c r="E67" s="476">
        <f>$Q$7</f>
        <v/>
      </c>
      <c r="F67" s="476">
        <f>IF($R$7 = "W", 2,1)</f>
        <v/>
      </c>
      <c r="G67" s="476">
        <f>'SHL Section'!$S$7</f>
        <v/>
      </c>
      <c r="H67" s="475" t="inlineStr">
        <is>
          <t>West-Up2</t>
        </is>
      </c>
      <c r="J67">
        <f>DGET('Grid Numbers'!$A$2:$L$4952,'Grid Numbers'!$H$2,$B$66:$H$67)</f>
        <v/>
      </c>
      <c r="L67" s="476">
        <f>$L$38</f>
        <v/>
      </c>
      <c r="M67" s="476">
        <f>$O$7</f>
        <v/>
      </c>
      <c r="N67" s="476">
        <f>IF($P$7 = "S", 2,1)</f>
        <v/>
      </c>
      <c r="O67" s="476">
        <f>$Q$7</f>
        <v/>
      </c>
      <c r="P67" s="476">
        <f>IF($R$7 = "W", 2,1)</f>
        <v/>
      </c>
      <c r="Q67" s="476">
        <f>'SHL Section'!$S$7</f>
        <v/>
      </c>
      <c r="R67" s="475" t="inlineStr">
        <is>
          <t>North-Left2</t>
        </is>
      </c>
      <c r="T67">
        <f>DGET('Grid Numbers'!$A$2:$L$4952,'Grid Numbers'!$H$2,$L$66:$R$67)</f>
        <v/>
      </c>
      <c r="AA67" s="689" t="n"/>
      <c r="AB67" s="689" t="n"/>
      <c r="AE67" s="291" t="n"/>
      <c r="AF67" s="290" t="n"/>
      <c r="AG67" s="292" t="n"/>
      <c r="AH67" s="292" t="n"/>
      <c r="AI67" s="291" t="n"/>
      <c r="AJ67" s="290" t="n"/>
      <c r="AK67" s="291" t="n"/>
      <c r="AL67" s="290" t="n"/>
      <c r="AO67" s="420" t="n"/>
      <c r="AP67" s="420" t="n"/>
      <c r="AQ67" s="420" t="n"/>
      <c r="AR67" s="420" t="n"/>
      <c r="AS67" s="420" t="n"/>
      <c r="AT67" s="420" t="n"/>
      <c r="BG67" s="293" t="n">
        <v>31</v>
      </c>
      <c r="BH67" s="293" t="n">
        <v>30</v>
      </c>
      <c r="BI67" s="293" t="n">
        <v>29</v>
      </c>
      <c r="BJ67" s="293" t="n">
        <v>32</v>
      </c>
      <c r="BK67" s="293" t="n">
        <v>5</v>
      </c>
      <c r="BL67" s="293" t="n">
        <v>6</v>
      </c>
      <c r="BM67" s="293" t="n">
        <v>1</v>
      </c>
      <c r="BN67" s="293" t="n">
        <v>36</v>
      </c>
      <c r="BO67" s="293" t="n">
        <v>25</v>
      </c>
      <c r="BZ67" s="693" t="n"/>
      <c r="CA67" s="693" t="n"/>
    </row>
    <row r="68" ht="12" customHeight="1" s="613">
      <c r="B68" s="463" t="inlineStr">
        <is>
          <t>A</t>
        </is>
      </c>
      <c r="C68" s="463" t="inlineStr">
        <is>
          <t>B</t>
        </is>
      </c>
      <c r="D68" s="463" t="inlineStr">
        <is>
          <t>C</t>
        </is>
      </c>
      <c r="E68" s="463" t="inlineStr">
        <is>
          <t>D</t>
        </is>
      </c>
      <c r="F68" s="463" t="inlineStr">
        <is>
          <t>E</t>
        </is>
      </c>
      <c r="G68" s="463" t="inlineStr">
        <is>
          <t>F</t>
        </is>
      </c>
      <c r="H68" s="463" t="inlineStr">
        <is>
          <t>G</t>
        </is>
      </c>
      <c r="J68">
        <f>DGET('Grid Numbers'!$A$2:$L$4952,'Grid Numbers'!$I$2,$B$66:$H$67)</f>
        <v/>
      </c>
      <c r="L68" s="463" t="inlineStr">
        <is>
          <t>A</t>
        </is>
      </c>
      <c r="M68" s="463" t="inlineStr">
        <is>
          <t>B</t>
        </is>
      </c>
      <c r="N68" s="463" t="inlineStr">
        <is>
          <t>C</t>
        </is>
      </c>
      <c r="O68" s="463" t="inlineStr">
        <is>
          <t>D</t>
        </is>
      </c>
      <c r="P68" s="463" t="inlineStr">
        <is>
          <t>E</t>
        </is>
      </c>
      <c r="Q68" s="463" t="inlineStr">
        <is>
          <t>F</t>
        </is>
      </c>
      <c r="R68" s="463" t="inlineStr">
        <is>
          <t>G</t>
        </is>
      </c>
      <c r="T68">
        <f>DGET('Grid Numbers'!$A$2:$L$4952,'Grid Numbers'!$I$2,$L$66:$R$67)</f>
        <v/>
      </c>
      <c r="AA68" s="689" t="n"/>
      <c r="AB68" s="689" t="n"/>
      <c r="AE68" s="674" t="inlineStr">
        <is>
          <t>BHL2 Qtr-Qtr Logic</t>
        </is>
      </c>
      <c r="AF68" s="675" t="n"/>
      <c r="AG68" s="676" t="inlineStr">
        <is>
          <t>BHL2 Qtr-Qtr Logic</t>
        </is>
      </c>
      <c r="AH68" s="677" t="n"/>
      <c r="AI68" s="674" t="inlineStr">
        <is>
          <t>BHL2 Qtr-Qtr Logic</t>
        </is>
      </c>
      <c r="AJ68" s="675" t="n"/>
      <c r="AK68" s="674" t="inlineStr">
        <is>
          <t>BHL2 Qtr-Qtr Logic</t>
        </is>
      </c>
      <c r="AL68" s="675" t="n"/>
      <c r="AO68" s="420" t="n"/>
      <c r="AP68" s="420" t="n"/>
      <c r="AQ68" s="420" t="n"/>
      <c r="AR68" s="420" t="n"/>
      <c r="AS68" s="420" t="n"/>
      <c r="AT68" s="420" t="n"/>
      <c r="BG68" s="293" t="n">
        <v>32</v>
      </c>
      <c r="BH68" s="293" t="n">
        <v>29</v>
      </c>
      <c r="BI68" s="293" t="n">
        <v>28</v>
      </c>
      <c r="BJ68" s="293" t="n">
        <v>33</v>
      </c>
      <c r="BK68" s="293" t="n">
        <v>4</v>
      </c>
      <c r="BL68" s="293" t="n">
        <v>5</v>
      </c>
      <c r="BM68" s="293" t="n">
        <v>6</v>
      </c>
      <c r="BN68" s="293" t="n">
        <v>31</v>
      </c>
      <c r="BO68" s="293" t="n">
        <v>30</v>
      </c>
      <c r="BZ68" s="693" t="n"/>
      <c r="CA68" s="693" t="n"/>
    </row>
    <row r="69" ht="12" customHeight="1" s="613">
      <c r="B69" s="476">
        <f>$L$38</f>
        <v/>
      </c>
      <c r="C69" s="476">
        <f>$O$7</f>
        <v/>
      </c>
      <c r="D69" s="476">
        <f>IF($P$7 = "S", 2,1)</f>
        <v/>
      </c>
      <c r="E69" s="476">
        <f>$Q$7</f>
        <v/>
      </c>
      <c r="F69" s="476">
        <f>IF($R$7 = "W", 2,1)</f>
        <v/>
      </c>
      <c r="G69" s="476">
        <f>'SHL Section'!$S$7</f>
        <v/>
      </c>
      <c r="H69" t="inlineStr">
        <is>
          <t>West-Up1</t>
        </is>
      </c>
      <c r="J69">
        <f>DGET('Grid Numbers'!$A$2:$L$4952,'Grid Numbers'!$J$2,$B$66:$H$67)</f>
        <v/>
      </c>
      <c r="L69" s="476">
        <f>$L$38</f>
        <v/>
      </c>
      <c r="M69" s="476">
        <f>$O$7</f>
        <v/>
      </c>
      <c r="N69" s="476">
        <f>IF($P$7 = "S", 2,1)</f>
        <v/>
      </c>
      <c r="O69" s="476">
        <f>$Q$7</f>
        <v/>
      </c>
      <c r="P69" s="476">
        <f>IF($R$7 = "W", 2,1)</f>
        <v/>
      </c>
      <c r="Q69" s="476">
        <f>'SHL Section'!$S$7</f>
        <v/>
      </c>
      <c r="R69" s="475" t="inlineStr">
        <is>
          <t>North-Left1</t>
        </is>
      </c>
      <c r="T69">
        <f>DGET('Grid Numbers'!$A$2:$L$4952,'Grid Numbers'!$J$2,$L$66:$R$67)</f>
        <v/>
      </c>
      <c r="AA69" s="689" t="n"/>
      <c r="AB69" s="689" t="n"/>
      <c r="AE69" s="671">
        <f>IF($AE$36="","",IF(AND((-$AE$36+$AF$36*$AV$19/$AW$19)&gt;0,-$AE$36&lt;$BZ$19,(-$AF$36+$AE$36*$CA$19/$BZ$19)&gt;0,-$AF$36&lt;$AW$19),1,IF(AND((-$AE$36-$AV$19+($AF$36+$AW$19)*$AX$19/$AY$19)&gt;0,-$AE$36&lt;$BZ$19,-$AF$36&gt;$AW$19,-$AF$36&lt;$AX$22),2,IF(AND(-$AE$36&lt;$BY$22,-$AE$36&gt;$BZ$19,-$AF$36&gt;$AW$19,-$AF$36&lt;$AX$22),3,IF(AND(-$AE$36&lt;$BY$22,-$AE$36&gt;$BZ$19,(-$AF$36-$CA$19-(-$AE$36-$BZ$19)*$BY$19/$BX$19)&gt;0,-$AF$36&lt;$AW$19),4,"")))))</f>
        <v/>
      </c>
      <c r="AF69" s="617" t="n"/>
      <c r="AG69" s="671">
        <f>IF($AG$36="","",IF(AND((-$AG$36+$BB$19+($AH$36-$BC$19)*$AZ$19/$BA$19)&gt;0,-$AG$36&lt;$BD$19,$AH$36&gt;$BC$19,$AH$36&lt;$BB$22),1,IF(AND((-$AG$36+$AH$36*$BB$19/$BC$19)&gt;0,-$AG$36&lt;$BD$19,($AH$36-$AG$36*$BE$19/$BD$19)&gt;0,$AH$36&lt;$BC$19),2,IF(AND(-$AG$36&gt;$BD$19,-$AG$36&lt;$BE$22,($AH$36+$BE$19+(-$AG$36-$BD$19)*$BG$19/$BF$19)&gt;0,$AH$36&lt;$BC$19),3,IF(AND(-$AG$36&gt;$BD$19,-$AG$36&lt;$BE$22,$AH$36&gt;$BC$19,$AH$36&lt;$BB$22),4,"")))))</f>
        <v/>
      </c>
      <c r="AH69" s="617" t="n"/>
      <c r="AI69" s="671">
        <f>IF($AI$36="","",IF(AND($AI$36&gt;$BJ$19,$AI$36&lt;$BI$22,$AJ$36&gt;$BM$19,$AJ$36&lt;$BN$22),1,IF(AND($AI$36&gt;$BJ$19,$AI$36&lt;$BI$22,($AJ$36-$BK$19-($AI$36-$BJ$19)*$BI$19/$BH$19)&gt;0,$AJ$36&lt;$BM$19),2,IF(AND(($AI$36-$AJ$36*$BL$19/$BM$19)&gt;0,$AI$36&lt;$BJ$19,($AJ$36-$AI$36*$BK$19/$BJ$19)&gt;0,$AJ$36&lt;$BM$19),3,IF(AND(($AI$36-$BL$19-($AJ$36-$BM$19)*$BN$19/$BO$19)&gt;0,$AI$36&lt;$BJ$19,$AJ$36&gt;$BM$19,$AJ$36&lt;$BN$22),4,"")))))</f>
        <v/>
      </c>
      <c r="AJ69" s="617" t="n"/>
      <c r="AK69" s="671">
        <f>IF($AK$36="","",IF(AND($AK$36&gt;$BT$19,$AK$36&lt;$BU$22,(-$AL$36+$BU$19+($AK$36-$BT$19)*$BW$19/$BV$19)&gt;0,-$AL$36&lt;$BS$19),1,IF(AND($AK$36&gt;$BT$19,$AK$36&lt;$BU$22,-$AL$36&gt;$BS$19,-$AL$36&lt;$BR$22),2,IF(AND(($AK$36+$BR$19+(-$AL$36-$BS$19)*$BP$19/$BQ$19)&gt;0,$AK$36&lt;$BT$19,-$AL$36&gt;$BS$19,-$AL$36&lt;$BR$22),3,IF(AND(($AK$36-$AL$36*$BR$19/$BS$19)&gt;0,$AK$36&lt;$BT$19,(-$AL$36+$AK$36*$BU$19/$BT$19)&gt;0,-$AL$36&lt;$BS$19),4,"")))))</f>
        <v/>
      </c>
      <c r="AL69" s="617" t="n"/>
      <c r="BG69" s="293" t="n">
        <v>33</v>
      </c>
      <c r="BH69" s="293" t="n">
        <v>28</v>
      </c>
      <c r="BI69" s="293" t="n">
        <v>27</v>
      </c>
      <c r="BJ69" s="293" t="n">
        <v>34</v>
      </c>
      <c r="BK69" s="293" t="n">
        <v>3</v>
      </c>
      <c r="BL69" s="293" t="n">
        <v>4</v>
      </c>
      <c r="BM69" s="293" t="n">
        <v>5</v>
      </c>
      <c r="BN69" s="293" t="n">
        <v>32</v>
      </c>
      <c r="BO69" s="293" t="n">
        <v>29</v>
      </c>
      <c r="BZ69" s="693" t="n"/>
      <c r="CA69" s="693" t="n"/>
    </row>
    <row r="70" ht="12" customHeight="1" s="613">
      <c r="B70" s="463" t="inlineStr">
        <is>
          <t>A</t>
        </is>
      </c>
      <c r="C70" s="463" t="inlineStr">
        <is>
          <t>B</t>
        </is>
      </c>
      <c r="D70" s="463" t="inlineStr">
        <is>
          <t>C</t>
        </is>
      </c>
      <c r="E70" s="463" t="inlineStr">
        <is>
          <t>D</t>
        </is>
      </c>
      <c r="F70" s="463" t="inlineStr">
        <is>
          <t>E</t>
        </is>
      </c>
      <c r="G70" s="463" t="inlineStr">
        <is>
          <t>F</t>
        </is>
      </c>
      <c r="H70" s="463" t="inlineStr">
        <is>
          <t>G</t>
        </is>
      </c>
      <c r="J70">
        <f>DGET('Grid Numbers'!$A$2:$L$4952,'Grid Numbers'!$K$2,$B$66:$H$67)</f>
        <v/>
      </c>
      <c r="L70" s="463" t="inlineStr">
        <is>
          <t>A</t>
        </is>
      </c>
      <c r="M70" s="463" t="inlineStr">
        <is>
          <t>B</t>
        </is>
      </c>
      <c r="N70" s="463" t="inlineStr">
        <is>
          <t>C</t>
        </is>
      </c>
      <c r="O70" s="463" t="inlineStr">
        <is>
          <t>D</t>
        </is>
      </c>
      <c r="P70" s="463" t="inlineStr">
        <is>
          <t>E</t>
        </is>
      </c>
      <c r="Q70" s="463" t="inlineStr">
        <is>
          <t>F</t>
        </is>
      </c>
      <c r="R70" s="463" t="inlineStr">
        <is>
          <t>G</t>
        </is>
      </c>
      <c r="T70">
        <f>DGET('Grid Numbers'!$A$2:$L$4952,'Grid Numbers'!$K$2,$L$66:$R$67)</f>
        <v/>
      </c>
      <c r="AA70" s="689" t="n"/>
      <c r="AB70" s="689" t="n"/>
      <c r="AE70" s="291" t="n"/>
      <c r="AF70" s="290" t="n"/>
      <c r="AG70" s="292" t="n"/>
      <c r="AH70" s="292" t="n"/>
      <c r="AI70" s="291" t="n"/>
      <c r="AJ70" s="290" t="n"/>
      <c r="AK70" s="291" t="n"/>
      <c r="AL70" s="290" t="n"/>
      <c r="BG70" s="293" t="n">
        <v>34</v>
      </c>
      <c r="BH70" s="293" t="n">
        <v>27</v>
      </c>
      <c r="BI70" s="293" t="n">
        <v>26</v>
      </c>
      <c r="BJ70" s="293" t="n">
        <v>35</v>
      </c>
      <c r="BK70" s="293" t="n">
        <v>2</v>
      </c>
      <c r="BL70" s="293" t="n">
        <v>3</v>
      </c>
      <c r="BM70" s="293" t="n">
        <v>4</v>
      </c>
      <c r="BN70" s="293" t="n">
        <v>33</v>
      </c>
      <c r="BO70" s="293" t="n">
        <v>28</v>
      </c>
      <c r="BZ70" s="693" t="n"/>
      <c r="CA70" s="693" t="n"/>
    </row>
    <row r="71" ht="12" customHeight="1" s="613">
      <c r="B71" s="476">
        <f>$L$38</f>
        <v/>
      </c>
      <c r="C71" s="476">
        <f>$O$7</f>
        <v/>
      </c>
      <c r="D71" s="476">
        <f>IF($P$7 = "S", 2,1)</f>
        <v/>
      </c>
      <c r="E71" s="476">
        <f>$Q$7</f>
        <v/>
      </c>
      <c r="F71" s="476">
        <f>IF($R$7 = "W", 2,1)</f>
        <v/>
      </c>
      <c r="G71" s="476">
        <f>'SHL Section'!$S$7</f>
        <v/>
      </c>
      <c r="H71" t="inlineStr">
        <is>
          <t>West-Down1</t>
        </is>
      </c>
      <c r="J71">
        <f>DGET('Grid Numbers'!$A$2:$L$4952,'Grid Numbers'!$L$2,$B$66:$H$67)</f>
        <v/>
      </c>
      <c r="L71" s="476">
        <f>$L$38</f>
        <v/>
      </c>
      <c r="M71" s="476">
        <f>$O$7</f>
        <v/>
      </c>
      <c r="N71" s="476">
        <f>IF($P$7 = "S", 2,1)</f>
        <v/>
      </c>
      <c r="O71" s="476">
        <f>$Q$7</f>
        <v/>
      </c>
      <c r="P71" s="476">
        <f>IF($R$7 = "W", 2,1)</f>
        <v/>
      </c>
      <c r="Q71" s="476">
        <f>'SHL Section'!$S$7</f>
        <v/>
      </c>
      <c r="R71" s="475" t="inlineStr">
        <is>
          <t>North-Right1</t>
        </is>
      </c>
      <c r="T71">
        <f>DGET('Grid Numbers'!$A$2:$L$4952,'Grid Numbers'!$L$2,$L$66:$R$67)</f>
        <v/>
      </c>
      <c r="AA71" s="689" t="n"/>
      <c r="AB71" s="689" t="n"/>
      <c r="AE71" s="674" t="inlineStr">
        <is>
          <t>BHL2 NE Line Calc</t>
        </is>
      </c>
      <c r="AF71" s="675" t="n"/>
      <c r="AG71" s="674" t="inlineStr">
        <is>
          <t>BHL2 NW Line Calc</t>
        </is>
      </c>
      <c r="AH71" s="675" t="n"/>
      <c r="AI71" s="674" t="inlineStr">
        <is>
          <t>BHL3 SW Line Calc</t>
        </is>
      </c>
      <c r="AJ71" s="675" t="n"/>
      <c r="AK71" s="674" t="inlineStr">
        <is>
          <t>BHL4 SE Line Calc</t>
        </is>
      </c>
      <c r="AL71" s="675" t="n"/>
      <c r="BG71" s="293" t="n">
        <v>35</v>
      </c>
      <c r="BH71" s="293" t="n">
        <v>26</v>
      </c>
      <c r="BI71" s="293" t="n">
        <v>25</v>
      </c>
      <c r="BJ71" s="293" t="n">
        <v>36</v>
      </c>
      <c r="BK71" s="293" t="n">
        <v>1</v>
      </c>
      <c r="BL71" s="293" t="n">
        <v>2</v>
      </c>
      <c r="BM71" s="293" t="n">
        <v>3</v>
      </c>
      <c r="BN71" s="293" t="n">
        <v>34</v>
      </c>
      <c r="BO71" s="293" t="n">
        <v>27</v>
      </c>
      <c r="BZ71" s="693" t="n"/>
      <c r="CA71" s="693" t="n"/>
    </row>
    <row r="72" ht="12" customHeight="1" s="613">
      <c r="B72" s="463" t="inlineStr">
        <is>
          <t>A</t>
        </is>
      </c>
      <c r="C72" s="463" t="inlineStr">
        <is>
          <t>B</t>
        </is>
      </c>
      <c r="D72" s="463" t="inlineStr">
        <is>
          <t>C</t>
        </is>
      </c>
      <c r="E72" s="463" t="inlineStr">
        <is>
          <t>D</t>
        </is>
      </c>
      <c r="F72" s="463" t="inlineStr">
        <is>
          <t>E</t>
        </is>
      </c>
      <c r="G72" s="463" t="inlineStr">
        <is>
          <t>F</t>
        </is>
      </c>
      <c r="H72" s="463" t="inlineStr">
        <is>
          <t>G</t>
        </is>
      </c>
      <c r="J72">
        <f>DGET('Grid Numbers'!$A$2:$L$4952,'Grid Numbers'!$H$2,$B$68:$H$69)</f>
        <v/>
      </c>
      <c r="L72" s="463" t="inlineStr">
        <is>
          <t>A</t>
        </is>
      </c>
      <c r="M72" s="463" t="inlineStr">
        <is>
          <t>B</t>
        </is>
      </c>
      <c r="N72" s="463" t="inlineStr">
        <is>
          <t>C</t>
        </is>
      </c>
      <c r="O72" s="463" t="inlineStr">
        <is>
          <t>D</t>
        </is>
      </c>
      <c r="P72" s="463" t="inlineStr">
        <is>
          <t>E</t>
        </is>
      </c>
      <c r="Q72" s="463" t="inlineStr">
        <is>
          <t>F</t>
        </is>
      </c>
      <c r="R72" s="463" t="inlineStr">
        <is>
          <t>G</t>
        </is>
      </c>
      <c r="T72">
        <f>DGET('Grid Numbers'!$A$2:$L$4952,'Grid Numbers'!$H$2,$L$68:$R$69)</f>
        <v/>
      </c>
      <c r="AA72" s="689" t="n"/>
      <c r="AB72" s="689" t="n"/>
      <c r="AD72" s="470" t="inlineStr">
        <is>
          <t>Qtr-Qtr</t>
        </is>
      </c>
      <c r="AE72" s="671" t="inlineStr">
        <is>
          <t>FNL</t>
        </is>
      </c>
      <c r="AF72" s="671" t="inlineStr">
        <is>
          <t>FEL</t>
        </is>
      </c>
      <c r="AG72" s="468" t="inlineStr">
        <is>
          <t>FNL</t>
        </is>
      </c>
      <c r="AH72" s="467" t="inlineStr">
        <is>
          <t>FWL</t>
        </is>
      </c>
      <c r="AI72" s="671" t="inlineStr">
        <is>
          <t>FSL</t>
        </is>
      </c>
      <c r="AJ72" s="671" t="inlineStr">
        <is>
          <t>FWL</t>
        </is>
      </c>
      <c r="AK72" s="671" t="inlineStr">
        <is>
          <t>FSL</t>
        </is>
      </c>
      <c r="AL72" s="671" t="inlineStr">
        <is>
          <t>FEL</t>
        </is>
      </c>
      <c r="AN72" s="693" t="inlineStr">
        <is>
          <t>Calc w/o perpendicular correction</t>
        </is>
      </c>
      <c r="BG72" s="293" t="n">
        <v>36</v>
      </c>
      <c r="BH72" s="293" t="n">
        <v>25</v>
      </c>
      <c r="BI72" s="293" t="n">
        <v>30</v>
      </c>
      <c r="BJ72" s="293" t="n">
        <v>31</v>
      </c>
      <c r="BK72" s="293" t="n">
        <v>6</v>
      </c>
      <c r="BL72" s="293" t="n">
        <v>1</v>
      </c>
      <c r="BM72" s="293" t="n">
        <v>2</v>
      </c>
      <c r="BN72" s="293" t="n">
        <v>35</v>
      </c>
      <c r="BO72" s="293" t="n">
        <v>26</v>
      </c>
      <c r="BZ72" s="693" t="n"/>
      <c r="CA72" s="693" t="n"/>
    </row>
    <row r="73" ht="12" customHeight="1" s="613">
      <c r="B73" s="476">
        <f>$L$38</f>
        <v/>
      </c>
      <c r="C73" s="476">
        <f>$O$7</f>
        <v/>
      </c>
      <c r="D73" s="476">
        <f>IF($P$7 = "S", 2,1)</f>
        <v/>
      </c>
      <c r="E73" s="476">
        <f>$Q$7</f>
        <v/>
      </c>
      <c r="F73" s="476">
        <f>IF($R$7 = "W", 2,1)</f>
        <v/>
      </c>
      <c r="G73" s="476">
        <f>'SHL Section'!$S$7</f>
        <v/>
      </c>
      <c r="H73" t="inlineStr">
        <is>
          <t>West-Down2</t>
        </is>
      </c>
      <c r="J73">
        <f>DGET('Grid Numbers'!$A$2:$L$4952,'Grid Numbers'!$I$2,$B$68:$H$69)</f>
        <v/>
      </c>
      <c r="L73" s="476">
        <f>$L$38</f>
        <v/>
      </c>
      <c r="M73" s="476">
        <f>$O$7</f>
        <v/>
      </c>
      <c r="N73" s="476">
        <f>IF($P$7 = "S", 2,1)</f>
        <v/>
      </c>
      <c r="O73" s="476">
        <f>$Q$7</f>
        <v/>
      </c>
      <c r="P73" s="476">
        <f>IF($R$7 = "W", 2,1)</f>
        <v/>
      </c>
      <c r="Q73" s="476">
        <f>'SHL Section'!$S$7</f>
        <v/>
      </c>
      <c r="R73" s="475" t="inlineStr">
        <is>
          <t>North-Right2</t>
        </is>
      </c>
      <c r="T73">
        <f>DGET('Grid Numbers'!$A$2:$L$4952,'Grid Numbers'!$I$2,$L$68:$R$69)</f>
        <v/>
      </c>
      <c r="AA73" s="689" t="n"/>
      <c r="AB73" s="689" t="n"/>
      <c r="AD73" s="319" t="n">
        <v>1</v>
      </c>
      <c r="AE73" s="306">
        <f>IF($AD73=AE$69,(-$AE$36+$AF$36*$AV$19/$AW$19)*$AV$28,"")</f>
        <v/>
      </c>
      <c r="AF73" s="287">
        <f>IF($AD73=AE$69,(-$AF$36+$AE$36*$CA$19/$BZ$19)*$BZ$28,"")</f>
        <v/>
      </c>
      <c r="AG73" s="306">
        <f>IF($AD73=AG$69,(-$AG$36+$BB$19+($AH$36-$BC$19)*$AZ$19/$BA$19)*$AZ$28,"")</f>
        <v/>
      </c>
      <c r="AH73" s="287">
        <f>IF($AD73=AG$69,($AH$36-$AG$36*$BE$19/$BD$19)*$BD$28,"")</f>
        <v/>
      </c>
      <c r="AI73" s="306">
        <f>IF($AD73=AI$69,($AI$36-$BL$19-($AJ$36-$BM$19)*$BN$19/$BO$19)*$BN$28,"")</f>
        <v/>
      </c>
      <c r="AJ73" s="287">
        <f>IF($AD73=AI$69,($AJ$36-$BK$19-($AI$36-$BJ$19)*$BI$19/$BH$19)*$BH$28,"")</f>
        <v/>
      </c>
      <c r="AK73" s="306">
        <f>IF($AD73=AK$69,($AK$36-$AL$36*$BR$19/$BS$19)*$BR$28,"")</f>
        <v/>
      </c>
      <c r="AL73" s="287">
        <f>IF($AD73=AK$69,(-$AL$36+$BU$19+($AK$36-$BT$19)*$BW$19/$BV$19)*$BV$28,"")</f>
        <v/>
      </c>
      <c r="AN73" s="289">
        <f>IF(ISNUMBER($AE$36),(-$AE$36+$AF$36*$AV$19/$AW$19),"")</f>
        <v/>
      </c>
      <c r="AO73" s="288">
        <f>IF(ISNUMBER($AF$36),(-$AF$36+$AE$36*$CA$19/$BZ$19),"")</f>
        <v/>
      </c>
      <c r="AP73" s="289">
        <f>IF(ISNUMBER($AG$36),(-$AG$36+$BB$19+($AH$36-$BC$19)*$AZ$19/$BA$19),"")</f>
        <v/>
      </c>
      <c r="AQ73" s="288">
        <f>IF(ISNUMBER($AH$36),($AH$36-$AG$36*$BE$19/$BD$19),"")</f>
        <v/>
      </c>
      <c r="AR73" s="289">
        <f>IF(ISNUMBER($AI$36),($AI$36-$BL$19-($AJ$36-$BM$19)*$BN$19/$BO$19),"")</f>
        <v/>
      </c>
      <c r="AS73" s="288">
        <f>IF(ISNUMBER($AJ$36),($AJ$36-$BK$19-($AI$36-$BJ$19)*$BI$19/$BH$19),"")</f>
        <v/>
      </c>
      <c r="AT73" s="289">
        <f>IF(ISNUMBER($AK$36),($AK$36-$AL$36*$BR$19/$BS$19),"")</f>
        <v/>
      </c>
      <c r="AU73" s="288">
        <f>IF(ISNUMBER($AL$36),(-$AL$36+$BU$19+($AK$36-$BT$19)*$BW$19/$BV$19),"")</f>
        <v/>
      </c>
      <c r="BZ73" s="693" t="n"/>
      <c r="CA73" s="693" t="n"/>
    </row>
    <row r="74" ht="12" customHeight="1" s="613">
      <c r="B74" s="463" t="inlineStr">
        <is>
          <t>A</t>
        </is>
      </c>
      <c r="C74" s="463" t="inlineStr">
        <is>
          <t>B</t>
        </is>
      </c>
      <c r="D74" s="463" t="inlineStr">
        <is>
          <t>C</t>
        </is>
      </c>
      <c r="E74" s="463" t="inlineStr">
        <is>
          <t>D</t>
        </is>
      </c>
      <c r="F74" s="463" t="inlineStr">
        <is>
          <t>E</t>
        </is>
      </c>
      <c r="G74" s="463" t="inlineStr">
        <is>
          <t>F</t>
        </is>
      </c>
      <c r="H74" s="463" t="inlineStr">
        <is>
          <t>G</t>
        </is>
      </c>
      <c r="J74">
        <f>DGET('Grid Numbers'!$A$2:$L$4952,'Grid Numbers'!$J$2,$B$68:$H$69)</f>
        <v/>
      </c>
      <c r="L74" s="463" t="inlineStr">
        <is>
          <t>A</t>
        </is>
      </c>
      <c r="M74" s="463" t="inlineStr">
        <is>
          <t>B</t>
        </is>
      </c>
      <c r="N74" s="463" t="inlineStr">
        <is>
          <t>C</t>
        </is>
      </c>
      <c r="O74" s="463" t="inlineStr">
        <is>
          <t>D</t>
        </is>
      </c>
      <c r="P74" s="463" t="inlineStr">
        <is>
          <t>E</t>
        </is>
      </c>
      <c r="Q74" s="463" t="inlineStr">
        <is>
          <t>F</t>
        </is>
      </c>
      <c r="R74" s="463" t="inlineStr">
        <is>
          <t>G</t>
        </is>
      </c>
      <c r="T74">
        <f>DGET('Grid Numbers'!$A$2:$L$4952,'Grid Numbers'!$J$2,$L$68:$R$69)</f>
        <v/>
      </c>
      <c r="AA74" s="689" t="n"/>
      <c r="AB74" s="689" t="n"/>
      <c r="AD74" s="319" t="n">
        <v>2</v>
      </c>
      <c r="AE74" s="306">
        <f>IF($AD74=AE$69,(-$AE$36-$AV$19+($AF$36+$AW$19)*$AX$19/$AY$19)*$AX$28,"")</f>
        <v/>
      </c>
      <c r="AF74" s="287">
        <f>IF($AD74=AE$69,(-$AF$36+$AE$36*$CA$19/$BZ$19)*$BZ$28,"")</f>
        <v/>
      </c>
      <c r="AG74" s="306">
        <f>IF($AD74=AG$69,(-$AG$36+$AH$36*$BB$19/$BC$19)*$BB$28,"")</f>
        <v/>
      </c>
      <c r="AH74" s="287">
        <f>IF($AD74=AG$69,($AH$36-$AG$36*$BE$19/$BD$19)*$BD$28,"")</f>
        <v/>
      </c>
      <c r="AI74" s="306">
        <f>IF($AD74=AI$69,($AI$36-$AJ$36*$BL$19/$BM$19)*$BL$28,"")</f>
        <v/>
      </c>
      <c r="AJ74" s="287">
        <f>IF($AD74=AI$69,($AJ$36-$BK$19-($AI$36-$BJ$19)*$BI$19/$BH$19)*$BH$28,"")</f>
        <v/>
      </c>
      <c r="AK74" s="306">
        <f>IF($AD74=AK$69,($AK$36+$BR$19+(-$AL$36-$BS$19)*$BP$19/$BQ$19)*$BP$28,"")</f>
        <v/>
      </c>
      <c r="AL74" s="287">
        <f>IF($AD74=AK$69,(-$AL$36+$BU$19+($AK$36-$BT$19)*$BW$19/$BV$19)*$BV$28,"")</f>
        <v/>
      </c>
      <c r="AN74" s="306">
        <f>IF(ISNUMBER($AE$36),(-$AE$36-$AV$19+($AF$36+$AW$19)*$AX$19/$AY$19),"")</f>
        <v/>
      </c>
      <c r="AO74" s="287">
        <f>IF(ISNUMBER($AF$36),(-$AF$36+$AE$36*$CA$19/$BZ$19),"")</f>
        <v/>
      </c>
      <c r="AP74" s="306">
        <f>IF(ISNUMBER($AG$36),(-$AG$36+$AH$36*$BB$19/$BC$19),"")</f>
        <v/>
      </c>
      <c r="AQ74" s="287">
        <f>IF(ISNUMBER($AH$36),($AH$36-$AG$36*$BE$19/$BD$19),"")</f>
        <v/>
      </c>
      <c r="AR74" s="306">
        <f>IF(ISNUMBER($AI$36),($AI$36-$AJ$36*$BL$19/$BM$19),"")</f>
        <v/>
      </c>
      <c r="AS74" s="287">
        <f>IF(ISNUMBER($AJ$36),($AJ$36-$BK$19-($AI$36-$BJ$19)*$BI$19/$BH$19),"")</f>
        <v/>
      </c>
      <c r="AT74" s="306">
        <f>IF(ISNUMBER($AK$36),($AK$36+$BR$19+(-$AL$36-$BS$19)*$BP$19/$BQ$19),"")</f>
        <v/>
      </c>
      <c r="AU74" s="287">
        <f>IF(ISNUMBER($AL$36),(-$AL$36+$BU$19+($AK$36-$BT$19)*$BW$19/$BV$19),"")</f>
        <v/>
      </c>
      <c r="BZ74" s="693" t="n"/>
      <c r="CA74" s="693" t="n"/>
    </row>
    <row r="75" ht="12" customHeight="1" s="613">
      <c r="B75" s="476">
        <f>$L$38</f>
        <v/>
      </c>
      <c r="C75" s="476">
        <f>$O$7</f>
        <v/>
      </c>
      <c r="D75" s="476">
        <f>IF($P$7 = "S", 2,1)</f>
        <v/>
      </c>
      <c r="E75" s="476">
        <f>$Q$7</f>
        <v/>
      </c>
      <c r="F75" s="476">
        <f>IF($R$7 = "W", 2,1)</f>
        <v/>
      </c>
      <c r="G75" s="476">
        <f>'SHL Section'!$S$7</f>
        <v/>
      </c>
      <c r="H75" s="475" t="inlineStr">
        <is>
          <t>East-Up2</t>
        </is>
      </c>
      <c r="J75">
        <f>DGET('Grid Numbers'!$A$2:$L$4952,'Grid Numbers'!$K$2,$B$68:$H$69)</f>
        <v/>
      </c>
      <c r="L75" s="476">
        <f>$L$38</f>
        <v/>
      </c>
      <c r="M75" s="476">
        <f>$O$7</f>
        <v/>
      </c>
      <c r="N75" s="476">
        <f>IF($P$7 = "S", 2,1)</f>
        <v/>
      </c>
      <c r="O75" s="476">
        <f>$Q$7</f>
        <v/>
      </c>
      <c r="P75" s="476">
        <f>IF($R$7 = "W", 2,1)</f>
        <v/>
      </c>
      <c r="Q75" s="476">
        <f>'SHL Section'!$S$7</f>
        <v/>
      </c>
      <c r="R75" s="475" t="inlineStr">
        <is>
          <t>South-Left2</t>
        </is>
      </c>
      <c r="T75">
        <f>DGET('Grid Numbers'!$A$2:$L$4952,'Grid Numbers'!$K$2,$L$68:$R$69)</f>
        <v/>
      </c>
      <c r="AA75" s="689" t="n"/>
      <c r="AB75" s="689" t="n"/>
      <c r="AD75" s="319" t="n">
        <v>3</v>
      </c>
      <c r="AE75" s="306">
        <f>IF($AD75=AE$69,(-$AE$36-$AV$19+($AF$36+$AW$19)*$AX$19/$AY$19)*$AX$28,"")</f>
        <v/>
      </c>
      <c r="AF75" s="287">
        <f>IF($AD75=AE$69,(-$AF$36-$CA$19-(-$AE$36-$BZ$19)*$BY$19/$BX$19)*$BX$28,"")</f>
        <v/>
      </c>
      <c r="AG75" s="306">
        <f>IF($AD75=AG$69,(-$AG$36+$AH$36*$BB$19/$BC$19)*$BB$28,"")</f>
        <v/>
      </c>
      <c r="AH75" s="287">
        <f>IF($AD75=AG$69,($AH$36+$BE$19+(-$AG$36-$BD$19)*$BG$19/$BF$19)*$BF$28,"")</f>
        <v/>
      </c>
      <c r="AI75" s="306">
        <f>IF($AD75=AI$69,($AI$36-$AJ$36*$BL$19/$BM$19)*$BL$28,"")</f>
        <v/>
      </c>
      <c r="AJ75" s="287">
        <f>IF($AD75=AI$69,($AJ$36-$AI$36*$BK$19/$BJ$19)*$BJ$28,"")</f>
        <v/>
      </c>
      <c r="AK75" s="306">
        <f>IF($AD75=AK$69,($AK$36+$BR$19+(-$AL$36-$BS$19)*$BP$19/$BQ$19)*$BP$28,"")</f>
        <v/>
      </c>
      <c r="AL75" s="287">
        <f>IF($AD75=AK$69,(-$AL$36+$AK$36*$BU$19/$BT$19)*$BT$28,"")</f>
        <v/>
      </c>
      <c r="AN75" s="306">
        <f>IF(ISNUMBER($AE$36),(-$AE$36-$AV$19+($AF$36+$AW$19)*$AX$19/$AY$19),"")</f>
        <v/>
      </c>
      <c r="AO75" s="287">
        <f>IF(ISNUMBER($AF$36),(-$AF$36-$CA$19-(-$AE$36-$BZ$19)*$BY$19/$BX$19),"")</f>
        <v/>
      </c>
      <c r="AP75" s="306">
        <f>IF(ISNUMBER($AG$36),(-$AG$36+$AH$36*$BB$19/$BC$19),"")</f>
        <v/>
      </c>
      <c r="AQ75" s="287">
        <f>IF(ISNUMBER($AH$36),($AH$36+$BE$19+(-$AG$36-$BD$19)*$BG$19/$BF$19),"")</f>
        <v/>
      </c>
      <c r="AR75" s="306">
        <f>IF(ISNUMBER($AI$36),($AI$36-$AJ$36*$BL$19/$BM$19),"")</f>
        <v/>
      </c>
      <c r="AS75" s="287">
        <f>IF(ISNUMBER($AJ$36),($AJ$36-$AI$36*$BK$19/$BJ$19),"")</f>
        <v/>
      </c>
      <c r="AT75" s="306">
        <f>IF(ISNUMBER($AK$36),($AK$36+$BR$19+(-$AL$36-$BS$19)*$BP$19/$BQ$19),"")</f>
        <v/>
      </c>
      <c r="AU75" s="287">
        <f>IF(ISNUMBER($AL$36),(-$AL$36+$AK$36*$BU$19/$BT$19),"")</f>
        <v/>
      </c>
      <c r="BZ75" s="693" t="n"/>
      <c r="CA75" s="693" t="n"/>
    </row>
    <row r="76" ht="12" customHeight="1" s="613">
      <c r="B76" s="463" t="inlineStr">
        <is>
          <t>A</t>
        </is>
      </c>
      <c r="C76" s="463" t="inlineStr">
        <is>
          <t>B</t>
        </is>
      </c>
      <c r="D76" s="463" t="inlineStr">
        <is>
          <t>C</t>
        </is>
      </c>
      <c r="E76" s="463" t="inlineStr">
        <is>
          <t>D</t>
        </is>
      </c>
      <c r="F76" s="463" t="inlineStr">
        <is>
          <t>E</t>
        </is>
      </c>
      <c r="G76" s="463" t="inlineStr">
        <is>
          <t>F</t>
        </is>
      </c>
      <c r="H76" s="463" t="inlineStr">
        <is>
          <t>G</t>
        </is>
      </c>
      <c r="J76">
        <f>DGET('Grid Numbers'!$A$2:$L$4952,'Grid Numbers'!$L$2,$B$68:$H$69)</f>
        <v/>
      </c>
      <c r="L76" s="463" t="inlineStr">
        <is>
          <t>A</t>
        </is>
      </c>
      <c r="M76" s="463" t="inlineStr">
        <is>
          <t>B</t>
        </is>
      </c>
      <c r="N76" s="463" t="inlineStr">
        <is>
          <t>C</t>
        </is>
      </c>
      <c r="O76" s="463" t="inlineStr">
        <is>
          <t>D</t>
        </is>
      </c>
      <c r="P76" s="463" t="inlineStr">
        <is>
          <t>E</t>
        </is>
      </c>
      <c r="Q76" s="463" t="inlineStr">
        <is>
          <t>F</t>
        </is>
      </c>
      <c r="R76" s="463" t="inlineStr">
        <is>
          <t>G</t>
        </is>
      </c>
      <c r="T76">
        <f>DGET('Grid Numbers'!$A$2:$L$4952,'Grid Numbers'!$L$2,$L$68:$R$69)</f>
        <v/>
      </c>
      <c r="AA76" s="689" t="n"/>
      <c r="AB76" s="689" t="n"/>
      <c r="AD76" s="319" t="n">
        <v>4</v>
      </c>
      <c r="AE76" s="306">
        <f>IF($AD76=AE$69,(-$AE$36+$AF$36*$AV$19/$AW$19)*$AV$28,"")</f>
        <v/>
      </c>
      <c r="AF76" s="287">
        <f>IF($AD76=AE$69,(-$AF$36-$CA$19-(-$AE$36-$BZ$19)*$BY$19/$BX$19)*$BX$28,"")</f>
        <v/>
      </c>
      <c r="AG76" s="306">
        <f>IF($AD76=AG$69,(-$AG$36+$BB$19+($AH$36-$BC$19)*$AZ$19/$BA$19)*$AZ$28,"")</f>
        <v/>
      </c>
      <c r="AH76" s="287">
        <f>IF($AD76=AG$69,($AH$36+$BE$19+(-$AG$36-$BD$19)*$BG$19/$BF$19)*$BF$28,"")</f>
        <v/>
      </c>
      <c r="AI76" s="306">
        <f>IF($AD76=AI$69,($AI$36-$BL$19-($AJ$36-$BM$19)*$BN$19/$BO$19)*$BN$28,"")</f>
        <v/>
      </c>
      <c r="AJ76" s="287">
        <f>IF($AD76=AI$69,($AJ$36-$AI$36*$BK$19/$BJ$19)*$BJ$28,"")</f>
        <v/>
      </c>
      <c r="AK76" s="306">
        <f>IF($AD76=AK$69,($AK$36-$AL$36*$BR$19/$BS$19)*$BR$28,"")</f>
        <v/>
      </c>
      <c r="AL76" s="287">
        <f>IF($AD76=AK$69,(-$AL$36+$AK$36*$BU$19/$BT$19)*$BT$28,"")</f>
        <v/>
      </c>
      <c r="AN76" s="286">
        <f>IF(ISNUMBER($AE$36),(-$AE$36+$AF$36*$AV$19/$AW$19),"")</f>
        <v/>
      </c>
      <c r="AO76" s="285">
        <f>IF(ISNUMBER($AF$36),(-$AF$36-$CA$19-(-$AE$36-$BZ$19)*$BY$19/$BX$19),"")</f>
        <v/>
      </c>
      <c r="AP76" s="286">
        <f>IF(ISNUMBER($AG$36),(-$AG$36+$BB$19+($AH$36-$BC$19)*$AZ$19/$BA$19),"")</f>
        <v/>
      </c>
      <c r="AQ76" s="285">
        <f>IF(ISNUMBER($AH$36),($AH$36+$BE$19+(-$AG$36-$BD$19)*$BG$19/$BF$19),"")</f>
        <v/>
      </c>
      <c r="AR76" s="286">
        <f>IF(ISNUMBER($AI$36),($AI$36-$BL$19-($AJ$36-$BM$19)*$BN$19/$BO$19),"")</f>
        <v/>
      </c>
      <c r="AS76" s="285">
        <f>IF(ISNUMBER($AJ$36),($AJ$36-$AI$36*$BK$19/$BJ$19),"")</f>
        <v/>
      </c>
      <c r="AT76" s="286">
        <f>IF(ISNUMBER($AK$36),($AK$36-$AL$36*$BR$19/$BS$19),"")</f>
        <v/>
      </c>
      <c r="AU76" s="285">
        <f>IF(ISNUMBER($AL$36),(-$AL$36+$AK$36*$BU$19/$BT$19),"")</f>
        <v/>
      </c>
      <c r="BZ76" s="693" t="n"/>
      <c r="CA76" s="693" t="n"/>
    </row>
    <row r="77" ht="12" customHeight="1" s="613">
      <c r="B77" s="476">
        <f>$L$38</f>
        <v/>
      </c>
      <c r="C77" s="476">
        <f>$O$7</f>
        <v/>
      </c>
      <c r="D77" s="476">
        <f>IF($P$7 = "S", 2,1)</f>
        <v/>
      </c>
      <c r="E77" s="476">
        <f>$Q$7</f>
        <v/>
      </c>
      <c r="F77" s="476">
        <f>IF($R$7 = "W", 2,1)</f>
        <v/>
      </c>
      <c r="G77" s="476">
        <f>'SHL Section'!$S$7</f>
        <v/>
      </c>
      <c r="H77" t="inlineStr">
        <is>
          <t>East-Up1</t>
        </is>
      </c>
      <c r="J77">
        <f>DGET('Grid Numbers'!$A$2:$L$4952,'Grid Numbers'!$H$2,$B$70:$H$71)</f>
        <v/>
      </c>
      <c r="L77" s="476">
        <f>$L$38</f>
        <v/>
      </c>
      <c r="M77" s="476">
        <f>$O$7</f>
        <v/>
      </c>
      <c r="N77" s="476">
        <f>IF($P$7 = "S", 2,1)</f>
        <v/>
      </c>
      <c r="O77" s="476">
        <f>$Q$7</f>
        <v/>
      </c>
      <c r="P77" s="476">
        <f>IF($R$7 = "W", 2,1)</f>
        <v/>
      </c>
      <c r="Q77" s="476">
        <f>'SHL Section'!$S$7</f>
        <v/>
      </c>
      <c r="R77" s="475" t="inlineStr">
        <is>
          <t>South-Left1</t>
        </is>
      </c>
      <c r="T77">
        <f>DGET('Grid Numbers'!$A$2:$L$4952,'Grid Numbers'!$H$2,$L$70:$R$71)</f>
        <v/>
      </c>
      <c r="AA77" s="689" t="n"/>
      <c r="AB77" s="689" t="n"/>
      <c r="AE77" s="284">
        <f>IF(ISNUMBER($AE$73),AE$73,IF(ISNUMBER($AE$74),AE$74,IF(ISNUMBER($AE$75),AE$75,IF(ISNUMBER($AE$76),AE$76,""))))</f>
        <v/>
      </c>
      <c r="AF77" s="283">
        <f>IF(ISNUMBER($AF$73),AF$73,IF(ISNUMBER($AF$74),AF$74,IF(ISNUMBER($AF$75),AF$75,IF(ISNUMBER($AF$76),AF$76,""))))</f>
        <v/>
      </c>
      <c r="AG77" s="284">
        <f>IF(ISNUMBER($AG$73),AG$73,IF(ISNUMBER($AG$74),AG$74,IF(ISNUMBER($AG$75),AG$75,IF(ISNUMBER($AG$76),AG$76,""))))</f>
        <v/>
      </c>
      <c r="AH77" s="283">
        <f>IF(ISNUMBER($AH$73),AH$73,IF(ISNUMBER($AH$74),AH$74,IF(ISNUMBER($AH$75),AH$75,IF(ISNUMBER($AH$76),AH$76,""))))</f>
        <v/>
      </c>
      <c r="AI77" s="284">
        <f>IF(ISNUMBER($AI$73),AI$73,IF(ISNUMBER($AI$74),AI$74,IF(ISNUMBER($AI$75),AI$75,IF(ISNUMBER($AI$76),AI$76,""))))</f>
        <v/>
      </c>
      <c r="AJ77" s="283">
        <f>IF(ISNUMBER($AJ$73),AJ$73,IF(ISNUMBER($AJ$74),AJ$74,IF(ISNUMBER($AJ$75),AJ$75,IF(ISNUMBER($AJ$76),AJ$76,""))))</f>
        <v/>
      </c>
      <c r="AK77" s="284">
        <f>IF(ISNUMBER($AK$73),AK$73,IF(ISNUMBER($AK$74),AK$74,IF(ISNUMBER($AK$75),AK$75,IF(ISNUMBER($AK$76),AK$76,""))))</f>
        <v/>
      </c>
      <c r="AL77" s="283">
        <f>IF(ISNUMBER($AL$73),AL$73,IF(ISNUMBER($AL$74),AL$74,IF(ISNUMBER($AL$75),AL$75,IF(ISNUMBER($AL$76),AL$76,""))))</f>
        <v/>
      </c>
      <c r="BZ77" s="693" t="n"/>
      <c r="CA77" s="693" t="n"/>
    </row>
    <row r="78" ht="12" customHeight="1" s="613">
      <c r="B78" s="463" t="inlineStr">
        <is>
          <t>A</t>
        </is>
      </c>
      <c r="C78" s="463" t="inlineStr">
        <is>
          <t>B</t>
        </is>
      </c>
      <c r="D78" s="463" t="inlineStr">
        <is>
          <t>C</t>
        </is>
      </c>
      <c r="E78" s="463" t="inlineStr">
        <is>
          <t>D</t>
        </is>
      </c>
      <c r="F78" s="463" t="inlineStr">
        <is>
          <t>E</t>
        </is>
      </c>
      <c r="G78" s="463" t="inlineStr">
        <is>
          <t>F</t>
        </is>
      </c>
      <c r="H78" s="463" t="inlineStr">
        <is>
          <t>G</t>
        </is>
      </c>
      <c r="J78">
        <f>DGET('Grid Numbers'!$A$2:$L$4952,'Grid Numbers'!$I$2,$B$70:$H$71)</f>
        <v/>
      </c>
      <c r="L78" s="463" t="inlineStr">
        <is>
          <t>A</t>
        </is>
      </c>
      <c r="M78" s="463" t="inlineStr">
        <is>
          <t>B</t>
        </is>
      </c>
      <c r="N78" s="463" t="inlineStr">
        <is>
          <t>C</t>
        </is>
      </c>
      <c r="O78" s="463" t="inlineStr">
        <is>
          <t>D</t>
        </is>
      </c>
      <c r="P78" s="463" t="inlineStr">
        <is>
          <t>E</t>
        </is>
      </c>
      <c r="Q78" s="463" t="inlineStr">
        <is>
          <t>F</t>
        </is>
      </c>
      <c r="R78" s="463" t="inlineStr">
        <is>
          <t>G</t>
        </is>
      </c>
      <c r="T78">
        <f>DGET('Grid Numbers'!$A$2:$L$4952,'Grid Numbers'!$I$2,$L$70:$R$71)</f>
        <v/>
      </c>
      <c r="AA78" s="689" t="n"/>
      <c r="AB78" s="689" t="n"/>
      <c r="AE78" s="291" t="n"/>
      <c r="AF78" s="290" t="n"/>
      <c r="AG78" s="292" t="n"/>
      <c r="AH78" s="292" t="n"/>
      <c r="AI78" s="291" t="n"/>
      <c r="AJ78" s="290" t="n"/>
      <c r="AK78" s="291" t="n"/>
      <c r="AL78" s="290" t="n"/>
      <c r="BZ78" s="693" t="n"/>
      <c r="CA78" s="693" t="n"/>
    </row>
    <row r="79" ht="12" customHeight="1" s="613">
      <c r="B79" s="476">
        <f>$L$38</f>
        <v/>
      </c>
      <c r="C79" s="476">
        <f>$O$7</f>
        <v/>
      </c>
      <c r="D79" s="476">
        <f>IF($P$7 = "S", 2,1)</f>
        <v/>
      </c>
      <c r="E79" s="476">
        <f>$Q$7</f>
        <v/>
      </c>
      <c r="F79" s="476">
        <f>IF($R$7 = "W", 2,1)</f>
        <v/>
      </c>
      <c r="G79" s="476">
        <f>'SHL Section'!$S$7</f>
        <v/>
      </c>
      <c r="H79" t="inlineStr">
        <is>
          <t>East-Down1</t>
        </is>
      </c>
      <c r="J79">
        <f>DGET('Grid Numbers'!$A$2:$L$4952,'Grid Numbers'!$J$2,$B$70:$H$71)</f>
        <v/>
      </c>
      <c r="L79" s="476">
        <f>$L$38</f>
        <v/>
      </c>
      <c r="M79" s="476">
        <f>$O$7</f>
        <v/>
      </c>
      <c r="N79" s="476">
        <f>IF($P$7 = "S", 2,1)</f>
        <v/>
      </c>
      <c r="O79" s="476">
        <f>$Q$7</f>
        <v/>
      </c>
      <c r="P79" s="476">
        <f>IF($R$7 = "W", 2,1)</f>
        <v/>
      </c>
      <c r="Q79" s="476">
        <f>'SHL Section'!$S$7</f>
        <v/>
      </c>
      <c r="R79" s="475" t="inlineStr">
        <is>
          <t>South-Right1</t>
        </is>
      </c>
      <c r="T79">
        <f>DGET('Grid Numbers'!$A$2:$L$4952,'Grid Numbers'!$J$2,$L$70:$R$71)</f>
        <v/>
      </c>
      <c r="AA79" s="689" t="n"/>
      <c r="AB79" s="689" t="n"/>
      <c r="AE79" s="674" t="inlineStr">
        <is>
          <t>BHL3 Qtr-Qtr Logic</t>
        </is>
      </c>
      <c r="AF79" s="675" t="n"/>
      <c r="AG79" s="676" t="inlineStr">
        <is>
          <t>BHL3 Qtr-Qtr Logic</t>
        </is>
      </c>
      <c r="AH79" s="677" t="n"/>
      <c r="AI79" s="674" t="inlineStr">
        <is>
          <t>BHL3 Qtr-Qtr Logic</t>
        </is>
      </c>
      <c r="AJ79" s="675" t="n"/>
      <c r="AK79" s="674" t="inlineStr">
        <is>
          <t>BHL3 Qtr-Qtr Logic</t>
        </is>
      </c>
      <c r="AL79" s="675" t="n"/>
      <c r="BZ79" s="693" t="n"/>
      <c r="CA79" s="693" t="n"/>
    </row>
    <row r="80" ht="12" customHeight="1" s="613">
      <c r="B80" s="463" t="inlineStr">
        <is>
          <t>A</t>
        </is>
      </c>
      <c r="C80" s="463" t="inlineStr">
        <is>
          <t>B</t>
        </is>
      </c>
      <c r="D80" s="463" t="inlineStr">
        <is>
          <t>C</t>
        </is>
      </c>
      <c r="E80" s="463" t="inlineStr">
        <is>
          <t>D</t>
        </is>
      </c>
      <c r="F80" s="463" t="inlineStr">
        <is>
          <t>E</t>
        </is>
      </c>
      <c r="G80" s="463" t="inlineStr">
        <is>
          <t>F</t>
        </is>
      </c>
      <c r="H80" s="463" t="inlineStr">
        <is>
          <t>G</t>
        </is>
      </c>
      <c r="J80">
        <f>DGET('Grid Numbers'!$A$2:$L$4952,'Grid Numbers'!$K$2,$B$70:$H$71)</f>
        <v/>
      </c>
      <c r="L80" s="463" t="inlineStr">
        <is>
          <t>A</t>
        </is>
      </c>
      <c r="M80" s="463" t="inlineStr">
        <is>
          <t>B</t>
        </is>
      </c>
      <c r="N80" s="463" t="inlineStr">
        <is>
          <t>C</t>
        </is>
      </c>
      <c r="O80" s="463" t="inlineStr">
        <is>
          <t>D</t>
        </is>
      </c>
      <c r="P80" s="463" t="inlineStr">
        <is>
          <t>E</t>
        </is>
      </c>
      <c r="Q80" s="463" t="inlineStr">
        <is>
          <t>F</t>
        </is>
      </c>
      <c r="R80" s="463" t="inlineStr">
        <is>
          <t>G</t>
        </is>
      </c>
      <c r="T80">
        <f>DGET('Grid Numbers'!$A$2:$L$4952,'Grid Numbers'!$K$2,$L$70:$R$71)</f>
        <v/>
      </c>
      <c r="AA80" s="689" t="n"/>
      <c r="AB80" s="689" t="n"/>
      <c r="AE80" s="671">
        <f>IF($AE$42="","",IF(AND((-$AE$42+$AF$42*$AV$19/$AW$19)&gt;0,-$AE$42&lt;$BZ$19,(-$AF$42+$AE$42*$CA$19/$BZ$19)&gt;0,-$AF$42&lt;$AW$19),1,IF(AND((-$AE$42-$AV$19+($AF$42+$AW$19)*$AX$19/$AY$19)&gt;0,-$AE$42&lt;$BZ$19,-$AF$42&gt;$AW$19,-$AF$42&lt;$AX$22),2,IF(AND(-$AE$42&lt;$BY$22,-$AE$42&gt;$BZ$19,-$AF$42&gt;$AW$19,-$AF$42&lt;$AX$22),3,IF(AND(-$AE$42&lt;$BY$22,-$AE$42&gt;$BZ$19,(-$AF$42-$CA$19-(-$AE$42-$BZ$19)*$BY$19/$BX$19)&gt;0,-$AF$42&lt;$AW$19),4,"")))))</f>
        <v/>
      </c>
      <c r="AF80" s="617" t="n"/>
      <c r="AG80" s="671">
        <f>IF($AG$42="","",IF(AND((-$AG$42+$BB$19+($AH$42-$BC$19)*$AZ$19/$BA$19)&gt;0,-$AG$42&lt;$BD$19,$AH$42&gt;$BC$19,$AH$42&lt;$BB$22),1,IF(AND((-$AG$42+$AH$42*$BB$19/$BC$19)&gt;0,-$AG$42&lt;$BD$19,($AH$42-$AG$42*$BE$19/$BD$19)&gt;0,$AH$42&lt;$BC$19),2,IF(AND(-$AG$42&gt;$BD$19,-$AG$42&lt;$BE$22,($AH$42+$BE$19+(-$AG$42-$BD$19)*$BG$19/$BF$19)&gt;0,$AH$42&lt;$BC$19),3,IF(AND(-$AG$42&gt;$BD$19,-$AG$42&lt;$BE$22,$AH$42&gt;$BC$19,$AH$42&lt;$BB$22),4,"")))))</f>
        <v/>
      </c>
      <c r="AH80" s="617" t="n"/>
      <c r="AI80" s="671">
        <f>IF($AI$42="","",IF(AND($AI$42&gt;$BJ$19,$AI$42&lt;$BI$22,$AJ$42&gt;$BM$19,$AJ$42&lt;$BN$22),1,IF(AND($AI$42&gt;$BJ$19,$AI$42&lt;$BI$22,($AJ$42-$BK$19-($AI$42-$BJ$19)*$BI$19/$BH$19)&gt;0,$AJ$42&lt;$BM$19),2,IF(AND(($AI$42-$AJ$42*$BL$19/$BM$19)&gt;0,$AI$42&lt;$BJ$19,($AJ$42-$AI$42*$BK$19/$BJ$19)&gt;0,$AJ$42&lt;$BM$19),3,IF(AND(($AI$42-$BL$19-($AJ$42-$BM$19)*$BN$19/$BO$19)&gt;0,$AI$42&lt;$BJ$19,$AJ$42&gt;$BM$19,$AJ$42&lt;$BN$22),4,"")))))</f>
        <v/>
      </c>
      <c r="AJ80" s="617" t="n"/>
      <c r="AK80" s="671">
        <f>IF($AK$42="","",IF(AND($AK$42&gt;$BT$19,$AK$42&lt;$BU$22,(-$AL$42+$BU$19+($AK$42-$BT$19)*$BW$19/$BV$19)&gt;0,-$AL$42&lt;$BS$19),1,IF(AND($AK$42&gt;$BT$19,$AK$42&lt;$BU$22,-$AL$42&gt;$BS$19,-$AL$42&lt;$BR$22),2,IF(AND(($AK$42+$BR$19+(-$AL$42-$BS$19)*$BP$19/$BQ$19)&gt;0,$AK$42&lt;$BT$19,-$AL$42&gt;$BS$19,-$AL$42&lt;$BR$22),3,IF(AND(($AK$42-$AL$42*$BR$19/$BS$19)&gt;0,$AK$42&lt;$BT$19,(-$AL$42+$AK$42*$BU$19/$BT$19)&gt;0,-$AL$42&lt;$BS$19),4,"")))))</f>
        <v/>
      </c>
      <c r="AL80" s="617" t="n"/>
      <c r="BZ80" s="693" t="n"/>
      <c r="CA80" s="693" t="n"/>
    </row>
    <row r="81" ht="12" customHeight="1" s="613">
      <c r="B81" s="476">
        <f>$L$38</f>
        <v/>
      </c>
      <c r="C81" s="476">
        <f>$O$7</f>
        <v/>
      </c>
      <c r="D81" s="476">
        <f>IF($P$7 = "S", 2,1)</f>
        <v/>
      </c>
      <c r="E81" s="476">
        <f>$Q$7</f>
        <v/>
      </c>
      <c r="F81" s="476">
        <f>IF($R$7 = "W", 2,1)</f>
        <v/>
      </c>
      <c r="G81" s="476">
        <f>'SHL Section'!$S$7</f>
        <v/>
      </c>
      <c r="H81" t="inlineStr">
        <is>
          <t>East-Down2</t>
        </is>
      </c>
      <c r="J81">
        <f>DGET('Grid Numbers'!$A$2:$L$4952,'Grid Numbers'!$L$2,$B$70:$H$71)</f>
        <v/>
      </c>
      <c r="L81" s="476">
        <f>$L$38</f>
        <v/>
      </c>
      <c r="M81" s="476">
        <f>$O$7</f>
        <v/>
      </c>
      <c r="N81" s="476">
        <f>IF($P$7 = "S", 2,1)</f>
        <v/>
      </c>
      <c r="O81" s="476">
        <f>$Q$7</f>
        <v/>
      </c>
      <c r="P81" s="476">
        <f>IF($R$7 = "W", 2,1)</f>
        <v/>
      </c>
      <c r="Q81" s="476">
        <f>'SHL Section'!$S$7</f>
        <v/>
      </c>
      <c r="R81" s="475" t="inlineStr">
        <is>
          <t>South-Right2</t>
        </is>
      </c>
      <c r="T81">
        <f>DGET('Grid Numbers'!$A$2:$L$4952,'Grid Numbers'!$L$2,$L$70:$R$71)</f>
        <v/>
      </c>
      <c r="AA81" s="689" t="n"/>
      <c r="AB81" s="689" t="n"/>
      <c r="AE81" s="291" t="n"/>
      <c r="AF81" s="290" t="n"/>
      <c r="AG81" s="292" t="n"/>
      <c r="AH81" s="292" t="n"/>
      <c r="AI81" s="291" t="n"/>
      <c r="AJ81" s="290" t="n"/>
      <c r="AK81" s="291" t="n"/>
      <c r="AL81" s="290" t="n"/>
      <c r="BZ81" s="693" t="n"/>
      <c r="CA81" s="693" t="n"/>
    </row>
    <row r="82" ht="12" customHeight="1" s="613">
      <c r="J82">
        <f>DGET('Grid Numbers'!$A$2:$L$4952,'Grid Numbers'!$H$2,$B$72:$H$73)</f>
        <v/>
      </c>
      <c r="T82">
        <f>DGET('Grid Numbers'!$A$2:$L$4952,'Grid Numbers'!$H$2,$L$72:$R$73)</f>
        <v/>
      </c>
      <c r="AA82" s="689" t="n"/>
      <c r="AB82" s="689" t="n"/>
      <c r="AE82" s="674" t="inlineStr">
        <is>
          <t>BHL3 NE Line Calc</t>
        </is>
      </c>
      <c r="AF82" s="675" t="n"/>
      <c r="AG82" s="674" t="inlineStr">
        <is>
          <t>BHL3 NW Line Calc</t>
        </is>
      </c>
      <c r="AH82" s="675" t="n"/>
      <c r="AI82" s="674" t="inlineStr">
        <is>
          <t>BHL3 SW Line Calc</t>
        </is>
      </c>
      <c r="AJ82" s="675" t="n"/>
      <c r="AK82" s="674" t="inlineStr">
        <is>
          <t>BHL3 SE Line Calc</t>
        </is>
      </c>
      <c r="AL82" s="675" t="n"/>
      <c r="BZ82" s="693" t="n"/>
      <c r="CA82" s="693" t="n"/>
    </row>
    <row r="83" ht="12" customHeight="1" s="613">
      <c r="J83">
        <f>DGET('Grid Numbers'!$A$2:$L$4952,'Grid Numbers'!$I$2,$B$72:$H$73)</f>
        <v/>
      </c>
      <c r="T83">
        <f>DGET('Grid Numbers'!$A$2:$L$4952,'Grid Numbers'!$I$2,$L$72:$R$73)</f>
        <v/>
      </c>
      <c r="AA83" s="689" t="n"/>
      <c r="AB83" s="689" t="n"/>
      <c r="AD83" s="470" t="inlineStr">
        <is>
          <t>Qtr-Qtr</t>
        </is>
      </c>
      <c r="AE83" s="671" t="inlineStr">
        <is>
          <t>FNL</t>
        </is>
      </c>
      <c r="AF83" s="671" t="inlineStr">
        <is>
          <t>FEL</t>
        </is>
      </c>
      <c r="AG83" s="468" t="inlineStr">
        <is>
          <t>FNL</t>
        </is>
      </c>
      <c r="AH83" s="467" t="inlineStr">
        <is>
          <t>FWL</t>
        </is>
      </c>
      <c r="AI83" s="671" t="inlineStr">
        <is>
          <t>FSL</t>
        </is>
      </c>
      <c r="AJ83" s="671" t="inlineStr">
        <is>
          <t>FWL</t>
        </is>
      </c>
      <c r="AK83" s="671" t="inlineStr">
        <is>
          <t>FSL</t>
        </is>
      </c>
      <c r="AL83" s="671" t="inlineStr">
        <is>
          <t>FEL</t>
        </is>
      </c>
      <c r="AN83" s="693" t="inlineStr">
        <is>
          <t>Calc w/o perpendicular correction</t>
        </is>
      </c>
      <c r="BZ83" s="693" t="n"/>
      <c r="CA83" s="693" t="n"/>
    </row>
    <row r="84" ht="12" customHeight="1" s="613">
      <c r="J84">
        <f>DGET('Grid Numbers'!$A$2:$L$4952,'Grid Numbers'!$J$2,$B$72:$H$73)</f>
        <v/>
      </c>
      <c r="T84">
        <f>DGET('Grid Numbers'!$A$2:$L$4952,'Grid Numbers'!$J$2,$L$72:$R$73)</f>
        <v/>
      </c>
      <c r="AA84" s="689" t="n"/>
      <c r="AB84" s="689" t="n"/>
      <c r="AD84" s="319" t="n">
        <v>1</v>
      </c>
      <c r="AE84" s="306">
        <f>IF($AD84=AE$80,(-$AE$42+$AF$42*$AV$19/$AW$19)*$AV$28,"")</f>
        <v/>
      </c>
      <c r="AF84" s="287">
        <f>IF($AD84=AE$80,(-$AF$42+$AE$42*$CA$19/$BZ$19)*$BZ$28,"")</f>
        <v/>
      </c>
      <c r="AG84" s="306">
        <f>IF($AD84=AG$80,(-$AG$42+$BB$19+($AH$42-$BC$19)*$AZ$19/$BA$19)*$AZ$28,"")</f>
        <v/>
      </c>
      <c r="AH84" s="287">
        <f>IF($AD84=AG$80,($AH$42-$AG$42*$BE$19/$BD$19)*$BD$28,"")</f>
        <v/>
      </c>
      <c r="AI84" s="306">
        <f>IF($AD84=AI$80,($AI$42-$BL$19-($AJ$42-$BM$19)*$BN$19/$BO$19)*$BN$28,"")</f>
        <v/>
      </c>
      <c r="AJ84" s="287">
        <f>IF($AD84=AI$80,($AJ$42-$BK$19-($AI$42-$BJ$19)*$BI$19/$BH$19)*$BH$28,"")</f>
        <v/>
      </c>
      <c r="AK84" s="306">
        <f>IF($AD84=AK$80,($AK$42-$AL$42*$BR$19/$BS$19)*$BR$28,"")</f>
        <v/>
      </c>
      <c r="AL84" s="287">
        <f>IF($AD84=AK$80,(-$AL$42+$BU$19+($AK$42-$BT$19)*$BW$19/$BV$19)*$BV$28,"")</f>
        <v/>
      </c>
      <c r="AN84" s="289">
        <f>IF(ISNUMBER($AE$42),(-$AE$42+$AF$42*$AV$19/$AW$19),"")</f>
        <v/>
      </c>
      <c r="AO84" s="288">
        <f>IF(ISNUMBER($AF$42),(-$AF$42+$AE$42*$CA$19/$BZ$19),"")</f>
        <v/>
      </c>
      <c r="AP84" s="289">
        <f>IF(ISNUMBER($AG$42),(-$AG$42+$BB$19+($AH$42-$BC$19)*$AZ$19/$BA$19),"")</f>
        <v/>
      </c>
      <c r="AQ84" s="288">
        <f>IF(ISNUMBER($AH$42),($AH$42-$AG$42*$BE$19/$BD$19),"")</f>
        <v/>
      </c>
      <c r="AR84" s="289">
        <f>IF(ISNUMBER($AI$42),($AI$42-$BL$19-($AJ$42-$BM$19)*$BN$19/$BO$19),"")</f>
        <v/>
      </c>
      <c r="AS84" s="288">
        <f>IF(ISNUMBER($AJ$42),($AJ$42-$BK$19-($AI$42-$BJ$19)*$BI$19/$BH$19),"")</f>
        <v/>
      </c>
      <c r="AT84" s="289">
        <f>IF(ISNUMBER($AK$42),($AK$42-$AL$42*$BR$19/$BS$19),"")</f>
        <v/>
      </c>
      <c r="AU84" s="288">
        <f>IF(ISNUMBER($AL$42),(-$AL$42+$BU$19+($AK$42-$BT$19)*$BW$19/$BV$19),"")</f>
        <v/>
      </c>
      <c r="BZ84" s="693" t="n"/>
      <c r="CA84" s="693" t="n"/>
    </row>
    <row r="85" ht="12" customHeight="1" s="613">
      <c r="J85">
        <f>DGET('Grid Numbers'!$A$2:$L$4952,'Grid Numbers'!$K$2,$B$72:$H$73)</f>
        <v/>
      </c>
      <c r="T85">
        <f>DGET('Grid Numbers'!$A$2:$L$4952,'Grid Numbers'!$K$2,$L$72:$R$73)</f>
        <v/>
      </c>
      <c r="AA85" s="689" t="n"/>
      <c r="AB85" s="689" t="n"/>
      <c r="AD85" s="319" t="n">
        <v>2</v>
      </c>
      <c r="AE85" s="306">
        <f>IF($AD85=AE$80,(-$AE$42-$AV$19+($AF$42+$AW$19)*$AX$19/$AY$19)*$AX$28,"")</f>
        <v/>
      </c>
      <c r="AF85" s="287">
        <f>IF($AD85=AE$80,(-$AF$42+$AE$42*$CA$19/$BZ$19)*$BZ$28,"")</f>
        <v/>
      </c>
      <c r="AG85" s="306">
        <f>IF($AD85=AG$80,(-$AG$42+$AH$42*$BB$19/$BC$19)*$BB$28,"")</f>
        <v/>
      </c>
      <c r="AH85" s="287">
        <f>IF($AD85=AG$80,($AH$42-$AG$42*$BE$19/$BD$19)*$BD$28,"")</f>
        <v/>
      </c>
      <c r="AI85" s="306">
        <f>IF($AD85=AI$80,($AI$42-$AJ$42*$BL$19/$BM$19)*$BL$28,"")</f>
        <v/>
      </c>
      <c r="AJ85" s="287">
        <f>IF($AD85=AI$80,($AJ$42-$BK$19-($AI$42-$BJ$19)*$BI$19/$BH$19)*$BH$28,"")</f>
        <v/>
      </c>
      <c r="AK85" s="306">
        <f>IF($AD85=AK$80,($AK$42+$BR$19+(-$AL$42-$BS$19)*$BP$19/$BQ$19)*$BP$28,"")</f>
        <v/>
      </c>
      <c r="AL85" s="287">
        <f>IF($AD85=AK$80,(-$AL$42+$BU$19+($AK$42-$BT$19)*$BW$19/$BV$19)*$BV$28,"")</f>
        <v/>
      </c>
      <c r="AN85" s="306">
        <f>IF(ISNUMBER($AE$42),(-$AE$42-$AV$19+($AF$42+$AW$19)*$AX$19/$AY$19),"")</f>
        <v/>
      </c>
      <c r="AO85" s="287">
        <f>IF(ISNUMBER($AF$42),(-$AF$42+$AE$42*$CA$19/$BZ$19),"")</f>
        <v/>
      </c>
      <c r="AP85" s="306">
        <f>IF(ISNUMBER($AG$42),(-$AG$42+$AH$42*$BB$19/$BC$19),"")</f>
        <v/>
      </c>
      <c r="AQ85" s="287">
        <f>IF(ISNUMBER($AH$42),($AH$42-$AG$42*$BE$19/$BD$19),"")</f>
        <v/>
      </c>
      <c r="AR85" s="306">
        <f>IF(ISNUMBER($AI$42),($AI$42-$AJ$42*$BL$19/$BM$19),"")</f>
        <v/>
      </c>
      <c r="AS85" s="287">
        <f>IF(ISNUMBER($AJ$42),($AJ$42-$BK$19-($AI$42-$BJ$19)*$BI$19/$BH$19),"")</f>
        <v/>
      </c>
      <c r="AT85" s="306">
        <f>IF(ISNUMBER($AK$42),($AK$42+$BR$19+(-$AL$42-$BS$19)*$BP$19/$BQ$19),"")</f>
        <v/>
      </c>
      <c r="AU85" s="287">
        <f>IF(ISNUMBER($AL$42),(-$AL$42+$BU$19+($AK$42-$BT$19)*$BW$19/$BV$19),"")</f>
        <v/>
      </c>
      <c r="BZ85" s="693" t="n"/>
      <c r="CA85" s="693" t="n"/>
    </row>
    <row r="86" ht="12" customHeight="1" s="613">
      <c r="J86">
        <f>DGET('Grid Numbers'!$A$2:$L$4952,'Grid Numbers'!$L$2,$B$72:$H$73)</f>
        <v/>
      </c>
      <c r="T86">
        <f>DGET('Grid Numbers'!$A$2:$L$4952,'Grid Numbers'!$L$2,$L$72:$R$73)</f>
        <v/>
      </c>
      <c r="AA86" s="689" t="n"/>
      <c r="AB86" s="689" t="n"/>
      <c r="AD86" s="319" t="n">
        <v>3</v>
      </c>
      <c r="AE86" s="306">
        <f>IF($AD86=AE$80,(-$AE$42-$AV$19+($AF$42+$AW$19)*$AX$19/$AY$19)*$AX$28,"")</f>
        <v/>
      </c>
      <c r="AF86" s="287">
        <f>IF($AD86=AE$80,(-$AF$42-$CA$19-(-$AE$42-$BZ$19)*$BY$19/$BX$19)*$BX$28,"")</f>
        <v/>
      </c>
      <c r="AG86" s="306">
        <f>IF($AD86=AG$80,(-$AG$42+$AH$42*$BB$19/$BC$19)*$BB$28,"")</f>
        <v/>
      </c>
      <c r="AH86" s="287">
        <f>IF($AD86=AG$80,($AH$42+$BE$19+(-$AG$42-$BD$19)*$BG$19/$BF$19)*$BF$28,"")</f>
        <v/>
      </c>
      <c r="AI86" s="306">
        <f>IF($AD86=AI$80,($AI$42-$AJ$42*$BL$19/$BM$19)*$BL$28,"")</f>
        <v/>
      </c>
      <c r="AJ86" s="287">
        <f>IF($AD86=AI$80,($AJ$42-$AI$42*$BK$19/$BJ$19)*$BJ$28,"")</f>
        <v/>
      </c>
      <c r="AK86" s="306">
        <f>IF($AD86=AK$80,($AK$42+$BR$19+(-$AL$42-$BS$19)*$BP$19/$BQ$19)*$BP$28,"")</f>
        <v/>
      </c>
      <c r="AL86" s="287">
        <f>IF($AD86=AK$80,(-$AL$42+$AK$42*$BU$19/$BT$19)*$BT$28,"")</f>
        <v/>
      </c>
      <c r="AN86" s="306">
        <f>IF(ISNUMBER($AE$42),(-$AE$42-$AV$19+($AF$42+$AW$19)*$AX$19/$AY$19),"")</f>
        <v/>
      </c>
      <c r="AO86" s="287">
        <f>IF(ISNUMBER($AF$42),(-$AF$42-$CA$19-(-$AE$42-$BZ$19)*$BY$19/$BX$19),"")</f>
        <v/>
      </c>
      <c r="AP86" s="306">
        <f>IF(ISNUMBER($AG$42),(-$AG$42+$AH$42*$BB$19/$BC$19),"")</f>
        <v/>
      </c>
      <c r="AQ86" s="287">
        <f>IF(ISNUMBER($AH$42),($AH$42+$BE$19+(-$AG$42-$BD$19)*$BG$19/$BF$19),"")</f>
        <v/>
      </c>
      <c r="AR86" s="306">
        <f>IF(ISNUMBER($AI$42),($AI$42-$AJ$42*$BL$19/$BM$19),"")</f>
        <v/>
      </c>
      <c r="AS86" s="287">
        <f>IF(ISNUMBER($AJ$42),($AJ$42-$AI$42*$BK$19/$BJ$19),"")</f>
        <v/>
      </c>
      <c r="AT86" s="306">
        <f>IF(ISNUMBER($AK$42),($AK$42+$BR$19+(-$AL$42-$BS$19)*$BP$19/$BQ$19),"")</f>
        <v/>
      </c>
      <c r="AU86" s="287">
        <f>IF(ISNUMBER($AL$42),(-$AL$42+$AK$42*$BU$19/$BT$19),"")</f>
        <v/>
      </c>
      <c r="BZ86" s="693" t="n"/>
      <c r="CA86" s="693" t="n"/>
    </row>
    <row r="87" ht="12" customHeight="1" s="613">
      <c r="AA87" s="689" t="n"/>
      <c r="AB87" s="689" t="n"/>
      <c r="AD87" s="319" t="n">
        <v>4</v>
      </c>
      <c r="AE87" s="286">
        <f>IF($AD87=AE$80,(-$AE$42+$AF$42*$AV$19/$AW$19)*$AV$28,"")</f>
        <v/>
      </c>
      <c r="AF87" s="285">
        <f>IF($AD87=AE$80,(-$AF$42-$CA$19-(-$AE$42-$BZ$19)*$BY$19/$BX$19)*$BX$28,"")</f>
        <v/>
      </c>
      <c r="AG87" s="286">
        <f>IF($AD87=AG$80,(-$AG$42+$BB$19+($AH$42-$BC$19)*$AZ$19/$BA$19)*$AZ$28,"")</f>
        <v/>
      </c>
      <c r="AH87" s="285">
        <f>IF($AD87=AG$80,($AH$42+$BE$19+(-$AG$42-$BD$19)*$BG$19/$BF$19)*$BF$28,"")</f>
        <v/>
      </c>
      <c r="AI87" s="286">
        <f>IF($AD87=AI$80,($AI$42-$BL$19-($AJ$42-$BM$19)*$BN$19/$BO$19)*$BN$28,"")</f>
        <v/>
      </c>
      <c r="AJ87" s="285">
        <f>IF($AD87=AI$80,($AJ$42-$AI$42*$BK$19/$BJ$19)*$BJ$28,"")</f>
        <v/>
      </c>
      <c r="AK87" s="286">
        <f>IF($AD87=AK$80,($AK$42-$AL$42*$BR$19/$BS$19)*$BR$28,"")</f>
        <v/>
      </c>
      <c r="AL87" s="285">
        <f>IF($AD87=AK$80,(-$AL$42+$AK$42*$BU$19/$BT$19)*$BT$28,"")</f>
        <v/>
      </c>
      <c r="AN87" s="286">
        <f>IF(ISNUMBER($AE$42),(-$AE$42+$AF$42*$AV$19/$AW$19),"")</f>
        <v/>
      </c>
      <c r="AO87" s="285">
        <f>IF(ISNUMBER($AF$42),(-$AF$42-$CA$19-(-$AE$42-$BZ$19)*$BY$19/$BX$19),"")</f>
        <v/>
      </c>
      <c r="AP87" s="286">
        <f>IF(ISNUMBER($AG$42),(-$AG$42+$BB$19+($AH$42-$BC$19)*$AZ$19/$BA$19),"")</f>
        <v/>
      </c>
      <c r="AQ87" s="285">
        <f>IF(ISNUMBER($AH$42),($AH$42+$BE$19+(-$AG$42-$BD$19)*$BG$19/$BF$19),"")</f>
        <v/>
      </c>
      <c r="AR87" s="286">
        <f>IF(ISNUMBER($AI$42),($AI$42-$BL$19-($AJ$42-$BM$19)*$BN$19/$BO$19),"")</f>
        <v/>
      </c>
      <c r="AS87" s="285">
        <f>IF(ISNUMBER($AJ$42),($AJ$42-$AI$42*$BK$19/$BJ$19),"")</f>
        <v/>
      </c>
      <c r="AT87" s="286">
        <f>IF(ISNUMBER($AK$42),($AK$42-$AL$42*$BR$19/$BS$19),"")</f>
        <v/>
      </c>
      <c r="AU87" s="285">
        <f>IF(ISNUMBER($AL$42),(-$AL$42+$AK$42*$BU$19/$BT$19),"")</f>
        <v/>
      </c>
      <c r="BZ87" s="693" t="n"/>
      <c r="CA87" s="693" t="n"/>
    </row>
    <row r="88" ht="12" customHeight="1" s="613">
      <c r="J88">
        <f>DGET('Grid Numbers'!$A$2:$L$4952,'Grid Numbers'!$H$2,$B$74:$H$75)</f>
        <v/>
      </c>
      <c r="T88">
        <f>DGET('Grid Numbers'!$A$2:$L$4952,'Grid Numbers'!$H$2,$L$74:$R$75)</f>
        <v/>
      </c>
      <c r="AA88" s="689" t="n"/>
      <c r="AB88" s="689" t="n"/>
      <c r="AE88" s="284">
        <f>IF(ISNUMBER($AE$84),AE$84,IF(ISNUMBER($AE$85),AE$85,IF(ISNUMBER($AE$86),AE$86,IF(ISNUMBER($AE$87),AE$87,""))))</f>
        <v/>
      </c>
      <c r="AF88" s="283">
        <f>IF(ISNUMBER($AF$84),AF$84,IF(ISNUMBER($AF$85),AF$85,IF(ISNUMBER($AF$86),AF$86,IF(ISNUMBER($AF$87),AF$87,""))))</f>
        <v/>
      </c>
      <c r="AG88" s="284">
        <f>IF(ISNUMBER($AG$84),AG$84,IF(ISNUMBER($AG$85),AG$85,IF(ISNUMBER($AG$86),AG$86,IF(ISNUMBER($AG$87),AG$87,""))))</f>
        <v/>
      </c>
      <c r="AH88" s="283">
        <f>IF(ISNUMBER($AH$84),AH$84,IF(ISNUMBER($AH$85),AH$85,IF(ISNUMBER($AH$86),AH$86,IF(ISNUMBER($AH$87),AH$87,""))))</f>
        <v/>
      </c>
      <c r="AI88" s="284">
        <f>IF(ISNUMBER($AI$84),AI$84,IF(ISNUMBER($AI$85),AI$85,IF(ISNUMBER($AI$86),AI$86,IF(ISNUMBER($AI$87),AI$87,""))))</f>
        <v/>
      </c>
      <c r="AJ88" s="283">
        <f>IF(ISNUMBER($AJ$84),AJ$84,IF(ISNUMBER($AJ$85),AJ$85,IF(ISNUMBER($AJ$86),AJ$86,IF(ISNUMBER($AJ$87),AJ$87,""))))</f>
        <v/>
      </c>
      <c r="AK88" s="284">
        <f>IF(ISNUMBER($AK$84),AK$84,IF(ISNUMBER($AK$85),AK$85,IF(ISNUMBER($AK$86),AK$86,IF(ISNUMBER($AK$87),AK$87,""))))</f>
        <v/>
      </c>
      <c r="AL88" s="283">
        <f>IF(ISNUMBER($AL$84),AL$84,IF(ISNUMBER($AL$85),AL$85,IF(ISNUMBER($AL$86),AL$86,IF(ISNUMBER($AL$87),AL$87,""))))</f>
        <v/>
      </c>
      <c r="BZ88" s="693" t="n"/>
      <c r="CA88" s="693" t="n"/>
    </row>
    <row r="89" ht="12" customHeight="1" s="613">
      <c r="J89">
        <f>DGET('Grid Numbers'!$A$2:$L$4952,'Grid Numbers'!$I$2,$B$74:$H$75)</f>
        <v/>
      </c>
      <c r="T89">
        <f>DGET('Grid Numbers'!$A$2:$L$4952,'Grid Numbers'!$I$2,$L$74:$R$75)</f>
        <v/>
      </c>
      <c r="AA89" s="689" t="n"/>
      <c r="AB89" s="689" t="n"/>
      <c r="BZ89" s="693" t="n"/>
      <c r="CA89" s="693" t="n"/>
    </row>
    <row r="90" ht="12" customHeight="1" s="613">
      <c r="J90">
        <f>DGET('Grid Numbers'!$A$2:$L$4952,'Grid Numbers'!$J$2,$B$74:$H$75)</f>
        <v/>
      </c>
      <c r="T90">
        <f>DGET('Grid Numbers'!$A$2:$L$4952,'Grid Numbers'!$J$2,$L$74:$R$75)</f>
        <v/>
      </c>
      <c r="AA90" s="689" t="n"/>
      <c r="AB90" s="689" t="n"/>
      <c r="BZ90" s="693" t="n"/>
      <c r="CA90" s="693" t="n"/>
    </row>
    <row r="91" ht="12" customHeight="1" s="613">
      <c r="J91">
        <f>DGET('Grid Numbers'!$A$2:$L$4952,'Grid Numbers'!$K$2,$B$74:$H$75)</f>
        <v/>
      </c>
      <c r="T91">
        <f>DGET('Grid Numbers'!$A$2:$L$4952,'Grid Numbers'!$K$2,$L$74:$R$75)</f>
        <v/>
      </c>
      <c r="AA91" s="689" t="n"/>
      <c r="AB91" s="689" t="n"/>
      <c r="BZ91" s="693" t="n"/>
      <c r="CA91" s="693" t="n"/>
    </row>
    <row r="92" ht="12" customHeight="1" s="613">
      <c r="J92">
        <f>DGET('Grid Numbers'!$A$2:$L$4952,'Grid Numbers'!$L$2,$B$74:$H$75)</f>
        <v/>
      </c>
      <c r="T92">
        <f>DGET('Grid Numbers'!$A$2:$L$4952,'Grid Numbers'!$L$2,$L$74:$R$75)</f>
        <v/>
      </c>
      <c r="AA92" s="689" t="n"/>
      <c r="AB92" s="689" t="n"/>
      <c r="BZ92" s="693" t="n"/>
      <c r="CA92" s="693" t="n"/>
    </row>
    <row r="93">
      <c r="J93">
        <f>DGET('Grid Numbers'!$A$2:$L$4952,'Grid Numbers'!$H$2,$B$76:$H$77)</f>
        <v/>
      </c>
      <c r="T93">
        <f>DGET('Grid Numbers'!$A$2:$L$4952,'Grid Numbers'!$H$2,$L$76:$R$77)</f>
        <v/>
      </c>
      <c r="AA93" s="689" t="n"/>
      <c r="AB93" s="689" t="n"/>
      <c r="BZ93" s="693" t="n"/>
      <c r="CA93" s="693" t="n"/>
    </row>
    <row r="94">
      <c r="J94">
        <f>DGET('Grid Numbers'!$A$2:$L$4952,'Grid Numbers'!$I$2,$B$76:$H$77)</f>
        <v/>
      </c>
      <c r="T94">
        <f>DGET('Grid Numbers'!$A$2:$L$4952,'Grid Numbers'!$I$2,$L$76:$R$77)</f>
        <v/>
      </c>
      <c r="AA94" s="689" t="n"/>
      <c r="AB94" s="689" t="n"/>
      <c r="BZ94" s="693" t="n"/>
      <c r="CA94" s="693" t="n"/>
    </row>
    <row r="95">
      <c r="J95">
        <f>DGET('Grid Numbers'!$A$2:$L$4952,'Grid Numbers'!$J$2,$B$76:$H$77)</f>
        <v/>
      </c>
      <c r="T95">
        <f>DGET('Grid Numbers'!$A$2:$L$4952,'Grid Numbers'!$J$2,$L$76:$R$77)</f>
        <v/>
      </c>
      <c r="AA95" s="689" t="n"/>
      <c r="AB95" s="689" t="n"/>
      <c r="BZ95" s="693" t="n"/>
      <c r="CA95" s="693" t="n"/>
    </row>
    <row r="96">
      <c r="J96">
        <f>DGET('Grid Numbers'!$A$2:$L$4952,'Grid Numbers'!$K$2,$B$76:$H$77)</f>
        <v/>
      </c>
      <c r="T96">
        <f>DGET('Grid Numbers'!$A$2:$L$4952,'Grid Numbers'!$K$2,$L$76:$R$77)</f>
        <v/>
      </c>
      <c r="AA96" s="689" t="n"/>
      <c r="AB96" s="689" t="n"/>
      <c r="BZ96" s="693" t="n"/>
      <c r="CA96" s="693" t="n"/>
    </row>
    <row r="97">
      <c r="J97">
        <f>DGET('Grid Numbers'!$A$2:$L$4952,'Grid Numbers'!$L$2,$B$76:$H$77)</f>
        <v/>
      </c>
      <c r="T97">
        <f>DGET('Grid Numbers'!$A$2:$L$4952,'Grid Numbers'!$L$2,$L$76:$R$77)</f>
        <v/>
      </c>
      <c r="AA97" s="689" t="n"/>
      <c r="AB97" s="689" t="n"/>
      <c r="BZ97" s="693" t="n"/>
      <c r="CA97" s="693" t="n"/>
    </row>
    <row r="98">
      <c r="J98">
        <f>DGET('Grid Numbers'!$A$2:$L$4952,'Grid Numbers'!$H$2,$B$78:$H$79)</f>
        <v/>
      </c>
      <c r="T98">
        <f>DGET('Grid Numbers'!$A$2:$L$4952,'Grid Numbers'!$H$2,$L$78:$R$79)</f>
        <v/>
      </c>
      <c r="AA98" s="689" t="n"/>
      <c r="AB98" s="689" t="n"/>
      <c r="BZ98" s="693" t="n"/>
      <c r="CA98" s="693" t="n"/>
    </row>
    <row r="99">
      <c r="J99">
        <f>DGET('Grid Numbers'!$A$2:$L$4952,'Grid Numbers'!$I$2,$B$78:$H$79)</f>
        <v/>
      </c>
      <c r="T99">
        <f>DGET('Grid Numbers'!$A$2:$L$4952,'Grid Numbers'!$I$2,$L$78:$R$79)</f>
        <v/>
      </c>
      <c r="AA99" s="689" t="n"/>
      <c r="AB99" s="689" t="n"/>
      <c r="BZ99" s="693" t="n"/>
      <c r="CA99" s="693" t="n"/>
    </row>
    <row r="100">
      <c r="J100">
        <f>DGET('Grid Numbers'!$A$2:$L$4952,'Grid Numbers'!$J$2,$B$78:$H$79)</f>
        <v/>
      </c>
      <c r="T100">
        <f>DGET('Grid Numbers'!$A$2:$L$4952,'Grid Numbers'!$J$2,$L$78:$R$79)</f>
        <v/>
      </c>
      <c r="AA100" s="689" t="n"/>
      <c r="AB100" s="689" t="n"/>
      <c r="BZ100" s="693" t="n"/>
      <c r="CA100" s="693" t="n"/>
    </row>
    <row r="101">
      <c r="J101">
        <f>DGET('Grid Numbers'!$A$2:$L$4952,'Grid Numbers'!$K$2,$B$78:$H$79)</f>
        <v/>
      </c>
      <c r="T101">
        <f>DGET('Grid Numbers'!$A$2:$L$4952,'Grid Numbers'!$K$2,$L$78:$R$79)</f>
        <v/>
      </c>
      <c r="AA101" s="689" t="n"/>
      <c r="AB101" s="689" t="n"/>
      <c r="BZ101" s="693" t="n"/>
      <c r="CA101" s="693" t="n"/>
    </row>
    <row r="102">
      <c r="J102">
        <f>DGET('Grid Numbers'!$A$2:$L$4952,'Grid Numbers'!$L$2,$B$78:$H$79)</f>
        <v/>
      </c>
      <c r="T102">
        <f>DGET('Grid Numbers'!$A$2:$L$4952,'Grid Numbers'!$L$2,$L$78:$R$79)</f>
        <v/>
      </c>
      <c r="AA102" s="689" t="n"/>
      <c r="AB102" s="689" t="n"/>
      <c r="BZ102" s="693" t="n"/>
      <c r="CA102" s="693" t="n"/>
    </row>
    <row r="103">
      <c r="J103">
        <f>DGET('Grid Numbers'!$A$2:$L$4952,'Grid Numbers'!$H$2,$B$80:$H$81)</f>
        <v/>
      </c>
      <c r="T103">
        <f>DGET('Grid Numbers'!$A$2:$L$4952,'Grid Numbers'!$H$2,$L$80:$R$81)</f>
        <v/>
      </c>
      <c r="AA103" s="689" t="n"/>
      <c r="AB103" s="689" t="n"/>
      <c r="BZ103" s="693" t="n"/>
      <c r="CA103" s="693" t="n"/>
    </row>
    <row r="104">
      <c r="J104">
        <f>DGET('Grid Numbers'!$A$2:$L$4952,'Grid Numbers'!$I$2,$B$80:$H$81)</f>
        <v/>
      </c>
      <c r="T104">
        <f>DGET('Grid Numbers'!$A$2:$L$4952,'Grid Numbers'!$I$2,$L$80:$R$81)</f>
        <v/>
      </c>
      <c r="AA104" s="689" t="n"/>
      <c r="AB104" s="689" t="n"/>
      <c r="BZ104" s="693" t="n"/>
      <c r="CA104" s="693" t="n"/>
    </row>
    <row r="105">
      <c r="J105">
        <f>DGET('Grid Numbers'!$A$2:$L$4952,'Grid Numbers'!$J$2,$B$80:$H$81)</f>
        <v/>
      </c>
      <c r="T105">
        <f>DGET('Grid Numbers'!$A$2:$L$4952,'Grid Numbers'!$J$2,$L$80:$R$81)</f>
        <v/>
      </c>
      <c r="AA105" s="689" t="n"/>
      <c r="AB105" s="689" t="n"/>
      <c r="BZ105" s="693" t="n"/>
      <c r="CA105" s="693" t="n"/>
    </row>
    <row r="106">
      <c r="J106">
        <f>DGET('Grid Numbers'!$A$2:$L$4952,'Grid Numbers'!$K$2,$B$80:$H$81)</f>
        <v/>
      </c>
      <c r="T106">
        <f>DGET('Grid Numbers'!$A$2:$L$4952,'Grid Numbers'!$K$2,$L$80:$R$81)</f>
        <v/>
      </c>
      <c r="AA106" s="689" t="n"/>
      <c r="AB106" s="689" t="n"/>
      <c r="BZ106" s="693" t="n"/>
      <c r="CA106" s="693" t="n"/>
    </row>
    <row r="107">
      <c r="J107">
        <f>DGET('Grid Numbers'!$A$2:$L$4952,'Grid Numbers'!$L$2,$B$80:$H$81)</f>
        <v/>
      </c>
      <c r="T107">
        <f>DGET('Grid Numbers'!$A$2:$L$4952,'Grid Numbers'!$L$2,$L$80:$R$81)</f>
        <v/>
      </c>
      <c r="AA107" s="689" t="n"/>
      <c r="AB107" s="689" t="n"/>
      <c r="BZ107" s="693" t="n"/>
      <c r="CA107" s="693" t="n"/>
    </row>
    <row r="108">
      <c r="AA108" s="689" t="n"/>
      <c r="AB108" s="689" t="n"/>
      <c r="BZ108" s="693" t="n"/>
      <c r="CA108" s="693" t="n"/>
    </row>
    <row r="109">
      <c r="AA109" s="689" t="n"/>
      <c r="AB109" s="689" t="n"/>
      <c r="BZ109" s="693" t="n"/>
      <c r="CA109" s="693" t="n"/>
    </row>
    <row r="110">
      <c r="AA110" s="689" t="n"/>
      <c r="AB110" s="689" t="n"/>
      <c r="BZ110" s="693" t="n"/>
      <c r="CA110" s="693" t="n"/>
    </row>
    <row r="111">
      <c r="AA111" s="689" t="n"/>
      <c r="AB111" s="689" t="n"/>
      <c r="BZ111" s="693" t="n"/>
      <c r="CA111" s="693" t="n"/>
    </row>
    <row r="112">
      <c r="AA112" s="689" t="n"/>
      <c r="AB112" s="689" t="n"/>
      <c r="BZ112" s="693" t="n"/>
      <c r="CA112" s="693" t="n"/>
    </row>
    <row r="113">
      <c r="AA113" s="689" t="n"/>
      <c r="AB113" s="689" t="n"/>
      <c r="BZ113" s="693" t="n"/>
      <c r="CA113" s="693" t="n"/>
    </row>
    <row r="114">
      <c r="AA114" s="689" t="n"/>
      <c r="AB114" s="689" t="n"/>
      <c r="BZ114" s="693" t="n"/>
      <c r="CA114" s="693" t="n"/>
    </row>
    <row r="115">
      <c r="AA115" s="689" t="n"/>
      <c r="AB115" s="689" t="n"/>
      <c r="BZ115" s="693" t="n"/>
      <c r="CA115" s="693" t="n"/>
    </row>
    <row r="116">
      <c r="AA116" s="689" t="n"/>
      <c r="AB116" s="689" t="n"/>
      <c r="BZ116" s="693" t="n"/>
      <c r="CA116" s="693" t="n"/>
    </row>
    <row r="117">
      <c r="AA117" s="689" t="n"/>
      <c r="AB117" s="689" t="n"/>
      <c r="BZ117" s="693" t="n"/>
      <c r="CA117" s="693" t="n"/>
    </row>
    <row r="118">
      <c r="AA118" s="689" t="n"/>
      <c r="AB118" s="689" t="n"/>
      <c r="BZ118" s="693" t="n"/>
      <c r="CA118" s="693" t="n"/>
    </row>
    <row r="119">
      <c r="AA119" s="689" t="n"/>
      <c r="AB119" s="689" t="n"/>
      <c r="BZ119" s="693" t="n"/>
      <c r="CA119" s="693" t="n"/>
    </row>
    <row r="120">
      <c r="AA120" s="689" t="n"/>
      <c r="AB120" s="689" t="n"/>
      <c r="BZ120" s="693" t="n"/>
      <c r="CA120" s="693" t="n"/>
    </row>
    <row r="121">
      <c r="AA121" s="689" t="n"/>
      <c r="AB121" s="689" t="n"/>
      <c r="BZ121" s="693" t="n"/>
      <c r="CA121" s="693" t="n"/>
    </row>
    <row r="122">
      <c r="AA122" s="689" t="n"/>
      <c r="AB122" s="689" t="n"/>
      <c r="BZ122" s="693" t="n"/>
      <c r="CA122" s="693" t="n"/>
    </row>
    <row r="123">
      <c r="AA123" s="689" t="n"/>
      <c r="AB123" s="689" t="n"/>
      <c r="BZ123" s="693" t="n"/>
      <c r="CA123" s="693" t="n"/>
    </row>
    <row r="124">
      <c r="AA124" s="689" t="n"/>
      <c r="AB124" s="689" t="n"/>
      <c r="BZ124" s="693" t="n"/>
      <c r="CA124" s="693" t="n"/>
    </row>
    <row r="125">
      <c r="AA125" s="689" t="n"/>
      <c r="AB125" s="689" t="n"/>
      <c r="BZ125" s="693" t="n"/>
      <c r="CA125" s="693" t="n"/>
    </row>
    <row r="126">
      <c r="AA126" s="689" t="n"/>
      <c r="AB126" s="689" t="n"/>
      <c r="BZ126" s="693" t="n"/>
      <c r="CA126" s="693" t="n"/>
    </row>
    <row r="127">
      <c r="AA127" s="689" t="n"/>
      <c r="AB127" s="689" t="n"/>
      <c r="BZ127" s="693" t="n"/>
      <c r="CA127" s="693" t="n"/>
    </row>
    <row r="128">
      <c r="AA128" s="689" t="n"/>
      <c r="AB128" s="689" t="n"/>
      <c r="BZ128" s="693" t="n"/>
      <c r="CA128" s="693" t="n"/>
    </row>
    <row r="129">
      <c r="AA129" s="689" t="n"/>
      <c r="AB129" s="689" t="n"/>
      <c r="BZ129" s="693" t="n"/>
      <c r="CA129" s="693" t="n"/>
    </row>
    <row r="130">
      <c r="AA130" s="689" t="n"/>
      <c r="AB130" s="689" t="n"/>
      <c r="BZ130" s="693" t="n"/>
      <c r="CA130" s="693" t="n"/>
    </row>
    <row r="131">
      <c r="AA131" s="689" t="n"/>
      <c r="AB131" s="689" t="n"/>
      <c r="BZ131" s="693" t="n"/>
      <c r="CA131" s="693" t="n"/>
    </row>
    <row r="132">
      <c r="AA132" s="689" t="n"/>
      <c r="AB132" s="689" t="n"/>
      <c r="BZ132" s="693" t="n"/>
      <c r="CA132" s="693" t="n"/>
    </row>
    <row r="133">
      <c r="AA133" s="689" t="n"/>
      <c r="AB133" s="689" t="n"/>
      <c r="BZ133" s="693" t="n"/>
      <c r="CA133" s="693" t="n"/>
    </row>
    <row r="134">
      <c r="AA134" s="689" t="n"/>
      <c r="AB134" s="689" t="n"/>
      <c r="BZ134" s="693" t="n"/>
      <c r="CA134" s="693" t="n"/>
    </row>
    <row r="135">
      <c r="AA135" s="689" t="n"/>
      <c r="AB135" s="689" t="n"/>
      <c r="BZ135" s="693" t="n"/>
      <c r="CA135" s="693" t="n"/>
    </row>
    <row r="136">
      <c r="AA136" s="689" t="n"/>
      <c r="AB136" s="689" t="n"/>
      <c r="BZ136" s="693" t="n"/>
      <c r="CA136" s="693" t="n"/>
    </row>
    <row r="137">
      <c r="AA137" s="689" t="n"/>
      <c r="AB137" s="689" t="n"/>
      <c r="BZ137" s="693" t="n"/>
      <c r="CA137" s="693" t="n"/>
    </row>
    <row r="138">
      <c r="AA138" s="689" t="n"/>
      <c r="AB138" s="689" t="n"/>
      <c r="BZ138" s="693" t="n"/>
      <c r="CA138" s="693" t="n"/>
    </row>
    <row r="139">
      <c r="AA139" s="689" t="n"/>
      <c r="AB139" s="689" t="n"/>
      <c r="BZ139" s="693" t="n"/>
      <c r="CA139" s="693" t="n"/>
    </row>
    <row r="140">
      <c r="AA140" s="689" t="n"/>
      <c r="AB140" s="689" t="n"/>
      <c r="BZ140" s="693" t="n"/>
      <c r="CA140" s="693" t="n"/>
    </row>
    <row r="141">
      <c r="AA141" s="689" t="n"/>
      <c r="AB141" s="689" t="n"/>
      <c r="BZ141" s="693" t="n"/>
      <c r="CA141" s="693" t="n"/>
    </row>
    <row r="142">
      <c r="AA142" s="689" t="n"/>
      <c r="AB142" s="689" t="n"/>
      <c r="BZ142" s="693" t="n"/>
      <c r="CA142" s="693" t="n"/>
    </row>
    <row r="143">
      <c r="AA143" s="689" t="n"/>
      <c r="AB143" s="689" t="n"/>
      <c r="BZ143" s="693" t="n"/>
      <c r="CA143" s="693" t="n"/>
    </row>
    <row r="144">
      <c r="AA144" s="689" t="n"/>
      <c r="AB144" s="689" t="n"/>
      <c r="BZ144" s="693" t="n"/>
      <c r="CA144" s="693" t="n"/>
    </row>
    <row r="145">
      <c r="AA145" s="689" t="n"/>
      <c r="AB145" s="689" t="n"/>
      <c r="BZ145" s="693" t="n"/>
      <c r="CA145" s="693" t="n"/>
    </row>
    <row r="146">
      <c r="AA146" s="689" t="n"/>
      <c r="AB146" s="689" t="n"/>
      <c r="BZ146" s="693" t="n"/>
      <c r="CA146" s="693" t="n"/>
    </row>
    <row r="147">
      <c r="AA147" s="689" t="n"/>
      <c r="AB147" s="689" t="n"/>
      <c r="BZ147" s="693" t="n"/>
      <c r="CA147" s="693" t="n"/>
    </row>
    <row r="148">
      <c r="AA148" s="689" t="n"/>
      <c r="AB148" s="689" t="n"/>
      <c r="BZ148" s="693" t="n"/>
      <c r="CA148" s="693" t="n"/>
    </row>
    <row r="149">
      <c r="AA149" s="689" t="n"/>
      <c r="AB149" s="689" t="n"/>
      <c r="BZ149" s="693" t="n"/>
      <c r="CA149" s="693" t="n"/>
    </row>
    <row r="150">
      <c r="AA150" s="689" t="n"/>
      <c r="AB150" s="689" t="n"/>
      <c r="BZ150" s="693" t="n"/>
      <c r="CA150" s="693" t="n"/>
    </row>
    <row r="151">
      <c r="AA151" s="689" t="n"/>
      <c r="AB151" s="689" t="n"/>
      <c r="BZ151" s="693" t="n"/>
      <c r="CA151" s="693" t="n"/>
    </row>
    <row r="152">
      <c r="AA152" s="689" t="n"/>
      <c r="AB152" s="689" t="n"/>
      <c r="BZ152" s="693" t="n"/>
      <c r="CA152" s="693" t="n"/>
    </row>
    <row r="153">
      <c r="AA153" s="689" t="n"/>
      <c r="AB153" s="689" t="n"/>
      <c r="BZ153" s="693" t="n"/>
      <c r="CA153" s="693" t="n"/>
    </row>
    <row r="154">
      <c r="AA154" s="689" t="n"/>
      <c r="AB154" s="689" t="n"/>
      <c r="BZ154" s="693" t="n"/>
      <c r="CA154" s="693" t="n"/>
    </row>
    <row r="155">
      <c r="BZ155" s="693" t="n"/>
      <c r="CA155" s="693" t="n"/>
    </row>
  </sheetData>
  <mergeCells count="124">
    <mergeCell ref="BL17:BM17"/>
    <mergeCell ref="BN17:BO17"/>
    <mergeCell ref="BX17:BY17"/>
    <mergeCell ref="BZ17:CA17"/>
    <mergeCell ref="AK71:AL71"/>
    <mergeCell ref="AE47:AF47"/>
    <mergeCell ref="AK18:AL18"/>
    <mergeCell ref="AV17:AW17"/>
    <mergeCell ref="AC24:AD24"/>
    <mergeCell ref="BL24:BS24"/>
    <mergeCell ref="AO18:AP18"/>
    <mergeCell ref="Q26:R26"/>
    <mergeCell ref="AQ18:AR18"/>
    <mergeCell ref="AI50:AJ50"/>
    <mergeCell ref="AE82:AF82"/>
    <mergeCell ref="AV24:BC24"/>
    <mergeCell ref="AZ20:BC20"/>
    <mergeCell ref="AE60:AF60"/>
    <mergeCell ref="AE68:AF68"/>
    <mergeCell ref="AG68:AH68"/>
    <mergeCell ref="AI68:AJ68"/>
    <mergeCell ref="AC36:AD36"/>
    <mergeCell ref="AG58:AH58"/>
    <mergeCell ref="AE45:AF45"/>
    <mergeCell ref="V56:W56"/>
    <mergeCell ref="BT20:BW20"/>
    <mergeCell ref="AI48:AJ48"/>
    <mergeCell ref="AK48:AL48"/>
    <mergeCell ref="AG60:AH60"/>
    <mergeCell ref="I6:J6"/>
    <mergeCell ref="AG69:AH69"/>
    <mergeCell ref="AI69:AJ69"/>
    <mergeCell ref="AE50:AF50"/>
    <mergeCell ref="AE46:AF46"/>
    <mergeCell ref="AG46:AH46"/>
    <mergeCell ref="AK47:AL47"/>
    <mergeCell ref="L38:M41"/>
    <mergeCell ref="AC30:AD30"/>
    <mergeCell ref="BD17:BE17"/>
    <mergeCell ref="AI80:AJ80"/>
    <mergeCell ref="W39:X40"/>
    <mergeCell ref="E5:H5"/>
    <mergeCell ref="AI79:AJ79"/>
    <mergeCell ref="AK79:AL79"/>
    <mergeCell ref="BH17:BI17"/>
    <mergeCell ref="BJ17:BK17"/>
    <mergeCell ref="BT17:BU17"/>
    <mergeCell ref="BV17:BW17"/>
    <mergeCell ref="AE48:AF48"/>
    <mergeCell ref="AE57:AF57"/>
    <mergeCell ref="AK50:AL50"/>
    <mergeCell ref="AG57:AH57"/>
    <mergeCell ref="AG71:AH71"/>
    <mergeCell ref="G26:H26"/>
    <mergeCell ref="AI71:AJ71"/>
    <mergeCell ref="BD24:BK24"/>
    <mergeCell ref="AC17:AT17"/>
    <mergeCell ref="AG18:AH18"/>
    <mergeCell ref="B6:C6"/>
    <mergeCell ref="AI18:AJ18"/>
    <mergeCell ref="AI58:AJ58"/>
    <mergeCell ref="T5:V5"/>
    <mergeCell ref="BL20:BO20"/>
    <mergeCell ref="K6:L6"/>
    <mergeCell ref="AM18:AN18"/>
    <mergeCell ref="BP20:BS20"/>
    <mergeCell ref="AI57:AJ57"/>
    <mergeCell ref="BT24:CA24"/>
    <mergeCell ref="B7:C7"/>
    <mergeCell ref="G42:H42"/>
    <mergeCell ref="V23:W23"/>
    <mergeCell ref="Q42:R42"/>
    <mergeCell ref="B56:C56"/>
    <mergeCell ref="AV20:AY20"/>
    <mergeCell ref="AI60:AJ60"/>
    <mergeCell ref="AG80:AH80"/>
    <mergeCell ref="AC42:AD42"/>
    <mergeCell ref="AG48:AH48"/>
    <mergeCell ref="AX17:AY17"/>
    <mergeCell ref="E6:F6"/>
    <mergeCell ref="BP17:BQ17"/>
    <mergeCell ref="AG45:AH45"/>
    <mergeCell ref="C2:G2"/>
    <mergeCell ref="AI46:AJ46"/>
    <mergeCell ref="AK46:AL46"/>
    <mergeCell ref="B9:C9"/>
    <mergeCell ref="AG47:AH47"/>
    <mergeCell ref="AI47:AJ47"/>
    <mergeCell ref="AZ17:BA17"/>
    <mergeCell ref="BB17:BC17"/>
    <mergeCell ref="AE79:AF79"/>
    <mergeCell ref="AS18:AT18"/>
    <mergeCell ref="AG79:AH79"/>
    <mergeCell ref="BF17:BG17"/>
    <mergeCell ref="AG82:AH82"/>
    <mergeCell ref="AI82:AJ82"/>
    <mergeCell ref="AK82:AL82"/>
    <mergeCell ref="BR17:BS17"/>
    <mergeCell ref="AK57:AL57"/>
    <mergeCell ref="AG50:AH50"/>
    <mergeCell ref="C3:G3"/>
    <mergeCell ref="AE71:AF71"/>
    <mergeCell ref="BD20:BG20"/>
    <mergeCell ref="AE18:AF18"/>
    <mergeCell ref="AE58:AF58"/>
    <mergeCell ref="AK68:AL68"/>
    <mergeCell ref="B23:C23"/>
    <mergeCell ref="AK58:AL58"/>
    <mergeCell ref="BH20:BK20"/>
    <mergeCell ref="G6:H6"/>
    <mergeCell ref="L23:M23"/>
    <mergeCell ref="B8:C8"/>
    <mergeCell ref="AI45:AJ45"/>
    <mergeCell ref="AK45:AL45"/>
    <mergeCell ref="A39:B40"/>
    <mergeCell ref="BX20:CA20"/>
    <mergeCell ref="AK60:AL60"/>
    <mergeCell ref="AK69:AL69"/>
    <mergeCell ref="B10:C10"/>
    <mergeCell ref="AE69:AF69"/>
    <mergeCell ref="L56:M56"/>
    <mergeCell ref="AK80:AL80"/>
    <mergeCell ref="AE80:AF80"/>
    <mergeCell ref="I5:L5"/>
  </mergeCells>
  <conditionalFormatting sqref="AE48:AF48">
    <cfRule type="cellIs" priority="221" operator="between" dxfId="46">
      <formula>1</formula>
      <formula>4</formula>
    </cfRule>
  </conditionalFormatting>
  <conditionalFormatting sqref="AG48:AH48">
    <cfRule type="cellIs" priority="220" operator="between" dxfId="46">
      <formula>1</formula>
      <formula>4</formula>
    </cfRule>
  </conditionalFormatting>
  <conditionalFormatting sqref="AI48:AJ48">
    <cfRule type="cellIs" priority="219" operator="between" dxfId="46">
      <formula>1</formula>
      <formula>4</formula>
    </cfRule>
  </conditionalFormatting>
  <conditionalFormatting sqref="AK48:AL48">
    <cfRule type="cellIs" priority="218" operator="between" dxfId="46">
      <formula>1</formula>
      <formula>4</formula>
    </cfRule>
  </conditionalFormatting>
  <conditionalFormatting sqref="AE52:AF52">
    <cfRule type="expression" priority="217" dxfId="46">
      <formula>$AE48=1</formula>
    </cfRule>
  </conditionalFormatting>
  <conditionalFormatting sqref="AG52:AH52">
    <cfRule type="expression" priority="216" dxfId="46">
      <formula>$AG48=1</formula>
    </cfRule>
  </conditionalFormatting>
  <conditionalFormatting sqref="AI52:AJ52">
    <cfRule type="expression" priority="215" dxfId="46">
      <formula>$AI48=1</formula>
    </cfRule>
  </conditionalFormatting>
  <conditionalFormatting sqref="AK52:AL52">
    <cfRule type="expression" priority="214" dxfId="46">
      <formula>$AK48=1</formula>
    </cfRule>
  </conditionalFormatting>
  <conditionalFormatting sqref="AE53:AF53">
    <cfRule type="expression" priority="213" dxfId="46">
      <formula>$AE48=2</formula>
    </cfRule>
  </conditionalFormatting>
  <conditionalFormatting sqref="AG53:AH53">
    <cfRule type="expression" priority="212" dxfId="46">
      <formula>$AG48=2</formula>
    </cfRule>
  </conditionalFormatting>
  <conditionalFormatting sqref="AI53:AJ53">
    <cfRule type="expression" priority="211" dxfId="46">
      <formula>$AI48=2</formula>
    </cfRule>
  </conditionalFormatting>
  <conditionalFormatting sqref="AK53:AL53">
    <cfRule type="expression" priority="210" dxfId="46">
      <formula>$AK48=2</formula>
    </cfRule>
  </conditionalFormatting>
  <conditionalFormatting sqref="AE54:AF54">
    <cfRule type="expression" priority="209" dxfId="46">
      <formula>$AE48=3</formula>
    </cfRule>
  </conditionalFormatting>
  <conditionalFormatting sqref="AG54:AH54">
    <cfRule type="expression" priority="208" dxfId="46">
      <formula>$AG48=3</formula>
    </cfRule>
  </conditionalFormatting>
  <conditionalFormatting sqref="AI54:AJ54">
    <cfRule type="expression" priority="207" dxfId="46">
      <formula>$AI48=3</formula>
    </cfRule>
  </conditionalFormatting>
  <conditionalFormatting sqref="AK54:AL54">
    <cfRule type="expression" priority="206" dxfId="46">
      <formula>$AK48=3</formula>
    </cfRule>
  </conditionalFormatting>
  <conditionalFormatting sqref="AE55:AF55">
    <cfRule type="expression" priority="205" dxfId="46">
      <formula>$AE48=4</formula>
    </cfRule>
  </conditionalFormatting>
  <conditionalFormatting sqref="AG55:AH55">
    <cfRule type="expression" priority="204" dxfId="46">
      <formula>$AG48=4</formula>
    </cfRule>
  </conditionalFormatting>
  <conditionalFormatting sqref="AI55:AJ55">
    <cfRule type="expression" priority="203" dxfId="46">
      <formula>$AI48=4</formula>
    </cfRule>
  </conditionalFormatting>
  <conditionalFormatting sqref="AK55:AL55">
    <cfRule type="expression" priority="202" dxfId="46">
      <formula>$AK48=4</formula>
    </cfRule>
  </conditionalFormatting>
  <conditionalFormatting sqref="AE65:AF65">
    <cfRule type="expression" priority="201" dxfId="46">
      <formula>$AE$58=4</formula>
    </cfRule>
  </conditionalFormatting>
  <conditionalFormatting sqref="AG65:AH65">
    <cfRule type="expression" priority="200" dxfId="46">
      <formula>$AG$58=4</formula>
    </cfRule>
  </conditionalFormatting>
  <conditionalFormatting sqref="AI65:AJ65">
    <cfRule type="expression" priority="199" dxfId="46">
      <formula>$AI$58=4</formula>
    </cfRule>
  </conditionalFormatting>
  <conditionalFormatting sqref="AK65:AL65">
    <cfRule type="expression" priority="198" dxfId="46">
      <formula>$AK$58=4</formula>
    </cfRule>
  </conditionalFormatting>
  <conditionalFormatting sqref="AE64:AF64">
    <cfRule type="expression" priority="197" dxfId="46">
      <formula>$AE$58=3</formula>
    </cfRule>
  </conditionalFormatting>
  <conditionalFormatting sqref="AG64:AH64">
    <cfRule type="expression" priority="196" dxfId="46">
      <formula>$AG$58=3</formula>
    </cfRule>
  </conditionalFormatting>
  <conditionalFormatting sqref="AI64:AJ64">
    <cfRule type="expression" priority="195" dxfId="46">
      <formula>$AI$58=3</formula>
    </cfRule>
  </conditionalFormatting>
  <conditionalFormatting sqref="AK64:AL64">
    <cfRule type="expression" priority="194" dxfId="46">
      <formula>$AK$58=3</formula>
    </cfRule>
  </conditionalFormatting>
  <conditionalFormatting sqref="AE63:AF63">
    <cfRule type="expression" priority="193" dxfId="46">
      <formula>$AE$58=2</formula>
    </cfRule>
  </conditionalFormatting>
  <conditionalFormatting sqref="AG63:AH63">
    <cfRule type="expression" priority="192" dxfId="46">
      <formula>$AG$58=2</formula>
    </cfRule>
  </conditionalFormatting>
  <conditionalFormatting sqref="AI63:AJ63">
    <cfRule type="expression" priority="191" dxfId="46">
      <formula>$AI$58=2</formula>
    </cfRule>
  </conditionalFormatting>
  <conditionalFormatting sqref="AK63:AL63">
    <cfRule type="expression" priority="190" dxfId="46">
      <formula>$AK$58=2</formula>
    </cfRule>
  </conditionalFormatting>
  <conditionalFormatting sqref="AE62:AF62">
    <cfRule type="expression" priority="189" dxfId="46">
      <formula>$AE$58=1</formula>
    </cfRule>
  </conditionalFormatting>
  <conditionalFormatting sqref="AG62:AH62">
    <cfRule type="expression" priority="188" dxfId="46">
      <formula>$AG$58=1</formula>
    </cfRule>
  </conditionalFormatting>
  <conditionalFormatting sqref="AI62:AJ62">
    <cfRule type="expression" priority="187" dxfId="46">
      <formula>$AI$58=1</formula>
    </cfRule>
  </conditionalFormatting>
  <conditionalFormatting sqref="AK62:AL62">
    <cfRule type="expression" priority="186" dxfId="46">
      <formula>$AK$58=1</formula>
    </cfRule>
  </conditionalFormatting>
  <conditionalFormatting sqref="AE74:AF74">
    <cfRule type="expression" priority="185" dxfId="46">
      <formula>$AE$69=2</formula>
    </cfRule>
  </conditionalFormatting>
  <conditionalFormatting sqref="AE73:AF73">
    <cfRule type="expression" priority="184" dxfId="46">
      <formula>$AE$69=1</formula>
    </cfRule>
  </conditionalFormatting>
  <conditionalFormatting sqref="AE75:AF75">
    <cfRule type="expression" priority="183" dxfId="46">
      <formula>$AE$69=3</formula>
    </cfRule>
  </conditionalFormatting>
  <conditionalFormatting sqref="AE76:AF76">
    <cfRule type="expression" priority="182" dxfId="46">
      <formula>$AE$69=4</formula>
    </cfRule>
  </conditionalFormatting>
  <conditionalFormatting sqref="AG74:AH74">
    <cfRule type="expression" priority="181" dxfId="46">
      <formula>$AG$69=2</formula>
    </cfRule>
  </conditionalFormatting>
  <conditionalFormatting sqref="AG73:AH73">
    <cfRule type="expression" priority="180" dxfId="46">
      <formula>$AG$69=1</formula>
    </cfRule>
  </conditionalFormatting>
  <conditionalFormatting sqref="AG75:AH75">
    <cfRule type="expression" priority="179" dxfId="46">
      <formula>$AG$69=3</formula>
    </cfRule>
  </conditionalFormatting>
  <conditionalFormatting sqref="AG76:AH76">
    <cfRule type="expression" priority="178" dxfId="46">
      <formula>$AG$69=4</formula>
    </cfRule>
  </conditionalFormatting>
  <conditionalFormatting sqref="AI74:AJ74">
    <cfRule type="expression" priority="177" dxfId="46">
      <formula>$AI$69=2</formula>
    </cfRule>
  </conditionalFormatting>
  <conditionalFormatting sqref="AI73:AJ73">
    <cfRule type="expression" priority="176" dxfId="46">
      <formula>$AI$69=1</formula>
    </cfRule>
  </conditionalFormatting>
  <conditionalFormatting sqref="AI75:AJ75">
    <cfRule type="expression" priority="175" dxfId="46">
      <formula>$AI$69=3</formula>
    </cfRule>
  </conditionalFormatting>
  <conditionalFormatting sqref="AI76:AJ76">
    <cfRule type="expression" priority="174" dxfId="46">
      <formula>$AI$69=4</formula>
    </cfRule>
  </conditionalFormatting>
  <conditionalFormatting sqref="AK74:AL74">
    <cfRule type="expression" priority="173" dxfId="46">
      <formula>$AK$69=2</formula>
    </cfRule>
  </conditionalFormatting>
  <conditionalFormatting sqref="AK73:AL73">
    <cfRule type="expression" priority="172" dxfId="46">
      <formula>$AK$69=1</formula>
    </cfRule>
  </conditionalFormatting>
  <conditionalFormatting sqref="AK75:AL75">
    <cfRule type="expression" priority="171" dxfId="46">
      <formula>$AK$69=3</formula>
    </cfRule>
  </conditionalFormatting>
  <conditionalFormatting sqref="AK76:AL76">
    <cfRule type="expression" priority="170" dxfId="46">
      <formula>$AK$69=4</formula>
    </cfRule>
  </conditionalFormatting>
  <conditionalFormatting sqref="AE87:AF87">
    <cfRule type="expression" priority="169" dxfId="46">
      <formula>$AE$80=4</formula>
    </cfRule>
  </conditionalFormatting>
  <conditionalFormatting sqref="AG87:AH87">
    <cfRule type="expression" priority="168" dxfId="46">
      <formula>$AG$80=4</formula>
    </cfRule>
  </conditionalFormatting>
  <conditionalFormatting sqref="AI87:AJ87">
    <cfRule type="expression" priority="167" dxfId="46">
      <formula>$AI$80=4</formula>
    </cfRule>
  </conditionalFormatting>
  <conditionalFormatting sqref="AK87:AL87">
    <cfRule type="expression" priority="166" dxfId="46">
      <formula>$AK$80=4</formula>
    </cfRule>
  </conditionalFormatting>
  <conditionalFormatting sqref="AE86:AF86">
    <cfRule type="expression" priority="165" dxfId="46">
      <formula>$AE$80=3</formula>
    </cfRule>
  </conditionalFormatting>
  <conditionalFormatting sqref="AG86:AH86">
    <cfRule type="expression" priority="164" dxfId="46">
      <formula>$AG$80=3</formula>
    </cfRule>
  </conditionalFormatting>
  <conditionalFormatting sqref="AI86:AJ86">
    <cfRule type="expression" priority="163" dxfId="46">
      <formula>$AI$80=3</formula>
    </cfRule>
  </conditionalFormatting>
  <conditionalFormatting sqref="AK86:AL86">
    <cfRule type="expression" priority="162" dxfId="46">
      <formula>$AK$80=3</formula>
    </cfRule>
  </conditionalFormatting>
  <conditionalFormatting sqref="AE85:AF85">
    <cfRule type="expression" priority="161" dxfId="46">
      <formula>$AE$80=2</formula>
    </cfRule>
  </conditionalFormatting>
  <conditionalFormatting sqref="AG85:AH85">
    <cfRule type="expression" priority="160" dxfId="46">
      <formula>$AG$80=2</formula>
    </cfRule>
  </conditionalFormatting>
  <conditionalFormatting sqref="AI85:AJ85">
    <cfRule type="expression" priority="159" dxfId="46">
      <formula>$AI$80=2</formula>
    </cfRule>
  </conditionalFormatting>
  <conditionalFormatting sqref="AK85:AL85">
    <cfRule type="expression" priority="158" dxfId="46">
      <formula>$AK$80=2</formula>
    </cfRule>
  </conditionalFormatting>
  <conditionalFormatting sqref="AE84:AF84">
    <cfRule type="expression" priority="157" dxfId="46">
      <formula>$AE$80=1</formula>
    </cfRule>
  </conditionalFormatting>
  <conditionalFormatting sqref="AG84:AH84">
    <cfRule type="expression" priority="156" dxfId="46">
      <formula>$AG$80=1</formula>
    </cfRule>
  </conditionalFormatting>
  <conditionalFormatting sqref="AI84:AJ84">
    <cfRule type="expression" priority="155" dxfId="46">
      <formula>$AI$80=1</formula>
    </cfRule>
  </conditionalFormatting>
  <conditionalFormatting sqref="AK84:AL84">
    <cfRule type="expression" priority="154" dxfId="46">
      <formula>$AK$80=1</formula>
    </cfRule>
  </conditionalFormatting>
  <conditionalFormatting sqref="AI58:AJ58">
    <cfRule type="cellIs" priority="153" operator="between" dxfId="46">
      <formula>1</formula>
      <formula>4</formula>
    </cfRule>
  </conditionalFormatting>
  <conditionalFormatting sqref="AE58:AH58">
    <cfRule type="cellIs" priority="152" operator="between" dxfId="46">
      <formula>1</formula>
      <formula>4</formula>
    </cfRule>
  </conditionalFormatting>
  <conditionalFormatting sqref="AK58:AL58">
    <cfRule type="cellIs" priority="151" operator="between" dxfId="46">
      <formula>1</formula>
      <formula>4</formula>
    </cfRule>
  </conditionalFormatting>
  <conditionalFormatting sqref="AI69:AJ69">
    <cfRule type="cellIs" priority="150" operator="between" dxfId="46">
      <formula>1</formula>
      <formula>4</formula>
    </cfRule>
  </conditionalFormatting>
  <conditionalFormatting sqref="AE69:AH69">
    <cfRule type="cellIs" priority="149" operator="between" dxfId="46">
      <formula>1</formula>
      <formula>4</formula>
    </cfRule>
  </conditionalFormatting>
  <conditionalFormatting sqref="AK69:AL69">
    <cfRule type="cellIs" priority="148" operator="between" dxfId="46">
      <formula>1</formula>
      <formula>4</formula>
    </cfRule>
  </conditionalFormatting>
  <conditionalFormatting sqref="AI80:AJ80">
    <cfRule type="cellIs" priority="147" operator="between" dxfId="46">
      <formula>1</formula>
      <formula>4</formula>
    </cfRule>
  </conditionalFormatting>
  <conditionalFormatting sqref="AE80:AH80">
    <cfRule type="cellIs" priority="146" operator="between" dxfId="46">
      <formula>1</formula>
      <formula>4</formula>
    </cfRule>
  </conditionalFormatting>
  <conditionalFormatting sqref="AK80:AL80">
    <cfRule type="cellIs" priority="145" operator="between" dxfId="46">
      <formula>1</formula>
      <formula>4</formula>
    </cfRule>
  </conditionalFormatting>
  <conditionalFormatting sqref="AN65:AO65">
    <cfRule type="expression" priority="96" dxfId="46">
      <formula>$AE$58=4</formula>
    </cfRule>
  </conditionalFormatting>
  <conditionalFormatting sqref="AP65:AQ65">
    <cfRule type="expression" priority="95" dxfId="46">
      <formula>$AG$58=4</formula>
    </cfRule>
  </conditionalFormatting>
  <conditionalFormatting sqref="AR65:AS65">
    <cfRule type="expression" priority="94" dxfId="46">
      <formula>$AI$58=4</formula>
    </cfRule>
  </conditionalFormatting>
  <conditionalFormatting sqref="AT65:AU65">
    <cfRule type="expression" priority="93" dxfId="46">
      <formula>$AK$58=4</formula>
    </cfRule>
  </conditionalFormatting>
  <conditionalFormatting sqref="AN64:AO64">
    <cfRule type="expression" priority="92" dxfId="46">
      <formula>$AE$58=3</formula>
    </cfRule>
  </conditionalFormatting>
  <conditionalFormatting sqref="AP64:AQ64">
    <cfRule type="expression" priority="91" dxfId="46">
      <formula>$AG$58=3</formula>
    </cfRule>
  </conditionalFormatting>
  <conditionalFormatting sqref="AR64:AS64">
    <cfRule type="expression" priority="90" dxfId="46">
      <formula>$AI$58=3</formula>
    </cfRule>
  </conditionalFormatting>
  <conditionalFormatting sqref="AT64:AU64">
    <cfRule type="expression" priority="89" dxfId="46">
      <formula>$AK$58=3</formula>
    </cfRule>
  </conditionalFormatting>
  <conditionalFormatting sqref="AN63:AO63">
    <cfRule type="expression" priority="88" dxfId="46">
      <formula>$AE$58=2</formula>
    </cfRule>
  </conditionalFormatting>
  <conditionalFormatting sqref="AP63:AQ63">
    <cfRule type="expression" priority="87" dxfId="46">
      <formula>$AG$58=2</formula>
    </cfRule>
  </conditionalFormatting>
  <conditionalFormatting sqref="AR63:AS63">
    <cfRule type="expression" priority="86" dxfId="46">
      <formula>$AI$58=2</formula>
    </cfRule>
  </conditionalFormatting>
  <conditionalFormatting sqref="AT63:AU63">
    <cfRule type="expression" priority="85" dxfId="46">
      <formula>$AK$58=2</formula>
    </cfRule>
  </conditionalFormatting>
  <conditionalFormatting sqref="AN62:AO62">
    <cfRule type="expression" priority="84" dxfId="46">
      <formula>$AE$58=1</formula>
    </cfRule>
  </conditionalFormatting>
  <conditionalFormatting sqref="AP62:AQ62">
    <cfRule type="expression" priority="83" dxfId="46">
      <formula>$AG$58=1</formula>
    </cfRule>
  </conditionalFormatting>
  <conditionalFormatting sqref="AR62:AS62">
    <cfRule type="expression" priority="82" dxfId="46">
      <formula>$AI$58=1</formula>
    </cfRule>
  </conditionalFormatting>
  <conditionalFormatting sqref="AT62:AU62">
    <cfRule type="expression" priority="81" dxfId="46">
      <formula>$AK$58=1</formula>
    </cfRule>
  </conditionalFormatting>
  <conditionalFormatting sqref="AN74:AO74">
    <cfRule type="expression" priority="80" dxfId="46">
      <formula>$AE$69=2</formula>
    </cfRule>
  </conditionalFormatting>
  <conditionalFormatting sqref="AN73:AO73">
    <cfRule type="expression" priority="79" dxfId="46">
      <formula>$AE$69=1</formula>
    </cfRule>
  </conditionalFormatting>
  <conditionalFormatting sqref="AN75:AO75">
    <cfRule type="expression" priority="78" dxfId="46">
      <formula>$AE$69=3</formula>
    </cfRule>
  </conditionalFormatting>
  <conditionalFormatting sqref="AN76:AO76">
    <cfRule type="expression" priority="77" dxfId="46">
      <formula>$AE$69=4</formula>
    </cfRule>
  </conditionalFormatting>
  <conditionalFormatting sqref="AP74:AQ74">
    <cfRule type="expression" priority="76" dxfId="46">
      <formula>$AG$69=2</formula>
    </cfRule>
  </conditionalFormatting>
  <conditionalFormatting sqref="AP73:AQ73">
    <cfRule type="expression" priority="75" dxfId="46">
      <formula>$AG$69=1</formula>
    </cfRule>
  </conditionalFormatting>
  <conditionalFormatting sqref="AP75:AQ75">
    <cfRule type="expression" priority="74" dxfId="46">
      <formula>$AG$69=3</formula>
    </cfRule>
  </conditionalFormatting>
  <conditionalFormatting sqref="AP76:AQ76">
    <cfRule type="expression" priority="73" dxfId="46">
      <formula>$AG$69=4</formula>
    </cfRule>
  </conditionalFormatting>
  <conditionalFormatting sqref="AR74:AS74">
    <cfRule type="expression" priority="72" dxfId="46">
      <formula>$AI$69=2</formula>
    </cfRule>
  </conditionalFormatting>
  <conditionalFormatting sqref="AR73:AS73">
    <cfRule type="expression" priority="71" dxfId="46">
      <formula>$AI$69=1</formula>
    </cfRule>
  </conditionalFormatting>
  <conditionalFormatting sqref="AR75:AS75">
    <cfRule type="expression" priority="70" dxfId="46">
      <formula>$AI$69=3</formula>
    </cfRule>
  </conditionalFormatting>
  <conditionalFormatting sqref="AR76:AS76">
    <cfRule type="expression" priority="69" dxfId="46">
      <formula>$AI$69=4</formula>
    </cfRule>
  </conditionalFormatting>
  <conditionalFormatting sqref="AT74:AU74">
    <cfRule type="expression" priority="68" dxfId="46">
      <formula>$AK$69=2</formula>
    </cfRule>
  </conditionalFormatting>
  <conditionalFormatting sqref="AT73:AU73">
    <cfRule type="expression" priority="67" dxfId="46">
      <formula>$AK$69=1</formula>
    </cfRule>
  </conditionalFormatting>
  <conditionalFormatting sqref="AT75:AU75">
    <cfRule type="expression" priority="66" dxfId="46">
      <formula>$AK$69=3</formula>
    </cfRule>
  </conditionalFormatting>
  <conditionalFormatting sqref="AT76:AU76">
    <cfRule type="expression" priority="65" dxfId="46">
      <formula>$AK$69=4</formula>
    </cfRule>
  </conditionalFormatting>
  <conditionalFormatting sqref="AN85:AO85">
    <cfRule type="expression" priority="64" dxfId="46">
      <formula>$AE$80=2</formula>
    </cfRule>
  </conditionalFormatting>
  <conditionalFormatting sqref="AN84:AO84">
    <cfRule type="expression" priority="63" dxfId="46">
      <formula>$AE$80=1</formula>
    </cfRule>
  </conditionalFormatting>
  <conditionalFormatting sqref="AN86:AO86">
    <cfRule type="expression" priority="62" dxfId="46">
      <formula>$AE$80=3</formula>
    </cfRule>
  </conditionalFormatting>
  <conditionalFormatting sqref="AN87:AO87">
    <cfRule type="expression" priority="61" dxfId="46">
      <formula>$AE$80=4</formula>
    </cfRule>
  </conditionalFormatting>
  <conditionalFormatting sqref="AP85:AQ85">
    <cfRule type="expression" priority="60" dxfId="46">
      <formula>$AG$80=2</formula>
    </cfRule>
  </conditionalFormatting>
  <conditionalFormatting sqref="AP84:AQ84">
    <cfRule type="expression" priority="59" dxfId="46">
      <formula>$AG$80=1</formula>
    </cfRule>
  </conditionalFormatting>
  <conditionalFormatting sqref="AP86:AQ86">
    <cfRule type="expression" priority="58" dxfId="46">
      <formula>$AG$80=3</formula>
    </cfRule>
  </conditionalFormatting>
  <conditionalFormatting sqref="AP87:AQ87">
    <cfRule type="expression" priority="57" dxfId="46">
      <formula>$AG$80=4</formula>
    </cfRule>
  </conditionalFormatting>
  <conditionalFormatting sqref="AR85:AS85">
    <cfRule type="expression" priority="56" dxfId="46">
      <formula>$AI$80=2</formula>
    </cfRule>
  </conditionalFormatting>
  <conditionalFormatting sqref="AR84:AS84">
    <cfRule type="expression" priority="55" dxfId="46">
      <formula>$AI$80=1</formula>
    </cfRule>
  </conditionalFormatting>
  <conditionalFormatting sqref="AR86:AS86">
    <cfRule type="expression" priority="54" dxfId="46">
      <formula>$AI$80=3</formula>
    </cfRule>
  </conditionalFormatting>
  <conditionalFormatting sqref="AR87:AS87">
    <cfRule type="expression" priority="53" dxfId="46">
      <formula>$AI$80=4</formula>
    </cfRule>
  </conditionalFormatting>
  <conditionalFormatting sqref="AT85:AU85">
    <cfRule type="expression" priority="52" dxfId="46">
      <formula>$AK$80=2</formula>
    </cfRule>
  </conditionalFormatting>
  <conditionalFormatting sqref="AT84:AU84">
    <cfRule type="expression" priority="51" dxfId="46">
      <formula>$AK$80=1</formula>
    </cfRule>
  </conditionalFormatting>
  <conditionalFormatting sqref="AT86:AU86">
    <cfRule type="expression" priority="50" dxfId="46">
      <formula>$AK$80=3</formula>
    </cfRule>
  </conditionalFormatting>
  <conditionalFormatting sqref="AT87:AU87">
    <cfRule type="expression" priority="49" dxfId="46">
      <formula>$AK$80=4</formula>
    </cfRule>
  </conditionalFormatting>
  <conditionalFormatting sqref="L38:M41">
    <cfRule type="expression" priority="47" dxfId="45">
      <formula>$CD$20&gt;3</formula>
    </cfRule>
    <cfRule type="expression" priority="48" dxfId="44">
      <formula>$CD$20&lt;0.1</formula>
    </cfRule>
  </conditionalFormatting>
  <conditionalFormatting sqref="B67:H67">
    <cfRule type="expression" priority="46" dxfId="0">
      <formula>" =MOD(ROW(),8)=0"</formula>
    </cfRule>
  </conditionalFormatting>
  <conditionalFormatting sqref="B69:C69 E69 G69">
    <cfRule type="expression" priority="45" dxfId="0">
      <formula>" =MOD(ROW(),8)=0"</formula>
    </cfRule>
  </conditionalFormatting>
  <conditionalFormatting sqref="B71:C71 E71 G71">
    <cfRule type="expression" priority="44" dxfId="0">
      <formula>" =MOD(ROW(),8)=0"</formula>
    </cfRule>
  </conditionalFormatting>
  <conditionalFormatting sqref="B73:C73 E73 G73">
    <cfRule type="expression" priority="43" dxfId="0">
      <formula>" =MOD(ROW(),8)=0"</formula>
    </cfRule>
  </conditionalFormatting>
  <conditionalFormatting sqref="L67:M67 O67 Q67:R67">
    <cfRule type="expression" priority="42" dxfId="0">
      <formula>" =MOD(ROW(),8)=0"</formula>
    </cfRule>
  </conditionalFormatting>
  <conditionalFormatting sqref="L69:M69 O69 Q69:R69">
    <cfRule type="expression" priority="41" dxfId="0">
      <formula>" =MOD(ROW(),8)=0"</formula>
    </cfRule>
  </conditionalFormatting>
  <conditionalFormatting sqref="L71:M71 O71 Q71:R71">
    <cfRule type="expression" priority="40" dxfId="0">
      <formula>" =MOD(ROW(),8)=0"</formula>
    </cfRule>
  </conditionalFormatting>
  <conditionalFormatting sqref="L73:M73 O73 Q73:R73">
    <cfRule type="expression" priority="39" dxfId="0">
      <formula>" =MOD(ROW(),8)=0"</formula>
    </cfRule>
  </conditionalFormatting>
  <conditionalFormatting sqref="B75:C75 E75 G75:H75">
    <cfRule type="expression" priority="38" dxfId="0">
      <formula>" =MOD(ROW(),8)=0"</formula>
    </cfRule>
  </conditionalFormatting>
  <conditionalFormatting sqref="B77:C77 E77 G77">
    <cfRule type="expression" priority="37" dxfId="0">
      <formula>" =MOD(ROW(),8)=0"</formula>
    </cfRule>
  </conditionalFormatting>
  <conditionalFormatting sqref="B79:C79 E79 G79">
    <cfRule type="expression" priority="36" dxfId="0">
      <formula>" =MOD(ROW(),8)=0"</formula>
    </cfRule>
  </conditionalFormatting>
  <conditionalFormatting sqref="B81:C81 E81 G81">
    <cfRule type="expression" priority="35" dxfId="0">
      <formula>" =MOD(ROW(),8)=0"</formula>
    </cfRule>
  </conditionalFormatting>
  <conditionalFormatting sqref="L75:M75 O75 Q75:R75">
    <cfRule type="expression" priority="34" dxfId="0">
      <formula>" =MOD(ROW(),8)=0"</formula>
    </cfRule>
  </conditionalFormatting>
  <conditionalFormatting sqref="L77:M77 O77 Q77:R77">
    <cfRule type="expression" priority="33" dxfId="0">
      <formula>" =MOD(ROW(),8)=0"</formula>
    </cfRule>
  </conditionalFormatting>
  <conditionalFormatting sqref="L79:M79 O79 Q79:R79">
    <cfRule type="expression" priority="32" dxfId="0">
      <formula>" =MOD(ROW(),8)=0"</formula>
    </cfRule>
  </conditionalFormatting>
  <conditionalFormatting sqref="L81:M81 O81 Q81:R81">
    <cfRule type="expression" priority="31" dxfId="0">
      <formula>" =MOD(ROW(),8)=0"</formula>
    </cfRule>
  </conditionalFormatting>
  <conditionalFormatting sqref="D69">
    <cfRule type="expression" priority="30" dxfId="0">
      <formula>" =MOD(ROW(),8)=0"</formula>
    </cfRule>
  </conditionalFormatting>
  <conditionalFormatting sqref="D71">
    <cfRule type="expression" priority="29" dxfId="0">
      <formula>" =MOD(ROW(),8)=0"</formula>
    </cfRule>
  </conditionalFormatting>
  <conditionalFormatting sqref="D73">
    <cfRule type="expression" priority="28" dxfId="0">
      <formula>" =MOD(ROW(),8)=0"</formula>
    </cfRule>
  </conditionalFormatting>
  <conditionalFormatting sqref="D75">
    <cfRule type="expression" priority="27" dxfId="0">
      <formula>" =MOD(ROW(),8)=0"</formula>
    </cfRule>
  </conditionalFormatting>
  <conditionalFormatting sqref="D77">
    <cfRule type="expression" priority="26" dxfId="0">
      <formula>" =MOD(ROW(),8)=0"</formula>
    </cfRule>
  </conditionalFormatting>
  <conditionalFormatting sqref="D79">
    <cfRule type="expression" priority="25" dxfId="0">
      <formula>" =MOD(ROW(),8)=0"</formula>
    </cfRule>
  </conditionalFormatting>
  <conditionalFormatting sqref="D81">
    <cfRule type="expression" priority="24" dxfId="0">
      <formula>" =MOD(ROW(),8)=0"</formula>
    </cfRule>
  </conditionalFormatting>
  <conditionalFormatting sqref="N67">
    <cfRule type="expression" priority="23" dxfId="0">
      <formula>" =MOD(ROW(),8)=0"</formula>
    </cfRule>
  </conditionalFormatting>
  <conditionalFormatting sqref="N69">
    <cfRule type="expression" priority="22" dxfId="0">
      <formula>" =MOD(ROW(),8)=0"</formula>
    </cfRule>
  </conditionalFormatting>
  <conditionalFormatting sqref="N71">
    <cfRule type="expression" priority="21" dxfId="0">
      <formula>" =MOD(ROW(),8)=0"</formula>
    </cfRule>
  </conditionalFormatting>
  <conditionalFormatting sqref="N73">
    <cfRule type="expression" priority="20" dxfId="0">
      <formula>" =MOD(ROW(),8)=0"</formula>
    </cfRule>
  </conditionalFormatting>
  <conditionalFormatting sqref="N75">
    <cfRule type="expression" priority="19" dxfId="0">
      <formula>" =MOD(ROW(),8)=0"</formula>
    </cfRule>
  </conditionalFormatting>
  <conditionalFormatting sqref="N77">
    <cfRule type="expression" priority="18" dxfId="0">
      <formula>" =MOD(ROW(),8)=0"</formula>
    </cfRule>
  </conditionalFormatting>
  <conditionalFormatting sqref="N79">
    <cfRule type="expression" priority="17" dxfId="0">
      <formula>" =MOD(ROW(),8)=0"</formula>
    </cfRule>
  </conditionalFormatting>
  <conditionalFormatting sqref="N81">
    <cfRule type="expression" priority="16" dxfId="0">
      <formula>" =MOD(ROW(),8)=0"</formula>
    </cfRule>
  </conditionalFormatting>
  <conditionalFormatting sqref="F69">
    <cfRule type="expression" priority="15" dxfId="0">
      <formula>" =MOD(ROW(),8)=0"</formula>
    </cfRule>
  </conditionalFormatting>
  <conditionalFormatting sqref="F71">
    <cfRule type="expression" priority="14" dxfId="0">
      <formula>" =MOD(ROW(),8)=0"</formula>
    </cfRule>
  </conditionalFormatting>
  <conditionalFormatting sqref="F73">
    <cfRule type="expression" priority="13" dxfId="0">
      <formula>" =MOD(ROW(),8)=0"</formula>
    </cfRule>
  </conditionalFormatting>
  <conditionalFormatting sqref="F75">
    <cfRule type="expression" priority="12" dxfId="0">
      <formula>" =MOD(ROW(),8)=0"</formula>
    </cfRule>
  </conditionalFormatting>
  <conditionalFormatting sqref="F77">
    <cfRule type="expression" priority="11" dxfId="0">
      <formula>" =MOD(ROW(),8)=0"</formula>
    </cfRule>
  </conditionalFormatting>
  <conditionalFormatting sqref="F79">
    <cfRule type="expression" priority="10" dxfId="0">
      <formula>" =MOD(ROW(),8)=0"</formula>
    </cfRule>
  </conditionalFormatting>
  <conditionalFormatting sqref="F81">
    <cfRule type="expression" priority="9" dxfId="0">
      <formula>" =MOD(ROW(),8)=0"</formula>
    </cfRule>
  </conditionalFormatting>
  <conditionalFormatting sqref="P67">
    <cfRule type="expression" priority="8" dxfId="0">
      <formula>" =MOD(ROW(),8)=0"</formula>
    </cfRule>
  </conditionalFormatting>
  <conditionalFormatting sqref="P69">
    <cfRule type="expression" priority="7" dxfId="0">
      <formula>" =MOD(ROW(),8)=0"</formula>
    </cfRule>
  </conditionalFormatting>
  <conditionalFormatting sqref="P71">
    <cfRule type="expression" priority="6" dxfId="0">
      <formula>" =MOD(ROW(),8)=0"</formula>
    </cfRule>
  </conditionalFormatting>
  <conditionalFormatting sqref="P73">
    <cfRule type="expression" priority="5" dxfId="0">
      <formula>" =MOD(ROW(),8)=0"</formula>
    </cfRule>
  </conditionalFormatting>
  <conditionalFormatting sqref="P75">
    <cfRule type="expression" priority="4" dxfId="0">
      <formula>" =MOD(ROW(),8)=0"</formula>
    </cfRule>
  </conditionalFormatting>
  <conditionalFormatting sqref="P77">
    <cfRule type="expression" priority="3" dxfId="0">
      <formula>" =MOD(ROW(),8)=0"</formula>
    </cfRule>
  </conditionalFormatting>
  <conditionalFormatting sqref="P79">
    <cfRule type="expression" priority="2" dxfId="0">
      <formula>" =MOD(ROW(),8)=0"</formula>
    </cfRule>
  </conditionalFormatting>
  <conditionalFormatting sqref="P81">
    <cfRule type="expression" priority="1" dxfId="0">
      <formula>" =MOD(ROW(),8)=0"</formula>
    </cfRule>
  </conditionalFormatting>
  <pageMargins left="0.7" right="0.7" top="0.75" bottom="0.75" header="0.3" footer="0.3"/>
  <pageSetup orientation="portrait"/>
</worksheet>
</file>

<file path=xl/worksheets/sheet10.xml><?xml version="1.0" encoding="utf-8"?>
<worksheet xmlns="http://schemas.openxmlformats.org/spreadsheetml/2006/main">
  <sheetPr codeName="Sheet11">
    <outlinePr summaryBelow="1" summaryRight="1"/>
    <pageSetUpPr/>
  </sheetPr>
  <dimension ref="A2:CD155"/>
  <sheetViews>
    <sheetView topLeftCell="A37" zoomScaleNormal="100" workbookViewId="0">
      <selection activeCell="K58" sqref="K58"/>
    </sheetView>
  </sheetViews>
  <sheetFormatPr baseColWidth="8" defaultColWidth="9.109375" defaultRowHeight="14.4"/>
  <cols>
    <col width="8.33203125" customWidth="1" style="613" min="1" max="1"/>
    <col width="8.5546875" customWidth="1" style="613" min="2" max="2"/>
    <col width="4.6640625" customWidth="1" style="613" min="3" max="3"/>
    <col width="8.5546875" customWidth="1" style="613" min="4" max="4"/>
    <col width="7.6640625" customWidth="1" style="613" min="5" max="6"/>
    <col width="9.6640625" customWidth="1" style="613" min="7" max="7"/>
    <col width="7.6640625" customWidth="1" style="613" min="8" max="14"/>
    <col width="8.5546875" customWidth="1" style="613" min="15" max="15"/>
    <col width="6.109375" customWidth="1" style="613" min="16" max="16"/>
    <col width="9.6640625" customWidth="1" style="613" min="17" max="17"/>
    <col width="7.6640625" customWidth="1" style="613" min="18" max="18"/>
    <col width="8.5546875" customWidth="1" style="613" min="19" max="19"/>
    <col width="6.6640625" customWidth="1" style="613" min="20" max="20"/>
    <col width="7.6640625" customWidth="1" style="613" min="21" max="21"/>
    <col width="4.6640625" customWidth="1" style="613" min="22" max="22"/>
    <col width="8.5546875" customWidth="1" style="613" min="23" max="23"/>
    <col width="6.6640625" customWidth="1" style="613" min="24" max="24"/>
    <col width="3.5546875" customWidth="1" style="689" min="25" max="25"/>
    <col width="9.6640625" customWidth="1" style="689" min="26" max="26"/>
    <col width="9.109375" customWidth="1" style="693" min="27" max="28"/>
    <col width="7.6640625" customWidth="1" style="693" min="29" max="46"/>
    <col width="12.88671875" customWidth="1" style="693" min="47" max="47"/>
    <col width="9.33203125" customWidth="1" style="693" min="48" max="48"/>
    <col width="9.109375" customWidth="1" style="693" min="49" max="77"/>
    <col width="9.109375" customWidth="1" style="613" min="78" max="79"/>
    <col width="9.109375" customWidth="1" style="613" min="80" max="16384"/>
  </cols>
  <sheetData>
    <row r="1" ht="8.25" customHeight="1" s="613"/>
    <row r="2">
      <c r="B2" s="347" t="inlineStr">
        <is>
          <t>Well:</t>
        </is>
      </c>
      <c r="C2" s="715">
        <f>'SHL Section'!$C$2:$G$2</f>
        <v/>
      </c>
      <c r="D2" s="677" t="n"/>
      <c r="E2" s="677" t="n"/>
      <c r="F2" s="677" t="n"/>
      <c r="G2" s="677" t="n"/>
      <c r="AA2" s="689" t="n"/>
      <c r="AB2" s="689" t="n"/>
      <c r="BZ2" s="693" t="n"/>
      <c r="CA2" s="693" t="n"/>
    </row>
    <row r="3">
      <c r="B3" s="347" t="inlineStr">
        <is>
          <t>API:</t>
        </is>
      </c>
      <c r="C3" s="716">
        <f>'SHL Section'!$C$3:$G$3</f>
        <v/>
      </c>
      <c r="D3" s="677" t="n"/>
      <c r="E3" s="677" t="n"/>
      <c r="F3" s="677" t="n"/>
      <c r="G3" s="677" t="n"/>
      <c r="BZ3" s="693" t="n"/>
      <c r="CA3" s="693" t="n"/>
    </row>
    <row r="4" ht="7.5" customHeight="1" s="613" thickBot="1">
      <c r="S4" s="689" t="n"/>
      <c r="T4" s="693" t="n"/>
      <c r="U4" s="693" t="n"/>
      <c r="V4" s="693" t="n"/>
      <c r="BZ4" s="693" t="n"/>
      <c r="CA4" s="693" t="n"/>
    </row>
    <row r="5" ht="26.25" customHeight="1" s="613">
      <c r="B5" s="417" t="n"/>
      <c r="C5" s="414" t="n"/>
      <c r="D5" s="416" t="inlineStr">
        <is>
          <t>Measured</t>
        </is>
      </c>
      <c r="E5" s="710" t="inlineStr">
        <is>
          <t>Directional Data</t>
        </is>
      </c>
      <c r="F5" s="679" t="n"/>
      <c r="G5" s="679" t="n"/>
      <c r="H5" s="711" t="n"/>
      <c r="I5" s="710" t="inlineStr">
        <is>
          <t>Section Line Footages</t>
        </is>
      </c>
      <c r="J5" s="679" t="n"/>
      <c r="K5" s="679" t="n"/>
      <c r="L5" s="711" t="n"/>
      <c r="M5" s="653" t="n"/>
      <c r="N5" s="653" t="n"/>
      <c r="O5" s="653" t="n"/>
      <c r="P5" s="653" t="n"/>
      <c r="Q5" s="653" t="n"/>
      <c r="R5" s="653" t="n"/>
      <c r="S5" s="413" t="n"/>
      <c r="T5" s="717" t="inlineStr">
        <is>
          <t>UTM</t>
        </is>
      </c>
      <c r="U5" s="679" t="n"/>
      <c r="V5" s="680" t="n"/>
      <c r="BZ5" s="693" t="n"/>
      <c r="CA5" s="693" t="n"/>
    </row>
    <row r="6" ht="15" customHeight="1" s="613">
      <c r="B6" s="705" t="n"/>
      <c r="C6" s="638" t="n"/>
      <c r="D6" s="412" t="inlineStr">
        <is>
          <t>Depth</t>
        </is>
      </c>
      <c r="E6" s="708" t="inlineStr">
        <is>
          <t>N-S</t>
        </is>
      </c>
      <c r="F6" s="616" t="n"/>
      <c r="G6" s="709" t="inlineStr">
        <is>
          <t>E-W</t>
        </is>
      </c>
      <c r="H6" s="617" t="n"/>
      <c r="I6" s="708" t="inlineStr">
        <is>
          <t>FNL-FSL</t>
        </is>
      </c>
      <c r="J6" s="616" t="n"/>
      <c r="K6" s="709" t="inlineStr">
        <is>
          <t>FEL-FWL</t>
        </is>
      </c>
      <c r="L6" s="617" t="n"/>
      <c r="M6" s="451" t="inlineStr">
        <is>
          <t>Qtr-Qtr</t>
        </is>
      </c>
      <c r="N6" s="451" t="inlineStr">
        <is>
          <t>Section</t>
        </is>
      </c>
      <c r="O6" s="451" t="inlineStr">
        <is>
          <t>Township</t>
        </is>
      </c>
      <c r="P6" s="451" t="inlineStr">
        <is>
          <t>T-Dir.</t>
        </is>
      </c>
      <c r="Q6" s="451" t="inlineStr">
        <is>
          <t>Range</t>
        </is>
      </c>
      <c r="R6" s="451" t="inlineStr">
        <is>
          <t>R-Dir.</t>
        </is>
      </c>
      <c r="S6" s="451" t="inlineStr">
        <is>
          <t>Meridian</t>
        </is>
      </c>
      <c r="T6" s="412" t="inlineStr">
        <is>
          <t>Easting</t>
        </is>
      </c>
      <c r="U6" s="451" t="inlineStr">
        <is>
          <t>Northing</t>
        </is>
      </c>
      <c r="V6" s="411" t="inlineStr">
        <is>
          <t>Zone</t>
        </is>
      </c>
      <c r="BZ6" s="693" t="n"/>
      <c r="CA6" s="693" t="n"/>
    </row>
    <row r="7">
      <c r="B7" s="703" t="inlineStr">
        <is>
          <t>Surface</t>
        </is>
      </c>
      <c r="C7" s="704" t="n"/>
      <c r="D7" s="445" t="n">
        <v>0</v>
      </c>
      <c r="E7" s="445" t="n"/>
      <c r="F7" s="442" t="n"/>
      <c r="G7" s="444" t="n"/>
      <c r="H7" s="442" t="n"/>
      <c r="I7" s="445">
        <f>'SHL Section'!$I$7</f>
        <v/>
      </c>
      <c r="J7" s="442">
        <f>IF('SHL Section'!$J$7=1,"FNL","FSL")</f>
        <v/>
      </c>
      <c r="K7" s="444">
        <f>'SHL Section'!$K$7</f>
        <v/>
      </c>
      <c r="L7" s="443">
        <f>IF('SHL Section'!$L$7=1,"FEL","FWL")</f>
        <v/>
      </c>
      <c r="M7" s="406">
        <f>'SHL Section'!$M$7</f>
        <v/>
      </c>
      <c r="N7" s="406">
        <f>'SHL Section'!$N$7</f>
        <v/>
      </c>
      <c r="O7" s="442">
        <f>'SHL Section'!$O$7</f>
        <v/>
      </c>
      <c r="P7" s="442">
        <f>IF('SHL Section'!$P$7=1,"N","S")</f>
        <v/>
      </c>
      <c r="Q7" s="442">
        <f>'SHL Section'!$Q$7</f>
        <v/>
      </c>
      <c r="R7" s="442">
        <f>IF('SHL Section'!$R$7=1,"E","W")</f>
        <v/>
      </c>
      <c r="S7" s="442">
        <f>IF('SHL Section'!$S$7=1,"Salt Lake","Uintah")</f>
        <v/>
      </c>
      <c r="T7" s="441">
        <f>'SHL Section'!$T$7</f>
        <v/>
      </c>
      <c r="U7" s="440">
        <f>'SHL Section'!$U$7</f>
        <v/>
      </c>
      <c r="V7" s="439">
        <f>'SHL Section'!$V$7</f>
        <v/>
      </c>
      <c r="AD7" s="689" t="n"/>
      <c r="BZ7" s="693" t="n"/>
      <c r="CA7" s="693" t="n"/>
    </row>
    <row r="8">
      <c r="B8" s="608" t="inlineStr">
        <is>
          <t>K.O. Point</t>
        </is>
      </c>
      <c r="C8" s="609" t="n"/>
      <c r="D8" s="438">
        <f>'SHL Section'!$D$8</f>
        <v/>
      </c>
      <c r="E8" s="438">
        <f>'SHL Section'!$AI$8</f>
        <v/>
      </c>
      <c r="F8" s="390">
        <f>IF('SHL Section'!$AJ$8=1,"N","S")</f>
        <v/>
      </c>
      <c r="G8" s="437">
        <f>'SHL Section'!$AK$8</f>
        <v/>
      </c>
      <c r="H8" s="390">
        <f>IF('SHL Section'!$AL$8=1,"E","W")</f>
        <v/>
      </c>
      <c r="I8" s="438">
        <f>IF(ISNUMBER($AE$66),$AE$66,IF(ISNUMBER($AG$66),$AG$66,IF(ISNUMBER($AI$66),$AI$66,IF(ISNUMBER($AK$66),$AK$66,""))))</f>
        <v/>
      </c>
      <c r="J8" s="390">
        <f>IF(ISNUMBER($AE$66),$AE$61,IF(ISNUMBER($AG$66),$AG$61,IF(ISNUMBER($AI$66),$AI$61,IF(ISNUMBER($AK$66),$AK$61,""))))</f>
        <v/>
      </c>
      <c r="K8" s="437">
        <f>IF(ISNUMBER($AF$66),$AF$66,IF(ISNUMBER($AH$66),$AH$66,IF(ISNUMBER($AJ$66),$AJ$66,IF(ISNUMBER($AL$66),$AL$66,""))))</f>
        <v/>
      </c>
      <c r="L8" s="391">
        <f>IF(ISNUMBER($AF$66),$AF$61,IF(ISNUMBER($AH$66),$AH$61,IF(ISNUMBER($AJ$66),$AJ$61,IF(ISNUMBER($AL$66),$AL$61,""))))</f>
        <v/>
      </c>
      <c r="M8" s="390">
        <f>IF(OR(ISNUMBER($AE$58),ISNUMBER($AG$58),ISNUMBER($AI$58),ISNUMBER($AK$58)),VLOOKUP(MAX($AE$58:$AL$58),$AV$56:$AZ$59,1+IF(ISNUMBER($AE$58),$AE$46,IF(ISNUMBER($AG$58),$AG$46,IF(ISNUMBER($AI$58),$AI$46,IF(ISNUMBER($AK$58),$AK$46,"")))),FALSE),"")</f>
        <v/>
      </c>
      <c r="N8" s="390">
        <f>'SHL Section'!$N$8</f>
        <v/>
      </c>
      <c r="O8" s="390">
        <f>'SHL Section'!$O$8</f>
        <v/>
      </c>
      <c r="P8" s="390">
        <f>'SHL Section'!$P$8</f>
        <v/>
      </c>
      <c r="Q8" s="390">
        <f>'SHL Section'!$Q$8</f>
        <v/>
      </c>
      <c r="R8" s="390">
        <f>'SHL Section'!$R$8</f>
        <v/>
      </c>
      <c r="S8" s="390">
        <f>IF('SHL Section'!$S$8=1,"Salt Lake","Uintah")</f>
        <v/>
      </c>
      <c r="T8" s="388">
        <f>IF($H8=1,$T$7+$G8/3.28084,$T$7-$G8/3.28084)</f>
        <v/>
      </c>
      <c r="U8" s="437">
        <f>IF($F8=1,$U$7+$E8/3.28084,$U$7-$E8/3.28084)</f>
        <v/>
      </c>
      <c r="V8" s="436">
        <f>$V$7</f>
        <v/>
      </c>
      <c r="AD8" s="689" t="n"/>
      <c r="BZ8" s="693" t="n"/>
      <c r="CA8" s="693" t="n"/>
    </row>
    <row r="9">
      <c r="B9" s="608" t="inlineStr">
        <is>
          <t>Prod. Interval</t>
        </is>
      </c>
      <c r="C9" s="609" t="n"/>
      <c r="D9" s="438">
        <f>'SHL Section'!$D$9</f>
        <v/>
      </c>
      <c r="E9" s="438">
        <f>'SHL Section'!$AI$9</f>
        <v/>
      </c>
      <c r="F9" s="390">
        <f>IF('SHL Section'!$AJ$9=1,"N","S")</f>
        <v/>
      </c>
      <c r="G9" s="437">
        <f>'SHL Section'!$AK$9</f>
        <v/>
      </c>
      <c r="H9" s="390">
        <f>IF('SHL Section'!$AL$9=1,"E","W")</f>
        <v/>
      </c>
      <c r="I9" s="438">
        <f>IF(ISNUMBER($AE$77),$AE$77,IF(ISNUMBER($AG$77),$AG$77,IF(ISNUMBER($AI$77),$AI$77,IF(ISNUMBER($AK$77),$AK$77,""))))</f>
        <v/>
      </c>
      <c r="J9" s="390">
        <f>IF(ISNUMBER($AE$77),$AE$72,IF(ISNUMBER($AG$77),$AG$72,IF(ISNUMBER($AI$77),$AI$72,IF(ISNUMBER($AK$77),$AK$72,""))))</f>
        <v/>
      </c>
      <c r="K9" s="437">
        <f>IF(ISNUMBER($AF$77),$AF$77,IF(ISNUMBER($AH$77),$AH$77,IF(ISNUMBER($AJ$77),$AJ$77,IF(ISNUMBER($AL$77),$AL$77,""))))</f>
        <v/>
      </c>
      <c r="L9" s="391">
        <f>IF(ISNUMBER($AF$77),$AF$72,IF(ISNUMBER($AH$77),$AH$72,IF(ISNUMBER($AJ$77),$AJ$72,IF(ISNUMBER($AL$77),$AL$72,""))))</f>
        <v/>
      </c>
      <c r="M9" s="390">
        <f>IF(OR(ISNUMBER($AE$69),ISNUMBER($AG$69),ISNUMBER($AI$69),ISNUMBER($AK$69)),VLOOKUP(MAX($AE$69:$AL$69),$AV$56:$AZ$59,1+IF(ISNUMBER($AE$69),$AE$46,IF(ISNUMBER($AG$69),$AG$46,IF(ISNUMBER($AI$69),$AI$46,IF(ISNUMBER($AK$69),$AK$46,"")))),FALSE),"")</f>
        <v/>
      </c>
      <c r="N9" s="390">
        <f>'SHL Section'!$N$9</f>
        <v/>
      </c>
      <c r="O9" s="390">
        <f>'SHL Section'!$O$9</f>
        <v/>
      </c>
      <c r="P9" s="390">
        <f>'SHL Section'!$P$9</f>
        <v/>
      </c>
      <c r="Q9" s="390">
        <f>'SHL Section'!$Q$9</f>
        <v/>
      </c>
      <c r="R9" s="390">
        <f>'SHL Section'!$R$9</f>
        <v/>
      </c>
      <c r="S9" s="390">
        <f>IF('SHL Section'!$S$9=1,"Salt Lake","Uintah")</f>
        <v/>
      </c>
      <c r="T9" s="388">
        <f>IF($H9=1,$T$7+$G9/3.28084,$T$7-$G9/3.28084)</f>
        <v/>
      </c>
      <c r="U9" s="437">
        <f>IF($F9=1,$U$7+$E9/3.28084,$U$7-$E9/3.28084)</f>
        <v/>
      </c>
      <c r="V9" s="436">
        <f>$V$7</f>
        <v/>
      </c>
      <c r="AD9" s="689" t="n"/>
      <c r="BZ9" s="693" t="n"/>
      <c r="CA9" s="693" t="n"/>
    </row>
    <row r="10" ht="15.75" customHeight="1" s="613" thickBot="1">
      <c r="B10" s="610" t="inlineStr">
        <is>
          <t>Total Depth</t>
        </is>
      </c>
      <c r="C10" s="611" t="n"/>
      <c r="D10" s="435">
        <f>'SHL Section'!$D$10</f>
        <v/>
      </c>
      <c r="E10" s="435">
        <f>'SHL Section'!$AI$10</f>
        <v/>
      </c>
      <c r="F10" s="382">
        <f>IF('SHL Section'!$AJ$10=1,"N","S")</f>
        <v/>
      </c>
      <c r="G10" s="434">
        <f>'SHL Section'!$AK$10</f>
        <v/>
      </c>
      <c r="H10" s="382">
        <f>IF('SHL Section'!$AL$10=1,"E","W")</f>
        <v/>
      </c>
      <c r="I10" s="435">
        <f>IF(ISNUMBER($AE$88),$AE$88,IF(ISNUMBER($AG$88),$AG$88,IF(ISNUMBER($AI$88),$AI$88,IF(ISNUMBER($AK$88),$AK$88,""))))</f>
        <v/>
      </c>
      <c r="J10" s="382">
        <f>IF(ISNUMBER($AE$88),$AE$83,IF(ISNUMBER($AG$88),$AG$83,IF(ISNUMBER($AI$88),$AI$83,IF(ISNUMBER($AK$88),$AK$83,""))))</f>
        <v/>
      </c>
      <c r="K10" s="434">
        <f>IF(ISNUMBER($AF$88),$AF$88,IF(ISNUMBER($AH$88),$AH$88,IF(ISNUMBER($AJ$88),$AJ$88,IF(ISNUMBER($AL$88),$AL$88,""))))</f>
        <v/>
      </c>
      <c r="L10" s="383">
        <f>IF(ISNUMBER($AF$88),$AF$83,IF(ISNUMBER($AH$88),$AH$83,IF(ISNUMBER($AJ$88),$AJ$83,IF(ISNUMBER($AL$88),$AL$83,""))))</f>
        <v/>
      </c>
      <c r="M10" s="382">
        <f>IF(OR(ISNUMBER($AE$80),ISNUMBER($AG$80),ISNUMBER($AI$80),ISNUMBER($AK$80)),VLOOKUP(MAX($AE$80:$AL$80),$AV$56:$AZ$59,1+IF(ISNUMBER($AE$80),$AE$46,IF(ISNUMBER($AG$80),$AG$46,IF(ISNUMBER($AI$80),$AI$46,IF(ISNUMBER($AK$80),$AK$46,"")))),FALSE),"")</f>
        <v/>
      </c>
      <c r="N10" s="382">
        <f>'SHL Section'!$N$10</f>
        <v/>
      </c>
      <c r="O10" s="382">
        <f>'SHL Section'!$O$10</f>
        <v/>
      </c>
      <c r="P10" s="382">
        <f>'SHL Section'!$P$10</f>
        <v/>
      </c>
      <c r="Q10" s="382">
        <f>'SHL Section'!$Q$10</f>
        <v/>
      </c>
      <c r="R10" s="382">
        <f>'SHL Section'!$R$10</f>
        <v/>
      </c>
      <c r="S10" s="382">
        <f>IF('SHL Section'!$S$10=1,"Salt Lake","Uintah")</f>
        <v/>
      </c>
      <c r="T10" s="380">
        <f>IF($H10=1,$T$7+$G10/3.28084,$T$7-$G10/3.28084)</f>
        <v/>
      </c>
      <c r="U10" s="434">
        <f>IF($F10=1,$U$7+$E10/3.28084,$U$7-$E10/3.28084)</f>
        <v/>
      </c>
      <c r="V10" s="433">
        <f>$V$7</f>
        <v/>
      </c>
      <c r="AD10" s="689" t="n"/>
      <c r="BZ10" s="693" t="n"/>
      <c r="CA10" s="693" t="n"/>
    </row>
    <row r="11">
      <c r="G11" s="376" t="n"/>
      <c r="H11" s="360" t="n"/>
      <c r="I11" s="360" t="n"/>
      <c r="J11" s="360" t="n"/>
      <c r="K11" s="360" t="n"/>
      <c r="L11" s="360" t="n"/>
      <c r="M11" s="360" t="n"/>
      <c r="N11" s="360" t="n"/>
      <c r="O11" s="360" t="n"/>
      <c r="P11" s="360" t="n"/>
      <c r="Q11" s="360" t="n"/>
      <c r="R11" s="360" t="n"/>
      <c r="S11" s="360" t="n"/>
      <c r="T11" s="360" t="n"/>
      <c r="U11" s="360" t="n"/>
      <c r="V11" s="360" t="n"/>
      <c r="W11" s="360" t="n"/>
      <c r="AD11" s="689" t="n"/>
      <c r="AE11" s="420" t="n"/>
      <c r="AF11" s="360" t="n"/>
      <c r="BZ11" s="693" t="n"/>
      <c r="CA11" s="693" t="n"/>
      <c r="CB11" s="693" t="n"/>
      <c r="CC11" s="693" t="n"/>
    </row>
    <row r="12">
      <c r="B12" s="374" t="inlineStr">
        <is>
          <t xml:space="preserve">For single section line bearing and distance, input in green shaded area. </t>
        </is>
      </c>
      <c r="C12" s="373" t="n"/>
      <c r="D12" s="373" t="n"/>
      <c r="E12" s="373" t="n"/>
      <c r="F12" s="373" t="n"/>
      <c r="G12" s="373" t="n"/>
      <c r="H12" s="373" t="n"/>
      <c r="I12" s="373" t="n"/>
      <c r="J12" s="373" t="n"/>
      <c r="K12" s="373" t="n"/>
      <c r="L12" s="360" t="n"/>
      <c r="M12" s="360" t="n"/>
      <c r="N12" s="360" t="n"/>
      <c r="O12" s="360" t="n"/>
      <c r="P12" s="360" t="n"/>
      <c r="Q12" s="360" t="n"/>
      <c r="R12" s="360" t="n"/>
      <c r="S12" s="360" t="n"/>
      <c r="T12" s="360" t="n"/>
      <c r="U12" s="360" t="n"/>
      <c r="AA12" s="360" t="n"/>
      <c r="AB12" s="360" t="n"/>
      <c r="AC12" s="360" t="n"/>
      <c r="AD12" s="689" t="n"/>
      <c r="AE12" s="360" t="n"/>
      <c r="AF12" s="360" t="n"/>
      <c r="AG12" s="360" t="n"/>
      <c r="AH12" s="358" t="n"/>
      <c r="AI12" s="360" t="n"/>
      <c r="AJ12" s="360" t="n"/>
      <c r="AL12" s="360" t="n"/>
      <c r="AM12" s="360" t="n"/>
      <c r="BZ12" s="693" t="n"/>
      <c r="CA12" s="693" t="n"/>
    </row>
    <row r="13">
      <c r="B13" s="369" t="inlineStr">
        <is>
          <t xml:space="preserve">For single quarter section line bearing and distance, input in either of two areas. </t>
        </is>
      </c>
      <c r="C13" s="368" t="n"/>
      <c r="D13" s="368" t="n"/>
      <c r="E13" s="368" t="n"/>
      <c r="F13" s="368" t="n"/>
      <c r="G13" s="368" t="n"/>
      <c r="H13" s="368" t="n"/>
      <c r="I13" s="368" t="n"/>
      <c r="J13" s="368" t="n"/>
      <c r="K13" s="368" t="n"/>
      <c r="L13" s="360" t="n"/>
      <c r="M13" s="360" t="n"/>
      <c r="N13" s="360" t="n"/>
      <c r="O13" s="360" t="n"/>
      <c r="P13" s="360" t="n"/>
      <c r="Q13" s="360" t="n"/>
      <c r="R13" s="360" t="n"/>
      <c r="S13" s="360" t="n"/>
      <c r="T13" s="360" t="n"/>
      <c r="U13" s="360" t="n"/>
      <c r="V13" s="360" t="n"/>
      <c r="W13" s="360" t="n"/>
      <c r="X13" s="360" t="n"/>
      <c r="Y13" s="360" t="n"/>
      <c r="Z13" s="360" t="n"/>
      <c r="AA13" s="360" t="n"/>
      <c r="AB13" s="360" t="n"/>
      <c r="AC13" s="360" t="n"/>
      <c r="AD13" s="689" t="n"/>
      <c r="AE13" s="360" t="n"/>
      <c r="AF13" s="360" t="n"/>
      <c r="AG13" s="360" t="n"/>
      <c r="AH13" s="358" t="n"/>
      <c r="AI13" s="360" t="n"/>
      <c r="AJ13" s="360" t="n"/>
      <c r="AK13" s="360" t="n"/>
      <c r="AL13" s="360" t="n"/>
      <c r="AM13" s="360" t="n"/>
      <c r="BZ13" s="693" t="n"/>
      <c r="CA13" s="693" t="n"/>
    </row>
    <row r="14" customFormat="1" s="341">
      <c r="N14" s="360" t="n"/>
      <c r="O14" s="360" t="n"/>
      <c r="P14" s="360" t="n"/>
      <c r="Q14" s="360" t="n"/>
      <c r="R14" s="360" t="n"/>
      <c r="S14" s="360" t="n"/>
      <c r="T14" s="360" t="n"/>
      <c r="U14" s="360" t="n"/>
      <c r="V14" s="360" t="n"/>
      <c r="W14" s="360" t="n"/>
      <c r="X14" s="360" t="n"/>
      <c r="Y14" s="360" t="n"/>
      <c r="Z14" s="360" t="n"/>
      <c r="AA14" s="689" t="n"/>
      <c r="AB14" s="689" t="n"/>
      <c r="AC14" s="693" t="n"/>
      <c r="AD14" s="689" t="n"/>
      <c r="AE14" s="450" t="n"/>
      <c r="AF14" s="693" t="n"/>
      <c r="AG14" s="693" t="n"/>
      <c r="AH14" s="693" t="n"/>
      <c r="AI14" s="693" t="n"/>
      <c r="AJ14" s="693" t="n"/>
      <c r="AK14" s="693" t="n"/>
      <c r="AL14" s="693" t="n"/>
      <c r="AM14" s="693" t="n"/>
      <c r="AN14" s="693" t="n"/>
      <c r="AO14" s="693" t="n"/>
      <c r="AP14" s="693" t="n"/>
      <c r="AQ14" s="693" t="n"/>
      <c r="AR14" s="693" t="n"/>
      <c r="AS14" s="693" t="n"/>
      <c r="AT14" s="693" t="n"/>
      <c r="AU14" s="693" t="n"/>
      <c r="AV14" s="693" t="n"/>
      <c r="AW14" s="693" t="n"/>
      <c r="AX14" s="693" t="n"/>
      <c r="AY14" s="693" t="n"/>
      <c r="AZ14" s="693" t="n"/>
      <c r="BA14" s="693" t="n"/>
      <c r="BB14" s="693" t="n"/>
      <c r="BC14" s="693" t="n"/>
      <c r="BD14" s="693" t="n"/>
      <c r="BE14" s="693" t="n"/>
      <c r="BF14" s="693" t="n"/>
      <c r="BG14" s="693" t="n"/>
      <c r="BH14" s="693" t="n"/>
      <c r="BI14" s="693" t="n"/>
      <c r="BJ14" s="693" t="n"/>
      <c r="BK14" s="693" t="n"/>
      <c r="BL14" s="693" t="n"/>
      <c r="BM14" s="693" t="n"/>
      <c r="BN14" s="693" t="n"/>
      <c r="BO14" s="693" t="n"/>
      <c r="BP14" s="693" t="n"/>
      <c r="BQ14" s="693" t="n"/>
      <c r="BR14" s="693" t="n"/>
      <c r="BS14" s="693" t="n"/>
      <c r="BT14" s="693" t="n"/>
      <c r="BU14" s="693" t="n"/>
      <c r="BV14" s="693" t="n"/>
      <c r="BW14" s="693" t="n"/>
      <c r="BX14" s="693" t="n"/>
      <c r="BY14" s="693" t="n"/>
      <c r="BZ14" s="693" t="n"/>
      <c r="CA14" s="693" t="n"/>
    </row>
    <row r="15" customFormat="1" s="341">
      <c r="N15" s="360" t="n"/>
      <c r="O15" s="360" t="n"/>
      <c r="P15" s="360" t="n"/>
      <c r="Q15" s="360" t="n"/>
      <c r="R15" s="360" t="n"/>
      <c r="S15" s="360" t="n"/>
      <c r="T15" s="360" t="n"/>
      <c r="U15" s="360" t="n"/>
      <c r="V15" s="360" t="n"/>
      <c r="W15" s="360" t="n"/>
      <c r="X15" s="360" t="n"/>
      <c r="Y15" s="360" t="n"/>
      <c r="Z15" s="360" t="n"/>
      <c r="AA15" s="689" t="n"/>
      <c r="AB15" s="689" t="n"/>
      <c r="AC15" s="342" t="n"/>
      <c r="AD15" s="342" t="n"/>
      <c r="AE15" s="342" t="n"/>
      <c r="AF15" s="342" t="n"/>
      <c r="AG15" s="342" t="n"/>
      <c r="AH15" s="342" t="n"/>
      <c r="AI15" s="342" t="n"/>
      <c r="AJ15" s="342" t="n"/>
      <c r="AK15" s="342" t="n"/>
      <c r="AL15" s="342" t="n"/>
      <c r="AM15" s="342" t="n"/>
      <c r="AN15" s="342" t="n"/>
      <c r="AO15" s="342" t="n"/>
      <c r="AP15" s="342" t="n"/>
      <c r="AQ15" s="342" t="n"/>
      <c r="AR15" s="342" t="n"/>
      <c r="AS15" s="342" t="n"/>
      <c r="AT15" s="342" t="n"/>
      <c r="AU15" s="342" t="n"/>
      <c r="AV15" s="342" t="n"/>
      <c r="AW15" s="342" t="n"/>
      <c r="AX15" s="342" t="n"/>
      <c r="AY15" s="342" t="n"/>
      <c r="AZ15" s="342" t="n"/>
      <c r="BA15" s="342" t="n"/>
      <c r="BB15" s="342" t="n"/>
      <c r="BC15" s="342" t="n"/>
      <c r="BD15" s="342" t="n"/>
      <c r="BE15" s="342" t="n"/>
      <c r="BF15" s="342" t="n"/>
      <c r="BG15" s="342" t="n"/>
      <c r="BH15" s="342" t="n"/>
      <c r="BI15" s="342" t="n"/>
      <c r="BJ15" s="342" t="n"/>
      <c r="BK15" s="342" t="n"/>
      <c r="BL15" s="342" t="n"/>
      <c r="BM15" s="342" t="n"/>
      <c r="BN15" s="342" t="n"/>
      <c r="BO15" s="342" t="n"/>
      <c r="BP15" s="342" t="n"/>
      <c r="BQ15" s="342" t="n"/>
      <c r="BR15" s="342" t="n"/>
      <c r="BS15" s="342" t="n"/>
      <c r="BT15" s="342" t="n"/>
      <c r="BU15" s="342" t="n"/>
      <c r="BV15" s="342" t="n"/>
      <c r="BW15" s="342" t="n"/>
      <c r="BX15" s="342" t="n"/>
      <c r="BY15" s="342" t="n"/>
      <c r="BZ15" s="342" t="n"/>
      <c r="CA15" s="342" t="n"/>
    </row>
    <row r="16">
      <c r="A16" s="341" t="n"/>
      <c r="B16" s="341" t="n"/>
      <c r="C16" s="341" t="n"/>
      <c r="D16" s="341" t="n"/>
      <c r="E16" s="341" t="n"/>
      <c r="F16" s="341" t="n"/>
      <c r="G16" s="341" t="n"/>
      <c r="H16" s="341" t="n"/>
      <c r="I16" s="341" t="n"/>
      <c r="J16" s="341" t="n"/>
      <c r="K16" s="341" t="n"/>
      <c r="L16" s="360" t="n"/>
      <c r="M16" s="360" t="n"/>
      <c r="AA16" s="689" t="n"/>
      <c r="AB16" s="689" t="n"/>
      <c r="AC16" s="342" t="n"/>
      <c r="AD16" s="342" t="n"/>
      <c r="AE16" s="342" t="n"/>
      <c r="AF16" s="342" t="n"/>
      <c r="AG16" s="342" t="n"/>
      <c r="AH16" s="342" t="n"/>
      <c r="AI16" s="342" t="n"/>
      <c r="AJ16" s="342" t="n"/>
      <c r="AK16" s="342" t="n"/>
      <c r="AL16" s="342" t="n"/>
      <c r="AM16" s="342" t="n"/>
      <c r="AN16" s="342" t="n"/>
      <c r="AO16" s="342" t="n"/>
      <c r="AP16" s="342" t="n"/>
      <c r="AQ16" s="342" t="n"/>
      <c r="AR16" s="342" t="n"/>
      <c r="AS16" s="342" t="n"/>
      <c r="AT16" s="342" t="n"/>
      <c r="AU16" s="342" t="n"/>
      <c r="AV16" s="342" t="n"/>
      <c r="AW16" s="342" t="n"/>
      <c r="AX16" s="342" t="n"/>
      <c r="AY16" s="342" t="n"/>
      <c r="AZ16" s="342" t="n"/>
      <c r="BA16" s="342" t="n"/>
      <c r="BB16" s="342" t="n"/>
      <c r="BC16" s="342" t="n"/>
      <c r="BD16" s="342" t="n"/>
      <c r="BE16" s="342" t="n"/>
      <c r="BF16" s="342" t="n"/>
      <c r="BG16" s="342" t="n"/>
      <c r="BH16" s="342" t="n"/>
      <c r="BI16" s="342" t="n"/>
      <c r="BJ16" s="342" t="n"/>
      <c r="BK16" s="342" t="n"/>
      <c r="BL16" s="342" t="n"/>
      <c r="BM16" s="342" t="n"/>
      <c r="BN16" s="342" t="n"/>
      <c r="BO16" s="342" t="n"/>
      <c r="BP16" s="342" t="n"/>
      <c r="BQ16" s="342" t="n"/>
      <c r="BR16" s="342" t="n"/>
      <c r="BS16" s="342" t="n"/>
      <c r="BT16" s="342" t="n"/>
      <c r="BU16" s="342" t="n"/>
      <c r="BV16" s="342" t="n"/>
      <c r="BW16" s="342" t="n"/>
      <c r="BX16" s="342" t="n"/>
      <c r="BY16" s="342" t="n"/>
      <c r="BZ16" s="342" t="n"/>
      <c r="CA16" s="342" t="n"/>
      <c r="CB16" s="341" t="n"/>
    </row>
    <row r="17" ht="12" customHeight="1" s="613">
      <c r="B17" s="623" t="n"/>
      <c r="E17" s="420">
        <f>IF(AND($L$38='SHL Section'!$BE$51,MAX('BHL Section 1'!$BF$37:$BF$40)=6),'BHL Section 1'!$E$63,IF(AND($L$38='SHL Section'!$BE$54,MAX('BHL Section 1'!$BF$41:$BF$44)=6),'BHL Section 1'!$E$63,IF(AND($L$38='SHL Section'!$BE$57,MAX('BHL Section 1'!$BF$45:$BF$48)=6),'BHL Section 1'!$E$63,E18)))</f>
        <v/>
      </c>
      <c r="F17" s="449" t="n"/>
      <c r="G17" s="449" t="n"/>
      <c r="H17" s="449" t="n"/>
      <c r="I17" s="449" t="n"/>
      <c r="J17" s="449" t="n"/>
      <c r="K17" s="420">
        <f>IF(AND($L$38='SHL Section'!$BE$51,MAX('BHL Section 1'!$BF$37:$BF$40)=6),'BHL Section 1'!$K$63,IF(AND($L$38='SHL Section'!$BE$54,MAX('BHL Section 1'!$BF$41:$BF$44)=6),'BHL Section 1'!$K$63,IF(AND($L$38='SHL Section'!$BE$57,MAX('BHL Section 1'!$BF$45:$BF$48)=6),'BHL Section 1'!$K$63,K18)))</f>
        <v/>
      </c>
      <c r="L17" s="449" t="n"/>
      <c r="M17" s="449" t="n"/>
      <c r="N17" s="449" t="n"/>
      <c r="O17" s="420">
        <f>IF(AND($L$38='SHL Section'!$BE$51,MAX('BHL Section 1'!$BF$37:$BF$40)=6),'BHL Section 1'!$O$63,IF(AND($L$38='SHL Section'!$BE$54,MAX('BHL Section 1'!$BF$41:$BF$44)=6),'BHL Section 1'!$O$63,IF(AND($L$38='SHL Section'!$BE$57,MAX('BHL Section 1'!$BF$45:$BF$48)=6),'BHL Section 1'!$O$63,O18)))</f>
        <v/>
      </c>
      <c r="P17" s="449" t="n"/>
      <c r="Q17" s="449" t="n"/>
      <c r="R17" s="449" t="n"/>
      <c r="S17" s="449" t="n"/>
      <c r="T17" s="449" t="n"/>
      <c r="U17" s="420">
        <f>IF(AND($L$38='SHL Section'!$BE$51,MAX('BHL Section 1'!$BF$37:$BF$40)=6),'BHL Section 1'!$U$63,IF(AND($L$38='SHL Section'!$BE$54,MAX('BHL Section 1'!$BF$41:$BF$44)=6),'BHL Section 1'!$U$63,IF(AND($L$38='SHL Section'!$BE$57,MAX('BHL Section 1'!$BF$45:$BF$48)=6),'BHL Section 1'!$U$63,U18)))</f>
        <v/>
      </c>
      <c r="AA17" s="689" t="n"/>
      <c r="AB17" s="689" t="n"/>
      <c r="AC17" s="676" t="inlineStr">
        <is>
          <t>Distances from Section and Quarter Corners</t>
        </is>
      </c>
      <c r="AD17" s="677" t="n"/>
      <c r="AE17" s="677" t="n"/>
      <c r="AF17" s="677" t="n"/>
      <c r="AG17" s="677" t="n"/>
      <c r="AH17" s="677" t="n"/>
      <c r="AI17" s="677" t="n"/>
      <c r="AJ17" s="677" t="n"/>
      <c r="AK17" s="677" t="n"/>
      <c r="AL17" s="677" t="n"/>
      <c r="AM17" s="677" t="n"/>
      <c r="AN17" s="677" t="n"/>
      <c r="AO17" s="677" t="n"/>
      <c r="AP17" s="677" t="n"/>
      <c r="AQ17" s="677" t="n"/>
      <c r="AR17" s="677" t="n"/>
      <c r="AS17" s="677" t="n"/>
      <c r="AT17" s="677" t="n"/>
      <c r="AU17" s="335" t="inlineStr">
        <is>
          <t>Qtr-Qtr Section</t>
        </is>
      </c>
      <c r="AV17" s="674" t="inlineStr">
        <is>
          <t>1 N-NENE</t>
        </is>
      </c>
      <c r="AW17" s="675" t="n"/>
      <c r="AX17" s="674" t="inlineStr">
        <is>
          <t>2 N-NWNE</t>
        </is>
      </c>
      <c r="AY17" s="675" t="n"/>
      <c r="AZ17" s="674" t="inlineStr">
        <is>
          <t>3 N-NENW</t>
        </is>
      </c>
      <c r="BA17" s="675" t="n"/>
      <c r="BB17" s="674" t="inlineStr">
        <is>
          <t>4 N-NWNW</t>
        </is>
      </c>
      <c r="BC17" s="675" t="n"/>
      <c r="BD17" s="674" t="inlineStr">
        <is>
          <t>5 W-NWNW</t>
        </is>
      </c>
      <c r="BE17" s="675" t="n"/>
      <c r="BF17" s="674" t="inlineStr">
        <is>
          <t>6 W-SWNW</t>
        </is>
      </c>
      <c r="BG17" s="675" t="n"/>
      <c r="BH17" s="674" t="inlineStr">
        <is>
          <t>7 W-NWSW</t>
        </is>
      </c>
      <c r="BI17" s="675" t="n"/>
      <c r="BJ17" s="674" t="inlineStr">
        <is>
          <t>8 W-SWSW</t>
        </is>
      </c>
      <c r="BK17" s="675" t="n"/>
      <c r="BL17" s="674" t="inlineStr">
        <is>
          <t>9 S-SWSW</t>
        </is>
      </c>
      <c r="BM17" s="675" t="n"/>
      <c r="BN17" s="674" t="inlineStr">
        <is>
          <t>10 S-SESW</t>
        </is>
      </c>
      <c r="BO17" s="675" t="n"/>
      <c r="BP17" s="674" t="inlineStr">
        <is>
          <t>11 S-SWSE</t>
        </is>
      </c>
      <c r="BQ17" s="675" t="n"/>
      <c r="BR17" s="674" t="inlineStr">
        <is>
          <t>12 S-SESE</t>
        </is>
      </c>
      <c r="BS17" s="675" t="n"/>
      <c r="BT17" s="674" t="inlineStr">
        <is>
          <t>13 E-SESE</t>
        </is>
      </c>
      <c r="BU17" s="675" t="n"/>
      <c r="BV17" s="674" t="inlineStr">
        <is>
          <t>14 E-NESE</t>
        </is>
      </c>
      <c r="BW17" s="675" t="n"/>
      <c r="BX17" s="674" t="inlineStr">
        <is>
          <t>15 E-SENE</t>
        </is>
      </c>
      <c r="BY17" s="675" t="n"/>
      <c r="BZ17" s="674" t="inlineStr">
        <is>
          <t>16 E-NENE</t>
        </is>
      </c>
      <c r="CA17" s="675" t="n"/>
    </row>
    <row r="18" ht="12" customHeight="1" s="613">
      <c r="B18" s="347" t="n"/>
      <c r="C18" s="346" t="n"/>
      <c r="D18" s="429" t="inlineStr">
        <is>
          <t>dist.</t>
        </is>
      </c>
      <c r="E18" s="301">
        <f>IF(NOT(ISBLANK(F18)),F18,DGET('Grid Numbers'!$A$2:$L$4952,'Grid Numbers'!$H$2,$L$66:$R$67))</f>
        <v/>
      </c>
      <c r="F18" s="504" t="n"/>
      <c r="H18" s="299" t="n"/>
      <c r="I18" s="299" t="n"/>
      <c r="J18" s="429" t="inlineStr">
        <is>
          <t>dist.</t>
        </is>
      </c>
      <c r="K18" s="303">
        <f>IF(NOT(ISBLANK(L18)),L18,DGET('Grid Numbers'!$A$2:$L$4952,'Grid Numbers'!$H$2,$L$68:$R$69))</f>
        <v/>
      </c>
      <c r="L18" s="504" t="n"/>
      <c r="N18" s="429" t="inlineStr">
        <is>
          <t>dist.</t>
        </is>
      </c>
      <c r="O18" s="301">
        <f>IF(NOT(ISBLANK(P18)),P18,DGET('Grid Numbers'!$A$2:$L$4952,'Grid Numbers'!$H$2,$L$70:$R$71))</f>
        <v/>
      </c>
      <c r="P18" s="504" t="n"/>
      <c r="Q18" s="299" t="n"/>
      <c r="R18" s="299" t="n"/>
      <c r="T18" s="429" t="inlineStr">
        <is>
          <t>dist.</t>
        </is>
      </c>
      <c r="U18" s="301">
        <f>IF(NOT(ISBLANK(V18)),V18,DGET('Grid Numbers'!$A$2:$L$4952,'Grid Numbers'!$H$2,$L$72:$R$73))</f>
        <v/>
      </c>
      <c r="V18" s="504" t="n"/>
      <c r="AA18" s="689" t="n"/>
      <c r="AB18" s="689" t="n"/>
      <c r="AC18" s="300" t="n"/>
      <c r="AD18" s="342" t="n"/>
      <c r="AE18" s="674" t="inlineStr">
        <is>
          <t>NE SC</t>
        </is>
      </c>
      <c r="AF18" s="675" t="n"/>
      <c r="AG18" s="674" t="inlineStr">
        <is>
          <t>NW SC</t>
        </is>
      </c>
      <c r="AH18" s="675" t="n"/>
      <c r="AI18" s="674" t="inlineStr">
        <is>
          <t>SW SC</t>
        </is>
      </c>
      <c r="AJ18" s="675" t="n"/>
      <c r="AK18" s="674" t="inlineStr">
        <is>
          <t>SE SC</t>
        </is>
      </c>
      <c r="AL18" s="675" t="n"/>
      <c r="AM18" s="674" t="inlineStr">
        <is>
          <t>N QC</t>
        </is>
      </c>
      <c r="AN18" s="675" t="n"/>
      <c r="AO18" s="674" t="inlineStr">
        <is>
          <t>W QC</t>
        </is>
      </c>
      <c r="AP18" s="675" t="n"/>
      <c r="AQ18" s="674" t="inlineStr">
        <is>
          <t>S QC</t>
        </is>
      </c>
      <c r="AR18" s="675" t="n"/>
      <c r="AS18" s="674" t="inlineStr">
        <is>
          <t>E QC</t>
        </is>
      </c>
      <c r="AT18" s="675" t="n"/>
      <c r="AU18" s="335" t="inlineStr">
        <is>
          <t>N-S &amp; E-W</t>
        </is>
      </c>
      <c r="AV18" s="467" t="inlineStr">
        <is>
          <t>N-S</t>
        </is>
      </c>
      <c r="AW18" s="468" t="inlineStr">
        <is>
          <t>E-W</t>
        </is>
      </c>
      <c r="AX18" s="467" t="inlineStr">
        <is>
          <t>N-S</t>
        </is>
      </c>
      <c r="AY18" s="468" t="inlineStr">
        <is>
          <t>E-W</t>
        </is>
      </c>
      <c r="AZ18" s="467" t="inlineStr">
        <is>
          <t>N-S</t>
        </is>
      </c>
      <c r="BA18" s="468" t="inlineStr">
        <is>
          <t>E-W</t>
        </is>
      </c>
      <c r="BB18" s="467" t="inlineStr">
        <is>
          <t>N-S</t>
        </is>
      </c>
      <c r="BC18" s="468" t="inlineStr">
        <is>
          <t>E-W</t>
        </is>
      </c>
      <c r="BD18" s="467" t="inlineStr">
        <is>
          <t>N-S</t>
        </is>
      </c>
      <c r="BE18" s="468" t="inlineStr">
        <is>
          <t>E-W</t>
        </is>
      </c>
      <c r="BF18" s="467" t="inlineStr">
        <is>
          <t>N-S</t>
        </is>
      </c>
      <c r="BG18" s="468" t="inlineStr">
        <is>
          <t>E-W</t>
        </is>
      </c>
      <c r="BH18" s="467" t="inlineStr">
        <is>
          <t>N-S</t>
        </is>
      </c>
      <c r="BI18" s="468" t="inlineStr">
        <is>
          <t>E-W</t>
        </is>
      </c>
      <c r="BJ18" s="467" t="inlineStr">
        <is>
          <t>N-S</t>
        </is>
      </c>
      <c r="BK18" s="468" t="inlineStr">
        <is>
          <t>E-W</t>
        </is>
      </c>
      <c r="BL18" s="467" t="inlineStr">
        <is>
          <t>N-S</t>
        </is>
      </c>
      <c r="BM18" s="468" t="inlineStr">
        <is>
          <t>E-W</t>
        </is>
      </c>
      <c r="BN18" s="467" t="inlineStr">
        <is>
          <t>N-S</t>
        </is>
      </c>
      <c r="BO18" s="468" t="inlineStr">
        <is>
          <t>E-W</t>
        </is>
      </c>
      <c r="BP18" s="467" t="inlineStr">
        <is>
          <t>N-S</t>
        </is>
      </c>
      <c r="BQ18" s="468" t="inlineStr">
        <is>
          <t>E-W</t>
        </is>
      </c>
      <c r="BR18" s="467" t="inlineStr">
        <is>
          <t>N-S</t>
        </is>
      </c>
      <c r="BS18" s="468" t="inlineStr">
        <is>
          <t>E-W</t>
        </is>
      </c>
      <c r="BT18" s="467" t="inlineStr">
        <is>
          <t>N-S</t>
        </is>
      </c>
      <c r="BU18" s="468" t="inlineStr">
        <is>
          <t>E-W</t>
        </is>
      </c>
      <c r="BV18" s="467" t="inlineStr">
        <is>
          <t>N-S</t>
        </is>
      </c>
      <c r="BW18" s="468" t="inlineStr">
        <is>
          <t>E-W</t>
        </is>
      </c>
      <c r="BX18" s="467" t="inlineStr">
        <is>
          <t>N-S</t>
        </is>
      </c>
      <c r="BY18" s="468" t="inlineStr">
        <is>
          <t>E-W</t>
        </is>
      </c>
      <c r="BZ18" s="467" t="inlineStr">
        <is>
          <t>N-S</t>
        </is>
      </c>
      <c r="CA18" s="468" t="inlineStr">
        <is>
          <t>E-W</t>
        </is>
      </c>
    </row>
    <row r="19" ht="12" customHeight="1" s="613">
      <c r="B19" s="347" t="n"/>
      <c r="C19" s="346" t="n"/>
      <c r="D19" s="429" t="inlineStr">
        <is>
          <t>deg.</t>
        </is>
      </c>
      <c r="E19" s="295">
        <f>IF(NOT(ISBLANK(F19)),F19,DGET('Grid Numbers'!$A$2:$L$4952,'Grid Numbers'!$I$2,$L$66:$R$67))</f>
        <v/>
      </c>
      <c r="F19" s="504" t="n"/>
      <c r="J19" s="429" t="inlineStr">
        <is>
          <t>deg.</t>
        </is>
      </c>
      <c r="K19" s="296">
        <f>IF(NOT(ISBLANK(L19)),L19,DGET('Grid Numbers'!$A$2:$L$4952,'Grid Numbers'!$I$2,$L$68:$R$69))</f>
        <v/>
      </c>
      <c r="L19" s="504" t="n"/>
      <c r="N19" s="429" t="inlineStr">
        <is>
          <t>deg.</t>
        </is>
      </c>
      <c r="O19" s="295">
        <f>IF(NOT(ISBLANK(P19)),P19,DGET('Grid Numbers'!$A$2:$L$4952,'Grid Numbers'!$I$2,$L$70:$R$71))</f>
        <v/>
      </c>
      <c r="P19" s="504" t="n"/>
      <c r="T19" s="429" t="inlineStr">
        <is>
          <t>deg.</t>
        </is>
      </c>
      <c r="U19" s="295">
        <f>IF(NOT(ISBLANK(V19)),V19,DGET('Grid Numbers'!$A$2:$L$4952,'Grid Numbers'!$I$2,$L$72:$R$73))</f>
        <v/>
      </c>
      <c r="V19" s="504" t="n"/>
      <c r="AA19" s="689" t="n"/>
      <c r="AB19" s="689" t="n"/>
      <c r="AC19" s="469" t="inlineStr">
        <is>
          <t>Quad</t>
        </is>
      </c>
      <c r="AD19" s="470" t="n"/>
      <c r="AE19" s="671" t="inlineStr">
        <is>
          <t>N-S</t>
        </is>
      </c>
      <c r="AF19" s="671" t="inlineStr">
        <is>
          <t>E-W</t>
        </is>
      </c>
      <c r="AG19" s="671" t="inlineStr">
        <is>
          <t>N-S</t>
        </is>
      </c>
      <c r="AH19" s="671" t="inlineStr">
        <is>
          <t>E-W</t>
        </is>
      </c>
      <c r="AI19" s="671" t="inlineStr">
        <is>
          <t>N-S</t>
        </is>
      </c>
      <c r="AJ19" s="671" t="inlineStr">
        <is>
          <t>E-W</t>
        </is>
      </c>
      <c r="AK19" s="671" t="inlineStr">
        <is>
          <t>N-S</t>
        </is>
      </c>
      <c r="AL19" s="671" t="inlineStr">
        <is>
          <t>E-W</t>
        </is>
      </c>
      <c r="AM19" s="671" t="inlineStr">
        <is>
          <t>N-S</t>
        </is>
      </c>
      <c r="AN19" s="671" t="inlineStr">
        <is>
          <t>E-W</t>
        </is>
      </c>
      <c r="AO19" s="671" t="inlineStr">
        <is>
          <t>N-S</t>
        </is>
      </c>
      <c r="AP19" s="671" t="inlineStr">
        <is>
          <t>E-W</t>
        </is>
      </c>
      <c r="AQ19" s="671" t="inlineStr">
        <is>
          <t>N-S</t>
        </is>
      </c>
      <c r="AR19" s="671" t="inlineStr">
        <is>
          <t>E-W</t>
        </is>
      </c>
      <c r="AS19" s="671" t="inlineStr">
        <is>
          <t>N-S</t>
        </is>
      </c>
      <c r="AT19" s="671" t="inlineStr">
        <is>
          <t>E-W</t>
        </is>
      </c>
      <c r="AU19" s="335" t="n"/>
      <c r="AV19" s="775">
        <f>IF(AND($U$17&gt;0,$O$17&gt;0),$U$17*SIN(RADIANS(90-$U$23)),IF(AND($U$17=0,$O$17&gt;0),$O$17/2*SIN(RADIANS(90-$O$23)),IF(AND($U$17&gt;0,$O$17=0),$U$17/2*SIN(RADIANS(90-$U$23)),IF(AND($U$17=0,$O$17=0,$K$17=0),$E$17/4*SIN(RADIANS(90-$E$23)),$K$17/4*SIN(RADIANS(90-$K$23))))))</f>
        <v/>
      </c>
      <c r="AW19" s="776">
        <f>IF(AND($U$17&gt;0,$O$17&gt;0),$U$17*COS(RADIANS(90-$U$23)),IF(AND($U$17=0,$O$17&gt;0),$O$17/2*COS(RADIANS(90-$O$23)),IF(AND($U$17&gt;0,$O$17=0),$U$17/2*COS(RADIANS(90-$U$23)),IF(AND($U$17=0,$O$17=0,$K$17=0),$E$17/4*COS(RADIANS(90-$E$23)),$K$17/4*COS(RADIANS(90-$K$23))))))</f>
        <v/>
      </c>
      <c r="AX19" s="775">
        <f>IF(AND($U$17&gt;0,$O$17&gt;0),$O$17*SIN(RADIANS(90-$O$23)),IF(AND($U$17=0,$O$17&gt;0),$O$17/2*SIN(RADIANS(90-$O$23)),IF(AND($U$17&gt;0,$O$17=0),$U$17/2*SIN(RADIANS(90-$U$23)),IF(AND($U$17=0,$O$17=0,$K$17=0),$E$17/4*SIN(RADIANS(90-$E$23)),$K$17/4*SIN(RADIANS(90-$K$23))))))</f>
        <v/>
      </c>
      <c r="AY19" s="776">
        <f>IF(AND($U$17&gt;0,$O$17&gt;0),$O$17*COS(RADIANS(90-$O$23)),IF(AND($U$17=0,$O$17&gt;0),$O$17/2*COS(RADIANS(90-$O$23)),IF(AND($U$17&gt;0,$O$17=0),$U$17/2*COS(RADIANS(90-$U$23)),IF(AND($U$17=0,$O$17=0,$K$17=0),$E$17/4*COS(RADIANS(90-$E$23)),$K$17/4*COS(RADIANS(90-$K$23))))))</f>
        <v/>
      </c>
      <c r="AZ19" s="775">
        <f>IF(AND($K$17&gt;0,$E$17&gt;0,OR($O$17&gt;0,$U$17&gt;0)),$K$17*SIN(RADIANS(90-$K$23)),IF(AND($K$17=0,$E$17&gt;0,OR($O$17&gt;0,$U$17&gt;0)),$E$17/2*SIN(RADIANS(90-$E$23)),IF(AND($K$17&gt;0,$E$17=0,OR($O$17&gt;0,$U$17&gt;0)),$K$17/2*SIN(RADIANS(90-$K$23)),IF(AND($K$17&gt;0,$O$17=0,$U$17=0),$K$17/4*SIN(RADIANS(90-$K$23)),$E$17/4*SIN(RADIANS(90-$E$23))))))</f>
        <v/>
      </c>
      <c r="BA19" s="776">
        <f>IF(AND($K$17&gt;0,$E$17&gt;0,OR($O$17&gt;0,$U$17&gt;0)),$K$17*COS(RADIANS(90-$K$23)),IF(AND($K$17=0,$E$17&gt;0,OR($O$17&gt;0,$U$17&gt;0)),$E$17/2*COS(RADIANS(90-$E$23)),IF(AND($K$17&gt;0,$E$17=0,OR($O$17&gt;0,$U$17&gt;0)),$K$17/2*COS(RADIANS(90-$K$23)),IF(AND($K$17&gt;0,$O$17=0,$U$17=0),$K$17/4*COS(RADIANS(90-$K$23)),$E$17/4*COS(RADIANS(90-$E$23))))))</f>
        <v/>
      </c>
      <c r="BB19" s="775">
        <f>IF(AND($K$17&gt;0,$E$17&gt;0,OR($O$17&gt;0,$U$17&gt;0)),$E$17*SIN(RADIANS(90-$E$23)),IF(AND($K$17=0,$E$17&gt;0,OR($O$17&gt;0,$U$17&gt;0)),$E$17/2*SIN(RADIANS(90-$E$23)),IF(AND($K$17&gt;0,$E$17=0,OR($O$17&gt;0,$U$17&gt;0)),$K$17/2*SIN(RADIANS(90-$K$23)),IF(AND($K$17&gt;0,$O$17=0,$U$17=0),$K$17/4*SIN(RADIANS(90-$K$23)),$E$17/4*SIN(RADIANS(90-$E$23))))))</f>
        <v/>
      </c>
      <c r="BC19" s="764">
        <f>IF(AND($K$17&gt;0,$E$17&gt;0,OR($O$17&gt;0,$U$17&gt;0)),$E$17*COS(RADIANS(90-$E$23)),IF(AND($K$17=0,$E$17&gt;0,OR($O$17&gt;0,$U$17&gt;0)),$E$17/2*COS(RADIANS(90-$E$23)),IF(AND($K$17&gt;0,$E$17=0,OR($O$17&gt;0,$U$17&gt;0)),$K$17/2*COS(RADIANS(90-$K$23)),IF(AND($K$17&gt;0,$O$17=0,$U$17=0),$K$17/4*COS(RADIANS(90-$K$23)),$E$17/4*COS(RADIANS(90-$E$23))))))</f>
        <v/>
      </c>
      <c r="BD19" s="775">
        <f>IF(AND($B$32&gt;0,$B$24&gt;0,OR($B$41&gt;0,$B$49&gt;0)),$B$24*COS(RADIANS(180-$B$30)),IF(AND($B$32=0,$B$24&gt;0,OR($B$41&gt;0,$B$49&gt;0)),$B$24/2*COS(RADIANS(180-$B$30)),IF(AND($B$32&gt;0,$B$24=0,OR($B$41&gt;0,$B$49&gt;0)),$B$32/2*COS(RADIANS(180-$B$38)),IF(AND($B$32&gt;0,$B$41=0,$B$49=0),$B$32/4*COS(RADIANS(180-$B$38)),$B$24/4*COS(RADIANS(180-$B$30))))))</f>
        <v/>
      </c>
      <c r="BE19" s="776">
        <f>IF(AND($B$32&gt;0,$B$24&gt;0,OR($B$41&gt;0,$B$49&gt;0)),$B$24*-SIN(RADIANS(180-$B$30)),IF(AND($B$32&gt;0,$B$24&gt;0,OR($B$41&gt;0,$B$49&gt;0)),$B$32*-SIN(RADIANS(180-$B$38)),IF(AND($B$32&gt;0,$B$24=0,OR($B$41&gt;0,$B$49&gt;0)),$B$32/2*-SIN(RADIANS(180-$B$38)),IF(AND($B$32&gt;0,$B$41=0,$B$49=0),$B$32/4*-SIN(RADIANS(180-$B$38)),$B$24/4*-SIN(RADIANS(180-$B$30))))))</f>
        <v/>
      </c>
      <c r="BF19" s="775">
        <f>IF(AND($B$32&gt;0,$B$24&gt;0,OR($B$41&gt;0,$B$49&gt;0)),$B$32*COS(RADIANS(180-$B$38)),IF(AND($B$32=0,$B$24&gt;0,OR($B$41&gt;0,$B$49&gt;0)),$B$24/2*COS(RADIANS(180-$B$30)),IF(AND($B$32&gt;0,$B$24=0,OR($B$41&gt;0,$B$49&gt;0)),$B$32/2*COS(RADIANS(180-$B$38)),IF(AND($B$32&gt;0,$B$41=0,$B$49=0),$B$32/4*COS(RADIANS(180-$B$38)),$B$24/4*COS(RADIANS(180-$B$30))))))</f>
        <v/>
      </c>
      <c r="BG19" s="776">
        <f>IF(AND($B$32&gt;0,$B$24&gt;0,OR($B$41&gt;0,$B$49&gt;0)),$B$32*-SIN(RADIANS(180-$B$38)),IF(AND($B$32&gt;0,$B$24&gt;0,OR($B$41&gt;0,$B$49&gt;0)),$B$32*-SIN(RADIANS(180-$B$38)),IF(AND($B$32&gt;0,$B$24=0,OR($B$41&gt;0,$B$49&gt;0)),$B$32/2*-SIN(RADIANS(180-$B$38)),IF(AND($B$32&gt;0,$B$41=0,$B$49=0),$B$32/4*-SIN(RADIANS(180-$B$38)),$B$24/4*-SIN(RADIANS(180-$B$30))))))</f>
        <v/>
      </c>
      <c r="BH19" s="775">
        <f>IF(AND($B$49&gt;0,$B$41&gt;0),$B$41*COS(RADIANS(180-$B$47)),IF(AND($B$49=0,$B$41&gt;0),$B$41/2*COS(RADIANS(180-$B$47)),IF(AND($B$49&gt;0,$B$41=0),$B$49/2*COS(RADIANS(180-$B$55)),IF(AND($B$49=0,$B$41=0,$B$32=0),$B$24/4*COS(RADIANS(180-$B$30)),$B$32/4*COS(RADIANS(180-$B$38))))))</f>
        <v/>
      </c>
      <c r="BI19" s="776">
        <f>IF(AND($B$49&gt;0,$B$41&gt;0),$B$41*-SIN(RADIANS(180-$B$47)),IF(AND($B$49=0,$B$41&gt;0),$B$41/2*-SIN(RADIANS(180-$B$47)),IF(AND($B$49&gt;0,$B$41=0),$B$49/2*-SIN(RADIANS(180-$B$55)),IF(AND($B$49=0,$B$41=0,$B$32=0),$B$24/4*-SIN(RADIANS(180-$B$30)),$B$32/4*-SIN(RADIANS(180-$B$38))))))</f>
        <v/>
      </c>
      <c r="BJ19" s="775">
        <f>IF(AND($B$49&gt;0,$B$41&gt;0),$B$49*COS(RADIANS(180-$B$55)),IF(AND($B$49=0,$B$41&gt;0),$B$41/2*COS(RADIANS(180-$B$47)),IF(AND($B$49&gt;0,$B$41=0),$B$49/2*COS(RADIANS(180-$B$55)),IF(AND($B$49=0,$B$41=0,$B$32=0),$B$24/4*COS(RADIANS(180-$B$30)),$B$32/4*COS(RADIANS(180-$B$38))))))</f>
        <v/>
      </c>
      <c r="BK19" s="776">
        <f>IF(AND($B$49&gt;0,$B$41&gt;0),$B$49*-SIN(RADIANS(180-$B$55)),IF(AND($B$49=0,$B$41&gt;0),$B$41/2*-SIN(RADIANS(180-$B$47)),IF(AND($B$49&gt;0,$B$41=0),$B$49/2*-SIN(RADIANS(180-$B$55)),IF(AND($B$49=0,$B$41=0,$B$32=0),$B$24/4*-SIN(RADIANS(180-$B$30)),$B$32/4*-SIN(RADIANS(180-$B$38))))))</f>
        <v/>
      </c>
      <c r="BL19" s="775">
        <f>IF(AND($K$63&gt;0,$E$63&gt;0,OR($O$63&gt;0,$U$63&gt;0)),$E$63*SIN(RADIANS(90-$E$62)),IF(AND($K$63=0,$E$63&gt;0,OR($O$63&gt;0,$U$63&gt;0)),$E$63/2*SIN(RADIANS(90-$E$62)),IF(AND($K$63&gt;0,$E$63=0,OR($O$63&gt;0,$U$63&gt;0)),$K$63/2*SIN(RADIANS(90-$K$62)),IF(AND($K$63&gt;0,$O$63=0,$U$63=0),$K$63/4*SIN(RADIANS(90-$K$62)),$E$63/4*SIN(RADIANS(90-$E$62))))))</f>
        <v/>
      </c>
      <c r="BM19" s="764">
        <f>IF(AND($K$63&gt;0,$E$63&gt;0,OR($O$63&gt;0,$U$63&gt;0)),$E$63*COS(RADIANS(90-$E$62)),IF(AND($K$63=0,$E$63&gt;0,OR($O$63&gt;0,$U$63&gt;0)),$E$63/2*COS(RADIANS(90-$E$62)),IF(AND($K$63&gt;0,$E$63=0,OR($O$63&gt;0,$U$63&gt;0)),$K$63/2*COS(RADIANS(90-$K$62)),IF(AND($K$63&gt;0,$O$63=0,$U$63=0),$K$63/4*COS(RADIANS(90-$K$62)),$E$63/4*COS(RADIANS(90-$E$62))))))</f>
        <v/>
      </c>
      <c r="BN19" s="775">
        <f>IF(AND($K$63&gt;0,$E$63&gt;0,OR($O$63&gt;0,$U$63&gt;0)),$K$63*SIN(RADIANS(90-$K$62)),IF(AND($K$63=0,$E$63&gt;0,OR($O$63&gt;0,$U$63&gt;0)),$E$63/2*SIN(RADIANS(90-$E$62)),IF(AND($K$63&gt;0,$E$63=0,OR($O$63&gt;0,$U$63&gt;0)),$K$63/2*SIN(RADIANS(90-$K$62)),IF(AND($K$63&gt;0,$O$63=0,$U$63=0),$K$63/4*SIN(RADIANS(90-$K$62)),$E$63/4*SIN(RADIANS(90-$E$62))))))</f>
        <v/>
      </c>
      <c r="BO19" s="776">
        <f>IF(AND($K$63&gt;0,$E$63&gt;0,OR($O$63&gt;0,$U$63&gt;0)),$K$63*COS(RADIANS(90-$K$62)),IF(AND($K$63=0,$E$63&gt;0,OR($O$63&gt;0,$U$63&gt;0)),$E$63/2*COS(RADIANS(90-$E$62)),IF(AND($K$63&gt;0,$E$63=0,OR($O$63&gt;0,$U$63&gt;0)),$K$63/2*COS(RADIANS(90-$K$62)),IF(AND($K$63&gt;0,$O$63=0,$U$63=0),$K$63/4*COS(RADIANS(90-$K$62)),$E$63/4*COS(RADIANS(90-$E$62))))))</f>
        <v/>
      </c>
      <c r="BP19" s="775">
        <f>IF(AND($U$63&gt;0,$O$63&gt;0),$O$63*SIN(RADIANS(90-$O$62)),IF(AND($U$63=0,$O$63&gt;0),$O$63/2*SIN(RADIANS(90-$O$62)),IF(AND($U$63&gt;0,$O$63=0),$U$63/2*SIN(RADIANS(90-$U$62)),IF(AND($U$63=0,$O$63=0,$K$63=0),$E$63/4*SIN(RADIANS(90-$E$62)),$K$63/4*SIN(RADIANS(90-$K$62))))))</f>
        <v/>
      </c>
      <c r="BQ19" s="776">
        <f>IF(AND($U$63&gt;0,$O$63&gt;0),$O$63*COS(RADIANS(90-$O$62)),IF(AND($U$63=0,$O$63&gt;0),$O$63/2*COS(RADIANS(90-$O$62)),IF(AND($U$63&gt;0,$O$63=0),$U$63/2*COS(RADIANS(90-$U$62)),IF(AND($U$63=0,$O$63=0,$K$63=0),$E$63/4*COS(RADIANS(90-$E$62)),$K$63/4*COS(RADIANS(90-$K$62))))))</f>
        <v/>
      </c>
      <c r="BR19" s="775">
        <f>IF(AND($U$63&gt;0,$O$63&gt;0),$U$63*SIN(RADIANS(90-$U$62)),IF(AND($U$63=0,$O$63&gt;0),$O$63/2*SIN(RADIANS(90-$O$62)),IF(AND($U$63&gt;0,$O$63=0),$U$63/2*SIN(RADIANS(90-$U$62)),IF(AND($U$63=0,$O$63=0,$K$63=0),$E$63/4*SIN(RADIANS(90-$E$62)),$K$63/4*SIN(RADIANS(90-$K$62))))))</f>
        <v/>
      </c>
      <c r="BS19" s="776">
        <f>IF(AND($U$63&gt;0,$O$63&gt;0),$U$63*COS(RADIANS(90-$U$62)),IF(AND($U$63=0,$O$63&gt;0),$O$63/2*COS(RADIANS(90-$O$62)),IF(AND($U$63&gt;0,$O$63=0),$U$63/2*COS(RADIANS(90-$U$62)),IF(AND($U$63=0,$O$63=0,$K$63=0),$E$63/4*COS(RADIANS(90-$E$62)),$K$63/4*COS(RADIANS(90-$K$62))))))</f>
        <v/>
      </c>
      <c r="BT19" s="775">
        <f>IF(AND($W$49&gt;0,$W$41&gt;0),$W$49*COS(RADIANS(180-$W$55)),IF(AND($W$49=0,$W$41&gt;0),$W$41/2*COS(RADIANS(180-$W$47)),IF(AND($W$49&gt;0,$W$41=0),$W$49/2*COS(RADIANS(180-$W$55)),IF(AND($W$49=0,$W$41=0,$W$32=0),$W$24/4*COS(RADIANS(180-$W$30)),$W$32/4*COS(RADIANS(180-$W$38))))))</f>
        <v/>
      </c>
      <c r="BU19" s="776">
        <f>IF(AND($W$49&gt;0,$W$41&gt;0),$W$49*-SIN(RADIANS(180-$W$55)),IF(AND($W$49=0,$W$41&gt;0),$W$41/2*-SIN(RADIANS(180-$W$47)),IF(AND($W$49&gt;0,$W$41=0),$W$49/2*-SIN(RADIANS(180-$W$55)),IF(AND($W$49=0,$W$41=0,$W$32=0),$W$24/4*-SIN(RADIANS(180-$W$30)),$W$32/4*-SIN(RADIANS(180-$W$38))))))</f>
        <v/>
      </c>
      <c r="BV19" s="775">
        <f>IF(AND($W$49&gt;0,$W$41&gt;0),$W$41*COS(RADIANS(180-$W$47)),IF(AND($W$49=0,$W$41&gt;0),$W$41/2*COS(RADIANS(180-$W$47)),IF(AND($W$49&gt;0,$W$41=0),$W$49/2*COS(RADIANS(180-$W$55)),IF(AND($W$49=0,$W$41=0,$W$32=0),$W$24/4*COS(RADIANS(180-$W$30)),$W$32/4*COS(RADIANS(180-$W$38))))))</f>
        <v/>
      </c>
      <c r="BW19" s="776">
        <f>IF(AND($W$49&gt;0,$W$41&gt;0),$W$41*-SIN(RADIANS(180-$W$47)),IF(AND($W$49=0,$W$41&gt;0),$W$41/2*-SIN(RADIANS(180-$W$47)),IF(AND($W$49&gt;0,$W$41=0),$W$49/2*-SIN(RADIANS(180-$W$55)),IF(AND($W$49=0,$W$41=0,$W$32=0),$W$24/4*-SIN(RADIANS(180-$W$30)),$W$32/4*-SIN(RADIANS(180-$W$38))))))</f>
        <v/>
      </c>
      <c r="BX19" s="775">
        <f>IF(AND($W$32&gt;0,$W$24&gt;0,OR($W$41&gt;0,$W$49&gt;0)),$W$32*COS(RADIANS(180-$W$38)),IF(AND($W$32=0,$W$24&gt;0,OR($W$41&gt;0,$W$49&gt;0)),$W$24/2*COS(RADIANS(180-$W$30)),IF(AND($W$32&gt;0,$W$24=0,OR($W$41&gt;0,$W$49&gt;0)),$W$32/2*COS(RADIANS(180-$W$38)),IF(AND($W$32&gt;0,$W$41=0,$W$49=0),$W$32/4*COS(RADIANS(180-$W$38)),$W$24/4*COS(RADIANS(180-$W$30))))))</f>
        <v/>
      </c>
      <c r="BY19" s="776">
        <f>IF(AND($W$32&gt;0,$W$24&gt;0,OR($W$41&gt;0,$W$49&gt;0)),$W$32*-SIN(RADIANS(180-$W$38)),IF(AND($W$32&gt;0,$W$24&gt;0,OR($W$41&gt;0,$W$49&gt;0)),$W$32*-SIN(RADIANS(180-$W$38)),IF(AND($W$32&gt;0,$W$24=0,OR($W$41&gt;0,$W$49&gt;0)),$W$32/2*-SIN(RADIANS(180-$W$38)),IF(AND($W$32&gt;0,$W$41=0,$W$49=0),$W$32/4*-SIN(RADIANS(180-$W$38)),$W$24/4*-SIN(RADIANS(180-$W$30))))))</f>
        <v/>
      </c>
      <c r="BZ19" s="775">
        <f>IF(AND($W$32&gt;0,$W$24&gt;0,OR($W$41&gt;0,$W$49&gt;0)),$W$24*COS(RADIANS(180-$W$30)),IF(AND($W$32=0,$W$24&gt;0,OR($W$41&gt;0,$W$49&gt;0)),$W$24/2*COS(RADIANS(180-$W$30)),IF(AND($W$32&gt;0,$W$24=0,OR($W$41&gt;0,$W$49&gt;0)),$W$32/2*COS(RADIANS(180-$W$38)),IF(AND($W$32&gt;0,$W$41=0,$W$49=0),$W$32/4*COS(RADIANS(180-$W$38)),$W$24/4*COS(RADIANS(180-$W$30))))))</f>
        <v/>
      </c>
      <c r="CA19" s="776">
        <f>IF(AND($W$32&gt;0,$W$24&gt;0,OR($W$41&gt;0,$W$49&gt;0)),$W$24*-SIN(RADIANS(180-$W$30)),IF(AND($W$32&gt;0,$W$24&gt;0,OR($W$41&gt;0,$W$49&gt;0)),$W$32*-SIN(RADIANS(180-$W$38)),IF(AND($W$32&gt;0,$W$24=0,OR($W$41&gt;0,$W$49&gt;0)),$W$32/2*-SIN(RADIANS(180-$W$38)),IF(AND($W$32&gt;0,$W$41=0,$W$49=0),$W$32/4*-SIN(RADIANS(180-$W$38)),$W$24/4*-SIN(RADIANS(180-$W$30))))))</f>
        <v/>
      </c>
    </row>
    <row r="20" ht="12" customHeight="1" s="613">
      <c r="B20" s="347" t="n"/>
      <c r="C20" s="346" t="n"/>
      <c r="D20" s="429" t="inlineStr">
        <is>
          <t>min.</t>
        </is>
      </c>
      <c r="E20" s="295">
        <f>IF(NOT(ISBLANK(F20)),F20,DGET('Grid Numbers'!$A$2:$L$4952,'Grid Numbers'!$J$2,$L$66:$R$67))</f>
        <v/>
      </c>
      <c r="F20" s="504" t="n"/>
      <c r="J20" s="429" t="inlineStr">
        <is>
          <t>min.</t>
        </is>
      </c>
      <c r="K20" s="296">
        <f>IF(NOT(ISBLANK(L20)),L20,DGET('Grid Numbers'!$A$2:$L$4952,'Grid Numbers'!$J$2,$L$68:$R$69))</f>
        <v/>
      </c>
      <c r="L20" s="504" t="n"/>
      <c r="N20" s="429" t="inlineStr">
        <is>
          <t>min.</t>
        </is>
      </c>
      <c r="O20" s="295">
        <f>IF(NOT(ISBLANK(P20)),P20,DGET('Grid Numbers'!$A$2:$L$4952,'Grid Numbers'!$J$2,$L$70:$R$71))</f>
        <v/>
      </c>
      <c r="P20" s="504" t="n"/>
      <c r="T20" s="429" t="inlineStr">
        <is>
          <t>min.</t>
        </is>
      </c>
      <c r="U20" s="295">
        <f>IF(NOT(ISBLANK(V20)),V20,DGET('Grid Numbers'!$A$2:$L$4952,'Grid Numbers'!$J$2,$L$72:$R$73))</f>
        <v/>
      </c>
      <c r="V20" s="504" t="n"/>
      <c r="AA20" s="689" t="n"/>
      <c r="AB20" s="689" t="n"/>
      <c r="AC20" s="320" t="n">
        <v>1</v>
      </c>
      <c r="AD20" s="319" t="inlineStr">
        <is>
          <t>SHL</t>
        </is>
      </c>
      <c r="AE20" s="327">
        <f>IF($L$38='SHL Section'!$BE$51,IF('BHL Section 1'!$BF$38=8,'BHL Section 1'!$AG$24,IF('BHL Section 1'!$BF$39=7,'BHL Section 1'!$AI$24,IF('BHL Section 1'!$BF$40=6,'BHL Section 1'!$AK$24,""))),IF($L$38='SHL Section'!$BE$54,IF('BHL Section 1'!$BF$42=8,'BHL Section 1'!$AG$24,IF('BHL Section 1'!$BF$43=7,'BHL Section 1'!$AI$24,IF('BHL Section 1'!$BF$44=6,'BHL Section 1'!$AK$24,""))),IF($L$38='SHL Section'!$BE$57,IF('BHL Section 1'!$BF$46=8,'BHL Section 1'!$AG$24,IF('BHL Section 1'!$BF$47=7,'BHL Section 1'!$AI$24,IF('BHL Section 1'!$BF$48=6,'BHL Section 1'!$AK$24,""))),IF($L$38='SHL Section'!$BE$56,IF('SHL Section'!$BF$46=8,'SHL Section'!$AG$24,IF('SHL Section'!$BF$47=7,'SHL Section'!$AI$24,IF('SHL Section'!$BF$48=6,'SHL Section'!$AK$24,""))),""))))</f>
        <v/>
      </c>
      <c r="AF20" s="327">
        <f>IF($L$38='SHL Section'!$BE$51,IF('BHL Section 1'!$BF$38=8,'BHL Section 1'!$AH$24,IF('BHL Section 1'!$BF$39=7,'BHL Section 1'!$AJ$24,IF('BHL Section 1'!$BF$40=6,'BHL Section 1'!$AL$24,""))),IF($L$38='SHL Section'!$BE$54,IF('BHL Section 1'!$BF$42=8,'BHL Section 1'!$AH$24,IF('BHL Section 1'!$BF$43=7,'BHL Section 1'!$AJ$24,IF('BHL Section 1'!$BF$44=6,'BHL Section 1'!$AL$24,""))),IF($L$38='SHL Section'!$BE$57,IF('BHL Section 1'!$BF$46=8,'BHL Section 1'!$AH$24,IF('BHL Section 1'!$BF$47=7,'BHL Section 1'!$AJ$24,IF('BHL Section 1'!$BF$48=6,'BHL Section 1'!$AL$24,""))),IF($L$38='SHL Section'!$BE$56,IF('SHL Section'!$BF$46=8,'SHL Section'!$AH$24,IF('SHL Section'!$BF$47=7,'SHL Section'!$AJ$24,IF('SHL Section'!$BF$48=6,'SHL Section'!$AL$24,""))),""))))</f>
        <v/>
      </c>
      <c r="AG20" s="344">
        <f>IF($AE$20="","",$AY$26+$AE$20)</f>
        <v/>
      </c>
      <c r="AH20" s="344">
        <f>IF($AF$20="","",$AZ$26+$AF$20)</f>
        <v/>
      </c>
      <c r="AI20" s="344">
        <f>IF($AE$20="","",$BG$26+$AY$26+$AE$20)</f>
        <v/>
      </c>
      <c r="AJ20" s="344">
        <f>IF($AF$20="","",$AZ$26+$BH$26+$AF$20)</f>
        <v/>
      </c>
      <c r="AK20" s="344">
        <f>IF($AE$20="","",$BW$26+$AE$20)</f>
        <v/>
      </c>
      <c r="AL20" s="344">
        <f>IF($AF$20="","",$AF$20+$BX$26)</f>
        <v/>
      </c>
      <c r="AM20" s="344">
        <f>IF($AE$20="","",$AW$22+$AE$20)</f>
        <v/>
      </c>
      <c r="AN20" s="344">
        <f>IF($AF$20="","",$AX$22+$AF$20)</f>
        <v/>
      </c>
      <c r="AO20" s="344">
        <f>IF($AE$20="","",$AY$26+$AE$20+$BE$22)</f>
        <v/>
      </c>
      <c r="AP20" s="344">
        <f>IF($AF$20="","",$AZ$26+$AF$20+$BF$22)</f>
        <v/>
      </c>
      <c r="AQ20" s="344">
        <f>IF($AE$20="","",$BW$26+$AE$20+$BQ$22)</f>
        <v/>
      </c>
      <c r="AR20" s="344">
        <f>IF($AF$20="","",$AF$20+$BX$26+$BR$22)</f>
        <v/>
      </c>
      <c r="AS20" s="344">
        <f>IF($AE$20="","",$BY$22+$AE$20)</f>
        <v/>
      </c>
      <c r="AT20" s="344">
        <f>IF($AF$20="","",$AF$20+$BZ$22)</f>
        <v/>
      </c>
      <c r="AU20" s="335" t="inlineStr">
        <is>
          <t>Qtr Section</t>
        </is>
      </c>
      <c r="AV20" s="674" t="inlineStr">
        <is>
          <t>1 N-NE</t>
        </is>
      </c>
      <c r="AW20" s="677" t="n"/>
      <c r="AX20" s="677" t="n"/>
      <c r="AY20" s="675" t="n"/>
      <c r="AZ20" s="674" t="inlineStr">
        <is>
          <t>2 N-NW</t>
        </is>
      </c>
      <c r="BA20" s="677" t="n"/>
      <c r="BB20" s="677" t="n"/>
      <c r="BC20" s="675" t="n"/>
      <c r="BD20" s="674" t="inlineStr">
        <is>
          <t>3 W-NW</t>
        </is>
      </c>
      <c r="BE20" s="677" t="n"/>
      <c r="BF20" s="677" t="n"/>
      <c r="BG20" s="675" t="n"/>
      <c r="BH20" s="674" t="inlineStr">
        <is>
          <t>4 W-SW</t>
        </is>
      </c>
      <c r="BI20" s="677" t="n"/>
      <c r="BJ20" s="677" t="n"/>
      <c r="BK20" s="675" t="n"/>
      <c r="BL20" s="674" t="inlineStr">
        <is>
          <t>5 S-SW</t>
        </is>
      </c>
      <c r="BM20" s="677" t="n"/>
      <c r="BN20" s="677" t="n"/>
      <c r="BO20" s="675" t="n"/>
      <c r="BP20" s="674" t="inlineStr">
        <is>
          <t>6 S-SE</t>
        </is>
      </c>
      <c r="BQ20" s="677" t="n"/>
      <c r="BR20" s="677" t="n"/>
      <c r="BS20" s="675" t="n"/>
      <c r="BT20" s="674" t="inlineStr">
        <is>
          <t>7 E-SE</t>
        </is>
      </c>
      <c r="BU20" s="677" t="n"/>
      <c r="BV20" s="677" t="n"/>
      <c r="BW20" s="675" t="n"/>
      <c r="BX20" s="674" t="inlineStr">
        <is>
          <t>8 E-NE</t>
        </is>
      </c>
      <c r="BY20" s="677" t="n"/>
      <c r="BZ20" s="677" t="n"/>
      <c r="CA20" s="675" t="n"/>
      <c r="CC20" s="462" t="inlineStr">
        <is>
          <t>Closure =</t>
        </is>
      </c>
      <c r="CD20" s="765">
        <f>(CC22^2+CD22^2)^0.5</f>
        <v/>
      </c>
    </row>
    <row r="21" ht="12" customHeight="1" s="613">
      <c r="D21" s="429" t="inlineStr">
        <is>
          <t>sec.</t>
        </is>
      </c>
      <c r="E21" s="295">
        <f>IF(NOT(ISBLANK(F21)),F21,DGET('Grid Numbers'!$A$2:$L$4952,'Grid Numbers'!$K$2,$L$66:$R$67))</f>
        <v/>
      </c>
      <c r="F21" s="505" t="n"/>
      <c r="J21" s="429" t="inlineStr">
        <is>
          <t>sec.</t>
        </is>
      </c>
      <c r="K21" s="296">
        <f>IF(NOT(ISBLANK(L21)),L21,DGET('Grid Numbers'!$A$2:$L$4952,'Grid Numbers'!$K$2,$L$68:$R$69))</f>
        <v/>
      </c>
      <c r="L21" s="505" t="n"/>
      <c r="N21" s="429" t="inlineStr">
        <is>
          <t>sec.</t>
        </is>
      </c>
      <c r="O21" s="295">
        <f>IF(NOT(ISBLANK(P21)),P21,DGET('Grid Numbers'!$A$2:$L$4952,'Grid Numbers'!$K$2,$L$70:$R$71))</f>
        <v/>
      </c>
      <c r="P21" s="505" t="n"/>
      <c r="T21" s="429" t="inlineStr">
        <is>
          <t>sec.</t>
        </is>
      </c>
      <c r="U21" s="295">
        <f>IF(NOT(ISBLANK(V21)),V21,DGET('Grid Numbers'!$A$2:$L$4952,'Grid Numbers'!$K$2,$L$72:$R$73))</f>
        <v/>
      </c>
      <c r="V21" s="505" t="n"/>
      <c r="AA21" s="340" t="n"/>
      <c r="AB21" s="340" t="n"/>
      <c r="AC21" s="320" t="n">
        <v>2</v>
      </c>
      <c r="AD21" s="319" t="inlineStr">
        <is>
          <t>SHL</t>
        </is>
      </c>
      <c r="AE21" s="326">
        <f>IF($AG$21="","",$AG$21-$AY$26)</f>
        <v/>
      </c>
      <c r="AF21" s="326">
        <f>IF($AH$21="","",$AH$21-$AZ$26)</f>
        <v/>
      </c>
      <c r="AG21" s="327">
        <f>IF($L$38='SHL Section'!$BE$51,IF('BHL Section 1'!$BF$37=4,'BHL Section 1'!$AE$24,IF('BHL Section 1'!$BF$39=6,'BHL Section 1'!$AI$24,IF('BHL Section 1'!$BF$40=5,'BHL Section 1'!$AK$24,""))),IF($L$38='SHL Section'!$BE$54,IF('BHL Section 1'!$BF$41=4,'BHL Section 1'!$AE$24,IF('BHL Section 1'!$BF$43=6,'BHL Section 1'!$AI$24,IF('BHL Section 1'!$BF$44=5,'BHL Section 1'!$AK$24,""))),IF($L$38='SHL Section'!$BE$57,IF('BHL Section 1'!$BF$45=4,'BHL Section 1'!$AE$24,IF('BHL Section 1'!$BF$47=6,'BHL Section 1'!$AI$24,IF('BHL Section 1'!$BF$48=5,'BHL Section 1'!$AK$24,""))),IF($L$38='SHL Section'!$BE$56,IF('SHL Section'!$BF$45=4,'SHL Section'!$AE$24,IF('SHL Section'!$BF$47=6,'SHL Section'!$AI$24,IF('SHL Section'!$BF$48=5,'SHL Section'!$AK$24,""))),""))))</f>
        <v/>
      </c>
      <c r="AH21" s="327">
        <f>IF($L$38='SHL Section'!$BE$51,IF('BHL Section 1'!$BF$37=4,'BHL Section 1'!$AF$24,IF('BHL Section 1'!$BF$39=6,'BHL Section 1'!$AJ$24,IF('BHL Section 1'!$BF$40=5,'BHL Section 1'!$AL$24,""))),IF($L$38='SHL Section'!$BE$54,IF('BHL Section 1'!$BF$41=4,'BHL Section 1'!$AF$24,IF('BHL Section 1'!$BF$43=6,'BHL Section 1'!$AJ$24,IF('BHL Section 1'!$BF$44=5,'BHL Section 1'!$AL$24,""))),IF($L$38='SHL Section'!$BE$57,IF('BHL Section 1'!$BF$45=4,'BHL Section 1'!$AF$24,IF('BHL Section 1'!$BF$47=6,'BHL Section 1'!$AJ$24,IF('BHL Section 1'!$BF$48=5,'BHL Section 1'!$AL$24,""))),IF($L$38='SHL Section'!$BE$56,IF('SHL Section'!$BF$45=4,'SHL Section'!$AF$24,IF('SHL Section'!$BF$47=6,'SHL Section'!$AJ$24,IF('SHL Section'!$BF$48=5,'SHL Section'!$AL$24,""))),""))))</f>
        <v/>
      </c>
      <c r="AI21" s="326">
        <f>IF($AG$21="","",$BG$26+$AG$21)</f>
        <v/>
      </c>
      <c r="AJ21" s="326">
        <f>IF($AH$21="","",$AH$21+$BH$26)</f>
        <v/>
      </c>
      <c r="AK21" s="326">
        <f>IF($AG$21="","",$AG$21-$AY$26+$BW$26)</f>
        <v/>
      </c>
      <c r="AL21" s="326">
        <f>IF($AH$21="","",$AH$21-$AZ$26+$BX$26)</f>
        <v/>
      </c>
      <c r="AM21" s="326">
        <f>IF($AG$21="","",$AG$21-$BA$22)</f>
        <v/>
      </c>
      <c r="AN21" s="326">
        <f>IF($AH$21="","",AH$21-$BB$22)</f>
        <v/>
      </c>
      <c r="AO21" s="326">
        <f>IF($AG$21="","",$BE$22+$AG$21)</f>
        <v/>
      </c>
      <c r="AP21" s="326">
        <f>IF($AH$21="","",$AH$21+$BF$22)</f>
        <v/>
      </c>
      <c r="AQ21" s="326">
        <f>IF($AG$21="","",$BG$26+$AG$21-$BM$22)</f>
        <v/>
      </c>
      <c r="AR21" s="326">
        <f>IF($AH$21="","",$AH$21+$BH$26-$BN$22)</f>
        <v/>
      </c>
      <c r="AS21" s="326">
        <f>IF($AG$21="","",$AG$21-$AY$26+$BY$22)</f>
        <v/>
      </c>
      <c r="AT21" s="326">
        <f>IF($AH$21="","",$AH$21-$AZ$26+$BZ$22)</f>
        <v/>
      </c>
      <c r="AU21" s="335" t="inlineStr">
        <is>
          <t>N-S &amp; E-W</t>
        </is>
      </c>
      <c r="AV21" s="298" t="n"/>
      <c r="AW21" s="467" t="inlineStr">
        <is>
          <t>N-S</t>
        </is>
      </c>
      <c r="AX21" s="468" t="inlineStr">
        <is>
          <t>E-W</t>
        </is>
      </c>
      <c r="AY21" s="336" t="n"/>
      <c r="AZ21" s="298" t="n"/>
      <c r="BA21" s="467" t="inlineStr">
        <is>
          <t>N-S</t>
        </is>
      </c>
      <c r="BB21" s="468" t="inlineStr">
        <is>
          <t>E-W</t>
        </is>
      </c>
      <c r="BC21" s="336" t="n"/>
      <c r="BD21" s="298" t="n"/>
      <c r="BE21" s="467" t="inlineStr">
        <is>
          <t>N-S</t>
        </is>
      </c>
      <c r="BF21" s="468" t="inlineStr">
        <is>
          <t>E-W</t>
        </is>
      </c>
      <c r="BG21" s="336" t="n"/>
      <c r="BH21" s="298" t="n"/>
      <c r="BI21" s="467" t="inlineStr">
        <is>
          <t>N-S</t>
        </is>
      </c>
      <c r="BJ21" s="468" t="inlineStr">
        <is>
          <t>E-W</t>
        </is>
      </c>
      <c r="BK21" s="336" t="n"/>
      <c r="BL21" s="298" t="n"/>
      <c r="BM21" s="467" t="inlineStr">
        <is>
          <t>N-S</t>
        </is>
      </c>
      <c r="BN21" s="468" t="inlineStr">
        <is>
          <t>E-W</t>
        </is>
      </c>
      <c r="BO21" s="336" t="n"/>
      <c r="BP21" s="298" t="n"/>
      <c r="BQ21" s="467" t="inlineStr">
        <is>
          <t>N-S</t>
        </is>
      </c>
      <c r="BR21" s="468" t="inlineStr">
        <is>
          <t>E-W</t>
        </is>
      </c>
      <c r="BS21" s="336" t="n"/>
      <c r="BT21" s="298" t="n"/>
      <c r="BU21" s="467" t="inlineStr">
        <is>
          <t>N-S</t>
        </is>
      </c>
      <c r="BV21" s="468" t="inlineStr">
        <is>
          <t>E-W</t>
        </is>
      </c>
      <c r="BW21" s="336" t="n"/>
      <c r="BX21" s="298" t="n"/>
      <c r="BY21" s="467" t="inlineStr">
        <is>
          <t>N-S</t>
        </is>
      </c>
      <c r="BZ21" s="468" t="inlineStr">
        <is>
          <t>E-W</t>
        </is>
      </c>
      <c r="CA21" s="336" t="n"/>
      <c r="CC21" s="467" t="inlineStr">
        <is>
          <t>N-S</t>
        </is>
      </c>
      <c r="CD21" s="468" t="inlineStr">
        <is>
          <t>E-W</t>
        </is>
      </c>
    </row>
    <row r="22" ht="12" customHeight="1" s="613">
      <c r="A22" s="341" t="n"/>
      <c r="B22" s="341" t="n"/>
      <c r="C22" s="341" t="n"/>
      <c r="D22" s="429" t="inlineStr">
        <is>
          <t>dir.</t>
        </is>
      </c>
      <c r="E22" s="321">
        <f>IF(NOT(ISBLANK(F22)),F22,DGET('Grid Numbers'!$A$2:$L$4952,'Grid Numbers'!$L$2,$L$66:$R$67))</f>
        <v/>
      </c>
      <c r="F22" s="508" t="n"/>
      <c r="J22" s="429" t="inlineStr">
        <is>
          <t>dir.</t>
        </is>
      </c>
      <c r="K22" s="321">
        <f>IF(NOT(ISBLANK(L22)),L22,DGET('Grid Numbers'!$A$2:$L$4952,'Grid Numbers'!$L$2,$L$68:$R$69))</f>
        <v/>
      </c>
      <c r="L22" s="508" t="n"/>
      <c r="N22" s="429" t="inlineStr">
        <is>
          <t>dir.</t>
        </is>
      </c>
      <c r="O22" s="321">
        <f>IF(NOT(ISBLANK(P22)),P22,DGET('Grid Numbers'!$A$2:$L$4952,'Grid Numbers'!$L$2,$L$70:$R$71))</f>
        <v/>
      </c>
      <c r="P22" s="508" t="n"/>
      <c r="T22" s="429" t="inlineStr">
        <is>
          <t>dir.</t>
        </is>
      </c>
      <c r="U22" s="321">
        <f>IF(NOT(ISBLANK(V22)),V22,DGET('Grid Numbers'!$A$2:$L$4952,'Grid Numbers'!$L$2,$L$72:$R$73))</f>
        <v/>
      </c>
      <c r="V22" s="508" t="n"/>
      <c r="W22" s="341" t="n"/>
      <c r="X22" s="341" t="n"/>
      <c r="AA22" s="689" t="n"/>
      <c r="AB22" s="689" t="n"/>
      <c r="AC22" s="320" t="n">
        <v>3</v>
      </c>
      <c r="AD22" s="319" t="inlineStr">
        <is>
          <t>SHL</t>
        </is>
      </c>
      <c r="AE22" s="326">
        <f>IF($AI$22="","",$AI$22-$BG$26-$AY$26)</f>
        <v/>
      </c>
      <c r="AF22" s="326">
        <f>IF($AJ$22="","",$AJ$22-$BH$26-$AZ$26)</f>
        <v/>
      </c>
      <c r="AG22" s="326">
        <f>IF($AI$22="","",$AI$22-$BG$26)</f>
        <v/>
      </c>
      <c r="AH22" s="326">
        <f>IF($AJ$22="","",$AJ$22-$BH$26)</f>
        <v/>
      </c>
      <c r="AI22" s="327">
        <f>IF($L$38='SHL Section'!$BE$51,IF('BHL Section 1'!$BF$37=3,'BHL Section 1'!$AE$24,IF('BHL Section 1'!$BF$38=2,'BHL Section 1'!$AG$24,IF('BHL Section 1'!$BF$40=4,'BHL Section 1'!$AK$24,""))),IF($L$38='SHL Section'!$BE$54,IF('BHL Section 1'!$BF$41=3,'BHL Section 1'!$AE$24,IF('BHL Section 1'!$BF$42=2,'BHL Section 1'!$AG$24,IF('BHL Section 1'!$BF$44=4,'BHL Section 1'!$AK$24,""))),IF($L$38='SHL Section'!$BE$57,IF('BHL Section 1'!$BF$45=3,'BHL Section 1'!$AE$24,IF('BHL Section 1'!$BF$46=2,'BHL Section 1'!$AG$24,IF('BHL Section 1'!$BF$48=4,'BHL Section 1'!$AK$24,""))),IF($L$38='SHL Section'!$BE$56,IF('SHL Section'!$BF$45=3,'SHL Section'!$AE$24,IF('SHL Section'!$BF$46=2,'SHL Section'!$AG$24,IF('SHL Section'!$BF$48=4,'SHL Section'!$AK$24,""))),""))))</f>
        <v/>
      </c>
      <c r="AJ22" s="327">
        <f>IF($L$38='SHL Section'!$BE$51,IF('BHL Section 1'!$BF$37=3,'BHL Section 1'!$AF$24,IF('BHL Section 1'!$BF$38=2,'BHL Section 1'!$AH$24,IF('BHL Section 1'!$BF$40=4,'BHL Section 1'!$AL$24,""))),IF($L$38='SHL Section'!$BE$54,IF('BHL Section 1'!$BF$41=3,'BHL Section 1'!$AF$24,IF('BHL Section 1'!$BF$42=2,'BHL Section 1'!$AH$24,IF('BHL Section 1'!$BF$44=4,'BHL Section 1'!$AL$24,""))),IF($L$38='SHL Section'!$BE$57,IF('BHL Section 1'!$BF$45=3,'BHL Section 1'!$AF$24,IF('BHL Section 1'!$BF$46=2,'BHL Section 1'!$AH$24,IF('BHL Section 1'!$BF$48=4,'BHL Section 1'!$AL$24,""))),IF($L$38='SHL Section'!$BE$56,IF('SHL Section'!$BF$45=3,'SHL Section'!$AF$24,IF('SHL Section'!$BF$46=2,'SHL Section'!$AH$24,IF('SHL Section'!$BF$48=4,'SHL Section'!$AL$24,""))),""))))</f>
        <v/>
      </c>
      <c r="AK22" s="326">
        <f>IF($AI$22="","",$AI$22-$BO$26)</f>
        <v/>
      </c>
      <c r="AL22" s="326">
        <f>IF($AJ$22="","",$AJ$22-$BP$26)</f>
        <v/>
      </c>
      <c r="AM22" s="326">
        <f>IF($AI$22="","",$AI$22-$BG$26-$BA$22)</f>
        <v/>
      </c>
      <c r="AN22" s="326">
        <f>IF($AJ$22="","",$AJ$22-$BH$26-$BB$22)</f>
        <v/>
      </c>
      <c r="AO22" s="326">
        <f>IF($AI$22="","",$AI$22-$BI$22)</f>
        <v/>
      </c>
      <c r="AP22" s="326">
        <f>IF($AJ$22="","",$AJ$22-$BJ$22)</f>
        <v/>
      </c>
      <c r="AQ22" s="326">
        <f>IF($AI$22="","",$AI$22-$BM$22)</f>
        <v/>
      </c>
      <c r="AR22" s="326">
        <f>IF($AJ$22="","",$AJ$22-$BN$22)</f>
        <v/>
      </c>
      <c r="AS22" s="326">
        <f>IF($AI$22="","",$AI$22-$BO$26-$BU$22)</f>
        <v/>
      </c>
      <c r="AT22" s="326">
        <f>IF($AJ$22="","",$AJ$22-$BP$26-$BV$22)</f>
        <v/>
      </c>
      <c r="AU22" s="335" t="n"/>
      <c r="AV22" s="298" t="n"/>
      <c r="AW22" s="766">
        <f>AV19+AX19</f>
        <v/>
      </c>
      <c r="AX22" s="767">
        <f>AW19+AY19</f>
        <v/>
      </c>
      <c r="AY22" s="336" t="n"/>
      <c r="AZ22" s="298" t="n"/>
      <c r="BA22" s="766">
        <f>AZ19+BB19</f>
        <v/>
      </c>
      <c r="BB22" s="767">
        <f>BA19+BC19</f>
        <v/>
      </c>
      <c r="BC22" s="336" t="n"/>
      <c r="BD22" s="298" t="n"/>
      <c r="BE22" s="766">
        <f>BD19+BF19</f>
        <v/>
      </c>
      <c r="BF22" s="767">
        <f>BE19+BG19</f>
        <v/>
      </c>
      <c r="BG22" s="336" t="n"/>
      <c r="BH22" s="298" t="n"/>
      <c r="BI22" s="766">
        <f>BH19+BJ19</f>
        <v/>
      </c>
      <c r="BJ22" s="767">
        <f>BI19+BK19</f>
        <v/>
      </c>
      <c r="BK22" s="336" t="n"/>
      <c r="BL22" s="298" t="n"/>
      <c r="BM22" s="766">
        <f>BL19+BN19</f>
        <v/>
      </c>
      <c r="BN22" s="767">
        <f>BM19+BO19</f>
        <v/>
      </c>
      <c r="BO22" s="336" t="n"/>
      <c r="BP22" s="298" t="n"/>
      <c r="BQ22" s="766">
        <f>BP19+BR19</f>
        <v/>
      </c>
      <c r="BR22" s="767">
        <f>BQ19+BS19</f>
        <v/>
      </c>
      <c r="BS22" s="336" t="n"/>
      <c r="BT22" s="298" t="n"/>
      <c r="BU22" s="766">
        <f>BT19+BV19</f>
        <v/>
      </c>
      <c r="BV22" s="767">
        <f>BU19+BW19</f>
        <v/>
      </c>
      <c r="BW22" s="336" t="n"/>
      <c r="BX22" s="298" t="n"/>
      <c r="BY22" s="766">
        <f>BX19+BZ19</f>
        <v/>
      </c>
      <c r="BZ22" s="767">
        <f>BY19+CA19</f>
        <v/>
      </c>
      <c r="CA22" s="336" t="n"/>
      <c r="CC22" s="768">
        <f>AY26+BG26-BO26-BW26</f>
        <v/>
      </c>
      <c r="CD22" s="769">
        <f>AZ26+BH26-BP26-BX26</f>
        <v/>
      </c>
    </row>
    <row r="23" ht="12" customHeight="1" s="613" thickBot="1">
      <c r="B23" s="697">
        <f>CONCATENATE("NW SC of ",$L$38)</f>
        <v/>
      </c>
      <c r="D23" s="429" t="inlineStr">
        <is>
          <t>dec. deg.</t>
        </is>
      </c>
      <c r="E23" s="770">
        <f>IF(AND($L$38='SHL Section'!$BE$50,MAX('SHL Section'!$BF$37:$BF$40)=6),'SHL Section'!$E$62,IF(AND($L$38='SHL Section'!$BE$53,MAX('SHL Section'!$BF$41:$BF$44)=6),'SHL Section'!$E$62,IF(AND($L$38='SHL Section'!$BE$56,MAX('SHL Section'!$BF$45:$BF$48)=6),'SHL Section'!$E$62,IF(E19="","",IF(OR(E22=1,E22=4),180-(E19+E20/60+E21/3600),(E19+E20/60+E21/3600))))))</f>
        <v/>
      </c>
      <c r="J23" s="429" t="inlineStr">
        <is>
          <t>dec. deg.</t>
        </is>
      </c>
      <c r="K23" s="770">
        <f>IF(AND($L$38='SHL Section'!$BE$50,MAX('SHL Section'!$BF$37:$BF$40)=6),'SHL Section'!$K$62,IF(AND($L$38='SHL Section'!$BE$53,MAX('SHL Section'!$BF$41:$BF$44)=6),'SHL Section'!$K$62,IF(AND($L$38='SHL Section'!$BE$56,MAX('SHL Section'!$BF$45:$BF$48)=6),'SHL Section'!$K$62,IF(K19="","",IF(OR(K22=1,K22=4),180-(K19+K20/60+K21/3600),(K19+K20/60+K21/3600))))))</f>
        <v/>
      </c>
      <c r="L23" s="714">
        <f>CONCATENATE("N QC of ",$L$38)</f>
        <v/>
      </c>
      <c r="M23" s="633" t="n"/>
      <c r="N23" s="429" t="inlineStr">
        <is>
          <t>dec. deg.</t>
        </is>
      </c>
      <c r="O23" s="771">
        <f>IF(AND($L$38='SHL Section'!$BE$50,MAX('SHL Section'!$BF$37:$BF$40)=6),'SHL Section'!$O$62,IF(AND($L$38='SHL Section'!$BE$53,MAX('SHL Section'!$BF$41:$BF$44)=6),'SHL Section'!$O$62,IF(AND($L$38='SHL Section'!$BE$56,MAX('SHL Section'!$BF$45:$BF$48)=6),'SHL Section'!$O$62,IF(O19="","",IF(OR(O22=1,O22=4),180-(O19+O20/60+O21/3600),(O19+O20/60+O21/3600))))))</f>
        <v/>
      </c>
      <c r="T23" s="429" t="inlineStr">
        <is>
          <t>dec. deg.</t>
        </is>
      </c>
      <c r="U23" s="771">
        <f>IF(AND($L$38='SHL Section'!$BE$50,MAX('SHL Section'!$BF$37:$BF$40)=6),'SHL Section'!$U$62,IF(AND($L$38='SHL Section'!$BE$53,MAX('SHL Section'!$BF$41:$BF$44)=6),'SHL Section'!$U$62,IF(AND($L$38='SHL Section'!$BE$56,MAX('SHL Section'!$BF$45:$BF$48)=6),'SHL Section'!$U$62,IF(U19="","",IF(OR(U22=1,U22=4),180-(U19+U20/60+U21/3600),(U19+U20/60+U21/3600))))))</f>
        <v/>
      </c>
      <c r="V23" s="698">
        <f>CONCATENATE("NE SC of ",$L$38)</f>
        <v/>
      </c>
      <c r="Y23" s="340" t="n"/>
      <c r="Z23" s="340" t="n"/>
      <c r="AA23" s="689" t="n"/>
      <c r="AB23" s="689" t="n"/>
      <c r="AC23" s="469" t="n">
        <v>4</v>
      </c>
      <c r="AD23" s="676" t="inlineStr">
        <is>
          <t>SHL</t>
        </is>
      </c>
      <c r="AE23" s="324">
        <f>IF($AK$23="","",$AK$23-$BW$26)</f>
        <v/>
      </c>
      <c r="AF23" s="324">
        <f>IF($AL$23="","",$AL$23-$BX$26)</f>
        <v/>
      </c>
      <c r="AG23" s="324">
        <f>IF($AK$23="","",$AK$23+$BO$26-$BG$26)</f>
        <v/>
      </c>
      <c r="AH23" s="324">
        <f>IF($AL$23="","",$AL$23+$BP$26+$BH$26)</f>
        <v/>
      </c>
      <c r="AI23" s="324">
        <f>IF($AK$23="","",$AK$23+$BO$26)</f>
        <v/>
      </c>
      <c r="AJ23" s="324">
        <f>IF($AL$23="","",$AL$23+$BP$26)</f>
        <v/>
      </c>
      <c r="AK23" s="325">
        <f>IF($L$38='SHL Section'!$BE$51,IF('BHL Section 1'!$BF$37=2,'BHL Section 1'!$AE$24,IF('BHL Section 1'!$BF$38=9,'BHL Section 1'!$AG$24,IF('BHL Section 1'!$BF$39=8,'BHL Section 1'!$AI$24,""))),IF($L$38='SHL Section'!$BE$54,IF('BHL Section 1'!$BF$41=2,'BHL Section 1'!$AE$24,IF('BHL Section 1'!$BF$42=9,'BHL Section 1'!$AG$24,IF('BHL Section 1'!$BF$43=8,'BHL Section 1'!$AI$24,""))),IF($L$38='SHL Section'!$BE$57,IF('BHL Section 1'!$BF$45=2,'BHL Section 1'!$AE$24,IF('BHL Section 1'!$BF$46=9,'BHL Section 1'!$AG$24,IF('BHL Section 1'!$BF$47=8,'BHL Section 1'!$AI$24,""))),IF($L$38='SHL Section'!$BE$56,IF('SHL Section'!$BF$45=2,'SHL Section'!$AE$24,IF('SHL Section'!$BF$46=9,'SHL Section'!$AG$24,IF('SHL Section'!$BF$47=8,'SHL Section'!$AI$24,""))),""))))</f>
        <v/>
      </c>
      <c r="AL23" s="325">
        <f>IF($L$38='SHL Section'!$BE$51,IF('BHL Section 1'!$BF$37=2,'BHL Section 1'!$AF$24,IF('BHL Section 1'!$BF$38=9,'BHL Section 1'!$AH$24,IF('BHL Section 1'!$BF$39=8,'BHL Section 1'!$AJ$24,""))),IF($L$38='SHL Section'!$BE$54,IF('BHL Section 1'!$BF$41=2,'BHL Section 1'!$AF$24,IF('BHL Section 1'!$BF$42=9,'BHL Section 1'!$AH$24,IF('BHL Section 1'!$BF$43=8,'BHL Section 1'!$AJ$24,""))),IF($L$38='SHL Section'!$BE$57,IF('BHL Section 1'!$BF$45=2,'BHL Section 1'!$AF$24,IF('BHL Section 1'!$BF$46=9,'BHL Section 1'!$AH$24,IF('BHL Section 1'!$BF$47=8,'BHL Section 1'!$AJ$24,""))),IF($L$38='SHL Section'!$BE$56,IF('SHL Section'!$BF$45=2,'SHL Section'!$AF$24,IF('SHL Section'!$BF$46=9,'SHL Section'!$AH$24,IF('SHL Section'!$BF$47=8,'SHL Section'!$AJ$24,""))),""))))</f>
        <v/>
      </c>
      <c r="AM23" s="324">
        <f>IF($AK$23="","",$AK$23-$BW$26+$AW$22)</f>
        <v/>
      </c>
      <c r="AN23" s="324">
        <f>IF($AL$23="","",$AL$23-$BX$26+$AX$22)</f>
        <v/>
      </c>
      <c r="AO23" s="324">
        <f>IF($AK$23="","",$AK$23+$BO$26-$BI$22)</f>
        <v/>
      </c>
      <c r="AP23" s="324">
        <f>IF($AL$23="","",$AL$23+$BP$26-$BJ$22)</f>
        <v/>
      </c>
      <c r="AQ23" s="324">
        <f>IF($AK$23="","",$AK$23+$BQ$22)</f>
        <v/>
      </c>
      <c r="AR23" s="324">
        <f>IF($AL$23="","",$AL$23+$BR$22)</f>
        <v/>
      </c>
      <c r="AS23" s="324">
        <f>IF($AK$23="","",$AK$23-$BU$22)</f>
        <v/>
      </c>
      <c r="AT23" s="324">
        <f>IF($AL$23="","",$AL$23-$BV$22)</f>
        <v/>
      </c>
      <c r="AU23" s="335" t="n"/>
      <c r="AV23" s="298" t="n"/>
      <c r="BD23" s="298" t="n"/>
      <c r="BL23" s="298" t="n"/>
      <c r="BT23" s="298" t="n"/>
      <c r="BZ23" s="693" t="n"/>
      <c r="CA23" s="693" t="n"/>
      <c r="CB23" s="244" t="n"/>
    </row>
    <row r="24" ht="12" customHeight="1" s="613">
      <c r="B24" s="420">
        <f>IF(AND($L$38='SHL Section'!$BE$51,MAX('BHL Section 1'!$BF$37:$BF$40)=4),'BHL Section 1'!$W$24,IF(AND($L$38='SHL Section'!$BE$54,MAX('BHL Section 1'!$BF$41:$BF$44)=4),'BHL Section 1'!$W$24,IF(AND($L$38='SHL Section'!$BE$57,MAX('BHL Section 1'!$BF$45:$BF$48)=4),'BHL Section 1'!$W$24,B25)))</f>
        <v/>
      </c>
      <c r="C24" s="432" t="n"/>
      <c r="D24" s="653" t="n"/>
      <c r="E24" s="653" t="n"/>
      <c r="F24" s="653" t="n"/>
      <c r="G24" s="653" t="n"/>
      <c r="H24" s="653" t="n"/>
      <c r="I24" s="653" t="n"/>
      <c r="J24" s="653" t="n"/>
      <c r="K24" s="653" t="n"/>
      <c r="L24" s="431" t="n"/>
      <c r="M24" s="430" t="n"/>
      <c r="N24" s="653" t="n"/>
      <c r="O24" s="653" t="n"/>
      <c r="P24" s="653" t="n"/>
      <c r="Q24" s="653" t="n"/>
      <c r="R24" s="653" t="n"/>
      <c r="S24" s="653" t="n"/>
      <c r="T24" s="653" t="n"/>
      <c r="U24" s="653" t="n"/>
      <c r="V24" s="656" t="n"/>
      <c r="W24" s="428">
        <f>IF(AND($L$38='SHL Section'!$BE$51,MAX('BHL Section 1'!$BF$37:$BF$40)=8),'BHL Section 1'!$B$24,IF(AND($L$38='SHL Section'!$BE$54,MAX('BHL Section 1'!$BF$41:$BF$44)=8),'BHL Section 1'!$B$24,IF(AND($L$38='SHL Section'!$BE$57,MAX('BHL Section 1'!$BF$45:$BF$48)=8),'BHL Section 1'!$B$24,W25)))</f>
        <v/>
      </c>
      <c r="AA24" s="689" t="n"/>
      <c r="AB24" s="689" t="n"/>
      <c r="AC24" s="671" t="n"/>
      <c r="AD24" s="617" t="n"/>
      <c r="AE24" s="323">
        <f>IF(ISNUMBER($AE$20),AE$20,IF(ISNUMBER($AG$21),AE$21,IF(ISNUMBER($AI$22),AE$22,IF(ISNUMBER($AK$23),AE$23,""))))</f>
        <v/>
      </c>
      <c r="AF24" s="323">
        <f>IF(ISNUMBER($AF$20),AF$20,IF(ISNUMBER($AH$21),AF$21,IF(ISNUMBER($AJ$22),AF$22,IF(ISNUMBER($AL$23),AF$23,""))))</f>
        <v/>
      </c>
      <c r="AG24" s="323">
        <f>IF(ISNUMBER($AE$20),AG$20,IF(ISNUMBER($AG$21),AG$21,IF(ISNUMBER($AI$22),AG$22,IF(ISNUMBER($AK$23),AG$23,""))))</f>
        <v/>
      </c>
      <c r="AH24" s="323">
        <f>IF(ISNUMBER($AF$20),AH$20,IF(ISNUMBER($AH$21),AH$21,IF(ISNUMBER($AJ$22),AH$22,IF(ISNUMBER($AL$23),AH$23,""))))</f>
        <v/>
      </c>
      <c r="AI24" s="323">
        <f>IF(ISNUMBER($AE$20),AI$20,IF(ISNUMBER($AG$21),AI$21,IF(ISNUMBER($AI$22),AI$22,IF(ISNUMBER($AK$23),AI$23,""))))</f>
        <v/>
      </c>
      <c r="AJ24" s="323">
        <f>IF(ISNUMBER($AF$20),AJ$20,IF(ISNUMBER($AH$21),AJ$21,IF(ISNUMBER($AJ$22),AJ$22,IF(ISNUMBER($AL$23),AJ$23,""))))</f>
        <v/>
      </c>
      <c r="AK24" s="323">
        <f>IF(ISNUMBER($AE$20),AK$20,IF(ISNUMBER($AG$21),AK$21,IF(ISNUMBER($AI$22),AK$22,IF(ISNUMBER($AK$23),AK$23,""))))</f>
        <v/>
      </c>
      <c r="AL24" s="323">
        <f>IF(ISNUMBER($AF$20),AL$20,IF(ISNUMBER($AH$21),AL$21,IF(ISNUMBER($AJ$22),AL$22,IF(ISNUMBER($AL$23),AL$23,""))))</f>
        <v/>
      </c>
      <c r="AM24" s="323">
        <f>IF(ISNUMBER($AE$20),AM$20,IF(ISNUMBER($AG$21),AM$21,IF(ISNUMBER($AI$22),AM$22,IF(ISNUMBER($AK$23),AM$23,""))))</f>
        <v/>
      </c>
      <c r="AN24" s="323">
        <f>IF(ISNUMBER($AF$20),AN$20,IF(ISNUMBER($AH$21),AN$21,IF(ISNUMBER($AJ$22),AN$22,IF(ISNUMBER($AL$23),AN$23,""))))</f>
        <v/>
      </c>
      <c r="AO24" s="323">
        <f>IF(ISNUMBER($AE$20),AO$20,IF(ISNUMBER($AG$21),AO$21,IF(ISNUMBER($AI$22),AO$22,IF(ISNUMBER($AK$23),AO$23,""))))</f>
        <v/>
      </c>
      <c r="AP24" s="323">
        <f>IF(ISNUMBER($AF$20),AP$20,IF(ISNUMBER($AH$21),AP$21,IF(ISNUMBER($AJ$22),AP$22,IF(ISNUMBER($AL$23),AP$23,""))))</f>
        <v/>
      </c>
      <c r="AQ24" s="323">
        <f>IF(ISNUMBER($AE$20),AQ$20,IF(ISNUMBER($AG$21),AQ$21,IF(ISNUMBER($AI$22),AQ$22,IF(ISNUMBER($AK$23),AQ$23,""))))</f>
        <v/>
      </c>
      <c r="AR24" s="323">
        <f>IF(ISNUMBER($AF$20),AR$20,IF(ISNUMBER($AH$21),AR$21,IF(ISNUMBER($AJ$22),AR$22,IF(ISNUMBER($AL$23),AR$23,""))))</f>
        <v/>
      </c>
      <c r="AS24" s="323">
        <f>IF(ISNUMBER($AE$20),AS$20,IF(ISNUMBER($AG$21),AS$21,IF(ISNUMBER($AI$22),AS$22,IF(ISNUMBER($AK$23),AS$23,""))))</f>
        <v/>
      </c>
      <c r="AT24" s="323">
        <f>IF(ISNUMBER($AF$20),AT$20,IF(ISNUMBER($AH$21),AT$21,IF(ISNUMBER($AJ$22),AT$22,IF(ISNUMBER($AL$23),AT$23,""))))</f>
        <v/>
      </c>
      <c r="AU24" s="335" t="inlineStr">
        <is>
          <t>Section</t>
        </is>
      </c>
      <c r="AV24" s="674" t="inlineStr">
        <is>
          <t>N</t>
        </is>
      </c>
      <c r="AW24" s="677" t="n"/>
      <c r="AX24" s="677" t="n"/>
      <c r="AY24" s="677" t="n"/>
      <c r="AZ24" s="677" t="n"/>
      <c r="BA24" s="677" t="n"/>
      <c r="BB24" s="677" t="n"/>
      <c r="BC24" s="675" t="n"/>
      <c r="BD24" s="674" t="inlineStr">
        <is>
          <t>W</t>
        </is>
      </c>
      <c r="BE24" s="677" t="n"/>
      <c r="BF24" s="677" t="n"/>
      <c r="BG24" s="677" t="n"/>
      <c r="BH24" s="677" t="n"/>
      <c r="BI24" s="677" t="n"/>
      <c r="BJ24" s="677" t="n"/>
      <c r="BK24" s="675" t="n"/>
      <c r="BL24" s="674" t="inlineStr">
        <is>
          <t>S</t>
        </is>
      </c>
      <c r="BM24" s="677" t="n"/>
      <c r="BN24" s="677" t="n"/>
      <c r="BO24" s="677" t="n"/>
      <c r="BP24" s="677" t="n"/>
      <c r="BQ24" s="677" t="n"/>
      <c r="BR24" s="677" t="n"/>
      <c r="BS24" s="675" t="n"/>
      <c r="BT24" s="674" t="inlineStr">
        <is>
          <t>E</t>
        </is>
      </c>
      <c r="BU24" s="677" t="n"/>
      <c r="BV24" s="677" t="n"/>
      <c r="BW24" s="677" t="n"/>
      <c r="BX24" s="677" t="n"/>
      <c r="BY24" s="677" t="n"/>
      <c r="BZ24" s="677" t="n"/>
      <c r="CA24" s="675" t="n"/>
    </row>
    <row r="25" ht="12" customHeight="1" s="613">
      <c r="A25" s="429" t="inlineStr">
        <is>
          <t>dist.</t>
        </is>
      </c>
      <c r="B25" s="368">
        <f>IF(NOT(ISBLANK(D25)),D25,DGET('Grid Numbers'!$A$2:$L$4952,'Grid Numbers'!$H$2,$B$66:$H$67))</f>
        <v/>
      </c>
      <c r="C25" s="700" t="n"/>
      <c r="D25" s="504" t="n"/>
      <c r="L25" s="310" t="n"/>
      <c r="M25" s="309" t="n"/>
      <c r="U25" s="504" t="n"/>
      <c r="V25" s="646" t="n"/>
      <c r="W25" s="473">
        <f>IF(NOT(ISBLANK(U25)),U25,DGET('Grid Numbers'!$A$2:$L$4952,'Grid Numbers'!$H$2,$B$74:$H$75))</f>
        <v/>
      </c>
      <c r="X25" s="426" t="inlineStr">
        <is>
          <t>dist.</t>
        </is>
      </c>
      <c r="AA25" s="689" t="n"/>
      <c r="AB25" s="689" t="n"/>
      <c r="AC25" s="332" t="n"/>
      <c r="AD25" s="331" t="n"/>
      <c r="AE25" s="330" t="n"/>
      <c r="AF25" s="330" t="n"/>
      <c r="AG25" s="330" t="n"/>
      <c r="AH25" s="330" t="n"/>
      <c r="AI25" s="330" t="n"/>
      <c r="AJ25" s="330" t="n"/>
      <c r="AK25" s="330" t="n"/>
      <c r="AL25" s="330" t="n"/>
      <c r="AM25" s="330" t="n"/>
      <c r="AN25" s="330" t="n"/>
      <c r="AO25" s="330" t="n"/>
      <c r="AP25" s="330" t="n"/>
      <c r="AQ25" s="330" t="n"/>
      <c r="AR25" s="330" t="n"/>
      <c r="AS25" s="330" t="n"/>
      <c r="AT25" s="330" t="n"/>
      <c r="AU25" s="335" t="inlineStr">
        <is>
          <t>N-S &amp; E-W</t>
        </is>
      </c>
      <c r="AV25" s="300" t="n"/>
      <c r="AW25" s="339" t="n"/>
      <c r="AX25" s="339" t="n"/>
      <c r="AY25" s="467" t="inlineStr">
        <is>
          <t>N-S</t>
        </is>
      </c>
      <c r="AZ25" s="468" t="inlineStr">
        <is>
          <t>E-W</t>
        </is>
      </c>
      <c r="BA25" s="339" t="n"/>
      <c r="BB25" s="339" t="n"/>
      <c r="BC25" s="338" t="n"/>
      <c r="BD25" s="300" t="n"/>
      <c r="BE25" s="339" t="n"/>
      <c r="BF25" s="339" t="n"/>
      <c r="BG25" s="467" t="inlineStr">
        <is>
          <t>N-S</t>
        </is>
      </c>
      <c r="BH25" s="468" t="inlineStr">
        <is>
          <t>E-W</t>
        </is>
      </c>
      <c r="BI25" s="339" t="n"/>
      <c r="BJ25" s="339" t="n"/>
      <c r="BK25" s="338" t="n"/>
      <c r="BL25" s="300" t="n"/>
      <c r="BM25" s="339" t="n"/>
      <c r="BN25" s="339" t="n"/>
      <c r="BO25" s="467" t="inlineStr">
        <is>
          <t>N-S</t>
        </is>
      </c>
      <c r="BP25" s="468" t="inlineStr">
        <is>
          <t>E-W</t>
        </is>
      </c>
      <c r="BQ25" s="339" t="n"/>
      <c r="BR25" s="339" t="n"/>
      <c r="BS25" s="338" t="n"/>
      <c r="BT25" s="300" t="n"/>
      <c r="BU25" s="339" t="n"/>
      <c r="BV25" s="339" t="n"/>
      <c r="BW25" s="467" t="inlineStr">
        <is>
          <t>N-S</t>
        </is>
      </c>
      <c r="BX25" s="468" t="inlineStr">
        <is>
          <t>E-W</t>
        </is>
      </c>
      <c r="BY25" s="339" t="n"/>
      <c r="BZ25" s="339" t="n"/>
      <c r="CA25" s="338" t="n"/>
    </row>
    <row r="26" ht="12" customHeight="1" s="613">
      <c r="A26" s="429" t="inlineStr">
        <is>
          <t>deg.</t>
        </is>
      </c>
      <c r="B26" s="295">
        <f>IF(NOT(ISBLANK(D26)),D26,DGET('Grid Numbers'!$A$2:$L$4952,'Grid Numbers'!$I$2,$B$66:$H$67))</f>
        <v/>
      </c>
      <c r="C26" s="700" t="n"/>
      <c r="D26" s="504" t="n"/>
      <c r="G26" s="686" t="inlineStr">
        <is>
          <t>Quadrant 2</t>
        </is>
      </c>
      <c r="H26" s="677" t="n"/>
      <c r="I26" s="337" t="n"/>
      <c r="L26" s="310" t="n"/>
      <c r="M26" s="309" t="n"/>
      <c r="Q26" s="686" t="inlineStr">
        <is>
          <t>Quadrant 1</t>
        </is>
      </c>
      <c r="R26" s="677" t="n"/>
      <c r="U26" s="504" t="n"/>
      <c r="V26" s="646" t="n"/>
      <c r="W26" s="474">
        <f>IF(NOT(ISBLANK(U26)),U26,DGET('Grid Numbers'!$A$2:$L$4952,'Grid Numbers'!$I$2,$B$74:$H$75))</f>
        <v/>
      </c>
      <c r="X26" s="426" t="inlineStr">
        <is>
          <t>deg.</t>
        </is>
      </c>
      <c r="AA26" s="689" t="n"/>
      <c r="AB26" s="689" t="n"/>
      <c r="AC26" s="320" t="n">
        <v>1</v>
      </c>
      <c r="AD26" s="319" t="inlineStr">
        <is>
          <t>BHL1</t>
        </is>
      </c>
      <c r="AE26" s="327">
        <f>IF(AND($AS$24+'SHL Section'!$AI$8&gt;0,$AN$24+'SHL Section'!$AK$8&gt;0),$AE$24+'SHL Section'!$AI$8,"")</f>
        <v/>
      </c>
      <c r="AF26" s="327">
        <f>IF(AND($AS$24+'SHL Section'!$AI$8&gt;0,$AN$24+'SHL Section'!$AK$8&gt;0),$AF$24+'SHL Section'!$AK$8,"")</f>
        <v/>
      </c>
      <c r="AG26" s="326">
        <f>IF($AE$26="","",$AY$26+$AE$26)</f>
        <v/>
      </c>
      <c r="AH26" s="326">
        <f>IF($AF$26="","",$AZ$26+$AF$26)</f>
        <v/>
      </c>
      <c r="AI26" s="326">
        <f>IF($AE$26="","",$BG$26+$AY$26+$AE$26)</f>
        <v/>
      </c>
      <c r="AJ26" s="326">
        <f>IF($AF$26="","",$AZ$26+$BH$26+$AF$26)</f>
        <v/>
      </c>
      <c r="AK26" s="326">
        <f>IF($AE$26="","",$BW$26+$AE$26)</f>
        <v/>
      </c>
      <c r="AL26" s="326">
        <f>IF($AF$26="","",$AF$26+$BX$26)</f>
        <v/>
      </c>
      <c r="AM26" s="326">
        <f>IF($AE$26="","",$AW$22+$AE$26)</f>
        <v/>
      </c>
      <c r="AN26" s="326">
        <f>IF($AF$26="","",$AX$22+$AF$26)</f>
        <v/>
      </c>
      <c r="AO26" s="326">
        <f>IF($AE$26="","",$AY$26+$AE$26+$BE$22)</f>
        <v/>
      </c>
      <c r="AP26" s="326">
        <f>IF($AF$26="","",$AZ$26+$AF$26+$BF$22)</f>
        <v/>
      </c>
      <c r="AQ26" s="326">
        <f>IF($AE$26="","",$BW$26+$AE$26+$BQ$22)</f>
        <v/>
      </c>
      <c r="AR26" s="326">
        <f>IF($AF$26="","",$AF$26+$BX$26+$BR$22)</f>
        <v/>
      </c>
      <c r="AS26" s="326">
        <f>IF($AE$26="","",$BY$22+$AE$26)</f>
        <v/>
      </c>
      <c r="AT26" s="326">
        <f>IF($AF$26="","",$AF$26+$BZ$22)</f>
        <v/>
      </c>
      <c r="AU26" s="335" t="n"/>
      <c r="AV26" s="298" t="n"/>
      <c r="AY26" s="766">
        <f>AW22+BA22</f>
        <v/>
      </c>
      <c r="AZ26" s="767">
        <f>AX22+BB22</f>
        <v/>
      </c>
      <c r="BC26" s="336" t="n"/>
      <c r="BD26" s="298" t="n"/>
      <c r="BG26" s="766">
        <f>BE22+BI22</f>
        <v/>
      </c>
      <c r="BH26" s="767">
        <f>BF22+BJ22</f>
        <v/>
      </c>
      <c r="BK26" s="336" t="n"/>
      <c r="BL26" s="298" t="n"/>
      <c r="BO26" s="766">
        <f>BM22+BQ22</f>
        <v/>
      </c>
      <c r="BP26" s="767">
        <f>BN22+BR22</f>
        <v/>
      </c>
      <c r="BS26" s="336" t="n"/>
      <c r="BT26" s="298" t="n"/>
      <c r="BW26" s="766">
        <f>BU22+BY22</f>
        <v/>
      </c>
      <c r="BX26" s="767">
        <f>BV22+BZ22</f>
        <v/>
      </c>
      <c r="BZ26" s="693" t="n"/>
      <c r="CA26" s="336" t="n"/>
    </row>
    <row r="27" ht="12" customHeight="1" s="613">
      <c r="A27" s="429" t="inlineStr">
        <is>
          <t>min.</t>
        </is>
      </c>
      <c r="B27" s="295">
        <f>IF(NOT(ISBLANK(D27)),D27,DGET('Grid Numbers'!$A$2:$L$4952,'Grid Numbers'!$J$2,$B$66:$H$67))</f>
        <v/>
      </c>
      <c r="C27" s="700" t="n"/>
      <c r="D27" s="504" t="n"/>
      <c r="G27" s="315">
        <f>IF(ISNUMBER($AG$58),$B$8,"")</f>
        <v/>
      </c>
      <c r="H27" s="314">
        <f>IF(AND(G28="",G29=""),"",IF($AG$58=1,"NE/NW",IF($AG$58=2,"NW/NW",IF($AG$58=3,"SW/NW",IF($AG$58=4,"SE/NW","")))))</f>
        <v/>
      </c>
      <c r="L27" s="310" t="n"/>
      <c r="M27" s="309" t="n"/>
      <c r="Q27" s="334">
        <f>IF(ISNUMBER($AE$58),$B$8,"")</f>
        <v/>
      </c>
      <c r="R27" s="314">
        <f>IF(AND(Q28="",Q29=""),"",IF($AE$58=1,"NE/NE",IF($AE$58=2,"NW/NE",IF($AE$58=3,"SW/NE",IF($AE$58=4,"SE/NE","")))))</f>
        <v/>
      </c>
      <c r="U27" s="504" t="n"/>
      <c r="V27" s="646" t="n"/>
      <c r="W27" s="474">
        <f>IF(NOT(ISBLANK(U27)),U27,DGET('Grid Numbers'!$A$2:$L$4952,'Grid Numbers'!$J$2,$B$74:$H$75))</f>
        <v/>
      </c>
      <c r="X27" s="426" t="inlineStr">
        <is>
          <t>min.</t>
        </is>
      </c>
      <c r="AA27" s="689" t="n"/>
      <c r="AB27" s="689" t="n"/>
      <c r="AC27" s="320" t="n">
        <v>2</v>
      </c>
      <c r="AD27" s="319" t="inlineStr">
        <is>
          <t>BHL1</t>
        </is>
      </c>
      <c r="AE27" s="326">
        <f>IF($AG$27="","",$AG$27-$AY$26)</f>
        <v/>
      </c>
      <c r="AF27" s="326">
        <f>IF($AH$27="","",$AH$27-$AZ$26)</f>
        <v/>
      </c>
      <c r="AG27" s="327">
        <f>IF(AND($AO$24+'SHL Section'!$AI$8&gt;0,$AN$24+'SHL Section'!$AK$8&lt;0),$AG$24+'SHL Section'!$AI$8,"")</f>
        <v/>
      </c>
      <c r="AH27" s="327">
        <f>IF(AND($AO$24+'SHL Section'!$AI$8&gt;0,$AN$24+'SHL Section'!$AK$8&lt;0),$AH$24+'SHL Section'!$AK$8,"")</f>
        <v/>
      </c>
      <c r="AI27" s="326">
        <f>IF($AG$27="","",$BG$26+$AG$27)</f>
        <v/>
      </c>
      <c r="AJ27" s="326">
        <f>IF($AH$27="","",$AH$27+$BH$26)</f>
        <v/>
      </c>
      <c r="AK27" s="326">
        <f>IF($AG$27="","",$AG$27-$AY$26+$BW$26)</f>
        <v/>
      </c>
      <c r="AL27" s="326">
        <f>IF($AH$27="","",$AH$27-$AZ$26+$BX$26)</f>
        <v/>
      </c>
      <c r="AM27" s="326">
        <f>IF($AG$27="","",$AG$27-$BA$22)</f>
        <v/>
      </c>
      <c r="AN27" s="326">
        <f>IF($AH$27="","",AH$27-$BB$22)</f>
        <v/>
      </c>
      <c r="AO27" s="326">
        <f>IF($AG$27="","",$BE$22+$AG$27)</f>
        <v/>
      </c>
      <c r="AP27" s="326">
        <f>IF($AH$27="","",$AH$27+$BF$22)</f>
        <v/>
      </c>
      <c r="AQ27" s="326">
        <f>IF($AG$27="","",$BG$26+$AG$27-$BM$22)</f>
        <v/>
      </c>
      <c r="AR27" s="326">
        <f>IF($AH$27="","",$AH$27+$BH$26-$BN$22)</f>
        <v/>
      </c>
      <c r="AS27" s="326">
        <f>IF($AG$27="","",$AG$27-$AY$26+$BY$22)</f>
        <v/>
      </c>
      <c r="AT27" s="326">
        <f>IF($AH$27="","",$AH$27-$AZ$26+$BZ$22)</f>
        <v/>
      </c>
      <c r="AU27" s="335" t="n"/>
      <c r="BZ27" s="693" t="n"/>
      <c r="CA27" s="693" t="n"/>
    </row>
    <row r="28" ht="12" customHeight="1" s="613">
      <c r="A28" s="429" t="inlineStr">
        <is>
          <t>sec.</t>
        </is>
      </c>
      <c r="B28" s="295">
        <f>IF(NOT(ISBLANK(D28)),D28,DGET('Grid Numbers'!$A$2:$L$4952,'Grid Numbers'!$K$2,$B$66:$H$67))</f>
        <v/>
      </c>
      <c r="C28" s="700" t="n"/>
      <c r="D28" s="505" t="n"/>
      <c r="G28" s="312">
        <f>IF(ISNUMBER($AG$58),$I$8,"")</f>
        <v/>
      </c>
      <c r="H28" s="311">
        <f>IF(ISNUMBER($AG$58),"FNL","")</f>
        <v/>
      </c>
      <c r="J28" s="693" t="n"/>
      <c r="K28" s="693" t="n"/>
      <c r="L28" s="310" t="n"/>
      <c r="M28" s="309" t="n"/>
      <c r="Q28" s="312">
        <f>IF(ISNUMBER($AE$58),$I$8,"")</f>
        <v/>
      </c>
      <c r="R28" s="311">
        <f>IF(ISNUMBER($AE$58),"FNL","")</f>
        <v/>
      </c>
      <c r="U28" s="505" t="n"/>
      <c r="V28" s="646" t="n"/>
      <c r="W28" s="474">
        <f>IF(NOT(ISBLANK(U28)),U28,DGET('Grid Numbers'!$A$2:$L$4952,'Grid Numbers'!$K$2,$B$74:$H$75))</f>
        <v/>
      </c>
      <c r="X28" s="426" t="inlineStr">
        <is>
          <t>sec.</t>
        </is>
      </c>
      <c r="AA28" s="689" t="n"/>
      <c r="AB28" s="689" t="n"/>
      <c r="AC28" s="320" t="n">
        <v>3</v>
      </c>
      <c r="AD28" s="319" t="inlineStr">
        <is>
          <t>BHL1</t>
        </is>
      </c>
      <c r="AE28" s="326">
        <f>IF($AI$28="","",$AI$28-$BG$26-$AY$26)</f>
        <v/>
      </c>
      <c r="AF28" s="326">
        <f>IF($AJ$28="","",$AJ$28-$BH$26-$AZ$26)</f>
        <v/>
      </c>
      <c r="AG28" s="326">
        <f>IF($AI$28="","",$AI$28-$BG$26)</f>
        <v/>
      </c>
      <c r="AH28" s="326">
        <f>IF($AJ$28="","",$AJ$28-$BH$26)</f>
        <v/>
      </c>
      <c r="AI28" s="327">
        <f>IF(AND($AO$24+'SHL Section'!$AI$8&lt;0,$AR$24+'SHL Section'!$AK$8&lt;0),$AI$24+'SHL Section'!$AI$8,"")</f>
        <v/>
      </c>
      <c r="AJ28" s="327">
        <f>IF(AND($AO$24+'SHL Section'!$AI$8&lt;0,$AR$24+'SHL Section'!$AK$8&lt;0),$AJ$24+'SHL Section'!$AK$8,"")</f>
        <v/>
      </c>
      <c r="AK28" s="326">
        <f>IF($AI$28="","",$AI$28-$BO$26)</f>
        <v/>
      </c>
      <c r="AL28" s="326">
        <f>IF($AJ$28="","",$AJ$28-$BP$26)</f>
        <v/>
      </c>
      <c r="AM28" s="326">
        <f>IF($AI$28="","",$AI$28-$BG$26-$BA$26)</f>
        <v/>
      </c>
      <c r="AN28" s="326">
        <f>IF($AJ$28="","",$AJ$28-$BH$26-$BB$26)</f>
        <v/>
      </c>
      <c r="AO28" s="326">
        <f>IF($AI$28="","",$AI$28-$BI$26)</f>
        <v/>
      </c>
      <c r="AP28" s="326">
        <f>IF($AJ$28="","",$AJ$28-$BJ$26)</f>
        <v/>
      </c>
      <c r="AQ28" s="326">
        <f>IF($AI$28="","",$AI$28-$BM$26)</f>
        <v/>
      </c>
      <c r="AR28" s="326">
        <f>IF($AJ$28="","",$AJ$28-$BN$26)</f>
        <v/>
      </c>
      <c r="AS28" s="326">
        <f>IF($AI$28="","",$AI$28-$BO$26-$BU$26)</f>
        <v/>
      </c>
      <c r="AT28" s="326">
        <f>IF($AJ$28="","",$AJ$28-$BP$26-$BV$22)</f>
        <v/>
      </c>
      <c r="AU28" s="335" t="inlineStr">
        <is>
          <t>Cosine</t>
        </is>
      </c>
      <c r="AV28" s="773">
        <f>$AW$19/($AV$19^2+$AW$19^2)^0.5</f>
        <v/>
      </c>
      <c r="AW28" s="773" t="n"/>
      <c r="AX28" s="773">
        <f>$AY$19/($AX$19^2+$AY$19^2)^0.5</f>
        <v/>
      </c>
      <c r="AY28" s="764" t="n"/>
      <c r="AZ28" s="773">
        <f>$BA$19/($AZ$19^2+$BA$19^2)^0.5</f>
        <v/>
      </c>
      <c r="BA28" s="773" t="n"/>
      <c r="BB28" s="773">
        <f>$BC$19/($BB$19^2+$BC$19^2)^0.5</f>
        <v/>
      </c>
      <c r="BC28" s="764" t="n"/>
      <c r="BD28" s="773">
        <f>$BD$19/($BD$19^2+$BE$19^2)^0.5</f>
        <v/>
      </c>
      <c r="BE28" s="773" t="n"/>
      <c r="BF28" s="773">
        <f>$BF$19/($BF$19^2+$BG$19^2)^0.5</f>
        <v/>
      </c>
      <c r="BG28" s="764" t="n"/>
      <c r="BH28" s="773">
        <f>$BH$19/($BH$19^2+$BI$19^2)^0.5</f>
        <v/>
      </c>
      <c r="BI28" s="773" t="n"/>
      <c r="BJ28" s="773">
        <f>$BJ$19/($BJ$19^2+$BK$19^2)^0.5</f>
        <v/>
      </c>
      <c r="BK28" s="764" t="n"/>
      <c r="BL28" s="773">
        <f>$BM$19/($BL$19^2+$BM$19^2)^0.5</f>
        <v/>
      </c>
      <c r="BM28" s="773" t="n"/>
      <c r="BN28" s="773">
        <f>$BO$19/($BN$19^2+$BO$19^2)^0.5</f>
        <v/>
      </c>
      <c r="BO28" s="764" t="n"/>
      <c r="BP28" s="773">
        <f>$BQ$19/($BP$19^2+$BQ$19^2)^0.5</f>
        <v/>
      </c>
      <c r="BQ28" s="773" t="n"/>
      <c r="BR28" s="773">
        <f>$BS$19/($BR$19^2+$BS$19^2)^0.5</f>
        <v/>
      </c>
      <c r="BS28" s="764" t="n"/>
      <c r="BT28" s="773">
        <f>$BT$19/($BT$19^2+$BU$19^2)^0.5</f>
        <v/>
      </c>
      <c r="BU28" s="773" t="n"/>
      <c r="BV28" s="773">
        <f>$BV$19/($BV$19^2+$BW$19^2)^0.5</f>
        <v/>
      </c>
      <c r="BW28" s="764" t="n"/>
      <c r="BX28" s="773">
        <f>$BX$19/($BX$19^2+$BY$19^2)^0.5</f>
        <v/>
      </c>
      <c r="BY28" s="773" t="n"/>
      <c r="BZ28" s="773">
        <f>$BZ$19/($BZ$19^2+$CA$19^2)^0.5</f>
        <v/>
      </c>
      <c r="CA28" s="764" t="n"/>
    </row>
    <row r="29" ht="12" customHeight="1" s="613">
      <c r="A29" s="429" t="inlineStr">
        <is>
          <t>dir.</t>
        </is>
      </c>
      <c r="B29" s="321">
        <f>IF(NOT(ISBLANK(D29)),D29,DGET('Grid Numbers'!$A$2:$L$4952,'Grid Numbers'!$L$2,$B$66:$H$67))</f>
        <v/>
      </c>
      <c r="C29" s="700" t="n"/>
      <c r="D29" s="508" t="n"/>
      <c r="G29" s="308">
        <f>IF(ISNUMBER($AG$58),$K$8,"")</f>
        <v/>
      </c>
      <c r="H29" s="307">
        <f>IF(ISNUMBER($AG$58),"FWL","")</f>
        <v/>
      </c>
      <c r="J29" s="693" t="n"/>
      <c r="K29" s="693" t="n"/>
      <c r="L29" s="310" t="n"/>
      <c r="M29" s="309" t="n"/>
      <c r="Q29" s="308">
        <f>IF(ISNUMBER($AE$58),$K$8,"")</f>
        <v/>
      </c>
      <c r="R29" s="307">
        <f>IF(ISNUMBER($AE$58),"FEL","")</f>
        <v/>
      </c>
      <c r="U29" s="508" t="n"/>
      <c r="V29" s="646" t="n"/>
      <c r="W29" s="321">
        <f>IF(NOT(ISBLANK(U29)),U29,DGET('Grid Numbers'!$A$2:$L$4952,'Grid Numbers'!$L$2,$B$74:$H$75))</f>
        <v/>
      </c>
      <c r="X29" s="426" t="inlineStr">
        <is>
          <t>dir.</t>
        </is>
      </c>
      <c r="AA29" s="689" t="n"/>
      <c r="AB29" s="689" t="n"/>
      <c r="AC29" s="469" t="n">
        <v>4</v>
      </c>
      <c r="AD29" s="676" t="inlineStr">
        <is>
          <t>BHL1</t>
        </is>
      </c>
      <c r="AE29" s="324">
        <f>IF($AK$29="","",$AK$29-$BW$26)</f>
        <v/>
      </c>
      <c r="AF29" s="324">
        <f>IF($AL$29="","",$AL$29-$BX$26)</f>
        <v/>
      </c>
      <c r="AG29" s="324">
        <f>IF($AK$29="","",$AK$29+$BO$26-$BG$26)</f>
        <v/>
      </c>
      <c r="AH29" s="324">
        <f>IF($AL$29="","",$AL$29+$BP$26+$BH$26)</f>
        <v/>
      </c>
      <c r="AI29" s="324">
        <f>IF($AK$29="","",$AK$29+$BO$26)</f>
        <v/>
      </c>
      <c r="AJ29" s="324">
        <f>IF($AL$29="","",$AL$29+$BP$26)</f>
        <v/>
      </c>
      <c r="AK29" s="325">
        <f>IF(AND($AS$24+'SHL Section'!$AI$8&lt;0,$AR$24+'SHL Section'!$AK$8&gt;0),$AK$24+'SHL Section'!$AI$8,"")</f>
        <v/>
      </c>
      <c r="AL29" s="325">
        <f>IF(AND($AS$24+'SHL Section'!$AI$8&lt;0,$AR$24+'SHL Section'!$AK$8&gt;0),$AL$24+'SHL Section'!$AK$8,"")</f>
        <v/>
      </c>
      <c r="AM29" s="324">
        <f>IF($AK$29="","",$AK$29-$BW$26+$AW$22)</f>
        <v/>
      </c>
      <c r="AN29" s="324">
        <f>IF($AL$29="","",$AL$29-$BX$26+$AX$22)</f>
        <v/>
      </c>
      <c r="AO29" s="324">
        <f>IF($AK$29="","",$AK$29+$BO$26-$BI$22)</f>
        <v/>
      </c>
      <c r="AP29" s="324">
        <f>IF($AL$29="","",$AL$29+$BP$26-$BJ$22)</f>
        <v/>
      </c>
      <c r="AQ29" s="324">
        <f>IF($AK$29="","",$AK$29+$BQ$22)</f>
        <v/>
      </c>
      <c r="AR29" s="324">
        <f>IF($AL$29="","",$AL$29+$BR$22)</f>
        <v/>
      </c>
      <c r="AS29" s="324">
        <f>IF($AK$29="","",$AK$29-$BU$22)</f>
        <v/>
      </c>
      <c r="AT29" s="324">
        <f>IF($AL$29="","",$AL$29-$BV$22)</f>
        <v/>
      </c>
      <c r="AV29" s="764" t="n"/>
      <c r="AW29" s="764" t="n"/>
      <c r="AX29" s="764" t="n"/>
      <c r="AY29" s="764" t="n"/>
      <c r="AZ29" s="764" t="n"/>
      <c r="BA29" s="764" t="n"/>
      <c r="BB29" s="764" t="n"/>
      <c r="BC29" s="764" t="n"/>
      <c r="BD29" s="764" t="n"/>
      <c r="BE29" s="764" t="n"/>
      <c r="BF29" s="764" t="n"/>
      <c r="BG29" s="764" t="n"/>
      <c r="BH29" s="764" t="n"/>
      <c r="BI29" s="764" t="n"/>
      <c r="BJ29" s="764" t="n"/>
      <c r="BK29" s="764" t="n"/>
      <c r="BL29" s="764" t="n"/>
      <c r="BM29" s="764" t="n"/>
      <c r="BN29" s="764" t="n"/>
      <c r="BO29" s="764" t="n"/>
      <c r="BP29" s="764" t="n"/>
      <c r="BQ29" s="764" t="n"/>
      <c r="BR29" s="764" t="n"/>
      <c r="BS29" s="764" t="n"/>
      <c r="BT29" s="764" t="n"/>
      <c r="BU29" s="764" t="n"/>
      <c r="BV29" s="764" t="n"/>
      <c r="BW29" s="764" t="n"/>
      <c r="BX29" s="764" t="n"/>
      <c r="BY29" s="764" t="n"/>
      <c r="BZ29" s="764" t="n"/>
      <c r="CA29" s="764" t="n"/>
    </row>
    <row r="30" ht="12" customHeight="1" s="613">
      <c r="A30" s="429" t="inlineStr">
        <is>
          <t>dec. deg.</t>
        </is>
      </c>
      <c r="B30" s="771">
        <f>IF(AND($L$38='SHL Section'!$BE$51,MAX('BHL Section 1'!$BF$37:$BF$40)=4),'BHL Section 1'!$W$30,IF(AND($L$38='SHL Section'!$BE$54,MAX('BHL Section 1'!$BF$41:$BF$44)=4),'BHL Section 1'!$W$30,IF(AND($L$38='SHL Section'!$BE$57,MAX('BHL Section 1'!$BF$45:$BF$48)=4),'BHL Section 1'!$W$30,IF(B26="","",IF(OR(B29=1,B29=4),180-(B26+B27/60+B28/3600),180+(B26+B27/60+B28/3600))))))</f>
        <v/>
      </c>
      <c r="C30" s="700" t="n"/>
      <c r="G30" s="315">
        <f>IF(ISNUMBER($AG$69),$B$9,"")</f>
        <v/>
      </c>
      <c r="H30" s="314">
        <f>IF(AND(G31="",G32=""),"",IF($AG$69=1,"NE/NW",IF($AG$69=2,"NW/NW",IF($AG$69=3,"SW/NW",IF($AG$69=4,"SE/NW","")))))</f>
        <v/>
      </c>
      <c r="J30" s="427" t="n"/>
      <c r="K30" s="427" t="n"/>
      <c r="L30" s="310" t="n"/>
      <c r="M30" s="309" t="n"/>
      <c r="Q30" s="334">
        <f>IF(ISNUMBER($AE$69),$B$9,"")</f>
        <v/>
      </c>
      <c r="R30" s="314">
        <f>IF(AND(Q31="",Q32=""),"",IF($AE$69=1,"NE/NE",IF($AE$69=2,"NW/NE",IF($AE$69=3,"SW/NE",IF($AE$69=4,"SE/NE","")))))</f>
        <v/>
      </c>
      <c r="V30" s="646" t="n"/>
      <c r="W30" s="770">
        <f>IF(AND($L$38='SHL Section'!$BE$51,MAX('BHL Section 1'!$BF$37:$BF$40)=8),'BHL Section 1'!$B$30,IF(AND($L$38='SHL Section'!$BE$54,MAX('BHL Section 1'!$BF$41:$BF$44)=8),'BHL Section 1'!$B$30,IF(AND($L$38='SHL Section'!$BE$57,MAX('BHL Section 1'!$BF$45:$BF$48)=8),'BHL Section 1'!$B$30,IF(W26="","",IF(OR(W29=1,W29=4),180-(W26+W27/60+W28/3600),180+(W26+W27/60+W28/3600))))))</f>
        <v/>
      </c>
      <c r="X30" s="426" t="inlineStr">
        <is>
          <t>dec. deg.</t>
        </is>
      </c>
      <c r="AA30" s="689" t="n"/>
      <c r="AB30" s="689" t="n"/>
      <c r="AC30" s="671" t="n"/>
      <c r="AD30" s="617" t="n"/>
      <c r="AE30" s="323">
        <f>IF(ISNUMBER($AE$26),AE$26,IF(ISNUMBER($AG$27),AE$27,IF(ISNUMBER($AI$28),AE$28,IF(ISNUMBER($AK$29),AE$29,""))))</f>
        <v/>
      </c>
      <c r="AF30" s="323">
        <f>IF(ISNUMBER($AF$26),AF$26,IF(ISNUMBER($AH$27),AF$27,IF(ISNUMBER($AJ$28),AF$28,IF(ISNUMBER($AL$29),AF$29,""))))</f>
        <v/>
      </c>
      <c r="AG30" s="323">
        <f>IF(ISNUMBER($AE$26),AG$26,IF(ISNUMBER($AG$27),AG$27,IF(ISNUMBER($AI$28),AG$28,IF(ISNUMBER($AK$29),AG$29,""))))</f>
        <v/>
      </c>
      <c r="AH30" s="323">
        <f>IF(ISNUMBER($AF$26),AH$26,IF(ISNUMBER($AH$27),AH$27,IF(ISNUMBER($AJ$28),AH$28,IF(ISNUMBER($AL$29),AH$29,""))))</f>
        <v/>
      </c>
      <c r="AI30" s="323">
        <f>IF(ISNUMBER($AE$26),AI$26,IF(ISNUMBER($AG$27),AI$27,IF(ISNUMBER($AI$28),AI$28,IF(ISNUMBER($AK$29),AI$29,""))))</f>
        <v/>
      </c>
      <c r="AJ30" s="323">
        <f>IF(ISNUMBER($AF$26),AJ$26,IF(ISNUMBER($AH$27),AJ$27,IF(ISNUMBER($AJ$28),AJ$28,IF(ISNUMBER($AL$29),AJ$29,""))))</f>
        <v/>
      </c>
      <c r="AK30" s="323">
        <f>IF(ISNUMBER($AE$26),AK$26,IF(ISNUMBER($AG$27),AK$27,IF(ISNUMBER($AI$28),AK$28,IF(ISNUMBER($AK$29),AK$29,""))))</f>
        <v/>
      </c>
      <c r="AL30" s="323">
        <f>IF(ISNUMBER($AF$26),AL$26,IF(ISNUMBER($AH$27),AL$27,IF(ISNUMBER($AJ$28),AL$28,IF(ISNUMBER($AL$29),AL$29,""))))</f>
        <v/>
      </c>
      <c r="AM30" s="323">
        <f>IF(ISNUMBER($AE$26),AM$26,IF(ISNUMBER($AG$27),AM$27,IF(ISNUMBER($AI$28),AM$28,IF(ISNUMBER($AK$29),AM$29,""))))</f>
        <v/>
      </c>
      <c r="AN30" s="323">
        <f>IF(ISNUMBER($AF$26),AN$26,IF(ISNUMBER($AH$27),AN$27,IF(ISNUMBER($AJ$28),AN$28,IF(ISNUMBER($AL$29),AN$29,""))))</f>
        <v/>
      </c>
      <c r="AO30" s="323">
        <f>IF(ISNUMBER($AE$26),AO$26,IF(ISNUMBER($AG$27),AO$27,IF(ISNUMBER($AI$28),AO$28,IF(ISNUMBER($AK$29),AO$29,""))))</f>
        <v/>
      </c>
      <c r="AP30" s="323">
        <f>IF(ISNUMBER($AF$26),AP$26,IF(ISNUMBER($AH$27),AP$27,IF(ISNUMBER($AJ$28),AP$28,IF(ISNUMBER($AL$29),AP$29,""))))</f>
        <v/>
      </c>
      <c r="AQ30" s="323">
        <f>IF(ISNUMBER($AE$26),AQ$26,IF(ISNUMBER($AG$27),AQ$27,IF(ISNUMBER($AI$28),AQ$28,IF(ISNUMBER($AK$29),AQ$29,""))))</f>
        <v/>
      </c>
      <c r="AR30" s="323">
        <f>IF(ISNUMBER($AF$26),AR$26,IF(ISNUMBER($AH$27),AR$27,IF(ISNUMBER($AJ$28),AR$28,IF(ISNUMBER($AL$29),AR$29,""))))</f>
        <v/>
      </c>
      <c r="AS30" s="323">
        <f>IF(ISNUMBER($AE$26),AS$26,IF(ISNUMBER($AG$27),AS$27,IF(ISNUMBER($AI$28),AS$28,IF(ISNUMBER($AK$29),AS$29,""))))</f>
        <v/>
      </c>
      <c r="AT30" s="323">
        <f>IF(ISNUMBER($AF$26),AT$26,IF(ISNUMBER($AH$27),AT$27,IF(ISNUMBER($AJ$28),AT$28,IF(ISNUMBER($AL$29),AT$29,""))))</f>
        <v/>
      </c>
      <c r="AV30" s="764" t="n"/>
      <c r="AW30" s="764" t="n"/>
      <c r="AX30" s="764" t="n"/>
      <c r="AY30" s="764" t="n"/>
      <c r="AZ30" s="764" t="n"/>
      <c r="BA30" s="764" t="n"/>
      <c r="BB30" s="764" t="n"/>
      <c r="BC30" s="764" t="n"/>
      <c r="BD30" s="764" t="n"/>
      <c r="BE30" s="764" t="n"/>
      <c r="BF30" s="764" t="n"/>
      <c r="BG30" s="764" t="n"/>
      <c r="BH30" s="764" t="n"/>
      <c r="BI30" s="764" t="n"/>
      <c r="BJ30" s="764" t="n"/>
      <c r="BK30" s="764" t="n"/>
      <c r="BL30" s="764" t="n"/>
      <c r="BM30" s="764" t="n"/>
      <c r="BN30" s="764" t="n"/>
      <c r="BO30" s="764" t="n"/>
      <c r="BP30" s="764" t="n"/>
      <c r="BQ30" s="764" t="n"/>
      <c r="BR30" s="764" t="n"/>
      <c r="BS30" s="764" t="n"/>
      <c r="BT30" s="764" t="n"/>
      <c r="BU30" s="764" t="n"/>
      <c r="BV30" s="764" t="n"/>
      <c r="BW30" s="764" t="n"/>
      <c r="BX30" s="764" t="n"/>
      <c r="BY30" s="764" t="n"/>
      <c r="BZ30" s="764" t="n"/>
      <c r="CA30" s="764" t="n"/>
    </row>
    <row r="31" ht="12" customHeight="1" s="613">
      <c r="C31" s="700" t="n"/>
      <c r="G31" s="312">
        <f>IF(ISNUMBER($AG$69),$I$9,"")</f>
        <v/>
      </c>
      <c r="H31" s="311">
        <f>IF(ISNUMBER($AG$69),"FNL","")</f>
        <v/>
      </c>
      <c r="J31" s="427" t="n"/>
      <c r="K31" s="427" t="n"/>
      <c r="L31" s="310" t="n"/>
      <c r="M31" s="309" t="n"/>
      <c r="Q31" s="312">
        <f>IF(ISNUMBER($AE$69),$I$9,"")</f>
        <v/>
      </c>
      <c r="R31" s="311">
        <f>IF(ISNUMBER($AE$69),"FNL","")</f>
        <v/>
      </c>
      <c r="V31" s="646" t="n"/>
      <c r="AA31" s="689" t="n"/>
      <c r="AB31" s="689" t="n"/>
      <c r="AC31" s="332" t="n"/>
      <c r="AD31" s="331" t="n"/>
      <c r="AE31" s="330" t="n"/>
      <c r="AF31" s="330" t="n"/>
      <c r="AG31" s="330" t="n"/>
      <c r="AH31" s="330" t="n"/>
      <c r="AI31" s="330" t="n"/>
      <c r="AJ31" s="330" t="n"/>
      <c r="AK31" s="330" t="n"/>
      <c r="AL31" s="330" t="n"/>
      <c r="AM31" s="330" t="n"/>
      <c r="AN31" s="330" t="n"/>
      <c r="AO31" s="330" t="n"/>
      <c r="AP31" s="330" t="n"/>
      <c r="AQ31" s="330" t="n"/>
      <c r="AR31" s="330" t="n"/>
      <c r="AS31" s="330" t="n"/>
      <c r="AT31" s="330" t="n"/>
      <c r="AV31" s="764" t="n"/>
      <c r="AW31" s="764" t="n"/>
      <c r="AX31" s="764" t="n"/>
      <c r="AY31" s="764" t="n"/>
      <c r="AZ31" s="764" t="n"/>
      <c r="BA31" s="764" t="n"/>
      <c r="BB31" s="764" t="n"/>
      <c r="BC31" s="764" t="n"/>
      <c r="BD31" s="764" t="n"/>
      <c r="BE31" s="764" t="n"/>
      <c r="BF31" s="764" t="n"/>
      <c r="BG31" s="764" t="n"/>
      <c r="BH31" s="764" t="n"/>
      <c r="BI31" s="764" t="n"/>
      <c r="BJ31" s="764" t="n"/>
      <c r="BK31" s="764" t="n"/>
      <c r="BL31" s="764" t="n"/>
      <c r="BM31" s="764" t="n"/>
      <c r="BN31" s="764" t="n"/>
      <c r="BO31" s="764" t="n"/>
      <c r="BP31" s="764" t="n"/>
      <c r="BQ31" s="764" t="n"/>
      <c r="BR31" s="764" t="n"/>
      <c r="BS31" s="764" t="n"/>
      <c r="BT31" s="764" t="n"/>
      <c r="BU31" s="764" t="n"/>
      <c r="BV31" s="764" t="n"/>
      <c r="BW31" s="764" t="n"/>
      <c r="BX31" s="764" t="n"/>
      <c r="BY31" s="764" t="n"/>
      <c r="BZ31" s="764" t="n"/>
      <c r="CA31" s="764" t="n"/>
    </row>
    <row r="32" ht="12" customHeight="1" s="613">
      <c r="B32" s="420">
        <f>IF(AND($L$38='SHL Section'!$BE$51,MAX('BHL Section 1'!$BF$37:$BF$40)=4),'BHL Section 1'!$W$32,IF(AND($L$38='SHL Section'!$BE$54,MAX('BHL Section 1'!$BF$41:$BF$44)=4),'BHL Section 1'!$W$32,IF(AND($L$38='SHL Section'!$BE$57,MAX('BHL Section 1'!$BF$45:$BF$48)=4),'BHL Section 1'!$W$32,B33)))</f>
        <v/>
      </c>
      <c r="C32" s="700" t="n"/>
      <c r="F32" s="693" t="n"/>
      <c r="G32" s="308">
        <f>IF(ISNUMBER($AG$69),$K$9,"")</f>
        <v/>
      </c>
      <c r="H32" s="307">
        <f>IF(ISNUMBER($AG$69),"FWL","")</f>
        <v/>
      </c>
      <c r="I32" s="428" t="n"/>
      <c r="J32" s="427" t="n"/>
      <c r="K32" s="427" t="n"/>
      <c r="L32" s="310" t="n"/>
      <c r="M32" s="309" t="n"/>
      <c r="Q32" s="308">
        <f>IF(ISNUMBER($AE$69),$K$9,"")</f>
        <v/>
      </c>
      <c r="R32" s="307">
        <f>IF(ISNUMBER($AE$69),"FEL","")</f>
        <v/>
      </c>
      <c r="V32" s="646" t="n"/>
      <c r="W32" s="428">
        <f>IF(AND($L$38='SHL Section'!$BE$51,MAX('BHL Section 1'!$BF$37:$BF$40)=8),'BHL Section 1'!$B$32,IF(AND($L$38='SHL Section'!$BE$54,MAX('BHL Section 1'!$BF$41:$BF$44)=8),'BHL Section 1'!$B$32,IF(AND($L$38='SHL Section'!$BE$57,MAX('BHL Section 1'!$BF$45:$BF$48)=8),'BHL Section 1'!$B$32,W33)))</f>
        <v/>
      </c>
      <c r="AA32" s="689" t="n"/>
      <c r="AB32" s="689" t="n"/>
      <c r="AC32" s="320" t="n">
        <v>1</v>
      </c>
      <c r="AD32" s="319" t="inlineStr">
        <is>
          <t>BHL2</t>
        </is>
      </c>
      <c r="AE32" s="327">
        <f>IF(AND($AS$24+'SHL Section'!$AI$9&gt;0,$AN$24+'SHL Section'!$AK$9&gt;0),$AE$24+'SHL Section'!$AI$9,"")</f>
        <v/>
      </c>
      <c r="AF32" s="327">
        <f>IF(AND($AS$24+'SHL Section'!$AI$9&gt;0,$AN$24+'SHL Section'!$AK$9&gt;0),$AF$24+'SHL Section'!$AK$9,"")</f>
        <v/>
      </c>
      <c r="AG32" s="326">
        <f>IF($AE$32="","",$AY$26+$AE$32)</f>
        <v/>
      </c>
      <c r="AH32" s="326">
        <f>IF($AF$32="","",$AZ$26+$AF$32)</f>
        <v/>
      </c>
      <c r="AI32" s="326">
        <f>IF($AE$32="","",$BG$26+$AY$26+$AE$32)</f>
        <v/>
      </c>
      <c r="AJ32" s="326">
        <f>IF($AF$32="","",$AZ$26+$BH$26+$AF$32)</f>
        <v/>
      </c>
      <c r="AK32" s="326">
        <f>IF($AE$32="","",$BW$26+$AE$32)</f>
        <v/>
      </c>
      <c r="AL32" s="326">
        <f>IF($AF$32="","",$AF$32+$BX$26)</f>
        <v/>
      </c>
      <c r="AM32" s="326">
        <f>IF($AE$32="","",$AW$22+$AE$32)</f>
        <v/>
      </c>
      <c r="AN32" s="326">
        <f>IF($AF$32="","",$AX$22+$AF$32)</f>
        <v/>
      </c>
      <c r="AO32" s="326">
        <f>IF($AE$32="","",$AY$26+$AE$32+$BE$22)</f>
        <v/>
      </c>
      <c r="AP32" s="326">
        <f>IF($AF$32="","",$AZ$26+$AF$32+$BF$22)</f>
        <v/>
      </c>
      <c r="AQ32" s="326">
        <f>IF($AE$32="","",$BW$26+$AE$32+$BQ$22)</f>
        <v/>
      </c>
      <c r="AR32" s="326">
        <f>IF($AF$32="","",$AF$32+$BX$26+$BR$22)</f>
        <v/>
      </c>
      <c r="AS32" s="326">
        <f>IF($AE$32="","",$BY$22+$AE$32)</f>
        <v/>
      </c>
      <c r="AT32" s="326">
        <f>IF($AF$32="","",$AF$32+$BZ$22)</f>
        <v/>
      </c>
      <c r="AV32" s="764" t="n"/>
      <c r="AW32" s="764" t="n"/>
      <c r="AX32" s="764" t="n"/>
      <c r="AY32" s="764" t="n"/>
      <c r="AZ32" s="764" t="n"/>
      <c r="BA32" s="764" t="n"/>
      <c r="BB32" s="764" t="n"/>
      <c r="BC32" s="764" t="n"/>
      <c r="BD32" s="764" t="n"/>
      <c r="BE32" s="764" t="n"/>
      <c r="BF32" s="764" t="n"/>
      <c r="BG32" s="764" t="n"/>
      <c r="BH32" s="764" t="n"/>
      <c r="BI32" s="764" t="n"/>
      <c r="BJ32" s="764" t="n"/>
      <c r="BK32" s="764" t="n"/>
      <c r="BL32" s="764" t="n"/>
      <c r="BM32" s="764" t="n"/>
      <c r="BN32" s="764" t="n"/>
      <c r="BO32" s="764" t="n"/>
      <c r="BP32" s="764" t="n"/>
      <c r="BQ32" s="764" t="n"/>
      <c r="BR32" s="764" t="n"/>
      <c r="BS32" s="764" t="n"/>
      <c r="BT32" s="764" t="n"/>
      <c r="BU32" s="764" t="n"/>
      <c r="BV32" s="764" t="n"/>
      <c r="BW32" s="764" t="n"/>
      <c r="BX32" s="764" t="n"/>
      <c r="BY32" s="764" t="n"/>
      <c r="BZ32" s="764" t="n"/>
      <c r="CA32" s="764" t="n"/>
    </row>
    <row r="33" ht="12" customHeight="1" s="613">
      <c r="A33" s="429" t="inlineStr">
        <is>
          <t>dist.</t>
        </is>
      </c>
      <c r="B33" s="303">
        <f>IF(NOT(ISBLANK(D33)),D33,DGET('Grid Numbers'!$A$2:$L$4952,'Grid Numbers'!$H$2,$B$68:$H$69))</f>
        <v/>
      </c>
      <c r="C33" s="700" t="n"/>
      <c r="D33" s="504" t="n"/>
      <c r="G33" s="315">
        <f>IF(ISNUMBER($AG$80),$B$10,"")</f>
        <v/>
      </c>
      <c r="H33" s="314">
        <f>IF(AND(G34="",G35=""),"",IF($AG$80=1,"NE/NW",IF($AG$80=2,"NW/NW",IF($AG$80=3,"SW/NW",IF($AG$80=4,"SE/NW","")))))</f>
        <v/>
      </c>
      <c r="J33" s="427" t="n"/>
      <c r="K33" s="427" t="n"/>
      <c r="L33" s="310" t="n"/>
      <c r="M33" s="309" t="n"/>
      <c r="Q33" s="334">
        <f>IF(ISNUMBER($AE$80),$B$10,"")</f>
        <v/>
      </c>
      <c r="R33" s="314">
        <f>IF(AND(Q34="",Q35=""),"",IF($AE$80=1,"NE/NE",IF($AE$80=2,"NW/NE",IF($AE$80=3,"SW/NE",IF($AE$80=4,"SE/NE","")))))</f>
        <v/>
      </c>
      <c r="S33" s="428" t="n"/>
      <c r="T33" s="427" t="n"/>
      <c r="U33" s="504" t="n"/>
      <c r="V33" s="646" t="n"/>
      <c r="W33" s="303">
        <f>IF(NOT(ISBLANK(U33)),U33,DGET('Grid Numbers'!$A$2:$L$4952,'Grid Numbers'!$H$2,$B$76:$H$77))</f>
        <v/>
      </c>
      <c r="X33" s="426" t="inlineStr">
        <is>
          <t>dist.</t>
        </is>
      </c>
      <c r="AA33" s="689" t="n"/>
      <c r="AB33" s="689" t="n"/>
      <c r="AC33" s="320" t="n">
        <v>2</v>
      </c>
      <c r="AD33" s="319" t="inlineStr">
        <is>
          <t>BHL2</t>
        </is>
      </c>
      <c r="AE33" s="326">
        <f>IF($AG$33="","",$AG$33-$AY$26)</f>
        <v/>
      </c>
      <c r="AF33" s="326">
        <f>IF($AH$33="","",$AH$33-$AZ$26)</f>
        <v/>
      </c>
      <c r="AG33" s="327">
        <f>IF(AND($AO$24+'SHL Section'!$AI$9&gt;0,$AN$24+'SHL Section'!$AK$9&lt;0),$AG$24+'SHL Section'!$AI$9,"")</f>
        <v/>
      </c>
      <c r="AH33" s="327">
        <f>IF(AND($AO$24+'SHL Section'!$AI$9&gt;0,$AN$24+'SHL Section'!$AK$9&lt;0),$AH$24+'SHL Section'!$AK$9,"")</f>
        <v/>
      </c>
      <c r="AI33" s="326">
        <f>IF($AG$33="","",$BG$26+$AG$33)</f>
        <v/>
      </c>
      <c r="AJ33" s="326">
        <f>IF($AH$33="","",$AH$33+$BH$26)</f>
        <v/>
      </c>
      <c r="AK33" s="326">
        <f>IF($AG$33="","",$AG$33-$AY$26+$BW$26)</f>
        <v/>
      </c>
      <c r="AL33" s="326">
        <f>IF($AH$33="","",$AH$33-$AZ$26+$BX$26)</f>
        <v/>
      </c>
      <c r="AM33" s="326">
        <f>IF($AG$33="","",$AG$33-$BA$22)</f>
        <v/>
      </c>
      <c r="AN33" s="326">
        <f>IF($AH$33="","",AH$33-$BB$22)</f>
        <v/>
      </c>
      <c r="AO33" s="326">
        <f>IF($AG$33="","",$BE$22+$AG$33)</f>
        <v/>
      </c>
      <c r="AP33" s="326">
        <f>IF($AH$33="","",$AH$33+$BF$22)</f>
        <v/>
      </c>
      <c r="AQ33" s="326">
        <f>IF($AG$33="","",$BG$26+$AG$33-$BM$22)</f>
        <v/>
      </c>
      <c r="AR33" s="326">
        <f>IF($AH$33="","",$AH$33+$BH$26-$BN$22)</f>
        <v/>
      </c>
      <c r="AS33" s="326">
        <f>IF($AG$33="","",$AG$33-$AY$26+$BY$22)</f>
        <v/>
      </c>
      <c r="AT33" s="326">
        <f>IF($AH$33="","",$AH$33-$AZ$26+$BZ$22)</f>
        <v/>
      </c>
    </row>
    <row r="34" ht="12" customHeight="1" s="613">
      <c r="A34" s="429" t="inlineStr">
        <is>
          <t>deg.</t>
        </is>
      </c>
      <c r="B34" s="296">
        <f>IF(NOT(ISBLANK(D34)),D34,DGET('Grid Numbers'!$A$2:$L$4952,'Grid Numbers'!$I$2,$B$68:$H$69))</f>
        <v/>
      </c>
      <c r="C34" s="700" t="n"/>
      <c r="D34" s="504" t="n"/>
      <c r="G34" s="312">
        <f>IF(ISNUMBER($AG$80),$I$10,"")</f>
        <v/>
      </c>
      <c r="H34" s="311">
        <f>IF(ISNUMBER($AG$80),"FNL","")</f>
        <v/>
      </c>
      <c r="J34" s="427" t="n"/>
      <c r="K34" s="427" t="n"/>
      <c r="L34" s="310" t="n"/>
      <c r="M34" s="309" t="n"/>
      <c r="Q34" s="312">
        <f>IF(ISNUMBER($AE$80),$I$10,"")</f>
        <v/>
      </c>
      <c r="R34" s="311">
        <f>IF(ISNUMBER($AE$80),"FNL","")</f>
        <v/>
      </c>
      <c r="S34" s="428" t="n"/>
      <c r="T34" s="427" t="n"/>
      <c r="U34" s="504" t="n"/>
      <c r="V34" s="646" t="n"/>
      <c r="W34" s="472">
        <f>IF(NOT(ISBLANK(U34)),U34,DGET('Grid Numbers'!$A$2:$L$4952,'Grid Numbers'!$I$2,$B$76:$H$77))</f>
        <v/>
      </c>
      <c r="X34" s="426" t="inlineStr">
        <is>
          <t>deg.</t>
        </is>
      </c>
      <c r="AA34" s="689" t="n"/>
      <c r="AB34" s="689" t="n"/>
      <c r="AC34" s="320" t="n">
        <v>3</v>
      </c>
      <c r="AD34" s="319" t="inlineStr">
        <is>
          <t>BHL2</t>
        </is>
      </c>
      <c r="AE34" s="326">
        <f>IF($AI$34="","",$AI$34-$BG$26-$AY$26)</f>
        <v/>
      </c>
      <c r="AF34" s="328">
        <f>IF($AJ$34="","",$AJ$34-$BH$26-$AZ$26)</f>
        <v/>
      </c>
      <c r="AG34" s="326">
        <f>IF($AI$34="","",$AI$34-$BG$26)</f>
        <v/>
      </c>
      <c r="AH34" s="326">
        <f>IF($AJ$34="","",$AJ$34-$BH$26)</f>
        <v/>
      </c>
      <c r="AI34" s="327">
        <f>IF(AND($AO$24+'SHL Section'!$AI$9&lt;0,$AR$24+'SHL Section'!$AK$9&lt;0),$AI$24+'SHL Section'!$AI$9,"")</f>
        <v/>
      </c>
      <c r="AJ34" s="327">
        <f>IF(AND($AO$24+'SHL Section'!$AI$9&lt;0,$AR$24+'SHL Section'!$AK$9&lt;0),$AJ$24+'SHL Section'!$AK$9,"")</f>
        <v/>
      </c>
      <c r="AK34" s="326">
        <f>IF($AI$34="","",$AI$34-$BO$26)</f>
        <v/>
      </c>
      <c r="AL34" s="326">
        <f>IF($AJ$34="","",$AJ$34-$BP$26)</f>
        <v/>
      </c>
      <c r="AM34" s="326">
        <f>IF($AI$34="","",$AI$34-$BG$26-$BA$26)</f>
        <v/>
      </c>
      <c r="AN34" s="326">
        <f>IF($AJ$34="","",$AJ$34-$BH$26-$BB$26)</f>
        <v/>
      </c>
      <c r="AO34" s="326">
        <f>IF($AI$34="","",$AI$34-$BI$26)</f>
        <v/>
      </c>
      <c r="AP34" s="326">
        <f>IF($AJ$34="","",$AJ$34-$BJ$26)</f>
        <v/>
      </c>
      <c r="AQ34" s="326">
        <f>IF($AI$34="","",$AI$34-$BM$26)</f>
        <v/>
      </c>
      <c r="AR34" s="326">
        <f>IF($AJ$34="","",$AJ$34-$BN$26)</f>
        <v/>
      </c>
      <c r="AS34" s="326">
        <f>IF($AI$34="","",$AI$34-$BO$26-$BU$26)</f>
        <v/>
      </c>
      <c r="AT34" s="326">
        <f>IF($AJ$34="","",$AJ$34-$BP$26-$BV$22)</f>
        <v/>
      </c>
      <c r="BZ34" s="693" t="n"/>
      <c r="CA34" s="693" t="n"/>
    </row>
    <row r="35" ht="12" customHeight="1" s="613">
      <c r="A35" s="429" t="inlineStr">
        <is>
          <t>min.</t>
        </is>
      </c>
      <c r="B35" s="296">
        <f>IF(NOT(ISBLANK(D35)),D35,DGET('Grid Numbers'!$A$2:$L$4952,'Grid Numbers'!$J$2,$B$68:$H$69))</f>
        <v/>
      </c>
      <c r="C35" s="700" t="n"/>
      <c r="D35" s="504" t="n"/>
      <c r="G35" s="308">
        <f>IF(ISNUMBER($AG$80),$K$10,"")</f>
        <v/>
      </c>
      <c r="H35" s="307">
        <f>IF(ISNUMBER($AG$80),"FWL","")</f>
        <v/>
      </c>
      <c r="J35" s="427" t="n"/>
      <c r="K35" s="427" t="n"/>
      <c r="L35" s="310" t="n"/>
      <c r="M35" s="309" t="n"/>
      <c r="Q35" s="308">
        <f>IF(ISNUMBER($AE$80),$K$10,"")</f>
        <v/>
      </c>
      <c r="R35" s="307">
        <f>IF(ISNUMBER($AE$80),"FEL","")</f>
        <v/>
      </c>
      <c r="S35" s="428" t="n"/>
      <c r="T35" s="427" t="n"/>
      <c r="U35" s="504" t="n"/>
      <c r="V35" s="646" t="n"/>
      <c r="W35" s="472">
        <f>IF(NOT(ISBLANK(U35)),U35,DGET('Grid Numbers'!$A$2:$L$4952,'Grid Numbers'!$J$2,$B$76:$H$77))</f>
        <v/>
      </c>
      <c r="X35" s="426" t="inlineStr">
        <is>
          <t>min.</t>
        </is>
      </c>
      <c r="AA35" s="689" t="n"/>
      <c r="AB35" s="294" t="n"/>
      <c r="AC35" s="469" t="n">
        <v>4</v>
      </c>
      <c r="AD35" s="676" t="inlineStr">
        <is>
          <t>BHL2</t>
        </is>
      </c>
      <c r="AE35" s="324">
        <f>IF($AK$35="","",$AK$35-$BW$26)</f>
        <v/>
      </c>
      <c r="AF35" s="324">
        <f>IF($AL$35="","",$AL$35-$BX$26)</f>
        <v/>
      </c>
      <c r="AG35" s="324">
        <f>IF($AK$35="","",$AK$35+$BO$26-$BG$26)</f>
        <v/>
      </c>
      <c r="AH35" s="324">
        <f>IF($AL$35="","",$AL$35+$BP$26+$BH$26)</f>
        <v/>
      </c>
      <c r="AI35" s="324">
        <f>IF($AK$35="","",$AK$35+$BO$26)</f>
        <v/>
      </c>
      <c r="AJ35" s="324">
        <f>IF($AL$35="","",$AL$35+$BP$26)</f>
        <v/>
      </c>
      <c r="AK35" s="325">
        <f>IF(AND($AS$24+'SHL Section'!$AI$9&lt;0,$AR$24+'SHL Section'!$AK$9&gt;0),$AK$24+'SHL Section'!$AI$9,"")</f>
        <v/>
      </c>
      <c r="AL35" s="325">
        <f>IF(AND($AS$24+'SHL Section'!$AI$9&lt;0,$AR$24+'SHL Section'!$AK$9&gt;0),$AL$24+'SHL Section'!$AK$9,"")</f>
        <v/>
      </c>
      <c r="AM35" s="324">
        <f>IF($AK$35="","",$AK$35-$BW$26+$AW$22)</f>
        <v/>
      </c>
      <c r="AN35" s="324">
        <f>IF($AL$35="","",$AL$35-$BX$26+$AX$22)</f>
        <v/>
      </c>
      <c r="AO35" s="324">
        <f>IF($AK$35="","",$AK$35+$BO$26-$BI$22)</f>
        <v/>
      </c>
      <c r="AP35" s="324">
        <f>IF($AL$35="","",$AL$35+$BP$26-$BJ$22)</f>
        <v/>
      </c>
      <c r="AQ35" s="324">
        <f>IF($AK$35="","",$AK$35+$BQ$22)</f>
        <v/>
      </c>
      <c r="AR35" s="324">
        <f>IF($AL$35="","",$AL$35+$BR$22)</f>
        <v/>
      </c>
      <c r="AS35" s="324">
        <f>IF($AK$35="","",$AK$35-$BU$22)</f>
        <v/>
      </c>
      <c r="AT35" s="324">
        <f>IF($AL$35="","",$AL$35-$BV$22)</f>
        <v/>
      </c>
      <c r="BG35" s="319" t="n">
        <v>1</v>
      </c>
      <c r="BH35" s="319" t="n">
        <v>2</v>
      </c>
      <c r="BI35" s="319" t="n">
        <v>3</v>
      </c>
      <c r="BJ35" s="319" t="n">
        <v>4</v>
      </c>
      <c r="BK35" s="319" t="n">
        <v>5</v>
      </c>
      <c r="BL35" s="319" t="n">
        <v>6</v>
      </c>
      <c r="BM35" s="319" t="n">
        <v>7</v>
      </c>
      <c r="BN35" s="319" t="n">
        <v>8</v>
      </c>
      <c r="BO35" s="319" t="n">
        <v>9</v>
      </c>
      <c r="BZ35" s="693" t="n"/>
      <c r="CA35" s="693" t="n"/>
    </row>
    <row r="36" ht="12" customHeight="1" s="613">
      <c r="A36" s="429" t="inlineStr">
        <is>
          <t>sec.</t>
        </is>
      </c>
      <c r="B36" s="296">
        <f>IF(NOT(ISBLANK(D36)),D36,DGET('Grid Numbers'!$A$2:$L$4952,'Grid Numbers'!$K$2,$B$68:$H$69))</f>
        <v/>
      </c>
      <c r="C36" s="700" t="n"/>
      <c r="D36" s="505" t="n"/>
      <c r="J36" s="427" t="n"/>
      <c r="K36" s="427" t="n"/>
      <c r="L36" s="310" t="n"/>
      <c r="M36" s="309" t="n"/>
      <c r="S36" s="428" t="n"/>
      <c r="T36" s="427" t="n"/>
      <c r="U36" s="505" t="n"/>
      <c r="V36" s="646" t="n"/>
      <c r="W36" s="472">
        <f>IF(NOT(ISBLANK(U36)),U36,DGET('Grid Numbers'!$A$2:$L$4952,'Grid Numbers'!$K$2,$B$76:$H$77))</f>
        <v/>
      </c>
      <c r="X36" s="426" t="inlineStr">
        <is>
          <t>sec.</t>
        </is>
      </c>
      <c r="AA36" s="689" t="n"/>
      <c r="AB36" s="294" t="n"/>
      <c r="AC36" s="671" t="n"/>
      <c r="AD36" s="617" t="n"/>
      <c r="AE36" s="323">
        <f>IF(ISNUMBER($AE$32),AE$32,IF(ISNUMBER($AG$33),AE$33,IF(ISNUMBER($AI$34),AE$34,IF(ISNUMBER($AK$35),AE$35,""))))</f>
        <v/>
      </c>
      <c r="AF36" s="323">
        <f>IF(ISNUMBER($AF$32),AF$32,IF(ISNUMBER($AH$33),AF$33,IF(ISNUMBER($AJ$34),AF$34,IF(ISNUMBER($AL$35),AF$35,""))))</f>
        <v/>
      </c>
      <c r="AG36" s="323">
        <f>IF(ISNUMBER($AE$32),AG$32,IF(ISNUMBER($AG$33),AG$33,IF(ISNUMBER($AI$34),AG$34,IF(ISNUMBER($AK$35),AG$35,""))))</f>
        <v/>
      </c>
      <c r="AH36" s="323">
        <f>IF(ISNUMBER($AF$32),AH$32,IF(ISNUMBER($AH$33),AH$33,IF(ISNUMBER($AJ$34),AH$34,IF(ISNUMBER($AL$35),AH$35,""))))</f>
        <v/>
      </c>
      <c r="AI36" s="323">
        <f>IF(ISNUMBER($AE$32),AI$32,IF(ISNUMBER($AG$33),AI$33,IF(ISNUMBER($AI$34),AI$34,IF(ISNUMBER($AK$35),AI$35,""))))</f>
        <v/>
      </c>
      <c r="AJ36" s="323">
        <f>IF(ISNUMBER($AF$32),AJ$32,IF(ISNUMBER($AH$33),AJ$33,IF(ISNUMBER($AJ$34),AJ$34,IF(ISNUMBER($AL$35),AJ$35,""))))</f>
        <v/>
      </c>
      <c r="AK36" s="323">
        <f>IF(ISNUMBER($AE$32),AK$32,IF(ISNUMBER($AG$33),AK$33,IF(ISNUMBER($AI$34),AK$34,IF(ISNUMBER($AK$35),AK$35,""))))</f>
        <v/>
      </c>
      <c r="AL36" s="323">
        <f>IF(ISNUMBER($AF$32),AL$32,IF(ISNUMBER($AH$33),AL$33,IF(ISNUMBER($AJ$34),AL$34,IF(ISNUMBER($AL$35),AL$35,""))))</f>
        <v/>
      </c>
      <c r="AM36" s="323">
        <f>IF(ISNUMBER($AE$32),AM$32,IF(ISNUMBER($AG$33),AM$33,IF(ISNUMBER($AI$34),AM$34,IF(ISNUMBER($AK$35),AM$35,""))))</f>
        <v/>
      </c>
      <c r="AN36" s="323">
        <f>IF(ISNUMBER($AF$32),AN$32,IF(ISNUMBER($AH$33),AN$33,IF(ISNUMBER($AJ$34),AN$34,IF(ISNUMBER($AL$35),AN$35,""))))</f>
        <v/>
      </c>
      <c r="AO36" s="323">
        <f>IF(ISNUMBER($AE$32),AO$32,IF(ISNUMBER($AG$33),AO$33,IF(ISNUMBER($AI$34),AO$34,IF(ISNUMBER($AK$35),AO$35,""))))</f>
        <v/>
      </c>
      <c r="AP36" s="323">
        <f>IF(ISNUMBER($AF$32),AP$32,IF(ISNUMBER($AH$33),AP$33,IF(ISNUMBER($AJ$34),AP$34,IF(ISNUMBER($AL$35),AP$35,""))))</f>
        <v/>
      </c>
      <c r="AQ36" s="323">
        <f>IF(ISNUMBER($AE$32),AQ$32,IF(ISNUMBER($AG$33),AQ$33,IF(ISNUMBER($AI$34),AQ$34,IF(ISNUMBER($AK$35),AQ$35,""))))</f>
        <v/>
      </c>
      <c r="AR36" s="323">
        <f>IF(ISNUMBER($AF$32),AR$32,IF(ISNUMBER($AH$33),AR$33,IF(ISNUMBER($AJ$34),AR$34,IF(ISNUMBER($AL$35),AR$35,""))))</f>
        <v/>
      </c>
      <c r="AS36" s="323">
        <f>IF(ISNUMBER($AE$32),AS$32,IF(ISNUMBER($AG$33),AS$33,IF(ISNUMBER($AI$34),AS$34,IF(ISNUMBER($AK$35),AS$35,""))))</f>
        <v/>
      </c>
      <c r="AT36" s="323">
        <f>IF(ISNUMBER($AF$32),AT$32,IF(ISNUMBER($AH$33),AT$33,IF(ISNUMBER($AJ$34),AT$34,IF(ISNUMBER($AL$35),AT$35,""))))</f>
        <v/>
      </c>
      <c r="AV36" s="313" t="inlineStr">
        <is>
          <t>FNL</t>
        </is>
      </c>
      <c r="AW36" s="313" t="inlineStr">
        <is>
          <t>SHL</t>
        </is>
      </c>
      <c r="AX36" s="313" t="inlineStr">
        <is>
          <t>S-E</t>
        </is>
      </c>
      <c r="AY36" s="313" t="inlineStr">
        <is>
          <t>N</t>
        </is>
      </c>
      <c r="AZ36" s="293" t="inlineStr">
        <is>
          <t>NE</t>
        </is>
      </c>
      <c r="BA36" s="313" t="inlineStr">
        <is>
          <t>Salt Lake</t>
        </is>
      </c>
      <c r="BB36" s="313" t="inlineStr">
        <is>
          <t>NE-NE</t>
        </is>
      </c>
      <c r="BD36" s="448" t="inlineStr">
        <is>
          <t>Quad</t>
        </is>
      </c>
      <c r="BE36" s="447" t="inlineStr">
        <is>
          <t>BHL</t>
        </is>
      </c>
      <c r="BF36" s="446" t="inlineStr">
        <is>
          <t>Sec. Logic</t>
        </is>
      </c>
      <c r="BG36" s="319" t="inlineStr">
        <is>
          <t>SHL</t>
        </is>
      </c>
      <c r="BH36" s="319" t="inlineStr">
        <is>
          <t>N</t>
        </is>
      </c>
      <c r="BI36" s="319" t="inlineStr">
        <is>
          <t>NE</t>
        </is>
      </c>
      <c r="BJ36" s="319" t="inlineStr">
        <is>
          <t>E</t>
        </is>
      </c>
      <c r="BK36" s="319" t="inlineStr">
        <is>
          <t>SE</t>
        </is>
      </c>
      <c r="BL36" s="319" t="inlineStr">
        <is>
          <t>S</t>
        </is>
      </c>
      <c r="BM36" s="319" t="inlineStr">
        <is>
          <t>SW</t>
        </is>
      </c>
      <c r="BN36" s="319" t="inlineStr">
        <is>
          <t>W</t>
        </is>
      </c>
      <c r="BO36" s="319" t="inlineStr">
        <is>
          <t>NW</t>
        </is>
      </c>
      <c r="BZ36" s="693" t="n"/>
      <c r="CA36" s="693" t="n"/>
    </row>
    <row r="37" ht="12" customHeight="1" s="613" thickBot="1">
      <c r="A37" s="429" t="inlineStr">
        <is>
          <t>dir.</t>
        </is>
      </c>
      <c r="B37" s="321">
        <f>IF(NOT(ISBLANK(D37)),D37,DGET('Grid Numbers'!$A$2:$L$4952,'Grid Numbers'!$L$2,$B$68:$H$69))</f>
        <v/>
      </c>
      <c r="C37" s="700" t="n"/>
      <c r="D37" s="508" t="n"/>
      <c r="J37" s="427" t="n"/>
      <c r="K37" s="427" t="n"/>
      <c r="L37" s="310" t="n"/>
      <c r="M37" s="309" t="n"/>
      <c r="O37" s="693" t="n"/>
      <c r="P37" s="693" t="n"/>
      <c r="S37" s="428" t="n"/>
      <c r="T37" s="427" t="n"/>
      <c r="U37" s="508" t="n"/>
      <c r="V37" s="646" t="n"/>
      <c r="W37" s="321">
        <f>IF(NOT(ISBLANK(U37)),U37,DGET('Grid Numbers'!$A$2:$L$4952,'Grid Numbers'!$L$2,$B$76:$H$77))</f>
        <v/>
      </c>
      <c r="X37" s="426" t="inlineStr">
        <is>
          <t>dir.</t>
        </is>
      </c>
      <c r="AA37" s="689" t="n"/>
      <c r="AB37" s="689" t="n"/>
      <c r="AC37" s="332" t="n"/>
      <c r="AD37" s="331" t="n"/>
      <c r="AE37" s="330" t="n"/>
      <c r="AF37" s="330" t="n"/>
      <c r="AG37" s="330" t="n"/>
      <c r="AH37" s="330" t="n"/>
      <c r="AI37" s="330" t="n"/>
      <c r="AJ37" s="330" t="n"/>
      <c r="AK37" s="330" t="n"/>
      <c r="AL37" s="330" t="n"/>
      <c r="AM37" s="330" t="n"/>
      <c r="AN37" s="330" t="n"/>
      <c r="AO37" s="330" t="n"/>
      <c r="AP37" s="330" t="n"/>
      <c r="AQ37" s="330" t="n"/>
      <c r="AR37" s="330" t="n"/>
      <c r="AS37" s="330" t="n"/>
      <c r="AT37" s="330" t="n"/>
      <c r="AV37" s="313" t="inlineStr">
        <is>
          <t>FSL</t>
        </is>
      </c>
      <c r="AW37" s="313" t="inlineStr">
        <is>
          <t>CPL</t>
        </is>
      </c>
      <c r="AX37" s="313" t="inlineStr">
        <is>
          <t>N-E</t>
        </is>
      </c>
      <c r="AY37" s="313" t="inlineStr">
        <is>
          <t>S</t>
        </is>
      </c>
      <c r="AZ37" s="293" t="inlineStr">
        <is>
          <t>NW</t>
        </is>
      </c>
      <c r="BA37" s="313" t="inlineStr">
        <is>
          <t>Uintah</t>
        </is>
      </c>
      <c r="BB37" s="313" t="inlineStr">
        <is>
          <t>NW-NE</t>
        </is>
      </c>
      <c r="BD37" s="320" t="n">
        <v>1</v>
      </c>
      <c r="BE37" s="319" t="inlineStr">
        <is>
          <t>BHL1</t>
        </is>
      </c>
      <c r="BF37" s="336">
        <f>IF(AND(MAX($AE$58:$AL$58)&lt;1,ISNUMBER($AE$26), ISNUMBER($AF$26)),IF(AND($AE$26&gt;0,$AF$26&gt;0),3,IF(AND($AE$26&lt;0,IF(-$AE$26&lt;$BZ$19,$AO$62,$AO$65)&lt;0),4,IF(AND(IF(-$AF$26&lt;$AW$19,$AN$62,$AN$63)&lt;0,$AF$26&lt;0),2,""))),"")</f>
        <v/>
      </c>
      <c r="BG37" s="293" t="n">
        <v>1</v>
      </c>
      <c r="BH37" s="293" t="n">
        <v>36</v>
      </c>
      <c r="BI37" s="293" t="n">
        <v>31</v>
      </c>
      <c r="BJ37" s="293" t="n">
        <v>6</v>
      </c>
      <c r="BK37" s="293" t="n">
        <v>7</v>
      </c>
      <c r="BL37" s="293" t="n">
        <v>12</v>
      </c>
      <c r="BM37" s="293" t="n">
        <v>11</v>
      </c>
      <c r="BN37" s="293" t="n">
        <v>2</v>
      </c>
      <c r="BO37" s="293" t="n">
        <v>35</v>
      </c>
      <c r="BZ37" s="693" t="n"/>
      <c r="CA37" s="693" t="n"/>
    </row>
    <row r="38" ht="12" customHeight="1" s="613">
      <c r="A38" s="429" t="inlineStr">
        <is>
          <t>dec. deg.</t>
        </is>
      </c>
      <c r="B38" s="771">
        <f>IF(AND($L$38='SHL Section'!$BE$51,MAX('BHL Section 1'!$BF$37:$BF$40)=4),'BHL Section 1'!$W$38,IF(AND($L$38='SHL Section'!$BE$54,MAX('BHL Section 1'!$BF$41:$BF$44)=4),'BHL Section 1'!$W$38,IF(AND($L$38='SHL Section'!$BE$57,MAX('BHL Section 1'!$BF$45:$BF$48)=4),'BHL Section 1'!$W$38,IF(B34="","",IF(OR(B37=1,B37=4),180-(B34+B35/60+B36/3600),180+(B34+B35/60+B36/3600))))))</f>
        <v/>
      </c>
      <c r="C38" s="700" t="n"/>
      <c r="F38" s="774" t="n"/>
      <c r="I38" s="428" t="n"/>
      <c r="J38" s="427" t="n"/>
      <c r="K38" s="427" t="n"/>
      <c r="L38" s="699">
        <f>IF(NOT(OR('SHL Section'!$BE$51='BHL Section 1'!$L$38,'SHL Section'!$BE$51='SHL Section'!$N$7)),'SHL Section'!$BE$51,IF(NOT(OR('SHL Section'!$BE$54='BHL Section 1'!$L$38,'SHL Section'!$BE$54='SHL Section'!$N$7)),'SHL Section'!$BE$54,IF(NOT(OR('SHL Section'!$BE$57='BHL Section 1'!$L$38,'SHL Section'!$BE$57='SHL Section'!$N$7)),'SHL Section'!$BE$57,IF(AND(NOT('SHL Section'!$BE$51='SHL Section'!$N$7),'SHL Section'!$BE$53='SHL Section'!$N$7),'SHL Section'!$BE$56,""))))</f>
        <v/>
      </c>
      <c r="M38" s="656" t="n"/>
      <c r="P38" s="774" t="n"/>
      <c r="S38" s="428" t="n"/>
      <c r="T38" s="427" t="n"/>
      <c r="U38" s="689" t="n"/>
      <c r="V38" s="646" t="n"/>
      <c r="W38" s="770">
        <f>IF(AND($L$38='SHL Section'!$BE$51,MAX('BHL Section 1'!$BF$37:$BF$40)=8),'BHL Section 1'!$B$38,IF(AND($L$38='SHL Section'!$BE$54,MAX('BHL Section 1'!$BF$41:$BF$44)=8),'BHL Section 1'!$B$38,IF(AND($L$38='SHL Section'!$BE$57,MAX('BHL Section 1'!$BF$45:$BF$48)=8),'BHL Section 1'!$B$38,IF(W34="","",IF(OR(W37=1,W37=4),180-(W34+W35/60+W36/3600),180+(W34+W35/60+W36/3600))))))</f>
        <v/>
      </c>
      <c r="X38" s="426" t="inlineStr">
        <is>
          <t>dec. deg.</t>
        </is>
      </c>
      <c r="AA38" s="689" t="n"/>
      <c r="AB38" s="294" t="n"/>
      <c r="AC38" s="320" t="n">
        <v>1</v>
      </c>
      <c r="AD38" s="319" t="inlineStr">
        <is>
          <t>BHL3</t>
        </is>
      </c>
      <c r="AE38" s="327">
        <f>IF(AND($AS$24+'SHL Section'!$AI$10&gt;0,$AN$24+'SHL Section'!$AK$10&gt;0),$AE$24+'SHL Section'!$AI$10,"")</f>
        <v/>
      </c>
      <c r="AF38" s="327">
        <f>IF(AND($AS$24+'SHL Section'!$AI$10&gt;0,$AN$24+'SHL Section'!$AK$10&gt;0),$AF$24+'SHL Section'!$AK$10,"")</f>
        <v/>
      </c>
      <c r="AG38" s="326">
        <f>IF($AE$38="","",$AY$26+$AE$38)</f>
        <v/>
      </c>
      <c r="AH38" s="326">
        <f>IF($AF$38="","",$AZ$26+$AF$38)</f>
        <v/>
      </c>
      <c r="AI38" s="326">
        <f>IF($AE$38="","",$BG$26+$AY$26+$AE$38)</f>
        <v/>
      </c>
      <c r="AJ38" s="326">
        <f>IF($AF$38="","",$AZ$26+$BH$26+$AF$38)</f>
        <v/>
      </c>
      <c r="AK38" s="326">
        <f>IF($AE$38="","",$BW$26+$AE$38)</f>
        <v/>
      </c>
      <c r="AL38" s="326">
        <f>IF($AF$38="","",$AF$38+$BX$26)</f>
        <v/>
      </c>
      <c r="AM38" s="326">
        <f>IF($AE$38="","",$AW$22+$AE$38)</f>
        <v/>
      </c>
      <c r="AN38" s="326">
        <f>IF($AF$38="","",$AX$22+$AF$38)</f>
        <v/>
      </c>
      <c r="AO38" s="326">
        <f>IF($AE$38="","",$AY$26+$AE$38+$BE$22)</f>
        <v/>
      </c>
      <c r="AP38" s="326">
        <f>IF($AF$38="","",$AZ$26+$AF$38+$BF$22)</f>
        <v/>
      </c>
      <c r="AQ38" s="326">
        <f>IF($AE$38="","",$BW$26+$AE$38+$BQ$22)</f>
        <v/>
      </c>
      <c r="AR38" s="326">
        <f>IF($AF$38="","",$AF$38+$BX$26+$BR$22)</f>
        <v/>
      </c>
      <c r="AS38" s="326">
        <f>IF($AE$38="","",$BY$22+$AE$38)</f>
        <v/>
      </c>
      <c r="AT38" s="326">
        <f>IF($AF$38="","",$AF$38+$BZ$22)</f>
        <v/>
      </c>
      <c r="AV38" s="313" t="inlineStr">
        <is>
          <t>FEL</t>
        </is>
      </c>
      <c r="AW38" s="313" t="inlineStr">
        <is>
          <t>FTL</t>
        </is>
      </c>
      <c r="AX38" s="313" t="inlineStr">
        <is>
          <t>S-W</t>
        </is>
      </c>
      <c r="AY38" s="313" t="inlineStr">
        <is>
          <t>E</t>
        </is>
      </c>
      <c r="AZ38" s="293" t="inlineStr">
        <is>
          <t>SW</t>
        </is>
      </c>
      <c r="BA38" s="313" t="n"/>
      <c r="BB38" s="313" t="inlineStr">
        <is>
          <t>SW-NE</t>
        </is>
      </c>
      <c r="BD38" s="320" t="n">
        <v>2</v>
      </c>
      <c r="BE38" s="319" t="inlineStr">
        <is>
          <t>BHL1</t>
        </is>
      </c>
      <c r="BF38" s="336">
        <f>IF(AND(MAX($AE$58:$AL$58)&lt;1,ISNUMBER($AG$27), ISNUMBER($AH$27)),IF(AND(IF($AH$27&lt;$BC$19,$AP$63,$AP$62)&lt;0,$AH$27&gt;0),2,IF(AND($AG$27&gt;0,$AH$27&lt;0),9,IF(AND($AG$27&lt;0,IF(-$AG$27&lt;$BD$19,$AQ$63,$AQ$64)&lt;0),8,""))),"")</f>
        <v/>
      </c>
      <c r="BG38" s="293" t="n">
        <v>2</v>
      </c>
      <c r="BH38" s="293" t="n">
        <v>35</v>
      </c>
      <c r="BI38" s="293" t="n">
        <v>36</v>
      </c>
      <c r="BJ38" s="293" t="n">
        <v>1</v>
      </c>
      <c r="BK38" s="293" t="n">
        <v>12</v>
      </c>
      <c r="BL38" s="293" t="n">
        <v>11</v>
      </c>
      <c r="BM38" s="293" t="n">
        <v>10</v>
      </c>
      <c r="BN38" s="293" t="n">
        <v>3</v>
      </c>
      <c r="BO38" s="293" t="n">
        <v>34</v>
      </c>
      <c r="BZ38" s="693" t="n"/>
      <c r="CA38" s="693" t="n"/>
    </row>
    <row r="39" ht="12" customHeight="1" s="613" thickBot="1">
      <c r="A39" s="687">
        <f>CONCATENATE("W QC of ",$L$38)</f>
        <v/>
      </c>
      <c r="B39" s="646" t="n"/>
      <c r="C39" s="425" t="n"/>
      <c r="D39" s="424" t="n"/>
      <c r="E39" s="424" t="n"/>
      <c r="F39" s="424" t="n"/>
      <c r="G39" s="424" t="n"/>
      <c r="H39" s="424" t="n"/>
      <c r="I39" s="424" t="n"/>
      <c r="J39" s="424" t="n"/>
      <c r="K39" s="424" t="n"/>
      <c r="L39" s="700" t="n"/>
      <c r="M39" s="646" t="n"/>
      <c r="N39" s="424" t="n"/>
      <c r="O39" s="424" t="n"/>
      <c r="P39" s="424" t="n"/>
      <c r="Q39" s="424" t="n"/>
      <c r="R39" s="424" t="n"/>
      <c r="S39" s="424" t="n"/>
      <c r="T39" s="424" t="n"/>
      <c r="U39" s="424" t="n"/>
      <c r="V39" s="423" t="n"/>
      <c r="W39" s="701">
        <f>CONCATENATE("E QC of ",$L$38)</f>
        <v/>
      </c>
      <c r="AA39" s="689" t="n"/>
      <c r="AB39" s="294" t="n"/>
      <c r="AC39" s="320" t="n">
        <v>2</v>
      </c>
      <c r="AD39" s="319" t="inlineStr">
        <is>
          <t>BHL3</t>
        </is>
      </c>
      <c r="AE39" s="326">
        <f>IF($AG$39="","",$AG$39-$AY$26)</f>
        <v/>
      </c>
      <c r="AF39" s="326">
        <f>IF($AH$39="","",$AH$39-$AZ$26)</f>
        <v/>
      </c>
      <c r="AG39" s="327">
        <f>IF(AND($AO$24+'SHL Section'!$AI$10&gt;0,$AN$24+'SHL Section'!$AK$10&lt;0),$AG$24+'SHL Section'!$AI$10,"")</f>
        <v/>
      </c>
      <c r="AH39" s="327">
        <f>IF(AND($AO$24+'SHL Section'!$AI$10&gt;0,$AN$24+'SHL Section'!$AK$10&lt;0),$AH$24+'SHL Section'!$AK$10,"")</f>
        <v/>
      </c>
      <c r="AI39" s="326">
        <f>IF($AG$39="","",$BG$26+$AG$39)</f>
        <v/>
      </c>
      <c r="AJ39" s="326">
        <f>IF($AH$39="","",$AH$39+$BH$26)</f>
        <v/>
      </c>
      <c r="AK39" s="326">
        <f>IF($AG$39="","",$AG$39-$AY$26+$BW$26)</f>
        <v/>
      </c>
      <c r="AL39" s="326">
        <f>IF($AH$39="","",$AH$39-$AZ$26+$BX$26)</f>
        <v/>
      </c>
      <c r="AM39" s="326">
        <f>IF($AG$39="","",$AG$39-$BA$22)</f>
        <v/>
      </c>
      <c r="AN39" s="326">
        <f>IF($AH$39="","",AH$39-$BB$22)</f>
        <v/>
      </c>
      <c r="AO39" s="326">
        <f>IF($AG$39="","",$BE$22+$AG$39)</f>
        <v/>
      </c>
      <c r="AP39" s="326">
        <f>IF($AH$39="","",$AH$39+$BF$22)</f>
        <v/>
      </c>
      <c r="AQ39" s="326">
        <f>IF($AG$39="","",$BG$26+$AG$39-$BM$22)</f>
        <v/>
      </c>
      <c r="AR39" s="326">
        <f>IF($AH$39="","",$AH$39+$BH$26-$BN$22)</f>
        <v/>
      </c>
      <c r="AS39" s="326">
        <f>IF($AG$39="","",$AG$39-$AY$26+$BY$22)</f>
        <v/>
      </c>
      <c r="AT39" s="326">
        <f>IF($AH$39="","",$AH$39-$AZ$26+$BZ$22)</f>
        <v/>
      </c>
      <c r="AV39" s="313" t="inlineStr">
        <is>
          <t>FWL</t>
        </is>
      </c>
      <c r="AW39" s="313" t="inlineStr">
        <is>
          <t>BHL</t>
        </is>
      </c>
      <c r="AX39" s="313" t="inlineStr">
        <is>
          <t>N-W</t>
        </is>
      </c>
      <c r="AY39" s="313" t="inlineStr">
        <is>
          <t>W</t>
        </is>
      </c>
      <c r="AZ39" s="293" t="inlineStr">
        <is>
          <t>SE</t>
        </is>
      </c>
      <c r="BA39" s="313" t="n"/>
      <c r="BB39" s="313" t="inlineStr">
        <is>
          <t>SE-NE</t>
        </is>
      </c>
      <c r="BD39" s="320" t="n">
        <v>3</v>
      </c>
      <c r="BE39" s="319" t="inlineStr">
        <is>
          <t>BHL1</t>
        </is>
      </c>
      <c r="BF39" s="336">
        <f>IF(AND(MAX($AE$58:$AL$58)&lt;1,ISNUMBER($AI$28), ISNUMBER($AJ$28)),IF(AND($AI$28&gt;0,IF($AI$28&lt;$BJ$19,$AS$64,$AS$63)&lt;0),8,IF(AND($AI$28&lt;0,$AJ$28&lt;0),7,IF(AND(IF($AJ$28&lt;$BM$19,$AR$64,$AR$65)&lt;0,$AJ$28&gt;0),6,""))),"")</f>
        <v/>
      </c>
      <c r="BG39" s="293" t="n">
        <v>3</v>
      </c>
      <c r="BH39" s="293" t="n">
        <v>34</v>
      </c>
      <c r="BI39" s="293" t="n">
        <v>35</v>
      </c>
      <c r="BJ39" s="293" t="n">
        <v>2</v>
      </c>
      <c r="BK39" s="293" t="n">
        <v>11</v>
      </c>
      <c r="BL39" s="293" t="n">
        <v>10</v>
      </c>
      <c r="BM39" s="293" t="n">
        <v>9</v>
      </c>
      <c r="BN39" s="293" t="n">
        <v>4</v>
      </c>
      <c r="BO39" s="293" t="n">
        <v>33</v>
      </c>
      <c r="BZ39" s="693" t="n"/>
      <c r="CA39" s="693" t="n"/>
    </row>
    <row r="40" ht="12" customHeight="1" s="613">
      <c r="B40" s="646" t="n"/>
      <c r="C40" s="422" t="n"/>
      <c r="D40" s="421" t="n"/>
      <c r="E40" s="421" t="n"/>
      <c r="F40" s="421" t="n"/>
      <c r="G40" s="421" t="n"/>
      <c r="H40" s="421" t="n"/>
      <c r="I40" s="421" t="n"/>
      <c r="J40" s="421" t="n"/>
      <c r="K40" s="421" t="n"/>
      <c r="L40" s="700" t="n"/>
      <c r="M40" s="646" t="n"/>
      <c r="N40" s="421" t="n"/>
      <c r="O40" s="421" t="n"/>
      <c r="P40" s="421" t="n"/>
      <c r="Q40" s="421" t="n"/>
      <c r="R40" s="421" t="n"/>
      <c r="S40" s="421" t="n"/>
      <c r="T40" s="421" t="n"/>
      <c r="U40" s="421" t="n"/>
      <c r="V40" s="646" t="n"/>
      <c r="AA40" s="689" t="n"/>
      <c r="AB40" s="294" t="n"/>
      <c r="AC40" s="320" t="n">
        <v>3</v>
      </c>
      <c r="AD40" s="319" t="inlineStr">
        <is>
          <t>BHL3</t>
        </is>
      </c>
      <c r="AE40" s="326">
        <f>IF($AI$40="","",$AI$40-$BG$26-$AY$26)</f>
        <v/>
      </c>
      <c r="AF40" s="328">
        <f>IF($AJ$40="","",$AJ$40-$BH$26-$AZ$26)</f>
        <v/>
      </c>
      <c r="AG40" s="326">
        <f>IF($AI$40="","",$AI$40-$BG$26)</f>
        <v/>
      </c>
      <c r="AH40" s="326">
        <f>IF($AJ$40="","",$AJ$40-$BH$26)</f>
        <v/>
      </c>
      <c r="AI40" s="327">
        <f>IF(AND($AO$24+'SHL Section'!$AI$10&lt;0,$AR$24+'SHL Section'!$AK$10&lt;0),$AI$24+'SHL Section'!$AI$10,"")</f>
        <v/>
      </c>
      <c r="AJ40" s="327">
        <f>IF(AND($AO$24+'SHL Section'!$AI$10&lt;0,$AR$24+'SHL Section'!$AK$10&lt;0),$AJ$24+'SHL Section'!$AK$10,"")</f>
        <v/>
      </c>
      <c r="AK40" s="326">
        <f>IF($AI$40="","",$AI$40-$BO$26)</f>
        <v/>
      </c>
      <c r="AL40" s="326">
        <f>IF($AJ$40="","",$AJ$40-$BP$26)</f>
        <v/>
      </c>
      <c r="AM40" s="326">
        <f>IF($AI$40="","",$AI$40-$BG$26-$BA$26)</f>
        <v/>
      </c>
      <c r="AN40" s="326">
        <f>IF($AJ$40="","",$AJ$40-$BH$26-$BB$26)</f>
        <v/>
      </c>
      <c r="AO40" s="326">
        <f>IF($AI$40="","",$AI$40-$BI$26)</f>
        <v/>
      </c>
      <c r="AP40" s="326">
        <f>IF($AJ$40="","",$AJ$40-$BJ$26)</f>
        <v/>
      </c>
      <c r="AQ40" s="326">
        <f>IF($AI$40="","",$AI$40-$BM$26)</f>
        <v/>
      </c>
      <c r="AR40" s="326">
        <f>IF($AJ$40="","",$AJ$40-$BN$26)</f>
        <v/>
      </c>
      <c r="AS40" s="326">
        <f>IF($AI$40="","",$AI$40-$BO$26-$BU$26)</f>
        <v/>
      </c>
      <c r="AT40" s="326">
        <f>IF($AJ$40="","",$AJ$40-$BP$26-$BV$22)</f>
        <v/>
      </c>
      <c r="AV40" s="313" t="n"/>
      <c r="AW40" s="313" t="n"/>
      <c r="AX40" s="313" t="n"/>
      <c r="AY40" s="313" t="n"/>
      <c r="AZ40" s="313" t="n"/>
      <c r="BA40" s="313" t="n"/>
      <c r="BB40" s="313" t="inlineStr">
        <is>
          <t>NE-NW</t>
        </is>
      </c>
      <c r="BD40" s="469" t="n">
        <v>4</v>
      </c>
      <c r="BE40" s="676" t="inlineStr">
        <is>
          <t>BHL1</t>
        </is>
      </c>
      <c r="BF40" s="318">
        <f>IF(AND(MAX($AE$58:$AL$58)&lt;1,ISNUMBER($AK$29), ISNUMBER($AL$29)),IF(AND(IF(-$AL$29&lt;$BS$19,$AT$65,$AT$64)&lt;0,$AL$29&lt;0),6,IF(AND($AK$29&lt;0,$AL$29&gt;0),5,IF(AND($AK$29&gt;0,IF($AK$29&lt;$BT$19,$AU$65,$AU$62)&lt;0),4,""))),"")</f>
        <v/>
      </c>
      <c r="BG40" s="293" t="n">
        <v>4</v>
      </c>
      <c r="BH40" s="293" t="n">
        <v>33</v>
      </c>
      <c r="BI40" s="293" t="n">
        <v>34</v>
      </c>
      <c r="BJ40" s="293" t="n">
        <v>3</v>
      </c>
      <c r="BK40" s="293" t="n">
        <v>10</v>
      </c>
      <c r="BL40" s="293" t="n">
        <v>9</v>
      </c>
      <c r="BM40" s="293" t="n">
        <v>8</v>
      </c>
      <c r="BN40" s="293" t="n">
        <v>5</v>
      </c>
      <c r="BO40" s="293" t="n">
        <v>32</v>
      </c>
      <c r="BZ40" s="693" t="n"/>
      <c r="CA40" s="693" t="n"/>
    </row>
    <row r="41" ht="12" customHeight="1" s="613" thickBot="1">
      <c r="B41" s="420">
        <f>IF(AND($L$38='SHL Section'!$BE$51,MAX('BHL Section 1'!$BF$37:$BF$40)=4),'BHL Section 1'!$W$41,IF(AND($L$38='SHL Section'!$BE$54,MAX('BHL Section 1'!$BF$41:$BF$44)=4),'BHL Section 1'!$W$41,IF(AND($L$38='SHL Section'!$BE$57,MAX('BHL Section 1'!$BF$45:$BF$48)=4),'BHL Section 1'!$W$41,B42)))</f>
        <v/>
      </c>
      <c r="C41" s="700" t="n"/>
      <c r="L41" s="654" t="n"/>
      <c r="M41" s="634" t="n"/>
      <c r="V41" s="646" t="n"/>
      <c r="W41" s="428">
        <f>IF(AND($L$38='SHL Section'!$BE$51,MAX('BHL Section 1'!$BF$37:$BF$40)=8),'BHL Section 1'!$B$41,IF(AND($L$38='SHL Section'!$BE$54,MAX('BHL Section 1'!$BF$41:$BF$44)=8),'BHL Section 1'!$B$41,IF(AND($L$38='SHL Section'!$BE$57,MAX('BHL Section 1'!$BF$45:$BF$48)=8),'BHL Section 1'!$B$41,W42)))</f>
        <v/>
      </c>
      <c r="AA41" s="689" t="n"/>
      <c r="AB41" s="294" t="n"/>
      <c r="AC41" s="469" t="n">
        <v>4</v>
      </c>
      <c r="AD41" s="676" t="inlineStr">
        <is>
          <t>BHL3</t>
        </is>
      </c>
      <c r="AE41" s="324">
        <f>IF($AK$41="","",$AK$41-$BW$26)</f>
        <v/>
      </c>
      <c r="AF41" s="324">
        <f>IF($AL$41="","",$AL$41-$BX$26)</f>
        <v/>
      </c>
      <c r="AG41" s="324">
        <f>IF($AK$41="","",$AK$41+$BO$26-$BG$26)</f>
        <v/>
      </c>
      <c r="AH41" s="324">
        <f>IF($AL$41="","",$AL$41+$BP$26+$BH$26)</f>
        <v/>
      </c>
      <c r="AI41" s="324">
        <f>IF($AK$41="","",$AK$41+$BO$26)</f>
        <v/>
      </c>
      <c r="AJ41" s="324">
        <f>IF($AL$41="","",$AL$41+$BP$26)</f>
        <v/>
      </c>
      <c r="AK41" s="325">
        <f>IF(AND($AS$24+'SHL Section'!$AI$10&lt;0,$AR$24+'SHL Section'!$AK$10&gt;0),$AK$24+'SHL Section'!$AI$10,"")</f>
        <v/>
      </c>
      <c r="AL41" s="325">
        <f>IF(AND($AS$24+'SHL Section'!$AI$10&lt;0,$AR$24+'SHL Section'!$AK$10&gt;0),$AL$24+'SHL Section'!$AK$10,"")</f>
        <v/>
      </c>
      <c r="AM41" s="324">
        <f>IF($AK$41="","",$AK$41-$BW$26+$AW$22)</f>
        <v/>
      </c>
      <c r="AN41" s="324">
        <f>IF($AL$41="","",$AL$41-$BX$26+$AX$22)</f>
        <v/>
      </c>
      <c r="AO41" s="324">
        <f>IF($AK$41="","",$AK$41+$BO$26-$BI$22)</f>
        <v/>
      </c>
      <c r="AP41" s="324">
        <f>IF($AL$41="","",$AL$41+$BP$26-$BJ$22)</f>
        <v/>
      </c>
      <c r="AQ41" s="324">
        <f>IF($AK$41="","",$AK$41+$BQ$22)</f>
        <v/>
      </c>
      <c r="AR41" s="324">
        <f>IF($AL$41="","",$AL$41+$BR$22)</f>
        <v/>
      </c>
      <c r="AS41" s="324">
        <f>IF($AK$41="","",$AK$41-$BU$22)</f>
        <v/>
      </c>
      <c r="AT41" s="324">
        <f>IF($AL$41="","",$AL$41-$BV$22)</f>
        <v/>
      </c>
      <c r="AV41" s="313" t="n"/>
      <c r="AW41" s="313" t="n"/>
      <c r="AX41" s="313" t="n"/>
      <c r="AY41" s="313" t="n"/>
      <c r="AZ41" s="313" t="n"/>
      <c r="BA41" s="313" t="n"/>
      <c r="BB41" s="313" t="inlineStr">
        <is>
          <t>NW-NW</t>
        </is>
      </c>
      <c r="BD41" s="320" t="n">
        <v>1</v>
      </c>
      <c r="BE41" s="319" t="inlineStr">
        <is>
          <t>BHL2</t>
        </is>
      </c>
      <c r="BF41" s="336">
        <f>IF(AND(MAX($AE$69:$AL$69)&lt;1,ISNUMBER($AE$32), ISNUMBER($AF$32)),IF(AND($AE$32&gt;0,$AF$32&gt;0),3,IF(AND($AE$32&lt;0,IF(-$AE$32&lt;$BZ$19,$AO$73,$AO$76)&lt;0),4,IF(AND(IF(-$AF$32&lt;$AW$19,$AN$73,$AN$74)&lt;0,$AF$32&lt;0),2,""))),"")</f>
        <v/>
      </c>
      <c r="BG41" s="293" t="n">
        <v>5</v>
      </c>
      <c r="BH41" s="293" t="n">
        <v>32</v>
      </c>
      <c r="BI41" s="293" t="n">
        <v>33</v>
      </c>
      <c r="BJ41" s="293" t="n">
        <v>4</v>
      </c>
      <c r="BK41" s="293" t="n">
        <v>9</v>
      </c>
      <c r="BL41" s="293" t="n">
        <v>8</v>
      </c>
      <c r="BM41" s="293" t="n">
        <v>7</v>
      </c>
      <c r="BN41" s="293" t="n">
        <v>6</v>
      </c>
      <c r="BO41" s="293" t="n">
        <v>31</v>
      </c>
      <c r="BZ41" s="693" t="n"/>
      <c r="CA41" s="693" t="n"/>
    </row>
    <row r="42" ht="12" customHeight="1" s="613">
      <c r="A42" s="429" t="inlineStr">
        <is>
          <t>dist.</t>
        </is>
      </c>
      <c r="B42" s="301">
        <f>IF(NOT(ISBLANK(D42)),D42,DGET('Grid Numbers'!$A$2:$L$4952,'Grid Numbers'!$H$2,B70:H71))</f>
        <v/>
      </c>
      <c r="C42" s="700" t="n"/>
      <c r="D42" s="504" t="n"/>
      <c r="G42" s="686" t="inlineStr">
        <is>
          <t>Quadrant 3</t>
        </is>
      </c>
      <c r="H42" s="677" t="n"/>
      <c r="L42" s="310" t="n"/>
      <c r="M42" s="309" t="n"/>
      <c r="Q42" s="686" t="inlineStr">
        <is>
          <t>Quadrant 4</t>
        </is>
      </c>
      <c r="R42" s="677" t="n"/>
      <c r="U42" s="504" t="n"/>
      <c r="V42" s="646" t="n"/>
      <c r="W42" s="473">
        <f>IF(NOT(ISBLANK(U42)),U42,DGET('Grid Numbers'!$A$2:$L$4952,'Grid Numbers'!$H$2,$B$78:$H$79))</f>
        <v/>
      </c>
      <c r="X42" s="426" t="inlineStr">
        <is>
          <t>dist.</t>
        </is>
      </c>
      <c r="AA42" s="689" t="n"/>
      <c r="AB42" s="294" t="n"/>
      <c r="AC42" s="671" t="n"/>
      <c r="AD42" s="617" t="n"/>
      <c r="AE42" s="323">
        <f>IF(ISNUMBER($AE$38),AE$38,IF(ISNUMBER($AG$39),AE$39,IF(ISNUMBER($AI$40),AE$40,IF(ISNUMBER($AK$41),AE$41,""))))</f>
        <v/>
      </c>
      <c r="AF42" s="323">
        <f>IF(ISNUMBER($AF$38),AF$38,IF(ISNUMBER($AH$39),AF$39,IF(ISNUMBER($AJ$40),AF$40,IF(ISNUMBER($AL$41),AF$41,""))))</f>
        <v/>
      </c>
      <c r="AG42" s="323">
        <f>IF(ISNUMBER($AE$38),AG$38,IF(ISNUMBER($AG$39),AG$39,IF(ISNUMBER($AI$40),AG$40,IF(ISNUMBER($AK$41),AG$41,""))))</f>
        <v/>
      </c>
      <c r="AH42" s="323">
        <f>IF(ISNUMBER($AF$38),AH$38,IF(ISNUMBER($AH$39),AH$39,IF(ISNUMBER($AJ$40),AH$40,IF(ISNUMBER($AL$41),AH$41,""))))</f>
        <v/>
      </c>
      <c r="AI42" s="323">
        <f>IF(ISNUMBER($AE$38),AI$38,IF(ISNUMBER($AG$39),AI$39,IF(ISNUMBER($AI$40),AI$40,IF(ISNUMBER($AK$41),AI$41,""))))</f>
        <v/>
      </c>
      <c r="AJ42" s="323">
        <f>IF(ISNUMBER($AF$38),AJ$38,IF(ISNUMBER($AH$39),AJ$39,IF(ISNUMBER($AJ$40),AJ$40,IF(ISNUMBER($AL$41),AJ$41,""))))</f>
        <v/>
      </c>
      <c r="AK42" s="323">
        <f>IF(ISNUMBER($AE$38),AK$38,IF(ISNUMBER($AG$39),AK$39,IF(ISNUMBER($AI$40),AK$40,IF(ISNUMBER($AK$41),AK$41,""))))</f>
        <v/>
      </c>
      <c r="AL42" s="323">
        <f>IF(ISNUMBER($AF$38),AL$38,IF(ISNUMBER($AH$39),AL$39,IF(ISNUMBER($AJ$40),AL$40,IF(ISNUMBER($AL$41),AL$41,""))))</f>
        <v/>
      </c>
      <c r="AM42" s="323">
        <f>IF(ISNUMBER($AE$38),AM$38,IF(ISNUMBER($AG$39),AM$39,IF(ISNUMBER($AI$40),AM$40,IF(ISNUMBER($AK$41),AM$41,""))))</f>
        <v/>
      </c>
      <c r="AN42" s="323">
        <f>IF(ISNUMBER($AF$38),AN$38,IF(ISNUMBER($AH$39),AN$39,IF(ISNUMBER($AJ$40),AN$40,IF(ISNUMBER($AL$41),AN$41,""))))</f>
        <v/>
      </c>
      <c r="AO42" s="323">
        <f>IF(ISNUMBER($AE$38),AO$38,IF(ISNUMBER($AG$39),AO$39,IF(ISNUMBER($AI$40),AO$40,IF(ISNUMBER($AK$41),AO$41,""))))</f>
        <v/>
      </c>
      <c r="AP42" s="323">
        <f>IF(ISNUMBER($AF$38),AP$38,IF(ISNUMBER($AH$39),AP$39,IF(ISNUMBER($AJ$40),AP$40,IF(ISNUMBER($AL$41),AP$41,""))))</f>
        <v/>
      </c>
      <c r="AQ42" s="323">
        <f>IF(ISNUMBER($AE$38),AQ$38,IF(ISNUMBER($AG$39),AQ$39,IF(ISNUMBER($AI$40),AQ$40,IF(ISNUMBER($AK$41),AQ$41,""))))</f>
        <v/>
      </c>
      <c r="AR42" s="323">
        <f>IF(ISNUMBER($AF$38),AR$38,IF(ISNUMBER($AH$39),AR$39,IF(ISNUMBER($AJ$40),AR$40,IF(ISNUMBER($AL$41),AR$41,""))))</f>
        <v/>
      </c>
      <c r="AS42" s="323">
        <f>IF(ISNUMBER($AE$38),AS$38,IF(ISNUMBER($AG$39),AS$39,IF(ISNUMBER($AI$40),AS$40,IF(ISNUMBER($AK$41),AS$41,""))))</f>
        <v/>
      </c>
      <c r="AT42" s="323">
        <f>IF(ISNUMBER($AF$38),AT$38,IF(ISNUMBER($AH$39),AT$39,IF(ISNUMBER($AJ$40),AT$40,IF(ISNUMBER($AL$41),AT$41,""))))</f>
        <v/>
      </c>
      <c r="AV42" s="313" t="n"/>
      <c r="AW42" s="313" t="n"/>
      <c r="AX42" s="313" t="n"/>
      <c r="AY42" s="313" t="n"/>
      <c r="AZ42" s="313" t="n"/>
      <c r="BA42" s="313" t="n"/>
      <c r="BB42" s="313" t="inlineStr">
        <is>
          <t>SW-NW</t>
        </is>
      </c>
      <c r="BD42" s="320" t="n">
        <v>2</v>
      </c>
      <c r="BE42" s="319" t="inlineStr">
        <is>
          <t>BHL2</t>
        </is>
      </c>
      <c r="BF42" s="336">
        <f>IF(AND(MAX($AE$69:$AL$69)&lt;1,ISNUMBER($AG$33), ISNUMBER($AH$33)),IF(AND(IF($AH$33&lt;$BC$19,$AP$74,$AP$73)&lt;0,$AH$33&gt;0),2,IF(AND($AG$33&gt;0,$AH$33&lt;0),9,IF(AND($AG$33&lt;0,IF(-$AG$33&lt;$BD$19,$AQ$74,$AQ$75)&lt;0),8,""))),"")</f>
        <v/>
      </c>
      <c r="BG42" s="293" t="n">
        <v>6</v>
      </c>
      <c r="BH42" s="293" t="n">
        <v>31</v>
      </c>
      <c r="BI42" s="293" t="n">
        <v>32</v>
      </c>
      <c r="BJ42" s="293" t="n">
        <v>5</v>
      </c>
      <c r="BK42" s="293" t="n">
        <v>8</v>
      </c>
      <c r="BL42" s="293" t="n">
        <v>7</v>
      </c>
      <c r="BM42" s="293" t="n">
        <v>12</v>
      </c>
      <c r="BN42" s="293" t="n">
        <v>1</v>
      </c>
      <c r="BO42" s="293" t="n">
        <v>36</v>
      </c>
      <c r="BZ42" s="693" t="n"/>
      <c r="CA42" s="693" t="n"/>
    </row>
    <row r="43" ht="12" customHeight="1" s="613">
      <c r="A43" s="429" t="inlineStr">
        <is>
          <t>deg.</t>
        </is>
      </c>
      <c r="B43" s="295">
        <f>IF(NOT(ISBLANK(D43)),D43,DGET('Grid Numbers'!$A$2:$L$4952,'Grid Numbers'!$I$2,B70:H71))</f>
        <v/>
      </c>
      <c r="C43" s="700" t="n"/>
      <c r="D43" s="504" t="n"/>
      <c r="G43" s="315">
        <f>IF(ISNUMBER($AI$58),$B$8,"")</f>
        <v/>
      </c>
      <c r="H43" s="314">
        <f>IF(AND(G44="",G45=""),"",IF($AI$58=1,"NE/SW",IF($AI$58=2,"NW/SW",IF($AI$58=3,"SW/SW",IF($AI$58=4,"SE/SW","")))))</f>
        <v/>
      </c>
      <c r="L43" s="310" t="n"/>
      <c r="M43" s="309" t="n"/>
      <c r="Q43" s="315">
        <f>IF(ISNUMBER($AK$58),$B$8,"")</f>
        <v/>
      </c>
      <c r="R43" s="314">
        <f>IF(AND(Q44="",Q45=""),"",IF($AK$58=1,"NE/SE",IF($AK$58=2,"NW/SE",IF($AK$58=3,"SW/SE",IF($AK$58=4,"SE/SE","")))))</f>
        <v/>
      </c>
      <c r="U43" s="504" t="n"/>
      <c r="V43" s="646" t="n"/>
      <c r="W43" s="474">
        <f>IF(NOT(ISBLANK(U43)),U43,DGET('Grid Numbers'!$A$2:$L$4952,'Grid Numbers'!$I$2,$B$78:$H$79))</f>
        <v/>
      </c>
      <c r="X43" s="426" t="inlineStr">
        <is>
          <t>deg.</t>
        </is>
      </c>
      <c r="AA43" s="689" t="n"/>
      <c r="AB43" s="294" t="n"/>
      <c r="AV43" s="313" t="n"/>
      <c r="AW43" s="313" t="n"/>
      <c r="AX43" s="313" t="n"/>
      <c r="AY43" s="313" t="n"/>
      <c r="AZ43" s="313" t="n"/>
      <c r="BA43" s="313" t="n"/>
      <c r="BB43" s="313" t="inlineStr">
        <is>
          <t>SE-NW</t>
        </is>
      </c>
      <c r="BD43" s="320" t="n">
        <v>3</v>
      </c>
      <c r="BE43" s="319" t="inlineStr">
        <is>
          <t>BHL2</t>
        </is>
      </c>
      <c r="BF43" s="336">
        <f>IF(AND(MAX($AE$69:$AL$69)&lt;1,ISNUMBER($AI$34), ISNUMBER($AJ$34)),IF(AND($AI$34&gt;0,IF($AI$34&lt;$BJ$19,$AS$75,$AS$74)&lt;0),8,IF(AND($AI$34&lt;0,$AJ$34&lt;0),7,IF(AND(IF($AJ$34&lt;$BM$19,$AR$75,$AR$76)&lt;0,$AJ$34&gt;0),6,""))),"")</f>
        <v/>
      </c>
      <c r="BG43" s="293" t="n">
        <v>7</v>
      </c>
      <c r="BH43" s="293" t="n">
        <v>6</v>
      </c>
      <c r="BI43" s="293" t="n">
        <v>5</v>
      </c>
      <c r="BJ43" s="293" t="n">
        <v>8</v>
      </c>
      <c r="BK43" s="293" t="n">
        <v>17</v>
      </c>
      <c r="BL43" s="293" t="n">
        <v>18</v>
      </c>
      <c r="BM43" s="293" t="n">
        <v>13</v>
      </c>
      <c r="BN43" s="293" t="n">
        <v>12</v>
      </c>
      <c r="BO43" s="293" t="n">
        <v>1</v>
      </c>
      <c r="BZ43" s="693" t="n"/>
      <c r="CA43" s="693" t="n"/>
    </row>
    <row r="44" ht="12" customHeight="1" s="613">
      <c r="A44" s="429" t="inlineStr">
        <is>
          <t>min.</t>
        </is>
      </c>
      <c r="B44" s="295">
        <f>IF(NOT(ISBLANK(D44)),D44,DGET('Grid Numbers'!$A$2:$L$4952,'Grid Numbers'!$J$2,$B$70:$H$71))</f>
        <v/>
      </c>
      <c r="C44" s="700" t="n"/>
      <c r="D44" s="504" t="n"/>
      <c r="G44" s="312">
        <f>IF(ISNUMBER($AI$58),$I$8,"")</f>
        <v/>
      </c>
      <c r="H44" s="311">
        <f>IF(ISNUMBER($AI$58),"FSL","")</f>
        <v/>
      </c>
      <c r="J44" s="693" t="n"/>
      <c r="K44" s="693" t="n"/>
      <c r="L44" s="310" t="n"/>
      <c r="M44" s="309" t="n"/>
      <c r="Q44" s="312">
        <f>IF(ISNUMBER($AK$58),$I$8,"")</f>
        <v/>
      </c>
      <c r="R44" s="311">
        <f>IF(ISNUMBER($AK$58),"FSL","")</f>
        <v/>
      </c>
      <c r="T44" s="693" t="n"/>
      <c r="U44" s="504" t="n"/>
      <c r="V44" s="646" t="n"/>
      <c r="W44" s="474">
        <f>IF(NOT(ISBLANK(U44)),U44,DGET('Grid Numbers'!$A$2:$L$4952,'Grid Numbers'!$J$2,$B$78:$H$79))</f>
        <v/>
      </c>
      <c r="X44" s="426" t="inlineStr">
        <is>
          <t>min.</t>
        </is>
      </c>
      <c r="AA44" s="689" t="n"/>
      <c r="AB44" s="294" t="n"/>
      <c r="AV44" s="313" t="n"/>
      <c r="AW44" s="313" t="n"/>
      <c r="AX44" s="313" t="n"/>
      <c r="AY44" s="313" t="n"/>
      <c r="AZ44" s="313" t="n"/>
      <c r="BA44" s="313" t="n"/>
      <c r="BB44" s="313" t="inlineStr">
        <is>
          <t>NE-SW</t>
        </is>
      </c>
      <c r="BD44" s="469" t="n">
        <v>4</v>
      </c>
      <c r="BE44" s="676" t="inlineStr">
        <is>
          <t>BHL2</t>
        </is>
      </c>
      <c r="BF44" s="318">
        <f>IF(AND(MAX($AE$69:$AL$69)&lt;1,ISNUMBER($AK$35), ISNUMBER($AL$35)),IF(AND(IF(-$AL$35&lt;$BS$19,$AT$76,$AT$75)&lt;0,$AL$35&lt;0),6,IF(AND($AK$35&lt;0,$AL$35&gt;0),5,IF(AND($AK$35&gt;0,IF($AK$35&lt;$BT$19,$AU$76,$AU$73)&lt;0),4,""))),"")</f>
        <v/>
      </c>
      <c r="BG44" s="293" t="n">
        <v>8</v>
      </c>
      <c r="BH44" s="293" t="n">
        <v>5</v>
      </c>
      <c r="BI44" s="293" t="n">
        <v>4</v>
      </c>
      <c r="BJ44" s="293" t="n">
        <v>9</v>
      </c>
      <c r="BK44" s="293" t="n">
        <v>16</v>
      </c>
      <c r="BL44" s="293" t="n">
        <v>17</v>
      </c>
      <c r="BM44" s="293" t="n">
        <v>18</v>
      </c>
      <c r="BN44" s="293" t="n">
        <v>7</v>
      </c>
      <c r="BO44" s="293" t="n">
        <v>6</v>
      </c>
      <c r="BZ44" s="693" t="n"/>
      <c r="CA44" s="693" t="n"/>
    </row>
    <row r="45" ht="12" customHeight="1" s="613">
      <c r="A45" s="429" t="inlineStr">
        <is>
          <t>sec.</t>
        </is>
      </c>
      <c r="B45" s="295">
        <f>IF(NOT(ISBLANK(D45)),D45,DGET('Grid Numbers'!$A$2:$L$4952,'Grid Numbers'!$K$2,$B$70:$H$71))</f>
        <v/>
      </c>
      <c r="C45" s="700" t="n"/>
      <c r="D45" s="505" t="n"/>
      <c r="G45" s="308">
        <f>IF(ISNUMBER($AI$58),$K$8,"")</f>
        <v/>
      </c>
      <c r="H45" s="307">
        <f>IF(ISNUMBER($AI$58),"FWL","")</f>
        <v/>
      </c>
      <c r="J45" s="693" t="n"/>
      <c r="K45" s="693" t="n"/>
      <c r="L45" s="310" t="n"/>
      <c r="M45" s="309" t="n"/>
      <c r="Q45" s="308">
        <f>IF(ISNUMBER($AK$58),$K$8,"")</f>
        <v/>
      </c>
      <c r="R45" s="307">
        <f>IF(ISNUMBER($AK$58),"FEL","")</f>
        <v/>
      </c>
      <c r="T45" s="693" t="n"/>
      <c r="U45" s="505" t="n"/>
      <c r="V45" s="646" t="n"/>
      <c r="W45" s="474">
        <f>IF(NOT(ISBLANK(U45)),U45,DGET('Grid Numbers'!$A$2:$L$4952,'Grid Numbers'!$K$2,$B$78:$H$79))</f>
        <v/>
      </c>
      <c r="X45" s="426" t="inlineStr">
        <is>
          <t>sec.</t>
        </is>
      </c>
      <c r="AA45" s="689" t="n"/>
      <c r="AB45" s="294" t="n"/>
      <c r="AC45" s="319" t="n"/>
      <c r="AD45" s="319" t="n"/>
      <c r="AE45" s="683" t="inlineStr">
        <is>
          <t>Quad 1 (NE)</t>
        </is>
      </c>
      <c r="AF45" s="617" t="n"/>
      <c r="AG45" s="685" t="inlineStr">
        <is>
          <t>Quad 2 (NW)</t>
        </is>
      </c>
      <c r="AH45" s="616" t="n"/>
      <c r="AI45" s="683" t="inlineStr">
        <is>
          <t>Quad 3 (SW)</t>
        </is>
      </c>
      <c r="AJ45" s="617" t="n"/>
      <c r="AK45" s="683" t="inlineStr">
        <is>
          <t>Quad 4 (SE)</t>
        </is>
      </c>
      <c r="AL45" s="617" t="n"/>
      <c r="AV45" s="313" t="n"/>
      <c r="AW45" s="313" t="n"/>
      <c r="AX45" s="313" t="n"/>
      <c r="AY45" s="313" t="n"/>
      <c r="AZ45" s="313" t="n"/>
      <c r="BA45" s="313" t="n"/>
      <c r="BB45" s="313" t="inlineStr">
        <is>
          <t>NW-SW</t>
        </is>
      </c>
      <c r="BD45" s="320" t="n">
        <v>1</v>
      </c>
      <c r="BE45" s="319" t="inlineStr">
        <is>
          <t>BHL3</t>
        </is>
      </c>
      <c r="BF45" s="336">
        <f>IF(AND(MAX($AE$80:$AL$80)&lt;1,ISNUMBER($AE$38), ISNUMBER($AF$38)),IF(AND($AE$38&gt;0,$AF$38&gt;0),3,IF(AND($AE$38&lt;0,IF(-$AE$38&lt;$BZ$19,$AO$84,$AO$87)&lt;0),4,IF(AND(IF(-$AF$38&lt;$AW$19,$AN$84,$AN$85)&lt;0,$AF$38&lt;0),2,""))),"")</f>
        <v/>
      </c>
      <c r="BG45" s="293" t="n">
        <v>9</v>
      </c>
      <c r="BH45" s="293" t="n">
        <v>4</v>
      </c>
      <c r="BI45" s="293" t="n">
        <v>3</v>
      </c>
      <c r="BJ45" s="293" t="n">
        <v>10</v>
      </c>
      <c r="BK45" s="293" t="n">
        <v>15</v>
      </c>
      <c r="BL45" s="293" t="n">
        <v>16</v>
      </c>
      <c r="BM45" s="293" t="n">
        <v>17</v>
      </c>
      <c r="BN45" s="293" t="n">
        <v>8</v>
      </c>
      <c r="BO45" s="293" t="n">
        <v>5</v>
      </c>
      <c r="BZ45" s="693" t="n"/>
      <c r="CA45" s="693" t="n"/>
    </row>
    <row r="46" ht="12" customHeight="1" s="613">
      <c r="A46" s="429" t="inlineStr">
        <is>
          <t>dir.</t>
        </is>
      </c>
      <c r="B46" s="321">
        <f>IF(NOT(ISBLANK(D46)),D46,DGET('Grid Numbers'!$A$2:$L$4952,'Grid Numbers'!$L$2,$B$70:$H$71))</f>
        <v/>
      </c>
      <c r="C46" s="700" t="n"/>
      <c r="D46" s="508" t="n"/>
      <c r="G46" s="315">
        <f>IF(ISNUMBER($AI$69),$B$9,"")</f>
        <v/>
      </c>
      <c r="H46" s="314">
        <f>IF(AND(G47="",G48=""),"",IF($AI$69=1,"NE/SW",IF($AI$69=2,"NW/SW",IF($AI$69=3,"SW/SW",IF($AI$69=4,"SE/SW","")))))</f>
        <v/>
      </c>
      <c r="I46" s="428" t="n"/>
      <c r="J46" s="427" t="n"/>
      <c r="K46" s="427" t="n"/>
      <c r="L46" s="310" t="n"/>
      <c r="M46" s="309" t="n"/>
      <c r="Q46" s="315">
        <f>IF(ISNUMBER($AK$69),$B$9,"")</f>
        <v/>
      </c>
      <c r="R46" s="314">
        <f>IF(AND(Q47="",Q48=""),"",IF($AK$69=1,"NE/SE",IF($AK$69=2,"NW/SE",IF($AK$69=3,"SW/SE",IF($AK$69=4,"SE/SE","")))))</f>
        <v/>
      </c>
      <c r="S46" s="428" t="n"/>
      <c r="T46" s="427" t="n"/>
      <c r="U46" s="508" t="n"/>
      <c r="V46" s="646" t="n"/>
      <c r="W46" s="321">
        <f>IF(NOT(ISBLANK(U46)),U46,DGET('Grid Numbers'!$A$2:$L$4952,'Grid Numbers'!$L$2,$B$78:$H$79))</f>
        <v/>
      </c>
      <c r="X46" s="426" t="inlineStr">
        <is>
          <t>dir.</t>
        </is>
      </c>
      <c r="AA46" s="689" t="n"/>
      <c r="AB46" s="294" t="n"/>
      <c r="AD46" s="319" t="n"/>
      <c r="AE46" s="712" t="n">
        <v>1</v>
      </c>
      <c r="AF46" s="617" t="n"/>
      <c r="AG46" s="712" t="n">
        <v>2</v>
      </c>
      <c r="AH46" s="617" t="n"/>
      <c r="AI46" s="712" t="n">
        <v>3</v>
      </c>
      <c r="AJ46" s="617" t="n"/>
      <c r="AK46" s="712" t="n">
        <v>4</v>
      </c>
      <c r="AL46" s="617" t="n"/>
      <c r="AV46" s="313" t="n"/>
      <c r="AW46" s="313" t="n"/>
      <c r="AX46" s="313" t="n"/>
      <c r="AY46" s="313" t="n"/>
      <c r="AZ46" s="313" t="n"/>
      <c r="BA46" s="313" t="n"/>
      <c r="BB46" s="313" t="inlineStr">
        <is>
          <t>SW-SW</t>
        </is>
      </c>
      <c r="BD46" s="320" t="n">
        <v>2</v>
      </c>
      <c r="BE46" s="319" t="inlineStr">
        <is>
          <t>BHL3</t>
        </is>
      </c>
      <c r="BF46" s="336">
        <f>IF(AND(MAX($AE$80:$AL$80)&lt;1,ISNUMBER($AG$39), ISNUMBER($AH$39)),IF(AND(IF($AH$39&lt;$BC$19,$AP$85,$AP$84)&lt;0,$AH$39&gt;0),2,IF(AND($AG$39&gt;0,$AH$39&lt;0),9,IF(AND($AG$39&lt;0,IF(-$AG$39&lt;$BD$19,$AQ$85,$AQ$86)&lt;0),8,""))),"")</f>
        <v/>
      </c>
      <c r="BG46" s="293" t="n">
        <v>10</v>
      </c>
      <c r="BH46" s="293" t="n">
        <v>3</v>
      </c>
      <c r="BI46" s="293" t="n">
        <v>2</v>
      </c>
      <c r="BJ46" s="293" t="n">
        <v>11</v>
      </c>
      <c r="BK46" s="293" t="n">
        <v>14</v>
      </c>
      <c r="BL46" s="293" t="n">
        <v>15</v>
      </c>
      <c r="BM46" s="293" t="n">
        <v>16</v>
      </c>
      <c r="BN46" s="293" t="n">
        <v>9</v>
      </c>
      <c r="BO46" s="293" t="n">
        <v>4</v>
      </c>
      <c r="BZ46" s="693" t="n"/>
      <c r="CA46" s="693" t="n"/>
    </row>
    <row r="47" ht="12" customHeight="1" s="613">
      <c r="A47" s="429" t="inlineStr">
        <is>
          <t>dec. deg.</t>
        </is>
      </c>
      <c r="B47" s="771">
        <f>IF(AND($L$38='SHL Section'!$BE$51,MAX('BHL Section 1'!$BF$37:$BF$40)=4),'BHL Section 1'!$W$47,IF(AND($L$38='SHL Section'!$BE$54,MAX('BHL Section 1'!$BF$41:$BF$44)=4),'BHL Section 1'!$W$47,IF(AND($L$38='SHL Section'!$BE$57,MAX('BHL Section 1'!$BF$45:$BF$48)=4),'BHL Section 1'!$W$47,IF(B43="","",IF(OR(B46=1,B46=4),180-(B43+B44/60+B45/3600),180+(B43+B44/60+B45/3600))))))</f>
        <v/>
      </c>
      <c r="C47" s="700" t="n"/>
      <c r="G47" s="312">
        <f>IF(ISNUMBER($AI$69),$I$9,"")</f>
        <v/>
      </c>
      <c r="H47" s="311">
        <f>IF(ISNUMBER($AI$69),"FSL","")</f>
        <v/>
      </c>
      <c r="I47" s="428" t="n"/>
      <c r="J47" s="427" t="n"/>
      <c r="K47" s="427" t="n"/>
      <c r="L47" s="310" t="n"/>
      <c r="M47" s="309" t="n"/>
      <c r="Q47" s="312">
        <f>IF(ISNUMBER($AK$69),$I$9,"")</f>
        <v/>
      </c>
      <c r="R47" s="311">
        <f>IF(ISNUMBER($AK$69),"FSL","")</f>
        <v/>
      </c>
      <c r="S47" s="428" t="n"/>
      <c r="T47" s="427" t="n"/>
      <c r="V47" s="646" t="n"/>
      <c r="W47" s="770">
        <f>IF(AND($L$38='SHL Section'!$BE$51,MAX('BHL Section 1'!$BF$37:$BF$40)=8),'BHL Section 1'!$B$47,IF(AND($L$38='SHL Section'!$BE$54,MAX('BHL Section 1'!$BF$41:$BF$44)=8),'BHL Section 1'!$B$47,IF(AND($L$38='SHL Section'!$BE$57,MAX('BHL Section 1'!$BF$45:$BF$48)=8),'BHL Section 1'!$B$47,IF(W43="","",IF(OR(W46=1,W46=4),180-(W43+W44/60+W45/3600),180+(W43+W44/60+W45/3600))))))</f>
        <v/>
      </c>
      <c r="X47" s="426" t="inlineStr">
        <is>
          <t>dec. deg.</t>
        </is>
      </c>
      <c r="AA47" s="689" t="n"/>
      <c r="AE47" s="674" t="inlineStr">
        <is>
          <t>SHL Qtr-Qtr Logic</t>
        </is>
      </c>
      <c r="AF47" s="675" t="n"/>
      <c r="AG47" s="676" t="inlineStr">
        <is>
          <t>SHL Qtr-Qtr Logic</t>
        </is>
      </c>
      <c r="AH47" s="677" t="n"/>
      <c r="AI47" s="674" t="inlineStr">
        <is>
          <t>SHL Qtr-Qtr Logic</t>
        </is>
      </c>
      <c r="AJ47" s="675" t="n"/>
      <c r="AK47" s="674" t="inlineStr">
        <is>
          <t>SHL Qtr-Qtr Logic</t>
        </is>
      </c>
      <c r="AL47" s="675" t="n"/>
      <c r="AV47" s="313" t="n"/>
      <c r="AW47" s="313" t="n"/>
      <c r="AX47" s="313" t="n"/>
      <c r="AY47" s="313" t="n"/>
      <c r="AZ47" s="313" t="n"/>
      <c r="BA47" s="313" t="n"/>
      <c r="BB47" s="313" t="inlineStr">
        <is>
          <t>SE-SW</t>
        </is>
      </c>
      <c r="BD47" s="320" t="n">
        <v>3</v>
      </c>
      <c r="BE47" s="319" t="inlineStr">
        <is>
          <t>BHL3</t>
        </is>
      </c>
      <c r="BF47" s="336">
        <f>IF(AND(MAX($AE$80:$AL$80)&lt;1,ISNUMBER($AI$40), ISNUMBER($AJ$40)),IF(AND($AI$40&gt;0,IF($AI$40&lt;$BJ$19,$AS$86,$AS$85)&lt;0),8,IF(AND($AI$40&lt;0,$AJ$40&lt;0),7,IF(AND(IF($AJ$40&lt;$BM$19,$AR$86,$AR$87)&lt;0,$AJ$40&gt;0),6,""))),"")</f>
        <v/>
      </c>
      <c r="BG47" s="293" t="n">
        <v>11</v>
      </c>
      <c r="BH47" s="293" t="n">
        <v>2</v>
      </c>
      <c r="BI47" s="293" t="n">
        <v>1</v>
      </c>
      <c r="BJ47" s="293" t="n">
        <v>12</v>
      </c>
      <c r="BK47" s="293" t="n">
        <v>13</v>
      </c>
      <c r="BL47" s="293" t="n">
        <v>14</v>
      </c>
      <c r="BM47" s="293" t="n">
        <v>15</v>
      </c>
      <c r="BN47" s="293" t="n">
        <v>10</v>
      </c>
      <c r="BO47" s="293" t="n">
        <v>3</v>
      </c>
      <c r="BZ47" s="693" t="n"/>
      <c r="CA47" s="693" t="n"/>
    </row>
    <row r="48" ht="12" customHeight="1" s="613">
      <c r="C48" s="700" t="n"/>
      <c r="G48" s="308">
        <f>IF(ISNUMBER($AI$69),$K$9,"")</f>
        <v/>
      </c>
      <c r="H48" s="307">
        <f>IF(ISNUMBER($AI$69),"FWL","")</f>
        <v/>
      </c>
      <c r="I48" s="428" t="n"/>
      <c r="J48" s="427" t="n"/>
      <c r="K48" s="427" t="n"/>
      <c r="L48" s="310" t="n"/>
      <c r="M48" s="309" t="n"/>
      <c r="Q48" s="308">
        <f>IF(ISNUMBER($AK$69),$K$9,"")</f>
        <v/>
      </c>
      <c r="R48" s="307">
        <f>IF(ISNUMBER($AK$69),"FEL","")</f>
        <v/>
      </c>
      <c r="S48" s="428" t="n"/>
      <c r="T48" s="427" t="n"/>
      <c r="V48" s="646" t="n"/>
      <c r="AA48" s="689" t="n"/>
      <c r="AE48" s="671" t="n"/>
      <c r="AF48" s="617" t="n"/>
      <c r="AG48" s="671" t="n"/>
      <c r="AH48" s="617" t="n"/>
      <c r="AI48" s="671" t="n"/>
      <c r="AJ48" s="617" t="n"/>
      <c r="AK48" s="671" t="n"/>
      <c r="AL48" s="617" t="n"/>
      <c r="AV48" s="313" t="n"/>
      <c r="AW48" s="313" t="n"/>
      <c r="AX48" s="313" t="n"/>
      <c r="AY48" s="313" t="n"/>
      <c r="AZ48" s="313" t="n"/>
      <c r="BA48" s="313" t="n"/>
      <c r="BB48" s="313" t="inlineStr">
        <is>
          <t>NE-SE</t>
        </is>
      </c>
      <c r="BD48" s="469" t="n">
        <v>4</v>
      </c>
      <c r="BE48" s="676" t="inlineStr">
        <is>
          <t>BHL3</t>
        </is>
      </c>
      <c r="BF48" s="318">
        <f>IF(AND(MAX($AE$80:$AL$80)&lt;1,ISNUMBER($AK$41), ISNUMBER($AL$41)),IF(AND(IF(-$AL$41&lt;$BS$19,$AT$87,$AT$86)&lt;0,$AL$41&lt;0),6,IF(AND($AK$41&lt;0,$AL$41&gt;0),5,IF(AND($AK$41&gt;0,IF($AK$41&lt;$BT$19,$AU$87,$AU$84)&lt;0),4,""))),"")</f>
        <v/>
      </c>
      <c r="BG48" s="293" t="n">
        <v>12</v>
      </c>
      <c r="BH48" s="293" t="n">
        <v>1</v>
      </c>
      <c r="BI48" s="293" t="n">
        <v>6</v>
      </c>
      <c r="BJ48" s="293" t="n">
        <v>7</v>
      </c>
      <c r="BK48" s="293" t="n">
        <v>18</v>
      </c>
      <c r="BL48" s="293" t="n">
        <v>13</v>
      </c>
      <c r="BM48" s="293" t="n">
        <v>14</v>
      </c>
      <c r="BN48" s="293" t="n">
        <v>11</v>
      </c>
      <c r="BO48" s="293" t="n">
        <v>2</v>
      </c>
      <c r="BZ48" s="693" t="n"/>
      <c r="CA48" s="693" t="n"/>
    </row>
    <row r="49" ht="12" customHeight="1" s="613">
      <c r="B49" s="420">
        <f>IF(AND($L$38='SHL Section'!$BE$51,MAX('BHL Section 1'!$BF$37:$BF$40)=4),'BHL Section 1'!$W$49,IF(AND($L$38='SHL Section'!$BE$54,MAX('BHL Section 1'!$BF$41:$BF$44)=4),'BHL Section 1'!$W$49,IF(AND($L$38='SHL Section'!$BE$57,MAX('BHL Section 1'!$BF$45:$BF$48)=4),'BHL Section 1'!$W$49,B50)))</f>
        <v/>
      </c>
      <c r="C49" s="700" t="n"/>
      <c r="G49" s="315">
        <f>IF(ISNUMBER($AI$80),$B$10,"")</f>
        <v/>
      </c>
      <c r="H49" s="314">
        <f>IF(AND(G50="",G51=""),"",IF($AI$80=1,"NE/SW",IF($AI$80=2,"NW/SW",IF($AI$80=3,"SW/SW",IF($AI$80=4,"SE/SW","")))))</f>
        <v/>
      </c>
      <c r="I49" s="428" t="n"/>
      <c r="J49" s="427" t="n"/>
      <c r="K49" s="427" t="n"/>
      <c r="L49" s="310" t="n"/>
      <c r="M49" s="309" t="n"/>
      <c r="Q49" s="315">
        <f>IF(ISNUMBER($AK$80),$B$10,"")</f>
        <v/>
      </c>
      <c r="R49" s="314">
        <f>IF(AND(Q50="",Q51=""),"",IF($AK$80=1,"NE/SE",IF($AK$80=2,"NW/SE",IF($AK$80=3,"SW/SE",IF($AK$80=4,"SE/SE","")))))</f>
        <v/>
      </c>
      <c r="S49" s="428" t="n"/>
      <c r="T49" s="427" t="n"/>
      <c r="U49" s="689" t="n"/>
      <c r="V49" s="646" t="n"/>
      <c r="W49" s="428">
        <f>IF(AND($L$38='SHL Section'!$BE$51,MAX('BHL Section 1'!$BF$37:$BF$40)=8),'BHL Section 1'!$B$49,IF(AND($L$38='SHL Section'!$BE$54,MAX('BHL Section 1'!$BF$41:$BF$44)=8),'BHL Section 1'!$B$49,IF(AND($L$38='SHL Section'!$BE$57,MAX('BHL Section 1'!$BF$45:$BF$48)=8),'BHL Section 1'!$B$49,W50)))</f>
        <v/>
      </c>
      <c r="AA49" s="689" t="n"/>
      <c r="AE49" s="291" t="n"/>
      <c r="AF49" s="290" t="n"/>
      <c r="AG49" s="292" t="n"/>
      <c r="AH49" s="292" t="n"/>
      <c r="AI49" s="291" t="n"/>
      <c r="AJ49" s="290" t="n"/>
      <c r="AK49" s="291" t="n"/>
      <c r="AL49" s="290" t="n"/>
      <c r="AV49" s="313" t="n"/>
      <c r="AW49" s="313" t="n"/>
      <c r="AX49" s="313" t="n"/>
      <c r="AY49" s="313" t="n"/>
      <c r="AZ49" s="313" t="n"/>
      <c r="BA49" s="313" t="n"/>
      <c r="BB49" s="313" t="inlineStr">
        <is>
          <t>NW-SE</t>
        </is>
      </c>
      <c r="BG49" s="293" t="n">
        <v>13</v>
      </c>
      <c r="BH49" s="293" t="n">
        <v>12</v>
      </c>
      <c r="BI49" s="293" t="n">
        <v>7</v>
      </c>
      <c r="BJ49" s="293" t="n">
        <v>18</v>
      </c>
      <c r="BK49" s="293" t="n">
        <v>19</v>
      </c>
      <c r="BL49" s="293" t="n">
        <v>24</v>
      </c>
      <c r="BM49" s="293" t="n">
        <v>23</v>
      </c>
      <c r="BN49" s="293" t="n">
        <v>14</v>
      </c>
      <c r="BO49" s="293" t="n">
        <v>11</v>
      </c>
      <c r="BZ49" s="693" t="n"/>
      <c r="CA49" s="693" t="n"/>
    </row>
    <row r="50" ht="12" customHeight="1" s="613">
      <c r="A50" s="429" t="inlineStr">
        <is>
          <t>dist.</t>
        </is>
      </c>
      <c r="B50" s="301">
        <f>IF(NOT(ISBLANK(D50)),D50,DGET('Grid Numbers'!$A$2:$L$4952,'Grid Numbers'!$H$2,$B$72:$H$73))</f>
        <v/>
      </c>
      <c r="C50" s="700" t="n"/>
      <c r="D50" s="504" t="n"/>
      <c r="G50" s="312">
        <f>IF(ISNUMBER($AI$80),$I$10,"")</f>
        <v/>
      </c>
      <c r="H50" s="311">
        <f>IF(ISNUMBER($AI$80),"FSL","")</f>
        <v/>
      </c>
      <c r="I50" s="428" t="n"/>
      <c r="J50" s="427" t="n"/>
      <c r="K50" s="427" t="n"/>
      <c r="L50" s="310" t="n"/>
      <c r="M50" s="309" t="n"/>
      <c r="Q50" s="312">
        <f>IF(ISNUMBER($AK$80),$I$10,"")</f>
        <v/>
      </c>
      <c r="R50" s="311">
        <f>IF(ISNUMBER($AK$80),"FSL","")</f>
        <v/>
      </c>
      <c r="S50" s="428" t="n"/>
      <c r="T50" s="427" t="n"/>
      <c r="U50" s="504" t="n"/>
      <c r="V50" s="646" t="n"/>
      <c r="W50" s="301">
        <f>IF(NOT(ISBLANK(U50)),U50,DGET('Grid Numbers'!$A$2:$L$4952,'Grid Numbers'!$H$2,$B$80:$H$81))</f>
        <v/>
      </c>
      <c r="X50" s="426" t="inlineStr">
        <is>
          <t>dist.</t>
        </is>
      </c>
      <c r="AA50" s="689" t="n"/>
      <c r="AE50" s="674" t="inlineStr">
        <is>
          <t>SHL NE SC Calc</t>
        </is>
      </c>
      <c r="AF50" s="675" t="n"/>
      <c r="AG50" s="676" t="inlineStr">
        <is>
          <t>SHL NW SC Calc</t>
        </is>
      </c>
      <c r="AH50" s="677" t="n"/>
      <c r="AI50" s="674" t="inlineStr">
        <is>
          <t>SHL SW SC Calc</t>
        </is>
      </c>
      <c r="AJ50" s="675" t="n"/>
      <c r="AK50" s="674" t="inlineStr">
        <is>
          <t>SHL SE SC Calc</t>
        </is>
      </c>
      <c r="AL50" s="675" t="n"/>
      <c r="AV50" s="313" t="n"/>
      <c r="AW50" s="313" t="n"/>
      <c r="AX50" s="313" t="n"/>
      <c r="AY50" s="313" t="n"/>
      <c r="AZ50" s="313" t="n"/>
      <c r="BA50" s="313" t="n"/>
      <c r="BB50" s="313" t="inlineStr">
        <is>
          <t>SW-SE</t>
        </is>
      </c>
      <c r="BG50" s="293" t="n">
        <v>14</v>
      </c>
      <c r="BH50" s="293" t="n">
        <v>11</v>
      </c>
      <c r="BI50" s="293" t="n">
        <v>12</v>
      </c>
      <c r="BJ50" s="293" t="n">
        <v>13</v>
      </c>
      <c r="BK50" s="293" t="n">
        <v>24</v>
      </c>
      <c r="BL50" s="293" t="n">
        <v>23</v>
      </c>
      <c r="BM50" s="293" t="n">
        <v>22</v>
      </c>
      <c r="BN50" s="293" t="n">
        <v>15</v>
      </c>
      <c r="BO50" s="293" t="n">
        <v>10</v>
      </c>
      <c r="BZ50" s="693" t="n"/>
      <c r="CA50" s="693" t="n"/>
    </row>
    <row r="51" ht="12" customHeight="1" s="613">
      <c r="A51" s="429" t="inlineStr">
        <is>
          <t>deg.</t>
        </is>
      </c>
      <c r="B51" s="295">
        <f>IF(NOT(ISBLANK(D51)),D51,DGET('Grid Numbers'!$A$2:$L$4952,'Grid Numbers'!$I$2,$B$72:$H$73))</f>
        <v/>
      </c>
      <c r="C51" s="700" t="n"/>
      <c r="D51" s="504" t="n"/>
      <c r="G51" s="308">
        <f>IF(ISNUMBER($AI$80),$K$10,"")</f>
        <v/>
      </c>
      <c r="H51" s="307">
        <f>IF(ISNUMBER($AI$80),"FWL","")</f>
        <v/>
      </c>
      <c r="I51" s="428" t="n"/>
      <c r="J51" s="427" t="n"/>
      <c r="K51" s="427" t="n"/>
      <c r="L51" s="310" t="n"/>
      <c r="M51" s="309" t="n"/>
      <c r="Q51" s="308">
        <f>IF(ISNUMBER($AK$80),$K$10,"")</f>
        <v/>
      </c>
      <c r="R51" s="307">
        <f>IF(ISNUMBER($AK$80),"FEL","")</f>
        <v/>
      </c>
      <c r="S51" s="428" t="n"/>
      <c r="T51" s="427" t="n"/>
      <c r="U51" s="504" t="n"/>
      <c r="V51" s="646" t="n"/>
      <c r="W51" s="474">
        <f>IF(NOT(ISBLANK(U51)),U51,DGET('Grid Numbers'!$A$2:$L$4952,'Grid Numbers'!$I$2,$B$80:$H$81))</f>
        <v/>
      </c>
      <c r="X51" s="426" t="inlineStr">
        <is>
          <t>deg.</t>
        </is>
      </c>
      <c r="AA51" s="689" t="n"/>
      <c r="AB51" s="294" t="n"/>
      <c r="AC51" s="294" t="n"/>
      <c r="AD51" s="470" t="inlineStr">
        <is>
          <t>Qtr-Qtr</t>
        </is>
      </c>
      <c r="AE51" s="671" t="inlineStr">
        <is>
          <t>N-S</t>
        </is>
      </c>
      <c r="AF51" s="671" t="inlineStr">
        <is>
          <t>E-W</t>
        </is>
      </c>
      <c r="AG51" s="468" t="inlineStr">
        <is>
          <t>N-S</t>
        </is>
      </c>
      <c r="AH51" s="467" t="inlineStr">
        <is>
          <t>E-W</t>
        </is>
      </c>
      <c r="AI51" s="671" t="inlineStr">
        <is>
          <t>N-S</t>
        </is>
      </c>
      <c r="AJ51" s="671" t="inlineStr">
        <is>
          <t>E-W</t>
        </is>
      </c>
      <c r="AK51" s="671" t="inlineStr">
        <is>
          <t>N-S</t>
        </is>
      </c>
      <c r="AL51" s="671" t="inlineStr">
        <is>
          <t>E-W</t>
        </is>
      </c>
      <c r="AV51" s="313" t="n"/>
      <c r="AW51" s="313" t="n"/>
      <c r="AX51" s="313" t="n"/>
      <c r="AY51" s="313" t="n"/>
      <c r="AZ51" s="313" t="n"/>
      <c r="BA51" s="313" t="n"/>
      <c r="BB51" s="313" t="inlineStr">
        <is>
          <t>SE-SE</t>
        </is>
      </c>
      <c r="BG51" s="293" t="n">
        <v>15</v>
      </c>
      <c r="BH51" s="293" t="n">
        <v>10</v>
      </c>
      <c r="BI51" s="293" t="n">
        <v>11</v>
      </c>
      <c r="BJ51" s="293" t="n">
        <v>14</v>
      </c>
      <c r="BK51" s="293" t="n">
        <v>23</v>
      </c>
      <c r="BL51" s="293" t="n">
        <v>22</v>
      </c>
      <c r="BM51" s="293" t="n">
        <v>21</v>
      </c>
      <c r="BN51" s="293" t="n">
        <v>16</v>
      </c>
      <c r="BO51" s="293" t="n">
        <v>9</v>
      </c>
      <c r="BZ51" s="693" t="n"/>
      <c r="CA51" s="693" t="n"/>
    </row>
    <row r="52" ht="12" customHeight="1" s="613">
      <c r="A52" s="429" t="inlineStr">
        <is>
          <t>min.</t>
        </is>
      </c>
      <c r="B52" s="295">
        <f>IF(NOT(ISBLANK(D52)),D52,DGET('Grid Numbers'!$A$2:$L$4952,'Grid Numbers'!$J$2,$B$72:$H$73))</f>
        <v/>
      </c>
      <c r="C52" s="700" t="n"/>
      <c r="D52" s="504" t="n"/>
      <c r="I52" s="428" t="n"/>
      <c r="J52" s="427" t="n"/>
      <c r="K52" s="427" t="n"/>
      <c r="L52" s="310" t="n"/>
      <c r="M52" s="309" t="n"/>
      <c r="P52" s="693" t="n"/>
      <c r="S52" s="428" t="n"/>
      <c r="T52" s="427" t="n"/>
      <c r="U52" s="504" t="n"/>
      <c r="V52" s="646" t="n"/>
      <c r="W52" s="474">
        <f>IF(NOT(ISBLANK(U52)),U52,DGET('Grid Numbers'!$A$2:$L$4952,'Grid Numbers'!$J$2,$B$80:$H$81))</f>
        <v/>
      </c>
      <c r="X52" s="426" t="inlineStr">
        <is>
          <t>min.</t>
        </is>
      </c>
      <c r="AA52" s="689" t="n"/>
      <c r="AB52" s="689" t="n"/>
      <c r="AD52" s="319" t="n">
        <v>1</v>
      </c>
      <c r="AE52" s="306">
        <f>IF($AD52=AE$48,-($Q$30/$AV$28+$Q$31/$BZ$28*$AV$19/$AW$19)/(1-$AV$19/$AW$19*$CA$19/$BZ$19),"")</f>
        <v/>
      </c>
      <c r="AF52" s="287">
        <f>IF($AD52=AE$48,-($Q$31/$BZ$28+$Q$30/$AV$28*$CA$19/$BZ$19)/(1-$AV$19/$AW$19*$CA$19/$BZ$19),"")</f>
        <v/>
      </c>
      <c r="AG52" s="420">
        <f>IF($AD52=AG$48,-($G$30/$AZ$28-$BB$19-($G$31/$BD$28-$BC$19)*$AZ$19/$BA$19)/(1-$AZ$19/$BA$19*$BE$19/$BD$19),"")</f>
        <v/>
      </c>
      <c r="AH52" s="420">
        <f>IF($AD52=AG$48,($G$31/$BD$28-$BC$19-($G$30/$AZ$28-$BB$19)*$BE$19/$BD$19)/(1-$AZ$19/$BA$19*$BE$19/$BD$19)+$BC$19,"")</f>
        <v/>
      </c>
      <c r="AI52" s="306">
        <f>IF($AD52=AI$48,($G$46/$BN$28-$BJ$19+$BL$19+($G$47/$BH$28-$BM$19+$BK$19)*$BN$19/$BO$19)/(1-$BI$19/$BH$19*$BN$19/$BO$19)+$BJ$19,"")</f>
        <v/>
      </c>
      <c r="AJ52" s="287">
        <f>IF($AD52=AI$48,($G$47/$BH$28-$BM$19+$BK$19+($G$46/$BN$28-$BJ$19+$BL$19)*$BI$19/$BH$19)/(1-$BI$19/$BH$19*$BN$19/$BO$19)+$BM$19,"")</f>
        <v/>
      </c>
      <c r="AK52" s="306">
        <f>IF($AD52=AK$48,($Q$46/$BR$28-$BT$19-($Q$47/$BV$28-$BU$19)*$BR$19/$BS$19)/(1-$BW$19/$BV$19*$BR$19/$BS$19)+$BT$19,"")</f>
        <v/>
      </c>
      <c r="AL52" s="287">
        <f>IF($AD52=AK$48,-($Q$47/$BV$28-$BU$19-($Q$46/$BR$28-$BT$19)*$BW$19/$BV$19)/(1-$BW$19/$BV$19*$BR$19/$BS$19),"")</f>
        <v/>
      </c>
      <c r="BG52" s="293" t="n">
        <v>16</v>
      </c>
      <c r="BH52" s="293" t="n">
        <v>9</v>
      </c>
      <c r="BI52" s="293" t="n">
        <v>10</v>
      </c>
      <c r="BJ52" s="293" t="n">
        <v>15</v>
      </c>
      <c r="BK52" s="293" t="n">
        <v>22</v>
      </c>
      <c r="BL52" s="293" t="n">
        <v>21</v>
      </c>
      <c r="BM52" s="293" t="n">
        <v>20</v>
      </c>
      <c r="BN52" s="293" t="n">
        <v>17</v>
      </c>
      <c r="BO52" s="293" t="n">
        <v>8</v>
      </c>
      <c r="BZ52" s="693" t="n"/>
      <c r="CA52" s="693" t="n"/>
    </row>
    <row r="53" ht="12" customHeight="1" s="613">
      <c r="A53" s="429" t="inlineStr">
        <is>
          <t>sec.</t>
        </is>
      </c>
      <c r="B53" s="295">
        <f>IF(NOT(ISBLANK(D53)),D53,DGET('Grid Numbers'!$A$2:$L$4952,'Grid Numbers'!$K$2,$B$72:$H$73))</f>
        <v/>
      </c>
      <c r="C53" s="700" t="n"/>
      <c r="D53" s="505" t="n"/>
      <c r="I53" s="428" t="n"/>
      <c r="J53" s="427" t="n"/>
      <c r="K53" s="427" t="n"/>
      <c r="L53" s="310" t="n"/>
      <c r="M53" s="309" t="n"/>
      <c r="P53" s="693" t="n"/>
      <c r="S53" s="428" t="n"/>
      <c r="T53" s="427" t="n"/>
      <c r="U53" s="505" t="n"/>
      <c r="V53" s="646" t="n"/>
      <c r="W53" s="474">
        <f>IF(NOT(ISBLANK(U53)),U53,DGET('Grid Numbers'!$A$2:$L$4952,'Grid Numbers'!$K$2,$B$80:$H$81))</f>
        <v/>
      </c>
      <c r="X53" s="426" t="inlineStr">
        <is>
          <t>sec.</t>
        </is>
      </c>
      <c r="AA53" s="689" t="n"/>
      <c r="AB53" s="689" t="n"/>
      <c r="AD53" s="319" t="n">
        <v>2</v>
      </c>
      <c r="AE53" s="306">
        <f>IF($AD53=AE$48,-($Q$30/$AX$28+$AV$19+($Q$31/$BZ$28-$AW$19)*$AX$19/$AY$19)/(1-$AX$19/$AY$19*$CA$19/$BZ$19),"")</f>
        <v/>
      </c>
      <c r="AF53" s="287">
        <f>IF($AD53=AE$48,-($Q$31/$BZ$28-$AW$19+($Q$30/$AX$28+$AV$19)*$CA$19/$BZ$19)/(1-$AX$19/$AY$19*$CA$19/$BZ$19)-$AW$19,"")</f>
        <v/>
      </c>
      <c r="AG53" s="420">
        <f>IF($AD53=AG$48,-($G$30/$BB$28-$G$31/$BD$28*$BB$19/$BC$19)/(1-$BE$19/$BD$19*$BB$19/$BC$19),"")</f>
        <v/>
      </c>
      <c r="AH53" s="420">
        <f>IF($AD53=AG$48,($G$31/$BD$28-$G$30/$BB$28*$BE$19/$BD$19)/(1-$BE$19/$BD$19*$BB$19/$BC$19),"")</f>
        <v/>
      </c>
      <c r="AI53" s="306">
        <f>IF($AD53=AI$48,($G$46/$BL$28-$BJ$19+($G$47/$BH$28+$BK$19)*$BL$19/$BM$19)/(1-$BI$19/$BH$19*$BL$19/$BM$19)+$BJ$19,"")</f>
        <v/>
      </c>
      <c r="AJ53" s="287">
        <f>IF($AD53=AI$48,($G$47/$BH$28+$BK$19+($G$46/$BL$28-$BJ$19)*$BI$19/$BH$19)/(1-$BI$19/$BH$19*$BL$19/$BM$19),"")</f>
        <v/>
      </c>
      <c r="AK53" s="306">
        <f>IF($AD53=AK$48,($Q$46/$BP$28-$BT19-$BR$19-($Q$47/$BV$28-$BS$19-$BU$19)*$BP$19/$BQ$19)/(1-$BW$19/$BV$19*$BP$19/$BQ$19)+$BT$19,"")</f>
        <v/>
      </c>
      <c r="AL53" s="287">
        <f>IF($AD53=AK$48,-($Q$47/$BV$28-$BS$19-$BU$19-($Q$46/$BP$28-$BT$19-$BR$19)*$BW$19/$BV$19)/(1-$BW$19/$BV$19*$BP$19/$BQ$19)-$BS$19,"")</f>
        <v/>
      </c>
      <c r="BG53" s="293" t="n">
        <v>17</v>
      </c>
      <c r="BH53" s="293" t="n">
        <v>8</v>
      </c>
      <c r="BI53" s="293" t="n">
        <v>9</v>
      </c>
      <c r="BJ53" s="293" t="n">
        <v>16</v>
      </c>
      <c r="BK53" s="293" t="n">
        <v>21</v>
      </c>
      <c r="BL53" s="293" t="n">
        <v>20</v>
      </c>
      <c r="BM53" s="293" t="n">
        <v>19</v>
      </c>
      <c r="BN53" s="293" t="n">
        <v>18</v>
      </c>
      <c r="BO53" s="293" t="n">
        <v>7</v>
      </c>
      <c r="BZ53" s="693" t="n"/>
      <c r="CA53" s="693" t="n"/>
    </row>
    <row r="54">
      <c r="A54" s="429" t="inlineStr">
        <is>
          <t>dir.</t>
        </is>
      </c>
      <c r="B54" s="321">
        <f>IF(NOT(ISBLANK(D54)),D54,DGET('Grid Numbers'!$A$2:$L$4952,'Grid Numbers'!$L$2,$B$72:$H$73))</f>
        <v/>
      </c>
      <c r="C54" s="700" t="n"/>
      <c r="D54" s="508" t="n"/>
      <c r="F54" s="774" t="n"/>
      <c r="I54" s="428" t="n"/>
      <c r="J54" s="427" t="n"/>
      <c r="K54" s="427" t="n"/>
      <c r="L54" s="310" t="n"/>
      <c r="M54" s="309" t="n"/>
      <c r="P54" s="774" t="n"/>
      <c r="S54" s="428" t="n"/>
      <c r="T54" s="427" t="n"/>
      <c r="U54" s="508" t="n"/>
      <c r="V54" s="646" t="n"/>
      <c r="W54" s="321">
        <f>IF(NOT(ISBLANK(U54)),U54,DGET('Grid Numbers'!$A$2:$L$4952,'Grid Numbers'!$L$2,$B$80:$H$81))</f>
        <v/>
      </c>
      <c r="X54" s="426" t="inlineStr">
        <is>
          <t>dir.</t>
        </is>
      </c>
      <c r="AA54" s="689" t="n"/>
      <c r="AB54" s="689" t="n"/>
      <c r="AD54" s="319" t="n">
        <v>3</v>
      </c>
      <c r="AE54" s="306">
        <f>IF($AD54=AE$48,-($Q$30/$AX$28+$AV$19-$BZ$19+($Q$31/$BX$28+$CA$19-$AW$19)*$AX$19/$AY$19)/(1-$AX$19/$AY$19*$BY$19/$BX$19)-$BZ$19,"")</f>
        <v/>
      </c>
      <c r="AF54" s="287">
        <f>IF($AD54=AE$48,-($Q$31/$BX$28+$CA$19-$AW$19+($Q$30/$AX$28+$AV$19-$BZ$19)*$BY$19/$BX$19)/(1-$AX$19/$AY$19*$BY$19/$BX$19)-$AW$19,"")</f>
        <v/>
      </c>
      <c r="AG54" s="420">
        <f>IF($AD54=AG$48,-($G$30/$BB$28-$BD$19-($G$31/$BF$28-$BE$19)*$BB$19/$BC$19)/(1-$BG$19/$BF$19*$BB$19/$BC$19)-$BD$19,"")</f>
        <v/>
      </c>
      <c r="AH54" s="420">
        <f>IF($AD54=AG$48,($G$31/$BF$28-$BE$19-($G$30/$BB$28-$BD$19)*$BG$19/$BF$19)/(1-$BG$19/$BF$19*$BB$19/$BC$19),"")</f>
        <v/>
      </c>
      <c r="AI54" s="306">
        <f>IF($AD54=AI$48,($G$46/$BL$28+$G$47/$BJ$28*$BL$19/$BM$19)/(1-$BK$19/$BJ$19*$BL$19/$BM$19),"")</f>
        <v/>
      </c>
      <c r="AJ54" s="287">
        <f>IF($AD54=AI$48,($G$47/$BJ$28+$G$46/$BL$28*$BK$19/$BJ$19)/(1-$BK$19/$BJ$19*$BL$19/$BM$19),"")</f>
        <v/>
      </c>
      <c r="AK54" s="306">
        <f>IF($AD54=AK$48,($Q$46/$BP$28-$BR$19-($Q$47/$BT$28-$BS$19)*$BP$19/$BQ$19)/(1-$BU$19/$BT$19*$BP$19/$BQ$19),"")</f>
        <v/>
      </c>
      <c r="AL54" s="287">
        <f>IF($AD54=AK$48,-($Q$47/$BT$28-$BS$19-($Q$46/$BP$28-$BR$19)*$BU$19/$BT$19)/(1-$BU$19/$BT$19*$BP$19/$BQ$19)-$BS$19,"")</f>
        <v/>
      </c>
      <c r="BG54" s="293" t="n">
        <v>18</v>
      </c>
      <c r="BH54" s="293" t="n">
        <v>7</v>
      </c>
      <c r="BI54" s="293" t="n">
        <v>8</v>
      </c>
      <c r="BJ54" s="293" t="n">
        <v>17</v>
      </c>
      <c r="BK54" s="293" t="n">
        <v>20</v>
      </c>
      <c r="BL54" s="293" t="n">
        <v>19</v>
      </c>
      <c r="BM54" s="293" t="n">
        <v>24</v>
      </c>
      <c r="BN54" s="293" t="n">
        <v>13</v>
      </c>
      <c r="BO54" s="293" t="n">
        <v>12</v>
      </c>
      <c r="BZ54" s="693" t="n"/>
      <c r="CA54" s="693" t="n"/>
    </row>
    <row r="55" ht="12" customHeight="1" s="613" thickBot="1">
      <c r="A55" s="429" t="inlineStr">
        <is>
          <t>dec. deg.</t>
        </is>
      </c>
      <c r="B55" s="771">
        <f>IF(AND($L$38='SHL Section'!$BE$51,MAX('BHL Section 1'!$BF$37:$BF$40)=4),'BHL Section 1'!$W$55,IF(AND($L$38='SHL Section'!$BE$54,MAX('BHL Section 1'!$BF$41:$BF$44)=4),'BHL Section 1'!$W$55,IF(AND($L$38='SHL Section'!$BE$57,MAX('BHL Section 1'!$BF$45:$BF$48)=4),'BHL Section 1'!$W$55,IF(B51="","",IF(OR(B54=1,B54=4),180-(B51+B52/60+B53/3600),180+(B51+B52/60+B53/3600))))))</f>
        <v/>
      </c>
      <c r="C55" s="654" t="n"/>
      <c r="D55" s="633" t="n"/>
      <c r="E55" s="633" t="n"/>
      <c r="F55" s="633" t="n"/>
      <c r="G55" s="633" t="n"/>
      <c r="H55" s="633" t="n"/>
      <c r="I55" s="633" t="n"/>
      <c r="J55" s="633" t="n"/>
      <c r="K55" s="633" t="n"/>
      <c r="L55" s="305" t="n"/>
      <c r="M55" s="304" t="n"/>
      <c r="N55" s="633" t="n"/>
      <c r="O55" s="633" t="n"/>
      <c r="P55" s="633" t="n"/>
      <c r="Q55" s="633" t="n"/>
      <c r="R55" s="633" t="n"/>
      <c r="S55" s="633" t="n"/>
      <c r="T55" s="633" t="n"/>
      <c r="U55" s="633" t="n"/>
      <c r="V55" s="634" t="n"/>
      <c r="W55" s="770">
        <f>IF(AND($L$38='SHL Section'!$BE$51,MAX('BHL Section 1'!$BF$37:$BF$40)=8),'BHL Section 1'!$B$55,IF(AND($L$38='SHL Section'!$BE$54,MAX('BHL Section 1'!$BF$41:$BF$44)=8),'BHL Section 1'!$B$55,IF(AND($L$38='SHL Section'!$BE$57,MAX('BHL Section 1'!$BF$45:$BF$48)=8),'BHL Section 1'!$B$55,IF(W51="","",IF(OR(W54=1,W54=4),180-(W51+W52/60+W53/3600),180+(W51+W52/60+W53/3600))))))</f>
        <v/>
      </c>
      <c r="X55" s="426" t="inlineStr">
        <is>
          <t>dec. deg.</t>
        </is>
      </c>
      <c r="AA55" s="689" t="n"/>
      <c r="AB55" s="689" t="n"/>
      <c r="AD55" s="319" t="n">
        <v>4</v>
      </c>
      <c r="AE55" s="306">
        <f>IF($AD55=AE$48,-($Q$30/$AV$28-$BZ$19+($Q$31/$BX$28+$CA$19)*$AV$19/$AW$19)/(1-$AV$19/$AW$19*$BY$19/$BX$19)-$BZ$19,"")</f>
        <v/>
      </c>
      <c r="AF55" s="287">
        <f>IF($AD55=AE$48,-($Q$31/$BX$28+$CA$19+($Q$30/$AV$28-$BZ$19)*$BY$19/$BX$19)/(1-$AV$19/$AW$19*$BY$19/$BX$19),"")</f>
        <v/>
      </c>
      <c r="AG55" s="420">
        <f>IF($AD55=AG$48,-($G$30/$AZ$28-$BD$19-$BB$19-($G$31/$BF$28-$BC$19-$BE$19)*$AZ$19/$BA$19)/(1-$AZ$19/$BA$19*$BG$19/$BF$19)-$BD$19,"")</f>
        <v/>
      </c>
      <c r="AH55" s="420">
        <f>IF($AD55=AG$48,($G$31/$BF$28-$BC$19-$BE$19-($G$30/$AZ$28-$BD$19-$BB$19)*$BG$19/$BF$19)/(1-$AZ$19/$BA$19*$BG$19/$BF$19)+$BC$19,"")</f>
        <v/>
      </c>
      <c r="AI55" s="306">
        <f>IF($AD55=AI$48,($G$46/$BN$28+$BL$19+($G$47/$BJ$28-$BM$19)*$BN$19/$BO$19)/(1-$BK$19/$BJ$19*$BN$19/$BO$19),"")</f>
        <v/>
      </c>
      <c r="AJ55" s="287">
        <f>IF($AD55=AI$48,($G$47/$BJ$28-$BM$19+($G$46/$BN$28+$BL$19)*$BK$19/$BJ$19)/(1-$BK$19/$BJ$19*$BN$19/$BO$19)+$BM$19,"")</f>
        <v/>
      </c>
      <c r="AK55" s="306">
        <f>IF($AD55=AK$48,($Q$46/$BR$28-$Q$47/$BT$28*$BR$19/$BS$19)/(1-$BU$19/$BT$19*$BR$19/$BS$19),"")</f>
        <v/>
      </c>
      <c r="AL55" s="287">
        <f>IF($AD55=AK$48,-($Q$47/$BT$28-$Q$46/$BR$28*$BU$19/$BT$19)/(1-$BU$19/$BT$19*$BR$19/$BS$19),"")</f>
        <v/>
      </c>
      <c r="AW55" s="693" t="n">
        <v>1</v>
      </c>
      <c r="AX55" s="693" t="n">
        <v>2</v>
      </c>
      <c r="AY55" s="693" t="n">
        <v>3</v>
      </c>
      <c r="AZ55" s="693" t="n">
        <v>4</v>
      </c>
      <c r="BG55" s="293" t="n">
        <v>19</v>
      </c>
      <c r="BH55" s="293" t="n">
        <v>18</v>
      </c>
      <c r="BI55" s="293" t="n">
        <v>17</v>
      </c>
      <c r="BJ55" s="293" t="n">
        <v>20</v>
      </c>
      <c r="BK55" s="293" t="n">
        <v>29</v>
      </c>
      <c r="BL55" s="293" t="n">
        <v>30</v>
      </c>
      <c r="BM55" s="293" t="n">
        <v>25</v>
      </c>
      <c r="BN55" s="293" t="n">
        <v>24</v>
      </c>
      <c r="BO55" s="293" t="n">
        <v>13</v>
      </c>
      <c r="BZ55" s="693" t="n"/>
      <c r="CA55" s="693" t="n"/>
    </row>
    <row r="56" ht="12" customHeight="1" s="613" thickBot="1">
      <c r="B56" s="670">
        <f>CONCATENATE("SW SC of ",$L$38)</f>
        <v/>
      </c>
      <c r="L56" s="669">
        <f>CONCATENATE("S QC of ",$L$38)</f>
        <v/>
      </c>
      <c r="M56" s="653" t="n"/>
      <c r="V56" s="684">
        <f>CONCATENATE("SE SC of ",$L$38)</f>
        <v/>
      </c>
      <c r="AA56" s="689" t="n"/>
      <c r="AB56" s="689" t="n"/>
      <c r="AE56" s="291" t="n"/>
      <c r="AF56" s="290" t="n"/>
      <c r="AG56" s="292" t="n"/>
      <c r="AH56" s="292" t="n"/>
      <c r="AI56" s="291" t="n"/>
      <c r="AJ56" s="290" t="n"/>
      <c r="AK56" s="291" t="n"/>
      <c r="AL56" s="290" t="n"/>
      <c r="AV56" s="693" t="n">
        <v>1</v>
      </c>
      <c r="AW56" s="293" t="inlineStr">
        <is>
          <t>NE-NE</t>
        </is>
      </c>
      <c r="AX56" s="293" t="inlineStr">
        <is>
          <t>NE-NW</t>
        </is>
      </c>
      <c r="AY56" s="293" t="inlineStr">
        <is>
          <t>NE-SW</t>
        </is>
      </c>
      <c r="AZ56" s="293" t="inlineStr">
        <is>
          <t>NE-SE</t>
        </is>
      </c>
      <c r="BG56" s="293" t="n">
        <v>20</v>
      </c>
      <c r="BH56" s="293" t="n">
        <v>17</v>
      </c>
      <c r="BI56" s="293" t="n">
        <v>16</v>
      </c>
      <c r="BJ56" s="293" t="n">
        <v>21</v>
      </c>
      <c r="BK56" s="293" t="n">
        <v>28</v>
      </c>
      <c r="BL56" s="293" t="n">
        <v>29</v>
      </c>
      <c r="BM56" s="293" t="n">
        <v>30</v>
      </c>
      <c r="BN56" s="293" t="n">
        <v>19</v>
      </c>
      <c r="BO56" s="293" t="n">
        <v>18</v>
      </c>
      <c r="BZ56" s="693" t="n"/>
      <c r="CA56" s="693" t="n"/>
    </row>
    <row r="57" ht="12" customHeight="1" s="613">
      <c r="D57" s="429" t="inlineStr">
        <is>
          <t>dist.</t>
        </is>
      </c>
      <c r="E57" s="302">
        <f>IF(NOT(ISBLANK(F57)),F57,DGET('Grid Numbers'!$A$2:$L$4952,'Grid Numbers'!$H$2,$L$74:$R$75))</f>
        <v/>
      </c>
      <c r="F57" s="504" t="n"/>
      <c r="H57" s="299" t="n"/>
      <c r="I57" s="299" t="n"/>
      <c r="J57" s="429" t="inlineStr">
        <is>
          <t>dist.</t>
        </is>
      </c>
      <c r="K57" s="303">
        <f>IF(NOT(ISBLANK(L57)),L57,DGET('Grid Numbers'!$A$2:$L$4952,'Grid Numbers'!$H$2,$L$76:$R$77))</f>
        <v/>
      </c>
      <c r="L57" s="504" t="n"/>
      <c r="N57" s="429" t="inlineStr">
        <is>
          <t>dist.</t>
        </is>
      </c>
      <c r="O57" s="302">
        <f>IF(NOT(ISBLANK(P57)),P57,DGET('Grid Numbers'!$A$2:$L$4952,'Grid Numbers'!$H$2,$L$78:$R$79))</f>
        <v/>
      </c>
      <c r="P57" s="504" t="n"/>
      <c r="Q57" s="299" t="n"/>
      <c r="R57" s="299" t="n"/>
      <c r="T57" s="429" t="inlineStr">
        <is>
          <t>dist.</t>
        </is>
      </c>
      <c r="U57" s="301">
        <f>IF(NOT(ISBLANK(V57)),V57,DGET('Grid Numbers'!$A$2:$L$4952,'Grid Numbers'!$H$2,$L$80:$R$81))</f>
        <v/>
      </c>
      <c r="V57" s="504" t="n"/>
      <c r="AA57" s="689" t="n"/>
      <c r="AB57" s="689" t="n"/>
      <c r="AE57" s="674" t="inlineStr">
        <is>
          <t>BHL1 Qtr-Qtr Logic</t>
        </is>
      </c>
      <c r="AF57" s="675" t="n"/>
      <c r="AG57" s="676" t="inlineStr">
        <is>
          <t>BHL1 Qtr-Qtr Logic</t>
        </is>
      </c>
      <c r="AH57" s="677" t="n"/>
      <c r="AI57" s="674" t="inlineStr">
        <is>
          <t>BHL1 Qtr-Qtr Logic</t>
        </is>
      </c>
      <c r="AJ57" s="675" t="n"/>
      <c r="AK57" s="674" t="inlineStr">
        <is>
          <t>BHL1 Qtr-Qtr Logic</t>
        </is>
      </c>
      <c r="AL57" s="675" t="n"/>
      <c r="AV57" s="693" t="n">
        <v>2</v>
      </c>
      <c r="AW57" s="293" t="inlineStr">
        <is>
          <t>NW-NE</t>
        </is>
      </c>
      <c r="AX57" s="293" t="inlineStr">
        <is>
          <t>NW-NW</t>
        </is>
      </c>
      <c r="AY57" s="293" t="inlineStr">
        <is>
          <t>NW-SW</t>
        </is>
      </c>
      <c r="AZ57" s="293" t="inlineStr">
        <is>
          <t>NW-SE</t>
        </is>
      </c>
      <c r="BG57" s="293" t="n">
        <v>21</v>
      </c>
      <c r="BH57" s="293" t="n">
        <v>16</v>
      </c>
      <c r="BI57" s="293" t="n">
        <v>15</v>
      </c>
      <c r="BJ57" s="293" t="n">
        <v>22</v>
      </c>
      <c r="BK57" s="293" t="n">
        <v>27</v>
      </c>
      <c r="BL57" s="293" t="n">
        <v>28</v>
      </c>
      <c r="BM57" s="293" t="n">
        <v>29</v>
      </c>
      <c r="BN57" s="293" t="n">
        <v>20</v>
      </c>
      <c r="BO57" s="293" t="n">
        <v>17</v>
      </c>
      <c r="BZ57" s="693" t="n"/>
      <c r="CA57" s="693" t="n"/>
    </row>
    <row r="58" ht="12" customHeight="1" s="613">
      <c r="D58" s="429" t="inlineStr">
        <is>
          <t>deg.</t>
        </is>
      </c>
      <c r="E58" s="295">
        <f>IF(NOT(ISBLANK(F58)),F58,DGET('Grid Numbers'!$A$2:$L$4952,'Grid Numbers'!$I$2,$L$74:$R$75))</f>
        <v/>
      </c>
      <c r="F58" s="504" t="n"/>
      <c r="J58" s="429" t="inlineStr">
        <is>
          <t>deg.</t>
        </is>
      </c>
      <c r="K58" s="296">
        <f>IF(NOT(ISBLANK(L58)),L58,DGET('Grid Numbers'!$A$2:$L$4952,'Grid Numbers'!$I$2,$L$76:$R$77))</f>
        <v/>
      </c>
      <c r="L58" s="504" t="n"/>
      <c r="N58" s="429" t="inlineStr">
        <is>
          <t>deg.</t>
        </is>
      </c>
      <c r="O58" s="295">
        <f>IF(NOT(ISBLANK(P58)),P58,DGET('Grid Numbers'!$A$2:$L$4952,'Grid Numbers'!$I$2,$L$78:$R$79))</f>
        <v/>
      </c>
      <c r="P58" s="504" t="n"/>
      <c r="T58" s="429" t="inlineStr">
        <is>
          <t>deg.</t>
        </is>
      </c>
      <c r="U58" s="295">
        <f>IF(NOT(ISBLANK(V58)),V58,DGET('Grid Numbers'!$A$2:$L$4952,'Grid Numbers'!$I$2,$L$80:$R$81))</f>
        <v/>
      </c>
      <c r="V58" s="504" t="n"/>
      <c r="AA58" s="689" t="n"/>
      <c r="AB58" s="689" t="n"/>
      <c r="AE58" s="671">
        <f>IF($AE$30="","",IF(AND((-$AE$30+$AF$30*$AV$19/$AW$19)&gt;0,-$AE$30&lt;$BZ$19,(-$AF$30+$AE$30*$CA$19/$BZ$19)&gt;0,-$AF$30&lt;$AW$19),1,IF(AND((-$AE$30-$AV$19+($AF$30+$AW$19)*$AX$19/$AY$19)&gt;0,-$AE$30&lt;$BZ$19,-$AF$30&gt;$AW$19,-$AF$30&lt;$AX$22),2,IF(AND(-$AE$30&lt;$BY$22,-$AE$30&gt;$BZ$19,-$AF$30&gt;$AW$19,-$AF$30&lt;$AX$22),3,IF(AND(-$AE$30&lt;$BY$22,-$AE$30&gt;$BZ$19,(-$AF$30-$CA$19-(-$AE$30-$BZ$19)*$BY$19/$BX$19)&gt;0,-$AF$30&lt;$AW$19),4,"")))))</f>
        <v/>
      </c>
      <c r="AF58" s="617" t="n"/>
      <c r="AG58" s="671">
        <f>IF($AG$30="","",IF(AND((-$AG$30+$BB$19+($AH$30-$BC$19)*$AZ$19/$BA$19)&gt;0,-$AG$30&lt;$BD$19,$AH$30&gt;$BC$19,$AH$30&lt;$BB$22),1,IF(AND((-$AG$30+$AH$30*$BB$19/$BC$19)&gt;0,-$AG$30&lt;$BD$19,($AH$30-$AG$30*$BE$19/$BD$19)&gt;0,$AH$30&lt;$BC$19),2,IF(AND(-$AG$30&gt;$BD$19,-$AG$30&lt;$BE$22,($AH$30+$BE$19+(-$AG$30-$BD$19)*$BG$19/$BF$19)&gt;0,$AH$30&lt;$BC$19),3,IF(AND(-$AG$30&gt;$BD$19,-$AG$30&lt;$BE$22,$AH$30&gt;$BC$19,$AH$30&lt;$BB$22),4,"")))))</f>
        <v/>
      </c>
      <c r="AH58" s="617" t="n"/>
      <c r="AI58" s="671">
        <f>IF($AI$30="","",IF(AND($AI$30&gt;$BJ$19,$AI$30&lt;$BI$22,$AJ$30&gt;$BM$19,$AJ$30&lt;$BN$22),1,IF(AND($AI$30&gt;$BJ$19,$AI$30&lt;$BI$22,($AJ$30-$BK$19-($AI$30-$BJ$19)*$BI$19/$BH$19)&gt;0,$AJ$30&lt;$BM$19),2,IF(AND(($AI$30-$AJ$30*$BL$19/$BM$19)&gt;0,$AI$30&lt;$BJ$19,($AJ$30-$AI$30*$BK$19/$BJ$19)&gt;0,$AJ$30&lt;$BM$19),3,IF(AND(($AI$30-$BL$19-($AJ$30-$BM$19)*$BN$19/$BO$19)&gt;0,$AI$30&lt;$BJ$19,$AJ$30&gt;$BM$19,$AJ$30&lt;$BN$22),4,"")))))</f>
        <v/>
      </c>
      <c r="AJ58" s="617" t="n"/>
      <c r="AK58" s="671">
        <f>IF($AK$30="","",IF(AND($AK$30&gt;$BT$19,$AK$30&lt;$BU$22,(-$AL$30+$BU$19+($AK$30-$BT$19)*$BW$19/$BV$19)&gt;0,-$AL$30&lt;$BS$19),1,IF(AND($AK$30&gt;$BT$19,$AK$30&lt;$BU$22,-$AL$30&gt;$BS$19,-$AL$30&lt;$BR$22),2,IF(AND(($AK$30+$BR$19+(-$AL$30-$BS$19)*$BP$19/$BQ$19)&gt;0,$AK$30&lt;$BT$19,-$AL$30&gt;$BS$19,-$AL$30&lt;$BR$22),3,IF(AND(($AK$30-$AL$30*$BR$19/$BS$19)&gt;0,$AK$30&lt;$BT$19,(-$AL$30+$AK$30*$BU$19/$BT$19)&gt;0,-$AL$30&lt;$BS$19),4,"")))))</f>
        <v/>
      </c>
      <c r="AL58" s="617" t="n"/>
      <c r="AV58" s="693" t="n">
        <v>3</v>
      </c>
      <c r="AW58" s="293" t="inlineStr">
        <is>
          <t>SW-NE</t>
        </is>
      </c>
      <c r="AX58" s="293" t="inlineStr">
        <is>
          <t>SW-NW</t>
        </is>
      </c>
      <c r="AY58" s="293" t="inlineStr">
        <is>
          <t>SW-SW</t>
        </is>
      </c>
      <c r="AZ58" s="293" t="inlineStr">
        <is>
          <t>SW-SE</t>
        </is>
      </c>
      <c r="BG58" s="293" t="n">
        <v>22</v>
      </c>
      <c r="BH58" s="293" t="n">
        <v>15</v>
      </c>
      <c r="BI58" s="293" t="n">
        <v>14</v>
      </c>
      <c r="BJ58" s="293" t="n">
        <v>23</v>
      </c>
      <c r="BK58" s="293" t="n">
        <v>26</v>
      </c>
      <c r="BL58" s="293" t="n">
        <v>27</v>
      </c>
      <c r="BM58" s="293" t="n">
        <v>28</v>
      </c>
      <c r="BN58" s="293" t="n">
        <v>21</v>
      </c>
      <c r="BO58" s="293" t="n">
        <v>16</v>
      </c>
      <c r="BZ58" s="693" t="n"/>
      <c r="CA58" s="693" t="n"/>
    </row>
    <row r="59" ht="12" customHeight="1" s="613">
      <c r="D59" s="429" t="inlineStr">
        <is>
          <t>min.</t>
        </is>
      </c>
      <c r="E59" s="295">
        <f>IF(NOT(ISBLANK(F59)),F59,DGET('Grid Numbers'!$A$2:$L$4952,'Grid Numbers'!$J$2,$L$74:$R$75))</f>
        <v/>
      </c>
      <c r="F59" s="504" t="n"/>
      <c r="J59" s="429" t="inlineStr">
        <is>
          <t>min.</t>
        </is>
      </c>
      <c r="K59" s="296">
        <f>IF(NOT(ISBLANK(L59)),L59,DGET('Grid Numbers'!$A$2:$L$4952,'Grid Numbers'!$J$2,$L$76:$R$77))</f>
        <v/>
      </c>
      <c r="L59" s="504" t="n"/>
      <c r="N59" s="429" t="inlineStr">
        <is>
          <t>min.</t>
        </is>
      </c>
      <c r="O59" s="295">
        <f>IF(NOT(ISBLANK(P59)),P59,DGET('Grid Numbers'!$A$2:$L$4952,'Grid Numbers'!$J$2,$L$78:$R$79))</f>
        <v/>
      </c>
      <c r="P59" s="504" t="n"/>
      <c r="T59" s="429" t="inlineStr">
        <is>
          <t>min.</t>
        </is>
      </c>
      <c r="U59" s="295">
        <f>IF(NOT(ISBLANK(V59)),V59,DGET('Grid Numbers'!$A$2:$L$4952,'Grid Numbers'!$J$2,$L$80:$R$81))</f>
        <v/>
      </c>
      <c r="V59" s="504" t="n"/>
      <c r="AA59" s="689" t="n"/>
      <c r="AB59" s="689" t="n"/>
      <c r="AE59" s="291" t="n"/>
      <c r="AF59" s="290" t="n"/>
      <c r="AG59" s="292" t="n"/>
      <c r="AH59" s="292" t="n"/>
      <c r="AI59" s="291" t="n"/>
      <c r="AJ59" s="290" t="n"/>
      <c r="AK59" s="291" t="n"/>
      <c r="AL59" s="290" t="n"/>
      <c r="AV59" s="693" t="n">
        <v>4</v>
      </c>
      <c r="AW59" s="293" t="inlineStr">
        <is>
          <t>SE-NE</t>
        </is>
      </c>
      <c r="AX59" s="293" t="inlineStr">
        <is>
          <t>SE-NW</t>
        </is>
      </c>
      <c r="AY59" s="293" t="inlineStr">
        <is>
          <t>SE-SW</t>
        </is>
      </c>
      <c r="AZ59" s="293" t="inlineStr">
        <is>
          <t>SE-SE</t>
        </is>
      </c>
      <c r="BG59" s="293" t="n">
        <v>23</v>
      </c>
      <c r="BH59" s="293" t="n">
        <v>14</v>
      </c>
      <c r="BI59" s="293" t="n">
        <v>13</v>
      </c>
      <c r="BJ59" s="293" t="n">
        <v>24</v>
      </c>
      <c r="BK59" s="293" t="n">
        <v>25</v>
      </c>
      <c r="BL59" s="293" t="n">
        <v>26</v>
      </c>
      <c r="BM59" s="293" t="n">
        <v>27</v>
      </c>
      <c r="BN59" s="293" t="n">
        <v>22</v>
      </c>
      <c r="BO59" s="293" t="n">
        <v>15</v>
      </c>
      <c r="BZ59" s="693" t="n"/>
      <c r="CA59" s="693" t="n"/>
    </row>
    <row r="60" ht="12" customHeight="1" s="613">
      <c r="D60" s="429" t="inlineStr">
        <is>
          <t>sec.</t>
        </is>
      </c>
      <c r="E60" s="295">
        <f>IF(NOT(ISBLANK(F60)),F60,DGET('Grid Numbers'!$A$2:$L$4952,'Grid Numbers'!$K$2,$L$74:$R$75))</f>
        <v/>
      </c>
      <c r="F60" s="505" t="n"/>
      <c r="J60" s="429" t="inlineStr">
        <is>
          <t>sec.</t>
        </is>
      </c>
      <c r="K60" s="296">
        <f>IF(NOT(ISBLANK(L60)),L60,DGET('Grid Numbers'!$A$2:$L$4952,'Grid Numbers'!$K$2,$L$76:$R$77))</f>
        <v/>
      </c>
      <c r="L60" s="505" t="n"/>
      <c r="N60" s="429" t="inlineStr">
        <is>
          <t>sec.</t>
        </is>
      </c>
      <c r="O60" s="295">
        <f>IF(NOT(ISBLANK(P60)),P60,DGET('Grid Numbers'!$A$2:$L$4952,'Grid Numbers'!$K$2,$L$78:$R$79))</f>
        <v/>
      </c>
      <c r="P60" s="505" t="n"/>
      <c r="T60" s="429" t="inlineStr">
        <is>
          <t>sec.</t>
        </is>
      </c>
      <c r="U60" s="295">
        <f>IF(NOT(ISBLANK(V60)),V60,DGET('Grid Numbers'!$A$2:$L$4952,'Grid Numbers'!$K$2,$L$80:$R$81))</f>
        <v/>
      </c>
      <c r="V60" s="505" t="n"/>
      <c r="AA60" s="689" t="n"/>
      <c r="AB60" s="689" t="n"/>
      <c r="AE60" s="674" t="inlineStr">
        <is>
          <t>BHL1 NE Line Calc</t>
        </is>
      </c>
      <c r="AF60" s="675" t="n"/>
      <c r="AG60" s="674" t="inlineStr">
        <is>
          <t>BHL1 NW Line Calc</t>
        </is>
      </c>
      <c r="AH60" s="675" t="n"/>
      <c r="AI60" s="674" t="inlineStr">
        <is>
          <t>BHL1 SW Line Calc</t>
        </is>
      </c>
      <c r="AJ60" s="675" t="n"/>
      <c r="AK60" s="674" t="inlineStr">
        <is>
          <t>BHL1 SE Line Calc</t>
        </is>
      </c>
      <c r="AL60" s="675" t="n"/>
      <c r="BG60" s="293" t="n">
        <v>24</v>
      </c>
      <c r="BH60" s="293" t="n">
        <v>13</v>
      </c>
      <c r="BI60" s="293" t="n">
        <v>18</v>
      </c>
      <c r="BJ60" s="293" t="n">
        <v>19</v>
      </c>
      <c r="BK60" s="293" t="n">
        <v>30</v>
      </c>
      <c r="BL60" s="293" t="n">
        <v>25</v>
      </c>
      <c r="BM60" s="293" t="n">
        <v>26</v>
      </c>
      <c r="BN60" s="293" t="n">
        <v>23</v>
      </c>
      <c r="BO60" s="293" t="n">
        <v>14</v>
      </c>
      <c r="BZ60" s="693" t="n"/>
      <c r="CA60" s="693" t="n"/>
    </row>
    <row r="61" ht="12" customHeight="1" s="613">
      <c r="D61" s="429" t="inlineStr">
        <is>
          <t>dir.</t>
        </is>
      </c>
      <c r="E61" s="321">
        <f>IF(NOT(ISBLANK(F61)),F61,DGET('Grid Numbers'!$A$2:$L$4952,'Grid Numbers'!$L$2,$L$74:$R$75))</f>
        <v/>
      </c>
      <c r="F61" s="508" t="n"/>
      <c r="J61" s="429" t="inlineStr">
        <is>
          <t>dir.</t>
        </is>
      </c>
      <c r="K61" s="321">
        <f>IF(NOT(ISBLANK(L61)),L61,DGET('Grid Numbers'!$A$2:$L$4952,'Grid Numbers'!$L$2,$L$76:$R$77))</f>
        <v/>
      </c>
      <c r="L61" s="508" t="n"/>
      <c r="N61" s="429" t="inlineStr">
        <is>
          <t>dir.</t>
        </is>
      </c>
      <c r="O61" s="321">
        <f>IF(NOT(ISBLANK(P61)),P61,DGET('Grid Numbers'!$A$2:$L$4952,'Grid Numbers'!$L$2,$L$78:$R$79))</f>
        <v/>
      </c>
      <c r="P61" s="508" t="n"/>
      <c r="T61" s="429" t="inlineStr">
        <is>
          <t>dir.</t>
        </is>
      </c>
      <c r="U61" s="321">
        <f>IF(NOT(ISBLANK(V61)),V61,DGET('Grid Numbers'!$A$2:$L$4952,'Grid Numbers'!$L$2,$L$80:$R$81))</f>
        <v/>
      </c>
      <c r="V61" s="508" t="n"/>
      <c r="AA61" s="689" t="n"/>
      <c r="AB61" s="689" t="n"/>
      <c r="AD61" s="470" t="inlineStr">
        <is>
          <t>Qtr-Qtr</t>
        </is>
      </c>
      <c r="AE61" s="671" t="inlineStr">
        <is>
          <t>FNL</t>
        </is>
      </c>
      <c r="AF61" s="671" t="inlineStr">
        <is>
          <t>FEL</t>
        </is>
      </c>
      <c r="AG61" s="468" t="inlineStr">
        <is>
          <t>FNL</t>
        </is>
      </c>
      <c r="AH61" s="467" t="inlineStr">
        <is>
          <t>FWL</t>
        </is>
      </c>
      <c r="AI61" s="671" t="inlineStr">
        <is>
          <t>FSL</t>
        </is>
      </c>
      <c r="AJ61" s="671" t="inlineStr">
        <is>
          <t>FWL</t>
        </is>
      </c>
      <c r="AK61" s="671" t="inlineStr">
        <is>
          <t>FSL</t>
        </is>
      </c>
      <c r="AL61" s="671" t="inlineStr">
        <is>
          <t>FEL</t>
        </is>
      </c>
      <c r="AN61" s="693" t="inlineStr">
        <is>
          <t>Calc w/o perpendicular correction</t>
        </is>
      </c>
      <c r="AW61" s="294">
        <f>VLOOKUP(MAX($AE$48:$AL$48),$AV$56:$AZ$59,MAX($AE$48:$AL$48)+1,FALSE)</f>
        <v/>
      </c>
      <c r="BG61" s="293" t="n">
        <v>25</v>
      </c>
      <c r="BH61" s="293" t="n">
        <v>24</v>
      </c>
      <c r="BI61" s="293" t="n">
        <v>19</v>
      </c>
      <c r="BJ61" s="293" t="n">
        <v>30</v>
      </c>
      <c r="BK61" s="293" t="n">
        <v>31</v>
      </c>
      <c r="BL61" s="293" t="n">
        <v>36</v>
      </c>
      <c r="BM61" s="293" t="n">
        <v>35</v>
      </c>
      <c r="BN61" s="293" t="n">
        <v>26</v>
      </c>
      <c r="BO61" s="293" t="n">
        <v>23</v>
      </c>
      <c r="BZ61" s="693" t="n"/>
      <c r="CA61" s="693" t="n"/>
    </row>
    <row r="62" ht="12" customHeight="1" s="613">
      <c r="D62" s="429" t="inlineStr">
        <is>
          <t>dec. deg.</t>
        </is>
      </c>
      <c r="E62" s="770">
        <f>IF(AND($L$38='SHL Section'!$BE$50,MAX('SHL Section'!$BF$37:$BF$40)=2),'SHL Section'!$E$23,IF(AND($L$38='SHL Section'!$BE$53,MAX('SHL Section'!$BF$41:$BF$44)=2),'SHL Section'!$E$23,IF(AND($L$38='SHL Section'!$BE$56,MAX('SHL Section'!$BF$45:$BF$48)=2),'SHL Section'!$E$23,IF(E58="","",IF(OR(E61=1,E61=4),180-(E58+E59/60+E60/3600),(E58+E59/60+E60/3600))))))</f>
        <v/>
      </c>
      <c r="J62" s="429" t="inlineStr">
        <is>
          <t>dec. deg.</t>
        </is>
      </c>
      <c r="K62" s="770">
        <f>IF(AND($L$38='SHL Section'!$BE$50,MAX('SHL Section'!$BF$37:$BF$40)=2),'SHL Section'!$K$23,IF(AND($L$38='SHL Section'!$BE$53,MAX('SHL Section'!$BF$41:$BF$44)=2),'SHL Section'!$K$23,IF(AND($L$38='SHL Section'!$BE$56,MAX('SHL Section'!$BF$45:$BF$48)=2),'SHL Section'!$K$23,IF(K58="","",IF(OR(K61=1,K61=4),180-(K58+K59/60+K60/3600),(K58+K59/60+K60/3600))))))</f>
        <v/>
      </c>
      <c r="L62" s="449" t="n"/>
      <c r="M62" s="449" t="n"/>
      <c r="N62" s="429" t="inlineStr">
        <is>
          <t>dec. deg.</t>
        </is>
      </c>
      <c r="O62" s="770">
        <f>IF(AND($L$38='SHL Section'!$BE$50,MAX('SHL Section'!$BF$37:$BF$40)=2),'SHL Section'!$O$23,IF(AND($L$38='SHL Section'!$BE$53,MAX('SHL Section'!$BF$41:$BF$44)=2),'SHL Section'!$O$23,IF(AND($L$38='SHL Section'!$BE$56,MAX('SHL Section'!$BF$45:$BF$48)=2),'SHL Section'!$O$23,IF(O58="","",IF(OR(O61=1,O61=4),180-(O58+O59/60+O60/3600),(O58+O59/60+O60/3600))))))</f>
        <v/>
      </c>
      <c r="T62" s="429" t="inlineStr">
        <is>
          <t>dec. deg.</t>
        </is>
      </c>
      <c r="U62" s="771">
        <f>IF(AND($L$38='SHL Section'!$BE$50,MAX('SHL Section'!$BF$37:$BF$40)=2),'SHL Section'!$U$23,IF(AND($L$38='SHL Section'!$BE$53,MAX('SHL Section'!$BF$41:$BF$44)=2),'SHL Section'!$U$23,IF(AND($L$38='SHL Section'!$BE$56,MAX('SHL Section'!$BF$45:$BF$48)=2),'SHL Section'!$U$23,IF(U58="","",IF(OR(U61=1,U61=4),180-(U58+U59/60+U60/3600),(U58+U59/60+U60/3600))))))</f>
        <v/>
      </c>
      <c r="AA62" s="689" t="n"/>
      <c r="AB62" s="689" t="n"/>
      <c r="AD62" s="319" t="n">
        <v>1</v>
      </c>
      <c r="AE62" s="306">
        <f>IF($AD62=AE$58,(-$AE$30+$AF$30*$AV$19/$AW$19)*$AV$28,"")</f>
        <v/>
      </c>
      <c r="AF62" s="287">
        <f>IF($AD62=AE$58,(-$AF$30+$AE$30*$CA$19/$BZ$19)*$BZ$28,"")</f>
        <v/>
      </c>
      <c r="AG62" s="306">
        <f>IF($AD62=AG$58,(-$AG$30+$BB$19+($AH$30-$BC$19)*$AZ$19/$BA$19)*$AZ$28,"")</f>
        <v/>
      </c>
      <c r="AH62" s="287">
        <f>IF($AD62=AG$58,($AH$30-$AG$30*$BE$19/$BD$19)*$BD$28,"")</f>
        <v/>
      </c>
      <c r="AI62" s="306">
        <f>IF($AD62=AI$58,($AI$30-$BL$19-($AJ$30-$BM$19)*$BN$19/$BO$19)*$BN$28,"")</f>
        <v/>
      </c>
      <c r="AJ62" s="287">
        <f>IF($AD62=AI$58,($AJ$30-$BK$19-($AI$30-$BJ$19)*$BI$19/$BH$19)*$BH$28,"")</f>
        <v/>
      </c>
      <c r="AK62" s="306">
        <f>IF($AD62=AK$58,($AK$30-$AL$30*$BR$19/$BS$19)*$BR$28,"")</f>
        <v/>
      </c>
      <c r="AL62" s="287">
        <f>IF($AD62=AK$58,(-$AL$30+$BU$19+($AK$30-$BT$19)*$BW$19/$BV$19)*$BV$28,"")</f>
        <v/>
      </c>
      <c r="AN62" s="289">
        <f>IF(ISNUMBER($AE$30),(-$AE$30+$AF$30*$AV$19/$AW$19),"")</f>
        <v/>
      </c>
      <c r="AO62" s="288">
        <f>IF(ISNUMBER($AF$30),(-$AF$30+$AE$30*$CA$19/$BZ$19),"")</f>
        <v/>
      </c>
      <c r="AP62" s="289">
        <f>IF(ISNUMBER($AG$30),(-$AG$30+$BB$19+($AH$30-$BC$19)*$AZ$19/$BA$19),"")</f>
        <v/>
      </c>
      <c r="AQ62" s="288">
        <f>IF(ISNUMBER($AH$30),($AH$30-$AG$30*$BE$19/$BD$19),"")</f>
        <v/>
      </c>
      <c r="AR62" s="289">
        <f>IF(ISNUMBER($AI$30),($AI$30-$BL$19-($AJ$30-$BM$19)*$BN$19/$BO$19),"")</f>
        <v/>
      </c>
      <c r="AS62" s="288">
        <f>IF(ISNUMBER($AJ$30),($AJ$30-$BK$19-($AI$30-$BJ$19)*$BI$19/$BH$19),"")</f>
        <v/>
      </c>
      <c r="AT62" s="289">
        <f>IF(ISNUMBER($AK$30),($AK$30-$AL$30*$BR$19/$BS$19),"")</f>
        <v/>
      </c>
      <c r="AU62" s="288">
        <f>IF(ISNUMBER($AL$30),(-$AL$30+$BU$19+($AK$30-$BT$19)*$BW$19/$BV$19),"")</f>
        <v/>
      </c>
      <c r="AW62" s="420" t="n"/>
      <c r="AX62" s="420" t="n"/>
      <c r="AY62" s="420" t="n"/>
      <c r="AZ62" s="420" t="n"/>
      <c r="BG62" s="293" t="n">
        <v>26</v>
      </c>
      <c r="BH62" s="293" t="n">
        <v>23</v>
      </c>
      <c r="BI62" s="293" t="n">
        <v>24</v>
      </c>
      <c r="BJ62" s="293" t="n">
        <v>25</v>
      </c>
      <c r="BK62" s="293" t="n">
        <v>36</v>
      </c>
      <c r="BL62" s="293" t="n">
        <v>35</v>
      </c>
      <c r="BM62" s="293" t="n">
        <v>34</v>
      </c>
      <c r="BN62" s="293" t="n">
        <v>27</v>
      </c>
      <c r="BO62" s="293" t="n">
        <v>22</v>
      </c>
      <c r="BZ62" s="693" t="n"/>
      <c r="CA62" s="693" t="n"/>
    </row>
    <row r="63" ht="12" customHeight="1" s="613">
      <c r="E63" s="420">
        <f>IF(AND($L$38='SHL Section'!$BE$51,MAX('BHL Section 1'!$BF$37:$BF$40)=2),'BHL Section 1'!$E$17,IF(AND($L$38='SHL Section'!$BE$54,MAX('BHL Section 1'!$BF$41:$BF$44)=2),'BHL Section 1'!$E$17,IF(AND($L$38='SHL Section'!$BE$57,MAX('BHL Section 1'!$BF$45:$BF$48)=2),'BHL Section 1'!$E$17,E57)))</f>
        <v/>
      </c>
      <c r="F63" s="449" t="n"/>
      <c r="G63" s="449" t="n"/>
      <c r="H63" s="449" t="n"/>
      <c r="I63" s="449" t="n"/>
      <c r="J63" s="449" t="n"/>
      <c r="K63" s="420">
        <f>IF(AND($L$38='SHL Section'!$BE$51,MAX('BHL Section 1'!$BF$37:$BF$40)=2),'BHL Section 1'!$K$17,IF(AND($L$38='SHL Section'!$BE$54,MAX('BHL Section 1'!$BF$41:$BF$44)=2),'BHL Section 1'!$K$17,IF(AND($L$38='SHL Section'!$BE$57,MAX('BHL Section 1'!$BF$45:$BF$48)=2),'BHL Section 1'!$K$17,K57)))</f>
        <v/>
      </c>
      <c r="N63" s="449" t="n"/>
      <c r="O63" s="420">
        <f>IF(AND($L$38='SHL Section'!$BE$51,MAX('BHL Section 1'!$BF$37:$BF$40)=2),'BHL Section 1'!$O$17,IF(AND($L$38='SHL Section'!$BE$54,MAX('BHL Section 1'!$BF$41:$BF$44)=2),'BHL Section 1'!$O$17,IF(AND($L$38='SHL Section'!$BE$57,MAX('BHL Section 1'!$BF$45:$BF$48)=2),'BHL Section 1'!$O$17,O57)))</f>
        <v/>
      </c>
      <c r="P63" s="449" t="n"/>
      <c r="Q63" s="449" t="n"/>
      <c r="R63" s="449" t="n"/>
      <c r="S63" s="449" t="n"/>
      <c r="T63" s="449" t="n"/>
      <c r="U63" s="420">
        <f>IF(AND($L$38='SHL Section'!$BE$51,MAX('BHL Section 1'!$BF$37:$BF$40)=2),'BHL Section 1'!$U$17,IF(AND($L$38='SHL Section'!$BE$54,MAX('BHL Section 1'!$BF$41:$BF$44)=2),'BHL Section 1'!$U$17,IF(AND($L$38='SHL Section'!$BE$57,MAX('BHL Section 1'!$BF$45:$BF$48)=2),'BHL Section 1'!$U$17,'BHL Section 2'!U57)))</f>
        <v/>
      </c>
      <c r="AA63" s="689" t="n"/>
      <c r="AB63" s="689" t="n"/>
      <c r="AD63" s="319" t="n">
        <v>2</v>
      </c>
      <c r="AE63" s="306">
        <f>IF($AD63=AE$58,(-$AE$30-$AV$19+($AF$30+$AW$19)*$AX$19/$AY$19)*$AX$28,"")</f>
        <v/>
      </c>
      <c r="AF63" s="287">
        <f>IF($AD63=AE$58,(-$AF$30+$AE$30*$CA$19/$BZ$19)*$BZ$28,"")</f>
        <v/>
      </c>
      <c r="AG63" s="306">
        <f>IF($AD63=AG$58,(-$AG$30+$AH$30*$BB$19/$BC$19)*$BB$28,"")</f>
        <v/>
      </c>
      <c r="AH63" s="287">
        <f>IF($AD63=AG$58,($AH$30-$AG$30*$BE$19/$BD$19)*$BD$28,"")</f>
        <v/>
      </c>
      <c r="AI63" s="306">
        <f>IF($AD63=AI$58,($AI$30-$AJ$30*$BL$19/$BM$19)*$BL$28,"")</f>
        <v/>
      </c>
      <c r="AJ63" s="287">
        <f>IF($AD63=AI$58,($AJ$30-$BK$19-($AI$30-$BJ$19)*$BI$19/$BH$19)*$BH$28,"")</f>
        <v/>
      </c>
      <c r="AK63" s="306">
        <f>IF($AD63=AK$58,($AK$30+$BR$19+(-$AL$30-$BS$19)*$BP$19/$BQ$19)*$BP$28,"")</f>
        <v/>
      </c>
      <c r="AL63" s="287">
        <f>IF($AD63=AK$58,(-$AL$30+$BU$19+($AK$30-$BT$19)*$BW$19/$BV$19)*$BV$28,"")</f>
        <v/>
      </c>
      <c r="AN63" s="306">
        <f>IF(ISNUMBER($AE$30),(-$AE$30-$AV$19+($AF$30+$AW$19)*$AX$19/$AY$19),"")</f>
        <v/>
      </c>
      <c r="AO63" s="287">
        <f>IF(ISNUMBER($AF$30),(-$AF$30+$AE$30*$CA$19/$BZ$19),"")</f>
        <v/>
      </c>
      <c r="AP63" s="306">
        <f>IF(ISNUMBER($AG$30),(-$AG$30+$AH$30*$BB$19/$BC$19),"")</f>
        <v/>
      </c>
      <c r="AQ63" s="287">
        <f>IF(ISNUMBER($AH$30),($AH$30-$AG$30*$BE$19/$BD$19),"")</f>
        <v/>
      </c>
      <c r="AR63" s="306">
        <f>IF(ISNUMBER($AI$30),($AI$30-$AJ$30*$BL$19/$BM$19),"")</f>
        <v/>
      </c>
      <c r="AS63" s="287">
        <f>IF(ISNUMBER($AJ$30),($AJ$30-$BK$19-($AI$30-$BJ$19)*$BI$19/$BH$19),"")</f>
        <v/>
      </c>
      <c r="AT63" s="306">
        <f>IF(ISNUMBER($AK$30),($AK$30+$BR$19+(-$AL$30-$BS$19)*$BP$19/$BQ$19),"")</f>
        <v/>
      </c>
      <c r="AU63" s="287">
        <f>IF(ISNUMBER($AL$30),(-$AL$30+$BU$19+($AK$30-$BT$19)*$BW$19/$BV$19),"")</f>
        <v/>
      </c>
      <c r="BG63" s="293" t="n">
        <v>27</v>
      </c>
      <c r="BH63" s="293" t="n">
        <v>22</v>
      </c>
      <c r="BI63" s="293" t="n">
        <v>23</v>
      </c>
      <c r="BJ63" s="293" t="n">
        <v>26</v>
      </c>
      <c r="BK63" s="293" t="n">
        <v>35</v>
      </c>
      <c r="BL63" s="293" t="n">
        <v>34</v>
      </c>
      <c r="BM63" s="293" t="n">
        <v>33</v>
      </c>
      <c r="BN63" s="293" t="n">
        <v>28</v>
      </c>
      <c r="BO63" s="293" t="n">
        <v>21</v>
      </c>
      <c r="BZ63" s="693" t="n"/>
      <c r="CA63" s="693" t="n"/>
    </row>
    <row r="64" ht="12" customHeight="1" s="613">
      <c r="AA64" s="689" t="n"/>
      <c r="AB64" s="689" t="n"/>
      <c r="AD64" s="319" t="n">
        <v>3</v>
      </c>
      <c r="AE64" s="306">
        <f>IF($AD64=AE$58,(-$AE$30-$AV$19+($AF$30+$AW$19)*$AX$19/$AY$19)*$AX$28,"")</f>
        <v/>
      </c>
      <c r="AF64" s="287">
        <f>IF($AD64=AE$58,(-$AF$30-$CA$19-(-$AE$30-$BZ$19)*$BY$19/$BX$19)*$BX$28,"")</f>
        <v/>
      </c>
      <c r="AG64" s="306">
        <f>IF($AD64=AG$58,(-$AG$30+$AH$30*$BB$19/$BC$19)*$BB$28,"")</f>
        <v/>
      </c>
      <c r="AH64" s="287">
        <f>IF($AD64=AG$58,($AH$30+$BE$19+(-$AG$30-$BD$19)*$BG$19/$BF$19)*$BF$28,"")</f>
        <v/>
      </c>
      <c r="AI64" s="306">
        <f>IF($AD64=AI$58,($AI$30-$AJ$30*$BL$19/$BM$19)*$BL$28,"")</f>
        <v/>
      </c>
      <c r="AJ64" s="287">
        <f>IF($AD64=AI$58,($AJ$30-$AI$30*$BK$19/$BJ$19)*$BJ$28,"")</f>
        <v/>
      </c>
      <c r="AK64" s="306">
        <f>IF($AD64=AK$58,($AK$30+$BR$19+(-$AL$30-$BS$19)*$BP$19/$BQ$19)*$BP$28,"")</f>
        <v/>
      </c>
      <c r="AL64" s="287">
        <f>IF($AD64=AK$58,(-$AL$30+$AK$30*$BU$19/$BT$19)*$BT$28,"")</f>
        <v/>
      </c>
      <c r="AN64" s="306">
        <f>IF(ISNUMBER($AE$30),(-$AE$30-$AV$19+($AF$30+$AW$19)*$AX$19/$AY$19),"")</f>
        <v/>
      </c>
      <c r="AO64" s="287">
        <f>IF(ISNUMBER($AF$30),(-$AF$30-$CA$19-(-$AE$30-$BZ$19)*$BY$19/$BX$19),"")</f>
        <v/>
      </c>
      <c r="AP64" s="306">
        <f>IF(ISNUMBER($AG$30),(-$AG$30+$AH$30*$BB$19/$BC$19),"")</f>
        <v/>
      </c>
      <c r="AQ64" s="287">
        <f>IF(ISNUMBER($AH$30),($AH$30+$BE$19+(-$AG$30-$BD$19)*$BG$19/$BF$19),"")</f>
        <v/>
      </c>
      <c r="AR64" s="306">
        <f>IF(ISNUMBER($AI$30),($AI$30-$AJ$30*$BL$19/$BM$19),"")</f>
        <v/>
      </c>
      <c r="AS64" s="287">
        <f>IF(ISNUMBER($AJ$30),($AJ$30-$AI$30*$BK$19/$BJ$19),"")</f>
        <v/>
      </c>
      <c r="AT64" s="306">
        <f>IF(ISNUMBER($AK$30),($AK$30+$BR$19+(-$AL$30-$BS$19)*$BP$19/$BQ$19),"")</f>
        <v/>
      </c>
      <c r="AU64" s="287">
        <f>IF(ISNUMBER($AL$30),(-$AL$30+$AK$30*$BU$19/$BT$19),"")</f>
        <v/>
      </c>
      <c r="BG64" s="293" t="n">
        <v>28</v>
      </c>
      <c r="BH64" s="293" t="n">
        <v>21</v>
      </c>
      <c r="BI64" s="293" t="n">
        <v>22</v>
      </c>
      <c r="BJ64" s="293" t="n">
        <v>27</v>
      </c>
      <c r="BK64" s="293" t="n">
        <v>34</v>
      </c>
      <c r="BL64" s="293" t="n">
        <v>33</v>
      </c>
      <c r="BM64" s="293" t="n">
        <v>32</v>
      </c>
      <c r="BN64" s="293" t="n">
        <v>29</v>
      </c>
      <c r="BO64" s="293" t="n">
        <v>20</v>
      </c>
      <c r="BZ64" s="693" t="n"/>
      <c r="CA64" s="693" t="n"/>
    </row>
    <row r="65" ht="12" customHeight="1" s="613">
      <c r="AA65" s="689" t="n"/>
      <c r="AB65" s="689" t="n"/>
      <c r="AD65" s="319" t="n">
        <v>4</v>
      </c>
      <c r="AE65" s="286">
        <f>IF($AD65=AE$58,(-$AE$30+$AF$30*$AV$19/$AW$19)*$AV$28,"")</f>
        <v/>
      </c>
      <c r="AF65" s="285">
        <f>IF($AD65=AE$58,(-$AF$30-$CA$19-(-$AE$30-$BZ$19)*$BY$19/$BX$19)*$BX$28,"")</f>
        <v/>
      </c>
      <c r="AG65" s="286">
        <f>IF($AD65=AG$58,(-$AG$30+$BB$19+($AH$30-$BC$19)*$AZ$19/$BA$19)*$AZ$28,"")</f>
        <v/>
      </c>
      <c r="AH65" s="285">
        <f>IF($AD65=AG$58,($AH$30+$BE$19+(-$AG$30-$BD$19)*$BG$19/$BF$19)*$BF$28,"")</f>
        <v/>
      </c>
      <c r="AI65" s="286">
        <f>IF($AD65=AI$58,($AI$30-$BL$19-($AJ$30-$BM$19)*$BN$19/$BO$19)*$BN$28,"")</f>
        <v/>
      </c>
      <c r="AJ65" s="285">
        <f>IF($AD65=AI$58,($AJ$30-$AI$30*$BK$19/$BJ$19)*$BJ$28,"")</f>
        <v/>
      </c>
      <c r="AK65" s="286">
        <f>IF($AD65=AK$58,($AK$30-$AL$30*$BR$19/$BS$19)*$BR$28,"")</f>
        <v/>
      </c>
      <c r="AL65" s="285">
        <f>IF($AD65=AK$58,(-$AL$30+$AK$30*$BU$19/$BT$19)*$BT$28,"")</f>
        <v/>
      </c>
      <c r="AN65" s="286">
        <f>IF(ISNUMBER($AE$30),(-$AE$30+$AF$30*$AV$19/$AW$19),"")</f>
        <v/>
      </c>
      <c r="AO65" s="285">
        <f>IF(ISNUMBER($AF$30),(-$AF$30-$CA$19-(-$AE$30-$BZ$19)*$BY$19/$BX$19),"")</f>
        <v/>
      </c>
      <c r="AP65" s="286">
        <f>IF(ISNUMBER($AG$30),(-$AG$30+$BB$19+($AH$30-$BC$19)*$AZ$19/$BA$19),"")</f>
        <v/>
      </c>
      <c r="AQ65" s="285">
        <f>IF(ISNUMBER($AH$30),($AH$30+$BE$19+(-$AG$30-$BD$19)*$BG$19/$BF$19),"")</f>
        <v/>
      </c>
      <c r="AR65" s="286">
        <f>IF(ISNUMBER($AI$30),($AI$30-$BL$19-($AJ$30-$BM$19)*$BN$19/$BO$19),"")</f>
        <v/>
      </c>
      <c r="AS65" s="285">
        <f>IF(ISNUMBER($AJ$30),($AJ$30-$AI$30*$BK$19/$BJ$19),"")</f>
        <v/>
      </c>
      <c r="AT65" s="286">
        <f>IF(ISNUMBER($AK$30),($AK$30-$AL$30*$BR$19/$BS$19),"")</f>
        <v/>
      </c>
      <c r="AU65" s="285">
        <f>IF(ISNUMBER($AL$30),(-$AL$30+$AK$30*$BU$19/$BT$19),"")</f>
        <v/>
      </c>
      <c r="BG65" s="293" t="n">
        <v>29</v>
      </c>
      <c r="BH65" s="293" t="n">
        <v>20</v>
      </c>
      <c r="BI65" s="293" t="n">
        <v>21</v>
      </c>
      <c r="BJ65" s="293" t="n">
        <v>28</v>
      </c>
      <c r="BK65" s="293" t="n">
        <v>33</v>
      </c>
      <c r="BL65" s="293" t="n">
        <v>32</v>
      </c>
      <c r="BM65" s="293" t="n">
        <v>31</v>
      </c>
      <c r="BN65" s="293" t="n">
        <v>30</v>
      </c>
      <c r="BO65" s="293" t="n">
        <v>19</v>
      </c>
      <c r="BZ65" s="693" t="n"/>
      <c r="CA65" s="693" t="n"/>
    </row>
    <row r="66" ht="12" customHeight="1" s="613">
      <c r="B66" s="463" t="inlineStr">
        <is>
          <t>A</t>
        </is>
      </c>
      <c r="C66" s="463" t="inlineStr">
        <is>
          <t>B</t>
        </is>
      </c>
      <c r="D66" s="463" t="inlineStr">
        <is>
          <t>C</t>
        </is>
      </c>
      <c r="E66" s="463" t="inlineStr">
        <is>
          <t>D</t>
        </is>
      </c>
      <c r="F66" s="463" t="inlineStr">
        <is>
          <t>E</t>
        </is>
      </c>
      <c r="G66" s="463" t="inlineStr">
        <is>
          <t>F</t>
        </is>
      </c>
      <c r="H66" s="463" t="inlineStr">
        <is>
          <t>G</t>
        </is>
      </c>
      <c r="L66" s="463" t="inlineStr">
        <is>
          <t>A</t>
        </is>
      </c>
      <c r="M66" s="463" t="inlineStr">
        <is>
          <t>B</t>
        </is>
      </c>
      <c r="N66" s="463" t="inlineStr">
        <is>
          <t>C</t>
        </is>
      </c>
      <c r="O66" s="463" t="inlineStr">
        <is>
          <t>D</t>
        </is>
      </c>
      <c r="P66" s="463" t="inlineStr">
        <is>
          <t>E</t>
        </is>
      </c>
      <c r="Q66" s="463" t="inlineStr">
        <is>
          <t>F</t>
        </is>
      </c>
      <c r="R66" s="463" t="inlineStr">
        <is>
          <t>G</t>
        </is>
      </c>
      <c r="AA66" s="689" t="n"/>
      <c r="AB66" s="689" t="n"/>
      <c r="AE66" s="284">
        <f>IF(ISNUMBER($AE$62),AE$62,IF(ISNUMBER($AE$63),AE$63,IF(ISNUMBER($AE$64),AE$64,IF(ISNUMBER($AE$65),AE$65,""))))</f>
        <v/>
      </c>
      <c r="AF66" s="283">
        <f>IF(ISNUMBER($AF$62),AF$62,IF(ISNUMBER($AF$63),AF$63,IF(ISNUMBER($AF$64),AF$64,IF(ISNUMBER($AF$65),AF$65,""))))</f>
        <v/>
      </c>
      <c r="AG66" s="284">
        <f>IF(ISNUMBER($AG$62),AG$62,IF(ISNUMBER($AG$63),AG$63,IF(ISNUMBER($AG$64),AG$64,IF(ISNUMBER($AG$65),AG$65,""))))</f>
        <v/>
      </c>
      <c r="AH66" s="283">
        <f>IF(ISNUMBER($AH$62),AH$62,IF(ISNUMBER($AH$63),AH$63,IF(ISNUMBER($AH$64),AH$64,IF(ISNUMBER($AH$65),AH$65,""))))</f>
        <v/>
      </c>
      <c r="AI66" s="284">
        <f>IF(ISNUMBER($AI$62),AI$62,IF(ISNUMBER($AI$63),AI$63,IF(ISNUMBER($AI$64),AI$64,IF(ISNUMBER($AI$65),AI$65,""))))</f>
        <v/>
      </c>
      <c r="AJ66" s="283">
        <f>IF(ISNUMBER($AJ$62),AJ$62,IF(ISNUMBER($AJ$63),AJ$63,IF(ISNUMBER($AJ$64),AJ$64,IF(ISNUMBER($AJ$65),AJ$65,""))))</f>
        <v/>
      </c>
      <c r="AK66" s="284">
        <f>IF(ISNUMBER($AK$62),AK$62,IF(ISNUMBER($AK$63),AK$63,IF(ISNUMBER($AK$64),AK$64,IF(ISNUMBER($AK$65),AK$65,""))))</f>
        <v/>
      </c>
      <c r="AL66" s="283">
        <f>IF(ISNUMBER($AL$62),AL$62,IF(ISNUMBER($AL$63),AL$63,IF(ISNUMBER($AL$64),AL$64,IF(ISNUMBER($AL$65),AL$65,""))))</f>
        <v/>
      </c>
      <c r="AO66" s="420" t="n"/>
      <c r="AP66" s="420" t="n"/>
      <c r="AQ66" s="420" t="n"/>
      <c r="AR66" s="420" t="n"/>
      <c r="AS66" s="420" t="n"/>
      <c r="AT66" s="420" t="n"/>
      <c r="BG66" s="293" t="n">
        <v>30</v>
      </c>
      <c r="BH66" s="293" t="n">
        <v>19</v>
      </c>
      <c r="BI66" s="293" t="n">
        <v>20</v>
      </c>
      <c r="BJ66" s="293" t="n">
        <v>29</v>
      </c>
      <c r="BK66" s="293" t="n">
        <v>32</v>
      </c>
      <c r="BL66" s="293" t="n">
        <v>31</v>
      </c>
      <c r="BM66" s="293" t="n">
        <v>36</v>
      </c>
      <c r="BN66" s="293" t="n">
        <v>25</v>
      </c>
      <c r="BO66" s="293" t="n">
        <v>24</v>
      </c>
      <c r="BZ66" s="693" t="n"/>
      <c r="CA66" s="693" t="n"/>
    </row>
    <row r="67" ht="12" customHeight="1" s="613">
      <c r="B67" s="476">
        <f>$L$38</f>
        <v/>
      </c>
      <c r="C67" s="476">
        <f>$O$7</f>
        <v/>
      </c>
      <c r="D67" s="476">
        <f>IF($P$7 = "S", 2,1)</f>
        <v/>
      </c>
      <c r="E67" s="476">
        <f>$Q$7</f>
        <v/>
      </c>
      <c r="F67" s="476">
        <f>IF($R$7 = "W", 2,1)</f>
        <v/>
      </c>
      <c r="G67" s="476">
        <f>'SHL Section'!$S$7</f>
        <v/>
      </c>
      <c r="H67" s="475" t="inlineStr">
        <is>
          <t>West-Up2</t>
        </is>
      </c>
      <c r="J67" s="368" t="n"/>
      <c r="L67" s="476">
        <f>$L$38</f>
        <v/>
      </c>
      <c r="M67" s="476">
        <f>$O$7</f>
        <v/>
      </c>
      <c r="N67" s="476">
        <f>IF($P$7 = "S", 2,1)</f>
        <v/>
      </c>
      <c r="O67" s="476">
        <f>$Q$7</f>
        <v/>
      </c>
      <c r="P67" s="476">
        <f>IF($R$7 = "W", 2,1)</f>
        <v/>
      </c>
      <c r="Q67" s="476">
        <f>'SHL Section'!$S$7</f>
        <v/>
      </c>
      <c r="R67" s="475" t="inlineStr">
        <is>
          <t>North-Left2</t>
        </is>
      </c>
      <c r="AA67" s="689" t="n"/>
      <c r="AB67" s="689" t="n"/>
      <c r="AE67" s="291" t="n"/>
      <c r="AF67" s="290" t="n"/>
      <c r="AG67" s="292" t="n"/>
      <c r="AH67" s="292" t="n"/>
      <c r="AI67" s="291" t="n"/>
      <c r="AJ67" s="290" t="n"/>
      <c r="AK67" s="291" t="n"/>
      <c r="AL67" s="290" t="n"/>
      <c r="AO67" s="420" t="n"/>
      <c r="AP67" s="420" t="n"/>
      <c r="AQ67" s="420" t="n"/>
      <c r="AR67" s="420" t="n"/>
      <c r="AS67" s="420" t="n"/>
      <c r="AT67" s="420" t="n"/>
      <c r="BG67" s="293" t="n">
        <v>31</v>
      </c>
      <c r="BH67" s="293" t="n">
        <v>30</v>
      </c>
      <c r="BI67" s="293" t="n">
        <v>29</v>
      </c>
      <c r="BJ67" s="293" t="n">
        <v>32</v>
      </c>
      <c r="BK67" s="293" t="n">
        <v>5</v>
      </c>
      <c r="BL67" s="293" t="n">
        <v>6</v>
      </c>
      <c r="BM67" s="293" t="n">
        <v>1</v>
      </c>
      <c r="BN67" s="293" t="n">
        <v>36</v>
      </c>
      <c r="BO67" s="293" t="n">
        <v>25</v>
      </c>
      <c r="BZ67" s="693" t="n"/>
      <c r="CA67" s="693" t="n"/>
    </row>
    <row r="68" ht="12" customHeight="1" s="613">
      <c r="B68" s="463" t="inlineStr">
        <is>
          <t>A</t>
        </is>
      </c>
      <c r="C68" s="463" t="inlineStr">
        <is>
          <t>B</t>
        </is>
      </c>
      <c r="D68" s="463" t="inlineStr">
        <is>
          <t>C</t>
        </is>
      </c>
      <c r="E68" s="463" t="inlineStr">
        <is>
          <t>D</t>
        </is>
      </c>
      <c r="F68" s="463" t="inlineStr">
        <is>
          <t>E</t>
        </is>
      </c>
      <c r="G68" s="463" t="inlineStr">
        <is>
          <t>F</t>
        </is>
      </c>
      <c r="H68" s="463" t="inlineStr">
        <is>
          <t>G</t>
        </is>
      </c>
      <c r="J68" s="295" t="n"/>
      <c r="L68" s="463" t="inlineStr">
        <is>
          <t>A</t>
        </is>
      </c>
      <c r="M68" s="463" t="inlineStr">
        <is>
          <t>B</t>
        </is>
      </c>
      <c r="N68" s="463" t="inlineStr">
        <is>
          <t>C</t>
        </is>
      </c>
      <c r="O68" s="463" t="inlineStr">
        <is>
          <t>D</t>
        </is>
      </c>
      <c r="P68" s="463" t="inlineStr">
        <is>
          <t>E</t>
        </is>
      </c>
      <c r="Q68" s="463" t="inlineStr">
        <is>
          <t>F</t>
        </is>
      </c>
      <c r="R68" s="463" t="inlineStr">
        <is>
          <t>G</t>
        </is>
      </c>
      <c r="AA68" s="689" t="n"/>
      <c r="AB68" s="689" t="n"/>
      <c r="AE68" s="674" t="inlineStr">
        <is>
          <t>BHL2 Qtr-Qtr Logic</t>
        </is>
      </c>
      <c r="AF68" s="675" t="n"/>
      <c r="AG68" s="676" t="inlineStr">
        <is>
          <t>BHL2 Qtr-Qtr Logic</t>
        </is>
      </c>
      <c r="AH68" s="677" t="n"/>
      <c r="AI68" s="674" t="inlineStr">
        <is>
          <t>BHL2 Qtr-Qtr Logic</t>
        </is>
      </c>
      <c r="AJ68" s="675" t="n"/>
      <c r="AK68" s="674" t="inlineStr">
        <is>
          <t>BHL2 Qtr-Qtr Logic</t>
        </is>
      </c>
      <c r="AL68" s="675" t="n"/>
      <c r="AO68" s="420" t="n"/>
      <c r="AP68" s="420" t="n"/>
      <c r="AQ68" s="420" t="n"/>
      <c r="AR68" s="420" t="n"/>
      <c r="AS68" s="420" t="n"/>
      <c r="AT68" s="420" t="n"/>
      <c r="BG68" s="293" t="n">
        <v>32</v>
      </c>
      <c r="BH68" s="293" t="n">
        <v>29</v>
      </c>
      <c r="BI68" s="293" t="n">
        <v>28</v>
      </c>
      <c r="BJ68" s="293" t="n">
        <v>33</v>
      </c>
      <c r="BK68" s="293" t="n">
        <v>4</v>
      </c>
      <c r="BL68" s="293" t="n">
        <v>5</v>
      </c>
      <c r="BM68" s="293" t="n">
        <v>6</v>
      </c>
      <c r="BN68" s="293" t="n">
        <v>31</v>
      </c>
      <c r="BO68" s="293" t="n">
        <v>30</v>
      </c>
      <c r="BZ68" s="693" t="n"/>
      <c r="CA68" s="693" t="n"/>
    </row>
    <row r="69" ht="12" customHeight="1" s="613">
      <c r="B69" s="476">
        <f>$L$38</f>
        <v/>
      </c>
      <c r="C69" s="476">
        <f>$O$7</f>
        <v/>
      </c>
      <c r="D69" s="476">
        <f>IF($P$7 = "S", 2,1)</f>
        <v/>
      </c>
      <c r="E69" s="476">
        <f>$Q$7</f>
        <v/>
      </c>
      <c r="F69" s="476">
        <f>IF($R$7 = "W", 2,1)</f>
        <v/>
      </c>
      <c r="G69" s="476">
        <f>'SHL Section'!$S$7</f>
        <v/>
      </c>
      <c r="H69" t="inlineStr">
        <is>
          <t>West-Up1</t>
        </is>
      </c>
      <c r="J69" s="295" t="n"/>
      <c r="L69" s="476">
        <f>$L$38</f>
        <v/>
      </c>
      <c r="M69" s="476">
        <f>$O$7</f>
        <v/>
      </c>
      <c r="N69" s="476">
        <f>IF($P$7 = "S", 2,1)</f>
        <v/>
      </c>
      <c r="O69" s="476">
        <f>$Q$7</f>
        <v/>
      </c>
      <c r="P69" s="476">
        <f>IF($R$7 = "W", 2,1)</f>
        <v/>
      </c>
      <c r="Q69" s="476">
        <f>'SHL Section'!$S$7</f>
        <v/>
      </c>
      <c r="R69" s="475" t="inlineStr">
        <is>
          <t>North-Left1</t>
        </is>
      </c>
      <c r="AA69" s="689" t="n"/>
      <c r="AB69" s="689" t="n"/>
      <c r="AE69" s="671">
        <f>IF($AE$36="","",IF(AND((-$AE$36+$AF$36*$AV$19/$AW$19)&gt;0,-$AE$36&lt;$BZ$19,(-$AF$36+$AE$36*$CA$19/$BZ$19)&gt;0,-$AF$36&lt;$AW$19),1,IF(AND((-$AE$36-$AV$19+($AF$36+$AW$19)*$AX$19/$AY$19)&gt;0,-$AE$36&lt;$BZ$19,-$AF$36&gt;$AW$19,-$AF$36&lt;$AX$22),2,IF(AND(-$AE$36&lt;$BY$22,-$AE$36&gt;$BZ$19,-$AF$36&gt;$AW$19,-$AF$36&lt;$AX$22),3,IF(AND(-$AE$36&lt;$BY$22,-$AE$36&gt;$BZ$19,(-$AF$36-$CA$19-(-$AE$36-$BZ$19)*$BY$19/$BX$19)&gt;0,-$AF$36&lt;$AW$19),4,"")))))</f>
        <v/>
      </c>
      <c r="AF69" s="617" t="n"/>
      <c r="AG69" s="671">
        <f>IF($AG$36="","",IF(AND((-$AG$36+$BB$19+($AH$36-$BC$19)*$AZ$19/$BA$19)&gt;0,-$AG$36&lt;$BD$19,$AH$36&gt;$BC$19,$AH$36&lt;$BB$22),1,IF(AND((-$AG$36+$AH$36*$BB$19/$BC$19)&gt;0,-$AG$36&lt;$BD$19,($AH$36-$AG$36*$BE$19/$BD$19)&gt;0,$AH$36&lt;$BC$19),2,IF(AND(-$AG$36&gt;$BD$19,-$AG$36&lt;$BE$22,($AH$36+$BE$19+(-$AG$36-$BD$19)*$BG$19/$BF$19)&gt;0,$AH$36&lt;$BC$19),3,IF(AND(-$AG$36&gt;$BD$19,-$AG$36&lt;$BE$22,$AH$36&gt;$BC$19,$AH$36&lt;$BB$22),4,"")))))</f>
        <v/>
      </c>
      <c r="AH69" s="617" t="n"/>
      <c r="AI69" s="671">
        <f>IF($AI$36="","",IF(AND($AI$36&gt;$BJ$19,$AI$36&lt;$BI$22,$AJ$36&gt;$BM$19,$AJ$36&lt;$BN$22),1,IF(AND($AI$36&gt;$BJ$19,$AI$36&lt;$BI$22,($AJ$36-$BK$19-($AI$36-$BJ$19)*$BI$19/$BH$19)&gt;0,$AJ$36&lt;$BM$19),2,IF(AND(($AI$36-$AJ$36*$BL$19/$BM$19)&gt;0,$AI$36&lt;$BJ$19,($AJ$36-$AI$36*$BK$19/$BJ$19)&gt;0,$AJ$36&lt;$BM$19),3,IF(AND(($AI$36-$BL$19-($AJ$36-$BM$19)*$BN$19/$BO$19)&gt;0,$AI$36&lt;$BJ$19,$AJ$36&gt;$BM$19,$AJ$36&lt;$BN$22),4,"")))))</f>
        <v/>
      </c>
      <c r="AJ69" s="617" t="n"/>
      <c r="AK69" s="671">
        <f>IF($AK$36="","",IF(AND($AK$36&gt;$BT$19,$AK$36&lt;$BU$22,(-$AL$36+$BU$19+($AK$36-$BT$19)*$BW$19/$BV$19)&gt;0,-$AL$36&lt;$BS$19),1,IF(AND($AK$36&gt;$BT$19,$AK$36&lt;$BU$22,-$AL$36&gt;$BS$19,-$AL$36&lt;$BR$22),2,IF(AND(($AK$36+$BR$19+(-$AL$36-$BS$19)*$BP$19/$BQ$19)&gt;0,$AK$36&lt;$BT$19,-$AL$36&gt;$BS$19,-$AL$36&lt;$BR$22),3,IF(AND(($AK$36-$AL$36*$BR$19/$BS$19)&gt;0,$AK$36&lt;$BT$19,(-$AL$36+$AK$36*$BU$19/$BT$19)&gt;0,-$AL$36&lt;$BS$19),4,"")))))</f>
        <v/>
      </c>
      <c r="AL69" s="617" t="n"/>
      <c r="BG69" s="293" t="n">
        <v>33</v>
      </c>
      <c r="BH69" s="293" t="n">
        <v>28</v>
      </c>
      <c r="BI69" s="293" t="n">
        <v>27</v>
      </c>
      <c r="BJ69" s="293" t="n">
        <v>34</v>
      </c>
      <c r="BK69" s="293" t="n">
        <v>3</v>
      </c>
      <c r="BL69" s="293" t="n">
        <v>4</v>
      </c>
      <c r="BM69" s="293" t="n">
        <v>5</v>
      </c>
      <c r="BN69" s="293" t="n">
        <v>32</v>
      </c>
      <c r="BO69" s="293" t="n">
        <v>29</v>
      </c>
      <c r="BZ69" s="693" t="n"/>
      <c r="CA69" s="693" t="n"/>
    </row>
    <row r="70" ht="12" customHeight="1" s="613">
      <c r="B70" s="463" t="inlineStr">
        <is>
          <t>A</t>
        </is>
      </c>
      <c r="C70" s="463" t="inlineStr">
        <is>
          <t>B</t>
        </is>
      </c>
      <c r="D70" s="463" t="inlineStr">
        <is>
          <t>C</t>
        </is>
      </c>
      <c r="E70" s="463" t="inlineStr">
        <is>
          <t>D</t>
        </is>
      </c>
      <c r="F70" s="463" t="inlineStr">
        <is>
          <t>E</t>
        </is>
      </c>
      <c r="G70" s="463" t="inlineStr">
        <is>
          <t>F</t>
        </is>
      </c>
      <c r="H70" s="463" t="inlineStr">
        <is>
          <t>G</t>
        </is>
      </c>
      <c r="J70" s="295" t="n"/>
      <c r="L70" s="463" t="inlineStr">
        <is>
          <t>A</t>
        </is>
      </c>
      <c r="M70" s="463" t="inlineStr">
        <is>
          <t>B</t>
        </is>
      </c>
      <c r="N70" s="463" t="inlineStr">
        <is>
          <t>C</t>
        </is>
      </c>
      <c r="O70" s="463" t="inlineStr">
        <is>
          <t>D</t>
        </is>
      </c>
      <c r="P70" s="463" t="inlineStr">
        <is>
          <t>E</t>
        </is>
      </c>
      <c r="Q70" s="463" t="inlineStr">
        <is>
          <t>F</t>
        </is>
      </c>
      <c r="R70" s="463" t="inlineStr">
        <is>
          <t>G</t>
        </is>
      </c>
      <c r="AA70" s="689" t="n"/>
      <c r="AB70" s="689" t="n"/>
      <c r="AE70" s="291" t="n"/>
      <c r="AF70" s="290" t="n"/>
      <c r="AG70" s="292" t="n"/>
      <c r="AH70" s="292" t="n"/>
      <c r="AI70" s="291" t="n"/>
      <c r="AJ70" s="290" t="n"/>
      <c r="AK70" s="291" t="n"/>
      <c r="AL70" s="290" t="n"/>
      <c r="BG70" s="293" t="n">
        <v>34</v>
      </c>
      <c r="BH70" s="293" t="n">
        <v>27</v>
      </c>
      <c r="BI70" s="293" t="n">
        <v>26</v>
      </c>
      <c r="BJ70" s="293" t="n">
        <v>35</v>
      </c>
      <c r="BK70" s="293" t="n">
        <v>2</v>
      </c>
      <c r="BL70" s="293" t="n">
        <v>3</v>
      </c>
      <c r="BM70" s="293" t="n">
        <v>4</v>
      </c>
      <c r="BN70" s="293" t="n">
        <v>33</v>
      </c>
      <c r="BO70" s="293" t="n">
        <v>28</v>
      </c>
      <c r="BZ70" s="693" t="n"/>
      <c r="CA70" s="693" t="n"/>
    </row>
    <row r="71" ht="12" customHeight="1" s="613">
      <c r="B71" s="476">
        <f>$L$38</f>
        <v/>
      </c>
      <c r="C71" s="476">
        <f>$O$7</f>
        <v/>
      </c>
      <c r="D71" s="476">
        <f>IF($P$7 = "S", 2,1)</f>
        <v/>
      </c>
      <c r="E71" s="476">
        <f>$Q$7</f>
        <v/>
      </c>
      <c r="F71" s="476">
        <f>IF($R$7 = "W", 2,1)</f>
        <v/>
      </c>
      <c r="G71" s="476">
        <f>'SHL Section'!$S$7</f>
        <v/>
      </c>
      <c r="H71" t="inlineStr">
        <is>
          <t>West-Down1</t>
        </is>
      </c>
      <c r="J71" s="321" t="n"/>
      <c r="L71" s="476">
        <f>$L$38</f>
        <v/>
      </c>
      <c r="M71" s="476">
        <f>$O$7</f>
        <v/>
      </c>
      <c r="N71" s="476">
        <f>IF($P$7 = "S", 2,1)</f>
        <v/>
      </c>
      <c r="O71" s="476">
        <f>$Q$7</f>
        <v/>
      </c>
      <c r="P71" s="476">
        <f>IF($R$7 = "W", 2,1)</f>
        <v/>
      </c>
      <c r="Q71" s="476">
        <f>'SHL Section'!$S$7</f>
        <v/>
      </c>
      <c r="R71" s="475" t="inlineStr">
        <is>
          <t>North-Right1</t>
        </is>
      </c>
      <c r="AA71" s="689" t="n"/>
      <c r="AB71" s="689" t="n"/>
      <c r="AE71" s="674" t="inlineStr">
        <is>
          <t>BHL2 NE Line Calc</t>
        </is>
      </c>
      <c r="AF71" s="675" t="n"/>
      <c r="AG71" s="674" t="inlineStr">
        <is>
          <t>BHL2 NW Line Calc</t>
        </is>
      </c>
      <c r="AH71" s="675" t="n"/>
      <c r="AI71" s="674" t="inlineStr">
        <is>
          <t>BHL3 SW Line Calc</t>
        </is>
      </c>
      <c r="AJ71" s="675" t="n"/>
      <c r="AK71" s="674" t="inlineStr">
        <is>
          <t>BHL4 SE Line Calc</t>
        </is>
      </c>
      <c r="AL71" s="675" t="n"/>
      <c r="BG71" s="293" t="n">
        <v>35</v>
      </c>
      <c r="BH71" s="293" t="n">
        <v>26</v>
      </c>
      <c r="BI71" s="293" t="n">
        <v>25</v>
      </c>
      <c r="BJ71" s="293" t="n">
        <v>36</v>
      </c>
      <c r="BK71" s="293" t="n">
        <v>1</v>
      </c>
      <c r="BL71" s="293" t="n">
        <v>2</v>
      </c>
      <c r="BM71" s="293" t="n">
        <v>3</v>
      </c>
      <c r="BN71" s="293" t="n">
        <v>34</v>
      </c>
      <c r="BO71" s="293" t="n">
        <v>27</v>
      </c>
      <c r="BZ71" s="693" t="n"/>
      <c r="CA71" s="693" t="n"/>
    </row>
    <row r="72" ht="12" customHeight="1" s="613">
      <c r="B72" s="463" t="inlineStr">
        <is>
          <t>A</t>
        </is>
      </c>
      <c r="C72" s="463" t="inlineStr">
        <is>
          <t>B</t>
        </is>
      </c>
      <c r="D72" s="463" t="inlineStr">
        <is>
          <t>C</t>
        </is>
      </c>
      <c r="E72" s="463" t="inlineStr">
        <is>
          <t>D</t>
        </is>
      </c>
      <c r="F72" s="463" t="inlineStr">
        <is>
          <t>E</t>
        </is>
      </c>
      <c r="G72" s="463" t="inlineStr">
        <is>
          <t>F</t>
        </is>
      </c>
      <c r="H72" s="463" t="inlineStr">
        <is>
          <t>G</t>
        </is>
      </c>
      <c r="L72" s="463" t="inlineStr">
        <is>
          <t>A</t>
        </is>
      </c>
      <c r="M72" s="463" t="inlineStr">
        <is>
          <t>B</t>
        </is>
      </c>
      <c r="N72" s="463" t="inlineStr">
        <is>
          <t>C</t>
        </is>
      </c>
      <c r="O72" s="463" t="inlineStr">
        <is>
          <t>D</t>
        </is>
      </c>
      <c r="P72" s="463" t="inlineStr">
        <is>
          <t>E</t>
        </is>
      </c>
      <c r="Q72" s="463" t="inlineStr">
        <is>
          <t>F</t>
        </is>
      </c>
      <c r="R72" s="463" t="inlineStr">
        <is>
          <t>G</t>
        </is>
      </c>
      <c r="AA72" s="689" t="n"/>
      <c r="AB72" s="689" t="n"/>
      <c r="AD72" s="470" t="inlineStr">
        <is>
          <t>Qtr-Qtr</t>
        </is>
      </c>
      <c r="AE72" s="671" t="inlineStr">
        <is>
          <t>FNL</t>
        </is>
      </c>
      <c r="AF72" s="671" t="inlineStr">
        <is>
          <t>FEL</t>
        </is>
      </c>
      <c r="AG72" s="468" t="inlineStr">
        <is>
          <t>FNL</t>
        </is>
      </c>
      <c r="AH72" s="467" t="inlineStr">
        <is>
          <t>FWL</t>
        </is>
      </c>
      <c r="AI72" s="671" t="inlineStr">
        <is>
          <t>FSL</t>
        </is>
      </c>
      <c r="AJ72" s="671" t="inlineStr">
        <is>
          <t>FWL</t>
        </is>
      </c>
      <c r="AK72" s="671" t="inlineStr">
        <is>
          <t>FSL</t>
        </is>
      </c>
      <c r="AL72" s="671" t="inlineStr">
        <is>
          <t>FEL</t>
        </is>
      </c>
      <c r="AN72" s="693" t="inlineStr">
        <is>
          <t>Calc w/o perpendicular correction</t>
        </is>
      </c>
      <c r="BG72" s="293" t="n">
        <v>36</v>
      </c>
      <c r="BH72" s="293" t="n">
        <v>25</v>
      </c>
      <c r="BI72" s="293" t="n">
        <v>30</v>
      </c>
      <c r="BJ72" s="293" t="n">
        <v>31</v>
      </c>
      <c r="BK72" s="293" t="n">
        <v>6</v>
      </c>
      <c r="BL72" s="293" t="n">
        <v>1</v>
      </c>
      <c r="BM72" s="293" t="n">
        <v>2</v>
      </c>
      <c r="BN72" s="293" t="n">
        <v>35</v>
      </c>
      <c r="BO72" s="293" t="n">
        <v>26</v>
      </c>
      <c r="BZ72" s="693" t="n"/>
      <c r="CA72" s="693" t="n"/>
    </row>
    <row r="73" ht="12" customHeight="1" s="613">
      <c r="B73" s="476">
        <f>$L$38</f>
        <v/>
      </c>
      <c r="C73" s="476">
        <f>$O$7</f>
        <v/>
      </c>
      <c r="D73" s="476">
        <f>IF($P$7 = "S", 2,1)</f>
        <v/>
      </c>
      <c r="E73" s="476">
        <f>$Q$7</f>
        <v/>
      </c>
      <c r="F73" s="476">
        <f>IF($R$7 = "W", 2,1)</f>
        <v/>
      </c>
      <c r="G73" s="476">
        <f>'SHL Section'!$S$7</f>
        <v/>
      </c>
      <c r="H73" t="inlineStr">
        <is>
          <t>West-Down2</t>
        </is>
      </c>
      <c r="L73" s="476">
        <f>$L$38</f>
        <v/>
      </c>
      <c r="M73" s="476">
        <f>$O$7</f>
        <v/>
      </c>
      <c r="N73" s="476">
        <f>IF($P$7 = "S", 2,1)</f>
        <v/>
      </c>
      <c r="O73" s="476">
        <f>$Q$7</f>
        <v/>
      </c>
      <c r="P73" s="476">
        <f>IF($R$7 = "W", 2,1)</f>
        <v/>
      </c>
      <c r="Q73" s="476">
        <f>'SHL Section'!$S$7</f>
        <v/>
      </c>
      <c r="R73" s="475" t="inlineStr">
        <is>
          <t>North-Right2</t>
        </is>
      </c>
      <c r="AA73" s="689" t="n"/>
      <c r="AB73" s="689" t="n"/>
      <c r="AD73" s="319" t="n">
        <v>1</v>
      </c>
      <c r="AE73" s="306">
        <f>IF($AD73=AE$69,(-$AE$36+$AF$36*$AV$19/$AW$19)*$AV$28,"")</f>
        <v/>
      </c>
      <c r="AF73" s="287">
        <f>IF($AD73=AE$69,(-$AF$36+$AE$36*$CA$19/$BZ$19)*$BZ$28,"")</f>
        <v/>
      </c>
      <c r="AG73" s="306">
        <f>IF($AD73=AG$69,(-$AG$36+$BB$19+($AH$36-$BC$19)*$AZ$19/$BA$19)*$AZ$28,"")</f>
        <v/>
      </c>
      <c r="AH73" s="287">
        <f>IF($AD73=AG$69,($AH$36-$AG$36*$BE$19/$BD$19)*$BD$28,"")</f>
        <v/>
      </c>
      <c r="AI73" s="306">
        <f>IF($AD73=AI$69,($AI$36-$BL$19-($AJ$36-$BM$19)*$BN$19/$BO$19)*$BN$28,"")</f>
        <v/>
      </c>
      <c r="AJ73" s="287">
        <f>IF($AD73=AI$69,($AJ$36-$BK$19-($AI$36-$BJ$19)*$BI$19/$BH$19)*$BH$28,"")</f>
        <v/>
      </c>
      <c r="AK73" s="306">
        <f>IF($AD73=AK$69,($AK$36-$AL$36*$BR$19/$BS$19)*$BR$28,"")</f>
        <v/>
      </c>
      <c r="AL73" s="287">
        <f>IF($AD73=AK$69,(-$AL$36+$BU$19+($AK$36-$BT$19)*$BW$19/$BV$19)*$BV$28,"")</f>
        <v/>
      </c>
      <c r="AN73" s="289">
        <f>IF(ISNUMBER($AE$36),(-$AE$36+$AF$36*$AV$19/$AW$19),"")</f>
        <v/>
      </c>
      <c r="AO73" s="288">
        <f>IF(ISNUMBER($AF$36),(-$AF$36+$AE$36*$CA$19/$BZ$19),"")</f>
        <v/>
      </c>
      <c r="AP73" s="289">
        <f>IF(ISNUMBER($AG$36),(-$AG$36+$BB$19+($AH$36-$BC$19)*$AZ$19/$BA$19),"")</f>
        <v/>
      </c>
      <c r="AQ73" s="288">
        <f>IF(ISNUMBER($AH$36),($AH$36-$AG$36*$BE$19/$BD$19),"")</f>
        <v/>
      </c>
      <c r="AR73" s="289">
        <f>IF(ISNUMBER($AI$36),($AI$36-$BL$19-($AJ$36-$BM$19)*$BN$19/$BO$19),"")</f>
        <v/>
      </c>
      <c r="AS73" s="288">
        <f>IF(ISNUMBER($AJ$36),($AJ$36-$BK$19-($AI$36-$BJ$19)*$BI$19/$BH$19),"")</f>
        <v/>
      </c>
      <c r="AT73" s="289">
        <f>IF(ISNUMBER($AK$36),($AK$36-$AL$36*$BR$19/$BS$19),"")</f>
        <v/>
      </c>
      <c r="AU73" s="288">
        <f>IF(ISNUMBER($AL$36),(-$AL$36+$BU$19+($AK$36-$BT$19)*$BW$19/$BV$19),"")</f>
        <v/>
      </c>
      <c r="BZ73" s="693" t="n"/>
      <c r="CA73" s="693" t="n"/>
    </row>
    <row r="74" ht="12" customHeight="1" s="613">
      <c r="B74" s="463" t="inlineStr">
        <is>
          <t>A</t>
        </is>
      </c>
      <c r="C74" s="463" t="inlineStr">
        <is>
          <t>B</t>
        </is>
      </c>
      <c r="D74" s="463" t="inlineStr">
        <is>
          <t>C</t>
        </is>
      </c>
      <c r="E74" s="463" t="inlineStr">
        <is>
          <t>D</t>
        </is>
      </c>
      <c r="F74" s="463" t="inlineStr">
        <is>
          <t>E</t>
        </is>
      </c>
      <c r="G74" s="463" t="inlineStr">
        <is>
          <t>F</t>
        </is>
      </c>
      <c r="H74" s="463" t="inlineStr">
        <is>
          <t>G</t>
        </is>
      </c>
      <c r="L74" s="463" t="inlineStr">
        <is>
          <t>A</t>
        </is>
      </c>
      <c r="M74" s="463" t="inlineStr">
        <is>
          <t>B</t>
        </is>
      </c>
      <c r="N74" s="463" t="inlineStr">
        <is>
          <t>C</t>
        </is>
      </c>
      <c r="O74" s="463" t="inlineStr">
        <is>
          <t>D</t>
        </is>
      </c>
      <c r="P74" s="463" t="inlineStr">
        <is>
          <t>E</t>
        </is>
      </c>
      <c r="Q74" s="463" t="inlineStr">
        <is>
          <t>F</t>
        </is>
      </c>
      <c r="R74" s="463" t="inlineStr">
        <is>
          <t>G</t>
        </is>
      </c>
      <c r="AA74" s="689" t="n"/>
      <c r="AB74" s="689" t="n"/>
      <c r="AD74" s="319" t="n">
        <v>2</v>
      </c>
      <c r="AE74" s="306">
        <f>IF($AD74=AE$69,(-$AE$36-$AV$19+($AF$36+$AW$19)*$AX$19/$AY$19)*$AX$28,"")</f>
        <v/>
      </c>
      <c r="AF74" s="287">
        <f>IF($AD74=AE$69,(-$AF$36+$AE$36*$CA$19/$BZ$19)*$BZ$28,"")</f>
        <v/>
      </c>
      <c r="AG74" s="306">
        <f>IF($AD74=AG$69,(-$AG$36+$AH$36*$BB$19/$BC$19)*$BB$28,"")</f>
        <v/>
      </c>
      <c r="AH74" s="287">
        <f>IF($AD74=AG$69,($AH$36-$AG$36*$BE$19/$BD$19)*$BD$28,"")</f>
        <v/>
      </c>
      <c r="AI74" s="306">
        <f>IF($AD74=AI$69,($AI$36-$AJ$36*$BL$19/$BM$19)*$BL$28,"")</f>
        <v/>
      </c>
      <c r="AJ74" s="287">
        <f>IF($AD74=AI$69,($AJ$36-$BK$19-($AI$36-$BJ$19)*$BI$19/$BH$19)*$BH$28,"")</f>
        <v/>
      </c>
      <c r="AK74" s="306">
        <f>IF($AD74=AK$69,($AK$36+$BR$19+(-$AL$36-$BS$19)*$BP$19/$BQ$19)*$BP$28,"")</f>
        <v/>
      </c>
      <c r="AL74" s="287">
        <f>IF($AD74=AK$69,(-$AL$36+$BU$19+($AK$36-$BT$19)*$BW$19/$BV$19)*$BV$28,"")</f>
        <v/>
      </c>
      <c r="AN74" s="306">
        <f>IF(ISNUMBER($AE$36),(-$AE$36-$AV$19+($AF$36+$AW$19)*$AX$19/$AY$19),"")</f>
        <v/>
      </c>
      <c r="AO74" s="287">
        <f>IF(ISNUMBER($AF$36),(-$AF$36+$AE$36*$CA$19/$BZ$19),"")</f>
        <v/>
      </c>
      <c r="AP74" s="306">
        <f>IF(ISNUMBER($AG$36),(-$AG$36+$AH$36*$BB$19/$BC$19),"")</f>
        <v/>
      </c>
      <c r="AQ74" s="287">
        <f>IF(ISNUMBER($AH$36),($AH$36-$AG$36*$BE$19/$BD$19),"")</f>
        <v/>
      </c>
      <c r="AR74" s="306">
        <f>IF(ISNUMBER($AI$36),($AI$36-$AJ$36*$BL$19/$BM$19),"")</f>
        <v/>
      </c>
      <c r="AS74" s="287">
        <f>IF(ISNUMBER($AJ$36),($AJ$36-$BK$19-($AI$36-$BJ$19)*$BI$19/$BH$19),"")</f>
        <v/>
      </c>
      <c r="AT74" s="306">
        <f>IF(ISNUMBER($AK$36),($AK$36+$BR$19+(-$AL$36-$BS$19)*$BP$19/$BQ$19),"")</f>
        <v/>
      </c>
      <c r="AU74" s="287">
        <f>IF(ISNUMBER($AL$36),(-$AL$36+$BU$19+($AK$36-$BT$19)*$BW$19/$BV$19),"")</f>
        <v/>
      </c>
      <c r="BZ74" s="693" t="n"/>
      <c r="CA74" s="693" t="n"/>
    </row>
    <row r="75" ht="12" customHeight="1" s="613">
      <c r="B75" s="476">
        <f>$L$38</f>
        <v/>
      </c>
      <c r="C75" s="476">
        <f>$O$7</f>
        <v/>
      </c>
      <c r="D75" s="476">
        <f>IF($P$7 = "S", 2,1)</f>
        <v/>
      </c>
      <c r="E75" s="476">
        <f>$Q$7</f>
        <v/>
      </c>
      <c r="F75" s="476">
        <f>IF($R$7 = "W", 2,1)</f>
        <v/>
      </c>
      <c r="G75" s="476">
        <f>'SHL Section'!$S$7</f>
        <v/>
      </c>
      <c r="H75" s="475" t="inlineStr">
        <is>
          <t>East-Up2</t>
        </is>
      </c>
      <c r="L75" s="476">
        <f>$L$38</f>
        <v/>
      </c>
      <c r="M75" s="476">
        <f>$O$7</f>
        <v/>
      </c>
      <c r="N75" s="476">
        <f>IF($P$7 = "S", 2,1)</f>
        <v/>
      </c>
      <c r="O75" s="476">
        <f>$Q$7</f>
        <v/>
      </c>
      <c r="P75" s="476">
        <f>IF($R$7 = "W", 2,1)</f>
        <v/>
      </c>
      <c r="Q75" s="476">
        <f>'SHL Section'!$S$7</f>
        <v/>
      </c>
      <c r="R75" s="475" t="inlineStr">
        <is>
          <t>South-Left2</t>
        </is>
      </c>
      <c r="AA75" s="689" t="n"/>
      <c r="AB75" s="689" t="n"/>
      <c r="AD75" s="319" t="n">
        <v>3</v>
      </c>
      <c r="AE75" s="306">
        <f>IF($AD75=AE$69,(-$AE$36-$AV$19+($AF$36+$AW$19)*$AX$19/$AY$19)*$AX$28,"")</f>
        <v/>
      </c>
      <c r="AF75" s="287">
        <f>IF($AD75=AE$69,(-$AF$36-$CA$19-(-$AE$36-$BZ$19)*$BY$19/$BX$19)*$BX$28,"")</f>
        <v/>
      </c>
      <c r="AG75" s="306">
        <f>IF($AD75=AG$69,(-$AG$36+$AH$36*$BB$19/$BC$19)*$BB$28,"")</f>
        <v/>
      </c>
      <c r="AH75" s="287">
        <f>IF($AD75=AG$69,($AH$36+$BE$19+(-$AG$36-$BD$19)*$BG$19/$BF$19)*$BF$28,"")</f>
        <v/>
      </c>
      <c r="AI75" s="306">
        <f>IF($AD75=AI$69,($AI$36-$AJ$36*$BL$19/$BM$19)*$BL$28,"")</f>
        <v/>
      </c>
      <c r="AJ75" s="287">
        <f>IF($AD75=AI$69,($AJ$36-$AI$36*$BK$19/$BJ$19)*$BJ$28,"")</f>
        <v/>
      </c>
      <c r="AK75" s="306">
        <f>IF($AD75=AK$69,($AK$36+$BR$19+(-$AL$36-$BS$19)*$BP$19/$BQ$19)*$BP$28,"")</f>
        <v/>
      </c>
      <c r="AL75" s="287">
        <f>IF($AD75=AK$69,(-$AL$36+$AK$36*$BU$19/$BT$19)*$BT$28,"")</f>
        <v/>
      </c>
      <c r="AN75" s="306">
        <f>IF(ISNUMBER($AE$36),(-$AE$36-$AV$19+($AF$36+$AW$19)*$AX$19/$AY$19),"")</f>
        <v/>
      </c>
      <c r="AO75" s="287">
        <f>IF(ISNUMBER($AF$36),(-$AF$36-$CA$19-(-$AE$36-$BZ$19)*$BY$19/$BX$19),"")</f>
        <v/>
      </c>
      <c r="AP75" s="306">
        <f>IF(ISNUMBER($AG$36),(-$AG$36+$AH$36*$BB$19/$BC$19),"")</f>
        <v/>
      </c>
      <c r="AQ75" s="287">
        <f>IF(ISNUMBER($AH$36),($AH$36+$BE$19+(-$AG$36-$BD$19)*$BG$19/$BF$19),"")</f>
        <v/>
      </c>
      <c r="AR75" s="306">
        <f>IF(ISNUMBER($AI$36),($AI$36-$AJ$36*$BL$19/$BM$19),"")</f>
        <v/>
      </c>
      <c r="AS75" s="287">
        <f>IF(ISNUMBER($AJ$36),($AJ$36-$AI$36*$BK$19/$BJ$19),"")</f>
        <v/>
      </c>
      <c r="AT75" s="306">
        <f>IF(ISNUMBER($AK$36),($AK$36+$BR$19+(-$AL$36-$BS$19)*$BP$19/$BQ$19),"")</f>
        <v/>
      </c>
      <c r="AU75" s="287">
        <f>IF(ISNUMBER($AL$36),(-$AL$36+$AK$36*$BU$19/$BT$19),"")</f>
        <v/>
      </c>
      <c r="BZ75" s="693" t="n"/>
      <c r="CA75" s="693" t="n"/>
    </row>
    <row r="76" ht="12" customHeight="1" s="613">
      <c r="B76" s="463" t="inlineStr">
        <is>
          <t>A</t>
        </is>
      </c>
      <c r="C76" s="463" t="inlineStr">
        <is>
          <t>B</t>
        </is>
      </c>
      <c r="D76" s="463" t="inlineStr">
        <is>
          <t>C</t>
        </is>
      </c>
      <c r="E76" s="463" t="inlineStr">
        <is>
          <t>D</t>
        </is>
      </c>
      <c r="F76" s="463" t="inlineStr">
        <is>
          <t>E</t>
        </is>
      </c>
      <c r="G76" s="463" t="inlineStr">
        <is>
          <t>F</t>
        </is>
      </c>
      <c r="H76" s="463" t="inlineStr">
        <is>
          <t>G</t>
        </is>
      </c>
      <c r="L76" s="463" t="inlineStr">
        <is>
          <t>A</t>
        </is>
      </c>
      <c r="M76" s="463" t="inlineStr">
        <is>
          <t>B</t>
        </is>
      </c>
      <c r="N76" s="463" t="inlineStr">
        <is>
          <t>C</t>
        </is>
      </c>
      <c r="O76" s="463" t="inlineStr">
        <is>
          <t>D</t>
        </is>
      </c>
      <c r="P76" s="463" t="inlineStr">
        <is>
          <t>E</t>
        </is>
      </c>
      <c r="Q76" s="463" t="inlineStr">
        <is>
          <t>F</t>
        </is>
      </c>
      <c r="R76" s="463" t="inlineStr">
        <is>
          <t>G</t>
        </is>
      </c>
      <c r="AA76" s="689" t="n"/>
      <c r="AB76" s="689" t="n"/>
      <c r="AD76" s="319" t="n">
        <v>4</v>
      </c>
      <c r="AE76" s="306">
        <f>IF($AD76=AE$69,(-$AE$36+$AF$36*$AV$19/$AW$19)*$AV$28,"")</f>
        <v/>
      </c>
      <c r="AF76" s="287">
        <f>IF($AD76=AE$69,(-$AF$36-$CA$19-(-$AE$36-$BZ$19)*$BY$19/$BX$19)*$BX$28,"")</f>
        <v/>
      </c>
      <c r="AG76" s="306">
        <f>IF($AD76=AG$69,(-$AG$36+$BB$19+($AH$36-$BC$19)*$AZ$19/$BA$19)*$AZ$28,"")</f>
        <v/>
      </c>
      <c r="AH76" s="287">
        <f>IF($AD76=AG$69,($AH$36+$BE$19+(-$AG$36-$BD$19)*$BG$19/$BF$19)*$BF$28,"")</f>
        <v/>
      </c>
      <c r="AI76" s="306">
        <f>IF($AD76=AI$69,($AI$36-$BL$19-($AJ$36-$BM$19)*$BN$19/$BO$19)*$BN$28,"")</f>
        <v/>
      </c>
      <c r="AJ76" s="287">
        <f>IF($AD76=AI$69,($AJ$36-$AI$36*$BK$19/$BJ$19)*$BJ$28,"")</f>
        <v/>
      </c>
      <c r="AK76" s="306">
        <f>IF($AD76=AK$69,($AK$36-$AL$36*$BR$19/$BS$19)*$BR$28,"")</f>
        <v/>
      </c>
      <c r="AL76" s="287">
        <f>IF($AD76=AK$69,(-$AL$36+$AK$36*$BU$19/$BT$19)*$BT$28,"")</f>
        <v/>
      </c>
      <c r="AN76" s="286">
        <f>IF(ISNUMBER($AE$36),(-$AE$36+$AF$36*$AV$19/$AW$19),"")</f>
        <v/>
      </c>
      <c r="AO76" s="285">
        <f>IF(ISNUMBER($AF$36),(-$AF$36-$CA$19-(-$AE$36-$BZ$19)*$BY$19/$BX$19),"")</f>
        <v/>
      </c>
      <c r="AP76" s="286">
        <f>IF(ISNUMBER($AG$36),(-$AG$36+$BB$19+($AH$36-$BC$19)*$AZ$19/$BA$19),"")</f>
        <v/>
      </c>
      <c r="AQ76" s="285">
        <f>IF(ISNUMBER($AH$36),($AH$36+$BE$19+(-$AG$36-$BD$19)*$BG$19/$BF$19),"")</f>
        <v/>
      </c>
      <c r="AR76" s="286">
        <f>IF(ISNUMBER($AI$36),($AI$36-$BL$19-($AJ$36-$BM$19)*$BN$19/$BO$19),"")</f>
        <v/>
      </c>
      <c r="AS76" s="285">
        <f>IF(ISNUMBER($AJ$36),($AJ$36-$AI$36*$BK$19/$BJ$19),"")</f>
        <v/>
      </c>
      <c r="AT76" s="286">
        <f>IF(ISNUMBER($AK$36),($AK$36-$AL$36*$BR$19/$BS$19),"")</f>
        <v/>
      </c>
      <c r="AU76" s="285">
        <f>IF(ISNUMBER($AL$36),(-$AL$36+$AK$36*$BU$19/$BT$19),"")</f>
        <v/>
      </c>
      <c r="BZ76" s="693" t="n"/>
      <c r="CA76" s="693" t="n"/>
    </row>
    <row r="77" ht="12" customHeight="1" s="613">
      <c r="B77" s="476">
        <f>$L$38</f>
        <v/>
      </c>
      <c r="C77" s="476">
        <f>$O$7</f>
        <v/>
      </c>
      <c r="D77" s="476">
        <f>IF($P$7 = "S", 2,1)</f>
        <v/>
      </c>
      <c r="E77" s="476">
        <f>$Q$7</f>
        <v/>
      </c>
      <c r="F77" s="476">
        <f>IF($R$7 = "W", 2,1)</f>
        <v/>
      </c>
      <c r="G77" s="476">
        <f>'SHL Section'!$S$7</f>
        <v/>
      </c>
      <c r="H77" t="inlineStr">
        <is>
          <t>East-Up1</t>
        </is>
      </c>
      <c r="L77" s="476">
        <f>$L$38</f>
        <v/>
      </c>
      <c r="M77" s="476">
        <f>$O$7</f>
        <v/>
      </c>
      <c r="N77" s="476">
        <f>IF($P$7 = "S", 2,1)</f>
        <v/>
      </c>
      <c r="O77" s="476">
        <f>$Q$7</f>
        <v/>
      </c>
      <c r="P77" s="476">
        <f>IF($R$7 = "W", 2,1)</f>
        <v/>
      </c>
      <c r="Q77" s="476">
        <f>'SHL Section'!$S$7</f>
        <v/>
      </c>
      <c r="R77" s="475" t="inlineStr">
        <is>
          <t>South-Left1</t>
        </is>
      </c>
      <c r="AA77" s="689" t="n"/>
      <c r="AB77" s="689" t="n"/>
      <c r="AE77" s="284">
        <f>IF(ISNUMBER($AE$73),AE$73,IF(ISNUMBER($AE$74),AE$74,IF(ISNUMBER($AE$75),AE$75,IF(ISNUMBER($AE$76),AE$76,""))))</f>
        <v/>
      </c>
      <c r="AF77" s="283">
        <f>IF(ISNUMBER($AF$73),AF$73,IF(ISNUMBER($AF$74),AF$74,IF(ISNUMBER($AF$75),AF$75,IF(ISNUMBER($AF$76),AF$76,""))))</f>
        <v/>
      </c>
      <c r="AG77" s="284">
        <f>IF(ISNUMBER($AG$73),AG$73,IF(ISNUMBER($AG$74),AG$74,IF(ISNUMBER($AG$75),AG$75,IF(ISNUMBER($AG$76),AG$76,""))))</f>
        <v/>
      </c>
      <c r="AH77" s="283">
        <f>IF(ISNUMBER($AH$73),AH$73,IF(ISNUMBER($AH$74),AH$74,IF(ISNUMBER($AH$75),AH$75,IF(ISNUMBER($AH$76),AH$76,""))))</f>
        <v/>
      </c>
      <c r="AI77" s="284">
        <f>IF(ISNUMBER($AI$73),AI$73,IF(ISNUMBER($AI$74),AI$74,IF(ISNUMBER($AI$75),AI$75,IF(ISNUMBER($AI$76),AI$76,""))))</f>
        <v/>
      </c>
      <c r="AJ77" s="283">
        <f>IF(ISNUMBER($AJ$73),AJ$73,IF(ISNUMBER($AJ$74),AJ$74,IF(ISNUMBER($AJ$75),AJ$75,IF(ISNUMBER($AJ$76),AJ$76,""))))</f>
        <v/>
      </c>
      <c r="AK77" s="284">
        <f>IF(ISNUMBER($AK$73),AK$73,IF(ISNUMBER($AK$74),AK$74,IF(ISNUMBER($AK$75),AK$75,IF(ISNUMBER($AK$76),AK$76,""))))</f>
        <v/>
      </c>
      <c r="AL77" s="283">
        <f>IF(ISNUMBER($AL$73),AL$73,IF(ISNUMBER($AL$74),AL$74,IF(ISNUMBER($AL$75),AL$75,IF(ISNUMBER($AL$76),AL$76,""))))</f>
        <v/>
      </c>
      <c r="BZ77" s="693" t="n"/>
      <c r="CA77" s="693" t="n"/>
    </row>
    <row r="78" ht="12" customHeight="1" s="613">
      <c r="B78" s="463" t="inlineStr">
        <is>
          <t>A</t>
        </is>
      </c>
      <c r="C78" s="463" t="inlineStr">
        <is>
          <t>B</t>
        </is>
      </c>
      <c r="D78" s="463" t="inlineStr">
        <is>
          <t>C</t>
        </is>
      </c>
      <c r="E78" s="463" t="inlineStr">
        <is>
          <t>D</t>
        </is>
      </c>
      <c r="F78" s="463" t="inlineStr">
        <is>
          <t>E</t>
        </is>
      </c>
      <c r="G78" s="463" t="inlineStr">
        <is>
          <t>F</t>
        </is>
      </c>
      <c r="H78" s="463" t="inlineStr">
        <is>
          <t>G</t>
        </is>
      </c>
      <c r="L78" s="463" t="inlineStr">
        <is>
          <t>A</t>
        </is>
      </c>
      <c r="M78" s="463" t="inlineStr">
        <is>
          <t>B</t>
        </is>
      </c>
      <c r="N78" s="463" t="inlineStr">
        <is>
          <t>C</t>
        </is>
      </c>
      <c r="O78" s="463" t="inlineStr">
        <is>
          <t>D</t>
        </is>
      </c>
      <c r="P78" s="463" t="inlineStr">
        <is>
          <t>E</t>
        </is>
      </c>
      <c r="Q78" s="463" t="inlineStr">
        <is>
          <t>F</t>
        </is>
      </c>
      <c r="R78" s="463" t="inlineStr">
        <is>
          <t>G</t>
        </is>
      </c>
      <c r="AA78" s="689" t="n"/>
      <c r="AB78" s="689" t="n"/>
      <c r="AE78" s="291" t="n"/>
      <c r="AF78" s="290" t="n"/>
      <c r="AG78" s="292" t="n"/>
      <c r="AH78" s="292" t="n"/>
      <c r="AI78" s="291" t="n"/>
      <c r="AJ78" s="290" t="n"/>
      <c r="AK78" s="291" t="n"/>
      <c r="AL78" s="290" t="n"/>
      <c r="BZ78" s="693" t="n"/>
      <c r="CA78" s="693" t="n"/>
    </row>
    <row r="79" ht="12" customHeight="1" s="613">
      <c r="B79" s="476">
        <f>$L$38</f>
        <v/>
      </c>
      <c r="C79" s="476">
        <f>$O$7</f>
        <v/>
      </c>
      <c r="D79" s="476">
        <f>IF($P$7 = "S", 2,1)</f>
        <v/>
      </c>
      <c r="E79" s="476">
        <f>$Q$7</f>
        <v/>
      </c>
      <c r="F79" s="476">
        <f>IF($R$7 = "W", 2,1)</f>
        <v/>
      </c>
      <c r="G79" s="476">
        <f>'SHL Section'!$S$7</f>
        <v/>
      </c>
      <c r="H79" t="inlineStr">
        <is>
          <t>East-Down1</t>
        </is>
      </c>
      <c r="L79" s="476">
        <f>$L$38</f>
        <v/>
      </c>
      <c r="M79" s="476">
        <f>$O$7</f>
        <v/>
      </c>
      <c r="N79" s="476">
        <f>IF($P$7 = "S", 2,1)</f>
        <v/>
      </c>
      <c r="O79" s="476">
        <f>$Q$7</f>
        <v/>
      </c>
      <c r="P79" s="476">
        <f>IF($R$7 = "W", 2,1)</f>
        <v/>
      </c>
      <c r="Q79" s="476">
        <f>'SHL Section'!$S$7</f>
        <v/>
      </c>
      <c r="R79" s="475" t="inlineStr">
        <is>
          <t>South-Right1</t>
        </is>
      </c>
      <c r="AA79" s="689" t="n"/>
      <c r="AB79" s="689" t="n"/>
      <c r="AE79" s="674" t="inlineStr">
        <is>
          <t>BHL3 Qtr-Qtr Logic</t>
        </is>
      </c>
      <c r="AF79" s="675" t="n"/>
      <c r="AG79" s="676" t="inlineStr">
        <is>
          <t>BHL3 Qtr-Qtr Logic</t>
        </is>
      </c>
      <c r="AH79" s="677" t="n"/>
      <c r="AI79" s="674" t="inlineStr">
        <is>
          <t>BHL3 Qtr-Qtr Logic</t>
        </is>
      </c>
      <c r="AJ79" s="675" t="n"/>
      <c r="AK79" s="674" t="inlineStr">
        <is>
          <t>BHL3 Qtr-Qtr Logic</t>
        </is>
      </c>
      <c r="AL79" s="675" t="n"/>
      <c r="BZ79" s="693" t="n"/>
      <c r="CA79" s="693" t="n"/>
    </row>
    <row r="80" ht="12" customHeight="1" s="613">
      <c r="B80" s="463" t="inlineStr">
        <is>
          <t>A</t>
        </is>
      </c>
      <c r="C80" s="463" t="inlineStr">
        <is>
          <t>B</t>
        </is>
      </c>
      <c r="D80" s="463" t="inlineStr">
        <is>
          <t>C</t>
        </is>
      </c>
      <c r="E80" s="463" t="inlineStr">
        <is>
          <t>D</t>
        </is>
      </c>
      <c r="F80" s="463" t="inlineStr">
        <is>
          <t>E</t>
        </is>
      </c>
      <c r="G80" s="463" t="inlineStr">
        <is>
          <t>F</t>
        </is>
      </c>
      <c r="H80" s="463" t="inlineStr">
        <is>
          <t>G</t>
        </is>
      </c>
      <c r="L80" s="463" t="inlineStr">
        <is>
          <t>A</t>
        </is>
      </c>
      <c r="M80" s="463" t="inlineStr">
        <is>
          <t>B</t>
        </is>
      </c>
      <c r="N80" s="463" t="inlineStr">
        <is>
          <t>C</t>
        </is>
      </c>
      <c r="O80" s="463" t="inlineStr">
        <is>
          <t>D</t>
        </is>
      </c>
      <c r="P80" s="463" t="inlineStr">
        <is>
          <t>E</t>
        </is>
      </c>
      <c r="Q80" s="463" t="inlineStr">
        <is>
          <t>F</t>
        </is>
      </c>
      <c r="R80" s="463" t="inlineStr">
        <is>
          <t>G</t>
        </is>
      </c>
      <c r="AA80" s="689" t="n"/>
      <c r="AB80" s="689" t="n"/>
      <c r="AE80" s="671">
        <f>IF($AE$42="","",IF(AND((-$AE$42+$AF$42*$AV$19/$AW$19)&gt;0,-$AE$42&lt;$BZ$19,(-$AF$42+$AE$42*$CA$19/$BZ$19)&gt;0,-$AF$42&lt;$AW$19),1,IF(AND((-$AE$42-$AV$19+($AF$42+$AW$19)*$AX$19/$AY$19)&gt;0,-$AE$42&lt;$BZ$19,-$AF$42&gt;$AW$19,-$AF$42&lt;$AX$22),2,IF(AND(-$AE$42&lt;$BY$22,-$AE$42&gt;$BZ$19,-$AF$42&gt;$AW$19,-$AF$42&lt;$AX$22),3,IF(AND(-$AE$42&lt;$BY$22,-$AE$42&gt;$BZ$19,(-$AF$42-$CA$19-(-$AE$42-$BZ$19)*$BY$19/$BX$19)&gt;0,-$AF$42&lt;$AW$19),4,"")))))</f>
        <v/>
      </c>
      <c r="AF80" s="617" t="n"/>
      <c r="AG80" s="671">
        <f>IF($AG$42="","",IF(AND((-$AG$42+$BB$19+($AH$42-$BC$19)*$AZ$19/$BA$19)&gt;0,-$AG$42&lt;$BD$19,$AH$42&gt;$BC$19,$AH$42&lt;$BB$22),1,IF(AND((-$AG$42+$AH$42*$BB$19/$BC$19)&gt;0,-$AG$42&lt;$BD$19,($AH$42-$AG$42*$BE$19/$BD$19)&gt;0,$AH$42&lt;$BC$19),2,IF(AND(-$AG$42&gt;$BD$19,-$AG$42&lt;$BE$22,($AH$42+$BE$19+(-$AG$42-$BD$19)*$BG$19/$BF$19)&gt;0,$AH$42&lt;$BC$19),3,IF(AND(-$AG$42&gt;$BD$19,-$AG$42&lt;$BE$22,$AH$42&gt;$BC$19,$AH$42&lt;$BB$22),4,"")))))</f>
        <v/>
      </c>
      <c r="AH80" s="617" t="n"/>
      <c r="AI80" s="671">
        <f>IF($AI$42="","",IF(AND($AI$42&gt;$BJ$19,$AI$42&lt;$BI$22,$AJ$42&gt;$BM$19,$AJ$42&lt;$BN$22),1,IF(AND($AI$42&gt;$BJ$19,$AI$42&lt;$BI$22,($AJ$42-$BK$19-($AI$42-$BJ$19)*$BI$19/$BH$19)&gt;0,$AJ$42&lt;$BM$19),2,IF(AND(($AI$42-$AJ$42*$BL$19/$BM$19)&gt;0,$AI$42&lt;$BJ$19,($AJ$42-$AI$42*$BK$19/$BJ$19)&gt;0,$AJ$42&lt;$BM$19),3,IF(AND(($AI$42-$BL$19-($AJ$42-$BM$19)*$BN$19/$BO$19)&gt;0,$AI$42&lt;$BJ$19,$AJ$42&gt;$BM$19,$AJ$42&lt;$BN$22),4,"")))))</f>
        <v/>
      </c>
      <c r="AJ80" s="617" t="n"/>
      <c r="AK80" s="671">
        <f>IF($AK$42="","",IF(AND($AK$42&gt;$BT$19,$AK$42&lt;$BU$22,(-$AL$42+$BU$19+($AK$42-$BT$19)*$BW$19/$BV$19)&gt;0,-$AL$42&lt;$BS$19),1,IF(AND($AK$42&gt;$BT$19,$AK$42&lt;$BU$22,-$AL$42&gt;$BS$19,-$AL$42&lt;$BR$22),2,IF(AND(($AK$42+$BR$19+(-$AL$42-$BS$19)*$BP$19/$BQ$19)&gt;0,$AK$42&lt;$BT$19,-$AL$42&gt;$BS$19,-$AL$42&lt;$BR$22),3,IF(AND(($AK$42-$AL$42*$BR$19/$BS$19)&gt;0,$AK$42&lt;$BT$19,(-$AL$42+$AK$42*$BU$19/$BT$19)&gt;0,-$AL$42&lt;$BS$19),4,"")))))</f>
        <v/>
      </c>
      <c r="AL80" s="617" t="n"/>
      <c r="BZ80" s="693" t="n"/>
      <c r="CA80" s="693" t="n"/>
    </row>
    <row r="81" ht="12" customHeight="1" s="613">
      <c r="B81" s="476">
        <f>$L$38</f>
        <v/>
      </c>
      <c r="C81" s="476">
        <f>$O$7</f>
        <v/>
      </c>
      <c r="D81" s="476">
        <f>IF($P$7 = "S", 2,1)</f>
        <v/>
      </c>
      <c r="E81" s="476">
        <f>$Q$7</f>
        <v/>
      </c>
      <c r="F81" s="476">
        <f>IF($R$7 = "W", 2,1)</f>
        <v/>
      </c>
      <c r="G81" s="476">
        <f>'SHL Section'!$S$7</f>
        <v/>
      </c>
      <c r="H81" t="inlineStr">
        <is>
          <t>East-Down2</t>
        </is>
      </c>
      <c r="L81" s="476">
        <f>$L$38</f>
        <v/>
      </c>
      <c r="M81" s="476">
        <f>$O$7</f>
        <v/>
      </c>
      <c r="N81" s="476">
        <f>IF($P$7 = "S", 2,1)</f>
        <v/>
      </c>
      <c r="O81" s="476">
        <f>$Q$7</f>
        <v/>
      </c>
      <c r="P81" s="476">
        <f>IF($R$7 = "W", 2,1)</f>
        <v/>
      </c>
      <c r="Q81" s="476">
        <f>'SHL Section'!$S$7</f>
        <v/>
      </c>
      <c r="R81" s="475" t="inlineStr">
        <is>
          <t>South-Right2</t>
        </is>
      </c>
      <c r="AA81" s="689" t="n"/>
      <c r="AB81" s="689" t="n"/>
      <c r="AE81" s="291" t="n"/>
      <c r="AF81" s="290" t="n"/>
      <c r="AG81" s="292" t="n"/>
      <c r="AH81" s="292" t="n"/>
      <c r="AI81" s="291" t="n"/>
      <c r="AJ81" s="290" t="n"/>
      <c r="AK81" s="291" t="n"/>
      <c r="AL81" s="290" t="n"/>
      <c r="BZ81" s="693" t="n"/>
      <c r="CA81" s="693" t="n"/>
    </row>
    <row r="82" ht="12" customHeight="1" s="613">
      <c r="B82" s="476" t="n"/>
      <c r="C82" s="476" t="n"/>
      <c r="D82" s="476" t="n"/>
      <c r="E82" s="476" t="n"/>
      <c r="F82" s="476" t="n"/>
      <c r="G82" s="476" t="n"/>
      <c r="L82" s="476" t="n"/>
      <c r="M82" s="476" t="n"/>
      <c r="N82" s="476" t="n"/>
      <c r="O82" s="476" t="n"/>
      <c r="P82" s="476" t="n"/>
      <c r="Q82" s="476" t="n"/>
      <c r="R82" s="475" t="n"/>
      <c r="AA82" s="689" t="n"/>
      <c r="AB82" s="689" t="n"/>
      <c r="AE82" s="674" t="inlineStr">
        <is>
          <t>BHL3 NE Line Calc</t>
        </is>
      </c>
      <c r="AF82" s="675" t="n"/>
      <c r="AG82" s="674" t="inlineStr">
        <is>
          <t>BHL3 NW Line Calc</t>
        </is>
      </c>
      <c r="AH82" s="675" t="n"/>
      <c r="AI82" s="674" t="inlineStr">
        <is>
          <t>BHL3 SW Line Calc</t>
        </is>
      </c>
      <c r="AJ82" s="675" t="n"/>
      <c r="AK82" s="674" t="inlineStr">
        <is>
          <t>BHL3 SE Line Calc</t>
        </is>
      </c>
      <c r="AL82" s="675" t="n"/>
      <c r="BZ82" s="693" t="n"/>
      <c r="CA82" s="693" t="n"/>
    </row>
    <row r="83" ht="12" customHeight="1" s="613">
      <c r="AA83" s="689" t="n"/>
      <c r="AB83" s="689" t="n"/>
      <c r="AD83" s="470" t="inlineStr">
        <is>
          <t>Qtr-Qtr</t>
        </is>
      </c>
      <c r="AE83" s="671" t="inlineStr">
        <is>
          <t>FNL</t>
        </is>
      </c>
      <c r="AF83" s="671" t="inlineStr">
        <is>
          <t>FEL</t>
        </is>
      </c>
      <c r="AG83" s="468" t="inlineStr">
        <is>
          <t>FNL</t>
        </is>
      </c>
      <c r="AH83" s="467" t="inlineStr">
        <is>
          <t>FWL</t>
        </is>
      </c>
      <c r="AI83" s="671" t="inlineStr">
        <is>
          <t>FSL</t>
        </is>
      </c>
      <c r="AJ83" s="671" t="inlineStr">
        <is>
          <t>FWL</t>
        </is>
      </c>
      <c r="AK83" s="671" t="inlineStr">
        <is>
          <t>FSL</t>
        </is>
      </c>
      <c r="AL83" s="671" t="inlineStr">
        <is>
          <t>FEL</t>
        </is>
      </c>
      <c r="AN83" s="693" t="inlineStr">
        <is>
          <t>Calc w/o perpendicular correction</t>
        </is>
      </c>
      <c r="BZ83" s="693" t="n"/>
      <c r="CA83" s="693" t="n"/>
    </row>
    <row r="84" ht="12" customHeight="1" s="613">
      <c r="AA84" s="689" t="n"/>
      <c r="AB84" s="689" t="n"/>
      <c r="AD84" s="319" t="n">
        <v>1</v>
      </c>
      <c r="AE84" s="306">
        <f>IF($AD84=AE$80,(-$AE$42+$AF$42*$AV$19/$AW$19)*$AV$28,"")</f>
        <v/>
      </c>
      <c r="AF84" s="287">
        <f>IF($AD84=AE$80,(-$AF$42+$AE$42*$CA$19/$BZ$19)*$BZ$28,"")</f>
        <v/>
      </c>
      <c r="AG84" s="306">
        <f>IF($AD84=AG$80,(-$AG$42+$BB$19+($AH$42-$BC$19)*$AZ$19/$BA$19)*$AZ$28,"")</f>
        <v/>
      </c>
      <c r="AH84" s="287">
        <f>IF($AD84=AG$80,($AH$42-$AG$42*$BE$19/$BD$19)*$BD$28,"")</f>
        <v/>
      </c>
      <c r="AI84" s="306">
        <f>IF($AD84=AI$80,($AI$42-$BL$19-($AJ$42-$BM$19)*$BN$19/$BO$19)*$BN$28,"")</f>
        <v/>
      </c>
      <c r="AJ84" s="287">
        <f>IF($AD84=AI$80,($AJ$42-$BK$19-($AI$42-$BJ$19)*$BI$19/$BH$19)*$BH$28,"")</f>
        <v/>
      </c>
      <c r="AK84" s="306">
        <f>IF($AD84=AK$80,($AK$42-$AL$42*$BR$19/$BS$19)*$BR$28,"")</f>
        <v/>
      </c>
      <c r="AL84" s="287">
        <f>IF($AD84=AK$80,(-$AL$42+$BU$19+($AK$42-$BT$19)*$BW$19/$BV$19)*$BV$28,"")</f>
        <v/>
      </c>
      <c r="AN84" s="289">
        <f>IF(ISNUMBER($AE$42),(-$AE$42+$AF$42*$AV$19/$AW$19),"")</f>
        <v/>
      </c>
      <c r="AO84" s="288">
        <f>IF(ISNUMBER($AF$42),(-$AF$42+$AE$42*$CA$19/$BZ$19),"")</f>
        <v/>
      </c>
      <c r="AP84" s="289">
        <f>IF(ISNUMBER($AG$42),(-$AG$42+$BB$19+($AH$42-$BC$19)*$AZ$19/$BA$19),"")</f>
        <v/>
      </c>
      <c r="AQ84" s="288">
        <f>IF(ISNUMBER($AH$42),($AH$42-$AG$42*$BE$19/$BD$19),"")</f>
        <v/>
      </c>
      <c r="AR84" s="289">
        <f>IF(ISNUMBER($AI$42),($AI$42-$BL$19-($AJ$42-$BM$19)*$BN$19/$BO$19),"")</f>
        <v/>
      </c>
      <c r="AS84" s="288">
        <f>IF(ISNUMBER($AJ$42),($AJ$42-$BK$19-($AI$42-$BJ$19)*$BI$19/$BH$19),"")</f>
        <v/>
      </c>
      <c r="AT84" s="289">
        <f>IF(ISNUMBER($AK$42),($AK$42-$AL$42*$BR$19/$BS$19),"")</f>
        <v/>
      </c>
      <c r="AU84" s="288">
        <f>IF(ISNUMBER($AL$42),(-$AL$42+$BU$19+($AK$42-$BT$19)*$BW$19/$BV$19),"")</f>
        <v/>
      </c>
      <c r="BZ84" s="693" t="n"/>
      <c r="CA84" s="693" t="n"/>
    </row>
    <row r="85" ht="12" customHeight="1" s="613">
      <c r="AA85" s="689" t="n"/>
      <c r="AB85" s="689" t="n"/>
      <c r="AD85" s="319" t="n">
        <v>2</v>
      </c>
      <c r="AE85" s="306">
        <f>IF($AD85=AE$80,(-$AE$42-$AV$19+($AF$42+$AW$19)*$AX$19/$AY$19)*$AX$28,"")</f>
        <v/>
      </c>
      <c r="AF85" s="287">
        <f>IF($AD85=AE$80,(-$AF$42+$AE$42*$CA$19/$BZ$19)*$BZ$28,"")</f>
        <v/>
      </c>
      <c r="AG85" s="306">
        <f>IF($AD85=AG$80,(-$AG$42+$AH$42*$BB$19/$BC$19)*$BB$28,"")</f>
        <v/>
      </c>
      <c r="AH85" s="287">
        <f>IF($AD85=AG$80,($AH$42-$AG$42*$BE$19/$BD$19)*$BD$28,"")</f>
        <v/>
      </c>
      <c r="AI85" s="306">
        <f>IF($AD85=AI$80,($AI$42-$AJ$42*$BL$19/$BM$19)*$BL$28,"")</f>
        <v/>
      </c>
      <c r="AJ85" s="287">
        <f>IF($AD85=AI$80,($AJ$42-$BK$19-($AI$42-$BJ$19)*$BI$19/$BH$19)*$BH$28,"")</f>
        <v/>
      </c>
      <c r="AK85" s="306">
        <f>IF($AD85=AK$80,($AK$42+$BR$19+(-$AL$42-$BS$19)*$BP$19/$BQ$19)*$BP$28,"")</f>
        <v/>
      </c>
      <c r="AL85" s="287">
        <f>IF($AD85=AK$80,(-$AL$42+$BU$19+($AK$42-$BT$19)*$BW$19/$BV$19)*$BV$28,"")</f>
        <v/>
      </c>
      <c r="AN85" s="306">
        <f>IF(ISNUMBER($AE$42),(-$AE$42-$AV$19+($AF$42+$AW$19)*$AX$19/$AY$19),"")</f>
        <v/>
      </c>
      <c r="AO85" s="287">
        <f>IF(ISNUMBER($AF$42),(-$AF$42+$AE$42*$CA$19/$BZ$19),"")</f>
        <v/>
      </c>
      <c r="AP85" s="306">
        <f>IF(ISNUMBER($AG$42),(-$AG$42+$AH$42*$BB$19/$BC$19),"")</f>
        <v/>
      </c>
      <c r="AQ85" s="287">
        <f>IF(ISNUMBER($AH$42),($AH$42-$AG$42*$BE$19/$BD$19),"")</f>
        <v/>
      </c>
      <c r="AR85" s="306">
        <f>IF(ISNUMBER($AI$42),($AI$42-$AJ$42*$BL$19/$BM$19),"")</f>
        <v/>
      </c>
      <c r="AS85" s="287">
        <f>IF(ISNUMBER($AJ$42),($AJ$42-$BK$19-($AI$42-$BJ$19)*$BI$19/$BH$19),"")</f>
        <v/>
      </c>
      <c r="AT85" s="306">
        <f>IF(ISNUMBER($AK$42),($AK$42+$BR$19+(-$AL$42-$BS$19)*$BP$19/$BQ$19),"")</f>
        <v/>
      </c>
      <c r="AU85" s="287">
        <f>IF(ISNUMBER($AL$42),(-$AL$42+$BU$19+($AK$42-$BT$19)*$BW$19/$BV$19),"")</f>
        <v/>
      </c>
      <c r="BZ85" s="693" t="n"/>
      <c r="CA85" s="693" t="n"/>
    </row>
    <row r="86" ht="12" customHeight="1" s="613">
      <c r="AA86" s="689" t="n"/>
      <c r="AB86" s="689" t="n"/>
      <c r="AD86" s="319" t="n">
        <v>3</v>
      </c>
      <c r="AE86" s="306">
        <f>IF($AD86=AE$80,(-$AE$42-$AV$19+($AF$42+$AW$19)*$AX$19/$AY$19)*$AX$28,"")</f>
        <v/>
      </c>
      <c r="AF86" s="287">
        <f>IF($AD86=AE$80,(-$AF$42-$CA$19-(-$AE$42-$BZ$19)*$BY$19/$BX$19)*$BX$28,"")</f>
        <v/>
      </c>
      <c r="AG86" s="306">
        <f>IF($AD86=AG$80,(-$AG$42+$AH$42*$BB$19/$BC$19)*$BB$28,"")</f>
        <v/>
      </c>
      <c r="AH86" s="287">
        <f>IF($AD86=AG$80,($AH$42+$BE$19+(-$AG$42-$BD$19)*$BG$19/$BF$19)*$BF$28,"")</f>
        <v/>
      </c>
      <c r="AI86" s="306">
        <f>IF($AD86=AI$80,($AI$42-$AJ$42*$BL$19/$BM$19)*$BL$28,"")</f>
        <v/>
      </c>
      <c r="AJ86" s="287">
        <f>IF($AD86=AI$80,($AJ$42-$AI$42*$BK$19/$BJ$19)*$BJ$28,"")</f>
        <v/>
      </c>
      <c r="AK86" s="306">
        <f>IF($AD86=AK$80,($AK$42+$BR$19+(-$AL$42-$BS$19)*$BP$19/$BQ$19)*$BP$28,"")</f>
        <v/>
      </c>
      <c r="AL86" s="287">
        <f>IF($AD86=AK$80,(-$AL$42+$AK$42*$BU$19/$BT$19)*$BT$28,"")</f>
        <v/>
      </c>
      <c r="AN86" s="306">
        <f>IF(ISNUMBER($AE$42),(-$AE$42-$AV$19+($AF$42+$AW$19)*$AX$19/$AY$19),"")</f>
        <v/>
      </c>
      <c r="AO86" s="287">
        <f>IF(ISNUMBER($AF$42),(-$AF$42-$CA$19-(-$AE$42-$BZ$19)*$BY$19/$BX$19),"")</f>
        <v/>
      </c>
      <c r="AP86" s="306">
        <f>IF(ISNUMBER($AG$42),(-$AG$42+$AH$42*$BB$19/$BC$19),"")</f>
        <v/>
      </c>
      <c r="AQ86" s="287">
        <f>IF(ISNUMBER($AH$42),($AH$42+$BE$19+(-$AG$42-$BD$19)*$BG$19/$BF$19),"")</f>
        <v/>
      </c>
      <c r="AR86" s="306">
        <f>IF(ISNUMBER($AI$42),($AI$42-$AJ$42*$BL$19/$BM$19),"")</f>
        <v/>
      </c>
      <c r="AS86" s="287">
        <f>IF(ISNUMBER($AJ$42),($AJ$42-$AI$42*$BK$19/$BJ$19),"")</f>
        <v/>
      </c>
      <c r="AT86" s="306">
        <f>IF(ISNUMBER($AK$42),($AK$42+$BR$19+(-$AL$42-$BS$19)*$BP$19/$BQ$19),"")</f>
        <v/>
      </c>
      <c r="AU86" s="287">
        <f>IF(ISNUMBER($AL$42),(-$AL$42+$AK$42*$BU$19/$BT$19),"")</f>
        <v/>
      </c>
      <c r="BZ86" s="693" t="n"/>
      <c r="CA86" s="693" t="n"/>
    </row>
    <row r="87" ht="12" customHeight="1" s="613">
      <c r="B87" s="463" t="n"/>
      <c r="C87" s="463" t="n"/>
      <c r="D87" s="463" t="n"/>
      <c r="E87" s="463" t="n"/>
      <c r="F87" s="463" t="n"/>
      <c r="G87" s="463" t="n"/>
      <c r="H87" s="463" t="n"/>
      <c r="L87" s="463" t="n"/>
      <c r="M87" s="463" t="n"/>
      <c r="N87" s="463" t="n"/>
      <c r="O87" s="463" t="n"/>
      <c r="P87" s="463" t="n"/>
      <c r="Q87" s="463" t="n"/>
      <c r="R87" s="463" t="n"/>
      <c r="AA87" s="689" t="n"/>
      <c r="AB87" s="689" t="n"/>
      <c r="AD87" s="319" t="n">
        <v>4</v>
      </c>
      <c r="AE87" s="286">
        <f>IF($AD87=AE$80,(-$AE$42+$AF$42*$AV$19/$AW$19)*$AV$28,"")</f>
        <v/>
      </c>
      <c r="AF87" s="285">
        <f>IF($AD87=AE$80,(-$AF$42-$CA$19-(-$AE$42-$BZ$19)*$BY$19/$BX$19)*$BX$28,"")</f>
        <v/>
      </c>
      <c r="AG87" s="286">
        <f>IF($AD87=AG$80,(-$AG$42+$BB$19+($AH$42-$BC$19)*$AZ$19/$BA$19)*$AZ$28,"")</f>
        <v/>
      </c>
      <c r="AH87" s="285">
        <f>IF($AD87=AG$80,($AH$42+$BE$19+(-$AG$42-$BD$19)*$BG$19/$BF$19)*$BF$28,"")</f>
        <v/>
      </c>
      <c r="AI87" s="286">
        <f>IF($AD87=AI$80,($AI$42-$BL$19-($AJ$42-$BM$19)*$BN$19/$BO$19)*$BN$28,"")</f>
        <v/>
      </c>
      <c r="AJ87" s="285">
        <f>IF($AD87=AI$80,($AJ$42-$AI$42*$BK$19/$BJ$19)*$BJ$28,"")</f>
        <v/>
      </c>
      <c r="AK87" s="286">
        <f>IF($AD87=AK$80,($AK$42-$AL$42*$BR$19/$BS$19)*$BR$28,"")</f>
        <v/>
      </c>
      <c r="AL87" s="285">
        <f>IF($AD87=AK$80,(-$AL$42+$AK$42*$BU$19/$BT$19)*$BT$28,"")</f>
        <v/>
      </c>
      <c r="AN87" s="286">
        <f>IF(ISNUMBER($AE$42),(-$AE$42+$AF$42*$AV$19/$AW$19),"")</f>
        <v/>
      </c>
      <c r="AO87" s="285">
        <f>IF(ISNUMBER($AF$42),(-$AF$42-$CA$19-(-$AE$42-$BZ$19)*$BY$19/$BX$19),"")</f>
        <v/>
      </c>
      <c r="AP87" s="286">
        <f>IF(ISNUMBER($AG$42),(-$AG$42+$BB$19+($AH$42-$BC$19)*$AZ$19/$BA$19),"")</f>
        <v/>
      </c>
      <c r="AQ87" s="285">
        <f>IF(ISNUMBER($AH$42),($AH$42+$BE$19+(-$AG$42-$BD$19)*$BG$19/$BF$19),"")</f>
        <v/>
      </c>
      <c r="AR87" s="286">
        <f>IF(ISNUMBER($AI$42),($AI$42-$BL$19-($AJ$42-$BM$19)*$BN$19/$BO$19),"")</f>
        <v/>
      </c>
      <c r="AS87" s="285">
        <f>IF(ISNUMBER($AJ$42),($AJ$42-$AI$42*$BK$19/$BJ$19),"")</f>
        <v/>
      </c>
      <c r="AT87" s="286">
        <f>IF(ISNUMBER($AK$42),($AK$42-$AL$42*$BR$19/$BS$19),"")</f>
        <v/>
      </c>
      <c r="AU87" s="285">
        <f>IF(ISNUMBER($AL$42),(-$AL$42+$AK$42*$BU$19/$BT$19),"")</f>
        <v/>
      </c>
      <c r="BZ87" s="693" t="n"/>
      <c r="CA87" s="693" t="n"/>
    </row>
    <row r="88" ht="12" customHeight="1" s="613">
      <c r="B88" s="476" t="n"/>
      <c r="C88" s="476" t="n"/>
      <c r="D88" s="476" t="n"/>
      <c r="E88" s="476" t="n"/>
      <c r="F88" s="476" t="n"/>
      <c r="G88" s="476" t="n"/>
      <c r="H88" s="475" t="n"/>
      <c r="L88" s="476" t="n"/>
      <c r="M88" s="476" t="n"/>
      <c r="N88" s="476" t="n"/>
      <c r="O88" s="476" t="n"/>
      <c r="P88" s="476" t="n"/>
      <c r="Q88" s="476" t="n"/>
      <c r="R88" s="475" t="n"/>
      <c r="AA88" s="689" t="n"/>
      <c r="AB88" s="689" t="n"/>
      <c r="AE88" s="284">
        <f>IF(ISNUMBER($AE$84),AE$84,IF(ISNUMBER($AE$85),AE$85,IF(ISNUMBER($AE$86),AE$86,IF(ISNUMBER($AE$87),AE$87,""))))</f>
        <v/>
      </c>
      <c r="AF88" s="283">
        <f>IF(ISNUMBER($AF$84),AF$84,IF(ISNUMBER($AF$85),AF$85,IF(ISNUMBER($AF$86),AF$86,IF(ISNUMBER($AF$87),AF$87,""))))</f>
        <v/>
      </c>
      <c r="AG88" s="284">
        <f>IF(ISNUMBER($AG$84),AG$84,IF(ISNUMBER($AG$85),AG$85,IF(ISNUMBER($AG$86),AG$86,IF(ISNUMBER($AG$87),AG$87,""))))</f>
        <v/>
      </c>
      <c r="AH88" s="283">
        <f>IF(ISNUMBER($AH$84),AH$84,IF(ISNUMBER($AH$85),AH$85,IF(ISNUMBER($AH$86),AH$86,IF(ISNUMBER($AH$87),AH$87,""))))</f>
        <v/>
      </c>
      <c r="AI88" s="284">
        <f>IF(ISNUMBER($AI$84),AI$84,IF(ISNUMBER($AI$85),AI$85,IF(ISNUMBER($AI$86),AI$86,IF(ISNUMBER($AI$87),AI$87,""))))</f>
        <v/>
      </c>
      <c r="AJ88" s="283">
        <f>IF(ISNUMBER($AJ$84),AJ$84,IF(ISNUMBER($AJ$85),AJ$85,IF(ISNUMBER($AJ$86),AJ$86,IF(ISNUMBER($AJ$87),AJ$87,""))))</f>
        <v/>
      </c>
      <c r="AK88" s="284">
        <f>IF(ISNUMBER($AK$84),AK$84,IF(ISNUMBER($AK$85),AK$85,IF(ISNUMBER($AK$86),AK$86,IF(ISNUMBER($AK$87),AK$87,""))))</f>
        <v/>
      </c>
      <c r="AL88" s="283">
        <f>IF(ISNUMBER($AL$84),AL$84,IF(ISNUMBER($AL$85),AL$85,IF(ISNUMBER($AL$86),AL$86,IF(ISNUMBER($AL$87),AL$87,""))))</f>
        <v/>
      </c>
      <c r="BZ88" s="693" t="n"/>
      <c r="CA88" s="693" t="n"/>
    </row>
    <row r="89" ht="12" customHeight="1" s="613">
      <c r="AA89" s="689" t="n"/>
      <c r="AB89" s="689" t="n"/>
      <c r="BZ89" s="693" t="n"/>
      <c r="CA89" s="693" t="n"/>
    </row>
    <row r="90" ht="12" customHeight="1" s="613">
      <c r="AA90" s="689" t="n"/>
      <c r="AB90" s="689" t="n"/>
      <c r="BZ90" s="693" t="n"/>
      <c r="CA90" s="693" t="n"/>
    </row>
    <row r="91" ht="12" customHeight="1" s="613">
      <c r="AA91" s="689" t="n"/>
      <c r="AB91" s="689" t="n"/>
      <c r="BZ91" s="693" t="n"/>
      <c r="CA91" s="693" t="n"/>
    </row>
    <row r="92" ht="12" customHeight="1" s="613">
      <c r="B92" s="463" t="n"/>
      <c r="C92" s="463" t="n"/>
      <c r="D92" s="463" t="n"/>
      <c r="E92" s="463" t="n"/>
      <c r="F92" s="463" t="n"/>
      <c r="G92" s="463" t="n"/>
      <c r="H92" s="463" t="n"/>
      <c r="L92" s="463" t="n"/>
      <c r="M92" s="463" t="n"/>
      <c r="N92" s="463" t="n"/>
      <c r="O92" s="463" t="n"/>
      <c r="P92" s="463" t="n"/>
      <c r="Q92" s="463" t="n"/>
      <c r="R92" s="463" t="n"/>
      <c r="AA92" s="689" t="n"/>
      <c r="AB92" s="689" t="n"/>
      <c r="BZ92" s="693" t="n"/>
      <c r="CA92" s="693" t="n"/>
    </row>
    <row r="93">
      <c r="B93" s="476" t="n"/>
      <c r="C93" s="476" t="n"/>
      <c r="D93" s="476" t="n"/>
      <c r="E93" s="476" t="n"/>
      <c r="F93" s="476" t="n"/>
      <c r="G93" s="476" t="n"/>
      <c r="L93" s="476" t="n"/>
      <c r="M93" s="476" t="n"/>
      <c r="N93" s="476" t="n"/>
      <c r="O93" s="476" t="n"/>
      <c r="P93" s="476" t="n"/>
      <c r="Q93" s="476" t="n"/>
      <c r="R93" s="475" t="n"/>
      <c r="AA93" s="689" t="n"/>
      <c r="AB93" s="689" t="n"/>
      <c r="BZ93" s="693" t="n"/>
      <c r="CA93" s="693" t="n"/>
    </row>
    <row r="94">
      <c r="AA94" s="689" t="n"/>
      <c r="AB94" s="689" t="n"/>
      <c r="BZ94" s="693" t="n"/>
      <c r="CA94" s="693" t="n"/>
    </row>
    <row r="95">
      <c r="AA95" s="689" t="n"/>
      <c r="AB95" s="689" t="n"/>
      <c r="BZ95" s="693" t="n"/>
      <c r="CA95" s="693" t="n"/>
    </row>
    <row r="96">
      <c r="AA96" s="689" t="n"/>
      <c r="AB96" s="689" t="n"/>
      <c r="BZ96" s="693" t="n"/>
      <c r="CA96" s="693" t="n"/>
    </row>
    <row r="97">
      <c r="B97" s="463" t="n"/>
      <c r="C97" s="463" t="n"/>
      <c r="D97" s="463" t="n"/>
      <c r="E97" s="463" t="n"/>
      <c r="F97" s="463" t="n"/>
      <c r="G97" s="463" t="n"/>
      <c r="H97" s="463" t="n"/>
      <c r="L97" s="463" t="n"/>
      <c r="M97" s="463" t="n"/>
      <c r="N97" s="463" t="n"/>
      <c r="O97" s="463" t="n"/>
      <c r="P97" s="463" t="n"/>
      <c r="Q97" s="463" t="n"/>
      <c r="R97" s="463" t="n"/>
      <c r="AA97" s="689" t="n"/>
      <c r="AB97" s="689" t="n"/>
      <c r="BZ97" s="693" t="n"/>
      <c r="CA97" s="693" t="n"/>
    </row>
    <row r="98">
      <c r="B98" s="476" t="n"/>
      <c r="C98" s="476" t="n"/>
      <c r="D98" s="476" t="n"/>
      <c r="E98" s="476" t="n"/>
      <c r="F98" s="476" t="n"/>
      <c r="G98" s="476" t="n"/>
      <c r="L98" s="476" t="n"/>
      <c r="M98" s="476" t="n"/>
      <c r="N98" s="476" t="n"/>
      <c r="O98" s="476" t="n"/>
      <c r="P98" s="476" t="n"/>
      <c r="Q98" s="476" t="n"/>
      <c r="R98" s="475" t="n"/>
      <c r="AA98" s="689" t="n"/>
      <c r="AB98" s="689" t="n"/>
      <c r="BZ98" s="693" t="n"/>
      <c r="CA98" s="693" t="n"/>
    </row>
    <row r="99">
      <c r="AA99" s="689" t="n"/>
      <c r="AB99" s="689" t="n"/>
      <c r="BZ99" s="693" t="n"/>
      <c r="CA99" s="693" t="n"/>
    </row>
    <row r="100">
      <c r="AA100" s="689" t="n"/>
      <c r="AB100" s="689" t="n"/>
      <c r="BZ100" s="693" t="n"/>
      <c r="CA100" s="693" t="n"/>
    </row>
    <row r="101">
      <c r="AA101" s="689" t="n"/>
      <c r="AB101" s="689" t="n"/>
      <c r="BZ101" s="693" t="n"/>
      <c r="CA101" s="693" t="n"/>
    </row>
    <row r="102">
      <c r="B102" s="463" t="n"/>
      <c r="C102" s="463" t="n"/>
      <c r="D102" s="463" t="n"/>
      <c r="E102" s="463" t="n"/>
      <c r="F102" s="463" t="n"/>
      <c r="G102" s="463" t="n"/>
      <c r="H102" s="463" t="n"/>
      <c r="L102" s="463" t="n"/>
      <c r="M102" s="463" t="n"/>
      <c r="N102" s="463" t="n"/>
      <c r="O102" s="463" t="n"/>
      <c r="P102" s="463" t="n"/>
      <c r="Q102" s="463" t="n"/>
      <c r="R102" s="463" t="n"/>
      <c r="AA102" s="689" t="n"/>
      <c r="AB102" s="689" t="n"/>
      <c r="BZ102" s="693" t="n"/>
      <c r="CA102" s="693" t="n"/>
    </row>
    <row r="103">
      <c r="B103" s="476" t="n"/>
      <c r="C103" s="476" t="n"/>
      <c r="D103" s="476" t="n"/>
      <c r="E103" s="476" t="n"/>
      <c r="F103" s="476" t="n"/>
      <c r="G103" s="476" t="n"/>
      <c r="L103" s="476" t="n"/>
      <c r="M103" s="476" t="n"/>
      <c r="N103" s="476" t="n"/>
      <c r="O103" s="476" t="n"/>
      <c r="P103" s="476" t="n"/>
      <c r="Q103" s="476" t="n"/>
      <c r="R103" s="475" t="n"/>
      <c r="AA103" s="689" t="n"/>
      <c r="AB103" s="689" t="n"/>
      <c r="BZ103" s="693" t="n"/>
      <c r="CA103" s="693" t="n"/>
    </row>
    <row r="104">
      <c r="AA104" s="689" t="n"/>
      <c r="AB104" s="689" t="n"/>
      <c r="BZ104" s="693" t="n"/>
      <c r="CA104" s="693" t="n"/>
    </row>
    <row r="105">
      <c r="AA105" s="689" t="n"/>
      <c r="AB105" s="689" t="n"/>
      <c r="BZ105" s="693" t="n"/>
      <c r="CA105" s="693" t="n"/>
    </row>
    <row r="106">
      <c r="AA106" s="689" t="n"/>
      <c r="AB106" s="689" t="n"/>
      <c r="BZ106" s="693" t="n"/>
      <c r="CA106" s="693" t="n"/>
    </row>
    <row r="107">
      <c r="AA107" s="689" t="n"/>
      <c r="AB107" s="689" t="n"/>
      <c r="BZ107" s="693" t="n"/>
      <c r="CA107" s="693" t="n"/>
    </row>
    <row r="108">
      <c r="AA108" s="689" t="n"/>
      <c r="AB108" s="689" t="n"/>
      <c r="BZ108" s="693" t="n"/>
      <c r="CA108" s="693" t="n"/>
    </row>
    <row r="109">
      <c r="AA109" s="689" t="n"/>
      <c r="AB109" s="689" t="n"/>
      <c r="BZ109" s="693" t="n"/>
      <c r="CA109" s="693" t="n"/>
    </row>
    <row r="110">
      <c r="AA110" s="689" t="n"/>
      <c r="AB110" s="689" t="n"/>
      <c r="BZ110" s="693" t="n"/>
      <c r="CA110" s="693" t="n"/>
    </row>
    <row r="111">
      <c r="AA111" s="689" t="n"/>
      <c r="AB111" s="689" t="n"/>
      <c r="BZ111" s="693" t="n"/>
      <c r="CA111" s="693" t="n"/>
    </row>
    <row r="112">
      <c r="AA112" s="689" t="n"/>
      <c r="AB112" s="689" t="n"/>
      <c r="BZ112" s="693" t="n"/>
      <c r="CA112" s="693" t="n"/>
    </row>
    <row r="113">
      <c r="AA113" s="689" t="n"/>
      <c r="AB113" s="689" t="n"/>
      <c r="BZ113" s="693" t="n"/>
      <c r="CA113" s="693" t="n"/>
    </row>
    <row r="114">
      <c r="AA114" s="689" t="n"/>
      <c r="AB114" s="689" t="n"/>
      <c r="BZ114" s="693" t="n"/>
      <c r="CA114" s="693" t="n"/>
    </row>
    <row r="115">
      <c r="AA115" s="689" t="n"/>
      <c r="AB115" s="689" t="n"/>
      <c r="BZ115" s="693" t="n"/>
      <c r="CA115" s="693" t="n"/>
    </row>
    <row r="116">
      <c r="AA116" s="689" t="n"/>
      <c r="AB116" s="689" t="n"/>
      <c r="BZ116" s="693" t="n"/>
      <c r="CA116" s="693" t="n"/>
    </row>
    <row r="117">
      <c r="AA117" s="689" t="n"/>
      <c r="AB117" s="689" t="n"/>
      <c r="BZ117" s="693" t="n"/>
      <c r="CA117" s="693" t="n"/>
    </row>
    <row r="118">
      <c r="AA118" s="689" t="n"/>
      <c r="AB118" s="689" t="n"/>
      <c r="BZ118" s="693" t="n"/>
      <c r="CA118" s="693" t="n"/>
    </row>
    <row r="119">
      <c r="AA119" s="689" t="n"/>
      <c r="AB119" s="689" t="n"/>
      <c r="BZ119" s="693" t="n"/>
      <c r="CA119" s="693" t="n"/>
    </row>
    <row r="120">
      <c r="AA120" s="689" t="n"/>
      <c r="AB120" s="689" t="n"/>
      <c r="BZ120" s="693" t="n"/>
      <c r="CA120" s="693" t="n"/>
    </row>
    <row r="121">
      <c r="AA121" s="689" t="n"/>
      <c r="AB121" s="689" t="n"/>
      <c r="BZ121" s="693" t="n"/>
      <c r="CA121" s="693" t="n"/>
    </row>
    <row r="122">
      <c r="AA122" s="689" t="n"/>
      <c r="AB122" s="689" t="n"/>
      <c r="BZ122" s="693" t="n"/>
      <c r="CA122" s="693" t="n"/>
    </row>
    <row r="123">
      <c r="AA123" s="689" t="n"/>
      <c r="AB123" s="689" t="n"/>
      <c r="BZ123" s="693" t="n"/>
      <c r="CA123" s="693" t="n"/>
    </row>
    <row r="124">
      <c r="AA124" s="689" t="n"/>
      <c r="AB124" s="689" t="n"/>
      <c r="BZ124" s="693" t="n"/>
      <c r="CA124" s="693" t="n"/>
    </row>
    <row r="125">
      <c r="AA125" s="689" t="n"/>
      <c r="AB125" s="689" t="n"/>
      <c r="BZ125" s="693" t="n"/>
      <c r="CA125" s="693" t="n"/>
    </row>
    <row r="126">
      <c r="AA126" s="689" t="n"/>
      <c r="AB126" s="689" t="n"/>
      <c r="BZ126" s="693" t="n"/>
      <c r="CA126" s="693" t="n"/>
    </row>
    <row r="127">
      <c r="AA127" s="689" t="n"/>
      <c r="AB127" s="689" t="n"/>
      <c r="BZ127" s="693" t="n"/>
      <c r="CA127" s="693" t="n"/>
    </row>
    <row r="128">
      <c r="AA128" s="689" t="n"/>
      <c r="AB128" s="689" t="n"/>
      <c r="BZ128" s="693" t="n"/>
      <c r="CA128" s="693" t="n"/>
    </row>
    <row r="129">
      <c r="AA129" s="689" t="n"/>
      <c r="AB129" s="689" t="n"/>
      <c r="BZ129" s="693" t="n"/>
      <c r="CA129" s="693" t="n"/>
    </row>
    <row r="130">
      <c r="AA130" s="689" t="n"/>
      <c r="AB130" s="689" t="n"/>
      <c r="BZ130" s="693" t="n"/>
      <c r="CA130" s="693" t="n"/>
    </row>
    <row r="131">
      <c r="AA131" s="689" t="n"/>
      <c r="AB131" s="689" t="n"/>
      <c r="BZ131" s="693" t="n"/>
      <c r="CA131" s="693" t="n"/>
    </row>
    <row r="132">
      <c r="AA132" s="689" t="n"/>
      <c r="AB132" s="689" t="n"/>
      <c r="BZ132" s="693" t="n"/>
      <c r="CA132" s="693" t="n"/>
    </row>
    <row r="133">
      <c r="AA133" s="689" t="n"/>
      <c r="AB133" s="689" t="n"/>
      <c r="BZ133" s="693" t="n"/>
      <c r="CA133" s="693" t="n"/>
    </row>
    <row r="134">
      <c r="AA134" s="689" t="n"/>
      <c r="AB134" s="689" t="n"/>
      <c r="BZ134" s="693" t="n"/>
      <c r="CA134" s="693" t="n"/>
    </row>
    <row r="135">
      <c r="AA135" s="689" t="n"/>
      <c r="AB135" s="689" t="n"/>
      <c r="BZ135" s="693" t="n"/>
      <c r="CA135" s="693" t="n"/>
    </row>
    <row r="136">
      <c r="AA136" s="689" t="n"/>
      <c r="AB136" s="689" t="n"/>
      <c r="BZ136" s="693" t="n"/>
      <c r="CA136" s="693" t="n"/>
    </row>
    <row r="137">
      <c r="AA137" s="689" t="n"/>
      <c r="AB137" s="689" t="n"/>
      <c r="BZ137" s="693" t="n"/>
      <c r="CA137" s="693" t="n"/>
    </row>
    <row r="138">
      <c r="AA138" s="689" t="n"/>
      <c r="AB138" s="689" t="n"/>
      <c r="BZ138" s="693" t="n"/>
      <c r="CA138" s="693" t="n"/>
    </row>
    <row r="139">
      <c r="AA139" s="689" t="n"/>
      <c r="AB139" s="689" t="n"/>
      <c r="BZ139" s="693" t="n"/>
      <c r="CA139" s="693" t="n"/>
    </row>
    <row r="140">
      <c r="AA140" s="689" t="n"/>
      <c r="AB140" s="689" t="n"/>
      <c r="BZ140" s="693" t="n"/>
      <c r="CA140" s="693" t="n"/>
    </row>
    <row r="141">
      <c r="AA141" s="689" t="n"/>
      <c r="AB141" s="689" t="n"/>
      <c r="BZ141" s="693" t="n"/>
      <c r="CA141" s="693" t="n"/>
    </row>
    <row r="142">
      <c r="AA142" s="689" t="n"/>
      <c r="AB142" s="689" t="n"/>
      <c r="BZ142" s="693" t="n"/>
      <c r="CA142" s="693" t="n"/>
    </row>
    <row r="143">
      <c r="AA143" s="689" t="n"/>
      <c r="AB143" s="689" t="n"/>
      <c r="BZ143" s="693" t="n"/>
      <c r="CA143" s="693" t="n"/>
    </row>
    <row r="144">
      <c r="AA144" s="689" t="n"/>
      <c r="AB144" s="689" t="n"/>
      <c r="BZ144" s="693" t="n"/>
      <c r="CA144" s="693" t="n"/>
    </row>
    <row r="145">
      <c r="AA145" s="689" t="n"/>
      <c r="AB145" s="689" t="n"/>
      <c r="BZ145" s="693" t="n"/>
      <c r="CA145" s="693" t="n"/>
    </row>
    <row r="146">
      <c r="AA146" s="689" t="n"/>
      <c r="AB146" s="689" t="n"/>
      <c r="BZ146" s="693" t="n"/>
      <c r="CA146" s="693" t="n"/>
    </row>
    <row r="147">
      <c r="AA147" s="689" t="n"/>
      <c r="AB147" s="689" t="n"/>
      <c r="BZ147" s="693" t="n"/>
      <c r="CA147" s="693" t="n"/>
    </row>
    <row r="148">
      <c r="AA148" s="689" t="n"/>
      <c r="AB148" s="689" t="n"/>
      <c r="BZ148" s="693" t="n"/>
      <c r="CA148" s="693" t="n"/>
    </row>
    <row r="149">
      <c r="AA149" s="689" t="n"/>
      <c r="AB149" s="689" t="n"/>
      <c r="BZ149" s="693" t="n"/>
      <c r="CA149" s="693" t="n"/>
    </row>
    <row r="150">
      <c r="AA150" s="689" t="n"/>
      <c r="AB150" s="689" t="n"/>
      <c r="BZ150" s="693" t="n"/>
      <c r="CA150" s="693" t="n"/>
    </row>
    <row r="151">
      <c r="AA151" s="689" t="n"/>
      <c r="AB151" s="689" t="n"/>
      <c r="BZ151" s="693" t="n"/>
      <c r="CA151" s="693" t="n"/>
    </row>
    <row r="152">
      <c r="AA152" s="689" t="n"/>
      <c r="AB152" s="689" t="n"/>
      <c r="BZ152" s="693" t="n"/>
      <c r="CA152" s="693" t="n"/>
    </row>
    <row r="153">
      <c r="AA153" s="689" t="n"/>
      <c r="AB153" s="689" t="n"/>
      <c r="BZ153" s="693" t="n"/>
      <c r="CA153" s="693" t="n"/>
    </row>
    <row r="154">
      <c r="AA154" s="689" t="n"/>
      <c r="AB154" s="689" t="n"/>
      <c r="BZ154" s="693" t="n"/>
      <c r="CA154" s="693" t="n"/>
    </row>
    <row r="155">
      <c r="BZ155" s="693" t="n"/>
      <c r="CA155" s="693" t="n"/>
    </row>
  </sheetData>
  <mergeCells count="124">
    <mergeCell ref="BL17:BM17"/>
    <mergeCell ref="BN17:BO17"/>
    <mergeCell ref="BX17:BY17"/>
    <mergeCell ref="BZ17:CA17"/>
    <mergeCell ref="AK71:AL71"/>
    <mergeCell ref="AE47:AF47"/>
    <mergeCell ref="AK18:AL18"/>
    <mergeCell ref="AV17:AW17"/>
    <mergeCell ref="AC24:AD24"/>
    <mergeCell ref="BL24:BS24"/>
    <mergeCell ref="AO18:AP18"/>
    <mergeCell ref="Q26:R26"/>
    <mergeCell ref="AQ18:AR18"/>
    <mergeCell ref="AI50:AJ50"/>
    <mergeCell ref="AE82:AF82"/>
    <mergeCell ref="AV24:BC24"/>
    <mergeCell ref="AZ20:BC20"/>
    <mergeCell ref="AE60:AF60"/>
    <mergeCell ref="AE68:AF68"/>
    <mergeCell ref="AG68:AH68"/>
    <mergeCell ref="AI68:AJ68"/>
    <mergeCell ref="AC36:AD36"/>
    <mergeCell ref="AG58:AH58"/>
    <mergeCell ref="AE45:AF45"/>
    <mergeCell ref="V56:W56"/>
    <mergeCell ref="BT20:BW20"/>
    <mergeCell ref="AI48:AJ48"/>
    <mergeCell ref="AK48:AL48"/>
    <mergeCell ref="AG60:AH60"/>
    <mergeCell ref="I6:J6"/>
    <mergeCell ref="AG69:AH69"/>
    <mergeCell ref="AI69:AJ69"/>
    <mergeCell ref="AE50:AF50"/>
    <mergeCell ref="AE46:AF46"/>
    <mergeCell ref="AG46:AH46"/>
    <mergeCell ref="AK47:AL47"/>
    <mergeCell ref="L38:M41"/>
    <mergeCell ref="AC30:AD30"/>
    <mergeCell ref="BD17:BE17"/>
    <mergeCell ref="AI80:AJ80"/>
    <mergeCell ref="W39:X40"/>
    <mergeCell ref="E5:H5"/>
    <mergeCell ref="AI79:AJ79"/>
    <mergeCell ref="AK79:AL79"/>
    <mergeCell ref="BH17:BI17"/>
    <mergeCell ref="BJ17:BK17"/>
    <mergeCell ref="BT17:BU17"/>
    <mergeCell ref="BV17:BW17"/>
    <mergeCell ref="AE48:AF48"/>
    <mergeCell ref="AE57:AF57"/>
    <mergeCell ref="AK50:AL50"/>
    <mergeCell ref="AG57:AH57"/>
    <mergeCell ref="AG71:AH71"/>
    <mergeCell ref="G26:H26"/>
    <mergeCell ref="AI71:AJ71"/>
    <mergeCell ref="BD24:BK24"/>
    <mergeCell ref="AC17:AT17"/>
    <mergeCell ref="AG18:AH18"/>
    <mergeCell ref="B6:C6"/>
    <mergeCell ref="AI18:AJ18"/>
    <mergeCell ref="AI58:AJ58"/>
    <mergeCell ref="T5:V5"/>
    <mergeCell ref="BL20:BO20"/>
    <mergeCell ref="K6:L6"/>
    <mergeCell ref="AM18:AN18"/>
    <mergeCell ref="BP20:BS20"/>
    <mergeCell ref="AI57:AJ57"/>
    <mergeCell ref="BT24:CA24"/>
    <mergeCell ref="B7:C7"/>
    <mergeCell ref="G42:H42"/>
    <mergeCell ref="V23:W23"/>
    <mergeCell ref="Q42:R42"/>
    <mergeCell ref="B56:C56"/>
    <mergeCell ref="AV20:AY20"/>
    <mergeCell ref="AI60:AJ60"/>
    <mergeCell ref="AG80:AH80"/>
    <mergeCell ref="AC42:AD42"/>
    <mergeCell ref="AG48:AH48"/>
    <mergeCell ref="AX17:AY17"/>
    <mergeCell ref="E6:F6"/>
    <mergeCell ref="BP17:BQ17"/>
    <mergeCell ref="AG45:AH45"/>
    <mergeCell ref="C2:G2"/>
    <mergeCell ref="AI46:AJ46"/>
    <mergeCell ref="AK46:AL46"/>
    <mergeCell ref="B9:C9"/>
    <mergeCell ref="AG47:AH47"/>
    <mergeCell ref="AI47:AJ47"/>
    <mergeCell ref="AZ17:BA17"/>
    <mergeCell ref="BB17:BC17"/>
    <mergeCell ref="AE79:AF79"/>
    <mergeCell ref="AS18:AT18"/>
    <mergeCell ref="AG79:AH79"/>
    <mergeCell ref="BF17:BG17"/>
    <mergeCell ref="AG82:AH82"/>
    <mergeCell ref="AI82:AJ82"/>
    <mergeCell ref="AK82:AL82"/>
    <mergeCell ref="BR17:BS17"/>
    <mergeCell ref="AK57:AL57"/>
    <mergeCell ref="AG50:AH50"/>
    <mergeCell ref="C3:G3"/>
    <mergeCell ref="AE71:AF71"/>
    <mergeCell ref="BD20:BG20"/>
    <mergeCell ref="AE18:AF18"/>
    <mergeCell ref="AE58:AF58"/>
    <mergeCell ref="AK68:AL68"/>
    <mergeCell ref="B23:C23"/>
    <mergeCell ref="AK58:AL58"/>
    <mergeCell ref="BH20:BK20"/>
    <mergeCell ref="G6:H6"/>
    <mergeCell ref="L23:M23"/>
    <mergeCell ref="B8:C8"/>
    <mergeCell ref="AI45:AJ45"/>
    <mergeCell ref="AK45:AL45"/>
    <mergeCell ref="A39:B40"/>
    <mergeCell ref="BX20:CA20"/>
    <mergeCell ref="AK60:AL60"/>
    <mergeCell ref="AK69:AL69"/>
    <mergeCell ref="B10:C10"/>
    <mergeCell ref="AE69:AF69"/>
    <mergeCell ref="L56:M56"/>
    <mergeCell ref="AK80:AL80"/>
    <mergeCell ref="AE80:AF80"/>
    <mergeCell ref="I5:L5"/>
  </mergeCells>
  <conditionalFormatting sqref="AE48:AF48">
    <cfRule type="cellIs" priority="175" operator="between" dxfId="46">
      <formula>1</formula>
      <formula>4</formula>
    </cfRule>
  </conditionalFormatting>
  <conditionalFormatting sqref="AG48:AH48">
    <cfRule type="cellIs" priority="174" operator="between" dxfId="46">
      <formula>1</formula>
      <formula>4</formula>
    </cfRule>
  </conditionalFormatting>
  <conditionalFormatting sqref="AI48:AJ48">
    <cfRule type="cellIs" priority="173" operator="between" dxfId="46">
      <formula>1</formula>
      <formula>4</formula>
    </cfRule>
  </conditionalFormatting>
  <conditionalFormatting sqref="AK48:AL48">
    <cfRule type="cellIs" priority="172" operator="between" dxfId="46">
      <formula>1</formula>
      <formula>4</formula>
    </cfRule>
  </conditionalFormatting>
  <conditionalFormatting sqref="AE75:AF75">
    <cfRule type="expression" priority="171" dxfId="46">
      <formula>$AE$69=3</formula>
    </cfRule>
  </conditionalFormatting>
  <conditionalFormatting sqref="AE76:AF76">
    <cfRule type="expression" priority="170" dxfId="46">
      <formula>$AE$69=4</formula>
    </cfRule>
  </conditionalFormatting>
  <conditionalFormatting sqref="AG74:AH74">
    <cfRule type="expression" priority="169" dxfId="46">
      <formula>$AG$69=2</formula>
    </cfRule>
  </conditionalFormatting>
  <conditionalFormatting sqref="AG73:AH73">
    <cfRule type="expression" priority="168" dxfId="46">
      <formula>$AG$69=1</formula>
    </cfRule>
  </conditionalFormatting>
  <conditionalFormatting sqref="AG75:AH75">
    <cfRule type="expression" priority="167" dxfId="46">
      <formula>$AG$69=3</formula>
    </cfRule>
  </conditionalFormatting>
  <conditionalFormatting sqref="AG76:AH76">
    <cfRule type="expression" priority="166" dxfId="46">
      <formula>$AG$69=4</formula>
    </cfRule>
  </conditionalFormatting>
  <conditionalFormatting sqref="AI74:AJ74">
    <cfRule type="expression" priority="165" dxfId="46">
      <formula>$AI$69=2</formula>
    </cfRule>
  </conditionalFormatting>
  <conditionalFormatting sqref="AI73:AJ73">
    <cfRule type="expression" priority="164" dxfId="46">
      <formula>$AI$69=1</formula>
    </cfRule>
  </conditionalFormatting>
  <conditionalFormatting sqref="AI75:AJ75">
    <cfRule type="expression" priority="163" dxfId="46">
      <formula>$AI$69=3</formula>
    </cfRule>
  </conditionalFormatting>
  <conditionalFormatting sqref="AI76:AJ76">
    <cfRule type="expression" priority="162" dxfId="46">
      <formula>$AI$69=4</formula>
    </cfRule>
  </conditionalFormatting>
  <conditionalFormatting sqref="AK74:AL74">
    <cfRule type="expression" priority="161" dxfId="46">
      <formula>$AK$69=2</formula>
    </cfRule>
  </conditionalFormatting>
  <conditionalFormatting sqref="AK73:AL73">
    <cfRule type="expression" priority="160" dxfId="46">
      <formula>$AK$69=1</formula>
    </cfRule>
  </conditionalFormatting>
  <conditionalFormatting sqref="AK75:AL75">
    <cfRule type="expression" priority="159" dxfId="46">
      <formula>$AK$69=3</formula>
    </cfRule>
  </conditionalFormatting>
  <conditionalFormatting sqref="AK76:AL76">
    <cfRule type="expression" priority="158" dxfId="46">
      <formula>$AK$69=4</formula>
    </cfRule>
  </conditionalFormatting>
  <conditionalFormatting sqref="AE52:AF52">
    <cfRule type="expression" priority="157" dxfId="46">
      <formula>$AE48=1</formula>
    </cfRule>
  </conditionalFormatting>
  <conditionalFormatting sqref="AG52:AH52">
    <cfRule type="expression" priority="156" dxfId="46">
      <formula>$AG48=1</formula>
    </cfRule>
  </conditionalFormatting>
  <conditionalFormatting sqref="AI52:AJ52">
    <cfRule type="expression" priority="155" dxfId="46">
      <formula>$AI48=1</formula>
    </cfRule>
  </conditionalFormatting>
  <conditionalFormatting sqref="AK52:AL52">
    <cfRule type="expression" priority="154" dxfId="46">
      <formula>$AK48=1</formula>
    </cfRule>
  </conditionalFormatting>
  <conditionalFormatting sqref="AE53:AF53">
    <cfRule type="expression" priority="153" dxfId="46">
      <formula>$AE48=2</formula>
    </cfRule>
  </conditionalFormatting>
  <conditionalFormatting sqref="AG53:AH53">
    <cfRule type="expression" priority="152" dxfId="46">
      <formula>$AG48=2</formula>
    </cfRule>
  </conditionalFormatting>
  <conditionalFormatting sqref="AI53:AJ53">
    <cfRule type="expression" priority="151" dxfId="46">
      <formula>$AI48=2</formula>
    </cfRule>
  </conditionalFormatting>
  <conditionalFormatting sqref="AK53:AL53">
    <cfRule type="expression" priority="150" dxfId="46">
      <formula>$AK48=2</formula>
    </cfRule>
  </conditionalFormatting>
  <conditionalFormatting sqref="AE54:AF54">
    <cfRule type="expression" priority="149" dxfId="46">
      <formula>$AE48=3</formula>
    </cfRule>
  </conditionalFormatting>
  <conditionalFormatting sqref="AG54:AH54">
    <cfRule type="expression" priority="148" dxfId="46">
      <formula>$AG48=3</formula>
    </cfRule>
  </conditionalFormatting>
  <conditionalFormatting sqref="AI54:AJ54">
    <cfRule type="expression" priority="147" dxfId="46">
      <formula>$AI48=3</formula>
    </cfRule>
  </conditionalFormatting>
  <conditionalFormatting sqref="AK54:AL54">
    <cfRule type="expression" priority="146" dxfId="46">
      <formula>$AK48=3</formula>
    </cfRule>
  </conditionalFormatting>
  <conditionalFormatting sqref="AE55:AF55">
    <cfRule type="expression" priority="145" dxfId="46">
      <formula>$AE48=4</formula>
    </cfRule>
  </conditionalFormatting>
  <conditionalFormatting sqref="AG55:AH55">
    <cfRule type="expression" priority="144" dxfId="46">
      <formula>$AG48=4</formula>
    </cfRule>
  </conditionalFormatting>
  <conditionalFormatting sqref="AI55:AJ55">
    <cfRule type="expression" priority="143" dxfId="46">
      <formula>$AI48=4</formula>
    </cfRule>
  </conditionalFormatting>
  <conditionalFormatting sqref="AK55:AL55">
    <cfRule type="expression" priority="142" dxfId="46">
      <formula>$AK48=4</formula>
    </cfRule>
  </conditionalFormatting>
  <conditionalFormatting sqref="AE65:AF65">
    <cfRule type="expression" priority="141" dxfId="46">
      <formula>$AE$58=4</formula>
    </cfRule>
  </conditionalFormatting>
  <conditionalFormatting sqref="AG65:AH65">
    <cfRule type="expression" priority="140" dxfId="46">
      <formula>$AG$58=4</formula>
    </cfRule>
  </conditionalFormatting>
  <conditionalFormatting sqref="AI65:AJ65">
    <cfRule type="expression" priority="139" dxfId="46">
      <formula>$AI$58=4</formula>
    </cfRule>
  </conditionalFormatting>
  <conditionalFormatting sqref="AK65:AL65">
    <cfRule type="expression" priority="138" dxfId="46">
      <formula>$AK$58=4</formula>
    </cfRule>
  </conditionalFormatting>
  <conditionalFormatting sqref="AE64:AF64">
    <cfRule type="expression" priority="137" dxfId="46">
      <formula>$AE$58=3</formula>
    </cfRule>
  </conditionalFormatting>
  <conditionalFormatting sqref="AG64:AH64">
    <cfRule type="expression" priority="136" dxfId="46">
      <formula>$AG$58=3</formula>
    </cfRule>
  </conditionalFormatting>
  <conditionalFormatting sqref="AI64:AJ64">
    <cfRule type="expression" priority="135" dxfId="46">
      <formula>$AI$58=3</formula>
    </cfRule>
  </conditionalFormatting>
  <conditionalFormatting sqref="AK64:AL64">
    <cfRule type="expression" priority="134" dxfId="46">
      <formula>$AK$58=3</formula>
    </cfRule>
  </conditionalFormatting>
  <conditionalFormatting sqref="AE63:AF63">
    <cfRule type="expression" priority="133" dxfId="46">
      <formula>$AE$58=2</formula>
    </cfRule>
  </conditionalFormatting>
  <conditionalFormatting sqref="AG63:AH63">
    <cfRule type="expression" priority="132" dxfId="46">
      <formula>$AG$58=2</formula>
    </cfRule>
  </conditionalFormatting>
  <conditionalFormatting sqref="AI63:AJ63">
    <cfRule type="expression" priority="131" dxfId="46">
      <formula>$AI$58=2</formula>
    </cfRule>
  </conditionalFormatting>
  <conditionalFormatting sqref="AK63:AL63">
    <cfRule type="expression" priority="130" dxfId="46">
      <formula>$AK$58=2</formula>
    </cfRule>
  </conditionalFormatting>
  <conditionalFormatting sqref="AE62:AF62">
    <cfRule type="expression" priority="129" dxfId="46">
      <formula>$AE$58=1</formula>
    </cfRule>
  </conditionalFormatting>
  <conditionalFormatting sqref="AG62:AH62">
    <cfRule type="expression" priority="128" dxfId="46">
      <formula>$AG$58=1</formula>
    </cfRule>
  </conditionalFormatting>
  <conditionalFormatting sqref="AI62:AJ62">
    <cfRule type="expression" priority="127" dxfId="46">
      <formula>$AI$58=1</formula>
    </cfRule>
  </conditionalFormatting>
  <conditionalFormatting sqref="AK62:AL62">
    <cfRule type="expression" priority="126" dxfId="46">
      <formula>$AK$58=1</formula>
    </cfRule>
  </conditionalFormatting>
  <conditionalFormatting sqref="AE74:AF74">
    <cfRule type="expression" priority="125" dxfId="46">
      <formula>$AE$69=2</formula>
    </cfRule>
  </conditionalFormatting>
  <conditionalFormatting sqref="AE73:AF73">
    <cfRule type="expression" priority="124" dxfId="46">
      <formula>$AE$69=1</formula>
    </cfRule>
  </conditionalFormatting>
  <conditionalFormatting sqref="AE87:AF87">
    <cfRule type="expression" priority="123" dxfId="46">
      <formula>$AE$80=4</formula>
    </cfRule>
  </conditionalFormatting>
  <conditionalFormatting sqref="AG87:AH87">
    <cfRule type="expression" priority="122" dxfId="46">
      <formula>$AG$80=4</formula>
    </cfRule>
  </conditionalFormatting>
  <conditionalFormatting sqref="AI87:AJ87">
    <cfRule type="expression" priority="121" dxfId="46">
      <formula>$AI$80=4</formula>
    </cfRule>
  </conditionalFormatting>
  <conditionalFormatting sqref="AK87:AL87">
    <cfRule type="expression" priority="120" dxfId="46">
      <formula>$AK$80=4</formula>
    </cfRule>
  </conditionalFormatting>
  <conditionalFormatting sqref="AE86:AF86">
    <cfRule type="expression" priority="119" dxfId="46">
      <formula>$AE$80=3</formula>
    </cfRule>
  </conditionalFormatting>
  <conditionalFormatting sqref="AG86:AH86">
    <cfRule type="expression" priority="118" dxfId="46">
      <formula>$AG$80=3</formula>
    </cfRule>
  </conditionalFormatting>
  <conditionalFormatting sqref="AI86:AJ86">
    <cfRule type="expression" priority="117" dxfId="46">
      <formula>$AI$80=3</formula>
    </cfRule>
  </conditionalFormatting>
  <conditionalFormatting sqref="AK86:AL86">
    <cfRule type="expression" priority="116" dxfId="46">
      <formula>$AK$80=3</formula>
    </cfRule>
  </conditionalFormatting>
  <conditionalFormatting sqref="AE85:AF85">
    <cfRule type="expression" priority="115" dxfId="46">
      <formula>$AE$80=2</formula>
    </cfRule>
  </conditionalFormatting>
  <conditionalFormatting sqref="AG85:AH85">
    <cfRule type="expression" priority="114" dxfId="46">
      <formula>$AG$80=2</formula>
    </cfRule>
  </conditionalFormatting>
  <conditionalFormatting sqref="AI85:AJ85">
    <cfRule type="expression" priority="113" dxfId="46">
      <formula>$AI$80=2</formula>
    </cfRule>
  </conditionalFormatting>
  <conditionalFormatting sqref="AK85:AL85">
    <cfRule type="expression" priority="112" dxfId="46">
      <formula>$AK$80=2</formula>
    </cfRule>
  </conditionalFormatting>
  <conditionalFormatting sqref="AE84:AF84">
    <cfRule type="expression" priority="111" dxfId="46">
      <formula>$AE$80=1</formula>
    </cfRule>
  </conditionalFormatting>
  <conditionalFormatting sqref="AG84:AH84">
    <cfRule type="expression" priority="110" dxfId="46">
      <formula>$AG$80=1</formula>
    </cfRule>
  </conditionalFormatting>
  <conditionalFormatting sqref="AI84:AJ84">
    <cfRule type="expression" priority="109" dxfId="46">
      <formula>$AI$80=1</formula>
    </cfRule>
  </conditionalFormatting>
  <conditionalFormatting sqref="AK84:AL84">
    <cfRule type="expression" priority="108" dxfId="46">
      <formula>$AK$80=1</formula>
    </cfRule>
  </conditionalFormatting>
  <conditionalFormatting sqref="AI58:AJ58">
    <cfRule type="cellIs" priority="107" operator="between" dxfId="46">
      <formula>1</formula>
      <formula>4</formula>
    </cfRule>
  </conditionalFormatting>
  <conditionalFormatting sqref="AE58:AH58">
    <cfRule type="cellIs" priority="106" operator="between" dxfId="46">
      <formula>1</formula>
      <formula>4</formula>
    </cfRule>
  </conditionalFormatting>
  <conditionalFormatting sqref="AK58:AL58">
    <cfRule type="cellIs" priority="105" operator="between" dxfId="46">
      <formula>1</formula>
      <formula>4</formula>
    </cfRule>
  </conditionalFormatting>
  <conditionalFormatting sqref="AI69:AJ69">
    <cfRule type="cellIs" priority="104" operator="between" dxfId="46">
      <formula>1</formula>
      <formula>4</formula>
    </cfRule>
  </conditionalFormatting>
  <conditionalFormatting sqref="AE69:AH69">
    <cfRule type="cellIs" priority="103" operator="between" dxfId="46">
      <formula>1</formula>
      <formula>4</formula>
    </cfRule>
  </conditionalFormatting>
  <conditionalFormatting sqref="AK69:AL69">
    <cfRule type="cellIs" priority="102" operator="between" dxfId="46">
      <formula>1</formula>
      <formula>4</formula>
    </cfRule>
  </conditionalFormatting>
  <conditionalFormatting sqref="AI80:AJ80">
    <cfRule type="cellIs" priority="101" operator="between" dxfId="46">
      <formula>1</formula>
      <formula>4</formula>
    </cfRule>
  </conditionalFormatting>
  <conditionalFormatting sqref="AE80:AH80">
    <cfRule type="cellIs" priority="100" operator="between" dxfId="46">
      <formula>1</formula>
      <formula>4</formula>
    </cfRule>
  </conditionalFormatting>
  <conditionalFormatting sqref="AK80:AL80">
    <cfRule type="cellIs" priority="99" operator="between" dxfId="46">
      <formula>1</formula>
      <formula>4</formula>
    </cfRule>
  </conditionalFormatting>
  <conditionalFormatting sqref="AN65:AO65">
    <cfRule type="expression" priority="50" dxfId="46">
      <formula>$AE$58=4</formula>
    </cfRule>
  </conditionalFormatting>
  <conditionalFormatting sqref="AP65:AQ65">
    <cfRule type="expression" priority="49" dxfId="46">
      <formula>$AG$58=4</formula>
    </cfRule>
  </conditionalFormatting>
  <conditionalFormatting sqref="AR65:AS65">
    <cfRule type="expression" priority="48" dxfId="46">
      <formula>$AI$58=4</formula>
    </cfRule>
  </conditionalFormatting>
  <conditionalFormatting sqref="AT65:AU65">
    <cfRule type="expression" priority="47" dxfId="46">
      <formula>$AK$58=4</formula>
    </cfRule>
  </conditionalFormatting>
  <conditionalFormatting sqref="AN64:AO64">
    <cfRule type="expression" priority="46" dxfId="46">
      <formula>$AE$58=3</formula>
    </cfRule>
  </conditionalFormatting>
  <conditionalFormatting sqref="AP64:AQ64">
    <cfRule type="expression" priority="45" dxfId="46">
      <formula>$AG$58=3</formula>
    </cfRule>
  </conditionalFormatting>
  <conditionalFormatting sqref="AR64:AS64">
    <cfRule type="expression" priority="44" dxfId="46">
      <formula>$AI$58=3</formula>
    </cfRule>
  </conditionalFormatting>
  <conditionalFormatting sqref="AT64:AU64">
    <cfRule type="expression" priority="43" dxfId="46">
      <formula>$AK$58=3</formula>
    </cfRule>
  </conditionalFormatting>
  <conditionalFormatting sqref="AN63:AO63">
    <cfRule type="expression" priority="42" dxfId="46">
      <formula>$AE$58=2</formula>
    </cfRule>
  </conditionalFormatting>
  <conditionalFormatting sqref="AP63:AQ63">
    <cfRule type="expression" priority="41" dxfId="46">
      <formula>$AG$58=2</formula>
    </cfRule>
  </conditionalFormatting>
  <conditionalFormatting sqref="AR63:AS63">
    <cfRule type="expression" priority="40" dxfId="46">
      <formula>$AI$58=2</formula>
    </cfRule>
  </conditionalFormatting>
  <conditionalFormatting sqref="AT63:AU63">
    <cfRule type="expression" priority="39" dxfId="46">
      <formula>$AK$58=2</formula>
    </cfRule>
  </conditionalFormatting>
  <conditionalFormatting sqref="AN62:AO62">
    <cfRule type="expression" priority="38" dxfId="46">
      <formula>$AE$58=1</formula>
    </cfRule>
  </conditionalFormatting>
  <conditionalFormatting sqref="AP62:AQ62">
    <cfRule type="expression" priority="37" dxfId="46">
      <formula>$AG$58=1</formula>
    </cfRule>
  </conditionalFormatting>
  <conditionalFormatting sqref="AR62:AS62">
    <cfRule type="expression" priority="36" dxfId="46">
      <formula>$AI$58=1</formula>
    </cfRule>
  </conditionalFormatting>
  <conditionalFormatting sqref="AT62:AU62">
    <cfRule type="expression" priority="35" dxfId="46">
      <formula>$AK$58=1</formula>
    </cfRule>
  </conditionalFormatting>
  <conditionalFormatting sqref="AN74:AO74">
    <cfRule type="expression" priority="34" dxfId="46">
      <formula>$AE$69=2</formula>
    </cfRule>
  </conditionalFormatting>
  <conditionalFormatting sqref="AN73:AO73">
    <cfRule type="expression" priority="33" dxfId="46">
      <formula>$AE$69=1</formula>
    </cfRule>
  </conditionalFormatting>
  <conditionalFormatting sqref="AN75:AO75">
    <cfRule type="expression" priority="32" dxfId="46">
      <formula>$AE$69=3</formula>
    </cfRule>
  </conditionalFormatting>
  <conditionalFormatting sqref="AN76:AO76">
    <cfRule type="expression" priority="31" dxfId="46">
      <formula>$AE$69=4</formula>
    </cfRule>
  </conditionalFormatting>
  <conditionalFormatting sqref="AP74:AQ74">
    <cfRule type="expression" priority="30" dxfId="46">
      <formula>$AG$69=2</formula>
    </cfRule>
  </conditionalFormatting>
  <conditionalFormatting sqref="AP73:AQ73">
    <cfRule type="expression" priority="29" dxfId="46">
      <formula>$AG$69=1</formula>
    </cfRule>
  </conditionalFormatting>
  <conditionalFormatting sqref="AP75:AQ75">
    <cfRule type="expression" priority="28" dxfId="46">
      <formula>$AG$69=3</formula>
    </cfRule>
  </conditionalFormatting>
  <conditionalFormatting sqref="AP76:AQ76">
    <cfRule type="expression" priority="27" dxfId="46">
      <formula>$AG$69=4</formula>
    </cfRule>
  </conditionalFormatting>
  <conditionalFormatting sqref="AR74:AS74">
    <cfRule type="expression" priority="26" dxfId="46">
      <formula>$AI$69=2</formula>
    </cfRule>
  </conditionalFormatting>
  <conditionalFormatting sqref="AR73:AS73">
    <cfRule type="expression" priority="25" dxfId="46">
      <formula>$AI$69=1</formula>
    </cfRule>
  </conditionalFormatting>
  <conditionalFormatting sqref="AR75:AS75">
    <cfRule type="expression" priority="24" dxfId="46">
      <formula>$AI$69=3</formula>
    </cfRule>
  </conditionalFormatting>
  <conditionalFormatting sqref="AR76:AS76">
    <cfRule type="expression" priority="23" dxfId="46">
      <formula>$AI$69=4</formula>
    </cfRule>
  </conditionalFormatting>
  <conditionalFormatting sqref="AT74:AU74">
    <cfRule type="expression" priority="22" dxfId="46">
      <formula>$AK$69=2</formula>
    </cfRule>
  </conditionalFormatting>
  <conditionalFormatting sqref="AT73:AU73">
    <cfRule type="expression" priority="21" dxfId="46">
      <formula>$AK$69=1</formula>
    </cfRule>
  </conditionalFormatting>
  <conditionalFormatting sqref="AT75:AU75">
    <cfRule type="expression" priority="20" dxfId="46">
      <formula>$AK$69=3</formula>
    </cfRule>
  </conditionalFormatting>
  <conditionalFormatting sqref="AT76:AU76">
    <cfRule type="expression" priority="19" dxfId="46">
      <formula>$AK$69=4</formula>
    </cfRule>
  </conditionalFormatting>
  <conditionalFormatting sqref="AN85:AO85">
    <cfRule type="expression" priority="18" dxfId="46">
      <formula>$AE$80=2</formula>
    </cfRule>
  </conditionalFormatting>
  <conditionalFormatting sqref="AN84:AO84">
    <cfRule type="expression" priority="17" dxfId="46">
      <formula>$AE$80=1</formula>
    </cfRule>
  </conditionalFormatting>
  <conditionalFormatting sqref="AN86:AO86">
    <cfRule type="expression" priority="16" dxfId="46">
      <formula>$AE$80=3</formula>
    </cfRule>
  </conditionalFormatting>
  <conditionalFormatting sqref="AN87:AO87">
    <cfRule type="expression" priority="15" dxfId="46">
      <formula>$AE$80=4</formula>
    </cfRule>
  </conditionalFormatting>
  <conditionalFormatting sqref="AP85:AQ85">
    <cfRule type="expression" priority="14" dxfId="46">
      <formula>$AG$80=2</formula>
    </cfRule>
  </conditionalFormatting>
  <conditionalFormatting sqref="AP84:AQ84">
    <cfRule type="expression" priority="13" dxfId="46">
      <formula>$AG$80=1</formula>
    </cfRule>
  </conditionalFormatting>
  <conditionalFormatting sqref="AP86:AQ86">
    <cfRule type="expression" priority="12" dxfId="46">
      <formula>$AG$80=3</formula>
    </cfRule>
  </conditionalFormatting>
  <conditionalFormatting sqref="AP87:AQ87">
    <cfRule type="expression" priority="11" dxfId="46">
      <formula>$AG$80=4</formula>
    </cfRule>
  </conditionalFormatting>
  <conditionalFormatting sqref="AR85:AS85">
    <cfRule type="expression" priority="10" dxfId="46">
      <formula>$AI$80=2</formula>
    </cfRule>
  </conditionalFormatting>
  <conditionalFormatting sqref="AR84:AS84">
    <cfRule type="expression" priority="9" dxfId="46">
      <formula>$AI$80=1</formula>
    </cfRule>
  </conditionalFormatting>
  <conditionalFormatting sqref="AR86:AS86">
    <cfRule type="expression" priority="8" dxfId="46">
      <formula>$AI$80=3</formula>
    </cfRule>
  </conditionalFormatting>
  <conditionalFormatting sqref="AR87:AS87">
    <cfRule type="expression" priority="7" dxfId="46">
      <formula>$AI$80=4</formula>
    </cfRule>
  </conditionalFormatting>
  <conditionalFormatting sqref="AT85:AU85">
    <cfRule type="expression" priority="6" dxfId="46">
      <formula>$AK$80=2</formula>
    </cfRule>
  </conditionalFormatting>
  <conditionalFormatting sqref="AT84:AU84">
    <cfRule type="expression" priority="5" dxfId="46">
      <formula>$AK$80=1</formula>
    </cfRule>
  </conditionalFormatting>
  <conditionalFormatting sqref="AT86:AU86">
    <cfRule type="expression" priority="4" dxfId="46">
      <formula>$AK$80=3</formula>
    </cfRule>
  </conditionalFormatting>
  <conditionalFormatting sqref="AT87:AU87">
    <cfRule type="expression" priority="3" dxfId="46">
      <formula>$AK$80=4</formula>
    </cfRule>
  </conditionalFormatting>
  <conditionalFormatting sqref="L38:M41">
    <cfRule type="expression" priority="1" dxfId="45">
      <formula>$CD$20&gt;3</formula>
    </cfRule>
    <cfRule type="expression" priority="2" dxfId="44">
      <formula>$CD$20&lt;0.1</formula>
    </cfRule>
  </conditionalFormatting>
  <pageMargins left="0.7" right="0.7" top="0.75" bottom="0.75" header="0.3" footer="0.3"/>
  <pageSetup orientation="portrait"/>
</worksheet>
</file>

<file path=xl/worksheets/sheet11.xml><?xml version="1.0" encoding="utf-8"?>
<worksheet xmlns="http://schemas.openxmlformats.org/spreadsheetml/2006/main">
  <sheetPr codeName="Sheet12">
    <outlinePr summaryBelow="1" summaryRight="1"/>
    <pageSetUpPr/>
  </sheetPr>
  <dimension ref="A2:CD155"/>
  <sheetViews>
    <sheetView topLeftCell="A31" zoomScaleNormal="100" workbookViewId="0">
      <selection activeCell="O37" sqref="O37"/>
    </sheetView>
  </sheetViews>
  <sheetFormatPr baseColWidth="8" defaultColWidth="9.109375" defaultRowHeight="14.4"/>
  <cols>
    <col width="8.33203125" customWidth="1" style="613" min="1" max="1"/>
    <col width="8.5546875" customWidth="1" style="613" min="2" max="2"/>
    <col width="4.6640625" customWidth="1" style="613" min="3" max="3"/>
    <col width="8.5546875" customWidth="1" style="613" min="4" max="4"/>
    <col width="7.6640625" customWidth="1" style="613" min="5" max="6"/>
    <col width="9.6640625" customWidth="1" style="613" min="7" max="7"/>
    <col width="7.6640625" customWidth="1" style="613" min="8" max="14"/>
    <col width="8.5546875" customWidth="1" style="613" min="15" max="15"/>
    <col width="6.109375" customWidth="1" style="613" min="16" max="16"/>
    <col width="9.6640625" customWidth="1" style="613" min="17" max="17"/>
    <col width="7.6640625" customWidth="1" style="613" min="18" max="18"/>
    <col width="8.5546875" customWidth="1" style="613" min="19" max="19"/>
    <col width="6.6640625" customWidth="1" style="613" min="20" max="20"/>
    <col width="7.6640625" customWidth="1" style="613" min="21" max="21"/>
    <col width="4.6640625" customWidth="1" style="613" min="22" max="22"/>
    <col width="8.5546875" customWidth="1" style="613" min="23" max="23"/>
    <col width="6.6640625" customWidth="1" style="613" min="24" max="24"/>
    <col width="3.5546875" customWidth="1" style="689" min="25" max="25"/>
    <col width="9.6640625" customWidth="1" style="689" min="26" max="26"/>
    <col width="9.109375" customWidth="1" style="693" min="27" max="28"/>
    <col width="7.6640625" customWidth="1" style="693" min="29" max="46"/>
    <col width="12.88671875" customWidth="1" style="693" min="47" max="47"/>
    <col width="9.33203125" customWidth="1" style="693" min="48" max="48"/>
    <col width="9.109375" customWidth="1" style="693" min="49" max="77"/>
    <col width="9.109375" customWidth="1" style="613" min="78" max="79"/>
    <col width="9.109375" customWidth="1" style="613" min="80" max="16384"/>
  </cols>
  <sheetData>
    <row r="1" ht="8.25" customHeight="1" s="613"/>
    <row r="2">
      <c r="B2" s="347" t="inlineStr">
        <is>
          <t>Well:</t>
        </is>
      </c>
      <c r="C2" s="715">
        <f>'SHL Section'!$C$2:$G$2</f>
        <v/>
      </c>
      <c r="D2" s="677" t="n"/>
      <c r="E2" s="677" t="n"/>
      <c r="F2" s="677" t="n"/>
      <c r="G2" s="677" t="n"/>
      <c r="AA2" s="689" t="n"/>
      <c r="AB2" s="689" t="n"/>
      <c r="BZ2" s="693" t="n"/>
      <c r="CA2" s="693" t="n"/>
    </row>
    <row r="3">
      <c r="B3" s="347" t="inlineStr">
        <is>
          <t>API:</t>
        </is>
      </c>
      <c r="C3" s="716">
        <f>'SHL Section'!$C$3:$G$3</f>
        <v/>
      </c>
      <c r="D3" s="677" t="n"/>
      <c r="E3" s="677" t="n"/>
      <c r="F3" s="677" t="n"/>
      <c r="G3" s="677" t="n"/>
      <c r="BZ3" s="693" t="n"/>
      <c r="CA3" s="693" t="n"/>
    </row>
    <row r="4" ht="7.5" customHeight="1" s="613" thickBot="1">
      <c r="S4" s="689" t="n"/>
      <c r="T4" s="693" t="n"/>
      <c r="U4" s="693" t="n"/>
      <c r="V4" s="693" t="n"/>
      <c r="BZ4" s="693" t="n"/>
      <c r="CA4" s="693" t="n"/>
    </row>
    <row r="5" ht="26.25" customHeight="1" s="613">
      <c r="B5" s="417" t="n"/>
      <c r="C5" s="414" t="n"/>
      <c r="D5" s="416" t="inlineStr">
        <is>
          <t>Measured</t>
        </is>
      </c>
      <c r="E5" s="710" t="inlineStr">
        <is>
          <t>Directional Data</t>
        </is>
      </c>
      <c r="F5" s="679" t="n"/>
      <c r="G5" s="679" t="n"/>
      <c r="H5" s="711" t="n"/>
      <c r="I5" s="710" t="inlineStr">
        <is>
          <t>Section Line Footages</t>
        </is>
      </c>
      <c r="J5" s="679" t="n"/>
      <c r="K5" s="679" t="n"/>
      <c r="L5" s="711" t="n"/>
      <c r="M5" s="653" t="n"/>
      <c r="N5" s="653" t="n"/>
      <c r="O5" s="653" t="n"/>
      <c r="P5" s="653" t="n"/>
      <c r="Q5" s="653" t="n"/>
      <c r="R5" s="653" t="n"/>
      <c r="S5" s="413" t="n"/>
      <c r="T5" s="717" t="inlineStr">
        <is>
          <t>UTM</t>
        </is>
      </c>
      <c r="U5" s="679" t="n"/>
      <c r="V5" s="680" t="n"/>
      <c r="BZ5" s="693" t="n"/>
      <c r="CA5" s="693" t="n"/>
    </row>
    <row r="6" ht="15" customHeight="1" s="613">
      <c r="B6" s="705" t="n"/>
      <c r="C6" s="638" t="n"/>
      <c r="D6" s="412" t="inlineStr">
        <is>
          <t>Depth</t>
        </is>
      </c>
      <c r="E6" s="708" t="inlineStr">
        <is>
          <t>N-S</t>
        </is>
      </c>
      <c r="F6" s="616" t="n"/>
      <c r="G6" s="709" t="inlineStr">
        <is>
          <t>E-W</t>
        </is>
      </c>
      <c r="H6" s="617" t="n"/>
      <c r="I6" s="708" t="inlineStr">
        <is>
          <t>FNL-FSL</t>
        </is>
      </c>
      <c r="J6" s="616" t="n"/>
      <c r="K6" s="709" t="inlineStr">
        <is>
          <t>FEL-FWL</t>
        </is>
      </c>
      <c r="L6" s="617" t="n"/>
      <c r="M6" s="451" t="inlineStr">
        <is>
          <t>Qtr-Qtr</t>
        </is>
      </c>
      <c r="N6" s="451" t="inlineStr">
        <is>
          <t>Section</t>
        </is>
      </c>
      <c r="O6" s="451" t="inlineStr">
        <is>
          <t>Township</t>
        </is>
      </c>
      <c r="P6" s="451" t="inlineStr">
        <is>
          <t>T-Dir.</t>
        </is>
      </c>
      <c r="Q6" s="451" t="inlineStr">
        <is>
          <t>Range</t>
        </is>
      </c>
      <c r="R6" s="451" t="inlineStr">
        <is>
          <t>R-Dir.</t>
        </is>
      </c>
      <c r="S6" s="451" t="inlineStr">
        <is>
          <t>Meridian</t>
        </is>
      </c>
      <c r="T6" s="412" t="inlineStr">
        <is>
          <t>Easting</t>
        </is>
      </c>
      <c r="U6" s="451" t="inlineStr">
        <is>
          <t>Northing</t>
        </is>
      </c>
      <c r="V6" s="411" t="inlineStr">
        <is>
          <t>Zone</t>
        </is>
      </c>
      <c r="BZ6" s="693" t="n"/>
      <c r="CA6" s="693" t="n"/>
    </row>
    <row r="7">
      <c r="B7" s="703" t="inlineStr">
        <is>
          <t>Surface</t>
        </is>
      </c>
      <c r="C7" s="704" t="n"/>
      <c r="D7" s="445" t="n">
        <v>0</v>
      </c>
      <c r="E7" s="445" t="n"/>
      <c r="F7" s="442" t="n"/>
      <c r="G7" s="444" t="n"/>
      <c r="H7" s="442" t="n"/>
      <c r="I7" s="445">
        <f>'SHL Section'!$I$7</f>
        <v/>
      </c>
      <c r="J7" s="442">
        <f>IF('SHL Section'!$J$7=1,"FNL","FSL")</f>
        <v/>
      </c>
      <c r="K7" s="444">
        <f>'SHL Section'!$K$7</f>
        <v/>
      </c>
      <c r="L7" s="443">
        <f>IF('SHL Section'!$L$7=1,"FEL","FWL")</f>
        <v/>
      </c>
      <c r="M7" s="406">
        <f>'SHL Section'!$M$7</f>
        <v/>
      </c>
      <c r="N7" s="406">
        <f>'SHL Section'!$N$7</f>
        <v/>
      </c>
      <c r="O7" s="442">
        <f>'SHL Section'!$O$7</f>
        <v/>
      </c>
      <c r="P7" s="442">
        <f>IF('SHL Section'!$P$7=1,"N","S")</f>
        <v/>
      </c>
      <c r="Q7" s="442">
        <f>'SHL Section'!$Q$7</f>
        <v/>
      </c>
      <c r="R7" s="442">
        <f>IF('SHL Section'!$R$7=1,"E","W")</f>
        <v/>
      </c>
      <c r="S7" s="442">
        <f>IF('SHL Section'!$S$7=1,"Salt Lake","Uintah")</f>
        <v/>
      </c>
      <c r="T7" s="441">
        <f>'SHL Section'!$T$7</f>
        <v/>
      </c>
      <c r="U7" s="440">
        <f>'SHL Section'!$U$7</f>
        <v/>
      </c>
      <c r="V7" s="439">
        <f>'SHL Section'!$V$7</f>
        <v/>
      </c>
      <c r="AD7" s="689" t="n"/>
      <c r="BZ7" s="693" t="n"/>
      <c r="CA7" s="693" t="n"/>
    </row>
    <row r="8">
      <c r="B8" s="608" t="inlineStr">
        <is>
          <t>K.O. Point</t>
        </is>
      </c>
      <c r="C8" s="609" t="n"/>
      <c r="D8" s="438">
        <f>'SHL Section'!$D$8</f>
        <v/>
      </c>
      <c r="E8" s="438">
        <f>'SHL Section'!$AI$8</f>
        <v/>
      </c>
      <c r="F8" s="390">
        <f>IF('SHL Section'!$AJ$8=1,"N","S")</f>
        <v/>
      </c>
      <c r="G8" s="437">
        <f>'SHL Section'!$AK$8</f>
        <v/>
      </c>
      <c r="H8" s="390">
        <f>IF('SHL Section'!$AL$8=1,"E","W")</f>
        <v/>
      </c>
      <c r="I8" s="438">
        <f>IF(ISNUMBER($AE$66),$AE$66,IF(ISNUMBER($AG$66),$AG$66,IF(ISNUMBER($AI$66),$AI$66,IF(ISNUMBER($AK$66),$AK$66,""))))</f>
        <v/>
      </c>
      <c r="J8" s="390">
        <f>IF(ISNUMBER($AE$66),$AE$61,IF(ISNUMBER($AG$66),$AG$61,IF(ISNUMBER($AI$66),$AI$61,IF(ISNUMBER($AK$66),$AK$61,""))))</f>
        <v/>
      </c>
      <c r="K8" s="437">
        <f>IF(ISNUMBER($AF$66),$AF$66,IF(ISNUMBER($AH$66),$AH$66,IF(ISNUMBER($AJ$66),$AJ$66,IF(ISNUMBER($AL$66),$AL$66,""))))</f>
        <v/>
      </c>
      <c r="L8" s="391">
        <f>IF(ISNUMBER($AF$66),$AF$61,IF(ISNUMBER($AH$66),$AH$61,IF(ISNUMBER($AJ$66),$AJ$61,IF(ISNUMBER($AL$66),$AL$61,""))))</f>
        <v/>
      </c>
      <c r="M8" s="390">
        <f>IF(OR(ISNUMBER($AE$58),ISNUMBER($AG$58),ISNUMBER($AI$58),ISNUMBER($AK$58)),VLOOKUP(MAX($AE$58:$AL$58),$AV$56:$AZ$59,1+IF(ISNUMBER($AE$58),$AE$46,IF(ISNUMBER($AG$58),$AG$46,IF(ISNUMBER($AI$58),$AI$46,IF(ISNUMBER($AK$58),$AK$46,"")))),FALSE),"")</f>
        <v/>
      </c>
      <c r="N8" s="390">
        <f>'SHL Section'!$N$8</f>
        <v/>
      </c>
      <c r="O8" s="390">
        <f>'SHL Section'!$O$8</f>
        <v/>
      </c>
      <c r="P8" s="390">
        <f>'SHL Section'!$P$8</f>
        <v/>
      </c>
      <c r="Q8" s="390">
        <f>'SHL Section'!$Q$8</f>
        <v/>
      </c>
      <c r="R8" s="390">
        <f>'SHL Section'!$R$8</f>
        <v/>
      </c>
      <c r="S8" s="390">
        <f>IF('SHL Section'!$S$8=1,"Salt Lake","Uintah")</f>
        <v/>
      </c>
      <c r="T8" s="388">
        <f>IF($H8=1,$T$7+$G8/3.28084,$T$7-$G8/3.28084)</f>
        <v/>
      </c>
      <c r="U8" s="437">
        <f>IF($F8=1,$U$7+$E8/3.28084,$U$7-$E8/3.28084)</f>
        <v/>
      </c>
      <c r="V8" s="436">
        <f>$V$7</f>
        <v/>
      </c>
      <c r="AD8" s="689" t="n"/>
      <c r="BZ8" s="693" t="n"/>
      <c r="CA8" s="693" t="n"/>
    </row>
    <row r="9">
      <c r="B9" s="608" t="inlineStr">
        <is>
          <t>Prod. Interval</t>
        </is>
      </c>
      <c r="C9" s="609" t="n"/>
      <c r="D9" s="438">
        <f>'SHL Section'!$D$9</f>
        <v/>
      </c>
      <c r="E9" s="438">
        <f>'SHL Section'!$AI$9</f>
        <v/>
      </c>
      <c r="F9" s="390">
        <f>IF('SHL Section'!$AJ$9=1,"N","S")</f>
        <v/>
      </c>
      <c r="G9" s="437">
        <f>'SHL Section'!$AK$9</f>
        <v/>
      </c>
      <c r="H9" s="390">
        <f>IF('SHL Section'!$AL$9=1,"E","W")</f>
        <v/>
      </c>
      <c r="I9" s="438">
        <f>IF(ISNUMBER($AE$77),$AE$77,IF(ISNUMBER($AG$77),$AG$77,IF(ISNUMBER($AI$77),$AI$77,IF(ISNUMBER($AK$77),$AK$77,""))))</f>
        <v/>
      </c>
      <c r="J9" s="390">
        <f>IF(ISNUMBER($AE$77),$AE$72,IF(ISNUMBER($AG$77),$AG$72,IF(ISNUMBER($AI$77),$AI$72,IF(ISNUMBER($AK$77),$AK$72,""))))</f>
        <v/>
      </c>
      <c r="K9" s="437">
        <f>IF(ISNUMBER($AF$77),$AF$77,IF(ISNUMBER($AH$77),$AH$77,IF(ISNUMBER($AJ$77),$AJ$77,IF(ISNUMBER($AL$77),$AL$77,""))))</f>
        <v/>
      </c>
      <c r="L9" s="391">
        <f>IF(ISNUMBER($AF$77),$AF$72,IF(ISNUMBER($AH$77),$AH$72,IF(ISNUMBER($AJ$77),$AJ$72,IF(ISNUMBER($AL$77),$AL$72,""))))</f>
        <v/>
      </c>
      <c r="M9" s="390">
        <f>IF(OR(ISNUMBER($AE$69),ISNUMBER($AG$69),ISNUMBER($AI$69),ISNUMBER($AK$69)),VLOOKUP(MAX($AE$69:$AL$69),$AV$56:$AZ$59,1+IF(ISNUMBER($AE$69),$AE$46,IF(ISNUMBER($AG$69),$AG$46,IF(ISNUMBER($AI$69),$AI$46,IF(ISNUMBER($AK$69),$AK$46,"")))),FALSE),"")</f>
        <v/>
      </c>
      <c r="N9" s="390">
        <f>'SHL Section'!$N$9</f>
        <v/>
      </c>
      <c r="O9" s="390">
        <f>'SHL Section'!$O$9</f>
        <v/>
      </c>
      <c r="P9" s="390">
        <f>'SHL Section'!$P$9</f>
        <v/>
      </c>
      <c r="Q9" s="390">
        <f>'SHL Section'!$Q$9</f>
        <v/>
      </c>
      <c r="R9" s="390">
        <f>'SHL Section'!$R$9</f>
        <v/>
      </c>
      <c r="S9" s="390">
        <f>IF('SHL Section'!$S$9=1,"Salt Lake","Uintah")</f>
        <v/>
      </c>
      <c r="T9" s="388">
        <f>IF($H9=1,$T$7+$G9/3.28084,$T$7-$G9/3.28084)</f>
        <v/>
      </c>
      <c r="U9" s="437">
        <f>IF($F9=1,$U$7+$E9/3.28084,$U$7-$E9/3.28084)</f>
        <v/>
      </c>
      <c r="V9" s="436">
        <f>$V$7</f>
        <v/>
      </c>
      <c r="AD9" s="689" t="n"/>
      <c r="BZ9" s="693" t="n"/>
      <c r="CA9" s="693" t="n"/>
    </row>
    <row r="10" ht="15.75" customHeight="1" s="613" thickBot="1">
      <c r="B10" s="610" t="inlineStr">
        <is>
          <t>Total Depth</t>
        </is>
      </c>
      <c r="C10" s="611" t="n"/>
      <c r="D10" s="435">
        <f>'SHL Section'!$D$10</f>
        <v/>
      </c>
      <c r="E10" s="435">
        <f>'SHL Section'!$AI$10</f>
        <v/>
      </c>
      <c r="F10" s="382">
        <f>IF('SHL Section'!$AJ$10=1,"N","S")</f>
        <v/>
      </c>
      <c r="G10" s="434">
        <f>'SHL Section'!$AK$10</f>
        <v/>
      </c>
      <c r="H10" s="382">
        <f>IF('SHL Section'!$AL$10=1,"E","W")</f>
        <v/>
      </c>
      <c r="I10" s="435">
        <f>IF(ISNUMBER($AE$88),$AE$88,IF(ISNUMBER($AG$88),$AG$88,IF(ISNUMBER($AI$88),$AI$88,IF(ISNUMBER($AK$88),$AK$88,""))))</f>
        <v/>
      </c>
      <c r="J10" s="382">
        <f>IF(ISNUMBER($AE$88),$AE$83,IF(ISNUMBER($AG$88),$AG$83,IF(ISNUMBER($AI$88),$AI$83,IF(ISNUMBER($AK$88),$AK$83,""))))</f>
        <v/>
      </c>
      <c r="K10" s="434">
        <f>IF(ISNUMBER($AF$88),$AF$88,IF(ISNUMBER($AH$88),$AH$88,IF(ISNUMBER($AJ$88),$AJ$88,IF(ISNUMBER($AL$88),$AL$88,""))))</f>
        <v/>
      </c>
      <c r="L10" s="383">
        <f>IF(ISNUMBER($AF$88),$AF$83,IF(ISNUMBER($AH$88),$AH$83,IF(ISNUMBER($AJ$88),$AJ$83,IF(ISNUMBER($AL$88),$AL$83,""))))</f>
        <v/>
      </c>
      <c r="M10" s="382">
        <f>IF(OR(ISNUMBER($AE$80),ISNUMBER($AG$80),ISNUMBER($AI$80),ISNUMBER($AK$80)),VLOOKUP(MAX($AE$80:$AL$80),$AV$56:$AZ$59,1+IF(ISNUMBER($AE$80),$AE$46,IF(ISNUMBER($AG$80),$AG$46,IF(ISNUMBER($AI$80),$AI$46,IF(ISNUMBER($AK$80),$AK$46,"")))),FALSE),"")</f>
        <v/>
      </c>
      <c r="N10" s="382">
        <f>'SHL Section'!$N$10</f>
        <v/>
      </c>
      <c r="O10" s="382">
        <f>'SHL Section'!$O$10</f>
        <v/>
      </c>
      <c r="P10" s="382">
        <f>'SHL Section'!$P$10</f>
        <v/>
      </c>
      <c r="Q10" s="382">
        <f>'SHL Section'!$Q$10</f>
        <v/>
      </c>
      <c r="R10" s="382">
        <f>'SHL Section'!$R$10</f>
        <v/>
      </c>
      <c r="S10" s="382">
        <f>IF('SHL Section'!$S$10=1,"Salt Lake","Uintah")</f>
        <v/>
      </c>
      <c r="T10" s="380">
        <f>IF($H10=1,$T$7+$G10/3.28084,$T$7-$G10/3.28084)</f>
        <v/>
      </c>
      <c r="U10" s="434">
        <f>IF($F10=1,$U$7+$E10/3.28084,$U$7-$E10/3.28084)</f>
        <v/>
      </c>
      <c r="V10" s="433">
        <f>$V$7</f>
        <v/>
      </c>
      <c r="AD10" s="689" t="n"/>
      <c r="BZ10" s="693" t="n"/>
      <c r="CA10" s="693" t="n"/>
    </row>
    <row r="11">
      <c r="G11" s="376" t="n"/>
      <c r="H11" s="360" t="n"/>
      <c r="I11" s="360" t="n"/>
      <c r="J11" s="360" t="n"/>
      <c r="K11" s="360" t="n"/>
      <c r="L11" s="360" t="n"/>
      <c r="M11" s="360" t="n"/>
      <c r="N11" s="360" t="n"/>
      <c r="O11" s="360" t="n"/>
      <c r="P11" s="360" t="n"/>
      <c r="Q11" s="360" t="n"/>
      <c r="R11" s="360" t="n"/>
      <c r="S11" s="360" t="n"/>
      <c r="T11" s="360" t="n"/>
      <c r="U11" s="360" t="n"/>
      <c r="V11" s="360" t="n"/>
      <c r="W11" s="360" t="n"/>
      <c r="BZ11" s="693" t="n"/>
      <c r="CA11" s="693" t="n"/>
      <c r="CB11" s="693" t="n"/>
      <c r="CC11" s="693" t="n"/>
    </row>
    <row r="12">
      <c r="B12" s="374" t="inlineStr">
        <is>
          <t xml:space="preserve">For single section line bearing and distance, input in green shaded area. </t>
        </is>
      </c>
      <c r="C12" s="373" t="n"/>
      <c r="D12" s="373" t="n"/>
      <c r="E12" s="373" t="n"/>
      <c r="F12" s="373" t="n"/>
      <c r="G12" s="373" t="n"/>
      <c r="H12" s="373" t="n"/>
      <c r="I12" s="373" t="n"/>
      <c r="J12" s="373" t="n"/>
      <c r="K12" s="373" t="n"/>
      <c r="L12" s="360" t="n"/>
      <c r="M12" s="360" t="n"/>
      <c r="N12" s="360" t="n"/>
      <c r="O12" s="360" t="n"/>
      <c r="P12" s="360" t="n"/>
      <c r="Q12" s="360" t="n"/>
      <c r="R12" s="360" t="n"/>
      <c r="S12" s="360" t="n"/>
      <c r="T12" s="360" t="n"/>
      <c r="U12" s="360" t="n"/>
      <c r="AA12" s="360" t="n"/>
      <c r="AB12" s="360" t="n"/>
      <c r="AC12" s="360" t="n"/>
      <c r="AM12" s="360" t="n"/>
      <c r="BZ12" s="693" t="n"/>
      <c r="CA12" s="693" t="n"/>
    </row>
    <row r="13">
      <c r="B13" s="369" t="inlineStr">
        <is>
          <t xml:space="preserve">For single quarter section line bearing and distance, input in either of two areas. </t>
        </is>
      </c>
      <c r="C13" s="368" t="n"/>
      <c r="D13" s="368" t="n"/>
      <c r="E13" s="368" t="n"/>
      <c r="F13" s="368" t="n"/>
      <c r="G13" s="368" t="n"/>
      <c r="H13" s="368" t="n"/>
      <c r="I13" s="368" t="n"/>
      <c r="J13" s="368" t="n"/>
      <c r="K13" s="368" t="n"/>
      <c r="L13" s="360" t="n"/>
      <c r="M13" s="360" t="n"/>
      <c r="N13" s="360" t="n"/>
      <c r="O13" s="360" t="n"/>
      <c r="P13" s="360" t="n"/>
      <c r="Q13" s="360" t="n"/>
      <c r="R13" s="360" t="n"/>
      <c r="S13" s="360" t="n"/>
      <c r="T13" s="360" t="n"/>
      <c r="U13" s="360" t="n"/>
      <c r="V13" s="360" t="n"/>
      <c r="W13" s="360" t="n"/>
      <c r="X13" s="360" t="n"/>
      <c r="Y13" s="360" t="n"/>
      <c r="Z13" s="360" t="n"/>
      <c r="AA13" s="360" t="n"/>
      <c r="AB13" s="360" t="n"/>
      <c r="AC13" s="360" t="n"/>
      <c r="AM13" s="360" t="n"/>
      <c r="BZ13" s="693" t="n"/>
      <c r="CA13" s="693" t="n"/>
    </row>
    <row r="14" customFormat="1" s="341">
      <c r="N14" s="360" t="n"/>
      <c r="O14" s="360" t="n"/>
      <c r="P14" s="360" t="n"/>
      <c r="Q14" s="360" t="n"/>
      <c r="R14" s="360" t="n"/>
      <c r="S14" s="360" t="n"/>
      <c r="T14" s="360" t="n"/>
      <c r="U14" s="360" t="n"/>
      <c r="V14" s="360" t="n"/>
      <c r="W14" s="360" t="n"/>
      <c r="X14" s="360" t="n"/>
      <c r="Y14" s="360" t="n"/>
      <c r="Z14" s="360" t="n"/>
      <c r="AA14" s="689" t="n"/>
      <c r="AB14" s="689" t="n"/>
      <c r="AC14" s="693" t="n"/>
      <c r="AD14" s="693" t="n"/>
      <c r="AE14" s="693" t="n"/>
      <c r="AF14" s="693" t="n"/>
      <c r="AG14" s="693" t="n"/>
      <c r="AH14" s="693" t="n"/>
      <c r="AI14" s="693" t="n"/>
      <c r="AJ14" s="693" t="n"/>
      <c r="AK14" s="693" t="n"/>
      <c r="AL14" s="693" t="n"/>
      <c r="AM14" s="693" t="n"/>
      <c r="AN14" s="693" t="n"/>
      <c r="AO14" s="693" t="n"/>
      <c r="AP14" s="693" t="n"/>
      <c r="AQ14" s="693" t="n"/>
      <c r="AR14" s="693" t="n"/>
      <c r="AS14" s="693" t="n"/>
      <c r="AT14" s="693" t="n"/>
      <c r="AU14" s="693" t="n"/>
      <c r="AV14" s="693" t="n"/>
      <c r="AW14" s="693" t="n"/>
      <c r="AX14" s="693" t="n"/>
      <c r="AY14" s="693" t="n"/>
      <c r="AZ14" s="693" t="n"/>
      <c r="BA14" s="693" t="n"/>
      <c r="BB14" s="693" t="n"/>
      <c r="BC14" s="693" t="n"/>
      <c r="BD14" s="693" t="n"/>
      <c r="BE14" s="693" t="n"/>
      <c r="BF14" s="693" t="n"/>
      <c r="BG14" s="693" t="n"/>
      <c r="BH14" s="693" t="n"/>
      <c r="BI14" s="693" t="n"/>
      <c r="BJ14" s="693" t="n"/>
      <c r="BK14" s="693" t="n"/>
      <c r="BL14" s="693" t="n"/>
      <c r="BM14" s="693" t="n"/>
      <c r="BN14" s="693" t="n"/>
      <c r="BO14" s="693" t="n"/>
      <c r="BP14" s="693" t="n"/>
      <c r="BQ14" s="693" t="n"/>
      <c r="BR14" s="693" t="n"/>
      <c r="BS14" s="693" t="n"/>
      <c r="BT14" s="693" t="n"/>
      <c r="BU14" s="693" t="n"/>
      <c r="BV14" s="693" t="n"/>
      <c r="BW14" s="693" t="n"/>
      <c r="BX14" s="693" t="n"/>
      <c r="BY14" s="693" t="n"/>
      <c r="BZ14" s="693" t="n"/>
      <c r="CA14" s="693" t="n"/>
    </row>
    <row r="15" customFormat="1" s="341">
      <c r="N15" s="360" t="n"/>
      <c r="O15" s="360" t="n"/>
      <c r="P15" s="360" t="n"/>
      <c r="Q15" s="360" t="n"/>
      <c r="R15" s="360" t="n"/>
      <c r="S15" s="360" t="n"/>
      <c r="T15" s="360" t="n"/>
      <c r="U15" s="360" t="n"/>
      <c r="V15" s="360" t="n"/>
      <c r="W15" s="360" t="n"/>
      <c r="X15" s="360" t="n"/>
      <c r="Y15" s="360" t="n"/>
      <c r="Z15" s="360" t="n"/>
      <c r="AA15" s="689" t="n"/>
      <c r="AB15" s="689" t="n"/>
      <c r="AC15" s="342" t="n"/>
      <c r="AD15" s="693" t="n"/>
      <c r="AE15" s="693" t="n"/>
      <c r="AF15" s="693" t="n"/>
      <c r="AG15" s="693" t="n"/>
      <c r="AH15" s="693" t="n"/>
      <c r="AI15" s="693" t="n"/>
      <c r="AJ15" s="693" t="n"/>
      <c r="AK15" s="693" t="n"/>
      <c r="AL15" s="693" t="n"/>
      <c r="AM15" s="342" t="n"/>
      <c r="AN15" s="342" t="n"/>
      <c r="AO15" s="342" t="n"/>
      <c r="AP15" s="342" t="n"/>
      <c r="AQ15" s="342" t="n"/>
      <c r="AR15" s="342" t="n"/>
      <c r="AS15" s="342" t="n"/>
      <c r="AT15" s="342" t="n"/>
      <c r="AU15" s="342" t="n"/>
      <c r="AV15" s="342" t="n"/>
      <c r="AW15" s="342" t="n"/>
      <c r="AX15" s="342" t="n"/>
      <c r="AY15" s="342" t="n"/>
      <c r="AZ15" s="342" t="n"/>
      <c r="BA15" s="342" t="n"/>
      <c r="BB15" s="342" t="n"/>
      <c r="BC15" s="342" t="n"/>
      <c r="BD15" s="342" t="n"/>
      <c r="BE15" s="342" t="n"/>
      <c r="BF15" s="342" t="n"/>
      <c r="BG15" s="342" t="n"/>
      <c r="BH15" s="342" t="n"/>
      <c r="BI15" s="342" t="n"/>
      <c r="BJ15" s="342" t="n"/>
      <c r="BK15" s="342" t="n"/>
      <c r="BL15" s="342" t="n"/>
      <c r="BM15" s="342" t="n"/>
      <c r="BN15" s="342" t="n"/>
      <c r="BO15" s="342" t="n"/>
      <c r="BP15" s="342" t="n"/>
      <c r="BQ15" s="342" t="n"/>
      <c r="BR15" s="342" t="n"/>
      <c r="BS15" s="342" t="n"/>
      <c r="BT15" s="342" t="n"/>
      <c r="BU15" s="342" t="n"/>
      <c r="BV15" s="342" t="n"/>
      <c r="BW15" s="342" t="n"/>
      <c r="BX15" s="342" t="n"/>
      <c r="BY15" s="342" t="n"/>
      <c r="BZ15" s="342" t="n"/>
      <c r="CA15" s="342" t="n"/>
    </row>
    <row r="16">
      <c r="A16" s="341" t="n"/>
      <c r="B16" s="341" t="n"/>
      <c r="C16" s="341" t="n"/>
      <c r="D16" s="341" t="n"/>
      <c r="E16" s="341" t="n"/>
      <c r="F16" s="341" t="n"/>
      <c r="G16" s="341" t="n"/>
      <c r="H16" s="341" t="n"/>
      <c r="I16" s="341" t="n"/>
      <c r="J16" s="341" t="n"/>
      <c r="K16" s="341" t="n"/>
      <c r="L16" s="360" t="n"/>
      <c r="M16" s="360" t="n"/>
      <c r="AA16" s="689" t="n"/>
      <c r="AB16" s="689" t="n"/>
      <c r="AC16" s="342" t="n"/>
      <c r="AM16" s="689" t="n"/>
      <c r="AN16" s="342" t="n"/>
      <c r="AO16" s="342" t="n"/>
      <c r="AP16" s="342" t="n"/>
      <c r="AQ16" s="342" t="n"/>
      <c r="AR16" s="342" t="n"/>
      <c r="AS16" s="342" t="n"/>
      <c r="AT16" s="342" t="n"/>
      <c r="AU16" s="342" t="n"/>
      <c r="AV16" s="342" t="n"/>
      <c r="AW16" s="342" t="n"/>
      <c r="AX16" s="342" t="n"/>
      <c r="AY16" s="342" t="n"/>
      <c r="AZ16" s="342" t="n"/>
      <c r="BA16" s="342" t="n"/>
      <c r="BB16" s="342" t="n"/>
      <c r="BC16" s="342" t="n"/>
      <c r="BD16" s="342" t="n"/>
      <c r="BE16" s="342" t="n"/>
      <c r="BF16" s="342" t="n"/>
      <c r="BG16" s="342" t="n"/>
      <c r="BH16" s="342" t="n"/>
      <c r="BI16" s="342" t="n"/>
      <c r="BJ16" s="342" t="n"/>
      <c r="BK16" s="342" t="n"/>
      <c r="BL16" s="342" t="n"/>
      <c r="BM16" s="342" t="n"/>
      <c r="BN16" s="342" t="n"/>
      <c r="BO16" s="342" t="n"/>
      <c r="BP16" s="342" t="n"/>
      <c r="BQ16" s="342" t="n"/>
      <c r="BR16" s="342" t="n"/>
      <c r="BS16" s="342" t="n"/>
      <c r="BT16" s="342" t="n"/>
      <c r="BU16" s="342" t="n"/>
      <c r="BV16" s="342" t="n"/>
      <c r="BW16" s="342" t="n"/>
      <c r="BX16" s="342" t="n"/>
      <c r="BY16" s="342" t="n"/>
      <c r="BZ16" s="342" t="n"/>
      <c r="CA16" s="342" t="n"/>
      <c r="CB16" s="341" t="n"/>
    </row>
    <row r="17" ht="12" customHeight="1" s="613" thickBot="1">
      <c r="B17" s="623" t="n"/>
      <c r="E17" s="420">
        <f>IF(AND($L$38='SHL Section'!$BE$52,MAX('BHL Section 2'!$BF$37:$BF$40)=6),'BHL Section 2'!$E$63,IF(AND($L$38='SHL Section'!$BE$55,MAX('BHL Section 2'!$BF$41:$BF$44)=6),'BHL Section 2'!$E$63,IF(AND($L$38='SHL Section'!$BE$58,MAX('BHL Section 2'!$BF$45:$BF$48)=6),'BHL Section 2'!$E$63,E18)))</f>
        <v/>
      </c>
      <c r="F17" s="449" t="n"/>
      <c r="G17" s="449" t="n"/>
      <c r="H17" s="449" t="n"/>
      <c r="I17" s="449" t="n"/>
      <c r="J17" s="449" t="n"/>
      <c r="K17" s="420">
        <f>IF(AND($L$38='SHL Section'!$BE$52,MAX('BHL Section 2'!$BF$37:$BF$40)=6),'BHL Section 2'!$K$63,IF(AND($L$38='SHL Section'!$BE$55,MAX('BHL Section 2'!$BF$41:$BF$44)=6),'BHL Section 2'!$K$63,IF(AND($L$38='SHL Section'!$BE$58,MAX('BHL Section 2'!$BF$45:$BF$48)=6),'BHL Section 2'!$K$63,K18)))</f>
        <v/>
      </c>
      <c r="L17" s="449" t="n"/>
      <c r="M17" s="449" t="n"/>
      <c r="N17" s="449" t="n"/>
      <c r="O17" s="420">
        <f>IF(AND($L$38='SHL Section'!$BE$52,MAX('BHL Section 2'!$BF$37:$BF$40)=6),'BHL Section 2'!$O$63,IF(AND($L$38='SHL Section'!$BE$55,MAX('BHL Section 2'!$BF$41:$BF$44)=6),'BHL Section 2'!$O$63,IF(AND($L$38='SHL Section'!$BE$58,MAX('BHL Section 2'!$BF$45:$BF$48)=6),'BHL Section 2'!$O$63,O18)))</f>
        <v/>
      </c>
      <c r="P17" s="449" t="n"/>
      <c r="Q17" s="449" t="n"/>
      <c r="R17" s="449" t="n"/>
      <c r="S17" s="449" t="n"/>
      <c r="T17" s="449" t="n"/>
      <c r="U17" s="420">
        <f>IF(AND($L$38='SHL Section'!$BE$52,MAX('BHL Section 2'!$BF$37:$BF$40)=6),'BHL Section 2'!$U$63,IF(AND($L$38='SHL Section'!$BE$55,MAX('BHL Section 2'!$BF$41:$BF$44)=6),'BHL Section 2'!$U$63,IF(AND($L$38='SHL Section'!$BE$58,MAX('BHL Section 2'!$BF$45:$BF$48)=6),'BHL Section 2'!$U$63,U18)))</f>
        <v/>
      </c>
      <c r="AA17" s="689" t="n"/>
      <c r="AB17" s="689" t="n"/>
      <c r="AC17" s="676" t="inlineStr">
        <is>
          <t>Distances from Section and Quarter Corners</t>
        </is>
      </c>
      <c r="AD17" s="677" t="n"/>
      <c r="AE17" s="677" t="n"/>
      <c r="AF17" s="677" t="n"/>
      <c r="AG17" s="677" t="n"/>
      <c r="AH17" s="677" t="n"/>
      <c r="AI17" s="677" t="n"/>
      <c r="AJ17" s="677" t="n"/>
      <c r="AK17" s="677" t="n"/>
      <c r="AL17" s="677" t="n"/>
      <c r="AM17" s="677" t="n"/>
      <c r="AN17" s="677" t="n"/>
      <c r="AO17" s="677" t="n"/>
      <c r="AP17" s="677" t="n"/>
      <c r="AQ17" s="677" t="n"/>
      <c r="AR17" s="677" t="n"/>
      <c r="AS17" s="677" t="n"/>
      <c r="AT17" s="677" t="n"/>
      <c r="AU17" s="335" t="inlineStr">
        <is>
          <t>Qtr-Qtr Section</t>
        </is>
      </c>
      <c r="AV17" s="674" t="inlineStr">
        <is>
          <t>1 N-NENE</t>
        </is>
      </c>
      <c r="AW17" s="675" t="n"/>
      <c r="AX17" s="674" t="inlineStr">
        <is>
          <t>2 N-NWNE</t>
        </is>
      </c>
      <c r="AY17" s="675" t="n"/>
      <c r="AZ17" s="674" t="inlineStr">
        <is>
          <t>3 N-NENW</t>
        </is>
      </c>
      <c r="BA17" s="675" t="n"/>
      <c r="BB17" s="674" t="inlineStr">
        <is>
          <t>4 N-NWNW</t>
        </is>
      </c>
      <c r="BC17" s="675" t="n"/>
      <c r="BD17" s="674" t="inlineStr">
        <is>
          <t>5 W-NWNW</t>
        </is>
      </c>
      <c r="BE17" s="675" t="n"/>
      <c r="BF17" s="674" t="inlineStr">
        <is>
          <t>6 W-SWNW</t>
        </is>
      </c>
      <c r="BG17" s="675" t="n"/>
      <c r="BH17" s="674" t="inlineStr">
        <is>
          <t>7 W-NWSW</t>
        </is>
      </c>
      <c r="BI17" s="675" t="n"/>
      <c r="BJ17" s="674" t="inlineStr">
        <is>
          <t>8 W-SWSW</t>
        </is>
      </c>
      <c r="BK17" s="675" t="n"/>
      <c r="BL17" s="674" t="inlineStr">
        <is>
          <t>9 S-SWSW</t>
        </is>
      </c>
      <c r="BM17" s="675" t="n"/>
      <c r="BN17" s="674" t="inlineStr">
        <is>
          <t>10 S-SESW</t>
        </is>
      </c>
      <c r="BO17" s="675" t="n"/>
      <c r="BP17" s="674" t="inlineStr">
        <is>
          <t>11 S-SWSE</t>
        </is>
      </c>
      <c r="BQ17" s="675" t="n"/>
      <c r="BR17" s="674" t="inlineStr">
        <is>
          <t>12 S-SESE</t>
        </is>
      </c>
      <c r="BS17" s="675" t="n"/>
      <c r="BT17" s="674" t="inlineStr">
        <is>
          <t>13 E-SESE</t>
        </is>
      </c>
      <c r="BU17" s="675" t="n"/>
      <c r="BV17" s="674" t="inlineStr">
        <is>
          <t>14 E-NESE</t>
        </is>
      </c>
      <c r="BW17" s="675" t="n"/>
      <c r="BX17" s="674" t="inlineStr">
        <is>
          <t>15 E-SENE</t>
        </is>
      </c>
      <c r="BY17" s="675" t="n"/>
      <c r="BZ17" s="674" t="inlineStr">
        <is>
          <t>16 E-NENE</t>
        </is>
      </c>
      <c r="CA17" s="675" t="n"/>
    </row>
    <row r="18" ht="12" customHeight="1" s="613">
      <c r="B18" s="347" t="n"/>
      <c r="C18" s="346" t="n"/>
      <c r="D18" s="429" t="inlineStr">
        <is>
          <t>dist.</t>
        </is>
      </c>
      <c r="E18" s="302">
        <f>IF(NOT(ISBLANK(F18)),F18,DGET('Grid Numbers'!$A$2:$L$4952,'Grid Numbers'!$H$2,L66:R67))</f>
        <v/>
      </c>
      <c r="F18" s="504" t="n"/>
      <c r="G18" s="346" t="n"/>
      <c r="H18" s="346" t="n"/>
      <c r="I18" s="346" t="n"/>
      <c r="J18" s="429" t="inlineStr">
        <is>
          <t>dist.</t>
        </is>
      </c>
      <c r="K18" s="303">
        <f>IF(NOT(ISBLANK(L18)),L18,DGET('Grid Numbers'!$A$2:$L$4952,'Grid Numbers'!$H$2,$L$68:$R$69))</f>
        <v/>
      </c>
      <c r="L18" s="506" t="n"/>
      <c r="N18" s="429" t="inlineStr">
        <is>
          <t>dist.</t>
        </is>
      </c>
      <c r="O18" s="301">
        <f>IF(NOT(ISBLANK(P18)),P18,DGET('Grid Numbers'!$A$2:$L$4952,'Grid Numbers'!$H$2,$L$70:$R$71))</f>
        <v/>
      </c>
      <c r="P18" s="505" t="n"/>
      <c r="T18" s="429" t="inlineStr">
        <is>
          <t>dist.</t>
        </is>
      </c>
      <c r="U18" s="301">
        <f>IF(NOT(ISBLANK(V18)),V18,DGET('Grid Numbers'!$A$2:$L$4952,'Grid Numbers'!$H$2,$L$72:$R$73))</f>
        <v/>
      </c>
      <c r="V18" s="505" t="n"/>
      <c r="AA18" s="689" t="n"/>
      <c r="AB18" s="689" t="n"/>
      <c r="AC18" s="300" t="n"/>
      <c r="AD18" s="342" t="n"/>
      <c r="AE18" s="674" t="inlineStr">
        <is>
          <t>NE SC</t>
        </is>
      </c>
      <c r="AF18" s="675" t="n"/>
      <c r="AG18" s="674" t="inlineStr">
        <is>
          <t>NW SC</t>
        </is>
      </c>
      <c r="AH18" s="675" t="n"/>
      <c r="AI18" s="674" t="inlineStr">
        <is>
          <t>SW SC</t>
        </is>
      </c>
      <c r="AJ18" s="675" t="n"/>
      <c r="AK18" s="674" t="inlineStr">
        <is>
          <t>SE SC</t>
        </is>
      </c>
      <c r="AL18" s="675" t="n"/>
      <c r="AM18" s="674" t="inlineStr">
        <is>
          <t>N QC</t>
        </is>
      </c>
      <c r="AN18" s="675" t="n"/>
      <c r="AO18" s="674" t="inlineStr">
        <is>
          <t>W QC</t>
        </is>
      </c>
      <c r="AP18" s="675" t="n"/>
      <c r="AQ18" s="674" t="inlineStr">
        <is>
          <t>S QC</t>
        </is>
      </c>
      <c r="AR18" s="675" t="n"/>
      <c r="AS18" s="674" t="inlineStr">
        <is>
          <t>E QC</t>
        </is>
      </c>
      <c r="AT18" s="675" t="n"/>
      <c r="AU18" s="335" t="inlineStr">
        <is>
          <t>N-S &amp; E-W</t>
        </is>
      </c>
      <c r="AV18" s="467" t="inlineStr">
        <is>
          <t>N-S</t>
        </is>
      </c>
      <c r="AW18" s="468" t="inlineStr">
        <is>
          <t>E-W</t>
        </is>
      </c>
      <c r="AX18" s="467" t="inlineStr">
        <is>
          <t>N-S</t>
        </is>
      </c>
      <c r="AY18" s="468" t="inlineStr">
        <is>
          <t>E-W</t>
        </is>
      </c>
      <c r="AZ18" s="467" t="inlineStr">
        <is>
          <t>N-S</t>
        </is>
      </c>
      <c r="BA18" s="468" t="inlineStr">
        <is>
          <t>E-W</t>
        </is>
      </c>
      <c r="BB18" s="467" t="inlineStr">
        <is>
          <t>N-S</t>
        </is>
      </c>
      <c r="BC18" s="468" t="inlineStr">
        <is>
          <t>E-W</t>
        </is>
      </c>
      <c r="BD18" s="467" t="inlineStr">
        <is>
          <t>N-S</t>
        </is>
      </c>
      <c r="BE18" s="468" t="inlineStr">
        <is>
          <t>E-W</t>
        </is>
      </c>
      <c r="BF18" s="467" t="inlineStr">
        <is>
          <t>N-S</t>
        </is>
      </c>
      <c r="BG18" s="468" t="inlineStr">
        <is>
          <t>E-W</t>
        </is>
      </c>
      <c r="BH18" s="467" t="inlineStr">
        <is>
          <t>N-S</t>
        </is>
      </c>
      <c r="BI18" s="468" t="inlineStr">
        <is>
          <t>E-W</t>
        </is>
      </c>
      <c r="BJ18" s="467" t="inlineStr">
        <is>
          <t>N-S</t>
        </is>
      </c>
      <c r="BK18" s="468" t="inlineStr">
        <is>
          <t>E-W</t>
        </is>
      </c>
      <c r="BL18" s="467" t="inlineStr">
        <is>
          <t>N-S</t>
        </is>
      </c>
      <c r="BM18" s="468" t="inlineStr">
        <is>
          <t>E-W</t>
        </is>
      </c>
      <c r="BN18" s="467" t="inlineStr">
        <is>
          <t>N-S</t>
        </is>
      </c>
      <c r="BO18" s="468" t="inlineStr">
        <is>
          <t>E-W</t>
        </is>
      </c>
      <c r="BP18" s="467" t="inlineStr">
        <is>
          <t>N-S</t>
        </is>
      </c>
      <c r="BQ18" s="468" t="inlineStr">
        <is>
          <t>E-W</t>
        </is>
      </c>
      <c r="BR18" s="467" t="inlineStr">
        <is>
          <t>N-S</t>
        </is>
      </c>
      <c r="BS18" s="468" t="inlineStr">
        <is>
          <t>E-W</t>
        </is>
      </c>
      <c r="BT18" s="467" t="inlineStr">
        <is>
          <t>N-S</t>
        </is>
      </c>
      <c r="BU18" s="468" t="inlineStr">
        <is>
          <t>E-W</t>
        </is>
      </c>
      <c r="BV18" s="467" t="inlineStr">
        <is>
          <t>N-S</t>
        </is>
      </c>
      <c r="BW18" s="468" t="inlineStr">
        <is>
          <t>E-W</t>
        </is>
      </c>
      <c r="BX18" s="467" t="inlineStr">
        <is>
          <t>N-S</t>
        </is>
      </c>
      <c r="BY18" s="468" t="inlineStr">
        <is>
          <t>E-W</t>
        </is>
      </c>
      <c r="BZ18" s="467" t="inlineStr">
        <is>
          <t>N-S</t>
        </is>
      </c>
      <c r="CA18" s="468" t="inlineStr">
        <is>
          <t>E-W</t>
        </is>
      </c>
    </row>
    <row r="19" ht="12" customHeight="1" s="613">
      <c r="B19" s="347" t="n"/>
      <c r="C19" s="346" t="n"/>
      <c r="D19" s="429" t="inlineStr">
        <is>
          <t>deg.</t>
        </is>
      </c>
      <c r="E19" s="295">
        <f>IF(NOT(ISBLANK(F19)),F19,DGET('Grid Numbers'!$A$2:$L$4952,'Grid Numbers'!$I$2,L66:R67))</f>
        <v/>
      </c>
      <c r="F19" s="504" t="n"/>
      <c r="G19" s="346" t="n"/>
      <c r="H19" s="346" t="n"/>
      <c r="I19" s="346" t="n"/>
      <c r="J19" s="429" t="inlineStr">
        <is>
          <t>deg.</t>
        </is>
      </c>
      <c r="K19" s="296">
        <f>IF(NOT(ISBLANK(L19)),L19,DGET('Grid Numbers'!$A$2:$L$4952,'Grid Numbers'!$I$2,$L$68:$R$69))</f>
        <v/>
      </c>
      <c r="L19" s="505" t="n"/>
      <c r="N19" s="429" t="inlineStr">
        <is>
          <t>deg.</t>
        </is>
      </c>
      <c r="O19" s="295">
        <f>IF(NOT(ISBLANK(P19)),P19,DGET('Grid Numbers'!$A$2:$L$4952,'Grid Numbers'!$I$2,$L$70:$R$71))</f>
        <v/>
      </c>
      <c r="P19" s="505" t="n"/>
      <c r="T19" s="429" t="inlineStr">
        <is>
          <t>deg.</t>
        </is>
      </c>
      <c r="U19" s="295">
        <f>IF(NOT(ISBLANK(V19)),V19,DGET('Grid Numbers'!$A$2:$L$4952,'Grid Numbers'!$I$2,$L$72:$R$73))</f>
        <v/>
      </c>
      <c r="V19" s="505" t="n"/>
      <c r="AA19" s="689" t="n"/>
      <c r="AB19" s="689" t="n"/>
      <c r="AC19" s="469" t="inlineStr">
        <is>
          <t>Quad</t>
        </is>
      </c>
      <c r="AD19" s="470" t="n"/>
      <c r="AE19" s="671" t="inlineStr">
        <is>
          <t>N-S</t>
        </is>
      </c>
      <c r="AF19" s="671" t="inlineStr">
        <is>
          <t>E-W</t>
        </is>
      </c>
      <c r="AG19" s="671" t="inlineStr">
        <is>
          <t>N-S</t>
        </is>
      </c>
      <c r="AH19" s="671" t="inlineStr">
        <is>
          <t>E-W</t>
        </is>
      </c>
      <c r="AI19" s="671" t="inlineStr">
        <is>
          <t>N-S</t>
        </is>
      </c>
      <c r="AJ19" s="671" t="inlineStr">
        <is>
          <t>E-W</t>
        </is>
      </c>
      <c r="AK19" s="671" t="inlineStr">
        <is>
          <t>N-S</t>
        </is>
      </c>
      <c r="AL19" s="671" t="inlineStr">
        <is>
          <t>E-W</t>
        </is>
      </c>
      <c r="AM19" s="671" t="inlineStr">
        <is>
          <t>N-S</t>
        </is>
      </c>
      <c r="AN19" s="671" t="inlineStr">
        <is>
          <t>E-W</t>
        </is>
      </c>
      <c r="AO19" s="671" t="inlineStr">
        <is>
          <t>N-S</t>
        </is>
      </c>
      <c r="AP19" s="671" t="inlineStr">
        <is>
          <t>E-W</t>
        </is>
      </c>
      <c r="AQ19" s="671" t="inlineStr">
        <is>
          <t>N-S</t>
        </is>
      </c>
      <c r="AR19" s="671" t="inlineStr">
        <is>
          <t>E-W</t>
        </is>
      </c>
      <c r="AS19" s="671" t="inlineStr">
        <is>
          <t>N-S</t>
        </is>
      </c>
      <c r="AT19" s="671" t="inlineStr">
        <is>
          <t>E-W</t>
        </is>
      </c>
      <c r="AU19" s="335" t="n"/>
      <c r="AV19" s="775">
        <f>IF(AND($U$17&gt;0,$O$17&gt;0),$U$17*SIN(RADIANS(90-$U$23)),IF(AND($U$17=0,$O$17&gt;0),$O$17/2*SIN(RADIANS(90-$O$23)),IF(AND($U$17&gt;0,$O$17=0),$U$17/2*SIN(RADIANS(90-$U$23)),IF(AND($U$17=0,$O$17=0,$K$17=0),$E$17/4*SIN(RADIANS(90-$E$23)),$K$17/4*SIN(RADIANS(90-$K$23))))))</f>
        <v/>
      </c>
      <c r="AW19" s="776">
        <f>IF(AND($U$17&gt;0,$O$17&gt;0),$U$17*COS(RADIANS(90-$U$23)),IF(AND($U$17=0,$O$17&gt;0),$O$17/2*COS(RADIANS(90-$O$23)),IF(AND($U$17&gt;0,$O$17=0),$U$17/2*COS(RADIANS(90-$U$23)),IF(AND($U$17=0,$O$17=0,$K$17=0),$E$17/4*COS(RADIANS(90-$E$23)),$K$17/4*COS(RADIANS(90-$K$23))))))</f>
        <v/>
      </c>
      <c r="AX19" s="775">
        <f>IF(AND($U$17&gt;0,$O$17&gt;0),$O$17*SIN(RADIANS(90-$O$23)),IF(AND($U$17=0,$O$17&gt;0),$O$17/2*SIN(RADIANS(90-$O$23)),IF(AND($U$17&gt;0,$O$17=0),$U$17/2*SIN(RADIANS(90-$U$23)),IF(AND($U$17=0,$O$17=0,$K$17=0),$E$17/4*SIN(RADIANS(90-$E$23)),$K$17/4*SIN(RADIANS(90-$K$23))))))</f>
        <v/>
      </c>
      <c r="AY19" s="776">
        <f>IF(AND($U$17&gt;0,$O$17&gt;0),$O$17*COS(RADIANS(90-$O$23)),IF(AND($U$17=0,$O$17&gt;0),$O$17/2*COS(RADIANS(90-$O$23)),IF(AND($U$17&gt;0,$O$17=0),$U$17/2*COS(RADIANS(90-$U$23)),IF(AND($U$17=0,$O$17=0,$K$17=0),$E$17/4*COS(RADIANS(90-$E$23)),$K$17/4*COS(RADIANS(90-$K$23))))))</f>
        <v/>
      </c>
      <c r="AZ19" s="775">
        <f>IF(AND($K$17&gt;0,$E$17&gt;0,OR($O$17&gt;0,$U$17&gt;0)),$K$17*SIN(RADIANS(90-$K$23)),IF(AND($K$17=0,$E$17&gt;0,OR($O$17&gt;0,$U$17&gt;0)),$E$17/2*SIN(RADIANS(90-$E$23)),IF(AND($K$17&gt;0,$E$17=0,OR($O$17&gt;0,$U$17&gt;0)),$K$17/2*SIN(RADIANS(90-$K$23)),IF(AND($K$17&gt;0,$O$17=0,$U$17=0),$K$17/4*SIN(RADIANS(90-$K$23)),$E$17/4*SIN(RADIANS(90-$E$23))))))</f>
        <v/>
      </c>
      <c r="BA19" s="776">
        <f>IF(AND($K$17&gt;0,$E$17&gt;0,OR($O$17&gt;0,$U$17&gt;0)),$K$17*COS(RADIANS(90-$K$23)),IF(AND($K$17=0,$E$17&gt;0,OR($O$17&gt;0,$U$17&gt;0)),$E$17/2*COS(RADIANS(90-$E$23)),IF(AND($K$17&gt;0,$E$17=0,OR($O$17&gt;0,$U$17&gt;0)),$K$17/2*COS(RADIANS(90-$K$23)),IF(AND($K$17&gt;0,$O$17=0,$U$17=0),$K$17/4*COS(RADIANS(90-$K$23)),$E$17/4*COS(RADIANS(90-$E$23))))))</f>
        <v/>
      </c>
      <c r="BB19" s="775">
        <f>IF(AND($K$17&gt;0,$E$17&gt;0,OR($O$17&gt;0,$U$17&gt;0)),$E$17*SIN(RADIANS(90-$E$23)),IF(AND($K$17=0,$E$17&gt;0,OR($O$17&gt;0,$U$17&gt;0)),$E$17/2*SIN(RADIANS(90-$E$23)),IF(AND($K$17&gt;0,$E$17=0,OR($O$17&gt;0,$U$17&gt;0)),$K$17/2*SIN(RADIANS(90-$K$23)),IF(AND($K$17&gt;0,$O$17=0,$U$17=0),$K$17/4*SIN(RADIANS(90-$K$23)),$E$17/4*SIN(RADIANS(90-$E$23))))))</f>
        <v/>
      </c>
      <c r="BC19" s="764">
        <f>IF(AND($K$17&gt;0,$E$17&gt;0,OR($O$17&gt;0,$U$17&gt;0)),$E$17*COS(RADIANS(90-$E$23)),IF(AND($K$17=0,$E$17&gt;0,OR($O$17&gt;0,$U$17&gt;0)),$E$17/2*COS(RADIANS(90-$E$23)),IF(AND($K$17&gt;0,$E$17=0,OR($O$17&gt;0,$U$17&gt;0)),$K$17/2*COS(RADIANS(90-$K$23)),IF(AND($K$17&gt;0,$O$17=0,$U$17=0),$K$17/4*COS(RADIANS(90-$K$23)),$E$17/4*COS(RADIANS(90-$E$23))))))</f>
        <v/>
      </c>
      <c r="BD19" s="775">
        <f>IF(AND($B$32&gt;0,$B$24&gt;0,OR($B$41&gt;0,$B$49&gt;0)),$B$24*COS(RADIANS(180-$B$30)),IF(AND($B$32=0,$B$24&gt;0,OR($B$41&gt;0,$B$49&gt;0)),$B$24/2*COS(RADIANS(180-$B$30)),IF(AND($B$32&gt;0,$B$24=0,OR($B$41&gt;0,$B$49&gt;0)),$B$32/2*COS(RADIANS(180-$B$38)),IF(AND($B$32&gt;0,$B$41=0,$B$49=0),$B$32/4*COS(RADIANS(180-$B$38)),$B$24/4*COS(RADIANS(180-$B$30))))))</f>
        <v/>
      </c>
      <c r="BE19" s="776">
        <f>IF(AND($B$32&gt;0,$B$24&gt;0,OR($B$41&gt;0,$B$49&gt;0)),$B$24*-SIN(RADIANS(180-$B$30)),IF(AND($B$32&gt;0,$B$24&gt;0,OR($B$41&gt;0,$B$49&gt;0)),$B$32*-SIN(RADIANS(180-$B$38)),IF(AND($B$32&gt;0,$B$24=0,OR($B$41&gt;0,$B$49&gt;0)),$B$32/2*-SIN(RADIANS(180-$B$38)),IF(AND($B$32&gt;0,$B$41=0,$B$49=0),$B$32/4*-SIN(RADIANS(180-$B$38)),$B$24/4*-SIN(RADIANS(180-$B$30))))))</f>
        <v/>
      </c>
      <c r="BF19" s="775">
        <f>IF(AND($B$32&gt;0,$B$24&gt;0,OR($B$41&gt;0,$B$49&gt;0)),$B$32*COS(RADIANS(180-$B$38)),IF(AND($B$32=0,$B$24&gt;0,OR($B$41&gt;0,$B$49&gt;0)),$B$24/2*COS(RADIANS(180-$B$30)),IF(AND($B$32&gt;0,$B$24=0,OR($B$41&gt;0,$B$49&gt;0)),$B$32/2*COS(RADIANS(180-$B$38)),IF(AND($B$32&gt;0,$B$41=0,$B$49=0),$B$32/4*COS(RADIANS(180-$B$38)),$B$24/4*COS(RADIANS(180-$B$30))))))</f>
        <v/>
      </c>
      <c r="BG19" s="776">
        <f>IF(AND($B$32&gt;0,$B$24&gt;0,OR($B$41&gt;0,$B$49&gt;0)),$B$32*-SIN(RADIANS(180-$B$38)),IF(AND($B$32&gt;0,$B$24&gt;0,OR($B$41&gt;0,$B$49&gt;0)),$B$32*-SIN(RADIANS(180-$B$38)),IF(AND($B$32&gt;0,$B$24=0,OR($B$41&gt;0,$B$49&gt;0)),$B$32/2*-SIN(RADIANS(180-$B$38)),IF(AND($B$32&gt;0,$B$41=0,$B$49=0),$B$32/4*-SIN(RADIANS(180-$B$38)),$B$24/4*-SIN(RADIANS(180-$B$30))))))</f>
        <v/>
      </c>
      <c r="BH19" s="775">
        <f>IF(AND($B$49&gt;0,$B$41&gt;0),$B$41*COS(RADIANS(180-$B$47)),IF(AND($B$49=0,$B$41&gt;0),$B$41/2*COS(RADIANS(180-$B$47)),IF(AND($B$49&gt;0,$B$41=0),$B$49/2*COS(RADIANS(180-$B$55)),IF(AND($B$49=0,$B$41=0,$B$32=0),$B$24/4*COS(RADIANS(180-$B$30)),$B$32/4*COS(RADIANS(180-$B$38))))))</f>
        <v/>
      </c>
      <c r="BI19" s="776">
        <f>IF(AND($B$49&gt;0,$B$41&gt;0),$B$41*-SIN(RADIANS(180-$B$47)),IF(AND($B$49=0,$B$41&gt;0),$B$41/2*-SIN(RADIANS(180-$B$47)),IF(AND($B$49&gt;0,$B$41=0),$B$49/2*-SIN(RADIANS(180-$B$55)),IF(AND($B$49=0,$B$41=0,$B$32=0),$B$24/4*-SIN(RADIANS(180-$B$30)),$B$32/4*-SIN(RADIANS(180-$B$38))))))</f>
        <v/>
      </c>
      <c r="BJ19" s="775">
        <f>IF(AND($B$49&gt;0,$B$41&gt;0),$B$49*COS(RADIANS(180-$B$55)),IF(AND($B$49=0,$B$41&gt;0),$B$41/2*COS(RADIANS(180-$B$47)),IF(AND($B$49&gt;0,$B$41=0),$B$49/2*COS(RADIANS(180-$B$55)),IF(AND($B$49=0,$B$41=0,$B$32=0),$B$24/4*COS(RADIANS(180-$B$30)),$B$32/4*COS(RADIANS(180-$B$38))))))</f>
        <v/>
      </c>
      <c r="BK19" s="776">
        <f>IF(AND($B$49&gt;0,$B$41&gt;0),$B$49*-SIN(RADIANS(180-$B$55)),IF(AND($B$49=0,$B$41&gt;0),$B$41/2*-SIN(RADIANS(180-$B$47)),IF(AND($B$49&gt;0,$B$41=0),$B$49/2*-SIN(RADIANS(180-$B$55)),IF(AND($B$49=0,$B$41=0,$B$32=0),$B$24/4*-SIN(RADIANS(180-$B$30)),$B$32/4*-SIN(RADIANS(180-$B$38))))))</f>
        <v/>
      </c>
      <c r="BL19" s="775">
        <f>IF(AND($K$63&gt;0,$E$63&gt;0,OR($O$63&gt;0,$U$63&gt;0)),$E$63*SIN(RADIANS(90-$E$62)),IF(AND($K$63=0,$E$63&gt;0,OR($O$63&gt;0,$U$63&gt;0)),$E$63/2*SIN(RADIANS(90-$E$62)),IF(AND($K$63&gt;0,$E$63=0,OR($O$63&gt;0,$U$63&gt;0)),$K$63/2*SIN(RADIANS(90-$K$62)),IF(AND($K$63&gt;0,$O$63=0,$U$63=0),$K$63/4*SIN(RADIANS(90-$K$62)),$E$63/4*SIN(RADIANS(90-$E$62))))))</f>
        <v/>
      </c>
      <c r="BM19" s="764">
        <f>IF(AND($K$63&gt;0,$E$63&gt;0,OR($O$63&gt;0,$U$63&gt;0)),$E$63*COS(RADIANS(90-$E$62)),IF(AND($K$63=0,$E$63&gt;0,OR($O$63&gt;0,$U$63&gt;0)),$E$63/2*COS(RADIANS(90-$E$62)),IF(AND($K$63&gt;0,$E$63=0,OR($O$63&gt;0,$U$63&gt;0)),$K$63/2*COS(RADIANS(90-$K$62)),IF(AND($K$63&gt;0,$O$63=0,$U$63=0),$K$63/4*COS(RADIANS(90-$K$62)),$E$63/4*COS(RADIANS(90-$E$62))))))</f>
        <v/>
      </c>
      <c r="BN19" s="775">
        <f>IF(AND($K$63&gt;0,$E$63&gt;0,OR($O$63&gt;0,$U$63&gt;0)),$K$63*SIN(RADIANS(90-$K$62)),IF(AND($K$63=0,$E$63&gt;0,OR($O$63&gt;0,$U$63&gt;0)),$E$63/2*SIN(RADIANS(90-$E$62)),IF(AND($K$63&gt;0,$E$63=0,OR($O$63&gt;0,$U$63&gt;0)),$K$63/2*SIN(RADIANS(90-$K$62)),IF(AND($K$63&gt;0,$O$63=0,$U$63=0),$K$63/4*SIN(RADIANS(90-$K$62)),$E$63/4*SIN(RADIANS(90-$E$62))))))</f>
        <v/>
      </c>
      <c r="BO19" s="776">
        <f>IF(AND($K$63&gt;0,$E$63&gt;0,OR($O$63&gt;0,$U$63&gt;0)),$K$63*COS(RADIANS(90-$K$62)),IF(AND($K$63=0,$E$63&gt;0,OR($O$63&gt;0,$U$63&gt;0)),$E$63/2*COS(RADIANS(90-$E$62)),IF(AND($K$63&gt;0,$E$63=0,OR($O$63&gt;0,$U$63&gt;0)),$K$63/2*COS(RADIANS(90-$K$62)),IF(AND($K$63&gt;0,$O$63=0,$U$63=0),$K$63/4*COS(RADIANS(90-$K$62)),$E$63/4*COS(RADIANS(90-$E$62))))))</f>
        <v/>
      </c>
      <c r="BP19" s="775">
        <f>IF(AND($U$63&gt;0,$O$63&gt;0),$O$63*SIN(RADIANS(90-$O$62)),IF(AND($U$63=0,$O$63&gt;0),$O$63/2*SIN(RADIANS(90-$O$62)),IF(AND($U$63&gt;0,$O$63=0),$U$63/2*SIN(RADIANS(90-$U$62)),IF(AND($U$63=0,$O$63=0,$K$63=0),$E$63/4*SIN(RADIANS(90-$E$62)),$K$63/4*SIN(RADIANS(90-$K$62))))))</f>
        <v/>
      </c>
      <c r="BQ19" s="776">
        <f>IF(AND($U$63&gt;0,$O$63&gt;0),$O$63*COS(RADIANS(90-$O$62)),IF(AND($U$63=0,$O$63&gt;0),$O$63/2*COS(RADIANS(90-$O$62)),IF(AND($U$63&gt;0,$O$63=0),$U$63/2*COS(RADIANS(90-$U$62)),IF(AND($U$63=0,$O$63=0,$K$63=0),$E$63/4*COS(RADIANS(90-$E$62)),$K$63/4*COS(RADIANS(90-$K$62))))))</f>
        <v/>
      </c>
      <c r="BR19" s="775">
        <f>IF(AND($U$63&gt;0,$O$63&gt;0),$U$63*SIN(RADIANS(90-$U$62)),IF(AND($U$63=0,$O$63&gt;0),$O$63/2*SIN(RADIANS(90-$O$62)),IF(AND($U$63&gt;0,$O$63=0),$U$63/2*SIN(RADIANS(90-$U$62)),IF(AND($U$63=0,$O$63=0,$K$63=0),$E$63/4*SIN(RADIANS(90-$E$62)),$K$63/4*SIN(RADIANS(90-$K$62))))))</f>
        <v/>
      </c>
      <c r="BS19" s="776">
        <f>IF(AND($U$63&gt;0,$O$63&gt;0),$U$63*COS(RADIANS(90-$U$62)),IF(AND($U$63=0,$O$63&gt;0),$O$63/2*COS(RADIANS(90-$O$62)),IF(AND($U$63&gt;0,$O$63=0),$U$63/2*COS(RADIANS(90-$U$62)),IF(AND($U$63=0,$O$63=0,$K$63=0),$E$63/4*COS(RADIANS(90-$E$62)),$K$63/4*COS(RADIANS(90-$K$62))))))</f>
        <v/>
      </c>
      <c r="BT19" s="775">
        <f>IF(AND($W$49&gt;0,$W$41&gt;0),$W$49*COS(RADIANS(180-$W$55)),IF(AND($W$49=0,$W$41&gt;0),$W$41/2*COS(RADIANS(180-$W$47)),IF(AND($W$49&gt;0,$W$41=0),$W$49/2*COS(RADIANS(180-$W$55)),IF(AND($W$49=0,$W$41=0,$W$32=0),$W$24/4*COS(RADIANS(180-$W$30)),$W$32/4*COS(RADIANS(180-$W$38))))))</f>
        <v/>
      </c>
      <c r="BU19" s="776">
        <f>IF(AND($W$49&gt;0,$W$41&gt;0),$W$49*-SIN(RADIANS(180-$W$55)),IF(AND($W$49=0,$W$41&gt;0),$W$41/2*-SIN(RADIANS(180-$W$47)),IF(AND($W$49&gt;0,$W$41=0),$W$49/2*-SIN(RADIANS(180-$W$55)),IF(AND($W$49=0,$W$41=0,$W$32=0),$W$24/4*-SIN(RADIANS(180-$W$30)),$W$32/4*-SIN(RADIANS(180-$W$38))))))</f>
        <v/>
      </c>
      <c r="BV19" s="775">
        <f>IF(AND($W$49&gt;0,$W$41&gt;0),$W$41*COS(RADIANS(180-$W$47)),IF(AND($W$49=0,$W$41&gt;0),$W$41/2*COS(RADIANS(180-$W$47)),IF(AND($W$49&gt;0,$W$41=0),$W$49/2*COS(RADIANS(180-$W$55)),IF(AND($W$49=0,$W$41=0,$W$32=0),$W$24/4*COS(RADIANS(180-$W$30)),$W$32/4*COS(RADIANS(180-$W$38))))))</f>
        <v/>
      </c>
      <c r="BW19" s="776">
        <f>IF(AND($W$49&gt;0,$W$41&gt;0),$W$41*-SIN(RADIANS(180-$W$47)),IF(AND($W$49=0,$W$41&gt;0),$W$41/2*-SIN(RADIANS(180-$W$47)),IF(AND($W$49&gt;0,$W$41=0),$W$49/2*-SIN(RADIANS(180-$W$55)),IF(AND($W$49=0,$W$41=0,$W$32=0),$W$24/4*-SIN(RADIANS(180-$W$30)),$W$32/4*-SIN(RADIANS(180-$W$38))))))</f>
        <v/>
      </c>
      <c r="BX19" s="775">
        <f>IF(AND($W$32&gt;0,$W$24&gt;0,OR($W$41&gt;0,$W$49&gt;0)),$W$32*COS(RADIANS(180-$W$38)),IF(AND($W$32=0,$W$24&gt;0,OR($W$41&gt;0,$W$49&gt;0)),$W$24/2*COS(RADIANS(180-$W$30)),IF(AND($W$32&gt;0,$W$24=0,OR($W$41&gt;0,$W$49&gt;0)),$W$32/2*COS(RADIANS(180-$W$38)),IF(AND($W$32&gt;0,$W$41=0,$W$49=0),$W$32/4*COS(RADIANS(180-$W$38)),$W$24/4*COS(RADIANS(180-$W$30))))))</f>
        <v/>
      </c>
      <c r="BY19" s="776">
        <f>IF(AND($W$32&gt;0,$W$24&gt;0,OR($W$41&gt;0,$W$49&gt;0)),$W$32*-SIN(RADIANS(180-$W$38)),IF(AND($W$32&gt;0,$W$24&gt;0,OR($W$41&gt;0,$W$49&gt;0)),$W$32*-SIN(RADIANS(180-$W$38)),IF(AND($W$32&gt;0,$W$24=0,OR($W$41&gt;0,$W$49&gt;0)),$W$32/2*-SIN(RADIANS(180-$W$38)),IF(AND($W$32&gt;0,$W$41=0,$W$49=0),$W$32/4*-SIN(RADIANS(180-$W$38)),$W$24/4*-SIN(RADIANS(180-$W$30))))))</f>
        <v/>
      </c>
      <c r="BZ19" s="775">
        <f>IF(AND($W$32&gt;0,$W$24&gt;0,OR($W$41&gt;0,$W$49&gt;0)),$W$24*COS(RADIANS(180-$W$30)),IF(AND($W$32=0,$W$24&gt;0,OR($W$41&gt;0,$W$49&gt;0)),$W$24/2*COS(RADIANS(180-$W$30)),IF(AND($W$32&gt;0,$W$24=0,OR($W$41&gt;0,$W$49&gt;0)),$W$32/2*COS(RADIANS(180-$W$38)),IF(AND($W$32&gt;0,$W$41=0,$W$49=0),$W$32/4*COS(RADIANS(180-$W$38)),$W$24/4*COS(RADIANS(180-$W$30))))))</f>
        <v/>
      </c>
      <c r="CA19" s="776">
        <f>IF(AND($W$32&gt;0,$W$24&gt;0,OR($W$41&gt;0,$W$49&gt;0)),$W$24*-SIN(RADIANS(180-$W$30)),IF(AND($W$32&gt;0,$W$24&gt;0,OR($W$41&gt;0,$W$49&gt;0)),$W$32*-SIN(RADIANS(180-$W$38)),IF(AND($W$32&gt;0,$W$24=0,OR($W$41&gt;0,$W$49&gt;0)),$W$32/2*-SIN(RADIANS(180-$W$38)),IF(AND($W$32&gt;0,$W$41=0,$W$49=0),$W$32/4*-SIN(RADIANS(180-$W$38)),$W$24/4*-SIN(RADIANS(180-$W$30))))))</f>
        <v/>
      </c>
    </row>
    <row r="20" ht="12" customHeight="1" s="613">
      <c r="B20" s="347" t="n"/>
      <c r="C20" s="346" t="n"/>
      <c r="D20" s="429" t="inlineStr">
        <is>
          <t>min.</t>
        </is>
      </c>
      <c r="E20" s="295">
        <f>IF(NOT(ISBLANK(F20)),F20,DGET('Grid Numbers'!$A$2:$L$4952,'Grid Numbers'!$J$2,L66:R67))</f>
        <v/>
      </c>
      <c r="F20" s="504" t="n"/>
      <c r="G20" s="346" t="n"/>
      <c r="H20" s="346" t="n"/>
      <c r="I20" s="346" t="n"/>
      <c r="J20" s="429" t="inlineStr">
        <is>
          <t>min.</t>
        </is>
      </c>
      <c r="K20" s="296">
        <f>IF(NOT(ISBLANK(L20)),L20,DGET('Grid Numbers'!$A$2:$L$4952,'Grid Numbers'!$J$2,$L$68:$R$69))</f>
        <v/>
      </c>
      <c r="L20" s="505" t="n"/>
      <c r="N20" s="429" t="inlineStr">
        <is>
          <t>min.</t>
        </is>
      </c>
      <c r="O20" s="295">
        <f>IF(NOT(ISBLANK(P20)),P20,DGET('Grid Numbers'!$A$2:$L$4952,'Grid Numbers'!$J$2,$L$70:$R$71))</f>
        <v/>
      </c>
      <c r="P20" s="505" t="n"/>
      <c r="T20" s="429" t="inlineStr">
        <is>
          <t>min.</t>
        </is>
      </c>
      <c r="U20" s="295">
        <f>IF(NOT(ISBLANK(V20)),V20,DGET('Grid Numbers'!$A$2:$L$4952,'Grid Numbers'!$J$2,$L$72:$R$73))</f>
        <v/>
      </c>
      <c r="V20" s="505" t="n"/>
      <c r="AA20" s="689" t="n"/>
      <c r="AB20" s="689" t="n"/>
      <c r="AC20" s="320" t="n">
        <v>1</v>
      </c>
      <c r="AD20" s="319" t="inlineStr">
        <is>
          <t>SHL</t>
        </is>
      </c>
      <c r="AE20" s="345">
        <f>IF($L$38='SHL Section'!$BE$52,IF('BHL Section 2'!$BF$38=8,'BHL Section 2'!$AG$24,IF('BHL Section 2'!$BF$39=7,'BHL Section 2'!$AI$24,IF('BHL Section 2'!$BF$40=6,'BHL Section 2'!$AK$24,""))),IF($L$38='SHL Section'!$BE$55,IF('BHL Section 2'!$BF$42=8,'BHL Section 2'!$AG$24,IF('BHL Section 2'!$BF$43=7,'BHL Section 2'!$AI$24,IF('BHL Section 2'!$BF$44=6,'BHL Section 2'!$AK$24,""))),IF($L$38='SHL Section'!$BE$58,IF('BHL Section 2'!$BF$46=8,'BHL Section 2'!$AG$24,IF('BHL Section 2'!$BF$47=7,'BHL Section 2'!$AI$24,IF('BHL Section 2'!$BF$48=6,'BHL Section 2'!$AK$24,""))),"")))</f>
        <v/>
      </c>
      <c r="AF20" s="345">
        <f>IF($L$38='SHL Section'!$BE$52,IF('BHL Section 2'!$BF$38=8,'BHL Section 2'!$AH$24,IF('BHL Section 2'!$BF$39=7,'BHL Section 2'!$AJ$24,IF('BHL Section 2'!$BF$40=6,'BHL Section 2'!$AL$24,""))),IF($L$38='SHL Section'!$BE$55,IF('BHL Section 2'!$BF$42=8,'BHL Section 2'!$AH$24,IF('BHL Section 2'!$BF$43=7,'BHL Section 2'!$AJ$24,IF('BHL Section 2'!$BF$44=6,'BHL Section 2'!$AL$24,""))),IF($L$38='SHL Section'!$BE$58,IF('BHL Section 2'!$BF$46=8,'BHL Section 2'!$AH$24,IF('BHL Section 2'!$BF$47=7,'BHL Section 2'!$AJ$24,IF('BHL Section 2'!$BF$48=6,'BHL Section 2'!$AL$24,""))),"")))</f>
        <v/>
      </c>
      <c r="AG20" s="344">
        <f>IF($AE$20="","",$AY$26+$AE$20)</f>
        <v/>
      </c>
      <c r="AH20" s="344">
        <f>IF($AF$20="","",$AZ$26+$AF$20)</f>
        <v/>
      </c>
      <c r="AI20" s="344">
        <f>IF($AE$20="","",$BG$26+$AY$26+$AE$20)</f>
        <v/>
      </c>
      <c r="AJ20" s="344">
        <f>IF($AF$20="","",$AZ$26+$BH$26+$AF$20)</f>
        <v/>
      </c>
      <c r="AK20" s="344">
        <f>IF($AE$20="","",$BW$26+$AE$20)</f>
        <v/>
      </c>
      <c r="AL20" s="344">
        <f>IF($AF$20="","",$AF$20+$BX$26)</f>
        <v/>
      </c>
      <c r="AM20" s="344">
        <f>IF($AE$20="","",$AW$22+$AE$20)</f>
        <v/>
      </c>
      <c r="AN20" s="344">
        <f>IF($AF$20="","",$AX$22+$AF$20)</f>
        <v/>
      </c>
      <c r="AO20" s="344">
        <f>IF($AE$20="","",$AY$26+$AE$20+$BE$22)</f>
        <v/>
      </c>
      <c r="AP20" s="344">
        <f>IF($AF$20="","",$AZ$26+$AF$20+$BF$22)</f>
        <v/>
      </c>
      <c r="AQ20" s="344">
        <f>IF($AE$20="","",$BW$26+$AE$20+$BQ$22)</f>
        <v/>
      </c>
      <c r="AR20" s="344">
        <f>IF($AF$20="","",$AF$20+$BX$26+$BR$22)</f>
        <v/>
      </c>
      <c r="AS20" s="344">
        <f>IF($AE$20="","",$BY$22+$AE$20)</f>
        <v/>
      </c>
      <c r="AT20" s="344">
        <f>IF($AF$20="","",$AF$20+$BZ$22)</f>
        <v/>
      </c>
      <c r="AU20" s="335" t="inlineStr">
        <is>
          <t>Qtr Section</t>
        </is>
      </c>
      <c r="AV20" s="674" t="inlineStr">
        <is>
          <t>1 N-NE</t>
        </is>
      </c>
      <c r="AW20" s="677" t="n"/>
      <c r="AX20" s="677" t="n"/>
      <c r="AY20" s="675" t="n"/>
      <c r="AZ20" s="674" t="inlineStr">
        <is>
          <t>2 N-NW</t>
        </is>
      </c>
      <c r="BA20" s="677" t="n"/>
      <c r="BB20" s="677" t="n"/>
      <c r="BC20" s="675" t="n"/>
      <c r="BD20" s="674" t="inlineStr">
        <is>
          <t>3 W-NW</t>
        </is>
      </c>
      <c r="BE20" s="677" t="n"/>
      <c r="BF20" s="677" t="n"/>
      <c r="BG20" s="675" t="n"/>
      <c r="BH20" s="674" t="inlineStr">
        <is>
          <t>4 W-SW</t>
        </is>
      </c>
      <c r="BI20" s="677" t="n"/>
      <c r="BJ20" s="677" t="n"/>
      <c r="BK20" s="675" t="n"/>
      <c r="BL20" s="674" t="inlineStr">
        <is>
          <t>5 S-SW</t>
        </is>
      </c>
      <c r="BM20" s="677" t="n"/>
      <c r="BN20" s="677" t="n"/>
      <c r="BO20" s="675" t="n"/>
      <c r="BP20" s="674" t="inlineStr">
        <is>
          <t>6 S-SE</t>
        </is>
      </c>
      <c r="BQ20" s="677" t="n"/>
      <c r="BR20" s="677" t="n"/>
      <c r="BS20" s="675" t="n"/>
      <c r="BT20" s="674" t="inlineStr">
        <is>
          <t>7 E-SE</t>
        </is>
      </c>
      <c r="BU20" s="677" t="n"/>
      <c r="BV20" s="677" t="n"/>
      <c r="BW20" s="675" t="n"/>
      <c r="BX20" s="674" t="inlineStr">
        <is>
          <t>8 E-NE</t>
        </is>
      </c>
      <c r="BY20" s="677" t="n"/>
      <c r="BZ20" s="677" t="n"/>
      <c r="CA20" s="675" t="n"/>
      <c r="CC20" s="462" t="inlineStr">
        <is>
          <t>Closure =</t>
        </is>
      </c>
      <c r="CD20" s="765">
        <f>(CC22^2+CD22^2)^0.5</f>
        <v/>
      </c>
    </row>
    <row r="21" ht="12" customHeight="1" s="613">
      <c r="D21" s="429" t="inlineStr">
        <is>
          <t>sec.</t>
        </is>
      </c>
      <c r="E21" s="295">
        <f>IF(NOT(ISBLANK(F21)),F21,DGET('Grid Numbers'!$A$2:$L$4952,'Grid Numbers'!$K$2,L66:R67))</f>
        <v/>
      </c>
      <c r="F21" s="505" t="n"/>
      <c r="J21" s="429" t="inlineStr">
        <is>
          <t>sec.</t>
        </is>
      </c>
      <c r="K21" s="296">
        <f>IF(NOT(ISBLANK(L21)),L21,DGET('Grid Numbers'!$A$2:$L$4952,'Grid Numbers'!$K$2,$L$68:$R$69))</f>
        <v/>
      </c>
      <c r="L21" s="505" t="n"/>
      <c r="N21" s="429" t="inlineStr">
        <is>
          <t>sec.</t>
        </is>
      </c>
      <c r="O21" s="295">
        <f>IF(NOT(ISBLANK(P21)),P21,DGET('Grid Numbers'!$A$2:$L$4952,'Grid Numbers'!$K$2,$L$70:$R$71))</f>
        <v/>
      </c>
      <c r="P21" s="505" t="n"/>
      <c r="T21" s="429" t="inlineStr">
        <is>
          <t>sec.</t>
        </is>
      </c>
      <c r="U21" s="295">
        <f>IF(NOT(ISBLANK(V21)),V21,DGET('Grid Numbers'!$A$2:$L$4952,'Grid Numbers'!$K$2,$L$72:$R$73))</f>
        <v/>
      </c>
      <c r="V21" s="505" t="n"/>
      <c r="AA21" s="340" t="n"/>
      <c r="AB21" s="340" t="n"/>
      <c r="AC21" s="320" t="n">
        <v>2</v>
      </c>
      <c r="AD21" s="319" t="inlineStr">
        <is>
          <t>SHL</t>
        </is>
      </c>
      <c r="AE21" s="326">
        <f>IF($AG$21="","",$AG$21-$AY$26)</f>
        <v/>
      </c>
      <c r="AF21" s="326">
        <f>IF($AH$21="","",$AH$21-$AZ$26)</f>
        <v/>
      </c>
      <c r="AG21" s="327">
        <f>IF($L$38='SHL Section'!$BE$52,IF('BHL Section 2'!$BF$37=4,'BHL Section 2'!$AE$24,IF('BHL Section 2'!$BF$39=6,'BHL Section 2'!$AI$24,IF('BHL Section 2'!$BF$40=5,'BHL Section 2'!$AK$24,""))),IF($L$38='SHL Section'!$BE$55,IF('BHL Section 2'!$BF$41=4,'BHL Section 2'!$AE$24,IF('BHL Section 2'!$BF$43=6,'BHL Section 2'!$AI$24,IF('BHL Section 2'!$BF$44=5,'BHL Section 2'!$AK$24,""))),IF($L$38='SHL Section'!$BE$58,IF('BHL Section 2'!$BF$45=4,'BHL Section 2'!$AE$24,IF('BHL Section 2'!$BF$47=6,'BHL Section 2'!$AI$24,IF('BHL Section 2'!$BF$48=5,'BHL Section 2'!$AK$24,""))),"")))</f>
        <v/>
      </c>
      <c r="AH21" s="327">
        <f>IF($L$38='SHL Section'!$BE$52,IF('BHL Section 2'!$BF$37=4,'BHL Section 2'!$AF$24,IF('BHL Section 2'!$BF$39=6,'BHL Section 2'!$AJ$24,IF('BHL Section 2'!$BF$40=5,'BHL Section 2'!$AL$24,""))),IF($L$38='SHL Section'!$BE$55,IF('BHL Section 2'!$BF$41=4,'BHL Section 2'!$AF$24,IF('BHL Section 2'!$BF$43=6,'BHL Section 2'!$AJ$24,IF('BHL Section 2'!$BF$44=5,'BHL Section 2'!$AL$24,""))),IF($L$38='SHL Section'!$BE$58,IF('BHL Section 2'!$BF$45=4,'BHL Section 2'!$AF$24,IF('BHL Section 2'!$BF$47=6,'BHL Section 2'!$AJ$24,IF('BHL Section 2'!$BF$48=5,'BHL Section 2'!$AL$24,""))),"")))</f>
        <v/>
      </c>
      <c r="AI21" s="326">
        <f>IF($AG$21="","",$BG$26+$AG$21)</f>
        <v/>
      </c>
      <c r="AJ21" s="326">
        <f>IF($AH$21="","",$AH$21+$BH$26)</f>
        <v/>
      </c>
      <c r="AK21" s="326">
        <f>IF($AG$21="","",$AG$21-$AY$26+$BW$26)</f>
        <v/>
      </c>
      <c r="AL21" s="326">
        <f>IF($AH$21="","",$AH$21-$AZ$26+$BX$26)</f>
        <v/>
      </c>
      <c r="AM21" s="326">
        <f>IF($AG$21="","",$AG$21-$BA$22)</f>
        <v/>
      </c>
      <c r="AN21" s="326">
        <f>IF($AH$21="","",AH$21-$BB$22)</f>
        <v/>
      </c>
      <c r="AO21" s="326">
        <f>IF($AG$21="","",$BE$22+$AG$21)</f>
        <v/>
      </c>
      <c r="AP21" s="326">
        <f>IF($AH$21="","",$AH$21+$BF$22)</f>
        <v/>
      </c>
      <c r="AQ21" s="326">
        <f>IF($AG$21="","",$BG$26+$AG$21-$BM$22)</f>
        <v/>
      </c>
      <c r="AR21" s="326">
        <f>IF($AH$21="","",$AH$21+$BH$26-$BN$22)</f>
        <v/>
      </c>
      <c r="AS21" s="326">
        <f>IF($AG$21="","",$AG$21-$AY$26+$BY$22)</f>
        <v/>
      </c>
      <c r="AT21" s="326">
        <f>IF($AH$21="","",$AH$21-$AZ$26+$BZ$22)</f>
        <v/>
      </c>
      <c r="AU21" s="335" t="inlineStr">
        <is>
          <t>N-S &amp; E-W</t>
        </is>
      </c>
      <c r="AV21" s="298" t="n"/>
      <c r="AW21" s="467" t="inlineStr">
        <is>
          <t>N-S</t>
        </is>
      </c>
      <c r="AX21" s="468" t="inlineStr">
        <is>
          <t>E-W</t>
        </is>
      </c>
      <c r="AY21" s="336" t="n"/>
      <c r="AZ21" s="298" t="n"/>
      <c r="BA21" s="467" t="inlineStr">
        <is>
          <t>N-S</t>
        </is>
      </c>
      <c r="BB21" s="468" t="inlineStr">
        <is>
          <t>E-W</t>
        </is>
      </c>
      <c r="BC21" s="336" t="n"/>
      <c r="BD21" s="298" t="n"/>
      <c r="BE21" s="467" t="inlineStr">
        <is>
          <t>N-S</t>
        </is>
      </c>
      <c r="BF21" s="468" t="inlineStr">
        <is>
          <t>E-W</t>
        </is>
      </c>
      <c r="BG21" s="336" t="n"/>
      <c r="BH21" s="298" t="n"/>
      <c r="BI21" s="467" t="inlineStr">
        <is>
          <t>N-S</t>
        </is>
      </c>
      <c r="BJ21" s="468" t="inlineStr">
        <is>
          <t>E-W</t>
        </is>
      </c>
      <c r="BK21" s="336" t="n"/>
      <c r="BL21" s="298" t="n"/>
      <c r="BM21" s="467" t="inlineStr">
        <is>
          <t>N-S</t>
        </is>
      </c>
      <c r="BN21" s="468" t="inlineStr">
        <is>
          <t>E-W</t>
        </is>
      </c>
      <c r="BO21" s="336" t="n"/>
      <c r="BP21" s="298" t="n"/>
      <c r="BQ21" s="467" t="inlineStr">
        <is>
          <t>N-S</t>
        </is>
      </c>
      <c r="BR21" s="468" t="inlineStr">
        <is>
          <t>E-W</t>
        </is>
      </c>
      <c r="BS21" s="336" t="n"/>
      <c r="BT21" s="298" t="n"/>
      <c r="BU21" s="467" t="inlineStr">
        <is>
          <t>N-S</t>
        </is>
      </c>
      <c r="BV21" s="468" t="inlineStr">
        <is>
          <t>E-W</t>
        </is>
      </c>
      <c r="BW21" s="336" t="n"/>
      <c r="BX21" s="298" t="n"/>
      <c r="BY21" s="467" t="inlineStr">
        <is>
          <t>N-S</t>
        </is>
      </c>
      <c r="BZ21" s="468" t="inlineStr">
        <is>
          <t>E-W</t>
        </is>
      </c>
      <c r="CA21" s="336" t="n"/>
      <c r="CC21" s="467" t="inlineStr">
        <is>
          <t>N-S</t>
        </is>
      </c>
      <c r="CD21" s="468" t="inlineStr">
        <is>
          <t>E-W</t>
        </is>
      </c>
    </row>
    <row r="22" ht="12" customHeight="1" s="613">
      <c r="A22" s="341" t="n"/>
      <c r="B22" s="341" t="n"/>
      <c r="C22" s="341" t="n"/>
      <c r="D22" s="429" t="inlineStr">
        <is>
          <t>dir.</t>
        </is>
      </c>
      <c r="E22" s="321">
        <f>IF(NOT(ISBLANK(F22)),F22,DGET('Grid Numbers'!$A$2:$L$4952,'Grid Numbers'!$L$2,$L$74:$R$75))</f>
        <v/>
      </c>
      <c r="F22" s="508" t="n"/>
      <c r="G22" s="342" t="n"/>
      <c r="H22" s="342" t="n"/>
      <c r="I22" s="342" t="n"/>
      <c r="J22" s="429" t="inlineStr">
        <is>
          <t>dir.</t>
        </is>
      </c>
      <c r="K22" s="321">
        <f>IF(NOT(ISBLANK(L22)),L22,DGET('Grid Numbers'!$A$2:$L$4952,'Grid Numbers'!$L$2,$L$68:$R$69))</f>
        <v/>
      </c>
      <c r="L22" s="507" t="n"/>
      <c r="M22" s="341" t="n"/>
      <c r="N22" s="429" t="inlineStr">
        <is>
          <t>dir.</t>
        </is>
      </c>
      <c r="O22" s="321">
        <f>IF(NOT(ISBLANK(P22)),P22,DGET('Grid Numbers'!$A$2:$L$4952,'Grid Numbers'!$L$2,$L$70:$R$71))</f>
        <v/>
      </c>
      <c r="P22" s="508" t="n"/>
      <c r="Q22" s="342" t="n"/>
      <c r="R22" s="342" t="n"/>
      <c r="S22" s="342" t="n"/>
      <c r="T22" s="429" t="inlineStr">
        <is>
          <t>dir.</t>
        </is>
      </c>
      <c r="U22" s="321">
        <f>IF(NOT(ISBLANK(V22)),V22,DGET('Grid Numbers'!$A$2:$L$4952,'Grid Numbers'!$L$2,$L$72:$R$73))</f>
        <v/>
      </c>
      <c r="V22" s="507" t="n"/>
      <c r="W22" s="341" t="n"/>
      <c r="X22" s="341" t="n"/>
      <c r="AA22" s="689" t="n"/>
      <c r="AB22" s="689" t="n"/>
      <c r="AC22" s="320" t="n">
        <v>3</v>
      </c>
      <c r="AD22" s="319" t="inlineStr">
        <is>
          <t>SHL</t>
        </is>
      </c>
      <c r="AE22" s="326">
        <f>IF($AI$22="","",$AI$22-$BG$26-$AY$26)</f>
        <v/>
      </c>
      <c r="AF22" s="328">
        <f>IF($AJ$22="","",$AJ$22-$BH$26-$AZ$26)</f>
        <v/>
      </c>
      <c r="AG22" s="326">
        <f>IF($AI$22="","",$AI$22-$BG$26)</f>
        <v/>
      </c>
      <c r="AH22" s="326">
        <f>IF($AJ$22="","",$AJ$22-$BH$26)</f>
        <v/>
      </c>
      <c r="AI22" s="327">
        <f>IF($L$38='SHL Section'!$BE$52,IF('BHL Section 2'!$BF$37=3,'BHL Section 2'!$AE$24,IF('BHL Section 2'!$BF$38=2,'BHL Section 2'!$AG$24,IF('BHL Section 2'!$BF$40=4,'BHL Section 2'!$AK$24,""))),IF($L$38='SHL Section'!$BE$55,IF('BHL Section 2'!$BF$41=3,'BHL Section 2'!$AE$24,IF('BHL Section 2'!$BF$42=2,'BHL Section 2'!$AG$24,IF('BHL Section 2'!$BF$44=4,'BHL Section 2'!$AK$24,""))),IF($L$38='SHL Section'!$BE$58,IF('BHL Section 2'!$BF$45=3,'BHL Section 2'!$AE$24,IF('BHL Section 2'!$BF$46=2,'BHL Section 2'!$AG$24,IF('BHL Section 2'!$BF$48=4,'BHL Section 2'!$AK$24,""))),"")))</f>
        <v/>
      </c>
      <c r="AJ22" s="327">
        <f>IF($L$38='SHL Section'!$BE$52,IF('BHL Section 2'!$BF$37=3,'BHL Section 2'!$AF$24,IF('BHL Section 2'!$BF$38=2,'BHL Section 2'!$AH$24,IF('BHL Section 2'!$BF$40=4,'BHL Section 2'!$AL$24,""))),IF($L$38='SHL Section'!$BE$55,IF('BHL Section 2'!$BF$41=3,'BHL Section 2'!$AF$24,IF('BHL Section 2'!$BF$42=2,'BHL Section 2'!$AH$24,IF('BHL Section 2'!$BF$44=4,'BHL Section 2'!$AL$24,""))),IF($L$38='SHL Section'!$BE$58,IF('BHL Section 2'!$BF$45=3,'BHL Section 2'!$AF$24,IF('BHL Section 2'!$BF$46=2,'BHL Section 2'!$AH$24,IF('BHL Section 2'!$BF$48=4,'BHL Section 2'!$AL$24,""))),"")))</f>
        <v/>
      </c>
      <c r="AK22" s="326">
        <f>IF($AI$22="","",$AI$22-$BO$26)</f>
        <v/>
      </c>
      <c r="AL22" s="326">
        <f>IF($AJ$22="","",$AJ$22-$BP$26)</f>
        <v/>
      </c>
      <c r="AM22" s="326">
        <f>IF($AI$22="","",$AI$22-$BG$26-$BA$22)</f>
        <v/>
      </c>
      <c r="AN22" s="326">
        <f>IF($AJ$22="","",$AJ$22-$BH$26-$BB$22)</f>
        <v/>
      </c>
      <c r="AO22" s="326">
        <f>IF($AI$22="","",$AI$22-$BI$22)</f>
        <v/>
      </c>
      <c r="AP22" s="326">
        <f>IF($AJ$22="","",$AJ$22-$BJ$22)</f>
        <v/>
      </c>
      <c r="AQ22" s="326">
        <f>IF($AI$22="","",$AI$22-$BM$22)</f>
        <v/>
      </c>
      <c r="AR22" s="326">
        <f>IF($AJ$22="","",$AJ$22-$BN$22)</f>
        <v/>
      </c>
      <c r="AS22" s="326">
        <f>IF($AI$22="","",$AI$22-$BO$26-$BU$22)</f>
        <v/>
      </c>
      <c r="AT22" s="326">
        <f>IF($AJ$22="","",$AJ$22-$BP$26-$BV$22)</f>
        <v/>
      </c>
      <c r="AU22" s="335" t="n"/>
      <c r="AV22" s="298" t="n"/>
      <c r="AW22" s="766">
        <f>AV19+AX19</f>
        <v/>
      </c>
      <c r="AX22" s="767">
        <f>AW19+AY19</f>
        <v/>
      </c>
      <c r="AY22" s="336" t="n"/>
      <c r="AZ22" s="298" t="n"/>
      <c r="BA22" s="766">
        <f>AZ19+BB19</f>
        <v/>
      </c>
      <c r="BB22" s="767">
        <f>BA19+BC19</f>
        <v/>
      </c>
      <c r="BC22" s="336" t="n"/>
      <c r="BD22" s="298" t="n"/>
      <c r="BE22" s="766">
        <f>BD19+BF19</f>
        <v/>
      </c>
      <c r="BF22" s="767">
        <f>BE19+BG19</f>
        <v/>
      </c>
      <c r="BG22" s="336" t="n"/>
      <c r="BH22" s="298" t="n"/>
      <c r="BI22" s="766">
        <f>BH19+BJ19</f>
        <v/>
      </c>
      <c r="BJ22" s="767">
        <f>BI19+BK19</f>
        <v/>
      </c>
      <c r="BK22" s="336" t="n"/>
      <c r="BL22" s="298" t="n"/>
      <c r="BM22" s="766">
        <f>BL19+BN19</f>
        <v/>
      </c>
      <c r="BN22" s="767">
        <f>BM19+BO19</f>
        <v/>
      </c>
      <c r="BO22" s="336" t="n"/>
      <c r="BP22" s="298" t="n"/>
      <c r="BQ22" s="766">
        <f>BP19+BR19</f>
        <v/>
      </c>
      <c r="BR22" s="767">
        <f>BQ19+BS19</f>
        <v/>
      </c>
      <c r="BS22" s="336" t="n"/>
      <c r="BT22" s="298" t="n"/>
      <c r="BU22" s="766">
        <f>BT19+BV19</f>
        <v/>
      </c>
      <c r="BV22" s="767">
        <f>BU19+BW19</f>
        <v/>
      </c>
      <c r="BW22" s="336" t="n"/>
      <c r="BX22" s="298" t="n"/>
      <c r="BY22" s="766">
        <f>BX19+BZ19</f>
        <v/>
      </c>
      <c r="BZ22" s="767">
        <f>BY19+CA19</f>
        <v/>
      </c>
      <c r="CA22" s="336" t="n"/>
      <c r="CC22" s="768">
        <f>AY26+BG26-BO26-BW26</f>
        <v/>
      </c>
      <c r="CD22" s="769">
        <f>AZ26+BH26-BP26-BX26</f>
        <v/>
      </c>
    </row>
    <row r="23" ht="12" customHeight="1" s="613" thickBot="1">
      <c r="B23" s="697">
        <f>CONCATENATE("NW SC of ",$L$38)</f>
        <v/>
      </c>
      <c r="D23" s="429" t="inlineStr">
        <is>
          <t>dec. deg.</t>
        </is>
      </c>
      <c r="E23" s="770">
        <f>IF(AND($L$38='SHL Section'!$BE$50,MAX('SHL Section'!$BF$37:$BF$40)=6),'SHL Section'!$E$62,IF(AND($L$38='SHL Section'!$BE$53,MAX('SHL Section'!$BF$41:$BF$44)=6),'SHL Section'!$E$62,IF(AND($L$38='SHL Section'!$BE$56,MAX('SHL Section'!$BF$45:$BF$48)=6),'SHL Section'!$E$62,IF(E19="","",IF(OR(E22=1,E22=4),180-(E19+E20/60+E21/3600),(E19+E20/60+E21/3600))))))</f>
        <v/>
      </c>
      <c r="J23" s="429" t="inlineStr">
        <is>
          <t>dec. deg.</t>
        </is>
      </c>
      <c r="K23" s="770">
        <f>IF(AND($L$38='SHL Section'!$BE$50,MAX('SHL Section'!$BF$37:$BF$40)=6),'SHL Section'!$K$62,IF(AND($L$38='SHL Section'!$BE$53,MAX('SHL Section'!$BF$41:$BF$44)=6),'SHL Section'!$K$62,IF(AND($L$38='SHL Section'!$BE$56,MAX('SHL Section'!$BF$45:$BF$48)=6),'SHL Section'!$K$62,IF(K19="","",IF(OR(K22=1,K22=4),180-(K19+K20/60+K21/3600),(K19+K20/60+K21/3600))))))</f>
        <v/>
      </c>
      <c r="L23" s="714">
        <f>CONCATENATE("N QC of ",$L$38)</f>
        <v/>
      </c>
      <c r="M23" s="633" t="n"/>
      <c r="N23" s="429" t="inlineStr">
        <is>
          <t>dec. deg.</t>
        </is>
      </c>
      <c r="O23" s="771">
        <f>IF(AND($L$38='SHL Section'!$BE$50,MAX('SHL Section'!$BF$37:$BF$40)=6),'SHL Section'!$O$62,IF(AND($L$38='SHL Section'!$BE$53,MAX('SHL Section'!$BF$41:$BF$44)=6),'SHL Section'!$O$62,IF(AND($L$38='SHL Section'!$BE$56,MAX('SHL Section'!$BF$45:$BF$48)=6),'SHL Section'!$O$62,IF(O19="","",IF(OR(O22=1,O22=4),180-(O19+O20/60+O21/3600),(O19+O20/60+O21/3600))))))</f>
        <v/>
      </c>
      <c r="T23" s="429" t="inlineStr">
        <is>
          <t>dec. deg.</t>
        </is>
      </c>
      <c r="U23" s="771">
        <f>IF(AND($L$38='SHL Section'!$BE$50,MAX('SHL Section'!$BF$37:$BF$40)=6),'SHL Section'!$U$62,IF(AND($L$38='SHL Section'!$BE$53,MAX('SHL Section'!$BF$41:$BF$44)=6),'SHL Section'!$U$62,IF(AND($L$38='SHL Section'!$BE$56,MAX('SHL Section'!$BF$45:$BF$48)=6),'SHL Section'!$U$62,IF(U19="","",IF(OR(U22=1,U22=4),180-(U19+U20/60+U21/3600),(U19+U20/60+U21/3600))))))</f>
        <v/>
      </c>
      <c r="V23" s="698">
        <f>CONCATENATE("NE SC of ",$L$38)</f>
        <v/>
      </c>
      <c r="Y23" s="340" t="n"/>
      <c r="Z23" s="340" t="n"/>
      <c r="AA23" s="689" t="n"/>
      <c r="AB23" s="689" t="n"/>
      <c r="AC23" s="469" t="n">
        <v>4</v>
      </c>
      <c r="AD23" s="676" t="inlineStr">
        <is>
          <t>SHL</t>
        </is>
      </c>
      <c r="AE23" s="324">
        <f>IF($AK$23="","",$AK$23-$BW$26)</f>
        <v/>
      </c>
      <c r="AF23" s="324">
        <f>IF($AL$23="","",$AL$23-$BX$26)</f>
        <v/>
      </c>
      <c r="AG23" s="324">
        <f>IF($AK$23="","",$AK$23+$BO$26-$BG$26)</f>
        <v/>
      </c>
      <c r="AH23" s="324">
        <f>IF($AL$23="","",$AL$23+$BP$26+$BH$26)</f>
        <v/>
      </c>
      <c r="AI23" s="324">
        <f>IF($AK$23="","",$AK$23+$BO$26)</f>
        <v/>
      </c>
      <c r="AJ23" s="324">
        <f>IF($AL$23="","",$AL$23+$BP$26)</f>
        <v/>
      </c>
      <c r="AK23" s="325">
        <f>IF($L$38='SHL Section'!$BE$52,IF('BHL Section 2'!$BF$37=2,'BHL Section 2'!$AE$24,IF('BHL Section 2'!$BF$38=9,'BHL Section 2'!$AG$24,IF('BHL Section 2'!$BF$39=8,'BHL Section 2'!$AI$24,""))),IF($L$38='SHL Section'!$BE$55,IF('BHL Section 2'!$BF$41=2,'BHL Section 2'!$AE$24,IF('BHL Section 2'!$BF$42=9,'BHL Section 2'!$AG$24,IF('BHL Section 2'!$BF$43=8,'BHL Section 2'!$AI$24,""))),IF($L$38='SHL Section'!$BE$58,IF('BHL Section 2'!$BF$45=2,'BHL Section 2'!$AE$24,IF('BHL Section 2'!$BF$46=9,'BHL Section 2'!$AG$24,IF('BHL Section 2'!$BF$47=8,'BHL Section 2'!$AI$24,""))),"")))</f>
        <v/>
      </c>
      <c r="AL23" s="325">
        <f>IF($L$38='SHL Section'!$BE$52,IF('BHL Section 2'!$BF$37=2,'BHL Section 2'!$AF$24,IF('BHL Section 2'!$BF$38=9,'BHL Section 2'!$AH$24,IF('BHL Section 2'!$BF$39=8,'BHL Section 2'!$AJ$24,""))),IF($L$38='SHL Section'!$BE$55,IF('BHL Section 2'!$BF$41=2,'BHL Section 2'!$AF$24,IF('BHL Section 2'!$BF$42=9,'BHL Section 2'!$AH$24,IF('BHL Section 2'!$BF$43=8,'BHL Section 2'!$AJ$24,""))),IF($L$38='SHL Section'!$BE$58,IF('BHL Section 2'!$BF$45=2,'BHL Section 2'!$AF$24,IF('BHL Section 2'!$BF$46=9,'BHL Section 2'!$AH$24,IF('BHL Section 2'!$BF$47=8,'BHL Section 2'!$AJ$24,""))),"")))</f>
        <v/>
      </c>
      <c r="AM23" s="324">
        <f>IF($AK$23="","",$AK$23-$BW$26+$AW$22)</f>
        <v/>
      </c>
      <c r="AN23" s="324">
        <f>IF($AL$23="","",$AL$23-$BX$26+$AX$22)</f>
        <v/>
      </c>
      <c r="AO23" s="324">
        <f>IF($AK$23="","",$AK$23+$BO$26-$BI$22)</f>
        <v/>
      </c>
      <c r="AP23" s="324">
        <f>IF($AL$23="","",$AL$23+$BP$26-$BJ$22)</f>
        <v/>
      </c>
      <c r="AQ23" s="324">
        <f>IF($AK$23="","",$AK$23+$BQ$22)</f>
        <v/>
      </c>
      <c r="AR23" s="324">
        <f>IF($AL$23="","",$AL$23+$BR$22)</f>
        <v/>
      </c>
      <c r="AS23" s="324">
        <f>IF($AK$23="","",$AK$23-$BU$22)</f>
        <v/>
      </c>
      <c r="AT23" s="324">
        <f>IF($AL$23="","",$AL$23-$BV$22)</f>
        <v/>
      </c>
      <c r="AU23" s="335" t="n"/>
      <c r="AV23" s="298" t="n"/>
      <c r="BD23" s="298" t="n"/>
      <c r="BL23" s="298" t="n"/>
      <c r="BT23" s="298" t="n"/>
      <c r="BZ23" s="693" t="n"/>
      <c r="CA23" s="693" t="n"/>
      <c r="CB23" s="244" t="n"/>
    </row>
    <row r="24" ht="12" customHeight="1" s="613">
      <c r="B24" s="420">
        <f>IF(AND($L$38='SHL Section'!$BE$52,MAX('BHL Section 2'!$BF$37:$BF$40)=4),'BHL Section 2'!$W$24,IF(AND($L$38='SHL Section'!$BE$55,MAX('BHL Section 2'!$BF$41:$BF$44)=4),'BHL Section 2'!$W$24,IF(AND($L$38='SHL Section'!$BE$58,MAX('BHL Section 2'!$BF$45:$BF$48)=4),'BHL Section 2'!$W$24,B25)))</f>
        <v/>
      </c>
      <c r="C24" s="432" t="n"/>
      <c r="D24" s="653" t="n"/>
      <c r="E24" s="653" t="n"/>
      <c r="F24" s="653" t="n"/>
      <c r="G24" s="653" t="n"/>
      <c r="H24" s="653" t="n"/>
      <c r="I24" s="653" t="n"/>
      <c r="J24" s="653" t="n"/>
      <c r="K24" s="653" t="n"/>
      <c r="L24" s="431" t="n"/>
      <c r="M24" s="430" t="n"/>
      <c r="N24" s="653" t="n"/>
      <c r="O24" s="653" t="n"/>
      <c r="P24" s="653" t="n"/>
      <c r="Q24" s="653" t="n"/>
      <c r="R24" s="653" t="n"/>
      <c r="S24" s="653" t="n"/>
      <c r="T24" s="653" t="n"/>
      <c r="U24" s="653" t="n"/>
      <c r="V24" s="656" t="n"/>
      <c r="W24" s="428">
        <f>IF(AND($L$38='SHL Section'!$BE$52,MAX('BHL Section 2'!$BF$37:$BF$40)=8),'BHL Section 2'!$B$24,IF(AND($L$38='SHL Section'!$BE$55,MAX('BHL Section 2'!$BF$41:$BF$44)=8),'BHL Section 2'!$B$24,IF(AND($L$38='SHL Section'!$BE$58,MAX('BHL Section 2'!$BF$45:$BF$48)=8),'BHL Section 2'!$B$24,W25)))</f>
        <v/>
      </c>
      <c r="AA24" s="689" t="n"/>
      <c r="AB24" s="689" t="n"/>
      <c r="AC24" s="671" t="n"/>
      <c r="AD24" s="617" t="n"/>
      <c r="AE24" s="323">
        <f>IF(ISNUMBER($AE$20),AE$20,IF(ISNUMBER($AG$21),AE$21,IF(ISNUMBER($AI$22),AE$22,IF(ISNUMBER($AK$23),AE$23,""))))</f>
        <v/>
      </c>
      <c r="AF24" s="323">
        <f>IF(ISNUMBER($AF$20),AF$20,IF(ISNUMBER($AH$21),AF$21,IF(ISNUMBER($AJ$22),AF$22,IF(ISNUMBER($AL$23),AF$23,""))))</f>
        <v/>
      </c>
      <c r="AG24" s="323">
        <f>IF(ISNUMBER($AE$20),AG$20,IF(ISNUMBER($AG$21),AG$21,IF(ISNUMBER($AI$22),AG$22,IF(ISNUMBER($AK$23),AG$23,""))))</f>
        <v/>
      </c>
      <c r="AH24" s="323">
        <f>IF(ISNUMBER($AF$20),AH$20,IF(ISNUMBER($AH$21),AH$21,IF(ISNUMBER($AJ$22),AH$22,IF(ISNUMBER($AL$23),AH$23,""))))</f>
        <v/>
      </c>
      <c r="AI24" s="323">
        <f>IF(ISNUMBER($AE$20),AI$20,IF(ISNUMBER($AG$21),AI$21,IF(ISNUMBER($AI$22),AI$22,IF(ISNUMBER($AK$23),AI$23,""))))</f>
        <v/>
      </c>
      <c r="AJ24" s="323">
        <f>IF(ISNUMBER($AF$20),AJ$20,IF(ISNUMBER($AH$21),AJ$21,IF(ISNUMBER($AJ$22),AJ$22,IF(ISNUMBER($AL$23),AJ$23,""))))</f>
        <v/>
      </c>
      <c r="AK24" s="323">
        <f>IF(ISNUMBER($AE$20),AK$20,IF(ISNUMBER($AG$21),AK$21,IF(ISNUMBER($AI$22),AK$22,IF(ISNUMBER($AK$23),AK$23,""))))</f>
        <v/>
      </c>
      <c r="AL24" s="323">
        <f>IF(ISNUMBER($AF$20),AL$20,IF(ISNUMBER($AH$21),AL$21,IF(ISNUMBER($AJ$22),AL$22,IF(ISNUMBER($AL$23),AL$23,""))))</f>
        <v/>
      </c>
      <c r="AM24" s="323">
        <f>IF(ISNUMBER($AE$20),AM$20,IF(ISNUMBER($AG$21),AM$21,IF(ISNUMBER($AI$22),AM$22,IF(ISNUMBER($AK$23),AM$23,""))))</f>
        <v/>
      </c>
      <c r="AN24" s="323">
        <f>IF(ISNUMBER($AF$20),AN$20,IF(ISNUMBER($AH$21),AN$21,IF(ISNUMBER($AJ$22),AN$22,IF(ISNUMBER($AL$23),AN$23,""))))</f>
        <v/>
      </c>
      <c r="AO24" s="323">
        <f>IF(ISNUMBER($AE$20),AO$20,IF(ISNUMBER($AG$21),AO$21,IF(ISNUMBER($AI$22),AO$22,IF(ISNUMBER($AK$23),AO$23,""))))</f>
        <v/>
      </c>
      <c r="AP24" s="323">
        <f>IF(ISNUMBER($AF$20),AP$20,IF(ISNUMBER($AH$21),AP$21,IF(ISNUMBER($AJ$22),AP$22,IF(ISNUMBER($AL$23),AP$23,""))))</f>
        <v/>
      </c>
      <c r="AQ24" s="323">
        <f>IF(ISNUMBER($AE$20),AQ$20,IF(ISNUMBER($AG$21),AQ$21,IF(ISNUMBER($AI$22),AQ$22,IF(ISNUMBER($AK$23),AQ$23,""))))</f>
        <v/>
      </c>
      <c r="AR24" s="323">
        <f>IF(ISNUMBER($AF$20),AR$20,IF(ISNUMBER($AH$21),AR$21,IF(ISNUMBER($AJ$22),AR$22,IF(ISNUMBER($AL$23),AR$23,""))))</f>
        <v/>
      </c>
      <c r="AS24" s="323">
        <f>IF(ISNUMBER($AE$20),AS$20,IF(ISNUMBER($AG$21),AS$21,IF(ISNUMBER($AI$22),AS$22,IF(ISNUMBER($AK$23),AS$23,""))))</f>
        <v/>
      </c>
      <c r="AT24" s="323">
        <f>IF(ISNUMBER($AF$20),AT$20,IF(ISNUMBER($AH$21),AT$21,IF(ISNUMBER($AJ$22),AT$22,IF(ISNUMBER($AL$23),AT$23,""))))</f>
        <v/>
      </c>
      <c r="AU24" s="335" t="inlineStr">
        <is>
          <t>Section</t>
        </is>
      </c>
      <c r="AV24" s="674" t="inlineStr">
        <is>
          <t>N</t>
        </is>
      </c>
      <c r="AW24" s="677" t="n"/>
      <c r="AX24" s="677" t="n"/>
      <c r="AY24" s="677" t="n"/>
      <c r="AZ24" s="677" t="n"/>
      <c r="BA24" s="677" t="n"/>
      <c r="BB24" s="677" t="n"/>
      <c r="BC24" s="675" t="n"/>
      <c r="BD24" s="674" t="inlineStr">
        <is>
          <t>W</t>
        </is>
      </c>
      <c r="BE24" s="677" t="n"/>
      <c r="BF24" s="677" t="n"/>
      <c r="BG24" s="677" t="n"/>
      <c r="BH24" s="677" t="n"/>
      <c r="BI24" s="677" t="n"/>
      <c r="BJ24" s="677" t="n"/>
      <c r="BK24" s="675" t="n"/>
      <c r="BL24" s="674" t="inlineStr">
        <is>
          <t>S</t>
        </is>
      </c>
      <c r="BM24" s="677" t="n"/>
      <c r="BN24" s="677" t="n"/>
      <c r="BO24" s="677" t="n"/>
      <c r="BP24" s="677" t="n"/>
      <c r="BQ24" s="677" t="n"/>
      <c r="BR24" s="677" t="n"/>
      <c r="BS24" s="675" t="n"/>
      <c r="BT24" s="674" t="inlineStr">
        <is>
          <t>E</t>
        </is>
      </c>
      <c r="BU24" s="677" t="n"/>
      <c r="BV24" s="677" t="n"/>
      <c r="BW24" s="677" t="n"/>
      <c r="BX24" s="677" t="n"/>
      <c r="BY24" s="677" t="n"/>
      <c r="BZ24" s="677" t="n"/>
      <c r="CA24" s="675" t="n"/>
    </row>
    <row r="25" ht="12" customHeight="1" s="613">
      <c r="A25" s="429" t="inlineStr">
        <is>
          <t>dist.</t>
        </is>
      </c>
      <c r="B25" s="368">
        <f>IF(NOT(ISBLANK(D25)),D25,DGET('Grid Numbers'!$A$2:$L$4952,'Grid Numbers'!$H$2,$B$66:$H$67))</f>
        <v/>
      </c>
      <c r="C25" s="700" t="n"/>
      <c r="D25" s="504" t="n"/>
      <c r="L25" s="310" t="n"/>
      <c r="M25" s="309" t="n"/>
      <c r="U25" s="504" t="n"/>
      <c r="V25" s="646" t="n"/>
      <c r="W25" s="473">
        <f>IF(NOT(ISBLANK(U25)),U25,DGET('Grid Numbers'!$A$2:$L$4952,'Grid Numbers'!$H$2,$B$74:$H$75))</f>
        <v/>
      </c>
      <c r="X25" s="426" t="inlineStr">
        <is>
          <t>dist.</t>
        </is>
      </c>
      <c r="AA25" s="689" t="n"/>
      <c r="AB25" s="689" t="n"/>
      <c r="AC25" s="332" t="n"/>
      <c r="AD25" s="331" t="n"/>
      <c r="AE25" s="330" t="n"/>
      <c r="AF25" s="330" t="n"/>
      <c r="AG25" s="330" t="n"/>
      <c r="AH25" s="330" t="n"/>
      <c r="AI25" s="330" t="n"/>
      <c r="AJ25" s="330" t="n"/>
      <c r="AK25" s="330" t="n"/>
      <c r="AL25" s="330" t="n"/>
      <c r="AM25" s="330" t="n"/>
      <c r="AN25" s="330" t="n"/>
      <c r="AO25" s="330" t="n"/>
      <c r="AP25" s="330" t="n"/>
      <c r="AQ25" s="330" t="n"/>
      <c r="AR25" s="330" t="n"/>
      <c r="AS25" s="330" t="n"/>
      <c r="AT25" s="330" t="n"/>
      <c r="AU25" s="335" t="inlineStr">
        <is>
          <t>N-S &amp; E-W</t>
        </is>
      </c>
      <c r="AV25" s="300" t="n"/>
      <c r="AW25" s="339" t="n"/>
      <c r="AX25" s="339" t="n"/>
      <c r="AY25" s="467" t="inlineStr">
        <is>
          <t>N-S</t>
        </is>
      </c>
      <c r="AZ25" s="468" t="inlineStr">
        <is>
          <t>E-W</t>
        </is>
      </c>
      <c r="BA25" s="339" t="n"/>
      <c r="BB25" s="339" t="n"/>
      <c r="BC25" s="338" t="n"/>
      <c r="BD25" s="300" t="n"/>
      <c r="BE25" s="339" t="n"/>
      <c r="BF25" s="339" t="n"/>
      <c r="BG25" s="467" t="inlineStr">
        <is>
          <t>N-S</t>
        </is>
      </c>
      <c r="BH25" s="468" t="inlineStr">
        <is>
          <t>E-W</t>
        </is>
      </c>
      <c r="BI25" s="339" t="n"/>
      <c r="BJ25" s="339" t="n"/>
      <c r="BK25" s="338" t="n"/>
      <c r="BL25" s="300" t="n"/>
      <c r="BM25" s="339" t="n"/>
      <c r="BN25" s="339" t="n"/>
      <c r="BO25" s="467" t="inlineStr">
        <is>
          <t>N-S</t>
        </is>
      </c>
      <c r="BP25" s="468" t="inlineStr">
        <is>
          <t>E-W</t>
        </is>
      </c>
      <c r="BQ25" s="339" t="n"/>
      <c r="BR25" s="339" t="n"/>
      <c r="BS25" s="338" t="n"/>
      <c r="BT25" s="300" t="n"/>
      <c r="BU25" s="339" t="n"/>
      <c r="BV25" s="339" t="n"/>
      <c r="BW25" s="467" t="inlineStr">
        <is>
          <t>N-S</t>
        </is>
      </c>
      <c r="BX25" s="468" t="inlineStr">
        <is>
          <t>E-W</t>
        </is>
      </c>
      <c r="BY25" s="339" t="n"/>
      <c r="BZ25" s="339" t="n"/>
      <c r="CA25" s="338" t="n"/>
    </row>
    <row r="26" ht="12" customHeight="1" s="613">
      <c r="A26" s="429" t="inlineStr">
        <is>
          <t>deg.</t>
        </is>
      </c>
      <c r="B26" s="295">
        <f>IF(NOT(ISBLANK(D26)),D26,DGET('Grid Numbers'!$A$2:$L$4952,'Grid Numbers'!$I$2,$B$66:$H$67))</f>
        <v/>
      </c>
      <c r="C26" s="700" t="n"/>
      <c r="D26" s="504" t="n"/>
      <c r="G26" s="686" t="inlineStr">
        <is>
          <t>Quadrant 2</t>
        </is>
      </c>
      <c r="H26" s="677" t="n"/>
      <c r="I26" s="337" t="n"/>
      <c r="L26" s="310" t="n"/>
      <c r="M26" s="309" t="n"/>
      <c r="Q26" s="686" t="inlineStr">
        <is>
          <t>Quadrant 1</t>
        </is>
      </c>
      <c r="R26" s="677" t="n"/>
      <c r="U26" s="504" t="n"/>
      <c r="V26" s="646" t="n"/>
      <c r="W26" s="474">
        <f>IF(NOT(ISBLANK(U26)),U26,DGET('Grid Numbers'!$A$2:$L$4952,'Grid Numbers'!$I$2,$B$74:$H$75))</f>
        <v/>
      </c>
      <c r="X26" s="426" t="inlineStr">
        <is>
          <t>deg.</t>
        </is>
      </c>
      <c r="AA26" s="689" t="n"/>
      <c r="AB26" s="689" t="n"/>
      <c r="AC26" s="320" t="n">
        <v>1</v>
      </c>
      <c r="AD26" s="319" t="inlineStr">
        <is>
          <t>BHL1</t>
        </is>
      </c>
      <c r="AE26" s="327">
        <f>IF(AND($AS$24+'SHL Section'!$AI$8&gt;0,$AN$24+'SHL Section'!$AK$8&gt;0),$AE$24+'SHL Section'!$AI$8,"")</f>
        <v/>
      </c>
      <c r="AF26" s="327">
        <f>IF(AND($AS$24+'SHL Section'!$AI$8&gt;0,$AN$24+'SHL Section'!$AK$8&gt;0),$AF$24+'SHL Section'!$AK$8,"")</f>
        <v/>
      </c>
      <c r="AG26" s="326">
        <f>IF($AE$26="","",$AY$26+$AE$26)</f>
        <v/>
      </c>
      <c r="AH26" s="326">
        <f>IF($AF$26="","",$AZ$26+$AF$26)</f>
        <v/>
      </c>
      <c r="AI26" s="326">
        <f>IF($AE$26="","",$BG$26+$AY$26+$AE$26)</f>
        <v/>
      </c>
      <c r="AJ26" s="326">
        <f>IF($AF$26="","",$AZ$26+$BH$26+$AF$26)</f>
        <v/>
      </c>
      <c r="AK26" s="326">
        <f>IF($AE$26="","",$BW$26+$AE$26)</f>
        <v/>
      </c>
      <c r="AL26" s="326">
        <f>IF($AF$26="","",$AF$26+$BX$26)</f>
        <v/>
      </c>
      <c r="AM26" s="326">
        <f>IF($AE$26="","",$AW$22+$AE$26)</f>
        <v/>
      </c>
      <c r="AN26" s="326">
        <f>IF($AF$26="","",$AX$22+$AF$26)</f>
        <v/>
      </c>
      <c r="AO26" s="326">
        <f>IF($AE$26="","",$AY$26+$AE$26+$BE$22)</f>
        <v/>
      </c>
      <c r="AP26" s="326">
        <f>IF($AF$26="","",$AZ$26+$AF$26+$BF$22)</f>
        <v/>
      </c>
      <c r="AQ26" s="326">
        <f>IF($AE$26="","",$BW$26+$AE$26+$BQ$22)</f>
        <v/>
      </c>
      <c r="AR26" s="326">
        <f>IF($AF$26="","",$AF$26+$BX$26+$BR$22)</f>
        <v/>
      </c>
      <c r="AS26" s="326">
        <f>IF($AE$26="","",$BY$22+$AE$26)</f>
        <v/>
      </c>
      <c r="AT26" s="326">
        <f>IF($AF$26="","",$AF$26+$BZ$22)</f>
        <v/>
      </c>
      <c r="AU26" s="335" t="n"/>
      <c r="AV26" s="298" t="n"/>
      <c r="AY26" s="766">
        <f>AW22+BA22</f>
        <v/>
      </c>
      <c r="AZ26" s="767">
        <f>AX22+BB22</f>
        <v/>
      </c>
      <c r="BC26" s="336" t="n"/>
      <c r="BD26" s="298" t="n"/>
      <c r="BG26" s="766">
        <f>BE22+BI22</f>
        <v/>
      </c>
      <c r="BH26" s="767">
        <f>BF22+BJ22</f>
        <v/>
      </c>
      <c r="BK26" s="336" t="n"/>
      <c r="BL26" s="298" t="n"/>
      <c r="BO26" s="766">
        <f>BM22+BQ22</f>
        <v/>
      </c>
      <c r="BP26" s="767">
        <f>BN22+BR22</f>
        <v/>
      </c>
      <c r="BS26" s="336" t="n"/>
      <c r="BT26" s="298" t="n"/>
      <c r="BW26" s="766">
        <f>BU22+BY22</f>
        <v/>
      </c>
      <c r="BX26" s="767">
        <f>BV22+BZ22</f>
        <v/>
      </c>
      <c r="BZ26" s="693" t="n"/>
      <c r="CA26" s="336" t="n"/>
    </row>
    <row r="27" ht="12" customHeight="1" s="613">
      <c r="A27" s="429" t="inlineStr">
        <is>
          <t>min.</t>
        </is>
      </c>
      <c r="B27" s="295">
        <f>IF(NOT(ISBLANK(D27)),D27,DGET('Grid Numbers'!$A$2:$L$4952,'Grid Numbers'!$J$2,$B$66:$H$67))</f>
        <v/>
      </c>
      <c r="C27" s="700" t="n"/>
      <c r="D27" s="504" t="n"/>
      <c r="G27" s="315">
        <f>IF(ISNUMBER($AG$58),$B$8,"")</f>
        <v/>
      </c>
      <c r="H27" s="314">
        <f>IF(AND(G28="",G29=""),"",IF($AG$58=1,"NE/NW",IF($AG$58=2,"NW/NW",IF($AG$58=3,"SW/NW",IF($AG$58=4,"SE/NW","")))))</f>
        <v/>
      </c>
      <c r="L27" s="310" t="n"/>
      <c r="M27" s="309" t="n"/>
      <c r="Q27" s="334">
        <f>IF(ISNUMBER($AE$58),$B$8,"")</f>
        <v/>
      </c>
      <c r="R27" s="314">
        <f>IF(AND(Q28="",Q29=""),"",IF($AE$58=1,"NE/NE",IF($AE$58=2,"NW/NE",IF($AE$58=3,"SW/NE",IF($AE$58=4,"SE/NE","")))))</f>
        <v/>
      </c>
      <c r="U27" s="504" t="n"/>
      <c r="V27" s="646" t="n"/>
      <c r="W27" s="474">
        <f>IF(NOT(ISBLANK(U27)),U27,DGET('Grid Numbers'!$A$2:$L$4952,'Grid Numbers'!$J$2,$B$74:$H$75))</f>
        <v/>
      </c>
      <c r="X27" s="426" t="inlineStr">
        <is>
          <t>min.</t>
        </is>
      </c>
      <c r="AA27" s="689" t="n"/>
      <c r="AB27" s="689" t="n"/>
      <c r="AC27" s="320" t="n">
        <v>2</v>
      </c>
      <c r="AD27" s="319" t="inlineStr">
        <is>
          <t>BHL1</t>
        </is>
      </c>
      <c r="AE27" s="326">
        <f>IF($AG$27="","",$AG$27-$AY$26)</f>
        <v/>
      </c>
      <c r="AF27" s="326">
        <f>IF($AH$27="","",$AH$27-$AZ$26)</f>
        <v/>
      </c>
      <c r="AG27" s="327">
        <f>IF(AND($AO$24+'SHL Section'!$AI$8&gt;0,$AN$24+'SHL Section'!$AK$8&lt;0),$AG$24+'SHL Section'!$AI$8,"")</f>
        <v/>
      </c>
      <c r="AH27" s="327">
        <f>IF(AND($AO$24+'SHL Section'!$AI$8&gt;0,$AN$24+'SHL Section'!$AK$8&lt;0),$AH$24+'SHL Section'!$AK$8,"")</f>
        <v/>
      </c>
      <c r="AI27" s="326">
        <f>IF($AG$27="","",$BG$26+$AG$27)</f>
        <v/>
      </c>
      <c r="AJ27" s="326">
        <f>IF($AH$27="","",$AH$27+$BH$26)</f>
        <v/>
      </c>
      <c r="AK27" s="326">
        <f>IF($AG$27="","",$AG$27-$AY$26+$BW$26)</f>
        <v/>
      </c>
      <c r="AL27" s="326">
        <f>IF($AH$27="","",$AH$27-$AZ$26+$BX$26)</f>
        <v/>
      </c>
      <c r="AM27" s="326">
        <f>IF($AG$27="","",$AG$27-$BA$22)</f>
        <v/>
      </c>
      <c r="AN27" s="326">
        <f>IF($AH$27="","",AH$27-$BB$22)</f>
        <v/>
      </c>
      <c r="AO27" s="326">
        <f>IF($AG$27="","",$BE$22+$AG$27)</f>
        <v/>
      </c>
      <c r="AP27" s="326">
        <f>IF($AH$27="","",$AH$27+$BF$22)</f>
        <v/>
      </c>
      <c r="AQ27" s="326">
        <f>IF($AG$27="","",$BG$26+$AG$27-$BM$22)</f>
        <v/>
      </c>
      <c r="AR27" s="326">
        <f>IF($AH$27="","",$AH$27+$BH$26-$BN$22)</f>
        <v/>
      </c>
      <c r="AS27" s="326">
        <f>IF($AG$27="","",$AG$27-$AY$26+$BY$22)</f>
        <v/>
      </c>
      <c r="AT27" s="326">
        <f>IF($AH$27="","",$AH$27-$AZ$26+$BZ$22)</f>
        <v/>
      </c>
      <c r="AU27" s="335" t="n"/>
      <c r="BZ27" s="693" t="n"/>
      <c r="CA27" s="693" t="n"/>
    </row>
    <row r="28" ht="12" customHeight="1" s="613">
      <c r="A28" s="429" t="inlineStr">
        <is>
          <t>sec.</t>
        </is>
      </c>
      <c r="B28" s="295">
        <f>IF(NOT(ISBLANK(D28)),D28,DGET('Grid Numbers'!$A$2:$L$4952,'Grid Numbers'!$K$2,$B$66:$H$67))</f>
        <v/>
      </c>
      <c r="C28" s="700" t="n"/>
      <c r="D28" s="505" t="n"/>
      <c r="G28" s="312">
        <f>IF(ISNUMBER($AG$58),$I$8,"")</f>
        <v/>
      </c>
      <c r="H28" s="311">
        <f>IF(ISNUMBER($AG$58),"FNL","")</f>
        <v/>
      </c>
      <c r="J28" s="693" t="n"/>
      <c r="K28" s="693" t="n"/>
      <c r="L28" s="310" t="n"/>
      <c r="M28" s="309" t="n"/>
      <c r="Q28" s="312">
        <f>IF(ISNUMBER($AE$58),$I$8,"")</f>
        <v/>
      </c>
      <c r="R28" s="311">
        <f>IF(ISNUMBER($AE$58),"FNL","")</f>
        <v/>
      </c>
      <c r="U28" s="505" t="n"/>
      <c r="V28" s="646" t="n"/>
      <c r="W28" s="474">
        <f>IF(NOT(ISBLANK(U28)),U28,DGET('Grid Numbers'!$A$2:$L$4952,'Grid Numbers'!$K$2,$B$74:$H$75))</f>
        <v/>
      </c>
      <c r="X28" s="426" t="inlineStr">
        <is>
          <t>sec.</t>
        </is>
      </c>
      <c r="AA28" s="689" t="n"/>
      <c r="AB28" s="689" t="n"/>
      <c r="AC28" s="320" t="n">
        <v>3</v>
      </c>
      <c r="AD28" s="319" t="inlineStr">
        <is>
          <t>BHL1</t>
        </is>
      </c>
      <c r="AE28" s="326">
        <f>IF($AI$28="","",$AI$28-$BG$26-$AY$26)</f>
        <v/>
      </c>
      <c r="AF28" s="328">
        <f>IF($AJ$28="","",$AJ$28-$BH$26-$AZ$26)</f>
        <v/>
      </c>
      <c r="AG28" s="326">
        <f>IF($AI$28="","",$AI$28-$BG$26)</f>
        <v/>
      </c>
      <c r="AH28" s="326">
        <f>IF($AJ$28="","",$AJ$28-$BH$26)</f>
        <v/>
      </c>
      <c r="AI28" s="327">
        <f>IF(AND($AO$24+'SHL Section'!$AI$8&lt;0,$AR$24+'SHL Section'!$AK$8&lt;0),$AI$24+'SHL Section'!$AI$8,"")</f>
        <v/>
      </c>
      <c r="AJ28" s="327">
        <f>IF(AND($AO$24+'SHL Section'!$AI$8&lt;0,$AR$24+'SHL Section'!$AK$8&lt;0),$AJ$24+'SHL Section'!$AK$8,"")</f>
        <v/>
      </c>
      <c r="AK28" s="326">
        <f>IF($AI$28="","",$AI$28-$BO$26)</f>
        <v/>
      </c>
      <c r="AL28" s="326">
        <f>IF($AJ$28="","",$AJ$28-$BP$26)</f>
        <v/>
      </c>
      <c r="AM28" s="326">
        <f>IF($AI$28="","",$AI$28-$BG$26-$BA$26)</f>
        <v/>
      </c>
      <c r="AN28" s="326">
        <f>IF($AJ$28="","",$AJ$28-$BH$26-$BB$26)</f>
        <v/>
      </c>
      <c r="AO28" s="326">
        <f>IF($AI$28="","",$AI$28-$BI$26)</f>
        <v/>
      </c>
      <c r="AP28" s="326">
        <f>IF($AJ$28="","",$AJ$28-$BJ$26)</f>
        <v/>
      </c>
      <c r="AQ28" s="326">
        <f>IF($AI$28="","",$AI$28-$BM$26)</f>
        <v/>
      </c>
      <c r="AR28" s="326">
        <f>IF($AJ$28="","",$AJ$28-$BN$26)</f>
        <v/>
      </c>
      <c r="AS28" s="326">
        <f>IF($AI$28="","",$AI$28-$BO$26-$BU$26)</f>
        <v/>
      </c>
      <c r="AT28" s="326">
        <f>IF($AJ$28="","",$AJ$28-$BP$26-$BV$22)</f>
        <v/>
      </c>
      <c r="AU28" s="335" t="inlineStr">
        <is>
          <t>Cosine</t>
        </is>
      </c>
      <c r="AV28" s="773">
        <f>$AW$19/($AV$19^2+$AW$19^2)^0.5</f>
        <v/>
      </c>
      <c r="AW28" s="773" t="n"/>
      <c r="AX28" s="773">
        <f>$AY$19/($AX$19^2+$AY$19^2)^0.5</f>
        <v/>
      </c>
      <c r="AY28" s="764" t="n"/>
      <c r="AZ28" s="773">
        <f>$BA$19/($AZ$19^2+$BA$19^2)^0.5</f>
        <v/>
      </c>
      <c r="BA28" s="773" t="n"/>
      <c r="BB28" s="773">
        <f>$BC$19/($BB$19^2+$BC$19^2)^0.5</f>
        <v/>
      </c>
      <c r="BC28" s="764" t="n"/>
      <c r="BD28" s="773">
        <f>$BD$19/($BD$19^2+$BE$19^2)^0.5</f>
        <v/>
      </c>
      <c r="BE28" s="773" t="n"/>
      <c r="BF28" s="773">
        <f>$BF$19/($BF$19^2+$BG$19^2)^0.5</f>
        <v/>
      </c>
      <c r="BG28" s="764" t="n"/>
      <c r="BH28" s="773">
        <f>$BH$19/($BH$19^2+$BI$19^2)^0.5</f>
        <v/>
      </c>
      <c r="BI28" s="773" t="n"/>
      <c r="BJ28" s="773">
        <f>$BJ$19/($BJ$19^2+$BK$19^2)^0.5</f>
        <v/>
      </c>
      <c r="BK28" s="764" t="n"/>
      <c r="BL28" s="773">
        <f>$BM$19/($BL$19^2+$BM$19^2)^0.5</f>
        <v/>
      </c>
      <c r="BM28" s="773" t="n"/>
      <c r="BN28" s="773">
        <f>$BO$19/($BN$19^2+$BO$19^2)^0.5</f>
        <v/>
      </c>
      <c r="BO28" s="764" t="n"/>
      <c r="BP28" s="773">
        <f>$BQ$19/($BP$19^2+$BQ$19^2)^0.5</f>
        <v/>
      </c>
      <c r="BQ28" s="773" t="n"/>
      <c r="BR28" s="773">
        <f>$BS$19/($BR$19^2+$BS$19^2)^0.5</f>
        <v/>
      </c>
      <c r="BS28" s="764" t="n"/>
      <c r="BT28" s="773">
        <f>$BT$19/($BT$19^2+$BU$19^2)^0.5</f>
        <v/>
      </c>
      <c r="BU28" s="773" t="n"/>
      <c r="BV28" s="773">
        <f>$BV$19/($BV$19^2+$BW$19^2)^0.5</f>
        <v/>
      </c>
      <c r="BW28" s="764" t="n"/>
      <c r="BX28" s="773">
        <f>$BX$19/($BX$19^2+$BY$19^2)^0.5</f>
        <v/>
      </c>
      <c r="BY28" s="773" t="n"/>
      <c r="BZ28" s="773">
        <f>$BZ$19/($BZ$19^2+$CA$19^2)^0.5</f>
        <v/>
      </c>
      <c r="CA28" s="764" t="n"/>
    </row>
    <row r="29" ht="12" customHeight="1" s="613">
      <c r="A29" s="429" t="inlineStr">
        <is>
          <t>dir.</t>
        </is>
      </c>
      <c r="B29" s="321">
        <f>IF(NOT(ISBLANK(D29)),D29,DGET('Grid Numbers'!$A$2:$L$4952,'Grid Numbers'!$L$2,$B$66:$H$67))</f>
        <v/>
      </c>
      <c r="C29" s="700" t="n"/>
      <c r="D29" s="508" t="n"/>
      <c r="G29" s="308">
        <f>IF(ISNUMBER($AG$58),$K$8,"")</f>
        <v/>
      </c>
      <c r="H29" s="307">
        <f>IF(ISNUMBER($AG$58),"FWL","")</f>
        <v/>
      </c>
      <c r="J29" s="693" t="n"/>
      <c r="K29" s="693" t="n"/>
      <c r="L29" s="310" t="n"/>
      <c r="M29" s="309" t="n"/>
      <c r="Q29" s="308">
        <f>IF(ISNUMBER($AE$58),$K$8,"")</f>
        <v/>
      </c>
      <c r="R29" s="307">
        <f>IF(ISNUMBER($AE$58),"FEL","")</f>
        <v/>
      </c>
      <c r="U29" s="508" t="n"/>
      <c r="V29" s="646" t="n"/>
      <c r="W29" s="321">
        <f>IF(NOT(ISBLANK(U29)),U29,DGET('Grid Numbers'!$A$2:$L$4952,'Grid Numbers'!$L$2,$B$74:$H$75))</f>
        <v/>
      </c>
      <c r="X29" s="426" t="inlineStr">
        <is>
          <t>dir.</t>
        </is>
      </c>
      <c r="AA29" s="689" t="n"/>
      <c r="AB29" s="689" t="n"/>
      <c r="AC29" s="469" t="n">
        <v>4</v>
      </c>
      <c r="AD29" s="676" t="inlineStr">
        <is>
          <t>BHL1</t>
        </is>
      </c>
      <c r="AE29" s="324">
        <f>IF($AK$29="","",$AK$29-$BW$26)</f>
        <v/>
      </c>
      <c r="AF29" s="324">
        <f>IF($AL$29="","",$AL$29-$BX$26)</f>
        <v/>
      </c>
      <c r="AG29" s="324">
        <f>IF($AK$29="","",$AK$29+$BO$26-$BG$26)</f>
        <v/>
      </c>
      <c r="AH29" s="324">
        <f>IF($AL$29="","",$AL$29+$BP$26+$BH$26)</f>
        <v/>
      </c>
      <c r="AI29" s="324">
        <f>IF($AK$29="","",$AK$29+$BO$26)</f>
        <v/>
      </c>
      <c r="AJ29" s="324">
        <f>IF($AL$29="","",$AL$29+$BP$26)</f>
        <v/>
      </c>
      <c r="AK29" s="325">
        <f>IF(AND($AS$24+'SHL Section'!$AI$8&lt;0,$AR$24+'SHL Section'!$AK$8&gt;0),$AK$24+'SHL Section'!$AI$8,"")</f>
        <v/>
      </c>
      <c r="AL29" s="325">
        <f>IF(AND($AS$24+'SHL Section'!$AI$8&lt;0,$AR$24+'SHL Section'!$AK$8&gt;0),$AL$24+'SHL Section'!$AK$8,"")</f>
        <v/>
      </c>
      <c r="AM29" s="324">
        <f>IF($AK$29="","",$AK$29-$BW$26+$AW$22)</f>
        <v/>
      </c>
      <c r="AN29" s="324">
        <f>IF($AL$29="","",$AL$29-$BX$26+$AX$22)</f>
        <v/>
      </c>
      <c r="AO29" s="324">
        <f>IF($AK$29="","",$AK$29+$BO$26-$BI$22)</f>
        <v/>
      </c>
      <c r="AP29" s="324">
        <f>IF($AL$29="","",$AL$29+$BP$26-$BJ$22)</f>
        <v/>
      </c>
      <c r="AQ29" s="324">
        <f>IF($AK$29="","",$AK$29+$BQ$22)</f>
        <v/>
      </c>
      <c r="AR29" s="324">
        <f>IF($AL$29="","",$AL$29+$BR$22)</f>
        <v/>
      </c>
      <c r="AS29" s="324">
        <f>IF($AK$29="","",$AK$29-$BU$22)</f>
        <v/>
      </c>
      <c r="AT29" s="324">
        <f>IF($AL$29="","",$AL$29-$BV$22)</f>
        <v/>
      </c>
      <c r="AV29" s="764" t="n"/>
      <c r="AW29" s="764" t="n"/>
      <c r="AX29" s="764" t="n"/>
      <c r="AY29" s="764" t="n"/>
      <c r="AZ29" s="764" t="n"/>
      <c r="BA29" s="764" t="n"/>
      <c r="BB29" s="764" t="n"/>
      <c r="BC29" s="764" t="n"/>
      <c r="BD29" s="764" t="n"/>
      <c r="BE29" s="764" t="n"/>
      <c r="BF29" s="764" t="n"/>
      <c r="BG29" s="764" t="n"/>
      <c r="BH29" s="764" t="n"/>
      <c r="BI29" s="764" t="n"/>
      <c r="BJ29" s="764" t="n"/>
      <c r="BK29" s="764" t="n"/>
      <c r="BL29" s="764" t="n"/>
      <c r="BM29" s="764" t="n"/>
      <c r="BN29" s="764" t="n"/>
      <c r="BO29" s="764" t="n"/>
      <c r="BP29" s="764" t="n"/>
      <c r="BQ29" s="764" t="n"/>
      <c r="BR29" s="764" t="n"/>
      <c r="BS29" s="764" t="n"/>
      <c r="BT29" s="764" t="n"/>
      <c r="BU29" s="764" t="n"/>
      <c r="BV29" s="764" t="n"/>
      <c r="BW29" s="764" t="n"/>
      <c r="BX29" s="764" t="n"/>
      <c r="BY29" s="764" t="n"/>
      <c r="BZ29" s="764" t="n"/>
      <c r="CA29" s="764" t="n"/>
    </row>
    <row r="30" ht="12" customHeight="1" s="613">
      <c r="A30" s="429" t="inlineStr">
        <is>
          <t>dec. deg.</t>
        </is>
      </c>
      <c r="B30" s="771">
        <f>IF(AND($L$38='SHL Section'!$BE$52,MAX('BHL Section 2'!$BF$37:$BF$40)=4),'BHL Section 2'!$W$30,IF(AND($L$38='SHL Section'!$BE$55,MAX('BHL Section 2'!$BF$41:$BF$44)=4),'BHL Section 2'!$W$30,IF(AND($L$38='SHL Section'!$BE$58,MAX('BHL Section 2'!$BF$45:$BF$48)=4),'BHL Section 2'!$W$30,IF(B26="","",IF(OR(B29=1,B29=4),180-(B26+B27/60+B28/3600),180+(B26+B27/60+B28/3600))))))</f>
        <v/>
      </c>
      <c r="C30" s="700" t="n"/>
      <c r="G30" s="315">
        <f>IF(ISNUMBER($AG$69),$B$9,"")</f>
        <v/>
      </c>
      <c r="H30" s="314">
        <f>IF(AND(G31="",G32=""),"",IF($AG$69=1,"NE/NW",IF($AG$69=2,"NW/NW",IF($AG$69=3,"SW/NW",IF($AG$69=4,"SE/NW","")))))</f>
        <v/>
      </c>
      <c r="J30" s="427" t="n"/>
      <c r="K30" s="427" t="n"/>
      <c r="L30" s="310" t="n"/>
      <c r="M30" s="309" t="n"/>
      <c r="Q30" s="334">
        <f>IF(ISNUMBER($AE$69),$B$9,"")</f>
        <v/>
      </c>
      <c r="R30" s="314">
        <f>IF(AND(Q31="",Q32=""),"",IF($AE$69=1,"NE/NE",IF($AE$69=2,"NW/NE",IF($AE$69=3,"SW/NE",IF($AE$69=4,"SE/NE","")))))</f>
        <v/>
      </c>
      <c r="V30" s="646" t="n"/>
      <c r="W30" s="770">
        <f>IF(AND($L$38='SHL Section'!$BE$52,MAX('BHL Section 2'!$BF$37:$BF$40)=8),'BHL Section 2'!$B$30,IF(AND($L$38='SHL Section'!$BE$55,MAX('BHL Section 2'!$BF$41:$BF$44)=8),'BHL Section 2'!$B$30,IF(AND($L$38='SHL Section'!$BE$58,MAX('BHL Section 2'!$BF$45:$BF$48)=8),'BHL Section 2'!$B$30,IF(W26="","",IF(OR(W29=1,W29=4),180-(W26+W27/60+W28/3600),180+(W26+W27/60+W28/3600))))))</f>
        <v/>
      </c>
      <c r="X30" s="426" t="inlineStr">
        <is>
          <t>dec. deg.</t>
        </is>
      </c>
      <c r="AA30" s="689" t="n"/>
      <c r="AB30" s="689" t="n"/>
      <c r="AC30" s="671" t="n"/>
      <c r="AD30" s="617" t="n"/>
      <c r="AE30" s="323">
        <f>IF(ISNUMBER($AE$26),AE$26,IF(ISNUMBER($AG$27),AE$27,IF(ISNUMBER($AI$28),AE$28,IF(ISNUMBER($AK$29),AE$29,""))))</f>
        <v/>
      </c>
      <c r="AF30" s="323">
        <f>IF(ISNUMBER($AF$26),AF$26,IF(ISNUMBER($AH$27),AF$27,IF(ISNUMBER($AJ$28),AF$28,IF(ISNUMBER($AL$29),AF$29,""))))</f>
        <v/>
      </c>
      <c r="AG30" s="323">
        <f>IF(ISNUMBER($AE$26),AG$26,IF(ISNUMBER($AG$27),AG$27,IF(ISNUMBER($AI$28),AG$28,IF(ISNUMBER($AK$29),AG$29,""))))</f>
        <v/>
      </c>
      <c r="AH30" s="323">
        <f>IF(ISNUMBER($AF$26),AH$26,IF(ISNUMBER($AH$27),AH$27,IF(ISNUMBER($AJ$28),AH$28,IF(ISNUMBER($AL$29),AH$29,""))))</f>
        <v/>
      </c>
      <c r="AI30" s="323">
        <f>IF(ISNUMBER($AE$26),AI$26,IF(ISNUMBER($AG$27),AI$27,IF(ISNUMBER($AI$28),AI$28,IF(ISNUMBER($AK$29),AI$29,""))))</f>
        <v/>
      </c>
      <c r="AJ30" s="323">
        <f>IF(ISNUMBER($AF$26),AJ$26,IF(ISNUMBER($AH$27),AJ$27,IF(ISNUMBER($AJ$28),AJ$28,IF(ISNUMBER($AL$29),AJ$29,""))))</f>
        <v/>
      </c>
      <c r="AK30" s="323">
        <f>IF(ISNUMBER($AE$26),AK$26,IF(ISNUMBER($AG$27),AK$27,IF(ISNUMBER($AI$28),AK$28,IF(ISNUMBER($AK$29),AK$29,""))))</f>
        <v/>
      </c>
      <c r="AL30" s="323">
        <f>IF(ISNUMBER($AF$26),AL$26,IF(ISNUMBER($AH$27),AL$27,IF(ISNUMBER($AJ$28),AL$28,IF(ISNUMBER($AL$29),AL$29,""))))</f>
        <v/>
      </c>
      <c r="AM30" s="323">
        <f>IF(ISNUMBER($AE$26),AM$26,IF(ISNUMBER($AG$27),AM$27,IF(ISNUMBER($AI$28),AM$28,IF(ISNUMBER($AK$29),AM$29,""))))</f>
        <v/>
      </c>
      <c r="AN30" s="323">
        <f>IF(ISNUMBER($AF$26),AN$26,IF(ISNUMBER($AH$27),AN$27,IF(ISNUMBER($AJ$28),AN$28,IF(ISNUMBER($AL$29),AN$29,""))))</f>
        <v/>
      </c>
      <c r="AO30" s="323">
        <f>IF(ISNUMBER($AE$26),AO$26,IF(ISNUMBER($AG$27),AO$27,IF(ISNUMBER($AI$28),AO$28,IF(ISNUMBER($AK$29),AO$29,""))))</f>
        <v/>
      </c>
      <c r="AP30" s="323">
        <f>IF(ISNUMBER($AF$26),AP$26,IF(ISNUMBER($AH$27),AP$27,IF(ISNUMBER($AJ$28),AP$28,IF(ISNUMBER($AL$29),AP$29,""))))</f>
        <v/>
      </c>
      <c r="AQ30" s="323">
        <f>IF(ISNUMBER($AE$26),AQ$26,IF(ISNUMBER($AG$27),AQ$27,IF(ISNUMBER($AI$28),AQ$28,IF(ISNUMBER($AK$29),AQ$29,""))))</f>
        <v/>
      </c>
      <c r="AR30" s="323">
        <f>IF(ISNUMBER($AF$26),AR$26,IF(ISNUMBER($AH$27),AR$27,IF(ISNUMBER($AJ$28),AR$28,IF(ISNUMBER($AL$29),AR$29,""))))</f>
        <v/>
      </c>
      <c r="AS30" s="323">
        <f>IF(ISNUMBER($AE$26),AS$26,IF(ISNUMBER($AG$27),AS$27,IF(ISNUMBER($AI$28),AS$28,IF(ISNUMBER($AK$29),AS$29,""))))</f>
        <v/>
      </c>
      <c r="AT30" s="323">
        <f>IF(ISNUMBER($AF$26),AT$26,IF(ISNUMBER($AH$27),AT$27,IF(ISNUMBER($AJ$28),AT$28,IF(ISNUMBER($AL$29),AT$29,""))))</f>
        <v/>
      </c>
      <c r="AV30" s="764" t="n"/>
      <c r="AW30" s="764" t="n"/>
      <c r="AX30" s="764" t="n"/>
      <c r="AY30" s="764" t="n"/>
      <c r="AZ30" s="764" t="n"/>
      <c r="BA30" s="764" t="n"/>
      <c r="BB30" s="764" t="n"/>
      <c r="BC30" s="764" t="n"/>
      <c r="BD30" s="764" t="n"/>
      <c r="BE30" s="764" t="n"/>
      <c r="BF30" s="764" t="n"/>
      <c r="BG30" s="764" t="n"/>
      <c r="BH30" s="764" t="n"/>
      <c r="BI30" s="764" t="n"/>
      <c r="BJ30" s="764" t="n"/>
      <c r="BK30" s="764" t="n"/>
      <c r="BL30" s="764" t="n"/>
      <c r="BM30" s="764" t="n"/>
      <c r="BN30" s="764" t="n"/>
      <c r="BO30" s="764" t="n"/>
      <c r="BP30" s="764" t="n"/>
      <c r="BQ30" s="764" t="n"/>
      <c r="BR30" s="764" t="n"/>
      <c r="BS30" s="764" t="n"/>
      <c r="BT30" s="764" t="n"/>
      <c r="BU30" s="764" t="n"/>
      <c r="BV30" s="764" t="n"/>
      <c r="BW30" s="764" t="n"/>
      <c r="BX30" s="764" t="n"/>
      <c r="BY30" s="764" t="n"/>
      <c r="BZ30" s="764" t="n"/>
      <c r="CA30" s="764" t="n"/>
    </row>
    <row r="31" ht="12" customHeight="1" s="613">
      <c r="C31" s="700" t="n"/>
      <c r="G31" s="312">
        <f>IF(ISNUMBER($AG$69),$I$9,"")</f>
        <v/>
      </c>
      <c r="H31" s="311">
        <f>IF(ISNUMBER($AG$69),"FNL","")</f>
        <v/>
      </c>
      <c r="J31" s="427" t="n"/>
      <c r="K31" s="427" t="n"/>
      <c r="L31" s="310" t="n"/>
      <c r="M31" s="309" t="n"/>
      <c r="Q31" s="312">
        <f>IF(ISNUMBER($AE$69),$I$9,"")</f>
        <v/>
      </c>
      <c r="R31" s="311">
        <f>IF(ISNUMBER($AE$69),"FNL","")</f>
        <v/>
      </c>
      <c r="V31" s="646" t="n"/>
      <c r="AA31" s="689" t="n"/>
      <c r="AB31" s="689" t="n"/>
      <c r="AC31" s="332" t="n"/>
      <c r="AD31" s="331" t="n"/>
      <c r="AE31" s="330" t="n"/>
      <c r="AF31" s="330" t="n"/>
      <c r="AG31" s="330" t="n"/>
      <c r="AH31" s="330" t="n"/>
      <c r="AI31" s="330" t="n"/>
      <c r="AJ31" s="330" t="n"/>
      <c r="AK31" s="330" t="n"/>
      <c r="AL31" s="330" t="n"/>
      <c r="AM31" s="330" t="n"/>
      <c r="AN31" s="330" t="n"/>
      <c r="AO31" s="330" t="n"/>
      <c r="AP31" s="330" t="n"/>
      <c r="AQ31" s="330" t="n"/>
      <c r="AR31" s="330" t="n"/>
      <c r="AS31" s="330" t="n"/>
      <c r="AT31" s="330" t="n"/>
      <c r="AV31" s="764" t="n"/>
      <c r="AW31" s="764" t="n"/>
      <c r="AX31" s="764" t="n"/>
      <c r="AY31" s="764" t="n"/>
      <c r="AZ31" s="764" t="n"/>
      <c r="BA31" s="764" t="n"/>
      <c r="BB31" s="764" t="n"/>
      <c r="BC31" s="764" t="n"/>
      <c r="BD31" s="764" t="n"/>
      <c r="BE31" s="764" t="n"/>
      <c r="BF31" s="764" t="n"/>
      <c r="BG31" s="764" t="n"/>
      <c r="BH31" s="764" t="n"/>
      <c r="BI31" s="764" t="n"/>
      <c r="BJ31" s="764" t="n"/>
      <c r="BK31" s="764" t="n"/>
      <c r="BL31" s="764" t="n"/>
      <c r="BM31" s="764" t="n"/>
      <c r="BN31" s="764" t="n"/>
      <c r="BO31" s="764" t="n"/>
      <c r="BP31" s="764" t="n"/>
      <c r="BQ31" s="764" t="n"/>
      <c r="BR31" s="764" t="n"/>
      <c r="BS31" s="764" t="n"/>
      <c r="BT31" s="764" t="n"/>
      <c r="BU31" s="764" t="n"/>
      <c r="BV31" s="764" t="n"/>
      <c r="BW31" s="764" t="n"/>
      <c r="BX31" s="764" t="n"/>
      <c r="BY31" s="764" t="n"/>
      <c r="BZ31" s="764" t="n"/>
      <c r="CA31" s="764" t="n"/>
    </row>
    <row r="32" ht="12" customHeight="1" s="613">
      <c r="B32" s="420">
        <f>IF(AND($L$38='SHL Section'!$BE$52,MAX('BHL Section 2'!$BF$37:$BF$40)=4),'BHL Section 2'!$W$32,IF(AND($L$38='SHL Section'!$BE$55,MAX('BHL Section 2'!$BF$41:$BF$44)=4),'BHL Section 2'!$W$32,IF(AND($L$38='SHL Section'!$BE$58,MAX('BHL Section 2'!$BF$45:$BF$48)=4),'BHL Section 2'!$W$32,B33)))</f>
        <v/>
      </c>
      <c r="C32" s="700" t="n"/>
      <c r="F32" s="693" t="n"/>
      <c r="G32" s="308">
        <f>IF(ISNUMBER($AG$69),$K$9,"")</f>
        <v/>
      </c>
      <c r="H32" s="307">
        <f>IF(ISNUMBER($AG$69),"FWL","")</f>
        <v/>
      </c>
      <c r="I32" s="428" t="n"/>
      <c r="J32" s="427" t="n"/>
      <c r="K32" s="427" t="n"/>
      <c r="L32" s="310" t="n"/>
      <c r="M32" s="309" t="n"/>
      <c r="Q32" s="308">
        <f>IF(ISNUMBER($AE$69),$K$9,"")</f>
        <v/>
      </c>
      <c r="R32" s="307">
        <f>IF(ISNUMBER($AE$69),"FEL","")</f>
        <v/>
      </c>
      <c r="V32" s="646" t="n"/>
      <c r="W32" s="428">
        <f>IF(AND($L$38='SHL Section'!$BE$52,MAX('BHL Section 2'!$BF$37:$BF$40)=8),'BHL Section 2'!$B$32,IF(AND($L$38='SHL Section'!$BE$55,MAX('BHL Section 2'!$BF$41:$BF$44)=8),'BHL Section 2'!$B$32,IF(AND($L$38='SHL Section'!$BE$58,MAX('BHL Section 2'!$BF$45:$BF$48)=8),'BHL Section 2'!$B$32,W33)))</f>
        <v/>
      </c>
      <c r="AA32" s="689" t="n"/>
      <c r="AB32" s="689" t="n"/>
      <c r="AC32" s="320" t="n">
        <v>1</v>
      </c>
      <c r="AD32" s="319" t="inlineStr">
        <is>
          <t>BHL2</t>
        </is>
      </c>
      <c r="AE32" s="327">
        <f>IF(AND($AS$24+'SHL Section'!$AI$9&gt;0,$AN$24+'SHL Section'!$AK$9&gt;0),$AE$24+'SHL Section'!$AI$9,"")</f>
        <v/>
      </c>
      <c r="AF32" s="327">
        <f>IF(AND($AS$24+'SHL Section'!$AI$9&gt;0,$AN$24+'SHL Section'!$AK$9&gt;0),$AF$24+'SHL Section'!$AK$9,"")</f>
        <v/>
      </c>
      <c r="AG32" s="326">
        <f>IF($AE$32="","",$AY$26+$AE$32)</f>
        <v/>
      </c>
      <c r="AH32" s="326">
        <f>IF($AF$32="","",$AZ$26+$AF$32)</f>
        <v/>
      </c>
      <c r="AI32" s="326">
        <f>IF($AE$32="","",$BG$26+$AY$26+$AE$32)</f>
        <v/>
      </c>
      <c r="AJ32" s="326">
        <f>IF($AF$32="","",$AZ$26+$BH$26+$AF$32)</f>
        <v/>
      </c>
      <c r="AK32" s="326">
        <f>IF($AE$32="","",$BW$26+$AE$32)</f>
        <v/>
      </c>
      <c r="AL32" s="326">
        <f>IF($AF$32="","",$AF$32+$BX$26)</f>
        <v/>
      </c>
      <c r="AM32" s="326">
        <f>IF($AE$32="","",$AW$22+$AE$32)</f>
        <v/>
      </c>
      <c r="AN32" s="326">
        <f>IF($AF$32="","",$AX$22+$AF$32)</f>
        <v/>
      </c>
      <c r="AO32" s="326">
        <f>IF($AE$32="","",$AY$26+$AE$32+$BE$22)</f>
        <v/>
      </c>
      <c r="AP32" s="326">
        <f>IF($AF$32="","",$AZ$26+$AF$32+$BF$22)</f>
        <v/>
      </c>
      <c r="AQ32" s="326">
        <f>IF($AE$32="","",$BW$26+$AE$32+$BQ$22)</f>
        <v/>
      </c>
      <c r="AR32" s="326">
        <f>IF($AF$32="","",$AF$32+$BX$26+$BR$22)</f>
        <v/>
      </c>
      <c r="AS32" s="326">
        <f>IF($AE$32="","",$BY$22+$AE$32)</f>
        <v/>
      </c>
      <c r="AT32" s="326">
        <f>IF($AF$32="","",$AF$32+$BZ$22)</f>
        <v/>
      </c>
      <c r="AV32" s="764" t="n"/>
      <c r="AW32" s="764" t="n"/>
      <c r="AX32" s="764" t="n"/>
      <c r="AY32" s="764" t="n"/>
      <c r="AZ32" s="764" t="n"/>
      <c r="BA32" s="764" t="n"/>
      <c r="BB32" s="764" t="n"/>
      <c r="BC32" s="764" t="n"/>
      <c r="BD32" s="764" t="n"/>
      <c r="BE32" s="764" t="n"/>
      <c r="BF32" s="764" t="n"/>
      <c r="BG32" s="764" t="n"/>
      <c r="BH32" s="764" t="n"/>
      <c r="BI32" s="764" t="n"/>
      <c r="BJ32" s="764" t="n"/>
      <c r="BK32" s="764" t="n"/>
      <c r="BL32" s="764" t="n"/>
      <c r="BM32" s="764" t="n"/>
      <c r="BN32" s="764" t="n"/>
      <c r="BO32" s="764" t="n"/>
      <c r="BP32" s="764" t="n"/>
      <c r="BQ32" s="764" t="n"/>
      <c r="BR32" s="764" t="n"/>
      <c r="BS32" s="764" t="n"/>
      <c r="BT32" s="764" t="n"/>
      <c r="BU32" s="764" t="n"/>
      <c r="BV32" s="764" t="n"/>
      <c r="BW32" s="764" t="n"/>
      <c r="BX32" s="764" t="n"/>
      <c r="BY32" s="764" t="n"/>
      <c r="BZ32" s="764" t="n"/>
      <c r="CA32" s="764" t="n"/>
    </row>
    <row r="33" ht="12" customHeight="1" s="613">
      <c r="A33" s="429" t="inlineStr">
        <is>
          <t>dist.</t>
        </is>
      </c>
      <c r="B33" s="303">
        <f>IF(NOT(ISBLANK(D33)),D33,DGET('Grid Numbers'!$A$2:$L$4952,'Grid Numbers'!$H$2,$B$68:$H$69))</f>
        <v/>
      </c>
      <c r="C33" s="700" t="n"/>
      <c r="D33" s="504" t="n"/>
      <c r="G33" s="315">
        <f>IF(ISNUMBER($AG$80),$B$10,"")</f>
        <v/>
      </c>
      <c r="H33" s="314">
        <f>IF(AND(G34="",G35=""),"",IF($AG$80=1,"NE/NW",IF($AG$80=2,"NW/NW",IF($AG$80=3,"SW/NW",IF($AG$80=4,"SE/NW","")))))</f>
        <v/>
      </c>
      <c r="J33" s="427" t="n"/>
      <c r="K33" s="427" t="n"/>
      <c r="L33" s="310" t="n"/>
      <c r="M33" s="309" t="n"/>
      <c r="Q33" s="334">
        <f>IF(ISNUMBER($AE$80),$B$10,"")</f>
        <v/>
      </c>
      <c r="R33" s="314">
        <f>IF(AND(Q34="",Q35=""),"",IF($AE$80=1,"NE/NE",IF($AE$80=2,"NW/NE",IF($AE$80=3,"SW/NE",IF($AE$80=4,"SE/NE","")))))</f>
        <v/>
      </c>
      <c r="S33" s="428" t="n"/>
      <c r="T33" s="427" t="n"/>
      <c r="U33" s="504" t="n"/>
      <c r="V33" s="646" t="n"/>
      <c r="W33" s="303">
        <f>IF(NOT(ISBLANK(U33)),U33,DGET('Grid Numbers'!$A$2:$L$4952,'Grid Numbers'!$H$2,$B$76:$H$77))</f>
        <v/>
      </c>
      <c r="X33" s="426" t="inlineStr">
        <is>
          <t>dist.</t>
        </is>
      </c>
      <c r="AA33" s="689" t="n"/>
      <c r="AB33" s="689" t="n"/>
      <c r="AC33" s="320" t="n">
        <v>2</v>
      </c>
      <c r="AD33" s="319" t="inlineStr">
        <is>
          <t>BHL2</t>
        </is>
      </c>
      <c r="AE33" s="326">
        <f>IF($AG$33="","",$AG$33-$AY$26)</f>
        <v/>
      </c>
      <c r="AF33" s="326">
        <f>IF($AH$33="","",$AH$33-$AZ$26)</f>
        <v/>
      </c>
      <c r="AG33" s="327">
        <f>IF(AND($AO$24+'SHL Section'!$AI$9&gt;0,$AN$24+'SHL Section'!$AK$9&lt;0),$AG$24+'SHL Section'!$AI$9,"")</f>
        <v/>
      </c>
      <c r="AH33" s="327">
        <f>IF(AND($AO$24+'SHL Section'!$AI$9&gt;0,$AN$24+'SHL Section'!$AK$9&lt;0),$AH$24+'SHL Section'!$AK$9,"")</f>
        <v/>
      </c>
      <c r="AI33" s="326">
        <f>IF($AG$33="","",$BG$26+$AG$33)</f>
        <v/>
      </c>
      <c r="AJ33" s="326">
        <f>IF($AH$33="","",$AH$33+$BH$26)</f>
        <v/>
      </c>
      <c r="AK33" s="326">
        <f>IF($AG$33="","",$AG$33-$AY$26+$BW$26)</f>
        <v/>
      </c>
      <c r="AL33" s="326">
        <f>IF($AH$33="","",$AH$33-$AZ$26+$BX$26)</f>
        <v/>
      </c>
      <c r="AM33" s="326">
        <f>IF($AG$33="","",$AG$33-$BA$22)</f>
        <v/>
      </c>
      <c r="AN33" s="326">
        <f>IF($AH$33="","",AH$33-$BB$22)</f>
        <v/>
      </c>
      <c r="AO33" s="326">
        <f>IF($AG$33="","",$BE$22+$AG$33)</f>
        <v/>
      </c>
      <c r="AP33" s="326">
        <f>IF($AH$33="","",$AH$33+$BF$22)</f>
        <v/>
      </c>
      <c r="AQ33" s="326">
        <f>IF($AG$33="","",$BG$26+$AG$33-$BM$22)</f>
        <v/>
      </c>
      <c r="AR33" s="326">
        <f>IF($AH$33="","",$AH$33+$BH$26-$BN$22)</f>
        <v/>
      </c>
      <c r="AS33" s="326">
        <f>IF($AG$33="","",$AG$33-$AY$26+$BY$22)</f>
        <v/>
      </c>
      <c r="AT33" s="326">
        <f>IF($AH$33="","",$AH$33-$AZ$26+$BZ$22)</f>
        <v/>
      </c>
    </row>
    <row r="34" ht="12" customHeight="1" s="613">
      <c r="A34" s="429" t="inlineStr">
        <is>
          <t>deg.</t>
        </is>
      </c>
      <c r="B34" s="296">
        <f>IF(NOT(ISBLANK(D34)),D34,DGET('Grid Numbers'!$A$2:$L$4952,'Grid Numbers'!$I$2,$B$68:$H$69))</f>
        <v/>
      </c>
      <c r="C34" s="700" t="n"/>
      <c r="D34" s="504" t="n"/>
      <c r="G34" s="312">
        <f>IF(ISNUMBER($AG$80),$I$10,"")</f>
        <v/>
      </c>
      <c r="H34" s="311">
        <f>IF(ISNUMBER($AG$80),"FNL","")</f>
        <v/>
      </c>
      <c r="J34" s="427" t="n"/>
      <c r="K34" s="427" t="n"/>
      <c r="L34" s="310" t="n"/>
      <c r="M34" s="309" t="n"/>
      <c r="Q34" s="312">
        <f>IF(ISNUMBER($AE$80),$I$10,"")</f>
        <v/>
      </c>
      <c r="R34" s="311">
        <f>IF(ISNUMBER($AE$80),"FNL","")</f>
        <v/>
      </c>
      <c r="S34" s="428" t="n"/>
      <c r="T34" s="427" t="n"/>
      <c r="U34" s="504" t="n"/>
      <c r="V34" s="646" t="n"/>
      <c r="W34" s="472">
        <f>IF(NOT(ISBLANK(U34)),U34,DGET('Grid Numbers'!$A$2:$L$4952,'Grid Numbers'!$I$2,$B$76:$H$77))</f>
        <v/>
      </c>
      <c r="X34" s="426" t="inlineStr">
        <is>
          <t>deg.</t>
        </is>
      </c>
      <c r="AA34" s="689" t="n"/>
      <c r="AB34" s="689" t="n"/>
      <c r="AC34" s="320" t="n">
        <v>3</v>
      </c>
      <c r="AD34" s="319" t="inlineStr">
        <is>
          <t>BHL2</t>
        </is>
      </c>
      <c r="AE34" s="326">
        <f>IF($AI$34="","",$AI$34-$BG$26-$AY$26)</f>
        <v/>
      </c>
      <c r="AF34" s="328">
        <f>IF($AJ$34="","",$AJ$34-$BH$26-$AZ$26)</f>
        <v/>
      </c>
      <c r="AG34" s="326">
        <f>IF($AI$34="","",$AI$34-$BG$26)</f>
        <v/>
      </c>
      <c r="AH34" s="326">
        <f>IF($AJ$34="","",$AJ$34-$BH$26)</f>
        <v/>
      </c>
      <c r="AI34" s="327">
        <f>IF(AND($AO$24+'SHL Section'!$AI$9&lt;0,$AR$24+'SHL Section'!$AK$9&lt;0),$AI$24+'SHL Section'!$AI$9,"")</f>
        <v/>
      </c>
      <c r="AJ34" s="327">
        <f>IF(AND($AO$24+'SHL Section'!$AI$9&lt;0,$AR$24+'SHL Section'!$AK$9&lt;0),$AJ$24+'SHL Section'!$AK$9,"")</f>
        <v/>
      </c>
      <c r="AK34" s="326">
        <f>IF($AI$34="","",$AI$34-$BO$26)</f>
        <v/>
      </c>
      <c r="AL34" s="326">
        <f>IF($AJ$34="","",$AJ$34-$BP$26)</f>
        <v/>
      </c>
      <c r="AM34" s="326">
        <f>IF($AI$34="","",$AI$34-$BG$26-$BA$26)</f>
        <v/>
      </c>
      <c r="AN34" s="326">
        <f>IF($AJ$34="","",$AJ$34-$BH$26-$BB$26)</f>
        <v/>
      </c>
      <c r="AO34" s="326">
        <f>IF($AI$34="","",$AI$34-$BI$26)</f>
        <v/>
      </c>
      <c r="AP34" s="326">
        <f>IF($AJ$34="","",$AJ$34-$BJ$26)</f>
        <v/>
      </c>
      <c r="AQ34" s="326">
        <f>IF($AI$34="","",$AI$34-$BM$26)</f>
        <v/>
      </c>
      <c r="AR34" s="326">
        <f>IF($AJ$34="","",$AJ$34-$BN$26)</f>
        <v/>
      </c>
      <c r="AS34" s="326">
        <f>IF($AI$34="","",$AI$34-$BO$26-$BU$26)</f>
        <v/>
      </c>
      <c r="AT34" s="326">
        <f>IF($AJ$34="","",$AJ$34-$BP$26-$BV$22)</f>
        <v/>
      </c>
      <c r="BZ34" s="693" t="n"/>
      <c r="CA34" s="693" t="n"/>
    </row>
    <row r="35" ht="12" customHeight="1" s="613">
      <c r="A35" s="429" t="inlineStr">
        <is>
          <t>min.</t>
        </is>
      </c>
      <c r="B35" s="296">
        <f>IF(NOT(ISBLANK(D35)),D35,DGET('Grid Numbers'!$A$2:$L$4952,'Grid Numbers'!$J$2,$B$68:$H$69))</f>
        <v/>
      </c>
      <c r="C35" s="700" t="n"/>
      <c r="D35" s="504" t="n"/>
      <c r="G35" s="308">
        <f>IF(ISNUMBER($AG$80),$K$10,"")</f>
        <v/>
      </c>
      <c r="H35" s="307">
        <f>IF(ISNUMBER($AG$80),"FWL","")</f>
        <v/>
      </c>
      <c r="J35" s="427" t="n"/>
      <c r="K35" s="427" t="n"/>
      <c r="L35" s="310" t="n"/>
      <c r="M35" s="309" t="n"/>
      <c r="Q35" s="308">
        <f>IF(ISNUMBER($AE$80),$K$10,"")</f>
        <v/>
      </c>
      <c r="R35" s="307">
        <f>IF(ISNUMBER($AE$80),"FEL","")</f>
        <v/>
      </c>
      <c r="S35" s="428" t="n"/>
      <c r="T35" s="427" t="n"/>
      <c r="U35" s="504" t="n"/>
      <c r="V35" s="646" t="n"/>
      <c r="W35" s="472">
        <f>IF(NOT(ISBLANK(U35)),U35,DGET('Grid Numbers'!$A$2:$L$4952,'Grid Numbers'!$J$2,$B$76:$H$77))</f>
        <v/>
      </c>
      <c r="X35" s="426" t="inlineStr">
        <is>
          <t>min.</t>
        </is>
      </c>
      <c r="AA35" s="689" t="n"/>
      <c r="AB35" s="294" t="n"/>
      <c r="AC35" s="469" t="n">
        <v>4</v>
      </c>
      <c r="AD35" s="676" t="inlineStr">
        <is>
          <t>BHL2</t>
        </is>
      </c>
      <c r="AE35" s="324">
        <f>IF($AK$35="","",$AK$35-$BW$26)</f>
        <v/>
      </c>
      <c r="AF35" s="324">
        <f>IF($AL$35="","",$AL$35-$BX$26)</f>
        <v/>
      </c>
      <c r="AG35" s="324">
        <f>IF($AK$35="","",$AK$35+$BO$26-$BG$26)</f>
        <v/>
      </c>
      <c r="AH35" s="324">
        <f>IF($AL$35="","",$AL$35+$BP$26+$BH$26)</f>
        <v/>
      </c>
      <c r="AI35" s="324">
        <f>IF($AK$35="","",$AK$35+$BO$26)</f>
        <v/>
      </c>
      <c r="AJ35" s="324">
        <f>IF($AL$35="","",$AL$35+$BP$26)</f>
        <v/>
      </c>
      <c r="AK35" s="325">
        <f>IF(AND($AS$24+'SHL Section'!$AI$9&lt;0,$AR$24+'SHL Section'!$AK$9&gt;0),$AK$24+'SHL Section'!$AI$9,"")</f>
        <v/>
      </c>
      <c r="AL35" s="325">
        <f>IF(AND($AS$24+'SHL Section'!$AI$9&lt;0,$AR$24+'SHL Section'!$AK$9&gt;0),$AL$24+'SHL Section'!$AK$9,"")</f>
        <v/>
      </c>
      <c r="AM35" s="324">
        <f>IF($AK$35="","",$AK$35-$BW$26+$AW$22)</f>
        <v/>
      </c>
      <c r="AN35" s="324">
        <f>IF($AL$35="","",$AL$35-$BX$26+$AX$22)</f>
        <v/>
      </c>
      <c r="AO35" s="324">
        <f>IF($AK$35="","",$AK$35+$BO$26-$BI$22)</f>
        <v/>
      </c>
      <c r="AP35" s="324">
        <f>IF($AL$35="","",$AL$35+$BP$26-$BJ$22)</f>
        <v/>
      </c>
      <c r="AQ35" s="324">
        <f>IF($AK$35="","",$AK$35+$BQ$22)</f>
        <v/>
      </c>
      <c r="AR35" s="324">
        <f>IF($AL$35="","",$AL$35+$BR$22)</f>
        <v/>
      </c>
      <c r="AS35" s="324">
        <f>IF($AK$35="","",$AK$35-$BU$22)</f>
        <v/>
      </c>
      <c r="AT35" s="324">
        <f>IF($AL$35="","",$AL$35-$BV$22)</f>
        <v/>
      </c>
      <c r="BG35" s="319" t="n">
        <v>1</v>
      </c>
      <c r="BH35" s="319" t="n">
        <v>2</v>
      </c>
      <c r="BI35" s="319" t="n">
        <v>3</v>
      </c>
      <c r="BJ35" s="319" t="n">
        <v>4</v>
      </c>
      <c r="BK35" s="319" t="n">
        <v>5</v>
      </c>
      <c r="BL35" s="319" t="n">
        <v>6</v>
      </c>
      <c r="BM35" s="319" t="n">
        <v>7</v>
      </c>
      <c r="BN35" s="319" t="n">
        <v>8</v>
      </c>
      <c r="BO35" s="319" t="n">
        <v>9</v>
      </c>
      <c r="BZ35" s="693" t="n"/>
      <c r="CA35" s="693" t="n"/>
    </row>
    <row r="36" ht="12" customHeight="1" s="613">
      <c r="A36" s="429" t="inlineStr">
        <is>
          <t>sec.</t>
        </is>
      </c>
      <c r="B36" s="296">
        <f>IF(NOT(ISBLANK(D36)),D36,DGET('Grid Numbers'!$A$2:$L$4952,'Grid Numbers'!$K$2,$B$68:$H$69))</f>
        <v/>
      </c>
      <c r="C36" s="700" t="n"/>
      <c r="D36" s="505" t="n"/>
      <c r="J36" s="427" t="n"/>
      <c r="K36" s="427" t="n"/>
      <c r="L36" s="310" t="n"/>
      <c r="M36" s="309" t="n"/>
      <c r="S36" s="428" t="n"/>
      <c r="T36" s="427" t="n"/>
      <c r="U36" s="505" t="n"/>
      <c r="V36" s="646" t="n"/>
      <c r="W36" s="472">
        <f>IF(NOT(ISBLANK(U36)),U36,DGET('Grid Numbers'!$A$2:$L$4952,'Grid Numbers'!$K$2,$B$76:$H$77))</f>
        <v/>
      </c>
      <c r="X36" s="426" t="inlineStr">
        <is>
          <t>sec.</t>
        </is>
      </c>
      <c r="AA36" s="689" t="n"/>
      <c r="AB36" s="294" t="n"/>
      <c r="AC36" s="671" t="n"/>
      <c r="AD36" s="617" t="n"/>
      <c r="AE36" s="323">
        <f>IF(ISNUMBER($AE$32),AE$32,IF(ISNUMBER($AG$33),AE$33,IF(ISNUMBER($AI$34),AE$34,IF(ISNUMBER($AK$35),AE$35,""))))</f>
        <v/>
      </c>
      <c r="AF36" s="323">
        <f>IF(ISNUMBER($AF$32),AF$32,IF(ISNUMBER($AH$33),AF$33,IF(ISNUMBER($AJ$34),AF$34,IF(ISNUMBER($AL$35),AF$35,""))))</f>
        <v/>
      </c>
      <c r="AG36" s="323">
        <f>IF(ISNUMBER($AE$32),AG$32,IF(ISNUMBER($AG$33),AG$33,IF(ISNUMBER($AI$34),AG$34,IF(ISNUMBER($AK$35),AG$35,""))))</f>
        <v/>
      </c>
      <c r="AH36" s="323">
        <f>IF(ISNUMBER($AF$32),AH$32,IF(ISNUMBER($AH$33),AH$33,IF(ISNUMBER($AJ$34),AH$34,IF(ISNUMBER($AL$35),AH$35,""))))</f>
        <v/>
      </c>
      <c r="AI36" s="323">
        <f>IF(ISNUMBER($AE$32),AI$32,IF(ISNUMBER($AG$33),AI$33,IF(ISNUMBER($AI$34),AI$34,IF(ISNUMBER($AK$35),AI$35,""))))</f>
        <v/>
      </c>
      <c r="AJ36" s="323">
        <f>IF(ISNUMBER($AF$32),AJ$32,IF(ISNUMBER($AH$33),AJ$33,IF(ISNUMBER($AJ$34),AJ$34,IF(ISNUMBER($AL$35),AJ$35,""))))</f>
        <v/>
      </c>
      <c r="AK36" s="323">
        <f>IF(ISNUMBER($AE$32),AK$32,IF(ISNUMBER($AG$33),AK$33,IF(ISNUMBER($AI$34),AK$34,IF(ISNUMBER($AK$35),AK$35,""))))</f>
        <v/>
      </c>
      <c r="AL36" s="323">
        <f>IF(ISNUMBER($AF$32),AL$32,IF(ISNUMBER($AH$33),AL$33,IF(ISNUMBER($AJ$34),AL$34,IF(ISNUMBER($AL$35),AL$35,""))))</f>
        <v/>
      </c>
      <c r="AM36" s="323">
        <f>IF(ISNUMBER($AE$32),AM$32,IF(ISNUMBER($AG$33),AM$33,IF(ISNUMBER($AI$34),AM$34,IF(ISNUMBER($AK$35),AM$35,""))))</f>
        <v/>
      </c>
      <c r="AN36" s="323">
        <f>IF(ISNUMBER($AF$32),AN$32,IF(ISNUMBER($AH$33),AN$33,IF(ISNUMBER($AJ$34),AN$34,IF(ISNUMBER($AL$35),AN$35,""))))</f>
        <v/>
      </c>
      <c r="AO36" s="323">
        <f>IF(ISNUMBER($AE$32),AO$32,IF(ISNUMBER($AG$33),AO$33,IF(ISNUMBER($AI$34),AO$34,IF(ISNUMBER($AK$35),AO$35,""))))</f>
        <v/>
      </c>
      <c r="AP36" s="323">
        <f>IF(ISNUMBER($AF$32),AP$32,IF(ISNUMBER($AH$33),AP$33,IF(ISNUMBER($AJ$34),AP$34,IF(ISNUMBER($AL$35),AP$35,""))))</f>
        <v/>
      </c>
      <c r="AQ36" s="323">
        <f>IF(ISNUMBER($AE$32),AQ$32,IF(ISNUMBER($AG$33),AQ$33,IF(ISNUMBER($AI$34),AQ$34,IF(ISNUMBER($AK$35),AQ$35,""))))</f>
        <v/>
      </c>
      <c r="AR36" s="323">
        <f>IF(ISNUMBER($AF$32),AR$32,IF(ISNUMBER($AH$33),AR$33,IF(ISNUMBER($AJ$34),AR$34,IF(ISNUMBER($AL$35),AR$35,""))))</f>
        <v/>
      </c>
      <c r="AS36" s="323">
        <f>IF(ISNUMBER($AE$32),AS$32,IF(ISNUMBER($AG$33),AS$33,IF(ISNUMBER($AI$34),AS$34,IF(ISNUMBER($AK$35),AS$35,""))))</f>
        <v/>
      </c>
      <c r="AT36" s="323">
        <f>IF(ISNUMBER($AF$32),AT$32,IF(ISNUMBER($AH$33),AT$33,IF(ISNUMBER($AJ$34),AT$34,IF(ISNUMBER($AL$35),AT$35,""))))</f>
        <v/>
      </c>
      <c r="AV36" s="313" t="inlineStr">
        <is>
          <t>FNL</t>
        </is>
      </c>
      <c r="AW36" s="313" t="inlineStr">
        <is>
          <t>SHL</t>
        </is>
      </c>
      <c r="AX36" s="313" t="inlineStr">
        <is>
          <t>S-E</t>
        </is>
      </c>
      <c r="AY36" s="313" t="inlineStr">
        <is>
          <t>N</t>
        </is>
      </c>
      <c r="AZ36" s="293" t="inlineStr">
        <is>
          <t>NE</t>
        </is>
      </c>
      <c r="BA36" s="313" t="inlineStr">
        <is>
          <t>Salt Lake</t>
        </is>
      </c>
      <c r="BB36" s="313" t="inlineStr">
        <is>
          <t>NE-NE</t>
        </is>
      </c>
      <c r="BD36" s="448" t="inlineStr">
        <is>
          <t>Quad</t>
        </is>
      </c>
      <c r="BE36" s="447" t="inlineStr">
        <is>
          <t>BHL</t>
        </is>
      </c>
      <c r="BF36" s="446" t="inlineStr">
        <is>
          <t>Sec. Logic</t>
        </is>
      </c>
      <c r="BG36" s="319" t="inlineStr">
        <is>
          <t>SHL</t>
        </is>
      </c>
      <c r="BH36" s="319" t="inlineStr">
        <is>
          <t>N</t>
        </is>
      </c>
      <c r="BI36" s="319" t="inlineStr">
        <is>
          <t>NE</t>
        </is>
      </c>
      <c r="BJ36" s="319" t="inlineStr">
        <is>
          <t>E</t>
        </is>
      </c>
      <c r="BK36" s="319" t="inlineStr">
        <is>
          <t>SE</t>
        </is>
      </c>
      <c r="BL36" s="319" t="inlineStr">
        <is>
          <t>S</t>
        </is>
      </c>
      <c r="BM36" s="319" t="inlineStr">
        <is>
          <t>SW</t>
        </is>
      </c>
      <c r="BN36" s="319" t="inlineStr">
        <is>
          <t>W</t>
        </is>
      </c>
      <c r="BO36" s="319" t="inlineStr">
        <is>
          <t>NW</t>
        </is>
      </c>
      <c r="BZ36" s="693" t="n"/>
      <c r="CA36" s="693" t="n"/>
    </row>
    <row r="37" ht="12" customHeight="1" s="613" thickBot="1">
      <c r="A37" s="429" t="inlineStr">
        <is>
          <t>dir.</t>
        </is>
      </c>
      <c r="B37" s="321">
        <f>IF(NOT(ISBLANK(D37)),D37,DGET('Grid Numbers'!$A$2:$L$4952,'Grid Numbers'!$L$2,$B$68:$H$69))</f>
        <v/>
      </c>
      <c r="C37" s="700" t="n"/>
      <c r="D37" s="508" t="n"/>
      <c r="J37" s="427" t="n"/>
      <c r="K37" s="427" t="n"/>
      <c r="L37" s="310" t="n"/>
      <c r="M37" s="309" t="n"/>
      <c r="O37" s="693" t="n"/>
      <c r="P37" s="693" t="n"/>
      <c r="S37" s="428" t="n"/>
      <c r="T37" s="427" t="n"/>
      <c r="U37" s="508" t="n"/>
      <c r="V37" s="646" t="n"/>
      <c r="W37" s="321">
        <f>IF(NOT(ISBLANK(U37)),U37,DGET('Grid Numbers'!$A$2:$L$4952,'Grid Numbers'!$L$2,$B$76:$H$77))</f>
        <v/>
      </c>
      <c r="X37" s="426" t="inlineStr">
        <is>
          <t>dir.</t>
        </is>
      </c>
      <c r="AA37" s="689" t="n"/>
      <c r="AB37" s="689" t="n"/>
      <c r="AC37" s="332" t="n"/>
      <c r="AD37" s="331" t="n"/>
      <c r="AE37" s="330" t="n"/>
      <c r="AF37" s="330" t="n"/>
      <c r="AG37" s="330" t="n"/>
      <c r="AH37" s="330" t="n"/>
      <c r="AI37" s="330" t="n"/>
      <c r="AJ37" s="330" t="n"/>
      <c r="AK37" s="330" t="n"/>
      <c r="AL37" s="330" t="n"/>
      <c r="AM37" s="330" t="n"/>
      <c r="AN37" s="330" t="n"/>
      <c r="AO37" s="330" t="n"/>
      <c r="AP37" s="330" t="n"/>
      <c r="AQ37" s="330" t="n"/>
      <c r="AR37" s="330" t="n"/>
      <c r="AS37" s="330" t="n"/>
      <c r="AT37" s="330" t="n"/>
      <c r="AV37" s="313" t="inlineStr">
        <is>
          <t>FSL</t>
        </is>
      </c>
      <c r="AW37" s="313" t="inlineStr">
        <is>
          <t>CPL</t>
        </is>
      </c>
      <c r="AX37" s="313" t="inlineStr">
        <is>
          <t>N-E</t>
        </is>
      </c>
      <c r="AY37" s="313" t="inlineStr">
        <is>
          <t>S</t>
        </is>
      </c>
      <c r="AZ37" s="293" t="inlineStr">
        <is>
          <t>NW</t>
        </is>
      </c>
      <c r="BA37" s="313" t="inlineStr">
        <is>
          <t>Uintah</t>
        </is>
      </c>
      <c r="BB37" s="313" t="inlineStr">
        <is>
          <t>NW-NE</t>
        </is>
      </c>
      <c r="BD37" s="320" t="n">
        <v>1</v>
      </c>
      <c r="BE37" s="319" t="inlineStr">
        <is>
          <t>BHL1</t>
        </is>
      </c>
      <c r="BF37" s="336">
        <f>IF(AND(MAX($AE$58:$AL$58)&lt;1,ISNUMBER($AE$26), ISNUMBER($AF$26)),IF(AND($AE$26&gt;0,$AF$26&gt;0),3,IF(AND($AE$26&lt;0,IF(-$AE$26&lt;$BZ$19,$AO$62,$AO$65)&lt;0),4,IF(AND(IF(-$AF$26&lt;$AW$19,$AN$62,$AN$63)&lt;0,$AF$26&lt;0),2,""))),"")</f>
        <v/>
      </c>
      <c r="BG37" s="293" t="n">
        <v>1</v>
      </c>
      <c r="BH37" s="293" t="n">
        <v>36</v>
      </c>
      <c r="BI37" s="293" t="n">
        <v>31</v>
      </c>
      <c r="BJ37" s="293" t="n">
        <v>6</v>
      </c>
      <c r="BK37" s="293" t="n">
        <v>7</v>
      </c>
      <c r="BL37" s="293" t="n">
        <v>12</v>
      </c>
      <c r="BM37" s="293" t="n">
        <v>11</v>
      </c>
      <c r="BN37" s="293" t="n">
        <v>2</v>
      </c>
      <c r="BO37" s="293" t="n">
        <v>35</v>
      </c>
      <c r="BZ37" s="693" t="n"/>
      <c r="CA37" s="693" t="n"/>
    </row>
    <row r="38" ht="12" customHeight="1" s="613">
      <c r="A38" s="429" t="inlineStr">
        <is>
          <t>dec. deg.</t>
        </is>
      </c>
      <c r="B38" s="771">
        <f>IF(AND($L$38='SHL Section'!$BE$52,MAX('BHL Section 2'!$BF$37:$BF$40)=4),'BHL Section 2'!$W$38,IF(AND($L$38='SHL Section'!$BE$55,MAX('BHL Section 2'!$BF$41:$BF$44)=4),'BHL Section 2'!$W$38,IF(AND($L$38='SHL Section'!$BE$58,MAX('BHL Section 2'!$BF$45:$BF$48)=4),'BHL Section 2'!$W$38,IF(B34="","",IF(OR(B37=1,B37=4),180-(B34+B35/60+B36/3600),180+(B34+B35/60+B36/3600))))))</f>
        <v/>
      </c>
      <c r="C38" s="700" t="n"/>
      <c r="F38" s="774" t="n"/>
      <c r="I38" s="428" t="n"/>
      <c r="J38" s="427" t="n"/>
      <c r="K38" s="427" t="n"/>
      <c r="L38" s="699">
        <f>IF(NOT(OR('SHL Section'!$BE$52='BHL Section 2'!$L$38,'SHL Section'!$BE$52='BHL Section 1'!$L$38,'SHL Section'!$BE$52='SHL Section'!$N$7)),'SHL Section'!$BE$52,IF(NOT(OR('SHL Section'!$BE$55='BHL Section 2'!$L$38,'SHL Section'!$BE$55='BHL Section 1'!$L$38,'SHL Section'!$BE$55='SHL Section'!$N$7)),'SHL Section'!$BE$55,IF(NOT(OR('SHL Section'!$BE$58='BHL Section 2'!$L$38,'SHL Section'!$BE$58='BHL Section 1'!$L$38,'SHL Section'!$BE$58='SHL Section'!$N$7)),'SHL Section'!$BE$58,"")))</f>
        <v/>
      </c>
      <c r="M38" s="656" t="n"/>
      <c r="P38" s="774" t="n"/>
      <c r="S38" s="428" t="n"/>
      <c r="T38" s="427" t="n"/>
      <c r="U38" s="689" t="n"/>
      <c r="V38" s="646" t="n"/>
      <c r="W38" s="770">
        <f>IF(AND($L$38='SHL Section'!$BE$52,MAX('BHL Section 2'!$BF$37:$BF$40)=8),'BHL Section 2'!$B$38,IF(AND($L$38='SHL Section'!$BE$55,MAX('BHL Section 2'!$BF$41:$BF$44)=8),'BHL Section 2'!$B$38,IF(AND($L$38='SHL Section'!$BE$58,MAX('BHL Section 2'!$BF$45:$BF$48)=8),'BHL Section 2'!$B$38,IF(W34="","",IF(OR(W37=1,W37=4),180-(W34+W35/60+W36/3600),180+(W34+W35/60+W36/3600))))))</f>
        <v/>
      </c>
      <c r="X38" s="426" t="inlineStr">
        <is>
          <t>dec. deg.</t>
        </is>
      </c>
      <c r="AA38" s="689" t="n"/>
      <c r="AB38" s="294" t="n"/>
      <c r="AC38" s="320" t="n">
        <v>1</v>
      </c>
      <c r="AD38" s="319" t="inlineStr">
        <is>
          <t>BHL3</t>
        </is>
      </c>
      <c r="AE38" s="327">
        <f>IF(AND($AS$24+'SHL Section'!$AI$10&gt;0,$AN$24+'SHL Section'!$AK$10&gt;0),$AE$24+'SHL Section'!$AI$10,"")</f>
        <v/>
      </c>
      <c r="AF38" s="327">
        <f>IF(AND($AS$24+'SHL Section'!$AI$10&gt;0,$AN$24+'SHL Section'!$AK$10&gt;0),$AF$24+'SHL Section'!$AK$10,"")</f>
        <v/>
      </c>
      <c r="AG38" s="326">
        <f>IF($AE$38="","",$AY$26+$AE$38)</f>
        <v/>
      </c>
      <c r="AH38" s="326">
        <f>IF($AF$38="","",$AZ$26+$AF$38)</f>
        <v/>
      </c>
      <c r="AI38" s="326">
        <f>IF($AE$38="","",$BG$26+$AY$26+$AE$38)</f>
        <v/>
      </c>
      <c r="AJ38" s="326">
        <f>IF($AF$38="","",$AZ$26+$BH$26+$AF$38)</f>
        <v/>
      </c>
      <c r="AK38" s="326">
        <f>IF($AE$38="","",$BW$26+$AE$38)</f>
        <v/>
      </c>
      <c r="AL38" s="326">
        <f>IF($AF$38="","",$AF$38+$BX$26)</f>
        <v/>
      </c>
      <c r="AM38" s="326">
        <f>IF($AE$38="","",$AW$22+$AE$38)</f>
        <v/>
      </c>
      <c r="AN38" s="326">
        <f>IF($AF$38="","",$AX$22+$AF$38)</f>
        <v/>
      </c>
      <c r="AO38" s="326">
        <f>IF($AE$38="","",$AY$26+$AE$38+$BE$22)</f>
        <v/>
      </c>
      <c r="AP38" s="326">
        <f>IF($AF$38="","",$AZ$26+$AF$38+$BF$22)</f>
        <v/>
      </c>
      <c r="AQ38" s="326">
        <f>IF($AE$38="","",$BW$26+$AE$38+$BQ$22)</f>
        <v/>
      </c>
      <c r="AR38" s="326">
        <f>IF($AF$38="","",$AF$38+$BX$26+$BR$22)</f>
        <v/>
      </c>
      <c r="AS38" s="326">
        <f>IF($AE$38="","",$BY$22+$AE$38)</f>
        <v/>
      </c>
      <c r="AT38" s="326">
        <f>IF($AF$38="","",$AF$38+$BZ$22)</f>
        <v/>
      </c>
      <c r="AV38" s="313" t="inlineStr">
        <is>
          <t>FEL</t>
        </is>
      </c>
      <c r="AW38" s="313" t="inlineStr">
        <is>
          <t>FTL</t>
        </is>
      </c>
      <c r="AX38" s="313" t="inlineStr">
        <is>
          <t>S-W</t>
        </is>
      </c>
      <c r="AY38" s="313" t="inlineStr">
        <is>
          <t>E</t>
        </is>
      </c>
      <c r="AZ38" s="293" t="inlineStr">
        <is>
          <t>SW</t>
        </is>
      </c>
      <c r="BA38" s="313" t="n"/>
      <c r="BB38" s="313" t="inlineStr">
        <is>
          <t>SW-NE</t>
        </is>
      </c>
      <c r="BD38" s="320" t="n">
        <v>2</v>
      </c>
      <c r="BE38" s="319" t="inlineStr">
        <is>
          <t>BHL1</t>
        </is>
      </c>
      <c r="BF38" s="336">
        <f>IF(AND(MAX($AE$58:$AL$58)&lt;1,ISNUMBER($AG$27), ISNUMBER($AH$27)),IF(AND(IF($AH$27&lt;$BC$19,$AP$63,$AP$62)&lt;0,$AH$27&gt;0),2,IF(AND($AG$27&gt;0,$AH$27&lt;0),9,IF(AND($AG$27&lt;0,IF(-$AG$27&lt;$BD$19,$AQ$63,$AQ$64)&lt;0),8,""))),"")</f>
        <v/>
      </c>
      <c r="BG38" s="293" t="n">
        <v>2</v>
      </c>
      <c r="BH38" s="293" t="n">
        <v>35</v>
      </c>
      <c r="BI38" s="293" t="n">
        <v>36</v>
      </c>
      <c r="BJ38" s="293" t="n">
        <v>1</v>
      </c>
      <c r="BK38" s="293" t="n">
        <v>12</v>
      </c>
      <c r="BL38" s="293" t="n">
        <v>11</v>
      </c>
      <c r="BM38" s="293" t="n">
        <v>10</v>
      </c>
      <c r="BN38" s="293" t="n">
        <v>3</v>
      </c>
      <c r="BO38" s="293" t="n">
        <v>34</v>
      </c>
      <c r="BZ38" s="693" t="n"/>
      <c r="CA38" s="693" t="n"/>
    </row>
    <row r="39" ht="12" customHeight="1" s="613" thickBot="1">
      <c r="A39" s="687">
        <f>CONCATENATE("W QC of ",$L$38)</f>
        <v/>
      </c>
      <c r="B39" s="646" t="n"/>
      <c r="C39" s="425" t="n"/>
      <c r="D39" s="424" t="n"/>
      <c r="E39" s="424" t="n"/>
      <c r="F39" s="424" t="n"/>
      <c r="G39" s="424" t="n"/>
      <c r="H39" s="424" t="n"/>
      <c r="I39" s="424" t="n"/>
      <c r="J39" s="424" t="n"/>
      <c r="K39" s="424" t="n"/>
      <c r="L39" s="700" t="n"/>
      <c r="M39" s="646" t="n"/>
      <c r="N39" s="424" t="n"/>
      <c r="O39" s="424" t="n"/>
      <c r="P39" s="424" t="n"/>
      <c r="Q39" s="424" t="n"/>
      <c r="R39" s="424" t="n"/>
      <c r="S39" s="424" t="n"/>
      <c r="T39" s="424" t="n"/>
      <c r="U39" s="424" t="n"/>
      <c r="V39" s="423" t="n"/>
      <c r="W39" s="701">
        <f>CONCATENATE("E QC of ",$L$38)</f>
        <v/>
      </c>
      <c r="AA39" s="689" t="n"/>
      <c r="AB39" s="294" t="n"/>
      <c r="AC39" s="320" t="n">
        <v>2</v>
      </c>
      <c r="AD39" s="319" t="inlineStr">
        <is>
          <t>BHL3</t>
        </is>
      </c>
      <c r="AE39" s="326">
        <f>IF($AG$39="","",$AG$39-$AY$26)</f>
        <v/>
      </c>
      <c r="AF39" s="326">
        <f>IF($AH$39="","",$AH$39-$AZ$26)</f>
        <v/>
      </c>
      <c r="AG39" s="327">
        <f>IF(AND($AO$24+'SHL Section'!$AI$10&gt;0,$AN$24+'SHL Section'!$AK$10&lt;0),$AG$24+'SHL Section'!$AI$10,"")</f>
        <v/>
      </c>
      <c r="AH39" s="327">
        <f>IF(AND($AO$24+'SHL Section'!$AI$10&gt;0,$AN$24+'SHL Section'!$AK$10&lt;0),$AH$24+'SHL Section'!$AK$10,"")</f>
        <v/>
      </c>
      <c r="AI39" s="326">
        <f>IF($AG$39="","",$BG$26+$AG$39)</f>
        <v/>
      </c>
      <c r="AJ39" s="326">
        <f>IF($AH$39="","",$AH$39+$BH$26)</f>
        <v/>
      </c>
      <c r="AK39" s="326">
        <f>IF($AG$39="","",$AG$39-$AY$26+$BW$26)</f>
        <v/>
      </c>
      <c r="AL39" s="326">
        <f>IF($AH$39="","",$AH$39-$AZ$26+$BX$26)</f>
        <v/>
      </c>
      <c r="AM39" s="326">
        <f>IF($AG$39="","",$AG$39-$BA$22)</f>
        <v/>
      </c>
      <c r="AN39" s="326">
        <f>IF($AH$39="","",AH$39-$BB$22)</f>
        <v/>
      </c>
      <c r="AO39" s="326">
        <f>IF($AG$39="","",$BE$22+$AG$39)</f>
        <v/>
      </c>
      <c r="AP39" s="326">
        <f>IF($AH$39="","",$AH$39+$BF$22)</f>
        <v/>
      </c>
      <c r="AQ39" s="326">
        <f>IF($AG$39="","",$BG$26+$AG$39-$BM$22)</f>
        <v/>
      </c>
      <c r="AR39" s="326">
        <f>IF($AH$39="","",$AH$39+$BH$26-$BN$22)</f>
        <v/>
      </c>
      <c r="AS39" s="326">
        <f>IF($AG$39="","",$AG$39-$AY$26+$BY$22)</f>
        <v/>
      </c>
      <c r="AT39" s="326">
        <f>IF($AH$39="","",$AH$39-$AZ$26+$BZ$22)</f>
        <v/>
      </c>
      <c r="AV39" s="313" t="inlineStr">
        <is>
          <t>FWL</t>
        </is>
      </c>
      <c r="AW39" s="313" t="inlineStr">
        <is>
          <t>BHL</t>
        </is>
      </c>
      <c r="AX39" s="313" t="inlineStr">
        <is>
          <t>N-W</t>
        </is>
      </c>
      <c r="AY39" s="313" t="inlineStr">
        <is>
          <t>W</t>
        </is>
      </c>
      <c r="AZ39" s="293" t="inlineStr">
        <is>
          <t>SE</t>
        </is>
      </c>
      <c r="BA39" s="313" t="n"/>
      <c r="BB39" s="313" t="inlineStr">
        <is>
          <t>SE-NE</t>
        </is>
      </c>
      <c r="BD39" s="320" t="n">
        <v>3</v>
      </c>
      <c r="BE39" s="319" t="inlineStr">
        <is>
          <t>BHL1</t>
        </is>
      </c>
      <c r="BF39" s="336">
        <f>IF(AND(MAX($AE$58:$AL$58)&lt;1,ISNUMBER($AI$28), ISNUMBER($AJ$28)),IF(AND($AI$28&gt;0,IF($AI$28&lt;$BJ$19,$AS$64,$AS$63)&lt;0),8,IF(AND($AI$28&lt;0,$AJ$28&lt;0),7,IF(AND(IF($AJ$28&lt;$BM$19,$AR$64,$AR$65)&lt;0,$AJ$28&gt;0),6,""))),"")</f>
        <v/>
      </c>
      <c r="BG39" s="293" t="n">
        <v>3</v>
      </c>
      <c r="BH39" s="293" t="n">
        <v>34</v>
      </c>
      <c r="BI39" s="293" t="n">
        <v>35</v>
      </c>
      <c r="BJ39" s="293" t="n">
        <v>2</v>
      </c>
      <c r="BK39" s="293" t="n">
        <v>11</v>
      </c>
      <c r="BL39" s="293" t="n">
        <v>10</v>
      </c>
      <c r="BM39" s="293" t="n">
        <v>9</v>
      </c>
      <c r="BN39" s="293" t="n">
        <v>4</v>
      </c>
      <c r="BO39" s="293" t="n">
        <v>33</v>
      </c>
      <c r="BZ39" s="693" t="n"/>
      <c r="CA39" s="693" t="n"/>
    </row>
    <row r="40" ht="12" customHeight="1" s="613">
      <c r="B40" s="646" t="n"/>
      <c r="C40" s="422" t="n"/>
      <c r="D40" s="421" t="n"/>
      <c r="E40" s="421" t="n"/>
      <c r="F40" s="421" t="n"/>
      <c r="G40" s="421" t="n"/>
      <c r="H40" s="421" t="n"/>
      <c r="I40" s="421" t="n"/>
      <c r="J40" s="421" t="n"/>
      <c r="K40" s="421" t="n"/>
      <c r="L40" s="700" t="n"/>
      <c r="M40" s="646" t="n"/>
      <c r="N40" s="421" t="n"/>
      <c r="O40" s="421" t="n"/>
      <c r="P40" s="421" t="n"/>
      <c r="Q40" s="421" t="n"/>
      <c r="R40" s="421" t="n"/>
      <c r="S40" s="421" t="n"/>
      <c r="T40" s="421" t="n"/>
      <c r="U40" s="421" t="n"/>
      <c r="V40" s="646" t="n"/>
      <c r="AA40" s="689" t="n"/>
      <c r="AB40" s="294" t="n"/>
      <c r="AC40" s="320" t="n">
        <v>3</v>
      </c>
      <c r="AD40" s="319" t="inlineStr">
        <is>
          <t>BHL3</t>
        </is>
      </c>
      <c r="AE40" s="326">
        <f>IF($AI$40="","",$AI$40-$BG$26-$AY$26)</f>
        <v/>
      </c>
      <c r="AF40" s="328">
        <f>IF($AJ$40="","",$AJ$40-$BH$26-$AZ$26)</f>
        <v/>
      </c>
      <c r="AG40" s="326">
        <f>IF($AI$40="","",$AI$40-$BG$26)</f>
        <v/>
      </c>
      <c r="AH40" s="326">
        <f>IF($AJ$40="","",$AJ$40-$BH$26)</f>
        <v/>
      </c>
      <c r="AI40" s="327">
        <f>IF(AND($AO$24+'SHL Section'!$AI$10&lt;0,$AR$24+'SHL Section'!$AK$10&lt;0),$AI$24+'SHL Section'!$AI$10,"")</f>
        <v/>
      </c>
      <c r="AJ40" s="327">
        <f>IF(AND($AO$24+'SHL Section'!$AI$10&lt;0,$AR$24+'SHL Section'!$AK$10&lt;0),$AJ$24+'SHL Section'!$AK$10,"")</f>
        <v/>
      </c>
      <c r="AK40" s="326">
        <f>IF($AI$40="","",$AI$40-$BO$26)</f>
        <v/>
      </c>
      <c r="AL40" s="326">
        <f>IF($AJ$40="","",$AJ$40-$BP$26)</f>
        <v/>
      </c>
      <c r="AM40" s="326">
        <f>IF($AI$40="","",$AI$40-$BG$26-$BA$26)</f>
        <v/>
      </c>
      <c r="AN40" s="326">
        <f>IF($AJ$40="","",$AJ$40-$BH$26-$BB$26)</f>
        <v/>
      </c>
      <c r="AO40" s="326">
        <f>IF($AI$40="","",$AI$40-$BI$26)</f>
        <v/>
      </c>
      <c r="AP40" s="326">
        <f>IF($AJ$40="","",$AJ$40-$BJ$26)</f>
        <v/>
      </c>
      <c r="AQ40" s="326">
        <f>IF($AI$40="","",$AI$40-$BM$26)</f>
        <v/>
      </c>
      <c r="AR40" s="326">
        <f>IF($AJ$40="","",$AJ$40-$BN$26)</f>
        <v/>
      </c>
      <c r="AS40" s="326">
        <f>IF($AI$40="","",$AI$40-$BO$26-$BU$26)</f>
        <v/>
      </c>
      <c r="AT40" s="326">
        <f>IF($AJ$40="","",$AJ$40-$BP$26-$BV$22)</f>
        <v/>
      </c>
      <c r="AV40" s="313" t="n"/>
      <c r="AW40" s="313" t="n"/>
      <c r="AX40" s="313" t="n"/>
      <c r="AY40" s="313" t="n"/>
      <c r="AZ40" s="313" t="n"/>
      <c r="BA40" s="313" t="n"/>
      <c r="BB40" s="313" t="inlineStr">
        <is>
          <t>NE-NW</t>
        </is>
      </c>
      <c r="BD40" s="469" t="n">
        <v>4</v>
      </c>
      <c r="BE40" s="676" t="inlineStr">
        <is>
          <t>BHL1</t>
        </is>
      </c>
      <c r="BF40" s="318">
        <f>IF(AND(MAX($AE$58:$AL$58)&lt;1,ISNUMBER($AK$29), ISNUMBER($AL$29)),IF(AND(IF(-$AL$29&lt;$BS$19,$AT$65,$AT$64)&lt;0,$AL$29&lt;0),6,IF(AND($AK$29&lt;0,$AL$29&gt;0),5,IF(AND($AK$29&gt;0,IF($AK$29&lt;$BT$19,$AU$65,$AU$62)&lt;0),4,""))),"")</f>
        <v/>
      </c>
      <c r="BG40" s="293" t="n">
        <v>4</v>
      </c>
      <c r="BH40" s="293" t="n">
        <v>33</v>
      </c>
      <c r="BI40" s="293" t="n">
        <v>34</v>
      </c>
      <c r="BJ40" s="293" t="n">
        <v>3</v>
      </c>
      <c r="BK40" s="293" t="n">
        <v>10</v>
      </c>
      <c r="BL40" s="293" t="n">
        <v>9</v>
      </c>
      <c r="BM40" s="293" t="n">
        <v>8</v>
      </c>
      <c r="BN40" s="293" t="n">
        <v>5</v>
      </c>
      <c r="BO40" s="293" t="n">
        <v>32</v>
      </c>
      <c r="BZ40" s="693" t="n"/>
      <c r="CA40" s="693" t="n"/>
    </row>
    <row r="41" ht="12" customHeight="1" s="613" thickBot="1">
      <c r="B41" s="420">
        <f>IF(AND($L$38='SHL Section'!$BE$52,MAX('BHL Section 2'!$BF$37:$BF$40)=4),'BHL Section 2'!$W$41,IF(AND($L$38='SHL Section'!$BE$55,MAX('BHL Section 2'!$BF$41:$BF$44)=4),'BHL Section 2'!$W$41,IF(AND($L$38='SHL Section'!$BE$58,MAX('BHL Section 2'!$BF$45:$BF$48)=4),'BHL Section 2'!$W$41,B42)))</f>
        <v/>
      </c>
      <c r="C41" s="700" t="n"/>
      <c r="L41" s="654" t="n"/>
      <c r="M41" s="634" t="n"/>
      <c r="V41" s="646" t="n"/>
      <c r="W41" s="428">
        <f>IF(AND($L$38='SHL Section'!$BE$52,MAX('BHL Section 2'!$BF$37:$BF$40)=8),'BHL Section 2'!$B$41,IF(AND($L$38='SHL Section'!$BE$55,MAX('BHL Section 2'!$BF$41:$BF$44)=8),'BHL Section 2'!$B$41,IF(AND($L$38='SHL Section'!$BE$58,MAX('BHL Section 2'!$BF$45:$BF$48)=8),'BHL Section 2'!$B$41,W42)))</f>
        <v/>
      </c>
      <c r="AA41" s="689" t="n"/>
      <c r="AB41" s="294" t="n"/>
      <c r="AC41" s="469" t="n">
        <v>4</v>
      </c>
      <c r="AD41" s="676" t="inlineStr">
        <is>
          <t>BHL3</t>
        </is>
      </c>
      <c r="AE41" s="324">
        <f>IF($AK$41="","",$AK$41-$BW$26)</f>
        <v/>
      </c>
      <c r="AF41" s="324">
        <f>IF($AL$41="","",$AL$41-$BX$26)</f>
        <v/>
      </c>
      <c r="AG41" s="324">
        <f>IF($AK$41="","",$AK$41+$BO$26-$BG$26)</f>
        <v/>
      </c>
      <c r="AH41" s="324">
        <f>IF($AL$41="","",$AL$41+$BP$26+$BH$26)</f>
        <v/>
      </c>
      <c r="AI41" s="324">
        <f>IF($AK$41="","",$AK$41+$BO$26)</f>
        <v/>
      </c>
      <c r="AJ41" s="324">
        <f>IF($AL$41="","",$AL$41+$BP$26)</f>
        <v/>
      </c>
      <c r="AK41" s="325">
        <f>IF(AND($AS$24+'SHL Section'!$AI$10&lt;0,$AR$24+'SHL Section'!$AK$10&gt;0),$AK$24+'SHL Section'!$AI$10,"")</f>
        <v/>
      </c>
      <c r="AL41" s="325">
        <f>IF(AND($AS$24+'SHL Section'!$AI$10&lt;0,$AR$24+'SHL Section'!$AK$10&gt;0),$AL$24+'SHL Section'!$AK$10,"")</f>
        <v/>
      </c>
      <c r="AM41" s="324">
        <f>IF($AK$41="","",$AK$41-$BW$26+$AW$22)</f>
        <v/>
      </c>
      <c r="AN41" s="324">
        <f>IF($AL$41="","",$AL$41-$BX$26+$AX$22)</f>
        <v/>
      </c>
      <c r="AO41" s="324">
        <f>IF($AK$41="","",$AK$41+$BO$26-$BI$22)</f>
        <v/>
      </c>
      <c r="AP41" s="324">
        <f>IF($AL$41="","",$AL$41+$BP$26-$BJ$22)</f>
        <v/>
      </c>
      <c r="AQ41" s="324">
        <f>IF($AK$41="","",$AK$41+$BQ$22)</f>
        <v/>
      </c>
      <c r="AR41" s="324">
        <f>IF($AL$41="","",$AL$41+$BR$22)</f>
        <v/>
      </c>
      <c r="AS41" s="324">
        <f>IF($AK$41="","",$AK$41-$BU$22)</f>
        <v/>
      </c>
      <c r="AT41" s="324">
        <f>IF($AL$41="","",$AL$41-$BV$22)</f>
        <v/>
      </c>
      <c r="AV41" s="313" t="n"/>
      <c r="AW41" s="313" t="n"/>
      <c r="AX41" s="313" t="n"/>
      <c r="AY41" s="313" t="n"/>
      <c r="AZ41" s="313" t="n"/>
      <c r="BA41" s="313" t="n"/>
      <c r="BB41" s="313" t="inlineStr">
        <is>
          <t>NW-NW</t>
        </is>
      </c>
      <c r="BD41" s="320" t="n">
        <v>1</v>
      </c>
      <c r="BE41" s="319" t="inlineStr">
        <is>
          <t>BHL2</t>
        </is>
      </c>
      <c r="BF41" s="336">
        <f>IF(AND(MAX($AE$69:$AL$69)&lt;1,ISNUMBER($AE$32), ISNUMBER($AF$32)),IF(AND($AE$32&gt;0,$AF$32&gt;0),3,IF(AND($AE$32&lt;0,IF(-$AE$32&lt;$BZ$19,$AO$73,$AO$76)&lt;0),4,IF(AND(IF(-$AF$32&lt;$AW$19,$AN$73,$AN$74)&lt;0,$AF$32&lt;0),2,""))),"")</f>
        <v/>
      </c>
      <c r="BG41" s="293" t="n">
        <v>5</v>
      </c>
      <c r="BH41" s="293" t="n">
        <v>32</v>
      </c>
      <c r="BI41" s="293" t="n">
        <v>33</v>
      </c>
      <c r="BJ41" s="293" t="n">
        <v>4</v>
      </c>
      <c r="BK41" s="293" t="n">
        <v>9</v>
      </c>
      <c r="BL41" s="293" t="n">
        <v>8</v>
      </c>
      <c r="BM41" s="293" t="n">
        <v>7</v>
      </c>
      <c r="BN41" s="293" t="n">
        <v>6</v>
      </c>
      <c r="BO41" s="293" t="n">
        <v>31</v>
      </c>
      <c r="BZ41" s="693" t="n"/>
      <c r="CA41" s="693" t="n"/>
    </row>
    <row r="42" ht="12" customHeight="1" s="613">
      <c r="A42" s="429" t="inlineStr">
        <is>
          <t>dist.</t>
        </is>
      </c>
      <c r="B42" s="301">
        <f>IF(NOT(ISBLANK(D42)),D42,DGET('Grid Numbers'!$A$2:$L$4952,'Grid Numbers'!$H$2,$B$70:$H$71))</f>
        <v/>
      </c>
      <c r="C42" s="700" t="n"/>
      <c r="D42" s="504" t="n"/>
      <c r="G42" s="686" t="inlineStr">
        <is>
          <t>Quadrant 3</t>
        </is>
      </c>
      <c r="H42" s="677" t="n"/>
      <c r="L42" s="310" t="n"/>
      <c r="M42" s="309" t="n"/>
      <c r="Q42" s="686" t="inlineStr">
        <is>
          <t>Quadrant 4</t>
        </is>
      </c>
      <c r="R42" s="677" t="n"/>
      <c r="U42" s="504" t="n"/>
      <c r="V42" s="646" t="n"/>
      <c r="W42" s="473">
        <f>IF(NOT(ISBLANK(U42)),U42,DGET('Grid Numbers'!$A$2:$L$4952,'Grid Numbers'!$H$2,$B$78:$H$79))</f>
        <v/>
      </c>
      <c r="X42" s="426" t="inlineStr">
        <is>
          <t>dist.</t>
        </is>
      </c>
      <c r="AA42" s="689" t="n"/>
      <c r="AB42" s="294" t="n"/>
      <c r="AC42" s="671" t="n"/>
      <c r="AD42" s="617" t="n"/>
      <c r="AE42" s="323">
        <f>IF(ISNUMBER($AE$38),AE$38,IF(ISNUMBER($AG$39),AE$39,IF(ISNUMBER($AI$40),AE$40,IF(ISNUMBER($AK$41),AE$41,""))))</f>
        <v/>
      </c>
      <c r="AF42" s="323">
        <f>IF(ISNUMBER($AF$38),AF$38,IF(ISNUMBER($AH$39),AF$39,IF(ISNUMBER($AJ$40),AF$40,IF(ISNUMBER($AL$41),AF$41,""))))</f>
        <v/>
      </c>
      <c r="AG42" s="323">
        <f>IF(ISNUMBER($AE$38),AG$38,IF(ISNUMBER($AG$39),AG$39,IF(ISNUMBER($AI$40),AG$40,IF(ISNUMBER($AK$41),AG$41,""))))</f>
        <v/>
      </c>
      <c r="AH42" s="323">
        <f>IF(ISNUMBER($AF$38),AH$38,IF(ISNUMBER($AH$39),AH$39,IF(ISNUMBER($AJ$40),AH$40,IF(ISNUMBER($AL$41),AH$41,""))))</f>
        <v/>
      </c>
      <c r="AI42" s="323">
        <f>IF(ISNUMBER($AE$38),AI$38,IF(ISNUMBER($AG$39),AI$39,IF(ISNUMBER($AI$40),AI$40,IF(ISNUMBER($AK$41),AI$41,""))))</f>
        <v/>
      </c>
      <c r="AJ42" s="323">
        <f>IF(ISNUMBER($AF$38),AJ$38,IF(ISNUMBER($AH$39),AJ$39,IF(ISNUMBER($AJ$40),AJ$40,IF(ISNUMBER($AL$41),AJ$41,""))))</f>
        <v/>
      </c>
      <c r="AK42" s="323">
        <f>IF(ISNUMBER($AE$38),AK$38,IF(ISNUMBER($AG$39),AK$39,IF(ISNUMBER($AI$40),AK$40,IF(ISNUMBER($AK$41),AK$41,""))))</f>
        <v/>
      </c>
      <c r="AL42" s="323">
        <f>IF(ISNUMBER($AF$38),AL$38,IF(ISNUMBER($AH$39),AL$39,IF(ISNUMBER($AJ$40),AL$40,IF(ISNUMBER($AL$41),AL$41,""))))</f>
        <v/>
      </c>
      <c r="AM42" s="323">
        <f>IF(ISNUMBER($AE$38),AM$38,IF(ISNUMBER($AG$39),AM$39,IF(ISNUMBER($AI$40),AM$40,IF(ISNUMBER($AK$41),AM$41,""))))</f>
        <v/>
      </c>
      <c r="AN42" s="323">
        <f>IF(ISNUMBER($AF$38),AN$38,IF(ISNUMBER($AH$39),AN$39,IF(ISNUMBER($AJ$40),AN$40,IF(ISNUMBER($AL$41),AN$41,""))))</f>
        <v/>
      </c>
      <c r="AO42" s="323">
        <f>IF(ISNUMBER($AE$38),AO$38,IF(ISNUMBER($AG$39),AO$39,IF(ISNUMBER($AI$40),AO$40,IF(ISNUMBER($AK$41),AO$41,""))))</f>
        <v/>
      </c>
      <c r="AP42" s="323">
        <f>IF(ISNUMBER($AF$38),AP$38,IF(ISNUMBER($AH$39),AP$39,IF(ISNUMBER($AJ$40),AP$40,IF(ISNUMBER($AL$41),AP$41,""))))</f>
        <v/>
      </c>
      <c r="AQ42" s="323">
        <f>IF(ISNUMBER($AE$38),AQ$38,IF(ISNUMBER($AG$39),AQ$39,IF(ISNUMBER($AI$40),AQ$40,IF(ISNUMBER($AK$41),AQ$41,""))))</f>
        <v/>
      </c>
      <c r="AR42" s="323">
        <f>IF(ISNUMBER($AF$38),AR$38,IF(ISNUMBER($AH$39),AR$39,IF(ISNUMBER($AJ$40),AR$40,IF(ISNUMBER($AL$41),AR$41,""))))</f>
        <v/>
      </c>
      <c r="AS42" s="323">
        <f>IF(ISNUMBER($AE$38),AS$38,IF(ISNUMBER($AG$39),AS$39,IF(ISNUMBER($AI$40),AS$40,IF(ISNUMBER($AK$41),AS$41,""))))</f>
        <v/>
      </c>
      <c r="AT42" s="323">
        <f>IF(ISNUMBER($AF$38),AT$38,IF(ISNUMBER($AH$39),AT$39,IF(ISNUMBER($AJ$40),AT$40,IF(ISNUMBER($AL$41),AT$41,""))))</f>
        <v/>
      </c>
      <c r="AV42" s="313" t="n"/>
      <c r="AW42" s="313" t="n"/>
      <c r="AX42" s="313" t="n"/>
      <c r="AY42" s="313" t="n"/>
      <c r="AZ42" s="313" t="n"/>
      <c r="BA42" s="313" t="n"/>
      <c r="BB42" s="313" t="inlineStr">
        <is>
          <t>SW-NW</t>
        </is>
      </c>
      <c r="BD42" s="320" t="n">
        <v>2</v>
      </c>
      <c r="BE42" s="319" t="inlineStr">
        <is>
          <t>BHL2</t>
        </is>
      </c>
      <c r="BF42" s="336">
        <f>IF(AND(MAX($AE$69:$AL$69)&lt;1,ISNUMBER($AG$33), ISNUMBER($AH$33)),IF(AND(IF($AH$33&lt;$BC$19,$AP$74,$AP$73)&lt;0,$AH$33&gt;0),2,IF(AND($AG$33&gt;0,$AH$33&lt;0),9,IF(AND($AG$33&lt;0,IF(-$AG$33&lt;$BD$19,$AQ$74,$AQ$75)&lt;0),8,""))),"")</f>
        <v/>
      </c>
      <c r="BG42" s="293" t="n">
        <v>6</v>
      </c>
      <c r="BH42" s="293" t="n">
        <v>31</v>
      </c>
      <c r="BI42" s="293" t="n">
        <v>32</v>
      </c>
      <c r="BJ42" s="293" t="n">
        <v>5</v>
      </c>
      <c r="BK42" s="293" t="n">
        <v>8</v>
      </c>
      <c r="BL42" s="293" t="n">
        <v>7</v>
      </c>
      <c r="BM42" s="293" t="n">
        <v>12</v>
      </c>
      <c r="BN42" s="293" t="n">
        <v>1</v>
      </c>
      <c r="BO42" s="293" t="n">
        <v>36</v>
      </c>
      <c r="BZ42" s="693" t="n"/>
      <c r="CA42" s="693" t="n"/>
    </row>
    <row r="43" ht="12" customHeight="1" s="613">
      <c r="A43" s="429" t="inlineStr">
        <is>
          <t>deg.</t>
        </is>
      </c>
      <c r="B43" s="295">
        <f>IF(NOT(ISBLANK(D43)),D43,DGET('Grid Numbers'!$A$2:$L$4952,'Grid Numbers'!$I$2,$B$70:$H$71))</f>
        <v/>
      </c>
      <c r="C43" s="700" t="n"/>
      <c r="D43" s="504" t="n"/>
      <c r="G43" s="315">
        <f>IF(ISNUMBER($AI$58),$B$8,"")</f>
        <v/>
      </c>
      <c r="H43" s="314">
        <f>IF(AND(G44="",G45=""),"",IF($AI$58=1,"NE/SW",IF($AI$58=2,"NW/SW",IF($AI$58=3,"SW/SW",IF($AI$58=4,"SE/SW","")))))</f>
        <v/>
      </c>
      <c r="L43" s="310" t="n"/>
      <c r="M43" s="309" t="n"/>
      <c r="Q43" s="315">
        <f>IF(ISNUMBER($AK$58),$B$8,"")</f>
        <v/>
      </c>
      <c r="R43" s="314">
        <f>IF(AND(Q44="",Q45=""),"",IF($AK$58=1,"NE/SE",IF($AK$58=2,"NW/SE",IF($AK$58=3,"SW/SE",IF($AK$58=4,"SE/SE","")))))</f>
        <v/>
      </c>
      <c r="U43" s="504" t="n"/>
      <c r="V43" s="646" t="n"/>
      <c r="W43" s="474">
        <f>IF(NOT(ISBLANK(U43)),U43,DGET('Grid Numbers'!$A$2:$L$4952,'Grid Numbers'!$I$2,$B$78:$H$79))</f>
        <v/>
      </c>
      <c r="X43" s="426" t="inlineStr">
        <is>
          <t>deg.</t>
        </is>
      </c>
      <c r="AA43" s="689" t="n"/>
      <c r="AB43" s="294" t="n"/>
      <c r="AV43" s="313" t="n"/>
      <c r="AW43" s="313" t="n"/>
      <c r="AX43" s="313" t="n"/>
      <c r="AY43" s="313" t="n"/>
      <c r="AZ43" s="313" t="n"/>
      <c r="BA43" s="313" t="n"/>
      <c r="BB43" s="313" t="inlineStr">
        <is>
          <t>SE-NW</t>
        </is>
      </c>
      <c r="BD43" s="320" t="n">
        <v>3</v>
      </c>
      <c r="BE43" s="319" t="inlineStr">
        <is>
          <t>BHL2</t>
        </is>
      </c>
      <c r="BF43" s="336">
        <f>IF(AND(MAX($AE$69:$AL$69)&lt;1,ISNUMBER($AI$34), ISNUMBER($AJ$34)),IF(AND($AI$34&gt;0,IF($AI$34&lt;$BJ$19,$AS$75,$AS$74)&lt;0),8,IF(AND($AI$34&lt;0,$AJ$34&lt;0),7,IF(AND(IF($AJ$34&lt;$BM$19,$AR$75,$AR$76)&lt;0,$AJ$34&gt;0),6,""))),"")</f>
        <v/>
      </c>
      <c r="BG43" s="293" t="n">
        <v>7</v>
      </c>
      <c r="BH43" s="293" t="n">
        <v>6</v>
      </c>
      <c r="BI43" s="293" t="n">
        <v>5</v>
      </c>
      <c r="BJ43" s="293" t="n">
        <v>8</v>
      </c>
      <c r="BK43" s="293" t="n">
        <v>17</v>
      </c>
      <c r="BL43" s="293" t="n">
        <v>18</v>
      </c>
      <c r="BM43" s="293" t="n">
        <v>13</v>
      </c>
      <c r="BN43" s="293" t="n">
        <v>12</v>
      </c>
      <c r="BO43" s="293" t="n">
        <v>1</v>
      </c>
      <c r="BZ43" s="693" t="n"/>
      <c r="CA43" s="693" t="n"/>
    </row>
    <row r="44" ht="12" customHeight="1" s="613">
      <c r="A44" s="429" t="inlineStr">
        <is>
          <t>min.</t>
        </is>
      </c>
      <c r="B44" s="295">
        <f>IF(NOT(ISBLANK(D44)),D44,DGET('Grid Numbers'!$A$2:$L$4952,'Grid Numbers'!$J$2,$B$70:$H$71))</f>
        <v/>
      </c>
      <c r="C44" s="700" t="n"/>
      <c r="D44" s="504" t="n"/>
      <c r="G44" s="312">
        <f>IF(ISNUMBER($AI$58),$I$8,"")</f>
        <v/>
      </c>
      <c r="H44" s="311">
        <f>IF(ISNUMBER($AI$58),"FSL","")</f>
        <v/>
      </c>
      <c r="J44" s="693" t="n"/>
      <c r="K44" s="693" t="n"/>
      <c r="L44" s="310" t="n"/>
      <c r="M44" s="309" t="n"/>
      <c r="Q44" s="312">
        <f>IF(ISNUMBER($AK$58),$I$8,"")</f>
        <v/>
      </c>
      <c r="R44" s="311">
        <f>IF(ISNUMBER($AK$58),"FSL","")</f>
        <v/>
      </c>
      <c r="T44" s="693" t="n"/>
      <c r="U44" s="504" t="n"/>
      <c r="V44" s="646" t="n"/>
      <c r="W44" s="474">
        <f>IF(NOT(ISBLANK(U44)),U44,DGET('Grid Numbers'!$A$2:$L$4952,'Grid Numbers'!$J$2,$B$78:$H$79))</f>
        <v/>
      </c>
      <c r="X44" s="426" t="inlineStr">
        <is>
          <t>min.</t>
        </is>
      </c>
      <c r="AA44" s="689" t="n"/>
      <c r="AB44" s="294" t="n"/>
      <c r="AV44" s="313" t="n"/>
      <c r="AW44" s="313" t="n"/>
      <c r="AX44" s="313" t="n"/>
      <c r="AY44" s="313" t="n"/>
      <c r="AZ44" s="313" t="n"/>
      <c r="BA44" s="313" t="n"/>
      <c r="BB44" s="313" t="inlineStr">
        <is>
          <t>NE-SW</t>
        </is>
      </c>
      <c r="BD44" s="469" t="n">
        <v>4</v>
      </c>
      <c r="BE44" s="676" t="inlineStr">
        <is>
          <t>BHL2</t>
        </is>
      </c>
      <c r="BF44" s="318">
        <f>IF(AND(MAX($AE$69:$AL$69)&lt;1,ISNUMBER($AK$35), ISNUMBER($AL$35)),IF(AND(IF(-$AL$35&lt;$BS$19,$AT$76,$AT$75)&lt;0,$AL$35&lt;0),6,IF(AND($AK$35&lt;0,$AL$35&gt;0),5,IF(AND($AK$35&gt;0,IF($AK$35&lt;$BT$19,$AU$76,$AU$73)&lt;0),4,""))),"")</f>
        <v/>
      </c>
      <c r="BG44" s="293" t="n">
        <v>8</v>
      </c>
      <c r="BH44" s="293" t="n">
        <v>5</v>
      </c>
      <c r="BI44" s="293" t="n">
        <v>4</v>
      </c>
      <c r="BJ44" s="293" t="n">
        <v>9</v>
      </c>
      <c r="BK44" s="293" t="n">
        <v>16</v>
      </c>
      <c r="BL44" s="293" t="n">
        <v>17</v>
      </c>
      <c r="BM44" s="293" t="n">
        <v>18</v>
      </c>
      <c r="BN44" s="293" t="n">
        <v>7</v>
      </c>
      <c r="BO44" s="293" t="n">
        <v>6</v>
      </c>
      <c r="BZ44" s="693" t="n"/>
      <c r="CA44" s="693" t="n"/>
    </row>
    <row r="45" ht="12" customHeight="1" s="613">
      <c r="A45" s="429" t="inlineStr">
        <is>
          <t>sec.</t>
        </is>
      </c>
      <c r="B45" s="295">
        <f>IF(NOT(ISBLANK(D45)),D45,DGET('Grid Numbers'!$A$2:$L$4952,'Grid Numbers'!$K$2,$B$70:$H$71))</f>
        <v/>
      </c>
      <c r="C45" s="700" t="n"/>
      <c r="D45" s="505" t="n"/>
      <c r="G45" s="308">
        <f>IF(ISNUMBER($AI$58),$K$8,"")</f>
        <v/>
      </c>
      <c r="H45" s="307">
        <f>IF(ISNUMBER($AI$58),"FWL","")</f>
        <v/>
      </c>
      <c r="J45" s="693" t="n"/>
      <c r="K45" s="693" t="n"/>
      <c r="L45" s="310" t="n"/>
      <c r="M45" s="309" t="n"/>
      <c r="Q45" s="308">
        <f>IF(ISNUMBER($AK$58),$K$8,"")</f>
        <v/>
      </c>
      <c r="R45" s="307">
        <f>IF(ISNUMBER($AK$58),"FEL","")</f>
        <v/>
      </c>
      <c r="T45" s="693" t="n"/>
      <c r="U45" s="505" t="n"/>
      <c r="V45" s="646" t="n"/>
      <c r="W45" s="474">
        <f>IF(NOT(ISBLANK(U45)),U45,DGET('Grid Numbers'!$A$2:$L$4952,'Grid Numbers'!$K$2,$B$78:$H$79))</f>
        <v/>
      </c>
      <c r="X45" s="426" t="inlineStr">
        <is>
          <t>sec.</t>
        </is>
      </c>
      <c r="AA45" s="689" t="n"/>
      <c r="AB45" s="294" t="n"/>
      <c r="AC45" s="319" t="n"/>
      <c r="AD45" s="319" t="n"/>
      <c r="AE45" s="683" t="inlineStr">
        <is>
          <t>Quad 1 (NE)</t>
        </is>
      </c>
      <c r="AF45" s="617" t="n"/>
      <c r="AG45" s="685" t="inlineStr">
        <is>
          <t>Quad 2 (NW)</t>
        </is>
      </c>
      <c r="AH45" s="616" t="n"/>
      <c r="AI45" s="683" t="inlineStr">
        <is>
          <t>Quad 3 (SW)</t>
        </is>
      </c>
      <c r="AJ45" s="617" t="n"/>
      <c r="AK45" s="683" t="inlineStr">
        <is>
          <t>Quad 4 (SE)</t>
        </is>
      </c>
      <c r="AL45" s="617" t="n"/>
      <c r="AV45" s="313" t="n"/>
      <c r="AW45" s="313" t="n"/>
      <c r="AX45" s="313" t="n"/>
      <c r="AY45" s="313" t="n"/>
      <c r="AZ45" s="313" t="n"/>
      <c r="BA45" s="313" t="n"/>
      <c r="BB45" s="313" t="inlineStr">
        <is>
          <t>NW-SW</t>
        </is>
      </c>
      <c r="BD45" s="320" t="n">
        <v>1</v>
      </c>
      <c r="BE45" s="319" t="inlineStr">
        <is>
          <t>BHL3</t>
        </is>
      </c>
      <c r="BF45" s="336">
        <f>IF(AND(MAX($AE$80:$AL$80)&lt;1,ISNUMBER($AE$38), ISNUMBER($AF$38)),IF(AND($AE$38&gt;0,$AF$38&gt;0),3,IF(AND($AE$38&lt;0,IF(-$AE$38&lt;$BZ$19,$AO$84,$AO$87)&lt;0),4,IF(AND(IF(-$AF$38&lt;$AW$19,$AN$84,$AN$85)&lt;0,$AF$38&lt;0),2,""))),"")</f>
        <v/>
      </c>
      <c r="BG45" s="293" t="n">
        <v>9</v>
      </c>
      <c r="BH45" s="293" t="n">
        <v>4</v>
      </c>
      <c r="BI45" s="293" t="n">
        <v>3</v>
      </c>
      <c r="BJ45" s="293" t="n">
        <v>10</v>
      </c>
      <c r="BK45" s="293" t="n">
        <v>15</v>
      </c>
      <c r="BL45" s="293" t="n">
        <v>16</v>
      </c>
      <c r="BM45" s="293" t="n">
        <v>17</v>
      </c>
      <c r="BN45" s="293" t="n">
        <v>8</v>
      </c>
      <c r="BO45" s="293" t="n">
        <v>5</v>
      </c>
      <c r="BZ45" s="693" t="n"/>
      <c r="CA45" s="693" t="n"/>
    </row>
    <row r="46" ht="12" customHeight="1" s="613">
      <c r="A46" s="429" t="inlineStr">
        <is>
          <t>dir.</t>
        </is>
      </c>
      <c r="B46" s="321">
        <f>IF(NOT(ISBLANK(D46)),D46,DGET('Grid Numbers'!$A$2:$L$4952,'Grid Numbers'!$L$2,$B$70:$H$71))</f>
        <v/>
      </c>
      <c r="C46" s="700" t="n"/>
      <c r="D46" s="508" t="n"/>
      <c r="G46" s="315">
        <f>IF(ISNUMBER($AI$69),$B$9,"")</f>
        <v/>
      </c>
      <c r="H46" s="314">
        <f>IF(AND(G47="",G48=""),"",IF($AI$69=1,"NE/SW",IF($AI$69=2,"NW/SW",IF($AI$69=3,"SW/SW",IF($AI$69=4,"SE/SW","")))))</f>
        <v/>
      </c>
      <c r="I46" s="428" t="n"/>
      <c r="J46" s="427" t="n"/>
      <c r="K46" s="427" t="n"/>
      <c r="L46" s="310" t="n"/>
      <c r="M46" s="309" t="n"/>
      <c r="Q46" s="315">
        <f>IF(ISNUMBER($AK$69),$B$9,"")</f>
        <v/>
      </c>
      <c r="R46" s="314">
        <f>IF(AND(Q47="",Q48=""),"",IF($AK$69=1,"NE/SE",IF($AK$69=2,"NW/SE",IF($AK$69=3,"SW/SE",IF($AK$69=4,"SE/SE","")))))</f>
        <v/>
      </c>
      <c r="S46" s="428" t="n"/>
      <c r="T46" s="427" t="n"/>
      <c r="U46" s="508" t="n"/>
      <c r="V46" s="646" t="n"/>
      <c r="W46" s="321">
        <f>IF(NOT(ISBLANK(U46)),U46,DGET('Grid Numbers'!$A$2:$L$4952,'Grid Numbers'!$L$2,$B$78:$H$79))</f>
        <v/>
      </c>
      <c r="X46" s="426" t="inlineStr">
        <is>
          <t>dir.</t>
        </is>
      </c>
      <c r="AA46" s="689" t="n"/>
      <c r="AB46" s="294" t="n"/>
      <c r="AD46" s="319" t="n"/>
      <c r="AE46" s="712" t="n">
        <v>1</v>
      </c>
      <c r="AF46" s="617" t="n"/>
      <c r="AG46" s="712" t="n">
        <v>2</v>
      </c>
      <c r="AH46" s="617" t="n"/>
      <c r="AI46" s="712" t="n">
        <v>3</v>
      </c>
      <c r="AJ46" s="617" t="n"/>
      <c r="AK46" s="712" t="n">
        <v>4</v>
      </c>
      <c r="AL46" s="617" t="n"/>
      <c r="AV46" s="313" t="n"/>
      <c r="AW46" s="313" t="n"/>
      <c r="AX46" s="313" t="n"/>
      <c r="AY46" s="313" t="n"/>
      <c r="AZ46" s="313" t="n"/>
      <c r="BA46" s="313" t="n"/>
      <c r="BB46" s="313" t="inlineStr">
        <is>
          <t>SW-SW</t>
        </is>
      </c>
      <c r="BD46" s="320" t="n">
        <v>2</v>
      </c>
      <c r="BE46" s="319" t="inlineStr">
        <is>
          <t>BHL3</t>
        </is>
      </c>
      <c r="BF46" s="336">
        <f>IF(AND(MAX($AE$80:$AL$80)&lt;1,ISNUMBER($AG$39), ISNUMBER($AH$39)),IF(AND(IF($AH$39&lt;$BC$19,$AP$85,$AP$84)&lt;0,$AH$39&gt;0),2,IF(AND($AG$39&gt;0,$AH$39&lt;0),9,IF(AND($AG$39&lt;0,IF(-$AG$39&lt;$BD$19,$AQ$85,$AQ$86)&lt;0),8,""))),"")</f>
        <v/>
      </c>
      <c r="BG46" s="293" t="n">
        <v>10</v>
      </c>
      <c r="BH46" s="293" t="n">
        <v>3</v>
      </c>
      <c r="BI46" s="293" t="n">
        <v>2</v>
      </c>
      <c r="BJ46" s="293" t="n">
        <v>11</v>
      </c>
      <c r="BK46" s="293" t="n">
        <v>14</v>
      </c>
      <c r="BL46" s="293" t="n">
        <v>15</v>
      </c>
      <c r="BM46" s="293" t="n">
        <v>16</v>
      </c>
      <c r="BN46" s="293" t="n">
        <v>9</v>
      </c>
      <c r="BO46" s="293" t="n">
        <v>4</v>
      </c>
      <c r="BZ46" s="693" t="n"/>
      <c r="CA46" s="693" t="n"/>
    </row>
    <row r="47" ht="12" customHeight="1" s="613">
      <c r="A47" s="429" t="inlineStr">
        <is>
          <t>dec. deg.</t>
        </is>
      </c>
      <c r="B47" s="771">
        <f>IF(AND($L$38='SHL Section'!$BE$52,MAX('BHL Section 2'!$BF$37:$BF$40)=4),'BHL Section 2'!$W$47,IF(AND($L$38='SHL Section'!$BE$55,MAX('BHL Section 2'!$BF$41:$BF$44)=4),'BHL Section 2'!$W$47,IF(AND($L$38='SHL Section'!$BE$58,MAX('BHL Section 2'!$BF$45:$BF$48)=4),'BHL Section 2'!$W$47,IF(B43="","",IF(OR(B46=1,B46=4),180-(B43+B44/60+B45/3600),180+(B43+B44/60+B45/3600))))))</f>
        <v/>
      </c>
      <c r="C47" s="700" t="n"/>
      <c r="G47" s="312">
        <f>IF(ISNUMBER($AI$69),$I$9,"")</f>
        <v/>
      </c>
      <c r="H47" s="311">
        <f>IF(ISNUMBER($AI$69),"FSL","")</f>
        <v/>
      </c>
      <c r="I47" s="428" t="n"/>
      <c r="J47" s="427" t="n"/>
      <c r="K47" s="427" t="n"/>
      <c r="L47" s="310" t="n"/>
      <c r="M47" s="309" t="n"/>
      <c r="Q47" s="312">
        <f>IF(ISNUMBER($AK$69),$I$9,"")</f>
        <v/>
      </c>
      <c r="R47" s="311">
        <f>IF(ISNUMBER($AK$69),"FSL","")</f>
        <v/>
      </c>
      <c r="S47" s="428" t="n"/>
      <c r="T47" s="427" t="n"/>
      <c r="V47" s="646" t="n"/>
      <c r="W47" s="770">
        <f>IF(AND($L$38='SHL Section'!$BE$52,MAX('BHL Section 2'!$BF$37:$BF$40)=8),'BHL Section 2'!$B$47,IF(AND($L$38='SHL Section'!$BE$55,MAX('BHL Section 2'!$BF$41:$BF$44)=8),'BHL Section 2'!$B$47,IF(AND($L$38='SHL Section'!$BE$58,MAX('BHL Section 2'!$BF$45:$BF$48)=8),'BHL Section 2'!$B$47,IF(W43="","",IF(OR(W46=1,W46=4),180-(W43+W44/60+W45/3600),180+(W43+W44/60+W45/3600))))))</f>
        <v/>
      </c>
      <c r="X47" s="426" t="inlineStr">
        <is>
          <t>dec. deg.</t>
        </is>
      </c>
      <c r="AA47" s="689" t="n"/>
      <c r="AE47" s="674" t="inlineStr">
        <is>
          <t>SHL Qtr-Qtr Logic</t>
        </is>
      </c>
      <c r="AF47" s="675" t="n"/>
      <c r="AG47" s="676" t="inlineStr">
        <is>
          <t>SHL Qtr-Qtr Logic</t>
        </is>
      </c>
      <c r="AH47" s="677" t="n"/>
      <c r="AI47" s="674" t="inlineStr">
        <is>
          <t>SHL Qtr-Qtr Logic</t>
        </is>
      </c>
      <c r="AJ47" s="675" t="n"/>
      <c r="AK47" s="674" t="inlineStr">
        <is>
          <t>SHL Qtr-Qtr Logic</t>
        </is>
      </c>
      <c r="AL47" s="675" t="n"/>
      <c r="AV47" s="313" t="n"/>
      <c r="AW47" s="313" t="n"/>
      <c r="AX47" s="313" t="n"/>
      <c r="AY47" s="313" t="n"/>
      <c r="AZ47" s="313" t="n"/>
      <c r="BA47" s="313" t="n"/>
      <c r="BB47" s="313" t="inlineStr">
        <is>
          <t>SE-SW</t>
        </is>
      </c>
      <c r="BD47" s="320" t="n">
        <v>3</v>
      </c>
      <c r="BE47" s="319" t="inlineStr">
        <is>
          <t>BHL3</t>
        </is>
      </c>
      <c r="BF47" s="336">
        <f>IF(AND(MAX($AE$80:$AL$80)&lt;1,ISNUMBER($AI$40), ISNUMBER($AJ$40)),IF(AND($AI$40&gt;0,IF($AI$40&lt;$BJ$19,$AS$86,$AS$85)&lt;0),8,IF(AND($AI$40&lt;0,$AJ$40&lt;0),7,IF(AND(IF($AJ$40&lt;$BM$19,$AR$86,$AR$87)&lt;0,$AJ$40&gt;0),6,""))),"")</f>
        <v/>
      </c>
      <c r="BG47" s="293" t="n">
        <v>11</v>
      </c>
      <c r="BH47" s="293" t="n">
        <v>2</v>
      </c>
      <c r="BI47" s="293" t="n">
        <v>1</v>
      </c>
      <c r="BJ47" s="293" t="n">
        <v>12</v>
      </c>
      <c r="BK47" s="293" t="n">
        <v>13</v>
      </c>
      <c r="BL47" s="293" t="n">
        <v>14</v>
      </c>
      <c r="BM47" s="293" t="n">
        <v>15</v>
      </c>
      <c r="BN47" s="293" t="n">
        <v>10</v>
      </c>
      <c r="BO47" s="293" t="n">
        <v>3</v>
      </c>
      <c r="BZ47" s="693" t="n"/>
      <c r="CA47" s="693" t="n"/>
    </row>
    <row r="48" ht="12" customHeight="1" s="613">
      <c r="C48" s="700" t="n"/>
      <c r="G48" s="308">
        <f>IF(ISNUMBER($AI$69),$K$9,"")</f>
        <v/>
      </c>
      <c r="H48" s="307">
        <f>IF(ISNUMBER($AI$69),"FWL","")</f>
        <v/>
      </c>
      <c r="I48" s="428" t="n"/>
      <c r="J48" s="427" t="n"/>
      <c r="K48" s="427" t="n"/>
      <c r="L48" s="310" t="n"/>
      <c r="M48" s="309" t="n"/>
      <c r="Q48" s="308">
        <f>IF(ISNUMBER($AK$69),$K$9,"")</f>
        <v/>
      </c>
      <c r="R48" s="307">
        <f>IF(ISNUMBER($AK$69),"FEL","")</f>
        <v/>
      </c>
      <c r="S48" s="428" t="n"/>
      <c r="T48" s="427" t="n"/>
      <c r="V48" s="646" t="n"/>
      <c r="AA48" s="689" t="n"/>
      <c r="AE48" s="671" t="n"/>
      <c r="AF48" s="617" t="n"/>
      <c r="AG48" s="671" t="n"/>
      <c r="AH48" s="617" t="n"/>
      <c r="AI48" s="671" t="n"/>
      <c r="AJ48" s="617" t="n"/>
      <c r="AK48" s="671" t="n"/>
      <c r="AL48" s="617" t="n"/>
      <c r="AV48" s="313" t="n"/>
      <c r="AW48" s="313" t="n"/>
      <c r="AX48" s="313" t="n"/>
      <c r="AY48" s="313" t="n"/>
      <c r="AZ48" s="313" t="n"/>
      <c r="BA48" s="313" t="n"/>
      <c r="BB48" s="313" t="inlineStr">
        <is>
          <t>NE-SE</t>
        </is>
      </c>
      <c r="BD48" s="469" t="n">
        <v>4</v>
      </c>
      <c r="BE48" s="676" t="inlineStr">
        <is>
          <t>BHL3</t>
        </is>
      </c>
      <c r="BF48" s="318">
        <f>IF(AND(MAX($AE$80:$AL$80)&lt;1,ISNUMBER($AK$41), ISNUMBER($AL$41)),IF(AND(IF(-$AL$41&lt;$BS$19,$AT$87,$AT$86)&lt;0,$AL$41&lt;0),6,IF(AND($AK$41&lt;0,$AL$41&gt;0),5,IF(AND($AK$41&gt;0,IF($AK$41&lt;$BT$19,$AU$87,$AU$84)&lt;0),4,""))),"")</f>
        <v/>
      </c>
      <c r="BG48" s="293" t="n">
        <v>12</v>
      </c>
      <c r="BH48" s="293" t="n">
        <v>1</v>
      </c>
      <c r="BI48" s="293" t="n">
        <v>6</v>
      </c>
      <c r="BJ48" s="293" t="n">
        <v>7</v>
      </c>
      <c r="BK48" s="293" t="n">
        <v>18</v>
      </c>
      <c r="BL48" s="293" t="n">
        <v>13</v>
      </c>
      <c r="BM48" s="293" t="n">
        <v>14</v>
      </c>
      <c r="BN48" s="293" t="n">
        <v>11</v>
      </c>
      <c r="BO48" s="293" t="n">
        <v>2</v>
      </c>
      <c r="BZ48" s="693" t="n"/>
      <c r="CA48" s="693" t="n"/>
    </row>
    <row r="49" ht="12" customHeight="1" s="613">
      <c r="B49" s="420">
        <f>IF(AND($L$38='SHL Section'!$BE$52,MAX('BHL Section 2'!$BF$37:$BF$40)=4),'BHL Section 2'!$W$49,IF(AND($L$38='SHL Section'!$BE$55,MAX('BHL Section 2'!$BF$41:$BF$44)=4),'BHL Section 2'!$W$49,IF(AND($L$38='SHL Section'!$BE$58,MAX('BHL Section 2'!$BF$45:$BF$48)=4),'BHL Section 2'!$W$49,B50)))</f>
        <v/>
      </c>
      <c r="C49" s="700" t="n"/>
      <c r="G49" s="315">
        <f>IF(ISNUMBER($AI$80),$B$10,"")</f>
        <v/>
      </c>
      <c r="H49" s="314">
        <f>IF(AND(G50="",G51=""),"",IF($AI$80=1,"NE/SW",IF($AI$80=2,"NW/SW",IF($AI$80=3,"SW/SW",IF($AI$80=4,"SE/SW","")))))</f>
        <v/>
      </c>
      <c r="I49" s="428" t="n"/>
      <c r="J49" s="427" t="n"/>
      <c r="K49" s="427" t="n"/>
      <c r="L49" s="310" t="n"/>
      <c r="M49" s="309" t="n"/>
      <c r="Q49" s="315">
        <f>IF(ISNUMBER($AK$80),$B$10,"")</f>
        <v/>
      </c>
      <c r="R49" s="314">
        <f>IF(AND(Q50="",Q51=""),"",IF($AK$80=1,"NE/SE",IF($AK$80=2,"NW/SE",IF($AK$80=3,"SW/SE",IF($AK$80=4,"SE/SE","")))))</f>
        <v/>
      </c>
      <c r="S49" s="428" t="n"/>
      <c r="T49" s="427" t="n"/>
      <c r="U49" s="689" t="n"/>
      <c r="V49" s="646" t="n"/>
      <c r="W49" s="428">
        <f>IF(AND($L$38='SHL Section'!$BE$52,MAX('BHL Section 2'!$BF$37:$BF$40)=8),'BHL Section 2'!$B$49,IF(AND($L$38='SHL Section'!$BE$55,MAX('BHL Section 2'!$BF$41:$BF$44)=8),'BHL Section 2'!$B$49,IF(AND($L$38='SHL Section'!$BE$58,MAX('BHL Section 2'!$BF$45:$BF$48)=8),'BHL Section 2'!$B$49,W50)))</f>
        <v/>
      </c>
      <c r="AA49" s="689" t="n"/>
      <c r="AE49" s="291" t="n"/>
      <c r="AF49" s="290" t="n"/>
      <c r="AG49" s="292" t="n"/>
      <c r="AH49" s="292" t="n"/>
      <c r="AI49" s="291" t="n"/>
      <c r="AJ49" s="290" t="n"/>
      <c r="AK49" s="291" t="n"/>
      <c r="AL49" s="290" t="n"/>
      <c r="AV49" s="313" t="n"/>
      <c r="AW49" s="313" t="n"/>
      <c r="AX49" s="313" t="n"/>
      <c r="AY49" s="313" t="n"/>
      <c r="AZ49" s="313" t="n"/>
      <c r="BA49" s="313" t="n"/>
      <c r="BB49" s="313" t="inlineStr">
        <is>
          <t>NW-SE</t>
        </is>
      </c>
      <c r="BG49" s="293" t="n">
        <v>13</v>
      </c>
      <c r="BH49" s="293" t="n">
        <v>12</v>
      </c>
      <c r="BI49" s="293" t="n">
        <v>7</v>
      </c>
      <c r="BJ49" s="293" t="n">
        <v>18</v>
      </c>
      <c r="BK49" s="293" t="n">
        <v>19</v>
      </c>
      <c r="BL49" s="293" t="n">
        <v>24</v>
      </c>
      <c r="BM49" s="293" t="n">
        <v>23</v>
      </c>
      <c r="BN49" s="293" t="n">
        <v>14</v>
      </c>
      <c r="BO49" s="293" t="n">
        <v>11</v>
      </c>
      <c r="BZ49" s="693" t="n"/>
      <c r="CA49" s="693" t="n"/>
    </row>
    <row r="50" ht="12" customHeight="1" s="613">
      <c r="A50" s="429" t="inlineStr">
        <is>
          <t>dist.</t>
        </is>
      </c>
      <c r="B50" s="301">
        <f>IF(NOT(ISBLANK(D50)),D50,DGET('Grid Numbers'!$A$2:$L$4952,'Grid Numbers'!$H$2,$B$72:$H$73))</f>
        <v/>
      </c>
      <c r="C50" s="700" t="n"/>
      <c r="D50" s="504" t="n"/>
      <c r="G50" s="312">
        <f>IF(ISNUMBER($AI$80),$I$10,"")</f>
        <v/>
      </c>
      <c r="H50" s="311">
        <f>IF(ISNUMBER($AI$80),"FSL","")</f>
        <v/>
      </c>
      <c r="I50" s="428" t="n"/>
      <c r="J50" s="427" t="n"/>
      <c r="K50" s="427" t="n"/>
      <c r="L50" s="310" t="n"/>
      <c r="M50" s="309" t="n"/>
      <c r="Q50" s="312">
        <f>IF(ISNUMBER($AK$80),$I$10,"")</f>
        <v/>
      </c>
      <c r="R50" s="311">
        <f>IF(ISNUMBER($AK$80),"FSL","")</f>
        <v/>
      </c>
      <c r="S50" s="428" t="n"/>
      <c r="T50" s="427" t="n"/>
      <c r="U50" s="504" t="n"/>
      <c r="V50" s="646" t="n"/>
      <c r="W50" s="301">
        <f>IF(NOT(ISBLANK(U50)),U50,DGET('Grid Numbers'!$A$2:$L$4952,'Grid Numbers'!$H$2,$B$80:$H$81))</f>
        <v/>
      </c>
      <c r="X50" s="426" t="inlineStr">
        <is>
          <t>dist.</t>
        </is>
      </c>
      <c r="AA50" s="689" t="n"/>
      <c r="AE50" s="674" t="inlineStr">
        <is>
          <t>SHL NE SC Calc</t>
        </is>
      </c>
      <c r="AF50" s="675" t="n"/>
      <c r="AG50" s="676" t="inlineStr">
        <is>
          <t>SHL NW SC Calc</t>
        </is>
      </c>
      <c r="AH50" s="677" t="n"/>
      <c r="AI50" s="674" t="inlineStr">
        <is>
          <t>SHL SW SC Calc</t>
        </is>
      </c>
      <c r="AJ50" s="675" t="n"/>
      <c r="AK50" s="674" t="inlineStr">
        <is>
          <t>SHL SE SC Calc</t>
        </is>
      </c>
      <c r="AL50" s="675" t="n"/>
      <c r="AV50" s="313" t="n"/>
      <c r="AW50" s="313" t="n"/>
      <c r="AX50" s="313" t="n"/>
      <c r="AY50" s="313" t="n"/>
      <c r="AZ50" s="313" t="n"/>
      <c r="BA50" s="313" t="n"/>
      <c r="BB50" s="313" t="inlineStr">
        <is>
          <t>SW-SE</t>
        </is>
      </c>
      <c r="BG50" s="293" t="n">
        <v>14</v>
      </c>
      <c r="BH50" s="293" t="n">
        <v>11</v>
      </c>
      <c r="BI50" s="293" t="n">
        <v>12</v>
      </c>
      <c r="BJ50" s="293" t="n">
        <v>13</v>
      </c>
      <c r="BK50" s="293" t="n">
        <v>24</v>
      </c>
      <c r="BL50" s="293" t="n">
        <v>23</v>
      </c>
      <c r="BM50" s="293" t="n">
        <v>22</v>
      </c>
      <c r="BN50" s="293" t="n">
        <v>15</v>
      </c>
      <c r="BO50" s="293" t="n">
        <v>10</v>
      </c>
      <c r="BZ50" s="693" t="n"/>
      <c r="CA50" s="693" t="n"/>
    </row>
    <row r="51" ht="12" customHeight="1" s="613">
      <c r="A51" s="429" t="inlineStr">
        <is>
          <t>deg.</t>
        </is>
      </c>
      <c r="B51" s="295">
        <f>IF(NOT(ISBLANK(D51)),D51,DGET('Grid Numbers'!$A$2:$L$4952,'Grid Numbers'!$I$2,$B$72:$H$73))</f>
        <v/>
      </c>
      <c r="C51" s="700" t="n"/>
      <c r="D51" s="504" t="n"/>
      <c r="G51" s="308">
        <f>IF(ISNUMBER($AI$80),$K$10,"")</f>
        <v/>
      </c>
      <c r="H51" s="307">
        <f>IF(ISNUMBER($AI$80),"FWL","")</f>
        <v/>
      </c>
      <c r="I51" s="428" t="n"/>
      <c r="J51" s="427" t="n"/>
      <c r="K51" s="427" t="n"/>
      <c r="L51" s="310" t="n"/>
      <c r="M51" s="309" t="n"/>
      <c r="Q51" s="308">
        <f>IF(ISNUMBER($AK$80),$K$10,"")</f>
        <v/>
      </c>
      <c r="R51" s="307">
        <f>IF(ISNUMBER($AK$80),"FEL","")</f>
        <v/>
      </c>
      <c r="S51" s="428" t="n"/>
      <c r="T51" s="427" t="n"/>
      <c r="U51" s="504" t="n"/>
      <c r="V51" s="646" t="n"/>
      <c r="W51" s="474">
        <f>IF(NOT(ISBLANK(U51)),U51,DGET('Grid Numbers'!$A$2:$L$4952,'Grid Numbers'!$I$2,$B$80:$H$81))</f>
        <v/>
      </c>
      <c r="X51" s="426" t="inlineStr">
        <is>
          <t>deg.</t>
        </is>
      </c>
      <c r="AA51" s="689" t="n"/>
      <c r="AB51" s="294" t="n"/>
      <c r="AC51" s="294" t="n"/>
      <c r="AD51" s="470" t="inlineStr">
        <is>
          <t>Qtr-Qtr</t>
        </is>
      </c>
      <c r="AE51" s="671" t="inlineStr">
        <is>
          <t>N-S</t>
        </is>
      </c>
      <c r="AF51" s="671" t="inlineStr">
        <is>
          <t>E-W</t>
        </is>
      </c>
      <c r="AG51" s="468" t="inlineStr">
        <is>
          <t>N-S</t>
        </is>
      </c>
      <c r="AH51" s="467" t="inlineStr">
        <is>
          <t>E-W</t>
        </is>
      </c>
      <c r="AI51" s="671" t="inlineStr">
        <is>
          <t>N-S</t>
        </is>
      </c>
      <c r="AJ51" s="671" t="inlineStr">
        <is>
          <t>E-W</t>
        </is>
      </c>
      <c r="AK51" s="671" t="inlineStr">
        <is>
          <t>N-S</t>
        </is>
      </c>
      <c r="AL51" s="671" t="inlineStr">
        <is>
          <t>E-W</t>
        </is>
      </c>
      <c r="AV51" s="313" t="n"/>
      <c r="AW51" s="313" t="n"/>
      <c r="AX51" s="313" t="n"/>
      <c r="AY51" s="313" t="n"/>
      <c r="AZ51" s="313" t="n"/>
      <c r="BA51" s="313" t="n"/>
      <c r="BB51" s="313" t="inlineStr">
        <is>
          <t>SE-SE</t>
        </is>
      </c>
      <c r="BG51" s="293" t="n">
        <v>15</v>
      </c>
      <c r="BH51" s="293" t="n">
        <v>10</v>
      </c>
      <c r="BI51" s="293" t="n">
        <v>11</v>
      </c>
      <c r="BJ51" s="293" t="n">
        <v>14</v>
      </c>
      <c r="BK51" s="293" t="n">
        <v>23</v>
      </c>
      <c r="BL51" s="293" t="n">
        <v>22</v>
      </c>
      <c r="BM51" s="293" t="n">
        <v>21</v>
      </c>
      <c r="BN51" s="293" t="n">
        <v>16</v>
      </c>
      <c r="BO51" s="293" t="n">
        <v>9</v>
      </c>
      <c r="BZ51" s="693" t="n"/>
      <c r="CA51" s="693" t="n"/>
    </row>
    <row r="52" ht="12" customHeight="1" s="613">
      <c r="A52" s="429" t="inlineStr">
        <is>
          <t>min.</t>
        </is>
      </c>
      <c r="B52" s="295">
        <f>IF(NOT(ISBLANK(D52)),D52,DGET('Grid Numbers'!$A$2:$L$4952,'Grid Numbers'!$J$2,$B$72:$H$73))</f>
        <v/>
      </c>
      <c r="C52" s="700" t="n"/>
      <c r="D52" s="504" t="n"/>
      <c r="I52" s="428" t="n"/>
      <c r="J52" s="427" t="n"/>
      <c r="K52" s="427" t="n"/>
      <c r="L52" s="310" t="n"/>
      <c r="M52" s="309" t="n"/>
      <c r="P52" s="693" t="n"/>
      <c r="S52" s="428" t="n"/>
      <c r="T52" s="427" t="n"/>
      <c r="U52" s="504" t="n"/>
      <c r="V52" s="646" t="n"/>
      <c r="W52" s="474">
        <f>IF(NOT(ISBLANK(U52)),U52,DGET('Grid Numbers'!$A$2:$L$4952,'Grid Numbers'!$J$2,$B$80:$H$81))</f>
        <v/>
      </c>
      <c r="X52" s="426" t="inlineStr">
        <is>
          <t>min.</t>
        </is>
      </c>
      <c r="AA52" s="689" t="n"/>
      <c r="AB52" s="689" t="n"/>
      <c r="AD52" s="319" t="n">
        <v>1</v>
      </c>
      <c r="AE52" s="306">
        <f>IF($AD52=AE$48,-($Q$30/$AV$28+$Q$31/$BZ$28*$AV$19/$AW$19)/(1-$AV$19/$AW$19*$CA$19/$BZ$19),"")</f>
        <v/>
      </c>
      <c r="AF52" s="287">
        <f>IF($AD52=AE$48,-($Q$31/$BZ$28+$Q$30/$AV$28*$CA$19/$BZ$19)/(1-$AV$19/$AW$19*$CA$19/$BZ$19),"")</f>
        <v/>
      </c>
      <c r="AG52" s="420">
        <f>IF($AD52=AG$48,-($G$30/$AZ$28-$BB$19-($G$31/$BD$28-$BC$19)*$AZ$19/$BA$19)/(1-$AZ$19/$BA$19*$BE$19/$BD$19),"")</f>
        <v/>
      </c>
      <c r="AH52" s="420">
        <f>IF($AD52=AG$48,($G$31/$BD$28-$BC$19-($G$30/$AZ$28-$BB$19)*$BE$19/$BD$19)/(1-$AZ$19/$BA$19*$BE$19/$BD$19)+$BC$19,"")</f>
        <v/>
      </c>
      <c r="AI52" s="306">
        <f>IF($AD52=AI$48,($G$46/$BN$28-$BJ$19+$BL$19+($G$47/$BH$28-$BM$19+$BK$19)*$BN$19/$BO$19)/(1-$BI$19/$BH$19*$BN$19/$BO$19)+$BJ$19,"")</f>
        <v/>
      </c>
      <c r="AJ52" s="287">
        <f>IF($AD52=AI$48,($G$47/$BH$28-$BM$19+$BK$19+($G$46/$BN$28-$BJ$19+$BL$19)*$BI$19/$BH$19)/(1-$BI$19/$BH$19*$BN$19/$BO$19)+$BM$19,"")</f>
        <v/>
      </c>
      <c r="AK52" s="306">
        <f>IF($AD52=AK$48,($Q$46/$BR$28-$BT$19-($Q$47/$BV$28-$BU$19)*$BR$19/$BS$19)/(1-$BW$19/$BV$19*$BR$19/$BS$19)+$BT$19,"")</f>
        <v/>
      </c>
      <c r="AL52" s="287">
        <f>IF($AD52=AK$48,-($Q$47/$BV$28-$BU$19-($Q$46/$BR$28-$BT$19)*$BW$19/$BV$19)/(1-$BW$19/$BV$19*$BR$19/$BS$19),"")</f>
        <v/>
      </c>
      <c r="BG52" s="293" t="n">
        <v>16</v>
      </c>
      <c r="BH52" s="293" t="n">
        <v>9</v>
      </c>
      <c r="BI52" s="293" t="n">
        <v>10</v>
      </c>
      <c r="BJ52" s="293" t="n">
        <v>15</v>
      </c>
      <c r="BK52" s="293" t="n">
        <v>22</v>
      </c>
      <c r="BL52" s="293" t="n">
        <v>21</v>
      </c>
      <c r="BM52" s="293" t="n">
        <v>20</v>
      </c>
      <c r="BN52" s="293" t="n">
        <v>17</v>
      </c>
      <c r="BO52" s="293" t="n">
        <v>8</v>
      </c>
      <c r="BZ52" s="693" t="n"/>
      <c r="CA52" s="693" t="n"/>
    </row>
    <row r="53" ht="12" customHeight="1" s="613">
      <c r="A53" s="429" t="inlineStr">
        <is>
          <t>sec.</t>
        </is>
      </c>
      <c r="B53" s="295">
        <f>IF(NOT(ISBLANK(D53)),D53,DGET('Grid Numbers'!$A$2:$L$4952,'Grid Numbers'!$K$2,$B$72:$H$73))</f>
        <v/>
      </c>
      <c r="C53" s="700" t="n"/>
      <c r="D53" s="505" t="n"/>
      <c r="I53" s="428" t="n"/>
      <c r="J53" s="427" t="n"/>
      <c r="K53" s="427" t="n"/>
      <c r="L53" s="310" t="n"/>
      <c r="M53" s="309" t="n"/>
      <c r="P53" s="693" t="n"/>
      <c r="S53" s="428" t="n"/>
      <c r="T53" s="427" t="n"/>
      <c r="U53" s="505" t="n"/>
      <c r="V53" s="646" t="n"/>
      <c r="W53" s="474">
        <f>IF(NOT(ISBLANK(U53)),U53,DGET('Grid Numbers'!$A$2:$L$4952,'Grid Numbers'!$K$2,$B$80:$H$81))</f>
        <v/>
      </c>
      <c r="X53" s="426" t="inlineStr">
        <is>
          <t>sec.</t>
        </is>
      </c>
      <c r="AA53" s="689" t="n"/>
      <c r="AB53" s="689" t="n"/>
      <c r="AD53" s="319" t="n">
        <v>2</v>
      </c>
      <c r="AE53" s="306">
        <f>IF($AD53=AE$48,-($Q$30/$AX$28+$AV$19+($Q$31/$BZ$28-$AW$19)*$AX$19/$AY$19)/(1-$AX$19/$AY$19*$CA$19/$BZ$19),"")</f>
        <v/>
      </c>
      <c r="AF53" s="287">
        <f>IF($AD53=AE$48,-($Q$31/$BZ$28-$AW$19+($Q$30/$AX$28+$AV$19)*$CA$19/$BZ$19)/(1-$AX$19/$AY$19*$CA$19/$BZ$19)-$AW$19,"")</f>
        <v/>
      </c>
      <c r="AG53" s="420">
        <f>IF($AD53=AG$48,-($G$30/$BB$28-$G$31/$BD$28*$BB$19/$BC$19)/(1-$BE$19/$BD$19*$BB$19/$BC$19),"")</f>
        <v/>
      </c>
      <c r="AH53" s="420">
        <f>IF($AD53=AG$48,($G$31/$BD$28-$G$30/$BB$28*$BE$19/$BD$19)/(1-$BE$19/$BD$19*$BB$19/$BC$19),"")</f>
        <v/>
      </c>
      <c r="AI53" s="306">
        <f>IF($AD53=AI$48,($G$46/$BL$28-$BJ$19+($G$47/$BH$28+$BK$19)*$BL$19/$BM$19)/(1-$BI$19/$BH$19*$BL$19/$BM$19)+$BJ$19,"")</f>
        <v/>
      </c>
      <c r="AJ53" s="287">
        <f>IF($AD53=AI$48,($G$47/$BH$28+$BK$19+($G$46/$BL$28-$BJ$19)*$BI$19/$BH$19)/(1-$BI$19/$BH$19*$BL$19/$BM$19),"")</f>
        <v/>
      </c>
      <c r="AK53" s="306">
        <f>IF($AD53=AK$48,($Q$46/$BP$28-$BT19-$BR$19-($Q$47/$BV$28-$BS$19-$BU$19)*$BP$19/$BQ$19)/(1-$BW$19/$BV$19*$BP$19/$BQ$19)+$BT$19,"")</f>
        <v/>
      </c>
      <c r="AL53" s="287">
        <f>IF($AD53=AK$48,-($Q$47/$BV$28-$BS$19-$BU$19-($Q$46/$BP$28-$BT$19-$BR$19)*$BW$19/$BV$19)/(1-$BW$19/$BV$19*$BP$19/$BQ$19)-$BS$19,"")</f>
        <v/>
      </c>
      <c r="BG53" s="293" t="n">
        <v>17</v>
      </c>
      <c r="BH53" s="293" t="n">
        <v>8</v>
      </c>
      <c r="BI53" s="293" t="n">
        <v>9</v>
      </c>
      <c r="BJ53" s="293" t="n">
        <v>16</v>
      </c>
      <c r="BK53" s="293" t="n">
        <v>21</v>
      </c>
      <c r="BL53" s="293" t="n">
        <v>20</v>
      </c>
      <c r="BM53" s="293" t="n">
        <v>19</v>
      </c>
      <c r="BN53" s="293" t="n">
        <v>18</v>
      </c>
      <c r="BO53" s="293" t="n">
        <v>7</v>
      </c>
      <c r="BZ53" s="693" t="n"/>
      <c r="CA53" s="693" t="n"/>
    </row>
    <row r="54">
      <c r="A54" s="429" t="inlineStr">
        <is>
          <t>dir.</t>
        </is>
      </c>
      <c r="B54" s="321">
        <f>IF(NOT(ISBLANK(D54)),D54,DGET('Grid Numbers'!$A$2:$L$4952,'Grid Numbers'!$L$2,$B$72:$H$73))</f>
        <v/>
      </c>
      <c r="C54" s="700" t="n"/>
      <c r="D54" s="508" t="n"/>
      <c r="F54" s="774" t="n"/>
      <c r="I54" s="428" t="n"/>
      <c r="J54" s="427" t="n"/>
      <c r="K54" s="427" t="n"/>
      <c r="L54" s="310" t="n"/>
      <c r="M54" s="309" t="n"/>
      <c r="P54" s="774" t="n"/>
      <c r="S54" s="428" t="n"/>
      <c r="T54" s="427" t="n"/>
      <c r="U54" s="508" t="n"/>
      <c r="V54" s="646" t="n"/>
      <c r="W54" s="321">
        <f>IF(NOT(ISBLANK(U54)),U54,DGET('Grid Numbers'!$A$2:$L$4952,'Grid Numbers'!$L$2,$B$80:$H$81))</f>
        <v/>
      </c>
      <c r="X54" s="426" t="inlineStr">
        <is>
          <t>dir.</t>
        </is>
      </c>
      <c r="AA54" s="689" t="n"/>
      <c r="AB54" s="689" t="n"/>
      <c r="AD54" s="319" t="n">
        <v>3</v>
      </c>
      <c r="AE54" s="306">
        <f>IF($AD54=AE$48,-($Q$30/$AX$28+$AV$19-$BZ$19+($Q$31/$BX$28+$CA$19-$AW$19)*$AX$19/$AY$19)/(1-$AX$19/$AY$19*$BY$19/$BX$19)-$BZ$19,"")</f>
        <v/>
      </c>
      <c r="AF54" s="287">
        <f>IF($AD54=AE$48,-($Q$31/$BX$28+$CA$19-$AW$19+($Q$30/$AX$28+$AV$19-$BZ$19)*$BY$19/$BX$19)/(1-$AX$19/$AY$19*$BY$19/$BX$19)-$AW$19,"")</f>
        <v/>
      </c>
      <c r="AG54" s="420">
        <f>IF($AD54=AG$48,-($G$30/$BB$28-$BD$19-($G$31/$BF$28-$BE$19)*$BB$19/$BC$19)/(1-$BG$19/$BF$19*$BB$19/$BC$19)-$BD$19,"")</f>
        <v/>
      </c>
      <c r="AH54" s="420">
        <f>IF($AD54=AG$48,($G$31/$BF$28-$BE$19-($G$30/$BB$28-$BD$19)*$BG$19/$BF$19)/(1-$BG$19/$BF$19*$BB$19/$BC$19),"")</f>
        <v/>
      </c>
      <c r="AI54" s="306">
        <f>IF($AD54=AI$48,($G$46/$BL$28+$G$47/$BJ$28*$BL$19/$BM$19)/(1-$BK$19/$BJ$19*$BL$19/$BM$19),"")</f>
        <v/>
      </c>
      <c r="AJ54" s="287">
        <f>IF($AD54=AI$48,($G$47/$BJ$28+$G$46/$BL$28*$BK$19/$BJ$19)/(1-$BK$19/$BJ$19*$BL$19/$BM$19),"")</f>
        <v/>
      </c>
      <c r="AK54" s="306">
        <f>IF($AD54=AK$48,($Q$46/$BP$28-$BR$19-($Q$47/$BT$28-$BS$19)*$BP$19/$BQ$19)/(1-$BU$19/$BT$19*$BP$19/$BQ$19),"")</f>
        <v/>
      </c>
      <c r="AL54" s="287">
        <f>IF($AD54=AK$48,-($Q$47/$BT$28-$BS$19-($Q$46/$BP$28-$BR$19)*$BU$19/$BT$19)/(1-$BU$19/$BT$19*$BP$19/$BQ$19)-$BS$19,"")</f>
        <v/>
      </c>
      <c r="BG54" s="293" t="n">
        <v>18</v>
      </c>
      <c r="BH54" s="293" t="n">
        <v>7</v>
      </c>
      <c r="BI54" s="293" t="n">
        <v>8</v>
      </c>
      <c r="BJ54" s="293" t="n">
        <v>17</v>
      </c>
      <c r="BK54" s="293" t="n">
        <v>20</v>
      </c>
      <c r="BL54" s="293" t="n">
        <v>19</v>
      </c>
      <c r="BM54" s="293" t="n">
        <v>24</v>
      </c>
      <c r="BN54" s="293" t="n">
        <v>13</v>
      </c>
      <c r="BO54" s="293" t="n">
        <v>12</v>
      </c>
      <c r="BZ54" s="693" t="n"/>
      <c r="CA54" s="693" t="n"/>
    </row>
    <row r="55" ht="12" customHeight="1" s="613" thickBot="1">
      <c r="A55" s="429" t="inlineStr">
        <is>
          <t>dec. deg.</t>
        </is>
      </c>
      <c r="B55" s="771">
        <f>IF(AND($L$38='SHL Section'!$BE$52,MAX('BHL Section 2'!$BF$37:$BF$40)=4),'BHL Section 2'!$W$55,IF(AND($L$38='SHL Section'!$BE$55,MAX('BHL Section 2'!$BF$41:$BF$44)=4),'BHL Section 2'!$W$55,IF(AND($L$38='SHL Section'!$BE$58,MAX('BHL Section 2'!$BF$45:$BF$48)=4),'BHL Section 2'!$W$55,IF(B51="","",IF(OR(B54=1,B54=4),180-(B51+B52/60+B53/3600),180+(B51+B52/60+B53/3600))))))</f>
        <v/>
      </c>
      <c r="C55" s="654" t="n"/>
      <c r="D55" s="633" t="n"/>
      <c r="E55" s="633" t="n"/>
      <c r="F55" s="633" t="n"/>
      <c r="G55" s="633" t="n"/>
      <c r="H55" s="633" t="n"/>
      <c r="I55" s="633" t="n"/>
      <c r="J55" s="633" t="n"/>
      <c r="K55" s="633" t="n"/>
      <c r="L55" s="305" t="n"/>
      <c r="M55" s="304" t="n"/>
      <c r="N55" s="633" t="n"/>
      <c r="O55" s="633" t="n"/>
      <c r="P55" s="633" t="n"/>
      <c r="Q55" s="633" t="n"/>
      <c r="R55" s="633" t="n"/>
      <c r="S55" s="633" t="n"/>
      <c r="T55" s="633" t="n"/>
      <c r="U55" s="633" t="n"/>
      <c r="V55" s="634" t="n"/>
      <c r="W55" s="770">
        <f>IF(AND($L$38='SHL Section'!$BE$52,MAX('BHL Section 2'!$BF$37:$BF$40)=8),'BHL Section 2'!$B$55,IF(AND($L$38='SHL Section'!$BE$55,MAX('BHL Section 2'!$BF$41:$BF$44)=8),'BHL Section 2'!$B$55,IF(AND($L$38='SHL Section'!$BE$58,MAX('BHL Section 2'!$BF$45:$BF$48)=8),'BHL Section 2'!$B$55,IF(W51="","",IF(OR(W54=1,W54=4),180-(W51+W52/60+W53/3600),180+(W51+W52/60+W53/3600))))))</f>
        <v/>
      </c>
      <c r="X55" s="426" t="inlineStr">
        <is>
          <t>dec. deg.</t>
        </is>
      </c>
      <c r="AA55" s="689" t="n"/>
      <c r="AB55" s="689" t="n"/>
      <c r="AD55" s="319" t="n">
        <v>4</v>
      </c>
      <c r="AE55" s="306">
        <f>IF($AD55=AE$48,-($Q$30/$AV$28-$BZ$19+($Q$31/$BX$28+$CA$19)*$AV$19/$AW$19)/(1-$AV$19/$AW$19*$BY$19/$BX$19)-$BZ$19,"")</f>
        <v/>
      </c>
      <c r="AF55" s="287">
        <f>IF($AD55=AE$48,-($Q$31/$BX$28+$CA$19+($Q$30/$AV$28-$BZ$19)*$BY$19/$BX$19)/(1-$AV$19/$AW$19*$BY$19/$BX$19),"")</f>
        <v/>
      </c>
      <c r="AG55" s="420">
        <f>IF($AD55=AG$48,-($G$30/$AZ$28-$BD$19-$BB$19-($G$31/$BF$28-$BC$19-$BE$19)*$AZ$19/$BA$19)/(1-$AZ$19/$BA$19*$BG$19/$BF$19)-$BD$19,"")</f>
        <v/>
      </c>
      <c r="AH55" s="420">
        <f>IF($AD55=AG$48,($G$31/$BF$28-$BC$19-$BE$19-($G$30/$AZ$28-$BD$19-$BB$19)*$BG$19/$BF$19)/(1-$AZ$19/$BA$19*$BG$19/$BF$19)+$BC$19,"")</f>
        <v/>
      </c>
      <c r="AI55" s="306">
        <f>IF($AD55=AI$48,($G$46/$BN$28+$BL$19+($G$47/$BJ$28-$BM$19)*$BN$19/$BO$19)/(1-$BK$19/$BJ$19*$BN$19/$BO$19),"")</f>
        <v/>
      </c>
      <c r="AJ55" s="287">
        <f>IF($AD55=AI$48,($G$47/$BJ$28-$BM$19+($G$46/$BN$28+$BL$19)*$BK$19/$BJ$19)/(1-$BK$19/$BJ$19*$BN$19/$BO$19)+$BM$19,"")</f>
        <v/>
      </c>
      <c r="AK55" s="306">
        <f>IF($AD55=AK$48,($Q$46/$BR$28-$Q$47/$BT$28*$BR$19/$BS$19)/(1-$BU$19/$BT$19*$BR$19/$BS$19),"")</f>
        <v/>
      </c>
      <c r="AL55" s="287">
        <f>IF($AD55=AK$48,-($Q$47/$BT$28-$Q$46/$BR$28*$BU$19/$BT$19)/(1-$BU$19/$BT$19*$BR$19/$BS$19),"")</f>
        <v/>
      </c>
      <c r="AW55" s="693" t="n">
        <v>1</v>
      </c>
      <c r="AX55" s="693" t="n">
        <v>2</v>
      </c>
      <c r="AY55" s="693" t="n">
        <v>3</v>
      </c>
      <c r="AZ55" s="693" t="n">
        <v>4</v>
      </c>
      <c r="BG55" s="293" t="n">
        <v>19</v>
      </c>
      <c r="BH55" s="293" t="n">
        <v>18</v>
      </c>
      <c r="BI55" s="293" t="n">
        <v>17</v>
      </c>
      <c r="BJ55" s="293" t="n">
        <v>20</v>
      </c>
      <c r="BK55" s="293" t="n">
        <v>29</v>
      </c>
      <c r="BL55" s="293" t="n">
        <v>30</v>
      </c>
      <c r="BM55" s="293" t="n">
        <v>25</v>
      </c>
      <c r="BN55" s="293" t="n">
        <v>24</v>
      </c>
      <c r="BO55" s="293" t="n">
        <v>13</v>
      </c>
      <c r="BZ55" s="693" t="n"/>
      <c r="CA55" s="693" t="n"/>
    </row>
    <row r="56" ht="12" customHeight="1" s="613" thickBot="1">
      <c r="B56" s="670">
        <f>CONCATENATE("SW SC of ",$L$38)</f>
        <v/>
      </c>
      <c r="L56" s="669">
        <f>CONCATENATE("S QC of ",$L$38)</f>
        <v/>
      </c>
      <c r="M56" s="653" t="n"/>
      <c r="V56" s="684">
        <f>CONCATENATE("SE SC of ",$L$38)</f>
        <v/>
      </c>
      <c r="AA56" s="689" t="n"/>
      <c r="AB56" s="689" t="n"/>
      <c r="AE56" s="291" t="n"/>
      <c r="AF56" s="290" t="n"/>
      <c r="AG56" s="292" t="n"/>
      <c r="AH56" s="292" t="n"/>
      <c r="AI56" s="291" t="n"/>
      <c r="AJ56" s="290" t="n"/>
      <c r="AK56" s="291" t="n"/>
      <c r="AL56" s="290" t="n"/>
      <c r="AV56" s="693" t="n">
        <v>1</v>
      </c>
      <c r="AW56" s="293" t="inlineStr">
        <is>
          <t>NE-NE</t>
        </is>
      </c>
      <c r="AX56" s="293" t="inlineStr">
        <is>
          <t>NE-NW</t>
        </is>
      </c>
      <c r="AY56" s="293" t="inlineStr">
        <is>
          <t>NE-SW</t>
        </is>
      </c>
      <c r="AZ56" s="293" t="inlineStr">
        <is>
          <t>NE-SE</t>
        </is>
      </c>
      <c r="BG56" s="293" t="n">
        <v>20</v>
      </c>
      <c r="BH56" s="293" t="n">
        <v>17</v>
      </c>
      <c r="BI56" s="293" t="n">
        <v>16</v>
      </c>
      <c r="BJ56" s="293" t="n">
        <v>21</v>
      </c>
      <c r="BK56" s="293" t="n">
        <v>28</v>
      </c>
      <c r="BL56" s="293" t="n">
        <v>29</v>
      </c>
      <c r="BM56" s="293" t="n">
        <v>30</v>
      </c>
      <c r="BN56" s="293" t="n">
        <v>19</v>
      </c>
      <c r="BO56" s="293" t="n">
        <v>18</v>
      </c>
      <c r="BZ56" s="693" t="n"/>
      <c r="CA56" s="693" t="n"/>
    </row>
    <row r="57" ht="12" customHeight="1" s="613">
      <c r="D57" s="429" t="inlineStr">
        <is>
          <t>dist.</t>
        </is>
      </c>
      <c r="E57" s="302">
        <f>IF(NOT(ISBLANK(F57)),F57,DGET('Grid Numbers'!$A$2:$L$4952,'Grid Numbers'!$H$2,$L$74:$R$75))</f>
        <v/>
      </c>
      <c r="F57" s="504" t="n"/>
      <c r="H57" s="299" t="n"/>
      <c r="I57" s="299" t="n"/>
      <c r="J57" s="429" t="inlineStr">
        <is>
          <t>dist.</t>
        </is>
      </c>
      <c r="K57" s="303">
        <f>IF(NOT(ISBLANK(L57)),L57,DGET('Grid Numbers'!$A$2:$L$4952,'Grid Numbers'!$H$2,$L$76:$R$77))</f>
        <v/>
      </c>
      <c r="L57" s="504" t="n"/>
      <c r="N57" s="429" t="inlineStr">
        <is>
          <t>dist.</t>
        </is>
      </c>
      <c r="O57" s="302">
        <f>IF(NOT(ISBLANK(P57)),P57,DGET('Grid Numbers'!$A$2:$L$4952,'Grid Numbers'!$H$2,$L$78:$R$79))</f>
        <v/>
      </c>
      <c r="P57" s="504" t="n"/>
      <c r="Q57" s="299" t="n"/>
      <c r="R57" s="299" t="n"/>
      <c r="T57" s="429" t="inlineStr">
        <is>
          <t>dist.</t>
        </is>
      </c>
      <c r="U57" s="301">
        <f>IF(NOT(ISBLANK(V57)),V57,DGET('Grid Numbers'!$A$2:$L$4952,'Grid Numbers'!$H$2,$L$80:$R$81))</f>
        <v/>
      </c>
      <c r="V57" s="504" t="n"/>
      <c r="AA57" s="689" t="n"/>
      <c r="AB57" s="689" t="n"/>
      <c r="AE57" s="674" t="inlineStr">
        <is>
          <t>BHL1 Qtr-Qtr Logic</t>
        </is>
      </c>
      <c r="AF57" s="675" t="n"/>
      <c r="AG57" s="676" t="inlineStr">
        <is>
          <t>BHL1 Qtr-Qtr Logic</t>
        </is>
      </c>
      <c r="AH57" s="677" t="n"/>
      <c r="AI57" s="674" t="inlineStr">
        <is>
          <t>BHL1 Qtr-Qtr Logic</t>
        </is>
      </c>
      <c r="AJ57" s="675" t="n"/>
      <c r="AK57" s="674" t="inlineStr">
        <is>
          <t>BHL1 Qtr-Qtr Logic</t>
        </is>
      </c>
      <c r="AL57" s="675" t="n"/>
      <c r="AV57" s="693" t="n">
        <v>2</v>
      </c>
      <c r="AW57" s="293" t="inlineStr">
        <is>
          <t>NW-NE</t>
        </is>
      </c>
      <c r="AX57" s="293" t="inlineStr">
        <is>
          <t>NW-NW</t>
        </is>
      </c>
      <c r="AY57" s="293" t="inlineStr">
        <is>
          <t>NW-SW</t>
        </is>
      </c>
      <c r="AZ57" s="293" t="inlineStr">
        <is>
          <t>NW-SE</t>
        </is>
      </c>
      <c r="BG57" s="293" t="n">
        <v>21</v>
      </c>
      <c r="BH57" s="293" t="n">
        <v>16</v>
      </c>
      <c r="BI57" s="293" t="n">
        <v>15</v>
      </c>
      <c r="BJ57" s="293" t="n">
        <v>22</v>
      </c>
      <c r="BK57" s="293" t="n">
        <v>27</v>
      </c>
      <c r="BL57" s="293" t="n">
        <v>28</v>
      </c>
      <c r="BM57" s="293" t="n">
        <v>29</v>
      </c>
      <c r="BN57" s="293" t="n">
        <v>20</v>
      </c>
      <c r="BO57" s="293" t="n">
        <v>17</v>
      </c>
      <c r="BZ57" s="693" t="n"/>
      <c r="CA57" s="693" t="n"/>
    </row>
    <row r="58" ht="12" customHeight="1" s="613">
      <c r="D58" s="429" t="inlineStr">
        <is>
          <t>deg.</t>
        </is>
      </c>
      <c r="E58" s="295">
        <f>IF(NOT(ISBLANK(F58)),F58,DGET('Grid Numbers'!$A$2:$L$4952,'Grid Numbers'!$I$2,$L$74:$R$75))</f>
        <v/>
      </c>
      <c r="F58" s="504" t="n"/>
      <c r="J58" s="429" t="inlineStr">
        <is>
          <t>deg.</t>
        </is>
      </c>
      <c r="K58" s="296">
        <f>IF(NOT(ISBLANK(L58)),L58,DGET('Grid Numbers'!$A$2:$L$4952,'Grid Numbers'!$I$2,$L$76:$R$77))</f>
        <v/>
      </c>
      <c r="L58" s="504" t="n"/>
      <c r="N58" s="429" t="inlineStr">
        <is>
          <t>deg.</t>
        </is>
      </c>
      <c r="O58" s="295">
        <f>IF(NOT(ISBLANK(P58)),P58,DGET('Grid Numbers'!$A$2:$L$4952,'Grid Numbers'!$I$2,$L$78:$R$79))</f>
        <v/>
      </c>
      <c r="P58" s="504" t="n"/>
      <c r="T58" s="429" t="inlineStr">
        <is>
          <t>deg.</t>
        </is>
      </c>
      <c r="U58" s="295">
        <f>IF(NOT(ISBLANK(V58)),V58,DGET('Grid Numbers'!$A$2:$L$4952,'Grid Numbers'!$I$2,$L$80:$R$81))</f>
        <v/>
      </c>
      <c r="V58" s="504" t="n"/>
      <c r="AA58" s="689" t="n"/>
      <c r="AB58" s="689" t="n"/>
      <c r="AE58" s="671">
        <f>IF($AE$30="","",IF(AND((-$AE$30+$AF$30*$AV$19/$AW$19)&gt;0,-$AE$30&lt;$BZ$19,(-$AF$30+$AE$30*$CA$19/$BZ$19)&gt;0,-$AF$30&lt;$AW$19),1,IF(AND((-$AE$30-$AV$19+($AF$30+$AW$19)*$AX$19/$AY$19)&gt;0,-$AE$30&lt;$BZ$19,-$AF$30&gt;$AW$19,-$AF$30&lt;$AX$22),2,IF(AND(-$AE$30&lt;$BY$22,-$AE$30&gt;$BZ$19,-$AF$30&gt;$AW$19,-$AF$30&lt;$AX$22),3,IF(AND(-$AE$30&lt;$BY$22,-$AE$30&gt;$BZ$19,(-$AF$30-$CA$19-(-$AE$30-$BZ$19)*$BY$19/$BX$19)&gt;0,-$AF$30&lt;$AW$19),4,"")))))</f>
        <v/>
      </c>
      <c r="AF58" s="617" t="n"/>
      <c r="AG58" s="671">
        <f>IF($AG$30="","",IF(AND((-$AG$30+$BB$19+($AH$30-$BC$19)*$AZ$19/$BA$19)&gt;0,-$AG$30&lt;$BD$19,$AH$30&gt;$BC$19,$AH$30&lt;$BB$22),1,IF(AND((-$AG$30+$AH$30*$BB$19/$BC$19)&gt;0,-$AG$30&lt;$BD$19,($AH$30-$AG$30*$BE$19/$BD$19)&gt;0,$AH$30&lt;$BC$19),2,IF(AND(-$AG$30&gt;$BD$19,-$AG$30&lt;$BE$22,($AH$30+$BE$19+(-$AG$30-$BD$19)*$BG$19/$BF$19)&gt;0,$AH$30&lt;$BC$19),3,IF(AND(-$AG$30&gt;$BD$19,-$AG$30&lt;$BE$22,$AH$30&gt;$BC$19,$AH$30&lt;$BB$22),4,"")))))</f>
        <v/>
      </c>
      <c r="AH58" s="617" t="n"/>
      <c r="AI58" s="671">
        <f>IF($AI$30="","",IF(AND($AI$30&gt;$BJ$19,$AI$30&lt;$BI$22,$AJ$30&gt;$BM$19,$AJ$30&lt;$BN$22),1,IF(AND($AI$30&gt;$BJ$19,$AI$30&lt;$BI$22,($AJ$30-$BK$19-($AI$30-$BJ$19)*$BI$19/$BH$19)&gt;0,$AJ$30&lt;$BM$19),2,IF(AND(($AI$30-$AJ$30*$BL$19/$BM$19)&gt;0,$AI$30&lt;$BJ$19,($AJ$30-$AI$30*$BK$19/$BJ$19)&gt;0,$AJ$30&lt;$BM$19),3,IF(AND(($AI$30-$BL$19-($AJ$30-$BM$19)*$BN$19/$BO$19)&gt;0,$AI$30&lt;$BJ$19,$AJ$30&gt;$BM$19,$AJ$30&lt;$BN$22),4,"")))))</f>
        <v/>
      </c>
      <c r="AJ58" s="617" t="n"/>
      <c r="AK58" s="671">
        <f>IF($AK$30="","",IF(AND($AK$30&gt;$BT$19,$AK$30&lt;$BU$22,(-$AL$30+$BU$19+($AK$30-$BT$19)*$BW$19/$BV$19)&gt;0,-$AL$30&lt;$BS$19),1,IF(AND($AK$30&gt;$BT$19,$AK$30&lt;$BU$22,-$AL$30&gt;$BS$19,-$AL$30&lt;$BR$22),2,IF(AND(($AK$30+$BR$19+(-$AL$30-$BS$19)*$BP$19/$BQ$19)&gt;0,$AK$30&lt;$BT$19,-$AL$30&gt;$BS$19,-$AL$30&lt;$BR$22),3,IF(AND(($AK$30-$AL$30*$BR$19/$BS$19)&gt;0,$AK$30&lt;$BT$19,(-$AL$30+$AK$30*$BU$19/$BT$19)&gt;0,-$AL$30&lt;$BS$19),4,"")))))</f>
        <v/>
      </c>
      <c r="AL58" s="617" t="n"/>
      <c r="AV58" s="693" t="n">
        <v>3</v>
      </c>
      <c r="AW58" s="293" t="inlineStr">
        <is>
          <t>SW-NE</t>
        </is>
      </c>
      <c r="AX58" s="293" t="inlineStr">
        <is>
          <t>SW-NW</t>
        </is>
      </c>
      <c r="AY58" s="293" t="inlineStr">
        <is>
          <t>SW-SW</t>
        </is>
      </c>
      <c r="AZ58" s="293" t="inlineStr">
        <is>
          <t>SW-SE</t>
        </is>
      </c>
      <c r="BG58" s="293" t="n">
        <v>22</v>
      </c>
      <c r="BH58" s="293" t="n">
        <v>15</v>
      </c>
      <c r="BI58" s="293" t="n">
        <v>14</v>
      </c>
      <c r="BJ58" s="293" t="n">
        <v>23</v>
      </c>
      <c r="BK58" s="293" t="n">
        <v>26</v>
      </c>
      <c r="BL58" s="293" t="n">
        <v>27</v>
      </c>
      <c r="BM58" s="293" t="n">
        <v>28</v>
      </c>
      <c r="BN58" s="293" t="n">
        <v>21</v>
      </c>
      <c r="BO58" s="293" t="n">
        <v>16</v>
      </c>
      <c r="BZ58" s="693" t="n"/>
      <c r="CA58" s="693" t="n"/>
    </row>
    <row r="59" ht="12" customHeight="1" s="613">
      <c r="D59" s="429" t="inlineStr">
        <is>
          <t>min.</t>
        </is>
      </c>
      <c r="E59" s="295">
        <f>IF(NOT(ISBLANK(F59)),F59,DGET('Grid Numbers'!$A$2:$L$4952,'Grid Numbers'!$J$2,$L$74:$R$75))</f>
        <v/>
      </c>
      <c r="F59" s="504" t="n"/>
      <c r="J59" s="429" t="inlineStr">
        <is>
          <t>min.</t>
        </is>
      </c>
      <c r="K59" s="296">
        <f>IF(NOT(ISBLANK(L59)),L59,DGET('Grid Numbers'!$A$2:$L$4952,'Grid Numbers'!$J$2,$L$76:$R$77))</f>
        <v/>
      </c>
      <c r="L59" s="504" t="n"/>
      <c r="N59" s="429" t="inlineStr">
        <is>
          <t>min.</t>
        </is>
      </c>
      <c r="O59" s="295">
        <f>IF(NOT(ISBLANK(P59)),P59,DGET('Grid Numbers'!$A$2:$L$4952,'Grid Numbers'!$J$2,$L$78:$R$79))</f>
        <v/>
      </c>
      <c r="P59" s="504" t="n"/>
      <c r="T59" s="429" t="inlineStr">
        <is>
          <t>min.</t>
        </is>
      </c>
      <c r="U59" s="295">
        <f>IF(NOT(ISBLANK(V59)),V59,DGET('Grid Numbers'!$A$2:$L$4952,'Grid Numbers'!$J$2,$L$80:$R$81))</f>
        <v/>
      </c>
      <c r="V59" s="504" t="n"/>
      <c r="AA59" s="689" t="n"/>
      <c r="AB59" s="689" t="n"/>
      <c r="AE59" s="291" t="n"/>
      <c r="AF59" s="290" t="n"/>
      <c r="AG59" s="292" t="n"/>
      <c r="AH59" s="292" t="n"/>
      <c r="AI59" s="291" t="n"/>
      <c r="AJ59" s="290" t="n"/>
      <c r="AK59" s="291" t="n"/>
      <c r="AL59" s="290" t="n"/>
      <c r="AV59" s="693" t="n">
        <v>4</v>
      </c>
      <c r="AW59" s="293" t="inlineStr">
        <is>
          <t>SE-NE</t>
        </is>
      </c>
      <c r="AX59" s="293" t="inlineStr">
        <is>
          <t>SE-NW</t>
        </is>
      </c>
      <c r="AY59" s="293" t="inlineStr">
        <is>
          <t>SE-SW</t>
        </is>
      </c>
      <c r="AZ59" s="293" t="inlineStr">
        <is>
          <t>SE-SE</t>
        </is>
      </c>
      <c r="BG59" s="293" t="n">
        <v>23</v>
      </c>
      <c r="BH59" s="293" t="n">
        <v>14</v>
      </c>
      <c r="BI59" s="293" t="n">
        <v>13</v>
      </c>
      <c r="BJ59" s="293" t="n">
        <v>24</v>
      </c>
      <c r="BK59" s="293" t="n">
        <v>25</v>
      </c>
      <c r="BL59" s="293" t="n">
        <v>26</v>
      </c>
      <c r="BM59" s="293" t="n">
        <v>27</v>
      </c>
      <c r="BN59" s="293" t="n">
        <v>22</v>
      </c>
      <c r="BO59" s="293" t="n">
        <v>15</v>
      </c>
      <c r="BZ59" s="693" t="n"/>
      <c r="CA59" s="693" t="n"/>
    </row>
    <row r="60" ht="12" customHeight="1" s="613">
      <c r="D60" s="429" t="inlineStr">
        <is>
          <t>sec.</t>
        </is>
      </c>
      <c r="E60" s="295">
        <f>IF(NOT(ISBLANK(F60)),F60,DGET('Grid Numbers'!$A$2:$L$4952,'Grid Numbers'!$K$2,$L$74:$R$75))</f>
        <v/>
      </c>
      <c r="F60" s="505" t="n"/>
      <c r="J60" s="429" t="inlineStr">
        <is>
          <t>sec.</t>
        </is>
      </c>
      <c r="K60" s="296">
        <f>IF(NOT(ISBLANK(L60)),L60,DGET('Grid Numbers'!$A$2:$L$4952,'Grid Numbers'!$K$2,$L$76:$R$77))</f>
        <v/>
      </c>
      <c r="L60" s="505" t="n"/>
      <c r="N60" s="429" t="inlineStr">
        <is>
          <t>sec.</t>
        </is>
      </c>
      <c r="O60" s="295">
        <f>IF(NOT(ISBLANK(P60)),P60,DGET('Grid Numbers'!$A$2:$L$4952,'Grid Numbers'!$K$2,$L$78:$R$79))</f>
        <v/>
      </c>
      <c r="P60" s="505" t="n"/>
      <c r="T60" s="429" t="inlineStr">
        <is>
          <t>sec.</t>
        </is>
      </c>
      <c r="U60" s="295">
        <f>IF(NOT(ISBLANK(V60)),V60,DGET('Grid Numbers'!$A$2:$L$4952,'Grid Numbers'!$K$2,$L$80:$R$81))</f>
        <v/>
      </c>
      <c r="V60" s="505" t="n"/>
      <c r="AA60" s="689" t="n"/>
      <c r="AB60" s="689" t="n"/>
      <c r="AE60" s="674" t="inlineStr">
        <is>
          <t>BHL1 NE Line Calc</t>
        </is>
      </c>
      <c r="AF60" s="675" t="n"/>
      <c r="AG60" s="674" t="inlineStr">
        <is>
          <t>BHL1 NW Line Calc</t>
        </is>
      </c>
      <c r="AH60" s="675" t="n"/>
      <c r="AI60" s="674" t="inlineStr">
        <is>
          <t>BHL1 SW Line Calc</t>
        </is>
      </c>
      <c r="AJ60" s="675" t="n"/>
      <c r="AK60" s="674" t="inlineStr">
        <is>
          <t>BHL1 SE Line Calc</t>
        </is>
      </c>
      <c r="AL60" s="675" t="n"/>
      <c r="BG60" s="293" t="n">
        <v>24</v>
      </c>
      <c r="BH60" s="293" t="n">
        <v>13</v>
      </c>
      <c r="BI60" s="293" t="n">
        <v>18</v>
      </c>
      <c r="BJ60" s="293" t="n">
        <v>19</v>
      </c>
      <c r="BK60" s="293" t="n">
        <v>30</v>
      </c>
      <c r="BL60" s="293" t="n">
        <v>25</v>
      </c>
      <c r="BM60" s="293" t="n">
        <v>26</v>
      </c>
      <c r="BN60" s="293" t="n">
        <v>23</v>
      </c>
      <c r="BO60" s="293" t="n">
        <v>14</v>
      </c>
      <c r="BZ60" s="693" t="n"/>
      <c r="CA60" s="693" t="n"/>
    </row>
    <row r="61" ht="12" customHeight="1" s="613">
      <c r="D61" s="429" t="inlineStr">
        <is>
          <t>dir.</t>
        </is>
      </c>
      <c r="E61" s="321">
        <f>IF(NOT(ISBLANK(F61)),F61,DGET('Grid Numbers'!$A$2:$L$4952,'Grid Numbers'!$L$2,$L$74:$R$75))</f>
        <v/>
      </c>
      <c r="F61" s="508" t="n"/>
      <c r="J61" s="429" t="inlineStr">
        <is>
          <t>dir.</t>
        </is>
      </c>
      <c r="K61" s="321">
        <f>IF(NOT(ISBLANK(L61)),L61,DGET('Grid Numbers'!$A$2:$L$4952,'Grid Numbers'!$L$2,$L$76:$R$77))</f>
        <v/>
      </c>
      <c r="L61" s="508" t="n"/>
      <c r="N61" s="429" t="inlineStr">
        <is>
          <t>dir.</t>
        </is>
      </c>
      <c r="O61" s="321">
        <f>IF(NOT(ISBLANK(P61)),P61,DGET('Grid Numbers'!$A$2:$L$4952,'Grid Numbers'!$L$2,$L$78:$R$79))</f>
        <v/>
      </c>
      <c r="P61" s="508" t="n"/>
      <c r="T61" s="429" t="inlineStr">
        <is>
          <t>dir.</t>
        </is>
      </c>
      <c r="U61" s="321">
        <f>IF(NOT(ISBLANK(V61)),V61,DGET('Grid Numbers'!$A$2:$L$4952,'Grid Numbers'!$L$2,$L$80:$R$81))</f>
        <v/>
      </c>
      <c r="V61" s="508" t="n"/>
      <c r="AA61" s="689" t="n"/>
      <c r="AB61" s="689" t="n"/>
      <c r="AD61" s="470" t="inlineStr">
        <is>
          <t>Qtr-Qtr</t>
        </is>
      </c>
      <c r="AE61" s="671" t="inlineStr">
        <is>
          <t>FNL</t>
        </is>
      </c>
      <c r="AF61" s="671" t="inlineStr">
        <is>
          <t>FEL</t>
        </is>
      </c>
      <c r="AG61" s="468" t="inlineStr">
        <is>
          <t>FNL</t>
        </is>
      </c>
      <c r="AH61" s="467" t="inlineStr">
        <is>
          <t>FWL</t>
        </is>
      </c>
      <c r="AI61" s="671" t="inlineStr">
        <is>
          <t>FSL</t>
        </is>
      </c>
      <c r="AJ61" s="671" t="inlineStr">
        <is>
          <t>FWL</t>
        </is>
      </c>
      <c r="AK61" s="671" t="inlineStr">
        <is>
          <t>FSL</t>
        </is>
      </c>
      <c r="AL61" s="671" t="inlineStr">
        <is>
          <t>FEL</t>
        </is>
      </c>
      <c r="AN61" s="693" t="inlineStr">
        <is>
          <t>Calc w/o perpendicular correction</t>
        </is>
      </c>
      <c r="AW61" s="294">
        <f>VLOOKUP(MAX($AE$48:$AL$48),$AV$56:$AZ$59,MAX($AE$48:$AL$48)+1,FALSE)</f>
        <v/>
      </c>
      <c r="BG61" s="293" t="n">
        <v>25</v>
      </c>
      <c r="BH61" s="293" t="n">
        <v>24</v>
      </c>
      <c r="BI61" s="293" t="n">
        <v>19</v>
      </c>
      <c r="BJ61" s="293" t="n">
        <v>30</v>
      </c>
      <c r="BK61" s="293" t="n">
        <v>31</v>
      </c>
      <c r="BL61" s="293" t="n">
        <v>36</v>
      </c>
      <c r="BM61" s="293" t="n">
        <v>35</v>
      </c>
      <c r="BN61" s="293" t="n">
        <v>26</v>
      </c>
      <c r="BO61" s="293" t="n">
        <v>23</v>
      </c>
      <c r="BZ61" s="693" t="n"/>
      <c r="CA61" s="693" t="n"/>
    </row>
    <row r="62" ht="12" customHeight="1" s="613">
      <c r="D62" s="429" t="inlineStr">
        <is>
          <t>dec. deg.</t>
        </is>
      </c>
      <c r="E62" s="770">
        <f>IF(AND($L$38='SHL Section'!$BE$50,MAX('SHL Section'!$BF$37:$BF$40)=2),'SHL Section'!$E$23,IF(AND($L$38='SHL Section'!$BE$53,MAX('SHL Section'!$BF$41:$BF$44)=2),'SHL Section'!$E$23,IF(AND($L$38='SHL Section'!$BE$56,MAX('SHL Section'!$BF$45:$BF$48)=2),'SHL Section'!$E$23,IF(E58="","",IF(OR(E61=1,E61=4),180-(E58+E59/60+E60/3600),(E58+E59/60+E60/3600))))))</f>
        <v/>
      </c>
      <c r="J62" s="429" t="inlineStr">
        <is>
          <t>dec. deg.</t>
        </is>
      </c>
      <c r="K62" s="770">
        <f>IF(AND($L$38='SHL Section'!$BE$50,MAX('SHL Section'!$BF$37:$BF$40)=2),'SHL Section'!$K$23,IF(AND($L$38='SHL Section'!$BE$53,MAX('SHL Section'!$BF$41:$BF$44)=2),'SHL Section'!$K$23,IF(AND($L$38='SHL Section'!$BE$56,MAX('SHL Section'!$BF$45:$BF$48)=2),'SHL Section'!$K$23,IF(K58="","",IF(OR(K61=1,K61=4),180-(K58+K59/60+K60/3600),(K58+K59/60+K60/3600))))))</f>
        <v/>
      </c>
      <c r="L62" s="449" t="n"/>
      <c r="M62" s="449" t="n"/>
      <c r="N62" s="429" t="inlineStr">
        <is>
          <t>dec. deg.</t>
        </is>
      </c>
      <c r="O62" s="770">
        <f>IF(AND($L$38='SHL Section'!$BE$50,MAX('SHL Section'!$BF$37:$BF$40)=2),'SHL Section'!$O$23,IF(AND($L$38='SHL Section'!$BE$53,MAX('SHL Section'!$BF$41:$BF$44)=2),'SHL Section'!$O$23,IF(AND($L$38='SHL Section'!$BE$56,MAX('SHL Section'!$BF$45:$BF$48)=2),'SHL Section'!$O$23,IF(O58="","",IF(OR(O61=1,O61=4),180-(O58+O59/60+O60/3600),(O58+O59/60+O60/3600))))))</f>
        <v/>
      </c>
      <c r="T62" s="429" t="inlineStr">
        <is>
          <t>dec. deg.</t>
        </is>
      </c>
      <c r="U62" s="771">
        <f>IF(AND($L$38='SHL Section'!$BE$50,MAX('SHL Section'!$BF$37:$BF$40)=2),'SHL Section'!$U$23,IF(AND($L$38='SHL Section'!$BE$53,MAX('SHL Section'!$BF$41:$BF$44)=2),'SHL Section'!$U$23,IF(AND($L$38='SHL Section'!$BE$56,MAX('SHL Section'!$BF$45:$BF$48)=2),'SHL Section'!$U$23,IF(U58="","",IF(OR(U61=1,U61=4),180-(U58+U59/60+U60/3600),(U58+U59/60+U60/3600))))))</f>
        <v/>
      </c>
      <c r="AA62" s="689" t="n"/>
      <c r="AB62" s="689" t="n"/>
      <c r="AD62" s="319" t="n">
        <v>1</v>
      </c>
      <c r="AE62" s="306">
        <f>IF($AD62=AE$58,(-$AE$30+$AF$30*$AV$19/$AW$19)*$AV$28,"")</f>
        <v/>
      </c>
      <c r="AF62" s="287">
        <f>IF($AD62=AE$58,(-$AF$30+$AE$30*$CA$19/$BZ$19)*$BZ$28,"")</f>
        <v/>
      </c>
      <c r="AG62" s="306">
        <f>IF($AD62=AG$58,(-$AG$30+$BB$19+($AH$30-$BC$19)*$AZ$19/$BA$19)*$AZ$28,"")</f>
        <v/>
      </c>
      <c r="AH62" s="287">
        <f>IF($AD62=AG$58,($AH$30-$AG$30*$BE$19/$BD$19)*$BD$28,"")</f>
        <v/>
      </c>
      <c r="AI62" s="306">
        <f>IF($AD62=AI$58,($AI$30-$BL$19-($AJ$30-$BM$19)*$BN$19/$BO$19)*$BN$28,"")</f>
        <v/>
      </c>
      <c r="AJ62" s="287">
        <f>IF($AD62=AI$58,($AJ$30-$BK$19-($AI$30-$BJ$19)*$BI$19/$BH$19)*$BH$28,"")</f>
        <v/>
      </c>
      <c r="AK62" s="306">
        <f>IF($AD62=AK$58,($AK$30-$AL$30*$BR$19/$BS$19)*$BR$28,"")</f>
        <v/>
      </c>
      <c r="AL62" s="287">
        <f>IF($AD62=AK$58,(-$AL$30+$BU$19+($AK$30-$BT$19)*$BW$19/$BV$19)*$BV$28,"")</f>
        <v/>
      </c>
      <c r="AN62" s="289">
        <f>IF(ISNUMBER($AE$30),(-$AE$30+$AF$30*$AV$19/$AW$19),"")</f>
        <v/>
      </c>
      <c r="AO62" s="288">
        <f>IF(ISNUMBER($AF$30),(-$AF$30+$AE$30*$CA$19/$BZ$19),"")</f>
        <v/>
      </c>
      <c r="AP62" s="289">
        <f>IF(ISNUMBER($AG$30),(-$AG$30+$BB$19+($AH$30-$BC$19)*$AZ$19/$BA$19),"")</f>
        <v/>
      </c>
      <c r="AQ62" s="288">
        <f>IF(ISNUMBER($AH$30),($AH$30-$AG$30*$BE$19/$BD$19),"")</f>
        <v/>
      </c>
      <c r="AR62" s="289">
        <f>IF(ISNUMBER($AI$30),($AI$30-$BL$19-($AJ$30-$BM$19)*$BN$19/$BO$19),"")</f>
        <v/>
      </c>
      <c r="AS62" s="288">
        <f>IF(ISNUMBER($AJ$30),($AJ$30-$BK$19-($AI$30-$BJ$19)*$BI$19/$BH$19),"")</f>
        <v/>
      </c>
      <c r="AT62" s="289">
        <f>IF(ISNUMBER($AK$30),($AK$30-$AL$30*$BR$19/$BS$19),"")</f>
        <v/>
      </c>
      <c r="AU62" s="288">
        <f>IF(ISNUMBER($AL$30),(-$AL$30+$BU$19+($AK$30-$BT$19)*$BW$19/$BV$19),"")</f>
        <v/>
      </c>
      <c r="AW62" s="420" t="n"/>
      <c r="AX62" s="420" t="n"/>
      <c r="AY62" s="420" t="n"/>
      <c r="AZ62" s="420" t="n"/>
      <c r="BG62" s="293" t="n">
        <v>26</v>
      </c>
      <c r="BH62" s="293" t="n">
        <v>23</v>
      </c>
      <c r="BI62" s="293" t="n">
        <v>24</v>
      </c>
      <c r="BJ62" s="293" t="n">
        <v>25</v>
      </c>
      <c r="BK62" s="293" t="n">
        <v>36</v>
      </c>
      <c r="BL62" s="293" t="n">
        <v>35</v>
      </c>
      <c r="BM62" s="293" t="n">
        <v>34</v>
      </c>
      <c r="BN62" s="293" t="n">
        <v>27</v>
      </c>
      <c r="BO62" s="293" t="n">
        <v>22</v>
      </c>
      <c r="BZ62" s="693" t="n"/>
      <c r="CA62" s="693" t="n"/>
    </row>
    <row r="63" ht="12" customHeight="1" s="613">
      <c r="E63" s="420">
        <f>IF(AND($L$38='SHL Section'!$BE$52,MAX('BHL Section 2'!$BF$37:$BF$40)=2),'BHL Section 2'!$E$17,IF(AND($L$38='SHL Section'!$BE$55,MAX('BHL Section 2'!$BF$41:$BF$44)=2),'BHL Section 2'!$E$17,IF(AND($L$38='SHL Section'!$BE$58,MAX('BHL Section 2'!$BF$45:$BF$48)=2),'BHL Section 2'!$E$17,E57)))</f>
        <v/>
      </c>
      <c r="F63" s="449" t="n"/>
      <c r="G63" s="449" t="n"/>
      <c r="H63" s="449" t="n"/>
      <c r="I63" s="449" t="n"/>
      <c r="J63" s="449" t="n"/>
      <c r="K63" s="420">
        <f>IF(AND($L$38='SHL Section'!$BE$52,MAX('BHL Section 2'!$BF$37:$BF$40)=2),'BHL Section 2'!$K$17,IF(AND($L$38='SHL Section'!$BE$55,MAX('BHL Section 2'!$BF$41:$BF$44)=2),'BHL Section 2'!$K$17,IF(AND($L$38='SHL Section'!$BE$58,MAX('BHL Section 2'!$BF$45:$BF$48)=2),'BHL Section 2'!$K$17,K57)))</f>
        <v/>
      </c>
      <c r="N63" s="449" t="n"/>
      <c r="O63" s="420">
        <f>IF(AND($L$38='SHL Section'!$BE$52,MAX('BHL Section 2'!$BF$37:$BF$40)=2),'BHL Section 2'!$O$17,IF(AND($L$38='SHL Section'!$BE$55,MAX('BHL Section 2'!$BF$41:$BF$44)=2),'BHL Section 2'!$O$17,IF(AND($L$38='SHL Section'!$BE$58,MAX('BHL Section 2'!$BF$45:$BF$48)=2),'BHL Section 2'!$O$17,O57)))</f>
        <v/>
      </c>
      <c r="P63" s="449" t="n"/>
      <c r="Q63" s="449" t="n"/>
      <c r="R63" s="449" t="n"/>
      <c r="S63" s="449" t="n"/>
      <c r="T63" s="449" t="n"/>
      <c r="U63" s="420">
        <f>IF(AND($L$38='SHL Section'!$BE$52,MAX('BHL Section 2'!$BF$37:$BF$40)=2),'BHL Section 2'!$U$17,IF(AND($L$38='SHL Section'!$BE$55,MAX('BHL Section 2'!$BF$41:$BF$44)=2),'BHL Section 2'!$U$17,IF(AND($L$38='SHL Section'!$BE$58,MAX('BHL Section 2'!$BF$45:$BF$48)=2),'BHL Section 2'!$U$17,'BHL Section 3'!U57)))</f>
        <v/>
      </c>
      <c r="AA63" s="689" t="n"/>
      <c r="AB63" s="689" t="n"/>
      <c r="AD63" s="319" t="n">
        <v>2</v>
      </c>
      <c r="AE63" s="306">
        <f>IF($AD63=AE$58,(-$AE$30-$AV$19+($AF$30+$AW$19)*$AX$19/$AY$19)*$AX$28,"")</f>
        <v/>
      </c>
      <c r="AF63" s="287">
        <f>IF($AD63=AE$58,(-$AF$30+$AE$30*$CA$19/$BZ$19)*$BZ$28,"")</f>
        <v/>
      </c>
      <c r="AG63" s="306">
        <f>IF($AD63=AG$58,(-$AG$30+$AH$30*$BB$19/$BC$19)*$BB$28,"")</f>
        <v/>
      </c>
      <c r="AH63" s="287">
        <f>IF($AD63=AG$58,($AH$30-$AG$30*$BE$19/$BD$19)*$BD$28,"")</f>
        <v/>
      </c>
      <c r="AI63" s="306">
        <f>IF($AD63=AI$58,($AI$30-$AJ$30*$BL$19/$BM$19)*$BL$28,"")</f>
        <v/>
      </c>
      <c r="AJ63" s="287">
        <f>IF($AD63=AI$58,($AJ$30-$BK$19-($AI$30-$BJ$19)*$BI$19/$BH$19)*$BH$28,"")</f>
        <v/>
      </c>
      <c r="AK63" s="306">
        <f>IF($AD63=AK$58,($AK$30+$BR$19+(-$AL$30-$BS$19)*$BP$19/$BQ$19)*$BP$28,"")</f>
        <v/>
      </c>
      <c r="AL63" s="287">
        <f>IF($AD63=AK$58,(-$AL$30+$BU$19+($AK$30-$BT$19)*$BW$19/$BV$19)*$BV$28,"")</f>
        <v/>
      </c>
      <c r="AN63" s="306">
        <f>IF(ISNUMBER($AE$30),(-$AE$30-$AV$19+($AF$30+$AW$19)*$AX$19/$AY$19),"")</f>
        <v/>
      </c>
      <c r="AO63" s="287">
        <f>IF(ISNUMBER($AF$30),(-$AF$30+$AE$30*$CA$19/$BZ$19),"")</f>
        <v/>
      </c>
      <c r="AP63" s="306">
        <f>IF(ISNUMBER($AG$30),(-$AG$30+$AH$30*$BB$19/$BC$19),"")</f>
        <v/>
      </c>
      <c r="AQ63" s="287">
        <f>IF(ISNUMBER($AH$30),($AH$30-$AG$30*$BE$19/$BD$19),"")</f>
        <v/>
      </c>
      <c r="AR63" s="306">
        <f>IF(ISNUMBER($AI$30),($AI$30-$AJ$30*$BL$19/$BM$19),"")</f>
        <v/>
      </c>
      <c r="AS63" s="287">
        <f>IF(ISNUMBER($AJ$30),($AJ$30-$BK$19-($AI$30-$BJ$19)*$BI$19/$BH$19),"")</f>
        <v/>
      </c>
      <c r="AT63" s="306">
        <f>IF(ISNUMBER($AK$30),($AK$30+$BR$19+(-$AL$30-$BS$19)*$BP$19/$BQ$19),"")</f>
        <v/>
      </c>
      <c r="AU63" s="287">
        <f>IF(ISNUMBER($AL$30),(-$AL$30+$BU$19+($AK$30-$BT$19)*$BW$19/$BV$19),"")</f>
        <v/>
      </c>
      <c r="BG63" s="293" t="n">
        <v>27</v>
      </c>
      <c r="BH63" s="293" t="n">
        <v>22</v>
      </c>
      <c r="BI63" s="293" t="n">
        <v>23</v>
      </c>
      <c r="BJ63" s="293" t="n">
        <v>26</v>
      </c>
      <c r="BK63" s="293" t="n">
        <v>35</v>
      </c>
      <c r="BL63" s="293" t="n">
        <v>34</v>
      </c>
      <c r="BM63" s="293" t="n">
        <v>33</v>
      </c>
      <c r="BN63" s="293" t="n">
        <v>28</v>
      </c>
      <c r="BO63" s="293" t="n">
        <v>21</v>
      </c>
      <c r="BZ63" s="693" t="n"/>
      <c r="CA63" s="693" t="n"/>
    </row>
    <row r="64" ht="12" customHeight="1" s="613">
      <c r="AA64" s="689" t="n"/>
      <c r="AB64" s="689" t="n"/>
      <c r="AD64" s="319" t="n">
        <v>3</v>
      </c>
      <c r="AE64" s="306">
        <f>IF($AD64=AE$58,(-$AE$30-$AV$19+($AF$30+$AW$19)*$AX$19/$AY$19)*$AX$28,"")</f>
        <v/>
      </c>
      <c r="AF64" s="287">
        <f>IF($AD64=AE$58,(-$AF$30-$CA$19-(-$AE$30-$BZ$19)*$BY$19/$BX$19)*$BX$28,"")</f>
        <v/>
      </c>
      <c r="AG64" s="306">
        <f>IF($AD64=AG$58,(-$AG$30+$AH$30*$BB$19/$BC$19)*$BB$28,"")</f>
        <v/>
      </c>
      <c r="AH64" s="287">
        <f>IF($AD64=AG$58,($AH$30+$BE$19+(-$AG$30-$BD$19)*$BG$19/$BF$19)*$BF$28,"")</f>
        <v/>
      </c>
      <c r="AI64" s="306">
        <f>IF($AD64=AI$58,($AI$30-$AJ$30*$BL$19/$BM$19)*$BL$28,"")</f>
        <v/>
      </c>
      <c r="AJ64" s="287">
        <f>IF($AD64=AI$58,($AJ$30-$AI$30*$BK$19/$BJ$19)*$BJ$28,"")</f>
        <v/>
      </c>
      <c r="AK64" s="306">
        <f>IF($AD64=AK$58,($AK$30+$BR$19+(-$AL$30-$BS$19)*$BP$19/$BQ$19)*$BP$28,"")</f>
        <v/>
      </c>
      <c r="AL64" s="287">
        <f>IF($AD64=AK$58,(-$AL$30+$AK$30*$BU$19/$BT$19)*$BT$28,"")</f>
        <v/>
      </c>
      <c r="AN64" s="306">
        <f>IF(ISNUMBER($AE$30),(-$AE$30-$AV$19+($AF$30+$AW$19)*$AX$19/$AY$19),"")</f>
        <v/>
      </c>
      <c r="AO64" s="287">
        <f>IF(ISNUMBER($AF$30),(-$AF$30-$CA$19-(-$AE$30-$BZ$19)*$BY$19/$BX$19),"")</f>
        <v/>
      </c>
      <c r="AP64" s="306">
        <f>IF(ISNUMBER($AG$30),(-$AG$30+$AH$30*$BB$19/$BC$19),"")</f>
        <v/>
      </c>
      <c r="AQ64" s="287">
        <f>IF(ISNUMBER($AH$30),($AH$30+$BE$19+(-$AG$30-$BD$19)*$BG$19/$BF$19),"")</f>
        <v/>
      </c>
      <c r="AR64" s="306">
        <f>IF(ISNUMBER($AI$30),($AI$30-$AJ$30*$BL$19/$BM$19),"")</f>
        <v/>
      </c>
      <c r="AS64" s="287">
        <f>IF(ISNUMBER($AJ$30),($AJ$30-$AI$30*$BK$19/$BJ$19),"")</f>
        <v/>
      </c>
      <c r="AT64" s="306">
        <f>IF(ISNUMBER($AK$30),($AK$30+$BR$19+(-$AL$30-$BS$19)*$BP$19/$BQ$19),"")</f>
        <v/>
      </c>
      <c r="AU64" s="287">
        <f>IF(ISNUMBER($AL$30),(-$AL$30+$AK$30*$BU$19/$BT$19),"")</f>
        <v/>
      </c>
      <c r="BG64" s="293" t="n">
        <v>28</v>
      </c>
      <c r="BH64" s="293" t="n">
        <v>21</v>
      </c>
      <c r="BI64" s="293" t="n">
        <v>22</v>
      </c>
      <c r="BJ64" s="293" t="n">
        <v>27</v>
      </c>
      <c r="BK64" s="293" t="n">
        <v>34</v>
      </c>
      <c r="BL64" s="293" t="n">
        <v>33</v>
      </c>
      <c r="BM64" s="293" t="n">
        <v>32</v>
      </c>
      <c r="BN64" s="293" t="n">
        <v>29</v>
      </c>
      <c r="BO64" s="293" t="n">
        <v>20</v>
      </c>
      <c r="BZ64" s="693" t="n"/>
      <c r="CA64" s="693" t="n"/>
    </row>
    <row r="65" ht="12" customHeight="1" s="613">
      <c r="AA65" s="689" t="n"/>
      <c r="AB65" s="689" t="n"/>
      <c r="AD65" s="319" t="n">
        <v>4</v>
      </c>
      <c r="AE65" s="286">
        <f>IF($AD65=AE$58,(-$AE$30+$AF$30*$AV$19/$AW$19)*$AV$28,"")</f>
        <v/>
      </c>
      <c r="AF65" s="285">
        <f>IF($AD65=AE$58,(-$AF$30-$CA$19-(-$AE$30-$BZ$19)*$BY$19/$BX$19)*$BX$28,"")</f>
        <v/>
      </c>
      <c r="AG65" s="286">
        <f>IF($AD65=AG$58,(-$AG$30+$BB$19+($AH$30-$BC$19)*$AZ$19/$BA$19)*$AZ$28,"")</f>
        <v/>
      </c>
      <c r="AH65" s="285">
        <f>IF($AD65=AG$58,($AH$30+$BE$19+(-$AG$30-$BD$19)*$BG$19/$BF$19)*$BF$28,"")</f>
        <v/>
      </c>
      <c r="AI65" s="286">
        <f>IF($AD65=AI$58,($AI$30-$BL$19-($AJ$30-$BM$19)*$BN$19/$BO$19)*$BN$28,"")</f>
        <v/>
      </c>
      <c r="AJ65" s="285">
        <f>IF($AD65=AI$58,($AJ$30-$AI$30*$BK$19/$BJ$19)*$BJ$28,"")</f>
        <v/>
      </c>
      <c r="AK65" s="286">
        <f>IF($AD65=AK$58,($AK$30-$AL$30*$BR$19/$BS$19)*$BR$28,"")</f>
        <v/>
      </c>
      <c r="AL65" s="285">
        <f>IF($AD65=AK$58,(-$AL$30+$AK$30*$BU$19/$BT$19)*$BT$28,"")</f>
        <v/>
      </c>
      <c r="AN65" s="286">
        <f>IF(ISNUMBER($AE$30),(-$AE$30+$AF$30*$AV$19/$AW$19),"")</f>
        <v/>
      </c>
      <c r="AO65" s="285">
        <f>IF(ISNUMBER($AF$30),(-$AF$30-$CA$19-(-$AE$30-$BZ$19)*$BY$19/$BX$19),"")</f>
        <v/>
      </c>
      <c r="AP65" s="286">
        <f>IF(ISNUMBER($AG$30),(-$AG$30+$BB$19+($AH$30-$BC$19)*$AZ$19/$BA$19),"")</f>
        <v/>
      </c>
      <c r="AQ65" s="285">
        <f>IF(ISNUMBER($AH$30),($AH$30+$BE$19+(-$AG$30-$BD$19)*$BG$19/$BF$19),"")</f>
        <v/>
      </c>
      <c r="AR65" s="286">
        <f>IF(ISNUMBER($AI$30),($AI$30-$BL$19-($AJ$30-$BM$19)*$BN$19/$BO$19),"")</f>
        <v/>
      </c>
      <c r="AS65" s="285">
        <f>IF(ISNUMBER($AJ$30),($AJ$30-$AI$30*$BK$19/$BJ$19),"")</f>
        <v/>
      </c>
      <c r="AT65" s="286">
        <f>IF(ISNUMBER($AK$30),($AK$30-$AL$30*$BR$19/$BS$19),"")</f>
        <v/>
      </c>
      <c r="AU65" s="285">
        <f>IF(ISNUMBER($AL$30),(-$AL$30+$AK$30*$BU$19/$BT$19),"")</f>
        <v/>
      </c>
      <c r="BG65" s="293" t="n">
        <v>29</v>
      </c>
      <c r="BH65" s="293" t="n">
        <v>20</v>
      </c>
      <c r="BI65" s="293" t="n">
        <v>21</v>
      </c>
      <c r="BJ65" s="293" t="n">
        <v>28</v>
      </c>
      <c r="BK65" s="293" t="n">
        <v>33</v>
      </c>
      <c r="BL65" s="293" t="n">
        <v>32</v>
      </c>
      <c r="BM65" s="293" t="n">
        <v>31</v>
      </c>
      <c r="BN65" s="293" t="n">
        <v>30</v>
      </c>
      <c r="BO65" s="293" t="n">
        <v>19</v>
      </c>
      <c r="BZ65" s="693" t="n"/>
      <c r="CA65" s="693" t="n"/>
    </row>
    <row r="66" ht="12" customHeight="1" s="613">
      <c r="B66" s="463" t="inlineStr">
        <is>
          <t>A</t>
        </is>
      </c>
      <c r="C66" s="463" t="inlineStr">
        <is>
          <t>B</t>
        </is>
      </c>
      <c r="D66" s="463" t="inlineStr">
        <is>
          <t>C</t>
        </is>
      </c>
      <c r="E66" s="463" t="inlineStr">
        <is>
          <t>D</t>
        </is>
      </c>
      <c r="F66" s="463" t="inlineStr">
        <is>
          <t>E</t>
        </is>
      </c>
      <c r="G66" s="463" t="inlineStr">
        <is>
          <t>F</t>
        </is>
      </c>
      <c r="H66" s="463" t="inlineStr">
        <is>
          <t>G</t>
        </is>
      </c>
      <c r="L66" s="463" t="inlineStr">
        <is>
          <t>A</t>
        </is>
      </c>
      <c r="M66" s="463" t="inlineStr">
        <is>
          <t>B</t>
        </is>
      </c>
      <c r="N66" s="463" t="inlineStr">
        <is>
          <t>C</t>
        </is>
      </c>
      <c r="O66" s="463" t="inlineStr">
        <is>
          <t>D</t>
        </is>
      </c>
      <c r="P66" s="463" t="inlineStr">
        <is>
          <t>E</t>
        </is>
      </c>
      <c r="Q66" s="463" t="inlineStr">
        <is>
          <t>F</t>
        </is>
      </c>
      <c r="R66" s="463" t="inlineStr">
        <is>
          <t>G</t>
        </is>
      </c>
      <c r="AA66" s="689" t="n"/>
      <c r="AB66" s="689" t="n"/>
      <c r="AE66" s="284">
        <f>IF(ISNUMBER($AE$62),AE$62,IF(ISNUMBER($AE$63),AE$63,IF(ISNUMBER($AE$64),AE$64,IF(ISNUMBER($AE$65),AE$65,""))))</f>
        <v/>
      </c>
      <c r="AF66" s="283">
        <f>IF(ISNUMBER($AF$62),AF$62,IF(ISNUMBER($AF$63),AF$63,IF(ISNUMBER($AF$64),AF$64,IF(ISNUMBER($AF$65),AF$65,""))))</f>
        <v/>
      </c>
      <c r="AG66" s="284">
        <f>IF(ISNUMBER($AG$62),AG$62,IF(ISNUMBER($AG$63),AG$63,IF(ISNUMBER($AG$64),AG$64,IF(ISNUMBER($AG$65),AG$65,""))))</f>
        <v/>
      </c>
      <c r="AH66" s="283">
        <f>IF(ISNUMBER($AH$62),AH$62,IF(ISNUMBER($AH$63),AH$63,IF(ISNUMBER($AH$64),AH$64,IF(ISNUMBER($AH$65),AH$65,""))))</f>
        <v/>
      </c>
      <c r="AI66" s="284">
        <f>IF(ISNUMBER($AI$62),AI$62,IF(ISNUMBER($AI$63),AI$63,IF(ISNUMBER($AI$64),AI$64,IF(ISNUMBER($AI$65),AI$65,""))))</f>
        <v/>
      </c>
      <c r="AJ66" s="283">
        <f>IF(ISNUMBER($AJ$62),AJ$62,IF(ISNUMBER($AJ$63),AJ$63,IF(ISNUMBER($AJ$64),AJ$64,IF(ISNUMBER($AJ$65),AJ$65,""))))</f>
        <v/>
      </c>
      <c r="AK66" s="284">
        <f>IF(ISNUMBER($AK$62),AK$62,IF(ISNUMBER($AK$63),AK$63,IF(ISNUMBER($AK$64),AK$64,IF(ISNUMBER($AK$65),AK$65,""))))</f>
        <v/>
      </c>
      <c r="AL66" s="283">
        <f>IF(ISNUMBER($AL$62),AL$62,IF(ISNUMBER($AL$63),AL$63,IF(ISNUMBER($AL$64),AL$64,IF(ISNUMBER($AL$65),AL$65,""))))</f>
        <v/>
      </c>
      <c r="AO66" s="420" t="n"/>
      <c r="AP66" s="420" t="n"/>
      <c r="AQ66" s="420" t="n"/>
      <c r="AR66" s="420" t="n"/>
      <c r="AS66" s="420" t="n"/>
      <c r="AT66" s="420" t="n"/>
      <c r="BG66" s="293" t="n">
        <v>30</v>
      </c>
      <c r="BH66" s="293" t="n">
        <v>19</v>
      </c>
      <c r="BI66" s="293" t="n">
        <v>20</v>
      </c>
      <c r="BJ66" s="293" t="n">
        <v>29</v>
      </c>
      <c r="BK66" s="293" t="n">
        <v>32</v>
      </c>
      <c r="BL66" s="293" t="n">
        <v>31</v>
      </c>
      <c r="BM66" s="293" t="n">
        <v>36</v>
      </c>
      <c r="BN66" s="293" t="n">
        <v>25</v>
      </c>
      <c r="BO66" s="293" t="n">
        <v>24</v>
      </c>
      <c r="BZ66" s="693" t="n"/>
      <c r="CA66" s="693" t="n"/>
    </row>
    <row r="67" ht="12" customHeight="1" s="613">
      <c r="B67" s="476">
        <f>$L$38</f>
        <v/>
      </c>
      <c r="C67" s="476">
        <f>$O$7</f>
        <v/>
      </c>
      <c r="D67" s="476">
        <f>IF($P$7 = "S", 2,1)</f>
        <v/>
      </c>
      <c r="E67" s="476">
        <f>$Q$7</f>
        <v/>
      </c>
      <c r="F67" s="476">
        <f>IF($R$7 = "W", 2,1)</f>
        <v/>
      </c>
      <c r="G67" s="476">
        <f>'SHL Section'!$S$7</f>
        <v/>
      </c>
      <c r="H67" s="475" t="inlineStr">
        <is>
          <t>West-Up2</t>
        </is>
      </c>
      <c r="J67" s="368" t="n"/>
      <c r="L67" s="476">
        <f>$L$38</f>
        <v/>
      </c>
      <c r="M67" s="476">
        <f>$O$7</f>
        <v/>
      </c>
      <c r="N67" s="476">
        <f>IF($P$7 = "S", 2,1)</f>
        <v/>
      </c>
      <c r="O67" s="476">
        <f>$Q$7</f>
        <v/>
      </c>
      <c r="P67" s="476">
        <f>IF($R$7 = "W", 2,1)</f>
        <v/>
      </c>
      <c r="Q67" s="476">
        <f>'SHL Section'!$S$7</f>
        <v/>
      </c>
      <c r="R67" s="475" t="inlineStr">
        <is>
          <t>North-Left2</t>
        </is>
      </c>
      <c r="AA67" s="689" t="n"/>
      <c r="AB67" s="689" t="n"/>
      <c r="AE67" s="291" t="n"/>
      <c r="AF67" s="290" t="n"/>
      <c r="AG67" s="292" t="n"/>
      <c r="AH67" s="292" t="n"/>
      <c r="AI67" s="291" t="n"/>
      <c r="AJ67" s="290" t="n"/>
      <c r="AK67" s="291" t="n"/>
      <c r="AL67" s="290" t="n"/>
      <c r="AO67" s="420" t="n"/>
      <c r="AP67" s="420" t="n"/>
      <c r="AQ67" s="420" t="n"/>
      <c r="AR67" s="420" t="n"/>
      <c r="AS67" s="420" t="n"/>
      <c r="AT67" s="420" t="n"/>
      <c r="BG67" s="293" t="n">
        <v>31</v>
      </c>
      <c r="BH67" s="293" t="n">
        <v>30</v>
      </c>
      <c r="BI67" s="293" t="n">
        <v>29</v>
      </c>
      <c r="BJ67" s="293" t="n">
        <v>32</v>
      </c>
      <c r="BK67" s="293" t="n">
        <v>5</v>
      </c>
      <c r="BL67" s="293" t="n">
        <v>6</v>
      </c>
      <c r="BM67" s="293" t="n">
        <v>1</v>
      </c>
      <c r="BN67" s="293" t="n">
        <v>36</v>
      </c>
      <c r="BO67" s="293" t="n">
        <v>25</v>
      </c>
      <c r="BZ67" s="693" t="n"/>
      <c r="CA67" s="693" t="n"/>
    </row>
    <row r="68" ht="12" customHeight="1" s="613">
      <c r="B68" s="463" t="inlineStr">
        <is>
          <t>A</t>
        </is>
      </c>
      <c r="C68" s="463" t="inlineStr">
        <is>
          <t>B</t>
        </is>
      </c>
      <c r="D68" s="463" t="inlineStr">
        <is>
          <t>C</t>
        </is>
      </c>
      <c r="E68" s="463" t="inlineStr">
        <is>
          <t>D</t>
        </is>
      </c>
      <c r="F68" s="463" t="inlineStr">
        <is>
          <t>E</t>
        </is>
      </c>
      <c r="G68" s="463" t="inlineStr">
        <is>
          <t>F</t>
        </is>
      </c>
      <c r="H68" s="463" t="inlineStr">
        <is>
          <t>G</t>
        </is>
      </c>
      <c r="J68" s="295" t="n"/>
      <c r="L68" s="463" t="inlineStr">
        <is>
          <t>A</t>
        </is>
      </c>
      <c r="M68" s="463" t="inlineStr">
        <is>
          <t>B</t>
        </is>
      </c>
      <c r="N68" s="463" t="inlineStr">
        <is>
          <t>C</t>
        </is>
      </c>
      <c r="O68" s="463" t="inlineStr">
        <is>
          <t>D</t>
        </is>
      </c>
      <c r="P68" s="463" t="inlineStr">
        <is>
          <t>E</t>
        </is>
      </c>
      <c r="Q68" s="463" t="inlineStr">
        <is>
          <t>F</t>
        </is>
      </c>
      <c r="R68" s="463" t="inlineStr">
        <is>
          <t>G</t>
        </is>
      </c>
      <c r="AA68" s="689" t="n"/>
      <c r="AB68" s="689" t="n"/>
      <c r="AE68" s="674" t="inlineStr">
        <is>
          <t>BHL2 Qtr-Qtr Logic</t>
        </is>
      </c>
      <c r="AF68" s="675" t="n"/>
      <c r="AG68" s="676" t="inlineStr">
        <is>
          <t>BHL2 Qtr-Qtr Logic</t>
        </is>
      </c>
      <c r="AH68" s="677" t="n"/>
      <c r="AI68" s="674" t="inlineStr">
        <is>
          <t>BHL2 Qtr-Qtr Logic</t>
        </is>
      </c>
      <c r="AJ68" s="675" t="n"/>
      <c r="AK68" s="674" t="inlineStr">
        <is>
          <t>BHL2 Qtr-Qtr Logic</t>
        </is>
      </c>
      <c r="AL68" s="675" t="n"/>
      <c r="AO68" s="420" t="n"/>
      <c r="AP68" s="420" t="n"/>
      <c r="AQ68" s="420" t="n"/>
      <c r="AR68" s="420" t="n"/>
      <c r="AS68" s="420" t="n"/>
      <c r="AT68" s="420" t="n"/>
      <c r="BG68" s="293" t="n">
        <v>32</v>
      </c>
      <c r="BH68" s="293" t="n">
        <v>29</v>
      </c>
      <c r="BI68" s="293" t="n">
        <v>28</v>
      </c>
      <c r="BJ68" s="293" t="n">
        <v>33</v>
      </c>
      <c r="BK68" s="293" t="n">
        <v>4</v>
      </c>
      <c r="BL68" s="293" t="n">
        <v>5</v>
      </c>
      <c r="BM68" s="293" t="n">
        <v>6</v>
      </c>
      <c r="BN68" s="293" t="n">
        <v>31</v>
      </c>
      <c r="BO68" s="293" t="n">
        <v>30</v>
      </c>
      <c r="BZ68" s="693" t="n"/>
      <c r="CA68" s="693" t="n"/>
    </row>
    <row r="69" ht="12" customHeight="1" s="613">
      <c r="B69" s="476">
        <f>$L$38</f>
        <v/>
      </c>
      <c r="C69" s="476">
        <f>$O$7</f>
        <v/>
      </c>
      <c r="D69" s="476">
        <f>IF($P$7 = "S", 2,1)</f>
        <v/>
      </c>
      <c r="E69" s="476">
        <f>$Q$7</f>
        <v/>
      </c>
      <c r="F69" s="476">
        <f>IF($R$7 = "W", 2,1)</f>
        <v/>
      </c>
      <c r="G69" s="476">
        <f>'SHL Section'!$S$7</f>
        <v/>
      </c>
      <c r="H69" t="inlineStr">
        <is>
          <t>West-Up1</t>
        </is>
      </c>
      <c r="J69" s="295" t="n"/>
      <c r="L69" s="476">
        <f>$L$38</f>
        <v/>
      </c>
      <c r="M69" s="476">
        <f>$O$7</f>
        <v/>
      </c>
      <c r="N69" s="476">
        <f>IF($P$7 = "S", 2,1)</f>
        <v/>
      </c>
      <c r="O69" s="476">
        <f>$Q$7</f>
        <v/>
      </c>
      <c r="P69" s="476">
        <f>IF($R$7 = "W", 2,1)</f>
        <v/>
      </c>
      <c r="Q69" s="476">
        <f>'SHL Section'!$S$7</f>
        <v/>
      </c>
      <c r="R69" s="475" t="inlineStr">
        <is>
          <t>North-Left1</t>
        </is>
      </c>
      <c r="AA69" s="689" t="n"/>
      <c r="AB69" s="689" t="n"/>
      <c r="AE69" s="671">
        <f>IF($AE$36="","",IF(AND((-$AE$36+$AF$36*$AV$19/$AW$19)&gt;0,-$AE$36&lt;$BZ$19,(-$AF$36+$AE$36*$CA$19/$BZ$19)&gt;0,-$AF$36&lt;$AW$19),1,IF(AND((-$AE$36-$AV$19+($AF$36+$AW$19)*$AX$19/$AY$19)&gt;0,-$AE$36&lt;$BZ$19,-$AF$36&gt;$AW$19,-$AF$36&lt;$AX$22),2,IF(AND(-$AE$36&lt;$BY$22,-$AE$36&gt;$BZ$19,-$AF$36&gt;$AW$19,-$AF$36&lt;$AX$22),3,IF(AND(-$AE$36&lt;$BY$22,-$AE$36&gt;$BZ$19,(-$AF$36-$CA$19-(-$AE$36-$BZ$19)*$BY$19/$BX$19)&gt;0,-$AF$36&lt;$AW$19),4,"")))))</f>
        <v/>
      </c>
      <c r="AF69" s="617" t="n"/>
      <c r="AG69" s="671">
        <f>IF($AG$36="","",IF(AND((-$AG$36+$BB$19+($AH$36-$BC$19)*$AZ$19/$BA$19)&gt;0,-$AG$36&lt;$BD$19,$AH$36&gt;$BC$19,$AH$36&lt;$BB$22),1,IF(AND((-$AG$36+$AH$36*$BB$19/$BC$19)&gt;0,-$AG$36&lt;$BD$19,($AH$36-$AG$36*$BE$19/$BD$19)&gt;0,$AH$36&lt;$BC$19),2,IF(AND(-$AG$36&gt;$BD$19,-$AG$36&lt;$BE$22,($AH$36+$BE$19+(-$AG$36-$BD$19)*$BG$19/$BF$19)&gt;0,$AH$36&lt;$BC$19),3,IF(AND(-$AG$36&gt;$BD$19,-$AG$36&lt;$BE$22,$AH$36&gt;$BC$19,$AH$36&lt;$BB$22),4,"")))))</f>
        <v/>
      </c>
      <c r="AH69" s="617" t="n"/>
      <c r="AI69" s="671">
        <f>IF($AI$36="","",IF(AND($AI$36&gt;$BJ$19,$AI$36&lt;$BI$22,$AJ$36&gt;$BM$19,$AJ$36&lt;$BN$22),1,IF(AND($AI$36&gt;$BJ$19,$AI$36&lt;$BI$22,($AJ$36-$BK$19-($AI$36-$BJ$19)*$BI$19/$BH$19)&gt;0,$AJ$36&lt;$BM$19),2,IF(AND(($AI$36-$AJ$36*$BL$19/$BM$19)&gt;0,$AI$36&lt;$BJ$19,($AJ$36-$AI$36*$BK$19/$BJ$19)&gt;0,$AJ$36&lt;$BM$19),3,IF(AND(($AI$36-$BL$19-($AJ$36-$BM$19)*$BN$19/$BO$19)&gt;0,$AI$36&lt;$BJ$19,$AJ$36&gt;$BM$19,$AJ$36&lt;$BN$22),4,"")))))</f>
        <v/>
      </c>
      <c r="AJ69" s="617" t="n"/>
      <c r="AK69" s="671">
        <f>IF($AK$36="","",IF(AND($AK$36&gt;$BT$19,$AK$36&lt;$BU$22,(-$AL$36+$BU$19+($AK$36-$BT$19)*$BW$19/$BV$19)&gt;0,-$AL$36&lt;$BS$19),1,IF(AND($AK$36&gt;$BT$19,$AK$36&lt;$BU$22,-$AL$36&gt;$BS$19,-$AL$36&lt;$BR$22),2,IF(AND(($AK$36+$BR$19+(-$AL$36-$BS$19)*$BP$19/$BQ$19)&gt;0,$AK$36&lt;$BT$19,-$AL$36&gt;$BS$19,-$AL$36&lt;$BR$22),3,IF(AND(($AK$36-$AL$36*$BR$19/$BS$19)&gt;0,$AK$36&lt;$BT$19,(-$AL$36+$AK$36*$BU$19/$BT$19)&gt;0,-$AL$36&lt;$BS$19),4,"")))))</f>
        <v/>
      </c>
      <c r="AL69" s="617" t="n"/>
      <c r="BG69" s="293" t="n">
        <v>33</v>
      </c>
      <c r="BH69" s="293" t="n">
        <v>28</v>
      </c>
      <c r="BI69" s="293" t="n">
        <v>27</v>
      </c>
      <c r="BJ69" s="293" t="n">
        <v>34</v>
      </c>
      <c r="BK69" s="293" t="n">
        <v>3</v>
      </c>
      <c r="BL69" s="293" t="n">
        <v>4</v>
      </c>
      <c r="BM69" s="293" t="n">
        <v>5</v>
      </c>
      <c r="BN69" s="293" t="n">
        <v>32</v>
      </c>
      <c r="BO69" s="293" t="n">
        <v>29</v>
      </c>
      <c r="BZ69" s="693" t="n"/>
      <c r="CA69" s="693" t="n"/>
    </row>
    <row r="70" ht="12" customHeight="1" s="613">
      <c r="B70" s="463" t="inlineStr">
        <is>
          <t>A</t>
        </is>
      </c>
      <c r="C70" s="463" t="inlineStr">
        <is>
          <t>B</t>
        </is>
      </c>
      <c r="D70" s="463" t="inlineStr">
        <is>
          <t>C</t>
        </is>
      </c>
      <c r="E70" s="463" t="inlineStr">
        <is>
          <t>D</t>
        </is>
      </c>
      <c r="F70" s="463" t="inlineStr">
        <is>
          <t>E</t>
        </is>
      </c>
      <c r="G70" s="463" t="inlineStr">
        <is>
          <t>F</t>
        </is>
      </c>
      <c r="H70" s="463" t="inlineStr">
        <is>
          <t>G</t>
        </is>
      </c>
      <c r="J70" s="295" t="n"/>
      <c r="L70" s="463" t="inlineStr">
        <is>
          <t>A</t>
        </is>
      </c>
      <c r="M70" s="463" t="inlineStr">
        <is>
          <t>B</t>
        </is>
      </c>
      <c r="N70" s="463" t="inlineStr">
        <is>
          <t>C</t>
        </is>
      </c>
      <c r="O70" s="463" t="inlineStr">
        <is>
          <t>D</t>
        </is>
      </c>
      <c r="P70" s="463" t="inlineStr">
        <is>
          <t>E</t>
        </is>
      </c>
      <c r="Q70" s="463" t="inlineStr">
        <is>
          <t>F</t>
        </is>
      </c>
      <c r="R70" s="463" t="inlineStr">
        <is>
          <t>G</t>
        </is>
      </c>
      <c r="AA70" s="689" t="n"/>
      <c r="AB70" s="689" t="n"/>
      <c r="AE70" s="291" t="n"/>
      <c r="AF70" s="290" t="n"/>
      <c r="AG70" s="292" t="n"/>
      <c r="AH70" s="292" t="n"/>
      <c r="AI70" s="291" t="n"/>
      <c r="AJ70" s="290" t="n"/>
      <c r="AK70" s="291" t="n"/>
      <c r="AL70" s="290" t="n"/>
      <c r="BG70" s="293" t="n">
        <v>34</v>
      </c>
      <c r="BH70" s="293" t="n">
        <v>27</v>
      </c>
      <c r="BI70" s="293" t="n">
        <v>26</v>
      </c>
      <c r="BJ70" s="293" t="n">
        <v>35</v>
      </c>
      <c r="BK70" s="293" t="n">
        <v>2</v>
      </c>
      <c r="BL70" s="293" t="n">
        <v>3</v>
      </c>
      <c r="BM70" s="293" t="n">
        <v>4</v>
      </c>
      <c r="BN70" s="293" t="n">
        <v>33</v>
      </c>
      <c r="BO70" s="293" t="n">
        <v>28</v>
      </c>
      <c r="BZ70" s="693" t="n"/>
      <c r="CA70" s="693" t="n"/>
    </row>
    <row r="71" ht="12" customHeight="1" s="613">
      <c r="B71" s="476">
        <f>$L$38</f>
        <v/>
      </c>
      <c r="C71" s="476">
        <f>$O$7</f>
        <v/>
      </c>
      <c r="D71" s="476">
        <f>IF($P$7 = "S", 2,1)</f>
        <v/>
      </c>
      <c r="E71" s="476">
        <f>$Q$7</f>
        <v/>
      </c>
      <c r="F71" s="476">
        <f>IF($R$7 = "W", 2,1)</f>
        <v/>
      </c>
      <c r="G71" s="476">
        <f>'SHL Section'!$S$7</f>
        <v/>
      </c>
      <c r="H71" t="inlineStr">
        <is>
          <t>West-Down1</t>
        </is>
      </c>
      <c r="J71" s="321" t="n"/>
      <c r="L71" s="476">
        <f>$L$38</f>
        <v/>
      </c>
      <c r="M71" s="476">
        <f>$O$7</f>
        <v/>
      </c>
      <c r="N71" s="476">
        <f>IF($P$7 = "S", 2,1)</f>
        <v/>
      </c>
      <c r="O71" s="476">
        <f>$Q$7</f>
        <v/>
      </c>
      <c r="P71" s="476">
        <f>IF($R$7 = "W", 2,1)</f>
        <v/>
      </c>
      <c r="Q71" s="476">
        <f>'SHL Section'!$S$7</f>
        <v/>
      </c>
      <c r="R71" s="475" t="inlineStr">
        <is>
          <t>North-Right1</t>
        </is>
      </c>
      <c r="AA71" s="689" t="n"/>
      <c r="AB71" s="689" t="n"/>
      <c r="AE71" s="674" t="inlineStr">
        <is>
          <t>BHL2 NE Line Calc</t>
        </is>
      </c>
      <c r="AF71" s="675" t="n"/>
      <c r="AG71" s="674" t="inlineStr">
        <is>
          <t>BHL2 NW Line Calc</t>
        </is>
      </c>
      <c r="AH71" s="675" t="n"/>
      <c r="AI71" s="674" t="inlineStr">
        <is>
          <t>BHL3 SW Line Calc</t>
        </is>
      </c>
      <c r="AJ71" s="675" t="n"/>
      <c r="AK71" s="674" t="inlineStr">
        <is>
          <t>BHL4 SE Line Calc</t>
        </is>
      </c>
      <c r="AL71" s="675" t="n"/>
      <c r="BG71" s="293" t="n">
        <v>35</v>
      </c>
      <c r="BH71" s="293" t="n">
        <v>26</v>
      </c>
      <c r="BI71" s="293" t="n">
        <v>25</v>
      </c>
      <c r="BJ71" s="293" t="n">
        <v>36</v>
      </c>
      <c r="BK71" s="293" t="n">
        <v>1</v>
      </c>
      <c r="BL71" s="293" t="n">
        <v>2</v>
      </c>
      <c r="BM71" s="293" t="n">
        <v>3</v>
      </c>
      <c r="BN71" s="293" t="n">
        <v>34</v>
      </c>
      <c r="BO71" s="293" t="n">
        <v>27</v>
      </c>
      <c r="BZ71" s="693" t="n"/>
      <c r="CA71" s="693" t="n"/>
    </row>
    <row r="72" ht="12" customHeight="1" s="613">
      <c r="B72" s="463" t="inlineStr">
        <is>
          <t>A</t>
        </is>
      </c>
      <c r="C72" s="463" t="inlineStr">
        <is>
          <t>B</t>
        </is>
      </c>
      <c r="D72" s="463" t="inlineStr">
        <is>
          <t>C</t>
        </is>
      </c>
      <c r="E72" s="463" t="inlineStr">
        <is>
          <t>D</t>
        </is>
      </c>
      <c r="F72" s="463" t="inlineStr">
        <is>
          <t>E</t>
        </is>
      </c>
      <c r="G72" s="463" t="inlineStr">
        <is>
          <t>F</t>
        </is>
      </c>
      <c r="H72" s="463" t="inlineStr">
        <is>
          <t>G</t>
        </is>
      </c>
      <c r="L72" s="463" t="inlineStr">
        <is>
          <t>A</t>
        </is>
      </c>
      <c r="M72" s="463" t="inlineStr">
        <is>
          <t>B</t>
        </is>
      </c>
      <c r="N72" s="463" t="inlineStr">
        <is>
          <t>C</t>
        </is>
      </c>
      <c r="O72" s="463" t="inlineStr">
        <is>
          <t>D</t>
        </is>
      </c>
      <c r="P72" s="463" t="inlineStr">
        <is>
          <t>E</t>
        </is>
      </c>
      <c r="Q72" s="463" t="inlineStr">
        <is>
          <t>F</t>
        </is>
      </c>
      <c r="R72" s="463" t="inlineStr">
        <is>
          <t>G</t>
        </is>
      </c>
      <c r="AA72" s="689" t="n"/>
      <c r="AB72" s="689" t="n"/>
      <c r="AD72" s="470" t="inlineStr">
        <is>
          <t>Qtr-Qtr</t>
        </is>
      </c>
      <c r="AE72" s="671" t="inlineStr">
        <is>
          <t>FNL</t>
        </is>
      </c>
      <c r="AF72" s="671" t="inlineStr">
        <is>
          <t>FEL</t>
        </is>
      </c>
      <c r="AG72" s="468" t="inlineStr">
        <is>
          <t>FNL</t>
        </is>
      </c>
      <c r="AH72" s="467" t="inlineStr">
        <is>
          <t>FWL</t>
        </is>
      </c>
      <c r="AI72" s="671" t="inlineStr">
        <is>
          <t>FSL</t>
        </is>
      </c>
      <c r="AJ72" s="671" t="inlineStr">
        <is>
          <t>FWL</t>
        </is>
      </c>
      <c r="AK72" s="671" t="inlineStr">
        <is>
          <t>FSL</t>
        </is>
      </c>
      <c r="AL72" s="671" t="inlineStr">
        <is>
          <t>FEL</t>
        </is>
      </c>
      <c r="AN72" s="693" t="inlineStr">
        <is>
          <t>Calc w/o perpendicular correction</t>
        </is>
      </c>
      <c r="BG72" s="293" t="n">
        <v>36</v>
      </c>
      <c r="BH72" s="293" t="n">
        <v>25</v>
      </c>
      <c r="BI72" s="293" t="n">
        <v>30</v>
      </c>
      <c r="BJ72" s="293" t="n">
        <v>31</v>
      </c>
      <c r="BK72" s="293" t="n">
        <v>6</v>
      </c>
      <c r="BL72" s="293" t="n">
        <v>1</v>
      </c>
      <c r="BM72" s="293" t="n">
        <v>2</v>
      </c>
      <c r="BN72" s="293" t="n">
        <v>35</v>
      </c>
      <c r="BO72" s="293" t="n">
        <v>26</v>
      </c>
      <c r="BZ72" s="693" t="n"/>
      <c r="CA72" s="693" t="n"/>
    </row>
    <row r="73" ht="12" customHeight="1" s="613">
      <c r="B73" s="476">
        <f>$L$38</f>
        <v/>
      </c>
      <c r="C73" s="476">
        <f>$O$7</f>
        <v/>
      </c>
      <c r="D73" s="476">
        <f>IF($P$7 = "S", 2,1)</f>
        <v/>
      </c>
      <c r="E73" s="476">
        <f>$Q$7</f>
        <v/>
      </c>
      <c r="F73" s="476">
        <f>IF($R$7 = "W", 2,1)</f>
        <v/>
      </c>
      <c r="G73" s="476">
        <f>'SHL Section'!$S$7</f>
        <v/>
      </c>
      <c r="H73" t="inlineStr">
        <is>
          <t>West-Down2</t>
        </is>
      </c>
      <c r="L73" s="476">
        <f>$L$38</f>
        <v/>
      </c>
      <c r="M73" s="476">
        <f>$O$7</f>
        <v/>
      </c>
      <c r="N73" s="476">
        <f>IF($P$7 = "S", 2,1)</f>
        <v/>
      </c>
      <c r="O73" s="476">
        <f>$Q$7</f>
        <v/>
      </c>
      <c r="P73" s="476">
        <f>IF($R$7 = "W", 2,1)</f>
        <v/>
      </c>
      <c r="Q73" s="476">
        <f>'SHL Section'!$S$7</f>
        <v/>
      </c>
      <c r="R73" s="475" t="inlineStr">
        <is>
          <t>North-Right2</t>
        </is>
      </c>
      <c r="AA73" s="689" t="n"/>
      <c r="AB73" s="689" t="n"/>
      <c r="AD73" s="319" t="n">
        <v>1</v>
      </c>
      <c r="AE73" s="306">
        <f>IF($AD73=AE$69,(-$AE$36+$AF$36*$AV$19/$AW$19)*$AV$28,"")</f>
        <v/>
      </c>
      <c r="AF73" s="287">
        <f>IF($AD73=AE$69,(-$AF$36+$AE$36*$CA$19/$BZ$19)*$BZ$28,"")</f>
        <v/>
      </c>
      <c r="AG73" s="306">
        <f>IF($AD73=AG$69,(-$AG$36+$BB$19+($AH$36-$BC$19)*$AZ$19/$BA$19)*$AZ$28,"")</f>
        <v/>
      </c>
      <c r="AH73" s="287">
        <f>IF($AD73=AG$69,($AH$36-$AG$36*$BE$19/$BD$19)*$BD$28,"")</f>
        <v/>
      </c>
      <c r="AI73" s="306">
        <f>IF($AD73=AI$69,($AI$36-$BL$19-($AJ$36-$BM$19)*$BN$19/$BO$19)*$BN$28,"")</f>
        <v/>
      </c>
      <c r="AJ73" s="287">
        <f>IF($AD73=AI$69,($AJ$36-$BK$19-($AI$36-$BJ$19)*$BI$19/$BH$19)*$BH$28,"")</f>
        <v/>
      </c>
      <c r="AK73" s="306">
        <f>IF($AD73=AK$69,($AK$36-$AL$36*$BR$19/$BS$19)*$BR$28,"")</f>
        <v/>
      </c>
      <c r="AL73" s="287">
        <f>IF($AD73=AK$69,(-$AL$36+$BU$19+($AK$36-$BT$19)*$BW$19/$BV$19)*$BV$28,"")</f>
        <v/>
      </c>
      <c r="AN73" s="289">
        <f>IF(ISNUMBER($AE$36),(-$AE$36+$AF$36*$AV$19/$AW$19),"")</f>
        <v/>
      </c>
      <c r="AO73" s="288">
        <f>IF(ISNUMBER($AF$36),(-$AF$36+$AE$36*$CA$19/$BZ$19),"")</f>
        <v/>
      </c>
      <c r="AP73" s="289">
        <f>IF(ISNUMBER($AG$36),(-$AG$36+$BB$19+($AH$36-$BC$19)*$AZ$19/$BA$19),"")</f>
        <v/>
      </c>
      <c r="AQ73" s="288">
        <f>IF(ISNUMBER($AH$36),($AH$36-$AG$36*$BE$19/$BD$19),"")</f>
        <v/>
      </c>
      <c r="AR73" s="289">
        <f>IF(ISNUMBER($AI$36),($AI$36-$BL$19-($AJ$36-$BM$19)*$BN$19/$BO$19),"")</f>
        <v/>
      </c>
      <c r="AS73" s="288">
        <f>IF(ISNUMBER($AJ$36),($AJ$36-$BK$19-($AI$36-$BJ$19)*$BI$19/$BH$19),"")</f>
        <v/>
      </c>
      <c r="AT73" s="289">
        <f>IF(ISNUMBER($AK$36),($AK$36-$AL$36*$BR$19/$BS$19),"")</f>
        <v/>
      </c>
      <c r="AU73" s="288">
        <f>IF(ISNUMBER($AL$36),(-$AL$36+$BU$19+($AK$36-$BT$19)*$BW$19/$BV$19),"")</f>
        <v/>
      </c>
      <c r="BZ73" s="693" t="n"/>
      <c r="CA73" s="693" t="n"/>
    </row>
    <row r="74" ht="12" customHeight="1" s="613">
      <c r="B74" s="463" t="inlineStr">
        <is>
          <t>A</t>
        </is>
      </c>
      <c r="C74" s="463" t="inlineStr">
        <is>
          <t>B</t>
        </is>
      </c>
      <c r="D74" s="463" t="inlineStr">
        <is>
          <t>C</t>
        </is>
      </c>
      <c r="E74" s="463" t="inlineStr">
        <is>
          <t>D</t>
        </is>
      </c>
      <c r="F74" s="463" t="inlineStr">
        <is>
          <t>E</t>
        </is>
      </c>
      <c r="G74" s="463" t="inlineStr">
        <is>
          <t>F</t>
        </is>
      </c>
      <c r="H74" s="463" t="inlineStr">
        <is>
          <t>G</t>
        </is>
      </c>
      <c r="L74" s="463" t="inlineStr">
        <is>
          <t>A</t>
        </is>
      </c>
      <c r="M74" s="463" t="inlineStr">
        <is>
          <t>B</t>
        </is>
      </c>
      <c r="N74" s="463" t="inlineStr">
        <is>
          <t>C</t>
        </is>
      </c>
      <c r="O74" s="463" t="inlineStr">
        <is>
          <t>D</t>
        </is>
      </c>
      <c r="P74" s="463" t="inlineStr">
        <is>
          <t>E</t>
        </is>
      </c>
      <c r="Q74" s="463" t="inlineStr">
        <is>
          <t>F</t>
        </is>
      </c>
      <c r="R74" s="463" t="inlineStr">
        <is>
          <t>G</t>
        </is>
      </c>
      <c r="AA74" s="689" t="n"/>
      <c r="AB74" s="689" t="n"/>
      <c r="AD74" s="319" t="n">
        <v>2</v>
      </c>
      <c r="AE74" s="306">
        <f>IF($AD74=AE$69,(-$AE$36-$AV$19+($AF$36+$AW$19)*$AX$19/$AY$19)*$AX$28,"")</f>
        <v/>
      </c>
      <c r="AF74" s="287">
        <f>IF($AD74=AE$69,(-$AF$36+$AE$36*$CA$19/$BZ$19)*$BZ$28,"")</f>
        <v/>
      </c>
      <c r="AG74" s="306">
        <f>IF($AD74=AG$69,(-$AG$36+$AH$36*$BB$19/$BC$19)*$BB$28,"")</f>
        <v/>
      </c>
      <c r="AH74" s="287">
        <f>IF($AD74=AG$69,($AH$36-$AG$36*$BE$19/$BD$19)*$BD$28,"")</f>
        <v/>
      </c>
      <c r="AI74" s="306">
        <f>IF($AD74=AI$69,($AI$36-$AJ$36*$BL$19/$BM$19)*$BL$28,"")</f>
        <v/>
      </c>
      <c r="AJ74" s="287">
        <f>IF($AD74=AI$69,($AJ$36-$BK$19-($AI$36-$BJ$19)*$BI$19/$BH$19)*$BH$28,"")</f>
        <v/>
      </c>
      <c r="AK74" s="306">
        <f>IF($AD74=AK$69,($AK$36+$BR$19+(-$AL$36-$BS$19)*$BP$19/$BQ$19)*$BP$28,"")</f>
        <v/>
      </c>
      <c r="AL74" s="287">
        <f>IF($AD74=AK$69,(-$AL$36+$BU$19+($AK$36-$BT$19)*$BW$19/$BV$19)*$BV$28,"")</f>
        <v/>
      </c>
      <c r="AN74" s="306">
        <f>IF(ISNUMBER($AE$36),(-$AE$36-$AV$19+($AF$36+$AW$19)*$AX$19/$AY$19),"")</f>
        <v/>
      </c>
      <c r="AO74" s="287">
        <f>IF(ISNUMBER($AF$36),(-$AF$36+$AE$36*$CA$19/$BZ$19),"")</f>
        <v/>
      </c>
      <c r="AP74" s="306">
        <f>IF(ISNUMBER($AG$36),(-$AG$36+$AH$36*$BB$19/$BC$19),"")</f>
        <v/>
      </c>
      <c r="AQ74" s="287">
        <f>IF(ISNUMBER($AH$36),($AH$36-$AG$36*$BE$19/$BD$19),"")</f>
        <v/>
      </c>
      <c r="AR74" s="306">
        <f>IF(ISNUMBER($AI$36),($AI$36-$AJ$36*$BL$19/$BM$19),"")</f>
        <v/>
      </c>
      <c r="AS74" s="287">
        <f>IF(ISNUMBER($AJ$36),($AJ$36-$BK$19-($AI$36-$BJ$19)*$BI$19/$BH$19),"")</f>
        <v/>
      </c>
      <c r="AT74" s="306">
        <f>IF(ISNUMBER($AK$36),($AK$36+$BR$19+(-$AL$36-$BS$19)*$BP$19/$BQ$19),"")</f>
        <v/>
      </c>
      <c r="AU74" s="287">
        <f>IF(ISNUMBER($AL$36),(-$AL$36+$BU$19+($AK$36-$BT$19)*$BW$19/$BV$19),"")</f>
        <v/>
      </c>
      <c r="BZ74" s="693" t="n"/>
      <c r="CA74" s="693" t="n"/>
    </row>
    <row r="75" ht="12" customHeight="1" s="613">
      <c r="B75" s="476">
        <f>$L$38</f>
        <v/>
      </c>
      <c r="C75" s="476">
        <f>$O$7</f>
        <v/>
      </c>
      <c r="D75" s="476">
        <f>IF($P$7 = "S", 2,1)</f>
        <v/>
      </c>
      <c r="E75" s="476">
        <f>$Q$7</f>
        <v/>
      </c>
      <c r="F75" s="476">
        <f>IF($R$7 = "W", 2,1)</f>
        <v/>
      </c>
      <c r="G75" s="476">
        <f>'SHL Section'!$S$7</f>
        <v/>
      </c>
      <c r="H75" s="475" t="inlineStr">
        <is>
          <t>East-Up2</t>
        </is>
      </c>
      <c r="L75" s="476">
        <f>$L$38</f>
        <v/>
      </c>
      <c r="M75" s="476">
        <f>$O$7</f>
        <v/>
      </c>
      <c r="N75" s="476">
        <f>IF($P$7 = "S", 2,1)</f>
        <v/>
      </c>
      <c r="O75" s="476">
        <f>$Q$7</f>
        <v/>
      </c>
      <c r="P75" s="476">
        <f>IF($R$7 = "W", 2,1)</f>
        <v/>
      </c>
      <c r="Q75" s="476">
        <f>'SHL Section'!$S$7</f>
        <v/>
      </c>
      <c r="R75" s="475" t="inlineStr">
        <is>
          <t>South-Left2</t>
        </is>
      </c>
      <c r="AA75" s="689" t="n"/>
      <c r="AB75" s="689" t="n"/>
      <c r="AD75" s="319" t="n">
        <v>3</v>
      </c>
      <c r="AE75" s="306">
        <f>IF($AD75=AE$69,(-$AE$36-$AV$19+($AF$36+$AW$19)*$AX$19/$AY$19)*$AX$28,"")</f>
        <v/>
      </c>
      <c r="AF75" s="287">
        <f>IF($AD75=AE$69,(-$AF$36-$CA$19-(-$AE$36-$BZ$19)*$BY$19/$BX$19)*$BX$28,"")</f>
        <v/>
      </c>
      <c r="AG75" s="306">
        <f>IF($AD75=AG$69,(-$AG$36+$AH$36*$BB$19/$BC$19)*$BB$28,"")</f>
        <v/>
      </c>
      <c r="AH75" s="287">
        <f>IF($AD75=AG$69,($AH$36+$BE$19+(-$AG$36-$BD$19)*$BG$19/$BF$19)*$BF$28,"")</f>
        <v/>
      </c>
      <c r="AI75" s="306">
        <f>IF($AD75=AI$69,($AI$36-$AJ$36*$BL$19/$BM$19)*$BL$28,"")</f>
        <v/>
      </c>
      <c r="AJ75" s="287">
        <f>IF($AD75=AI$69,($AJ$36-$AI$36*$BK$19/$BJ$19)*$BJ$28,"")</f>
        <v/>
      </c>
      <c r="AK75" s="306">
        <f>IF($AD75=AK$69,($AK$36+$BR$19+(-$AL$36-$BS$19)*$BP$19/$BQ$19)*$BP$28,"")</f>
        <v/>
      </c>
      <c r="AL75" s="287">
        <f>IF($AD75=AK$69,(-$AL$36+$AK$36*$BU$19/$BT$19)*$BT$28,"")</f>
        <v/>
      </c>
      <c r="AN75" s="306">
        <f>IF(ISNUMBER($AE$36),(-$AE$36-$AV$19+($AF$36+$AW$19)*$AX$19/$AY$19),"")</f>
        <v/>
      </c>
      <c r="AO75" s="287">
        <f>IF(ISNUMBER($AF$36),(-$AF$36-$CA$19-(-$AE$36-$BZ$19)*$BY$19/$BX$19),"")</f>
        <v/>
      </c>
      <c r="AP75" s="306">
        <f>IF(ISNUMBER($AG$36),(-$AG$36+$AH$36*$BB$19/$BC$19),"")</f>
        <v/>
      </c>
      <c r="AQ75" s="287">
        <f>IF(ISNUMBER($AH$36),($AH$36+$BE$19+(-$AG$36-$BD$19)*$BG$19/$BF$19),"")</f>
        <v/>
      </c>
      <c r="AR75" s="306">
        <f>IF(ISNUMBER($AI$36),($AI$36-$AJ$36*$BL$19/$BM$19),"")</f>
        <v/>
      </c>
      <c r="AS75" s="287">
        <f>IF(ISNUMBER($AJ$36),($AJ$36-$AI$36*$BK$19/$BJ$19),"")</f>
        <v/>
      </c>
      <c r="AT75" s="306">
        <f>IF(ISNUMBER($AK$36),($AK$36+$BR$19+(-$AL$36-$BS$19)*$BP$19/$BQ$19),"")</f>
        <v/>
      </c>
      <c r="AU75" s="287">
        <f>IF(ISNUMBER($AL$36),(-$AL$36+$AK$36*$BU$19/$BT$19),"")</f>
        <v/>
      </c>
      <c r="BZ75" s="693" t="n"/>
      <c r="CA75" s="693" t="n"/>
    </row>
    <row r="76" ht="12" customHeight="1" s="613">
      <c r="B76" s="463" t="inlineStr">
        <is>
          <t>A</t>
        </is>
      </c>
      <c r="C76" s="463" t="inlineStr">
        <is>
          <t>B</t>
        </is>
      </c>
      <c r="D76" s="463" t="inlineStr">
        <is>
          <t>C</t>
        </is>
      </c>
      <c r="E76" s="463" t="inlineStr">
        <is>
          <t>D</t>
        </is>
      </c>
      <c r="F76" s="463" t="inlineStr">
        <is>
          <t>E</t>
        </is>
      </c>
      <c r="G76" s="463" t="inlineStr">
        <is>
          <t>F</t>
        </is>
      </c>
      <c r="H76" s="463" t="inlineStr">
        <is>
          <t>G</t>
        </is>
      </c>
      <c r="L76" s="463" t="inlineStr">
        <is>
          <t>A</t>
        </is>
      </c>
      <c r="M76" s="463" t="inlineStr">
        <is>
          <t>B</t>
        </is>
      </c>
      <c r="N76" s="463" t="inlineStr">
        <is>
          <t>C</t>
        </is>
      </c>
      <c r="O76" s="463" t="inlineStr">
        <is>
          <t>D</t>
        </is>
      </c>
      <c r="P76" s="463" t="inlineStr">
        <is>
          <t>E</t>
        </is>
      </c>
      <c r="Q76" s="463" t="inlineStr">
        <is>
          <t>F</t>
        </is>
      </c>
      <c r="R76" s="463" t="inlineStr">
        <is>
          <t>G</t>
        </is>
      </c>
      <c r="AA76" s="689" t="n"/>
      <c r="AB76" s="689" t="n"/>
      <c r="AD76" s="319" t="n">
        <v>4</v>
      </c>
      <c r="AE76" s="306">
        <f>IF($AD76=AE$69,(-$AE$36+$AF$36*$AV$19/$AW$19)*$AV$28,"")</f>
        <v/>
      </c>
      <c r="AF76" s="287">
        <f>IF($AD76=AE$69,(-$AF$36-$CA$19-(-$AE$36-$BZ$19)*$BY$19/$BX$19)*$BX$28,"")</f>
        <v/>
      </c>
      <c r="AG76" s="306">
        <f>IF($AD76=AG$69,(-$AG$36+$BB$19+($AH$36-$BC$19)*$AZ$19/$BA$19)*$AZ$28,"")</f>
        <v/>
      </c>
      <c r="AH76" s="287">
        <f>IF($AD76=AG$69,($AH$36+$BE$19+(-$AG$36-$BD$19)*$BG$19/$BF$19)*$BF$28,"")</f>
        <v/>
      </c>
      <c r="AI76" s="306">
        <f>IF($AD76=AI$69,($AI$36-$BL$19-($AJ$36-$BM$19)*$BN$19/$BO$19)*$BN$28,"")</f>
        <v/>
      </c>
      <c r="AJ76" s="287">
        <f>IF($AD76=AI$69,($AJ$36-$AI$36*$BK$19/$BJ$19)*$BJ$28,"")</f>
        <v/>
      </c>
      <c r="AK76" s="306">
        <f>IF($AD76=AK$69,($AK$36-$AL$36*$BR$19/$BS$19)*$BR$28,"")</f>
        <v/>
      </c>
      <c r="AL76" s="287">
        <f>IF($AD76=AK$69,(-$AL$36+$AK$36*$BU$19/$BT$19)*$BT$28,"")</f>
        <v/>
      </c>
      <c r="AN76" s="286">
        <f>IF(ISNUMBER($AE$36),(-$AE$36+$AF$36*$AV$19/$AW$19),"")</f>
        <v/>
      </c>
      <c r="AO76" s="285">
        <f>IF(ISNUMBER($AF$36),(-$AF$36-$CA$19-(-$AE$36-$BZ$19)*$BY$19/$BX$19),"")</f>
        <v/>
      </c>
      <c r="AP76" s="286">
        <f>IF(ISNUMBER($AG$36),(-$AG$36+$BB$19+($AH$36-$BC$19)*$AZ$19/$BA$19),"")</f>
        <v/>
      </c>
      <c r="AQ76" s="285">
        <f>IF(ISNUMBER($AH$36),($AH$36+$BE$19+(-$AG$36-$BD$19)*$BG$19/$BF$19),"")</f>
        <v/>
      </c>
      <c r="AR76" s="286">
        <f>IF(ISNUMBER($AI$36),($AI$36-$BL$19-($AJ$36-$BM$19)*$BN$19/$BO$19),"")</f>
        <v/>
      </c>
      <c r="AS76" s="285">
        <f>IF(ISNUMBER($AJ$36),($AJ$36-$AI$36*$BK$19/$BJ$19),"")</f>
        <v/>
      </c>
      <c r="AT76" s="286">
        <f>IF(ISNUMBER($AK$36),($AK$36-$AL$36*$BR$19/$BS$19),"")</f>
        <v/>
      </c>
      <c r="AU76" s="285">
        <f>IF(ISNUMBER($AL$36),(-$AL$36+$AK$36*$BU$19/$BT$19),"")</f>
        <v/>
      </c>
      <c r="BZ76" s="693" t="n"/>
      <c r="CA76" s="693" t="n"/>
    </row>
    <row r="77" ht="12" customHeight="1" s="613">
      <c r="B77" s="476">
        <f>$L$38</f>
        <v/>
      </c>
      <c r="C77" s="476">
        <f>$O$7</f>
        <v/>
      </c>
      <c r="D77" s="476">
        <f>IF($P$7 = "S", 2,1)</f>
        <v/>
      </c>
      <c r="E77" s="476">
        <f>$Q$7</f>
        <v/>
      </c>
      <c r="F77" s="476">
        <f>IF($R$7 = "W", 2,1)</f>
        <v/>
      </c>
      <c r="G77" s="476">
        <f>'SHL Section'!$S$7</f>
        <v/>
      </c>
      <c r="H77" t="inlineStr">
        <is>
          <t>East-Up1</t>
        </is>
      </c>
      <c r="L77" s="476">
        <f>$L$38</f>
        <v/>
      </c>
      <c r="M77" s="476">
        <f>$O$7</f>
        <v/>
      </c>
      <c r="N77" s="476">
        <f>IF($P$7 = "S", 2,1)</f>
        <v/>
      </c>
      <c r="O77" s="476">
        <f>$Q$7</f>
        <v/>
      </c>
      <c r="P77" s="476">
        <f>IF($R$7 = "W", 2,1)</f>
        <v/>
      </c>
      <c r="Q77" s="476">
        <f>'SHL Section'!$S$7</f>
        <v/>
      </c>
      <c r="R77" s="475" t="inlineStr">
        <is>
          <t>South-Left1</t>
        </is>
      </c>
      <c r="AA77" s="689" t="n"/>
      <c r="AB77" s="689" t="n"/>
      <c r="AE77" s="284">
        <f>IF(ISNUMBER($AE$73),AE$73,IF(ISNUMBER($AE$74),AE$74,IF(ISNUMBER($AE$75),AE$75,IF(ISNUMBER($AE$76),AE$76,""))))</f>
        <v/>
      </c>
      <c r="AF77" s="283">
        <f>IF(ISNUMBER($AF$73),AF$73,IF(ISNUMBER($AF$74),AF$74,IF(ISNUMBER($AF$75),AF$75,IF(ISNUMBER($AF$76),AF$76,""))))</f>
        <v/>
      </c>
      <c r="AG77" s="284">
        <f>IF(ISNUMBER($AG$73),AG$73,IF(ISNUMBER($AG$74),AG$74,IF(ISNUMBER($AG$75),AG$75,IF(ISNUMBER($AG$76),AG$76,""))))</f>
        <v/>
      </c>
      <c r="AH77" s="283">
        <f>IF(ISNUMBER($AH$73),AH$73,IF(ISNUMBER($AH$74),AH$74,IF(ISNUMBER($AH$75),AH$75,IF(ISNUMBER($AH$76),AH$76,""))))</f>
        <v/>
      </c>
      <c r="AI77" s="284">
        <f>IF(ISNUMBER($AI$73),AI$73,IF(ISNUMBER($AI$74),AI$74,IF(ISNUMBER($AI$75),AI$75,IF(ISNUMBER($AI$76),AI$76,""))))</f>
        <v/>
      </c>
      <c r="AJ77" s="283">
        <f>IF(ISNUMBER($AJ$73),AJ$73,IF(ISNUMBER($AJ$74),AJ$74,IF(ISNUMBER($AJ$75),AJ$75,IF(ISNUMBER($AJ$76),AJ$76,""))))</f>
        <v/>
      </c>
      <c r="AK77" s="284">
        <f>IF(ISNUMBER($AK$73),AK$73,IF(ISNUMBER($AK$74),AK$74,IF(ISNUMBER($AK$75),AK$75,IF(ISNUMBER($AK$76),AK$76,""))))</f>
        <v/>
      </c>
      <c r="AL77" s="283">
        <f>IF(ISNUMBER($AL$73),AL$73,IF(ISNUMBER($AL$74),AL$74,IF(ISNUMBER($AL$75),AL$75,IF(ISNUMBER($AL$76),AL$76,""))))</f>
        <v/>
      </c>
      <c r="BZ77" s="693" t="n"/>
      <c r="CA77" s="693" t="n"/>
    </row>
    <row r="78" ht="12" customHeight="1" s="613">
      <c r="B78" s="463" t="inlineStr">
        <is>
          <t>A</t>
        </is>
      </c>
      <c r="C78" s="463" t="inlineStr">
        <is>
          <t>B</t>
        </is>
      </c>
      <c r="D78" s="463" t="inlineStr">
        <is>
          <t>C</t>
        </is>
      </c>
      <c r="E78" s="463" t="inlineStr">
        <is>
          <t>D</t>
        </is>
      </c>
      <c r="F78" s="463" t="inlineStr">
        <is>
          <t>E</t>
        </is>
      </c>
      <c r="G78" s="463" t="inlineStr">
        <is>
          <t>F</t>
        </is>
      </c>
      <c r="H78" s="463" t="inlineStr">
        <is>
          <t>G</t>
        </is>
      </c>
      <c r="L78" s="463" t="inlineStr">
        <is>
          <t>A</t>
        </is>
      </c>
      <c r="M78" s="463" t="inlineStr">
        <is>
          <t>B</t>
        </is>
      </c>
      <c r="N78" s="463" t="inlineStr">
        <is>
          <t>C</t>
        </is>
      </c>
      <c r="O78" s="463" t="inlineStr">
        <is>
          <t>D</t>
        </is>
      </c>
      <c r="P78" s="463" t="inlineStr">
        <is>
          <t>E</t>
        </is>
      </c>
      <c r="Q78" s="463" t="inlineStr">
        <is>
          <t>F</t>
        </is>
      </c>
      <c r="R78" s="463" t="inlineStr">
        <is>
          <t>G</t>
        </is>
      </c>
      <c r="AA78" s="689" t="n"/>
      <c r="AB78" s="689" t="n"/>
      <c r="AE78" s="291" t="n"/>
      <c r="AF78" s="290" t="n"/>
      <c r="AG78" s="292" t="n"/>
      <c r="AH78" s="292" t="n"/>
      <c r="AI78" s="291" t="n"/>
      <c r="AJ78" s="290" t="n"/>
      <c r="AK78" s="291" t="n"/>
      <c r="AL78" s="290" t="n"/>
      <c r="BZ78" s="693" t="n"/>
      <c r="CA78" s="693" t="n"/>
    </row>
    <row r="79" ht="12" customHeight="1" s="613">
      <c r="B79" s="476">
        <f>$L$38</f>
        <v/>
      </c>
      <c r="C79" s="476">
        <f>$O$7</f>
        <v/>
      </c>
      <c r="D79" s="476">
        <f>IF($P$7 = "S", 2,1)</f>
        <v/>
      </c>
      <c r="E79" s="476">
        <f>$Q$7</f>
        <v/>
      </c>
      <c r="F79" s="476">
        <f>IF($R$7 = "W", 2,1)</f>
        <v/>
      </c>
      <c r="G79" s="476">
        <f>'SHL Section'!$S$7</f>
        <v/>
      </c>
      <c r="H79" t="inlineStr">
        <is>
          <t>East-Down1</t>
        </is>
      </c>
      <c r="L79" s="476">
        <f>$L$38</f>
        <v/>
      </c>
      <c r="M79" s="476">
        <f>$O$7</f>
        <v/>
      </c>
      <c r="N79" s="476">
        <f>IF($P$7 = "S", 2,1)</f>
        <v/>
      </c>
      <c r="O79" s="476">
        <f>$Q$7</f>
        <v/>
      </c>
      <c r="P79" s="476">
        <f>IF($R$7 = "W", 2,1)</f>
        <v/>
      </c>
      <c r="Q79" s="476">
        <f>'SHL Section'!$S$7</f>
        <v/>
      </c>
      <c r="R79" s="475" t="inlineStr">
        <is>
          <t>South-Right1</t>
        </is>
      </c>
      <c r="AA79" s="689" t="n"/>
      <c r="AB79" s="689" t="n"/>
      <c r="AE79" s="674" t="inlineStr">
        <is>
          <t>BHL3 Qtr-Qtr Logic</t>
        </is>
      </c>
      <c r="AF79" s="675" t="n"/>
      <c r="AG79" s="676" t="inlineStr">
        <is>
          <t>BHL3 Qtr-Qtr Logic</t>
        </is>
      </c>
      <c r="AH79" s="677" t="n"/>
      <c r="AI79" s="674" t="inlineStr">
        <is>
          <t>BHL3 Qtr-Qtr Logic</t>
        </is>
      </c>
      <c r="AJ79" s="675" t="n"/>
      <c r="AK79" s="674" t="inlineStr">
        <is>
          <t>BHL3 Qtr-Qtr Logic</t>
        </is>
      </c>
      <c r="AL79" s="675" t="n"/>
      <c r="BZ79" s="693" t="n"/>
      <c r="CA79" s="693" t="n"/>
    </row>
    <row r="80" ht="12" customHeight="1" s="613">
      <c r="B80" s="463" t="inlineStr">
        <is>
          <t>A</t>
        </is>
      </c>
      <c r="C80" s="463" t="inlineStr">
        <is>
          <t>B</t>
        </is>
      </c>
      <c r="D80" s="463" t="inlineStr">
        <is>
          <t>C</t>
        </is>
      </c>
      <c r="E80" s="463" t="inlineStr">
        <is>
          <t>D</t>
        </is>
      </c>
      <c r="F80" s="463" t="inlineStr">
        <is>
          <t>E</t>
        </is>
      </c>
      <c r="G80" s="463" t="inlineStr">
        <is>
          <t>F</t>
        </is>
      </c>
      <c r="H80" s="463" t="inlineStr">
        <is>
          <t>G</t>
        </is>
      </c>
      <c r="L80" s="463" t="inlineStr">
        <is>
          <t>A</t>
        </is>
      </c>
      <c r="M80" s="463" t="inlineStr">
        <is>
          <t>B</t>
        </is>
      </c>
      <c r="N80" s="463" t="inlineStr">
        <is>
          <t>C</t>
        </is>
      </c>
      <c r="O80" s="463" t="inlineStr">
        <is>
          <t>D</t>
        </is>
      </c>
      <c r="P80" s="463" t="inlineStr">
        <is>
          <t>E</t>
        </is>
      </c>
      <c r="Q80" s="463" t="inlineStr">
        <is>
          <t>F</t>
        </is>
      </c>
      <c r="R80" s="463" t="inlineStr">
        <is>
          <t>G</t>
        </is>
      </c>
      <c r="AA80" s="689" t="n"/>
      <c r="AB80" s="689" t="n"/>
      <c r="AE80" s="671">
        <f>IF($AE$42="","",IF(AND((-$AE$42+$AF$42*$AV$19/$AW$19)&gt;0,-$AE$42&lt;$BZ$19,(-$AF$42+$AE$42*$CA$19/$BZ$19)&gt;0,-$AF$42&lt;$AW$19),1,IF(AND((-$AE$42-$AV$19+($AF$42+$AW$19)*$AX$19/$AY$19)&gt;0,-$AE$42&lt;$BZ$19,-$AF$42&gt;$AW$19,-$AF$42&lt;$AX$22),2,IF(AND(-$AE$42&lt;$BY$22,-$AE$42&gt;$BZ$19,-$AF$42&gt;$AW$19,-$AF$42&lt;$AX$22),3,IF(AND(-$AE$42&lt;$BY$22,-$AE$42&gt;$BZ$19,(-$AF$42-$CA$19-(-$AE$42-$BZ$19)*$BY$19/$BX$19)&gt;0,-$AF$42&lt;$AW$19),4,"")))))</f>
        <v/>
      </c>
      <c r="AF80" s="617" t="n"/>
      <c r="AG80" s="671">
        <f>IF($AG$42="","",IF(AND((-$AG$42+$BB$19+($AH$42-$BC$19)*$AZ$19/$BA$19)&gt;0,-$AG$42&lt;$BD$19,$AH$42&gt;$BC$19,$AH$42&lt;$BB$22),1,IF(AND((-$AG$42+$AH$42*$BB$19/$BC$19)&gt;0,-$AG$42&lt;$BD$19,($AH$42-$AG$42*$BE$19/$BD$19)&gt;0,$AH$42&lt;$BC$19),2,IF(AND(-$AG$42&gt;$BD$19,-$AG$42&lt;$BE$22,($AH$42+$BE$19+(-$AG$42-$BD$19)*$BG$19/$BF$19)&gt;0,$AH$42&lt;$BC$19),3,IF(AND(-$AG$42&gt;$BD$19,-$AG$42&lt;$BE$22,$AH$42&gt;$BC$19,$AH$42&lt;$BB$22),4,"")))))</f>
        <v/>
      </c>
      <c r="AH80" s="617" t="n"/>
      <c r="AI80" s="671">
        <f>IF($AI$42="","",IF(AND($AI$42&gt;$BJ$19,$AI$42&lt;$BI$22,$AJ$42&gt;$BM$19,$AJ$42&lt;$BN$22),1,IF(AND($AI$42&gt;$BJ$19,$AI$42&lt;$BI$22,($AJ$42-$BK$19-($AI$42-$BJ$19)*$BI$19/$BH$19)&gt;0,$AJ$42&lt;$BM$19),2,IF(AND(($AI$42-$AJ$42*$BL$19/$BM$19)&gt;0,$AI$42&lt;$BJ$19,($AJ$42-$AI$42*$BK$19/$BJ$19)&gt;0,$AJ$42&lt;$BM$19),3,IF(AND(($AI$42-$BL$19-($AJ$42-$BM$19)*$BN$19/$BO$19)&gt;0,$AI$42&lt;$BJ$19,$AJ$42&gt;$BM$19,$AJ$42&lt;$BN$22),4,"")))))</f>
        <v/>
      </c>
      <c r="AJ80" s="617" t="n"/>
      <c r="AK80" s="671">
        <f>IF($AK$42="","",IF(AND($AK$42&gt;$BT$19,$AK$42&lt;$BU$22,(-$AL$42+$BU$19+($AK$42-$BT$19)*$BW$19/$BV$19)&gt;0,-$AL$42&lt;$BS$19),1,IF(AND($AK$42&gt;$BT$19,$AK$42&lt;$BU$22,-$AL$42&gt;$BS$19,-$AL$42&lt;$BR$22),2,IF(AND(($AK$42+$BR$19+(-$AL$42-$BS$19)*$BP$19/$BQ$19)&gt;0,$AK$42&lt;$BT$19,-$AL$42&gt;$BS$19,-$AL$42&lt;$BR$22),3,IF(AND(($AK$42-$AL$42*$BR$19/$BS$19)&gt;0,$AK$42&lt;$BT$19,(-$AL$42+$AK$42*$BU$19/$BT$19)&gt;0,-$AL$42&lt;$BS$19),4,"")))))</f>
        <v/>
      </c>
      <c r="AL80" s="617" t="n"/>
      <c r="BZ80" s="693" t="n"/>
      <c r="CA80" s="693" t="n"/>
    </row>
    <row r="81" ht="12" customHeight="1" s="613">
      <c r="B81" s="476">
        <f>$L$38</f>
        <v/>
      </c>
      <c r="C81" s="476">
        <f>$O$7</f>
        <v/>
      </c>
      <c r="D81" s="476">
        <f>IF($P$7 = "S", 2,1)</f>
        <v/>
      </c>
      <c r="E81" s="476">
        <f>$Q$7</f>
        <v/>
      </c>
      <c r="F81" s="476">
        <f>IF($R$7 = "W", 2,1)</f>
        <v/>
      </c>
      <c r="G81" s="476">
        <f>'SHL Section'!$S$7</f>
        <v/>
      </c>
      <c r="H81" t="inlineStr">
        <is>
          <t>East-Down2</t>
        </is>
      </c>
      <c r="L81" s="476">
        <f>$L$38</f>
        <v/>
      </c>
      <c r="M81" s="476">
        <f>$O$7</f>
        <v/>
      </c>
      <c r="N81" s="476">
        <f>IF($P$7 = "S", 2,1)</f>
        <v/>
      </c>
      <c r="O81" s="476">
        <f>$Q$7</f>
        <v/>
      </c>
      <c r="P81" s="476">
        <f>IF($R$7 = "W", 2,1)</f>
        <v/>
      </c>
      <c r="Q81" s="476">
        <f>'SHL Section'!$S$7</f>
        <v/>
      </c>
      <c r="R81" s="475" t="inlineStr">
        <is>
          <t>South-Right2</t>
        </is>
      </c>
      <c r="AA81" s="689" t="n"/>
      <c r="AB81" s="689" t="n"/>
      <c r="AE81" s="291" t="n"/>
      <c r="AF81" s="290" t="n"/>
      <c r="AG81" s="292" t="n"/>
      <c r="AH81" s="292" t="n"/>
      <c r="AI81" s="291" t="n"/>
      <c r="AJ81" s="290" t="n"/>
      <c r="AK81" s="291" t="n"/>
      <c r="AL81" s="290" t="n"/>
      <c r="BZ81" s="693" t="n"/>
      <c r="CA81" s="693" t="n"/>
    </row>
    <row r="82" ht="12" customHeight="1" s="613">
      <c r="B82" s="476" t="n"/>
      <c r="C82" s="476" t="n"/>
      <c r="D82" s="476" t="n"/>
      <c r="E82" s="476" t="n"/>
      <c r="F82" s="476" t="n"/>
      <c r="G82" s="476" t="n"/>
      <c r="L82" s="476" t="n"/>
      <c r="M82" s="476" t="n"/>
      <c r="N82" s="476" t="n"/>
      <c r="O82" s="476" t="n"/>
      <c r="P82" s="476" t="n"/>
      <c r="Q82" s="476" t="n"/>
      <c r="R82" s="475" t="n"/>
      <c r="AA82" s="689" t="n"/>
      <c r="AB82" s="689" t="n"/>
      <c r="AE82" s="674" t="inlineStr">
        <is>
          <t>BHL3 NE Line Calc</t>
        </is>
      </c>
      <c r="AF82" s="675" t="n"/>
      <c r="AG82" s="674" t="inlineStr">
        <is>
          <t>BHL3 NW Line Calc</t>
        </is>
      </c>
      <c r="AH82" s="675" t="n"/>
      <c r="AI82" s="674" t="inlineStr">
        <is>
          <t>BHL3 SW Line Calc</t>
        </is>
      </c>
      <c r="AJ82" s="675" t="n"/>
      <c r="AK82" s="674" t="inlineStr">
        <is>
          <t>BHL3 SE Line Calc</t>
        </is>
      </c>
      <c r="AL82" s="675" t="n"/>
      <c r="BZ82" s="693" t="n"/>
      <c r="CA82" s="693" t="n"/>
    </row>
    <row r="83" ht="12" customHeight="1" s="613">
      <c r="AA83" s="689" t="n"/>
      <c r="AB83" s="689" t="n"/>
      <c r="AD83" s="470" t="inlineStr">
        <is>
          <t>Qtr-Qtr</t>
        </is>
      </c>
      <c r="AE83" s="671" t="inlineStr">
        <is>
          <t>FNL</t>
        </is>
      </c>
      <c r="AF83" s="671" t="inlineStr">
        <is>
          <t>FEL</t>
        </is>
      </c>
      <c r="AG83" s="468" t="inlineStr">
        <is>
          <t>FNL</t>
        </is>
      </c>
      <c r="AH83" s="467" t="inlineStr">
        <is>
          <t>FWL</t>
        </is>
      </c>
      <c r="AI83" s="671" t="inlineStr">
        <is>
          <t>FSL</t>
        </is>
      </c>
      <c r="AJ83" s="671" t="inlineStr">
        <is>
          <t>FWL</t>
        </is>
      </c>
      <c r="AK83" s="671" t="inlineStr">
        <is>
          <t>FSL</t>
        </is>
      </c>
      <c r="AL83" s="671" t="inlineStr">
        <is>
          <t>FEL</t>
        </is>
      </c>
      <c r="AN83" s="693" t="inlineStr">
        <is>
          <t>Calc w/o perpendicular correction</t>
        </is>
      </c>
      <c r="BZ83" s="693" t="n"/>
      <c r="CA83" s="693" t="n"/>
    </row>
    <row r="84" ht="12" customHeight="1" s="613">
      <c r="AA84" s="689" t="n"/>
      <c r="AB84" s="689" t="n"/>
      <c r="AD84" s="319" t="n">
        <v>1</v>
      </c>
      <c r="AE84" s="306">
        <f>IF($AD84=AE$80,(-$AE$42+$AF$42*$AV$19/$AW$19)*$AV$28,"")</f>
        <v/>
      </c>
      <c r="AF84" s="287">
        <f>IF($AD84=AE$80,(-$AF$42+$AE$42*$CA$19/$BZ$19)*$BZ$28,"")</f>
        <v/>
      </c>
      <c r="AG84" s="306">
        <f>IF($AD84=AG$80,(-$AG$42+$BB$19+($AH$42-$BC$19)*$AZ$19/$BA$19)*$AZ$28,"")</f>
        <v/>
      </c>
      <c r="AH84" s="287">
        <f>IF($AD84=AG$80,($AH$42-$AG$42*$BE$19/$BD$19)*$BD$28,"")</f>
        <v/>
      </c>
      <c r="AI84" s="306">
        <f>IF($AD84=AI$80,($AI$42-$BL$19-($AJ$42-$BM$19)*$BN$19/$BO$19)*$BN$28,"")</f>
        <v/>
      </c>
      <c r="AJ84" s="287">
        <f>IF($AD84=AI$80,($AJ$42-$BK$19-($AI$42-$BJ$19)*$BI$19/$BH$19)*$BH$28,"")</f>
        <v/>
      </c>
      <c r="AK84" s="306">
        <f>IF($AD84=AK$80,($AK$42-$AL$42*$BR$19/$BS$19)*$BR$28,"")</f>
        <v/>
      </c>
      <c r="AL84" s="287">
        <f>IF($AD84=AK$80,(-$AL$42+$BU$19+($AK$42-$BT$19)*$BW$19/$BV$19)*$BV$28,"")</f>
        <v/>
      </c>
      <c r="AN84" s="289">
        <f>IF(ISNUMBER($AE$42),(-$AE$42+$AF$42*$AV$19/$AW$19),"")</f>
        <v/>
      </c>
      <c r="AO84" s="288">
        <f>IF(ISNUMBER($AF$42),(-$AF$42+$AE$42*$CA$19/$BZ$19),"")</f>
        <v/>
      </c>
      <c r="AP84" s="289">
        <f>IF(ISNUMBER($AG$42),(-$AG$42+$BB$19+($AH$42-$BC$19)*$AZ$19/$BA$19),"")</f>
        <v/>
      </c>
      <c r="AQ84" s="288">
        <f>IF(ISNUMBER($AH$42),($AH$42-$AG$42*$BE$19/$BD$19),"")</f>
        <v/>
      </c>
      <c r="AR84" s="289">
        <f>IF(ISNUMBER($AI$42),($AI$42-$BL$19-($AJ$42-$BM$19)*$BN$19/$BO$19),"")</f>
        <v/>
      </c>
      <c r="AS84" s="288">
        <f>IF(ISNUMBER($AJ$42),($AJ$42-$BK$19-($AI$42-$BJ$19)*$BI$19/$BH$19),"")</f>
        <v/>
      </c>
      <c r="AT84" s="289">
        <f>IF(ISNUMBER($AK$42),($AK$42-$AL$42*$BR$19/$BS$19),"")</f>
        <v/>
      </c>
      <c r="AU84" s="288">
        <f>IF(ISNUMBER($AL$42),(-$AL$42+$BU$19+($AK$42-$BT$19)*$BW$19/$BV$19),"")</f>
        <v/>
      </c>
      <c r="BZ84" s="693" t="n"/>
      <c r="CA84" s="693" t="n"/>
    </row>
    <row r="85" ht="12" customHeight="1" s="613">
      <c r="AA85" s="689" t="n"/>
      <c r="AB85" s="689" t="n"/>
      <c r="AD85" s="319" t="n">
        <v>2</v>
      </c>
      <c r="AE85" s="306">
        <f>IF($AD85=AE$80,(-$AE$42-$AV$19+($AF$42+$AW$19)*$AX$19/$AY$19)*$AX$28,"")</f>
        <v/>
      </c>
      <c r="AF85" s="287">
        <f>IF($AD85=AE$80,(-$AF$42+$AE$42*$CA$19/$BZ$19)*$BZ$28,"")</f>
        <v/>
      </c>
      <c r="AG85" s="306">
        <f>IF($AD85=AG$80,(-$AG$42+$AH$42*$BB$19/$BC$19)*$BB$28,"")</f>
        <v/>
      </c>
      <c r="AH85" s="287">
        <f>IF($AD85=AG$80,($AH$42-$AG$42*$BE$19/$BD$19)*$BD$28,"")</f>
        <v/>
      </c>
      <c r="AI85" s="306">
        <f>IF($AD85=AI$80,($AI$42-$AJ$42*$BL$19/$BM$19)*$BL$28,"")</f>
        <v/>
      </c>
      <c r="AJ85" s="287">
        <f>IF($AD85=AI$80,($AJ$42-$BK$19-($AI$42-$BJ$19)*$BI$19/$BH$19)*$BH$28,"")</f>
        <v/>
      </c>
      <c r="AK85" s="306">
        <f>IF($AD85=AK$80,($AK$42+$BR$19+(-$AL$42-$BS$19)*$BP$19/$BQ$19)*$BP$28,"")</f>
        <v/>
      </c>
      <c r="AL85" s="287">
        <f>IF($AD85=AK$80,(-$AL$42+$BU$19+($AK$42-$BT$19)*$BW$19/$BV$19)*$BV$28,"")</f>
        <v/>
      </c>
      <c r="AN85" s="306">
        <f>IF(ISNUMBER($AE$42),(-$AE$42-$AV$19+($AF$42+$AW$19)*$AX$19/$AY$19),"")</f>
        <v/>
      </c>
      <c r="AO85" s="287">
        <f>IF(ISNUMBER($AF$42),(-$AF$42+$AE$42*$CA$19/$BZ$19),"")</f>
        <v/>
      </c>
      <c r="AP85" s="306">
        <f>IF(ISNUMBER($AG$42),(-$AG$42+$AH$42*$BB$19/$BC$19),"")</f>
        <v/>
      </c>
      <c r="AQ85" s="287">
        <f>IF(ISNUMBER($AH$42),($AH$42-$AG$42*$BE$19/$BD$19),"")</f>
        <v/>
      </c>
      <c r="AR85" s="306">
        <f>IF(ISNUMBER($AI$42),($AI$42-$AJ$42*$BL$19/$BM$19),"")</f>
        <v/>
      </c>
      <c r="AS85" s="287">
        <f>IF(ISNUMBER($AJ$42),($AJ$42-$BK$19-($AI$42-$BJ$19)*$BI$19/$BH$19),"")</f>
        <v/>
      </c>
      <c r="AT85" s="306">
        <f>IF(ISNUMBER($AK$42),($AK$42+$BR$19+(-$AL$42-$BS$19)*$BP$19/$BQ$19),"")</f>
        <v/>
      </c>
      <c r="AU85" s="287">
        <f>IF(ISNUMBER($AL$42),(-$AL$42+$BU$19+($AK$42-$BT$19)*$BW$19/$BV$19),"")</f>
        <v/>
      </c>
      <c r="BZ85" s="693" t="n"/>
      <c r="CA85" s="693" t="n"/>
    </row>
    <row r="86" ht="12" customHeight="1" s="613">
      <c r="AA86" s="689" t="n"/>
      <c r="AB86" s="689" t="n"/>
      <c r="AD86" s="319" t="n">
        <v>3</v>
      </c>
      <c r="AE86" s="306">
        <f>IF($AD86=AE$80,(-$AE$42-$AV$19+($AF$42+$AW$19)*$AX$19/$AY$19)*$AX$28,"")</f>
        <v/>
      </c>
      <c r="AF86" s="287">
        <f>IF($AD86=AE$80,(-$AF$42-$CA$19-(-$AE$42-$BZ$19)*$BY$19/$BX$19)*$BX$28,"")</f>
        <v/>
      </c>
      <c r="AG86" s="306">
        <f>IF($AD86=AG$80,(-$AG$42+$AH$42*$BB$19/$BC$19)*$BB$28,"")</f>
        <v/>
      </c>
      <c r="AH86" s="287">
        <f>IF($AD86=AG$80,($AH$42+$BE$19+(-$AG$42-$BD$19)*$BG$19/$BF$19)*$BF$28,"")</f>
        <v/>
      </c>
      <c r="AI86" s="306">
        <f>IF($AD86=AI$80,($AI$42-$AJ$42*$BL$19/$BM$19)*$BL$28,"")</f>
        <v/>
      </c>
      <c r="AJ86" s="287">
        <f>IF($AD86=AI$80,($AJ$42-$AI$42*$BK$19/$BJ$19)*$BJ$28,"")</f>
        <v/>
      </c>
      <c r="AK86" s="306">
        <f>IF($AD86=AK$80,($AK$42+$BR$19+(-$AL$42-$BS$19)*$BP$19/$BQ$19)*$BP$28,"")</f>
        <v/>
      </c>
      <c r="AL86" s="287">
        <f>IF($AD86=AK$80,(-$AL$42+$AK$42*$BU$19/$BT$19)*$BT$28,"")</f>
        <v/>
      </c>
      <c r="AN86" s="306">
        <f>IF(ISNUMBER($AE$42),(-$AE$42-$AV$19+($AF$42+$AW$19)*$AX$19/$AY$19),"")</f>
        <v/>
      </c>
      <c r="AO86" s="287">
        <f>IF(ISNUMBER($AF$42),(-$AF$42-$CA$19-(-$AE$42-$BZ$19)*$BY$19/$BX$19),"")</f>
        <v/>
      </c>
      <c r="AP86" s="306">
        <f>IF(ISNUMBER($AG$42),(-$AG$42+$AH$42*$BB$19/$BC$19),"")</f>
        <v/>
      </c>
      <c r="AQ86" s="287">
        <f>IF(ISNUMBER($AH$42),($AH$42+$BE$19+(-$AG$42-$BD$19)*$BG$19/$BF$19),"")</f>
        <v/>
      </c>
      <c r="AR86" s="306">
        <f>IF(ISNUMBER($AI$42),($AI$42-$AJ$42*$BL$19/$BM$19),"")</f>
        <v/>
      </c>
      <c r="AS86" s="287">
        <f>IF(ISNUMBER($AJ$42),($AJ$42-$AI$42*$BK$19/$BJ$19),"")</f>
        <v/>
      </c>
      <c r="AT86" s="306">
        <f>IF(ISNUMBER($AK$42),($AK$42+$BR$19+(-$AL$42-$BS$19)*$BP$19/$BQ$19),"")</f>
        <v/>
      </c>
      <c r="AU86" s="287">
        <f>IF(ISNUMBER($AL$42),(-$AL$42+$AK$42*$BU$19/$BT$19),"")</f>
        <v/>
      </c>
      <c r="BZ86" s="693" t="n"/>
      <c r="CA86" s="693" t="n"/>
    </row>
    <row r="87" ht="12" customHeight="1" s="613">
      <c r="B87" s="463" t="n"/>
      <c r="C87" s="463" t="n"/>
      <c r="D87" s="463" t="n"/>
      <c r="E87" s="463" t="n"/>
      <c r="F87" s="463" t="n"/>
      <c r="G87" s="463" t="n"/>
      <c r="H87" s="463" t="n"/>
      <c r="L87" s="463" t="n"/>
      <c r="M87" s="463" t="n"/>
      <c r="N87" s="463" t="n"/>
      <c r="O87" s="463" t="n"/>
      <c r="P87" s="463" t="n"/>
      <c r="Q87" s="463" t="n"/>
      <c r="R87" s="463" t="n"/>
      <c r="AA87" s="689" t="n"/>
      <c r="AB87" s="689" t="n"/>
      <c r="AD87" s="319" t="n">
        <v>4</v>
      </c>
      <c r="AE87" s="286">
        <f>IF($AD87=AE$80,(-$AE$42+$AF$42*$AV$19/$AW$19)*$AV$28,"")</f>
        <v/>
      </c>
      <c r="AF87" s="285">
        <f>IF($AD87=AE$80,(-$AF$42-$CA$19-(-$AE$42-$BZ$19)*$BY$19/$BX$19)*$BX$28,"")</f>
        <v/>
      </c>
      <c r="AG87" s="286">
        <f>IF($AD87=AG$80,(-$AG$42+$BB$19+($AH$42-$BC$19)*$AZ$19/$BA$19)*$AZ$28,"")</f>
        <v/>
      </c>
      <c r="AH87" s="285">
        <f>IF($AD87=AG$80,($AH$42+$BE$19+(-$AG$42-$BD$19)*$BG$19/$BF$19)*$BF$28,"")</f>
        <v/>
      </c>
      <c r="AI87" s="286">
        <f>IF($AD87=AI$80,($AI$42-$BL$19-($AJ$42-$BM$19)*$BN$19/$BO$19)*$BN$28,"")</f>
        <v/>
      </c>
      <c r="AJ87" s="285">
        <f>IF($AD87=AI$80,($AJ$42-$AI$42*$BK$19/$BJ$19)*$BJ$28,"")</f>
        <v/>
      </c>
      <c r="AK87" s="286">
        <f>IF($AD87=AK$80,($AK$42-$AL$42*$BR$19/$BS$19)*$BR$28,"")</f>
        <v/>
      </c>
      <c r="AL87" s="285">
        <f>IF($AD87=AK$80,(-$AL$42+$AK$42*$BU$19/$BT$19)*$BT$28,"")</f>
        <v/>
      </c>
      <c r="AN87" s="286">
        <f>IF(ISNUMBER($AE$42),(-$AE$42+$AF$42*$AV$19/$AW$19),"")</f>
        <v/>
      </c>
      <c r="AO87" s="285">
        <f>IF(ISNUMBER($AF$42),(-$AF$42-$CA$19-(-$AE$42-$BZ$19)*$BY$19/$BX$19),"")</f>
        <v/>
      </c>
      <c r="AP87" s="286">
        <f>IF(ISNUMBER($AG$42),(-$AG$42+$BB$19+($AH$42-$BC$19)*$AZ$19/$BA$19),"")</f>
        <v/>
      </c>
      <c r="AQ87" s="285">
        <f>IF(ISNUMBER($AH$42),($AH$42+$BE$19+(-$AG$42-$BD$19)*$BG$19/$BF$19),"")</f>
        <v/>
      </c>
      <c r="AR87" s="286">
        <f>IF(ISNUMBER($AI$42),($AI$42-$BL$19-($AJ$42-$BM$19)*$BN$19/$BO$19),"")</f>
        <v/>
      </c>
      <c r="AS87" s="285">
        <f>IF(ISNUMBER($AJ$42),($AJ$42-$AI$42*$BK$19/$BJ$19),"")</f>
        <v/>
      </c>
      <c r="AT87" s="286">
        <f>IF(ISNUMBER($AK$42),($AK$42-$AL$42*$BR$19/$BS$19),"")</f>
        <v/>
      </c>
      <c r="AU87" s="285">
        <f>IF(ISNUMBER($AL$42),(-$AL$42+$AK$42*$BU$19/$BT$19),"")</f>
        <v/>
      </c>
      <c r="BZ87" s="693" t="n"/>
      <c r="CA87" s="693" t="n"/>
    </row>
    <row r="88" ht="12" customHeight="1" s="613">
      <c r="B88" s="476" t="n"/>
      <c r="C88" s="476" t="n"/>
      <c r="D88" s="476" t="n"/>
      <c r="E88" s="476" t="n"/>
      <c r="F88" s="476" t="n"/>
      <c r="G88" s="476" t="n"/>
      <c r="H88" s="475" t="n"/>
      <c r="L88" s="476" t="n"/>
      <c r="M88" s="476" t="n"/>
      <c r="N88" s="476" t="n"/>
      <c r="O88" s="476" t="n"/>
      <c r="P88" s="476" t="n"/>
      <c r="Q88" s="476" t="n"/>
      <c r="R88" s="475" t="n"/>
      <c r="AA88" s="689" t="n"/>
      <c r="AB88" s="689" t="n"/>
      <c r="AE88" s="284">
        <f>IF(ISNUMBER($AE$84),AE$84,IF(ISNUMBER($AE$85),AE$85,IF(ISNUMBER($AE$86),AE$86,IF(ISNUMBER($AE$87),AE$87,""))))</f>
        <v/>
      </c>
      <c r="AF88" s="283">
        <f>IF(ISNUMBER($AF$84),AF$84,IF(ISNUMBER($AF$85),AF$85,IF(ISNUMBER($AF$86),AF$86,IF(ISNUMBER($AF$87),AF$87,""))))</f>
        <v/>
      </c>
      <c r="AG88" s="284">
        <f>IF(ISNUMBER($AG$84),AG$84,IF(ISNUMBER($AG$85),AG$85,IF(ISNUMBER($AG$86),AG$86,IF(ISNUMBER($AG$87),AG$87,""))))</f>
        <v/>
      </c>
      <c r="AH88" s="283">
        <f>IF(ISNUMBER($AH$84),AH$84,IF(ISNUMBER($AH$85),AH$85,IF(ISNUMBER($AH$86),AH$86,IF(ISNUMBER($AH$87),AH$87,""))))</f>
        <v/>
      </c>
      <c r="AI88" s="284">
        <f>IF(ISNUMBER($AI$84),AI$84,IF(ISNUMBER($AI$85),AI$85,IF(ISNUMBER($AI$86),AI$86,IF(ISNUMBER($AI$87),AI$87,""))))</f>
        <v/>
      </c>
      <c r="AJ88" s="283">
        <f>IF(ISNUMBER($AJ$84),AJ$84,IF(ISNUMBER($AJ$85),AJ$85,IF(ISNUMBER($AJ$86),AJ$86,IF(ISNUMBER($AJ$87),AJ$87,""))))</f>
        <v/>
      </c>
      <c r="AK88" s="284">
        <f>IF(ISNUMBER($AK$84),AK$84,IF(ISNUMBER($AK$85),AK$85,IF(ISNUMBER($AK$86),AK$86,IF(ISNUMBER($AK$87),AK$87,""))))</f>
        <v/>
      </c>
      <c r="AL88" s="283">
        <f>IF(ISNUMBER($AL$84),AL$84,IF(ISNUMBER($AL$85),AL$85,IF(ISNUMBER($AL$86),AL$86,IF(ISNUMBER($AL$87),AL$87,""))))</f>
        <v/>
      </c>
      <c r="BZ88" s="693" t="n"/>
      <c r="CA88" s="693" t="n"/>
    </row>
    <row r="89" ht="12" customHeight="1" s="613">
      <c r="AA89" s="689" t="n"/>
      <c r="AB89" s="689" t="n"/>
      <c r="BZ89" s="693" t="n"/>
      <c r="CA89" s="693" t="n"/>
    </row>
    <row r="90" ht="12" customHeight="1" s="613">
      <c r="AA90" s="689" t="n"/>
      <c r="AB90" s="689" t="n"/>
      <c r="BZ90" s="693" t="n"/>
      <c r="CA90" s="693" t="n"/>
    </row>
    <row r="91" ht="12" customHeight="1" s="613">
      <c r="AA91" s="689" t="n"/>
      <c r="AB91" s="689" t="n"/>
      <c r="BZ91" s="693" t="n"/>
      <c r="CA91" s="693" t="n"/>
    </row>
    <row r="92" ht="12" customHeight="1" s="613">
      <c r="B92" s="463" t="n"/>
      <c r="C92" s="463" t="n"/>
      <c r="D92" s="463" t="n"/>
      <c r="E92" s="463" t="n"/>
      <c r="F92" s="463" t="n"/>
      <c r="G92" s="463" t="n"/>
      <c r="H92" s="463" t="n"/>
      <c r="L92" s="463" t="n"/>
      <c r="M92" s="463" t="n"/>
      <c r="N92" s="463" t="n"/>
      <c r="O92" s="463" t="n"/>
      <c r="P92" s="463" t="n"/>
      <c r="Q92" s="463" t="n"/>
      <c r="R92" s="463" t="n"/>
      <c r="AA92" s="689" t="n"/>
      <c r="AB92" s="689" t="n"/>
      <c r="BZ92" s="693" t="n"/>
      <c r="CA92" s="693" t="n"/>
    </row>
    <row r="93">
      <c r="B93" s="476" t="n"/>
      <c r="C93" s="476" t="n"/>
      <c r="D93" s="476" t="n"/>
      <c r="E93" s="476" t="n"/>
      <c r="F93" s="476" t="n"/>
      <c r="G93" s="476" t="n"/>
      <c r="L93" s="476" t="n"/>
      <c r="M93" s="476" t="n"/>
      <c r="N93" s="476" t="n"/>
      <c r="O93" s="476" t="n"/>
      <c r="P93" s="476" t="n"/>
      <c r="Q93" s="476" t="n"/>
      <c r="R93" s="475" t="n"/>
      <c r="AA93" s="689" t="n"/>
      <c r="AB93" s="689" t="n"/>
      <c r="BZ93" s="693" t="n"/>
      <c r="CA93" s="693" t="n"/>
    </row>
    <row r="94">
      <c r="AA94" s="689" t="n"/>
      <c r="AB94" s="689" t="n"/>
      <c r="BZ94" s="693" t="n"/>
      <c r="CA94" s="693" t="n"/>
    </row>
    <row r="95">
      <c r="AA95" s="689" t="n"/>
      <c r="AB95" s="689" t="n"/>
      <c r="BZ95" s="693" t="n"/>
      <c r="CA95" s="693" t="n"/>
    </row>
    <row r="96">
      <c r="AA96" s="689" t="n"/>
      <c r="AB96" s="689" t="n"/>
      <c r="BZ96" s="693" t="n"/>
      <c r="CA96" s="693" t="n"/>
    </row>
    <row r="97">
      <c r="B97" s="463" t="n"/>
      <c r="C97" s="463" t="n"/>
      <c r="D97" s="463" t="n"/>
      <c r="E97" s="463" t="n"/>
      <c r="F97" s="463" t="n"/>
      <c r="G97" s="463" t="n"/>
      <c r="H97" s="463" t="n"/>
      <c r="L97" s="463" t="n"/>
      <c r="M97" s="463" t="n"/>
      <c r="N97" s="463" t="n"/>
      <c r="O97" s="463" t="n"/>
      <c r="P97" s="463" t="n"/>
      <c r="Q97" s="463" t="n"/>
      <c r="R97" s="463" t="n"/>
      <c r="AA97" s="689" t="n"/>
      <c r="AB97" s="689" t="n"/>
      <c r="BZ97" s="693" t="n"/>
      <c r="CA97" s="693" t="n"/>
    </row>
    <row r="98">
      <c r="B98" s="476" t="n"/>
      <c r="C98" s="476" t="n"/>
      <c r="D98" s="476" t="n"/>
      <c r="E98" s="476" t="n"/>
      <c r="F98" s="476" t="n"/>
      <c r="G98" s="476" t="n"/>
      <c r="L98" s="476" t="n"/>
      <c r="M98" s="476" t="n"/>
      <c r="N98" s="476" t="n"/>
      <c r="O98" s="476" t="n"/>
      <c r="P98" s="476" t="n"/>
      <c r="Q98" s="476" t="n"/>
      <c r="R98" s="475" t="n"/>
      <c r="AA98" s="689" t="n"/>
      <c r="AB98" s="689" t="n"/>
      <c r="BZ98" s="693" t="n"/>
      <c r="CA98" s="693" t="n"/>
    </row>
    <row r="99">
      <c r="AA99" s="689" t="n"/>
      <c r="AB99" s="689" t="n"/>
      <c r="BZ99" s="693" t="n"/>
      <c r="CA99" s="693" t="n"/>
    </row>
    <row r="100">
      <c r="AA100" s="689" t="n"/>
      <c r="AB100" s="689" t="n"/>
      <c r="BZ100" s="693" t="n"/>
      <c r="CA100" s="693" t="n"/>
    </row>
    <row r="101">
      <c r="AA101" s="689" t="n"/>
      <c r="AB101" s="689" t="n"/>
      <c r="BZ101" s="693" t="n"/>
      <c r="CA101" s="693" t="n"/>
    </row>
    <row r="102">
      <c r="B102" s="463" t="n"/>
      <c r="C102" s="463" t="n"/>
      <c r="D102" s="463" t="n"/>
      <c r="E102" s="463" t="n"/>
      <c r="F102" s="463" t="n"/>
      <c r="G102" s="463" t="n"/>
      <c r="H102" s="463" t="n"/>
      <c r="L102" s="463" t="n"/>
      <c r="M102" s="463" t="n"/>
      <c r="N102" s="463" t="n"/>
      <c r="O102" s="463" t="n"/>
      <c r="P102" s="463" t="n"/>
      <c r="Q102" s="463" t="n"/>
      <c r="R102" s="463" t="n"/>
      <c r="AA102" s="689" t="n"/>
      <c r="AB102" s="689" t="n"/>
      <c r="BZ102" s="693" t="n"/>
      <c r="CA102" s="693" t="n"/>
    </row>
    <row r="103">
      <c r="B103" s="476" t="n"/>
      <c r="C103" s="476" t="n"/>
      <c r="D103" s="476" t="n"/>
      <c r="E103" s="476" t="n"/>
      <c r="F103" s="476" t="n"/>
      <c r="G103" s="476" t="n"/>
      <c r="L103" s="476" t="n"/>
      <c r="M103" s="476" t="n"/>
      <c r="N103" s="476" t="n"/>
      <c r="O103" s="476" t="n"/>
      <c r="P103" s="476" t="n"/>
      <c r="Q103" s="476" t="n"/>
      <c r="R103" s="475" t="n"/>
      <c r="AA103" s="689" t="n"/>
      <c r="AB103" s="689" t="n"/>
      <c r="BZ103" s="693" t="n"/>
      <c r="CA103" s="693" t="n"/>
    </row>
    <row r="104">
      <c r="AA104" s="689" t="n"/>
      <c r="AB104" s="689" t="n"/>
      <c r="BZ104" s="693" t="n"/>
      <c r="CA104" s="693" t="n"/>
    </row>
    <row r="105">
      <c r="AA105" s="689" t="n"/>
      <c r="AB105" s="689" t="n"/>
      <c r="BZ105" s="693" t="n"/>
      <c r="CA105" s="693" t="n"/>
    </row>
    <row r="106">
      <c r="AA106" s="689" t="n"/>
      <c r="AB106" s="689" t="n"/>
      <c r="BZ106" s="693" t="n"/>
      <c r="CA106" s="693" t="n"/>
    </row>
    <row r="107">
      <c r="AA107" s="689" t="n"/>
      <c r="AB107" s="689" t="n"/>
      <c r="BZ107" s="693" t="n"/>
      <c r="CA107" s="693" t="n"/>
    </row>
    <row r="108">
      <c r="AA108" s="689" t="n"/>
      <c r="AB108" s="689" t="n"/>
      <c r="BZ108" s="693" t="n"/>
      <c r="CA108" s="693" t="n"/>
    </row>
    <row r="109">
      <c r="AA109" s="689" t="n"/>
      <c r="AB109" s="689" t="n"/>
      <c r="BZ109" s="693" t="n"/>
      <c r="CA109" s="693" t="n"/>
    </row>
    <row r="110">
      <c r="AA110" s="689" t="n"/>
      <c r="AB110" s="689" t="n"/>
      <c r="BZ110" s="693" t="n"/>
      <c r="CA110" s="693" t="n"/>
    </row>
    <row r="111">
      <c r="AA111" s="689" t="n"/>
      <c r="AB111" s="689" t="n"/>
      <c r="BZ111" s="693" t="n"/>
      <c r="CA111" s="693" t="n"/>
    </row>
    <row r="112">
      <c r="AA112" s="689" t="n"/>
      <c r="AB112" s="689" t="n"/>
      <c r="BZ112" s="693" t="n"/>
      <c r="CA112" s="693" t="n"/>
    </row>
    <row r="113">
      <c r="AA113" s="689" t="n"/>
      <c r="AB113" s="689" t="n"/>
      <c r="BZ113" s="693" t="n"/>
      <c r="CA113" s="693" t="n"/>
    </row>
    <row r="114">
      <c r="AA114" s="689" t="n"/>
      <c r="AB114" s="689" t="n"/>
      <c r="BZ114" s="693" t="n"/>
      <c r="CA114" s="693" t="n"/>
    </row>
    <row r="115">
      <c r="AA115" s="689" t="n"/>
      <c r="AB115" s="689" t="n"/>
      <c r="BZ115" s="693" t="n"/>
      <c r="CA115" s="693" t="n"/>
    </row>
    <row r="116">
      <c r="AA116" s="689" t="n"/>
      <c r="AB116" s="689" t="n"/>
      <c r="BZ116" s="693" t="n"/>
      <c r="CA116" s="693" t="n"/>
    </row>
    <row r="117">
      <c r="AA117" s="689" t="n"/>
      <c r="AB117" s="689" t="n"/>
      <c r="BZ117" s="693" t="n"/>
      <c r="CA117" s="693" t="n"/>
    </row>
    <row r="118">
      <c r="AA118" s="689" t="n"/>
      <c r="AB118" s="689" t="n"/>
      <c r="BZ118" s="693" t="n"/>
      <c r="CA118" s="693" t="n"/>
    </row>
    <row r="119">
      <c r="AA119" s="689" t="n"/>
      <c r="AB119" s="689" t="n"/>
      <c r="BZ119" s="693" t="n"/>
      <c r="CA119" s="693" t="n"/>
    </row>
    <row r="120">
      <c r="AA120" s="689" t="n"/>
      <c r="AB120" s="689" t="n"/>
      <c r="BZ120" s="693" t="n"/>
      <c r="CA120" s="693" t="n"/>
    </row>
    <row r="121">
      <c r="AA121" s="689" t="n"/>
      <c r="AB121" s="689" t="n"/>
      <c r="BZ121" s="693" t="n"/>
      <c r="CA121" s="693" t="n"/>
    </row>
    <row r="122">
      <c r="AA122" s="689" t="n"/>
      <c r="AB122" s="689" t="n"/>
      <c r="BZ122" s="693" t="n"/>
      <c r="CA122" s="693" t="n"/>
    </row>
    <row r="123">
      <c r="AA123" s="689" t="n"/>
      <c r="AB123" s="689" t="n"/>
      <c r="BZ123" s="693" t="n"/>
      <c r="CA123" s="693" t="n"/>
    </row>
    <row r="124">
      <c r="AA124" s="689" t="n"/>
      <c r="AB124" s="689" t="n"/>
      <c r="BZ124" s="693" t="n"/>
      <c r="CA124" s="693" t="n"/>
    </row>
    <row r="125">
      <c r="AA125" s="689" t="n"/>
      <c r="AB125" s="689" t="n"/>
      <c r="BZ125" s="693" t="n"/>
      <c r="CA125" s="693" t="n"/>
    </row>
    <row r="126">
      <c r="AA126" s="689" t="n"/>
      <c r="AB126" s="689" t="n"/>
      <c r="BZ126" s="693" t="n"/>
      <c r="CA126" s="693" t="n"/>
    </row>
    <row r="127">
      <c r="AA127" s="689" t="n"/>
      <c r="AB127" s="689" t="n"/>
      <c r="BZ127" s="693" t="n"/>
      <c r="CA127" s="693" t="n"/>
    </row>
    <row r="128">
      <c r="AA128" s="689" t="n"/>
      <c r="AB128" s="689" t="n"/>
      <c r="BZ128" s="693" t="n"/>
      <c r="CA128" s="693" t="n"/>
    </row>
    <row r="129">
      <c r="AA129" s="689" t="n"/>
      <c r="AB129" s="689" t="n"/>
      <c r="BZ129" s="693" t="n"/>
      <c r="CA129" s="693" t="n"/>
    </row>
    <row r="130">
      <c r="AA130" s="689" t="n"/>
      <c r="AB130" s="689" t="n"/>
      <c r="BZ130" s="693" t="n"/>
      <c r="CA130" s="693" t="n"/>
    </row>
    <row r="131">
      <c r="AA131" s="689" t="n"/>
      <c r="AB131" s="689" t="n"/>
      <c r="BZ131" s="693" t="n"/>
      <c r="CA131" s="693" t="n"/>
    </row>
    <row r="132">
      <c r="AA132" s="689" t="n"/>
      <c r="AB132" s="689" t="n"/>
      <c r="BZ132" s="693" t="n"/>
      <c r="CA132" s="693" t="n"/>
    </row>
    <row r="133">
      <c r="AA133" s="689" t="n"/>
      <c r="AB133" s="689" t="n"/>
      <c r="BZ133" s="693" t="n"/>
      <c r="CA133" s="693" t="n"/>
    </row>
    <row r="134">
      <c r="AA134" s="689" t="n"/>
      <c r="AB134" s="689" t="n"/>
      <c r="BZ134" s="693" t="n"/>
      <c r="CA134" s="693" t="n"/>
    </row>
    <row r="135">
      <c r="AA135" s="689" t="n"/>
      <c r="AB135" s="689" t="n"/>
      <c r="BZ135" s="693" t="n"/>
      <c r="CA135" s="693" t="n"/>
    </row>
    <row r="136">
      <c r="AA136" s="689" t="n"/>
      <c r="AB136" s="689" t="n"/>
      <c r="BZ136" s="693" t="n"/>
      <c r="CA136" s="693" t="n"/>
    </row>
    <row r="137">
      <c r="AA137" s="689" t="n"/>
      <c r="AB137" s="689" t="n"/>
      <c r="BZ137" s="693" t="n"/>
      <c r="CA137" s="693" t="n"/>
    </row>
    <row r="138">
      <c r="AA138" s="689" t="n"/>
      <c r="AB138" s="689" t="n"/>
      <c r="BZ138" s="693" t="n"/>
      <c r="CA138" s="693" t="n"/>
    </row>
    <row r="139">
      <c r="AA139" s="689" t="n"/>
      <c r="AB139" s="689" t="n"/>
      <c r="BZ139" s="693" t="n"/>
      <c r="CA139" s="693" t="n"/>
    </row>
    <row r="140">
      <c r="AA140" s="689" t="n"/>
      <c r="AB140" s="689" t="n"/>
      <c r="BZ140" s="693" t="n"/>
      <c r="CA140" s="693" t="n"/>
    </row>
    <row r="141">
      <c r="AA141" s="689" t="n"/>
      <c r="AB141" s="689" t="n"/>
      <c r="BZ141" s="693" t="n"/>
      <c r="CA141" s="693" t="n"/>
    </row>
    <row r="142">
      <c r="AA142" s="689" t="n"/>
      <c r="AB142" s="689" t="n"/>
      <c r="BZ142" s="693" t="n"/>
      <c r="CA142" s="693" t="n"/>
    </row>
    <row r="143">
      <c r="AA143" s="689" t="n"/>
      <c r="AB143" s="689" t="n"/>
      <c r="BZ143" s="693" t="n"/>
      <c r="CA143" s="693" t="n"/>
    </row>
    <row r="144">
      <c r="AA144" s="689" t="n"/>
      <c r="AB144" s="689" t="n"/>
      <c r="BZ144" s="693" t="n"/>
      <c r="CA144" s="693" t="n"/>
    </row>
    <row r="145">
      <c r="AA145" s="689" t="n"/>
      <c r="AB145" s="689" t="n"/>
      <c r="BZ145" s="693" t="n"/>
      <c r="CA145" s="693" t="n"/>
    </row>
    <row r="146">
      <c r="AA146" s="689" t="n"/>
      <c r="AB146" s="689" t="n"/>
      <c r="BZ146" s="693" t="n"/>
      <c r="CA146" s="693" t="n"/>
    </row>
    <row r="147">
      <c r="AA147" s="689" t="n"/>
      <c r="AB147" s="689" t="n"/>
      <c r="BZ147" s="693" t="n"/>
      <c r="CA147" s="693" t="n"/>
    </row>
    <row r="148">
      <c r="AA148" s="689" t="n"/>
      <c r="AB148" s="689" t="n"/>
      <c r="BZ148" s="693" t="n"/>
      <c r="CA148" s="693" t="n"/>
    </row>
    <row r="149">
      <c r="AA149" s="689" t="n"/>
      <c r="AB149" s="689" t="n"/>
      <c r="BZ149" s="693" t="n"/>
      <c r="CA149" s="693" t="n"/>
    </row>
    <row r="150">
      <c r="AA150" s="689" t="n"/>
      <c r="AB150" s="689" t="n"/>
      <c r="BZ150" s="693" t="n"/>
      <c r="CA150" s="693" t="n"/>
    </row>
    <row r="151">
      <c r="AA151" s="689" t="n"/>
      <c r="AB151" s="689" t="n"/>
      <c r="BZ151" s="693" t="n"/>
      <c r="CA151" s="693" t="n"/>
    </row>
    <row r="152">
      <c r="AA152" s="689" t="n"/>
      <c r="AB152" s="689" t="n"/>
      <c r="BZ152" s="693" t="n"/>
      <c r="CA152" s="693" t="n"/>
    </row>
    <row r="153">
      <c r="AA153" s="689" t="n"/>
      <c r="AB153" s="689" t="n"/>
      <c r="BZ153" s="693" t="n"/>
      <c r="CA153" s="693" t="n"/>
    </row>
    <row r="154">
      <c r="AA154" s="689" t="n"/>
      <c r="AB154" s="689" t="n"/>
      <c r="BZ154" s="693" t="n"/>
      <c r="CA154" s="693" t="n"/>
    </row>
    <row r="155">
      <c r="BZ155" s="693" t="n"/>
      <c r="CA155" s="693" t="n"/>
    </row>
  </sheetData>
  <mergeCells count="124">
    <mergeCell ref="BL17:BM17"/>
    <mergeCell ref="BN17:BO17"/>
    <mergeCell ref="BX17:BY17"/>
    <mergeCell ref="BZ17:CA17"/>
    <mergeCell ref="AK71:AL71"/>
    <mergeCell ref="AE47:AF47"/>
    <mergeCell ref="AK18:AL18"/>
    <mergeCell ref="AV17:AW17"/>
    <mergeCell ref="AC24:AD24"/>
    <mergeCell ref="BL24:BS24"/>
    <mergeCell ref="AO18:AP18"/>
    <mergeCell ref="Q26:R26"/>
    <mergeCell ref="AQ18:AR18"/>
    <mergeCell ref="AI50:AJ50"/>
    <mergeCell ref="AE82:AF82"/>
    <mergeCell ref="AV24:BC24"/>
    <mergeCell ref="AZ20:BC20"/>
    <mergeCell ref="AE60:AF60"/>
    <mergeCell ref="AE68:AF68"/>
    <mergeCell ref="AG68:AH68"/>
    <mergeCell ref="AI68:AJ68"/>
    <mergeCell ref="AC36:AD36"/>
    <mergeCell ref="AG58:AH58"/>
    <mergeCell ref="AE45:AF45"/>
    <mergeCell ref="V56:W56"/>
    <mergeCell ref="BT20:BW20"/>
    <mergeCell ref="AI48:AJ48"/>
    <mergeCell ref="AK48:AL48"/>
    <mergeCell ref="AG60:AH60"/>
    <mergeCell ref="I6:J6"/>
    <mergeCell ref="AG69:AH69"/>
    <mergeCell ref="AI69:AJ69"/>
    <mergeCell ref="AE50:AF50"/>
    <mergeCell ref="AE46:AF46"/>
    <mergeCell ref="AG46:AH46"/>
    <mergeCell ref="AK47:AL47"/>
    <mergeCell ref="L38:M41"/>
    <mergeCell ref="AC30:AD30"/>
    <mergeCell ref="BD17:BE17"/>
    <mergeCell ref="AI80:AJ80"/>
    <mergeCell ref="W39:X40"/>
    <mergeCell ref="E5:H5"/>
    <mergeCell ref="AI79:AJ79"/>
    <mergeCell ref="AK79:AL79"/>
    <mergeCell ref="BH17:BI17"/>
    <mergeCell ref="BJ17:BK17"/>
    <mergeCell ref="BT17:BU17"/>
    <mergeCell ref="BV17:BW17"/>
    <mergeCell ref="AE48:AF48"/>
    <mergeCell ref="AE57:AF57"/>
    <mergeCell ref="AK50:AL50"/>
    <mergeCell ref="AG57:AH57"/>
    <mergeCell ref="AG71:AH71"/>
    <mergeCell ref="G26:H26"/>
    <mergeCell ref="AI71:AJ71"/>
    <mergeCell ref="BD24:BK24"/>
    <mergeCell ref="AC17:AT17"/>
    <mergeCell ref="AG18:AH18"/>
    <mergeCell ref="B6:C6"/>
    <mergeCell ref="AI18:AJ18"/>
    <mergeCell ref="AI58:AJ58"/>
    <mergeCell ref="T5:V5"/>
    <mergeCell ref="BL20:BO20"/>
    <mergeCell ref="K6:L6"/>
    <mergeCell ref="AM18:AN18"/>
    <mergeCell ref="BP20:BS20"/>
    <mergeCell ref="AI57:AJ57"/>
    <mergeCell ref="BT24:CA24"/>
    <mergeCell ref="B7:C7"/>
    <mergeCell ref="G42:H42"/>
    <mergeCell ref="V23:W23"/>
    <mergeCell ref="Q42:R42"/>
    <mergeCell ref="B56:C56"/>
    <mergeCell ref="AV20:AY20"/>
    <mergeCell ref="AI60:AJ60"/>
    <mergeCell ref="AG80:AH80"/>
    <mergeCell ref="AC42:AD42"/>
    <mergeCell ref="AG48:AH48"/>
    <mergeCell ref="AX17:AY17"/>
    <mergeCell ref="E6:F6"/>
    <mergeCell ref="BP17:BQ17"/>
    <mergeCell ref="AG45:AH45"/>
    <mergeCell ref="C2:G2"/>
    <mergeCell ref="AI46:AJ46"/>
    <mergeCell ref="AK46:AL46"/>
    <mergeCell ref="B9:C9"/>
    <mergeCell ref="AG47:AH47"/>
    <mergeCell ref="AI47:AJ47"/>
    <mergeCell ref="AZ17:BA17"/>
    <mergeCell ref="BB17:BC17"/>
    <mergeCell ref="AE79:AF79"/>
    <mergeCell ref="AS18:AT18"/>
    <mergeCell ref="AG79:AH79"/>
    <mergeCell ref="BF17:BG17"/>
    <mergeCell ref="AG82:AH82"/>
    <mergeCell ref="AI82:AJ82"/>
    <mergeCell ref="AK82:AL82"/>
    <mergeCell ref="BR17:BS17"/>
    <mergeCell ref="AK57:AL57"/>
    <mergeCell ref="AG50:AH50"/>
    <mergeCell ref="C3:G3"/>
    <mergeCell ref="AE71:AF71"/>
    <mergeCell ref="BD20:BG20"/>
    <mergeCell ref="AE18:AF18"/>
    <mergeCell ref="AE58:AF58"/>
    <mergeCell ref="AK68:AL68"/>
    <mergeCell ref="B23:C23"/>
    <mergeCell ref="AK58:AL58"/>
    <mergeCell ref="BH20:BK20"/>
    <mergeCell ref="G6:H6"/>
    <mergeCell ref="L23:M23"/>
    <mergeCell ref="B8:C8"/>
    <mergeCell ref="AI45:AJ45"/>
    <mergeCell ref="AK45:AL45"/>
    <mergeCell ref="A39:B40"/>
    <mergeCell ref="BX20:CA20"/>
    <mergeCell ref="AK60:AL60"/>
    <mergeCell ref="AK69:AL69"/>
    <mergeCell ref="B10:C10"/>
    <mergeCell ref="AE69:AF69"/>
    <mergeCell ref="L56:M56"/>
    <mergeCell ref="AK80:AL80"/>
    <mergeCell ref="AE80:AF80"/>
    <mergeCell ref="I5:L5"/>
  </mergeCells>
  <conditionalFormatting sqref="AE48:AF48">
    <cfRule type="cellIs" priority="175" operator="between" dxfId="46">
      <formula>1</formula>
      <formula>4</formula>
    </cfRule>
  </conditionalFormatting>
  <conditionalFormatting sqref="AG48:AH48">
    <cfRule type="cellIs" priority="174" operator="between" dxfId="46">
      <formula>1</formula>
      <formula>4</formula>
    </cfRule>
  </conditionalFormatting>
  <conditionalFormatting sqref="AI48:AJ48">
    <cfRule type="cellIs" priority="173" operator="between" dxfId="46">
      <formula>1</formula>
      <formula>4</formula>
    </cfRule>
  </conditionalFormatting>
  <conditionalFormatting sqref="AK48:AL48">
    <cfRule type="cellIs" priority="172" operator="between" dxfId="46">
      <formula>1</formula>
      <formula>4</formula>
    </cfRule>
  </conditionalFormatting>
  <conditionalFormatting sqref="AE75:AF75">
    <cfRule type="expression" priority="137" dxfId="46">
      <formula>$AE$69=3</formula>
    </cfRule>
  </conditionalFormatting>
  <conditionalFormatting sqref="AE76:AF76">
    <cfRule type="expression" priority="136" dxfId="46">
      <formula>$AE$69=4</formula>
    </cfRule>
  </conditionalFormatting>
  <conditionalFormatting sqref="AG74:AH74">
    <cfRule type="expression" priority="135" dxfId="46">
      <formula>$AG$69=2</formula>
    </cfRule>
  </conditionalFormatting>
  <conditionalFormatting sqref="AG73:AH73">
    <cfRule type="expression" priority="134" dxfId="46">
      <formula>$AG$69=1</formula>
    </cfRule>
  </conditionalFormatting>
  <conditionalFormatting sqref="AG75:AH75">
    <cfRule type="expression" priority="133" dxfId="46">
      <formula>$AG$69=3</formula>
    </cfRule>
  </conditionalFormatting>
  <conditionalFormatting sqref="AG76:AH76">
    <cfRule type="expression" priority="132" dxfId="46">
      <formula>$AG$69=4</formula>
    </cfRule>
  </conditionalFormatting>
  <conditionalFormatting sqref="AI74:AJ74">
    <cfRule type="expression" priority="131" dxfId="46">
      <formula>$AI$69=2</formula>
    </cfRule>
  </conditionalFormatting>
  <conditionalFormatting sqref="AI73:AJ73">
    <cfRule type="expression" priority="130" dxfId="46">
      <formula>$AI$69=1</formula>
    </cfRule>
  </conditionalFormatting>
  <conditionalFormatting sqref="AI75:AJ75">
    <cfRule type="expression" priority="129" dxfId="46">
      <formula>$AI$69=3</formula>
    </cfRule>
  </conditionalFormatting>
  <conditionalFormatting sqref="AI76:AJ76">
    <cfRule type="expression" priority="128" dxfId="46">
      <formula>$AI$69=4</formula>
    </cfRule>
  </conditionalFormatting>
  <conditionalFormatting sqref="AK74:AL74">
    <cfRule type="expression" priority="127" dxfId="46">
      <formula>$AK$69=2</formula>
    </cfRule>
  </conditionalFormatting>
  <conditionalFormatting sqref="AK73:AL73">
    <cfRule type="expression" priority="126" dxfId="46">
      <formula>$AK$69=1</formula>
    </cfRule>
  </conditionalFormatting>
  <conditionalFormatting sqref="AK75:AL75">
    <cfRule type="expression" priority="125" dxfId="46">
      <formula>$AK$69=3</formula>
    </cfRule>
  </conditionalFormatting>
  <conditionalFormatting sqref="AK76:AL76">
    <cfRule type="expression" priority="124" dxfId="46">
      <formula>$AK$69=4</formula>
    </cfRule>
  </conditionalFormatting>
  <conditionalFormatting sqref="AE52:AF52">
    <cfRule type="expression" priority="171" dxfId="46">
      <formula>$AE48=1</formula>
    </cfRule>
  </conditionalFormatting>
  <conditionalFormatting sqref="AG52:AH52">
    <cfRule type="expression" priority="170" dxfId="46">
      <formula>$AG48=1</formula>
    </cfRule>
  </conditionalFormatting>
  <conditionalFormatting sqref="AI52:AJ52">
    <cfRule type="expression" priority="169" dxfId="46">
      <formula>$AI48=1</formula>
    </cfRule>
  </conditionalFormatting>
  <conditionalFormatting sqref="AK52:AL52">
    <cfRule type="expression" priority="168" dxfId="46">
      <formula>$AK48=1</formula>
    </cfRule>
  </conditionalFormatting>
  <conditionalFormatting sqref="AE53:AF53">
    <cfRule type="expression" priority="167" dxfId="46">
      <formula>$AE48=2</formula>
    </cfRule>
  </conditionalFormatting>
  <conditionalFormatting sqref="AG53:AH53">
    <cfRule type="expression" priority="166" dxfId="46">
      <formula>$AG48=2</formula>
    </cfRule>
  </conditionalFormatting>
  <conditionalFormatting sqref="AI53:AJ53">
    <cfRule type="expression" priority="165" dxfId="46">
      <formula>$AI48=2</formula>
    </cfRule>
  </conditionalFormatting>
  <conditionalFormatting sqref="AK53:AL53">
    <cfRule type="expression" priority="164" dxfId="46">
      <formula>$AK48=2</formula>
    </cfRule>
  </conditionalFormatting>
  <conditionalFormatting sqref="AE54:AF54">
    <cfRule type="expression" priority="163" dxfId="46">
      <formula>$AE48=3</formula>
    </cfRule>
  </conditionalFormatting>
  <conditionalFormatting sqref="AG54:AH54">
    <cfRule type="expression" priority="162" dxfId="46">
      <formula>$AG48=3</formula>
    </cfRule>
  </conditionalFormatting>
  <conditionalFormatting sqref="AI54:AJ54">
    <cfRule type="expression" priority="161" dxfId="46">
      <formula>$AI48=3</formula>
    </cfRule>
  </conditionalFormatting>
  <conditionalFormatting sqref="AK54:AL54">
    <cfRule type="expression" priority="160" dxfId="46">
      <formula>$AK48=3</formula>
    </cfRule>
  </conditionalFormatting>
  <conditionalFormatting sqref="AE55:AF55">
    <cfRule type="expression" priority="159" dxfId="46">
      <formula>$AE48=4</formula>
    </cfRule>
  </conditionalFormatting>
  <conditionalFormatting sqref="AG55:AH55">
    <cfRule type="expression" priority="158" dxfId="46">
      <formula>$AG48=4</formula>
    </cfRule>
  </conditionalFormatting>
  <conditionalFormatting sqref="AI55:AJ55">
    <cfRule type="expression" priority="157" dxfId="46">
      <formula>$AI48=4</formula>
    </cfRule>
  </conditionalFormatting>
  <conditionalFormatting sqref="AK55:AL55">
    <cfRule type="expression" priority="156" dxfId="46">
      <formula>$AK48=4</formula>
    </cfRule>
  </conditionalFormatting>
  <conditionalFormatting sqref="AE65:AF65">
    <cfRule type="expression" priority="155" dxfId="46">
      <formula>$AE$58=4</formula>
    </cfRule>
  </conditionalFormatting>
  <conditionalFormatting sqref="AG65:AH65">
    <cfRule type="expression" priority="154" dxfId="46">
      <formula>$AG$58=4</formula>
    </cfRule>
  </conditionalFormatting>
  <conditionalFormatting sqref="AI65:AJ65">
    <cfRule type="expression" priority="153" dxfId="46">
      <formula>$AI$58=4</formula>
    </cfRule>
  </conditionalFormatting>
  <conditionalFormatting sqref="AK65:AL65">
    <cfRule type="expression" priority="152" dxfId="46">
      <formula>$AK$58=4</formula>
    </cfRule>
  </conditionalFormatting>
  <conditionalFormatting sqref="AE64:AF64">
    <cfRule type="expression" priority="151" dxfId="46">
      <formula>$AE$58=3</formula>
    </cfRule>
  </conditionalFormatting>
  <conditionalFormatting sqref="AG64:AH64">
    <cfRule type="expression" priority="150" dxfId="46">
      <formula>$AG$58=3</formula>
    </cfRule>
  </conditionalFormatting>
  <conditionalFormatting sqref="AI64:AJ64">
    <cfRule type="expression" priority="149" dxfId="46">
      <formula>$AI$58=3</formula>
    </cfRule>
  </conditionalFormatting>
  <conditionalFormatting sqref="AK64:AL64">
    <cfRule type="expression" priority="148" dxfId="46">
      <formula>$AK$58=3</formula>
    </cfRule>
  </conditionalFormatting>
  <conditionalFormatting sqref="AE63:AF63">
    <cfRule type="expression" priority="147" dxfId="46">
      <formula>$AE$58=2</formula>
    </cfRule>
  </conditionalFormatting>
  <conditionalFormatting sqref="AG63:AH63">
    <cfRule type="expression" priority="146" dxfId="46">
      <formula>$AG$58=2</formula>
    </cfRule>
  </conditionalFormatting>
  <conditionalFormatting sqref="AI63:AJ63">
    <cfRule type="expression" priority="145" dxfId="46">
      <formula>$AI$58=2</formula>
    </cfRule>
  </conditionalFormatting>
  <conditionalFormatting sqref="AK63:AL63">
    <cfRule type="expression" priority="144" dxfId="46">
      <formula>$AK$58=2</formula>
    </cfRule>
  </conditionalFormatting>
  <conditionalFormatting sqref="AE62:AF62">
    <cfRule type="expression" priority="143" dxfId="46">
      <formula>$AE$58=1</formula>
    </cfRule>
  </conditionalFormatting>
  <conditionalFormatting sqref="AG62:AH62">
    <cfRule type="expression" priority="142" dxfId="46">
      <formula>$AG$58=1</formula>
    </cfRule>
  </conditionalFormatting>
  <conditionalFormatting sqref="AI62:AJ62">
    <cfRule type="expression" priority="141" dxfId="46">
      <formula>$AI$58=1</formula>
    </cfRule>
  </conditionalFormatting>
  <conditionalFormatting sqref="AK62:AL62">
    <cfRule type="expression" priority="140" dxfId="46">
      <formula>$AK$58=1</formula>
    </cfRule>
  </conditionalFormatting>
  <conditionalFormatting sqref="AE74:AF74">
    <cfRule type="expression" priority="139" dxfId="46">
      <formula>$AE$69=2</formula>
    </cfRule>
  </conditionalFormatting>
  <conditionalFormatting sqref="AE73:AF73">
    <cfRule type="expression" priority="138" dxfId="46">
      <formula>$AE$69=1</formula>
    </cfRule>
  </conditionalFormatting>
  <conditionalFormatting sqref="AE87:AF87">
    <cfRule type="expression" priority="123" dxfId="46">
      <formula>$AE$80=4</formula>
    </cfRule>
  </conditionalFormatting>
  <conditionalFormatting sqref="AG87:AH87">
    <cfRule type="expression" priority="122" dxfId="46">
      <formula>$AG$80=4</formula>
    </cfRule>
  </conditionalFormatting>
  <conditionalFormatting sqref="AI87:AJ87">
    <cfRule type="expression" priority="121" dxfId="46">
      <formula>$AI$80=4</formula>
    </cfRule>
  </conditionalFormatting>
  <conditionalFormatting sqref="AK87:AL87">
    <cfRule type="expression" priority="120" dxfId="46">
      <formula>$AK$80=4</formula>
    </cfRule>
  </conditionalFormatting>
  <conditionalFormatting sqref="AE86:AF86">
    <cfRule type="expression" priority="119" dxfId="46">
      <formula>$AE$80=3</formula>
    </cfRule>
  </conditionalFormatting>
  <conditionalFormatting sqref="AG86:AH86">
    <cfRule type="expression" priority="118" dxfId="46">
      <formula>$AG$80=3</formula>
    </cfRule>
  </conditionalFormatting>
  <conditionalFormatting sqref="AI86:AJ86">
    <cfRule type="expression" priority="117" dxfId="46">
      <formula>$AI$80=3</formula>
    </cfRule>
  </conditionalFormatting>
  <conditionalFormatting sqref="AK86:AL86">
    <cfRule type="expression" priority="116" dxfId="46">
      <formula>$AK$80=3</formula>
    </cfRule>
  </conditionalFormatting>
  <conditionalFormatting sqref="AE85:AF85">
    <cfRule type="expression" priority="115" dxfId="46">
      <formula>$AE$80=2</formula>
    </cfRule>
  </conditionalFormatting>
  <conditionalFormatting sqref="AG85:AH85">
    <cfRule type="expression" priority="114" dxfId="46">
      <formula>$AG$80=2</formula>
    </cfRule>
  </conditionalFormatting>
  <conditionalFormatting sqref="AI85:AJ85">
    <cfRule type="expression" priority="113" dxfId="46">
      <formula>$AI$80=2</formula>
    </cfRule>
  </conditionalFormatting>
  <conditionalFormatting sqref="AK85:AL85">
    <cfRule type="expression" priority="112" dxfId="46">
      <formula>$AK$80=2</formula>
    </cfRule>
  </conditionalFormatting>
  <conditionalFormatting sqref="AE84:AF84">
    <cfRule type="expression" priority="111" dxfId="46">
      <formula>$AE$80=1</formula>
    </cfRule>
  </conditionalFormatting>
  <conditionalFormatting sqref="AG84:AH84">
    <cfRule type="expression" priority="110" dxfId="46">
      <formula>$AG$80=1</formula>
    </cfRule>
  </conditionalFormatting>
  <conditionalFormatting sqref="AI84:AJ84">
    <cfRule type="expression" priority="109" dxfId="46">
      <formula>$AI$80=1</formula>
    </cfRule>
  </conditionalFormatting>
  <conditionalFormatting sqref="AK84:AL84">
    <cfRule type="expression" priority="108" dxfId="46">
      <formula>$AK$80=1</formula>
    </cfRule>
  </conditionalFormatting>
  <conditionalFormatting sqref="AI58:AJ58">
    <cfRule type="cellIs" priority="107" operator="between" dxfId="46">
      <formula>1</formula>
      <formula>4</formula>
    </cfRule>
  </conditionalFormatting>
  <conditionalFormatting sqref="AE58:AH58">
    <cfRule type="cellIs" priority="106" operator="between" dxfId="46">
      <formula>1</formula>
      <formula>4</formula>
    </cfRule>
  </conditionalFormatting>
  <conditionalFormatting sqref="AK58:AL58">
    <cfRule type="cellIs" priority="105" operator="between" dxfId="46">
      <formula>1</formula>
      <formula>4</formula>
    </cfRule>
  </conditionalFormatting>
  <conditionalFormatting sqref="AI69:AJ69">
    <cfRule type="cellIs" priority="104" operator="between" dxfId="46">
      <formula>1</formula>
      <formula>4</formula>
    </cfRule>
  </conditionalFormatting>
  <conditionalFormatting sqref="AE69:AH69">
    <cfRule type="cellIs" priority="103" operator="between" dxfId="46">
      <formula>1</formula>
      <formula>4</formula>
    </cfRule>
  </conditionalFormatting>
  <conditionalFormatting sqref="AK69:AL69">
    <cfRule type="cellIs" priority="102" operator="between" dxfId="46">
      <formula>1</formula>
      <formula>4</formula>
    </cfRule>
  </conditionalFormatting>
  <conditionalFormatting sqref="AI80:AJ80">
    <cfRule type="cellIs" priority="101" operator="between" dxfId="46">
      <formula>1</formula>
      <formula>4</formula>
    </cfRule>
  </conditionalFormatting>
  <conditionalFormatting sqref="AE80:AH80">
    <cfRule type="cellIs" priority="100" operator="between" dxfId="46">
      <formula>1</formula>
      <formula>4</formula>
    </cfRule>
  </conditionalFormatting>
  <conditionalFormatting sqref="AK80:AL80">
    <cfRule type="cellIs" priority="99" operator="between" dxfId="46">
      <formula>1</formula>
      <formula>4</formula>
    </cfRule>
  </conditionalFormatting>
  <conditionalFormatting sqref="AN65:AO65">
    <cfRule type="expression" priority="50" dxfId="46">
      <formula>$AE$58=4</formula>
    </cfRule>
  </conditionalFormatting>
  <conditionalFormatting sqref="AP65:AQ65">
    <cfRule type="expression" priority="49" dxfId="46">
      <formula>$AG$58=4</formula>
    </cfRule>
  </conditionalFormatting>
  <conditionalFormatting sqref="AR65:AS65">
    <cfRule type="expression" priority="48" dxfId="46">
      <formula>$AI$58=4</formula>
    </cfRule>
  </conditionalFormatting>
  <conditionalFormatting sqref="AT65:AU65">
    <cfRule type="expression" priority="47" dxfId="46">
      <formula>$AK$58=4</formula>
    </cfRule>
  </conditionalFormatting>
  <conditionalFormatting sqref="AN64:AO64">
    <cfRule type="expression" priority="46" dxfId="46">
      <formula>$AE$58=3</formula>
    </cfRule>
  </conditionalFormatting>
  <conditionalFormatting sqref="AP64:AQ64">
    <cfRule type="expression" priority="45" dxfId="46">
      <formula>$AG$58=3</formula>
    </cfRule>
  </conditionalFormatting>
  <conditionalFormatting sqref="AR64:AS64">
    <cfRule type="expression" priority="44" dxfId="46">
      <formula>$AI$58=3</formula>
    </cfRule>
  </conditionalFormatting>
  <conditionalFormatting sqref="AT64:AU64">
    <cfRule type="expression" priority="43" dxfId="46">
      <formula>$AK$58=3</formula>
    </cfRule>
  </conditionalFormatting>
  <conditionalFormatting sqref="AN63:AO63">
    <cfRule type="expression" priority="42" dxfId="46">
      <formula>$AE$58=2</formula>
    </cfRule>
  </conditionalFormatting>
  <conditionalFormatting sqref="AP63:AQ63">
    <cfRule type="expression" priority="41" dxfId="46">
      <formula>$AG$58=2</formula>
    </cfRule>
  </conditionalFormatting>
  <conditionalFormatting sqref="AR63:AS63">
    <cfRule type="expression" priority="40" dxfId="46">
      <formula>$AI$58=2</formula>
    </cfRule>
  </conditionalFormatting>
  <conditionalFormatting sqref="AT63:AU63">
    <cfRule type="expression" priority="39" dxfId="46">
      <formula>$AK$58=2</formula>
    </cfRule>
  </conditionalFormatting>
  <conditionalFormatting sqref="AN62:AO62">
    <cfRule type="expression" priority="38" dxfId="46">
      <formula>$AE$58=1</formula>
    </cfRule>
  </conditionalFormatting>
  <conditionalFormatting sqref="AP62:AQ62">
    <cfRule type="expression" priority="37" dxfId="46">
      <formula>$AG$58=1</formula>
    </cfRule>
  </conditionalFormatting>
  <conditionalFormatting sqref="AR62:AS62">
    <cfRule type="expression" priority="36" dxfId="46">
      <formula>$AI$58=1</formula>
    </cfRule>
  </conditionalFormatting>
  <conditionalFormatting sqref="AT62:AU62">
    <cfRule type="expression" priority="35" dxfId="46">
      <formula>$AK$58=1</formula>
    </cfRule>
  </conditionalFormatting>
  <conditionalFormatting sqref="AN74:AO74">
    <cfRule type="expression" priority="34" dxfId="46">
      <formula>$AE$69=2</formula>
    </cfRule>
  </conditionalFormatting>
  <conditionalFormatting sqref="AN73:AO73">
    <cfRule type="expression" priority="33" dxfId="46">
      <formula>$AE$69=1</formula>
    </cfRule>
  </conditionalFormatting>
  <conditionalFormatting sqref="AN75:AO75">
    <cfRule type="expression" priority="32" dxfId="46">
      <formula>$AE$69=3</formula>
    </cfRule>
  </conditionalFormatting>
  <conditionalFormatting sqref="AN76:AO76">
    <cfRule type="expression" priority="31" dxfId="46">
      <formula>$AE$69=4</formula>
    </cfRule>
  </conditionalFormatting>
  <conditionalFormatting sqref="AP74:AQ74">
    <cfRule type="expression" priority="30" dxfId="46">
      <formula>$AG$69=2</formula>
    </cfRule>
  </conditionalFormatting>
  <conditionalFormatting sqref="AP73:AQ73">
    <cfRule type="expression" priority="29" dxfId="46">
      <formula>$AG$69=1</formula>
    </cfRule>
  </conditionalFormatting>
  <conditionalFormatting sqref="AP75:AQ75">
    <cfRule type="expression" priority="28" dxfId="46">
      <formula>$AG$69=3</formula>
    </cfRule>
  </conditionalFormatting>
  <conditionalFormatting sqref="AP76:AQ76">
    <cfRule type="expression" priority="27" dxfId="46">
      <formula>$AG$69=4</formula>
    </cfRule>
  </conditionalFormatting>
  <conditionalFormatting sqref="AR74:AS74">
    <cfRule type="expression" priority="26" dxfId="46">
      <formula>$AI$69=2</formula>
    </cfRule>
  </conditionalFormatting>
  <conditionalFormatting sqref="AR73:AS73">
    <cfRule type="expression" priority="25" dxfId="46">
      <formula>$AI$69=1</formula>
    </cfRule>
  </conditionalFormatting>
  <conditionalFormatting sqref="AR75:AS75">
    <cfRule type="expression" priority="24" dxfId="46">
      <formula>$AI$69=3</formula>
    </cfRule>
  </conditionalFormatting>
  <conditionalFormatting sqref="AR76:AS76">
    <cfRule type="expression" priority="23" dxfId="46">
      <formula>$AI$69=4</formula>
    </cfRule>
  </conditionalFormatting>
  <conditionalFormatting sqref="AT74:AU74">
    <cfRule type="expression" priority="22" dxfId="46">
      <formula>$AK$69=2</formula>
    </cfRule>
  </conditionalFormatting>
  <conditionalFormatting sqref="AT73:AU73">
    <cfRule type="expression" priority="21" dxfId="46">
      <formula>$AK$69=1</formula>
    </cfRule>
  </conditionalFormatting>
  <conditionalFormatting sqref="AT75:AU75">
    <cfRule type="expression" priority="20" dxfId="46">
      <formula>$AK$69=3</formula>
    </cfRule>
  </conditionalFormatting>
  <conditionalFormatting sqref="AT76:AU76">
    <cfRule type="expression" priority="19" dxfId="46">
      <formula>$AK$69=4</formula>
    </cfRule>
  </conditionalFormatting>
  <conditionalFormatting sqref="AN85:AO85">
    <cfRule type="expression" priority="18" dxfId="46">
      <formula>$AE$80=2</formula>
    </cfRule>
  </conditionalFormatting>
  <conditionalFormatting sqref="AN84:AO84">
    <cfRule type="expression" priority="17" dxfId="46">
      <formula>$AE$80=1</formula>
    </cfRule>
  </conditionalFormatting>
  <conditionalFormatting sqref="AN86:AO86">
    <cfRule type="expression" priority="16" dxfId="46">
      <formula>$AE$80=3</formula>
    </cfRule>
  </conditionalFormatting>
  <conditionalFormatting sqref="AN87:AO87">
    <cfRule type="expression" priority="15" dxfId="46">
      <formula>$AE$80=4</formula>
    </cfRule>
  </conditionalFormatting>
  <conditionalFormatting sqref="AP85:AQ85">
    <cfRule type="expression" priority="14" dxfId="46">
      <formula>$AG$80=2</formula>
    </cfRule>
  </conditionalFormatting>
  <conditionalFormatting sqref="AP84:AQ84">
    <cfRule type="expression" priority="13" dxfId="46">
      <formula>$AG$80=1</formula>
    </cfRule>
  </conditionalFormatting>
  <conditionalFormatting sqref="AP86:AQ86">
    <cfRule type="expression" priority="12" dxfId="46">
      <formula>$AG$80=3</formula>
    </cfRule>
  </conditionalFormatting>
  <conditionalFormatting sqref="AP87:AQ87">
    <cfRule type="expression" priority="11" dxfId="46">
      <formula>$AG$80=4</formula>
    </cfRule>
  </conditionalFormatting>
  <conditionalFormatting sqref="AR85:AS85">
    <cfRule type="expression" priority="10" dxfId="46">
      <formula>$AI$80=2</formula>
    </cfRule>
  </conditionalFormatting>
  <conditionalFormatting sqref="AR84:AS84">
    <cfRule type="expression" priority="9" dxfId="46">
      <formula>$AI$80=1</formula>
    </cfRule>
  </conditionalFormatting>
  <conditionalFormatting sqref="AR86:AS86">
    <cfRule type="expression" priority="8" dxfId="46">
      <formula>$AI$80=3</formula>
    </cfRule>
  </conditionalFormatting>
  <conditionalFormatting sqref="AR87:AS87">
    <cfRule type="expression" priority="7" dxfId="46">
      <formula>$AI$80=4</formula>
    </cfRule>
  </conditionalFormatting>
  <conditionalFormatting sqref="AT85:AU85">
    <cfRule type="expression" priority="6" dxfId="46">
      <formula>$AK$80=2</formula>
    </cfRule>
  </conditionalFormatting>
  <conditionalFormatting sqref="AT84:AU84">
    <cfRule type="expression" priority="5" dxfId="46">
      <formula>$AK$80=1</formula>
    </cfRule>
  </conditionalFormatting>
  <conditionalFormatting sqref="AT86:AU86">
    <cfRule type="expression" priority="4" dxfId="46">
      <formula>$AK$80=3</formula>
    </cfRule>
  </conditionalFormatting>
  <conditionalFormatting sqref="AT87:AU87">
    <cfRule type="expression" priority="3" dxfId="46">
      <formula>$AK$80=4</formula>
    </cfRule>
  </conditionalFormatting>
  <conditionalFormatting sqref="L38:M41">
    <cfRule type="expression" priority="1" dxfId="45">
      <formula>$CD$20&gt;3</formula>
    </cfRule>
    <cfRule type="expression" priority="2" dxfId="44">
      <formula>$CD$20&lt;0.1</formula>
    </cfRule>
  </conditionalFormatting>
  <pageMargins left="0.7" right="0.7" top="0.75" bottom="0.75" header="0.3" footer="0.3"/>
  <pageSetup orientation="portrait"/>
</worksheet>
</file>

<file path=xl/worksheets/sheet12.xml><?xml version="1.0" encoding="utf-8"?>
<worksheet xmlns="http://schemas.openxmlformats.org/spreadsheetml/2006/main">
  <sheetPr codeName="Sheet8">
    <outlinePr summaryBelow="1" summaryRight="1"/>
    <pageSetUpPr/>
  </sheetPr>
  <dimension ref="A2:C75"/>
  <sheetViews>
    <sheetView topLeftCell="A48" workbookViewId="0">
      <selection activeCell="L59" sqref="L59"/>
    </sheetView>
  </sheetViews>
  <sheetFormatPr baseColWidth="8" defaultRowHeight="14.4"/>
  <cols>
    <col width="10.6640625" bestFit="1" customWidth="1" style="613" min="2" max="2"/>
    <col width="70" customWidth="1" style="613" min="3" max="3"/>
  </cols>
  <sheetData>
    <row r="2">
      <c r="A2" s="241" t="inlineStr">
        <is>
          <t>Version</t>
        </is>
      </c>
      <c r="B2" s="242" t="inlineStr">
        <is>
          <t>Date</t>
        </is>
      </c>
      <c r="C2" s="691" t="inlineStr">
        <is>
          <t>Comments</t>
        </is>
      </c>
    </row>
    <row r="3">
      <c r="A3" s="777" t="n">
        <v>2</v>
      </c>
      <c r="B3" s="262" t="n">
        <v>42068</v>
      </c>
      <c r="C3" s="638" t="inlineStr">
        <is>
          <t>Initial Rev. number</t>
        </is>
      </c>
    </row>
    <row r="4">
      <c r="A4" s="777" t="n">
        <v>2.1</v>
      </c>
      <c r="B4" s="262" t="n">
        <v>42072</v>
      </c>
      <c r="C4" s="638" t="inlineStr">
        <is>
          <t>Minor formatting add on DxSurvey</t>
        </is>
      </c>
    </row>
    <row r="5">
      <c r="A5" s="777" t="n">
        <v>2.2</v>
      </c>
      <c r="B5" s="262" t="n">
        <v>42072</v>
      </c>
      <c r="C5" s="638" t="inlineStr">
        <is>
          <t>Correction to Formations tab for proper Page 1 reference</t>
        </is>
      </c>
    </row>
    <row r="6">
      <c r="A6" s="777" t="n">
        <v>2.3</v>
      </c>
      <c r="B6" s="262" t="n">
        <v>42074</v>
      </c>
      <c r="C6" s="638" t="inlineStr">
        <is>
          <t>Modify DxSurvey tab to account for crossing section line</t>
        </is>
      </c>
    </row>
    <row r="7">
      <c r="A7" s="777" t="n">
        <v>2.4</v>
      </c>
      <c r="B7" s="262" t="n">
        <v>42082</v>
      </c>
      <c r="C7" s="638" t="inlineStr">
        <is>
          <t>Modify Vertical WBD (FWL to FEL, FNL to FSL or vice versa)</t>
        </is>
      </c>
    </row>
    <row r="8">
      <c r="A8" s="777" t="n">
        <v>2.5</v>
      </c>
      <c r="B8" s="262" t="n">
        <v>42083</v>
      </c>
      <c r="C8" s="638" t="inlineStr">
        <is>
          <t>Bug fix for version 2.4</t>
        </is>
      </c>
    </row>
    <row r="9">
      <c r="A9" s="777" t="n">
        <v>2.6</v>
      </c>
      <c r="B9" s="262" t="n">
        <v>42093</v>
      </c>
      <c r="C9" s="638" t="inlineStr">
        <is>
          <t>Added 16" C-75 Casing to Casing Strengths tab</t>
        </is>
      </c>
    </row>
    <row r="10">
      <c r="A10" s="777" t="n">
        <v>2.7</v>
      </c>
      <c r="B10" s="262" t="n">
        <v>42093</v>
      </c>
      <c r="C10" s="638" t="inlineStr">
        <is>
          <t>Formatting on Page 1 of Vertical WBD tab for correct scale of casing strings</t>
        </is>
      </c>
    </row>
    <row r="11">
      <c r="A11" s="777" t="n">
        <v>2.8</v>
      </c>
      <c r="B11" s="262" t="n">
        <v>42094</v>
      </c>
      <c r="C11" s="638" t="inlineStr">
        <is>
          <t>Minor changes to Csg Grade drop down list (named range Casing_Grade)</t>
        </is>
      </c>
    </row>
    <row r="12">
      <c r="A12" s="777" t="n">
        <v>2.9</v>
      </c>
      <c r="B12" s="262" t="n">
        <v>42094</v>
      </c>
      <c r="C12" s="638" t="inlineStr">
        <is>
          <t>Modify DxSurvey tab to allow input of section line distances</t>
        </is>
      </c>
    </row>
    <row r="13">
      <c r="A13" s="777" t="n">
        <v>3</v>
      </c>
      <c r="B13" s="262" t="n">
        <v>42095</v>
      </c>
      <c r="C13" s="638" t="inlineStr">
        <is>
          <t>Added csg collar type.  Added csg to casing strengths tab.</t>
        </is>
      </c>
    </row>
    <row r="14">
      <c r="A14" s="777" t="n">
        <v>3.1</v>
      </c>
      <c r="B14" s="262" t="n">
        <v>42100</v>
      </c>
      <c r="C14" s="638" t="inlineStr">
        <is>
          <t>Minor change to DxSurvey</t>
        </is>
      </c>
    </row>
    <row r="15">
      <c r="A15" s="777" t="n">
        <v>3.2</v>
      </c>
      <c r="B15" s="262" t="n"/>
      <c r="C15" s="638" t="inlineStr">
        <is>
          <t>Skipped</t>
        </is>
      </c>
    </row>
    <row r="16">
      <c r="A16" s="777" t="n">
        <v>3.3</v>
      </c>
      <c r="B16" s="262" t="n">
        <v>42104</v>
      </c>
      <c r="C16" s="638" t="inlineStr">
        <is>
          <t>Added BHL location calculation to DxSurvey tab</t>
        </is>
      </c>
    </row>
    <row r="17">
      <c r="A17" s="777" t="n">
        <v>3.4</v>
      </c>
      <c r="B17" s="262" t="n">
        <v>42107</v>
      </c>
      <c r="C17" s="638" t="inlineStr">
        <is>
          <t>Adjustments to WBD and Formations tab</t>
        </is>
      </c>
    </row>
    <row r="18">
      <c r="A18" s="777" t="n">
        <v>3.5</v>
      </c>
      <c r="B18" s="262" t="n">
        <v>42108</v>
      </c>
      <c r="C18" s="638" t="inlineStr">
        <is>
          <t>Clear DxSurvey Macro</t>
        </is>
      </c>
    </row>
    <row r="19">
      <c r="A19" s="777" t="n">
        <v>3.6</v>
      </c>
      <c r="B19" s="262" t="n">
        <v>42109</v>
      </c>
      <c r="C19" s="638" t="inlineStr">
        <is>
          <t>Vertical WBD, min 2 cells for casing 1</t>
        </is>
      </c>
    </row>
    <row r="20">
      <c r="A20" s="777" t="n">
        <v>3.7</v>
      </c>
      <c r="B20" s="262" t="n">
        <v>42114</v>
      </c>
      <c r="C20" s="638" t="inlineStr">
        <is>
          <t>Corrections to BHL calc.  Add BOPE review tab.</t>
        </is>
      </c>
    </row>
    <row r="21">
      <c r="A21" s="777" t="n">
        <v>3.8</v>
      </c>
      <c r="B21" s="262" t="n">
        <v>42115</v>
      </c>
      <c r="C21" s="638" t="inlineStr">
        <is>
          <t>Further corrections to BHL calculation</t>
        </is>
      </c>
    </row>
    <row r="22">
      <c r="A22" s="777" t="n">
        <v>3.9</v>
      </c>
      <c r="B22" s="262" t="n">
        <v>42116</v>
      </c>
      <c r="C22" s="638" t="inlineStr">
        <is>
          <t>Correction to BHL calculation if calculated footage is negative</t>
        </is>
      </c>
    </row>
    <row r="23">
      <c r="A23" s="777" t="n">
        <v>4</v>
      </c>
      <c r="B23" s="262" t="n">
        <v>42122</v>
      </c>
      <c r="C23" s="638" t="inlineStr">
        <is>
          <t>Additional correction to BHL calculation (signs)</t>
        </is>
      </c>
    </row>
    <row r="24">
      <c r="A24" s="777" t="n">
        <v>4.1</v>
      </c>
      <c r="B24" s="262" t="n">
        <v>42122</v>
      </c>
      <c r="C24" s="638" t="inlineStr">
        <is>
          <t>Added rows for additional directional survey depths</t>
        </is>
      </c>
    </row>
    <row r="25">
      <c r="A25" s="777" t="n">
        <v>4.2</v>
      </c>
      <c r="B25" s="262" t="n">
        <v>42122</v>
      </c>
      <c r="C25" s="638" t="inlineStr">
        <is>
          <t>Minor bug fixes</t>
        </is>
      </c>
    </row>
    <row r="26">
      <c r="A26" s="777" t="n">
        <v>4.3</v>
      </c>
      <c r="B26" s="262" t="n">
        <v>42132</v>
      </c>
      <c r="C26" s="638" t="inlineStr">
        <is>
          <t>Minor adjustment on depth scale on Vertical WBD tab</t>
        </is>
      </c>
    </row>
    <row r="27">
      <c r="A27" s="777" t="n">
        <v>4.4</v>
      </c>
      <c r="B27" s="262" t="n">
        <v>42137</v>
      </c>
      <c r="C27" s="638" t="inlineStr">
        <is>
          <t>Added line pipe to Casing Strengths tab</t>
        </is>
      </c>
    </row>
    <row r="28">
      <c r="A28" s="244" t="n">
        <v>4.5</v>
      </c>
      <c r="B28" s="262" t="n">
        <v>42139</v>
      </c>
      <c r="C28" s="638" t="inlineStr">
        <is>
          <t>Fixed BHL calculation error</t>
        </is>
      </c>
    </row>
    <row r="29">
      <c r="A29" s="244" t="n">
        <v>4.6</v>
      </c>
      <c r="B29" s="262" t="n">
        <v>42160</v>
      </c>
      <c r="C29" s="638" t="inlineStr">
        <is>
          <t>Minor correction to BHL calculation for when BHL is due N,S,E,W.</t>
        </is>
      </c>
    </row>
    <row r="30">
      <c r="A30" s="244" t="n">
        <v>4.7</v>
      </c>
      <c r="B30" s="262" t="n">
        <v>42165</v>
      </c>
      <c r="C30" s="638" t="inlineStr">
        <is>
          <t>Minor correction to DxSurvey page BHL when crossing section line</t>
        </is>
      </c>
    </row>
    <row r="31">
      <c r="A31" s="244" t="n">
        <v>4.8</v>
      </c>
      <c r="B31" s="262" t="n">
        <v>42235</v>
      </c>
      <c r="C31" s="638" t="inlineStr">
        <is>
          <t>Minor formatting on DataPrint tab (casing vs liner)</t>
        </is>
      </c>
    </row>
    <row r="32">
      <c r="A32" s="244" t="n">
        <v>4.9</v>
      </c>
      <c r="B32" s="262" t="n">
        <v>42241</v>
      </c>
      <c r="C32" s="638" t="inlineStr">
        <is>
          <t>Added casing specs</t>
        </is>
      </c>
    </row>
    <row r="33">
      <c r="A33" s="777" t="n">
        <v>5</v>
      </c>
      <c r="B33" s="262" t="n">
        <v>42241</v>
      </c>
      <c r="C33" s="638" t="inlineStr">
        <is>
          <t>Modified footer</t>
        </is>
      </c>
    </row>
    <row r="34">
      <c r="A34" s="244" t="n">
        <v>5.1</v>
      </c>
      <c r="B34" s="262" t="n">
        <v>42297</v>
      </c>
      <c r="C34" s="638" t="inlineStr">
        <is>
          <t>Minor change to BOPE tab to input casing name (Cond, Surf, Prod, etc)</t>
        </is>
      </c>
    </row>
    <row r="35">
      <c r="A35" s="244" t="n">
        <v>5.2</v>
      </c>
      <c r="B35" s="262" t="n">
        <v>42325</v>
      </c>
      <c r="C35" s="638" t="inlineStr">
        <is>
          <t>Change to DxSurvey to calculate location at an additional depth</t>
        </is>
      </c>
    </row>
    <row r="36">
      <c r="A36" s="244" t="n">
        <v>5.3</v>
      </c>
      <c r="B36" s="262" t="n">
        <v>42328</v>
      </c>
      <c r="C36" s="638" t="inlineStr">
        <is>
          <t>Modification to Formations tab to list formations that are close together.</t>
        </is>
      </c>
    </row>
    <row r="37">
      <c r="A37" s="244" t="n">
        <v>5.4</v>
      </c>
      <c r="B37" s="262" t="n">
        <v>42335</v>
      </c>
      <c r="C37" s="638" t="inlineStr">
        <is>
          <t>Add calculation for DV Tool / Stage Collar - String 1 only</t>
        </is>
      </c>
    </row>
    <row r="38">
      <c r="A38" s="244" t="n">
        <v>5.5</v>
      </c>
      <c r="B38" s="262" t="n">
        <v>42345</v>
      </c>
      <c r="C38" s="638" t="inlineStr">
        <is>
          <t>Minor fixes associated with 5.4</t>
        </is>
      </c>
    </row>
    <row r="39">
      <c r="A39" s="244" t="n">
        <v>5.6</v>
      </c>
      <c r="B39" s="262" t="n">
        <v>42355</v>
      </c>
      <c r="C39" s="638" t="inlineStr">
        <is>
          <t>TOC calculation correction for designs with 4 strings (string 4)</t>
        </is>
      </c>
    </row>
    <row r="40">
      <c r="A40" s="244" t="n">
        <v>5.7</v>
      </c>
      <c r="B40" s="262" t="n">
        <v>42369</v>
      </c>
      <c r="C40" s="638" t="inlineStr">
        <is>
          <t>Fix for BHL for 2 mile lateral horizontal wells</t>
        </is>
      </c>
    </row>
    <row r="41">
      <c r="A41" s="244" t="n">
        <v>5.8</v>
      </c>
      <c r="B41" s="262" t="n">
        <v>42515</v>
      </c>
      <c r="C41" s="638" t="inlineStr">
        <is>
          <t>Added casing specs</t>
        </is>
      </c>
    </row>
    <row r="42">
      <c r="A42" s="244" t="n">
        <v>5.9</v>
      </c>
      <c r="B42" s="262" t="n">
        <v>42545</v>
      </c>
      <c r="C42" s="638" t="inlineStr">
        <is>
          <t>Added casing specs</t>
        </is>
      </c>
    </row>
    <row r="43">
      <c r="A43" s="777" t="n">
        <v>6</v>
      </c>
      <c r="B43" s="262" t="n">
        <v>42580</v>
      </c>
      <c r="C43" s="638" t="inlineStr">
        <is>
          <t>Added casing specs</t>
        </is>
      </c>
    </row>
    <row r="44">
      <c r="A44" s="244" t="n">
        <v>6.1</v>
      </c>
      <c r="B44" s="262" t="n">
        <v>42622</v>
      </c>
      <c r="C44" s="638" t="inlineStr">
        <is>
          <t>Added BHL location to WBD for vertical wells</t>
        </is>
      </c>
    </row>
    <row r="45">
      <c r="A45" s="244" t="n">
        <v>6.2</v>
      </c>
      <c r="B45" s="262" t="n">
        <v>42625</v>
      </c>
      <c r="C45" s="638" t="inlineStr">
        <is>
          <t>Change to DxSurvey to more accurately calculate BH direction</t>
        </is>
      </c>
    </row>
    <row r="46">
      <c r="A46" s="244" t="n">
        <v>6.3</v>
      </c>
      <c r="B46" s="262" t="n">
        <v>42648</v>
      </c>
      <c r="C46" s="638" t="inlineStr">
        <is>
          <t>Minor formatting changes to DxSurvey tab</t>
        </is>
      </c>
    </row>
    <row r="47">
      <c r="A47" s="244" t="n">
        <v>6.4</v>
      </c>
      <c r="B47" s="262" t="n">
        <v>42675</v>
      </c>
      <c r="C47" s="638" t="inlineStr">
        <is>
          <t>DxSurvey tab - implement magnetic deviation, convergence</t>
        </is>
      </c>
    </row>
    <row r="48">
      <c r="A48" s="244" t="n">
        <v>6.5</v>
      </c>
      <c r="B48" s="262" t="n">
        <v>42713</v>
      </c>
      <c r="C48" s="638" t="inlineStr">
        <is>
          <t>Vertical WBD, Hide TOL for 4 string WBD where prod csg is to surface</t>
        </is>
      </c>
    </row>
    <row r="49">
      <c r="A49" s="244" t="n">
        <v>6.6</v>
      </c>
      <c r="B49" s="262" t="n">
        <v>42748</v>
      </c>
      <c r="C49" s="638" t="inlineStr">
        <is>
          <t>Vertical WBD, fix problem with diagram caused by 6.5.</t>
        </is>
      </c>
    </row>
    <row r="50">
      <c r="A50" s="695" t="n">
        <v>6.7</v>
      </c>
      <c r="B50" s="256" t="n">
        <v>42781</v>
      </c>
      <c r="C50" s="675" t="inlineStr">
        <is>
          <t>Minor bug fix Vertical WBD</t>
        </is>
      </c>
    </row>
    <row r="51">
      <c r="A51" s="257" t="n">
        <v>6.8</v>
      </c>
      <c r="B51" s="258" t="n">
        <v>42800</v>
      </c>
      <c r="C51" s="691" t="inlineStr">
        <is>
          <t>Minor formula change for calculating collapse load</t>
        </is>
      </c>
    </row>
    <row r="52">
      <c r="A52" s="244" t="n">
        <v>6.9</v>
      </c>
      <c r="B52" s="262" t="n">
        <v>42818</v>
      </c>
      <c r="C52" s="638" t="inlineStr">
        <is>
          <t>Add calculation for DV Tool / Stage Collar - String 2</t>
        </is>
      </c>
    </row>
    <row r="53">
      <c r="A53" s="777" t="n">
        <v>7</v>
      </c>
      <c r="B53" s="262" t="n">
        <v>42852</v>
      </c>
      <c r="C53" s="638" t="inlineStr">
        <is>
          <t>DxSurvey tab - add second section line box for calculations at depth above BHL</t>
        </is>
      </c>
    </row>
    <row r="54">
      <c r="A54" s="244" t="n">
        <v>7.1</v>
      </c>
      <c r="B54" s="262" t="n">
        <v>42863</v>
      </c>
      <c r="C54" s="638" t="inlineStr">
        <is>
          <t>Minor corrections to DxSurvey tab concerning 7.0</t>
        </is>
      </c>
    </row>
    <row r="55">
      <c r="A55" s="244" t="n">
        <v>7.2</v>
      </c>
      <c r="B55" s="262" t="n">
        <v>42866</v>
      </c>
      <c r="C55" s="638" t="inlineStr">
        <is>
          <t>Minor corrections to DxSurvey tab for SU Hz wells.</t>
        </is>
      </c>
    </row>
    <row r="56">
      <c r="A56" s="244" t="n">
        <v>7.3</v>
      </c>
      <c r="B56" s="262" t="n">
        <v>42867</v>
      </c>
      <c r="C56" s="638" t="inlineStr">
        <is>
          <t>Change to DxSurvey tab to adjust Section Line lengths.</t>
        </is>
      </c>
    </row>
    <row r="57">
      <c r="A57" s="244" t="n">
        <v>7.4</v>
      </c>
      <c r="B57" s="262" t="n">
        <v>42873</v>
      </c>
      <c r="C57" s="638" t="inlineStr">
        <is>
          <t>DxSurvey tab bug fix</t>
        </is>
      </c>
    </row>
    <row r="58">
      <c r="A58" s="244" t="n">
        <v>7.5</v>
      </c>
      <c r="B58" s="262" t="n">
        <v>42961</v>
      </c>
      <c r="C58" s="638" t="inlineStr">
        <is>
          <t>Minor formatting change to WBD</t>
        </is>
      </c>
    </row>
    <row r="59">
      <c r="A59" s="244" t="n">
        <v>7.6</v>
      </c>
      <c r="B59" s="262" t="n">
        <v>43021</v>
      </c>
      <c r="C59" s="638" t="inlineStr">
        <is>
          <t>Correction to Burst load calculation for string 1 when multiple depths.</t>
        </is>
      </c>
    </row>
    <row r="60">
      <c r="A60" s="244" t="n">
        <v>7.7</v>
      </c>
      <c r="B60" s="262" t="n">
        <v>43122</v>
      </c>
      <c r="C60" s="638" t="inlineStr">
        <is>
          <t>Minor modification to DxSurvey</t>
        </is>
      </c>
    </row>
    <row r="61">
      <c r="A61" s="244" t="n">
        <v>7.8</v>
      </c>
      <c r="B61" s="262" t="n">
        <v>43124</v>
      </c>
      <c r="C61" s="638" t="inlineStr">
        <is>
          <t>Modification to section length correction on DxSurvey tab.</t>
        </is>
      </c>
    </row>
    <row r="62">
      <c r="A62" s="244" t="n">
        <v>7.9</v>
      </c>
      <c r="B62" s="262" t="n">
        <v>43130</v>
      </c>
      <c r="C62" s="638" t="inlineStr">
        <is>
          <t>Minor modification to DxSurvey to allow for manual input of BHL</t>
        </is>
      </c>
    </row>
    <row r="63">
      <c r="A63" s="777" t="n">
        <v>8</v>
      </c>
      <c r="B63" s="262" t="n">
        <v>43138</v>
      </c>
      <c r="C63" s="638" t="inlineStr">
        <is>
          <t>Minor modification to DxSurvey tab</t>
        </is>
      </c>
    </row>
    <row r="64">
      <c r="A64" s="244" t="n">
        <v>8.1</v>
      </c>
      <c r="B64" s="262" t="n">
        <v>43210</v>
      </c>
      <c r="C64" s="638" t="inlineStr">
        <is>
          <t>Dx Survey minor modification.</t>
        </is>
      </c>
    </row>
    <row r="65">
      <c r="A65" s="244" t="n">
        <v>8.199999999999999</v>
      </c>
      <c r="C65" s="638" t="n"/>
    </row>
    <row r="66">
      <c r="A66" s="244" t="n">
        <v>8.300000000000001</v>
      </c>
      <c r="B66" s="262" t="n">
        <v>43606</v>
      </c>
      <c r="C66" s="638" t="inlineStr">
        <is>
          <t>Changed section selection logic and added BHL Section 3 tab.</t>
        </is>
      </c>
    </row>
    <row r="67">
      <c r="A67" s="244" t="n">
        <v>8.300000000000001</v>
      </c>
      <c r="B67" s="262" t="n">
        <v>43788</v>
      </c>
      <c r="C67" s="638" t="inlineStr">
        <is>
          <t>Updated with latest version of SHL Section thru BHL Section 3</t>
        </is>
      </c>
    </row>
    <row r="68">
      <c r="A68" s="244" t="n">
        <v>8.4</v>
      </c>
      <c r="C68" s="638" t="n"/>
    </row>
    <row r="69">
      <c r="A69" s="244" t="n">
        <v>8.5</v>
      </c>
      <c r="C69" s="638" t="n"/>
    </row>
    <row r="70">
      <c r="A70" s="244" t="n">
        <v>8.6</v>
      </c>
      <c r="B70" s="262" t="n">
        <v>43985</v>
      </c>
      <c r="C70" s="638" t="inlineStr">
        <is>
          <t>updated BHL section shift to add shift footage for bhl and productive interval calculations. Fixed vertical section calculation.  Fixed calculation for differing dx survey and section plats.</t>
        </is>
      </c>
    </row>
    <row r="71">
      <c r="A71" s="244" t="inlineStr">
        <is>
          <t>9.0?</t>
        </is>
      </c>
      <c r="B71" s="510" t="n">
        <v>44013</v>
      </c>
      <c r="C71" s="638" t="inlineStr">
        <is>
          <t>Integrated grid values, added overwrite, fixed errors.</t>
        </is>
      </c>
    </row>
    <row r="72">
      <c r="A72" s="244" t="n"/>
      <c r="C72" s="638" t="n"/>
    </row>
    <row r="73">
      <c r="A73" s="244" t="n"/>
      <c r="C73" s="638" t="n"/>
    </row>
    <row r="74">
      <c r="A74" s="244" t="n"/>
      <c r="C74" s="638" t="n"/>
    </row>
    <row r="75">
      <c r="A75" s="695" t="n"/>
      <c r="B75" s="677" t="n"/>
      <c r="C75" s="675" t="n"/>
    </row>
  </sheetData>
  <pageMargins left="0.7" right="0.7" top="0.75" bottom="0.75" header="0.3" footer="0.3"/>
</worksheet>
</file>

<file path=xl/worksheets/sheet13.xml><?xml version="1.0" encoding="utf-8"?>
<worksheet xmlns="http://schemas.openxmlformats.org/spreadsheetml/2006/main">
  <sheetPr codeName="Sheet13">
    <outlinePr summaryBelow="1" summaryRight="1"/>
    <pageSetUpPr/>
  </sheetPr>
  <dimension ref="A1:P2674"/>
  <sheetViews>
    <sheetView workbookViewId="0">
      <pane ySplit="1" topLeftCell="A2" activePane="bottomLeft" state="frozen"/>
      <selection pane="bottomLeft" activeCell="T6" sqref="T6"/>
    </sheetView>
  </sheetViews>
  <sheetFormatPr baseColWidth="8" defaultColWidth="9.109375" defaultRowHeight="14.4"/>
  <cols>
    <col width="9.109375" customWidth="1" style="511" min="1" max="6"/>
    <col width="19.44140625" customWidth="1" style="511" min="7" max="7"/>
    <col width="9.109375" customWidth="1" style="511" min="8" max="12"/>
    <col width="18.33203125" customWidth="1" style="495" min="13" max="13"/>
    <col width="9.109375" customWidth="1" style="511" min="14" max="15"/>
    <col width="9.109375" customWidth="1" style="511" min="16" max="16384"/>
  </cols>
  <sheetData>
    <row r="1" ht="76.5" customHeight="1" s="613">
      <c r="A1" s="521" t="inlineStr">
        <is>
          <t>Section</t>
        </is>
      </c>
      <c r="B1" s="521" t="inlineStr">
        <is>
          <t>Township</t>
        </is>
      </c>
      <c r="C1" s="521" t="inlineStr">
        <is>
          <t>(2 = S, 1 = N)</t>
        </is>
      </c>
      <c r="D1" s="521" t="inlineStr">
        <is>
          <t>Range</t>
        </is>
      </c>
      <c r="E1" s="521" t="inlineStr">
        <is>
          <t>(2 = W, 1 = E)</t>
        </is>
      </c>
      <c r="F1" s="521" t="inlineStr">
        <is>
          <t>Baseline
 2 = Uintah
 1 = Salt Lake</t>
        </is>
      </c>
      <c r="G1" s="521" t="inlineStr">
        <is>
          <t>Side</t>
        </is>
      </c>
      <c r="H1" s="521" t="inlineStr">
        <is>
          <t>Length</t>
        </is>
      </c>
      <c r="I1" s="521" t="inlineStr">
        <is>
          <t>Degrees</t>
        </is>
      </c>
      <c r="J1" s="521" t="inlineStr">
        <is>
          <t>Minutes</t>
        </is>
      </c>
      <c r="K1" s="521" t="inlineStr">
        <is>
          <t>Seconds</t>
        </is>
      </c>
      <c r="L1" s="521" t="inlineStr">
        <is>
          <t>Alignment 
1 = SE, 2 = NE
 3 = SW, 4 = NW</t>
        </is>
      </c>
      <c r="M1" s="521" t="inlineStr">
        <is>
          <t>North Reference</t>
        </is>
      </c>
    </row>
    <row r="2">
      <c r="A2" s="522" t="inlineStr">
        <is>
          <t>A</t>
        </is>
      </c>
      <c r="B2" s="522" t="inlineStr">
        <is>
          <t>B</t>
        </is>
      </c>
      <c r="C2" s="522" t="inlineStr">
        <is>
          <t>C</t>
        </is>
      </c>
      <c r="D2" s="522" t="inlineStr">
        <is>
          <t>D</t>
        </is>
      </c>
      <c r="E2" s="522" t="inlineStr">
        <is>
          <t>E</t>
        </is>
      </c>
      <c r="F2" s="522" t="inlineStr">
        <is>
          <t>F</t>
        </is>
      </c>
      <c r="G2" s="522" t="inlineStr">
        <is>
          <t>G</t>
        </is>
      </c>
      <c r="H2" s="522" t="inlineStr">
        <is>
          <t>H</t>
        </is>
      </c>
      <c r="I2" s="522" t="inlineStr">
        <is>
          <t>I</t>
        </is>
      </c>
      <c r="J2" s="522" t="inlineStr">
        <is>
          <t>J</t>
        </is>
      </c>
      <c r="K2" s="522" t="inlineStr">
        <is>
          <t>K</t>
        </is>
      </c>
      <c r="L2" s="522" t="inlineStr">
        <is>
          <t>L</t>
        </is>
      </c>
      <c r="M2" s="523" t="inlineStr">
        <is>
          <t>M</t>
        </is>
      </c>
    </row>
    <row r="3">
      <c r="A3" s="486" t="n">
        <v>1</v>
      </c>
      <c r="B3" s="486" t="n">
        <v>7</v>
      </c>
      <c r="C3" s="486" t="n">
        <v>2</v>
      </c>
      <c r="D3" s="486" t="n">
        <v>19</v>
      </c>
      <c r="E3" s="486" t="n">
        <v>1</v>
      </c>
      <c r="F3" s="486" t="n">
        <v>1</v>
      </c>
      <c r="G3" s="486" t="inlineStr">
        <is>
          <t>West-Up2</t>
        </is>
      </c>
      <c r="H3" s="486" t="n">
        <v>0</v>
      </c>
      <c r="I3" s="486" t="n">
        <v>0</v>
      </c>
      <c r="J3" s="486" t="n">
        <v>0</v>
      </c>
      <c r="K3" s="486" t="n">
        <v>0</v>
      </c>
      <c r="L3" s="486" t="n">
        <v>0</v>
      </c>
      <c r="M3" s="487" t="inlineStr">
        <is>
          <t>G</t>
        </is>
      </c>
    </row>
    <row r="4">
      <c r="A4" s="486" t="n">
        <v>1</v>
      </c>
      <c r="B4" s="486" t="n">
        <v>7</v>
      </c>
      <c r="C4" s="486" t="n">
        <v>2</v>
      </c>
      <c r="D4" s="486" t="n">
        <v>19</v>
      </c>
      <c r="E4" s="486" t="n">
        <v>1</v>
      </c>
      <c r="F4" s="486" t="n">
        <v>1</v>
      </c>
      <c r="G4" s="475" t="inlineStr">
        <is>
          <t>West-Up1</t>
        </is>
      </c>
      <c r="H4" s="486" t="n">
        <v>2802.33</v>
      </c>
      <c r="I4" s="486" t="n">
        <v>2</v>
      </c>
      <c r="J4" s="486" t="n">
        <v>24</v>
      </c>
      <c r="K4" s="486" t="n">
        <v>4</v>
      </c>
      <c r="L4" s="486" t="n">
        <v>1</v>
      </c>
      <c r="M4" s="487" t="inlineStr">
        <is>
          <t>G</t>
        </is>
      </c>
    </row>
    <row r="5">
      <c r="A5" s="486" t="n">
        <v>1</v>
      </c>
      <c r="B5" s="486" t="n">
        <v>7</v>
      </c>
      <c r="C5" s="486" t="n">
        <v>2</v>
      </c>
      <c r="D5" s="486" t="n">
        <v>19</v>
      </c>
      <c r="E5" s="486" t="n">
        <v>1</v>
      </c>
      <c r="F5" s="486" t="n">
        <v>1</v>
      </c>
      <c r="G5" s="486" t="inlineStr">
        <is>
          <t>West-Down1</t>
        </is>
      </c>
      <c r="H5" s="486" t="n">
        <v>2737.19</v>
      </c>
      <c r="I5" s="486" t="n">
        <v>2</v>
      </c>
      <c r="J5" s="486" t="n">
        <v>24</v>
      </c>
      <c r="K5" s="486" t="n">
        <v>25</v>
      </c>
      <c r="L5" s="486" t="n">
        <v>1</v>
      </c>
      <c r="M5" s="487" t="inlineStr">
        <is>
          <t>G</t>
        </is>
      </c>
    </row>
    <row r="6">
      <c r="A6" s="486" t="n">
        <v>1</v>
      </c>
      <c r="B6" s="486" t="n">
        <v>7</v>
      </c>
      <c r="C6" s="486" t="n">
        <v>2</v>
      </c>
      <c r="D6" s="486" t="n">
        <v>19</v>
      </c>
      <c r="E6" s="486" t="n">
        <v>1</v>
      </c>
      <c r="F6" s="486" t="n">
        <v>1</v>
      </c>
      <c r="G6" s="486" t="inlineStr">
        <is>
          <t>West-Down2</t>
        </is>
      </c>
      <c r="H6" s="486" t="n">
        <v>0</v>
      </c>
      <c r="I6" s="486" t="n">
        <v>0</v>
      </c>
      <c r="J6" s="486" t="n">
        <v>0</v>
      </c>
      <c r="K6" s="486" t="n">
        <v>0</v>
      </c>
      <c r="L6" s="486" t="n">
        <v>0</v>
      </c>
      <c r="M6" s="487" t="inlineStr">
        <is>
          <t>G</t>
        </is>
      </c>
    </row>
    <row r="7">
      <c r="A7" s="486" t="n">
        <v>1</v>
      </c>
      <c r="B7" s="486" t="n">
        <v>7</v>
      </c>
      <c r="C7" s="486" t="n">
        <v>2</v>
      </c>
      <c r="D7" s="486" t="n">
        <v>19</v>
      </c>
      <c r="E7" s="486" t="n">
        <v>1</v>
      </c>
      <c r="F7" s="486" t="n">
        <v>1</v>
      </c>
      <c r="G7" s="486" t="inlineStr">
        <is>
          <t>East-Up2</t>
        </is>
      </c>
      <c r="H7" s="486" t="n">
        <v>0</v>
      </c>
      <c r="I7" s="486" t="n">
        <v>0</v>
      </c>
      <c r="J7" s="486" t="n">
        <v>0</v>
      </c>
      <c r="K7" s="486" t="n">
        <v>0</v>
      </c>
      <c r="L7" s="486" t="n">
        <v>0</v>
      </c>
      <c r="M7" s="487" t="inlineStr">
        <is>
          <t>G</t>
        </is>
      </c>
    </row>
    <row r="8">
      <c r="A8" s="486" t="n">
        <v>1</v>
      </c>
      <c r="B8" s="486" t="n">
        <v>7</v>
      </c>
      <c r="C8" s="486" t="n">
        <v>2</v>
      </c>
      <c r="D8" s="486" t="n">
        <v>19</v>
      </c>
      <c r="E8" s="486" t="n">
        <v>1</v>
      </c>
      <c r="F8" s="486" t="n">
        <v>1</v>
      </c>
      <c r="G8" s="475" t="inlineStr">
        <is>
          <t>East-Up1</t>
        </is>
      </c>
      <c r="H8" s="486" t="n">
        <v>2774.42</v>
      </c>
      <c r="I8" s="486" t="n">
        <v>1</v>
      </c>
      <c r="J8" s="486" t="n">
        <v>47</v>
      </c>
      <c r="K8" s="486" t="n">
        <v>26</v>
      </c>
      <c r="L8" s="486" t="n">
        <v>1</v>
      </c>
      <c r="M8" s="487" t="inlineStr">
        <is>
          <t>G</t>
        </is>
      </c>
    </row>
    <row r="9">
      <c r="A9" s="486" t="n">
        <v>1</v>
      </c>
      <c r="B9" s="486" t="n">
        <v>7</v>
      </c>
      <c r="C9" s="486" t="n">
        <v>2</v>
      </c>
      <c r="D9" s="486" t="n">
        <v>19</v>
      </c>
      <c r="E9" s="486" t="n">
        <v>1</v>
      </c>
      <c r="F9" s="486" t="n">
        <v>1</v>
      </c>
      <c r="G9" s="486" t="inlineStr">
        <is>
          <t>East-Down1</t>
        </is>
      </c>
      <c r="H9" s="486" t="n">
        <v>2684</v>
      </c>
      <c r="I9" s="486" t="n">
        <v>1</v>
      </c>
      <c r="J9" s="486" t="n">
        <v>18</v>
      </c>
      <c r="K9" s="486" t="n">
        <v>36</v>
      </c>
      <c r="L9" s="486" t="n">
        <v>1</v>
      </c>
      <c r="M9" s="487" t="inlineStr">
        <is>
          <t>G</t>
        </is>
      </c>
    </row>
    <row r="10">
      <c r="A10" s="486" t="n">
        <v>1</v>
      </c>
      <c r="B10" s="486" t="n">
        <v>7</v>
      </c>
      <c r="C10" s="486" t="n">
        <v>2</v>
      </c>
      <c r="D10" s="486" t="n">
        <v>19</v>
      </c>
      <c r="E10" s="486" t="n">
        <v>1</v>
      </c>
      <c r="F10" s="486" t="n">
        <v>1</v>
      </c>
      <c r="G10" s="486" t="inlineStr">
        <is>
          <t>East-Down2</t>
        </is>
      </c>
      <c r="H10" s="486" t="n">
        <v>0</v>
      </c>
      <c r="I10" s="486" t="n">
        <v>0</v>
      </c>
      <c r="J10" s="486" t="n">
        <v>0</v>
      </c>
      <c r="K10" s="486" t="n">
        <v>0</v>
      </c>
      <c r="L10" s="486" t="n">
        <v>0</v>
      </c>
      <c r="M10" s="487" t="inlineStr">
        <is>
          <t>G</t>
        </is>
      </c>
    </row>
    <row r="11">
      <c r="A11" s="486" t="n">
        <v>1</v>
      </c>
      <c r="B11" s="486" t="n">
        <v>7</v>
      </c>
      <c r="C11" s="486" t="n">
        <v>2</v>
      </c>
      <c r="D11" s="486" t="n">
        <v>19</v>
      </c>
      <c r="E11" s="486" t="n">
        <v>1</v>
      </c>
      <c r="F11" s="486" t="n">
        <v>1</v>
      </c>
      <c r="G11" s="486" t="inlineStr">
        <is>
          <t>North-Left2</t>
        </is>
      </c>
      <c r="H11" s="486" t="n">
        <v>0</v>
      </c>
      <c r="I11" s="486" t="n">
        <v>0</v>
      </c>
      <c r="J11" s="486" t="n">
        <v>0</v>
      </c>
      <c r="K11" s="486" t="n">
        <v>0</v>
      </c>
      <c r="L11" s="486" t="n">
        <v>0</v>
      </c>
      <c r="M11" s="487" t="inlineStr">
        <is>
          <t>G</t>
        </is>
      </c>
    </row>
    <row r="12">
      <c r="A12" s="486" t="n">
        <v>1</v>
      </c>
      <c r="B12" s="486" t="n">
        <v>7</v>
      </c>
      <c r="C12" s="486" t="n">
        <v>2</v>
      </c>
      <c r="D12" s="486" t="n">
        <v>19</v>
      </c>
      <c r="E12" s="486" t="n">
        <v>1</v>
      </c>
      <c r="F12" s="486" t="n">
        <v>1</v>
      </c>
      <c r="G12" s="475" t="inlineStr">
        <is>
          <t>North-Left1</t>
        </is>
      </c>
      <c r="H12" s="486" t="n">
        <v>2687.89</v>
      </c>
      <c r="I12" s="486" t="n">
        <v>88</v>
      </c>
      <c r="J12" s="486" t="n">
        <v>50</v>
      </c>
      <c r="K12" s="486" t="n">
        <v>57</v>
      </c>
      <c r="L12" s="486" t="n">
        <v>2</v>
      </c>
      <c r="M12" s="487" t="inlineStr">
        <is>
          <t>G</t>
        </is>
      </c>
    </row>
    <row r="13">
      <c r="A13" s="486" t="n">
        <v>1</v>
      </c>
      <c r="B13" s="486" t="n">
        <v>7</v>
      </c>
      <c r="C13" s="486" t="n">
        <v>2</v>
      </c>
      <c r="D13" s="486" t="n">
        <v>19</v>
      </c>
      <c r="E13" s="486" t="n">
        <v>1</v>
      </c>
      <c r="F13" s="486" t="n">
        <v>1</v>
      </c>
      <c r="G13" s="486" t="inlineStr">
        <is>
          <t>North-Right1</t>
        </is>
      </c>
      <c r="H13" s="486" t="n">
        <v>1343.9</v>
      </c>
      <c r="I13" s="486" t="n">
        <v>88</v>
      </c>
      <c r="J13" s="486" t="n">
        <v>52</v>
      </c>
      <c r="K13" s="486" t="n">
        <v>3</v>
      </c>
      <c r="L13" s="486" t="n">
        <v>2</v>
      </c>
      <c r="M13" s="487" t="inlineStr">
        <is>
          <t>G</t>
        </is>
      </c>
    </row>
    <row r="14">
      <c r="A14" s="486" t="n">
        <v>1</v>
      </c>
      <c r="B14" s="486" t="n">
        <v>7</v>
      </c>
      <c r="C14" s="486" t="n">
        <v>2</v>
      </c>
      <c r="D14" s="486" t="n">
        <v>19</v>
      </c>
      <c r="E14" s="486" t="n">
        <v>1</v>
      </c>
      <c r="F14" s="486" t="n">
        <v>1</v>
      </c>
      <c r="G14" s="486" t="inlineStr">
        <is>
          <t>North-Right2</t>
        </is>
      </c>
      <c r="H14" s="486" t="n">
        <v>1344.08</v>
      </c>
      <c r="I14" s="486" t="n">
        <v>88</v>
      </c>
      <c r="J14" s="486" t="n">
        <v>51</v>
      </c>
      <c r="K14" s="486" t="n">
        <v>9</v>
      </c>
      <c r="L14" s="486" t="n">
        <v>2</v>
      </c>
      <c r="M14" s="487" t="inlineStr">
        <is>
          <t>G</t>
        </is>
      </c>
    </row>
    <row r="15">
      <c r="A15" s="486" t="n">
        <v>1</v>
      </c>
      <c r="B15" s="486" t="n">
        <v>7</v>
      </c>
      <c r="C15" s="486" t="n">
        <v>2</v>
      </c>
      <c r="D15" s="486" t="n">
        <v>19</v>
      </c>
      <c r="E15" s="486" t="n">
        <v>1</v>
      </c>
      <c r="F15" s="486" t="n">
        <v>1</v>
      </c>
      <c r="G15" s="486" t="inlineStr">
        <is>
          <t>South-Left2</t>
        </is>
      </c>
      <c r="H15" s="486" t="n">
        <v>1326.06</v>
      </c>
      <c r="I15" s="486" t="n">
        <v>88</v>
      </c>
      <c r="J15" s="486" t="n">
        <v>0</v>
      </c>
      <c r="K15" s="486" t="n">
        <v>35</v>
      </c>
      <c r="L15" s="486" t="n">
        <v>3</v>
      </c>
      <c r="M15" s="487" t="inlineStr">
        <is>
          <t>G</t>
        </is>
      </c>
    </row>
    <row r="16">
      <c r="A16" s="486" t="n">
        <v>1</v>
      </c>
      <c r="B16" s="486" t="n">
        <v>7</v>
      </c>
      <c r="C16" s="486" t="n">
        <v>2</v>
      </c>
      <c r="D16" s="486" t="n">
        <v>19</v>
      </c>
      <c r="E16" s="486" t="n">
        <v>1</v>
      </c>
      <c r="F16" s="486" t="n">
        <v>1</v>
      </c>
      <c r="G16" s="475" t="inlineStr">
        <is>
          <t>South-Left1</t>
        </is>
      </c>
      <c r="H16" s="486" t="n">
        <v>1326.74</v>
      </c>
      <c r="I16" s="486" t="n">
        <v>87</v>
      </c>
      <c r="J16" s="486" t="n">
        <v>58</v>
      </c>
      <c r="K16" s="486" t="n">
        <v>16</v>
      </c>
      <c r="L16" s="486" t="n">
        <v>3</v>
      </c>
      <c r="M16" s="487" t="inlineStr">
        <is>
          <t>G</t>
        </is>
      </c>
    </row>
    <row r="17">
      <c r="A17" s="486" t="n">
        <v>1</v>
      </c>
      <c r="B17" s="486" t="n">
        <v>7</v>
      </c>
      <c r="C17" s="486" t="n">
        <v>2</v>
      </c>
      <c r="D17" s="486" t="n">
        <v>19</v>
      </c>
      <c r="E17" s="486" t="n">
        <v>1</v>
      </c>
      <c r="F17" s="486" t="n">
        <v>1</v>
      </c>
      <c r="G17" s="486" t="inlineStr">
        <is>
          <t>South-Right1</t>
        </is>
      </c>
      <c r="H17" s="486" t="n">
        <v>1325.35</v>
      </c>
      <c r="I17" s="486" t="n">
        <v>88</v>
      </c>
      <c r="J17" s="486" t="n">
        <v>1</v>
      </c>
      <c r="K17" s="486" t="n">
        <v>7</v>
      </c>
      <c r="L17" s="486" t="n">
        <v>3</v>
      </c>
      <c r="M17" s="487" t="inlineStr">
        <is>
          <t>G</t>
        </is>
      </c>
    </row>
    <row r="18">
      <c r="A18" s="486" t="n">
        <v>1</v>
      </c>
      <c r="B18" s="486" t="n">
        <v>7</v>
      </c>
      <c r="C18" s="486" t="n">
        <v>2</v>
      </c>
      <c r="D18" s="486" t="n">
        <v>19</v>
      </c>
      <c r="E18" s="486" t="n">
        <v>1</v>
      </c>
      <c r="F18" s="486" t="n">
        <v>1</v>
      </c>
      <c r="G18" s="486" t="inlineStr">
        <is>
          <t>South-Right2</t>
        </is>
      </c>
      <c r="H18" s="486" t="n">
        <v>1315.62</v>
      </c>
      <c r="I18" s="486" t="n">
        <v>87</v>
      </c>
      <c r="J18" s="486" t="n">
        <v>57</v>
      </c>
      <c r="K18" s="486" t="n">
        <v>25</v>
      </c>
      <c r="L18" s="486" t="n">
        <v>3</v>
      </c>
      <c r="M18" s="487" t="inlineStr">
        <is>
          <t>G</t>
        </is>
      </c>
    </row>
    <row r="19">
      <c r="A19" s="485" t="n">
        <v>1</v>
      </c>
      <c r="B19" s="485" t="n">
        <v>2</v>
      </c>
      <c r="C19" s="485" t="n">
        <v>2</v>
      </c>
      <c r="D19" s="485" t="n">
        <v>2</v>
      </c>
      <c r="E19" s="485" t="n">
        <v>2</v>
      </c>
      <c r="F19" s="485" t="n">
        <v>2</v>
      </c>
      <c r="G19" s="485" t="inlineStr">
        <is>
          <t>West-Up2</t>
        </is>
      </c>
      <c r="H19" s="485" t="n">
        <v>0</v>
      </c>
      <c r="I19" s="485" t="n">
        <v>0</v>
      </c>
      <c r="J19" s="485" t="n">
        <v>0</v>
      </c>
      <c r="K19" s="485" t="n">
        <v>0</v>
      </c>
      <c r="L19" s="485" t="n">
        <v>0</v>
      </c>
      <c r="M19" s="514" t="inlineStr">
        <is>
          <t>T</t>
        </is>
      </c>
    </row>
    <row r="20">
      <c r="A20" s="485" t="n">
        <v>1</v>
      </c>
      <c r="B20" s="485" t="n">
        <v>2</v>
      </c>
      <c r="C20" s="485" t="n">
        <v>2</v>
      </c>
      <c r="D20" s="485" t="n">
        <v>2</v>
      </c>
      <c r="E20" s="485" t="n">
        <v>2</v>
      </c>
      <c r="F20" s="485" t="n">
        <v>2</v>
      </c>
      <c r="G20" s="516" t="inlineStr">
        <is>
          <t>West-Up1</t>
        </is>
      </c>
      <c r="H20" s="485" t="n">
        <v>2858.95</v>
      </c>
      <c r="I20" s="485" t="n">
        <v>0</v>
      </c>
      <c r="J20" s="485" t="n">
        <v>16</v>
      </c>
      <c r="K20" s="485" t="n">
        <v>45</v>
      </c>
      <c r="L20" s="485" t="n">
        <v>4</v>
      </c>
      <c r="M20" s="514" t="inlineStr">
        <is>
          <t>T</t>
        </is>
      </c>
    </row>
    <row r="21">
      <c r="A21" s="485" t="n">
        <v>1</v>
      </c>
      <c r="B21" s="485" t="n">
        <v>2</v>
      </c>
      <c r="C21" s="485" t="n">
        <v>2</v>
      </c>
      <c r="D21" s="485" t="n">
        <v>2</v>
      </c>
      <c r="E21" s="485" t="n">
        <v>2</v>
      </c>
      <c r="F21" s="485" t="n">
        <v>2</v>
      </c>
      <c r="G21" s="485" t="inlineStr">
        <is>
          <t>West-Down1</t>
        </is>
      </c>
      <c r="H21" s="485" t="n">
        <v>2640.27</v>
      </c>
      <c r="I21" s="485" t="n">
        <v>0</v>
      </c>
      <c r="J21" s="485" t="n">
        <v>16</v>
      </c>
      <c r="K21" s="485" t="n">
        <v>37</v>
      </c>
      <c r="L21" s="485" t="n">
        <v>4</v>
      </c>
      <c r="M21" s="514" t="inlineStr">
        <is>
          <t>T</t>
        </is>
      </c>
    </row>
    <row r="22">
      <c r="A22" s="485" t="n">
        <v>1</v>
      </c>
      <c r="B22" s="485" t="n">
        <v>2</v>
      </c>
      <c r="C22" s="485" t="n">
        <v>2</v>
      </c>
      <c r="D22" s="485" t="n">
        <v>2</v>
      </c>
      <c r="E22" s="485" t="n">
        <v>2</v>
      </c>
      <c r="F22" s="485" t="n">
        <v>2</v>
      </c>
      <c r="G22" s="485" t="inlineStr">
        <is>
          <t>West-Down2</t>
        </is>
      </c>
      <c r="H22" s="485" t="n">
        <v>0</v>
      </c>
      <c r="I22" s="485" t="n">
        <v>0</v>
      </c>
      <c r="J22" s="485" t="n">
        <v>0</v>
      </c>
      <c r="K22" s="485" t="n">
        <v>0</v>
      </c>
      <c r="L22" s="485" t="n">
        <v>0</v>
      </c>
      <c r="M22" s="514" t="inlineStr">
        <is>
          <t>T</t>
        </is>
      </c>
    </row>
    <row r="23">
      <c r="A23" s="485" t="n">
        <v>1</v>
      </c>
      <c r="B23" s="485" t="n">
        <v>2</v>
      </c>
      <c r="C23" s="485" t="n">
        <v>2</v>
      </c>
      <c r="D23" s="485" t="n">
        <v>2</v>
      </c>
      <c r="E23" s="485" t="n">
        <v>2</v>
      </c>
      <c r="F23" s="485" t="n">
        <v>2</v>
      </c>
      <c r="G23" s="485" t="inlineStr">
        <is>
          <t>East-Up2</t>
        </is>
      </c>
      <c r="H23" s="485" t="n">
        <v>0</v>
      </c>
      <c r="I23" s="485" t="n">
        <v>0</v>
      </c>
      <c r="J23" s="485" t="n">
        <v>0</v>
      </c>
      <c r="K23" s="485" t="n">
        <v>0</v>
      </c>
      <c r="L23" s="485" t="n">
        <v>0</v>
      </c>
      <c r="M23" s="514" t="inlineStr">
        <is>
          <t>T</t>
        </is>
      </c>
    </row>
    <row r="24">
      <c r="A24" s="485" t="n">
        <v>1</v>
      </c>
      <c r="B24" s="485" t="n">
        <v>2</v>
      </c>
      <c r="C24" s="485" t="n">
        <v>2</v>
      </c>
      <c r="D24" s="485" t="n">
        <v>2</v>
      </c>
      <c r="E24" s="485" t="n">
        <v>2</v>
      </c>
      <c r="F24" s="485" t="n">
        <v>2</v>
      </c>
      <c r="G24" s="516" t="inlineStr">
        <is>
          <t>East-Up1</t>
        </is>
      </c>
      <c r="H24" s="485" t="n">
        <v>2698.71</v>
      </c>
      <c r="I24" s="485" t="n">
        <v>1</v>
      </c>
      <c r="J24" s="485" t="n">
        <v>20</v>
      </c>
      <c r="K24" s="485" t="n">
        <v>44</v>
      </c>
      <c r="L24" s="485" t="n">
        <v>4</v>
      </c>
      <c r="M24" s="514" t="inlineStr">
        <is>
          <t>T</t>
        </is>
      </c>
    </row>
    <row r="25">
      <c r="A25" s="485" t="n">
        <v>1</v>
      </c>
      <c r="B25" s="485" t="n">
        <v>2</v>
      </c>
      <c r="C25" s="485" t="n">
        <v>2</v>
      </c>
      <c r="D25" s="485" t="n">
        <v>2</v>
      </c>
      <c r="E25" s="485" t="n">
        <v>2</v>
      </c>
      <c r="F25" s="485" t="n">
        <v>2</v>
      </c>
      <c r="G25" s="485" t="inlineStr">
        <is>
          <t>East-Down1</t>
        </is>
      </c>
      <c r="H25" s="485" t="n">
        <v>2648.62</v>
      </c>
      <c r="I25" s="485" t="n">
        <v>0</v>
      </c>
      <c r="J25" s="485" t="n">
        <v>19</v>
      </c>
      <c r="K25" s="485" t="n">
        <v>47</v>
      </c>
      <c r="L25" s="485" t="n">
        <v>4</v>
      </c>
      <c r="M25" s="514" t="inlineStr">
        <is>
          <t>T</t>
        </is>
      </c>
    </row>
    <row r="26">
      <c r="A26" s="485" t="n">
        <v>1</v>
      </c>
      <c r="B26" s="485" t="n">
        <v>2</v>
      </c>
      <c r="C26" s="485" t="n">
        <v>2</v>
      </c>
      <c r="D26" s="485" t="n">
        <v>2</v>
      </c>
      <c r="E26" s="485" t="n">
        <v>2</v>
      </c>
      <c r="F26" s="485" t="n">
        <v>2</v>
      </c>
      <c r="G26" s="485" t="inlineStr">
        <is>
          <t>East-Down2</t>
        </is>
      </c>
      <c r="H26" s="485" t="n">
        <v>0</v>
      </c>
      <c r="I26" s="485" t="n">
        <v>0</v>
      </c>
      <c r="J26" s="485" t="n">
        <v>0</v>
      </c>
      <c r="K26" s="485" t="n">
        <v>0</v>
      </c>
      <c r="L26" s="485" t="n">
        <v>0</v>
      </c>
      <c r="M26" s="514" t="inlineStr">
        <is>
          <t>T</t>
        </is>
      </c>
    </row>
    <row r="27">
      <c r="A27" s="485" t="n">
        <v>1</v>
      </c>
      <c r="B27" s="485" t="n">
        <v>2</v>
      </c>
      <c r="C27" s="485" t="n">
        <v>2</v>
      </c>
      <c r="D27" s="485" t="n">
        <v>2</v>
      </c>
      <c r="E27" s="485" t="n">
        <v>2</v>
      </c>
      <c r="F27" s="485" t="n">
        <v>2</v>
      </c>
      <c r="G27" s="485" t="inlineStr">
        <is>
          <t>North-Left2</t>
        </is>
      </c>
      <c r="H27" s="485" t="n">
        <v>0</v>
      </c>
      <c r="I27" s="485" t="n">
        <v>0</v>
      </c>
      <c r="J27" s="485" t="n">
        <v>0</v>
      </c>
      <c r="K27" s="485" t="n">
        <v>0</v>
      </c>
      <c r="L27" s="485" t="n">
        <v>0</v>
      </c>
      <c r="M27" s="514" t="inlineStr">
        <is>
          <t>T</t>
        </is>
      </c>
    </row>
    <row r="28">
      <c r="A28" s="485" t="n">
        <v>1</v>
      </c>
      <c r="B28" s="485" t="n">
        <v>2</v>
      </c>
      <c r="C28" s="485" t="n">
        <v>2</v>
      </c>
      <c r="D28" s="485" t="n">
        <v>2</v>
      </c>
      <c r="E28" s="485" t="n">
        <v>2</v>
      </c>
      <c r="F28" s="485" t="n">
        <v>2</v>
      </c>
      <c r="G28" s="516" t="inlineStr">
        <is>
          <t>North-Left1</t>
        </is>
      </c>
      <c r="H28" s="485" t="n">
        <v>2637.18</v>
      </c>
      <c r="I28" s="485" t="n">
        <v>89</v>
      </c>
      <c r="J28" s="485" t="n">
        <v>47</v>
      </c>
      <c r="K28" s="485" t="n">
        <v>25</v>
      </c>
      <c r="L28" s="485" t="n">
        <v>4</v>
      </c>
      <c r="M28" s="514" t="inlineStr">
        <is>
          <t>T</t>
        </is>
      </c>
    </row>
    <row r="29">
      <c r="A29" s="485" t="n">
        <v>1</v>
      </c>
      <c r="B29" s="485" t="n">
        <v>2</v>
      </c>
      <c r="C29" s="485" t="n">
        <v>2</v>
      </c>
      <c r="D29" s="485" t="n">
        <v>2</v>
      </c>
      <c r="E29" s="485" t="n">
        <v>2</v>
      </c>
      <c r="F29" s="485" t="n">
        <v>2</v>
      </c>
      <c r="G29" s="485" t="inlineStr">
        <is>
          <t>North-Right1</t>
        </is>
      </c>
      <c r="H29" s="485" t="n">
        <v>2635.18</v>
      </c>
      <c r="I29" s="485" t="n">
        <v>89</v>
      </c>
      <c r="J29" s="485" t="n">
        <v>32</v>
      </c>
      <c r="K29" s="485" t="n">
        <v>13</v>
      </c>
      <c r="L29" s="485" t="n">
        <v>4</v>
      </c>
      <c r="M29" s="514" t="inlineStr">
        <is>
          <t>T</t>
        </is>
      </c>
    </row>
    <row r="30">
      <c r="A30" s="485" t="n">
        <v>1</v>
      </c>
      <c r="B30" s="485" t="n">
        <v>2</v>
      </c>
      <c r="C30" s="485" t="n">
        <v>2</v>
      </c>
      <c r="D30" s="485" t="n">
        <v>2</v>
      </c>
      <c r="E30" s="485" t="n">
        <v>2</v>
      </c>
      <c r="F30" s="485" t="n">
        <v>2</v>
      </c>
      <c r="G30" s="485" t="inlineStr">
        <is>
          <t>North-Right2</t>
        </is>
      </c>
      <c r="H30" s="485" t="n">
        <v>0</v>
      </c>
      <c r="I30" s="485" t="n">
        <v>0</v>
      </c>
      <c r="J30" s="485" t="n">
        <v>0</v>
      </c>
      <c r="K30" s="485" t="n">
        <v>0</v>
      </c>
      <c r="L30" s="485" t="n">
        <v>0</v>
      </c>
      <c r="M30" s="514" t="inlineStr">
        <is>
          <t>T</t>
        </is>
      </c>
    </row>
    <row r="31">
      <c r="A31" s="485" t="n">
        <v>1</v>
      </c>
      <c r="B31" s="485" t="n">
        <v>2</v>
      </c>
      <c r="C31" s="485" t="n">
        <v>2</v>
      </c>
      <c r="D31" s="485" t="n">
        <v>2</v>
      </c>
      <c r="E31" s="485" t="n">
        <v>2</v>
      </c>
      <c r="F31" s="485" t="n">
        <v>2</v>
      </c>
      <c r="G31" s="485" t="inlineStr">
        <is>
          <t>South-Left2</t>
        </is>
      </c>
      <c r="H31" s="485" t="n">
        <v>0</v>
      </c>
      <c r="I31" s="485" t="n">
        <v>0</v>
      </c>
      <c r="J31" s="485" t="n">
        <v>0</v>
      </c>
      <c r="K31" s="485" t="n">
        <v>0</v>
      </c>
      <c r="L31" s="485" t="n">
        <v>0</v>
      </c>
      <c r="M31" s="514" t="inlineStr">
        <is>
          <t>T</t>
        </is>
      </c>
    </row>
    <row r="32">
      <c r="A32" s="485" t="n">
        <v>1</v>
      </c>
      <c r="B32" s="485" t="n">
        <v>2</v>
      </c>
      <c r="C32" s="485" t="n">
        <v>2</v>
      </c>
      <c r="D32" s="485" t="n">
        <v>2</v>
      </c>
      <c r="E32" s="485" t="n">
        <v>2</v>
      </c>
      <c r="F32" s="485" t="n">
        <v>2</v>
      </c>
      <c r="G32" s="516" t="inlineStr">
        <is>
          <t>South-Left1</t>
        </is>
      </c>
      <c r="H32" s="485" t="n">
        <v>2638.87</v>
      </c>
      <c r="I32" s="485" t="n">
        <v>89</v>
      </c>
      <c r="J32" s="485" t="n">
        <v>47</v>
      </c>
      <c r="K32" s="485" t="n">
        <v>48</v>
      </c>
      <c r="L32" s="485" t="n">
        <v>3</v>
      </c>
      <c r="M32" s="514" t="inlineStr">
        <is>
          <t>T</t>
        </is>
      </c>
    </row>
    <row r="33">
      <c r="A33" s="485" t="n">
        <v>1</v>
      </c>
      <c r="B33" s="485" t="n">
        <v>2</v>
      </c>
      <c r="C33" s="485" t="n">
        <v>2</v>
      </c>
      <c r="D33" s="485" t="n">
        <v>2</v>
      </c>
      <c r="E33" s="485" t="n">
        <v>2</v>
      </c>
      <c r="F33" s="485" t="n">
        <v>2</v>
      </c>
      <c r="G33" s="485" t="inlineStr">
        <is>
          <t>South-Right1</t>
        </is>
      </c>
      <c r="H33" s="485" t="n">
        <v>2638.83</v>
      </c>
      <c r="I33" s="485" t="n">
        <v>89</v>
      </c>
      <c r="J33" s="485" t="n">
        <v>47</v>
      </c>
      <c r="K33" s="485" t="n">
        <v>54</v>
      </c>
      <c r="L33" s="485" t="n">
        <v>2</v>
      </c>
      <c r="M33" s="514" t="inlineStr">
        <is>
          <t>T</t>
        </is>
      </c>
    </row>
    <row r="34">
      <c r="A34" s="485" t="n">
        <v>1</v>
      </c>
      <c r="B34" s="485" t="n">
        <v>2</v>
      </c>
      <c r="C34" s="485" t="n">
        <v>2</v>
      </c>
      <c r="D34" s="485" t="n">
        <v>2</v>
      </c>
      <c r="E34" s="485" t="n">
        <v>2</v>
      </c>
      <c r="F34" s="485" t="n">
        <v>2</v>
      </c>
      <c r="G34" s="485" t="inlineStr">
        <is>
          <t>South-Right2</t>
        </is>
      </c>
      <c r="H34" s="485" t="n">
        <v>0</v>
      </c>
      <c r="I34" s="485" t="n">
        <v>0</v>
      </c>
      <c r="J34" s="485" t="n">
        <v>0</v>
      </c>
      <c r="K34" s="485" t="n">
        <v>0</v>
      </c>
      <c r="L34" s="485" t="n">
        <v>0</v>
      </c>
      <c r="M34" s="514" t="inlineStr">
        <is>
          <t>T</t>
        </is>
      </c>
    </row>
    <row r="35">
      <c r="A35" s="486" t="n">
        <v>1</v>
      </c>
      <c r="B35" s="486" t="n">
        <v>2</v>
      </c>
      <c r="C35" s="486" t="n">
        <v>2</v>
      </c>
      <c r="D35" s="486" t="n">
        <v>3</v>
      </c>
      <c r="E35" s="486" t="n">
        <v>2</v>
      </c>
      <c r="F35" s="486" t="n">
        <v>2</v>
      </c>
      <c r="G35" s="486" t="inlineStr">
        <is>
          <t>West-Up2</t>
        </is>
      </c>
      <c r="H35" s="486" t="n">
        <v>0</v>
      </c>
      <c r="I35" s="486" t="n">
        <v>0</v>
      </c>
      <c r="J35" s="486" t="n">
        <v>0</v>
      </c>
      <c r="K35" s="486" t="n">
        <v>0</v>
      </c>
      <c r="L35" s="486" t="n">
        <v>0</v>
      </c>
      <c r="M35" s="487" t="inlineStr">
        <is>
          <t>T</t>
        </is>
      </c>
    </row>
    <row r="36">
      <c r="A36" s="486" t="n">
        <v>1</v>
      </c>
      <c r="B36" s="486" t="n">
        <v>2</v>
      </c>
      <c r="C36" s="486" t="n">
        <v>2</v>
      </c>
      <c r="D36" s="486" t="n">
        <v>3</v>
      </c>
      <c r="E36" s="486" t="n">
        <v>2</v>
      </c>
      <c r="F36" s="486" t="n">
        <v>2</v>
      </c>
      <c r="G36" s="475" t="inlineStr">
        <is>
          <t>West-Up1</t>
        </is>
      </c>
      <c r="H36" s="486" t="n">
        <v>5331.88</v>
      </c>
      <c r="I36" s="486" t="n">
        <v>0</v>
      </c>
      <c r="J36" s="486" t="n">
        <v>15</v>
      </c>
      <c r="K36" s="486" t="n">
        <v>37</v>
      </c>
      <c r="L36" s="486" t="n">
        <v>2</v>
      </c>
      <c r="M36" s="487" t="inlineStr">
        <is>
          <t>T</t>
        </is>
      </c>
    </row>
    <row r="37">
      <c r="A37" s="486" t="n">
        <v>1</v>
      </c>
      <c r="B37" s="486" t="n">
        <v>2</v>
      </c>
      <c r="C37" s="486" t="n">
        <v>2</v>
      </c>
      <c r="D37" s="486" t="n">
        <v>3</v>
      </c>
      <c r="E37" s="486" t="n">
        <v>2</v>
      </c>
      <c r="F37" s="486" t="n">
        <v>2</v>
      </c>
      <c r="G37" s="486" t="inlineStr">
        <is>
          <t>West-Down1</t>
        </is>
      </c>
      <c r="H37" s="486" t="n">
        <v>0</v>
      </c>
      <c r="I37" s="486" t="n">
        <v>0</v>
      </c>
      <c r="J37" s="486" t="n">
        <v>0</v>
      </c>
      <c r="K37" s="486" t="n">
        <v>0</v>
      </c>
      <c r="L37" s="486" t="n">
        <v>0</v>
      </c>
      <c r="M37" s="487" t="inlineStr">
        <is>
          <t>T</t>
        </is>
      </c>
    </row>
    <row r="38">
      <c r="A38" s="486" t="n">
        <v>1</v>
      </c>
      <c r="B38" s="486" t="n">
        <v>2</v>
      </c>
      <c r="C38" s="486" t="n">
        <v>2</v>
      </c>
      <c r="D38" s="486" t="n">
        <v>3</v>
      </c>
      <c r="E38" s="486" t="n">
        <v>2</v>
      </c>
      <c r="F38" s="486" t="n">
        <v>2</v>
      </c>
      <c r="G38" s="486" t="inlineStr">
        <is>
          <t>West-Down2</t>
        </is>
      </c>
      <c r="H38" s="486" t="n">
        <v>0</v>
      </c>
      <c r="I38" s="486" t="n">
        <v>0</v>
      </c>
      <c r="J38" s="486" t="n">
        <v>0</v>
      </c>
      <c r="K38" s="486" t="n">
        <v>0</v>
      </c>
      <c r="L38" s="486" t="n">
        <v>0</v>
      </c>
      <c r="M38" s="487" t="inlineStr">
        <is>
          <t>T</t>
        </is>
      </c>
    </row>
    <row r="39">
      <c r="A39" s="486" t="n">
        <v>1</v>
      </c>
      <c r="B39" s="486" t="n">
        <v>2</v>
      </c>
      <c r="C39" s="486" t="n">
        <v>2</v>
      </c>
      <c r="D39" s="486" t="n">
        <v>3</v>
      </c>
      <c r="E39" s="486" t="n">
        <v>2</v>
      </c>
      <c r="F39" s="486" t="n">
        <v>2</v>
      </c>
      <c r="G39" s="486" t="inlineStr">
        <is>
          <t>East-Up2</t>
        </is>
      </c>
      <c r="H39" s="486" t="n">
        <v>1306.69</v>
      </c>
      <c r="I39" s="486" t="n">
        <v>0</v>
      </c>
      <c r="J39" s="486" t="n">
        <v>4</v>
      </c>
      <c r="K39" s="486" t="n">
        <v>25</v>
      </c>
      <c r="L39" s="486" t="n">
        <v>4</v>
      </c>
      <c r="M39" s="487" t="inlineStr">
        <is>
          <t>T</t>
        </is>
      </c>
    </row>
    <row r="40">
      <c r="A40" s="486" t="n">
        <v>1</v>
      </c>
      <c r="B40" s="486" t="n">
        <v>2</v>
      </c>
      <c r="C40" s="486" t="n">
        <v>2</v>
      </c>
      <c r="D40" s="486" t="n">
        <v>3</v>
      </c>
      <c r="E40" s="486" t="n">
        <v>2</v>
      </c>
      <c r="F40" s="486" t="n">
        <v>2</v>
      </c>
      <c r="G40" s="475" t="inlineStr">
        <is>
          <t>East-Up1</t>
        </is>
      </c>
      <c r="H40" s="486" t="n">
        <v>1313.37</v>
      </c>
      <c r="I40" s="486" t="n">
        <v>0</v>
      </c>
      <c r="J40" s="486" t="n">
        <v>5</v>
      </c>
      <c r="K40" s="486" t="n">
        <v>13</v>
      </c>
      <c r="L40" s="486" t="n">
        <v>4</v>
      </c>
      <c r="M40" s="487" t="inlineStr">
        <is>
          <t>T</t>
        </is>
      </c>
    </row>
    <row r="41">
      <c r="A41" s="486" t="n">
        <v>1</v>
      </c>
      <c r="B41" s="486" t="n">
        <v>2</v>
      </c>
      <c r="C41" s="486" t="n">
        <v>2</v>
      </c>
      <c r="D41" s="486" t="n">
        <v>3</v>
      </c>
      <c r="E41" s="486" t="n">
        <v>2</v>
      </c>
      <c r="F41" s="486" t="n">
        <v>2</v>
      </c>
      <c r="G41" s="486" t="inlineStr">
        <is>
          <t>East-Down1</t>
        </is>
      </c>
      <c r="H41" s="486" t="n">
        <v>1313.43</v>
      </c>
      <c r="I41" s="486" t="n">
        <v>0</v>
      </c>
      <c r="J41" s="486" t="n">
        <v>4</v>
      </c>
      <c r="K41" s="486" t="n">
        <v>11</v>
      </c>
      <c r="L41" s="486" t="n">
        <v>4</v>
      </c>
      <c r="M41" s="487" t="inlineStr">
        <is>
          <t>T</t>
        </is>
      </c>
    </row>
    <row r="42">
      <c r="A42" s="486" t="n">
        <v>1</v>
      </c>
      <c r="B42" s="486" t="n">
        <v>2</v>
      </c>
      <c r="C42" s="486" t="n">
        <v>2</v>
      </c>
      <c r="D42" s="486" t="n">
        <v>3</v>
      </c>
      <c r="E42" s="486" t="n">
        <v>2</v>
      </c>
      <c r="F42" s="486" t="n">
        <v>2</v>
      </c>
      <c r="G42" s="486" t="inlineStr">
        <is>
          <t>East-Down2</t>
        </is>
      </c>
      <c r="H42" s="486" t="n">
        <v>1313.18</v>
      </c>
      <c r="I42" s="486" t="n">
        <v>0</v>
      </c>
      <c r="J42" s="486" t="n">
        <v>4</v>
      </c>
      <c r="K42" s="486" t="n">
        <v>25</v>
      </c>
      <c r="L42" s="486" t="n">
        <v>4</v>
      </c>
      <c r="M42" s="487" t="inlineStr">
        <is>
          <t>T</t>
        </is>
      </c>
    </row>
    <row r="43">
      <c r="A43" s="486" t="n">
        <v>1</v>
      </c>
      <c r="B43" s="486" t="n">
        <v>2</v>
      </c>
      <c r="C43" s="486" t="n">
        <v>2</v>
      </c>
      <c r="D43" s="486" t="n">
        <v>3</v>
      </c>
      <c r="E43" s="486" t="n">
        <v>2</v>
      </c>
      <c r="F43" s="486" t="n">
        <v>2</v>
      </c>
      <c r="G43" s="486" t="inlineStr">
        <is>
          <t>North-Left2</t>
        </is>
      </c>
      <c r="H43" s="486" t="n">
        <v>1309.07</v>
      </c>
      <c r="I43" s="486" t="n">
        <v>89</v>
      </c>
      <c r="J43" s="486" t="n">
        <v>46</v>
      </c>
      <c r="K43" s="486" t="n">
        <v>47</v>
      </c>
      <c r="L43" s="486" t="n">
        <v>4</v>
      </c>
      <c r="M43" s="487" t="inlineStr">
        <is>
          <t>T</t>
        </is>
      </c>
    </row>
    <row r="44">
      <c r="A44" s="486" t="n">
        <v>1</v>
      </c>
      <c r="B44" s="486" t="n">
        <v>2</v>
      </c>
      <c r="C44" s="486" t="n">
        <v>2</v>
      </c>
      <c r="D44" s="486" t="n">
        <v>3</v>
      </c>
      <c r="E44" s="486" t="n">
        <v>2</v>
      </c>
      <c r="F44" s="486" t="n">
        <v>2</v>
      </c>
      <c r="G44" s="475" t="inlineStr">
        <is>
          <t>North-Left1</t>
        </is>
      </c>
      <c r="H44" s="486" t="n">
        <v>1313.24</v>
      </c>
      <c r="I44" s="486" t="n">
        <v>89</v>
      </c>
      <c r="J44" s="486" t="n">
        <v>50</v>
      </c>
      <c r="K44" s="486" t="n">
        <v>29</v>
      </c>
      <c r="L44" s="486" t="n">
        <v>3</v>
      </c>
      <c r="M44" s="487" t="inlineStr">
        <is>
          <t>T</t>
        </is>
      </c>
    </row>
    <row r="45">
      <c r="A45" s="486" t="n">
        <v>1</v>
      </c>
      <c r="B45" s="486" t="n">
        <v>2</v>
      </c>
      <c r="C45" s="486" t="n">
        <v>2</v>
      </c>
      <c r="D45" s="486" t="n">
        <v>3</v>
      </c>
      <c r="E45" s="486" t="n">
        <v>2</v>
      </c>
      <c r="F45" s="486" t="n">
        <v>2</v>
      </c>
      <c r="G45" s="486" t="inlineStr">
        <is>
          <t>North-Right1</t>
        </is>
      </c>
      <c r="H45" s="486" t="n">
        <v>1320.43</v>
      </c>
      <c r="I45" s="486" t="n">
        <v>89</v>
      </c>
      <c r="J45" s="486" t="n">
        <v>48</v>
      </c>
      <c r="K45" s="486" t="n">
        <v>18</v>
      </c>
      <c r="L45" s="486" t="n">
        <v>4</v>
      </c>
      <c r="M45" s="487" t="inlineStr">
        <is>
          <t>T</t>
        </is>
      </c>
    </row>
    <row r="46">
      <c r="A46" s="486" t="n">
        <v>1</v>
      </c>
      <c r="B46" s="486" t="n">
        <v>2</v>
      </c>
      <c r="C46" s="486" t="n">
        <v>2</v>
      </c>
      <c r="D46" s="486" t="n">
        <v>3</v>
      </c>
      <c r="E46" s="486" t="n">
        <v>2</v>
      </c>
      <c r="F46" s="486" t="n">
        <v>2</v>
      </c>
      <c r="G46" s="486" t="inlineStr">
        <is>
          <t>North-Right2</t>
        </is>
      </c>
      <c r="H46" s="486" t="n">
        <v>1320.77</v>
      </c>
      <c r="I46" s="486" t="n">
        <v>89</v>
      </c>
      <c r="J46" s="486" t="n">
        <v>47</v>
      </c>
      <c r="K46" s="486" t="n">
        <v>13</v>
      </c>
      <c r="L46" s="486" t="n">
        <v>4</v>
      </c>
      <c r="M46" s="487" t="inlineStr">
        <is>
          <t>T</t>
        </is>
      </c>
    </row>
    <row r="47">
      <c r="A47" s="486" t="n">
        <v>1</v>
      </c>
      <c r="B47" s="486" t="n">
        <v>2</v>
      </c>
      <c r="C47" s="486" t="n">
        <v>2</v>
      </c>
      <c r="D47" s="486" t="n">
        <v>3</v>
      </c>
      <c r="E47" s="486" t="n">
        <v>2</v>
      </c>
      <c r="F47" s="486" t="n">
        <v>2</v>
      </c>
      <c r="G47" s="486" t="inlineStr">
        <is>
          <t>South-Left2</t>
        </is>
      </c>
      <c r="H47" s="486" t="n">
        <v>1311.17</v>
      </c>
      <c r="I47" s="486" t="n">
        <v>89</v>
      </c>
      <c r="J47" s="486" t="n">
        <v>50</v>
      </c>
      <c r="K47" s="486" t="n">
        <v>10</v>
      </c>
      <c r="L47" s="486" t="n">
        <v>3</v>
      </c>
      <c r="M47" s="487" t="inlineStr">
        <is>
          <t>T</t>
        </is>
      </c>
    </row>
    <row r="48">
      <c r="A48" s="486" t="n">
        <v>1</v>
      </c>
      <c r="B48" s="486" t="n">
        <v>2</v>
      </c>
      <c r="C48" s="486" t="n">
        <v>2</v>
      </c>
      <c r="D48" s="486" t="n">
        <v>3</v>
      </c>
      <c r="E48" s="486" t="n">
        <v>2</v>
      </c>
      <c r="F48" s="486" t="n">
        <v>2</v>
      </c>
      <c r="G48" s="475" t="inlineStr">
        <is>
          <t>South-Left1</t>
        </is>
      </c>
      <c r="H48" s="486" t="n">
        <v>1335.22</v>
      </c>
      <c r="I48" s="486" t="n">
        <v>88</v>
      </c>
      <c r="J48" s="486" t="n">
        <v>26</v>
      </c>
      <c r="K48" s="486" t="n">
        <v>15</v>
      </c>
      <c r="L48" s="486" t="n">
        <v>3</v>
      </c>
      <c r="M48" s="487" t="inlineStr">
        <is>
          <t>T</t>
        </is>
      </c>
    </row>
    <row r="49">
      <c r="A49" s="486" t="n">
        <v>1</v>
      </c>
      <c r="B49" s="486" t="n">
        <v>2</v>
      </c>
      <c r="C49" s="486" t="n">
        <v>2</v>
      </c>
      <c r="D49" s="486" t="n">
        <v>3</v>
      </c>
      <c r="E49" s="486" t="n">
        <v>2</v>
      </c>
      <c r="F49" s="486" t="n">
        <v>2</v>
      </c>
      <c r="G49" s="486" t="inlineStr">
        <is>
          <t>South-Right1</t>
        </is>
      </c>
      <c r="H49" s="486" t="n">
        <v>1336.09</v>
      </c>
      <c r="I49" s="486" t="n">
        <v>88</v>
      </c>
      <c r="J49" s="486" t="n">
        <v>25</v>
      </c>
      <c r="K49" s="486" t="n">
        <v>40</v>
      </c>
      <c r="L49" s="486" t="n">
        <v>3</v>
      </c>
      <c r="M49" s="487" t="inlineStr">
        <is>
          <t>T</t>
        </is>
      </c>
    </row>
    <row r="50">
      <c r="A50" s="486" t="n">
        <v>1</v>
      </c>
      <c r="B50" s="486" t="n">
        <v>2</v>
      </c>
      <c r="C50" s="486" t="n">
        <v>2</v>
      </c>
      <c r="D50" s="486" t="n">
        <v>3</v>
      </c>
      <c r="E50" s="486" t="n">
        <v>2</v>
      </c>
      <c r="F50" s="486" t="n">
        <v>2</v>
      </c>
      <c r="G50" s="486" t="inlineStr">
        <is>
          <t>South-Right2</t>
        </is>
      </c>
      <c r="H50" s="486" t="n">
        <v>1313.17</v>
      </c>
      <c r="I50" s="486" t="n">
        <v>89</v>
      </c>
      <c r="J50" s="486" t="n">
        <v>53</v>
      </c>
      <c r="K50" s="486" t="n">
        <v>36</v>
      </c>
      <c r="L50" s="486" t="n">
        <v>4</v>
      </c>
      <c r="M50" s="487" t="inlineStr">
        <is>
          <t>T</t>
        </is>
      </c>
    </row>
    <row r="51">
      <c r="A51" s="488" t="n">
        <v>1</v>
      </c>
      <c r="B51" s="488" t="n">
        <v>3</v>
      </c>
      <c r="C51" s="488" t="n">
        <v>2</v>
      </c>
      <c r="D51" s="488" t="n">
        <v>1</v>
      </c>
      <c r="E51" s="488" t="n">
        <v>2</v>
      </c>
      <c r="F51" s="488" t="n">
        <v>2</v>
      </c>
      <c r="G51" s="488" t="inlineStr">
        <is>
          <t>West-Up2</t>
        </is>
      </c>
      <c r="H51" s="488" t="n">
        <v>0</v>
      </c>
      <c r="I51" s="488" t="n">
        <v>0</v>
      </c>
      <c r="J51" s="488" t="n">
        <v>0</v>
      </c>
      <c r="K51" s="488" t="n">
        <v>0</v>
      </c>
      <c r="L51" s="488" t="n">
        <v>0</v>
      </c>
      <c r="M51" s="487" t="inlineStr">
        <is>
          <t>T</t>
        </is>
      </c>
    </row>
    <row r="52">
      <c r="A52" s="488" t="n">
        <v>1</v>
      </c>
      <c r="B52" s="488" t="n">
        <v>3</v>
      </c>
      <c r="C52" s="488" t="n">
        <v>2</v>
      </c>
      <c r="D52" s="488" t="n">
        <v>1</v>
      </c>
      <c r="E52" s="488" t="n">
        <v>2</v>
      </c>
      <c r="F52" s="488" t="n">
        <v>2</v>
      </c>
      <c r="G52" s="489" t="inlineStr">
        <is>
          <t>West-Up1</t>
        </is>
      </c>
      <c r="H52" s="488" t="n">
        <v>1302.26</v>
      </c>
      <c r="I52" s="488" t="n">
        <v>0</v>
      </c>
      <c r="J52" s="488" t="n">
        <v>42</v>
      </c>
      <c r="K52" s="488" t="n">
        <v>1</v>
      </c>
      <c r="L52" s="488" t="n">
        <v>4</v>
      </c>
      <c r="M52" s="487" t="inlineStr">
        <is>
          <t>T</t>
        </is>
      </c>
    </row>
    <row r="53">
      <c r="A53" s="488" t="n">
        <v>1</v>
      </c>
      <c r="B53" s="488" t="n">
        <v>3</v>
      </c>
      <c r="C53" s="488" t="n">
        <v>2</v>
      </c>
      <c r="D53" s="488" t="n">
        <v>1</v>
      </c>
      <c r="E53" s="488" t="n">
        <v>2</v>
      </c>
      <c r="F53" s="488" t="n">
        <v>2</v>
      </c>
      <c r="G53" s="488" t="inlineStr">
        <is>
          <t>West-Down1</t>
        </is>
      </c>
      <c r="H53" s="488" t="n">
        <v>1318.36</v>
      </c>
      <c r="I53" s="488" t="n">
        <v>0</v>
      </c>
      <c r="J53" s="488" t="n">
        <v>42</v>
      </c>
      <c r="K53" s="488" t="n">
        <v>1</v>
      </c>
      <c r="L53" s="488" t="n">
        <v>4</v>
      </c>
      <c r="M53" s="487" t="inlineStr">
        <is>
          <t>T</t>
        </is>
      </c>
    </row>
    <row r="54">
      <c r="A54" s="488" t="n">
        <v>1</v>
      </c>
      <c r="B54" s="488" t="n">
        <v>3</v>
      </c>
      <c r="C54" s="488" t="n">
        <v>2</v>
      </c>
      <c r="D54" s="488" t="n">
        <v>1</v>
      </c>
      <c r="E54" s="488" t="n">
        <v>2</v>
      </c>
      <c r="F54" s="488" t="n">
        <v>2</v>
      </c>
      <c r="G54" s="488" t="inlineStr">
        <is>
          <t>West-Down2</t>
        </is>
      </c>
      <c r="H54" s="488" t="n">
        <v>2636.89</v>
      </c>
      <c r="I54" s="488" t="n">
        <v>0</v>
      </c>
      <c r="J54" s="488" t="n">
        <v>42</v>
      </c>
      <c r="K54" s="488" t="n">
        <v>4</v>
      </c>
      <c r="L54" s="488" t="n">
        <v>4</v>
      </c>
      <c r="M54" s="487" t="inlineStr">
        <is>
          <t>T</t>
        </is>
      </c>
    </row>
    <row r="55">
      <c r="A55" s="488" t="n">
        <v>1</v>
      </c>
      <c r="B55" s="488" t="n">
        <v>3</v>
      </c>
      <c r="C55" s="488" t="n">
        <v>2</v>
      </c>
      <c r="D55" s="488" t="n">
        <v>1</v>
      </c>
      <c r="E55" s="488" t="n">
        <v>2</v>
      </c>
      <c r="F55" s="488" t="n">
        <v>2</v>
      </c>
      <c r="G55" s="488" t="inlineStr">
        <is>
          <t>East-Up2</t>
        </is>
      </c>
      <c r="H55" s="488" t="n">
        <v>0</v>
      </c>
      <c r="I55" s="488" t="n">
        <v>0</v>
      </c>
      <c r="J55" s="488" t="n">
        <v>0</v>
      </c>
      <c r="K55" s="488" t="n">
        <v>0</v>
      </c>
      <c r="L55" s="488" t="n">
        <v>0</v>
      </c>
      <c r="M55" s="487" t="inlineStr">
        <is>
          <t>T</t>
        </is>
      </c>
    </row>
    <row r="56">
      <c r="A56" s="488" t="n">
        <v>1</v>
      </c>
      <c r="B56" s="488" t="n">
        <v>3</v>
      </c>
      <c r="C56" s="488" t="n">
        <v>2</v>
      </c>
      <c r="D56" s="488" t="n">
        <v>1</v>
      </c>
      <c r="E56" s="488" t="n">
        <v>2</v>
      </c>
      <c r="F56" s="488" t="n">
        <v>2</v>
      </c>
      <c r="G56" s="489" t="inlineStr">
        <is>
          <t>East-Up1</t>
        </is>
      </c>
      <c r="H56" s="488" t="n">
        <v>2606</v>
      </c>
      <c r="I56" s="488" t="n">
        <v>0</v>
      </c>
      <c r="J56" s="488" t="n">
        <v>19</v>
      </c>
      <c r="K56" s="488" t="n">
        <v>48</v>
      </c>
      <c r="L56" s="488" t="n">
        <v>4</v>
      </c>
      <c r="M56" s="487" t="inlineStr">
        <is>
          <t>T</t>
        </is>
      </c>
    </row>
    <row r="57">
      <c r="A57" s="488" t="n">
        <v>1</v>
      </c>
      <c r="B57" s="488" t="n">
        <v>3</v>
      </c>
      <c r="C57" s="488" t="n">
        <v>2</v>
      </c>
      <c r="D57" s="488" t="n">
        <v>1</v>
      </c>
      <c r="E57" s="488" t="n">
        <v>2</v>
      </c>
      <c r="F57" s="488" t="n">
        <v>2</v>
      </c>
      <c r="G57" s="488" t="inlineStr">
        <is>
          <t>East-Down1</t>
        </is>
      </c>
      <c r="H57" s="488" t="n">
        <v>2643</v>
      </c>
      <c r="I57" s="488" t="n">
        <v>0</v>
      </c>
      <c r="J57" s="488" t="n">
        <v>8</v>
      </c>
      <c r="K57" s="488" t="n">
        <v>8.369999999999999</v>
      </c>
      <c r="L57" s="488" t="n">
        <v>4</v>
      </c>
      <c r="M57" s="487" t="inlineStr">
        <is>
          <t>T</t>
        </is>
      </c>
    </row>
    <row r="58">
      <c r="A58" s="488" t="n">
        <v>1</v>
      </c>
      <c r="B58" s="488" t="n">
        <v>3</v>
      </c>
      <c r="C58" s="488" t="n">
        <v>2</v>
      </c>
      <c r="D58" s="488" t="n">
        <v>1</v>
      </c>
      <c r="E58" s="488" t="n">
        <v>2</v>
      </c>
      <c r="F58" s="488" t="n">
        <v>2</v>
      </c>
      <c r="G58" s="488" t="inlineStr">
        <is>
          <t>East-Down2</t>
        </is>
      </c>
      <c r="H58" s="488" t="n">
        <v>0</v>
      </c>
      <c r="I58" s="488" t="n">
        <v>0</v>
      </c>
      <c r="J58" s="488" t="n">
        <v>0</v>
      </c>
      <c r="K58" s="488" t="n">
        <v>0</v>
      </c>
      <c r="L58" s="488" t="n">
        <v>0</v>
      </c>
      <c r="M58" s="487" t="inlineStr">
        <is>
          <t>T</t>
        </is>
      </c>
    </row>
    <row r="59">
      <c r="A59" s="488" t="n">
        <v>1</v>
      </c>
      <c r="B59" s="488" t="n">
        <v>3</v>
      </c>
      <c r="C59" s="488" t="n">
        <v>2</v>
      </c>
      <c r="D59" s="488" t="n">
        <v>1</v>
      </c>
      <c r="E59" s="488" t="n">
        <v>2</v>
      </c>
      <c r="F59" s="488" t="n">
        <v>2</v>
      </c>
      <c r="G59" s="488" t="inlineStr">
        <is>
          <t>North-Left2</t>
        </is>
      </c>
      <c r="H59" s="488" t="n">
        <v>1322.21</v>
      </c>
      <c r="I59" s="488" t="n">
        <v>89</v>
      </c>
      <c r="J59" s="488" t="n">
        <v>54</v>
      </c>
      <c r="K59" s="488" t="n">
        <v>24</v>
      </c>
      <c r="L59" s="488" t="n">
        <v>1</v>
      </c>
      <c r="M59" s="487" t="inlineStr">
        <is>
          <t>T</t>
        </is>
      </c>
    </row>
    <row r="60">
      <c r="A60" s="488" t="n">
        <v>1</v>
      </c>
      <c r="B60" s="488" t="n">
        <v>3</v>
      </c>
      <c r="C60" s="488" t="n">
        <v>2</v>
      </c>
      <c r="D60" s="488" t="n">
        <v>1</v>
      </c>
      <c r="E60" s="488" t="n">
        <v>2</v>
      </c>
      <c r="F60" s="488" t="n">
        <v>2</v>
      </c>
      <c r="G60" s="489" t="inlineStr">
        <is>
          <t>North-Left1</t>
        </is>
      </c>
      <c r="H60" s="488" t="n">
        <v>1321.57</v>
      </c>
      <c r="I60" s="488" t="n">
        <v>89</v>
      </c>
      <c r="J60" s="488" t="n">
        <v>54</v>
      </c>
      <c r="K60" s="488" t="n">
        <v>21</v>
      </c>
      <c r="L60" s="488" t="n">
        <v>1</v>
      </c>
      <c r="M60" s="487" t="inlineStr">
        <is>
          <t>T</t>
        </is>
      </c>
    </row>
    <row r="61">
      <c r="A61" s="488" t="n">
        <v>1</v>
      </c>
      <c r="B61" s="488" t="n">
        <v>3</v>
      </c>
      <c r="C61" s="488" t="n">
        <v>2</v>
      </c>
      <c r="D61" s="488" t="n">
        <v>1</v>
      </c>
      <c r="E61" s="488" t="n">
        <v>2</v>
      </c>
      <c r="F61" s="488" t="n">
        <v>2</v>
      </c>
      <c r="G61" s="488" t="inlineStr">
        <is>
          <t>North-Right1</t>
        </is>
      </c>
      <c r="H61" s="488" t="n">
        <v>1321.93</v>
      </c>
      <c r="I61" s="488" t="n">
        <v>89</v>
      </c>
      <c r="J61" s="488" t="n">
        <v>55</v>
      </c>
      <c r="K61" s="488" t="n">
        <v>6</v>
      </c>
      <c r="L61" s="488" t="n">
        <v>1</v>
      </c>
      <c r="M61" s="487" t="inlineStr">
        <is>
          <t>T</t>
        </is>
      </c>
    </row>
    <row r="62">
      <c r="A62" s="488" t="n">
        <v>1</v>
      </c>
      <c r="B62" s="488" t="n">
        <v>3</v>
      </c>
      <c r="C62" s="488" t="n">
        <v>2</v>
      </c>
      <c r="D62" s="488" t="n">
        <v>1</v>
      </c>
      <c r="E62" s="488" t="n">
        <v>2</v>
      </c>
      <c r="F62" s="488" t="n">
        <v>2</v>
      </c>
      <c r="G62" s="488" t="inlineStr">
        <is>
          <t>North-Right2</t>
        </is>
      </c>
      <c r="H62" s="488" t="n">
        <v>1321.96</v>
      </c>
      <c r="I62" s="488" t="n">
        <v>89</v>
      </c>
      <c r="J62" s="488" t="n">
        <v>55</v>
      </c>
      <c r="K62" s="488" t="n">
        <v>6</v>
      </c>
      <c r="L62" s="488" t="n">
        <v>1</v>
      </c>
      <c r="M62" s="487" t="inlineStr">
        <is>
          <t>T</t>
        </is>
      </c>
    </row>
    <row r="63">
      <c r="A63" s="488" t="n">
        <v>1</v>
      </c>
      <c r="B63" s="488" t="n">
        <v>3</v>
      </c>
      <c r="C63" s="488" t="n">
        <v>2</v>
      </c>
      <c r="D63" s="488" t="n">
        <v>1</v>
      </c>
      <c r="E63" s="488" t="n">
        <v>2</v>
      </c>
      <c r="F63" s="488" t="n">
        <v>2</v>
      </c>
      <c r="G63" s="488" t="inlineStr">
        <is>
          <t>South-Left2</t>
        </is>
      </c>
      <c r="H63" s="488" t="n">
        <v>0</v>
      </c>
      <c r="I63" s="488" t="n">
        <v>0</v>
      </c>
      <c r="J63" s="488" t="n">
        <v>0</v>
      </c>
      <c r="K63" s="488" t="n">
        <v>0</v>
      </c>
      <c r="L63" s="488" t="n">
        <v>0</v>
      </c>
      <c r="M63" s="487" t="inlineStr">
        <is>
          <t>T</t>
        </is>
      </c>
    </row>
    <row r="64">
      <c r="A64" s="488" t="n">
        <v>1</v>
      </c>
      <c r="B64" s="488" t="n">
        <v>3</v>
      </c>
      <c r="C64" s="488" t="n">
        <v>2</v>
      </c>
      <c r="D64" s="488" t="n">
        <v>1</v>
      </c>
      <c r="E64" s="488" t="n">
        <v>2</v>
      </c>
      <c r="F64" s="488" t="n">
        <v>2</v>
      </c>
      <c r="G64" s="489" t="inlineStr">
        <is>
          <t>South-Left1</t>
        </is>
      </c>
      <c r="H64" s="488" t="n">
        <v>2634.4</v>
      </c>
      <c r="I64" s="488" t="n">
        <v>89</v>
      </c>
      <c r="J64" s="488" t="n">
        <v>40</v>
      </c>
      <c r="K64" s="488" t="n">
        <v>12</v>
      </c>
      <c r="L64" s="488" t="n">
        <v>2</v>
      </c>
      <c r="M64" s="487" t="inlineStr">
        <is>
          <t>T</t>
        </is>
      </c>
    </row>
    <row r="65">
      <c r="A65" s="488" t="n">
        <v>1</v>
      </c>
      <c r="B65" s="488" t="n">
        <v>3</v>
      </c>
      <c r="C65" s="488" t="n">
        <v>2</v>
      </c>
      <c r="D65" s="488" t="n">
        <v>1</v>
      </c>
      <c r="E65" s="488" t="n">
        <v>2</v>
      </c>
      <c r="F65" s="488" t="n">
        <v>2</v>
      </c>
      <c r="G65" s="488" t="inlineStr">
        <is>
          <t>South-Right1</t>
        </is>
      </c>
      <c r="H65" s="488" t="n">
        <v>2639.6</v>
      </c>
      <c r="I65" s="488" t="n">
        <v>89</v>
      </c>
      <c r="J65" s="488" t="n">
        <v>12</v>
      </c>
      <c r="K65" s="488" t="n">
        <v>0</v>
      </c>
      <c r="L65" s="488" t="n">
        <v>2</v>
      </c>
      <c r="M65" s="487" t="inlineStr">
        <is>
          <t>T</t>
        </is>
      </c>
    </row>
    <row r="66">
      <c r="A66" s="488" t="n">
        <v>1</v>
      </c>
      <c r="B66" s="488" t="n">
        <v>3</v>
      </c>
      <c r="C66" s="488" t="n">
        <v>2</v>
      </c>
      <c r="D66" s="488" t="n">
        <v>1</v>
      </c>
      <c r="E66" s="488" t="n">
        <v>2</v>
      </c>
      <c r="F66" s="488" t="n">
        <v>2</v>
      </c>
      <c r="G66" s="488" t="inlineStr">
        <is>
          <t>South-Right2</t>
        </is>
      </c>
      <c r="H66" s="488" t="n">
        <v>0</v>
      </c>
      <c r="I66" s="488" t="n">
        <v>0</v>
      </c>
      <c r="J66" s="488" t="n">
        <v>0</v>
      </c>
      <c r="K66" s="488" t="n">
        <v>0</v>
      </c>
      <c r="L66" s="488" t="n">
        <v>0</v>
      </c>
      <c r="M66" s="487" t="inlineStr">
        <is>
          <t>T</t>
        </is>
      </c>
    </row>
    <row r="67">
      <c r="A67" s="485" t="n">
        <v>1</v>
      </c>
      <c r="B67" s="485" t="n">
        <v>3</v>
      </c>
      <c r="C67" s="485" t="n">
        <v>2</v>
      </c>
      <c r="D67" s="485" t="n">
        <v>5</v>
      </c>
      <c r="E67" s="485" t="n">
        <v>2</v>
      </c>
      <c r="F67" s="485" t="n">
        <v>2</v>
      </c>
      <c r="G67" s="485" t="inlineStr">
        <is>
          <t>West-Up2</t>
        </is>
      </c>
      <c r="H67" s="485" t="n">
        <v>0</v>
      </c>
      <c r="I67" s="485" t="n">
        <v>0</v>
      </c>
      <c r="J67" s="485" t="n">
        <v>0</v>
      </c>
      <c r="K67" s="485" t="n">
        <v>0</v>
      </c>
      <c r="L67" s="485" t="n">
        <v>0</v>
      </c>
      <c r="M67" s="514" t="inlineStr">
        <is>
          <t>T</t>
        </is>
      </c>
    </row>
    <row r="68">
      <c r="A68" s="485" t="n">
        <v>1</v>
      </c>
      <c r="B68" s="485" t="n">
        <v>3</v>
      </c>
      <c r="C68" s="485" t="n">
        <v>2</v>
      </c>
      <c r="D68" s="485" t="n">
        <v>5</v>
      </c>
      <c r="E68" s="485" t="n">
        <v>2</v>
      </c>
      <c r="F68" s="485" t="n">
        <v>2</v>
      </c>
      <c r="G68" s="516" t="inlineStr">
        <is>
          <t>West-Up1</t>
        </is>
      </c>
      <c r="H68" s="485" t="n">
        <v>2634.98</v>
      </c>
      <c r="I68" s="485" t="n">
        <v>0</v>
      </c>
      <c r="J68" s="485" t="n">
        <v>4</v>
      </c>
      <c r="K68" s="485" t="n">
        <v>6</v>
      </c>
      <c r="L68" s="485" t="n">
        <v>4</v>
      </c>
      <c r="M68" s="514" t="inlineStr">
        <is>
          <t>T</t>
        </is>
      </c>
    </row>
    <row r="69">
      <c r="A69" s="485" t="n">
        <v>1</v>
      </c>
      <c r="B69" s="485" t="n">
        <v>3</v>
      </c>
      <c r="C69" s="485" t="n">
        <v>2</v>
      </c>
      <c r="D69" s="485" t="n">
        <v>5</v>
      </c>
      <c r="E69" s="485" t="n">
        <v>2</v>
      </c>
      <c r="F69" s="485" t="n">
        <v>2</v>
      </c>
      <c r="G69" s="485" t="inlineStr">
        <is>
          <t>West-Down1</t>
        </is>
      </c>
      <c r="H69" s="485" t="n">
        <v>2634.77</v>
      </c>
      <c r="I69" s="485" t="n">
        <v>0</v>
      </c>
      <c r="J69" s="485" t="n">
        <v>0</v>
      </c>
      <c r="K69" s="485" t="n">
        <v>39</v>
      </c>
      <c r="L69" s="485" t="n">
        <v>4</v>
      </c>
      <c r="M69" s="514" t="inlineStr">
        <is>
          <t>T</t>
        </is>
      </c>
    </row>
    <row r="70">
      <c r="A70" s="485" t="n">
        <v>1</v>
      </c>
      <c r="B70" s="485" t="n">
        <v>3</v>
      </c>
      <c r="C70" s="485" t="n">
        <v>2</v>
      </c>
      <c r="D70" s="485" t="n">
        <v>5</v>
      </c>
      <c r="E70" s="485" t="n">
        <v>2</v>
      </c>
      <c r="F70" s="485" t="n">
        <v>2</v>
      </c>
      <c r="G70" s="485" t="inlineStr">
        <is>
          <t>West-Down2</t>
        </is>
      </c>
      <c r="H70" s="485" t="n">
        <v>0</v>
      </c>
      <c r="I70" s="485" t="n">
        <v>0</v>
      </c>
      <c r="J70" s="485" t="n">
        <v>0</v>
      </c>
      <c r="K70" s="485" t="n">
        <v>0</v>
      </c>
      <c r="L70" s="485" t="n">
        <v>0</v>
      </c>
      <c r="M70" s="514" t="inlineStr">
        <is>
          <t>T</t>
        </is>
      </c>
    </row>
    <row r="71">
      <c r="A71" s="485" t="n">
        <v>1</v>
      </c>
      <c r="B71" s="485" t="n">
        <v>3</v>
      </c>
      <c r="C71" s="485" t="n">
        <v>2</v>
      </c>
      <c r="D71" s="485" t="n">
        <v>5</v>
      </c>
      <c r="E71" s="485" t="n">
        <v>2</v>
      </c>
      <c r="F71" s="485" t="n">
        <v>2</v>
      </c>
      <c r="G71" s="485" t="inlineStr">
        <is>
          <t>East-Up2</t>
        </is>
      </c>
      <c r="H71" s="485" t="n">
        <v>0</v>
      </c>
      <c r="I71" s="485" t="n">
        <v>0</v>
      </c>
      <c r="J71" s="485" t="n">
        <v>0</v>
      </c>
      <c r="K71" s="485" t="n">
        <v>0</v>
      </c>
      <c r="L71" s="485" t="n">
        <v>0</v>
      </c>
      <c r="M71" s="514" t="inlineStr">
        <is>
          <t>T</t>
        </is>
      </c>
    </row>
    <row r="72">
      <c r="A72" s="485" t="n">
        <v>1</v>
      </c>
      <c r="B72" s="485" t="n">
        <v>3</v>
      </c>
      <c r="C72" s="485" t="n">
        <v>2</v>
      </c>
      <c r="D72" s="485" t="n">
        <v>5</v>
      </c>
      <c r="E72" s="485" t="n">
        <v>2</v>
      </c>
      <c r="F72" s="485" t="n">
        <v>2</v>
      </c>
      <c r="G72" s="516" t="inlineStr">
        <is>
          <t>East-Up1</t>
        </is>
      </c>
      <c r="H72" s="485" t="n">
        <v>2677.49</v>
      </c>
      <c r="I72" s="485" t="n">
        <v>0</v>
      </c>
      <c r="J72" s="485" t="n">
        <v>6</v>
      </c>
      <c r="K72" s="485" t="n">
        <v>15</v>
      </c>
      <c r="L72" s="485" t="n">
        <v>3</v>
      </c>
      <c r="M72" s="514" t="inlineStr">
        <is>
          <t>T</t>
        </is>
      </c>
    </row>
    <row r="73">
      <c r="A73" s="485" t="n">
        <v>1</v>
      </c>
      <c r="B73" s="485" t="n">
        <v>3</v>
      </c>
      <c r="C73" s="485" t="n">
        <v>2</v>
      </c>
      <c r="D73" s="485" t="n">
        <v>5</v>
      </c>
      <c r="E73" s="485" t="n">
        <v>2</v>
      </c>
      <c r="F73" s="485" t="n">
        <v>2</v>
      </c>
      <c r="G73" s="485" t="inlineStr">
        <is>
          <t>East-Down1</t>
        </is>
      </c>
      <c r="H73" s="485" t="n">
        <v>2632.63</v>
      </c>
      <c r="I73" s="485" t="n">
        <v>0</v>
      </c>
      <c r="J73" s="485" t="n">
        <v>6</v>
      </c>
      <c r="K73" s="485" t="n">
        <v>20</v>
      </c>
      <c r="L73" s="485" t="n">
        <v>3</v>
      </c>
      <c r="M73" s="514" t="inlineStr">
        <is>
          <t>T</t>
        </is>
      </c>
    </row>
    <row r="74">
      <c r="A74" s="485" t="n">
        <v>1</v>
      </c>
      <c r="B74" s="485" t="n">
        <v>3</v>
      </c>
      <c r="C74" s="485" t="n">
        <v>2</v>
      </c>
      <c r="D74" s="485" t="n">
        <v>5</v>
      </c>
      <c r="E74" s="485" t="n">
        <v>2</v>
      </c>
      <c r="F74" s="485" t="n">
        <v>2</v>
      </c>
      <c r="G74" s="485" t="inlineStr">
        <is>
          <t>East-Down2</t>
        </is>
      </c>
      <c r="H74" s="485" t="n">
        <v>0</v>
      </c>
      <c r="I74" s="485" t="n">
        <v>0</v>
      </c>
      <c r="J74" s="485" t="n">
        <v>0</v>
      </c>
      <c r="K74" s="485" t="n">
        <v>0</v>
      </c>
      <c r="L74" s="485" t="n">
        <v>0</v>
      </c>
      <c r="M74" s="514" t="inlineStr">
        <is>
          <t>T</t>
        </is>
      </c>
    </row>
    <row r="75">
      <c r="A75" s="485" t="n">
        <v>1</v>
      </c>
      <c r="B75" s="485" t="n">
        <v>3</v>
      </c>
      <c r="C75" s="485" t="n">
        <v>2</v>
      </c>
      <c r="D75" s="485" t="n">
        <v>5</v>
      </c>
      <c r="E75" s="485" t="n">
        <v>2</v>
      </c>
      <c r="F75" s="485" t="n">
        <v>2</v>
      </c>
      <c r="G75" s="485" t="inlineStr">
        <is>
          <t>North-Left2</t>
        </is>
      </c>
      <c r="H75" s="485" t="n">
        <v>0</v>
      </c>
      <c r="I75" s="485" t="n">
        <v>0</v>
      </c>
      <c r="J75" s="485" t="n">
        <v>0</v>
      </c>
      <c r="K75" s="485" t="n">
        <v>0</v>
      </c>
      <c r="L75" s="485" t="n">
        <v>0</v>
      </c>
      <c r="M75" s="514" t="inlineStr">
        <is>
          <t>T</t>
        </is>
      </c>
    </row>
    <row r="76">
      <c r="A76" s="485" t="n">
        <v>1</v>
      </c>
      <c r="B76" s="485" t="n">
        <v>3</v>
      </c>
      <c r="C76" s="485" t="n">
        <v>2</v>
      </c>
      <c r="D76" s="485" t="n">
        <v>5</v>
      </c>
      <c r="E76" s="485" t="n">
        <v>2</v>
      </c>
      <c r="F76" s="485" t="n">
        <v>2</v>
      </c>
      <c r="G76" s="516" t="inlineStr">
        <is>
          <t>North-Left1</t>
        </is>
      </c>
      <c r="H76" s="485" t="n">
        <v>2647.08</v>
      </c>
      <c r="I76" s="485" t="n">
        <v>89</v>
      </c>
      <c r="J76" s="485" t="n">
        <v>56</v>
      </c>
      <c r="K76" s="485" t="n">
        <v>0</v>
      </c>
      <c r="L76" s="485" t="n">
        <v>1</v>
      </c>
      <c r="M76" s="514" t="inlineStr">
        <is>
          <t>T</t>
        </is>
      </c>
    </row>
    <row r="77">
      <c r="A77" s="485" t="n">
        <v>1</v>
      </c>
      <c r="B77" s="485" t="n">
        <v>3</v>
      </c>
      <c r="C77" s="485" t="n">
        <v>2</v>
      </c>
      <c r="D77" s="485" t="n">
        <v>5</v>
      </c>
      <c r="E77" s="485" t="n">
        <v>2</v>
      </c>
      <c r="F77" s="485" t="n">
        <v>2</v>
      </c>
      <c r="G77" s="485" t="inlineStr">
        <is>
          <t>North-Right1</t>
        </is>
      </c>
      <c r="H77" s="485" t="n">
        <v>2650.46</v>
      </c>
      <c r="I77" s="485" t="n">
        <v>89</v>
      </c>
      <c r="J77" s="485" t="n">
        <v>58</v>
      </c>
      <c r="K77" s="485" t="n">
        <v>16</v>
      </c>
      <c r="L77" s="485" t="n">
        <v>2</v>
      </c>
      <c r="M77" s="514" t="inlineStr">
        <is>
          <t>T</t>
        </is>
      </c>
    </row>
    <row r="78">
      <c r="A78" s="485" t="n">
        <v>1</v>
      </c>
      <c r="B78" s="485" t="n">
        <v>3</v>
      </c>
      <c r="C78" s="485" t="n">
        <v>2</v>
      </c>
      <c r="D78" s="485" t="n">
        <v>5</v>
      </c>
      <c r="E78" s="485" t="n">
        <v>2</v>
      </c>
      <c r="F78" s="485" t="n">
        <v>2</v>
      </c>
      <c r="G78" s="485" t="inlineStr">
        <is>
          <t>North-Right2</t>
        </is>
      </c>
      <c r="H78" s="485" t="n">
        <v>0</v>
      </c>
      <c r="I78" s="485" t="n">
        <v>0</v>
      </c>
      <c r="J78" s="485" t="n">
        <v>0</v>
      </c>
      <c r="K78" s="485" t="n">
        <v>0</v>
      </c>
      <c r="L78" s="485" t="n">
        <v>0</v>
      </c>
      <c r="M78" s="514" t="inlineStr">
        <is>
          <t>T</t>
        </is>
      </c>
    </row>
    <row r="79">
      <c r="A79" s="485" t="n">
        <v>1</v>
      </c>
      <c r="B79" s="485" t="n">
        <v>3</v>
      </c>
      <c r="C79" s="485" t="n">
        <v>2</v>
      </c>
      <c r="D79" s="485" t="n">
        <v>5</v>
      </c>
      <c r="E79" s="485" t="n">
        <v>2</v>
      </c>
      <c r="F79" s="485" t="n">
        <v>2</v>
      </c>
      <c r="G79" s="485" t="inlineStr">
        <is>
          <t>South-Left2</t>
        </is>
      </c>
      <c r="H79" s="485" t="n">
        <v>0</v>
      </c>
      <c r="I79" s="485" t="n">
        <v>0</v>
      </c>
      <c r="J79" s="485" t="n">
        <v>0</v>
      </c>
      <c r="K79" s="485" t="n">
        <v>0</v>
      </c>
      <c r="L79" s="485" t="n">
        <v>0</v>
      </c>
      <c r="M79" s="514" t="inlineStr">
        <is>
          <t>T</t>
        </is>
      </c>
    </row>
    <row r="80">
      <c r="A80" s="485" t="n">
        <v>1</v>
      </c>
      <c r="B80" s="485" t="n">
        <v>3</v>
      </c>
      <c r="C80" s="485" t="n">
        <v>2</v>
      </c>
      <c r="D80" s="485" t="n">
        <v>5</v>
      </c>
      <c r="E80" s="485" t="n">
        <v>2</v>
      </c>
      <c r="F80" s="485" t="n">
        <v>2</v>
      </c>
      <c r="G80" s="516" t="inlineStr">
        <is>
          <t>South-Left1</t>
        </is>
      </c>
      <c r="H80" s="485" t="n">
        <v>3963.89</v>
      </c>
      <c r="I80" s="485" t="n">
        <v>89</v>
      </c>
      <c r="J80" s="485" t="n">
        <v>54</v>
      </c>
      <c r="K80" s="485" t="n">
        <v>49</v>
      </c>
      <c r="L80" s="485" t="n">
        <v>3</v>
      </c>
      <c r="M80" s="514" t="inlineStr">
        <is>
          <t>T</t>
        </is>
      </c>
    </row>
    <row r="81">
      <c r="A81" s="485" t="n">
        <v>1</v>
      </c>
      <c r="B81" s="485" t="n">
        <v>3</v>
      </c>
      <c r="C81" s="485" t="n">
        <v>2</v>
      </c>
      <c r="D81" s="485" t="n">
        <v>5</v>
      </c>
      <c r="E81" s="485" t="n">
        <v>2</v>
      </c>
      <c r="F81" s="485" t="n">
        <v>2</v>
      </c>
      <c r="G81" s="485" t="inlineStr">
        <is>
          <t>South-Right1</t>
        </is>
      </c>
      <c r="H81" s="485" t="n">
        <v>1321.4</v>
      </c>
      <c r="I81" s="485" t="n">
        <v>89</v>
      </c>
      <c r="J81" s="485" t="n">
        <v>54</v>
      </c>
      <c r="K81" s="485" t="n">
        <v>58</v>
      </c>
      <c r="L81" s="485" t="n">
        <v>2</v>
      </c>
      <c r="M81" s="514" t="inlineStr">
        <is>
          <t>T</t>
        </is>
      </c>
    </row>
    <row r="82">
      <c r="A82" s="485" t="n">
        <v>1</v>
      </c>
      <c r="B82" s="485" t="n">
        <v>3</v>
      </c>
      <c r="C82" s="485" t="n">
        <v>2</v>
      </c>
      <c r="D82" s="485" t="n">
        <v>5</v>
      </c>
      <c r="E82" s="485" t="n">
        <v>2</v>
      </c>
      <c r="F82" s="485" t="n">
        <v>2</v>
      </c>
      <c r="G82" s="485" t="inlineStr">
        <is>
          <t>South-Right2</t>
        </is>
      </c>
      <c r="H82" s="485" t="n">
        <v>0</v>
      </c>
      <c r="I82" s="485" t="n">
        <v>0</v>
      </c>
      <c r="J82" s="485" t="n">
        <v>0</v>
      </c>
      <c r="K82" s="485" t="n">
        <v>0</v>
      </c>
      <c r="L82" s="485" t="n">
        <v>0</v>
      </c>
      <c r="M82" s="514" t="inlineStr">
        <is>
          <t>T</t>
        </is>
      </c>
    </row>
    <row r="83">
      <c r="A83" s="485" t="n">
        <v>1</v>
      </c>
      <c r="B83" s="485" t="n">
        <v>3</v>
      </c>
      <c r="C83" s="485" t="n">
        <v>2</v>
      </c>
      <c r="D83" s="485" t="n">
        <v>2</v>
      </c>
      <c r="E83" s="485" t="n">
        <v>2</v>
      </c>
      <c r="F83" s="485" t="n">
        <v>2</v>
      </c>
      <c r="G83" s="485" t="inlineStr">
        <is>
          <t>West-Up2</t>
        </is>
      </c>
      <c r="H83" s="485" t="n">
        <v>0</v>
      </c>
      <c r="I83" s="485" t="n">
        <v>0</v>
      </c>
      <c r="J83" s="485" t="n">
        <v>0</v>
      </c>
      <c r="K83" s="485" t="n">
        <v>0</v>
      </c>
      <c r="L83" s="485" t="n">
        <v>0</v>
      </c>
      <c r="M83" s="514" t="inlineStr">
        <is>
          <t>T</t>
        </is>
      </c>
    </row>
    <row r="84">
      <c r="A84" s="485" t="n">
        <v>1</v>
      </c>
      <c r="B84" s="485" t="n">
        <v>3</v>
      </c>
      <c r="C84" s="485" t="n">
        <v>2</v>
      </c>
      <c r="D84" s="485" t="n">
        <v>2</v>
      </c>
      <c r="E84" s="485" t="n">
        <v>2</v>
      </c>
      <c r="F84" s="485" t="n">
        <v>2</v>
      </c>
      <c r="G84" s="516" t="inlineStr">
        <is>
          <t>West-Up1</t>
        </is>
      </c>
      <c r="H84" s="485" t="n">
        <v>5287.94</v>
      </c>
      <c r="I84" s="485" t="n">
        <v>1</v>
      </c>
      <c r="J84" s="485" t="n">
        <v>7</v>
      </c>
      <c r="K84" s="485" t="n">
        <v>1</v>
      </c>
      <c r="L84" s="485" t="n">
        <v>4</v>
      </c>
      <c r="M84" s="514" t="inlineStr">
        <is>
          <t>T</t>
        </is>
      </c>
    </row>
    <row r="85">
      <c r="A85" s="485" t="n">
        <v>1</v>
      </c>
      <c r="B85" s="485" t="n">
        <v>3</v>
      </c>
      <c r="C85" s="485" t="n">
        <v>2</v>
      </c>
      <c r="D85" s="485" t="n">
        <v>2</v>
      </c>
      <c r="E85" s="485" t="n">
        <v>2</v>
      </c>
      <c r="F85" s="485" t="n">
        <v>2</v>
      </c>
      <c r="G85" s="485" t="inlineStr">
        <is>
          <t>West-Down1</t>
        </is>
      </c>
      <c r="H85" s="485" t="n">
        <v>0</v>
      </c>
      <c r="I85" s="485" t="n">
        <v>0</v>
      </c>
      <c r="J85" s="485" t="n">
        <v>0</v>
      </c>
      <c r="K85" s="485" t="n">
        <v>0</v>
      </c>
      <c r="L85" s="485" t="n">
        <v>0</v>
      </c>
      <c r="M85" s="514" t="inlineStr">
        <is>
          <t>T</t>
        </is>
      </c>
    </row>
    <row r="86">
      <c r="A86" s="485" t="n">
        <v>1</v>
      </c>
      <c r="B86" s="485" t="n">
        <v>3</v>
      </c>
      <c r="C86" s="485" t="n">
        <v>2</v>
      </c>
      <c r="D86" s="485" t="n">
        <v>2</v>
      </c>
      <c r="E86" s="485" t="n">
        <v>2</v>
      </c>
      <c r="F86" s="485" t="n">
        <v>2</v>
      </c>
      <c r="G86" s="485" t="inlineStr">
        <is>
          <t>West-Down2</t>
        </is>
      </c>
      <c r="H86" s="485" t="n">
        <v>0</v>
      </c>
      <c r="I86" s="485" t="n">
        <v>0</v>
      </c>
      <c r="J86" s="485" t="n">
        <v>0</v>
      </c>
      <c r="K86" s="485" t="n">
        <v>0</v>
      </c>
      <c r="L86" s="485" t="n">
        <v>0</v>
      </c>
      <c r="M86" s="514" t="inlineStr">
        <is>
          <t>T</t>
        </is>
      </c>
    </row>
    <row r="87">
      <c r="A87" s="485" t="n">
        <v>1</v>
      </c>
      <c r="B87" s="485" t="n">
        <v>3</v>
      </c>
      <c r="C87" s="485" t="n">
        <v>2</v>
      </c>
      <c r="D87" s="485" t="n">
        <v>2</v>
      </c>
      <c r="E87" s="485" t="n">
        <v>2</v>
      </c>
      <c r="F87" s="485" t="n">
        <v>2</v>
      </c>
      <c r="G87" s="485" t="inlineStr">
        <is>
          <t>East-Up2</t>
        </is>
      </c>
      <c r="H87" s="485" t="n">
        <v>0</v>
      </c>
      <c r="I87" s="485" t="n">
        <v>0</v>
      </c>
      <c r="J87" s="485" t="n">
        <v>0</v>
      </c>
      <c r="K87" s="485" t="n">
        <v>0</v>
      </c>
      <c r="L87" s="485" t="n">
        <v>0</v>
      </c>
      <c r="M87" s="514" t="inlineStr">
        <is>
          <t>T</t>
        </is>
      </c>
    </row>
    <row r="88">
      <c r="A88" s="485" t="n">
        <v>1</v>
      </c>
      <c r="B88" s="485" t="n">
        <v>3</v>
      </c>
      <c r="C88" s="485" t="n">
        <v>2</v>
      </c>
      <c r="D88" s="485" t="n">
        <v>2</v>
      </c>
      <c r="E88" s="485" t="n">
        <v>2</v>
      </c>
      <c r="F88" s="485" t="n">
        <v>2</v>
      </c>
      <c r="G88" s="516" t="inlineStr">
        <is>
          <t>East-Up1</t>
        </is>
      </c>
      <c r="H88" s="485" t="n">
        <v>2644.7</v>
      </c>
      <c r="I88" s="485" t="n">
        <v>0</v>
      </c>
      <c r="J88" s="485" t="n">
        <v>54</v>
      </c>
      <c r="K88" s="485" t="n">
        <v>41</v>
      </c>
      <c r="L88" s="485" t="n">
        <v>4</v>
      </c>
      <c r="M88" s="514" t="inlineStr">
        <is>
          <t>T</t>
        </is>
      </c>
    </row>
    <row r="89">
      <c r="A89" s="485" t="n">
        <v>1</v>
      </c>
      <c r="B89" s="485" t="n">
        <v>3</v>
      </c>
      <c r="C89" s="485" t="n">
        <v>2</v>
      </c>
      <c r="D89" s="485" t="n">
        <v>2</v>
      </c>
      <c r="E89" s="485" t="n">
        <v>2</v>
      </c>
      <c r="F89" s="485" t="n">
        <v>2</v>
      </c>
      <c r="G89" s="485" t="inlineStr">
        <is>
          <t>East-Down1</t>
        </is>
      </c>
      <c r="H89" s="485" t="n">
        <v>1320.81</v>
      </c>
      <c r="I89" s="485" t="n">
        <v>1</v>
      </c>
      <c r="J89" s="485" t="n">
        <v>3</v>
      </c>
      <c r="K89" s="485" t="n">
        <v>6</v>
      </c>
      <c r="L89" s="485" t="n">
        <v>4</v>
      </c>
      <c r="M89" s="514" t="inlineStr">
        <is>
          <t>T</t>
        </is>
      </c>
    </row>
    <row r="90">
      <c r="A90" s="485" t="n">
        <v>1</v>
      </c>
      <c r="B90" s="485" t="n">
        <v>3</v>
      </c>
      <c r="C90" s="485" t="n">
        <v>2</v>
      </c>
      <c r="D90" s="485" t="n">
        <v>2</v>
      </c>
      <c r="E90" s="485" t="n">
        <v>2</v>
      </c>
      <c r="F90" s="485" t="n">
        <v>2</v>
      </c>
      <c r="G90" s="485" t="inlineStr">
        <is>
          <t>East-Down2</t>
        </is>
      </c>
      <c r="H90" s="485" t="n">
        <v>1321.04</v>
      </c>
      <c r="I90" s="485" t="n">
        <v>0</v>
      </c>
      <c r="J90" s="485" t="n">
        <v>54</v>
      </c>
      <c r="K90" s="485" t="n">
        <v>40</v>
      </c>
      <c r="L90" s="485" t="n">
        <v>4</v>
      </c>
      <c r="M90" s="514" t="inlineStr">
        <is>
          <t>T</t>
        </is>
      </c>
    </row>
    <row r="91">
      <c r="A91" s="485" t="n">
        <v>1</v>
      </c>
      <c r="B91" s="485" t="n">
        <v>3</v>
      </c>
      <c r="C91" s="485" t="n">
        <v>2</v>
      </c>
      <c r="D91" s="485" t="n">
        <v>2</v>
      </c>
      <c r="E91" s="485" t="n">
        <v>2</v>
      </c>
      <c r="F91" s="485" t="n">
        <v>2</v>
      </c>
      <c r="G91" s="485" t="inlineStr">
        <is>
          <t>North-Left2</t>
        </is>
      </c>
      <c r="H91" s="485" t="n">
        <v>0</v>
      </c>
      <c r="I91" s="485" t="n">
        <v>0</v>
      </c>
      <c r="J91" s="485" t="n">
        <v>0</v>
      </c>
      <c r="K91" s="485" t="n">
        <v>0</v>
      </c>
      <c r="L91" s="485" t="n">
        <v>0</v>
      </c>
      <c r="M91" s="514" t="inlineStr">
        <is>
          <t>T</t>
        </is>
      </c>
    </row>
    <row r="92">
      <c r="A92" s="485" t="n">
        <v>1</v>
      </c>
      <c r="B92" s="485" t="n">
        <v>3</v>
      </c>
      <c r="C92" s="485" t="n">
        <v>2</v>
      </c>
      <c r="D92" s="485" t="n">
        <v>2</v>
      </c>
      <c r="E92" s="485" t="n">
        <v>2</v>
      </c>
      <c r="F92" s="485" t="n">
        <v>2</v>
      </c>
      <c r="G92" s="516" t="inlineStr">
        <is>
          <t>North-Left1</t>
        </is>
      </c>
      <c r="H92" s="485" t="n">
        <v>2650.68</v>
      </c>
      <c r="I92" s="485" t="n">
        <v>88</v>
      </c>
      <c r="J92" s="485" t="n">
        <v>59</v>
      </c>
      <c r="K92" s="485" t="n">
        <v>29</v>
      </c>
      <c r="L92" s="485" t="n">
        <v>3</v>
      </c>
      <c r="M92" s="514" t="inlineStr">
        <is>
          <t>T</t>
        </is>
      </c>
    </row>
    <row r="93">
      <c r="A93" s="485" t="n">
        <v>1</v>
      </c>
      <c r="B93" s="485" t="n">
        <v>3</v>
      </c>
      <c r="C93" s="485" t="n">
        <v>2</v>
      </c>
      <c r="D93" s="485" t="n">
        <v>2</v>
      </c>
      <c r="E93" s="485" t="n">
        <v>2</v>
      </c>
      <c r="F93" s="485" t="n">
        <v>2</v>
      </c>
      <c r="G93" s="485" t="inlineStr">
        <is>
          <t>North-Right1</t>
        </is>
      </c>
      <c r="H93" s="485" t="n">
        <v>1316.15</v>
      </c>
      <c r="I93" s="485" t="n">
        <v>89</v>
      </c>
      <c r="J93" s="485" t="n">
        <v>12</v>
      </c>
      <c r="K93" s="485" t="n">
        <v>42</v>
      </c>
      <c r="L93" s="485" t="n">
        <v>3</v>
      </c>
      <c r="M93" s="514" t="inlineStr">
        <is>
          <t>T</t>
        </is>
      </c>
    </row>
    <row r="94">
      <c r="A94" s="485" t="n">
        <v>1</v>
      </c>
      <c r="B94" s="485" t="n">
        <v>3</v>
      </c>
      <c r="C94" s="485" t="n">
        <v>2</v>
      </c>
      <c r="D94" s="485" t="n">
        <v>2</v>
      </c>
      <c r="E94" s="485" t="n">
        <v>2</v>
      </c>
      <c r="F94" s="485" t="n">
        <v>2</v>
      </c>
      <c r="G94" s="485" t="inlineStr">
        <is>
          <t>North-Right2</t>
        </is>
      </c>
      <c r="H94" s="485" t="n">
        <v>1317.29</v>
      </c>
      <c r="I94" s="485" t="n">
        <v>88</v>
      </c>
      <c r="J94" s="485" t="n">
        <v>26</v>
      </c>
      <c r="K94" s="485" t="n">
        <v>37</v>
      </c>
      <c r="L94" s="485" t="n">
        <v>3</v>
      </c>
      <c r="M94" s="514" t="inlineStr">
        <is>
          <t>T</t>
        </is>
      </c>
    </row>
    <row r="95">
      <c r="A95" s="485" t="n">
        <v>1</v>
      </c>
      <c r="B95" s="485" t="n">
        <v>3</v>
      </c>
      <c r="C95" s="485" t="n">
        <v>2</v>
      </c>
      <c r="D95" s="485" t="n">
        <v>2</v>
      </c>
      <c r="E95" s="485" t="n">
        <v>2</v>
      </c>
      <c r="F95" s="485" t="n">
        <v>2</v>
      </c>
      <c r="G95" s="485" t="inlineStr">
        <is>
          <t>South-Left2</t>
        </is>
      </c>
      <c r="H95" s="485" t="n">
        <v>1317.81</v>
      </c>
      <c r="I95" s="485" t="n">
        <v>88</v>
      </c>
      <c r="J95" s="485" t="n">
        <v>57</v>
      </c>
      <c r="K95" s="485" t="n">
        <v>7</v>
      </c>
      <c r="L95" s="485" t="n">
        <v>3</v>
      </c>
      <c r="M95" s="514" t="inlineStr">
        <is>
          <t>T</t>
        </is>
      </c>
    </row>
    <row r="96">
      <c r="A96" s="485" t="n">
        <v>1</v>
      </c>
      <c r="B96" s="485" t="n">
        <v>3</v>
      </c>
      <c r="C96" s="485" t="n">
        <v>2</v>
      </c>
      <c r="D96" s="485" t="n">
        <v>2</v>
      </c>
      <c r="E96" s="485" t="n">
        <v>2</v>
      </c>
      <c r="F96" s="485" t="n">
        <v>2</v>
      </c>
      <c r="G96" s="516" t="inlineStr">
        <is>
          <t>South-Left1</t>
        </is>
      </c>
      <c r="H96" s="485" t="n">
        <v>1310.55</v>
      </c>
      <c r="I96" s="485" t="n">
        <v>88</v>
      </c>
      <c r="J96" s="485" t="n">
        <v>51</v>
      </c>
      <c r="K96" s="485" t="n">
        <v>1</v>
      </c>
      <c r="L96" s="485" t="n">
        <v>3</v>
      </c>
      <c r="M96" s="514" t="inlineStr">
        <is>
          <t>T</t>
        </is>
      </c>
    </row>
    <row r="97">
      <c r="A97" s="485" t="n">
        <v>1</v>
      </c>
      <c r="B97" s="485" t="n">
        <v>3</v>
      </c>
      <c r="C97" s="485" t="n">
        <v>2</v>
      </c>
      <c r="D97" s="485" t="n">
        <v>2</v>
      </c>
      <c r="E97" s="485" t="n">
        <v>2</v>
      </c>
      <c r="F97" s="485" t="n">
        <v>2</v>
      </c>
      <c r="G97" s="485" t="inlineStr">
        <is>
          <t>South-Right1</t>
        </is>
      </c>
      <c r="H97" s="485" t="n">
        <v>2639.96</v>
      </c>
      <c r="I97" s="485" t="n">
        <v>88</v>
      </c>
      <c r="J97" s="485" t="n">
        <v>53</v>
      </c>
      <c r="K97" s="485" t="n">
        <v>15</v>
      </c>
      <c r="L97" s="485" t="n">
        <v>3</v>
      </c>
      <c r="M97" s="514" t="inlineStr">
        <is>
          <t>T</t>
        </is>
      </c>
    </row>
    <row r="98">
      <c r="A98" s="485" t="n">
        <v>1</v>
      </c>
      <c r="B98" s="485" t="n">
        <v>3</v>
      </c>
      <c r="C98" s="485" t="n">
        <v>2</v>
      </c>
      <c r="D98" s="485" t="n">
        <v>2</v>
      </c>
      <c r="E98" s="485" t="n">
        <v>2</v>
      </c>
      <c r="F98" s="485" t="n">
        <v>2</v>
      </c>
      <c r="G98" s="485" t="inlineStr">
        <is>
          <t>South-Right2</t>
        </is>
      </c>
      <c r="H98" s="485" t="n">
        <v>0</v>
      </c>
      <c r="I98" s="485" t="n">
        <v>0</v>
      </c>
      <c r="J98" s="485" t="n">
        <v>0</v>
      </c>
      <c r="K98" s="485" t="n">
        <v>0</v>
      </c>
      <c r="L98" s="485" t="n">
        <v>0</v>
      </c>
      <c r="M98" s="514" t="inlineStr">
        <is>
          <t>T</t>
        </is>
      </c>
    </row>
    <row r="99">
      <c r="A99" s="486" t="n">
        <v>2</v>
      </c>
      <c r="B99" s="486" t="n">
        <v>8</v>
      </c>
      <c r="C99" s="486" t="n">
        <v>2</v>
      </c>
      <c r="D99" s="486" t="n">
        <v>20</v>
      </c>
      <c r="E99" s="486" t="n">
        <v>1</v>
      </c>
      <c r="F99" s="486" t="n">
        <v>1</v>
      </c>
      <c r="G99" s="486" t="inlineStr">
        <is>
          <t>West-Up2</t>
        </is>
      </c>
      <c r="H99" s="486" t="n">
        <v>0</v>
      </c>
      <c r="I99" s="486" t="n">
        <v>0</v>
      </c>
      <c r="J99" s="486" t="n">
        <v>0</v>
      </c>
      <c r="K99" s="486" t="n">
        <v>0</v>
      </c>
      <c r="L99" s="486" t="n">
        <v>0</v>
      </c>
      <c r="M99" s="487" t="inlineStr">
        <is>
          <t>T</t>
        </is>
      </c>
    </row>
    <row r="100">
      <c r="A100" s="486" t="n">
        <v>2</v>
      </c>
      <c r="B100" s="486" t="n">
        <v>8</v>
      </c>
      <c r="C100" s="486" t="n">
        <v>2</v>
      </c>
      <c r="D100" s="486" t="n">
        <v>20</v>
      </c>
      <c r="E100" s="486" t="n">
        <v>1</v>
      </c>
      <c r="F100" s="486" t="n">
        <v>1</v>
      </c>
      <c r="G100" s="475" t="inlineStr">
        <is>
          <t>West-Up1</t>
        </is>
      </c>
      <c r="H100" s="486" t="n">
        <v>2657.54</v>
      </c>
      <c r="I100" s="486" t="n">
        <v>2</v>
      </c>
      <c r="J100" s="486" t="n">
        <v>40</v>
      </c>
      <c r="K100" s="486" t="n">
        <v>4</v>
      </c>
      <c r="L100" s="486" t="n">
        <v>4</v>
      </c>
      <c r="M100" s="487" t="inlineStr">
        <is>
          <t>T</t>
        </is>
      </c>
    </row>
    <row r="101">
      <c r="A101" s="486" t="n">
        <v>2</v>
      </c>
      <c r="B101" s="486" t="n">
        <v>8</v>
      </c>
      <c r="C101" s="486" t="n">
        <v>2</v>
      </c>
      <c r="D101" s="486" t="n">
        <v>20</v>
      </c>
      <c r="E101" s="486" t="n">
        <v>1</v>
      </c>
      <c r="F101" s="486" t="n">
        <v>1</v>
      </c>
      <c r="G101" s="486" t="inlineStr">
        <is>
          <t>West-Down1</t>
        </is>
      </c>
      <c r="H101" s="486" t="n">
        <v>2640.23</v>
      </c>
      <c r="I101" s="486" t="n">
        <v>0</v>
      </c>
      <c r="J101" s="486" t="n">
        <v>25</v>
      </c>
      <c r="K101" s="486" t="n">
        <v>18</v>
      </c>
      <c r="L101" s="486" t="n">
        <v>2</v>
      </c>
      <c r="M101" s="487" t="inlineStr">
        <is>
          <t>T</t>
        </is>
      </c>
    </row>
    <row r="102">
      <c r="A102" s="486" t="n">
        <v>2</v>
      </c>
      <c r="B102" s="486" t="n">
        <v>8</v>
      </c>
      <c r="C102" s="486" t="n">
        <v>2</v>
      </c>
      <c r="D102" s="486" t="n">
        <v>20</v>
      </c>
      <c r="E102" s="486" t="n">
        <v>1</v>
      </c>
      <c r="F102" s="486" t="n">
        <v>1</v>
      </c>
      <c r="G102" s="486" t="inlineStr">
        <is>
          <t>West-Down2</t>
        </is>
      </c>
      <c r="H102" s="486" t="n">
        <v>0</v>
      </c>
      <c r="I102" s="486" t="n">
        <v>0</v>
      </c>
      <c r="J102" s="486" t="n">
        <v>0</v>
      </c>
      <c r="K102" s="486" t="n">
        <v>0</v>
      </c>
      <c r="L102" s="486" t="n">
        <v>0</v>
      </c>
      <c r="M102" s="487" t="inlineStr">
        <is>
          <t>T</t>
        </is>
      </c>
    </row>
    <row r="103">
      <c r="A103" s="486" t="n">
        <v>2</v>
      </c>
      <c r="B103" s="486" t="n">
        <v>8</v>
      </c>
      <c r="C103" s="486" t="n">
        <v>2</v>
      </c>
      <c r="D103" s="486" t="n">
        <v>20</v>
      </c>
      <c r="E103" s="486" t="n">
        <v>1</v>
      </c>
      <c r="F103" s="486" t="n">
        <v>1</v>
      </c>
      <c r="G103" s="486" t="inlineStr">
        <is>
          <t>East-Up2</t>
        </is>
      </c>
      <c r="H103" s="486" t="n">
        <v>0</v>
      </c>
      <c r="I103" s="486" t="n">
        <v>0</v>
      </c>
      <c r="J103" s="486" t="n">
        <v>0</v>
      </c>
      <c r="K103" s="486" t="n">
        <v>0</v>
      </c>
      <c r="L103" s="486" t="n">
        <v>0</v>
      </c>
      <c r="M103" s="487" t="inlineStr">
        <is>
          <t>T</t>
        </is>
      </c>
    </row>
    <row r="104">
      <c r="A104" s="486" t="n">
        <v>2</v>
      </c>
      <c r="B104" s="486" t="n">
        <v>8</v>
      </c>
      <c r="C104" s="486" t="n">
        <v>2</v>
      </c>
      <c r="D104" s="486" t="n">
        <v>20</v>
      </c>
      <c r="E104" s="486" t="n">
        <v>1</v>
      </c>
      <c r="F104" s="486" t="n">
        <v>1</v>
      </c>
      <c r="G104" s="475" t="inlineStr">
        <is>
          <t>East-Up1</t>
        </is>
      </c>
      <c r="H104" s="486" t="n">
        <v>5244.36</v>
      </c>
      <c r="I104" s="486" t="n">
        <v>1</v>
      </c>
      <c r="J104" s="486" t="n">
        <v>31</v>
      </c>
      <c r="K104" s="486" t="n">
        <v>43</v>
      </c>
      <c r="L104" s="486" t="n">
        <v>4</v>
      </c>
      <c r="M104" s="487" t="inlineStr">
        <is>
          <t>T</t>
        </is>
      </c>
    </row>
    <row r="105">
      <c r="A105" s="486" t="n">
        <v>2</v>
      </c>
      <c r="B105" s="486" t="n">
        <v>8</v>
      </c>
      <c r="C105" s="486" t="n">
        <v>2</v>
      </c>
      <c r="D105" s="486" t="n">
        <v>20</v>
      </c>
      <c r="E105" s="486" t="n">
        <v>1</v>
      </c>
      <c r="F105" s="486" t="n">
        <v>1</v>
      </c>
      <c r="G105" s="486" t="inlineStr">
        <is>
          <t>East-Down1</t>
        </is>
      </c>
      <c r="H105" s="486" t="n">
        <v>0</v>
      </c>
      <c r="I105" s="486" t="n">
        <v>0</v>
      </c>
      <c r="J105" s="486" t="n">
        <v>0</v>
      </c>
      <c r="K105" s="486" t="n">
        <v>0</v>
      </c>
      <c r="L105" s="486" t="n">
        <v>0</v>
      </c>
      <c r="M105" s="487" t="inlineStr">
        <is>
          <t>T</t>
        </is>
      </c>
    </row>
    <row r="106">
      <c r="A106" s="486" t="n">
        <v>2</v>
      </c>
      <c r="B106" s="486" t="n">
        <v>8</v>
      </c>
      <c r="C106" s="486" t="n">
        <v>2</v>
      </c>
      <c r="D106" s="486" t="n">
        <v>20</v>
      </c>
      <c r="E106" s="486" t="n">
        <v>1</v>
      </c>
      <c r="F106" s="486" t="n">
        <v>1</v>
      </c>
      <c r="G106" s="486" t="inlineStr">
        <is>
          <t>East-Down2</t>
        </is>
      </c>
      <c r="H106" s="486" t="n">
        <v>0</v>
      </c>
      <c r="I106" s="486" t="n">
        <v>0</v>
      </c>
      <c r="J106" s="486" t="n">
        <v>0</v>
      </c>
      <c r="K106" s="486" t="n">
        <v>0</v>
      </c>
      <c r="L106" s="486" t="n">
        <v>0</v>
      </c>
      <c r="M106" s="487" t="inlineStr">
        <is>
          <t>T</t>
        </is>
      </c>
    </row>
    <row r="107">
      <c r="A107" s="486" t="n">
        <v>2</v>
      </c>
      <c r="B107" s="486" t="n">
        <v>8</v>
      </c>
      <c r="C107" s="486" t="n">
        <v>2</v>
      </c>
      <c r="D107" s="486" t="n">
        <v>20</v>
      </c>
      <c r="E107" s="486" t="n">
        <v>1</v>
      </c>
      <c r="F107" s="486" t="n">
        <v>1</v>
      </c>
      <c r="G107" s="486" t="inlineStr">
        <is>
          <t>North-Left2</t>
        </is>
      </c>
      <c r="H107" s="486" t="n">
        <v>0</v>
      </c>
      <c r="I107" s="486" t="n">
        <v>0</v>
      </c>
      <c r="J107" s="486" t="n">
        <v>0</v>
      </c>
      <c r="K107" s="486" t="n">
        <v>0</v>
      </c>
      <c r="L107" s="486" t="n">
        <v>0</v>
      </c>
      <c r="M107" s="487" t="inlineStr">
        <is>
          <t>T</t>
        </is>
      </c>
    </row>
    <row r="108">
      <c r="A108" s="486" t="n">
        <v>2</v>
      </c>
      <c r="B108" s="486" t="n">
        <v>8</v>
      </c>
      <c r="C108" s="486" t="n">
        <v>2</v>
      </c>
      <c r="D108" s="486" t="n">
        <v>20</v>
      </c>
      <c r="E108" s="486" t="n">
        <v>1</v>
      </c>
      <c r="F108" s="486" t="n">
        <v>1</v>
      </c>
      <c r="G108" s="475" t="inlineStr">
        <is>
          <t>North-Left1</t>
        </is>
      </c>
      <c r="H108" s="486" t="n">
        <v>2631.47</v>
      </c>
      <c r="I108" s="486" t="n">
        <v>89</v>
      </c>
      <c r="J108" s="486" t="n">
        <v>47</v>
      </c>
      <c r="K108" s="486" t="n">
        <v>10</v>
      </c>
      <c r="L108" s="486" t="n">
        <v>3</v>
      </c>
      <c r="M108" s="487" t="inlineStr">
        <is>
          <t>T</t>
        </is>
      </c>
    </row>
    <row r="109">
      <c r="A109" s="486" t="n">
        <v>2</v>
      </c>
      <c r="B109" s="486" t="n">
        <v>8</v>
      </c>
      <c r="C109" s="486" t="n">
        <v>2</v>
      </c>
      <c r="D109" s="486" t="n">
        <v>20</v>
      </c>
      <c r="E109" s="486" t="n">
        <v>1</v>
      </c>
      <c r="F109" s="486" t="n">
        <v>1</v>
      </c>
      <c r="G109" s="486" t="inlineStr">
        <is>
          <t>North-Right1</t>
        </is>
      </c>
      <c r="H109" s="486" t="n">
        <v>2631.35</v>
      </c>
      <c r="I109" s="486" t="n">
        <v>89</v>
      </c>
      <c r="J109" s="486" t="n">
        <v>47</v>
      </c>
      <c r="K109" s="486" t="n">
        <v>33</v>
      </c>
      <c r="L109" s="486" t="n">
        <v>3</v>
      </c>
      <c r="M109" s="487" t="inlineStr">
        <is>
          <t>T</t>
        </is>
      </c>
    </row>
    <row r="110">
      <c r="A110" s="486" t="n">
        <v>2</v>
      </c>
      <c r="B110" s="486" t="n">
        <v>8</v>
      </c>
      <c r="C110" s="486" t="n">
        <v>2</v>
      </c>
      <c r="D110" s="486" t="n">
        <v>20</v>
      </c>
      <c r="E110" s="486" t="n">
        <v>1</v>
      </c>
      <c r="F110" s="486" t="n">
        <v>1</v>
      </c>
      <c r="G110" s="486" t="inlineStr">
        <is>
          <t>North-Right2</t>
        </is>
      </c>
      <c r="H110" s="486" t="n">
        <v>0</v>
      </c>
      <c r="I110" s="486" t="n">
        <v>0</v>
      </c>
      <c r="J110" s="486" t="n">
        <v>0</v>
      </c>
      <c r="K110" s="486" t="n">
        <v>0</v>
      </c>
      <c r="L110" s="486" t="n">
        <v>0</v>
      </c>
      <c r="M110" s="487" t="inlineStr">
        <is>
          <t>T</t>
        </is>
      </c>
    </row>
    <row r="111">
      <c r="A111" s="486" t="n">
        <v>2</v>
      </c>
      <c r="B111" s="486" t="n">
        <v>8</v>
      </c>
      <c r="C111" s="486" t="n">
        <v>2</v>
      </c>
      <c r="D111" s="486" t="n">
        <v>20</v>
      </c>
      <c r="E111" s="486" t="n">
        <v>1</v>
      </c>
      <c r="F111" s="486" t="n">
        <v>1</v>
      </c>
      <c r="G111" s="486" t="inlineStr">
        <is>
          <t>South-Left2</t>
        </is>
      </c>
      <c r="H111" s="486" t="n">
        <v>0</v>
      </c>
      <c r="I111" s="486" t="n">
        <v>0</v>
      </c>
      <c r="J111" s="486" t="n">
        <v>0</v>
      </c>
      <c r="K111" s="486" t="n">
        <v>0</v>
      </c>
      <c r="L111" s="486" t="n">
        <v>0</v>
      </c>
      <c r="M111" s="487" t="inlineStr">
        <is>
          <t>T</t>
        </is>
      </c>
    </row>
    <row r="112">
      <c r="A112" s="486" t="n">
        <v>2</v>
      </c>
      <c r="B112" s="486" t="n">
        <v>8</v>
      </c>
      <c r="C112" s="486" t="n">
        <v>2</v>
      </c>
      <c r="D112" s="486" t="n">
        <v>20</v>
      </c>
      <c r="E112" s="486" t="n">
        <v>1</v>
      </c>
      <c r="F112" s="486" t="n">
        <v>1</v>
      </c>
      <c r="G112" s="475" t="inlineStr">
        <is>
          <t>South-Left1</t>
        </is>
      </c>
      <c r="H112" s="486" t="n">
        <v>5298.91</v>
      </c>
      <c r="I112" s="486" t="n">
        <v>89</v>
      </c>
      <c r="J112" s="486" t="n">
        <v>13</v>
      </c>
      <c r="K112" s="486" t="n">
        <v>30</v>
      </c>
      <c r="L112" s="486" t="n">
        <v>3</v>
      </c>
      <c r="M112" s="487" t="inlineStr">
        <is>
          <t>T</t>
        </is>
      </c>
    </row>
    <row r="113">
      <c r="A113" s="486" t="n">
        <v>2</v>
      </c>
      <c r="B113" s="486" t="n">
        <v>8</v>
      </c>
      <c r="C113" s="486" t="n">
        <v>2</v>
      </c>
      <c r="D113" s="486" t="n">
        <v>20</v>
      </c>
      <c r="E113" s="486" t="n">
        <v>1</v>
      </c>
      <c r="F113" s="486" t="n">
        <v>1</v>
      </c>
      <c r="G113" s="486" t="inlineStr">
        <is>
          <t>South-Right1</t>
        </is>
      </c>
      <c r="H113" s="486" t="n">
        <v>0</v>
      </c>
      <c r="I113" s="486" t="n">
        <v>0</v>
      </c>
      <c r="J113" s="486" t="n">
        <v>0</v>
      </c>
      <c r="K113" s="486" t="n">
        <v>0</v>
      </c>
      <c r="L113" s="486" t="n">
        <v>0</v>
      </c>
      <c r="M113" s="487" t="inlineStr">
        <is>
          <t>T</t>
        </is>
      </c>
    </row>
    <row r="114">
      <c r="A114" s="486" t="n">
        <v>2</v>
      </c>
      <c r="B114" s="486" t="n">
        <v>8</v>
      </c>
      <c r="C114" s="486" t="n">
        <v>2</v>
      </c>
      <c r="D114" s="486" t="n">
        <v>20</v>
      </c>
      <c r="E114" s="486" t="n">
        <v>1</v>
      </c>
      <c r="F114" s="486" t="n">
        <v>1</v>
      </c>
      <c r="G114" s="486" t="inlineStr">
        <is>
          <t>South-Right2</t>
        </is>
      </c>
      <c r="H114" s="486" t="n">
        <v>0</v>
      </c>
      <c r="I114" s="486" t="n">
        <v>0</v>
      </c>
      <c r="J114" s="486" t="n">
        <v>0</v>
      </c>
      <c r="K114" s="486" t="n">
        <v>0</v>
      </c>
      <c r="L114" s="486" t="n">
        <v>0</v>
      </c>
      <c r="M114" s="487" t="inlineStr">
        <is>
          <t>T</t>
        </is>
      </c>
    </row>
    <row r="115">
      <c r="A115" s="486" t="n">
        <v>2</v>
      </c>
      <c r="B115" s="486" t="n">
        <v>2</v>
      </c>
      <c r="C115" s="486" t="n">
        <v>2</v>
      </c>
      <c r="D115" s="486" t="n">
        <v>2</v>
      </c>
      <c r="E115" s="486" t="n">
        <v>2</v>
      </c>
      <c r="F115" s="486" t="n">
        <v>2</v>
      </c>
      <c r="G115" s="486" t="inlineStr">
        <is>
          <t>West-Up2</t>
        </is>
      </c>
      <c r="H115" s="486" t="n">
        <v>0</v>
      </c>
      <c r="I115" s="486" t="n">
        <v>0</v>
      </c>
      <c r="J115" s="486" t="n">
        <v>0</v>
      </c>
      <c r="K115" s="486" t="n">
        <v>0</v>
      </c>
      <c r="L115" s="486" t="n">
        <v>0</v>
      </c>
      <c r="M115" s="487" t="inlineStr">
        <is>
          <t>T</t>
        </is>
      </c>
    </row>
    <row r="116">
      <c r="A116" s="486" t="n">
        <v>2</v>
      </c>
      <c r="B116" s="486" t="n">
        <v>2</v>
      </c>
      <c r="C116" s="486" t="n">
        <v>2</v>
      </c>
      <c r="D116" s="486" t="n">
        <v>2</v>
      </c>
      <c r="E116" s="486" t="n">
        <v>2</v>
      </c>
      <c r="F116" s="486" t="n">
        <v>2</v>
      </c>
      <c r="G116" s="475" t="inlineStr">
        <is>
          <t>West-Up1</t>
        </is>
      </c>
      <c r="H116" s="486" t="n">
        <v>2614.18</v>
      </c>
      <c r="I116" s="486" t="n">
        <v>0</v>
      </c>
      <c r="J116" s="486" t="n">
        <v>10</v>
      </c>
      <c r="K116" s="486" t="n">
        <v>55</v>
      </c>
      <c r="L116" s="486" t="n">
        <v>2</v>
      </c>
      <c r="M116" s="487" t="inlineStr">
        <is>
          <t>T</t>
        </is>
      </c>
    </row>
    <row r="117">
      <c r="A117" s="486" t="n">
        <v>2</v>
      </c>
      <c r="B117" s="486" t="n">
        <v>2</v>
      </c>
      <c r="C117" s="486" t="n">
        <v>2</v>
      </c>
      <c r="D117" s="486" t="n">
        <v>2</v>
      </c>
      <c r="E117" s="486" t="n">
        <v>2</v>
      </c>
      <c r="F117" s="486" t="n">
        <v>2</v>
      </c>
      <c r="G117" s="486" t="inlineStr">
        <is>
          <t>West-Down1</t>
        </is>
      </c>
      <c r="H117" s="486" t="n">
        <v>2604.21</v>
      </c>
      <c r="I117" s="486" t="n">
        <v>0</v>
      </c>
      <c r="J117" s="486" t="n">
        <v>15</v>
      </c>
      <c r="K117" s="486" t="n">
        <v>26</v>
      </c>
      <c r="L117" s="486" t="n">
        <v>2</v>
      </c>
      <c r="M117" s="487" t="inlineStr">
        <is>
          <t>T</t>
        </is>
      </c>
    </row>
    <row r="118">
      <c r="A118" s="486" t="n">
        <v>2</v>
      </c>
      <c r="B118" s="486" t="n">
        <v>2</v>
      </c>
      <c r="C118" s="486" t="n">
        <v>2</v>
      </c>
      <c r="D118" s="486" t="n">
        <v>2</v>
      </c>
      <c r="E118" s="486" t="n">
        <v>2</v>
      </c>
      <c r="F118" s="486" t="n">
        <v>2</v>
      </c>
      <c r="G118" s="486" t="inlineStr">
        <is>
          <t>West-Down2</t>
        </is>
      </c>
      <c r="H118" s="486" t="n">
        <v>0</v>
      </c>
      <c r="I118" s="486" t="n">
        <v>0</v>
      </c>
      <c r="J118" s="486" t="n">
        <v>0</v>
      </c>
      <c r="K118" s="486" t="n">
        <v>0</v>
      </c>
      <c r="L118" s="486" t="n">
        <v>0</v>
      </c>
      <c r="M118" s="487" t="inlineStr">
        <is>
          <t>T</t>
        </is>
      </c>
    </row>
    <row r="119">
      <c r="A119" s="486" t="n">
        <v>2</v>
      </c>
      <c r="B119" s="486" t="n">
        <v>2</v>
      </c>
      <c r="C119" s="486" t="n">
        <v>2</v>
      </c>
      <c r="D119" s="486" t="n">
        <v>2</v>
      </c>
      <c r="E119" s="486" t="n">
        <v>2</v>
      </c>
      <c r="F119" s="486" t="n">
        <v>2</v>
      </c>
      <c r="G119" s="486" t="inlineStr">
        <is>
          <t>East-Up2</t>
        </is>
      </c>
      <c r="H119" s="486" t="n">
        <v>0</v>
      </c>
      <c r="I119" s="486" t="n">
        <v>0</v>
      </c>
      <c r="J119" s="486" t="n">
        <v>0</v>
      </c>
      <c r="K119" s="486" t="n">
        <v>0</v>
      </c>
      <c r="L119" s="486" t="n">
        <v>0</v>
      </c>
      <c r="M119" s="487" t="inlineStr">
        <is>
          <t>T</t>
        </is>
      </c>
    </row>
    <row r="120">
      <c r="A120" s="486" t="n">
        <v>2</v>
      </c>
      <c r="B120" s="486" t="n">
        <v>2</v>
      </c>
      <c r="C120" s="486" t="n">
        <v>2</v>
      </c>
      <c r="D120" s="486" t="n">
        <v>2</v>
      </c>
      <c r="E120" s="486" t="n">
        <v>2</v>
      </c>
      <c r="F120" s="486" t="n">
        <v>2</v>
      </c>
      <c r="G120" s="475" t="inlineStr">
        <is>
          <t>East-Up1</t>
        </is>
      </c>
      <c r="H120" s="486" t="n">
        <v>2858.95</v>
      </c>
      <c r="I120" s="486" t="n">
        <v>0</v>
      </c>
      <c r="J120" s="486" t="n">
        <v>16</v>
      </c>
      <c r="K120" s="486" t="n">
        <v>45</v>
      </c>
      <c r="L120" s="486" t="n">
        <v>4</v>
      </c>
      <c r="M120" s="487" t="inlineStr">
        <is>
          <t>T</t>
        </is>
      </c>
    </row>
    <row r="121">
      <c r="A121" s="486" t="n">
        <v>2</v>
      </c>
      <c r="B121" s="486" t="n">
        <v>2</v>
      </c>
      <c r="C121" s="486" t="n">
        <v>2</v>
      </c>
      <c r="D121" s="486" t="n">
        <v>2</v>
      </c>
      <c r="E121" s="486" t="n">
        <v>2</v>
      </c>
      <c r="F121" s="486" t="n">
        <v>2</v>
      </c>
      <c r="G121" s="486" t="inlineStr">
        <is>
          <t>East-Down1</t>
        </is>
      </c>
      <c r="H121" s="486" t="n">
        <v>2640.27</v>
      </c>
      <c r="I121" s="486" t="n">
        <v>0</v>
      </c>
      <c r="J121" s="486" t="n">
        <v>16</v>
      </c>
      <c r="K121" s="486" t="n">
        <v>37</v>
      </c>
      <c r="L121" s="486" t="n">
        <v>4</v>
      </c>
      <c r="M121" s="487" t="inlineStr">
        <is>
          <t>T</t>
        </is>
      </c>
    </row>
    <row r="122">
      <c r="A122" s="486" t="n">
        <v>2</v>
      </c>
      <c r="B122" s="486" t="n">
        <v>2</v>
      </c>
      <c r="C122" s="486" t="n">
        <v>2</v>
      </c>
      <c r="D122" s="486" t="n">
        <v>2</v>
      </c>
      <c r="E122" s="486" t="n">
        <v>2</v>
      </c>
      <c r="F122" s="486" t="n">
        <v>2</v>
      </c>
      <c r="G122" s="486" t="inlineStr">
        <is>
          <t>East-Down2</t>
        </is>
      </c>
      <c r="H122" s="486" t="n">
        <v>0</v>
      </c>
      <c r="I122" s="486" t="n">
        <v>0</v>
      </c>
      <c r="J122" s="486" t="n">
        <v>0</v>
      </c>
      <c r="K122" s="486" t="n">
        <v>0</v>
      </c>
      <c r="L122" s="486" t="n">
        <v>0</v>
      </c>
      <c r="M122" s="487" t="inlineStr">
        <is>
          <t>T</t>
        </is>
      </c>
    </row>
    <row r="123">
      <c r="A123" s="486" t="n">
        <v>2</v>
      </c>
      <c r="B123" s="486" t="n">
        <v>2</v>
      </c>
      <c r="C123" s="486" t="n">
        <v>2</v>
      </c>
      <c r="D123" s="486" t="n">
        <v>2</v>
      </c>
      <c r="E123" s="486" t="n">
        <v>2</v>
      </c>
      <c r="F123" s="486" t="n">
        <v>2</v>
      </c>
      <c r="G123" s="486" t="inlineStr">
        <is>
          <t>North-Left2</t>
        </is>
      </c>
      <c r="H123" s="486" t="n">
        <v>0</v>
      </c>
      <c r="I123" s="486" t="n">
        <v>0</v>
      </c>
      <c r="J123" s="486" t="n">
        <v>0</v>
      </c>
      <c r="K123" s="486" t="n">
        <v>0</v>
      </c>
      <c r="L123" s="486" t="n">
        <v>0</v>
      </c>
      <c r="M123" s="487" t="inlineStr">
        <is>
          <t>T</t>
        </is>
      </c>
    </row>
    <row r="124">
      <c r="A124" s="486" t="n">
        <v>2</v>
      </c>
      <c r="B124" s="486" t="n">
        <v>2</v>
      </c>
      <c r="C124" s="486" t="n">
        <v>2</v>
      </c>
      <c r="D124" s="486" t="n">
        <v>2</v>
      </c>
      <c r="E124" s="486" t="n">
        <v>2</v>
      </c>
      <c r="F124" s="486" t="n">
        <v>2</v>
      </c>
      <c r="G124" s="475" t="inlineStr">
        <is>
          <t>North-Left1</t>
        </is>
      </c>
      <c r="H124" s="486" t="n">
        <v>5253.5</v>
      </c>
      <c r="I124" s="486" t="n">
        <v>89</v>
      </c>
      <c r="J124" s="486" t="n">
        <v>51</v>
      </c>
      <c r="K124" s="486" t="n">
        <v>56</v>
      </c>
      <c r="L124" s="486" t="n">
        <v>4</v>
      </c>
      <c r="M124" s="487" t="inlineStr">
        <is>
          <t>T</t>
        </is>
      </c>
    </row>
    <row r="125">
      <c r="A125" s="486" t="n">
        <v>2</v>
      </c>
      <c r="B125" s="486" t="n">
        <v>2</v>
      </c>
      <c r="C125" s="486" t="n">
        <v>2</v>
      </c>
      <c r="D125" s="486" t="n">
        <v>2</v>
      </c>
      <c r="E125" s="486" t="n">
        <v>2</v>
      </c>
      <c r="F125" s="486" t="n">
        <v>2</v>
      </c>
      <c r="G125" s="486" t="inlineStr">
        <is>
          <t>North-Right1</t>
        </is>
      </c>
      <c r="H125" s="486" t="n">
        <v>0</v>
      </c>
      <c r="I125" s="486" t="n">
        <v>0</v>
      </c>
      <c r="J125" s="486" t="n">
        <v>0</v>
      </c>
      <c r="K125" s="486" t="n">
        <v>0</v>
      </c>
      <c r="L125" s="486" t="n">
        <v>0</v>
      </c>
      <c r="M125" s="487" t="inlineStr">
        <is>
          <t>T</t>
        </is>
      </c>
    </row>
    <row r="126">
      <c r="A126" s="486" t="n">
        <v>2</v>
      </c>
      <c r="B126" s="486" t="n">
        <v>2</v>
      </c>
      <c r="C126" s="486" t="n">
        <v>2</v>
      </c>
      <c r="D126" s="486" t="n">
        <v>2</v>
      </c>
      <c r="E126" s="486" t="n">
        <v>2</v>
      </c>
      <c r="F126" s="486" t="n">
        <v>2</v>
      </c>
      <c r="G126" s="486" t="inlineStr">
        <is>
          <t>North-Right2</t>
        </is>
      </c>
      <c r="H126" s="486" t="n">
        <v>0</v>
      </c>
      <c r="I126" s="486" t="n">
        <v>0</v>
      </c>
      <c r="J126" s="486" t="n">
        <v>0</v>
      </c>
      <c r="K126" s="486" t="n">
        <v>0</v>
      </c>
      <c r="L126" s="486" t="n">
        <v>0</v>
      </c>
      <c r="M126" s="487" t="inlineStr">
        <is>
          <t>T</t>
        </is>
      </c>
    </row>
    <row r="127">
      <c r="A127" s="486" t="n">
        <v>2</v>
      </c>
      <c r="B127" s="486" t="n">
        <v>2</v>
      </c>
      <c r="C127" s="486" t="n">
        <v>2</v>
      </c>
      <c r="D127" s="486" t="n">
        <v>2</v>
      </c>
      <c r="E127" s="486" t="n">
        <v>2</v>
      </c>
      <c r="F127" s="486" t="n">
        <v>2</v>
      </c>
      <c r="G127" s="486" t="inlineStr">
        <is>
          <t>South-Left2</t>
        </is>
      </c>
      <c r="H127" s="486" t="n">
        <v>0</v>
      </c>
      <c r="I127" s="486" t="n">
        <v>0</v>
      </c>
      <c r="J127" s="486" t="n">
        <v>0</v>
      </c>
      <c r="K127" s="486" t="n">
        <v>0</v>
      </c>
      <c r="L127" s="486" t="n">
        <v>0</v>
      </c>
      <c r="M127" s="487" t="inlineStr">
        <is>
          <t>T</t>
        </is>
      </c>
    </row>
    <row r="128">
      <c r="A128" s="486" t="n">
        <v>2</v>
      </c>
      <c r="B128" s="486" t="n">
        <v>2</v>
      </c>
      <c r="C128" s="486" t="n">
        <v>2</v>
      </c>
      <c r="D128" s="486" t="n">
        <v>2</v>
      </c>
      <c r="E128" s="486" t="n">
        <v>2</v>
      </c>
      <c r="F128" s="486" t="n">
        <v>2</v>
      </c>
      <c r="G128" s="475" t="inlineStr">
        <is>
          <t>South-Left1</t>
        </is>
      </c>
      <c r="H128" s="486" t="n">
        <v>2644</v>
      </c>
      <c r="I128" s="486" t="n">
        <v>89</v>
      </c>
      <c r="J128" s="486" t="n">
        <v>48</v>
      </c>
      <c r="K128" s="486" t="n">
        <v>22</v>
      </c>
      <c r="L128" s="486" t="n">
        <v>3</v>
      </c>
      <c r="M128" s="487" t="inlineStr">
        <is>
          <t>T</t>
        </is>
      </c>
    </row>
    <row r="129">
      <c r="A129" s="486" t="n">
        <v>2</v>
      </c>
      <c r="B129" s="486" t="n">
        <v>2</v>
      </c>
      <c r="C129" s="486" t="n">
        <v>2</v>
      </c>
      <c r="D129" s="486" t="n">
        <v>2</v>
      </c>
      <c r="E129" s="486" t="n">
        <v>2</v>
      </c>
      <c r="F129" s="486" t="n">
        <v>2</v>
      </c>
      <c r="G129" s="486" t="inlineStr">
        <is>
          <t>South-Right1</t>
        </is>
      </c>
      <c r="H129" s="486" t="n">
        <v>2640.5</v>
      </c>
      <c r="I129" s="486" t="n">
        <v>89</v>
      </c>
      <c r="J129" s="486" t="n">
        <v>48</v>
      </c>
      <c r="K129" s="486" t="n">
        <v>8</v>
      </c>
      <c r="L129" s="486" t="n">
        <v>4</v>
      </c>
      <c r="M129" s="487" t="inlineStr">
        <is>
          <t>T</t>
        </is>
      </c>
    </row>
    <row r="130">
      <c r="A130" s="486" t="n">
        <v>2</v>
      </c>
      <c r="B130" s="486" t="n">
        <v>2</v>
      </c>
      <c r="C130" s="486" t="n">
        <v>2</v>
      </c>
      <c r="D130" s="486" t="n">
        <v>2</v>
      </c>
      <c r="E130" s="486" t="n">
        <v>2</v>
      </c>
      <c r="F130" s="486" t="n">
        <v>2</v>
      </c>
      <c r="G130" s="486" t="inlineStr">
        <is>
          <t>South-Right2</t>
        </is>
      </c>
      <c r="H130" s="486" t="n">
        <v>0</v>
      </c>
      <c r="I130" s="486" t="n">
        <v>0</v>
      </c>
      <c r="J130" s="486" t="n">
        <v>0</v>
      </c>
      <c r="K130" s="486" t="n">
        <v>0</v>
      </c>
      <c r="L130" s="486" t="n">
        <v>0</v>
      </c>
      <c r="M130" s="487" t="inlineStr">
        <is>
          <t>T</t>
        </is>
      </c>
    </row>
    <row r="131">
      <c r="A131" s="485" t="n">
        <v>2</v>
      </c>
      <c r="B131" s="485" t="n">
        <v>2</v>
      </c>
      <c r="C131" s="485" t="n">
        <v>2</v>
      </c>
      <c r="D131" s="485" t="n">
        <v>3</v>
      </c>
      <c r="E131" s="485" t="n">
        <v>2</v>
      </c>
      <c r="F131" s="485" t="n">
        <v>2</v>
      </c>
      <c r="G131" s="485" t="inlineStr">
        <is>
          <t>West-Up2</t>
        </is>
      </c>
      <c r="H131" s="485" t="n">
        <v>0</v>
      </c>
      <c r="I131" s="485" t="n">
        <v>0</v>
      </c>
      <c r="J131" s="485" t="n">
        <v>0</v>
      </c>
      <c r="K131" s="485" t="n">
        <v>0</v>
      </c>
      <c r="L131" s="485" t="n">
        <v>0</v>
      </c>
      <c r="M131" s="514" t="inlineStr">
        <is>
          <t>T</t>
        </is>
      </c>
    </row>
    <row r="132">
      <c r="A132" s="485" t="n">
        <v>2</v>
      </c>
      <c r="B132" s="485" t="n">
        <v>2</v>
      </c>
      <c r="C132" s="485" t="n">
        <v>2</v>
      </c>
      <c r="D132" s="485" t="n">
        <v>3</v>
      </c>
      <c r="E132" s="485" t="n">
        <v>2</v>
      </c>
      <c r="F132" s="485" t="n">
        <v>2</v>
      </c>
      <c r="G132" s="516" t="inlineStr">
        <is>
          <t>West-Up1</t>
        </is>
      </c>
      <c r="H132" s="485" t="n">
        <v>2670.55</v>
      </c>
      <c r="I132" s="485" t="n">
        <v>0</v>
      </c>
      <c r="J132" s="485" t="n">
        <v>1</v>
      </c>
      <c r="K132" s="485" t="n">
        <v>43</v>
      </c>
      <c r="L132" s="485" t="n">
        <v>2</v>
      </c>
      <c r="M132" s="514" t="inlineStr">
        <is>
          <t>T</t>
        </is>
      </c>
    </row>
    <row r="133">
      <c r="A133" s="485" t="n">
        <v>2</v>
      </c>
      <c r="B133" s="485" t="n">
        <v>2</v>
      </c>
      <c r="C133" s="485" t="n">
        <v>2</v>
      </c>
      <c r="D133" s="485" t="n">
        <v>3</v>
      </c>
      <c r="E133" s="485" t="n">
        <v>2</v>
      </c>
      <c r="F133" s="485" t="n">
        <v>2</v>
      </c>
      <c r="G133" s="485" t="inlineStr">
        <is>
          <t>West-Down1</t>
        </is>
      </c>
      <c r="H133" s="485" t="n">
        <v>2680.77</v>
      </c>
      <c r="I133" s="485" t="n">
        <v>0</v>
      </c>
      <c r="J133" s="485" t="n">
        <v>3</v>
      </c>
      <c r="K133" s="485" t="n">
        <v>49</v>
      </c>
      <c r="L133" s="485" t="n">
        <v>4</v>
      </c>
      <c r="M133" s="514" t="inlineStr">
        <is>
          <t>T</t>
        </is>
      </c>
    </row>
    <row r="134">
      <c r="A134" s="485" t="n">
        <v>2</v>
      </c>
      <c r="B134" s="485" t="n">
        <v>2</v>
      </c>
      <c r="C134" s="485" t="n">
        <v>2</v>
      </c>
      <c r="D134" s="485" t="n">
        <v>3</v>
      </c>
      <c r="E134" s="485" t="n">
        <v>2</v>
      </c>
      <c r="F134" s="485" t="n">
        <v>2</v>
      </c>
      <c r="G134" s="485" t="inlineStr">
        <is>
          <t>West-Down2</t>
        </is>
      </c>
      <c r="H134" s="485" t="n">
        <v>0</v>
      </c>
      <c r="I134" s="485" t="n">
        <v>0</v>
      </c>
      <c r="J134" s="485" t="n">
        <v>0</v>
      </c>
      <c r="K134" s="485" t="n">
        <v>0</v>
      </c>
      <c r="L134" s="485" t="n">
        <v>0</v>
      </c>
      <c r="M134" s="514" t="inlineStr">
        <is>
          <t>T</t>
        </is>
      </c>
    </row>
    <row r="135">
      <c r="A135" s="485" t="n">
        <v>2</v>
      </c>
      <c r="B135" s="485" t="n">
        <v>2</v>
      </c>
      <c r="C135" s="485" t="n">
        <v>2</v>
      </c>
      <c r="D135" s="485" t="n">
        <v>3</v>
      </c>
      <c r="E135" s="485" t="n">
        <v>2</v>
      </c>
      <c r="F135" s="485" t="n">
        <v>2</v>
      </c>
      <c r="G135" s="485" t="inlineStr">
        <is>
          <t>East-Up2</t>
        </is>
      </c>
      <c r="H135" s="485" t="n">
        <v>0</v>
      </c>
      <c r="I135" s="485" t="n">
        <v>0</v>
      </c>
      <c r="J135" s="485" t="n">
        <v>0</v>
      </c>
      <c r="K135" s="485" t="n">
        <v>0</v>
      </c>
      <c r="L135" s="485" t="n">
        <v>0</v>
      </c>
      <c r="M135" s="514" t="inlineStr">
        <is>
          <t>T</t>
        </is>
      </c>
    </row>
    <row r="136">
      <c r="A136" s="485" t="n">
        <v>2</v>
      </c>
      <c r="B136" s="485" t="n">
        <v>2</v>
      </c>
      <c r="C136" s="485" t="n">
        <v>2</v>
      </c>
      <c r="D136" s="485" t="n">
        <v>3</v>
      </c>
      <c r="E136" s="485" t="n">
        <v>2</v>
      </c>
      <c r="F136" s="485" t="n">
        <v>2</v>
      </c>
      <c r="G136" s="516" t="inlineStr">
        <is>
          <t>East-Up1</t>
        </is>
      </c>
      <c r="H136" s="485" t="n">
        <v>5331.88</v>
      </c>
      <c r="I136" s="485" t="n">
        <v>0</v>
      </c>
      <c r="J136" s="485" t="n">
        <v>15</v>
      </c>
      <c r="K136" s="485" t="n">
        <v>37</v>
      </c>
      <c r="L136" s="485" t="n">
        <v>2</v>
      </c>
      <c r="M136" s="514" t="inlineStr">
        <is>
          <t>T</t>
        </is>
      </c>
    </row>
    <row r="137">
      <c r="A137" s="485" t="n">
        <v>2</v>
      </c>
      <c r="B137" s="485" t="n">
        <v>2</v>
      </c>
      <c r="C137" s="485" t="n">
        <v>2</v>
      </c>
      <c r="D137" s="485" t="n">
        <v>3</v>
      </c>
      <c r="E137" s="485" t="n">
        <v>2</v>
      </c>
      <c r="F137" s="485" t="n">
        <v>2</v>
      </c>
      <c r="G137" s="485" t="inlineStr">
        <is>
          <t>East-Down1</t>
        </is>
      </c>
      <c r="H137" s="485" t="n">
        <v>0</v>
      </c>
      <c r="I137" s="485" t="n">
        <v>0</v>
      </c>
      <c r="J137" s="485" t="n">
        <v>0</v>
      </c>
      <c r="K137" s="485" t="n">
        <v>0</v>
      </c>
      <c r="L137" s="485" t="n">
        <v>0</v>
      </c>
      <c r="M137" s="514" t="inlineStr">
        <is>
          <t>T</t>
        </is>
      </c>
    </row>
    <row r="138">
      <c r="A138" s="485" t="n">
        <v>2</v>
      </c>
      <c r="B138" s="485" t="n">
        <v>2</v>
      </c>
      <c r="C138" s="485" t="n">
        <v>2</v>
      </c>
      <c r="D138" s="485" t="n">
        <v>3</v>
      </c>
      <c r="E138" s="485" t="n">
        <v>2</v>
      </c>
      <c r="F138" s="485" t="n">
        <v>2</v>
      </c>
      <c r="G138" s="485" t="inlineStr">
        <is>
          <t>East-Down2</t>
        </is>
      </c>
      <c r="H138" s="485" t="n">
        <v>0</v>
      </c>
      <c r="I138" s="485" t="n">
        <v>0</v>
      </c>
      <c r="J138" s="485" t="n">
        <v>0</v>
      </c>
      <c r="K138" s="485" t="n">
        <v>0</v>
      </c>
      <c r="L138" s="485" t="n">
        <v>0</v>
      </c>
      <c r="M138" s="514" t="inlineStr">
        <is>
          <t>T</t>
        </is>
      </c>
    </row>
    <row r="139">
      <c r="A139" s="485" t="n">
        <v>2</v>
      </c>
      <c r="B139" s="485" t="n">
        <v>2</v>
      </c>
      <c r="C139" s="485" t="n">
        <v>2</v>
      </c>
      <c r="D139" s="485" t="n">
        <v>3</v>
      </c>
      <c r="E139" s="485" t="n">
        <v>2</v>
      </c>
      <c r="F139" s="485" t="n">
        <v>2</v>
      </c>
      <c r="G139" s="485" t="inlineStr">
        <is>
          <t>North-Left2</t>
        </is>
      </c>
      <c r="H139" s="485" t="n">
        <v>1321.82</v>
      </c>
      <c r="I139" s="485" t="n">
        <v>89</v>
      </c>
      <c r="J139" s="485" t="n">
        <v>44</v>
      </c>
      <c r="K139" s="485" t="n">
        <v>9</v>
      </c>
      <c r="L139" s="485" t="n">
        <v>4</v>
      </c>
      <c r="M139" s="514" t="inlineStr">
        <is>
          <t>T</t>
        </is>
      </c>
    </row>
    <row r="140">
      <c r="A140" s="485" t="n">
        <v>2</v>
      </c>
      <c r="B140" s="485" t="n">
        <v>2</v>
      </c>
      <c r="C140" s="485" t="n">
        <v>2</v>
      </c>
      <c r="D140" s="485" t="n">
        <v>3</v>
      </c>
      <c r="E140" s="485" t="n">
        <v>2</v>
      </c>
      <c r="F140" s="485" t="n">
        <v>2</v>
      </c>
      <c r="G140" s="516" t="inlineStr">
        <is>
          <t>North-Left1</t>
        </is>
      </c>
      <c r="H140" s="485" t="n">
        <v>1323.46</v>
      </c>
      <c r="I140" s="485" t="n">
        <v>89</v>
      </c>
      <c r="J140" s="485" t="n">
        <v>44</v>
      </c>
      <c r="K140" s="485" t="n">
        <v>33</v>
      </c>
      <c r="L140" s="485" t="n">
        <v>4</v>
      </c>
      <c r="M140" s="514" t="inlineStr">
        <is>
          <t>T</t>
        </is>
      </c>
    </row>
    <row r="141">
      <c r="A141" s="485" t="n">
        <v>2</v>
      </c>
      <c r="B141" s="485" t="n">
        <v>2</v>
      </c>
      <c r="C141" s="485" t="n">
        <v>2</v>
      </c>
      <c r="D141" s="485" t="n">
        <v>3</v>
      </c>
      <c r="E141" s="485" t="n">
        <v>2</v>
      </c>
      <c r="F141" s="485" t="n">
        <v>2</v>
      </c>
      <c r="G141" s="485" t="inlineStr">
        <is>
          <t>North-Right1</t>
        </is>
      </c>
      <c r="H141" s="485" t="n">
        <v>1323.07</v>
      </c>
      <c r="I141" s="485" t="n">
        <v>89</v>
      </c>
      <c r="J141" s="485" t="n">
        <v>44</v>
      </c>
      <c r="K141" s="485" t="n">
        <v>4</v>
      </c>
      <c r="L141" s="485" t="n">
        <v>4</v>
      </c>
      <c r="M141" s="514" t="inlineStr">
        <is>
          <t>T</t>
        </is>
      </c>
    </row>
    <row r="142">
      <c r="A142" s="485" t="n">
        <v>2</v>
      </c>
      <c r="B142" s="485" t="n">
        <v>2</v>
      </c>
      <c r="C142" s="485" t="n">
        <v>2</v>
      </c>
      <c r="D142" s="485" t="n">
        <v>3</v>
      </c>
      <c r="E142" s="485" t="n">
        <v>2</v>
      </c>
      <c r="F142" s="485" t="n">
        <v>2</v>
      </c>
      <c r="G142" s="485" t="inlineStr">
        <is>
          <t>North-Right2</t>
        </is>
      </c>
      <c r="H142" s="485" t="n">
        <v>1322.91</v>
      </c>
      <c r="I142" s="485" t="n">
        <v>89</v>
      </c>
      <c r="J142" s="485" t="n">
        <v>45</v>
      </c>
      <c r="K142" s="485" t="n">
        <v>39</v>
      </c>
      <c r="L142" s="485" t="n">
        <v>4</v>
      </c>
      <c r="M142" s="514" t="inlineStr">
        <is>
          <t>T</t>
        </is>
      </c>
    </row>
    <row r="143">
      <c r="A143" s="485" t="n">
        <v>2</v>
      </c>
      <c r="B143" s="485" t="n">
        <v>2</v>
      </c>
      <c r="C143" s="485" t="n">
        <v>2</v>
      </c>
      <c r="D143" s="485" t="n">
        <v>3</v>
      </c>
      <c r="E143" s="485" t="n">
        <v>2</v>
      </c>
      <c r="F143" s="485" t="n">
        <v>2</v>
      </c>
      <c r="G143" s="485" t="inlineStr">
        <is>
          <t>South-Left2</t>
        </is>
      </c>
      <c r="H143" s="485" t="n">
        <v>0</v>
      </c>
      <c r="I143" s="485" t="n">
        <v>0</v>
      </c>
      <c r="J143" s="485" t="n">
        <v>0</v>
      </c>
      <c r="K143" s="485" t="n">
        <v>0</v>
      </c>
      <c r="L143" s="485" t="n">
        <v>0</v>
      </c>
      <c r="M143" s="514" t="inlineStr">
        <is>
          <t>T</t>
        </is>
      </c>
    </row>
    <row r="144">
      <c r="A144" s="485" t="n">
        <v>2</v>
      </c>
      <c r="B144" s="485" t="n">
        <v>2</v>
      </c>
      <c r="C144" s="485" t="n">
        <v>2</v>
      </c>
      <c r="D144" s="485" t="n">
        <v>3</v>
      </c>
      <c r="E144" s="485" t="n">
        <v>2</v>
      </c>
      <c r="F144" s="485" t="n">
        <v>2</v>
      </c>
      <c r="G144" s="516" t="inlineStr">
        <is>
          <t>South-Left1</t>
        </is>
      </c>
      <c r="H144" s="485" t="n">
        <v>5265.34</v>
      </c>
      <c r="I144" s="485" t="n">
        <v>89</v>
      </c>
      <c r="J144" s="485" t="n">
        <v>57</v>
      </c>
      <c r="K144" s="485" t="n">
        <v>16</v>
      </c>
      <c r="L144" s="485" t="n">
        <v>4</v>
      </c>
      <c r="M144" s="514" t="inlineStr">
        <is>
          <t>T</t>
        </is>
      </c>
    </row>
    <row r="145">
      <c r="A145" s="485" t="n">
        <v>2</v>
      </c>
      <c r="B145" s="485" t="n">
        <v>2</v>
      </c>
      <c r="C145" s="485" t="n">
        <v>2</v>
      </c>
      <c r="D145" s="485" t="n">
        <v>3</v>
      </c>
      <c r="E145" s="485" t="n">
        <v>2</v>
      </c>
      <c r="F145" s="485" t="n">
        <v>2</v>
      </c>
      <c r="G145" s="485" t="inlineStr">
        <is>
          <t>South-Right1</t>
        </is>
      </c>
      <c r="H145" s="485" t="n">
        <v>0</v>
      </c>
      <c r="I145" s="485" t="n">
        <v>0</v>
      </c>
      <c r="J145" s="485" t="n">
        <v>0</v>
      </c>
      <c r="K145" s="485" t="n">
        <v>0</v>
      </c>
      <c r="L145" s="485" t="n">
        <v>0</v>
      </c>
      <c r="M145" s="514" t="inlineStr">
        <is>
          <t>T</t>
        </is>
      </c>
    </row>
    <row r="146">
      <c r="A146" s="485" t="n">
        <v>2</v>
      </c>
      <c r="B146" s="485" t="n">
        <v>2</v>
      </c>
      <c r="C146" s="485" t="n">
        <v>2</v>
      </c>
      <c r="D146" s="485" t="n">
        <v>3</v>
      </c>
      <c r="E146" s="485" t="n">
        <v>2</v>
      </c>
      <c r="F146" s="485" t="n">
        <v>2</v>
      </c>
      <c r="G146" s="485" t="inlineStr">
        <is>
          <t>South-Right2</t>
        </is>
      </c>
      <c r="H146" s="485" t="n">
        <v>0</v>
      </c>
      <c r="I146" s="485" t="n">
        <v>0</v>
      </c>
      <c r="J146" s="485" t="n">
        <v>0</v>
      </c>
      <c r="K146" s="485" t="n">
        <v>0</v>
      </c>
      <c r="L146" s="485" t="n">
        <v>0</v>
      </c>
      <c r="M146" s="514" t="inlineStr">
        <is>
          <t>T</t>
        </is>
      </c>
    </row>
    <row r="147">
      <c r="A147" s="485" t="n">
        <v>3</v>
      </c>
      <c r="B147" s="485" t="n">
        <v>8</v>
      </c>
      <c r="C147" s="485" t="n">
        <v>2</v>
      </c>
      <c r="D147" s="485" t="n">
        <v>20</v>
      </c>
      <c r="E147" s="485" t="n">
        <v>1</v>
      </c>
      <c r="F147" s="485" t="n">
        <v>1</v>
      </c>
      <c r="G147" s="485" t="inlineStr">
        <is>
          <t>West-Up2</t>
        </is>
      </c>
      <c r="H147" s="485" t="n">
        <v>1352.22</v>
      </c>
      <c r="I147" s="485" t="n">
        <v>0</v>
      </c>
      <c r="J147" s="485" t="n">
        <v>45</v>
      </c>
      <c r="K147" s="485" t="n">
        <v>17</v>
      </c>
      <c r="L147" s="485" t="n">
        <v>4</v>
      </c>
      <c r="M147" s="487" t="inlineStr">
        <is>
          <t>T</t>
        </is>
      </c>
    </row>
    <row r="148">
      <c r="A148" s="485" t="n">
        <v>3</v>
      </c>
      <c r="B148" s="485" t="n">
        <v>8</v>
      </c>
      <c r="C148" s="485" t="n">
        <v>2</v>
      </c>
      <c r="D148" s="485" t="n">
        <v>20</v>
      </c>
      <c r="E148" s="485" t="n">
        <v>1</v>
      </c>
      <c r="F148" s="485" t="n">
        <v>1</v>
      </c>
      <c r="G148" s="516" t="inlineStr">
        <is>
          <t>West-Up1</t>
        </is>
      </c>
      <c r="H148" s="485" t="n">
        <v>1316.02</v>
      </c>
      <c r="I148" s="485" t="n">
        <v>0</v>
      </c>
      <c r="J148" s="485" t="n">
        <v>44</v>
      </c>
      <c r="K148" s="485" t="n">
        <v>39</v>
      </c>
      <c r="L148" s="485" t="n">
        <v>4</v>
      </c>
      <c r="M148" s="487" t="inlineStr">
        <is>
          <t>T</t>
        </is>
      </c>
    </row>
    <row r="149">
      <c r="A149" s="485" t="n">
        <v>3</v>
      </c>
      <c r="B149" s="485" t="n">
        <v>8</v>
      </c>
      <c r="C149" s="485" t="n">
        <v>2</v>
      </c>
      <c r="D149" s="485" t="n">
        <v>20</v>
      </c>
      <c r="E149" s="485" t="n">
        <v>1</v>
      </c>
      <c r="F149" s="485" t="n">
        <v>1</v>
      </c>
      <c r="G149" s="485" t="inlineStr">
        <is>
          <t>West-Down1</t>
        </is>
      </c>
      <c r="H149" s="485" t="n">
        <v>2652.4</v>
      </c>
      <c r="I149" s="485" t="n">
        <v>0</v>
      </c>
      <c r="J149" s="485" t="n">
        <v>27</v>
      </c>
      <c r="K149" s="485" t="n">
        <v>22</v>
      </c>
      <c r="L149" s="485" t="n">
        <v>4</v>
      </c>
      <c r="M149" s="487" t="inlineStr">
        <is>
          <t>T</t>
        </is>
      </c>
    </row>
    <row r="150">
      <c r="A150" s="485" t="n">
        <v>3</v>
      </c>
      <c r="B150" s="485" t="n">
        <v>8</v>
      </c>
      <c r="C150" s="485" t="n">
        <v>2</v>
      </c>
      <c r="D150" s="485" t="n">
        <v>20</v>
      </c>
      <c r="E150" s="485" t="n">
        <v>1</v>
      </c>
      <c r="F150" s="485" t="n">
        <v>1</v>
      </c>
      <c r="G150" s="485" t="inlineStr">
        <is>
          <t>West-Down2</t>
        </is>
      </c>
      <c r="H150" s="485" t="n">
        <v>0</v>
      </c>
      <c r="I150" s="485" t="n">
        <v>0</v>
      </c>
      <c r="J150" s="485" t="n">
        <v>0</v>
      </c>
      <c r="K150" s="485" t="n">
        <v>0</v>
      </c>
      <c r="L150" s="485" t="n">
        <v>0</v>
      </c>
      <c r="M150" s="487" t="inlineStr">
        <is>
          <t>T</t>
        </is>
      </c>
    </row>
    <row r="151">
      <c r="A151" s="485" t="n">
        <v>3</v>
      </c>
      <c r="B151" s="485" t="n">
        <v>8</v>
      </c>
      <c r="C151" s="485" t="n">
        <v>2</v>
      </c>
      <c r="D151" s="485" t="n">
        <v>20</v>
      </c>
      <c r="E151" s="485" t="n">
        <v>1</v>
      </c>
      <c r="F151" s="485" t="n">
        <v>1</v>
      </c>
      <c r="G151" s="485" t="inlineStr">
        <is>
          <t>East-Up2</t>
        </is>
      </c>
      <c r="H151" s="485" t="n">
        <v>0</v>
      </c>
      <c r="I151" s="485" t="n">
        <v>0</v>
      </c>
      <c r="J151" s="485" t="n">
        <v>0</v>
      </c>
      <c r="K151" s="485" t="n">
        <v>0</v>
      </c>
      <c r="L151" s="485" t="n">
        <v>0</v>
      </c>
      <c r="M151" s="487" t="inlineStr">
        <is>
          <t>T</t>
        </is>
      </c>
    </row>
    <row r="152">
      <c r="A152" s="485" t="n">
        <v>3</v>
      </c>
      <c r="B152" s="485" t="n">
        <v>8</v>
      </c>
      <c r="C152" s="485" t="n">
        <v>2</v>
      </c>
      <c r="D152" s="485" t="n">
        <v>20</v>
      </c>
      <c r="E152" s="485" t="n">
        <v>1</v>
      </c>
      <c r="F152" s="485" t="n">
        <v>1</v>
      </c>
      <c r="G152" s="516" t="inlineStr">
        <is>
          <t>East-Up1</t>
        </is>
      </c>
      <c r="H152" s="485" t="n">
        <v>2657.57</v>
      </c>
      <c r="I152" s="485" t="n">
        <v>2</v>
      </c>
      <c r="J152" s="485" t="n">
        <v>40</v>
      </c>
      <c r="K152" s="485" t="n">
        <v>4</v>
      </c>
      <c r="L152" s="485" t="n">
        <v>4</v>
      </c>
      <c r="M152" s="487" t="inlineStr">
        <is>
          <t>T</t>
        </is>
      </c>
    </row>
    <row r="153">
      <c r="A153" s="485" t="n">
        <v>3</v>
      </c>
      <c r="B153" s="485" t="n">
        <v>8</v>
      </c>
      <c r="C153" s="485" t="n">
        <v>2</v>
      </c>
      <c r="D153" s="485" t="n">
        <v>20</v>
      </c>
      <c r="E153" s="485" t="n">
        <v>1</v>
      </c>
      <c r="F153" s="485" t="n">
        <v>1</v>
      </c>
      <c r="G153" s="485" t="inlineStr">
        <is>
          <t>East-Down1</t>
        </is>
      </c>
      <c r="H153" s="485" t="n">
        <v>2640.23</v>
      </c>
      <c r="I153" s="485" t="n">
        <v>0</v>
      </c>
      <c r="J153" s="485" t="n">
        <v>25</v>
      </c>
      <c r="K153" s="485" t="n">
        <v>18</v>
      </c>
      <c r="L153" s="485" t="n">
        <v>2</v>
      </c>
      <c r="M153" s="487" t="inlineStr">
        <is>
          <t>T</t>
        </is>
      </c>
    </row>
    <row r="154">
      <c r="A154" s="485" t="n">
        <v>3</v>
      </c>
      <c r="B154" s="485" t="n">
        <v>8</v>
      </c>
      <c r="C154" s="485" t="n">
        <v>2</v>
      </c>
      <c r="D154" s="485" t="n">
        <v>20</v>
      </c>
      <c r="E154" s="485" t="n">
        <v>1</v>
      </c>
      <c r="F154" s="485" t="n">
        <v>1</v>
      </c>
      <c r="G154" s="485" t="inlineStr">
        <is>
          <t>East-Down2</t>
        </is>
      </c>
      <c r="H154" s="485" t="n">
        <v>0</v>
      </c>
      <c r="I154" s="485" t="n">
        <v>0</v>
      </c>
      <c r="J154" s="485" t="n">
        <v>0</v>
      </c>
      <c r="K154" s="485" t="n">
        <v>0</v>
      </c>
      <c r="L154" s="485" t="n">
        <v>0</v>
      </c>
      <c r="M154" s="487" t="inlineStr">
        <is>
          <t>T</t>
        </is>
      </c>
    </row>
    <row r="155">
      <c r="A155" s="485" t="n">
        <v>3</v>
      </c>
      <c r="B155" s="485" t="n">
        <v>8</v>
      </c>
      <c r="C155" s="485" t="n">
        <v>2</v>
      </c>
      <c r="D155" s="485" t="n">
        <v>20</v>
      </c>
      <c r="E155" s="485" t="n">
        <v>1</v>
      </c>
      <c r="F155" s="485" t="n">
        <v>1</v>
      </c>
      <c r="G155" s="485" t="inlineStr">
        <is>
          <t>North-Left2</t>
        </is>
      </c>
      <c r="H155" s="485" t="n">
        <v>0</v>
      </c>
      <c r="I155" s="485" t="n">
        <v>0</v>
      </c>
      <c r="J155" s="485" t="n">
        <v>0</v>
      </c>
      <c r="K155" s="485" t="n">
        <v>0</v>
      </c>
      <c r="L155" s="485" t="n">
        <v>0</v>
      </c>
      <c r="M155" s="487" t="inlineStr">
        <is>
          <t>T</t>
        </is>
      </c>
    </row>
    <row r="156">
      <c r="A156" s="485" t="n">
        <v>3</v>
      </c>
      <c r="B156" s="485" t="n">
        <v>8</v>
      </c>
      <c r="C156" s="485" t="n">
        <v>2</v>
      </c>
      <c r="D156" s="485" t="n">
        <v>20</v>
      </c>
      <c r="E156" s="485" t="n">
        <v>1</v>
      </c>
      <c r="F156" s="485" t="n">
        <v>1</v>
      </c>
      <c r="G156" s="516" t="inlineStr">
        <is>
          <t>North-Left1</t>
        </is>
      </c>
      <c r="H156" s="485" t="n">
        <v>2631.48</v>
      </c>
      <c r="I156" s="485" t="n">
        <v>89</v>
      </c>
      <c r="J156" s="485" t="n">
        <v>49</v>
      </c>
      <c r="K156" s="485" t="n">
        <v>34</v>
      </c>
      <c r="L156" s="485" t="n">
        <v>3</v>
      </c>
      <c r="M156" s="487" t="inlineStr">
        <is>
          <t>T</t>
        </is>
      </c>
    </row>
    <row r="157">
      <c r="A157" s="485" t="n">
        <v>3</v>
      </c>
      <c r="B157" s="485" t="n">
        <v>8</v>
      </c>
      <c r="C157" s="485" t="n">
        <v>2</v>
      </c>
      <c r="D157" s="485" t="n">
        <v>20</v>
      </c>
      <c r="E157" s="485" t="n">
        <v>1</v>
      </c>
      <c r="F157" s="485" t="n">
        <v>1</v>
      </c>
      <c r="G157" s="485" t="inlineStr">
        <is>
          <t>North-Right1</t>
        </is>
      </c>
      <c r="H157" s="485" t="n">
        <v>2661.97</v>
      </c>
      <c r="I157" s="485" t="n">
        <v>89</v>
      </c>
      <c r="J157" s="485" t="n">
        <v>17</v>
      </c>
      <c r="K157" s="485" t="n">
        <v>56</v>
      </c>
      <c r="L157" s="485" t="n">
        <v>3</v>
      </c>
      <c r="M157" s="487" t="inlineStr">
        <is>
          <t>T</t>
        </is>
      </c>
    </row>
    <row r="158">
      <c r="A158" s="485" t="n">
        <v>3</v>
      </c>
      <c r="B158" s="485" t="n">
        <v>8</v>
      </c>
      <c r="C158" s="485" t="n">
        <v>2</v>
      </c>
      <c r="D158" s="485" t="n">
        <v>20</v>
      </c>
      <c r="E158" s="485" t="n">
        <v>1</v>
      </c>
      <c r="F158" s="485" t="n">
        <v>1</v>
      </c>
      <c r="G158" s="485" t="inlineStr">
        <is>
          <t>North-Right2</t>
        </is>
      </c>
      <c r="H158" s="485" t="n">
        <v>0</v>
      </c>
      <c r="I158" s="485" t="n">
        <v>0</v>
      </c>
      <c r="J158" s="485" t="n">
        <v>0</v>
      </c>
      <c r="K158" s="485" t="n">
        <v>0</v>
      </c>
      <c r="L158" s="485" t="n">
        <v>0</v>
      </c>
      <c r="M158" s="487" t="inlineStr">
        <is>
          <t>T</t>
        </is>
      </c>
    </row>
    <row r="159">
      <c r="A159" s="485" t="n">
        <v>3</v>
      </c>
      <c r="B159" s="485" t="n">
        <v>8</v>
      </c>
      <c r="C159" s="485" t="n">
        <v>2</v>
      </c>
      <c r="D159" s="485" t="n">
        <v>20</v>
      </c>
      <c r="E159" s="485" t="n">
        <v>1</v>
      </c>
      <c r="F159" s="485" t="n">
        <v>1</v>
      </c>
      <c r="G159" s="485" t="inlineStr">
        <is>
          <t>South-Left2</t>
        </is>
      </c>
      <c r="H159" s="485" t="n">
        <v>0</v>
      </c>
      <c r="I159" s="485" t="n">
        <v>0</v>
      </c>
      <c r="J159" s="485" t="n">
        <v>0</v>
      </c>
      <c r="K159" s="485" t="n">
        <v>0</v>
      </c>
      <c r="L159" s="485" t="n">
        <v>0</v>
      </c>
      <c r="M159" s="487" t="inlineStr">
        <is>
          <t>T</t>
        </is>
      </c>
    </row>
    <row r="160">
      <c r="A160" s="485" t="n">
        <v>3</v>
      </c>
      <c r="B160" s="485" t="n">
        <v>8</v>
      </c>
      <c r="C160" s="485" t="n">
        <v>2</v>
      </c>
      <c r="D160" s="485" t="n">
        <v>20</v>
      </c>
      <c r="E160" s="485" t="n">
        <v>1</v>
      </c>
      <c r="F160" s="485" t="n">
        <v>1</v>
      </c>
      <c r="G160" s="516" t="inlineStr">
        <is>
          <t>South-Left1</t>
        </is>
      </c>
      <c r="H160" s="485" t="n">
        <v>5341.9</v>
      </c>
      <c r="I160" s="485" t="n">
        <v>89</v>
      </c>
      <c r="J160" s="485" t="n">
        <v>17</v>
      </c>
      <c r="K160" s="485" t="n">
        <v>29</v>
      </c>
      <c r="L160" s="485" t="n">
        <v>3</v>
      </c>
      <c r="M160" s="487" t="inlineStr">
        <is>
          <t>T</t>
        </is>
      </c>
    </row>
    <row r="161">
      <c r="A161" s="485" t="n">
        <v>3</v>
      </c>
      <c r="B161" s="485" t="n">
        <v>8</v>
      </c>
      <c r="C161" s="485" t="n">
        <v>2</v>
      </c>
      <c r="D161" s="485" t="n">
        <v>20</v>
      </c>
      <c r="E161" s="485" t="n">
        <v>1</v>
      </c>
      <c r="F161" s="485" t="n">
        <v>1</v>
      </c>
      <c r="G161" s="485" t="inlineStr">
        <is>
          <t>South-Right1</t>
        </is>
      </c>
      <c r="H161" s="485" t="n">
        <v>0</v>
      </c>
      <c r="I161" s="485" t="n">
        <v>0</v>
      </c>
      <c r="J161" s="485" t="n">
        <v>0</v>
      </c>
      <c r="K161" s="485" t="n">
        <v>0</v>
      </c>
      <c r="L161" s="485" t="n">
        <v>0</v>
      </c>
      <c r="M161" s="487" t="inlineStr">
        <is>
          <t>T</t>
        </is>
      </c>
    </row>
    <row r="162">
      <c r="A162" s="485" t="n">
        <v>3</v>
      </c>
      <c r="B162" s="485" t="n">
        <v>8</v>
      </c>
      <c r="C162" s="485" t="n">
        <v>2</v>
      </c>
      <c r="D162" s="485" t="n">
        <v>20</v>
      </c>
      <c r="E162" s="485" t="n">
        <v>1</v>
      </c>
      <c r="F162" s="485" t="n">
        <v>1</v>
      </c>
      <c r="G162" s="485" t="inlineStr">
        <is>
          <t>South-Right2</t>
        </is>
      </c>
      <c r="H162" s="485" t="n">
        <v>0</v>
      </c>
      <c r="I162" s="485" t="n">
        <v>0</v>
      </c>
      <c r="J162" s="485" t="n">
        <v>0</v>
      </c>
      <c r="K162" s="485" t="n">
        <v>0</v>
      </c>
      <c r="L162" s="485" t="n">
        <v>0</v>
      </c>
      <c r="M162" s="487" t="inlineStr">
        <is>
          <t>T</t>
        </is>
      </c>
    </row>
    <row r="163">
      <c r="A163" s="486" t="n">
        <v>3</v>
      </c>
      <c r="B163" s="486" t="n">
        <v>2</v>
      </c>
      <c r="C163" s="486" t="n">
        <v>2</v>
      </c>
      <c r="D163" s="486" t="n">
        <v>3</v>
      </c>
      <c r="E163" s="486" t="n">
        <v>2</v>
      </c>
      <c r="F163" s="486" t="n">
        <v>2</v>
      </c>
      <c r="G163" s="486" t="inlineStr">
        <is>
          <t>West-Up2</t>
        </is>
      </c>
      <c r="H163" s="486" t="n">
        <v>0</v>
      </c>
      <c r="I163" s="486" t="n">
        <v>0</v>
      </c>
      <c r="J163" s="486" t="n">
        <v>0</v>
      </c>
      <c r="K163" s="486" t="n">
        <v>0</v>
      </c>
      <c r="L163" s="486" t="n">
        <v>0</v>
      </c>
      <c r="M163" s="487" t="inlineStr">
        <is>
          <t>T</t>
        </is>
      </c>
    </row>
    <row r="164">
      <c r="A164" s="486" t="n">
        <v>3</v>
      </c>
      <c r="B164" s="486" t="n">
        <v>2</v>
      </c>
      <c r="C164" s="486" t="n">
        <v>2</v>
      </c>
      <c r="D164" s="486" t="n">
        <v>3</v>
      </c>
      <c r="E164" s="486" t="n">
        <v>2</v>
      </c>
      <c r="F164" s="486" t="n">
        <v>2</v>
      </c>
      <c r="G164" s="475" t="inlineStr">
        <is>
          <t>West-Up1</t>
        </is>
      </c>
      <c r="H164" s="486" t="n">
        <v>5311.3</v>
      </c>
      <c r="I164" s="486" t="n">
        <v>0</v>
      </c>
      <c r="J164" s="486" t="n">
        <v>33</v>
      </c>
      <c r="K164" s="486" t="n">
        <v>26</v>
      </c>
      <c r="L164" s="486" t="n">
        <v>2</v>
      </c>
      <c r="M164" s="487" t="inlineStr">
        <is>
          <t>T</t>
        </is>
      </c>
    </row>
    <row r="165">
      <c r="A165" s="486" t="n">
        <v>3</v>
      </c>
      <c r="B165" s="486" t="n">
        <v>2</v>
      </c>
      <c r="C165" s="486" t="n">
        <v>2</v>
      </c>
      <c r="D165" s="486" t="n">
        <v>3</v>
      </c>
      <c r="E165" s="486" t="n">
        <v>2</v>
      </c>
      <c r="F165" s="486" t="n">
        <v>2</v>
      </c>
      <c r="G165" s="486" t="inlineStr">
        <is>
          <t>West-Down1</t>
        </is>
      </c>
      <c r="H165" s="486" t="n">
        <v>0</v>
      </c>
      <c r="I165" s="486" t="n">
        <v>0</v>
      </c>
      <c r="J165" s="486" t="n">
        <v>0</v>
      </c>
      <c r="K165" s="486" t="n">
        <v>0</v>
      </c>
      <c r="L165" s="486" t="n">
        <v>0</v>
      </c>
      <c r="M165" s="487" t="inlineStr">
        <is>
          <t>T</t>
        </is>
      </c>
    </row>
    <row r="166">
      <c r="A166" s="486" t="n">
        <v>3</v>
      </c>
      <c r="B166" s="486" t="n">
        <v>2</v>
      </c>
      <c r="C166" s="486" t="n">
        <v>2</v>
      </c>
      <c r="D166" s="486" t="n">
        <v>3</v>
      </c>
      <c r="E166" s="486" t="n">
        <v>2</v>
      </c>
      <c r="F166" s="486" t="n">
        <v>2</v>
      </c>
      <c r="G166" s="486" t="inlineStr">
        <is>
          <t>West-Down2</t>
        </is>
      </c>
      <c r="H166" s="486" t="n">
        <v>0</v>
      </c>
      <c r="I166" s="486" t="n">
        <v>0</v>
      </c>
      <c r="J166" s="486" t="n">
        <v>0</v>
      </c>
      <c r="K166" s="486" t="n">
        <v>0</v>
      </c>
      <c r="L166" s="486" t="n">
        <v>0</v>
      </c>
      <c r="M166" s="487" t="inlineStr">
        <is>
          <t>T</t>
        </is>
      </c>
    </row>
    <row r="167">
      <c r="A167" s="486" t="n">
        <v>3</v>
      </c>
      <c r="B167" s="486" t="n">
        <v>2</v>
      </c>
      <c r="C167" s="486" t="n">
        <v>2</v>
      </c>
      <c r="D167" s="486" t="n">
        <v>3</v>
      </c>
      <c r="E167" s="486" t="n">
        <v>2</v>
      </c>
      <c r="F167" s="486" t="n">
        <v>2</v>
      </c>
      <c r="G167" s="486" t="inlineStr">
        <is>
          <t>East-Up2</t>
        </is>
      </c>
      <c r="H167" s="486" t="n">
        <v>0</v>
      </c>
      <c r="I167" s="486" t="n">
        <v>0</v>
      </c>
      <c r="J167" s="486" t="n">
        <v>0</v>
      </c>
      <c r="K167" s="486" t="n">
        <v>0</v>
      </c>
      <c r="L167" s="486" t="n">
        <v>0</v>
      </c>
      <c r="M167" s="487" t="inlineStr">
        <is>
          <t>T</t>
        </is>
      </c>
    </row>
    <row r="168">
      <c r="A168" s="486" t="n">
        <v>3</v>
      </c>
      <c r="B168" s="486" t="n">
        <v>2</v>
      </c>
      <c r="C168" s="486" t="n">
        <v>2</v>
      </c>
      <c r="D168" s="486" t="n">
        <v>3</v>
      </c>
      <c r="E168" s="486" t="n">
        <v>2</v>
      </c>
      <c r="F168" s="486" t="n">
        <v>2</v>
      </c>
      <c r="G168" s="475" t="inlineStr">
        <is>
          <t>East-Up1</t>
        </is>
      </c>
      <c r="H168" s="486" t="n">
        <v>2670.55</v>
      </c>
      <c r="I168" s="486" t="n">
        <v>0</v>
      </c>
      <c r="J168" s="486" t="n">
        <v>1</v>
      </c>
      <c r="K168" s="486" t="n">
        <v>43</v>
      </c>
      <c r="L168" s="486" t="n">
        <v>2</v>
      </c>
      <c r="M168" s="487" t="inlineStr">
        <is>
          <t>T</t>
        </is>
      </c>
    </row>
    <row r="169">
      <c r="A169" s="486" t="n">
        <v>3</v>
      </c>
      <c r="B169" s="486" t="n">
        <v>2</v>
      </c>
      <c r="C169" s="486" t="n">
        <v>2</v>
      </c>
      <c r="D169" s="486" t="n">
        <v>3</v>
      </c>
      <c r="E169" s="486" t="n">
        <v>2</v>
      </c>
      <c r="F169" s="486" t="n">
        <v>2</v>
      </c>
      <c r="G169" s="486" t="inlineStr">
        <is>
          <t>East-Down1</t>
        </is>
      </c>
      <c r="H169" s="486" t="n">
        <v>2680.77</v>
      </c>
      <c r="I169" s="486" t="n">
        <v>0</v>
      </c>
      <c r="J169" s="486" t="n">
        <v>3</v>
      </c>
      <c r="K169" s="486" t="n">
        <v>49</v>
      </c>
      <c r="L169" s="486" t="n">
        <v>4</v>
      </c>
      <c r="M169" s="487" t="inlineStr">
        <is>
          <t>T</t>
        </is>
      </c>
    </row>
    <row r="170">
      <c r="A170" s="486" t="n">
        <v>3</v>
      </c>
      <c r="B170" s="486" t="n">
        <v>2</v>
      </c>
      <c r="C170" s="486" t="n">
        <v>2</v>
      </c>
      <c r="D170" s="486" t="n">
        <v>3</v>
      </c>
      <c r="E170" s="486" t="n">
        <v>2</v>
      </c>
      <c r="F170" s="486" t="n">
        <v>2</v>
      </c>
      <c r="G170" s="486" t="inlineStr">
        <is>
          <t>East-Down2</t>
        </is>
      </c>
      <c r="H170" s="486" t="n">
        <v>0</v>
      </c>
      <c r="I170" s="486" t="n">
        <v>0</v>
      </c>
      <c r="J170" s="486" t="n">
        <v>0</v>
      </c>
      <c r="K170" s="486" t="n">
        <v>0</v>
      </c>
      <c r="L170" s="486" t="n">
        <v>0</v>
      </c>
      <c r="M170" s="487" t="inlineStr">
        <is>
          <t>T</t>
        </is>
      </c>
    </row>
    <row r="171">
      <c r="A171" s="486" t="n">
        <v>3</v>
      </c>
      <c r="B171" s="486" t="n">
        <v>2</v>
      </c>
      <c r="C171" s="486" t="n">
        <v>2</v>
      </c>
      <c r="D171" s="486" t="n">
        <v>3</v>
      </c>
      <c r="E171" s="486" t="n">
        <v>2</v>
      </c>
      <c r="F171" s="486" t="n">
        <v>2</v>
      </c>
      <c r="G171" s="486" t="inlineStr">
        <is>
          <t>North-Left2</t>
        </is>
      </c>
      <c r="H171" s="486" t="n">
        <v>0</v>
      </c>
      <c r="I171" s="486" t="n">
        <v>0</v>
      </c>
      <c r="J171" s="486" t="n">
        <v>0</v>
      </c>
      <c r="K171" s="486" t="n">
        <v>0</v>
      </c>
      <c r="L171" s="486" t="n">
        <v>0</v>
      </c>
      <c r="M171" s="487" t="inlineStr">
        <is>
          <t>T</t>
        </is>
      </c>
    </row>
    <row r="172">
      <c r="A172" s="486" t="n">
        <v>3</v>
      </c>
      <c r="B172" s="486" t="n">
        <v>2</v>
      </c>
      <c r="C172" s="486" t="n">
        <v>2</v>
      </c>
      <c r="D172" s="486" t="n">
        <v>3</v>
      </c>
      <c r="E172" s="486" t="n">
        <v>2</v>
      </c>
      <c r="F172" s="486" t="n">
        <v>2</v>
      </c>
      <c r="G172" s="475" t="inlineStr">
        <is>
          <t>North-Left1</t>
        </is>
      </c>
      <c r="H172" s="486" t="n">
        <v>2646.15</v>
      </c>
      <c r="I172" s="486" t="n">
        <v>89</v>
      </c>
      <c r="J172" s="486" t="n">
        <v>59</v>
      </c>
      <c r="K172" s="486" t="n">
        <v>59</v>
      </c>
      <c r="L172" s="486" t="n">
        <v>4</v>
      </c>
      <c r="M172" s="487" t="inlineStr">
        <is>
          <t>T</t>
        </is>
      </c>
    </row>
    <row r="173">
      <c r="A173" s="486" t="n">
        <v>3</v>
      </c>
      <c r="B173" s="486" t="n">
        <v>2</v>
      </c>
      <c r="C173" s="486" t="n">
        <v>2</v>
      </c>
      <c r="D173" s="486" t="n">
        <v>3</v>
      </c>
      <c r="E173" s="486" t="n">
        <v>2</v>
      </c>
      <c r="F173" s="486" t="n">
        <v>2</v>
      </c>
      <c r="G173" s="486" t="inlineStr">
        <is>
          <t>North-Right1</t>
        </is>
      </c>
      <c r="H173" s="486" t="n">
        <v>2642.12</v>
      </c>
      <c r="I173" s="486" t="n">
        <v>89</v>
      </c>
      <c r="J173" s="486" t="n">
        <v>57</v>
      </c>
      <c r="K173" s="486" t="n">
        <v>32</v>
      </c>
      <c r="L173" s="486" t="n">
        <v>3</v>
      </c>
      <c r="M173" s="487" t="inlineStr">
        <is>
          <t>T</t>
        </is>
      </c>
    </row>
    <row r="174">
      <c r="A174" s="486" t="n">
        <v>3</v>
      </c>
      <c r="B174" s="486" t="n">
        <v>2</v>
      </c>
      <c r="C174" s="486" t="n">
        <v>2</v>
      </c>
      <c r="D174" s="486" t="n">
        <v>3</v>
      </c>
      <c r="E174" s="486" t="n">
        <v>2</v>
      </c>
      <c r="F174" s="486" t="n">
        <v>2</v>
      </c>
      <c r="G174" s="486" t="inlineStr">
        <is>
          <t>North-Right2</t>
        </is>
      </c>
      <c r="H174" s="486" t="n">
        <v>0</v>
      </c>
      <c r="I174" s="486" t="n">
        <v>0</v>
      </c>
      <c r="J174" s="486" t="n">
        <v>0</v>
      </c>
      <c r="K174" s="486" t="n">
        <v>0</v>
      </c>
      <c r="L174" s="486" t="n">
        <v>0</v>
      </c>
      <c r="M174" s="487" t="inlineStr">
        <is>
          <t>T</t>
        </is>
      </c>
    </row>
    <row r="175">
      <c r="A175" s="486" t="n">
        <v>3</v>
      </c>
      <c r="B175" s="486" t="n">
        <v>2</v>
      </c>
      <c r="C175" s="486" t="n">
        <v>2</v>
      </c>
      <c r="D175" s="486" t="n">
        <v>3</v>
      </c>
      <c r="E175" s="486" t="n">
        <v>2</v>
      </c>
      <c r="F175" s="486" t="n">
        <v>2</v>
      </c>
      <c r="G175" s="486" t="inlineStr">
        <is>
          <t>South-Left2</t>
        </is>
      </c>
      <c r="H175" s="486" t="n">
        <v>0</v>
      </c>
      <c r="I175" s="486" t="n">
        <v>0</v>
      </c>
      <c r="J175" s="486" t="n">
        <v>0</v>
      </c>
      <c r="K175" s="486" t="n">
        <v>0</v>
      </c>
      <c r="L175" s="486" t="n">
        <v>0</v>
      </c>
      <c r="M175" s="487" t="inlineStr">
        <is>
          <t>T</t>
        </is>
      </c>
    </row>
    <row r="176">
      <c r="A176" s="486" t="n">
        <v>3</v>
      </c>
      <c r="B176" s="486" t="n">
        <v>2</v>
      </c>
      <c r="C176" s="486" t="n">
        <v>2</v>
      </c>
      <c r="D176" s="486" t="n">
        <v>3</v>
      </c>
      <c r="E176" s="486" t="n">
        <v>2</v>
      </c>
      <c r="F176" s="486" t="n">
        <v>2</v>
      </c>
      <c r="G176" s="475" t="inlineStr">
        <is>
          <t>South-Left1</t>
        </is>
      </c>
      <c r="H176" s="486" t="n">
        <v>2682.46</v>
      </c>
      <c r="I176" s="486" t="n">
        <v>89</v>
      </c>
      <c r="J176" s="486" t="n">
        <v>48</v>
      </c>
      <c r="K176" s="486" t="n">
        <v>31</v>
      </c>
      <c r="L176" s="486" t="n">
        <v>4</v>
      </c>
      <c r="M176" s="487" t="inlineStr">
        <is>
          <t>T</t>
        </is>
      </c>
    </row>
    <row r="177">
      <c r="A177" s="486" t="n">
        <v>3</v>
      </c>
      <c r="B177" s="486" t="n">
        <v>2</v>
      </c>
      <c r="C177" s="486" t="n">
        <v>2</v>
      </c>
      <c r="D177" s="486" t="n">
        <v>3</v>
      </c>
      <c r="E177" s="486" t="n">
        <v>2</v>
      </c>
      <c r="F177" s="486" t="n">
        <v>2</v>
      </c>
      <c r="G177" s="486" t="inlineStr">
        <is>
          <t>South-Right1</t>
        </is>
      </c>
      <c r="H177" s="486" t="n">
        <v>2659.27</v>
      </c>
      <c r="I177" s="486" t="n">
        <v>89</v>
      </c>
      <c r="J177" s="486" t="n">
        <v>21</v>
      </c>
      <c r="K177" s="486" t="n">
        <v>57</v>
      </c>
      <c r="L177" s="486" t="n">
        <v>4</v>
      </c>
      <c r="M177" s="487" t="inlineStr">
        <is>
          <t>T</t>
        </is>
      </c>
    </row>
    <row r="178">
      <c r="A178" s="486" t="n">
        <v>3</v>
      </c>
      <c r="B178" s="486" t="n">
        <v>2</v>
      </c>
      <c r="C178" s="486" t="n">
        <v>2</v>
      </c>
      <c r="D178" s="486" t="n">
        <v>3</v>
      </c>
      <c r="E178" s="486" t="n">
        <v>2</v>
      </c>
      <c r="F178" s="486" t="n">
        <v>2</v>
      </c>
      <c r="G178" s="486" t="inlineStr">
        <is>
          <t>South-Right2</t>
        </is>
      </c>
      <c r="H178" s="486" t="n">
        <v>0</v>
      </c>
      <c r="I178" s="486" t="n">
        <v>0</v>
      </c>
      <c r="J178" s="486" t="n">
        <v>0</v>
      </c>
      <c r="K178" s="486" t="n">
        <v>0</v>
      </c>
      <c r="L178" s="486" t="n">
        <v>0</v>
      </c>
      <c r="M178" s="487" t="inlineStr">
        <is>
          <t>T</t>
        </is>
      </c>
    </row>
    <row r="179">
      <c r="A179" s="486" t="n">
        <v>4</v>
      </c>
      <c r="B179" s="486" t="n">
        <v>8</v>
      </c>
      <c r="C179" s="486" t="n">
        <v>2</v>
      </c>
      <c r="D179" s="486" t="n">
        <v>20</v>
      </c>
      <c r="E179" s="486" t="n">
        <v>1</v>
      </c>
      <c r="F179" s="486" t="n">
        <v>1</v>
      </c>
      <c r="G179" s="486" t="inlineStr">
        <is>
          <t>West-Up2</t>
        </is>
      </c>
      <c r="H179" s="486" t="n">
        <v>0</v>
      </c>
      <c r="I179" s="486" t="n">
        <v>0</v>
      </c>
      <c r="J179" s="486" t="n">
        <v>0</v>
      </c>
      <c r="K179" s="486" t="n">
        <v>0</v>
      </c>
      <c r="L179" s="486" t="n">
        <v>0</v>
      </c>
      <c r="M179" s="487" t="inlineStr">
        <is>
          <t>T</t>
        </is>
      </c>
    </row>
    <row r="180">
      <c r="A180" s="486" t="n">
        <v>4</v>
      </c>
      <c r="B180" s="486" t="n">
        <v>8</v>
      </c>
      <c r="C180" s="486" t="n">
        <v>2</v>
      </c>
      <c r="D180" s="486" t="n">
        <v>20</v>
      </c>
      <c r="E180" s="486" t="n">
        <v>1</v>
      </c>
      <c r="F180" s="486" t="n">
        <v>1</v>
      </c>
      <c r="G180" s="475" t="inlineStr">
        <is>
          <t>West-Up1</t>
        </is>
      </c>
      <c r="H180" s="486" t="n">
        <v>2625.9</v>
      </c>
      <c r="I180" s="486" t="n">
        <v>0</v>
      </c>
      <c r="J180" s="486" t="n">
        <v>13</v>
      </c>
      <c r="K180" s="486" t="n">
        <v>36</v>
      </c>
      <c r="L180" s="486" t="n">
        <v>4</v>
      </c>
      <c r="M180" s="487" t="inlineStr">
        <is>
          <t>T</t>
        </is>
      </c>
    </row>
    <row r="181">
      <c r="A181" s="486" t="n">
        <v>4</v>
      </c>
      <c r="B181" s="486" t="n">
        <v>8</v>
      </c>
      <c r="C181" s="486" t="n">
        <v>2</v>
      </c>
      <c r="D181" s="486" t="n">
        <v>20</v>
      </c>
      <c r="E181" s="486" t="n">
        <v>1</v>
      </c>
      <c r="F181" s="486" t="n">
        <v>1</v>
      </c>
      <c r="G181" s="486" t="inlineStr">
        <is>
          <t>West-Down1</t>
        </is>
      </c>
      <c r="H181" s="486" t="n">
        <v>1323.13</v>
      </c>
      <c r="I181" s="486" t="n">
        <v>1</v>
      </c>
      <c r="J181" s="486" t="n">
        <v>12</v>
      </c>
      <c r="K181" s="486" t="n">
        <v>49</v>
      </c>
      <c r="L181" s="486" t="n">
        <v>4</v>
      </c>
      <c r="M181" s="487" t="inlineStr">
        <is>
          <t>T</t>
        </is>
      </c>
    </row>
    <row r="182">
      <c r="A182" s="486" t="n">
        <v>4</v>
      </c>
      <c r="B182" s="486" t="n">
        <v>8</v>
      </c>
      <c r="C182" s="486" t="n">
        <v>2</v>
      </c>
      <c r="D182" s="486" t="n">
        <v>20</v>
      </c>
      <c r="E182" s="486" t="n">
        <v>1</v>
      </c>
      <c r="F182" s="486" t="n">
        <v>1</v>
      </c>
      <c r="G182" s="486" t="inlineStr">
        <is>
          <t>West-Down2</t>
        </is>
      </c>
      <c r="H182" s="486" t="n">
        <v>1321.35</v>
      </c>
      <c r="I182" s="486" t="n">
        <v>1</v>
      </c>
      <c r="J182" s="486" t="n">
        <v>12</v>
      </c>
      <c r="K182" s="486" t="n">
        <v>4</v>
      </c>
      <c r="L182" s="486" t="n">
        <v>4</v>
      </c>
      <c r="M182" s="487" t="inlineStr">
        <is>
          <t>T</t>
        </is>
      </c>
    </row>
    <row r="183">
      <c r="A183" s="486" t="n">
        <v>4</v>
      </c>
      <c r="B183" s="486" t="n">
        <v>8</v>
      </c>
      <c r="C183" s="486" t="n">
        <v>2</v>
      </c>
      <c r="D183" s="486" t="n">
        <v>20</v>
      </c>
      <c r="E183" s="486" t="n">
        <v>1</v>
      </c>
      <c r="F183" s="486" t="n">
        <v>1</v>
      </c>
      <c r="G183" s="486" t="inlineStr">
        <is>
          <t>East-Up2</t>
        </is>
      </c>
      <c r="H183" s="486" t="n">
        <v>0</v>
      </c>
      <c r="I183" s="486" t="n">
        <v>0</v>
      </c>
      <c r="J183" s="486" t="n">
        <v>0</v>
      </c>
      <c r="K183" s="486" t="n">
        <v>0</v>
      </c>
      <c r="L183" s="486" t="n">
        <v>0</v>
      </c>
      <c r="M183" s="487" t="inlineStr">
        <is>
          <t>T</t>
        </is>
      </c>
    </row>
    <row r="184">
      <c r="A184" s="486" t="n">
        <v>4</v>
      </c>
      <c r="B184" s="486" t="n">
        <v>8</v>
      </c>
      <c r="C184" s="486" t="n">
        <v>2</v>
      </c>
      <c r="D184" s="486" t="n">
        <v>20</v>
      </c>
      <c r="E184" s="486" t="n">
        <v>1</v>
      </c>
      <c r="F184" s="486" t="n">
        <v>1</v>
      </c>
      <c r="G184" s="475" t="inlineStr">
        <is>
          <t>East-Up1</t>
        </is>
      </c>
      <c r="H184" s="486" t="n">
        <v>2631.84</v>
      </c>
      <c r="I184" s="486" t="n">
        <v>0</v>
      </c>
      <c r="J184" s="486" t="n">
        <v>54</v>
      </c>
      <c r="K184" s="486" t="n">
        <v>5</v>
      </c>
      <c r="L184" s="486" t="n">
        <v>4</v>
      </c>
      <c r="M184" s="487" t="inlineStr">
        <is>
          <t>T</t>
        </is>
      </c>
    </row>
    <row r="185">
      <c r="A185" s="486" t="n">
        <v>4</v>
      </c>
      <c r="B185" s="486" t="n">
        <v>8</v>
      </c>
      <c r="C185" s="486" t="n">
        <v>2</v>
      </c>
      <c r="D185" s="486" t="n">
        <v>20</v>
      </c>
      <c r="E185" s="486" t="n">
        <v>1</v>
      </c>
      <c r="F185" s="486" t="n">
        <v>1</v>
      </c>
      <c r="G185" s="486" t="inlineStr">
        <is>
          <t>East-Down1</t>
        </is>
      </c>
      <c r="H185" s="486" t="n">
        <v>1318.85</v>
      </c>
      <c r="I185" s="486" t="n">
        <v>1</v>
      </c>
      <c r="J185" s="486" t="n">
        <v>13</v>
      </c>
      <c r="K185" s="486" t="n">
        <v>1</v>
      </c>
      <c r="L185" s="486" t="n">
        <v>4</v>
      </c>
      <c r="M185" s="487" t="inlineStr">
        <is>
          <t>T</t>
        </is>
      </c>
    </row>
    <row r="186">
      <c r="A186" s="486" t="n">
        <v>4</v>
      </c>
      <c r="B186" s="486" t="n">
        <v>8</v>
      </c>
      <c r="C186" s="486" t="n">
        <v>2</v>
      </c>
      <c r="D186" s="486" t="n">
        <v>20</v>
      </c>
      <c r="E186" s="486" t="n">
        <v>1</v>
      </c>
      <c r="F186" s="486" t="n">
        <v>1</v>
      </c>
      <c r="G186" s="486" t="inlineStr">
        <is>
          <t>East-Down2</t>
        </is>
      </c>
      <c r="H186" s="486" t="n">
        <v>1318.85</v>
      </c>
      <c r="I186" s="486" t="n">
        <v>1</v>
      </c>
      <c r="J186" s="486" t="n">
        <v>10</v>
      </c>
      <c r="K186" s="486" t="n">
        <v>1</v>
      </c>
      <c r="L186" s="486" t="n">
        <v>4</v>
      </c>
      <c r="M186" s="487" t="inlineStr">
        <is>
          <t>T</t>
        </is>
      </c>
    </row>
    <row r="187">
      <c r="A187" s="486" t="n">
        <v>4</v>
      </c>
      <c r="B187" s="486" t="n">
        <v>8</v>
      </c>
      <c r="C187" s="486" t="n">
        <v>2</v>
      </c>
      <c r="D187" s="486" t="n">
        <v>20</v>
      </c>
      <c r="E187" s="486" t="n">
        <v>1</v>
      </c>
      <c r="F187" s="486" t="n">
        <v>1</v>
      </c>
      <c r="G187" s="486" t="inlineStr">
        <is>
          <t>North-Left2</t>
        </is>
      </c>
      <c r="H187" s="486" t="n">
        <v>1323.49</v>
      </c>
      <c r="I187" s="486" t="n">
        <v>88</v>
      </c>
      <c r="J187" s="486" t="n">
        <v>54</v>
      </c>
      <c r="K187" s="486" t="n">
        <v>54</v>
      </c>
      <c r="L187" s="486" t="n">
        <v>3</v>
      </c>
      <c r="M187" s="487" t="inlineStr">
        <is>
          <t>T</t>
        </is>
      </c>
    </row>
    <row r="188">
      <c r="A188" s="486" t="n">
        <v>4</v>
      </c>
      <c r="B188" s="486" t="n">
        <v>8</v>
      </c>
      <c r="C188" s="486" t="n">
        <v>2</v>
      </c>
      <c r="D188" s="486" t="n">
        <v>20</v>
      </c>
      <c r="E188" s="486" t="n">
        <v>1</v>
      </c>
      <c r="F188" s="486" t="n">
        <v>1</v>
      </c>
      <c r="G188" s="475" t="inlineStr">
        <is>
          <t>North-Left1</t>
        </is>
      </c>
      <c r="H188" s="486" t="n">
        <v>2614.2</v>
      </c>
      <c r="I188" s="486" t="n">
        <v>88</v>
      </c>
      <c r="J188" s="486" t="n">
        <v>18</v>
      </c>
      <c r="K188" s="486" t="n">
        <v>55</v>
      </c>
      <c r="L188" s="486" t="n">
        <v>3</v>
      </c>
      <c r="M188" s="487" t="inlineStr">
        <is>
          <t>T</t>
        </is>
      </c>
    </row>
    <row r="189">
      <c r="A189" s="486" t="n">
        <v>4</v>
      </c>
      <c r="B189" s="486" t="n">
        <v>8</v>
      </c>
      <c r="C189" s="486" t="n">
        <v>2</v>
      </c>
      <c r="D189" s="486" t="n">
        <v>20</v>
      </c>
      <c r="E189" s="486" t="n">
        <v>1</v>
      </c>
      <c r="F189" s="486" t="n">
        <v>1</v>
      </c>
      <c r="G189" s="486" t="inlineStr">
        <is>
          <t>North-Right1</t>
        </is>
      </c>
      <c r="H189" s="486" t="n">
        <v>1352.83</v>
      </c>
      <c r="I189" s="486" t="n">
        <v>89</v>
      </c>
      <c r="J189" s="486" t="n">
        <v>52</v>
      </c>
      <c r="K189" s="486" t="n">
        <v>44</v>
      </c>
      <c r="L189" s="486" t="n">
        <v>4</v>
      </c>
      <c r="M189" s="487" t="inlineStr">
        <is>
          <t>T</t>
        </is>
      </c>
    </row>
    <row r="190">
      <c r="A190" s="486" t="n">
        <v>4</v>
      </c>
      <c r="B190" s="486" t="n">
        <v>8</v>
      </c>
      <c r="C190" s="486" t="n">
        <v>2</v>
      </c>
      <c r="D190" s="486" t="n">
        <v>20</v>
      </c>
      <c r="E190" s="486" t="n">
        <v>1</v>
      </c>
      <c r="F190" s="486" t="n">
        <v>1</v>
      </c>
      <c r="G190" s="486" t="inlineStr">
        <is>
          <t>North-Right2</t>
        </is>
      </c>
      <c r="H190" s="486" t="n">
        <v>0</v>
      </c>
      <c r="I190" s="486" t="n">
        <v>0</v>
      </c>
      <c r="J190" s="486" t="n">
        <v>0</v>
      </c>
      <c r="K190" s="486" t="n">
        <v>0</v>
      </c>
      <c r="L190" s="486" t="n">
        <v>0</v>
      </c>
      <c r="M190" s="487" t="inlineStr">
        <is>
          <t>T</t>
        </is>
      </c>
    </row>
    <row r="191">
      <c r="A191" s="486" t="n">
        <v>4</v>
      </c>
      <c r="B191" s="486" t="n">
        <v>8</v>
      </c>
      <c r="C191" s="486" t="n">
        <v>2</v>
      </c>
      <c r="D191" s="486" t="n">
        <v>20</v>
      </c>
      <c r="E191" s="486" t="n">
        <v>1</v>
      </c>
      <c r="F191" s="486" t="n">
        <v>1</v>
      </c>
      <c r="G191" s="486" t="inlineStr">
        <is>
          <t>South-Left2</t>
        </is>
      </c>
      <c r="H191" s="486" t="n">
        <v>0</v>
      </c>
      <c r="I191" s="486" t="n">
        <v>0</v>
      </c>
      <c r="J191" s="486" t="n">
        <v>0</v>
      </c>
      <c r="K191" s="486" t="n">
        <v>0</v>
      </c>
      <c r="L191" s="486" t="n">
        <v>0</v>
      </c>
      <c r="M191" s="487" t="inlineStr">
        <is>
          <t>T</t>
        </is>
      </c>
    </row>
    <row r="192">
      <c r="A192" s="486" t="n">
        <v>4</v>
      </c>
      <c r="B192" s="486" t="n">
        <v>8</v>
      </c>
      <c r="C192" s="486" t="n">
        <v>2</v>
      </c>
      <c r="D192" s="486" t="n">
        <v>20</v>
      </c>
      <c r="E192" s="486" t="n">
        <v>1</v>
      </c>
      <c r="F192" s="486" t="n">
        <v>1</v>
      </c>
      <c r="G192" s="475" t="inlineStr">
        <is>
          <t>South-Left1</t>
        </is>
      </c>
      <c r="H192" s="486" t="n">
        <v>5279.27</v>
      </c>
      <c r="I192" s="486" t="n">
        <v>89</v>
      </c>
      <c r="J192" s="486" t="n">
        <v>29</v>
      </c>
      <c r="K192" s="486" t="n">
        <v>4</v>
      </c>
      <c r="L192" s="486" t="n">
        <v>3</v>
      </c>
      <c r="M192" s="487" t="inlineStr">
        <is>
          <t>T</t>
        </is>
      </c>
      <c r="P192" s="511" t="inlineStr">
        <is>
          <t xml:space="preserve"> </t>
        </is>
      </c>
    </row>
    <row r="193">
      <c r="A193" s="486" t="n">
        <v>4</v>
      </c>
      <c r="B193" s="486" t="n">
        <v>8</v>
      </c>
      <c r="C193" s="486" t="n">
        <v>2</v>
      </c>
      <c r="D193" s="486" t="n">
        <v>20</v>
      </c>
      <c r="E193" s="486" t="n">
        <v>1</v>
      </c>
      <c r="F193" s="486" t="n">
        <v>1</v>
      </c>
      <c r="G193" s="486" t="inlineStr">
        <is>
          <t>South-Right1</t>
        </is>
      </c>
      <c r="H193" s="486" t="n">
        <v>0</v>
      </c>
      <c r="I193" s="486" t="n">
        <v>0</v>
      </c>
      <c r="J193" s="486" t="n">
        <v>0</v>
      </c>
      <c r="K193" s="486" t="n">
        <v>0</v>
      </c>
      <c r="L193" s="486" t="n">
        <v>0</v>
      </c>
      <c r="M193" s="487" t="inlineStr">
        <is>
          <t>T</t>
        </is>
      </c>
    </row>
    <row r="194">
      <c r="A194" s="486" t="n">
        <v>4</v>
      </c>
      <c r="B194" s="486" t="n">
        <v>8</v>
      </c>
      <c r="C194" s="486" t="n">
        <v>2</v>
      </c>
      <c r="D194" s="486" t="n">
        <v>20</v>
      </c>
      <c r="E194" s="486" t="n">
        <v>1</v>
      </c>
      <c r="F194" s="486" t="n">
        <v>1</v>
      </c>
      <c r="G194" s="486" t="inlineStr">
        <is>
          <t>South-Right2</t>
        </is>
      </c>
      <c r="H194" s="486" t="n">
        <v>0</v>
      </c>
      <c r="I194" s="486" t="n">
        <v>0</v>
      </c>
      <c r="J194" s="486" t="n">
        <v>0</v>
      </c>
      <c r="K194" s="486" t="n">
        <v>0</v>
      </c>
      <c r="L194" s="486" t="n">
        <v>0</v>
      </c>
      <c r="M194" s="487" t="inlineStr">
        <is>
          <t>T</t>
        </is>
      </c>
    </row>
    <row r="195">
      <c r="A195" s="485" t="n">
        <v>4</v>
      </c>
      <c r="B195" s="485" t="n">
        <v>2</v>
      </c>
      <c r="C195" s="485" t="n">
        <v>2</v>
      </c>
      <c r="D195" s="485" t="n">
        <v>2</v>
      </c>
      <c r="E195" s="485" t="n">
        <v>2</v>
      </c>
      <c r="F195" s="485" t="n">
        <v>2</v>
      </c>
      <c r="G195" s="485" t="inlineStr">
        <is>
          <t>West-Up2</t>
        </is>
      </c>
      <c r="H195" s="485" t="n">
        <v>0</v>
      </c>
      <c r="I195" s="485" t="n">
        <v>0</v>
      </c>
      <c r="J195" s="485" t="n">
        <v>0</v>
      </c>
      <c r="K195" s="485" t="n">
        <v>0</v>
      </c>
      <c r="L195" s="485" t="n">
        <v>0</v>
      </c>
      <c r="M195" s="514" t="inlineStr">
        <is>
          <t>T</t>
        </is>
      </c>
    </row>
    <row r="196">
      <c r="A196" s="485" t="n">
        <v>4</v>
      </c>
      <c r="B196" s="485" t="n">
        <v>2</v>
      </c>
      <c r="C196" s="485" t="n">
        <v>2</v>
      </c>
      <c r="D196" s="485" t="n">
        <v>2</v>
      </c>
      <c r="E196" s="485" t="n">
        <v>2</v>
      </c>
      <c r="F196" s="485" t="n">
        <v>2</v>
      </c>
      <c r="G196" s="516" t="inlineStr">
        <is>
          <t>West-Up1</t>
        </is>
      </c>
      <c r="H196" s="485" t="n">
        <v>2643.16</v>
      </c>
      <c r="I196" s="485" t="n">
        <v>0</v>
      </c>
      <c r="J196" s="485" t="n">
        <v>20</v>
      </c>
      <c r="K196" s="485" t="n">
        <v>27</v>
      </c>
      <c r="L196" s="485" t="n">
        <v>4</v>
      </c>
      <c r="M196" s="514" t="inlineStr">
        <is>
          <t>T</t>
        </is>
      </c>
    </row>
    <row r="197">
      <c r="A197" s="485" t="n">
        <v>4</v>
      </c>
      <c r="B197" s="485" t="n">
        <v>2</v>
      </c>
      <c r="C197" s="485" t="n">
        <v>2</v>
      </c>
      <c r="D197" s="485" t="n">
        <v>2</v>
      </c>
      <c r="E197" s="485" t="n">
        <v>2</v>
      </c>
      <c r="F197" s="485" t="n">
        <v>2</v>
      </c>
      <c r="G197" s="485" t="inlineStr">
        <is>
          <t>West-Down1</t>
        </is>
      </c>
      <c r="H197" s="485" t="n">
        <v>2651.48</v>
      </c>
      <c r="I197" s="485" t="n">
        <v>0</v>
      </c>
      <c r="J197" s="485" t="n">
        <v>15</v>
      </c>
      <c r="K197" s="485" t="n">
        <v>50</v>
      </c>
      <c r="L197" s="485" t="n">
        <v>4</v>
      </c>
      <c r="M197" s="514" t="inlineStr">
        <is>
          <t>T</t>
        </is>
      </c>
    </row>
    <row r="198">
      <c r="A198" s="485" t="n">
        <v>4</v>
      </c>
      <c r="B198" s="485" t="n">
        <v>2</v>
      </c>
      <c r="C198" s="485" t="n">
        <v>2</v>
      </c>
      <c r="D198" s="485" t="n">
        <v>2</v>
      </c>
      <c r="E198" s="485" t="n">
        <v>2</v>
      </c>
      <c r="F198" s="485" t="n">
        <v>2</v>
      </c>
      <c r="G198" s="485" t="inlineStr">
        <is>
          <t>West-Down2</t>
        </is>
      </c>
      <c r="H198" s="485" t="n">
        <v>0</v>
      </c>
      <c r="I198" s="485" t="n">
        <v>0</v>
      </c>
      <c r="J198" s="485" t="n">
        <v>0</v>
      </c>
      <c r="K198" s="485" t="n">
        <v>0</v>
      </c>
      <c r="L198" s="485" t="n">
        <v>0</v>
      </c>
      <c r="M198" s="514" t="inlineStr">
        <is>
          <t>T</t>
        </is>
      </c>
    </row>
    <row r="199">
      <c r="A199" s="485" t="n">
        <v>4</v>
      </c>
      <c r="B199" s="485" t="n">
        <v>2</v>
      </c>
      <c r="C199" s="485" t="n">
        <v>2</v>
      </c>
      <c r="D199" s="485" t="n">
        <v>2</v>
      </c>
      <c r="E199" s="485" t="n">
        <v>2</v>
      </c>
      <c r="F199" s="485" t="n">
        <v>2</v>
      </c>
      <c r="G199" s="485" t="inlineStr">
        <is>
          <t>East-Up2</t>
        </is>
      </c>
      <c r="H199" s="485" t="n">
        <v>0</v>
      </c>
      <c r="I199" s="485" t="n">
        <v>0</v>
      </c>
      <c r="J199" s="485" t="n">
        <v>0</v>
      </c>
      <c r="K199" s="485" t="n">
        <v>0</v>
      </c>
      <c r="L199" s="485" t="n">
        <v>0</v>
      </c>
      <c r="M199" s="514" t="inlineStr">
        <is>
          <t>T</t>
        </is>
      </c>
    </row>
    <row r="200">
      <c r="A200" s="485" t="n">
        <v>4</v>
      </c>
      <c r="B200" s="485" t="n">
        <v>2</v>
      </c>
      <c r="C200" s="485" t="n">
        <v>2</v>
      </c>
      <c r="D200" s="485" t="n">
        <v>2</v>
      </c>
      <c r="E200" s="485" t="n">
        <v>2</v>
      </c>
      <c r="F200" s="485" t="n">
        <v>2</v>
      </c>
      <c r="G200" s="516" t="inlineStr">
        <is>
          <t>East-Up1</t>
        </is>
      </c>
      <c r="H200" s="485" t="n">
        <v>2651.07</v>
      </c>
      <c r="I200" s="485" t="n">
        <v>0</v>
      </c>
      <c r="J200" s="485" t="n">
        <v>24</v>
      </c>
      <c r="K200" s="485" t="n">
        <v>51</v>
      </c>
      <c r="L200" s="485" t="n">
        <v>2</v>
      </c>
      <c r="M200" s="514" t="inlineStr">
        <is>
          <t>T</t>
        </is>
      </c>
    </row>
    <row r="201">
      <c r="A201" s="485" t="n">
        <v>4</v>
      </c>
      <c r="B201" s="485" t="n">
        <v>2</v>
      </c>
      <c r="C201" s="485" t="n">
        <v>2</v>
      </c>
      <c r="D201" s="485" t="n">
        <v>2</v>
      </c>
      <c r="E201" s="485" t="n">
        <v>2</v>
      </c>
      <c r="F201" s="485" t="n">
        <v>2</v>
      </c>
      <c r="G201" s="485" t="inlineStr">
        <is>
          <t>East-Down1</t>
        </is>
      </c>
      <c r="H201" s="485" t="n">
        <v>2588.5</v>
      </c>
      <c r="I201" s="485" t="n">
        <v>0</v>
      </c>
      <c r="J201" s="485" t="n">
        <v>7</v>
      </c>
      <c r="K201" s="485" t="n">
        <v>25</v>
      </c>
      <c r="L201" s="485" t="n">
        <v>4</v>
      </c>
      <c r="M201" s="514" t="inlineStr">
        <is>
          <t>T</t>
        </is>
      </c>
    </row>
    <row r="202">
      <c r="A202" s="485" t="n">
        <v>4</v>
      </c>
      <c r="B202" s="485" t="n">
        <v>2</v>
      </c>
      <c r="C202" s="485" t="n">
        <v>2</v>
      </c>
      <c r="D202" s="485" t="n">
        <v>2</v>
      </c>
      <c r="E202" s="485" t="n">
        <v>2</v>
      </c>
      <c r="F202" s="485" t="n">
        <v>2</v>
      </c>
      <c r="G202" s="485" t="inlineStr">
        <is>
          <t>East-Down2</t>
        </is>
      </c>
      <c r="H202" s="485" t="n">
        <v>0</v>
      </c>
      <c r="I202" s="485" t="n">
        <v>0</v>
      </c>
      <c r="J202" s="485" t="n">
        <v>0</v>
      </c>
      <c r="K202" s="485" t="n">
        <v>0</v>
      </c>
      <c r="L202" s="485" t="n">
        <v>0</v>
      </c>
      <c r="M202" s="514" t="inlineStr">
        <is>
          <t>T</t>
        </is>
      </c>
    </row>
    <row r="203">
      <c r="A203" s="485" t="n">
        <v>4</v>
      </c>
      <c r="B203" s="485" t="n">
        <v>2</v>
      </c>
      <c r="C203" s="485" t="n">
        <v>2</v>
      </c>
      <c r="D203" s="485" t="n">
        <v>2</v>
      </c>
      <c r="E203" s="485" t="n">
        <v>2</v>
      </c>
      <c r="F203" s="485" t="n">
        <v>2</v>
      </c>
      <c r="G203" s="485" t="inlineStr">
        <is>
          <t>North-Left2</t>
        </is>
      </c>
      <c r="H203" s="485" t="n">
        <v>0</v>
      </c>
      <c r="I203" s="485" t="n">
        <v>0</v>
      </c>
      <c r="J203" s="485" t="n">
        <v>0</v>
      </c>
      <c r="K203" s="485" t="n">
        <v>0</v>
      </c>
      <c r="L203" s="485" t="n">
        <v>0</v>
      </c>
      <c r="M203" s="514" t="inlineStr">
        <is>
          <t>T</t>
        </is>
      </c>
    </row>
    <row r="204">
      <c r="A204" s="485" t="n">
        <v>4</v>
      </c>
      <c r="B204" s="485" t="n">
        <v>2</v>
      </c>
      <c r="C204" s="485" t="n">
        <v>2</v>
      </c>
      <c r="D204" s="485" t="n">
        <v>2</v>
      </c>
      <c r="E204" s="485" t="n">
        <v>2</v>
      </c>
      <c r="F204" s="485" t="n">
        <v>2</v>
      </c>
      <c r="G204" s="516" t="inlineStr">
        <is>
          <t>North-Left1</t>
        </is>
      </c>
      <c r="H204" s="485" t="n">
        <v>2641.77</v>
      </c>
      <c r="I204" s="485" t="n">
        <v>89</v>
      </c>
      <c r="J204" s="485" t="n">
        <v>57</v>
      </c>
      <c r="K204" s="485" t="n">
        <v>30</v>
      </c>
      <c r="L204" s="485" t="n">
        <v>3</v>
      </c>
      <c r="M204" s="514" t="inlineStr">
        <is>
          <t>T</t>
        </is>
      </c>
    </row>
    <row r="205">
      <c r="A205" s="485" t="n">
        <v>4</v>
      </c>
      <c r="B205" s="485" t="n">
        <v>2</v>
      </c>
      <c r="C205" s="485" t="n">
        <v>2</v>
      </c>
      <c r="D205" s="485" t="n">
        <v>2</v>
      </c>
      <c r="E205" s="485" t="n">
        <v>2</v>
      </c>
      <c r="F205" s="485" t="n">
        <v>2</v>
      </c>
      <c r="G205" s="485" t="inlineStr">
        <is>
          <t>North-Right1</t>
        </is>
      </c>
      <c r="H205" s="485" t="n">
        <v>2641.96</v>
      </c>
      <c r="I205" s="485" t="n">
        <v>89</v>
      </c>
      <c r="J205" s="485" t="n">
        <v>58</v>
      </c>
      <c r="K205" s="485" t="n">
        <v>47</v>
      </c>
      <c r="L205" s="485" t="n">
        <v>3</v>
      </c>
      <c r="M205" s="514" t="inlineStr">
        <is>
          <t>T</t>
        </is>
      </c>
    </row>
    <row r="206">
      <c r="A206" s="485" t="n">
        <v>4</v>
      </c>
      <c r="B206" s="485" t="n">
        <v>2</v>
      </c>
      <c r="C206" s="485" t="n">
        <v>2</v>
      </c>
      <c r="D206" s="485" t="n">
        <v>2</v>
      </c>
      <c r="E206" s="485" t="n">
        <v>2</v>
      </c>
      <c r="F206" s="485" t="n">
        <v>2</v>
      </c>
      <c r="G206" s="485" t="inlineStr">
        <is>
          <t>North-Right2</t>
        </is>
      </c>
      <c r="H206" s="485" t="n">
        <v>0</v>
      </c>
      <c r="I206" s="485" t="n">
        <v>0</v>
      </c>
      <c r="J206" s="485" t="n">
        <v>0</v>
      </c>
      <c r="K206" s="485" t="n">
        <v>0</v>
      </c>
      <c r="L206" s="485" t="n">
        <v>0</v>
      </c>
      <c r="M206" s="514" t="inlineStr">
        <is>
          <t>T</t>
        </is>
      </c>
    </row>
    <row r="207">
      <c r="A207" s="485" t="n">
        <v>4</v>
      </c>
      <c r="B207" s="485" t="n">
        <v>2</v>
      </c>
      <c r="C207" s="485" t="n">
        <v>2</v>
      </c>
      <c r="D207" s="485" t="n">
        <v>2</v>
      </c>
      <c r="E207" s="485" t="n">
        <v>2</v>
      </c>
      <c r="F207" s="485" t="n">
        <v>2</v>
      </c>
      <c r="G207" s="485" t="inlineStr">
        <is>
          <t>South-Left2</t>
        </is>
      </c>
      <c r="H207" s="485" t="n">
        <v>0</v>
      </c>
      <c r="I207" s="485" t="n">
        <v>0</v>
      </c>
      <c r="J207" s="485" t="n">
        <v>0</v>
      </c>
      <c r="K207" s="485" t="n">
        <v>0</v>
      </c>
      <c r="L207" s="485" t="n">
        <v>0</v>
      </c>
      <c r="M207" s="514" t="inlineStr">
        <is>
          <t>T</t>
        </is>
      </c>
    </row>
    <row r="208">
      <c r="A208" s="485" t="n">
        <v>4</v>
      </c>
      <c r="B208" s="485" t="n">
        <v>2</v>
      </c>
      <c r="C208" s="485" t="n">
        <v>2</v>
      </c>
      <c r="D208" s="485" t="n">
        <v>2</v>
      </c>
      <c r="E208" s="485" t="n">
        <v>2</v>
      </c>
      <c r="F208" s="485" t="n">
        <v>2</v>
      </c>
      <c r="G208" s="516" t="inlineStr">
        <is>
          <t>South-Left1</t>
        </is>
      </c>
      <c r="H208" s="485" t="n">
        <v>2637.03</v>
      </c>
      <c r="I208" s="485" t="n">
        <v>89</v>
      </c>
      <c r="J208" s="485" t="n">
        <v>22</v>
      </c>
      <c r="K208" s="485" t="n">
        <v>18</v>
      </c>
      <c r="L208" s="485" t="n">
        <v>3</v>
      </c>
      <c r="M208" s="514" t="inlineStr">
        <is>
          <t>T</t>
        </is>
      </c>
    </row>
    <row r="209">
      <c r="A209" s="485" t="n">
        <v>4</v>
      </c>
      <c r="B209" s="485" t="n">
        <v>2</v>
      </c>
      <c r="C209" s="485" t="n">
        <v>2</v>
      </c>
      <c r="D209" s="485" t="n">
        <v>2</v>
      </c>
      <c r="E209" s="485" t="n">
        <v>2</v>
      </c>
      <c r="F209" s="485" t="n">
        <v>2</v>
      </c>
      <c r="G209" s="485" t="inlineStr">
        <is>
          <t>South-Right1</t>
        </is>
      </c>
      <c r="H209" s="485" t="n">
        <v>2636.95</v>
      </c>
      <c r="I209" s="485" t="n">
        <v>89</v>
      </c>
      <c r="J209" s="485" t="n">
        <v>22</v>
      </c>
      <c r="K209" s="485" t="n">
        <v>11</v>
      </c>
      <c r="L209" s="485" t="n">
        <v>3</v>
      </c>
      <c r="M209" s="514" t="inlineStr">
        <is>
          <t>T</t>
        </is>
      </c>
    </row>
    <row r="210">
      <c r="A210" s="485" t="n">
        <v>4</v>
      </c>
      <c r="B210" s="485" t="n">
        <v>2</v>
      </c>
      <c r="C210" s="485" t="n">
        <v>2</v>
      </c>
      <c r="D210" s="485" t="n">
        <v>2</v>
      </c>
      <c r="E210" s="485" t="n">
        <v>2</v>
      </c>
      <c r="F210" s="485" t="n">
        <v>2</v>
      </c>
      <c r="G210" s="485" t="inlineStr">
        <is>
          <t>South-Right2</t>
        </is>
      </c>
      <c r="H210" s="485" t="n">
        <v>0</v>
      </c>
      <c r="I210" s="485" t="n">
        <v>0</v>
      </c>
      <c r="J210" s="485" t="n">
        <v>0</v>
      </c>
      <c r="K210" s="485" t="n">
        <v>0</v>
      </c>
      <c r="L210" s="485" t="n">
        <v>0</v>
      </c>
      <c r="M210" s="514" t="inlineStr">
        <is>
          <t>T</t>
        </is>
      </c>
    </row>
    <row r="211">
      <c r="A211" s="485" t="n">
        <v>4</v>
      </c>
      <c r="B211" s="485" t="n">
        <v>2</v>
      </c>
      <c r="C211" s="485" t="n">
        <v>2</v>
      </c>
      <c r="D211" s="485" t="n">
        <v>3</v>
      </c>
      <c r="E211" s="485" t="n">
        <v>2</v>
      </c>
      <c r="F211" s="485" t="n">
        <v>2</v>
      </c>
      <c r="G211" s="485" t="inlineStr">
        <is>
          <t>West-Up2</t>
        </is>
      </c>
      <c r="H211" s="485" t="n">
        <v>0</v>
      </c>
      <c r="I211" s="485" t="n">
        <v>0</v>
      </c>
      <c r="J211" s="485" t="n">
        <v>0</v>
      </c>
      <c r="K211" s="485" t="n">
        <v>0</v>
      </c>
      <c r="L211" s="485" t="n">
        <v>0</v>
      </c>
      <c r="M211" s="514" t="inlineStr">
        <is>
          <t>T</t>
        </is>
      </c>
    </row>
    <row r="212">
      <c r="A212" s="485" t="n">
        <v>4</v>
      </c>
      <c r="B212" s="485" t="n">
        <v>2</v>
      </c>
      <c r="C212" s="485" t="n">
        <v>2</v>
      </c>
      <c r="D212" s="485" t="n">
        <v>3</v>
      </c>
      <c r="E212" s="485" t="n">
        <v>2</v>
      </c>
      <c r="F212" s="485" t="n">
        <v>2</v>
      </c>
      <c r="G212" s="516" t="inlineStr">
        <is>
          <t>West-Up1</t>
        </is>
      </c>
      <c r="H212" s="485" t="n">
        <v>5285</v>
      </c>
      <c r="I212" s="485" t="n">
        <v>0</v>
      </c>
      <c r="J212" s="485" t="n">
        <v>21</v>
      </c>
      <c r="K212" s="485" t="n">
        <v>17</v>
      </c>
      <c r="L212" s="485" t="n">
        <v>2</v>
      </c>
      <c r="M212" s="514" t="inlineStr">
        <is>
          <t>T</t>
        </is>
      </c>
    </row>
    <row r="213">
      <c r="A213" s="485" t="n">
        <v>4</v>
      </c>
      <c r="B213" s="485" t="n">
        <v>2</v>
      </c>
      <c r="C213" s="485" t="n">
        <v>2</v>
      </c>
      <c r="D213" s="485" t="n">
        <v>3</v>
      </c>
      <c r="E213" s="485" t="n">
        <v>2</v>
      </c>
      <c r="F213" s="485" t="n">
        <v>2</v>
      </c>
      <c r="G213" s="485" t="inlineStr">
        <is>
          <t>West-Down1</t>
        </is>
      </c>
      <c r="H213" s="485" t="n">
        <v>0</v>
      </c>
      <c r="I213" s="485" t="n">
        <v>0</v>
      </c>
      <c r="J213" s="485" t="n">
        <v>0</v>
      </c>
      <c r="K213" s="485" t="n">
        <v>0</v>
      </c>
      <c r="L213" s="485" t="n">
        <v>0</v>
      </c>
      <c r="M213" s="514" t="inlineStr">
        <is>
          <t>T</t>
        </is>
      </c>
    </row>
    <row r="214">
      <c r="A214" s="485" t="n">
        <v>4</v>
      </c>
      <c r="B214" s="485" t="n">
        <v>2</v>
      </c>
      <c r="C214" s="485" t="n">
        <v>2</v>
      </c>
      <c r="D214" s="485" t="n">
        <v>3</v>
      </c>
      <c r="E214" s="485" t="n">
        <v>2</v>
      </c>
      <c r="F214" s="485" t="n">
        <v>2</v>
      </c>
      <c r="G214" s="485" t="inlineStr">
        <is>
          <t>West-Down2</t>
        </is>
      </c>
      <c r="H214" s="485" t="n">
        <v>0</v>
      </c>
      <c r="I214" s="485" t="n">
        <v>0</v>
      </c>
      <c r="J214" s="485" t="n">
        <v>0</v>
      </c>
      <c r="K214" s="485" t="n">
        <v>0</v>
      </c>
      <c r="L214" s="485" t="n">
        <v>0</v>
      </c>
      <c r="M214" s="514" t="inlineStr">
        <is>
          <t>T</t>
        </is>
      </c>
    </row>
    <row r="215">
      <c r="A215" s="485" t="n">
        <v>4</v>
      </c>
      <c r="B215" s="485" t="n">
        <v>2</v>
      </c>
      <c r="C215" s="485" t="n">
        <v>2</v>
      </c>
      <c r="D215" s="485" t="n">
        <v>3</v>
      </c>
      <c r="E215" s="485" t="n">
        <v>2</v>
      </c>
      <c r="F215" s="485" t="n">
        <v>2</v>
      </c>
      <c r="G215" s="485" t="inlineStr">
        <is>
          <t>East-Up2</t>
        </is>
      </c>
      <c r="H215" s="485" t="n">
        <v>0</v>
      </c>
      <c r="I215" s="485" t="n">
        <v>0</v>
      </c>
      <c r="J215" s="485" t="n">
        <v>0</v>
      </c>
      <c r="K215" s="485" t="n">
        <v>0</v>
      </c>
      <c r="L215" s="485" t="n">
        <v>0</v>
      </c>
      <c r="M215" s="514" t="inlineStr">
        <is>
          <t>T</t>
        </is>
      </c>
    </row>
    <row r="216">
      <c r="A216" s="485" t="n">
        <v>4</v>
      </c>
      <c r="B216" s="485" t="n">
        <v>2</v>
      </c>
      <c r="C216" s="485" t="n">
        <v>2</v>
      </c>
      <c r="D216" s="485" t="n">
        <v>3</v>
      </c>
      <c r="E216" s="485" t="n">
        <v>2</v>
      </c>
      <c r="F216" s="485" t="n">
        <v>2</v>
      </c>
      <c r="G216" s="516" t="inlineStr">
        <is>
          <t>East-Up1</t>
        </is>
      </c>
      <c r="H216" s="485" t="n">
        <v>5311.3</v>
      </c>
      <c r="I216" s="485" t="n">
        <v>0</v>
      </c>
      <c r="J216" s="485" t="n">
        <v>33</v>
      </c>
      <c r="K216" s="485" t="n">
        <v>26</v>
      </c>
      <c r="L216" s="485" t="n">
        <v>2</v>
      </c>
      <c r="M216" s="514" t="inlineStr">
        <is>
          <t>T</t>
        </is>
      </c>
    </row>
    <row r="217">
      <c r="A217" s="485" t="n">
        <v>4</v>
      </c>
      <c r="B217" s="485" t="n">
        <v>2</v>
      </c>
      <c r="C217" s="485" t="n">
        <v>2</v>
      </c>
      <c r="D217" s="485" t="n">
        <v>3</v>
      </c>
      <c r="E217" s="485" t="n">
        <v>2</v>
      </c>
      <c r="F217" s="485" t="n">
        <v>2</v>
      </c>
      <c r="G217" s="485" t="inlineStr">
        <is>
          <t>East-Down1</t>
        </is>
      </c>
      <c r="H217" s="485" t="n">
        <v>0</v>
      </c>
      <c r="I217" s="485" t="n">
        <v>0</v>
      </c>
      <c r="J217" s="485" t="n">
        <v>0</v>
      </c>
      <c r="K217" s="485" t="n">
        <v>0</v>
      </c>
      <c r="L217" s="485" t="n">
        <v>0</v>
      </c>
      <c r="M217" s="514" t="inlineStr">
        <is>
          <t>T</t>
        </is>
      </c>
    </row>
    <row r="218">
      <c r="A218" s="485" t="n">
        <v>4</v>
      </c>
      <c r="B218" s="485" t="n">
        <v>2</v>
      </c>
      <c r="C218" s="485" t="n">
        <v>2</v>
      </c>
      <c r="D218" s="485" t="n">
        <v>3</v>
      </c>
      <c r="E218" s="485" t="n">
        <v>2</v>
      </c>
      <c r="F218" s="485" t="n">
        <v>2</v>
      </c>
      <c r="G218" s="485" t="inlineStr">
        <is>
          <t>East-Down2</t>
        </is>
      </c>
      <c r="H218" s="485" t="n">
        <v>0</v>
      </c>
      <c r="I218" s="485" t="n">
        <v>0</v>
      </c>
      <c r="J218" s="485" t="n">
        <v>0</v>
      </c>
      <c r="K218" s="485" t="n">
        <v>0</v>
      </c>
      <c r="L218" s="485" t="n">
        <v>0</v>
      </c>
      <c r="M218" s="514" t="inlineStr">
        <is>
          <t>T</t>
        </is>
      </c>
    </row>
    <row r="219">
      <c r="A219" s="485" t="n">
        <v>4</v>
      </c>
      <c r="B219" s="485" t="n">
        <v>2</v>
      </c>
      <c r="C219" s="485" t="n">
        <v>2</v>
      </c>
      <c r="D219" s="485" t="n">
        <v>3</v>
      </c>
      <c r="E219" s="485" t="n">
        <v>2</v>
      </c>
      <c r="F219" s="485" t="n">
        <v>2</v>
      </c>
      <c r="G219" s="485" t="inlineStr">
        <is>
          <t>North-Left2</t>
        </is>
      </c>
      <c r="H219" s="485" t="n">
        <v>1344.82</v>
      </c>
      <c r="I219" s="485" t="n">
        <v>89</v>
      </c>
      <c r="J219" s="485" t="n">
        <v>53</v>
      </c>
      <c r="K219" s="485" t="n">
        <v>39</v>
      </c>
      <c r="L219" s="485" t="n">
        <v>3</v>
      </c>
      <c r="M219" s="514" t="inlineStr">
        <is>
          <t>T</t>
        </is>
      </c>
    </row>
    <row r="220">
      <c r="A220" s="485" t="n">
        <v>4</v>
      </c>
      <c r="B220" s="485" t="n">
        <v>2</v>
      </c>
      <c r="C220" s="485" t="n">
        <v>2</v>
      </c>
      <c r="D220" s="485" t="n">
        <v>3</v>
      </c>
      <c r="E220" s="485" t="n">
        <v>2</v>
      </c>
      <c r="F220" s="485" t="n">
        <v>2</v>
      </c>
      <c r="G220" s="516" t="inlineStr">
        <is>
          <t>North-Left1</t>
        </is>
      </c>
      <c r="H220" s="485" t="n">
        <v>1318.05</v>
      </c>
      <c r="I220" s="485" t="n">
        <v>89</v>
      </c>
      <c r="J220" s="485" t="n">
        <v>59</v>
      </c>
      <c r="K220" s="485" t="n">
        <v>23</v>
      </c>
      <c r="L220" s="485" t="n">
        <v>3</v>
      </c>
      <c r="M220" s="514" t="inlineStr">
        <is>
          <t>T</t>
        </is>
      </c>
    </row>
    <row r="221">
      <c r="A221" s="485" t="n">
        <v>4</v>
      </c>
      <c r="B221" s="485" t="n">
        <v>2</v>
      </c>
      <c r="C221" s="485" t="n">
        <v>2</v>
      </c>
      <c r="D221" s="485" t="n">
        <v>3</v>
      </c>
      <c r="E221" s="485" t="n">
        <v>2</v>
      </c>
      <c r="F221" s="485" t="n">
        <v>2</v>
      </c>
      <c r="G221" s="485" t="inlineStr">
        <is>
          <t>North-Right1</t>
        </is>
      </c>
      <c r="H221" s="485" t="n">
        <v>2633.91</v>
      </c>
      <c r="I221" s="485" t="n">
        <v>89</v>
      </c>
      <c r="J221" s="485" t="n">
        <v>44</v>
      </c>
      <c r="K221" s="485" t="n">
        <v>41</v>
      </c>
      <c r="L221" s="485" t="n">
        <v>4</v>
      </c>
      <c r="M221" s="514" t="inlineStr">
        <is>
          <t>T</t>
        </is>
      </c>
    </row>
    <row r="222">
      <c r="A222" s="485" t="n">
        <v>4</v>
      </c>
      <c r="B222" s="485" t="n">
        <v>2</v>
      </c>
      <c r="C222" s="485" t="n">
        <v>2</v>
      </c>
      <c r="D222" s="485" t="n">
        <v>3</v>
      </c>
      <c r="E222" s="485" t="n">
        <v>2</v>
      </c>
      <c r="F222" s="485" t="n">
        <v>2</v>
      </c>
      <c r="G222" s="485" t="inlineStr">
        <is>
          <t>North-Right2</t>
        </is>
      </c>
      <c r="H222" s="485" t="n">
        <v>0</v>
      </c>
      <c r="I222" s="485" t="n">
        <v>0</v>
      </c>
      <c r="J222" s="485" t="n">
        <v>0</v>
      </c>
      <c r="K222" s="485" t="n">
        <v>0</v>
      </c>
      <c r="L222" s="485" t="n">
        <v>0</v>
      </c>
      <c r="M222" s="514" t="inlineStr">
        <is>
          <t>T</t>
        </is>
      </c>
    </row>
    <row r="223">
      <c r="A223" s="485" t="n">
        <v>4</v>
      </c>
      <c r="B223" s="485" t="n">
        <v>2</v>
      </c>
      <c r="C223" s="485" t="n">
        <v>2</v>
      </c>
      <c r="D223" s="485" t="n">
        <v>3</v>
      </c>
      <c r="E223" s="485" t="n">
        <v>2</v>
      </c>
      <c r="F223" s="485" t="n">
        <v>2</v>
      </c>
      <c r="G223" s="485" t="inlineStr">
        <is>
          <t>South-Left2</t>
        </is>
      </c>
      <c r="H223" s="485" t="n">
        <v>0</v>
      </c>
      <c r="I223" s="485" t="n">
        <v>0</v>
      </c>
      <c r="J223" s="485" t="n">
        <v>0</v>
      </c>
      <c r="K223" s="485" t="n">
        <v>0</v>
      </c>
      <c r="L223" s="485" t="n">
        <v>0</v>
      </c>
      <c r="M223" s="514" t="inlineStr">
        <is>
          <t>T</t>
        </is>
      </c>
    </row>
    <row r="224">
      <c r="A224" s="485" t="n">
        <v>4</v>
      </c>
      <c r="B224" s="485" t="n">
        <v>2</v>
      </c>
      <c r="C224" s="485" t="n">
        <v>2</v>
      </c>
      <c r="D224" s="485" t="n">
        <v>3</v>
      </c>
      <c r="E224" s="485" t="n">
        <v>2</v>
      </c>
      <c r="F224" s="485" t="n">
        <v>2</v>
      </c>
      <c r="G224" s="516" t="inlineStr">
        <is>
          <t>South-Left1</t>
        </is>
      </c>
      <c r="H224" s="485" t="n">
        <v>2632.94</v>
      </c>
      <c r="I224" s="485" t="n">
        <v>89</v>
      </c>
      <c r="J224" s="485" t="n">
        <v>47</v>
      </c>
      <c r="K224" s="485" t="n">
        <v>11</v>
      </c>
      <c r="L224" s="485" t="n">
        <v>4</v>
      </c>
      <c r="M224" s="514" t="inlineStr">
        <is>
          <t>T</t>
        </is>
      </c>
    </row>
    <row r="225">
      <c r="A225" s="485" t="n">
        <v>4</v>
      </c>
      <c r="B225" s="485" t="n">
        <v>2</v>
      </c>
      <c r="C225" s="485" t="n">
        <v>2</v>
      </c>
      <c r="D225" s="485" t="n">
        <v>3</v>
      </c>
      <c r="E225" s="485" t="n">
        <v>2</v>
      </c>
      <c r="F225" s="485" t="n">
        <v>2</v>
      </c>
      <c r="G225" s="485" t="inlineStr">
        <is>
          <t>South-Right1</t>
        </is>
      </c>
      <c r="H225" s="485" t="n">
        <v>1320.77</v>
      </c>
      <c r="I225" s="485" t="n">
        <v>89</v>
      </c>
      <c r="J225" s="485" t="n">
        <v>28</v>
      </c>
      <c r="K225" s="485" t="n">
        <v>39</v>
      </c>
      <c r="L225" s="485" t="n">
        <v>4</v>
      </c>
      <c r="M225" s="514" t="inlineStr">
        <is>
          <t>T</t>
        </is>
      </c>
    </row>
    <row r="226">
      <c r="A226" s="485" t="n">
        <v>4</v>
      </c>
      <c r="B226" s="485" t="n">
        <v>2</v>
      </c>
      <c r="C226" s="485" t="n">
        <v>2</v>
      </c>
      <c r="D226" s="485" t="n">
        <v>3</v>
      </c>
      <c r="E226" s="485" t="n">
        <v>2</v>
      </c>
      <c r="F226" s="485" t="n">
        <v>2</v>
      </c>
      <c r="G226" s="485" t="inlineStr">
        <is>
          <t>South-Right2</t>
        </is>
      </c>
      <c r="H226" s="485" t="n">
        <v>1324.24</v>
      </c>
      <c r="I226" s="485" t="n">
        <v>89</v>
      </c>
      <c r="J226" s="485" t="n">
        <v>25</v>
      </c>
      <c r="K226" s="485" t="n">
        <v>30</v>
      </c>
      <c r="L226" s="485" t="n">
        <v>4</v>
      </c>
      <c r="M226" s="514" t="inlineStr">
        <is>
          <t>T</t>
        </is>
      </c>
    </row>
    <row r="227">
      <c r="A227" s="486" t="n">
        <v>5</v>
      </c>
      <c r="B227" s="486" t="n">
        <v>2</v>
      </c>
      <c r="C227" s="486" t="n">
        <v>2</v>
      </c>
      <c r="D227" s="486" t="n">
        <v>2</v>
      </c>
      <c r="E227" s="486" t="n">
        <v>2</v>
      </c>
      <c r="F227" s="486" t="n">
        <v>2</v>
      </c>
      <c r="G227" s="486" t="inlineStr">
        <is>
          <t>West-Up2</t>
        </is>
      </c>
      <c r="H227" s="486" t="n">
        <v>0</v>
      </c>
      <c r="I227" s="486" t="n">
        <v>0</v>
      </c>
      <c r="J227" s="486" t="n">
        <v>0</v>
      </c>
      <c r="K227" s="486" t="n">
        <v>0</v>
      </c>
      <c r="L227" s="486" t="n">
        <v>0</v>
      </c>
      <c r="M227" s="514" t="inlineStr">
        <is>
          <t>T</t>
        </is>
      </c>
    </row>
    <row r="228">
      <c r="A228" s="486" t="n">
        <v>5</v>
      </c>
      <c r="B228" s="486" t="n">
        <v>2</v>
      </c>
      <c r="C228" s="486" t="n">
        <v>2</v>
      </c>
      <c r="D228" s="486" t="n">
        <v>2</v>
      </c>
      <c r="E228" s="486" t="n">
        <v>2</v>
      </c>
      <c r="F228" s="486" t="n">
        <v>2</v>
      </c>
      <c r="G228" s="475" t="inlineStr">
        <is>
          <t>West-Up1</t>
        </is>
      </c>
      <c r="H228" s="486" t="n">
        <v>2631.82</v>
      </c>
      <c r="I228" s="486" t="n">
        <v>0</v>
      </c>
      <c r="J228" s="486" t="n">
        <v>1</v>
      </c>
      <c r="K228" s="486" t="n">
        <v>5</v>
      </c>
      <c r="L228" s="486" t="n">
        <v>4</v>
      </c>
      <c r="M228" s="514" t="inlineStr">
        <is>
          <t>T</t>
        </is>
      </c>
    </row>
    <row r="229">
      <c r="A229" s="486" t="n">
        <v>5</v>
      </c>
      <c r="B229" s="486" t="n">
        <v>2</v>
      </c>
      <c r="C229" s="486" t="n">
        <v>2</v>
      </c>
      <c r="D229" s="486" t="n">
        <v>2</v>
      </c>
      <c r="E229" s="486" t="n">
        <v>2</v>
      </c>
      <c r="F229" s="486" t="n">
        <v>2</v>
      </c>
      <c r="G229" s="486" t="inlineStr">
        <is>
          <t>West-Down1</t>
        </is>
      </c>
      <c r="H229" s="486" t="n">
        <v>2641.18</v>
      </c>
      <c r="I229" s="486" t="n">
        <v>0</v>
      </c>
      <c r="J229" s="486" t="n">
        <v>0</v>
      </c>
      <c r="K229" s="486" t="n">
        <v>5</v>
      </c>
      <c r="L229" s="486" t="n">
        <v>4</v>
      </c>
      <c r="M229" s="514" t="inlineStr">
        <is>
          <t>T</t>
        </is>
      </c>
    </row>
    <row r="230">
      <c r="A230" s="486" t="n">
        <v>5</v>
      </c>
      <c r="B230" s="486" t="n">
        <v>2</v>
      </c>
      <c r="C230" s="486" t="n">
        <v>2</v>
      </c>
      <c r="D230" s="486" t="n">
        <v>2</v>
      </c>
      <c r="E230" s="486" t="n">
        <v>2</v>
      </c>
      <c r="F230" s="486" t="n">
        <v>2</v>
      </c>
      <c r="G230" s="486" t="inlineStr">
        <is>
          <t>West-Down2</t>
        </is>
      </c>
      <c r="H230" s="486" t="n">
        <v>0</v>
      </c>
      <c r="I230" s="486" t="n">
        <v>0</v>
      </c>
      <c r="J230" s="486" t="n">
        <v>0</v>
      </c>
      <c r="K230" s="486" t="n">
        <v>0</v>
      </c>
      <c r="L230" s="486" t="n">
        <v>0</v>
      </c>
      <c r="M230" s="514" t="inlineStr">
        <is>
          <t>T</t>
        </is>
      </c>
    </row>
    <row r="231">
      <c r="A231" s="486" t="n">
        <v>5</v>
      </c>
      <c r="B231" s="486" t="n">
        <v>2</v>
      </c>
      <c r="C231" s="486" t="n">
        <v>2</v>
      </c>
      <c r="D231" s="486" t="n">
        <v>2</v>
      </c>
      <c r="E231" s="486" t="n">
        <v>2</v>
      </c>
      <c r="F231" s="486" t="n">
        <v>2</v>
      </c>
      <c r="G231" s="486" t="inlineStr">
        <is>
          <t>East-Up2</t>
        </is>
      </c>
      <c r="H231" s="486" t="n">
        <v>0</v>
      </c>
      <c r="I231" s="486" t="n">
        <v>0</v>
      </c>
      <c r="J231" s="486" t="n">
        <v>0</v>
      </c>
      <c r="K231" s="486" t="n">
        <v>0</v>
      </c>
      <c r="L231" s="486" t="n">
        <v>0</v>
      </c>
      <c r="M231" s="514" t="inlineStr">
        <is>
          <t>T</t>
        </is>
      </c>
    </row>
    <row r="232">
      <c r="A232" s="486" t="n">
        <v>5</v>
      </c>
      <c r="B232" s="486" t="n">
        <v>2</v>
      </c>
      <c r="C232" s="486" t="n">
        <v>2</v>
      </c>
      <c r="D232" s="486" t="n">
        <v>2</v>
      </c>
      <c r="E232" s="486" t="n">
        <v>2</v>
      </c>
      <c r="F232" s="486" t="n">
        <v>2</v>
      </c>
      <c r="G232" s="475" t="inlineStr">
        <is>
          <t>East-Up1</t>
        </is>
      </c>
      <c r="H232" s="486" t="n">
        <v>2643.16</v>
      </c>
      <c r="I232" s="486" t="n">
        <v>0</v>
      </c>
      <c r="J232" s="486" t="n">
        <v>20</v>
      </c>
      <c r="K232" s="486" t="n">
        <v>27</v>
      </c>
      <c r="L232" s="486" t="n">
        <v>4</v>
      </c>
      <c r="M232" s="514" t="inlineStr">
        <is>
          <t>T</t>
        </is>
      </c>
    </row>
    <row r="233">
      <c r="A233" s="486" t="n">
        <v>5</v>
      </c>
      <c r="B233" s="486" t="n">
        <v>2</v>
      </c>
      <c r="C233" s="486" t="n">
        <v>2</v>
      </c>
      <c r="D233" s="486" t="n">
        <v>2</v>
      </c>
      <c r="E233" s="486" t="n">
        <v>2</v>
      </c>
      <c r="F233" s="486" t="n">
        <v>2</v>
      </c>
      <c r="G233" s="486" t="inlineStr">
        <is>
          <t>East-Down1</t>
        </is>
      </c>
      <c r="H233" s="486" t="n">
        <v>2651.48</v>
      </c>
      <c r="I233" s="486" t="n">
        <v>0</v>
      </c>
      <c r="J233" s="486" t="n">
        <v>15</v>
      </c>
      <c r="K233" s="486" t="n">
        <v>50</v>
      </c>
      <c r="L233" s="486" t="n">
        <v>4</v>
      </c>
      <c r="M233" s="514" t="inlineStr">
        <is>
          <t>T</t>
        </is>
      </c>
    </row>
    <row r="234">
      <c r="A234" s="486" t="n">
        <v>5</v>
      </c>
      <c r="B234" s="486" t="n">
        <v>2</v>
      </c>
      <c r="C234" s="486" t="n">
        <v>2</v>
      </c>
      <c r="D234" s="486" t="n">
        <v>2</v>
      </c>
      <c r="E234" s="486" t="n">
        <v>2</v>
      </c>
      <c r="F234" s="486" t="n">
        <v>2</v>
      </c>
      <c r="G234" s="486" t="inlineStr">
        <is>
          <t>East-Down2</t>
        </is>
      </c>
      <c r="H234" s="486" t="n">
        <v>0</v>
      </c>
      <c r="I234" s="486" t="n">
        <v>0</v>
      </c>
      <c r="J234" s="486" t="n">
        <v>0</v>
      </c>
      <c r="K234" s="486" t="n">
        <v>0</v>
      </c>
      <c r="L234" s="486" t="n">
        <v>0</v>
      </c>
      <c r="M234" s="514" t="inlineStr">
        <is>
          <t>T</t>
        </is>
      </c>
    </row>
    <row r="235">
      <c r="A235" s="486" t="n">
        <v>5</v>
      </c>
      <c r="B235" s="486" t="n">
        <v>2</v>
      </c>
      <c r="C235" s="486" t="n">
        <v>2</v>
      </c>
      <c r="D235" s="486" t="n">
        <v>2</v>
      </c>
      <c r="E235" s="486" t="n">
        <v>2</v>
      </c>
      <c r="F235" s="486" t="n">
        <v>2</v>
      </c>
      <c r="G235" s="486" t="inlineStr">
        <is>
          <t>North-Left2</t>
        </is>
      </c>
      <c r="H235" s="486" t="n">
        <v>0</v>
      </c>
      <c r="I235" s="486" t="n">
        <v>0</v>
      </c>
      <c r="J235" s="486" t="n">
        <v>0</v>
      </c>
      <c r="K235" s="486" t="n">
        <v>0</v>
      </c>
      <c r="L235" s="486" t="n">
        <v>0</v>
      </c>
      <c r="M235" s="514" t="inlineStr">
        <is>
          <t>T</t>
        </is>
      </c>
    </row>
    <row r="236">
      <c r="A236" s="486" t="n">
        <v>5</v>
      </c>
      <c r="B236" s="486" t="n">
        <v>2</v>
      </c>
      <c r="C236" s="486" t="n">
        <v>2</v>
      </c>
      <c r="D236" s="486" t="n">
        <v>2</v>
      </c>
      <c r="E236" s="486" t="n">
        <v>2</v>
      </c>
      <c r="F236" s="486" t="n">
        <v>2</v>
      </c>
      <c r="G236" s="475" t="inlineStr">
        <is>
          <t>North-Left1</t>
        </is>
      </c>
      <c r="H236" s="486" t="n">
        <v>2643.23</v>
      </c>
      <c r="I236" s="486" t="n">
        <v>89</v>
      </c>
      <c r="J236" s="486" t="n">
        <v>59</v>
      </c>
      <c r="K236" s="486" t="n">
        <v>57</v>
      </c>
      <c r="L236" s="486" t="n">
        <v>3</v>
      </c>
      <c r="M236" s="514" t="inlineStr">
        <is>
          <t>T</t>
        </is>
      </c>
    </row>
    <row r="237">
      <c r="A237" s="486" t="n">
        <v>5</v>
      </c>
      <c r="B237" s="486" t="n">
        <v>2</v>
      </c>
      <c r="C237" s="486" t="n">
        <v>2</v>
      </c>
      <c r="D237" s="486" t="n">
        <v>2</v>
      </c>
      <c r="E237" s="486" t="n">
        <v>2</v>
      </c>
      <c r="F237" s="486" t="n">
        <v>2</v>
      </c>
      <c r="G237" s="486" t="inlineStr">
        <is>
          <t>North-Right1</t>
        </is>
      </c>
      <c r="H237" s="486" t="n">
        <v>2631.36</v>
      </c>
      <c r="I237" s="486" t="n">
        <v>89</v>
      </c>
      <c r="J237" s="486" t="n">
        <v>58</v>
      </c>
      <c r="K237" s="486" t="n">
        <v>23</v>
      </c>
      <c r="L237" s="486" t="n">
        <v>3</v>
      </c>
      <c r="M237" s="514" t="inlineStr">
        <is>
          <t>T</t>
        </is>
      </c>
    </row>
    <row r="238">
      <c r="A238" s="486" t="n">
        <v>5</v>
      </c>
      <c r="B238" s="486" t="n">
        <v>2</v>
      </c>
      <c r="C238" s="486" t="n">
        <v>2</v>
      </c>
      <c r="D238" s="486" t="n">
        <v>2</v>
      </c>
      <c r="E238" s="486" t="n">
        <v>2</v>
      </c>
      <c r="F238" s="486" t="n">
        <v>2</v>
      </c>
      <c r="G238" s="486" t="inlineStr">
        <is>
          <t>North-Right2</t>
        </is>
      </c>
      <c r="H238" s="486" t="n">
        <v>0</v>
      </c>
      <c r="I238" s="486" t="n">
        <v>0</v>
      </c>
      <c r="J238" s="486" t="n">
        <v>0</v>
      </c>
      <c r="K238" s="486" t="n">
        <v>0</v>
      </c>
      <c r="L238" s="486" t="n">
        <v>0</v>
      </c>
      <c r="M238" s="514" t="inlineStr">
        <is>
          <t>T</t>
        </is>
      </c>
    </row>
    <row r="239">
      <c r="A239" s="486" t="n">
        <v>5</v>
      </c>
      <c r="B239" s="486" t="n">
        <v>2</v>
      </c>
      <c r="C239" s="486" t="n">
        <v>2</v>
      </c>
      <c r="D239" s="486" t="n">
        <v>2</v>
      </c>
      <c r="E239" s="486" t="n">
        <v>2</v>
      </c>
      <c r="F239" s="486" t="n">
        <v>2</v>
      </c>
      <c r="G239" s="486" t="inlineStr">
        <is>
          <t>South-Left2</t>
        </is>
      </c>
      <c r="H239" s="486" t="n">
        <v>0</v>
      </c>
      <c r="I239" s="486" t="n">
        <v>0</v>
      </c>
      <c r="J239" s="486" t="n">
        <v>0</v>
      </c>
      <c r="K239" s="486" t="n">
        <v>0</v>
      </c>
      <c r="L239" s="486" t="n">
        <v>0</v>
      </c>
      <c r="M239" s="514" t="inlineStr">
        <is>
          <t>T</t>
        </is>
      </c>
    </row>
    <row r="240">
      <c r="A240" s="486" t="n">
        <v>5</v>
      </c>
      <c r="B240" s="486" t="n">
        <v>2</v>
      </c>
      <c r="C240" s="486" t="n">
        <v>2</v>
      </c>
      <c r="D240" s="486" t="n">
        <v>2</v>
      </c>
      <c r="E240" s="486" t="n">
        <v>2</v>
      </c>
      <c r="F240" s="486" t="n">
        <v>2</v>
      </c>
      <c r="G240" s="475" t="inlineStr">
        <is>
          <t>South-Left1</t>
        </is>
      </c>
      <c r="H240" s="486" t="n">
        <v>2634.83</v>
      </c>
      <c r="I240" s="486" t="n">
        <v>89</v>
      </c>
      <c r="J240" s="486" t="n">
        <v>46</v>
      </c>
      <c r="K240" s="486" t="n">
        <v>32</v>
      </c>
      <c r="L240" s="486" t="n">
        <v>4</v>
      </c>
      <c r="M240" s="514" t="inlineStr">
        <is>
          <t>T</t>
        </is>
      </c>
    </row>
    <row r="241">
      <c r="A241" s="486" t="n">
        <v>5</v>
      </c>
      <c r="B241" s="486" t="n">
        <v>2</v>
      </c>
      <c r="C241" s="486" t="n">
        <v>2</v>
      </c>
      <c r="D241" s="486" t="n">
        <v>2</v>
      </c>
      <c r="E241" s="486" t="n">
        <v>2</v>
      </c>
      <c r="F241" s="486" t="n">
        <v>2</v>
      </c>
      <c r="G241" s="486" t="inlineStr">
        <is>
          <t>South-Right1</t>
        </is>
      </c>
      <c r="H241" s="486" t="n">
        <v>2634.8</v>
      </c>
      <c r="I241" s="486" t="n">
        <v>89</v>
      </c>
      <c r="J241" s="486" t="n">
        <v>47</v>
      </c>
      <c r="K241" s="486" t="n">
        <v>0</v>
      </c>
      <c r="L241" s="486" t="n">
        <v>4</v>
      </c>
      <c r="M241" s="514" t="inlineStr">
        <is>
          <t>T</t>
        </is>
      </c>
    </row>
    <row r="242">
      <c r="A242" s="486" t="n">
        <v>5</v>
      </c>
      <c r="B242" s="486" t="n">
        <v>2</v>
      </c>
      <c r="C242" s="486" t="n">
        <v>2</v>
      </c>
      <c r="D242" s="486" t="n">
        <v>2</v>
      </c>
      <c r="E242" s="486" t="n">
        <v>2</v>
      </c>
      <c r="F242" s="486" t="n">
        <v>2</v>
      </c>
      <c r="G242" s="486" t="inlineStr">
        <is>
          <t>South-Right2</t>
        </is>
      </c>
      <c r="H242" s="486" t="n">
        <v>0</v>
      </c>
      <c r="I242" s="486" t="n">
        <v>0</v>
      </c>
      <c r="J242" s="486" t="n">
        <v>0</v>
      </c>
      <c r="K242" s="486" t="n">
        <v>0</v>
      </c>
      <c r="L242" s="486" t="n">
        <v>0</v>
      </c>
      <c r="M242" s="514" t="inlineStr">
        <is>
          <t>T</t>
        </is>
      </c>
    </row>
    <row r="243">
      <c r="A243" s="486" t="n">
        <v>5</v>
      </c>
      <c r="B243" s="486" t="n">
        <v>2</v>
      </c>
      <c r="C243" s="486" t="n">
        <v>2</v>
      </c>
      <c r="D243" s="486" t="n">
        <v>3</v>
      </c>
      <c r="E243" s="486" t="n">
        <v>2</v>
      </c>
      <c r="F243" s="486" t="n">
        <v>2</v>
      </c>
      <c r="G243" s="486" t="inlineStr">
        <is>
          <t>West-Up2</t>
        </is>
      </c>
      <c r="H243" s="486" t="n">
        <v>0</v>
      </c>
      <c r="I243" s="486" t="n">
        <v>0</v>
      </c>
      <c r="J243" s="486" t="n">
        <v>0</v>
      </c>
      <c r="K243" s="486" t="n">
        <v>0</v>
      </c>
      <c r="L243" s="486" t="n">
        <v>0</v>
      </c>
      <c r="M243" s="487" t="inlineStr">
        <is>
          <t>T</t>
        </is>
      </c>
    </row>
    <row r="244">
      <c r="A244" s="486" t="n">
        <v>5</v>
      </c>
      <c r="B244" s="486" t="n">
        <v>2</v>
      </c>
      <c r="C244" s="486" t="n">
        <v>2</v>
      </c>
      <c r="D244" s="486" t="n">
        <v>3</v>
      </c>
      <c r="E244" s="486" t="n">
        <v>2</v>
      </c>
      <c r="F244" s="486" t="n">
        <v>2</v>
      </c>
      <c r="G244" s="475" t="inlineStr">
        <is>
          <t>West-Up1</t>
        </is>
      </c>
      <c r="H244" s="486" t="n">
        <v>2640.59</v>
      </c>
      <c r="I244" s="486" t="n">
        <v>0</v>
      </c>
      <c r="J244" s="486" t="n">
        <v>1</v>
      </c>
      <c r="K244" s="486" t="n">
        <v>1</v>
      </c>
      <c r="L244" s="486" t="n">
        <v>2</v>
      </c>
      <c r="M244" s="487" t="inlineStr">
        <is>
          <t>T</t>
        </is>
      </c>
    </row>
    <row r="245">
      <c r="A245" s="486" t="n">
        <v>5</v>
      </c>
      <c r="B245" s="486" t="n">
        <v>2</v>
      </c>
      <c r="C245" s="486" t="n">
        <v>2</v>
      </c>
      <c r="D245" s="486" t="n">
        <v>3</v>
      </c>
      <c r="E245" s="486" t="n">
        <v>2</v>
      </c>
      <c r="F245" s="486" t="n">
        <v>2</v>
      </c>
      <c r="G245" s="486" t="inlineStr">
        <is>
          <t>West-Down1</t>
        </is>
      </c>
      <c r="H245" s="486" t="n">
        <v>2634.95</v>
      </c>
      <c r="I245" s="486" t="n">
        <v>0</v>
      </c>
      <c r="J245" s="486" t="n">
        <v>7</v>
      </c>
      <c r="K245" s="486" t="n">
        <v>27</v>
      </c>
      <c r="L245" s="486" t="n">
        <v>4</v>
      </c>
      <c r="M245" s="487" t="inlineStr">
        <is>
          <t>T</t>
        </is>
      </c>
    </row>
    <row r="246">
      <c r="A246" s="486" t="n">
        <v>5</v>
      </c>
      <c r="B246" s="486" t="n">
        <v>2</v>
      </c>
      <c r="C246" s="486" t="n">
        <v>2</v>
      </c>
      <c r="D246" s="486" t="n">
        <v>3</v>
      </c>
      <c r="E246" s="486" t="n">
        <v>2</v>
      </c>
      <c r="F246" s="486" t="n">
        <v>2</v>
      </c>
      <c r="G246" s="486" t="inlineStr">
        <is>
          <t>West-Down2</t>
        </is>
      </c>
      <c r="H246" s="486" t="n">
        <v>0</v>
      </c>
      <c r="I246" s="486" t="n">
        <v>0</v>
      </c>
      <c r="J246" s="486" t="n">
        <v>0</v>
      </c>
      <c r="K246" s="486" t="n">
        <v>0</v>
      </c>
      <c r="L246" s="486" t="n">
        <v>0</v>
      </c>
      <c r="M246" s="487" t="inlineStr">
        <is>
          <t>T</t>
        </is>
      </c>
    </row>
    <row r="247">
      <c r="A247" s="486" t="n">
        <v>5</v>
      </c>
      <c r="B247" s="486" t="n">
        <v>2</v>
      </c>
      <c r="C247" s="486" t="n">
        <v>2</v>
      </c>
      <c r="D247" s="486" t="n">
        <v>3</v>
      </c>
      <c r="E247" s="486" t="n">
        <v>2</v>
      </c>
      <c r="F247" s="486" t="n">
        <v>2</v>
      </c>
      <c r="G247" s="486" t="inlineStr">
        <is>
          <t>East-Up2</t>
        </is>
      </c>
      <c r="H247" s="486" t="n">
        <v>0</v>
      </c>
      <c r="I247" s="486" t="n">
        <v>0</v>
      </c>
      <c r="J247" s="486" t="n">
        <v>0</v>
      </c>
      <c r="K247" s="486" t="n">
        <v>0</v>
      </c>
      <c r="L247" s="486" t="n">
        <v>0</v>
      </c>
      <c r="M247" s="487" t="inlineStr">
        <is>
          <t>T</t>
        </is>
      </c>
    </row>
    <row r="248">
      <c r="A248" s="486" t="n">
        <v>5</v>
      </c>
      <c r="B248" s="486" t="n">
        <v>2</v>
      </c>
      <c r="C248" s="486" t="n">
        <v>2</v>
      </c>
      <c r="D248" s="486" t="n">
        <v>3</v>
      </c>
      <c r="E248" s="486" t="n">
        <v>2</v>
      </c>
      <c r="F248" s="486" t="n">
        <v>2</v>
      </c>
      <c r="G248" s="475" t="inlineStr">
        <is>
          <t>East-Up1</t>
        </is>
      </c>
      <c r="H248" s="486" t="n">
        <v>5285</v>
      </c>
      <c r="I248" s="486" t="n">
        <v>0</v>
      </c>
      <c r="J248" s="486" t="n">
        <v>21</v>
      </c>
      <c r="K248" s="486" t="n">
        <v>17</v>
      </c>
      <c r="L248" s="486" t="n">
        <v>2</v>
      </c>
      <c r="M248" s="487" t="inlineStr">
        <is>
          <t>T</t>
        </is>
      </c>
    </row>
    <row r="249">
      <c r="A249" s="486" t="n">
        <v>5</v>
      </c>
      <c r="B249" s="486" t="n">
        <v>2</v>
      </c>
      <c r="C249" s="486" t="n">
        <v>2</v>
      </c>
      <c r="D249" s="486" t="n">
        <v>3</v>
      </c>
      <c r="E249" s="486" t="n">
        <v>2</v>
      </c>
      <c r="F249" s="486" t="n">
        <v>2</v>
      </c>
      <c r="G249" s="486" t="inlineStr">
        <is>
          <t>East-Down1</t>
        </is>
      </c>
      <c r="H249" s="486" t="n">
        <v>0</v>
      </c>
      <c r="I249" s="486" t="n">
        <v>0</v>
      </c>
      <c r="J249" s="486" t="n">
        <v>0</v>
      </c>
      <c r="K249" s="486" t="n">
        <v>0</v>
      </c>
      <c r="L249" s="486" t="n">
        <v>0</v>
      </c>
      <c r="M249" s="487" t="inlineStr">
        <is>
          <t>T</t>
        </is>
      </c>
    </row>
    <row r="250">
      <c r="A250" s="486" t="n">
        <v>5</v>
      </c>
      <c r="B250" s="486" t="n">
        <v>2</v>
      </c>
      <c r="C250" s="486" t="n">
        <v>2</v>
      </c>
      <c r="D250" s="486" t="n">
        <v>3</v>
      </c>
      <c r="E250" s="486" t="n">
        <v>2</v>
      </c>
      <c r="F250" s="486" t="n">
        <v>2</v>
      </c>
      <c r="G250" s="486" t="inlineStr">
        <is>
          <t>East-Down2</t>
        </is>
      </c>
      <c r="H250" s="486" t="n">
        <v>0</v>
      </c>
      <c r="I250" s="486" t="n">
        <v>0</v>
      </c>
      <c r="J250" s="486" t="n">
        <v>0</v>
      </c>
      <c r="K250" s="486" t="n">
        <v>0</v>
      </c>
      <c r="L250" s="486" t="n">
        <v>0</v>
      </c>
      <c r="M250" s="487" t="inlineStr">
        <is>
          <t>T</t>
        </is>
      </c>
    </row>
    <row r="251">
      <c r="A251" s="486" t="n">
        <v>5</v>
      </c>
      <c r="B251" s="486" t="n">
        <v>2</v>
      </c>
      <c r="C251" s="486" t="n">
        <v>2</v>
      </c>
      <c r="D251" s="486" t="n">
        <v>3</v>
      </c>
      <c r="E251" s="486" t="n">
        <v>2</v>
      </c>
      <c r="F251" s="486" t="n">
        <v>2</v>
      </c>
      <c r="G251" s="486" t="inlineStr">
        <is>
          <t>North-Left2</t>
        </is>
      </c>
      <c r="H251" s="486" t="n">
        <v>0</v>
      </c>
      <c r="I251" s="486" t="n">
        <v>0</v>
      </c>
      <c r="J251" s="486" t="n">
        <v>0</v>
      </c>
      <c r="K251" s="486" t="n">
        <v>0</v>
      </c>
      <c r="L251" s="486" t="n">
        <v>0</v>
      </c>
      <c r="M251" s="487" t="inlineStr">
        <is>
          <t>T</t>
        </is>
      </c>
    </row>
    <row r="252">
      <c r="A252" s="486" t="n">
        <v>5</v>
      </c>
      <c r="B252" s="486" t="n">
        <v>2</v>
      </c>
      <c r="C252" s="486" t="n">
        <v>2</v>
      </c>
      <c r="D252" s="486" t="n">
        <v>3</v>
      </c>
      <c r="E252" s="486" t="n">
        <v>2</v>
      </c>
      <c r="F252" s="486" t="n">
        <v>2</v>
      </c>
      <c r="G252" s="475" t="inlineStr">
        <is>
          <t>North-Left1</t>
        </is>
      </c>
      <c r="H252" s="486" t="n">
        <v>5301.18</v>
      </c>
      <c r="I252" s="486" t="n">
        <v>89</v>
      </c>
      <c r="J252" s="486" t="n">
        <v>58</v>
      </c>
      <c r="K252" s="486" t="n">
        <v>55</v>
      </c>
      <c r="L252" s="486" t="n">
        <v>4</v>
      </c>
      <c r="M252" s="487" t="inlineStr">
        <is>
          <t>T</t>
        </is>
      </c>
    </row>
    <row r="253">
      <c r="A253" s="486" t="n">
        <v>5</v>
      </c>
      <c r="B253" s="486" t="n">
        <v>2</v>
      </c>
      <c r="C253" s="486" t="n">
        <v>2</v>
      </c>
      <c r="D253" s="486" t="n">
        <v>3</v>
      </c>
      <c r="E253" s="486" t="n">
        <v>2</v>
      </c>
      <c r="F253" s="486" t="n">
        <v>2</v>
      </c>
      <c r="G253" s="486" t="inlineStr">
        <is>
          <t>North-Right1</t>
        </is>
      </c>
      <c r="H253" s="486" t="n">
        <v>0</v>
      </c>
      <c r="I253" s="486" t="n">
        <v>0</v>
      </c>
      <c r="J253" s="486" t="n">
        <v>0</v>
      </c>
      <c r="K253" s="486" t="n">
        <v>0</v>
      </c>
      <c r="L253" s="486" t="n">
        <v>0</v>
      </c>
      <c r="M253" s="487" t="inlineStr">
        <is>
          <t>T</t>
        </is>
      </c>
    </row>
    <row r="254">
      <c r="A254" s="486" t="n">
        <v>5</v>
      </c>
      <c r="B254" s="486" t="n">
        <v>2</v>
      </c>
      <c r="C254" s="486" t="n">
        <v>2</v>
      </c>
      <c r="D254" s="486" t="n">
        <v>3</v>
      </c>
      <c r="E254" s="486" t="n">
        <v>2</v>
      </c>
      <c r="F254" s="486" t="n">
        <v>2</v>
      </c>
      <c r="G254" s="486" t="inlineStr">
        <is>
          <t>North-Right2</t>
        </is>
      </c>
      <c r="H254" s="486" t="n">
        <v>0</v>
      </c>
      <c r="I254" s="486" t="n">
        <v>0</v>
      </c>
      <c r="J254" s="486" t="n">
        <v>0</v>
      </c>
      <c r="K254" s="486" t="n">
        <v>0</v>
      </c>
      <c r="L254" s="486" t="n">
        <v>0</v>
      </c>
      <c r="M254" s="487" t="inlineStr">
        <is>
          <t>T</t>
        </is>
      </c>
    </row>
    <row r="255">
      <c r="A255" s="486" t="n">
        <v>5</v>
      </c>
      <c r="B255" s="486" t="n">
        <v>2</v>
      </c>
      <c r="C255" s="486" t="n">
        <v>2</v>
      </c>
      <c r="D255" s="486" t="n">
        <v>3</v>
      </c>
      <c r="E255" s="486" t="n">
        <v>2</v>
      </c>
      <c r="F255" s="486" t="n">
        <v>2</v>
      </c>
      <c r="G255" s="486" t="inlineStr">
        <is>
          <t>South-Left2</t>
        </is>
      </c>
      <c r="H255" s="486" t="n">
        <v>0</v>
      </c>
      <c r="I255" s="486" t="n">
        <v>0</v>
      </c>
      <c r="J255" s="486" t="n">
        <v>0</v>
      </c>
      <c r="K255" s="486" t="n">
        <v>0</v>
      </c>
      <c r="L255" s="486" t="n">
        <v>0</v>
      </c>
      <c r="M255" s="487" t="inlineStr">
        <is>
          <t>T</t>
        </is>
      </c>
    </row>
    <row r="256">
      <c r="A256" s="486" t="n">
        <v>5</v>
      </c>
      <c r="B256" s="486" t="n">
        <v>2</v>
      </c>
      <c r="C256" s="486" t="n">
        <v>2</v>
      </c>
      <c r="D256" s="486" t="n">
        <v>3</v>
      </c>
      <c r="E256" s="486" t="n">
        <v>2</v>
      </c>
      <c r="F256" s="486" t="n">
        <v>2</v>
      </c>
      <c r="G256" s="475" t="inlineStr">
        <is>
          <t>South-Left1</t>
        </is>
      </c>
      <c r="H256" s="486" t="n">
        <v>5263.56</v>
      </c>
      <c r="I256" s="486" t="n">
        <v>89</v>
      </c>
      <c r="J256" s="486" t="n">
        <v>52</v>
      </c>
      <c r="K256" s="486" t="n">
        <v>48</v>
      </c>
      <c r="L256" s="486" t="n">
        <v>4</v>
      </c>
      <c r="M256" s="487" t="inlineStr">
        <is>
          <t>T</t>
        </is>
      </c>
    </row>
    <row r="257">
      <c r="A257" s="486" t="n">
        <v>5</v>
      </c>
      <c r="B257" s="486" t="n">
        <v>2</v>
      </c>
      <c r="C257" s="486" t="n">
        <v>2</v>
      </c>
      <c r="D257" s="486" t="n">
        <v>3</v>
      </c>
      <c r="E257" s="486" t="n">
        <v>2</v>
      </c>
      <c r="F257" s="486" t="n">
        <v>2</v>
      </c>
      <c r="G257" s="486" t="inlineStr">
        <is>
          <t>South-Right1</t>
        </is>
      </c>
      <c r="H257" s="486" t="n">
        <v>0</v>
      </c>
      <c r="I257" s="486" t="n">
        <v>0</v>
      </c>
      <c r="J257" s="486" t="n">
        <v>0</v>
      </c>
      <c r="K257" s="486" t="n">
        <v>0</v>
      </c>
      <c r="L257" s="486" t="n">
        <v>0</v>
      </c>
      <c r="M257" s="487" t="inlineStr">
        <is>
          <t>T</t>
        </is>
      </c>
    </row>
    <row r="258" ht="14.25" customHeight="1" s="613">
      <c r="A258" s="485" t="n">
        <v>5</v>
      </c>
      <c r="B258" s="485" t="n">
        <v>2</v>
      </c>
      <c r="C258" s="485" t="n">
        <v>2</v>
      </c>
      <c r="D258" s="485" t="n">
        <v>3</v>
      </c>
      <c r="E258" s="485" t="n">
        <v>2</v>
      </c>
      <c r="F258" s="485" t="n">
        <v>2</v>
      </c>
      <c r="G258" s="485" t="inlineStr">
        <is>
          <t>South-Right2</t>
        </is>
      </c>
      <c r="H258" s="485" t="n">
        <v>0</v>
      </c>
      <c r="I258" s="485" t="n">
        <v>0</v>
      </c>
      <c r="J258" s="485" t="n">
        <v>0</v>
      </c>
      <c r="K258" s="485" t="n">
        <v>0</v>
      </c>
      <c r="L258" s="485" t="n">
        <v>0</v>
      </c>
      <c r="M258" s="514" t="inlineStr">
        <is>
          <t>T</t>
        </is>
      </c>
    </row>
    <row r="259">
      <c r="A259" s="485" t="n">
        <v>5</v>
      </c>
      <c r="B259" s="485" t="n">
        <v>3</v>
      </c>
      <c r="C259" s="485" t="n">
        <v>2</v>
      </c>
      <c r="D259" s="485" t="n">
        <v>1</v>
      </c>
      <c r="E259" s="485" t="n">
        <v>1</v>
      </c>
      <c r="F259" s="485" t="n">
        <v>2</v>
      </c>
      <c r="G259" s="485" t="inlineStr">
        <is>
          <t>West-Up2</t>
        </is>
      </c>
      <c r="H259" s="485" t="n">
        <v>1423.26</v>
      </c>
      <c r="I259" s="485" t="n">
        <v>1</v>
      </c>
      <c r="J259" s="485" t="n">
        <v>2</v>
      </c>
      <c r="K259" s="485" t="n">
        <v>30</v>
      </c>
      <c r="L259" s="485" t="n">
        <v>1</v>
      </c>
      <c r="M259" s="515" t="inlineStr">
        <is>
          <t>G</t>
        </is>
      </c>
    </row>
    <row r="260">
      <c r="A260" s="485" t="n">
        <v>5</v>
      </c>
      <c r="B260" s="485" t="n">
        <v>3</v>
      </c>
      <c r="C260" s="485" t="n">
        <v>2</v>
      </c>
      <c r="D260" s="485" t="n">
        <v>1</v>
      </c>
      <c r="E260" s="485" t="n">
        <v>1</v>
      </c>
      <c r="F260" s="485" t="n">
        <v>2</v>
      </c>
      <c r="G260" s="516" t="inlineStr">
        <is>
          <t>West-Up1</t>
        </is>
      </c>
      <c r="H260" s="485" t="n">
        <v>1321.14</v>
      </c>
      <c r="I260" s="485" t="n">
        <v>1</v>
      </c>
      <c r="J260" s="485" t="n">
        <v>6</v>
      </c>
      <c r="K260" s="485" t="n">
        <v>41</v>
      </c>
      <c r="L260" s="485" t="n">
        <v>1</v>
      </c>
      <c r="M260" s="515" t="inlineStr">
        <is>
          <t>G</t>
        </is>
      </c>
    </row>
    <row r="261">
      <c r="A261" s="485" t="n">
        <v>5</v>
      </c>
      <c r="B261" s="485" t="n">
        <v>3</v>
      </c>
      <c r="C261" s="485" t="n">
        <v>2</v>
      </c>
      <c r="D261" s="485" t="n">
        <v>1</v>
      </c>
      <c r="E261" s="485" t="n">
        <v>1</v>
      </c>
      <c r="F261" s="485" t="n">
        <v>2</v>
      </c>
      <c r="G261" s="485" t="inlineStr">
        <is>
          <t>West-Down1</t>
        </is>
      </c>
      <c r="H261" s="485" t="n">
        <v>2642.28</v>
      </c>
      <c r="I261" s="485" t="n">
        <v>1</v>
      </c>
      <c r="J261" s="485" t="n">
        <v>6</v>
      </c>
      <c r="K261" s="485" t="n">
        <v>41</v>
      </c>
      <c r="L261" s="485" t="n">
        <v>4</v>
      </c>
      <c r="M261" s="515" t="inlineStr">
        <is>
          <t>G</t>
        </is>
      </c>
    </row>
    <row r="262">
      <c r="A262" s="485" t="n">
        <v>5</v>
      </c>
      <c r="B262" s="485" t="n">
        <v>3</v>
      </c>
      <c r="C262" s="485" t="n">
        <v>2</v>
      </c>
      <c r="D262" s="485" t="n">
        <v>1</v>
      </c>
      <c r="E262" s="485" t="n">
        <v>1</v>
      </c>
      <c r="F262" s="485" t="n">
        <v>2</v>
      </c>
      <c r="G262" s="485" t="inlineStr">
        <is>
          <t>West-Down2</t>
        </is>
      </c>
      <c r="H262" s="485" t="n">
        <v>0</v>
      </c>
      <c r="I262" s="485" t="n">
        <v>0</v>
      </c>
      <c r="J262" s="485" t="n">
        <v>0</v>
      </c>
      <c r="K262" s="485" t="n">
        <v>0</v>
      </c>
      <c r="L262" s="485" t="n">
        <v>0</v>
      </c>
      <c r="M262" s="515" t="inlineStr">
        <is>
          <t>G</t>
        </is>
      </c>
    </row>
    <row r="263">
      <c r="A263" s="485" t="n">
        <v>5</v>
      </c>
      <c r="B263" s="485" t="n">
        <v>3</v>
      </c>
      <c r="C263" s="485" t="n">
        <v>2</v>
      </c>
      <c r="D263" s="485" t="n">
        <v>1</v>
      </c>
      <c r="E263" s="485" t="n">
        <v>1</v>
      </c>
      <c r="F263" s="485" t="n">
        <v>2</v>
      </c>
      <c r="G263" s="485" t="inlineStr">
        <is>
          <t>East-Up2</t>
        </is>
      </c>
      <c r="H263" s="485" t="n">
        <v>0</v>
      </c>
      <c r="I263" s="485" t="n">
        <v>0</v>
      </c>
      <c r="J263" s="485" t="n">
        <v>0</v>
      </c>
      <c r="K263" s="485" t="n">
        <v>0</v>
      </c>
      <c r="L263" s="485" t="n">
        <v>0</v>
      </c>
      <c r="M263" s="515" t="inlineStr">
        <is>
          <t>G</t>
        </is>
      </c>
    </row>
    <row r="264">
      <c r="A264" s="485" t="n">
        <v>5</v>
      </c>
      <c r="B264" s="485" t="n">
        <v>3</v>
      </c>
      <c r="C264" s="485" t="n">
        <v>2</v>
      </c>
      <c r="D264" s="485" t="n">
        <v>1</v>
      </c>
      <c r="E264" s="485" t="n">
        <v>1</v>
      </c>
      <c r="F264" s="485" t="n">
        <v>2</v>
      </c>
      <c r="G264" s="516" t="inlineStr">
        <is>
          <t>East-Up1</t>
        </is>
      </c>
      <c r="H264" s="485" t="n">
        <v>2724.31</v>
      </c>
      <c r="I264" s="485" t="n">
        <v>1</v>
      </c>
      <c r="J264" s="485" t="n">
        <v>20</v>
      </c>
      <c r="K264" s="485" t="n">
        <v>55</v>
      </c>
      <c r="L264" s="485" t="n">
        <v>1</v>
      </c>
      <c r="M264" s="515" t="inlineStr">
        <is>
          <t>G</t>
        </is>
      </c>
    </row>
    <row r="265">
      <c r="A265" s="485" t="n">
        <v>5</v>
      </c>
      <c r="B265" s="485" t="n">
        <v>3</v>
      </c>
      <c r="C265" s="485" t="n">
        <v>2</v>
      </c>
      <c r="D265" s="485" t="n">
        <v>1</v>
      </c>
      <c r="E265" s="485" t="n">
        <v>1</v>
      </c>
      <c r="F265" s="485" t="n">
        <v>2</v>
      </c>
      <c r="G265" s="485" t="inlineStr">
        <is>
          <t>East-Down1</t>
        </is>
      </c>
      <c r="H265" s="485" t="n">
        <v>2649.67</v>
      </c>
      <c r="I265" s="485" t="n">
        <v>0</v>
      </c>
      <c r="J265" s="485" t="n">
        <v>31</v>
      </c>
      <c r="K265" s="485" t="n">
        <v>4</v>
      </c>
      <c r="L265" s="485" t="n">
        <v>4</v>
      </c>
      <c r="M265" s="515" t="inlineStr">
        <is>
          <t>G</t>
        </is>
      </c>
    </row>
    <row r="266">
      <c r="A266" s="485" t="n">
        <v>5</v>
      </c>
      <c r="B266" s="485" t="n">
        <v>3</v>
      </c>
      <c r="C266" s="485" t="n">
        <v>2</v>
      </c>
      <c r="D266" s="485" t="n">
        <v>1</v>
      </c>
      <c r="E266" s="485" t="n">
        <v>1</v>
      </c>
      <c r="F266" s="485" t="n">
        <v>2</v>
      </c>
      <c r="G266" s="485" t="inlineStr">
        <is>
          <t>East-Down2</t>
        </is>
      </c>
      <c r="H266" s="485" t="n">
        <v>0</v>
      </c>
      <c r="I266" s="485" t="n">
        <v>0</v>
      </c>
      <c r="J266" s="485" t="n">
        <v>0</v>
      </c>
      <c r="K266" s="485" t="n">
        <v>0</v>
      </c>
      <c r="L266" s="485" t="n">
        <v>0</v>
      </c>
      <c r="M266" s="515" t="inlineStr">
        <is>
          <t>G</t>
        </is>
      </c>
    </row>
    <row r="267">
      <c r="A267" s="485" t="n">
        <v>5</v>
      </c>
      <c r="B267" s="485" t="n">
        <v>3</v>
      </c>
      <c r="C267" s="485" t="n">
        <v>2</v>
      </c>
      <c r="D267" s="485" t="n">
        <v>1</v>
      </c>
      <c r="E267" s="485" t="n">
        <v>1</v>
      </c>
      <c r="F267" s="485" t="n">
        <v>2</v>
      </c>
      <c r="G267" s="485" t="inlineStr">
        <is>
          <t>North-Left2</t>
        </is>
      </c>
      <c r="H267" s="485" t="n">
        <v>1230.08</v>
      </c>
      <c r="I267" s="485" t="n">
        <v>89</v>
      </c>
      <c r="J267" s="485" t="n">
        <v>13</v>
      </c>
      <c r="K267" s="485" t="n">
        <v>24</v>
      </c>
      <c r="L267" s="485" t="n">
        <v>2</v>
      </c>
      <c r="M267" s="515" t="inlineStr">
        <is>
          <t>G</t>
        </is>
      </c>
    </row>
    <row r="268">
      <c r="A268" s="485" t="n">
        <v>5</v>
      </c>
      <c r="B268" s="485" t="n">
        <v>3</v>
      </c>
      <c r="C268" s="485" t="n">
        <v>2</v>
      </c>
      <c r="D268" s="485" t="n">
        <v>1</v>
      </c>
      <c r="E268" s="485" t="n">
        <v>1</v>
      </c>
      <c r="F268" s="485" t="n">
        <v>2</v>
      </c>
      <c r="G268" s="516" t="inlineStr">
        <is>
          <t>North-Left1</t>
        </is>
      </c>
      <c r="H268" s="485" t="n">
        <v>1318.89</v>
      </c>
      <c r="I268" s="485" t="n">
        <v>89</v>
      </c>
      <c r="J268" s="485" t="n">
        <v>13</v>
      </c>
      <c r="K268" s="485" t="n">
        <v>0</v>
      </c>
      <c r="L268" s="485" t="n">
        <v>2</v>
      </c>
      <c r="M268" s="515" t="inlineStr">
        <is>
          <t>G</t>
        </is>
      </c>
    </row>
    <row r="269">
      <c r="A269" s="485" t="n">
        <v>5</v>
      </c>
      <c r="B269" s="485" t="n">
        <v>3</v>
      </c>
      <c r="C269" s="485" t="n">
        <v>2</v>
      </c>
      <c r="D269" s="485" t="n">
        <v>1</v>
      </c>
      <c r="E269" s="485" t="n">
        <v>1</v>
      </c>
      <c r="F269" s="485" t="n">
        <v>2</v>
      </c>
      <c r="G269" s="485" t="inlineStr">
        <is>
          <t>North-Right1</t>
        </is>
      </c>
      <c r="H269" s="485" t="n">
        <v>2636.95</v>
      </c>
      <c r="I269" s="485" t="n">
        <v>89</v>
      </c>
      <c r="J269" s="485" t="n">
        <v>20</v>
      </c>
      <c r="K269" s="485" t="n">
        <v>27</v>
      </c>
      <c r="L269" s="485" t="n">
        <v>2</v>
      </c>
      <c r="M269" s="515" t="inlineStr">
        <is>
          <t>G</t>
        </is>
      </c>
    </row>
    <row r="270">
      <c r="A270" s="485" t="n">
        <v>5</v>
      </c>
      <c r="B270" s="485" t="n">
        <v>3</v>
      </c>
      <c r="C270" s="485" t="n">
        <v>2</v>
      </c>
      <c r="D270" s="485" t="n">
        <v>1</v>
      </c>
      <c r="E270" s="485" t="n">
        <v>1</v>
      </c>
      <c r="F270" s="485" t="n">
        <v>2</v>
      </c>
      <c r="G270" s="485" t="inlineStr">
        <is>
          <t>North-Right2</t>
        </is>
      </c>
      <c r="H270" s="485" t="n">
        <v>0</v>
      </c>
      <c r="I270" s="485" t="n">
        <v>0</v>
      </c>
      <c r="J270" s="485" t="n">
        <v>0</v>
      </c>
      <c r="K270" s="485" t="n">
        <v>0</v>
      </c>
      <c r="L270" s="485" t="n">
        <v>0</v>
      </c>
      <c r="M270" s="515" t="inlineStr">
        <is>
          <t>G</t>
        </is>
      </c>
    </row>
    <row r="271">
      <c r="A271" s="485" t="n">
        <v>5</v>
      </c>
      <c r="B271" s="485" t="n">
        <v>3</v>
      </c>
      <c r="C271" s="485" t="n">
        <v>2</v>
      </c>
      <c r="D271" s="485" t="n">
        <v>1</v>
      </c>
      <c r="E271" s="485" t="n">
        <v>1</v>
      </c>
      <c r="F271" s="485" t="n">
        <v>2</v>
      </c>
      <c r="G271" s="485" t="inlineStr">
        <is>
          <t>South-Left2</t>
        </is>
      </c>
      <c r="H271" s="485" t="n">
        <v>0</v>
      </c>
      <c r="I271" s="485" t="n">
        <v>0</v>
      </c>
      <c r="J271" s="485" t="n">
        <v>0</v>
      </c>
      <c r="K271" s="485" t="n">
        <v>0</v>
      </c>
      <c r="L271" s="485" t="n">
        <v>0</v>
      </c>
      <c r="M271" s="515" t="inlineStr">
        <is>
          <t>G</t>
        </is>
      </c>
    </row>
    <row r="272">
      <c r="A272" s="485" t="n">
        <v>5</v>
      </c>
      <c r="B272" s="485" t="n">
        <v>3</v>
      </c>
      <c r="C272" s="485" t="n">
        <v>2</v>
      </c>
      <c r="D272" s="485" t="n">
        <v>1</v>
      </c>
      <c r="E272" s="485" t="n">
        <v>1</v>
      </c>
      <c r="F272" s="485" t="n">
        <v>2</v>
      </c>
      <c r="G272" s="516" t="inlineStr">
        <is>
          <t>South-Left1</t>
        </is>
      </c>
      <c r="H272" s="485" t="n">
        <v>2629.68</v>
      </c>
      <c r="I272" s="485" t="n">
        <v>89</v>
      </c>
      <c r="J272" s="485" t="n">
        <v>8</v>
      </c>
      <c r="K272" s="485" t="n">
        <v>16</v>
      </c>
      <c r="L272" s="485" t="n">
        <v>2</v>
      </c>
      <c r="M272" s="515" t="inlineStr">
        <is>
          <t>G</t>
        </is>
      </c>
    </row>
    <row r="273">
      <c r="A273" s="485" t="n">
        <v>5</v>
      </c>
      <c r="B273" s="485" t="n">
        <v>3</v>
      </c>
      <c r="C273" s="485" t="n">
        <v>2</v>
      </c>
      <c r="D273" s="485" t="n">
        <v>1</v>
      </c>
      <c r="E273" s="485" t="n">
        <v>1</v>
      </c>
      <c r="F273" s="485" t="n">
        <v>2</v>
      </c>
      <c r="G273" s="485" t="inlineStr">
        <is>
          <t>South-Right1</t>
        </is>
      </c>
      <c r="H273" s="485" t="n">
        <v>2629.91</v>
      </c>
      <c r="I273" s="485" t="n">
        <v>89</v>
      </c>
      <c r="J273" s="485" t="n">
        <v>8</v>
      </c>
      <c r="K273" s="485" t="n">
        <v>9</v>
      </c>
      <c r="L273" s="485" t="n">
        <v>2</v>
      </c>
      <c r="M273" s="515" t="inlineStr">
        <is>
          <t>G</t>
        </is>
      </c>
    </row>
    <row r="274">
      <c r="A274" s="485" t="n">
        <v>5</v>
      </c>
      <c r="B274" s="485" t="n">
        <v>3</v>
      </c>
      <c r="C274" s="485" t="n">
        <v>2</v>
      </c>
      <c r="D274" s="485" t="n">
        <v>1</v>
      </c>
      <c r="E274" s="485" t="n">
        <v>1</v>
      </c>
      <c r="F274" s="485" t="n">
        <v>2</v>
      </c>
      <c r="G274" s="485" t="inlineStr">
        <is>
          <t>South-Right2</t>
        </is>
      </c>
      <c r="H274" s="485" t="n">
        <v>0</v>
      </c>
      <c r="I274" s="485" t="n">
        <v>0</v>
      </c>
      <c r="J274" s="485" t="n">
        <v>0</v>
      </c>
      <c r="K274" s="485" t="n">
        <v>0</v>
      </c>
      <c r="L274" s="485" t="n">
        <v>0</v>
      </c>
      <c r="M274" s="515" t="inlineStr">
        <is>
          <t>G</t>
        </is>
      </c>
    </row>
    <row r="275">
      <c r="A275" s="486" t="n">
        <v>5</v>
      </c>
      <c r="B275" s="486" t="n">
        <v>3</v>
      </c>
      <c r="C275" s="486" t="n">
        <v>2</v>
      </c>
      <c r="D275" s="486" t="n">
        <v>4</v>
      </c>
      <c r="E275" s="486" t="n">
        <v>2</v>
      </c>
      <c r="F275" s="486" t="n">
        <v>2</v>
      </c>
      <c r="G275" s="486" t="inlineStr">
        <is>
          <t>West-Up2</t>
        </is>
      </c>
      <c r="H275" s="486" t="n">
        <v>0</v>
      </c>
      <c r="I275" s="486" t="n">
        <v>0</v>
      </c>
      <c r="J275" s="486" t="n">
        <v>0</v>
      </c>
      <c r="K275" s="486" t="n">
        <v>0</v>
      </c>
      <c r="L275" s="486" t="n">
        <v>0</v>
      </c>
      <c r="M275" s="487" t="n"/>
    </row>
    <row r="276">
      <c r="A276" s="486" t="n">
        <v>5</v>
      </c>
      <c r="B276" s="486" t="n">
        <v>3</v>
      </c>
      <c r="C276" s="486" t="n">
        <v>2</v>
      </c>
      <c r="D276" s="486" t="n">
        <v>4</v>
      </c>
      <c r="E276" s="486" t="n">
        <v>2</v>
      </c>
      <c r="F276" s="486" t="n">
        <v>2</v>
      </c>
      <c r="G276" s="475" t="inlineStr">
        <is>
          <t>West-Up1</t>
        </is>
      </c>
      <c r="H276" s="486" t="n">
        <v>2643.5</v>
      </c>
      <c r="I276" s="486" t="n">
        <v>0</v>
      </c>
      <c r="J276" s="486" t="n">
        <v>0</v>
      </c>
      <c r="K276" s="486" t="n">
        <v>0</v>
      </c>
      <c r="L276" s="486" t="n">
        <v>0</v>
      </c>
      <c r="M276" s="487" t="n"/>
    </row>
    <row r="277">
      <c r="A277" s="486" t="n">
        <v>5</v>
      </c>
      <c r="B277" s="486" t="n">
        <v>3</v>
      </c>
      <c r="C277" s="486" t="n">
        <v>2</v>
      </c>
      <c r="D277" s="486" t="n">
        <v>4</v>
      </c>
      <c r="E277" s="486" t="n">
        <v>2</v>
      </c>
      <c r="F277" s="486" t="n">
        <v>2</v>
      </c>
      <c r="G277" s="486" t="inlineStr">
        <is>
          <t>West-Down1</t>
        </is>
      </c>
      <c r="H277" s="486" t="n">
        <v>2628.08</v>
      </c>
      <c r="I277" s="486" t="n">
        <v>0</v>
      </c>
      <c r="J277" s="486" t="n">
        <v>0</v>
      </c>
      <c r="K277" s="486" t="n">
        <v>0</v>
      </c>
      <c r="L277" s="486" t="n">
        <v>0</v>
      </c>
      <c r="M277" s="487" t="n"/>
    </row>
    <row r="278">
      <c r="A278" s="486" t="n">
        <v>5</v>
      </c>
      <c r="B278" s="486" t="n">
        <v>3</v>
      </c>
      <c r="C278" s="486" t="n">
        <v>2</v>
      </c>
      <c r="D278" s="486" t="n">
        <v>4</v>
      </c>
      <c r="E278" s="486" t="n">
        <v>2</v>
      </c>
      <c r="F278" s="486" t="n">
        <v>2</v>
      </c>
      <c r="G278" s="486" t="inlineStr">
        <is>
          <t>West-Down2</t>
        </is>
      </c>
      <c r="H278" s="486" t="n">
        <v>0</v>
      </c>
      <c r="I278" s="486" t="n">
        <v>0</v>
      </c>
      <c r="J278" s="486" t="n">
        <v>0</v>
      </c>
      <c r="K278" s="486" t="n">
        <v>0</v>
      </c>
      <c r="L278" s="486" t="n">
        <v>0</v>
      </c>
      <c r="M278" s="487" t="n"/>
    </row>
    <row r="279">
      <c r="A279" s="486" t="n">
        <v>5</v>
      </c>
      <c r="B279" s="486" t="n">
        <v>3</v>
      </c>
      <c r="C279" s="486" t="n">
        <v>2</v>
      </c>
      <c r="D279" s="486" t="n">
        <v>4</v>
      </c>
      <c r="E279" s="486" t="n">
        <v>2</v>
      </c>
      <c r="F279" s="486" t="n">
        <v>2</v>
      </c>
      <c r="G279" s="486" t="inlineStr">
        <is>
          <t>East-Up2</t>
        </is>
      </c>
      <c r="H279" s="486" t="n">
        <v>0</v>
      </c>
      <c r="I279" s="486" t="n">
        <v>0</v>
      </c>
      <c r="J279" s="486" t="n">
        <v>0</v>
      </c>
      <c r="K279" s="486" t="n">
        <v>0</v>
      </c>
      <c r="L279" s="486" t="n">
        <v>0</v>
      </c>
      <c r="M279" s="487" t="n"/>
    </row>
    <row r="280">
      <c r="A280" s="486" t="n">
        <v>5</v>
      </c>
      <c r="B280" s="486" t="n">
        <v>3</v>
      </c>
      <c r="C280" s="486" t="n">
        <v>2</v>
      </c>
      <c r="D280" s="486" t="n">
        <v>4</v>
      </c>
      <c r="E280" s="486" t="n">
        <v>2</v>
      </c>
      <c r="F280" s="486" t="n">
        <v>2</v>
      </c>
      <c r="G280" s="475" t="inlineStr">
        <is>
          <t>East-Up1</t>
        </is>
      </c>
      <c r="H280" s="486" t="n">
        <v>2651.82</v>
      </c>
      <c r="I280" s="486" t="n">
        <v>0</v>
      </c>
      <c r="J280" s="486" t="n">
        <v>19</v>
      </c>
      <c r="K280" s="486" t="n">
        <v>24</v>
      </c>
      <c r="L280" s="486" t="n">
        <v>4</v>
      </c>
      <c r="M280" s="487" t="n"/>
    </row>
    <row r="281">
      <c r="A281" s="486" t="n">
        <v>5</v>
      </c>
      <c r="B281" s="486" t="n">
        <v>3</v>
      </c>
      <c r="C281" s="486" t="n">
        <v>2</v>
      </c>
      <c r="D281" s="486" t="n">
        <v>4</v>
      </c>
      <c r="E281" s="486" t="n">
        <v>2</v>
      </c>
      <c r="F281" s="486" t="n">
        <v>2</v>
      </c>
      <c r="G281" s="486" t="inlineStr">
        <is>
          <t>East-Down1</t>
        </is>
      </c>
      <c r="H281" s="486" t="n">
        <v>2622.73</v>
      </c>
      <c r="I281" s="486" t="n">
        <v>0</v>
      </c>
      <c r="J281" s="486" t="n">
        <v>21</v>
      </c>
      <c r="K281" s="486" t="n">
        <v>50</v>
      </c>
      <c r="L281" s="486" t="n">
        <v>4</v>
      </c>
      <c r="M281" s="487" t="n"/>
    </row>
    <row r="282">
      <c r="A282" s="486" t="n">
        <v>5</v>
      </c>
      <c r="B282" s="486" t="n">
        <v>3</v>
      </c>
      <c r="C282" s="486" t="n">
        <v>2</v>
      </c>
      <c r="D282" s="486" t="n">
        <v>4</v>
      </c>
      <c r="E282" s="486" t="n">
        <v>2</v>
      </c>
      <c r="F282" s="486" t="n">
        <v>2</v>
      </c>
      <c r="G282" s="486" t="inlineStr">
        <is>
          <t>East-Down2</t>
        </is>
      </c>
      <c r="H282" s="486" t="n">
        <v>0</v>
      </c>
      <c r="I282" s="486" t="n">
        <v>0</v>
      </c>
      <c r="J282" s="486" t="n">
        <v>0</v>
      </c>
      <c r="K282" s="486" t="n">
        <v>0</v>
      </c>
      <c r="L282" s="486" t="n">
        <v>0</v>
      </c>
      <c r="M282" s="487" t="n"/>
    </row>
    <row r="283">
      <c r="A283" s="486" t="n">
        <v>5</v>
      </c>
      <c r="B283" s="486" t="n">
        <v>3</v>
      </c>
      <c r="C283" s="486" t="n">
        <v>2</v>
      </c>
      <c r="D283" s="486" t="n">
        <v>4</v>
      </c>
      <c r="E283" s="486" t="n">
        <v>2</v>
      </c>
      <c r="F283" s="486" t="n">
        <v>2</v>
      </c>
      <c r="G283" s="486" t="inlineStr">
        <is>
          <t>North-Left2</t>
        </is>
      </c>
      <c r="H283" s="486" t="n">
        <v>0</v>
      </c>
      <c r="I283" s="486" t="n">
        <v>0</v>
      </c>
      <c r="J283" s="486" t="n">
        <v>0</v>
      </c>
      <c r="K283" s="486" t="n">
        <v>0</v>
      </c>
      <c r="L283" s="486" t="n">
        <v>0</v>
      </c>
      <c r="M283" s="487" t="n"/>
    </row>
    <row r="284">
      <c r="A284" s="486" t="n">
        <v>5</v>
      </c>
      <c r="B284" s="486" t="n">
        <v>3</v>
      </c>
      <c r="C284" s="486" t="n">
        <v>2</v>
      </c>
      <c r="D284" s="486" t="n">
        <v>4</v>
      </c>
      <c r="E284" s="486" t="n">
        <v>2</v>
      </c>
      <c r="F284" s="486" t="n">
        <v>2</v>
      </c>
      <c r="G284" s="475" t="inlineStr">
        <is>
          <t>North-Left1</t>
        </is>
      </c>
      <c r="H284" s="486" t="n">
        <v>2666.97</v>
      </c>
      <c r="I284" s="486" t="n">
        <v>89</v>
      </c>
      <c r="J284" s="486" t="n">
        <v>36</v>
      </c>
      <c r="K284" s="486" t="n">
        <v>30</v>
      </c>
      <c r="L284" s="486" t="n">
        <v>2</v>
      </c>
      <c r="M284" s="487" t="n"/>
    </row>
    <row r="285">
      <c r="A285" s="486" t="n">
        <v>5</v>
      </c>
      <c r="B285" s="486" t="n">
        <v>3</v>
      </c>
      <c r="C285" s="486" t="n">
        <v>2</v>
      </c>
      <c r="D285" s="486" t="n">
        <v>4</v>
      </c>
      <c r="E285" s="486" t="n">
        <v>2</v>
      </c>
      <c r="F285" s="486" t="n">
        <v>2</v>
      </c>
      <c r="G285" s="486" t="inlineStr">
        <is>
          <t>North-Right1</t>
        </is>
      </c>
      <c r="H285" s="486" t="n">
        <v>2666.8</v>
      </c>
      <c r="I285" s="486" t="n">
        <v>89</v>
      </c>
      <c r="J285" s="486" t="n">
        <v>11</v>
      </c>
      <c r="K285" s="486" t="n">
        <v>19</v>
      </c>
      <c r="L285" s="486" t="n">
        <v>2</v>
      </c>
      <c r="M285" s="487" t="n"/>
    </row>
    <row r="286">
      <c r="A286" s="486" t="n">
        <v>5</v>
      </c>
      <c r="B286" s="486" t="n">
        <v>3</v>
      </c>
      <c r="C286" s="486" t="n">
        <v>2</v>
      </c>
      <c r="D286" s="486" t="n">
        <v>4</v>
      </c>
      <c r="E286" s="486" t="n">
        <v>2</v>
      </c>
      <c r="F286" s="486" t="n">
        <v>2</v>
      </c>
      <c r="G286" s="486" t="inlineStr">
        <is>
          <t>North-Right2</t>
        </is>
      </c>
      <c r="H286" s="486" t="n">
        <v>0</v>
      </c>
      <c r="I286" s="486" t="n">
        <v>0</v>
      </c>
      <c r="J286" s="486" t="n">
        <v>0</v>
      </c>
      <c r="K286" s="486" t="n">
        <v>0</v>
      </c>
      <c r="L286" s="486" t="n">
        <v>0</v>
      </c>
      <c r="M286" s="487" t="n"/>
    </row>
    <row r="287">
      <c r="A287" s="486" t="n">
        <v>5</v>
      </c>
      <c r="B287" s="486" t="n">
        <v>3</v>
      </c>
      <c r="C287" s="486" t="n">
        <v>2</v>
      </c>
      <c r="D287" s="486" t="n">
        <v>4</v>
      </c>
      <c r="E287" s="486" t="n">
        <v>2</v>
      </c>
      <c r="F287" s="486" t="n">
        <v>2</v>
      </c>
      <c r="G287" s="486" t="inlineStr">
        <is>
          <t>South-Left2</t>
        </is>
      </c>
      <c r="H287" s="486" t="n">
        <v>0</v>
      </c>
      <c r="I287" s="486" t="n">
        <v>0</v>
      </c>
      <c r="J287" s="486" t="n">
        <v>0</v>
      </c>
      <c r="K287" s="486" t="n">
        <v>0</v>
      </c>
      <c r="L287" s="486" t="n">
        <v>0</v>
      </c>
      <c r="M287" s="487" t="n"/>
    </row>
    <row r="288">
      <c r="A288" s="486" t="n">
        <v>5</v>
      </c>
      <c r="B288" s="486" t="n">
        <v>3</v>
      </c>
      <c r="C288" s="486" t="n">
        <v>2</v>
      </c>
      <c r="D288" s="486" t="n">
        <v>4</v>
      </c>
      <c r="E288" s="486" t="n">
        <v>2</v>
      </c>
      <c r="F288" s="486" t="n">
        <v>2</v>
      </c>
      <c r="G288" s="475" t="inlineStr">
        <is>
          <t>South-Left1</t>
        </is>
      </c>
      <c r="H288" s="486" t="n">
        <v>2670.75</v>
      </c>
      <c r="I288" s="486" t="n">
        <v>89</v>
      </c>
      <c r="J288" s="486" t="n">
        <v>24</v>
      </c>
      <c r="K288" s="486" t="n">
        <v>38</v>
      </c>
      <c r="L288" s="486" t="n">
        <v>4</v>
      </c>
      <c r="M288" s="487" t="n"/>
    </row>
    <row r="289">
      <c r="A289" s="486" t="n">
        <v>5</v>
      </c>
      <c r="B289" s="486" t="n">
        <v>3</v>
      </c>
      <c r="C289" s="486" t="n">
        <v>2</v>
      </c>
      <c r="D289" s="486" t="n">
        <v>4</v>
      </c>
      <c r="E289" s="486" t="n">
        <v>2</v>
      </c>
      <c r="F289" s="486" t="n">
        <v>2</v>
      </c>
      <c r="G289" s="486" t="inlineStr">
        <is>
          <t>South-Right1</t>
        </is>
      </c>
      <c r="H289" s="486" t="n">
        <v>2664.87</v>
      </c>
      <c r="I289" s="486" t="n">
        <v>89</v>
      </c>
      <c r="J289" s="486" t="n">
        <v>27</v>
      </c>
      <c r="K289" s="486" t="n">
        <v>2</v>
      </c>
      <c r="L289" s="486" t="n">
        <v>2</v>
      </c>
      <c r="M289" s="487" t="n"/>
    </row>
    <row r="290">
      <c r="A290" s="486" t="n">
        <v>5</v>
      </c>
      <c r="B290" s="486" t="n">
        <v>3</v>
      </c>
      <c r="C290" s="486" t="n">
        <v>2</v>
      </c>
      <c r="D290" s="486" t="n">
        <v>4</v>
      </c>
      <c r="E290" s="486" t="n">
        <v>2</v>
      </c>
      <c r="F290" s="486" t="n">
        <v>2</v>
      </c>
      <c r="G290" s="486" t="inlineStr">
        <is>
          <t>South-Right2</t>
        </is>
      </c>
      <c r="H290" s="486" t="n">
        <v>0</v>
      </c>
      <c r="I290" s="486" t="n">
        <v>0</v>
      </c>
      <c r="J290" s="486" t="n">
        <v>0</v>
      </c>
      <c r="K290" s="486" t="n">
        <v>0</v>
      </c>
      <c r="L290" s="486" t="n">
        <v>0</v>
      </c>
      <c r="M290" s="487" t="n"/>
    </row>
    <row r="291">
      <c r="A291" s="486" t="n">
        <v>6</v>
      </c>
      <c r="B291" s="486" t="n">
        <v>2</v>
      </c>
      <c r="C291" s="486" t="n">
        <v>2</v>
      </c>
      <c r="D291" s="486" t="n">
        <v>1</v>
      </c>
      <c r="E291" s="486" t="n">
        <v>1</v>
      </c>
      <c r="F291" s="486" t="n">
        <v>2</v>
      </c>
      <c r="G291" s="486" t="inlineStr">
        <is>
          <t>West-Up2</t>
        </is>
      </c>
      <c r="H291" s="486" t="n">
        <v>1321.39</v>
      </c>
      <c r="I291" s="486" t="n">
        <v>0</v>
      </c>
      <c r="J291" s="486" t="n">
        <v>24</v>
      </c>
      <c r="K291" s="486" t="n">
        <v>2</v>
      </c>
      <c r="L291" s="486" t="n">
        <v>4</v>
      </c>
      <c r="M291" s="487" t="inlineStr">
        <is>
          <t>T</t>
        </is>
      </c>
    </row>
    <row r="292">
      <c r="A292" s="486" t="n">
        <v>6</v>
      </c>
      <c r="B292" s="486" t="n">
        <v>2</v>
      </c>
      <c r="C292" s="486" t="n">
        <v>2</v>
      </c>
      <c r="D292" s="486" t="n">
        <v>1</v>
      </c>
      <c r="E292" s="486" t="n">
        <v>1</v>
      </c>
      <c r="F292" s="486" t="n">
        <v>2</v>
      </c>
      <c r="G292" s="475" t="inlineStr">
        <is>
          <t>West-Up1</t>
        </is>
      </c>
      <c r="H292" s="486" t="n">
        <v>1322.06</v>
      </c>
      <c r="I292" s="486" t="n">
        <v>1</v>
      </c>
      <c r="J292" s="486" t="n">
        <v>50</v>
      </c>
      <c r="K292" s="486" t="n">
        <v>57</v>
      </c>
      <c r="L292" s="486" t="n">
        <v>4</v>
      </c>
      <c r="M292" s="487" t="inlineStr">
        <is>
          <t>T</t>
        </is>
      </c>
    </row>
    <row r="293">
      <c r="A293" s="486" t="n">
        <v>6</v>
      </c>
      <c r="B293" s="486" t="n">
        <v>2</v>
      </c>
      <c r="C293" s="486" t="n">
        <v>2</v>
      </c>
      <c r="D293" s="486" t="n">
        <v>1</v>
      </c>
      <c r="E293" s="486" t="n">
        <v>1</v>
      </c>
      <c r="F293" s="486" t="n">
        <v>2</v>
      </c>
      <c r="G293" s="486" t="inlineStr">
        <is>
          <t>West-Down1</t>
        </is>
      </c>
      <c r="H293" s="486" t="n">
        <v>2628.23</v>
      </c>
      <c r="I293" s="486" t="n">
        <v>0</v>
      </c>
      <c r="J293" s="486" t="n">
        <v>30</v>
      </c>
      <c r="K293" s="486" t="n">
        <v>36</v>
      </c>
      <c r="L293" s="486" t="n">
        <v>2</v>
      </c>
      <c r="M293" s="487" t="inlineStr">
        <is>
          <t>T</t>
        </is>
      </c>
    </row>
    <row r="294">
      <c r="A294" s="486" t="n">
        <v>6</v>
      </c>
      <c r="B294" s="486" t="n">
        <v>2</v>
      </c>
      <c r="C294" s="486" t="n">
        <v>2</v>
      </c>
      <c r="D294" s="486" t="n">
        <v>1</v>
      </c>
      <c r="E294" s="486" t="n">
        <v>1</v>
      </c>
      <c r="F294" s="486" t="n">
        <v>2</v>
      </c>
      <c r="G294" s="486" t="inlineStr">
        <is>
          <t>West-Down2</t>
        </is>
      </c>
      <c r="H294" s="486" t="n">
        <v>0</v>
      </c>
      <c r="I294" s="486" t="n">
        <v>0</v>
      </c>
      <c r="J294" s="486" t="n">
        <v>0</v>
      </c>
      <c r="K294" s="486" t="n">
        <v>0</v>
      </c>
      <c r="L294" s="486" t="n">
        <v>0</v>
      </c>
      <c r="M294" s="487" t="inlineStr">
        <is>
          <t>T</t>
        </is>
      </c>
    </row>
    <row r="295">
      <c r="A295" s="486" t="n">
        <v>6</v>
      </c>
      <c r="B295" s="486" t="n">
        <v>2</v>
      </c>
      <c r="C295" s="486" t="n">
        <v>2</v>
      </c>
      <c r="D295" s="486" t="n">
        <v>1</v>
      </c>
      <c r="E295" s="486" t="n">
        <v>1</v>
      </c>
      <c r="F295" s="486" t="n">
        <v>2</v>
      </c>
      <c r="G295" s="486" t="inlineStr">
        <is>
          <t>East-Up2</t>
        </is>
      </c>
      <c r="H295" s="486" t="n">
        <v>0</v>
      </c>
      <c r="I295" s="486" t="n">
        <v>0</v>
      </c>
      <c r="J295" s="486" t="n">
        <v>0</v>
      </c>
      <c r="K295" s="486" t="n">
        <v>0</v>
      </c>
      <c r="L295" s="486" t="n">
        <v>0</v>
      </c>
      <c r="M295" s="487" t="inlineStr">
        <is>
          <t>T</t>
        </is>
      </c>
    </row>
    <row r="296">
      <c r="A296" s="486" t="n">
        <v>6</v>
      </c>
      <c r="B296" s="486" t="n">
        <v>2</v>
      </c>
      <c r="C296" s="486" t="n">
        <v>2</v>
      </c>
      <c r="D296" s="486" t="n">
        <v>1</v>
      </c>
      <c r="E296" s="486" t="n">
        <v>1</v>
      </c>
      <c r="F296" s="486" t="n">
        <v>2</v>
      </c>
      <c r="G296" s="475" t="inlineStr">
        <is>
          <t>East-Up1</t>
        </is>
      </c>
      <c r="H296" s="486" t="n">
        <v>5324.75</v>
      </c>
      <c r="I296" s="486" t="n">
        <v>0</v>
      </c>
      <c r="J296" s="486" t="n">
        <v>0</v>
      </c>
      <c r="K296" s="486" t="n">
        <v>19</v>
      </c>
      <c r="L296" s="486" t="n">
        <v>3</v>
      </c>
      <c r="M296" s="487" t="inlineStr">
        <is>
          <t>T</t>
        </is>
      </c>
    </row>
    <row r="297">
      <c r="A297" s="486" t="n">
        <v>6</v>
      </c>
      <c r="B297" s="486" t="n">
        <v>2</v>
      </c>
      <c r="C297" s="486" t="n">
        <v>2</v>
      </c>
      <c r="D297" s="486" t="n">
        <v>1</v>
      </c>
      <c r="E297" s="486" t="n">
        <v>1</v>
      </c>
      <c r="F297" s="486" t="n">
        <v>2</v>
      </c>
      <c r="G297" s="486" t="inlineStr">
        <is>
          <t>East-Down1</t>
        </is>
      </c>
      <c r="H297" s="486" t="n">
        <v>0</v>
      </c>
      <c r="I297" s="486" t="n">
        <v>0</v>
      </c>
      <c r="J297" s="486" t="n">
        <v>0</v>
      </c>
      <c r="K297" s="486" t="n">
        <v>0</v>
      </c>
      <c r="L297" s="486" t="n">
        <v>0</v>
      </c>
      <c r="M297" s="487" t="inlineStr">
        <is>
          <t>T</t>
        </is>
      </c>
    </row>
    <row r="298">
      <c r="A298" s="486" t="n">
        <v>6</v>
      </c>
      <c r="B298" s="486" t="n">
        <v>2</v>
      </c>
      <c r="C298" s="486" t="n">
        <v>2</v>
      </c>
      <c r="D298" s="486" t="n">
        <v>1</v>
      </c>
      <c r="E298" s="486" t="n">
        <v>1</v>
      </c>
      <c r="F298" s="486" t="n">
        <v>2</v>
      </c>
      <c r="G298" s="486" t="inlineStr">
        <is>
          <t>East-Down2</t>
        </is>
      </c>
      <c r="H298" s="486" t="n">
        <v>0</v>
      </c>
      <c r="I298" s="486" t="n">
        <v>0</v>
      </c>
      <c r="J298" s="486" t="n">
        <v>0</v>
      </c>
      <c r="K298" s="486" t="n">
        <v>0</v>
      </c>
      <c r="L298" s="486" t="n">
        <v>0</v>
      </c>
      <c r="M298" s="487" t="inlineStr">
        <is>
          <t>T</t>
        </is>
      </c>
    </row>
    <row r="299">
      <c r="A299" s="486" t="n">
        <v>6</v>
      </c>
      <c r="B299" s="486" t="n">
        <v>2</v>
      </c>
      <c r="C299" s="486" t="n">
        <v>2</v>
      </c>
      <c r="D299" s="486" t="n">
        <v>1</v>
      </c>
      <c r="E299" s="486" t="n">
        <v>1</v>
      </c>
      <c r="F299" s="486" t="n">
        <v>2</v>
      </c>
      <c r="G299" s="486" t="inlineStr">
        <is>
          <t>North-Left2</t>
        </is>
      </c>
      <c r="H299" s="486" t="n">
        <v>1319.65</v>
      </c>
      <c r="I299" s="486" t="n">
        <v>89</v>
      </c>
      <c r="J299" s="486" t="n">
        <v>42</v>
      </c>
      <c r="K299" s="486" t="n">
        <v>1</v>
      </c>
      <c r="L299" s="486" t="n">
        <v>2</v>
      </c>
      <c r="M299" s="487" t="inlineStr">
        <is>
          <t>T</t>
        </is>
      </c>
    </row>
    <row r="300">
      <c r="A300" s="486" t="n">
        <v>6</v>
      </c>
      <c r="B300" s="486" t="n">
        <v>2</v>
      </c>
      <c r="C300" s="486" t="n">
        <v>2</v>
      </c>
      <c r="D300" s="486" t="n">
        <v>1</v>
      </c>
      <c r="E300" s="486" t="n">
        <v>1</v>
      </c>
      <c r="F300" s="486" t="n">
        <v>2</v>
      </c>
      <c r="G300" s="475" t="inlineStr">
        <is>
          <t>North-Left1</t>
        </is>
      </c>
      <c r="H300" s="486" t="n">
        <v>1319.69</v>
      </c>
      <c r="I300" s="486" t="n">
        <v>89</v>
      </c>
      <c r="J300" s="486" t="n">
        <v>41</v>
      </c>
      <c r="K300" s="486" t="n">
        <v>51</v>
      </c>
      <c r="L300" s="486" t="n">
        <v>2</v>
      </c>
      <c r="M300" s="487" t="inlineStr">
        <is>
          <t>T</t>
        </is>
      </c>
    </row>
    <row r="301">
      <c r="A301" s="486" t="n">
        <v>6</v>
      </c>
      <c r="B301" s="486" t="n">
        <v>2</v>
      </c>
      <c r="C301" s="486" t="n">
        <v>2</v>
      </c>
      <c r="D301" s="486" t="n">
        <v>1</v>
      </c>
      <c r="E301" s="486" t="n">
        <v>1</v>
      </c>
      <c r="F301" s="486" t="n">
        <v>2</v>
      </c>
      <c r="G301" s="486" t="inlineStr">
        <is>
          <t>North-Right1</t>
        </is>
      </c>
      <c r="H301" s="486" t="n">
        <v>2635.44</v>
      </c>
      <c r="I301" s="486" t="n">
        <v>89</v>
      </c>
      <c r="J301" s="486" t="n">
        <v>52</v>
      </c>
      <c r="K301" s="486" t="n">
        <v>15</v>
      </c>
      <c r="L301" s="486" t="n">
        <v>2</v>
      </c>
      <c r="M301" s="487" t="inlineStr">
        <is>
          <t>T</t>
        </is>
      </c>
    </row>
    <row r="302">
      <c r="A302" s="486" t="n">
        <v>6</v>
      </c>
      <c r="B302" s="486" t="n">
        <v>2</v>
      </c>
      <c r="C302" s="486" t="n">
        <v>2</v>
      </c>
      <c r="D302" s="486" t="n">
        <v>1</v>
      </c>
      <c r="E302" s="486" t="n">
        <v>1</v>
      </c>
      <c r="F302" s="486" t="n">
        <v>2</v>
      </c>
      <c r="G302" s="486" t="inlineStr">
        <is>
          <t>North-Right2</t>
        </is>
      </c>
      <c r="H302" s="486" t="n">
        <v>0</v>
      </c>
      <c r="I302" s="486" t="n">
        <v>0</v>
      </c>
      <c r="J302" s="486" t="n">
        <v>0</v>
      </c>
      <c r="K302" s="486" t="n">
        <v>0</v>
      </c>
      <c r="L302" s="486" t="n">
        <v>0</v>
      </c>
      <c r="M302" s="487" t="inlineStr">
        <is>
          <t>T</t>
        </is>
      </c>
    </row>
    <row r="303">
      <c r="A303" s="486" t="n">
        <v>6</v>
      </c>
      <c r="B303" s="486" t="n">
        <v>2</v>
      </c>
      <c r="C303" s="486" t="n">
        <v>2</v>
      </c>
      <c r="D303" s="486" t="n">
        <v>1</v>
      </c>
      <c r="E303" s="486" t="n">
        <v>1</v>
      </c>
      <c r="F303" s="486" t="n">
        <v>2</v>
      </c>
      <c r="G303" s="486" t="inlineStr">
        <is>
          <t>South-Left2</t>
        </is>
      </c>
      <c r="H303" s="486" t="n">
        <v>1303.04</v>
      </c>
      <c r="I303" s="486" t="n">
        <v>89</v>
      </c>
      <c r="J303" s="486" t="n">
        <v>45</v>
      </c>
      <c r="K303" s="486" t="n">
        <v>17</v>
      </c>
      <c r="L303" s="486" t="n">
        <v>4</v>
      </c>
      <c r="M303" s="487" t="inlineStr">
        <is>
          <t>T</t>
        </is>
      </c>
    </row>
    <row r="304">
      <c r="A304" s="486" t="n">
        <v>6</v>
      </c>
      <c r="B304" s="486" t="n">
        <v>2</v>
      </c>
      <c r="C304" s="486" t="n">
        <v>2</v>
      </c>
      <c r="D304" s="486" t="n">
        <v>1</v>
      </c>
      <c r="E304" s="486" t="n">
        <v>1</v>
      </c>
      <c r="F304" s="486" t="n">
        <v>2</v>
      </c>
      <c r="G304" s="475" t="inlineStr">
        <is>
          <t>South-Left1</t>
        </is>
      </c>
      <c r="H304" s="486" t="n">
        <v>1327.93</v>
      </c>
      <c r="I304" s="486" t="n">
        <v>89</v>
      </c>
      <c r="J304" s="486" t="n">
        <v>47</v>
      </c>
      <c r="K304" s="486" t="n">
        <v>30</v>
      </c>
      <c r="L304" s="486" t="n">
        <v>4</v>
      </c>
      <c r="M304" s="487" t="inlineStr">
        <is>
          <t>T</t>
        </is>
      </c>
    </row>
    <row r="305">
      <c r="A305" s="486" t="n">
        <v>6</v>
      </c>
      <c r="B305" s="486" t="n">
        <v>2</v>
      </c>
      <c r="C305" s="486" t="n">
        <v>2</v>
      </c>
      <c r="D305" s="486" t="n">
        <v>1</v>
      </c>
      <c r="E305" s="486" t="n">
        <v>1</v>
      </c>
      <c r="F305" s="486" t="n">
        <v>2</v>
      </c>
      <c r="G305" s="486" t="inlineStr">
        <is>
          <t>South-Right1</t>
        </is>
      </c>
      <c r="H305" s="486" t="n">
        <v>1300.9</v>
      </c>
      <c r="I305" s="486" t="n">
        <v>89</v>
      </c>
      <c r="J305" s="486" t="n">
        <v>38</v>
      </c>
      <c r="K305" s="486" t="n">
        <v>42</v>
      </c>
      <c r="L305" s="486" t="n">
        <v>4</v>
      </c>
      <c r="M305" s="487" t="inlineStr">
        <is>
          <t>T</t>
        </is>
      </c>
    </row>
    <row r="306">
      <c r="A306" s="486" t="n">
        <v>6</v>
      </c>
      <c r="B306" s="486" t="n">
        <v>2</v>
      </c>
      <c r="C306" s="486" t="n">
        <v>2</v>
      </c>
      <c r="D306" s="486" t="n">
        <v>1</v>
      </c>
      <c r="E306" s="486" t="n">
        <v>1</v>
      </c>
      <c r="F306" s="486" t="n">
        <v>2</v>
      </c>
      <c r="G306" s="486" t="inlineStr">
        <is>
          <t>South-Right2</t>
        </is>
      </c>
      <c r="H306" s="486" t="n">
        <v>1314.01</v>
      </c>
      <c r="I306" s="486" t="n">
        <v>89</v>
      </c>
      <c r="J306" s="486" t="n">
        <v>19</v>
      </c>
      <c r="K306" s="486" t="n">
        <v>10</v>
      </c>
      <c r="L306" s="486" t="n">
        <v>4</v>
      </c>
      <c r="M306" s="487" t="inlineStr">
        <is>
          <t>T</t>
        </is>
      </c>
    </row>
    <row r="307">
      <c r="A307" s="485" t="n">
        <v>6</v>
      </c>
      <c r="B307" s="485" t="n">
        <v>2</v>
      </c>
      <c r="C307" s="485" t="n">
        <v>2</v>
      </c>
      <c r="D307" s="485" t="n">
        <v>2</v>
      </c>
      <c r="E307" s="485" t="n">
        <v>2</v>
      </c>
      <c r="F307" s="485" t="n">
        <v>2</v>
      </c>
      <c r="G307" s="485" t="inlineStr">
        <is>
          <t>West-Up2</t>
        </is>
      </c>
      <c r="H307" s="485" t="n">
        <v>1306.69</v>
      </c>
      <c r="I307" s="485" t="n">
        <v>0</v>
      </c>
      <c r="J307" s="485" t="n">
        <v>4</v>
      </c>
      <c r="K307" s="485" t="n">
        <v>25</v>
      </c>
      <c r="L307" s="485" t="n">
        <v>4</v>
      </c>
      <c r="M307" s="514" t="inlineStr">
        <is>
          <t>T</t>
        </is>
      </c>
    </row>
    <row r="308">
      <c r="A308" s="485" t="n">
        <v>6</v>
      </c>
      <c r="B308" s="485" t="n">
        <v>2</v>
      </c>
      <c r="C308" s="485" t="n">
        <v>2</v>
      </c>
      <c r="D308" s="485" t="n">
        <v>2</v>
      </c>
      <c r="E308" s="485" t="n">
        <v>2</v>
      </c>
      <c r="F308" s="485" t="n">
        <v>2</v>
      </c>
      <c r="G308" s="516" t="inlineStr">
        <is>
          <t>West-Up1</t>
        </is>
      </c>
      <c r="H308" s="485" t="n">
        <v>1313.37</v>
      </c>
      <c r="I308" s="485" t="n">
        <v>0</v>
      </c>
      <c r="J308" s="485" t="n">
        <v>5</v>
      </c>
      <c r="K308" s="485" t="n">
        <v>13</v>
      </c>
      <c r="L308" s="485" t="n">
        <v>4</v>
      </c>
      <c r="M308" s="514" t="inlineStr">
        <is>
          <t>T</t>
        </is>
      </c>
    </row>
    <row r="309">
      <c r="A309" s="485" t="n">
        <v>6</v>
      </c>
      <c r="B309" s="485" t="n">
        <v>2</v>
      </c>
      <c r="C309" s="485" t="n">
        <v>2</v>
      </c>
      <c r="D309" s="485" t="n">
        <v>2</v>
      </c>
      <c r="E309" s="485" t="n">
        <v>2</v>
      </c>
      <c r="F309" s="485" t="n">
        <v>2</v>
      </c>
      <c r="G309" s="485" t="inlineStr">
        <is>
          <t>West-Down1</t>
        </is>
      </c>
      <c r="H309" s="485" t="n">
        <v>1313.43</v>
      </c>
      <c r="I309" s="485" t="n">
        <v>0</v>
      </c>
      <c r="J309" s="485" t="n">
        <v>4</v>
      </c>
      <c r="K309" s="485" t="n">
        <v>11</v>
      </c>
      <c r="L309" s="485" t="n">
        <v>4</v>
      </c>
      <c r="M309" s="514" t="inlineStr">
        <is>
          <t>T</t>
        </is>
      </c>
    </row>
    <row r="310">
      <c r="A310" s="485" t="n">
        <v>6</v>
      </c>
      <c r="B310" s="485" t="n">
        <v>2</v>
      </c>
      <c r="C310" s="485" t="n">
        <v>2</v>
      </c>
      <c r="D310" s="485" t="n">
        <v>2</v>
      </c>
      <c r="E310" s="485" t="n">
        <v>2</v>
      </c>
      <c r="F310" s="485" t="n">
        <v>2</v>
      </c>
      <c r="G310" s="485" t="inlineStr">
        <is>
          <t>West-Down2</t>
        </is>
      </c>
      <c r="H310" s="485" t="n">
        <v>1313.18</v>
      </c>
      <c r="I310" s="485" t="n">
        <v>0</v>
      </c>
      <c r="J310" s="485" t="n">
        <v>4</v>
      </c>
      <c r="K310" s="485" t="n">
        <v>25</v>
      </c>
      <c r="L310" s="485" t="n">
        <v>4</v>
      </c>
      <c r="M310" s="514" t="inlineStr">
        <is>
          <t>T</t>
        </is>
      </c>
    </row>
    <row r="311">
      <c r="A311" s="485" t="n">
        <v>6</v>
      </c>
      <c r="B311" s="485" t="n">
        <v>2</v>
      </c>
      <c r="C311" s="485" t="n">
        <v>2</v>
      </c>
      <c r="D311" s="485" t="n">
        <v>2</v>
      </c>
      <c r="E311" s="485" t="n">
        <v>2</v>
      </c>
      <c r="F311" s="485" t="n">
        <v>2</v>
      </c>
      <c r="G311" s="485" t="inlineStr">
        <is>
          <t>East-Up2</t>
        </is>
      </c>
      <c r="H311" s="485" t="n">
        <v>0</v>
      </c>
      <c r="I311" s="485" t="n">
        <v>0</v>
      </c>
      <c r="J311" s="485" t="n">
        <v>0</v>
      </c>
      <c r="K311" s="485" t="n">
        <v>0</v>
      </c>
      <c r="L311" s="485" t="n">
        <v>0</v>
      </c>
      <c r="M311" s="514" t="inlineStr">
        <is>
          <t>T</t>
        </is>
      </c>
    </row>
    <row r="312">
      <c r="A312" s="485" t="n">
        <v>6</v>
      </c>
      <c r="B312" s="485" t="n">
        <v>2</v>
      </c>
      <c r="C312" s="485" t="n">
        <v>2</v>
      </c>
      <c r="D312" s="485" t="n">
        <v>2</v>
      </c>
      <c r="E312" s="485" t="n">
        <v>2</v>
      </c>
      <c r="F312" s="485" t="n">
        <v>2</v>
      </c>
      <c r="G312" s="516" t="inlineStr">
        <is>
          <t>East-Up1</t>
        </is>
      </c>
      <c r="H312" s="485" t="n">
        <v>2631.82</v>
      </c>
      <c r="I312" s="485" t="n">
        <v>0</v>
      </c>
      <c r="J312" s="485" t="n">
        <v>1</v>
      </c>
      <c r="K312" s="485" t="n">
        <v>5</v>
      </c>
      <c r="L312" s="485" t="n">
        <v>4</v>
      </c>
      <c r="M312" s="514" t="inlineStr">
        <is>
          <t>T</t>
        </is>
      </c>
    </row>
    <row r="313">
      <c r="A313" s="485" t="n">
        <v>6</v>
      </c>
      <c r="B313" s="485" t="n">
        <v>2</v>
      </c>
      <c r="C313" s="485" t="n">
        <v>2</v>
      </c>
      <c r="D313" s="485" t="n">
        <v>2</v>
      </c>
      <c r="E313" s="485" t="n">
        <v>2</v>
      </c>
      <c r="F313" s="485" t="n">
        <v>2</v>
      </c>
      <c r="G313" s="485" t="inlineStr">
        <is>
          <t>East-Down1</t>
        </is>
      </c>
      <c r="H313" s="485" t="n">
        <v>2641.18</v>
      </c>
      <c r="I313" s="485" t="n">
        <v>0</v>
      </c>
      <c r="J313" s="485" t="n">
        <v>0</v>
      </c>
      <c r="K313" s="485" t="n">
        <v>5</v>
      </c>
      <c r="L313" s="485" t="n">
        <v>0</v>
      </c>
      <c r="M313" s="514" t="inlineStr">
        <is>
          <t>T</t>
        </is>
      </c>
    </row>
    <row r="314">
      <c r="A314" s="485" t="n">
        <v>6</v>
      </c>
      <c r="B314" s="485" t="n">
        <v>2</v>
      </c>
      <c r="C314" s="485" t="n">
        <v>2</v>
      </c>
      <c r="D314" s="485" t="n">
        <v>2</v>
      </c>
      <c r="E314" s="485" t="n">
        <v>2</v>
      </c>
      <c r="F314" s="485" t="n">
        <v>2</v>
      </c>
      <c r="G314" s="485" t="inlineStr">
        <is>
          <t>East-Down2</t>
        </is>
      </c>
      <c r="H314" s="485" t="n">
        <v>0</v>
      </c>
      <c r="I314" s="485" t="n">
        <v>0</v>
      </c>
      <c r="J314" s="485" t="n">
        <v>0</v>
      </c>
      <c r="K314" s="485" t="n">
        <v>0</v>
      </c>
      <c r="L314" s="485" t="n">
        <v>0</v>
      </c>
      <c r="M314" s="514" t="inlineStr">
        <is>
          <t>T</t>
        </is>
      </c>
    </row>
    <row r="315">
      <c r="A315" s="485" t="n">
        <v>6</v>
      </c>
      <c r="B315" s="485" t="n">
        <v>2</v>
      </c>
      <c r="C315" s="485" t="n">
        <v>2</v>
      </c>
      <c r="D315" s="485" t="n">
        <v>2</v>
      </c>
      <c r="E315" s="485" t="n">
        <v>2</v>
      </c>
      <c r="F315" s="485" t="n">
        <v>2</v>
      </c>
      <c r="G315" s="485" t="inlineStr">
        <is>
          <t>North-Left2</t>
        </is>
      </c>
      <c r="H315" s="485" t="n">
        <v>0</v>
      </c>
      <c r="I315" s="485" t="n">
        <v>0</v>
      </c>
      <c r="J315" s="485" t="n">
        <v>0</v>
      </c>
      <c r="K315" s="485" t="n">
        <v>0</v>
      </c>
      <c r="L315" s="485" t="n">
        <v>0</v>
      </c>
      <c r="M315" s="514" t="inlineStr">
        <is>
          <t>T</t>
        </is>
      </c>
    </row>
    <row r="316">
      <c r="A316" s="485" t="n">
        <v>6</v>
      </c>
      <c r="B316" s="485" t="n">
        <v>2</v>
      </c>
      <c r="C316" s="485" t="n">
        <v>2</v>
      </c>
      <c r="D316" s="485" t="n">
        <v>2</v>
      </c>
      <c r="E316" s="485" t="n">
        <v>2</v>
      </c>
      <c r="F316" s="485" t="n">
        <v>2</v>
      </c>
      <c r="G316" s="516" t="inlineStr">
        <is>
          <t>North-Left1</t>
        </is>
      </c>
      <c r="H316" s="485" t="n">
        <v>2489.6</v>
      </c>
      <c r="I316" s="485" t="n">
        <v>89</v>
      </c>
      <c r="J316" s="485" t="n">
        <v>51</v>
      </c>
      <c r="K316" s="485" t="n">
        <v>58</v>
      </c>
      <c r="L316" s="485" t="n">
        <v>3</v>
      </c>
      <c r="M316" s="514" t="inlineStr">
        <is>
          <t>T</t>
        </is>
      </c>
    </row>
    <row r="317">
      <c r="A317" s="485" t="n">
        <v>6</v>
      </c>
      <c r="B317" s="485" t="n">
        <v>2</v>
      </c>
      <c r="C317" s="485" t="n">
        <v>2</v>
      </c>
      <c r="D317" s="485" t="n">
        <v>2</v>
      </c>
      <c r="E317" s="485" t="n">
        <v>2</v>
      </c>
      <c r="F317" s="485" t="n">
        <v>2</v>
      </c>
      <c r="G317" s="485" t="inlineStr">
        <is>
          <t>North-Right1</t>
        </is>
      </c>
      <c r="H317" s="485" t="n">
        <v>2673.17</v>
      </c>
      <c r="I317" s="485" t="n">
        <v>89</v>
      </c>
      <c r="J317" s="485" t="n">
        <v>48</v>
      </c>
      <c r="K317" s="485" t="n">
        <v>1</v>
      </c>
      <c r="L317" s="485" t="n">
        <v>3</v>
      </c>
      <c r="M317" s="514" t="inlineStr">
        <is>
          <t>T</t>
        </is>
      </c>
    </row>
    <row r="318">
      <c r="A318" s="485" t="n">
        <v>6</v>
      </c>
      <c r="B318" s="485" t="n">
        <v>2</v>
      </c>
      <c r="C318" s="485" t="n">
        <v>2</v>
      </c>
      <c r="D318" s="485" t="n">
        <v>2</v>
      </c>
      <c r="E318" s="485" t="n">
        <v>2</v>
      </c>
      <c r="F318" s="485" t="n">
        <v>2</v>
      </c>
      <c r="G318" s="485" t="inlineStr">
        <is>
          <t>North-Right2</t>
        </is>
      </c>
      <c r="H318" s="485" t="n">
        <v>0</v>
      </c>
      <c r="I318" s="485" t="n">
        <v>0</v>
      </c>
      <c r="J318" s="485" t="n">
        <v>0</v>
      </c>
      <c r="K318" s="485" t="n">
        <v>0</v>
      </c>
      <c r="L318" s="485" t="n">
        <v>0</v>
      </c>
      <c r="M318" s="514" t="inlineStr">
        <is>
          <t>T</t>
        </is>
      </c>
    </row>
    <row r="319">
      <c r="A319" s="485" t="n">
        <v>6</v>
      </c>
      <c r="B319" s="485" t="n">
        <v>2</v>
      </c>
      <c r="C319" s="485" t="n">
        <v>2</v>
      </c>
      <c r="D319" s="485" t="n">
        <v>2</v>
      </c>
      <c r="E319" s="485" t="n">
        <v>2</v>
      </c>
      <c r="F319" s="485" t="n">
        <v>2</v>
      </c>
      <c r="G319" s="485" t="inlineStr">
        <is>
          <t>South-Left2</t>
        </is>
      </c>
      <c r="H319" s="485" t="n">
        <v>0</v>
      </c>
      <c r="I319" s="485" t="n">
        <v>0</v>
      </c>
      <c r="J319" s="485" t="n">
        <v>0</v>
      </c>
      <c r="K319" s="485" t="n">
        <v>0</v>
      </c>
      <c r="L319" s="485" t="n">
        <v>0</v>
      </c>
      <c r="M319" s="514" t="inlineStr">
        <is>
          <t>T</t>
        </is>
      </c>
    </row>
    <row r="320">
      <c r="A320" s="485" t="n">
        <v>6</v>
      </c>
      <c r="B320" s="485" t="n">
        <v>2</v>
      </c>
      <c r="C320" s="485" t="n">
        <v>2</v>
      </c>
      <c r="D320" s="485" t="n">
        <v>2</v>
      </c>
      <c r="E320" s="485" t="n">
        <v>2</v>
      </c>
      <c r="F320" s="485" t="n">
        <v>2</v>
      </c>
      <c r="G320" s="516" t="inlineStr">
        <is>
          <t>South-Left1</t>
        </is>
      </c>
      <c r="H320" s="485" t="n">
        <v>2521.45</v>
      </c>
      <c r="I320" s="485" t="n">
        <v>89</v>
      </c>
      <c r="J320" s="485" t="n">
        <v>52</v>
      </c>
      <c r="K320" s="485" t="n">
        <v>28</v>
      </c>
      <c r="L320" s="485" t="n">
        <v>4</v>
      </c>
      <c r="M320" s="514" t="inlineStr">
        <is>
          <t>T</t>
        </is>
      </c>
    </row>
    <row r="321">
      <c r="A321" s="485" t="n">
        <v>6</v>
      </c>
      <c r="B321" s="485" t="n">
        <v>2</v>
      </c>
      <c r="C321" s="485" t="n">
        <v>2</v>
      </c>
      <c r="D321" s="485" t="n">
        <v>2</v>
      </c>
      <c r="E321" s="485" t="n">
        <v>2</v>
      </c>
      <c r="F321" s="485" t="n">
        <v>2</v>
      </c>
      <c r="G321" s="485" t="inlineStr">
        <is>
          <t>South-Right1</t>
        </is>
      </c>
      <c r="H321" s="485" t="n">
        <v>2635.84</v>
      </c>
      <c r="I321" s="485" t="n">
        <v>89</v>
      </c>
      <c r="J321" s="485" t="n">
        <v>52</v>
      </c>
      <c r="K321" s="485" t="n">
        <v>35</v>
      </c>
      <c r="L321" s="485" t="n">
        <v>4</v>
      </c>
      <c r="M321" s="514" t="inlineStr">
        <is>
          <t>T</t>
        </is>
      </c>
    </row>
    <row r="322">
      <c r="A322" s="485" t="n">
        <v>6</v>
      </c>
      <c r="B322" s="485" t="n">
        <v>2</v>
      </c>
      <c r="C322" s="485" t="n">
        <v>2</v>
      </c>
      <c r="D322" s="485" t="n">
        <v>2</v>
      </c>
      <c r="E322" s="485" t="n">
        <v>2</v>
      </c>
      <c r="F322" s="485" t="n">
        <v>2</v>
      </c>
      <c r="G322" s="485" t="inlineStr">
        <is>
          <t>South-Right2</t>
        </is>
      </c>
      <c r="H322" s="485" t="n">
        <v>0</v>
      </c>
      <c r="I322" s="485" t="n">
        <v>0</v>
      </c>
      <c r="J322" s="485" t="n">
        <v>0</v>
      </c>
      <c r="K322" s="485" t="n">
        <v>0</v>
      </c>
      <c r="L322" s="485" t="n">
        <v>0</v>
      </c>
      <c r="M322" s="514" t="inlineStr">
        <is>
          <t>T</t>
        </is>
      </c>
    </row>
    <row r="323">
      <c r="A323" s="485" t="n">
        <v>6</v>
      </c>
      <c r="B323" s="485" t="n">
        <v>2</v>
      </c>
      <c r="C323" s="485" t="n">
        <v>2</v>
      </c>
      <c r="D323" s="485" t="n">
        <v>3</v>
      </c>
      <c r="E323" s="485" t="n">
        <v>2</v>
      </c>
      <c r="F323" s="485" t="n">
        <v>2</v>
      </c>
      <c r="G323" s="485" t="inlineStr">
        <is>
          <t>West-Up2</t>
        </is>
      </c>
      <c r="H323" s="485" t="n">
        <v>0</v>
      </c>
      <c r="I323" s="485" t="n">
        <v>0</v>
      </c>
      <c r="J323" s="485" t="n">
        <v>0</v>
      </c>
      <c r="K323" s="485" t="n">
        <v>0</v>
      </c>
      <c r="L323" s="485" t="n">
        <v>0</v>
      </c>
      <c r="M323" s="514" t="inlineStr">
        <is>
          <t>T</t>
        </is>
      </c>
    </row>
    <row r="324">
      <c r="A324" s="485" t="n">
        <v>6</v>
      </c>
      <c r="B324" s="485" t="n">
        <v>2</v>
      </c>
      <c r="C324" s="485" t="n">
        <v>2</v>
      </c>
      <c r="D324" s="485" t="n">
        <v>3</v>
      </c>
      <c r="E324" s="485" t="n">
        <v>2</v>
      </c>
      <c r="F324" s="485" t="n">
        <v>2</v>
      </c>
      <c r="G324" s="516" t="inlineStr">
        <is>
          <t>West-Up1</t>
        </is>
      </c>
      <c r="H324" s="485" t="n">
        <v>5288.44</v>
      </c>
      <c r="I324" s="485" t="n">
        <v>0</v>
      </c>
      <c r="J324" s="485" t="n">
        <v>7</v>
      </c>
      <c r="K324" s="485" t="n">
        <v>41</v>
      </c>
      <c r="L324" s="485" t="n">
        <v>2</v>
      </c>
      <c r="M324" s="514" t="inlineStr">
        <is>
          <t>T</t>
        </is>
      </c>
    </row>
    <row r="325">
      <c r="A325" s="485" t="n">
        <v>6</v>
      </c>
      <c r="B325" s="485" t="n">
        <v>2</v>
      </c>
      <c r="C325" s="485" t="n">
        <v>2</v>
      </c>
      <c r="D325" s="485" t="n">
        <v>3</v>
      </c>
      <c r="E325" s="485" t="n">
        <v>2</v>
      </c>
      <c r="F325" s="485" t="n">
        <v>2</v>
      </c>
      <c r="G325" s="485" t="inlineStr">
        <is>
          <t>West-Down1</t>
        </is>
      </c>
      <c r="H325" s="485" t="n">
        <v>0</v>
      </c>
      <c r="I325" s="485" t="n">
        <v>0</v>
      </c>
      <c r="J325" s="485" t="n">
        <v>0</v>
      </c>
      <c r="K325" s="485" t="n">
        <v>0</v>
      </c>
      <c r="L325" s="485" t="n">
        <v>0</v>
      </c>
      <c r="M325" s="514" t="inlineStr">
        <is>
          <t>T</t>
        </is>
      </c>
    </row>
    <row r="326">
      <c r="A326" s="485" t="n">
        <v>6</v>
      </c>
      <c r="B326" s="485" t="n">
        <v>2</v>
      </c>
      <c r="C326" s="485" t="n">
        <v>2</v>
      </c>
      <c r="D326" s="485" t="n">
        <v>3</v>
      </c>
      <c r="E326" s="485" t="n">
        <v>2</v>
      </c>
      <c r="F326" s="485" t="n">
        <v>2</v>
      </c>
      <c r="G326" s="485" t="inlineStr">
        <is>
          <t>West-Down2</t>
        </is>
      </c>
      <c r="H326" s="485" t="n">
        <v>0</v>
      </c>
      <c r="I326" s="485" t="n">
        <v>0</v>
      </c>
      <c r="J326" s="485" t="n">
        <v>0</v>
      </c>
      <c r="K326" s="485" t="n">
        <v>0</v>
      </c>
      <c r="L326" s="485" t="n">
        <v>0</v>
      </c>
      <c r="M326" s="514" t="inlineStr">
        <is>
          <t>T</t>
        </is>
      </c>
    </row>
    <row r="327">
      <c r="A327" s="485" t="n">
        <v>6</v>
      </c>
      <c r="B327" s="485" t="n">
        <v>2</v>
      </c>
      <c r="C327" s="485" t="n">
        <v>2</v>
      </c>
      <c r="D327" s="485" t="n">
        <v>3</v>
      </c>
      <c r="E327" s="485" t="n">
        <v>2</v>
      </c>
      <c r="F327" s="485" t="n">
        <v>2</v>
      </c>
      <c r="G327" s="485" t="inlineStr">
        <is>
          <t>East-Up2</t>
        </is>
      </c>
      <c r="H327" s="485" t="n">
        <v>0</v>
      </c>
      <c r="I327" s="485" t="n">
        <v>0</v>
      </c>
      <c r="J327" s="485" t="n">
        <v>0</v>
      </c>
      <c r="K327" s="485" t="n">
        <v>0</v>
      </c>
      <c r="L327" s="485" t="n">
        <v>0</v>
      </c>
      <c r="M327" s="514" t="inlineStr">
        <is>
          <t>T</t>
        </is>
      </c>
    </row>
    <row r="328">
      <c r="A328" s="485" t="n">
        <v>6</v>
      </c>
      <c r="B328" s="485" t="n">
        <v>2</v>
      </c>
      <c r="C328" s="485" t="n">
        <v>2</v>
      </c>
      <c r="D328" s="485" t="n">
        <v>3</v>
      </c>
      <c r="E328" s="485" t="n">
        <v>2</v>
      </c>
      <c r="F328" s="485" t="n">
        <v>2</v>
      </c>
      <c r="G328" s="516" t="inlineStr">
        <is>
          <t>East-Up1</t>
        </is>
      </c>
      <c r="H328" s="485" t="n">
        <v>2640.59</v>
      </c>
      <c r="I328" s="485" t="n">
        <v>0</v>
      </c>
      <c r="J328" s="485" t="n">
        <v>1</v>
      </c>
      <c r="K328" s="485" t="n">
        <v>1</v>
      </c>
      <c r="L328" s="485" t="n">
        <v>2</v>
      </c>
      <c r="M328" s="514" t="inlineStr">
        <is>
          <t>T</t>
        </is>
      </c>
    </row>
    <row r="329">
      <c r="A329" s="485" t="n">
        <v>6</v>
      </c>
      <c r="B329" s="485" t="n">
        <v>2</v>
      </c>
      <c r="C329" s="485" t="n">
        <v>2</v>
      </c>
      <c r="D329" s="485" t="n">
        <v>3</v>
      </c>
      <c r="E329" s="485" t="n">
        <v>2</v>
      </c>
      <c r="F329" s="485" t="n">
        <v>2</v>
      </c>
      <c r="G329" s="485" t="inlineStr">
        <is>
          <t>East-Down1</t>
        </is>
      </c>
      <c r="H329" s="485" t="n">
        <v>2634.95</v>
      </c>
      <c r="I329" s="485" t="n">
        <v>0</v>
      </c>
      <c r="J329" s="485" t="n">
        <v>7</v>
      </c>
      <c r="K329" s="485" t="n">
        <v>27</v>
      </c>
      <c r="L329" s="485" t="n">
        <v>4</v>
      </c>
      <c r="M329" s="514" t="inlineStr">
        <is>
          <t>T</t>
        </is>
      </c>
    </row>
    <row r="330">
      <c r="A330" s="485" t="n">
        <v>6</v>
      </c>
      <c r="B330" s="485" t="n">
        <v>2</v>
      </c>
      <c r="C330" s="485" t="n">
        <v>2</v>
      </c>
      <c r="D330" s="485" t="n">
        <v>3</v>
      </c>
      <c r="E330" s="485" t="n">
        <v>2</v>
      </c>
      <c r="F330" s="485" t="n">
        <v>2</v>
      </c>
      <c r="G330" s="485" t="inlineStr">
        <is>
          <t>East-Down2</t>
        </is>
      </c>
      <c r="H330" s="485" t="n">
        <v>0</v>
      </c>
      <c r="I330" s="485" t="n">
        <v>0</v>
      </c>
      <c r="J330" s="485" t="n">
        <v>0</v>
      </c>
      <c r="K330" s="485" t="n">
        <v>0</v>
      </c>
      <c r="L330" s="485" t="n">
        <v>0</v>
      </c>
      <c r="M330" s="514" t="inlineStr">
        <is>
          <t>T</t>
        </is>
      </c>
    </row>
    <row r="331">
      <c r="A331" s="485" t="n">
        <v>6</v>
      </c>
      <c r="B331" s="485" t="n">
        <v>2</v>
      </c>
      <c r="C331" s="485" t="n">
        <v>2</v>
      </c>
      <c r="D331" s="485" t="n">
        <v>3</v>
      </c>
      <c r="E331" s="485" t="n">
        <v>2</v>
      </c>
      <c r="F331" s="485" t="n">
        <v>2</v>
      </c>
      <c r="G331" s="485" t="inlineStr">
        <is>
          <t>North-Left2</t>
        </is>
      </c>
      <c r="H331" s="485" t="n">
        <v>0</v>
      </c>
      <c r="I331" s="485" t="n">
        <v>0</v>
      </c>
      <c r="J331" s="485" t="n">
        <v>0</v>
      </c>
      <c r="K331" s="485" t="n">
        <v>0</v>
      </c>
      <c r="L331" s="485" t="n">
        <v>0</v>
      </c>
      <c r="M331" s="514" t="inlineStr">
        <is>
          <t>T</t>
        </is>
      </c>
    </row>
    <row r="332">
      <c r="A332" s="485" t="n">
        <v>6</v>
      </c>
      <c r="B332" s="485" t="n">
        <v>2</v>
      </c>
      <c r="C332" s="485" t="n">
        <v>2</v>
      </c>
      <c r="D332" s="485" t="n">
        <v>3</v>
      </c>
      <c r="E332" s="485" t="n">
        <v>2</v>
      </c>
      <c r="F332" s="485" t="n">
        <v>2</v>
      </c>
      <c r="G332" s="516" t="inlineStr">
        <is>
          <t>North-Left1</t>
        </is>
      </c>
      <c r="H332" s="485" t="n">
        <v>2588.97</v>
      </c>
      <c r="I332" s="485" t="n">
        <v>89</v>
      </c>
      <c r="J332" s="485" t="n">
        <v>51</v>
      </c>
      <c r="K332" s="485" t="n">
        <v>8</v>
      </c>
      <c r="L332" s="485" t="n">
        <v>4</v>
      </c>
      <c r="M332" s="514" t="inlineStr">
        <is>
          <t>T</t>
        </is>
      </c>
    </row>
    <row r="333">
      <c r="A333" s="485" t="n">
        <v>6</v>
      </c>
      <c r="B333" s="485" t="n">
        <v>2</v>
      </c>
      <c r="C333" s="485" t="n">
        <v>2</v>
      </c>
      <c r="D333" s="485" t="n">
        <v>3</v>
      </c>
      <c r="E333" s="485" t="n">
        <v>2</v>
      </c>
      <c r="F333" s="485" t="n">
        <v>2</v>
      </c>
      <c r="G333" s="485" t="inlineStr">
        <is>
          <t>North-Right1</t>
        </is>
      </c>
      <c r="H333" s="485" t="n">
        <v>2640.86</v>
      </c>
      <c r="I333" s="485" t="n">
        <v>89</v>
      </c>
      <c r="J333" s="485" t="n">
        <v>52</v>
      </c>
      <c r="K333" s="485" t="n">
        <v>59</v>
      </c>
      <c r="L333" s="485" t="n">
        <v>4</v>
      </c>
      <c r="M333" s="514" t="inlineStr">
        <is>
          <t>T</t>
        </is>
      </c>
    </row>
    <row r="334">
      <c r="A334" s="485" t="n">
        <v>6</v>
      </c>
      <c r="B334" s="485" t="n">
        <v>2</v>
      </c>
      <c r="C334" s="485" t="n">
        <v>2</v>
      </c>
      <c r="D334" s="485" t="n">
        <v>3</v>
      </c>
      <c r="E334" s="485" t="n">
        <v>2</v>
      </c>
      <c r="F334" s="485" t="n">
        <v>2</v>
      </c>
      <c r="G334" s="485" t="inlineStr">
        <is>
          <t>North-Right2</t>
        </is>
      </c>
      <c r="H334" s="485" t="n">
        <v>0</v>
      </c>
      <c r="I334" s="485" t="n">
        <v>0</v>
      </c>
      <c r="J334" s="485" t="n">
        <v>0</v>
      </c>
      <c r="K334" s="485" t="n">
        <v>0</v>
      </c>
      <c r="L334" s="485" t="n">
        <v>0</v>
      </c>
      <c r="M334" s="514" t="inlineStr">
        <is>
          <t>T</t>
        </is>
      </c>
    </row>
    <row r="335">
      <c r="A335" s="485" t="n">
        <v>6</v>
      </c>
      <c r="B335" s="485" t="n">
        <v>2</v>
      </c>
      <c r="C335" s="485" t="n">
        <v>2</v>
      </c>
      <c r="D335" s="485" t="n">
        <v>3</v>
      </c>
      <c r="E335" s="485" t="n">
        <v>2</v>
      </c>
      <c r="F335" s="485" t="n">
        <v>2</v>
      </c>
      <c r="G335" s="485" t="inlineStr">
        <is>
          <t>South-Left2</t>
        </is>
      </c>
      <c r="H335" s="485" t="n">
        <v>0</v>
      </c>
      <c r="I335" s="485" t="n">
        <v>0</v>
      </c>
      <c r="J335" s="485" t="n">
        <v>0</v>
      </c>
      <c r="K335" s="485" t="n">
        <v>0</v>
      </c>
      <c r="L335" s="485" t="n">
        <v>0</v>
      </c>
      <c r="M335" s="514" t="inlineStr">
        <is>
          <t>T</t>
        </is>
      </c>
    </row>
    <row r="336">
      <c r="A336" s="485" t="n">
        <v>6</v>
      </c>
      <c r="B336" s="485" t="n">
        <v>2</v>
      </c>
      <c r="C336" s="485" t="n">
        <v>2</v>
      </c>
      <c r="D336" s="485" t="n">
        <v>3</v>
      </c>
      <c r="E336" s="485" t="n">
        <v>2</v>
      </c>
      <c r="F336" s="485" t="n">
        <v>2</v>
      </c>
      <c r="G336" s="516" t="inlineStr">
        <is>
          <t>South-Left1</t>
        </is>
      </c>
      <c r="H336" s="485" t="n">
        <v>5246.55</v>
      </c>
      <c r="I336" s="485" t="n">
        <v>89</v>
      </c>
      <c r="J336" s="485" t="n">
        <v>59</v>
      </c>
      <c r="K336" s="485" t="n">
        <v>27</v>
      </c>
      <c r="L336" s="485" t="n">
        <v>3</v>
      </c>
      <c r="M336" s="514" t="inlineStr">
        <is>
          <t>T</t>
        </is>
      </c>
    </row>
    <row r="337">
      <c r="A337" s="485" t="n">
        <v>6</v>
      </c>
      <c r="B337" s="485" t="n">
        <v>2</v>
      </c>
      <c r="C337" s="485" t="n">
        <v>2</v>
      </c>
      <c r="D337" s="485" t="n">
        <v>3</v>
      </c>
      <c r="E337" s="485" t="n">
        <v>2</v>
      </c>
      <c r="F337" s="485" t="n">
        <v>2</v>
      </c>
      <c r="G337" s="485" t="inlineStr">
        <is>
          <t>South-Right1</t>
        </is>
      </c>
      <c r="H337" s="485" t="n">
        <v>0</v>
      </c>
      <c r="I337" s="485" t="n">
        <v>0</v>
      </c>
      <c r="J337" s="485" t="n">
        <v>0</v>
      </c>
      <c r="K337" s="485" t="n">
        <v>0</v>
      </c>
      <c r="L337" s="485" t="n">
        <v>0</v>
      </c>
      <c r="M337" s="514" t="inlineStr">
        <is>
          <t>T</t>
        </is>
      </c>
    </row>
    <row r="338">
      <c r="A338" s="485" t="n">
        <v>6</v>
      </c>
      <c r="B338" s="485" t="n">
        <v>2</v>
      </c>
      <c r="C338" s="485" t="n">
        <v>2</v>
      </c>
      <c r="D338" s="485" t="n">
        <v>3</v>
      </c>
      <c r="E338" s="485" t="n">
        <v>2</v>
      </c>
      <c r="F338" s="485" t="n">
        <v>2</v>
      </c>
      <c r="G338" s="485" t="inlineStr">
        <is>
          <t>South-Right2</t>
        </is>
      </c>
      <c r="H338" s="485" t="n">
        <v>0</v>
      </c>
      <c r="I338" s="485" t="n">
        <v>0</v>
      </c>
      <c r="J338" s="485" t="n">
        <v>0</v>
      </c>
      <c r="K338" s="485" t="n">
        <v>0</v>
      </c>
      <c r="L338" s="485" t="n">
        <v>0</v>
      </c>
      <c r="M338" s="514" t="inlineStr">
        <is>
          <t>T</t>
        </is>
      </c>
    </row>
    <row r="339">
      <c r="A339" s="485" t="n">
        <v>6</v>
      </c>
      <c r="B339" s="485" t="n">
        <v>3</v>
      </c>
      <c r="C339" s="485" t="n">
        <v>2</v>
      </c>
      <c r="D339" s="485" t="n">
        <v>4</v>
      </c>
      <c r="E339" s="485" t="n">
        <v>2</v>
      </c>
      <c r="F339" s="485" t="n">
        <v>2</v>
      </c>
      <c r="G339" s="485" t="inlineStr">
        <is>
          <t>West-Up2</t>
        </is>
      </c>
      <c r="H339" s="485" t="n">
        <v>1311.09</v>
      </c>
      <c r="I339" s="485" t="n">
        <v>0</v>
      </c>
      <c r="J339" s="485" t="n">
        <v>0</v>
      </c>
      <c r="K339" s="485" t="n">
        <v>0</v>
      </c>
      <c r="L339" s="485" t="n">
        <v>0</v>
      </c>
      <c r="M339" s="514" t="n"/>
    </row>
    <row r="340">
      <c r="A340" s="485" t="n">
        <v>6</v>
      </c>
      <c r="B340" s="485" t="n">
        <v>3</v>
      </c>
      <c r="C340" s="485" t="n">
        <v>2</v>
      </c>
      <c r="D340" s="485" t="n">
        <v>4</v>
      </c>
      <c r="E340" s="485" t="n">
        <v>2</v>
      </c>
      <c r="F340" s="485" t="n">
        <v>2</v>
      </c>
      <c r="G340" s="516" t="inlineStr">
        <is>
          <t>West-Up1</t>
        </is>
      </c>
      <c r="H340" s="485" t="n">
        <v>1316.41</v>
      </c>
      <c r="I340" s="485" t="n">
        <v>0</v>
      </c>
      <c r="J340" s="485" t="n">
        <v>0</v>
      </c>
      <c r="K340" s="485" t="n">
        <v>0</v>
      </c>
      <c r="L340" s="485" t="n">
        <v>0</v>
      </c>
      <c r="M340" s="514" t="n"/>
    </row>
    <row r="341">
      <c r="A341" s="485" t="n">
        <v>6</v>
      </c>
      <c r="B341" s="485" t="n">
        <v>3</v>
      </c>
      <c r="C341" s="485" t="n">
        <v>2</v>
      </c>
      <c r="D341" s="485" t="n">
        <v>4</v>
      </c>
      <c r="E341" s="485" t="n">
        <v>2</v>
      </c>
      <c r="F341" s="485" t="n">
        <v>2</v>
      </c>
      <c r="G341" s="485" t="inlineStr">
        <is>
          <t>West-Down1</t>
        </is>
      </c>
      <c r="H341" s="485" t="n">
        <v>2632.63</v>
      </c>
      <c r="I341" s="485" t="n">
        <v>0</v>
      </c>
      <c r="J341" s="485" t="n">
        <v>0</v>
      </c>
      <c r="K341" s="485" t="n">
        <v>0</v>
      </c>
      <c r="L341" s="485" t="n">
        <v>0</v>
      </c>
      <c r="M341" s="514" t="n"/>
    </row>
    <row r="342">
      <c r="A342" s="485" t="n">
        <v>6</v>
      </c>
      <c r="B342" s="485" t="n">
        <v>3</v>
      </c>
      <c r="C342" s="485" t="n">
        <v>2</v>
      </c>
      <c r="D342" s="485" t="n">
        <v>4</v>
      </c>
      <c r="E342" s="485" t="n">
        <v>2</v>
      </c>
      <c r="F342" s="485" t="n">
        <v>2</v>
      </c>
      <c r="G342" s="485" t="inlineStr">
        <is>
          <t>West-Down2</t>
        </is>
      </c>
      <c r="H342" s="485" t="n">
        <v>0</v>
      </c>
      <c r="I342" s="485" t="n">
        <v>0</v>
      </c>
      <c r="J342" s="485" t="n">
        <v>0</v>
      </c>
      <c r="K342" s="485" t="n">
        <v>0</v>
      </c>
      <c r="L342" s="485" t="n">
        <v>0</v>
      </c>
      <c r="M342" s="514" t="n"/>
    </row>
    <row r="343">
      <c r="A343" s="485" t="n">
        <v>6</v>
      </c>
      <c r="B343" s="485" t="n">
        <v>3</v>
      </c>
      <c r="C343" s="485" t="n">
        <v>2</v>
      </c>
      <c r="D343" s="485" t="n">
        <v>4</v>
      </c>
      <c r="E343" s="485" t="n">
        <v>2</v>
      </c>
      <c r="F343" s="485" t="n">
        <v>2</v>
      </c>
      <c r="G343" s="485" t="inlineStr">
        <is>
          <t>East-Up2</t>
        </is>
      </c>
      <c r="H343" s="485" t="n">
        <v>0</v>
      </c>
      <c r="I343" s="485" t="n">
        <v>0</v>
      </c>
      <c r="J343" s="485" t="n">
        <v>0</v>
      </c>
      <c r="K343" s="485" t="n">
        <v>0</v>
      </c>
      <c r="L343" s="485" t="n">
        <v>0</v>
      </c>
      <c r="M343" s="514" t="n"/>
    </row>
    <row r="344">
      <c r="A344" s="485" t="n">
        <v>6</v>
      </c>
      <c r="B344" s="485" t="n">
        <v>3</v>
      </c>
      <c r="C344" s="485" t="n">
        <v>2</v>
      </c>
      <c r="D344" s="485" t="n">
        <v>4</v>
      </c>
      <c r="E344" s="485" t="n">
        <v>2</v>
      </c>
      <c r="F344" s="485" t="n">
        <v>2</v>
      </c>
      <c r="G344" s="516" t="inlineStr">
        <is>
          <t>East-Up1</t>
        </is>
      </c>
      <c r="H344" s="485" t="n">
        <v>2643.5</v>
      </c>
      <c r="I344" s="485" t="n">
        <v>0</v>
      </c>
      <c r="J344" s="485" t="n">
        <v>20</v>
      </c>
      <c r="K344" s="485" t="n">
        <v>9</v>
      </c>
      <c r="L344" s="485" t="n">
        <v>4</v>
      </c>
      <c r="M344" s="514" t="n"/>
    </row>
    <row r="345">
      <c r="A345" s="485" t="n">
        <v>6</v>
      </c>
      <c r="B345" s="485" t="n">
        <v>3</v>
      </c>
      <c r="C345" s="485" t="n">
        <v>2</v>
      </c>
      <c r="D345" s="485" t="n">
        <v>4</v>
      </c>
      <c r="E345" s="485" t="n">
        <v>2</v>
      </c>
      <c r="F345" s="485" t="n">
        <v>2</v>
      </c>
      <c r="G345" s="485" t="inlineStr">
        <is>
          <t>East-Down1</t>
        </is>
      </c>
      <c r="H345" s="485" t="n">
        <v>2628.08</v>
      </c>
      <c r="I345" s="485" t="n">
        <v>0</v>
      </c>
      <c r="J345" s="485" t="n">
        <v>18</v>
      </c>
      <c r="K345" s="485" t="n">
        <v>35</v>
      </c>
      <c r="L345" s="485" t="n">
        <v>4</v>
      </c>
      <c r="M345" s="514" t="n"/>
    </row>
    <row r="346">
      <c r="A346" s="485" t="n">
        <v>6</v>
      </c>
      <c r="B346" s="485" t="n">
        <v>3</v>
      </c>
      <c r="C346" s="485" t="n">
        <v>2</v>
      </c>
      <c r="D346" s="485" t="n">
        <v>4</v>
      </c>
      <c r="E346" s="485" t="n">
        <v>2</v>
      </c>
      <c r="F346" s="485" t="n">
        <v>2</v>
      </c>
      <c r="G346" s="485" t="inlineStr">
        <is>
          <t>East-Down2</t>
        </is>
      </c>
      <c r="H346" s="485" t="n">
        <v>0</v>
      </c>
      <c r="I346" s="485" t="n">
        <v>0</v>
      </c>
      <c r="J346" s="485" t="n">
        <v>0</v>
      </c>
      <c r="K346" s="485" t="n">
        <v>0</v>
      </c>
      <c r="L346" s="485" t="n">
        <v>0</v>
      </c>
      <c r="M346" s="514" t="n"/>
    </row>
    <row r="347">
      <c r="A347" s="485" t="n">
        <v>6</v>
      </c>
      <c r="B347" s="485" t="n">
        <v>3</v>
      </c>
      <c r="C347" s="485" t="n">
        <v>2</v>
      </c>
      <c r="D347" s="485" t="n">
        <v>4</v>
      </c>
      <c r="E347" s="485" t="n">
        <v>2</v>
      </c>
      <c r="F347" s="485" t="n">
        <v>2</v>
      </c>
      <c r="G347" s="485" t="inlineStr">
        <is>
          <t>North-Left2</t>
        </is>
      </c>
      <c r="H347" s="485" t="n">
        <v>0</v>
      </c>
      <c r="I347" s="485" t="n">
        <v>0</v>
      </c>
      <c r="J347" s="485" t="n">
        <v>0</v>
      </c>
      <c r="K347" s="485" t="n">
        <v>0</v>
      </c>
      <c r="L347" s="485" t="n">
        <v>0</v>
      </c>
      <c r="M347" s="514" t="n"/>
    </row>
    <row r="348">
      <c r="A348" s="485" t="n">
        <v>6</v>
      </c>
      <c r="B348" s="485" t="n">
        <v>3</v>
      </c>
      <c r="C348" s="485" t="n">
        <v>2</v>
      </c>
      <c r="D348" s="485" t="n">
        <v>4</v>
      </c>
      <c r="E348" s="485" t="n">
        <v>2</v>
      </c>
      <c r="F348" s="485" t="n">
        <v>2</v>
      </c>
      <c r="G348" s="516" t="inlineStr">
        <is>
          <t>North-Left1</t>
        </is>
      </c>
      <c r="H348" s="485" t="n">
        <v>2657</v>
      </c>
      <c r="I348" s="485" t="n">
        <v>89</v>
      </c>
      <c r="J348" s="485" t="n">
        <v>32</v>
      </c>
      <c r="K348" s="485" t="n">
        <v>43</v>
      </c>
      <c r="L348" s="485" t="n">
        <v>4</v>
      </c>
      <c r="M348" s="514" t="n"/>
    </row>
    <row r="349">
      <c r="A349" s="485" t="n">
        <v>6</v>
      </c>
      <c r="B349" s="485" t="n">
        <v>3</v>
      </c>
      <c r="C349" s="485" t="n">
        <v>2</v>
      </c>
      <c r="D349" s="485" t="n">
        <v>4</v>
      </c>
      <c r="E349" s="485" t="n">
        <v>2</v>
      </c>
      <c r="F349" s="485" t="n">
        <v>2</v>
      </c>
      <c r="G349" s="485" t="inlineStr">
        <is>
          <t>North-Right1</t>
        </is>
      </c>
      <c r="H349" s="485" t="n">
        <v>2631.97</v>
      </c>
      <c r="I349" s="485" t="n">
        <v>89</v>
      </c>
      <c r="J349" s="485" t="n">
        <v>48</v>
      </c>
      <c r="K349" s="485" t="n">
        <v>12</v>
      </c>
      <c r="L349" s="485" t="n">
        <v>1</v>
      </c>
      <c r="M349" s="514" t="n"/>
    </row>
    <row r="350">
      <c r="A350" s="485" t="n">
        <v>6</v>
      </c>
      <c r="B350" s="485" t="n">
        <v>3</v>
      </c>
      <c r="C350" s="485" t="n">
        <v>2</v>
      </c>
      <c r="D350" s="485" t="n">
        <v>4</v>
      </c>
      <c r="E350" s="485" t="n">
        <v>2</v>
      </c>
      <c r="F350" s="485" t="n">
        <v>2</v>
      </c>
      <c r="G350" s="485" t="inlineStr">
        <is>
          <t>North-Right2</t>
        </is>
      </c>
      <c r="H350" s="485" t="n">
        <v>0</v>
      </c>
      <c r="I350" s="485" t="n">
        <v>0</v>
      </c>
      <c r="J350" s="485" t="n">
        <v>0</v>
      </c>
      <c r="K350" s="485" t="n">
        <v>0</v>
      </c>
      <c r="L350" s="485" t="n">
        <v>0</v>
      </c>
      <c r="M350" s="514" t="n"/>
    </row>
    <row r="351">
      <c r="A351" s="485" t="n">
        <v>6</v>
      </c>
      <c r="B351" s="485" t="n">
        <v>3</v>
      </c>
      <c r="C351" s="485" t="n">
        <v>2</v>
      </c>
      <c r="D351" s="485" t="n">
        <v>4</v>
      </c>
      <c r="E351" s="485" t="n">
        <v>2</v>
      </c>
      <c r="F351" s="485" t="n">
        <v>2</v>
      </c>
      <c r="G351" s="485" t="inlineStr">
        <is>
          <t>South-Left2</t>
        </is>
      </c>
      <c r="H351" s="485" t="n">
        <v>0</v>
      </c>
      <c r="I351" s="485" t="n">
        <v>0</v>
      </c>
      <c r="J351" s="485" t="n">
        <v>0</v>
      </c>
      <c r="K351" s="485" t="n">
        <v>0</v>
      </c>
      <c r="L351" s="485" t="n">
        <v>0</v>
      </c>
      <c r="M351" s="514" t="n"/>
    </row>
    <row r="352">
      <c r="A352" s="485" t="n">
        <v>6</v>
      </c>
      <c r="B352" s="485" t="n">
        <v>3</v>
      </c>
      <c r="C352" s="485" t="n">
        <v>2</v>
      </c>
      <c r="D352" s="485" t="n">
        <v>4</v>
      </c>
      <c r="E352" s="485" t="n">
        <v>2</v>
      </c>
      <c r="F352" s="485" t="n">
        <v>2</v>
      </c>
      <c r="G352" s="516" t="inlineStr">
        <is>
          <t>South-Left1</t>
        </is>
      </c>
      <c r="H352" s="485" t="n">
        <v>2665.99</v>
      </c>
      <c r="I352" s="485" t="n">
        <v>89</v>
      </c>
      <c r="J352" s="485" t="n">
        <v>51</v>
      </c>
      <c r="K352" s="485" t="n">
        <v>41</v>
      </c>
      <c r="L352" s="485" t="n">
        <v>2</v>
      </c>
      <c r="M352" s="514" t="n"/>
    </row>
    <row r="353">
      <c r="A353" s="485" t="n">
        <v>6</v>
      </c>
      <c r="B353" s="485" t="n">
        <v>3</v>
      </c>
      <c r="C353" s="485" t="n">
        <v>2</v>
      </c>
      <c r="D353" s="485" t="n">
        <v>4</v>
      </c>
      <c r="E353" s="485" t="n">
        <v>2</v>
      </c>
      <c r="F353" s="485" t="n">
        <v>2</v>
      </c>
      <c r="G353" s="485" t="inlineStr">
        <is>
          <t>South-Right1</t>
        </is>
      </c>
      <c r="H353" s="485" t="n">
        <v>2662.23</v>
      </c>
      <c r="I353" s="485" t="n">
        <v>89</v>
      </c>
      <c r="J353" s="485" t="n">
        <v>52</v>
      </c>
      <c r="K353" s="485" t="n">
        <v>32</v>
      </c>
      <c r="L353" s="485" t="n">
        <v>1</v>
      </c>
      <c r="M353" s="514" t="n"/>
    </row>
    <row r="354">
      <c r="A354" s="485" t="n">
        <v>6</v>
      </c>
      <c r="B354" s="485" t="n">
        <v>3</v>
      </c>
      <c r="C354" s="485" t="n">
        <v>2</v>
      </c>
      <c r="D354" s="485" t="n">
        <v>4</v>
      </c>
      <c r="E354" s="485" t="n">
        <v>2</v>
      </c>
      <c r="F354" s="485" t="n">
        <v>2</v>
      </c>
      <c r="G354" s="485" t="inlineStr">
        <is>
          <t>South-Right2</t>
        </is>
      </c>
      <c r="H354" s="485" t="n">
        <v>0</v>
      </c>
      <c r="I354" s="485" t="n">
        <v>0</v>
      </c>
      <c r="J354" s="485" t="n">
        <v>0</v>
      </c>
      <c r="K354" s="485" t="n">
        <v>0</v>
      </c>
      <c r="L354" s="485" t="n">
        <v>0</v>
      </c>
      <c r="M354" s="514" t="n"/>
    </row>
    <row r="355">
      <c r="A355" s="485" t="n">
        <v>7</v>
      </c>
      <c r="B355" s="485" t="n">
        <v>9</v>
      </c>
      <c r="C355" s="485" t="n">
        <v>2</v>
      </c>
      <c r="D355" s="485" t="n">
        <v>21</v>
      </c>
      <c r="E355" s="485" t="n">
        <v>1</v>
      </c>
      <c r="F355" s="485" t="n">
        <v>1</v>
      </c>
      <c r="G355" s="485" t="inlineStr">
        <is>
          <t>West-Up2</t>
        </is>
      </c>
      <c r="H355" s="485" t="n">
        <v>160.87</v>
      </c>
      <c r="I355" s="485" t="n">
        <v>0</v>
      </c>
      <c r="J355" s="485" t="n">
        <v>9</v>
      </c>
      <c r="K355" s="485" t="n">
        <v>39</v>
      </c>
      <c r="L355" s="485" t="n">
        <v>4</v>
      </c>
      <c r="M355" s="514" t="n"/>
    </row>
    <row r="356">
      <c r="A356" s="485" t="n">
        <v>7</v>
      </c>
      <c r="B356" s="485" t="n">
        <v>9</v>
      </c>
      <c r="C356" s="485" t="n">
        <v>2</v>
      </c>
      <c r="D356" s="485" t="n">
        <v>21</v>
      </c>
      <c r="E356" s="485" t="n">
        <v>1</v>
      </c>
      <c r="F356" s="485" t="n">
        <v>1</v>
      </c>
      <c r="G356" s="516" t="inlineStr">
        <is>
          <t>West-Up1</t>
        </is>
      </c>
      <c r="H356" s="485" t="n">
        <v>2494.43</v>
      </c>
      <c r="I356" s="485" t="n">
        <v>0</v>
      </c>
      <c r="J356" s="485" t="n">
        <v>9</v>
      </c>
      <c r="K356" s="485" t="n">
        <v>39</v>
      </c>
      <c r="L356" s="485" t="n">
        <v>4</v>
      </c>
      <c r="M356" s="514" t="n"/>
    </row>
    <row r="357">
      <c r="A357" s="485" t="n">
        <v>7</v>
      </c>
      <c r="B357" s="485" t="n">
        <v>9</v>
      </c>
      <c r="C357" s="485" t="n">
        <v>2</v>
      </c>
      <c r="D357" s="485" t="n">
        <v>21</v>
      </c>
      <c r="E357" s="485" t="n">
        <v>1</v>
      </c>
      <c r="F357" s="485" t="n">
        <v>1</v>
      </c>
      <c r="G357" s="485" t="inlineStr">
        <is>
          <t>West-Down1</t>
        </is>
      </c>
      <c r="H357" s="485" t="n">
        <v>170.94</v>
      </c>
      <c r="I357" s="485" t="n">
        <v>0</v>
      </c>
      <c r="J357" s="485" t="n">
        <v>21</v>
      </c>
      <c r="K357" s="485" t="n">
        <v>9</v>
      </c>
      <c r="L357" s="485" t="n">
        <v>4</v>
      </c>
      <c r="M357" s="514" t="n"/>
    </row>
    <row r="358">
      <c r="A358" s="485" t="n">
        <v>7</v>
      </c>
      <c r="B358" s="485" t="n">
        <v>9</v>
      </c>
      <c r="C358" s="485" t="n">
        <v>2</v>
      </c>
      <c r="D358" s="485" t="n">
        <v>21</v>
      </c>
      <c r="E358" s="485" t="n">
        <v>1</v>
      </c>
      <c r="F358" s="485" t="n">
        <v>1</v>
      </c>
      <c r="G358" s="485" t="inlineStr">
        <is>
          <t>West-Down2</t>
        </is>
      </c>
      <c r="H358" s="485" t="n">
        <v>2484.51</v>
      </c>
      <c r="I358" s="485" t="n">
        <v>0</v>
      </c>
      <c r="J358" s="485" t="n">
        <v>21</v>
      </c>
      <c r="K358" s="485" t="n">
        <v>9</v>
      </c>
      <c r="L358" s="485" t="n">
        <v>4</v>
      </c>
      <c r="M358" s="514" t="n"/>
    </row>
    <row r="359">
      <c r="A359" s="485" t="n">
        <v>7</v>
      </c>
      <c r="B359" s="485" t="n">
        <v>9</v>
      </c>
      <c r="C359" s="485" t="n">
        <v>2</v>
      </c>
      <c r="D359" s="485" t="n">
        <v>21</v>
      </c>
      <c r="E359" s="485" t="n">
        <v>1</v>
      </c>
      <c r="F359" s="485" t="n">
        <v>1</v>
      </c>
      <c r="G359" s="485" t="inlineStr">
        <is>
          <t>East-Up2</t>
        </is>
      </c>
      <c r="H359" s="485" t="n">
        <v>0</v>
      </c>
      <c r="I359" s="485" t="n">
        <v>0</v>
      </c>
      <c r="J359" s="485" t="n">
        <v>0</v>
      </c>
      <c r="K359" s="485" t="n">
        <v>0</v>
      </c>
      <c r="L359" s="485" t="n">
        <v>0</v>
      </c>
      <c r="M359" s="514" t="n"/>
    </row>
    <row r="360">
      <c r="A360" s="485" t="n">
        <v>7</v>
      </c>
      <c r="B360" s="485" t="n">
        <v>9</v>
      </c>
      <c r="C360" s="485" t="n">
        <v>2</v>
      </c>
      <c r="D360" s="485" t="n">
        <v>21</v>
      </c>
      <c r="E360" s="485" t="n">
        <v>1</v>
      </c>
      <c r="F360" s="485" t="n">
        <v>1</v>
      </c>
      <c r="G360" s="516" t="inlineStr">
        <is>
          <t>East-Up1</t>
        </is>
      </c>
      <c r="H360" s="485" t="n">
        <v>2635.84</v>
      </c>
      <c r="I360" s="485" t="n">
        <v>0</v>
      </c>
      <c r="J360" s="485" t="n">
        <v>1</v>
      </c>
      <c r="K360" s="485" t="n">
        <v>52</v>
      </c>
      <c r="L360" s="485" t="n">
        <v>4</v>
      </c>
      <c r="M360" s="514" t="n"/>
    </row>
    <row r="361">
      <c r="A361" s="485" t="n">
        <v>7</v>
      </c>
      <c r="B361" s="485" t="n">
        <v>9</v>
      </c>
      <c r="C361" s="485" t="n">
        <v>2</v>
      </c>
      <c r="D361" s="485" t="n">
        <v>21</v>
      </c>
      <c r="E361" s="485" t="n">
        <v>1</v>
      </c>
      <c r="F361" s="485" t="n">
        <v>1</v>
      </c>
      <c r="G361" s="485" t="inlineStr">
        <is>
          <t>East-Down1</t>
        </is>
      </c>
      <c r="H361" s="485" t="n">
        <v>2635.78</v>
      </c>
      <c r="I361" s="485" t="n">
        <v>0</v>
      </c>
      <c r="J361" s="485" t="n">
        <v>0</v>
      </c>
      <c r="K361" s="485" t="n">
        <v>56</v>
      </c>
      <c r="L361" s="485" t="n">
        <v>4</v>
      </c>
      <c r="M361" s="514" t="n"/>
    </row>
    <row r="362">
      <c r="A362" s="485" t="n">
        <v>7</v>
      </c>
      <c r="B362" s="485" t="n">
        <v>9</v>
      </c>
      <c r="C362" s="485" t="n">
        <v>2</v>
      </c>
      <c r="D362" s="485" t="n">
        <v>21</v>
      </c>
      <c r="E362" s="485" t="n">
        <v>1</v>
      </c>
      <c r="F362" s="485" t="n">
        <v>1</v>
      </c>
      <c r="G362" s="485" t="inlineStr">
        <is>
          <t>East-Down2</t>
        </is>
      </c>
      <c r="H362" s="485" t="n">
        <v>0</v>
      </c>
      <c r="I362" s="485" t="n">
        <v>0</v>
      </c>
      <c r="J362" s="485" t="n">
        <v>0</v>
      </c>
      <c r="K362" s="485" t="n">
        <v>0</v>
      </c>
      <c r="L362" s="485" t="n">
        <v>0</v>
      </c>
      <c r="M362" s="514" t="n"/>
    </row>
    <row r="363">
      <c r="A363" s="485" t="n">
        <v>7</v>
      </c>
      <c r="B363" s="485" t="n">
        <v>9</v>
      </c>
      <c r="C363" s="485" t="n">
        <v>2</v>
      </c>
      <c r="D363" s="485" t="n">
        <v>21</v>
      </c>
      <c r="E363" s="485" t="n">
        <v>1</v>
      </c>
      <c r="F363" s="485" t="n">
        <v>1</v>
      </c>
      <c r="G363" s="485" t="inlineStr">
        <is>
          <t>North-Left2</t>
        </is>
      </c>
      <c r="H363" s="485" t="n">
        <v>1892.96</v>
      </c>
      <c r="I363" s="485" t="n">
        <v>89</v>
      </c>
      <c r="J363" s="485" t="n">
        <v>56</v>
      </c>
      <c r="K363" s="485" t="n">
        <v>6</v>
      </c>
      <c r="L363" s="485" t="n">
        <v>3</v>
      </c>
      <c r="M363" s="514" t="n"/>
    </row>
    <row r="364">
      <c r="A364" s="485" t="n">
        <v>7</v>
      </c>
      <c r="B364" s="485" t="n">
        <v>9</v>
      </c>
      <c r="C364" s="485" t="n">
        <v>2</v>
      </c>
      <c r="D364" s="485" t="n">
        <v>21</v>
      </c>
      <c r="E364" s="485" t="n">
        <v>1</v>
      </c>
      <c r="F364" s="485" t="n">
        <v>1</v>
      </c>
      <c r="G364" s="516" t="inlineStr">
        <is>
          <t>North-Left1</t>
        </is>
      </c>
      <c r="H364" s="485" t="n">
        <v>1320.44</v>
      </c>
      <c r="I364" s="485" t="n">
        <v>89</v>
      </c>
      <c r="J364" s="485" t="n">
        <v>47</v>
      </c>
      <c r="K364" s="485" t="n">
        <v>54</v>
      </c>
      <c r="L364" s="485" t="n">
        <v>4</v>
      </c>
      <c r="M364" s="514" t="n"/>
    </row>
    <row r="365">
      <c r="A365" s="485" t="n">
        <v>7</v>
      </c>
      <c r="B365" s="485" t="n">
        <v>9</v>
      </c>
      <c r="C365" s="485" t="n">
        <v>2</v>
      </c>
      <c r="D365" s="485" t="n">
        <v>21</v>
      </c>
      <c r="E365" s="485" t="n">
        <v>1</v>
      </c>
      <c r="F365" s="485" t="n">
        <v>1</v>
      </c>
      <c r="G365" s="485" t="inlineStr">
        <is>
          <t>North-Right1</t>
        </is>
      </c>
      <c r="H365" s="485" t="n">
        <v>1322.34</v>
      </c>
      <c r="I365" s="485" t="n">
        <v>89</v>
      </c>
      <c r="J365" s="485" t="n">
        <v>56</v>
      </c>
      <c r="K365" s="485" t="n">
        <v>6</v>
      </c>
      <c r="L365" s="485" t="n">
        <v>4</v>
      </c>
      <c r="M365" s="514" t="n"/>
    </row>
    <row r="366">
      <c r="A366" s="485" t="n">
        <v>7</v>
      </c>
      <c r="B366" s="485" t="n">
        <v>9</v>
      </c>
      <c r="C366" s="485" t="n">
        <v>2</v>
      </c>
      <c r="D366" s="485" t="n">
        <v>21</v>
      </c>
      <c r="E366" s="485" t="n">
        <v>1</v>
      </c>
      <c r="F366" s="485" t="n">
        <v>1</v>
      </c>
      <c r="G366" s="485" t="inlineStr">
        <is>
          <t>North-Right2</t>
        </is>
      </c>
      <c r="H366" s="485" t="n">
        <v>1322.33</v>
      </c>
      <c r="I366" s="485" t="n">
        <v>89</v>
      </c>
      <c r="J366" s="485" t="n">
        <v>55</v>
      </c>
      <c r="K366" s="485" t="n">
        <v>50</v>
      </c>
      <c r="L366" s="485" t="n">
        <v>4</v>
      </c>
      <c r="M366" s="514" t="n"/>
    </row>
    <row r="367">
      <c r="A367" s="485" t="n">
        <v>7</v>
      </c>
      <c r="B367" s="485" t="n">
        <v>9</v>
      </c>
      <c r="C367" s="485" t="n">
        <v>2</v>
      </c>
      <c r="D367" s="485" t="n">
        <v>21</v>
      </c>
      <c r="E367" s="485" t="n">
        <v>1</v>
      </c>
      <c r="F367" s="485" t="n">
        <v>1</v>
      </c>
      <c r="G367" s="485" t="inlineStr">
        <is>
          <t>South-Left2</t>
        </is>
      </c>
      <c r="H367" s="485" t="n">
        <v>0</v>
      </c>
      <c r="I367" s="485" t="n">
        <v>0</v>
      </c>
      <c r="J367" s="485" t="n">
        <v>0</v>
      </c>
      <c r="K367" s="485" t="n">
        <v>0</v>
      </c>
      <c r="L367" s="485" t="n">
        <v>0</v>
      </c>
      <c r="M367" s="514" t="n"/>
    </row>
    <row r="368">
      <c r="A368" s="485" t="n">
        <v>7</v>
      </c>
      <c r="B368" s="485" t="n">
        <v>9</v>
      </c>
      <c r="C368" s="485" t="n">
        <v>2</v>
      </c>
      <c r="D368" s="485" t="n">
        <v>21</v>
      </c>
      <c r="E368" s="485" t="n">
        <v>1</v>
      </c>
      <c r="F368" s="485" t="n">
        <v>1</v>
      </c>
      <c r="G368" s="516" t="inlineStr">
        <is>
          <t>South-Left1</t>
        </is>
      </c>
      <c r="H368" s="485" t="n">
        <v>2664.9</v>
      </c>
      <c r="I368" s="485" t="n">
        <v>89</v>
      </c>
      <c r="J368" s="485" t="n">
        <v>38</v>
      </c>
      <c r="K368" s="485" t="n">
        <v>31</v>
      </c>
      <c r="L368" s="485" t="n">
        <v>1</v>
      </c>
      <c r="M368" s="514" t="n"/>
    </row>
    <row r="369">
      <c r="A369" s="485" t="n">
        <v>7</v>
      </c>
      <c r="B369" s="485" t="n">
        <v>9</v>
      </c>
      <c r="C369" s="485" t="n">
        <v>2</v>
      </c>
      <c r="D369" s="485" t="n">
        <v>21</v>
      </c>
      <c r="E369" s="485" t="n">
        <v>1</v>
      </c>
      <c r="F369" s="485" t="n">
        <v>1</v>
      </c>
      <c r="G369" s="485" t="inlineStr">
        <is>
          <t>South-Right1</t>
        </is>
      </c>
      <c r="H369" s="485" t="n">
        <v>2630.9</v>
      </c>
      <c r="I369" s="485" t="n">
        <v>88</v>
      </c>
      <c r="J369" s="485" t="n">
        <v>53</v>
      </c>
      <c r="K369" s="485" t="n">
        <v>32</v>
      </c>
      <c r="L369" s="485" t="n">
        <v>2</v>
      </c>
      <c r="M369" s="514" t="n"/>
    </row>
    <row r="370">
      <c r="A370" s="485" t="n">
        <v>7</v>
      </c>
      <c r="B370" s="485" t="n">
        <v>9</v>
      </c>
      <c r="C370" s="485" t="n">
        <v>2</v>
      </c>
      <c r="D370" s="485" t="n">
        <v>21</v>
      </c>
      <c r="E370" s="485" t="n">
        <v>1</v>
      </c>
      <c r="F370" s="485" t="n">
        <v>1</v>
      </c>
      <c r="G370" s="485" t="inlineStr">
        <is>
          <t>South-Right2</t>
        </is>
      </c>
      <c r="H370" s="485" t="n">
        <v>0</v>
      </c>
      <c r="I370" s="485" t="n">
        <v>0</v>
      </c>
      <c r="J370" s="485" t="n">
        <v>0</v>
      </c>
      <c r="K370" s="485" t="n">
        <v>0</v>
      </c>
      <c r="L370" s="485" t="n">
        <v>0</v>
      </c>
      <c r="M370" s="514" t="n"/>
    </row>
    <row r="371">
      <c r="A371" s="486" t="n">
        <v>7</v>
      </c>
      <c r="B371" s="486" t="n">
        <v>1</v>
      </c>
      <c r="C371" s="486" t="n">
        <v>2</v>
      </c>
      <c r="D371" s="486" t="n">
        <v>1</v>
      </c>
      <c r="E371" s="486" t="n">
        <v>2</v>
      </c>
      <c r="F371" s="486" t="n">
        <v>2</v>
      </c>
      <c r="G371" s="486" t="inlineStr">
        <is>
          <t>West-Up2</t>
        </is>
      </c>
      <c r="H371" s="486" t="n">
        <v>0</v>
      </c>
      <c r="I371" s="486" t="n">
        <v>0</v>
      </c>
      <c r="J371" s="486" t="n">
        <v>0</v>
      </c>
      <c r="K371" s="486" t="n">
        <v>0</v>
      </c>
      <c r="L371" s="486" t="n">
        <v>0</v>
      </c>
      <c r="M371" s="487" t="inlineStr">
        <is>
          <t>T</t>
        </is>
      </c>
    </row>
    <row r="372">
      <c r="A372" s="486" t="n">
        <v>7</v>
      </c>
      <c r="B372" s="486" t="n">
        <v>1</v>
      </c>
      <c r="C372" s="486" t="n">
        <v>2</v>
      </c>
      <c r="D372" s="486" t="n">
        <v>1</v>
      </c>
      <c r="E372" s="486" t="n">
        <v>2</v>
      </c>
      <c r="F372" s="486" t="n">
        <v>2</v>
      </c>
      <c r="G372" s="475" t="inlineStr">
        <is>
          <t>West-Up1</t>
        </is>
      </c>
      <c r="H372" s="486" t="n">
        <v>2657.6</v>
      </c>
      <c r="I372" s="486" t="n">
        <v>0</v>
      </c>
      <c r="J372" s="486" t="n">
        <v>29</v>
      </c>
      <c r="K372" s="486" t="n">
        <v>16</v>
      </c>
      <c r="L372" s="486" t="n">
        <v>4</v>
      </c>
      <c r="M372" s="487" t="inlineStr">
        <is>
          <t>T</t>
        </is>
      </c>
    </row>
    <row r="373">
      <c r="A373" s="486" t="n">
        <v>7</v>
      </c>
      <c r="B373" s="486" t="n">
        <v>1</v>
      </c>
      <c r="C373" s="486" t="n">
        <v>2</v>
      </c>
      <c r="D373" s="486" t="n">
        <v>1</v>
      </c>
      <c r="E373" s="486" t="n">
        <v>2</v>
      </c>
      <c r="F373" s="486" t="n">
        <v>2</v>
      </c>
      <c r="G373" s="486" t="inlineStr">
        <is>
          <t>West-Down1</t>
        </is>
      </c>
      <c r="H373" s="486" t="n">
        <v>2654.41</v>
      </c>
      <c r="I373" s="486" t="n">
        <v>0</v>
      </c>
      <c r="J373" s="486" t="n">
        <v>2</v>
      </c>
      <c r="K373" s="486" t="n">
        <v>36</v>
      </c>
      <c r="L373" s="486" t="n">
        <v>4</v>
      </c>
      <c r="M373" s="487" t="inlineStr">
        <is>
          <t>T</t>
        </is>
      </c>
    </row>
    <row r="374">
      <c r="A374" s="486" t="n">
        <v>7</v>
      </c>
      <c r="B374" s="486" t="n">
        <v>1</v>
      </c>
      <c r="C374" s="486" t="n">
        <v>2</v>
      </c>
      <c r="D374" s="486" t="n">
        <v>1</v>
      </c>
      <c r="E374" s="486" t="n">
        <v>2</v>
      </c>
      <c r="F374" s="486" t="n">
        <v>2</v>
      </c>
      <c r="G374" s="486" t="inlineStr">
        <is>
          <t>West-Down2</t>
        </is>
      </c>
      <c r="H374" s="486" t="n">
        <v>0</v>
      </c>
      <c r="I374" s="486" t="n">
        <v>0</v>
      </c>
      <c r="J374" s="486" t="n">
        <v>0</v>
      </c>
      <c r="K374" s="486" t="n">
        <v>0</v>
      </c>
      <c r="L374" s="486" t="n">
        <v>0</v>
      </c>
      <c r="M374" s="487" t="inlineStr">
        <is>
          <t>T</t>
        </is>
      </c>
    </row>
    <row r="375">
      <c r="A375" s="486" t="n">
        <v>7</v>
      </c>
      <c r="B375" s="486" t="n">
        <v>1</v>
      </c>
      <c r="C375" s="486" t="n">
        <v>2</v>
      </c>
      <c r="D375" s="486" t="n">
        <v>1</v>
      </c>
      <c r="E375" s="486" t="n">
        <v>2</v>
      </c>
      <c r="F375" s="486" t="n">
        <v>2</v>
      </c>
      <c r="G375" s="486" t="inlineStr">
        <is>
          <t>East-Up2</t>
        </is>
      </c>
      <c r="H375" s="486" t="n">
        <v>0</v>
      </c>
      <c r="I375" s="486" t="n">
        <v>0</v>
      </c>
      <c r="J375" s="486" t="n">
        <v>0</v>
      </c>
      <c r="K375" s="486" t="n">
        <v>0</v>
      </c>
      <c r="L375" s="486" t="n">
        <v>0</v>
      </c>
      <c r="M375" s="487" t="inlineStr">
        <is>
          <t>T</t>
        </is>
      </c>
    </row>
    <row r="376">
      <c r="A376" s="486" t="n">
        <v>7</v>
      </c>
      <c r="B376" s="486" t="n">
        <v>1</v>
      </c>
      <c r="C376" s="486" t="n">
        <v>2</v>
      </c>
      <c r="D376" s="486" t="n">
        <v>1</v>
      </c>
      <c r="E376" s="486" t="n">
        <v>2</v>
      </c>
      <c r="F376" s="486" t="n">
        <v>2</v>
      </c>
      <c r="G376" s="475" t="inlineStr">
        <is>
          <t>East-Up1</t>
        </is>
      </c>
      <c r="H376" s="486" t="n">
        <v>2638.68</v>
      </c>
      <c r="I376" s="486" t="n">
        <v>0</v>
      </c>
      <c r="J376" s="486" t="n">
        <v>16</v>
      </c>
      <c r="K376" s="486" t="n">
        <v>49</v>
      </c>
      <c r="L376" s="486" t="n">
        <v>4</v>
      </c>
      <c r="M376" s="487" t="inlineStr">
        <is>
          <t>T</t>
        </is>
      </c>
    </row>
    <row r="377">
      <c r="A377" s="486" t="n">
        <v>7</v>
      </c>
      <c r="B377" s="486" t="n">
        <v>1</v>
      </c>
      <c r="C377" s="486" t="n">
        <v>2</v>
      </c>
      <c r="D377" s="486" t="n">
        <v>1</v>
      </c>
      <c r="E377" s="486" t="n">
        <v>2</v>
      </c>
      <c r="F377" s="486" t="n">
        <v>2</v>
      </c>
      <c r="G377" s="486" t="inlineStr">
        <is>
          <t>East-Down1</t>
        </is>
      </c>
      <c r="H377" s="486" t="n">
        <v>2641.32</v>
      </c>
      <c r="I377" s="486" t="n">
        <v>0</v>
      </c>
      <c r="J377" s="486" t="n">
        <v>18</v>
      </c>
      <c r="K377" s="486" t="n">
        <v>38</v>
      </c>
      <c r="L377" s="486" t="n">
        <v>4</v>
      </c>
      <c r="M377" s="487" t="inlineStr">
        <is>
          <t>T</t>
        </is>
      </c>
    </row>
    <row r="378">
      <c r="A378" s="486" t="n">
        <v>7</v>
      </c>
      <c r="B378" s="486" t="n">
        <v>1</v>
      </c>
      <c r="C378" s="486" t="n">
        <v>2</v>
      </c>
      <c r="D378" s="486" t="n">
        <v>1</v>
      </c>
      <c r="E378" s="486" t="n">
        <v>2</v>
      </c>
      <c r="F378" s="486" t="n">
        <v>2</v>
      </c>
      <c r="G378" s="486" t="inlineStr">
        <is>
          <t>East-Down2</t>
        </is>
      </c>
      <c r="H378" s="486" t="n">
        <v>0</v>
      </c>
      <c r="I378" s="486" t="n">
        <v>0</v>
      </c>
      <c r="J378" s="486" t="n">
        <v>0</v>
      </c>
      <c r="K378" s="486" t="n">
        <v>0</v>
      </c>
      <c r="L378" s="486" t="n">
        <v>0</v>
      </c>
      <c r="M378" s="487" t="inlineStr">
        <is>
          <t>T</t>
        </is>
      </c>
    </row>
    <row r="379">
      <c r="A379" s="486" t="n">
        <v>7</v>
      </c>
      <c r="B379" s="486" t="n">
        <v>1</v>
      </c>
      <c r="C379" s="486" t="n">
        <v>2</v>
      </c>
      <c r="D379" s="486" t="n">
        <v>1</v>
      </c>
      <c r="E379" s="486" t="n">
        <v>2</v>
      </c>
      <c r="F379" s="486" t="n">
        <v>2</v>
      </c>
      <c r="G379" s="486" t="inlineStr">
        <is>
          <t>North-Left2</t>
        </is>
      </c>
      <c r="H379" s="486" t="n">
        <v>0</v>
      </c>
      <c r="I379" s="486" t="n">
        <v>0</v>
      </c>
      <c r="J379" s="486" t="n">
        <v>0</v>
      </c>
      <c r="K379" s="486" t="n">
        <v>0</v>
      </c>
      <c r="L379" s="486" t="n">
        <v>0</v>
      </c>
      <c r="M379" s="487" t="inlineStr">
        <is>
          <t>T</t>
        </is>
      </c>
    </row>
    <row r="380">
      <c r="A380" s="486" t="n">
        <v>7</v>
      </c>
      <c r="B380" s="486" t="n">
        <v>1</v>
      </c>
      <c r="C380" s="486" t="n">
        <v>2</v>
      </c>
      <c r="D380" s="486" t="n">
        <v>1</v>
      </c>
      <c r="E380" s="486" t="n">
        <v>2</v>
      </c>
      <c r="F380" s="486" t="n">
        <v>2</v>
      </c>
      <c r="G380" s="475" t="inlineStr">
        <is>
          <t>North-Left1</t>
        </is>
      </c>
      <c r="H380" s="486" t="n">
        <v>2638.91</v>
      </c>
      <c r="I380" s="486" t="n">
        <v>89</v>
      </c>
      <c r="J380" s="486" t="n">
        <v>52</v>
      </c>
      <c r="K380" s="486" t="n">
        <v>35</v>
      </c>
      <c r="L380" s="486" t="n">
        <v>2</v>
      </c>
      <c r="M380" s="487" t="inlineStr">
        <is>
          <t>T</t>
        </is>
      </c>
    </row>
    <row r="381">
      <c r="A381" s="486" t="n">
        <v>7</v>
      </c>
      <c r="B381" s="486" t="n">
        <v>1</v>
      </c>
      <c r="C381" s="486" t="n">
        <v>2</v>
      </c>
      <c r="D381" s="486" t="n">
        <v>1</v>
      </c>
      <c r="E381" s="486" t="n">
        <v>2</v>
      </c>
      <c r="F381" s="486" t="n">
        <v>2</v>
      </c>
      <c r="G381" s="486" t="inlineStr">
        <is>
          <t>North-Right1</t>
        </is>
      </c>
      <c r="H381" s="486" t="n">
        <v>2627.13</v>
      </c>
      <c r="I381" s="486" t="n">
        <v>89</v>
      </c>
      <c r="J381" s="486" t="n">
        <v>51</v>
      </c>
      <c r="K381" s="486" t="n">
        <v>48</v>
      </c>
      <c r="L381" s="486" t="n">
        <v>2</v>
      </c>
      <c r="M381" s="487" t="inlineStr">
        <is>
          <t>T</t>
        </is>
      </c>
    </row>
    <row r="382">
      <c r="A382" s="486" t="n">
        <v>7</v>
      </c>
      <c r="B382" s="486" t="n">
        <v>1</v>
      </c>
      <c r="C382" s="486" t="n">
        <v>2</v>
      </c>
      <c r="D382" s="486" t="n">
        <v>1</v>
      </c>
      <c r="E382" s="486" t="n">
        <v>2</v>
      </c>
      <c r="F382" s="486" t="n">
        <v>2</v>
      </c>
      <c r="G382" s="486" t="inlineStr">
        <is>
          <t>North-Right2</t>
        </is>
      </c>
      <c r="H382" s="486" t="n">
        <v>0</v>
      </c>
      <c r="I382" s="486" t="n">
        <v>0</v>
      </c>
      <c r="J382" s="486" t="n">
        <v>0</v>
      </c>
      <c r="K382" s="486" t="n">
        <v>0</v>
      </c>
      <c r="L382" s="486" t="n">
        <v>0</v>
      </c>
      <c r="M382" s="487" t="inlineStr">
        <is>
          <t>T</t>
        </is>
      </c>
    </row>
    <row r="383">
      <c r="A383" s="486" t="n">
        <v>7</v>
      </c>
      <c r="B383" s="486" t="n">
        <v>1</v>
      </c>
      <c r="C383" s="486" t="n">
        <v>2</v>
      </c>
      <c r="D383" s="486" t="n">
        <v>1</v>
      </c>
      <c r="E383" s="486" t="n">
        <v>2</v>
      </c>
      <c r="F383" s="486" t="n">
        <v>2</v>
      </c>
      <c r="G383" s="486" t="inlineStr">
        <is>
          <t>South-Left2</t>
        </is>
      </c>
      <c r="H383" s="486" t="n">
        <v>0</v>
      </c>
      <c r="I383" s="486" t="n">
        <v>0</v>
      </c>
      <c r="J383" s="486" t="n">
        <v>0</v>
      </c>
      <c r="K383" s="486" t="n">
        <v>0</v>
      </c>
      <c r="L383" s="486" t="n">
        <v>0</v>
      </c>
      <c r="M383" s="487" t="inlineStr">
        <is>
          <t>T</t>
        </is>
      </c>
    </row>
    <row r="384">
      <c r="A384" s="486" t="n">
        <v>7</v>
      </c>
      <c r="B384" s="486" t="n">
        <v>1</v>
      </c>
      <c r="C384" s="486" t="n">
        <v>2</v>
      </c>
      <c r="D384" s="486" t="n">
        <v>1</v>
      </c>
      <c r="E384" s="486" t="n">
        <v>2</v>
      </c>
      <c r="F384" s="486" t="n">
        <v>2</v>
      </c>
      <c r="G384" s="475" t="inlineStr">
        <is>
          <t>South-Left1</t>
        </is>
      </c>
      <c r="H384" s="486" t="n">
        <v>5268.81</v>
      </c>
      <c r="I384" s="486" t="n">
        <v>89</v>
      </c>
      <c r="J384" s="486" t="n">
        <v>31</v>
      </c>
      <c r="K384" s="486" t="n">
        <v>20</v>
      </c>
      <c r="L384" s="486" t="n">
        <v>2</v>
      </c>
      <c r="M384" s="487" t="inlineStr">
        <is>
          <t>T</t>
        </is>
      </c>
    </row>
    <row r="385">
      <c r="A385" s="486" t="n">
        <v>7</v>
      </c>
      <c r="B385" s="486" t="n">
        <v>1</v>
      </c>
      <c r="C385" s="486" t="n">
        <v>2</v>
      </c>
      <c r="D385" s="486" t="n">
        <v>1</v>
      </c>
      <c r="E385" s="486" t="n">
        <v>2</v>
      </c>
      <c r="F385" s="486" t="n">
        <v>2</v>
      </c>
      <c r="G385" s="486" t="inlineStr">
        <is>
          <t>South-Right1</t>
        </is>
      </c>
      <c r="H385" s="486" t="n">
        <v>0</v>
      </c>
      <c r="I385" s="486" t="n">
        <v>0</v>
      </c>
      <c r="J385" s="486" t="n">
        <v>0</v>
      </c>
      <c r="K385" s="486" t="n">
        <v>0</v>
      </c>
      <c r="L385" s="486" t="n">
        <v>0</v>
      </c>
      <c r="M385" s="487" t="inlineStr">
        <is>
          <t>T</t>
        </is>
      </c>
    </row>
    <row r="386">
      <c r="A386" s="486" t="n">
        <v>7</v>
      </c>
      <c r="B386" s="486" t="n">
        <v>1</v>
      </c>
      <c r="C386" s="486" t="n">
        <v>2</v>
      </c>
      <c r="D386" s="486" t="n">
        <v>1</v>
      </c>
      <c r="E386" s="486" t="n">
        <v>2</v>
      </c>
      <c r="F386" s="486" t="n">
        <v>2</v>
      </c>
      <c r="G386" s="486" t="inlineStr">
        <is>
          <t>South-Right2</t>
        </is>
      </c>
      <c r="H386" s="486" t="n">
        <v>0</v>
      </c>
      <c r="I386" s="486" t="n">
        <v>0</v>
      </c>
      <c r="J386" s="486" t="n">
        <v>0</v>
      </c>
      <c r="K386" s="486" t="n">
        <v>0</v>
      </c>
      <c r="L386" s="486" t="n">
        <v>0</v>
      </c>
      <c r="M386" s="487" t="inlineStr">
        <is>
          <t>T</t>
        </is>
      </c>
    </row>
    <row r="387">
      <c r="A387" s="485" t="n">
        <v>7</v>
      </c>
      <c r="B387" s="485" t="n">
        <v>15</v>
      </c>
      <c r="C387" s="485" t="n">
        <v>2</v>
      </c>
      <c r="D387" s="485" t="n">
        <v>23</v>
      </c>
      <c r="E387" s="485" t="n">
        <v>1</v>
      </c>
      <c r="F387" s="485" t="n">
        <v>2</v>
      </c>
      <c r="G387" s="485" t="inlineStr">
        <is>
          <t>West-Up2</t>
        </is>
      </c>
      <c r="H387" s="485" t="n">
        <v>0</v>
      </c>
      <c r="I387" s="485" t="n">
        <v>0</v>
      </c>
      <c r="J387" s="485" t="n">
        <v>0</v>
      </c>
      <c r="K387" s="485" t="n">
        <v>0</v>
      </c>
      <c r="L387" s="485" t="n">
        <v>0</v>
      </c>
      <c r="M387" s="514" t="inlineStr">
        <is>
          <t>T</t>
        </is>
      </c>
    </row>
    <row r="388">
      <c r="A388" s="485" t="n">
        <v>7</v>
      </c>
      <c r="B388" s="485" t="n">
        <v>15</v>
      </c>
      <c r="C388" s="485" t="n">
        <v>2</v>
      </c>
      <c r="D388" s="485" t="n">
        <v>23</v>
      </c>
      <c r="E388" s="485" t="n">
        <v>1</v>
      </c>
      <c r="F388" s="485" t="n">
        <v>2</v>
      </c>
      <c r="G388" s="516" t="inlineStr">
        <is>
          <t>West-Up1</t>
        </is>
      </c>
      <c r="H388" s="485" t="n">
        <v>2640.63</v>
      </c>
      <c r="I388" s="485" t="n">
        <v>0</v>
      </c>
      <c r="J388" s="485" t="n">
        <v>1</v>
      </c>
      <c r="K388" s="485" t="n">
        <v>5</v>
      </c>
      <c r="L388" s="485" t="n">
        <v>2</v>
      </c>
      <c r="M388" s="514" t="inlineStr">
        <is>
          <t>T</t>
        </is>
      </c>
    </row>
    <row r="389">
      <c r="A389" s="485" t="n">
        <v>7</v>
      </c>
      <c r="B389" s="485" t="n">
        <v>15</v>
      </c>
      <c r="C389" s="485" t="n">
        <v>2</v>
      </c>
      <c r="D389" s="485" t="n">
        <v>23</v>
      </c>
      <c r="E389" s="485" t="n">
        <v>1</v>
      </c>
      <c r="F389" s="485" t="n">
        <v>2</v>
      </c>
      <c r="G389" s="485" t="inlineStr">
        <is>
          <t>West-Down1</t>
        </is>
      </c>
      <c r="H389" s="485" t="n">
        <v>2641.8</v>
      </c>
      <c r="I389" s="485" t="n">
        <v>1</v>
      </c>
      <c r="J389" s="485" t="n">
        <v>20</v>
      </c>
      <c r="K389" s="485" t="n">
        <v>47</v>
      </c>
      <c r="L389" s="485" t="n">
        <v>4</v>
      </c>
      <c r="M389" s="514" t="inlineStr">
        <is>
          <t>T</t>
        </is>
      </c>
    </row>
    <row r="390">
      <c r="A390" s="485" t="n">
        <v>7</v>
      </c>
      <c r="B390" s="485" t="n">
        <v>15</v>
      </c>
      <c r="C390" s="485" t="n">
        <v>2</v>
      </c>
      <c r="D390" s="485" t="n">
        <v>23</v>
      </c>
      <c r="E390" s="485" t="n">
        <v>1</v>
      </c>
      <c r="F390" s="485" t="n">
        <v>2</v>
      </c>
      <c r="G390" s="485" t="inlineStr">
        <is>
          <t>West-Down2</t>
        </is>
      </c>
      <c r="H390" s="485" t="n">
        <v>0</v>
      </c>
      <c r="I390" s="485" t="n">
        <v>0</v>
      </c>
      <c r="J390" s="485" t="n">
        <v>0</v>
      </c>
      <c r="K390" s="485" t="n">
        <v>0</v>
      </c>
      <c r="L390" s="485" t="n">
        <v>0</v>
      </c>
      <c r="M390" s="514" t="inlineStr">
        <is>
          <t>T</t>
        </is>
      </c>
    </row>
    <row r="391">
      <c r="A391" s="485" t="n">
        <v>7</v>
      </c>
      <c r="B391" s="485" t="n">
        <v>15</v>
      </c>
      <c r="C391" s="485" t="n">
        <v>2</v>
      </c>
      <c r="D391" s="485" t="n">
        <v>23</v>
      </c>
      <c r="E391" s="485" t="n">
        <v>1</v>
      </c>
      <c r="F391" s="485" t="n">
        <v>2</v>
      </c>
      <c r="G391" s="485" t="inlineStr">
        <is>
          <t>East-Up2</t>
        </is>
      </c>
      <c r="H391" s="485" t="n">
        <v>0</v>
      </c>
      <c r="I391" s="485" t="n">
        <v>0</v>
      </c>
      <c r="J391" s="485" t="n">
        <v>0</v>
      </c>
      <c r="K391" s="485" t="n">
        <v>0</v>
      </c>
      <c r="L391" s="485" t="n">
        <v>0</v>
      </c>
      <c r="M391" s="514" t="inlineStr">
        <is>
          <t>T</t>
        </is>
      </c>
    </row>
    <row r="392">
      <c r="A392" s="485" t="n">
        <v>7</v>
      </c>
      <c r="B392" s="485" t="n">
        <v>15</v>
      </c>
      <c r="C392" s="485" t="n">
        <v>2</v>
      </c>
      <c r="D392" s="485" t="n">
        <v>23</v>
      </c>
      <c r="E392" s="485" t="n">
        <v>1</v>
      </c>
      <c r="F392" s="485" t="n">
        <v>2</v>
      </c>
      <c r="G392" s="516" t="inlineStr">
        <is>
          <t>East-Up1</t>
        </is>
      </c>
      <c r="H392" s="485" t="n">
        <v>2645.76</v>
      </c>
      <c r="I392" s="485" t="n">
        <v>0</v>
      </c>
      <c r="J392" s="485" t="n">
        <v>1</v>
      </c>
      <c r="K392" s="485" t="n">
        <v>20</v>
      </c>
      <c r="L392" s="485" t="n">
        <v>4</v>
      </c>
      <c r="M392" s="514" t="inlineStr">
        <is>
          <t>T</t>
        </is>
      </c>
    </row>
    <row r="393">
      <c r="A393" s="485" t="n">
        <v>7</v>
      </c>
      <c r="B393" s="485" t="n">
        <v>15</v>
      </c>
      <c r="C393" s="485" t="n">
        <v>2</v>
      </c>
      <c r="D393" s="485" t="n">
        <v>23</v>
      </c>
      <c r="E393" s="485" t="n">
        <v>1</v>
      </c>
      <c r="F393" s="485" t="n">
        <v>2</v>
      </c>
      <c r="G393" s="485" t="inlineStr">
        <is>
          <t>East-Down1</t>
        </is>
      </c>
      <c r="H393" s="485" t="n">
        <v>2631.25</v>
      </c>
      <c r="I393" s="485" t="n">
        <v>1</v>
      </c>
      <c r="J393" s="485" t="n">
        <v>22</v>
      </c>
      <c r="K393" s="485" t="n">
        <v>53</v>
      </c>
      <c r="L393" s="485" t="n">
        <v>4</v>
      </c>
      <c r="M393" s="514" t="inlineStr">
        <is>
          <t>T</t>
        </is>
      </c>
    </row>
    <row r="394">
      <c r="A394" s="485" t="n">
        <v>7</v>
      </c>
      <c r="B394" s="485" t="n">
        <v>15</v>
      </c>
      <c r="C394" s="485" t="n">
        <v>2</v>
      </c>
      <c r="D394" s="485" t="n">
        <v>23</v>
      </c>
      <c r="E394" s="485" t="n">
        <v>1</v>
      </c>
      <c r="F394" s="485" t="n">
        <v>2</v>
      </c>
      <c r="G394" s="485" t="inlineStr">
        <is>
          <t>East-Down2</t>
        </is>
      </c>
      <c r="H394" s="485" t="n">
        <v>0</v>
      </c>
      <c r="I394" s="485" t="n">
        <v>0</v>
      </c>
      <c r="J394" s="485" t="n">
        <v>0</v>
      </c>
      <c r="K394" s="485" t="n">
        <v>0</v>
      </c>
      <c r="L394" s="485" t="n">
        <v>0</v>
      </c>
      <c r="M394" s="514" t="inlineStr">
        <is>
          <t>T</t>
        </is>
      </c>
    </row>
    <row r="395">
      <c r="A395" s="485" t="n">
        <v>7</v>
      </c>
      <c r="B395" s="485" t="n">
        <v>15</v>
      </c>
      <c r="C395" s="485" t="n">
        <v>2</v>
      </c>
      <c r="D395" s="485" t="n">
        <v>23</v>
      </c>
      <c r="E395" s="485" t="n">
        <v>1</v>
      </c>
      <c r="F395" s="485" t="n">
        <v>2</v>
      </c>
      <c r="G395" s="485" t="inlineStr">
        <is>
          <t>North-Left2</t>
        </is>
      </c>
      <c r="H395" s="485" t="n">
        <v>0</v>
      </c>
      <c r="I395" s="485" t="n">
        <v>0</v>
      </c>
      <c r="J395" s="485" t="n">
        <v>0</v>
      </c>
      <c r="K395" s="485" t="n">
        <v>0</v>
      </c>
      <c r="L395" s="485" t="n">
        <v>0</v>
      </c>
      <c r="M395" s="514" t="inlineStr">
        <is>
          <t>T</t>
        </is>
      </c>
    </row>
    <row r="396">
      <c r="A396" s="485" t="n">
        <v>7</v>
      </c>
      <c r="B396" s="485" t="n">
        <v>15</v>
      </c>
      <c r="C396" s="485" t="n">
        <v>2</v>
      </c>
      <c r="D396" s="485" t="n">
        <v>23</v>
      </c>
      <c r="E396" s="485" t="n">
        <v>1</v>
      </c>
      <c r="F396" s="485" t="n">
        <v>2</v>
      </c>
      <c r="G396" s="516" t="inlineStr">
        <is>
          <t>North-Left1</t>
        </is>
      </c>
      <c r="H396" s="485" t="n">
        <v>2614.45</v>
      </c>
      <c r="I396" s="485" t="n">
        <v>89</v>
      </c>
      <c r="J396" s="485" t="n">
        <v>57</v>
      </c>
      <c r="K396" s="485" t="n">
        <v>10</v>
      </c>
      <c r="L396" s="485" t="n">
        <v>2</v>
      </c>
      <c r="M396" s="514" t="inlineStr">
        <is>
          <t>T</t>
        </is>
      </c>
    </row>
    <row r="397">
      <c r="A397" s="485" t="n">
        <v>7</v>
      </c>
      <c r="B397" s="485" t="n">
        <v>15</v>
      </c>
      <c r="C397" s="485" t="n">
        <v>2</v>
      </c>
      <c r="D397" s="485" t="n">
        <v>23</v>
      </c>
      <c r="E397" s="485" t="n">
        <v>1</v>
      </c>
      <c r="F397" s="485" t="n">
        <v>2</v>
      </c>
      <c r="G397" s="485" t="inlineStr">
        <is>
          <t>North-Right1</t>
        </is>
      </c>
      <c r="H397" s="485" t="n">
        <v>2637.88</v>
      </c>
      <c r="I397" s="485" t="n">
        <v>89</v>
      </c>
      <c r="J397" s="485" t="n">
        <v>55</v>
      </c>
      <c r="K397" s="485" t="n">
        <v>42</v>
      </c>
      <c r="L397" s="485" t="n">
        <v>2</v>
      </c>
      <c r="M397" s="514" t="inlineStr">
        <is>
          <t>T</t>
        </is>
      </c>
    </row>
    <row r="398">
      <c r="A398" s="485" t="n">
        <v>7</v>
      </c>
      <c r="B398" s="485" t="n">
        <v>15</v>
      </c>
      <c r="C398" s="485" t="n">
        <v>2</v>
      </c>
      <c r="D398" s="485" t="n">
        <v>23</v>
      </c>
      <c r="E398" s="485" t="n">
        <v>1</v>
      </c>
      <c r="F398" s="485" t="n">
        <v>2</v>
      </c>
      <c r="G398" s="485" t="inlineStr">
        <is>
          <t>North-Right2</t>
        </is>
      </c>
      <c r="H398" s="485" t="n">
        <v>0</v>
      </c>
      <c r="I398" s="485" t="n">
        <v>0</v>
      </c>
      <c r="J398" s="485" t="n">
        <v>0</v>
      </c>
      <c r="K398" s="485" t="n">
        <v>0</v>
      </c>
      <c r="L398" s="485" t="n">
        <v>0</v>
      </c>
      <c r="M398" s="514" t="inlineStr">
        <is>
          <t>T</t>
        </is>
      </c>
    </row>
    <row r="399">
      <c r="A399" s="485" t="n">
        <v>7</v>
      </c>
      <c r="B399" s="485" t="n">
        <v>15</v>
      </c>
      <c r="C399" s="485" t="n">
        <v>2</v>
      </c>
      <c r="D399" s="485" t="n">
        <v>23</v>
      </c>
      <c r="E399" s="485" t="n">
        <v>1</v>
      </c>
      <c r="F399" s="485" t="n">
        <v>2</v>
      </c>
      <c r="G399" s="485" t="inlineStr">
        <is>
          <t>South-Left2</t>
        </is>
      </c>
      <c r="H399" s="485" t="n">
        <v>0</v>
      </c>
      <c r="I399" s="485" t="n">
        <v>0</v>
      </c>
      <c r="J399" s="485" t="n">
        <v>0</v>
      </c>
      <c r="K399" s="485" t="n">
        <v>0</v>
      </c>
      <c r="L399" s="485" t="n">
        <v>0</v>
      </c>
      <c r="M399" s="514" t="inlineStr">
        <is>
          <t>T</t>
        </is>
      </c>
    </row>
    <row r="400">
      <c r="A400" s="485" t="n">
        <v>7</v>
      </c>
      <c r="B400" s="485" t="n">
        <v>15</v>
      </c>
      <c r="C400" s="485" t="n">
        <v>2</v>
      </c>
      <c r="D400" s="485" t="n">
        <v>23</v>
      </c>
      <c r="E400" s="485" t="n">
        <v>1</v>
      </c>
      <c r="F400" s="485" t="n">
        <v>2</v>
      </c>
      <c r="G400" s="516" t="inlineStr">
        <is>
          <t>South-Left1</t>
        </is>
      </c>
      <c r="H400" s="485" t="n">
        <v>2615.39</v>
      </c>
      <c r="I400" s="485" t="n">
        <v>88</v>
      </c>
      <c r="J400" s="485" t="n">
        <v>31</v>
      </c>
      <c r="K400" s="485" t="n">
        <v>1</v>
      </c>
      <c r="L400" s="485" t="n">
        <v>3</v>
      </c>
      <c r="M400" s="514" t="inlineStr">
        <is>
          <t>T</t>
        </is>
      </c>
    </row>
    <row r="401">
      <c r="A401" s="485" t="n">
        <v>7</v>
      </c>
      <c r="B401" s="485" t="n">
        <v>15</v>
      </c>
      <c r="C401" s="485" t="n">
        <v>2</v>
      </c>
      <c r="D401" s="485" t="n">
        <v>23</v>
      </c>
      <c r="E401" s="485" t="n">
        <v>1</v>
      </c>
      <c r="F401" s="485" t="n">
        <v>2</v>
      </c>
      <c r="G401" s="485" t="inlineStr">
        <is>
          <t>South-Right1</t>
        </is>
      </c>
      <c r="H401" s="485" t="n">
        <v>2638.4</v>
      </c>
      <c r="I401" s="485" t="n">
        <v>88</v>
      </c>
      <c r="J401" s="485" t="n">
        <v>33</v>
      </c>
      <c r="K401" s="485" t="n">
        <v>14</v>
      </c>
      <c r="L401" s="485" t="n">
        <v>3</v>
      </c>
      <c r="M401" s="514" t="inlineStr">
        <is>
          <t>T</t>
        </is>
      </c>
    </row>
    <row r="402">
      <c r="A402" s="485" t="n">
        <v>7</v>
      </c>
      <c r="B402" s="485" t="n">
        <v>15</v>
      </c>
      <c r="C402" s="485" t="n">
        <v>2</v>
      </c>
      <c r="D402" s="485" t="n">
        <v>23</v>
      </c>
      <c r="E402" s="485" t="n">
        <v>1</v>
      </c>
      <c r="F402" s="485" t="n">
        <v>2</v>
      </c>
      <c r="G402" s="485" t="inlineStr">
        <is>
          <t>South-Right2</t>
        </is>
      </c>
      <c r="H402" s="485" t="n">
        <v>0</v>
      </c>
      <c r="I402" s="485" t="n">
        <v>0</v>
      </c>
      <c r="J402" s="485" t="n">
        <v>0</v>
      </c>
      <c r="K402" s="485" t="n">
        <v>0</v>
      </c>
      <c r="L402" s="485" t="n">
        <v>0</v>
      </c>
      <c r="M402" s="514" t="inlineStr">
        <is>
          <t>T</t>
        </is>
      </c>
    </row>
    <row r="403">
      <c r="A403" s="486" t="n">
        <v>7</v>
      </c>
      <c r="B403" s="486" t="n">
        <v>2</v>
      </c>
      <c r="C403" s="486" t="n">
        <v>2</v>
      </c>
      <c r="D403" s="486" t="n">
        <v>2</v>
      </c>
      <c r="E403" s="486" t="n">
        <v>2</v>
      </c>
      <c r="F403" s="486" t="n">
        <v>2</v>
      </c>
      <c r="G403" s="486" t="inlineStr">
        <is>
          <t>West-Up2</t>
        </is>
      </c>
      <c r="H403" s="486" t="n">
        <v>1333.97</v>
      </c>
      <c r="I403" s="486" t="n">
        <v>0</v>
      </c>
      <c r="J403" s="486" t="n">
        <v>25</v>
      </c>
      <c r="K403" s="486" t="n">
        <v>49</v>
      </c>
      <c r="L403" s="486" t="n">
        <v>1</v>
      </c>
      <c r="M403" s="487" t="inlineStr">
        <is>
          <t>T</t>
        </is>
      </c>
    </row>
    <row r="404">
      <c r="A404" s="486" t="n">
        <v>7</v>
      </c>
      <c r="B404" s="486" t="n">
        <v>2</v>
      </c>
      <c r="C404" s="486" t="n">
        <v>2</v>
      </c>
      <c r="D404" s="486" t="n">
        <v>2</v>
      </c>
      <c r="E404" s="486" t="n">
        <v>2</v>
      </c>
      <c r="F404" s="486" t="n">
        <v>2</v>
      </c>
      <c r="G404" s="475" t="inlineStr">
        <is>
          <t>West-Up1</t>
        </is>
      </c>
      <c r="H404" s="486" t="n">
        <v>1323.47</v>
      </c>
      <c r="I404" s="486" t="n">
        <v>0</v>
      </c>
      <c r="J404" s="486" t="n">
        <v>57</v>
      </c>
      <c r="K404" s="486" t="n">
        <v>54</v>
      </c>
      <c r="L404" s="486" t="n">
        <v>3</v>
      </c>
      <c r="M404" s="487" t="inlineStr">
        <is>
          <t>T</t>
        </is>
      </c>
    </row>
    <row r="405">
      <c r="A405" s="486" t="n">
        <v>7</v>
      </c>
      <c r="B405" s="486" t="n">
        <v>2</v>
      </c>
      <c r="C405" s="486" t="n">
        <v>2</v>
      </c>
      <c r="D405" s="486" t="n">
        <v>2</v>
      </c>
      <c r="E405" s="486" t="n">
        <v>2</v>
      </c>
      <c r="F405" s="486" t="n">
        <v>2</v>
      </c>
      <c r="G405" s="486" t="inlineStr">
        <is>
          <t>West-Down1</t>
        </is>
      </c>
      <c r="H405" s="486" t="n">
        <v>2625.84</v>
      </c>
      <c r="I405" s="486" t="n">
        <v>0</v>
      </c>
      <c r="J405" s="486" t="n">
        <v>30</v>
      </c>
      <c r="K405" s="486" t="n">
        <v>49</v>
      </c>
      <c r="L405" s="486" t="n">
        <v>2</v>
      </c>
      <c r="M405" s="487" t="inlineStr">
        <is>
          <t>T</t>
        </is>
      </c>
    </row>
    <row r="406">
      <c r="A406" s="486" t="n">
        <v>7</v>
      </c>
      <c r="B406" s="486" t="n">
        <v>2</v>
      </c>
      <c r="C406" s="486" t="n">
        <v>2</v>
      </c>
      <c r="D406" s="486" t="n">
        <v>2</v>
      </c>
      <c r="E406" s="486" t="n">
        <v>2</v>
      </c>
      <c r="F406" s="486" t="n">
        <v>2</v>
      </c>
      <c r="G406" s="486" t="inlineStr">
        <is>
          <t>West-Down2</t>
        </is>
      </c>
      <c r="H406" s="486" t="n">
        <v>0</v>
      </c>
      <c r="I406" s="486" t="n">
        <v>0</v>
      </c>
      <c r="J406" s="486" t="n">
        <v>0</v>
      </c>
      <c r="K406" s="486" t="n">
        <v>0</v>
      </c>
      <c r="L406" s="486" t="n">
        <v>0</v>
      </c>
      <c r="M406" s="487" t="inlineStr">
        <is>
          <t>T</t>
        </is>
      </c>
    </row>
    <row r="407">
      <c r="A407" s="486" t="n">
        <v>7</v>
      </c>
      <c r="B407" s="486" t="n">
        <v>2</v>
      </c>
      <c r="C407" s="486" t="n">
        <v>2</v>
      </c>
      <c r="D407" s="486" t="n">
        <v>2</v>
      </c>
      <c r="E407" s="486" t="n">
        <v>2</v>
      </c>
      <c r="F407" s="486" t="n">
        <v>2</v>
      </c>
      <c r="G407" s="486" t="inlineStr">
        <is>
          <t>East-Up2</t>
        </is>
      </c>
      <c r="H407" s="486" t="n">
        <v>0</v>
      </c>
      <c r="I407" s="486" t="n">
        <v>0</v>
      </c>
      <c r="J407" s="486" t="n">
        <v>0</v>
      </c>
      <c r="K407" s="486" t="n">
        <v>0</v>
      </c>
      <c r="L407" s="486" t="n">
        <v>0</v>
      </c>
      <c r="M407" s="487" t="inlineStr">
        <is>
          <t>T</t>
        </is>
      </c>
    </row>
    <row r="408">
      <c r="A408" s="486" t="n">
        <v>7</v>
      </c>
      <c r="B408" s="486" t="n">
        <v>2</v>
      </c>
      <c r="C408" s="486" t="n">
        <v>2</v>
      </c>
      <c r="D408" s="486" t="n">
        <v>2</v>
      </c>
      <c r="E408" s="486" t="n">
        <v>2</v>
      </c>
      <c r="F408" s="486" t="n">
        <v>2</v>
      </c>
      <c r="G408" s="475" t="inlineStr">
        <is>
          <t>East-Up1</t>
        </is>
      </c>
      <c r="H408" s="486" t="n">
        <v>2643.82</v>
      </c>
      <c r="I408" s="486" t="n">
        <v>0</v>
      </c>
      <c r="J408" s="486" t="n">
        <v>4</v>
      </c>
      <c r="K408" s="486" t="n">
        <v>46</v>
      </c>
      <c r="L408" s="486" t="n">
        <v>4</v>
      </c>
      <c r="M408" s="487" t="inlineStr">
        <is>
          <t>T</t>
        </is>
      </c>
    </row>
    <row r="409">
      <c r="A409" s="486" t="n">
        <v>7</v>
      </c>
      <c r="B409" s="486" t="n">
        <v>2</v>
      </c>
      <c r="C409" s="486" t="n">
        <v>2</v>
      </c>
      <c r="D409" s="486" t="n">
        <v>2</v>
      </c>
      <c r="E409" s="486" t="n">
        <v>2</v>
      </c>
      <c r="F409" s="486" t="n">
        <v>2</v>
      </c>
      <c r="G409" s="486" t="inlineStr">
        <is>
          <t>East-Down1</t>
        </is>
      </c>
      <c r="H409" s="486" t="n">
        <v>2631.87</v>
      </c>
      <c r="I409" s="486" t="n">
        <v>0</v>
      </c>
      <c r="J409" s="486" t="n">
        <v>38</v>
      </c>
      <c r="K409" s="486" t="n">
        <v>2</v>
      </c>
      <c r="L409" s="486" t="n">
        <v>2</v>
      </c>
      <c r="M409" s="487" t="inlineStr">
        <is>
          <t>T</t>
        </is>
      </c>
    </row>
    <row r="410">
      <c r="A410" s="486" t="n">
        <v>7</v>
      </c>
      <c r="B410" s="486" t="n">
        <v>2</v>
      </c>
      <c r="C410" s="486" t="n">
        <v>2</v>
      </c>
      <c r="D410" s="486" t="n">
        <v>2</v>
      </c>
      <c r="E410" s="486" t="n">
        <v>2</v>
      </c>
      <c r="F410" s="486" t="n">
        <v>2</v>
      </c>
      <c r="G410" s="486" t="inlineStr">
        <is>
          <t>East-Down2</t>
        </is>
      </c>
      <c r="H410" s="486" t="n">
        <v>0</v>
      </c>
      <c r="I410" s="486" t="n">
        <v>0</v>
      </c>
      <c r="J410" s="486" t="n">
        <v>0</v>
      </c>
      <c r="K410" s="486" t="n">
        <v>0</v>
      </c>
      <c r="L410" s="486" t="n">
        <v>0</v>
      </c>
      <c r="M410" s="487" t="inlineStr">
        <is>
          <t>T</t>
        </is>
      </c>
    </row>
    <row r="411">
      <c r="A411" s="486" t="n">
        <v>7</v>
      </c>
      <c r="B411" s="486" t="n">
        <v>2</v>
      </c>
      <c r="C411" s="486" t="n">
        <v>2</v>
      </c>
      <c r="D411" s="486" t="n">
        <v>2</v>
      </c>
      <c r="E411" s="486" t="n">
        <v>2</v>
      </c>
      <c r="F411" s="486" t="n">
        <v>2</v>
      </c>
      <c r="G411" s="486" t="inlineStr">
        <is>
          <t>North-Left2</t>
        </is>
      </c>
      <c r="H411" s="486" t="n">
        <v>0</v>
      </c>
      <c r="I411" s="486" t="n">
        <v>0</v>
      </c>
      <c r="J411" s="486" t="n">
        <v>0</v>
      </c>
      <c r="K411" s="486" t="n">
        <v>0</v>
      </c>
      <c r="L411" s="486" t="n">
        <v>0</v>
      </c>
      <c r="M411" s="487" t="inlineStr">
        <is>
          <t>T</t>
        </is>
      </c>
    </row>
    <row r="412">
      <c r="A412" s="486" t="n">
        <v>7</v>
      </c>
      <c r="B412" s="486" t="n">
        <v>2</v>
      </c>
      <c r="C412" s="486" t="n">
        <v>2</v>
      </c>
      <c r="D412" s="486" t="n">
        <v>2</v>
      </c>
      <c r="E412" s="486" t="n">
        <v>2</v>
      </c>
      <c r="F412" s="486" t="n">
        <v>2</v>
      </c>
      <c r="G412" s="475" t="inlineStr">
        <is>
          <t>North-Left1</t>
        </is>
      </c>
      <c r="H412" s="486" t="n">
        <v>2521.45</v>
      </c>
      <c r="I412" s="486" t="n">
        <v>89</v>
      </c>
      <c r="J412" s="486" t="n">
        <v>52</v>
      </c>
      <c r="K412" s="486" t="n">
        <v>28</v>
      </c>
      <c r="L412" s="486" t="n">
        <v>4</v>
      </c>
      <c r="M412" s="487" t="inlineStr">
        <is>
          <t>T</t>
        </is>
      </c>
    </row>
    <row r="413">
      <c r="A413" s="486" t="n">
        <v>7</v>
      </c>
      <c r="B413" s="486" t="n">
        <v>2</v>
      </c>
      <c r="C413" s="486" t="n">
        <v>2</v>
      </c>
      <c r="D413" s="486" t="n">
        <v>2</v>
      </c>
      <c r="E413" s="486" t="n">
        <v>2</v>
      </c>
      <c r="F413" s="486" t="n">
        <v>2</v>
      </c>
      <c r="G413" s="486" t="inlineStr">
        <is>
          <t>North-Right1</t>
        </is>
      </c>
      <c r="H413" s="486" t="n">
        <v>2635.84</v>
      </c>
      <c r="I413" s="486" t="n">
        <v>89</v>
      </c>
      <c r="J413" s="486" t="n">
        <v>52</v>
      </c>
      <c r="K413" s="486" t="n">
        <v>35</v>
      </c>
      <c r="L413" s="486" t="n">
        <v>4</v>
      </c>
      <c r="M413" s="487" t="inlineStr">
        <is>
          <t>T</t>
        </is>
      </c>
    </row>
    <row r="414">
      <c r="A414" s="486" t="n">
        <v>7</v>
      </c>
      <c r="B414" s="486" t="n">
        <v>2</v>
      </c>
      <c r="C414" s="486" t="n">
        <v>2</v>
      </c>
      <c r="D414" s="486" t="n">
        <v>2</v>
      </c>
      <c r="E414" s="486" t="n">
        <v>2</v>
      </c>
      <c r="F414" s="486" t="n">
        <v>2</v>
      </c>
      <c r="G414" s="486" t="inlineStr">
        <is>
          <t>North-Right2</t>
        </is>
      </c>
      <c r="H414" s="486" t="n">
        <v>0</v>
      </c>
      <c r="I414" s="486" t="n">
        <v>0</v>
      </c>
      <c r="J414" s="486" t="n">
        <v>0</v>
      </c>
      <c r="K414" s="486" t="n">
        <v>0</v>
      </c>
      <c r="L414" s="486" t="n">
        <v>0</v>
      </c>
      <c r="M414" s="487" t="inlineStr">
        <is>
          <t>T</t>
        </is>
      </c>
    </row>
    <row r="415">
      <c r="A415" s="486" t="n">
        <v>7</v>
      </c>
      <c r="B415" s="486" t="n">
        <v>2</v>
      </c>
      <c r="C415" s="486" t="n">
        <v>2</v>
      </c>
      <c r="D415" s="486" t="n">
        <v>2</v>
      </c>
      <c r="E415" s="486" t="n">
        <v>2</v>
      </c>
      <c r="F415" s="486" t="n">
        <v>2</v>
      </c>
      <c r="G415" s="486" t="inlineStr">
        <is>
          <t>South-Left2</t>
        </is>
      </c>
      <c r="H415" s="486" t="n">
        <v>0</v>
      </c>
      <c r="I415" s="486" t="n">
        <v>0</v>
      </c>
      <c r="J415" s="486" t="n">
        <v>0</v>
      </c>
      <c r="K415" s="486" t="n">
        <v>0</v>
      </c>
      <c r="L415" s="486" t="n">
        <v>0</v>
      </c>
      <c r="M415" s="487" t="inlineStr">
        <is>
          <t>T</t>
        </is>
      </c>
    </row>
    <row r="416">
      <c r="A416" s="486" t="n">
        <v>7</v>
      </c>
      <c r="B416" s="486" t="n">
        <v>2</v>
      </c>
      <c r="C416" s="486" t="n">
        <v>2</v>
      </c>
      <c r="D416" s="486" t="n">
        <v>2</v>
      </c>
      <c r="E416" s="486" t="n">
        <v>2</v>
      </c>
      <c r="F416" s="486" t="n">
        <v>2</v>
      </c>
      <c r="G416" s="475" t="inlineStr">
        <is>
          <t>South-Left1</t>
        </is>
      </c>
      <c r="H416" s="486" t="n">
        <v>2533.24</v>
      </c>
      <c r="I416" s="486" t="n">
        <v>89</v>
      </c>
      <c r="J416" s="486" t="n">
        <v>57</v>
      </c>
      <c r="K416" s="486" t="n">
        <v>59</v>
      </c>
      <c r="L416" s="486" t="n">
        <v>4</v>
      </c>
      <c r="M416" s="487" t="inlineStr">
        <is>
          <t>T</t>
        </is>
      </c>
    </row>
    <row r="417">
      <c r="A417" s="486" t="n">
        <v>7</v>
      </c>
      <c r="B417" s="486" t="n">
        <v>2</v>
      </c>
      <c r="C417" s="486" t="n">
        <v>2</v>
      </c>
      <c r="D417" s="486" t="n">
        <v>2</v>
      </c>
      <c r="E417" s="486" t="n">
        <v>2</v>
      </c>
      <c r="F417" s="486" t="n">
        <v>2</v>
      </c>
      <c r="G417" s="486" t="inlineStr">
        <is>
          <t>South-Right1</t>
        </is>
      </c>
      <c r="H417" s="486" t="n">
        <v>2634.38</v>
      </c>
      <c r="I417" s="486" t="n">
        <v>89</v>
      </c>
      <c r="J417" s="486" t="n">
        <v>57</v>
      </c>
      <c r="K417" s="486" t="n">
        <v>20</v>
      </c>
      <c r="L417" s="486" t="n">
        <v>4</v>
      </c>
      <c r="M417" s="487" t="inlineStr">
        <is>
          <t>T</t>
        </is>
      </c>
    </row>
    <row r="418">
      <c r="A418" s="486" t="n">
        <v>7</v>
      </c>
      <c r="B418" s="486" t="n">
        <v>2</v>
      </c>
      <c r="C418" s="486" t="n">
        <v>2</v>
      </c>
      <c r="D418" s="486" t="n">
        <v>2</v>
      </c>
      <c r="E418" s="486" t="n">
        <v>2</v>
      </c>
      <c r="F418" s="486" t="n">
        <v>2</v>
      </c>
      <c r="G418" s="486" t="inlineStr">
        <is>
          <t>South-Right2</t>
        </is>
      </c>
      <c r="H418" s="486" t="n">
        <v>0</v>
      </c>
      <c r="I418" s="486" t="n">
        <v>0</v>
      </c>
      <c r="J418" s="486" t="n">
        <v>0</v>
      </c>
      <c r="K418" s="486" t="n">
        <v>0</v>
      </c>
      <c r="L418" s="486" t="n">
        <v>0</v>
      </c>
      <c r="M418" s="487" t="inlineStr">
        <is>
          <t>T</t>
        </is>
      </c>
    </row>
    <row r="419">
      <c r="A419" s="486" t="n">
        <v>7</v>
      </c>
      <c r="B419" s="486" t="n">
        <v>2</v>
      </c>
      <c r="C419" s="486" t="n">
        <v>2</v>
      </c>
      <c r="D419" s="486" t="n">
        <v>3</v>
      </c>
      <c r="E419" s="486" t="n">
        <v>2</v>
      </c>
      <c r="F419" s="486" t="n">
        <v>2</v>
      </c>
      <c r="G419" s="486" t="inlineStr">
        <is>
          <t>West-Up2</t>
        </is>
      </c>
      <c r="H419" s="486" t="n">
        <v>0</v>
      </c>
      <c r="I419" s="486" t="n">
        <v>0</v>
      </c>
      <c r="J419" s="486" t="n">
        <v>0</v>
      </c>
      <c r="K419" s="486" t="n">
        <v>0</v>
      </c>
      <c r="L419" s="486" t="n">
        <v>0</v>
      </c>
      <c r="M419" s="487" t="inlineStr">
        <is>
          <t>T</t>
        </is>
      </c>
    </row>
    <row r="420">
      <c r="A420" s="486" t="n">
        <v>7</v>
      </c>
      <c r="B420" s="486" t="n">
        <v>2</v>
      </c>
      <c r="C420" s="486" t="n">
        <v>2</v>
      </c>
      <c r="D420" s="486" t="n">
        <v>3</v>
      </c>
      <c r="E420" s="486" t="n">
        <v>2</v>
      </c>
      <c r="F420" s="486" t="n">
        <v>2</v>
      </c>
      <c r="G420" s="475" t="inlineStr">
        <is>
          <t>West-Up1</t>
        </is>
      </c>
      <c r="H420" s="486" t="n">
        <v>2656.73</v>
      </c>
      <c r="I420" s="486" t="n">
        <v>0</v>
      </c>
      <c r="J420" s="486" t="n">
        <v>13</v>
      </c>
      <c r="K420" s="486" t="n">
        <v>6</v>
      </c>
      <c r="L420" s="486" t="n">
        <v>4</v>
      </c>
      <c r="M420" s="487" t="inlineStr">
        <is>
          <t>T</t>
        </is>
      </c>
    </row>
    <row r="421">
      <c r="A421" s="486" t="n">
        <v>7</v>
      </c>
      <c r="B421" s="486" t="n">
        <v>2</v>
      </c>
      <c r="C421" s="486" t="n">
        <v>2</v>
      </c>
      <c r="D421" s="486" t="n">
        <v>3</v>
      </c>
      <c r="E421" s="486" t="n">
        <v>2</v>
      </c>
      <c r="F421" s="486" t="n">
        <v>2</v>
      </c>
      <c r="G421" s="486" t="inlineStr">
        <is>
          <t>West-Down1</t>
        </is>
      </c>
      <c r="H421" s="486" t="n">
        <v>2647.49</v>
      </c>
      <c r="I421" s="486" t="n">
        <v>0</v>
      </c>
      <c r="J421" s="486" t="n">
        <v>3</v>
      </c>
      <c r="K421" s="486" t="n">
        <v>17</v>
      </c>
      <c r="L421" s="486" t="n">
        <v>4</v>
      </c>
      <c r="M421" s="487" t="inlineStr">
        <is>
          <t>T</t>
        </is>
      </c>
    </row>
    <row r="422">
      <c r="A422" s="486" t="n">
        <v>7</v>
      </c>
      <c r="B422" s="486" t="n">
        <v>2</v>
      </c>
      <c r="C422" s="486" t="n">
        <v>2</v>
      </c>
      <c r="D422" s="486" t="n">
        <v>3</v>
      </c>
      <c r="E422" s="486" t="n">
        <v>2</v>
      </c>
      <c r="F422" s="486" t="n">
        <v>2</v>
      </c>
      <c r="G422" s="486" t="inlineStr">
        <is>
          <t>West-Down2</t>
        </is>
      </c>
      <c r="H422" s="486" t="n">
        <v>0</v>
      </c>
      <c r="I422" s="486" t="n">
        <v>0</v>
      </c>
      <c r="J422" s="486" t="n">
        <v>0</v>
      </c>
      <c r="K422" s="486" t="n">
        <v>0</v>
      </c>
      <c r="L422" s="486" t="n">
        <v>0</v>
      </c>
      <c r="M422" s="487" t="inlineStr">
        <is>
          <t>T</t>
        </is>
      </c>
    </row>
    <row r="423">
      <c r="A423" s="486" t="n">
        <v>7</v>
      </c>
      <c r="B423" s="486" t="n">
        <v>2</v>
      </c>
      <c r="C423" s="486" t="n">
        <v>2</v>
      </c>
      <c r="D423" s="486" t="n">
        <v>3</v>
      </c>
      <c r="E423" s="486" t="n">
        <v>2</v>
      </c>
      <c r="F423" s="486" t="n">
        <v>2</v>
      </c>
      <c r="G423" s="486" t="inlineStr">
        <is>
          <t>East-Up2</t>
        </is>
      </c>
      <c r="H423" s="486" t="n">
        <v>0</v>
      </c>
      <c r="I423" s="486" t="n">
        <v>0</v>
      </c>
      <c r="J423" s="486" t="n">
        <v>0</v>
      </c>
      <c r="K423" s="486" t="n">
        <v>0</v>
      </c>
      <c r="L423" s="486" t="n">
        <v>0</v>
      </c>
      <c r="M423" s="487" t="inlineStr">
        <is>
          <t>T</t>
        </is>
      </c>
    </row>
    <row r="424">
      <c r="A424" s="486" t="n">
        <v>7</v>
      </c>
      <c r="B424" s="486" t="n">
        <v>2</v>
      </c>
      <c r="C424" s="486" t="n">
        <v>2</v>
      </c>
      <c r="D424" s="486" t="n">
        <v>3</v>
      </c>
      <c r="E424" s="486" t="n">
        <v>2</v>
      </c>
      <c r="F424" s="486" t="n">
        <v>2</v>
      </c>
      <c r="G424" s="475" t="inlineStr">
        <is>
          <t>East-Up1</t>
        </is>
      </c>
      <c r="H424" s="486" t="n">
        <v>2616.88</v>
      </c>
      <c r="I424" s="486" t="n">
        <v>0</v>
      </c>
      <c r="J424" s="486" t="n">
        <v>15</v>
      </c>
      <c r="K424" s="486" t="n">
        <v>45</v>
      </c>
      <c r="L424" s="486" t="n">
        <v>2</v>
      </c>
      <c r="M424" s="487" t="inlineStr">
        <is>
          <t>T</t>
        </is>
      </c>
    </row>
    <row r="425">
      <c r="A425" s="486" t="n">
        <v>7</v>
      </c>
      <c r="B425" s="486" t="n">
        <v>2</v>
      </c>
      <c r="C425" s="486" t="n">
        <v>2</v>
      </c>
      <c r="D425" s="486" t="n">
        <v>3</v>
      </c>
      <c r="E425" s="486" t="n">
        <v>2</v>
      </c>
      <c r="F425" s="486" t="n">
        <v>2</v>
      </c>
      <c r="G425" s="486" t="inlineStr">
        <is>
          <t>East-Down1</t>
        </is>
      </c>
      <c r="H425" s="486" t="n">
        <v>2635.28</v>
      </c>
      <c r="I425" s="486" t="n">
        <v>0</v>
      </c>
      <c r="J425" s="486" t="n">
        <v>32</v>
      </c>
      <c r="K425" s="486" t="n">
        <v>48</v>
      </c>
      <c r="L425" s="486" t="n">
        <v>2</v>
      </c>
      <c r="M425" s="487" t="inlineStr">
        <is>
          <t>T</t>
        </is>
      </c>
    </row>
    <row r="426">
      <c r="A426" s="486" t="n">
        <v>7</v>
      </c>
      <c r="B426" s="486" t="n">
        <v>2</v>
      </c>
      <c r="C426" s="486" t="n">
        <v>2</v>
      </c>
      <c r="D426" s="486" t="n">
        <v>3</v>
      </c>
      <c r="E426" s="486" t="n">
        <v>2</v>
      </c>
      <c r="F426" s="486" t="n">
        <v>2</v>
      </c>
      <c r="G426" s="486" t="inlineStr">
        <is>
          <t>East-Down2</t>
        </is>
      </c>
      <c r="H426" s="486" t="n">
        <v>0</v>
      </c>
      <c r="I426" s="486" t="n">
        <v>0</v>
      </c>
      <c r="J426" s="486" t="n">
        <v>0</v>
      </c>
      <c r="K426" s="486" t="n">
        <v>0</v>
      </c>
      <c r="L426" s="486" t="n">
        <v>0</v>
      </c>
      <c r="M426" s="487" t="inlineStr">
        <is>
          <t>T</t>
        </is>
      </c>
    </row>
    <row r="427">
      <c r="A427" s="486" t="n">
        <v>7</v>
      </c>
      <c r="B427" s="486" t="n">
        <v>2</v>
      </c>
      <c r="C427" s="486" t="n">
        <v>2</v>
      </c>
      <c r="D427" s="486" t="n">
        <v>3</v>
      </c>
      <c r="E427" s="486" t="n">
        <v>2</v>
      </c>
      <c r="F427" s="486" t="n">
        <v>2</v>
      </c>
      <c r="G427" s="486" t="inlineStr">
        <is>
          <t>North-Left2</t>
        </is>
      </c>
      <c r="H427" s="486" t="n">
        <v>0</v>
      </c>
      <c r="I427" s="486" t="n">
        <v>0</v>
      </c>
      <c r="J427" s="486" t="n">
        <v>0</v>
      </c>
      <c r="K427" s="486" t="n">
        <v>0</v>
      </c>
      <c r="L427" s="486" t="n">
        <v>0</v>
      </c>
      <c r="M427" s="487" t="inlineStr">
        <is>
          <t>T</t>
        </is>
      </c>
    </row>
    <row r="428">
      <c r="A428" s="486" t="n">
        <v>7</v>
      </c>
      <c r="B428" s="486" t="n">
        <v>2</v>
      </c>
      <c r="C428" s="486" t="n">
        <v>2</v>
      </c>
      <c r="D428" s="486" t="n">
        <v>3</v>
      </c>
      <c r="E428" s="486" t="n">
        <v>2</v>
      </c>
      <c r="F428" s="486" t="n">
        <v>2</v>
      </c>
      <c r="G428" s="475" t="inlineStr">
        <is>
          <t>North-Left1</t>
        </is>
      </c>
      <c r="H428" s="486" t="n">
        <v>5246.55</v>
      </c>
      <c r="I428" s="486" t="n">
        <v>89</v>
      </c>
      <c r="J428" s="486" t="n">
        <v>59</v>
      </c>
      <c r="K428" s="486" t="n">
        <v>27</v>
      </c>
      <c r="L428" s="486" t="n">
        <v>3</v>
      </c>
      <c r="M428" s="487" t="inlineStr">
        <is>
          <t>T</t>
        </is>
      </c>
    </row>
    <row r="429">
      <c r="A429" s="486" t="n">
        <v>7</v>
      </c>
      <c r="B429" s="486" t="n">
        <v>2</v>
      </c>
      <c r="C429" s="486" t="n">
        <v>2</v>
      </c>
      <c r="D429" s="486" t="n">
        <v>3</v>
      </c>
      <c r="E429" s="486" t="n">
        <v>2</v>
      </c>
      <c r="F429" s="486" t="n">
        <v>2</v>
      </c>
      <c r="G429" s="486" t="inlineStr">
        <is>
          <t>North-Right1</t>
        </is>
      </c>
      <c r="H429" s="486" t="n">
        <v>0</v>
      </c>
      <c r="I429" s="486" t="n">
        <v>0</v>
      </c>
      <c r="J429" s="486" t="n">
        <v>0</v>
      </c>
      <c r="K429" s="486" t="n">
        <v>0</v>
      </c>
      <c r="L429" s="486" t="n">
        <v>0</v>
      </c>
      <c r="M429" s="487" t="inlineStr">
        <is>
          <t>T</t>
        </is>
      </c>
    </row>
    <row r="430">
      <c r="A430" s="486" t="n">
        <v>7</v>
      </c>
      <c r="B430" s="486" t="n">
        <v>2</v>
      </c>
      <c r="C430" s="486" t="n">
        <v>2</v>
      </c>
      <c r="D430" s="486" t="n">
        <v>3</v>
      </c>
      <c r="E430" s="486" t="n">
        <v>2</v>
      </c>
      <c r="F430" s="486" t="n">
        <v>2</v>
      </c>
      <c r="G430" s="486" t="inlineStr">
        <is>
          <t>North-Right2</t>
        </is>
      </c>
      <c r="H430" s="486" t="n">
        <v>0</v>
      </c>
      <c r="I430" s="486" t="n">
        <v>0</v>
      </c>
      <c r="J430" s="486" t="n">
        <v>0</v>
      </c>
      <c r="K430" s="486" t="n">
        <v>0</v>
      </c>
      <c r="L430" s="486" t="n">
        <v>0</v>
      </c>
      <c r="M430" s="487" t="inlineStr">
        <is>
          <t>T</t>
        </is>
      </c>
    </row>
    <row r="431">
      <c r="A431" s="486" t="n">
        <v>7</v>
      </c>
      <c r="B431" s="486" t="n">
        <v>2</v>
      </c>
      <c r="C431" s="486" t="n">
        <v>2</v>
      </c>
      <c r="D431" s="486" t="n">
        <v>3</v>
      </c>
      <c r="E431" s="486" t="n">
        <v>2</v>
      </c>
      <c r="F431" s="486" t="n">
        <v>2</v>
      </c>
      <c r="G431" s="486" t="inlineStr">
        <is>
          <t>South-Left2</t>
        </is>
      </c>
      <c r="H431" s="486" t="n">
        <v>0</v>
      </c>
      <c r="I431" s="486" t="n">
        <v>0</v>
      </c>
      <c r="J431" s="486" t="n">
        <v>0</v>
      </c>
      <c r="K431" s="486" t="n">
        <v>0</v>
      </c>
      <c r="L431" s="486" t="n">
        <v>0</v>
      </c>
      <c r="M431" s="487" t="inlineStr">
        <is>
          <t>T</t>
        </is>
      </c>
    </row>
    <row r="432">
      <c r="A432" s="486" t="n">
        <v>7</v>
      </c>
      <c r="B432" s="486" t="n">
        <v>2</v>
      </c>
      <c r="C432" s="486" t="n">
        <v>2</v>
      </c>
      <c r="D432" s="486" t="n">
        <v>3</v>
      </c>
      <c r="E432" s="486" t="n">
        <v>2</v>
      </c>
      <c r="F432" s="486" t="n">
        <v>2</v>
      </c>
      <c r="G432" s="475" t="inlineStr">
        <is>
          <t>South-Left1</t>
        </is>
      </c>
      <c r="H432" s="486" t="n">
        <v>5197.03</v>
      </c>
      <c r="I432" s="486" t="n">
        <v>89</v>
      </c>
      <c r="J432" s="486" t="n">
        <v>24</v>
      </c>
      <c r="K432" s="486" t="n">
        <v>56</v>
      </c>
      <c r="L432" s="486" t="n">
        <v>3</v>
      </c>
      <c r="M432" s="487" t="inlineStr">
        <is>
          <t>T</t>
        </is>
      </c>
    </row>
    <row r="433">
      <c r="A433" s="486" t="n">
        <v>7</v>
      </c>
      <c r="B433" s="486" t="n">
        <v>2</v>
      </c>
      <c r="C433" s="486" t="n">
        <v>2</v>
      </c>
      <c r="D433" s="486" t="n">
        <v>3</v>
      </c>
      <c r="E433" s="486" t="n">
        <v>2</v>
      </c>
      <c r="F433" s="486" t="n">
        <v>2</v>
      </c>
      <c r="G433" s="486" t="inlineStr">
        <is>
          <t>South-Right1</t>
        </is>
      </c>
      <c r="H433" s="486" t="n">
        <v>0</v>
      </c>
      <c r="I433" s="486" t="n">
        <v>0</v>
      </c>
      <c r="J433" s="486" t="n">
        <v>0</v>
      </c>
      <c r="K433" s="486" t="n">
        <v>0</v>
      </c>
      <c r="L433" s="486" t="n">
        <v>0</v>
      </c>
      <c r="M433" s="487" t="inlineStr">
        <is>
          <t>T</t>
        </is>
      </c>
    </row>
    <row r="434">
      <c r="A434" s="486" t="n">
        <v>7</v>
      </c>
      <c r="B434" s="486" t="n">
        <v>2</v>
      </c>
      <c r="C434" s="486" t="n">
        <v>2</v>
      </c>
      <c r="D434" s="486" t="n">
        <v>3</v>
      </c>
      <c r="E434" s="486" t="n">
        <v>2</v>
      </c>
      <c r="F434" s="486" t="n">
        <v>2</v>
      </c>
      <c r="G434" s="486" t="inlineStr">
        <is>
          <t>South-Right2</t>
        </is>
      </c>
      <c r="H434" s="486" t="n">
        <v>0</v>
      </c>
      <c r="I434" s="486" t="n">
        <v>0</v>
      </c>
      <c r="J434" s="486" t="n">
        <v>0</v>
      </c>
      <c r="K434" s="486" t="n">
        <v>0</v>
      </c>
      <c r="L434" s="486" t="n">
        <v>0</v>
      </c>
      <c r="M434" s="487" t="inlineStr">
        <is>
          <t>T</t>
        </is>
      </c>
    </row>
    <row r="435">
      <c r="A435" s="485" t="n">
        <v>7</v>
      </c>
      <c r="B435" s="485" t="n">
        <v>3</v>
      </c>
      <c r="C435" s="485" t="n">
        <v>2</v>
      </c>
      <c r="D435" s="485" t="n">
        <v>1</v>
      </c>
      <c r="E435" s="485" t="n">
        <v>1</v>
      </c>
      <c r="F435" s="485" t="n">
        <v>2</v>
      </c>
      <c r="G435" s="485" t="inlineStr">
        <is>
          <t>West-Up2</t>
        </is>
      </c>
      <c r="H435" s="485" t="n">
        <v>0</v>
      </c>
      <c r="I435" s="485" t="n">
        <v>0</v>
      </c>
      <c r="J435" s="485" t="n">
        <v>0</v>
      </c>
      <c r="K435" s="485" t="n">
        <v>0</v>
      </c>
      <c r="L435" s="485" t="n">
        <v>0</v>
      </c>
      <c r="M435" s="514" t="inlineStr">
        <is>
          <t>T</t>
        </is>
      </c>
    </row>
    <row r="436">
      <c r="A436" s="485" t="n">
        <v>7</v>
      </c>
      <c r="B436" s="485" t="n">
        <v>3</v>
      </c>
      <c r="C436" s="485" t="n">
        <v>2</v>
      </c>
      <c r="D436" s="485" t="n">
        <v>1</v>
      </c>
      <c r="E436" s="485" t="n">
        <v>1</v>
      </c>
      <c r="F436" s="485" t="n">
        <v>2</v>
      </c>
      <c r="G436" s="516" t="inlineStr">
        <is>
          <t>West-Up1</t>
        </is>
      </c>
      <c r="H436" s="485" t="n">
        <v>2486.14</v>
      </c>
      <c r="I436" s="485" t="n">
        <v>0</v>
      </c>
      <c r="J436" s="485" t="n">
        <v>40</v>
      </c>
      <c r="K436" s="485" t="n">
        <v>32</v>
      </c>
      <c r="L436" s="485" t="n">
        <v>1</v>
      </c>
      <c r="M436" s="514" t="inlineStr">
        <is>
          <t>T</t>
        </is>
      </c>
    </row>
    <row r="437">
      <c r="A437" s="485" t="n">
        <v>7</v>
      </c>
      <c r="B437" s="485" t="n">
        <v>3</v>
      </c>
      <c r="C437" s="485" t="n">
        <v>2</v>
      </c>
      <c r="D437" s="485" t="n">
        <v>1</v>
      </c>
      <c r="E437" s="485" t="n">
        <v>1</v>
      </c>
      <c r="F437" s="485" t="n">
        <v>2</v>
      </c>
      <c r="G437" s="485" t="inlineStr">
        <is>
          <t>West-Down1</t>
        </is>
      </c>
      <c r="H437" s="485" t="n">
        <v>2639.45</v>
      </c>
      <c r="I437" s="485" t="n">
        <v>1</v>
      </c>
      <c r="J437" s="485" t="n">
        <v>2</v>
      </c>
      <c r="K437" s="485" t="n">
        <v>17</v>
      </c>
      <c r="L437" s="485" t="n">
        <v>1</v>
      </c>
      <c r="M437" s="514" t="inlineStr">
        <is>
          <t>T</t>
        </is>
      </c>
    </row>
    <row r="438">
      <c r="A438" s="485" t="n">
        <v>7</v>
      </c>
      <c r="B438" s="485" t="n">
        <v>3</v>
      </c>
      <c r="C438" s="485" t="n">
        <v>2</v>
      </c>
      <c r="D438" s="485" t="n">
        <v>1</v>
      </c>
      <c r="E438" s="485" t="n">
        <v>1</v>
      </c>
      <c r="F438" s="485" t="n">
        <v>2</v>
      </c>
      <c r="G438" s="485" t="inlineStr">
        <is>
          <t>West-Down2</t>
        </is>
      </c>
      <c r="H438" s="485" t="n">
        <v>0</v>
      </c>
      <c r="I438" s="485" t="n">
        <v>0</v>
      </c>
      <c r="J438" s="485" t="n">
        <v>0</v>
      </c>
      <c r="K438" s="485" t="n">
        <v>0</v>
      </c>
      <c r="L438" s="485" t="n">
        <v>0</v>
      </c>
      <c r="M438" s="514" t="inlineStr">
        <is>
          <t>T</t>
        </is>
      </c>
    </row>
    <row r="439">
      <c r="A439" s="485" t="n">
        <v>7</v>
      </c>
      <c r="B439" s="485" t="n">
        <v>3</v>
      </c>
      <c r="C439" s="485" t="n">
        <v>2</v>
      </c>
      <c r="D439" s="485" t="n">
        <v>1</v>
      </c>
      <c r="E439" s="485" t="n">
        <v>1</v>
      </c>
      <c r="F439" s="485" t="n">
        <v>2</v>
      </c>
      <c r="G439" s="485" t="inlineStr">
        <is>
          <t>East-Up2</t>
        </is>
      </c>
      <c r="H439" s="485" t="n">
        <v>0</v>
      </c>
      <c r="I439" s="485" t="n">
        <v>0</v>
      </c>
      <c r="J439" s="485" t="n">
        <v>0</v>
      </c>
      <c r="K439" s="485" t="n">
        <v>0</v>
      </c>
      <c r="L439" s="485" t="n">
        <v>0</v>
      </c>
      <c r="M439" s="514" t="inlineStr">
        <is>
          <t>T</t>
        </is>
      </c>
    </row>
    <row r="440">
      <c r="A440" s="485" t="n">
        <v>7</v>
      </c>
      <c r="B440" s="485" t="n">
        <v>3</v>
      </c>
      <c r="C440" s="485" t="n">
        <v>2</v>
      </c>
      <c r="D440" s="485" t="n">
        <v>1</v>
      </c>
      <c r="E440" s="485" t="n">
        <v>1</v>
      </c>
      <c r="F440" s="485" t="n">
        <v>2</v>
      </c>
      <c r="G440" s="516" t="inlineStr">
        <is>
          <t>East-Up1</t>
        </is>
      </c>
      <c r="H440" s="485" t="n">
        <v>2639.84</v>
      </c>
      <c r="I440" s="485" t="n">
        <v>0</v>
      </c>
      <c r="J440" s="485" t="n">
        <v>55</v>
      </c>
      <c r="K440" s="485" t="n">
        <v>42</v>
      </c>
      <c r="L440" s="485" t="n">
        <v>1</v>
      </c>
      <c r="M440" s="514" t="inlineStr">
        <is>
          <t>T</t>
        </is>
      </c>
    </row>
    <row r="441">
      <c r="A441" s="485" t="n">
        <v>7</v>
      </c>
      <c r="B441" s="485" t="n">
        <v>3</v>
      </c>
      <c r="C441" s="485" t="n">
        <v>2</v>
      </c>
      <c r="D441" s="485" t="n">
        <v>1</v>
      </c>
      <c r="E441" s="485" t="n">
        <v>1</v>
      </c>
      <c r="F441" s="485" t="n">
        <v>2</v>
      </c>
      <c r="G441" s="485" t="inlineStr">
        <is>
          <t>East-Down1</t>
        </is>
      </c>
      <c r="H441" s="485" t="n">
        <v>2636.29</v>
      </c>
      <c r="I441" s="485" t="n">
        <v>0</v>
      </c>
      <c r="J441" s="485" t="n">
        <v>59</v>
      </c>
      <c r="K441" s="485" t="n">
        <v>43</v>
      </c>
      <c r="L441" s="485" t="n">
        <v>1</v>
      </c>
      <c r="M441" s="514" t="inlineStr">
        <is>
          <t>T</t>
        </is>
      </c>
    </row>
    <row r="442">
      <c r="A442" s="485" t="n">
        <v>7</v>
      </c>
      <c r="B442" s="485" t="n">
        <v>3</v>
      </c>
      <c r="C442" s="485" t="n">
        <v>2</v>
      </c>
      <c r="D442" s="485" t="n">
        <v>1</v>
      </c>
      <c r="E442" s="485" t="n">
        <v>1</v>
      </c>
      <c r="F442" s="485" t="n">
        <v>2</v>
      </c>
      <c r="G442" s="485" t="inlineStr">
        <is>
          <t>East-Down2</t>
        </is>
      </c>
      <c r="H442" s="485" t="n">
        <v>0</v>
      </c>
      <c r="I442" s="485" t="n">
        <v>0</v>
      </c>
      <c r="J442" s="485" t="n">
        <v>0</v>
      </c>
      <c r="K442" s="485" t="n">
        <v>0</v>
      </c>
      <c r="L442" s="485" t="n">
        <v>0</v>
      </c>
      <c r="M442" s="514" t="inlineStr">
        <is>
          <t>T</t>
        </is>
      </c>
    </row>
    <row r="443">
      <c r="A443" s="485" t="n">
        <v>7</v>
      </c>
      <c r="B443" s="485" t="n">
        <v>3</v>
      </c>
      <c r="C443" s="485" t="n">
        <v>2</v>
      </c>
      <c r="D443" s="485" t="n">
        <v>1</v>
      </c>
      <c r="E443" s="485" t="n">
        <v>1</v>
      </c>
      <c r="F443" s="485" t="n">
        <v>2</v>
      </c>
      <c r="G443" s="485" t="inlineStr">
        <is>
          <t>North-Left2</t>
        </is>
      </c>
      <c r="H443" s="485" t="n">
        <v>0</v>
      </c>
      <c r="I443" s="485" t="n">
        <v>0</v>
      </c>
      <c r="J443" s="485" t="n">
        <v>0</v>
      </c>
      <c r="K443" s="485" t="n">
        <v>0</v>
      </c>
      <c r="L443" s="485" t="n">
        <v>0</v>
      </c>
      <c r="M443" s="514" t="inlineStr">
        <is>
          <t>T</t>
        </is>
      </c>
    </row>
    <row r="444">
      <c r="A444" s="485" t="n">
        <v>7</v>
      </c>
      <c r="B444" s="485" t="n">
        <v>3</v>
      </c>
      <c r="C444" s="485" t="n">
        <v>2</v>
      </c>
      <c r="D444" s="485" t="n">
        <v>1</v>
      </c>
      <c r="E444" s="485" t="n">
        <v>1</v>
      </c>
      <c r="F444" s="485" t="n">
        <v>2</v>
      </c>
      <c r="G444" s="516" t="inlineStr">
        <is>
          <t>North-Left1</t>
        </is>
      </c>
      <c r="H444" s="485" t="n">
        <v>5217.03</v>
      </c>
      <c r="I444" s="485" t="n">
        <v>88</v>
      </c>
      <c r="J444" s="485" t="n">
        <v>53</v>
      </c>
      <c r="K444" s="485" t="n">
        <v>11</v>
      </c>
      <c r="L444" s="485" t="n">
        <v>2</v>
      </c>
      <c r="M444" s="514" t="inlineStr">
        <is>
          <t>T</t>
        </is>
      </c>
    </row>
    <row r="445">
      <c r="A445" s="485" t="n">
        <v>7</v>
      </c>
      <c r="B445" s="485" t="n">
        <v>3</v>
      </c>
      <c r="C445" s="485" t="n">
        <v>2</v>
      </c>
      <c r="D445" s="485" t="n">
        <v>1</v>
      </c>
      <c r="E445" s="485" t="n">
        <v>1</v>
      </c>
      <c r="F445" s="485" t="n">
        <v>2</v>
      </c>
      <c r="G445" s="485" t="inlineStr">
        <is>
          <t>North-Right1</t>
        </is>
      </c>
      <c r="H445" s="485" t="n">
        <v>0</v>
      </c>
      <c r="I445" s="485" t="n">
        <v>0</v>
      </c>
      <c r="J445" s="485" t="n">
        <v>0</v>
      </c>
      <c r="K445" s="485" t="n">
        <v>0</v>
      </c>
      <c r="L445" s="485" t="n">
        <v>0</v>
      </c>
      <c r="M445" s="514" t="inlineStr">
        <is>
          <t>T</t>
        </is>
      </c>
    </row>
    <row r="446">
      <c r="A446" s="485" t="n">
        <v>7</v>
      </c>
      <c r="B446" s="485" t="n">
        <v>3</v>
      </c>
      <c r="C446" s="485" t="n">
        <v>2</v>
      </c>
      <c r="D446" s="485" t="n">
        <v>1</v>
      </c>
      <c r="E446" s="485" t="n">
        <v>1</v>
      </c>
      <c r="F446" s="485" t="n">
        <v>2</v>
      </c>
      <c r="G446" s="485" t="inlineStr">
        <is>
          <t>North-Right2</t>
        </is>
      </c>
      <c r="H446" s="485" t="n">
        <v>0</v>
      </c>
      <c r="I446" s="485" t="n">
        <v>0</v>
      </c>
      <c r="J446" s="485" t="n">
        <v>0</v>
      </c>
      <c r="K446" s="485" t="n">
        <v>0</v>
      </c>
      <c r="L446" s="485" t="n">
        <v>0</v>
      </c>
      <c r="M446" s="514" t="inlineStr">
        <is>
          <t>T</t>
        </is>
      </c>
    </row>
    <row r="447">
      <c r="A447" s="485" t="n">
        <v>7</v>
      </c>
      <c r="B447" s="485" t="n">
        <v>3</v>
      </c>
      <c r="C447" s="485" t="n">
        <v>2</v>
      </c>
      <c r="D447" s="485" t="n">
        <v>1</v>
      </c>
      <c r="E447" s="485" t="n">
        <v>1</v>
      </c>
      <c r="F447" s="485" t="n">
        <v>2</v>
      </c>
      <c r="G447" s="485" t="inlineStr">
        <is>
          <t>South-Left2</t>
        </is>
      </c>
      <c r="H447" s="485" t="n">
        <v>0</v>
      </c>
      <c r="I447" s="485" t="n">
        <v>0</v>
      </c>
      <c r="J447" s="485" t="n">
        <v>0</v>
      </c>
      <c r="K447" s="485" t="n">
        <v>0</v>
      </c>
      <c r="L447" s="485" t="n">
        <v>0</v>
      </c>
      <c r="M447" s="514" t="inlineStr">
        <is>
          <t>T</t>
        </is>
      </c>
    </row>
    <row r="448">
      <c r="A448" s="485" t="n">
        <v>7</v>
      </c>
      <c r="B448" s="485" t="n">
        <v>3</v>
      </c>
      <c r="C448" s="485" t="n">
        <v>2</v>
      </c>
      <c r="D448" s="485" t="n">
        <v>1</v>
      </c>
      <c r="E448" s="485" t="n">
        <v>1</v>
      </c>
      <c r="F448" s="485" t="n">
        <v>2</v>
      </c>
      <c r="G448" s="516" t="inlineStr">
        <is>
          <t>South-Left1</t>
        </is>
      </c>
      <c r="H448" s="485" t="n">
        <v>2590.98</v>
      </c>
      <c r="I448" s="485" t="n">
        <v>88</v>
      </c>
      <c r="J448" s="485" t="n">
        <v>45</v>
      </c>
      <c r="K448" s="485" t="n">
        <v>8</v>
      </c>
      <c r="L448" s="485" t="n">
        <v>2</v>
      </c>
      <c r="M448" s="514" t="inlineStr">
        <is>
          <t>T</t>
        </is>
      </c>
    </row>
    <row r="449">
      <c r="A449" s="485" t="n">
        <v>7</v>
      </c>
      <c r="B449" s="485" t="n">
        <v>3</v>
      </c>
      <c r="C449" s="485" t="n">
        <v>2</v>
      </c>
      <c r="D449" s="485" t="n">
        <v>1</v>
      </c>
      <c r="E449" s="485" t="n">
        <v>1</v>
      </c>
      <c r="F449" s="485" t="n">
        <v>2</v>
      </c>
      <c r="G449" s="485" t="inlineStr">
        <is>
          <t>South-Right1</t>
        </is>
      </c>
      <c r="H449" s="485" t="n">
        <v>2642.5</v>
      </c>
      <c r="I449" s="485" t="n">
        <v>88</v>
      </c>
      <c r="J449" s="485" t="n">
        <v>51</v>
      </c>
      <c r="K449" s="485" t="n">
        <v>34</v>
      </c>
      <c r="L449" s="485" t="n">
        <v>2</v>
      </c>
      <c r="M449" s="514" t="inlineStr">
        <is>
          <t>T</t>
        </is>
      </c>
    </row>
    <row r="450">
      <c r="A450" s="485" t="n">
        <v>7</v>
      </c>
      <c r="B450" s="485" t="n">
        <v>3</v>
      </c>
      <c r="C450" s="485" t="n">
        <v>2</v>
      </c>
      <c r="D450" s="485" t="n">
        <v>1</v>
      </c>
      <c r="E450" s="485" t="n">
        <v>1</v>
      </c>
      <c r="F450" s="485" t="n">
        <v>2</v>
      </c>
      <c r="G450" s="485" t="inlineStr">
        <is>
          <t>South-Right2</t>
        </is>
      </c>
      <c r="H450" s="485" t="n">
        <v>0</v>
      </c>
      <c r="I450" s="485" t="n">
        <v>0</v>
      </c>
      <c r="J450" s="485" t="n">
        <v>0</v>
      </c>
      <c r="K450" s="485" t="n">
        <v>0</v>
      </c>
      <c r="L450" s="485" t="n">
        <v>0</v>
      </c>
      <c r="M450" s="514" t="inlineStr">
        <is>
          <t>T</t>
        </is>
      </c>
    </row>
    <row r="451">
      <c r="A451" s="486" t="n">
        <v>7</v>
      </c>
      <c r="B451" s="486" t="n">
        <v>3</v>
      </c>
      <c r="C451" s="486" t="n">
        <v>2</v>
      </c>
      <c r="D451" s="486" t="n">
        <v>5</v>
      </c>
      <c r="E451" s="486" t="n">
        <v>2</v>
      </c>
      <c r="F451" s="486" t="n">
        <v>2</v>
      </c>
      <c r="G451" s="486" t="inlineStr">
        <is>
          <t>West-Up2</t>
        </is>
      </c>
      <c r="H451" s="486" t="n">
        <v>0</v>
      </c>
      <c r="I451" s="486" t="n">
        <v>0</v>
      </c>
      <c r="J451" s="486" t="n">
        <v>0</v>
      </c>
      <c r="K451" s="486" t="n">
        <v>0</v>
      </c>
      <c r="L451" s="486" t="n">
        <v>0</v>
      </c>
      <c r="M451" s="487" t="inlineStr">
        <is>
          <t>T</t>
        </is>
      </c>
    </row>
    <row r="452">
      <c r="A452" s="486" t="n">
        <v>7</v>
      </c>
      <c r="B452" s="486" t="n">
        <v>3</v>
      </c>
      <c r="C452" s="486" t="n">
        <v>2</v>
      </c>
      <c r="D452" s="486" t="n">
        <v>5</v>
      </c>
      <c r="E452" s="486" t="n">
        <v>2</v>
      </c>
      <c r="F452" s="486" t="n">
        <v>2</v>
      </c>
      <c r="G452" s="475" t="inlineStr">
        <is>
          <t>West-Up1</t>
        </is>
      </c>
      <c r="H452" s="486" t="n">
        <v>2631.41</v>
      </c>
      <c r="I452" s="486" t="n">
        <v>0</v>
      </c>
      <c r="J452" s="486" t="n">
        <v>15</v>
      </c>
      <c r="K452" s="486" t="n">
        <v>31</v>
      </c>
      <c r="L452" s="486" t="n">
        <v>3</v>
      </c>
      <c r="M452" s="487" t="inlineStr">
        <is>
          <t>T</t>
        </is>
      </c>
    </row>
    <row r="453">
      <c r="A453" s="486" t="n">
        <v>7</v>
      </c>
      <c r="B453" s="486" t="n">
        <v>3</v>
      </c>
      <c r="C453" s="486" t="n">
        <v>2</v>
      </c>
      <c r="D453" s="486" t="n">
        <v>5</v>
      </c>
      <c r="E453" s="486" t="n">
        <v>2</v>
      </c>
      <c r="F453" s="486" t="n">
        <v>2</v>
      </c>
      <c r="G453" s="486" t="inlineStr">
        <is>
          <t>West-Down1</t>
        </is>
      </c>
      <c r="H453" s="486" t="n">
        <v>2637.4</v>
      </c>
      <c r="I453" s="486" t="n">
        <v>0</v>
      </c>
      <c r="J453" s="486" t="n">
        <v>1</v>
      </c>
      <c r="K453" s="486" t="n">
        <v>23</v>
      </c>
      <c r="L453" s="486" t="n">
        <v>2</v>
      </c>
      <c r="M453" s="487" t="inlineStr">
        <is>
          <t>T</t>
        </is>
      </c>
    </row>
    <row r="454">
      <c r="A454" s="486" t="n">
        <v>7</v>
      </c>
      <c r="B454" s="486" t="n">
        <v>3</v>
      </c>
      <c r="C454" s="486" t="n">
        <v>2</v>
      </c>
      <c r="D454" s="486" t="n">
        <v>5</v>
      </c>
      <c r="E454" s="486" t="n">
        <v>2</v>
      </c>
      <c r="F454" s="486" t="n">
        <v>2</v>
      </c>
      <c r="G454" s="486" t="inlineStr">
        <is>
          <t>West-Down2</t>
        </is>
      </c>
      <c r="H454" s="486" t="n">
        <v>0</v>
      </c>
      <c r="I454" s="486" t="n">
        <v>0</v>
      </c>
      <c r="J454" s="486" t="n">
        <v>0</v>
      </c>
      <c r="K454" s="486" t="n">
        <v>0</v>
      </c>
      <c r="L454" s="486" t="n">
        <v>0</v>
      </c>
      <c r="M454" s="487" t="inlineStr">
        <is>
          <t>T</t>
        </is>
      </c>
    </row>
    <row r="455">
      <c r="A455" s="486" t="n">
        <v>7</v>
      </c>
      <c r="B455" s="486" t="n">
        <v>3</v>
      </c>
      <c r="C455" s="486" t="n">
        <v>2</v>
      </c>
      <c r="D455" s="486" t="n">
        <v>5</v>
      </c>
      <c r="E455" s="486" t="n">
        <v>2</v>
      </c>
      <c r="F455" s="486" t="n">
        <v>2</v>
      </c>
      <c r="G455" s="486" t="inlineStr">
        <is>
          <t>East-Up2</t>
        </is>
      </c>
      <c r="H455" s="486" t="n">
        <v>1314.55</v>
      </c>
      <c r="I455" s="486" t="n">
        <v>0</v>
      </c>
      <c r="J455" s="486" t="n">
        <v>5</v>
      </c>
      <c r="K455" s="486" t="n">
        <v>45</v>
      </c>
      <c r="L455" s="486" t="n">
        <v>4</v>
      </c>
      <c r="M455" s="487" t="inlineStr">
        <is>
          <t>T</t>
        </is>
      </c>
    </row>
    <row r="456">
      <c r="A456" s="486" t="n">
        <v>7</v>
      </c>
      <c r="B456" s="486" t="n">
        <v>3</v>
      </c>
      <c r="C456" s="486" t="n">
        <v>2</v>
      </c>
      <c r="D456" s="486" t="n">
        <v>5</v>
      </c>
      <c r="E456" s="486" t="n">
        <v>2</v>
      </c>
      <c r="F456" s="486" t="n">
        <v>2</v>
      </c>
      <c r="G456" s="475" t="inlineStr">
        <is>
          <t>East-Up1</t>
        </is>
      </c>
      <c r="H456" s="486" t="n">
        <v>1314.42</v>
      </c>
      <c r="I456" s="486" t="n">
        <v>0</v>
      </c>
      <c r="J456" s="486" t="n">
        <v>5</v>
      </c>
      <c r="K456" s="486" t="n">
        <v>23</v>
      </c>
      <c r="L456" s="486" t="n">
        <v>4</v>
      </c>
      <c r="M456" s="487" t="inlineStr">
        <is>
          <t>T</t>
        </is>
      </c>
    </row>
    <row r="457">
      <c r="A457" s="486" t="n">
        <v>7</v>
      </c>
      <c r="B457" s="486" t="n">
        <v>3</v>
      </c>
      <c r="C457" s="486" t="n">
        <v>2</v>
      </c>
      <c r="D457" s="486" t="n">
        <v>5</v>
      </c>
      <c r="E457" s="486" t="n">
        <v>2</v>
      </c>
      <c r="F457" s="486" t="n">
        <v>2</v>
      </c>
      <c r="G457" s="486" t="inlineStr">
        <is>
          <t>East-Down1</t>
        </is>
      </c>
      <c r="H457" s="486" t="n">
        <v>2629.39</v>
      </c>
      <c r="I457" s="486" t="n">
        <v>0</v>
      </c>
      <c r="J457" s="486" t="n">
        <v>1</v>
      </c>
      <c r="K457" s="486" t="n">
        <v>3</v>
      </c>
      <c r="L457" s="486" t="n">
        <v>4</v>
      </c>
      <c r="M457" s="487" t="inlineStr">
        <is>
          <t>T</t>
        </is>
      </c>
    </row>
    <row r="458">
      <c r="A458" s="486" t="n">
        <v>7</v>
      </c>
      <c r="B458" s="486" t="n">
        <v>3</v>
      </c>
      <c r="C458" s="486" t="n">
        <v>2</v>
      </c>
      <c r="D458" s="486" t="n">
        <v>5</v>
      </c>
      <c r="E458" s="486" t="n">
        <v>2</v>
      </c>
      <c r="F458" s="486" t="n">
        <v>2</v>
      </c>
      <c r="G458" s="486" t="inlineStr">
        <is>
          <t>East-Down2</t>
        </is>
      </c>
      <c r="H458" s="486" t="n">
        <v>0</v>
      </c>
      <c r="I458" s="486" t="n">
        <v>0</v>
      </c>
      <c r="J458" s="486" t="n">
        <v>0</v>
      </c>
      <c r="K458" s="486" t="n">
        <v>0</v>
      </c>
      <c r="L458" s="486" t="n">
        <v>0</v>
      </c>
      <c r="M458" s="487" t="inlineStr">
        <is>
          <t>T</t>
        </is>
      </c>
    </row>
    <row r="459">
      <c r="A459" s="486" t="n">
        <v>7</v>
      </c>
      <c r="B459" s="486" t="n">
        <v>3</v>
      </c>
      <c r="C459" s="486" t="n">
        <v>2</v>
      </c>
      <c r="D459" s="486" t="n">
        <v>5</v>
      </c>
      <c r="E459" s="486" t="n">
        <v>2</v>
      </c>
      <c r="F459" s="486" t="n">
        <v>2</v>
      </c>
      <c r="G459" s="486" t="inlineStr">
        <is>
          <t>North-Left2</t>
        </is>
      </c>
      <c r="H459" s="486" t="n">
        <v>0</v>
      </c>
      <c r="I459" s="486" t="n">
        <v>0</v>
      </c>
      <c r="J459" s="486" t="n">
        <v>0</v>
      </c>
      <c r="K459" s="486" t="n">
        <v>0</v>
      </c>
      <c r="L459" s="486" t="n">
        <v>0</v>
      </c>
      <c r="M459" s="487" t="inlineStr">
        <is>
          <t>T</t>
        </is>
      </c>
    </row>
    <row r="460">
      <c r="A460" s="486" t="n">
        <v>7</v>
      </c>
      <c r="B460" s="486" t="n">
        <v>3</v>
      </c>
      <c r="C460" s="486" t="n">
        <v>2</v>
      </c>
      <c r="D460" s="486" t="n">
        <v>5</v>
      </c>
      <c r="E460" s="486" t="n">
        <v>2</v>
      </c>
      <c r="F460" s="486" t="n">
        <v>2</v>
      </c>
      <c r="G460" s="475" t="inlineStr">
        <is>
          <t>North-Left1</t>
        </is>
      </c>
      <c r="H460" s="486" t="n">
        <v>2666.15</v>
      </c>
      <c r="I460" s="486" t="n">
        <v>89</v>
      </c>
      <c r="J460" s="486" t="n">
        <v>51</v>
      </c>
      <c r="K460" s="486" t="n">
        <v>45</v>
      </c>
      <c r="L460" s="486" t="n">
        <v>2</v>
      </c>
      <c r="M460" s="487" t="inlineStr">
        <is>
          <t>T</t>
        </is>
      </c>
    </row>
    <row r="461">
      <c r="A461" s="486" t="n">
        <v>7</v>
      </c>
      <c r="B461" s="486" t="n">
        <v>3</v>
      </c>
      <c r="C461" s="486" t="n">
        <v>2</v>
      </c>
      <c r="D461" s="486" t="n">
        <v>5</v>
      </c>
      <c r="E461" s="486" t="n">
        <v>2</v>
      </c>
      <c r="F461" s="486" t="n">
        <v>2</v>
      </c>
      <c r="G461" s="486" t="inlineStr">
        <is>
          <t>North-Right1</t>
        </is>
      </c>
      <c r="H461" s="486" t="n">
        <v>1331.72</v>
      </c>
      <c r="I461" s="486" t="n">
        <v>89</v>
      </c>
      <c r="J461" s="486" t="n">
        <v>52</v>
      </c>
      <c r="K461" s="486" t="n">
        <v>28</v>
      </c>
      <c r="L461" s="486" t="n">
        <v>4</v>
      </c>
      <c r="M461" s="487" t="inlineStr">
        <is>
          <t>T</t>
        </is>
      </c>
    </row>
    <row r="462">
      <c r="A462" s="486" t="n">
        <v>7</v>
      </c>
      <c r="B462" s="486" t="n">
        <v>3</v>
      </c>
      <c r="C462" s="486" t="n">
        <v>2</v>
      </c>
      <c r="D462" s="486" t="n">
        <v>5</v>
      </c>
      <c r="E462" s="486" t="n">
        <v>2</v>
      </c>
      <c r="F462" s="486" t="n">
        <v>2</v>
      </c>
      <c r="G462" s="486" t="inlineStr">
        <is>
          <t>North-Right2</t>
        </is>
      </c>
      <c r="H462" s="486" t="n">
        <v>1330.38</v>
      </c>
      <c r="I462" s="486" t="n">
        <v>89</v>
      </c>
      <c r="J462" s="486" t="n">
        <v>52</v>
      </c>
      <c r="K462" s="486" t="n">
        <v>31</v>
      </c>
      <c r="L462" s="486" t="n">
        <v>4</v>
      </c>
      <c r="M462" s="487" t="inlineStr">
        <is>
          <t>T</t>
        </is>
      </c>
    </row>
    <row r="463">
      <c r="A463" s="486" t="n">
        <v>7</v>
      </c>
      <c r="B463" s="486" t="n">
        <v>3</v>
      </c>
      <c r="C463" s="486" t="n">
        <v>2</v>
      </c>
      <c r="D463" s="486" t="n">
        <v>5</v>
      </c>
      <c r="E463" s="486" t="n">
        <v>2</v>
      </c>
      <c r="F463" s="486" t="n">
        <v>2</v>
      </c>
      <c r="G463" s="486" t="inlineStr">
        <is>
          <t>South-Left2</t>
        </is>
      </c>
      <c r="H463" s="486" t="n">
        <v>0</v>
      </c>
      <c r="I463" s="486" t="n">
        <v>0</v>
      </c>
      <c r="J463" s="486" t="n">
        <v>0</v>
      </c>
      <c r="K463" s="486" t="n">
        <v>0</v>
      </c>
      <c r="L463" s="486" t="n">
        <v>0</v>
      </c>
      <c r="M463" s="487" t="inlineStr">
        <is>
          <t>T</t>
        </is>
      </c>
    </row>
    <row r="464">
      <c r="A464" s="486" t="n">
        <v>7</v>
      </c>
      <c r="B464" s="486" t="n">
        <v>3</v>
      </c>
      <c r="C464" s="486" t="n">
        <v>2</v>
      </c>
      <c r="D464" s="486" t="n">
        <v>5</v>
      </c>
      <c r="E464" s="486" t="n">
        <v>2</v>
      </c>
      <c r="F464" s="486" t="n">
        <v>2</v>
      </c>
      <c r="G464" s="475" t="inlineStr">
        <is>
          <t>South-Left1</t>
        </is>
      </c>
      <c r="H464" s="486" t="n">
        <v>2686.55</v>
      </c>
      <c r="I464" s="486" t="n">
        <v>89</v>
      </c>
      <c r="J464" s="486" t="n">
        <v>52</v>
      </c>
      <c r="K464" s="486" t="n">
        <v>59</v>
      </c>
      <c r="L464" s="486" t="n">
        <v>2</v>
      </c>
      <c r="M464" s="487" t="inlineStr">
        <is>
          <t>T</t>
        </is>
      </c>
    </row>
    <row r="465">
      <c r="A465" s="486" t="n">
        <v>7</v>
      </c>
      <c r="B465" s="486" t="n">
        <v>3</v>
      </c>
      <c r="C465" s="486" t="n">
        <v>2</v>
      </c>
      <c r="D465" s="486" t="n">
        <v>5</v>
      </c>
      <c r="E465" s="486" t="n">
        <v>2</v>
      </c>
      <c r="F465" s="486" t="n">
        <v>2</v>
      </c>
      <c r="G465" s="486" t="inlineStr">
        <is>
          <t>South-Right1</t>
        </is>
      </c>
      <c r="H465" s="486" t="n">
        <v>2659.71</v>
      </c>
      <c r="I465" s="486" t="n">
        <v>89</v>
      </c>
      <c r="J465" s="486" t="n">
        <v>52</v>
      </c>
      <c r="K465" s="486" t="n">
        <v>52</v>
      </c>
      <c r="L465" s="486" t="n">
        <v>2</v>
      </c>
      <c r="M465" s="487" t="inlineStr">
        <is>
          <t>T</t>
        </is>
      </c>
    </row>
    <row r="466">
      <c r="A466" s="486" t="n">
        <v>7</v>
      </c>
      <c r="B466" s="486" t="n">
        <v>3</v>
      </c>
      <c r="C466" s="486" t="n">
        <v>2</v>
      </c>
      <c r="D466" s="486" t="n">
        <v>5</v>
      </c>
      <c r="E466" s="486" t="n">
        <v>2</v>
      </c>
      <c r="F466" s="486" t="n">
        <v>2</v>
      </c>
      <c r="G466" s="486" t="inlineStr">
        <is>
          <t>South-Right2</t>
        </is>
      </c>
      <c r="H466" s="486" t="n">
        <v>0</v>
      </c>
      <c r="I466" s="486" t="n">
        <v>0</v>
      </c>
      <c r="J466" s="486" t="n">
        <v>0</v>
      </c>
      <c r="K466" s="486" t="n">
        <v>0</v>
      </c>
      <c r="L466" s="486" t="n">
        <v>0</v>
      </c>
      <c r="M466" s="487" t="inlineStr">
        <is>
          <t>T</t>
        </is>
      </c>
    </row>
    <row r="467">
      <c r="A467" s="486" t="n">
        <v>8</v>
      </c>
      <c r="B467" s="486" t="n">
        <v>15</v>
      </c>
      <c r="C467" s="486" t="n">
        <v>2</v>
      </c>
      <c r="D467" s="486" t="n">
        <v>23</v>
      </c>
      <c r="E467" s="486" t="n">
        <v>1</v>
      </c>
      <c r="F467" s="486" t="n">
        <v>2</v>
      </c>
      <c r="G467" s="486" t="inlineStr">
        <is>
          <t>West-Up2</t>
        </is>
      </c>
      <c r="H467" s="486" t="n">
        <v>0</v>
      </c>
      <c r="I467" s="486" t="n">
        <v>0</v>
      </c>
      <c r="J467" s="486" t="n">
        <v>0</v>
      </c>
      <c r="K467" s="486" t="n">
        <v>0</v>
      </c>
      <c r="L467" s="486" t="n">
        <v>0</v>
      </c>
      <c r="M467" s="514" t="inlineStr">
        <is>
          <t>T</t>
        </is>
      </c>
    </row>
    <row r="468">
      <c r="A468" s="486" t="n">
        <v>8</v>
      </c>
      <c r="B468" s="486" t="n">
        <v>15</v>
      </c>
      <c r="C468" s="486" t="n">
        <v>2</v>
      </c>
      <c r="D468" s="486" t="n">
        <v>23</v>
      </c>
      <c r="E468" s="486" t="n">
        <v>1</v>
      </c>
      <c r="F468" s="486" t="n">
        <v>2</v>
      </c>
      <c r="G468" s="475" t="inlineStr">
        <is>
          <t>West-Up1</t>
        </is>
      </c>
      <c r="H468" s="486" t="n">
        <v>2645.76</v>
      </c>
      <c r="I468" s="486" t="n">
        <v>0</v>
      </c>
      <c r="J468" s="486" t="n">
        <v>1</v>
      </c>
      <c r="K468" s="486" t="n">
        <v>20</v>
      </c>
      <c r="L468" s="486" t="n">
        <v>1</v>
      </c>
      <c r="M468" s="514" t="inlineStr">
        <is>
          <t>T</t>
        </is>
      </c>
    </row>
    <row r="469">
      <c r="A469" s="486" t="n">
        <v>8</v>
      </c>
      <c r="B469" s="486" t="n">
        <v>15</v>
      </c>
      <c r="C469" s="486" t="n">
        <v>2</v>
      </c>
      <c r="D469" s="486" t="n">
        <v>23</v>
      </c>
      <c r="E469" s="486" t="n">
        <v>1</v>
      </c>
      <c r="F469" s="486" t="n">
        <v>2</v>
      </c>
      <c r="G469" s="486" t="inlineStr">
        <is>
          <t>West-Down1</t>
        </is>
      </c>
      <c r="H469" s="486" t="n">
        <v>2631.25</v>
      </c>
      <c r="I469" s="486" t="n">
        <v>1</v>
      </c>
      <c r="J469" s="486" t="n">
        <v>22</v>
      </c>
      <c r="K469" s="486" t="n">
        <v>53</v>
      </c>
      <c r="L469" s="486" t="n">
        <v>4</v>
      </c>
      <c r="M469" s="514" t="inlineStr">
        <is>
          <t>T</t>
        </is>
      </c>
    </row>
    <row r="470">
      <c r="A470" s="486" t="n">
        <v>8</v>
      </c>
      <c r="B470" s="486" t="n">
        <v>15</v>
      </c>
      <c r="C470" s="486" t="n">
        <v>2</v>
      </c>
      <c r="D470" s="486" t="n">
        <v>23</v>
      </c>
      <c r="E470" s="486" t="n">
        <v>1</v>
      </c>
      <c r="F470" s="486" t="n">
        <v>2</v>
      </c>
      <c r="G470" s="486" t="inlineStr">
        <is>
          <t>West-Down2</t>
        </is>
      </c>
      <c r="H470" s="486" t="n">
        <v>0</v>
      </c>
      <c r="I470" s="486" t="n">
        <v>0</v>
      </c>
      <c r="J470" s="486" t="n">
        <v>0</v>
      </c>
      <c r="K470" s="486" t="n">
        <v>0</v>
      </c>
      <c r="L470" s="486" t="n">
        <v>0</v>
      </c>
      <c r="M470" s="514" t="inlineStr">
        <is>
          <t>T</t>
        </is>
      </c>
    </row>
    <row r="471">
      <c r="A471" s="486" t="n">
        <v>8</v>
      </c>
      <c r="B471" s="486" t="n">
        <v>15</v>
      </c>
      <c r="C471" s="486" t="n">
        <v>2</v>
      </c>
      <c r="D471" s="486" t="n">
        <v>23</v>
      </c>
      <c r="E471" s="486" t="n">
        <v>1</v>
      </c>
      <c r="F471" s="486" t="n">
        <v>2</v>
      </c>
      <c r="G471" s="486" t="inlineStr">
        <is>
          <t>East-Up2</t>
        </is>
      </c>
      <c r="H471" s="486" t="n">
        <v>0</v>
      </c>
      <c r="I471" s="486" t="n">
        <v>0</v>
      </c>
      <c r="J471" s="486" t="n">
        <v>0</v>
      </c>
      <c r="K471" s="486" t="n">
        <v>0</v>
      </c>
      <c r="L471" s="486" t="n">
        <v>0</v>
      </c>
      <c r="M471" s="514" t="inlineStr">
        <is>
          <t>T</t>
        </is>
      </c>
    </row>
    <row r="472">
      <c r="A472" s="486" t="n">
        <v>8</v>
      </c>
      <c r="B472" s="486" t="n">
        <v>15</v>
      </c>
      <c r="C472" s="486" t="n">
        <v>2</v>
      </c>
      <c r="D472" s="486" t="n">
        <v>23</v>
      </c>
      <c r="E472" s="486" t="n">
        <v>1</v>
      </c>
      <c r="F472" s="486" t="n">
        <v>2</v>
      </c>
      <c r="G472" s="475" t="inlineStr">
        <is>
          <t>East-Up1</t>
        </is>
      </c>
      <c r="H472" s="486" t="n">
        <v>5277.68</v>
      </c>
      <c r="I472" s="486" t="n">
        <v>1</v>
      </c>
      <c r="J472" s="486" t="n">
        <v>15</v>
      </c>
      <c r="K472" s="486" t="n">
        <v>4</v>
      </c>
      <c r="L472" s="486" t="n">
        <v>3</v>
      </c>
      <c r="M472" s="514" t="inlineStr">
        <is>
          <t>T</t>
        </is>
      </c>
    </row>
    <row r="473">
      <c r="A473" s="486" t="n">
        <v>8</v>
      </c>
      <c r="B473" s="486" t="n">
        <v>15</v>
      </c>
      <c r="C473" s="486" t="n">
        <v>2</v>
      </c>
      <c r="D473" s="486" t="n">
        <v>23</v>
      </c>
      <c r="E473" s="486" t="n">
        <v>1</v>
      </c>
      <c r="F473" s="486" t="n">
        <v>2</v>
      </c>
      <c r="G473" s="486" t="inlineStr">
        <is>
          <t>East-Down1</t>
        </is>
      </c>
      <c r="H473" s="486" t="n">
        <v>0</v>
      </c>
      <c r="I473" s="486" t="n">
        <v>0</v>
      </c>
      <c r="J473" s="486" t="n">
        <v>0</v>
      </c>
      <c r="K473" s="486" t="n">
        <v>0</v>
      </c>
      <c r="L473" s="486" t="n">
        <v>0</v>
      </c>
      <c r="M473" s="514" t="inlineStr">
        <is>
          <t>T</t>
        </is>
      </c>
    </row>
    <row r="474">
      <c r="A474" s="486" t="n">
        <v>8</v>
      </c>
      <c r="B474" s="486" t="n">
        <v>15</v>
      </c>
      <c r="C474" s="486" t="n">
        <v>2</v>
      </c>
      <c r="D474" s="486" t="n">
        <v>23</v>
      </c>
      <c r="E474" s="486" t="n">
        <v>1</v>
      </c>
      <c r="F474" s="486" t="n">
        <v>2</v>
      </c>
      <c r="G474" s="486" t="inlineStr">
        <is>
          <t>East-Down2</t>
        </is>
      </c>
      <c r="H474" s="486" t="n">
        <v>0</v>
      </c>
      <c r="I474" s="486" t="n">
        <v>0</v>
      </c>
      <c r="J474" s="486" t="n">
        <v>0</v>
      </c>
      <c r="K474" s="486" t="n">
        <v>0</v>
      </c>
      <c r="L474" s="486" t="n">
        <v>0</v>
      </c>
      <c r="M474" s="514" t="inlineStr">
        <is>
          <t>T</t>
        </is>
      </c>
    </row>
    <row r="475">
      <c r="A475" s="486" t="n">
        <v>8</v>
      </c>
      <c r="B475" s="486" t="n">
        <v>15</v>
      </c>
      <c r="C475" s="486" t="n">
        <v>2</v>
      </c>
      <c r="D475" s="486" t="n">
        <v>23</v>
      </c>
      <c r="E475" s="486" t="n">
        <v>1</v>
      </c>
      <c r="F475" s="486" t="n">
        <v>2</v>
      </c>
      <c r="G475" s="486" t="inlineStr">
        <is>
          <t>North-Left2</t>
        </is>
      </c>
      <c r="H475" s="486" t="n">
        <v>0</v>
      </c>
      <c r="I475" s="486" t="n">
        <v>0</v>
      </c>
      <c r="J475" s="486" t="n">
        <v>0</v>
      </c>
      <c r="K475" s="486" t="n">
        <v>0</v>
      </c>
      <c r="L475" s="486" t="n">
        <v>0</v>
      </c>
      <c r="M475" s="514" t="inlineStr">
        <is>
          <t>T</t>
        </is>
      </c>
    </row>
    <row r="476">
      <c r="A476" s="486" t="n">
        <v>8</v>
      </c>
      <c r="B476" s="486" t="n">
        <v>15</v>
      </c>
      <c r="C476" s="486" t="n">
        <v>2</v>
      </c>
      <c r="D476" s="486" t="n">
        <v>23</v>
      </c>
      <c r="E476" s="486" t="n">
        <v>1</v>
      </c>
      <c r="F476" s="486" t="n">
        <v>2</v>
      </c>
      <c r="G476" s="475" t="inlineStr">
        <is>
          <t>North-Left1</t>
        </is>
      </c>
      <c r="H476" s="486" t="n">
        <v>2635.92</v>
      </c>
      <c r="I476" s="486" t="n">
        <v>89</v>
      </c>
      <c r="J476" s="486" t="n">
        <v>56</v>
      </c>
      <c r="K476" s="486" t="n">
        <v>21</v>
      </c>
      <c r="L476" s="486" t="n">
        <v>3</v>
      </c>
      <c r="M476" s="514" t="inlineStr">
        <is>
          <t>T</t>
        </is>
      </c>
    </row>
    <row r="477">
      <c r="A477" s="486" t="n">
        <v>8</v>
      </c>
      <c r="B477" s="486" t="n">
        <v>15</v>
      </c>
      <c r="C477" s="486" t="n">
        <v>2</v>
      </c>
      <c r="D477" s="486" t="n">
        <v>23</v>
      </c>
      <c r="E477" s="486" t="n">
        <v>1</v>
      </c>
      <c r="F477" s="486" t="n">
        <v>2</v>
      </c>
      <c r="G477" s="486" t="inlineStr">
        <is>
          <t>North-Right1</t>
        </is>
      </c>
      <c r="H477" s="486" t="n">
        <v>2636.77</v>
      </c>
      <c r="I477" s="486" t="n">
        <v>89</v>
      </c>
      <c r="J477" s="486" t="n">
        <v>54</v>
      </c>
      <c r="K477" s="486" t="n">
        <v>19</v>
      </c>
      <c r="L477" s="486" t="n">
        <v>3</v>
      </c>
      <c r="M477" s="514" t="inlineStr">
        <is>
          <t>T</t>
        </is>
      </c>
    </row>
    <row r="478">
      <c r="A478" s="486" t="n">
        <v>8</v>
      </c>
      <c r="B478" s="486" t="n">
        <v>15</v>
      </c>
      <c r="C478" s="486" t="n">
        <v>2</v>
      </c>
      <c r="D478" s="486" t="n">
        <v>23</v>
      </c>
      <c r="E478" s="486" t="n">
        <v>1</v>
      </c>
      <c r="F478" s="486" t="n">
        <v>2</v>
      </c>
      <c r="G478" s="486" t="inlineStr">
        <is>
          <t>North-Right2</t>
        </is>
      </c>
      <c r="H478" s="486" t="n">
        <v>0</v>
      </c>
      <c r="I478" s="486" t="n">
        <v>0</v>
      </c>
      <c r="J478" s="486" t="n">
        <v>0</v>
      </c>
      <c r="K478" s="486" t="n">
        <v>0</v>
      </c>
      <c r="L478" s="486" t="n">
        <v>0</v>
      </c>
      <c r="M478" s="514" t="inlineStr">
        <is>
          <t>T</t>
        </is>
      </c>
    </row>
    <row r="479">
      <c r="A479" s="486" t="n">
        <v>8</v>
      </c>
      <c r="B479" s="486" t="n">
        <v>15</v>
      </c>
      <c r="C479" s="486" t="n">
        <v>2</v>
      </c>
      <c r="D479" s="486" t="n">
        <v>23</v>
      </c>
      <c r="E479" s="486" t="n">
        <v>1</v>
      </c>
      <c r="F479" s="486" t="n">
        <v>2</v>
      </c>
      <c r="G479" s="486" t="inlineStr">
        <is>
          <t>South-Left2</t>
        </is>
      </c>
      <c r="H479" s="486" t="n">
        <v>0</v>
      </c>
      <c r="I479" s="486" t="n">
        <v>0</v>
      </c>
      <c r="J479" s="486" t="n">
        <v>0</v>
      </c>
      <c r="K479" s="486" t="n">
        <v>0</v>
      </c>
      <c r="L479" s="486" t="n">
        <v>0</v>
      </c>
      <c r="M479" s="514" t="inlineStr">
        <is>
          <t>T</t>
        </is>
      </c>
    </row>
    <row r="480">
      <c r="A480" s="486" t="n">
        <v>8</v>
      </c>
      <c r="B480" s="486" t="n">
        <v>15</v>
      </c>
      <c r="C480" s="486" t="n">
        <v>2</v>
      </c>
      <c r="D480" s="486" t="n">
        <v>23</v>
      </c>
      <c r="E480" s="486" t="n">
        <v>1</v>
      </c>
      <c r="F480" s="486" t="n">
        <v>2</v>
      </c>
      <c r="G480" s="475" t="inlineStr">
        <is>
          <t>South-Left1</t>
        </is>
      </c>
      <c r="H480" s="486" t="n">
        <v>5270.76</v>
      </c>
      <c r="I480" s="486" t="n">
        <v>90</v>
      </c>
      <c r="J480" s="486" t="n">
        <v>0</v>
      </c>
      <c r="K480" s="486" t="n">
        <v>0</v>
      </c>
      <c r="L480" s="486" t="n">
        <v>3</v>
      </c>
      <c r="M480" s="514" t="inlineStr">
        <is>
          <t>T</t>
        </is>
      </c>
    </row>
    <row r="481">
      <c r="A481" s="486" t="n">
        <v>8</v>
      </c>
      <c r="B481" s="486" t="n">
        <v>15</v>
      </c>
      <c r="C481" s="486" t="n">
        <v>2</v>
      </c>
      <c r="D481" s="486" t="n">
        <v>23</v>
      </c>
      <c r="E481" s="486" t="n">
        <v>1</v>
      </c>
      <c r="F481" s="486" t="n">
        <v>2</v>
      </c>
      <c r="G481" s="486" t="inlineStr">
        <is>
          <t>South-Right1</t>
        </is>
      </c>
      <c r="H481" s="486" t="n">
        <v>0</v>
      </c>
      <c r="I481" s="486" t="n">
        <v>0</v>
      </c>
      <c r="J481" s="486" t="n">
        <v>0</v>
      </c>
      <c r="K481" s="486" t="n">
        <v>0</v>
      </c>
      <c r="L481" s="486" t="n">
        <v>0</v>
      </c>
      <c r="M481" s="514" t="inlineStr">
        <is>
          <t>T</t>
        </is>
      </c>
    </row>
    <row r="482">
      <c r="A482" s="486" t="n">
        <v>8</v>
      </c>
      <c r="B482" s="486" t="n">
        <v>15</v>
      </c>
      <c r="C482" s="486" t="n">
        <v>2</v>
      </c>
      <c r="D482" s="486" t="n">
        <v>23</v>
      </c>
      <c r="E482" s="486" t="n">
        <v>1</v>
      </c>
      <c r="F482" s="486" t="n">
        <v>2</v>
      </c>
      <c r="G482" s="486" t="inlineStr">
        <is>
          <t>South-Right2</t>
        </is>
      </c>
      <c r="H482" s="486" t="n">
        <v>0</v>
      </c>
      <c r="I482" s="486" t="n">
        <v>0</v>
      </c>
      <c r="J482" s="486" t="n">
        <v>0</v>
      </c>
      <c r="K482" s="486" t="n">
        <v>0</v>
      </c>
      <c r="L482" s="486" t="n">
        <v>0</v>
      </c>
      <c r="M482" s="514" t="inlineStr">
        <is>
          <t>T</t>
        </is>
      </c>
    </row>
    <row r="483">
      <c r="A483" s="485" t="n">
        <v>8</v>
      </c>
      <c r="B483" s="485" t="n">
        <v>2</v>
      </c>
      <c r="C483" s="485" t="n">
        <v>2</v>
      </c>
      <c r="D483" s="485" t="n">
        <v>2</v>
      </c>
      <c r="E483" s="485" t="n">
        <v>2</v>
      </c>
      <c r="F483" s="485" t="n">
        <v>2</v>
      </c>
      <c r="G483" s="485" t="inlineStr">
        <is>
          <t>West-Up2</t>
        </is>
      </c>
      <c r="H483" s="485" t="n">
        <v>0</v>
      </c>
      <c r="I483" s="485" t="n">
        <v>0</v>
      </c>
      <c r="J483" s="485" t="n">
        <v>0</v>
      </c>
      <c r="K483" s="485" t="n">
        <v>0</v>
      </c>
      <c r="L483" s="485" t="n">
        <v>0</v>
      </c>
      <c r="M483" s="487" t="inlineStr">
        <is>
          <t>T</t>
        </is>
      </c>
    </row>
    <row r="484">
      <c r="A484" s="485" t="n">
        <v>8</v>
      </c>
      <c r="B484" s="485" t="n">
        <v>2</v>
      </c>
      <c r="C484" s="485" t="n">
        <v>2</v>
      </c>
      <c r="D484" s="485" t="n">
        <v>2</v>
      </c>
      <c r="E484" s="485" t="n">
        <v>2</v>
      </c>
      <c r="F484" s="485" t="n">
        <v>2</v>
      </c>
      <c r="G484" s="516" t="inlineStr">
        <is>
          <t>West-Up1</t>
        </is>
      </c>
      <c r="H484" s="485" t="n">
        <v>2643.82</v>
      </c>
      <c r="I484" s="485" t="n">
        <v>0</v>
      </c>
      <c r="J484" s="485" t="n">
        <v>4</v>
      </c>
      <c r="K484" s="485" t="n">
        <v>46</v>
      </c>
      <c r="L484" s="485" t="n">
        <v>4</v>
      </c>
      <c r="M484" s="487" t="inlineStr">
        <is>
          <t>T</t>
        </is>
      </c>
    </row>
    <row r="485">
      <c r="A485" s="485" t="n">
        <v>8</v>
      </c>
      <c r="B485" s="485" t="n">
        <v>2</v>
      </c>
      <c r="C485" s="485" t="n">
        <v>2</v>
      </c>
      <c r="D485" s="485" t="n">
        <v>2</v>
      </c>
      <c r="E485" s="485" t="n">
        <v>2</v>
      </c>
      <c r="F485" s="485" t="n">
        <v>2</v>
      </c>
      <c r="G485" s="485" t="inlineStr">
        <is>
          <t>West-Down1</t>
        </is>
      </c>
      <c r="H485" s="485" t="n">
        <v>2631.87</v>
      </c>
      <c r="I485" s="485" t="n">
        <v>0</v>
      </c>
      <c r="J485" s="485" t="n">
        <v>38</v>
      </c>
      <c r="K485" s="485" t="n">
        <v>2</v>
      </c>
      <c r="L485" s="485" t="n">
        <v>2</v>
      </c>
      <c r="M485" s="487" t="inlineStr">
        <is>
          <t>T</t>
        </is>
      </c>
    </row>
    <row r="486">
      <c r="A486" s="485" t="n">
        <v>8</v>
      </c>
      <c r="B486" s="485" t="n">
        <v>2</v>
      </c>
      <c r="C486" s="485" t="n">
        <v>2</v>
      </c>
      <c r="D486" s="485" t="n">
        <v>2</v>
      </c>
      <c r="E486" s="485" t="n">
        <v>2</v>
      </c>
      <c r="F486" s="485" t="n">
        <v>2</v>
      </c>
      <c r="G486" s="485" t="inlineStr">
        <is>
          <t>West-Down2</t>
        </is>
      </c>
      <c r="H486" s="485" t="n">
        <v>0</v>
      </c>
      <c r="I486" s="485" t="n">
        <v>0</v>
      </c>
      <c r="J486" s="485" t="n">
        <v>0</v>
      </c>
      <c r="K486" s="485" t="n">
        <v>0</v>
      </c>
      <c r="L486" s="485" t="n">
        <v>0</v>
      </c>
      <c r="M486" s="487" t="inlineStr">
        <is>
          <t>T</t>
        </is>
      </c>
    </row>
    <row r="487">
      <c r="A487" s="485" t="n">
        <v>8</v>
      </c>
      <c r="B487" s="485" t="n">
        <v>2</v>
      </c>
      <c r="C487" s="485" t="n">
        <v>2</v>
      </c>
      <c r="D487" s="485" t="n">
        <v>2</v>
      </c>
      <c r="E487" s="485" t="n">
        <v>2</v>
      </c>
      <c r="F487" s="485" t="n">
        <v>2</v>
      </c>
      <c r="G487" s="485" t="inlineStr">
        <is>
          <t>East-Up2</t>
        </is>
      </c>
      <c r="H487" s="485" t="n">
        <v>0</v>
      </c>
      <c r="I487" s="485" t="n">
        <v>0</v>
      </c>
      <c r="J487" s="485" t="n">
        <v>0</v>
      </c>
      <c r="K487" s="485" t="n">
        <v>0</v>
      </c>
      <c r="L487" s="485" t="n">
        <v>0</v>
      </c>
      <c r="M487" s="487" t="inlineStr">
        <is>
          <t>T</t>
        </is>
      </c>
    </row>
    <row r="488">
      <c r="A488" s="485" t="n">
        <v>8</v>
      </c>
      <c r="B488" s="485" t="n">
        <v>2</v>
      </c>
      <c r="C488" s="485" t="n">
        <v>2</v>
      </c>
      <c r="D488" s="485" t="n">
        <v>2</v>
      </c>
      <c r="E488" s="485" t="n">
        <v>2</v>
      </c>
      <c r="F488" s="485" t="n">
        <v>2</v>
      </c>
      <c r="G488" s="516" t="inlineStr">
        <is>
          <t>East-Up1</t>
        </is>
      </c>
      <c r="H488" s="485" t="n">
        <v>2597.23</v>
      </c>
      <c r="I488" s="485" t="n">
        <v>0</v>
      </c>
      <c r="J488" s="485" t="n">
        <v>49</v>
      </c>
      <c r="K488" s="485" t="n">
        <v>31</v>
      </c>
      <c r="L488" s="485" t="n">
        <v>2</v>
      </c>
      <c r="M488" s="487" t="inlineStr">
        <is>
          <t>T</t>
        </is>
      </c>
    </row>
    <row r="489">
      <c r="A489" s="485" t="n">
        <v>8</v>
      </c>
      <c r="B489" s="485" t="n">
        <v>2</v>
      </c>
      <c r="C489" s="485" t="n">
        <v>2</v>
      </c>
      <c r="D489" s="485" t="n">
        <v>2</v>
      </c>
      <c r="E489" s="485" t="n">
        <v>2</v>
      </c>
      <c r="F489" s="485" t="n">
        <v>2</v>
      </c>
      <c r="G489" s="485" t="inlineStr">
        <is>
          <t>East-Down1</t>
        </is>
      </c>
      <c r="H489" s="485" t="n">
        <v>2650.8</v>
      </c>
      <c r="I489" s="485" t="n">
        <v>0</v>
      </c>
      <c r="J489" s="485" t="n">
        <v>43</v>
      </c>
      <c r="K489" s="485" t="n">
        <v>30</v>
      </c>
      <c r="L489" s="485" t="n">
        <v>4</v>
      </c>
      <c r="M489" s="487" t="inlineStr">
        <is>
          <t>T</t>
        </is>
      </c>
    </row>
    <row r="490">
      <c r="A490" s="485" t="n">
        <v>8</v>
      </c>
      <c r="B490" s="485" t="n">
        <v>2</v>
      </c>
      <c r="C490" s="485" t="n">
        <v>2</v>
      </c>
      <c r="D490" s="485" t="n">
        <v>2</v>
      </c>
      <c r="E490" s="485" t="n">
        <v>2</v>
      </c>
      <c r="F490" s="485" t="n">
        <v>2</v>
      </c>
      <c r="G490" s="485" t="inlineStr">
        <is>
          <t>East-Down2</t>
        </is>
      </c>
      <c r="H490" s="485" t="n">
        <v>0</v>
      </c>
      <c r="I490" s="485" t="n">
        <v>0</v>
      </c>
      <c r="J490" s="485" t="n">
        <v>0</v>
      </c>
      <c r="K490" s="485" t="n">
        <v>0</v>
      </c>
      <c r="L490" s="485" t="n">
        <v>0</v>
      </c>
      <c r="M490" s="487" t="inlineStr">
        <is>
          <t>T</t>
        </is>
      </c>
    </row>
    <row r="491">
      <c r="A491" s="485" t="n">
        <v>8</v>
      </c>
      <c r="B491" s="485" t="n">
        <v>2</v>
      </c>
      <c r="C491" s="485" t="n">
        <v>2</v>
      </c>
      <c r="D491" s="485" t="n">
        <v>2</v>
      </c>
      <c r="E491" s="485" t="n">
        <v>2</v>
      </c>
      <c r="F491" s="485" t="n">
        <v>2</v>
      </c>
      <c r="G491" s="485" t="inlineStr">
        <is>
          <t>North-Left2</t>
        </is>
      </c>
      <c r="H491" s="485" t="n">
        <v>0</v>
      </c>
      <c r="I491" s="485" t="n">
        <v>0</v>
      </c>
      <c r="J491" s="485" t="n">
        <v>0</v>
      </c>
      <c r="K491" s="485" t="n">
        <v>0</v>
      </c>
      <c r="L491" s="485" t="n">
        <v>0</v>
      </c>
      <c r="M491" s="487" t="inlineStr">
        <is>
          <t>T</t>
        </is>
      </c>
    </row>
    <row r="492">
      <c r="A492" s="485" t="n">
        <v>8</v>
      </c>
      <c r="B492" s="485" t="n">
        <v>2</v>
      </c>
      <c r="C492" s="485" t="n">
        <v>2</v>
      </c>
      <c r="D492" s="485" t="n">
        <v>2</v>
      </c>
      <c r="E492" s="485" t="n">
        <v>2</v>
      </c>
      <c r="F492" s="485" t="n">
        <v>2</v>
      </c>
      <c r="G492" s="516" t="inlineStr">
        <is>
          <t>North-Left1</t>
        </is>
      </c>
      <c r="H492" s="485" t="n">
        <v>2634.83</v>
      </c>
      <c r="I492" s="485" t="n">
        <v>89</v>
      </c>
      <c r="J492" s="485" t="n">
        <v>46</v>
      </c>
      <c r="K492" s="485" t="n">
        <v>32</v>
      </c>
      <c r="L492" s="485" t="n">
        <v>4</v>
      </c>
      <c r="M492" s="487" t="inlineStr">
        <is>
          <t>T</t>
        </is>
      </c>
    </row>
    <row r="493">
      <c r="A493" s="485" t="n">
        <v>8</v>
      </c>
      <c r="B493" s="485" t="n">
        <v>2</v>
      </c>
      <c r="C493" s="485" t="n">
        <v>2</v>
      </c>
      <c r="D493" s="485" t="n">
        <v>2</v>
      </c>
      <c r="E493" s="485" t="n">
        <v>2</v>
      </c>
      <c r="F493" s="485" t="n">
        <v>2</v>
      </c>
      <c r="G493" s="485" t="inlineStr">
        <is>
          <t>North-Right1</t>
        </is>
      </c>
      <c r="H493" s="485" t="n">
        <v>2634.8</v>
      </c>
      <c r="I493" s="485" t="n">
        <v>89</v>
      </c>
      <c r="J493" s="485" t="n">
        <v>47</v>
      </c>
      <c r="K493" s="485" t="n">
        <v>0</v>
      </c>
      <c r="L493" s="485" t="n">
        <v>4</v>
      </c>
      <c r="M493" s="487" t="inlineStr">
        <is>
          <t>T</t>
        </is>
      </c>
    </row>
    <row r="494">
      <c r="A494" s="485" t="n">
        <v>8</v>
      </c>
      <c r="B494" s="485" t="n">
        <v>2</v>
      </c>
      <c r="C494" s="485" t="n">
        <v>2</v>
      </c>
      <c r="D494" s="485" t="n">
        <v>2</v>
      </c>
      <c r="E494" s="485" t="n">
        <v>2</v>
      </c>
      <c r="F494" s="485" t="n">
        <v>2</v>
      </c>
      <c r="G494" s="485" t="inlineStr">
        <is>
          <t>North-Right2</t>
        </is>
      </c>
      <c r="H494" s="485" t="n">
        <v>0</v>
      </c>
      <c r="I494" s="485" t="n">
        <v>0</v>
      </c>
      <c r="J494" s="485" t="n">
        <v>0</v>
      </c>
      <c r="K494" s="485" t="n">
        <v>0</v>
      </c>
      <c r="L494" s="485" t="n">
        <v>0</v>
      </c>
      <c r="M494" s="487" t="inlineStr">
        <is>
          <t>T</t>
        </is>
      </c>
    </row>
    <row r="495">
      <c r="A495" s="485" t="n">
        <v>8</v>
      </c>
      <c r="B495" s="485" t="n">
        <v>2</v>
      </c>
      <c r="C495" s="485" t="n">
        <v>2</v>
      </c>
      <c r="D495" s="485" t="n">
        <v>2</v>
      </c>
      <c r="E495" s="485" t="n">
        <v>2</v>
      </c>
      <c r="F495" s="485" t="n">
        <v>2</v>
      </c>
      <c r="G495" s="485" t="inlineStr">
        <is>
          <t>South-Left2</t>
        </is>
      </c>
      <c r="H495" s="485" t="n">
        <v>0</v>
      </c>
      <c r="I495" s="485" t="n">
        <v>0</v>
      </c>
      <c r="J495" s="485" t="n">
        <v>0</v>
      </c>
      <c r="K495" s="485" t="n">
        <v>0</v>
      </c>
      <c r="L495" s="485" t="n">
        <v>0</v>
      </c>
      <c r="M495" s="487" t="inlineStr">
        <is>
          <t>T</t>
        </is>
      </c>
    </row>
    <row r="496">
      <c r="A496" s="485" t="n">
        <v>8</v>
      </c>
      <c r="B496" s="485" t="n">
        <v>2</v>
      </c>
      <c r="C496" s="485" t="n">
        <v>2</v>
      </c>
      <c r="D496" s="485" t="n">
        <v>2</v>
      </c>
      <c r="E496" s="485" t="n">
        <v>2</v>
      </c>
      <c r="F496" s="485" t="n">
        <v>2</v>
      </c>
      <c r="G496" s="516" t="inlineStr">
        <is>
          <t>South-Left1</t>
        </is>
      </c>
      <c r="H496" s="485" t="n">
        <v>2645.17</v>
      </c>
      <c r="I496" s="485" t="n">
        <v>89</v>
      </c>
      <c r="J496" s="485" t="n">
        <v>51</v>
      </c>
      <c r="K496" s="485" t="n">
        <v>15</v>
      </c>
      <c r="L496" s="485" t="n">
        <v>4</v>
      </c>
      <c r="M496" s="487" t="inlineStr">
        <is>
          <t>T</t>
        </is>
      </c>
    </row>
    <row r="497">
      <c r="A497" s="485" t="n">
        <v>8</v>
      </c>
      <c r="B497" s="485" t="n">
        <v>2</v>
      </c>
      <c r="C497" s="485" t="n">
        <v>2</v>
      </c>
      <c r="D497" s="485" t="n">
        <v>2</v>
      </c>
      <c r="E497" s="485" t="n">
        <v>2</v>
      </c>
      <c r="F497" s="485" t="n">
        <v>2</v>
      </c>
      <c r="G497" s="485" t="inlineStr">
        <is>
          <t>South-Right1</t>
        </is>
      </c>
      <c r="H497" s="485" t="n">
        <v>2646.06</v>
      </c>
      <c r="I497" s="485" t="n">
        <v>89</v>
      </c>
      <c r="J497" s="485" t="n">
        <v>41</v>
      </c>
      <c r="K497" s="485" t="n">
        <v>15</v>
      </c>
      <c r="L497" s="485" t="n">
        <v>3</v>
      </c>
      <c r="M497" s="487" t="inlineStr">
        <is>
          <t>T</t>
        </is>
      </c>
    </row>
    <row r="498">
      <c r="A498" s="485" t="n">
        <v>8</v>
      </c>
      <c r="B498" s="485" t="n">
        <v>2</v>
      </c>
      <c r="C498" s="485" t="n">
        <v>2</v>
      </c>
      <c r="D498" s="485" t="n">
        <v>2</v>
      </c>
      <c r="E498" s="485" t="n">
        <v>2</v>
      </c>
      <c r="F498" s="485" t="n">
        <v>2</v>
      </c>
      <c r="G498" s="485" t="inlineStr">
        <is>
          <t>South-Right2</t>
        </is>
      </c>
      <c r="H498" s="485" t="n">
        <v>0</v>
      </c>
      <c r="I498" s="485" t="n">
        <v>0</v>
      </c>
      <c r="J498" s="485" t="n">
        <v>0</v>
      </c>
      <c r="K498" s="485" t="n">
        <v>0</v>
      </c>
      <c r="L498" s="485" t="n">
        <v>0</v>
      </c>
      <c r="M498" s="487" t="inlineStr">
        <is>
          <t>T</t>
        </is>
      </c>
    </row>
    <row r="499">
      <c r="A499" s="485" t="n">
        <v>8</v>
      </c>
      <c r="B499" s="485" t="n">
        <v>2</v>
      </c>
      <c r="C499" s="485" t="n">
        <v>2</v>
      </c>
      <c r="D499" s="485" t="n">
        <v>3</v>
      </c>
      <c r="E499" s="485" t="n">
        <v>2</v>
      </c>
      <c r="F499" s="485" t="n">
        <v>2</v>
      </c>
      <c r="G499" s="485" t="inlineStr">
        <is>
          <t>West-Up2</t>
        </is>
      </c>
      <c r="H499" s="485" t="n">
        <v>0</v>
      </c>
      <c r="I499" s="485" t="n">
        <v>0</v>
      </c>
      <c r="J499" s="485" t="n">
        <v>0</v>
      </c>
      <c r="K499" s="485" t="n">
        <v>0</v>
      </c>
      <c r="L499" s="485" t="n">
        <v>0</v>
      </c>
      <c r="M499" s="514" t="inlineStr">
        <is>
          <t>T</t>
        </is>
      </c>
    </row>
    <row r="500">
      <c r="A500" s="485" t="n">
        <v>8</v>
      </c>
      <c r="B500" s="485" t="n">
        <v>2</v>
      </c>
      <c r="C500" s="485" t="n">
        <v>2</v>
      </c>
      <c r="D500" s="485" t="n">
        <v>3</v>
      </c>
      <c r="E500" s="485" t="n">
        <v>2</v>
      </c>
      <c r="F500" s="485" t="n">
        <v>2</v>
      </c>
      <c r="G500" s="516" t="inlineStr">
        <is>
          <t>West-Up1</t>
        </is>
      </c>
      <c r="H500" s="485" t="n">
        <v>2616.88</v>
      </c>
      <c r="I500" s="485" t="n">
        <v>0</v>
      </c>
      <c r="J500" s="485" t="n">
        <v>15</v>
      </c>
      <c r="K500" s="485" t="n">
        <v>45</v>
      </c>
      <c r="L500" s="485" t="n">
        <v>2</v>
      </c>
      <c r="M500" s="514" t="inlineStr">
        <is>
          <t>T</t>
        </is>
      </c>
    </row>
    <row r="501">
      <c r="A501" s="485" t="n">
        <v>8</v>
      </c>
      <c r="B501" s="485" t="n">
        <v>2</v>
      </c>
      <c r="C501" s="485" t="n">
        <v>2</v>
      </c>
      <c r="D501" s="485" t="n">
        <v>3</v>
      </c>
      <c r="E501" s="485" t="n">
        <v>2</v>
      </c>
      <c r="F501" s="485" t="n">
        <v>2</v>
      </c>
      <c r="G501" s="485" t="inlineStr">
        <is>
          <t>West-Down1</t>
        </is>
      </c>
      <c r="H501" s="485" t="n">
        <v>2635.28</v>
      </c>
      <c r="I501" s="485" t="n">
        <v>0</v>
      </c>
      <c r="J501" s="485" t="n">
        <v>32</v>
      </c>
      <c r="K501" s="485" t="n">
        <v>48</v>
      </c>
      <c r="L501" s="485" t="n">
        <v>2</v>
      </c>
      <c r="M501" s="514" t="inlineStr">
        <is>
          <t>T</t>
        </is>
      </c>
    </row>
    <row r="502">
      <c r="A502" s="485" t="n">
        <v>8</v>
      </c>
      <c r="B502" s="485" t="n">
        <v>2</v>
      </c>
      <c r="C502" s="485" t="n">
        <v>2</v>
      </c>
      <c r="D502" s="485" t="n">
        <v>3</v>
      </c>
      <c r="E502" s="485" t="n">
        <v>2</v>
      </c>
      <c r="F502" s="485" t="n">
        <v>2</v>
      </c>
      <c r="G502" s="485" t="inlineStr">
        <is>
          <t>West-Down2</t>
        </is>
      </c>
      <c r="H502" s="485" t="n">
        <v>0</v>
      </c>
      <c r="I502" s="485" t="n">
        <v>0</v>
      </c>
      <c r="J502" s="485" t="n">
        <v>0</v>
      </c>
      <c r="K502" s="485" t="n">
        <v>0</v>
      </c>
      <c r="L502" s="485" t="n">
        <v>0</v>
      </c>
      <c r="M502" s="514" t="inlineStr">
        <is>
          <t>T</t>
        </is>
      </c>
    </row>
    <row r="503">
      <c r="A503" s="485" t="n">
        <v>8</v>
      </c>
      <c r="B503" s="485" t="n">
        <v>2</v>
      </c>
      <c r="C503" s="485" t="n">
        <v>2</v>
      </c>
      <c r="D503" s="485" t="n">
        <v>3</v>
      </c>
      <c r="E503" s="485" t="n">
        <v>2</v>
      </c>
      <c r="F503" s="485" t="n">
        <v>2</v>
      </c>
      <c r="G503" s="485" t="inlineStr">
        <is>
          <t>East-Up2</t>
        </is>
      </c>
      <c r="H503" s="485" t="n">
        <v>0</v>
      </c>
      <c r="I503" s="485" t="n">
        <v>0</v>
      </c>
      <c r="J503" s="485" t="n">
        <v>0</v>
      </c>
      <c r="K503" s="485" t="n">
        <v>0</v>
      </c>
      <c r="L503" s="485" t="n">
        <v>0</v>
      </c>
      <c r="M503" s="514" t="inlineStr">
        <is>
          <t>T</t>
        </is>
      </c>
    </row>
    <row r="504">
      <c r="A504" s="485" t="n">
        <v>8</v>
      </c>
      <c r="B504" s="485" t="n">
        <v>2</v>
      </c>
      <c r="C504" s="485" t="n">
        <v>2</v>
      </c>
      <c r="D504" s="485" t="n">
        <v>3</v>
      </c>
      <c r="E504" s="485" t="n">
        <v>2</v>
      </c>
      <c r="F504" s="485" t="n">
        <v>2</v>
      </c>
      <c r="G504" s="516" t="inlineStr">
        <is>
          <t>East-Up1</t>
        </is>
      </c>
      <c r="H504" s="485" t="n">
        <v>2618.71</v>
      </c>
      <c r="I504" s="485" t="n">
        <v>0</v>
      </c>
      <c r="J504" s="485" t="n">
        <v>23</v>
      </c>
      <c r="K504" s="485" t="n">
        <v>17</v>
      </c>
      <c r="L504" s="485" t="n">
        <v>3</v>
      </c>
      <c r="M504" s="514" t="inlineStr">
        <is>
          <t>T</t>
        </is>
      </c>
    </row>
    <row r="505">
      <c r="A505" s="485" t="n">
        <v>8</v>
      </c>
      <c r="B505" s="485" t="n">
        <v>2</v>
      </c>
      <c r="C505" s="485" t="n">
        <v>2</v>
      </c>
      <c r="D505" s="485" t="n">
        <v>3</v>
      </c>
      <c r="E505" s="485" t="n">
        <v>2</v>
      </c>
      <c r="F505" s="485" t="n">
        <v>2</v>
      </c>
      <c r="G505" s="485" t="inlineStr">
        <is>
          <t>East-Down1</t>
        </is>
      </c>
      <c r="H505" s="485" t="n">
        <v>2632.19</v>
      </c>
      <c r="I505" s="485" t="n">
        <v>0</v>
      </c>
      <c r="J505" s="485" t="n">
        <v>10</v>
      </c>
      <c r="K505" s="485" t="n">
        <v>47</v>
      </c>
      <c r="L505" s="485" t="n">
        <v>3</v>
      </c>
      <c r="M505" s="514" t="inlineStr">
        <is>
          <t>T</t>
        </is>
      </c>
    </row>
    <row r="506">
      <c r="A506" s="485" t="n">
        <v>8</v>
      </c>
      <c r="B506" s="485" t="n">
        <v>2</v>
      </c>
      <c r="C506" s="485" t="n">
        <v>2</v>
      </c>
      <c r="D506" s="485" t="n">
        <v>3</v>
      </c>
      <c r="E506" s="485" t="n">
        <v>2</v>
      </c>
      <c r="F506" s="485" t="n">
        <v>2</v>
      </c>
      <c r="G506" s="485" t="inlineStr">
        <is>
          <t>East-Down2</t>
        </is>
      </c>
      <c r="H506" s="485" t="n">
        <v>0</v>
      </c>
      <c r="I506" s="485" t="n">
        <v>0</v>
      </c>
      <c r="J506" s="485" t="n">
        <v>0</v>
      </c>
      <c r="K506" s="485" t="n">
        <v>0</v>
      </c>
      <c r="L506" s="485" t="n">
        <v>0</v>
      </c>
      <c r="M506" s="514" t="inlineStr">
        <is>
          <t>T</t>
        </is>
      </c>
    </row>
    <row r="507">
      <c r="A507" s="485" t="n">
        <v>8</v>
      </c>
      <c r="B507" s="485" t="n">
        <v>2</v>
      </c>
      <c r="C507" s="485" t="n">
        <v>2</v>
      </c>
      <c r="D507" s="485" t="n">
        <v>3</v>
      </c>
      <c r="E507" s="485" t="n">
        <v>2</v>
      </c>
      <c r="F507" s="485" t="n">
        <v>2</v>
      </c>
      <c r="G507" s="485" t="inlineStr">
        <is>
          <t>North-Left2</t>
        </is>
      </c>
      <c r="H507" s="485" t="n">
        <v>0</v>
      </c>
      <c r="I507" s="485" t="n">
        <v>0</v>
      </c>
      <c r="J507" s="485" t="n">
        <v>0</v>
      </c>
      <c r="K507" s="485" t="n">
        <v>0</v>
      </c>
      <c r="L507" s="485" t="n">
        <v>0</v>
      </c>
      <c r="M507" s="514" t="inlineStr">
        <is>
          <t>T</t>
        </is>
      </c>
    </row>
    <row r="508">
      <c r="A508" s="485" t="n">
        <v>8</v>
      </c>
      <c r="B508" s="485" t="n">
        <v>2</v>
      </c>
      <c r="C508" s="485" t="n">
        <v>2</v>
      </c>
      <c r="D508" s="485" t="n">
        <v>3</v>
      </c>
      <c r="E508" s="485" t="n">
        <v>2</v>
      </c>
      <c r="F508" s="485" t="n">
        <v>2</v>
      </c>
      <c r="G508" s="516" t="inlineStr">
        <is>
          <t>North-Left1</t>
        </is>
      </c>
      <c r="H508" s="485" t="n">
        <v>5263.56</v>
      </c>
      <c r="I508" s="485" t="n">
        <v>89</v>
      </c>
      <c r="J508" s="485" t="n">
        <v>52</v>
      </c>
      <c r="K508" s="485" t="n">
        <v>48</v>
      </c>
      <c r="L508" s="485" t="n">
        <v>4</v>
      </c>
      <c r="M508" s="514" t="inlineStr">
        <is>
          <t>T</t>
        </is>
      </c>
    </row>
    <row r="509">
      <c r="A509" s="485" t="n">
        <v>8</v>
      </c>
      <c r="B509" s="485" t="n">
        <v>2</v>
      </c>
      <c r="C509" s="485" t="n">
        <v>2</v>
      </c>
      <c r="D509" s="485" t="n">
        <v>3</v>
      </c>
      <c r="E509" s="485" t="n">
        <v>2</v>
      </c>
      <c r="F509" s="485" t="n">
        <v>2</v>
      </c>
      <c r="G509" s="485" t="inlineStr">
        <is>
          <t>North-Right1</t>
        </is>
      </c>
      <c r="H509" s="485" t="n">
        <v>0</v>
      </c>
      <c r="I509" s="485" t="n">
        <v>0</v>
      </c>
      <c r="J509" s="485" t="n">
        <v>0</v>
      </c>
      <c r="K509" s="485" t="n">
        <v>0</v>
      </c>
      <c r="L509" s="485" t="n">
        <v>0</v>
      </c>
      <c r="M509" s="514" t="inlineStr">
        <is>
          <t>T</t>
        </is>
      </c>
    </row>
    <row r="510">
      <c r="A510" s="485" t="n">
        <v>8</v>
      </c>
      <c r="B510" s="485" t="n">
        <v>2</v>
      </c>
      <c r="C510" s="485" t="n">
        <v>2</v>
      </c>
      <c r="D510" s="485" t="n">
        <v>3</v>
      </c>
      <c r="E510" s="485" t="n">
        <v>2</v>
      </c>
      <c r="F510" s="485" t="n">
        <v>2</v>
      </c>
      <c r="G510" s="485" t="inlineStr">
        <is>
          <t>North-Right2</t>
        </is>
      </c>
      <c r="H510" s="485" t="n">
        <v>0</v>
      </c>
      <c r="I510" s="485" t="n">
        <v>0</v>
      </c>
      <c r="J510" s="485" t="n">
        <v>0</v>
      </c>
      <c r="K510" s="485" t="n">
        <v>0</v>
      </c>
      <c r="L510" s="485" t="n">
        <v>0</v>
      </c>
      <c r="M510" s="514" t="inlineStr">
        <is>
          <t>T</t>
        </is>
      </c>
    </row>
    <row r="511">
      <c r="A511" s="485" t="n">
        <v>8</v>
      </c>
      <c r="B511" s="485" t="n">
        <v>2</v>
      </c>
      <c r="C511" s="485" t="n">
        <v>2</v>
      </c>
      <c r="D511" s="485" t="n">
        <v>3</v>
      </c>
      <c r="E511" s="485" t="n">
        <v>2</v>
      </c>
      <c r="F511" s="485" t="n">
        <v>2</v>
      </c>
      <c r="G511" s="485" t="inlineStr">
        <is>
          <t>South-Left2</t>
        </is>
      </c>
      <c r="H511" s="485" t="n">
        <v>1320.2</v>
      </c>
      <c r="I511" s="485" t="n">
        <v>89</v>
      </c>
      <c r="J511" s="485" t="n">
        <v>59</v>
      </c>
      <c r="K511" s="485" t="n">
        <v>53</v>
      </c>
      <c r="L511" s="485" t="n">
        <v>3</v>
      </c>
      <c r="M511" s="514" t="inlineStr">
        <is>
          <t>T</t>
        </is>
      </c>
    </row>
    <row r="512">
      <c r="A512" s="485" t="n">
        <v>8</v>
      </c>
      <c r="B512" s="485" t="n">
        <v>2</v>
      </c>
      <c r="C512" s="485" t="n">
        <v>2</v>
      </c>
      <c r="D512" s="485" t="n">
        <v>3</v>
      </c>
      <c r="E512" s="485" t="n">
        <v>2</v>
      </c>
      <c r="F512" s="485" t="n">
        <v>2</v>
      </c>
      <c r="G512" s="516" t="inlineStr">
        <is>
          <t>South-Left1</t>
        </is>
      </c>
      <c r="H512" s="485" t="n">
        <v>1325.92</v>
      </c>
      <c r="I512" s="485" t="n">
        <v>89</v>
      </c>
      <c r="J512" s="485" t="n">
        <v>47</v>
      </c>
      <c r="K512" s="485" t="n">
        <v>15</v>
      </c>
      <c r="L512" s="485" t="n">
        <v>3</v>
      </c>
      <c r="M512" s="514" t="inlineStr">
        <is>
          <t>T</t>
        </is>
      </c>
    </row>
    <row r="513">
      <c r="A513" s="485" t="n">
        <v>8</v>
      </c>
      <c r="B513" s="485" t="n">
        <v>2</v>
      </c>
      <c r="C513" s="485" t="n">
        <v>2</v>
      </c>
      <c r="D513" s="485" t="n">
        <v>3</v>
      </c>
      <c r="E513" s="485" t="n">
        <v>2</v>
      </c>
      <c r="F513" s="485" t="n">
        <v>2</v>
      </c>
      <c r="G513" s="485" t="inlineStr">
        <is>
          <t>South-Right1</t>
        </is>
      </c>
      <c r="H513" s="485" t="n">
        <v>2628.64</v>
      </c>
      <c r="I513" s="485" t="n">
        <v>89</v>
      </c>
      <c r="J513" s="485" t="n">
        <v>40</v>
      </c>
      <c r="K513" s="485" t="n">
        <v>38</v>
      </c>
      <c r="L513" s="485" t="n">
        <v>4</v>
      </c>
      <c r="M513" s="514" t="inlineStr">
        <is>
          <t>T</t>
        </is>
      </c>
    </row>
    <row r="514">
      <c r="A514" s="485" t="n">
        <v>8</v>
      </c>
      <c r="B514" s="485" t="n">
        <v>2</v>
      </c>
      <c r="C514" s="485" t="n">
        <v>2</v>
      </c>
      <c r="D514" s="485" t="n">
        <v>3</v>
      </c>
      <c r="E514" s="485" t="n">
        <v>2</v>
      </c>
      <c r="F514" s="485" t="n">
        <v>2</v>
      </c>
      <c r="G514" s="485" t="inlineStr">
        <is>
          <t>South-Right2</t>
        </is>
      </c>
      <c r="H514" s="485" t="n">
        <v>0</v>
      </c>
      <c r="I514" s="485" t="n">
        <v>0</v>
      </c>
      <c r="J514" s="485" t="n">
        <v>0</v>
      </c>
      <c r="K514" s="485" t="n">
        <v>0</v>
      </c>
      <c r="L514" s="485" t="n">
        <v>0</v>
      </c>
      <c r="M514" s="514" t="inlineStr">
        <is>
          <t>T</t>
        </is>
      </c>
    </row>
    <row r="515">
      <c r="A515" s="485" t="n">
        <v>8</v>
      </c>
      <c r="B515" s="485" t="n">
        <v>3</v>
      </c>
      <c r="C515" s="485" t="n">
        <v>2</v>
      </c>
      <c r="D515" s="485" t="n">
        <v>1</v>
      </c>
      <c r="E515" s="485" t="n">
        <v>1</v>
      </c>
      <c r="F515" s="485" t="n">
        <v>2</v>
      </c>
      <c r="G515" s="485" t="inlineStr">
        <is>
          <t>West-Up2</t>
        </is>
      </c>
      <c r="H515" s="485" t="n">
        <v>0</v>
      </c>
      <c r="I515" s="485" t="n">
        <v>0</v>
      </c>
      <c r="J515" s="485" t="n">
        <v>0</v>
      </c>
      <c r="K515" s="485" t="n">
        <v>0</v>
      </c>
      <c r="L515" s="485" t="n">
        <v>0</v>
      </c>
      <c r="M515" s="515" t="inlineStr">
        <is>
          <t>G</t>
        </is>
      </c>
    </row>
    <row r="516">
      <c r="A516" s="485" t="n">
        <v>8</v>
      </c>
      <c r="B516" s="485" t="n">
        <v>3</v>
      </c>
      <c r="C516" s="485" t="n">
        <v>2</v>
      </c>
      <c r="D516" s="485" t="n">
        <v>1</v>
      </c>
      <c r="E516" s="485" t="n">
        <v>1</v>
      </c>
      <c r="F516" s="485" t="n">
        <v>2</v>
      </c>
      <c r="G516" s="485" t="inlineStr">
        <is>
          <t>West-Up1</t>
        </is>
      </c>
      <c r="H516" s="485" t="n">
        <v>2639.84</v>
      </c>
      <c r="I516" s="485" t="n">
        <v>0</v>
      </c>
      <c r="J516" s="485" t="n">
        <v>55</v>
      </c>
      <c r="K516" s="485" t="n">
        <v>42</v>
      </c>
      <c r="L516" s="485" t="n">
        <v>4</v>
      </c>
      <c r="M516" s="515" t="inlineStr">
        <is>
          <t>G</t>
        </is>
      </c>
    </row>
    <row r="517">
      <c r="A517" s="485" t="n">
        <v>8</v>
      </c>
      <c r="B517" s="485" t="n">
        <v>3</v>
      </c>
      <c r="C517" s="485" t="n">
        <v>2</v>
      </c>
      <c r="D517" s="485" t="n">
        <v>1</v>
      </c>
      <c r="E517" s="485" t="n">
        <v>1</v>
      </c>
      <c r="F517" s="485" t="n">
        <v>2</v>
      </c>
      <c r="G517" s="485" t="inlineStr">
        <is>
          <t>West-Down1</t>
        </is>
      </c>
      <c r="H517" s="485" t="n">
        <v>2636.29</v>
      </c>
      <c r="I517" s="485" t="n">
        <v>0</v>
      </c>
      <c r="J517" s="485" t="n">
        <v>59</v>
      </c>
      <c r="K517" s="485" t="n">
        <v>43</v>
      </c>
      <c r="L517" s="485" t="n">
        <v>4</v>
      </c>
      <c r="M517" s="515" t="inlineStr">
        <is>
          <t>G</t>
        </is>
      </c>
    </row>
    <row r="518">
      <c r="A518" s="485" t="n">
        <v>8</v>
      </c>
      <c r="B518" s="485" t="n">
        <v>3</v>
      </c>
      <c r="C518" s="485" t="n">
        <v>2</v>
      </c>
      <c r="D518" s="485" t="n">
        <v>1</v>
      </c>
      <c r="E518" s="485" t="n">
        <v>1</v>
      </c>
      <c r="F518" s="485" t="n">
        <v>2</v>
      </c>
      <c r="G518" s="485" t="inlineStr">
        <is>
          <t>West-Down2</t>
        </is>
      </c>
      <c r="H518" s="485" t="n">
        <v>0</v>
      </c>
      <c r="I518" s="485" t="n">
        <v>0</v>
      </c>
      <c r="J518" s="485" t="n">
        <v>0</v>
      </c>
      <c r="K518" s="485" t="n">
        <v>0</v>
      </c>
      <c r="L518" s="485" t="n">
        <v>0</v>
      </c>
      <c r="M518" s="515" t="inlineStr">
        <is>
          <t>G</t>
        </is>
      </c>
    </row>
    <row r="519">
      <c r="A519" s="485" t="n">
        <v>8</v>
      </c>
      <c r="B519" s="485" t="n">
        <v>3</v>
      </c>
      <c r="C519" s="485" t="n">
        <v>2</v>
      </c>
      <c r="D519" s="485" t="n">
        <v>1</v>
      </c>
      <c r="E519" s="485" t="n">
        <v>1</v>
      </c>
      <c r="F519" s="485" t="n">
        <v>2</v>
      </c>
      <c r="G519" s="485" t="inlineStr">
        <is>
          <t>East-Up2</t>
        </is>
      </c>
      <c r="H519" s="485" t="n">
        <v>0</v>
      </c>
      <c r="I519" s="485" t="n">
        <v>0</v>
      </c>
      <c r="J519" s="485" t="n">
        <v>0</v>
      </c>
      <c r="K519" s="485" t="n">
        <v>0</v>
      </c>
      <c r="L519" s="485" t="n">
        <v>0</v>
      </c>
      <c r="M519" s="515" t="inlineStr">
        <is>
          <t>G</t>
        </is>
      </c>
    </row>
    <row r="520">
      <c r="A520" s="485" t="n">
        <v>8</v>
      </c>
      <c r="B520" s="485" t="n">
        <v>3</v>
      </c>
      <c r="C520" s="485" t="n">
        <v>2</v>
      </c>
      <c r="D520" s="485" t="n">
        <v>1</v>
      </c>
      <c r="E520" s="485" t="n">
        <v>1</v>
      </c>
      <c r="F520" s="485" t="n">
        <v>2</v>
      </c>
      <c r="G520" s="485" t="inlineStr">
        <is>
          <t>East-Up1</t>
        </is>
      </c>
      <c r="H520" s="485" t="n">
        <v>2637.35</v>
      </c>
      <c r="I520" s="485" t="n">
        <v>1</v>
      </c>
      <c r="J520" s="485" t="n">
        <v>3</v>
      </c>
      <c r="K520" s="485" t="n">
        <v>24</v>
      </c>
      <c r="L520" s="485" t="n">
        <v>1</v>
      </c>
      <c r="M520" s="515" t="inlineStr">
        <is>
          <t>G</t>
        </is>
      </c>
    </row>
    <row r="521">
      <c r="A521" s="485" t="n">
        <v>8</v>
      </c>
      <c r="B521" s="485" t="n">
        <v>3</v>
      </c>
      <c r="C521" s="485" t="n">
        <v>2</v>
      </c>
      <c r="D521" s="485" t="n">
        <v>1</v>
      </c>
      <c r="E521" s="485" t="n">
        <v>1</v>
      </c>
      <c r="F521" s="485" t="n">
        <v>2</v>
      </c>
      <c r="G521" s="485" t="inlineStr">
        <is>
          <t>East-Down1</t>
        </is>
      </c>
      <c r="H521" s="485" t="n">
        <v>2642.28</v>
      </c>
      <c r="I521" s="485" t="n">
        <v>1</v>
      </c>
      <c r="J521" s="485" t="n">
        <v>3</v>
      </c>
      <c r="K521" s="485" t="n">
        <v>8</v>
      </c>
      <c r="L521" s="485" t="n">
        <v>1</v>
      </c>
      <c r="M521" s="515" t="inlineStr">
        <is>
          <t>G</t>
        </is>
      </c>
    </row>
    <row r="522">
      <c r="A522" s="485" t="n">
        <v>8</v>
      </c>
      <c r="B522" s="485" t="n">
        <v>3</v>
      </c>
      <c r="C522" s="485" t="n">
        <v>2</v>
      </c>
      <c r="D522" s="485" t="n">
        <v>1</v>
      </c>
      <c r="E522" s="485" t="n">
        <v>1</v>
      </c>
      <c r="F522" s="485" t="n">
        <v>2</v>
      </c>
      <c r="G522" s="485" t="inlineStr">
        <is>
          <t>East-Down2</t>
        </is>
      </c>
      <c r="H522" s="485" t="n">
        <v>0</v>
      </c>
      <c r="I522" s="485" t="n">
        <v>0</v>
      </c>
      <c r="J522" s="485" t="n">
        <v>0</v>
      </c>
      <c r="K522" s="485" t="n">
        <v>0</v>
      </c>
      <c r="L522" s="485" t="n">
        <v>0</v>
      </c>
      <c r="M522" s="515" t="inlineStr">
        <is>
          <t>G</t>
        </is>
      </c>
    </row>
    <row r="523">
      <c r="A523" s="485" t="n">
        <v>8</v>
      </c>
      <c r="B523" s="485" t="n">
        <v>3</v>
      </c>
      <c r="C523" s="485" t="n">
        <v>2</v>
      </c>
      <c r="D523" s="485" t="n">
        <v>1</v>
      </c>
      <c r="E523" s="485" t="n">
        <v>1</v>
      </c>
      <c r="F523" s="485" t="n">
        <v>2</v>
      </c>
      <c r="G523" s="485" t="inlineStr">
        <is>
          <t>North-Left2</t>
        </is>
      </c>
      <c r="H523" s="485" t="n">
        <v>0</v>
      </c>
      <c r="I523" s="485" t="n">
        <v>0</v>
      </c>
      <c r="J523" s="485" t="n">
        <v>0</v>
      </c>
      <c r="K523" s="485" t="n">
        <v>0</v>
      </c>
      <c r="L523" s="485" t="n">
        <v>0</v>
      </c>
      <c r="M523" s="515" t="inlineStr">
        <is>
          <t>G</t>
        </is>
      </c>
    </row>
    <row r="524">
      <c r="A524" s="485" t="n">
        <v>8</v>
      </c>
      <c r="B524" s="485" t="n">
        <v>3</v>
      </c>
      <c r="C524" s="485" t="n">
        <v>2</v>
      </c>
      <c r="D524" s="485" t="n">
        <v>1</v>
      </c>
      <c r="E524" s="485" t="n">
        <v>1</v>
      </c>
      <c r="F524" s="485" t="n">
        <v>2</v>
      </c>
      <c r="G524" s="485" t="inlineStr">
        <is>
          <t>North-Left1</t>
        </is>
      </c>
      <c r="H524" s="485" t="n">
        <v>2629.68</v>
      </c>
      <c r="I524" s="485" t="n">
        <v>89</v>
      </c>
      <c r="J524" s="485" t="n">
        <v>8</v>
      </c>
      <c r="K524" s="485" t="n">
        <v>16</v>
      </c>
      <c r="L524" s="485" t="n">
        <v>2</v>
      </c>
      <c r="M524" s="515" t="inlineStr">
        <is>
          <t>G</t>
        </is>
      </c>
    </row>
    <row r="525">
      <c r="A525" s="485" t="n">
        <v>8</v>
      </c>
      <c r="B525" s="485" t="n">
        <v>3</v>
      </c>
      <c r="C525" s="485" t="n">
        <v>2</v>
      </c>
      <c r="D525" s="485" t="n">
        <v>1</v>
      </c>
      <c r="E525" s="485" t="n">
        <v>1</v>
      </c>
      <c r="F525" s="485" t="n">
        <v>2</v>
      </c>
      <c r="G525" s="485" t="inlineStr">
        <is>
          <t>North-Right1</t>
        </is>
      </c>
      <c r="H525" s="485" t="n">
        <v>2629.91</v>
      </c>
      <c r="I525" s="485" t="n">
        <v>89</v>
      </c>
      <c r="J525" s="485" t="n">
        <v>8</v>
      </c>
      <c r="K525" s="485" t="n">
        <v>9</v>
      </c>
      <c r="L525" s="485" t="n">
        <v>2</v>
      </c>
      <c r="M525" s="515" t="inlineStr">
        <is>
          <t>G</t>
        </is>
      </c>
    </row>
    <row r="526">
      <c r="A526" s="485" t="n">
        <v>8</v>
      </c>
      <c r="B526" s="485" t="n">
        <v>3</v>
      </c>
      <c r="C526" s="485" t="n">
        <v>2</v>
      </c>
      <c r="D526" s="485" t="n">
        <v>1</v>
      </c>
      <c r="E526" s="485" t="n">
        <v>1</v>
      </c>
      <c r="F526" s="485" t="n">
        <v>2</v>
      </c>
      <c r="G526" s="485" t="inlineStr">
        <is>
          <t>North-Right2</t>
        </is>
      </c>
      <c r="H526" s="485" t="n">
        <v>0</v>
      </c>
      <c r="I526" s="485" t="n">
        <v>0</v>
      </c>
      <c r="J526" s="485" t="n">
        <v>0</v>
      </c>
      <c r="K526" s="485" t="n">
        <v>0</v>
      </c>
      <c r="L526" s="485" t="n">
        <v>0</v>
      </c>
      <c r="M526" s="515" t="inlineStr">
        <is>
          <t>G</t>
        </is>
      </c>
    </row>
    <row r="527">
      <c r="A527" s="485" t="n">
        <v>8</v>
      </c>
      <c r="B527" s="485" t="n">
        <v>3</v>
      </c>
      <c r="C527" s="485" t="n">
        <v>2</v>
      </c>
      <c r="D527" s="485" t="n">
        <v>1</v>
      </c>
      <c r="E527" s="485" t="n">
        <v>1</v>
      </c>
      <c r="F527" s="485" t="n">
        <v>2</v>
      </c>
      <c r="G527" s="485" t="inlineStr">
        <is>
          <t>South-Left2</t>
        </is>
      </c>
      <c r="H527" s="485" t="n">
        <v>0</v>
      </c>
      <c r="I527" s="485" t="n">
        <v>0</v>
      </c>
      <c r="J527" s="485" t="n">
        <v>0</v>
      </c>
      <c r="K527" s="485" t="n">
        <v>0</v>
      </c>
      <c r="L527" s="485" t="n">
        <v>0</v>
      </c>
      <c r="M527" s="515" t="inlineStr">
        <is>
          <t>G</t>
        </is>
      </c>
    </row>
    <row r="528">
      <c r="A528" s="485" t="n">
        <v>8</v>
      </c>
      <c r="B528" s="485" t="n">
        <v>3</v>
      </c>
      <c r="C528" s="485" t="n">
        <v>2</v>
      </c>
      <c r="D528" s="485" t="n">
        <v>1</v>
      </c>
      <c r="E528" s="485" t="n">
        <v>1</v>
      </c>
      <c r="F528" s="485" t="n">
        <v>2</v>
      </c>
      <c r="G528" s="485" t="inlineStr">
        <is>
          <t>South-Left1</t>
        </is>
      </c>
      <c r="H528" s="485" t="n">
        <v>2629.45</v>
      </c>
      <c r="I528" s="485" t="n">
        <v>89</v>
      </c>
      <c r="J528" s="485" t="n">
        <v>10</v>
      </c>
      <c r="K528" s="485" t="n">
        <v>57</v>
      </c>
      <c r="L528" s="485" t="n">
        <v>2</v>
      </c>
      <c r="M528" s="515" t="inlineStr">
        <is>
          <t>G</t>
        </is>
      </c>
    </row>
    <row r="529">
      <c r="A529" s="485" t="n">
        <v>8</v>
      </c>
      <c r="B529" s="485" t="n">
        <v>3</v>
      </c>
      <c r="C529" s="485" t="n">
        <v>2</v>
      </c>
      <c r="D529" s="485" t="n">
        <v>1</v>
      </c>
      <c r="E529" s="485" t="n">
        <v>1</v>
      </c>
      <c r="F529" s="485" t="n">
        <v>2</v>
      </c>
      <c r="G529" s="485" t="inlineStr">
        <is>
          <t>South-Right1</t>
        </is>
      </c>
      <c r="H529" s="485" t="n">
        <v>2638.69</v>
      </c>
      <c r="I529" s="485" t="n">
        <v>89</v>
      </c>
      <c r="J529" s="485" t="n">
        <v>10</v>
      </c>
      <c r="K529" s="485" t="n">
        <v>0</v>
      </c>
      <c r="L529" s="485" t="n">
        <v>2</v>
      </c>
      <c r="M529" s="515" t="inlineStr">
        <is>
          <t>G</t>
        </is>
      </c>
    </row>
    <row r="530">
      <c r="A530" s="485" t="n">
        <v>8</v>
      </c>
      <c r="B530" s="485" t="n">
        <v>3</v>
      </c>
      <c r="C530" s="485" t="n">
        <v>2</v>
      </c>
      <c r="D530" s="485" t="n">
        <v>1</v>
      </c>
      <c r="E530" s="485" t="n">
        <v>1</v>
      </c>
      <c r="F530" s="485" t="n">
        <v>2</v>
      </c>
      <c r="G530" s="485" t="inlineStr">
        <is>
          <t>South-Right2</t>
        </is>
      </c>
      <c r="H530" s="485" t="n">
        <v>0</v>
      </c>
      <c r="I530" s="485" t="n">
        <v>0</v>
      </c>
      <c r="J530" s="485" t="n">
        <v>0</v>
      </c>
      <c r="K530" s="485" t="n">
        <v>0</v>
      </c>
      <c r="L530" s="485" t="n">
        <v>0</v>
      </c>
      <c r="M530" s="515" t="inlineStr">
        <is>
          <t>G</t>
        </is>
      </c>
    </row>
    <row r="531">
      <c r="A531" s="485" t="n">
        <v>8</v>
      </c>
      <c r="B531" s="485" t="n">
        <v>3</v>
      </c>
      <c r="C531" s="485" t="n">
        <v>2</v>
      </c>
      <c r="D531" s="485" t="n">
        <v>5</v>
      </c>
      <c r="E531" s="485" t="n">
        <v>2</v>
      </c>
      <c r="F531" s="485" t="n">
        <v>2</v>
      </c>
      <c r="G531" s="485" t="inlineStr">
        <is>
          <t>West-Up2</t>
        </is>
      </c>
      <c r="H531" s="485" t="n">
        <v>1314.55</v>
      </c>
      <c r="I531" s="485" t="n">
        <v>0</v>
      </c>
      <c r="J531" s="485" t="n">
        <v>5</v>
      </c>
      <c r="K531" s="485" t="n">
        <v>45</v>
      </c>
      <c r="L531" s="485" t="n">
        <v>4</v>
      </c>
      <c r="M531" s="514" t="inlineStr">
        <is>
          <t>T</t>
        </is>
      </c>
    </row>
    <row r="532">
      <c r="A532" s="485" t="n">
        <v>8</v>
      </c>
      <c r="B532" s="485" t="n">
        <v>3</v>
      </c>
      <c r="C532" s="485" t="n">
        <v>2</v>
      </c>
      <c r="D532" s="485" t="n">
        <v>5</v>
      </c>
      <c r="E532" s="485" t="n">
        <v>2</v>
      </c>
      <c r="F532" s="485" t="n">
        <v>2</v>
      </c>
      <c r="G532" s="516" t="inlineStr">
        <is>
          <t>West-Up1</t>
        </is>
      </c>
      <c r="H532" s="485" t="n">
        <v>1314.42</v>
      </c>
      <c r="I532" s="485" t="n">
        <v>0</v>
      </c>
      <c r="J532" s="485" t="n">
        <v>5</v>
      </c>
      <c r="K532" s="485" t="n">
        <v>23</v>
      </c>
      <c r="L532" s="485" t="n">
        <v>4</v>
      </c>
      <c r="M532" s="514" t="inlineStr">
        <is>
          <t>T</t>
        </is>
      </c>
    </row>
    <row r="533">
      <c r="A533" s="485" t="n">
        <v>8</v>
      </c>
      <c r="B533" s="485" t="n">
        <v>3</v>
      </c>
      <c r="C533" s="485" t="n">
        <v>2</v>
      </c>
      <c r="D533" s="485" t="n">
        <v>5</v>
      </c>
      <c r="E533" s="485" t="n">
        <v>2</v>
      </c>
      <c r="F533" s="485" t="n">
        <v>2</v>
      </c>
      <c r="G533" s="485" t="inlineStr">
        <is>
          <t>West-Down1</t>
        </is>
      </c>
      <c r="H533" s="485" t="n">
        <v>2629.39</v>
      </c>
      <c r="I533" s="485" t="n">
        <v>0</v>
      </c>
      <c r="J533" s="485" t="n">
        <v>1</v>
      </c>
      <c r="K533" s="485" t="n">
        <v>3</v>
      </c>
      <c r="L533" s="485" t="n">
        <v>4</v>
      </c>
      <c r="M533" s="514" t="inlineStr">
        <is>
          <t>T</t>
        </is>
      </c>
    </row>
    <row r="534">
      <c r="A534" s="485" t="n">
        <v>8</v>
      </c>
      <c r="B534" s="485" t="n">
        <v>3</v>
      </c>
      <c r="C534" s="485" t="n">
        <v>2</v>
      </c>
      <c r="D534" s="485" t="n">
        <v>5</v>
      </c>
      <c r="E534" s="485" t="n">
        <v>2</v>
      </c>
      <c r="F534" s="485" t="n">
        <v>2</v>
      </c>
      <c r="G534" s="485" t="inlineStr">
        <is>
          <t>West-Down2</t>
        </is>
      </c>
      <c r="H534" s="485" t="n">
        <v>0</v>
      </c>
      <c r="I534" s="485" t="n">
        <v>0</v>
      </c>
      <c r="J534" s="485" t="n">
        <v>0</v>
      </c>
      <c r="K534" s="485" t="n">
        <v>0</v>
      </c>
      <c r="L534" s="485" t="n">
        <v>0</v>
      </c>
      <c r="M534" s="514" t="inlineStr">
        <is>
          <t>T</t>
        </is>
      </c>
    </row>
    <row r="535">
      <c r="A535" s="485" t="n">
        <v>8</v>
      </c>
      <c r="B535" s="485" t="n">
        <v>3</v>
      </c>
      <c r="C535" s="485" t="n">
        <v>2</v>
      </c>
      <c r="D535" s="485" t="n">
        <v>5</v>
      </c>
      <c r="E535" s="485" t="n">
        <v>2</v>
      </c>
      <c r="F535" s="485" t="n">
        <v>2</v>
      </c>
      <c r="G535" s="485" t="inlineStr">
        <is>
          <t>East-Up2</t>
        </is>
      </c>
      <c r="H535" s="485" t="n">
        <v>0</v>
      </c>
      <c r="I535" s="485" t="n">
        <v>0</v>
      </c>
      <c r="J535" s="485" t="n">
        <v>0</v>
      </c>
      <c r="K535" s="485" t="n">
        <v>0</v>
      </c>
      <c r="L535" s="485" t="n">
        <v>0</v>
      </c>
      <c r="M535" s="514" t="inlineStr">
        <is>
          <t>T</t>
        </is>
      </c>
    </row>
    <row r="536">
      <c r="A536" s="485" t="n">
        <v>8</v>
      </c>
      <c r="B536" s="485" t="n">
        <v>3</v>
      </c>
      <c r="C536" s="485" t="n">
        <v>2</v>
      </c>
      <c r="D536" s="485" t="n">
        <v>5</v>
      </c>
      <c r="E536" s="485" t="n">
        <v>2</v>
      </c>
      <c r="F536" s="485" t="n">
        <v>2</v>
      </c>
      <c r="G536" s="516" t="inlineStr">
        <is>
          <t>East-Up1</t>
        </is>
      </c>
      <c r="H536" s="485" t="n">
        <v>2625.37</v>
      </c>
      <c r="I536" s="485" t="n">
        <v>0</v>
      </c>
      <c r="J536" s="485" t="n">
        <v>6</v>
      </c>
      <c r="K536" s="485" t="n">
        <v>36</v>
      </c>
      <c r="L536" s="485" t="n">
        <v>4</v>
      </c>
      <c r="M536" s="514" t="inlineStr">
        <is>
          <t>T</t>
        </is>
      </c>
    </row>
    <row r="537">
      <c r="A537" s="485" t="n">
        <v>8</v>
      </c>
      <c r="B537" s="485" t="n">
        <v>3</v>
      </c>
      <c r="C537" s="485" t="n">
        <v>2</v>
      </c>
      <c r="D537" s="485" t="n">
        <v>5</v>
      </c>
      <c r="E537" s="485" t="n">
        <v>2</v>
      </c>
      <c r="F537" s="485" t="n">
        <v>2</v>
      </c>
      <c r="G537" s="485" t="inlineStr">
        <is>
          <t>East-Down1</t>
        </is>
      </c>
      <c r="H537" s="485" t="n">
        <v>2621.7</v>
      </c>
      <c r="I537" s="485" t="n">
        <v>0</v>
      </c>
      <c r="J537" s="485" t="n">
        <v>6</v>
      </c>
      <c r="K537" s="485" t="n">
        <v>46</v>
      </c>
      <c r="L537" s="485" t="n">
        <v>4</v>
      </c>
      <c r="M537" s="514" t="inlineStr">
        <is>
          <t>T</t>
        </is>
      </c>
    </row>
    <row r="538">
      <c r="A538" s="485" t="n">
        <v>8</v>
      </c>
      <c r="B538" s="485" t="n">
        <v>3</v>
      </c>
      <c r="C538" s="485" t="n">
        <v>2</v>
      </c>
      <c r="D538" s="485" t="n">
        <v>5</v>
      </c>
      <c r="E538" s="485" t="n">
        <v>2</v>
      </c>
      <c r="F538" s="485" t="n">
        <v>2</v>
      </c>
      <c r="G538" s="485" t="inlineStr">
        <is>
          <t>East-Down2</t>
        </is>
      </c>
      <c r="H538" s="485" t="n">
        <v>0</v>
      </c>
      <c r="I538" s="485" t="n">
        <v>0</v>
      </c>
      <c r="J538" s="485" t="n">
        <v>0</v>
      </c>
      <c r="K538" s="485" t="n">
        <v>0</v>
      </c>
      <c r="L538" s="485" t="n">
        <v>0</v>
      </c>
      <c r="M538" s="514" t="inlineStr">
        <is>
          <t>T</t>
        </is>
      </c>
    </row>
    <row r="539">
      <c r="A539" s="485" t="n">
        <v>8</v>
      </c>
      <c r="B539" s="485" t="n">
        <v>3</v>
      </c>
      <c r="C539" s="485" t="n">
        <v>2</v>
      </c>
      <c r="D539" s="485" t="n">
        <v>5</v>
      </c>
      <c r="E539" s="485" t="n">
        <v>2</v>
      </c>
      <c r="F539" s="485" t="n">
        <v>2</v>
      </c>
      <c r="G539" s="485" t="inlineStr">
        <is>
          <t>North-Left2</t>
        </is>
      </c>
      <c r="H539" s="485" t="n">
        <v>0</v>
      </c>
      <c r="I539" s="485" t="n">
        <v>0</v>
      </c>
      <c r="J539" s="485" t="n">
        <v>0</v>
      </c>
      <c r="K539" s="485" t="n">
        <v>0</v>
      </c>
      <c r="L539" s="485" t="n">
        <v>0</v>
      </c>
      <c r="M539" s="514" t="inlineStr">
        <is>
          <t>T</t>
        </is>
      </c>
    </row>
    <row r="540">
      <c r="A540" s="485" t="n">
        <v>8</v>
      </c>
      <c r="B540" s="485" t="n">
        <v>3</v>
      </c>
      <c r="C540" s="485" t="n">
        <v>2</v>
      </c>
      <c r="D540" s="485" t="n">
        <v>5</v>
      </c>
      <c r="E540" s="485" t="n">
        <v>2</v>
      </c>
      <c r="F540" s="485" t="n">
        <v>2</v>
      </c>
      <c r="G540" s="516" t="inlineStr">
        <is>
          <t>North-Left1</t>
        </is>
      </c>
      <c r="H540" s="485" t="n">
        <v>2670.75</v>
      </c>
      <c r="I540" s="485" t="n">
        <v>89</v>
      </c>
      <c r="J540" s="485" t="n">
        <v>24</v>
      </c>
      <c r="K540" s="485" t="n">
        <v>38</v>
      </c>
      <c r="L540" s="485" t="n">
        <v>2</v>
      </c>
      <c r="M540" s="514" t="inlineStr">
        <is>
          <t>T</t>
        </is>
      </c>
    </row>
    <row r="541">
      <c r="A541" s="485" t="n">
        <v>8</v>
      </c>
      <c r="B541" s="485" t="n">
        <v>3</v>
      </c>
      <c r="C541" s="485" t="n">
        <v>2</v>
      </c>
      <c r="D541" s="485" t="n">
        <v>5</v>
      </c>
      <c r="E541" s="485" t="n">
        <v>2</v>
      </c>
      <c r="F541" s="485" t="n">
        <v>2</v>
      </c>
      <c r="G541" s="485" t="inlineStr">
        <is>
          <t>North-Right1</t>
        </is>
      </c>
      <c r="H541" s="485" t="n">
        <v>2664.87</v>
      </c>
      <c r="I541" s="485" t="n">
        <v>89</v>
      </c>
      <c r="J541" s="485" t="n">
        <v>27</v>
      </c>
      <c r="K541" s="485" t="n">
        <v>2</v>
      </c>
      <c r="L541" s="485" t="n">
        <v>2</v>
      </c>
      <c r="M541" s="514" t="inlineStr">
        <is>
          <t>T</t>
        </is>
      </c>
    </row>
    <row r="542">
      <c r="A542" s="485" t="n">
        <v>8</v>
      </c>
      <c r="B542" s="485" t="n">
        <v>3</v>
      </c>
      <c r="C542" s="485" t="n">
        <v>2</v>
      </c>
      <c r="D542" s="485" t="n">
        <v>5</v>
      </c>
      <c r="E542" s="485" t="n">
        <v>2</v>
      </c>
      <c r="F542" s="485" t="n">
        <v>2</v>
      </c>
      <c r="G542" s="485" t="inlineStr">
        <is>
          <t>North-Right2</t>
        </is>
      </c>
      <c r="H542" s="485" t="n">
        <v>0</v>
      </c>
      <c r="I542" s="485" t="n">
        <v>0</v>
      </c>
      <c r="J542" s="485" t="n">
        <v>0</v>
      </c>
      <c r="K542" s="485" t="n">
        <v>0</v>
      </c>
      <c r="L542" s="485" t="n">
        <v>0</v>
      </c>
      <c r="M542" s="514" t="inlineStr">
        <is>
          <t>T</t>
        </is>
      </c>
    </row>
    <row r="543">
      <c r="A543" s="485" t="n">
        <v>8</v>
      </c>
      <c r="B543" s="485" t="n">
        <v>3</v>
      </c>
      <c r="C543" s="485" t="n">
        <v>2</v>
      </c>
      <c r="D543" s="485" t="n">
        <v>5</v>
      </c>
      <c r="E543" s="485" t="n">
        <v>2</v>
      </c>
      <c r="F543" s="485" t="n">
        <v>2</v>
      </c>
      <c r="G543" s="485" t="inlineStr">
        <is>
          <t>South-Left2</t>
        </is>
      </c>
      <c r="H543" s="485" t="n">
        <v>0</v>
      </c>
      <c r="I543" s="485" t="n">
        <v>0</v>
      </c>
      <c r="J543" s="485" t="n">
        <v>0</v>
      </c>
      <c r="K543" s="485" t="n">
        <v>0</v>
      </c>
      <c r="L543" s="485" t="n">
        <v>0</v>
      </c>
      <c r="M543" s="514" t="inlineStr">
        <is>
          <t>T</t>
        </is>
      </c>
    </row>
    <row r="544">
      <c r="A544" s="485" t="n">
        <v>8</v>
      </c>
      <c r="B544" s="485" t="n">
        <v>3</v>
      </c>
      <c r="C544" s="485" t="n">
        <v>2</v>
      </c>
      <c r="D544" s="485" t="n">
        <v>5</v>
      </c>
      <c r="E544" s="485" t="n">
        <v>2</v>
      </c>
      <c r="F544" s="485" t="n">
        <v>2</v>
      </c>
      <c r="G544" s="516" t="inlineStr">
        <is>
          <t>South-Left1</t>
        </is>
      </c>
      <c r="H544" s="485" t="n">
        <v>2670.4</v>
      </c>
      <c r="I544" s="485" t="n">
        <v>89</v>
      </c>
      <c r="J544" s="485" t="n">
        <v>18</v>
      </c>
      <c r="K544" s="485" t="n">
        <v>37</v>
      </c>
      <c r="L544" s="485" t="n">
        <v>2</v>
      </c>
      <c r="M544" s="514" t="inlineStr">
        <is>
          <t>T</t>
        </is>
      </c>
    </row>
    <row r="545">
      <c r="A545" s="485" t="n">
        <v>8</v>
      </c>
      <c r="B545" s="485" t="n">
        <v>3</v>
      </c>
      <c r="C545" s="485" t="n">
        <v>2</v>
      </c>
      <c r="D545" s="485" t="n">
        <v>5</v>
      </c>
      <c r="E545" s="485" t="n">
        <v>2</v>
      </c>
      <c r="F545" s="485" t="n">
        <v>2</v>
      </c>
      <c r="G545" s="485" t="inlineStr">
        <is>
          <t>South-Right1</t>
        </is>
      </c>
      <c r="H545" s="485" t="n">
        <v>2670.47</v>
      </c>
      <c r="I545" s="485" t="n">
        <v>89</v>
      </c>
      <c r="J545" s="485" t="n">
        <v>18</v>
      </c>
      <c r="K545" s="485" t="n">
        <v>34</v>
      </c>
      <c r="L545" s="485" t="n">
        <v>2</v>
      </c>
      <c r="M545" s="514" t="inlineStr">
        <is>
          <t>T</t>
        </is>
      </c>
    </row>
    <row r="546">
      <c r="A546" s="485" t="n">
        <v>8</v>
      </c>
      <c r="B546" s="485" t="n">
        <v>3</v>
      </c>
      <c r="C546" s="485" t="n">
        <v>2</v>
      </c>
      <c r="D546" s="485" t="n">
        <v>5</v>
      </c>
      <c r="E546" s="485" t="n">
        <v>2</v>
      </c>
      <c r="F546" s="485" t="n">
        <v>2</v>
      </c>
      <c r="G546" s="485" t="inlineStr">
        <is>
          <t>South-Right2</t>
        </is>
      </c>
      <c r="H546" s="485" t="n">
        <v>0</v>
      </c>
      <c r="I546" s="485" t="n">
        <v>0</v>
      </c>
      <c r="J546" s="485" t="n">
        <v>0</v>
      </c>
      <c r="K546" s="485" t="n">
        <v>0</v>
      </c>
      <c r="L546" s="485" t="n">
        <v>0</v>
      </c>
      <c r="M546" s="514" t="inlineStr">
        <is>
          <t>T</t>
        </is>
      </c>
    </row>
    <row r="547">
      <c r="A547" s="486" t="n">
        <v>8</v>
      </c>
      <c r="B547" s="486" t="n">
        <v>3</v>
      </c>
      <c r="C547" s="486" t="n">
        <v>2</v>
      </c>
      <c r="D547" s="486" t="n">
        <v>2</v>
      </c>
      <c r="E547" s="486" t="n">
        <v>2</v>
      </c>
      <c r="F547" s="486" t="n">
        <v>2</v>
      </c>
      <c r="G547" s="486" t="inlineStr">
        <is>
          <t>West-Up2</t>
        </is>
      </c>
      <c r="H547" s="486" t="n">
        <v>0</v>
      </c>
      <c r="I547" s="486" t="n">
        <v>0</v>
      </c>
      <c r="J547" s="486" t="n">
        <v>0</v>
      </c>
      <c r="K547" s="486" t="n">
        <v>0</v>
      </c>
      <c r="L547" s="486" t="n">
        <v>0</v>
      </c>
      <c r="M547" s="514" t="inlineStr">
        <is>
          <t>T</t>
        </is>
      </c>
    </row>
    <row r="548">
      <c r="A548" s="486" t="n">
        <v>8</v>
      </c>
      <c r="B548" s="486" t="n">
        <v>3</v>
      </c>
      <c r="C548" s="486" t="n">
        <v>2</v>
      </c>
      <c r="D548" s="486" t="n">
        <v>2</v>
      </c>
      <c r="E548" s="486" t="n">
        <v>2</v>
      </c>
      <c r="F548" s="486" t="n">
        <v>2</v>
      </c>
      <c r="G548" s="475" t="inlineStr">
        <is>
          <t>West-Up1</t>
        </is>
      </c>
      <c r="H548" s="491" t="n">
        <v>5232.1</v>
      </c>
      <c r="I548" s="486" t="n">
        <v>0</v>
      </c>
      <c r="J548" s="486" t="n">
        <v>8</v>
      </c>
      <c r="K548" s="486" t="n">
        <v>2</v>
      </c>
      <c r="L548" s="486" t="n">
        <v>4</v>
      </c>
      <c r="M548" s="514" t="inlineStr">
        <is>
          <t>T</t>
        </is>
      </c>
    </row>
    <row r="549">
      <c r="A549" s="486" t="n">
        <v>8</v>
      </c>
      <c r="B549" s="486" t="n">
        <v>3</v>
      </c>
      <c r="C549" s="486" t="n">
        <v>2</v>
      </c>
      <c r="D549" s="486" t="n">
        <v>2</v>
      </c>
      <c r="E549" s="486" t="n">
        <v>2</v>
      </c>
      <c r="F549" s="486" t="n">
        <v>2</v>
      </c>
      <c r="G549" s="486" t="inlineStr">
        <is>
          <t>West-Down1</t>
        </is>
      </c>
      <c r="H549" s="486" t="n">
        <v>0</v>
      </c>
      <c r="I549" s="486" t="n">
        <v>0</v>
      </c>
      <c r="J549" s="486" t="n">
        <v>0</v>
      </c>
      <c r="K549" s="486" t="n">
        <v>0</v>
      </c>
      <c r="L549" s="486" t="n">
        <v>0</v>
      </c>
      <c r="M549" s="514" t="inlineStr">
        <is>
          <t>T</t>
        </is>
      </c>
    </row>
    <row r="550">
      <c r="A550" s="486" t="n">
        <v>8</v>
      </c>
      <c r="B550" s="486" t="n">
        <v>3</v>
      </c>
      <c r="C550" s="486" t="n">
        <v>2</v>
      </c>
      <c r="D550" s="486" t="n">
        <v>2</v>
      </c>
      <c r="E550" s="486" t="n">
        <v>2</v>
      </c>
      <c r="F550" s="486" t="n">
        <v>2</v>
      </c>
      <c r="G550" s="486" t="inlineStr">
        <is>
          <t>West-Down2</t>
        </is>
      </c>
      <c r="H550" s="486" t="n">
        <v>0</v>
      </c>
      <c r="I550" s="486" t="n">
        <v>0</v>
      </c>
      <c r="J550" s="486" t="n">
        <v>0</v>
      </c>
      <c r="K550" s="486" t="n">
        <v>0</v>
      </c>
      <c r="L550" s="486" t="n">
        <v>0</v>
      </c>
      <c r="M550" s="514" t="inlineStr">
        <is>
          <t>T</t>
        </is>
      </c>
    </row>
    <row r="551">
      <c r="A551" s="486" t="n">
        <v>8</v>
      </c>
      <c r="B551" s="486" t="n">
        <v>3</v>
      </c>
      <c r="C551" s="486" t="n">
        <v>2</v>
      </c>
      <c r="D551" s="486" t="n">
        <v>2</v>
      </c>
      <c r="E551" s="486" t="n">
        <v>2</v>
      </c>
      <c r="F551" s="486" t="n">
        <v>2</v>
      </c>
      <c r="G551" s="486" t="inlineStr">
        <is>
          <t>East-Up2</t>
        </is>
      </c>
      <c r="H551" s="486" t="n">
        <v>0</v>
      </c>
      <c r="I551" s="486" t="n">
        <v>0</v>
      </c>
      <c r="J551" s="486" t="n">
        <v>0</v>
      </c>
      <c r="K551" s="486" t="n">
        <v>0</v>
      </c>
      <c r="L551" s="486" t="n">
        <v>0</v>
      </c>
      <c r="M551" s="514" t="inlineStr">
        <is>
          <t>T</t>
        </is>
      </c>
    </row>
    <row r="552">
      <c r="A552" s="486" t="n">
        <v>8</v>
      </c>
      <c r="B552" s="486" t="n">
        <v>3</v>
      </c>
      <c r="C552" s="486" t="n">
        <v>2</v>
      </c>
      <c r="D552" s="486" t="n">
        <v>2</v>
      </c>
      <c r="E552" s="486" t="n">
        <v>2</v>
      </c>
      <c r="F552" s="486" t="n">
        <v>2</v>
      </c>
      <c r="G552" s="475" t="inlineStr">
        <is>
          <t>East-Up1</t>
        </is>
      </c>
      <c r="H552" s="486" t="n">
        <v>3952.02</v>
      </c>
      <c r="I552" s="486" t="n">
        <v>0</v>
      </c>
      <c r="J552" s="486" t="n">
        <v>7</v>
      </c>
      <c r="K552" s="486" t="n">
        <v>0</v>
      </c>
      <c r="L552" s="486" t="n">
        <v>2</v>
      </c>
      <c r="M552" s="514" t="inlineStr">
        <is>
          <t>T</t>
        </is>
      </c>
    </row>
    <row r="553">
      <c r="A553" s="486" t="n">
        <v>8</v>
      </c>
      <c r="B553" s="486" t="n">
        <v>3</v>
      </c>
      <c r="C553" s="486" t="n">
        <v>2</v>
      </c>
      <c r="D553" s="486" t="n">
        <v>2</v>
      </c>
      <c r="E553" s="486" t="n">
        <v>2</v>
      </c>
      <c r="F553" s="486" t="n">
        <v>2</v>
      </c>
      <c r="G553" s="486" t="inlineStr">
        <is>
          <t>East-Down1</t>
        </is>
      </c>
      <c r="H553" s="491" t="n">
        <v>0</v>
      </c>
      <c r="I553" s="491" t="n">
        <v>0</v>
      </c>
      <c r="J553" s="491" t="n">
        <v>0</v>
      </c>
      <c r="K553" s="491" t="n">
        <v>0</v>
      </c>
      <c r="L553" s="491" t="n">
        <v>0</v>
      </c>
      <c r="M553" s="514" t="inlineStr">
        <is>
          <t>T</t>
        </is>
      </c>
    </row>
    <row r="554">
      <c r="A554" s="486" t="n">
        <v>8</v>
      </c>
      <c r="B554" s="486" t="n">
        <v>3</v>
      </c>
      <c r="C554" s="486" t="n">
        <v>2</v>
      </c>
      <c r="D554" s="486" t="n">
        <v>2</v>
      </c>
      <c r="E554" s="486" t="n">
        <v>2</v>
      </c>
      <c r="F554" s="486" t="n">
        <v>2</v>
      </c>
      <c r="G554" s="486" t="inlineStr">
        <is>
          <t>East-Down2</t>
        </is>
      </c>
      <c r="H554" s="486" t="n">
        <v>1317.34</v>
      </c>
      <c r="I554" s="486" t="n">
        <v>0</v>
      </c>
      <c r="J554" s="486" t="n">
        <v>13</v>
      </c>
      <c r="K554" s="486" t="n">
        <v>6</v>
      </c>
      <c r="L554" s="486" t="n">
        <v>1</v>
      </c>
      <c r="M554" s="514" t="inlineStr">
        <is>
          <t>T</t>
        </is>
      </c>
    </row>
    <row r="555">
      <c r="A555" s="486" t="n">
        <v>8</v>
      </c>
      <c r="B555" s="486" t="n">
        <v>3</v>
      </c>
      <c r="C555" s="486" t="n">
        <v>2</v>
      </c>
      <c r="D555" s="486" t="n">
        <v>2</v>
      </c>
      <c r="E555" s="486" t="n">
        <v>2</v>
      </c>
      <c r="F555" s="486" t="n">
        <v>2</v>
      </c>
      <c r="G555" s="486" t="inlineStr">
        <is>
          <t>North-Left2</t>
        </is>
      </c>
      <c r="H555" s="486" t="n">
        <v>0</v>
      </c>
      <c r="I555" s="486" t="n">
        <v>0</v>
      </c>
      <c r="J555" s="486" t="n">
        <v>0</v>
      </c>
      <c r="K555" s="486" t="n">
        <v>0</v>
      </c>
      <c r="L555" s="486" t="n">
        <v>0</v>
      </c>
      <c r="M555" s="514" t="inlineStr">
        <is>
          <t>T</t>
        </is>
      </c>
    </row>
    <row r="556">
      <c r="A556" s="486" t="n">
        <v>8</v>
      </c>
      <c r="B556" s="486" t="n">
        <v>3</v>
      </c>
      <c r="C556" s="486" t="n">
        <v>2</v>
      </c>
      <c r="D556" s="486" t="n">
        <v>2</v>
      </c>
      <c r="E556" s="486" t="n">
        <v>2</v>
      </c>
      <c r="F556" s="486" t="n">
        <v>2</v>
      </c>
      <c r="G556" s="475" t="inlineStr">
        <is>
          <t>North-Left1</t>
        </is>
      </c>
      <c r="H556" s="486" t="n">
        <v>5299.8</v>
      </c>
      <c r="I556" s="486" t="n">
        <v>89</v>
      </c>
      <c r="J556" s="486" t="n">
        <v>34</v>
      </c>
      <c r="K556" s="486" t="n">
        <v>0</v>
      </c>
      <c r="L556" s="486" t="n">
        <v>2</v>
      </c>
      <c r="M556" s="514" t="inlineStr">
        <is>
          <t>T</t>
        </is>
      </c>
    </row>
    <row r="557">
      <c r="A557" s="486" t="n">
        <v>8</v>
      </c>
      <c r="B557" s="486" t="n">
        <v>3</v>
      </c>
      <c r="C557" s="486" t="n">
        <v>2</v>
      </c>
      <c r="D557" s="486" t="n">
        <v>2</v>
      </c>
      <c r="E557" s="486" t="n">
        <v>2</v>
      </c>
      <c r="F557" s="486" t="n">
        <v>2</v>
      </c>
      <c r="G557" s="486" t="inlineStr">
        <is>
          <t>North-Right1</t>
        </is>
      </c>
      <c r="H557" s="486" t="n">
        <v>0</v>
      </c>
      <c r="I557" s="486" t="n">
        <v>0</v>
      </c>
      <c r="J557" s="486" t="n">
        <v>0</v>
      </c>
      <c r="K557" s="486" t="n">
        <v>0</v>
      </c>
      <c r="L557" s="486" t="n">
        <v>0</v>
      </c>
      <c r="M557" s="514" t="inlineStr">
        <is>
          <t>T</t>
        </is>
      </c>
    </row>
    <row r="558">
      <c r="A558" s="486" t="n">
        <v>8</v>
      </c>
      <c r="B558" s="486" t="n">
        <v>3</v>
      </c>
      <c r="C558" s="486" t="n">
        <v>2</v>
      </c>
      <c r="D558" s="486" t="n">
        <v>2</v>
      </c>
      <c r="E558" s="486" t="n">
        <v>2</v>
      </c>
      <c r="F558" s="486" t="n">
        <v>2</v>
      </c>
      <c r="G558" s="486" t="inlineStr">
        <is>
          <t>North-Right2</t>
        </is>
      </c>
      <c r="H558" s="486" t="n">
        <v>0</v>
      </c>
      <c r="I558" s="486" t="n">
        <v>0</v>
      </c>
      <c r="J558" s="486" t="n">
        <v>0</v>
      </c>
      <c r="K558" s="486" t="n">
        <v>0</v>
      </c>
      <c r="L558" s="486" t="n">
        <v>0</v>
      </c>
      <c r="M558" s="514" t="inlineStr">
        <is>
          <t>T</t>
        </is>
      </c>
    </row>
    <row r="559">
      <c r="A559" s="486" t="n">
        <v>8</v>
      </c>
      <c r="B559" s="486" t="n">
        <v>3</v>
      </c>
      <c r="C559" s="486" t="n">
        <v>2</v>
      </c>
      <c r="D559" s="486" t="n">
        <v>2</v>
      </c>
      <c r="E559" s="486" t="n">
        <v>2</v>
      </c>
      <c r="F559" s="486" t="n">
        <v>2</v>
      </c>
      <c r="G559" s="486" t="inlineStr">
        <is>
          <t>South-Left2</t>
        </is>
      </c>
      <c r="H559" s="486" t="n">
        <v>0</v>
      </c>
      <c r="I559" s="486" t="n">
        <v>0</v>
      </c>
      <c r="J559" s="486" t="n">
        <v>0</v>
      </c>
      <c r="K559" s="486" t="n">
        <v>0</v>
      </c>
      <c r="L559" s="486" t="n">
        <v>0</v>
      </c>
      <c r="M559" s="514" t="inlineStr">
        <is>
          <t>T</t>
        </is>
      </c>
    </row>
    <row r="560">
      <c r="A560" s="486" t="n">
        <v>8</v>
      </c>
      <c r="B560" s="486" t="n">
        <v>3</v>
      </c>
      <c r="C560" s="486" t="n">
        <v>2</v>
      </c>
      <c r="D560" s="486" t="n">
        <v>2</v>
      </c>
      <c r="E560" s="486" t="n">
        <v>2</v>
      </c>
      <c r="F560" s="486" t="n">
        <v>2</v>
      </c>
      <c r="G560" s="475" t="inlineStr">
        <is>
          <t>South-Left1</t>
        </is>
      </c>
      <c r="H560" s="486" t="n">
        <v>5305.43</v>
      </c>
      <c r="I560" s="486" t="n">
        <v>88</v>
      </c>
      <c r="J560" s="486" t="n">
        <v>40</v>
      </c>
      <c r="K560" s="486" t="n">
        <v>47</v>
      </c>
      <c r="L560" s="486" t="n">
        <v>3</v>
      </c>
      <c r="M560" s="514" t="inlineStr">
        <is>
          <t>T</t>
        </is>
      </c>
    </row>
    <row r="561">
      <c r="A561" s="486" t="n">
        <v>8</v>
      </c>
      <c r="B561" s="486" t="n">
        <v>3</v>
      </c>
      <c r="C561" s="486" t="n">
        <v>2</v>
      </c>
      <c r="D561" s="486" t="n">
        <v>2</v>
      </c>
      <c r="E561" s="486" t="n">
        <v>2</v>
      </c>
      <c r="F561" s="486" t="n">
        <v>2</v>
      </c>
      <c r="G561" s="486" t="inlineStr">
        <is>
          <t>South-Right1</t>
        </is>
      </c>
      <c r="H561" s="486" t="n">
        <v>0</v>
      </c>
      <c r="I561" s="486" t="n">
        <v>0</v>
      </c>
      <c r="J561" s="486" t="n">
        <v>0</v>
      </c>
      <c r="K561" s="486" t="n">
        <v>0</v>
      </c>
      <c r="L561" s="486" t="n">
        <v>0</v>
      </c>
      <c r="M561" s="514" t="inlineStr">
        <is>
          <t>T</t>
        </is>
      </c>
    </row>
    <row r="562">
      <c r="A562" s="486" t="n">
        <v>8</v>
      </c>
      <c r="B562" s="486" t="n">
        <v>3</v>
      </c>
      <c r="C562" s="486" t="n">
        <v>2</v>
      </c>
      <c r="D562" s="486" t="n">
        <v>2</v>
      </c>
      <c r="E562" s="486" t="n">
        <v>2</v>
      </c>
      <c r="F562" s="486" t="n">
        <v>2</v>
      </c>
      <c r="G562" s="486" t="inlineStr">
        <is>
          <t>South-Right2</t>
        </is>
      </c>
      <c r="H562" s="486" t="n">
        <v>0</v>
      </c>
      <c r="I562" s="486" t="n">
        <v>0</v>
      </c>
      <c r="J562" s="486" t="n">
        <v>0</v>
      </c>
      <c r="K562" s="486" t="n">
        <v>0</v>
      </c>
      <c r="L562" s="486" t="n">
        <v>0</v>
      </c>
      <c r="M562" s="514" t="inlineStr">
        <is>
          <t>T</t>
        </is>
      </c>
    </row>
    <row r="563">
      <c r="A563" s="486" t="n">
        <v>9</v>
      </c>
      <c r="B563" s="486" t="n">
        <v>2</v>
      </c>
      <c r="C563" s="486" t="n">
        <v>2</v>
      </c>
      <c r="D563" s="486" t="n">
        <v>2</v>
      </c>
      <c r="E563" s="486" t="n">
        <v>2</v>
      </c>
      <c r="F563" s="486" t="n">
        <v>2</v>
      </c>
      <c r="G563" s="486" t="inlineStr">
        <is>
          <t>West-Up2</t>
        </is>
      </c>
      <c r="H563" s="486" t="n">
        <v>0</v>
      </c>
      <c r="I563" s="486" t="n">
        <v>0</v>
      </c>
      <c r="J563" s="486" t="n">
        <v>0</v>
      </c>
      <c r="K563" s="486" t="n">
        <v>0</v>
      </c>
      <c r="L563" s="486" t="n">
        <v>0</v>
      </c>
      <c r="M563" s="487" t="inlineStr">
        <is>
          <t>T</t>
        </is>
      </c>
    </row>
    <row r="564">
      <c r="A564" s="486" t="n">
        <v>9</v>
      </c>
      <c r="B564" s="486" t="n">
        <v>2</v>
      </c>
      <c r="C564" s="486" t="n">
        <v>2</v>
      </c>
      <c r="D564" s="486" t="n">
        <v>2</v>
      </c>
      <c r="E564" s="486" t="n">
        <v>2</v>
      </c>
      <c r="F564" s="486" t="n">
        <v>2</v>
      </c>
      <c r="G564" s="475" t="inlineStr">
        <is>
          <t>West-Up1</t>
        </is>
      </c>
      <c r="H564" s="486" t="n">
        <v>2597.23</v>
      </c>
      <c r="I564" s="486" t="n">
        <v>0</v>
      </c>
      <c r="J564" s="486" t="n">
        <v>49</v>
      </c>
      <c r="K564" s="486" t="n">
        <v>31</v>
      </c>
      <c r="L564" s="486" t="n">
        <v>2</v>
      </c>
      <c r="M564" s="487" t="inlineStr">
        <is>
          <t>T</t>
        </is>
      </c>
    </row>
    <row r="565">
      <c r="A565" s="486" t="n">
        <v>9</v>
      </c>
      <c r="B565" s="486" t="n">
        <v>2</v>
      </c>
      <c r="C565" s="486" t="n">
        <v>2</v>
      </c>
      <c r="D565" s="486" t="n">
        <v>2</v>
      </c>
      <c r="E565" s="486" t="n">
        <v>2</v>
      </c>
      <c r="F565" s="486" t="n">
        <v>2</v>
      </c>
      <c r="G565" s="486" t="inlineStr">
        <is>
          <t>West-Down1</t>
        </is>
      </c>
      <c r="H565" s="486" t="n">
        <v>2650.8</v>
      </c>
      <c r="I565" s="486" t="n">
        <v>0</v>
      </c>
      <c r="J565" s="486" t="n">
        <v>43</v>
      </c>
      <c r="K565" s="486" t="n">
        <v>30</v>
      </c>
      <c r="L565" s="486" t="n">
        <v>4</v>
      </c>
      <c r="M565" s="487" t="inlineStr">
        <is>
          <t>T</t>
        </is>
      </c>
    </row>
    <row r="566">
      <c r="A566" s="486" t="n">
        <v>9</v>
      </c>
      <c r="B566" s="486" t="n">
        <v>2</v>
      </c>
      <c r="C566" s="486" t="n">
        <v>2</v>
      </c>
      <c r="D566" s="486" t="n">
        <v>2</v>
      </c>
      <c r="E566" s="486" t="n">
        <v>2</v>
      </c>
      <c r="F566" s="486" t="n">
        <v>2</v>
      </c>
      <c r="G566" s="486" t="inlineStr">
        <is>
          <t>West-Down2</t>
        </is>
      </c>
      <c r="H566" s="486" t="n">
        <v>0</v>
      </c>
      <c r="I566" s="486" t="n">
        <v>0</v>
      </c>
      <c r="J566" s="486" t="n">
        <v>0</v>
      </c>
      <c r="K566" s="486" t="n">
        <v>0</v>
      </c>
      <c r="L566" s="486" t="n">
        <v>0</v>
      </c>
      <c r="M566" s="487" t="inlineStr">
        <is>
          <t>T</t>
        </is>
      </c>
    </row>
    <row r="567">
      <c r="A567" s="486" t="n">
        <v>9</v>
      </c>
      <c r="B567" s="486" t="n">
        <v>2</v>
      </c>
      <c r="C567" s="486" t="n">
        <v>2</v>
      </c>
      <c r="D567" s="486" t="n">
        <v>2</v>
      </c>
      <c r="E567" s="486" t="n">
        <v>2</v>
      </c>
      <c r="F567" s="486" t="n">
        <v>2</v>
      </c>
      <c r="G567" s="486" t="inlineStr">
        <is>
          <t>East-Up2</t>
        </is>
      </c>
      <c r="H567" s="486" t="n">
        <v>0</v>
      </c>
      <c r="I567" s="486" t="n">
        <v>0</v>
      </c>
      <c r="J567" s="486" t="n">
        <v>0</v>
      </c>
      <c r="K567" s="486" t="n">
        <v>0</v>
      </c>
      <c r="L567" s="486" t="n">
        <v>0</v>
      </c>
      <c r="M567" s="487" t="inlineStr">
        <is>
          <t>T</t>
        </is>
      </c>
    </row>
    <row r="568">
      <c r="A568" s="486" t="n">
        <v>9</v>
      </c>
      <c r="B568" s="486" t="n">
        <v>2</v>
      </c>
      <c r="C568" s="486" t="n">
        <v>2</v>
      </c>
      <c r="D568" s="486" t="n">
        <v>2</v>
      </c>
      <c r="E568" s="486" t="n">
        <v>2</v>
      </c>
      <c r="F568" s="486" t="n">
        <v>2</v>
      </c>
      <c r="G568" s="475" t="inlineStr">
        <is>
          <t>East-Up1</t>
        </is>
      </c>
      <c r="H568" s="486" t="n">
        <v>2646.17</v>
      </c>
      <c r="I568" s="486" t="n">
        <v>0</v>
      </c>
      <c r="J568" s="486" t="n">
        <v>0</v>
      </c>
      <c r="K568" s="486" t="n">
        <v>56</v>
      </c>
      <c r="L568" s="486" t="n">
        <v>4</v>
      </c>
      <c r="M568" s="487" t="inlineStr">
        <is>
          <t>T</t>
        </is>
      </c>
    </row>
    <row r="569">
      <c r="A569" s="486" t="n">
        <v>9</v>
      </c>
      <c r="B569" s="486" t="n">
        <v>2</v>
      </c>
      <c r="C569" s="486" t="n">
        <v>2</v>
      </c>
      <c r="D569" s="486" t="n">
        <v>2</v>
      </c>
      <c r="E569" s="486" t="n">
        <v>2</v>
      </c>
      <c r="F569" s="486" t="n">
        <v>2</v>
      </c>
      <c r="G569" s="486" t="inlineStr">
        <is>
          <t>East-Down1</t>
        </is>
      </c>
      <c r="H569" s="486" t="n">
        <v>2636.57</v>
      </c>
      <c r="I569" s="486" t="n">
        <v>0</v>
      </c>
      <c r="J569" s="486" t="n">
        <v>4</v>
      </c>
      <c r="K569" s="486" t="n">
        <v>44</v>
      </c>
      <c r="L569" s="486" t="n">
        <v>4</v>
      </c>
      <c r="M569" s="487" t="inlineStr">
        <is>
          <t>T</t>
        </is>
      </c>
    </row>
    <row r="570">
      <c r="A570" s="486" t="n">
        <v>9</v>
      </c>
      <c r="B570" s="486" t="n">
        <v>2</v>
      </c>
      <c r="C570" s="486" t="n">
        <v>2</v>
      </c>
      <c r="D570" s="486" t="n">
        <v>2</v>
      </c>
      <c r="E570" s="486" t="n">
        <v>2</v>
      </c>
      <c r="F570" s="486" t="n">
        <v>2</v>
      </c>
      <c r="G570" s="486" t="inlineStr">
        <is>
          <t>East-Down2</t>
        </is>
      </c>
      <c r="H570" s="486" t="n">
        <v>0</v>
      </c>
      <c r="I570" s="486" t="n">
        <v>0</v>
      </c>
      <c r="J570" s="486" t="n">
        <v>0</v>
      </c>
      <c r="K570" s="486" t="n">
        <v>0</v>
      </c>
      <c r="L570" s="486" t="n">
        <v>0</v>
      </c>
      <c r="M570" s="487" t="inlineStr">
        <is>
          <t>T</t>
        </is>
      </c>
    </row>
    <row r="571">
      <c r="A571" s="486" t="n">
        <v>9</v>
      </c>
      <c r="B571" s="486" t="n">
        <v>2</v>
      </c>
      <c r="C571" s="486" t="n">
        <v>2</v>
      </c>
      <c r="D571" s="486" t="n">
        <v>2</v>
      </c>
      <c r="E571" s="486" t="n">
        <v>2</v>
      </c>
      <c r="F571" s="486" t="n">
        <v>2</v>
      </c>
      <c r="G571" s="486" t="inlineStr">
        <is>
          <t>North-Left2</t>
        </is>
      </c>
      <c r="H571" s="486" t="n">
        <v>0</v>
      </c>
      <c r="I571" s="486" t="n">
        <v>0</v>
      </c>
      <c r="J571" s="486" t="n">
        <v>0</v>
      </c>
      <c r="K571" s="486" t="n">
        <v>0</v>
      </c>
      <c r="L571" s="486" t="n">
        <v>0</v>
      </c>
      <c r="M571" s="487" t="inlineStr">
        <is>
          <t>T</t>
        </is>
      </c>
    </row>
    <row r="572">
      <c r="A572" s="486" t="n">
        <v>9</v>
      </c>
      <c r="B572" s="486" t="n">
        <v>2</v>
      </c>
      <c r="C572" s="486" t="n">
        <v>2</v>
      </c>
      <c r="D572" s="486" t="n">
        <v>2</v>
      </c>
      <c r="E572" s="486" t="n">
        <v>2</v>
      </c>
      <c r="F572" s="486" t="n">
        <v>2</v>
      </c>
      <c r="G572" s="475" t="inlineStr">
        <is>
          <t>North-Left1</t>
        </is>
      </c>
      <c r="H572" s="486" t="n">
        <v>2637.03</v>
      </c>
      <c r="I572" s="486" t="n">
        <v>89</v>
      </c>
      <c r="J572" s="486" t="n">
        <v>22</v>
      </c>
      <c r="K572" s="486" t="n">
        <v>18</v>
      </c>
      <c r="L572" s="486" t="n">
        <v>3</v>
      </c>
      <c r="M572" s="487" t="inlineStr">
        <is>
          <t>T</t>
        </is>
      </c>
    </row>
    <row r="573">
      <c r="A573" s="486" t="n">
        <v>9</v>
      </c>
      <c r="B573" s="486" t="n">
        <v>2</v>
      </c>
      <c r="C573" s="486" t="n">
        <v>2</v>
      </c>
      <c r="D573" s="486" t="n">
        <v>2</v>
      </c>
      <c r="E573" s="486" t="n">
        <v>2</v>
      </c>
      <c r="F573" s="486" t="n">
        <v>2</v>
      </c>
      <c r="G573" s="486" t="inlineStr">
        <is>
          <t>North-Right1</t>
        </is>
      </c>
      <c r="H573" s="486" t="n">
        <v>2636.95</v>
      </c>
      <c r="I573" s="486" t="n">
        <v>89</v>
      </c>
      <c r="J573" s="486" t="n">
        <v>22</v>
      </c>
      <c r="K573" s="486" t="n">
        <v>11</v>
      </c>
      <c r="L573" s="486" t="n">
        <v>3</v>
      </c>
      <c r="M573" s="487" t="inlineStr">
        <is>
          <t>T</t>
        </is>
      </c>
    </row>
    <row r="574">
      <c r="A574" s="486" t="n">
        <v>9</v>
      </c>
      <c r="B574" s="486" t="n">
        <v>2</v>
      </c>
      <c r="C574" s="486" t="n">
        <v>2</v>
      </c>
      <c r="D574" s="486" t="n">
        <v>2</v>
      </c>
      <c r="E574" s="486" t="n">
        <v>2</v>
      </c>
      <c r="F574" s="486" t="n">
        <v>2</v>
      </c>
      <c r="G574" s="486" t="inlineStr">
        <is>
          <t>North-Right2</t>
        </is>
      </c>
      <c r="H574" s="486" t="n">
        <v>0</v>
      </c>
      <c r="I574" s="486" t="n">
        <v>0</v>
      </c>
      <c r="J574" s="486" t="n">
        <v>0</v>
      </c>
      <c r="K574" s="486" t="n">
        <v>0</v>
      </c>
      <c r="L574" s="486" t="n">
        <v>0</v>
      </c>
      <c r="M574" s="487" t="inlineStr">
        <is>
          <t>T</t>
        </is>
      </c>
    </row>
    <row r="575">
      <c r="A575" s="486" t="n">
        <v>9</v>
      </c>
      <c r="B575" s="486" t="n">
        <v>2</v>
      </c>
      <c r="C575" s="486" t="n">
        <v>2</v>
      </c>
      <c r="D575" s="486" t="n">
        <v>2</v>
      </c>
      <c r="E575" s="486" t="n">
        <v>2</v>
      </c>
      <c r="F575" s="486" t="n">
        <v>2</v>
      </c>
      <c r="G575" s="486" t="inlineStr">
        <is>
          <t>South-Left2</t>
        </is>
      </c>
      <c r="H575" s="486" t="n">
        <v>0</v>
      </c>
      <c r="I575" s="486" t="n">
        <v>0</v>
      </c>
      <c r="J575" s="486" t="n">
        <v>0</v>
      </c>
      <c r="K575" s="486" t="n">
        <v>0</v>
      </c>
      <c r="L575" s="486" t="n">
        <v>0</v>
      </c>
      <c r="M575" s="487" t="inlineStr">
        <is>
          <t>T</t>
        </is>
      </c>
    </row>
    <row r="576">
      <c r="A576" s="486" t="n">
        <v>9</v>
      </c>
      <c r="B576" s="486" t="n">
        <v>2</v>
      </c>
      <c r="C576" s="486" t="n">
        <v>2</v>
      </c>
      <c r="D576" s="486" t="n">
        <v>2</v>
      </c>
      <c r="E576" s="486" t="n">
        <v>2</v>
      </c>
      <c r="F576" s="486" t="n">
        <v>2</v>
      </c>
      <c r="G576" s="475" t="inlineStr">
        <is>
          <t>South-Left1</t>
        </is>
      </c>
      <c r="H576" s="486" t="n">
        <v>2640.94</v>
      </c>
      <c r="I576" s="486" t="n">
        <v>89</v>
      </c>
      <c r="J576" s="486" t="n">
        <v>49</v>
      </c>
      <c r="K576" s="486" t="n">
        <v>41</v>
      </c>
      <c r="L576" s="486" t="n">
        <v>3</v>
      </c>
      <c r="M576" s="487" t="inlineStr">
        <is>
          <t>T</t>
        </is>
      </c>
    </row>
    <row r="577">
      <c r="A577" s="486" t="n">
        <v>9</v>
      </c>
      <c r="B577" s="486" t="n">
        <v>2</v>
      </c>
      <c r="C577" s="486" t="n">
        <v>2</v>
      </c>
      <c r="D577" s="486" t="n">
        <v>2</v>
      </c>
      <c r="E577" s="486" t="n">
        <v>2</v>
      </c>
      <c r="F577" s="486" t="n">
        <v>2</v>
      </c>
      <c r="G577" s="486" t="inlineStr">
        <is>
          <t>South-Right1</t>
        </is>
      </c>
      <c r="H577" s="486" t="n">
        <v>2640.99</v>
      </c>
      <c r="I577" s="486" t="n">
        <v>89</v>
      </c>
      <c r="J577" s="486" t="n">
        <v>40</v>
      </c>
      <c r="K577" s="486" t="n">
        <v>43</v>
      </c>
      <c r="L577" s="486" t="n">
        <v>3</v>
      </c>
      <c r="M577" s="487" t="inlineStr">
        <is>
          <t>T</t>
        </is>
      </c>
    </row>
    <row r="578">
      <c r="A578" s="486" t="n">
        <v>9</v>
      </c>
      <c r="B578" s="486" t="n">
        <v>2</v>
      </c>
      <c r="C578" s="486" t="n">
        <v>2</v>
      </c>
      <c r="D578" s="486" t="n">
        <v>2</v>
      </c>
      <c r="E578" s="486" t="n">
        <v>2</v>
      </c>
      <c r="F578" s="486" t="n">
        <v>2</v>
      </c>
      <c r="G578" s="486" t="inlineStr">
        <is>
          <t>South-Right2</t>
        </is>
      </c>
      <c r="H578" s="486" t="n">
        <v>0</v>
      </c>
      <c r="I578" s="486" t="n">
        <v>0</v>
      </c>
      <c r="J578" s="486" t="n">
        <v>0</v>
      </c>
      <c r="K578" s="486" t="n">
        <v>0</v>
      </c>
      <c r="L578" s="486" t="n">
        <v>0</v>
      </c>
      <c r="M578" s="487" t="inlineStr">
        <is>
          <t>T</t>
        </is>
      </c>
    </row>
    <row r="579">
      <c r="A579" s="486" t="n">
        <v>9</v>
      </c>
      <c r="B579" s="486" t="n">
        <v>2</v>
      </c>
      <c r="C579" s="486" t="n">
        <v>2</v>
      </c>
      <c r="D579" s="486" t="n">
        <v>3</v>
      </c>
      <c r="E579" s="486" t="n">
        <v>2</v>
      </c>
      <c r="F579" s="486" t="n">
        <v>2</v>
      </c>
      <c r="G579" s="486" t="inlineStr">
        <is>
          <t>West-Up2</t>
        </is>
      </c>
      <c r="H579" s="486" t="n">
        <v>0</v>
      </c>
      <c r="I579" s="486" t="n">
        <v>0</v>
      </c>
      <c r="J579" s="486" t="n">
        <v>0</v>
      </c>
      <c r="K579" s="486" t="n">
        <v>0</v>
      </c>
      <c r="L579" s="486" t="n">
        <v>0</v>
      </c>
      <c r="M579" s="487" t="inlineStr">
        <is>
          <t>T</t>
        </is>
      </c>
    </row>
    <row r="580">
      <c r="A580" s="486" t="n">
        <v>9</v>
      </c>
      <c r="B580" s="486" t="n">
        <v>2</v>
      </c>
      <c r="C580" s="486" t="n">
        <v>2</v>
      </c>
      <c r="D580" s="486" t="n">
        <v>3</v>
      </c>
      <c r="E580" s="486" t="n">
        <v>2</v>
      </c>
      <c r="F580" s="486" t="n">
        <v>2</v>
      </c>
      <c r="G580" s="475" t="inlineStr">
        <is>
          <t>West-Up1</t>
        </is>
      </c>
      <c r="H580" s="486" t="n">
        <v>2618.71</v>
      </c>
      <c r="I580" s="486" t="n">
        <v>0</v>
      </c>
      <c r="J580" s="486" t="n">
        <v>23</v>
      </c>
      <c r="K580" s="486" t="n">
        <v>17</v>
      </c>
      <c r="L580" s="486" t="n">
        <v>2</v>
      </c>
      <c r="M580" s="487" t="inlineStr">
        <is>
          <t>T</t>
        </is>
      </c>
    </row>
    <row r="581">
      <c r="A581" s="486" t="n">
        <v>9</v>
      </c>
      <c r="B581" s="486" t="n">
        <v>2</v>
      </c>
      <c r="C581" s="486" t="n">
        <v>2</v>
      </c>
      <c r="D581" s="486" t="n">
        <v>3</v>
      </c>
      <c r="E581" s="486" t="n">
        <v>2</v>
      </c>
      <c r="F581" s="486" t="n">
        <v>2</v>
      </c>
      <c r="G581" s="486" t="inlineStr">
        <is>
          <t>West-Down1</t>
        </is>
      </c>
      <c r="H581" s="486" t="n">
        <v>2632.19</v>
      </c>
      <c r="I581" s="486" t="n">
        <v>0</v>
      </c>
      <c r="J581" s="486" t="n">
        <v>10</v>
      </c>
      <c r="K581" s="486" t="n">
        <v>47</v>
      </c>
      <c r="L581" s="486" t="n">
        <v>2</v>
      </c>
      <c r="M581" s="487" t="inlineStr">
        <is>
          <t>T</t>
        </is>
      </c>
    </row>
    <row r="582">
      <c r="A582" s="486" t="n">
        <v>9</v>
      </c>
      <c r="B582" s="486" t="n">
        <v>2</v>
      </c>
      <c r="C582" s="486" t="n">
        <v>2</v>
      </c>
      <c r="D582" s="486" t="n">
        <v>3</v>
      </c>
      <c r="E582" s="486" t="n">
        <v>2</v>
      </c>
      <c r="F582" s="486" t="n">
        <v>2</v>
      </c>
      <c r="G582" s="486" t="inlineStr">
        <is>
          <t>West-Down2</t>
        </is>
      </c>
      <c r="H582" s="486" t="n">
        <v>0</v>
      </c>
      <c r="I582" s="486" t="n">
        <v>0</v>
      </c>
      <c r="J582" s="486" t="n">
        <v>0</v>
      </c>
      <c r="K582" s="486" t="n">
        <v>0</v>
      </c>
      <c r="L582" s="486" t="n">
        <v>0</v>
      </c>
      <c r="M582" s="487" t="inlineStr">
        <is>
          <t>T</t>
        </is>
      </c>
    </row>
    <row r="583">
      <c r="A583" s="486" t="n">
        <v>9</v>
      </c>
      <c r="B583" s="486" t="n">
        <v>2</v>
      </c>
      <c r="C583" s="486" t="n">
        <v>2</v>
      </c>
      <c r="D583" s="486" t="n">
        <v>3</v>
      </c>
      <c r="E583" s="486" t="n">
        <v>2</v>
      </c>
      <c r="F583" s="486" t="n">
        <v>2</v>
      </c>
      <c r="G583" s="486" t="inlineStr">
        <is>
          <t>East-Up2</t>
        </is>
      </c>
      <c r="H583" s="486" t="n">
        <v>1312.7</v>
      </c>
      <c r="I583" s="486" t="n">
        <v>0</v>
      </c>
      <c r="J583" s="486" t="n">
        <v>36</v>
      </c>
      <c r="K583" s="486" t="n">
        <v>29</v>
      </c>
      <c r="L583" s="486" t="n">
        <v>2</v>
      </c>
      <c r="M583" s="487" t="inlineStr">
        <is>
          <t>T</t>
        </is>
      </c>
    </row>
    <row r="584">
      <c r="A584" s="486" t="n">
        <v>9</v>
      </c>
      <c r="B584" s="486" t="n">
        <v>2</v>
      </c>
      <c r="C584" s="486" t="n">
        <v>2</v>
      </c>
      <c r="D584" s="486" t="n">
        <v>3</v>
      </c>
      <c r="E584" s="486" t="n">
        <v>2</v>
      </c>
      <c r="F584" s="486" t="n">
        <v>2</v>
      </c>
      <c r="G584" s="475" t="inlineStr">
        <is>
          <t>East-Up1</t>
        </is>
      </c>
      <c r="H584" s="486" t="n">
        <v>1318.36</v>
      </c>
      <c r="I584" s="486" t="n">
        <v>0</v>
      </c>
      <c r="J584" s="486" t="n">
        <v>19</v>
      </c>
      <c r="K584" s="486" t="n">
        <v>37</v>
      </c>
      <c r="L584" s="486" t="n">
        <v>2</v>
      </c>
      <c r="M584" s="487" t="inlineStr">
        <is>
          <t>T</t>
        </is>
      </c>
    </row>
    <row r="585">
      <c r="A585" s="486" t="n">
        <v>9</v>
      </c>
      <c r="B585" s="486" t="n">
        <v>2</v>
      </c>
      <c r="C585" s="486" t="n">
        <v>2</v>
      </c>
      <c r="D585" s="486" t="n">
        <v>3</v>
      </c>
      <c r="E585" s="486" t="n">
        <v>2</v>
      </c>
      <c r="F585" s="486" t="n">
        <v>2</v>
      </c>
      <c r="G585" s="486" t="inlineStr">
        <is>
          <t>East-Down1</t>
        </is>
      </c>
      <c r="H585" s="486" t="n">
        <v>2628.39</v>
      </c>
      <c r="I585" s="486" t="n">
        <v>0</v>
      </c>
      <c r="J585" s="486" t="n">
        <v>12</v>
      </c>
      <c r="K585" s="486" t="n">
        <v>23</v>
      </c>
      <c r="L585" s="486" t="n">
        <v>2</v>
      </c>
      <c r="M585" s="487" t="inlineStr">
        <is>
          <t>T</t>
        </is>
      </c>
    </row>
    <row r="586">
      <c r="A586" s="486" t="n">
        <v>9</v>
      </c>
      <c r="B586" s="486" t="n">
        <v>2</v>
      </c>
      <c r="C586" s="486" t="n">
        <v>2</v>
      </c>
      <c r="D586" s="486" t="n">
        <v>3</v>
      </c>
      <c r="E586" s="486" t="n">
        <v>2</v>
      </c>
      <c r="F586" s="486" t="n">
        <v>2</v>
      </c>
      <c r="G586" s="486" t="inlineStr">
        <is>
          <t>East-Down2</t>
        </is>
      </c>
      <c r="H586" s="486" t="n">
        <v>0</v>
      </c>
      <c r="I586" s="486" t="n">
        <v>0</v>
      </c>
      <c r="J586" s="486" t="n">
        <v>0</v>
      </c>
      <c r="K586" s="486" t="n">
        <v>0</v>
      </c>
      <c r="L586" s="486" t="n">
        <v>0</v>
      </c>
      <c r="M586" s="487" t="inlineStr">
        <is>
          <t>T</t>
        </is>
      </c>
    </row>
    <row r="587">
      <c r="A587" s="486" t="n">
        <v>9</v>
      </c>
      <c r="B587" s="486" t="n">
        <v>2</v>
      </c>
      <c r="C587" s="486" t="n">
        <v>2</v>
      </c>
      <c r="D587" s="486" t="n">
        <v>3</v>
      </c>
      <c r="E587" s="486" t="n">
        <v>2</v>
      </c>
      <c r="F587" s="486" t="n">
        <v>2</v>
      </c>
      <c r="G587" s="486" t="inlineStr">
        <is>
          <t>North-Left2</t>
        </is>
      </c>
      <c r="H587" s="486" t="n">
        <v>0</v>
      </c>
      <c r="I587" s="486" t="n">
        <v>0</v>
      </c>
      <c r="J587" s="486" t="n">
        <v>0</v>
      </c>
      <c r="K587" s="486" t="n">
        <v>0</v>
      </c>
      <c r="L587" s="486" t="n">
        <v>0</v>
      </c>
      <c r="M587" s="487" t="inlineStr">
        <is>
          <t>T</t>
        </is>
      </c>
    </row>
    <row r="588">
      <c r="A588" s="486" t="n">
        <v>9</v>
      </c>
      <c r="B588" s="486" t="n">
        <v>2</v>
      </c>
      <c r="C588" s="486" t="n">
        <v>2</v>
      </c>
      <c r="D588" s="486" t="n">
        <v>3</v>
      </c>
      <c r="E588" s="486" t="n">
        <v>2</v>
      </c>
      <c r="F588" s="486" t="n">
        <v>2</v>
      </c>
      <c r="G588" s="475" t="inlineStr">
        <is>
          <t>North-Left1</t>
        </is>
      </c>
      <c r="H588" s="486" t="n">
        <v>2632.94</v>
      </c>
      <c r="I588" s="486" t="n">
        <v>89</v>
      </c>
      <c r="J588" s="486" t="n">
        <v>47</v>
      </c>
      <c r="K588" s="486" t="n">
        <v>11</v>
      </c>
      <c r="L588" s="486" t="n">
        <v>4</v>
      </c>
      <c r="M588" s="487" t="inlineStr">
        <is>
          <t>T</t>
        </is>
      </c>
    </row>
    <row r="589">
      <c r="A589" s="486" t="n">
        <v>9</v>
      </c>
      <c r="B589" s="486" t="n">
        <v>2</v>
      </c>
      <c r="C589" s="486" t="n">
        <v>2</v>
      </c>
      <c r="D589" s="486" t="n">
        <v>3</v>
      </c>
      <c r="E589" s="486" t="n">
        <v>2</v>
      </c>
      <c r="F589" s="486" t="n">
        <v>2</v>
      </c>
      <c r="G589" s="486" t="inlineStr">
        <is>
          <t>North-Right1</t>
        </is>
      </c>
      <c r="H589" s="486" t="n">
        <v>1320.77</v>
      </c>
      <c r="I589" s="486" t="n">
        <v>89</v>
      </c>
      <c r="J589" s="486" t="n">
        <v>28</v>
      </c>
      <c r="K589" s="486" t="n">
        <v>39</v>
      </c>
      <c r="L589" s="486" t="n">
        <v>4</v>
      </c>
      <c r="M589" s="487" t="inlineStr">
        <is>
          <t>T</t>
        </is>
      </c>
    </row>
    <row r="590">
      <c r="A590" s="486" t="n">
        <v>9</v>
      </c>
      <c r="B590" s="486" t="n">
        <v>2</v>
      </c>
      <c r="C590" s="486" t="n">
        <v>2</v>
      </c>
      <c r="D590" s="486" t="n">
        <v>3</v>
      </c>
      <c r="E590" s="486" t="n">
        <v>2</v>
      </c>
      <c r="F590" s="486" t="n">
        <v>2</v>
      </c>
      <c r="G590" s="486" t="inlineStr">
        <is>
          <t>North-Right2</t>
        </is>
      </c>
      <c r="H590" s="486" t="n">
        <v>1324.24</v>
      </c>
      <c r="I590" s="486" t="n">
        <v>89</v>
      </c>
      <c r="J590" s="486" t="n">
        <v>25</v>
      </c>
      <c r="K590" s="486" t="n">
        <v>30</v>
      </c>
      <c r="L590" s="486" t="n">
        <v>4</v>
      </c>
      <c r="M590" s="487" t="inlineStr">
        <is>
          <t>T</t>
        </is>
      </c>
    </row>
    <row r="591">
      <c r="A591" s="486" t="n">
        <v>9</v>
      </c>
      <c r="B591" s="486" t="n">
        <v>2</v>
      </c>
      <c r="C591" s="486" t="n">
        <v>2</v>
      </c>
      <c r="D591" s="486" t="n">
        <v>3</v>
      </c>
      <c r="E591" s="486" t="n">
        <v>2</v>
      </c>
      <c r="F591" s="486" t="n">
        <v>2</v>
      </c>
      <c r="G591" s="486" t="inlineStr">
        <is>
          <t>South-Left2</t>
        </is>
      </c>
      <c r="H591" s="486" t="n">
        <v>0</v>
      </c>
      <c r="I591" s="486" t="n">
        <v>0</v>
      </c>
      <c r="J591" s="486" t="n">
        <v>0</v>
      </c>
      <c r="K591" s="486" t="n">
        <v>0</v>
      </c>
      <c r="L591" s="486" t="n">
        <v>0</v>
      </c>
      <c r="M591" s="487" t="inlineStr">
        <is>
          <t>T</t>
        </is>
      </c>
    </row>
    <row r="592">
      <c r="A592" s="486" t="n">
        <v>9</v>
      </c>
      <c r="B592" s="486" t="n">
        <v>2</v>
      </c>
      <c r="C592" s="486" t="n">
        <v>2</v>
      </c>
      <c r="D592" s="486" t="n">
        <v>3</v>
      </c>
      <c r="E592" s="486" t="n">
        <v>2</v>
      </c>
      <c r="F592" s="486" t="n">
        <v>2</v>
      </c>
      <c r="G592" s="475" t="inlineStr">
        <is>
          <t>South-Left1</t>
        </is>
      </c>
      <c r="H592" s="486" t="n">
        <v>5293.05</v>
      </c>
      <c r="I592" s="486" t="n">
        <v>89</v>
      </c>
      <c r="J592" s="486" t="n">
        <v>31</v>
      </c>
      <c r="K592" s="486" t="n">
        <v>32</v>
      </c>
      <c r="L592" s="486" t="n">
        <v>4</v>
      </c>
      <c r="M592" s="487" t="inlineStr">
        <is>
          <t>T</t>
        </is>
      </c>
    </row>
    <row r="593">
      <c r="A593" s="486" t="n">
        <v>9</v>
      </c>
      <c r="B593" s="486" t="n">
        <v>2</v>
      </c>
      <c r="C593" s="486" t="n">
        <v>2</v>
      </c>
      <c r="D593" s="486" t="n">
        <v>3</v>
      </c>
      <c r="E593" s="486" t="n">
        <v>2</v>
      </c>
      <c r="F593" s="486" t="n">
        <v>2</v>
      </c>
      <c r="G593" s="486" t="inlineStr">
        <is>
          <t>South-Right1</t>
        </is>
      </c>
      <c r="H593" s="486" t="n">
        <v>0</v>
      </c>
      <c r="I593" s="486" t="n">
        <v>0</v>
      </c>
      <c r="J593" s="486" t="n">
        <v>0</v>
      </c>
      <c r="K593" s="486" t="n">
        <v>0</v>
      </c>
      <c r="L593" s="486" t="n">
        <v>0</v>
      </c>
      <c r="M593" s="487" t="inlineStr">
        <is>
          <t>T</t>
        </is>
      </c>
    </row>
    <row r="594">
      <c r="A594" s="486" t="n">
        <v>9</v>
      </c>
      <c r="B594" s="486" t="n">
        <v>2</v>
      </c>
      <c r="C594" s="486" t="n">
        <v>2</v>
      </c>
      <c r="D594" s="486" t="n">
        <v>3</v>
      </c>
      <c r="E594" s="486" t="n">
        <v>2</v>
      </c>
      <c r="F594" s="486" t="n">
        <v>2</v>
      </c>
      <c r="G594" s="486" t="inlineStr">
        <is>
          <t>South-Right2</t>
        </is>
      </c>
      <c r="H594" s="486" t="n">
        <v>0</v>
      </c>
      <c r="I594" s="486" t="n">
        <v>0</v>
      </c>
      <c r="J594" s="486" t="n">
        <v>0</v>
      </c>
      <c r="K594" s="486" t="n">
        <v>0</v>
      </c>
      <c r="L594" s="486" t="n">
        <v>0</v>
      </c>
      <c r="M594" s="487" t="inlineStr">
        <is>
          <t>T</t>
        </is>
      </c>
    </row>
    <row r="595">
      <c r="A595" s="485" t="n">
        <v>9</v>
      </c>
      <c r="B595" s="485" t="n">
        <v>3</v>
      </c>
      <c r="C595" s="485" t="n">
        <v>2</v>
      </c>
      <c r="D595" s="485" t="n">
        <v>2</v>
      </c>
      <c r="E595" s="485" t="n">
        <v>2</v>
      </c>
      <c r="F595" s="485" t="n">
        <v>2</v>
      </c>
      <c r="G595" s="485" t="inlineStr">
        <is>
          <t>West-Up2</t>
        </is>
      </c>
      <c r="H595" s="485" t="n">
        <v>0</v>
      </c>
      <c r="I595" s="485" t="n">
        <v>0</v>
      </c>
      <c r="J595" s="485" t="n">
        <v>0</v>
      </c>
      <c r="K595" s="485" t="n">
        <v>0</v>
      </c>
      <c r="L595" s="485" t="n">
        <v>0</v>
      </c>
      <c r="M595" s="514" t="inlineStr">
        <is>
          <t>G</t>
        </is>
      </c>
    </row>
    <row r="596">
      <c r="A596" s="485" t="n">
        <v>9</v>
      </c>
      <c r="B596" s="485" t="n">
        <v>3</v>
      </c>
      <c r="C596" s="485" t="n">
        <v>2</v>
      </c>
      <c r="D596" s="485" t="n">
        <v>2</v>
      </c>
      <c r="E596" s="485" t="n">
        <v>2</v>
      </c>
      <c r="F596" s="485" t="n">
        <v>2</v>
      </c>
      <c r="G596" s="516" t="inlineStr">
        <is>
          <t>West-Up1</t>
        </is>
      </c>
      <c r="H596" s="485" t="n">
        <v>5272.26</v>
      </c>
      <c r="I596" s="485" t="n">
        <v>0</v>
      </c>
      <c r="J596" s="485" t="n">
        <v>2</v>
      </c>
      <c r="K596" s="485" t="n">
        <v>45</v>
      </c>
      <c r="L596" s="485" t="n">
        <v>3</v>
      </c>
      <c r="M596" s="514" t="inlineStr">
        <is>
          <t>G</t>
        </is>
      </c>
    </row>
    <row r="597">
      <c r="A597" s="485" t="n">
        <v>9</v>
      </c>
      <c r="B597" s="485" t="n">
        <v>3</v>
      </c>
      <c r="C597" s="485" t="n">
        <v>2</v>
      </c>
      <c r="D597" s="485" t="n">
        <v>2</v>
      </c>
      <c r="E597" s="485" t="n">
        <v>2</v>
      </c>
      <c r="F597" s="485" t="n">
        <v>2</v>
      </c>
      <c r="G597" s="485" t="inlineStr">
        <is>
          <t>West-Down1</t>
        </is>
      </c>
      <c r="H597" s="485" t="n">
        <v>0</v>
      </c>
      <c r="I597" s="485" t="n">
        <v>0</v>
      </c>
      <c r="J597" s="485" t="n">
        <v>0</v>
      </c>
      <c r="K597" s="485" t="n">
        <v>0</v>
      </c>
      <c r="L597" s="485" t="n">
        <v>0</v>
      </c>
      <c r="M597" s="514" t="inlineStr">
        <is>
          <t>G</t>
        </is>
      </c>
    </row>
    <row r="598">
      <c r="A598" s="485" t="n">
        <v>9</v>
      </c>
      <c r="B598" s="485" t="n">
        <v>3</v>
      </c>
      <c r="C598" s="485" t="n">
        <v>2</v>
      </c>
      <c r="D598" s="485" t="n">
        <v>2</v>
      </c>
      <c r="E598" s="485" t="n">
        <v>2</v>
      </c>
      <c r="F598" s="485" t="n">
        <v>2</v>
      </c>
      <c r="G598" s="485" t="inlineStr">
        <is>
          <t>West-Down2</t>
        </is>
      </c>
      <c r="H598" s="485" t="n">
        <v>0</v>
      </c>
      <c r="I598" s="485" t="n">
        <v>0</v>
      </c>
      <c r="J598" s="485" t="n">
        <v>0</v>
      </c>
      <c r="K598" s="485" t="n">
        <v>0</v>
      </c>
      <c r="L598" s="485" t="n">
        <v>0</v>
      </c>
      <c r="M598" s="514" t="inlineStr">
        <is>
          <t>G</t>
        </is>
      </c>
    </row>
    <row r="599">
      <c r="A599" s="485" t="n">
        <v>9</v>
      </c>
      <c r="B599" s="485" t="n">
        <v>3</v>
      </c>
      <c r="C599" s="485" t="n">
        <v>2</v>
      </c>
      <c r="D599" s="485" t="n">
        <v>2</v>
      </c>
      <c r="E599" s="485" t="n">
        <v>2</v>
      </c>
      <c r="F599" s="485" t="n">
        <v>2</v>
      </c>
      <c r="G599" s="485" t="inlineStr">
        <is>
          <t>East-Up2</t>
        </is>
      </c>
      <c r="H599" s="485" t="n">
        <v>0</v>
      </c>
      <c r="I599" s="485" t="n">
        <v>0</v>
      </c>
      <c r="J599" s="485" t="n">
        <v>0</v>
      </c>
      <c r="K599" s="485" t="n">
        <v>0</v>
      </c>
      <c r="L599" s="485" t="n">
        <v>0</v>
      </c>
      <c r="M599" s="514" t="inlineStr">
        <is>
          <t>G</t>
        </is>
      </c>
    </row>
    <row r="600">
      <c r="A600" s="485" t="n">
        <v>9</v>
      </c>
      <c r="B600" s="485" t="n">
        <v>3</v>
      </c>
      <c r="C600" s="485" t="n">
        <v>2</v>
      </c>
      <c r="D600" s="485" t="n">
        <v>2</v>
      </c>
      <c r="E600" s="485" t="n">
        <v>2</v>
      </c>
      <c r="F600" s="485" t="n">
        <v>2</v>
      </c>
      <c r="G600" s="516" t="inlineStr">
        <is>
          <t>East-Up1</t>
        </is>
      </c>
      <c r="H600" s="485" t="n">
        <v>3936.83</v>
      </c>
      <c r="I600" s="485" t="n">
        <v>0</v>
      </c>
      <c r="J600" s="485" t="n">
        <v>0</v>
      </c>
      <c r="K600" s="485" t="n">
        <v>39</v>
      </c>
      <c r="L600" s="485" t="n">
        <v>2</v>
      </c>
      <c r="M600" s="514" t="inlineStr">
        <is>
          <t>G</t>
        </is>
      </c>
    </row>
    <row r="601">
      <c r="A601" s="485" t="n">
        <v>9</v>
      </c>
      <c r="B601" s="485" t="n">
        <v>3</v>
      </c>
      <c r="C601" s="485" t="n">
        <v>2</v>
      </c>
      <c r="D601" s="485" t="n">
        <v>2</v>
      </c>
      <c r="E601" s="485" t="n">
        <v>2</v>
      </c>
      <c r="F601" s="485" t="n">
        <v>2</v>
      </c>
      <c r="G601" s="485" t="inlineStr">
        <is>
          <t>East-Down1</t>
        </is>
      </c>
      <c r="H601" s="485" t="n">
        <v>0</v>
      </c>
      <c r="I601" s="485" t="n">
        <v>0</v>
      </c>
      <c r="J601" s="485" t="n">
        <v>0</v>
      </c>
      <c r="K601" s="485" t="n">
        <v>0</v>
      </c>
      <c r="L601" s="485" t="n">
        <v>0</v>
      </c>
      <c r="M601" s="514" t="inlineStr">
        <is>
          <t>G</t>
        </is>
      </c>
    </row>
    <row r="602">
      <c r="A602" s="485" t="n">
        <v>9</v>
      </c>
      <c r="B602" s="485" t="n">
        <v>3</v>
      </c>
      <c r="C602" s="485" t="n">
        <v>2</v>
      </c>
      <c r="D602" s="485" t="n">
        <v>2</v>
      </c>
      <c r="E602" s="485" t="n">
        <v>2</v>
      </c>
      <c r="F602" s="485" t="n">
        <v>2</v>
      </c>
      <c r="G602" s="485" t="inlineStr">
        <is>
          <t>East-Down2</t>
        </is>
      </c>
      <c r="H602" s="485" t="n">
        <v>1319.91</v>
      </c>
      <c r="I602" s="485" t="n">
        <v>0</v>
      </c>
      <c r="J602" s="485" t="n">
        <v>5</v>
      </c>
      <c r="K602" s="485" t="n">
        <v>19</v>
      </c>
      <c r="L602" s="485" t="n">
        <v>3</v>
      </c>
      <c r="M602" s="514" t="inlineStr">
        <is>
          <t>G</t>
        </is>
      </c>
    </row>
    <row r="603">
      <c r="A603" s="485" t="n">
        <v>9</v>
      </c>
      <c r="B603" s="485" t="n">
        <v>3</v>
      </c>
      <c r="C603" s="485" t="n">
        <v>2</v>
      </c>
      <c r="D603" s="485" t="n">
        <v>2</v>
      </c>
      <c r="E603" s="485" t="n">
        <v>2</v>
      </c>
      <c r="F603" s="485" t="n">
        <v>2</v>
      </c>
      <c r="G603" s="485" t="inlineStr">
        <is>
          <t>North-Left2</t>
        </is>
      </c>
      <c r="H603" s="485" t="n">
        <v>0</v>
      </c>
      <c r="I603" s="485" t="n">
        <v>0</v>
      </c>
      <c r="J603" s="485" t="n">
        <v>0</v>
      </c>
      <c r="K603" s="485" t="n">
        <v>0</v>
      </c>
      <c r="L603" s="485" t="n">
        <v>0</v>
      </c>
      <c r="M603" s="514" t="inlineStr">
        <is>
          <t>G</t>
        </is>
      </c>
    </row>
    <row r="604">
      <c r="A604" s="485" t="n">
        <v>9</v>
      </c>
      <c r="B604" s="485" t="n">
        <v>3</v>
      </c>
      <c r="C604" s="485" t="n">
        <v>2</v>
      </c>
      <c r="D604" s="485" t="n">
        <v>2</v>
      </c>
      <c r="E604" s="485" t="n">
        <v>2</v>
      </c>
      <c r="F604" s="485" t="n">
        <v>2</v>
      </c>
      <c r="G604" s="516" t="inlineStr">
        <is>
          <t>North-Left1</t>
        </is>
      </c>
      <c r="H604" s="485" t="n">
        <v>5292.72</v>
      </c>
      <c r="I604" s="485" t="n">
        <v>88</v>
      </c>
      <c r="J604" s="485" t="n">
        <v>50</v>
      </c>
      <c r="K604" s="485" t="n">
        <v>14</v>
      </c>
      <c r="L604" s="485" t="n">
        <v>2</v>
      </c>
      <c r="M604" s="514" t="inlineStr">
        <is>
          <t>G</t>
        </is>
      </c>
    </row>
    <row r="605">
      <c r="A605" s="485" t="n">
        <v>9</v>
      </c>
      <c r="B605" s="485" t="n">
        <v>3</v>
      </c>
      <c r="C605" s="485" t="n">
        <v>2</v>
      </c>
      <c r="D605" s="485" t="n">
        <v>2</v>
      </c>
      <c r="E605" s="485" t="n">
        <v>2</v>
      </c>
      <c r="F605" s="485" t="n">
        <v>2</v>
      </c>
      <c r="G605" s="485" t="inlineStr">
        <is>
          <t>North-Right1</t>
        </is>
      </c>
      <c r="H605" s="485" t="n">
        <v>0</v>
      </c>
      <c r="I605" s="485" t="n">
        <v>0</v>
      </c>
      <c r="J605" s="485" t="n">
        <v>0</v>
      </c>
      <c r="K605" s="485" t="n">
        <v>0</v>
      </c>
      <c r="L605" s="485" t="n">
        <v>0</v>
      </c>
      <c r="M605" s="514" t="inlineStr">
        <is>
          <t>G</t>
        </is>
      </c>
    </row>
    <row r="606">
      <c r="A606" s="485" t="n">
        <v>9</v>
      </c>
      <c r="B606" s="485" t="n">
        <v>3</v>
      </c>
      <c r="C606" s="485" t="n">
        <v>2</v>
      </c>
      <c r="D606" s="485" t="n">
        <v>2</v>
      </c>
      <c r="E606" s="485" t="n">
        <v>2</v>
      </c>
      <c r="F606" s="485" t="n">
        <v>2</v>
      </c>
      <c r="G606" s="485" t="inlineStr">
        <is>
          <t>North-Right2</t>
        </is>
      </c>
      <c r="H606" s="485" t="n">
        <v>0</v>
      </c>
      <c r="I606" s="485" t="n">
        <v>0</v>
      </c>
      <c r="J606" s="485" t="n">
        <v>0</v>
      </c>
      <c r="K606" s="485" t="n">
        <v>0</v>
      </c>
      <c r="L606" s="485" t="n">
        <v>0</v>
      </c>
      <c r="M606" s="514" t="inlineStr">
        <is>
          <t>G</t>
        </is>
      </c>
    </row>
    <row r="607">
      <c r="A607" s="485" t="n">
        <v>9</v>
      </c>
      <c r="B607" s="485" t="n">
        <v>3</v>
      </c>
      <c r="C607" s="485" t="n">
        <v>2</v>
      </c>
      <c r="D607" s="485" t="n">
        <v>2</v>
      </c>
      <c r="E607" s="485" t="n">
        <v>2</v>
      </c>
      <c r="F607" s="485" t="n">
        <v>2</v>
      </c>
      <c r="G607" s="485" t="inlineStr">
        <is>
          <t>South-Left2</t>
        </is>
      </c>
      <c r="H607" s="485" t="n">
        <v>0</v>
      </c>
      <c r="I607" s="485" t="n">
        <v>0</v>
      </c>
      <c r="J607" s="485" t="n">
        <v>0</v>
      </c>
      <c r="K607" s="485" t="n">
        <v>0</v>
      </c>
      <c r="L607" s="485" t="n">
        <v>0</v>
      </c>
      <c r="M607" s="514" t="inlineStr">
        <is>
          <t>G</t>
        </is>
      </c>
    </row>
    <row r="608">
      <c r="A608" s="485" t="n">
        <v>9</v>
      </c>
      <c r="B608" s="485" t="n">
        <v>3</v>
      </c>
      <c r="C608" s="485" t="n">
        <v>2</v>
      </c>
      <c r="D608" s="485" t="n">
        <v>2</v>
      </c>
      <c r="E608" s="485" t="n">
        <v>2</v>
      </c>
      <c r="F608" s="485" t="n">
        <v>2</v>
      </c>
      <c r="G608" s="516" t="inlineStr">
        <is>
          <t>South-Left1</t>
        </is>
      </c>
      <c r="H608" s="485" t="n">
        <v>5294.54</v>
      </c>
      <c r="I608" s="485" t="n">
        <v>88</v>
      </c>
      <c r="J608" s="485" t="n">
        <v>39</v>
      </c>
      <c r="K608" s="485" t="n">
        <v>21</v>
      </c>
      <c r="L608" s="485" t="n">
        <v>2</v>
      </c>
      <c r="M608" s="514" t="inlineStr">
        <is>
          <t>G</t>
        </is>
      </c>
    </row>
    <row r="609">
      <c r="A609" s="485" t="n">
        <v>9</v>
      </c>
      <c r="B609" s="485" t="n">
        <v>3</v>
      </c>
      <c r="C609" s="485" t="n">
        <v>2</v>
      </c>
      <c r="D609" s="485" t="n">
        <v>2</v>
      </c>
      <c r="E609" s="485" t="n">
        <v>2</v>
      </c>
      <c r="F609" s="485" t="n">
        <v>2</v>
      </c>
      <c r="G609" s="485" t="inlineStr">
        <is>
          <t>South-Right1</t>
        </is>
      </c>
      <c r="H609" s="485" t="n">
        <v>0</v>
      </c>
      <c r="I609" s="485" t="n">
        <v>0</v>
      </c>
      <c r="J609" s="485" t="n">
        <v>0</v>
      </c>
      <c r="K609" s="485" t="n">
        <v>0</v>
      </c>
      <c r="L609" s="485" t="n">
        <v>0</v>
      </c>
      <c r="M609" s="514" t="inlineStr">
        <is>
          <t>G</t>
        </is>
      </c>
    </row>
    <row r="610">
      <c r="A610" s="485" t="n">
        <v>9</v>
      </c>
      <c r="B610" s="485" t="n">
        <v>3</v>
      </c>
      <c r="C610" s="485" t="n">
        <v>2</v>
      </c>
      <c r="D610" s="485" t="n">
        <v>2</v>
      </c>
      <c r="E610" s="485" t="n">
        <v>2</v>
      </c>
      <c r="F610" s="485" t="n">
        <v>2</v>
      </c>
      <c r="G610" s="485" t="inlineStr">
        <is>
          <t>South-Right2</t>
        </is>
      </c>
      <c r="H610" s="485" t="n">
        <v>0</v>
      </c>
      <c r="I610" s="485" t="n">
        <v>0</v>
      </c>
      <c r="J610" s="485" t="n">
        <v>0</v>
      </c>
      <c r="K610" s="485" t="n">
        <v>0</v>
      </c>
      <c r="L610" s="485" t="n">
        <v>0</v>
      </c>
      <c r="M610" s="514" t="inlineStr">
        <is>
          <t>G</t>
        </is>
      </c>
    </row>
    <row r="611">
      <c r="A611" s="485" t="n">
        <v>10</v>
      </c>
      <c r="B611" s="485" t="n">
        <v>20</v>
      </c>
      <c r="C611" s="485" t="n">
        <v>2</v>
      </c>
      <c r="D611" s="485" t="n">
        <v>21</v>
      </c>
      <c r="E611" s="485" t="n">
        <v>1</v>
      </c>
      <c r="F611" s="485" t="n">
        <v>1</v>
      </c>
      <c r="G611" s="485" t="inlineStr">
        <is>
          <t>West-Up2</t>
        </is>
      </c>
      <c r="H611" s="485" t="n">
        <v>0</v>
      </c>
      <c r="I611" s="485" t="n">
        <v>0</v>
      </c>
      <c r="J611" s="485" t="n">
        <v>0</v>
      </c>
      <c r="K611" s="485" t="n">
        <v>0</v>
      </c>
      <c r="L611" s="485" t="n">
        <v>0</v>
      </c>
      <c r="M611" s="515" t="inlineStr">
        <is>
          <t>T</t>
        </is>
      </c>
    </row>
    <row r="612">
      <c r="A612" s="485" t="n">
        <v>10</v>
      </c>
      <c r="B612" s="485" t="n">
        <v>20</v>
      </c>
      <c r="C612" s="485" t="n">
        <v>2</v>
      </c>
      <c r="D612" s="485" t="n">
        <v>21</v>
      </c>
      <c r="E612" s="485" t="n">
        <v>1</v>
      </c>
      <c r="F612" s="485" t="n">
        <v>1</v>
      </c>
      <c r="G612" s="516" t="inlineStr">
        <is>
          <t>West-Up1</t>
        </is>
      </c>
      <c r="H612" s="485" t="n">
        <v>5280</v>
      </c>
      <c r="I612" s="485" t="n">
        <v>0</v>
      </c>
      <c r="J612" s="485" t="n">
        <v>2</v>
      </c>
      <c r="K612" s="485" t="n">
        <v>0</v>
      </c>
      <c r="L612" s="485" t="n">
        <v>4</v>
      </c>
      <c r="M612" s="515" t="inlineStr">
        <is>
          <t>T</t>
        </is>
      </c>
    </row>
    <row r="613">
      <c r="A613" s="485" t="n">
        <v>10</v>
      </c>
      <c r="B613" s="485" t="n">
        <v>20</v>
      </c>
      <c r="C613" s="485" t="n">
        <v>2</v>
      </c>
      <c r="D613" s="485" t="n">
        <v>21</v>
      </c>
      <c r="E613" s="485" t="n">
        <v>1</v>
      </c>
      <c r="F613" s="485" t="n">
        <v>1</v>
      </c>
      <c r="G613" s="485" t="inlineStr">
        <is>
          <t>West-Down1</t>
        </is>
      </c>
      <c r="H613" s="485" t="n">
        <v>0</v>
      </c>
      <c r="I613" s="485" t="n">
        <v>0</v>
      </c>
      <c r="J613" s="485" t="n">
        <v>0</v>
      </c>
      <c r="K613" s="485" t="n">
        <v>0</v>
      </c>
      <c r="L613" s="485" t="n">
        <v>0</v>
      </c>
      <c r="M613" s="515" t="inlineStr">
        <is>
          <t>T</t>
        </is>
      </c>
    </row>
    <row r="614">
      <c r="A614" s="485" t="n">
        <v>10</v>
      </c>
      <c r="B614" s="485" t="n">
        <v>20</v>
      </c>
      <c r="C614" s="485" t="n">
        <v>2</v>
      </c>
      <c r="D614" s="485" t="n">
        <v>21</v>
      </c>
      <c r="E614" s="485" t="n">
        <v>1</v>
      </c>
      <c r="F614" s="485" t="n">
        <v>1</v>
      </c>
      <c r="G614" s="485" t="inlineStr">
        <is>
          <t>West-Down2</t>
        </is>
      </c>
      <c r="H614" s="485" t="n">
        <v>0</v>
      </c>
      <c r="I614" s="485" t="n">
        <v>0</v>
      </c>
      <c r="J614" s="485" t="n">
        <v>0</v>
      </c>
      <c r="K614" s="485" t="n">
        <v>0</v>
      </c>
      <c r="L614" s="485" t="n">
        <v>0</v>
      </c>
      <c r="M614" s="515" t="inlineStr">
        <is>
          <t>T</t>
        </is>
      </c>
    </row>
    <row r="615">
      <c r="A615" s="485" t="n">
        <v>10</v>
      </c>
      <c r="B615" s="485" t="n">
        <v>20</v>
      </c>
      <c r="C615" s="485" t="n">
        <v>2</v>
      </c>
      <c r="D615" s="485" t="n">
        <v>21</v>
      </c>
      <c r="E615" s="485" t="n">
        <v>1</v>
      </c>
      <c r="F615" s="485" t="n">
        <v>1</v>
      </c>
      <c r="G615" s="485" t="inlineStr">
        <is>
          <t>East-Up2</t>
        </is>
      </c>
      <c r="H615" s="485" t="n">
        <v>0</v>
      </c>
      <c r="I615" s="485" t="n">
        <v>0</v>
      </c>
      <c r="J615" s="485" t="n">
        <v>0</v>
      </c>
      <c r="K615" s="485" t="n">
        <v>0</v>
      </c>
      <c r="L615" s="485" t="n">
        <v>0</v>
      </c>
      <c r="M615" s="515" t="inlineStr">
        <is>
          <t>T</t>
        </is>
      </c>
    </row>
    <row r="616">
      <c r="A616" s="485" t="n">
        <v>10</v>
      </c>
      <c r="B616" s="485" t="n">
        <v>20</v>
      </c>
      <c r="C616" s="485" t="n">
        <v>2</v>
      </c>
      <c r="D616" s="485" t="n">
        <v>21</v>
      </c>
      <c r="E616" s="485" t="n">
        <v>1</v>
      </c>
      <c r="F616" s="485" t="n">
        <v>1</v>
      </c>
      <c r="G616" s="516" t="inlineStr">
        <is>
          <t>East-Up1</t>
        </is>
      </c>
      <c r="H616" s="485" t="n">
        <v>2640</v>
      </c>
      <c r="I616" s="485" t="n">
        <v>0</v>
      </c>
      <c r="J616" s="485" t="n">
        <v>1</v>
      </c>
      <c r="K616" s="485" t="n">
        <v>0</v>
      </c>
      <c r="L616" s="485" t="n">
        <v>4</v>
      </c>
      <c r="M616" s="515" t="inlineStr">
        <is>
          <t>T</t>
        </is>
      </c>
    </row>
    <row r="617">
      <c r="A617" s="485" t="n">
        <v>10</v>
      </c>
      <c r="B617" s="485" t="n">
        <v>20</v>
      </c>
      <c r="C617" s="485" t="n">
        <v>2</v>
      </c>
      <c r="D617" s="485" t="n">
        <v>21</v>
      </c>
      <c r="E617" s="485" t="n">
        <v>1</v>
      </c>
      <c r="F617" s="485" t="n">
        <v>1</v>
      </c>
      <c r="G617" s="485" t="inlineStr">
        <is>
          <t>East-Down1</t>
        </is>
      </c>
      <c r="H617" s="485" t="n">
        <v>2639.1</v>
      </c>
      <c r="I617" s="485" t="n">
        <v>0</v>
      </c>
      <c r="J617" s="485" t="n">
        <v>0</v>
      </c>
      <c r="K617" s="485" t="n">
        <v>38</v>
      </c>
      <c r="L617" s="485" t="n">
        <v>2</v>
      </c>
      <c r="M617" s="515" t="inlineStr">
        <is>
          <t>T</t>
        </is>
      </c>
    </row>
    <row r="618">
      <c r="A618" s="485" t="n">
        <v>10</v>
      </c>
      <c r="B618" s="485" t="n">
        <v>20</v>
      </c>
      <c r="C618" s="485" t="n">
        <v>2</v>
      </c>
      <c r="D618" s="485" t="n">
        <v>21</v>
      </c>
      <c r="E618" s="485" t="n">
        <v>1</v>
      </c>
      <c r="F618" s="485" t="n">
        <v>1</v>
      </c>
      <c r="G618" s="485" t="inlineStr">
        <is>
          <t>East-Down2</t>
        </is>
      </c>
      <c r="H618" s="485" t="n">
        <v>0</v>
      </c>
      <c r="I618" s="485" t="n">
        <v>0</v>
      </c>
      <c r="J618" s="485" t="n">
        <v>0</v>
      </c>
      <c r="K618" s="485" t="n">
        <v>0</v>
      </c>
      <c r="L618" s="485" t="n">
        <v>0</v>
      </c>
      <c r="M618" s="515" t="inlineStr">
        <is>
          <t>T</t>
        </is>
      </c>
    </row>
    <row r="619">
      <c r="A619" s="485" t="n">
        <v>10</v>
      </c>
      <c r="B619" s="485" t="n">
        <v>20</v>
      </c>
      <c r="C619" s="485" t="n">
        <v>2</v>
      </c>
      <c r="D619" s="485" t="n">
        <v>21</v>
      </c>
      <c r="E619" s="485" t="n">
        <v>1</v>
      </c>
      <c r="F619" s="485" t="n">
        <v>1</v>
      </c>
      <c r="G619" s="485" t="inlineStr">
        <is>
          <t>North-Left2</t>
        </is>
      </c>
      <c r="H619" s="485" t="n">
        <v>0</v>
      </c>
      <c r="I619" s="485" t="n">
        <v>0</v>
      </c>
      <c r="J619" s="485" t="n">
        <v>0</v>
      </c>
      <c r="K619" s="485" t="n">
        <v>0</v>
      </c>
      <c r="L619" s="485" t="n">
        <v>0</v>
      </c>
      <c r="M619" s="515" t="inlineStr">
        <is>
          <t>T</t>
        </is>
      </c>
    </row>
    <row r="620">
      <c r="A620" s="485" t="n">
        <v>10</v>
      </c>
      <c r="B620" s="485" t="n">
        <v>20</v>
      </c>
      <c r="C620" s="485" t="n">
        <v>2</v>
      </c>
      <c r="D620" s="485" t="n">
        <v>21</v>
      </c>
      <c r="E620" s="485" t="n">
        <v>1</v>
      </c>
      <c r="F620" s="485" t="n">
        <v>1</v>
      </c>
      <c r="G620" s="516" t="inlineStr">
        <is>
          <t>North-Left1</t>
        </is>
      </c>
      <c r="H620" s="485" t="n">
        <v>5286.6</v>
      </c>
      <c r="I620" s="485" t="n">
        <v>89</v>
      </c>
      <c r="J620" s="485" t="n">
        <v>56</v>
      </c>
      <c r="K620" s="485" t="n">
        <v>0</v>
      </c>
      <c r="L620" s="485" t="n">
        <v>4</v>
      </c>
      <c r="M620" s="515" t="inlineStr">
        <is>
          <t>T</t>
        </is>
      </c>
    </row>
    <row r="621">
      <c r="A621" s="485" t="n">
        <v>10</v>
      </c>
      <c r="B621" s="485" t="n">
        <v>20</v>
      </c>
      <c r="C621" s="485" t="n">
        <v>2</v>
      </c>
      <c r="D621" s="485" t="n">
        <v>21</v>
      </c>
      <c r="E621" s="485" t="n">
        <v>1</v>
      </c>
      <c r="F621" s="485" t="n">
        <v>1</v>
      </c>
      <c r="G621" s="485" t="inlineStr">
        <is>
          <t>North-Right1</t>
        </is>
      </c>
      <c r="H621" s="485" t="n">
        <v>0</v>
      </c>
      <c r="I621" s="485" t="n">
        <v>0</v>
      </c>
      <c r="J621" s="485" t="n">
        <v>0</v>
      </c>
      <c r="K621" s="485" t="n">
        <v>0</v>
      </c>
      <c r="L621" s="485" t="n">
        <v>0</v>
      </c>
      <c r="M621" s="515" t="inlineStr">
        <is>
          <t>T</t>
        </is>
      </c>
    </row>
    <row r="622">
      <c r="A622" s="485" t="n">
        <v>10</v>
      </c>
      <c r="B622" s="485" t="n">
        <v>20</v>
      </c>
      <c r="C622" s="485" t="n">
        <v>2</v>
      </c>
      <c r="D622" s="485" t="n">
        <v>21</v>
      </c>
      <c r="E622" s="485" t="n">
        <v>1</v>
      </c>
      <c r="F622" s="485" t="n">
        <v>1</v>
      </c>
      <c r="G622" s="485" t="inlineStr">
        <is>
          <t>North-Right2</t>
        </is>
      </c>
      <c r="H622" s="485" t="n">
        <v>0</v>
      </c>
      <c r="I622" s="485" t="n">
        <v>0</v>
      </c>
      <c r="J622" s="485" t="n">
        <v>0</v>
      </c>
      <c r="K622" s="485" t="n">
        <v>0</v>
      </c>
      <c r="L622" s="485" t="n">
        <v>0</v>
      </c>
      <c r="M622" s="515" t="inlineStr">
        <is>
          <t>T</t>
        </is>
      </c>
    </row>
    <row r="623">
      <c r="A623" s="485" t="n">
        <v>10</v>
      </c>
      <c r="B623" s="485" t="n">
        <v>20</v>
      </c>
      <c r="C623" s="485" t="n">
        <v>2</v>
      </c>
      <c r="D623" s="485" t="n">
        <v>21</v>
      </c>
      <c r="E623" s="485" t="n">
        <v>1</v>
      </c>
      <c r="F623" s="485" t="n">
        <v>1</v>
      </c>
      <c r="G623" s="485" t="inlineStr">
        <is>
          <t>South-Left2</t>
        </is>
      </c>
      <c r="H623" s="485" t="n">
        <v>0</v>
      </c>
      <c r="I623" s="485" t="n">
        <v>0</v>
      </c>
      <c r="J623" s="485" t="n">
        <v>0</v>
      </c>
      <c r="K623" s="485" t="n">
        <v>0</v>
      </c>
      <c r="L623" s="485" t="n">
        <v>0</v>
      </c>
      <c r="M623" s="515" t="inlineStr">
        <is>
          <t>T</t>
        </is>
      </c>
    </row>
    <row r="624">
      <c r="A624" s="485" t="n">
        <v>10</v>
      </c>
      <c r="B624" s="485" t="n">
        <v>20</v>
      </c>
      <c r="C624" s="485" t="n">
        <v>2</v>
      </c>
      <c r="D624" s="485" t="n">
        <v>21</v>
      </c>
      <c r="E624" s="485" t="n">
        <v>1</v>
      </c>
      <c r="F624" s="485" t="n">
        <v>1</v>
      </c>
      <c r="G624" s="516" t="inlineStr">
        <is>
          <t>South-Left1</t>
        </is>
      </c>
      <c r="H624" s="485" t="n">
        <v>2645.9</v>
      </c>
      <c r="I624" s="485" t="n">
        <v>89</v>
      </c>
      <c r="J624" s="485" t="n">
        <v>51</v>
      </c>
      <c r="K624" s="485" t="n">
        <v>17</v>
      </c>
      <c r="L624" s="485" t="n">
        <v>4</v>
      </c>
      <c r="M624" s="515" t="inlineStr">
        <is>
          <t>T</t>
        </is>
      </c>
    </row>
    <row r="625">
      <c r="A625" s="485" t="n">
        <v>10</v>
      </c>
      <c r="B625" s="485" t="n">
        <v>20</v>
      </c>
      <c r="C625" s="485" t="n">
        <v>2</v>
      </c>
      <c r="D625" s="485" t="n">
        <v>21</v>
      </c>
      <c r="E625" s="485" t="n">
        <v>1</v>
      </c>
      <c r="F625" s="485" t="n">
        <v>1</v>
      </c>
      <c r="G625" s="485" t="inlineStr">
        <is>
          <t>South-Right1</t>
        </is>
      </c>
      <c r="H625" s="485" t="n">
        <v>2641.04</v>
      </c>
      <c r="I625" s="485" t="n">
        <v>89</v>
      </c>
      <c r="J625" s="485" t="n">
        <v>55</v>
      </c>
      <c r="K625" s="485" t="n">
        <v>26</v>
      </c>
      <c r="L625" s="485" t="n">
        <v>4</v>
      </c>
      <c r="M625" s="515" t="inlineStr">
        <is>
          <t>T</t>
        </is>
      </c>
    </row>
    <row r="626">
      <c r="A626" s="485" t="n">
        <v>10</v>
      </c>
      <c r="B626" s="485" t="n">
        <v>20</v>
      </c>
      <c r="C626" s="485" t="n">
        <v>2</v>
      </c>
      <c r="D626" s="485" t="n">
        <v>21</v>
      </c>
      <c r="E626" s="485" t="n">
        <v>1</v>
      </c>
      <c r="F626" s="485" t="n">
        <v>1</v>
      </c>
      <c r="G626" s="485" t="inlineStr">
        <is>
          <t>South-Right2</t>
        </is>
      </c>
      <c r="H626" s="485" t="n">
        <v>0</v>
      </c>
      <c r="I626" s="485" t="n">
        <v>0</v>
      </c>
      <c r="J626" s="485" t="n">
        <v>0</v>
      </c>
      <c r="K626" s="485" t="n">
        <v>0</v>
      </c>
      <c r="L626" s="485" t="n">
        <v>0</v>
      </c>
      <c r="M626" s="515" t="inlineStr">
        <is>
          <t>T</t>
        </is>
      </c>
    </row>
    <row r="627">
      <c r="A627" s="485" t="n">
        <v>10</v>
      </c>
      <c r="B627" s="485" t="n">
        <v>2</v>
      </c>
      <c r="C627" s="485" t="n">
        <v>2</v>
      </c>
      <c r="D627" s="485" t="n">
        <v>3</v>
      </c>
      <c r="E627" s="485" t="n">
        <v>2</v>
      </c>
      <c r="F627" s="485" t="n">
        <v>2</v>
      </c>
      <c r="G627" s="485" t="inlineStr">
        <is>
          <t>West-Up2</t>
        </is>
      </c>
      <c r="H627" s="485" t="n">
        <v>1312.7</v>
      </c>
      <c r="I627" s="485" t="n">
        <v>0</v>
      </c>
      <c r="J627" s="485" t="n">
        <v>36</v>
      </c>
      <c r="K627" s="485" t="n">
        <v>29</v>
      </c>
      <c r="L627" s="485" t="n">
        <v>2</v>
      </c>
      <c r="M627" s="514" t="inlineStr">
        <is>
          <t>T</t>
        </is>
      </c>
    </row>
    <row r="628">
      <c r="A628" s="485" t="n">
        <v>10</v>
      </c>
      <c r="B628" s="485" t="n">
        <v>2</v>
      </c>
      <c r="C628" s="485" t="n">
        <v>2</v>
      </c>
      <c r="D628" s="485" t="n">
        <v>3</v>
      </c>
      <c r="E628" s="485" t="n">
        <v>2</v>
      </c>
      <c r="F628" s="485" t="n">
        <v>2</v>
      </c>
      <c r="G628" s="516" t="inlineStr">
        <is>
          <t>West-Up1</t>
        </is>
      </c>
      <c r="H628" s="485" t="n">
        <v>1318.36</v>
      </c>
      <c r="I628" s="485" t="n">
        <v>0</v>
      </c>
      <c r="J628" s="485" t="n">
        <v>19</v>
      </c>
      <c r="K628" s="485" t="n">
        <v>37</v>
      </c>
      <c r="L628" s="485" t="n">
        <v>2</v>
      </c>
      <c r="M628" s="514" t="inlineStr">
        <is>
          <t>T</t>
        </is>
      </c>
    </row>
    <row r="629">
      <c r="A629" s="485" t="n">
        <v>10</v>
      </c>
      <c r="B629" s="485" t="n">
        <v>2</v>
      </c>
      <c r="C629" s="485" t="n">
        <v>2</v>
      </c>
      <c r="D629" s="485" t="n">
        <v>3</v>
      </c>
      <c r="E629" s="485" t="n">
        <v>2</v>
      </c>
      <c r="F629" s="485" t="n">
        <v>2</v>
      </c>
      <c r="G629" s="485" t="inlineStr">
        <is>
          <t>West-Down1</t>
        </is>
      </c>
      <c r="H629" s="485" t="n">
        <v>2628.39</v>
      </c>
      <c r="I629" s="485" t="n">
        <v>0</v>
      </c>
      <c r="J629" s="485" t="n">
        <v>12</v>
      </c>
      <c r="K629" s="485" t="n">
        <v>23</v>
      </c>
      <c r="L629" s="485" t="n">
        <v>2</v>
      </c>
      <c r="M629" s="514" t="inlineStr">
        <is>
          <t>T</t>
        </is>
      </c>
    </row>
    <row r="630">
      <c r="A630" s="485" t="n">
        <v>10</v>
      </c>
      <c r="B630" s="485" t="n">
        <v>2</v>
      </c>
      <c r="C630" s="485" t="n">
        <v>2</v>
      </c>
      <c r="D630" s="485" t="n">
        <v>3</v>
      </c>
      <c r="E630" s="485" t="n">
        <v>2</v>
      </c>
      <c r="F630" s="485" t="n">
        <v>2</v>
      </c>
      <c r="G630" s="485" t="inlineStr">
        <is>
          <t>West-Down2</t>
        </is>
      </c>
      <c r="H630" s="485" t="n">
        <v>0</v>
      </c>
      <c r="I630" s="485" t="n">
        <v>0</v>
      </c>
      <c r="J630" s="485" t="n">
        <v>0</v>
      </c>
      <c r="K630" s="485" t="n">
        <v>0</v>
      </c>
      <c r="L630" s="485" t="n">
        <v>0</v>
      </c>
      <c r="M630" s="514" t="inlineStr">
        <is>
          <t>T</t>
        </is>
      </c>
    </row>
    <row r="631">
      <c r="A631" s="485" t="n">
        <v>10</v>
      </c>
      <c r="B631" s="485" t="n">
        <v>2</v>
      </c>
      <c r="C631" s="485" t="n">
        <v>2</v>
      </c>
      <c r="D631" s="485" t="n">
        <v>3</v>
      </c>
      <c r="E631" s="485" t="n">
        <v>2</v>
      </c>
      <c r="F631" s="485" t="n">
        <v>2</v>
      </c>
      <c r="G631" s="485" t="inlineStr">
        <is>
          <t>East-Up2</t>
        </is>
      </c>
      <c r="H631" s="485" t="n">
        <v>1301.23</v>
      </c>
      <c r="I631" s="485" t="n">
        <v>0</v>
      </c>
      <c r="J631" s="485" t="n">
        <v>6</v>
      </c>
      <c r="K631" s="485" t="n">
        <v>3</v>
      </c>
      <c r="L631" s="485" t="n">
        <v>2</v>
      </c>
      <c r="M631" s="514" t="inlineStr">
        <is>
          <t>T</t>
        </is>
      </c>
    </row>
    <row r="632">
      <c r="A632" s="485" t="n">
        <v>10</v>
      </c>
      <c r="B632" s="485" t="n">
        <v>2</v>
      </c>
      <c r="C632" s="485" t="n">
        <v>2</v>
      </c>
      <c r="D632" s="485" t="n">
        <v>3</v>
      </c>
      <c r="E632" s="485" t="n">
        <v>2</v>
      </c>
      <c r="F632" s="485" t="n">
        <v>2</v>
      </c>
      <c r="G632" s="516" t="inlineStr">
        <is>
          <t>East-Up1</t>
        </is>
      </c>
      <c r="H632" s="485" t="n">
        <v>1301.25</v>
      </c>
      <c r="I632" s="485" t="n">
        <v>0</v>
      </c>
      <c r="J632" s="485" t="n">
        <v>6</v>
      </c>
      <c r="K632" s="485" t="n">
        <v>17</v>
      </c>
      <c r="L632" s="485" t="n">
        <v>2</v>
      </c>
      <c r="M632" s="514" t="inlineStr">
        <is>
          <t>T</t>
        </is>
      </c>
    </row>
    <row r="633">
      <c r="A633" s="485" t="n">
        <v>10</v>
      </c>
      <c r="B633" s="485" t="n">
        <v>2</v>
      </c>
      <c r="C633" s="485" t="n">
        <v>2</v>
      </c>
      <c r="D633" s="485" t="n">
        <v>3</v>
      </c>
      <c r="E633" s="485" t="n">
        <v>2</v>
      </c>
      <c r="F633" s="485" t="n">
        <v>2</v>
      </c>
      <c r="G633" s="485" t="inlineStr">
        <is>
          <t>East-Down1</t>
        </is>
      </c>
      <c r="H633" s="485" t="n">
        <v>1316.87</v>
      </c>
      <c r="I633" s="485" t="n">
        <v>0</v>
      </c>
      <c r="J633" s="485" t="n">
        <v>5</v>
      </c>
      <c r="K633" s="485" t="n">
        <v>8</v>
      </c>
      <c r="L633" s="485" t="n">
        <v>2</v>
      </c>
      <c r="M633" s="514" t="inlineStr">
        <is>
          <t>T</t>
        </is>
      </c>
    </row>
    <row r="634">
      <c r="A634" s="485" t="n">
        <v>10</v>
      </c>
      <c r="B634" s="485" t="n">
        <v>2</v>
      </c>
      <c r="C634" s="485" t="n">
        <v>2</v>
      </c>
      <c r="D634" s="485" t="n">
        <v>3</v>
      </c>
      <c r="E634" s="485" t="n">
        <v>2</v>
      </c>
      <c r="F634" s="485" t="n">
        <v>2</v>
      </c>
      <c r="G634" s="485" t="inlineStr">
        <is>
          <t>East-Down2</t>
        </is>
      </c>
      <c r="H634" s="485" t="n">
        <v>1316.87</v>
      </c>
      <c r="I634" s="485" t="n">
        <v>0</v>
      </c>
      <c r="J634" s="485" t="n">
        <v>5</v>
      </c>
      <c r="K634" s="485" t="n">
        <v>8</v>
      </c>
      <c r="L634" s="485" t="n">
        <v>2</v>
      </c>
      <c r="M634" s="514" t="inlineStr">
        <is>
          <t>T</t>
        </is>
      </c>
    </row>
    <row r="635">
      <c r="A635" s="485" t="n">
        <v>10</v>
      </c>
      <c r="B635" s="485" t="n">
        <v>2</v>
      </c>
      <c r="C635" s="485" t="n">
        <v>2</v>
      </c>
      <c r="D635" s="485" t="n">
        <v>3</v>
      </c>
      <c r="E635" s="485" t="n">
        <v>2</v>
      </c>
      <c r="F635" s="485" t="n">
        <v>2</v>
      </c>
      <c r="G635" s="485" t="inlineStr">
        <is>
          <t>North-Left2</t>
        </is>
      </c>
      <c r="H635" s="485" t="n">
        <v>0</v>
      </c>
      <c r="I635" s="485" t="n">
        <v>0</v>
      </c>
      <c r="J635" s="485" t="n">
        <v>0</v>
      </c>
      <c r="K635" s="485" t="n">
        <v>0</v>
      </c>
      <c r="L635" s="485" t="n">
        <v>0</v>
      </c>
      <c r="M635" s="514" t="inlineStr">
        <is>
          <t>T</t>
        </is>
      </c>
    </row>
    <row r="636">
      <c r="A636" s="485" t="n">
        <v>10</v>
      </c>
      <c r="B636" s="485" t="n">
        <v>2</v>
      </c>
      <c r="C636" s="485" t="n">
        <v>2</v>
      </c>
      <c r="D636" s="485" t="n">
        <v>3</v>
      </c>
      <c r="E636" s="485" t="n">
        <v>2</v>
      </c>
      <c r="F636" s="485" t="n">
        <v>2</v>
      </c>
      <c r="G636" s="516" t="inlineStr">
        <is>
          <t>North-Left1</t>
        </is>
      </c>
      <c r="H636" s="485" t="n">
        <v>2659.27</v>
      </c>
      <c r="I636" s="485" t="n">
        <v>89</v>
      </c>
      <c r="J636" s="485" t="n">
        <v>21</v>
      </c>
      <c r="K636" s="485" t="n">
        <v>57</v>
      </c>
      <c r="L636" s="485" t="n">
        <v>4</v>
      </c>
      <c r="M636" s="514" t="inlineStr">
        <is>
          <t>T</t>
        </is>
      </c>
    </row>
    <row r="637">
      <c r="A637" s="485" t="n">
        <v>10</v>
      </c>
      <c r="B637" s="485" t="n">
        <v>2</v>
      </c>
      <c r="C637" s="485" t="n">
        <v>2</v>
      </c>
      <c r="D637" s="485" t="n">
        <v>3</v>
      </c>
      <c r="E637" s="485" t="n">
        <v>2</v>
      </c>
      <c r="F637" s="485" t="n">
        <v>2</v>
      </c>
      <c r="G637" s="485" t="inlineStr">
        <is>
          <t>North-Right1</t>
        </is>
      </c>
      <c r="H637" s="485" t="n">
        <v>2682.46</v>
      </c>
      <c r="I637" s="485" t="n">
        <v>89</v>
      </c>
      <c r="J637" s="485" t="n">
        <v>48</v>
      </c>
      <c r="K637" s="485" t="n">
        <v>31</v>
      </c>
      <c r="L637" s="485" t="n">
        <v>4</v>
      </c>
      <c r="M637" s="514" t="inlineStr">
        <is>
          <t>T</t>
        </is>
      </c>
    </row>
    <row r="638">
      <c r="A638" s="485" t="n">
        <v>10</v>
      </c>
      <c r="B638" s="485" t="n">
        <v>2</v>
      </c>
      <c r="C638" s="485" t="n">
        <v>2</v>
      </c>
      <c r="D638" s="485" t="n">
        <v>3</v>
      </c>
      <c r="E638" s="485" t="n">
        <v>2</v>
      </c>
      <c r="F638" s="485" t="n">
        <v>2</v>
      </c>
      <c r="G638" s="485" t="inlineStr">
        <is>
          <t>North-Right2</t>
        </is>
      </c>
      <c r="H638" s="485" t="n">
        <v>0</v>
      </c>
      <c r="I638" s="485" t="n">
        <v>0</v>
      </c>
      <c r="J638" s="485" t="n">
        <v>0</v>
      </c>
      <c r="K638" s="485" t="n">
        <v>0</v>
      </c>
      <c r="L638" s="485" t="n">
        <v>0</v>
      </c>
      <c r="M638" s="514" t="inlineStr">
        <is>
          <t>T</t>
        </is>
      </c>
    </row>
    <row r="639">
      <c r="A639" s="485" t="n">
        <v>10</v>
      </c>
      <c r="B639" s="485" t="n">
        <v>2</v>
      </c>
      <c r="C639" s="485" t="n">
        <v>2</v>
      </c>
      <c r="D639" s="485" t="n">
        <v>3</v>
      </c>
      <c r="E639" s="485" t="n">
        <v>2</v>
      </c>
      <c r="F639" s="485" t="n">
        <v>2</v>
      </c>
      <c r="G639" s="485" t="inlineStr">
        <is>
          <t>South-Left2</t>
        </is>
      </c>
      <c r="H639" s="485" t="n">
        <v>0</v>
      </c>
      <c r="I639" s="485" t="n">
        <v>0</v>
      </c>
      <c r="J639" s="485" t="n">
        <v>0</v>
      </c>
      <c r="K639" s="485" t="n">
        <v>0</v>
      </c>
      <c r="L639" s="485" t="n">
        <v>0</v>
      </c>
      <c r="M639" s="514" t="inlineStr">
        <is>
          <t>T</t>
        </is>
      </c>
    </row>
    <row r="640">
      <c r="A640" s="485" t="n">
        <v>10</v>
      </c>
      <c r="B640" s="485" t="n">
        <v>2</v>
      </c>
      <c r="C640" s="485" t="n">
        <v>2</v>
      </c>
      <c r="D640" s="485" t="n">
        <v>3</v>
      </c>
      <c r="E640" s="485" t="n">
        <v>2</v>
      </c>
      <c r="F640" s="485" t="n">
        <v>2</v>
      </c>
      <c r="G640" s="516" t="inlineStr">
        <is>
          <t>South-Left1</t>
        </is>
      </c>
      <c r="H640" s="485" t="n">
        <v>5363.91</v>
      </c>
      <c r="I640" s="485" t="n">
        <v>89</v>
      </c>
      <c r="J640" s="485" t="n">
        <v>50</v>
      </c>
      <c r="K640" s="485" t="n">
        <v>13</v>
      </c>
      <c r="L640" s="485" t="n">
        <v>4</v>
      </c>
      <c r="M640" s="514" t="inlineStr">
        <is>
          <t>T</t>
        </is>
      </c>
    </row>
    <row r="641">
      <c r="A641" s="485" t="n">
        <v>10</v>
      </c>
      <c r="B641" s="485" t="n">
        <v>2</v>
      </c>
      <c r="C641" s="485" t="n">
        <v>2</v>
      </c>
      <c r="D641" s="485" t="n">
        <v>3</v>
      </c>
      <c r="E641" s="485" t="n">
        <v>2</v>
      </c>
      <c r="F641" s="485" t="n">
        <v>2</v>
      </c>
      <c r="G641" s="485" t="inlineStr">
        <is>
          <t>South-Right1</t>
        </is>
      </c>
      <c r="H641" s="485" t="n">
        <v>0</v>
      </c>
      <c r="I641" s="485" t="n">
        <v>0</v>
      </c>
      <c r="J641" s="485" t="n">
        <v>0</v>
      </c>
      <c r="K641" s="485" t="n">
        <v>0</v>
      </c>
      <c r="L641" s="485" t="n">
        <v>0</v>
      </c>
      <c r="M641" s="514" t="inlineStr">
        <is>
          <t>T</t>
        </is>
      </c>
    </row>
    <row r="642">
      <c r="A642" s="485" t="n">
        <v>10</v>
      </c>
      <c r="B642" s="485" t="n">
        <v>2</v>
      </c>
      <c r="C642" s="485" t="n">
        <v>2</v>
      </c>
      <c r="D642" s="485" t="n">
        <v>3</v>
      </c>
      <c r="E642" s="485" t="n">
        <v>2</v>
      </c>
      <c r="F642" s="485" t="n">
        <v>2</v>
      </c>
      <c r="G642" s="485" t="inlineStr">
        <is>
          <t>South-Right2</t>
        </is>
      </c>
      <c r="H642" s="485" t="n">
        <v>0</v>
      </c>
      <c r="I642" s="485" t="n">
        <v>0</v>
      </c>
      <c r="J642" s="485" t="n">
        <v>0</v>
      </c>
      <c r="K642" s="485" t="n">
        <v>0</v>
      </c>
      <c r="L642" s="485" t="n">
        <v>0</v>
      </c>
      <c r="M642" s="514" t="inlineStr">
        <is>
          <t>T</t>
        </is>
      </c>
    </row>
    <row r="643">
      <c r="A643" s="486" t="n">
        <v>10</v>
      </c>
      <c r="B643" s="486" t="n">
        <v>3</v>
      </c>
      <c r="C643" s="486" t="n">
        <v>2</v>
      </c>
      <c r="D643" s="486" t="n">
        <v>2</v>
      </c>
      <c r="E643" s="486" t="n">
        <v>1</v>
      </c>
      <c r="F643" s="486" t="n">
        <v>2</v>
      </c>
      <c r="G643" s="486" t="inlineStr">
        <is>
          <t>West-Up2</t>
        </is>
      </c>
      <c r="H643" s="486" t="n">
        <v>1291.86</v>
      </c>
      <c r="I643" s="486" t="n">
        <v>1</v>
      </c>
      <c r="J643" s="486" t="n">
        <v>29</v>
      </c>
      <c r="K643" s="486" t="n">
        <v>32</v>
      </c>
      <c r="L643" s="486" t="n">
        <v>4</v>
      </c>
      <c r="M643" s="487" t="inlineStr">
        <is>
          <t>G</t>
        </is>
      </c>
    </row>
    <row r="644">
      <c r="A644" s="486" t="n">
        <v>10</v>
      </c>
      <c r="B644" s="486" t="n">
        <v>3</v>
      </c>
      <c r="C644" s="486" t="n">
        <v>2</v>
      </c>
      <c r="D644" s="486" t="n">
        <v>2</v>
      </c>
      <c r="E644" s="486" t="n">
        <v>1</v>
      </c>
      <c r="F644" s="486" t="n">
        <v>2</v>
      </c>
      <c r="G644" s="475" t="inlineStr">
        <is>
          <t>West-Up1</t>
        </is>
      </c>
      <c r="H644" s="486" t="n">
        <v>1290.52</v>
      </c>
      <c r="I644" s="486" t="n">
        <v>1</v>
      </c>
      <c r="J644" s="486" t="n">
        <v>27</v>
      </c>
      <c r="K644" s="486" t="n">
        <v>24</v>
      </c>
      <c r="L644" s="486" t="n">
        <v>4</v>
      </c>
      <c r="M644" s="487" t="inlineStr">
        <is>
          <t>G</t>
        </is>
      </c>
    </row>
    <row r="645">
      <c r="A645" s="486" t="n">
        <v>10</v>
      </c>
      <c r="B645" s="486" t="n">
        <v>3</v>
      </c>
      <c r="C645" s="486" t="n">
        <v>2</v>
      </c>
      <c r="D645" s="486" t="n">
        <v>2</v>
      </c>
      <c r="E645" s="486" t="n">
        <v>1</v>
      </c>
      <c r="F645" s="486" t="n">
        <v>2</v>
      </c>
      <c r="G645" s="486" t="inlineStr">
        <is>
          <t>West-Down1</t>
        </is>
      </c>
      <c r="H645" s="486" t="n">
        <v>1312.66</v>
      </c>
      <c r="I645" s="486" t="n">
        <v>0</v>
      </c>
      <c r="J645" s="486" t="n">
        <v>5</v>
      </c>
      <c r="K645" s="486" t="n">
        <v>21</v>
      </c>
      <c r="L645" s="486" t="n">
        <v>4</v>
      </c>
      <c r="M645" s="487" t="inlineStr">
        <is>
          <t>G</t>
        </is>
      </c>
    </row>
    <row r="646">
      <c r="A646" s="486" t="n">
        <v>10</v>
      </c>
      <c r="B646" s="486" t="n">
        <v>3</v>
      </c>
      <c r="C646" s="486" t="n">
        <v>2</v>
      </c>
      <c r="D646" s="486" t="n">
        <v>2</v>
      </c>
      <c r="E646" s="486" t="n">
        <v>1</v>
      </c>
      <c r="F646" s="486" t="n">
        <v>2</v>
      </c>
      <c r="G646" s="486" t="inlineStr">
        <is>
          <t>West-Down2</t>
        </is>
      </c>
      <c r="H646" s="486" t="n">
        <v>1313.01</v>
      </c>
      <c r="I646" s="486" t="n">
        <v>0</v>
      </c>
      <c r="J646" s="486" t="n">
        <v>49</v>
      </c>
      <c r="K646" s="486" t="n">
        <v>45</v>
      </c>
      <c r="L646" s="486" t="n">
        <v>4</v>
      </c>
      <c r="M646" s="487" t="inlineStr">
        <is>
          <t>G</t>
        </is>
      </c>
    </row>
    <row r="647">
      <c r="A647" s="486" t="n">
        <v>10</v>
      </c>
      <c r="B647" s="486" t="n">
        <v>3</v>
      </c>
      <c r="C647" s="486" t="n">
        <v>2</v>
      </c>
      <c r="D647" s="486" t="n">
        <v>2</v>
      </c>
      <c r="E647" s="486" t="n">
        <v>1</v>
      </c>
      <c r="F647" s="486" t="n">
        <v>2</v>
      </c>
      <c r="G647" s="486" t="inlineStr">
        <is>
          <t>East-Up2</t>
        </is>
      </c>
      <c r="H647" s="486" t="n">
        <v>0</v>
      </c>
      <c r="I647" s="486" t="n">
        <v>0</v>
      </c>
      <c r="J647" s="486" t="n">
        <v>0</v>
      </c>
      <c r="K647" s="486" t="n">
        <v>0</v>
      </c>
      <c r="L647" s="486" t="n">
        <v>0</v>
      </c>
      <c r="M647" s="487" t="inlineStr">
        <is>
          <t>G</t>
        </is>
      </c>
    </row>
    <row r="648">
      <c r="A648" s="486" t="n">
        <v>10</v>
      </c>
      <c r="B648" s="486" t="n">
        <v>3</v>
      </c>
      <c r="C648" s="486" t="n">
        <v>2</v>
      </c>
      <c r="D648" s="486" t="n">
        <v>2</v>
      </c>
      <c r="E648" s="486" t="n">
        <v>1</v>
      </c>
      <c r="F648" s="486" t="n">
        <v>2</v>
      </c>
      <c r="G648" s="475" t="inlineStr">
        <is>
          <t>East-Up1</t>
        </is>
      </c>
      <c r="H648" s="486" t="n">
        <v>3137.91927523936</v>
      </c>
      <c r="I648" s="486" t="n">
        <v>1</v>
      </c>
      <c r="J648" s="486" t="n">
        <v>19</v>
      </c>
      <c r="K648" s="486" t="n">
        <v>12</v>
      </c>
      <c r="L648" s="486" t="n">
        <v>4</v>
      </c>
      <c r="M648" s="487" t="inlineStr">
        <is>
          <t>G</t>
        </is>
      </c>
    </row>
    <row r="649">
      <c r="A649" s="486" t="n">
        <v>10</v>
      </c>
      <c r="B649" s="486" t="n">
        <v>3</v>
      </c>
      <c r="C649" s="486" t="n">
        <v>2</v>
      </c>
      <c r="D649" s="486" t="n">
        <v>2</v>
      </c>
      <c r="E649" s="486" t="n">
        <v>1</v>
      </c>
      <c r="F649" s="486" t="n">
        <v>2</v>
      </c>
      <c r="G649" s="486" t="inlineStr">
        <is>
          <t>East-Down1</t>
        </is>
      </c>
      <c r="H649" s="486" t="n">
        <v>0</v>
      </c>
      <c r="I649" s="486" t="n">
        <v>0</v>
      </c>
      <c r="J649" s="486" t="n">
        <v>0</v>
      </c>
      <c r="K649" s="486" t="n">
        <v>0</v>
      </c>
      <c r="L649" s="486" t="n">
        <v>0</v>
      </c>
      <c r="M649" s="487" t="inlineStr">
        <is>
          <t>G</t>
        </is>
      </c>
    </row>
    <row r="650">
      <c r="A650" s="486" t="n">
        <v>10</v>
      </c>
      <c r="B650" s="486" t="n">
        <v>3</v>
      </c>
      <c r="C650" s="486" t="n">
        <v>2</v>
      </c>
      <c r="D650" s="486" t="n">
        <v>2</v>
      </c>
      <c r="E650" s="486" t="n">
        <v>1</v>
      </c>
      <c r="F650" s="486" t="n">
        <v>2</v>
      </c>
      <c r="G650" s="486" t="inlineStr">
        <is>
          <t>East-Down2</t>
        </is>
      </c>
      <c r="H650" s="486" t="n">
        <v>2103.79</v>
      </c>
      <c r="I650" s="486" t="n">
        <v>1</v>
      </c>
      <c r="J650" s="486" t="n">
        <v>19</v>
      </c>
      <c r="K650" s="486" t="n">
        <v>12</v>
      </c>
      <c r="L650" s="486" t="n">
        <v>4</v>
      </c>
      <c r="M650" s="487" t="inlineStr">
        <is>
          <t>G</t>
        </is>
      </c>
    </row>
    <row r="651">
      <c r="A651" s="486" t="n">
        <v>10</v>
      </c>
      <c r="B651" s="486" t="n">
        <v>3</v>
      </c>
      <c r="C651" s="486" t="n">
        <v>2</v>
      </c>
      <c r="D651" s="486" t="n">
        <v>2</v>
      </c>
      <c r="E651" s="486" t="n">
        <v>1</v>
      </c>
      <c r="F651" s="486" t="n">
        <v>2</v>
      </c>
      <c r="G651" s="486" t="inlineStr">
        <is>
          <t>North-Left2</t>
        </is>
      </c>
      <c r="H651" s="486" t="n">
        <v>1323.19</v>
      </c>
      <c r="I651" s="486" t="n">
        <v>87</v>
      </c>
      <c r="J651" s="486" t="n">
        <v>2</v>
      </c>
      <c r="K651" s="486" t="n">
        <v>40</v>
      </c>
      <c r="L651" s="486" t="n">
        <v>3</v>
      </c>
      <c r="M651" s="487" t="inlineStr">
        <is>
          <t>G</t>
        </is>
      </c>
    </row>
    <row r="652">
      <c r="A652" s="486" t="n">
        <v>10</v>
      </c>
      <c r="B652" s="486" t="n">
        <v>3</v>
      </c>
      <c r="C652" s="486" t="n">
        <v>2</v>
      </c>
      <c r="D652" s="486" t="n">
        <v>2</v>
      </c>
      <c r="E652" s="486" t="n">
        <v>1</v>
      </c>
      <c r="F652" s="486" t="n">
        <v>2</v>
      </c>
      <c r="G652" s="475" t="inlineStr">
        <is>
          <t>North-Left1</t>
        </is>
      </c>
      <c r="H652" s="486" t="n">
        <v>1323.42</v>
      </c>
      <c r="I652" s="486" t="n">
        <v>87</v>
      </c>
      <c r="J652" s="486" t="n">
        <v>2</v>
      </c>
      <c r="K652" s="486" t="n">
        <v>47</v>
      </c>
      <c r="L652" s="486" t="n">
        <v>2</v>
      </c>
      <c r="M652" s="487" t="inlineStr">
        <is>
          <t>G</t>
        </is>
      </c>
    </row>
    <row r="653">
      <c r="A653" s="486" t="n">
        <v>10</v>
      </c>
      <c r="B653" s="486" t="n">
        <v>3</v>
      </c>
      <c r="C653" s="486" t="n">
        <v>2</v>
      </c>
      <c r="D653" s="486" t="n">
        <v>2</v>
      </c>
      <c r="E653" s="486" t="n">
        <v>1</v>
      </c>
      <c r="F653" s="486" t="n">
        <v>2</v>
      </c>
      <c r="G653" s="486" t="inlineStr">
        <is>
          <t>North-Right1</t>
        </is>
      </c>
      <c r="H653" s="486" t="n">
        <v>1306.54</v>
      </c>
      <c r="I653" s="486" t="n">
        <v>87</v>
      </c>
      <c r="J653" s="486" t="n">
        <v>3</v>
      </c>
      <c r="K653" s="486" t="n">
        <v>15</v>
      </c>
      <c r="L653" s="486" t="n">
        <v>2</v>
      </c>
      <c r="M653" s="487" t="inlineStr">
        <is>
          <t>G</t>
        </is>
      </c>
    </row>
    <row r="654">
      <c r="A654" s="486" t="n">
        <v>10</v>
      </c>
      <c r="B654" s="486" t="n">
        <v>3</v>
      </c>
      <c r="C654" s="486" t="n">
        <v>2</v>
      </c>
      <c r="D654" s="486" t="n">
        <v>2</v>
      </c>
      <c r="E654" s="486" t="n">
        <v>1</v>
      </c>
      <c r="F654" s="486" t="n">
        <v>2</v>
      </c>
      <c r="G654" s="486" t="inlineStr">
        <is>
          <t>North-Right2</t>
        </is>
      </c>
      <c r="H654" s="486" t="n">
        <v>1326.85</v>
      </c>
      <c r="I654" s="486" t="n">
        <v>87</v>
      </c>
      <c r="J654" s="486" t="n">
        <v>2</v>
      </c>
      <c r="K654" s="486" t="n">
        <v>30</v>
      </c>
      <c r="L654" s="486" t="n">
        <v>2</v>
      </c>
      <c r="M654" s="487" t="inlineStr">
        <is>
          <t>G</t>
        </is>
      </c>
    </row>
    <row r="655">
      <c r="A655" s="486" t="n">
        <v>10</v>
      </c>
      <c r="B655" s="486" t="n">
        <v>3</v>
      </c>
      <c r="C655" s="486" t="n">
        <v>2</v>
      </c>
      <c r="D655" s="486" t="n">
        <v>2</v>
      </c>
      <c r="E655" s="486" t="n">
        <v>1</v>
      </c>
      <c r="F655" s="486" t="n">
        <v>2</v>
      </c>
      <c r="G655" s="486" t="inlineStr">
        <is>
          <t>South-Left2</t>
        </is>
      </c>
      <c r="H655" s="486" t="n">
        <v>1330.97</v>
      </c>
      <c r="I655" s="486" t="n">
        <v>88</v>
      </c>
      <c r="J655" s="486" t="n">
        <v>42</v>
      </c>
      <c r="K655" s="486" t="n">
        <v>8</v>
      </c>
      <c r="L655" s="486" t="n">
        <v>3</v>
      </c>
      <c r="M655" s="487" t="inlineStr">
        <is>
          <t>G</t>
        </is>
      </c>
    </row>
    <row r="656">
      <c r="A656" s="486" t="n">
        <v>10</v>
      </c>
      <c r="B656" s="486" t="n">
        <v>3</v>
      </c>
      <c r="C656" s="486" t="n">
        <v>2</v>
      </c>
      <c r="D656" s="486" t="n">
        <v>2</v>
      </c>
      <c r="E656" s="486" t="n">
        <v>1</v>
      </c>
      <c r="F656" s="486" t="n">
        <v>2</v>
      </c>
      <c r="G656" s="475" t="inlineStr">
        <is>
          <t>South-Left1</t>
        </is>
      </c>
      <c r="H656" s="486" t="n">
        <v>1330.47</v>
      </c>
      <c r="I656" s="486" t="n">
        <v>88</v>
      </c>
      <c r="J656" s="486" t="n">
        <v>32</v>
      </c>
      <c r="K656" s="486" t="n">
        <v>17</v>
      </c>
      <c r="L656" s="486" t="n">
        <v>3</v>
      </c>
      <c r="M656" s="487" t="inlineStr">
        <is>
          <t>G</t>
        </is>
      </c>
    </row>
    <row r="657">
      <c r="A657" s="486" t="n">
        <v>10</v>
      </c>
      <c r="B657" s="486" t="n">
        <v>3</v>
      </c>
      <c r="C657" s="486" t="n">
        <v>2</v>
      </c>
      <c r="D657" s="486" t="n">
        <v>2</v>
      </c>
      <c r="E657" s="486" t="n">
        <v>1</v>
      </c>
      <c r="F657" s="486" t="n">
        <v>2</v>
      </c>
      <c r="G657" s="486" t="inlineStr">
        <is>
          <t>South-Right1</t>
        </is>
      </c>
      <c r="H657" s="486" t="n">
        <v>2656.22</v>
      </c>
      <c r="I657" s="486" t="n">
        <v>88</v>
      </c>
      <c r="J657" s="486" t="n">
        <v>4</v>
      </c>
      <c r="K657" s="486" t="n">
        <v>57</v>
      </c>
      <c r="L657" s="486" t="n">
        <v>3</v>
      </c>
      <c r="M657" s="487" t="inlineStr">
        <is>
          <t>G</t>
        </is>
      </c>
    </row>
    <row r="658">
      <c r="A658" s="486" t="n">
        <v>10</v>
      </c>
      <c r="B658" s="486" t="n">
        <v>3</v>
      </c>
      <c r="C658" s="486" t="n">
        <v>2</v>
      </c>
      <c r="D658" s="486" t="n">
        <v>2</v>
      </c>
      <c r="E658" s="486" t="n">
        <v>1</v>
      </c>
      <c r="F658" s="486" t="n">
        <v>2</v>
      </c>
      <c r="G658" s="486" t="inlineStr">
        <is>
          <t>South-Right2</t>
        </is>
      </c>
      <c r="H658" s="486" t="n">
        <v>0</v>
      </c>
      <c r="I658" s="486" t="n">
        <v>0</v>
      </c>
      <c r="J658" s="486" t="n">
        <v>0</v>
      </c>
      <c r="K658" s="486" t="n">
        <v>0</v>
      </c>
      <c r="L658" s="486" t="n">
        <v>0</v>
      </c>
      <c r="M658" s="487" t="inlineStr">
        <is>
          <t>G</t>
        </is>
      </c>
    </row>
    <row r="659">
      <c r="A659" s="485" t="n">
        <v>11</v>
      </c>
      <c r="B659" s="485" t="n">
        <v>2</v>
      </c>
      <c r="C659" s="485" t="n">
        <v>2</v>
      </c>
      <c r="D659" s="485" t="n">
        <v>2</v>
      </c>
      <c r="E659" s="485" t="n">
        <v>2</v>
      </c>
      <c r="F659" s="485" t="n">
        <v>2</v>
      </c>
      <c r="G659" s="485" t="inlineStr">
        <is>
          <t>West-Up2</t>
        </is>
      </c>
      <c r="H659" s="485" t="n">
        <v>0</v>
      </c>
      <c r="I659" s="485" t="n">
        <v>0</v>
      </c>
      <c r="J659" s="485" t="n">
        <v>0</v>
      </c>
      <c r="K659" s="485" t="n">
        <v>0</v>
      </c>
      <c r="L659" s="485" t="n">
        <v>0</v>
      </c>
      <c r="M659" s="514" t="inlineStr">
        <is>
          <t>T</t>
        </is>
      </c>
    </row>
    <row r="660">
      <c r="A660" s="485" t="n">
        <v>11</v>
      </c>
      <c r="B660" s="485" t="n">
        <v>2</v>
      </c>
      <c r="C660" s="485" t="n">
        <v>2</v>
      </c>
      <c r="D660" s="485" t="n">
        <v>2</v>
      </c>
      <c r="E660" s="485" t="n">
        <v>2</v>
      </c>
      <c r="F660" s="485" t="n">
        <v>2</v>
      </c>
      <c r="G660" s="516" t="inlineStr">
        <is>
          <t>West-Up1</t>
        </is>
      </c>
      <c r="H660" s="485" t="n">
        <v>2639.12</v>
      </c>
      <c r="I660" s="485" t="n">
        <v>0</v>
      </c>
      <c r="J660" s="485" t="n">
        <v>3</v>
      </c>
      <c r="K660" s="485" t="n">
        <v>23</v>
      </c>
      <c r="L660" s="485" t="n">
        <v>4</v>
      </c>
      <c r="M660" s="514" t="inlineStr">
        <is>
          <t>T</t>
        </is>
      </c>
    </row>
    <row r="661">
      <c r="A661" s="485" t="n">
        <v>11</v>
      </c>
      <c r="B661" s="485" t="n">
        <v>2</v>
      </c>
      <c r="C661" s="485" t="n">
        <v>2</v>
      </c>
      <c r="D661" s="485" t="n">
        <v>2</v>
      </c>
      <c r="E661" s="485" t="n">
        <v>2</v>
      </c>
      <c r="F661" s="485" t="n">
        <v>2</v>
      </c>
      <c r="G661" s="485" t="inlineStr">
        <is>
          <t>West-Down1</t>
        </is>
      </c>
      <c r="H661" s="485" t="n">
        <v>2663.8</v>
      </c>
      <c r="I661" s="485" t="n">
        <v>0</v>
      </c>
      <c r="J661" s="485" t="n">
        <v>2</v>
      </c>
      <c r="K661" s="485" t="n">
        <v>16</v>
      </c>
      <c r="L661" s="485" t="n">
        <v>2</v>
      </c>
      <c r="M661" s="514" t="inlineStr">
        <is>
          <t>T</t>
        </is>
      </c>
    </row>
    <row r="662">
      <c r="A662" s="485" t="n">
        <v>11</v>
      </c>
      <c r="B662" s="485" t="n">
        <v>2</v>
      </c>
      <c r="C662" s="485" t="n">
        <v>2</v>
      </c>
      <c r="D662" s="485" t="n">
        <v>2</v>
      </c>
      <c r="E662" s="485" t="n">
        <v>2</v>
      </c>
      <c r="F662" s="485" t="n">
        <v>2</v>
      </c>
      <c r="G662" s="485" t="inlineStr">
        <is>
          <t>West-Down2</t>
        </is>
      </c>
      <c r="H662" s="485" t="n">
        <v>0</v>
      </c>
      <c r="I662" s="485" t="n">
        <v>0</v>
      </c>
      <c r="J662" s="485" t="n">
        <v>0</v>
      </c>
      <c r="K662" s="485" t="n">
        <v>0</v>
      </c>
      <c r="L662" s="485" t="n">
        <v>0</v>
      </c>
      <c r="M662" s="514" t="inlineStr">
        <is>
          <t>T</t>
        </is>
      </c>
    </row>
    <row r="663">
      <c r="A663" s="485" t="n">
        <v>11</v>
      </c>
      <c r="B663" s="485" t="n">
        <v>2</v>
      </c>
      <c r="C663" s="485" t="n">
        <v>2</v>
      </c>
      <c r="D663" s="485" t="n">
        <v>2</v>
      </c>
      <c r="E663" s="485" t="n">
        <v>2</v>
      </c>
      <c r="F663" s="485" t="n">
        <v>2</v>
      </c>
      <c r="G663" s="485" t="inlineStr">
        <is>
          <t>East-Up2</t>
        </is>
      </c>
      <c r="H663" s="485" t="n">
        <v>0</v>
      </c>
      <c r="I663" s="485" t="n">
        <v>0</v>
      </c>
      <c r="J663" s="485" t="n">
        <v>0</v>
      </c>
      <c r="K663" s="485" t="n">
        <v>0</v>
      </c>
      <c r="L663" s="485" t="n">
        <v>0</v>
      </c>
      <c r="M663" s="514" t="inlineStr">
        <is>
          <t>T</t>
        </is>
      </c>
    </row>
    <row r="664">
      <c r="A664" s="485" t="n">
        <v>11</v>
      </c>
      <c r="B664" s="485" t="n">
        <v>2</v>
      </c>
      <c r="C664" s="485" t="n">
        <v>2</v>
      </c>
      <c r="D664" s="485" t="n">
        <v>2</v>
      </c>
      <c r="E664" s="485" t="n">
        <v>2</v>
      </c>
      <c r="F664" s="485" t="n">
        <v>2</v>
      </c>
      <c r="G664" s="516" t="inlineStr">
        <is>
          <t>East-Up1</t>
        </is>
      </c>
      <c r="H664" s="485" t="n">
        <v>5209.06</v>
      </c>
      <c r="I664" s="485" t="n">
        <v>0</v>
      </c>
      <c r="J664" s="485" t="n">
        <v>3</v>
      </c>
      <c r="K664" s="485" t="n">
        <v>17</v>
      </c>
      <c r="L664" s="485" t="n">
        <v>4</v>
      </c>
      <c r="M664" s="514" t="inlineStr">
        <is>
          <t>T</t>
        </is>
      </c>
    </row>
    <row r="665">
      <c r="A665" s="485" t="n">
        <v>11</v>
      </c>
      <c r="B665" s="485" t="n">
        <v>2</v>
      </c>
      <c r="C665" s="485" t="n">
        <v>2</v>
      </c>
      <c r="D665" s="485" t="n">
        <v>2</v>
      </c>
      <c r="E665" s="485" t="n">
        <v>2</v>
      </c>
      <c r="F665" s="485" t="n">
        <v>2</v>
      </c>
      <c r="G665" s="485" t="inlineStr">
        <is>
          <t>East-Down1</t>
        </is>
      </c>
      <c r="H665" s="485" t="n">
        <v>0</v>
      </c>
      <c r="I665" s="485" t="n">
        <v>0</v>
      </c>
      <c r="J665" s="485" t="n">
        <v>0</v>
      </c>
      <c r="K665" s="485" t="n">
        <v>0</v>
      </c>
      <c r="L665" s="485" t="n">
        <v>0</v>
      </c>
      <c r="M665" s="514" t="inlineStr">
        <is>
          <t>T</t>
        </is>
      </c>
    </row>
    <row r="666">
      <c r="A666" s="485" t="n">
        <v>11</v>
      </c>
      <c r="B666" s="485" t="n">
        <v>2</v>
      </c>
      <c r="C666" s="485" t="n">
        <v>2</v>
      </c>
      <c r="D666" s="485" t="n">
        <v>2</v>
      </c>
      <c r="E666" s="485" t="n">
        <v>2</v>
      </c>
      <c r="F666" s="485" t="n">
        <v>2</v>
      </c>
      <c r="G666" s="485" t="inlineStr">
        <is>
          <t>East-Down2</t>
        </is>
      </c>
      <c r="H666" s="485" t="n">
        <v>0</v>
      </c>
      <c r="I666" s="485" t="n">
        <v>0</v>
      </c>
      <c r="J666" s="485" t="n">
        <v>0</v>
      </c>
      <c r="K666" s="485" t="n">
        <v>0</v>
      </c>
      <c r="L666" s="485" t="n">
        <v>0</v>
      </c>
      <c r="M666" s="514" t="inlineStr">
        <is>
          <t>T</t>
        </is>
      </c>
    </row>
    <row r="667">
      <c r="A667" s="485" t="n">
        <v>11</v>
      </c>
      <c r="B667" s="485" t="n">
        <v>2</v>
      </c>
      <c r="C667" s="485" t="n">
        <v>2</v>
      </c>
      <c r="D667" s="485" t="n">
        <v>2</v>
      </c>
      <c r="E667" s="485" t="n">
        <v>2</v>
      </c>
      <c r="F667" s="485" t="n">
        <v>2</v>
      </c>
      <c r="G667" s="485" t="inlineStr">
        <is>
          <t>North-Left2</t>
        </is>
      </c>
      <c r="H667" s="485" t="n">
        <v>0</v>
      </c>
      <c r="I667" s="485" t="n">
        <v>0</v>
      </c>
      <c r="J667" s="485" t="n">
        <v>0</v>
      </c>
      <c r="K667" s="485" t="n">
        <v>0</v>
      </c>
      <c r="L667" s="485" t="n">
        <v>0</v>
      </c>
      <c r="M667" s="514" t="inlineStr">
        <is>
          <t>T</t>
        </is>
      </c>
    </row>
    <row r="668">
      <c r="A668" s="485" t="n">
        <v>11</v>
      </c>
      <c r="B668" s="485" t="n">
        <v>2</v>
      </c>
      <c r="C668" s="485" t="n">
        <v>2</v>
      </c>
      <c r="D668" s="485" t="n">
        <v>2</v>
      </c>
      <c r="E668" s="485" t="n">
        <v>2</v>
      </c>
      <c r="F668" s="485" t="n">
        <v>2</v>
      </c>
      <c r="G668" s="516" t="inlineStr">
        <is>
          <t>North-Left1</t>
        </is>
      </c>
      <c r="H668" s="485" t="n">
        <v>2644</v>
      </c>
      <c r="I668" s="485" t="n">
        <v>89</v>
      </c>
      <c r="J668" s="485" t="n">
        <v>48</v>
      </c>
      <c r="K668" s="485" t="n">
        <v>22</v>
      </c>
      <c r="L668" s="485" t="n">
        <v>3</v>
      </c>
      <c r="M668" s="514" t="inlineStr">
        <is>
          <t>T</t>
        </is>
      </c>
    </row>
    <row r="669">
      <c r="A669" s="485" t="n">
        <v>11</v>
      </c>
      <c r="B669" s="485" t="n">
        <v>2</v>
      </c>
      <c r="C669" s="485" t="n">
        <v>2</v>
      </c>
      <c r="D669" s="485" t="n">
        <v>2</v>
      </c>
      <c r="E669" s="485" t="n">
        <v>2</v>
      </c>
      <c r="F669" s="485" t="n">
        <v>2</v>
      </c>
      <c r="G669" s="485" t="inlineStr">
        <is>
          <t>North-Right1</t>
        </is>
      </c>
      <c r="H669" s="485" t="n">
        <v>2640.5</v>
      </c>
      <c r="I669" s="485" t="n">
        <v>89</v>
      </c>
      <c r="J669" s="485" t="n">
        <v>48</v>
      </c>
      <c r="K669" s="485" t="n">
        <v>8</v>
      </c>
      <c r="L669" s="485" t="n">
        <v>4</v>
      </c>
      <c r="M669" s="514" t="inlineStr">
        <is>
          <t>T</t>
        </is>
      </c>
    </row>
    <row r="670">
      <c r="A670" s="485" t="n">
        <v>11</v>
      </c>
      <c r="B670" s="485" t="n">
        <v>2</v>
      </c>
      <c r="C670" s="485" t="n">
        <v>2</v>
      </c>
      <c r="D670" s="485" t="n">
        <v>2</v>
      </c>
      <c r="E670" s="485" t="n">
        <v>2</v>
      </c>
      <c r="F670" s="485" t="n">
        <v>2</v>
      </c>
      <c r="G670" s="485" t="inlineStr">
        <is>
          <t>North-Right2</t>
        </is>
      </c>
      <c r="H670" s="485" t="n">
        <v>0</v>
      </c>
      <c r="I670" s="485" t="n">
        <v>0</v>
      </c>
      <c r="J670" s="485" t="n">
        <v>0</v>
      </c>
      <c r="K670" s="485" t="n">
        <v>0</v>
      </c>
      <c r="L670" s="485" t="n">
        <v>0</v>
      </c>
      <c r="M670" s="514" t="inlineStr">
        <is>
          <t>T</t>
        </is>
      </c>
    </row>
    <row r="671">
      <c r="A671" s="485" t="n">
        <v>11</v>
      </c>
      <c r="B671" s="485" t="n">
        <v>2</v>
      </c>
      <c r="C671" s="485" t="n">
        <v>2</v>
      </c>
      <c r="D671" s="485" t="n">
        <v>2</v>
      </c>
      <c r="E671" s="485" t="n">
        <v>2</v>
      </c>
      <c r="F671" s="485" t="n">
        <v>2</v>
      </c>
      <c r="G671" s="485" t="inlineStr">
        <is>
          <t>South-Left2</t>
        </is>
      </c>
      <c r="H671" s="485" t="n">
        <v>0</v>
      </c>
      <c r="I671" s="485" t="n">
        <v>0</v>
      </c>
      <c r="J671" s="485" t="n">
        <v>0</v>
      </c>
      <c r="K671" s="485" t="n">
        <v>0</v>
      </c>
      <c r="L671" s="485" t="n">
        <v>0</v>
      </c>
      <c r="M671" s="514" t="inlineStr">
        <is>
          <t>T</t>
        </is>
      </c>
    </row>
    <row r="672">
      <c r="A672" s="485" t="n">
        <v>11</v>
      </c>
      <c r="B672" s="485" t="n">
        <v>2</v>
      </c>
      <c r="C672" s="485" t="n">
        <v>2</v>
      </c>
      <c r="D672" s="485" t="n">
        <v>2</v>
      </c>
      <c r="E672" s="485" t="n">
        <v>2</v>
      </c>
      <c r="F672" s="485" t="n">
        <v>2</v>
      </c>
      <c r="G672" s="516" t="inlineStr">
        <is>
          <t>South-Left1</t>
        </is>
      </c>
      <c r="H672" s="485" t="n">
        <v>2646.55</v>
      </c>
      <c r="I672" s="485" t="n">
        <v>89</v>
      </c>
      <c r="J672" s="485" t="n">
        <v>42</v>
      </c>
      <c r="K672" s="485" t="n">
        <v>42</v>
      </c>
      <c r="L672" s="485" t="n">
        <v>3</v>
      </c>
      <c r="M672" s="514" t="inlineStr">
        <is>
          <t>T</t>
        </is>
      </c>
    </row>
    <row r="673">
      <c r="A673" s="485" t="n">
        <v>11</v>
      </c>
      <c r="B673" s="485" t="n">
        <v>2</v>
      </c>
      <c r="C673" s="485" t="n">
        <v>2</v>
      </c>
      <c r="D673" s="485" t="n">
        <v>2</v>
      </c>
      <c r="E673" s="485" t="n">
        <v>2</v>
      </c>
      <c r="F673" s="485" t="n">
        <v>2</v>
      </c>
      <c r="G673" s="485" t="inlineStr">
        <is>
          <t>South-Right1</t>
        </is>
      </c>
      <c r="H673" s="485" t="n">
        <v>2642.26</v>
      </c>
      <c r="I673" s="485" t="n">
        <v>89</v>
      </c>
      <c r="J673" s="485" t="n">
        <v>45</v>
      </c>
      <c r="K673" s="485" t="n">
        <v>6</v>
      </c>
      <c r="L673" s="485" t="n">
        <v>2</v>
      </c>
      <c r="M673" s="514" t="inlineStr">
        <is>
          <t>T</t>
        </is>
      </c>
    </row>
    <row r="674">
      <c r="A674" s="485" t="n">
        <v>11</v>
      </c>
      <c r="B674" s="485" t="n">
        <v>2</v>
      </c>
      <c r="C674" s="485" t="n">
        <v>2</v>
      </c>
      <c r="D674" s="485" t="n">
        <v>2</v>
      </c>
      <c r="E674" s="485" t="n">
        <v>2</v>
      </c>
      <c r="F674" s="485" t="n">
        <v>2</v>
      </c>
      <c r="G674" s="485" t="inlineStr">
        <is>
          <t>South-Right2</t>
        </is>
      </c>
      <c r="H674" s="485" t="n">
        <v>0</v>
      </c>
      <c r="I674" s="485" t="n">
        <v>0</v>
      </c>
      <c r="J674" s="485" t="n">
        <v>0</v>
      </c>
      <c r="K674" s="485" t="n">
        <v>0</v>
      </c>
      <c r="L674" s="485" t="n">
        <v>0</v>
      </c>
      <c r="M674" s="514" t="inlineStr">
        <is>
          <t>T</t>
        </is>
      </c>
    </row>
    <row r="675">
      <c r="A675" s="486" t="n">
        <v>11</v>
      </c>
      <c r="B675" s="486" t="n">
        <v>2</v>
      </c>
      <c r="C675" s="486" t="n">
        <v>2</v>
      </c>
      <c r="D675" s="486" t="n">
        <v>3</v>
      </c>
      <c r="E675" s="486" t="n">
        <v>2</v>
      </c>
      <c r="F675" s="486" t="n">
        <v>2</v>
      </c>
      <c r="G675" s="486" t="inlineStr">
        <is>
          <t>West-Up2</t>
        </is>
      </c>
      <c r="H675" s="486" t="n">
        <v>1301.23</v>
      </c>
      <c r="I675" s="486" t="n">
        <v>0</v>
      </c>
      <c r="J675" s="486" t="n">
        <v>6</v>
      </c>
      <c r="K675" s="486" t="n">
        <v>3</v>
      </c>
      <c r="L675" s="486" t="n">
        <v>2</v>
      </c>
      <c r="M675" s="492" t="inlineStr">
        <is>
          <t>T</t>
        </is>
      </c>
    </row>
    <row r="676">
      <c r="A676" s="486" t="n">
        <v>11</v>
      </c>
      <c r="B676" s="486" t="n">
        <v>2</v>
      </c>
      <c r="C676" s="486" t="n">
        <v>2</v>
      </c>
      <c r="D676" s="486" t="n">
        <v>3</v>
      </c>
      <c r="E676" s="486" t="n">
        <v>2</v>
      </c>
      <c r="F676" s="486" t="n">
        <v>2</v>
      </c>
      <c r="G676" s="475" t="inlineStr">
        <is>
          <t>West-Up1</t>
        </is>
      </c>
      <c r="H676" s="486" t="n">
        <v>1301.25</v>
      </c>
      <c r="I676" s="486" t="n">
        <v>0</v>
      </c>
      <c r="J676" s="486" t="n">
        <v>6</v>
      </c>
      <c r="K676" s="486" t="n">
        <v>17</v>
      </c>
      <c r="L676" s="486" t="n">
        <v>2</v>
      </c>
      <c r="M676" s="492" t="inlineStr">
        <is>
          <t>T</t>
        </is>
      </c>
    </row>
    <row r="677">
      <c r="A677" s="486" t="n">
        <v>11</v>
      </c>
      <c r="B677" s="486" t="n">
        <v>2</v>
      </c>
      <c r="C677" s="486" t="n">
        <v>2</v>
      </c>
      <c r="D677" s="486" t="n">
        <v>3</v>
      </c>
      <c r="E677" s="486" t="n">
        <v>2</v>
      </c>
      <c r="F677" s="486" t="n">
        <v>2</v>
      </c>
      <c r="G677" s="486" t="inlineStr">
        <is>
          <t>West-Down1</t>
        </is>
      </c>
      <c r="H677" s="486" t="n">
        <v>1316.88</v>
      </c>
      <c r="I677" s="486" t="n">
        <v>0</v>
      </c>
      <c r="J677" s="486" t="n">
        <v>5</v>
      </c>
      <c r="K677" s="486" t="n">
        <v>1</v>
      </c>
      <c r="L677" s="486" t="n">
        <v>2</v>
      </c>
      <c r="M677" s="492" t="inlineStr">
        <is>
          <t>T</t>
        </is>
      </c>
    </row>
    <row r="678">
      <c r="A678" s="486" t="n">
        <v>11</v>
      </c>
      <c r="B678" s="486" t="n">
        <v>2</v>
      </c>
      <c r="C678" s="486" t="n">
        <v>2</v>
      </c>
      <c r="D678" s="486" t="n">
        <v>3</v>
      </c>
      <c r="E678" s="486" t="n">
        <v>2</v>
      </c>
      <c r="F678" s="486" t="n">
        <v>2</v>
      </c>
      <c r="G678" s="486" t="inlineStr">
        <is>
          <t>West-Down2</t>
        </is>
      </c>
      <c r="H678" s="486" t="n">
        <v>1313.87</v>
      </c>
      <c r="I678" s="486" t="n">
        <v>0</v>
      </c>
      <c r="J678" s="486" t="n">
        <v>5</v>
      </c>
      <c r="K678" s="486" t="n">
        <v>15</v>
      </c>
      <c r="L678" s="486" t="n">
        <v>2</v>
      </c>
      <c r="M678" s="492" t="inlineStr">
        <is>
          <t>T</t>
        </is>
      </c>
    </row>
    <row r="679">
      <c r="A679" s="486" t="n">
        <v>11</v>
      </c>
      <c r="B679" s="486" t="n">
        <v>2</v>
      </c>
      <c r="C679" s="486" t="n">
        <v>2</v>
      </c>
      <c r="D679" s="486" t="n">
        <v>3</v>
      </c>
      <c r="E679" s="486" t="n">
        <v>2</v>
      </c>
      <c r="F679" s="486" t="n">
        <v>2</v>
      </c>
      <c r="G679" s="486" t="inlineStr">
        <is>
          <t>East-Up2</t>
        </is>
      </c>
      <c r="H679" s="486" t="n">
        <v>1270.77</v>
      </c>
      <c r="I679" s="486" t="n">
        <v>0</v>
      </c>
      <c r="J679" s="486" t="n">
        <v>26</v>
      </c>
      <c r="K679" s="486" t="n">
        <v>3</v>
      </c>
      <c r="L679" s="486" t="n">
        <v>4</v>
      </c>
      <c r="M679" s="492" t="inlineStr">
        <is>
          <t>T</t>
        </is>
      </c>
    </row>
    <row r="680">
      <c r="A680" s="486" t="n">
        <v>11</v>
      </c>
      <c r="B680" s="486" t="n">
        <v>2</v>
      </c>
      <c r="C680" s="486" t="n">
        <v>2</v>
      </c>
      <c r="D680" s="486" t="n">
        <v>3</v>
      </c>
      <c r="E680" s="486" t="n">
        <v>2</v>
      </c>
      <c r="F680" s="486" t="n">
        <v>2</v>
      </c>
      <c r="G680" s="475" t="inlineStr">
        <is>
          <t>East-Up1</t>
        </is>
      </c>
      <c r="H680" s="486" t="n">
        <v>1318.27</v>
      </c>
      <c r="I680" s="486" t="n">
        <v>0</v>
      </c>
      <c r="J680" s="486" t="n">
        <v>26</v>
      </c>
      <c r="K680" s="486" t="n">
        <v>21</v>
      </c>
      <c r="L680" s="486" t="n">
        <v>4</v>
      </c>
      <c r="M680" s="492" t="inlineStr">
        <is>
          <t>T</t>
        </is>
      </c>
    </row>
    <row r="681">
      <c r="A681" s="486" t="n">
        <v>11</v>
      </c>
      <c r="B681" s="486" t="n">
        <v>2</v>
      </c>
      <c r="C681" s="486" t="n">
        <v>2</v>
      </c>
      <c r="D681" s="486" t="n">
        <v>3</v>
      </c>
      <c r="E681" s="486" t="n">
        <v>2</v>
      </c>
      <c r="F681" s="486" t="n">
        <v>2</v>
      </c>
      <c r="G681" s="486" t="inlineStr">
        <is>
          <t>East-Down1</t>
        </is>
      </c>
      <c r="H681" s="486" t="n">
        <v>1313.31</v>
      </c>
      <c r="I681" s="486" t="n">
        <v>0</v>
      </c>
      <c r="J681" s="486" t="n">
        <v>12</v>
      </c>
      <c r="K681" s="486" t="n">
        <v>33</v>
      </c>
      <c r="L681" s="486" t="n">
        <v>2</v>
      </c>
      <c r="M681" s="492" t="inlineStr">
        <is>
          <t>T</t>
        </is>
      </c>
    </row>
    <row r="682">
      <c r="A682" s="486" t="n">
        <v>11</v>
      </c>
      <c r="B682" s="486" t="n">
        <v>2</v>
      </c>
      <c r="C682" s="486" t="n">
        <v>2</v>
      </c>
      <c r="D682" s="486" t="n">
        <v>3</v>
      </c>
      <c r="E682" s="486" t="n">
        <v>2</v>
      </c>
      <c r="F682" s="486" t="n">
        <v>2</v>
      </c>
      <c r="G682" s="486" t="inlineStr">
        <is>
          <t>East-Down2</t>
        </is>
      </c>
      <c r="H682" s="486" t="n">
        <v>1313.65</v>
      </c>
      <c r="I682" s="486" t="n">
        <v>0</v>
      </c>
      <c r="J682" s="486" t="n">
        <v>12</v>
      </c>
      <c r="K682" s="486" t="n">
        <v>47</v>
      </c>
      <c r="L682" s="486" t="n">
        <v>2</v>
      </c>
      <c r="M682" s="492" t="inlineStr">
        <is>
          <t>T</t>
        </is>
      </c>
    </row>
    <row r="683">
      <c r="A683" s="486" t="n">
        <v>11</v>
      </c>
      <c r="B683" s="486" t="n">
        <v>2</v>
      </c>
      <c r="C683" s="486" t="n">
        <v>2</v>
      </c>
      <c r="D683" s="486" t="n">
        <v>3</v>
      </c>
      <c r="E683" s="486" t="n">
        <v>2</v>
      </c>
      <c r="F683" s="486" t="n">
        <v>2</v>
      </c>
      <c r="G683" s="486" t="inlineStr">
        <is>
          <t>North-Left2</t>
        </is>
      </c>
      <c r="H683" s="486" t="n">
        <v>0</v>
      </c>
      <c r="I683" s="486" t="n">
        <v>0</v>
      </c>
      <c r="J683" s="486" t="n">
        <v>0</v>
      </c>
      <c r="K683" s="486" t="n">
        <v>0</v>
      </c>
      <c r="L683" s="486" t="n">
        <v>0</v>
      </c>
      <c r="M683" s="492" t="inlineStr">
        <is>
          <t>T</t>
        </is>
      </c>
    </row>
    <row r="684">
      <c r="A684" s="486" t="n">
        <v>11</v>
      </c>
      <c r="B684" s="486" t="n">
        <v>2</v>
      </c>
      <c r="C684" s="486" t="n">
        <v>2</v>
      </c>
      <c r="D684" s="486" t="n">
        <v>3</v>
      </c>
      <c r="E684" s="486" t="n">
        <v>2</v>
      </c>
      <c r="F684" s="486" t="n">
        <v>2</v>
      </c>
      <c r="G684" s="475" t="inlineStr">
        <is>
          <t>North-Left1</t>
        </is>
      </c>
      <c r="H684" s="486" t="n">
        <v>5265.34</v>
      </c>
      <c r="I684" s="486" t="n">
        <v>59</v>
      </c>
      <c r="J684" s="486" t="n">
        <v>57</v>
      </c>
      <c r="K684" s="486" t="n">
        <v>16</v>
      </c>
      <c r="L684" s="486" t="n">
        <v>4</v>
      </c>
      <c r="M684" s="492" t="inlineStr">
        <is>
          <t>T</t>
        </is>
      </c>
    </row>
    <row r="685">
      <c r="A685" s="486" t="n">
        <v>11</v>
      </c>
      <c r="B685" s="486" t="n">
        <v>2</v>
      </c>
      <c r="C685" s="486" t="n">
        <v>2</v>
      </c>
      <c r="D685" s="486" t="n">
        <v>3</v>
      </c>
      <c r="E685" s="486" t="n">
        <v>2</v>
      </c>
      <c r="F685" s="486" t="n">
        <v>2</v>
      </c>
      <c r="G685" s="486" t="inlineStr">
        <is>
          <t>North-Right1</t>
        </is>
      </c>
      <c r="H685" s="486" t="n">
        <v>0</v>
      </c>
      <c r="I685" s="486" t="n">
        <v>0</v>
      </c>
      <c r="J685" s="486" t="n">
        <v>0</v>
      </c>
      <c r="K685" s="486" t="n">
        <v>0</v>
      </c>
      <c r="L685" s="486" t="n">
        <v>0</v>
      </c>
      <c r="M685" s="492" t="inlineStr">
        <is>
          <t>T</t>
        </is>
      </c>
    </row>
    <row r="686">
      <c r="A686" s="486" t="n">
        <v>11</v>
      </c>
      <c r="B686" s="486" t="n">
        <v>2</v>
      </c>
      <c r="C686" s="486" t="n">
        <v>2</v>
      </c>
      <c r="D686" s="486" t="n">
        <v>3</v>
      </c>
      <c r="E686" s="486" t="n">
        <v>2</v>
      </c>
      <c r="F686" s="486" t="n">
        <v>2</v>
      </c>
      <c r="G686" s="486" t="inlineStr">
        <is>
          <t>North-Right2</t>
        </is>
      </c>
      <c r="H686" s="486" t="n">
        <v>0</v>
      </c>
      <c r="I686" s="486" t="n">
        <v>0</v>
      </c>
      <c r="J686" s="486" t="n">
        <v>0</v>
      </c>
      <c r="K686" s="486" t="n">
        <v>0</v>
      </c>
      <c r="L686" s="486" t="n">
        <v>0</v>
      </c>
      <c r="M686" s="492" t="inlineStr">
        <is>
          <t>T</t>
        </is>
      </c>
    </row>
    <row r="687">
      <c r="A687" s="486" t="n">
        <v>11</v>
      </c>
      <c r="B687" s="486" t="n">
        <v>2</v>
      </c>
      <c r="C687" s="486" t="n">
        <v>2</v>
      </c>
      <c r="D687" s="486" t="n">
        <v>3</v>
      </c>
      <c r="E687" s="486" t="n">
        <v>2</v>
      </c>
      <c r="F687" s="486" t="n">
        <v>2</v>
      </c>
      <c r="G687" s="486" t="inlineStr">
        <is>
          <t>South-Left2</t>
        </is>
      </c>
      <c r="H687" s="486" t="n">
        <v>0</v>
      </c>
      <c r="I687" s="486" t="n">
        <v>0</v>
      </c>
      <c r="J687" s="486" t="n">
        <v>0</v>
      </c>
      <c r="K687" s="486" t="n">
        <v>0</v>
      </c>
      <c r="L687" s="486" t="n">
        <v>0</v>
      </c>
      <c r="M687" s="492" t="inlineStr">
        <is>
          <t>T</t>
        </is>
      </c>
    </row>
    <row r="688">
      <c r="A688" s="486" t="n">
        <v>11</v>
      </c>
      <c r="B688" s="486" t="n">
        <v>2</v>
      </c>
      <c r="C688" s="486" t="n">
        <v>2</v>
      </c>
      <c r="D688" s="486" t="n">
        <v>3</v>
      </c>
      <c r="E688" s="486" t="n">
        <v>2</v>
      </c>
      <c r="F688" s="486" t="n">
        <v>2</v>
      </c>
      <c r="G688" s="475" t="inlineStr">
        <is>
          <t>South-Left1</t>
        </is>
      </c>
      <c r="H688" s="486" t="n">
        <v>5284.01</v>
      </c>
      <c r="I688" s="486" t="n">
        <v>89</v>
      </c>
      <c r="J688" s="486" t="n">
        <v>49</v>
      </c>
      <c r="K688" s="486" t="n">
        <v>43</v>
      </c>
      <c r="L688" s="486" t="n">
        <v>3</v>
      </c>
      <c r="M688" s="492" t="inlineStr">
        <is>
          <t>T</t>
        </is>
      </c>
    </row>
    <row r="689">
      <c r="A689" s="486" t="n">
        <v>11</v>
      </c>
      <c r="B689" s="486" t="n">
        <v>2</v>
      </c>
      <c r="C689" s="486" t="n">
        <v>2</v>
      </c>
      <c r="D689" s="486" t="n">
        <v>3</v>
      </c>
      <c r="E689" s="486" t="n">
        <v>2</v>
      </c>
      <c r="F689" s="486" t="n">
        <v>2</v>
      </c>
      <c r="G689" s="486" t="inlineStr">
        <is>
          <t>South-Right1</t>
        </is>
      </c>
      <c r="H689" s="486" t="n">
        <v>0</v>
      </c>
      <c r="I689" s="486" t="n">
        <v>0</v>
      </c>
      <c r="J689" s="486" t="n">
        <v>0</v>
      </c>
      <c r="K689" s="486" t="n">
        <v>0</v>
      </c>
      <c r="L689" s="486" t="n">
        <v>0</v>
      </c>
      <c r="M689" s="492" t="inlineStr">
        <is>
          <t>T</t>
        </is>
      </c>
    </row>
    <row r="690">
      <c r="A690" s="486" t="n">
        <v>11</v>
      </c>
      <c r="B690" s="486" t="n">
        <v>2</v>
      </c>
      <c r="C690" s="486" t="n">
        <v>2</v>
      </c>
      <c r="D690" s="486" t="n">
        <v>3</v>
      </c>
      <c r="E690" s="486" t="n">
        <v>2</v>
      </c>
      <c r="F690" s="486" t="n">
        <v>2</v>
      </c>
      <c r="G690" s="486" t="inlineStr">
        <is>
          <t>South-Right2</t>
        </is>
      </c>
      <c r="H690" s="486" t="n">
        <v>0</v>
      </c>
      <c r="I690" s="486" t="n">
        <v>0</v>
      </c>
      <c r="J690" s="486" t="n">
        <v>0</v>
      </c>
      <c r="K690" s="486" t="n">
        <v>0</v>
      </c>
      <c r="L690" s="486" t="n">
        <v>0</v>
      </c>
      <c r="M690" s="492" t="inlineStr">
        <is>
          <t>T</t>
        </is>
      </c>
    </row>
    <row r="691">
      <c r="A691" s="486" t="n">
        <v>12</v>
      </c>
      <c r="B691" s="486" t="n">
        <v>9</v>
      </c>
      <c r="C691" s="486" t="n">
        <v>2</v>
      </c>
      <c r="D691" s="486" t="n">
        <v>19</v>
      </c>
      <c r="E691" s="486" t="n">
        <v>1</v>
      </c>
      <c r="F691" s="486" t="n">
        <v>1</v>
      </c>
      <c r="G691" s="486" t="inlineStr">
        <is>
          <t>West-Up2</t>
        </is>
      </c>
      <c r="H691" s="486" t="n">
        <v>0</v>
      </c>
      <c r="I691" s="486" t="n">
        <v>0</v>
      </c>
      <c r="J691" s="486" t="n">
        <v>0</v>
      </c>
      <c r="K691" s="486" t="n">
        <v>0</v>
      </c>
      <c r="L691" s="486" t="n">
        <v>0</v>
      </c>
      <c r="M691" s="487" t="n"/>
    </row>
    <row r="692">
      <c r="A692" s="486" t="n">
        <v>12</v>
      </c>
      <c r="B692" s="486" t="n">
        <v>9</v>
      </c>
      <c r="C692" s="486" t="n">
        <v>2</v>
      </c>
      <c r="D692" s="486" t="n">
        <v>19</v>
      </c>
      <c r="E692" s="486" t="n">
        <v>1</v>
      </c>
      <c r="F692" s="486" t="n">
        <v>1</v>
      </c>
      <c r="G692" s="475" t="inlineStr">
        <is>
          <t>West-Up1</t>
        </is>
      </c>
      <c r="H692" s="486" t="n">
        <v>2069.41</v>
      </c>
      <c r="I692" s="486" t="n">
        <v>1</v>
      </c>
      <c r="J692" s="486" t="n">
        <v>6</v>
      </c>
      <c r="K692" s="486" t="n">
        <v>43</v>
      </c>
      <c r="L692" s="486" t="n">
        <v>4</v>
      </c>
      <c r="M692" s="487" t="n"/>
    </row>
    <row r="693">
      <c r="A693" s="486" t="n">
        <v>12</v>
      </c>
      <c r="B693" s="486" t="n">
        <v>9</v>
      </c>
      <c r="C693" s="486" t="n">
        <v>2</v>
      </c>
      <c r="D693" s="486" t="n">
        <v>19</v>
      </c>
      <c r="E693" s="486" t="n">
        <v>1</v>
      </c>
      <c r="F693" s="486" t="n">
        <v>1</v>
      </c>
      <c r="G693" s="486" t="inlineStr">
        <is>
          <t>West-Down1</t>
        </is>
      </c>
      <c r="H693" s="486" t="n">
        <v>2636.64</v>
      </c>
      <c r="I693" s="486" t="n">
        <v>1</v>
      </c>
      <c r="J693" s="486" t="n">
        <v>5</v>
      </c>
      <c r="K693" s="486" t="n">
        <v>4</v>
      </c>
      <c r="L693" s="486" t="n">
        <v>4</v>
      </c>
      <c r="M693" s="487" t="n"/>
    </row>
    <row r="694">
      <c r="A694" s="486" t="n">
        <v>12</v>
      </c>
      <c r="B694" s="486" t="n">
        <v>9</v>
      </c>
      <c r="C694" s="486" t="n">
        <v>2</v>
      </c>
      <c r="D694" s="486" t="n">
        <v>19</v>
      </c>
      <c r="E694" s="486" t="n">
        <v>1</v>
      </c>
      <c r="F694" s="486" t="n">
        <v>1</v>
      </c>
      <c r="G694" s="486" t="inlineStr">
        <is>
          <t>West-Down2</t>
        </is>
      </c>
      <c r="H694" s="486" t="n">
        <v>574.46</v>
      </c>
      <c r="I694" s="486" t="n">
        <v>1</v>
      </c>
      <c r="J694" s="486" t="n">
        <v>4</v>
      </c>
      <c r="K694" s="486" t="n">
        <v>47</v>
      </c>
      <c r="L694" s="486" t="n">
        <v>4</v>
      </c>
      <c r="M694" s="487" t="n"/>
    </row>
    <row r="695">
      <c r="A695" s="486" t="n">
        <v>12</v>
      </c>
      <c r="B695" s="486" t="n">
        <v>9</v>
      </c>
      <c r="C695" s="486" t="n">
        <v>2</v>
      </c>
      <c r="D695" s="486" t="n">
        <v>19</v>
      </c>
      <c r="E695" s="486" t="n">
        <v>1</v>
      </c>
      <c r="F695" s="486" t="n">
        <v>1</v>
      </c>
      <c r="G695" s="486" t="inlineStr">
        <is>
          <t>East-Up2</t>
        </is>
      </c>
      <c r="H695" s="486" t="n">
        <v>0</v>
      </c>
      <c r="I695" s="486" t="n">
        <v>0</v>
      </c>
      <c r="J695" s="486" t="n">
        <v>0</v>
      </c>
      <c r="K695" s="486" t="n">
        <v>0</v>
      </c>
      <c r="L695" s="486" t="n">
        <v>0</v>
      </c>
      <c r="M695" s="487" t="n"/>
    </row>
    <row r="696">
      <c r="A696" s="486" t="n">
        <v>12</v>
      </c>
      <c r="B696" s="486" t="n">
        <v>9</v>
      </c>
      <c r="C696" s="486" t="n">
        <v>2</v>
      </c>
      <c r="D696" s="486" t="n">
        <v>19</v>
      </c>
      <c r="E696" s="486" t="n">
        <v>1</v>
      </c>
      <c r="F696" s="486" t="n">
        <v>1</v>
      </c>
      <c r="G696" s="475" t="inlineStr">
        <is>
          <t>East-Up1</t>
        </is>
      </c>
      <c r="H696" s="486" t="n">
        <v>2640.57</v>
      </c>
      <c r="I696" s="486" t="n">
        <v>0</v>
      </c>
      <c r="J696" s="486" t="n">
        <v>12</v>
      </c>
      <c r="K696" s="486" t="n">
        <v>8</v>
      </c>
      <c r="L696" s="486" t="n">
        <v>2</v>
      </c>
      <c r="M696" s="487" t="n"/>
    </row>
    <row r="697">
      <c r="A697" s="486" t="n">
        <v>12</v>
      </c>
      <c r="B697" s="486" t="n">
        <v>9</v>
      </c>
      <c r="C697" s="486" t="n">
        <v>2</v>
      </c>
      <c r="D697" s="486" t="n">
        <v>19</v>
      </c>
      <c r="E697" s="486" t="n">
        <v>1</v>
      </c>
      <c r="F697" s="486" t="n">
        <v>1</v>
      </c>
      <c r="G697" s="486" t="inlineStr">
        <is>
          <t>East-Down1</t>
        </is>
      </c>
      <c r="H697" s="486" t="n">
        <v>2655.04</v>
      </c>
      <c r="I697" s="486" t="n">
        <v>0</v>
      </c>
      <c r="J697" s="486" t="n">
        <v>26</v>
      </c>
      <c r="K697" s="486" t="n">
        <v>29</v>
      </c>
      <c r="L697" s="486" t="n">
        <v>4</v>
      </c>
      <c r="M697" s="487" t="n"/>
    </row>
    <row r="698">
      <c r="A698" s="486" t="n">
        <v>12</v>
      </c>
      <c r="B698" s="486" t="n">
        <v>9</v>
      </c>
      <c r="C698" s="486" t="n">
        <v>2</v>
      </c>
      <c r="D698" s="486" t="n">
        <v>19</v>
      </c>
      <c r="E698" s="486" t="n">
        <v>1</v>
      </c>
      <c r="F698" s="486" t="n">
        <v>1</v>
      </c>
      <c r="G698" s="486" t="inlineStr">
        <is>
          <t>East-Down2</t>
        </is>
      </c>
      <c r="H698" s="486" t="n">
        <v>0</v>
      </c>
      <c r="I698" s="486" t="n">
        <v>0</v>
      </c>
      <c r="J698" s="486" t="n">
        <v>0</v>
      </c>
      <c r="K698" s="486" t="n">
        <v>0</v>
      </c>
      <c r="L698" s="486" t="n">
        <v>0</v>
      </c>
      <c r="M698" s="487" t="n"/>
    </row>
    <row r="699">
      <c r="A699" s="486" t="n">
        <v>12</v>
      </c>
      <c r="B699" s="486" t="n">
        <v>9</v>
      </c>
      <c r="C699" s="486" t="n">
        <v>2</v>
      </c>
      <c r="D699" s="486" t="n">
        <v>19</v>
      </c>
      <c r="E699" s="486" t="n">
        <v>1</v>
      </c>
      <c r="F699" s="486" t="n">
        <v>1</v>
      </c>
      <c r="G699" s="486" t="inlineStr">
        <is>
          <t>North-Left2</t>
        </is>
      </c>
      <c r="H699" s="486" t="n">
        <v>0</v>
      </c>
      <c r="I699" s="486" t="n">
        <v>0</v>
      </c>
      <c r="J699" s="486" t="n">
        <v>0</v>
      </c>
      <c r="K699" s="486" t="n">
        <v>0</v>
      </c>
      <c r="L699" s="486" t="n">
        <v>0</v>
      </c>
      <c r="M699" s="487" t="n"/>
    </row>
    <row r="700">
      <c r="A700" s="486" t="n">
        <v>12</v>
      </c>
      <c r="B700" s="486" t="n">
        <v>9</v>
      </c>
      <c r="C700" s="486" t="n">
        <v>2</v>
      </c>
      <c r="D700" s="486" t="n">
        <v>19</v>
      </c>
      <c r="E700" s="486" t="n">
        <v>1</v>
      </c>
      <c r="F700" s="486" t="n">
        <v>1</v>
      </c>
      <c r="G700" s="475" t="inlineStr">
        <is>
          <t>North-Left1</t>
        </is>
      </c>
      <c r="H700" s="486" t="n">
        <v>2392.5</v>
      </c>
      <c r="I700" s="486" t="n">
        <v>90</v>
      </c>
      <c r="J700" s="486" t="n">
        <v>0</v>
      </c>
      <c r="K700" s="486" t="n">
        <v>0</v>
      </c>
      <c r="L700" s="486" t="n">
        <v>4</v>
      </c>
      <c r="M700" s="487" t="n"/>
    </row>
    <row r="701">
      <c r="A701" s="486" t="n">
        <v>12</v>
      </c>
      <c r="B701" s="486" t="n">
        <v>9</v>
      </c>
      <c r="C701" s="486" t="n">
        <v>2</v>
      </c>
      <c r="D701" s="486" t="n">
        <v>19</v>
      </c>
      <c r="E701" s="486" t="n">
        <v>1</v>
      </c>
      <c r="F701" s="486" t="n">
        <v>1</v>
      </c>
      <c r="G701" s="486" t="inlineStr">
        <is>
          <t>North-Right1</t>
        </is>
      </c>
      <c r="H701" s="486" t="n">
        <v>2392.5</v>
      </c>
      <c r="I701" s="486" t="n">
        <v>90</v>
      </c>
      <c r="J701" s="486" t="n">
        <v>0</v>
      </c>
      <c r="K701" s="486" t="n">
        <v>0</v>
      </c>
      <c r="L701" s="486" t="n">
        <v>4</v>
      </c>
      <c r="M701" s="487" t="n"/>
    </row>
    <row r="702">
      <c r="A702" s="486" t="n">
        <v>12</v>
      </c>
      <c r="B702" s="486" t="n">
        <v>9</v>
      </c>
      <c r="C702" s="486" t="n">
        <v>2</v>
      </c>
      <c r="D702" s="486" t="n">
        <v>19</v>
      </c>
      <c r="E702" s="486" t="n">
        <v>1</v>
      </c>
      <c r="F702" s="486" t="n">
        <v>1</v>
      </c>
      <c r="G702" s="486" t="inlineStr">
        <is>
          <t>North-Right2</t>
        </is>
      </c>
      <c r="H702" s="486" t="n">
        <v>0</v>
      </c>
      <c r="I702" s="486" t="n">
        <v>0</v>
      </c>
      <c r="J702" s="486" t="n">
        <v>0</v>
      </c>
      <c r="K702" s="486" t="n">
        <v>0</v>
      </c>
      <c r="L702" s="486" t="n">
        <v>0</v>
      </c>
      <c r="M702" s="487" t="n"/>
    </row>
    <row r="703">
      <c r="A703" s="486" t="n">
        <v>12</v>
      </c>
      <c r="B703" s="486" t="n">
        <v>9</v>
      </c>
      <c r="C703" s="486" t="n">
        <v>2</v>
      </c>
      <c r="D703" s="486" t="n">
        <v>19</v>
      </c>
      <c r="E703" s="486" t="n">
        <v>1</v>
      </c>
      <c r="F703" s="486" t="n">
        <v>1</v>
      </c>
      <c r="G703" s="486" t="inlineStr">
        <is>
          <t>South-Left2</t>
        </is>
      </c>
      <c r="H703" s="486" t="n">
        <v>1204.99</v>
      </c>
      <c r="I703" s="486" t="n">
        <v>88</v>
      </c>
      <c r="J703" s="486" t="n">
        <v>12</v>
      </c>
      <c r="K703" s="486" t="n">
        <v>32</v>
      </c>
      <c r="L703" s="486" t="n">
        <v>2</v>
      </c>
      <c r="M703" s="487" t="n"/>
    </row>
    <row r="704">
      <c r="A704" s="486" t="n">
        <v>12</v>
      </c>
      <c r="B704" s="486" t="n">
        <v>9</v>
      </c>
      <c r="C704" s="486" t="n">
        <v>2</v>
      </c>
      <c r="D704" s="486" t="n">
        <v>19</v>
      </c>
      <c r="E704" s="486" t="n">
        <v>1</v>
      </c>
      <c r="F704" s="486" t="n">
        <v>1</v>
      </c>
      <c r="G704" s="475" t="inlineStr">
        <is>
          <t>South-Left1</t>
        </is>
      </c>
      <c r="H704" s="486" t="n">
        <v>1273.14</v>
      </c>
      <c r="I704" s="486" t="n">
        <v>90</v>
      </c>
      <c r="J704" s="486" t="n">
        <v>0</v>
      </c>
      <c r="K704" s="486" t="n">
        <v>0</v>
      </c>
      <c r="L704" s="486" t="n">
        <v>4</v>
      </c>
      <c r="M704" s="487" t="n"/>
    </row>
    <row r="705">
      <c r="A705" s="486" t="n">
        <v>12</v>
      </c>
      <c r="B705" s="486" t="n">
        <v>9</v>
      </c>
      <c r="C705" s="486" t="n">
        <v>2</v>
      </c>
      <c r="D705" s="486" t="n">
        <v>19</v>
      </c>
      <c r="E705" s="486" t="n">
        <v>1</v>
      </c>
      <c r="F705" s="486" t="n">
        <v>1</v>
      </c>
      <c r="G705" s="486" t="inlineStr">
        <is>
          <t>South-Right1</t>
        </is>
      </c>
      <c r="H705" s="486" t="n">
        <v>2660.41</v>
      </c>
      <c r="I705" s="486" t="n">
        <v>89</v>
      </c>
      <c r="J705" s="486" t="n">
        <v>31</v>
      </c>
      <c r="K705" s="486" t="n">
        <v>25</v>
      </c>
      <c r="L705" s="486" t="n">
        <v>2</v>
      </c>
      <c r="M705" s="487" t="n"/>
    </row>
    <row r="706">
      <c r="A706" s="486" t="n">
        <v>12</v>
      </c>
      <c r="B706" s="486" t="n">
        <v>9</v>
      </c>
      <c r="C706" s="486" t="n">
        <v>2</v>
      </c>
      <c r="D706" s="486" t="n">
        <v>19</v>
      </c>
      <c r="E706" s="486" t="n">
        <v>1</v>
      </c>
      <c r="F706" s="486" t="n">
        <v>1</v>
      </c>
      <c r="G706" s="486" t="inlineStr">
        <is>
          <t>South-Right2</t>
        </is>
      </c>
      <c r="H706" s="486" t="n">
        <v>0</v>
      </c>
      <c r="I706" s="486" t="n">
        <v>0</v>
      </c>
      <c r="J706" s="486" t="n">
        <v>0</v>
      </c>
      <c r="K706" s="486" t="n">
        <v>0</v>
      </c>
      <c r="L706" s="486" t="n">
        <v>0</v>
      </c>
      <c r="M706" s="487" t="n"/>
    </row>
    <row r="707">
      <c r="A707" s="486" t="n">
        <v>12</v>
      </c>
      <c r="B707" s="486" t="n">
        <v>2</v>
      </c>
      <c r="C707" s="486" t="n">
        <v>2</v>
      </c>
      <c r="D707" s="486" t="n">
        <v>2</v>
      </c>
      <c r="E707" s="486" t="n">
        <v>2</v>
      </c>
      <c r="F707" s="486" t="n">
        <v>2</v>
      </c>
      <c r="G707" s="486" t="inlineStr">
        <is>
          <t>West-Up2</t>
        </is>
      </c>
      <c r="H707" s="486" t="n">
        <v>0</v>
      </c>
      <c r="I707" s="486" t="n">
        <v>0</v>
      </c>
      <c r="J707" s="486" t="n">
        <v>0</v>
      </c>
      <c r="K707" s="486" t="n">
        <v>0</v>
      </c>
      <c r="L707" s="486" t="n">
        <v>0</v>
      </c>
      <c r="M707" s="487" t="inlineStr">
        <is>
          <t>T</t>
        </is>
      </c>
    </row>
    <row r="708">
      <c r="A708" s="486" t="n">
        <v>12</v>
      </c>
      <c r="B708" s="486" t="n">
        <v>2</v>
      </c>
      <c r="C708" s="486" t="n">
        <v>2</v>
      </c>
      <c r="D708" s="486" t="n">
        <v>2</v>
      </c>
      <c r="E708" s="486" t="n">
        <v>2</v>
      </c>
      <c r="F708" s="486" t="n">
        <v>2</v>
      </c>
      <c r="G708" s="475" t="inlineStr">
        <is>
          <t>West-Up1</t>
        </is>
      </c>
      <c r="H708" s="486" t="n">
        <v>5209.06</v>
      </c>
      <c r="I708" s="486" t="n">
        <v>0</v>
      </c>
      <c r="J708" s="486" t="n">
        <v>3</v>
      </c>
      <c r="K708" s="486" t="n">
        <v>17</v>
      </c>
      <c r="L708" s="486" t="n">
        <v>4</v>
      </c>
      <c r="M708" s="487" t="inlineStr">
        <is>
          <t>T</t>
        </is>
      </c>
    </row>
    <row r="709">
      <c r="A709" s="486" t="n">
        <v>12</v>
      </c>
      <c r="B709" s="486" t="n">
        <v>2</v>
      </c>
      <c r="C709" s="486" t="n">
        <v>2</v>
      </c>
      <c r="D709" s="486" t="n">
        <v>2</v>
      </c>
      <c r="E709" s="486" t="n">
        <v>2</v>
      </c>
      <c r="F709" s="486" t="n">
        <v>2</v>
      </c>
      <c r="G709" s="486" t="inlineStr">
        <is>
          <t>West-Down1</t>
        </is>
      </c>
      <c r="H709" s="486" t="n">
        <v>0</v>
      </c>
      <c r="I709" s="486" t="n">
        <v>0</v>
      </c>
      <c r="J709" s="486" t="n">
        <v>0</v>
      </c>
      <c r="K709" s="486" t="n">
        <v>0</v>
      </c>
      <c r="L709" s="486" t="n">
        <v>0</v>
      </c>
      <c r="M709" s="487" t="inlineStr">
        <is>
          <t>T</t>
        </is>
      </c>
    </row>
    <row r="710">
      <c r="A710" s="486" t="n">
        <v>12</v>
      </c>
      <c r="B710" s="486" t="n">
        <v>2</v>
      </c>
      <c r="C710" s="486" t="n">
        <v>2</v>
      </c>
      <c r="D710" s="486" t="n">
        <v>2</v>
      </c>
      <c r="E710" s="486" t="n">
        <v>2</v>
      </c>
      <c r="F710" s="486" t="n">
        <v>2</v>
      </c>
      <c r="G710" s="486" t="inlineStr">
        <is>
          <t>West-Down2</t>
        </is>
      </c>
      <c r="H710" s="486" t="n">
        <v>0</v>
      </c>
      <c r="I710" s="486" t="n">
        <v>0</v>
      </c>
      <c r="J710" s="486" t="n">
        <v>0</v>
      </c>
      <c r="K710" s="486" t="n">
        <v>0</v>
      </c>
      <c r="L710" s="486" t="n">
        <v>0</v>
      </c>
      <c r="M710" s="487" t="inlineStr">
        <is>
          <t>T</t>
        </is>
      </c>
    </row>
    <row r="711">
      <c r="A711" s="486" t="n">
        <v>12</v>
      </c>
      <c r="B711" s="486" t="n">
        <v>2</v>
      </c>
      <c r="C711" s="486" t="n">
        <v>2</v>
      </c>
      <c r="D711" s="486" t="n">
        <v>2</v>
      </c>
      <c r="E711" s="486" t="n">
        <v>2</v>
      </c>
      <c r="F711" s="486" t="n">
        <v>2</v>
      </c>
      <c r="G711" s="486" t="inlineStr">
        <is>
          <t>East-Up2</t>
        </is>
      </c>
      <c r="H711" s="486" t="n">
        <v>0</v>
      </c>
      <c r="I711" s="486" t="n">
        <v>0</v>
      </c>
      <c r="J711" s="486" t="n">
        <v>0</v>
      </c>
      <c r="K711" s="486" t="n">
        <v>0</v>
      </c>
      <c r="L711" s="486" t="n">
        <v>0</v>
      </c>
      <c r="M711" s="487" t="inlineStr">
        <is>
          <t>T</t>
        </is>
      </c>
    </row>
    <row r="712">
      <c r="A712" s="486" t="n">
        <v>12</v>
      </c>
      <c r="B712" s="486" t="n">
        <v>2</v>
      </c>
      <c r="C712" s="486" t="n">
        <v>2</v>
      </c>
      <c r="D712" s="486" t="n">
        <v>2</v>
      </c>
      <c r="E712" s="486" t="n">
        <v>2</v>
      </c>
      <c r="F712" s="486" t="n">
        <v>2</v>
      </c>
      <c r="G712" s="475" t="inlineStr">
        <is>
          <t>East-Up1</t>
        </is>
      </c>
      <c r="H712" s="486" t="n">
        <v>2573.35</v>
      </c>
      <c r="I712" s="486" t="n">
        <v>0</v>
      </c>
      <c r="J712" s="486" t="n">
        <v>23</v>
      </c>
      <c r="K712" s="486" t="n">
        <v>26</v>
      </c>
      <c r="L712" s="486" t="n">
        <v>2</v>
      </c>
      <c r="M712" s="487" t="inlineStr">
        <is>
          <t>T</t>
        </is>
      </c>
    </row>
    <row r="713">
      <c r="A713" s="486" t="n">
        <v>12</v>
      </c>
      <c r="B713" s="486" t="n">
        <v>2</v>
      </c>
      <c r="C713" s="486" t="n">
        <v>2</v>
      </c>
      <c r="D713" s="486" t="n">
        <v>2</v>
      </c>
      <c r="E713" s="486" t="n">
        <v>2</v>
      </c>
      <c r="F713" s="486" t="n">
        <v>2</v>
      </c>
      <c r="G713" s="486" t="inlineStr">
        <is>
          <t>East-Down1</t>
        </is>
      </c>
      <c r="H713" s="486" t="n">
        <v>2637.22</v>
      </c>
      <c r="I713" s="486" t="n">
        <v>0</v>
      </c>
      <c r="J713" s="486" t="n">
        <v>1</v>
      </c>
      <c r="K713" s="486" t="n">
        <v>49</v>
      </c>
      <c r="L713" s="486" t="n">
        <v>1</v>
      </c>
      <c r="M713" s="487" t="inlineStr">
        <is>
          <t>T</t>
        </is>
      </c>
    </row>
    <row r="714">
      <c r="A714" s="486" t="n">
        <v>12</v>
      </c>
      <c r="B714" s="486" t="n">
        <v>2</v>
      </c>
      <c r="C714" s="486" t="n">
        <v>2</v>
      </c>
      <c r="D714" s="486" t="n">
        <v>2</v>
      </c>
      <c r="E714" s="486" t="n">
        <v>2</v>
      </c>
      <c r="F714" s="486" t="n">
        <v>2</v>
      </c>
      <c r="G714" s="486" t="inlineStr">
        <is>
          <t>East-Down2</t>
        </is>
      </c>
      <c r="H714" s="486" t="n">
        <v>0</v>
      </c>
      <c r="I714" s="486" t="n">
        <v>0</v>
      </c>
      <c r="J714" s="486" t="n">
        <v>0</v>
      </c>
      <c r="K714" s="486" t="n">
        <v>0</v>
      </c>
      <c r="L714" s="486" t="n">
        <v>0</v>
      </c>
      <c r="M714" s="487" t="inlineStr">
        <is>
          <t>T</t>
        </is>
      </c>
    </row>
    <row r="715">
      <c r="A715" s="486" t="n">
        <v>12</v>
      </c>
      <c r="B715" s="486" t="n">
        <v>2</v>
      </c>
      <c r="C715" s="486" t="n">
        <v>2</v>
      </c>
      <c r="D715" s="486" t="n">
        <v>2</v>
      </c>
      <c r="E715" s="486" t="n">
        <v>2</v>
      </c>
      <c r="F715" s="486" t="n">
        <v>2</v>
      </c>
      <c r="G715" s="486" t="inlineStr">
        <is>
          <t>North-Left2</t>
        </is>
      </c>
      <c r="H715" s="486" t="n">
        <v>0</v>
      </c>
      <c r="I715" s="486" t="n">
        <v>0</v>
      </c>
      <c r="J715" s="486" t="n">
        <v>0</v>
      </c>
      <c r="K715" s="486" t="n">
        <v>0</v>
      </c>
      <c r="L715" s="486" t="n">
        <v>0</v>
      </c>
      <c r="M715" s="487" t="inlineStr">
        <is>
          <t>T</t>
        </is>
      </c>
    </row>
    <row r="716">
      <c r="A716" s="486" t="n">
        <v>12</v>
      </c>
      <c r="B716" s="486" t="n">
        <v>2</v>
      </c>
      <c r="C716" s="486" t="n">
        <v>2</v>
      </c>
      <c r="D716" s="486" t="n">
        <v>2</v>
      </c>
      <c r="E716" s="486" t="n">
        <v>2</v>
      </c>
      <c r="F716" s="486" t="n">
        <v>2</v>
      </c>
      <c r="G716" s="475" t="inlineStr">
        <is>
          <t>North-Left1</t>
        </is>
      </c>
      <c r="H716" s="486" t="n">
        <v>2638.87</v>
      </c>
      <c r="I716" s="486" t="n">
        <v>89</v>
      </c>
      <c r="J716" s="486" t="n">
        <v>47</v>
      </c>
      <c r="K716" s="486" t="n">
        <v>48</v>
      </c>
      <c r="L716" s="486" t="n">
        <v>3</v>
      </c>
      <c r="M716" s="487" t="inlineStr">
        <is>
          <t>T</t>
        </is>
      </c>
    </row>
    <row r="717">
      <c r="A717" s="486" t="n">
        <v>12</v>
      </c>
      <c r="B717" s="486" t="n">
        <v>2</v>
      </c>
      <c r="C717" s="486" t="n">
        <v>2</v>
      </c>
      <c r="D717" s="486" t="n">
        <v>2</v>
      </c>
      <c r="E717" s="486" t="n">
        <v>2</v>
      </c>
      <c r="F717" s="486" t="n">
        <v>2</v>
      </c>
      <c r="G717" s="486" t="inlineStr">
        <is>
          <t>North-Right1</t>
        </is>
      </c>
      <c r="H717" s="486" t="n">
        <v>2638.83</v>
      </c>
      <c r="I717" s="486" t="n">
        <v>89</v>
      </c>
      <c r="J717" s="486" t="n">
        <v>47</v>
      </c>
      <c r="K717" s="486" t="n">
        <v>54</v>
      </c>
      <c r="L717" s="486" t="n">
        <v>2</v>
      </c>
      <c r="M717" s="487" t="inlineStr">
        <is>
          <t>T</t>
        </is>
      </c>
    </row>
    <row r="718">
      <c r="A718" s="486" t="n">
        <v>12</v>
      </c>
      <c r="B718" s="486" t="n">
        <v>2</v>
      </c>
      <c r="C718" s="486" t="n">
        <v>2</v>
      </c>
      <c r="D718" s="486" t="n">
        <v>2</v>
      </c>
      <c r="E718" s="486" t="n">
        <v>2</v>
      </c>
      <c r="F718" s="486" t="n">
        <v>2</v>
      </c>
      <c r="G718" s="486" t="inlineStr">
        <is>
          <t>North-Right2</t>
        </is>
      </c>
      <c r="H718" s="486" t="n">
        <v>0</v>
      </c>
      <c r="I718" s="486" t="n">
        <v>0</v>
      </c>
      <c r="J718" s="486" t="n">
        <v>0</v>
      </c>
      <c r="K718" s="486" t="n">
        <v>0</v>
      </c>
      <c r="L718" s="486" t="n">
        <v>0</v>
      </c>
      <c r="M718" s="487" t="inlineStr">
        <is>
          <t>T</t>
        </is>
      </c>
    </row>
    <row r="719">
      <c r="A719" s="486" t="n">
        <v>12</v>
      </c>
      <c r="B719" s="486" t="n">
        <v>2</v>
      </c>
      <c r="C719" s="486" t="n">
        <v>2</v>
      </c>
      <c r="D719" s="486" t="n">
        <v>2</v>
      </c>
      <c r="E719" s="486" t="n">
        <v>2</v>
      </c>
      <c r="F719" s="486" t="n">
        <v>2</v>
      </c>
      <c r="G719" s="486" t="inlineStr">
        <is>
          <t>South-Left2</t>
        </is>
      </c>
      <c r="H719" s="486" t="n">
        <v>0</v>
      </c>
      <c r="I719" s="486" t="n">
        <v>0</v>
      </c>
      <c r="J719" s="486" t="n">
        <v>0</v>
      </c>
      <c r="K719" s="486" t="n">
        <v>0</v>
      </c>
      <c r="L719" s="486" t="n">
        <v>0</v>
      </c>
      <c r="M719" s="487" t="inlineStr">
        <is>
          <t>T</t>
        </is>
      </c>
    </row>
    <row r="720">
      <c r="A720" s="486" t="n">
        <v>12</v>
      </c>
      <c r="B720" s="486" t="n">
        <v>2</v>
      </c>
      <c r="C720" s="486" t="n">
        <v>2</v>
      </c>
      <c r="D720" s="486" t="n">
        <v>2</v>
      </c>
      <c r="E720" s="486" t="n">
        <v>2</v>
      </c>
      <c r="F720" s="486" t="n">
        <v>2</v>
      </c>
      <c r="G720" s="475" t="inlineStr">
        <is>
          <t>South-Left1</t>
        </is>
      </c>
      <c r="H720" s="486" t="n">
        <v>2632.46</v>
      </c>
      <c r="I720" s="486" t="n">
        <v>87</v>
      </c>
      <c r="J720" s="486" t="n">
        <v>51</v>
      </c>
      <c r="K720" s="486" t="n">
        <v>23</v>
      </c>
      <c r="L720" s="486" t="n">
        <v>3</v>
      </c>
      <c r="M720" s="487" t="inlineStr">
        <is>
          <t>T</t>
        </is>
      </c>
    </row>
    <row r="721">
      <c r="A721" s="486" t="n">
        <v>12</v>
      </c>
      <c r="B721" s="486" t="n">
        <v>2</v>
      </c>
      <c r="C721" s="486" t="n">
        <v>2</v>
      </c>
      <c r="D721" s="486" t="n">
        <v>2</v>
      </c>
      <c r="E721" s="486" t="n">
        <v>2</v>
      </c>
      <c r="F721" s="486" t="n">
        <v>2</v>
      </c>
      <c r="G721" s="486" t="inlineStr">
        <is>
          <t>South-Right1</t>
        </is>
      </c>
      <c r="H721" s="486" t="n">
        <v>2625.41</v>
      </c>
      <c r="I721" s="486" t="n">
        <v>89</v>
      </c>
      <c r="J721" s="486" t="n">
        <v>32</v>
      </c>
      <c r="K721" s="486" t="n">
        <v>25</v>
      </c>
      <c r="L721" s="486" t="n">
        <v>2</v>
      </c>
      <c r="M721" s="487" t="inlineStr">
        <is>
          <t>T</t>
        </is>
      </c>
    </row>
    <row r="722">
      <c r="A722" s="486" t="n">
        <v>12</v>
      </c>
      <c r="B722" s="486" t="n">
        <v>2</v>
      </c>
      <c r="C722" s="486" t="n">
        <v>2</v>
      </c>
      <c r="D722" s="486" t="n">
        <v>2</v>
      </c>
      <c r="E722" s="486" t="n">
        <v>2</v>
      </c>
      <c r="F722" s="486" t="n">
        <v>2</v>
      </c>
      <c r="G722" s="486" t="inlineStr">
        <is>
          <t>South-Right2</t>
        </is>
      </c>
      <c r="H722" s="486" t="n">
        <v>0</v>
      </c>
      <c r="I722" s="486" t="n">
        <v>0</v>
      </c>
      <c r="J722" s="486" t="n">
        <v>0</v>
      </c>
      <c r="K722" s="486" t="n">
        <v>0</v>
      </c>
      <c r="L722" s="486" t="n">
        <v>0</v>
      </c>
      <c r="M722" s="487" t="inlineStr">
        <is>
          <t>T</t>
        </is>
      </c>
    </row>
    <row r="723">
      <c r="A723" s="485" t="n">
        <v>12</v>
      </c>
      <c r="B723" s="485" t="n">
        <v>2</v>
      </c>
      <c r="C723" s="485" t="n">
        <v>2</v>
      </c>
      <c r="D723" s="485" t="n">
        <v>3</v>
      </c>
      <c r="E723" s="485" t="n">
        <v>2</v>
      </c>
      <c r="F723" s="485" t="n">
        <v>2</v>
      </c>
      <c r="G723" s="485" t="inlineStr">
        <is>
          <t>West-Up2</t>
        </is>
      </c>
      <c r="H723" s="485" t="n">
        <v>1270.77</v>
      </c>
      <c r="I723" s="485" t="n">
        <v>0</v>
      </c>
      <c r="J723" s="485" t="n">
        <v>26</v>
      </c>
      <c r="K723" s="485" t="n">
        <v>3</v>
      </c>
      <c r="L723" s="485" t="n">
        <v>4</v>
      </c>
      <c r="M723" s="514" t="inlineStr">
        <is>
          <t>T</t>
        </is>
      </c>
    </row>
    <row r="724">
      <c r="A724" s="485" t="n">
        <v>12</v>
      </c>
      <c r="B724" s="485" t="n">
        <v>2</v>
      </c>
      <c r="C724" s="485" t="n">
        <v>2</v>
      </c>
      <c r="D724" s="485" t="n">
        <v>3</v>
      </c>
      <c r="E724" s="485" t="n">
        <v>2</v>
      </c>
      <c r="F724" s="485" t="n">
        <v>2</v>
      </c>
      <c r="G724" s="516" t="inlineStr">
        <is>
          <t>West-Up1</t>
        </is>
      </c>
      <c r="H724" s="485" t="n">
        <v>1318.27</v>
      </c>
      <c r="I724" s="485" t="n">
        <v>0</v>
      </c>
      <c r="J724" s="485" t="n">
        <v>26</v>
      </c>
      <c r="K724" s="485" t="n">
        <v>21</v>
      </c>
      <c r="L724" s="485" t="n">
        <v>4</v>
      </c>
      <c r="M724" s="514" t="inlineStr">
        <is>
          <t>T</t>
        </is>
      </c>
    </row>
    <row r="725">
      <c r="A725" s="485" t="n">
        <v>12</v>
      </c>
      <c r="B725" s="485" t="n">
        <v>2</v>
      </c>
      <c r="C725" s="485" t="n">
        <v>2</v>
      </c>
      <c r="D725" s="485" t="n">
        <v>3</v>
      </c>
      <c r="E725" s="485" t="n">
        <v>2</v>
      </c>
      <c r="F725" s="485" t="n">
        <v>2</v>
      </c>
      <c r="G725" s="485" t="inlineStr">
        <is>
          <t>West-Down1</t>
        </is>
      </c>
      <c r="H725" s="485" t="n">
        <v>1313.61</v>
      </c>
      <c r="I725" s="485" t="n">
        <v>0</v>
      </c>
      <c r="J725" s="485" t="n">
        <v>12</v>
      </c>
      <c r="K725" s="485" t="n">
        <v>33</v>
      </c>
      <c r="L725" s="485" t="n">
        <v>2</v>
      </c>
      <c r="M725" s="514" t="inlineStr">
        <is>
          <t>T</t>
        </is>
      </c>
    </row>
    <row r="726">
      <c r="A726" s="485" t="n">
        <v>12</v>
      </c>
      <c r="B726" s="485" t="n">
        <v>2</v>
      </c>
      <c r="C726" s="485" t="n">
        <v>2</v>
      </c>
      <c r="D726" s="485" t="n">
        <v>3</v>
      </c>
      <c r="E726" s="485" t="n">
        <v>2</v>
      </c>
      <c r="F726" s="485" t="n">
        <v>2</v>
      </c>
      <c r="G726" s="485" t="inlineStr">
        <is>
          <t>West-Down2</t>
        </is>
      </c>
      <c r="H726" s="485" t="n">
        <v>1313.65</v>
      </c>
      <c r="I726" s="485" t="n">
        <v>0</v>
      </c>
      <c r="J726" s="485" t="n">
        <v>12</v>
      </c>
      <c r="K726" s="485" t="n">
        <v>47</v>
      </c>
      <c r="L726" s="485" t="n">
        <v>2</v>
      </c>
      <c r="M726" s="514" t="inlineStr">
        <is>
          <t>T</t>
        </is>
      </c>
    </row>
    <row r="727">
      <c r="A727" s="485" t="n">
        <v>12</v>
      </c>
      <c r="B727" s="485" t="n">
        <v>2</v>
      </c>
      <c r="C727" s="485" t="n">
        <v>2</v>
      </c>
      <c r="D727" s="485" t="n">
        <v>3</v>
      </c>
      <c r="E727" s="485" t="n">
        <v>2</v>
      </c>
      <c r="F727" s="485" t="n">
        <v>2</v>
      </c>
      <c r="G727" s="485" t="inlineStr">
        <is>
          <t>East-Up2</t>
        </is>
      </c>
      <c r="H727" s="485" t="n">
        <v>1333.97</v>
      </c>
      <c r="I727" s="485" t="n">
        <v>0</v>
      </c>
      <c r="J727" s="485" t="n">
        <v>25</v>
      </c>
      <c r="K727" s="485" t="n">
        <v>49</v>
      </c>
      <c r="L727" s="485" t="n">
        <v>4</v>
      </c>
      <c r="M727" s="514" t="inlineStr">
        <is>
          <t>T</t>
        </is>
      </c>
    </row>
    <row r="728">
      <c r="A728" s="485" t="n">
        <v>12</v>
      </c>
      <c r="B728" s="485" t="n">
        <v>2</v>
      </c>
      <c r="C728" s="485" t="n">
        <v>2</v>
      </c>
      <c r="D728" s="485" t="n">
        <v>3</v>
      </c>
      <c r="E728" s="485" t="n">
        <v>2</v>
      </c>
      <c r="F728" s="485" t="n">
        <v>2</v>
      </c>
      <c r="G728" s="516" t="inlineStr">
        <is>
          <t>East-Up1</t>
        </is>
      </c>
      <c r="H728" s="485" t="n">
        <v>1323.74</v>
      </c>
      <c r="I728" s="485" t="n">
        <v>0</v>
      </c>
      <c r="J728" s="485" t="n">
        <v>57</v>
      </c>
      <c r="K728" s="485" t="n">
        <v>54</v>
      </c>
      <c r="L728" s="485" t="n">
        <v>2</v>
      </c>
      <c r="M728" s="514" t="inlineStr">
        <is>
          <t>T</t>
        </is>
      </c>
    </row>
    <row r="729">
      <c r="A729" s="485" t="n">
        <v>12</v>
      </c>
      <c r="B729" s="485" t="n">
        <v>2</v>
      </c>
      <c r="C729" s="485" t="n">
        <v>2</v>
      </c>
      <c r="D729" s="485" t="n">
        <v>3</v>
      </c>
      <c r="E729" s="485" t="n">
        <v>2</v>
      </c>
      <c r="F729" s="485" t="n">
        <v>2</v>
      </c>
      <c r="G729" s="485" t="inlineStr">
        <is>
          <t>East-Down1</t>
        </is>
      </c>
      <c r="H729" s="485" t="n">
        <v>2625.84</v>
      </c>
      <c r="I729" s="485" t="n">
        <v>0</v>
      </c>
      <c r="J729" s="485" t="n">
        <v>30</v>
      </c>
      <c r="K729" s="485" t="n">
        <v>49</v>
      </c>
      <c r="L729" s="485" t="n">
        <v>2</v>
      </c>
      <c r="M729" s="514" t="inlineStr">
        <is>
          <t>T</t>
        </is>
      </c>
    </row>
    <row r="730">
      <c r="A730" s="485" t="n">
        <v>12</v>
      </c>
      <c r="B730" s="485" t="n">
        <v>2</v>
      </c>
      <c r="C730" s="485" t="n">
        <v>2</v>
      </c>
      <c r="D730" s="485" t="n">
        <v>3</v>
      </c>
      <c r="E730" s="485" t="n">
        <v>2</v>
      </c>
      <c r="F730" s="485" t="n">
        <v>2</v>
      </c>
      <c r="G730" s="485" t="inlineStr">
        <is>
          <t>East-Down2</t>
        </is>
      </c>
      <c r="H730" s="485" t="n">
        <v>0</v>
      </c>
      <c r="I730" s="485" t="n">
        <v>0</v>
      </c>
      <c r="J730" s="485" t="n">
        <v>0</v>
      </c>
      <c r="K730" s="485" t="n">
        <v>0</v>
      </c>
      <c r="L730" s="485" t="n">
        <v>0</v>
      </c>
      <c r="M730" s="514" t="inlineStr">
        <is>
          <t>T</t>
        </is>
      </c>
    </row>
    <row r="731">
      <c r="A731" s="485" t="n">
        <v>12</v>
      </c>
      <c r="B731" s="485" t="n">
        <v>2</v>
      </c>
      <c r="C731" s="485" t="n">
        <v>2</v>
      </c>
      <c r="D731" s="485" t="n">
        <v>3</v>
      </c>
      <c r="E731" s="485" t="n">
        <v>2</v>
      </c>
      <c r="F731" s="485" t="n">
        <v>2</v>
      </c>
      <c r="G731" s="485" t="inlineStr">
        <is>
          <t>North-Left2</t>
        </is>
      </c>
      <c r="H731" s="485" t="n">
        <v>1311.17</v>
      </c>
      <c r="I731" s="485" t="n">
        <v>89</v>
      </c>
      <c r="J731" s="485" t="n">
        <v>50</v>
      </c>
      <c r="K731" s="485" t="n">
        <v>10</v>
      </c>
      <c r="L731" s="485" t="n">
        <v>3</v>
      </c>
      <c r="M731" s="514" t="inlineStr">
        <is>
          <t>T</t>
        </is>
      </c>
    </row>
    <row r="732">
      <c r="A732" s="485" t="n">
        <v>12</v>
      </c>
      <c r="B732" s="485" t="n">
        <v>2</v>
      </c>
      <c r="C732" s="485" t="n">
        <v>2</v>
      </c>
      <c r="D732" s="485" t="n">
        <v>3</v>
      </c>
      <c r="E732" s="485" t="n">
        <v>2</v>
      </c>
      <c r="F732" s="485" t="n">
        <v>2</v>
      </c>
      <c r="G732" s="516" t="inlineStr">
        <is>
          <t>North-Left1</t>
        </is>
      </c>
      <c r="H732" s="485" t="n">
        <v>1335.22</v>
      </c>
      <c r="I732" s="485" t="n">
        <v>88</v>
      </c>
      <c r="J732" s="485" t="n">
        <v>26</v>
      </c>
      <c r="K732" s="485" t="n">
        <v>15</v>
      </c>
      <c r="L732" s="485" t="n">
        <v>3</v>
      </c>
      <c r="M732" s="514" t="inlineStr">
        <is>
          <t>T</t>
        </is>
      </c>
    </row>
    <row r="733">
      <c r="A733" s="485" t="n">
        <v>12</v>
      </c>
      <c r="B733" s="485" t="n">
        <v>2</v>
      </c>
      <c r="C733" s="485" t="n">
        <v>2</v>
      </c>
      <c r="D733" s="485" t="n">
        <v>3</v>
      </c>
      <c r="E733" s="485" t="n">
        <v>2</v>
      </c>
      <c r="F733" s="485" t="n">
        <v>2</v>
      </c>
      <c r="G733" s="485" t="inlineStr">
        <is>
          <t>North-Right1</t>
        </is>
      </c>
      <c r="H733" s="485" t="n">
        <v>1336.09</v>
      </c>
      <c r="I733" s="485" t="n">
        <v>88</v>
      </c>
      <c r="J733" s="485" t="n">
        <v>25</v>
      </c>
      <c r="K733" s="485" t="n">
        <v>40</v>
      </c>
      <c r="L733" s="485" t="n">
        <v>3</v>
      </c>
      <c r="M733" s="514" t="inlineStr">
        <is>
          <t>T</t>
        </is>
      </c>
    </row>
    <row r="734">
      <c r="A734" s="485" t="n">
        <v>12</v>
      </c>
      <c r="B734" s="485" t="n">
        <v>2</v>
      </c>
      <c r="C734" s="485" t="n">
        <v>2</v>
      </c>
      <c r="D734" s="485" t="n">
        <v>3</v>
      </c>
      <c r="E734" s="485" t="n">
        <v>2</v>
      </c>
      <c r="F734" s="485" t="n">
        <v>2</v>
      </c>
      <c r="G734" s="485" t="inlineStr">
        <is>
          <t>North-Right2</t>
        </is>
      </c>
      <c r="H734" s="485" t="n">
        <v>1313.17</v>
      </c>
      <c r="I734" s="485" t="n">
        <v>89</v>
      </c>
      <c r="J734" s="485" t="n">
        <v>53</v>
      </c>
      <c r="K734" s="485" t="n">
        <v>36</v>
      </c>
      <c r="L734" s="485" t="n">
        <v>4</v>
      </c>
      <c r="M734" s="514" t="inlineStr">
        <is>
          <t>T</t>
        </is>
      </c>
    </row>
    <row r="735">
      <c r="A735" s="485" t="n">
        <v>12</v>
      </c>
      <c r="B735" s="485" t="n">
        <v>2</v>
      </c>
      <c r="C735" s="485" t="n">
        <v>2</v>
      </c>
      <c r="D735" s="485" t="n">
        <v>3</v>
      </c>
      <c r="E735" s="485" t="n">
        <v>2</v>
      </c>
      <c r="F735" s="485" t="n">
        <v>2</v>
      </c>
      <c r="G735" s="485" t="inlineStr">
        <is>
          <t>South-Left2</t>
        </is>
      </c>
      <c r="H735" s="485" t="n">
        <v>0</v>
      </c>
      <c r="I735" s="485" t="n">
        <v>0</v>
      </c>
      <c r="J735" s="485" t="n">
        <v>0</v>
      </c>
      <c r="K735" s="485" t="n">
        <v>0</v>
      </c>
      <c r="L735" s="485" t="n">
        <v>0</v>
      </c>
      <c r="M735" s="514" t="inlineStr">
        <is>
          <t>T</t>
        </is>
      </c>
    </row>
    <row r="736">
      <c r="A736" s="485" t="n">
        <v>12</v>
      </c>
      <c r="B736" s="485" t="n">
        <v>2</v>
      </c>
      <c r="C736" s="485" t="n">
        <v>2</v>
      </c>
      <c r="D736" s="485" t="n">
        <v>3</v>
      </c>
      <c r="E736" s="485" t="n">
        <v>2</v>
      </c>
      <c r="F736" s="485" t="n">
        <v>2</v>
      </c>
      <c r="G736" s="516" t="inlineStr">
        <is>
          <t>South-Left1</t>
        </is>
      </c>
      <c r="H736" s="485" t="n">
        <v>2624.36</v>
      </c>
      <c r="I736" s="485" t="n">
        <v>89</v>
      </c>
      <c r="J736" s="485" t="n">
        <v>55</v>
      </c>
      <c r="K736" s="485" t="n">
        <v>31</v>
      </c>
      <c r="L736" s="485" t="n">
        <v>3</v>
      </c>
      <c r="M736" s="514" t="inlineStr">
        <is>
          <t>T</t>
        </is>
      </c>
    </row>
    <row r="737">
      <c r="A737" s="485" t="n">
        <v>12</v>
      </c>
      <c r="B737" s="485" t="n">
        <v>2</v>
      </c>
      <c r="C737" s="485" t="n">
        <v>2</v>
      </c>
      <c r="D737" s="485" t="n">
        <v>3</v>
      </c>
      <c r="E737" s="485" t="n">
        <v>2</v>
      </c>
      <c r="F737" s="485" t="n">
        <v>2</v>
      </c>
      <c r="G737" s="485" t="inlineStr">
        <is>
          <t>South-Right1</t>
        </is>
      </c>
      <c r="H737" s="485" t="n">
        <v>1312.38</v>
      </c>
      <c r="I737" s="485" t="n">
        <v>89</v>
      </c>
      <c r="J737" s="485" t="n">
        <v>55</v>
      </c>
      <c r="K737" s="485" t="n">
        <v>26</v>
      </c>
      <c r="L737" s="485" t="n">
        <v>3</v>
      </c>
      <c r="M737" s="514" t="inlineStr">
        <is>
          <t>T</t>
        </is>
      </c>
    </row>
    <row r="738">
      <c r="A738" s="485" t="n">
        <v>12</v>
      </c>
      <c r="B738" s="485" t="n">
        <v>2</v>
      </c>
      <c r="C738" s="485" t="n">
        <v>2</v>
      </c>
      <c r="D738" s="485" t="n">
        <v>3</v>
      </c>
      <c r="E738" s="485" t="n">
        <v>2</v>
      </c>
      <c r="F738" s="485" t="n">
        <v>2</v>
      </c>
      <c r="G738" s="485" t="inlineStr">
        <is>
          <t>South-Right2</t>
        </is>
      </c>
      <c r="H738" s="485" t="n">
        <v>1312.06</v>
      </c>
      <c r="I738" s="485" t="n">
        <v>89</v>
      </c>
      <c r="J738" s="485" t="n">
        <v>54</v>
      </c>
      <c r="K738" s="485" t="n">
        <v>15</v>
      </c>
      <c r="L738" s="485" t="n">
        <v>2</v>
      </c>
      <c r="M738" s="514" t="inlineStr">
        <is>
          <t>T</t>
        </is>
      </c>
    </row>
    <row r="739">
      <c r="A739" s="486" t="n">
        <v>12</v>
      </c>
      <c r="B739" s="486" t="n">
        <v>3</v>
      </c>
      <c r="C739" s="486" t="n">
        <v>2</v>
      </c>
      <c r="D739" s="486" t="n">
        <v>5</v>
      </c>
      <c r="E739" s="486" t="n">
        <v>2</v>
      </c>
      <c r="F739" s="486" t="n">
        <v>2</v>
      </c>
      <c r="G739" s="486" t="inlineStr">
        <is>
          <t>West-Up2</t>
        </is>
      </c>
      <c r="H739" s="486" t="n">
        <v>0</v>
      </c>
      <c r="I739" s="486" t="n">
        <v>0</v>
      </c>
      <c r="J739" s="486" t="n">
        <v>0</v>
      </c>
      <c r="K739" s="486" t="n">
        <v>0</v>
      </c>
      <c r="L739" s="486" t="n">
        <v>0</v>
      </c>
      <c r="M739" s="487" t="inlineStr">
        <is>
          <t>T</t>
        </is>
      </c>
    </row>
    <row r="740">
      <c r="A740" s="486" t="n">
        <v>12</v>
      </c>
      <c r="B740" s="486" t="n">
        <v>3</v>
      </c>
      <c r="C740" s="486" t="n">
        <v>2</v>
      </c>
      <c r="D740" s="486" t="n">
        <v>5</v>
      </c>
      <c r="E740" s="486" t="n">
        <v>2</v>
      </c>
      <c r="F740" s="486" t="n">
        <v>2</v>
      </c>
      <c r="G740" s="475" t="inlineStr">
        <is>
          <t>West-Up1</t>
        </is>
      </c>
      <c r="H740" s="486" t="n">
        <v>2631.6</v>
      </c>
      <c r="I740" s="486" t="n">
        <v>0</v>
      </c>
      <c r="J740" s="486" t="n">
        <v>29</v>
      </c>
      <c r="K740" s="486" t="n">
        <v>1</v>
      </c>
      <c r="L740" s="486" t="n">
        <v>2</v>
      </c>
      <c r="M740" s="487" t="inlineStr">
        <is>
          <t>T</t>
        </is>
      </c>
    </row>
    <row r="741">
      <c r="A741" s="486" t="n">
        <v>12</v>
      </c>
      <c r="B741" s="486" t="n">
        <v>3</v>
      </c>
      <c r="C741" s="486" t="n">
        <v>2</v>
      </c>
      <c r="D741" s="486" t="n">
        <v>5</v>
      </c>
      <c r="E741" s="486" t="n">
        <v>2</v>
      </c>
      <c r="F741" s="486" t="n">
        <v>2</v>
      </c>
      <c r="G741" s="486" t="inlineStr">
        <is>
          <t>West-Down1</t>
        </is>
      </c>
      <c r="H741" s="486" t="n">
        <v>2650.28</v>
      </c>
      <c r="I741" s="486" t="n">
        <v>0</v>
      </c>
      <c r="J741" s="486" t="n">
        <v>5</v>
      </c>
      <c r="K741" s="486" t="n">
        <v>47</v>
      </c>
      <c r="L741" s="486" t="n">
        <v>2</v>
      </c>
      <c r="M741" s="487" t="inlineStr">
        <is>
          <t>T</t>
        </is>
      </c>
    </row>
    <row r="742">
      <c r="A742" s="486" t="n">
        <v>12</v>
      </c>
      <c r="B742" s="486" t="n">
        <v>3</v>
      </c>
      <c r="C742" s="486" t="n">
        <v>2</v>
      </c>
      <c r="D742" s="486" t="n">
        <v>5</v>
      </c>
      <c r="E742" s="486" t="n">
        <v>2</v>
      </c>
      <c r="F742" s="486" t="n">
        <v>2</v>
      </c>
      <c r="G742" s="486" t="inlineStr">
        <is>
          <t>West-Down2</t>
        </is>
      </c>
      <c r="H742" s="486" t="n">
        <v>0</v>
      </c>
      <c r="I742" s="486" t="n">
        <v>0</v>
      </c>
      <c r="J742" s="486" t="n">
        <v>0</v>
      </c>
      <c r="K742" s="486" t="n">
        <v>0</v>
      </c>
      <c r="L742" s="486" t="n">
        <v>0</v>
      </c>
      <c r="M742" s="487" t="inlineStr">
        <is>
          <t>T</t>
        </is>
      </c>
    </row>
    <row r="743">
      <c r="A743" s="486" t="n">
        <v>12</v>
      </c>
      <c r="B743" s="486" t="n">
        <v>3</v>
      </c>
      <c r="C743" s="486" t="n">
        <v>2</v>
      </c>
      <c r="D743" s="486" t="n">
        <v>5</v>
      </c>
      <c r="E743" s="486" t="n">
        <v>2</v>
      </c>
      <c r="F743" s="486" t="n">
        <v>2</v>
      </c>
      <c r="G743" s="486" t="inlineStr">
        <is>
          <t>East-Up2</t>
        </is>
      </c>
      <c r="H743" s="486" t="n">
        <v>0</v>
      </c>
      <c r="I743" s="486" t="n">
        <v>0</v>
      </c>
      <c r="J743" s="486" t="n">
        <v>0</v>
      </c>
      <c r="K743" s="486" t="n">
        <v>0</v>
      </c>
      <c r="L743" s="486" t="n">
        <v>0</v>
      </c>
      <c r="M743" s="487" t="inlineStr">
        <is>
          <t>T</t>
        </is>
      </c>
    </row>
    <row r="744">
      <c r="A744" s="486" t="n">
        <v>12</v>
      </c>
      <c r="B744" s="486" t="n">
        <v>3</v>
      </c>
      <c r="C744" s="486" t="n">
        <v>2</v>
      </c>
      <c r="D744" s="486" t="n">
        <v>5</v>
      </c>
      <c r="E744" s="486" t="n">
        <v>2</v>
      </c>
      <c r="F744" s="486" t="n">
        <v>2</v>
      </c>
      <c r="G744" s="475" t="inlineStr">
        <is>
          <t>East-Up1</t>
        </is>
      </c>
      <c r="H744" s="486" t="n">
        <v>2631.33</v>
      </c>
      <c r="I744" s="486" t="n">
        <v>0</v>
      </c>
      <c r="J744" s="486" t="n">
        <v>15</v>
      </c>
      <c r="K744" s="486" t="n">
        <v>34</v>
      </c>
      <c r="L744" s="486" t="n">
        <v>3</v>
      </c>
      <c r="M744" s="487" t="inlineStr">
        <is>
          <t>T</t>
        </is>
      </c>
    </row>
    <row r="745">
      <c r="A745" s="486" t="n">
        <v>12</v>
      </c>
      <c r="B745" s="486" t="n">
        <v>3</v>
      </c>
      <c r="C745" s="486" t="n">
        <v>2</v>
      </c>
      <c r="D745" s="486" t="n">
        <v>5</v>
      </c>
      <c r="E745" s="486" t="n">
        <v>2</v>
      </c>
      <c r="F745" s="486" t="n">
        <v>2</v>
      </c>
      <c r="G745" s="486" t="inlineStr">
        <is>
          <t>East-Down1</t>
        </is>
      </c>
      <c r="H745" s="486" t="n">
        <v>2637.4</v>
      </c>
      <c r="I745" s="486" t="n">
        <v>0</v>
      </c>
      <c r="J745" s="486" t="n">
        <v>1</v>
      </c>
      <c r="K745" s="486" t="n">
        <v>23</v>
      </c>
      <c r="L745" s="486" t="n">
        <v>3</v>
      </c>
      <c r="M745" s="487" t="inlineStr">
        <is>
          <t>T</t>
        </is>
      </c>
    </row>
    <row r="746">
      <c r="A746" s="486" t="n">
        <v>12</v>
      </c>
      <c r="B746" s="486" t="n">
        <v>3</v>
      </c>
      <c r="C746" s="486" t="n">
        <v>2</v>
      </c>
      <c r="D746" s="486" t="n">
        <v>5</v>
      </c>
      <c r="E746" s="486" t="n">
        <v>2</v>
      </c>
      <c r="F746" s="486" t="n">
        <v>2</v>
      </c>
      <c r="G746" s="486" t="inlineStr">
        <is>
          <t>East-Down2</t>
        </is>
      </c>
      <c r="H746" s="486" t="n">
        <v>0</v>
      </c>
      <c r="I746" s="486" t="n">
        <v>0</v>
      </c>
      <c r="J746" s="486" t="n">
        <v>0</v>
      </c>
      <c r="K746" s="486" t="n">
        <v>0</v>
      </c>
      <c r="L746" s="486" t="n">
        <v>0</v>
      </c>
      <c r="M746" s="487" t="inlineStr">
        <is>
          <t>T</t>
        </is>
      </c>
    </row>
    <row r="747">
      <c r="A747" s="486" t="n">
        <v>12</v>
      </c>
      <c r="B747" s="486" t="n">
        <v>3</v>
      </c>
      <c r="C747" s="486" t="n">
        <v>2</v>
      </c>
      <c r="D747" s="486" t="n">
        <v>5</v>
      </c>
      <c r="E747" s="486" t="n">
        <v>2</v>
      </c>
      <c r="F747" s="486" t="n">
        <v>2</v>
      </c>
      <c r="G747" s="486" t="inlineStr">
        <is>
          <t>North-Left2</t>
        </is>
      </c>
      <c r="H747" s="486" t="n">
        <v>0</v>
      </c>
      <c r="I747" s="486" t="n">
        <v>0</v>
      </c>
      <c r="J747" s="486" t="n">
        <v>0</v>
      </c>
      <c r="K747" s="486" t="n">
        <v>0</v>
      </c>
      <c r="L747" s="486" t="n">
        <v>0</v>
      </c>
      <c r="M747" s="487" t="inlineStr">
        <is>
          <t>T</t>
        </is>
      </c>
    </row>
    <row r="748">
      <c r="A748" s="486" t="n">
        <v>12</v>
      </c>
      <c r="B748" s="486" t="n">
        <v>3</v>
      </c>
      <c r="C748" s="486" t="n">
        <v>2</v>
      </c>
      <c r="D748" s="486" t="n">
        <v>5</v>
      </c>
      <c r="E748" s="486" t="n">
        <v>2</v>
      </c>
      <c r="F748" s="486" t="n">
        <v>2</v>
      </c>
      <c r="G748" s="475" t="inlineStr">
        <is>
          <t>North-Left1</t>
        </is>
      </c>
      <c r="H748" s="486" t="n">
        <v>2642.64</v>
      </c>
      <c r="I748" s="486" t="n">
        <v>89</v>
      </c>
      <c r="J748" s="486" t="n">
        <v>54</v>
      </c>
      <c r="K748" s="486" t="n">
        <v>52</v>
      </c>
      <c r="L748" s="486" t="n">
        <v>2</v>
      </c>
      <c r="M748" s="487" t="inlineStr">
        <is>
          <t>T</t>
        </is>
      </c>
    </row>
    <row r="749">
      <c r="A749" s="486" t="n">
        <v>12</v>
      </c>
      <c r="B749" s="486" t="n">
        <v>3</v>
      </c>
      <c r="C749" s="486" t="n">
        <v>2</v>
      </c>
      <c r="D749" s="486" t="n">
        <v>5</v>
      </c>
      <c r="E749" s="486" t="n">
        <v>2</v>
      </c>
      <c r="F749" s="486" t="n">
        <v>2</v>
      </c>
      <c r="G749" s="486" t="inlineStr">
        <is>
          <t>North-Right1</t>
        </is>
      </c>
      <c r="H749" s="486" t="n">
        <v>2642.64</v>
      </c>
      <c r="I749" s="486" t="n">
        <v>89</v>
      </c>
      <c r="J749" s="486" t="n">
        <v>54</v>
      </c>
      <c r="K749" s="486" t="n">
        <v>52</v>
      </c>
      <c r="L749" s="486" t="n">
        <v>2</v>
      </c>
      <c r="M749" s="487" t="inlineStr">
        <is>
          <t>T</t>
        </is>
      </c>
    </row>
    <row r="750">
      <c r="A750" s="486" t="n">
        <v>12</v>
      </c>
      <c r="B750" s="486" t="n">
        <v>3</v>
      </c>
      <c r="C750" s="486" t="n">
        <v>2</v>
      </c>
      <c r="D750" s="486" t="n">
        <v>5</v>
      </c>
      <c r="E750" s="486" t="n">
        <v>2</v>
      </c>
      <c r="F750" s="486" t="n">
        <v>2</v>
      </c>
      <c r="G750" s="486" t="inlineStr">
        <is>
          <t>North-Right2</t>
        </is>
      </c>
      <c r="H750" s="486" t="n">
        <v>0</v>
      </c>
      <c r="I750" s="486" t="n">
        <v>0</v>
      </c>
      <c r="J750" s="486" t="n">
        <v>0</v>
      </c>
      <c r="K750" s="486" t="n">
        <v>0</v>
      </c>
      <c r="L750" s="486" t="n">
        <v>0</v>
      </c>
      <c r="M750" s="487" t="inlineStr">
        <is>
          <t>T</t>
        </is>
      </c>
    </row>
    <row r="751">
      <c r="A751" s="486" t="n">
        <v>12</v>
      </c>
      <c r="B751" s="486" t="n">
        <v>3</v>
      </c>
      <c r="C751" s="486" t="n">
        <v>2</v>
      </c>
      <c r="D751" s="486" t="n">
        <v>5</v>
      </c>
      <c r="E751" s="486" t="n">
        <v>2</v>
      </c>
      <c r="F751" s="486" t="n">
        <v>2</v>
      </c>
      <c r="G751" s="486" t="inlineStr">
        <is>
          <t>South-Left2</t>
        </is>
      </c>
      <c r="H751" s="486" t="n">
        <v>0</v>
      </c>
      <c r="I751" s="486" t="n">
        <v>0</v>
      </c>
      <c r="J751" s="486" t="n">
        <v>0</v>
      </c>
      <c r="K751" s="486" t="n">
        <v>0</v>
      </c>
      <c r="L751" s="486" t="n">
        <v>0</v>
      </c>
      <c r="M751" s="487" t="inlineStr">
        <is>
          <t>T</t>
        </is>
      </c>
    </row>
    <row r="752">
      <c r="A752" s="486" t="n">
        <v>12</v>
      </c>
      <c r="B752" s="486" t="n">
        <v>3</v>
      </c>
      <c r="C752" s="486" t="n">
        <v>2</v>
      </c>
      <c r="D752" s="486" t="n">
        <v>5</v>
      </c>
      <c r="E752" s="486" t="n">
        <v>2</v>
      </c>
      <c r="F752" s="486" t="n">
        <v>2</v>
      </c>
      <c r="G752" s="475" t="inlineStr">
        <is>
          <t>South-Left1</t>
        </is>
      </c>
      <c r="H752" s="486" t="n">
        <v>2649.53</v>
      </c>
      <c r="I752" s="486" t="n">
        <v>89</v>
      </c>
      <c r="J752" s="486" t="n">
        <v>45</v>
      </c>
      <c r="K752" s="486" t="n">
        <v>16</v>
      </c>
      <c r="L752" s="486" t="n">
        <v>3</v>
      </c>
      <c r="M752" s="487" t="inlineStr">
        <is>
          <t>T</t>
        </is>
      </c>
    </row>
    <row r="753">
      <c r="A753" s="486" t="n">
        <v>12</v>
      </c>
      <c r="B753" s="486" t="n">
        <v>3</v>
      </c>
      <c r="C753" s="486" t="n">
        <v>2</v>
      </c>
      <c r="D753" s="486" t="n">
        <v>5</v>
      </c>
      <c r="E753" s="486" t="n">
        <v>2</v>
      </c>
      <c r="F753" s="486" t="n">
        <v>2</v>
      </c>
      <c r="G753" s="486" t="inlineStr">
        <is>
          <t>South-Right1</t>
        </is>
      </c>
      <c r="H753" s="486" t="n">
        <v>2649.53</v>
      </c>
      <c r="I753" s="486" t="n">
        <v>89</v>
      </c>
      <c r="J753" s="486" t="n">
        <v>45</v>
      </c>
      <c r="K753" s="486" t="n">
        <v>16</v>
      </c>
      <c r="L753" s="486" t="n">
        <v>3</v>
      </c>
      <c r="M753" s="487" t="inlineStr">
        <is>
          <t>T</t>
        </is>
      </c>
    </row>
    <row r="754">
      <c r="A754" s="486" t="n">
        <v>12</v>
      </c>
      <c r="B754" s="486" t="n">
        <v>3</v>
      </c>
      <c r="C754" s="486" t="n">
        <v>2</v>
      </c>
      <c r="D754" s="486" t="n">
        <v>5</v>
      </c>
      <c r="E754" s="486" t="n">
        <v>2</v>
      </c>
      <c r="F754" s="486" t="n">
        <v>2</v>
      </c>
      <c r="G754" s="486" t="inlineStr">
        <is>
          <t>South-Right2</t>
        </is>
      </c>
      <c r="H754" s="486" t="n">
        <v>0</v>
      </c>
      <c r="I754" s="486" t="n">
        <v>0</v>
      </c>
      <c r="J754" s="486" t="n">
        <v>0</v>
      </c>
      <c r="K754" s="486" t="n">
        <v>0</v>
      </c>
      <c r="L754" s="486" t="n">
        <v>0</v>
      </c>
      <c r="M754" s="487" t="inlineStr">
        <is>
          <t>T</t>
        </is>
      </c>
    </row>
    <row r="755">
      <c r="A755" s="485" t="n">
        <v>13</v>
      </c>
      <c r="B755" s="485" t="n">
        <v>7</v>
      </c>
      <c r="C755" s="485" t="n">
        <v>2</v>
      </c>
      <c r="D755" s="485" t="n">
        <v>20</v>
      </c>
      <c r="E755" s="485" t="n">
        <v>1</v>
      </c>
      <c r="F755" s="485" t="n">
        <v>1</v>
      </c>
      <c r="G755" s="485" t="inlineStr">
        <is>
          <t>West-Up2</t>
        </is>
      </c>
      <c r="H755" s="485" t="n">
        <v>1322.98</v>
      </c>
      <c r="I755" s="485" t="n">
        <v>0</v>
      </c>
      <c r="J755" s="485" t="n">
        <v>34</v>
      </c>
      <c r="K755" s="485" t="n">
        <v>35</v>
      </c>
      <c r="L755" s="485" t="n">
        <v>4</v>
      </c>
      <c r="M755" s="514" t="inlineStr">
        <is>
          <t>qqq</t>
        </is>
      </c>
    </row>
    <row r="756">
      <c r="A756" s="485" t="n">
        <v>13</v>
      </c>
      <c r="B756" s="485" t="n">
        <v>7</v>
      </c>
      <c r="C756" s="485" t="n">
        <v>2</v>
      </c>
      <c r="D756" s="485" t="n">
        <v>20</v>
      </c>
      <c r="E756" s="485" t="n">
        <v>1</v>
      </c>
      <c r="F756" s="485" t="n">
        <v>1</v>
      </c>
      <c r="G756" s="516" t="inlineStr">
        <is>
          <t>West-Up1</t>
        </is>
      </c>
      <c r="H756" s="485" t="n">
        <v>1326.92</v>
      </c>
      <c r="I756" s="485" t="n">
        <v>0</v>
      </c>
      <c r="J756" s="485" t="n">
        <v>33</v>
      </c>
      <c r="K756" s="485" t="n">
        <v>46</v>
      </c>
      <c r="L756" s="485" t="n">
        <v>4</v>
      </c>
      <c r="M756" s="514" t="inlineStr">
        <is>
          <t>G</t>
        </is>
      </c>
    </row>
    <row r="757">
      <c r="A757" s="485" t="n">
        <v>13</v>
      </c>
      <c r="B757" s="485" t="n">
        <v>7</v>
      </c>
      <c r="C757" s="485" t="n">
        <v>2</v>
      </c>
      <c r="D757" s="485" t="n">
        <v>20</v>
      </c>
      <c r="E757" s="485" t="n">
        <v>1</v>
      </c>
      <c r="F757" s="485" t="n">
        <v>1</v>
      </c>
      <c r="G757" s="485" t="inlineStr">
        <is>
          <t>West-Down1</t>
        </is>
      </c>
      <c r="H757" s="485" t="n">
        <v>1328.24</v>
      </c>
      <c r="I757" s="485" t="n">
        <v>2</v>
      </c>
      <c r="J757" s="485" t="n">
        <v>34</v>
      </c>
      <c r="K757" s="485" t="n">
        <v>32</v>
      </c>
      <c r="L757" s="485" t="n">
        <v>4</v>
      </c>
      <c r="M757" s="514" t="inlineStr">
        <is>
          <t>G</t>
        </is>
      </c>
    </row>
    <row r="758">
      <c r="A758" s="485" t="n">
        <v>13</v>
      </c>
      <c r="B758" s="485" t="n">
        <v>7</v>
      </c>
      <c r="C758" s="485" t="n">
        <v>2</v>
      </c>
      <c r="D758" s="485" t="n">
        <v>20</v>
      </c>
      <c r="E758" s="485" t="n">
        <v>1</v>
      </c>
      <c r="F758" s="485" t="n">
        <v>1</v>
      </c>
      <c r="G758" s="485" t="inlineStr">
        <is>
          <t>West-Down2</t>
        </is>
      </c>
      <c r="H758" s="485" t="n">
        <v>1331.91</v>
      </c>
      <c r="I758" s="485" t="n">
        <v>2</v>
      </c>
      <c r="J758" s="485" t="n">
        <v>37</v>
      </c>
      <c r="K758" s="485" t="n">
        <v>53</v>
      </c>
      <c r="L758" s="485" t="n">
        <v>4</v>
      </c>
      <c r="M758" s="514" t="inlineStr">
        <is>
          <t>G</t>
        </is>
      </c>
    </row>
    <row r="759">
      <c r="A759" s="485" t="n">
        <v>13</v>
      </c>
      <c r="B759" s="485" t="n">
        <v>7</v>
      </c>
      <c r="C759" s="485" t="n">
        <v>2</v>
      </c>
      <c r="D759" s="485" t="n">
        <v>20</v>
      </c>
      <c r="E759" s="485" t="n">
        <v>1</v>
      </c>
      <c r="F759" s="485" t="n">
        <v>1</v>
      </c>
      <c r="G759" s="485" t="inlineStr">
        <is>
          <t>East-Up2</t>
        </is>
      </c>
      <c r="H759" s="485" t="n">
        <v>0</v>
      </c>
      <c r="I759" s="485" t="n">
        <v>0</v>
      </c>
      <c r="J759" s="485" t="n">
        <v>0</v>
      </c>
      <c r="K759" s="485" t="n">
        <v>0</v>
      </c>
      <c r="L759" s="485" t="n">
        <v>0</v>
      </c>
      <c r="M759" s="514" t="inlineStr">
        <is>
          <t>G</t>
        </is>
      </c>
    </row>
    <row r="760">
      <c r="A760" s="485" t="n">
        <v>13</v>
      </c>
      <c r="B760" s="485" t="n">
        <v>7</v>
      </c>
      <c r="C760" s="485" t="n">
        <v>2</v>
      </c>
      <c r="D760" s="485" t="n">
        <v>20</v>
      </c>
      <c r="E760" s="485" t="n">
        <v>1</v>
      </c>
      <c r="F760" s="485" t="n">
        <v>1</v>
      </c>
      <c r="G760" s="516" t="inlineStr">
        <is>
          <t>East-Up1</t>
        </is>
      </c>
      <c r="H760" s="485" t="n">
        <v>2658.5</v>
      </c>
      <c r="I760" s="485" t="n">
        <v>1</v>
      </c>
      <c r="J760" s="485" t="n">
        <v>38</v>
      </c>
      <c r="K760" s="485" t="n">
        <v>17</v>
      </c>
      <c r="L760" s="485" t="n">
        <v>4</v>
      </c>
      <c r="M760" s="514" t="inlineStr">
        <is>
          <t>G</t>
        </is>
      </c>
    </row>
    <row r="761">
      <c r="A761" s="485" t="n">
        <v>13</v>
      </c>
      <c r="B761" s="485" t="n">
        <v>7</v>
      </c>
      <c r="C761" s="485" t="n">
        <v>2</v>
      </c>
      <c r="D761" s="485" t="n">
        <v>20</v>
      </c>
      <c r="E761" s="485" t="n">
        <v>1</v>
      </c>
      <c r="F761" s="485" t="n">
        <v>1</v>
      </c>
      <c r="G761" s="485" t="inlineStr">
        <is>
          <t>East-Down1</t>
        </is>
      </c>
      <c r="H761" s="485" t="n">
        <v>2658.29</v>
      </c>
      <c r="I761" s="485" t="n">
        <v>1</v>
      </c>
      <c r="J761" s="485" t="n">
        <v>38</v>
      </c>
      <c r="K761" s="485" t="n">
        <v>27</v>
      </c>
      <c r="L761" s="485" t="n">
        <v>4</v>
      </c>
      <c r="M761" s="514" t="inlineStr">
        <is>
          <t>G</t>
        </is>
      </c>
    </row>
    <row r="762">
      <c r="A762" s="485" t="n">
        <v>13</v>
      </c>
      <c r="B762" s="485" t="n">
        <v>7</v>
      </c>
      <c r="C762" s="485" t="n">
        <v>2</v>
      </c>
      <c r="D762" s="485" t="n">
        <v>20</v>
      </c>
      <c r="E762" s="485" t="n">
        <v>1</v>
      </c>
      <c r="F762" s="485" t="n">
        <v>1</v>
      </c>
      <c r="G762" s="485" t="inlineStr">
        <is>
          <t>East-Down2</t>
        </is>
      </c>
      <c r="H762" s="485" t="n">
        <v>0</v>
      </c>
      <c r="I762" s="485" t="n">
        <v>0</v>
      </c>
      <c r="J762" s="485" t="n">
        <v>0</v>
      </c>
      <c r="K762" s="485" t="n">
        <v>0</v>
      </c>
      <c r="L762" s="485" t="n">
        <v>0</v>
      </c>
      <c r="M762" s="514" t="inlineStr">
        <is>
          <t>G</t>
        </is>
      </c>
    </row>
    <row r="763">
      <c r="A763" s="485" t="n">
        <v>13</v>
      </c>
      <c r="B763" s="485" t="n">
        <v>7</v>
      </c>
      <c r="C763" s="485" t="n">
        <v>2</v>
      </c>
      <c r="D763" s="485" t="n">
        <v>20</v>
      </c>
      <c r="E763" s="485" t="n">
        <v>1</v>
      </c>
      <c r="F763" s="485" t="n">
        <v>1</v>
      </c>
      <c r="G763" s="485" t="inlineStr">
        <is>
          <t>North-Left2</t>
        </is>
      </c>
      <c r="H763" s="485" t="n">
        <v>1314.6</v>
      </c>
      <c r="I763" s="485" t="n">
        <v>87</v>
      </c>
      <c r="J763" s="485" t="n">
        <v>42</v>
      </c>
      <c r="K763" s="485" t="n">
        <v>17</v>
      </c>
      <c r="L763" s="485" t="n">
        <v>3</v>
      </c>
      <c r="M763" s="514" t="inlineStr">
        <is>
          <t>G</t>
        </is>
      </c>
    </row>
    <row r="764">
      <c r="A764" s="485" t="n">
        <v>13</v>
      </c>
      <c r="B764" s="485" t="n">
        <v>7</v>
      </c>
      <c r="C764" s="485" t="n">
        <v>2</v>
      </c>
      <c r="D764" s="485" t="n">
        <v>20</v>
      </c>
      <c r="E764" s="485" t="n">
        <v>1</v>
      </c>
      <c r="F764" s="485" t="n">
        <v>1</v>
      </c>
      <c r="G764" s="516" t="inlineStr">
        <is>
          <t>North-Left1</t>
        </is>
      </c>
      <c r="H764" s="485" t="n">
        <v>1351.17</v>
      </c>
      <c r="I764" s="485" t="n">
        <v>88</v>
      </c>
      <c r="J764" s="485" t="n">
        <v>7</v>
      </c>
      <c r="K764" s="485" t="n">
        <v>53</v>
      </c>
      <c r="L764" s="485" t="n">
        <v>3</v>
      </c>
      <c r="M764" s="514" t="inlineStr">
        <is>
          <t>G</t>
        </is>
      </c>
    </row>
    <row r="765">
      <c r="A765" s="485" t="n">
        <v>13</v>
      </c>
      <c r="B765" s="485" t="n">
        <v>7</v>
      </c>
      <c r="C765" s="485" t="n">
        <v>2</v>
      </c>
      <c r="D765" s="485" t="n">
        <v>20</v>
      </c>
      <c r="E765" s="485" t="n">
        <v>1</v>
      </c>
      <c r="F765" s="485" t="n">
        <v>1</v>
      </c>
      <c r="G765" s="485" t="inlineStr">
        <is>
          <t>North-Right1</t>
        </is>
      </c>
      <c r="H765" s="485" t="n">
        <v>2688.72</v>
      </c>
      <c r="I765" s="485" t="n">
        <v>87</v>
      </c>
      <c r="J765" s="485" t="n">
        <v>27</v>
      </c>
      <c r="K765" s="485" t="n">
        <v>52</v>
      </c>
      <c r="L765" s="485" t="n">
        <v>3</v>
      </c>
      <c r="M765" s="514" t="inlineStr">
        <is>
          <t>G</t>
        </is>
      </c>
    </row>
    <row r="766">
      <c r="A766" s="485" t="n">
        <v>13</v>
      </c>
      <c r="B766" s="485" t="n">
        <v>7</v>
      </c>
      <c r="C766" s="485" t="n">
        <v>2</v>
      </c>
      <c r="D766" s="485" t="n">
        <v>20</v>
      </c>
      <c r="E766" s="485" t="n">
        <v>1</v>
      </c>
      <c r="F766" s="485" t="n">
        <v>1</v>
      </c>
      <c r="G766" s="485" t="inlineStr">
        <is>
          <t>North-Right2</t>
        </is>
      </c>
      <c r="H766" s="485" t="n">
        <v>0</v>
      </c>
      <c r="I766" s="485" t="n">
        <v>0</v>
      </c>
      <c r="J766" s="485" t="n">
        <v>0</v>
      </c>
      <c r="K766" s="485" t="n">
        <v>0</v>
      </c>
      <c r="L766" s="485" t="n">
        <v>0</v>
      </c>
      <c r="M766" s="514" t="inlineStr">
        <is>
          <t>G</t>
        </is>
      </c>
    </row>
    <row r="767">
      <c r="A767" s="485" t="n">
        <v>13</v>
      </c>
      <c r="B767" s="485" t="n">
        <v>7</v>
      </c>
      <c r="C767" s="485" t="n">
        <v>2</v>
      </c>
      <c r="D767" s="485" t="n">
        <v>20</v>
      </c>
      <c r="E767" s="485" t="n">
        <v>1</v>
      </c>
      <c r="F767" s="485" t="n">
        <v>1</v>
      </c>
      <c r="G767" s="485" t="inlineStr">
        <is>
          <t>South-Left2</t>
        </is>
      </c>
      <c r="H767" s="485" t="n">
        <v>1365.68</v>
      </c>
      <c r="I767" s="485" t="n">
        <v>88</v>
      </c>
      <c r="J767" s="485" t="n">
        <v>45</v>
      </c>
      <c r="K767" s="485" t="n">
        <v>30</v>
      </c>
      <c r="L767" s="485" t="n">
        <v>3</v>
      </c>
      <c r="M767" s="514" t="inlineStr">
        <is>
          <t>G</t>
        </is>
      </c>
    </row>
    <row r="768">
      <c r="A768" s="485" t="n">
        <v>13</v>
      </c>
      <c r="B768" s="485" t="n">
        <v>7</v>
      </c>
      <c r="C768" s="485" t="n">
        <v>2</v>
      </c>
      <c r="D768" s="485" t="n">
        <v>20</v>
      </c>
      <c r="E768" s="485" t="n">
        <v>1</v>
      </c>
      <c r="F768" s="485" t="n">
        <v>1</v>
      </c>
      <c r="G768" s="516" t="inlineStr">
        <is>
          <t>South-Left1</t>
        </is>
      </c>
      <c r="H768" s="485" t="n">
        <v>1365.92</v>
      </c>
      <c r="I768" s="485" t="n">
        <v>88</v>
      </c>
      <c r="J768" s="485" t="n">
        <v>44</v>
      </c>
      <c r="K768" s="485" t="n">
        <v>41</v>
      </c>
      <c r="L768" s="485" t="n">
        <v>3</v>
      </c>
      <c r="M768" s="514" t="inlineStr">
        <is>
          <t>G</t>
        </is>
      </c>
    </row>
    <row r="769">
      <c r="A769" s="485" t="n">
        <v>13</v>
      </c>
      <c r="B769" s="485" t="n">
        <v>7</v>
      </c>
      <c r="C769" s="485" t="n">
        <v>2</v>
      </c>
      <c r="D769" s="485" t="n">
        <v>20</v>
      </c>
      <c r="E769" s="485" t="n">
        <v>1</v>
      </c>
      <c r="F769" s="485" t="n">
        <v>1</v>
      </c>
      <c r="G769" s="485" t="inlineStr">
        <is>
          <t>South-Right1</t>
        </is>
      </c>
      <c r="H769" s="485" t="n">
        <v>1314.77</v>
      </c>
      <c r="I769" s="485" t="n">
        <v>86</v>
      </c>
      <c r="J769" s="485" t="n">
        <v>45</v>
      </c>
      <c r="K769" s="485" t="n">
        <v>41</v>
      </c>
      <c r="L769" s="485" t="n">
        <v>3</v>
      </c>
      <c r="M769" s="514" t="inlineStr">
        <is>
          <t>G</t>
        </is>
      </c>
    </row>
    <row r="770">
      <c r="A770" s="485" t="n">
        <v>13</v>
      </c>
      <c r="B770" s="485" t="n">
        <v>7</v>
      </c>
      <c r="C770" s="485" t="n">
        <v>2</v>
      </c>
      <c r="D770" s="485" t="n">
        <v>20</v>
      </c>
      <c r="E770" s="485" t="n">
        <v>1</v>
      </c>
      <c r="F770" s="485" t="n">
        <v>1</v>
      </c>
      <c r="G770" s="485" t="inlineStr">
        <is>
          <t>South-Right2</t>
        </is>
      </c>
      <c r="H770" s="485" t="n">
        <v>1313.51</v>
      </c>
      <c r="I770" s="485" t="n">
        <v>86</v>
      </c>
      <c r="J770" s="485" t="n">
        <v>45</v>
      </c>
      <c r="K770" s="485" t="n">
        <v>7</v>
      </c>
      <c r="L770" s="485" t="n">
        <v>3</v>
      </c>
      <c r="M770" s="514" t="inlineStr">
        <is>
          <t>G</t>
        </is>
      </c>
    </row>
    <row r="771">
      <c r="A771" s="485" t="n">
        <v>13</v>
      </c>
      <c r="B771" s="485" t="n">
        <v>2</v>
      </c>
      <c r="C771" s="485" t="n">
        <v>2</v>
      </c>
      <c r="D771" s="485" t="n">
        <v>3</v>
      </c>
      <c r="E771" s="485" t="n">
        <v>2</v>
      </c>
      <c r="F771" s="485" t="n">
        <v>2</v>
      </c>
      <c r="G771" s="485" t="inlineStr">
        <is>
          <t>West-Up2</t>
        </is>
      </c>
      <c r="H771" s="485" t="n">
        <v>1317.02</v>
      </c>
      <c r="I771" s="485" t="n">
        <v>0</v>
      </c>
      <c r="J771" s="485" t="n">
        <v>45</v>
      </c>
      <c r="K771" s="485" t="n">
        <v>40</v>
      </c>
      <c r="L771" s="485" t="n">
        <v>4</v>
      </c>
      <c r="M771" s="514" t="inlineStr">
        <is>
          <t>T</t>
        </is>
      </c>
    </row>
    <row r="772">
      <c r="A772" s="485" t="n">
        <v>13</v>
      </c>
      <c r="B772" s="485" t="n">
        <v>2</v>
      </c>
      <c r="C772" s="485" t="n">
        <v>2</v>
      </c>
      <c r="D772" s="485" t="n">
        <v>3</v>
      </c>
      <c r="E772" s="485" t="n">
        <v>2</v>
      </c>
      <c r="F772" s="485" t="n">
        <v>2</v>
      </c>
      <c r="G772" s="516" t="inlineStr">
        <is>
          <t>West-Up1</t>
        </is>
      </c>
      <c r="H772" s="485" t="n">
        <v>1359.78</v>
      </c>
      <c r="I772" s="485" t="n">
        <v>0</v>
      </c>
      <c r="J772" s="485" t="n">
        <v>35</v>
      </c>
      <c r="K772" s="485" t="n">
        <v>48</v>
      </c>
      <c r="L772" s="485" t="n">
        <v>4</v>
      </c>
      <c r="M772" s="514" t="inlineStr">
        <is>
          <t>T</t>
        </is>
      </c>
    </row>
    <row r="773">
      <c r="A773" s="485" t="n">
        <v>13</v>
      </c>
      <c r="B773" s="485" t="n">
        <v>2</v>
      </c>
      <c r="C773" s="485" t="n">
        <v>2</v>
      </c>
      <c r="D773" s="485" t="n">
        <v>3</v>
      </c>
      <c r="E773" s="485" t="n">
        <v>2</v>
      </c>
      <c r="F773" s="485" t="n">
        <v>2</v>
      </c>
      <c r="G773" s="485" t="inlineStr">
        <is>
          <t>West-Down1</t>
        </is>
      </c>
      <c r="H773" s="485" t="n">
        <v>1317.84</v>
      </c>
      <c r="I773" s="485" t="n">
        <v>1</v>
      </c>
      <c r="J773" s="485" t="n">
        <v>30</v>
      </c>
      <c r="K773" s="485" t="n">
        <v>12</v>
      </c>
      <c r="L773" s="485" t="n">
        <v>4</v>
      </c>
      <c r="M773" s="514" t="inlineStr">
        <is>
          <t>T</t>
        </is>
      </c>
    </row>
    <row r="774">
      <c r="A774" s="485" t="n">
        <v>13</v>
      </c>
      <c r="B774" s="485" t="n">
        <v>2</v>
      </c>
      <c r="C774" s="485" t="n">
        <v>2</v>
      </c>
      <c r="D774" s="485" t="n">
        <v>3</v>
      </c>
      <c r="E774" s="485" t="n">
        <v>2</v>
      </c>
      <c r="F774" s="485" t="n">
        <v>2</v>
      </c>
      <c r="G774" s="485" t="inlineStr">
        <is>
          <t>West-Down2</t>
        </is>
      </c>
      <c r="H774" s="485" t="n">
        <v>1329.57</v>
      </c>
      <c r="I774" s="485" t="n">
        <v>1</v>
      </c>
      <c r="J774" s="485" t="n">
        <v>3</v>
      </c>
      <c r="K774" s="485" t="n">
        <v>22</v>
      </c>
      <c r="L774" s="485" t="n">
        <v>4</v>
      </c>
      <c r="M774" s="514" t="inlineStr">
        <is>
          <t>T</t>
        </is>
      </c>
    </row>
    <row r="775">
      <c r="A775" s="485" t="n">
        <v>13</v>
      </c>
      <c r="B775" s="485" t="n">
        <v>2</v>
      </c>
      <c r="C775" s="485" t="n">
        <v>2</v>
      </c>
      <c r="D775" s="485" t="n">
        <v>3</v>
      </c>
      <c r="E775" s="485" t="n">
        <v>2</v>
      </c>
      <c r="F775" s="485" t="n">
        <v>2</v>
      </c>
      <c r="G775" s="485" t="inlineStr">
        <is>
          <t>East-Up2</t>
        </is>
      </c>
      <c r="H775" s="485" t="n">
        <v>0</v>
      </c>
      <c r="I775" s="485" t="n">
        <v>0</v>
      </c>
      <c r="J775" s="485" t="n">
        <v>0</v>
      </c>
      <c r="K775" s="485" t="n">
        <v>0</v>
      </c>
      <c r="L775" s="485" t="n">
        <v>0</v>
      </c>
      <c r="M775" s="514" t="inlineStr">
        <is>
          <t>T</t>
        </is>
      </c>
    </row>
    <row r="776">
      <c r="A776" s="485" t="n">
        <v>13</v>
      </c>
      <c r="B776" s="485" t="n">
        <v>2</v>
      </c>
      <c r="C776" s="485" t="n">
        <v>2</v>
      </c>
      <c r="D776" s="485" t="n">
        <v>3</v>
      </c>
      <c r="E776" s="485" t="n">
        <v>2</v>
      </c>
      <c r="F776" s="485" t="n">
        <v>2</v>
      </c>
      <c r="G776" s="516" t="inlineStr">
        <is>
          <t>East-Up1</t>
        </is>
      </c>
      <c r="H776" s="485" t="n">
        <v>2629.31</v>
      </c>
      <c r="I776" s="485" t="n">
        <v>0</v>
      </c>
      <c r="J776" s="485" t="n">
        <v>12</v>
      </c>
      <c r="K776" s="485" t="n">
        <v>40</v>
      </c>
      <c r="L776" s="485" t="n">
        <v>3</v>
      </c>
      <c r="M776" s="514" t="inlineStr">
        <is>
          <t>T</t>
        </is>
      </c>
    </row>
    <row r="777">
      <c r="A777" s="485" t="n">
        <v>13</v>
      </c>
      <c r="B777" s="485" t="n">
        <v>2</v>
      </c>
      <c r="C777" s="485" t="n">
        <v>2</v>
      </c>
      <c r="D777" s="485" t="n">
        <v>3</v>
      </c>
      <c r="E777" s="485" t="n">
        <v>2</v>
      </c>
      <c r="F777" s="485" t="n">
        <v>2</v>
      </c>
      <c r="G777" s="485" t="inlineStr">
        <is>
          <t>East-Down1</t>
        </is>
      </c>
      <c r="H777" s="485" t="n">
        <v>2650.73</v>
      </c>
      <c r="I777" s="485" t="n">
        <v>0</v>
      </c>
      <c r="J777" s="485" t="n">
        <v>11</v>
      </c>
      <c r="K777" s="485" t="n">
        <v>20</v>
      </c>
      <c r="L777" s="485" t="n">
        <v>3</v>
      </c>
      <c r="M777" s="514" t="inlineStr">
        <is>
          <t>T</t>
        </is>
      </c>
    </row>
    <row r="778">
      <c r="A778" s="485" t="n">
        <v>13</v>
      </c>
      <c r="B778" s="485" t="n">
        <v>2</v>
      </c>
      <c r="C778" s="485" t="n">
        <v>2</v>
      </c>
      <c r="D778" s="485" t="n">
        <v>3</v>
      </c>
      <c r="E778" s="485" t="n">
        <v>2</v>
      </c>
      <c r="F778" s="485" t="n">
        <v>2</v>
      </c>
      <c r="G778" s="485" t="inlineStr">
        <is>
          <t>East-Down2</t>
        </is>
      </c>
      <c r="H778" s="485" t="n">
        <v>0</v>
      </c>
      <c r="I778" s="485" t="n">
        <v>0</v>
      </c>
      <c r="J778" s="485" t="n">
        <v>0</v>
      </c>
      <c r="K778" s="485" t="n">
        <v>0</v>
      </c>
      <c r="L778" s="485" t="n">
        <v>0</v>
      </c>
      <c r="M778" s="514" t="inlineStr">
        <is>
          <t>T</t>
        </is>
      </c>
    </row>
    <row r="779">
      <c r="A779" s="485" t="n">
        <v>13</v>
      </c>
      <c r="B779" s="485" t="n">
        <v>2</v>
      </c>
      <c r="C779" s="485" t="n">
        <v>2</v>
      </c>
      <c r="D779" s="485" t="n">
        <v>3</v>
      </c>
      <c r="E779" s="485" t="n">
        <v>2</v>
      </c>
      <c r="F779" s="485" t="n">
        <v>2</v>
      </c>
      <c r="G779" s="485" t="inlineStr">
        <is>
          <t>North-Left2</t>
        </is>
      </c>
      <c r="H779" s="485" t="n">
        <v>0</v>
      </c>
      <c r="I779" s="485" t="n">
        <v>0</v>
      </c>
      <c r="J779" s="485" t="n">
        <v>0</v>
      </c>
      <c r="K779" s="485" t="n">
        <v>0</v>
      </c>
      <c r="L779" s="485" t="n">
        <v>0</v>
      </c>
      <c r="M779" s="514" t="inlineStr">
        <is>
          <t>T</t>
        </is>
      </c>
    </row>
    <row r="780">
      <c r="A780" s="485" t="n">
        <v>13</v>
      </c>
      <c r="B780" s="485" t="n">
        <v>2</v>
      </c>
      <c r="C780" s="485" t="n">
        <v>2</v>
      </c>
      <c r="D780" s="485" t="n">
        <v>3</v>
      </c>
      <c r="E780" s="485" t="n">
        <v>2</v>
      </c>
      <c r="F780" s="485" t="n">
        <v>2</v>
      </c>
      <c r="G780" s="516" t="inlineStr">
        <is>
          <t>North-Left1</t>
        </is>
      </c>
      <c r="H780" s="485" t="n">
        <v>2624.36</v>
      </c>
      <c r="I780" s="485" t="n">
        <v>89</v>
      </c>
      <c r="J780" s="485" t="n">
        <v>55</v>
      </c>
      <c r="K780" s="485" t="n">
        <v>31</v>
      </c>
      <c r="L780" s="485" t="n">
        <v>2</v>
      </c>
      <c r="M780" s="514" t="inlineStr">
        <is>
          <t>T</t>
        </is>
      </c>
    </row>
    <row r="781">
      <c r="A781" s="485" t="n">
        <v>13</v>
      </c>
      <c r="B781" s="485" t="n">
        <v>2</v>
      </c>
      <c r="C781" s="485" t="n">
        <v>2</v>
      </c>
      <c r="D781" s="485" t="n">
        <v>3</v>
      </c>
      <c r="E781" s="485" t="n">
        <v>2</v>
      </c>
      <c r="F781" s="485" t="n">
        <v>2</v>
      </c>
      <c r="G781" s="485" t="inlineStr">
        <is>
          <t>North-Right1</t>
        </is>
      </c>
      <c r="H781" s="485" t="n">
        <v>1312.38</v>
      </c>
      <c r="I781" s="485" t="n">
        <v>89</v>
      </c>
      <c r="J781" s="485" t="n">
        <v>55</v>
      </c>
      <c r="K781" s="485" t="n">
        <v>26</v>
      </c>
      <c r="L781" s="485" t="n">
        <v>3</v>
      </c>
      <c r="M781" s="514" t="inlineStr">
        <is>
          <t>T</t>
        </is>
      </c>
    </row>
    <row r="782">
      <c r="A782" s="485" t="n">
        <v>13</v>
      </c>
      <c r="B782" s="485" t="n">
        <v>2</v>
      </c>
      <c r="C782" s="485" t="n">
        <v>2</v>
      </c>
      <c r="D782" s="485" t="n">
        <v>3</v>
      </c>
      <c r="E782" s="485" t="n">
        <v>2</v>
      </c>
      <c r="F782" s="485" t="n">
        <v>2</v>
      </c>
      <c r="G782" s="485" t="inlineStr">
        <is>
          <t>North-Right2</t>
        </is>
      </c>
      <c r="H782" s="485" t="n">
        <v>1312.06</v>
      </c>
      <c r="I782" s="485" t="n">
        <v>89</v>
      </c>
      <c r="J782" s="485" t="n">
        <v>54</v>
      </c>
      <c r="K782" s="485" t="n">
        <v>15</v>
      </c>
      <c r="L782" s="485" t="n">
        <v>2</v>
      </c>
      <c r="M782" s="514" t="inlineStr">
        <is>
          <t>T</t>
        </is>
      </c>
    </row>
    <row r="783">
      <c r="A783" s="485" t="n">
        <v>13</v>
      </c>
      <c r="B783" s="485" t="n">
        <v>2</v>
      </c>
      <c r="C783" s="485" t="n">
        <v>2</v>
      </c>
      <c r="D783" s="485" t="n">
        <v>3</v>
      </c>
      <c r="E783" s="485" t="n">
        <v>2</v>
      </c>
      <c r="F783" s="485" t="n">
        <v>2</v>
      </c>
      <c r="G783" s="485" t="inlineStr">
        <is>
          <t>South-Left2</t>
        </is>
      </c>
      <c r="H783" s="485" t="n">
        <v>1312.46</v>
      </c>
      <c r="I783" s="485" t="n">
        <v>89</v>
      </c>
      <c r="J783" s="485" t="n">
        <v>47</v>
      </c>
      <c r="K783" s="485" t="n">
        <v>39</v>
      </c>
      <c r="L783" s="485" t="n">
        <v>1</v>
      </c>
      <c r="M783" s="514" t="inlineStr">
        <is>
          <t>T</t>
        </is>
      </c>
    </row>
    <row r="784">
      <c r="A784" s="485" t="n">
        <v>13</v>
      </c>
      <c r="B784" s="485" t="n">
        <v>2</v>
      </c>
      <c r="C784" s="485" t="n">
        <v>2</v>
      </c>
      <c r="D784" s="485" t="n">
        <v>3</v>
      </c>
      <c r="E784" s="485" t="n">
        <v>2</v>
      </c>
      <c r="F784" s="485" t="n">
        <v>2</v>
      </c>
      <c r="G784" s="516" t="inlineStr">
        <is>
          <t>South-Left1</t>
        </is>
      </c>
      <c r="H784" s="485" t="n">
        <v>1312.47</v>
      </c>
      <c r="I784" s="485" t="n">
        <v>89</v>
      </c>
      <c r="J784" s="485" t="n">
        <v>47</v>
      </c>
      <c r="K784" s="485" t="n">
        <v>22</v>
      </c>
      <c r="L784" s="485" t="n">
        <v>1</v>
      </c>
      <c r="M784" s="514" t="inlineStr">
        <is>
          <t>T</t>
        </is>
      </c>
    </row>
    <row r="785">
      <c r="A785" s="485" t="n">
        <v>13</v>
      </c>
      <c r="B785" s="485" t="n">
        <v>2</v>
      </c>
      <c r="C785" s="485" t="n">
        <v>2</v>
      </c>
      <c r="D785" s="485" t="n">
        <v>3</v>
      </c>
      <c r="E785" s="485" t="n">
        <v>2</v>
      </c>
      <c r="F785" s="485" t="n">
        <v>2</v>
      </c>
      <c r="G785" s="485" t="inlineStr">
        <is>
          <t>South-Right1</t>
        </is>
      </c>
      <c r="H785" s="485" t="n">
        <v>2624.64</v>
      </c>
      <c r="I785" s="485" t="n">
        <v>89</v>
      </c>
      <c r="J785" s="485" t="n">
        <v>48</v>
      </c>
      <c r="K785" s="485" t="n">
        <v>36</v>
      </c>
      <c r="L785" s="485" t="n">
        <v>1</v>
      </c>
      <c r="M785" s="514" t="inlineStr">
        <is>
          <t>T</t>
        </is>
      </c>
    </row>
    <row r="786">
      <c r="A786" s="485" t="n">
        <v>13</v>
      </c>
      <c r="B786" s="485" t="n">
        <v>2</v>
      </c>
      <c r="C786" s="485" t="n">
        <v>2</v>
      </c>
      <c r="D786" s="485" t="n">
        <v>3</v>
      </c>
      <c r="E786" s="485" t="n">
        <v>2</v>
      </c>
      <c r="F786" s="485" t="n">
        <v>2</v>
      </c>
      <c r="G786" s="485" t="inlineStr">
        <is>
          <t>South-Right2</t>
        </is>
      </c>
      <c r="H786" s="485" t="n">
        <v>0</v>
      </c>
      <c r="I786" s="485" t="n">
        <v>0</v>
      </c>
      <c r="J786" s="485" t="n">
        <v>0</v>
      </c>
      <c r="K786" s="485" t="n">
        <v>0</v>
      </c>
      <c r="L786" s="485" t="n">
        <v>0</v>
      </c>
      <c r="M786" s="514" t="inlineStr">
        <is>
          <t>T</t>
        </is>
      </c>
    </row>
    <row r="787">
      <c r="A787" s="485" t="n">
        <v>13</v>
      </c>
      <c r="B787" s="485" t="n">
        <v>3</v>
      </c>
      <c r="C787" s="485" t="n">
        <v>2</v>
      </c>
      <c r="D787" s="485" t="n">
        <v>5</v>
      </c>
      <c r="E787" s="485" t="n">
        <v>2</v>
      </c>
      <c r="F787" s="485" t="n">
        <v>2</v>
      </c>
      <c r="G787" s="485" t="inlineStr">
        <is>
          <t>West-Up2</t>
        </is>
      </c>
      <c r="H787" s="485" t="n">
        <v>0</v>
      </c>
      <c r="I787" s="485" t="n">
        <v>0</v>
      </c>
      <c r="J787" s="485" t="n">
        <v>0</v>
      </c>
      <c r="K787" s="485" t="n">
        <v>0</v>
      </c>
      <c r="L787" s="485" t="n">
        <v>0</v>
      </c>
      <c r="M787" s="514" t="inlineStr">
        <is>
          <t>T</t>
        </is>
      </c>
    </row>
    <row r="788">
      <c r="A788" s="485" t="n">
        <v>13</v>
      </c>
      <c r="B788" s="485" t="n">
        <v>3</v>
      </c>
      <c r="C788" s="485" t="n">
        <v>2</v>
      </c>
      <c r="D788" s="485" t="n">
        <v>5</v>
      </c>
      <c r="E788" s="485" t="n">
        <v>2</v>
      </c>
      <c r="F788" s="485" t="n">
        <v>2</v>
      </c>
      <c r="G788" s="516" t="inlineStr">
        <is>
          <t>West-Up1</t>
        </is>
      </c>
      <c r="H788" s="485" t="n">
        <v>2642.52</v>
      </c>
      <c r="I788" s="485" t="n">
        <v>0</v>
      </c>
      <c r="J788" s="485" t="n">
        <v>5</v>
      </c>
      <c r="K788" s="485" t="n">
        <v>4</v>
      </c>
      <c r="L788" s="485" t="n">
        <v>4</v>
      </c>
      <c r="M788" s="514" t="inlineStr">
        <is>
          <t>T</t>
        </is>
      </c>
    </row>
    <row r="789">
      <c r="A789" s="485" t="n">
        <v>13</v>
      </c>
      <c r="B789" s="485" t="n">
        <v>3</v>
      </c>
      <c r="C789" s="485" t="n">
        <v>2</v>
      </c>
      <c r="D789" s="485" t="n">
        <v>5</v>
      </c>
      <c r="E789" s="485" t="n">
        <v>2</v>
      </c>
      <c r="F789" s="485" t="n">
        <v>2</v>
      </c>
      <c r="G789" s="485" t="inlineStr">
        <is>
          <t>West-Down1</t>
        </is>
      </c>
      <c r="H789" s="485" t="n">
        <v>2648.72</v>
      </c>
      <c r="I789" s="485" t="n">
        <v>0</v>
      </c>
      <c r="J789" s="485" t="n">
        <v>32</v>
      </c>
      <c r="K789" s="485" t="n">
        <v>34</v>
      </c>
      <c r="L789" s="485" t="n">
        <v>4</v>
      </c>
      <c r="M789" s="514" t="inlineStr">
        <is>
          <t>T</t>
        </is>
      </c>
    </row>
    <row r="790">
      <c r="A790" s="485" t="n">
        <v>13</v>
      </c>
      <c r="B790" s="485" t="n">
        <v>3</v>
      </c>
      <c r="C790" s="485" t="n">
        <v>2</v>
      </c>
      <c r="D790" s="485" t="n">
        <v>5</v>
      </c>
      <c r="E790" s="485" t="n">
        <v>2</v>
      </c>
      <c r="F790" s="485" t="n">
        <v>2</v>
      </c>
      <c r="G790" s="485" t="inlineStr">
        <is>
          <t>West-Down2</t>
        </is>
      </c>
      <c r="H790" s="485" t="n">
        <v>0</v>
      </c>
      <c r="I790" s="485" t="n">
        <v>0</v>
      </c>
      <c r="J790" s="485" t="n">
        <v>0</v>
      </c>
      <c r="K790" s="485" t="n">
        <v>0</v>
      </c>
      <c r="L790" s="485" t="n">
        <v>0</v>
      </c>
      <c r="M790" s="514" t="inlineStr">
        <is>
          <t>T</t>
        </is>
      </c>
    </row>
    <row r="791">
      <c r="A791" s="485" t="n">
        <v>13</v>
      </c>
      <c r="B791" s="485" t="n">
        <v>3</v>
      </c>
      <c r="C791" s="485" t="n">
        <v>2</v>
      </c>
      <c r="D791" s="485" t="n">
        <v>5</v>
      </c>
      <c r="E791" s="485" t="n">
        <v>2</v>
      </c>
      <c r="F791" s="485" t="n">
        <v>2</v>
      </c>
      <c r="G791" s="485" t="inlineStr">
        <is>
          <t>East-Up2</t>
        </is>
      </c>
      <c r="H791" s="485" t="n">
        <v>0</v>
      </c>
      <c r="I791" s="485" t="n">
        <v>0</v>
      </c>
      <c r="J791" s="485" t="n">
        <v>0</v>
      </c>
      <c r="K791" s="485" t="n">
        <v>0</v>
      </c>
      <c r="L791" s="485" t="n">
        <v>0</v>
      </c>
      <c r="M791" s="514" t="inlineStr">
        <is>
          <t>T</t>
        </is>
      </c>
    </row>
    <row r="792">
      <c r="A792" s="485" t="n">
        <v>13</v>
      </c>
      <c r="B792" s="485" t="n">
        <v>3</v>
      </c>
      <c r="C792" s="485" t="n">
        <v>2</v>
      </c>
      <c r="D792" s="485" t="n">
        <v>5</v>
      </c>
      <c r="E792" s="485" t="n">
        <v>2</v>
      </c>
      <c r="F792" s="485" t="n">
        <v>2</v>
      </c>
      <c r="G792" s="516" t="inlineStr">
        <is>
          <t>East-Up1</t>
        </is>
      </c>
      <c r="H792" s="485" t="n">
        <v>2634.07</v>
      </c>
      <c r="I792" s="485" t="n">
        <v>0</v>
      </c>
      <c r="J792" s="485" t="n">
        <v>5</v>
      </c>
      <c r="K792" s="485" t="n">
        <v>42</v>
      </c>
      <c r="L792" s="485" t="n">
        <v>4</v>
      </c>
      <c r="M792" s="514" t="inlineStr">
        <is>
          <t>T</t>
        </is>
      </c>
    </row>
    <row r="793">
      <c r="A793" s="485" t="n">
        <v>13</v>
      </c>
      <c r="B793" s="485" t="n">
        <v>3</v>
      </c>
      <c r="C793" s="485" t="n">
        <v>2</v>
      </c>
      <c r="D793" s="485" t="n">
        <v>5</v>
      </c>
      <c r="E793" s="485" t="n">
        <v>2</v>
      </c>
      <c r="F793" s="485" t="n">
        <v>2</v>
      </c>
      <c r="G793" s="485" t="inlineStr">
        <is>
          <t>East-Down1</t>
        </is>
      </c>
      <c r="H793" s="485" t="n">
        <v>2644.62</v>
      </c>
      <c r="I793" s="485" t="n">
        <v>0</v>
      </c>
      <c r="J793" s="485" t="n">
        <v>5</v>
      </c>
      <c r="K793" s="485" t="n">
        <v>42</v>
      </c>
      <c r="L793" s="485" t="n">
        <v>4</v>
      </c>
      <c r="M793" s="514" t="inlineStr">
        <is>
          <t>T</t>
        </is>
      </c>
    </row>
    <row r="794">
      <c r="A794" s="485" t="n">
        <v>13</v>
      </c>
      <c r="B794" s="485" t="n">
        <v>3</v>
      </c>
      <c r="C794" s="485" t="n">
        <v>2</v>
      </c>
      <c r="D794" s="485" t="n">
        <v>5</v>
      </c>
      <c r="E794" s="485" t="n">
        <v>2</v>
      </c>
      <c r="F794" s="485" t="n">
        <v>2</v>
      </c>
      <c r="G794" s="485" t="inlineStr">
        <is>
          <t>East-Down2</t>
        </is>
      </c>
      <c r="H794" s="485" t="n">
        <v>0</v>
      </c>
      <c r="I794" s="485" t="n">
        <v>0</v>
      </c>
      <c r="J794" s="485" t="n">
        <v>0</v>
      </c>
      <c r="K794" s="485" t="n">
        <v>0</v>
      </c>
      <c r="L794" s="485" t="n">
        <v>0</v>
      </c>
      <c r="M794" s="514" t="inlineStr">
        <is>
          <t>T</t>
        </is>
      </c>
    </row>
    <row r="795">
      <c r="A795" s="485" t="n">
        <v>13</v>
      </c>
      <c r="B795" s="485" t="n">
        <v>3</v>
      </c>
      <c r="C795" s="485" t="n">
        <v>2</v>
      </c>
      <c r="D795" s="485" t="n">
        <v>5</v>
      </c>
      <c r="E795" s="485" t="n">
        <v>2</v>
      </c>
      <c r="F795" s="485" t="n">
        <v>2</v>
      </c>
      <c r="G795" s="485" t="inlineStr">
        <is>
          <t>North-Left2</t>
        </is>
      </c>
      <c r="H795" s="485" t="n">
        <v>0</v>
      </c>
      <c r="I795" s="485" t="n">
        <v>0</v>
      </c>
      <c r="J795" s="485" t="n">
        <v>0</v>
      </c>
      <c r="K795" s="485" t="n">
        <v>0</v>
      </c>
      <c r="L795" s="485" t="n">
        <v>0</v>
      </c>
      <c r="M795" s="514" t="inlineStr">
        <is>
          <t>T</t>
        </is>
      </c>
    </row>
    <row r="796">
      <c r="A796" s="485" t="n">
        <v>13</v>
      </c>
      <c r="B796" s="485" t="n">
        <v>3</v>
      </c>
      <c r="C796" s="485" t="n">
        <v>2</v>
      </c>
      <c r="D796" s="485" t="n">
        <v>5</v>
      </c>
      <c r="E796" s="485" t="n">
        <v>2</v>
      </c>
      <c r="F796" s="485" t="n">
        <v>2</v>
      </c>
      <c r="G796" s="516" t="inlineStr">
        <is>
          <t>North-Left1</t>
        </is>
      </c>
      <c r="H796" s="485" t="n">
        <v>2649.57</v>
      </c>
      <c r="I796" s="485" t="n">
        <v>89</v>
      </c>
      <c r="J796" s="485" t="n">
        <v>44</v>
      </c>
      <c r="K796" s="485" t="n">
        <v>35</v>
      </c>
      <c r="L796" s="485" t="n">
        <v>3</v>
      </c>
      <c r="M796" s="514" t="inlineStr">
        <is>
          <t>T</t>
        </is>
      </c>
    </row>
    <row r="797">
      <c r="A797" s="485" t="n">
        <v>13</v>
      </c>
      <c r="B797" s="485" t="n">
        <v>3</v>
      </c>
      <c r="C797" s="485" t="n">
        <v>2</v>
      </c>
      <c r="D797" s="485" t="n">
        <v>5</v>
      </c>
      <c r="E797" s="485" t="n">
        <v>2</v>
      </c>
      <c r="F797" s="485" t="n">
        <v>2</v>
      </c>
      <c r="G797" s="485" t="inlineStr">
        <is>
          <t>North-Right1</t>
        </is>
      </c>
      <c r="H797" s="485" t="n">
        <v>2649.56</v>
      </c>
      <c r="I797" s="485" t="n">
        <v>89</v>
      </c>
      <c r="J797" s="485" t="n">
        <v>46</v>
      </c>
      <c r="K797" s="485" t="n">
        <v>42</v>
      </c>
      <c r="L797" s="485" t="n">
        <v>3</v>
      </c>
      <c r="M797" s="514" t="inlineStr">
        <is>
          <t>T</t>
        </is>
      </c>
    </row>
    <row r="798">
      <c r="A798" s="485" t="n">
        <v>13</v>
      </c>
      <c r="B798" s="485" t="n">
        <v>3</v>
      </c>
      <c r="C798" s="485" t="n">
        <v>2</v>
      </c>
      <c r="D798" s="485" t="n">
        <v>5</v>
      </c>
      <c r="E798" s="485" t="n">
        <v>2</v>
      </c>
      <c r="F798" s="485" t="n">
        <v>2</v>
      </c>
      <c r="G798" s="485" t="inlineStr">
        <is>
          <t>North-Right2</t>
        </is>
      </c>
      <c r="H798" s="485" t="n">
        <v>0</v>
      </c>
      <c r="I798" s="485" t="n">
        <v>0</v>
      </c>
      <c r="J798" s="485" t="n">
        <v>0</v>
      </c>
      <c r="K798" s="485" t="n">
        <v>0</v>
      </c>
      <c r="L798" s="485" t="n">
        <v>0</v>
      </c>
      <c r="M798" s="514" t="inlineStr">
        <is>
          <t>T</t>
        </is>
      </c>
    </row>
    <row r="799">
      <c r="A799" s="485" t="n">
        <v>13</v>
      </c>
      <c r="B799" s="485" t="n">
        <v>3</v>
      </c>
      <c r="C799" s="485" t="n">
        <v>2</v>
      </c>
      <c r="D799" s="485" t="n">
        <v>5</v>
      </c>
      <c r="E799" s="485" t="n">
        <v>2</v>
      </c>
      <c r="F799" s="485" t="n">
        <v>2</v>
      </c>
      <c r="G799" s="485" t="inlineStr">
        <is>
          <t>South-Left2</t>
        </is>
      </c>
      <c r="H799" s="485" t="n">
        <v>0</v>
      </c>
      <c r="I799" s="485" t="n">
        <v>0</v>
      </c>
      <c r="J799" s="485" t="n">
        <v>0</v>
      </c>
      <c r="K799" s="485" t="n">
        <v>0</v>
      </c>
      <c r="L799" s="485" t="n">
        <v>0</v>
      </c>
      <c r="M799" s="514" t="inlineStr">
        <is>
          <t>T</t>
        </is>
      </c>
    </row>
    <row r="800">
      <c r="A800" s="485" t="n">
        <v>13</v>
      </c>
      <c r="B800" s="485" t="n">
        <v>3</v>
      </c>
      <c r="C800" s="485" t="n">
        <v>2</v>
      </c>
      <c r="D800" s="485" t="n">
        <v>5</v>
      </c>
      <c r="E800" s="485" t="n">
        <v>2</v>
      </c>
      <c r="F800" s="485" t="n">
        <v>2</v>
      </c>
      <c r="G800" s="516" t="inlineStr">
        <is>
          <t>South-Left1</t>
        </is>
      </c>
      <c r="H800" s="485" t="n">
        <v>5278.96</v>
      </c>
      <c r="I800" s="485" t="n">
        <v>89</v>
      </c>
      <c r="J800" s="485" t="n">
        <v>37</v>
      </c>
      <c r="K800" s="485" t="n">
        <v>30</v>
      </c>
      <c r="L800" s="485" t="n">
        <v>3</v>
      </c>
      <c r="M800" s="514" t="inlineStr">
        <is>
          <t>T</t>
        </is>
      </c>
    </row>
    <row r="801">
      <c r="A801" s="485" t="n">
        <v>13</v>
      </c>
      <c r="B801" s="485" t="n">
        <v>3</v>
      </c>
      <c r="C801" s="485" t="n">
        <v>2</v>
      </c>
      <c r="D801" s="485" t="n">
        <v>5</v>
      </c>
      <c r="E801" s="485" t="n">
        <v>2</v>
      </c>
      <c r="F801" s="485" t="n">
        <v>2</v>
      </c>
      <c r="G801" s="485" t="inlineStr">
        <is>
          <t>South-Right1</t>
        </is>
      </c>
      <c r="H801" s="485" t="n">
        <v>0</v>
      </c>
      <c r="I801" s="485" t="n">
        <v>0</v>
      </c>
      <c r="J801" s="485" t="n">
        <v>0</v>
      </c>
      <c r="K801" s="485" t="n">
        <v>0</v>
      </c>
      <c r="L801" s="485" t="n">
        <v>0</v>
      </c>
      <c r="M801" s="514" t="inlineStr">
        <is>
          <t>T</t>
        </is>
      </c>
    </row>
    <row r="802">
      <c r="A802" s="485" t="n">
        <v>13</v>
      </c>
      <c r="B802" s="485" t="n">
        <v>3</v>
      </c>
      <c r="C802" s="485" t="n">
        <v>2</v>
      </c>
      <c r="D802" s="485" t="n">
        <v>5</v>
      </c>
      <c r="E802" s="485" t="n">
        <v>2</v>
      </c>
      <c r="F802" s="485" t="n">
        <v>2</v>
      </c>
      <c r="G802" s="485" t="inlineStr">
        <is>
          <t>South-Right2</t>
        </is>
      </c>
      <c r="H802" s="485" t="n">
        <v>0</v>
      </c>
      <c r="I802" s="485" t="n">
        <v>0</v>
      </c>
      <c r="J802" s="485" t="n">
        <v>0</v>
      </c>
      <c r="K802" s="485" t="n">
        <v>0</v>
      </c>
      <c r="L802" s="485" t="n">
        <v>0</v>
      </c>
      <c r="M802" s="514" t="inlineStr">
        <is>
          <t>T</t>
        </is>
      </c>
    </row>
    <row r="803">
      <c r="A803" s="486" t="n">
        <v>14</v>
      </c>
      <c r="B803" s="486" t="n">
        <v>7</v>
      </c>
      <c r="C803" s="486" t="n">
        <v>2</v>
      </c>
      <c r="D803" s="486" t="n">
        <v>20</v>
      </c>
      <c r="E803" s="486" t="n">
        <v>1</v>
      </c>
      <c r="F803" s="486" t="n">
        <v>1</v>
      </c>
      <c r="G803" s="486" t="inlineStr">
        <is>
          <t>West-Up2</t>
        </is>
      </c>
      <c r="H803" s="486" t="n">
        <v>1331.63</v>
      </c>
      <c r="I803" s="486" t="n">
        <v>1</v>
      </c>
      <c r="J803" s="486" t="n">
        <v>36</v>
      </c>
      <c r="K803" s="486" t="n">
        <v>19</v>
      </c>
      <c r="L803" s="486" t="n">
        <v>4</v>
      </c>
      <c r="M803" s="487" t="inlineStr">
        <is>
          <t>G</t>
        </is>
      </c>
    </row>
    <row r="804">
      <c r="A804" s="486" t="n">
        <v>14</v>
      </c>
      <c r="B804" s="486" t="n">
        <v>7</v>
      </c>
      <c r="C804" s="486" t="n">
        <v>2</v>
      </c>
      <c r="D804" s="486" t="n">
        <v>20</v>
      </c>
      <c r="E804" s="486" t="n">
        <v>1</v>
      </c>
      <c r="F804" s="486" t="n">
        <v>1</v>
      </c>
      <c r="G804" s="475" t="inlineStr">
        <is>
          <t>West-Up1</t>
        </is>
      </c>
      <c r="H804" s="486" t="n">
        <v>1331.54</v>
      </c>
      <c r="I804" s="486" t="n">
        <v>1</v>
      </c>
      <c r="J804" s="486" t="n">
        <v>36</v>
      </c>
      <c r="K804" s="486" t="n">
        <v>19</v>
      </c>
      <c r="L804" s="486" t="n">
        <v>4</v>
      </c>
      <c r="M804" s="487" t="inlineStr">
        <is>
          <t>G</t>
        </is>
      </c>
    </row>
    <row r="805">
      <c r="A805" s="486" t="n">
        <v>14</v>
      </c>
      <c r="B805" s="486" t="n">
        <v>7</v>
      </c>
      <c r="C805" s="486" t="n">
        <v>2</v>
      </c>
      <c r="D805" s="486" t="n">
        <v>20</v>
      </c>
      <c r="E805" s="486" t="n">
        <v>1</v>
      </c>
      <c r="F805" s="486" t="n">
        <v>1</v>
      </c>
      <c r="G805" s="486" t="inlineStr">
        <is>
          <t>West-Down1</t>
        </is>
      </c>
      <c r="H805" s="486" t="n">
        <v>2670.19</v>
      </c>
      <c r="I805" s="486" t="n">
        <v>1</v>
      </c>
      <c r="J805" s="486" t="n">
        <v>34</v>
      </c>
      <c r="K805" s="486" t="n">
        <v>31</v>
      </c>
      <c r="L805" s="486" t="n">
        <v>4</v>
      </c>
      <c r="M805" s="487" t="inlineStr">
        <is>
          <t>G</t>
        </is>
      </c>
    </row>
    <row r="806">
      <c r="A806" s="486" t="n">
        <v>14</v>
      </c>
      <c r="B806" s="486" t="n">
        <v>7</v>
      </c>
      <c r="C806" s="486" t="n">
        <v>2</v>
      </c>
      <c r="D806" s="486" t="n">
        <v>20</v>
      </c>
      <c r="E806" s="486" t="n">
        <v>1</v>
      </c>
      <c r="F806" s="486" t="n">
        <v>1</v>
      </c>
      <c r="G806" s="486" t="inlineStr">
        <is>
          <t>West-Down2</t>
        </is>
      </c>
      <c r="H806" s="486" t="n">
        <v>0</v>
      </c>
      <c r="I806" s="486" t="n">
        <v>0</v>
      </c>
      <c r="J806" s="486" t="n">
        <v>0</v>
      </c>
      <c r="K806" s="486" t="n">
        <v>0</v>
      </c>
      <c r="L806" s="486" t="n">
        <v>0</v>
      </c>
      <c r="M806" s="487" t="inlineStr">
        <is>
          <t>G</t>
        </is>
      </c>
    </row>
    <row r="807">
      <c r="A807" s="486" t="n">
        <v>14</v>
      </c>
      <c r="B807" s="486" t="n">
        <v>7</v>
      </c>
      <c r="C807" s="486" t="n">
        <v>2</v>
      </c>
      <c r="D807" s="486" t="n">
        <v>20</v>
      </c>
      <c r="E807" s="486" t="n">
        <v>1</v>
      </c>
      <c r="F807" s="486" t="n">
        <v>1</v>
      </c>
      <c r="G807" s="486" t="inlineStr">
        <is>
          <t>East-Up2</t>
        </is>
      </c>
      <c r="H807" s="486" t="n">
        <v>1322.98</v>
      </c>
      <c r="I807" s="486" t="n">
        <v>0</v>
      </c>
      <c r="J807" s="486" t="n">
        <v>34</v>
      </c>
      <c r="K807" s="486" t="n">
        <v>35</v>
      </c>
      <c r="L807" s="486" t="n">
        <v>4</v>
      </c>
      <c r="M807" s="487" t="inlineStr">
        <is>
          <t>G</t>
        </is>
      </c>
    </row>
    <row r="808">
      <c r="A808" s="486" t="n">
        <v>14</v>
      </c>
      <c r="B808" s="486" t="n">
        <v>7</v>
      </c>
      <c r="C808" s="486" t="n">
        <v>2</v>
      </c>
      <c r="D808" s="486" t="n">
        <v>20</v>
      </c>
      <c r="E808" s="486" t="n">
        <v>1</v>
      </c>
      <c r="F808" s="486" t="n">
        <v>1</v>
      </c>
      <c r="G808" s="475" t="inlineStr">
        <is>
          <t>East-Up1</t>
        </is>
      </c>
      <c r="H808" s="486" t="n">
        <v>1326.92</v>
      </c>
      <c r="I808" s="486" t="n">
        <v>0</v>
      </c>
      <c r="J808" s="486" t="n">
        <v>33</v>
      </c>
      <c r="K808" s="486" t="n">
        <v>46</v>
      </c>
      <c r="L808" s="486" t="n">
        <v>4</v>
      </c>
      <c r="M808" s="487" t="inlineStr">
        <is>
          <t>G</t>
        </is>
      </c>
    </row>
    <row r="809">
      <c r="A809" s="486" t="n">
        <v>14</v>
      </c>
      <c r="B809" s="486" t="n">
        <v>7</v>
      </c>
      <c r="C809" s="486" t="n">
        <v>2</v>
      </c>
      <c r="D809" s="486" t="n">
        <v>20</v>
      </c>
      <c r="E809" s="486" t="n">
        <v>1</v>
      </c>
      <c r="F809" s="486" t="n">
        <v>1</v>
      </c>
      <c r="G809" s="486" t="inlineStr">
        <is>
          <t>East-Down1</t>
        </is>
      </c>
      <c r="H809" s="486" t="n">
        <v>1328.24</v>
      </c>
      <c r="I809" s="486" t="n">
        <v>2</v>
      </c>
      <c r="J809" s="486" t="n">
        <v>34</v>
      </c>
      <c r="K809" s="486" t="n">
        <v>32</v>
      </c>
      <c r="L809" s="486" t="n">
        <v>4</v>
      </c>
      <c r="M809" s="487" t="inlineStr">
        <is>
          <t>G</t>
        </is>
      </c>
    </row>
    <row r="810">
      <c r="A810" s="486" t="n">
        <v>14</v>
      </c>
      <c r="B810" s="486" t="n">
        <v>7</v>
      </c>
      <c r="C810" s="486" t="n">
        <v>2</v>
      </c>
      <c r="D810" s="486" t="n">
        <v>20</v>
      </c>
      <c r="E810" s="486" t="n">
        <v>1</v>
      </c>
      <c r="F810" s="486" t="n">
        <v>1</v>
      </c>
      <c r="G810" s="486" t="inlineStr">
        <is>
          <t>East-Down2</t>
        </is>
      </c>
      <c r="H810" s="486" t="n">
        <v>1331.91</v>
      </c>
      <c r="I810" s="486" t="n">
        <v>2</v>
      </c>
      <c r="J810" s="486" t="n">
        <v>37</v>
      </c>
      <c r="K810" s="486" t="n">
        <v>53</v>
      </c>
      <c r="L810" s="486" t="n">
        <v>4</v>
      </c>
      <c r="M810" s="487" t="inlineStr">
        <is>
          <t>G</t>
        </is>
      </c>
    </row>
    <row r="811">
      <c r="A811" s="486" t="n">
        <v>14</v>
      </c>
      <c r="B811" s="486" t="n">
        <v>7</v>
      </c>
      <c r="C811" s="486" t="n">
        <v>2</v>
      </c>
      <c r="D811" s="486" t="n">
        <v>20</v>
      </c>
      <c r="E811" s="486" t="n">
        <v>1</v>
      </c>
      <c r="F811" s="486" t="n">
        <v>1</v>
      </c>
      <c r="G811" s="486" t="inlineStr">
        <is>
          <t>North-Left2</t>
        </is>
      </c>
      <c r="H811" s="486" t="n">
        <v>1354</v>
      </c>
      <c r="I811" s="486" t="n">
        <v>88</v>
      </c>
      <c r="J811" s="486" t="n">
        <v>26</v>
      </c>
      <c r="K811" s="486" t="n">
        <v>6</v>
      </c>
      <c r="L811" s="486" t="n">
        <v>3</v>
      </c>
      <c r="M811" s="487" t="inlineStr">
        <is>
          <t>G</t>
        </is>
      </c>
    </row>
    <row r="812">
      <c r="A812" s="486" t="n">
        <v>14</v>
      </c>
      <c r="B812" s="486" t="n">
        <v>7</v>
      </c>
      <c r="C812" s="486" t="n">
        <v>2</v>
      </c>
      <c r="D812" s="486" t="n">
        <v>20</v>
      </c>
      <c r="E812" s="486" t="n">
        <v>1</v>
      </c>
      <c r="F812" s="486" t="n">
        <v>1</v>
      </c>
      <c r="G812" s="475" t="inlineStr">
        <is>
          <t>North-Left1</t>
        </is>
      </c>
      <c r="H812" s="486" t="n">
        <v>1332.18</v>
      </c>
      <c r="I812" s="486" t="n">
        <v>88</v>
      </c>
      <c r="J812" s="486" t="n">
        <v>21</v>
      </c>
      <c r="K812" s="486" t="n">
        <v>25</v>
      </c>
      <c r="L812" s="486" t="n">
        <v>3</v>
      </c>
      <c r="M812" s="487" t="inlineStr">
        <is>
          <t>G</t>
        </is>
      </c>
    </row>
    <row r="813">
      <c r="A813" s="486" t="n">
        <v>14</v>
      </c>
      <c r="B813" s="486" t="n">
        <v>7</v>
      </c>
      <c r="C813" s="486" t="n">
        <v>2</v>
      </c>
      <c r="D813" s="486" t="n">
        <v>20</v>
      </c>
      <c r="E813" s="486" t="n">
        <v>1</v>
      </c>
      <c r="F813" s="486" t="n">
        <v>1</v>
      </c>
      <c r="G813" s="486" t="inlineStr">
        <is>
          <t>North-Right1</t>
        </is>
      </c>
      <c r="H813" s="486" t="n">
        <v>1294.75</v>
      </c>
      <c r="I813" s="486" t="n">
        <v>88</v>
      </c>
      <c r="J813" s="486" t="n">
        <v>59</v>
      </c>
      <c r="K813" s="486" t="n">
        <v>51</v>
      </c>
      <c r="L813" s="486" t="n">
        <v>3</v>
      </c>
      <c r="M813" s="487" t="inlineStr">
        <is>
          <t>G</t>
        </is>
      </c>
    </row>
    <row r="814">
      <c r="A814" s="486" t="n">
        <v>14</v>
      </c>
      <c r="B814" s="486" t="n">
        <v>7</v>
      </c>
      <c r="C814" s="486" t="n">
        <v>2</v>
      </c>
      <c r="D814" s="486" t="n">
        <v>20</v>
      </c>
      <c r="E814" s="486" t="n">
        <v>1</v>
      </c>
      <c r="F814" s="486" t="n">
        <v>1</v>
      </c>
      <c r="G814" s="486" t="inlineStr">
        <is>
          <t>North-Right2</t>
        </is>
      </c>
      <c r="H814" s="486" t="n">
        <v>1349.78</v>
      </c>
      <c r="I814" s="486" t="n">
        <v>88</v>
      </c>
      <c r="J814" s="486" t="n">
        <v>35</v>
      </c>
      <c r="K814" s="486" t="n">
        <v>19</v>
      </c>
      <c r="L814" s="486" t="n">
        <v>3</v>
      </c>
      <c r="M814" s="487" t="inlineStr">
        <is>
          <t>G</t>
        </is>
      </c>
    </row>
    <row r="815">
      <c r="A815" s="486" t="n">
        <v>14</v>
      </c>
      <c r="B815" s="486" t="n">
        <v>7</v>
      </c>
      <c r="C815" s="486" t="n">
        <v>2</v>
      </c>
      <c r="D815" s="486" t="n">
        <v>20</v>
      </c>
      <c r="E815" s="486" t="n">
        <v>1</v>
      </c>
      <c r="F815" s="486" t="n">
        <v>1</v>
      </c>
      <c r="G815" s="486" t="inlineStr">
        <is>
          <t>South-Left2</t>
        </is>
      </c>
      <c r="H815" s="486" t="n">
        <v>0</v>
      </c>
      <c r="I815" s="486" t="n">
        <v>0</v>
      </c>
      <c r="J815" s="486" t="n">
        <v>0</v>
      </c>
      <c r="K815" s="486" t="n">
        <v>0</v>
      </c>
      <c r="L815" s="486" t="n">
        <v>0</v>
      </c>
      <c r="M815" s="487" t="inlineStr">
        <is>
          <t>G</t>
        </is>
      </c>
    </row>
    <row r="816">
      <c r="A816" s="486" t="n">
        <v>14</v>
      </c>
      <c r="B816" s="486" t="n">
        <v>7</v>
      </c>
      <c r="C816" s="486" t="n">
        <v>2</v>
      </c>
      <c r="D816" s="486" t="n">
        <v>20</v>
      </c>
      <c r="E816" s="486" t="n">
        <v>1</v>
      </c>
      <c r="F816" s="486" t="n">
        <v>1</v>
      </c>
      <c r="G816" s="475" t="inlineStr">
        <is>
          <t>South-Left1</t>
        </is>
      </c>
      <c r="H816" s="486" t="n">
        <v>2665.34</v>
      </c>
      <c r="I816" s="486" t="n">
        <v>88</v>
      </c>
      <c r="J816" s="486" t="n">
        <v>7</v>
      </c>
      <c r="K816" s="486" t="n">
        <v>53</v>
      </c>
      <c r="L816" s="486" t="n">
        <v>3</v>
      </c>
      <c r="M816" s="487" t="inlineStr">
        <is>
          <t>G</t>
        </is>
      </c>
    </row>
    <row r="817">
      <c r="A817" s="486" t="n">
        <v>14</v>
      </c>
      <c r="B817" s="486" t="n">
        <v>7</v>
      </c>
      <c r="C817" s="486" t="n">
        <v>2</v>
      </c>
      <c r="D817" s="486" t="n">
        <v>20</v>
      </c>
      <c r="E817" s="486" t="n">
        <v>1</v>
      </c>
      <c r="F817" s="486" t="n">
        <v>1</v>
      </c>
      <c r="G817" s="486" t="inlineStr">
        <is>
          <t>South-Right1</t>
        </is>
      </c>
      <c r="H817" s="486" t="n">
        <v>2665.17</v>
      </c>
      <c r="I817" s="486" t="n">
        <v>88</v>
      </c>
      <c r="J817" s="486" t="n">
        <v>31</v>
      </c>
      <c r="K817" s="486" t="n">
        <v>54</v>
      </c>
      <c r="L817" s="486" t="n">
        <v>3</v>
      </c>
      <c r="M817" s="487" t="inlineStr">
        <is>
          <t>G</t>
        </is>
      </c>
    </row>
    <row r="818">
      <c r="A818" s="486" t="n">
        <v>14</v>
      </c>
      <c r="B818" s="486" t="n">
        <v>7</v>
      </c>
      <c r="C818" s="486" t="n">
        <v>2</v>
      </c>
      <c r="D818" s="486" t="n">
        <v>20</v>
      </c>
      <c r="E818" s="486" t="n">
        <v>1</v>
      </c>
      <c r="F818" s="486" t="n">
        <v>1</v>
      </c>
      <c r="G818" s="486" t="inlineStr">
        <is>
          <t>South-Right2</t>
        </is>
      </c>
      <c r="H818" s="486" t="n">
        <v>0</v>
      </c>
      <c r="I818" s="486" t="n">
        <v>0</v>
      </c>
      <c r="J818" s="486" t="n">
        <v>0</v>
      </c>
      <c r="K818" s="486" t="n">
        <v>0</v>
      </c>
      <c r="L818" s="486" t="n">
        <v>0</v>
      </c>
      <c r="M818" s="487" t="inlineStr">
        <is>
          <t>G</t>
        </is>
      </c>
    </row>
    <row r="819">
      <c r="A819" s="486" t="n">
        <v>14</v>
      </c>
      <c r="B819" s="486" t="n">
        <v>2</v>
      </c>
      <c r="C819" s="486" t="n">
        <v>2</v>
      </c>
      <c r="D819" s="486" t="n">
        <v>3</v>
      </c>
      <c r="E819" s="486" t="n">
        <v>2</v>
      </c>
      <c r="F819" s="486" t="n">
        <v>2</v>
      </c>
      <c r="G819" s="486" t="inlineStr">
        <is>
          <t>West-Up2</t>
        </is>
      </c>
      <c r="H819" s="486" t="n">
        <v>0</v>
      </c>
      <c r="I819" s="486" t="n">
        <v>0</v>
      </c>
      <c r="J819" s="486" t="n">
        <v>0</v>
      </c>
      <c r="K819" s="486" t="n">
        <v>0</v>
      </c>
      <c r="L819" s="486" t="n">
        <v>0</v>
      </c>
      <c r="M819" s="514" t="inlineStr">
        <is>
          <t>T</t>
        </is>
      </c>
    </row>
    <row r="820">
      <c r="A820" s="486" t="n">
        <v>14</v>
      </c>
      <c r="B820" s="486" t="n">
        <v>2</v>
      </c>
      <c r="C820" s="486" t="n">
        <v>2</v>
      </c>
      <c r="D820" s="486" t="n">
        <v>3</v>
      </c>
      <c r="E820" s="486" t="n">
        <v>2</v>
      </c>
      <c r="F820" s="486" t="n">
        <v>2</v>
      </c>
      <c r="G820" s="475" t="inlineStr">
        <is>
          <t>West-Up1</t>
        </is>
      </c>
      <c r="H820" s="486" t="n">
        <v>5267.88</v>
      </c>
      <c r="I820" s="486" t="n">
        <v>0</v>
      </c>
      <c r="J820" s="486" t="n">
        <v>13</v>
      </c>
      <c r="K820" s="486" t="n">
        <v>58</v>
      </c>
      <c r="L820" s="486" t="n">
        <v>3</v>
      </c>
      <c r="M820" s="514" t="inlineStr">
        <is>
          <t>T</t>
        </is>
      </c>
    </row>
    <row r="821">
      <c r="A821" s="486" t="n">
        <v>14</v>
      </c>
      <c r="B821" s="486" t="n">
        <v>2</v>
      </c>
      <c r="C821" s="486" t="n">
        <v>2</v>
      </c>
      <c r="D821" s="486" t="n">
        <v>3</v>
      </c>
      <c r="E821" s="486" t="n">
        <v>2</v>
      </c>
      <c r="F821" s="486" t="n">
        <v>2</v>
      </c>
      <c r="G821" s="486" t="inlineStr">
        <is>
          <t>West-Down1</t>
        </is>
      </c>
      <c r="H821" s="486" t="n">
        <v>0</v>
      </c>
      <c r="I821" s="486" t="n">
        <v>0</v>
      </c>
      <c r="J821" s="486" t="n">
        <v>0</v>
      </c>
      <c r="K821" s="486" t="n">
        <v>0</v>
      </c>
      <c r="L821" s="486" t="n">
        <v>0</v>
      </c>
      <c r="M821" s="514" t="inlineStr">
        <is>
          <t>T</t>
        </is>
      </c>
    </row>
    <row r="822">
      <c r="A822" s="486" t="n">
        <v>14</v>
      </c>
      <c r="B822" s="486" t="n">
        <v>2</v>
      </c>
      <c r="C822" s="486" t="n">
        <v>2</v>
      </c>
      <c r="D822" s="486" t="n">
        <v>3</v>
      </c>
      <c r="E822" s="486" t="n">
        <v>2</v>
      </c>
      <c r="F822" s="486" t="n">
        <v>2</v>
      </c>
      <c r="G822" s="486" t="inlineStr">
        <is>
          <t>West-Down2</t>
        </is>
      </c>
      <c r="H822" s="486" t="n">
        <v>0</v>
      </c>
      <c r="I822" s="486" t="n">
        <v>0</v>
      </c>
      <c r="J822" s="486" t="n">
        <v>0</v>
      </c>
      <c r="K822" s="486" t="n">
        <v>0</v>
      </c>
      <c r="L822" s="486" t="n">
        <v>0</v>
      </c>
      <c r="M822" s="514" t="inlineStr">
        <is>
          <t>T</t>
        </is>
      </c>
    </row>
    <row r="823">
      <c r="A823" s="486" t="n">
        <v>14</v>
      </c>
      <c r="B823" s="486" t="n">
        <v>2</v>
      </c>
      <c r="C823" s="486" t="n">
        <v>2</v>
      </c>
      <c r="D823" s="486" t="n">
        <v>3</v>
      </c>
      <c r="E823" s="486" t="n">
        <v>2</v>
      </c>
      <c r="F823" s="486" t="n">
        <v>2</v>
      </c>
      <c r="G823" s="486" t="inlineStr">
        <is>
          <t>East-Up2</t>
        </is>
      </c>
      <c r="H823" s="486" t="n">
        <v>1313.67</v>
      </c>
      <c r="I823" s="486" t="n">
        <v>0</v>
      </c>
      <c r="J823" s="486" t="n">
        <v>12</v>
      </c>
      <c r="K823" s="486" t="n">
        <v>44</v>
      </c>
      <c r="L823" s="486" t="n">
        <v>3</v>
      </c>
      <c r="M823" s="514" t="inlineStr">
        <is>
          <t>T</t>
        </is>
      </c>
    </row>
    <row r="824">
      <c r="A824" s="486" t="n">
        <v>14</v>
      </c>
      <c r="B824" s="486" t="n">
        <v>2</v>
      </c>
      <c r="C824" s="486" t="n">
        <v>2</v>
      </c>
      <c r="D824" s="486" t="n">
        <v>3</v>
      </c>
      <c r="E824" s="486" t="n">
        <v>2</v>
      </c>
      <c r="F824" s="486" t="n">
        <v>2</v>
      </c>
      <c r="G824" s="475" t="inlineStr">
        <is>
          <t>East-Up1</t>
        </is>
      </c>
      <c r="H824" s="486" t="n">
        <v>1313.53</v>
      </c>
      <c r="I824" s="486" t="n">
        <v>0</v>
      </c>
      <c r="J824" s="486" t="n">
        <v>12</v>
      </c>
      <c r="K824" s="486" t="n">
        <v>18</v>
      </c>
      <c r="L824" s="486" t="n">
        <v>3</v>
      </c>
      <c r="M824" s="514" t="inlineStr">
        <is>
          <t>T</t>
        </is>
      </c>
    </row>
    <row r="825">
      <c r="A825" s="486" t="n">
        <v>14</v>
      </c>
      <c r="B825" s="486" t="n">
        <v>2</v>
      </c>
      <c r="C825" s="486" t="n">
        <v>2</v>
      </c>
      <c r="D825" s="486" t="n">
        <v>3</v>
      </c>
      <c r="E825" s="486" t="n">
        <v>2</v>
      </c>
      <c r="F825" s="486" t="n">
        <v>2</v>
      </c>
      <c r="G825" s="486" t="inlineStr">
        <is>
          <t>East-Down1</t>
        </is>
      </c>
      <c r="H825" s="486" t="n">
        <v>1313.55</v>
      </c>
      <c r="I825" s="486" t="n">
        <v>0</v>
      </c>
      <c r="J825" s="486" t="n">
        <v>12</v>
      </c>
      <c r="K825" s="486" t="n">
        <v>25</v>
      </c>
      <c r="L825" s="486" t="n">
        <v>3</v>
      </c>
      <c r="M825" s="514" t="inlineStr">
        <is>
          <t>T</t>
        </is>
      </c>
    </row>
    <row r="826">
      <c r="A826" s="486" t="n">
        <v>14</v>
      </c>
      <c r="B826" s="486" t="n">
        <v>2</v>
      </c>
      <c r="C826" s="486" t="n">
        <v>2</v>
      </c>
      <c r="D826" s="486" t="n">
        <v>3</v>
      </c>
      <c r="E826" s="486" t="n">
        <v>2</v>
      </c>
      <c r="F826" s="486" t="n">
        <v>2</v>
      </c>
      <c r="G826" s="486" t="inlineStr">
        <is>
          <t>East-Down2</t>
        </is>
      </c>
      <c r="H826" s="486" t="n">
        <v>1313.69</v>
      </c>
      <c r="I826" s="486" t="n">
        <v>0</v>
      </c>
      <c r="J826" s="486" t="n">
        <v>12</v>
      </c>
      <c r="K826" s="486" t="n">
        <v>40</v>
      </c>
      <c r="L826" s="486" t="n">
        <v>3</v>
      </c>
      <c r="M826" s="514" t="inlineStr">
        <is>
          <t>T</t>
        </is>
      </c>
    </row>
    <row r="827">
      <c r="A827" s="486" t="n">
        <v>14</v>
      </c>
      <c r="B827" s="486" t="n">
        <v>2</v>
      </c>
      <c r="C827" s="486" t="n">
        <v>2</v>
      </c>
      <c r="D827" s="486" t="n">
        <v>3</v>
      </c>
      <c r="E827" s="486" t="n">
        <v>2</v>
      </c>
      <c r="F827" s="486" t="n">
        <v>2</v>
      </c>
      <c r="G827" s="486" t="inlineStr">
        <is>
          <t>North-Left2</t>
        </is>
      </c>
      <c r="H827" s="486" t="n">
        <v>0</v>
      </c>
      <c r="I827" s="486" t="n">
        <v>0</v>
      </c>
      <c r="J827" s="486" t="n">
        <v>0</v>
      </c>
      <c r="K827" s="486" t="n">
        <v>0</v>
      </c>
      <c r="L827" s="486" t="n">
        <v>0</v>
      </c>
      <c r="M827" s="514" t="inlineStr">
        <is>
          <t>T</t>
        </is>
      </c>
    </row>
    <row r="828">
      <c r="A828" s="486" t="n">
        <v>14</v>
      </c>
      <c r="B828" s="486" t="n">
        <v>2</v>
      </c>
      <c r="C828" s="486" t="n">
        <v>2</v>
      </c>
      <c r="D828" s="486" t="n">
        <v>3</v>
      </c>
      <c r="E828" s="486" t="n">
        <v>2</v>
      </c>
      <c r="F828" s="486" t="n">
        <v>2</v>
      </c>
      <c r="G828" s="475" t="inlineStr">
        <is>
          <t>North-Left1</t>
        </is>
      </c>
      <c r="H828" s="486" t="n">
        <v>5284.01</v>
      </c>
      <c r="I828" s="486" t="n">
        <v>89</v>
      </c>
      <c r="J828" s="486" t="n">
        <v>49</v>
      </c>
      <c r="K828" s="486" t="n">
        <v>43</v>
      </c>
      <c r="L828" s="486" t="n">
        <v>3</v>
      </c>
      <c r="M828" s="514" t="inlineStr">
        <is>
          <t>T</t>
        </is>
      </c>
    </row>
    <row r="829">
      <c r="A829" s="486" t="n">
        <v>14</v>
      </c>
      <c r="B829" s="486" t="n">
        <v>2</v>
      </c>
      <c r="C829" s="486" t="n">
        <v>2</v>
      </c>
      <c r="D829" s="486" t="n">
        <v>3</v>
      </c>
      <c r="E829" s="486" t="n">
        <v>2</v>
      </c>
      <c r="F829" s="486" t="n">
        <v>2</v>
      </c>
      <c r="G829" s="486" t="inlineStr">
        <is>
          <t>North-Right1</t>
        </is>
      </c>
      <c r="H829" s="486" t="n">
        <v>0</v>
      </c>
      <c r="I829" s="486" t="n">
        <v>0</v>
      </c>
      <c r="J829" s="486" t="n">
        <v>0</v>
      </c>
      <c r="K829" s="486" t="n">
        <v>0</v>
      </c>
      <c r="L829" s="486" t="n">
        <v>0</v>
      </c>
      <c r="M829" s="514" t="inlineStr">
        <is>
          <t>T</t>
        </is>
      </c>
    </row>
    <row r="830">
      <c r="A830" s="486" t="n">
        <v>14</v>
      </c>
      <c r="B830" s="486" t="n">
        <v>2</v>
      </c>
      <c r="C830" s="486" t="n">
        <v>2</v>
      </c>
      <c r="D830" s="486" t="n">
        <v>3</v>
      </c>
      <c r="E830" s="486" t="n">
        <v>2</v>
      </c>
      <c r="F830" s="486" t="n">
        <v>2</v>
      </c>
      <c r="G830" s="486" t="inlineStr">
        <is>
          <t>North-Right2</t>
        </is>
      </c>
      <c r="H830" s="486" t="n">
        <v>0</v>
      </c>
      <c r="I830" s="486" t="n">
        <v>0</v>
      </c>
      <c r="J830" s="486" t="n">
        <v>0</v>
      </c>
      <c r="K830" s="486" t="n">
        <v>0</v>
      </c>
      <c r="L830" s="486" t="n">
        <v>0</v>
      </c>
      <c r="M830" s="514" t="inlineStr">
        <is>
          <t>T</t>
        </is>
      </c>
    </row>
    <row r="831">
      <c r="A831" s="486" t="n">
        <v>14</v>
      </c>
      <c r="B831" s="486" t="n">
        <v>2</v>
      </c>
      <c r="C831" s="486" t="n">
        <v>2</v>
      </c>
      <c r="D831" s="486" t="n">
        <v>3</v>
      </c>
      <c r="E831" s="486" t="n">
        <v>2</v>
      </c>
      <c r="F831" s="486" t="n">
        <v>2</v>
      </c>
      <c r="G831" s="486" t="inlineStr">
        <is>
          <t>South-Left2</t>
        </is>
      </c>
      <c r="H831" s="486" t="n">
        <v>0</v>
      </c>
      <c r="I831" s="486" t="n">
        <v>0</v>
      </c>
      <c r="J831" s="486" t="n">
        <v>0</v>
      </c>
      <c r="K831" s="486" t="n">
        <v>0</v>
      </c>
      <c r="L831" s="486" t="n">
        <v>0</v>
      </c>
      <c r="M831" s="514" t="inlineStr">
        <is>
          <t>T</t>
        </is>
      </c>
    </row>
    <row r="832">
      <c r="A832" s="486" t="n">
        <v>14</v>
      </c>
      <c r="B832" s="486" t="n">
        <v>2</v>
      </c>
      <c r="C832" s="486" t="n">
        <v>2</v>
      </c>
      <c r="D832" s="486" t="n">
        <v>3</v>
      </c>
      <c r="E832" s="486" t="n">
        <v>2</v>
      </c>
      <c r="F832" s="486" t="n">
        <v>2</v>
      </c>
      <c r="G832" s="475" t="inlineStr">
        <is>
          <t>South-Left1</t>
        </is>
      </c>
      <c r="H832" s="486" t="n">
        <v>2640.79</v>
      </c>
      <c r="I832" s="486" t="n">
        <v>89</v>
      </c>
      <c r="J832" s="486" t="n">
        <v>56</v>
      </c>
      <c r="K832" s="486" t="n">
        <v>28</v>
      </c>
      <c r="L832" s="486" t="n">
        <v>4</v>
      </c>
      <c r="M832" s="514" t="inlineStr">
        <is>
          <t>T</t>
        </is>
      </c>
    </row>
    <row r="833">
      <c r="A833" s="486" t="n">
        <v>14</v>
      </c>
      <c r="B833" s="486" t="n">
        <v>2</v>
      </c>
      <c r="C833" s="486" t="n">
        <v>2</v>
      </c>
      <c r="D833" s="486" t="n">
        <v>3</v>
      </c>
      <c r="E833" s="486" t="n">
        <v>2</v>
      </c>
      <c r="F833" s="486" t="n">
        <v>2</v>
      </c>
      <c r="G833" s="486" t="inlineStr">
        <is>
          <t>South-Right1</t>
        </is>
      </c>
      <c r="H833" s="486" t="n">
        <v>2645.63</v>
      </c>
      <c r="I833" s="486" t="n">
        <v>89</v>
      </c>
      <c r="J833" s="486" t="n">
        <v>18</v>
      </c>
      <c r="K833" s="486" t="n">
        <v>29</v>
      </c>
      <c r="L833" s="486" t="n">
        <v>3</v>
      </c>
      <c r="M833" s="514" t="inlineStr">
        <is>
          <t>T</t>
        </is>
      </c>
    </row>
    <row r="834">
      <c r="A834" s="486" t="n">
        <v>14</v>
      </c>
      <c r="B834" s="486" t="n">
        <v>2</v>
      </c>
      <c r="C834" s="486" t="n">
        <v>2</v>
      </c>
      <c r="D834" s="486" t="n">
        <v>3</v>
      </c>
      <c r="E834" s="486" t="n">
        <v>2</v>
      </c>
      <c r="F834" s="486" t="n">
        <v>2</v>
      </c>
      <c r="G834" s="486" t="inlineStr">
        <is>
          <t>South-Right2</t>
        </is>
      </c>
      <c r="H834" s="486" t="n">
        <v>0</v>
      </c>
      <c r="I834" s="486" t="n">
        <v>0</v>
      </c>
      <c r="J834" s="486" t="n">
        <v>0</v>
      </c>
      <c r="K834" s="486" t="n">
        <v>0</v>
      </c>
      <c r="L834" s="486" t="n">
        <v>0</v>
      </c>
      <c r="M834" s="514" t="inlineStr">
        <is>
          <t>T</t>
        </is>
      </c>
    </row>
    <row r="835">
      <c r="A835" s="486" t="n">
        <v>14</v>
      </c>
      <c r="B835" s="486" t="n">
        <v>4</v>
      </c>
      <c r="C835" s="486" t="n">
        <v>2</v>
      </c>
      <c r="D835" s="486" t="n">
        <v>2</v>
      </c>
      <c r="E835" s="486" t="n">
        <v>1</v>
      </c>
      <c r="F835" s="486" t="n">
        <v>2</v>
      </c>
      <c r="G835" s="486" t="inlineStr">
        <is>
          <t>West-Up2</t>
        </is>
      </c>
      <c r="H835" s="486" t="n">
        <v>0</v>
      </c>
      <c r="I835" s="486" t="n">
        <v>0</v>
      </c>
      <c r="J835" s="486" t="n">
        <v>0</v>
      </c>
      <c r="K835" s="486" t="n">
        <v>0</v>
      </c>
      <c r="L835" s="486" t="n">
        <v>0</v>
      </c>
      <c r="M835" s="487" t="inlineStr">
        <is>
          <t>G</t>
        </is>
      </c>
    </row>
    <row r="836">
      <c r="A836" s="486" t="n">
        <v>14</v>
      </c>
      <c r="B836" s="486" t="n">
        <v>4</v>
      </c>
      <c r="C836" s="486" t="n">
        <v>2</v>
      </c>
      <c r="D836" s="486" t="n">
        <v>2</v>
      </c>
      <c r="E836" s="486" t="n">
        <v>1</v>
      </c>
      <c r="F836" s="486" t="n">
        <v>2</v>
      </c>
      <c r="G836" s="475" t="inlineStr">
        <is>
          <t>West-Up1</t>
        </is>
      </c>
      <c r="H836" s="486" t="n">
        <v>2069.41</v>
      </c>
      <c r="I836" s="486" t="n">
        <v>1</v>
      </c>
      <c r="J836" s="486" t="n">
        <v>6</v>
      </c>
      <c r="K836" s="486" t="n">
        <v>43</v>
      </c>
      <c r="L836" s="486" t="n">
        <v>4</v>
      </c>
      <c r="M836" s="487" t="inlineStr">
        <is>
          <t>G</t>
        </is>
      </c>
    </row>
    <row r="837">
      <c r="A837" s="486" t="n">
        <v>14</v>
      </c>
      <c r="B837" s="486" t="n">
        <v>4</v>
      </c>
      <c r="C837" s="486" t="n">
        <v>2</v>
      </c>
      <c r="D837" s="486" t="n">
        <v>2</v>
      </c>
      <c r="E837" s="486" t="n">
        <v>1</v>
      </c>
      <c r="F837" s="486" t="n">
        <v>2</v>
      </c>
      <c r="G837" s="486" t="inlineStr">
        <is>
          <t>West-Down1</t>
        </is>
      </c>
      <c r="H837" s="486" t="n">
        <v>2636.64</v>
      </c>
      <c r="I837" s="486" t="n">
        <v>1</v>
      </c>
      <c r="J837" s="486" t="n">
        <v>5</v>
      </c>
      <c r="K837" s="486" t="n">
        <v>4</v>
      </c>
      <c r="L837" s="486" t="n">
        <v>4</v>
      </c>
      <c r="M837" s="487" t="inlineStr">
        <is>
          <t>G</t>
        </is>
      </c>
    </row>
    <row r="838">
      <c r="A838" s="486" t="n">
        <v>14</v>
      </c>
      <c r="B838" s="486" t="n">
        <v>4</v>
      </c>
      <c r="C838" s="486" t="n">
        <v>2</v>
      </c>
      <c r="D838" s="486" t="n">
        <v>2</v>
      </c>
      <c r="E838" s="486" t="n">
        <v>1</v>
      </c>
      <c r="F838" s="486" t="n">
        <v>2</v>
      </c>
      <c r="G838" s="486" t="inlineStr">
        <is>
          <t>West-Down2</t>
        </is>
      </c>
      <c r="H838" s="486" t="n">
        <v>574.46</v>
      </c>
      <c r="I838" s="486" t="n">
        <v>1</v>
      </c>
      <c r="J838" s="486" t="n">
        <v>4</v>
      </c>
      <c r="K838" s="486" t="n">
        <v>47</v>
      </c>
      <c r="L838" s="486" t="n">
        <v>4</v>
      </c>
      <c r="M838" s="487" t="inlineStr">
        <is>
          <t>G</t>
        </is>
      </c>
    </row>
    <row r="839">
      <c r="A839" s="486" t="n">
        <v>14</v>
      </c>
      <c r="B839" s="486" t="n">
        <v>4</v>
      </c>
      <c r="C839" s="486" t="n">
        <v>2</v>
      </c>
      <c r="D839" s="486" t="n">
        <v>2</v>
      </c>
      <c r="E839" s="486" t="n">
        <v>1</v>
      </c>
      <c r="F839" s="486" t="n">
        <v>2</v>
      </c>
      <c r="G839" s="486" t="inlineStr">
        <is>
          <t>East-Up2</t>
        </is>
      </c>
      <c r="H839" s="486" t="n">
        <v>0</v>
      </c>
      <c r="I839" s="486" t="n">
        <v>0</v>
      </c>
      <c r="J839" s="486" t="n">
        <v>0</v>
      </c>
      <c r="K839" s="486" t="n">
        <v>0</v>
      </c>
      <c r="L839" s="486" t="n">
        <v>0</v>
      </c>
      <c r="M839" s="487" t="inlineStr">
        <is>
          <t>G</t>
        </is>
      </c>
    </row>
    <row r="840">
      <c r="A840" s="486" t="n">
        <v>14</v>
      </c>
      <c r="B840" s="486" t="n">
        <v>4</v>
      </c>
      <c r="C840" s="486" t="n">
        <v>2</v>
      </c>
      <c r="D840" s="486" t="n">
        <v>2</v>
      </c>
      <c r="E840" s="486" t="n">
        <v>1</v>
      </c>
      <c r="F840" s="486" t="n">
        <v>2</v>
      </c>
      <c r="G840" s="475" t="inlineStr">
        <is>
          <t>East-Up1</t>
        </is>
      </c>
      <c r="H840" s="486" t="n">
        <v>2662.5</v>
      </c>
      <c r="I840" s="486" t="n">
        <v>2</v>
      </c>
      <c r="J840" s="486" t="n">
        <v>41</v>
      </c>
      <c r="K840" s="486" t="n">
        <v>41</v>
      </c>
      <c r="L840" s="486" t="n">
        <v>4</v>
      </c>
      <c r="M840" s="487" t="inlineStr">
        <is>
          <t>G</t>
        </is>
      </c>
    </row>
    <row r="841">
      <c r="A841" s="486" t="n">
        <v>14</v>
      </c>
      <c r="B841" s="486" t="n">
        <v>4</v>
      </c>
      <c r="C841" s="486" t="n">
        <v>2</v>
      </c>
      <c r="D841" s="486" t="n">
        <v>2</v>
      </c>
      <c r="E841" s="486" t="n">
        <v>1</v>
      </c>
      <c r="F841" s="486" t="n">
        <v>2</v>
      </c>
      <c r="G841" s="486" t="inlineStr">
        <is>
          <t>East-Down1</t>
        </is>
      </c>
      <c r="H841" s="486" t="n">
        <v>2662.43</v>
      </c>
      <c r="I841" s="486" t="n">
        <v>2</v>
      </c>
      <c r="J841" s="486" t="n">
        <v>41</v>
      </c>
      <c r="K841" s="486" t="n">
        <v>47</v>
      </c>
      <c r="L841" s="486" t="n">
        <v>4</v>
      </c>
      <c r="M841" s="487" t="inlineStr">
        <is>
          <t>G</t>
        </is>
      </c>
    </row>
    <row r="842">
      <c r="A842" s="486" t="n">
        <v>14</v>
      </c>
      <c r="B842" s="486" t="n">
        <v>4</v>
      </c>
      <c r="C842" s="486" t="n">
        <v>2</v>
      </c>
      <c r="D842" s="486" t="n">
        <v>2</v>
      </c>
      <c r="E842" s="486" t="n">
        <v>1</v>
      </c>
      <c r="F842" s="486" t="n">
        <v>2</v>
      </c>
      <c r="G842" s="486" t="inlineStr">
        <is>
          <t>East-Down2</t>
        </is>
      </c>
      <c r="H842" s="486" t="n">
        <v>0</v>
      </c>
      <c r="I842" s="486" t="n">
        <v>0</v>
      </c>
      <c r="J842" s="486" t="n">
        <v>0</v>
      </c>
      <c r="K842" s="486" t="n">
        <v>0</v>
      </c>
      <c r="L842" s="486" t="n">
        <v>0</v>
      </c>
      <c r="M842" s="487" t="inlineStr">
        <is>
          <t>G</t>
        </is>
      </c>
    </row>
    <row r="843">
      <c r="A843" s="486" t="n">
        <v>14</v>
      </c>
      <c r="B843" s="486" t="n">
        <v>4</v>
      </c>
      <c r="C843" s="486" t="n">
        <v>2</v>
      </c>
      <c r="D843" s="486" t="n">
        <v>2</v>
      </c>
      <c r="E843" s="486" t="n">
        <v>1</v>
      </c>
      <c r="F843" s="486" t="n">
        <v>2</v>
      </c>
      <c r="G843" s="486" t="inlineStr">
        <is>
          <t>North-Left2</t>
        </is>
      </c>
      <c r="H843" s="486" t="n">
        <v>1099.7</v>
      </c>
      <c r="I843" s="486" t="n">
        <v>87</v>
      </c>
      <c r="J843" s="486" t="n">
        <v>30</v>
      </c>
      <c r="K843" s="486" t="n">
        <v>14</v>
      </c>
      <c r="L843" s="486" t="n">
        <v>3</v>
      </c>
      <c r="M843" s="487" t="inlineStr">
        <is>
          <t>G</t>
        </is>
      </c>
    </row>
    <row r="844">
      <c r="A844" s="486" t="n">
        <v>14</v>
      </c>
      <c r="B844" s="486" t="n">
        <v>4</v>
      </c>
      <c r="C844" s="486" t="n">
        <v>2</v>
      </c>
      <c r="D844" s="486" t="n">
        <v>2</v>
      </c>
      <c r="E844" s="486" t="n">
        <v>1</v>
      </c>
      <c r="F844" s="486" t="n">
        <v>2</v>
      </c>
      <c r="G844" s="475" t="inlineStr">
        <is>
          <t>North-Left1</t>
        </is>
      </c>
      <c r="H844" s="486" t="n">
        <v>1480.61</v>
      </c>
      <c r="I844" s="486" t="n">
        <v>87</v>
      </c>
      <c r="J844" s="486" t="n">
        <v>29</v>
      </c>
      <c r="K844" s="486" t="n">
        <v>32</v>
      </c>
      <c r="L844" s="486" t="n">
        <v>3</v>
      </c>
      <c r="M844" s="487" t="inlineStr">
        <is>
          <t>G</t>
        </is>
      </c>
    </row>
    <row r="845">
      <c r="A845" s="486" t="n">
        <v>14</v>
      </c>
      <c r="B845" s="486" t="n">
        <v>4</v>
      </c>
      <c r="C845" s="486" t="n">
        <v>2</v>
      </c>
      <c r="D845" s="486" t="n">
        <v>2</v>
      </c>
      <c r="E845" s="486" t="n">
        <v>1</v>
      </c>
      <c r="F845" s="486" t="n">
        <v>2</v>
      </c>
      <c r="G845" s="486" t="inlineStr">
        <is>
          <t>North-Right1</t>
        </is>
      </c>
      <c r="H845" s="486" t="n">
        <v>2480.6</v>
      </c>
      <c r="I845" s="486" t="n">
        <v>87</v>
      </c>
      <c r="J845" s="486" t="n">
        <v>29</v>
      </c>
      <c r="K845" s="486" t="n">
        <v>32</v>
      </c>
      <c r="L845" s="486" t="n">
        <v>3</v>
      </c>
      <c r="M845" s="487" t="inlineStr">
        <is>
          <t>G</t>
        </is>
      </c>
    </row>
    <row r="846">
      <c r="A846" s="486" t="n">
        <v>14</v>
      </c>
      <c r="B846" s="486" t="n">
        <v>4</v>
      </c>
      <c r="C846" s="486" t="n">
        <v>2</v>
      </c>
      <c r="D846" s="486" t="n">
        <v>2</v>
      </c>
      <c r="E846" s="486" t="n">
        <v>1</v>
      </c>
      <c r="F846" s="486" t="n">
        <v>2</v>
      </c>
      <c r="G846" s="486" t="inlineStr">
        <is>
          <t>North-Right2</t>
        </is>
      </c>
      <c r="H846" s="486" t="n">
        <v>0</v>
      </c>
      <c r="I846" s="486" t="n">
        <v>0</v>
      </c>
      <c r="J846" s="486" t="n">
        <v>0</v>
      </c>
      <c r="K846" s="486" t="n">
        <v>0</v>
      </c>
      <c r="L846" s="486" t="n">
        <v>0</v>
      </c>
      <c r="M846" s="487" t="inlineStr">
        <is>
          <t>G</t>
        </is>
      </c>
    </row>
    <row r="847">
      <c r="A847" s="486" t="n">
        <v>14</v>
      </c>
      <c r="B847" s="486" t="n">
        <v>4</v>
      </c>
      <c r="C847" s="486" t="n">
        <v>2</v>
      </c>
      <c r="D847" s="486" t="n">
        <v>2</v>
      </c>
      <c r="E847" s="486" t="n">
        <v>1</v>
      </c>
      <c r="F847" s="486" t="n">
        <v>2</v>
      </c>
      <c r="G847" s="486" t="inlineStr">
        <is>
          <t>South-Left2</t>
        </is>
      </c>
      <c r="H847" s="486" t="n">
        <v>1204.99</v>
      </c>
      <c r="I847" s="486" t="n">
        <v>88</v>
      </c>
      <c r="J847" s="486" t="n">
        <v>12</v>
      </c>
      <c r="K847" s="486" t="n">
        <v>32</v>
      </c>
      <c r="L847" s="486" t="n">
        <v>2</v>
      </c>
      <c r="M847" s="487" t="inlineStr">
        <is>
          <t>G</t>
        </is>
      </c>
    </row>
    <row r="848">
      <c r="A848" s="486" t="n">
        <v>14</v>
      </c>
      <c r="B848" s="486" t="n">
        <v>4</v>
      </c>
      <c r="C848" s="486" t="n">
        <v>2</v>
      </c>
      <c r="D848" s="486" t="n">
        <v>2</v>
      </c>
      <c r="E848" s="486" t="n">
        <v>1</v>
      </c>
      <c r="F848" s="486" t="n">
        <v>2</v>
      </c>
      <c r="G848" s="475" t="inlineStr">
        <is>
          <t>South-Left1</t>
        </is>
      </c>
      <c r="H848" s="486" t="n">
        <v>1318.01</v>
      </c>
      <c r="I848" s="486" t="n">
        <v>88</v>
      </c>
      <c r="J848" s="486" t="n">
        <v>9</v>
      </c>
      <c r="K848" s="486" t="n">
        <v>24</v>
      </c>
      <c r="L848" s="486" t="n">
        <v>3</v>
      </c>
      <c r="M848" s="487" t="inlineStr">
        <is>
          <t>G</t>
        </is>
      </c>
    </row>
    <row r="849">
      <c r="A849" s="486" t="n">
        <v>14</v>
      </c>
      <c r="B849" s="486" t="n">
        <v>4</v>
      </c>
      <c r="C849" s="486" t="n">
        <v>2</v>
      </c>
      <c r="D849" s="486" t="n">
        <v>2</v>
      </c>
      <c r="E849" s="486" t="n">
        <v>1</v>
      </c>
      <c r="F849" s="486" t="n">
        <v>2</v>
      </c>
      <c r="G849" s="486" t="inlineStr">
        <is>
          <t>South-Right1</t>
        </is>
      </c>
      <c r="H849" s="486" t="n">
        <v>1318.03</v>
      </c>
      <c r="I849" s="486" t="n">
        <v>88</v>
      </c>
      <c r="J849" s="486" t="n">
        <v>9</v>
      </c>
      <c r="K849" s="486" t="n">
        <v>30</v>
      </c>
      <c r="L849" s="486" t="n">
        <v>3</v>
      </c>
      <c r="M849" s="487" t="inlineStr">
        <is>
          <t>G</t>
        </is>
      </c>
    </row>
    <row r="850">
      <c r="A850" s="486" t="n">
        <v>14</v>
      </c>
      <c r="B850" s="486" t="n">
        <v>4</v>
      </c>
      <c r="C850" s="486" t="n">
        <v>2</v>
      </c>
      <c r="D850" s="486" t="n">
        <v>2</v>
      </c>
      <c r="E850" s="486" t="n">
        <v>1</v>
      </c>
      <c r="F850" s="486" t="n">
        <v>2</v>
      </c>
      <c r="G850" s="486" t="inlineStr">
        <is>
          <t>South-Right2</t>
        </is>
      </c>
      <c r="H850" s="486" t="n">
        <v>1386.61</v>
      </c>
      <c r="I850" s="486" t="n">
        <v>87</v>
      </c>
      <c r="J850" s="486" t="n">
        <v>30</v>
      </c>
      <c r="K850" s="486" t="n">
        <v>54</v>
      </c>
      <c r="L850" s="486" t="n">
        <v>3</v>
      </c>
      <c r="M850" s="487" t="inlineStr">
        <is>
          <t>G</t>
        </is>
      </c>
    </row>
    <row r="851">
      <c r="A851" s="486" t="n">
        <v>15</v>
      </c>
      <c r="B851" s="486" t="n">
        <v>20</v>
      </c>
      <c r="C851" s="486" t="n">
        <v>2</v>
      </c>
      <c r="D851" s="486" t="n">
        <v>21</v>
      </c>
      <c r="E851" s="486" t="n">
        <v>1</v>
      </c>
      <c r="F851" s="486" t="n">
        <v>1</v>
      </c>
      <c r="G851" s="486" t="inlineStr">
        <is>
          <t>West-Up2</t>
        </is>
      </c>
      <c r="H851" s="486" t="n">
        <v>0</v>
      </c>
      <c r="I851" s="486" t="n">
        <v>0</v>
      </c>
      <c r="J851" s="486" t="n">
        <v>0</v>
      </c>
      <c r="K851" s="486" t="n">
        <v>0</v>
      </c>
      <c r="L851" s="486" t="n">
        <v>0</v>
      </c>
      <c r="M851" s="490" t="inlineStr">
        <is>
          <t>T</t>
        </is>
      </c>
    </row>
    <row r="852">
      <c r="A852" s="486" t="n">
        <v>15</v>
      </c>
      <c r="B852" s="486" t="n">
        <v>20</v>
      </c>
      <c r="C852" s="486" t="n">
        <v>2</v>
      </c>
      <c r="D852" s="486" t="n">
        <v>21</v>
      </c>
      <c r="E852" s="486" t="n">
        <v>1</v>
      </c>
      <c r="F852" s="486" t="n">
        <v>1</v>
      </c>
      <c r="G852" s="475" t="inlineStr">
        <is>
          <t>West-Up1</t>
        </is>
      </c>
      <c r="H852" s="486" t="n">
        <v>2640.96</v>
      </c>
      <c r="I852" s="486" t="n">
        <v>0</v>
      </c>
      <c r="J852" s="486" t="n">
        <v>0</v>
      </c>
      <c r="K852" s="486" t="n">
        <v>42</v>
      </c>
      <c r="L852" s="486" t="n">
        <v>2</v>
      </c>
      <c r="M852" s="490" t="inlineStr">
        <is>
          <t>T</t>
        </is>
      </c>
    </row>
    <row r="853">
      <c r="A853" s="486" t="n">
        <v>15</v>
      </c>
      <c r="B853" s="486" t="n">
        <v>20</v>
      </c>
      <c r="C853" s="486" t="n">
        <v>2</v>
      </c>
      <c r="D853" s="486" t="n">
        <v>21</v>
      </c>
      <c r="E853" s="486" t="n">
        <v>1</v>
      </c>
      <c r="F853" s="486" t="n">
        <v>1</v>
      </c>
      <c r="G853" s="486" t="inlineStr">
        <is>
          <t>West-Down1</t>
        </is>
      </c>
      <c r="H853" s="486" t="n">
        <v>2641.54</v>
      </c>
      <c r="I853" s="486" t="n">
        <v>0</v>
      </c>
      <c r="J853" s="486" t="n">
        <v>0</v>
      </c>
      <c r="K853" s="486" t="n">
        <v>55</v>
      </c>
      <c r="L853" s="486" t="n">
        <v>2</v>
      </c>
      <c r="M853" s="490" t="inlineStr">
        <is>
          <t>T</t>
        </is>
      </c>
    </row>
    <row r="854">
      <c r="A854" s="486" t="n">
        <v>15</v>
      </c>
      <c r="B854" s="486" t="n">
        <v>20</v>
      </c>
      <c r="C854" s="486" t="n">
        <v>2</v>
      </c>
      <c r="D854" s="486" t="n">
        <v>21</v>
      </c>
      <c r="E854" s="486" t="n">
        <v>1</v>
      </c>
      <c r="F854" s="486" t="n">
        <v>1</v>
      </c>
      <c r="G854" s="486" t="inlineStr">
        <is>
          <t>West-Down2</t>
        </is>
      </c>
      <c r="H854" s="486" t="n">
        <v>0</v>
      </c>
      <c r="I854" s="486" t="n">
        <v>0</v>
      </c>
      <c r="J854" s="486" t="n">
        <v>0</v>
      </c>
      <c r="K854" s="486" t="n">
        <v>0</v>
      </c>
      <c r="L854" s="486" t="n">
        <v>0</v>
      </c>
      <c r="M854" s="490" t="inlineStr">
        <is>
          <t>T</t>
        </is>
      </c>
    </row>
    <row r="855">
      <c r="A855" s="486" t="n">
        <v>15</v>
      </c>
      <c r="B855" s="486" t="n">
        <v>20</v>
      </c>
      <c r="C855" s="486" t="n">
        <v>2</v>
      </c>
      <c r="D855" s="486" t="n">
        <v>21</v>
      </c>
      <c r="E855" s="486" t="n">
        <v>1</v>
      </c>
      <c r="F855" s="486" t="n">
        <v>1</v>
      </c>
      <c r="G855" s="486" t="inlineStr">
        <is>
          <t>East-Up2</t>
        </is>
      </c>
      <c r="H855" s="486" t="n">
        <v>0</v>
      </c>
      <c r="I855" s="486" t="n">
        <v>0</v>
      </c>
      <c r="J855" s="486" t="n">
        <v>0</v>
      </c>
      <c r="K855" s="486" t="n">
        <v>0</v>
      </c>
      <c r="L855" s="486" t="n">
        <v>0</v>
      </c>
      <c r="M855" s="490" t="inlineStr">
        <is>
          <t>T</t>
        </is>
      </c>
    </row>
    <row r="856">
      <c r="A856" s="486" t="n">
        <v>15</v>
      </c>
      <c r="B856" s="486" t="n">
        <v>20</v>
      </c>
      <c r="C856" s="486" t="n">
        <v>2</v>
      </c>
      <c r="D856" s="486" t="n">
        <v>21</v>
      </c>
      <c r="E856" s="486" t="n">
        <v>1</v>
      </c>
      <c r="F856" s="486" t="n">
        <v>1</v>
      </c>
      <c r="G856" s="475" t="inlineStr">
        <is>
          <t>East-Up1</t>
        </is>
      </c>
      <c r="H856" s="486" t="n">
        <v>2637.29</v>
      </c>
      <c r="I856" s="486" t="n">
        <v>0</v>
      </c>
      <c r="J856" s="486" t="n">
        <v>1</v>
      </c>
      <c r="K856" s="486" t="n">
        <v>43</v>
      </c>
      <c r="L856" s="486" t="n">
        <v>2</v>
      </c>
      <c r="M856" s="490" t="inlineStr">
        <is>
          <t>T</t>
        </is>
      </c>
    </row>
    <row r="857">
      <c r="A857" s="486" t="n">
        <v>15</v>
      </c>
      <c r="B857" s="486" t="n">
        <v>20</v>
      </c>
      <c r="C857" s="486" t="n">
        <v>2</v>
      </c>
      <c r="D857" s="486" t="n">
        <v>21</v>
      </c>
      <c r="E857" s="486" t="n">
        <v>1</v>
      </c>
      <c r="F857" s="486" t="n">
        <v>1</v>
      </c>
      <c r="G857" s="486" t="inlineStr">
        <is>
          <t>East-Down1</t>
        </is>
      </c>
      <c r="H857" s="486" t="n">
        <v>2638.82</v>
      </c>
      <c r="I857" s="486" t="n">
        <v>0</v>
      </c>
      <c r="J857" s="486" t="n">
        <v>1</v>
      </c>
      <c r="K857" s="486" t="n">
        <v>10</v>
      </c>
      <c r="L857" s="486" t="n">
        <v>2</v>
      </c>
      <c r="M857" s="490" t="inlineStr">
        <is>
          <t>T</t>
        </is>
      </c>
    </row>
    <row r="858">
      <c r="A858" s="486" t="n">
        <v>15</v>
      </c>
      <c r="B858" s="486" t="n">
        <v>20</v>
      </c>
      <c r="C858" s="486" t="n">
        <v>2</v>
      </c>
      <c r="D858" s="486" t="n">
        <v>21</v>
      </c>
      <c r="E858" s="486" t="n">
        <v>1</v>
      </c>
      <c r="F858" s="486" t="n">
        <v>1</v>
      </c>
      <c r="G858" s="486" t="inlineStr">
        <is>
          <t>East-Down2</t>
        </is>
      </c>
      <c r="H858" s="486" t="n">
        <v>0</v>
      </c>
      <c r="I858" s="486" t="n">
        <v>0</v>
      </c>
      <c r="J858" s="486" t="n">
        <v>0</v>
      </c>
      <c r="K858" s="486" t="n">
        <v>0</v>
      </c>
      <c r="L858" s="486" t="n">
        <v>0</v>
      </c>
      <c r="M858" s="490" t="inlineStr">
        <is>
          <t>T</t>
        </is>
      </c>
    </row>
    <row r="859">
      <c r="A859" s="486" t="n">
        <v>15</v>
      </c>
      <c r="B859" s="486" t="n">
        <v>20</v>
      </c>
      <c r="C859" s="486" t="n">
        <v>2</v>
      </c>
      <c r="D859" s="486" t="n">
        <v>21</v>
      </c>
      <c r="E859" s="486" t="n">
        <v>1</v>
      </c>
      <c r="F859" s="486" t="n">
        <v>1</v>
      </c>
      <c r="G859" s="486" t="inlineStr">
        <is>
          <t>North-Left2</t>
        </is>
      </c>
      <c r="H859" s="486" t="n">
        <v>0</v>
      </c>
      <c r="I859" s="486" t="n">
        <v>0</v>
      </c>
      <c r="J859" s="486" t="n">
        <v>0</v>
      </c>
      <c r="K859" s="486" t="n">
        <v>0</v>
      </c>
      <c r="L859" s="486" t="n">
        <v>0</v>
      </c>
      <c r="M859" s="490" t="inlineStr">
        <is>
          <t>T</t>
        </is>
      </c>
    </row>
    <row r="860">
      <c r="A860" s="486" t="n">
        <v>15</v>
      </c>
      <c r="B860" s="486" t="n">
        <v>20</v>
      </c>
      <c r="C860" s="486" t="n">
        <v>2</v>
      </c>
      <c r="D860" s="486" t="n">
        <v>21</v>
      </c>
      <c r="E860" s="486" t="n">
        <v>1</v>
      </c>
      <c r="F860" s="486" t="n">
        <v>1</v>
      </c>
      <c r="G860" s="475" t="inlineStr">
        <is>
          <t>North-Left1</t>
        </is>
      </c>
      <c r="H860" s="486" t="n">
        <v>2645.9</v>
      </c>
      <c r="I860" s="486" t="n">
        <v>89</v>
      </c>
      <c r="J860" s="486" t="n">
        <v>51</v>
      </c>
      <c r="K860" s="486" t="n">
        <v>17</v>
      </c>
      <c r="L860" s="486" t="n">
        <v>4</v>
      </c>
      <c r="M860" s="490" t="inlineStr">
        <is>
          <t>T</t>
        </is>
      </c>
    </row>
    <row r="861">
      <c r="A861" s="486" t="n">
        <v>15</v>
      </c>
      <c r="B861" s="486" t="n">
        <v>20</v>
      </c>
      <c r="C861" s="486" t="n">
        <v>2</v>
      </c>
      <c r="D861" s="486" t="n">
        <v>21</v>
      </c>
      <c r="E861" s="486" t="n">
        <v>1</v>
      </c>
      <c r="F861" s="486" t="n">
        <v>1</v>
      </c>
      <c r="G861" s="486" t="inlineStr">
        <is>
          <t>North-Right1</t>
        </is>
      </c>
      <c r="H861" s="486" t="n">
        <v>2641.04</v>
      </c>
      <c r="I861" s="486" t="n">
        <v>89</v>
      </c>
      <c r="J861" s="486" t="n">
        <v>55</v>
      </c>
      <c r="K861" s="486" t="n">
        <v>26</v>
      </c>
      <c r="L861" s="486" t="n">
        <v>4</v>
      </c>
      <c r="M861" s="490" t="inlineStr">
        <is>
          <t>T</t>
        </is>
      </c>
    </row>
    <row r="862">
      <c r="A862" s="486" t="n">
        <v>15</v>
      </c>
      <c r="B862" s="486" t="n">
        <v>20</v>
      </c>
      <c r="C862" s="486" t="n">
        <v>2</v>
      </c>
      <c r="D862" s="486" t="n">
        <v>21</v>
      </c>
      <c r="E862" s="486" t="n">
        <v>1</v>
      </c>
      <c r="F862" s="486" t="n">
        <v>1</v>
      </c>
      <c r="G862" s="486" t="inlineStr">
        <is>
          <t>North-Right2</t>
        </is>
      </c>
      <c r="H862" s="486" t="n">
        <v>0</v>
      </c>
      <c r="I862" s="486" t="n">
        <v>0</v>
      </c>
      <c r="J862" s="486" t="n">
        <v>0</v>
      </c>
      <c r="K862" s="486" t="n">
        <v>0</v>
      </c>
      <c r="L862" s="486" t="n">
        <v>0</v>
      </c>
      <c r="M862" s="490" t="inlineStr">
        <is>
          <t>T</t>
        </is>
      </c>
    </row>
    <row r="863">
      <c r="A863" s="486" t="n">
        <v>15</v>
      </c>
      <c r="B863" s="486" t="n">
        <v>20</v>
      </c>
      <c r="C863" s="486" t="n">
        <v>2</v>
      </c>
      <c r="D863" s="486" t="n">
        <v>21</v>
      </c>
      <c r="E863" s="486" t="n">
        <v>1</v>
      </c>
      <c r="F863" s="486" t="n">
        <v>1</v>
      </c>
      <c r="G863" s="486" t="inlineStr">
        <is>
          <t>South-Left2</t>
        </is>
      </c>
      <c r="H863" s="486" t="n">
        <v>0</v>
      </c>
      <c r="I863" s="486" t="n">
        <v>0</v>
      </c>
      <c r="J863" s="486" t="n">
        <v>0</v>
      </c>
      <c r="K863" s="486" t="n">
        <v>0</v>
      </c>
      <c r="L863" s="486" t="n">
        <v>0</v>
      </c>
      <c r="M863" s="490" t="inlineStr">
        <is>
          <t>T</t>
        </is>
      </c>
    </row>
    <row r="864">
      <c r="A864" s="486" t="n">
        <v>15</v>
      </c>
      <c r="B864" s="486" t="n">
        <v>20</v>
      </c>
      <c r="C864" s="486" t="n">
        <v>2</v>
      </c>
      <c r="D864" s="486" t="n">
        <v>21</v>
      </c>
      <c r="E864" s="486" t="n">
        <v>1</v>
      </c>
      <c r="F864" s="486" t="n">
        <v>1</v>
      </c>
      <c r="G864" s="475" t="inlineStr">
        <is>
          <t>South-Left1</t>
        </is>
      </c>
      <c r="H864" s="486" t="n">
        <v>2642.79</v>
      </c>
      <c r="I864" s="486" t="n">
        <v>89</v>
      </c>
      <c r="J864" s="486" t="n">
        <v>59</v>
      </c>
      <c r="K864" s="486" t="n">
        <v>43</v>
      </c>
      <c r="L864" s="486" t="n">
        <v>4</v>
      </c>
      <c r="M864" s="490" t="inlineStr">
        <is>
          <t>T</t>
        </is>
      </c>
    </row>
    <row r="865">
      <c r="A865" s="486" t="n">
        <v>15</v>
      </c>
      <c r="B865" s="486" t="n">
        <v>20</v>
      </c>
      <c r="C865" s="486" t="n">
        <v>2</v>
      </c>
      <c r="D865" s="486" t="n">
        <v>21</v>
      </c>
      <c r="E865" s="486" t="n">
        <v>1</v>
      </c>
      <c r="F865" s="486" t="n">
        <v>1</v>
      </c>
      <c r="G865" s="486" t="inlineStr">
        <is>
          <t>South-Right1</t>
        </is>
      </c>
      <c r="H865" s="486" t="n">
        <v>2643.16</v>
      </c>
      <c r="I865" s="486" t="n">
        <v>89</v>
      </c>
      <c r="J865" s="486" t="n">
        <v>55</v>
      </c>
      <c r="K865" s="486" t="n">
        <v>18</v>
      </c>
      <c r="L865" s="486" t="n">
        <v>4</v>
      </c>
      <c r="M865" s="490" t="inlineStr">
        <is>
          <t>T</t>
        </is>
      </c>
    </row>
    <row r="866">
      <c r="A866" s="486" t="n">
        <v>15</v>
      </c>
      <c r="B866" s="486" t="n">
        <v>20</v>
      </c>
      <c r="C866" s="486" t="n">
        <v>2</v>
      </c>
      <c r="D866" s="486" t="n">
        <v>21</v>
      </c>
      <c r="E866" s="486" t="n">
        <v>1</v>
      </c>
      <c r="F866" s="486" t="n">
        <v>1</v>
      </c>
      <c r="G866" s="486" t="inlineStr">
        <is>
          <t>South-Right2</t>
        </is>
      </c>
      <c r="H866" s="486" t="n">
        <v>0</v>
      </c>
      <c r="I866" s="486" t="n">
        <v>0</v>
      </c>
      <c r="J866" s="486" t="n">
        <v>0</v>
      </c>
      <c r="K866" s="486" t="n">
        <v>0</v>
      </c>
      <c r="L866" s="486" t="n">
        <v>0</v>
      </c>
      <c r="M866" s="490" t="inlineStr">
        <is>
          <t>T</t>
        </is>
      </c>
    </row>
    <row r="867">
      <c r="A867" s="485" t="n">
        <v>15</v>
      </c>
      <c r="B867" s="485" t="n">
        <v>2</v>
      </c>
      <c r="C867" s="485" t="n">
        <v>2</v>
      </c>
      <c r="D867" s="485" t="n">
        <v>1</v>
      </c>
      <c r="E867" s="485" t="n">
        <v>2</v>
      </c>
      <c r="F867" s="485" t="n">
        <v>2</v>
      </c>
      <c r="G867" s="485" t="inlineStr">
        <is>
          <t>West-Up2</t>
        </is>
      </c>
      <c r="H867" s="485" t="n">
        <v>0</v>
      </c>
      <c r="I867" s="485" t="n">
        <v>0</v>
      </c>
      <c r="J867" s="485" t="n">
        <v>0</v>
      </c>
      <c r="K867" s="485" t="n">
        <v>0</v>
      </c>
      <c r="L867" s="485" t="n">
        <v>0</v>
      </c>
      <c r="M867" s="514" t="inlineStr">
        <is>
          <t>T</t>
        </is>
      </c>
    </row>
    <row r="868">
      <c r="A868" s="485" t="n">
        <v>15</v>
      </c>
      <c r="B868" s="485" t="n">
        <v>2</v>
      </c>
      <c r="C868" s="485" t="n">
        <v>2</v>
      </c>
      <c r="D868" s="485" t="n">
        <v>1</v>
      </c>
      <c r="E868" s="485" t="n">
        <v>2</v>
      </c>
      <c r="F868" s="485" t="n">
        <v>2</v>
      </c>
      <c r="G868" s="516" t="inlineStr">
        <is>
          <t>West-Up1</t>
        </is>
      </c>
      <c r="H868" s="485" t="n">
        <v>2639.95</v>
      </c>
      <c r="I868" s="485" t="n">
        <v>0</v>
      </c>
      <c r="J868" s="485" t="n">
        <v>20</v>
      </c>
      <c r="K868" s="485" t="n">
        <v>57</v>
      </c>
      <c r="L868" s="485" t="n">
        <v>4</v>
      </c>
      <c r="M868" s="514" t="inlineStr">
        <is>
          <t>T</t>
        </is>
      </c>
    </row>
    <row r="869">
      <c r="A869" s="485" t="n">
        <v>15</v>
      </c>
      <c r="B869" s="485" t="n">
        <v>2</v>
      </c>
      <c r="C869" s="485" t="n">
        <v>2</v>
      </c>
      <c r="D869" s="485" t="n">
        <v>1</v>
      </c>
      <c r="E869" s="485" t="n">
        <v>2</v>
      </c>
      <c r="F869" s="485" t="n">
        <v>2</v>
      </c>
      <c r="G869" s="485" t="inlineStr">
        <is>
          <t>West-Down1</t>
        </is>
      </c>
      <c r="H869" s="485" t="n">
        <v>2640.46</v>
      </c>
      <c r="I869" s="485" t="n">
        <v>0</v>
      </c>
      <c r="J869" s="485" t="n">
        <v>20</v>
      </c>
      <c r="K869" s="485" t="n">
        <v>19</v>
      </c>
      <c r="L869" s="485" t="n">
        <v>4</v>
      </c>
      <c r="M869" s="514" t="inlineStr">
        <is>
          <t>T</t>
        </is>
      </c>
    </row>
    <row r="870">
      <c r="A870" s="485" t="n">
        <v>15</v>
      </c>
      <c r="B870" s="485" t="n">
        <v>2</v>
      </c>
      <c r="C870" s="485" t="n">
        <v>2</v>
      </c>
      <c r="D870" s="485" t="n">
        <v>1</v>
      </c>
      <c r="E870" s="485" t="n">
        <v>2</v>
      </c>
      <c r="F870" s="485" t="n">
        <v>2</v>
      </c>
      <c r="G870" s="485" t="inlineStr">
        <is>
          <t>West-Down2</t>
        </is>
      </c>
      <c r="H870" s="485" t="n">
        <v>0</v>
      </c>
      <c r="I870" s="485" t="n">
        <v>0</v>
      </c>
      <c r="J870" s="485" t="n">
        <v>0</v>
      </c>
      <c r="K870" s="485" t="n">
        <v>0</v>
      </c>
      <c r="L870" s="485" t="n">
        <v>0</v>
      </c>
      <c r="M870" s="514" t="inlineStr">
        <is>
          <t>T</t>
        </is>
      </c>
    </row>
    <row r="871">
      <c r="A871" s="485" t="n">
        <v>15</v>
      </c>
      <c r="B871" s="485" t="n">
        <v>2</v>
      </c>
      <c r="C871" s="485" t="n">
        <v>2</v>
      </c>
      <c r="D871" s="485" t="n">
        <v>1</v>
      </c>
      <c r="E871" s="485" t="n">
        <v>2</v>
      </c>
      <c r="F871" s="485" t="n">
        <v>2</v>
      </c>
      <c r="G871" s="485" t="inlineStr">
        <is>
          <t>East-Up2</t>
        </is>
      </c>
      <c r="H871" s="485" t="n">
        <v>0</v>
      </c>
      <c r="I871" s="485" t="n">
        <v>0</v>
      </c>
      <c r="J871" s="485" t="n">
        <v>0</v>
      </c>
      <c r="K871" s="485" t="n">
        <v>0</v>
      </c>
      <c r="L871" s="485" t="n">
        <v>0</v>
      </c>
      <c r="M871" s="514" t="inlineStr">
        <is>
          <t>T</t>
        </is>
      </c>
    </row>
    <row r="872">
      <c r="A872" s="485" t="n">
        <v>15</v>
      </c>
      <c r="B872" s="485" t="n">
        <v>2</v>
      </c>
      <c r="C872" s="485" t="n">
        <v>2</v>
      </c>
      <c r="D872" s="485" t="n">
        <v>1</v>
      </c>
      <c r="E872" s="485" t="n">
        <v>2</v>
      </c>
      <c r="F872" s="485" t="n">
        <v>2</v>
      </c>
      <c r="G872" s="516" t="inlineStr">
        <is>
          <t>East-Up1</t>
        </is>
      </c>
      <c r="H872" s="485" t="n">
        <v>2641.87</v>
      </c>
      <c r="I872" s="485" t="n">
        <v>0</v>
      </c>
      <c r="J872" s="485" t="n">
        <v>12</v>
      </c>
      <c r="K872" s="485" t="n">
        <v>24</v>
      </c>
      <c r="L872" s="485" t="n">
        <v>4</v>
      </c>
      <c r="M872" s="514" t="inlineStr">
        <is>
          <t>T</t>
        </is>
      </c>
    </row>
    <row r="873">
      <c r="A873" s="485" t="n">
        <v>15</v>
      </c>
      <c r="B873" s="485" t="n">
        <v>2</v>
      </c>
      <c r="C873" s="485" t="n">
        <v>2</v>
      </c>
      <c r="D873" s="485" t="n">
        <v>1</v>
      </c>
      <c r="E873" s="485" t="n">
        <v>2</v>
      </c>
      <c r="F873" s="485" t="n">
        <v>2</v>
      </c>
      <c r="G873" s="485" t="inlineStr">
        <is>
          <t>East-Down1</t>
        </is>
      </c>
      <c r="H873" s="485" t="n">
        <v>2641.8</v>
      </c>
      <c r="I873" s="485" t="n">
        <v>0</v>
      </c>
      <c r="J873" s="485" t="n">
        <v>12</v>
      </c>
      <c r="K873" s="485" t="n">
        <v>21</v>
      </c>
      <c r="L873" s="485" t="n">
        <v>1</v>
      </c>
      <c r="M873" s="514" t="inlineStr">
        <is>
          <t>T</t>
        </is>
      </c>
    </row>
    <row r="874">
      <c r="A874" s="485" t="n">
        <v>15</v>
      </c>
      <c r="B874" s="485" t="n">
        <v>2</v>
      </c>
      <c r="C874" s="485" t="n">
        <v>2</v>
      </c>
      <c r="D874" s="485" t="n">
        <v>1</v>
      </c>
      <c r="E874" s="485" t="n">
        <v>2</v>
      </c>
      <c r="F874" s="485" t="n">
        <v>2</v>
      </c>
      <c r="G874" s="485" t="inlineStr">
        <is>
          <t>East-Down2</t>
        </is>
      </c>
      <c r="H874" s="485" t="n">
        <v>0</v>
      </c>
      <c r="I874" s="485" t="n">
        <v>0</v>
      </c>
      <c r="J874" s="485" t="n">
        <v>0</v>
      </c>
      <c r="K874" s="485" t="n">
        <v>0</v>
      </c>
      <c r="L874" s="485" t="n">
        <v>0</v>
      </c>
      <c r="M874" s="514" t="inlineStr">
        <is>
          <t>T</t>
        </is>
      </c>
    </row>
    <row r="875">
      <c r="A875" s="485" t="n">
        <v>15</v>
      </c>
      <c r="B875" s="485" t="n">
        <v>2</v>
      </c>
      <c r="C875" s="485" t="n">
        <v>2</v>
      </c>
      <c r="D875" s="485" t="n">
        <v>1</v>
      </c>
      <c r="E875" s="485" t="n">
        <v>2</v>
      </c>
      <c r="F875" s="485" t="n">
        <v>2</v>
      </c>
      <c r="G875" s="485" t="inlineStr">
        <is>
          <t>North-Left2</t>
        </is>
      </c>
      <c r="H875" s="485" t="n">
        <v>0</v>
      </c>
      <c r="I875" s="485" t="n">
        <v>0</v>
      </c>
      <c r="J875" s="485" t="n">
        <v>0</v>
      </c>
      <c r="K875" s="485" t="n">
        <v>0</v>
      </c>
      <c r="L875" s="485" t="n">
        <v>0</v>
      </c>
      <c r="M875" s="514" t="inlineStr">
        <is>
          <t>T</t>
        </is>
      </c>
    </row>
    <row r="876">
      <c r="A876" s="485" t="n">
        <v>15</v>
      </c>
      <c r="B876" s="485" t="n">
        <v>2</v>
      </c>
      <c r="C876" s="485" t="n">
        <v>2</v>
      </c>
      <c r="D876" s="485" t="n">
        <v>1</v>
      </c>
      <c r="E876" s="485" t="n">
        <v>2</v>
      </c>
      <c r="F876" s="485" t="n">
        <v>2</v>
      </c>
      <c r="G876" s="516" t="inlineStr">
        <is>
          <t>North-Left1</t>
        </is>
      </c>
      <c r="H876" s="485" t="n">
        <v>5300.56</v>
      </c>
      <c r="I876" s="485" t="n">
        <v>89</v>
      </c>
      <c r="J876" s="485" t="n">
        <v>34</v>
      </c>
      <c r="K876" s="485" t="n">
        <v>53</v>
      </c>
      <c r="L876" s="485" t="n">
        <v>3</v>
      </c>
      <c r="M876" s="514" t="inlineStr">
        <is>
          <t>T</t>
        </is>
      </c>
    </row>
    <row r="877">
      <c r="A877" s="485" t="n">
        <v>15</v>
      </c>
      <c r="B877" s="485" t="n">
        <v>2</v>
      </c>
      <c r="C877" s="485" t="n">
        <v>2</v>
      </c>
      <c r="D877" s="485" t="n">
        <v>1</v>
      </c>
      <c r="E877" s="485" t="n">
        <v>2</v>
      </c>
      <c r="F877" s="485" t="n">
        <v>2</v>
      </c>
      <c r="G877" s="485" t="inlineStr">
        <is>
          <t>North-Right1</t>
        </is>
      </c>
      <c r="H877" s="485" t="n">
        <v>0</v>
      </c>
      <c r="I877" s="485" t="n">
        <v>0</v>
      </c>
      <c r="J877" s="485" t="n">
        <v>0</v>
      </c>
      <c r="K877" s="485" t="n">
        <v>0</v>
      </c>
      <c r="L877" s="485" t="n">
        <v>0</v>
      </c>
      <c r="M877" s="514" t="inlineStr">
        <is>
          <t>T</t>
        </is>
      </c>
    </row>
    <row r="878">
      <c r="A878" s="485" t="n">
        <v>15</v>
      </c>
      <c r="B878" s="485" t="n">
        <v>2</v>
      </c>
      <c r="C878" s="485" t="n">
        <v>2</v>
      </c>
      <c r="D878" s="485" t="n">
        <v>1</v>
      </c>
      <c r="E878" s="485" t="n">
        <v>2</v>
      </c>
      <c r="F878" s="485" t="n">
        <v>2</v>
      </c>
      <c r="G878" s="485" t="inlineStr">
        <is>
          <t>North-Right2</t>
        </is>
      </c>
      <c r="H878" s="485" t="n">
        <v>0</v>
      </c>
      <c r="I878" s="485" t="n">
        <v>0</v>
      </c>
      <c r="J878" s="485" t="n">
        <v>0</v>
      </c>
      <c r="K878" s="485" t="n">
        <v>0</v>
      </c>
      <c r="L878" s="485" t="n">
        <v>0</v>
      </c>
      <c r="M878" s="514" t="inlineStr">
        <is>
          <t>T</t>
        </is>
      </c>
    </row>
    <row r="879">
      <c r="A879" s="485" t="n">
        <v>15</v>
      </c>
      <c r="B879" s="485" t="n">
        <v>2</v>
      </c>
      <c r="C879" s="485" t="n">
        <v>2</v>
      </c>
      <c r="D879" s="485" t="n">
        <v>1</v>
      </c>
      <c r="E879" s="485" t="n">
        <v>2</v>
      </c>
      <c r="F879" s="485" t="n">
        <v>2</v>
      </c>
      <c r="G879" s="485" t="inlineStr">
        <is>
          <t>South-Left2</t>
        </is>
      </c>
      <c r="H879" s="485" t="n">
        <v>0</v>
      </c>
      <c r="I879" s="485" t="n">
        <v>0</v>
      </c>
      <c r="J879" s="485" t="n">
        <v>0</v>
      </c>
      <c r="K879" s="485" t="n">
        <v>0</v>
      </c>
      <c r="L879" s="485" t="n">
        <v>0</v>
      </c>
      <c r="M879" s="514" t="inlineStr">
        <is>
          <t>T</t>
        </is>
      </c>
    </row>
    <row r="880">
      <c r="A880" s="485" t="n">
        <v>15</v>
      </c>
      <c r="B880" s="485" t="n">
        <v>2</v>
      </c>
      <c r="C880" s="485" t="n">
        <v>2</v>
      </c>
      <c r="D880" s="485" t="n">
        <v>1</v>
      </c>
      <c r="E880" s="485" t="n">
        <v>2</v>
      </c>
      <c r="F880" s="485" t="n">
        <v>2</v>
      </c>
      <c r="G880" s="516" t="inlineStr">
        <is>
          <t>South-Left1</t>
        </is>
      </c>
      <c r="H880" s="485" t="n">
        <v>5287.86</v>
      </c>
      <c r="I880" s="485" t="n">
        <v>89</v>
      </c>
      <c r="J880" s="485" t="n">
        <v>36</v>
      </c>
      <c r="K880" s="485" t="n">
        <v>59</v>
      </c>
      <c r="L880" s="485" t="n">
        <v>3</v>
      </c>
      <c r="M880" s="514" t="inlineStr">
        <is>
          <t>T</t>
        </is>
      </c>
    </row>
    <row r="881">
      <c r="A881" s="485" t="n">
        <v>15</v>
      </c>
      <c r="B881" s="485" t="n">
        <v>2</v>
      </c>
      <c r="C881" s="485" t="n">
        <v>2</v>
      </c>
      <c r="D881" s="485" t="n">
        <v>1</v>
      </c>
      <c r="E881" s="485" t="n">
        <v>2</v>
      </c>
      <c r="F881" s="485" t="n">
        <v>2</v>
      </c>
      <c r="G881" s="485" t="inlineStr">
        <is>
          <t>South-Right1</t>
        </is>
      </c>
      <c r="H881" s="485" t="n">
        <v>0</v>
      </c>
      <c r="I881" s="485" t="n">
        <v>0</v>
      </c>
      <c r="J881" s="485" t="n">
        <v>0</v>
      </c>
      <c r="K881" s="485" t="n">
        <v>0</v>
      </c>
      <c r="L881" s="485" t="n">
        <v>0</v>
      </c>
      <c r="M881" s="514" t="inlineStr">
        <is>
          <t>T</t>
        </is>
      </c>
    </row>
    <row r="882">
      <c r="A882" s="485" t="n">
        <v>15</v>
      </c>
      <c r="B882" s="485" t="n">
        <v>2</v>
      </c>
      <c r="C882" s="485" t="n">
        <v>2</v>
      </c>
      <c r="D882" s="485" t="n">
        <v>1</v>
      </c>
      <c r="E882" s="485" t="n">
        <v>2</v>
      </c>
      <c r="F882" s="485" t="n">
        <v>2</v>
      </c>
      <c r="G882" s="485" t="inlineStr">
        <is>
          <t>South-Right2</t>
        </is>
      </c>
      <c r="H882" s="485" t="n">
        <v>0</v>
      </c>
      <c r="I882" s="485" t="n">
        <v>0</v>
      </c>
      <c r="J882" s="485" t="n">
        <v>0</v>
      </c>
      <c r="K882" s="485" t="n">
        <v>0</v>
      </c>
      <c r="L882" s="485" t="n">
        <v>0</v>
      </c>
      <c r="M882" s="514" t="inlineStr">
        <is>
          <t>T</t>
        </is>
      </c>
    </row>
    <row r="883">
      <c r="A883" s="485" t="n">
        <v>15</v>
      </c>
      <c r="B883" s="485" t="n">
        <v>2</v>
      </c>
      <c r="C883" s="485" t="n">
        <v>2</v>
      </c>
      <c r="D883" s="485" t="n">
        <v>3</v>
      </c>
      <c r="E883" s="485" t="n">
        <v>2</v>
      </c>
      <c r="F883" s="485" t="n">
        <v>2</v>
      </c>
      <c r="G883" s="485" t="inlineStr">
        <is>
          <t>West-Up2</t>
        </is>
      </c>
      <c r="H883" s="485" t="n">
        <v>0</v>
      </c>
      <c r="I883" s="485" t="n">
        <v>0</v>
      </c>
      <c r="J883" s="485" t="n">
        <v>0</v>
      </c>
      <c r="K883" s="485" t="n">
        <v>0</v>
      </c>
      <c r="L883" s="485" t="n">
        <v>0</v>
      </c>
      <c r="M883" s="514" t="inlineStr">
        <is>
          <t>T</t>
        </is>
      </c>
    </row>
    <row r="884">
      <c r="A884" s="485" t="n">
        <v>15</v>
      </c>
      <c r="B884" s="485" t="n">
        <v>2</v>
      </c>
      <c r="C884" s="485" t="n">
        <v>2</v>
      </c>
      <c r="D884" s="485" t="n">
        <v>3</v>
      </c>
      <c r="E884" s="485" t="n">
        <v>2</v>
      </c>
      <c r="F884" s="485" t="n">
        <v>2</v>
      </c>
      <c r="G884" s="516" t="inlineStr">
        <is>
          <t>West-Up1</t>
        </is>
      </c>
      <c r="H884" s="485" t="n">
        <v>2632.08</v>
      </c>
      <c r="I884" s="485" t="n">
        <v>0</v>
      </c>
      <c r="J884" s="485" t="n">
        <v>26</v>
      </c>
      <c r="K884" s="485" t="n">
        <v>33</v>
      </c>
      <c r="L884" s="485" t="n">
        <v>4</v>
      </c>
      <c r="M884" s="514" t="inlineStr">
        <is>
          <t>T</t>
        </is>
      </c>
    </row>
    <row r="885">
      <c r="A885" s="485" t="n">
        <v>15</v>
      </c>
      <c r="B885" s="485" t="n">
        <v>2</v>
      </c>
      <c r="C885" s="485" t="n">
        <v>2</v>
      </c>
      <c r="D885" s="485" t="n">
        <v>3</v>
      </c>
      <c r="E885" s="485" t="n">
        <v>2</v>
      </c>
      <c r="F885" s="485" t="n">
        <v>2</v>
      </c>
      <c r="G885" s="485" t="inlineStr">
        <is>
          <t>West-Down1</t>
        </is>
      </c>
      <c r="H885" s="485" t="n">
        <v>2627.21</v>
      </c>
      <c r="I885" s="485" t="n">
        <v>0</v>
      </c>
      <c r="J885" s="485" t="n">
        <v>26</v>
      </c>
      <c r="K885" s="485" t="n">
        <v>33</v>
      </c>
      <c r="L885" s="485" t="n">
        <v>4</v>
      </c>
      <c r="M885" s="514" t="inlineStr">
        <is>
          <t>T</t>
        </is>
      </c>
    </row>
    <row r="886">
      <c r="A886" s="485" t="n">
        <v>15</v>
      </c>
      <c r="B886" s="485" t="n">
        <v>2</v>
      </c>
      <c r="C886" s="485" t="n">
        <v>2</v>
      </c>
      <c r="D886" s="485" t="n">
        <v>3</v>
      </c>
      <c r="E886" s="485" t="n">
        <v>2</v>
      </c>
      <c r="F886" s="485" t="n">
        <v>2</v>
      </c>
      <c r="G886" s="485" t="inlineStr">
        <is>
          <t>West-Down2</t>
        </is>
      </c>
      <c r="H886" s="485" t="n">
        <v>0</v>
      </c>
      <c r="I886" s="485" t="n">
        <v>0</v>
      </c>
      <c r="J886" s="485" t="n">
        <v>0</v>
      </c>
      <c r="K886" s="485" t="n">
        <v>0</v>
      </c>
      <c r="L886" s="485" t="n">
        <v>0</v>
      </c>
      <c r="M886" s="514" t="inlineStr">
        <is>
          <t>T</t>
        </is>
      </c>
    </row>
    <row r="887">
      <c r="A887" s="485" t="n">
        <v>15</v>
      </c>
      <c r="B887" s="485" t="n">
        <v>2</v>
      </c>
      <c r="C887" s="485" t="n">
        <v>2</v>
      </c>
      <c r="D887" s="485" t="n">
        <v>3</v>
      </c>
      <c r="E887" s="485" t="n">
        <v>2</v>
      </c>
      <c r="F887" s="485" t="n">
        <v>2</v>
      </c>
      <c r="G887" s="485" t="inlineStr">
        <is>
          <t>East-Up2</t>
        </is>
      </c>
      <c r="H887" s="491" t="n">
        <v>0</v>
      </c>
      <c r="I887" s="491" t="n">
        <v>0</v>
      </c>
      <c r="J887" s="491" t="n">
        <v>0</v>
      </c>
      <c r="K887" s="491" t="n">
        <v>0</v>
      </c>
      <c r="L887" s="491" t="n">
        <v>0</v>
      </c>
      <c r="M887" s="514" t="inlineStr">
        <is>
          <t>T</t>
        </is>
      </c>
    </row>
    <row r="888">
      <c r="A888" s="485" t="n">
        <v>15</v>
      </c>
      <c r="B888" s="485" t="n">
        <v>2</v>
      </c>
      <c r="C888" s="485" t="n">
        <v>2</v>
      </c>
      <c r="D888" s="485" t="n">
        <v>3</v>
      </c>
      <c r="E888" s="485" t="n">
        <v>2</v>
      </c>
      <c r="F888" s="485" t="n">
        <v>2</v>
      </c>
      <c r="G888" s="516" t="inlineStr">
        <is>
          <t>East-Up1</t>
        </is>
      </c>
      <c r="H888" s="485" t="n">
        <v>5267.88</v>
      </c>
      <c r="I888" s="485" t="n">
        <v>0</v>
      </c>
      <c r="J888" s="485" t="n">
        <v>16</v>
      </c>
      <c r="K888" s="485" t="n">
        <v>58</v>
      </c>
      <c r="L888" s="485" t="n">
        <v>3</v>
      </c>
      <c r="M888" s="514" t="inlineStr">
        <is>
          <t>T</t>
        </is>
      </c>
    </row>
    <row r="889">
      <c r="A889" s="485" t="n">
        <v>15</v>
      </c>
      <c r="B889" s="485" t="n">
        <v>2</v>
      </c>
      <c r="C889" s="485" t="n">
        <v>2</v>
      </c>
      <c r="D889" s="485" t="n">
        <v>3</v>
      </c>
      <c r="E889" s="485" t="n">
        <v>2</v>
      </c>
      <c r="F889" s="485" t="n">
        <v>2</v>
      </c>
      <c r="G889" s="485" t="inlineStr">
        <is>
          <t>East-Down1</t>
        </is>
      </c>
      <c r="H889" s="491" t="n">
        <v>0</v>
      </c>
      <c r="I889" s="491" t="n">
        <v>0</v>
      </c>
      <c r="J889" s="491" t="n">
        <v>0</v>
      </c>
      <c r="K889" s="491" t="n">
        <v>0</v>
      </c>
      <c r="L889" s="491" t="n">
        <v>0</v>
      </c>
      <c r="M889" s="514" t="inlineStr">
        <is>
          <t>T</t>
        </is>
      </c>
    </row>
    <row r="890">
      <c r="A890" s="485" t="n">
        <v>15</v>
      </c>
      <c r="B890" s="485" t="n">
        <v>2</v>
      </c>
      <c r="C890" s="485" t="n">
        <v>2</v>
      </c>
      <c r="D890" s="485" t="n">
        <v>3</v>
      </c>
      <c r="E890" s="485" t="n">
        <v>2</v>
      </c>
      <c r="F890" s="485" t="n">
        <v>2</v>
      </c>
      <c r="G890" s="485" t="inlineStr">
        <is>
          <t>East-Down2</t>
        </is>
      </c>
      <c r="H890" s="491" t="n">
        <v>0</v>
      </c>
      <c r="I890" s="491" t="n">
        <v>0</v>
      </c>
      <c r="J890" s="491" t="n">
        <v>0</v>
      </c>
      <c r="K890" s="491" t="n">
        <v>0</v>
      </c>
      <c r="L890" s="491" t="n">
        <v>0</v>
      </c>
      <c r="M890" s="514" t="inlineStr">
        <is>
          <t>T</t>
        </is>
      </c>
    </row>
    <row r="891">
      <c r="A891" s="485" t="n">
        <v>15</v>
      </c>
      <c r="B891" s="485" t="n">
        <v>2</v>
      </c>
      <c r="C891" s="485" t="n">
        <v>2</v>
      </c>
      <c r="D891" s="485" t="n">
        <v>3</v>
      </c>
      <c r="E891" s="485" t="n">
        <v>2</v>
      </c>
      <c r="F891" s="485" t="n">
        <v>2</v>
      </c>
      <c r="G891" s="485" t="inlineStr">
        <is>
          <t>North-Left2</t>
        </is>
      </c>
      <c r="H891" s="485" t="n">
        <v>0</v>
      </c>
      <c r="I891" s="485" t="n">
        <v>0</v>
      </c>
      <c r="J891" s="485" t="n">
        <v>0</v>
      </c>
      <c r="K891" s="485" t="n">
        <v>0</v>
      </c>
      <c r="L891" s="485" t="n">
        <v>0</v>
      </c>
      <c r="M891" s="514" t="inlineStr">
        <is>
          <t>T</t>
        </is>
      </c>
    </row>
    <row r="892">
      <c r="A892" s="485" t="n">
        <v>15</v>
      </c>
      <c r="B892" s="485" t="n">
        <v>2</v>
      </c>
      <c r="C892" s="485" t="n">
        <v>2</v>
      </c>
      <c r="D892" s="485" t="n">
        <v>3</v>
      </c>
      <c r="E892" s="485" t="n">
        <v>2</v>
      </c>
      <c r="F892" s="485" t="n">
        <v>2</v>
      </c>
      <c r="G892" s="516" t="inlineStr">
        <is>
          <t>North-Left1</t>
        </is>
      </c>
      <c r="H892" s="485" t="n">
        <v>5363.91</v>
      </c>
      <c r="I892" s="485" t="n">
        <v>89</v>
      </c>
      <c r="J892" s="485" t="n">
        <v>50</v>
      </c>
      <c r="K892" s="485" t="n">
        <v>13</v>
      </c>
      <c r="L892" s="485" t="n">
        <v>4</v>
      </c>
      <c r="M892" s="514" t="inlineStr">
        <is>
          <t>T</t>
        </is>
      </c>
    </row>
    <row r="893">
      <c r="A893" s="485" t="n">
        <v>15</v>
      </c>
      <c r="B893" s="485" t="n">
        <v>2</v>
      </c>
      <c r="C893" s="485" t="n">
        <v>2</v>
      </c>
      <c r="D893" s="485" t="n">
        <v>3</v>
      </c>
      <c r="E893" s="485" t="n">
        <v>2</v>
      </c>
      <c r="F893" s="485" t="n">
        <v>2</v>
      </c>
      <c r="G893" s="485" t="inlineStr">
        <is>
          <t>North-Right1</t>
        </is>
      </c>
      <c r="H893" s="485" t="n">
        <v>0</v>
      </c>
      <c r="I893" s="485" t="n">
        <v>0</v>
      </c>
      <c r="J893" s="485" t="n">
        <v>0</v>
      </c>
      <c r="K893" s="485" t="n">
        <v>0</v>
      </c>
      <c r="L893" s="485" t="n">
        <v>0</v>
      </c>
      <c r="M893" s="514" t="inlineStr">
        <is>
          <t>T</t>
        </is>
      </c>
    </row>
    <row r="894">
      <c r="A894" s="485" t="n">
        <v>15</v>
      </c>
      <c r="B894" s="485" t="n">
        <v>2</v>
      </c>
      <c r="C894" s="485" t="n">
        <v>2</v>
      </c>
      <c r="D894" s="485" t="n">
        <v>3</v>
      </c>
      <c r="E894" s="485" t="n">
        <v>2</v>
      </c>
      <c r="F894" s="485" t="n">
        <v>2</v>
      </c>
      <c r="G894" s="485" t="inlineStr">
        <is>
          <t>North-Right2</t>
        </is>
      </c>
      <c r="H894" s="485" t="n">
        <v>0</v>
      </c>
      <c r="I894" s="485" t="n">
        <v>0</v>
      </c>
      <c r="J894" s="485" t="n">
        <v>0</v>
      </c>
      <c r="K894" s="485" t="n">
        <v>0</v>
      </c>
      <c r="L894" s="485" t="n">
        <v>0</v>
      </c>
      <c r="M894" s="514" t="inlineStr">
        <is>
          <t>T</t>
        </is>
      </c>
    </row>
    <row r="895">
      <c r="A895" s="485" t="n">
        <v>15</v>
      </c>
      <c r="B895" s="485" t="n">
        <v>2</v>
      </c>
      <c r="C895" s="485" t="n">
        <v>2</v>
      </c>
      <c r="D895" s="485" t="n">
        <v>3</v>
      </c>
      <c r="E895" s="485" t="n">
        <v>2</v>
      </c>
      <c r="F895" s="485" t="n">
        <v>2</v>
      </c>
      <c r="G895" s="485" t="inlineStr">
        <is>
          <t>South-Left2</t>
        </is>
      </c>
      <c r="H895" s="485" t="n">
        <v>0</v>
      </c>
      <c r="I895" s="485" t="n">
        <v>0</v>
      </c>
      <c r="J895" s="485" t="n">
        <v>0</v>
      </c>
      <c r="K895" s="485" t="n">
        <v>0</v>
      </c>
      <c r="L895" s="485" t="n">
        <v>0</v>
      </c>
      <c r="M895" s="514" t="inlineStr">
        <is>
          <t>T</t>
        </is>
      </c>
    </row>
    <row r="896">
      <c r="A896" s="485" t="n">
        <v>15</v>
      </c>
      <c r="B896" s="485" t="n">
        <v>2</v>
      </c>
      <c r="C896" s="485" t="n">
        <v>2</v>
      </c>
      <c r="D896" s="485" t="n">
        <v>3</v>
      </c>
      <c r="E896" s="485" t="n">
        <v>2</v>
      </c>
      <c r="F896" s="485" t="n">
        <v>2</v>
      </c>
      <c r="G896" s="516" t="inlineStr">
        <is>
          <t>South-Left1</t>
        </is>
      </c>
      <c r="H896" s="485" t="n">
        <v>5301.92</v>
      </c>
      <c r="I896" s="485" t="n">
        <v>89</v>
      </c>
      <c r="J896" s="485" t="n">
        <v>44</v>
      </c>
      <c r="K896" s="485" t="n">
        <v>27</v>
      </c>
      <c r="L896" s="485" t="n">
        <v>4</v>
      </c>
      <c r="M896" s="514" t="inlineStr">
        <is>
          <t>T</t>
        </is>
      </c>
    </row>
    <row r="897">
      <c r="A897" s="485" t="n">
        <v>15</v>
      </c>
      <c r="B897" s="485" t="n">
        <v>2</v>
      </c>
      <c r="C897" s="485" t="n">
        <v>2</v>
      </c>
      <c r="D897" s="485" t="n">
        <v>3</v>
      </c>
      <c r="E897" s="485" t="n">
        <v>2</v>
      </c>
      <c r="F897" s="485" t="n">
        <v>2</v>
      </c>
      <c r="G897" s="485" t="inlineStr">
        <is>
          <t>South-Right1</t>
        </is>
      </c>
      <c r="H897" s="485" t="n">
        <v>0</v>
      </c>
      <c r="I897" s="485" t="n">
        <v>0</v>
      </c>
      <c r="J897" s="485" t="n">
        <v>0</v>
      </c>
      <c r="K897" s="485" t="n">
        <v>0</v>
      </c>
      <c r="L897" s="485" t="n">
        <v>0</v>
      </c>
      <c r="M897" s="514" t="inlineStr">
        <is>
          <t>T</t>
        </is>
      </c>
    </row>
    <row r="898">
      <c r="A898" s="485" t="n">
        <v>15</v>
      </c>
      <c r="B898" s="485" t="n">
        <v>2</v>
      </c>
      <c r="C898" s="485" t="n">
        <v>2</v>
      </c>
      <c r="D898" s="485" t="n">
        <v>3</v>
      </c>
      <c r="E898" s="485" t="n">
        <v>2</v>
      </c>
      <c r="F898" s="485" t="n">
        <v>2</v>
      </c>
      <c r="G898" s="485" t="inlineStr">
        <is>
          <t>South-Right2</t>
        </is>
      </c>
      <c r="H898" s="485" t="n">
        <v>0</v>
      </c>
      <c r="I898" s="485" t="n">
        <v>0</v>
      </c>
      <c r="J898" s="485" t="n">
        <v>0</v>
      </c>
      <c r="K898" s="485" t="n">
        <v>0</v>
      </c>
      <c r="L898" s="485" t="n">
        <v>0</v>
      </c>
      <c r="M898" s="514" t="inlineStr">
        <is>
          <t>T</t>
        </is>
      </c>
    </row>
    <row r="899">
      <c r="A899" s="485" t="n">
        <v>15</v>
      </c>
      <c r="B899" s="485" t="n">
        <v>3</v>
      </c>
      <c r="C899" s="485" t="n">
        <v>2</v>
      </c>
      <c r="D899" s="485" t="n">
        <v>1</v>
      </c>
      <c r="E899" s="485" t="n">
        <v>2</v>
      </c>
      <c r="F899" s="485" t="n">
        <v>2</v>
      </c>
      <c r="G899" s="485" t="inlineStr">
        <is>
          <t>West-Up2</t>
        </is>
      </c>
      <c r="H899" s="485" t="n">
        <v>1320.63</v>
      </c>
      <c r="I899" s="485" t="n">
        <v>0</v>
      </c>
      <c r="J899" s="485" t="n">
        <v>4</v>
      </c>
      <c r="K899" s="485" t="n">
        <v>2</v>
      </c>
      <c r="L899" s="485" t="n">
        <v>2</v>
      </c>
      <c r="M899" s="514" t="inlineStr">
        <is>
          <t>T</t>
        </is>
      </c>
    </row>
    <row r="900">
      <c r="A900" s="485" t="n">
        <v>15</v>
      </c>
      <c r="B900" s="485" t="n">
        <v>3</v>
      </c>
      <c r="C900" s="485" t="n">
        <v>2</v>
      </c>
      <c r="D900" s="485" t="n">
        <v>1</v>
      </c>
      <c r="E900" s="485" t="n">
        <v>2</v>
      </c>
      <c r="F900" s="485" t="n">
        <v>2</v>
      </c>
      <c r="G900" s="516" t="inlineStr">
        <is>
          <t>West-Up1</t>
        </is>
      </c>
      <c r="H900" s="485" t="n">
        <v>1320.17</v>
      </c>
      <c r="I900" s="485" t="n">
        <v>0</v>
      </c>
      <c r="J900" s="485" t="n">
        <v>4</v>
      </c>
      <c r="K900" s="485" t="n">
        <v>38</v>
      </c>
      <c r="L900" s="485" t="n">
        <v>2</v>
      </c>
      <c r="M900" s="514" t="inlineStr">
        <is>
          <t>T</t>
        </is>
      </c>
    </row>
    <row r="901">
      <c r="A901" s="485" t="n">
        <v>15</v>
      </c>
      <c r="B901" s="485" t="n">
        <v>3</v>
      </c>
      <c r="C901" s="485" t="n">
        <v>2</v>
      </c>
      <c r="D901" s="485" t="n">
        <v>1</v>
      </c>
      <c r="E901" s="485" t="n">
        <v>2</v>
      </c>
      <c r="F901" s="485" t="n">
        <v>2</v>
      </c>
      <c r="G901" s="485" t="inlineStr">
        <is>
          <t>West-Down1</t>
        </is>
      </c>
      <c r="H901" s="485" t="n">
        <v>2640.81</v>
      </c>
      <c r="I901" s="485" t="n">
        <v>0</v>
      </c>
      <c r="J901" s="485" t="n">
        <v>4</v>
      </c>
      <c r="K901" s="485" t="n">
        <v>38</v>
      </c>
      <c r="L901" s="485" t="n">
        <v>2</v>
      </c>
      <c r="M901" s="514" t="inlineStr">
        <is>
          <t>T</t>
        </is>
      </c>
    </row>
    <row r="902">
      <c r="A902" s="485" t="n">
        <v>15</v>
      </c>
      <c r="B902" s="485" t="n">
        <v>3</v>
      </c>
      <c r="C902" s="485" t="n">
        <v>2</v>
      </c>
      <c r="D902" s="485" t="n">
        <v>1</v>
      </c>
      <c r="E902" s="485" t="n">
        <v>2</v>
      </c>
      <c r="F902" s="485" t="n">
        <v>2</v>
      </c>
      <c r="G902" s="485" t="inlineStr">
        <is>
          <t>West-Down2</t>
        </is>
      </c>
      <c r="H902" s="485" t="n">
        <v>0</v>
      </c>
      <c r="I902" s="485" t="n">
        <v>0</v>
      </c>
      <c r="J902" s="485" t="n">
        <v>0</v>
      </c>
      <c r="K902" s="485" t="n">
        <v>0</v>
      </c>
      <c r="L902" s="485" t="n">
        <v>0</v>
      </c>
      <c r="M902" s="514" t="inlineStr">
        <is>
          <t>T</t>
        </is>
      </c>
    </row>
    <row r="903">
      <c r="A903" s="485" t="n">
        <v>15</v>
      </c>
      <c r="B903" s="485" t="n">
        <v>3</v>
      </c>
      <c r="C903" s="485" t="n">
        <v>2</v>
      </c>
      <c r="D903" s="485" t="n">
        <v>1</v>
      </c>
      <c r="E903" s="485" t="n">
        <v>2</v>
      </c>
      <c r="F903" s="485" t="n">
        <v>2</v>
      </c>
      <c r="G903" s="485" t="inlineStr">
        <is>
          <t>East-Up2</t>
        </is>
      </c>
      <c r="H903" s="485" t="n">
        <v>1319.64</v>
      </c>
      <c r="I903" s="485" t="n">
        <v>0</v>
      </c>
      <c r="J903" s="485" t="n">
        <v>3</v>
      </c>
      <c r="K903" s="485" t="n">
        <v>9</v>
      </c>
      <c r="L903" s="485" t="n">
        <v>2</v>
      </c>
      <c r="M903" s="514" t="inlineStr">
        <is>
          <t>T</t>
        </is>
      </c>
    </row>
    <row r="904">
      <c r="A904" s="485" t="n">
        <v>15</v>
      </c>
      <c r="B904" s="485" t="n">
        <v>3</v>
      </c>
      <c r="C904" s="485" t="n">
        <v>2</v>
      </c>
      <c r="D904" s="485" t="n">
        <v>1</v>
      </c>
      <c r="E904" s="485" t="n">
        <v>2</v>
      </c>
      <c r="F904" s="485" t="n">
        <v>2</v>
      </c>
      <c r="G904" s="516" t="inlineStr">
        <is>
          <t>East-Up1</t>
        </is>
      </c>
      <c r="H904" s="485" t="n">
        <v>1319.64</v>
      </c>
      <c r="I904" s="485" t="n">
        <v>0</v>
      </c>
      <c r="J904" s="485" t="n">
        <v>3</v>
      </c>
      <c r="K904" s="485" t="n">
        <v>9</v>
      </c>
      <c r="L904" s="485" t="n">
        <v>2</v>
      </c>
      <c r="M904" s="514" t="inlineStr">
        <is>
          <t>T</t>
        </is>
      </c>
    </row>
    <row r="905">
      <c r="A905" s="485" t="n">
        <v>15</v>
      </c>
      <c r="B905" s="485" t="n">
        <v>3</v>
      </c>
      <c r="C905" s="485" t="n">
        <v>2</v>
      </c>
      <c r="D905" s="485" t="n">
        <v>1</v>
      </c>
      <c r="E905" s="485" t="n">
        <v>2</v>
      </c>
      <c r="F905" s="485" t="n">
        <v>2</v>
      </c>
      <c r="G905" s="485" t="inlineStr">
        <is>
          <t>East-Down1</t>
        </is>
      </c>
      <c r="H905" s="485" t="n">
        <v>2640.14</v>
      </c>
      <c r="I905" s="485" t="n">
        <v>0</v>
      </c>
      <c r="J905" s="485" t="n">
        <v>2</v>
      </c>
      <c r="K905" s="485" t="n">
        <v>53</v>
      </c>
      <c r="L905" s="485" t="n">
        <v>2</v>
      </c>
      <c r="M905" s="514" t="inlineStr">
        <is>
          <t>T</t>
        </is>
      </c>
    </row>
    <row r="906">
      <c r="A906" s="485" t="n">
        <v>15</v>
      </c>
      <c r="B906" s="485" t="n">
        <v>3</v>
      </c>
      <c r="C906" s="485" t="n">
        <v>2</v>
      </c>
      <c r="D906" s="485" t="n">
        <v>1</v>
      </c>
      <c r="E906" s="485" t="n">
        <v>2</v>
      </c>
      <c r="F906" s="485" t="n">
        <v>2</v>
      </c>
      <c r="G906" s="485" t="inlineStr">
        <is>
          <t>East-Down2</t>
        </is>
      </c>
      <c r="H906" s="485" t="n">
        <v>0</v>
      </c>
      <c r="I906" s="485" t="n">
        <v>0</v>
      </c>
      <c r="J906" s="485" t="n">
        <v>0</v>
      </c>
      <c r="K906" s="485" t="n">
        <v>0</v>
      </c>
      <c r="L906" s="485" t="n">
        <v>0</v>
      </c>
      <c r="M906" s="514" t="inlineStr">
        <is>
          <t>T</t>
        </is>
      </c>
    </row>
    <row r="907">
      <c r="A907" s="485" t="n">
        <v>15</v>
      </c>
      <c r="B907" s="485" t="n">
        <v>3</v>
      </c>
      <c r="C907" s="485" t="n">
        <v>2</v>
      </c>
      <c r="D907" s="485" t="n">
        <v>1</v>
      </c>
      <c r="E907" s="485" t="n">
        <v>2</v>
      </c>
      <c r="F907" s="485" t="n">
        <v>2</v>
      </c>
      <c r="G907" s="485" t="inlineStr">
        <is>
          <t>North-Left2</t>
        </is>
      </c>
      <c r="H907" s="485" t="n">
        <v>0</v>
      </c>
      <c r="I907" s="485" t="n">
        <v>0</v>
      </c>
      <c r="J907" s="485" t="n">
        <v>0</v>
      </c>
      <c r="K907" s="485" t="n">
        <v>0</v>
      </c>
      <c r="L907" s="485" t="n">
        <v>0</v>
      </c>
      <c r="M907" s="514" t="inlineStr">
        <is>
          <t>T</t>
        </is>
      </c>
    </row>
    <row r="908">
      <c r="A908" s="485" t="n">
        <v>15</v>
      </c>
      <c r="B908" s="485" t="n">
        <v>3</v>
      </c>
      <c r="C908" s="485" t="n">
        <v>2</v>
      </c>
      <c r="D908" s="485" t="n">
        <v>1</v>
      </c>
      <c r="E908" s="485" t="n">
        <v>2</v>
      </c>
      <c r="F908" s="485" t="n">
        <v>2</v>
      </c>
      <c r="G908" s="516" t="inlineStr">
        <is>
          <t>North-Left1</t>
        </is>
      </c>
      <c r="H908" s="485" t="n">
        <v>2639.51</v>
      </c>
      <c r="I908" s="485" t="n">
        <v>89</v>
      </c>
      <c r="J908" s="485" t="n">
        <v>56</v>
      </c>
      <c r="K908" s="485" t="n">
        <v>5</v>
      </c>
      <c r="L908" s="485" t="n">
        <v>3</v>
      </c>
      <c r="M908" s="514" t="inlineStr">
        <is>
          <t>T</t>
        </is>
      </c>
    </row>
    <row r="909">
      <c r="A909" s="485" t="n">
        <v>15</v>
      </c>
      <c r="B909" s="485" t="n">
        <v>3</v>
      </c>
      <c r="C909" s="485" t="n">
        <v>2</v>
      </c>
      <c r="D909" s="485" t="n">
        <v>1</v>
      </c>
      <c r="E909" s="485" t="n">
        <v>2</v>
      </c>
      <c r="F909" s="485" t="n">
        <v>2</v>
      </c>
      <c r="G909" s="485" t="inlineStr">
        <is>
          <t>North-Right1</t>
        </is>
      </c>
      <c r="H909" s="485" t="n">
        <v>2639.54</v>
      </c>
      <c r="I909" s="485" t="n">
        <v>89</v>
      </c>
      <c r="J909" s="485" t="n">
        <v>55</v>
      </c>
      <c r="K909" s="485" t="n">
        <v>49</v>
      </c>
      <c r="L909" s="485" t="n">
        <v>3</v>
      </c>
      <c r="M909" s="514" t="inlineStr">
        <is>
          <t>T</t>
        </is>
      </c>
    </row>
    <row r="910">
      <c r="A910" s="485" t="n">
        <v>15</v>
      </c>
      <c r="B910" s="485" t="n">
        <v>3</v>
      </c>
      <c r="C910" s="485" t="n">
        <v>2</v>
      </c>
      <c r="D910" s="485" t="n">
        <v>1</v>
      </c>
      <c r="E910" s="485" t="n">
        <v>2</v>
      </c>
      <c r="F910" s="485" t="n">
        <v>2</v>
      </c>
      <c r="G910" s="485" t="inlineStr">
        <is>
          <t>North-Right2</t>
        </is>
      </c>
      <c r="H910" s="485" t="n">
        <v>0</v>
      </c>
      <c r="I910" s="485" t="n">
        <v>0</v>
      </c>
      <c r="J910" s="485" t="n">
        <v>0</v>
      </c>
      <c r="K910" s="485" t="n">
        <v>0</v>
      </c>
      <c r="L910" s="485" t="n">
        <v>0</v>
      </c>
      <c r="M910" s="514" t="inlineStr">
        <is>
          <t>T</t>
        </is>
      </c>
    </row>
    <row r="911">
      <c r="A911" s="485" t="n">
        <v>15</v>
      </c>
      <c r="B911" s="485" t="n">
        <v>3</v>
      </c>
      <c r="C911" s="485" t="n">
        <v>2</v>
      </c>
      <c r="D911" s="485" t="n">
        <v>1</v>
      </c>
      <c r="E911" s="485" t="n">
        <v>2</v>
      </c>
      <c r="F911" s="485" t="n">
        <v>2</v>
      </c>
      <c r="G911" s="485" t="inlineStr">
        <is>
          <t>South-Left2</t>
        </is>
      </c>
      <c r="H911" s="485" t="n">
        <v>1327.79</v>
      </c>
      <c r="I911" s="485" t="n">
        <v>89</v>
      </c>
      <c r="J911" s="485" t="n">
        <v>52</v>
      </c>
      <c r="K911" s="485" t="n">
        <v>6</v>
      </c>
      <c r="L911" s="485" t="n">
        <v>1</v>
      </c>
      <c r="M911" s="514" t="inlineStr">
        <is>
          <t>T</t>
        </is>
      </c>
    </row>
    <row r="912">
      <c r="A912" s="485" t="n">
        <v>15</v>
      </c>
      <c r="B912" s="485" t="n">
        <v>3</v>
      </c>
      <c r="C912" s="485" t="n">
        <v>2</v>
      </c>
      <c r="D912" s="485" t="n">
        <v>1</v>
      </c>
      <c r="E912" s="485" t="n">
        <v>2</v>
      </c>
      <c r="F912" s="485" t="n">
        <v>2</v>
      </c>
      <c r="G912" s="516" t="inlineStr">
        <is>
          <t>South-Left1</t>
        </is>
      </c>
      <c r="H912" s="485" t="n">
        <v>2618.25</v>
      </c>
      <c r="I912" s="485" t="n">
        <v>89</v>
      </c>
      <c r="J912" s="485" t="n">
        <v>54</v>
      </c>
      <c r="K912" s="485" t="n">
        <v>32</v>
      </c>
      <c r="L912" s="485" t="n">
        <v>2</v>
      </c>
      <c r="M912" s="514" t="inlineStr">
        <is>
          <t>T</t>
        </is>
      </c>
    </row>
    <row r="913">
      <c r="A913" s="485" t="n">
        <v>15</v>
      </c>
      <c r="B913" s="485" t="n">
        <v>3</v>
      </c>
      <c r="C913" s="485" t="n">
        <v>2</v>
      </c>
      <c r="D913" s="485" t="n">
        <v>1</v>
      </c>
      <c r="E913" s="485" t="n">
        <v>2</v>
      </c>
      <c r="F913" s="485" t="n">
        <v>2</v>
      </c>
      <c r="G913" s="485" t="inlineStr">
        <is>
          <t>South-Right1</t>
        </is>
      </c>
      <c r="H913" s="485" t="n">
        <v>2663.06</v>
      </c>
      <c r="I913" s="485" t="n">
        <v>89</v>
      </c>
      <c r="J913" s="485" t="n">
        <v>54</v>
      </c>
      <c r="K913" s="485" t="n">
        <v>32</v>
      </c>
      <c r="L913" s="485" t="n">
        <v>2</v>
      </c>
      <c r="M913" s="514" t="inlineStr">
        <is>
          <t>T</t>
        </is>
      </c>
    </row>
    <row r="914">
      <c r="A914" s="485" t="n">
        <v>15</v>
      </c>
      <c r="B914" s="485" t="n">
        <v>3</v>
      </c>
      <c r="C914" s="485" t="n">
        <v>2</v>
      </c>
      <c r="D914" s="485" t="n">
        <v>1</v>
      </c>
      <c r="E914" s="485" t="n">
        <v>2</v>
      </c>
      <c r="F914" s="485" t="n">
        <v>2</v>
      </c>
      <c r="G914" s="485" t="inlineStr">
        <is>
          <t>South-Right2</t>
        </is>
      </c>
      <c r="H914" s="485" t="n">
        <v>0</v>
      </c>
      <c r="I914" s="485" t="n">
        <v>0</v>
      </c>
      <c r="J914" s="485" t="n">
        <v>0</v>
      </c>
      <c r="K914" s="485" t="n">
        <v>0</v>
      </c>
      <c r="L914" s="485" t="n">
        <v>0</v>
      </c>
      <c r="M914" s="514" t="inlineStr">
        <is>
          <t>T</t>
        </is>
      </c>
    </row>
    <row r="915">
      <c r="A915" s="499" t="n">
        <v>15</v>
      </c>
      <c r="B915" s="499" t="n">
        <v>3</v>
      </c>
      <c r="C915" s="499" t="n">
        <v>2</v>
      </c>
      <c r="D915" s="499" t="n">
        <v>5</v>
      </c>
      <c r="E915" s="499" t="n">
        <v>2</v>
      </c>
      <c r="F915" s="499" t="n">
        <v>2</v>
      </c>
      <c r="G915" s="499" t="inlineStr">
        <is>
          <t>West-Up2</t>
        </is>
      </c>
      <c r="H915" s="511" t="n">
        <v>0</v>
      </c>
      <c r="I915" s="511" t="n">
        <v>0</v>
      </c>
      <c r="J915" s="511" t="n">
        <v>0</v>
      </c>
      <c r="K915" s="511" t="n">
        <v>0</v>
      </c>
      <c r="L915" s="511" t="n">
        <v>0</v>
      </c>
      <c r="M915" s="500" t="inlineStr">
        <is>
          <t>T</t>
        </is>
      </c>
    </row>
    <row r="916">
      <c r="A916" s="499" t="n">
        <v>15</v>
      </c>
      <c r="B916" s="499" t="n">
        <v>3</v>
      </c>
      <c r="C916" s="499" t="n">
        <v>2</v>
      </c>
      <c r="D916" s="499" t="n">
        <v>5</v>
      </c>
      <c r="E916" s="499" t="n">
        <v>2</v>
      </c>
      <c r="F916" s="499" t="n">
        <v>2</v>
      </c>
      <c r="G916" s="502" t="inlineStr">
        <is>
          <t>West-Up1</t>
        </is>
      </c>
      <c r="H916" s="511" t="n">
        <v>2642.47</v>
      </c>
      <c r="I916" s="511" t="n">
        <v>0</v>
      </c>
      <c r="J916" s="511" t="n">
        <v>9</v>
      </c>
      <c r="K916" s="511" t="n">
        <v>53</v>
      </c>
      <c r="L916" s="511" t="n">
        <v>4</v>
      </c>
      <c r="M916" s="500" t="inlineStr">
        <is>
          <t>T</t>
        </is>
      </c>
    </row>
    <row r="917">
      <c r="A917" s="499" t="n">
        <v>15</v>
      </c>
      <c r="B917" s="499" t="n">
        <v>3</v>
      </c>
      <c r="C917" s="499" t="n">
        <v>2</v>
      </c>
      <c r="D917" s="499" t="n">
        <v>5</v>
      </c>
      <c r="E917" s="499" t="n">
        <v>2</v>
      </c>
      <c r="F917" s="499" t="n">
        <v>2</v>
      </c>
      <c r="G917" s="499" t="inlineStr">
        <is>
          <t>West-Down1</t>
        </is>
      </c>
      <c r="H917" s="511" t="n">
        <v>2644.13</v>
      </c>
      <c r="I917" s="511" t="n">
        <v>0</v>
      </c>
      <c r="J917" s="511" t="n">
        <v>6</v>
      </c>
      <c r="K917" s="511" t="n">
        <v>17</v>
      </c>
      <c r="L917" s="511" t="n">
        <v>4</v>
      </c>
      <c r="M917" s="500" t="inlineStr">
        <is>
          <t>T</t>
        </is>
      </c>
    </row>
    <row r="918">
      <c r="A918" s="499" t="n">
        <v>15</v>
      </c>
      <c r="B918" s="499" t="n">
        <v>3</v>
      </c>
      <c r="C918" s="499" t="n">
        <v>2</v>
      </c>
      <c r="D918" s="499" t="n">
        <v>5</v>
      </c>
      <c r="E918" s="499" t="n">
        <v>2</v>
      </c>
      <c r="F918" s="499" t="n">
        <v>2</v>
      </c>
      <c r="G918" s="499" t="inlineStr">
        <is>
          <t>West-Down2</t>
        </is>
      </c>
      <c r="H918" s="511" t="n">
        <v>0</v>
      </c>
      <c r="I918" s="511" t="n">
        <v>0</v>
      </c>
      <c r="J918" s="511" t="n">
        <v>0</v>
      </c>
      <c r="K918" s="511" t="n">
        <v>0</v>
      </c>
      <c r="L918" s="511" t="n">
        <v>0</v>
      </c>
      <c r="M918" s="500" t="inlineStr">
        <is>
          <t>T</t>
        </is>
      </c>
    </row>
    <row r="919">
      <c r="A919" s="499" t="n">
        <v>15</v>
      </c>
      <c r="B919" s="499" t="n">
        <v>3</v>
      </c>
      <c r="C919" s="499" t="n">
        <v>2</v>
      </c>
      <c r="D919" s="499" t="n">
        <v>5</v>
      </c>
      <c r="E919" s="499" t="n">
        <v>2</v>
      </c>
      <c r="F919" s="499" t="n">
        <v>2</v>
      </c>
      <c r="G919" s="499" t="inlineStr">
        <is>
          <t>East-Up2</t>
        </is>
      </c>
      <c r="H919" s="511" t="n">
        <v>0</v>
      </c>
      <c r="I919" s="511" t="n">
        <v>0</v>
      </c>
      <c r="J919" s="511" t="n">
        <v>0</v>
      </c>
      <c r="K919" s="511" t="n">
        <v>0</v>
      </c>
      <c r="L919" s="511" t="n">
        <v>0</v>
      </c>
      <c r="M919" s="500" t="inlineStr">
        <is>
          <t>T</t>
        </is>
      </c>
    </row>
    <row r="920">
      <c r="A920" s="499" t="n">
        <v>15</v>
      </c>
      <c r="B920" s="499" t="n">
        <v>3</v>
      </c>
      <c r="C920" s="499" t="n">
        <v>2</v>
      </c>
      <c r="D920" s="499" t="n">
        <v>5</v>
      </c>
      <c r="E920" s="499" t="n">
        <v>2</v>
      </c>
      <c r="F920" s="499" t="n">
        <v>2</v>
      </c>
      <c r="G920" s="502" t="inlineStr">
        <is>
          <t>East-Up1</t>
        </is>
      </c>
      <c r="H920" s="511" t="n">
        <v>2637.95</v>
      </c>
      <c r="I920" s="511" t="n">
        <v>0</v>
      </c>
      <c r="J920" s="511" t="n">
        <v>11</v>
      </c>
      <c r="K920" s="511" t="n">
        <v>35</v>
      </c>
      <c r="L920" s="511" t="n">
        <v>4</v>
      </c>
      <c r="M920" s="500" t="inlineStr">
        <is>
          <t>T</t>
        </is>
      </c>
    </row>
    <row r="921">
      <c r="A921" s="499" t="n">
        <v>15</v>
      </c>
      <c r="B921" s="499" t="n">
        <v>3</v>
      </c>
      <c r="C921" s="499" t="n">
        <v>2</v>
      </c>
      <c r="D921" s="499" t="n">
        <v>5</v>
      </c>
      <c r="E921" s="499" t="n">
        <v>2</v>
      </c>
      <c r="F921" s="499" t="n">
        <v>2</v>
      </c>
      <c r="G921" s="499" t="inlineStr">
        <is>
          <t>East-Down1</t>
        </is>
      </c>
      <c r="H921" s="511" t="n">
        <v>2639.58</v>
      </c>
      <c r="I921" s="511" t="n">
        <v>0</v>
      </c>
      <c r="J921" s="511" t="n">
        <v>0</v>
      </c>
      <c r="K921" s="511" t="n">
        <v>34</v>
      </c>
      <c r="L921" s="511" t="n">
        <v>2</v>
      </c>
      <c r="M921" s="500" t="inlineStr">
        <is>
          <t>T</t>
        </is>
      </c>
    </row>
    <row r="922">
      <c r="A922" s="499" t="n">
        <v>15</v>
      </c>
      <c r="B922" s="499" t="n">
        <v>3</v>
      </c>
      <c r="C922" s="499" t="n">
        <v>2</v>
      </c>
      <c r="D922" s="499" t="n">
        <v>5</v>
      </c>
      <c r="E922" s="499" t="n">
        <v>2</v>
      </c>
      <c r="F922" s="499" t="n">
        <v>2</v>
      </c>
      <c r="G922" s="499" t="inlineStr">
        <is>
          <t>East-Down2</t>
        </is>
      </c>
      <c r="H922" s="511" t="n">
        <v>0</v>
      </c>
      <c r="I922" s="511" t="n">
        <v>0</v>
      </c>
      <c r="J922" s="511" t="n">
        <v>0</v>
      </c>
      <c r="K922" s="511" t="n">
        <v>0</v>
      </c>
      <c r="L922" s="511" t="n">
        <v>0</v>
      </c>
      <c r="M922" s="500" t="inlineStr">
        <is>
          <t>T</t>
        </is>
      </c>
    </row>
    <row r="923">
      <c r="A923" s="499" t="n">
        <v>15</v>
      </c>
      <c r="B923" s="499" t="n">
        <v>3</v>
      </c>
      <c r="C923" s="499" t="n">
        <v>2</v>
      </c>
      <c r="D923" s="499" t="n">
        <v>5</v>
      </c>
      <c r="E923" s="499" t="n">
        <v>2</v>
      </c>
      <c r="F923" s="499" t="n">
        <v>2</v>
      </c>
      <c r="G923" s="499" t="inlineStr">
        <is>
          <t>North-Left2</t>
        </is>
      </c>
      <c r="H923" s="511" t="n">
        <v>0</v>
      </c>
      <c r="I923" s="511" t="n">
        <v>0</v>
      </c>
      <c r="J923" s="511" t="n">
        <v>0</v>
      </c>
      <c r="K923" s="511" t="n">
        <v>0</v>
      </c>
      <c r="L923" s="511" t="n">
        <v>0</v>
      </c>
      <c r="M923" s="500" t="inlineStr">
        <is>
          <t>T</t>
        </is>
      </c>
    </row>
    <row r="924">
      <c r="A924" s="499" t="n">
        <v>15</v>
      </c>
      <c r="B924" s="499" t="n">
        <v>3</v>
      </c>
      <c r="C924" s="499" t="n">
        <v>2</v>
      </c>
      <c r="D924" s="499" t="n">
        <v>5</v>
      </c>
      <c r="E924" s="499" t="n">
        <v>2</v>
      </c>
      <c r="F924" s="499" t="n">
        <v>2</v>
      </c>
      <c r="G924" s="502" t="inlineStr">
        <is>
          <t>North-Left1</t>
        </is>
      </c>
      <c r="H924" s="511" t="n">
        <v>2617.75</v>
      </c>
      <c r="I924" s="511" t="n">
        <v>89</v>
      </c>
      <c r="J924" s="511" t="n">
        <v>47</v>
      </c>
      <c r="K924" s="511" t="n">
        <v>16</v>
      </c>
      <c r="L924" s="511" t="n">
        <v>2</v>
      </c>
      <c r="M924" s="500" t="inlineStr">
        <is>
          <t>T</t>
        </is>
      </c>
    </row>
    <row r="925">
      <c r="A925" s="499" t="n">
        <v>15</v>
      </c>
      <c r="B925" s="499" t="n">
        <v>3</v>
      </c>
      <c r="C925" s="499" t="n">
        <v>2</v>
      </c>
      <c r="D925" s="499" t="n">
        <v>5</v>
      </c>
      <c r="E925" s="499" t="n">
        <v>2</v>
      </c>
      <c r="F925" s="499" t="n">
        <v>2</v>
      </c>
      <c r="G925" s="499" t="inlineStr">
        <is>
          <t>North-Right1</t>
        </is>
      </c>
      <c r="H925" s="511" t="n">
        <v>2637.62</v>
      </c>
      <c r="I925" s="511" t="n">
        <v>89</v>
      </c>
      <c r="J925" s="511" t="n">
        <v>27</v>
      </c>
      <c r="K925" s="511" t="n">
        <v>57</v>
      </c>
      <c r="L925" s="511" t="n">
        <v>4</v>
      </c>
      <c r="M925" s="500" t="inlineStr">
        <is>
          <t>T</t>
        </is>
      </c>
    </row>
    <row r="926">
      <c r="A926" s="499" t="n">
        <v>15</v>
      </c>
      <c r="B926" s="499" t="n">
        <v>3</v>
      </c>
      <c r="C926" s="499" t="n">
        <v>2</v>
      </c>
      <c r="D926" s="499" t="n">
        <v>5</v>
      </c>
      <c r="E926" s="499" t="n">
        <v>2</v>
      </c>
      <c r="F926" s="499" t="n">
        <v>2</v>
      </c>
      <c r="G926" s="499" t="inlineStr">
        <is>
          <t>North-Right2</t>
        </is>
      </c>
      <c r="H926" s="511" t="n">
        <v>0</v>
      </c>
      <c r="I926" s="511" t="n">
        <v>0</v>
      </c>
      <c r="J926" s="511" t="n">
        <v>0</v>
      </c>
      <c r="K926" s="511" t="n">
        <v>0</v>
      </c>
      <c r="L926" s="511" t="n">
        <v>0</v>
      </c>
      <c r="M926" s="500" t="inlineStr">
        <is>
          <t>T</t>
        </is>
      </c>
    </row>
    <row r="927">
      <c r="A927" s="499" t="n">
        <v>15</v>
      </c>
      <c r="B927" s="499" t="n">
        <v>3</v>
      </c>
      <c r="C927" s="499" t="n">
        <v>2</v>
      </c>
      <c r="D927" s="499" t="n">
        <v>5</v>
      </c>
      <c r="E927" s="499" t="n">
        <v>2</v>
      </c>
      <c r="F927" s="499" t="n">
        <v>2</v>
      </c>
      <c r="G927" s="499" t="inlineStr">
        <is>
          <t>South-Left2</t>
        </is>
      </c>
      <c r="H927" s="511" t="n">
        <v>0</v>
      </c>
      <c r="I927" s="511" t="n">
        <v>0</v>
      </c>
      <c r="J927" s="511" t="n">
        <v>0</v>
      </c>
      <c r="K927" s="511" t="n">
        <v>0</v>
      </c>
      <c r="L927" s="511" t="n">
        <v>0</v>
      </c>
      <c r="M927" s="500" t="inlineStr">
        <is>
          <t>T</t>
        </is>
      </c>
    </row>
    <row r="928">
      <c r="A928" s="499" t="n">
        <v>15</v>
      </c>
      <c r="B928" s="499" t="n">
        <v>3</v>
      </c>
      <c r="C928" s="499" t="n">
        <v>2</v>
      </c>
      <c r="D928" s="499" t="n">
        <v>5</v>
      </c>
      <c r="E928" s="499" t="n">
        <v>2</v>
      </c>
      <c r="F928" s="499" t="n">
        <v>2</v>
      </c>
      <c r="G928" s="502" t="inlineStr">
        <is>
          <t>South-Left1</t>
        </is>
      </c>
      <c r="H928" s="511" t="n">
        <v>5251.25</v>
      </c>
      <c r="I928" s="511" t="n">
        <v>89</v>
      </c>
      <c r="J928" s="511" t="n">
        <v>56</v>
      </c>
      <c r="K928" s="511" t="n">
        <v>11</v>
      </c>
      <c r="L928" s="511" t="n">
        <v>1</v>
      </c>
      <c r="M928" s="500" t="inlineStr">
        <is>
          <t>T</t>
        </is>
      </c>
    </row>
    <row r="929">
      <c r="A929" s="499" t="n">
        <v>15</v>
      </c>
      <c r="B929" s="499" t="n">
        <v>3</v>
      </c>
      <c r="C929" s="499" t="n">
        <v>2</v>
      </c>
      <c r="D929" s="499" t="n">
        <v>5</v>
      </c>
      <c r="E929" s="499" t="n">
        <v>2</v>
      </c>
      <c r="F929" s="499" t="n">
        <v>2</v>
      </c>
      <c r="G929" s="499" t="inlineStr">
        <is>
          <t>South-Right1</t>
        </is>
      </c>
      <c r="H929" s="511" t="n">
        <v>0</v>
      </c>
      <c r="I929" s="511" t="n">
        <v>0</v>
      </c>
      <c r="J929" s="511" t="n">
        <v>0</v>
      </c>
      <c r="K929" s="511" t="n">
        <v>0</v>
      </c>
      <c r="L929" s="511" t="n">
        <v>0</v>
      </c>
      <c r="M929" s="500" t="inlineStr">
        <is>
          <t>T</t>
        </is>
      </c>
    </row>
    <row r="930">
      <c r="A930" s="499" t="n">
        <v>15</v>
      </c>
      <c r="B930" s="499" t="n">
        <v>3</v>
      </c>
      <c r="C930" s="499" t="n">
        <v>2</v>
      </c>
      <c r="D930" s="499" t="n">
        <v>5</v>
      </c>
      <c r="E930" s="499" t="n">
        <v>2</v>
      </c>
      <c r="F930" s="499" t="n">
        <v>2</v>
      </c>
      <c r="G930" s="499" t="inlineStr">
        <is>
          <t>South-Right2</t>
        </is>
      </c>
      <c r="H930" s="511" t="n">
        <v>0</v>
      </c>
      <c r="I930" s="511" t="n">
        <v>0</v>
      </c>
      <c r="J930" s="511" t="n">
        <v>0</v>
      </c>
      <c r="K930" s="511" t="n">
        <v>0</v>
      </c>
      <c r="L930" s="511" t="n">
        <v>0</v>
      </c>
      <c r="M930" s="500" t="inlineStr">
        <is>
          <t>T</t>
        </is>
      </c>
    </row>
    <row r="931">
      <c r="A931" s="485" t="n">
        <v>16</v>
      </c>
      <c r="B931" s="485" t="n">
        <v>22</v>
      </c>
      <c r="C931" s="485" t="n">
        <v>2</v>
      </c>
      <c r="D931" s="485" t="n">
        <v>17</v>
      </c>
      <c r="E931" s="485" t="n">
        <v>1</v>
      </c>
      <c r="F931" s="485" t="n">
        <v>1</v>
      </c>
      <c r="G931" s="485" t="inlineStr">
        <is>
          <t>West-Up2</t>
        </is>
      </c>
      <c r="H931" s="485" t="n">
        <v>0</v>
      </c>
      <c r="I931" s="485" t="n">
        <v>0</v>
      </c>
      <c r="J931" s="485" t="n">
        <v>0</v>
      </c>
      <c r="K931" s="485" t="n">
        <v>0</v>
      </c>
      <c r="L931" s="485" t="n">
        <v>0</v>
      </c>
      <c r="M931" s="515" t="inlineStr">
        <is>
          <t>T</t>
        </is>
      </c>
    </row>
    <row r="932">
      <c r="A932" s="485" t="n">
        <v>16</v>
      </c>
      <c r="B932" s="485" t="n">
        <v>22</v>
      </c>
      <c r="C932" s="485" t="n">
        <v>2</v>
      </c>
      <c r="D932" s="485" t="n">
        <v>17</v>
      </c>
      <c r="E932" s="485" t="n">
        <v>1</v>
      </c>
      <c r="F932" s="485" t="n">
        <v>1</v>
      </c>
      <c r="G932" s="516" t="inlineStr">
        <is>
          <t>West-Up1</t>
        </is>
      </c>
      <c r="H932" s="485" t="n">
        <v>5280</v>
      </c>
      <c r="I932" s="485" t="n">
        <v>0</v>
      </c>
      <c r="J932" s="485" t="n">
        <v>3</v>
      </c>
      <c r="K932" s="485" t="n">
        <v>0</v>
      </c>
      <c r="L932" s="485" t="n">
        <v>4</v>
      </c>
      <c r="M932" s="515" t="inlineStr">
        <is>
          <t>T</t>
        </is>
      </c>
    </row>
    <row r="933">
      <c r="A933" s="485" t="n">
        <v>16</v>
      </c>
      <c r="B933" s="485" t="n">
        <v>22</v>
      </c>
      <c r="C933" s="485" t="n">
        <v>2</v>
      </c>
      <c r="D933" s="485" t="n">
        <v>17</v>
      </c>
      <c r="E933" s="485" t="n">
        <v>1</v>
      </c>
      <c r="F933" s="485" t="n">
        <v>1</v>
      </c>
      <c r="G933" s="485" t="inlineStr">
        <is>
          <t>West-Down1</t>
        </is>
      </c>
      <c r="H933" s="485" t="n">
        <v>0</v>
      </c>
      <c r="I933" s="485" t="n">
        <v>0</v>
      </c>
      <c r="J933" s="485" t="n">
        <v>0</v>
      </c>
      <c r="K933" s="485" t="n">
        <v>0</v>
      </c>
      <c r="L933" s="485" t="n">
        <v>0</v>
      </c>
      <c r="M933" s="515" t="inlineStr">
        <is>
          <t>T</t>
        </is>
      </c>
    </row>
    <row r="934">
      <c r="A934" s="485" t="n">
        <v>16</v>
      </c>
      <c r="B934" s="485" t="n">
        <v>22</v>
      </c>
      <c r="C934" s="485" t="n">
        <v>2</v>
      </c>
      <c r="D934" s="485" t="n">
        <v>17</v>
      </c>
      <c r="E934" s="485" t="n">
        <v>1</v>
      </c>
      <c r="F934" s="485" t="n">
        <v>1</v>
      </c>
      <c r="G934" s="485" t="inlineStr">
        <is>
          <t>West-Down2</t>
        </is>
      </c>
      <c r="H934" s="485" t="n">
        <v>0</v>
      </c>
      <c r="I934" s="485" t="n">
        <v>0</v>
      </c>
      <c r="J934" s="485" t="n">
        <v>0</v>
      </c>
      <c r="K934" s="485" t="n">
        <v>0</v>
      </c>
      <c r="L934" s="485" t="n">
        <v>0</v>
      </c>
      <c r="M934" s="515" t="inlineStr">
        <is>
          <t>T</t>
        </is>
      </c>
    </row>
    <row r="935">
      <c r="A935" s="485" t="n">
        <v>16</v>
      </c>
      <c r="B935" s="485" t="n">
        <v>22</v>
      </c>
      <c r="C935" s="485" t="n">
        <v>2</v>
      </c>
      <c r="D935" s="485" t="n">
        <v>17</v>
      </c>
      <c r="E935" s="485" t="n">
        <v>1</v>
      </c>
      <c r="F935" s="485" t="n">
        <v>1</v>
      </c>
      <c r="G935" s="485" t="inlineStr">
        <is>
          <t>East-Up2</t>
        </is>
      </c>
      <c r="H935" s="485" t="n">
        <v>0</v>
      </c>
      <c r="I935" s="485" t="n">
        <v>0</v>
      </c>
      <c r="J935" s="485" t="n">
        <v>0</v>
      </c>
      <c r="K935" s="485" t="n">
        <v>0</v>
      </c>
      <c r="L935" s="485" t="n">
        <v>0</v>
      </c>
      <c r="M935" s="515" t="inlineStr">
        <is>
          <t>T</t>
        </is>
      </c>
    </row>
    <row r="936">
      <c r="A936" s="485" t="n">
        <v>16</v>
      </c>
      <c r="B936" s="485" t="n">
        <v>22</v>
      </c>
      <c r="C936" s="485" t="n">
        <v>2</v>
      </c>
      <c r="D936" s="485" t="n">
        <v>17</v>
      </c>
      <c r="E936" s="485" t="n">
        <v>1</v>
      </c>
      <c r="F936" s="485" t="n">
        <v>1</v>
      </c>
      <c r="G936" s="516" t="inlineStr">
        <is>
          <t>East-Up1</t>
        </is>
      </c>
      <c r="H936" s="485" t="n">
        <v>2631.41</v>
      </c>
      <c r="I936" s="485" t="n">
        <v>0</v>
      </c>
      <c r="J936" s="485" t="n">
        <v>2</v>
      </c>
      <c r="K936" s="485" t="n">
        <v>56</v>
      </c>
      <c r="L936" s="485" t="n">
        <v>2</v>
      </c>
      <c r="M936" s="515" t="inlineStr">
        <is>
          <t>T</t>
        </is>
      </c>
    </row>
    <row r="937">
      <c r="A937" s="485" t="n">
        <v>16</v>
      </c>
      <c r="B937" s="485" t="n">
        <v>22</v>
      </c>
      <c r="C937" s="485" t="n">
        <v>2</v>
      </c>
      <c r="D937" s="485" t="n">
        <v>17</v>
      </c>
      <c r="E937" s="485" t="n">
        <v>1</v>
      </c>
      <c r="F937" s="485" t="n">
        <v>1</v>
      </c>
      <c r="G937" s="485" t="inlineStr">
        <is>
          <t>East-Down1</t>
        </is>
      </c>
      <c r="H937" s="485" t="n">
        <v>2641.2</v>
      </c>
      <c r="I937" s="485" t="n">
        <v>0</v>
      </c>
      <c r="J937" s="485" t="n">
        <v>0</v>
      </c>
      <c r="K937" s="485" t="n">
        <v>0</v>
      </c>
      <c r="L937" s="485" t="n">
        <v>3</v>
      </c>
      <c r="M937" s="515" t="inlineStr">
        <is>
          <t>T</t>
        </is>
      </c>
    </row>
    <row r="938">
      <c r="A938" s="485" t="n">
        <v>16</v>
      </c>
      <c r="B938" s="485" t="n">
        <v>22</v>
      </c>
      <c r="C938" s="485" t="n">
        <v>2</v>
      </c>
      <c r="D938" s="485" t="n">
        <v>17</v>
      </c>
      <c r="E938" s="485" t="n">
        <v>1</v>
      </c>
      <c r="F938" s="485" t="n">
        <v>1</v>
      </c>
      <c r="G938" s="485" t="inlineStr">
        <is>
          <t>East-Down2</t>
        </is>
      </c>
      <c r="H938" s="485" t="n">
        <v>0</v>
      </c>
      <c r="I938" s="485" t="n">
        <v>0</v>
      </c>
      <c r="J938" s="485" t="n">
        <v>0</v>
      </c>
      <c r="K938" s="485" t="n">
        <v>0</v>
      </c>
      <c r="L938" s="485" t="n">
        <v>0</v>
      </c>
      <c r="M938" s="515" t="inlineStr">
        <is>
          <t>T</t>
        </is>
      </c>
    </row>
    <row r="939">
      <c r="A939" s="485" t="n">
        <v>16</v>
      </c>
      <c r="B939" s="485" t="n">
        <v>22</v>
      </c>
      <c r="C939" s="485" t="n">
        <v>2</v>
      </c>
      <c r="D939" s="485" t="n">
        <v>17</v>
      </c>
      <c r="E939" s="485" t="n">
        <v>1</v>
      </c>
      <c r="F939" s="485" t="n">
        <v>1</v>
      </c>
      <c r="G939" s="485" t="inlineStr">
        <is>
          <t>North-Left2</t>
        </is>
      </c>
      <c r="H939" s="485" t="n">
        <v>0</v>
      </c>
      <c r="I939" s="485" t="n">
        <v>0</v>
      </c>
      <c r="J939" s="485" t="n">
        <v>0</v>
      </c>
      <c r="K939" s="485" t="n">
        <v>0</v>
      </c>
      <c r="L939" s="485" t="n">
        <v>0</v>
      </c>
      <c r="M939" s="515" t="inlineStr">
        <is>
          <t>T</t>
        </is>
      </c>
    </row>
    <row r="940">
      <c r="A940" s="485" t="n">
        <v>16</v>
      </c>
      <c r="B940" s="485" t="n">
        <v>22</v>
      </c>
      <c r="C940" s="485" t="n">
        <v>2</v>
      </c>
      <c r="D940" s="485" t="n">
        <v>17</v>
      </c>
      <c r="E940" s="485" t="n">
        <v>1</v>
      </c>
      <c r="F940" s="485" t="n">
        <v>1</v>
      </c>
      <c r="G940" s="516" t="inlineStr">
        <is>
          <t>North-Left1</t>
        </is>
      </c>
      <c r="H940" s="485" t="n">
        <v>2640.04</v>
      </c>
      <c r="I940" s="485" t="n">
        <v>89</v>
      </c>
      <c r="J940" s="485" t="n">
        <v>59</v>
      </c>
      <c r="K940" s="485" t="n">
        <v>0</v>
      </c>
      <c r="L940" s="485" t="n">
        <v>4</v>
      </c>
      <c r="M940" s="515" t="inlineStr">
        <is>
          <t>T</t>
        </is>
      </c>
    </row>
    <row r="941">
      <c r="A941" s="485" t="n">
        <v>16</v>
      </c>
      <c r="B941" s="485" t="n">
        <v>22</v>
      </c>
      <c r="C941" s="485" t="n">
        <v>2</v>
      </c>
      <c r="D941" s="485" t="n">
        <v>17</v>
      </c>
      <c r="E941" s="485" t="n">
        <v>1</v>
      </c>
      <c r="F941" s="485" t="n">
        <v>1</v>
      </c>
      <c r="G941" s="485" t="inlineStr">
        <is>
          <t>North-Right1</t>
        </is>
      </c>
      <c r="H941" s="485" t="n">
        <v>2660.22</v>
      </c>
      <c r="I941" s="485" t="n">
        <v>89</v>
      </c>
      <c r="J941" s="485" t="n">
        <v>50</v>
      </c>
      <c r="K941" s="485" t="n">
        <v>8</v>
      </c>
      <c r="L941" s="485" t="n">
        <v>3</v>
      </c>
      <c r="M941" s="515" t="inlineStr">
        <is>
          <t>T</t>
        </is>
      </c>
    </row>
    <row r="942">
      <c r="A942" s="485" t="n">
        <v>16</v>
      </c>
      <c r="B942" s="485" t="n">
        <v>22</v>
      </c>
      <c r="C942" s="485" t="n">
        <v>2</v>
      </c>
      <c r="D942" s="485" t="n">
        <v>17</v>
      </c>
      <c r="E942" s="485" t="n">
        <v>1</v>
      </c>
      <c r="F942" s="485" t="n">
        <v>1</v>
      </c>
      <c r="G942" s="485" t="inlineStr">
        <is>
          <t>North-Right2</t>
        </is>
      </c>
      <c r="H942" s="485" t="n">
        <v>0</v>
      </c>
      <c r="I942" s="485" t="n">
        <v>0</v>
      </c>
      <c r="J942" s="485" t="n">
        <v>0</v>
      </c>
      <c r="K942" s="485" t="n">
        <v>0</v>
      </c>
      <c r="L942" s="485" t="n">
        <v>0</v>
      </c>
      <c r="M942" s="515" t="inlineStr">
        <is>
          <t>T</t>
        </is>
      </c>
    </row>
    <row r="943">
      <c r="A943" s="485" t="n">
        <v>16</v>
      </c>
      <c r="B943" s="485" t="n">
        <v>22</v>
      </c>
      <c r="C943" s="485" t="n">
        <v>2</v>
      </c>
      <c r="D943" s="485" t="n">
        <v>17</v>
      </c>
      <c r="E943" s="485" t="n">
        <v>1</v>
      </c>
      <c r="F943" s="485" t="n">
        <v>1</v>
      </c>
      <c r="G943" s="485" t="inlineStr">
        <is>
          <t>South-Left2</t>
        </is>
      </c>
      <c r="H943" s="485" t="n">
        <v>0</v>
      </c>
      <c r="I943" s="485" t="n">
        <v>0</v>
      </c>
      <c r="J943" s="485" t="n">
        <v>0</v>
      </c>
      <c r="K943" s="485" t="n">
        <v>0</v>
      </c>
      <c r="L943" s="485" t="n">
        <v>0</v>
      </c>
      <c r="M943" s="515" t="inlineStr">
        <is>
          <t>T</t>
        </is>
      </c>
    </row>
    <row r="944">
      <c r="A944" s="485" t="n">
        <v>16</v>
      </c>
      <c r="B944" s="485" t="n">
        <v>22</v>
      </c>
      <c r="C944" s="485" t="n">
        <v>2</v>
      </c>
      <c r="D944" s="485" t="n">
        <v>17</v>
      </c>
      <c r="E944" s="485" t="n">
        <v>1</v>
      </c>
      <c r="F944" s="485" t="n">
        <v>1</v>
      </c>
      <c r="G944" s="516" t="inlineStr">
        <is>
          <t>South-Left1</t>
        </is>
      </c>
      <c r="H944" s="485" t="n">
        <v>2640.02</v>
      </c>
      <c r="I944" s="485" t="n">
        <v>89</v>
      </c>
      <c r="J944" s="485" t="n">
        <v>56</v>
      </c>
      <c r="K944" s="485" t="n">
        <v>0</v>
      </c>
      <c r="L944" s="485" t="n">
        <v>4</v>
      </c>
      <c r="M944" s="515" t="inlineStr">
        <is>
          <t>T</t>
        </is>
      </c>
    </row>
    <row r="945">
      <c r="A945" s="485" t="n">
        <v>16</v>
      </c>
      <c r="B945" s="485" t="n">
        <v>22</v>
      </c>
      <c r="C945" s="485" t="n">
        <v>2</v>
      </c>
      <c r="D945" s="485" t="n">
        <v>17</v>
      </c>
      <c r="E945" s="485" t="n">
        <v>1</v>
      </c>
      <c r="F945" s="485" t="n">
        <v>1</v>
      </c>
      <c r="G945" s="485" t="inlineStr">
        <is>
          <t>South-Right1</t>
        </is>
      </c>
      <c r="H945" s="485" t="n">
        <v>2643.62</v>
      </c>
      <c r="I945" s="485" t="n">
        <v>89</v>
      </c>
      <c r="J945" s="485" t="n">
        <v>44</v>
      </c>
      <c r="K945" s="485" t="n">
        <v>31</v>
      </c>
      <c r="L945" s="485" t="n">
        <v>1</v>
      </c>
      <c r="M945" s="515" t="inlineStr">
        <is>
          <t>T</t>
        </is>
      </c>
    </row>
    <row r="946">
      <c r="A946" s="485" t="n">
        <v>16</v>
      </c>
      <c r="B946" s="485" t="n">
        <v>22</v>
      </c>
      <c r="C946" s="485" t="n">
        <v>2</v>
      </c>
      <c r="D946" s="485" t="n">
        <v>17</v>
      </c>
      <c r="E946" s="485" t="n">
        <v>1</v>
      </c>
      <c r="F946" s="485" t="n">
        <v>1</v>
      </c>
      <c r="G946" s="485" t="inlineStr">
        <is>
          <t>South-Right2</t>
        </is>
      </c>
      <c r="H946" s="485" t="n">
        <v>0</v>
      </c>
      <c r="I946" s="485" t="n">
        <v>0</v>
      </c>
      <c r="J946" s="485" t="n">
        <v>0</v>
      </c>
      <c r="K946" s="485" t="n">
        <v>0</v>
      </c>
      <c r="L946" s="485" t="n">
        <v>0</v>
      </c>
      <c r="M946" s="515" t="inlineStr">
        <is>
          <t>T</t>
        </is>
      </c>
    </row>
    <row r="947">
      <c r="A947" s="485" t="n">
        <v>16</v>
      </c>
      <c r="B947" s="485" t="n">
        <v>7</v>
      </c>
      <c r="C947" s="485" t="n">
        <v>2</v>
      </c>
      <c r="D947" s="485" t="n">
        <v>20</v>
      </c>
      <c r="E947" s="485" t="n">
        <v>1</v>
      </c>
      <c r="F947" s="485" t="n">
        <v>1</v>
      </c>
      <c r="G947" s="485" t="inlineStr">
        <is>
          <t>West-Up2</t>
        </is>
      </c>
      <c r="H947" s="485" t="n">
        <v>0</v>
      </c>
      <c r="I947" s="485" t="n">
        <v>0</v>
      </c>
      <c r="J947" s="485" t="n">
        <v>0</v>
      </c>
      <c r="K947" s="485" t="n">
        <v>0</v>
      </c>
      <c r="L947" s="485" t="n">
        <v>0</v>
      </c>
      <c r="M947" s="514" t="inlineStr">
        <is>
          <t>G</t>
        </is>
      </c>
    </row>
    <row r="948">
      <c r="A948" s="485" t="n">
        <v>16</v>
      </c>
      <c r="B948" s="485" t="n">
        <v>7</v>
      </c>
      <c r="C948" s="485" t="n">
        <v>2</v>
      </c>
      <c r="D948" s="485" t="n">
        <v>20</v>
      </c>
      <c r="E948" s="485" t="n">
        <v>1</v>
      </c>
      <c r="F948" s="485" t="n">
        <v>1</v>
      </c>
      <c r="G948" s="516" t="inlineStr">
        <is>
          <t>West-Up1</t>
        </is>
      </c>
      <c r="H948" s="485" t="n">
        <v>2628.82</v>
      </c>
      <c r="I948" s="485" t="n">
        <v>1</v>
      </c>
      <c r="J948" s="485" t="n">
        <v>48</v>
      </c>
      <c r="K948" s="485" t="n">
        <v>48</v>
      </c>
      <c r="L948" s="485" t="n">
        <v>4</v>
      </c>
      <c r="M948" s="514" t="inlineStr">
        <is>
          <t>G</t>
        </is>
      </c>
    </row>
    <row r="949">
      <c r="A949" s="485" t="n">
        <v>16</v>
      </c>
      <c r="B949" s="485" t="n">
        <v>7</v>
      </c>
      <c r="C949" s="485" t="n">
        <v>2</v>
      </c>
      <c r="D949" s="485" t="n">
        <v>20</v>
      </c>
      <c r="E949" s="485" t="n">
        <v>1</v>
      </c>
      <c r="F949" s="485" t="n">
        <v>1</v>
      </c>
      <c r="G949" s="485" t="inlineStr">
        <is>
          <t>West-Down1</t>
        </is>
      </c>
      <c r="H949" s="485" t="n">
        <v>1332.57</v>
      </c>
      <c r="I949" s="485" t="n">
        <v>1</v>
      </c>
      <c r="J949" s="485" t="n">
        <v>30</v>
      </c>
      <c r="K949" s="485" t="n">
        <v>29</v>
      </c>
      <c r="L949" s="485" t="n">
        <v>4</v>
      </c>
      <c r="M949" s="514" t="inlineStr">
        <is>
          <t>G</t>
        </is>
      </c>
    </row>
    <row r="950">
      <c r="A950" s="485" t="n">
        <v>16</v>
      </c>
      <c r="B950" s="485" t="n">
        <v>7</v>
      </c>
      <c r="C950" s="485" t="n">
        <v>2</v>
      </c>
      <c r="D950" s="485" t="n">
        <v>20</v>
      </c>
      <c r="E950" s="485" t="n">
        <v>1</v>
      </c>
      <c r="F950" s="485" t="n">
        <v>1</v>
      </c>
      <c r="G950" s="485" t="inlineStr">
        <is>
          <t>West-Down2</t>
        </is>
      </c>
      <c r="H950" s="485" t="n">
        <v>1286.38</v>
      </c>
      <c r="I950" s="485" t="n">
        <v>1</v>
      </c>
      <c r="J950" s="485" t="n">
        <v>41</v>
      </c>
      <c r="K950" s="485" t="n">
        <v>46</v>
      </c>
      <c r="L950" s="485" t="n">
        <v>4</v>
      </c>
      <c r="M950" s="514" t="inlineStr">
        <is>
          <t>G</t>
        </is>
      </c>
    </row>
    <row r="951">
      <c r="A951" s="485" t="n">
        <v>16</v>
      </c>
      <c r="B951" s="485" t="n">
        <v>7</v>
      </c>
      <c r="C951" s="485" t="n">
        <v>2</v>
      </c>
      <c r="D951" s="485" t="n">
        <v>20</v>
      </c>
      <c r="E951" s="485" t="n">
        <v>1</v>
      </c>
      <c r="F951" s="485" t="n">
        <v>1</v>
      </c>
      <c r="G951" s="485" t="inlineStr">
        <is>
          <t>East-Up2</t>
        </is>
      </c>
      <c r="H951" s="485" t="n">
        <v>0</v>
      </c>
      <c r="I951" s="485" t="n">
        <v>0</v>
      </c>
      <c r="J951" s="485" t="n">
        <v>0</v>
      </c>
      <c r="K951" s="485" t="n">
        <v>0</v>
      </c>
      <c r="L951" s="485" t="n">
        <v>0</v>
      </c>
      <c r="M951" s="514" t="inlineStr">
        <is>
          <t>G</t>
        </is>
      </c>
    </row>
    <row r="952">
      <c r="A952" s="485" t="n">
        <v>16</v>
      </c>
      <c r="B952" s="485" t="n">
        <v>7</v>
      </c>
      <c r="C952" s="485" t="n">
        <v>2</v>
      </c>
      <c r="D952" s="485" t="n">
        <v>20</v>
      </c>
      <c r="E952" s="485" t="n">
        <v>1</v>
      </c>
      <c r="F952" s="485" t="n">
        <v>1</v>
      </c>
      <c r="G952" s="516" t="inlineStr">
        <is>
          <t>East-Up1</t>
        </is>
      </c>
      <c r="H952" s="485" t="n">
        <v>2557.67</v>
      </c>
      <c r="I952" s="485" t="n">
        <v>1</v>
      </c>
      <c r="J952" s="485" t="n">
        <v>45</v>
      </c>
      <c r="K952" s="485" t="n">
        <v>15</v>
      </c>
      <c r="L952" s="485" t="n">
        <v>4</v>
      </c>
      <c r="M952" s="514" t="inlineStr">
        <is>
          <t>G</t>
        </is>
      </c>
    </row>
    <row r="953">
      <c r="A953" s="485" t="n">
        <v>16</v>
      </c>
      <c r="B953" s="485" t="n">
        <v>7</v>
      </c>
      <c r="C953" s="485" t="n">
        <v>2</v>
      </c>
      <c r="D953" s="485" t="n">
        <v>20</v>
      </c>
      <c r="E953" s="485" t="n">
        <v>1</v>
      </c>
      <c r="F953" s="485" t="n">
        <v>1</v>
      </c>
      <c r="G953" s="485" t="inlineStr">
        <is>
          <t>East-Down1</t>
        </is>
      </c>
      <c r="H953" s="485" t="n">
        <v>2630.11</v>
      </c>
      <c r="I953" s="485" t="n">
        <v>1</v>
      </c>
      <c r="J953" s="485" t="n">
        <v>54</v>
      </c>
      <c r="K953" s="485" t="n">
        <v>58</v>
      </c>
      <c r="L953" s="485" t="n">
        <v>4</v>
      </c>
      <c r="M953" s="514" t="inlineStr">
        <is>
          <t>G</t>
        </is>
      </c>
    </row>
    <row r="954">
      <c r="A954" s="485" t="n">
        <v>16</v>
      </c>
      <c r="B954" s="485" t="n">
        <v>7</v>
      </c>
      <c r="C954" s="485" t="n">
        <v>2</v>
      </c>
      <c r="D954" s="485" t="n">
        <v>20</v>
      </c>
      <c r="E954" s="485" t="n">
        <v>1</v>
      </c>
      <c r="F954" s="485" t="n">
        <v>1</v>
      </c>
      <c r="G954" s="485" t="inlineStr">
        <is>
          <t>East-Down2</t>
        </is>
      </c>
      <c r="H954" s="485" t="n">
        <v>0</v>
      </c>
      <c r="I954" s="485" t="n">
        <v>0</v>
      </c>
      <c r="J954" s="485" t="n">
        <v>0</v>
      </c>
      <c r="K954" s="485" t="n">
        <v>0</v>
      </c>
      <c r="L954" s="485" t="n">
        <v>0</v>
      </c>
      <c r="M954" s="514" t="inlineStr">
        <is>
          <t>G</t>
        </is>
      </c>
    </row>
    <row r="955">
      <c r="A955" s="485" t="n">
        <v>16</v>
      </c>
      <c r="B955" s="485" t="n">
        <v>7</v>
      </c>
      <c r="C955" s="485" t="n">
        <v>2</v>
      </c>
      <c r="D955" s="485" t="n">
        <v>20</v>
      </c>
      <c r="E955" s="485" t="n">
        <v>1</v>
      </c>
      <c r="F955" s="485" t="n">
        <v>1</v>
      </c>
      <c r="G955" s="485" t="inlineStr">
        <is>
          <t>North-Left2</t>
        </is>
      </c>
      <c r="H955" s="485" t="n">
        <v>0</v>
      </c>
      <c r="I955" s="485" t="n">
        <v>0</v>
      </c>
      <c r="J955" s="485" t="n">
        <v>0</v>
      </c>
      <c r="K955" s="485" t="n">
        <v>0</v>
      </c>
      <c r="L955" s="485" t="n">
        <v>0</v>
      </c>
      <c r="M955" s="514" t="inlineStr">
        <is>
          <t>G</t>
        </is>
      </c>
    </row>
    <row r="956">
      <c r="A956" s="485" t="n">
        <v>16</v>
      </c>
      <c r="B956" s="485" t="n">
        <v>7</v>
      </c>
      <c r="C956" s="485" t="n">
        <v>2</v>
      </c>
      <c r="D956" s="485" t="n">
        <v>20</v>
      </c>
      <c r="E956" s="485" t="n">
        <v>1</v>
      </c>
      <c r="F956" s="485" t="n">
        <v>1</v>
      </c>
      <c r="G956" s="516" t="inlineStr">
        <is>
          <t>North-Left1</t>
        </is>
      </c>
      <c r="H956" s="485" t="n">
        <v>2663.64</v>
      </c>
      <c r="I956" s="485" t="n">
        <v>88</v>
      </c>
      <c r="J956" s="485" t="n">
        <v>19</v>
      </c>
      <c r="K956" s="485" t="n">
        <v>28</v>
      </c>
      <c r="L956" s="485" t="n">
        <v>3</v>
      </c>
      <c r="M956" s="514" t="inlineStr">
        <is>
          <t>G</t>
        </is>
      </c>
    </row>
    <row r="957">
      <c r="A957" s="485" t="n">
        <v>16</v>
      </c>
      <c r="B957" s="485" t="n">
        <v>7</v>
      </c>
      <c r="C957" s="485" t="n">
        <v>2</v>
      </c>
      <c r="D957" s="485" t="n">
        <v>20</v>
      </c>
      <c r="E957" s="485" t="n">
        <v>1</v>
      </c>
      <c r="F957" s="485" t="n">
        <v>1</v>
      </c>
      <c r="G957" s="485" t="inlineStr">
        <is>
          <t>North-Right1</t>
        </is>
      </c>
      <c r="H957" s="485" t="n">
        <v>2660.25</v>
      </c>
      <c r="I957" s="485" t="n">
        <v>89</v>
      </c>
      <c r="J957" s="485" t="n">
        <v>4</v>
      </c>
      <c r="K957" s="485" t="n">
        <v>56</v>
      </c>
      <c r="L957" s="485" t="n">
        <v>3</v>
      </c>
      <c r="M957" s="514" t="inlineStr">
        <is>
          <t>G</t>
        </is>
      </c>
    </row>
    <row r="958">
      <c r="A958" s="485" t="n">
        <v>16</v>
      </c>
      <c r="B958" s="485" t="n">
        <v>7</v>
      </c>
      <c r="C958" s="485" t="n">
        <v>2</v>
      </c>
      <c r="D958" s="485" t="n">
        <v>20</v>
      </c>
      <c r="E958" s="485" t="n">
        <v>1</v>
      </c>
      <c r="F958" s="485" t="n">
        <v>1</v>
      </c>
      <c r="G958" s="485" t="inlineStr">
        <is>
          <t>North-Right2</t>
        </is>
      </c>
      <c r="H958" s="485" t="n">
        <v>0</v>
      </c>
      <c r="I958" s="485" t="n">
        <v>0</v>
      </c>
      <c r="J958" s="485" t="n">
        <v>0</v>
      </c>
      <c r="K958" s="485" t="n">
        <v>0</v>
      </c>
      <c r="L958" s="485" t="n">
        <v>0</v>
      </c>
      <c r="M958" s="514" t="inlineStr">
        <is>
          <t>G</t>
        </is>
      </c>
    </row>
    <row r="959">
      <c r="A959" s="485" t="n">
        <v>16</v>
      </c>
      <c r="B959" s="485" t="n">
        <v>7</v>
      </c>
      <c r="C959" s="485" t="n">
        <v>2</v>
      </c>
      <c r="D959" s="485" t="n">
        <v>20</v>
      </c>
      <c r="E959" s="485" t="n">
        <v>1</v>
      </c>
      <c r="F959" s="485" t="n">
        <v>1</v>
      </c>
      <c r="G959" s="485" t="inlineStr">
        <is>
          <t>South-Left2</t>
        </is>
      </c>
      <c r="H959" s="485" t="n">
        <v>0</v>
      </c>
      <c r="I959" s="485" t="n">
        <v>0</v>
      </c>
      <c r="J959" s="485" t="n">
        <v>0</v>
      </c>
      <c r="K959" s="485" t="n">
        <v>0</v>
      </c>
      <c r="L959" s="485" t="n">
        <v>0</v>
      </c>
      <c r="M959" s="514" t="inlineStr">
        <is>
          <t>G</t>
        </is>
      </c>
    </row>
    <row r="960">
      <c r="A960" s="485" t="n">
        <v>16</v>
      </c>
      <c r="B960" s="485" t="n">
        <v>7</v>
      </c>
      <c r="C960" s="485" t="n">
        <v>2</v>
      </c>
      <c r="D960" s="485" t="n">
        <v>20</v>
      </c>
      <c r="E960" s="485" t="n">
        <v>1</v>
      </c>
      <c r="F960" s="485" t="n">
        <v>1</v>
      </c>
      <c r="G960" s="516" t="inlineStr">
        <is>
          <t>South-Left1</t>
        </is>
      </c>
      <c r="H960" s="485" t="n">
        <v>2669.01</v>
      </c>
      <c r="I960" s="485" t="n">
        <v>88</v>
      </c>
      <c r="J960" s="485" t="n">
        <v>4</v>
      </c>
      <c r="K960" s="485" t="n">
        <v>28</v>
      </c>
      <c r="L960" s="485" t="n">
        <v>3</v>
      </c>
      <c r="M960" s="514" t="inlineStr">
        <is>
          <t>G</t>
        </is>
      </c>
    </row>
    <row r="961">
      <c r="A961" s="485" t="n">
        <v>16</v>
      </c>
      <c r="B961" s="485" t="n">
        <v>7</v>
      </c>
      <c r="C961" s="485" t="n">
        <v>2</v>
      </c>
      <c r="D961" s="485" t="n">
        <v>20</v>
      </c>
      <c r="E961" s="485" t="n">
        <v>1</v>
      </c>
      <c r="F961" s="485" t="n">
        <v>1</v>
      </c>
      <c r="G961" s="485" t="inlineStr">
        <is>
          <t>South-Right1</t>
        </is>
      </c>
      <c r="H961" s="485" t="n">
        <v>2666.37</v>
      </c>
      <c r="I961" s="485" t="n">
        <v>88</v>
      </c>
      <c r="J961" s="485" t="n">
        <v>2</v>
      </c>
      <c r="K961" s="485" t="n">
        <v>28</v>
      </c>
      <c r="L961" s="485" t="n">
        <v>3</v>
      </c>
      <c r="M961" s="514" t="inlineStr">
        <is>
          <t>G</t>
        </is>
      </c>
    </row>
    <row r="962">
      <c r="A962" s="485" t="n">
        <v>16</v>
      </c>
      <c r="B962" s="485" t="n">
        <v>7</v>
      </c>
      <c r="C962" s="485" t="n">
        <v>2</v>
      </c>
      <c r="D962" s="485" t="n">
        <v>20</v>
      </c>
      <c r="E962" s="485" t="n">
        <v>1</v>
      </c>
      <c r="F962" s="485" t="n">
        <v>1</v>
      </c>
      <c r="G962" s="485" t="inlineStr">
        <is>
          <t>South-Right2</t>
        </is>
      </c>
      <c r="H962" s="485" t="n">
        <v>0</v>
      </c>
      <c r="I962" s="485" t="n">
        <v>0</v>
      </c>
      <c r="J962" s="485" t="n">
        <v>0</v>
      </c>
      <c r="K962" s="485" t="n">
        <v>0</v>
      </c>
      <c r="L962" s="485" t="n">
        <v>0</v>
      </c>
      <c r="M962" s="514" t="inlineStr">
        <is>
          <t>G</t>
        </is>
      </c>
    </row>
    <row r="963">
      <c r="A963" s="486" t="n">
        <v>16</v>
      </c>
      <c r="B963" s="486" t="n">
        <v>7</v>
      </c>
      <c r="C963" s="486" t="n">
        <v>2</v>
      </c>
      <c r="D963" s="486" t="n">
        <v>23</v>
      </c>
      <c r="E963" s="486" t="n">
        <v>1</v>
      </c>
      <c r="F963" s="486" t="n">
        <v>1</v>
      </c>
      <c r="G963" s="486" t="inlineStr">
        <is>
          <t>West-Up2</t>
        </is>
      </c>
      <c r="H963" s="486" t="n">
        <v>0</v>
      </c>
      <c r="I963" s="486" t="n">
        <v>0</v>
      </c>
      <c r="J963" s="486" t="n">
        <v>0</v>
      </c>
      <c r="K963" s="486" t="n">
        <v>0</v>
      </c>
      <c r="L963" s="486" t="n">
        <v>0</v>
      </c>
      <c r="M963" s="487" t="inlineStr">
        <is>
          <t>T</t>
        </is>
      </c>
    </row>
    <row r="964">
      <c r="A964" s="486" t="n">
        <v>16</v>
      </c>
      <c r="B964" s="486" t="n">
        <v>7</v>
      </c>
      <c r="C964" s="486" t="n">
        <v>2</v>
      </c>
      <c r="D964" s="486" t="n">
        <v>23</v>
      </c>
      <c r="E964" s="486" t="n">
        <v>1</v>
      </c>
      <c r="F964" s="486" t="n">
        <v>1</v>
      </c>
      <c r="G964" s="475" t="inlineStr">
        <is>
          <t>West-Up1</t>
        </is>
      </c>
      <c r="H964" s="486" t="n">
        <v>2653.47</v>
      </c>
      <c r="I964" s="486" t="n">
        <v>0</v>
      </c>
      <c r="J964" s="486" t="n">
        <v>8</v>
      </c>
      <c r="K964" s="486" t="n">
        <v>1</v>
      </c>
      <c r="L964" s="486" t="n">
        <v>4</v>
      </c>
      <c r="M964" s="487" t="inlineStr">
        <is>
          <t>T</t>
        </is>
      </c>
    </row>
    <row r="965">
      <c r="A965" s="486" t="n">
        <v>16</v>
      </c>
      <c r="B965" s="486" t="n">
        <v>7</v>
      </c>
      <c r="C965" s="486" t="n">
        <v>2</v>
      </c>
      <c r="D965" s="486" t="n">
        <v>23</v>
      </c>
      <c r="E965" s="486" t="n">
        <v>1</v>
      </c>
      <c r="F965" s="486" t="n">
        <v>1</v>
      </c>
      <c r="G965" s="486" t="inlineStr">
        <is>
          <t>West-Down1</t>
        </is>
      </c>
      <c r="H965" s="486" t="n">
        <v>2639.63</v>
      </c>
      <c r="I965" s="486" t="n">
        <v>0</v>
      </c>
      <c r="J965" s="486" t="n">
        <v>8</v>
      </c>
      <c r="K965" s="486" t="n">
        <v>6</v>
      </c>
      <c r="L965" s="486" t="n">
        <v>4</v>
      </c>
      <c r="M965" s="487" t="inlineStr">
        <is>
          <t>T</t>
        </is>
      </c>
    </row>
    <row r="966">
      <c r="A966" s="486" t="n">
        <v>16</v>
      </c>
      <c r="B966" s="486" t="n">
        <v>7</v>
      </c>
      <c r="C966" s="486" t="n">
        <v>2</v>
      </c>
      <c r="D966" s="486" t="n">
        <v>23</v>
      </c>
      <c r="E966" s="486" t="n">
        <v>1</v>
      </c>
      <c r="F966" s="486" t="n">
        <v>1</v>
      </c>
      <c r="G966" s="486" t="inlineStr">
        <is>
          <t>West-Down2</t>
        </is>
      </c>
      <c r="H966" s="486" t="n">
        <v>0</v>
      </c>
      <c r="I966" s="486" t="n">
        <v>0</v>
      </c>
      <c r="J966" s="486" t="n">
        <v>0</v>
      </c>
      <c r="K966" s="486" t="n">
        <v>0</v>
      </c>
      <c r="L966" s="486" t="n">
        <v>0</v>
      </c>
      <c r="M966" s="487" t="inlineStr">
        <is>
          <t>T</t>
        </is>
      </c>
    </row>
    <row r="967">
      <c r="A967" s="486" t="n">
        <v>16</v>
      </c>
      <c r="B967" s="486" t="n">
        <v>7</v>
      </c>
      <c r="C967" s="486" t="n">
        <v>2</v>
      </c>
      <c r="D967" s="486" t="n">
        <v>23</v>
      </c>
      <c r="E967" s="486" t="n">
        <v>1</v>
      </c>
      <c r="F967" s="486" t="n">
        <v>1</v>
      </c>
      <c r="G967" s="486" t="inlineStr">
        <is>
          <t>East-Up2</t>
        </is>
      </c>
      <c r="H967" s="486" t="n">
        <v>0</v>
      </c>
      <c r="I967" s="486" t="n">
        <v>0</v>
      </c>
      <c r="J967" s="486" t="n">
        <v>0</v>
      </c>
      <c r="K967" s="486" t="n">
        <v>0</v>
      </c>
      <c r="L967" s="486" t="n">
        <v>0</v>
      </c>
      <c r="M967" s="487" t="inlineStr">
        <is>
          <t>T</t>
        </is>
      </c>
    </row>
    <row r="968">
      <c r="A968" s="486" t="n">
        <v>16</v>
      </c>
      <c r="B968" s="486" t="n">
        <v>7</v>
      </c>
      <c r="C968" s="486" t="n">
        <v>2</v>
      </c>
      <c r="D968" s="486" t="n">
        <v>23</v>
      </c>
      <c r="E968" s="486" t="n">
        <v>1</v>
      </c>
      <c r="F968" s="486" t="n">
        <v>1</v>
      </c>
      <c r="G968" s="475" t="inlineStr">
        <is>
          <t>East-Up1</t>
        </is>
      </c>
      <c r="H968" s="486" t="n">
        <v>5280.45</v>
      </c>
      <c r="I968" s="486" t="n">
        <v>0</v>
      </c>
      <c r="J968" s="486" t="n">
        <v>11</v>
      </c>
      <c r="K968" s="486" t="n">
        <v>3</v>
      </c>
      <c r="L968" s="486" t="n">
        <v>1</v>
      </c>
      <c r="M968" s="487" t="inlineStr">
        <is>
          <t>T</t>
        </is>
      </c>
    </row>
    <row r="969">
      <c r="A969" s="486" t="n">
        <v>16</v>
      </c>
      <c r="B969" s="486" t="n">
        <v>7</v>
      </c>
      <c r="C969" s="486" t="n">
        <v>2</v>
      </c>
      <c r="D969" s="486" t="n">
        <v>23</v>
      </c>
      <c r="E969" s="486" t="n">
        <v>1</v>
      </c>
      <c r="F969" s="486" t="n">
        <v>1</v>
      </c>
      <c r="G969" s="486" t="inlineStr">
        <is>
          <t>East-Down1</t>
        </is>
      </c>
      <c r="H969" s="486" t="n">
        <v>0</v>
      </c>
      <c r="I969" s="486" t="n">
        <v>0</v>
      </c>
      <c r="J969" s="486" t="n">
        <v>0</v>
      </c>
      <c r="K969" s="486" t="n">
        <v>0</v>
      </c>
      <c r="L969" s="486" t="n">
        <v>0</v>
      </c>
      <c r="M969" s="487" t="inlineStr">
        <is>
          <t>T</t>
        </is>
      </c>
    </row>
    <row r="970">
      <c r="A970" s="486" t="n">
        <v>16</v>
      </c>
      <c r="B970" s="486" t="n">
        <v>7</v>
      </c>
      <c r="C970" s="486" t="n">
        <v>2</v>
      </c>
      <c r="D970" s="486" t="n">
        <v>23</v>
      </c>
      <c r="E970" s="486" t="n">
        <v>1</v>
      </c>
      <c r="F970" s="486" t="n">
        <v>1</v>
      </c>
      <c r="G970" s="486" t="inlineStr">
        <is>
          <t>East-Down2</t>
        </is>
      </c>
      <c r="H970" s="486" t="n">
        <v>0</v>
      </c>
      <c r="I970" s="486" t="n">
        <v>0</v>
      </c>
      <c r="J970" s="486" t="n">
        <v>0</v>
      </c>
      <c r="K970" s="486" t="n">
        <v>0</v>
      </c>
      <c r="L970" s="486" t="n">
        <v>0</v>
      </c>
      <c r="M970" s="487" t="inlineStr">
        <is>
          <t>T</t>
        </is>
      </c>
    </row>
    <row r="971">
      <c r="A971" s="486" t="n">
        <v>16</v>
      </c>
      <c r="B971" s="486" t="n">
        <v>7</v>
      </c>
      <c r="C971" s="486" t="n">
        <v>2</v>
      </c>
      <c r="D971" s="486" t="n">
        <v>23</v>
      </c>
      <c r="E971" s="486" t="n">
        <v>1</v>
      </c>
      <c r="F971" s="486" t="n">
        <v>1</v>
      </c>
      <c r="G971" s="486" t="inlineStr">
        <is>
          <t>North-Left2</t>
        </is>
      </c>
      <c r="H971" s="486" t="n">
        <v>0</v>
      </c>
      <c r="I971" s="486" t="n">
        <v>0</v>
      </c>
      <c r="J971" s="486" t="n">
        <v>0</v>
      </c>
      <c r="K971" s="486" t="n">
        <v>0</v>
      </c>
      <c r="L971" s="486" t="n">
        <v>0</v>
      </c>
      <c r="M971" s="487" t="inlineStr">
        <is>
          <t>T</t>
        </is>
      </c>
    </row>
    <row r="972">
      <c r="A972" s="486" t="n">
        <v>16</v>
      </c>
      <c r="B972" s="486" t="n">
        <v>7</v>
      </c>
      <c r="C972" s="486" t="n">
        <v>2</v>
      </c>
      <c r="D972" s="486" t="n">
        <v>23</v>
      </c>
      <c r="E972" s="486" t="n">
        <v>1</v>
      </c>
      <c r="F972" s="486" t="n">
        <v>1</v>
      </c>
      <c r="G972" s="475" t="inlineStr">
        <is>
          <t>North-Left1</t>
        </is>
      </c>
      <c r="H972" s="486" t="n">
        <v>2638.21</v>
      </c>
      <c r="I972" s="486" t="n">
        <v>89</v>
      </c>
      <c r="J972" s="486" t="n">
        <v>54</v>
      </c>
      <c r="K972" s="486" t="n">
        <v>0</v>
      </c>
      <c r="L972" s="486" t="n">
        <v>2</v>
      </c>
      <c r="M972" s="487" t="inlineStr">
        <is>
          <t>T</t>
        </is>
      </c>
    </row>
    <row r="973">
      <c r="A973" s="486" t="n">
        <v>16</v>
      </c>
      <c r="B973" s="486" t="n">
        <v>7</v>
      </c>
      <c r="C973" s="486" t="n">
        <v>2</v>
      </c>
      <c r="D973" s="486" t="n">
        <v>23</v>
      </c>
      <c r="E973" s="486" t="n">
        <v>1</v>
      </c>
      <c r="F973" s="486" t="n">
        <v>1</v>
      </c>
      <c r="G973" s="486" t="inlineStr">
        <is>
          <t>North-Right1</t>
        </is>
      </c>
      <c r="H973" s="486" t="n">
        <v>2634.32</v>
      </c>
      <c r="I973" s="486" t="n">
        <v>89</v>
      </c>
      <c r="J973" s="486" t="n">
        <v>48</v>
      </c>
      <c r="K973" s="486" t="n">
        <v>59</v>
      </c>
      <c r="L973" s="486" t="n">
        <v>3</v>
      </c>
      <c r="M973" s="487" t="inlineStr">
        <is>
          <t>T</t>
        </is>
      </c>
    </row>
    <row r="974">
      <c r="A974" s="486" t="n">
        <v>16</v>
      </c>
      <c r="B974" s="486" t="n">
        <v>7</v>
      </c>
      <c r="C974" s="486" t="n">
        <v>2</v>
      </c>
      <c r="D974" s="486" t="n">
        <v>23</v>
      </c>
      <c r="E974" s="486" t="n">
        <v>1</v>
      </c>
      <c r="F974" s="486" t="n">
        <v>1</v>
      </c>
      <c r="G974" s="486" t="inlineStr">
        <is>
          <t>North-Right2</t>
        </is>
      </c>
      <c r="H974" s="486" t="n">
        <v>0</v>
      </c>
      <c r="I974" s="486" t="n">
        <v>0</v>
      </c>
      <c r="J974" s="486" t="n">
        <v>0</v>
      </c>
      <c r="K974" s="486" t="n">
        <v>0</v>
      </c>
      <c r="L974" s="486" t="n">
        <v>0</v>
      </c>
      <c r="M974" s="487" t="inlineStr">
        <is>
          <t>T</t>
        </is>
      </c>
    </row>
    <row r="975">
      <c r="A975" s="486" t="n">
        <v>16</v>
      </c>
      <c r="B975" s="486" t="n">
        <v>7</v>
      </c>
      <c r="C975" s="486" t="n">
        <v>2</v>
      </c>
      <c r="D975" s="486" t="n">
        <v>23</v>
      </c>
      <c r="E975" s="486" t="n">
        <v>1</v>
      </c>
      <c r="F975" s="486" t="n">
        <v>1</v>
      </c>
      <c r="G975" s="486" t="inlineStr">
        <is>
          <t>South-Left2</t>
        </is>
      </c>
      <c r="H975" s="486" t="n">
        <v>0</v>
      </c>
      <c r="I975" s="486" t="n">
        <v>0</v>
      </c>
      <c r="J975" s="486" t="n">
        <v>0</v>
      </c>
      <c r="K975" s="486" t="n">
        <v>0</v>
      </c>
      <c r="L975" s="486" t="n">
        <v>0</v>
      </c>
      <c r="M975" s="487" t="inlineStr">
        <is>
          <t>T</t>
        </is>
      </c>
    </row>
    <row r="976">
      <c r="A976" s="486" t="n">
        <v>16</v>
      </c>
      <c r="B976" s="486" t="n">
        <v>7</v>
      </c>
      <c r="C976" s="486" t="n">
        <v>2</v>
      </c>
      <c r="D976" s="486" t="n">
        <v>23</v>
      </c>
      <c r="E976" s="486" t="n">
        <v>1</v>
      </c>
      <c r="F976" s="486" t="n">
        <v>1</v>
      </c>
      <c r="G976" s="475" t="inlineStr">
        <is>
          <t>South-Left1</t>
        </is>
      </c>
      <c r="H976" s="486" t="n">
        <v>2638.47</v>
      </c>
      <c r="I976" s="486" t="n">
        <v>89</v>
      </c>
      <c r="J976" s="486" t="n">
        <v>52</v>
      </c>
      <c r="K976" s="486" t="n">
        <v>27</v>
      </c>
      <c r="L976" s="486" t="n">
        <v>3</v>
      </c>
      <c r="M976" s="487" t="inlineStr">
        <is>
          <t>T</t>
        </is>
      </c>
    </row>
    <row r="977">
      <c r="A977" s="486" t="n">
        <v>16</v>
      </c>
      <c r="B977" s="486" t="n">
        <v>7</v>
      </c>
      <c r="C977" s="486" t="n">
        <v>2</v>
      </c>
      <c r="D977" s="486" t="n">
        <v>23</v>
      </c>
      <c r="E977" s="486" t="n">
        <v>1</v>
      </c>
      <c r="F977" s="486" t="n">
        <v>1</v>
      </c>
      <c r="G977" s="486" t="inlineStr">
        <is>
          <t>South-Right1</t>
        </is>
      </c>
      <c r="H977" s="486" t="n">
        <v>2638.65</v>
      </c>
      <c r="I977" s="486" t="n">
        <v>89</v>
      </c>
      <c r="J977" s="486" t="n">
        <v>51</v>
      </c>
      <c r="K977" s="486" t="n">
        <v>15</v>
      </c>
      <c r="L977" s="486" t="n">
        <v>3</v>
      </c>
      <c r="M977" s="487" t="inlineStr">
        <is>
          <t>T</t>
        </is>
      </c>
    </row>
    <row r="978">
      <c r="A978" s="486" t="n">
        <v>16</v>
      </c>
      <c r="B978" s="486" t="n">
        <v>7</v>
      </c>
      <c r="C978" s="486" t="n">
        <v>2</v>
      </c>
      <c r="D978" s="486" t="n">
        <v>23</v>
      </c>
      <c r="E978" s="486" t="n">
        <v>1</v>
      </c>
      <c r="F978" s="486" t="n">
        <v>1</v>
      </c>
      <c r="G978" s="486" t="inlineStr">
        <is>
          <t>South-Right2</t>
        </is>
      </c>
      <c r="H978" s="486" t="n">
        <v>0</v>
      </c>
      <c r="I978" s="486" t="n">
        <v>0</v>
      </c>
      <c r="J978" s="486" t="n">
        <v>0</v>
      </c>
      <c r="K978" s="486" t="n">
        <v>0</v>
      </c>
      <c r="L978" s="486" t="n">
        <v>0</v>
      </c>
      <c r="M978" s="487" t="inlineStr">
        <is>
          <t>T</t>
        </is>
      </c>
    </row>
    <row r="979">
      <c r="A979" s="486" t="n">
        <v>16</v>
      </c>
      <c r="B979" s="486" t="n">
        <v>2</v>
      </c>
      <c r="C979" s="486" t="n">
        <v>2</v>
      </c>
      <c r="D979" s="486" t="n">
        <v>1</v>
      </c>
      <c r="E979" s="486" t="n">
        <v>2</v>
      </c>
      <c r="F979" s="486" t="n">
        <v>2</v>
      </c>
      <c r="G979" s="486" t="inlineStr">
        <is>
          <t>West-Up2</t>
        </is>
      </c>
      <c r="H979" s="486" t="n">
        <v>0</v>
      </c>
      <c r="I979" s="486" t="n">
        <v>0</v>
      </c>
      <c r="J979" s="486" t="n">
        <v>0</v>
      </c>
      <c r="K979" s="486" t="n">
        <v>0</v>
      </c>
      <c r="L979" s="486" t="n">
        <v>0</v>
      </c>
      <c r="M979" s="487" t="inlineStr">
        <is>
          <t>T</t>
        </is>
      </c>
    </row>
    <row r="980">
      <c r="A980" s="486" t="n">
        <v>16</v>
      </c>
      <c r="B980" s="486" t="n">
        <v>2</v>
      </c>
      <c r="C980" s="486" t="n">
        <v>2</v>
      </c>
      <c r="D980" s="486" t="n">
        <v>1</v>
      </c>
      <c r="E980" s="486" t="n">
        <v>2</v>
      </c>
      <c r="F980" s="486" t="n">
        <v>2</v>
      </c>
      <c r="G980" s="475" t="inlineStr">
        <is>
          <t>West-Up1</t>
        </is>
      </c>
      <c r="H980" s="486" t="n">
        <v>2647.17</v>
      </c>
      <c r="I980" s="486" t="n">
        <v>0</v>
      </c>
      <c r="J980" s="486" t="n">
        <v>20</v>
      </c>
      <c r="K980" s="486" t="n">
        <v>41</v>
      </c>
      <c r="L980" s="486" t="n">
        <v>4</v>
      </c>
      <c r="M980" s="487" t="inlineStr">
        <is>
          <t>T</t>
        </is>
      </c>
    </row>
    <row r="981">
      <c r="A981" s="486" t="n">
        <v>16</v>
      </c>
      <c r="B981" s="486" t="n">
        <v>2</v>
      </c>
      <c r="C981" s="486" t="n">
        <v>2</v>
      </c>
      <c r="D981" s="486" t="n">
        <v>1</v>
      </c>
      <c r="E981" s="486" t="n">
        <v>2</v>
      </c>
      <c r="F981" s="486" t="n">
        <v>2</v>
      </c>
      <c r="G981" s="486" t="inlineStr">
        <is>
          <t>West-Down1</t>
        </is>
      </c>
      <c r="H981" s="486" t="n">
        <v>1321.31</v>
      </c>
      <c r="I981" s="486" t="n">
        <v>0</v>
      </c>
      <c r="J981" s="486" t="n">
        <v>27</v>
      </c>
      <c r="K981" s="486" t="n">
        <v>53</v>
      </c>
      <c r="L981" s="486" t="n">
        <v>4</v>
      </c>
      <c r="M981" s="487" t="inlineStr">
        <is>
          <t>T</t>
        </is>
      </c>
    </row>
    <row r="982">
      <c r="A982" s="486" t="n">
        <v>16</v>
      </c>
      <c r="B982" s="486" t="n">
        <v>2</v>
      </c>
      <c r="C982" s="486" t="n">
        <v>2</v>
      </c>
      <c r="D982" s="486" t="n">
        <v>1</v>
      </c>
      <c r="E982" s="486" t="n">
        <v>2</v>
      </c>
      <c r="F982" s="486" t="n">
        <v>2</v>
      </c>
      <c r="G982" s="486" t="inlineStr">
        <is>
          <t>West-Down2</t>
        </is>
      </c>
      <c r="H982" s="486" t="n">
        <v>1321.28</v>
      </c>
      <c r="I982" s="486" t="n">
        <v>0</v>
      </c>
      <c r="J982" s="486" t="n">
        <v>27</v>
      </c>
      <c r="K982" s="486" t="n">
        <v>38</v>
      </c>
      <c r="L982" s="486" t="n">
        <v>4</v>
      </c>
      <c r="M982" s="487" t="inlineStr">
        <is>
          <t>T</t>
        </is>
      </c>
    </row>
    <row r="983">
      <c r="A983" s="486" t="n">
        <v>16</v>
      </c>
      <c r="B983" s="486" t="n">
        <v>2</v>
      </c>
      <c r="C983" s="486" t="n">
        <v>2</v>
      </c>
      <c r="D983" s="486" t="n">
        <v>1</v>
      </c>
      <c r="E983" s="486" t="n">
        <v>2</v>
      </c>
      <c r="F983" s="486" t="n">
        <v>2</v>
      </c>
      <c r="G983" s="486" t="inlineStr">
        <is>
          <t>East-Up2</t>
        </is>
      </c>
      <c r="H983" s="486" t="n">
        <v>0</v>
      </c>
      <c r="I983" s="486" t="n">
        <v>0</v>
      </c>
      <c r="J983" s="486" t="n">
        <v>0</v>
      </c>
      <c r="K983" s="486" t="n">
        <v>0</v>
      </c>
      <c r="L983" s="486" t="n">
        <v>0</v>
      </c>
      <c r="M983" s="487" t="inlineStr">
        <is>
          <t>T</t>
        </is>
      </c>
    </row>
    <row r="984">
      <c r="A984" s="486" t="n">
        <v>16</v>
      </c>
      <c r="B984" s="486" t="n">
        <v>2</v>
      </c>
      <c r="C984" s="486" t="n">
        <v>2</v>
      </c>
      <c r="D984" s="486" t="n">
        <v>1</v>
      </c>
      <c r="E984" s="486" t="n">
        <v>2</v>
      </c>
      <c r="F984" s="486" t="n">
        <v>2</v>
      </c>
      <c r="G984" s="475" t="inlineStr">
        <is>
          <t>East-Up1</t>
        </is>
      </c>
      <c r="H984" s="486" t="n">
        <v>2639.95</v>
      </c>
      <c r="I984" s="486" t="n">
        <v>0</v>
      </c>
      <c r="J984" s="486" t="n">
        <v>20</v>
      </c>
      <c r="K984" s="486" t="n">
        <v>57</v>
      </c>
      <c r="L984" s="486" t="n">
        <v>4</v>
      </c>
      <c r="M984" s="487" t="inlineStr">
        <is>
          <t>T</t>
        </is>
      </c>
    </row>
    <row r="985">
      <c r="A985" s="486" t="n">
        <v>16</v>
      </c>
      <c r="B985" s="486" t="n">
        <v>2</v>
      </c>
      <c r="C985" s="486" t="n">
        <v>2</v>
      </c>
      <c r="D985" s="486" t="n">
        <v>1</v>
      </c>
      <c r="E985" s="486" t="n">
        <v>2</v>
      </c>
      <c r="F985" s="486" t="n">
        <v>2</v>
      </c>
      <c r="G985" s="486" t="inlineStr">
        <is>
          <t>East-Down1</t>
        </is>
      </c>
      <c r="H985" s="486" t="n">
        <v>2640.46</v>
      </c>
      <c r="I985" s="486" t="n">
        <v>0</v>
      </c>
      <c r="J985" s="486" t="n">
        <v>20</v>
      </c>
      <c r="K985" s="486" t="n">
        <v>19</v>
      </c>
      <c r="L985" s="486" t="n">
        <v>4</v>
      </c>
      <c r="M985" s="487" t="inlineStr">
        <is>
          <t>T</t>
        </is>
      </c>
    </row>
    <row r="986">
      <c r="A986" s="486" t="n">
        <v>16</v>
      </c>
      <c r="B986" s="486" t="n">
        <v>2</v>
      </c>
      <c r="C986" s="486" t="n">
        <v>2</v>
      </c>
      <c r="D986" s="486" t="n">
        <v>1</v>
      </c>
      <c r="E986" s="486" t="n">
        <v>2</v>
      </c>
      <c r="F986" s="486" t="n">
        <v>2</v>
      </c>
      <c r="G986" s="486" t="inlineStr">
        <is>
          <t>East-Down2</t>
        </is>
      </c>
      <c r="H986" s="486" t="n">
        <v>0</v>
      </c>
      <c r="I986" s="486" t="n">
        <v>0</v>
      </c>
      <c r="J986" s="486" t="n">
        <v>0</v>
      </c>
      <c r="K986" s="486" t="n">
        <v>0</v>
      </c>
      <c r="L986" s="486" t="n">
        <v>0</v>
      </c>
      <c r="M986" s="487" t="inlineStr">
        <is>
          <t>T</t>
        </is>
      </c>
    </row>
    <row r="987">
      <c r="A987" s="486" t="n">
        <v>16</v>
      </c>
      <c r="B987" s="486" t="n">
        <v>2</v>
      </c>
      <c r="C987" s="486" t="n">
        <v>2</v>
      </c>
      <c r="D987" s="486" t="n">
        <v>1</v>
      </c>
      <c r="E987" s="486" t="n">
        <v>2</v>
      </c>
      <c r="F987" s="486" t="n">
        <v>2</v>
      </c>
      <c r="G987" s="486" t="inlineStr">
        <is>
          <t>North-Left2</t>
        </is>
      </c>
      <c r="H987" s="486" t="n">
        <v>1327.67</v>
      </c>
      <c r="I987" s="486" t="n">
        <v>89</v>
      </c>
      <c r="J987" s="486" t="n">
        <v>26</v>
      </c>
      <c r="K987" s="486" t="n">
        <v>56</v>
      </c>
      <c r="L987" s="486" t="n">
        <v>3</v>
      </c>
      <c r="M987" s="487" t="inlineStr">
        <is>
          <t>T</t>
        </is>
      </c>
    </row>
    <row r="988">
      <c r="A988" s="486" t="n">
        <v>16</v>
      </c>
      <c r="B988" s="486" t="n">
        <v>2</v>
      </c>
      <c r="C988" s="486" t="n">
        <v>2</v>
      </c>
      <c r="D988" s="486" t="n">
        <v>1</v>
      </c>
      <c r="E988" s="486" t="n">
        <v>2</v>
      </c>
      <c r="F988" s="486" t="n">
        <v>2</v>
      </c>
      <c r="G988" s="475" t="inlineStr">
        <is>
          <t>North-Left1</t>
        </is>
      </c>
      <c r="H988" s="486" t="n">
        <v>1319.83</v>
      </c>
      <c r="I988" s="486" t="n">
        <v>89</v>
      </c>
      <c r="J988" s="486" t="n">
        <v>55</v>
      </c>
      <c r="K988" s="486" t="n">
        <v>4</v>
      </c>
      <c r="L988" s="486" t="n">
        <v>3</v>
      </c>
      <c r="M988" s="487" t="inlineStr">
        <is>
          <t>T</t>
        </is>
      </c>
    </row>
    <row r="989">
      <c r="A989" s="486" t="n">
        <v>16</v>
      </c>
      <c r="B989" s="486" t="n">
        <v>2</v>
      </c>
      <c r="C989" s="486" t="n">
        <v>2</v>
      </c>
      <c r="D989" s="486" t="n">
        <v>1</v>
      </c>
      <c r="E989" s="486" t="n">
        <v>2</v>
      </c>
      <c r="F989" s="486" t="n">
        <v>2</v>
      </c>
      <c r="G989" s="486" t="inlineStr">
        <is>
          <t>North-Right1</t>
        </is>
      </c>
      <c r="H989" s="486" t="n">
        <v>2639.2</v>
      </c>
      <c r="I989" s="486" t="n">
        <v>89</v>
      </c>
      <c r="J989" s="486" t="n">
        <v>58</v>
      </c>
      <c r="K989" s="486" t="n">
        <v>48</v>
      </c>
      <c r="L989" s="486" t="n">
        <v>3</v>
      </c>
      <c r="M989" s="487" t="inlineStr">
        <is>
          <t>T</t>
        </is>
      </c>
    </row>
    <row r="990">
      <c r="A990" s="486" t="n">
        <v>16</v>
      </c>
      <c r="B990" s="486" t="n">
        <v>2</v>
      </c>
      <c r="C990" s="486" t="n">
        <v>2</v>
      </c>
      <c r="D990" s="486" t="n">
        <v>1</v>
      </c>
      <c r="E990" s="486" t="n">
        <v>2</v>
      </c>
      <c r="F990" s="486" t="n">
        <v>2</v>
      </c>
      <c r="G990" s="486" t="inlineStr">
        <is>
          <t>North-Right2</t>
        </is>
      </c>
      <c r="H990" s="486" t="n">
        <v>0</v>
      </c>
      <c r="I990" s="486" t="n">
        <v>0</v>
      </c>
      <c r="J990" s="486" t="n">
        <v>0</v>
      </c>
      <c r="K990" s="486" t="n">
        <v>0</v>
      </c>
      <c r="L990" s="486" t="n">
        <v>0</v>
      </c>
      <c r="M990" s="487" t="inlineStr">
        <is>
          <t>T</t>
        </is>
      </c>
    </row>
    <row r="991">
      <c r="A991" s="486" t="n">
        <v>16</v>
      </c>
      <c r="B991" s="486" t="n">
        <v>2</v>
      </c>
      <c r="C991" s="486" t="n">
        <v>2</v>
      </c>
      <c r="D991" s="486" t="n">
        <v>1</v>
      </c>
      <c r="E991" s="486" t="n">
        <v>2</v>
      </c>
      <c r="F991" s="486" t="n">
        <v>2</v>
      </c>
      <c r="G991" s="486" t="inlineStr">
        <is>
          <t>South-Left2</t>
        </is>
      </c>
      <c r="H991" s="486" t="n">
        <v>0</v>
      </c>
      <c r="I991" s="486" t="n">
        <v>0</v>
      </c>
      <c r="J991" s="486" t="n">
        <v>0</v>
      </c>
      <c r="K991" s="486" t="n">
        <v>0</v>
      </c>
      <c r="L991" s="486" t="n">
        <v>0</v>
      </c>
      <c r="M991" s="487" t="inlineStr">
        <is>
          <t>T</t>
        </is>
      </c>
    </row>
    <row r="992">
      <c r="A992" s="486" t="n">
        <v>16</v>
      </c>
      <c r="B992" s="486" t="n">
        <v>2</v>
      </c>
      <c r="C992" s="486" t="n">
        <v>2</v>
      </c>
      <c r="D992" s="486" t="n">
        <v>1</v>
      </c>
      <c r="E992" s="486" t="n">
        <v>2</v>
      </c>
      <c r="F992" s="486" t="n">
        <v>2</v>
      </c>
      <c r="G992" s="475" t="inlineStr">
        <is>
          <t>South-Left1</t>
        </is>
      </c>
      <c r="H992" s="486" t="n">
        <v>2640.35</v>
      </c>
      <c r="I992" s="486" t="n">
        <v>89</v>
      </c>
      <c r="J992" s="486" t="n">
        <v>43</v>
      </c>
      <c r="K992" s="486" t="n">
        <v>53</v>
      </c>
      <c r="L992" s="486" t="n">
        <v>3</v>
      </c>
      <c r="M992" s="487" t="inlineStr">
        <is>
          <t>T</t>
        </is>
      </c>
    </row>
    <row r="993">
      <c r="A993" s="486" t="n">
        <v>16</v>
      </c>
      <c r="B993" s="486" t="n">
        <v>2</v>
      </c>
      <c r="C993" s="486" t="n">
        <v>2</v>
      </c>
      <c r="D993" s="486" t="n">
        <v>1</v>
      </c>
      <c r="E993" s="486" t="n">
        <v>2</v>
      </c>
      <c r="F993" s="486" t="n">
        <v>2</v>
      </c>
      <c r="G993" s="486" t="inlineStr">
        <is>
          <t>South-Right1</t>
        </is>
      </c>
      <c r="H993" s="486" t="n">
        <v>2640.79</v>
      </c>
      <c r="I993" s="486" t="n">
        <v>89</v>
      </c>
      <c r="J993" s="486" t="n">
        <v>43</v>
      </c>
      <c r="K993" s="486" t="n">
        <v>41</v>
      </c>
      <c r="L993" s="486" t="n">
        <v>3</v>
      </c>
      <c r="M993" s="487" t="inlineStr">
        <is>
          <t>T</t>
        </is>
      </c>
    </row>
    <row r="994">
      <c r="A994" s="486" t="n">
        <v>16</v>
      </c>
      <c r="B994" s="486" t="n">
        <v>2</v>
      </c>
      <c r="C994" s="486" t="n">
        <v>2</v>
      </c>
      <c r="D994" s="486" t="n">
        <v>1</v>
      </c>
      <c r="E994" s="486" t="n">
        <v>2</v>
      </c>
      <c r="F994" s="486" t="n">
        <v>2</v>
      </c>
      <c r="G994" s="486" t="inlineStr">
        <is>
          <t>South-Right2</t>
        </is>
      </c>
      <c r="H994" s="486" t="n">
        <v>0</v>
      </c>
      <c r="I994" s="486" t="n">
        <v>0</v>
      </c>
      <c r="J994" s="486" t="n">
        <v>0</v>
      </c>
      <c r="K994" s="486" t="n">
        <v>0</v>
      </c>
      <c r="L994" s="486" t="n">
        <v>0</v>
      </c>
      <c r="M994" s="487" t="inlineStr">
        <is>
          <t>T</t>
        </is>
      </c>
    </row>
    <row r="995">
      <c r="A995" s="486" t="n">
        <v>16</v>
      </c>
      <c r="B995" s="486" t="n">
        <v>2</v>
      </c>
      <c r="C995" s="486" t="n">
        <v>2</v>
      </c>
      <c r="D995" s="486" t="n">
        <v>3</v>
      </c>
      <c r="E995" s="486" t="n">
        <v>2</v>
      </c>
      <c r="F995" s="486" t="n">
        <v>2</v>
      </c>
      <c r="G995" s="486" t="inlineStr">
        <is>
          <t>West-Up2</t>
        </is>
      </c>
      <c r="H995" s="486" t="n">
        <v>0</v>
      </c>
      <c r="I995" s="486" t="n">
        <v>0</v>
      </c>
      <c r="J995" s="486" t="n">
        <v>0</v>
      </c>
      <c r="K995" s="486" t="n">
        <v>0</v>
      </c>
      <c r="L995" s="486" t="n">
        <v>0</v>
      </c>
      <c r="M995" s="514" t="inlineStr">
        <is>
          <t>T</t>
        </is>
      </c>
    </row>
    <row r="996">
      <c r="A996" s="486" t="n">
        <v>16</v>
      </c>
      <c r="B996" s="486" t="n">
        <v>2</v>
      </c>
      <c r="C996" s="486" t="n">
        <v>2</v>
      </c>
      <c r="D996" s="486" t="n">
        <v>3</v>
      </c>
      <c r="E996" s="486" t="n">
        <v>2</v>
      </c>
      <c r="F996" s="486" t="n">
        <v>2</v>
      </c>
      <c r="G996" s="475" t="inlineStr">
        <is>
          <t>West-Up1</t>
        </is>
      </c>
      <c r="H996" s="486" t="n">
        <v>5270.82</v>
      </c>
      <c r="I996" s="486" t="n">
        <v>0</v>
      </c>
      <c r="J996" s="486" t="n">
        <v>2</v>
      </c>
      <c r="K996" s="486" t="n">
        <v>47</v>
      </c>
      <c r="L996" s="486" t="n">
        <v>3</v>
      </c>
      <c r="M996" s="514" t="inlineStr">
        <is>
          <t>T</t>
        </is>
      </c>
    </row>
    <row r="997">
      <c r="A997" s="486" t="n">
        <v>16</v>
      </c>
      <c r="B997" s="486" t="n">
        <v>2</v>
      </c>
      <c r="C997" s="486" t="n">
        <v>2</v>
      </c>
      <c r="D997" s="486" t="n">
        <v>3</v>
      </c>
      <c r="E997" s="486" t="n">
        <v>2</v>
      </c>
      <c r="F997" s="486" t="n">
        <v>2</v>
      </c>
      <c r="G997" s="486" t="inlineStr">
        <is>
          <t>West-Down1</t>
        </is>
      </c>
      <c r="H997" s="491" t="n">
        <v>0</v>
      </c>
      <c r="I997" s="491" t="n">
        <v>0</v>
      </c>
      <c r="J997" s="491" t="n">
        <v>0</v>
      </c>
      <c r="K997" s="491" t="n">
        <v>0</v>
      </c>
      <c r="L997" s="491" t="n">
        <v>0</v>
      </c>
      <c r="M997" s="514" t="inlineStr">
        <is>
          <t>T</t>
        </is>
      </c>
    </row>
    <row r="998">
      <c r="A998" s="486" t="n">
        <v>16</v>
      </c>
      <c r="B998" s="486" t="n">
        <v>2</v>
      </c>
      <c r="C998" s="486" t="n">
        <v>2</v>
      </c>
      <c r="D998" s="486" t="n">
        <v>3</v>
      </c>
      <c r="E998" s="486" t="n">
        <v>2</v>
      </c>
      <c r="F998" s="486" t="n">
        <v>2</v>
      </c>
      <c r="G998" s="486" t="inlineStr">
        <is>
          <t>West-Down2</t>
        </is>
      </c>
      <c r="H998" s="486" t="n">
        <v>0</v>
      </c>
      <c r="I998" s="486" t="n">
        <v>0</v>
      </c>
      <c r="J998" s="486" t="n">
        <v>0</v>
      </c>
      <c r="K998" s="486" t="n">
        <v>0</v>
      </c>
      <c r="L998" s="486" t="n">
        <v>0</v>
      </c>
      <c r="M998" s="514" t="inlineStr">
        <is>
          <t>T</t>
        </is>
      </c>
    </row>
    <row r="999">
      <c r="A999" s="486" t="n">
        <v>16</v>
      </c>
      <c r="B999" s="486" t="n">
        <v>2</v>
      </c>
      <c r="C999" s="486" t="n">
        <v>2</v>
      </c>
      <c r="D999" s="486" t="n">
        <v>3</v>
      </c>
      <c r="E999" s="486" t="n">
        <v>2</v>
      </c>
      <c r="F999" s="486" t="n">
        <v>2</v>
      </c>
      <c r="G999" s="486" t="inlineStr">
        <is>
          <t>East-Up2</t>
        </is>
      </c>
      <c r="H999" s="486" t="n">
        <v>0</v>
      </c>
      <c r="I999" s="486" t="n">
        <v>0</v>
      </c>
      <c r="J999" s="486" t="n">
        <v>0</v>
      </c>
      <c r="K999" s="486" t="n">
        <v>0</v>
      </c>
      <c r="L999" s="486" t="n">
        <v>0</v>
      </c>
      <c r="M999" s="514" t="inlineStr">
        <is>
          <t>T</t>
        </is>
      </c>
    </row>
    <row r="1000">
      <c r="A1000" s="486" t="n">
        <v>16</v>
      </c>
      <c r="B1000" s="486" t="n">
        <v>2</v>
      </c>
      <c r="C1000" s="486" t="n">
        <v>2</v>
      </c>
      <c r="D1000" s="486" t="n">
        <v>3</v>
      </c>
      <c r="E1000" s="486" t="n">
        <v>2</v>
      </c>
      <c r="F1000" s="486" t="n">
        <v>2</v>
      </c>
      <c r="G1000" s="475" t="inlineStr">
        <is>
          <t>East-Up1</t>
        </is>
      </c>
      <c r="H1000" s="486" t="n">
        <v>2632.08</v>
      </c>
      <c r="I1000" s="486" t="n">
        <v>0</v>
      </c>
      <c r="J1000" s="486" t="n">
        <v>26</v>
      </c>
      <c r="K1000" s="486" t="n">
        <v>33</v>
      </c>
      <c r="L1000" s="486" t="n">
        <v>4</v>
      </c>
      <c r="M1000" s="514" t="inlineStr">
        <is>
          <t>T</t>
        </is>
      </c>
    </row>
    <row r="1001">
      <c r="A1001" s="486" t="n">
        <v>16</v>
      </c>
      <c r="B1001" s="486" t="n">
        <v>2</v>
      </c>
      <c r="C1001" s="486" t="n">
        <v>2</v>
      </c>
      <c r="D1001" s="486" t="n">
        <v>3</v>
      </c>
      <c r="E1001" s="486" t="n">
        <v>2</v>
      </c>
      <c r="F1001" s="486" t="n">
        <v>2</v>
      </c>
      <c r="G1001" s="486" t="inlineStr">
        <is>
          <t>East-Down1</t>
        </is>
      </c>
      <c r="H1001" s="486" t="n">
        <v>2627.21</v>
      </c>
      <c r="I1001" s="486" t="n">
        <v>0</v>
      </c>
      <c r="J1001" s="486" t="n">
        <v>26</v>
      </c>
      <c r="K1001" s="486" t="n">
        <v>33</v>
      </c>
      <c r="L1001" s="486" t="n">
        <v>4</v>
      </c>
      <c r="M1001" s="514" t="inlineStr">
        <is>
          <t>T</t>
        </is>
      </c>
    </row>
    <row r="1002">
      <c r="A1002" s="486" t="n">
        <v>16</v>
      </c>
      <c r="B1002" s="486" t="n">
        <v>2</v>
      </c>
      <c r="C1002" s="486" t="n">
        <v>2</v>
      </c>
      <c r="D1002" s="486" t="n">
        <v>3</v>
      </c>
      <c r="E1002" s="486" t="n">
        <v>2</v>
      </c>
      <c r="F1002" s="486" t="n">
        <v>2</v>
      </c>
      <c r="G1002" s="486" t="inlineStr">
        <is>
          <t>East-Down2</t>
        </is>
      </c>
      <c r="H1002" s="491" t="n">
        <v>0</v>
      </c>
      <c r="I1002" s="491" t="n">
        <v>0</v>
      </c>
      <c r="J1002" s="491" t="n">
        <v>0</v>
      </c>
      <c r="K1002" s="491" t="n">
        <v>0</v>
      </c>
      <c r="L1002" s="491" t="n">
        <v>0</v>
      </c>
      <c r="M1002" s="514" t="inlineStr">
        <is>
          <t>T</t>
        </is>
      </c>
    </row>
    <row r="1003">
      <c r="A1003" s="486" t="n">
        <v>16</v>
      </c>
      <c r="B1003" s="486" t="n">
        <v>2</v>
      </c>
      <c r="C1003" s="486" t="n">
        <v>2</v>
      </c>
      <c r="D1003" s="486" t="n">
        <v>3</v>
      </c>
      <c r="E1003" s="486" t="n">
        <v>2</v>
      </c>
      <c r="F1003" s="486" t="n">
        <v>2</v>
      </c>
      <c r="G1003" s="486" t="inlineStr">
        <is>
          <t>North-Left2</t>
        </is>
      </c>
      <c r="H1003" s="486" t="n">
        <v>0</v>
      </c>
      <c r="I1003" s="486" t="n">
        <v>0</v>
      </c>
      <c r="J1003" s="486" t="n">
        <v>0</v>
      </c>
      <c r="K1003" s="486" t="n">
        <v>0</v>
      </c>
      <c r="L1003" s="486" t="n">
        <v>0</v>
      </c>
      <c r="M1003" s="514" t="inlineStr">
        <is>
          <t>T</t>
        </is>
      </c>
    </row>
    <row r="1004">
      <c r="A1004" s="486" t="n">
        <v>16</v>
      </c>
      <c r="B1004" s="486" t="n">
        <v>2</v>
      </c>
      <c r="C1004" s="486" t="n">
        <v>2</v>
      </c>
      <c r="D1004" s="486" t="n">
        <v>3</v>
      </c>
      <c r="E1004" s="486" t="n">
        <v>2</v>
      </c>
      <c r="F1004" s="486" t="n">
        <v>2</v>
      </c>
      <c r="G1004" s="475" t="inlineStr">
        <is>
          <t>North-Left1</t>
        </is>
      </c>
      <c r="H1004" s="486" t="n">
        <v>5273.05</v>
      </c>
      <c r="I1004" s="486" t="n">
        <v>89</v>
      </c>
      <c r="J1004" s="486" t="n">
        <v>31</v>
      </c>
      <c r="K1004" s="486" t="n">
        <v>32</v>
      </c>
      <c r="L1004" s="486" t="n">
        <v>4</v>
      </c>
      <c r="M1004" s="514" t="inlineStr">
        <is>
          <t>T</t>
        </is>
      </c>
    </row>
    <row r="1005">
      <c r="A1005" s="486" t="n">
        <v>16</v>
      </c>
      <c r="B1005" s="486" t="n">
        <v>2</v>
      </c>
      <c r="C1005" s="486" t="n">
        <v>2</v>
      </c>
      <c r="D1005" s="486" t="n">
        <v>3</v>
      </c>
      <c r="E1005" s="486" t="n">
        <v>2</v>
      </c>
      <c r="F1005" s="486" t="n">
        <v>2</v>
      </c>
      <c r="G1005" s="486" t="inlineStr">
        <is>
          <t>North-Right1</t>
        </is>
      </c>
      <c r="H1005" s="486" t="n">
        <v>0</v>
      </c>
      <c r="I1005" s="486" t="n">
        <v>0</v>
      </c>
      <c r="J1005" s="486" t="n">
        <v>0</v>
      </c>
      <c r="K1005" s="486" t="n">
        <v>0</v>
      </c>
      <c r="L1005" s="486" t="n">
        <v>0</v>
      </c>
      <c r="M1005" s="514" t="inlineStr">
        <is>
          <t>T</t>
        </is>
      </c>
    </row>
    <row r="1006">
      <c r="A1006" s="486" t="n">
        <v>16</v>
      </c>
      <c r="B1006" s="486" t="n">
        <v>2</v>
      </c>
      <c r="C1006" s="486" t="n">
        <v>2</v>
      </c>
      <c r="D1006" s="486" t="n">
        <v>3</v>
      </c>
      <c r="E1006" s="486" t="n">
        <v>2</v>
      </c>
      <c r="F1006" s="486" t="n">
        <v>2</v>
      </c>
      <c r="G1006" s="486" t="inlineStr">
        <is>
          <t>North-Right2</t>
        </is>
      </c>
      <c r="H1006" s="486" t="n">
        <v>0</v>
      </c>
      <c r="I1006" s="486" t="n">
        <v>0</v>
      </c>
      <c r="J1006" s="486" t="n">
        <v>0</v>
      </c>
      <c r="K1006" s="486" t="n">
        <v>0</v>
      </c>
      <c r="L1006" s="486" t="n">
        <v>0</v>
      </c>
      <c r="M1006" s="514" t="inlineStr">
        <is>
          <t>T</t>
        </is>
      </c>
    </row>
    <row r="1007">
      <c r="A1007" s="486" t="n">
        <v>16</v>
      </c>
      <c r="B1007" s="486" t="n">
        <v>2</v>
      </c>
      <c r="C1007" s="486" t="n">
        <v>2</v>
      </c>
      <c r="D1007" s="486" t="n">
        <v>3</v>
      </c>
      <c r="E1007" s="486" t="n">
        <v>2</v>
      </c>
      <c r="F1007" s="486" t="n">
        <v>2</v>
      </c>
      <c r="G1007" s="486" t="inlineStr">
        <is>
          <t>South-Left2</t>
        </is>
      </c>
      <c r="H1007" s="486" t="n">
        <v>0</v>
      </c>
      <c r="I1007" s="486" t="n">
        <v>0</v>
      </c>
      <c r="J1007" s="486" t="n">
        <v>0</v>
      </c>
      <c r="K1007" s="486" t="n">
        <v>0</v>
      </c>
      <c r="L1007" s="486" t="n">
        <v>0</v>
      </c>
      <c r="M1007" s="514" t="inlineStr">
        <is>
          <t>T</t>
        </is>
      </c>
    </row>
    <row r="1008">
      <c r="A1008" s="486" t="n">
        <v>16</v>
      </c>
      <c r="B1008" s="486" t="n">
        <v>2</v>
      </c>
      <c r="C1008" s="486" t="n">
        <v>2</v>
      </c>
      <c r="D1008" s="486" t="n">
        <v>3</v>
      </c>
      <c r="E1008" s="486" t="n">
        <v>2</v>
      </c>
      <c r="F1008" s="486" t="n">
        <v>2</v>
      </c>
      <c r="G1008" s="475" t="inlineStr">
        <is>
          <t>South-Left1</t>
        </is>
      </c>
      <c r="H1008" s="486" t="n">
        <v>5317.84</v>
      </c>
      <c r="I1008" s="486" t="n">
        <v>89</v>
      </c>
      <c r="J1008" s="486" t="n">
        <v>39</v>
      </c>
      <c r="K1008" s="486" t="n">
        <v>20</v>
      </c>
      <c r="L1008" s="486" t="n">
        <v>4</v>
      </c>
      <c r="M1008" s="514" t="inlineStr">
        <is>
          <t>T</t>
        </is>
      </c>
    </row>
    <row r="1009">
      <c r="A1009" s="486" t="n">
        <v>16</v>
      </c>
      <c r="B1009" s="486" t="n">
        <v>2</v>
      </c>
      <c r="C1009" s="486" t="n">
        <v>2</v>
      </c>
      <c r="D1009" s="486" t="n">
        <v>3</v>
      </c>
      <c r="E1009" s="486" t="n">
        <v>2</v>
      </c>
      <c r="F1009" s="486" t="n">
        <v>2</v>
      </c>
      <c r="G1009" s="486" t="inlineStr">
        <is>
          <t>South-Right1</t>
        </is>
      </c>
      <c r="H1009" s="486" t="n">
        <v>0</v>
      </c>
      <c r="I1009" s="486" t="n">
        <v>0</v>
      </c>
      <c r="J1009" s="486" t="n">
        <v>0</v>
      </c>
      <c r="K1009" s="486" t="n">
        <v>0</v>
      </c>
      <c r="L1009" s="486" t="n">
        <v>0</v>
      </c>
      <c r="M1009" s="514" t="inlineStr">
        <is>
          <t>T</t>
        </is>
      </c>
    </row>
    <row r="1010">
      <c r="A1010" s="486" t="n">
        <v>16</v>
      </c>
      <c r="B1010" s="486" t="n">
        <v>2</v>
      </c>
      <c r="C1010" s="486" t="n">
        <v>2</v>
      </c>
      <c r="D1010" s="486" t="n">
        <v>3</v>
      </c>
      <c r="E1010" s="486" t="n">
        <v>2</v>
      </c>
      <c r="F1010" s="486" t="n">
        <v>2</v>
      </c>
      <c r="G1010" s="486" t="inlineStr">
        <is>
          <t>South-Right2</t>
        </is>
      </c>
      <c r="H1010" s="486" t="n">
        <v>0</v>
      </c>
      <c r="I1010" s="486" t="n">
        <v>0</v>
      </c>
      <c r="J1010" s="486" t="n">
        <v>0</v>
      </c>
      <c r="K1010" s="486" t="n">
        <v>0</v>
      </c>
      <c r="L1010" s="486" t="n">
        <v>0</v>
      </c>
      <c r="M1010" s="514" t="inlineStr">
        <is>
          <t>T</t>
        </is>
      </c>
    </row>
    <row r="1011">
      <c r="A1011" s="486" t="n">
        <v>16</v>
      </c>
      <c r="B1011" s="486" t="n">
        <v>3</v>
      </c>
      <c r="C1011" s="486" t="n">
        <v>2</v>
      </c>
      <c r="D1011" s="486" t="n">
        <v>1</v>
      </c>
      <c r="E1011" s="486" t="n">
        <v>2</v>
      </c>
      <c r="F1011" s="486" t="n">
        <v>2</v>
      </c>
      <c r="G1011" s="486" t="inlineStr">
        <is>
          <t>West-Up2</t>
        </is>
      </c>
      <c r="H1011" s="486" t="n">
        <v>1324.46</v>
      </c>
      <c r="I1011" s="486" t="n">
        <v>0</v>
      </c>
      <c r="J1011" s="486" t="n">
        <v>3</v>
      </c>
      <c r="K1011" s="486" t="n">
        <v>5</v>
      </c>
      <c r="L1011" s="486" t="n">
        <v>1</v>
      </c>
      <c r="M1011" s="487" t="inlineStr">
        <is>
          <t>T</t>
        </is>
      </c>
    </row>
    <row r="1012">
      <c r="A1012" s="486" t="n">
        <v>16</v>
      </c>
      <c r="B1012" s="486" t="n">
        <v>3</v>
      </c>
      <c r="C1012" s="486" t="n">
        <v>2</v>
      </c>
      <c r="D1012" s="486" t="n">
        <v>1</v>
      </c>
      <c r="E1012" s="486" t="n">
        <v>2</v>
      </c>
      <c r="F1012" s="486" t="n">
        <v>2</v>
      </c>
      <c r="G1012" s="475" t="inlineStr">
        <is>
          <t>West-Up1</t>
        </is>
      </c>
      <c r="H1012" s="486" t="n">
        <v>1311.44</v>
      </c>
      <c r="I1012" s="486" t="n">
        <v>0</v>
      </c>
      <c r="J1012" s="486" t="n">
        <v>15</v>
      </c>
      <c r="K1012" s="486" t="n">
        <v>50</v>
      </c>
      <c r="L1012" s="486" t="n">
        <v>4</v>
      </c>
      <c r="M1012" s="487" t="inlineStr">
        <is>
          <t>T</t>
        </is>
      </c>
    </row>
    <row r="1013">
      <c r="A1013" s="486" t="n">
        <v>16</v>
      </c>
      <c r="B1013" s="486" t="n">
        <v>3</v>
      </c>
      <c r="C1013" s="486" t="n">
        <v>2</v>
      </c>
      <c r="D1013" s="486" t="n">
        <v>1</v>
      </c>
      <c r="E1013" s="486" t="n">
        <v>2</v>
      </c>
      <c r="F1013" s="486" t="n">
        <v>2</v>
      </c>
      <c r="G1013" s="486" t="inlineStr">
        <is>
          <t>West-Down1</t>
        </is>
      </c>
      <c r="H1013" s="486" t="n">
        <v>1323.46</v>
      </c>
      <c r="I1013" s="486" t="n">
        <v>0</v>
      </c>
      <c r="J1013" s="486" t="n">
        <v>11</v>
      </c>
      <c r="K1013" s="486" t="n">
        <v>26</v>
      </c>
      <c r="L1013" s="486" t="n">
        <v>2</v>
      </c>
      <c r="M1013" s="487" t="inlineStr">
        <is>
          <t>T</t>
        </is>
      </c>
    </row>
    <row r="1014">
      <c r="A1014" s="486" t="n">
        <v>16</v>
      </c>
      <c r="B1014" s="486" t="n">
        <v>3</v>
      </c>
      <c r="C1014" s="486" t="n">
        <v>2</v>
      </c>
      <c r="D1014" s="486" t="n">
        <v>1</v>
      </c>
      <c r="E1014" s="486" t="n">
        <v>2</v>
      </c>
      <c r="F1014" s="486" t="n">
        <v>2</v>
      </c>
      <c r="G1014" s="486" t="inlineStr">
        <is>
          <t>West-Down2</t>
        </is>
      </c>
      <c r="H1014" s="486" t="n">
        <v>1320.21</v>
      </c>
      <c r="I1014" s="486" t="n">
        <v>0</v>
      </c>
      <c r="J1014" s="486" t="n">
        <v>4</v>
      </c>
      <c r="K1014" s="486" t="n">
        <v>39</v>
      </c>
      <c r="L1014" s="486" t="n">
        <v>2</v>
      </c>
      <c r="M1014" s="487" t="inlineStr">
        <is>
          <t>T</t>
        </is>
      </c>
    </row>
    <row r="1015">
      <c r="A1015" s="486" t="n">
        <v>16</v>
      </c>
      <c r="B1015" s="486" t="n">
        <v>3</v>
      </c>
      <c r="C1015" s="486" t="n">
        <v>2</v>
      </c>
      <c r="D1015" s="486" t="n">
        <v>1</v>
      </c>
      <c r="E1015" s="486" t="n">
        <v>2</v>
      </c>
      <c r="F1015" s="486" t="n">
        <v>2</v>
      </c>
      <c r="G1015" s="486" t="inlineStr">
        <is>
          <t>East-Up2</t>
        </is>
      </c>
      <c r="H1015" s="486" t="n">
        <v>1320.63</v>
      </c>
      <c r="I1015" s="486" t="n">
        <v>0</v>
      </c>
      <c r="J1015" s="486" t="n">
        <v>4</v>
      </c>
      <c r="K1015" s="486" t="n">
        <v>2</v>
      </c>
      <c r="L1015" s="486" t="n">
        <v>2</v>
      </c>
      <c r="M1015" s="487" t="inlineStr">
        <is>
          <t>T</t>
        </is>
      </c>
    </row>
    <row r="1016">
      <c r="A1016" s="486" t="n">
        <v>16</v>
      </c>
      <c r="B1016" s="486" t="n">
        <v>3</v>
      </c>
      <c r="C1016" s="486" t="n">
        <v>2</v>
      </c>
      <c r="D1016" s="486" t="n">
        <v>1</v>
      </c>
      <c r="E1016" s="486" t="n">
        <v>2</v>
      </c>
      <c r="F1016" s="486" t="n">
        <v>2</v>
      </c>
      <c r="G1016" s="475" t="inlineStr">
        <is>
          <t>East-Up1</t>
        </is>
      </c>
      <c r="H1016" s="486" t="n">
        <v>2641.27</v>
      </c>
      <c r="I1016" s="486" t="n">
        <v>0</v>
      </c>
      <c r="J1016" s="486" t="n">
        <v>4</v>
      </c>
      <c r="K1016" s="486" t="n">
        <v>2</v>
      </c>
      <c r="L1016" s="486" t="n">
        <v>2</v>
      </c>
      <c r="M1016" s="487" t="inlineStr">
        <is>
          <t>T</t>
        </is>
      </c>
    </row>
    <row r="1017">
      <c r="A1017" s="486" t="n">
        <v>16</v>
      </c>
      <c r="B1017" s="486" t="n">
        <v>3</v>
      </c>
      <c r="C1017" s="486" t="n">
        <v>2</v>
      </c>
      <c r="D1017" s="486" t="n">
        <v>1</v>
      </c>
      <c r="E1017" s="486" t="n">
        <v>2</v>
      </c>
      <c r="F1017" s="486" t="n">
        <v>2</v>
      </c>
      <c r="G1017" s="486" t="inlineStr">
        <is>
          <t>East-Down1</t>
        </is>
      </c>
      <c r="H1017" s="486" t="n">
        <v>0</v>
      </c>
      <c r="I1017" s="486" t="n">
        <v>0</v>
      </c>
      <c r="J1017" s="486" t="n">
        <v>0</v>
      </c>
      <c r="K1017" s="486" t="n">
        <v>0</v>
      </c>
      <c r="L1017" s="486" t="n">
        <v>0</v>
      </c>
      <c r="M1017" s="487" t="inlineStr">
        <is>
          <t>T</t>
        </is>
      </c>
    </row>
    <row r="1018">
      <c r="A1018" s="486" t="n">
        <v>16</v>
      </c>
      <c r="B1018" s="486" t="n">
        <v>3</v>
      </c>
      <c r="C1018" s="486" t="n">
        <v>2</v>
      </c>
      <c r="D1018" s="486" t="n">
        <v>1</v>
      </c>
      <c r="E1018" s="486" t="n">
        <v>2</v>
      </c>
      <c r="F1018" s="486" t="n">
        <v>2</v>
      </c>
      <c r="G1018" s="486" t="inlineStr">
        <is>
          <t>East-Down2</t>
        </is>
      </c>
      <c r="H1018" s="486" t="n">
        <v>1319.71</v>
      </c>
      <c r="I1018" s="486" t="n">
        <v>0</v>
      </c>
      <c r="J1018" s="486" t="n">
        <v>5</v>
      </c>
      <c r="K1018" s="486" t="n">
        <v>51</v>
      </c>
      <c r="L1018" s="486" t="n">
        <v>2</v>
      </c>
      <c r="M1018" s="487" t="inlineStr">
        <is>
          <t>T</t>
        </is>
      </c>
    </row>
    <row r="1019">
      <c r="A1019" s="486" t="n">
        <v>16</v>
      </c>
      <c r="B1019" s="486" t="n">
        <v>3</v>
      </c>
      <c r="C1019" s="486" t="n">
        <v>2</v>
      </c>
      <c r="D1019" s="486" t="n">
        <v>1</v>
      </c>
      <c r="E1019" s="486" t="n">
        <v>2</v>
      </c>
      <c r="F1019" s="486" t="n">
        <v>2</v>
      </c>
      <c r="G1019" s="486" t="inlineStr">
        <is>
          <t>North-Left2</t>
        </is>
      </c>
      <c r="H1019" s="486" t="n">
        <v>1325.12</v>
      </c>
      <c r="I1019" s="486" t="n">
        <v>89</v>
      </c>
      <c r="J1019" s="486" t="n">
        <v>59</v>
      </c>
      <c r="K1019" s="486" t="n">
        <v>54</v>
      </c>
      <c r="L1019" s="486" t="n">
        <v>1</v>
      </c>
      <c r="M1019" s="487" t="inlineStr">
        <is>
          <t>T</t>
        </is>
      </c>
    </row>
    <row r="1020">
      <c r="A1020" s="486" t="n">
        <v>16</v>
      </c>
      <c r="B1020" s="486" t="n">
        <v>3</v>
      </c>
      <c r="C1020" s="486" t="n">
        <v>2</v>
      </c>
      <c r="D1020" s="486" t="n">
        <v>1</v>
      </c>
      <c r="E1020" s="486" t="n">
        <v>2</v>
      </c>
      <c r="F1020" s="486" t="n">
        <v>2</v>
      </c>
      <c r="G1020" s="475" t="inlineStr">
        <is>
          <t>North-Left1</t>
        </is>
      </c>
      <c r="H1020" s="486" t="n">
        <v>1320.2</v>
      </c>
      <c r="I1020" s="486" t="n">
        <v>89</v>
      </c>
      <c r="J1020" s="486" t="n">
        <v>59</v>
      </c>
      <c r="K1020" s="486" t="n">
        <v>52</v>
      </c>
      <c r="L1020" s="486" t="n">
        <v>2</v>
      </c>
      <c r="M1020" s="487" t="inlineStr">
        <is>
          <t>T</t>
        </is>
      </c>
    </row>
    <row r="1021">
      <c r="A1021" s="486" t="n">
        <v>16</v>
      </c>
      <c r="B1021" s="486" t="n">
        <v>3</v>
      </c>
      <c r="C1021" s="486" t="n">
        <v>2</v>
      </c>
      <c r="D1021" s="486" t="n">
        <v>1</v>
      </c>
      <c r="E1021" s="486" t="n">
        <v>2</v>
      </c>
      <c r="F1021" s="486" t="n">
        <v>2</v>
      </c>
      <c r="G1021" s="486" t="inlineStr">
        <is>
          <t>North-Right1</t>
        </is>
      </c>
      <c r="H1021" s="486" t="n">
        <v>2647.46</v>
      </c>
      <c r="I1021" s="486" t="n">
        <v>89</v>
      </c>
      <c r="J1021" s="486" t="n">
        <v>57</v>
      </c>
      <c r="K1021" s="486" t="n">
        <v>9</v>
      </c>
      <c r="L1021" s="486" t="n">
        <v>2</v>
      </c>
      <c r="M1021" s="487" t="inlineStr">
        <is>
          <t>T</t>
        </is>
      </c>
    </row>
    <row r="1022">
      <c r="A1022" s="486" t="n">
        <v>16</v>
      </c>
      <c r="B1022" s="486" t="n">
        <v>3</v>
      </c>
      <c r="C1022" s="486" t="n">
        <v>2</v>
      </c>
      <c r="D1022" s="486" t="n">
        <v>1</v>
      </c>
      <c r="E1022" s="486" t="n">
        <v>2</v>
      </c>
      <c r="F1022" s="486" t="n">
        <v>2</v>
      </c>
      <c r="G1022" s="486" t="inlineStr">
        <is>
          <t>North-Right2</t>
        </is>
      </c>
      <c r="H1022" s="486" t="n">
        <v>0</v>
      </c>
      <c r="I1022" s="486" t="n">
        <v>0</v>
      </c>
      <c r="J1022" s="486" t="n">
        <v>0</v>
      </c>
      <c r="K1022" s="486" t="n">
        <v>0</v>
      </c>
      <c r="L1022" s="486" t="n">
        <v>0</v>
      </c>
      <c r="M1022" s="487" t="inlineStr">
        <is>
          <t>T</t>
        </is>
      </c>
    </row>
    <row r="1023">
      <c r="A1023" s="486" t="n">
        <v>16</v>
      </c>
      <c r="B1023" s="486" t="n">
        <v>3</v>
      </c>
      <c r="C1023" s="486" t="n">
        <v>2</v>
      </c>
      <c r="D1023" s="486" t="n">
        <v>1</v>
      </c>
      <c r="E1023" s="486" t="n">
        <v>2</v>
      </c>
      <c r="F1023" s="486" t="n">
        <v>2</v>
      </c>
      <c r="G1023" s="486" t="inlineStr">
        <is>
          <t>South-Left2</t>
        </is>
      </c>
      <c r="H1023" s="486" t="n">
        <v>1325.58</v>
      </c>
      <c r="I1023" s="486" t="n">
        <v>89</v>
      </c>
      <c r="J1023" s="486" t="n">
        <v>53</v>
      </c>
      <c r="K1023" s="486" t="n">
        <v>20</v>
      </c>
      <c r="L1023" s="486" t="n">
        <v>3</v>
      </c>
      <c r="M1023" s="487" t="inlineStr">
        <is>
          <t>T</t>
        </is>
      </c>
    </row>
    <row r="1024">
      <c r="A1024" s="486" t="n">
        <v>16</v>
      </c>
      <c r="B1024" s="486" t="n">
        <v>3</v>
      </c>
      <c r="C1024" s="486" t="n">
        <v>2</v>
      </c>
      <c r="D1024" s="486" t="n">
        <v>1</v>
      </c>
      <c r="E1024" s="486" t="n">
        <v>2</v>
      </c>
      <c r="F1024" s="486" t="n">
        <v>2</v>
      </c>
      <c r="G1024" s="475" t="inlineStr">
        <is>
          <t>South-Left1</t>
        </is>
      </c>
      <c r="H1024" s="486" t="n">
        <v>1318.12</v>
      </c>
      <c r="I1024" s="486" t="n">
        <v>89</v>
      </c>
      <c r="J1024" s="486" t="n">
        <v>56</v>
      </c>
      <c r="K1024" s="486" t="n">
        <v>56</v>
      </c>
      <c r="L1024" s="486" t="n">
        <v>3</v>
      </c>
      <c r="M1024" s="487" t="inlineStr">
        <is>
          <t>T</t>
        </is>
      </c>
    </row>
    <row r="1025">
      <c r="A1025" s="486" t="n">
        <v>16</v>
      </c>
      <c r="B1025" s="486" t="n">
        <v>3</v>
      </c>
      <c r="C1025" s="486" t="n">
        <v>2</v>
      </c>
      <c r="D1025" s="486" t="n">
        <v>1</v>
      </c>
      <c r="E1025" s="486" t="n">
        <v>2</v>
      </c>
      <c r="F1025" s="486" t="n">
        <v>2</v>
      </c>
      <c r="G1025" s="486" t="inlineStr">
        <is>
          <t>South-Right1</t>
        </is>
      </c>
      <c r="H1025" s="486" t="n">
        <v>2641.17</v>
      </c>
      <c r="I1025" s="486" t="n">
        <v>89</v>
      </c>
      <c r="J1025" s="486" t="n">
        <v>55</v>
      </c>
      <c r="K1025" s="486" t="n">
        <v>18</v>
      </c>
      <c r="L1025" s="486" t="n">
        <v>1</v>
      </c>
      <c r="M1025" s="487" t="inlineStr">
        <is>
          <t>T</t>
        </is>
      </c>
    </row>
    <row r="1026">
      <c r="A1026" s="486" t="n">
        <v>16</v>
      </c>
      <c r="B1026" s="486" t="n">
        <v>3</v>
      </c>
      <c r="C1026" s="486" t="n">
        <v>2</v>
      </c>
      <c r="D1026" s="486" t="n">
        <v>1</v>
      </c>
      <c r="E1026" s="486" t="n">
        <v>2</v>
      </c>
      <c r="F1026" s="486" t="n">
        <v>2</v>
      </c>
      <c r="G1026" s="486" t="inlineStr">
        <is>
          <t>South-Right2</t>
        </is>
      </c>
      <c r="H1026" s="486" t="n">
        <v>0</v>
      </c>
      <c r="I1026" s="486" t="n">
        <v>0</v>
      </c>
      <c r="J1026" s="486" t="n">
        <v>0</v>
      </c>
      <c r="K1026" s="486" t="n">
        <v>0</v>
      </c>
      <c r="L1026" s="486" t="n">
        <v>0</v>
      </c>
      <c r="M1026" s="487" t="inlineStr">
        <is>
          <t>T</t>
        </is>
      </c>
    </row>
    <row r="1027" ht="15" customFormat="1" customHeight="1" s="524">
      <c r="A1027" s="486" t="n">
        <v>16</v>
      </c>
      <c r="B1027" s="486" t="n">
        <v>3</v>
      </c>
      <c r="C1027" s="486" t="n">
        <v>2</v>
      </c>
      <c r="D1027" s="486" t="n">
        <v>2</v>
      </c>
      <c r="E1027" s="486" t="n">
        <v>2</v>
      </c>
      <c r="F1027" s="486" t="n">
        <v>2</v>
      </c>
      <c r="G1027" s="486" t="inlineStr">
        <is>
          <t>West-Up2</t>
        </is>
      </c>
      <c r="H1027" s="486" t="n">
        <v>0</v>
      </c>
      <c r="I1027" s="486" t="n">
        <v>0</v>
      </c>
      <c r="J1027" s="486" t="n">
        <v>0</v>
      </c>
      <c r="K1027" s="486" t="n">
        <v>0</v>
      </c>
      <c r="L1027" s="486" t="n">
        <v>0</v>
      </c>
      <c r="M1027" s="487" t="inlineStr">
        <is>
          <t>T</t>
        </is>
      </c>
      <c r="N1027" s="511" t="n"/>
      <c r="O1027" s="511" t="n"/>
    </row>
    <row r="1028" ht="15" customFormat="1" customHeight="1" s="524">
      <c r="A1028" s="486" t="n">
        <v>16</v>
      </c>
      <c r="B1028" s="486" t="n">
        <v>3</v>
      </c>
      <c r="C1028" s="486" t="n">
        <v>2</v>
      </c>
      <c r="D1028" s="486" t="n">
        <v>2</v>
      </c>
      <c r="E1028" s="486" t="n">
        <v>2</v>
      </c>
      <c r="F1028" s="486" t="n">
        <v>2</v>
      </c>
      <c r="G1028" s="475" t="inlineStr">
        <is>
          <t>West-Up1</t>
        </is>
      </c>
      <c r="H1028" s="486" t="n">
        <v>2646.68</v>
      </c>
      <c r="I1028" s="486" t="n">
        <v>1</v>
      </c>
      <c r="J1028" s="486" t="n">
        <v>48</v>
      </c>
      <c r="K1028" s="486" t="n">
        <v>31</v>
      </c>
      <c r="L1028" s="486" t="n">
        <v>4</v>
      </c>
      <c r="M1028" s="487" t="inlineStr">
        <is>
          <t>T</t>
        </is>
      </c>
      <c r="N1028" s="511" t="n"/>
      <c r="O1028" s="511" t="n"/>
    </row>
    <row r="1029" ht="15" customFormat="1" customHeight="1" s="524">
      <c r="A1029" s="486" t="n">
        <v>16</v>
      </c>
      <c r="B1029" s="486" t="n">
        <v>3</v>
      </c>
      <c r="C1029" s="486" t="n">
        <v>2</v>
      </c>
      <c r="D1029" s="486" t="n">
        <v>2</v>
      </c>
      <c r="E1029" s="486" t="n">
        <v>2</v>
      </c>
      <c r="F1029" s="486" t="n">
        <v>2</v>
      </c>
      <c r="G1029" s="486" t="inlineStr">
        <is>
          <t>West-Down1</t>
        </is>
      </c>
      <c r="H1029" s="486" t="n">
        <v>2640.28</v>
      </c>
      <c r="I1029" s="486" t="n">
        <v>1</v>
      </c>
      <c r="J1029" s="486" t="n">
        <v>46</v>
      </c>
      <c r="K1029" s="486" t="n">
        <v>42</v>
      </c>
      <c r="L1029" s="486" t="n">
        <v>4</v>
      </c>
      <c r="M1029" s="487" t="inlineStr">
        <is>
          <t>T</t>
        </is>
      </c>
      <c r="N1029" s="511" t="n"/>
      <c r="O1029" s="511" t="n"/>
    </row>
    <row r="1030" ht="15" customFormat="1" customHeight="1" s="524">
      <c r="A1030" s="486" t="n">
        <v>16</v>
      </c>
      <c r="B1030" s="486" t="n">
        <v>3</v>
      </c>
      <c r="C1030" s="486" t="n">
        <v>2</v>
      </c>
      <c r="D1030" s="486" t="n">
        <v>2</v>
      </c>
      <c r="E1030" s="486" t="n">
        <v>2</v>
      </c>
      <c r="F1030" s="486" t="n">
        <v>2</v>
      </c>
      <c r="G1030" s="486" t="inlineStr">
        <is>
          <t>West-Down2</t>
        </is>
      </c>
      <c r="H1030" s="486" t="n">
        <v>0</v>
      </c>
      <c r="I1030" s="486" t="n">
        <v>0</v>
      </c>
      <c r="J1030" s="486" t="n">
        <v>0</v>
      </c>
      <c r="K1030" s="486" t="n">
        <v>0</v>
      </c>
      <c r="L1030" s="486" t="n">
        <v>0</v>
      </c>
      <c r="M1030" s="487" t="inlineStr">
        <is>
          <t>T</t>
        </is>
      </c>
      <c r="N1030" s="511" t="n"/>
      <c r="O1030" s="511" t="n"/>
    </row>
    <row r="1031" ht="15" customFormat="1" customHeight="1" s="524">
      <c r="A1031" s="486" t="n">
        <v>16</v>
      </c>
      <c r="B1031" s="486" t="n">
        <v>3</v>
      </c>
      <c r="C1031" s="486" t="n">
        <v>2</v>
      </c>
      <c r="D1031" s="486" t="n">
        <v>2</v>
      </c>
      <c r="E1031" s="486" t="n">
        <v>2</v>
      </c>
      <c r="F1031" s="486" t="n">
        <v>2</v>
      </c>
      <c r="G1031" s="486" t="inlineStr">
        <is>
          <t>East-Up2</t>
        </is>
      </c>
      <c r="H1031" s="486" t="n">
        <v>0</v>
      </c>
      <c r="I1031" s="486" t="n">
        <v>0</v>
      </c>
      <c r="J1031" s="486" t="n">
        <v>0</v>
      </c>
      <c r="K1031" s="486" t="n">
        <v>0</v>
      </c>
      <c r="L1031" s="486" t="n">
        <v>0</v>
      </c>
      <c r="M1031" s="487" t="inlineStr">
        <is>
          <t>T</t>
        </is>
      </c>
      <c r="N1031" s="511" t="n"/>
      <c r="O1031" s="511" t="n"/>
    </row>
    <row r="1032" ht="15" customFormat="1" customHeight="1" s="524">
      <c r="A1032" s="486" t="n">
        <v>16</v>
      </c>
      <c r="B1032" s="486" t="n">
        <v>3</v>
      </c>
      <c r="C1032" s="486" t="n">
        <v>2</v>
      </c>
      <c r="D1032" s="486" t="n">
        <v>2</v>
      </c>
      <c r="E1032" s="486" t="n">
        <v>2</v>
      </c>
      <c r="F1032" s="486" t="n">
        <v>2</v>
      </c>
      <c r="G1032" s="475" t="inlineStr">
        <is>
          <t>East-Up1</t>
        </is>
      </c>
      <c r="H1032" s="486" t="n">
        <v>5348.12</v>
      </c>
      <c r="I1032" s="486" t="n">
        <v>1</v>
      </c>
      <c r="J1032" s="486" t="n">
        <v>24</v>
      </c>
      <c r="K1032" s="486" t="n">
        <v>6</v>
      </c>
      <c r="L1032" s="486" t="n">
        <v>1</v>
      </c>
      <c r="M1032" s="487" t="inlineStr">
        <is>
          <t>T</t>
        </is>
      </c>
      <c r="N1032" s="511" t="n"/>
      <c r="O1032" s="511" t="n"/>
    </row>
    <row r="1033" ht="15" customFormat="1" customHeight="1" s="524">
      <c r="A1033" s="486" t="n">
        <v>16</v>
      </c>
      <c r="B1033" s="486" t="n">
        <v>3</v>
      </c>
      <c r="C1033" s="486" t="n">
        <v>2</v>
      </c>
      <c r="D1033" s="486" t="n">
        <v>2</v>
      </c>
      <c r="E1033" s="486" t="n">
        <v>2</v>
      </c>
      <c r="F1033" s="486" t="n">
        <v>2</v>
      </c>
      <c r="G1033" s="486" t="inlineStr">
        <is>
          <t>East-Down1</t>
        </is>
      </c>
      <c r="H1033" s="486" t="n">
        <v>0</v>
      </c>
      <c r="I1033" s="486" t="n">
        <v>0</v>
      </c>
      <c r="J1033" s="486" t="n">
        <v>0</v>
      </c>
      <c r="K1033" s="486" t="n">
        <v>0</v>
      </c>
      <c r="L1033" s="486" t="n">
        <v>0</v>
      </c>
      <c r="M1033" s="487" t="inlineStr">
        <is>
          <t>T</t>
        </is>
      </c>
      <c r="N1033" s="511" t="n"/>
      <c r="O1033" s="511" t="n"/>
    </row>
    <row r="1034" ht="15" customFormat="1" customHeight="1" s="524">
      <c r="A1034" s="486" t="n">
        <v>16</v>
      </c>
      <c r="B1034" s="486" t="n">
        <v>3</v>
      </c>
      <c r="C1034" s="486" t="n">
        <v>2</v>
      </c>
      <c r="D1034" s="486" t="n">
        <v>2</v>
      </c>
      <c r="E1034" s="486" t="n">
        <v>2</v>
      </c>
      <c r="F1034" s="486" t="n">
        <v>2</v>
      </c>
      <c r="G1034" s="486" t="inlineStr">
        <is>
          <t>East-Down2</t>
        </is>
      </c>
      <c r="H1034" s="486" t="n">
        <v>0</v>
      </c>
      <c r="I1034" s="486" t="n">
        <v>0</v>
      </c>
      <c r="J1034" s="486" t="n">
        <v>0</v>
      </c>
      <c r="K1034" s="486" t="n">
        <v>0</v>
      </c>
      <c r="L1034" s="486" t="n">
        <v>0</v>
      </c>
      <c r="M1034" s="487" t="inlineStr">
        <is>
          <t>T</t>
        </is>
      </c>
      <c r="N1034" s="511" t="n"/>
      <c r="O1034" s="511" t="n"/>
    </row>
    <row r="1035" ht="15" customFormat="1" customHeight="1" s="524">
      <c r="A1035" s="486" t="n">
        <v>16</v>
      </c>
      <c r="B1035" s="486" t="n">
        <v>3</v>
      </c>
      <c r="C1035" s="486" t="n">
        <v>2</v>
      </c>
      <c r="D1035" s="486" t="n">
        <v>2</v>
      </c>
      <c r="E1035" s="486" t="n">
        <v>2</v>
      </c>
      <c r="F1035" s="486" t="n">
        <v>2</v>
      </c>
      <c r="G1035" s="486" t="inlineStr">
        <is>
          <t>North-Left2</t>
        </is>
      </c>
      <c r="H1035" s="486" t="n">
        <v>0</v>
      </c>
      <c r="I1035" s="486" t="n">
        <v>0</v>
      </c>
      <c r="J1035" s="486" t="n">
        <v>0</v>
      </c>
      <c r="K1035" s="486" t="n">
        <v>0</v>
      </c>
      <c r="L1035" s="486" t="n">
        <v>0</v>
      </c>
      <c r="M1035" s="487" t="inlineStr">
        <is>
          <t>T</t>
        </is>
      </c>
      <c r="N1035" s="511" t="n"/>
      <c r="O1035" s="511" t="n"/>
    </row>
    <row r="1036" ht="15" customFormat="1" customHeight="1" s="524">
      <c r="A1036" s="486" t="n">
        <v>16</v>
      </c>
      <c r="B1036" s="486" t="n">
        <v>3</v>
      </c>
      <c r="C1036" s="486" t="n">
        <v>2</v>
      </c>
      <c r="D1036" s="486" t="n">
        <v>2</v>
      </c>
      <c r="E1036" s="486" t="n">
        <v>2</v>
      </c>
      <c r="F1036" s="486" t="n">
        <v>2</v>
      </c>
      <c r="G1036" s="475" t="inlineStr">
        <is>
          <t>North-Left1</t>
        </is>
      </c>
      <c r="H1036" s="486" t="n">
        <v>5294.54</v>
      </c>
      <c r="I1036" s="486" t="n">
        <v>88</v>
      </c>
      <c r="J1036" s="486" t="n">
        <v>39</v>
      </c>
      <c r="K1036" s="486" t="n">
        <v>21</v>
      </c>
      <c r="L1036" s="486" t="n">
        <v>2</v>
      </c>
      <c r="M1036" s="487" t="inlineStr">
        <is>
          <t>T</t>
        </is>
      </c>
      <c r="N1036" s="511" t="n"/>
      <c r="O1036" s="511" t="n"/>
    </row>
    <row r="1037" ht="15" customFormat="1" customHeight="1" s="524">
      <c r="A1037" s="486" t="n">
        <v>16</v>
      </c>
      <c r="B1037" s="486" t="n">
        <v>3</v>
      </c>
      <c r="C1037" s="486" t="n">
        <v>2</v>
      </c>
      <c r="D1037" s="486" t="n">
        <v>2</v>
      </c>
      <c r="E1037" s="486" t="n">
        <v>2</v>
      </c>
      <c r="F1037" s="486" t="n">
        <v>2</v>
      </c>
      <c r="G1037" s="486" t="inlineStr">
        <is>
          <t>North-Right1</t>
        </is>
      </c>
      <c r="H1037" s="486" t="n">
        <v>0</v>
      </c>
      <c r="I1037" s="486" t="n">
        <v>0</v>
      </c>
      <c r="J1037" s="486" t="n">
        <v>0</v>
      </c>
      <c r="K1037" s="486" t="n">
        <v>0</v>
      </c>
      <c r="L1037" s="486" t="n">
        <v>0</v>
      </c>
      <c r="M1037" s="487" t="inlineStr">
        <is>
          <t>T</t>
        </is>
      </c>
      <c r="N1037" s="511" t="n"/>
      <c r="O1037" s="511" t="n"/>
    </row>
    <row r="1038" ht="15" customFormat="1" customHeight="1" s="524">
      <c r="A1038" s="486" t="n">
        <v>16</v>
      </c>
      <c r="B1038" s="486" t="n">
        <v>3</v>
      </c>
      <c r="C1038" s="486" t="n">
        <v>2</v>
      </c>
      <c r="D1038" s="486" t="n">
        <v>2</v>
      </c>
      <c r="E1038" s="486" t="n">
        <v>2</v>
      </c>
      <c r="F1038" s="486" t="n">
        <v>2</v>
      </c>
      <c r="G1038" s="486" t="inlineStr">
        <is>
          <t>North-Right2</t>
        </is>
      </c>
      <c r="H1038" s="486" t="n">
        <v>0</v>
      </c>
      <c r="I1038" s="486" t="n">
        <v>0</v>
      </c>
      <c r="J1038" s="486" t="n">
        <v>0</v>
      </c>
      <c r="K1038" s="486" t="n">
        <v>0</v>
      </c>
      <c r="L1038" s="486" t="n">
        <v>0</v>
      </c>
      <c r="M1038" s="487" t="inlineStr">
        <is>
          <t>T</t>
        </is>
      </c>
      <c r="N1038" s="511" t="n"/>
      <c r="O1038" s="511" t="n"/>
    </row>
    <row r="1039" ht="15" customFormat="1" customHeight="1" s="524">
      <c r="A1039" s="486" t="n">
        <v>16</v>
      </c>
      <c r="B1039" s="486" t="n">
        <v>3</v>
      </c>
      <c r="C1039" s="486" t="n">
        <v>2</v>
      </c>
      <c r="D1039" s="486" t="n">
        <v>2</v>
      </c>
      <c r="E1039" s="486" t="n">
        <v>2</v>
      </c>
      <c r="F1039" s="486" t="n">
        <v>2</v>
      </c>
      <c r="G1039" s="486" t="inlineStr">
        <is>
          <t>South-Left2</t>
        </is>
      </c>
      <c r="H1039" s="486" t="n">
        <v>1323.3</v>
      </c>
      <c r="I1039" s="486" t="n">
        <v>89</v>
      </c>
      <c r="J1039" s="486" t="n">
        <v>26</v>
      </c>
      <c r="K1039" s="486" t="n">
        <v>3</v>
      </c>
      <c r="L1039" s="486" t="n">
        <v>1</v>
      </c>
      <c r="M1039" s="487" t="inlineStr">
        <is>
          <t>T</t>
        </is>
      </c>
      <c r="N1039" s="511" t="n"/>
      <c r="O1039" s="511" t="n"/>
    </row>
    <row r="1040" ht="15" customFormat="1" customHeight="1" s="524">
      <c r="A1040" s="486" t="n">
        <v>16</v>
      </c>
      <c r="B1040" s="486" t="n">
        <v>3</v>
      </c>
      <c r="C1040" s="486" t="n">
        <v>2</v>
      </c>
      <c r="D1040" s="486" t="n">
        <v>2</v>
      </c>
      <c r="E1040" s="486" t="n">
        <v>2</v>
      </c>
      <c r="F1040" s="486" t="n">
        <v>2</v>
      </c>
      <c r="G1040" s="475" t="inlineStr">
        <is>
          <t>South-Left1</t>
        </is>
      </c>
      <c r="H1040" s="486" t="n">
        <v>1301.71</v>
      </c>
      <c r="I1040" s="486" t="n">
        <v>89</v>
      </c>
      <c r="J1040" s="486" t="n">
        <v>2</v>
      </c>
      <c r="K1040" s="486" t="n">
        <v>57</v>
      </c>
      <c r="L1040" s="486" t="n">
        <v>2</v>
      </c>
      <c r="M1040" s="487" t="inlineStr">
        <is>
          <t>T</t>
        </is>
      </c>
      <c r="N1040" s="511" t="n"/>
      <c r="O1040" s="511" t="n"/>
    </row>
    <row r="1041" ht="15" customFormat="1" customHeight="1" s="524">
      <c r="A1041" s="486" t="n">
        <v>16</v>
      </c>
      <c r="B1041" s="486" t="n">
        <v>3</v>
      </c>
      <c r="C1041" s="486" t="n">
        <v>2</v>
      </c>
      <c r="D1041" s="486" t="n">
        <v>2</v>
      </c>
      <c r="E1041" s="486" t="n">
        <v>2</v>
      </c>
      <c r="F1041" s="486" t="n">
        <v>2</v>
      </c>
      <c r="G1041" s="486" t="inlineStr">
        <is>
          <t>South-Right1</t>
        </is>
      </c>
      <c r="H1041" s="486" t="n">
        <v>2634.21</v>
      </c>
      <c r="I1041" s="486" t="n">
        <v>88</v>
      </c>
      <c r="J1041" s="486" t="n">
        <v>50</v>
      </c>
      <c r="K1041" s="486" t="n">
        <v>10</v>
      </c>
      <c r="L1041" s="486" t="n">
        <v>2</v>
      </c>
      <c r="M1041" s="487" t="inlineStr">
        <is>
          <t>T</t>
        </is>
      </c>
      <c r="N1041" s="511" t="n"/>
      <c r="O1041" s="511" t="n"/>
    </row>
    <row r="1042" ht="15" customFormat="1" customHeight="1" s="524">
      <c r="A1042" s="486" t="n">
        <v>16</v>
      </c>
      <c r="B1042" s="486" t="n">
        <v>3</v>
      </c>
      <c r="C1042" s="486" t="n">
        <v>2</v>
      </c>
      <c r="D1042" s="486" t="n">
        <v>2</v>
      </c>
      <c r="E1042" s="486" t="n">
        <v>2</v>
      </c>
      <c r="F1042" s="486" t="n">
        <v>2</v>
      </c>
      <c r="G1042" s="486" t="inlineStr">
        <is>
          <t>South-Right2</t>
        </is>
      </c>
      <c r="H1042" s="486" t="n">
        <v>0</v>
      </c>
      <c r="I1042" s="486" t="n">
        <v>0</v>
      </c>
      <c r="J1042" s="486" t="n">
        <v>0</v>
      </c>
      <c r="K1042" s="486" t="n">
        <v>0</v>
      </c>
      <c r="L1042" s="486" t="n">
        <v>0</v>
      </c>
      <c r="M1042" s="487" t="inlineStr">
        <is>
          <t>T</t>
        </is>
      </c>
      <c r="N1042" s="511" t="n"/>
      <c r="O1042" s="511" t="n"/>
    </row>
    <row r="1043">
      <c r="A1043" s="485" t="n">
        <v>16</v>
      </c>
      <c r="B1043" s="485" t="n">
        <v>3</v>
      </c>
      <c r="C1043" s="485" t="n">
        <v>2</v>
      </c>
      <c r="D1043" s="485" t="n">
        <v>5</v>
      </c>
      <c r="E1043" s="485" t="n">
        <v>2</v>
      </c>
      <c r="F1043" s="485" t="n">
        <v>2</v>
      </c>
      <c r="G1043" s="485" t="inlineStr">
        <is>
          <t>West-Up2</t>
        </is>
      </c>
      <c r="H1043" s="511" t="n">
        <v>0</v>
      </c>
      <c r="I1043" s="511" t="n">
        <v>0</v>
      </c>
      <c r="J1043" s="511" t="n">
        <v>0</v>
      </c>
      <c r="K1043" s="511" t="n">
        <v>0</v>
      </c>
      <c r="L1043" s="511" t="n">
        <v>0</v>
      </c>
      <c r="M1043" s="500" t="inlineStr">
        <is>
          <t>T</t>
        </is>
      </c>
    </row>
    <row r="1044">
      <c r="A1044" s="485" t="n">
        <v>16</v>
      </c>
      <c r="B1044" s="485" t="n">
        <v>3</v>
      </c>
      <c r="C1044" s="485" t="n">
        <v>2</v>
      </c>
      <c r="D1044" s="485" t="n">
        <v>5</v>
      </c>
      <c r="E1044" s="485" t="n">
        <v>2</v>
      </c>
      <c r="F1044" s="485" t="n">
        <v>2</v>
      </c>
      <c r="G1044" s="516" t="inlineStr">
        <is>
          <t>West-Up1</t>
        </is>
      </c>
      <c r="H1044" s="511" t="n">
        <v>2638.96</v>
      </c>
      <c r="I1044" s="511" t="n">
        <v>0</v>
      </c>
      <c r="J1044" s="511" t="n">
        <v>31</v>
      </c>
      <c r="K1044" s="511" t="n">
        <v>12</v>
      </c>
      <c r="L1044" s="511" t="n">
        <v>2</v>
      </c>
      <c r="M1044" s="500" t="inlineStr">
        <is>
          <t>T</t>
        </is>
      </c>
    </row>
    <row r="1045">
      <c r="A1045" s="485" t="n">
        <v>16</v>
      </c>
      <c r="B1045" s="485" t="n">
        <v>3</v>
      </c>
      <c r="C1045" s="485" t="n">
        <v>2</v>
      </c>
      <c r="D1045" s="485" t="n">
        <v>5</v>
      </c>
      <c r="E1045" s="485" t="n">
        <v>2</v>
      </c>
      <c r="F1045" s="485" t="n">
        <v>2</v>
      </c>
      <c r="G1045" s="485" t="inlineStr">
        <is>
          <t>West-Down1</t>
        </is>
      </c>
      <c r="H1045" s="511" t="n">
        <v>2655.95</v>
      </c>
      <c r="I1045" s="511" t="n">
        <v>0</v>
      </c>
      <c r="J1045" s="511" t="n">
        <v>2</v>
      </c>
      <c r="K1045" s="511" t="n">
        <v>9</v>
      </c>
      <c r="L1045" s="511" t="n">
        <v>4</v>
      </c>
      <c r="M1045" s="500" t="inlineStr">
        <is>
          <t>T</t>
        </is>
      </c>
    </row>
    <row r="1046">
      <c r="A1046" s="485" t="n">
        <v>16</v>
      </c>
      <c r="B1046" s="485" t="n">
        <v>3</v>
      </c>
      <c r="C1046" s="485" t="n">
        <v>2</v>
      </c>
      <c r="D1046" s="485" t="n">
        <v>5</v>
      </c>
      <c r="E1046" s="485" t="n">
        <v>2</v>
      </c>
      <c r="F1046" s="485" t="n">
        <v>2</v>
      </c>
      <c r="G1046" s="485" t="inlineStr">
        <is>
          <t>West-Down2</t>
        </is>
      </c>
      <c r="H1046" s="511" t="n">
        <v>0</v>
      </c>
      <c r="I1046" s="511" t="n">
        <v>0</v>
      </c>
      <c r="J1046" s="511" t="n">
        <v>0</v>
      </c>
      <c r="K1046" s="511" t="n">
        <v>0</v>
      </c>
      <c r="L1046" s="511" t="n">
        <v>0</v>
      </c>
      <c r="M1046" s="500" t="inlineStr">
        <is>
          <t>T</t>
        </is>
      </c>
    </row>
    <row r="1047">
      <c r="A1047" s="485" t="n">
        <v>16</v>
      </c>
      <c r="B1047" s="485" t="n">
        <v>3</v>
      </c>
      <c r="C1047" s="485" t="n">
        <v>2</v>
      </c>
      <c r="D1047" s="485" t="n">
        <v>5</v>
      </c>
      <c r="E1047" s="485" t="n">
        <v>2</v>
      </c>
      <c r="F1047" s="485" t="n">
        <v>2</v>
      </c>
      <c r="G1047" s="485" t="inlineStr">
        <is>
          <t>East-Up2</t>
        </is>
      </c>
      <c r="H1047" s="511" t="n">
        <v>0</v>
      </c>
      <c r="I1047" s="511" t="n">
        <v>0</v>
      </c>
      <c r="J1047" s="511" t="n">
        <v>0</v>
      </c>
      <c r="K1047" s="511" t="n">
        <v>0</v>
      </c>
      <c r="L1047" s="511" t="n">
        <v>0</v>
      </c>
      <c r="M1047" s="500" t="inlineStr">
        <is>
          <t>T</t>
        </is>
      </c>
    </row>
    <row r="1048">
      <c r="A1048" s="485" t="n">
        <v>16</v>
      </c>
      <c r="B1048" s="485" t="n">
        <v>3</v>
      </c>
      <c r="C1048" s="485" t="n">
        <v>2</v>
      </c>
      <c r="D1048" s="485" t="n">
        <v>5</v>
      </c>
      <c r="E1048" s="485" t="n">
        <v>2</v>
      </c>
      <c r="F1048" s="485" t="n">
        <v>2</v>
      </c>
      <c r="G1048" s="516" t="inlineStr">
        <is>
          <t>East-Up1</t>
        </is>
      </c>
      <c r="H1048" s="511" t="n">
        <v>2642.47</v>
      </c>
      <c r="I1048" s="511" t="n">
        <v>0</v>
      </c>
      <c r="J1048" s="511" t="n">
        <v>9</v>
      </c>
      <c r="K1048" s="511" t="n">
        <v>53</v>
      </c>
      <c r="L1048" s="511" t="n">
        <v>4</v>
      </c>
      <c r="M1048" s="500" t="inlineStr">
        <is>
          <t>T</t>
        </is>
      </c>
    </row>
    <row r="1049">
      <c r="A1049" s="485" t="n">
        <v>16</v>
      </c>
      <c r="B1049" s="485" t="n">
        <v>3</v>
      </c>
      <c r="C1049" s="485" t="n">
        <v>2</v>
      </c>
      <c r="D1049" s="485" t="n">
        <v>5</v>
      </c>
      <c r="E1049" s="485" t="n">
        <v>2</v>
      </c>
      <c r="F1049" s="485" t="n">
        <v>2</v>
      </c>
      <c r="G1049" s="485" t="inlineStr">
        <is>
          <t>East-Down1</t>
        </is>
      </c>
      <c r="H1049" s="511" t="n">
        <v>2644.13</v>
      </c>
      <c r="I1049" s="511" t="n">
        <v>0</v>
      </c>
      <c r="J1049" s="511" t="n">
        <v>6</v>
      </c>
      <c r="K1049" s="511" t="n">
        <v>17</v>
      </c>
      <c r="L1049" s="511" t="n">
        <v>4</v>
      </c>
      <c r="M1049" s="500" t="inlineStr">
        <is>
          <t>T</t>
        </is>
      </c>
    </row>
    <row r="1050">
      <c r="A1050" s="485" t="n">
        <v>16</v>
      </c>
      <c r="B1050" s="485" t="n">
        <v>3</v>
      </c>
      <c r="C1050" s="485" t="n">
        <v>2</v>
      </c>
      <c r="D1050" s="485" t="n">
        <v>5</v>
      </c>
      <c r="E1050" s="485" t="n">
        <v>2</v>
      </c>
      <c r="F1050" s="485" t="n">
        <v>2</v>
      </c>
      <c r="G1050" s="485" t="inlineStr">
        <is>
          <t>East-Down2</t>
        </is>
      </c>
      <c r="H1050" s="511" t="n">
        <v>0</v>
      </c>
      <c r="I1050" s="511" t="n">
        <v>0</v>
      </c>
      <c r="J1050" s="511" t="n">
        <v>0</v>
      </c>
      <c r="K1050" s="511" t="n">
        <v>0</v>
      </c>
      <c r="L1050" s="511" t="n">
        <v>0</v>
      </c>
      <c r="M1050" s="500" t="inlineStr">
        <is>
          <t>T</t>
        </is>
      </c>
    </row>
    <row r="1051">
      <c r="A1051" s="485" t="n">
        <v>16</v>
      </c>
      <c r="B1051" s="485" t="n">
        <v>3</v>
      </c>
      <c r="C1051" s="485" t="n">
        <v>2</v>
      </c>
      <c r="D1051" s="485" t="n">
        <v>5</v>
      </c>
      <c r="E1051" s="485" t="n">
        <v>2</v>
      </c>
      <c r="F1051" s="485" t="n">
        <v>2</v>
      </c>
      <c r="G1051" s="485" t="inlineStr">
        <is>
          <t>North-Left2</t>
        </is>
      </c>
      <c r="H1051" s="511" t="n">
        <v>0</v>
      </c>
      <c r="I1051" s="511" t="n">
        <v>0</v>
      </c>
      <c r="J1051" s="511" t="n">
        <v>0</v>
      </c>
      <c r="K1051" s="511" t="n">
        <v>0</v>
      </c>
      <c r="L1051" s="511" t="n">
        <v>0</v>
      </c>
      <c r="M1051" s="500" t="inlineStr">
        <is>
          <t>T</t>
        </is>
      </c>
    </row>
    <row r="1052">
      <c r="A1052" s="485" t="n">
        <v>16</v>
      </c>
      <c r="B1052" s="485" t="n">
        <v>3</v>
      </c>
      <c r="C1052" s="485" t="n">
        <v>2</v>
      </c>
      <c r="D1052" s="485" t="n">
        <v>5</v>
      </c>
      <c r="E1052" s="485" t="n">
        <v>2</v>
      </c>
      <c r="F1052" s="485" t="n">
        <v>2</v>
      </c>
      <c r="G1052" s="516" t="inlineStr">
        <is>
          <t>North-Left1</t>
        </is>
      </c>
      <c r="H1052" s="511" t="n">
        <v>2638.8</v>
      </c>
      <c r="I1052" s="511" t="n">
        <v>89</v>
      </c>
      <c r="J1052" s="511" t="n">
        <v>49</v>
      </c>
      <c r="K1052" s="511" t="n">
        <v>46</v>
      </c>
      <c r="L1052" s="511" t="n">
        <v>3</v>
      </c>
      <c r="M1052" s="500" t="inlineStr">
        <is>
          <t>T</t>
        </is>
      </c>
    </row>
    <row r="1053">
      <c r="A1053" s="485" t="n">
        <v>16</v>
      </c>
      <c r="B1053" s="485" t="n">
        <v>3</v>
      </c>
      <c r="C1053" s="485" t="n">
        <v>2</v>
      </c>
      <c r="D1053" s="485" t="n">
        <v>5</v>
      </c>
      <c r="E1053" s="485" t="n">
        <v>2</v>
      </c>
      <c r="F1053" s="485" t="n">
        <v>2</v>
      </c>
      <c r="G1053" s="485" t="inlineStr">
        <is>
          <t>North-Right1</t>
        </is>
      </c>
      <c r="H1053" s="511" t="n">
        <v>2659.3</v>
      </c>
      <c r="I1053" s="511" t="n">
        <v>89</v>
      </c>
      <c r="J1053" s="511" t="n">
        <v>53</v>
      </c>
      <c r="K1053" s="511" t="n">
        <v>58</v>
      </c>
      <c r="L1053" s="511" t="n">
        <v>3</v>
      </c>
      <c r="M1053" s="500" t="inlineStr">
        <is>
          <t>T</t>
        </is>
      </c>
    </row>
    <row r="1054">
      <c r="A1054" s="485" t="n">
        <v>16</v>
      </c>
      <c r="B1054" s="485" t="n">
        <v>3</v>
      </c>
      <c r="C1054" s="485" t="n">
        <v>2</v>
      </c>
      <c r="D1054" s="485" t="n">
        <v>5</v>
      </c>
      <c r="E1054" s="485" t="n">
        <v>2</v>
      </c>
      <c r="F1054" s="485" t="n">
        <v>2</v>
      </c>
      <c r="G1054" s="485" t="inlineStr">
        <is>
          <t>North-Right2</t>
        </is>
      </c>
      <c r="H1054" s="511" t="n">
        <v>0</v>
      </c>
      <c r="I1054" s="511" t="n">
        <v>0</v>
      </c>
      <c r="J1054" s="511" t="n">
        <v>0</v>
      </c>
      <c r="K1054" s="511" t="n">
        <v>0</v>
      </c>
      <c r="L1054" s="511" t="n">
        <v>0</v>
      </c>
      <c r="M1054" s="500" t="inlineStr">
        <is>
          <t>T</t>
        </is>
      </c>
    </row>
    <row r="1055">
      <c r="A1055" s="485" t="n">
        <v>16</v>
      </c>
      <c r="B1055" s="485" t="n">
        <v>3</v>
      </c>
      <c r="C1055" s="485" t="n">
        <v>2</v>
      </c>
      <c r="D1055" s="485" t="n">
        <v>5</v>
      </c>
      <c r="E1055" s="485" t="n">
        <v>2</v>
      </c>
      <c r="F1055" s="485" t="n">
        <v>2</v>
      </c>
      <c r="G1055" s="485" t="inlineStr">
        <is>
          <t>South-Left2</t>
        </is>
      </c>
      <c r="H1055" s="511" t="n">
        <v>0</v>
      </c>
      <c r="I1055" s="511" t="n">
        <v>0</v>
      </c>
      <c r="J1055" s="511" t="n">
        <v>0</v>
      </c>
      <c r="K1055" s="511" t="n">
        <v>0</v>
      </c>
      <c r="L1055" s="511" t="n">
        <v>0</v>
      </c>
      <c r="M1055" s="500" t="inlineStr">
        <is>
          <t>T</t>
        </is>
      </c>
    </row>
    <row r="1056">
      <c r="A1056" s="485" t="n">
        <v>16</v>
      </c>
      <c r="B1056" s="485" t="n">
        <v>3</v>
      </c>
      <c r="C1056" s="485" t="n">
        <v>2</v>
      </c>
      <c r="D1056" s="485" t="n">
        <v>5</v>
      </c>
      <c r="E1056" s="485" t="n">
        <v>2</v>
      </c>
      <c r="F1056" s="485" t="n">
        <v>2</v>
      </c>
      <c r="G1056" s="516" t="inlineStr">
        <is>
          <t>South-Left1</t>
        </is>
      </c>
      <c r="H1056" s="511" t="n">
        <v>2694.58</v>
      </c>
      <c r="I1056" s="511" t="n">
        <v>89</v>
      </c>
      <c r="J1056" s="511" t="n">
        <v>53</v>
      </c>
      <c r="K1056" s="511" t="n">
        <v>24</v>
      </c>
      <c r="L1056" s="511" t="n">
        <v>1</v>
      </c>
      <c r="M1056" s="500" t="inlineStr">
        <is>
          <t>T</t>
        </is>
      </c>
    </row>
    <row r="1057">
      <c r="A1057" s="485" t="n">
        <v>16</v>
      </c>
      <c r="B1057" s="485" t="n">
        <v>3</v>
      </c>
      <c r="C1057" s="485" t="n">
        <v>2</v>
      </c>
      <c r="D1057" s="485" t="n">
        <v>5</v>
      </c>
      <c r="E1057" s="485" t="n">
        <v>2</v>
      </c>
      <c r="F1057" s="485" t="n">
        <v>2</v>
      </c>
      <c r="G1057" s="485" t="inlineStr">
        <is>
          <t>South-Right1</t>
        </is>
      </c>
      <c r="H1057" s="511" t="n">
        <v>2638.9</v>
      </c>
      <c r="I1057" s="511" t="n">
        <v>89</v>
      </c>
      <c r="J1057" s="511" t="n">
        <v>26</v>
      </c>
      <c r="K1057" s="511" t="n">
        <v>15</v>
      </c>
      <c r="L1057" s="511" t="n">
        <v>3</v>
      </c>
      <c r="M1057" s="500" t="inlineStr">
        <is>
          <t>T</t>
        </is>
      </c>
    </row>
    <row r="1058">
      <c r="A1058" s="485" t="n">
        <v>16</v>
      </c>
      <c r="B1058" s="485" t="n">
        <v>3</v>
      </c>
      <c r="C1058" s="485" t="n">
        <v>2</v>
      </c>
      <c r="D1058" s="485" t="n">
        <v>5</v>
      </c>
      <c r="E1058" s="485" t="n">
        <v>2</v>
      </c>
      <c r="F1058" s="485" t="n">
        <v>2</v>
      </c>
      <c r="G1058" s="485" t="inlineStr">
        <is>
          <t>South-Right2</t>
        </is>
      </c>
      <c r="H1058" s="511" t="n">
        <v>0</v>
      </c>
      <c r="I1058" s="511" t="n">
        <v>0</v>
      </c>
      <c r="J1058" s="511" t="n">
        <v>0</v>
      </c>
      <c r="K1058" s="511" t="n">
        <v>0</v>
      </c>
      <c r="L1058" s="511" t="n">
        <v>0</v>
      </c>
      <c r="M1058" s="500" t="inlineStr">
        <is>
          <t>T</t>
        </is>
      </c>
    </row>
    <row r="1059">
      <c r="A1059" s="486" t="n">
        <v>17</v>
      </c>
      <c r="B1059" s="486" t="n">
        <v>7</v>
      </c>
      <c r="C1059" s="486" t="n">
        <v>2</v>
      </c>
      <c r="D1059" s="486" t="n">
        <v>20</v>
      </c>
      <c r="E1059" s="486" t="n">
        <v>1</v>
      </c>
      <c r="F1059" s="486" t="n">
        <v>1</v>
      </c>
      <c r="G1059" s="486" t="inlineStr">
        <is>
          <t>West-Up2</t>
        </is>
      </c>
      <c r="H1059" s="486" t="n">
        <v>0</v>
      </c>
      <c r="I1059" s="486" t="n">
        <v>0</v>
      </c>
      <c r="J1059" s="486" t="n">
        <v>0</v>
      </c>
      <c r="K1059" s="486" t="n">
        <v>0</v>
      </c>
      <c r="L1059" s="486" t="n">
        <v>0</v>
      </c>
      <c r="M1059" s="487" t="inlineStr">
        <is>
          <t>G</t>
        </is>
      </c>
    </row>
    <row r="1060">
      <c r="A1060" s="486" t="n">
        <v>17</v>
      </c>
      <c r="B1060" s="486" t="n">
        <v>7</v>
      </c>
      <c r="C1060" s="486" t="n">
        <v>2</v>
      </c>
      <c r="D1060" s="486" t="n">
        <v>20</v>
      </c>
      <c r="E1060" s="486" t="n">
        <v>1</v>
      </c>
      <c r="F1060" s="486" t="n">
        <v>1</v>
      </c>
      <c r="G1060" s="475" t="inlineStr">
        <is>
          <t>West-Up1</t>
        </is>
      </c>
      <c r="H1060" s="486" t="n">
        <v>2654.76</v>
      </c>
      <c r="I1060" s="486" t="n">
        <v>2</v>
      </c>
      <c r="J1060" s="486" t="n">
        <v>2</v>
      </c>
      <c r="K1060" s="486" t="n">
        <v>20</v>
      </c>
      <c r="L1060" s="486" t="n">
        <v>2</v>
      </c>
      <c r="M1060" s="487" t="inlineStr">
        <is>
          <t>G</t>
        </is>
      </c>
    </row>
    <row r="1061">
      <c r="A1061" s="486" t="n">
        <v>17</v>
      </c>
      <c r="B1061" s="486" t="n">
        <v>7</v>
      </c>
      <c r="C1061" s="486" t="n">
        <v>2</v>
      </c>
      <c r="D1061" s="486" t="n">
        <v>20</v>
      </c>
      <c r="E1061" s="486" t="n">
        <v>1</v>
      </c>
      <c r="F1061" s="486" t="n">
        <v>1</v>
      </c>
      <c r="G1061" s="486" t="inlineStr">
        <is>
          <t>West-Down1</t>
        </is>
      </c>
      <c r="H1061" s="486" t="n">
        <v>2647.82</v>
      </c>
      <c r="I1061" s="486" t="n">
        <v>1</v>
      </c>
      <c r="J1061" s="486" t="n">
        <v>56</v>
      </c>
      <c r="K1061" s="486" t="n">
        <v>41</v>
      </c>
      <c r="L1061" s="486" t="n">
        <v>4</v>
      </c>
      <c r="M1061" s="487" t="inlineStr">
        <is>
          <t>G</t>
        </is>
      </c>
    </row>
    <row r="1062">
      <c r="A1062" s="486" t="n">
        <v>17</v>
      </c>
      <c r="B1062" s="486" t="n">
        <v>7</v>
      </c>
      <c r="C1062" s="486" t="n">
        <v>2</v>
      </c>
      <c r="D1062" s="486" t="n">
        <v>20</v>
      </c>
      <c r="E1062" s="486" t="n">
        <v>1</v>
      </c>
      <c r="F1062" s="486" t="n">
        <v>1</v>
      </c>
      <c r="G1062" s="486" t="inlineStr">
        <is>
          <t>West-Down2</t>
        </is>
      </c>
      <c r="H1062" s="486" t="n">
        <v>0</v>
      </c>
      <c r="I1062" s="486" t="n">
        <v>0</v>
      </c>
      <c r="J1062" s="486" t="n">
        <v>0</v>
      </c>
      <c r="K1062" s="486" t="n">
        <v>0</v>
      </c>
      <c r="L1062" s="486" t="n">
        <v>0</v>
      </c>
      <c r="M1062" s="487" t="inlineStr">
        <is>
          <t>G</t>
        </is>
      </c>
    </row>
    <row r="1063">
      <c r="A1063" s="486" t="n">
        <v>17</v>
      </c>
      <c r="B1063" s="486" t="n">
        <v>7</v>
      </c>
      <c r="C1063" s="486" t="n">
        <v>2</v>
      </c>
      <c r="D1063" s="486" t="n">
        <v>20</v>
      </c>
      <c r="E1063" s="486" t="n">
        <v>1</v>
      </c>
      <c r="F1063" s="486" t="n">
        <v>1</v>
      </c>
      <c r="G1063" s="486" t="inlineStr">
        <is>
          <t>East-Up2</t>
        </is>
      </c>
      <c r="H1063" s="486" t="n">
        <v>0</v>
      </c>
      <c r="I1063" s="486" t="n">
        <v>0</v>
      </c>
      <c r="J1063" s="486" t="n">
        <v>0</v>
      </c>
      <c r="K1063" s="486" t="n">
        <v>0</v>
      </c>
      <c r="L1063" s="486" t="n">
        <v>0</v>
      </c>
      <c r="M1063" s="487" t="inlineStr">
        <is>
          <t>G</t>
        </is>
      </c>
    </row>
    <row r="1064">
      <c r="A1064" s="486" t="n">
        <v>17</v>
      </c>
      <c r="B1064" s="486" t="n">
        <v>7</v>
      </c>
      <c r="C1064" s="486" t="n">
        <v>2</v>
      </c>
      <c r="D1064" s="486" t="n">
        <v>20</v>
      </c>
      <c r="E1064" s="486" t="n">
        <v>1</v>
      </c>
      <c r="F1064" s="486" t="n">
        <v>1</v>
      </c>
      <c r="G1064" s="475" t="inlineStr">
        <is>
          <t>East-Up1</t>
        </is>
      </c>
      <c r="H1064" s="486" t="n">
        <v>2628.82</v>
      </c>
      <c r="I1064" s="486" t="n">
        <v>1</v>
      </c>
      <c r="J1064" s="486" t="n">
        <v>48</v>
      </c>
      <c r="K1064" s="486" t="n">
        <v>48</v>
      </c>
      <c r="L1064" s="486" t="n">
        <v>4</v>
      </c>
      <c r="M1064" s="487" t="inlineStr">
        <is>
          <t>G</t>
        </is>
      </c>
    </row>
    <row r="1065">
      <c r="A1065" s="486" t="n">
        <v>17</v>
      </c>
      <c r="B1065" s="486" t="n">
        <v>7</v>
      </c>
      <c r="C1065" s="486" t="n">
        <v>2</v>
      </c>
      <c r="D1065" s="486" t="n">
        <v>20</v>
      </c>
      <c r="E1065" s="486" t="n">
        <v>1</v>
      </c>
      <c r="F1065" s="486" t="n">
        <v>1</v>
      </c>
      <c r="G1065" s="486" t="inlineStr">
        <is>
          <t>East-Down1</t>
        </is>
      </c>
      <c r="H1065" s="486" t="n">
        <v>1332.57</v>
      </c>
      <c r="I1065" s="486" t="n">
        <v>1</v>
      </c>
      <c r="J1065" s="486" t="n">
        <v>30</v>
      </c>
      <c r="K1065" s="486" t="n">
        <v>29</v>
      </c>
      <c r="L1065" s="486" t="n">
        <v>4</v>
      </c>
      <c r="M1065" s="487" t="inlineStr">
        <is>
          <t>G</t>
        </is>
      </c>
    </row>
    <row r="1066">
      <c r="A1066" s="486" t="n">
        <v>17</v>
      </c>
      <c r="B1066" s="486" t="n">
        <v>7</v>
      </c>
      <c r="C1066" s="486" t="n">
        <v>2</v>
      </c>
      <c r="D1066" s="486" t="n">
        <v>20</v>
      </c>
      <c r="E1066" s="486" t="n">
        <v>1</v>
      </c>
      <c r="F1066" s="486" t="n">
        <v>1</v>
      </c>
      <c r="G1066" s="486" t="inlineStr">
        <is>
          <t>East-Down2</t>
        </is>
      </c>
      <c r="H1066" s="486" t="n">
        <v>1286.28</v>
      </c>
      <c r="I1066" s="486" t="n">
        <v>1</v>
      </c>
      <c r="J1066" s="486" t="n">
        <v>41</v>
      </c>
      <c r="K1066" s="486" t="n">
        <v>46</v>
      </c>
      <c r="L1066" s="486" t="n">
        <v>4</v>
      </c>
      <c r="M1066" s="487" t="inlineStr">
        <is>
          <t>G</t>
        </is>
      </c>
    </row>
    <row r="1067">
      <c r="A1067" s="486" t="n">
        <v>17</v>
      </c>
      <c r="B1067" s="486" t="n">
        <v>7</v>
      </c>
      <c r="C1067" s="486" t="n">
        <v>2</v>
      </c>
      <c r="D1067" s="486" t="n">
        <v>20</v>
      </c>
      <c r="E1067" s="486" t="n">
        <v>1</v>
      </c>
      <c r="F1067" s="486" t="n">
        <v>1</v>
      </c>
      <c r="G1067" s="486" t="inlineStr">
        <is>
          <t>North-Left2</t>
        </is>
      </c>
      <c r="H1067" s="486" t="n">
        <v>1330</v>
      </c>
      <c r="I1067" s="486" t="n">
        <v>88</v>
      </c>
      <c r="J1067" s="486" t="n">
        <v>44</v>
      </c>
      <c r="K1067" s="486" t="n">
        <v>5</v>
      </c>
      <c r="L1067" s="486" t="n">
        <v>2</v>
      </c>
      <c r="M1067" s="487" t="inlineStr">
        <is>
          <t>G</t>
        </is>
      </c>
    </row>
    <row r="1068">
      <c r="A1068" s="486" t="n">
        <v>17</v>
      </c>
      <c r="B1068" s="486" t="n">
        <v>7</v>
      </c>
      <c r="C1068" s="486" t="n">
        <v>2</v>
      </c>
      <c r="D1068" s="486" t="n">
        <v>20</v>
      </c>
      <c r="E1068" s="486" t="n">
        <v>1</v>
      </c>
      <c r="F1068" s="486" t="n">
        <v>1</v>
      </c>
      <c r="G1068" s="475" t="inlineStr">
        <is>
          <t>North-Left1</t>
        </is>
      </c>
      <c r="H1068" s="486" t="n">
        <v>1329.76</v>
      </c>
      <c r="I1068" s="486" t="n">
        <v>88</v>
      </c>
      <c r="J1068" s="486" t="n">
        <v>44</v>
      </c>
      <c r="K1068" s="486" t="n">
        <v>5</v>
      </c>
      <c r="L1068" s="486" t="n">
        <v>2</v>
      </c>
      <c r="M1068" s="487" t="inlineStr">
        <is>
          <t>G</t>
        </is>
      </c>
    </row>
    <row r="1069">
      <c r="A1069" s="486" t="n">
        <v>17</v>
      </c>
      <c r="B1069" s="486" t="n">
        <v>7</v>
      </c>
      <c r="C1069" s="486" t="n">
        <v>2</v>
      </c>
      <c r="D1069" s="486" t="n">
        <v>20</v>
      </c>
      <c r="E1069" s="486" t="n">
        <v>1</v>
      </c>
      <c r="F1069" s="486" t="n">
        <v>1</v>
      </c>
      <c r="G1069" s="486" t="inlineStr">
        <is>
          <t>North-Right1</t>
        </is>
      </c>
      <c r="H1069" s="486" t="n">
        <v>1329.16</v>
      </c>
      <c r="I1069" s="486" t="n">
        <v>88</v>
      </c>
      <c r="J1069" s="486" t="n">
        <v>42</v>
      </c>
      <c r="K1069" s="486" t="n">
        <v>38</v>
      </c>
      <c r="L1069" s="486" t="n">
        <v>2</v>
      </c>
      <c r="M1069" s="487" t="inlineStr">
        <is>
          <t>G</t>
        </is>
      </c>
    </row>
    <row r="1070">
      <c r="A1070" s="486" t="n">
        <v>17</v>
      </c>
      <c r="B1070" s="486" t="n">
        <v>7</v>
      </c>
      <c r="C1070" s="486" t="n">
        <v>2</v>
      </c>
      <c r="D1070" s="486" t="n">
        <v>20</v>
      </c>
      <c r="E1070" s="486" t="n">
        <v>1</v>
      </c>
      <c r="F1070" s="486" t="n">
        <v>1</v>
      </c>
      <c r="G1070" s="486" t="inlineStr">
        <is>
          <t>North-Right2</t>
        </is>
      </c>
      <c r="H1070" s="486" t="n">
        <v>1326.81</v>
      </c>
      <c r="I1070" s="486" t="n">
        <v>88</v>
      </c>
      <c r="J1070" s="486" t="n">
        <v>27</v>
      </c>
      <c r="K1070" s="486" t="n">
        <v>55</v>
      </c>
      <c r="L1070" s="486" t="n">
        <v>2</v>
      </c>
      <c r="M1070" s="487" t="inlineStr">
        <is>
          <t>G</t>
        </is>
      </c>
    </row>
    <row r="1071">
      <c r="A1071" s="486" t="n">
        <v>17</v>
      </c>
      <c r="B1071" s="486" t="n">
        <v>7</v>
      </c>
      <c r="C1071" s="486" t="n">
        <v>2</v>
      </c>
      <c r="D1071" s="486" t="n">
        <v>20</v>
      </c>
      <c r="E1071" s="486" t="n">
        <v>1</v>
      </c>
      <c r="F1071" s="486" t="n">
        <v>1</v>
      </c>
      <c r="G1071" s="486" t="inlineStr">
        <is>
          <t>South-Left2</t>
        </is>
      </c>
      <c r="H1071" s="486" t="n">
        <v>0</v>
      </c>
      <c r="I1071" s="486" t="n">
        <v>0</v>
      </c>
      <c r="J1071" s="486" t="n">
        <v>0</v>
      </c>
      <c r="K1071" s="486" t="n">
        <v>0</v>
      </c>
      <c r="L1071" s="486" t="n">
        <v>0</v>
      </c>
      <c r="M1071" s="487" t="inlineStr">
        <is>
          <t>G</t>
        </is>
      </c>
    </row>
    <row r="1072">
      <c r="A1072" s="486" t="n">
        <v>17</v>
      </c>
      <c r="B1072" s="486" t="n">
        <v>7</v>
      </c>
      <c r="C1072" s="486" t="n">
        <v>2</v>
      </c>
      <c r="D1072" s="486" t="n">
        <v>20</v>
      </c>
      <c r="E1072" s="486" t="n">
        <v>1</v>
      </c>
      <c r="F1072" s="486" t="n">
        <v>1</v>
      </c>
      <c r="G1072" s="475" t="inlineStr">
        <is>
          <t>South-Left1</t>
        </is>
      </c>
      <c r="H1072" s="486" t="n">
        <v>2648.07</v>
      </c>
      <c r="I1072" s="486" t="n">
        <v>88</v>
      </c>
      <c r="J1072" s="486" t="n">
        <v>5</v>
      </c>
      <c r="K1072" s="486" t="n">
        <v>44</v>
      </c>
      <c r="L1072" s="486" t="n">
        <v>3</v>
      </c>
      <c r="M1072" s="487" t="inlineStr">
        <is>
          <t>G</t>
        </is>
      </c>
    </row>
    <row r="1073">
      <c r="A1073" s="486" t="n">
        <v>17</v>
      </c>
      <c r="B1073" s="486" t="n">
        <v>7</v>
      </c>
      <c r="C1073" s="486" t="n">
        <v>2</v>
      </c>
      <c r="D1073" s="486" t="n">
        <v>20</v>
      </c>
      <c r="E1073" s="486" t="n">
        <v>1</v>
      </c>
      <c r="F1073" s="486" t="n">
        <v>1</v>
      </c>
      <c r="G1073" s="486" t="inlineStr">
        <is>
          <t>South-Right1</t>
        </is>
      </c>
      <c r="H1073" s="486" t="n">
        <v>2641.29</v>
      </c>
      <c r="I1073" s="486" t="n">
        <v>88</v>
      </c>
      <c r="J1073" s="486" t="n">
        <v>2</v>
      </c>
      <c r="K1073" s="486" t="n">
        <v>51</v>
      </c>
      <c r="L1073" s="486" t="n">
        <v>3</v>
      </c>
      <c r="M1073" s="487" t="inlineStr">
        <is>
          <t>G</t>
        </is>
      </c>
    </row>
    <row r="1074">
      <c r="A1074" s="486" t="n">
        <v>17</v>
      </c>
      <c r="B1074" s="486" t="n">
        <v>7</v>
      </c>
      <c r="C1074" s="486" t="n">
        <v>2</v>
      </c>
      <c r="D1074" s="486" t="n">
        <v>20</v>
      </c>
      <c r="E1074" s="486" t="n">
        <v>1</v>
      </c>
      <c r="F1074" s="486" t="n">
        <v>1</v>
      </c>
      <c r="G1074" s="486" t="inlineStr">
        <is>
          <t>South-Right2</t>
        </is>
      </c>
      <c r="H1074" s="486" t="n">
        <v>0</v>
      </c>
      <c r="I1074" s="486" t="n">
        <v>0</v>
      </c>
      <c r="J1074" s="486" t="n">
        <v>0</v>
      </c>
      <c r="K1074" s="486" t="n">
        <v>0</v>
      </c>
      <c r="L1074" s="486" t="n">
        <v>0</v>
      </c>
      <c r="M1074" s="487" t="inlineStr">
        <is>
          <t>G</t>
        </is>
      </c>
    </row>
    <row r="1075">
      <c r="A1075" s="493" t="n">
        <v>17</v>
      </c>
      <c r="B1075" s="493" t="n">
        <v>2</v>
      </c>
      <c r="C1075" s="493" t="n">
        <v>2</v>
      </c>
      <c r="D1075" s="493" t="n">
        <v>3</v>
      </c>
      <c r="E1075" s="493" t="n">
        <v>2</v>
      </c>
      <c r="F1075" s="493" t="n">
        <v>2</v>
      </c>
      <c r="G1075" s="493" t="inlineStr">
        <is>
          <t>West-Up2</t>
        </is>
      </c>
      <c r="H1075" s="493" t="n">
        <v>0</v>
      </c>
      <c r="I1075" s="493" t="n">
        <v>0</v>
      </c>
      <c r="J1075" s="493" t="n">
        <v>0</v>
      </c>
      <c r="K1075" s="493" t="n">
        <v>0</v>
      </c>
      <c r="L1075" s="493" t="n">
        <v>0</v>
      </c>
      <c r="M1075" s="494" t="inlineStr">
        <is>
          <t>T</t>
        </is>
      </c>
      <c r="N1075" s="524" t="n"/>
      <c r="O1075" s="524" t="n"/>
    </row>
    <row r="1076">
      <c r="A1076" s="493" t="n">
        <v>17</v>
      </c>
      <c r="B1076" s="493" t="n">
        <v>2</v>
      </c>
      <c r="C1076" s="493" t="n">
        <v>2</v>
      </c>
      <c r="D1076" s="493" t="n">
        <v>3</v>
      </c>
      <c r="E1076" s="493" t="n">
        <v>2</v>
      </c>
      <c r="F1076" s="493" t="n">
        <v>2</v>
      </c>
      <c r="G1076" s="493" t="inlineStr">
        <is>
          <t>West-Up1</t>
        </is>
      </c>
      <c r="H1076" s="493" t="n">
        <v>2623.32</v>
      </c>
      <c r="I1076" s="493" t="n">
        <v>0</v>
      </c>
      <c r="J1076" s="493" t="n">
        <v>47</v>
      </c>
      <c r="K1076" s="493" t="n">
        <v>29</v>
      </c>
      <c r="L1076" s="493" t="n">
        <v>2</v>
      </c>
      <c r="M1076" s="494" t="inlineStr">
        <is>
          <t>T</t>
        </is>
      </c>
      <c r="N1076" s="524" t="n"/>
      <c r="O1076" s="524" t="n"/>
    </row>
    <row r="1077">
      <c r="A1077" s="493" t="n">
        <v>17</v>
      </c>
      <c r="B1077" s="493" t="n">
        <v>2</v>
      </c>
      <c r="C1077" s="493" t="n">
        <v>2</v>
      </c>
      <c r="D1077" s="493" t="n">
        <v>3</v>
      </c>
      <c r="E1077" s="493" t="n">
        <v>2</v>
      </c>
      <c r="F1077" s="493" t="n">
        <v>2</v>
      </c>
      <c r="G1077" s="493" t="inlineStr">
        <is>
          <t>West-Down1</t>
        </is>
      </c>
      <c r="H1077" s="493" t="n">
        <v>2640</v>
      </c>
      <c r="I1077" s="493" t="n">
        <v>0</v>
      </c>
      <c r="J1077" s="493" t="n">
        <v>0</v>
      </c>
      <c r="K1077" s="493" t="n">
        <v>0</v>
      </c>
      <c r="L1077" s="493" t="n">
        <v>2</v>
      </c>
      <c r="M1077" s="494" t="inlineStr">
        <is>
          <t>T</t>
        </is>
      </c>
      <c r="N1077" s="524" t="n"/>
      <c r="O1077" s="524" t="n"/>
    </row>
    <row r="1078">
      <c r="A1078" s="493" t="n">
        <v>17</v>
      </c>
      <c r="B1078" s="493" t="n">
        <v>2</v>
      </c>
      <c r="C1078" s="493" t="n">
        <v>2</v>
      </c>
      <c r="D1078" s="493" t="n">
        <v>3</v>
      </c>
      <c r="E1078" s="493" t="n">
        <v>2</v>
      </c>
      <c r="F1078" s="493" t="n">
        <v>2</v>
      </c>
      <c r="G1078" s="493" t="inlineStr">
        <is>
          <t>West-Down2</t>
        </is>
      </c>
      <c r="H1078" s="493" t="n">
        <v>0</v>
      </c>
      <c r="I1078" s="493" t="n">
        <v>0</v>
      </c>
      <c r="J1078" s="493" t="n">
        <v>0</v>
      </c>
      <c r="K1078" s="493" t="n">
        <v>0</v>
      </c>
      <c r="L1078" s="493" t="n">
        <v>0</v>
      </c>
      <c r="M1078" s="494" t="inlineStr">
        <is>
          <t>T</t>
        </is>
      </c>
      <c r="N1078" s="524" t="n"/>
      <c r="O1078" s="524" t="n"/>
    </row>
    <row r="1079">
      <c r="A1079" s="493" t="n">
        <v>17</v>
      </c>
      <c r="B1079" s="493" t="n">
        <v>2</v>
      </c>
      <c r="C1079" s="493" t="n">
        <v>2</v>
      </c>
      <c r="D1079" s="493" t="n">
        <v>3</v>
      </c>
      <c r="E1079" s="493" t="n">
        <v>2</v>
      </c>
      <c r="F1079" s="493" t="n">
        <v>2</v>
      </c>
      <c r="G1079" s="493" t="inlineStr">
        <is>
          <t>East-Up2</t>
        </is>
      </c>
      <c r="H1079" s="493" t="n">
        <v>0</v>
      </c>
      <c r="I1079" s="493" t="n">
        <v>0</v>
      </c>
      <c r="J1079" s="493" t="n">
        <v>0</v>
      </c>
      <c r="K1079" s="493" t="n">
        <v>0</v>
      </c>
      <c r="L1079" s="493" t="n">
        <v>0</v>
      </c>
      <c r="M1079" s="494" t="inlineStr">
        <is>
          <t>T</t>
        </is>
      </c>
      <c r="N1079" s="524" t="n"/>
      <c r="O1079" s="524" t="n"/>
    </row>
    <row r="1080">
      <c r="A1080" s="493" t="n">
        <v>17</v>
      </c>
      <c r="B1080" s="493" t="n">
        <v>2</v>
      </c>
      <c r="C1080" s="493" t="n">
        <v>2</v>
      </c>
      <c r="D1080" s="493" t="n">
        <v>3</v>
      </c>
      <c r="E1080" s="493" t="n">
        <v>2</v>
      </c>
      <c r="F1080" s="493" t="n">
        <v>2</v>
      </c>
      <c r="G1080" s="493" t="inlineStr">
        <is>
          <t>East-Up1</t>
        </is>
      </c>
      <c r="H1080" s="493" t="n">
        <v>5270.82</v>
      </c>
      <c r="I1080" s="493" t="n">
        <v>0</v>
      </c>
      <c r="J1080" s="493" t="n">
        <v>2</v>
      </c>
      <c r="K1080" s="493" t="n">
        <v>47</v>
      </c>
      <c r="L1080" s="493" t="n">
        <v>3</v>
      </c>
      <c r="M1080" s="494" t="inlineStr">
        <is>
          <t>T</t>
        </is>
      </c>
      <c r="N1080" s="524" t="n"/>
      <c r="O1080" s="524" t="n"/>
    </row>
    <row r="1081">
      <c r="A1081" s="493" t="n">
        <v>17</v>
      </c>
      <c r="B1081" s="493" t="n">
        <v>2</v>
      </c>
      <c r="C1081" s="493" t="n">
        <v>2</v>
      </c>
      <c r="D1081" s="493" t="n">
        <v>3</v>
      </c>
      <c r="E1081" s="493" t="n">
        <v>2</v>
      </c>
      <c r="F1081" s="493" t="n">
        <v>2</v>
      </c>
      <c r="G1081" s="493" t="inlineStr">
        <is>
          <t>East-Down1</t>
        </is>
      </c>
      <c r="H1081" s="493" t="n">
        <v>0</v>
      </c>
      <c r="I1081" s="493" t="n">
        <v>0</v>
      </c>
      <c r="J1081" s="493" t="n">
        <v>0</v>
      </c>
      <c r="K1081" s="493" t="n">
        <v>0</v>
      </c>
      <c r="L1081" s="493" t="n">
        <v>0</v>
      </c>
      <c r="M1081" s="494" t="inlineStr">
        <is>
          <t>T</t>
        </is>
      </c>
      <c r="N1081" s="524" t="n"/>
      <c r="O1081" s="524" t="n"/>
    </row>
    <row r="1082">
      <c r="A1082" s="493" t="n">
        <v>17</v>
      </c>
      <c r="B1082" s="493" t="n">
        <v>2</v>
      </c>
      <c r="C1082" s="493" t="n">
        <v>2</v>
      </c>
      <c r="D1082" s="493" t="n">
        <v>3</v>
      </c>
      <c r="E1082" s="493" t="n">
        <v>2</v>
      </c>
      <c r="F1082" s="493" t="n">
        <v>2</v>
      </c>
      <c r="G1082" s="493" t="inlineStr">
        <is>
          <t>East-Down2</t>
        </is>
      </c>
      <c r="H1082" s="493" t="n">
        <v>0</v>
      </c>
      <c r="I1082" s="493" t="n">
        <v>0</v>
      </c>
      <c r="J1082" s="493" t="n">
        <v>0</v>
      </c>
      <c r="K1082" s="493" t="n">
        <v>0</v>
      </c>
      <c r="L1082" s="493" t="n">
        <v>0</v>
      </c>
      <c r="M1082" s="494" t="inlineStr">
        <is>
          <t>T</t>
        </is>
      </c>
      <c r="N1082" s="524" t="n"/>
      <c r="O1082" s="524" t="n"/>
    </row>
    <row r="1083">
      <c r="A1083" s="493" t="n">
        <v>17</v>
      </c>
      <c r="B1083" s="493" t="n">
        <v>2</v>
      </c>
      <c r="C1083" s="493" t="n">
        <v>2</v>
      </c>
      <c r="D1083" s="493" t="n">
        <v>3</v>
      </c>
      <c r="E1083" s="493" t="n">
        <v>2</v>
      </c>
      <c r="F1083" s="493" t="n">
        <v>2</v>
      </c>
      <c r="G1083" s="493" t="inlineStr">
        <is>
          <t>North-Left2</t>
        </is>
      </c>
      <c r="H1083" s="493" t="n">
        <v>1320.2</v>
      </c>
      <c r="I1083" s="493" t="n">
        <v>89</v>
      </c>
      <c r="J1083" s="493" t="n">
        <v>59</v>
      </c>
      <c r="K1083" s="493" t="n">
        <v>53</v>
      </c>
      <c r="L1083" s="493" t="n">
        <v>3</v>
      </c>
      <c r="M1083" s="494" t="inlineStr">
        <is>
          <t>T</t>
        </is>
      </c>
      <c r="N1083" s="524" t="n"/>
      <c r="O1083" s="524" t="n"/>
    </row>
    <row r="1084">
      <c r="A1084" s="493" t="n">
        <v>17</v>
      </c>
      <c r="B1084" s="493" t="n">
        <v>2</v>
      </c>
      <c r="C1084" s="493" t="n">
        <v>2</v>
      </c>
      <c r="D1084" s="493" t="n">
        <v>3</v>
      </c>
      <c r="E1084" s="493" t="n">
        <v>2</v>
      </c>
      <c r="F1084" s="493" t="n">
        <v>2</v>
      </c>
      <c r="G1084" s="493" t="inlineStr">
        <is>
          <t>North-Left1</t>
        </is>
      </c>
      <c r="H1084" s="493" t="n">
        <v>1325.92</v>
      </c>
      <c r="I1084" s="493" t="n">
        <v>89</v>
      </c>
      <c r="J1084" s="493" t="n">
        <v>47</v>
      </c>
      <c r="K1084" s="493" t="n">
        <v>15</v>
      </c>
      <c r="L1084" s="493" t="n">
        <v>3</v>
      </c>
      <c r="M1084" s="494" t="inlineStr">
        <is>
          <t>T</t>
        </is>
      </c>
      <c r="N1084" s="524" t="n"/>
      <c r="O1084" s="524" t="n"/>
    </row>
    <row r="1085">
      <c r="A1085" s="493" t="n">
        <v>17</v>
      </c>
      <c r="B1085" s="493" t="n">
        <v>2</v>
      </c>
      <c r="C1085" s="493" t="n">
        <v>2</v>
      </c>
      <c r="D1085" s="493" t="n">
        <v>3</v>
      </c>
      <c r="E1085" s="493" t="n">
        <v>2</v>
      </c>
      <c r="F1085" s="493" t="n">
        <v>2</v>
      </c>
      <c r="G1085" s="493" t="inlineStr">
        <is>
          <t>North-Right1</t>
        </is>
      </c>
      <c r="H1085" s="493" t="n">
        <v>2628.64</v>
      </c>
      <c r="I1085" s="493" t="n">
        <v>89</v>
      </c>
      <c r="J1085" s="493" t="n">
        <v>40</v>
      </c>
      <c r="K1085" s="493" t="n">
        <v>38</v>
      </c>
      <c r="L1085" s="493" t="n">
        <v>4</v>
      </c>
      <c r="M1085" s="494" t="inlineStr">
        <is>
          <t>T</t>
        </is>
      </c>
      <c r="N1085" s="524" t="n"/>
      <c r="O1085" s="524" t="n"/>
    </row>
    <row r="1086">
      <c r="A1086" s="493" t="n">
        <v>17</v>
      </c>
      <c r="B1086" s="493" t="n">
        <v>2</v>
      </c>
      <c r="C1086" s="493" t="n">
        <v>2</v>
      </c>
      <c r="D1086" s="493" t="n">
        <v>3</v>
      </c>
      <c r="E1086" s="493" t="n">
        <v>2</v>
      </c>
      <c r="F1086" s="493" t="n">
        <v>2</v>
      </c>
      <c r="G1086" s="493" t="inlineStr">
        <is>
          <t>North-Right2</t>
        </is>
      </c>
      <c r="H1086" s="493" t="n">
        <v>0</v>
      </c>
      <c r="I1086" s="493" t="n">
        <v>0</v>
      </c>
      <c r="J1086" s="493" t="n">
        <v>0</v>
      </c>
      <c r="K1086" s="493" t="n">
        <v>0</v>
      </c>
      <c r="L1086" s="493" t="n">
        <v>0</v>
      </c>
      <c r="M1086" s="494" t="inlineStr">
        <is>
          <t>T</t>
        </is>
      </c>
      <c r="N1086" s="524" t="n"/>
      <c r="O1086" s="524" t="n"/>
    </row>
    <row r="1087">
      <c r="A1087" s="493" t="n">
        <v>17</v>
      </c>
      <c r="B1087" s="493" t="n">
        <v>2</v>
      </c>
      <c r="C1087" s="493" t="n">
        <v>2</v>
      </c>
      <c r="D1087" s="493" t="n">
        <v>3</v>
      </c>
      <c r="E1087" s="493" t="n">
        <v>2</v>
      </c>
      <c r="F1087" s="493" t="n">
        <v>2</v>
      </c>
      <c r="G1087" s="493" t="inlineStr">
        <is>
          <t>South-Left2</t>
        </is>
      </c>
      <c r="H1087" s="493" t="n">
        <v>0</v>
      </c>
      <c r="I1087" s="493" t="n">
        <v>0</v>
      </c>
      <c r="J1087" s="493" t="n">
        <v>0</v>
      </c>
      <c r="K1087" s="493" t="n">
        <v>0</v>
      </c>
      <c r="L1087" s="493" t="n">
        <v>0</v>
      </c>
      <c r="M1087" s="494" t="inlineStr">
        <is>
          <t>T</t>
        </is>
      </c>
      <c r="N1087" s="524" t="n"/>
      <c r="O1087" s="524" t="n"/>
    </row>
    <row r="1088">
      <c r="A1088" s="493" t="n">
        <v>17</v>
      </c>
      <c r="B1088" s="493" t="n">
        <v>2</v>
      </c>
      <c r="C1088" s="493" t="n">
        <v>2</v>
      </c>
      <c r="D1088" s="493" t="n">
        <v>3</v>
      </c>
      <c r="E1088" s="493" t="n">
        <v>2</v>
      </c>
      <c r="F1088" s="493" t="n">
        <v>2</v>
      </c>
      <c r="G1088" s="493" t="inlineStr">
        <is>
          <t>South-Left1</t>
        </is>
      </c>
      <c r="H1088" s="493" t="n">
        <v>5287.92</v>
      </c>
      <c r="I1088" s="493" t="n">
        <v>90</v>
      </c>
      <c r="J1088" s="493" t="n">
        <v>0</v>
      </c>
      <c r="K1088" s="493" t="n">
        <v>0</v>
      </c>
      <c r="L1088" s="493" t="n">
        <v>3</v>
      </c>
      <c r="M1088" s="494" t="inlineStr">
        <is>
          <t>T</t>
        </is>
      </c>
      <c r="N1088" s="524" t="n"/>
      <c r="O1088" s="524" t="n"/>
    </row>
    <row r="1089">
      <c r="A1089" s="493" t="n">
        <v>17</v>
      </c>
      <c r="B1089" s="493" t="n">
        <v>2</v>
      </c>
      <c r="C1089" s="493" t="n">
        <v>2</v>
      </c>
      <c r="D1089" s="493" t="n">
        <v>3</v>
      </c>
      <c r="E1089" s="493" t="n">
        <v>2</v>
      </c>
      <c r="F1089" s="493" t="n">
        <v>2</v>
      </c>
      <c r="G1089" s="493" t="inlineStr">
        <is>
          <t>South-Right1</t>
        </is>
      </c>
      <c r="H1089" s="493" t="n">
        <v>0</v>
      </c>
      <c r="I1089" s="493" t="n">
        <v>0</v>
      </c>
      <c r="J1089" s="493" t="n">
        <v>0</v>
      </c>
      <c r="K1089" s="493" t="n">
        <v>0</v>
      </c>
      <c r="L1089" s="493" t="n">
        <v>0</v>
      </c>
      <c r="M1089" s="494" t="inlineStr">
        <is>
          <t>T</t>
        </is>
      </c>
      <c r="N1089" s="524" t="n"/>
      <c r="O1089" s="524" t="n"/>
    </row>
    <row r="1090">
      <c r="A1090" s="493" t="n">
        <v>17</v>
      </c>
      <c r="B1090" s="493" t="n">
        <v>2</v>
      </c>
      <c r="C1090" s="493" t="n">
        <v>2</v>
      </c>
      <c r="D1090" s="493" t="n">
        <v>3</v>
      </c>
      <c r="E1090" s="493" t="n">
        <v>2</v>
      </c>
      <c r="F1090" s="493" t="n">
        <v>2</v>
      </c>
      <c r="G1090" s="493" t="inlineStr">
        <is>
          <t>South-Right2</t>
        </is>
      </c>
      <c r="H1090" s="493" t="n">
        <v>0</v>
      </c>
      <c r="I1090" s="493" t="n">
        <v>0</v>
      </c>
      <c r="J1090" s="493" t="n">
        <v>0</v>
      </c>
      <c r="K1090" s="493" t="n">
        <v>0</v>
      </c>
      <c r="L1090" s="493" t="n">
        <v>0</v>
      </c>
      <c r="M1090" s="494" t="inlineStr">
        <is>
          <t>T</t>
        </is>
      </c>
      <c r="N1090" s="524" t="n"/>
      <c r="O1090" s="524" t="n"/>
    </row>
    <row r="1091">
      <c r="A1091" s="486" t="n">
        <v>17</v>
      </c>
      <c r="B1091" s="486" t="n">
        <v>3</v>
      </c>
      <c r="C1091" s="486" t="n">
        <v>2</v>
      </c>
      <c r="D1091" s="486" t="n">
        <v>2</v>
      </c>
      <c r="E1091" s="486" t="n">
        <v>2</v>
      </c>
      <c r="F1091" s="486" t="n">
        <v>2</v>
      </c>
      <c r="G1091" s="486" t="inlineStr">
        <is>
          <t>West-Up2</t>
        </is>
      </c>
      <c r="H1091" s="486" t="n">
        <v>1317.02</v>
      </c>
      <c r="I1091" s="486" t="n">
        <v>0</v>
      </c>
      <c r="J1091" s="486" t="n">
        <v>52</v>
      </c>
      <c r="K1091" s="486" t="n">
        <v>34</v>
      </c>
      <c r="L1091" s="486" t="n">
        <v>4</v>
      </c>
      <c r="M1091" s="487" t="inlineStr">
        <is>
          <t>T</t>
        </is>
      </c>
    </row>
    <row r="1092">
      <c r="A1092" s="486" t="n">
        <v>17</v>
      </c>
      <c r="B1092" s="486" t="n">
        <v>3</v>
      </c>
      <c r="C1092" s="486" t="n">
        <v>2</v>
      </c>
      <c r="D1092" s="486" t="n">
        <v>2</v>
      </c>
      <c r="E1092" s="486" t="n">
        <v>2</v>
      </c>
      <c r="F1092" s="486" t="n">
        <v>2</v>
      </c>
      <c r="G1092" s="475" t="inlineStr">
        <is>
          <t>West-Up1</t>
        </is>
      </c>
      <c r="H1092" s="486" t="n">
        <v>1337.87</v>
      </c>
      <c r="I1092" s="486" t="n">
        <v>0</v>
      </c>
      <c r="J1092" s="486" t="n">
        <v>41</v>
      </c>
      <c r="K1092" s="486" t="n">
        <v>17</v>
      </c>
      <c r="L1092" s="486" t="n">
        <v>4</v>
      </c>
      <c r="M1092" s="487" t="inlineStr">
        <is>
          <t>T</t>
        </is>
      </c>
    </row>
    <row r="1093">
      <c r="A1093" s="486" t="n">
        <v>17</v>
      </c>
      <c r="B1093" s="486" t="n">
        <v>3</v>
      </c>
      <c r="C1093" s="486" t="n">
        <v>2</v>
      </c>
      <c r="D1093" s="486" t="n">
        <v>2</v>
      </c>
      <c r="E1093" s="486" t="n">
        <v>2</v>
      </c>
      <c r="F1093" s="486" t="n">
        <v>2</v>
      </c>
      <c r="G1093" s="486" t="inlineStr">
        <is>
          <t>West-Down1</t>
        </is>
      </c>
      <c r="H1093" s="486" t="n">
        <v>2574.1</v>
      </c>
      <c r="I1093" s="486" t="n">
        <v>1</v>
      </c>
      <c r="J1093" s="486" t="n">
        <v>48</v>
      </c>
      <c r="K1093" s="486" t="n">
        <v>17</v>
      </c>
      <c r="L1093" s="486" t="n">
        <v>4</v>
      </c>
      <c r="M1093" s="487" t="inlineStr">
        <is>
          <t>T</t>
        </is>
      </c>
    </row>
    <row r="1094">
      <c r="A1094" s="486" t="n">
        <v>17</v>
      </c>
      <c r="B1094" s="486" t="n">
        <v>3</v>
      </c>
      <c r="C1094" s="486" t="n">
        <v>2</v>
      </c>
      <c r="D1094" s="486" t="n">
        <v>2</v>
      </c>
      <c r="E1094" s="486" t="n">
        <v>2</v>
      </c>
      <c r="F1094" s="486" t="n">
        <v>2</v>
      </c>
      <c r="G1094" s="486" t="inlineStr">
        <is>
          <t>West-Down2</t>
        </is>
      </c>
      <c r="H1094" s="486" t="n">
        <v>0</v>
      </c>
      <c r="I1094" s="486" t="n">
        <v>0</v>
      </c>
      <c r="J1094" s="486" t="n">
        <v>0</v>
      </c>
      <c r="K1094" s="486" t="n">
        <v>0</v>
      </c>
      <c r="L1094" s="486" t="n">
        <v>0</v>
      </c>
      <c r="M1094" s="487" t="inlineStr">
        <is>
          <t>T</t>
        </is>
      </c>
    </row>
    <row r="1095">
      <c r="A1095" s="486" t="n">
        <v>17</v>
      </c>
      <c r="B1095" s="486" t="n">
        <v>3</v>
      </c>
      <c r="C1095" s="486" t="n">
        <v>2</v>
      </c>
      <c r="D1095" s="486" t="n">
        <v>2</v>
      </c>
      <c r="E1095" s="486" t="n">
        <v>2</v>
      </c>
      <c r="F1095" s="486" t="n">
        <v>2</v>
      </c>
      <c r="G1095" s="486" t="inlineStr">
        <is>
          <t>East-Up2</t>
        </is>
      </c>
      <c r="H1095" s="486" t="n">
        <v>0</v>
      </c>
      <c r="I1095" s="486" t="n">
        <v>0</v>
      </c>
      <c r="J1095" s="486" t="n">
        <v>0</v>
      </c>
      <c r="K1095" s="486" t="n">
        <v>0</v>
      </c>
      <c r="L1095" s="486" t="n">
        <v>0</v>
      </c>
      <c r="M1095" s="487" t="inlineStr">
        <is>
          <t>T</t>
        </is>
      </c>
    </row>
    <row r="1096">
      <c r="A1096" s="486" t="n">
        <v>17</v>
      </c>
      <c r="B1096" s="486" t="n">
        <v>3</v>
      </c>
      <c r="C1096" s="486" t="n">
        <v>2</v>
      </c>
      <c r="D1096" s="486" t="n">
        <v>2</v>
      </c>
      <c r="E1096" s="486" t="n">
        <v>2</v>
      </c>
      <c r="F1096" s="486" t="n">
        <v>2</v>
      </c>
      <c r="G1096" s="475" t="inlineStr">
        <is>
          <t>East-Up1</t>
        </is>
      </c>
      <c r="H1096" s="486" t="n">
        <v>2646.72</v>
      </c>
      <c r="I1096" s="486" t="n">
        <v>2</v>
      </c>
      <c r="J1096" s="486" t="n">
        <v>40</v>
      </c>
      <c r="K1096" s="486" t="n">
        <v>48</v>
      </c>
      <c r="L1096" s="486" t="n">
        <v>4</v>
      </c>
      <c r="M1096" s="487" t="inlineStr">
        <is>
          <t>T</t>
        </is>
      </c>
    </row>
    <row r="1097">
      <c r="A1097" s="486" t="n">
        <v>17</v>
      </c>
      <c r="B1097" s="486" t="n">
        <v>3</v>
      </c>
      <c r="C1097" s="486" t="n">
        <v>2</v>
      </c>
      <c r="D1097" s="486" t="n">
        <v>2</v>
      </c>
      <c r="E1097" s="486" t="n">
        <v>2</v>
      </c>
      <c r="F1097" s="486" t="n">
        <v>2</v>
      </c>
      <c r="G1097" s="486" t="inlineStr">
        <is>
          <t>East-Down1</t>
        </is>
      </c>
      <c r="H1097" s="486" t="n">
        <v>2640.51</v>
      </c>
      <c r="I1097" s="486" t="n">
        <v>2</v>
      </c>
      <c r="J1097" s="486" t="n">
        <v>38</v>
      </c>
      <c r="K1097" s="486" t="n">
        <v>36</v>
      </c>
      <c r="L1097" s="486" t="n">
        <v>4</v>
      </c>
      <c r="M1097" s="487" t="inlineStr">
        <is>
          <t>T</t>
        </is>
      </c>
    </row>
    <row r="1098">
      <c r="A1098" s="486" t="n">
        <v>17</v>
      </c>
      <c r="B1098" s="486" t="n">
        <v>3</v>
      </c>
      <c r="C1098" s="486" t="n">
        <v>2</v>
      </c>
      <c r="D1098" s="486" t="n">
        <v>2</v>
      </c>
      <c r="E1098" s="486" t="n">
        <v>2</v>
      </c>
      <c r="F1098" s="486" t="n">
        <v>2</v>
      </c>
      <c r="G1098" s="486" t="inlineStr">
        <is>
          <t>East-Down2</t>
        </is>
      </c>
      <c r="H1098" s="486" t="n">
        <v>0</v>
      </c>
      <c r="I1098" s="486" t="n">
        <v>0</v>
      </c>
      <c r="J1098" s="486" t="n">
        <v>0</v>
      </c>
      <c r="K1098" s="486" t="n">
        <v>0</v>
      </c>
      <c r="L1098" s="486" t="n">
        <v>0</v>
      </c>
      <c r="M1098" s="487" t="inlineStr">
        <is>
          <t>T</t>
        </is>
      </c>
    </row>
    <row r="1099">
      <c r="A1099" s="486" t="n">
        <v>17</v>
      </c>
      <c r="B1099" s="486" t="n">
        <v>3</v>
      </c>
      <c r="C1099" s="486" t="n">
        <v>2</v>
      </c>
      <c r="D1099" s="486" t="n">
        <v>2</v>
      </c>
      <c r="E1099" s="486" t="n">
        <v>2</v>
      </c>
      <c r="F1099" s="486" t="n">
        <v>2</v>
      </c>
      <c r="G1099" s="486" t="inlineStr">
        <is>
          <t>North-Left2</t>
        </is>
      </c>
      <c r="H1099" s="486" t="n">
        <v>0</v>
      </c>
      <c r="I1099" s="486" t="n">
        <v>0</v>
      </c>
      <c r="J1099" s="486" t="n">
        <v>0</v>
      </c>
      <c r="K1099" s="486" t="n">
        <v>0</v>
      </c>
      <c r="L1099" s="486" t="n">
        <v>0</v>
      </c>
      <c r="M1099" s="487" t="inlineStr">
        <is>
          <t>T</t>
        </is>
      </c>
    </row>
    <row r="1100">
      <c r="A1100" s="486" t="n">
        <v>17</v>
      </c>
      <c r="B1100" s="486" t="n">
        <v>3</v>
      </c>
      <c r="C1100" s="486" t="n">
        <v>2</v>
      </c>
      <c r="D1100" s="486" t="n">
        <v>2</v>
      </c>
      <c r="E1100" s="486" t="n">
        <v>2</v>
      </c>
      <c r="F1100" s="486" t="n">
        <v>2</v>
      </c>
      <c r="G1100" s="475" t="inlineStr">
        <is>
          <t>North-Left1</t>
        </is>
      </c>
      <c r="H1100" s="486" t="n">
        <v>5278.28</v>
      </c>
      <c r="I1100" s="486" t="n">
        <v>89</v>
      </c>
      <c r="J1100" s="486" t="n">
        <v>0</v>
      </c>
      <c r="K1100" s="486" t="n">
        <v>48</v>
      </c>
      <c r="L1100" s="486" t="n">
        <v>3</v>
      </c>
      <c r="M1100" s="487" t="inlineStr">
        <is>
          <t>T</t>
        </is>
      </c>
    </row>
    <row r="1101">
      <c r="A1101" s="486" t="n">
        <v>17</v>
      </c>
      <c r="B1101" s="486" t="n">
        <v>3</v>
      </c>
      <c r="C1101" s="486" t="n">
        <v>2</v>
      </c>
      <c r="D1101" s="486" t="n">
        <v>2</v>
      </c>
      <c r="E1101" s="486" t="n">
        <v>2</v>
      </c>
      <c r="F1101" s="486" t="n">
        <v>2</v>
      </c>
      <c r="G1101" s="486" t="inlineStr">
        <is>
          <t>North-Right1</t>
        </is>
      </c>
      <c r="H1101" s="486" t="n">
        <v>0</v>
      </c>
      <c r="I1101" s="486" t="n">
        <v>0</v>
      </c>
      <c r="J1101" s="486" t="n">
        <v>0</v>
      </c>
      <c r="K1101" s="486" t="n">
        <v>0</v>
      </c>
      <c r="L1101" s="486" t="n">
        <v>0</v>
      </c>
      <c r="M1101" s="487" t="inlineStr">
        <is>
          <t>T</t>
        </is>
      </c>
    </row>
    <row r="1102">
      <c r="A1102" s="486" t="n">
        <v>17</v>
      </c>
      <c r="B1102" s="486" t="n">
        <v>3</v>
      </c>
      <c r="C1102" s="486" t="n">
        <v>2</v>
      </c>
      <c r="D1102" s="486" t="n">
        <v>2</v>
      </c>
      <c r="E1102" s="486" t="n">
        <v>2</v>
      </c>
      <c r="F1102" s="486" t="n">
        <v>2</v>
      </c>
      <c r="G1102" s="486" t="inlineStr">
        <is>
          <t>North-Right2</t>
        </is>
      </c>
      <c r="H1102" s="486" t="n">
        <v>0</v>
      </c>
      <c r="I1102" s="486" t="n">
        <v>0</v>
      </c>
      <c r="J1102" s="486" t="n">
        <v>0</v>
      </c>
      <c r="K1102" s="486" t="n">
        <v>0</v>
      </c>
      <c r="L1102" s="486" t="n">
        <v>0</v>
      </c>
      <c r="M1102" s="487" t="inlineStr">
        <is>
          <t>T</t>
        </is>
      </c>
    </row>
    <row r="1103">
      <c r="A1103" s="486" t="n">
        <v>17</v>
      </c>
      <c r="B1103" s="486" t="n">
        <v>3</v>
      </c>
      <c r="C1103" s="486" t="n">
        <v>2</v>
      </c>
      <c r="D1103" s="486" t="n">
        <v>2</v>
      </c>
      <c r="E1103" s="486" t="n">
        <v>2</v>
      </c>
      <c r="F1103" s="486" t="n">
        <v>2</v>
      </c>
      <c r="G1103" s="486" t="inlineStr">
        <is>
          <t>South-Left2</t>
        </is>
      </c>
      <c r="H1103" s="486" t="n">
        <v>0</v>
      </c>
      <c r="I1103" s="486" t="n">
        <v>0</v>
      </c>
      <c r="J1103" s="486" t="n">
        <v>0</v>
      </c>
      <c r="K1103" s="486" t="n">
        <v>0</v>
      </c>
      <c r="L1103" s="486" t="n">
        <v>0</v>
      </c>
      <c r="M1103" s="487" t="inlineStr">
        <is>
          <t>T</t>
        </is>
      </c>
    </row>
    <row r="1104">
      <c r="A1104" s="486" t="n">
        <v>17</v>
      </c>
      <c r="B1104" s="486" t="n">
        <v>3</v>
      </c>
      <c r="C1104" s="486" t="n">
        <v>2</v>
      </c>
      <c r="D1104" s="486" t="n">
        <v>2</v>
      </c>
      <c r="E1104" s="486" t="n">
        <v>2</v>
      </c>
      <c r="F1104" s="486" t="n">
        <v>2</v>
      </c>
      <c r="G1104" s="475" t="inlineStr">
        <is>
          <t>South-Left1</t>
        </is>
      </c>
      <c r="H1104" s="486" t="n">
        <v>4086.5</v>
      </c>
      <c r="I1104" s="486" t="n">
        <v>89</v>
      </c>
      <c r="J1104" s="486" t="n">
        <v>57</v>
      </c>
      <c r="K1104" s="486" t="n">
        <v>34</v>
      </c>
      <c r="L1104" s="486" t="n">
        <v>3</v>
      </c>
      <c r="M1104" s="487" t="inlineStr">
        <is>
          <t>T</t>
        </is>
      </c>
    </row>
    <row r="1105">
      <c r="A1105" s="486" t="n">
        <v>17</v>
      </c>
      <c r="B1105" s="486" t="n">
        <v>3</v>
      </c>
      <c r="C1105" s="486" t="n">
        <v>2</v>
      </c>
      <c r="D1105" s="486" t="n">
        <v>2</v>
      </c>
      <c r="E1105" s="486" t="n">
        <v>2</v>
      </c>
      <c r="F1105" s="486" t="n">
        <v>2</v>
      </c>
      <c r="G1105" s="486" t="inlineStr">
        <is>
          <t>South-Right1</t>
        </is>
      </c>
      <c r="H1105" s="486" t="n">
        <v>1319.67</v>
      </c>
      <c r="I1105" s="486" t="n">
        <v>88</v>
      </c>
      <c r="J1105" s="486" t="n">
        <v>39</v>
      </c>
      <c r="K1105" s="486" t="n">
        <v>24</v>
      </c>
      <c r="L1105" s="486" t="n">
        <v>3</v>
      </c>
      <c r="M1105" s="487" t="inlineStr">
        <is>
          <t>T</t>
        </is>
      </c>
    </row>
    <row r="1106">
      <c r="A1106" s="486" t="n">
        <v>17</v>
      </c>
      <c r="B1106" s="486" t="n">
        <v>3</v>
      </c>
      <c r="C1106" s="486" t="n">
        <v>2</v>
      </c>
      <c r="D1106" s="486" t="n">
        <v>2</v>
      </c>
      <c r="E1106" s="486" t="n">
        <v>2</v>
      </c>
      <c r="F1106" s="486" t="n">
        <v>2</v>
      </c>
      <c r="G1106" s="486" t="inlineStr">
        <is>
          <t>South-Right2</t>
        </is>
      </c>
      <c r="H1106" s="486" t="n">
        <v>0</v>
      </c>
      <c r="I1106" s="486" t="n">
        <v>0</v>
      </c>
      <c r="J1106" s="486" t="n">
        <v>0</v>
      </c>
      <c r="K1106" s="486" t="n">
        <v>0</v>
      </c>
      <c r="L1106" s="486" t="n">
        <v>0</v>
      </c>
      <c r="M1106" s="487" t="inlineStr">
        <is>
          <t>T</t>
        </is>
      </c>
    </row>
    <row r="1107">
      <c r="A1107" s="486" t="n">
        <v>17</v>
      </c>
      <c r="B1107" s="486" t="n">
        <v>3</v>
      </c>
      <c r="C1107" s="486" t="n">
        <v>2</v>
      </c>
      <c r="D1107" s="486" t="n">
        <v>4</v>
      </c>
      <c r="E1107" s="486" t="n">
        <v>2</v>
      </c>
      <c r="F1107" s="486" t="n">
        <v>2</v>
      </c>
      <c r="G1107" s="486" t="inlineStr">
        <is>
          <t>West-Up2</t>
        </is>
      </c>
      <c r="H1107" s="486" t="n">
        <v>0</v>
      </c>
      <c r="I1107" s="486" t="n">
        <v>0</v>
      </c>
      <c r="J1107" s="486" t="n">
        <v>0</v>
      </c>
      <c r="K1107" s="486" t="n">
        <v>0</v>
      </c>
      <c r="L1107" s="486" t="n">
        <v>0</v>
      </c>
      <c r="M1107" s="487" t="inlineStr">
        <is>
          <t>T</t>
        </is>
      </c>
    </row>
    <row r="1108">
      <c r="A1108" s="486" t="n">
        <v>17</v>
      </c>
      <c r="B1108" s="486" t="n">
        <v>3</v>
      </c>
      <c r="C1108" s="486" t="n">
        <v>2</v>
      </c>
      <c r="D1108" s="486" t="n">
        <v>4</v>
      </c>
      <c r="E1108" s="486" t="n">
        <v>2</v>
      </c>
      <c r="F1108" s="486" t="n">
        <v>2</v>
      </c>
      <c r="G1108" s="475" t="inlineStr">
        <is>
          <t>West-Up1</t>
        </is>
      </c>
      <c r="H1108" s="486" t="n">
        <v>2629.41</v>
      </c>
      <c r="I1108" s="486" t="n">
        <v>0</v>
      </c>
      <c r="J1108" s="486" t="n">
        <v>18</v>
      </c>
      <c r="K1108" s="486" t="n">
        <v>52</v>
      </c>
      <c r="L1108" s="486" t="n">
        <v>4</v>
      </c>
      <c r="M1108" s="487" t="inlineStr">
        <is>
          <t>T</t>
        </is>
      </c>
    </row>
    <row r="1109">
      <c r="A1109" s="486" t="n">
        <v>17</v>
      </c>
      <c r="B1109" s="486" t="n">
        <v>3</v>
      </c>
      <c r="C1109" s="486" t="n">
        <v>2</v>
      </c>
      <c r="D1109" s="486" t="n">
        <v>4</v>
      </c>
      <c r="E1109" s="486" t="n">
        <v>2</v>
      </c>
      <c r="F1109" s="486" t="n">
        <v>2</v>
      </c>
      <c r="G1109" s="486" t="inlineStr">
        <is>
          <t>West-Down1</t>
        </is>
      </c>
      <c r="H1109" s="486" t="n">
        <v>2631.59</v>
      </c>
      <c r="I1109" s="486" t="n">
        <v>0</v>
      </c>
      <c r="J1109" s="486" t="n">
        <v>11</v>
      </c>
      <c r="K1109" s="486" t="n">
        <v>50</v>
      </c>
      <c r="L1109" s="486" t="n">
        <v>1</v>
      </c>
      <c r="M1109" s="487" t="inlineStr">
        <is>
          <t>T</t>
        </is>
      </c>
    </row>
    <row r="1110">
      <c r="A1110" s="486" t="n">
        <v>17</v>
      </c>
      <c r="B1110" s="486" t="n">
        <v>3</v>
      </c>
      <c r="C1110" s="486" t="n">
        <v>2</v>
      </c>
      <c r="D1110" s="486" t="n">
        <v>4</v>
      </c>
      <c r="E1110" s="486" t="n">
        <v>2</v>
      </c>
      <c r="F1110" s="486" t="n">
        <v>2</v>
      </c>
      <c r="G1110" s="486" t="inlineStr">
        <is>
          <t>West-Down2</t>
        </is>
      </c>
      <c r="H1110" s="486" t="n">
        <v>0</v>
      </c>
      <c r="I1110" s="486" t="n">
        <v>0</v>
      </c>
      <c r="J1110" s="486" t="n">
        <v>0</v>
      </c>
      <c r="K1110" s="486" t="n">
        <v>0</v>
      </c>
      <c r="L1110" s="486" t="n">
        <v>0</v>
      </c>
      <c r="M1110" s="487" t="inlineStr">
        <is>
          <t>T</t>
        </is>
      </c>
    </row>
    <row r="1111">
      <c r="A1111" s="486" t="n">
        <v>17</v>
      </c>
      <c r="B1111" s="486" t="n">
        <v>3</v>
      </c>
      <c r="C1111" s="486" t="n">
        <v>2</v>
      </c>
      <c r="D1111" s="486" t="n">
        <v>4</v>
      </c>
      <c r="E1111" s="486" t="n">
        <v>2</v>
      </c>
      <c r="F1111" s="486" t="n">
        <v>2</v>
      </c>
      <c r="G1111" s="486" t="inlineStr">
        <is>
          <t>East-Up2</t>
        </is>
      </c>
      <c r="H1111" s="486" t="n">
        <v>0</v>
      </c>
      <c r="I1111" s="486" t="n">
        <v>0</v>
      </c>
      <c r="J1111" s="486" t="n">
        <v>0</v>
      </c>
      <c r="K1111" s="486" t="n">
        <v>0</v>
      </c>
      <c r="L1111" s="486" t="n">
        <v>0</v>
      </c>
      <c r="M1111" s="487" t="inlineStr">
        <is>
          <t>T</t>
        </is>
      </c>
    </row>
    <row r="1112">
      <c r="A1112" s="486" t="n">
        <v>17</v>
      </c>
      <c r="B1112" s="486" t="n">
        <v>3</v>
      </c>
      <c r="C1112" s="486" t="n">
        <v>2</v>
      </c>
      <c r="D1112" s="486" t="n">
        <v>4</v>
      </c>
      <c r="E1112" s="486" t="n">
        <v>2</v>
      </c>
      <c r="F1112" s="486" t="n">
        <v>2</v>
      </c>
      <c r="G1112" s="475" t="inlineStr">
        <is>
          <t>East-Up1</t>
        </is>
      </c>
      <c r="H1112" s="486" t="n">
        <v>2624.15</v>
      </c>
      <c r="I1112" s="486" t="n">
        <v>0</v>
      </c>
      <c r="J1112" s="486" t="n">
        <v>17</v>
      </c>
      <c r="K1112" s="486" t="n">
        <v>16</v>
      </c>
      <c r="L1112" s="486" t="n">
        <v>4</v>
      </c>
      <c r="M1112" s="487" t="inlineStr">
        <is>
          <t>T</t>
        </is>
      </c>
    </row>
    <row r="1113">
      <c r="A1113" s="486" t="n">
        <v>17</v>
      </c>
      <c r="B1113" s="486" t="n">
        <v>3</v>
      </c>
      <c r="C1113" s="486" t="n">
        <v>2</v>
      </c>
      <c r="D1113" s="486" t="n">
        <v>4</v>
      </c>
      <c r="E1113" s="486" t="n">
        <v>2</v>
      </c>
      <c r="F1113" s="486" t="n">
        <v>2</v>
      </c>
      <c r="G1113" s="486" t="inlineStr">
        <is>
          <t>East-Down1</t>
        </is>
      </c>
      <c r="H1113" s="486" t="n">
        <v>2620.72</v>
      </c>
      <c r="I1113" s="486" t="n">
        <v>0</v>
      </c>
      <c r="J1113" s="486" t="n">
        <v>12</v>
      </c>
      <c r="K1113" s="486" t="n">
        <v>54</v>
      </c>
      <c r="L1113" s="486" t="n">
        <v>4</v>
      </c>
      <c r="M1113" s="487" t="inlineStr">
        <is>
          <t>T</t>
        </is>
      </c>
    </row>
    <row r="1114">
      <c r="A1114" s="486" t="n">
        <v>17</v>
      </c>
      <c r="B1114" s="486" t="n">
        <v>3</v>
      </c>
      <c r="C1114" s="486" t="n">
        <v>2</v>
      </c>
      <c r="D1114" s="486" t="n">
        <v>4</v>
      </c>
      <c r="E1114" s="486" t="n">
        <v>2</v>
      </c>
      <c r="F1114" s="486" t="n">
        <v>2</v>
      </c>
      <c r="G1114" s="486" t="inlineStr">
        <is>
          <t>East-Down2</t>
        </is>
      </c>
      <c r="H1114" s="486" t="n">
        <v>0</v>
      </c>
      <c r="I1114" s="486" t="n">
        <v>0</v>
      </c>
      <c r="J1114" s="486" t="n">
        <v>0</v>
      </c>
      <c r="K1114" s="486" t="n">
        <v>0</v>
      </c>
      <c r="L1114" s="486" t="n">
        <v>0</v>
      </c>
      <c r="M1114" s="487" t="inlineStr">
        <is>
          <t>T</t>
        </is>
      </c>
    </row>
    <row r="1115">
      <c r="A1115" s="486" t="n">
        <v>17</v>
      </c>
      <c r="B1115" s="486" t="n">
        <v>3</v>
      </c>
      <c r="C1115" s="486" t="n">
        <v>2</v>
      </c>
      <c r="D1115" s="486" t="n">
        <v>4</v>
      </c>
      <c r="E1115" s="486" t="n">
        <v>2</v>
      </c>
      <c r="F1115" s="486" t="n">
        <v>2</v>
      </c>
      <c r="G1115" s="486" t="inlineStr">
        <is>
          <t>North-Left2</t>
        </is>
      </c>
      <c r="H1115" s="486" t="n">
        <v>0</v>
      </c>
      <c r="I1115" s="486" t="n">
        <v>0</v>
      </c>
      <c r="J1115" s="486" t="n">
        <v>0</v>
      </c>
      <c r="K1115" s="486" t="n">
        <v>0</v>
      </c>
      <c r="L1115" s="486" t="n">
        <v>0</v>
      </c>
      <c r="M1115" s="487" t="inlineStr">
        <is>
          <t>T</t>
        </is>
      </c>
    </row>
    <row r="1116">
      <c r="A1116" s="486" t="n">
        <v>17</v>
      </c>
      <c r="B1116" s="486" t="n">
        <v>3</v>
      </c>
      <c r="C1116" s="486" t="n">
        <v>2</v>
      </c>
      <c r="D1116" s="486" t="n">
        <v>4</v>
      </c>
      <c r="E1116" s="486" t="n">
        <v>2</v>
      </c>
      <c r="F1116" s="486" t="n">
        <v>2</v>
      </c>
      <c r="G1116" s="475" t="inlineStr">
        <is>
          <t>North-Left1</t>
        </is>
      </c>
      <c r="H1116" s="486" t="n">
        <v>2670.19</v>
      </c>
      <c r="I1116" s="486" t="n">
        <v>89</v>
      </c>
      <c r="J1116" s="486" t="n">
        <v>18</v>
      </c>
      <c r="K1116" s="486" t="n">
        <v>31</v>
      </c>
      <c r="L1116" s="486" t="n">
        <v>2</v>
      </c>
      <c r="M1116" s="487" t="inlineStr">
        <is>
          <t>T</t>
        </is>
      </c>
    </row>
    <row r="1117">
      <c r="A1117" s="486" t="n">
        <v>17</v>
      </c>
      <c r="B1117" s="486" t="n">
        <v>3</v>
      </c>
      <c r="C1117" s="486" t="n">
        <v>2</v>
      </c>
      <c r="D1117" s="486" t="n">
        <v>4</v>
      </c>
      <c r="E1117" s="486" t="n">
        <v>2</v>
      </c>
      <c r="F1117" s="486" t="n">
        <v>2</v>
      </c>
      <c r="G1117" s="486" t="inlineStr">
        <is>
          <t>North-Right1</t>
        </is>
      </c>
      <c r="H1117" s="486" t="n">
        <v>2670.46</v>
      </c>
      <c r="I1117" s="486" t="n">
        <v>89</v>
      </c>
      <c r="J1117" s="486" t="n">
        <v>18</v>
      </c>
      <c r="K1117" s="486" t="n">
        <v>32</v>
      </c>
      <c r="L1117" s="486" t="n">
        <v>2</v>
      </c>
      <c r="M1117" s="487" t="inlineStr">
        <is>
          <t>T</t>
        </is>
      </c>
    </row>
    <row r="1118">
      <c r="A1118" s="486" t="n">
        <v>17</v>
      </c>
      <c r="B1118" s="486" t="n">
        <v>3</v>
      </c>
      <c r="C1118" s="486" t="n">
        <v>2</v>
      </c>
      <c r="D1118" s="486" t="n">
        <v>4</v>
      </c>
      <c r="E1118" s="486" t="n">
        <v>2</v>
      </c>
      <c r="F1118" s="486" t="n">
        <v>2</v>
      </c>
      <c r="G1118" s="486" t="inlineStr">
        <is>
          <t>North-Right2</t>
        </is>
      </c>
      <c r="H1118" s="486" t="n">
        <v>0</v>
      </c>
      <c r="I1118" s="486" t="n">
        <v>0</v>
      </c>
      <c r="J1118" s="486" t="n">
        <v>0</v>
      </c>
      <c r="K1118" s="486" t="n">
        <v>0</v>
      </c>
      <c r="L1118" s="486" t="n">
        <v>0</v>
      </c>
      <c r="M1118" s="487" t="n">
        <v>0</v>
      </c>
    </row>
    <row r="1119">
      <c r="A1119" s="486" t="n">
        <v>17</v>
      </c>
      <c r="B1119" s="486" t="n">
        <v>3</v>
      </c>
      <c r="C1119" s="486" t="n">
        <v>2</v>
      </c>
      <c r="D1119" s="486" t="n">
        <v>4</v>
      </c>
      <c r="E1119" s="486" t="n">
        <v>2</v>
      </c>
      <c r="F1119" s="486" t="n">
        <v>2</v>
      </c>
      <c r="G1119" s="486" t="inlineStr">
        <is>
          <t>South-Left2</t>
        </is>
      </c>
      <c r="H1119" s="486" t="n">
        <v>0</v>
      </c>
      <c r="I1119" s="486" t="n">
        <v>0</v>
      </c>
      <c r="J1119" s="486" t="n">
        <v>0</v>
      </c>
      <c r="K1119" s="486" t="n">
        <v>0</v>
      </c>
      <c r="L1119" s="486" t="n">
        <v>0</v>
      </c>
      <c r="M1119" s="487" t="inlineStr">
        <is>
          <t>T</t>
        </is>
      </c>
    </row>
    <row r="1120">
      <c r="A1120" s="486" t="n">
        <v>17</v>
      </c>
      <c r="B1120" s="486" t="n">
        <v>3</v>
      </c>
      <c r="C1120" s="486" t="n">
        <v>2</v>
      </c>
      <c r="D1120" s="486" t="n">
        <v>4</v>
      </c>
      <c r="E1120" s="486" t="n">
        <v>2</v>
      </c>
      <c r="F1120" s="486" t="n">
        <v>2</v>
      </c>
      <c r="G1120" s="475" t="inlineStr">
        <is>
          <t>South-Left1</t>
        </is>
      </c>
      <c r="H1120" s="486" t="n">
        <v>2674.47</v>
      </c>
      <c r="I1120" s="486" t="n">
        <v>89</v>
      </c>
      <c r="J1120" s="486" t="n">
        <v>10</v>
      </c>
      <c r="K1120" s="486" t="n">
        <v>44</v>
      </c>
      <c r="L1120" s="486" t="n">
        <v>2</v>
      </c>
      <c r="M1120" s="487" t="inlineStr">
        <is>
          <t>T</t>
        </is>
      </c>
    </row>
    <row r="1121">
      <c r="A1121" s="486" t="n">
        <v>17</v>
      </c>
      <c r="B1121" s="486" t="n">
        <v>3</v>
      </c>
      <c r="C1121" s="486" t="n">
        <v>2</v>
      </c>
      <c r="D1121" s="486" t="n">
        <v>4</v>
      </c>
      <c r="E1121" s="486" t="n">
        <v>2</v>
      </c>
      <c r="F1121" s="486" t="n">
        <v>2</v>
      </c>
      <c r="G1121" s="486" t="inlineStr">
        <is>
          <t>South-Right1</t>
        </is>
      </c>
      <c r="H1121" s="486" t="n">
        <v>2667.22</v>
      </c>
      <c r="I1121" s="486" t="n">
        <v>89</v>
      </c>
      <c r="J1121" s="486" t="n">
        <v>5</v>
      </c>
      <c r="K1121" s="486" t="n">
        <v>51</v>
      </c>
      <c r="L1121" s="486" t="n">
        <v>2</v>
      </c>
      <c r="M1121" s="487" t="inlineStr">
        <is>
          <t>T</t>
        </is>
      </c>
    </row>
    <row r="1122">
      <c r="A1122" s="486" t="n">
        <v>17</v>
      </c>
      <c r="B1122" s="486" t="n">
        <v>3</v>
      </c>
      <c r="C1122" s="486" t="n">
        <v>2</v>
      </c>
      <c r="D1122" s="486" t="n">
        <v>4</v>
      </c>
      <c r="E1122" s="486" t="n">
        <v>2</v>
      </c>
      <c r="F1122" s="486" t="n">
        <v>2</v>
      </c>
      <c r="G1122" s="486" t="inlineStr">
        <is>
          <t>South-Right2</t>
        </is>
      </c>
      <c r="H1122" s="486" t="n">
        <v>0</v>
      </c>
      <c r="I1122" s="486" t="n">
        <v>0</v>
      </c>
      <c r="J1122" s="486" t="n">
        <v>0</v>
      </c>
      <c r="K1122" s="486" t="n">
        <v>0</v>
      </c>
      <c r="L1122" s="486" t="n">
        <v>0</v>
      </c>
      <c r="M1122" s="487" t="inlineStr">
        <is>
          <t>T</t>
        </is>
      </c>
    </row>
    <row r="1123">
      <c r="A1123" s="499" t="n">
        <v>17</v>
      </c>
      <c r="B1123" s="499" t="n">
        <v>3</v>
      </c>
      <c r="C1123" s="499" t="n">
        <v>2</v>
      </c>
      <c r="D1123" s="499" t="n">
        <v>5</v>
      </c>
      <c r="E1123" s="499" t="n">
        <v>2</v>
      </c>
      <c r="F1123" s="499" t="n">
        <v>2</v>
      </c>
      <c r="G1123" s="499" t="inlineStr">
        <is>
          <t>West-Up2</t>
        </is>
      </c>
      <c r="H1123" s="501" t="n">
        <v>0</v>
      </c>
      <c r="I1123" s="501" t="n">
        <v>0</v>
      </c>
      <c r="J1123" s="501" t="n">
        <v>0</v>
      </c>
      <c r="K1123" s="501" t="n">
        <v>0</v>
      </c>
      <c r="L1123" s="501" t="n">
        <v>0</v>
      </c>
      <c r="M1123" s="500" t="inlineStr">
        <is>
          <t>T</t>
        </is>
      </c>
    </row>
    <row r="1124">
      <c r="A1124" s="499" t="n">
        <v>17</v>
      </c>
      <c r="B1124" s="499" t="n">
        <v>3</v>
      </c>
      <c r="C1124" s="499" t="n">
        <v>2</v>
      </c>
      <c r="D1124" s="499" t="n">
        <v>5</v>
      </c>
      <c r="E1124" s="499" t="n">
        <v>2</v>
      </c>
      <c r="F1124" s="499" t="n">
        <v>2</v>
      </c>
      <c r="G1124" s="502" t="inlineStr">
        <is>
          <t>West-Up1</t>
        </is>
      </c>
      <c r="H1124" s="501" t="n">
        <v>5282.92</v>
      </c>
      <c r="I1124" s="501" t="n">
        <v>0</v>
      </c>
      <c r="J1124" s="501" t="n">
        <v>4</v>
      </c>
      <c r="K1124" s="501" t="n">
        <v>0</v>
      </c>
      <c r="L1124" s="501" t="n">
        <v>4</v>
      </c>
      <c r="M1124" s="500" t="inlineStr">
        <is>
          <t>T</t>
        </is>
      </c>
    </row>
    <row r="1125">
      <c r="A1125" s="499" t="n">
        <v>17</v>
      </c>
      <c r="B1125" s="499" t="n">
        <v>3</v>
      </c>
      <c r="C1125" s="499" t="n">
        <v>2</v>
      </c>
      <c r="D1125" s="499" t="n">
        <v>5</v>
      </c>
      <c r="E1125" s="499" t="n">
        <v>2</v>
      </c>
      <c r="F1125" s="499" t="n">
        <v>2</v>
      </c>
      <c r="G1125" s="499" t="inlineStr">
        <is>
          <t>West-Down1</t>
        </is>
      </c>
      <c r="H1125" s="501" t="n">
        <v>0</v>
      </c>
      <c r="I1125" s="501" t="n">
        <v>0</v>
      </c>
      <c r="J1125" s="501" t="n">
        <v>0</v>
      </c>
      <c r="K1125" s="501" t="n">
        <v>0</v>
      </c>
      <c r="L1125" s="501" t="n">
        <v>0</v>
      </c>
      <c r="M1125" s="500" t="inlineStr">
        <is>
          <t>T</t>
        </is>
      </c>
    </row>
    <row r="1126">
      <c r="A1126" s="499" t="n">
        <v>17</v>
      </c>
      <c r="B1126" s="499" t="n">
        <v>3</v>
      </c>
      <c r="C1126" s="499" t="n">
        <v>2</v>
      </c>
      <c r="D1126" s="499" t="n">
        <v>5</v>
      </c>
      <c r="E1126" s="499" t="n">
        <v>2</v>
      </c>
      <c r="F1126" s="499" t="n">
        <v>2</v>
      </c>
      <c r="G1126" s="499" t="inlineStr">
        <is>
          <t>West-Down2</t>
        </is>
      </c>
      <c r="H1126" s="501" t="n">
        <v>0</v>
      </c>
      <c r="I1126" s="501" t="n">
        <v>0</v>
      </c>
      <c r="J1126" s="501" t="n">
        <v>0</v>
      </c>
      <c r="K1126" s="501" t="n">
        <v>0</v>
      </c>
      <c r="L1126" s="501" t="n">
        <v>0</v>
      </c>
      <c r="M1126" s="500" t="inlineStr">
        <is>
          <t>T</t>
        </is>
      </c>
    </row>
    <row r="1127">
      <c r="A1127" s="499" t="n">
        <v>17</v>
      </c>
      <c r="B1127" s="499" t="n">
        <v>3</v>
      </c>
      <c r="C1127" s="499" t="n">
        <v>2</v>
      </c>
      <c r="D1127" s="499" t="n">
        <v>5</v>
      </c>
      <c r="E1127" s="499" t="n">
        <v>2</v>
      </c>
      <c r="F1127" s="499" t="n">
        <v>2</v>
      </c>
      <c r="G1127" s="499" t="inlineStr">
        <is>
          <t>East-Up2</t>
        </is>
      </c>
      <c r="H1127" s="501" t="n">
        <v>0</v>
      </c>
      <c r="I1127" s="501" t="n">
        <v>0</v>
      </c>
      <c r="J1127" s="501" t="n">
        <v>0</v>
      </c>
      <c r="K1127" s="501" t="n">
        <v>0</v>
      </c>
      <c r="L1127" s="501" t="n">
        <v>0</v>
      </c>
      <c r="M1127" s="500" t="inlineStr">
        <is>
          <t>T</t>
        </is>
      </c>
    </row>
    <row r="1128">
      <c r="A1128" s="499" t="n">
        <v>17</v>
      </c>
      <c r="B1128" s="499" t="n">
        <v>3</v>
      </c>
      <c r="C1128" s="499" t="n">
        <v>2</v>
      </c>
      <c r="D1128" s="499" t="n">
        <v>5</v>
      </c>
      <c r="E1128" s="499" t="n">
        <v>2</v>
      </c>
      <c r="F1128" s="499" t="n">
        <v>2</v>
      </c>
      <c r="G1128" s="502" t="inlineStr">
        <is>
          <t>East-Up1</t>
        </is>
      </c>
      <c r="H1128" s="501" t="n">
        <v>2638.96</v>
      </c>
      <c r="I1128" s="501" t="n">
        <v>0</v>
      </c>
      <c r="J1128" s="501" t="n">
        <v>31</v>
      </c>
      <c r="K1128" s="501" t="n">
        <v>12</v>
      </c>
      <c r="L1128" s="501" t="n">
        <v>2</v>
      </c>
      <c r="M1128" s="500" t="inlineStr">
        <is>
          <t>T</t>
        </is>
      </c>
    </row>
    <row r="1129">
      <c r="A1129" s="499" t="n">
        <v>17</v>
      </c>
      <c r="B1129" s="499" t="n">
        <v>3</v>
      </c>
      <c r="C1129" s="499" t="n">
        <v>2</v>
      </c>
      <c r="D1129" s="499" t="n">
        <v>5</v>
      </c>
      <c r="E1129" s="499" t="n">
        <v>2</v>
      </c>
      <c r="F1129" s="499" t="n">
        <v>2</v>
      </c>
      <c r="G1129" s="499" t="inlineStr">
        <is>
          <t>East-Down1</t>
        </is>
      </c>
      <c r="H1129" s="501" t="n">
        <v>2655.95</v>
      </c>
      <c r="I1129" s="501" t="n">
        <v>0</v>
      </c>
      <c r="J1129" s="501" t="n">
        <v>2</v>
      </c>
      <c r="K1129" s="501" t="n">
        <v>9</v>
      </c>
      <c r="L1129" s="501" t="n">
        <v>4</v>
      </c>
      <c r="M1129" s="500" t="inlineStr">
        <is>
          <t>T</t>
        </is>
      </c>
    </row>
    <row r="1130">
      <c r="A1130" s="499" t="n">
        <v>17</v>
      </c>
      <c r="B1130" s="499" t="n">
        <v>3</v>
      </c>
      <c r="C1130" s="499" t="n">
        <v>2</v>
      </c>
      <c r="D1130" s="499" t="n">
        <v>5</v>
      </c>
      <c r="E1130" s="499" t="n">
        <v>2</v>
      </c>
      <c r="F1130" s="499" t="n">
        <v>2</v>
      </c>
      <c r="G1130" s="499" t="inlineStr">
        <is>
          <t>East-Down2</t>
        </is>
      </c>
      <c r="H1130" s="501" t="n">
        <v>0</v>
      </c>
      <c r="I1130" s="501" t="n">
        <v>0</v>
      </c>
      <c r="J1130" s="501" t="n">
        <v>0</v>
      </c>
      <c r="K1130" s="501" t="n">
        <v>0</v>
      </c>
      <c r="L1130" s="501" t="n">
        <v>0</v>
      </c>
      <c r="M1130" s="500" t="inlineStr">
        <is>
          <t>T</t>
        </is>
      </c>
    </row>
    <row r="1131">
      <c r="A1131" s="499" t="n">
        <v>17</v>
      </c>
      <c r="B1131" s="499" t="n">
        <v>3</v>
      </c>
      <c r="C1131" s="499" t="n">
        <v>2</v>
      </c>
      <c r="D1131" s="499" t="n">
        <v>5</v>
      </c>
      <c r="E1131" s="499" t="n">
        <v>2</v>
      </c>
      <c r="F1131" s="499" t="n">
        <v>2</v>
      </c>
      <c r="G1131" s="499" t="inlineStr">
        <is>
          <t>North-Left2</t>
        </is>
      </c>
      <c r="H1131" s="501" t="n">
        <v>0</v>
      </c>
      <c r="I1131" s="501" t="n">
        <v>0</v>
      </c>
      <c r="J1131" s="501" t="n">
        <v>0</v>
      </c>
      <c r="K1131" s="501" t="n">
        <v>0</v>
      </c>
      <c r="L1131" s="501" t="n">
        <v>0</v>
      </c>
      <c r="M1131" s="500" t="inlineStr">
        <is>
          <t>T</t>
        </is>
      </c>
    </row>
    <row r="1132">
      <c r="A1132" s="499" t="n">
        <v>17</v>
      </c>
      <c r="B1132" s="499" t="n">
        <v>3</v>
      </c>
      <c r="C1132" s="499" t="n">
        <v>2</v>
      </c>
      <c r="D1132" s="499" t="n">
        <v>5</v>
      </c>
      <c r="E1132" s="499" t="n">
        <v>2</v>
      </c>
      <c r="F1132" s="499" t="n">
        <v>2</v>
      </c>
      <c r="G1132" s="502" t="inlineStr">
        <is>
          <t>North-Left1</t>
        </is>
      </c>
      <c r="H1132" s="501" t="n">
        <v>5280.29</v>
      </c>
      <c r="I1132" s="501" t="n">
        <v>89</v>
      </c>
      <c r="J1132" s="501" t="n">
        <v>52</v>
      </c>
      <c r="K1132" s="501" t="n">
        <v>37</v>
      </c>
      <c r="L1132" s="501" t="n">
        <v>1</v>
      </c>
      <c r="M1132" s="500" t="inlineStr">
        <is>
          <t>T</t>
        </is>
      </c>
    </row>
    <row r="1133">
      <c r="A1133" s="499" t="n">
        <v>17</v>
      </c>
      <c r="B1133" s="499" t="n">
        <v>3</v>
      </c>
      <c r="C1133" s="499" t="n">
        <v>2</v>
      </c>
      <c r="D1133" s="499" t="n">
        <v>5</v>
      </c>
      <c r="E1133" s="499" t="n">
        <v>2</v>
      </c>
      <c r="F1133" s="499" t="n">
        <v>2</v>
      </c>
      <c r="G1133" s="499" t="inlineStr">
        <is>
          <t>North-Right1</t>
        </is>
      </c>
      <c r="H1133" s="501" t="n">
        <v>0</v>
      </c>
      <c r="I1133" s="501" t="n">
        <v>0</v>
      </c>
      <c r="J1133" s="501" t="n">
        <v>0</v>
      </c>
      <c r="K1133" s="501" t="n">
        <v>0</v>
      </c>
      <c r="L1133" s="501" t="n">
        <v>0</v>
      </c>
      <c r="M1133" s="500" t="inlineStr">
        <is>
          <t>T</t>
        </is>
      </c>
    </row>
    <row r="1134">
      <c r="A1134" s="499" t="n">
        <v>17</v>
      </c>
      <c r="B1134" s="499" t="n">
        <v>3</v>
      </c>
      <c r="C1134" s="499" t="n">
        <v>2</v>
      </c>
      <c r="D1134" s="499" t="n">
        <v>5</v>
      </c>
      <c r="E1134" s="499" t="n">
        <v>2</v>
      </c>
      <c r="F1134" s="499" t="n">
        <v>2</v>
      </c>
      <c r="G1134" s="499" t="inlineStr">
        <is>
          <t>North-Right2</t>
        </is>
      </c>
      <c r="H1134" s="501" t="n">
        <v>0</v>
      </c>
      <c r="I1134" s="501" t="n">
        <v>0</v>
      </c>
      <c r="J1134" s="501" t="n">
        <v>0</v>
      </c>
      <c r="K1134" s="501" t="n">
        <v>0</v>
      </c>
      <c r="L1134" s="501" t="n">
        <v>0</v>
      </c>
      <c r="M1134" s="500" t="inlineStr">
        <is>
          <t>T</t>
        </is>
      </c>
    </row>
    <row r="1135">
      <c r="A1135" s="499" t="n">
        <v>17</v>
      </c>
      <c r="B1135" s="499" t="n">
        <v>3</v>
      </c>
      <c r="C1135" s="499" t="n">
        <v>2</v>
      </c>
      <c r="D1135" s="499" t="n">
        <v>5</v>
      </c>
      <c r="E1135" s="499" t="n">
        <v>2</v>
      </c>
      <c r="F1135" s="499" t="n">
        <v>2</v>
      </c>
      <c r="G1135" s="499" t="inlineStr">
        <is>
          <t>South-Left2</t>
        </is>
      </c>
      <c r="H1135" s="501" t="n">
        <v>0</v>
      </c>
      <c r="I1135" s="501" t="n">
        <v>0</v>
      </c>
      <c r="J1135" s="501" t="n">
        <v>0</v>
      </c>
      <c r="K1135" s="501" t="n">
        <v>0</v>
      </c>
      <c r="L1135" s="501" t="n">
        <v>0</v>
      </c>
      <c r="M1135" s="500" t="inlineStr">
        <is>
          <t>T</t>
        </is>
      </c>
    </row>
    <row r="1136">
      <c r="A1136" s="499" t="n">
        <v>17</v>
      </c>
      <c r="B1136" s="499" t="n">
        <v>3</v>
      </c>
      <c r="C1136" s="499" t="n">
        <v>2</v>
      </c>
      <c r="D1136" s="499" t="n">
        <v>5</v>
      </c>
      <c r="E1136" s="499" t="n">
        <v>2</v>
      </c>
      <c r="F1136" s="499" t="n">
        <v>2</v>
      </c>
      <c r="G1136" s="502" t="inlineStr">
        <is>
          <t>South-Left1</t>
        </is>
      </c>
      <c r="H1136" s="501" t="n">
        <v>2626.14</v>
      </c>
      <c r="I1136" s="501" t="n">
        <v>89</v>
      </c>
      <c r="J1136" s="501" t="n">
        <v>33</v>
      </c>
      <c r="K1136" s="501" t="n">
        <v>25</v>
      </c>
      <c r="L1136" s="501" t="n">
        <v>4</v>
      </c>
      <c r="M1136" s="500" t="inlineStr">
        <is>
          <t>T</t>
        </is>
      </c>
    </row>
    <row r="1137">
      <c r="A1137" s="499" t="n">
        <v>17</v>
      </c>
      <c r="B1137" s="499" t="n">
        <v>3</v>
      </c>
      <c r="C1137" s="499" t="n">
        <v>2</v>
      </c>
      <c r="D1137" s="499" t="n">
        <v>5</v>
      </c>
      <c r="E1137" s="499" t="n">
        <v>2</v>
      </c>
      <c r="F1137" s="499" t="n">
        <v>2</v>
      </c>
      <c r="G1137" s="499" t="inlineStr">
        <is>
          <t>South-Right1</t>
        </is>
      </c>
      <c r="H1137" s="501" t="n">
        <v>2636.46</v>
      </c>
      <c r="I1137" s="501" t="n">
        <v>89</v>
      </c>
      <c r="J1137" s="501" t="n">
        <v>54</v>
      </c>
      <c r="K1137" s="501" t="n">
        <v>14</v>
      </c>
      <c r="L1137" s="501" t="n">
        <v>4</v>
      </c>
      <c r="M1137" s="500" t="inlineStr">
        <is>
          <t>T</t>
        </is>
      </c>
    </row>
    <row r="1138">
      <c r="A1138" s="499" t="n">
        <v>17</v>
      </c>
      <c r="B1138" s="499" t="n">
        <v>3</v>
      </c>
      <c r="C1138" s="499" t="n">
        <v>2</v>
      </c>
      <c r="D1138" s="499" t="n">
        <v>5</v>
      </c>
      <c r="E1138" s="499" t="n">
        <v>2</v>
      </c>
      <c r="F1138" s="499" t="n">
        <v>2</v>
      </c>
      <c r="G1138" s="499" t="inlineStr">
        <is>
          <t>South-Right2</t>
        </is>
      </c>
      <c r="H1138" s="501" t="n">
        <v>0</v>
      </c>
      <c r="I1138" s="501" t="n">
        <v>0</v>
      </c>
      <c r="J1138" s="501" t="n">
        <v>0</v>
      </c>
      <c r="K1138" s="501" t="n">
        <v>0</v>
      </c>
      <c r="L1138" s="501" t="n">
        <v>0</v>
      </c>
      <c r="M1138" s="500" t="inlineStr">
        <is>
          <t>T</t>
        </is>
      </c>
    </row>
    <row r="1139">
      <c r="A1139" s="486" t="n">
        <v>18</v>
      </c>
      <c r="B1139" s="486" t="n">
        <v>2</v>
      </c>
      <c r="C1139" s="486" t="n">
        <v>2</v>
      </c>
      <c r="D1139" s="486" t="n">
        <v>3</v>
      </c>
      <c r="E1139" s="486" t="n">
        <v>2</v>
      </c>
      <c r="F1139" s="486" t="n">
        <v>1</v>
      </c>
      <c r="G1139" s="486" t="inlineStr">
        <is>
          <t>West-Up2</t>
        </is>
      </c>
      <c r="H1139" s="486" t="n">
        <v>0</v>
      </c>
      <c r="I1139" s="486" t="n">
        <v>0</v>
      </c>
      <c r="J1139" s="486" t="n">
        <v>0</v>
      </c>
      <c r="K1139" s="486" t="n">
        <v>0</v>
      </c>
      <c r="L1139" s="486" t="n">
        <v>0</v>
      </c>
      <c r="M1139" s="487" t="n"/>
    </row>
    <row r="1140">
      <c r="A1140" s="486" t="n">
        <v>18</v>
      </c>
      <c r="B1140" s="486" t="n">
        <v>2</v>
      </c>
      <c r="C1140" s="486" t="n">
        <v>2</v>
      </c>
      <c r="D1140" s="486" t="n">
        <v>3</v>
      </c>
      <c r="E1140" s="486" t="n">
        <v>2</v>
      </c>
      <c r="F1140" s="486" t="n">
        <v>1</v>
      </c>
      <c r="G1140" s="475" t="inlineStr">
        <is>
          <t>West-Up1</t>
        </is>
      </c>
      <c r="H1140" s="486" t="n">
        <v>5331.88</v>
      </c>
      <c r="I1140" s="486" t="n">
        <v>0</v>
      </c>
      <c r="J1140" s="486" t="n">
        <v>15</v>
      </c>
      <c r="K1140" s="486" t="n">
        <v>37</v>
      </c>
      <c r="L1140" s="486" t="n">
        <v>2</v>
      </c>
      <c r="M1140" s="487" t="n"/>
    </row>
    <row r="1141">
      <c r="A1141" s="486" t="n">
        <v>18</v>
      </c>
      <c r="B1141" s="486" t="n">
        <v>2</v>
      </c>
      <c r="C1141" s="486" t="n">
        <v>2</v>
      </c>
      <c r="D1141" s="486" t="n">
        <v>3</v>
      </c>
      <c r="E1141" s="486" t="n">
        <v>2</v>
      </c>
      <c r="F1141" s="486" t="n">
        <v>1</v>
      </c>
      <c r="G1141" s="486" t="inlineStr">
        <is>
          <t>West-Down1</t>
        </is>
      </c>
      <c r="H1141" s="486" t="n">
        <v>0</v>
      </c>
      <c r="I1141" s="486" t="n">
        <v>0</v>
      </c>
      <c r="J1141" s="486" t="n">
        <v>0</v>
      </c>
      <c r="K1141" s="486" t="n">
        <v>0</v>
      </c>
      <c r="L1141" s="486" t="n">
        <v>0</v>
      </c>
      <c r="M1141" s="487" t="n"/>
    </row>
    <row r="1142">
      <c r="A1142" s="486" t="n">
        <v>18</v>
      </c>
      <c r="B1142" s="486" t="n">
        <v>2</v>
      </c>
      <c r="C1142" s="486" t="n">
        <v>2</v>
      </c>
      <c r="D1142" s="486" t="n">
        <v>3</v>
      </c>
      <c r="E1142" s="486" t="n">
        <v>2</v>
      </c>
      <c r="F1142" s="486" t="n">
        <v>1</v>
      </c>
      <c r="G1142" s="486" t="inlineStr">
        <is>
          <t>West-Down2</t>
        </is>
      </c>
      <c r="H1142" s="486" t="n">
        <v>0</v>
      </c>
      <c r="I1142" s="486" t="n">
        <v>0</v>
      </c>
      <c r="J1142" s="486" t="n">
        <v>0</v>
      </c>
      <c r="K1142" s="486" t="n">
        <v>0</v>
      </c>
      <c r="L1142" s="486" t="n">
        <v>0</v>
      </c>
      <c r="M1142" s="487" t="n"/>
    </row>
    <row r="1143">
      <c r="A1143" s="486" t="n">
        <v>18</v>
      </c>
      <c r="B1143" s="486" t="n">
        <v>2</v>
      </c>
      <c r="C1143" s="486" t="n">
        <v>2</v>
      </c>
      <c r="D1143" s="486" t="n">
        <v>3</v>
      </c>
      <c r="E1143" s="486" t="n">
        <v>2</v>
      </c>
      <c r="F1143" s="486" t="n">
        <v>1</v>
      </c>
      <c r="G1143" s="486" t="inlineStr">
        <is>
          <t>East-Up2</t>
        </is>
      </c>
      <c r="H1143" s="486" t="n">
        <v>1306.69</v>
      </c>
      <c r="I1143" s="486" t="n">
        <v>0</v>
      </c>
      <c r="J1143" s="486" t="n">
        <v>4</v>
      </c>
      <c r="K1143" s="486" t="n">
        <v>25</v>
      </c>
      <c r="L1143" s="486" t="n">
        <v>4</v>
      </c>
      <c r="M1143" s="487" t="n"/>
    </row>
    <row r="1144">
      <c r="A1144" s="486" t="n">
        <v>18</v>
      </c>
      <c r="B1144" s="486" t="n">
        <v>2</v>
      </c>
      <c r="C1144" s="486" t="n">
        <v>2</v>
      </c>
      <c r="D1144" s="486" t="n">
        <v>3</v>
      </c>
      <c r="E1144" s="486" t="n">
        <v>2</v>
      </c>
      <c r="F1144" s="486" t="n">
        <v>1</v>
      </c>
      <c r="G1144" s="475" t="inlineStr">
        <is>
          <t>East-Up1</t>
        </is>
      </c>
      <c r="H1144" s="486" t="n">
        <v>1313.37</v>
      </c>
      <c r="I1144" s="486" t="n">
        <v>0</v>
      </c>
      <c r="J1144" s="486" t="n">
        <v>5</v>
      </c>
      <c r="K1144" s="486" t="n">
        <v>13</v>
      </c>
      <c r="L1144" s="486" t="n">
        <v>4</v>
      </c>
      <c r="M1144" s="487" t="n"/>
    </row>
    <row r="1145">
      <c r="A1145" s="486" t="n">
        <v>18</v>
      </c>
      <c r="B1145" s="486" t="n">
        <v>2</v>
      </c>
      <c r="C1145" s="486" t="n">
        <v>2</v>
      </c>
      <c r="D1145" s="486" t="n">
        <v>3</v>
      </c>
      <c r="E1145" s="486" t="n">
        <v>2</v>
      </c>
      <c r="F1145" s="486" t="n">
        <v>1</v>
      </c>
      <c r="G1145" s="486" t="inlineStr">
        <is>
          <t>East-Down1</t>
        </is>
      </c>
      <c r="H1145" s="486" t="n">
        <v>1313.43</v>
      </c>
      <c r="I1145" s="486" t="n">
        <v>0</v>
      </c>
      <c r="J1145" s="486" t="n">
        <v>4</v>
      </c>
      <c r="K1145" s="486" t="n">
        <v>11</v>
      </c>
      <c r="L1145" s="486" t="n">
        <v>4</v>
      </c>
      <c r="M1145" s="487" t="n"/>
    </row>
    <row r="1146">
      <c r="A1146" s="486" t="n">
        <v>18</v>
      </c>
      <c r="B1146" s="486" t="n">
        <v>2</v>
      </c>
      <c r="C1146" s="486" t="n">
        <v>2</v>
      </c>
      <c r="D1146" s="486" t="n">
        <v>3</v>
      </c>
      <c r="E1146" s="486" t="n">
        <v>2</v>
      </c>
      <c r="F1146" s="486" t="n">
        <v>1</v>
      </c>
      <c r="G1146" s="486" t="inlineStr">
        <is>
          <t>East-Down2</t>
        </is>
      </c>
      <c r="H1146" s="486" t="n">
        <v>1313.18</v>
      </c>
      <c r="I1146" s="486" t="n">
        <v>0</v>
      </c>
      <c r="J1146" s="486" t="n">
        <v>4</v>
      </c>
      <c r="K1146" s="486" t="n">
        <v>25</v>
      </c>
      <c r="L1146" s="486" t="n">
        <v>4</v>
      </c>
      <c r="M1146" s="487" t="n"/>
    </row>
    <row r="1147">
      <c r="A1147" s="486" t="n">
        <v>18</v>
      </c>
      <c r="B1147" s="486" t="n">
        <v>2</v>
      </c>
      <c r="C1147" s="486" t="n">
        <v>2</v>
      </c>
      <c r="D1147" s="486" t="n">
        <v>3</v>
      </c>
      <c r="E1147" s="486" t="n">
        <v>2</v>
      </c>
      <c r="F1147" s="486" t="n">
        <v>1</v>
      </c>
      <c r="G1147" s="486" t="inlineStr">
        <is>
          <t>North-Left2</t>
        </is>
      </c>
      <c r="H1147" s="486" t="n">
        <v>1309.07</v>
      </c>
      <c r="I1147" s="486" t="n">
        <v>89</v>
      </c>
      <c r="J1147" s="486" t="n">
        <v>46</v>
      </c>
      <c r="K1147" s="486" t="n">
        <v>47</v>
      </c>
      <c r="L1147" s="486" t="n">
        <v>4</v>
      </c>
      <c r="M1147" s="487" t="n"/>
    </row>
    <row r="1148">
      <c r="A1148" s="486" t="n">
        <v>18</v>
      </c>
      <c r="B1148" s="486" t="n">
        <v>2</v>
      </c>
      <c r="C1148" s="486" t="n">
        <v>2</v>
      </c>
      <c r="D1148" s="486" t="n">
        <v>3</v>
      </c>
      <c r="E1148" s="486" t="n">
        <v>2</v>
      </c>
      <c r="F1148" s="486" t="n">
        <v>1</v>
      </c>
      <c r="G1148" s="475" t="inlineStr">
        <is>
          <t>North-Left1</t>
        </is>
      </c>
      <c r="H1148" s="486" t="n">
        <v>1313.24</v>
      </c>
      <c r="I1148" s="486" t="n">
        <v>89</v>
      </c>
      <c r="J1148" s="486" t="n">
        <v>50</v>
      </c>
      <c r="K1148" s="486" t="n">
        <v>29</v>
      </c>
      <c r="L1148" s="486" t="n">
        <v>3</v>
      </c>
      <c r="M1148" s="487" t="n"/>
    </row>
    <row r="1149">
      <c r="A1149" s="486" t="n">
        <v>18</v>
      </c>
      <c r="B1149" s="486" t="n">
        <v>2</v>
      </c>
      <c r="C1149" s="486" t="n">
        <v>2</v>
      </c>
      <c r="D1149" s="486" t="n">
        <v>3</v>
      </c>
      <c r="E1149" s="486" t="n">
        <v>2</v>
      </c>
      <c r="F1149" s="486" t="n">
        <v>1</v>
      </c>
      <c r="G1149" s="486" t="inlineStr">
        <is>
          <t>North-Right1</t>
        </is>
      </c>
      <c r="H1149" s="486" t="n">
        <v>1320.43</v>
      </c>
      <c r="I1149" s="486" t="n">
        <v>89</v>
      </c>
      <c r="J1149" s="486" t="n">
        <v>48</v>
      </c>
      <c r="K1149" s="486" t="n">
        <v>18</v>
      </c>
      <c r="L1149" s="486" t="n">
        <v>4</v>
      </c>
      <c r="M1149" s="487" t="n"/>
    </row>
    <row r="1150">
      <c r="A1150" s="486" t="n">
        <v>18</v>
      </c>
      <c r="B1150" s="486" t="n">
        <v>2</v>
      </c>
      <c r="C1150" s="486" t="n">
        <v>2</v>
      </c>
      <c r="D1150" s="486" t="n">
        <v>3</v>
      </c>
      <c r="E1150" s="486" t="n">
        <v>2</v>
      </c>
      <c r="F1150" s="486" t="n">
        <v>1</v>
      </c>
      <c r="G1150" s="486" t="inlineStr">
        <is>
          <t>North-Right2</t>
        </is>
      </c>
      <c r="H1150" s="486" t="n">
        <v>1320.77</v>
      </c>
      <c r="I1150" s="486" t="n">
        <v>89</v>
      </c>
      <c r="J1150" s="486" t="n">
        <v>47</v>
      </c>
      <c r="K1150" s="486" t="n">
        <v>13</v>
      </c>
      <c r="L1150" s="486" t="n">
        <v>4</v>
      </c>
      <c r="M1150" s="487" t="n"/>
    </row>
    <row r="1151">
      <c r="A1151" s="486" t="n">
        <v>18</v>
      </c>
      <c r="B1151" s="486" t="n">
        <v>2</v>
      </c>
      <c r="C1151" s="486" t="n">
        <v>2</v>
      </c>
      <c r="D1151" s="486" t="n">
        <v>3</v>
      </c>
      <c r="E1151" s="486" t="n">
        <v>2</v>
      </c>
      <c r="F1151" s="486" t="n">
        <v>1</v>
      </c>
      <c r="G1151" s="486" t="inlineStr">
        <is>
          <t>South-Left2</t>
        </is>
      </c>
      <c r="H1151" s="486" t="n">
        <v>1311.17</v>
      </c>
      <c r="I1151" s="486" t="n">
        <v>89</v>
      </c>
      <c r="J1151" s="486" t="n">
        <v>50</v>
      </c>
      <c r="K1151" s="486" t="n">
        <v>10</v>
      </c>
      <c r="L1151" s="486" t="n">
        <v>3</v>
      </c>
      <c r="M1151" s="487" t="n"/>
    </row>
    <row r="1152">
      <c r="A1152" s="486" t="n">
        <v>18</v>
      </c>
      <c r="B1152" s="486" t="n">
        <v>2</v>
      </c>
      <c r="C1152" s="486" t="n">
        <v>2</v>
      </c>
      <c r="D1152" s="486" t="n">
        <v>3</v>
      </c>
      <c r="E1152" s="486" t="n">
        <v>2</v>
      </c>
      <c r="F1152" s="486" t="n">
        <v>1</v>
      </c>
      <c r="G1152" s="475" t="inlineStr">
        <is>
          <t>South-Left1</t>
        </is>
      </c>
      <c r="H1152" s="486" t="n">
        <v>1335.22</v>
      </c>
      <c r="I1152" s="486" t="n">
        <v>88</v>
      </c>
      <c r="J1152" s="486" t="n">
        <v>26</v>
      </c>
      <c r="K1152" s="486" t="n">
        <v>15</v>
      </c>
      <c r="L1152" s="486" t="n">
        <v>3</v>
      </c>
      <c r="M1152" s="487" t="n"/>
    </row>
    <row r="1153">
      <c r="A1153" s="486" t="n">
        <v>18</v>
      </c>
      <c r="B1153" s="486" t="n">
        <v>2</v>
      </c>
      <c r="C1153" s="486" t="n">
        <v>2</v>
      </c>
      <c r="D1153" s="486" t="n">
        <v>3</v>
      </c>
      <c r="E1153" s="486" t="n">
        <v>2</v>
      </c>
      <c r="F1153" s="486" t="n">
        <v>1</v>
      </c>
      <c r="G1153" s="486" t="inlineStr">
        <is>
          <t>South-Right1</t>
        </is>
      </c>
      <c r="H1153" s="486" t="n">
        <v>1336.09</v>
      </c>
      <c r="I1153" s="486" t="n">
        <v>88</v>
      </c>
      <c r="J1153" s="486" t="n">
        <v>25</v>
      </c>
      <c r="K1153" s="486" t="n">
        <v>40</v>
      </c>
      <c r="L1153" s="486" t="n">
        <v>3</v>
      </c>
      <c r="M1153" s="487" t="n"/>
    </row>
    <row r="1154">
      <c r="A1154" s="486" t="n">
        <v>18</v>
      </c>
      <c r="B1154" s="486" t="n">
        <v>2</v>
      </c>
      <c r="C1154" s="486" t="n">
        <v>2</v>
      </c>
      <c r="D1154" s="486" t="n">
        <v>3</v>
      </c>
      <c r="E1154" s="486" t="n">
        <v>2</v>
      </c>
      <c r="F1154" s="486" t="n">
        <v>1</v>
      </c>
      <c r="G1154" s="486" t="inlineStr">
        <is>
          <t>South-Right2</t>
        </is>
      </c>
      <c r="H1154" s="486" t="n">
        <v>1313.17</v>
      </c>
      <c r="I1154" s="486" t="n">
        <v>89</v>
      </c>
      <c r="J1154" s="486" t="n">
        <v>53</v>
      </c>
      <c r="K1154" s="486" t="n">
        <v>36</v>
      </c>
      <c r="L1154" s="486" t="n">
        <v>4</v>
      </c>
      <c r="M1154" s="487" t="n"/>
    </row>
    <row r="1155">
      <c r="A1155" s="486" t="n">
        <v>18</v>
      </c>
      <c r="B1155" s="486" t="n">
        <v>9</v>
      </c>
      <c r="C1155" s="486" t="n">
        <v>2</v>
      </c>
      <c r="D1155" s="486" t="n">
        <v>21</v>
      </c>
      <c r="E1155" s="486" t="n">
        <v>1</v>
      </c>
      <c r="F1155" s="486" t="n">
        <v>1</v>
      </c>
      <c r="G1155" s="486" t="inlineStr">
        <is>
          <t>West-Up2</t>
        </is>
      </c>
      <c r="H1155" s="486" t="n">
        <v>130.58</v>
      </c>
      <c r="I1155" s="486" t="n">
        <v>0</v>
      </c>
      <c r="J1155" s="486" t="n">
        <v>57</v>
      </c>
      <c r="K1155" s="486" t="n">
        <v>36</v>
      </c>
      <c r="L1155" s="486" t="n">
        <v>4</v>
      </c>
      <c r="M1155" s="487" t="n"/>
    </row>
    <row r="1156">
      <c r="A1156" s="486" t="n">
        <v>18</v>
      </c>
      <c r="B1156" s="486" t="n">
        <v>9</v>
      </c>
      <c r="C1156" s="486" t="n">
        <v>2</v>
      </c>
      <c r="D1156" s="486" t="n">
        <v>21</v>
      </c>
      <c r="E1156" s="486" t="n">
        <v>1</v>
      </c>
      <c r="F1156" s="486" t="n">
        <v>1</v>
      </c>
      <c r="G1156" s="475" t="inlineStr">
        <is>
          <t>West-Up1</t>
        </is>
      </c>
      <c r="H1156" s="486" t="n">
        <v>2508.04</v>
      </c>
      <c r="I1156" s="486" t="n">
        <v>0</v>
      </c>
      <c r="J1156" s="486" t="n">
        <v>57</v>
      </c>
      <c r="K1156" s="486" t="n">
        <v>36</v>
      </c>
      <c r="L1156" s="486" t="n">
        <v>4</v>
      </c>
      <c r="M1156" s="487" t="n"/>
    </row>
    <row r="1157">
      <c r="A1157" s="486" t="n">
        <v>18</v>
      </c>
      <c r="B1157" s="486" t="n">
        <v>9</v>
      </c>
      <c r="C1157" s="486" t="n">
        <v>2</v>
      </c>
      <c r="D1157" s="486" t="n">
        <v>21</v>
      </c>
      <c r="E1157" s="486" t="n">
        <v>1</v>
      </c>
      <c r="F1157" s="486" t="n">
        <v>1</v>
      </c>
      <c r="G1157" s="486" t="inlineStr">
        <is>
          <t>West-Down1</t>
        </is>
      </c>
      <c r="H1157" s="486" t="n">
        <v>2644.09</v>
      </c>
      <c r="I1157" s="486" t="n">
        <v>1</v>
      </c>
      <c r="J1157" s="486" t="n">
        <v>3</v>
      </c>
      <c r="K1157" s="486" t="n">
        <v>58</v>
      </c>
      <c r="L1157" s="486" t="n">
        <v>4</v>
      </c>
      <c r="M1157" s="487" t="n"/>
    </row>
    <row r="1158">
      <c r="A1158" s="486" t="n">
        <v>18</v>
      </c>
      <c r="B1158" s="486" t="n">
        <v>9</v>
      </c>
      <c r="C1158" s="486" t="n">
        <v>2</v>
      </c>
      <c r="D1158" s="486" t="n">
        <v>21</v>
      </c>
      <c r="E1158" s="486" t="n">
        <v>1</v>
      </c>
      <c r="F1158" s="486" t="n">
        <v>1</v>
      </c>
      <c r="G1158" s="486" t="inlineStr">
        <is>
          <t>West-Down2</t>
        </is>
      </c>
      <c r="H1158" s="486" t="n">
        <v>0</v>
      </c>
      <c r="I1158" s="486" t="n">
        <v>0</v>
      </c>
      <c r="J1158" s="486" t="n">
        <v>0</v>
      </c>
      <c r="K1158" s="486" t="n">
        <v>0</v>
      </c>
      <c r="L1158" s="486" t="n">
        <v>0</v>
      </c>
      <c r="M1158" s="487" t="n"/>
    </row>
    <row r="1159">
      <c r="A1159" s="486" t="n">
        <v>18</v>
      </c>
      <c r="B1159" s="486" t="n">
        <v>9</v>
      </c>
      <c r="C1159" s="486" t="n">
        <v>2</v>
      </c>
      <c r="D1159" s="486" t="n">
        <v>21</v>
      </c>
      <c r="E1159" s="486" t="n">
        <v>1</v>
      </c>
      <c r="F1159" s="486" t="n">
        <v>1</v>
      </c>
      <c r="G1159" s="486" t="inlineStr">
        <is>
          <t>East-Up2</t>
        </is>
      </c>
      <c r="H1159" s="486" t="n">
        <v>0</v>
      </c>
      <c r="I1159" s="486" t="n">
        <v>0</v>
      </c>
      <c r="J1159" s="486" t="n">
        <v>0</v>
      </c>
      <c r="K1159" s="486" t="n">
        <v>0</v>
      </c>
      <c r="L1159" s="486" t="n">
        <v>0</v>
      </c>
      <c r="M1159" s="487" t="n"/>
    </row>
    <row r="1160">
      <c r="A1160" s="486" t="n">
        <v>18</v>
      </c>
      <c r="B1160" s="486" t="n">
        <v>9</v>
      </c>
      <c r="C1160" s="486" t="n">
        <v>2</v>
      </c>
      <c r="D1160" s="486" t="n">
        <v>21</v>
      </c>
      <c r="E1160" s="486" t="n">
        <v>1</v>
      </c>
      <c r="F1160" s="486" t="n">
        <v>1</v>
      </c>
      <c r="G1160" s="475" t="inlineStr">
        <is>
          <t>East-Up1</t>
        </is>
      </c>
      <c r="H1160" s="486" t="n">
        <v>2638.47</v>
      </c>
      <c r="I1160" s="486" t="n">
        <v>0</v>
      </c>
      <c r="J1160" s="486" t="n">
        <v>2</v>
      </c>
      <c r="K1160" s="486" t="n">
        <v>23</v>
      </c>
      <c r="L1160" s="486" t="n">
        <v>4</v>
      </c>
      <c r="M1160" s="487" t="n"/>
    </row>
    <row r="1161">
      <c r="A1161" s="486" t="n">
        <v>18</v>
      </c>
      <c r="B1161" s="486" t="n">
        <v>9</v>
      </c>
      <c r="C1161" s="486" t="n">
        <v>2</v>
      </c>
      <c r="D1161" s="486" t="n">
        <v>21</v>
      </c>
      <c r="E1161" s="486" t="n">
        <v>1</v>
      </c>
      <c r="F1161" s="486" t="n">
        <v>1</v>
      </c>
      <c r="G1161" s="486" t="inlineStr">
        <is>
          <t>East-Down1</t>
        </is>
      </c>
      <c r="H1161" s="486" t="n">
        <v>2661.19</v>
      </c>
      <c r="I1161" s="486" t="n">
        <v>0</v>
      </c>
      <c r="J1161" s="486" t="n">
        <v>3</v>
      </c>
      <c r="K1161" s="486" t="n">
        <v>52</v>
      </c>
      <c r="L1161" s="486" t="n">
        <v>4</v>
      </c>
      <c r="M1161" s="487" t="n"/>
    </row>
    <row r="1162">
      <c r="A1162" s="486" t="n">
        <v>18</v>
      </c>
      <c r="B1162" s="486" t="n">
        <v>9</v>
      </c>
      <c r="C1162" s="486" t="n">
        <v>2</v>
      </c>
      <c r="D1162" s="486" t="n">
        <v>21</v>
      </c>
      <c r="E1162" s="486" t="n">
        <v>1</v>
      </c>
      <c r="F1162" s="486" t="n">
        <v>1</v>
      </c>
      <c r="G1162" s="486" t="inlineStr">
        <is>
          <t>East-Down2</t>
        </is>
      </c>
      <c r="H1162" s="486" t="n">
        <v>0</v>
      </c>
      <c r="I1162" s="486" t="n">
        <v>0</v>
      </c>
      <c r="J1162" s="486" t="n">
        <v>0</v>
      </c>
      <c r="K1162" s="486" t="n">
        <v>0</v>
      </c>
      <c r="L1162" s="486" t="n">
        <v>0</v>
      </c>
      <c r="M1162" s="487" t="n"/>
    </row>
    <row r="1163">
      <c r="A1163" s="486" t="n">
        <v>18</v>
      </c>
      <c r="B1163" s="486" t="n">
        <v>9</v>
      </c>
      <c r="C1163" s="486" t="n">
        <v>2</v>
      </c>
      <c r="D1163" s="486" t="n">
        <v>21</v>
      </c>
      <c r="E1163" s="486" t="n">
        <v>1</v>
      </c>
      <c r="F1163" s="486" t="n">
        <v>1</v>
      </c>
      <c r="G1163" s="486" t="inlineStr">
        <is>
          <t>North-Left2</t>
        </is>
      </c>
      <c r="H1163" s="486" t="n">
        <v>0</v>
      </c>
      <c r="I1163" s="486" t="n">
        <v>0</v>
      </c>
      <c r="J1163" s="486" t="n">
        <v>0</v>
      </c>
      <c r="K1163" s="486" t="n">
        <v>0</v>
      </c>
      <c r="L1163" s="486" t="n">
        <v>0</v>
      </c>
      <c r="M1163" s="487" t="n"/>
    </row>
    <row r="1164">
      <c r="A1164" s="486" t="n">
        <v>18</v>
      </c>
      <c r="B1164" s="486" t="n">
        <v>9</v>
      </c>
      <c r="C1164" s="486" t="n">
        <v>2</v>
      </c>
      <c r="D1164" s="486" t="n">
        <v>21</v>
      </c>
      <c r="E1164" s="486" t="n">
        <v>1</v>
      </c>
      <c r="F1164" s="486" t="n">
        <v>1</v>
      </c>
      <c r="G1164" s="475" t="inlineStr">
        <is>
          <t>North-Left1</t>
        </is>
      </c>
      <c r="H1164" s="486" t="n">
        <v>3202.34</v>
      </c>
      <c r="I1164" s="486" t="n">
        <v>89</v>
      </c>
      <c r="J1164" s="486" t="n">
        <v>23</v>
      </c>
      <c r="K1164" s="486" t="n">
        <v>20</v>
      </c>
      <c r="L1164" s="486" t="n">
        <v>3</v>
      </c>
      <c r="M1164" s="487" t="n"/>
    </row>
    <row r="1165">
      <c r="A1165" s="486" t="n">
        <v>18</v>
      </c>
      <c r="B1165" s="486" t="n">
        <v>9</v>
      </c>
      <c r="C1165" s="486" t="n">
        <v>2</v>
      </c>
      <c r="D1165" s="486" t="n">
        <v>21</v>
      </c>
      <c r="E1165" s="486" t="n">
        <v>1</v>
      </c>
      <c r="F1165" s="486" t="n">
        <v>1</v>
      </c>
      <c r="G1165" s="486" t="inlineStr">
        <is>
          <t>North-Right1</t>
        </is>
      </c>
      <c r="H1165" s="486" t="n">
        <v>2636.19</v>
      </c>
      <c r="I1165" s="486" t="n">
        <v>89</v>
      </c>
      <c r="J1165" s="486" t="n">
        <v>59</v>
      </c>
      <c r="K1165" s="486" t="n">
        <v>52</v>
      </c>
      <c r="L1165" s="486" t="n">
        <v>3</v>
      </c>
      <c r="M1165" s="487" t="n"/>
    </row>
    <row r="1166">
      <c r="A1166" s="486" t="n">
        <v>18</v>
      </c>
      <c r="B1166" s="486" t="n">
        <v>9</v>
      </c>
      <c r="C1166" s="486" t="n">
        <v>2</v>
      </c>
      <c r="D1166" s="486" t="n">
        <v>21</v>
      </c>
      <c r="E1166" s="486" t="n">
        <v>1</v>
      </c>
      <c r="F1166" s="486" t="n">
        <v>1</v>
      </c>
      <c r="G1166" s="486" t="inlineStr">
        <is>
          <t>North-Right2</t>
        </is>
      </c>
      <c r="H1166" s="486" t="n">
        <v>0</v>
      </c>
      <c r="I1166" s="486" t="n">
        <v>0</v>
      </c>
      <c r="J1166" s="486" t="n">
        <v>0</v>
      </c>
      <c r="K1166" s="486" t="n">
        <v>0</v>
      </c>
      <c r="L1166" s="486" t="n">
        <v>0</v>
      </c>
      <c r="M1166" s="487" t="n"/>
    </row>
    <row r="1167">
      <c r="A1167" s="486" t="n">
        <v>18</v>
      </c>
      <c r="B1167" s="486" t="n">
        <v>9</v>
      </c>
      <c r="C1167" s="486" t="n">
        <v>2</v>
      </c>
      <c r="D1167" s="486" t="n">
        <v>21</v>
      </c>
      <c r="E1167" s="486" t="n">
        <v>1</v>
      </c>
      <c r="F1167" s="486" t="n">
        <v>1</v>
      </c>
      <c r="G1167" s="486" t="inlineStr">
        <is>
          <t>South-Left2</t>
        </is>
      </c>
      <c r="H1167" s="486" t="n">
        <v>0</v>
      </c>
      <c r="I1167" s="486" t="n">
        <v>0</v>
      </c>
      <c r="J1167" s="486" t="n">
        <v>0</v>
      </c>
      <c r="K1167" s="486" t="n">
        <v>0</v>
      </c>
      <c r="L1167" s="486" t="n">
        <v>0</v>
      </c>
      <c r="M1167" s="487" t="n"/>
    </row>
    <row r="1168">
      <c r="A1168" s="486" t="n">
        <v>18</v>
      </c>
      <c r="B1168" s="486" t="n">
        <v>9</v>
      </c>
      <c r="C1168" s="486" t="n">
        <v>2</v>
      </c>
      <c r="D1168" s="486" t="n">
        <v>21</v>
      </c>
      <c r="E1168" s="486" t="n">
        <v>1</v>
      </c>
      <c r="F1168" s="486" t="n">
        <v>1</v>
      </c>
      <c r="G1168" s="475" t="inlineStr">
        <is>
          <t>South-Left1</t>
        </is>
      </c>
      <c r="H1168" s="486" t="n">
        <v>2600</v>
      </c>
      <c r="I1168" s="486" t="n">
        <v>88</v>
      </c>
      <c r="J1168" s="486" t="n">
        <v>30</v>
      </c>
      <c r="K1168" s="486" t="n">
        <v>42</v>
      </c>
      <c r="L1168" s="486" t="n">
        <v>3</v>
      </c>
      <c r="M1168" s="487" t="n"/>
    </row>
    <row r="1169">
      <c r="A1169" s="486" t="n">
        <v>18</v>
      </c>
      <c r="B1169" s="486" t="n">
        <v>9</v>
      </c>
      <c r="C1169" s="486" t="n">
        <v>2</v>
      </c>
      <c r="D1169" s="486" t="n">
        <v>21</v>
      </c>
      <c r="E1169" s="486" t="n">
        <v>1</v>
      </c>
      <c r="F1169" s="486" t="n">
        <v>1</v>
      </c>
      <c r="G1169" s="486" t="inlineStr">
        <is>
          <t>South-Right1</t>
        </is>
      </c>
      <c r="H1169" s="486" t="n">
        <v>1319.94</v>
      </c>
      <c r="I1169" s="486" t="n">
        <v>89</v>
      </c>
      <c r="J1169" s="486" t="n">
        <v>15</v>
      </c>
      <c r="K1169" s="486" t="n">
        <v>49</v>
      </c>
      <c r="L1169" s="486" t="n">
        <v>3</v>
      </c>
      <c r="M1169" s="487" t="n"/>
    </row>
    <row r="1170">
      <c r="A1170" s="486" t="n">
        <v>18</v>
      </c>
      <c r="B1170" s="486" t="n">
        <v>9</v>
      </c>
      <c r="C1170" s="486" t="n">
        <v>2</v>
      </c>
      <c r="D1170" s="486" t="n">
        <v>21</v>
      </c>
      <c r="E1170" s="486" t="n">
        <v>1</v>
      </c>
      <c r="F1170" s="486" t="n">
        <v>1</v>
      </c>
      <c r="G1170" s="486" t="inlineStr">
        <is>
          <t>South-Right2</t>
        </is>
      </c>
      <c r="H1170" s="486" t="n">
        <v>1317.53</v>
      </c>
      <c r="I1170" s="486" t="n">
        <v>89</v>
      </c>
      <c r="J1170" s="486" t="n">
        <v>16</v>
      </c>
      <c r="K1170" s="486" t="n">
        <v>41</v>
      </c>
      <c r="L1170" s="486" t="n">
        <v>3</v>
      </c>
      <c r="M1170" s="487" t="n"/>
    </row>
    <row r="1171">
      <c r="A1171" s="485" t="n">
        <v>18</v>
      </c>
      <c r="B1171" s="485" t="n">
        <v>2</v>
      </c>
      <c r="C1171" s="485" t="n">
        <v>2</v>
      </c>
      <c r="D1171" s="485" t="n">
        <v>1</v>
      </c>
      <c r="E1171" s="485" t="n">
        <v>1</v>
      </c>
      <c r="F1171" s="485" t="n">
        <v>2</v>
      </c>
      <c r="G1171" s="485" t="inlineStr">
        <is>
          <t>West-Up2</t>
        </is>
      </c>
      <c r="H1171" s="485" t="n">
        <v>1315.03</v>
      </c>
      <c r="I1171" s="485" t="n">
        <v>0</v>
      </c>
      <c r="J1171" s="485" t="n">
        <v>6</v>
      </c>
      <c r="K1171" s="485" t="n">
        <v>49</v>
      </c>
      <c r="L1171" s="485" t="n">
        <v>4</v>
      </c>
      <c r="M1171" s="514" t="inlineStr">
        <is>
          <t>T</t>
        </is>
      </c>
    </row>
    <row r="1172">
      <c r="A1172" s="485" t="n">
        <v>18</v>
      </c>
      <c r="B1172" s="485" t="n">
        <v>2</v>
      </c>
      <c r="C1172" s="485" t="n">
        <v>2</v>
      </c>
      <c r="D1172" s="485" t="n">
        <v>1</v>
      </c>
      <c r="E1172" s="485" t="n">
        <v>1</v>
      </c>
      <c r="F1172" s="485" t="n">
        <v>2</v>
      </c>
      <c r="G1172" s="516" t="inlineStr">
        <is>
          <t>West-Up1</t>
        </is>
      </c>
      <c r="H1172" s="485" t="n">
        <v>1316.4</v>
      </c>
      <c r="I1172" s="485" t="n">
        <v>0</v>
      </c>
      <c r="J1172" s="485" t="n">
        <v>7</v>
      </c>
      <c r="K1172" s="485" t="n">
        <v>23</v>
      </c>
      <c r="L1172" s="485" t="n">
        <v>4</v>
      </c>
      <c r="M1172" s="514" t="inlineStr">
        <is>
          <t>T</t>
        </is>
      </c>
    </row>
    <row r="1173">
      <c r="A1173" s="485" t="n">
        <v>18</v>
      </c>
      <c r="B1173" s="485" t="n">
        <v>2</v>
      </c>
      <c r="C1173" s="485" t="n">
        <v>2</v>
      </c>
      <c r="D1173" s="485" t="n">
        <v>1</v>
      </c>
      <c r="E1173" s="485" t="n">
        <v>1</v>
      </c>
      <c r="F1173" s="485" t="n">
        <v>2</v>
      </c>
      <c r="G1173" s="485" t="inlineStr">
        <is>
          <t>West-Down1</t>
        </is>
      </c>
      <c r="H1173" s="485" t="n">
        <v>1321.99</v>
      </c>
      <c r="I1173" s="485" t="n">
        <v>0</v>
      </c>
      <c r="J1173" s="485" t="n">
        <v>6</v>
      </c>
      <c r="K1173" s="485" t="n">
        <v>3</v>
      </c>
      <c r="L1173" s="485" t="n">
        <v>4</v>
      </c>
      <c r="M1173" s="514" t="inlineStr">
        <is>
          <t>T</t>
        </is>
      </c>
    </row>
    <row r="1174">
      <c r="A1174" s="485" t="n">
        <v>18</v>
      </c>
      <c r="B1174" s="485" t="n">
        <v>2</v>
      </c>
      <c r="C1174" s="485" t="n">
        <v>2</v>
      </c>
      <c r="D1174" s="485" t="n">
        <v>1</v>
      </c>
      <c r="E1174" s="485" t="n">
        <v>1</v>
      </c>
      <c r="F1174" s="485" t="n">
        <v>2</v>
      </c>
      <c r="G1174" s="485" t="inlineStr">
        <is>
          <t>West-Down2</t>
        </is>
      </c>
      <c r="H1174" s="485" t="n">
        <v>1328.2</v>
      </c>
      <c r="I1174" s="485" t="n">
        <v>0</v>
      </c>
      <c r="J1174" s="485" t="n">
        <v>6</v>
      </c>
      <c r="K1174" s="485" t="n">
        <v>32</v>
      </c>
      <c r="L1174" s="485" t="n">
        <v>4</v>
      </c>
      <c r="M1174" s="514" t="inlineStr">
        <is>
          <t>T</t>
        </is>
      </c>
    </row>
    <row r="1175">
      <c r="A1175" s="485" t="n">
        <v>18</v>
      </c>
      <c r="B1175" s="485" t="n">
        <v>2</v>
      </c>
      <c r="C1175" s="485" t="n">
        <v>2</v>
      </c>
      <c r="D1175" s="485" t="n">
        <v>1</v>
      </c>
      <c r="E1175" s="485" t="n">
        <v>1</v>
      </c>
      <c r="F1175" s="485" t="n">
        <v>2</v>
      </c>
      <c r="G1175" s="485" t="inlineStr">
        <is>
          <t>East-Up2</t>
        </is>
      </c>
      <c r="H1175" s="485" t="n">
        <v>1316.96</v>
      </c>
      <c r="I1175" s="485" t="n">
        <v>0</v>
      </c>
      <c r="J1175" s="485" t="n">
        <v>7</v>
      </c>
      <c r="K1175" s="485" t="n">
        <v>5</v>
      </c>
      <c r="L1175" s="485" t="n">
        <v>3</v>
      </c>
      <c r="M1175" s="514" t="inlineStr">
        <is>
          <t>T</t>
        </is>
      </c>
    </row>
    <row r="1176">
      <c r="A1176" s="485" t="n">
        <v>18</v>
      </c>
      <c r="B1176" s="485" t="n">
        <v>2</v>
      </c>
      <c r="C1176" s="485" t="n">
        <v>2</v>
      </c>
      <c r="D1176" s="485" t="n">
        <v>1</v>
      </c>
      <c r="E1176" s="485" t="n">
        <v>1</v>
      </c>
      <c r="F1176" s="485" t="n">
        <v>2</v>
      </c>
      <c r="G1176" s="516" t="inlineStr">
        <is>
          <t>East-Up1</t>
        </is>
      </c>
      <c r="H1176" s="485" t="n">
        <v>1316.96</v>
      </c>
      <c r="I1176" s="485" t="n">
        <v>0</v>
      </c>
      <c r="J1176" s="485" t="n">
        <v>7</v>
      </c>
      <c r="K1176" s="485" t="n">
        <v>5</v>
      </c>
      <c r="L1176" s="485" t="n">
        <v>3</v>
      </c>
      <c r="M1176" s="514" t="inlineStr">
        <is>
          <t>T</t>
        </is>
      </c>
    </row>
    <row r="1177">
      <c r="A1177" s="485" t="n">
        <v>18</v>
      </c>
      <c r="B1177" s="485" t="n">
        <v>2</v>
      </c>
      <c r="C1177" s="485" t="n">
        <v>2</v>
      </c>
      <c r="D1177" s="485" t="n">
        <v>1</v>
      </c>
      <c r="E1177" s="485" t="n">
        <v>1</v>
      </c>
      <c r="F1177" s="485" t="n">
        <v>2</v>
      </c>
      <c r="G1177" s="485" t="inlineStr">
        <is>
          <t>East-Down1</t>
        </is>
      </c>
      <c r="H1177" s="485" t="n">
        <v>1320.06</v>
      </c>
      <c r="I1177" s="485" t="n">
        <v>0</v>
      </c>
      <c r="J1177" s="485" t="n">
        <v>7</v>
      </c>
      <c r="K1177" s="485" t="n">
        <v>42</v>
      </c>
      <c r="L1177" s="485" t="n">
        <v>1</v>
      </c>
      <c r="M1177" s="514" t="inlineStr">
        <is>
          <t>T</t>
        </is>
      </c>
    </row>
    <row r="1178">
      <c r="A1178" s="485" t="n">
        <v>18</v>
      </c>
      <c r="B1178" s="485" t="n">
        <v>2</v>
      </c>
      <c r="C1178" s="485" t="n">
        <v>2</v>
      </c>
      <c r="D1178" s="485" t="n">
        <v>1</v>
      </c>
      <c r="E1178" s="485" t="n">
        <v>1</v>
      </c>
      <c r="F1178" s="485" t="n">
        <v>2</v>
      </c>
      <c r="G1178" s="485" t="inlineStr">
        <is>
          <t>East-Down2</t>
        </is>
      </c>
      <c r="H1178" s="485" t="n">
        <v>1320.06</v>
      </c>
      <c r="I1178" s="485" t="n">
        <v>0</v>
      </c>
      <c r="J1178" s="485" t="n">
        <v>7</v>
      </c>
      <c r="K1178" s="485" t="n">
        <v>42</v>
      </c>
      <c r="L1178" s="485" t="n">
        <v>1</v>
      </c>
      <c r="M1178" s="514" t="inlineStr">
        <is>
          <t>T</t>
        </is>
      </c>
    </row>
    <row r="1179">
      <c r="A1179" s="485" t="n">
        <v>18</v>
      </c>
      <c r="B1179" s="485" t="n">
        <v>2</v>
      </c>
      <c r="C1179" s="485" t="n">
        <v>2</v>
      </c>
      <c r="D1179" s="485" t="n">
        <v>1</v>
      </c>
      <c r="E1179" s="485" t="n">
        <v>1</v>
      </c>
      <c r="F1179" s="485" t="n">
        <v>2</v>
      </c>
      <c r="G1179" s="485" t="inlineStr">
        <is>
          <t>North-Left2</t>
        </is>
      </c>
      <c r="H1179" s="485" t="n">
        <v>1313.52</v>
      </c>
      <c r="I1179" s="485" t="n">
        <v>89</v>
      </c>
      <c r="J1179" s="485" t="n">
        <v>34</v>
      </c>
      <c r="K1179" s="485" t="n">
        <v>29</v>
      </c>
      <c r="L1179" s="485" t="n">
        <v>1</v>
      </c>
      <c r="M1179" s="514" t="inlineStr">
        <is>
          <t>T</t>
        </is>
      </c>
    </row>
    <row r="1180">
      <c r="A1180" s="485" t="n">
        <v>18</v>
      </c>
      <c r="B1180" s="485" t="n">
        <v>2</v>
      </c>
      <c r="C1180" s="485" t="n">
        <v>2</v>
      </c>
      <c r="D1180" s="485" t="n">
        <v>1</v>
      </c>
      <c r="E1180" s="485" t="n">
        <v>1</v>
      </c>
      <c r="F1180" s="485" t="n">
        <v>2</v>
      </c>
      <c r="G1180" s="516" t="inlineStr">
        <is>
          <t>North-Left1</t>
        </is>
      </c>
      <c r="H1180" s="485" t="n">
        <v>1337.28</v>
      </c>
      <c r="I1180" s="485" t="n">
        <v>89</v>
      </c>
      <c r="J1180" s="485" t="n">
        <v>6</v>
      </c>
      <c r="K1180" s="485" t="n">
        <v>48</v>
      </c>
      <c r="L1180" s="485" t="n">
        <v>1</v>
      </c>
      <c r="M1180" s="514" t="inlineStr">
        <is>
          <t>T</t>
        </is>
      </c>
    </row>
    <row r="1181">
      <c r="A1181" s="485" t="n">
        <v>18</v>
      </c>
      <c r="B1181" s="485" t="n">
        <v>2</v>
      </c>
      <c r="C1181" s="485" t="n">
        <v>2</v>
      </c>
      <c r="D1181" s="485" t="n">
        <v>1</v>
      </c>
      <c r="E1181" s="485" t="n">
        <v>1</v>
      </c>
      <c r="F1181" s="485" t="n">
        <v>2</v>
      </c>
      <c r="G1181" s="485" t="inlineStr">
        <is>
          <t>North-Right1</t>
        </is>
      </c>
      <c r="H1181" s="485" t="n">
        <v>1303.01</v>
      </c>
      <c r="I1181" s="485" t="n">
        <v>89</v>
      </c>
      <c r="J1181" s="485" t="n">
        <v>21</v>
      </c>
      <c r="K1181" s="485" t="n">
        <v>32</v>
      </c>
      <c r="L1181" s="485" t="n">
        <v>4</v>
      </c>
      <c r="M1181" s="514" t="inlineStr">
        <is>
          <t>T</t>
        </is>
      </c>
    </row>
    <row r="1182">
      <c r="A1182" s="485" t="n">
        <v>18</v>
      </c>
      <c r="B1182" s="485" t="n">
        <v>2</v>
      </c>
      <c r="C1182" s="485" t="n">
        <v>2</v>
      </c>
      <c r="D1182" s="485" t="n">
        <v>1</v>
      </c>
      <c r="E1182" s="485" t="n">
        <v>1</v>
      </c>
      <c r="F1182" s="485" t="n">
        <v>2</v>
      </c>
      <c r="G1182" s="485" t="inlineStr">
        <is>
          <t>North-Right2</t>
        </is>
      </c>
      <c r="H1182" s="485" t="n">
        <v>1324.94</v>
      </c>
      <c r="I1182" s="485" t="n">
        <v>89</v>
      </c>
      <c r="J1182" s="485" t="n">
        <v>21</v>
      </c>
      <c r="K1182" s="485" t="n">
        <v>32</v>
      </c>
      <c r="L1182" s="485" t="n">
        <v>4</v>
      </c>
      <c r="M1182" s="514" t="inlineStr">
        <is>
          <t>T</t>
        </is>
      </c>
    </row>
    <row r="1183">
      <c r="A1183" s="485" t="n">
        <v>18</v>
      </c>
      <c r="B1183" s="485" t="n">
        <v>2</v>
      </c>
      <c r="C1183" s="485" t="n">
        <v>2</v>
      </c>
      <c r="D1183" s="485" t="n">
        <v>1</v>
      </c>
      <c r="E1183" s="485" t="n">
        <v>1</v>
      </c>
      <c r="F1183" s="485" t="n">
        <v>2</v>
      </c>
      <c r="G1183" s="485" t="inlineStr">
        <is>
          <t>South-Left2</t>
        </is>
      </c>
      <c r="H1183" s="485" t="n">
        <v>0</v>
      </c>
      <c r="I1183" s="485" t="n">
        <v>0</v>
      </c>
      <c r="J1183" s="485" t="n">
        <v>0</v>
      </c>
      <c r="K1183" s="485" t="n">
        <v>0</v>
      </c>
      <c r="L1183" s="485" t="n">
        <v>0</v>
      </c>
      <c r="M1183" s="514" t="inlineStr">
        <is>
          <t>T</t>
        </is>
      </c>
    </row>
    <row r="1184">
      <c r="A1184" s="485" t="n">
        <v>18</v>
      </c>
      <c r="B1184" s="485" t="n">
        <v>2</v>
      </c>
      <c r="C1184" s="485" t="n">
        <v>2</v>
      </c>
      <c r="D1184" s="485" t="n">
        <v>1</v>
      </c>
      <c r="E1184" s="485" t="n">
        <v>1</v>
      </c>
      <c r="F1184" s="485" t="n">
        <v>2</v>
      </c>
      <c r="G1184" s="516" t="inlineStr">
        <is>
          <t>South-Left1</t>
        </is>
      </c>
      <c r="H1184" s="485" t="n">
        <v>2625.63</v>
      </c>
      <c r="I1184" s="485" t="n">
        <v>89</v>
      </c>
      <c r="J1184" s="485" t="n">
        <v>27</v>
      </c>
      <c r="K1184" s="485" t="n">
        <v>23</v>
      </c>
      <c r="L1184" s="485" t="n">
        <v>4</v>
      </c>
      <c r="M1184" s="514" t="inlineStr">
        <is>
          <t>T</t>
        </is>
      </c>
    </row>
    <row r="1185">
      <c r="A1185" s="485" t="n">
        <v>18</v>
      </c>
      <c r="B1185" s="485" t="n">
        <v>2</v>
      </c>
      <c r="C1185" s="485" t="n">
        <v>2</v>
      </c>
      <c r="D1185" s="485" t="n">
        <v>1</v>
      </c>
      <c r="E1185" s="485" t="n">
        <v>1</v>
      </c>
      <c r="F1185" s="485" t="n">
        <v>2</v>
      </c>
      <c r="G1185" s="485" t="inlineStr">
        <is>
          <t>South-Right1</t>
        </is>
      </c>
      <c r="H1185" s="485" t="n">
        <v>1323.22</v>
      </c>
      <c r="I1185" s="485" t="n">
        <v>89</v>
      </c>
      <c r="J1185" s="485" t="n">
        <v>24</v>
      </c>
      <c r="K1185" s="485" t="n">
        <v>25</v>
      </c>
      <c r="L1185" s="485" t="n">
        <v>4</v>
      </c>
      <c r="M1185" s="514" t="inlineStr">
        <is>
          <t>T</t>
        </is>
      </c>
    </row>
    <row r="1186">
      <c r="A1186" s="485" t="n">
        <v>18</v>
      </c>
      <c r="B1186" s="485" t="n">
        <v>2</v>
      </c>
      <c r="C1186" s="485" t="n">
        <v>2</v>
      </c>
      <c r="D1186" s="485" t="n">
        <v>1</v>
      </c>
      <c r="E1186" s="485" t="n">
        <v>1</v>
      </c>
      <c r="F1186" s="485" t="n">
        <v>2</v>
      </c>
      <c r="G1186" s="485" t="inlineStr">
        <is>
          <t>South-Right2</t>
        </is>
      </c>
      <c r="H1186" s="485" t="n">
        <v>1319.99</v>
      </c>
      <c r="I1186" s="485" t="n">
        <v>89</v>
      </c>
      <c r="J1186" s="485" t="n">
        <v>24</v>
      </c>
      <c r="K1186" s="485" t="n">
        <v>25</v>
      </c>
      <c r="L1186" s="485" t="n">
        <v>4</v>
      </c>
      <c r="M1186" s="514" t="inlineStr">
        <is>
          <t>T</t>
        </is>
      </c>
    </row>
    <row r="1187">
      <c r="A1187" s="485" t="n">
        <v>18</v>
      </c>
      <c r="B1187" s="485" t="n">
        <v>2</v>
      </c>
      <c r="C1187" s="485" t="n">
        <v>2</v>
      </c>
      <c r="D1187" s="485" t="n">
        <v>2</v>
      </c>
      <c r="E1187" s="485" t="n">
        <v>2</v>
      </c>
      <c r="F1187" s="485" t="n">
        <v>2</v>
      </c>
      <c r="G1187" s="485" t="inlineStr">
        <is>
          <t>West-Up2</t>
        </is>
      </c>
      <c r="H1187" s="485" t="n">
        <v>0</v>
      </c>
      <c r="I1187" s="485" t="n">
        <v>0</v>
      </c>
      <c r="J1187" s="485" t="n">
        <v>0</v>
      </c>
      <c r="K1187" s="485" t="n">
        <v>0</v>
      </c>
      <c r="L1187" s="485" t="n">
        <v>0</v>
      </c>
      <c r="M1187" s="514" t="inlineStr">
        <is>
          <t>T</t>
        </is>
      </c>
    </row>
    <row r="1188">
      <c r="A1188" s="485" t="n">
        <v>18</v>
      </c>
      <c r="B1188" s="485" t="n">
        <v>2</v>
      </c>
      <c r="C1188" s="485" t="n">
        <v>2</v>
      </c>
      <c r="D1188" s="485" t="n">
        <v>2</v>
      </c>
      <c r="E1188" s="485" t="n">
        <v>2</v>
      </c>
      <c r="F1188" s="485" t="n">
        <v>2</v>
      </c>
      <c r="G1188" s="516" t="inlineStr">
        <is>
          <t>West-Up1</t>
        </is>
      </c>
      <c r="H1188" s="485" t="n">
        <v>2629.3</v>
      </c>
      <c r="I1188" s="485" t="n">
        <v>0</v>
      </c>
      <c r="J1188" s="485" t="n">
        <v>12</v>
      </c>
      <c r="K1188" s="485" t="n">
        <v>35</v>
      </c>
      <c r="L1188" s="485" t="n">
        <v>3</v>
      </c>
      <c r="M1188" s="514" t="inlineStr">
        <is>
          <t>T</t>
        </is>
      </c>
    </row>
    <row r="1189">
      <c r="A1189" s="485" t="n">
        <v>18</v>
      </c>
      <c r="B1189" s="485" t="n">
        <v>2</v>
      </c>
      <c r="C1189" s="485" t="n">
        <v>2</v>
      </c>
      <c r="D1189" s="485" t="n">
        <v>2</v>
      </c>
      <c r="E1189" s="485" t="n">
        <v>2</v>
      </c>
      <c r="F1189" s="485" t="n">
        <v>2</v>
      </c>
      <c r="G1189" s="485" t="inlineStr">
        <is>
          <t>West-Down1</t>
        </is>
      </c>
      <c r="H1189" s="485" t="n">
        <v>2650.72</v>
      </c>
      <c r="I1189" s="485" t="n">
        <v>0</v>
      </c>
      <c r="J1189" s="485" t="n">
        <v>11</v>
      </c>
      <c r="K1189" s="485" t="n">
        <v>15</v>
      </c>
      <c r="L1189" s="485" t="n">
        <v>2</v>
      </c>
      <c r="M1189" s="514" t="inlineStr">
        <is>
          <t>T</t>
        </is>
      </c>
    </row>
    <row r="1190">
      <c r="A1190" s="485" t="n">
        <v>18</v>
      </c>
      <c r="B1190" s="485" t="n">
        <v>2</v>
      </c>
      <c r="C1190" s="485" t="n">
        <v>2</v>
      </c>
      <c r="D1190" s="485" t="n">
        <v>2</v>
      </c>
      <c r="E1190" s="485" t="n">
        <v>2</v>
      </c>
      <c r="F1190" s="485" t="n">
        <v>2</v>
      </c>
      <c r="G1190" s="485" t="inlineStr">
        <is>
          <t>West-Down2</t>
        </is>
      </c>
      <c r="H1190" s="485" t="n">
        <v>0</v>
      </c>
      <c r="I1190" s="485" t="n">
        <v>0</v>
      </c>
      <c r="J1190" s="485" t="n">
        <v>0</v>
      </c>
      <c r="K1190" s="485" t="n">
        <v>0</v>
      </c>
      <c r="L1190" s="485" t="n">
        <v>0</v>
      </c>
      <c r="M1190" s="514" t="inlineStr">
        <is>
          <t>T</t>
        </is>
      </c>
    </row>
    <row r="1191">
      <c r="A1191" s="485" t="n">
        <v>18</v>
      </c>
      <c r="B1191" s="485" t="n">
        <v>2</v>
      </c>
      <c r="C1191" s="485" t="n">
        <v>2</v>
      </c>
      <c r="D1191" s="485" t="n">
        <v>2</v>
      </c>
      <c r="E1191" s="485" t="n">
        <v>2</v>
      </c>
      <c r="F1191" s="485" t="n">
        <v>2</v>
      </c>
      <c r="G1191" s="485" t="inlineStr">
        <is>
          <t>East-Up2</t>
        </is>
      </c>
      <c r="H1191" s="485" t="n">
        <v>0</v>
      </c>
      <c r="I1191" s="485" t="n">
        <v>0</v>
      </c>
      <c r="J1191" s="485" t="n">
        <v>0</v>
      </c>
      <c r="K1191" s="485" t="n">
        <v>0</v>
      </c>
      <c r="L1191" s="485" t="n">
        <v>0</v>
      </c>
      <c r="M1191" s="514" t="inlineStr">
        <is>
          <t>T</t>
        </is>
      </c>
    </row>
    <row r="1192">
      <c r="A1192" s="485" t="n">
        <v>18</v>
      </c>
      <c r="B1192" s="485" t="n">
        <v>2</v>
      </c>
      <c r="C1192" s="485" t="n">
        <v>2</v>
      </c>
      <c r="D1192" s="485" t="n">
        <v>2</v>
      </c>
      <c r="E1192" s="485" t="n">
        <v>2</v>
      </c>
      <c r="F1192" s="485" t="n">
        <v>2</v>
      </c>
      <c r="G1192" s="516" t="inlineStr">
        <is>
          <t>East-Up1</t>
        </is>
      </c>
      <c r="H1192" s="485" t="n">
        <v>2634.42</v>
      </c>
      <c r="I1192" s="485" t="n">
        <v>0</v>
      </c>
      <c r="J1192" s="485" t="n">
        <v>2</v>
      </c>
      <c r="K1192" s="485" t="n">
        <v>45</v>
      </c>
      <c r="L1192" s="485" t="n">
        <v>4</v>
      </c>
      <c r="M1192" s="514" t="inlineStr">
        <is>
          <t>T</t>
        </is>
      </c>
    </row>
    <row r="1193">
      <c r="A1193" s="485" t="n">
        <v>18</v>
      </c>
      <c r="B1193" s="485" t="n">
        <v>2</v>
      </c>
      <c r="C1193" s="485" t="n">
        <v>2</v>
      </c>
      <c r="D1193" s="485" t="n">
        <v>2</v>
      </c>
      <c r="E1193" s="485" t="n">
        <v>2</v>
      </c>
      <c r="F1193" s="485" t="n">
        <v>2</v>
      </c>
      <c r="G1193" s="485" t="inlineStr">
        <is>
          <t>East-Down1</t>
        </is>
      </c>
      <c r="H1193" s="485" t="n">
        <v>2637.08</v>
      </c>
      <c r="I1193" s="485" t="n">
        <v>0</v>
      </c>
      <c r="J1193" s="485" t="n">
        <v>2</v>
      </c>
      <c r="K1193" s="485" t="n">
        <v>42</v>
      </c>
      <c r="L1193" s="485" t="n">
        <v>4</v>
      </c>
      <c r="M1193" s="514" t="inlineStr">
        <is>
          <t>T</t>
        </is>
      </c>
    </row>
    <row r="1194">
      <c r="A1194" s="485" t="n">
        <v>18</v>
      </c>
      <c r="B1194" s="485" t="n">
        <v>2</v>
      </c>
      <c r="C1194" s="485" t="n">
        <v>2</v>
      </c>
      <c r="D1194" s="485" t="n">
        <v>2</v>
      </c>
      <c r="E1194" s="485" t="n">
        <v>2</v>
      </c>
      <c r="F1194" s="485" t="n">
        <v>2</v>
      </c>
      <c r="G1194" s="485" t="inlineStr">
        <is>
          <t>East-Down2</t>
        </is>
      </c>
      <c r="H1194" s="485" t="n">
        <v>0</v>
      </c>
      <c r="I1194" s="485" t="n">
        <v>0</v>
      </c>
      <c r="J1194" s="485" t="n">
        <v>0</v>
      </c>
      <c r="K1194" s="485" t="n">
        <v>0</v>
      </c>
      <c r="L1194" s="485" t="n">
        <v>0</v>
      </c>
      <c r="M1194" s="514" t="inlineStr">
        <is>
          <t>T</t>
        </is>
      </c>
    </row>
    <row r="1195">
      <c r="A1195" s="485" t="n">
        <v>18</v>
      </c>
      <c r="B1195" s="485" t="n">
        <v>2</v>
      </c>
      <c r="C1195" s="485" t="n">
        <v>2</v>
      </c>
      <c r="D1195" s="485" t="n">
        <v>2</v>
      </c>
      <c r="E1195" s="485" t="n">
        <v>2</v>
      </c>
      <c r="F1195" s="485" t="n">
        <v>2</v>
      </c>
      <c r="G1195" s="485" t="inlineStr">
        <is>
          <t>North-Left2</t>
        </is>
      </c>
      <c r="H1195" s="485" t="n">
        <v>0</v>
      </c>
      <c r="I1195" s="485" t="n">
        <v>0</v>
      </c>
      <c r="J1195" s="485" t="n">
        <v>0</v>
      </c>
      <c r="K1195" s="485" t="n">
        <v>0</v>
      </c>
      <c r="L1195" s="485" t="n">
        <v>0</v>
      </c>
      <c r="M1195" s="514" t="inlineStr">
        <is>
          <t>T</t>
        </is>
      </c>
    </row>
    <row r="1196">
      <c r="A1196" s="485" t="n">
        <v>18</v>
      </c>
      <c r="B1196" s="485" t="n">
        <v>2</v>
      </c>
      <c r="C1196" s="485" t="n">
        <v>2</v>
      </c>
      <c r="D1196" s="485" t="n">
        <v>2</v>
      </c>
      <c r="E1196" s="485" t="n">
        <v>2</v>
      </c>
      <c r="F1196" s="485" t="n">
        <v>2</v>
      </c>
      <c r="G1196" s="516" t="inlineStr">
        <is>
          <t>North-Left1</t>
        </is>
      </c>
      <c r="H1196" s="485" t="n">
        <v>2533.4</v>
      </c>
      <c r="I1196" s="485" t="n">
        <v>89</v>
      </c>
      <c r="J1196" s="485" t="n">
        <v>57</v>
      </c>
      <c r="K1196" s="485" t="n">
        <v>44</v>
      </c>
      <c r="L1196" s="485" t="n">
        <v>4</v>
      </c>
      <c r="M1196" s="514" t="inlineStr">
        <is>
          <t>T</t>
        </is>
      </c>
    </row>
    <row r="1197">
      <c r="A1197" s="485" t="n">
        <v>18</v>
      </c>
      <c r="B1197" s="485" t="n">
        <v>2</v>
      </c>
      <c r="C1197" s="485" t="n">
        <v>2</v>
      </c>
      <c r="D1197" s="485" t="n">
        <v>2</v>
      </c>
      <c r="E1197" s="485" t="n">
        <v>2</v>
      </c>
      <c r="F1197" s="485" t="n">
        <v>2</v>
      </c>
      <c r="G1197" s="485" t="inlineStr">
        <is>
          <t>North-Right1</t>
        </is>
      </c>
      <c r="H1197" s="485" t="n">
        <v>2634.34</v>
      </c>
      <c r="I1197" s="485" t="n">
        <v>89</v>
      </c>
      <c r="J1197" s="485" t="n">
        <v>57</v>
      </c>
      <c r="K1197" s="485" t="n">
        <v>36</v>
      </c>
      <c r="L1197" s="485" t="n">
        <v>4</v>
      </c>
      <c r="M1197" s="514" t="inlineStr">
        <is>
          <t>T</t>
        </is>
      </c>
    </row>
    <row r="1198">
      <c r="A1198" s="485" t="n">
        <v>18</v>
      </c>
      <c r="B1198" s="485" t="n">
        <v>2</v>
      </c>
      <c r="C1198" s="485" t="n">
        <v>2</v>
      </c>
      <c r="D1198" s="485" t="n">
        <v>2</v>
      </c>
      <c r="E1198" s="485" t="n">
        <v>2</v>
      </c>
      <c r="F1198" s="485" t="n">
        <v>2</v>
      </c>
      <c r="G1198" s="485" t="inlineStr">
        <is>
          <t>North-Right2</t>
        </is>
      </c>
      <c r="H1198" s="485" t="n">
        <v>0</v>
      </c>
      <c r="I1198" s="485" t="n">
        <v>0</v>
      </c>
      <c r="J1198" s="485" t="n">
        <v>0</v>
      </c>
      <c r="K1198" s="485" t="n">
        <v>0</v>
      </c>
      <c r="L1198" s="485" t="n">
        <v>0</v>
      </c>
      <c r="M1198" s="514" t="inlineStr">
        <is>
          <t>T</t>
        </is>
      </c>
    </row>
    <row r="1199">
      <c r="A1199" s="485" t="n">
        <v>18</v>
      </c>
      <c r="B1199" s="485" t="n">
        <v>2</v>
      </c>
      <c r="C1199" s="485" t="n">
        <v>2</v>
      </c>
      <c r="D1199" s="485" t="n">
        <v>2</v>
      </c>
      <c r="E1199" s="485" t="n">
        <v>2</v>
      </c>
      <c r="F1199" s="485" t="n">
        <v>2</v>
      </c>
      <c r="G1199" s="485" t="inlineStr">
        <is>
          <t>South-Left2</t>
        </is>
      </c>
      <c r="H1199" s="485" t="n">
        <v>0</v>
      </c>
      <c r="I1199" s="485" t="n">
        <v>0</v>
      </c>
      <c r="J1199" s="485" t="n">
        <v>0</v>
      </c>
      <c r="K1199" s="485" t="n">
        <v>0</v>
      </c>
      <c r="L1199" s="485" t="n">
        <v>0</v>
      </c>
      <c r="M1199" s="514" t="inlineStr">
        <is>
          <t>T</t>
        </is>
      </c>
    </row>
    <row r="1200">
      <c r="A1200" s="485" t="n">
        <v>18</v>
      </c>
      <c r="B1200" s="485" t="n">
        <v>2</v>
      </c>
      <c r="C1200" s="485" t="n">
        <v>2</v>
      </c>
      <c r="D1200" s="485" t="n">
        <v>2</v>
      </c>
      <c r="E1200" s="485" t="n">
        <v>2</v>
      </c>
      <c r="F1200" s="485" t="n">
        <v>2</v>
      </c>
      <c r="G1200" s="516" t="inlineStr">
        <is>
          <t>South-Left1</t>
        </is>
      </c>
      <c r="H1200" s="485" t="n">
        <v>2543.39</v>
      </c>
      <c r="I1200" s="485" t="n">
        <v>89</v>
      </c>
      <c r="J1200" s="485" t="n">
        <v>56</v>
      </c>
      <c r="K1200" s="485" t="n">
        <v>37</v>
      </c>
      <c r="L1200" s="485" t="n">
        <v>4</v>
      </c>
      <c r="M1200" s="514" t="inlineStr">
        <is>
          <t>T</t>
        </is>
      </c>
    </row>
    <row r="1201">
      <c r="A1201" s="485" t="n">
        <v>18</v>
      </c>
      <c r="B1201" s="485" t="n">
        <v>2</v>
      </c>
      <c r="C1201" s="485" t="n">
        <v>2</v>
      </c>
      <c r="D1201" s="485" t="n">
        <v>2</v>
      </c>
      <c r="E1201" s="485" t="n">
        <v>2</v>
      </c>
      <c r="F1201" s="485" t="n">
        <v>2</v>
      </c>
      <c r="G1201" s="485" t="inlineStr">
        <is>
          <t>South-Right1</t>
        </is>
      </c>
      <c r="H1201" s="485" t="n">
        <v>2646.83</v>
      </c>
      <c r="I1201" s="485" t="n">
        <v>89</v>
      </c>
      <c r="J1201" s="485" t="n">
        <v>50</v>
      </c>
      <c r="K1201" s="485" t="n">
        <v>16</v>
      </c>
      <c r="L1201" s="485" t="n">
        <v>3</v>
      </c>
      <c r="M1201" s="514" t="inlineStr">
        <is>
          <t>T</t>
        </is>
      </c>
    </row>
    <row r="1202">
      <c r="A1202" s="485" t="n">
        <v>18</v>
      </c>
      <c r="B1202" s="485" t="n">
        <v>2</v>
      </c>
      <c r="C1202" s="485" t="n">
        <v>2</v>
      </c>
      <c r="D1202" s="485" t="n">
        <v>2</v>
      </c>
      <c r="E1202" s="485" t="n">
        <v>2</v>
      </c>
      <c r="F1202" s="485" t="n">
        <v>2</v>
      </c>
      <c r="G1202" s="485" t="inlineStr">
        <is>
          <t>South-Right2</t>
        </is>
      </c>
      <c r="H1202" s="485" t="n">
        <v>0</v>
      </c>
      <c r="I1202" s="485" t="n">
        <v>0</v>
      </c>
      <c r="J1202" s="485" t="n">
        <v>0</v>
      </c>
      <c r="K1202" s="485" t="n">
        <v>0</v>
      </c>
      <c r="L1202" s="485" t="n">
        <v>0</v>
      </c>
      <c r="M1202" s="514" t="inlineStr">
        <is>
          <t>T</t>
        </is>
      </c>
    </row>
    <row r="1203">
      <c r="A1203" s="493" t="n">
        <v>18</v>
      </c>
      <c r="B1203" s="493" t="n">
        <v>2</v>
      </c>
      <c r="C1203" s="493" t="n">
        <v>2</v>
      </c>
      <c r="D1203" s="493" t="n">
        <v>3</v>
      </c>
      <c r="E1203" s="493" t="n">
        <v>2</v>
      </c>
      <c r="F1203" s="493" t="n">
        <v>2</v>
      </c>
      <c r="G1203" s="493" t="inlineStr">
        <is>
          <t>West-Up2</t>
        </is>
      </c>
      <c r="H1203" s="493" t="n">
        <v>0</v>
      </c>
      <c r="I1203" s="493" t="n">
        <v>0</v>
      </c>
      <c r="J1203" s="493" t="n">
        <v>0</v>
      </c>
      <c r="K1203" s="493" t="n">
        <v>0</v>
      </c>
      <c r="L1203" s="493" t="n">
        <v>0</v>
      </c>
      <c r="M1203" s="494" t="inlineStr">
        <is>
          <t>T</t>
        </is>
      </c>
    </row>
    <row r="1204">
      <c r="A1204" s="493" t="n">
        <v>18</v>
      </c>
      <c r="B1204" s="493" t="n">
        <v>2</v>
      </c>
      <c r="C1204" s="493" t="n">
        <v>2</v>
      </c>
      <c r="D1204" s="493" t="n">
        <v>3</v>
      </c>
      <c r="E1204" s="493" t="n">
        <v>2</v>
      </c>
      <c r="F1204" s="493" t="n">
        <v>2</v>
      </c>
      <c r="G1204" s="493" t="inlineStr">
        <is>
          <t>West-Up1</t>
        </is>
      </c>
      <c r="H1204" s="493" t="n">
        <v>2688.26</v>
      </c>
      <c r="I1204" s="493" t="n">
        <v>0</v>
      </c>
      <c r="J1204" s="493" t="n">
        <v>0</v>
      </c>
      <c r="K1204" s="493" t="n">
        <v>44</v>
      </c>
      <c r="L1204" s="493" t="n">
        <v>2</v>
      </c>
      <c r="M1204" s="494" t="inlineStr">
        <is>
          <t>T</t>
        </is>
      </c>
    </row>
    <row r="1205">
      <c r="A1205" s="493" t="n">
        <v>18</v>
      </c>
      <c r="B1205" s="493" t="n">
        <v>2</v>
      </c>
      <c r="C1205" s="493" t="n">
        <v>2</v>
      </c>
      <c r="D1205" s="493" t="n">
        <v>3</v>
      </c>
      <c r="E1205" s="493" t="n">
        <v>2</v>
      </c>
      <c r="F1205" s="493" t="n">
        <v>2</v>
      </c>
      <c r="G1205" s="493" t="inlineStr">
        <is>
          <t>West-Down1</t>
        </is>
      </c>
      <c r="H1205" s="493" t="n">
        <v>2640</v>
      </c>
      <c r="I1205" s="493" t="n">
        <v>0</v>
      </c>
      <c r="J1205" s="493" t="n">
        <v>0</v>
      </c>
      <c r="K1205" s="493" t="n">
        <v>0</v>
      </c>
      <c r="L1205" s="493" t="n">
        <v>2</v>
      </c>
      <c r="M1205" s="494" t="inlineStr">
        <is>
          <t>T</t>
        </is>
      </c>
    </row>
    <row r="1206">
      <c r="A1206" s="493" t="n">
        <v>18</v>
      </c>
      <c r="B1206" s="493" t="n">
        <v>2</v>
      </c>
      <c r="C1206" s="493" t="n">
        <v>2</v>
      </c>
      <c r="D1206" s="493" t="n">
        <v>3</v>
      </c>
      <c r="E1206" s="493" t="n">
        <v>2</v>
      </c>
      <c r="F1206" s="493" t="n">
        <v>2</v>
      </c>
      <c r="G1206" s="493" t="inlineStr">
        <is>
          <t>West-Down2</t>
        </is>
      </c>
      <c r="H1206" s="493" t="n">
        <v>0</v>
      </c>
      <c r="I1206" s="493" t="n">
        <v>0</v>
      </c>
      <c r="J1206" s="493" t="n">
        <v>0</v>
      </c>
      <c r="K1206" s="493" t="n">
        <v>0</v>
      </c>
      <c r="L1206" s="493" t="n">
        <v>0</v>
      </c>
      <c r="M1206" s="494" t="inlineStr">
        <is>
          <t>T</t>
        </is>
      </c>
    </row>
    <row r="1207">
      <c r="A1207" s="493" t="n">
        <v>18</v>
      </c>
      <c r="B1207" s="493" t="n">
        <v>2</v>
      </c>
      <c r="C1207" s="493" t="n">
        <v>2</v>
      </c>
      <c r="D1207" s="493" t="n">
        <v>3</v>
      </c>
      <c r="E1207" s="493" t="n">
        <v>2</v>
      </c>
      <c r="F1207" s="493" t="n">
        <v>2</v>
      </c>
      <c r="G1207" s="493" t="inlineStr">
        <is>
          <t>East-Up2</t>
        </is>
      </c>
      <c r="H1207" s="493" t="n">
        <v>0</v>
      </c>
      <c r="I1207" s="493" t="n">
        <v>0</v>
      </c>
      <c r="J1207" s="493" t="n">
        <v>0</v>
      </c>
      <c r="K1207" s="493" t="n">
        <v>0</v>
      </c>
      <c r="L1207" s="493" t="n">
        <v>0</v>
      </c>
      <c r="M1207" s="494" t="inlineStr">
        <is>
          <t>T</t>
        </is>
      </c>
    </row>
    <row r="1208">
      <c r="A1208" s="493" t="n">
        <v>18</v>
      </c>
      <c r="B1208" s="493" t="n">
        <v>2</v>
      </c>
      <c r="C1208" s="493" t="n">
        <v>2</v>
      </c>
      <c r="D1208" s="493" t="n">
        <v>3</v>
      </c>
      <c r="E1208" s="493" t="n">
        <v>2</v>
      </c>
      <c r="F1208" s="493" t="n">
        <v>2</v>
      </c>
      <c r="G1208" s="493" t="inlineStr">
        <is>
          <t>East-Up1</t>
        </is>
      </c>
      <c r="H1208" s="493" t="n">
        <v>2623.32</v>
      </c>
      <c r="I1208" s="493" t="n">
        <v>0</v>
      </c>
      <c r="J1208" s="493" t="n">
        <v>47</v>
      </c>
      <c r="K1208" s="493" t="n">
        <v>29</v>
      </c>
      <c r="L1208" s="493" t="n">
        <v>2</v>
      </c>
      <c r="M1208" s="494" t="inlineStr">
        <is>
          <t>T</t>
        </is>
      </c>
    </row>
    <row r="1209">
      <c r="A1209" s="493" t="n">
        <v>18</v>
      </c>
      <c r="B1209" s="493" t="n">
        <v>2</v>
      </c>
      <c r="C1209" s="493" t="n">
        <v>2</v>
      </c>
      <c r="D1209" s="493" t="n">
        <v>3</v>
      </c>
      <c r="E1209" s="493" t="n">
        <v>2</v>
      </c>
      <c r="F1209" s="493" t="n">
        <v>2</v>
      </c>
      <c r="G1209" s="493" t="inlineStr">
        <is>
          <t>East-Down1</t>
        </is>
      </c>
      <c r="H1209" s="493" t="n">
        <v>2640</v>
      </c>
      <c r="I1209" s="493" t="n">
        <v>0</v>
      </c>
      <c r="J1209" s="493" t="n">
        <v>0</v>
      </c>
      <c r="K1209" s="493" t="n">
        <v>0</v>
      </c>
      <c r="L1209" s="493" t="n">
        <v>2</v>
      </c>
      <c r="M1209" s="494" t="inlineStr">
        <is>
          <t>T</t>
        </is>
      </c>
    </row>
    <row r="1210">
      <c r="A1210" s="493" t="n">
        <v>18</v>
      </c>
      <c r="B1210" s="493" t="n">
        <v>2</v>
      </c>
      <c r="C1210" s="493" t="n">
        <v>2</v>
      </c>
      <c r="D1210" s="493" t="n">
        <v>3</v>
      </c>
      <c r="E1210" s="493" t="n">
        <v>2</v>
      </c>
      <c r="F1210" s="493" t="n">
        <v>2</v>
      </c>
      <c r="G1210" s="493" t="inlineStr">
        <is>
          <t>East-Down2</t>
        </is>
      </c>
      <c r="H1210" s="493" t="n">
        <v>0</v>
      </c>
      <c r="I1210" s="493" t="n">
        <v>0</v>
      </c>
      <c r="J1210" s="493" t="n">
        <v>0</v>
      </c>
      <c r="K1210" s="493" t="n">
        <v>0</v>
      </c>
      <c r="L1210" s="493" t="n">
        <v>0</v>
      </c>
      <c r="M1210" s="494" t="inlineStr">
        <is>
          <t>T</t>
        </is>
      </c>
    </row>
    <row r="1211">
      <c r="A1211" s="493" t="n">
        <v>18</v>
      </c>
      <c r="B1211" s="493" t="n">
        <v>2</v>
      </c>
      <c r="C1211" s="493" t="n">
        <v>2</v>
      </c>
      <c r="D1211" s="493" t="n">
        <v>3</v>
      </c>
      <c r="E1211" s="493" t="n">
        <v>2</v>
      </c>
      <c r="F1211" s="493" t="n">
        <v>2</v>
      </c>
      <c r="G1211" s="493" t="inlineStr">
        <is>
          <t>North-Left2</t>
        </is>
      </c>
      <c r="H1211" s="493" t="n">
        <v>0</v>
      </c>
      <c r="I1211" s="493" t="n">
        <v>0</v>
      </c>
      <c r="J1211" s="493" t="n">
        <v>0</v>
      </c>
      <c r="K1211" s="493" t="n">
        <v>0</v>
      </c>
      <c r="L1211" s="493" t="n">
        <v>0</v>
      </c>
      <c r="M1211" s="494" t="inlineStr">
        <is>
          <t>T</t>
        </is>
      </c>
    </row>
    <row r="1212">
      <c r="A1212" s="493" t="n">
        <v>18</v>
      </c>
      <c r="B1212" s="493" t="n">
        <v>2</v>
      </c>
      <c r="C1212" s="493" t="n">
        <v>2</v>
      </c>
      <c r="D1212" s="493" t="n">
        <v>3</v>
      </c>
      <c r="E1212" s="493" t="n">
        <v>2</v>
      </c>
      <c r="F1212" s="493" t="n">
        <v>2</v>
      </c>
      <c r="G1212" s="493" t="inlineStr">
        <is>
          <t>North-Left1</t>
        </is>
      </c>
      <c r="H1212" s="493" t="n">
        <v>5197.03</v>
      </c>
      <c r="I1212" s="493" t="n">
        <v>89</v>
      </c>
      <c r="J1212" s="493" t="n">
        <v>24</v>
      </c>
      <c r="K1212" s="493" t="n">
        <v>56</v>
      </c>
      <c r="L1212" s="493" t="n">
        <v>3</v>
      </c>
      <c r="M1212" s="494" t="inlineStr">
        <is>
          <t>T</t>
        </is>
      </c>
    </row>
    <row r="1213">
      <c r="A1213" s="493" t="n">
        <v>18</v>
      </c>
      <c r="B1213" s="493" t="n">
        <v>2</v>
      </c>
      <c r="C1213" s="493" t="n">
        <v>2</v>
      </c>
      <c r="D1213" s="493" t="n">
        <v>3</v>
      </c>
      <c r="E1213" s="493" t="n">
        <v>2</v>
      </c>
      <c r="F1213" s="493" t="n">
        <v>2</v>
      </c>
      <c r="G1213" s="493" t="inlineStr">
        <is>
          <t>North-Right1</t>
        </is>
      </c>
      <c r="H1213" s="493" t="n">
        <v>0</v>
      </c>
      <c r="I1213" s="493" t="n">
        <v>0</v>
      </c>
      <c r="J1213" s="493" t="n">
        <v>0</v>
      </c>
      <c r="K1213" s="493" t="n">
        <v>0</v>
      </c>
      <c r="L1213" s="493" t="n">
        <v>0</v>
      </c>
      <c r="M1213" s="494" t="inlineStr">
        <is>
          <t>T</t>
        </is>
      </c>
    </row>
    <row r="1214">
      <c r="A1214" s="493" t="n">
        <v>18</v>
      </c>
      <c r="B1214" s="493" t="n">
        <v>2</v>
      </c>
      <c r="C1214" s="493" t="n">
        <v>2</v>
      </c>
      <c r="D1214" s="493" t="n">
        <v>3</v>
      </c>
      <c r="E1214" s="493" t="n">
        <v>2</v>
      </c>
      <c r="F1214" s="493" t="n">
        <v>2</v>
      </c>
      <c r="G1214" s="493" t="inlineStr">
        <is>
          <t>North-Right2</t>
        </is>
      </c>
      <c r="H1214" s="493" t="n">
        <v>0</v>
      </c>
      <c r="I1214" s="493" t="n">
        <v>0</v>
      </c>
      <c r="J1214" s="493" t="n">
        <v>0</v>
      </c>
      <c r="K1214" s="493" t="n">
        <v>0</v>
      </c>
      <c r="L1214" s="493" t="n">
        <v>0</v>
      </c>
      <c r="M1214" s="494" t="inlineStr">
        <is>
          <t>T</t>
        </is>
      </c>
    </row>
    <row r="1215">
      <c r="A1215" s="493" t="n">
        <v>18</v>
      </c>
      <c r="B1215" s="493" t="n">
        <v>2</v>
      </c>
      <c r="C1215" s="493" t="n">
        <v>2</v>
      </c>
      <c r="D1215" s="493" t="n">
        <v>3</v>
      </c>
      <c r="E1215" s="493" t="n">
        <v>2</v>
      </c>
      <c r="F1215" s="493" t="n">
        <v>2</v>
      </c>
      <c r="G1215" s="493" t="inlineStr">
        <is>
          <t>South-Left2</t>
        </is>
      </c>
      <c r="H1215" s="493" t="n">
        <v>0</v>
      </c>
      <c r="I1215" s="493" t="n">
        <v>0</v>
      </c>
      <c r="J1215" s="493" t="n">
        <v>0</v>
      </c>
      <c r="K1215" s="493" t="n">
        <v>0</v>
      </c>
      <c r="L1215" s="493" t="n">
        <v>0</v>
      </c>
      <c r="M1215" s="494" t="inlineStr">
        <is>
          <t>T</t>
        </is>
      </c>
    </row>
    <row r="1216">
      <c r="A1216" s="493" t="n">
        <v>18</v>
      </c>
      <c r="B1216" s="493" t="n">
        <v>2</v>
      </c>
      <c r="C1216" s="493" t="n">
        <v>2</v>
      </c>
      <c r="D1216" s="493" t="n">
        <v>3</v>
      </c>
      <c r="E1216" s="493" t="n">
        <v>2</v>
      </c>
      <c r="F1216" s="493" t="n">
        <v>2</v>
      </c>
      <c r="G1216" s="493" t="inlineStr">
        <is>
          <t>South-Left1</t>
        </is>
      </c>
      <c r="H1216" s="493" t="n">
        <v>5217.96</v>
      </c>
      <c r="I1216" s="493" t="n">
        <v>0</v>
      </c>
      <c r="J1216" s="493" t="n">
        <v>0</v>
      </c>
      <c r="K1216" s="493" t="n">
        <v>0</v>
      </c>
      <c r="L1216" s="493" t="n">
        <v>3</v>
      </c>
      <c r="M1216" s="494" t="inlineStr">
        <is>
          <t>T</t>
        </is>
      </c>
    </row>
    <row r="1217">
      <c r="A1217" s="493" t="n">
        <v>18</v>
      </c>
      <c r="B1217" s="493" t="n">
        <v>2</v>
      </c>
      <c r="C1217" s="493" t="n">
        <v>2</v>
      </c>
      <c r="D1217" s="493" t="n">
        <v>3</v>
      </c>
      <c r="E1217" s="493" t="n">
        <v>2</v>
      </c>
      <c r="F1217" s="493" t="n">
        <v>2</v>
      </c>
      <c r="G1217" s="493" t="inlineStr">
        <is>
          <t>South-Right1</t>
        </is>
      </c>
      <c r="H1217" s="493" t="n">
        <v>0</v>
      </c>
      <c r="I1217" s="493" t="n">
        <v>0</v>
      </c>
      <c r="J1217" s="493" t="n">
        <v>0</v>
      </c>
      <c r="K1217" s="493" t="n">
        <v>0</v>
      </c>
      <c r="L1217" s="493" t="n">
        <v>0</v>
      </c>
      <c r="M1217" s="494" t="inlineStr">
        <is>
          <t>T</t>
        </is>
      </c>
    </row>
    <row r="1218">
      <c r="A1218" s="493" t="n">
        <v>18</v>
      </c>
      <c r="B1218" s="493" t="n">
        <v>2</v>
      </c>
      <c r="C1218" s="493" t="n">
        <v>2</v>
      </c>
      <c r="D1218" s="493" t="n">
        <v>3</v>
      </c>
      <c r="E1218" s="493" t="n">
        <v>2</v>
      </c>
      <c r="F1218" s="493" t="n">
        <v>2</v>
      </c>
      <c r="G1218" s="493" t="inlineStr">
        <is>
          <t>South-Right2</t>
        </is>
      </c>
      <c r="H1218" s="493" t="n">
        <v>0</v>
      </c>
      <c r="I1218" s="493" t="n">
        <v>0</v>
      </c>
      <c r="J1218" s="493" t="n">
        <v>0</v>
      </c>
      <c r="K1218" s="493" t="n">
        <v>0</v>
      </c>
      <c r="L1218" s="493" t="n">
        <v>0</v>
      </c>
      <c r="M1218" s="494" t="inlineStr">
        <is>
          <t>T</t>
        </is>
      </c>
    </row>
    <row r="1219">
      <c r="A1219" s="485" t="n">
        <v>18</v>
      </c>
      <c r="B1219" s="485" t="n">
        <v>3</v>
      </c>
      <c r="C1219" s="485" t="n">
        <v>2</v>
      </c>
      <c r="D1219" s="485" t="n">
        <v>1</v>
      </c>
      <c r="E1219" s="485" t="n">
        <v>1</v>
      </c>
      <c r="F1219" s="485" t="n">
        <v>2</v>
      </c>
      <c r="G1219" s="485" t="inlineStr">
        <is>
          <t>West-Up2</t>
        </is>
      </c>
      <c r="H1219" s="485" t="n">
        <v>0</v>
      </c>
      <c r="I1219" s="485" t="n">
        <v>0</v>
      </c>
      <c r="J1219" s="485" t="n">
        <v>0</v>
      </c>
      <c r="K1219" s="485" t="n">
        <v>0</v>
      </c>
      <c r="L1219" s="485" t="n">
        <v>0</v>
      </c>
      <c r="M1219" s="514" t="inlineStr">
        <is>
          <t>T</t>
        </is>
      </c>
    </row>
    <row r="1220">
      <c r="A1220" s="485" t="n">
        <v>18</v>
      </c>
      <c r="B1220" s="485" t="n">
        <v>3</v>
      </c>
      <c r="C1220" s="485" t="n">
        <v>2</v>
      </c>
      <c r="D1220" s="485" t="n">
        <v>1</v>
      </c>
      <c r="E1220" s="485" t="n">
        <v>1</v>
      </c>
      <c r="F1220" s="485" t="n">
        <v>2</v>
      </c>
      <c r="G1220" s="485" t="inlineStr">
        <is>
          <t>West-Up1</t>
        </is>
      </c>
      <c r="H1220" s="485" t="n">
        <v>2641.68</v>
      </c>
      <c r="I1220" s="485" t="n">
        <v>0</v>
      </c>
      <c r="J1220" s="485" t="n">
        <v>2</v>
      </c>
      <c r="K1220" s="485" t="n">
        <v>2</v>
      </c>
      <c r="L1220" s="485" t="n">
        <v>4</v>
      </c>
      <c r="M1220" s="514" t="inlineStr">
        <is>
          <t>T</t>
        </is>
      </c>
    </row>
    <row r="1221">
      <c r="A1221" s="485" t="n">
        <v>18</v>
      </c>
      <c r="B1221" s="485" t="n">
        <v>3</v>
      </c>
      <c r="C1221" s="485" t="n">
        <v>2</v>
      </c>
      <c r="D1221" s="485" t="n">
        <v>1</v>
      </c>
      <c r="E1221" s="485" t="n">
        <v>1</v>
      </c>
      <c r="F1221" s="485" t="n">
        <v>2</v>
      </c>
      <c r="G1221" s="485" t="inlineStr">
        <is>
          <t>West-Down1</t>
        </is>
      </c>
      <c r="H1221" s="485" t="n">
        <v>2629.58</v>
      </c>
      <c r="I1221" s="485" t="n">
        <v>0</v>
      </c>
      <c r="J1221" s="485" t="n">
        <v>3</v>
      </c>
      <c r="K1221" s="485" t="n">
        <v>6</v>
      </c>
      <c r="L1221" s="485" t="n">
        <v>4</v>
      </c>
      <c r="M1221" s="514" t="inlineStr">
        <is>
          <t>T</t>
        </is>
      </c>
    </row>
    <row r="1222">
      <c r="A1222" s="485" t="n">
        <v>18</v>
      </c>
      <c r="B1222" s="485" t="n">
        <v>3</v>
      </c>
      <c r="C1222" s="485" t="n">
        <v>2</v>
      </c>
      <c r="D1222" s="485" t="n">
        <v>1</v>
      </c>
      <c r="E1222" s="485" t="n">
        <v>1</v>
      </c>
      <c r="F1222" s="485" t="n">
        <v>2</v>
      </c>
      <c r="G1222" s="485" t="inlineStr">
        <is>
          <t>West-Down2</t>
        </is>
      </c>
      <c r="H1222" s="485" t="n">
        <v>0</v>
      </c>
      <c r="I1222" s="485" t="n">
        <v>0</v>
      </c>
      <c r="J1222" s="485" t="n">
        <v>0</v>
      </c>
      <c r="K1222" s="485" t="n">
        <v>0</v>
      </c>
      <c r="L1222" s="485" t="n">
        <v>0</v>
      </c>
      <c r="M1222" s="514" t="inlineStr">
        <is>
          <t>T</t>
        </is>
      </c>
    </row>
    <row r="1223">
      <c r="A1223" s="485" t="n">
        <v>18</v>
      </c>
      <c r="B1223" s="485" t="n">
        <v>3</v>
      </c>
      <c r="C1223" s="485" t="n">
        <v>2</v>
      </c>
      <c r="D1223" s="485" t="n">
        <v>1</v>
      </c>
      <c r="E1223" s="485" t="n">
        <v>1</v>
      </c>
      <c r="F1223" s="485" t="n">
        <v>2</v>
      </c>
      <c r="G1223" s="485" t="inlineStr">
        <is>
          <t>East-Up2</t>
        </is>
      </c>
      <c r="H1223" s="485" t="n">
        <v>0</v>
      </c>
      <c r="I1223" s="485" t="n">
        <v>0</v>
      </c>
      <c r="J1223" s="485" t="n">
        <v>0</v>
      </c>
      <c r="K1223" s="485" t="n">
        <v>0</v>
      </c>
      <c r="L1223" s="485" t="n">
        <v>0</v>
      </c>
      <c r="M1223" s="514" t="inlineStr">
        <is>
          <t>T</t>
        </is>
      </c>
    </row>
    <row r="1224">
      <c r="A1224" s="485" t="n">
        <v>18</v>
      </c>
      <c r="B1224" s="485" t="n">
        <v>3</v>
      </c>
      <c r="C1224" s="485" t="n">
        <v>2</v>
      </c>
      <c r="D1224" s="485" t="n">
        <v>1</v>
      </c>
      <c r="E1224" s="485" t="n">
        <v>1</v>
      </c>
      <c r="F1224" s="485" t="n">
        <v>2</v>
      </c>
      <c r="G1224" s="485" t="inlineStr">
        <is>
          <t>East-Up1</t>
        </is>
      </c>
      <c r="H1224" s="485" t="n">
        <v>2642.18</v>
      </c>
      <c r="I1224" s="485" t="n">
        <v>0</v>
      </c>
      <c r="J1224" s="485" t="n">
        <v>1</v>
      </c>
      <c r="K1224" s="485" t="n">
        <v>27</v>
      </c>
      <c r="L1224" s="485" t="n">
        <v>2</v>
      </c>
      <c r="M1224" s="514" t="inlineStr">
        <is>
          <t>T</t>
        </is>
      </c>
    </row>
    <row r="1225">
      <c r="A1225" s="485" t="n">
        <v>18</v>
      </c>
      <c r="B1225" s="485" t="n">
        <v>3</v>
      </c>
      <c r="C1225" s="485" t="n">
        <v>2</v>
      </c>
      <c r="D1225" s="485" t="n">
        <v>1</v>
      </c>
      <c r="E1225" s="485" t="n">
        <v>1</v>
      </c>
      <c r="F1225" s="485" t="n">
        <v>2</v>
      </c>
      <c r="G1225" s="485" t="inlineStr">
        <is>
          <t>East-Down1</t>
        </is>
      </c>
      <c r="H1225" s="485" t="n">
        <v>2649.19</v>
      </c>
      <c r="I1225" s="485" t="n">
        <v>0</v>
      </c>
      <c r="J1225" s="485" t="n">
        <v>6</v>
      </c>
      <c r="K1225" s="485" t="n">
        <v>16</v>
      </c>
      <c r="L1225" s="485" t="n">
        <v>2</v>
      </c>
      <c r="M1225" s="514" t="inlineStr">
        <is>
          <t>T</t>
        </is>
      </c>
    </row>
    <row r="1226">
      <c r="A1226" s="485" t="n">
        <v>18</v>
      </c>
      <c r="B1226" s="485" t="n">
        <v>3</v>
      </c>
      <c r="C1226" s="485" t="n">
        <v>2</v>
      </c>
      <c r="D1226" s="485" t="n">
        <v>1</v>
      </c>
      <c r="E1226" s="485" t="n">
        <v>1</v>
      </c>
      <c r="F1226" s="485" t="n">
        <v>2</v>
      </c>
      <c r="G1226" s="485" t="inlineStr">
        <is>
          <t>East-Down2</t>
        </is>
      </c>
      <c r="H1226" s="485" t="n">
        <v>0</v>
      </c>
      <c r="I1226" s="485" t="n">
        <v>0</v>
      </c>
      <c r="J1226" s="485" t="n">
        <v>0</v>
      </c>
      <c r="K1226" s="485" t="n">
        <v>0</v>
      </c>
      <c r="L1226" s="485" t="n">
        <v>0</v>
      </c>
      <c r="M1226" s="514" t="inlineStr">
        <is>
          <t>T</t>
        </is>
      </c>
    </row>
    <row r="1227">
      <c r="A1227" s="485" t="n">
        <v>18</v>
      </c>
      <c r="B1227" s="485" t="n">
        <v>3</v>
      </c>
      <c r="C1227" s="485" t="n">
        <v>2</v>
      </c>
      <c r="D1227" s="485" t="n">
        <v>1</v>
      </c>
      <c r="E1227" s="485" t="n">
        <v>1</v>
      </c>
      <c r="F1227" s="485" t="n">
        <v>2</v>
      </c>
      <c r="G1227" s="485" t="inlineStr">
        <is>
          <t>North-Left2</t>
        </is>
      </c>
      <c r="H1227" s="485" t="n">
        <v>0</v>
      </c>
      <c r="I1227" s="485" t="n">
        <v>0</v>
      </c>
      <c r="J1227" s="485" t="n">
        <v>0</v>
      </c>
      <c r="K1227" s="485" t="n">
        <v>0</v>
      </c>
      <c r="L1227" s="485" t="n">
        <v>0</v>
      </c>
      <c r="M1227" s="514" t="inlineStr">
        <is>
          <t>T</t>
        </is>
      </c>
    </row>
    <row r="1228">
      <c r="A1228" s="485" t="n">
        <v>18</v>
      </c>
      <c r="B1228" s="485" t="n">
        <v>3</v>
      </c>
      <c r="C1228" s="485" t="n">
        <v>2</v>
      </c>
      <c r="D1228" s="485" t="n">
        <v>1</v>
      </c>
      <c r="E1228" s="485" t="n">
        <v>1</v>
      </c>
      <c r="F1228" s="485" t="n">
        <v>2</v>
      </c>
      <c r="G1228" s="485" t="inlineStr">
        <is>
          <t>North-Left1</t>
        </is>
      </c>
      <c r="H1228" s="485" t="n">
        <v>2591.76</v>
      </c>
      <c r="I1228" s="485" t="n">
        <v>89</v>
      </c>
      <c r="J1228" s="485" t="n">
        <v>49</v>
      </c>
      <c r="K1228" s="485" t="n">
        <v>49</v>
      </c>
      <c r="L1228" s="485" t="n">
        <v>3</v>
      </c>
      <c r="M1228" s="514" t="inlineStr">
        <is>
          <t>T</t>
        </is>
      </c>
    </row>
    <row r="1229">
      <c r="A1229" s="485" t="n">
        <v>18</v>
      </c>
      <c r="B1229" s="485" t="n">
        <v>3</v>
      </c>
      <c r="C1229" s="485" t="n">
        <v>2</v>
      </c>
      <c r="D1229" s="485" t="n">
        <v>1</v>
      </c>
      <c r="E1229" s="485" t="n">
        <v>1</v>
      </c>
      <c r="F1229" s="485" t="n">
        <v>2</v>
      </c>
      <c r="G1229" s="485" t="inlineStr">
        <is>
          <t>North-Right1</t>
        </is>
      </c>
      <c r="H1229" s="485" t="n">
        <v>2643.3</v>
      </c>
      <c r="I1229" s="485" t="n">
        <v>89</v>
      </c>
      <c r="J1229" s="485" t="n">
        <v>55</v>
      </c>
      <c r="K1229" s="485" t="n">
        <v>57</v>
      </c>
      <c r="L1229" s="485" t="n">
        <v>3</v>
      </c>
      <c r="M1229" s="514" t="inlineStr">
        <is>
          <t>T</t>
        </is>
      </c>
    </row>
    <row r="1230">
      <c r="A1230" s="485" t="n">
        <v>18</v>
      </c>
      <c r="B1230" s="485" t="n">
        <v>3</v>
      </c>
      <c r="C1230" s="485" t="n">
        <v>2</v>
      </c>
      <c r="D1230" s="485" t="n">
        <v>1</v>
      </c>
      <c r="E1230" s="485" t="n">
        <v>1</v>
      </c>
      <c r="F1230" s="485" t="n">
        <v>2</v>
      </c>
      <c r="G1230" s="485" t="inlineStr">
        <is>
          <t>North-Right2</t>
        </is>
      </c>
      <c r="H1230" s="485" t="n">
        <v>0</v>
      </c>
      <c r="I1230" s="485" t="n">
        <v>0</v>
      </c>
      <c r="J1230" s="485" t="n">
        <v>0</v>
      </c>
      <c r="K1230" s="485" t="n">
        <v>0</v>
      </c>
      <c r="L1230" s="485" t="n">
        <v>0</v>
      </c>
      <c r="M1230" s="514" t="inlineStr">
        <is>
          <t>T</t>
        </is>
      </c>
    </row>
    <row r="1231">
      <c r="A1231" s="485" t="n">
        <v>18</v>
      </c>
      <c r="B1231" s="485" t="n">
        <v>3</v>
      </c>
      <c r="C1231" s="485" t="n">
        <v>2</v>
      </c>
      <c r="D1231" s="485" t="n">
        <v>1</v>
      </c>
      <c r="E1231" s="485" t="n">
        <v>1</v>
      </c>
      <c r="F1231" s="485" t="n">
        <v>2</v>
      </c>
      <c r="G1231" s="485" t="inlineStr">
        <is>
          <t>South-Left2</t>
        </is>
      </c>
      <c r="H1231" s="485" t="n">
        <v>0</v>
      </c>
      <c r="I1231" s="485" t="n">
        <v>0</v>
      </c>
      <c r="J1231" s="485" t="n">
        <v>0</v>
      </c>
      <c r="K1231" s="485" t="n">
        <v>0</v>
      </c>
      <c r="L1231" s="485" t="n">
        <v>0</v>
      </c>
      <c r="M1231" s="514" t="inlineStr">
        <is>
          <t>T</t>
        </is>
      </c>
    </row>
    <row r="1232">
      <c r="A1232" s="485" t="n">
        <v>18</v>
      </c>
      <c r="B1232" s="485" t="n">
        <v>3</v>
      </c>
      <c r="C1232" s="485" t="n">
        <v>2</v>
      </c>
      <c r="D1232" s="485" t="n">
        <v>1</v>
      </c>
      <c r="E1232" s="485" t="n">
        <v>1</v>
      </c>
      <c r="F1232" s="485" t="n">
        <v>2</v>
      </c>
      <c r="G1232" s="485" t="inlineStr">
        <is>
          <t>South-Left1</t>
        </is>
      </c>
      <c r="H1232" s="485" t="n">
        <v>2612.11</v>
      </c>
      <c r="I1232" s="485" t="n">
        <v>89</v>
      </c>
      <c r="J1232" s="485" t="n">
        <v>58</v>
      </c>
      <c r="K1232" s="485" t="n">
        <v>44</v>
      </c>
      <c r="L1232" s="485" t="n">
        <v>4</v>
      </c>
      <c r="M1232" s="514" t="inlineStr">
        <is>
          <t>T</t>
        </is>
      </c>
    </row>
    <row r="1233">
      <c r="A1233" s="485" t="n">
        <v>18</v>
      </c>
      <c r="B1233" s="485" t="n">
        <v>3</v>
      </c>
      <c r="C1233" s="485" t="n">
        <v>2</v>
      </c>
      <c r="D1233" s="485" t="n">
        <v>1</v>
      </c>
      <c r="E1233" s="485" t="n">
        <v>1</v>
      </c>
      <c r="F1233" s="485" t="n">
        <v>2</v>
      </c>
      <c r="G1233" s="485" t="inlineStr">
        <is>
          <t>South-Right1</t>
        </is>
      </c>
      <c r="H1233" s="485" t="n">
        <v>2609.95</v>
      </c>
      <c r="I1233" s="485" t="n">
        <v>89</v>
      </c>
      <c r="J1233" s="485" t="n">
        <v>58</v>
      </c>
      <c r="K1233" s="485" t="n">
        <v>44</v>
      </c>
      <c r="L1233" s="485" t="n">
        <v>4</v>
      </c>
      <c r="M1233" s="514" t="inlineStr">
        <is>
          <t>T</t>
        </is>
      </c>
    </row>
    <row r="1234">
      <c r="A1234" s="485" t="n">
        <v>18</v>
      </c>
      <c r="B1234" s="485" t="n">
        <v>3</v>
      </c>
      <c r="C1234" s="485" t="n">
        <v>2</v>
      </c>
      <c r="D1234" s="485" t="n">
        <v>1</v>
      </c>
      <c r="E1234" s="485" t="n">
        <v>1</v>
      </c>
      <c r="F1234" s="485" t="n">
        <v>2</v>
      </c>
      <c r="G1234" s="485" t="inlineStr">
        <is>
          <t>South-Right2</t>
        </is>
      </c>
      <c r="H1234" s="485" t="n">
        <v>0</v>
      </c>
      <c r="I1234" s="485" t="n">
        <v>0</v>
      </c>
      <c r="J1234" s="485" t="n">
        <v>0</v>
      </c>
      <c r="K1234" s="485" t="n">
        <v>0</v>
      </c>
      <c r="L1234" s="485" t="n">
        <v>0</v>
      </c>
      <c r="M1234" s="514" t="inlineStr">
        <is>
          <t>T</t>
        </is>
      </c>
    </row>
    <row r="1235">
      <c r="A1235" s="485" t="n">
        <v>18</v>
      </c>
      <c r="B1235" s="485" t="n">
        <v>3</v>
      </c>
      <c r="C1235" s="485" t="n">
        <v>2</v>
      </c>
      <c r="D1235" s="485" t="n">
        <v>4</v>
      </c>
      <c r="E1235" s="485" t="n">
        <v>2</v>
      </c>
      <c r="F1235" s="485" t="n">
        <v>2</v>
      </c>
      <c r="G1235" s="485" t="inlineStr">
        <is>
          <t>West-Up2</t>
        </is>
      </c>
      <c r="H1235" s="485" t="n">
        <v>0</v>
      </c>
      <c r="I1235" s="485" t="n">
        <v>0</v>
      </c>
      <c r="J1235" s="485" t="n">
        <v>0</v>
      </c>
      <c r="K1235" s="485" t="n">
        <v>0</v>
      </c>
      <c r="L1235" s="485" t="n">
        <v>0</v>
      </c>
      <c r="M1235" s="514" t="n"/>
    </row>
    <row r="1236">
      <c r="A1236" s="485" t="n">
        <v>18</v>
      </c>
      <c r="B1236" s="485" t="n">
        <v>3</v>
      </c>
      <c r="C1236" s="485" t="n">
        <v>2</v>
      </c>
      <c r="D1236" s="485" t="n">
        <v>4</v>
      </c>
      <c r="E1236" s="485" t="n">
        <v>2</v>
      </c>
      <c r="F1236" s="485" t="n">
        <v>2</v>
      </c>
      <c r="G1236" s="516" t="inlineStr">
        <is>
          <t>West-Up1</t>
        </is>
      </c>
      <c r="H1236" s="485" t="n">
        <v>2633.99</v>
      </c>
      <c r="I1236" s="485" t="n">
        <v>0</v>
      </c>
      <c r="J1236" s="485" t="n">
        <v>4</v>
      </c>
      <c r="K1236" s="485" t="n">
        <v>55</v>
      </c>
      <c r="L1236" s="485" t="n">
        <v>4</v>
      </c>
      <c r="M1236" s="514" t="n"/>
    </row>
    <row r="1237">
      <c r="A1237" s="485" t="n">
        <v>18</v>
      </c>
      <c r="B1237" s="485" t="n">
        <v>3</v>
      </c>
      <c r="C1237" s="485" t="n">
        <v>2</v>
      </c>
      <c r="D1237" s="485" t="n">
        <v>4</v>
      </c>
      <c r="E1237" s="485" t="n">
        <v>2</v>
      </c>
      <c r="F1237" s="485" t="n">
        <v>2</v>
      </c>
      <c r="G1237" s="485" t="inlineStr">
        <is>
          <t>West-Down1</t>
        </is>
      </c>
      <c r="H1237" s="485" t="n">
        <v>2644.59</v>
      </c>
      <c r="I1237" s="485" t="n">
        <v>0</v>
      </c>
      <c r="J1237" s="485" t="n">
        <v>5</v>
      </c>
      <c r="K1237" s="485" t="n">
        <v>0</v>
      </c>
      <c r="L1237" s="485" t="n">
        <v>4</v>
      </c>
      <c r="M1237" s="514" t="n"/>
    </row>
    <row r="1238">
      <c r="A1238" s="485" t="n">
        <v>18</v>
      </c>
      <c r="B1238" s="485" t="n">
        <v>3</v>
      </c>
      <c r="C1238" s="485" t="n">
        <v>2</v>
      </c>
      <c r="D1238" s="485" t="n">
        <v>4</v>
      </c>
      <c r="E1238" s="485" t="n">
        <v>2</v>
      </c>
      <c r="F1238" s="485" t="n">
        <v>2</v>
      </c>
      <c r="G1238" s="485" t="inlineStr">
        <is>
          <t>West-Down2</t>
        </is>
      </c>
      <c r="H1238" s="485" t="n">
        <v>0</v>
      </c>
      <c r="I1238" s="485" t="n">
        <v>0</v>
      </c>
      <c r="J1238" s="485" t="n">
        <v>0</v>
      </c>
      <c r="K1238" s="485" t="n">
        <v>0</v>
      </c>
      <c r="L1238" s="485" t="n">
        <v>0</v>
      </c>
      <c r="M1238" s="514" t="n"/>
    </row>
    <row r="1239">
      <c r="A1239" s="485" t="n">
        <v>18</v>
      </c>
      <c r="B1239" s="485" t="n">
        <v>3</v>
      </c>
      <c r="C1239" s="485" t="n">
        <v>2</v>
      </c>
      <c r="D1239" s="485" t="n">
        <v>4</v>
      </c>
      <c r="E1239" s="485" t="n">
        <v>2</v>
      </c>
      <c r="F1239" s="485" t="n">
        <v>2</v>
      </c>
      <c r="G1239" s="485" t="inlineStr">
        <is>
          <t>East-Up2</t>
        </is>
      </c>
      <c r="H1239" s="485" t="n">
        <v>0</v>
      </c>
      <c r="I1239" s="485" t="n">
        <v>0</v>
      </c>
      <c r="J1239" s="485" t="n">
        <v>0</v>
      </c>
      <c r="K1239" s="485" t="n">
        <v>0</v>
      </c>
      <c r="L1239" s="485" t="n">
        <v>0</v>
      </c>
      <c r="M1239" s="514" t="inlineStr">
        <is>
          <t>T</t>
        </is>
      </c>
    </row>
    <row r="1240">
      <c r="A1240" s="485" t="n">
        <v>18</v>
      </c>
      <c r="B1240" s="485" t="n">
        <v>3</v>
      </c>
      <c r="C1240" s="485" t="n">
        <v>2</v>
      </c>
      <c r="D1240" s="485" t="n">
        <v>4</v>
      </c>
      <c r="E1240" s="485" t="n">
        <v>2</v>
      </c>
      <c r="F1240" s="485" t="n">
        <v>2</v>
      </c>
      <c r="G1240" s="516" t="inlineStr">
        <is>
          <t>East-Up1</t>
        </is>
      </c>
      <c r="H1240" s="485" t="n">
        <v>2629.41</v>
      </c>
      <c r="I1240" s="485" t="n">
        <v>0</v>
      </c>
      <c r="J1240" s="485" t="n">
        <v>18</v>
      </c>
      <c r="K1240" s="485" t="n">
        <v>52</v>
      </c>
      <c r="L1240" s="485" t="n">
        <v>4</v>
      </c>
      <c r="M1240" s="514" t="inlineStr">
        <is>
          <t>T</t>
        </is>
      </c>
    </row>
    <row r="1241">
      <c r="A1241" s="485" t="n">
        <v>18</v>
      </c>
      <c r="B1241" s="485" t="n">
        <v>3</v>
      </c>
      <c r="C1241" s="485" t="n">
        <v>2</v>
      </c>
      <c r="D1241" s="485" t="n">
        <v>4</v>
      </c>
      <c r="E1241" s="485" t="n">
        <v>2</v>
      </c>
      <c r="F1241" s="485" t="n">
        <v>2</v>
      </c>
      <c r="G1241" s="485" t="inlineStr">
        <is>
          <t>East-Down1</t>
        </is>
      </c>
      <c r="H1241" s="485" t="n">
        <v>2631.59</v>
      </c>
      <c r="I1241" s="485" t="n">
        <v>0</v>
      </c>
      <c r="J1241" s="485" t="n">
        <v>11</v>
      </c>
      <c r="K1241" s="485" t="n">
        <v>50</v>
      </c>
      <c r="L1241" s="485" t="n">
        <v>1</v>
      </c>
      <c r="M1241" s="514" t="inlineStr">
        <is>
          <t>T</t>
        </is>
      </c>
    </row>
    <row r="1242">
      <c r="A1242" s="485" t="n">
        <v>18</v>
      </c>
      <c r="B1242" s="485" t="n">
        <v>3</v>
      </c>
      <c r="C1242" s="485" t="n">
        <v>2</v>
      </c>
      <c r="D1242" s="485" t="n">
        <v>4</v>
      </c>
      <c r="E1242" s="485" t="n">
        <v>2</v>
      </c>
      <c r="F1242" s="485" t="n">
        <v>2</v>
      </c>
      <c r="G1242" s="485" t="inlineStr">
        <is>
          <t>East-Down2</t>
        </is>
      </c>
      <c r="H1242" s="485" t="n">
        <v>0</v>
      </c>
      <c r="I1242" s="485" t="n">
        <v>0</v>
      </c>
      <c r="J1242" s="485" t="n">
        <v>0</v>
      </c>
      <c r="K1242" s="485" t="n">
        <v>0</v>
      </c>
      <c r="L1242" s="485" t="n">
        <v>0</v>
      </c>
      <c r="M1242" s="514" t="inlineStr">
        <is>
          <t>T</t>
        </is>
      </c>
    </row>
    <row r="1243">
      <c r="A1243" s="485" t="n">
        <v>18</v>
      </c>
      <c r="B1243" s="485" t="n">
        <v>3</v>
      </c>
      <c r="C1243" s="485" t="n">
        <v>2</v>
      </c>
      <c r="D1243" s="485" t="n">
        <v>4</v>
      </c>
      <c r="E1243" s="485" t="n">
        <v>2</v>
      </c>
      <c r="F1243" s="485" t="n">
        <v>2</v>
      </c>
      <c r="G1243" s="485" t="inlineStr">
        <is>
          <t>North-Left2</t>
        </is>
      </c>
      <c r="H1243" s="485" t="n">
        <v>0</v>
      </c>
      <c r="I1243" s="485" t="n">
        <v>0</v>
      </c>
      <c r="J1243" s="485" t="n">
        <v>0</v>
      </c>
      <c r="K1243" s="485" t="n">
        <v>0</v>
      </c>
      <c r="L1243" s="485" t="n">
        <v>0</v>
      </c>
      <c r="M1243" s="514" t="inlineStr">
        <is>
          <t>T</t>
        </is>
      </c>
    </row>
    <row r="1244">
      <c r="A1244" s="485" t="n">
        <v>18</v>
      </c>
      <c r="B1244" s="485" t="n">
        <v>3</v>
      </c>
      <c r="C1244" s="485" t="n">
        <v>2</v>
      </c>
      <c r="D1244" s="485" t="n">
        <v>4</v>
      </c>
      <c r="E1244" s="485" t="n">
        <v>2</v>
      </c>
      <c r="F1244" s="485" t="n">
        <v>2</v>
      </c>
      <c r="G1244" s="516" t="inlineStr">
        <is>
          <t>North-Left1</t>
        </is>
      </c>
      <c r="H1244" s="485" t="n">
        <v>2686.8</v>
      </c>
      <c r="I1244" s="485" t="n">
        <v>89</v>
      </c>
      <c r="J1244" s="485" t="n">
        <v>53</v>
      </c>
      <c r="K1244" s="485" t="n">
        <v>4</v>
      </c>
      <c r="L1244" s="485" t="n">
        <v>4</v>
      </c>
      <c r="M1244" s="514" t="inlineStr">
        <is>
          <t>T</t>
        </is>
      </c>
    </row>
    <row r="1245">
      <c r="A1245" s="485" t="n">
        <v>18</v>
      </c>
      <c r="B1245" s="485" t="n">
        <v>3</v>
      </c>
      <c r="C1245" s="485" t="n">
        <v>2</v>
      </c>
      <c r="D1245" s="485" t="n">
        <v>4</v>
      </c>
      <c r="E1245" s="485" t="n">
        <v>2</v>
      </c>
      <c r="F1245" s="485" t="n">
        <v>2</v>
      </c>
      <c r="G1245" s="485" t="inlineStr">
        <is>
          <t>North-Right1</t>
        </is>
      </c>
      <c r="H1245" s="485" t="n">
        <v>2659.7</v>
      </c>
      <c r="I1245" s="485" t="n">
        <v>89</v>
      </c>
      <c r="J1245" s="485" t="n">
        <v>52</v>
      </c>
      <c r="K1245" s="485" t="n">
        <v>54</v>
      </c>
      <c r="L1245" s="485" t="n">
        <v>3</v>
      </c>
      <c r="M1245" s="514" t="inlineStr">
        <is>
          <t>T</t>
        </is>
      </c>
    </row>
    <row r="1246">
      <c r="A1246" s="485" t="n">
        <v>18</v>
      </c>
      <c r="B1246" s="485" t="n">
        <v>3</v>
      </c>
      <c r="C1246" s="485" t="n">
        <v>2</v>
      </c>
      <c r="D1246" s="485" t="n">
        <v>4</v>
      </c>
      <c r="E1246" s="485" t="n">
        <v>2</v>
      </c>
      <c r="F1246" s="485" t="n">
        <v>2</v>
      </c>
      <c r="G1246" s="485" t="inlineStr">
        <is>
          <t>North-Right2</t>
        </is>
      </c>
      <c r="H1246" s="485" t="n">
        <v>0</v>
      </c>
      <c r="I1246" s="485" t="n">
        <v>0</v>
      </c>
      <c r="J1246" s="485" t="n">
        <v>0</v>
      </c>
      <c r="K1246" s="485" t="n">
        <v>0</v>
      </c>
      <c r="L1246" s="485" t="n">
        <v>0</v>
      </c>
      <c r="M1246" s="514" t="inlineStr">
        <is>
          <t>T</t>
        </is>
      </c>
    </row>
    <row r="1247">
      <c r="A1247" s="485" t="n">
        <v>18</v>
      </c>
      <c r="B1247" s="485" t="n">
        <v>3</v>
      </c>
      <c r="C1247" s="485" t="n">
        <v>2</v>
      </c>
      <c r="D1247" s="485" t="n">
        <v>4</v>
      </c>
      <c r="E1247" s="485" t="n">
        <v>2</v>
      </c>
      <c r="F1247" s="485" t="n">
        <v>2</v>
      </c>
      <c r="G1247" s="485" t="inlineStr">
        <is>
          <t>South-Left2</t>
        </is>
      </c>
      <c r="H1247" s="485" t="n">
        <v>0</v>
      </c>
      <c r="I1247" s="485" t="n">
        <v>0</v>
      </c>
      <c r="J1247" s="485" t="n">
        <v>0</v>
      </c>
      <c r="K1247" s="485" t="n">
        <v>0</v>
      </c>
      <c r="L1247" s="485" t="n">
        <v>0</v>
      </c>
      <c r="M1247" s="514" t="inlineStr">
        <is>
          <t>T</t>
        </is>
      </c>
    </row>
    <row r="1248">
      <c r="A1248" s="485" t="n">
        <v>18</v>
      </c>
      <c r="B1248" s="485" t="n">
        <v>3</v>
      </c>
      <c r="C1248" s="485" t="n">
        <v>2</v>
      </c>
      <c r="D1248" s="485" t="n">
        <v>4</v>
      </c>
      <c r="E1248" s="485" t="n">
        <v>2</v>
      </c>
      <c r="F1248" s="485" t="n">
        <v>2</v>
      </c>
      <c r="G1248" s="516" t="inlineStr">
        <is>
          <t>South-Left1</t>
        </is>
      </c>
      <c r="H1248" s="485" t="n">
        <v>2705.65</v>
      </c>
      <c r="I1248" s="485" t="n">
        <v>89</v>
      </c>
      <c r="J1248" s="485" t="n">
        <v>41</v>
      </c>
      <c r="K1248" s="485" t="n">
        <v>33</v>
      </c>
      <c r="L1248" s="485" t="n">
        <v>3</v>
      </c>
      <c r="M1248" s="514" t="inlineStr">
        <is>
          <t>T</t>
        </is>
      </c>
    </row>
    <row r="1249">
      <c r="A1249" s="485" t="n">
        <v>18</v>
      </c>
      <c r="B1249" s="485" t="n">
        <v>3</v>
      </c>
      <c r="C1249" s="485" t="n">
        <v>2</v>
      </c>
      <c r="D1249" s="485" t="n">
        <v>4</v>
      </c>
      <c r="E1249" s="485" t="n">
        <v>2</v>
      </c>
      <c r="F1249" s="485" t="n">
        <v>2</v>
      </c>
      <c r="G1249" s="485" t="inlineStr">
        <is>
          <t>South-Right1</t>
        </is>
      </c>
      <c r="H1249" s="485" t="n">
        <v>2655.51</v>
      </c>
      <c r="I1249" s="485" t="n">
        <v>89</v>
      </c>
      <c r="J1249" s="485" t="n">
        <v>41</v>
      </c>
      <c r="K1249" s="485" t="n">
        <v>33</v>
      </c>
      <c r="L1249" s="485" t="n">
        <v>3</v>
      </c>
      <c r="M1249" s="514" t="inlineStr">
        <is>
          <t>T</t>
        </is>
      </c>
    </row>
    <row r="1250">
      <c r="A1250" s="485" t="n">
        <v>18</v>
      </c>
      <c r="B1250" s="485" t="n">
        <v>3</v>
      </c>
      <c r="C1250" s="485" t="n">
        <v>2</v>
      </c>
      <c r="D1250" s="485" t="n">
        <v>4</v>
      </c>
      <c r="E1250" s="485" t="n">
        <v>2</v>
      </c>
      <c r="F1250" s="485" t="n">
        <v>2</v>
      </c>
      <c r="G1250" s="485" t="inlineStr">
        <is>
          <t>South-Right2</t>
        </is>
      </c>
      <c r="H1250" s="485" t="n">
        <v>0</v>
      </c>
      <c r="I1250" s="485" t="n">
        <v>0</v>
      </c>
      <c r="J1250" s="485" t="n">
        <v>0</v>
      </c>
      <c r="K1250" s="485" t="n">
        <v>0</v>
      </c>
      <c r="L1250" s="485" t="n">
        <v>0</v>
      </c>
      <c r="M1250" s="514" t="inlineStr">
        <is>
          <t>T</t>
        </is>
      </c>
    </row>
    <row r="1251">
      <c r="A1251" s="485" t="n">
        <v>19</v>
      </c>
      <c r="B1251" s="485" t="n">
        <v>9</v>
      </c>
      <c r="C1251" s="485" t="n">
        <v>2</v>
      </c>
      <c r="D1251" s="485" t="n">
        <v>21</v>
      </c>
      <c r="E1251" s="485" t="n">
        <v>1</v>
      </c>
      <c r="F1251" s="485" t="n">
        <v>1</v>
      </c>
      <c r="G1251" s="485" t="inlineStr">
        <is>
          <t>West-Up2</t>
        </is>
      </c>
      <c r="H1251" s="485" t="n">
        <v>0</v>
      </c>
      <c r="I1251" s="485" t="n">
        <v>0</v>
      </c>
      <c r="J1251" s="485" t="n">
        <v>0</v>
      </c>
      <c r="K1251" s="485" t="n">
        <v>0</v>
      </c>
      <c r="L1251" s="485" t="n">
        <v>0</v>
      </c>
      <c r="M1251" s="514" t="n"/>
    </row>
    <row r="1252">
      <c r="A1252" s="485" t="n">
        <v>19</v>
      </c>
      <c r="B1252" s="485" t="n">
        <v>9</v>
      </c>
      <c r="C1252" s="485" t="n">
        <v>2</v>
      </c>
      <c r="D1252" s="485" t="n">
        <v>21</v>
      </c>
      <c r="E1252" s="485" t="n">
        <v>1</v>
      </c>
      <c r="F1252" s="485" t="n">
        <v>1</v>
      </c>
      <c r="G1252" s="516" t="inlineStr">
        <is>
          <t>West-Up1</t>
        </is>
      </c>
      <c r="H1252" s="485" t="n">
        <v>2626.38</v>
      </c>
      <c r="I1252" s="485" t="n">
        <v>0</v>
      </c>
      <c r="J1252" s="485" t="n">
        <v>55</v>
      </c>
      <c r="K1252" s="485" t="n">
        <v>8</v>
      </c>
      <c r="L1252" s="485" t="n">
        <v>4</v>
      </c>
      <c r="M1252" s="514" t="n"/>
    </row>
    <row r="1253">
      <c r="A1253" s="485" t="n">
        <v>19</v>
      </c>
      <c r="B1253" s="485" t="n">
        <v>9</v>
      </c>
      <c r="C1253" s="485" t="n">
        <v>2</v>
      </c>
      <c r="D1253" s="485" t="n">
        <v>21</v>
      </c>
      <c r="E1253" s="485" t="n">
        <v>1</v>
      </c>
      <c r="F1253" s="485" t="n">
        <v>1</v>
      </c>
      <c r="G1253" s="485" t="inlineStr">
        <is>
          <t>West-Down1</t>
        </is>
      </c>
      <c r="H1253" s="485" t="n">
        <v>2639.02</v>
      </c>
      <c r="I1253" s="485" t="n">
        <v>0</v>
      </c>
      <c r="J1253" s="485" t="n">
        <v>57</v>
      </c>
      <c r="K1253" s="485" t="n">
        <v>52</v>
      </c>
      <c r="L1253" s="485" t="n">
        <v>4</v>
      </c>
      <c r="M1253" s="514" t="n"/>
    </row>
    <row r="1254">
      <c r="A1254" s="485" t="n">
        <v>19</v>
      </c>
      <c r="B1254" s="485" t="n">
        <v>9</v>
      </c>
      <c r="C1254" s="485" t="n">
        <v>2</v>
      </c>
      <c r="D1254" s="485" t="n">
        <v>21</v>
      </c>
      <c r="E1254" s="485" t="n">
        <v>1</v>
      </c>
      <c r="F1254" s="485" t="n">
        <v>1</v>
      </c>
      <c r="G1254" s="485" t="inlineStr">
        <is>
          <t>West-Down2</t>
        </is>
      </c>
      <c r="H1254" s="485" t="n">
        <v>0</v>
      </c>
      <c r="I1254" s="485" t="n">
        <v>0</v>
      </c>
      <c r="J1254" s="485" t="n">
        <v>0</v>
      </c>
      <c r="K1254" s="485" t="n">
        <v>0</v>
      </c>
      <c r="L1254" s="485" t="n">
        <v>0</v>
      </c>
      <c r="M1254" s="514" t="n"/>
    </row>
    <row r="1255">
      <c r="A1255" s="485" t="n">
        <v>19</v>
      </c>
      <c r="B1255" s="485" t="n">
        <v>9</v>
      </c>
      <c r="C1255" s="485" t="n">
        <v>2</v>
      </c>
      <c r="D1255" s="485" t="n">
        <v>21</v>
      </c>
      <c r="E1255" s="485" t="n">
        <v>1</v>
      </c>
      <c r="F1255" s="485" t="n">
        <v>1</v>
      </c>
      <c r="G1255" s="485" t="inlineStr">
        <is>
          <t>East-Up2</t>
        </is>
      </c>
      <c r="H1255" s="485" t="n">
        <v>0</v>
      </c>
      <c r="I1255" s="485" t="n">
        <v>0</v>
      </c>
      <c r="J1255" s="485" t="n">
        <v>0</v>
      </c>
      <c r="K1255" s="485" t="n">
        <v>0</v>
      </c>
      <c r="L1255" s="485" t="n">
        <v>0</v>
      </c>
      <c r="M1255" s="514" t="n"/>
    </row>
    <row r="1256">
      <c r="A1256" s="485" t="n">
        <v>19</v>
      </c>
      <c r="B1256" s="485" t="n">
        <v>9</v>
      </c>
      <c r="C1256" s="485" t="n">
        <v>2</v>
      </c>
      <c r="D1256" s="485" t="n">
        <v>21</v>
      </c>
      <c r="E1256" s="485" t="n">
        <v>1</v>
      </c>
      <c r="F1256" s="485" t="n">
        <v>1</v>
      </c>
      <c r="G1256" s="516" t="inlineStr">
        <is>
          <t>East-Up1</t>
        </is>
      </c>
      <c r="H1256" s="485" t="n">
        <v>2657.29</v>
      </c>
      <c r="I1256" s="485" t="n">
        <v>0</v>
      </c>
      <c r="J1256" s="485" t="n">
        <v>3</v>
      </c>
      <c r="K1256" s="485" t="n">
        <v>14</v>
      </c>
      <c r="L1256" s="485" t="n">
        <v>4</v>
      </c>
      <c r="M1256" s="514" t="n"/>
    </row>
    <row r="1257">
      <c r="A1257" s="485" t="n">
        <v>19</v>
      </c>
      <c r="B1257" s="485" t="n">
        <v>9</v>
      </c>
      <c r="C1257" s="485" t="n">
        <v>2</v>
      </c>
      <c r="D1257" s="485" t="n">
        <v>21</v>
      </c>
      <c r="E1257" s="485" t="n">
        <v>1</v>
      </c>
      <c r="F1257" s="485" t="n">
        <v>1</v>
      </c>
      <c r="G1257" s="485" t="inlineStr">
        <is>
          <t>East-Down1</t>
        </is>
      </c>
      <c r="H1257" s="485" t="n">
        <v>2639.02</v>
      </c>
      <c r="I1257" s="485" t="n">
        <v>0</v>
      </c>
      <c r="J1257" s="485" t="n">
        <v>57</v>
      </c>
      <c r="K1257" s="485" t="n">
        <v>52</v>
      </c>
      <c r="L1257" s="485" t="n">
        <v>4</v>
      </c>
      <c r="M1257" s="514" t="n"/>
    </row>
    <row r="1258">
      <c r="A1258" s="485" t="n">
        <v>19</v>
      </c>
      <c r="B1258" s="485" t="n">
        <v>9</v>
      </c>
      <c r="C1258" s="485" t="n">
        <v>2</v>
      </c>
      <c r="D1258" s="485" t="n">
        <v>21</v>
      </c>
      <c r="E1258" s="485" t="n">
        <v>1</v>
      </c>
      <c r="F1258" s="485" t="n">
        <v>1</v>
      </c>
      <c r="G1258" s="485" t="inlineStr">
        <is>
          <t>East-Down2</t>
        </is>
      </c>
      <c r="H1258" s="485" t="n">
        <v>0</v>
      </c>
      <c r="I1258" s="485" t="n">
        <v>0</v>
      </c>
      <c r="J1258" s="485" t="n">
        <v>0</v>
      </c>
      <c r="K1258" s="485" t="n">
        <v>0</v>
      </c>
      <c r="L1258" s="485" t="n">
        <v>0</v>
      </c>
      <c r="M1258" s="514" t="n"/>
    </row>
    <row r="1259">
      <c r="A1259" s="485" t="n">
        <v>19</v>
      </c>
      <c r="B1259" s="485" t="n">
        <v>9</v>
      </c>
      <c r="C1259" s="485" t="n">
        <v>2</v>
      </c>
      <c r="D1259" s="485" t="n">
        <v>21</v>
      </c>
      <c r="E1259" s="485" t="n">
        <v>1</v>
      </c>
      <c r="F1259" s="485" t="n">
        <v>1</v>
      </c>
      <c r="G1259" s="485" t="inlineStr">
        <is>
          <t>North-Left2</t>
        </is>
      </c>
      <c r="H1259" s="485" t="n">
        <v>0</v>
      </c>
      <c r="I1259" s="485" t="n">
        <v>0</v>
      </c>
      <c r="J1259" s="485" t="n">
        <v>0</v>
      </c>
      <c r="K1259" s="485" t="n">
        <v>0</v>
      </c>
      <c r="L1259" s="485" t="n">
        <v>0</v>
      </c>
      <c r="M1259" s="514" t="n"/>
    </row>
    <row r="1260">
      <c r="A1260" s="485" t="n">
        <v>19</v>
      </c>
      <c r="B1260" s="485" t="n">
        <v>9</v>
      </c>
      <c r="C1260" s="485" t="n">
        <v>2</v>
      </c>
      <c r="D1260" s="485" t="n">
        <v>21</v>
      </c>
      <c r="E1260" s="485" t="n">
        <v>1</v>
      </c>
      <c r="F1260" s="485" t="n">
        <v>1</v>
      </c>
      <c r="G1260" s="516" t="inlineStr">
        <is>
          <t>North-Left1</t>
        </is>
      </c>
      <c r="H1260" s="485" t="n">
        <v>3104.34</v>
      </c>
      <c r="I1260" s="485" t="n">
        <v>89</v>
      </c>
      <c r="J1260" s="485" t="n">
        <v>41</v>
      </c>
      <c r="K1260" s="485" t="n">
        <v>11</v>
      </c>
      <c r="L1260" s="485" t="n">
        <v>3</v>
      </c>
      <c r="M1260" s="514" t="n"/>
    </row>
    <row r="1261">
      <c r="A1261" s="485" t="n">
        <v>19</v>
      </c>
      <c r="B1261" s="485" t="n">
        <v>9</v>
      </c>
      <c r="C1261" s="485" t="n">
        <v>2</v>
      </c>
      <c r="D1261" s="485" t="n">
        <v>21</v>
      </c>
      <c r="E1261" s="485" t="n">
        <v>1</v>
      </c>
      <c r="F1261" s="485" t="n">
        <v>1</v>
      </c>
      <c r="G1261" s="485" t="inlineStr">
        <is>
          <t>North-Right1</t>
        </is>
      </c>
      <c r="H1261" s="485" t="n">
        <v>2644.02</v>
      </c>
      <c r="I1261" s="485" t="n">
        <v>89</v>
      </c>
      <c r="J1261" s="485" t="n">
        <v>59</v>
      </c>
      <c r="K1261" s="485" t="n">
        <v>21</v>
      </c>
      <c r="L1261" s="485" t="n">
        <v>1</v>
      </c>
      <c r="M1261" s="514" t="n"/>
    </row>
    <row r="1262">
      <c r="A1262" s="485" t="n">
        <v>19</v>
      </c>
      <c r="B1262" s="485" t="n">
        <v>9</v>
      </c>
      <c r="C1262" s="485" t="n">
        <v>2</v>
      </c>
      <c r="D1262" s="485" t="n">
        <v>21</v>
      </c>
      <c r="E1262" s="485" t="n">
        <v>1</v>
      </c>
      <c r="F1262" s="485" t="n">
        <v>1</v>
      </c>
      <c r="G1262" s="485" t="inlineStr">
        <is>
          <t>North-Right2</t>
        </is>
      </c>
      <c r="H1262" s="485" t="n">
        <v>0</v>
      </c>
      <c r="I1262" s="485" t="n">
        <v>0</v>
      </c>
      <c r="J1262" s="485" t="n">
        <v>0</v>
      </c>
      <c r="K1262" s="485" t="n">
        <v>0</v>
      </c>
      <c r="L1262" s="485" t="n">
        <v>0</v>
      </c>
      <c r="M1262" s="514" t="n"/>
    </row>
    <row r="1263">
      <c r="A1263" s="485" t="n">
        <v>19</v>
      </c>
      <c r="B1263" s="485" t="n">
        <v>9</v>
      </c>
      <c r="C1263" s="485" t="n">
        <v>2</v>
      </c>
      <c r="D1263" s="485" t="n">
        <v>21</v>
      </c>
      <c r="E1263" s="485" t="n">
        <v>1</v>
      </c>
      <c r="F1263" s="485" t="n">
        <v>1</v>
      </c>
      <c r="G1263" s="485" t="inlineStr">
        <is>
          <t>South-Left2</t>
        </is>
      </c>
      <c r="H1263" s="485" t="n">
        <v>0</v>
      </c>
      <c r="I1263" s="485" t="n">
        <v>0</v>
      </c>
      <c r="J1263" s="485" t="n">
        <v>0</v>
      </c>
      <c r="K1263" s="485" t="n">
        <v>0</v>
      </c>
      <c r="L1263" s="485" t="n">
        <v>0</v>
      </c>
      <c r="M1263" s="514" t="n"/>
    </row>
    <row r="1264">
      <c r="A1264" s="485" t="n">
        <v>19</v>
      </c>
      <c r="B1264" s="485" t="n">
        <v>9</v>
      </c>
      <c r="C1264" s="485" t="n">
        <v>2</v>
      </c>
      <c r="D1264" s="485" t="n">
        <v>21</v>
      </c>
      <c r="E1264" s="485" t="n">
        <v>1</v>
      </c>
      <c r="F1264" s="485" t="n">
        <v>1</v>
      </c>
      <c r="G1264" s="516" t="inlineStr">
        <is>
          <t>South-Left1</t>
        </is>
      </c>
      <c r="H1264" s="485" t="n">
        <v>2632.85</v>
      </c>
      <c r="I1264" s="485" t="n">
        <v>89</v>
      </c>
      <c r="J1264" s="485" t="n">
        <v>5</v>
      </c>
      <c r="K1264" s="485" t="n">
        <v>57</v>
      </c>
      <c r="L1264" s="485" t="n">
        <v>3</v>
      </c>
      <c r="M1264" s="514" t="n"/>
    </row>
    <row r="1265">
      <c r="A1265" s="485" t="n">
        <v>19</v>
      </c>
      <c r="B1265" s="485" t="n">
        <v>9</v>
      </c>
      <c r="C1265" s="485" t="n">
        <v>2</v>
      </c>
      <c r="D1265" s="485" t="n">
        <v>21</v>
      </c>
      <c r="E1265" s="485" t="n">
        <v>1</v>
      </c>
      <c r="F1265" s="485" t="n">
        <v>1</v>
      </c>
      <c r="G1265" s="485" t="inlineStr">
        <is>
          <t>South-Right1</t>
        </is>
      </c>
      <c r="H1265" s="485" t="n">
        <v>2641.19</v>
      </c>
      <c r="I1265" s="485" t="n">
        <v>89</v>
      </c>
      <c r="J1265" s="485" t="n">
        <v>17</v>
      </c>
      <c r="K1265" s="485" t="n">
        <v>32</v>
      </c>
      <c r="L1265" s="485" t="n">
        <v>3</v>
      </c>
      <c r="M1265" s="514" t="n"/>
    </row>
    <row r="1266">
      <c r="A1266" s="485" t="n">
        <v>19</v>
      </c>
      <c r="B1266" s="485" t="n">
        <v>9</v>
      </c>
      <c r="C1266" s="485" t="n">
        <v>2</v>
      </c>
      <c r="D1266" s="485" t="n">
        <v>21</v>
      </c>
      <c r="E1266" s="485" t="n">
        <v>1</v>
      </c>
      <c r="F1266" s="485" t="n">
        <v>1</v>
      </c>
      <c r="G1266" s="485" t="inlineStr">
        <is>
          <t>South-Right2</t>
        </is>
      </c>
      <c r="H1266" s="485" t="n">
        <v>0</v>
      </c>
      <c r="I1266" s="485" t="n">
        <v>0</v>
      </c>
      <c r="J1266" s="485" t="n">
        <v>0</v>
      </c>
      <c r="K1266" s="485" t="n">
        <v>0</v>
      </c>
      <c r="L1266" s="485" t="n">
        <v>0</v>
      </c>
      <c r="M1266" s="514" t="n"/>
    </row>
    <row r="1267">
      <c r="A1267" s="486" t="n">
        <v>19</v>
      </c>
      <c r="B1267" s="486" t="n">
        <v>2</v>
      </c>
      <c r="C1267" s="486" t="n">
        <v>2</v>
      </c>
      <c r="D1267" s="486" t="n">
        <v>1</v>
      </c>
      <c r="E1267" s="486" t="n">
        <v>1</v>
      </c>
      <c r="F1267" s="486" t="n">
        <v>2</v>
      </c>
      <c r="G1267" s="486" t="inlineStr">
        <is>
          <t>West-Up2</t>
        </is>
      </c>
      <c r="H1267" s="486" t="n">
        <v>1325.01</v>
      </c>
      <c r="I1267" s="486" t="n">
        <v>0</v>
      </c>
      <c r="J1267" s="486" t="n">
        <v>6</v>
      </c>
      <c r="K1267" s="486" t="n">
        <v>37</v>
      </c>
      <c r="L1267" s="486" t="n">
        <v>4</v>
      </c>
      <c r="M1267" s="487" t="inlineStr">
        <is>
          <t>T</t>
        </is>
      </c>
    </row>
    <row r="1268">
      <c r="A1268" s="486" t="n">
        <v>19</v>
      </c>
      <c r="B1268" s="486" t="n">
        <v>2</v>
      </c>
      <c r="C1268" s="486" t="n">
        <v>2</v>
      </c>
      <c r="D1268" s="486" t="n">
        <v>1</v>
      </c>
      <c r="E1268" s="486" t="n">
        <v>1</v>
      </c>
      <c r="F1268" s="486" t="n">
        <v>2</v>
      </c>
      <c r="G1268" s="475" t="inlineStr">
        <is>
          <t>West-Up1</t>
        </is>
      </c>
      <c r="H1268" s="486" t="n">
        <v>1325.01</v>
      </c>
      <c r="I1268" s="486" t="n">
        <v>0</v>
      </c>
      <c r="J1268" s="486" t="n">
        <v>6</v>
      </c>
      <c r="K1268" s="486" t="n">
        <v>37</v>
      </c>
      <c r="L1268" s="486" t="n">
        <v>4</v>
      </c>
      <c r="M1268" s="487" t="inlineStr">
        <is>
          <t>T</t>
        </is>
      </c>
    </row>
    <row r="1269">
      <c r="A1269" s="486" t="n">
        <v>19</v>
      </c>
      <c r="B1269" s="486" t="n">
        <v>2</v>
      </c>
      <c r="C1269" s="486" t="n">
        <v>2</v>
      </c>
      <c r="D1269" s="486" t="n">
        <v>1</v>
      </c>
      <c r="E1269" s="486" t="n">
        <v>1</v>
      </c>
      <c r="F1269" s="486" t="n">
        <v>2</v>
      </c>
      <c r="G1269" s="486" t="inlineStr">
        <is>
          <t>West-Down1</t>
        </is>
      </c>
      <c r="H1269" s="486" t="n">
        <v>1320.56</v>
      </c>
      <c r="I1269" s="486" t="n">
        <v>0</v>
      </c>
      <c r="J1269" s="486" t="n">
        <v>13</v>
      </c>
      <c r="K1269" s="486" t="n">
        <v>27</v>
      </c>
      <c r="L1269" s="486" t="n">
        <v>4</v>
      </c>
      <c r="M1269" s="487" t="inlineStr">
        <is>
          <t>T</t>
        </is>
      </c>
    </row>
    <row r="1270">
      <c r="A1270" s="486" t="n">
        <v>19</v>
      </c>
      <c r="B1270" s="486" t="n">
        <v>2</v>
      </c>
      <c r="C1270" s="486" t="n">
        <v>2</v>
      </c>
      <c r="D1270" s="486" t="n">
        <v>1</v>
      </c>
      <c r="E1270" s="486" t="n">
        <v>1</v>
      </c>
      <c r="F1270" s="486" t="n">
        <v>2</v>
      </c>
      <c r="G1270" s="486" t="inlineStr">
        <is>
          <t>West-Down2</t>
        </is>
      </c>
      <c r="H1270" s="486" t="n">
        <v>1319.23</v>
      </c>
      <c r="I1270" s="486" t="n">
        <v>0</v>
      </c>
      <c r="J1270" s="486" t="n">
        <v>13</v>
      </c>
      <c r="K1270" s="486" t="n">
        <v>27</v>
      </c>
      <c r="L1270" s="486" t="n">
        <v>4</v>
      </c>
      <c r="M1270" s="487" t="inlineStr">
        <is>
          <t>T</t>
        </is>
      </c>
    </row>
    <row r="1271">
      <c r="A1271" s="486" t="n">
        <v>19</v>
      </c>
      <c r="B1271" s="486" t="n">
        <v>2</v>
      </c>
      <c r="C1271" s="486" t="n">
        <v>2</v>
      </c>
      <c r="D1271" s="486" t="n">
        <v>1</v>
      </c>
      <c r="E1271" s="486" t="n">
        <v>1</v>
      </c>
      <c r="F1271" s="486" t="n">
        <v>2</v>
      </c>
      <c r="G1271" s="486" t="inlineStr">
        <is>
          <t>East-Up2</t>
        </is>
      </c>
      <c r="H1271" s="486" t="n">
        <v>1320.33</v>
      </c>
      <c r="I1271" s="486" t="n">
        <v>0</v>
      </c>
      <c r="J1271" s="486" t="n">
        <v>7</v>
      </c>
      <c r="K1271" s="486" t="n">
        <v>57</v>
      </c>
      <c r="L1271" s="486" t="n">
        <v>4</v>
      </c>
      <c r="M1271" s="487" t="inlineStr">
        <is>
          <t>T</t>
        </is>
      </c>
    </row>
    <row r="1272">
      <c r="A1272" s="486" t="n">
        <v>19</v>
      </c>
      <c r="B1272" s="486" t="n">
        <v>2</v>
      </c>
      <c r="C1272" s="486" t="n">
        <v>2</v>
      </c>
      <c r="D1272" s="486" t="n">
        <v>1</v>
      </c>
      <c r="E1272" s="486" t="n">
        <v>1</v>
      </c>
      <c r="F1272" s="486" t="n">
        <v>2</v>
      </c>
      <c r="G1272" s="475" t="inlineStr">
        <is>
          <t>East-Up1</t>
        </is>
      </c>
      <c r="H1272" s="486" t="n">
        <v>1323.18</v>
      </c>
      <c r="I1272" s="486" t="n">
        <v>0</v>
      </c>
      <c r="J1272" s="486" t="n">
        <v>0</v>
      </c>
      <c r="K1272" s="486" t="n">
        <v>30</v>
      </c>
      <c r="L1272" s="486" t="n">
        <v>4</v>
      </c>
      <c r="M1272" s="487" t="inlineStr">
        <is>
          <t>T</t>
        </is>
      </c>
    </row>
    <row r="1273">
      <c r="A1273" s="486" t="n">
        <v>19</v>
      </c>
      <c r="B1273" s="486" t="n">
        <v>2</v>
      </c>
      <c r="C1273" s="486" t="n">
        <v>2</v>
      </c>
      <c r="D1273" s="486" t="n">
        <v>1</v>
      </c>
      <c r="E1273" s="486" t="n">
        <v>1</v>
      </c>
      <c r="F1273" s="486" t="n">
        <v>2</v>
      </c>
      <c r="G1273" s="486" t="inlineStr">
        <is>
          <t>East-Down1</t>
        </is>
      </c>
      <c r="H1273" s="486" t="n">
        <v>1321.99</v>
      </c>
      <c r="I1273" s="486" t="n">
        <v>0</v>
      </c>
      <c r="J1273" s="486" t="n">
        <v>15</v>
      </c>
      <c r="K1273" s="486" t="n">
        <v>48</v>
      </c>
      <c r="L1273" s="486" t="n">
        <v>4</v>
      </c>
      <c r="M1273" s="487" t="inlineStr">
        <is>
          <t>T</t>
        </is>
      </c>
    </row>
    <row r="1274">
      <c r="A1274" s="486" t="n">
        <v>19</v>
      </c>
      <c r="B1274" s="486" t="n">
        <v>2</v>
      </c>
      <c r="C1274" s="486" t="n">
        <v>2</v>
      </c>
      <c r="D1274" s="486" t="n">
        <v>1</v>
      </c>
      <c r="E1274" s="486" t="n">
        <v>1</v>
      </c>
      <c r="F1274" s="486" t="n">
        <v>2</v>
      </c>
      <c r="G1274" s="486" t="inlineStr">
        <is>
          <t>East-Down2</t>
        </is>
      </c>
      <c r="H1274" s="486" t="n">
        <v>1317.33</v>
      </c>
      <c r="I1274" s="486" t="n">
        <v>0</v>
      </c>
      <c r="J1274" s="486" t="n">
        <v>15</v>
      </c>
      <c r="K1274" s="486" t="n">
        <v>2</v>
      </c>
      <c r="L1274" s="486" t="n">
        <v>4</v>
      </c>
      <c r="M1274" s="487" t="inlineStr">
        <is>
          <t>T</t>
        </is>
      </c>
    </row>
    <row r="1275">
      <c r="A1275" s="486" t="n">
        <v>19</v>
      </c>
      <c r="B1275" s="486" t="n">
        <v>2</v>
      </c>
      <c r="C1275" s="486" t="n">
        <v>2</v>
      </c>
      <c r="D1275" s="486" t="n">
        <v>1</v>
      </c>
      <c r="E1275" s="486" t="n">
        <v>1</v>
      </c>
      <c r="F1275" s="486" t="n">
        <v>2</v>
      </c>
      <c r="G1275" s="486" t="inlineStr">
        <is>
          <t>North-Left2</t>
        </is>
      </c>
      <c r="H1275" s="486" t="n">
        <v>0</v>
      </c>
      <c r="I1275" s="486" t="n">
        <v>0</v>
      </c>
      <c r="J1275" s="486" t="n">
        <v>0</v>
      </c>
      <c r="K1275" s="486" t="n">
        <v>0</v>
      </c>
      <c r="L1275" s="486" t="n">
        <v>0</v>
      </c>
      <c r="M1275" s="487" t="inlineStr">
        <is>
          <t>T</t>
        </is>
      </c>
    </row>
    <row r="1276">
      <c r="A1276" s="486" t="n">
        <v>19</v>
      </c>
      <c r="B1276" s="486" t="n">
        <v>2</v>
      </c>
      <c r="C1276" s="486" t="n">
        <v>2</v>
      </c>
      <c r="D1276" s="486" t="n">
        <v>1</v>
      </c>
      <c r="E1276" s="486" t="n">
        <v>1</v>
      </c>
      <c r="F1276" s="486" t="n">
        <v>2</v>
      </c>
      <c r="G1276" s="475" t="inlineStr">
        <is>
          <t>North-Left1</t>
        </is>
      </c>
      <c r="H1276" s="486" t="n">
        <v>2625.63</v>
      </c>
      <c r="I1276" s="486" t="n">
        <v>89</v>
      </c>
      <c r="J1276" s="486" t="n">
        <v>27</v>
      </c>
      <c r="K1276" s="486" t="n">
        <v>23</v>
      </c>
      <c r="L1276" s="486" t="n">
        <v>4</v>
      </c>
      <c r="M1276" s="487" t="inlineStr">
        <is>
          <t>T</t>
        </is>
      </c>
    </row>
    <row r="1277">
      <c r="A1277" s="486" t="n">
        <v>19</v>
      </c>
      <c r="B1277" s="486" t="n">
        <v>2</v>
      </c>
      <c r="C1277" s="486" t="n">
        <v>2</v>
      </c>
      <c r="D1277" s="486" t="n">
        <v>1</v>
      </c>
      <c r="E1277" s="486" t="n">
        <v>1</v>
      </c>
      <c r="F1277" s="486" t="n">
        <v>2</v>
      </c>
      <c r="G1277" s="486" t="inlineStr">
        <is>
          <t>North-Right1</t>
        </is>
      </c>
      <c r="H1277" s="486" t="n">
        <v>1323.22</v>
      </c>
      <c r="I1277" s="486" t="n">
        <v>89</v>
      </c>
      <c r="J1277" s="486" t="n">
        <v>24</v>
      </c>
      <c r="K1277" s="486" t="n">
        <v>25</v>
      </c>
      <c r="L1277" s="486" t="n">
        <v>4</v>
      </c>
      <c r="M1277" s="487" t="inlineStr">
        <is>
          <t>T</t>
        </is>
      </c>
    </row>
    <row r="1278">
      <c r="A1278" s="486" t="n">
        <v>19</v>
      </c>
      <c r="B1278" s="486" t="n">
        <v>2</v>
      </c>
      <c r="C1278" s="486" t="n">
        <v>2</v>
      </c>
      <c r="D1278" s="486" t="n">
        <v>1</v>
      </c>
      <c r="E1278" s="486" t="n">
        <v>1</v>
      </c>
      <c r="F1278" s="486" t="n">
        <v>2</v>
      </c>
      <c r="G1278" s="486" t="inlineStr">
        <is>
          <t>North-Right2</t>
        </is>
      </c>
      <c r="H1278" s="486" t="n">
        <v>1316.99</v>
      </c>
      <c r="I1278" s="486" t="n">
        <v>89</v>
      </c>
      <c r="J1278" s="486" t="n">
        <v>24</v>
      </c>
      <c r="K1278" s="486" t="n">
        <v>25</v>
      </c>
      <c r="L1278" s="486" t="n">
        <v>4</v>
      </c>
      <c r="M1278" s="487" t="inlineStr">
        <is>
          <t>T</t>
        </is>
      </c>
    </row>
    <row r="1279">
      <c r="A1279" s="486" t="n">
        <v>19</v>
      </c>
      <c r="B1279" s="486" t="n">
        <v>2</v>
      </c>
      <c r="C1279" s="486" t="n">
        <v>2</v>
      </c>
      <c r="D1279" s="486" t="n">
        <v>1</v>
      </c>
      <c r="E1279" s="486" t="n">
        <v>1</v>
      </c>
      <c r="F1279" s="486" t="n">
        <v>2</v>
      </c>
      <c r="G1279" s="486" t="inlineStr">
        <is>
          <t>South-Left2</t>
        </is>
      </c>
      <c r="H1279" s="486" t="n">
        <v>1307.3</v>
      </c>
      <c r="I1279" s="486" t="n">
        <v>89</v>
      </c>
      <c r="J1279" s="486" t="n">
        <v>12</v>
      </c>
      <c r="K1279" s="486" t="n">
        <v>4</v>
      </c>
      <c r="L1279" s="486" t="n">
        <v>4</v>
      </c>
      <c r="M1279" s="487" t="inlineStr">
        <is>
          <t>T</t>
        </is>
      </c>
    </row>
    <row r="1280">
      <c r="A1280" s="486" t="n">
        <v>19</v>
      </c>
      <c r="B1280" s="486" t="n">
        <v>2</v>
      </c>
      <c r="C1280" s="486" t="n">
        <v>2</v>
      </c>
      <c r="D1280" s="486" t="n">
        <v>1</v>
      </c>
      <c r="E1280" s="486" t="n">
        <v>1</v>
      </c>
      <c r="F1280" s="486" t="n">
        <v>2</v>
      </c>
      <c r="G1280" s="475" t="inlineStr">
        <is>
          <t>South-Left1</t>
        </is>
      </c>
      <c r="H1280" s="486" t="n">
        <v>1309.92</v>
      </c>
      <c r="I1280" s="486" t="n">
        <v>89</v>
      </c>
      <c r="J1280" s="486" t="n">
        <v>12</v>
      </c>
      <c r="K1280" s="486" t="n">
        <v>4</v>
      </c>
      <c r="L1280" s="486" t="n">
        <v>4</v>
      </c>
      <c r="M1280" s="487" t="inlineStr">
        <is>
          <t>T</t>
        </is>
      </c>
    </row>
    <row r="1281">
      <c r="A1281" s="486" t="n">
        <v>19</v>
      </c>
      <c r="B1281" s="486" t="n">
        <v>2</v>
      </c>
      <c r="C1281" s="486" t="n">
        <v>2</v>
      </c>
      <c r="D1281" s="486" t="n">
        <v>1</v>
      </c>
      <c r="E1281" s="486" t="n">
        <v>1</v>
      </c>
      <c r="F1281" s="486" t="n">
        <v>2</v>
      </c>
      <c r="G1281" s="486" t="inlineStr">
        <is>
          <t>South-Right1</t>
        </is>
      </c>
      <c r="H1281" s="486" t="n">
        <v>1327.1</v>
      </c>
      <c r="I1281" s="486" t="n">
        <v>89</v>
      </c>
      <c r="J1281" s="486" t="n">
        <v>48</v>
      </c>
      <c r="K1281" s="486" t="n">
        <v>36</v>
      </c>
      <c r="L1281" s="486" t="n">
        <v>4</v>
      </c>
      <c r="M1281" s="487" t="inlineStr">
        <is>
          <t>T</t>
        </is>
      </c>
    </row>
    <row r="1282">
      <c r="A1282" s="486" t="n">
        <v>19</v>
      </c>
      <c r="B1282" s="486" t="n">
        <v>2</v>
      </c>
      <c r="C1282" s="486" t="n">
        <v>2</v>
      </c>
      <c r="D1282" s="486" t="n">
        <v>1</v>
      </c>
      <c r="E1282" s="486" t="n">
        <v>1</v>
      </c>
      <c r="F1282" s="486" t="n">
        <v>2</v>
      </c>
      <c r="G1282" s="486" t="inlineStr">
        <is>
          <t>South-Right2</t>
        </is>
      </c>
      <c r="H1282" s="486" t="n">
        <v>1324.29</v>
      </c>
      <c r="I1282" s="486" t="n">
        <v>89</v>
      </c>
      <c r="J1282" s="486" t="n">
        <v>48</v>
      </c>
      <c r="K1282" s="486" t="n">
        <v>36</v>
      </c>
      <c r="L1282" s="486" t="n">
        <v>4</v>
      </c>
      <c r="M1282" s="487" t="inlineStr">
        <is>
          <t>T</t>
        </is>
      </c>
    </row>
    <row r="1283">
      <c r="A1283" s="485" t="n">
        <v>19</v>
      </c>
      <c r="B1283" s="485" t="n">
        <v>2</v>
      </c>
      <c r="C1283" s="485" t="n">
        <v>2</v>
      </c>
      <c r="D1283" s="485" t="n">
        <v>2</v>
      </c>
      <c r="E1283" s="485" t="n">
        <v>2</v>
      </c>
      <c r="F1283" s="485" t="n">
        <v>2</v>
      </c>
      <c r="G1283" s="485" t="inlineStr">
        <is>
          <t>West-Up2</t>
        </is>
      </c>
      <c r="H1283" s="485" t="n">
        <v>0</v>
      </c>
      <c r="I1283" s="485" t="n">
        <v>0</v>
      </c>
      <c r="J1283" s="485" t="n">
        <v>0</v>
      </c>
      <c r="K1283" s="485" t="n">
        <v>0</v>
      </c>
      <c r="L1283" s="485" t="n">
        <v>0</v>
      </c>
      <c r="M1283" s="514" t="inlineStr">
        <is>
          <t>T</t>
        </is>
      </c>
    </row>
    <row r="1284">
      <c r="A1284" s="485" t="n">
        <v>19</v>
      </c>
      <c r="B1284" s="485" t="n">
        <v>2</v>
      </c>
      <c r="C1284" s="485" t="n">
        <v>2</v>
      </c>
      <c r="D1284" s="485" t="n">
        <v>2</v>
      </c>
      <c r="E1284" s="485" t="n">
        <v>2</v>
      </c>
      <c r="F1284" s="485" t="n">
        <v>2</v>
      </c>
      <c r="G1284" s="516" t="inlineStr">
        <is>
          <t>West-Up1</t>
        </is>
      </c>
      <c r="H1284" s="485" t="n">
        <v>2642.66</v>
      </c>
      <c r="I1284" s="485" t="n">
        <v>0</v>
      </c>
      <c r="J1284" s="485" t="n">
        <v>16</v>
      </c>
      <c r="K1284" s="485" t="n">
        <v>17</v>
      </c>
      <c r="L1284" s="485" t="n">
        <v>2</v>
      </c>
      <c r="M1284" s="514" t="inlineStr">
        <is>
          <t>T</t>
        </is>
      </c>
    </row>
    <row r="1285">
      <c r="A1285" s="485" t="n">
        <v>19</v>
      </c>
      <c r="B1285" s="485" t="n">
        <v>2</v>
      </c>
      <c r="C1285" s="485" t="n">
        <v>2</v>
      </c>
      <c r="D1285" s="485" t="n">
        <v>2</v>
      </c>
      <c r="E1285" s="485" t="n">
        <v>2</v>
      </c>
      <c r="F1285" s="485" t="n">
        <v>2</v>
      </c>
      <c r="G1285" s="485" t="inlineStr">
        <is>
          <t>West-Down1</t>
        </is>
      </c>
      <c r="H1285" s="485" t="n">
        <v>2642.62</v>
      </c>
      <c r="I1285" s="485" t="n">
        <v>0</v>
      </c>
      <c r="J1285" s="485" t="n">
        <v>2</v>
      </c>
      <c r="K1285" s="485" t="n">
        <v>32</v>
      </c>
      <c r="L1285" s="485" t="n">
        <v>2</v>
      </c>
      <c r="M1285" s="514" t="inlineStr">
        <is>
          <t>T</t>
        </is>
      </c>
    </row>
    <row r="1286">
      <c r="A1286" s="485" t="n">
        <v>19</v>
      </c>
      <c r="B1286" s="485" t="n">
        <v>2</v>
      </c>
      <c r="C1286" s="485" t="n">
        <v>2</v>
      </c>
      <c r="D1286" s="485" t="n">
        <v>2</v>
      </c>
      <c r="E1286" s="485" t="n">
        <v>2</v>
      </c>
      <c r="F1286" s="485" t="n">
        <v>2</v>
      </c>
      <c r="G1286" s="485" t="inlineStr">
        <is>
          <t>West-Down2</t>
        </is>
      </c>
      <c r="H1286" s="485" t="n">
        <v>0</v>
      </c>
      <c r="I1286" s="485" t="n">
        <v>0</v>
      </c>
      <c r="J1286" s="485" t="n">
        <v>0</v>
      </c>
      <c r="K1286" s="485" t="n">
        <v>0</v>
      </c>
      <c r="L1286" s="485" t="n">
        <v>0</v>
      </c>
      <c r="M1286" s="514" t="inlineStr">
        <is>
          <t>T</t>
        </is>
      </c>
    </row>
    <row r="1287">
      <c r="A1287" s="485" t="n">
        <v>19</v>
      </c>
      <c r="B1287" s="485" t="n">
        <v>2</v>
      </c>
      <c r="C1287" s="485" t="n">
        <v>2</v>
      </c>
      <c r="D1287" s="485" t="n">
        <v>2</v>
      </c>
      <c r="E1287" s="485" t="n">
        <v>2</v>
      </c>
      <c r="F1287" s="485" t="n">
        <v>2</v>
      </c>
      <c r="G1287" s="485" t="inlineStr">
        <is>
          <t>East-Up2</t>
        </is>
      </c>
      <c r="H1287" s="485" t="n">
        <v>0</v>
      </c>
      <c r="I1287" s="485" t="n">
        <v>0</v>
      </c>
      <c r="J1287" s="485" t="n">
        <v>0</v>
      </c>
      <c r="K1287" s="485" t="n">
        <v>0</v>
      </c>
      <c r="L1287" s="485" t="n">
        <v>0</v>
      </c>
      <c r="M1287" s="514" t="inlineStr">
        <is>
          <t>T</t>
        </is>
      </c>
    </row>
    <row r="1288">
      <c r="A1288" s="485" t="n">
        <v>19</v>
      </c>
      <c r="B1288" s="485" t="n">
        <v>2</v>
      </c>
      <c r="C1288" s="485" t="n">
        <v>2</v>
      </c>
      <c r="D1288" s="485" t="n">
        <v>2</v>
      </c>
      <c r="E1288" s="485" t="n">
        <v>2</v>
      </c>
      <c r="F1288" s="485" t="n">
        <v>2</v>
      </c>
      <c r="G1288" s="516" t="inlineStr">
        <is>
          <t>East-Up1</t>
        </is>
      </c>
      <c r="H1288" s="485" t="n">
        <v>2634.18</v>
      </c>
      <c r="I1288" s="485" t="n">
        <v>0</v>
      </c>
      <c r="J1288" s="485" t="n">
        <v>16</v>
      </c>
      <c r="K1288" s="485" t="n">
        <v>54</v>
      </c>
      <c r="L1288" s="485" t="n">
        <v>2</v>
      </c>
      <c r="M1288" s="514" t="inlineStr">
        <is>
          <t>T</t>
        </is>
      </c>
    </row>
    <row r="1289">
      <c r="A1289" s="485" t="n">
        <v>19</v>
      </c>
      <c r="B1289" s="485" t="n">
        <v>2</v>
      </c>
      <c r="C1289" s="485" t="n">
        <v>2</v>
      </c>
      <c r="D1289" s="485" t="n">
        <v>2</v>
      </c>
      <c r="E1289" s="485" t="n">
        <v>2</v>
      </c>
      <c r="F1289" s="485" t="n">
        <v>2</v>
      </c>
      <c r="G1289" s="485" t="inlineStr">
        <is>
          <t>East-Down1</t>
        </is>
      </c>
      <c r="H1289" s="485" t="n">
        <v>2630.77</v>
      </c>
      <c r="I1289" s="485" t="n">
        <v>0</v>
      </c>
      <c r="J1289" s="485" t="n">
        <v>8</v>
      </c>
      <c r="K1289" s="485" t="n">
        <v>20</v>
      </c>
      <c r="L1289" s="485" t="n">
        <v>2</v>
      </c>
      <c r="M1289" s="514" t="inlineStr">
        <is>
          <t>T</t>
        </is>
      </c>
    </row>
    <row r="1290">
      <c r="A1290" s="485" t="n">
        <v>19</v>
      </c>
      <c r="B1290" s="485" t="n">
        <v>2</v>
      </c>
      <c r="C1290" s="485" t="n">
        <v>2</v>
      </c>
      <c r="D1290" s="485" t="n">
        <v>2</v>
      </c>
      <c r="E1290" s="485" t="n">
        <v>2</v>
      </c>
      <c r="F1290" s="485" t="n">
        <v>2</v>
      </c>
      <c r="G1290" s="485" t="inlineStr">
        <is>
          <t>East-Down2</t>
        </is>
      </c>
      <c r="H1290" s="485" t="n">
        <v>0</v>
      </c>
      <c r="I1290" s="485" t="n">
        <v>0</v>
      </c>
      <c r="J1290" s="485" t="n">
        <v>0</v>
      </c>
      <c r="K1290" s="485" t="n">
        <v>0</v>
      </c>
      <c r="L1290" s="485" t="n">
        <v>0</v>
      </c>
      <c r="M1290" s="514" t="inlineStr">
        <is>
          <t>T</t>
        </is>
      </c>
    </row>
    <row r="1291">
      <c r="A1291" s="485" t="n">
        <v>19</v>
      </c>
      <c r="B1291" s="485" t="n">
        <v>2</v>
      </c>
      <c r="C1291" s="485" t="n">
        <v>2</v>
      </c>
      <c r="D1291" s="485" t="n">
        <v>2</v>
      </c>
      <c r="E1291" s="485" t="n">
        <v>2</v>
      </c>
      <c r="F1291" s="485" t="n">
        <v>2</v>
      </c>
      <c r="G1291" s="485" t="inlineStr">
        <is>
          <t>North-Left2</t>
        </is>
      </c>
      <c r="H1291" s="485" t="n">
        <v>0</v>
      </c>
      <c r="I1291" s="485" t="n">
        <v>0</v>
      </c>
      <c r="J1291" s="485" t="n">
        <v>0</v>
      </c>
      <c r="K1291" s="485" t="n">
        <v>0</v>
      </c>
      <c r="L1291" s="485" t="n">
        <v>0</v>
      </c>
      <c r="M1291" s="514" t="inlineStr">
        <is>
          <t>T</t>
        </is>
      </c>
    </row>
    <row r="1292">
      <c r="A1292" s="485" t="n">
        <v>19</v>
      </c>
      <c r="B1292" s="485" t="n">
        <v>2</v>
      </c>
      <c r="C1292" s="485" t="n">
        <v>2</v>
      </c>
      <c r="D1292" s="485" t="n">
        <v>2</v>
      </c>
      <c r="E1292" s="485" t="n">
        <v>2</v>
      </c>
      <c r="F1292" s="485" t="n">
        <v>2</v>
      </c>
      <c r="G1292" s="516" t="inlineStr">
        <is>
          <t>North-Left1</t>
        </is>
      </c>
      <c r="H1292" s="485" t="n">
        <v>2543.39</v>
      </c>
      <c r="I1292" s="485" t="n">
        <v>89</v>
      </c>
      <c r="J1292" s="485" t="n">
        <v>56</v>
      </c>
      <c r="K1292" s="485" t="n">
        <v>37</v>
      </c>
      <c r="L1292" s="485" t="n">
        <v>4</v>
      </c>
      <c r="M1292" s="514" t="inlineStr">
        <is>
          <t>T</t>
        </is>
      </c>
    </row>
    <row r="1293">
      <c r="A1293" s="485" t="n">
        <v>19</v>
      </c>
      <c r="B1293" s="485" t="n">
        <v>2</v>
      </c>
      <c r="C1293" s="485" t="n">
        <v>2</v>
      </c>
      <c r="D1293" s="485" t="n">
        <v>2</v>
      </c>
      <c r="E1293" s="485" t="n">
        <v>2</v>
      </c>
      <c r="F1293" s="485" t="n">
        <v>2</v>
      </c>
      <c r="G1293" s="485" t="inlineStr">
        <is>
          <t>North-Right1</t>
        </is>
      </c>
      <c r="H1293" s="485" t="n">
        <v>2646.83</v>
      </c>
      <c r="I1293" s="485" t="n">
        <v>89</v>
      </c>
      <c r="J1293" s="485" t="n">
        <v>50</v>
      </c>
      <c r="K1293" s="485" t="n">
        <v>16</v>
      </c>
      <c r="L1293" s="485" t="n">
        <v>3</v>
      </c>
      <c r="M1293" s="514" t="inlineStr">
        <is>
          <t>T</t>
        </is>
      </c>
    </row>
    <row r="1294">
      <c r="A1294" s="485" t="n">
        <v>19</v>
      </c>
      <c r="B1294" s="485" t="n">
        <v>2</v>
      </c>
      <c r="C1294" s="485" t="n">
        <v>2</v>
      </c>
      <c r="D1294" s="485" t="n">
        <v>2</v>
      </c>
      <c r="E1294" s="485" t="n">
        <v>2</v>
      </c>
      <c r="F1294" s="485" t="n">
        <v>2</v>
      </c>
      <c r="G1294" s="485" t="inlineStr">
        <is>
          <t>North-Right2</t>
        </is>
      </c>
      <c r="H1294" s="485" t="n">
        <v>0</v>
      </c>
      <c r="I1294" s="485" t="n">
        <v>0</v>
      </c>
      <c r="J1294" s="485" t="n">
        <v>0</v>
      </c>
      <c r="K1294" s="485" t="n">
        <v>0</v>
      </c>
      <c r="L1294" s="485" t="n">
        <v>0</v>
      </c>
      <c r="M1294" s="514" t="inlineStr">
        <is>
          <t>T</t>
        </is>
      </c>
    </row>
    <row r="1295">
      <c r="A1295" s="485" t="n">
        <v>19</v>
      </c>
      <c r="B1295" s="485" t="n">
        <v>2</v>
      </c>
      <c r="C1295" s="485" t="n">
        <v>2</v>
      </c>
      <c r="D1295" s="485" t="n">
        <v>2</v>
      </c>
      <c r="E1295" s="485" t="n">
        <v>2</v>
      </c>
      <c r="F1295" s="485" t="n">
        <v>2</v>
      </c>
      <c r="G1295" s="485" t="inlineStr">
        <is>
          <t>South-Left2</t>
        </is>
      </c>
      <c r="H1295" s="485" t="n">
        <v>0</v>
      </c>
      <c r="I1295" s="485" t="n">
        <v>0</v>
      </c>
      <c r="J1295" s="485" t="n">
        <v>0</v>
      </c>
      <c r="K1295" s="485" t="n">
        <v>0</v>
      </c>
      <c r="L1295" s="485" t="n">
        <v>0</v>
      </c>
      <c r="M1295" s="514" t="inlineStr">
        <is>
          <t>T</t>
        </is>
      </c>
    </row>
    <row r="1296">
      <c r="A1296" s="485" t="n">
        <v>19</v>
      </c>
      <c r="B1296" s="485" t="n">
        <v>2</v>
      </c>
      <c r="C1296" s="485" t="n">
        <v>2</v>
      </c>
      <c r="D1296" s="485" t="n">
        <v>2</v>
      </c>
      <c r="E1296" s="485" t="n">
        <v>2</v>
      </c>
      <c r="F1296" s="485" t="n">
        <v>2</v>
      </c>
      <c r="G1296" s="516" t="inlineStr">
        <is>
          <t>South-Left1</t>
        </is>
      </c>
      <c r="H1296" s="485" t="n">
        <v>5185.43</v>
      </c>
      <c r="I1296" s="485" t="n">
        <v>89</v>
      </c>
      <c r="J1296" s="485" t="n">
        <v>43</v>
      </c>
      <c r="K1296" s="485" t="n">
        <v>13</v>
      </c>
      <c r="L1296" s="485" t="n">
        <v>3</v>
      </c>
      <c r="M1296" s="514" t="inlineStr">
        <is>
          <t>T</t>
        </is>
      </c>
    </row>
    <row r="1297">
      <c r="A1297" s="485" t="n">
        <v>19</v>
      </c>
      <c r="B1297" s="485" t="n">
        <v>2</v>
      </c>
      <c r="C1297" s="485" t="n">
        <v>2</v>
      </c>
      <c r="D1297" s="485" t="n">
        <v>2</v>
      </c>
      <c r="E1297" s="485" t="n">
        <v>2</v>
      </c>
      <c r="F1297" s="485" t="n">
        <v>2</v>
      </c>
      <c r="G1297" s="485" t="inlineStr">
        <is>
          <t>South-Right1</t>
        </is>
      </c>
      <c r="H1297" s="485" t="n">
        <v>0</v>
      </c>
      <c r="I1297" s="485" t="n">
        <v>0</v>
      </c>
      <c r="J1297" s="485" t="n">
        <v>0</v>
      </c>
      <c r="K1297" s="485" t="n">
        <v>0</v>
      </c>
      <c r="L1297" s="485" t="n">
        <v>0</v>
      </c>
      <c r="M1297" s="514" t="inlineStr">
        <is>
          <t>T</t>
        </is>
      </c>
    </row>
    <row r="1298">
      <c r="A1298" s="485" t="n">
        <v>19</v>
      </c>
      <c r="B1298" s="485" t="n">
        <v>2</v>
      </c>
      <c r="C1298" s="485" t="n">
        <v>2</v>
      </c>
      <c r="D1298" s="485" t="n">
        <v>2</v>
      </c>
      <c r="E1298" s="485" t="n">
        <v>2</v>
      </c>
      <c r="F1298" s="485" t="n">
        <v>2</v>
      </c>
      <c r="G1298" s="485" t="inlineStr">
        <is>
          <t>South-Right2</t>
        </is>
      </c>
      <c r="H1298" s="485" t="n">
        <v>0</v>
      </c>
      <c r="I1298" s="485" t="n">
        <v>0</v>
      </c>
      <c r="J1298" s="485" t="n">
        <v>0</v>
      </c>
      <c r="K1298" s="485" t="n">
        <v>0</v>
      </c>
      <c r="L1298" s="485" t="n">
        <v>0</v>
      </c>
      <c r="M1298" s="514" t="inlineStr">
        <is>
          <t>T</t>
        </is>
      </c>
    </row>
    <row r="1299">
      <c r="A1299" s="486" t="n">
        <v>19</v>
      </c>
      <c r="B1299" s="486" t="n">
        <v>2</v>
      </c>
      <c r="C1299" s="486" t="n">
        <v>2</v>
      </c>
      <c r="D1299" s="486" t="n">
        <v>3</v>
      </c>
      <c r="E1299" s="486" t="n">
        <v>2</v>
      </c>
      <c r="F1299" s="486" t="n">
        <v>2</v>
      </c>
      <c r="G1299" s="486" t="inlineStr">
        <is>
          <t>West-Up2</t>
        </is>
      </c>
      <c r="H1299" s="486" t="n">
        <v>0</v>
      </c>
      <c r="I1299" s="486" t="n">
        <v>0</v>
      </c>
      <c r="J1299" s="486" t="n">
        <v>0</v>
      </c>
      <c r="K1299" s="486" t="n">
        <v>0</v>
      </c>
      <c r="L1299" s="486" t="n">
        <v>0</v>
      </c>
      <c r="M1299" s="487" t="inlineStr">
        <is>
          <t>T</t>
        </is>
      </c>
    </row>
    <row r="1300">
      <c r="A1300" s="486" t="n">
        <v>19</v>
      </c>
      <c r="B1300" s="486" t="n">
        <v>2</v>
      </c>
      <c r="C1300" s="486" t="n">
        <v>2</v>
      </c>
      <c r="D1300" s="486" t="n">
        <v>3</v>
      </c>
      <c r="E1300" s="486" t="n">
        <v>2</v>
      </c>
      <c r="F1300" s="486" t="n">
        <v>2</v>
      </c>
      <c r="G1300" s="475" t="inlineStr">
        <is>
          <t>West-Up1</t>
        </is>
      </c>
      <c r="H1300" s="486" t="n">
        <v>5372.98</v>
      </c>
      <c r="I1300" s="486" t="n">
        <v>0</v>
      </c>
      <c r="J1300" s="486" t="n">
        <v>6</v>
      </c>
      <c r="K1300" s="486" t="n">
        <v>45</v>
      </c>
      <c r="L1300" s="486" t="n">
        <v>2</v>
      </c>
      <c r="M1300" s="487" t="inlineStr">
        <is>
          <t>T</t>
        </is>
      </c>
    </row>
    <row r="1301">
      <c r="A1301" s="486" t="n">
        <v>19</v>
      </c>
      <c r="B1301" s="486" t="n">
        <v>2</v>
      </c>
      <c r="C1301" s="486" t="n">
        <v>2</v>
      </c>
      <c r="D1301" s="486" t="n">
        <v>3</v>
      </c>
      <c r="E1301" s="486" t="n">
        <v>2</v>
      </c>
      <c r="F1301" s="486" t="n">
        <v>2</v>
      </c>
      <c r="G1301" s="486" t="inlineStr">
        <is>
          <t>West-Down1</t>
        </is>
      </c>
      <c r="H1301" s="486" t="n">
        <v>0</v>
      </c>
      <c r="I1301" s="486" t="n">
        <v>0</v>
      </c>
      <c r="J1301" s="486" t="n">
        <v>0</v>
      </c>
      <c r="K1301" s="486" t="n">
        <v>0</v>
      </c>
      <c r="L1301" s="486" t="n">
        <v>0</v>
      </c>
      <c r="M1301" s="487" t="inlineStr">
        <is>
          <t>T</t>
        </is>
      </c>
    </row>
    <row r="1302">
      <c r="A1302" s="486" t="n">
        <v>19</v>
      </c>
      <c r="B1302" s="486" t="n">
        <v>2</v>
      </c>
      <c r="C1302" s="486" t="n">
        <v>2</v>
      </c>
      <c r="D1302" s="486" t="n">
        <v>3</v>
      </c>
      <c r="E1302" s="486" t="n">
        <v>2</v>
      </c>
      <c r="F1302" s="486" t="n">
        <v>2</v>
      </c>
      <c r="G1302" s="486" t="inlineStr">
        <is>
          <t>West-Down2</t>
        </is>
      </c>
      <c r="H1302" s="486" t="n">
        <v>0</v>
      </c>
      <c r="I1302" s="486" t="n">
        <v>0</v>
      </c>
      <c r="J1302" s="486" t="n">
        <v>0</v>
      </c>
      <c r="K1302" s="486" t="n">
        <v>0</v>
      </c>
      <c r="L1302" s="486" t="n">
        <v>0</v>
      </c>
      <c r="M1302" s="487" t="inlineStr">
        <is>
          <t>T</t>
        </is>
      </c>
    </row>
    <row r="1303">
      <c r="A1303" s="486" t="n">
        <v>19</v>
      </c>
      <c r="B1303" s="486" t="n">
        <v>2</v>
      </c>
      <c r="C1303" s="486" t="n">
        <v>2</v>
      </c>
      <c r="D1303" s="486" t="n">
        <v>3</v>
      </c>
      <c r="E1303" s="486" t="n">
        <v>2</v>
      </c>
      <c r="F1303" s="486" t="n">
        <v>2</v>
      </c>
      <c r="G1303" s="486" t="inlineStr">
        <is>
          <t>East-Up2</t>
        </is>
      </c>
      <c r="H1303" s="486" t="n">
        <v>0</v>
      </c>
      <c r="I1303" s="486" t="n">
        <v>0</v>
      </c>
      <c r="J1303" s="486" t="n">
        <v>0</v>
      </c>
      <c r="K1303" s="486" t="n">
        <v>0</v>
      </c>
      <c r="L1303" s="486" t="n">
        <v>0</v>
      </c>
      <c r="M1303" s="487" t="inlineStr">
        <is>
          <t>T</t>
        </is>
      </c>
    </row>
    <row r="1304">
      <c r="A1304" s="486" t="n">
        <v>19</v>
      </c>
      <c r="B1304" s="486" t="n">
        <v>2</v>
      </c>
      <c r="C1304" s="486" t="n">
        <v>2</v>
      </c>
      <c r="D1304" s="486" t="n">
        <v>3</v>
      </c>
      <c r="E1304" s="486" t="n">
        <v>2</v>
      </c>
      <c r="F1304" s="486" t="n">
        <v>2</v>
      </c>
      <c r="G1304" s="475" t="inlineStr">
        <is>
          <t>East-Up1</t>
        </is>
      </c>
      <c r="H1304" s="486" t="n">
        <v>2631.84</v>
      </c>
      <c r="I1304" s="486" t="n">
        <v>0</v>
      </c>
      <c r="J1304" s="486" t="n">
        <v>54</v>
      </c>
      <c r="K1304" s="486" t="n">
        <v>5</v>
      </c>
      <c r="L1304" s="486" t="n">
        <v>4</v>
      </c>
      <c r="M1304" s="487" t="inlineStr">
        <is>
          <t>T</t>
        </is>
      </c>
    </row>
    <row r="1305">
      <c r="A1305" s="486" t="n">
        <v>19</v>
      </c>
      <c r="B1305" s="486" t="n">
        <v>2</v>
      </c>
      <c r="C1305" s="486" t="n">
        <v>2</v>
      </c>
      <c r="D1305" s="486" t="n">
        <v>3</v>
      </c>
      <c r="E1305" s="486" t="n">
        <v>2</v>
      </c>
      <c r="F1305" s="486" t="n">
        <v>2</v>
      </c>
      <c r="G1305" s="486" t="inlineStr">
        <is>
          <t>East-Down1</t>
        </is>
      </c>
      <c r="H1305" s="486" t="n">
        <v>1318.85</v>
      </c>
      <c r="I1305" s="486" t="n">
        <v>1</v>
      </c>
      <c r="J1305" s="486" t="n">
        <v>13</v>
      </c>
      <c r="K1305" s="486" t="n">
        <v>1</v>
      </c>
      <c r="L1305" s="486" t="n">
        <v>4</v>
      </c>
      <c r="M1305" s="487" t="inlineStr">
        <is>
          <t>T</t>
        </is>
      </c>
    </row>
    <row r="1306">
      <c r="A1306" s="486" t="n">
        <v>19</v>
      </c>
      <c r="B1306" s="486" t="n">
        <v>2</v>
      </c>
      <c r="C1306" s="486" t="n">
        <v>2</v>
      </c>
      <c r="D1306" s="486" t="n">
        <v>3</v>
      </c>
      <c r="E1306" s="486" t="n">
        <v>2</v>
      </c>
      <c r="F1306" s="486" t="n">
        <v>2</v>
      </c>
      <c r="G1306" s="486" t="inlineStr">
        <is>
          <t>East-Down2</t>
        </is>
      </c>
      <c r="H1306" s="486" t="n">
        <v>1318.85</v>
      </c>
      <c r="I1306" s="486" t="n">
        <v>1</v>
      </c>
      <c r="J1306" s="486" t="n">
        <v>10</v>
      </c>
      <c r="K1306" s="486" t="n">
        <v>1</v>
      </c>
      <c r="L1306" s="486" t="n">
        <v>4</v>
      </c>
      <c r="M1306" s="487" t="inlineStr">
        <is>
          <t>T</t>
        </is>
      </c>
    </row>
    <row r="1307">
      <c r="A1307" s="486" t="n">
        <v>19</v>
      </c>
      <c r="B1307" s="486" t="n">
        <v>2</v>
      </c>
      <c r="C1307" s="486" t="n">
        <v>2</v>
      </c>
      <c r="D1307" s="486" t="n">
        <v>3</v>
      </c>
      <c r="E1307" s="486" t="n">
        <v>2</v>
      </c>
      <c r="F1307" s="486" t="n">
        <v>2</v>
      </c>
      <c r="G1307" s="486" t="inlineStr">
        <is>
          <t>North-Left2</t>
        </is>
      </c>
      <c r="H1307" s="486" t="n">
        <v>0</v>
      </c>
      <c r="I1307" s="486" t="n">
        <v>0</v>
      </c>
      <c r="J1307" s="486" t="n">
        <v>0</v>
      </c>
      <c r="K1307" s="486" t="n">
        <v>0</v>
      </c>
      <c r="L1307" s="486" t="n">
        <v>0</v>
      </c>
      <c r="M1307" s="487" t="inlineStr">
        <is>
          <t>T</t>
        </is>
      </c>
    </row>
    <row r="1308">
      <c r="A1308" s="486" t="n">
        <v>19</v>
      </c>
      <c r="B1308" s="486" t="n">
        <v>2</v>
      </c>
      <c r="C1308" s="486" t="n">
        <v>2</v>
      </c>
      <c r="D1308" s="486" t="n">
        <v>3</v>
      </c>
      <c r="E1308" s="486" t="n">
        <v>2</v>
      </c>
      <c r="F1308" s="486" t="n">
        <v>2</v>
      </c>
      <c r="G1308" s="475" t="inlineStr">
        <is>
          <t>North-Left1</t>
        </is>
      </c>
      <c r="H1308" s="486" t="n">
        <v>5203.98</v>
      </c>
      <c r="I1308" s="486" t="n">
        <v>88</v>
      </c>
      <c r="J1308" s="486" t="n">
        <v>17</v>
      </c>
      <c r="K1308" s="486" t="n">
        <v>22</v>
      </c>
      <c r="L1308" s="486" t="n">
        <v>3</v>
      </c>
      <c r="M1308" s="487" t="inlineStr">
        <is>
          <t>T</t>
        </is>
      </c>
    </row>
    <row r="1309">
      <c r="A1309" s="486" t="n">
        <v>19</v>
      </c>
      <c r="B1309" s="486" t="n">
        <v>2</v>
      </c>
      <c r="C1309" s="486" t="n">
        <v>2</v>
      </c>
      <c r="D1309" s="486" t="n">
        <v>3</v>
      </c>
      <c r="E1309" s="486" t="n">
        <v>2</v>
      </c>
      <c r="F1309" s="486" t="n">
        <v>2</v>
      </c>
      <c r="G1309" s="486" t="inlineStr">
        <is>
          <t>North-Right1</t>
        </is>
      </c>
      <c r="H1309" s="486" t="n">
        <v>0</v>
      </c>
      <c r="I1309" s="486" t="n">
        <v>0</v>
      </c>
      <c r="J1309" s="486" t="n">
        <v>0</v>
      </c>
      <c r="K1309" s="486" t="n">
        <v>0</v>
      </c>
      <c r="L1309" s="486" t="n">
        <v>0</v>
      </c>
      <c r="M1309" s="487" t="inlineStr">
        <is>
          <t>T</t>
        </is>
      </c>
    </row>
    <row r="1310">
      <c r="A1310" s="486" t="n">
        <v>19</v>
      </c>
      <c r="B1310" s="486" t="n">
        <v>2</v>
      </c>
      <c r="C1310" s="486" t="n">
        <v>2</v>
      </c>
      <c r="D1310" s="486" t="n">
        <v>3</v>
      </c>
      <c r="E1310" s="486" t="n">
        <v>2</v>
      </c>
      <c r="F1310" s="486" t="n">
        <v>2</v>
      </c>
      <c r="G1310" s="486" t="inlineStr">
        <is>
          <t>North-Right2</t>
        </is>
      </c>
      <c r="H1310" s="486" t="n">
        <v>0</v>
      </c>
      <c r="I1310" s="486" t="n">
        <v>0</v>
      </c>
      <c r="J1310" s="486" t="n">
        <v>0</v>
      </c>
      <c r="K1310" s="486" t="n">
        <v>0</v>
      </c>
      <c r="L1310" s="486" t="n">
        <v>0</v>
      </c>
      <c r="M1310" s="487" t="inlineStr">
        <is>
          <t>T</t>
        </is>
      </c>
    </row>
    <row r="1311">
      <c r="A1311" s="486" t="n">
        <v>19</v>
      </c>
      <c r="B1311" s="486" t="n">
        <v>2</v>
      </c>
      <c r="C1311" s="486" t="n">
        <v>2</v>
      </c>
      <c r="D1311" s="486" t="n">
        <v>3</v>
      </c>
      <c r="E1311" s="486" t="n">
        <v>2</v>
      </c>
      <c r="F1311" s="486" t="n">
        <v>2</v>
      </c>
      <c r="G1311" s="486" t="inlineStr">
        <is>
          <t>South-Left2</t>
        </is>
      </c>
      <c r="H1311" s="486" t="n">
        <v>0</v>
      </c>
      <c r="I1311" s="486" t="n">
        <v>0</v>
      </c>
      <c r="J1311" s="486" t="n">
        <v>0</v>
      </c>
      <c r="K1311" s="486" t="n">
        <v>0</v>
      </c>
      <c r="L1311" s="486" t="n">
        <v>0</v>
      </c>
      <c r="M1311" s="487" t="inlineStr">
        <is>
          <t>T</t>
        </is>
      </c>
    </row>
    <row r="1312">
      <c r="A1312" s="486" t="n">
        <v>19</v>
      </c>
      <c r="B1312" s="486" t="n">
        <v>2</v>
      </c>
      <c r="C1312" s="486" t="n">
        <v>2</v>
      </c>
      <c r="D1312" s="486" t="n">
        <v>3</v>
      </c>
      <c r="E1312" s="486" t="n">
        <v>2</v>
      </c>
      <c r="F1312" s="486" t="n">
        <v>2</v>
      </c>
      <c r="G1312" s="475" t="inlineStr">
        <is>
          <t>South-Left1</t>
        </is>
      </c>
      <c r="H1312" s="486" t="n">
        <v>5221.56</v>
      </c>
      <c r="I1312" s="486" t="n">
        <v>87</v>
      </c>
      <c r="J1312" s="486" t="n">
        <v>28</v>
      </c>
      <c r="K1312" s="486" t="n">
        <v>47</v>
      </c>
      <c r="L1312" s="486" t="n">
        <v>3</v>
      </c>
      <c r="M1312" s="487" t="inlineStr">
        <is>
          <t>T</t>
        </is>
      </c>
    </row>
    <row r="1313">
      <c r="A1313" s="486" t="n">
        <v>19</v>
      </c>
      <c r="B1313" s="486" t="n">
        <v>2</v>
      </c>
      <c r="C1313" s="486" t="n">
        <v>2</v>
      </c>
      <c r="D1313" s="486" t="n">
        <v>3</v>
      </c>
      <c r="E1313" s="486" t="n">
        <v>2</v>
      </c>
      <c r="F1313" s="486" t="n">
        <v>2</v>
      </c>
      <c r="G1313" s="486" t="inlineStr">
        <is>
          <t>South-Right1</t>
        </is>
      </c>
      <c r="H1313" s="486" t="n">
        <v>0</v>
      </c>
      <c r="I1313" s="486" t="n">
        <v>0</v>
      </c>
      <c r="J1313" s="486" t="n">
        <v>0</v>
      </c>
      <c r="K1313" s="486" t="n">
        <v>0</v>
      </c>
      <c r="L1313" s="486" t="n">
        <v>0</v>
      </c>
      <c r="M1313" s="487" t="inlineStr">
        <is>
          <t>T</t>
        </is>
      </c>
    </row>
    <row r="1314">
      <c r="A1314" s="486" t="n">
        <v>19</v>
      </c>
      <c r="B1314" s="486" t="n">
        <v>2</v>
      </c>
      <c r="C1314" s="486" t="n">
        <v>2</v>
      </c>
      <c r="D1314" s="486" t="n">
        <v>3</v>
      </c>
      <c r="E1314" s="486" t="n">
        <v>2</v>
      </c>
      <c r="F1314" s="486" t="n">
        <v>2</v>
      </c>
      <c r="G1314" s="486" t="inlineStr">
        <is>
          <t>South-Right2</t>
        </is>
      </c>
      <c r="H1314" s="486" t="n">
        <v>1317.53</v>
      </c>
      <c r="I1314" s="486" t="n">
        <v>89</v>
      </c>
      <c r="J1314" s="486" t="n">
        <v>16</v>
      </c>
      <c r="K1314" s="486" t="n">
        <v>41</v>
      </c>
      <c r="L1314" s="486" t="n">
        <v>3</v>
      </c>
      <c r="M1314" s="487" t="inlineStr">
        <is>
          <t>T</t>
        </is>
      </c>
    </row>
    <row r="1315">
      <c r="A1315" s="486" t="n">
        <v>19</v>
      </c>
      <c r="B1315" s="486" t="n">
        <v>3</v>
      </c>
      <c r="C1315" s="486" t="n">
        <v>2</v>
      </c>
      <c r="D1315" s="486" t="n">
        <v>1</v>
      </c>
      <c r="E1315" s="486" t="n">
        <v>1</v>
      </c>
      <c r="F1315" s="486" t="n">
        <v>2</v>
      </c>
      <c r="G1315" s="486" t="inlineStr">
        <is>
          <t>West-Up2</t>
        </is>
      </c>
      <c r="H1315" s="486" t="n">
        <v>0</v>
      </c>
      <c r="I1315" s="486" t="n">
        <v>0</v>
      </c>
      <c r="J1315" s="486" t="n">
        <v>0</v>
      </c>
      <c r="K1315" s="486" t="n">
        <v>0</v>
      </c>
      <c r="L1315" s="486" t="n">
        <v>0</v>
      </c>
      <c r="M1315" s="487" t="inlineStr">
        <is>
          <t>T</t>
        </is>
      </c>
    </row>
    <row r="1316">
      <c r="A1316" s="486" t="n">
        <v>19</v>
      </c>
      <c r="B1316" s="486" t="n">
        <v>3</v>
      </c>
      <c r="C1316" s="486" t="n">
        <v>2</v>
      </c>
      <c r="D1316" s="486" t="n">
        <v>1</v>
      </c>
      <c r="E1316" s="486" t="n">
        <v>1</v>
      </c>
      <c r="F1316" s="486" t="n">
        <v>2</v>
      </c>
      <c r="G1316" s="486" t="inlineStr">
        <is>
          <t>West-Up1</t>
        </is>
      </c>
      <c r="H1316" s="486" t="n">
        <v>2647.91</v>
      </c>
      <c r="I1316" s="486" t="n">
        <v>0</v>
      </c>
      <c r="J1316" s="486" t="n">
        <v>32</v>
      </c>
      <c r="K1316" s="486" t="n">
        <v>1</v>
      </c>
      <c r="L1316" s="486" t="n">
        <v>3</v>
      </c>
      <c r="M1316" s="487" t="inlineStr">
        <is>
          <t>T</t>
        </is>
      </c>
    </row>
    <row r="1317">
      <c r="A1317" s="486" t="n">
        <v>19</v>
      </c>
      <c r="B1317" s="486" t="n">
        <v>3</v>
      </c>
      <c r="C1317" s="486" t="n">
        <v>2</v>
      </c>
      <c r="D1317" s="486" t="n">
        <v>1</v>
      </c>
      <c r="E1317" s="486" t="n">
        <v>1</v>
      </c>
      <c r="F1317" s="486" t="n">
        <v>2</v>
      </c>
      <c r="G1317" s="486" t="inlineStr">
        <is>
          <t>West-Down1</t>
        </is>
      </c>
      <c r="H1317" s="486" t="n">
        <v>2636.67</v>
      </c>
      <c r="I1317" s="486" t="n">
        <v>0</v>
      </c>
      <c r="J1317" s="486" t="n">
        <v>38</v>
      </c>
      <c r="K1317" s="486" t="n">
        <v>36</v>
      </c>
      <c r="L1317" s="486" t="n">
        <v>3</v>
      </c>
      <c r="M1317" s="487" t="inlineStr">
        <is>
          <t>T</t>
        </is>
      </c>
    </row>
    <row r="1318">
      <c r="A1318" s="486" t="n">
        <v>19</v>
      </c>
      <c r="B1318" s="486" t="n">
        <v>3</v>
      </c>
      <c r="C1318" s="486" t="n">
        <v>2</v>
      </c>
      <c r="D1318" s="486" t="n">
        <v>1</v>
      </c>
      <c r="E1318" s="486" t="n">
        <v>1</v>
      </c>
      <c r="F1318" s="486" t="n">
        <v>2</v>
      </c>
      <c r="G1318" s="486" t="inlineStr">
        <is>
          <t>West-Down2</t>
        </is>
      </c>
      <c r="H1318" s="486" t="n">
        <v>0</v>
      </c>
      <c r="I1318" s="486" t="n">
        <v>0</v>
      </c>
      <c r="J1318" s="486" t="n">
        <v>0</v>
      </c>
      <c r="K1318" s="486" t="n">
        <v>0</v>
      </c>
      <c r="L1318" s="486" t="n">
        <v>0</v>
      </c>
      <c r="M1318" s="487" t="inlineStr">
        <is>
          <t>T</t>
        </is>
      </c>
    </row>
    <row r="1319">
      <c r="A1319" s="486" t="n">
        <v>19</v>
      </c>
      <c r="B1319" s="486" t="n">
        <v>3</v>
      </c>
      <c r="C1319" s="486" t="n">
        <v>2</v>
      </c>
      <c r="D1319" s="486" t="n">
        <v>1</v>
      </c>
      <c r="E1319" s="486" t="n">
        <v>1</v>
      </c>
      <c r="F1319" s="486" t="n">
        <v>2</v>
      </c>
      <c r="G1319" s="486" t="inlineStr">
        <is>
          <t>East-Up2</t>
        </is>
      </c>
      <c r="H1319" s="486" t="n">
        <v>0</v>
      </c>
      <c r="I1319" s="486" t="n">
        <v>0</v>
      </c>
      <c r="J1319" s="486" t="n">
        <v>0</v>
      </c>
      <c r="K1319" s="486" t="n">
        <v>0</v>
      </c>
      <c r="L1319" s="486" t="n">
        <v>0</v>
      </c>
      <c r="M1319" s="487" t="inlineStr">
        <is>
          <t>T</t>
        </is>
      </c>
    </row>
    <row r="1320">
      <c r="A1320" s="486" t="n">
        <v>19</v>
      </c>
      <c r="B1320" s="486" t="n">
        <v>3</v>
      </c>
      <c r="C1320" s="486" t="n">
        <v>2</v>
      </c>
      <c r="D1320" s="486" t="n">
        <v>1</v>
      </c>
      <c r="E1320" s="486" t="n">
        <v>1</v>
      </c>
      <c r="F1320" s="486" t="n">
        <v>2</v>
      </c>
      <c r="G1320" s="486" t="inlineStr">
        <is>
          <t>East-Up1</t>
        </is>
      </c>
      <c r="H1320" s="486" t="n">
        <v>2631.28</v>
      </c>
      <c r="I1320" s="486" t="n">
        <v>0</v>
      </c>
      <c r="J1320" s="486" t="n">
        <v>3</v>
      </c>
      <c r="K1320" s="486" t="n">
        <v>55</v>
      </c>
      <c r="L1320" s="486" t="n">
        <v>2</v>
      </c>
      <c r="M1320" s="487" t="inlineStr">
        <is>
          <t>T</t>
        </is>
      </c>
    </row>
    <row r="1321">
      <c r="A1321" s="486" t="n">
        <v>19</v>
      </c>
      <c r="B1321" s="486" t="n">
        <v>3</v>
      </c>
      <c r="C1321" s="486" t="n">
        <v>2</v>
      </c>
      <c r="D1321" s="486" t="n">
        <v>1</v>
      </c>
      <c r="E1321" s="486" t="n">
        <v>1</v>
      </c>
      <c r="F1321" s="486" t="n">
        <v>2</v>
      </c>
      <c r="G1321" s="486" t="inlineStr">
        <is>
          <t>East-Down1</t>
        </is>
      </c>
      <c r="H1321" s="486" t="n">
        <v>2709.45</v>
      </c>
      <c r="I1321" s="486" t="n">
        <v>0</v>
      </c>
      <c r="J1321" s="486" t="n">
        <v>9</v>
      </c>
      <c r="K1321" s="486" t="n">
        <v>10</v>
      </c>
      <c r="L1321" s="486" t="n">
        <v>2</v>
      </c>
      <c r="M1321" s="487" t="inlineStr">
        <is>
          <t>T</t>
        </is>
      </c>
    </row>
    <row r="1322">
      <c r="A1322" s="486" t="n">
        <v>19</v>
      </c>
      <c r="B1322" s="486" t="n">
        <v>3</v>
      </c>
      <c r="C1322" s="486" t="n">
        <v>2</v>
      </c>
      <c r="D1322" s="486" t="n">
        <v>1</v>
      </c>
      <c r="E1322" s="486" t="n">
        <v>1</v>
      </c>
      <c r="F1322" s="486" t="n">
        <v>2</v>
      </c>
      <c r="G1322" s="486" t="inlineStr">
        <is>
          <t>East-Down2</t>
        </is>
      </c>
      <c r="H1322" s="486" t="n">
        <v>0</v>
      </c>
      <c r="I1322" s="486" t="n">
        <v>0</v>
      </c>
      <c r="J1322" s="486" t="n">
        <v>0</v>
      </c>
      <c r="K1322" s="486" t="n">
        <v>0</v>
      </c>
      <c r="L1322" s="486" t="n">
        <v>0</v>
      </c>
      <c r="M1322" s="487" t="inlineStr">
        <is>
          <t>T</t>
        </is>
      </c>
    </row>
    <row r="1323">
      <c r="A1323" s="486" t="n">
        <v>19</v>
      </c>
      <c r="B1323" s="486" t="n">
        <v>3</v>
      </c>
      <c r="C1323" s="486" t="n">
        <v>2</v>
      </c>
      <c r="D1323" s="486" t="n">
        <v>1</v>
      </c>
      <c r="E1323" s="486" t="n">
        <v>1</v>
      </c>
      <c r="F1323" s="486" t="n">
        <v>2</v>
      </c>
      <c r="G1323" s="486" t="inlineStr">
        <is>
          <t>North-Left2</t>
        </is>
      </c>
      <c r="H1323" s="486" t="n">
        <v>0</v>
      </c>
      <c r="I1323" s="486" t="n">
        <v>0</v>
      </c>
      <c r="J1323" s="486" t="n">
        <v>0</v>
      </c>
      <c r="K1323" s="486" t="n">
        <v>0</v>
      </c>
      <c r="L1323" s="486" t="n">
        <v>0</v>
      </c>
      <c r="M1323" s="487" t="inlineStr">
        <is>
          <t>T</t>
        </is>
      </c>
    </row>
    <row r="1324">
      <c r="A1324" s="486" t="n">
        <v>19</v>
      </c>
      <c r="B1324" s="486" t="n">
        <v>3</v>
      </c>
      <c r="C1324" s="486" t="n">
        <v>2</v>
      </c>
      <c r="D1324" s="486" t="n">
        <v>1</v>
      </c>
      <c r="E1324" s="486" t="n">
        <v>1</v>
      </c>
      <c r="F1324" s="486" t="n">
        <v>2</v>
      </c>
      <c r="G1324" s="486" t="inlineStr">
        <is>
          <t>North-Left1</t>
        </is>
      </c>
      <c r="H1324" s="486" t="n">
        <v>2612.11</v>
      </c>
      <c r="I1324" s="486" t="n">
        <v>89</v>
      </c>
      <c r="J1324" s="486" t="n">
        <v>58</v>
      </c>
      <c r="K1324" s="486" t="n">
        <v>44</v>
      </c>
      <c r="L1324" s="486" t="n">
        <v>4</v>
      </c>
      <c r="M1324" s="487" t="inlineStr">
        <is>
          <t>T</t>
        </is>
      </c>
    </row>
    <row r="1325">
      <c r="A1325" s="486" t="n">
        <v>19</v>
      </c>
      <c r="B1325" s="486" t="n">
        <v>3</v>
      </c>
      <c r="C1325" s="486" t="n">
        <v>2</v>
      </c>
      <c r="D1325" s="486" t="n">
        <v>1</v>
      </c>
      <c r="E1325" s="486" t="n">
        <v>1</v>
      </c>
      <c r="F1325" s="486" t="n">
        <v>2</v>
      </c>
      <c r="G1325" s="486" t="inlineStr">
        <is>
          <t>North-Right1</t>
        </is>
      </c>
      <c r="H1325" s="486" t="n">
        <v>2609.95</v>
      </c>
      <c r="I1325" s="486" t="n">
        <v>89</v>
      </c>
      <c r="J1325" s="486" t="n">
        <v>58</v>
      </c>
      <c r="K1325" s="486" t="n">
        <v>44</v>
      </c>
      <c r="L1325" s="486" t="n">
        <v>4</v>
      </c>
      <c r="M1325" s="487" t="inlineStr">
        <is>
          <t>T</t>
        </is>
      </c>
    </row>
    <row r="1326">
      <c r="A1326" s="486" t="n">
        <v>19</v>
      </c>
      <c r="B1326" s="486" t="n">
        <v>3</v>
      </c>
      <c r="C1326" s="486" t="n">
        <v>2</v>
      </c>
      <c r="D1326" s="486" t="n">
        <v>1</v>
      </c>
      <c r="E1326" s="486" t="n">
        <v>1</v>
      </c>
      <c r="F1326" s="486" t="n">
        <v>2</v>
      </c>
      <c r="G1326" s="486" t="inlineStr">
        <is>
          <t>North-Right2</t>
        </is>
      </c>
      <c r="H1326" s="486" t="n">
        <v>0</v>
      </c>
      <c r="I1326" s="486" t="n">
        <v>0</v>
      </c>
      <c r="J1326" s="486" t="n">
        <v>0</v>
      </c>
      <c r="K1326" s="486" t="n">
        <v>0</v>
      </c>
      <c r="L1326" s="486" t="n">
        <v>0</v>
      </c>
      <c r="M1326" s="487" t="inlineStr">
        <is>
          <t>T</t>
        </is>
      </c>
    </row>
    <row r="1327">
      <c r="A1327" s="486" t="n">
        <v>19</v>
      </c>
      <c r="B1327" s="486" t="n">
        <v>3</v>
      </c>
      <c r="C1327" s="486" t="n">
        <v>2</v>
      </c>
      <c r="D1327" s="486" t="n">
        <v>1</v>
      </c>
      <c r="E1327" s="486" t="n">
        <v>1</v>
      </c>
      <c r="F1327" s="486" t="n">
        <v>2</v>
      </c>
      <c r="G1327" s="486" t="inlineStr">
        <is>
          <t>South-Left2</t>
        </is>
      </c>
      <c r="H1327" s="486" t="n">
        <v>0</v>
      </c>
      <c r="I1327" s="486" t="n">
        <v>0</v>
      </c>
      <c r="J1327" s="486" t="n">
        <v>0</v>
      </c>
      <c r="K1327" s="486" t="n">
        <v>0</v>
      </c>
      <c r="L1327" s="486" t="n">
        <v>0</v>
      </c>
      <c r="M1327" s="487" t="inlineStr">
        <is>
          <t>T</t>
        </is>
      </c>
    </row>
    <row r="1328">
      <c r="A1328" s="486" t="n">
        <v>19</v>
      </c>
      <c r="B1328" s="486" t="n">
        <v>3</v>
      </c>
      <c r="C1328" s="486" t="n">
        <v>2</v>
      </c>
      <c r="D1328" s="486" t="n">
        <v>1</v>
      </c>
      <c r="E1328" s="486" t="n">
        <v>1</v>
      </c>
      <c r="F1328" s="486" t="n">
        <v>2</v>
      </c>
      <c r="G1328" s="486" t="inlineStr">
        <is>
          <t>South-Left1</t>
        </is>
      </c>
      <c r="H1328" s="486" t="n">
        <v>2642.15</v>
      </c>
      <c r="I1328" s="486" t="n">
        <v>89</v>
      </c>
      <c r="J1328" s="486" t="n">
        <v>51</v>
      </c>
      <c r="K1328" s="486" t="n">
        <v>15</v>
      </c>
      <c r="L1328" s="486" t="n">
        <v>2</v>
      </c>
      <c r="M1328" s="487" t="inlineStr">
        <is>
          <t>T</t>
        </is>
      </c>
    </row>
    <row r="1329">
      <c r="A1329" s="486" t="n">
        <v>19</v>
      </c>
      <c r="B1329" s="486" t="n">
        <v>3</v>
      </c>
      <c r="C1329" s="486" t="n">
        <v>2</v>
      </c>
      <c r="D1329" s="486" t="n">
        <v>1</v>
      </c>
      <c r="E1329" s="486" t="n">
        <v>1</v>
      </c>
      <c r="F1329" s="486" t="n">
        <v>2</v>
      </c>
      <c r="G1329" s="486" t="inlineStr">
        <is>
          <t>South-Right1</t>
        </is>
      </c>
      <c r="H1329" s="486" t="n">
        <v>1298.58</v>
      </c>
      <c r="I1329" s="486" t="n">
        <v>89</v>
      </c>
      <c r="J1329" s="486" t="n">
        <v>58</v>
      </c>
      <c r="K1329" s="486" t="n">
        <v>37</v>
      </c>
      <c r="L1329" s="486" t="n">
        <v>3</v>
      </c>
      <c r="M1329" s="487" t="inlineStr">
        <is>
          <t>T</t>
        </is>
      </c>
    </row>
    <row r="1330">
      <c r="A1330" s="486" t="n">
        <v>19</v>
      </c>
      <c r="B1330" s="486" t="n">
        <v>3</v>
      </c>
      <c r="C1330" s="486" t="n">
        <v>2</v>
      </c>
      <c r="D1330" s="486" t="n">
        <v>1</v>
      </c>
      <c r="E1330" s="486" t="n">
        <v>1</v>
      </c>
      <c r="F1330" s="486" t="n">
        <v>2</v>
      </c>
      <c r="G1330" s="486" t="inlineStr">
        <is>
          <t>South-Right2</t>
        </is>
      </c>
      <c r="H1330" s="486" t="n">
        <v>1324.86</v>
      </c>
      <c r="I1330" s="486" t="n">
        <v>89</v>
      </c>
      <c r="J1330" s="486" t="n">
        <v>58</v>
      </c>
      <c r="K1330" s="486" t="n">
        <v>37</v>
      </c>
      <c r="L1330" s="486" t="n">
        <v>3</v>
      </c>
      <c r="M1330" s="487" t="inlineStr">
        <is>
          <t>T</t>
        </is>
      </c>
    </row>
    <row r="1331">
      <c r="A1331" s="485" t="n">
        <v>19</v>
      </c>
      <c r="B1331" s="485" t="n">
        <v>3</v>
      </c>
      <c r="C1331" s="485" t="n">
        <v>2</v>
      </c>
      <c r="D1331" s="485" t="n">
        <v>2</v>
      </c>
      <c r="E1331" s="485" t="n">
        <v>1</v>
      </c>
      <c r="F1331" s="485" t="n">
        <v>2</v>
      </c>
      <c r="G1331" s="485" t="inlineStr">
        <is>
          <t>West-Up2</t>
        </is>
      </c>
      <c r="H1331" s="485" t="n">
        <v>1305.41</v>
      </c>
      <c r="I1331" s="485" t="n">
        <v>0</v>
      </c>
      <c r="J1331" s="485" t="n">
        <v>5</v>
      </c>
      <c r="K1331" s="485" t="n">
        <v>10</v>
      </c>
      <c r="L1331" s="485" t="n">
        <v>4</v>
      </c>
      <c r="M1331" s="514" t="inlineStr">
        <is>
          <t>T</t>
        </is>
      </c>
    </row>
    <row r="1332">
      <c r="A1332" s="485" t="n">
        <v>19</v>
      </c>
      <c r="B1332" s="485" t="n">
        <v>3</v>
      </c>
      <c r="C1332" s="485" t="n">
        <v>2</v>
      </c>
      <c r="D1332" s="485" t="n">
        <v>2</v>
      </c>
      <c r="E1332" s="485" t="n">
        <v>1</v>
      </c>
      <c r="F1332" s="485" t="n">
        <v>2</v>
      </c>
      <c r="G1332" s="516" t="inlineStr">
        <is>
          <t>West-Up1</t>
        </is>
      </c>
      <c r="H1332" s="485" t="n">
        <v>1305.41</v>
      </c>
      <c r="I1332" s="485" t="n">
        <v>0</v>
      </c>
      <c r="J1332" s="485" t="n">
        <v>5</v>
      </c>
      <c r="K1332" s="485" t="n">
        <v>10</v>
      </c>
      <c r="L1332" s="485" t="n">
        <v>4</v>
      </c>
      <c r="M1332" s="514" t="inlineStr">
        <is>
          <t>T</t>
        </is>
      </c>
    </row>
    <row r="1333">
      <c r="A1333" s="485" t="n">
        <v>19</v>
      </c>
      <c r="B1333" s="485" t="n">
        <v>3</v>
      </c>
      <c r="C1333" s="485" t="n">
        <v>2</v>
      </c>
      <c r="D1333" s="485" t="n">
        <v>2</v>
      </c>
      <c r="E1333" s="485" t="n">
        <v>1</v>
      </c>
      <c r="F1333" s="485" t="n">
        <v>2</v>
      </c>
      <c r="G1333" s="485" t="inlineStr">
        <is>
          <t>West-Down1</t>
        </is>
      </c>
      <c r="H1333" s="485" t="n">
        <v>1305.41</v>
      </c>
      <c r="I1333" s="485" t="n">
        <v>0</v>
      </c>
      <c r="J1333" s="485" t="n">
        <v>5</v>
      </c>
      <c r="K1333" s="485" t="n">
        <v>10</v>
      </c>
      <c r="L1333" s="485" t="n">
        <v>4</v>
      </c>
      <c r="M1333" s="514" t="inlineStr">
        <is>
          <t>T</t>
        </is>
      </c>
    </row>
    <row r="1334">
      <c r="A1334" s="485" t="n">
        <v>19</v>
      </c>
      <c r="B1334" s="485" t="n">
        <v>3</v>
      </c>
      <c r="C1334" s="485" t="n">
        <v>2</v>
      </c>
      <c r="D1334" s="485" t="n">
        <v>2</v>
      </c>
      <c r="E1334" s="485" t="n">
        <v>1</v>
      </c>
      <c r="F1334" s="485" t="n">
        <v>2</v>
      </c>
      <c r="G1334" s="485" t="inlineStr">
        <is>
          <t>West-Down2</t>
        </is>
      </c>
      <c r="H1334" s="485" t="n">
        <v>1388.92</v>
      </c>
      <c r="I1334" s="485" t="n">
        <v>1</v>
      </c>
      <c r="J1334" s="485" t="n">
        <v>37</v>
      </c>
      <c r="K1334" s="485" t="n">
        <v>59</v>
      </c>
      <c r="L1334" s="485" t="n">
        <v>2</v>
      </c>
      <c r="M1334" s="514" t="inlineStr">
        <is>
          <t>T</t>
        </is>
      </c>
    </row>
    <row r="1335">
      <c r="A1335" s="485" t="n">
        <v>19</v>
      </c>
      <c r="B1335" s="485" t="n">
        <v>3</v>
      </c>
      <c r="C1335" s="485" t="n">
        <v>2</v>
      </c>
      <c r="D1335" s="485" t="n">
        <v>2</v>
      </c>
      <c r="E1335" s="485" t="n">
        <v>1</v>
      </c>
      <c r="F1335" s="485" t="n">
        <v>2</v>
      </c>
      <c r="G1335" s="485" t="inlineStr">
        <is>
          <t>East-Up2</t>
        </is>
      </c>
      <c r="H1335" s="485" t="n">
        <v>1328.71</v>
      </c>
      <c r="I1335" s="485" t="n">
        <v>0</v>
      </c>
      <c r="J1335" s="485" t="n">
        <v>15</v>
      </c>
      <c r="K1335" s="485" t="n">
        <v>21</v>
      </c>
      <c r="L1335" s="485" t="n">
        <v>2</v>
      </c>
      <c r="M1335" s="514" t="inlineStr">
        <is>
          <t>T</t>
        </is>
      </c>
    </row>
    <row r="1336">
      <c r="A1336" s="485" t="n">
        <v>19</v>
      </c>
      <c r="B1336" s="485" t="n">
        <v>3</v>
      </c>
      <c r="C1336" s="485" t="n">
        <v>2</v>
      </c>
      <c r="D1336" s="485" t="n">
        <v>2</v>
      </c>
      <c r="E1336" s="485" t="n">
        <v>1</v>
      </c>
      <c r="F1336" s="485" t="n">
        <v>2</v>
      </c>
      <c r="G1336" s="516" t="inlineStr">
        <is>
          <t>East-Up1</t>
        </is>
      </c>
      <c r="H1336" s="485" t="n">
        <v>1328.71</v>
      </c>
      <c r="I1336" s="485" t="n">
        <v>0</v>
      </c>
      <c r="J1336" s="485" t="n">
        <v>15</v>
      </c>
      <c r="K1336" s="485" t="n">
        <v>21</v>
      </c>
      <c r="L1336" s="485" t="n">
        <v>2</v>
      </c>
      <c r="M1336" s="514" t="inlineStr">
        <is>
          <t>T</t>
        </is>
      </c>
    </row>
    <row r="1337">
      <c r="A1337" s="485" t="n">
        <v>19</v>
      </c>
      <c r="B1337" s="485" t="n">
        <v>3</v>
      </c>
      <c r="C1337" s="485" t="n">
        <v>2</v>
      </c>
      <c r="D1337" s="485" t="n">
        <v>2</v>
      </c>
      <c r="E1337" s="485" t="n">
        <v>1</v>
      </c>
      <c r="F1337" s="485" t="n">
        <v>2</v>
      </c>
      <c r="G1337" s="485" t="inlineStr">
        <is>
          <t>East-Down1</t>
        </is>
      </c>
      <c r="H1337" s="485" t="n">
        <v>1326.91</v>
      </c>
      <c r="I1337" s="485" t="n">
        <v>0</v>
      </c>
      <c r="J1337" s="485" t="n">
        <v>15</v>
      </c>
      <c r="K1337" s="485" t="n">
        <v>21</v>
      </c>
      <c r="L1337" s="485" t="n">
        <v>2</v>
      </c>
      <c r="M1337" s="514" t="inlineStr">
        <is>
          <t>T</t>
        </is>
      </c>
    </row>
    <row r="1338">
      <c r="A1338" s="485" t="n">
        <v>19</v>
      </c>
      <c r="B1338" s="485" t="n">
        <v>3</v>
      </c>
      <c r="C1338" s="485" t="n">
        <v>2</v>
      </c>
      <c r="D1338" s="485" t="n">
        <v>2</v>
      </c>
      <c r="E1338" s="485" t="n">
        <v>1</v>
      </c>
      <c r="F1338" s="485" t="n">
        <v>2</v>
      </c>
      <c r="G1338" s="485" t="inlineStr">
        <is>
          <t>East-Down2</t>
        </is>
      </c>
      <c r="H1338" s="485" t="n">
        <v>1330.51</v>
      </c>
      <c r="I1338" s="485" t="n">
        <v>0</v>
      </c>
      <c r="J1338" s="485" t="n">
        <v>15</v>
      </c>
      <c r="K1338" s="485" t="n">
        <v>21</v>
      </c>
      <c r="L1338" s="485" t="n">
        <v>2</v>
      </c>
      <c r="M1338" s="514" t="inlineStr">
        <is>
          <t>T</t>
        </is>
      </c>
    </row>
    <row r="1339">
      <c r="A1339" s="485" t="n">
        <v>19</v>
      </c>
      <c r="B1339" s="485" t="n">
        <v>3</v>
      </c>
      <c r="C1339" s="485" t="n">
        <v>2</v>
      </c>
      <c r="D1339" s="485" t="n">
        <v>2</v>
      </c>
      <c r="E1339" s="485" t="n">
        <v>1</v>
      </c>
      <c r="F1339" s="485" t="n">
        <v>2</v>
      </c>
      <c r="G1339" s="485" t="inlineStr">
        <is>
          <t>North-Left2</t>
        </is>
      </c>
      <c r="H1339" s="485" t="n">
        <v>1342.25</v>
      </c>
      <c r="I1339" s="485" t="n">
        <v>89</v>
      </c>
      <c r="J1339" s="485" t="n">
        <v>0</v>
      </c>
      <c r="K1339" s="485" t="n">
        <v>40</v>
      </c>
      <c r="L1339" s="485" t="n">
        <v>4</v>
      </c>
      <c r="M1339" s="514" t="inlineStr">
        <is>
          <t>T</t>
        </is>
      </c>
    </row>
    <row r="1340">
      <c r="A1340" s="485" t="n">
        <v>19</v>
      </c>
      <c r="B1340" s="485" t="n">
        <v>3</v>
      </c>
      <c r="C1340" s="485" t="n">
        <v>2</v>
      </c>
      <c r="D1340" s="485" t="n">
        <v>2</v>
      </c>
      <c r="E1340" s="485" t="n">
        <v>1</v>
      </c>
      <c r="F1340" s="485" t="n">
        <v>2</v>
      </c>
      <c r="G1340" s="516" t="inlineStr">
        <is>
          <t>North-Left1</t>
        </is>
      </c>
      <c r="H1340" s="485" t="n">
        <v>1318.49</v>
      </c>
      <c r="I1340" s="485" t="n">
        <v>89</v>
      </c>
      <c r="J1340" s="485" t="n">
        <v>0</v>
      </c>
      <c r="K1340" s="485" t="n">
        <v>40</v>
      </c>
      <c r="L1340" s="485" t="n">
        <v>4</v>
      </c>
      <c r="M1340" s="514" t="inlineStr">
        <is>
          <t>T</t>
        </is>
      </c>
    </row>
    <row r="1341">
      <c r="A1341" s="485" t="n">
        <v>19</v>
      </c>
      <c r="B1341" s="485" t="n">
        <v>3</v>
      </c>
      <c r="C1341" s="485" t="n">
        <v>2</v>
      </c>
      <c r="D1341" s="485" t="n">
        <v>2</v>
      </c>
      <c r="E1341" s="485" t="n">
        <v>1</v>
      </c>
      <c r="F1341" s="485" t="n">
        <v>2</v>
      </c>
      <c r="G1341" s="485" t="inlineStr">
        <is>
          <t>North-Right1</t>
        </is>
      </c>
      <c r="H1341" s="485" t="n">
        <v>1318.5</v>
      </c>
      <c r="I1341" s="485" t="n">
        <v>89</v>
      </c>
      <c r="J1341" s="485" t="n">
        <v>1</v>
      </c>
      <c r="K1341" s="485" t="n">
        <v>6</v>
      </c>
      <c r="L1341" s="485" t="n">
        <v>4</v>
      </c>
      <c r="M1341" s="514" t="inlineStr">
        <is>
          <t>T</t>
        </is>
      </c>
    </row>
    <row r="1342">
      <c r="A1342" s="485" t="n">
        <v>19</v>
      </c>
      <c r="B1342" s="485" t="n">
        <v>3</v>
      </c>
      <c r="C1342" s="485" t="n">
        <v>2</v>
      </c>
      <c r="D1342" s="485" t="n">
        <v>2</v>
      </c>
      <c r="E1342" s="485" t="n">
        <v>1</v>
      </c>
      <c r="F1342" s="485" t="n">
        <v>2</v>
      </c>
      <c r="G1342" s="485" t="inlineStr">
        <is>
          <t>North-Right2</t>
        </is>
      </c>
      <c r="H1342" s="485" t="n">
        <v>1318.5</v>
      </c>
      <c r="I1342" s="485" t="n">
        <v>89</v>
      </c>
      <c r="J1342" s="485" t="n">
        <v>1</v>
      </c>
      <c r="K1342" s="485" t="n">
        <v>6</v>
      </c>
      <c r="L1342" s="485" t="n">
        <v>4</v>
      </c>
      <c r="M1342" s="514" t="inlineStr">
        <is>
          <t>T</t>
        </is>
      </c>
    </row>
    <row r="1343">
      <c r="A1343" s="485" t="n">
        <v>19</v>
      </c>
      <c r="B1343" s="485" t="n">
        <v>3</v>
      </c>
      <c r="C1343" s="485" t="n">
        <v>2</v>
      </c>
      <c r="D1343" s="485" t="n">
        <v>2</v>
      </c>
      <c r="E1343" s="485" t="n">
        <v>1</v>
      </c>
      <c r="F1343" s="485" t="n">
        <v>2</v>
      </c>
      <c r="G1343" s="485" t="inlineStr">
        <is>
          <t>South-Left2</t>
        </is>
      </c>
      <c r="H1343" s="485" t="n">
        <v>1336.38</v>
      </c>
      <c r="I1343" s="485" t="n">
        <v>89</v>
      </c>
      <c r="J1343" s="485" t="n">
        <v>22</v>
      </c>
      <c r="K1343" s="485" t="n">
        <v>29</v>
      </c>
      <c r="L1343" s="485" t="n">
        <v>4</v>
      </c>
      <c r="M1343" s="514" t="inlineStr">
        <is>
          <t>T</t>
        </is>
      </c>
    </row>
    <row r="1344">
      <c r="A1344" s="485" t="n">
        <v>19</v>
      </c>
      <c r="B1344" s="485" t="n">
        <v>3</v>
      </c>
      <c r="C1344" s="485" t="n">
        <v>2</v>
      </c>
      <c r="D1344" s="485" t="n">
        <v>2</v>
      </c>
      <c r="E1344" s="485" t="n">
        <v>1</v>
      </c>
      <c r="F1344" s="485" t="n">
        <v>2</v>
      </c>
      <c r="G1344" s="516" t="inlineStr">
        <is>
          <t>South-Left1</t>
        </is>
      </c>
      <c r="H1344" s="485" t="n">
        <v>1323.15</v>
      </c>
      <c r="I1344" s="485" t="n">
        <v>89</v>
      </c>
      <c r="J1344" s="485" t="n">
        <v>22</v>
      </c>
      <c r="K1344" s="485" t="n">
        <v>29</v>
      </c>
      <c r="L1344" s="485" t="n">
        <v>4</v>
      </c>
      <c r="M1344" s="514" t="inlineStr">
        <is>
          <t>T</t>
        </is>
      </c>
    </row>
    <row r="1345">
      <c r="A1345" s="485" t="n">
        <v>19</v>
      </c>
      <c r="B1345" s="485" t="n">
        <v>3</v>
      </c>
      <c r="C1345" s="485" t="n">
        <v>2</v>
      </c>
      <c r="D1345" s="485" t="n">
        <v>2</v>
      </c>
      <c r="E1345" s="485" t="n">
        <v>1</v>
      </c>
      <c r="F1345" s="485" t="n">
        <v>2</v>
      </c>
      <c r="G1345" s="485" t="inlineStr">
        <is>
          <t>South-Right1</t>
        </is>
      </c>
      <c r="H1345" s="485" t="n">
        <v>1324.8</v>
      </c>
      <c r="I1345" s="485" t="n">
        <v>89</v>
      </c>
      <c r="J1345" s="485" t="n">
        <v>39</v>
      </c>
      <c r="K1345" s="485" t="n">
        <v>34</v>
      </c>
      <c r="L1345" s="485" t="n">
        <v>4</v>
      </c>
      <c r="M1345" s="514" t="inlineStr">
        <is>
          <t>T</t>
        </is>
      </c>
    </row>
    <row r="1346">
      <c r="A1346" s="485" t="n">
        <v>19</v>
      </c>
      <c r="B1346" s="485" t="n">
        <v>3</v>
      </c>
      <c r="C1346" s="485" t="n">
        <v>2</v>
      </c>
      <c r="D1346" s="485" t="n">
        <v>2</v>
      </c>
      <c r="E1346" s="485" t="n">
        <v>1</v>
      </c>
      <c r="F1346" s="485" t="n">
        <v>2</v>
      </c>
      <c r="G1346" s="485" t="inlineStr">
        <is>
          <t>South-Right2</t>
        </is>
      </c>
      <c r="H1346" s="485" t="n">
        <v>1324.34</v>
      </c>
      <c r="I1346" s="485" t="n">
        <v>87</v>
      </c>
      <c r="J1346" s="485" t="n">
        <v>12</v>
      </c>
      <c r="K1346" s="485" t="n">
        <v>44</v>
      </c>
      <c r="L1346" s="485" t="n">
        <v>4</v>
      </c>
      <c r="M1346" s="514" t="inlineStr">
        <is>
          <t>T</t>
        </is>
      </c>
    </row>
    <row r="1347">
      <c r="A1347" s="485" t="n">
        <v>19</v>
      </c>
      <c r="B1347" s="485" t="n">
        <v>3</v>
      </c>
      <c r="C1347" s="485" t="n">
        <v>2</v>
      </c>
      <c r="D1347" s="485" t="n">
        <v>1</v>
      </c>
      <c r="E1347" s="485" t="n">
        <v>2</v>
      </c>
      <c r="F1347" s="485" t="n">
        <v>2</v>
      </c>
      <c r="G1347" s="485" t="inlineStr">
        <is>
          <t>West-Up2</t>
        </is>
      </c>
      <c r="H1347" s="511" t="n">
        <v>0</v>
      </c>
      <c r="I1347" s="511" t="n">
        <v>0</v>
      </c>
      <c r="J1347" s="511" t="n">
        <v>0</v>
      </c>
      <c r="K1347" s="511" t="n">
        <v>0</v>
      </c>
      <c r="L1347" s="511" t="n">
        <v>0</v>
      </c>
      <c r="M1347" s="495" t="inlineStr">
        <is>
          <t>T</t>
        </is>
      </c>
    </row>
    <row r="1348">
      <c r="A1348" s="485" t="n">
        <v>19</v>
      </c>
      <c r="B1348" s="485" t="n">
        <v>3</v>
      </c>
      <c r="C1348" s="485" t="n">
        <v>2</v>
      </c>
      <c r="D1348" s="485" t="n">
        <v>1</v>
      </c>
      <c r="E1348" s="485" t="n">
        <v>2</v>
      </c>
      <c r="F1348" s="485" t="n">
        <v>2</v>
      </c>
      <c r="G1348" s="516" t="inlineStr">
        <is>
          <t>West-Up1</t>
        </is>
      </c>
      <c r="H1348" s="485" t="n">
        <v>5290.83</v>
      </c>
      <c r="I1348" s="485" t="n">
        <v>0</v>
      </c>
      <c r="J1348" s="485" t="n">
        <v>44</v>
      </c>
      <c r="K1348" s="485" t="n">
        <v>25</v>
      </c>
      <c r="L1348" s="511" t="n">
        <v>4</v>
      </c>
      <c r="M1348" s="495" t="inlineStr">
        <is>
          <t>T</t>
        </is>
      </c>
    </row>
    <row r="1349">
      <c r="A1349" s="485" t="n">
        <v>19</v>
      </c>
      <c r="B1349" s="485" t="n">
        <v>3</v>
      </c>
      <c r="C1349" s="485" t="n">
        <v>2</v>
      </c>
      <c r="D1349" s="485" t="n">
        <v>1</v>
      </c>
      <c r="E1349" s="485" t="n">
        <v>2</v>
      </c>
      <c r="F1349" s="485" t="n">
        <v>2</v>
      </c>
      <c r="G1349" s="485" t="inlineStr">
        <is>
          <t>West-Down1</t>
        </is>
      </c>
      <c r="H1349" s="511" t="n">
        <v>0</v>
      </c>
      <c r="I1349" s="511" t="n">
        <v>0</v>
      </c>
      <c r="J1349" s="511" t="n">
        <v>0</v>
      </c>
      <c r="K1349" s="511" t="n">
        <v>0</v>
      </c>
      <c r="L1349" s="511" t="n">
        <v>0</v>
      </c>
      <c r="M1349" s="495" t="inlineStr">
        <is>
          <t>T</t>
        </is>
      </c>
    </row>
    <row r="1350">
      <c r="A1350" s="485" t="n">
        <v>19</v>
      </c>
      <c r="B1350" s="485" t="n">
        <v>3</v>
      </c>
      <c r="C1350" s="485" t="n">
        <v>2</v>
      </c>
      <c r="D1350" s="485" t="n">
        <v>1</v>
      </c>
      <c r="E1350" s="485" t="n">
        <v>2</v>
      </c>
      <c r="F1350" s="485" t="n">
        <v>2</v>
      </c>
      <c r="G1350" s="485" t="inlineStr">
        <is>
          <t>West-Down2</t>
        </is>
      </c>
      <c r="H1350" s="511" t="n">
        <v>0</v>
      </c>
      <c r="I1350" s="511" t="n">
        <v>0</v>
      </c>
      <c r="J1350" s="511" t="n">
        <v>0</v>
      </c>
      <c r="K1350" s="511" t="n">
        <v>0</v>
      </c>
      <c r="L1350" s="511" t="n">
        <v>0</v>
      </c>
      <c r="M1350" s="495" t="inlineStr">
        <is>
          <t>T</t>
        </is>
      </c>
    </row>
    <row r="1351">
      <c r="A1351" s="485" t="n">
        <v>19</v>
      </c>
      <c r="B1351" s="485" t="n">
        <v>3</v>
      </c>
      <c r="C1351" s="485" t="n">
        <v>2</v>
      </c>
      <c r="D1351" s="485" t="n">
        <v>1</v>
      </c>
      <c r="E1351" s="485" t="n">
        <v>2</v>
      </c>
      <c r="F1351" s="485" t="n">
        <v>2</v>
      </c>
      <c r="G1351" s="485" t="inlineStr">
        <is>
          <t>East-Up2</t>
        </is>
      </c>
      <c r="H1351" s="511" t="n">
        <v>0</v>
      </c>
      <c r="I1351" s="511" t="n">
        <v>0</v>
      </c>
      <c r="J1351" s="511" t="n">
        <v>0</v>
      </c>
      <c r="K1351" s="511" t="n">
        <v>0</v>
      </c>
      <c r="L1351" s="511" t="n">
        <v>0</v>
      </c>
      <c r="M1351" s="495" t="inlineStr">
        <is>
          <t>T</t>
        </is>
      </c>
    </row>
    <row r="1352">
      <c r="A1352" s="485" t="n">
        <v>19</v>
      </c>
      <c r="B1352" s="485" t="n">
        <v>3</v>
      </c>
      <c r="C1352" s="485" t="n">
        <v>2</v>
      </c>
      <c r="D1352" s="485" t="n">
        <v>1</v>
      </c>
      <c r="E1352" s="485" t="n">
        <v>2</v>
      </c>
      <c r="F1352" s="485" t="n">
        <v>2</v>
      </c>
      <c r="G1352" s="516" t="inlineStr">
        <is>
          <t>East-Up1</t>
        </is>
      </c>
      <c r="H1352" s="511" t="n">
        <v>2639.63</v>
      </c>
      <c r="I1352" s="511" t="n">
        <v>0</v>
      </c>
      <c r="J1352" s="511" t="n">
        <v>20</v>
      </c>
      <c r="K1352" s="511" t="n">
        <v>4</v>
      </c>
      <c r="L1352" s="511" t="n">
        <v>4</v>
      </c>
      <c r="M1352" s="495" t="inlineStr">
        <is>
          <t>T</t>
        </is>
      </c>
    </row>
    <row r="1353">
      <c r="A1353" s="485" t="n">
        <v>19</v>
      </c>
      <c r="B1353" s="485" t="n">
        <v>3</v>
      </c>
      <c r="C1353" s="485" t="n">
        <v>2</v>
      </c>
      <c r="D1353" s="485" t="n">
        <v>1</v>
      </c>
      <c r="E1353" s="485" t="n">
        <v>2</v>
      </c>
      <c r="F1353" s="485" t="n">
        <v>2</v>
      </c>
      <c r="G1353" s="485" t="inlineStr">
        <is>
          <t>East-Down1</t>
        </is>
      </c>
      <c r="H1353" s="511" t="n">
        <v>2636.26</v>
      </c>
      <c r="I1353" s="511" t="n">
        <v>0</v>
      </c>
      <c r="J1353" s="511" t="n">
        <v>17</v>
      </c>
      <c r="K1353" s="511" t="n">
        <v>53</v>
      </c>
      <c r="L1353" s="511" t="n">
        <v>4</v>
      </c>
      <c r="M1353" s="495" t="inlineStr">
        <is>
          <t>T</t>
        </is>
      </c>
    </row>
    <row r="1354">
      <c r="A1354" s="485" t="n">
        <v>19</v>
      </c>
      <c r="B1354" s="485" t="n">
        <v>3</v>
      </c>
      <c r="C1354" s="485" t="n">
        <v>2</v>
      </c>
      <c r="D1354" s="485" t="n">
        <v>1</v>
      </c>
      <c r="E1354" s="485" t="n">
        <v>2</v>
      </c>
      <c r="F1354" s="485" t="n">
        <v>2</v>
      </c>
      <c r="G1354" s="485" t="inlineStr">
        <is>
          <t>East-Down2</t>
        </is>
      </c>
      <c r="H1354" s="511" t="n">
        <v>0</v>
      </c>
      <c r="I1354" s="511" t="n">
        <v>0</v>
      </c>
      <c r="J1354" s="511" t="n">
        <v>0</v>
      </c>
      <c r="K1354" s="511" t="n">
        <v>0</v>
      </c>
      <c r="L1354" s="511" t="n">
        <v>0</v>
      </c>
      <c r="M1354" s="495" t="inlineStr">
        <is>
          <t>T</t>
        </is>
      </c>
    </row>
    <row r="1355">
      <c r="A1355" s="485" t="n">
        <v>19</v>
      </c>
      <c r="B1355" s="485" t="n">
        <v>3</v>
      </c>
      <c r="C1355" s="485" t="n">
        <v>2</v>
      </c>
      <c r="D1355" s="485" t="n">
        <v>1</v>
      </c>
      <c r="E1355" s="485" t="n">
        <v>2</v>
      </c>
      <c r="F1355" s="485" t="n">
        <v>2</v>
      </c>
      <c r="G1355" s="485" t="inlineStr">
        <is>
          <t>North-Left2</t>
        </is>
      </c>
      <c r="H1355" s="511" t="n">
        <v>0</v>
      </c>
      <c r="I1355" s="511" t="n">
        <v>0</v>
      </c>
      <c r="J1355" s="511" t="n">
        <v>0</v>
      </c>
      <c r="K1355" s="511" t="n">
        <v>0</v>
      </c>
      <c r="L1355" s="511" t="n">
        <v>0</v>
      </c>
      <c r="M1355" s="495" t="inlineStr">
        <is>
          <t>T</t>
        </is>
      </c>
    </row>
    <row r="1356">
      <c r="A1356" s="485" t="n">
        <v>19</v>
      </c>
      <c r="B1356" s="485" t="n">
        <v>3</v>
      </c>
      <c r="C1356" s="485" t="n">
        <v>2</v>
      </c>
      <c r="D1356" s="485" t="n">
        <v>1</v>
      </c>
      <c r="E1356" s="485" t="n">
        <v>2</v>
      </c>
      <c r="F1356" s="485" t="n">
        <v>2</v>
      </c>
      <c r="G1356" s="516" t="inlineStr">
        <is>
          <t>North-Left1</t>
        </is>
      </c>
      <c r="H1356" s="511" t="n">
        <v>5269.83</v>
      </c>
      <c r="I1356" s="511" t="n">
        <v>89</v>
      </c>
      <c r="J1356" s="511" t="n">
        <v>27</v>
      </c>
      <c r="K1356" s="511" t="n">
        <v>1</v>
      </c>
      <c r="L1356" s="511" t="n">
        <v>3</v>
      </c>
      <c r="M1356" s="495" t="inlineStr">
        <is>
          <t>T</t>
        </is>
      </c>
    </row>
    <row r="1357">
      <c r="A1357" s="485" t="n">
        <v>19</v>
      </c>
      <c r="B1357" s="485" t="n">
        <v>3</v>
      </c>
      <c r="C1357" s="485" t="n">
        <v>2</v>
      </c>
      <c r="D1357" s="485" t="n">
        <v>1</v>
      </c>
      <c r="E1357" s="485" t="n">
        <v>2</v>
      </c>
      <c r="F1357" s="485" t="n">
        <v>2</v>
      </c>
      <c r="G1357" s="485" t="inlineStr">
        <is>
          <t>North-Right1</t>
        </is>
      </c>
      <c r="H1357" s="511" t="n">
        <v>0</v>
      </c>
      <c r="I1357" s="511" t="n">
        <v>0</v>
      </c>
      <c r="J1357" s="511" t="n">
        <v>0</v>
      </c>
      <c r="K1357" s="511" t="n">
        <v>0</v>
      </c>
      <c r="L1357" s="511" t="n">
        <v>0</v>
      </c>
      <c r="M1357" s="495" t="inlineStr">
        <is>
          <t>T</t>
        </is>
      </c>
    </row>
    <row r="1358">
      <c r="A1358" s="485" t="n">
        <v>19</v>
      </c>
      <c r="B1358" s="485" t="n">
        <v>3</v>
      </c>
      <c r="C1358" s="485" t="n">
        <v>2</v>
      </c>
      <c r="D1358" s="485" t="n">
        <v>1</v>
      </c>
      <c r="E1358" s="485" t="n">
        <v>2</v>
      </c>
      <c r="F1358" s="485" t="n">
        <v>2</v>
      </c>
      <c r="G1358" s="485" t="inlineStr">
        <is>
          <t>North-Right2</t>
        </is>
      </c>
      <c r="H1358" s="511" t="n">
        <v>0</v>
      </c>
      <c r="I1358" s="511" t="n">
        <v>0</v>
      </c>
      <c r="J1358" s="511" t="n">
        <v>0</v>
      </c>
      <c r="K1358" s="511" t="n">
        <v>0</v>
      </c>
      <c r="L1358" s="511" t="n">
        <v>0</v>
      </c>
      <c r="M1358" s="495" t="inlineStr">
        <is>
          <t>T</t>
        </is>
      </c>
    </row>
    <row r="1359">
      <c r="A1359" s="485" t="n">
        <v>19</v>
      </c>
      <c r="B1359" s="485" t="n">
        <v>3</v>
      </c>
      <c r="C1359" s="485" t="n">
        <v>2</v>
      </c>
      <c r="D1359" s="485" t="n">
        <v>1</v>
      </c>
      <c r="E1359" s="485" t="n">
        <v>2</v>
      </c>
      <c r="F1359" s="485" t="n">
        <v>2</v>
      </c>
      <c r="G1359" s="485" t="inlineStr">
        <is>
          <t>South-Left2</t>
        </is>
      </c>
      <c r="H1359" s="511" t="n">
        <v>0</v>
      </c>
      <c r="I1359" s="511" t="n">
        <v>0</v>
      </c>
      <c r="J1359" s="511" t="n">
        <v>0</v>
      </c>
      <c r="K1359" s="511" t="n">
        <v>0</v>
      </c>
      <c r="L1359" s="511" t="n">
        <v>0</v>
      </c>
      <c r="M1359" s="495" t="inlineStr">
        <is>
          <t>T</t>
        </is>
      </c>
    </row>
    <row r="1360">
      <c r="A1360" s="485" t="n">
        <v>19</v>
      </c>
      <c r="B1360" s="485" t="n">
        <v>3</v>
      </c>
      <c r="C1360" s="485" t="n">
        <v>2</v>
      </c>
      <c r="D1360" s="485" t="n">
        <v>1</v>
      </c>
      <c r="E1360" s="485" t="n">
        <v>2</v>
      </c>
      <c r="F1360" s="485" t="n">
        <v>2</v>
      </c>
      <c r="G1360" s="516" t="inlineStr">
        <is>
          <t>South-Left1</t>
        </is>
      </c>
      <c r="H1360" s="511" t="n">
        <v>2033.46</v>
      </c>
      <c r="I1360" s="511" t="n">
        <v>90</v>
      </c>
      <c r="J1360" s="511" t="n">
        <v>0</v>
      </c>
      <c r="K1360" s="511" t="n">
        <v>0</v>
      </c>
      <c r="L1360" s="511" t="n">
        <v>4</v>
      </c>
      <c r="M1360" s="495" t="inlineStr">
        <is>
          <t>T</t>
        </is>
      </c>
    </row>
    <row r="1361">
      <c r="A1361" s="485" t="n">
        <v>19</v>
      </c>
      <c r="B1361" s="485" t="n">
        <v>3</v>
      </c>
      <c r="C1361" s="485" t="n">
        <v>2</v>
      </c>
      <c r="D1361" s="485" t="n">
        <v>1</v>
      </c>
      <c r="E1361" s="485" t="n">
        <v>2</v>
      </c>
      <c r="F1361" s="485" t="n">
        <v>2</v>
      </c>
      <c r="G1361" s="485" t="inlineStr">
        <is>
          <t>South-Right1</t>
        </is>
      </c>
      <c r="H1361" s="511" t="n">
        <v>3191.1</v>
      </c>
      <c r="I1361" s="511" t="n">
        <v>89</v>
      </c>
      <c r="J1361" s="511" t="n">
        <v>39</v>
      </c>
      <c r="K1361" s="511" t="n">
        <v>0</v>
      </c>
      <c r="L1361" s="511" t="n">
        <v>4</v>
      </c>
      <c r="M1361" s="495" t="inlineStr">
        <is>
          <t>T</t>
        </is>
      </c>
    </row>
    <row r="1362">
      <c r="A1362" s="485" t="n">
        <v>19</v>
      </c>
      <c r="B1362" s="485" t="n">
        <v>3</v>
      </c>
      <c r="C1362" s="485" t="n">
        <v>2</v>
      </c>
      <c r="D1362" s="485" t="n">
        <v>1</v>
      </c>
      <c r="E1362" s="485" t="n">
        <v>2</v>
      </c>
      <c r="F1362" s="485" t="n">
        <v>2</v>
      </c>
      <c r="G1362" s="485" t="inlineStr">
        <is>
          <t>South-Right2</t>
        </is>
      </c>
      <c r="H1362" s="511" t="n">
        <v>0</v>
      </c>
      <c r="I1362" s="511" t="n">
        <v>0</v>
      </c>
      <c r="J1362" s="511" t="n">
        <v>0</v>
      </c>
      <c r="K1362" s="511" t="n">
        <v>0</v>
      </c>
      <c r="L1362" s="511" t="n">
        <v>0</v>
      </c>
      <c r="M1362" s="495" t="inlineStr">
        <is>
          <t>T</t>
        </is>
      </c>
    </row>
    <row r="1363">
      <c r="A1363" s="485" t="n">
        <v>20</v>
      </c>
      <c r="B1363" s="485" t="n">
        <v>7</v>
      </c>
      <c r="C1363" s="485" t="n">
        <v>2</v>
      </c>
      <c r="D1363" s="485" t="n">
        <v>20</v>
      </c>
      <c r="E1363" s="485" t="n">
        <v>1</v>
      </c>
      <c r="F1363" s="485" t="n">
        <v>1</v>
      </c>
      <c r="G1363" s="485" t="inlineStr">
        <is>
          <t>West-Up2</t>
        </is>
      </c>
      <c r="H1363" s="485" t="n">
        <v>0</v>
      </c>
      <c r="I1363" s="485" t="n">
        <v>0</v>
      </c>
      <c r="J1363" s="485" t="n">
        <v>0</v>
      </c>
      <c r="K1363" s="485" t="n">
        <v>0</v>
      </c>
      <c r="L1363" s="485" t="n">
        <v>0</v>
      </c>
      <c r="M1363" s="514" t="n"/>
    </row>
    <row r="1364">
      <c r="A1364" s="485" t="n">
        <v>20</v>
      </c>
      <c r="B1364" s="485" t="n">
        <v>7</v>
      </c>
      <c r="C1364" s="485" t="n">
        <v>2</v>
      </c>
      <c r="D1364" s="485" t="n">
        <v>20</v>
      </c>
      <c r="E1364" s="485" t="n">
        <v>1</v>
      </c>
      <c r="F1364" s="485" t="n">
        <v>1</v>
      </c>
      <c r="G1364" s="516" t="inlineStr">
        <is>
          <t>West-Up1</t>
        </is>
      </c>
      <c r="H1364" s="485" t="n">
        <v>2686.57</v>
      </c>
      <c r="I1364" s="485" t="n">
        <v>2</v>
      </c>
      <c r="J1364" s="485" t="n">
        <v>10</v>
      </c>
      <c r="K1364" s="485" t="n">
        <v>12</v>
      </c>
      <c r="L1364" s="485" t="n">
        <v>4</v>
      </c>
      <c r="M1364" s="514" t="n"/>
    </row>
    <row r="1365">
      <c r="A1365" s="485" t="n">
        <v>20</v>
      </c>
      <c r="B1365" s="485" t="n">
        <v>7</v>
      </c>
      <c r="C1365" s="485" t="n">
        <v>2</v>
      </c>
      <c r="D1365" s="485" t="n">
        <v>20</v>
      </c>
      <c r="E1365" s="485" t="n">
        <v>1</v>
      </c>
      <c r="F1365" s="485" t="n">
        <v>1</v>
      </c>
      <c r="G1365" s="485" t="inlineStr">
        <is>
          <t>West-Down1</t>
        </is>
      </c>
      <c r="H1365" s="485" t="n">
        <v>2687.89</v>
      </c>
      <c r="I1365" s="485" t="n">
        <v>1</v>
      </c>
      <c r="J1365" s="485" t="n">
        <v>58</v>
      </c>
      <c r="K1365" s="485" t="n">
        <v>12</v>
      </c>
      <c r="L1365" s="485" t="n">
        <v>4</v>
      </c>
      <c r="M1365" s="514" t="n"/>
    </row>
    <row r="1366">
      <c r="A1366" s="485" t="n">
        <v>20</v>
      </c>
      <c r="B1366" s="485" t="n">
        <v>7</v>
      </c>
      <c r="C1366" s="485" t="n">
        <v>2</v>
      </c>
      <c r="D1366" s="485" t="n">
        <v>20</v>
      </c>
      <c r="E1366" s="485" t="n">
        <v>1</v>
      </c>
      <c r="F1366" s="485" t="n">
        <v>1</v>
      </c>
      <c r="G1366" s="485" t="inlineStr">
        <is>
          <t>West-Down2</t>
        </is>
      </c>
      <c r="H1366" s="485" t="n">
        <v>0</v>
      </c>
      <c r="I1366" s="485" t="n">
        <v>0</v>
      </c>
      <c r="J1366" s="485" t="n">
        <v>0</v>
      </c>
      <c r="K1366" s="485" t="n">
        <v>0</v>
      </c>
      <c r="L1366" s="485" t="n">
        <v>0</v>
      </c>
      <c r="M1366" s="514" t="n"/>
    </row>
    <row r="1367">
      <c r="A1367" s="485" t="n">
        <v>20</v>
      </c>
      <c r="B1367" s="485" t="n">
        <v>7</v>
      </c>
      <c r="C1367" s="485" t="n">
        <v>2</v>
      </c>
      <c r="D1367" s="485" t="n">
        <v>20</v>
      </c>
      <c r="E1367" s="485" t="n">
        <v>1</v>
      </c>
      <c r="F1367" s="485" t="n">
        <v>1</v>
      </c>
      <c r="G1367" s="485" t="inlineStr">
        <is>
          <t>East-Up2</t>
        </is>
      </c>
      <c r="H1367" s="485" t="n">
        <v>0</v>
      </c>
      <c r="I1367" s="485" t="n">
        <v>0</v>
      </c>
      <c r="J1367" s="485" t="n">
        <v>0</v>
      </c>
      <c r="K1367" s="485" t="n">
        <v>0</v>
      </c>
      <c r="L1367" s="485" t="n">
        <v>0</v>
      </c>
      <c r="M1367" s="514" t="n"/>
    </row>
    <row r="1368">
      <c r="A1368" s="485" t="n">
        <v>20</v>
      </c>
      <c r="B1368" s="485" t="n">
        <v>7</v>
      </c>
      <c r="C1368" s="485" t="n">
        <v>2</v>
      </c>
      <c r="D1368" s="485" t="n">
        <v>20</v>
      </c>
      <c r="E1368" s="485" t="n">
        <v>1</v>
      </c>
      <c r="F1368" s="485" t="n">
        <v>1</v>
      </c>
      <c r="G1368" s="516" t="inlineStr">
        <is>
          <t>East-Up1</t>
        </is>
      </c>
      <c r="H1368" s="485" t="n">
        <v>2692.16</v>
      </c>
      <c r="I1368" s="485" t="n">
        <v>1</v>
      </c>
      <c r="J1368" s="485" t="n">
        <v>57</v>
      </c>
      <c r="K1368" s="485" t="n">
        <v>57</v>
      </c>
      <c r="L1368" s="485" t="n">
        <v>4</v>
      </c>
      <c r="M1368" s="514" t="n"/>
    </row>
    <row r="1369">
      <c r="A1369" s="485" t="n">
        <v>20</v>
      </c>
      <c r="B1369" s="485" t="n">
        <v>7</v>
      </c>
      <c r="C1369" s="485" t="n">
        <v>2</v>
      </c>
      <c r="D1369" s="485" t="n">
        <v>20</v>
      </c>
      <c r="E1369" s="485" t="n">
        <v>1</v>
      </c>
      <c r="F1369" s="485" t="n">
        <v>1</v>
      </c>
      <c r="G1369" s="485" t="inlineStr">
        <is>
          <t>East-Down1</t>
        </is>
      </c>
      <c r="H1369" s="485" t="n">
        <v>2693.48</v>
      </c>
      <c r="I1369" s="485" t="n">
        <v>2</v>
      </c>
      <c r="J1369" s="485" t="n">
        <v>24</v>
      </c>
      <c r="K1369" s="485" t="n">
        <v>57</v>
      </c>
      <c r="L1369" s="485" t="n">
        <v>4</v>
      </c>
      <c r="M1369" s="514" t="n"/>
    </row>
    <row r="1370">
      <c r="A1370" s="485" t="n">
        <v>20</v>
      </c>
      <c r="B1370" s="485" t="n">
        <v>7</v>
      </c>
      <c r="C1370" s="485" t="n">
        <v>2</v>
      </c>
      <c r="D1370" s="485" t="n">
        <v>20</v>
      </c>
      <c r="E1370" s="485" t="n">
        <v>1</v>
      </c>
      <c r="F1370" s="485" t="n">
        <v>1</v>
      </c>
      <c r="G1370" s="485" t="inlineStr">
        <is>
          <t>East-Down2</t>
        </is>
      </c>
      <c r="H1370" s="485" t="n">
        <v>0</v>
      </c>
      <c r="I1370" s="485" t="n">
        <v>0</v>
      </c>
      <c r="J1370" s="485" t="n">
        <v>0</v>
      </c>
      <c r="K1370" s="485" t="n">
        <v>0</v>
      </c>
      <c r="L1370" s="485" t="n">
        <v>0</v>
      </c>
      <c r="M1370" s="514" t="n"/>
    </row>
    <row r="1371">
      <c r="A1371" s="485" t="n">
        <v>20</v>
      </c>
      <c r="B1371" s="485" t="n">
        <v>7</v>
      </c>
      <c r="C1371" s="485" t="n">
        <v>2</v>
      </c>
      <c r="D1371" s="485" t="n">
        <v>20</v>
      </c>
      <c r="E1371" s="485" t="n">
        <v>1</v>
      </c>
      <c r="F1371" s="485" t="n">
        <v>1</v>
      </c>
      <c r="G1371" s="485" t="inlineStr">
        <is>
          <t>North-Left2</t>
        </is>
      </c>
      <c r="H1371" s="485" t="n">
        <v>0</v>
      </c>
      <c r="I1371" s="485" t="n">
        <v>0</v>
      </c>
      <c r="J1371" s="485" t="n">
        <v>0</v>
      </c>
      <c r="K1371" s="485" t="n">
        <v>0</v>
      </c>
      <c r="L1371" s="485" t="n">
        <v>0</v>
      </c>
      <c r="M1371" s="514" t="n"/>
    </row>
    <row r="1372">
      <c r="A1372" s="485" t="n">
        <v>20</v>
      </c>
      <c r="B1372" s="485" t="n">
        <v>7</v>
      </c>
      <c r="C1372" s="485" t="n">
        <v>2</v>
      </c>
      <c r="D1372" s="485" t="n">
        <v>20</v>
      </c>
      <c r="E1372" s="485" t="n">
        <v>1</v>
      </c>
      <c r="F1372" s="485" t="n">
        <v>1</v>
      </c>
      <c r="G1372" s="516" t="inlineStr">
        <is>
          <t>North-Left1</t>
        </is>
      </c>
      <c r="H1372" s="485" t="n">
        <v>2648.07</v>
      </c>
      <c r="I1372" s="485" t="n">
        <v>88</v>
      </c>
      <c r="J1372" s="485" t="n">
        <v>5</v>
      </c>
      <c r="K1372" s="485" t="n">
        <v>44</v>
      </c>
      <c r="L1372" s="485" t="n">
        <v>3</v>
      </c>
      <c r="M1372" s="514" t="n"/>
    </row>
    <row r="1373">
      <c r="A1373" s="485" t="n">
        <v>20</v>
      </c>
      <c r="B1373" s="485" t="n">
        <v>7</v>
      </c>
      <c r="C1373" s="485" t="n">
        <v>2</v>
      </c>
      <c r="D1373" s="485" t="n">
        <v>20</v>
      </c>
      <c r="E1373" s="485" t="n">
        <v>1</v>
      </c>
      <c r="F1373" s="485" t="n">
        <v>1</v>
      </c>
      <c r="G1373" s="485" t="inlineStr">
        <is>
          <t>North-Right1</t>
        </is>
      </c>
      <c r="H1373" s="485" t="n">
        <v>2641.29</v>
      </c>
      <c r="I1373" s="485" t="n">
        <v>88</v>
      </c>
      <c r="J1373" s="485" t="n">
        <v>2</v>
      </c>
      <c r="K1373" s="485" t="n">
        <v>51</v>
      </c>
      <c r="L1373" s="485" t="n">
        <v>3</v>
      </c>
      <c r="M1373" s="514" t="n"/>
    </row>
    <row r="1374">
      <c r="A1374" s="485" t="n">
        <v>20</v>
      </c>
      <c r="B1374" s="485" t="n">
        <v>7</v>
      </c>
      <c r="C1374" s="485" t="n">
        <v>2</v>
      </c>
      <c r="D1374" s="485" t="n">
        <v>20</v>
      </c>
      <c r="E1374" s="485" t="n">
        <v>1</v>
      </c>
      <c r="F1374" s="485" t="n">
        <v>1</v>
      </c>
      <c r="G1374" s="485" t="inlineStr">
        <is>
          <t>North-Right2</t>
        </is>
      </c>
      <c r="H1374" s="485" t="n">
        <v>0</v>
      </c>
      <c r="I1374" s="485" t="n">
        <v>0</v>
      </c>
      <c r="J1374" s="485" t="n">
        <v>0</v>
      </c>
      <c r="K1374" s="485" t="n">
        <v>0</v>
      </c>
      <c r="L1374" s="485" t="n">
        <v>0</v>
      </c>
      <c r="M1374" s="514" t="n"/>
    </row>
    <row r="1375">
      <c r="A1375" s="485" t="n">
        <v>20</v>
      </c>
      <c r="B1375" s="485" t="n">
        <v>7</v>
      </c>
      <c r="C1375" s="485" t="n">
        <v>2</v>
      </c>
      <c r="D1375" s="485" t="n">
        <v>20</v>
      </c>
      <c r="E1375" s="485" t="n">
        <v>1</v>
      </c>
      <c r="F1375" s="485" t="n">
        <v>1</v>
      </c>
      <c r="G1375" s="485" t="inlineStr">
        <is>
          <t>South-Left2</t>
        </is>
      </c>
      <c r="H1375" s="485" t="n">
        <v>0</v>
      </c>
      <c r="I1375" s="485" t="n">
        <v>0</v>
      </c>
      <c r="J1375" s="485" t="n">
        <v>0</v>
      </c>
      <c r="K1375" s="485" t="n">
        <v>0</v>
      </c>
      <c r="L1375" s="485" t="n">
        <v>0</v>
      </c>
      <c r="M1375" s="514" t="n"/>
    </row>
    <row r="1376">
      <c r="A1376" s="485" t="n">
        <v>20</v>
      </c>
      <c r="B1376" s="485" t="n">
        <v>7</v>
      </c>
      <c r="C1376" s="485" t="n">
        <v>2</v>
      </c>
      <c r="D1376" s="485" t="n">
        <v>20</v>
      </c>
      <c r="E1376" s="485" t="n">
        <v>1</v>
      </c>
      <c r="F1376" s="485" t="n">
        <v>1</v>
      </c>
      <c r="G1376" s="516" t="inlineStr">
        <is>
          <t>South-Left1</t>
        </is>
      </c>
      <c r="H1376" s="485" t="n">
        <v>2650.04</v>
      </c>
      <c r="I1376" s="485" t="n">
        <v>88</v>
      </c>
      <c r="J1376" s="485" t="n">
        <v>20</v>
      </c>
      <c r="K1376" s="485" t="n">
        <v>52</v>
      </c>
      <c r="L1376" s="485" t="n">
        <v>3</v>
      </c>
      <c r="M1376" s="514" t="n"/>
    </row>
    <row r="1377">
      <c r="A1377" s="485" t="n">
        <v>20</v>
      </c>
      <c r="B1377" s="485" t="n">
        <v>7</v>
      </c>
      <c r="C1377" s="485" t="n">
        <v>2</v>
      </c>
      <c r="D1377" s="485" t="n">
        <v>20</v>
      </c>
      <c r="E1377" s="485" t="n">
        <v>1</v>
      </c>
      <c r="F1377" s="485" t="n">
        <v>1</v>
      </c>
      <c r="G1377" s="485" t="inlineStr">
        <is>
          <t>South-Right1</t>
        </is>
      </c>
      <c r="H1377" s="485" t="n">
        <v>2650.73</v>
      </c>
      <c r="I1377" s="485" t="n">
        <v>88</v>
      </c>
      <c r="J1377" s="485" t="n">
        <v>2</v>
      </c>
      <c r="K1377" s="485" t="n">
        <v>7</v>
      </c>
      <c r="L1377" s="485" t="n">
        <v>3</v>
      </c>
      <c r="M1377" s="514" t="n"/>
    </row>
    <row r="1378">
      <c r="A1378" s="485" t="n">
        <v>20</v>
      </c>
      <c r="B1378" s="485" t="n">
        <v>7</v>
      </c>
      <c r="C1378" s="485" t="n">
        <v>2</v>
      </c>
      <c r="D1378" s="485" t="n">
        <v>20</v>
      </c>
      <c r="E1378" s="485" t="n">
        <v>1</v>
      </c>
      <c r="F1378" s="485" t="n">
        <v>1</v>
      </c>
      <c r="G1378" s="485" t="inlineStr">
        <is>
          <t>South-Right2</t>
        </is>
      </c>
      <c r="H1378" s="485" t="n">
        <v>0</v>
      </c>
      <c r="I1378" s="485" t="n">
        <v>0</v>
      </c>
      <c r="J1378" s="485" t="n">
        <v>0</v>
      </c>
      <c r="K1378" s="485" t="n">
        <v>0</v>
      </c>
      <c r="L1378" s="485" t="n">
        <v>0</v>
      </c>
      <c r="M1378" s="514" t="n"/>
    </row>
    <row r="1379">
      <c r="A1379" s="485" t="n">
        <v>20</v>
      </c>
      <c r="B1379" s="485" t="n">
        <v>2</v>
      </c>
      <c r="C1379" s="485" t="n">
        <v>2</v>
      </c>
      <c r="D1379" s="485" t="n">
        <v>3</v>
      </c>
      <c r="E1379" s="485" t="n">
        <v>2</v>
      </c>
      <c r="F1379" s="485" t="n">
        <v>2</v>
      </c>
      <c r="G1379" s="485" t="inlineStr">
        <is>
          <t>West-Up2</t>
        </is>
      </c>
      <c r="H1379" s="485" t="n">
        <v>0</v>
      </c>
      <c r="I1379" s="485" t="n">
        <v>0</v>
      </c>
      <c r="J1379" s="485" t="n">
        <v>0</v>
      </c>
      <c r="K1379" s="485" t="n">
        <v>0</v>
      </c>
      <c r="L1379" s="485" t="n">
        <v>0</v>
      </c>
      <c r="M1379" s="514" t="inlineStr">
        <is>
          <t>T</t>
        </is>
      </c>
    </row>
    <row r="1380">
      <c r="A1380" s="485" t="n">
        <v>20</v>
      </c>
      <c r="B1380" s="485" t="n">
        <v>2</v>
      </c>
      <c r="C1380" s="485" t="n">
        <v>2</v>
      </c>
      <c r="D1380" s="485" t="n">
        <v>3</v>
      </c>
      <c r="E1380" s="485" t="n">
        <v>2</v>
      </c>
      <c r="F1380" s="485" t="n">
        <v>2</v>
      </c>
      <c r="G1380" s="516" t="inlineStr">
        <is>
          <t>West-Up1</t>
        </is>
      </c>
      <c r="H1380" s="485" t="n">
        <v>5298.7</v>
      </c>
      <c r="I1380" s="485" t="n">
        <v>0</v>
      </c>
      <c r="J1380" s="485" t="n">
        <v>2</v>
      </c>
      <c r="K1380" s="485" t="n">
        <v>47</v>
      </c>
      <c r="L1380" s="485" t="n">
        <v>4</v>
      </c>
      <c r="M1380" s="514" t="inlineStr">
        <is>
          <t>T</t>
        </is>
      </c>
    </row>
    <row r="1381">
      <c r="A1381" s="485" t="n">
        <v>20</v>
      </c>
      <c r="B1381" s="485" t="n">
        <v>2</v>
      </c>
      <c r="C1381" s="485" t="n">
        <v>2</v>
      </c>
      <c r="D1381" s="485" t="n">
        <v>3</v>
      </c>
      <c r="E1381" s="485" t="n">
        <v>2</v>
      </c>
      <c r="F1381" s="485" t="n">
        <v>2</v>
      </c>
      <c r="G1381" s="485" t="inlineStr">
        <is>
          <t>West-Down1</t>
        </is>
      </c>
      <c r="H1381" s="485" t="n">
        <v>0</v>
      </c>
      <c r="I1381" s="485" t="n">
        <v>0</v>
      </c>
      <c r="J1381" s="485" t="n">
        <v>0</v>
      </c>
      <c r="K1381" s="485" t="n">
        <v>0</v>
      </c>
      <c r="L1381" s="485" t="n">
        <v>0</v>
      </c>
      <c r="M1381" s="514" t="inlineStr">
        <is>
          <t>T</t>
        </is>
      </c>
    </row>
    <row r="1382">
      <c r="A1382" s="485" t="n">
        <v>20</v>
      </c>
      <c r="B1382" s="485" t="n">
        <v>2</v>
      </c>
      <c r="C1382" s="485" t="n">
        <v>2</v>
      </c>
      <c r="D1382" s="485" t="n">
        <v>3</v>
      </c>
      <c r="E1382" s="485" t="n">
        <v>2</v>
      </c>
      <c r="F1382" s="485" t="n">
        <v>2</v>
      </c>
      <c r="G1382" s="485" t="inlineStr">
        <is>
          <t>West-Down2</t>
        </is>
      </c>
      <c r="H1382" s="485" t="n">
        <v>0</v>
      </c>
      <c r="I1382" s="485" t="n">
        <v>0</v>
      </c>
      <c r="J1382" s="485" t="n">
        <v>0</v>
      </c>
      <c r="K1382" s="485" t="n">
        <v>0</v>
      </c>
      <c r="L1382" s="485" t="n">
        <v>0</v>
      </c>
      <c r="M1382" s="514" t="inlineStr">
        <is>
          <t>T</t>
        </is>
      </c>
    </row>
    <row r="1383">
      <c r="A1383" s="485" t="n">
        <v>20</v>
      </c>
      <c r="B1383" s="485" t="n">
        <v>2</v>
      </c>
      <c r="C1383" s="485" t="n">
        <v>2</v>
      </c>
      <c r="D1383" s="485" t="n">
        <v>3</v>
      </c>
      <c r="E1383" s="485" t="n">
        <v>2</v>
      </c>
      <c r="F1383" s="485" t="n">
        <v>2</v>
      </c>
      <c r="G1383" s="485" t="inlineStr">
        <is>
          <t>East-Up2</t>
        </is>
      </c>
      <c r="H1383" s="485" t="n">
        <v>0</v>
      </c>
      <c r="I1383" s="485" t="n">
        <v>0</v>
      </c>
      <c r="J1383" s="485" t="n">
        <v>0</v>
      </c>
      <c r="K1383" s="485" t="n">
        <v>0</v>
      </c>
      <c r="L1383" s="485" t="n">
        <v>0</v>
      </c>
      <c r="M1383" s="514" t="inlineStr">
        <is>
          <t>T</t>
        </is>
      </c>
    </row>
    <row r="1384">
      <c r="A1384" s="485" t="n">
        <v>20</v>
      </c>
      <c r="B1384" s="485" t="n">
        <v>2</v>
      </c>
      <c r="C1384" s="485" t="n">
        <v>2</v>
      </c>
      <c r="D1384" s="485" t="n">
        <v>3</v>
      </c>
      <c r="E1384" s="485" t="n">
        <v>2</v>
      </c>
      <c r="F1384" s="485" t="n">
        <v>2</v>
      </c>
      <c r="G1384" s="516" t="inlineStr">
        <is>
          <t>East-Up1</t>
        </is>
      </c>
      <c r="H1384" s="485" t="n">
        <v>5288.85</v>
      </c>
      <c r="I1384" s="485" t="n">
        <v>0</v>
      </c>
      <c r="J1384" s="485" t="n">
        <v>17</v>
      </c>
      <c r="K1384" s="485" t="n">
        <v>38</v>
      </c>
      <c r="L1384" s="485" t="n">
        <v>2</v>
      </c>
      <c r="M1384" s="514" t="inlineStr">
        <is>
          <t>T</t>
        </is>
      </c>
    </row>
    <row r="1385">
      <c r="A1385" s="485" t="n">
        <v>20</v>
      </c>
      <c r="B1385" s="485" t="n">
        <v>2</v>
      </c>
      <c r="C1385" s="485" t="n">
        <v>2</v>
      </c>
      <c r="D1385" s="485" t="n">
        <v>3</v>
      </c>
      <c r="E1385" s="485" t="n">
        <v>2</v>
      </c>
      <c r="F1385" s="485" t="n">
        <v>2</v>
      </c>
      <c r="G1385" s="485" t="inlineStr">
        <is>
          <t>East-Down1</t>
        </is>
      </c>
      <c r="H1385" s="485" t="n">
        <v>0</v>
      </c>
      <c r="I1385" s="485" t="n">
        <v>0</v>
      </c>
      <c r="J1385" s="485" t="n">
        <v>0</v>
      </c>
      <c r="K1385" s="485" t="n">
        <v>0</v>
      </c>
      <c r="L1385" s="485" t="n">
        <v>0</v>
      </c>
      <c r="M1385" s="514" t="inlineStr">
        <is>
          <t>T</t>
        </is>
      </c>
    </row>
    <row r="1386">
      <c r="A1386" s="485" t="n">
        <v>20</v>
      </c>
      <c r="B1386" s="485" t="n">
        <v>2</v>
      </c>
      <c r="C1386" s="485" t="n">
        <v>2</v>
      </c>
      <c r="D1386" s="485" t="n">
        <v>3</v>
      </c>
      <c r="E1386" s="485" t="n">
        <v>2</v>
      </c>
      <c r="F1386" s="485" t="n">
        <v>2</v>
      </c>
      <c r="G1386" s="485" t="inlineStr">
        <is>
          <t>East-Down2</t>
        </is>
      </c>
      <c r="H1386" s="485" t="n">
        <v>0</v>
      </c>
      <c r="I1386" s="485" t="n">
        <v>0</v>
      </c>
      <c r="J1386" s="485" t="n">
        <v>0</v>
      </c>
      <c r="K1386" s="485" t="n">
        <v>0</v>
      </c>
      <c r="L1386" s="485" t="n">
        <v>0</v>
      </c>
      <c r="M1386" s="514" t="inlineStr">
        <is>
          <t>T</t>
        </is>
      </c>
    </row>
    <row r="1387">
      <c r="A1387" s="485" t="n">
        <v>20</v>
      </c>
      <c r="B1387" s="485" t="n">
        <v>2</v>
      </c>
      <c r="C1387" s="485" t="n">
        <v>2</v>
      </c>
      <c r="D1387" s="485" t="n">
        <v>3</v>
      </c>
      <c r="E1387" s="485" t="n">
        <v>2</v>
      </c>
      <c r="F1387" s="485" t="n">
        <v>2</v>
      </c>
      <c r="G1387" s="485" t="inlineStr">
        <is>
          <t>North-Left2</t>
        </is>
      </c>
      <c r="H1387" s="485" t="n">
        <v>0</v>
      </c>
      <c r="I1387" s="485" t="n">
        <v>0</v>
      </c>
      <c r="J1387" s="485" t="n">
        <v>0</v>
      </c>
      <c r="K1387" s="485" t="n">
        <v>0</v>
      </c>
      <c r="L1387" s="485" t="n">
        <v>0</v>
      </c>
      <c r="M1387" s="514" t="inlineStr">
        <is>
          <t>T</t>
        </is>
      </c>
    </row>
    <row r="1388">
      <c r="A1388" s="485" t="n">
        <v>20</v>
      </c>
      <c r="B1388" s="485" t="n">
        <v>2</v>
      </c>
      <c r="C1388" s="485" t="n">
        <v>2</v>
      </c>
      <c r="D1388" s="485" t="n">
        <v>3</v>
      </c>
      <c r="E1388" s="485" t="n">
        <v>2</v>
      </c>
      <c r="F1388" s="485" t="n">
        <v>2</v>
      </c>
      <c r="G1388" s="516" t="inlineStr">
        <is>
          <t>North-Left1</t>
        </is>
      </c>
      <c r="H1388" s="485" t="n">
        <v>5271.41</v>
      </c>
      <c r="I1388" s="485" t="n">
        <v>89</v>
      </c>
      <c r="J1388" s="485" t="n">
        <v>54</v>
      </c>
      <c r="K1388" s="485" t="n">
        <v>37</v>
      </c>
      <c r="L1388" s="485" t="n">
        <v>4</v>
      </c>
      <c r="M1388" s="514" t="inlineStr">
        <is>
          <t>T</t>
        </is>
      </c>
    </row>
    <row r="1389">
      <c r="A1389" s="485" t="n">
        <v>20</v>
      </c>
      <c r="B1389" s="485" t="n">
        <v>2</v>
      </c>
      <c r="C1389" s="485" t="n">
        <v>2</v>
      </c>
      <c r="D1389" s="485" t="n">
        <v>3</v>
      </c>
      <c r="E1389" s="485" t="n">
        <v>2</v>
      </c>
      <c r="F1389" s="485" t="n">
        <v>2</v>
      </c>
      <c r="G1389" s="485" t="inlineStr">
        <is>
          <t>North-Right1</t>
        </is>
      </c>
      <c r="H1389" s="485" t="n">
        <v>0</v>
      </c>
      <c r="I1389" s="485" t="n">
        <v>0</v>
      </c>
      <c r="J1389" s="485" t="n">
        <v>0</v>
      </c>
      <c r="K1389" s="485" t="n">
        <v>0</v>
      </c>
      <c r="L1389" s="485" t="n">
        <v>0</v>
      </c>
      <c r="M1389" s="514" t="inlineStr">
        <is>
          <t>T</t>
        </is>
      </c>
    </row>
    <row r="1390">
      <c r="A1390" s="485" t="n">
        <v>20</v>
      </c>
      <c r="B1390" s="485" t="n">
        <v>2</v>
      </c>
      <c r="C1390" s="485" t="n">
        <v>2</v>
      </c>
      <c r="D1390" s="485" t="n">
        <v>3</v>
      </c>
      <c r="E1390" s="485" t="n">
        <v>2</v>
      </c>
      <c r="F1390" s="485" t="n">
        <v>2</v>
      </c>
      <c r="G1390" s="485" t="inlineStr">
        <is>
          <t>North-Right2</t>
        </is>
      </c>
      <c r="H1390" s="485" t="n">
        <v>0</v>
      </c>
      <c r="I1390" s="485" t="n">
        <v>0</v>
      </c>
      <c r="J1390" s="485" t="n">
        <v>0</v>
      </c>
      <c r="K1390" s="485" t="n">
        <v>0</v>
      </c>
      <c r="L1390" s="485" t="n">
        <v>0</v>
      </c>
      <c r="M1390" s="514" t="inlineStr">
        <is>
          <t>T</t>
        </is>
      </c>
    </row>
    <row r="1391">
      <c r="A1391" s="485" t="n">
        <v>20</v>
      </c>
      <c r="B1391" s="485" t="n">
        <v>2</v>
      </c>
      <c r="C1391" s="485" t="n">
        <v>2</v>
      </c>
      <c r="D1391" s="485" t="n">
        <v>3</v>
      </c>
      <c r="E1391" s="485" t="n">
        <v>2</v>
      </c>
      <c r="F1391" s="485" t="n">
        <v>2</v>
      </c>
      <c r="G1391" s="485" t="inlineStr">
        <is>
          <t>South-Left2</t>
        </is>
      </c>
      <c r="H1391" s="485" t="n">
        <v>0</v>
      </c>
      <c r="I1391" s="485" t="n">
        <v>0</v>
      </c>
      <c r="J1391" s="485" t="n">
        <v>0</v>
      </c>
      <c r="K1391" s="485" t="n">
        <v>0</v>
      </c>
      <c r="L1391" s="485" t="n">
        <v>0</v>
      </c>
      <c r="M1391" s="514" t="inlineStr">
        <is>
          <t>T</t>
        </is>
      </c>
    </row>
    <row r="1392">
      <c r="A1392" s="485" t="n">
        <v>20</v>
      </c>
      <c r="B1392" s="485" t="n">
        <v>2</v>
      </c>
      <c r="C1392" s="485" t="n">
        <v>2</v>
      </c>
      <c r="D1392" s="485" t="n">
        <v>3</v>
      </c>
      <c r="E1392" s="485" t="n">
        <v>2</v>
      </c>
      <c r="F1392" s="485" t="n">
        <v>2</v>
      </c>
      <c r="G1392" s="516" t="inlineStr">
        <is>
          <t>South-Left1</t>
        </is>
      </c>
      <c r="H1392" s="485" t="n">
        <v>5239.99</v>
      </c>
      <c r="I1392" s="485" t="n">
        <v>89</v>
      </c>
      <c r="J1392" s="485" t="n">
        <v>58</v>
      </c>
      <c r="K1392" s="485" t="n">
        <v>54</v>
      </c>
      <c r="L1392" s="485" t="n">
        <v>3</v>
      </c>
      <c r="M1392" s="514" t="inlineStr">
        <is>
          <t>T</t>
        </is>
      </c>
    </row>
    <row r="1393">
      <c r="A1393" s="485" t="n">
        <v>20</v>
      </c>
      <c r="B1393" s="485" t="n">
        <v>2</v>
      </c>
      <c r="C1393" s="485" t="n">
        <v>2</v>
      </c>
      <c r="D1393" s="485" t="n">
        <v>3</v>
      </c>
      <c r="E1393" s="485" t="n">
        <v>2</v>
      </c>
      <c r="F1393" s="485" t="n">
        <v>2</v>
      </c>
      <c r="G1393" s="485" t="inlineStr">
        <is>
          <t>South-Right1</t>
        </is>
      </c>
      <c r="H1393" s="485" t="n">
        <v>0</v>
      </c>
      <c r="I1393" s="485" t="n">
        <v>0</v>
      </c>
      <c r="J1393" s="485" t="n">
        <v>0</v>
      </c>
      <c r="K1393" s="485" t="n">
        <v>0</v>
      </c>
      <c r="L1393" s="485" t="n">
        <v>0</v>
      </c>
      <c r="M1393" s="514" t="inlineStr">
        <is>
          <t>T</t>
        </is>
      </c>
    </row>
    <row r="1394">
      <c r="A1394" s="485" t="n">
        <v>20</v>
      </c>
      <c r="B1394" s="485" t="n">
        <v>2</v>
      </c>
      <c r="C1394" s="485" t="n">
        <v>2</v>
      </c>
      <c r="D1394" s="485" t="n">
        <v>3</v>
      </c>
      <c r="E1394" s="485" t="n">
        <v>2</v>
      </c>
      <c r="F1394" s="485" t="n">
        <v>2</v>
      </c>
      <c r="G1394" s="485" t="inlineStr">
        <is>
          <t>South-Right2</t>
        </is>
      </c>
      <c r="H1394" s="485" t="n">
        <v>0</v>
      </c>
      <c r="I1394" s="485" t="n">
        <v>0</v>
      </c>
      <c r="J1394" s="485" t="n">
        <v>0</v>
      </c>
      <c r="K1394" s="485" t="n">
        <v>0</v>
      </c>
      <c r="L1394" s="485" t="n">
        <v>0</v>
      </c>
      <c r="M1394" s="514" t="inlineStr">
        <is>
          <t>T</t>
        </is>
      </c>
    </row>
    <row r="1395">
      <c r="A1395" s="486" t="n">
        <v>20</v>
      </c>
      <c r="B1395" s="486" t="n">
        <v>3</v>
      </c>
      <c r="C1395" s="486" t="n">
        <v>2</v>
      </c>
      <c r="D1395" s="486" t="n">
        <v>1</v>
      </c>
      <c r="E1395" s="486" t="n">
        <v>1</v>
      </c>
      <c r="F1395" s="486" t="n">
        <v>2</v>
      </c>
      <c r="G1395" s="486" t="inlineStr">
        <is>
          <t>West-Up2</t>
        </is>
      </c>
      <c r="H1395" s="486" t="n">
        <v>0</v>
      </c>
      <c r="I1395" s="486" t="n">
        <v>0</v>
      </c>
      <c r="J1395" s="486" t="n">
        <v>0</v>
      </c>
      <c r="K1395" s="486" t="n">
        <v>0</v>
      </c>
      <c r="L1395" s="486" t="n">
        <v>0</v>
      </c>
      <c r="M1395" s="487" t="inlineStr">
        <is>
          <t>G</t>
        </is>
      </c>
    </row>
    <row r="1396">
      <c r="A1396" s="486" t="n">
        <v>20</v>
      </c>
      <c r="B1396" s="486" t="n">
        <v>3</v>
      </c>
      <c r="C1396" s="486" t="n">
        <v>2</v>
      </c>
      <c r="D1396" s="486" t="n">
        <v>1</v>
      </c>
      <c r="E1396" s="486" t="n">
        <v>1</v>
      </c>
      <c r="F1396" s="486" t="n">
        <v>2</v>
      </c>
      <c r="G1396" s="475" t="inlineStr">
        <is>
          <t>West-Up1</t>
        </is>
      </c>
      <c r="H1396" s="486" t="n">
        <v>2630.11</v>
      </c>
      <c r="I1396" s="486" t="n">
        <v>1</v>
      </c>
      <c r="J1396" s="486" t="n">
        <v>0</v>
      </c>
      <c r="K1396" s="486" t="n">
        <v>46</v>
      </c>
      <c r="L1396" s="486" t="n">
        <v>4</v>
      </c>
      <c r="M1396" s="487" t="inlineStr">
        <is>
          <t>G</t>
        </is>
      </c>
    </row>
    <row r="1397">
      <c r="A1397" s="486" t="n">
        <v>20</v>
      </c>
      <c r="B1397" s="486" t="n">
        <v>3</v>
      </c>
      <c r="C1397" s="486" t="n">
        <v>2</v>
      </c>
      <c r="D1397" s="486" t="n">
        <v>1</v>
      </c>
      <c r="E1397" s="486" t="n">
        <v>1</v>
      </c>
      <c r="F1397" s="486" t="n">
        <v>2</v>
      </c>
      <c r="G1397" s="486" t="inlineStr">
        <is>
          <t>West-Down1</t>
        </is>
      </c>
      <c r="H1397" s="486" t="n">
        <v>2708.63</v>
      </c>
      <c r="I1397" s="486" t="n">
        <v>0</v>
      </c>
      <c r="J1397" s="486" t="n">
        <v>55</v>
      </c>
      <c r="K1397" s="486" t="n">
        <v>23</v>
      </c>
      <c r="L1397" s="486" t="n">
        <v>4</v>
      </c>
      <c r="M1397" s="487" t="inlineStr">
        <is>
          <t>G</t>
        </is>
      </c>
    </row>
    <row r="1398">
      <c r="A1398" s="486" t="n">
        <v>20</v>
      </c>
      <c r="B1398" s="486" t="n">
        <v>3</v>
      </c>
      <c r="C1398" s="486" t="n">
        <v>2</v>
      </c>
      <c r="D1398" s="486" t="n">
        <v>1</v>
      </c>
      <c r="E1398" s="486" t="n">
        <v>1</v>
      </c>
      <c r="F1398" s="486" t="n">
        <v>2</v>
      </c>
      <c r="G1398" s="486" t="inlineStr">
        <is>
          <t>West-Down2</t>
        </is>
      </c>
      <c r="H1398" s="486" t="n">
        <v>0</v>
      </c>
      <c r="I1398" s="486" t="n">
        <v>0</v>
      </c>
      <c r="J1398" s="486" t="n">
        <v>0</v>
      </c>
      <c r="K1398" s="486" t="n">
        <v>0</v>
      </c>
      <c r="L1398" s="486" t="n">
        <v>0</v>
      </c>
      <c r="M1398" s="487" t="inlineStr">
        <is>
          <t>G</t>
        </is>
      </c>
    </row>
    <row r="1399">
      <c r="A1399" s="486" t="n">
        <v>20</v>
      </c>
      <c r="B1399" s="486" t="n">
        <v>3</v>
      </c>
      <c r="C1399" s="486" t="n">
        <v>2</v>
      </c>
      <c r="D1399" s="486" t="n">
        <v>1</v>
      </c>
      <c r="E1399" s="486" t="n">
        <v>1</v>
      </c>
      <c r="F1399" s="486" t="n">
        <v>2</v>
      </c>
      <c r="G1399" s="486" t="inlineStr">
        <is>
          <t>East-Up2</t>
        </is>
      </c>
      <c r="H1399" s="486" t="n">
        <v>1337.99</v>
      </c>
      <c r="I1399" s="486" t="n">
        <v>1</v>
      </c>
      <c r="J1399" s="486" t="n">
        <v>29</v>
      </c>
      <c r="K1399" s="486" t="n">
        <v>9</v>
      </c>
      <c r="L1399" s="486" t="n">
        <v>1</v>
      </c>
      <c r="M1399" s="487" t="inlineStr">
        <is>
          <t>G</t>
        </is>
      </c>
    </row>
    <row r="1400">
      <c r="A1400" s="486" t="n">
        <v>20</v>
      </c>
      <c r="B1400" s="486" t="n">
        <v>3</v>
      </c>
      <c r="C1400" s="486" t="n">
        <v>2</v>
      </c>
      <c r="D1400" s="486" t="n">
        <v>1</v>
      </c>
      <c r="E1400" s="486" t="n">
        <v>1</v>
      </c>
      <c r="F1400" s="486" t="n">
        <v>2</v>
      </c>
      <c r="G1400" s="475" t="inlineStr">
        <is>
          <t>East-Up1</t>
        </is>
      </c>
      <c r="H1400" s="486" t="n">
        <v>1314.27</v>
      </c>
      <c r="I1400" s="486" t="n">
        <v>1</v>
      </c>
      <c r="J1400" s="486" t="n">
        <v>26</v>
      </c>
      <c r="K1400" s="486" t="n">
        <v>9</v>
      </c>
      <c r="L1400" s="486" t="n">
        <v>1</v>
      </c>
      <c r="M1400" s="487" t="inlineStr">
        <is>
          <t>G</t>
        </is>
      </c>
    </row>
    <row r="1401">
      <c r="A1401" s="486" t="n">
        <v>20</v>
      </c>
      <c r="B1401" s="486" t="n">
        <v>3</v>
      </c>
      <c r="C1401" s="486" t="n">
        <v>2</v>
      </c>
      <c r="D1401" s="486" t="n">
        <v>1</v>
      </c>
      <c r="E1401" s="486" t="n">
        <v>1</v>
      </c>
      <c r="F1401" s="486" t="n">
        <v>2</v>
      </c>
      <c r="G1401" s="486" t="inlineStr">
        <is>
          <t>East-Down1</t>
        </is>
      </c>
      <c r="H1401" s="486" t="n">
        <v>2637.93</v>
      </c>
      <c r="I1401" s="486" t="n">
        <v>0</v>
      </c>
      <c r="J1401" s="486" t="n">
        <v>27</v>
      </c>
      <c r="K1401" s="486" t="n">
        <v>23</v>
      </c>
      <c r="L1401" s="486" t="n">
        <v>3</v>
      </c>
      <c r="M1401" s="487" t="inlineStr">
        <is>
          <t>G</t>
        </is>
      </c>
    </row>
    <row r="1402">
      <c r="A1402" s="486" t="n">
        <v>20</v>
      </c>
      <c r="B1402" s="486" t="n">
        <v>3</v>
      </c>
      <c r="C1402" s="486" t="n">
        <v>2</v>
      </c>
      <c r="D1402" s="486" t="n">
        <v>1</v>
      </c>
      <c r="E1402" s="486" t="n">
        <v>1</v>
      </c>
      <c r="F1402" s="486" t="n">
        <v>2</v>
      </c>
      <c r="G1402" s="486" t="inlineStr">
        <is>
          <t>East-Down2</t>
        </is>
      </c>
      <c r="H1402" s="486" t="n">
        <v>0</v>
      </c>
      <c r="I1402" s="486" t="n">
        <v>0</v>
      </c>
      <c r="J1402" s="486" t="n">
        <v>0</v>
      </c>
      <c r="K1402" s="486" t="n">
        <v>0</v>
      </c>
      <c r="L1402" s="486" t="n">
        <v>0</v>
      </c>
      <c r="M1402" s="487" t="inlineStr">
        <is>
          <t>G</t>
        </is>
      </c>
    </row>
    <row r="1403">
      <c r="A1403" s="486" t="n">
        <v>20</v>
      </c>
      <c r="B1403" s="486" t="n">
        <v>3</v>
      </c>
      <c r="C1403" s="486" t="n">
        <v>2</v>
      </c>
      <c r="D1403" s="486" t="n">
        <v>1</v>
      </c>
      <c r="E1403" s="486" t="n">
        <v>1</v>
      </c>
      <c r="F1403" s="486" t="n">
        <v>2</v>
      </c>
      <c r="G1403" s="486" t="inlineStr">
        <is>
          <t>North-Left2</t>
        </is>
      </c>
      <c r="H1403" s="486" t="n">
        <v>0</v>
      </c>
      <c r="I1403" s="486" t="n">
        <v>0</v>
      </c>
      <c r="J1403" s="486" t="n">
        <v>0</v>
      </c>
      <c r="K1403" s="486" t="n">
        <v>0</v>
      </c>
      <c r="L1403" s="486" t="n">
        <v>0</v>
      </c>
      <c r="M1403" s="487" t="inlineStr">
        <is>
          <t>G</t>
        </is>
      </c>
    </row>
    <row r="1404">
      <c r="A1404" s="486" t="n">
        <v>20</v>
      </c>
      <c r="B1404" s="486" t="n">
        <v>3</v>
      </c>
      <c r="C1404" s="486" t="n">
        <v>2</v>
      </c>
      <c r="D1404" s="486" t="n">
        <v>1</v>
      </c>
      <c r="E1404" s="486" t="n">
        <v>1</v>
      </c>
      <c r="F1404" s="486" t="n">
        <v>2</v>
      </c>
      <c r="G1404" s="475" t="inlineStr">
        <is>
          <t>North-Left1</t>
        </is>
      </c>
      <c r="H1404" s="486" t="n">
        <v>2637.42</v>
      </c>
      <c r="I1404" s="486" t="n">
        <v>88</v>
      </c>
      <c r="J1404" s="486" t="n">
        <v>58</v>
      </c>
      <c r="K1404" s="486" t="n">
        <v>55</v>
      </c>
      <c r="L1404" s="486" t="n">
        <v>2</v>
      </c>
      <c r="M1404" s="487" t="inlineStr">
        <is>
          <t>G</t>
        </is>
      </c>
    </row>
    <row r="1405">
      <c r="A1405" s="486" t="n">
        <v>20</v>
      </c>
      <c r="B1405" s="486" t="n">
        <v>3</v>
      </c>
      <c r="C1405" s="486" t="n">
        <v>2</v>
      </c>
      <c r="D1405" s="486" t="n">
        <v>1</v>
      </c>
      <c r="E1405" s="486" t="n">
        <v>1</v>
      </c>
      <c r="F1405" s="486" t="n">
        <v>2</v>
      </c>
      <c r="G1405" s="486" t="inlineStr">
        <is>
          <t>North-Right1</t>
        </is>
      </c>
      <c r="H1405" s="486" t="n">
        <v>2634.09</v>
      </c>
      <c r="I1405" s="486" t="n">
        <v>89</v>
      </c>
      <c r="J1405" s="486" t="n">
        <v>20</v>
      </c>
      <c r="K1405" s="486" t="n">
        <v>54</v>
      </c>
      <c r="L1405" s="486" t="n">
        <v>2</v>
      </c>
      <c r="M1405" s="487" t="inlineStr">
        <is>
          <t>G</t>
        </is>
      </c>
    </row>
    <row r="1406">
      <c r="A1406" s="486" t="n">
        <v>20</v>
      </c>
      <c r="B1406" s="486" t="n">
        <v>3</v>
      </c>
      <c r="C1406" s="486" t="n">
        <v>2</v>
      </c>
      <c r="D1406" s="486" t="n">
        <v>1</v>
      </c>
      <c r="E1406" s="486" t="n">
        <v>1</v>
      </c>
      <c r="F1406" s="486" t="n">
        <v>2</v>
      </c>
      <c r="G1406" s="486" t="inlineStr">
        <is>
          <t>North-Right2</t>
        </is>
      </c>
      <c r="H1406" s="486" t="n">
        <v>0</v>
      </c>
      <c r="I1406" s="486" t="n">
        <v>0</v>
      </c>
      <c r="J1406" s="486" t="n">
        <v>0</v>
      </c>
      <c r="K1406" s="486" t="n">
        <v>0</v>
      </c>
      <c r="L1406" s="486" t="n">
        <v>0</v>
      </c>
      <c r="M1406" s="487" t="inlineStr">
        <is>
          <t>G</t>
        </is>
      </c>
    </row>
    <row r="1407">
      <c r="A1407" s="486" t="n">
        <v>20</v>
      </c>
      <c r="B1407" s="486" t="n">
        <v>3</v>
      </c>
      <c r="C1407" s="486" t="n">
        <v>2</v>
      </c>
      <c r="D1407" s="486" t="n">
        <v>1</v>
      </c>
      <c r="E1407" s="486" t="n">
        <v>1</v>
      </c>
      <c r="F1407" s="486" t="n">
        <v>2</v>
      </c>
      <c r="G1407" s="486" t="inlineStr">
        <is>
          <t>South-Left2</t>
        </is>
      </c>
      <c r="H1407" s="486" t="n">
        <v>0</v>
      </c>
      <c r="I1407" s="486" t="n">
        <v>0</v>
      </c>
      <c r="J1407" s="486" t="n">
        <v>0</v>
      </c>
      <c r="K1407" s="486" t="n">
        <v>0</v>
      </c>
      <c r="L1407" s="486" t="n">
        <v>0</v>
      </c>
      <c r="M1407" s="487" t="inlineStr">
        <is>
          <t>G</t>
        </is>
      </c>
    </row>
    <row r="1408">
      <c r="A1408" s="486" t="n">
        <v>20</v>
      </c>
      <c r="B1408" s="486" t="n">
        <v>3</v>
      </c>
      <c r="C1408" s="486" t="n">
        <v>2</v>
      </c>
      <c r="D1408" s="486" t="n">
        <v>1</v>
      </c>
      <c r="E1408" s="486" t="n">
        <v>1</v>
      </c>
      <c r="F1408" s="486" t="n">
        <v>2</v>
      </c>
      <c r="G1408" s="475" t="inlineStr">
        <is>
          <t>South-Left1</t>
        </is>
      </c>
      <c r="H1408" s="486" t="n">
        <v>5229</v>
      </c>
      <c r="I1408" s="486" t="n">
        <v>88</v>
      </c>
      <c r="J1408" s="486" t="n">
        <v>53</v>
      </c>
      <c r="K1408" s="486" t="n">
        <v>13</v>
      </c>
      <c r="L1408" s="486" t="n">
        <v>2</v>
      </c>
      <c r="M1408" s="487" t="inlineStr">
        <is>
          <t>G</t>
        </is>
      </c>
    </row>
    <row r="1409">
      <c r="A1409" s="486" t="n">
        <v>20</v>
      </c>
      <c r="B1409" s="486" t="n">
        <v>3</v>
      </c>
      <c r="C1409" s="486" t="n">
        <v>2</v>
      </c>
      <c r="D1409" s="486" t="n">
        <v>1</v>
      </c>
      <c r="E1409" s="486" t="n">
        <v>1</v>
      </c>
      <c r="F1409" s="486" t="n">
        <v>2</v>
      </c>
      <c r="G1409" s="486" t="inlineStr">
        <is>
          <t>South-Right1</t>
        </is>
      </c>
      <c r="H1409" s="486" t="n">
        <v>0</v>
      </c>
      <c r="I1409" s="486" t="n">
        <v>0</v>
      </c>
      <c r="J1409" s="486" t="n">
        <v>0</v>
      </c>
      <c r="K1409" s="486" t="n">
        <v>0</v>
      </c>
      <c r="L1409" s="486" t="n">
        <v>0</v>
      </c>
      <c r="M1409" s="487" t="inlineStr">
        <is>
          <t>G</t>
        </is>
      </c>
    </row>
    <row r="1410">
      <c r="A1410" s="486" t="n">
        <v>20</v>
      </c>
      <c r="B1410" s="486" t="n">
        <v>3</v>
      </c>
      <c r="C1410" s="486" t="n">
        <v>2</v>
      </c>
      <c r="D1410" s="486" t="n">
        <v>1</v>
      </c>
      <c r="E1410" s="486" t="n">
        <v>1</v>
      </c>
      <c r="F1410" s="486" t="n">
        <v>2</v>
      </c>
      <c r="G1410" s="486" t="inlineStr">
        <is>
          <t>South-Right2</t>
        </is>
      </c>
      <c r="H1410" s="486" t="n">
        <v>0</v>
      </c>
      <c r="I1410" s="486" t="n">
        <v>0</v>
      </c>
      <c r="J1410" s="486" t="n">
        <v>0</v>
      </c>
      <c r="K1410" s="486" t="n">
        <v>0</v>
      </c>
      <c r="L1410" s="486" t="n">
        <v>0</v>
      </c>
      <c r="M1410" s="487" t="inlineStr">
        <is>
          <t>G</t>
        </is>
      </c>
    </row>
    <row r="1411">
      <c r="A1411" s="485" t="n">
        <v>20</v>
      </c>
      <c r="B1411" s="485" t="n">
        <v>3</v>
      </c>
      <c r="C1411" s="485" t="n">
        <v>2</v>
      </c>
      <c r="D1411" s="485" t="n">
        <v>2</v>
      </c>
      <c r="E1411" s="485" t="n">
        <v>2</v>
      </c>
      <c r="F1411" s="485" t="n">
        <v>2</v>
      </c>
      <c r="G1411" s="485" t="inlineStr">
        <is>
          <t>West-Up2</t>
        </is>
      </c>
      <c r="H1411" s="485" t="n">
        <v>0</v>
      </c>
      <c r="I1411" s="485" t="n">
        <v>0</v>
      </c>
      <c r="J1411" s="485" t="n">
        <v>0</v>
      </c>
      <c r="K1411" s="485" t="n">
        <v>0</v>
      </c>
      <c r="L1411" s="485" t="n">
        <v>0</v>
      </c>
      <c r="M1411" s="514" t="inlineStr">
        <is>
          <t>T</t>
        </is>
      </c>
    </row>
    <row r="1412">
      <c r="A1412" s="485" t="n">
        <v>20</v>
      </c>
      <c r="B1412" s="485" t="n">
        <v>3</v>
      </c>
      <c r="C1412" s="485" t="n">
        <v>2</v>
      </c>
      <c r="D1412" s="485" t="n">
        <v>2</v>
      </c>
      <c r="E1412" s="485" t="n">
        <v>2</v>
      </c>
      <c r="F1412" s="485" t="n">
        <v>2</v>
      </c>
      <c r="G1412" s="516" t="inlineStr">
        <is>
          <t>West-Up1</t>
        </is>
      </c>
      <c r="H1412" s="485" t="n">
        <v>2650.04</v>
      </c>
      <c r="I1412" s="485" t="n">
        <v>2</v>
      </c>
      <c r="J1412" s="485" t="n">
        <v>3</v>
      </c>
      <c r="K1412" s="485" t="n">
        <v>50</v>
      </c>
      <c r="L1412" s="485" t="n">
        <v>4</v>
      </c>
      <c r="M1412" s="514" t="inlineStr">
        <is>
          <t>T</t>
        </is>
      </c>
    </row>
    <row r="1413">
      <c r="A1413" s="485" t="n">
        <v>20</v>
      </c>
      <c r="B1413" s="485" t="n">
        <v>3</v>
      </c>
      <c r="C1413" s="485" t="n">
        <v>2</v>
      </c>
      <c r="D1413" s="485" t="n">
        <v>2</v>
      </c>
      <c r="E1413" s="485" t="n">
        <v>2</v>
      </c>
      <c r="F1413" s="485" t="n">
        <v>2</v>
      </c>
      <c r="G1413" s="485" t="inlineStr">
        <is>
          <t>West-Down1</t>
        </is>
      </c>
      <c r="H1413" s="485" t="n">
        <v>2676.72</v>
      </c>
      <c r="I1413" s="485" t="n">
        <v>1</v>
      </c>
      <c r="J1413" s="485" t="n">
        <v>50</v>
      </c>
      <c r="K1413" s="485" t="n">
        <v>33</v>
      </c>
      <c r="L1413" s="485" t="n">
        <v>4</v>
      </c>
      <c r="M1413" s="514" t="inlineStr">
        <is>
          <t>T</t>
        </is>
      </c>
    </row>
    <row r="1414">
      <c r="A1414" s="485" t="n">
        <v>20</v>
      </c>
      <c r="B1414" s="485" t="n">
        <v>3</v>
      </c>
      <c r="C1414" s="485" t="n">
        <v>2</v>
      </c>
      <c r="D1414" s="485" t="n">
        <v>2</v>
      </c>
      <c r="E1414" s="485" t="n">
        <v>2</v>
      </c>
      <c r="F1414" s="485" t="n">
        <v>2</v>
      </c>
      <c r="G1414" s="485" t="inlineStr">
        <is>
          <t>West-Down2</t>
        </is>
      </c>
      <c r="H1414" s="485" t="n">
        <v>0</v>
      </c>
      <c r="I1414" s="485" t="n">
        <v>0</v>
      </c>
      <c r="J1414" s="485" t="n">
        <v>0</v>
      </c>
      <c r="K1414" s="485" t="n">
        <v>0</v>
      </c>
      <c r="L1414" s="485" t="n">
        <v>0</v>
      </c>
      <c r="M1414" s="514" t="inlineStr">
        <is>
          <t>T</t>
        </is>
      </c>
    </row>
    <row r="1415">
      <c r="A1415" s="485" t="n">
        <v>20</v>
      </c>
      <c r="B1415" s="485" t="n">
        <v>3</v>
      </c>
      <c r="C1415" s="485" t="n">
        <v>2</v>
      </c>
      <c r="D1415" s="485" t="n">
        <v>2</v>
      </c>
      <c r="E1415" s="485" t="n">
        <v>2</v>
      </c>
      <c r="F1415" s="485" t="n">
        <v>2</v>
      </c>
      <c r="G1415" s="485" t="inlineStr">
        <is>
          <t>East-Up2</t>
        </is>
      </c>
      <c r="H1415" s="485" t="n">
        <v>0</v>
      </c>
      <c r="I1415" s="485" t="n">
        <v>0</v>
      </c>
      <c r="J1415" s="485" t="n">
        <v>0</v>
      </c>
      <c r="K1415" s="485" t="n">
        <v>0</v>
      </c>
      <c r="L1415" s="485" t="n">
        <v>0</v>
      </c>
      <c r="M1415" s="514" t="inlineStr">
        <is>
          <t>T</t>
        </is>
      </c>
    </row>
    <row r="1416">
      <c r="A1416" s="485" t="n">
        <v>20</v>
      </c>
      <c r="B1416" s="485" t="n">
        <v>3</v>
      </c>
      <c r="C1416" s="485" t="n">
        <v>2</v>
      </c>
      <c r="D1416" s="485" t="n">
        <v>2</v>
      </c>
      <c r="E1416" s="485" t="n">
        <v>2</v>
      </c>
      <c r="F1416" s="485" t="n">
        <v>2</v>
      </c>
      <c r="G1416" s="516" t="inlineStr">
        <is>
          <t>East-Up1</t>
        </is>
      </c>
      <c r="H1416" s="485" t="n">
        <v>2635.41</v>
      </c>
      <c r="I1416" s="485" t="n">
        <v>0</v>
      </c>
      <c r="J1416" s="485" t="n">
        <v>52</v>
      </c>
      <c r="K1416" s="485" t="n">
        <v>11</v>
      </c>
      <c r="L1416" s="485" t="n">
        <v>4</v>
      </c>
      <c r="M1416" s="514" t="inlineStr">
        <is>
          <t>T</t>
        </is>
      </c>
    </row>
    <row r="1417">
      <c r="A1417" s="485" t="n">
        <v>20</v>
      </c>
      <c r="B1417" s="485" t="n">
        <v>3</v>
      </c>
      <c r="C1417" s="485" t="n">
        <v>2</v>
      </c>
      <c r="D1417" s="485" t="n">
        <v>2</v>
      </c>
      <c r="E1417" s="485" t="n">
        <v>2</v>
      </c>
      <c r="F1417" s="485" t="n">
        <v>2</v>
      </c>
      <c r="G1417" s="485" t="inlineStr">
        <is>
          <t>East-Down1</t>
        </is>
      </c>
      <c r="H1417" s="485" t="n">
        <v>2751.36</v>
      </c>
      <c r="I1417" s="485" t="n">
        <v>1</v>
      </c>
      <c r="J1417" s="485" t="n">
        <v>50</v>
      </c>
      <c r="K1417" s="485" t="n">
        <v>19</v>
      </c>
      <c r="L1417" s="485" t="n">
        <v>4</v>
      </c>
      <c r="M1417" s="514" t="inlineStr">
        <is>
          <t>T</t>
        </is>
      </c>
    </row>
    <row r="1418">
      <c r="A1418" s="485" t="n">
        <v>20</v>
      </c>
      <c r="B1418" s="485" t="n">
        <v>3</v>
      </c>
      <c r="C1418" s="485" t="n">
        <v>2</v>
      </c>
      <c r="D1418" s="485" t="n">
        <v>2</v>
      </c>
      <c r="E1418" s="485" t="n">
        <v>2</v>
      </c>
      <c r="F1418" s="485" t="n">
        <v>2</v>
      </c>
      <c r="G1418" s="485" t="inlineStr">
        <is>
          <t>East-Down2</t>
        </is>
      </c>
      <c r="H1418" s="485" t="n">
        <v>0</v>
      </c>
      <c r="I1418" s="485" t="n">
        <v>0</v>
      </c>
      <c r="J1418" s="485" t="n">
        <v>0</v>
      </c>
      <c r="K1418" s="485" t="n">
        <v>0</v>
      </c>
      <c r="L1418" s="485" t="n">
        <v>0</v>
      </c>
      <c r="M1418" s="514" t="inlineStr">
        <is>
          <t>T</t>
        </is>
      </c>
    </row>
    <row r="1419">
      <c r="A1419" s="485" t="n">
        <v>20</v>
      </c>
      <c r="B1419" s="485" t="n">
        <v>3</v>
      </c>
      <c r="C1419" s="485" t="n">
        <v>2</v>
      </c>
      <c r="D1419" s="485" t="n">
        <v>2</v>
      </c>
      <c r="E1419" s="485" t="n">
        <v>2</v>
      </c>
      <c r="F1419" s="485" t="n">
        <v>2</v>
      </c>
      <c r="G1419" s="485" t="inlineStr">
        <is>
          <t>North-Left2</t>
        </is>
      </c>
      <c r="H1419" s="485" t="n">
        <v>0</v>
      </c>
      <c r="I1419" s="485" t="n">
        <v>0</v>
      </c>
      <c r="J1419" s="485" t="n">
        <v>0</v>
      </c>
      <c r="K1419" s="485" t="n">
        <v>0</v>
      </c>
      <c r="L1419" s="485" t="n">
        <v>0</v>
      </c>
      <c r="M1419" s="514" t="inlineStr">
        <is>
          <t>T</t>
        </is>
      </c>
    </row>
    <row r="1420">
      <c r="A1420" s="485" t="n">
        <v>20</v>
      </c>
      <c r="B1420" s="485" t="n">
        <v>3</v>
      </c>
      <c r="C1420" s="485" t="n">
        <v>2</v>
      </c>
      <c r="D1420" s="485" t="n">
        <v>2</v>
      </c>
      <c r="E1420" s="485" t="n">
        <v>2</v>
      </c>
      <c r="F1420" s="485" t="n">
        <v>2</v>
      </c>
      <c r="G1420" s="516" t="inlineStr">
        <is>
          <t>North-Left1</t>
        </is>
      </c>
      <c r="H1420" s="485" t="n">
        <v>4086.5</v>
      </c>
      <c r="I1420" s="485" t="n">
        <v>89</v>
      </c>
      <c r="J1420" s="485" t="n">
        <v>57</v>
      </c>
      <c r="K1420" s="485" t="n">
        <v>34</v>
      </c>
      <c r="L1420" s="485" t="n">
        <v>3</v>
      </c>
      <c r="M1420" s="514" t="inlineStr">
        <is>
          <t>T</t>
        </is>
      </c>
    </row>
    <row r="1421">
      <c r="A1421" s="485" t="n">
        <v>20</v>
      </c>
      <c r="B1421" s="485" t="n">
        <v>3</v>
      </c>
      <c r="C1421" s="485" t="n">
        <v>2</v>
      </c>
      <c r="D1421" s="485" t="n">
        <v>2</v>
      </c>
      <c r="E1421" s="485" t="n">
        <v>2</v>
      </c>
      <c r="F1421" s="485" t="n">
        <v>2</v>
      </c>
      <c r="G1421" s="485" t="inlineStr">
        <is>
          <t>North-Right1</t>
        </is>
      </c>
      <c r="H1421" s="485" t="n">
        <v>1319.67</v>
      </c>
      <c r="I1421" s="485" t="n">
        <v>88</v>
      </c>
      <c r="J1421" s="485" t="n">
        <v>39</v>
      </c>
      <c r="K1421" s="485" t="n">
        <v>24</v>
      </c>
      <c r="L1421" s="485" t="n">
        <v>3</v>
      </c>
      <c r="M1421" s="514" t="inlineStr">
        <is>
          <t>T</t>
        </is>
      </c>
    </row>
    <row r="1422">
      <c r="A1422" s="485" t="n">
        <v>20</v>
      </c>
      <c r="B1422" s="485" t="n">
        <v>3</v>
      </c>
      <c r="C1422" s="485" t="n">
        <v>2</v>
      </c>
      <c r="D1422" s="485" t="n">
        <v>2</v>
      </c>
      <c r="E1422" s="485" t="n">
        <v>2</v>
      </c>
      <c r="F1422" s="485" t="n">
        <v>2</v>
      </c>
      <c r="G1422" s="485" t="inlineStr">
        <is>
          <t>North-Right2</t>
        </is>
      </c>
      <c r="H1422" s="485" t="n">
        <v>0</v>
      </c>
      <c r="I1422" s="485" t="n">
        <v>0</v>
      </c>
      <c r="J1422" s="485" t="n">
        <v>0</v>
      </c>
      <c r="K1422" s="485" t="n">
        <v>0</v>
      </c>
      <c r="L1422" s="485" t="n">
        <v>0</v>
      </c>
      <c r="M1422" s="514" t="inlineStr">
        <is>
          <t>T</t>
        </is>
      </c>
    </row>
    <row r="1423">
      <c r="A1423" s="485" t="n">
        <v>20</v>
      </c>
      <c r="B1423" s="485" t="n">
        <v>3</v>
      </c>
      <c r="C1423" s="485" t="n">
        <v>2</v>
      </c>
      <c r="D1423" s="485" t="n">
        <v>2</v>
      </c>
      <c r="E1423" s="485" t="n">
        <v>2</v>
      </c>
      <c r="F1423" s="485" t="n">
        <v>2</v>
      </c>
      <c r="G1423" s="485" t="inlineStr">
        <is>
          <t>South-Left2</t>
        </is>
      </c>
      <c r="H1423" s="485" t="n">
        <v>0</v>
      </c>
      <c r="I1423" s="485" t="n">
        <v>0</v>
      </c>
      <c r="J1423" s="485" t="n">
        <v>0</v>
      </c>
      <c r="K1423" s="485" t="n">
        <v>0</v>
      </c>
      <c r="L1423" s="485" t="n">
        <v>0</v>
      </c>
      <c r="M1423" s="514" t="inlineStr">
        <is>
          <t>T</t>
        </is>
      </c>
    </row>
    <row r="1424">
      <c r="A1424" s="485" t="n">
        <v>20</v>
      </c>
      <c r="B1424" s="485" t="n">
        <v>3</v>
      </c>
      <c r="C1424" s="485" t="n">
        <v>2</v>
      </c>
      <c r="D1424" s="485" t="n">
        <v>2</v>
      </c>
      <c r="E1424" s="485" t="n">
        <v>2</v>
      </c>
      <c r="F1424" s="485" t="n">
        <v>2</v>
      </c>
      <c r="G1424" s="516" t="inlineStr">
        <is>
          <t>South-Left1</t>
        </is>
      </c>
      <c r="H1424" s="485" t="n">
        <v>5352.67</v>
      </c>
      <c r="I1424" s="485" t="n">
        <v>89</v>
      </c>
      <c r="J1424" s="485" t="n">
        <v>42</v>
      </c>
      <c r="K1424" s="485" t="n">
        <v>18</v>
      </c>
      <c r="L1424" s="485" t="n">
        <v>4</v>
      </c>
      <c r="M1424" s="514" t="inlineStr">
        <is>
          <t>T</t>
        </is>
      </c>
    </row>
    <row r="1425">
      <c r="A1425" s="485" t="n">
        <v>20</v>
      </c>
      <c r="B1425" s="485" t="n">
        <v>3</v>
      </c>
      <c r="C1425" s="485" t="n">
        <v>2</v>
      </c>
      <c r="D1425" s="485" t="n">
        <v>2</v>
      </c>
      <c r="E1425" s="485" t="n">
        <v>2</v>
      </c>
      <c r="F1425" s="485" t="n">
        <v>2</v>
      </c>
      <c r="G1425" s="485" t="inlineStr">
        <is>
          <t>South-Right1</t>
        </is>
      </c>
      <c r="H1425" s="485" t="n">
        <v>0</v>
      </c>
      <c r="I1425" s="485" t="n">
        <v>0</v>
      </c>
      <c r="J1425" s="485" t="n">
        <v>0</v>
      </c>
      <c r="K1425" s="485" t="n">
        <v>0</v>
      </c>
      <c r="L1425" s="485" t="n">
        <v>0</v>
      </c>
      <c r="M1425" s="514" t="inlineStr">
        <is>
          <t>T</t>
        </is>
      </c>
    </row>
    <row r="1426">
      <c r="A1426" s="485" t="n">
        <v>20</v>
      </c>
      <c r="B1426" s="485" t="n">
        <v>3</v>
      </c>
      <c r="C1426" s="485" t="n">
        <v>2</v>
      </c>
      <c r="D1426" s="485" t="n">
        <v>2</v>
      </c>
      <c r="E1426" s="485" t="n">
        <v>2</v>
      </c>
      <c r="F1426" s="485" t="n">
        <v>2</v>
      </c>
      <c r="G1426" s="485" t="inlineStr">
        <is>
          <t>South-Right2</t>
        </is>
      </c>
      <c r="H1426" s="485" t="n">
        <v>0</v>
      </c>
      <c r="I1426" s="485" t="n">
        <v>0</v>
      </c>
      <c r="J1426" s="485" t="n">
        <v>0</v>
      </c>
      <c r="K1426" s="485" t="n">
        <v>0</v>
      </c>
      <c r="L1426" s="485" t="n">
        <v>0</v>
      </c>
      <c r="M1426" s="514" t="inlineStr">
        <is>
          <t>T</t>
        </is>
      </c>
    </row>
    <row r="1427">
      <c r="A1427" s="486" t="n">
        <v>21</v>
      </c>
      <c r="B1427" s="486" t="n">
        <v>7</v>
      </c>
      <c r="C1427" s="486" t="n">
        <v>2</v>
      </c>
      <c r="D1427" s="486" t="n">
        <v>20</v>
      </c>
      <c r="E1427" s="486" t="n">
        <v>1</v>
      </c>
      <c r="F1427" s="486" t="n">
        <v>1</v>
      </c>
      <c r="G1427" s="486" t="inlineStr">
        <is>
          <t>West-Up2</t>
        </is>
      </c>
      <c r="H1427" s="486" t="n">
        <v>0</v>
      </c>
      <c r="I1427" s="486" t="n">
        <v>0</v>
      </c>
      <c r="J1427" s="486" t="n">
        <v>0</v>
      </c>
      <c r="K1427" s="486" t="n">
        <v>0</v>
      </c>
      <c r="L1427" s="486" t="n">
        <v>0</v>
      </c>
      <c r="M1427" s="487" t="inlineStr">
        <is>
          <t>G</t>
        </is>
      </c>
    </row>
    <row r="1428">
      <c r="A1428" s="486" t="n">
        <v>21</v>
      </c>
      <c r="B1428" s="486" t="n">
        <v>7</v>
      </c>
      <c r="C1428" s="486" t="n">
        <v>2</v>
      </c>
      <c r="D1428" s="486" t="n">
        <v>20</v>
      </c>
      <c r="E1428" s="486" t="n">
        <v>1</v>
      </c>
      <c r="F1428" s="486" t="n">
        <v>1</v>
      </c>
      <c r="G1428" s="475" t="inlineStr">
        <is>
          <t>West-Up1</t>
        </is>
      </c>
      <c r="H1428" s="486" t="n">
        <v>2692.16</v>
      </c>
      <c r="I1428" s="486" t="n">
        <v>1</v>
      </c>
      <c r="J1428" s="486" t="n">
        <v>57</v>
      </c>
      <c r="K1428" s="486" t="n">
        <v>57</v>
      </c>
      <c r="L1428" s="486" t="n">
        <v>4</v>
      </c>
      <c r="M1428" s="487" t="inlineStr">
        <is>
          <t>G</t>
        </is>
      </c>
    </row>
    <row r="1429">
      <c r="A1429" s="486" t="n">
        <v>21</v>
      </c>
      <c r="B1429" s="486" t="n">
        <v>7</v>
      </c>
      <c r="C1429" s="486" t="n">
        <v>2</v>
      </c>
      <c r="D1429" s="486" t="n">
        <v>20</v>
      </c>
      <c r="E1429" s="486" t="n">
        <v>1</v>
      </c>
      <c r="F1429" s="486" t="n">
        <v>1</v>
      </c>
      <c r="G1429" s="486" t="inlineStr">
        <is>
          <t>West-Down1</t>
        </is>
      </c>
      <c r="H1429" s="486" t="n">
        <v>2693.48</v>
      </c>
      <c r="I1429" s="486" t="n">
        <v>2</v>
      </c>
      <c r="J1429" s="486" t="n">
        <v>24</v>
      </c>
      <c r="K1429" s="486" t="n">
        <v>57</v>
      </c>
      <c r="L1429" s="486" t="n">
        <v>4</v>
      </c>
      <c r="M1429" s="487" t="inlineStr">
        <is>
          <t>G</t>
        </is>
      </c>
    </row>
    <row r="1430">
      <c r="A1430" s="486" t="n">
        <v>21</v>
      </c>
      <c r="B1430" s="486" t="n">
        <v>7</v>
      </c>
      <c r="C1430" s="486" t="n">
        <v>2</v>
      </c>
      <c r="D1430" s="486" t="n">
        <v>20</v>
      </c>
      <c r="E1430" s="486" t="n">
        <v>1</v>
      </c>
      <c r="F1430" s="486" t="n">
        <v>1</v>
      </c>
      <c r="G1430" s="486" t="inlineStr">
        <is>
          <t>West-Down2</t>
        </is>
      </c>
      <c r="H1430" s="486" t="n">
        <v>0</v>
      </c>
      <c r="I1430" s="486" t="n">
        <v>0</v>
      </c>
      <c r="J1430" s="486" t="n">
        <v>0</v>
      </c>
      <c r="K1430" s="486" t="n">
        <v>0</v>
      </c>
      <c r="L1430" s="486" t="n">
        <v>0</v>
      </c>
      <c r="M1430" s="487" t="inlineStr">
        <is>
          <t>G</t>
        </is>
      </c>
    </row>
    <row r="1431">
      <c r="A1431" s="486" t="n">
        <v>21</v>
      </c>
      <c r="B1431" s="486" t="n">
        <v>7</v>
      </c>
      <c r="C1431" s="486" t="n">
        <v>2</v>
      </c>
      <c r="D1431" s="486" t="n">
        <v>20</v>
      </c>
      <c r="E1431" s="486" t="n">
        <v>1</v>
      </c>
      <c r="F1431" s="486" t="n">
        <v>1</v>
      </c>
      <c r="G1431" s="486" t="inlineStr">
        <is>
          <t>East-Up2</t>
        </is>
      </c>
      <c r="H1431" s="486" t="n">
        <v>0</v>
      </c>
      <c r="I1431" s="486" t="n">
        <v>0</v>
      </c>
      <c r="J1431" s="486" t="n">
        <v>0</v>
      </c>
      <c r="K1431" s="486" t="n">
        <v>0</v>
      </c>
      <c r="L1431" s="486" t="n">
        <v>0</v>
      </c>
      <c r="M1431" s="487" t="inlineStr">
        <is>
          <t>G</t>
        </is>
      </c>
    </row>
    <row r="1432">
      <c r="A1432" s="486" t="n">
        <v>21</v>
      </c>
      <c r="B1432" s="486" t="n">
        <v>7</v>
      </c>
      <c r="C1432" s="486" t="n">
        <v>2</v>
      </c>
      <c r="D1432" s="486" t="n">
        <v>20</v>
      </c>
      <c r="E1432" s="486" t="n">
        <v>1</v>
      </c>
      <c r="F1432" s="486" t="n">
        <v>1</v>
      </c>
      <c r="G1432" s="475" t="inlineStr">
        <is>
          <t>East-Up1</t>
        </is>
      </c>
      <c r="H1432" s="486" t="n">
        <v>2683.33</v>
      </c>
      <c r="I1432" s="486" t="n">
        <v>1</v>
      </c>
      <c r="J1432" s="486" t="n">
        <v>50</v>
      </c>
      <c r="K1432" s="486" t="n">
        <v>19</v>
      </c>
      <c r="L1432" s="486" t="n">
        <v>4</v>
      </c>
      <c r="M1432" s="487" t="inlineStr">
        <is>
          <t>G</t>
        </is>
      </c>
    </row>
    <row r="1433">
      <c r="A1433" s="486" t="n">
        <v>21</v>
      </c>
      <c r="B1433" s="486" t="n">
        <v>7</v>
      </c>
      <c r="C1433" s="486" t="n">
        <v>2</v>
      </c>
      <c r="D1433" s="486" t="n">
        <v>20</v>
      </c>
      <c r="E1433" s="486" t="n">
        <v>1</v>
      </c>
      <c r="F1433" s="486" t="n">
        <v>1</v>
      </c>
      <c r="G1433" s="486" t="inlineStr">
        <is>
          <t>East-Down1</t>
        </is>
      </c>
      <c r="H1433" s="486" t="n">
        <v>2679.35</v>
      </c>
      <c r="I1433" s="486" t="n">
        <v>1</v>
      </c>
      <c r="J1433" s="486" t="n">
        <v>49</v>
      </c>
      <c r="K1433" s="486" t="n">
        <v>58</v>
      </c>
      <c r="L1433" s="486" t="n">
        <v>4</v>
      </c>
      <c r="M1433" s="487" t="inlineStr">
        <is>
          <t>G</t>
        </is>
      </c>
    </row>
    <row r="1434">
      <c r="A1434" s="486" t="n">
        <v>21</v>
      </c>
      <c r="B1434" s="486" t="n">
        <v>7</v>
      </c>
      <c r="C1434" s="486" t="n">
        <v>2</v>
      </c>
      <c r="D1434" s="486" t="n">
        <v>20</v>
      </c>
      <c r="E1434" s="486" t="n">
        <v>1</v>
      </c>
      <c r="F1434" s="486" t="n">
        <v>1</v>
      </c>
      <c r="G1434" s="486" t="inlineStr">
        <is>
          <t>East-Down2</t>
        </is>
      </c>
      <c r="H1434" s="486" t="n">
        <v>0</v>
      </c>
      <c r="I1434" s="486" t="n">
        <v>0</v>
      </c>
      <c r="J1434" s="486" t="n">
        <v>0</v>
      </c>
      <c r="K1434" s="486" t="n">
        <v>0</v>
      </c>
      <c r="L1434" s="486" t="n">
        <v>0</v>
      </c>
      <c r="M1434" s="487" t="inlineStr">
        <is>
          <t>G</t>
        </is>
      </c>
      <c r="O1434" s="511" t="inlineStr">
        <is>
          <t xml:space="preserve">  </t>
        </is>
      </c>
    </row>
    <row r="1435">
      <c r="A1435" s="486" t="n">
        <v>21</v>
      </c>
      <c r="B1435" s="486" t="n">
        <v>7</v>
      </c>
      <c r="C1435" s="486" t="n">
        <v>2</v>
      </c>
      <c r="D1435" s="486" t="n">
        <v>20</v>
      </c>
      <c r="E1435" s="486" t="n">
        <v>1</v>
      </c>
      <c r="F1435" s="486" t="n">
        <v>1</v>
      </c>
      <c r="G1435" s="486" t="inlineStr">
        <is>
          <t>North-Left2</t>
        </is>
      </c>
      <c r="H1435" s="486" t="n">
        <v>0</v>
      </c>
      <c r="I1435" s="486" t="n">
        <v>0</v>
      </c>
      <c r="J1435" s="486" t="n">
        <v>0</v>
      </c>
      <c r="K1435" s="486" t="n">
        <v>0</v>
      </c>
      <c r="L1435" s="486" t="n">
        <v>0</v>
      </c>
      <c r="M1435" s="487" t="inlineStr">
        <is>
          <t>G</t>
        </is>
      </c>
    </row>
    <row r="1436">
      <c r="A1436" s="486" t="n">
        <v>21</v>
      </c>
      <c r="B1436" s="486" t="n">
        <v>7</v>
      </c>
      <c r="C1436" s="486" t="n">
        <v>2</v>
      </c>
      <c r="D1436" s="486" t="n">
        <v>20</v>
      </c>
      <c r="E1436" s="486" t="n">
        <v>1</v>
      </c>
      <c r="F1436" s="486" t="n">
        <v>1</v>
      </c>
      <c r="G1436" s="475" t="inlineStr">
        <is>
          <t>North-Left1</t>
        </is>
      </c>
      <c r="H1436" s="486" t="n">
        <v>2669.01</v>
      </c>
      <c r="I1436" s="486" t="n">
        <v>88</v>
      </c>
      <c r="J1436" s="486" t="n">
        <v>4</v>
      </c>
      <c r="K1436" s="486" t="n">
        <v>28</v>
      </c>
      <c r="L1436" s="486" t="n">
        <v>3</v>
      </c>
      <c r="M1436" s="487" t="inlineStr">
        <is>
          <t>G</t>
        </is>
      </c>
    </row>
    <row r="1437">
      <c r="A1437" s="486" t="n">
        <v>21</v>
      </c>
      <c r="B1437" s="486" t="n">
        <v>7</v>
      </c>
      <c r="C1437" s="486" t="n">
        <v>2</v>
      </c>
      <c r="D1437" s="486" t="n">
        <v>20</v>
      </c>
      <c r="E1437" s="486" t="n">
        <v>1</v>
      </c>
      <c r="F1437" s="486" t="n">
        <v>1</v>
      </c>
      <c r="G1437" s="486" t="inlineStr">
        <is>
          <t>North-Right1</t>
        </is>
      </c>
      <c r="H1437" s="486" t="n">
        <v>2666.37</v>
      </c>
      <c r="I1437" s="486" t="n">
        <v>88</v>
      </c>
      <c r="J1437" s="486" t="n">
        <v>2</v>
      </c>
      <c r="K1437" s="486" t="n">
        <v>28</v>
      </c>
      <c r="L1437" s="486" t="n">
        <v>3</v>
      </c>
      <c r="M1437" s="487" t="inlineStr">
        <is>
          <t>G</t>
        </is>
      </c>
    </row>
    <row r="1438">
      <c r="A1438" s="486" t="n">
        <v>21</v>
      </c>
      <c r="B1438" s="486" t="n">
        <v>7</v>
      </c>
      <c r="C1438" s="486" t="n">
        <v>2</v>
      </c>
      <c r="D1438" s="486" t="n">
        <v>20</v>
      </c>
      <c r="E1438" s="486" t="n">
        <v>1</v>
      </c>
      <c r="F1438" s="486" t="n">
        <v>1</v>
      </c>
      <c r="G1438" s="486" t="inlineStr">
        <is>
          <t>North-Right2</t>
        </is>
      </c>
      <c r="H1438" s="486" t="n">
        <v>0</v>
      </c>
      <c r="I1438" s="486" t="n">
        <v>0</v>
      </c>
      <c r="J1438" s="486" t="n">
        <v>0</v>
      </c>
      <c r="K1438" s="486" t="n">
        <v>0</v>
      </c>
      <c r="L1438" s="486" t="n">
        <v>0</v>
      </c>
      <c r="M1438" s="487" t="inlineStr">
        <is>
          <t>G</t>
        </is>
      </c>
    </row>
    <row r="1439">
      <c r="A1439" s="486" t="n">
        <v>21</v>
      </c>
      <c r="B1439" s="486" t="n">
        <v>7</v>
      </c>
      <c r="C1439" s="486" t="n">
        <v>2</v>
      </c>
      <c r="D1439" s="486" t="n">
        <v>20</v>
      </c>
      <c r="E1439" s="486" t="n">
        <v>1</v>
      </c>
      <c r="F1439" s="486" t="n">
        <v>1</v>
      </c>
      <c r="G1439" s="486" t="inlineStr">
        <is>
          <t>South-Left2</t>
        </is>
      </c>
      <c r="H1439" s="486" t="n">
        <v>0</v>
      </c>
      <c r="I1439" s="486" t="n">
        <v>0</v>
      </c>
      <c r="J1439" s="486" t="n">
        <v>0</v>
      </c>
      <c r="K1439" s="486" t="n">
        <v>0</v>
      </c>
      <c r="L1439" s="486" t="n">
        <v>0</v>
      </c>
      <c r="M1439" s="487" t="inlineStr">
        <is>
          <t>G</t>
        </is>
      </c>
    </row>
    <row r="1440">
      <c r="A1440" s="486" t="n">
        <v>21</v>
      </c>
      <c r="B1440" s="486" t="n">
        <v>7</v>
      </c>
      <c r="C1440" s="486" t="n">
        <v>2</v>
      </c>
      <c r="D1440" s="486" t="n">
        <v>20</v>
      </c>
      <c r="E1440" s="486" t="n">
        <v>1</v>
      </c>
      <c r="F1440" s="486" t="n">
        <v>1</v>
      </c>
      <c r="G1440" s="475" t="inlineStr">
        <is>
          <t>South-Left1</t>
        </is>
      </c>
      <c r="H1440" s="486" t="n">
        <v>2652.38</v>
      </c>
      <c r="I1440" s="486" t="n">
        <v>87</v>
      </c>
      <c r="J1440" s="486" t="n">
        <v>51</v>
      </c>
      <c r="K1440" s="486" t="n">
        <v>38</v>
      </c>
      <c r="L1440" s="486" t="n">
        <v>3</v>
      </c>
      <c r="M1440" s="487" t="inlineStr">
        <is>
          <t>G</t>
        </is>
      </c>
    </row>
    <row r="1441">
      <c r="A1441" s="486" t="n">
        <v>21</v>
      </c>
      <c r="B1441" s="486" t="n">
        <v>7</v>
      </c>
      <c r="C1441" s="486" t="n">
        <v>2</v>
      </c>
      <c r="D1441" s="486" t="n">
        <v>20</v>
      </c>
      <c r="E1441" s="486" t="n">
        <v>1</v>
      </c>
      <c r="F1441" s="486" t="n">
        <v>1</v>
      </c>
      <c r="G1441" s="486" t="inlineStr">
        <is>
          <t>South-Right1</t>
        </is>
      </c>
      <c r="H1441" s="486" t="n">
        <v>2649.74</v>
      </c>
      <c r="I1441" s="486" t="n">
        <v>87</v>
      </c>
      <c r="J1441" s="486" t="n">
        <v>45</v>
      </c>
      <c r="K1441" s="486" t="n">
        <v>38</v>
      </c>
      <c r="L1441" s="486" t="n">
        <v>3</v>
      </c>
      <c r="M1441" s="487" t="inlineStr">
        <is>
          <t>G</t>
        </is>
      </c>
    </row>
    <row r="1442">
      <c r="A1442" s="486" t="n">
        <v>21</v>
      </c>
      <c r="B1442" s="486" t="n">
        <v>7</v>
      </c>
      <c r="C1442" s="486" t="n">
        <v>2</v>
      </c>
      <c r="D1442" s="486" t="n">
        <v>20</v>
      </c>
      <c r="E1442" s="486" t="n">
        <v>1</v>
      </c>
      <c r="F1442" s="486" t="n">
        <v>1</v>
      </c>
      <c r="G1442" s="486" t="inlineStr">
        <is>
          <t>South-Right2</t>
        </is>
      </c>
      <c r="H1442" s="486" t="n">
        <v>0</v>
      </c>
      <c r="I1442" s="486" t="n">
        <v>0</v>
      </c>
      <c r="J1442" s="486" t="n">
        <v>0</v>
      </c>
      <c r="K1442" s="486" t="n">
        <v>0</v>
      </c>
      <c r="L1442" s="486" t="n">
        <v>0</v>
      </c>
      <c r="M1442" s="487" t="inlineStr">
        <is>
          <t>G</t>
        </is>
      </c>
    </row>
    <row r="1443">
      <c r="A1443" s="486" t="n">
        <v>21</v>
      </c>
      <c r="B1443" s="486" t="n">
        <v>7</v>
      </c>
      <c r="C1443" s="486" t="n">
        <v>2</v>
      </c>
      <c r="D1443" s="486" t="n">
        <v>21</v>
      </c>
      <c r="E1443" s="486" t="n">
        <v>1</v>
      </c>
      <c r="F1443" s="486" t="n">
        <v>1</v>
      </c>
      <c r="G1443" s="486" t="inlineStr">
        <is>
          <t>West-Up2</t>
        </is>
      </c>
      <c r="H1443" s="486" t="n">
        <v>1345.35</v>
      </c>
      <c r="I1443" s="486" t="n">
        <v>1</v>
      </c>
      <c r="J1443" s="486" t="n">
        <v>27</v>
      </c>
      <c r="K1443" s="486" t="n">
        <v>56</v>
      </c>
      <c r="L1443" s="486" t="n">
        <v>4</v>
      </c>
      <c r="M1443" s="487" t="inlineStr">
        <is>
          <t>G</t>
        </is>
      </c>
    </row>
    <row r="1444">
      <c r="A1444" s="486" t="n">
        <v>21</v>
      </c>
      <c r="B1444" s="486" t="n">
        <v>7</v>
      </c>
      <c r="C1444" s="486" t="n">
        <v>2</v>
      </c>
      <c r="D1444" s="486" t="n">
        <v>21</v>
      </c>
      <c r="E1444" s="486" t="n">
        <v>1</v>
      </c>
      <c r="F1444" s="486" t="n">
        <v>1</v>
      </c>
      <c r="G1444" s="475" t="inlineStr">
        <is>
          <t>West-Up1</t>
        </is>
      </c>
      <c r="H1444" s="486" t="n">
        <v>1345.12</v>
      </c>
      <c r="I1444" s="486" t="n">
        <v>1</v>
      </c>
      <c r="J1444" s="486" t="n">
        <v>28</v>
      </c>
      <c r="K1444" s="486" t="n">
        <v>7</v>
      </c>
      <c r="L1444" s="486" t="n">
        <v>4</v>
      </c>
      <c r="M1444" s="487" t="inlineStr">
        <is>
          <t>G</t>
        </is>
      </c>
    </row>
    <row r="1445">
      <c r="A1445" s="486" t="n">
        <v>21</v>
      </c>
      <c r="B1445" s="486" t="n">
        <v>7</v>
      </c>
      <c r="C1445" s="486" t="n">
        <v>2</v>
      </c>
      <c r="D1445" s="486" t="n">
        <v>21</v>
      </c>
      <c r="E1445" s="486" t="n">
        <v>1</v>
      </c>
      <c r="F1445" s="486" t="n">
        <v>1</v>
      </c>
      <c r="G1445" s="486" t="inlineStr">
        <is>
          <t>West-Down1</t>
        </is>
      </c>
      <c r="H1445" s="486" t="n">
        <v>2674.96</v>
      </c>
      <c r="I1445" s="486" t="n">
        <v>1</v>
      </c>
      <c r="J1445" s="486" t="n">
        <v>29</v>
      </c>
      <c r="K1445" s="486" t="n">
        <v>37</v>
      </c>
      <c r="L1445" s="486" t="n">
        <v>4</v>
      </c>
      <c r="M1445" s="487" t="inlineStr">
        <is>
          <t>G</t>
        </is>
      </c>
    </row>
    <row r="1446">
      <c r="A1446" s="486" t="n">
        <v>21</v>
      </c>
      <c r="B1446" s="486" t="n">
        <v>7</v>
      </c>
      <c r="C1446" s="486" t="n">
        <v>2</v>
      </c>
      <c r="D1446" s="486" t="n">
        <v>21</v>
      </c>
      <c r="E1446" s="486" t="n">
        <v>1</v>
      </c>
      <c r="F1446" s="486" t="n">
        <v>1</v>
      </c>
      <c r="G1446" s="486" t="inlineStr">
        <is>
          <t>West-Down2</t>
        </is>
      </c>
      <c r="H1446" s="486" t="n">
        <v>0</v>
      </c>
      <c r="I1446" s="486" t="n">
        <v>0</v>
      </c>
      <c r="J1446" s="486" t="n">
        <v>0</v>
      </c>
      <c r="K1446" s="486" t="n">
        <v>0</v>
      </c>
      <c r="L1446" s="486" t="n">
        <v>0</v>
      </c>
      <c r="M1446" s="487" t="inlineStr">
        <is>
          <t>G</t>
        </is>
      </c>
    </row>
    <row r="1447">
      <c r="A1447" s="486" t="n">
        <v>21</v>
      </c>
      <c r="B1447" s="486" t="n">
        <v>7</v>
      </c>
      <c r="C1447" s="486" t="n">
        <v>2</v>
      </c>
      <c r="D1447" s="486" t="n">
        <v>21</v>
      </c>
      <c r="E1447" s="486" t="n">
        <v>1</v>
      </c>
      <c r="F1447" s="486" t="n">
        <v>1</v>
      </c>
      <c r="G1447" s="486" t="inlineStr">
        <is>
          <t>East-Up2</t>
        </is>
      </c>
      <c r="H1447" s="486" t="n">
        <v>0</v>
      </c>
      <c r="I1447" s="486" t="n">
        <v>0</v>
      </c>
      <c r="J1447" s="486" t="n">
        <v>0</v>
      </c>
      <c r="K1447" s="486" t="n">
        <v>0</v>
      </c>
      <c r="L1447" s="486" t="n">
        <v>0</v>
      </c>
      <c r="M1447" s="487" t="inlineStr">
        <is>
          <t>G</t>
        </is>
      </c>
    </row>
    <row r="1448">
      <c r="A1448" s="486" t="n">
        <v>21</v>
      </c>
      <c r="B1448" s="486" t="n">
        <v>7</v>
      </c>
      <c r="C1448" s="486" t="n">
        <v>2</v>
      </c>
      <c r="D1448" s="486" t="n">
        <v>21</v>
      </c>
      <c r="E1448" s="486" t="n">
        <v>1</v>
      </c>
      <c r="F1448" s="486" t="n">
        <v>1</v>
      </c>
      <c r="G1448" s="475" t="inlineStr">
        <is>
          <t>East-Up1</t>
        </is>
      </c>
      <c r="H1448" s="486" t="n">
        <v>2679.23</v>
      </c>
      <c r="I1448" s="486" t="n">
        <v>1</v>
      </c>
      <c r="J1448" s="486" t="n">
        <v>26</v>
      </c>
      <c r="K1448" s="486" t="n">
        <v>0</v>
      </c>
      <c r="L1448" s="486" t="n">
        <v>4</v>
      </c>
      <c r="M1448" s="487" t="inlineStr">
        <is>
          <t>G</t>
        </is>
      </c>
    </row>
    <row r="1449">
      <c r="A1449" s="486" t="n">
        <v>21</v>
      </c>
      <c r="B1449" s="486" t="n">
        <v>7</v>
      </c>
      <c r="C1449" s="486" t="n">
        <v>2</v>
      </c>
      <c r="D1449" s="486" t="n">
        <v>21</v>
      </c>
      <c r="E1449" s="486" t="n">
        <v>1</v>
      </c>
      <c r="F1449" s="486" t="n">
        <v>1</v>
      </c>
      <c r="G1449" s="486" t="inlineStr">
        <is>
          <t>East-Down1</t>
        </is>
      </c>
      <c r="H1449" s="486" t="n">
        <v>2644.71</v>
      </c>
      <c r="I1449" s="486" t="n">
        <v>1</v>
      </c>
      <c r="J1449" s="486" t="n">
        <v>57</v>
      </c>
      <c r="K1449" s="486" t="n">
        <v>58</v>
      </c>
      <c r="L1449" s="486" t="n">
        <v>4</v>
      </c>
      <c r="M1449" s="487" t="inlineStr">
        <is>
          <t>G</t>
        </is>
      </c>
    </row>
    <row r="1450">
      <c r="A1450" s="486" t="n">
        <v>21</v>
      </c>
      <c r="B1450" s="486" t="n">
        <v>7</v>
      </c>
      <c r="C1450" s="486" t="n">
        <v>2</v>
      </c>
      <c r="D1450" s="486" t="n">
        <v>21</v>
      </c>
      <c r="E1450" s="486" t="n">
        <v>1</v>
      </c>
      <c r="F1450" s="486" t="n">
        <v>1</v>
      </c>
      <c r="G1450" s="486" t="inlineStr">
        <is>
          <t>East-Down2</t>
        </is>
      </c>
      <c r="H1450" s="486" t="n">
        <v>0</v>
      </c>
      <c r="I1450" s="486" t="n">
        <v>0</v>
      </c>
      <c r="J1450" s="486" t="n">
        <v>0</v>
      </c>
      <c r="K1450" s="486" t="n">
        <v>0</v>
      </c>
      <c r="L1450" s="486" t="n">
        <v>0</v>
      </c>
      <c r="M1450" s="487" t="inlineStr">
        <is>
          <t>G</t>
        </is>
      </c>
    </row>
    <row r="1451">
      <c r="A1451" s="486" t="n">
        <v>21</v>
      </c>
      <c r="B1451" s="486" t="n">
        <v>7</v>
      </c>
      <c r="C1451" s="486" t="n">
        <v>2</v>
      </c>
      <c r="D1451" s="486" t="n">
        <v>21</v>
      </c>
      <c r="E1451" s="486" t="n">
        <v>1</v>
      </c>
      <c r="F1451" s="486" t="n">
        <v>1</v>
      </c>
      <c r="G1451" s="486" t="inlineStr">
        <is>
          <t>North-Left2</t>
        </is>
      </c>
      <c r="H1451" s="486" t="n">
        <v>0</v>
      </c>
      <c r="I1451" s="486" t="n">
        <v>0</v>
      </c>
      <c r="J1451" s="486" t="n">
        <v>0</v>
      </c>
      <c r="K1451" s="486" t="n">
        <v>0</v>
      </c>
      <c r="L1451" s="486" t="n">
        <v>0</v>
      </c>
      <c r="M1451" s="487" t="inlineStr">
        <is>
          <t>G</t>
        </is>
      </c>
    </row>
    <row r="1452">
      <c r="A1452" s="486" t="n">
        <v>21</v>
      </c>
      <c r="B1452" s="486" t="n">
        <v>7</v>
      </c>
      <c r="C1452" s="486" t="n">
        <v>2</v>
      </c>
      <c r="D1452" s="486" t="n">
        <v>21</v>
      </c>
      <c r="E1452" s="486" t="n">
        <v>1</v>
      </c>
      <c r="F1452" s="486" t="n">
        <v>1</v>
      </c>
      <c r="G1452" s="475" t="inlineStr">
        <is>
          <t>North-Left1</t>
        </is>
      </c>
      <c r="H1452" s="486" t="n">
        <v>3926.6</v>
      </c>
      <c r="I1452" s="486" t="n">
        <v>89</v>
      </c>
      <c r="J1452" s="486" t="n">
        <v>56</v>
      </c>
      <c r="K1452" s="486" t="n">
        <v>28</v>
      </c>
      <c r="L1452" s="486" t="n">
        <v>4</v>
      </c>
      <c r="M1452" s="487" t="inlineStr">
        <is>
          <t>G</t>
        </is>
      </c>
    </row>
    <row r="1453">
      <c r="A1453" s="486" t="n">
        <v>21</v>
      </c>
      <c r="B1453" s="486" t="n">
        <v>7</v>
      </c>
      <c r="C1453" s="486" t="n">
        <v>2</v>
      </c>
      <c r="D1453" s="486" t="n">
        <v>21</v>
      </c>
      <c r="E1453" s="486" t="n">
        <v>1</v>
      </c>
      <c r="F1453" s="486" t="n">
        <v>1</v>
      </c>
      <c r="G1453" s="486" t="inlineStr">
        <is>
          <t>North-Right1</t>
        </is>
      </c>
      <c r="H1453" s="486" t="n">
        <v>1308.91</v>
      </c>
      <c r="I1453" s="486" t="n">
        <v>89</v>
      </c>
      <c r="J1453" s="486" t="n">
        <v>56</v>
      </c>
      <c r="K1453" s="486" t="n">
        <v>51</v>
      </c>
      <c r="L1453" s="486" t="n">
        <v>4</v>
      </c>
      <c r="M1453" s="487" t="inlineStr">
        <is>
          <t>G</t>
        </is>
      </c>
    </row>
    <row r="1454">
      <c r="A1454" s="486" t="n">
        <v>21</v>
      </c>
      <c r="B1454" s="486" t="n">
        <v>7</v>
      </c>
      <c r="C1454" s="486" t="n">
        <v>2</v>
      </c>
      <c r="D1454" s="486" t="n">
        <v>21</v>
      </c>
      <c r="E1454" s="486" t="n">
        <v>1</v>
      </c>
      <c r="F1454" s="486" t="n">
        <v>1</v>
      </c>
      <c r="G1454" s="486" t="inlineStr">
        <is>
          <t>North-Right2</t>
        </is>
      </c>
      <c r="H1454" s="486" t="n">
        <v>0</v>
      </c>
      <c r="I1454" s="486" t="n">
        <v>0</v>
      </c>
      <c r="J1454" s="486" t="n">
        <v>0</v>
      </c>
      <c r="K1454" s="486" t="n">
        <v>0</v>
      </c>
      <c r="L1454" s="486" t="n">
        <v>0</v>
      </c>
      <c r="M1454" s="487" t="inlineStr">
        <is>
          <t>G</t>
        </is>
      </c>
    </row>
    <row r="1455">
      <c r="A1455" s="486" t="n">
        <v>21</v>
      </c>
      <c r="B1455" s="486" t="n">
        <v>7</v>
      </c>
      <c r="C1455" s="486" t="n">
        <v>2</v>
      </c>
      <c r="D1455" s="486" t="n">
        <v>21</v>
      </c>
      <c r="E1455" s="486" t="n">
        <v>1</v>
      </c>
      <c r="F1455" s="486" t="n">
        <v>1</v>
      </c>
      <c r="G1455" s="486" t="inlineStr">
        <is>
          <t>South-Left2</t>
        </is>
      </c>
      <c r="H1455" s="486" t="n">
        <v>0</v>
      </c>
      <c r="I1455" s="486" t="n">
        <v>0</v>
      </c>
      <c r="J1455" s="486" t="n">
        <v>0</v>
      </c>
      <c r="K1455" s="486" t="n">
        <v>0</v>
      </c>
      <c r="L1455" s="486" t="n">
        <v>0</v>
      </c>
      <c r="M1455" s="487" t="inlineStr">
        <is>
          <t>G</t>
        </is>
      </c>
    </row>
    <row r="1456">
      <c r="A1456" s="486" t="n">
        <v>21</v>
      </c>
      <c r="B1456" s="486" t="n">
        <v>7</v>
      </c>
      <c r="C1456" s="486" t="n">
        <v>2</v>
      </c>
      <c r="D1456" s="486" t="n">
        <v>21</v>
      </c>
      <c r="E1456" s="486" t="n">
        <v>1</v>
      </c>
      <c r="F1456" s="486" t="n">
        <v>1</v>
      </c>
      <c r="G1456" s="475" t="inlineStr">
        <is>
          <t>South-Left1</t>
        </is>
      </c>
      <c r="H1456" s="486" t="n">
        <v>2596.73</v>
      </c>
      <c r="I1456" s="486" t="n">
        <v>89</v>
      </c>
      <c r="J1456" s="486" t="n">
        <v>57</v>
      </c>
      <c r="K1456" s="486" t="n">
        <v>14</v>
      </c>
      <c r="L1456" s="486" t="n">
        <v>2</v>
      </c>
      <c r="M1456" s="487" t="inlineStr">
        <is>
          <t>G</t>
        </is>
      </c>
    </row>
    <row r="1457">
      <c r="A1457" s="486" t="n">
        <v>21</v>
      </c>
      <c r="B1457" s="486" t="n">
        <v>7</v>
      </c>
      <c r="C1457" s="486" t="n">
        <v>2</v>
      </c>
      <c r="D1457" s="486" t="n">
        <v>21</v>
      </c>
      <c r="E1457" s="486" t="n">
        <v>1</v>
      </c>
      <c r="F1457" s="486" t="n">
        <v>1</v>
      </c>
      <c r="G1457" s="486" t="inlineStr">
        <is>
          <t>South-Right1</t>
        </is>
      </c>
      <c r="H1457" s="486" t="n">
        <v>2658.15</v>
      </c>
      <c r="I1457" s="486" t="n">
        <v>89</v>
      </c>
      <c r="J1457" s="486" t="n">
        <v>15</v>
      </c>
      <c r="K1457" s="486" t="n">
        <v>2</v>
      </c>
      <c r="L1457" s="486" t="n">
        <v>2</v>
      </c>
      <c r="M1457" s="487" t="inlineStr">
        <is>
          <t>G</t>
        </is>
      </c>
    </row>
    <row r="1458">
      <c r="A1458" s="486" t="n">
        <v>21</v>
      </c>
      <c r="B1458" s="486" t="n">
        <v>7</v>
      </c>
      <c r="C1458" s="486" t="n">
        <v>2</v>
      </c>
      <c r="D1458" s="486" t="n">
        <v>21</v>
      </c>
      <c r="E1458" s="486" t="n">
        <v>1</v>
      </c>
      <c r="F1458" s="486" t="n">
        <v>1</v>
      </c>
      <c r="G1458" s="486" t="inlineStr">
        <is>
          <t>South-Right2</t>
        </is>
      </c>
      <c r="H1458" s="486" t="n">
        <v>0</v>
      </c>
      <c r="I1458" s="486" t="n">
        <v>0</v>
      </c>
      <c r="J1458" s="486" t="n">
        <v>0</v>
      </c>
      <c r="K1458" s="486" t="n">
        <v>0</v>
      </c>
      <c r="L1458" s="486" t="n">
        <v>0</v>
      </c>
      <c r="M1458" s="487" t="inlineStr">
        <is>
          <t>G</t>
        </is>
      </c>
    </row>
    <row r="1459">
      <c r="A1459" s="485" t="n">
        <v>21</v>
      </c>
      <c r="B1459" s="485" t="n">
        <v>2</v>
      </c>
      <c r="C1459" s="485" t="n">
        <v>2</v>
      </c>
      <c r="D1459" s="485" t="n">
        <v>1</v>
      </c>
      <c r="E1459" s="485" t="n">
        <v>2</v>
      </c>
      <c r="F1459" s="485" t="n">
        <v>2</v>
      </c>
      <c r="G1459" s="485" t="inlineStr">
        <is>
          <t>West-Up2</t>
        </is>
      </c>
      <c r="H1459" s="485" t="n">
        <v>0</v>
      </c>
      <c r="I1459" s="485" t="n">
        <v>0</v>
      </c>
      <c r="J1459" s="485" t="n">
        <v>0</v>
      </c>
      <c r="K1459" s="485" t="n">
        <v>0</v>
      </c>
      <c r="L1459" s="485" t="n">
        <v>0</v>
      </c>
      <c r="M1459" s="514" t="inlineStr">
        <is>
          <t>T</t>
        </is>
      </c>
    </row>
    <row r="1460">
      <c r="A1460" s="485" t="n">
        <v>21</v>
      </c>
      <c r="B1460" s="485" t="n">
        <v>2</v>
      </c>
      <c r="C1460" s="485" t="n">
        <v>2</v>
      </c>
      <c r="D1460" s="485" t="n">
        <v>1</v>
      </c>
      <c r="E1460" s="485" t="n">
        <v>2</v>
      </c>
      <c r="F1460" s="485" t="n">
        <v>2</v>
      </c>
      <c r="G1460" s="516" t="inlineStr">
        <is>
          <t>West-Up1</t>
        </is>
      </c>
      <c r="H1460" s="485" t="n">
        <v>2636.58</v>
      </c>
      <c r="I1460" s="485" t="n">
        <v>0</v>
      </c>
      <c r="J1460" s="485" t="n">
        <v>26</v>
      </c>
      <c r="K1460" s="485" t="n">
        <v>53</v>
      </c>
      <c r="L1460" s="485" t="n">
        <v>4</v>
      </c>
      <c r="M1460" s="514" t="inlineStr">
        <is>
          <t>T</t>
        </is>
      </c>
    </row>
    <row r="1461">
      <c r="A1461" s="485" t="n">
        <v>21</v>
      </c>
      <c r="B1461" s="485" t="n">
        <v>2</v>
      </c>
      <c r="C1461" s="485" t="n">
        <v>2</v>
      </c>
      <c r="D1461" s="485" t="n">
        <v>1</v>
      </c>
      <c r="E1461" s="485" t="n">
        <v>2</v>
      </c>
      <c r="F1461" s="485" t="n">
        <v>2</v>
      </c>
      <c r="G1461" s="485" t="inlineStr">
        <is>
          <t>West-Down1</t>
        </is>
      </c>
      <c r="H1461" s="485" t="n">
        <v>2636.27</v>
      </c>
      <c r="I1461" s="485" t="n">
        <v>0</v>
      </c>
      <c r="J1461" s="485" t="n">
        <v>27</v>
      </c>
      <c r="K1461" s="485" t="n">
        <v>15</v>
      </c>
      <c r="L1461" s="485" t="n">
        <v>4</v>
      </c>
      <c r="M1461" s="514" t="inlineStr">
        <is>
          <t>T</t>
        </is>
      </c>
    </row>
    <row r="1462">
      <c r="A1462" s="485" t="n">
        <v>21</v>
      </c>
      <c r="B1462" s="485" t="n">
        <v>2</v>
      </c>
      <c r="C1462" s="485" t="n">
        <v>2</v>
      </c>
      <c r="D1462" s="485" t="n">
        <v>1</v>
      </c>
      <c r="E1462" s="485" t="n">
        <v>2</v>
      </c>
      <c r="F1462" s="485" t="n">
        <v>2</v>
      </c>
      <c r="G1462" s="485" t="inlineStr">
        <is>
          <t>West-Down2</t>
        </is>
      </c>
      <c r="H1462" s="485" t="n">
        <v>0</v>
      </c>
      <c r="I1462" s="485" t="n">
        <v>0</v>
      </c>
      <c r="J1462" s="485" t="n">
        <v>0</v>
      </c>
      <c r="K1462" s="485" t="n">
        <v>0</v>
      </c>
      <c r="L1462" s="485" t="n">
        <v>0</v>
      </c>
      <c r="M1462" s="514" t="inlineStr">
        <is>
          <t>T</t>
        </is>
      </c>
    </row>
    <row r="1463">
      <c r="A1463" s="485" t="n">
        <v>21</v>
      </c>
      <c r="B1463" s="485" t="n">
        <v>2</v>
      </c>
      <c r="C1463" s="485" t="n">
        <v>2</v>
      </c>
      <c r="D1463" s="485" t="n">
        <v>1</v>
      </c>
      <c r="E1463" s="485" t="n">
        <v>2</v>
      </c>
      <c r="F1463" s="485" t="n">
        <v>2</v>
      </c>
      <c r="G1463" s="485" t="inlineStr">
        <is>
          <t>East-Up2</t>
        </is>
      </c>
      <c r="H1463" s="485" t="n">
        <v>0</v>
      </c>
      <c r="I1463" s="485" t="n">
        <v>0</v>
      </c>
      <c r="J1463" s="485" t="n">
        <v>0</v>
      </c>
      <c r="K1463" s="485" t="n">
        <v>0</v>
      </c>
      <c r="L1463" s="485" t="n">
        <v>0</v>
      </c>
      <c r="M1463" s="514" t="inlineStr">
        <is>
          <t>T</t>
        </is>
      </c>
    </row>
    <row r="1464">
      <c r="A1464" s="485" t="n">
        <v>21</v>
      </c>
      <c r="B1464" s="485" t="n">
        <v>2</v>
      </c>
      <c r="C1464" s="485" t="n">
        <v>2</v>
      </c>
      <c r="D1464" s="485" t="n">
        <v>1</v>
      </c>
      <c r="E1464" s="485" t="n">
        <v>2</v>
      </c>
      <c r="F1464" s="485" t="n">
        <v>2</v>
      </c>
      <c r="G1464" s="516" t="inlineStr">
        <is>
          <t>East-Up1</t>
        </is>
      </c>
      <c r="H1464" s="485" t="n">
        <v>2640.11</v>
      </c>
      <c r="I1464" s="485" t="n">
        <v>0</v>
      </c>
      <c r="J1464" s="485" t="n">
        <v>27</v>
      </c>
      <c r="K1464" s="485" t="n">
        <v>2</v>
      </c>
      <c r="L1464" s="485" t="n">
        <v>4</v>
      </c>
      <c r="M1464" s="514" t="inlineStr">
        <is>
          <t>T</t>
        </is>
      </c>
    </row>
    <row r="1465">
      <c r="A1465" s="485" t="n">
        <v>21</v>
      </c>
      <c r="B1465" s="485" t="n">
        <v>2</v>
      </c>
      <c r="C1465" s="485" t="n">
        <v>2</v>
      </c>
      <c r="D1465" s="485" t="n">
        <v>1</v>
      </c>
      <c r="E1465" s="485" t="n">
        <v>2</v>
      </c>
      <c r="F1465" s="485" t="n">
        <v>2</v>
      </c>
      <c r="G1465" s="485" t="inlineStr">
        <is>
          <t>East-Down1</t>
        </is>
      </c>
      <c r="H1465" s="485" t="n">
        <v>2630.37</v>
      </c>
      <c r="I1465" s="485" t="n">
        <v>0</v>
      </c>
      <c r="J1465" s="485" t="n">
        <v>25</v>
      </c>
      <c r="K1465" s="485" t="n">
        <v>17</v>
      </c>
      <c r="L1465" s="485" t="n">
        <v>4</v>
      </c>
      <c r="M1465" s="514" t="inlineStr">
        <is>
          <t>T</t>
        </is>
      </c>
    </row>
    <row r="1466">
      <c r="A1466" s="485" t="n">
        <v>21</v>
      </c>
      <c r="B1466" s="485" t="n">
        <v>2</v>
      </c>
      <c r="C1466" s="485" t="n">
        <v>2</v>
      </c>
      <c r="D1466" s="485" t="n">
        <v>1</v>
      </c>
      <c r="E1466" s="485" t="n">
        <v>2</v>
      </c>
      <c r="F1466" s="485" t="n">
        <v>2</v>
      </c>
      <c r="G1466" s="485" t="inlineStr">
        <is>
          <t>East-Down2</t>
        </is>
      </c>
      <c r="H1466" s="485" t="n">
        <v>0</v>
      </c>
      <c r="I1466" s="485" t="n">
        <v>0</v>
      </c>
      <c r="J1466" s="485" t="n">
        <v>0</v>
      </c>
      <c r="K1466" s="485" t="n">
        <v>0</v>
      </c>
      <c r="L1466" s="485" t="n">
        <v>0</v>
      </c>
      <c r="M1466" s="514" t="inlineStr">
        <is>
          <t>T</t>
        </is>
      </c>
    </row>
    <row r="1467">
      <c r="A1467" s="485" t="n">
        <v>21</v>
      </c>
      <c r="B1467" s="485" t="n">
        <v>2</v>
      </c>
      <c r="C1467" s="485" t="n">
        <v>2</v>
      </c>
      <c r="D1467" s="485" t="n">
        <v>1</v>
      </c>
      <c r="E1467" s="485" t="n">
        <v>2</v>
      </c>
      <c r="F1467" s="485" t="n">
        <v>2</v>
      </c>
      <c r="G1467" s="485" t="inlineStr">
        <is>
          <t>North-Left2</t>
        </is>
      </c>
      <c r="H1467" s="485" t="n">
        <v>0</v>
      </c>
      <c r="I1467" s="485" t="n">
        <v>0</v>
      </c>
      <c r="J1467" s="485" t="n">
        <v>0</v>
      </c>
      <c r="K1467" s="485" t="n">
        <v>0</v>
      </c>
      <c r="L1467" s="485" t="n">
        <v>0</v>
      </c>
      <c r="M1467" s="514" t="inlineStr">
        <is>
          <t>T</t>
        </is>
      </c>
    </row>
    <row r="1468">
      <c r="A1468" s="485" t="n">
        <v>21</v>
      </c>
      <c r="B1468" s="485" t="n">
        <v>2</v>
      </c>
      <c r="C1468" s="485" t="n">
        <v>2</v>
      </c>
      <c r="D1468" s="485" t="n">
        <v>1</v>
      </c>
      <c r="E1468" s="485" t="n">
        <v>2</v>
      </c>
      <c r="F1468" s="485" t="n">
        <v>2</v>
      </c>
      <c r="G1468" s="516" t="inlineStr">
        <is>
          <t>North-Left1</t>
        </is>
      </c>
      <c r="H1468" s="485" t="n">
        <v>2640.35</v>
      </c>
      <c r="I1468" s="485" t="n">
        <v>89</v>
      </c>
      <c r="J1468" s="485" t="n">
        <v>43</v>
      </c>
      <c r="K1468" s="485" t="n">
        <v>53</v>
      </c>
      <c r="L1468" s="485" t="n">
        <v>3</v>
      </c>
      <c r="M1468" s="514" t="inlineStr">
        <is>
          <t>T</t>
        </is>
      </c>
    </row>
    <row r="1469">
      <c r="A1469" s="485" t="n">
        <v>21</v>
      </c>
      <c r="B1469" s="485" t="n">
        <v>2</v>
      </c>
      <c r="C1469" s="485" t="n">
        <v>2</v>
      </c>
      <c r="D1469" s="485" t="n">
        <v>1</v>
      </c>
      <c r="E1469" s="485" t="n">
        <v>2</v>
      </c>
      <c r="F1469" s="485" t="n">
        <v>2</v>
      </c>
      <c r="G1469" s="485" t="inlineStr">
        <is>
          <t>North-Right1</t>
        </is>
      </c>
      <c r="H1469" s="485" t="n">
        <v>2640.79</v>
      </c>
      <c r="I1469" s="485" t="n">
        <v>89</v>
      </c>
      <c r="J1469" s="485" t="n">
        <v>43</v>
      </c>
      <c r="K1469" s="485" t="n">
        <v>41</v>
      </c>
      <c r="L1469" s="485" t="n">
        <v>3</v>
      </c>
      <c r="M1469" s="514" t="inlineStr">
        <is>
          <t>T</t>
        </is>
      </c>
    </row>
    <row r="1470">
      <c r="A1470" s="485" t="n">
        <v>21</v>
      </c>
      <c r="B1470" s="485" t="n">
        <v>2</v>
      </c>
      <c r="C1470" s="485" t="n">
        <v>2</v>
      </c>
      <c r="D1470" s="485" t="n">
        <v>1</v>
      </c>
      <c r="E1470" s="485" t="n">
        <v>2</v>
      </c>
      <c r="F1470" s="485" t="n">
        <v>2</v>
      </c>
      <c r="G1470" s="485" t="inlineStr">
        <is>
          <t>North-Right2</t>
        </is>
      </c>
      <c r="H1470" s="485" t="n">
        <v>0</v>
      </c>
      <c r="I1470" s="485" t="n">
        <v>0</v>
      </c>
      <c r="J1470" s="485" t="n">
        <v>0</v>
      </c>
      <c r="K1470" s="485" t="n">
        <v>0</v>
      </c>
      <c r="L1470" s="485" t="n">
        <v>0</v>
      </c>
      <c r="M1470" s="514" t="inlineStr">
        <is>
          <t>T</t>
        </is>
      </c>
    </row>
    <row r="1471">
      <c r="A1471" s="485" t="n">
        <v>21</v>
      </c>
      <c r="B1471" s="485" t="n">
        <v>2</v>
      </c>
      <c r="C1471" s="485" t="n">
        <v>2</v>
      </c>
      <c r="D1471" s="485" t="n">
        <v>1</v>
      </c>
      <c r="E1471" s="485" t="n">
        <v>2</v>
      </c>
      <c r="F1471" s="485" t="n">
        <v>2</v>
      </c>
      <c r="G1471" s="485" t="inlineStr">
        <is>
          <t>South-Left2</t>
        </is>
      </c>
      <c r="H1471" s="485" t="n">
        <v>0</v>
      </c>
      <c r="I1471" s="485" t="n">
        <v>0</v>
      </c>
      <c r="J1471" s="485" t="n">
        <v>0</v>
      </c>
      <c r="K1471" s="485" t="n">
        <v>0</v>
      </c>
      <c r="L1471" s="485" t="n">
        <v>0</v>
      </c>
      <c r="M1471" s="514" t="inlineStr">
        <is>
          <t>T</t>
        </is>
      </c>
    </row>
    <row r="1472">
      <c r="A1472" s="485" t="n">
        <v>21</v>
      </c>
      <c r="B1472" s="485" t="n">
        <v>2</v>
      </c>
      <c r="C1472" s="485" t="n">
        <v>2</v>
      </c>
      <c r="D1472" s="485" t="n">
        <v>1</v>
      </c>
      <c r="E1472" s="485" t="n">
        <v>2</v>
      </c>
      <c r="F1472" s="485" t="n">
        <v>2</v>
      </c>
      <c r="G1472" s="516" t="inlineStr">
        <is>
          <t>South-Left1</t>
        </is>
      </c>
      <c r="H1472" s="485" t="n">
        <v>2638.86</v>
      </c>
      <c r="I1472" s="485" t="n">
        <v>89</v>
      </c>
      <c r="J1472" s="485" t="n">
        <v>52</v>
      </c>
      <c r="K1472" s="485" t="n">
        <v>52</v>
      </c>
      <c r="L1472" s="485" t="n">
        <v>3</v>
      </c>
      <c r="M1472" s="514" t="inlineStr">
        <is>
          <t>T</t>
        </is>
      </c>
    </row>
    <row r="1473">
      <c r="A1473" s="485" t="n">
        <v>21</v>
      </c>
      <c r="B1473" s="485" t="n">
        <v>2</v>
      </c>
      <c r="C1473" s="485" t="n">
        <v>2</v>
      </c>
      <c r="D1473" s="485" t="n">
        <v>1</v>
      </c>
      <c r="E1473" s="485" t="n">
        <v>2</v>
      </c>
      <c r="F1473" s="485" t="n">
        <v>2</v>
      </c>
      <c r="G1473" s="485" t="inlineStr">
        <is>
          <t>South-Right1</t>
        </is>
      </c>
      <c r="H1473" s="485" t="n">
        <v>2640.9</v>
      </c>
      <c r="I1473" s="485" t="n">
        <v>89</v>
      </c>
      <c r="J1473" s="485" t="n">
        <v>31</v>
      </c>
      <c r="K1473" s="485" t="n">
        <v>38</v>
      </c>
      <c r="L1473" s="485" t="n">
        <v>3</v>
      </c>
      <c r="M1473" s="514" t="inlineStr">
        <is>
          <t>T</t>
        </is>
      </c>
    </row>
    <row r="1474">
      <c r="A1474" s="485" t="n">
        <v>21</v>
      </c>
      <c r="B1474" s="485" t="n">
        <v>2</v>
      </c>
      <c r="C1474" s="485" t="n">
        <v>2</v>
      </c>
      <c r="D1474" s="485" t="n">
        <v>1</v>
      </c>
      <c r="E1474" s="485" t="n">
        <v>2</v>
      </c>
      <c r="F1474" s="485" t="n">
        <v>2</v>
      </c>
      <c r="G1474" s="485" t="inlineStr">
        <is>
          <t>South-Right2</t>
        </is>
      </c>
      <c r="H1474" s="485" t="n">
        <v>0</v>
      </c>
      <c r="I1474" s="485" t="n">
        <v>0</v>
      </c>
      <c r="J1474" s="485" t="n">
        <v>0</v>
      </c>
      <c r="K1474" s="485" t="n">
        <v>0</v>
      </c>
      <c r="L1474" s="485" t="n">
        <v>0</v>
      </c>
      <c r="M1474" s="514" t="inlineStr">
        <is>
          <t>T</t>
        </is>
      </c>
    </row>
    <row r="1475">
      <c r="A1475" s="486" t="n">
        <v>21</v>
      </c>
      <c r="B1475" s="486" t="n">
        <v>2</v>
      </c>
      <c r="C1475" s="486" t="n">
        <v>2</v>
      </c>
      <c r="D1475" s="486" t="n">
        <v>3</v>
      </c>
      <c r="E1475" s="486" t="n">
        <v>2</v>
      </c>
      <c r="F1475" s="486" t="n">
        <v>2</v>
      </c>
      <c r="G1475" s="486" t="inlineStr">
        <is>
          <t>West-Up2</t>
        </is>
      </c>
      <c r="H1475" s="486" t="n">
        <v>0</v>
      </c>
      <c r="I1475" s="486" t="n">
        <v>0</v>
      </c>
      <c r="J1475" s="486" t="n">
        <v>0</v>
      </c>
      <c r="K1475" s="486" t="n">
        <v>0</v>
      </c>
      <c r="L1475" s="486" t="n">
        <v>0</v>
      </c>
      <c r="M1475" s="487" t="inlineStr">
        <is>
          <t>T</t>
        </is>
      </c>
    </row>
    <row r="1476">
      <c r="A1476" s="486" t="n">
        <v>21</v>
      </c>
      <c r="B1476" s="486" t="n">
        <v>2</v>
      </c>
      <c r="C1476" s="486" t="n">
        <v>2</v>
      </c>
      <c r="D1476" s="486" t="n">
        <v>3</v>
      </c>
      <c r="E1476" s="486" t="n">
        <v>2</v>
      </c>
      <c r="F1476" s="486" t="n">
        <v>2</v>
      </c>
      <c r="G1476" s="475" t="inlineStr">
        <is>
          <t>West-Up1</t>
        </is>
      </c>
      <c r="H1476" s="486" t="n">
        <v>5288.85</v>
      </c>
      <c r="I1476" s="486" t="n">
        <v>0</v>
      </c>
      <c r="J1476" s="486" t="n">
        <v>17</v>
      </c>
      <c r="K1476" s="486" t="n">
        <v>39</v>
      </c>
      <c r="L1476" s="486" t="n">
        <v>2</v>
      </c>
      <c r="M1476" s="487" t="inlineStr">
        <is>
          <t>T</t>
        </is>
      </c>
    </row>
    <row r="1477">
      <c r="A1477" s="486" t="n">
        <v>21</v>
      </c>
      <c r="B1477" s="486" t="n">
        <v>2</v>
      </c>
      <c r="C1477" s="486" t="n">
        <v>2</v>
      </c>
      <c r="D1477" s="486" t="n">
        <v>3</v>
      </c>
      <c r="E1477" s="486" t="n">
        <v>2</v>
      </c>
      <c r="F1477" s="486" t="n">
        <v>2</v>
      </c>
      <c r="G1477" s="486" t="inlineStr">
        <is>
          <t>West-Down1</t>
        </is>
      </c>
      <c r="H1477" s="486" t="n">
        <v>0</v>
      </c>
      <c r="I1477" s="486" t="n">
        <v>0</v>
      </c>
      <c r="J1477" s="486" t="n">
        <v>0</v>
      </c>
      <c r="K1477" s="486" t="n">
        <v>0</v>
      </c>
      <c r="L1477" s="486" t="n">
        <v>0</v>
      </c>
      <c r="M1477" s="487" t="inlineStr">
        <is>
          <t>T</t>
        </is>
      </c>
    </row>
    <row r="1478">
      <c r="A1478" s="486" t="n">
        <v>21</v>
      </c>
      <c r="B1478" s="486" t="n">
        <v>2</v>
      </c>
      <c r="C1478" s="486" t="n">
        <v>2</v>
      </c>
      <c r="D1478" s="486" t="n">
        <v>3</v>
      </c>
      <c r="E1478" s="486" t="n">
        <v>2</v>
      </c>
      <c r="F1478" s="486" t="n">
        <v>2</v>
      </c>
      <c r="G1478" s="486" t="inlineStr">
        <is>
          <t>West-Down2</t>
        </is>
      </c>
      <c r="H1478" s="486" t="n">
        <v>0</v>
      </c>
      <c r="I1478" s="486" t="n">
        <v>0</v>
      </c>
      <c r="J1478" s="486" t="n">
        <v>0</v>
      </c>
      <c r="K1478" s="486" t="n">
        <v>0</v>
      </c>
      <c r="L1478" s="486" t="n">
        <v>0</v>
      </c>
      <c r="M1478" s="487" t="inlineStr">
        <is>
          <t>T</t>
        </is>
      </c>
    </row>
    <row r="1479">
      <c r="A1479" s="486" t="n">
        <v>21</v>
      </c>
      <c r="B1479" s="486" t="n">
        <v>2</v>
      </c>
      <c r="C1479" s="486" t="n">
        <v>2</v>
      </c>
      <c r="D1479" s="486" t="n">
        <v>3</v>
      </c>
      <c r="E1479" s="486" t="n">
        <v>2</v>
      </c>
      <c r="F1479" s="486" t="n">
        <v>2</v>
      </c>
      <c r="G1479" s="486" t="inlineStr">
        <is>
          <t>East-Up2</t>
        </is>
      </c>
      <c r="H1479" s="486" t="n">
        <v>0</v>
      </c>
      <c r="I1479" s="486" t="n">
        <v>0</v>
      </c>
      <c r="J1479" s="486" t="n">
        <v>0</v>
      </c>
      <c r="K1479" s="486" t="n">
        <v>0</v>
      </c>
      <c r="L1479" s="486" t="n">
        <v>0</v>
      </c>
      <c r="M1479" s="487" t="inlineStr">
        <is>
          <t>T</t>
        </is>
      </c>
    </row>
    <row r="1480">
      <c r="A1480" s="486" t="n">
        <v>21</v>
      </c>
      <c r="B1480" s="486" t="n">
        <v>2</v>
      </c>
      <c r="C1480" s="486" t="n">
        <v>2</v>
      </c>
      <c r="D1480" s="486" t="n">
        <v>3</v>
      </c>
      <c r="E1480" s="486" t="n">
        <v>2</v>
      </c>
      <c r="F1480" s="486" t="n">
        <v>2</v>
      </c>
      <c r="G1480" s="475" t="inlineStr">
        <is>
          <t>East-Up1</t>
        </is>
      </c>
      <c r="H1480" s="486" t="n">
        <v>2627.8</v>
      </c>
      <c r="I1480" s="486" t="n">
        <v>1</v>
      </c>
      <c r="J1480" s="486" t="n">
        <v>17</v>
      </c>
      <c r="K1480" s="486" t="n">
        <v>48</v>
      </c>
      <c r="L1480" s="486" t="n">
        <v>2</v>
      </c>
      <c r="M1480" s="487" t="inlineStr">
        <is>
          <t>T</t>
        </is>
      </c>
    </row>
    <row r="1481">
      <c r="A1481" s="486" t="n">
        <v>21</v>
      </c>
      <c r="B1481" s="486" t="n">
        <v>2</v>
      </c>
      <c r="C1481" s="486" t="n">
        <v>2</v>
      </c>
      <c r="D1481" s="486" t="n">
        <v>3</v>
      </c>
      <c r="E1481" s="486" t="n">
        <v>2</v>
      </c>
      <c r="F1481" s="486" t="n">
        <v>2</v>
      </c>
      <c r="G1481" s="486" t="inlineStr">
        <is>
          <t>East-Down1</t>
        </is>
      </c>
      <c r="H1481" s="486" t="n">
        <v>2628.57</v>
      </c>
      <c r="I1481" s="486" t="n">
        <v>0</v>
      </c>
      <c r="J1481" s="486" t="n">
        <v>8</v>
      </c>
      <c r="K1481" s="486" t="n">
        <v>31</v>
      </c>
      <c r="L1481" s="486" t="n">
        <v>2</v>
      </c>
      <c r="M1481" s="487" t="inlineStr">
        <is>
          <t>T</t>
        </is>
      </c>
    </row>
    <row r="1482">
      <c r="A1482" s="486" t="n">
        <v>21</v>
      </c>
      <c r="B1482" s="486" t="n">
        <v>2</v>
      </c>
      <c r="C1482" s="486" t="n">
        <v>2</v>
      </c>
      <c r="D1482" s="486" t="n">
        <v>3</v>
      </c>
      <c r="E1482" s="486" t="n">
        <v>2</v>
      </c>
      <c r="F1482" s="486" t="n">
        <v>2</v>
      </c>
      <c r="G1482" s="486" t="inlineStr">
        <is>
          <t>East-Down2</t>
        </is>
      </c>
      <c r="H1482" s="486" t="n">
        <v>0</v>
      </c>
      <c r="I1482" s="486" t="n">
        <v>0</v>
      </c>
      <c r="J1482" s="486" t="n">
        <v>0</v>
      </c>
      <c r="K1482" s="486" t="n">
        <v>0</v>
      </c>
      <c r="L1482" s="486" t="n">
        <v>0</v>
      </c>
      <c r="M1482" s="487" t="inlineStr">
        <is>
          <t>T</t>
        </is>
      </c>
    </row>
    <row r="1483">
      <c r="A1483" s="486" t="n">
        <v>21</v>
      </c>
      <c r="B1483" s="486" t="n">
        <v>2</v>
      </c>
      <c r="C1483" s="486" t="n">
        <v>2</v>
      </c>
      <c r="D1483" s="486" t="n">
        <v>3</v>
      </c>
      <c r="E1483" s="486" t="n">
        <v>2</v>
      </c>
      <c r="F1483" s="486" t="n">
        <v>2</v>
      </c>
      <c r="G1483" s="486" t="inlineStr">
        <is>
          <t>North-Left2</t>
        </is>
      </c>
      <c r="H1483" s="486" t="n">
        <v>0</v>
      </c>
      <c r="I1483" s="486" t="n">
        <v>0</v>
      </c>
      <c r="J1483" s="486" t="n">
        <v>0</v>
      </c>
      <c r="K1483" s="486" t="n">
        <v>0</v>
      </c>
      <c r="L1483" s="486" t="n">
        <v>0</v>
      </c>
      <c r="M1483" s="487" t="inlineStr">
        <is>
          <t>T</t>
        </is>
      </c>
    </row>
    <row r="1484">
      <c r="A1484" s="486" t="n">
        <v>21</v>
      </c>
      <c r="B1484" s="486" t="n">
        <v>2</v>
      </c>
      <c r="C1484" s="486" t="n">
        <v>2</v>
      </c>
      <c r="D1484" s="486" t="n">
        <v>3</v>
      </c>
      <c r="E1484" s="486" t="n">
        <v>2</v>
      </c>
      <c r="F1484" s="486" t="n">
        <v>2</v>
      </c>
      <c r="G1484" s="475" t="inlineStr">
        <is>
          <t>North-Left1</t>
        </is>
      </c>
      <c r="H1484" s="486" t="n">
        <v>5317.84</v>
      </c>
      <c r="I1484" s="486" t="n">
        <v>89</v>
      </c>
      <c r="J1484" s="486" t="n">
        <v>39</v>
      </c>
      <c r="K1484" s="486" t="n">
        <v>20</v>
      </c>
      <c r="L1484" s="486" t="n">
        <v>4</v>
      </c>
      <c r="M1484" s="487" t="inlineStr">
        <is>
          <t>T</t>
        </is>
      </c>
    </row>
    <row r="1485">
      <c r="A1485" s="486" t="n">
        <v>21</v>
      </c>
      <c r="B1485" s="486" t="n">
        <v>2</v>
      </c>
      <c r="C1485" s="486" t="n">
        <v>2</v>
      </c>
      <c r="D1485" s="486" t="n">
        <v>3</v>
      </c>
      <c r="E1485" s="486" t="n">
        <v>2</v>
      </c>
      <c r="F1485" s="486" t="n">
        <v>2</v>
      </c>
      <c r="G1485" s="486" t="inlineStr">
        <is>
          <t>North-Right1</t>
        </is>
      </c>
      <c r="H1485" s="486" t="n">
        <v>0</v>
      </c>
      <c r="I1485" s="486" t="n">
        <v>0</v>
      </c>
      <c r="J1485" s="486" t="n">
        <v>0</v>
      </c>
      <c r="K1485" s="486" t="n">
        <v>0</v>
      </c>
      <c r="L1485" s="486" t="n">
        <v>0</v>
      </c>
      <c r="M1485" s="487" t="inlineStr">
        <is>
          <t>T</t>
        </is>
      </c>
    </row>
    <row r="1486">
      <c r="A1486" s="486" t="n">
        <v>21</v>
      </c>
      <c r="B1486" s="486" t="n">
        <v>2</v>
      </c>
      <c r="C1486" s="486" t="n">
        <v>2</v>
      </c>
      <c r="D1486" s="486" t="n">
        <v>3</v>
      </c>
      <c r="E1486" s="486" t="n">
        <v>2</v>
      </c>
      <c r="F1486" s="486" t="n">
        <v>2</v>
      </c>
      <c r="G1486" s="486" t="inlineStr">
        <is>
          <t>North-Right2</t>
        </is>
      </c>
      <c r="H1486" s="486" t="n">
        <v>0</v>
      </c>
      <c r="I1486" s="486" t="n">
        <v>0</v>
      </c>
      <c r="J1486" s="486" t="n">
        <v>0</v>
      </c>
      <c r="K1486" s="486" t="n">
        <v>0</v>
      </c>
      <c r="L1486" s="486" t="n">
        <v>0</v>
      </c>
      <c r="M1486" s="487" t="inlineStr">
        <is>
          <t>T</t>
        </is>
      </c>
    </row>
    <row r="1487">
      <c r="A1487" s="486" t="n">
        <v>21</v>
      </c>
      <c r="B1487" s="486" t="n">
        <v>2</v>
      </c>
      <c r="C1487" s="486" t="n">
        <v>2</v>
      </c>
      <c r="D1487" s="486" t="n">
        <v>3</v>
      </c>
      <c r="E1487" s="486" t="n">
        <v>2</v>
      </c>
      <c r="F1487" s="486" t="n">
        <v>2</v>
      </c>
      <c r="G1487" s="486" t="inlineStr">
        <is>
          <t>South-Left2</t>
        </is>
      </c>
      <c r="H1487" s="486" t="n">
        <v>0</v>
      </c>
      <c r="I1487" s="486" t="n">
        <v>0</v>
      </c>
      <c r="J1487" s="486" t="n">
        <v>0</v>
      </c>
      <c r="K1487" s="486" t="n">
        <v>0</v>
      </c>
      <c r="L1487" s="486" t="n">
        <v>0</v>
      </c>
      <c r="M1487" s="487" t="inlineStr">
        <is>
          <t>T</t>
        </is>
      </c>
    </row>
    <row r="1488">
      <c r="A1488" s="486" t="n">
        <v>21</v>
      </c>
      <c r="B1488" s="486" t="n">
        <v>2</v>
      </c>
      <c r="C1488" s="486" t="n">
        <v>2</v>
      </c>
      <c r="D1488" s="486" t="n">
        <v>3</v>
      </c>
      <c r="E1488" s="486" t="n">
        <v>2</v>
      </c>
      <c r="F1488" s="486" t="n">
        <v>2</v>
      </c>
      <c r="G1488" s="475" t="inlineStr">
        <is>
          <t>South-Left1</t>
        </is>
      </c>
      <c r="H1488" s="486" t="n">
        <v>3959.66</v>
      </c>
      <c r="I1488" s="486" t="n">
        <v>89</v>
      </c>
      <c r="J1488" s="486" t="n">
        <v>58</v>
      </c>
      <c r="K1488" s="486" t="n">
        <v>5</v>
      </c>
      <c r="L1488" s="486" t="n">
        <v>2</v>
      </c>
      <c r="M1488" s="487" t="inlineStr">
        <is>
          <t>T</t>
        </is>
      </c>
    </row>
    <row r="1489">
      <c r="A1489" s="486" t="n">
        <v>21</v>
      </c>
      <c r="B1489" s="486" t="n">
        <v>2</v>
      </c>
      <c r="C1489" s="486" t="n">
        <v>2</v>
      </c>
      <c r="D1489" s="486" t="n">
        <v>3</v>
      </c>
      <c r="E1489" s="486" t="n">
        <v>2</v>
      </c>
      <c r="F1489" s="486" t="n">
        <v>2</v>
      </c>
      <c r="G1489" s="486" t="inlineStr">
        <is>
          <t>South-Right1</t>
        </is>
      </c>
      <c r="H1489" s="486" t="n">
        <v>0</v>
      </c>
      <c r="I1489" s="486" t="n">
        <v>0</v>
      </c>
      <c r="J1489" s="486" t="n">
        <v>0</v>
      </c>
      <c r="K1489" s="486" t="n">
        <v>0</v>
      </c>
      <c r="L1489" s="486" t="n">
        <v>0</v>
      </c>
      <c r="M1489" s="487" t="inlineStr">
        <is>
          <t>T</t>
        </is>
      </c>
    </row>
    <row r="1490">
      <c r="A1490" s="486" t="n">
        <v>21</v>
      </c>
      <c r="B1490" s="486" t="n">
        <v>2</v>
      </c>
      <c r="C1490" s="486" t="n">
        <v>2</v>
      </c>
      <c r="D1490" s="486" t="n">
        <v>3</v>
      </c>
      <c r="E1490" s="486" t="n">
        <v>2</v>
      </c>
      <c r="F1490" s="486" t="n">
        <v>2</v>
      </c>
      <c r="G1490" s="486" t="inlineStr">
        <is>
          <t>South-Right2</t>
        </is>
      </c>
      <c r="H1490" s="486" t="n">
        <v>1319.22</v>
      </c>
      <c r="I1490" s="486" t="n">
        <v>89</v>
      </c>
      <c r="J1490" s="486" t="n">
        <v>57</v>
      </c>
      <c r="K1490" s="486" t="n">
        <v>11</v>
      </c>
      <c r="L1490" s="486" t="n">
        <v>4</v>
      </c>
      <c r="M1490" s="487" t="inlineStr">
        <is>
          <t>T</t>
        </is>
      </c>
    </row>
    <row r="1491">
      <c r="A1491" s="485" t="n">
        <v>21</v>
      </c>
      <c r="B1491" s="485" t="n">
        <v>3</v>
      </c>
      <c r="C1491" s="485" t="n">
        <v>2</v>
      </c>
      <c r="D1491" s="485" t="n">
        <v>1</v>
      </c>
      <c r="E1491" s="485" t="n">
        <v>2</v>
      </c>
      <c r="F1491" s="485" t="n">
        <v>2</v>
      </c>
      <c r="G1491" s="485" t="inlineStr">
        <is>
          <t>West-Up2</t>
        </is>
      </c>
      <c r="H1491" s="485" t="n">
        <v>1320.43</v>
      </c>
      <c r="I1491" s="485" t="n">
        <v>0</v>
      </c>
      <c r="J1491" s="485" t="n">
        <v>9</v>
      </c>
      <c r="K1491" s="485" t="n">
        <v>1</v>
      </c>
      <c r="L1491" s="485" t="n">
        <v>4</v>
      </c>
      <c r="M1491" s="514" t="inlineStr">
        <is>
          <t>T</t>
        </is>
      </c>
    </row>
    <row r="1492">
      <c r="A1492" s="485" t="n">
        <v>21</v>
      </c>
      <c r="B1492" s="485" t="n">
        <v>3</v>
      </c>
      <c r="C1492" s="485" t="n">
        <v>2</v>
      </c>
      <c r="D1492" s="485" t="n">
        <v>1</v>
      </c>
      <c r="E1492" s="485" t="n">
        <v>2</v>
      </c>
      <c r="F1492" s="485" t="n">
        <v>2</v>
      </c>
      <c r="G1492" s="516" t="inlineStr">
        <is>
          <t>West-Up1</t>
        </is>
      </c>
      <c r="H1492" s="485" t="n">
        <v>1320.43</v>
      </c>
      <c r="I1492" s="485" t="n">
        <v>0</v>
      </c>
      <c r="J1492" s="485" t="n">
        <v>9</v>
      </c>
      <c r="K1492" s="485" t="n">
        <v>1</v>
      </c>
      <c r="L1492" s="485" t="n">
        <v>4</v>
      </c>
      <c r="M1492" s="514" t="inlineStr">
        <is>
          <t>T</t>
        </is>
      </c>
    </row>
    <row r="1493">
      <c r="A1493" s="485" t="n">
        <v>21</v>
      </c>
      <c r="B1493" s="485" t="n">
        <v>3</v>
      </c>
      <c r="C1493" s="485" t="n">
        <v>2</v>
      </c>
      <c r="D1493" s="485" t="n">
        <v>1</v>
      </c>
      <c r="E1493" s="485" t="n">
        <v>2</v>
      </c>
      <c r="F1493" s="485" t="n">
        <v>2</v>
      </c>
      <c r="G1493" s="485" t="inlineStr">
        <is>
          <t>West-Down1</t>
        </is>
      </c>
      <c r="H1493" s="485" t="n">
        <v>1313.37</v>
      </c>
      <c r="I1493" s="485" t="n">
        <v>0</v>
      </c>
      <c r="J1493" s="485" t="n">
        <v>9</v>
      </c>
      <c r="K1493" s="485" t="n">
        <v>13</v>
      </c>
      <c r="L1493" s="485" t="n">
        <v>4</v>
      </c>
      <c r="M1493" s="514" t="inlineStr">
        <is>
          <t>T</t>
        </is>
      </c>
    </row>
    <row r="1494">
      <c r="A1494" s="485" t="n">
        <v>21</v>
      </c>
      <c r="B1494" s="485" t="n">
        <v>3</v>
      </c>
      <c r="C1494" s="485" t="n">
        <v>2</v>
      </c>
      <c r="D1494" s="485" t="n">
        <v>1</v>
      </c>
      <c r="E1494" s="485" t="n">
        <v>2</v>
      </c>
      <c r="F1494" s="485" t="n">
        <v>2</v>
      </c>
      <c r="G1494" s="485" t="inlineStr">
        <is>
          <t>West-Down2</t>
        </is>
      </c>
      <c r="H1494" s="485" t="n">
        <v>1321.48</v>
      </c>
      <c r="I1494" s="485" t="n">
        <v>0</v>
      </c>
      <c r="J1494" s="485" t="n">
        <v>0</v>
      </c>
      <c r="K1494" s="485" t="n">
        <v>13</v>
      </c>
      <c r="L1494" s="485" t="n">
        <v>4</v>
      </c>
      <c r="M1494" s="514" t="inlineStr">
        <is>
          <t>T</t>
        </is>
      </c>
    </row>
    <row r="1495">
      <c r="A1495" s="485" t="n">
        <v>21</v>
      </c>
      <c r="B1495" s="485" t="n">
        <v>3</v>
      </c>
      <c r="C1495" s="485" t="n">
        <v>2</v>
      </c>
      <c r="D1495" s="485" t="n">
        <v>1</v>
      </c>
      <c r="E1495" s="485" t="n">
        <v>2</v>
      </c>
      <c r="F1495" s="485" t="n">
        <v>2</v>
      </c>
      <c r="G1495" s="485" t="inlineStr">
        <is>
          <t>East-Up2</t>
        </is>
      </c>
      <c r="H1495" s="485" t="n">
        <v>0</v>
      </c>
      <c r="I1495" s="485" t="n">
        <v>0</v>
      </c>
      <c r="J1495" s="485" t="n">
        <v>0</v>
      </c>
      <c r="K1495" s="485" t="n">
        <v>0</v>
      </c>
      <c r="L1495" s="485" t="n">
        <v>0</v>
      </c>
      <c r="M1495" s="514" t="inlineStr">
        <is>
          <t>T</t>
        </is>
      </c>
    </row>
    <row r="1496">
      <c r="A1496" s="485" t="n">
        <v>21</v>
      </c>
      <c r="B1496" s="485" t="n">
        <v>3</v>
      </c>
      <c r="C1496" s="485" t="n">
        <v>2</v>
      </c>
      <c r="D1496" s="485" t="n">
        <v>1</v>
      </c>
      <c r="E1496" s="485" t="n">
        <v>2</v>
      </c>
      <c r="F1496" s="485" t="n">
        <v>2</v>
      </c>
      <c r="G1496" s="516" t="inlineStr">
        <is>
          <t>East-Up1</t>
        </is>
      </c>
      <c r="H1496" s="485" t="n">
        <v>2637.78</v>
      </c>
      <c r="I1496" s="485" t="n">
        <v>0</v>
      </c>
      <c r="J1496" s="485" t="n">
        <v>14</v>
      </c>
      <c r="K1496" s="485" t="n">
        <v>57</v>
      </c>
      <c r="L1496" s="485" t="n">
        <v>2</v>
      </c>
      <c r="M1496" s="514" t="inlineStr">
        <is>
          <t>T</t>
        </is>
      </c>
    </row>
    <row r="1497">
      <c r="A1497" s="485" t="n">
        <v>21</v>
      </c>
      <c r="B1497" s="485" t="n">
        <v>3</v>
      </c>
      <c r="C1497" s="485" t="n">
        <v>2</v>
      </c>
      <c r="D1497" s="485" t="n">
        <v>1</v>
      </c>
      <c r="E1497" s="485" t="n">
        <v>2</v>
      </c>
      <c r="F1497" s="485" t="n">
        <v>2</v>
      </c>
      <c r="G1497" s="485" t="inlineStr">
        <is>
          <t>East-Down1</t>
        </is>
      </c>
      <c r="H1497" s="485" t="n">
        <v>2672.07</v>
      </c>
      <c r="I1497" s="485" t="n">
        <v>0</v>
      </c>
      <c r="J1497" s="485" t="n">
        <v>14</v>
      </c>
      <c r="K1497" s="485" t="n">
        <v>57</v>
      </c>
      <c r="L1497" s="485" t="n">
        <v>2</v>
      </c>
      <c r="M1497" s="514" t="inlineStr">
        <is>
          <t>T</t>
        </is>
      </c>
    </row>
    <row r="1498">
      <c r="A1498" s="485" t="n">
        <v>21</v>
      </c>
      <c r="B1498" s="485" t="n">
        <v>3</v>
      </c>
      <c r="C1498" s="485" t="n">
        <v>2</v>
      </c>
      <c r="D1498" s="485" t="n">
        <v>1</v>
      </c>
      <c r="E1498" s="485" t="n">
        <v>2</v>
      </c>
      <c r="F1498" s="485" t="n">
        <v>2</v>
      </c>
      <c r="G1498" s="485" t="inlineStr">
        <is>
          <t>East-Down2</t>
        </is>
      </c>
      <c r="H1498" s="485" t="n">
        <v>0</v>
      </c>
      <c r="I1498" s="485" t="n">
        <v>0</v>
      </c>
      <c r="J1498" s="485" t="n">
        <v>0</v>
      </c>
      <c r="K1498" s="485" t="n">
        <v>0</v>
      </c>
      <c r="L1498" s="485" t="n">
        <v>0</v>
      </c>
      <c r="M1498" s="514" t="inlineStr">
        <is>
          <t>T</t>
        </is>
      </c>
    </row>
    <row r="1499">
      <c r="A1499" s="485" t="n">
        <v>21</v>
      </c>
      <c r="B1499" s="485" t="n">
        <v>3</v>
      </c>
      <c r="C1499" s="485" t="n">
        <v>2</v>
      </c>
      <c r="D1499" s="485" t="n">
        <v>1</v>
      </c>
      <c r="E1499" s="485" t="n">
        <v>2</v>
      </c>
      <c r="F1499" s="485" t="n">
        <v>2</v>
      </c>
      <c r="G1499" s="485" t="inlineStr">
        <is>
          <t>North-Left2</t>
        </is>
      </c>
      <c r="H1499" s="485" t="n">
        <v>1325.58</v>
      </c>
      <c r="I1499" s="485" t="n">
        <v>89</v>
      </c>
      <c r="J1499" s="485" t="n">
        <v>53</v>
      </c>
      <c r="K1499" s="485" t="n">
        <v>20</v>
      </c>
      <c r="L1499" s="485" t="n">
        <v>3</v>
      </c>
      <c r="M1499" s="514" t="inlineStr">
        <is>
          <t>T</t>
        </is>
      </c>
    </row>
    <row r="1500">
      <c r="A1500" s="485" t="n">
        <v>21</v>
      </c>
      <c r="B1500" s="485" t="n">
        <v>3</v>
      </c>
      <c r="C1500" s="485" t="n">
        <v>2</v>
      </c>
      <c r="D1500" s="485" t="n">
        <v>1</v>
      </c>
      <c r="E1500" s="485" t="n">
        <v>2</v>
      </c>
      <c r="F1500" s="485" t="n">
        <v>2</v>
      </c>
      <c r="G1500" s="516" t="inlineStr">
        <is>
          <t>North-Left1</t>
        </is>
      </c>
      <c r="H1500" s="485" t="n">
        <v>1318.12</v>
      </c>
      <c r="I1500" s="485" t="n">
        <v>89</v>
      </c>
      <c r="J1500" s="485" t="n">
        <v>56</v>
      </c>
      <c r="K1500" s="485" t="n">
        <v>56</v>
      </c>
      <c r="L1500" s="485" t="n">
        <v>3</v>
      </c>
      <c r="M1500" s="514" t="inlineStr">
        <is>
          <t>T</t>
        </is>
      </c>
    </row>
    <row r="1501">
      <c r="A1501" s="485" t="n">
        <v>21</v>
      </c>
      <c r="B1501" s="485" t="n">
        <v>3</v>
      </c>
      <c r="C1501" s="485" t="n">
        <v>2</v>
      </c>
      <c r="D1501" s="485" t="n">
        <v>1</v>
      </c>
      <c r="E1501" s="485" t="n">
        <v>2</v>
      </c>
      <c r="F1501" s="485" t="n">
        <v>2</v>
      </c>
      <c r="G1501" s="485" t="inlineStr">
        <is>
          <t>North-Right1</t>
        </is>
      </c>
      <c r="H1501" s="485" t="n">
        <v>2641.17</v>
      </c>
      <c r="I1501" s="485" t="n">
        <v>89</v>
      </c>
      <c r="J1501" s="485" t="n">
        <v>55</v>
      </c>
      <c r="K1501" s="485" t="n">
        <v>18</v>
      </c>
      <c r="L1501" s="485" t="n">
        <v>1</v>
      </c>
      <c r="M1501" s="514" t="inlineStr">
        <is>
          <t>T</t>
        </is>
      </c>
    </row>
    <row r="1502">
      <c r="A1502" s="485" t="n">
        <v>21</v>
      </c>
      <c r="B1502" s="485" t="n">
        <v>3</v>
      </c>
      <c r="C1502" s="485" t="n">
        <v>2</v>
      </c>
      <c r="D1502" s="485" t="n">
        <v>1</v>
      </c>
      <c r="E1502" s="485" t="n">
        <v>2</v>
      </c>
      <c r="F1502" s="485" t="n">
        <v>2</v>
      </c>
      <c r="G1502" s="485" t="inlineStr">
        <is>
          <t>North-Right2</t>
        </is>
      </c>
      <c r="H1502" s="485" t="n">
        <v>0</v>
      </c>
      <c r="I1502" s="485" t="n">
        <v>0</v>
      </c>
      <c r="J1502" s="485" t="n">
        <v>0</v>
      </c>
      <c r="K1502" s="485" t="n">
        <v>0</v>
      </c>
      <c r="L1502" s="485" t="n">
        <v>0</v>
      </c>
      <c r="M1502" s="514" t="inlineStr">
        <is>
          <t>T</t>
        </is>
      </c>
    </row>
    <row r="1503">
      <c r="A1503" s="485" t="n">
        <v>21</v>
      </c>
      <c r="B1503" s="485" t="n">
        <v>3</v>
      </c>
      <c r="C1503" s="485" t="n">
        <v>2</v>
      </c>
      <c r="D1503" s="485" t="n">
        <v>1</v>
      </c>
      <c r="E1503" s="485" t="n">
        <v>2</v>
      </c>
      <c r="F1503" s="485" t="n">
        <v>2</v>
      </c>
      <c r="G1503" s="485" t="inlineStr">
        <is>
          <t>South-Left2</t>
        </is>
      </c>
      <c r="H1503" s="485" t="n">
        <v>0</v>
      </c>
      <c r="I1503" s="485" t="n">
        <v>0</v>
      </c>
      <c r="J1503" s="485" t="n">
        <v>0</v>
      </c>
      <c r="K1503" s="485" t="n">
        <v>0</v>
      </c>
      <c r="L1503" s="485" t="n">
        <v>0</v>
      </c>
      <c r="M1503" s="514" t="inlineStr">
        <is>
          <t>T</t>
        </is>
      </c>
    </row>
    <row r="1504">
      <c r="A1504" s="485" t="n">
        <v>21</v>
      </c>
      <c r="B1504" s="485" t="n">
        <v>3</v>
      </c>
      <c r="C1504" s="485" t="n">
        <v>2</v>
      </c>
      <c r="D1504" s="485" t="n">
        <v>1</v>
      </c>
      <c r="E1504" s="485" t="n">
        <v>2</v>
      </c>
      <c r="F1504" s="485" t="n">
        <v>2</v>
      </c>
      <c r="G1504" s="516" t="inlineStr">
        <is>
          <t>South-Left1</t>
        </is>
      </c>
      <c r="H1504" s="485" t="n">
        <v>2608.11</v>
      </c>
      <c r="I1504" s="485" t="n">
        <v>89</v>
      </c>
      <c r="J1504" s="485" t="n">
        <v>40</v>
      </c>
      <c r="K1504" s="485" t="n">
        <v>35</v>
      </c>
      <c r="L1504" s="485" t="n">
        <v>1</v>
      </c>
      <c r="M1504" s="514" t="inlineStr">
        <is>
          <t>T</t>
        </is>
      </c>
    </row>
    <row r="1505">
      <c r="A1505" s="485" t="n">
        <v>21</v>
      </c>
      <c r="B1505" s="485" t="n">
        <v>3</v>
      </c>
      <c r="C1505" s="485" t="n">
        <v>2</v>
      </c>
      <c r="D1505" s="485" t="n">
        <v>1</v>
      </c>
      <c r="E1505" s="485" t="n">
        <v>2</v>
      </c>
      <c r="F1505" s="485" t="n">
        <v>2</v>
      </c>
      <c r="G1505" s="485" t="inlineStr">
        <is>
          <t>South-Right1</t>
        </is>
      </c>
      <c r="H1505" s="485" t="n">
        <v>2643.25</v>
      </c>
      <c r="I1505" s="485" t="n">
        <v>89</v>
      </c>
      <c r="J1505" s="485" t="n">
        <v>34</v>
      </c>
      <c r="K1505" s="485" t="n">
        <v>58</v>
      </c>
      <c r="L1505" s="485" t="n">
        <v>1</v>
      </c>
      <c r="M1505" s="514" t="inlineStr">
        <is>
          <t>T</t>
        </is>
      </c>
    </row>
    <row r="1506">
      <c r="A1506" s="485" t="n">
        <v>21</v>
      </c>
      <c r="B1506" s="485" t="n">
        <v>3</v>
      </c>
      <c r="C1506" s="485" t="n">
        <v>2</v>
      </c>
      <c r="D1506" s="485" t="n">
        <v>1</v>
      </c>
      <c r="E1506" s="485" t="n">
        <v>2</v>
      </c>
      <c r="F1506" s="485" t="n">
        <v>2</v>
      </c>
      <c r="G1506" s="485" t="inlineStr">
        <is>
          <t>South-Right2</t>
        </is>
      </c>
      <c r="H1506" s="485" t="n">
        <v>0</v>
      </c>
      <c r="I1506" s="485" t="n">
        <v>0</v>
      </c>
      <c r="J1506" s="485" t="n">
        <v>0</v>
      </c>
      <c r="K1506" s="485" t="n">
        <v>0</v>
      </c>
      <c r="L1506" s="485" t="n">
        <v>0</v>
      </c>
      <c r="M1506" s="514" t="inlineStr">
        <is>
          <t>T</t>
        </is>
      </c>
    </row>
    <row r="1507">
      <c r="A1507" s="486" t="n">
        <v>21</v>
      </c>
      <c r="B1507" s="486" t="n">
        <v>3</v>
      </c>
      <c r="C1507" s="486" t="n">
        <v>2</v>
      </c>
      <c r="D1507" s="486" t="n">
        <v>2</v>
      </c>
      <c r="E1507" s="486" t="n">
        <v>2</v>
      </c>
      <c r="F1507" s="486" t="n">
        <v>2</v>
      </c>
      <c r="G1507" s="486" t="inlineStr">
        <is>
          <t>West-Up2</t>
        </is>
      </c>
      <c r="H1507" s="486" t="n">
        <v>0</v>
      </c>
      <c r="I1507" s="486" t="n">
        <v>0</v>
      </c>
      <c r="J1507" s="486" t="n">
        <v>0</v>
      </c>
      <c r="K1507" s="486" t="n">
        <v>0</v>
      </c>
      <c r="L1507" s="486" t="n">
        <v>0</v>
      </c>
      <c r="M1507" s="487" t="inlineStr">
        <is>
          <t>G</t>
        </is>
      </c>
    </row>
    <row r="1508">
      <c r="A1508" s="486" t="n">
        <v>21</v>
      </c>
      <c r="B1508" s="486" t="n">
        <v>3</v>
      </c>
      <c r="C1508" s="486" t="n">
        <v>2</v>
      </c>
      <c r="D1508" s="486" t="n">
        <v>2</v>
      </c>
      <c r="E1508" s="486" t="n">
        <v>2</v>
      </c>
      <c r="F1508" s="486" t="n">
        <v>2</v>
      </c>
      <c r="G1508" s="475" t="inlineStr">
        <is>
          <t>West-Up1</t>
        </is>
      </c>
      <c r="H1508" s="486" t="n">
        <v>2635.41</v>
      </c>
      <c r="I1508" s="486" t="n">
        <v>0</v>
      </c>
      <c r="J1508" s="486" t="n">
        <v>52</v>
      </c>
      <c r="K1508" s="486" t="n">
        <v>11</v>
      </c>
      <c r="L1508" s="486" t="n">
        <v>4</v>
      </c>
      <c r="M1508" s="487" t="inlineStr">
        <is>
          <t>G</t>
        </is>
      </c>
    </row>
    <row r="1509">
      <c r="A1509" s="486" t="n">
        <v>21</v>
      </c>
      <c r="B1509" s="486" t="n">
        <v>3</v>
      </c>
      <c r="C1509" s="486" t="n">
        <v>2</v>
      </c>
      <c r="D1509" s="486" t="n">
        <v>2</v>
      </c>
      <c r="E1509" s="486" t="n">
        <v>2</v>
      </c>
      <c r="F1509" s="486" t="n">
        <v>2</v>
      </c>
      <c r="G1509" s="486" t="inlineStr">
        <is>
          <t>West-Down1</t>
        </is>
      </c>
      <c r="H1509" s="486" t="n">
        <v>1375.64</v>
      </c>
      <c r="I1509" s="486" t="n">
        <v>1</v>
      </c>
      <c r="J1509" s="486" t="n">
        <v>54</v>
      </c>
      <c r="K1509" s="486" t="n">
        <v>29</v>
      </c>
      <c r="L1509" s="486" t="n">
        <v>4</v>
      </c>
      <c r="M1509" s="487" t="inlineStr">
        <is>
          <t>G</t>
        </is>
      </c>
    </row>
    <row r="1510">
      <c r="A1510" s="486" t="n">
        <v>21</v>
      </c>
      <c r="B1510" s="486" t="n">
        <v>3</v>
      </c>
      <c r="C1510" s="486" t="n">
        <v>2</v>
      </c>
      <c r="D1510" s="486" t="n">
        <v>2</v>
      </c>
      <c r="E1510" s="486" t="n">
        <v>2</v>
      </c>
      <c r="F1510" s="486" t="n">
        <v>2</v>
      </c>
      <c r="G1510" s="486" t="inlineStr">
        <is>
          <t>West-Down2</t>
        </is>
      </c>
      <c r="H1510" s="486" t="n">
        <v>1375.72</v>
      </c>
      <c r="I1510" s="486" t="n">
        <v>1</v>
      </c>
      <c r="J1510" s="486" t="n">
        <v>46</v>
      </c>
      <c r="K1510" s="486" t="n">
        <v>9</v>
      </c>
      <c r="L1510" s="486" t="n">
        <v>4</v>
      </c>
      <c r="M1510" s="487" t="inlineStr">
        <is>
          <t>G</t>
        </is>
      </c>
    </row>
    <row r="1511">
      <c r="A1511" s="486" t="n">
        <v>21</v>
      </c>
      <c r="B1511" s="486" t="n">
        <v>3</v>
      </c>
      <c r="C1511" s="486" t="n">
        <v>2</v>
      </c>
      <c r="D1511" s="486" t="n">
        <v>2</v>
      </c>
      <c r="E1511" s="486" t="n">
        <v>2</v>
      </c>
      <c r="F1511" s="486" t="n">
        <v>2</v>
      </c>
      <c r="G1511" s="486" t="inlineStr">
        <is>
          <t>East-Up2</t>
        </is>
      </c>
      <c r="H1511" s="486" t="n">
        <v>1323.52</v>
      </c>
      <c r="I1511" s="486" t="n">
        <v>0</v>
      </c>
      <c r="J1511" s="486" t="n">
        <v>13</v>
      </c>
      <c r="K1511" s="486" t="n">
        <v>19</v>
      </c>
      <c r="L1511" s="486" t="n">
        <v>1</v>
      </c>
      <c r="M1511" s="487" t="inlineStr">
        <is>
          <t>G</t>
        </is>
      </c>
    </row>
    <row r="1512">
      <c r="A1512" s="486" t="n">
        <v>21</v>
      </c>
      <c r="B1512" s="486" t="n">
        <v>3</v>
      </c>
      <c r="C1512" s="486" t="n">
        <v>2</v>
      </c>
      <c r="D1512" s="486" t="n">
        <v>2</v>
      </c>
      <c r="E1512" s="486" t="n">
        <v>2</v>
      </c>
      <c r="F1512" s="486" t="n">
        <v>2</v>
      </c>
      <c r="G1512" s="475" t="inlineStr">
        <is>
          <t>East-Up1</t>
        </is>
      </c>
      <c r="H1512" s="486" t="n">
        <v>1327.85</v>
      </c>
      <c r="I1512" s="486" t="n">
        <v>0</v>
      </c>
      <c r="J1512" s="486" t="n">
        <v>40</v>
      </c>
      <c r="K1512" s="486" t="n">
        <v>3</v>
      </c>
      <c r="L1512" s="486" t="n">
        <v>1</v>
      </c>
      <c r="M1512" s="487" t="inlineStr">
        <is>
          <t>G</t>
        </is>
      </c>
    </row>
    <row r="1513">
      <c r="A1513" s="486" t="n">
        <v>21</v>
      </c>
      <c r="B1513" s="486" t="n">
        <v>3</v>
      </c>
      <c r="C1513" s="486" t="n">
        <v>2</v>
      </c>
      <c r="D1513" s="486" t="n">
        <v>2</v>
      </c>
      <c r="E1513" s="486" t="n">
        <v>2</v>
      </c>
      <c r="F1513" s="486" t="n">
        <v>2</v>
      </c>
      <c r="G1513" s="486" t="inlineStr">
        <is>
          <t>East-Down1</t>
        </is>
      </c>
      <c r="H1513" s="486" t="n">
        <v>1325.73</v>
      </c>
      <c r="I1513" s="486" t="n">
        <v>0</v>
      </c>
      <c r="J1513" s="486" t="n">
        <v>27</v>
      </c>
      <c r="K1513" s="486" t="n">
        <v>5</v>
      </c>
      <c r="L1513" s="486" t="n">
        <v>1</v>
      </c>
      <c r="M1513" s="487" t="inlineStr">
        <is>
          <t>G</t>
        </is>
      </c>
    </row>
    <row r="1514">
      <c r="A1514" s="486" t="n">
        <v>21</v>
      </c>
      <c r="B1514" s="486" t="n">
        <v>3</v>
      </c>
      <c r="C1514" s="486" t="n">
        <v>2</v>
      </c>
      <c r="D1514" s="486" t="n">
        <v>2</v>
      </c>
      <c r="E1514" s="486" t="n">
        <v>2</v>
      </c>
      <c r="F1514" s="486" t="n">
        <v>2</v>
      </c>
      <c r="G1514" s="486" t="inlineStr">
        <is>
          <t>East-Down2</t>
        </is>
      </c>
      <c r="H1514" s="486" t="n">
        <v>1325.7</v>
      </c>
      <c r="I1514" s="486" t="n">
        <v>0</v>
      </c>
      <c r="J1514" s="486" t="n">
        <v>26</v>
      </c>
      <c r="K1514" s="486" t="n">
        <v>6</v>
      </c>
      <c r="L1514" s="486" t="n">
        <v>1</v>
      </c>
      <c r="M1514" s="487" t="inlineStr">
        <is>
          <t>G</t>
        </is>
      </c>
    </row>
    <row r="1515">
      <c r="A1515" s="486" t="n">
        <v>21</v>
      </c>
      <c r="B1515" s="486" t="n">
        <v>3</v>
      </c>
      <c r="C1515" s="486" t="n">
        <v>2</v>
      </c>
      <c r="D1515" s="486" t="n">
        <v>2</v>
      </c>
      <c r="E1515" s="486" t="n">
        <v>2</v>
      </c>
      <c r="F1515" s="486" t="n">
        <v>2</v>
      </c>
      <c r="G1515" s="486" t="inlineStr">
        <is>
          <t>North-Left2</t>
        </is>
      </c>
      <c r="H1515" s="486" t="n">
        <v>1323.3</v>
      </c>
      <c r="I1515" s="486" t="n">
        <v>89</v>
      </c>
      <c r="J1515" s="486" t="n">
        <v>26</v>
      </c>
      <c r="K1515" s="486" t="n">
        <v>3</v>
      </c>
      <c r="L1515" s="486" t="n">
        <v>1</v>
      </c>
      <c r="M1515" s="487" t="inlineStr">
        <is>
          <t>G</t>
        </is>
      </c>
    </row>
    <row r="1516">
      <c r="A1516" s="486" t="n">
        <v>21</v>
      </c>
      <c r="B1516" s="486" t="n">
        <v>3</v>
      </c>
      <c r="C1516" s="486" t="n">
        <v>2</v>
      </c>
      <c r="D1516" s="486" t="n">
        <v>2</v>
      </c>
      <c r="E1516" s="486" t="n">
        <v>2</v>
      </c>
      <c r="F1516" s="486" t="n">
        <v>2</v>
      </c>
      <c r="G1516" s="475" t="inlineStr">
        <is>
          <t>North-Left1</t>
        </is>
      </c>
      <c r="H1516" s="486" t="n">
        <v>1301.71</v>
      </c>
      <c r="I1516" s="486" t="n">
        <v>89</v>
      </c>
      <c r="J1516" s="486" t="n">
        <v>2</v>
      </c>
      <c r="K1516" s="486" t="n">
        <v>57</v>
      </c>
      <c r="L1516" s="486" t="n">
        <v>2</v>
      </c>
      <c r="M1516" s="487" t="inlineStr">
        <is>
          <t>G</t>
        </is>
      </c>
    </row>
    <row r="1517">
      <c r="A1517" s="486" t="n">
        <v>21</v>
      </c>
      <c r="B1517" s="486" t="n">
        <v>3</v>
      </c>
      <c r="C1517" s="486" t="n">
        <v>2</v>
      </c>
      <c r="D1517" s="486" t="n">
        <v>2</v>
      </c>
      <c r="E1517" s="486" t="n">
        <v>2</v>
      </c>
      <c r="F1517" s="486" t="n">
        <v>2</v>
      </c>
      <c r="G1517" s="486" t="inlineStr">
        <is>
          <t>North-Right1</t>
        </is>
      </c>
      <c r="H1517" s="486" t="n">
        <v>2634.21</v>
      </c>
      <c r="I1517" s="486" t="n">
        <v>88</v>
      </c>
      <c r="J1517" s="486" t="n">
        <v>50</v>
      </c>
      <c r="K1517" s="486" t="n">
        <v>10</v>
      </c>
      <c r="L1517" s="486" t="n">
        <v>2</v>
      </c>
      <c r="M1517" s="487" t="inlineStr">
        <is>
          <t>G</t>
        </is>
      </c>
    </row>
    <row r="1518">
      <c r="A1518" s="486" t="n">
        <v>21</v>
      </c>
      <c r="B1518" s="486" t="n">
        <v>3</v>
      </c>
      <c r="C1518" s="486" t="n">
        <v>2</v>
      </c>
      <c r="D1518" s="486" t="n">
        <v>2</v>
      </c>
      <c r="E1518" s="486" t="n">
        <v>2</v>
      </c>
      <c r="F1518" s="486" t="n">
        <v>2</v>
      </c>
      <c r="G1518" s="486" t="inlineStr">
        <is>
          <t>North-Right2</t>
        </is>
      </c>
      <c r="H1518" s="486" t="n">
        <v>0</v>
      </c>
      <c r="I1518" s="486" t="n">
        <v>0</v>
      </c>
      <c r="J1518" s="486" t="n">
        <v>0</v>
      </c>
      <c r="K1518" s="486" t="n">
        <v>0</v>
      </c>
      <c r="L1518" s="486" t="n">
        <v>0</v>
      </c>
      <c r="M1518" s="487" t="inlineStr">
        <is>
          <t>G</t>
        </is>
      </c>
    </row>
    <row r="1519">
      <c r="A1519" s="486" t="n">
        <v>21</v>
      </c>
      <c r="B1519" s="486" t="n">
        <v>3</v>
      </c>
      <c r="C1519" s="486" t="n">
        <v>2</v>
      </c>
      <c r="D1519" s="486" t="n">
        <v>2</v>
      </c>
      <c r="E1519" s="486" t="n">
        <v>2</v>
      </c>
      <c r="F1519" s="486" t="n">
        <v>2</v>
      </c>
      <c r="G1519" s="486" t="inlineStr">
        <is>
          <t>South-Left2</t>
        </is>
      </c>
      <c r="H1519" s="486" t="n">
        <v>1316.8</v>
      </c>
      <c r="I1519" s="486" t="n">
        <v>88</v>
      </c>
      <c r="J1519" s="486" t="n">
        <v>13</v>
      </c>
      <c r="K1519" s="486" t="n">
        <v>4</v>
      </c>
      <c r="L1519" s="486" t="n">
        <v>3</v>
      </c>
      <c r="M1519" s="487" t="inlineStr">
        <is>
          <t>G</t>
        </is>
      </c>
    </row>
    <row r="1520">
      <c r="A1520" s="486" t="n">
        <v>21</v>
      </c>
      <c r="B1520" s="486" t="n">
        <v>3</v>
      </c>
      <c r="C1520" s="486" t="n">
        <v>2</v>
      </c>
      <c r="D1520" s="486" t="n">
        <v>2</v>
      </c>
      <c r="E1520" s="486" t="n">
        <v>2</v>
      </c>
      <c r="F1520" s="486" t="n">
        <v>2</v>
      </c>
      <c r="G1520" s="475" t="inlineStr">
        <is>
          <t>South-Left1</t>
        </is>
      </c>
      <c r="H1520" s="486" t="n">
        <v>3938.21</v>
      </c>
      <c r="I1520" s="486" t="n">
        <v>88</v>
      </c>
      <c r="J1520" s="486" t="n">
        <v>28</v>
      </c>
      <c r="K1520" s="486" t="n">
        <v>41</v>
      </c>
      <c r="L1520" s="486" t="n">
        <v>3</v>
      </c>
      <c r="M1520" s="487" t="inlineStr">
        <is>
          <t>G</t>
        </is>
      </c>
    </row>
    <row r="1521">
      <c r="A1521" s="486" t="n">
        <v>21</v>
      </c>
      <c r="B1521" s="486" t="n">
        <v>3</v>
      </c>
      <c r="C1521" s="486" t="n">
        <v>2</v>
      </c>
      <c r="D1521" s="486" t="n">
        <v>2</v>
      </c>
      <c r="E1521" s="486" t="n">
        <v>2</v>
      </c>
      <c r="F1521" s="486" t="n">
        <v>2</v>
      </c>
      <c r="G1521" s="486" t="inlineStr">
        <is>
          <t>South-Right1</t>
        </is>
      </c>
      <c r="H1521" s="486" t="n">
        <v>0</v>
      </c>
      <c r="I1521" s="486" t="n">
        <v>0</v>
      </c>
      <c r="J1521" s="486" t="n">
        <v>0</v>
      </c>
      <c r="K1521" s="486" t="n">
        <v>0</v>
      </c>
      <c r="L1521" s="486" t="n">
        <v>0</v>
      </c>
      <c r="M1521" s="487" t="inlineStr">
        <is>
          <t>G</t>
        </is>
      </c>
    </row>
    <row r="1522">
      <c r="A1522" s="486" t="n">
        <v>21</v>
      </c>
      <c r="B1522" s="486" t="n">
        <v>3</v>
      </c>
      <c r="C1522" s="486" t="n">
        <v>2</v>
      </c>
      <c r="D1522" s="486" t="n">
        <v>2</v>
      </c>
      <c r="E1522" s="486" t="n">
        <v>2</v>
      </c>
      <c r="F1522" s="486" t="n">
        <v>2</v>
      </c>
      <c r="G1522" s="486" t="inlineStr">
        <is>
          <t>South-Right2</t>
        </is>
      </c>
      <c r="H1522" s="486" t="n">
        <v>0</v>
      </c>
      <c r="I1522" s="486" t="n">
        <v>0</v>
      </c>
      <c r="J1522" s="486" t="n">
        <v>0</v>
      </c>
      <c r="K1522" s="486" t="n">
        <v>0</v>
      </c>
      <c r="L1522" s="486" t="n">
        <v>0</v>
      </c>
      <c r="M1522" s="487" t="inlineStr">
        <is>
          <t>G</t>
        </is>
      </c>
    </row>
    <row r="1523">
      <c r="A1523" s="486" t="n">
        <v>21</v>
      </c>
      <c r="B1523" s="486" t="n">
        <v>3</v>
      </c>
      <c r="C1523" s="486" t="n">
        <v>2</v>
      </c>
      <c r="D1523" s="486" t="n">
        <v>4</v>
      </c>
      <c r="E1523" s="486" t="n">
        <v>2</v>
      </c>
      <c r="F1523" s="486" t="n">
        <v>2</v>
      </c>
      <c r="G1523" s="486" t="inlineStr">
        <is>
          <t>West-Up2</t>
        </is>
      </c>
      <c r="H1523" s="486" t="n">
        <v>0</v>
      </c>
      <c r="I1523" s="486" t="n">
        <v>0</v>
      </c>
      <c r="J1523" s="486" t="n">
        <v>0</v>
      </c>
      <c r="K1523" s="486" t="n">
        <v>0</v>
      </c>
      <c r="L1523" s="486" t="n">
        <v>0</v>
      </c>
      <c r="M1523" s="487" t="inlineStr">
        <is>
          <t>T</t>
        </is>
      </c>
    </row>
    <row r="1524">
      <c r="A1524" s="486" t="n">
        <v>21</v>
      </c>
      <c r="B1524" s="486" t="n">
        <v>3</v>
      </c>
      <c r="C1524" s="486" t="n">
        <v>2</v>
      </c>
      <c r="D1524" s="486" t="n">
        <v>4</v>
      </c>
      <c r="E1524" s="486" t="n">
        <v>2</v>
      </c>
      <c r="F1524" s="486" t="n">
        <v>2</v>
      </c>
      <c r="G1524" s="475" t="inlineStr">
        <is>
          <t>West-Up1</t>
        </is>
      </c>
      <c r="H1524" s="486" t="n">
        <v>2616.86</v>
      </c>
      <c r="I1524" s="486" t="n">
        <v>0</v>
      </c>
      <c r="J1524" s="486" t="n">
        <v>2</v>
      </c>
      <c r="K1524" s="486" t="n">
        <v>58</v>
      </c>
      <c r="L1524" s="486" t="n">
        <v>4</v>
      </c>
      <c r="M1524" s="487" t="inlineStr">
        <is>
          <t>T</t>
        </is>
      </c>
    </row>
    <row r="1525">
      <c r="A1525" s="486" t="n">
        <v>21</v>
      </c>
      <c r="B1525" s="486" t="n">
        <v>3</v>
      </c>
      <c r="C1525" s="486" t="n">
        <v>2</v>
      </c>
      <c r="D1525" s="486" t="n">
        <v>4</v>
      </c>
      <c r="E1525" s="486" t="n">
        <v>2</v>
      </c>
      <c r="F1525" s="486" t="n">
        <v>2</v>
      </c>
      <c r="G1525" s="486" t="inlineStr">
        <is>
          <t>West-Down1</t>
        </is>
      </c>
      <c r="H1525" s="486" t="n">
        <v>2619.09</v>
      </c>
      <c r="I1525" s="486" t="n">
        <v>0</v>
      </c>
      <c r="J1525" s="486" t="n">
        <v>2</v>
      </c>
      <c r="K1525" s="486" t="n">
        <v>0</v>
      </c>
      <c r="L1525" s="486" t="n">
        <v>4</v>
      </c>
      <c r="M1525" s="487" t="inlineStr">
        <is>
          <t>T</t>
        </is>
      </c>
    </row>
    <row r="1526">
      <c r="A1526" s="486" t="n">
        <v>21</v>
      </c>
      <c r="B1526" s="486" t="n">
        <v>3</v>
      </c>
      <c r="C1526" s="486" t="n">
        <v>2</v>
      </c>
      <c r="D1526" s="486" t="n">
        <v>4</v>
      </c>
      <c r="E1526" s="486" t="n">
        <v>2</v>
      </c>
      <c r="F1526" s="486" t="n">
        <v>2</v>
      </c>
      <c r="G1526" s="486" t="inlineStr">
        <is>
          <t>West-Down2</t>
        </is>
      </c>
      <c r="H1526" s="486" t="n">
        <v>0</v>
      </c>
      <c r="I1526" s="486" t="n">
        <v>0</v>
      </c>
      <c r="J1526" s="486" t="n">
        <v>0</v>
      </c>
      <c r="K1526" s="486" t="n">
        <v>0</v>
      </c>
      <c r="L1526" s="486" t="n">
        <v>0</v>
      </c>
      <c r="M1526" s="487" t="inlineStr">
        <is>
          <t>T</t>
        </is>
      </c>
    </row>
    <row r="1527">
      <c r="A1527" s="486" t="n">
        <v>21</v>
      </c>
      <c r="B1527" s="486" t="n">
        <v>3</v>
      </c>
      <c r="C1527" s="486" t="n">
        <v>2</v>
      </c>
      <c r="D1527" s="486" t="n">
        <v>4</v>
      </c>
      <c r="E1527" s="486" t="n">
        <v>2</v>
      </c>
      <c r="F1527" s="486" t="n">
        <v>2</v>
      </c>
      <c r="G1527" s="486" t="inlineStr">
        <is>
          <t>East-Up2</t>
        </is>
      </c>
      <c r="H1527" s="486" t="n">
        <v>1314.55</v>
      </c>
      <c r="I1527" s="486" t="n">
        <v>0</v>
      </c>
      <c r="J1527" s="486" t="n">
        <v>5</v>
      </c>
      <c r="K1527" s="486" t="n">
        <v>45</v>
      </c>
      <c r="L1527" s="486" t="n">
        <v>4</v>
      </c>
      <c r="M1527" s="487" t="inlineStr">
        <is>
          <t>T</t>
        </is>
      </c>
    </row>
    <row r="1528">
      <c r="A1528" s="486" t="n">
        <v>21</v>
      </c>
      <c r="B1528" s="486" t="n">
        <v>3</v>
      </c>
      <c r="C1528" s="486" t="n">
        <v>2</v>
      </c>
      <c r="D1528" s="486" t="n">
        <v>4</v>
      </c>
      <c r="E1528" s="486" t="n">
        <v>2</v>
      </c>
      <c r="F1528" s="486" t="n">
        <v>2</v>
      </c>
      <c r="G1528" s="475" t="inlineStr">
        <is>
          <t>East-Up1</t>
        </is>
      </c>
      <c r="H1528" s="486" t="n">
        <v>1314.42</v>
      </c>
      <c r="I1528" s="486" t="n">
        <v>0</v>
      </c>
      <c r="J1528" s="486" t="n">
        <v>5</v>
      </c>
      <c r="K1528" s="486" t="n">
        <v>23</v>
      </c>
      <c r="L1528" s="486" t="n">
        <v>4</v>
      </c>
      <c r="M1528" s="487" t="inlineStr">
        <is>
          <t>T</t>
        </is>
      </c>
    </row>
    <row r="1529">
      <c r="A1529" s="486" t="n">
        <v>21</v>
      </c>
      <c r="B1529" s="486" t="n">
        <v>3</v>
      </c>
      <c r="C1529" s="486" t="n">
        <v>2</v>
      </c>
      <c r="D1529" s="486" t="n">
        <v>4</v>
      </c>
      <c r="E1529" s="486" t="n">
        <v>2</v>
      </c>
      <c r="F1529" s="486" t="n">
        <v>2</v>
      </c>
      <c r="G1529" s="486" t="inlineStr">
        <is>
          <t>East-Down1</t>
        </is>
      </c>
      <c r="H1529" s="486" t="n">
        <v>2629.39</v>
      </c>
      <c r="I1529" s="486" t="n">
        <v>0</v>
      </c>
      <c r="J1529" s="486" t="n">
        <v>1</v>
      </c>
      <c r="K1529" s="486" t="n">
        <v>3</v>
      </c>
      <c r="L1529" s="486" t="n">
        <v>4</v>
      </c>
      <c r="M1529" s="487" t="inlineStr">
        <is>
          <t>T</t>
        </is>
      </c>
    </row>
    <row r="1530">
      <c r="A1530" s="486" t="n">
        <v>21</v>
      </c>
      <c r="B1530" s="486" t="n">
        <v>3</v>
      </c>
      <c r="C1530" s="486" t="n">
        <v>2</v>
      </c>
      <c r="D1530" s="486" t="n">
        <v>4</v>
      </c>
      <c r="E1530" s="486" t="n">
        <v>2</v>
      </c>
      <c r="F1530" s="486" t="n">
        <v>2</v>
      </c>
      <c r="G1530" s="486" t="inlineStr">
        <is>
          <t>East-Down2</t>
        </is>
      </c>
      <c r="H1530" s="486" t="n">
        <v>0</v>
      </c>
      <c r="I1530" s="486" t="n">
        <v>0</v>
      </c>
      <c r="J1530" s="486" t="n">
        <v>0</v>
      </c>
      <c r="K1530" s="486" t="n">
        <v>0</v>
      </c>
      <c r="L1530" s="486" t="n">
        <v>0</v>
      </c>
      <c r="M1530" s="487" t="inlineStr">
        <is>
          <t>T</t>
        </is>
      </c>
    </row>
    <row r="1531">
      <c r="A1531" s="486" t="n">
        <v>21</v>
      </c>
      <c r="B1531" s="486" t="n">
        <v>3</v>
      </c>
      <c r="C1531" s="486" t="n">
        <v>2</v>
      </c>
      <c r="D1531" s="486" t="n">
        <v>4</v>
      </c>
      <c r="E1531" s="486" t="n">
        <v>2</v>
      </c>
      <c r="F1531" s="486" t="n">
        <v>2</v>
      </c>
      <c r="G1531" s="486" t="inlineStr">
        <is>
          <t>North-Left2</t>
        </is>
      </c>
      <c r="H1531" s="486" t="n">
        <v>0</v>
      </c>
      <c r="I1531" s="486" t="n">
        <v>0</v>
      </c>
      <c r="J1531" s="486" t="n">
        <v>0</v>
      </c>
      <c r="K1531" s="486" t="n">
        <v>0</v>
      </c>
      <c r="L1531" s="486" t="n">
        <v>0</v>
      </c>
      <c r="M1531" s="487" t="inlineStr">
        <is>
          <t>T</t>
        </is>
      </c>
    </row>
    <row r="1532">
      <c r="A1532" s="486" t="n">
        <v>21</v>
      </c>
      <c r="B1532" s="486" t="n">
        <v>3</v>
      </c>
      <c r="C1532" s="486" t="n">
        <v>2</v>
      </c>
      <c r="D1532" s="486" t="n">
        <v>4</v>
      </c>
      <c r="E1532" s="486" t="n">
        <v>2</v>
      </c>
      <c r="F1532" s="486" t="n">
        <v>2</v>
      </c>
      <c r="G1532" s="475" t="inlineStr">
        <is>
          <t>North-Left1</t>
        </is>
      </c>
      <c r="H1532" s="486" t="n">
        <v>2663.4</v>
      </c>
      <c r="I1532" s="486" t="n">
        <v>87</v>
      </c>
      <c r="J1532" s="486" t="n">
        <v>57</v>
      </c>
      <c r="K1532" s="486" t="n">
        <v>54</v>
      </c>
      <c r="L1532" s="486" t="n">
        <v>2</v>
      </c>
      <c r="M1532" s="487" t="inlineStr">
        <is>
          <t>T</t>
        </is>
      </c>
    </row>
    <row r="1533">
      <c r="A1533" s="486" t="n">
        <v>21</v>
      </c>
      <c r="B1533" s="486" t="n">
        <v>3</v>
      </c>
      <c r="C1533" s="486" t="n">
        <v>2</v>
      </c>
      <c r="D1533" s="486" t="n">
        <v>4</v>
      </c>
      <c r="E1533" s="486" t="n">
        <v>2</v>
      </c>
      <c r="F1533" s="486" t="n">
        <v>2</v>
      </c>
      <c r="G1533" s="486" t="inlineStr">
        <is>
          <t>North-Right1</t>
        </is>
      </c>
      <c r="H1533" s="486" t="n">
        <v>2663.61</v>
      </c>
      <c r="I1533" s="486" t="n">
        <v>88</v>
      </c>
      <c r="J1533" s="486" t="n">
        <v>31</v>
      </c>
      <c r="K1533" s="486" t="n">
        <v>49</v>
      </c>
      <c r="L1533" s="486" t="n">
        <v>2</v>
      </c>
      <c r="M1533" s="487" t="inlineStr">
        <is>
          <t>T</t>
        </is>
      </c>
    </row>
    <row r="1534">
      <c r="A1534" s="486" t="n">
        <v>21</v>
      </c>
      <c r="B1534" s="486" t="n">
        <v>3</v>
      </c>
      <c r="C1534" s="486" t="n">
        <v>2</v>
      </c>
      <c r="D1534" s="486" t="n">
        <v>4</v>
      </c>
      <c r="E1534" s="486" t="n">
        <v>2</v>
      </c>
      <c r="F1534" s="486" t="n">
        <v>2</v>
      </c>
      <c r="G1534" s="486" t="inlineStr">
        <is>
          <t>North-Right2</t>
        </is>
      </c>
      <c r="H1534" s="486" t="n">
        <v>0</v>
      </c>
      <c r="I1534" s="486" t="n">
        <v>0</v>
      </c>
      <c r="J1534" s="486" t="n">
        <v>0</v>
      </c>
      <c r="K1534" s="486" t="n">
        <v>0</v>
      </c>
      <c r="L1534" s="486" t="n">
        <v>0</v>
      </c>
      <c r="M1534" s="487" t="inlineStr">
        <is>
          <t>T</t>
        </is>
      </c>
    </row>
    <row r="1535">
      <c r="A1535" s="486" t="n">
        <v>21</v>
      </c>
      <c r="B1535" s="486" t="n">
        <v>3</v>
      </c>
      <c r="C1535" s="486" t="n">
        <v>2</v>
      </c>
      <c r="D1535" s="486" t="n">
        <v>4</v>
      </c>
      <c r="E1535" s="486" t="n">
        <v>2</v>
      </c>
      <c r="F1535" s="486" t="n">
        <v>2</v>
      </c>
      <c r="G1535" s="486" t="inlineStr">
        <is>
          <t>South-Left2</t>
        </is>
      </c>
      <c r="H1535" s="486" t="n">
        <v>0</v>
      </c>
      <c r="I1535" s="486" t="n">
        <v>0</v>
      </c>
      <c r="J1535" s="486" t="n">
        <v>0</v>
      </c>
      <c r="K1535" s="486" t="n">
        <v>0</v>
      </c>
      <c r="L1535" s="486" t="n">
        <v>0</v>
      </c>
      <c r="M1535" s="487" t="inlineStr">
        <is>
          <t>T</t>
        </is>
      </c>
    </row>
    <row r="1536">
      <c r="A1536" s="486" t="n">
        <v>21</v>
      </c>
      <c r="B1536" s="486" t="n">
        <v>3</v>
      </c>
      <c r="C1536" s="486" t="n">
        <v>2</v>
      </c>
      <c r="D1536" s="486" t="n">
        <v>4</v>
      </c>
      <c r="E1536" s="486" t="n">
        <v>2</v>
      </c>
      <c r="F1536" s="486" t="n">
        <v>2</v>
      </c>
      <c r="G1536" s="475" t="inlineStr">
        <is>
          <t>South-Left1</t>
        </is>
      </c>
      <c r="H1536" s="486" t="n">
        <v>2666.65</v>
      </c>
      <c r="I1536" s="486" t="n">
        <v>88</v>
      </c>
      <c r="J1536" s="486" t="n">
        <v>16</v>
      </c>
      <c r="K1536" s="486" t="n">
        <v>42</v>
      </c>
      <c r="L1536" s="486" t="n">
        <v>2</v>
      </c>
      <c r="M1536" s="487" t="inlineStr">
        <is>
          <t>T</t>
        </is>
      </c>
    </row>
    <row r="1537">
      <c r="A1537" s="486" t="n">
        <v>21</v>
      </c>
      <c r="B1537" s="486" t="n">
        <v>3</v>
      </c>
      <c r="C1537" s="486" t="n">
        <v>2</v>
      </c>
      <c r="D1537" s="486" t="n">
        <v>4</v>
      </c>
      <c r="E1537" s="486" t="n">
        <v>2</v>
      </c>
      <c r="F1537" s="486" t="n">
        <v>2</v>
      </c>
      <c r="G1537" s="486" t="inlineStr">
        <is>
          <t>South-Right1</t>
        </is>
      </c>
      <c r="H1537" s="486" t="n">
        <v>2666.32</v>
      </c>
      <c r="I1537" s="486" t="n">
        <v>88</v>
      </c>
      <c r="J1537" s="486" t="n">
        <v>18</v>
      </c>
      <c r="K1537" s="486" t="n">
        <v>40</v>
      </c>
      <c r="L1537" s="486" t="n">
        <v>2</v>
      </c>
      <c r="M1537" s="487" t="inlineStr">
        <is>
          <t>T</t>
        </is>
      </c>
    </row>
    <row r="1538">
      <c r="A1538" s="486" t="n">
        <v>21</v>
      </c>
      <c r="B1538" s="486" t="n">
        <v>3</v>
      </c>
      <c r="C1538" s="486" t="n">
        <v>2</v>
      </c>
      <c r="D1538" s="486" t="n">
        <v>4</v>
      </c>
      <c r="E1538" s="486" t="n">
        <v>2</v>
      </c>
      <c r="F1538" s="486" t="n">
        <v>2</v>
      </c>
      <c r="G1538" s="486" t="inlineStr">
        <is>
          <t>South-Right2</t>
        </is>
      </c>
      <c r="H1538" s="486" t="n">
        <v>0</v>
      </c>
      <c r="I1538" s="486" t="n">
        <v>0</v>
      </c>
      <c r="J1538" s="486" t="n">
        <v>0</v>
      </c>
      <c r="K1538" s="486" t="n">
        <v>0</v>
      </c>
      <c r="L1538" s="486" t="n">
        <v>0</v>
      </c>
      <c r="M1538" s="487" t="inlineStr">
        <is>
          <t>T</t>
        </is>
      </c>
    </row>
    <row r="1539">
      <c r="A1539" s="485" t="n">
        <v>21</v>
      </c>
      <c r="B1539" s="485" t="n">
        <v>3</v>
      </c>
      <c r="C1539" s="485" t="n">
        <v>2</v>
      </c>
      <c r="D1539" s="485" t="n">
        <v>5</v>
      </c>
      <c r="E1539" s="485" t="n">
        <v>2</v>
      </c>
      <c r="F1539" s="485" t="n">
        <v>2</v>
      </c>
      <c r="G1539" s="485" t="inlineStr">
        <is>
          <t>West-Up2</t>
        </is>
      </c>
      <c r="H1539" s="511" t="n">
        <v>0</v>
      </c>
      <c r="I1539" s="511" t="n">
        <v>0</v>
      </c>
      <c r="J1539" s="511" t="n">
        <v>0</v>
      </c>
      <c r="K1539" s="511" t="n">
        <v>0</v>
      </c>
      <c r="L1539" s="511" t="n">
        <v>0</v>
      </c>
      <c r="M1539" s="495" t="inlineStr">
        <is>
          <t>T</t>
        </is>
      </c>
    </row>
    <row r="1540">
      <c r="A1540" s="485" t="n">
        <v>21</v>
      </c>
      <c r="B1540" s="485" t="n">
        <v>3</v>
      </c>
      <c r="C1540" s="485" t="n">
        <v>2</v>
      </c>
      <c r="D1540" s="485" t="n">
        <v>5</v>
      </c>
      <c r="E1540" s="485" t="n">
        <v>2</v>
      </c>
      <c r="F1540" s="485" t="n">
        <v>2</v>
      </c>
      <c r="G1540" s="516" t="inlineStr">
        <is>
          <t>West-Up1</t>
        </is>
      </c>
      <c r="H1540" s="511" t="n">
        <v>2639.05</v>
      </c>
      <c r="I1540" s="511" t="n">
        <v>0</v>
      </c>
      <c r="J1540" s="511" t="n">
        <v>1</v>
      </c>
      <c r="K1540" s="511" t="n">
        <v>12</v>
      </c>
      <c r="L1540" s="511" t="n">
        <v>2</v>
      </c>
      <c r="M1540" s="495" t="inlineStr">
        <is>
          <t>T</t>
        </is>
      </c>
    </row>
    <row r="1541">
      <c r="A1541" s="485" t="n">
        <v>21</v>
      </c>
      <c r="B1541" s="485" t="n">
        <v>3</v>
      </c>
      <c r="C1541" s="485" t="n">
        <v>2</v>
      </c>
      <c r="D1541" s="485" t="n">
        <v>5</v>
      </c>
      <c r="E1541" s="485" t="n">
        <v>2</v>
      </c>
      <c r="F1541" s="485" t="n">
        <v>2</v>
      </c>
      <c r="G1541" s="485" t="inlineStr">
        <is>
          <t>West-Down1</t>
        </is>
      </c>
      <c r="H1541" s="511" t="n">
        <v>1328.91</v>
      </c>
      <c r="I1541" s="511" t="n">
        <v>0</v>
      </c>
      <c r="J1541" s="511" t="n">
        <v>11</v>
      </c>
      <c r="K1541" s="511" t="n">
        <v>23</v>
      </c>
      <c r="L1541" s="511" t="n">
        <v>4</v>
      </c>
      <c r="M1541" s="495" t="inlineStr">
        <is>
          <t>T</t>
        </is>
      </c>
    </row>
    <row r="1542">
      <c r="A1542" s="485" t="n">
        <v>21</v>
      </c>
      <c r="B1542" s="485" t="n">
        <v>3</v>
      </c>
      <c r="C1542" s="485" t="n">
        <v>2</v>
      </c>
      <c r="D1542" s="485" t="n">
        <v>5</v>
      </c>
      <c r="E1542" s="485" t="n">
        <v>2</v>
      </c>
      <c r="F1542" s="485" t="n">
        <v>2</v>
      </c>
      <c r="G1542" s="485" t="inlineStr">
        <is>
          <t>West-Down2</t>
        </is>
      </c>
      <c r="H1542" s="511" t="n">
        <v>1328.82</v>
      </c>
      <c r="I1542" s="511" t="n">
        <v>0</v>
      </c>
      <c r="J1542" s="511" t="n">
        <v>12</v>
      </c>
      <c r="K1542" s="511" t="n">
        <v>47</v>
      </c>
      <c r="L1542" s="511" t="n">
        <v>4</v>
      </c>
      <c r="M1542" s="495" t="inlineStr">
        <is>
          <t>T</t>
        </is>
      </c>
    </row>
    <row r="1543">
      <c r="A1543" s="485" t="n">
        <v>21</v>
      </c>
      <c r="B1543" s="485" t="n">
        <v>3</v>
      </c>
      <c r="C1543" s="485" t="n">
        <v>2</v>
      </c>
      <c r="D1543" s="485" t="n">
        <v>5</v>
      </c>
      <c r="E1543" s="485" t="n">
        <v>2</v>
      </c>
      <c r="F1543" s="485" t="n">
        <v>2</v>
      </c>
      <c r="G1543" s="485" t="inlineStr">
        <is>
          <t>East-Up2</t>
        </is>
      </c>
      <c r="H1543" s="511" t="n">
        <v>0</v>
      </c>
      <c r="I1543" s="511" t="n">
        <v>0</v>
      </c>
      <c r="J1543" s="511" t="n">
        <v>0</v>
      </c>
      <c r="K1543" s="511" t="n">
        <v>0</v>
      </c>
      <c r="L1543" s="511" t="n">
        <v>0</v>
      </c>
      <c r="M1543" s="495" t="inlineStr">
        <is>
          <t>T</t>
        </is>
      </c>
    </row>
    <row r="1544">
      <c r="A1544" s="485" t="n">
        <v>21</v>
      </c>
      <c r="B1544" s="485" t="n">
        <v>3</v>
      </c>
      <c r="C1544" s="485" t="n">
        <v>2</v>
      </c>
      <c r="D1544" s="485" t="n">
        <v>5</v>
      </c>
      <c r="E1544" s="485" t="n">
        <v>2</v>
      </c>
      <c r="F1544" s="485" t="n">
        <v>2</v>
      </c>
      <c r="G1544" s="516" t="inlineStr">
        <is>
          <t>East-Up1</t>
        </is>
      </c>
      <c r="H1544" s="511" t="n">
        <v>5281.16</v>
      </c>
      <c r="I1544" s="511" t="n">
        <v>0</v>
      </c>
      <c r="J1544" s="511" t="n">
        <v>14</v>
      </c>
      <c r="K1544" s="511" t="n">
        <v>3</v>
      </c>
      <c r="L1544" s="511" t="n">
        <v>4</v>
      </c>
      <c r="M1544" s="495" t="inlineStr">
        <is>
          <t>T</t>
        </is>
      </c>
    </row>
    <row r="1545">
      <c r="A1545" s="485" t="n">
        <v>21</v>
      </c>
      <c r="B1545" s="485" t="n">
        <v>3</v>
      </c>
      <c r="C1545" s="485" t="n">
        <v>2</v>
      </c>
      <c r="D1545" s="485" t="n">
        <v>5</v>
      </c>
      <c r="E1545" s="485" t="n">
        <v>2</v>
      </c>
      <c r="F1545" s="485" t="n">
        <v>2</v>
      </c>
      <c r="G1545" s="485" t="inlineStr">
        <is>
          <t>East-Down1</t>
        </is>
      </c>
      <c r="H1545" s="511" t="n">
        <v>0</v>
      </c>
      <c r="I1545" s="511" t="n">
        <v>0</v>
      </c>
      <c r="J1545" s="511" t="n">
        <v>0</v>
      </c>
      <c r="K1545" s="511" t="n">
        <v>0</v>
      </c>
      <c r="L1545" s="511" t="n">
        <v>0</v>
      </c>
      <c r="M1545" s="495" t="inlineStr">
        <is>
          <t>T</t>
        </is>
      </c>
    </row>
    <row r="1546">
      <c r="A1546" s="485" t="n">
        <v>21</v>
      </c>
      <c r="B1546" s="485" t="n">
        <v>3</v>
      </c>
      <c r="C1546" s="485" t="n">
        <v>2</v>
      </c>
      <c r="D1546" s="485" t="n">
        <v>5</v>
      </c>
      <c r="E1546" s="485" t="n">
        <v>2</v>
      </c>
      <c r="F1546" s="485" t="n">
        <v>2</v>
      </c>
      <c r="G1546" s="485" t="inlineStr">
        <is>
          <t>East-Down2</t>
        </is>
      </c>
      <c r="H1546" s="511" t="n">
        <v>0</v>
      </c>
      <c r="I1546" s="511" t="n">
        <v>0</v>
      </c>
      <c r="J1546" s="511" t="n">
        <v>0</v>
      </c>
      <c r="K1546" s="511" t="n">
        <v>0</v>
      </c>
      <c r="L1546" s="511" t="n">
        <v>0</v>
      </c>
      <c r="M1546" s="495" t="inlineStr">
        <is>
          <t>T</t>
        </is>
      </c>
    </row>
    <row r="1547">
      <c r="A1547" s="485" t="n">
        <v>21</v>
      </c>
      <c r="B1547" s="485" t="n">
        <v>3</v>
      </c>
      <c r="C1547" s="485" t="n">
        <v>2</v>
      </c>
      <c r="D1547" s="485" t="n">
        <v>5</v>
      </c>
      <c r="E1547" s="485" t="n">
        <v>2</v>
      </c>
      <c r="F1547" s="485" t="n">
        <v>2</v>
      </c>
      <c r="G1547" s="485" t="inlineStr">
        <is>
          <t>North-Left2</t>
        </is>
      </c>
      <c r="H1547" s="511" t="n">
        <v>0</v>
      </c>
      <c r="I1547" s="511" t="n">
        <v>0</v>
      </c>
      <c r="J1547" s="511" t="n">
        <v>0</v>
      </c>
      <c r="K1547" s="511" t="n">
        <v>0</v>
      </c>
      <c r="L1547" s="511" t="n">
        <v>0</v>
      </c>
      <c r="M1547" s="495" t="inlineStr">
        <is>
          <t>T</t>
        </is>
      </c>
    </row>
    <row r="1548">
      <c r="A1548" s="485" t="n">
        <v>21</v>
      </c>
      <c r="B1548" s="485" t="n">
        <v>3</v>
      </c>
      <c r="C1548" s="485" t="n">
        <v>2</v>
      </c>
      <c r="D1548" s="485" t="n">
        <v>5</v>
      </c>
      <c r="E1548" s="485" t="n">
        <v>2</v>
      </c>
      <c r="F1548" s="485" t="n">
        <v>2</v>
      </c>
      <c r="G1548" s="516" t="inlineStr">
        <is>
          <t>North-Left1</t>
        </is>
      </c>
      <c r="H1548" s="511" t="n">
        <v>2694.58</v>
      </c>
      <c r="I1548" s="511" t="n">
        <v>89</v>
      </c>
      <c r="J1548" s="511" t="n">
        <v>53</v>
      </c>
      <c r="K1548" s="511" t="n">
        <v>24</v>
      </c>
      <c r="L1548" s="511" t="n">
        <v>1</v>
      </c>
      <c r="M1548" s="495" t="inlineStr">
        <is>
          <t>T</t>
        </is>
      </c>
    </row>
    <row r="1549">
      <c r="A1549" s="485" t="n">
        <v>21</v>
      </c>
      <c r="B1549" s="485" t="n">
        <v>3</v>
      </c>
      <c r="C1549" s="485" t="n">
        <v>2</v>
      </c>
      <c r="D1549" s="485" t="n">
        <v>5</v>
      </c>
      <c r="E1549" s="485" t="n">
        <v>2</v>
      </c>
      <c r="F1549" s="485" t="n">
        <v>2</v>
      </c>
      <c r="G1549" s="485" t="inlineStr">
        <is>
          <t>North-Right1</t>
        </is>
      </c>
      <c r="H1549" s="511" t="n">
        <v>2638.09</v>
      </c>
      <c r="I1549" s="511" t="n">
        <v>89</v>
      </c>
      <c r="J1549" s="511" t="n">
        <v>26</v>
      </c>
      <c r="K1549" s="511" t="n">
        <v>15</v>
      </c>
      <c r="L1549" s="511" t="n">
        <v>3</v>
      </c>
      <c r="M1549" s="495" t="inlineStr">
        <is>
          <t>T</t>
        </is>
      </c>
    </row>
    <row r="1550">
      <c r="A1550" s="485" t="n">
        <v>21</v>
      </c>
      <c r="B1550" s="485" t="n">
        <v>3</v>
      </c>
      <c r="C1550" s="485" t="n">
        <v>2</v>
      </c>
      <c r="D1550" s="485" t="n">
        <v>5</v>
      </c>
      <c r="E1550" s="485" t="n">
        <v>2</v>
      </c>
      <c r="F1550" s="485" t="n">
        <v>2</v>
      </c>
      <c r="G1550" s="485" t="inlineStr">
        <is>
          <t>North-Right2</t>
        </is>
      </c>
      <c r="H1550" s="511" t="n">
        <v>0</v>
      </c>
      <c r="I1550" s="511" t="n">
        <v>0</v>
      </c>
      <c r="J1550" s="511" t="n">
        <v>0</v>
      </c>
      <c r="K1550" s="511" t="n">
        <v>0</v>
      </c>
      <c r="L1550" s="511" t="n">
        <v>0</v>
      </c>
      <c r="M1550" s="495" t="inlineStr">
        <is>
          <t>T</t>
        </is>
      </c>
    </row>
    <row r="1551">
      <c r="A1551" s="485" t="n">
        <v>21</v>
      </c>
      <c r="B1551" s="485" t="n">
        <v>3</v>
      </c>
      <c r="C1551" s="485" t="n">
        <v>2</v>
      </c>
      <c r="D1551" s="485" t="n">
        <v>5</v>
      </c>
      <c r="E1551" s="485" t="n">
        <v>2</v>
      </c>
      <c r="F1551" s="485" t="n">
        <v>2</v>
      </c>
      <c r="G1551" s="485" t="inlineStr">
        <is>
          <t>South-Left2</t>
        </is>
      </c>
      <c r="H1551" s="511" t="n">
        <v>0</v>
      </c>
      <c r="I1551" s="511" t="n">
        <v>0</v>
      </c>
      <c r="J1551" s="511" t="n">
        <v>0</v>
      </c>
      <c r="K1551" s="511" t="n">
        <v>0</v>
      </c>
      <c r="L1551" s="511" t="n">
        <v>0</v>
      </c>
      <c r="M1551" s="495" t="inlineStr">
        <is>
          <t>T</t>
        </is>
      </c>
    </row>
    <row r="1552">
      <c r="A1552" s="485" t="n">
        <v>21</v>
      </c>
      <c r="B1552" s="485" t="n">
        <v>3</v>
      </c>
      <c r="C1552" s="485" t="n">
        <v>2</v>
      </c>
      <c r="D1552" s="485" t="n">
        <v>5</v>
      </c>
      <c r="E1552" s="485" t="n">
        <v>2</v>
      </c>
      <c r="F1552" s="485" t="n">
        <v>2</v>
      </c>
      <c r="G1552" s="516" t="inlineStr">
        <is>
          <t>South-Left1</t>
        </is>
      </c>
      <c r="H1552" s="511" t="n">
        <v>5345.81</v>
      </c>
      <c r="I1552" s="511" t="n">
        <v>89</v>
      </c>
      <c r="J1552" s="511" t="n">
        <v>36</v>
      </c>
      <c r="K1552" s="511" t="n">
        <v>36</v>
      </c>
      <c r="L1552" s="511" t="n">
        <v>2</v>
      </c>
      <c r="M1552" s="495" t="inlineStr">
        <is>
          <t>T</t>
        </is>
      </c>
    </row>
    <row r="1553">
      <c r="A1553" s="485" t="n">
        <v>21</v>
      </c>
      <c r="B1553" s="485" t="n">
        <v>3</v>
      </c>
      <c r="C1553" s="485" t="n">
        <v>2</v>
      </c>
      <c r="D1553" s="485" t="n">
        <v>5</v>
      </c>
      <c r="E1553" s="485" t="n">
        <v>2</v>
      </c>
      <c r="F1553" s="485" t="n">
        <v>2</v>
      </c>
      <c r="G1553" s="485" t="inlineStr">
        <is>
          <t>South-Right1</t>
        </is>
      </c>
      <c r="H1553" s="511" t="n">
        <v>0</v>
      </c>
      <c r="I1553" s="511" t="n">
        <v>0</v>
      </c>
      <c r="J1553" s="511" t="n">
        <v>0</v>
      </c>
      <c r="K1553" s="511" t="n">
        <v>0</v>
      </c>
      <c r="L1553" s="511" t="n">
        <v>0</v>
      </c>
      <c r="M1553" s="495" t="inlineStr">
        <is>
          <t>T</t>
        </is>
      </c>
    </row>
    <row r="1554">
      <c r="A1554" s="485" t="n">
        <v>21</v>
      </c>
      <c r="B1554" s="485" t="n">
        <v>3</v>
      </c>
      <c r="C1554" s="485" t="n">
        <v>2</v>
      </c>
      <c r="D1554" s="485" t="n">
        <v>5</v>
      </c>
      <c r="E1554" s="485" t="n">
        <v>2</v>
      </c>
      <c r="F1554" s="485" t="n">
        <v>2</v>
      </c>
      <c r="G1554" s="485" t="inlineStr">
        <is>
          <t>South-Right2</t>
        </is>
      </c>
      <c r="H1554" s="511" t="n">
        <v>0</v>
      </c>
      <c r="I1554" s="511" t="n">
        <v>0</v>
      </c>
      <c r="J1554" s="511" t="n">
        <v>0</v>
      </c>
      <c r="K1554" s="511" t="n">
        <v>0</v>
      </c>
      <c r="L1554" s="511" t="n">
        <v>0</v>
      </c>
      <c r="M1554" s="495" t="inlineStr">
        <is>
          <t>T</t>
        </is>
      </c>
    </row>
    <row r="1555">
      <c r="A1555" s="486" t="n">
        <v>22</v>
      </c>
      <c r="B1555" s="486" t="n">
        <v>2</v>
      </c>
      <c r="C1555" s="486" t="n">
        <v>2</v>
      </c>
      <c r="D1555" s="486" t="n">
        <v>1</v>
      </c>
      <c r="E1555" s="486" t="n">
        <v>2</v>
      </c>
      <c r="F1555" s="486" t="n">
        <v>2</v>
      </c>
      <c r="G1555" s="486" t="inlineStr">
        <is>
          <t>West-Up2</t>
        </is>
      </c>
      <c r="H1555" s="486" t="n">
        <v>0</v>
      </c>
      <c r="I1555" s="486" t="n">
        <v>0</v>
      </c>
      <c r="J1555" s="486" t="n">
        <v>0</v>
      </c>
      <c r="K1555" s="486" t="n">
        <v>0</v>
      </c>
      <c r="L1555" s="486" t="n">
        <v>0</v>
      </c>
      <c r="M1555" s="487" t="inlineStr">
        <is>
          <t>T</t>
        </is>
      </c>
    </row>
    <row r="1556">
      <c r="A1556" s="486" t="n">
        <v>22</v>
      </c>
      <c r="B1556" s="486" t="n">
        <v>2</v>
      </c>
      <c r="C1556" s="486" t="n">
        <v>2</v>
      </c>
      <c r="D1556" s="486" t="n">
        <v>1</v>
      </c>
      <c r="E1556" s="486" t="n">
        <v>2</v>
      </c>
      <c r="F1556" s="486" t="n">
        <v>2</v>
      </c>
      <c r="G1556" s="475" t="inlineStr">
        <is>
          <t>West-Up1</t>
        </is>
      </c>
      <c r="H1556" s="486" t="n">
        <v>2640.11</v>
      </c>
      <c r="I1556" s="486" t="n">
        <v>0</v>
      </c>
      <c r="J1556" s="486" t="n">
        <v>27</v>
      </c>
      <c r="K1556" s="486" t="n">
        <v>2</v>
      </c>
      <c r="L1556" s="486" t="n">
        <v>4</v>
      </c>
      <c r="M1556" s="487" t="inlineStr">
        <is>
          <t>T</t>
        </is>
      </c>
    </row>
    <row r="1557">
      <c r="A1557" s="486" t="n">
        <v>22</v>
      </c>
      <c r="B1557" s="486" t="n">
        <v>2</v>
      </c>
      <c r="C1557" s="486" t="n">
        <v>2</v>
      </c>
      <c r="D1557" s="486" t="n">
        <v>1</v>
      </c>
      <c r="E1557" s="486" t="n">
        <v>2</v>
      </c>
      <c r="F1557" s="486" t="n">
        <v>2</v>
      </c>
      <c r="G1557" s="486" t="inlineStr">
        <is>
          <t>West-Down1</t>
        </is>
      </c>
      <c r="H1557" s="486" t="n">
        <v>2630.37</v>
      </c>
      <c r="I1557" s="486" t="n">
        <v>0</v>
      </c>
      <c r="J1557" s="486" t="n">
        <v>25</v>
      </c>
      <c r="K1557" s="486" t="n">
        <v>17</v>
      </c>
      <c r="L1557" s="486" t="n">
        <v>4</v>
      </c>
      <c r="M1557" s="487" t="inlineStr">
        <is>
          <t>T</t>
        </is>
      </c>
    </row>
    <row r="1558">
      <c r="A1558" s="486" t="n">
        <v>22</v>
      </c>
      <c r="B1558" s="486" t="n">
        <v>2</v>
      </c>
      <c r="C1558" s="486" t="n">
        <v>2</v>
      </c>
      <c r="D1558" s="486" t="n">
        <v>1</v>
      </c>
      <c r="E1558" s="486" t="n">
        <v>2</v>
      </c>
      <c r="F1558" s="486" t="n">
        <v>2</v>
      </c>
      <c r="G1558" s="486" t="inlineStr">
        <is>
          <t>West-Down2</t>
        </is>
      </c>
      <c r="H1558" s="486" t="n">
        <v>0</v>
      </c>
      <c r="I1558" s="486" t="n">
        <v>0</v>
      </c>
      <c r="J1558" s="486" t="n">
        <v>0</v>
      </c>
      <c r="K1558" s="486" t="n">
        <v>0</v>
      </c>
      <c r="L1558" s="486" t="n">
        <v>0</v>
      </c>
      <c r="M1558" s="487" t="inlineStr">
        <is>
          <t>T</t>
        </is>
      </c>
    </row>
    <row r="1559">
      <c r="A1559" s="486" t="n">
        <v>22</v>
      </c>
      <c r="B1559" s="486" t="n">
        <v>2</v>
      </c>
      <c r="C1559" s="486" t="n">
        <v>2</v>
      </c>
      <c r="D1559" s="486" t="n">
        <v>1</v>
      </c>
      <c r="E1559" s="486" t="n">
        <v>2</v>
      </c>
      <c r="F1559" s="486" t="n">
        <v>2</v>
      </c>
      <c r="G1559" s="486" t="inlineStr">
        <is>
          <t>East-Up2</t>
        </is>
      </c>
      <c r="H1559" s="486" t="n">
        <v>0</v>
      </c>
      <c r="I1559" s="486" t="n">
        <v>0</v>
      </c>
      <c r="J1559" s="486" t="n">
        <v>0</v>
      </c>
      <c r="K1559" s="486" t="n">
        <v>0</v>
      </c>
      <c r="L1559" s="486" t="n">
        <v>0</v>
      </c>
      <c r="M1559" s="487" t="inlineStr">
        <is>
          <t>T</t>
        </is>
      </c>
    </row>
    <row r="1560">
      <c r="A1560" s="486" t="n">
        <v>22</v>
      </c>
      <c r="B1560" s="486" t="n">
        <v>2</v>
      </c>
      <c r="C1560" s="486" t="n">
        <v>2</v>
      </c>
      <c r="D1560" s="486" t="n">
        <v>1</v>
      </c>
      <c r="E1560" s="486" t="n">
        <v>2</v>
      </c>
      <c r="F1560" s="486" t="n">
        <v>2</v>
      </c>
      <c r="G1560" s="475" t="inlineStr">
        <is>
          <t>East-Up1</t>
        </is>
      </c>
      <c r="H1560" s="486" t="n">
        <v>2640.08</v>
      </c>
      <c r="I1560" s="486" t="n">
        <v>0</v>
      </c>
      <c r="J1560" s="486" t="n">
        <v>20</v>
      </c>
      <c r="K1560" s="486" t="n">
        <v>51</v>
      </c>
      <c r="L1560" s="486" t="n">
        <v>1</v>
      </c>
      <c r="M1560" s="487" t="inlineStr">
        <is>
          <t>T</t>
        </is>
      </c>
    </row>
    <row r="1561">
      <c r="A1561" s="486" t="n">
        <v>22</v>
      </c>
      <c r="B1561" s="486" t="n">
        <v>2</v>
      </c>
      <c r="C1561" s="486" t="n">
        <v>2</v>
      </c>
      <c r="D1561" s="486" t="n">
        <v>1</v>
      </c>
      <c r="E1561" s="486" t="n">
        <v>2</v>
      </c>
      <c r="F1561" s="486" t="n">
        <v>2</v>
      </c>
      <c r="G1561" s="486" t="inlineStr">
        <is>
          <t>East-Down1</t>
        </is>
      </c>
      <c r="H1561" s="486" t="n">
        <v>2639.8</v>
      </c>
      <c r="I1561" s="486" t="n">
        <v>0</v>
      </c>
      <c r="J1561" s="486" t="n">
        <v>25</v>
      </c>
      <c r="K1561" s="486" t="n">
        <v>42</v>
      </c>
      <c r="L1561" s="486" t="n">
        <v>4</v>
      </c>
      <c r="M1561" s="487" t="inlineStr">
        <is>
          <t>T</t>
        </is>
      </c>
    </row>
    <row r="1562">
      <c r="A1562" s="486" t="n">
        <v>22</v>
      </c>
      <c r="B1562" s="486" t="n">
        <v>2</v>
      </c>
      <c r="C1562" s="486" t="n">
        <v>2</v>
      </c>
      <c r="D1562" s="486" t="n">
        <v>1</v>
      </c>
      <c r="E1562" s="486" t="n">
        <v>2</v>
      </c>
      <c r="F1562" s="486" t="n">
        <v>2</v>
      </c>
      <c r="G1562" s="486" t="inlineStr">
        <is>
          <t>East-Down2</t>
        </is>
      </c>
      <c r="H1562" s="486" t="n">
        <v>0</v>
      </c>
      <c r="I1562" s="486" t="n">
        <v>0</v>
      </c>
      <c r="J1562" s="486" t="n">
        <v>0</v>
      </c>
      <c r="K1562" s="486" t="n">
        <v>0</v>
      </c>
      <c r="L1562" s="486" t="n">
        <v>0</v>
      </c>
      <c r="M1562" s="487" t="inlineStr">
        <is>
          <t>T</t>
        </is>
      </c>
    </row>
    <row r="1563">
      <c r="A1563" s="486" t="n">
        <v>22</v>
      </c>
      <c r="B1563" s="486" t="n">
        <v>2</v>
      </c>
      <c r="C1563" s="486" t="n">
        <v>2</v>
      </c>
      <c r="D1563" s="486" t="n">
        <v>1</v>
      </c>
      <c r="E1563" s="486" t="n">
        <v>2</v>
      </c>
      <c r="F1563" s="486" t="n">
        <v>2</v>
      </c>
      <c r="G1563" s="486" t="inlineStr">
        <is>
          <t>North-Left2</t>
        </is>
      </c>
      <c r="H1563" s="486" t="n">
        <v>0</v>
      </c>
      <c r="I1563" s="486" t="n">
        <v>0</v>
      </c>
      <c r="J1563" s="486" t="n">
        <v>0</v>
      </c>
      <c r="K1563" s="486" t="n">
        <v>0</v>
      </c>
      <c r="L1563" s="486" t="n">
        <v>0</v>
      </c>
      <c r="M1563" s="487" t="inlineStr">
        <is>
          <t>T</t>
        </is>
      </c>
    </row>
    <row r="1564">
      <c r="A1564" s="486" t="n">
        <v>22</v>
      </c>
      <c r="B1564" s="486" t="n">
        <v>2</v>
      </c>
      <c r="C1564" s="486" t="n">
        <v>2</v>
      </c>
      <c r="D1564" s="486" t="n">
        <v>1</v>
      </c>
      <c r="E1564" s="486" t="n">
        <v>2</v>
      </c>
      <c r="F1564" s="486" t="n">
        <v>2</v>
      </c>
      <c r="G1564" s="475" t="inlineStr">
        <is>
          <t>North-Left1</t>
        </is>
      </c>
      <c r="H1564" s="486" t="n">
        <v>5287.86</v>
      </c>
      <c r="I1564" s="486" t="n">
        <v>89</v>
      </c>
      <c r="J1564" s="486" t="n">
        <v>36</v>
      </c>
      <c r="K1564" s="486" t="n">
        <v>59</v>
      </c>
      <c r="L1564" s="486" t="n">
        <v>3</v>
      </c>
      <c r="M1564" s="487" t="inlineStr">
        <is>
          <t>T</t>
        </is>
      </c>
    </row>
    <row r="1565">
      <c r="A1565" s="486" t="n">
        <v>22</v>
      </c>
      <c r="B1565" s="486" t="n">
        <v>2</v>
      </c>
      <c r="C1565" s="486" t="n">
        <v>2</v>
      </c>
      <c r="D1565" s="486" t="n">
        <v>1</v>
      </c>
      <c r="E1565" s="486" t="n">
        <v>2</v>
      </c>
      <c r="F1565" s="486" t="n">
        <v>2</v>
      </c>
      <c r="G1565" s="486" t="inlineStr">
        <is>
          <t>North-Right1</t>
        </is>
      </c>
      <c r="H1565" s="486" t="n">
        <v>0</v>
      </c>
      <c r="I1565" s="486" t="n">
        <v>0</v>
      </c>
      <c r="J1565" s="486" t="n">
        <v>0</v>
      </c>
      <c r="K1565" s="486" t="n">
        <v>0</v>
      </c>
      <c r="L1565" s="486" t="n">
        <v>0</v>
      </c>
      <c r="M1565" s="487" t="inlineStr">
        <is>
          <t>T</t>
        </is>
      </c>
    </row>
    <row r="1566">
      <c r="A1566" s="486" t="n">
        <v>22</v>
      </c>
      <c r="B1566" s="486" t="n">
        <v>2</v>
      </c>
      <c r="C1566" s="486" t="n">
        <v>2</v>
      </c>
      <c r="D1566" s="486" t="n">
        <v>1</v>
      </c>
      <c r="E1566" s="486" t="n">
        <v>2</v>
      </c>
      <c r="F1566" s="486" t="n">
        <v>2</v>
      </c>
      <c r="G1566" s="486" t="inlineStr">
        <is>
          <t>North-Right2</t>
        </is>
      </c>
      <c r="H1566" s="486" t="n">
        <v>0</v>
      </c>
      <c r="I1566" s="486" t="n">
        <v>0</v>
      </c>
      <c r="J1566" s="486" t="n">
        <v>0</v>
      </c>
      <c r="K1566" s="486" t="n">
        <v>0</v>
      </c>
      <c r="L1566" s="486" t="n">
        <v>0</v>
      </c>
      <c r="M1566" s="487" t="inlineStr">
        <is>
          <t>T</t>
        </is>
      </c>
    </row>
    <row r="1567">
      <c r="A1567" s="486" t="n">
        <v>22</v>
      </c>
      <c r="B1567" s="486" t="n">
        <v>2</v>
      </c>
      <c r="C1567" s="486" t="n">
        <v>2</v>
      </c>
      <c r="D1567" s="486" t="n">
        <v>1</v>
      </c>
      <c r="E1567" s="486" t="n">
        <v>2</v>
      </c>
      <c r="F1567" s="486" t="n">
        <v>2</v>
      </c>
      <c r="G1567" s="486" t="inlineStr">
        <is>
          <t>South-Left2</t>
        </is>
      </c>
      <c r="H1567" s="486" t="n">
        <v>0</v>
      </c>
      <c r="I1567" s="486" t="n">
        <v>0</v>
      </c>
      <c r="J1567" s="486" t="n">
        <v>0</v>
      </c>
      <c r="K1567" s="486" t="n">
        <v>0</v>
      </c>
      <c r="L1567" s="486" t="n">
        <v>0</v>
      </c>
      <c r="M1567" s="487" t="inlineStr">
        <is>
          <t>T</t>
        </is>
      </c>
    </row>
    <row r="1568">
      <c r="A1568" s="486" t="n">
        <v>22</v>
      </c>
      <c r="B1568" s="486" t="n">
        <v>2</v>
      </c>
      <c r="C1568" s="486" t="n">
        <v>2</v>
      </c>
      <c r="D1568" s="486" t="n">
        <v>1</v>
      </c>
      <c r="E1568" s="486" t="n">
        <v>2</v>
      </c>
      <c r="F1568" s="486" t="n">
        <v>2</v>
      </c>
      <c r="G1568" s="475" t="inlineStr">
        <is>
          <t>South-Left1</t>
        </is>
      </c>
      <c r="H1568" s="486" t="n">
        <v>2641.73</v>
      </c>
      <c r="I1568" s="486" t="n">
        <v>89</v>
      </c>
      <c r="J1568" s="486" t="n">
        <v>50</v>
      </c>
      <c r="K1568" s="486" t="n">
        <v>9</v>
      </c>
      <c r="L1568" s="486" t="n">
        <v>3</v>
      </c>
      <c r="M1568" s="487" t="inlineStr">
        <is>
          <t>T</t>
        </is>
      </c>
    </row>
    <row r="1569">
      <c r="A1569" s="486" t="n">
        <v>22</v>
      </c>
      <c r="B1569" s="486" t="n">
        <v>2</v>
      </c>
      <c r="C1569" s="486" t="n">
        <v>2</v>
      </c>
      <c r="D1569" s="486" t="n">
        <v>1</v>
      </c>
      <c r="E1569" s="486" t="n">
        <v>2</v>
      </c>
      <c r="F1569" s="486" t="n">
        <v>2</v>
      </c>
      <c r="G1569" s="486" t="inlineStr">
        <is>
          <t>South-Right1</t>
        </is>
      </c>
      <c r="H1569" s="486" t="n">
        <v>2641.73</v>
      </c>
      <c r="I1569" s="486" t="n">
        <v>89</v>
      </c>
      <c r="J1569" s="486" t="n">
        <v>36</v>
      </c>
      <c r="K1569" s="486" t="n">
        <v>3</v>
      </c>
      <c r="L1569" s="486" t="n">
        <v>3</v>
      </c>
      <c r="M1569" s="487" t="inlineStr">
        <is>
          <t>T</t>
        </is>
      </c>
    </row>
    <row r="1570">
      <c r="A1570" s="486" t="n">
        <v>22</v>
      </c>
      <c r="B1570" s="486" t="n">
        <v>2</v>
      </c>
      <c r="C1570" s="486" t="n">
        <v>2</v>
      </c>
      <c r="D1570" s="486" t="n">
        <v>1</v>
      </c>
      <c r="E1570" s="486" t="n">
        <v>2</v>
      </c>
      <c r="F1570" s="486" t="n">
        <v>2</v>
      </c>
      <c r="G1570" s="486" t="inlineStr">
        <is>
          <t>South-Right2</t>
        </is>
      </c>
      <c r="H1570" s="486" t="n">
        <v>0</v>
      </c>
      <c r="I1570" s="486" t="n">
        <v>0</v>
      </c>
      <c r="J1570" s="486" t="n">
        <v>0</v>
      </c>
      <c r="K1570" s="486" t="n">
        <v>0</v>
      </c>
      <c r="L1570" s="486" t="n">
        <v>0</v>
      </c>
      <c r="M1570" s="487" t="inlineStr">
        <is>
          <t>T</t>
        </is>
      </c>
    </row>
    <row r="1571">
      <c r="A1571" s="485" t="n">
        <v>22</v>
      </c>
      <c r="B1571" s="485" t="n">
        <v>2</v>
      </c>
      <c r="C1571" s="485" t="n">
        <v>2</v>
      </c>
      <c r="D1571" s="485" t="n">
        <v>3</v>
      </c>
      <c r="E1571" s="485" t="n">
        <v>2</v>
      </c>
      <c r="F1571" s="485" t="n">
        <v>2</v>
      </c>
      <c r="G1571" s="485" t="inlineStr">
        <is>
          <t>West-Up2</t>
        </is>
      </c>
      <c r="H1571" s="485" t="n">
        <v>0</v>
      </c>
      <c r="I1571" s="485" t="n">
        <v>0</v>
      </c>
      <c r="J1571" s="485" t="n">
        <v>0</v>
      </c>
      <c r="K1571" s="485" t="n">
        <v>0</v>
      </c>
      <c r="L1571" s="485" t="n">
        <v>0</v>
      </c>
      <c r="M1571" s="514" t="inlineStr">
        <is>
          <t>T</t>
        </is>
      </c>
    </row>
    <row r="1572">
      <c r="A1572" s="485" t="n">
        <v>22</v>
      </c>
      <c r="B1572" s="485" t="n">
        <v>2</v>
      </c>
      <c r="C1572" s="485" t="n">
        <v>2</v>
      </c>
      <c r="D1572" s="485" t="n">
        <v>3</v>
      </c>
      <c r="E1572" s="485" t="n">
        <v>2</v>
      </c>
      <c r="F1572" s="485" t="n">
        <v>2</v>
      </c>
      <c r="G1572" s="516" t="inlineStr">
        <is>
          <t>West-Up1</t>
        </is>
      </c>
      <c r="H1572" s="485" t="n">
        <v>2627.8</v>
      </c>
      <c r="I1572" s="485" t="n">
        <v>1</v>
      </c>
      <c r="J1572" s="485" t="n">
        <v>17</v>
      </c>
      <c r="K1572" s="485" t="n">
        <v>48</v>
      </c>
      <c r="L1572" s="485" t="n">
        <v>2</v>
      </c>
      <c r="M1572" s="514" t="inlineStr">
        <is>
          <t>T</t>
        </is>
      </c>
    </row>
    <row r="1573">
      <c r="A1573" s="485" t="n">
        <v>22</v>
      </c>
      <c r="B1573" s="485" t="n">
        <v>2</v>
      </c>
      <c r="C1573" s="485" t="n">
        <v>2</v>
      </c>
      <c r="D1573" s="485" t="n">
        <v>3</v>
      </c>
      <c r="E1573" s="485" t="n">
        <v>2</v>
      </c>
      <c r="F1573" s="485" t="n">
        <v>2</v>
      </c>
      <c r="G1573" s="485" t="inlineStr">
        <is>
          <t>West-Down1</t>
        </is>
      </c>
      <c r="H1573" s="485" t="n">
        <v>2628.57</v>
      </c>
      <c r="I1573" s="485" t="n">
        <v>0</v>
      </c>
      <c r="J1573" s="485" t="n">
        <v>8</v>
      </c>
      <c r="K1573" s="485" t="n">
        <v>31</v>
      </c>
      <c r="L1573" s="485" t="n">
        <v>2</v>
      </c>
      <c r="M1573" s="514" t="inlineStr">
        <is>
          <t>T</t>
        </is>
      </c>
    </row>
    <row r="1574">
      <c r="A1574" s="485" t="n">
        <v>22</v>
      </c>
      <c r="B1574" s="485" t="n">
        <v>2</v>
      </c>
      <c r="C1574" s="485" t="n">
        <v>2</v>
      </c>
      <c r="D1574" s="485" t="n">
        <v>3</v>
      </c>
      <c r="E1574" s="485" t="n">
        <v>2</v>
      </c>
      <c r="F1574" s="485" t="n">
        <v>2</v>
      </c>
      <c r="G1574" s="485" t="inlineStr">
        <is>
          <t>West-Down2</t>
        </is>
      </c>
      <c r="H1574" s="485" t="n">
        <v>0</v>
      </c>
      <c r="I1574" s="485" t="n">
        <v>0</v>
      </c>
      <c r="J1574" s="485" t="n">
        <v>0</v>
      </c>
      <c r="K1574" s="485" t="n">
        <v>0</v>
      </c>
      <c r="L1574" s="485" t="n">
        <v>0</v>
      </c>
      <c r="M1574" s="514" t="inlineStr">
        <is>
          <t>T</t>
        </is>
      </c>
    </row>
    <row r="1575">
      <c r="A1575" s="485" t="n">
        <v>22</v>
      </c>
      <c r="B1575" s="485" t="n">
        <v>2</v>
      </c>
      <c r="C1575" s="485" t="n">
        <v>2</v>
      </c>
      <c r="D1575" s="485" t="n">
        <v>3</v>
      </c>
      <c r="E1575" s="485" t="n">
        <v>2</v>
      </c>
      <c r="F1575" s="485" t="n">
        <v>2</v>
      </c>
      <c r="G1575" s="485" t="inlineStr">
        <is>
          <t>East-Up2</t>
        </is>
      </c>
      <c r="H1575" s="485" t="n">
        <v>0</v>
      </c>
      <c r="I1575" s="485" t="n">
        <v>0</v>
      </c>
      <c r="J1575" s="485" t="n">
        <v>0</v>
      </c>
      <c r="K1575" s="485" t="n">
        <v>0</v>
      </c>
      <c r="L1575" s="485" t="n">
        <v>0</v>
      </c>
      <c r="M1575" s="514" t="inlineStr">
        <is>
          <t>T</t>
        </is>
      </c>
    </row>
    <row r="1576">
      <c r="A1576" s="485" t="n">
        <v>22</v>
      </c>
      <c r="B1576" s="485" t="n">
        <v>2</v>
      </c>
      <c r="C1576" s="485" t="n">
        <v>2</v>
      </c>
      <c r="D1576" s="485" t="n">
        <v>3</v>
      </c>
      <c r="E1576" s="485" t="n">
        <v>2</v>
      </c>
      <c r="F1576" s="485" t="n">
        <v>2</v>
      </c>
      <c r="G1576" s="516" t="inlineStr">
        <is>
          <t>East-Up1</t>
        </is>
      </c>
      <c r="H1576" s="485" t="n">
        <v>2642.21</v>
      </c>
      <c r="I1576" s="485" t="n">
        <v>1</v>
      </c>
      <c r="J1576" s="485" t="n">
        <v>44</v>
      </c>
      <c r="K1576" s="485" t="n">
        <v>30</v>
      </c>
      <c r="L1576" s="485" t="n">
        <v>2</v>
      </c>
      <c r="M1576" s="514" t="inlineStr">
        <is>
          <t>T</t>
        </is>
      </c>
    </row>
    <row r="1577">
      <c r="A1577" s="485" t="n">
        <v>22</v>
      </c>
      <c r="B1577" s="485" t="n">
        <v>2</v>
      </c>
      <c r="C1577" s="485" t="n">
        <v>2</v>
      </c>
      <c r="D1577" s="485" t="n">
        <v>3</v>
      </c>
      <c r="E1577" s="485" t="n">
        <v>2</v>
      </c>
      <c r="F1577" s="485" t="n">
        <v>2</v>
      </c>
      <c r="G1577" s="485" t="inlineStr">
        <is>
          <t>East-Down1</t>
        </is>
      </c>
      <c r="H1577" s="485" t="n">
        <v>2612.7</v>
      </c>
      <c r="I1577" s="485" t="n">
        <v>0</v>
      </c>
      <c r="J1577" s="485" t="n">
        <v>2</v>
      </c>
      <c r="K1577" s="485" t="n">
        <v>28</v>
      </c>
      <c r="L1577" s="485" t="n">
        <v>2</v>
      </c>
      <c r="M1577" s="514" t="inlineStr">
        <is>
          <t>T</t>
        </is>
      </c>
    </row>
    <row r="1578">
      <c r="A1578" s="485" t="n">
        <v>22</v>
      </c>
      <c r="B1578" s="485" t="n">
        <v>2</v>
      </c>
      <c r="C1578" s="485" t="n">
        <v>2</v>
      </c>
      <c r="D1578" s="485" t="n">
        <v>3</v>
      </c>
      <c r="E1578" s="485" t="n">
        <v>2</v>
      </c>
      <c r="F1578" s="485" t="n">
        <v>2</v>
      </c>
      <c r="G1578" s="485" t="inlineStr">
        <is>
          <t>East-Down2</t>
        </is>
      </c>
      <c r="H1578" s="485" t="n">
        <v>0</v>
      </c>
      <c r="I1578" s="485" t="n">
        <v>0</v>
      </c>
      <c r="J1578" s="485" t="n">
        <v>0</v>
      </c>
      <c r="K1578" s="485" t="n">
        <v>0</v>
      </c>
      <c r="L1578" s="485" t="n">
        <v>0</v>
      </c>
      <c r="M1578" s="514" t="inlineStr">
        <is>
          <t>T</t>
        </is>
      </c>
    </row>
    <row r="1579">
      <c r="A1579" s="485" t="n">
        <v>22</v>
      </c>
      <c r="B1579" s="485" t="n">
        <v>2</v>
      </c>
      <c r="C1579" s="485" t="n">
        <v>2</v>
      </c>
      <c r="D1579" s="485" t="n">
        <v>3</v>
      </c>
      <c r="E1579" s="485" t="n">
        <v>2</v>
      </c>
      <c r="F1579" s="485" t="n">
        <v>2</v>
      </c>
      <c r="G1579" s="485" t="inlineStr">
        <is>
          <t>North-Left2</t>
        </is>
      </c>
      <c r="H1579" s="485" t="n">
        <v>0</v>
      </c>
      <c r="I1579" s="485" t="n">
        <v>0</v>
      </c>
      <c r="J1579" s="485" t="n">
        <v>0</v>
      </c>
      <c r="K1579" s="485" t="n">
        <v>0</v>
      </c>
      <c r="L1579" s="485" t="n">
        <v>0</v>
      </c>
      <c r="M1579" s="514" t="inlineStr">
        <is>
          <t>T</t>
        </is>
      </c>
    </row>
    <row r="1580">
      <c r="A1580" s="485" t="n">
        <v>22</v>
      </c>
      <c r="B1580" s="485" t="n">
        <v>2</v>
      </c>
      <c r="C1580" s="485" t="n">
        <v>2</v>
      </c>
      <c r="D1580" s="485" t="n">
        <v>3</v>
      </c>
      <c r="E1580" s="485" t="n">
        <v>2</v>
      </c>
      <c r="F1580" s="485" t="n">
        <v>2</v>
      </c>
      <c r="G1580" s="516" t="inlineStr">
        <is>
          <t>North-Left1</t>
        </is>
      </c>
      <c r="H1580" s="485" t="n">
        <v>5301.92</v>
      </c>
      <c r="I1580" s="485" t="n">
        <v>89</v>
      </c>
      <c r="J1580" s="485" t="n">
        <v>44</v>
      </c>
      <c r="K1580" s="485" t="n">
        <v>27</v>
      </c>
      <c r="L1580" s="485" t="n">
        <v>4</v>
      </c>
      <c r="M1580" s="514" t="inlineStr">
        <is>
          <t>T</t>
        </is>
      </c>
    </row>
    <row r="1581">
      <c r="A1581" s="485" t="n">
        <v>22</v>
      </c>
      <c r="B1581" s="485" t="n">
        <v>2</v>
      </c>
      <c r="C1581" s="485" t="n">
        <v>2</v>
      </c>
      <c r="D1581" s="485" t="n">
        <v>3</v>
      </c>
      <c r="E1581" s="485" t="n">
        <v>2</v>
      </c>
      <c r="F1581" s="485" t="n">
        <v>2</v>
      </c>
      <c r="G1581" s="485" t="inlineStr">
        <is>
          <t>North-Right1</t>
        </is>
      </c>
      <c r="H1581" s="485" t="n">
        <v>0</v>
      </c>
      <c r="I1581" s="485" t="n">
        <v>0</v>
      </c>
      <c r="J1581" s="485" t="n">
        <v>0</v>
      </c>
      <c r="K1581" s="485" t="n">
        <v>0</v>
      </c>
      <c r="L1581" s="485" t="n">
        <v>0</v>
      </c>
      <c r="M1581" s="514" t="inlineStr">
        <is>
          <t>T</t>
        </is>
      </c>
    </row>
    <row r="1582">
      <c r="A1582" s="485" t="n">
        <v>22</v>
      </c>
      <c r="B1582" s="485" t="n">
        <v>2</v>
      </c>
      <c r="C1582" s="485" t="n">
        <v>2</v>
      </c>
      <c r="D1582" s="485" t="n">
        <v>3</v>
      </c>
      <c r="E1582" s="485" t="n">
        <v>2</v>
      </c>
      <c r="F1582" s="485" t="n">
        <v>2</v>
      </c>
      <c r="G1582" s="485" t="inlineStr">
        <is>
          <t>North-Right2</t>
        </is>
      </c>
      <c r="H1582" s="485" t="n">
        <v>0</v>
      </c>
      <c r="I1582" s="485" t="n">
        <v>0</v>
      </c>
      <c r="J1582" s="485" t="n">
        <v>0</v>
      </c>
      <c r="K1582" s="485" t="n">
        <v>0</v>
      </c>
      <c r="L1582" s="485" t="n">
        <v>0</v>
      </c>
      <c r="M1582" s="514" t="inlineStr">
        <is>
          <t>T</t>
        </is>
      </c>
    </row>
    <row r="1583">
      <c r="A1583" s="485" t="n">
        <v>22</v>
      </c>
      <c r="B1583" s="485" t="n">
        <v>2</v>
      </c>
      <c r="C1583" s="485" t="n">
        <v>2</v>
      </c>
      <c r="D1583" s="485" t="n">
        <v>3</v>
      </c>
      <c r="E1583" s="485" t="n">
        <v>2</v>
      </c>
      <c r="F1583" s="485" t="n">
        <v>2</v>
      </c>
      <c r="G1583" s="485" t="inlineStr">
        <is>
          <t>South-Left2</t>
        </is>
      </c>
      <c r="H1583" s="485" t="n">
        <v>0</v>
      </c>
      <c r="I1583" s="485" t="n">
        <v>0</v>
      </c>
      <c r="J1583" s="485" t="n">
        <v>0</v>
      </c>
      <c r="K1583" s="485" t="n">
        <v>0</v>
      </c>
      <c r="L1583" s="485" t="n">
        <v>0</v>
      </c>
      <c r="M1583" s="514" t="inlineStr">
        <is>
          <t>T</t>
        </is>
      </c>
    </row>
    <row r="1584">
      <c r="A1584" s="485" t="n">
        <v>22</v>
      </c>
      <c r="B1584" s="485" t="n">
        <v>2</v>
      </c>
      <c r="C1584" s="485" t="n">
        <v>2</v>
      </c>
      <c r="D1584" s="485" t="n">
        <v>3</v>
      </c>
      <c r="E1584" s="485" t="n">
        <v>2</v>
      </c>
      <c r="F1584" s="485" t="n">
        <v>2</v>
      </c>
      <c r="G1584" s="516" t="inlineStr">
        <is>
          <t>South-Left1</t>
        </is>
      </c>
      <c r="H1584" s="485" t="n">
        <v>5285.71</v>
      </c>
      <c r="I1584" s="485" t="n">
        <v>89</v>
      </c>
      <c r="J1584" s="485" t="n">
        <v>45</v>
      </c>
      <c r="K1584" s="485" t="n">
        <v>42</v>
      </c>
      <c r="L1584" s="485" t="n">
        <v>4</v>
      </c>
      <c r="M1584" s="514" t="inlineStr">
        <is>
          <t>T</t>
        </is>
      </c>
    </row>
    <row r="1585">
      <c r="A1585" s="485" t="n">
        <v>22</v>
      </c>
      <c r="B1585" s="485" t="n">
        <v>2</v>
      </c>
      <c r="C1585" s="485" t="n">
        <v>2</v>
      </c>
      <c r="D1585" s="485" t="n">
        <v>3</v>
      </c>
      <c r="E1585" s="485" t="n">
        <v>2</v>
      </c>
      <c r="F1585" s="485" t="n">
        <v>2</v>
      </c>
      <c r="G1585" s="485" t="inlineStr">
        <is>
          <t>South-Right1</t>
        </is>
      </c>
      <c r="H1585" s="485" t="n">
        <v>0</v>
      </c>
      <c r="I1585" s="485" t="n">
        <v>0</v>
      </c>
      <c r="J1585" s="485" t="n">
        <v>0</v>
      </c>
      <c r="K1585" s="485" t="n">
        <v>0</v>
      </c>
      <c r="L1585" s="485" t="n">
        <v>0</v>
      </c>
      <c r="M1585" s="514" t="inlineStr">
        <is>
          <t>T</t>
        </is>
      </c>
    </row>
    <row r="1586">
      <c r="A1586" s="485" t="n">
        <v>22</v>
      </c>
      <c r="B1586" s="485" t="n">
        <v>2</v>
      </c>
      <c r="C1586" s="485" t="n">
        <v>2</v>
      </c>
      <c r="D1586" s="485" t="n">
        <v>3</v>
      </c>
      <c r="E1586" s="485" t="n">
        <v>2</v>
      </c>
      <c r="F1586" s="485" t="n">
        <v>2</v>
      </c>
      <c r="G1586" s="485" t="inlineStr">
        <is>
          <t>South-Right2</t>
        </is>
      </c>
      <c r="H1586" s="485" t="n">
        <v>0</v>
      </c>
      <c r="I1586" s="485" t="n">
        <v>0</v>
      </c>
      <c r="J1586" s="485" t="n">
        <v>0</v>
      </c>
      <c r="K1586" s="485" t="n">
        <v>0</v>
      </c>
      <c r="L1586" s="485" t="n">
        <v>0</v>
      </c>
      <c r="M1586" s="514" t="inlineStr">
        <is>
          <t>T</t>
        </is>
      </c>
    </row>
    <row r="1587">
      <c r="A1587" s="486" t="n">
        <v>22</v>
      </c>
      <c r="B1587" s="486" t="n">
        <v>3</v>
      </c>
      <c r="C1587" s="486" t="n">
        <v>2</v>
      </c>
      <c r="D1587" s="486" t="n">
        <v>1</v>
      </c>
      <c r="E1587" s="486" t="n">
        <v>2</v>
      </c>
      <c r="F1587" s="486" t="n">
        <v>2</v>
      </c>
      <c r="G1587" s="486" t="inlineStr">
        <is>
          <t>West-Up2</t>
        </is>
      </c>
      <c r="H1587" s="486" t="n">
        <v>0</v>
      </c>
      <c r="I1587" s="486" t="n">
        <v>0</v>
      </c>
      <c r="J1587" s="486" t="n">
        <v>0</v>
      </c>
      <c r="K1587" s="486" t="n">
        <v>0</v>
      </c>
      <c r="L1587" s="486" t="n">
        <v>0</v>
      </c>
      <c r="M1587" s="514" t="inlineStr">
        <is>
          <t>T</t>
        </is>
      </c>
    </row>
    <row r="1588">
      <c r="A1588" s="486" t="n">
        <v>22</v>
      </c>
      <c r="B1588" s="486" t="n">
        <v>3</v>
      </c>
      <c r="C1588" s="486" t="n">
        <v>2</v>
      </c>
      <c r="D1588" s="486" t="n">
        <v>1</v>
      </c>
      <c r="E1588" s="486" t="n">
        <v>2</v>
      </c>
      <c r="F1588" s="486" t="n">
        <v>2</v>
      </c>
      <c r="G1588" s="475" t="inlineStr">
        <is>
          <t>West-Up1</t>
        </is>
      </c>
      <c r="H1588" s="486" t="n">
        <v>2637.78</v>
      </c>
      <c r="I1588" s="486" t="n">
        <v>0</v>
      </c>
      <c r="J1588" s="486" t="n">
        <v>14</v>
      </c>
      <c r="K1588" s="486" t="n">
        <v>57</v>
      </c>
      <c r="L1588" s="486" t="n">
        <v>2</v>
      </c>
      <c r="M1588" s="514" t="inlineStr">
        <is>
          <t>T</t>
        </is>
      </c>
    </row>
    <row r="1589">
      <c r="A1589" s="486" t="n">
        <v>22</v>
      </c>
      <c r="B1589" s="486" t="n">
        <v>3</v>
      </c>
      <c r="C1589" s="486" t="n">
        <v>2</v>
      </c>
      <c r="D1589" s="486" t="n">
        <v>1</v>
      </c>
      <c r="E1589" s="486" t="n">
        <v>2</v>
      </c>
      <c r="F1589" s="486" t="n">
        <v>2</v>
      </c>
      <c r="G1589" s="486" t="inlineStr">
        <is>
          <t>West-Down1</t>
        </is>
      </c>
      <c r="H1589" s="486" t="n">
        <v>2672.07</v>
      </c>
      <c r="I1589" s="486" t="n">
        <v>0</v>
      </c>
      <c r="J1589" s="486" t="n">
        <v>14</v>
      </c>
      <c r="K1589" s="486" t="n">
        <v>57</v>
      </c>
      <c r="L1589" s="486" t="n">
        <v>2</v>
      </c>
      <c r="M1589" s="514" t="inlineStr">
        <is>
          <t>T</t>
        </is>
      </c>
    </row>
    <row r="1590">
      <c r="A1590" s="486" t="n">
        <v>22</v>
      </c>
      <c r="B1590" s="486" t="n">
        <v>3</v>
      </c>
      <c r="C1590" s="486" t="n">
        <v>2</v>
      </c>
      <c r="D1590" s="486" t="n">
        <v>1</v>
      </c>
      <c r="E1590" s="486" t="n">
        <v>2</v>
      </c>
      <c r="F1590" s="486" t="n">
        <v>2</v>
      </c>
      <c r="G1590" s="486" t="inlineStr">
        <is>
          <t>West-Down2</t>
        </is>
      </c>
      <c r="H1590" s="486" t="n">
        <v>0</v>
      </c>
      <c r="I1590" s="486" t="n">
        <v>0</v>
      </c>
      <c r="J1590" s="486" t="n">
        <v>0</v>
      </c>
      <c r="K1590" s="486" t="n">
        <v>0</v>
      </c>
      <c r="L1590" s="486" t="n">
        <v>0</v>
      </c>
      <c r="M1590" s="514" t="inlineStr">
        <is>
          <t>T</t>
        </is>
      </c>
    </row>
    <row r="1591">
      <c r="A1591" s="486" t="n">
        <v>22</v>
      </c>
      <c r="B1591" s="486" t="n">
        <v>3</v>
      </c>
      <c r="C1591" s="486" t="n">
        <v>2</v>
      </c>
      <c r="D1591" s="486" t="n">
        <v>1</v>
      </c>
      <c r="E1591" s="486" t="n">
        <v>2</v>
      </c>
      <c r="F1591" s="486" t="n">
        <v>2</v>
      </c>
      <c r="G1591" s="486" t="inlineStr">
        <is>
          <t>East-Up2</t>
        </is>
      </c>
      <c r="H1591" s="486" t="n">
        <v>0</v>
      </c>
      <c r="I1591" s="486" t="n">
        <v>0</v>
      </c>
      <c r="J1591" s="486" t="n">
        <v>0</v>
      </c>
      <c r="K1591" s="486" t="n">
        <v>0</v>
      </c>
      <c r="L1591" s="486" t="n">
        <v>0</v>
      </c>
      <c r="M1591" s="514" t="inlineStr">
        <is>
          <t>T</t>
        </is>
      </c>
    </row>
    <row r="1592">
      <c r="A1592" s="486" t="n">
        <v>22</v>
      </c>
      <c r="B1592" s="486" t="n">
        <v>3</v>
      </c>
      <c r="C1592" s="486" t="n">
        <v>2</v>
      </c>
      <c r="D1592" s="486" t="n">
        <v>1</v>
      </c>
      <c r="E1592" s="486" t="n">
        <v>2</v>
      </c>
      <c r="F1592" s="486" t="n">
        <v>2</v>
      </c>
      <c r="G1592" s="475" t="inlineStr">
        <is>
          <t>East-Up1</t>
        </is>
      </c>
      <c r="H1592" s="486" t="n">
        <v>2768.01</v>
      </c>
      <c r="I1592" s="486" t="n">
        <v>0</v>
      </c>
      <c r="J1592" s="486" t="n">
        <v>10</v>
      </c>
      <c r="K1592" s="486" t="n">
        <v>57</v>
      </c>
      <c r="L1592" s="486" t="n">
        <v>2</v>
      </c>
      <c r="M1592" s="514" t="inlineStr">
        <is>
          <t>T</t>
        </is>
      </c>
    </row>
    <row r="1593">
      <c r="A1593" s="486" t="n">
        <v>22</v>
      </c>
      <c r="B1593" s="486" t="n">
        <v>3</v>
      </c>
      <c r="C1593" s="486" t="n">
        <v>2</v>
      </c>
      <c r="D1593" s="486" t="n">
        <v>1</v>
      </c>
      <c r="E1593" s="486" t="n">
        <v>2</v>
      </c>
      <c r="F1593" s="486" t="n">
        <v>2</v>
      </c>
      <c r="G1593" s="486" t="inlineStr">
        <is>
          <t>East-Down1</t>
        </is>
      </c>
      <c r="H1593" s="486" t="n">
        <v>2638.45</v>
      </c>
      <c r="I1593" s="486" t="n">
        <v>0</v>
      </c>
      <c r="J1593" s="486" t="n">
        <v>2</v>
      </c>
      <c r="K1593" s="486" t="n">
        <v>34</v>
      </c>
      <c r="L1593" s="486" t="n">
        <v>2</v>
      </c>
      <c r="M1593" s="514" t="inlineStr">
        <is>
          <t>T</t>
        </is>
      </c>
    </row>
    <row r="1594">
      <c r="A1594" s="486" t="n">
        <v>22</v>
      </c>
      <c r="B1594" s="486" t="n">
        <v>3</v>
      </c>
      <c r="C1594" s="486" t="n">
        <v>2</v>
      </c>
      <c r="D1594" s="486" t="n">
        <v>1</v>
      </c>
      <c r="E1594" s="486" t="n">
        <v>2</v>
      </c>
      <c r="F1594" s="486" t="n">
        <v>2</v>
      </c>
      <c r="G1594" s="486" t="inlineStr">
        <is>
          <t>East-Down2</t>
        </is>
      </c>
      <c r="H1594" s="486" t="n">
        <v>0</v>
      </c>
      <c r="I1594" s="486" t="n">
        <v>0</v>
      </c>
      <c r="J1594" s="486" t="n">
        <v>0</v>
      </c>
      <c r="K1594" s="486" t="n">
        <v>0</v>
      </c>
      <c r="L1594" s="486" t="n">
        <v>0</v>
      </c>
      <c r="M1594" s="514" t="inlineStr">
        <is>
          <t>T</t>
        </is>
      </c>
    </row>
    <row r="1595">
      <c r="A1595" s="486" t="n">
        <v>22</v>
      </c>
      <c r="B1595" s="486" t="n">
        <v>3</v>
      </c>
      <c r="C1595" s="486" t="n">
        <v>2</v>
      </c>
      <c r="D1595" s="486" t="n">
        <v>1</v>
      </c>
      <c r="E1595" s="486" t="n">
        <v>2</v>
      </c>
      <c r="F1595" s="486" t="n">
        <v>2</v>
      </c>
      <c r="G1595" s="486" t="inlineStr">
        <is>
          <t>North-Left2</t>
        </is>
      </c>
      <c r="H1595" s="486" t="n">
        <v>0</v>
      </c>
      <c r="I1595" s="486" t="n">
        <v>0</v>
      </c>
      <c r="J1595" s="486" t="n">
        <v>0</v>
      </c>
      <c r="K1595" s="486" t="n">
        <v>0</v>
      </c>
      <c r="L1595" s="486" t="n">
        <v>0</v>
      </c>
      <c r="M1595" s="514" t="inlineStr">
        <is>
          <t>T</t>
        </is>
      </c>
    </row>
    <row r="1596">
      <c r="A1596" s="486" t="n">
        <v>22</v>
      </c>
      <c r="B1596" s="486" t="n">
        <v>3</v>
      </c>
      <c r="C1596" s="486" t="n">
        <v>2</v>
      </c>
      <c r="D1596" s="486" t="n">
        <v>1</v>
      </c>
      <c r="E1596" s="486" t="n">
        <v>2</v>
      </c>
      <c r="F1596" s="486" t="n">
        <v>2</v>
      </c>
      <c r="G1596" s="475" t="inlineStr">
        <is>
          <t>North-Left1</t>
        </is>
      </c>
      <c r="H1596" s="486" t="n">
        <v>2618.25</v>
      </c>
      <c r="I1596" s="486" t="n">
        <v>89</v>
      </c>
      <c r="J1596" s="486" t="n">
        <v>54</v>
      </c>
      <c r="K1596" s="486" t="n">
        <v>32</v>
      </c>
      <c r="L1596" s="486" t="n">
        <v>2</v>
      </c>
      <c r="M1596" s="514" t="inlineStr">
        <is>
          <t>T</t>
        </is>
      </c>
    </row>
    <row r="1597">
      <c r="A1597" s="486" t="n">
        <v>22</v>
      </c>
      <c r="B1597" s="486" t="n">
        <v>3</v>
      </c>
      <c r="C1597" s="486" t="n">
        <v>2</v>
      </c>
      <c r="D1597" s="486" t="n">
        <v>1</v>
      </c>
      <c r="E1597" s="486" t="n">
        <v>2</v>
      </c>
      <c r="F1597" s="486" t="n">
        <v>2</v>
      </c>
      <c r="G1597" s="486" t="inlineStr">
        <is>
          <t>North-Right1</t>
        </is>
      </c>
      <c r="H1597" s="486" t="n">
        <v>2663.06</v>
      </c>
      <c r="I1597" s="486" t="n">
        <v>89</v>
      </c>
      <c r="J1597" s="486" t="n">
        <v>54</v>
      </c>
      <c r="K1597" s="486" t="n">
        <v>32</v>
      </c>
      <c r="L1597" s="486" t="n">
        <v>2</v>
      </c>
      <c r="M1597" s="514" t="inlineStr">
        <is>
          <t>T</t>
        </is>
      </c>
    </row>
    <row r="1598">
      <c r="A1598" s="486" t="n">
        <v>22</v>
      </c>
      <c r="B1598" s="486" t="n">
        <v>3</v>
      </c>
      <c r="C1598" s="486" t="n">
        <v>2</v>
      </c>
      <c r="D1598" s="486" t="n">
        <v>1</v>
      </c>
      <c r="E1598" s="486" t="n">
        <v>2</v>
      </c>
      <c r="F1598" s="486" t="n">
        <v>2</v>
      </c>
      <c r="G1598" s="486" t="inlineStr">
        <is>
          <t>North-Right2</t>
        </is>
      </c>
      <c r="H1598" s="486" t="n">
        <v>0</v>
      </c>
      <c r="I1598" s="486" t="n">
        <v>0</v>
      </c>
      <c r="J1598" s="486" t="n">
        <v>0</v>
      </c>
      <c r="K1598" s="486" t="n">
        <v>0</v>
      </c>
      <c r="L1598" s="486" t="n">
        <v>0</v>
      </c>
      <c r="M1598" s="514" t="inlineStr">
        <is>
          <t>T</t>
        </is>
      </c>
    </row>
    <row r="1599">
      <c r="A1599" s="486" t="n">
        <v>22</v>
      </c>
      <c r="B1599" s="486" t="n">
        <v>3</v>
      </c>
      <c r="C1599" s="486" t="n">
        <v>2</v>
      </c>
      <c r="D1599" s="486" t="n">
        <v>1</v>
      </c>
      <c r="E1599" s="486" t="n">
        <v>2</v>
      </c>
      <c r="F1599" s="486" t="n">
        <v>2</v>
      </c>
      <c r="G1599" s="486" t="inlineStr">
        <is>
          <t>South-Left2</t>
        </is>
      </c>
      <c r="H1599" s="486" t="n">
        <v>0</v>
      </c>
      <c r="I1599" s="486" t="n">
        <v>0</v>
      </c>
      <c r="J1599" s="486" t="n">
        <v>0</v>
      </c>
      <c r="K1599" s="486" t="n">
        <v>0</v>
      </c>
      <c r="L1599" s="486" t="n">
        <v>0</v>
      </c>
      <c r="M1599" s="514" t="inlineStr">
        <is>
          <t>T</t>
        </is>
      </c>
    </row>
    <row r="1600">
      <c r="A1600" s="486" t="n">
        <v>22</v>
      </c>
      <c r="B1600" s="486" t="n">
        <v>3</v>
      </c>
      <c r="C1600" s="486" t="n">
        <v>2</v>
      </c>
      <c r="D1600" s="486" t="n">
        <v>1</v>
      </c>
      <c r="E1600" s="486" t="n">
        <v>2</v>
      </c>
      <c r="F1600" s="486" t="n">
        <v>2</v>
      </c>
      <c r="G1600" s="475" t="inlineStr">
        <is>
          <t>South-Left1</t>
        </is>
      </c>
      <c r="H1600" s="486" t="n">
        <v>2624.65</v>
      </c>
      <c r="I1600" s="486" t="n">
        <v>89</v>
      </c>
      <c r="J1600" s="486" t="n">
        <v>57</v>
      </c>
      <c r="K1600" s="486" t="n">
        <v>38</v>
      </c>
      <c r="L1600" s="486" t="n">
        <v>2</v>
      </c>
      <c r="M1600" s="514" t="inlineStr">
        <is>
          <t>T</t>
        </is>
      </c>
    </row>
    <row r="1601">
      <c r="A1601" s="486" t="n">
        <v>22</v>
      </c>
      <c r="B1601" s="486" t="n">
        <v>3</v>
      </c>
      <c r="C1601" s="486" t="n">
        <v>2</v>
      </c>
      <c r="D1601" s="486" t="n">
        <v>1</v>
      </c>
      <c r="E1601" s="486" t="n">
        <v>2</v>
      </c>
      <c r="F1601" s="486" t="n">
        <v>2</v>
      </c>
      <c r="G1601" s="486" t="inlineStr">
        <is>
          <t>South-Right1</t>
        </is>
      </c>
      <c r="H1601" s="486" t="n">
        <v>2624.65</v>
      </c>
      <c r="I1601" s="486" t="n">
        <v>89</v>
      </c>
      <c r="J1601" s="486" t="n">
        <v>57</v>
      </c>
      <c r="K1601" s="486" t="n">
        <v>38</v>
      </c>
      <c r="L1601" s="486" t="n">
        <v>2</v>
      </c>
      <c r="M1601" s="514" t="inlineStr">
        <is>
          <t>T</t>
        </is>
      </c>
    </row>
    <row r="1602">
      <c r="A1602" s="486" t="n">
        <v>22</v>
      </c>
      <c r="B1602" s="486" t="n">
        <v>3</v>
      </c>
      <c r="C1602" s="486" t="n">
        <v>2</v>
      </c>
      <c r="D1602" s="486" t="n">
        <v>1</v>
      </c>
      <c r="E1602" s="486" t="n">
        <v>2</v>
      </c>
      <c r="F1602" s="486" t="n">
        <v>2</v>
      </c>
      <c r="G1602" s="486" t="inlineStr">
        <is>
          <t>South-Right2</t>
        </is>
      </c>
      <c r="H1602" s="486" t="n">
        <v>0</v>
      </c>
      <c r="I1602" s="486" t="n">
        <v>0</v>
      </c>
      <c r="J1602" s="486" t="n">
        <v>0</v>
      </c>
      <c r="K1602" s="486" t="n">
        <v>0</v>
      </c>
      <c r="L1602" s="486" t="n">
        <v>0</v>
      </c>
      <c r="M1602" s="514" t="inlineStr">
        <is>
          <t>T</t>
        </is>
      </c>
    </row>
    <row r="1603">
      <c r="A1603" s="486" t="n">
        <v>22</v>
      </c>
      <c r="B1603" s="486" t="n">
        <v>3</v>
      </c>
      <c r="C1603" s="486" t="n">
        <v>2</v>
      </c>
      <c r="D1603" s="486" t="n">
        <v>4</v>
      </c>
      <c r="E1603" s="486" t="n">
        <v>2</v>
      </c>
      <c r="F1603" s="486" t="n">
        <v>2</v>
      </c>
      <c r="G1603" s="486" t="inlineStr">
        <is>
          <t>West-Up2</t>
        </is>
      </c>
      <c r="H1603" s="486" t="n">
        <v>1314.55</v>
      </c>
      <c r="I1603" s="486" t="n">
        <v>0</v>
      </c>
      <c r="J1603" s="486" t="n">
        <v>5</v>
      </c>
      <c r="K1603" s="486" t="n">
        <v>45</v>
      </c>
      <c r="L1603" s="486" t="n">
        <v>4</v>
      </c>
      <c r="M1603" s="487" t="inlineStr">
        <is>
          <t>T</t>
        </is>
      </c>
    </row>
    <row r="1604">
      <c r="A1604" s="486" t="n">
        <v>22</v>
      </c>
      <c r="B1604" s="486" t="n">
        <v>3</v>
      </c>
      <c r="C1604" s="486" t="n">
        <v>2</v>
      </c>
      <c r="D1604" s="486" t="n">
        <v>4</v>
      </c>
      <c r="E1604" s="486" t="n">
        <v>2</v>
      </c>
      <c r="F1604" s="486" t="n">
        <v>2</v>
      </c>
      <c r="G1604" s="475" t="inlineStr">
        <is>
          <t>West-Up1</t>
        </is>
      </c>
      <c r="H1604" s="486" t="n">
        <v>1314.42</v>
      </c>
      <c r="I1604" s="486" t="n">
        <v>0</v>
      </c>
      <c r="J1604" s="486" t="n">
        <v>5</v>
      </c>
      <c r="K1604" s="486" t="n">
        <v>23</v>
      </c>
      <c r="L1604" s="486" t="n">
        <v>4</v>
      </c>
      <c r="M1604" s="487" t="inlineStr">
        <is>
          <t>T</t>
        </is>
      </c>
    </row>
    <row r="1605">
      <c r="A1605" s="486" t="n">
        <v>22</v>
      </c>
      <c r="B1605" s="486" t="n">
        <v>3</v>
      </c>
      <c r="C1605" s="486" t="n">
        <v>2</v>
      </c>
      <c r="D1605" s="486" t="n">
        <v>4</v>
      </c>
      <c r="E1605" s="486" t="n">
        <v>2</v>
      </c>
      <c r="F1605" s="486" t="n">
        <v>2</v>
      </c>
      <c r="G1605" s="486" t="inlineStr">
        <is>
          <t>West-Down1</t>
        </is>
      </c>
      <c r="H1605" s="486" t="n">
        <v>2629.39</v>
      </c>
      <c r="I1605" s="486" t="n">
        <v>0</v>
      </c>
      <c r="J1605" s="486" t="n">
        <v>1</v>
      </c>
      <c r="K1605" s="486" t="n">
        <v>3</v>
      </c>
      <c r="L1605" s="486" t="n">
        <v>4</v>
      </c>
      <c r="M1605" s="487" t="inlineStr">
        <is>
          <t>T</t>
        </is>
      </c>
    </row>
    <row r="1606">
      <c r="A1606" s="486" t="n">
        <v>22</v>
      </c>
      <c r="B1606" s="486" t="n">
        <v>3</v>
      </c>
      <c r="C1606" s="486" t="n">
        <v>2</v>
      </c>
      <c r="D1606" s="486" t="n">
        <v>4</v>
      </c>
      <c r="E1606" s="486" t="n">
        <v>2</v>
      </c>
      <c r="F1606" s="486" t="n">
        <v>2</v>
      </c>
      <c r="G1606" s="486" t="inlineStr">
        <is>
          <t>West-Down2</t>
        </is>
      </c>
      <c r="H1606" s="486" t="n">
        <v>0</v>
      </c>
      <c r="I1606" s="486" t="n">
        <v>0</v>
      </c>
      <c r="J1606" s="486" t="n">
        <v>0</v>
      </c>
      <c r="K1606" s="486" t="n">
        <v>0</v>
      </c>
      <c r="L1606" s="486" t="n">
        <v>0</v>
      </c>
      <c r="M1606" s="487" t="inlineStr">
        <is>
          <t>T</t>
        </is>
      </c>
    </row>
    <row r="1607">
      <c r="A1607" s="486" t="n">
        <v>22</v>
      </c>
      <c r="B1607" s="486" t="n">
        <v>3</v>
      </c>
      <c r="C1607" s="486" t="n">
        <v>2</v>
      </c>
      <c r="D1607" s="486" t="n">
        <v>4</v>
      </c>
      <c r="E1607" s="486" t="n">
        <v>2</v>
      </c>
      <c r="F1607" s="486" t="n">
        <v>2</v>
      </c>
      <c r="G1607" s="486" t="inlineStr">
        <is>
          <t>East-Up2</t>
        </is>
      </c>
      <c r="H1607" s="485" t="n">
        <v>0</v>
      </c>
      <c r="I1607" s="485" t="n">
        <v>0</v>
      </c>
      <c r="J1607" s="485" t="n">
        <v>0</v>
      </c>
      <c r="K1607" s="485" t="n">
        <v>0</v>
      </c>
      <c r="L1607" s="485" t="n">
        <v>0</v>
      </c>
      <c r="M1607" s="487" t="inlineStr">
        <is>
          <t>T</t>
        </is>
      </c>
    </row>
    <row r="1608">
      <c r="A1608" s="486" t="n">
        <v>22</v>
      </c>
      <c r="B1608" s="486" t="n">
        <v>3</v>
      </c>
      <c r="C1608" s="486" t="n">
        <v>2</v>
      </c>
      <c r="D1608" s="486" t="n">
        <v>4</v>
      </c>
      <c r="E1608" s="486" t="n">
        <v>2</v>
      </c>
      <c r="F1608" s="486" t="n">
        <v>2</v>
      </c>
      <c r="G1608" s="475" t="inlineStr">
        <is>
          <t>East-Up1</t>
        </is>
      </c>
      <c r="H1608" s="485" t="n">
        <v>2621.31</v>
      </c>
      <c r="I1608" s="485" t="n">
        <v>0</v>
      </c>
      <c r="J1608" s="485" t="n">
        <v>5</v>
      </c>
      <c r="K1608" s="485" t="n">
        <v>16</v>
      </c>
      <c r="L1608" s="485" t="n">
        <v>1</v>
      </c>
      <c r="M1608" s="487" t="inlineStr">
        <is>
          <t>T</t>
        </is>
      </c>
    </row>
    <row r="1609">
      <c r="A1609" s="486" t="n">
        <v>22</v>
      </c>
      <c r="B1609" s="486" t="n">
        <v>3</v>
      </c>
      <c r="C1609" s="486" t="n">
        <v>2</v>
      </c>
      <c r="D1609" s="486" t="n">
        <v>4</v>
      </c>
      <c r="E1609" s="486" t="n">
        <v>2</v>
      </c>
      <c r="F1609" s="486" t="n">
        <v>2</v>
      </c>
      <c r="G1609" s="486" t="inlineStr">
        <is>
          <t>East-Down1</t>
        </is>
      </c>
      <c r="H1609" s="485" t="n">
        <v>2618.84</v>
      </c>
      <c r="I1609" s="485" t="n">
        <v>0</v>
      </c>
      <c r="J1609" s="485" t="n">
        <v>7</v>
      </c>
      <c r="K1609" s="485" t="n">
        <v>45</v>
      </c>
      <c r="L1609" s="485" t="n">
        <v>4</v>
      </c>
      <c r="M1609" s="487" t="inlineStr">
        <is>
          <t>T</t>
        </is>
      </c>
    </row>
    <row r="1610">
      <c r="A1610" s="486" t="n">
        <v>22</v>
      </c>
      <c r="B1610" s="486" t="n">
        <v>3</v>
      </c>
      <c r="C1610" s="486" t="n">
        <v>2</v>
      </c>
      <c r="D1610" s="486" t="n">
        <v>4</v>
      </c>
      <c r="E1610" s="486" t="n">
        <v>2</v>
      </c>
      <c r="F1610" s="486" t="n">
        <v>2</v>
      </c>
      <c r="G1610" s="486" t="inlineStr">
        <is>
          <t>East-Down2</t>
        </is>
      </c>
      <c r="H1610" s="485" t="n">
        <v>0</v>
      </c>
      <c r="I1610" s="485" t="n">
        <v>0</v>
      </c>
      <c r="J1610" s="485" t="n">
        <v>0</v>
      </c>
      <c r="K1610" s="485" t="n">
        <v>0</v>
      </c>
      <c r="L1610" s="485" t="n">
        <v>0</v>
      </c>
      <c r="M1610" s="487" t="inlineStr">
        <is>
          <t>T</t>
        </is>
      </c>
    </row>
    <row r="1611">
      <c r="A1611" s="486" t="n">
        <v>22</v>
      </c>
      <c r="B1611" s="486" t="n">
        <v>3</v>
      </c>
      <c r="C1611" s="486" t="n">
        <v>2</v>
      </c>
      <c r="D1611" s="486" t="n">
        <v>4</v>
      </c>
      <c r="E1611" s="486" t="n">
        <v>2</v>
      </c>
      <c r="F1611" s="486" t="n">
        <v>2</v>
      </c>
      <c r="G1611" s="486" t="inlineStr">
        <is>
          <t>North-Left2</t>
        </is>
      </c>
      <c r="H1611" s="486" t="n">
        <v>0</v>
      </c>
      <c r="I1611" s="486" t="n">
        <v>0</v>
      </c>
      <c r="J1611" s="486" t="n">
        <v>0</v>
      </c>
      <c r="K1611" s="486" t="n">
        <v>0</v>
      </c>
      <c r="L1611" s="486" t="n">
        <v>0</v>
      </c>
      <c r="M1611" s="487" t="inlineStr">
        <is>
          <t>T</t>
        </is>
      </c>
    </row>
    <row r="1612">
      <c r="A1612" s="486" t="n">
        <v>22</v>
      </c>
      <c r="B1612" s="486" t="n">
        <v>3</v>
      </c>
      <c r="C1612" s="486" t="n">
        <v>2</v>
      </c>
      <c r="D1612" s="486" t="n">
        <v>4</v>
      </c>
      <c r="E1612" s="486" t="n">
        <v>2</v>
      </c>
      <c r="F1612" s="486" t="n">
        <v>2</v>
      </c>
      <c r="G1612" s="475" t="inlineStr">
        <is>
          <t>North-Left1</t>
        </is>
      </c>
      <c r="H1612" s="486" t="n">
        <v>2663.4</v>
      </c>
      <c r="I1612" s="486" t="n">
        <v>87</v>
      </c>
      <c r="J1612" s="486" t="n">
        <v>57</v>
      </c>
      <c r="K1612" s="486" t="n">
        <v>54</v>
      </c>
      <c r="L1612" s="486" t="n">
        <v>2</v>
      </c>
      <c r="M1612" s="487" t="inlineStr">
        <is>
          <t>T</t>
        </is>
      </c>
    </row>
    <row r="1613">
      <c r="A1613" s="486" t="n">
        <v>22</v>
      </c>
      <c r="B1613" s="486" t="n">
        <v>3</v>
      </c>
      <c r="C1613" s="486" t="n">
        <v>2</v>
      </c>
      <c r="D1613" s="486" t="n">
        <v>4</v>
      </c>
      <c r="E1613" s="486" t="n">
        <v>2</v>
      </c>
      <c r="F1613" s="486" t="n">
        <v>2</v>
      </c>
      <c r="G1613" s="486" t="inlineStr">
        <is>
          <t>North-Right1</t>
        </is>
      </c>
      <c r="H1613" s="486" t="n">
        <v>2663.61</v>
      </c>
      <c r="I1613" s="486" t="n">
        <v>88</v>
      </c>
      <c r="J1613" s="486" t="n">
        <v>31</v>
      </c>
      <c r="K1613" s="486" t="n">
        <v>49</v>
      </c>
      <c r="L1613" s="486" t="n">
        <v>2</v>
      </c>
      <c r="M1613" s="487" t="inlineStr">
        <is>
          <t>T</t>
        </is>
      </c>
    </row>
    <row r="1614">
      <c r="A1614" s="486" t="n">
        <v>22</v>
      </c>
      <c r="B1614" s="486" t="n">
        <v>3</v>
      </c>
      <c r="C1614" s="486" t="n">
        <v>2</v>
      </c>
      <c r="D1614" s="486" t="n">
        <v>4</v>
      </c>
      <c r="E1614" s="486" t="n">
        <v>2</v>
      </c>
      <c r="F1614" s="486" t="n">
        <v>2</v>
      </c>
      <c r="G1614" s="486" t="inlineStr">
        <is>
          <t>North-Right2</t>
        </is>
      </c>
      <c r="H1614" s="486" t="n">
        <v>0</v>
      </c>
      <c r="I1614" s="486" t="n">
        <v>0</v>
      </c>
      <c r="J1614" s="486" t="n">
        <v>0</v>
      </c>
      <c r="K1614" s="486" t="n">
        <v>0</v>
      </c>
      <c r="L1614" s="486" t="n">
        <v>0</v>
      </c>
      <c r="M1614" s="487" t="inlineStr">
        <is>
          <t>T</t>
        </is>
      </c>
    </row>
    <row r="1615">
      <c r="A1615" s="486" t="n">
        <v>22</v>
      </c>
      <c r="B1615" s="486" t="n">
        <v>3</v>
      </c>
      <c r="C1615" s="486" t="n">
        <v>2</v>
      </c>
      <c r="D1615" s="486" t="n">
        <v>4</v>
      </c>
      <c r="E1615" s="486" t="n">
        <v>2</v>
      </c>
      <c r="F1615" s="486" t="n">
        <v>2</v>
      </c>
      <c r="G1615" s="486" t="inlineStr">
        <is>
          <t>South-Left2</t>
        </is>
      </c>
      <c r="H1615" s="486" t="n">
        <v>0</v>
      </c>
      <c r="I1615" s="486" t="n">
        <v>0</v>
      </c>
      <c r="J1615" s="486" t="n">
        <v>0</v>
      </c>
      <c r="K1615" s="486" t="n">
        <v>0</v>
      </c>
      <c r="L1615" s="486" t="n">
        <v>0</v>
      </c>
      <c r="M1615" s="487" t="inlineStr">
        <is>
          <t>T</t>
        </is>
      </c>
    </row>
    <row r="1616">
      <c r="A1616" s="486" t="n">
        <v>22</v>
      </c>
      <c r="B1616" s="486" t="n">
        <v>3</v>
      </c>
      <c r="C1616" s="486" t="n">
        <v>2</v>
      </c>
      <c r="D1616" s="486" t="n">
        <v>4</v>
      </c>
      <c r="E1616" s="486" t="n">
        <v>2</v>
      </c>
      <c r="F1616" s="486" t="n">
        <v>2</v>
      </c>
      <c r="G1616" s="475" t="inlineStr">
        <is>
          <t>South-Left1</t>
        </is>
      </c>
      <c r="H1616" s="486" t="n">
        <v>2666.65</v>
      </c>
      <c r="I1616" s="486" t="n">
        <v>88</v>
      </c>
      <c r="J1616" s="486" t="n">
        <v>16</v>
      </c>
      <c r="K1616" s="486" t="n">
        <v>42</v>
      </c>
      <c r="L1616" s="486" t="n">
        <v>2</v>
      </c>
      <c r="M1616" s="487" t="inlineStr">
        <is>
          <t>T</t>
        </is>
      </c>
    </row>
    <row r="1617">
      <c r="A1617" s="486" t="n">
        <v>22</v>
      </c>
      <c r="B1617" s="486" t="n">
        <v>3</v>
      </c>
      <c r="C1617" s="486" t="n">
        <v>2</v>
      </c>
      <c r="D1617" s="486" t="n">
        <v>4</v>
      </c>
      <c r="E1617" s="486" t="n">
        <v>2</v>
      </c>
      <c r="F1617" s="486" t="n">
        <v>2</v>
      </c>
      <c r="G1617" s="486" t="inlineStr">
        <is>
          <t>South-Right1</t>
        </is>
      </c>
      <c r="H1617" s="486" t="n">
        <v>2666.32</v>
      </c>
      <c r="I1617" s="486" t="n">
        <v>88</v>
      </c>
      <c r="J1617" s="486" t="n">
        <v>18</v>
      </c>
      <c r="K1617" s="486" t="n">
        <v>40</v>
      </c>
      <c r="L1617" s="486" t="n">
        <v>2</v>
      </c>
      <c r="M1617" s="487" t="inlineStr">
        <is>
          <t>T</t>
        </is>
      </c>
    </row>
    <row r="1618">
      <c r="A1618" s="486" t="n">
        <v>22</v>
      </c>
      <c r="B1618" s="486" t="n">
        <v>3</v>
      </c>
      <c r="C1618" s="486" t="n">
        <v>2</v>
      </c>
      <c r="D1618" s="486" t="n">
        <v>4</v>
      </c>
      <c r="E1618" s="486" t="n">
        <v>2</v>
      </c>
      <c r="F1618" s="486" t="n">
        <v>2</v>
      </c>
      <c r="G1618" s="486" t="inlineStr">
        <is>
          <t>South-Right2</t>
        </is>
      </c>
      <c r="H1618" s="486" t="n">
        <v>0</v>
      </c>
      <c r="I1618" s="486" t="n">
        <v>0</v>
      </c>
      <c r="J1618" s="486" t="n">
        <v>0</v>
      </c>
      <c r="K1618" s="486" t="n">
        <v>0</v>
      </c>
      <c r="L1618" s="486" t="n">
        <v>0</v>
      </c>
      <c r="M1618" s="487" t="inlineStr">
        <is>
          <t>T</t>
        </is>
      </c>
    </row>
    <row r="1619">
      <c r="A1619" s="499" t="n">
        <v>22</v>
      </c>
      <c r="B1619" s="499" t="n">
        <v>3</v>
      </c>
      <c r="C1619" s="499" t="n">
        <v>2</v>
      </c>
      <c r="D1619" s="499" t="n">
        <v>5</v>
      </c>
      <c r="E1619" s="499" t="n">
        <v>2</v>
      </c>
      <c r="F1619" s="499" t="n">
        <v>2</v>
      </c>
      <c r="G1619" s="499" t="inlineStr">
        <is>
          <t>West-Up2</t>
        </is>
      </c>
      <c r="H1619" s="511" t="n">
        <v>0</v>
      </c>
      <c r="I1619" s="511" t="n">
        <v>0</v>
      </c>
      <c r="J1619" s="511" t="n">
        <v>0</v>
      </c>
      <c r="K1619" s="511" t="n">
        <v>0</v>
      </c>
      <c r="L1619" s="511" t="n">
        <v>0</v>
      </c>
      <c r="M1619" s="495" t="inlineStr">
        <is>
          <t>T</t>
        </is>
      </c>
    </row>
    <row r="1620">
      <c r="A1620" s="499" t="n">
        <v>22</v>
      </c>
      <c r="B1620" s="499" t="n">
        <v>3</v>
      </c>
      <c r="C1620" s="499" t="n">
        <v>2</v>
      </c>
      <c r="D1620" s="499" t="n">
        <v>5</v>
      </c>
      <c r="E1620" s="499" t="n">
        <v>2</v>
      </c>
      <c r="F1620" s="499" t="n">
        <v>2</v>
      </c>
      <c r="G1620" s="502" t="inlineStr">
        <is>
          <t>West-Up1</t>
        </is>
      </c>
      <c r="H1620" s="511" t="n">
        <v>5281.16</v>
      </c>
      <c r="I1620" s="511" t="n">
        <v>0</v>
      </c>
      <c r="J1620" s="511" t="n">
        <v>14</v>
      </c>
      <c r="K1620" s="511" t="n">
        <v>3</v>
      </c>
      <c r="L1620" s="511" t="n">
        <v>4</v>
      </c>
      <c r="M1620" s="495" t="inlineStr">
        <is>
          <t>T</t>
        </is>
      </c>
    </row>
    <row r="1621">
      <c r="A1621" s="499" t="n">
        <v>22</v>
      </c>
      <c r="B1621" s="499" t="n">
        <v>3</v>
      </c>
      <c r="C1621" s="499" t="n">
        <v>2</v>
      </c>
      <c r="D1621" s="499" t="n">
        <v>5</v>
      </c>
      <c r="E1621" s="499" t="n">
        <v>2</v>
      </c>
      <c r="F1621" s="499" t="n">
        <v>2</v>
      </c>
      <c r="G1621" s="499" t="inlineStr">
        <is>
          <t>West-Down1</t>
        </is>
      </c>
      <c r="H1621" s="511" t="n">
        <v>0</v>
      </c>
      <c r="I1621" s="511" t="n">
        <v>0</v>
      </c>
      <c r="J1621" s="511" t="n">
        <v>0</v>
      </c>
      <c r="K1621" s="511" t="n">
        <v>0</v>
      </c>
      <c r="L1621" s="511" t="n">
        <v>0</v>
      </c>
      <c r="M1621" s="495" t="inlineStr">
        <is>
          <t>T</t>
        </is>
      </c>
    </row>
    <row r="1622">
      <c r="A1622" s="499" t="n">
        <v>22</v>
      </c>
      <c r="B1622" s="499" t="n">
        <v>3</v>
      </c>
      <c r="C1622" s="499" t="n">
        <v>2</v>
      </c>
      <c r="D1622" s="499" t="n">
        <v>5</v>
      </c>
      <c r="E1622" s="499" t="n">
        <v>2</v>
      </c>
      <c r="F1622" s="499" t="n">
        <v>2</v>
      </c>
      <c r="G1622" s="499" t="inlineStr">
        <is>
          <t>West-Down2</t>
        </is>
      </c>
      <c r="H1622" s="511" t="n">
        <v>0</v>
      </c>
      <c r="I1622" s="511" t="n">
        <v>0</v>
      </c>
      <c r="J1622" s="511" t="n">
        <v>0</v>
      </c>
      <c r="K1622" s="511" t="n">
        <v>0</v>
      </c>
      <c r="L1622" s="511" t="n">
        <v>0</v>
      </c>
      <c r="M1622" s="495" t="inlineStr">
        <is>
          <t>T</t>
        </is>
      </c>
    </row>
    <row r="1623">
      <c r="A1623" s="499" t="n">
        <v>22</v>
      </c>
      <c r="B1623" s="499" t="n">
        <v>3</v>
      </c>
      <c r="C1623" s="499" t="n">
        <v>2</v>
      </c>
      <c r="D1623" s="499" t="n">
        <v>5</v>
      </c>
      <c r="E1623" s="499" t="n">
        <v>2</v>
      </c>
      <c r="F1623" s="499" t="n">
        <v>2</v>
      </c>
      <c r="G1623" s="499" t="inlineStr">
        <is>
          <t>East-Up2</t>
        </is>
      </c>
      <c r="H1623" s="511" t="n">
        <v>0</v>
      </c>
      <c r="I1623" s="511" t="n">
        <v>0</v>
      </c>
      <c r="J1623" s="511" t="n">
        <v>0</v>
      </c>
      <c r="K1623" s="511" t="n">
        <v>0</v>
      </c>
      <c r="L1623" s="511" t="n">
        <v>0</v>
      </c>
      <c r="M1623" s="495" t="inlineStr">
        <is>
          <t>T</t>
        </is>
      </c>
    </row>
    <row r="1624">
      <c r="A1624" s="499" t="n">
        <v>22</v>
      </c>
      <c r="B1624" s="499" t="n">
        <v>3</v>
      </c>
      <c r="C1624" s="499" t="n">
        <v>2</v>
      </c>
      <c r="D1624" s="499" t="n">
        <v>5</v>
      </c>
      <c r="E1624" s="499" t="n">
        <v>2</v>
      </c>
      <c r="F1624" s="499" t="n">
        <v>2</v>
      </c>
      <c r="G1624" s="502" t="inlineStr">
        <is>
          <t>East-Up1</t>
        </is>
      </c>
      <c r="H1624" s="511" t="n">
        <v>2630.67</v>
      </c>
      <c r="I1624" s="511" t="n">
        <v>0</v>
      </c>
      <c r="J1624" s="511" t="n">
        <v>3</v>
      </c>
      <c r="K1624" s="511" t="n">
        <v>30</v>
      </c>
      <c r="L1624" s="511" t="n">
        <v>4</v>
      </c>
      <c r="M1624" s="495" t="inlineStr">
        <is>
          <t>T</t>
        </is>
      </c>
    </row>
    <row r="1625">
      <c r="A1625" s="499" t="n">
        <v>22</v>
      </c>
      <c r="B1625" s="499" t="n">
        <v>3</v>
      </c>
      <c r="C1625" s="499" t="n">
        <v>2</v>
      </c>
      <c r="D1625" s="499" t="n">
        <v>5</v>
      </c>
      <c r="E1625" s="499" t="n">
        <v>2</v>
      </c>
      <c r="F1625" s="499" t="n">
        <v>2</v>
      </c>
      <c r="G1625" s="499" t="inlineStr">
        <is>
          <t>East-Down1</t>
        </is>
      </c>
      <c r="H1625" s="511" t="n">
        <v>2635.4</v>
      </c>
      <c r="I1625" s="511" t="n">
        <v>0</v>
      </c>
      <c r="J1625" s="511" t="n">
        <v>3</v>
      </c>
      <c r="K1625" s="511" t="n">
        <v>2</v>
      </c>
      <c r="L1625" s="511" t="n">
        <v>4</v>
      </c>
      <c r="M1625" s="495" t="inlineStr">
        <is>
          <t>T</t>
        </is>
      </c>
    </row>
    <row r="1626">
      <c r="A1626" s="499" t="n">
        <v>22</v>
      </c>
      <c r="B1626" s="499" t="n">
        <v>3</v>
      </c>
      <c r="C1626" s="499" t="n">
        <v>2</v>
      </c>
      <c r="D1626" s="499" t="n">
        <v>5</v>
      </c>
      <c r="E1626" s="499" t="n">
        <v>2</v>
      </c>
      <c r="F1626" s="499" t="n">
        <v>2</v>
      </c>
      <c r="G1626" s="499" t="inlineStr">
        <is>
          <t>East-Down2</t>
        </is>
      </c>
      <c r="H1626" s="511" t="n">
        <v>0</v>
      </c>
      <c r="I1626" s="511" t="n">
        <v>0</v>
      </c>
      <c r="J1626" s="511" t="n">
        <v>0</v>
      </c>
      <c r="K1626" s="511" t="n">
        <v>0</v>
      </c>
      <c r="L1626" s="511" t="n">
        <v>0</v>
      </c>
      <c r="M1626" s="495" t="inlineStr">
        <is>
          <t>T</t>
        </is>
      </c>
    </row>
    <row r="1627">
      <c r="A1627" s="499" t="n">
        <v>22</v>
      </c>
      <c r="B1627" s="499" t="n">
        <v>3</v>
      </c>
      <c r="C1627" s="499" t="n">
        <v>2</v>
      </c>
      <c r="D1627" s="499" t="n">
        <v>5</v>
      </c>
      <c r="E1627" s="499" t="n">
        <v>2</v>
      </c>
      <c r="F1627" s="499" t="n">
        <v>2</v>
      </c>
      <c r="G1627" s="499" t="inlineStr">
        <is>
          <t>North-Left2</t>
        </is>
      </c>
      <c r="H1627" s="511" t="n">
        <v>0</v>
      </c>
      <c r="I1627" s="511" t="n">
        <v>0</v>
      </c>
      <c r="J1627" s="511" t="n">
        <v>0</v>
      </c>
      <c r="K1627" s="511" t="n">
        <v>0</v>
      </c>
      <c r="L1627" s="511" t="n">
        <v>0</v>
      </c>
      <c r="M1627" s="495" t="inlineStr">
        <is>
          <t>T</t>
        </is>
      </c>
    </row>
    <row r="1628">
      <c r="A1628" s="499" t="n">
        <v>22</v>
      </c>
      <c r="B1628" s="499" t="n">
        <v>3</v>
      </c>
      <c r="C1628" s="499" t="n">
        <v>2</v>
      </c>
      <c r="D1628" s="499" t="n">
        <v>5</v>
      </c>
      <c r="E1628" s="499" t="n">
        <v>2</v>
      </c>
      <c r="F1628" s="499" t="n">
        <v>2</v>
      </c>
      <c r="G1628" s="502" t="inlineStr">
        <is>
          <t>North-Left1</t>
        </is>
      </c>
      <c r="H1628" s="511" t="n">
        <v>5249.24</v>
      </c>
      <c r="I1628" s="511" t="n">
        <v>89</v>
      </c>
      <c r="J1628" s="511" t="n">
        <v>53</v>
      </c>
      <c r="K1628" s="511" t="n">
        <v>24</v>
      </c>
      <c r="L1628" s="511" t="n">
        <v>1</v>
      </c>
      <c r="M1628" s="495" t="inlineStr">
        <is>
          <t>T</t>
        </is>
      </c>
    </row>
    <row r="1629">
      <c r="A1629" s="499" t="n">
        <v>22</v>
      </c>
      <c r="B1629" s="499" t="n">
        <v>3</v>
      </c>
      <c r="C1629" s="499" t="n">
        <v>2</v>
      </c>
      <c r="D1629" s="499" t="n">
        <v>5</v>
      </c>
      <c r="E1629" s="499" t="n">
        <v>2</v>
      </c>
      <c r="F1629" s="499" t="n">
        <v>2</v>
      </c>
      <c r="G1629" s="499" t="inlineStr">
        <is>
          <t>North-Right1</t>
        </is>
      </c>
      <c r="H1629" s="511" t="n">
        <v>0</v>
      </c>
      <c r="I1629" s="511" t="n">
        <v>0</v>
      </c>
      <c r="J1629" s="511" t="n">
        <v>0</v>
      </c>
      <c r="K1629" s="511" t="n">
        <v>0</v>
      </c>
      <c r="L1629" s="511" t="n">
        <v>0</v>
      </c>
      <c r="M1629" s="495" t="inlineStr">
        <is>
          <t>T</t>
        </is>
      </c>
    </row>
    <row r="1630">
      <c r="A1630" s="499" t="n">
        <v>22</v>
      </c>
      <c r="B1630" s="499" t="n">
        <v>3</v>
      </c>
      <c r="C1630" s="499" t="n">
        <v>2</v>
      </c>
      <c r="D1630" s="499" t="n">
        <v>5</v>
      </c>
      <c r="E1630" s="499" t="n">
        <v>2</v>
      </c>
      <c r="F1630" s="499" t="n">
        <v>2</v>
      </c>
      <c r="G1630" s="499" t="inlineStr">
        <is>
          <t>North-Right2</t>
        </is>
      </c>
      <c r="H1630" s="511" t="n">
        <v>0</v>
      </c>
      <c r="I1630" s="511" t="n">
        <v>0</v>
      </c>
      <c r="J1630" s="511" t="n">
        <v>0</v>
      </c>
      <c r="K1630" s="511" t="n">
        <v>0</v>
      </c>
      <c r="L1630" s="511" t="n">
        <v>0</v>
      </c>
      <c r="M1630" s="495" t="inlineStr">
        <is>
          <t>T</t>
        </is>
      </c>
    </row>
    <row r="1631">
      <c r="A1631" s="499" t="n">
        <v>22</v>
      </c>
      <c r="B1631" s="499" t="n">
        <v>3</v>
      </c>
      <c r="C1631" s="499" t="n">
        <v>2</v>
      </c>
      <c r="D1631" s="499" t="n">
        <v>5</v>
      </c>
      <c r="E1631" s="499" t="n">
        <v>2</v>
      </c>
      <c r="F1631" s="499" t="n">
        <v>2</v>
      </c>
      <c r="G1631" s="499" t="inlineStr">
        <is>
          <t>South-Left2</t>
        </is>
      </c>
      <c r="H1631" s="511" t="n">
        <v>0</v>
      </c>
      <c r="I1631" s="511" t="n">
        <v>0</v>
      </c>
      <c r="J1631" s="511" t="n">
        <v>0</v>
      </c>
      <c r="K1631" s="511" t="n">
        <v>0</v>
      </c>
      <c r="L1631" s="511" t="n">
        <v>0</v>
      </c>
      <c r="M1631" s="495" t="inlineStr">
        <is>
          <t>T</t>
        </is>
      </c>
    </row>
    <row r="1632">
      <c r="A1632" s="499" t="n">
        <v>22</v>
      </c>
      <c r="B1632" s="499" t="n">
        <v>3</v>
      </c>
      <c r="C1632" s="499" t="n">
        <v>2</v>
      </c>
      <c r="D1632" s="499" t="n">
        <v>5</v>
      </c>
      <c r="E1632" s="499" t="n">
        <v>2</v>
      </c>
      <c r="F1632" s="499" t="n">
        <v>2</v>
      </c>
      <c r="G1632" s="502" t="inlineStr">
        <is>
          <t>South-Left1</t>
        </is>
      </c>
      <c r="H1632" s="511" t="n">
        <v>5232.66</v>
      </c>
      <c r="I1632" s="511" t="n">
        <v>89</v>
      </c>
      <c r="J1632" s="511" t="n">
        <v>56</v>
      </c>
      <c r="K1632" s="511" t="n">
        <v>44</v>
      </c>
      <c r="L1632" s="511" t="n">
        <v>2</v>
      </c>
      <c r="M1632" s="495" t="inlineStr">
        <is>
          <t>T</t>
        </is>
      </c>
    </row>
    <row r="1633">
      <c r="A1633" s="499" t="n">
        <v>22</v>
      </c>
      <c r="B1633" s="499" t="n">
        <v>3</v>
      </c>
      <c r="C1633" s="499" t="n">
        <v>2</v>
      </c>
      <c r="D1633" s="499" t="n">
        <v>5</v>
      </c>
      <c r="E1633" s="499" t="n">
        <v>2</v>
      </c>
      <c r="F1633" s="499" t="n">
        <v>2</v>
      </c>
      <c r="G1633" s="499" t="inlineStr">
        <is>
          <t>South-Right1</t>
        </is>
      </c>
      <c r="H1633" s="511" t="n">
        <v>0</v>
      </c>
      <c r="I1633" s="511" t="n">
        <v>0</v>
      </c>
      <c r="J1633" s="511" t="n">
        <v>0</v>
      </c>
      <c r="K1633" s="511" t="n">
        <v>0</v>
      </c>
      <c r="L1633" s="511" t="n">
        <v>0</v>
      </c>
      <c r="M1633" s="495" t="inlineStr">
        <is>
          <t>T</t>
        </is>
      </c>
    </row>
    <row r="1634">
      <c r="A1634" s="499" t="n">
        <v>22</v>
      </c>
      <c r="B1634" s="499" t="n">
        <v>3</v>
      </c>
      <c r="C1634" s="499" t="n">
        <v>2</v>
      </c>
      <c r="D1634" s="499" t="n">
        <v>5</v>
      </c>
      <c r="E1634" s="499" t="n">
        <v>2</v>
      </c>
      <c r="F1634" s="499" t="n">
        <v>2</v>
      </c>
      <c r="G1634" s="499" t="inlineStr">
        <is>
          <t>South-Right2</t>
        </is>
      </c>
      <c r="H1634" s="511" t="n">
        <v>0</v>
      </c>
      <c r="I1634" s="511" t="n">
        <v>0</v>
      </c>
      <c r="J1634" s="511" t="n">
        <v>0</v>
      </c>
      <c r="K1634" s="511" t="n">
        <v>0</v>
      </c>
      <c r="L1634" s="511" t="n">
        <v>0</v>
      </c>
      <c r="M1634" s="495" t="inlineStr">
        <is>
          <t>T</t>
        </is>
      </c>
    </row>
    <row r="1635">
      <c r="A1635" s="486" t="n">
        <v>23</v>
      </c>
      <c r="B1635" s="486" t="n">
        <v>11</v>
      </c>
      <c r="C1635" s="486" t="n">
        <v>2</v>
      </c>
      <c r="D1635" s="486" t="n">
        <v>24</v>
      </c>
      <c r="E1635" s="486" t="n">
        <v>1</v>
      </c>
      <c r="F1635" s="486" t="n">
        <v>1</v>
      </c>
      <c r="G1635" s="486" t="inlineStr">
        <is>
          <t>West-Up2</t>
        </is>
      </c>
      <c r="H1635" s="486" t="n">
        <v>0</v>
      </c>
      <c r="I1635" s="486" t="n">
        <v>0</v>
      </c>
      <c r="J1635" s="486" t="n">
        <v>0</v>
      </c>
      <c r="K1635" s="486" t="n">
        <v>0</v>
      </c>
      <c r="L1635" s="486" t="n">
        <v>0</v>
      </c>
      <c r="M1635" s="487" t="inlineStr">
        <is>
          <t>T</t>
        </is>
      </c>
    </row>
    <row r="1636">
      <c r="A1636" s="486" t="n">
        <v>23</v>
      </c>
      <c r="B1636" s="486" t="n">
        <v>11</v>
      </c>
      <c r="C1636" s="486" t="n">
        <v>2</v>
      </c>
      <c r="D1636" s="486" t="n">
        <v>24</v>
      </c>
      <c r="E1636" s="486" t="n">
        <v>1</v>
      </c>
      <c r="F1636" s="486" t="n">
        <v>1</v>
      </c>
      <c r="G1636" s="475" t="inlineStr">
        <is>
          <t>West-Up1</t>
        </is>
      </c>
      <c r="H1636" s="486" t="n">
        <v>2616.69</v>
      </c>
      <c r="I1636" s="486" t="n">
        <v>0</v>
      </c>
      <c r="J1636" s="486" t="n">
        <v>0</v>
      </c>
      <c r="K1636" s="486" t="n">
        <v>0</v>
      </c>
      <c r="L1636" s="486" t="n">
        <v>4</v>
      </c>
      <c r="M1636" s="487" t="inlineStr">
        <is>
          <t>T</t>
        </is>
      </c>
    </row>
    <row r="1637">
      <c r="A1637" s="486" t="n">
        <v>23</v>
      </c>
      <c r="B1637" s="486" t="n">
        <v>11</v>
      </c>
      <c r="C1637" s="486" t="n">
        <v>2</v>
      </c>
      <c r="D1637" s="486" t="n">
        <v>24</v>
      </c>
      <c r="E1637" s="486" t="n">
        <v>1</v>
      </c>
      <c r="F1637" s="486" t="n">
        <v>1</v>
      </c>
      <c r="G1637" s="486" t="inlineStr">
        <is>
          <t>West-Down1</t>
        </is>
      </c>
      <c r="H1637" s="486" t="n">
        <v>2687.84</v>
      </c>
      <c r="I1637" s="486" t="n">
        <v>0</v>
      </c>
      <c r="J1637" s="486" t="n">
        <v>3</v>
      </c>
      <c r="K1637" s="486" t="n">
        <v>53</v>
      </c>
      <c r="L1637" s="486" t="n">
        <v>4</v>
      </c>
      <c r="M1637" s="487" t="inlineStr">
        <is>
          <t>T</t>
        </is>
      </c>
    </row>
    <row r="1638">
      <c r="A1638" s="486" t="n">
        <v>23</v>
      </c>
      <c r="B1638" s="486" t="n">
        <v>11</v>
      </c>
      <c r="C1638" s="486" t="n">
        <v>2</v>
      </c>
      <c r="D1638" s="486" t="n">
        <v>24</v>
      </c>
      <c r="E1638" s="486" t="n">
        <v>1</v>
      </c>
      <c r="F1638" s="486" t="n">
        <v>1</v>
      </c>
      <c r="G1638" s="486" t="inlineStr">
        <is>
          <t>West-Down2</t>
        </is>
      </c>
      <c r="H1638" s="486" t="n">
        <v>0</v>
      </c>
      <c r="I1638" s="486" t="n">
        <v>0</v>
      </c>
      <c r="J1638" s="486" t="n">
        <v>0</v>
      </c>
      <c r="K1638" s="486" t="n">
        <v>0</v>
      </c>
      <c r="L1638" s="486" t="n">
        <v>0</v>
      </c>
      <c r="M1638" s="487" t="inlineStr">
        <is>
          <t>T</t>
        </is>
      </c>
    </row>
    <row r="1639">
      <c r="A1639" s="486" t="n">
        <v>23</v>
      </c>
      <c r="B1639" s="486" t="n">
        <v>11</v>
      </c>
      <c r="C1639" s="486" t="n">
        <v>2</v>
      </c>
      <c r="D1639" s="486" t="n">
        <v>24</v>
      </c>
      <c r="E1639" s="486" t="n">
        <v>1</v>
      </c>
      <c r="F1639" s="486" t="n">
        <v>1</v>
      </c>
      <c r="G1639" s="486" t="inlineStr">
        <is>
          <t>East-Up2</t>
        </is>
      </c>
      <c r="H1639" s="486" t="n">
        <v>0</v>
      </c>
      <c r="I1639" s="486" t="n">
        <v>0</v>
      </c>
      <c r="J1639" s="486" t="n">
        <v>0</v>
      </c>
      <c r="K1639" s="486" t="n">
        <v>0</v>
      </c>
      <c r="L1639" s="486" t="n">
        <v>0</v>
      </c>
      <c r="M1639" s="487" t="inlineStr">
        <is>
          <t>T</t>
        </is>
      </c>
    </row>
    <row r="1640">
      <c r="A1640" s="486" t="n">
        <v>23</v>
      </c>
      <c r="B1640" s="486" t="n">
        <v>11</v>
      </c>
      <c r="C1640" s="486" t="n">
        <v>2</v>
      </c>
      <c r="D1640" s="486" t="n">
        <v>24</v>
      </c>
      <c r="E1640" s="486" t="n">
        <v>1</v>
      </c>
      <c r="F1640" s="486" t="n">
        <v>1</v>
      </c>
      <c r="G1640" s="475" t="inlineStr">
        <is>
          <t>East-Up1</t>
        </is>
      </c>
      <c r="H1640" s="486" t="n">
        <v>5291.43</v>
      </c>
      <c r="I1640" s="486" t="n">
        <v>0</v>
      </c>
      <c r="J1640" s="486" t="n">
        <v>5</v>
      </c>
      <c r="K1640" s="486" t="n">
        <v>38</v>
      </c>
      <c r="L1640" s="486" t="n">
        <v>4</v>
      </c>
      <c r="M1640" s="487" t="inlineStr">
        <is>
          <t>T</t>
        </is>
      </c>
    </row>
    <row r="1641">
      <c r="A1641" s="486" t="n">
        <v>23</v>
      </c>
      <c r="B1641" s="486" t="n">
        <v>11</v>
      </c>
      <c r="C1641" s="486" t="n">
        <v>2</v>
      </c>
      <c r="D1641" s="486" t="n">
        <v>24</v>
      </c>
      <c r="E1641" s="486" t="n">
        <v>1</v>
      </c>
      <c r="F1641" s="486" t="n">
        <v>1</v>
      </c>
      <c r="G1641" s="486" t="inlineStr">
        <is>
          <t>East-Down1</t>
        </is>
      </c>
      <c r="H1641" s="486" t="n">
        <v>0</v>
      </c>
      <c r="I1641" s="486" t="n">
        <v>0</v>
      </c>
      <c r="J1641" s="486" t="n">
        <v>0</v>
      </c>
      <c r="K1641" s="486" t="n">
        <v>0</v>
      </c>
      <c r="L1641" s="486" t="n">
        <v>0</v>
      </c>
      <c r="M1641" s="487" t="inlineStr">
        <is>
          <t>T</t>
        </is>
      </c>
    </row>
    <row r="1642">
      <c r="A1642" s="486" t="n">
        <v>23</v>
      </c>
      <c r="B1642" s="486" t="n">
        <v>11</v>
      </c>
      <c r="C1642" s="486" t="n">
        <v>2</v>
      </c>
      <c r="D1642" s="486" t="n">
        <v>24</v>
      </c>
      <c r="E1642" s="486" t="n">
        <v>1</v>
      </c>
      <c r="F1642" s="486" t="n">
        <v>1</v>
      </c>
      <c r="G1642" s="486" t="inlineStr">
        <is>
          <t>East-Down2</t>
        </is>
      </c>
      <c r="H1642" s="486" t="n">
        <v>0</v>
      </c>
      <c r="I1642" s="486" t="n">
        <v>0</v>
      </c>
      <c r="J1642" s="486" t="n">
        <v>0</v>
      </c>
      <c r="K1642" s="486" t="n">
        <v>0</v>
      </c>
      <c r="L1642" s="486" t="n">
        <v>0</v>
      </c>
      <c r="M1642" s="487" t="inlineStr">
        <is>
          <t>T</t>
        </is>
      </c>
    </row>
    <row r="1643">
      <c r="A1643" s="486" t="n">
        <v>23</v>
      </c>
      <c r="B1643" s="486" t="n">
        <v>11</v>
      </c>
      <c r="C1643" s="486" t="n">
        <v>2</v>
      </c>
      <c r="D1643" s="486" t="n">
        <v>24</v>
      </c>
      <c r="E1643" s="486" t="n">
        <v>1</v>
      </c>
      <c r="F1643" s="486" t="n">
        <v>1</v>
      </c>
      <c r="G1643" s="486" t="inlineStr">
        <is>
          <t>North-Left2</t>
        </is>
      </c>
      <c r="H1643" s="486" t="n">
        <v>0</v>
      </c>
      <c r="I1643" s="486" t="n">
        <v>0</v>
      </c>
      <c r="J1643" s="486" t="n">
        <v>0</v>
      </c>
      <c r="K1643" s="486" t="n">
        <v>0</v>
      </c>
      <c r="L1643" s="486" t="n">
        <v>0</v>
      </c>
      <c r="M1643" s="487" t="inlineStr">
        <is>
          <t>T</t>
        </is>
      </c>
    </row>
    <row r="1644">
      <c r="A1644" s="486" t="n">
        <v>23</v>
      </c>
      <c r="B1644" s="486" t="n">
        <v>11</v>
      </c>
      <c r="C1644" s="486" t="n">
        <v>2</v>
      </c>
      <c r="D1644" s="486" t="n">
        <v>24</v>
      </c>
      <c r="E1644" s="486" t="n">
        <v>1</v>
      </c>
      <c r="F1644" s="486" t="n">
        <v>1</v>
      </c>
      <c r="G1644" s="475" t="inlineStr">
        <is>
          <t>North-Left1</t>
        </is>
      </c>
      <c r="H1644" s="486" t="n">
        <v>2626.48</v>
      </c>
      <c r="I1644" s="486" t="n">
        <v>89</v>
      </c>
      <c r="J1644" s="486" t="n">
        <v>59</v>
      </c>
      <c r="K1644" s="486" t="n">
        <v>32</v>
      </c>
      <c r="L1644" s="486" t="n">
        <v>3</v>
      </c>
      <c r="M1644" s="487" t="inlineStr">
        <is>
          <t>T</t>
        </is>
      </c>
    </row>
    <row r="1645">
      <c r="A1645" s="486" t="n">
        <v>23</v>
      </c>
      <c r="B1645" s="486" t="n">
        <v>11</v>
      </c>
      <c r="C1645" s="486" t="n">
        <v>2</v>
      </c>
      <c r="D1645" s="486" t="n">
        <v>24</v>
      </c>
      <c r="E1645" s="486" t="n">
        <v>1</v>
      </c>
      <c r="F1645" s="486" t="n">
        <v>1</v>
      </c>
      <c r="G1645" s="486" t="inlineStr">
        <is>
          <t>North-Right1</t>
        </is>
      </c>
      <c r="H1645" s="486" t="n">
        <v>2640.79</v>
      </c>
      <c r="I1645" s="486" t="n">
        <v>89</v>
      </c>
      <c r="J1645" s="486" t="n">
        <v>33</v>
      </c>
      <c r="K1645" s="486" t="n">
        <v>48</v>
      </c>
      <c r="L1645" s="486" t="n">
        <v>4</v>
      </c>
      <c r="M1645" s="487" t="inlineStr">
        <is>
          <t>T</t>
        </is>
      </c>
    </row>
    <row r="1646">
      <c r="A1646" s="486" t="n">
        <v>23</v>
      </c>
      <c r="B1646" s="486" t="n">
        <v>11</v>
      </c>
      <c r="C1646" s="486" t="n">
        <v>2</v>
      </c>
      <c r="D1646" s="486" t="n">
        <v>24</v>
      </c>
      <c r="E1646" s="486" t="n">
        <v>1</v>
      </c>
      <c r="F1646" s="486" t="n">
        <v>1</v>
      </c>
      <c r="G1646" s="486" t="inlineStr">
        <is>
          <t>North-Right2</t>
        </is>
      </c>
      <c r="H1646" s="486" t="n">
        <v>0</v>
      </c>
      <c r="I1646" s="486" t="n">
        <v>0</v>
      </c>
      <c r="J1646" s="486" t="n">
        <v>0</v>
      </c>
      <c r="K1646" s="486" t="n">
        <v>0</v>
      </c>
      <c r="L1646" s="486" t="n">
        <v>0</v>
      </c>
      <c r="M1646" s="487" t="inlineStr">
        <is>
          <t>T</t>
        </is>
      </c>
    </row>
    <row r="1647">
      <c r="A1647" s="486" t="n">
        <v>23</v>
      </c>
      <c r="B1647" s="486" t="n">
        <v>11</v>
      </c>
      <c r="C1647" s="486" t="n">
        <v>2</v>
      </c>
      <c r="D1647" s="486" t="n">
        <v>24</v>
      </c>
      <c r="E1647" s="486" t="n">
        <v>1</v>
      </c>
      <c r="F1647" s="486" t="n">
        <v>1</v>
      </c>
      <c r="G1647" s="486" t="inlineStr">
        <is>
          <t>South-Left2</t>
        </is>
      </c>
      <c r="H1647" s="486" t="n">
        <v>0</v>
      </c>
      <c r="I1647" s="486" t="n">
        <v>0</v>
      </c>
      <c r="J1647" s="486" t="n">
        <v>0</v>
      </c>
      <c r="K1647" s="486" t="n">
        <v>0</v>
      </c>
      <c r="L1647" s="486" t="n">
        <v>0</v>
      </c>
      <c r="M1647" s="487" t="inlineStr">
        <is>
          <t>T</t>
        </is>
      </c>
    </row>
    <row r="1648">
      <c r="A1648" s="486" t="n">
        <v>23</v>
      </c>
      <c r="B1648" s="486" t="n">
        <v>11</v>
      </c>
      <c r="C1648" s="486" t="n">
        <v>2</v>
      </c>
      <c r="D1648" s="486" t="n">
        <v>24</v>
      </c>
      <c r="E1648" s="486" t="n">
        <v>1</v>
      </c>
      <c r="F1648" s="486" t="n">
        <v>1</v>
      </c>
      <c r="G1648" s="475" t="inlineStr">
        <is>
          <t>South-Left1</t>
        </is>
      </c>
      <c r="H1648" s="486" t="n">
        <v>2645.82</v>
      </c>
      <c r="I1648" s="486" t="n">
        <v>89</v>
      </c>
      <c r="J1648" s="486" t="n">
        <v>57</v>
      </c>
      <c r="K1648" s="486" t="n">
        <v>58</v>
      </c>
      <c r="L1648" s="486" t="n">
        <v>3</v>
      </c>
      <c r="M1648" s="487" t="inlineStr">
        <is>
          <t>T</t>
        </is>
      </c>
    </row>
    <row r="1649">
      <c r="A1649" s="486" t="n">
        <v>23</v>
      </c>
      <c r="B1649" s="486" t="n">
        <v>11</v>
      </c>
      <c r="C1649" s="486" t="n">
        <v>2</v>
      </c>
      <c r="D1649" s="486" t="n">
        <v>24</v>
      </c>
      <c r="E1649" s="486" t="n">
        <v>1</v>
      </c>
      <c r="F1649" s="486" t="n">
        <v>1</v>
      </c>
      <c r="G1649" s="486" t="inlineStr">
        <is>
          <t>South-Right1</t>
        </is>
      </c>
      <c r="H1649" s="486" t="n">
        <v>2633.08</v>
      </c>
      <c r="I1649" s="486" t="n">
        <v>89</v>
      </c>
      <c r="J1649" s="486" t="n">
        <v>53</v>
      </c>
      <c r="K1649" s="486" t="n">
        <v>21</v>
      </c>
      <c r="L1649" s="486" t="n">
        <v>3</v>
      </c>
      <c r="M1649" s="487" t="inlineStr">
        <is>
          <t>T</t>
        </is>
      </c>
    </row>
    <row r="1650">
      <c r="A1650" s="486" t="n">
        <v>23</v>
      </c>
      <c r="B1650" s="486" t="n">
        <v>11</v>
      </c>
      <c r="C1650" s="486" t="n">
        <v>2</v>
      </c>
      <c r="D1650" s="486" t="n">
        <v>24</v>
      </c>
      <c r="E1650" s="486" t="n">
        <v>1</v>
      </c>
      <c r="F1650" s="486" t="n">
        <v>1</v>
      </c>
      <c r="G1650" s="486" t="inlineStr">
        <is>
          <t>South-Right2</t>
        </is>
      </c>
      <c r="H1650" s="486" t="n">
        <v>0</v>
      </c>
      <c r="I1650" s="486" t="n">
        <v>0</v>
      </c>
      <c r="J1650" s="486" t="n">
        <v>0</v>
      </c>
      <c r="K1650" s="486" t="n">
        <v>0</v>
      </c>
      <c r="L1650" s="486" t="n">
        <v>0</v>
      </c>
      <c r="M1650" s="487" t="inlineStr">
        <is>
          <t>T</t>
        </is>
      </c>
    </row>
    <row r="1651">
      <c r="A1651" s="486" t="n">
        <v>23</v>
      </c>
      <c r="B1651" s="486" t="n">
        <v>7</v>
      </c>
      <c r="C1651" s="486" t="n">
        <v>2</v>
      </c>
      <c r="D1651" s="486" t="n">
        <v>20</v>
      </c>
      <c r="E1651" s="486" t="n">
        <v>1</v>
      </c>
      <c r="F1651" s="486" t="n">
        <v>1</v>
      </c>
      <c r="G1651" s="486" t="inlineStr">
        <is>
          <t>West-Up2</t>
        </is>
      </c>
      <c r="H1651" s="486" t="n">
        <v>0</v>
      </c>
      <c r="I1651" s="486" t="n">
        <v>0</v>
      </c>
      <c r="J1651" s="486" t="n">
        <v>0</v>
      </c>
      <c r="K1651" s="486" t="n">
        <v>0</v>
      </c>
      <c r="L1651" s="486" t="n">
        <v>0</v>
      </c>
      <c r="M1651" s="487" t="inlineStr">
        <is>
          <t>G</t>
        </is>
      </c>
    </row>
    <row r="1652">
      <c r="A1652" s="486" t="n">
        <v>23</v>
      </c>
      <c r="B1652" s="486" t="n">
        <v>7</v>
      </c>
      <c r="C1652" s="486" t="n">
        <v>2</v>
      </c>
      <c r="D1652" s="486" t="n">
        <v>20</v>
      </c>
      <c r="E1652" s="486" t="n">
        <v>1</v>
      </c>
      <c r="F1652" s="486" t="n">
        <v>1</v>
      </c>
      <c r="G1652" s="475" t="inlineStr">
        <is>
          <t>West-Up1</t>
        </is>
      </c>
      <c r="H1652" s="486" t="n">
        <v>2718.26</v>
      </c>
      <c r="I1652" s="486" t="n">
        <v>2</v>
      </c>
      <c r="J1652" s="486" t="n">
        <v>8</v>
      </c>
      <c r="K1652" s="486" t="n">
        <v>23</v>
      </c>
      <c r="L1652" s="486" t="n">
        <v>4</v>
      </c>
      <c r="M1652" s="487" t="inlineStr">
        <is>
          <t>G</t>
        </is>
      </c>
    </row>
    <row r="1653">
      <c r="A1653" s="486" t="n">
        <v>23</v>
      </c>
      <c r="B1653" s="486" t="n">
        <v>7</v>
      </c>
      <c r="C1653" s="486" t="n">
        <v>2</v>
      </c>
      <c r="D1653" s="486" t="n">
        <v>20</v>
      </c>
      <c r="E1653" s="486" t="n">
        <v>1</v>
      </c>
      <c r="F1653" s="486" t="n">
        <v>1</v>
      </c>
      <c r="G1653" s="486" t="inlineStr">
        <is>
          <t>West-Down1</t>
        </is>
      </c>
      <c r="H1653" s="486" t="n">
        <v>2648.87</v>
      </c>
      <c r="I1653" s="486" t="n">
        <v>1</v>
      </c>
      <c r="J1653" s="486" t="n">
        <v>51</v>
      </c>
      <c r="K1653" s="486" t="n">
        <v>13</v>
      </c>
      <c r="L1653" s="486" t="n">
        <v>4</v>
      </c>
      <c r="M1653" s="487" t="inlineStr">
        <is>
          <t>G</t>
        </is>
      </c>
    </row>
    <row r="1654">
      <c r="A1654" s="486" t="n">
        <v>23</v>
      </c>
      <c r="B1654" s="486" t="n">
        <v>7</v>
      </c>
      <c r="C1654" s="486" t="n">
        <v>2</v>
      </c>
      <c r="D1654" s="486" t="n">
        <v>20</v>
      </c>
      <c r="E1654" s="486" t="n">
        <v>1</v>
      </c>
      <c r="F1654" s="486" t="n">
        <v>1</v>
      </c>
      <c r="G1654" s="486" t="inlineStr">
        <is>
          <t>West-Down2</t>
        </is>
      </c>
      <c r="H1654" s="486" t="n">
        <v>0</v>
      </c>
      <c r="I1654" s="486" t="n">
        <v>0</v>
      </c>
      <c r="J1654" s="486" t="n">
        <v>0</v>
      </c>
      <c r="K1654" s="486" t="n">
        <v>0</v>
      </c>
      <c r="L1654" s="486" t="n">
        <v>0</v>
      </c>
      <c r="M1654" s="487" t="inlineStr">
        <is>
          <t>G</t>
        </is>
      </c>
    </row>
    <row r="1655">
      <c r="A1655" s="486" t="n">
        <v>23</v>
      </c>
      <c r="B1655" s="486" t="n">
        <v>7</v>
      </c>
      <c r="C1655" s="486" t="n">
        <v>2</v>
      </c>
      <c r="D1655" s="486" t="n">
        <v>20</v>
      </c>
      <c r="E1655" s="486" t="n">
        <v>1</v>
      </c>
      <c r="F1655" s="486" t="n">
        <v>1</v>
      </c>
      <c r="G1655" s="486" t="inlineStr">
        <is>
          <t>East-Up2</t>
        </is>
      </c>
      <c r="H1655" s="486" t="n">
        <v>1346.32</v>
      </c>
      <c r="I1655" s="486" t="n">
        <v>3</v>
      </c>
      <c r="J1655" s="486" t="n">
        <v>5</v>
      </c>
      <c r="K1655" s="486" t="n">
        <v>35</v>
      </c>
      <c r="L1655" s="486" t="n">
        <v>4</v>
      </c>
      <c r="M1655" s="487" t="inlineStr">
        <is>
          <t>G</t>
        </is>
      </c>
    </row>
    <row r="1656">
      <c r="A1656" s="486" t="n">
        <v>23</v>
      </c>
      <c r="B1656" s="486" t="n">
        <v>7</v>
      </c>
      <c r="C1656" s="486" t="n">
        <v>2</v>
      </c>
      <c r="D1656" s="486" t="n">
        <v>20</v>
      </c>
      <c r="E1656" s="486" t="n">
        <v>1</v>
      </c>
      <c r="F1656" s="486" t="n">
        <v>1</v>
      </c>
      <c r="G1656" s="475" t="inlineStr">
        <is>
          <t>East-Up1</t>
        </is>
      </c>
      <c r="H1656" s="486" t="n">
        <v>1346.67</v>
      </c>
      <c r="I1656" s="486" t="n">
        <v>3</v>
      </c>
      <c r="J1656" s="486" t="n">
        <v>5</v>
      </c>
      <c r="K1656" s="486" t="n">
        <v>52</v>
      </c>
      <c r="L1656" s="486" t="n">
        <v>4</v>
      </c>
      <c r="M1656" s="487" t="inlineStr">
        <is>
          <t>G</t>
        </is>
      </c>
    </row>
    <row r="1657">
      <c r="A1657" s="486" t="n">
        <v>23</v>
      </c>
      <c r="B1657" s="486" t="n">
        <v>7</v>
      </c>
      <c r="C1657" s="486" t="n">
        <v>2</v>
      </c>
      <c r="D1657" s="486" t="n">
        <v>20</v>
      </c>
      <c r="E1657" s="486" t="n">
        <v>1</v>
      </c>
      <c r="F1657" s="486" t="n">
        <v>1</v>
      </c>
      <c r="G1657" s="486" t="inlineStr">
        <is>
          <t>East-Down1</t>
        </is>
      </c>
      <c r="H1657" s="486" t="n">
        <v>2785.86</v>
      </c>
      <c r="I1657" s="486" t="n">
        <v>2</v>
      </c>
      <c r="J1657" s="486" t="n">
        <v>10</v>
      </c>
      <c r="K1657" s="486" t="n">
        <v>41</v>
      </c>
      <c r="L1657" s="486" t="n">
        <v>4</v>
      </c>
      <c r="M1657" s="487" t="inlineStr">
        <is>
          <t>G</t>
        </is>
      </c>
    </row>
    <row r="1658">
      <c r="A1658" s="486" t="n">
        <v>23</v>
      </c>
      <c r="B1658" s="486" t="n">
        <v>7</v>
      </c>
      <c r="C1658" s="486" t="n">
        <v>2</v>
      </c>
      <c r="D1658" s="486" t="n">
        <v>20</v>
      </c>
      <c r="E1658" s="486" t="n">
        <v>1</v>
      </c>
      <c r="F1658" s="486" t="n">
        <v>1</v>
      </c>
      <c r="G1658" s="486" t="inlineStr">
        <is>
          <t>East-Down2</t>
        </is>
      </c>
      <c r="H1658" s="486" t="n">
        <v>0</v>
      </c>
      <c r="I1658" s="486" t="n">
        <v>0</v>
      </c>
      <c r="J1658" s="486" t="n">
        <v>0</v>
      </c>
      <c r="K1658" s="486" t="n">
        <v>0</v>
      </c>
      <c r="L1658" s="486" t="n">
        <v>0</v>
      </c>
      <c r="M1658" s="487" t="inlineStr">
        <is>
          <t>G</t>
        </is>
      </c>
    </row>
    <row r="1659">
      <c r="A1659" s="486" t="n">
        <v>23</v>
      </c>
      <c r="B1659" s="486" t="n">
        <v>7</v>
      </c>
      <c r="C1659" s="486" t="n">
        <v>2</v>
      </c>
      <c r="D1659" s="486" t="n">
        <v>20</v>
      </c>
      <c r="E1659" s="486" t="n">
        <v>1</v>
      </c>
      <c r="F1659" s="486" t="n">
        <v>1</v>
      </c>
      <c r="G1659" s="486" t="inlineStr">
        <is>
          <t>North-Left2</t>
        </is>
      </c>
      <c r="H1659" s="486" t="n">
        <v>0</v>
      </c>
      <c r="I1659" s="486" t="n">
        <v>0</v>
      </c>
      <c r="J1659" s="486" t="n">
        <v>0</v>
      </c>
      <c r="K1659" s="486" t="n">
        <v>0</v>
      </c>
      <c r="L1659" s="486" t="n">
        <v>0</v>
      </c>
      <c r="M1659" s="487" t="inlineStr">
        <is>
          <t>G</t>
        </is>
      </c>
    </row>
    <row r="1660">
      <c r="A1660" s="486" t="n">
        <v>23</v>
      </c>
      <c r="B1660" s="486" t="n">
        <v>7</v>
      </c>
      <c r="C1660" s="486" t="n">
        <v>2</v>
      </c>
      <c r="D1660" s="486" t="n">
        <v>20</v>
      </c>
      <c r="E1660" s="486" t="n">
        <v>1</v>
      </c>
      <c r="F1660" s="486" t="n">
        <v>1</v>
      </c>
      <c r="G1660" s="475" t="inlineStr">
        <is>
          <t>North-Left1</t>
        </is>
      </c>
      <c r="H1660" s="486" t="n">
        <v>2665.34</v>
      </c>
      <c r="I1660" s="486" t="n">
        <v>88</v>
      </c>
      <c r="J1660" s="486" t="n">
        <v>7</v>
      </c>
      <c r="K1660" s="486" t="n">
        <v>53</v>
      </c>
      <c r="L1660" s="486" t="n">
        <v>3</v>
      </c>
      <c r="M1660" s="487" t="inlineStr">
        <is>
          <t>G</t>
        </is>
      </c>
    </row>
    <row r="1661">
      <c r="A1661" s="486" t="n">
        <v>23</v>
      </c>
      <c r="B1661" s="486" t="n">
        <v>7</v>
      </c>
      <c r="C1661" s="486" t="n">
        <v>2</v>
      </c>
      <c r="D1661" s="486" t="n">
        <v>20</v>
      </c>
      <c r="E1661" s="486" t="n">
        <v>1</v>
      </c>
      <c r="F1661" s="486" t="n">
        <v>1</v>
      </c>
      <c r="G1661" s="486" t="inlineStr">
        <is>
          <t>North-Right1</t>
        </is>
      </c>
      <c r="H1661" s="486" t="n">
        <v>2665.17</v>
      </c>
      <c r="I1661" s="486" t="n">
        <v>88</v>
      </c>
      <c r="J1661" s="486" t="n">
        <v>31</v>
      </c>
      <c r="K1661" s="486" t="n">
        <v>54</v>
      </c>
      <c r="L1661" s="486" t="n">
        <v>3</v>
      </c>
      <c r="M1661" s="487" t="inlineStr">
        <is>
          <t>G</t>
        </is>
      </c>
    </row>
    <row r="1662">
      <c r="A1662" s="486" t="n">
        <v>23</v>
      </c>
      <c r="B1662" s="486" t="n">
        <v>7</v>
      </c>
      <c r="C1662" s="486" t="n">
        <v>2</v>
      </c>
      <c r="D1662" s="486" t="n">
        <v>20</v>
      </c>
      <c r="E1662" s="486" t="n">
        <v>1</v>
      </c>
      <c r="F1662" s="486" t="n">
        <v>1</v>
      </c>
      <c r="G1662" s="486" t="inlineStr">
        <is>
          <t>North-Right2</t>
        </is>
      </c>
      <c r="H1662" s="486" t="n">
        <v>0</v>
      </c>
      <c r="I1662" s="486" t="n">
        <v>0</v>
      </c>
      <c r="J1662" s="486" t="n">
        <v>0</v>
      </c>
      <c r="K1662" s="486" t="n">
        <v>0</v>
      </c>
      <c r="L1662" s="486" t="n">
        <v>0</v>
      </c>
      <c r="M1662" s="487" t="inlineStr">
        <is>
          <t>G</t>
        </is>
      </c>
    </row>
    <row r="1663">
      <c r="A1663" s="486" t="n">
        <v>23</v>
      </c>
      <c r="B1663" s="486" t="n">
        <v>7</v>
      </c>
      <c r="C1663" s="486" t="n">
        <v>2</v>
      </c>
      <c r="D1663" s="486" t="n">
        <v>20</v>
      </c>
      <c r="E1663" s="486" t="n">
        <v>1</v>
      </c>
      <c r="F1663" s="486" t="n">
        <v>1</v>
      </c>
      <c r="G1663" s="486" t="inlineStr">
        <is>
          <t>South-Left2</t>
        </is>
      </c>
      <c r="H1663" s="486" t="n">
        <v>0</v>
      </c>
      <c r="I1663" s="486" t="n">
        <v>0</v>
      </c>
      <c r="J1663" s="486" t="n">
        <v>0</v>
      </c>
      <c r="K1663" s="486" t="n">
        <v>0</v>
      </c>
      <c r="L1663" s="486" t="n">
        <v>0</v>
      </c>
      <c r="M1663" s="487" t="inlineStr">
        <is>
          <t>G</t>
        </is>
      </c>
    </row>
    <row r="1664">
      <c r="A1664" s="486" t="n">
        <v>23</v>
      </c>
      <c r="B1664" s="486" t="n">
        <v>7</v>
      </c>
      <c r="C1664" s="486" t="n">
        <v>2</v>
      </c>
      <c r="D1664" s="486" t="n">
        <v>20</v>
      </c>
      <c r="E1664" s="486" t="n">
        <v>1</v>
      </c>
      <c r="F1664" s="486" t="n">
        <v>1</v>
      </c>
      <c r="G1664" s="475" t="inlineStr">
        <is>
          <t>South-Left1</t>
        </is>
      </c>
      <c r="H1664" s="486" t="n">
        <v>2697.3</v>
      </c>
      <c r="I1664" s="486" t="n">
        <v>89</v>
      </c>
      <c r="J1664" s="486" t="n">
        <v>18</v>
      </c>
      <c r="K1664" s="486" t="n">
        <v>27</v>
      </c>
      <c r="L1664" s="486" t="n">
        <v>3</v>
      </c>
      <c r="M1664" s="487" t="inlineStr">
        <is>
          <t>G</t>
        </is>
      </c>
    </row>
    <row r="1665">
      <c r="A1665" s="486" t="n">
        <v>23</v>
      </c>
      <c r="B1665" s="486" t="n">
        <v>7</v>
      </c>
      <c r="C1665" s="486" t="n">
        <v>2</v>
      </c>
      <c r="D1665" s="486" t="n">
        <v>20</v>
      </c>
      <c r="E1665" s="486" t="n">
        <v>1</v>
      </c>
      <c r="F1665" s="486" t="n">
        <v>1</v>
      </c>
      <c r="G1665" s="486" t="inlineStr">
        <is>
          <t>South-Right1</t>
        </is>
      </c>
      <c r="H1665" s="486" t="n">
        <v>2695.26</v>
      </c>
      <c r="I1665" s="486" t="n">
        <v>89</v>
      </c>
      <c r="J1665" s="486" t="n">
        <v>42</v>
      </c>
      <c r="K1665" s="486" t="n">
        <v>43</v>
      </c>
      <c r="L1665" s="486" t="n">
        <v>3</v>
      </c>
      <c r="M1665" s="487" t="inlineStr">
        <is>
          <t>G</t>
        </is>
      </c>
    </row>
    <row r="1666">
      <c r="A1666" s="486" t="n">
        <v>23</v>
      </c>
      <c r="B1666" s="486" t="n">
        <v>7</v>
      </c>
      <c r="C1666" s="486" t="n">
        <v>2</v>
      </c>
      <c r="D1666" s="486" t="n">
        <v>20</v>
      </c>
      <c r="E1666" s="486" t="n">
        <v>1</v>
      </c>
      <c r="F1666" s="486" t="n">
        <v>1</v>
      </c>
      <c r="G1666" s="486" t="inlineStr">
        <is>
          <t>South-Right2</t>
        </is>
      </c>
      <c r="H1666" s="486" t="n">
        <v>0</v>
      </c>
      <c r="I1666" s="486" t="n">
        <v>0</v>
      </c>
      <c r="J1666" s="486" t="n">
        <v>0</v>
      </c>
      <c r="K1666" s="486" t="n">
        <v>0</v>
      </c>
      <c r="L1666" s="486" t="n">
        <v>0</v>
      </c>
      <c r="M1666" s="487" t="inlineStr">
        <is>
          <t>G</t>
        </is>
      </c>
    </row>
    <row r="1667">
      <c r="A1667" s="486" t="n">
        <v>23</v>
      </c>
      <c r="B1667" s="486" t="n">
        <v>2</v>
      </c>
      <c r="C1667" s="486" t="n">
        <v>2</v>
      </c>
      <c r="D1667" s="486" t="n">
        <v>3</v>
      </c>
      <c r="E1667" s="486" t="n">
        <v>2</v>
      </c>
      <c r="F1667" s="486" t="n">
        <v>2</v>
      </c>
      <c r="G1667" s="486" t="inlineStr">
        <is>
          <t>West-Up2</t>
        </is>
      </c>
      <c r="H1667" s="486" t="n">
        <v>0</v>
      </c>
      <c r="I1667" s="486" t="n">
        <v>0</v>
      </c>
      <c r="J1667" s="486" t="n">
        <v>0</v>
      </c>
      <c r="K1667" s="486" t="n">
        <v>0</v>
      </c>
      <c r="L1667" s="486" t="n">
        <v>0</v>
      </c>
      <c r="M1667" s="487" t="inlineStr">
        <is>
          <t>T</t>
        </is>
      </c>
    </row>
    <row r="1668">
      <c r="A1668" s="486" t="n">
        <v>23</v>
      </c>
      <c r="B1668" s="486" t="n">
        <v>2</v>
      </c>
      <c r="C1668" s="486" t="n">
        <v>2</v>
      </c>
      <c r="D1668" s="486" t="n">
        <v>3</v>
      </c>
      <c r="E1668" s="486" t="n">
        <v>2</v>
      </c>
      <c r="F1668" s="486" t="n">
        <v>2</v>
      </c>
      <c r="G1668" s="475" t="inlineStr">
        <is>
          <t>West-Up1</t>
        </is>
      </c>
      <c r="H1668" s="486" t="n">
        <v>2642.21</v>
      </c>
      <c r="I1668" s="486" t="n">
        <v>1</v>
      </c>
      <c r="J1668" s="486" t="n">
        <v>44</v>
      </c>
      <c r="K1668" s="486" t="n">
        <v>30</v>
      </c>
      <c r="L1668" s="486" t="n">
        <v>2</v>
      </c>
      <c r="M1668" s="487" t="inlineStr">
        <is>
          <t>T</t>
        </is>
      </c>
    </row>
    <row r="1669">
      <c r="A1669" s="486" t="n">
        <v>23</v>
      </c>
      <c r="B1669" s="486" t="n">
        <v>2</v>
      </c>
      <c r="C1669" s="486" t="n">
        <v>2</v>
      </c>
      <c r="D1669" s="486" t="n">
        <v>3</v>
      </c>
      <c r="E1669" s="486" t="n">
        <v>2</v>
      </c>
      <c r="F1669" s="486" t="n">
        <v>2</v>
      </c>
      <c r="G1669" s="486" t="inlineStr">
        <is>
          <t>West-Down1</t>
        </is>
      </c>
      <c r="H1669" s="486" t="n">
        <v>2612.7</v>
      </c>
      <c r="I1669" s="486" t="n">
        <v>0</v>
      </c>
      <c r="J1669" s="486" t="n">
        <v>2</v>
      </c>
      <c r="K1669" s="486" t="n">
        <v>28</v>
      </c>
      <c r="L1669" s="486" t="n">
        <v>2</v>
      </c>
      <c r="M1669" s="487" t="inlineStr">
        <is>
          <t>T</t>
        </is>
      </c>
    </row>
    <row r="1670">
      <c r="A1670" s="486" t="n">
        <v>23</v>
      </c>
      <c r="B1670" s="486" t="n">
        <v>2</v>
      </c>
      <c r="C1670" s="486" t="n">
        <v>2</v>
      </c>
      <c r="D1670" s="486" t="n">
        <v>3</v>
      </c>
      <c r="E1670" s="486" t="n">
        <v>2</v>
      </c>
      <c r="F1670" s="486" t="n">
        <v>2</v>
      </c>
      <c r="G1670" s="486" t="inlineStr">
        <is>
          <t>West-Down2</t>
        </is>
      </c>
      <c r="H1670" s="486" t="n">
        <v>0</v>
      </c>
      <c r="I1670" s="486" t="n">
        <v>0</v>
      </c>
      <c r="J1670" s="486" t="n">
        <v>0</v>
      </c>
      <c r="K1670" s="486" t="n">
        <v>0</v>
      </c>
      <c r="L1670" s="486" t="n">
        <v>0</v>
      </c>
      <c r="M1670" s="487" t="inlineStr">
        <is>
          <t>T</t>
        </is>
      </c>
    </row>
    <row r="1671">
      <c r="A1671" s="486" t="n">
        <v>23</v>
      </c>
      <c r="B1671" s="486" t="n">
        <v>2</v>
      </c>
      <c r="C1671" s="486" t="n">
        <v>2</v>
      </c>
      <c r="D1671" s="486" t="n">
        <v>3</v>
      </c>
      <c r="E1671" s="486" t="n">
        <v>2</v>
      </c>
      <c r="F1671" s="486" t="n">
        <v>2</v>
      </c>
      <c r="G1671" s="486" t="inlineStr">
        <is>
          <t>East-Up2</t>
        </is>
      </c>
      <c r="H1671" s="486" t="n">
        <v>0</v>
      </c>
      <c r="I1671" s="486" t="n">
        <v>0</v>
      </c>
      <c r="J1671" s="486" t="n">
        <v>0</v>
      </c>
      <c r="K1671" s="486" t="n">
        <v>0</v>
      </c>
      <c r="L1671" s="486" t="n">
        <v>0</v>
      </c>
      <c r="M1671" s="487" t="inlineStr">
        <is>
          <t>T</t>
        </is>
      </c>
    </row>
    <row r="1672">
      <c r="A1672" s="486" t="n">
        <v>23</v>
      </c>
      <c r="B1672" s="486" t="n">
        <v>2</v>
      </c>
      <c r="C1672" s="486" t="n">
        <v>2</v>
      </c>
      <c r="D1672" s="486" t="n">
        <v>3</v>
      </c>
      <c r="E1672" s="486" t="n">
        <v>2</v>
      </c>
      <c r="F1672" s="486" t="n">
        <v>2</v>
      </c>
      <c r="G1672" s="475" t="inlineStr">
        <is>
          <t>East-Up1</t>
        </is>
      </c>
      <c r="H1672" s="486" t="n">
        <v>2664.25</v>
      </c>
      <c r="I1672" s="486" t="n">
        <v>0</v>
      </c>
      <c r="J1672" s="486" t="n">
        <v>51</v>
      </c>
      <c r="K1672" s="486" t="n">
        <v>52</v>
      </c>
      <c r="L1672" s="486" t="n">
        <v>2</v>
      </c>
      <c r="M1672" s="487" t="inlineStr">
        <is>
          <t>T</t>
        </is>
      </c>
    </row>
    <row r="1673">
      <c r="A1673" s="486" t="n">
        <v>23</v>
      </c>
      <c r="B1673" s="486" t="n">
        <v>2</v>
      </c>
      <c r="C1673" s="486" t="n">
        <v>2</v>
      </c>
      <c r="D1673" s="486" t="n">
        <v>3</v>
      </c>
      <c r="E1673" s="486" t="n">
        <v>2</v>
      </c>
      <c r="F1673" s="486" t="n">
        <v>2</v>
      </c>
      <c r="G1673" s="486" t="inlineStr">
        <is>
          <t>East-Down1</t>
        </is>
      </c>
      <c r="H1673" s="486" t="n">
        <v>2664.45</v>
      </c>
      <c r="I1673" s="486" t="n">
        <v>0</v>
      </c>
      <c r="J1673" s="486" t="n">
        <v>51</v>
      </c>
      <c r="K1673" s="486" t="n">
        <v>55</v>
      </c>
      <c r="L1673" s="486" t="n">
        <v>2</v>
      </c>
      <c r="M1673" s="487" t="inlineStr">
        <is>
          <t>T</t>
        </is>
      </c>
    </row>
    <row r="1674">
      <c r="A1674" s="486" t="n">
        <v>23</v>
      </c>
      <c r="B1674" s="486" t="n">
        <v>2</v>
      </c>
      <c r="C1674" s="486" t="n">
        <v>2</v>
      </c>
      <c r="D1674" s="486" t="n">
        <v>3</v>
      </c>
      <c r="E1674" s="486" t="n">
        <v>2</v>
      </c>
      <c r="F1674" s="486" t="n">
        <v>2</v>
      </c>
      <c r="G1674" s="486" t="inlineStr">
        <is>
          <t>East-Down2</t>
        </is>
      </c>
      <c r="H1674" s="486" t="n">
        <v>0</v>
      </c>
      <c r="I1674" s="486" t="n">
        <v>0</v>
      </c>
      <c r="J1674" s="486" t="n">
        <v>0</v>
      </c>
      <c r="K1674" s="486" t="n">
        <v>0</v>
      </c>
      <c r="L1674" s="486" t="n">
        <v>0</v>
      </c>
      <c r="M1674" s="487" t="inlineStr">
        <is>
          <t>T</t>
        </is>
      </c>
    </row>
    <row r="1675">
      <c r="A1675" s="486" t="n">
        <v>23</v>
      </c>
      <c r="B1675" s="486" t="n">
        <v>2</v>
      </c>
      <c r="C1675" s="486" t="n">
        <v>2</v>
      </c>
      <c r="D1675" s="486" t="n">
        <v>3</v>
      </c>
      <c r="E1675" s="486" t="n">
        <v>2</v>
      </c>
      <c r="F1675" s="486" t="n">
        <v>2</v>
      </c>
      <c r="G1675" s="486" t="inlineStr">
        <is>
          <t>North-Left2</t>
        </is>
      </c>
      <c r="H1675" s="486" t="n">
        <v>0</v>
      </c>
      <c r="I1675" s="486" t="n">
        <v>0</v>
      </c>
      <c r="J1675" s="486" t="n">
        <v>0</v>
      </c>
      <c r="K1675" s="486" t="n">
        <v>0</v>
      </c>
      <c r="L1675" s="486" t="n">
        <v>0</v>
      </c>
      <c r="M1675" s="487" t="inlineStr">
        <is>
          <t>T</t>
        </is>
      </c>
    </row>
    <row r="1676">
      <c r="A1676" s="486" t="n">
        <v>23</v>
      </c>
      <c r="B1676" s="486" t="n">
        <v>2</v>
      </c>
      <c r="C1676" s="486" t="n">
        <v>2</v>
      </c>
      <c r="D1676" s="486" t="n">
        <v>3</v>
      </c>
      <c r="E1676" s="486" t="n">
        <v>2</v>
      </c>
      <c r="F1676" s="486" t="n">
        <v>2</v>
      </c>
      <c r="G1676" s="475" t="inlineStr">
        <is>
          <t>North-Left1</t>
        </is>
      </c>
      <c r="H1676" s="486" t="n">
        <v>2640.79</v>
      </c>
      <c r="I1676" s="486" t="n">
        <v>89</v>
      </c>
      <c r="J1676" s="486" t="n">
        <v>56</v>
      </c>
      <c r="K1676" s="486" t="n">
        <v>28</v>
      </c>
      <c r="L1676" s="486" t="n">
        <v>4</v>
      </c>
      <c r="M1676" s="487" t="inlineStr">
        <is>
          <t>T</t>
        </is>
      </c>
    </row>
    <row r="1677">
      <c r="A1677" s="486" t="n">
        <v>23</v>
      </c>
      <c r="B1677" s="486" t="n">
        <v>2</v>
      </c>
      <c r="C1677" s="486" t="n">
        <v>2</v>
      </c>
      <c r="D1677" s="486" t="n">
        <v>3</v>
      </c>
      <c r="E1677" s="486" t="n">
        <v>2</v>
      </c>
      <c r="F1677" s="486" t="n">
        <v>2</v>
      </c>
      <c r="G1677" s="486" t="inlineStr">
        <is>
          <t>North-Right1</t>
        </is>
      </c>
      <c r="H1677" s="486" t="n">
        <v>2645.63</v>
      </c>
      <c r="I1677" s="486" t="n">
        <v>89</v>
      </c>
      <c r="J1677" s="486" t="n">
        <v>18</v>
      </c>
      <c r="K1677" s="486" t="n">
        <v>29</v>
      </c>
      <c r="L1677" s="486" t="n">
        <v>3</v>
      </c>
      <c r="M1677" s="487" t="inlineStr">
        <is>
          <t>T</t>
        </is>
      </c>
    </row>
    <row r="1678">
      <c r="A1678" s="486" t="n">
        <v>23</v>
      </c>
      <c r="B1678" s="486" t="n">
        <v>2</v>
      </c>
      <c r="C1678" s="486" t="n">
        <v>2</v>
      </c>
      <c r="D1678" s="486" t="n">
        <v>3</v>
      </c>
      <c r="E1678" s="486" t="n">
        <v>2</v>
      </c>
      <c r="F1678" s="486" t="n">
        <v>2</v>
      </c>
      <c r="G1678" s="486" t="inlineStr">
        <is>
          <t>North-Right2</t>
        </is>
      </c>
      <c r="H1678" s="486" t="n">
        <v>0</v>
      </c>
      <c r="I1678" s="486" t="n">
        <v>0</v>
      </c>
      <c r="J1678" s="486" t="n">
        <v>0</v>
      </c>
      <c r="K1678" s="486" t="n">
        <v>0</v>
      </c>
      <c r="L1678" s="486" t="n">
        <v>0</v>
      </c>
      <c r="M1678" s="487" t="inlineStr">
        <is>
          <t>T</t>
        </is>
      </c>
    </row>
    <row r="1679">
      <c r="A1679" s="486" t="n">
        <v>23</v>
      </c>
      <c r="B1679" s="486" t="n">
        <v>2</v>
      </c>
      <c r="C1679" s="486" t="n">
        <v>2</v>
      </c>
      <c r="D1679" s="486" t="n">
        <v>3</v>
      </c>
      <c r="E1679" s="486" t="n">
        <v>2</v>
      </c>
      <c r="F1679" s="486" t="n">
        <v>2</v>
      </c>
      <c r="G1679" s="486" t="inlineStr">
        <is>
          <t>South-Left2</t>
        </is>
      </c>
      <c r="H1679" s="486" t="n">
        <v>0</v>
      </c>
      <c r="I1679" s="486" t="n">
        <v>0</v>
      </c>
      <c r="J1679" s="486" t="n">
        <v>0</v>
      </c>
      <c r="K1679" s="486" t="n">
        <v>0</v>
      </c>
      <c r="L1679" s="486" t="n">
        <v>0</v>
      </c>
      <c r="M1679" s="487" t="inlineStr">
        <is>
          <t>T</t>
        </is>
      </c>
    </row>
    <row r="1680">
      <c r="A1680" s="486" t="n">
        <v>23</v>
      </c>
      <c r="B1680" s="486" t="n">
        <v>2</v>
      </c>
      <c r="C1680" s="486" t="n">
        <v>2</v>
      </c>
      <c r="D1680" s="486" t="n">
        <v>3</v>
      </c>
      <c r="E1680" s="486" t="n">
        <v>2</v>
      </c>
      <c r="F1680" s="486" t="n">
        <v>2</v>
      </c>
      <c r="G1680" s="475" t="inlineStr">
        <is>
          <t>South-Left1</t>
        </is>
      </c>
      <c r="H1680" s="486" t="n">
        <v>2643.95</v>
      </c>
      <c r="I1680" s="486" t="n">
        <v>89</v>
      </c>
      <c r="J1680" s="486" t="n">
        <v>30</v>
      </c>
      <c r="K1680" s="486" t="n">
        <v>42</v>
      </c>
      <c r="L1680" s="486" t="n">
        <v>4</v>
      </c>
      <c r="M1680" s="487" t="inlineStr">
        <is>
          <t>T</t>
        </is>
      </c>
    </row>
    <row r="1681">
      <c r="A1681" s="486" t="n">
        <v>23</v>
      </c>
      <c r="B1681" s="486" t="n">
        <v>2</v>
      </c>
      <c r="C1681" s="486" t="n">
        <v>2</v>
      </c>
      <c r="D1681" s="486" t="n">
        <v>3</v>
      </c>
      <c r="E1681" s="486" t="n">
        <v>2</v>
      </c>
      <c r="F1681" s="486" t="n">
        <v>2</v>
      </c>
      <c r="G1681" s="486" t="inlineStr">
        <is>
          <t>South-Right1</t>
        </is>
      </c>
      <c r="H1681" s="486" t="n">
        <v>2644.23</v>
      </c>
      <c r="I1681" s="486" t="n">
        <v>89</v>
      </c>
      <c r="J1681" s="486" t="n">
        <v>30</v>
      </c>
      <c r="K1681" s="486" t="n">
        <v>34</v>
      </c>
      <c r="L1681" s="486" t="n">
        <v>4</v>
      </c>
      <c r="M1681" s="487" t="inlineStr">
        <is>
          <t>T</t>
        </is>
      </c>
    </row>
    <row r="1682">
      <c r="A1682" s="486" t="n">
        <v>23</v>
      </c>
      <c r="B1682" s="486" t="n">
        <v>2</v>
      </c>
      <c r="C1682" s="486" t="n">
        <v>2</v>
      </c>
      <c r="D1682" s="486" t="n">
        <v>3</v>
      </c>
      <c r="E1682" s="486" t="n">
        <v>2</v>
      </c>
      <c r="F1682" s="486" t="n">
        <v>2</v>
      </c>
      <c r="G1682" s="486" t="inlineStr">
        <is>
          <t>South-Right2</t>
        </is>
      </c>
      <c r="H1682" s="486" t="n">
        <v>0</v>
      </c>
      <c r="I1682" s="486" t="n">
        <v>0</v>
      </c>
      <c r="J1682" s="486" t="n">
        <v>0</v>
      </c>
      <c r="K1682" s="486" t="n">
        <v>0</v>
      </c>
      <c r="L1682" s="486" t="n">
        <v>0</v>
      </c>
      <c r="M1682" s="487" t="inlineStr">
        <is>
          <t>T</t>
        </is>
      </c>
    </row>
    <row r="1683">
      <c r="A1683" s="486" t="n">
        <v>23</v>
      </c>
      <c r="B1683" s="486" t="n">
        <v>3</v>
      </c>
      <c r="C1683" s="486" t="n">
        <v>2</v>
      </c>
      <c r="D1683" s="486" t="n">
        <v>2</v>
      </c>
      <c r="E1683" s="486" t="n">
        <v>2</v>
      </c>
      <c r="F1683" s="486" t="n">
        <v>2</v>
      </c>
      <c r="G1683" s="486" t="inlineStr">
        <is>
          <t>West-Up2</t>
        </is>
      </c>
      <c r="H1683" s="486" t="n">
        <v>1325.32</v>
      </c>
      <c r="I1683" s="486" t="n">
        <v>0</v>
      </c>
      <c r="J1683" s="486" t="n">
        <v>16</v>
      </c>
      <c r="K1683" s="486" t="n">
        <v>15</v>
      </c>
      <c r="L1683" s="486" t="n">
        <v>4</v>
      </c>
      <c r="M1683" s="487" t="inlineStr">
        <is>
          <t>T</t>
        </is>
      </c>
    </row>
    <row r="1684">
      <c r="A1684" s="486" t="n">
        <v>23</v>
      </c>
      <c r="B1684" s="486" t="n">
        <v>3</v>
      </c>
      <c r="C1684" s="486" t="n">
        <v>2</v>
      </c>
      <c r="D1684" s="486" t="n">
        <v>2</v>
      </c>
      <c r="E1684" s="486" t="n">
        <v>2</v>
      </c>
      <c r="F1684" s="486" t="n">
        <v>2</v>
      </c>
      <c r="G1684" s="475" t="inlineStr">
        <is>
          <t>West-Up1</t>
        </is>
      </c>
      <c r="H1684" s="486" t="n">
        <v>1326.27</v>
      </c>
      <c r="I1684" s="486" t="n">
        <v>0</v>
      </c>
      <c r="J1684" s="486" t="n">
        <v>0</v>
      </c>
      <c r="K1684" s="486" t="n">
        <v>8</v>
      </c>
      <c r="L1684" s="486" t="n">
        <v>4</v>
      </c>
      <c r="M1684" s="487" t="inlineStr">
        <is>
          <t>T</t>
        </is>
      </c>
    </row>
    <row r="1685">
      <c r="A1685" s="486" t="n">
        <v>23</v>
      </c>
      <c r="B1685" s="486" t="n">
        <v>3</v>
      </c>
      <c r="C1685" s="486" t="n">
        <v>2</v>
      </c>
      <c r="D1685" s="486" t="n">
        <v>2</v>
      </c>
      <c r="E1685" s="486" t="n">
        <v>2</v>
      </c>
      <c r="F1685" s="486" t="n">
        <v>2</v>
      </c>
      <c r="G1685" s="486" t="inlineStr">
        <is>
          <t>West-Down1</t>
        </is>
      </c>
      <c r="H1685" s="486" t="n">
        <v>1326.27</v>
      </c>
      <c r="I1685" s="486" t="n">
        <v>0</v>
      </c>
      <c r="J1685" s="486" t="n">
        <v>14</v>
      </c>
      <c r="K1685" s="486" t="n">
        <v>8</v>
      </c>
      <c r="L1685" s="486" t="n">
        <v>4</v>
      </c>
      <c r="M1685" s="487" t="inlineStr">
        <is>
          <t>T</t>
        </is>
      </c>
    </row>
    <row r="1686">
      <c r="A1686" s="486" t="n">
        <v>23</v>
      </c>
      <c r="B1686" s="486" t="n">
        <v>3</v>
      </c>
      <c r="C1686" s="486" t="n">
        <v>2</v>
      </c>
      <c r="D1686" s="486" t="n">
        <v>2</v>
      </c>
      <c r="E1686" s="486" t="n">
        <v>2</v>
      </c>
      <c r="F1686" s="486" t="n">
        <v>2</v>
      </c>
      <c r="G1686" s="486" t="inlineStr">
        <is>
          <t>West-Down2</t>
        </is>
      </c>
      <c r="H1686" s="486" t="n">
        <v>1326.27</v>
      </c>
      <c r="I1686" s="486" t="n">
        <v>0</v>
      </c>
      <c r="J1686" s="486" t="n">
        <v>0</v>
      </c>
      <c r="K1686" s="486" t="n">
        <v>8</v>
      </c>
      <c r="L1686" s="486" t="n">
        <v>4</v>
      </c>
      <c r="M1686" s="487" t="inlineStr">
        <is>
          <t>T</t>
        </is>
      </c>
    </row>
    <row r="1687">
      <c r="A1687" s="486" t="n">
        <v>23</v>
      </c>
      <c r="B1687" s="486" t="n">
        <v>3</v>
      </c>
      <c r="C1687" s="486" t="n">
        <v>2</v>
      </c>
      <c r="D1687" s="486" t="n">
        <v>2</v>
      </c>
      <c r="E1687" s="486" t="n">
        <v>2</v>
      </c>
      <c r="F1687" s="486" t="n">
        <v>2</v>
      </c>
      <c r="G1687" s="486" t="inlineStr">
        <is>
          <t>East-Up2</t>
        </is>
      </c>
      <c r="H1687" s="486" t="n">
        <v>1321.75</v>
      </c>
      <c r="I1687" s="486" t="n">
        <v>0</v>
      </c>
      <c r="J1687" s="486" t="n">
        <v>10</v>
      </c>
      <c r="K1687" s="486" t="n">
        <v>46</v>
      </c>
      <c r="L1687" s="486" t="n">
        <v>2</v>
      </c>
      <c r="M1687" s="487" t="inlineStr">
        <is>
          <t>T</t>
        </is>
      </c>
    </row>
    <row r="1688">
      <c r="A1688" s="486" t="n">
        <v>23</v>
      </c>
      <c r="B1688" s="486" t="n">
        <v>3</v>
      </c>
      <c r="C1688" s="486" t="n">
        <v>2</v>
      </c>
      <c r="D1688" s="486" t="n">
        <v>2</v>
      </c>
      <c r="E1688" s="486" t="n">
        <v>2</v>
      </c>
      <c r="F1688" s="486" t="n">
        <v>2</v>
      </c>
      <c r="G1688" s="475" t="inlineStr">
        <is>
          <t>East-Up1</t>
        </is>
      </c>
      <c r="H1688" s="486" t="n">
        <v>1323.545</v>
      </c>
      <c r="I1688" s="486" t="n">
        <v>0</v>
      </c>
      <c r="J1688" s="486" t="n">
        <v>15</v>
      </c>
      <c r="K1688" s="486" t="n">
        <v>37</v>
      </c>
      <c r="L1688" s="486" t="n">
        <v>2</v>
      </c>
      <c r="M1688" s="487" t="inlineStr">
        <is>
          <t>T</t>
        </is>
      </c>
    </row>
    <row r="1689">
      <c r="A1689" s="486" t="n">
        <v>23</v>
      </c>
      <c r="B1689" s="486" t="n">
        <v>3</v>
      </c>
      <c r="C1689" s="486" t="n">
        <v>2</v>
      </c>
      <c r="D1689" s="486" t="n">
        <v>2</v>
      </c>
      <c r="E1689" s="486" t="n">
        <v>2</v>
      </c>
      <c r="F1689" s="486" t="n">
        <v>2</v>
      </c>
      <c r="G1689" s="486" t="inlineStr">
        <is>
          <t>East-Down1</t>
        </is>
      </c>
      <c r="H1689" s="486" t="n">
        <v>1323.545</v>
      </c>
      <c r="I1689" s="486" t="n">
        <v>0</v>
      </c>
      <c r="J1689" s="486" t="n">
        <v>15</v>
      </c>
      <c r="K1689" s="486" t="n">
        <v>37</v>
      </c>
      <c r="L1689" s="486" t="n">
        <v>2</v>
      </c>
      <c r="M1689" s="487" t="inlineStr">
        <is>
          <t>T</t>
        </is>
      </c>
    </row>
    <row r="1690">
      <c r="A1690" s="486" t="n">
        <v>23</v>
      </c>
      <c r="B1690" s="486" t="n">
        <v>3</v>
      </c>
      <c r="C1690" s="486" t="n">
        <v>2</v>
      </c>
      <c r="D1690" s="486" t="n">
        <v>2</v>
      </c>
      <c r="E1690" s="486" t="n">
        <v>2</v>
      </c>
      <c r="F1690" s="486" t="n">
        <v>2</v>
      </c>
      <c r="G1690" s="486" t="inlineStr">
        <is>
          <t>East-Down2</t>
        </is>
      </c>
      <c r="H1690" s="486" t="n">
        <v>1322.8</v>
      </c>
      <c r="I1690" s="486" t="n">
        <v>0</v>
      </c>
      <c r="J1690" s="486" t="n">
        <v>1</v>
      </c>
      <c r="K1690" s="486" t="n">
        <v>17</v>
      </c>
      <c r="L1690" s="486" t="n">
        <v>2</v>
      </c>
      <c r="M1690" s="487" t="inlineStr">
        <is>
          <t>T</t>
        </is>
      </c>
    </row>
    <row r="1691">
      <c r="A1691" s="486" t="n">
        <v>23</v>
      </c>
      <c r="B1691" s="486" t="n">
        <v>3</v>
      </c>
      <c r="C1691" s="486" t="n">
        <v>2</v>
      </c>
      <c r="D1691" s="486" t="n">
        <v>2</v>
      </c>
      <c r="E1691" s="486" t="n">
        <v>2</v>
      </c>
      <c r="F1691" s="486" t="n">
        <v>2</v>
      </c>
      <c r="G1691" s="486" t="inlineStr">
        <is>
          <t>North-Left2</t>
        </is>
      </c>
      <c r="H1691" s="486" t="n">
        <v>1309.615</v>
      </c>
      <c r="I1691" s="486" t="n">
        <v>89</v>
      </c>
      <c r="J1691" s="486" t="n">
        <v>57</v>
      </c>
      <c r="K1691" s="486" t="n">
        <v>44</v>
      </c>
      <c r="L1691" s="486" t="n">
        <v>4</v>
      </c>
      <c r="M1691" s="487" t="inlineStr">
        <is>
          <t>T</t>
        </is>
      </c>
    </row>
    <row r="1692">
      <c r="A1692" s="486" t="n">
        <v>23</v>
      </c>
      <c r="B1692" s="486" t="n">
        <v>3</v>
      </c>
      <c r="C1692" s="486" t="n">
        <v>2</v>
      </c>
      <c r="D1692" s="486" t="n">
        <v>2</v>
      </c>
      <c r="E1692" s="486" t="n">
        <v>2</v>
      </c>
      <c r="F1692" s="486" t="n">
        <v>2</v>
      </c>
      <c r="G1692" s="475" t="inlineStr">
        <is>
          <t>North-Left1</t>
        </is>
      </c>
      <c r="H1692" s="486" t="n">
        <v>1309.615</v>
      </c>
      <c r="I1692" s="486" t="n">
        <v>89</v>
      </c>
      <c r="J1692" s="486" t="n">
        <v>57</v>
      </c>
      <c r="K1692" s="486" t="n">
        <v>44</v>
      </c>
      <c r="L1692" s="486" t="n">
        <v>4</v>
      </c>
      <c r="M1692" s="487" t="inlineStr">
        <is>
          <t>T</t>
        </is>
      </c>
    </row>
    <row r="1693">
      <c r="A1693" s="486" t="n">
        <v>23</v>
      </c>
      <c r="B1693" s="486" t="n">
        <v>3</v>
      </c>
      <c r="C1693" s="486" t="n">
        <v>2</v>
      </c>
      <c r="D1693" s="486" t="n">
        <v>2</v>
      </c>
      <c r="E1693" s="486" t="n">
        <v>2</v>
      </c>
      <c r="F1693" s="486" t="n">
        <v>2</v>
      </c>
      <c r="G1693" s="486" t="inlineStr">
        <is>
          <t>North-Right1</t>
        </is>
      </c>
      <c r="H1693" s="486" t="n">
        <v>1309.61</v>
      </c>
      <c r="I1693" s="486" t="n">
        <v>89</v>
      </c>
      <c r="J1693" s="486" t="n">
        <v>58</v>
      </c>
      <c r="K1693" s="486" t="n">
        <v>3</v>
      </c>
      <c r="L1693" s="486" t="n">
        <v>4</v>
      </c>
      <c r="M1693" s="487" t="inlineStr">
        <is>
          <t>T</t>
        </is>
      </c>
    </row>
    <row r="1694">
      <c r="A1694" s="486" t="n">
        <v>23</v>
      </c>
      <c r="B1694" s="486" t="n">
        <v>3</v>
      </c>
      <c r="C1694" s="486" t="n">
        <v>2</v>
      </c>
      <c r="D1694" s="486" t="n">
        <v>2</v>
      </c>
      <c r="E1694" s="486" t="n">
        <v>2</v>
      </c>
      <c r="F1694" s="486" t="n">
        <v>2</v>
      </c>
      <c r="G1694" s="486" t="inlineStr">
        <is>
          <t>North-Right2</t>
        </is>
      </c>
      <c r="H1694" s="486" t="n">
        <v>1309.89</v>
      </c>
      <c r="I1694" s="486" t="n">
        <v>89</v>
      </c>
      <c r="J1694" s="486" t="n">
        <v>57</v>
      </c>
      <c r="K1694" s="486" t="n">
        <v>38</v>
      </c>
      <c r="L1694" s="486" t="n">
        <v>4</v>
      </c>
      <c r="M1694" s="487" t="inlineStr">
        <is>
          <t>T</t>
        </is>
      </c>
    </row>
    <row r="1695">
      <c r="A1695" s="486" t="n">
        <v>23</v>
      </c>
      <c r="B1695" s="486" t="n">
        <v>3</v>
      </c>
      <c r="C1695" s="486" t="n">
        <v>2</v>
      </c>
      <c r="D1695" s="486" t="n">
        <v>2</v>
      </c>
      <c r="E1695" s="486" t="n">
        <v>2</v>
      </c>
      <c r="F1695" s="486" t="n">
        <v>2</v>
      </c>
      <c r="G1695" s="486" t="inlineStr">
        <is>
          <t>South-Left2</t>
        </is>
      </c>
      <c r="H1695" s="486" t="n">
        <v>0</v>
      </c>
      <c r="I1695" s="486" t="n">
        <v>0</v>
      </c>
      <c r="J1695" s="486" t="n">
        <v>0</v>
      </c>
      <c r="K1695" s="486" t="n">
        <v>0</v>
      </c>
      <c r="L1695" s="486" t="n">
        <v>0</v>
      </c>
      <c r="M1695" s="487" t="inlineStr">
        <is>
          <t>T</t>
        </is>
      </c>
    </row>
    <row r="1696">
      <c r="A1696" s="486" t="n">
        <v>23</v>
      </c>
      <c r="B1696" s="486" t="n">
        <v>3</v>
      </c>
      <c r="C1696" s="486" t="n">
        <v>2</v>
      </c>
      <c r="D1696" s="486" t="n">
        <v>2</v>
      </c>
      <c r="E1696" s="486" t="n">
        <v>2</v>
      </c>
      <c r="F1696" s="486" t="n">
        <v>2</v>
      </c>
      <c r="G1696" s="475" t="inlineStr">
        <is>
          <t>South-Left1</t>
        </is>
      </c>
      <c r="H1696" s="486" t="n">
        <v>2614.1</v>
      </c>
      <c r="I1696" s="486" t="n">
        <v>89</v>
      </c>
      <c r="J1696" s="486" t="n">
        <v>45</v>
      </c>
      <c r="K1696" s="486" t="n">
        <v>21</v>
      </c>
      <c r="L1696" s="486" t="n">
        <v>4</v>
      </c>
      <c r="M1696" s="487" t="inlineStr">
        <is>
          <t>T</t>
        </is>
      </c>
    </row>
    <row r="1697">
      <c r="A1697" s="486" t="n">
        <v>23</v>
      </c>
      <c r="B1697" s="486" t="n">
        <v>3</v>
      </c>
      <c r="C1697" s="486" t="n">
        <v>2</v>
      </c>
      <c r="D1697" s="486" t="n">
        <v>2</v>
      </c>
      <c r="E1697" s="486" t="n">
        <v>2</v>
      </c>
      <c r="F1697" s="486" t="n">
        <v>2</v>
      </c>
      <c r="G1697" s="486" t="inlineStr">
        <is>
          <t>South-Right1</t>
        </is>
      </c>
      <c r="H1697" s="486" t="n">
        <v>1300</v>
      </c>
      <c r="I1697" s="486" t="n">
        <v>89</v>
      </c>
      <c r="J1697" s="486" t="n">
        <v>45</v>
      </c>
      <c r="K1697" s="486" t="n">
        <v>11</v>
      </c>
      <c r="L1697" s="486" t="n">
        <v>4</v>
      </c>
      <c r="M1697" s="487" t="inlineStr">
        <is>
          <t>T</t>
        </is>
      </c>
    </row>
    <row r="1698">
      <c r="A1698" s="486" t="n">
        <v>23</v>
      </c>
      <c r="B1698" s="486" t="n">
        <v>3</v>
      </c>
      <c r="C1698" s="486" t="n">
        <v>2</v>
      </c>
      <c r="D1698" s="486" t="n">
        <v>2</v>
      </c>
      <c r="E1698" s="486" t="n">
        <v>2</v>
      </c>
      <c r="F1698" s="486" t="n">
        <v>2</v>
      </c>
      <c r="G1698" s="486" t="inlineStr">
        <is>
          <t>South-Right2</t>
        </is>
      </c>
      <c r="H1698" s="486" t="n">
        <v>1285.65</v>
      </c>
      <c r="I1698" s="486" t="n">
        <v>88</v>
      </c>
      <c r="J1698" s="486" t="n">
        <v>51</v>
      </c>
      <c r="K1698" s="486" t="n">
        <v>4</v>
      </c>
      <c r="L1698" s="486" t="n">
        <v>3</v>
      </c>
      <c r="M1698" s="487" t="inlineStr">
        <is>
          <t>T</t>
        </is>
      </c>
    </row>
    <row r="1699">
      <c r="A1699" s="485" t="n">
        <v>23</v>
      </c>
      <c r="B1699" s="485" t="n">
        <v>3</v>
      </c>
      <c r="C1699" s="485" t="n">
        <v>2</v>
      </c>
      <c r="D1699" s="485" t="n">
        <v>4</v>
      </c>
      <c r="E1699" s="485" t="n">
        <v>2</v>
      </c>
      <c r="F1699" s="485" t="n">
        <v>2</v>
      </c>
      <c r="G1699" s="485" t="inlineStr">
        <is>
          <t>West-Up2</t>
        </is>
      </c>
      <c r="H1699" s="485" t="n">
        <v>0</v>
      </c>
      <c r="I1699" s="485" t="n">
        <v>0</v>
      </c>
      <c r="J1699" s="485" t="n">
        <v>0</v>
      </c>
      <c r="K1699" s="485" t="n">
        <v>0</v>
      </c>
      <c r="L1699" s="485" t="n">
        <v>0</v>
      </c>
      <c r="M1699" s="487" t="inlineStr">
        <is>
          <t>T</t>
        </is>
      </c>
    </row>
    <row r="1700">
      <c r="A1700" s="485" t="n">
        <v>23</v>
      </c>
      <c r="B1700" s="485" t="n">
        <v>3</v>
      </c>
      <c r="C1700" s="485" t="n">
        <v>2</v>
      </c>
      <c r="D1700" s="485" t="n">
        <v>4</v>
      </c>
      <c r="E1700" s="485" t="n">
        <v>2</v>
      </c>
      <c r="F1700" s="485" t="n">
        <v>2</v>
      </c>
      <c r="G1700" s="516" t="inlineStr">
        <is>
          <t>West-Up1</t>
        </is>
      </c>
      <c r="H1700" s="485" t="n">
        <v>2621.31</v>
      </c>
      <c r="I1700" s="485" t="n">
        <v>0</v>
      </c>
      <c r="J1700" s="485" t="n">
        <v>5</v>
      </c>
      <c r="K1700" s="485" t="n">
        <v>16</v>
      </c>
      <c r="L1700" s="485" t="n">
        <v>1</v>
      </c>
      <c r="M1700" s="487" t="inlineStr">
        <is>
          <t>T</t>
        </is>
      </c>
    </row>
    <row r="1701">
      <c r="A1701" s="485" t="n">
        <v>23</v>
      </c>
      <c r="B1701" s="485" t="n">
        <v>3</v>
      </c>
      <c r="C1701" s="485" t="n">
        <v>2</v>
      </c>
      <c r="D1701" s="485" t="n">
        <v>4</v>
      </c>
      <c r="E1701" s="485" t="n">
        <v>2</v>
      </c>
      <c r="F1701" s="485" t="n">
        <v>2</v>
      </c>
      <c r="G1701" s="485" t="inlineStr">
        <is>
          <t>West-Down1</t>
        </is>
      </c>
      <c r="H1701" s="485" t="n">
        <v>2618.84</v>
      </c>
      <c r="I1701" s="485" t="n">
        <v>0</v>
      </c>
      <c r="J1701" s="485" t="n">
        <v>7</v>
      </c>
      <c r="K1701" s="485" t="n">
        <v>45</v>
      </c>
      <c r="L1701" s="485" t="n">
        <v>4</v>
      </c>
      <c r="M1701" s="487" t="inlineStr">
        <is>
          <t>T</t>
        </is>
      </c>
    </row>
    <row r="1702">
      <c r="A1702" s="485" t="n">
        <v>23</v>
      </c>
      <c r="B1702" s="485" t="n">
        <v>3</v>
      </c>
      <c r="C1702" s="485" t="n">
        <v>2</v>
      </c>
      <c r="D1702" s="485" t="n">
        <v>4</v>
      </c>
      <c r="E1702" s="485" t="n">
        <v>2</v>
      </c>
      <c r="F1702" s="485" t="n">
        <v>2</v>
      </c>
      <c r="G1702" s="485" t="inlineStr">
        <is>
          <t>West-Down2</t>
        </is>
      </c>
      <c r="H1702" s="485" t="n">
        <v>0</v>
      </c>
      <c r="I1702" s="485" t="n">
        <v>0</v>
      </c>
      <c r="J1702" s="485" t="n">
        <v>0</v>
      </c>
      <c r="K1702" s="485" t="n">
        <v>0</v>
      </c>
      <c r="L1702" s="485" t="n">
        <v>0</v>
      </c>
      <c r="M1702" s="487" t="inlineStr">
        <is>
          <t>T</t>
        </is>
      </c>
    </row>
    <row r="1703">
      <c r="A1703" s="485" t="n">
        <v>23</v>
      </c>
      <c r="B1703" s="485" t="n">
        <v>3</v>
      </c>
      <c r="C1703" s="485" t="n">
        <v>2</v>
      </c>
      <c r="D1703" s="485" t="n">
        <v>4</v>
      </c>
      <c r="E1703" s="485" t="n">
        <v>2</v>
      </c>
      <c r="F1703" s="485" t="n">
        <v>2</v>
      </c>
      <c r="G1703" s="485" t="inlineStr">
        <is>
          <t>East-Up2</t>
        </is>
      </c>
      <c r="H1703" s="485" t="n">
        <v>1370.62</v>
      </c>
      <c r="I1703" s="485" t="n">
        <v>0</v>
      </c>
      <c r="J1703" s="485" t="n">
        <v>4</v>
      </c>
      <c r="K1703" s="485" t="n">
        <v>14</v>
      </c>
      <c r="L1703" s="485" t="n">
        <v>1</v>
      </c>
      <c r="M1703" s="487" t="inlineStr">
        <is>
          <t>T</t>
        </is>
      </c>
    </row>
    <row r="1704">
      <c r="A1704" s="485" t="n">
        <v>23</v>
      </c>
      <c r="B1704" s="485" t="n">
        <v>3</v>
      </c>
      <c r="C1704" s="485" t="n">
        <v>2</v>
      </c>
      <c r="D1704" s="485" t="n">
        <v>4</v>
      </c>
      <c r="E1704" s="485" t="n">
        <v>2</v>
      </c>
      <c r="F1704" s="485" t="n">
        <v>2</v>
      </c>
      <c r="G1704" s="516" t="inlineStr">
        <is>
          <t>East-Up1</t>
        </is>
      </c>
      <c r="H1704" s="485" t="n">
        <v>1316.85</v>
      </c>
      <c r="I1704" s="485" t="n">
        <v>0</v>
      </c>
      <c r="J1704" s="485" t="n">
        <v>38</v>
      </c>
      <c r="K1704" s="485" t="n">
        <v>30</v>
      </c>
      <c r="L1704" s="485" t="n">
        <v>1</v>
      </c>
      <c r="M1704" s="487" t="inlineStr">
        <is>
          <t>T</t>
        </is>
      </c>
    </row>
    <row r="1705">
      <c r="A1705" s="485" t="n">
        <v>23</v>
      </c>
      <c r="B1705" s="485" t="n">
        <v>3</v>
      </c>
      <c r="C1705" s="485" t="n">
        <v>2</v>
      </c>
      <c r="D1705" s="485" t="n">
        <v>4</v>
      </c>
      <c r="E1705" s="485" t="n">
        <v>2</v>
      </c>
      <c r="F1705" s="485" t="n">
        <v>2</v>
      </c>
      <c r="G1705" s="485" t="inlineStr">
        <is>
          <t>East-Down1</t>
        </is>
      </c>
      <c r="H1705" s="485" t="n">
        <v>2632.33</v>
      </c>
      <c r="I1705" s="485" t="n">
        <v>0</v>
      </c>
      <c r="J1705" s="485" t="n">
        <v>47</v>
      </c>
      <c r="K1705" s="485" t="n">
        <v>20</v>
      </c>
      <c r="L1705" s="485" t="n">
        <v>1</v>
      </c>
      <c r="M1705" s="487" t="inlineStr">
        <is>
          <t>T</t>
        </is>
      </c>
    </row>
    <row r="1706">
      <c r="A1706" s="485" t="n">
        <v>23</v>
      </c>
      <c r="B1706" s="485" t="n">
        <v>3</v>
      </c>
      <c r="C1706" s="485" t="n">
        <v>2</v>
      </c>
      <c r="D1706" s="485" t="n">
        <v>4</v>
      </c>
      <c r="E1706" s="485" t="n">
        <v>2</v>
      </c>
      <c r="F1706" s="485" t="n">
        <v>2</v>
      </c>
      <c r="G1706" s="485" t="inlineStr">
        <is>
          <t>East-Down2</t>
        </is>
      </c>
      <c r="H1706" s="485" t="n">
        <v>0</v>
      </c>
      <c r="I1706" s="485" t="n">
        <v>0</v>
      </c>
      <c r="J1706" s="485" t="n">
        <v>0</v>
      </c>
      <c r="K1706" s="485" t="n">
        <v>0</v>
      </c>
      <c r="L1706" s="485" t="n">
        <v>0</v>
      </c>
      <c r="M1706" s="487" t="inlineStr">
        <is>
          <t>T</t>
        </is>
      </c>
    </row>
    <row r="1707">
      <c r="A1707" s="485" t="n">
        <v>23</v>
      </c>
      <c r="B1707" s="485" t="n">
        <v>3</v>
      </c>
      <c r="C1707" s="485" t="n">
        <v>2</v>
      </c>
      <c r="D1707" s="485" t="n">
        <v>4</v>
      </c>
      <c r="E1707" s="485" t="n">
        <v>2</v>
      </c>
      <c r="F1707" s="485" t="n">
        <v>2</v>
      </c>
      <c r="G1707" s="485" t="inlineStr">
        <is>
          <t>North-Left2</t>
        </is>
      </c>
      <c r="H1707" s="485" t="n">
        <v>0</v>
      </c>
      <c r="I1707" s="485" t="n">
        <v>0</v>
      </c>
      <c r="J1707" s="485" t="n">
        <v>0</v>
      </c>
      <c r="K1707" s="485" t="n">
        <v>0</v>
      </c>
      <c r="L1707" s="485" t="n">
        <v>0</v>
      </c>
      <c r="M1707" s="487" t="inlineStr">
        <is>
          <t>T</t>
        </is>
      </c>
    </row>
    <row r="1708">
      <c r="A1708" s="485" t="n">
        <v>23</v>
      </c>
      <c r="B1708" s="485" t="n">
        <v>3</v>
      </c>
      <c r="C1708" s="485" t="n">
        <v>2</v>
      </c>
      <c r="D1708" s="485" t="n">
        <v>4</v>
      </c>
      <c r="E1708" s="485" t="n">
        <v>2</v>
      </c>
      <c r="F1708" s="485" t="n">
        <v>2</v>
      </c>
      <c r="G1708" s="516" t="inlineStr">
        <is>
          <t>North-Left1</t>
        </is>
      </c>
      <c r="H1708" s="485" t="n">
        <v>2649.89</v>
      </c>
      <c r="I1708" s="485" t="n">
        <v>89</v>
      </c>
      <c r="J1708" s="485" t="n">
        <v>44</v>
      </c>
      <c r="K1708" s="485" t="n">
        <v>20</v>
      </c>
      <c r="L1708" s="485" t="n">
        <v>2</v>
      </c>
      <c r="M1708" s="487" t="inlineStr">
        <is>
          <t>T</t>
        </is>
      </c>
    </row>
    <row r="1709">
      <c r="A1709" s="485" t="n">
        <v>23</v>
      </c>
      <c r="B1709" s="485" t="n">
        <v>3</v>
      </c>
      <c r="C1709" s="485" t="n">
        <v>2</v>
      </c>
      <c r="D1709" s="485" t="n">
        <v>4</v>
      </c>
      <c r="E1709" s="485" t="n">
        <v>2</v>
      </c>
      <c r="F1709" s="485" t="n">
        <v>2</v>
      </c>
      <c r="G1709" s="485" t="inlineStr">
        <is>
          <t>North-Right1</t>
        </is>
      </c>
      <c r="H1709" s="485" t="n">
        <v>2579.61</v>
      </c>
      <c r="I1709" s="485" t="n">
        <v>88</v>
      </c>
      <c r="J1709" s="485" t="n">
        <v>30</v>
      </c>
      <c r="K1709" s="485" t="n">
        <v>34</v>
      </c>
      <c r="L1709" s="485" t="n">
        <v>1</v>
      </c>
      <c r="M1709" s="487" t="inlineStr">
        <is>
          <t>T</t>
        </is>
      </c>
    </row>
    <row r="1710">
      <c r="A1710" s="485" t="n">
        <v>23</v>
      </c>
      <c r="B1710" s="485" t="n">
        <v>3</v>
      </c>
      <c r="C1710" s="485" t="n">
        <v>2</v>
      </c>
      <c r="D1710" s="485" t="n">
        <v>4</v>
      </c>
      <c r="E1710" s="485" t="n">
        <v>2</v>
      </c>
      <c r="F1710" s="485" t="n">
        <v>2</v>
      </c>
      <c r="G1710" s="485" t="inlineStr">
        <is>
          <t>North-Right2</t>
        </is>
      </c>
      <c r="H1710" s="485" t="n">
        <v>0</v>
      </c>
      <c r="I1710" s="485" t="n">
        <v>0</v>
      </c>
      <c r="J1710" s="485" t="n">
        <v>0</v>
      </c>
      <c r="K1710" s="485" t="n">
        <v>0</v>
      </c>
      <c r="L1710" s="485" t="n">
        <v>0</v>
      </c>
      <c r="M1710" s="487" t="inlineStr">
        <is>
          <t>T</t>
        </is>
      </c>
    </row>
    <row r="1711">
      <c r="A1711" s="485" t="n">
        <v>23</v>
      </c>
      <c r="B1711" s="485" t="n">
        <v>3</v>
      </c>
      <c r="C1711" s="485" t="n">
        <v>2</v>
      </c>
      <c r="D1711" s="485" t="n">
        <v>4</v>
      </c>
      <c r="E1711" s="485" t="n">
        <v>2</v>
      </c>
      <c r="F1711" s="485" t="n">
        <v>2</v>
      </c>
      <c r="G1711" s="485" t="inlineStr">
        <is>
          <t>South-Left2</t>
        </is>
      </c>
      <c r="H1711" s="485" t="n">
        <v>0</v>
      </c>
      <c r="I1711" s="485" t="n">
        <v>0</v>
      </c>
      <c r="J1711" s="485" t="n">
        <v>0</v>
      </c>
      <c r="K1711" s="485" t="n">
        <v>0</v>
      </c>
      <c r="L1711" s="485" t="n">
        <v>0</v>
      </c>
      <c r="M1711" s="487" t="inlineStr">
        <is>
          <t>T</t>
        </is>
      </c>
    </row>
    <row r="1712">
      <c r="A1712" s="485" t="n">
        <v>23</v>
      </c>
      <c r="B1712" s="485" t="n">
        <v>3</v>
      </c>
      <c r="C1712" s="485" t="n">
        <v>2</v>
      </c>
      <c r="D1712" s="485" t="n">
        <v>4</v>
      </c>
      <c r="E1712" s="485" t="n">
        <v>2</v>
      </c>
      <c r="F1712" s="485" t="n">
        <v>2</v>
      </c>
      <c r="G1712" s="516" t="inlineStr">
        <is>
          <t>South-Left1</t>
        </is>
      </c>
      <c r="H1712" s="485" t="n">
        <v>2646.71</v>
      </c>
      <c r="I1712" s="485" t="n">
        <v>89</v>
      </c>
      <c r="J1712" s="485" t="n">
        <v>47</v>
      </c>
      <c r="K1712" s="485" t="n">
        <v>6</v>
      </c>
      <c r="L1712" s="485" t="n">
        <v>4</v>
      </c>
      <c r="M1712" s="487" t="inlineStr">
        <is>
          <t>T</t>
        </is>
      </c>
    </row>
    <row r="1713">
      <c r="A1713" s="485" t="n">
        <v>23</v>
      </c>
      <c r="B1713" s="485" t="n">
        <v>3</v>
      </c>
      <c r="C1713" s="485" t="n">
        <v>2</v>
      </c>
      <c r="D1713" s="485" t="n">
        <v>4</v>
      </c>
      <c r="E1713" s="485" t="n">
        <v>2</v>
      </c>
      <c r="F1713" s="485" t="n">
        <v>2</v>
      </c>
      <c r="G1713" s="485" t="inlineStr">
        <is>
          <t>South-Right1</t>
        </is>
      </c>
      <c r="H1713" s="485" t="n">
        <v>2657.61</v>
      </c>
      <c r="I1713" s="485" t="n">
        <v>89</v>
      </c>
      <c r="J1713" s="485" t="n">
        <v>35</v>
      </c>
      <c r="K1713" s="485" t="n">
        <v>8</v>
      </c>
      <c r="L1713" s="485" t="n">
        <v>2</v>
      </c>
      <c r="M1713" s="514" t="inlineStr">
        <is>
          <t>T</t>
        </is>
      </c>
    </row>
    <row r="1714">
      <c r="A1714" s="485" t="n">
        <v>23</v>
      </c>
      <c r="B1714" s="485" t="n">
        <v>3</v>
      </c>
      <c r="C1714" s="485" t="n">
        <v>2</v>
      </c>
      <c r="D1714" s="485" t="n">
        <v>4</v>
      </c>
      <c r="E1714" s="485" t="n">
        <v>2</v>
      </c>
      <c r="F1714" s="485" t="n">
        <v>2</v>
      </c>
      <c r="G1714" s="485" t="inlineStr">
        <is>
          <t>South-Right2</t>
        </is>
      </c>
      <c r="H1714" s="485" t="n">
        <v>0</v>
      </c>
      <c r="I1714" s="485" t="n">
        <v>0</v>
      </c>
      <c r="J1714" s="485" t="n">
        <v>0</v>
      </c>
      <c r="K1714" s="485" t="n">
        <v>0</v>
      </c>
      <c r="L1714" s="485" t="n">
        <v>0</v>
      </c>
      <c r="M1714" s="514" t="inlineStr">
        <is>
          <t>T</t>
        </is>
      </c>
    </row>
    <row r="1715">
      <c r="A1715" s="485" t="n">
        <v>24</v>
      </c>
      <c r="B1715" s="485" t="n">
        <v>2</v>
      </c>
      <c r="C1715" s="485" t="n">
        <v>2</v>
      </c>
      <c r="D1715" s="485" t="n">
        <v>3</v>
      </c>
      <c r="E1715" s="485" t="n">
        <v>2</v>
      </c>
      <c r="F1715" s="485" t="n">
        <v>2</v>
      </c>
      <c r="G1715" s="485" t="inlineStr">
        <is>
          <t>West-Up2</t>
        </is>
      </c>
      <c r="H1715" s="485" t="n">
        <v>0</v>
      </c>
      <c r="I1715" s="485" t="n">
        <v>0</v>
      </c>
      <c r="J1715" s="485" t="n">
        <v>0</v>
      </c>
      <c r="K1715" s="485" t="n">
        <v>0</v>
      </c>
      <c r="L1715" s="485" t="n">
        <v>0</v>
      </c>
      <c r="M1715" s="514" t="inlineStr">
        <is>
          <t>T</t>
        </is>
      </c>
    </row>
    <row r="1716">
      <c r="A1716" s="485" t="n">
        <v>24</v>
      </c>
      <c r="B1716" s="485" t="n">
        <v>2</v>
      </c>
      <c r="C1716" s="485" t="n">
        <v>2</v>
      </c>
      <c r="D1716" s="485" t="n">
        <v>3</v>
      </c>
      <c r="E1716" s="485" t="n">
        <v>2</v>
      </c>
      <c r="F1716" s="485" t="n">
        <v>2</v>
      </c>
      <c r="G1716" s="516" t="inlineStr">
        <is>
          <t>West-Up1</t>
        </is>
      </c>
      <c r="H1716" s="485" t="n">
        <v>2664.25</v>
      </c>
      <c r="I1716" s="485" t="n">
        <v>0</v>
      </c>
      <c r="J1716" s="485" t="n">
        <v>51</v>
      </c>
      <c r="K1716" s="485" t="n">
        <v>52</v>
      </c>
      <c r="L1716" s="485" t="n">
        <v>2</v>
      </c>
      <c r="M1716" s="514" t="inlineStr">
        <is>
          <t>T</t>
        </is>
      </c>
    </row>
    <row r="1717">
      <c r="A1717" s="485" t="n">
        <v>24</v>
      </c>
      <c r="B1717" s="485" t="n">
        <v>2</v>
      </c>
      <c r="C1717" s="485" t="n">
        <v>2</v>
      </c>
      <c r="D1717" s="485" t="n">
        <v>3</v>
      </c>
      <c r="E1717" s="485" t="n">
        <v>2</v>
      </c>
      <c r="F1717" s="485" t="n">
        <v>2</v>
      </c>
      <c r="G1717" s="485" t="inlineStr">
        <is>
          <t>West-Down1</t>
        </is>
      </c>
      <c r="H1717" s="485" t="n">
        <v>2664.45</v>
      </c>
      <c r="I1717" s="485" t="n">
        <v>0</v>
      </c>
      <c r="J1717" s="485" t="n">
        <v>51</v>
      </c>
      <c r="K1717" s="485" t="n">
        <v>55</v>
      </c>
      <c r="L1717" s="485" t="n">
        <v>2</v>
      </c>
      <c r="M1717" s="514" t="inlineStr">
        <is>
          <t>T</t>
        </is>
      </c>
    </row>
    <row r="1718">
      <c r="A1718" s="485" t="n">
        <v>24</v>
      </c>
      <c r="B1718" s="485" t="n">
        <v>2</v>
      </c>
      <c r="C1718" s="485" t="n">
        <v>2</v>
      </c>
      <c r="D1718" s="485" t="n">
        <v>3</v>
      </c>
      <c r="E1718" s="485" t="n">
        <v>2</v>
      </c>
      <c r="F1718" s="485" t="n">
        <v>2</v>
      </c>
      <c r="G1718" s="485" t="inlineStr">
        <is>
          <t>West-Down2</t>
        </is>
      </c>
      <c r="H1718" s="485" t="n">
        <v>0</v>
      </c>
      <c r="I1718" s="485" t="n">
        <v>0</v>
      </c>
      <c r="J1718" s="485" t="n">
        <v>0</v>
      </c>
      <c r="K1718" s="485" t="n">
        <v>0</v>
      </c>
      <c r="L1718" s="485" t="n">
        <v>0</v>
      </c>
      <c r="M1718" s="514" t="inlineStr">
        <is>
          <t>T</t>
        </is>
      </c>
    </row>
    <row r="1719">
      <c r="A1719" s="485" t="n">
        <v>24</v>
      </c>
      <c r="B1719" s="485" t="n">
        <v>2</v>
      </c>
      <c r="C1719" s="485" t="n">
        <v>2</v>
      </c>
      <c r="D1719" s="485" t="n">
        <v>3</v>
      </c>
      <c r="E1719" s="485" t="n">
        <v>2</v>
      </c>
      <c r="F1719" s="485" t="n">
        <v>2</v>
      </c>
      <c r="G1719" s="485" t="inlineStr">
        <is>
          <t>East-Up2</t>
        </is>
      </c>
      <c r="H1719" s="485" t="n">
        <v>0</v>
      </c>
      <c r="I1719" s="485" t="n">
        <v>0</v>
      </c>
      <c r="J1719" s="485" t="n">
        <v>0</v>
      </c>
      <c r="K1719" s="485" t="n">
        <v>0</v>
      </c>
      <c r="L1719" s="485" t="n">
        <v>0</v>
      </c>
      <c r="M1719" s="514" t="inlineStr">
        <is>
          <t>T</t>
        </is>
      </c>
    </row>
    <row r="1720">
      <c r="A1720" s="485" t="n">
        <v>24</v>
      </c>
      <c r="B1720" s="485" t="n">
        <v>2</v>
      </c>
      <c r="C1720" s="485" t="n">
        <v>2</v>
      </c>
      <c r="D1720" s="485" t="n">
        <v>3</v>
      </c>
      <c r="E1720" s="485" t="n">
        <v>2</v>
      </c>
      <c r="F1720" s="485" t="n">
        <v>2</v>
      </c>
      <c r="G1720" s="516" t="inlineStr">
        <is>
          <t>East-Up1</t>
        </is>
      </c>
      <c r="H1720" s="485" t="n">
        <v>2642.79</v>
      </c>
      <c r="I1720" s="485" t="n">
        <v>0</v>
      </c>
      <c r="J1720" s="485" t="n">
        <v>17</v>
      </c>
      <c r="K1720" s="485" t="n">
        <v>15</v>
      </c>
      <c r="L1720" s="485" t="n">
        <v>4</v>
      </c>
      <c r="M1720" s="514" t="inlineStr">
        <is>
          <t>T</t>
        </is>
      </c>
    </row>
    <row r="1721">
      <c r="A1721" s="485" t="n">
        <v>24</v>
      </c>
      <c r="B1721" s="485" t="n">
        <v>2</v>
      </c>
      <c r="C1721" s="485" t="n">
        <v>2</v>
      </c>
      <c r="D1721" s="485" t="n">
        <v>3</v>
      </c>
      <c r="E1721" s="485" t="n">
        <v>2</v>
      </c>
      <c r="F1721" s="485" t="n">
        <v>2</v>
      </c>
      <c r="G1721" s="485" t="inlineStr">
        <is>
          <t>East-Down1</t>
        </is>
      </c>
      <c r="H1721" s="485" t="n">
        <v>2642.62</v>
      </c>
      <c r="I1721" s="485" t="n">
        <v>0</v>
      </c>
      <c r="J1721" s="485" t="n">
        <v>2</v>
      </c>
      <c r="K1721" s="485" t="n">
        <v>32</v>
      </c>
      <c r="L1721" s="485" t="n">
        <v>4</v>
      </c>
      <c r="M1721" s="514" t="inlineStr">
        <is>
          <t>T</t>
        </is>
      </c>
    </row>
    <row r="1722">
      <c r="A1722" s="485" t="n">
        <v>24</v>
      </c>
      <c r="B1722" s="485" t="n">
        <v>2</v>
      </c>
      <c r="C1722" s="485" t="n">
        <v>2</v>
      </c>
      <c r="D1722" s="485" t="n">
        <v>3</v>
      </c>
      <c r="E1722" s="485" t="n">
        <v>2</v>
      </c>
      <c r="F1722" s="485" t="n">
        <v>2</v>
      </c>
      <c r="G1722" s="485" t="inlineStr">
        <is>
          <t>East-Down2</t>
        </is>
      </c>
      <c r="H1722" s="485" t="n">
        <v>0</v>
      </c>
      <c r="I1722" s="485" t="n">
        <v>0</v>
      </c>
      <c r="J1722" s="485" t="n">
        <v>0</v>
      </c>
      <c r="K1722" s="485" t="n">
        <v>0</v>
      </c>
      <c r="L1722" s="485" t="n">
        <v>0</v>
      </c>
      <c r="M1722" s="514" t="inlineStr">
        <is>
          <t>T</t>
        </is>
      </c>
    </row>
    <row r="1723">
      <c r="A1723" s="485" t="n">
        <v>24</v>
      </c>
      <c r="B1723" s="485" t="n">
        <v>2</v>
      </c>
      <c r="C1723" s="485" t="n">
        <v>2</v>
      </c>
      <c r="D1723" s="485" t="n">
        <v>3</v>
      </c>
      <c r="E1723" s="485" t="n">
        <v>2</v>
      </c>
      <c r="F1723" s="485" t="n">
        <v>2</v>
      </c>
      <c r="G1723" s="485" t="inlineStr">
        <is>
          <t>North-Left2</t>
        </is>
      </c>
      <c r="H1723" s="485" t="n">
        <v>1312.46</v>
      </c>
      <c r="I1723" s="485" t="n">
        <v>89</v>
      </c>
      <c r="J1723" s="485" t="n">
        <v>47</v>
      </c>
      <c r="K1723" s="485" t="n">
        <v>39</v>
      </c>
      <c r="L1723" s="485" t="n">
        <v>4</v>
      </c>
      <c r="M1723" s="514" t="inlineStr">
        <is>
          <t>T</t>
        </is>
      </c>
    </row>
    <row r="1724">
      <c r="A1724" s="485" t="n">
        <v>24</v>
      </c>
      <c r="B1724" s="485" t="n">
        <v>2</v>
      </c>
      <c r="C1724" s="485" t="n">
        <v>2</v>
      </c>
      <c r="D1724" s="485" t="n">
        <v>3</v>
      </c>
      <c r="E1724" s="485" t="n">
        <v>2</v>
      </c>
      <c r="F1724" s="485" t="n">
        <v>2</v>
      </c>
      <c r="G1724" s="516" t="inlineStr">
        <is>
          <t>North-Left1</t>
        </is>
      </c>
      <c r="H1724" s="485" t="n">
        <v>1314.47</v>
      </c>
      <c r="I1724" s="485" t="n">
        <v>89</v>
      </c>
      <c r="J1724" s="485" t="n">
        <v>47</v>
      </c>
      <c r="K1724" s="485" t="n">
        <v>22</v>
      </c>
      <c r="L1724" s="485" t="n">
        <v>4</v>
      </c>
      <c r="M1724" s="514" t="inlineStr">
        <is>
          <t>T</t>
        </is>
      </c>
    </row>
    <row r="1725">
      <c r="A1725" s="485" t="n">
        <v>24</v>
      </c>
      <c r="B1725" s="485" t="n">
        <v>2</v>
      </c>
      <c r="C1725" s="485" t="n">
        <v>2</v>
      </c>
      <c r="D1725" s="485" t="n">
        <v>3</v>
      </c>
      <c r="E1725" s="485" t="n">
        <v>2</v>
      </c>
      <c r="F1725" s="485" t="n">
        <v>2</v>
      </c>
      <c r="G1725" s="485" t="inlineStr">
        <is>
          <t>North-Right1</t>
        </is>
      </c>
      <c r="H1725" s="485" t="n">
        <v>2625.38</v>
      </c>
      <c r="I1725" s="485" t="n">
        <v>89</v>
      </c>
      <c r="J1725" s="485" t="n">
        <v>48</v>
      </c>
      <c r="K1725" s="485" t="n">
        <v>47</v>
      </c>
      <c r="L1725" s="485" t="n">
        <v>4</v>
      </c>
      <c r="M1725" s="514" t="inlineStr">
        <is>
          <t>T</t>
        </is>
      </c>
    </row>
    <row r="1726">
      <c r="A1726" s="485" t="n">
        <v>24</v>
      </c>
      <c r="B1726" s="485" t="n">
        <v>2</v>
      </c>
      <c r="C1726" s="485" t="n">
        <v>2</v>
      </c>
      <c r="D1726" s="485" t="n">
        <v>3</v>
      </c>
      <c r="E1726" s="485" t="n">
        <v>2</v>
      </c>
      <c r="F1726" s="485" t="n">
        <v>2</v>
      </c>
      <c r="G1726" s="485" t="inlineStr">
        <is>
          <t>North-Right2</t>
        </is>
      </c>
      <c r="H1726" s="485" t="n">
        <v>0</v>
      </c>
      <c r="I1726" s="485" t="n">
        <v>0</v>
      </c>
      <c r="J1726" s="485" t="n">
        <v>0</v>
      </c>
      <c r="K1726" s="485" t="n">
        <v>0</v>
      </c>
      <c r="L1726" s="485" t="n">
        <v>0</v>
      </c>
      <c r="M1726" s="514" t="inlineStr">
        <is>
          <t>T</t>
        </is>
      </c>
    </row>
    <row r="1727">
      <c r="A1727" s="485" t="n">
        <v>24</v>
      </c>
      <c r="B1727" s="485" t="n">
        <v>2</v>
      </c>
      <c r="C1727" s="485" t="n">
        <v>2</v>
      </c>
      <c r="D1727" s="485" t="n">
        <v>3</v>
      </c>
      <c r="E1727" s="485" t="n">
        <v>2</v>
      </c>
      <c r="F1727" s="485" t="n">
        <v>2</v>
      </c>
      <c r="G1727" s="485" t="inlineStr">
        <is>
          <t>South-Left2</t>
        </is>
      </c>
      <c r="H1727" s="485" t="n">
        <v>0</v>
      </c>
      <c r="I1727" s="485" t="n">
        <v>0</v>
      </c>
      <c r="J1727" s="485" t="n">
        <v>0</v>
      </c>
      <c r="K1727" s="485" t="n">
        <v>0</v>
      </c>
      <c r="L1727" s="485" t="n">
        <v>0</v>
      </c>
      <c r="M1727" s="514" t="inlineStr">
        <is>
          <t>T</t>
        </is>
      </c>
    </row>
    <row r="1728">
      <c r="A1728" s="485" t="n">
        <v>24</v>
      </c>
      <c r="B1728" s="485" t="n">
        <v>2</v>
      </c>
      <c r="C1728" s="485" t="n">
        <v>2</v>
      </c>
      <c r="D1728" s="485" t="n">
        <v>3</v>
      </c>
      <c r="E1728" s="485" t="n">
        <v>2</v>
      </c>
      <c r="F1728" s="485" t="n">
        <v>2</v>
      </c>
      <c r="G1728" s="516" t="inlineStr">
        <is>
          <t>South-Left1</t>
        </is>
      </c>
      <c r="H1728" s="485" t="n">
        <v>5315.54</v>
      </c>
      <c r="I1728" s="485" t="n">
        <v>89</v>
      </c>
      <c r="J1728" s="485" t="n">
        <v>44</v>
      </c>
      <c r="K1728" s="485" t="n">
        <v>5</v>
      </c>
      <c r="L1728" s="485" t="n">
        <v>3</v>
      </c>
      <c r="M1728" s="514" t="inlineStr">
        <is>
          <t>T</t>
        </is>
      </c>
    </row>
    <row r="1729">
      <c r="A1729" s="485" t="n">
        <v>24</v>
      </c>
      <c r="B1729" s="485" t="n">
        <v>2</v>
      </c>
      <c r="C1729" s="485" t="n">
        <v>2</v>
      </c>
      <c r="D1729" s="485" t="n">
        <v>3</v>
      </c>
      <c r="E1729" s="485" t="n">
        <v>2</v>
      </c>
      <c r="F1729" s="485" t="n">
        <v>2</v>
      </c>
      <c r="G1729" s="485" t="inlineStr">
        <is>
          <t>South-Right1</t>
        </is>
      </c>
      <c r="H1729" s="485" t="n">
        <v>0</v>
      </c>
      <c r="I1729" s="485" t="n">
        <v>0</v>
      </c>
      <c r="J1729" s="485" t="n">
        <v>0</v>
      </c>
      <c r="K1729" s="485" t="n">
        <v>0</v>
      </c>
      <c r="L1729" s="485" t="n">
        <v>0</v>
      </c>
      <c r="M1729" s="514" t="inlineStr">
        <is>
          <t>T</t>
        </is>
      </c>
    </row>
    <row r="1730">
      <c r="A1730" s="485" t="n">
        <v>24</v>
      </c>
      <c r="B1730" s="485" t="n">
        <v>2</v>
      </c>
      <c r="C1730" s="485" t="n">
        <v>2</v>
      </c>
      <c r="D1730" s="485" t="n">
        <v>3</v>
      </c>
      <c r="E1730" s="485" t="n">
        <v>2</v>
      </c>
      <c r="F1730" s="485" t="n">
        <v>2</v>
      </c>
      <c r="G1730" s="485" t="inlineStr">
        <is>
          <t>South-Right2</t>
        </is>
      </c>
      <c r="H1730" s="485" t="n">
        <v>0</v>
      </c>
      <c r="I1730" s="485" t="n">
        <v>0</v>
      </c>
      <c r="J1730" s="485" t="n">
        <v>0</v>
      </c>
      <c r="K1730" s="485" t="n">
        <v>0</v>
      </c>
      <c r="L1730" s="485" t="n">
        <v>0</v>
      </c>
      <c r="M1730" s="514" t="inlineStr">
        <is>
          <t>T</t>
        </is>
      </c>
    </row>
    <row r="1731">
      <c r="A1731" s="488" t="n">
        <v>24</v>
      </c>
      <c r="B1731" s="488" t="n">
        <v>3</v>
      </c>
      <c r="C1731" s="488" t="n">
        <v>2</v>
      </c>
      <c r="D1731" s="488" t="n">
        <v>1</v>
      </c>
      <c r="E1731" s="488" t="n">
        <v>2</v>
      </c>
      <c r="F1731" s="488" t="n">
        <v>2</v>
      </c>
      <c r="G1731" s="488" t="inlineStr">
        <is>
          <t>West-Up2</t>
        </is>
      </c>
      <c r="H1731" s="488" t="n">
        <v>0</v>
      </c>
      <c r="I1731" s="488" t="n">
        <v>0</v>
      </c>
      <c r="J1731" s="488" t="n">
        <v>0</v>
      </c>
      <c r="K1731" s="488" t="n">
        <v>0</v>
      </c>
      <c r="L1731" s="488" t="n">
        <v>0</v>
      </c>
      <c r="M1731" s="487" t="inlineStr">
        <is>
          <t>T</t>
        </is>
      </c>
    </row>
    <row r="1732">
      <c r="A1732" s="488" t="n">
        <v>24</v>
      </c>
      <c r="B1732" s="488" t="n">
        <v>3</v>
      </c>
      <c r="C1732" s="488" t="n">
        <v>2</v>
      </c>
      <c r="D1732" s="488" t="n">
        <v>1</v>
      </c>
      <c r="E1732" s="488" t="n">
        <v>2</v>
      </c>
      <c r="F1732" s="488" t="n">
        <v>2</v>
      </c>
      <c r="G1732" s="489" t="inlineStr">
        <is>
          <t>West-Up1</t>
        </is>
      </c>
      <c r="H1732" s="488" t="n">
        <v>2616.23</v>
      </c>
      <c r="I1732" s="488" t="n">
        <v>0</v>
      </c>
      <c r="J1732" s="488" t="n">
        <v>4</v>
      </c>
      <c r="K1732" s="488" t="n">
        <v>26</v>
      </c>
      <c r="L1732" s="488" t="n">
        <v>2</v>
      </c>
      <c r="M1732" s="487" t="inlineStr">
        <is>
          <t>T</t>
        </is>
      </c>
    </row>
    <row r="1733">
      <c r="A1733" s="488" t="n">
        <v>24</v>
      </c>
      <c r="B1733" s="488" t="n">
        <v>3</v>
      </c>
      <c r="C1733" s="488" t="n">
        <v>2</v>
      </c>
      <c r="D1733" s="488" t="n">
        <v>1</v>
      </c>
      <c r="E1733" s="488" t="n">
        <v>2</v>
      </c>
      <c r="F1733" s="488" t="n">
        <v>2</v>
      </c>
      <c r="G1733" s="488" t="inlineStr">
        <is>
          <t>West-Down1</t>
        </is>
      </c>
      <c r="H1733" s="488" t="n">
        <v>2644.08</v>
      </c>
      <c r="I1733" s="488" t="n">
        <v>0</v>
      </c>
      <c r="J1733" s="488" t="n">
        <v>5</v>
      </c>
      <c r="K1733" s="488" t="n">
        <v>26</v>
      </c>
      <c r="L1733" s="488" t="n">
        <v>4</v>
      </c>
      <c r="M1733" s="487" t="inlineStr">
        <is>
          <t>T</t>
        </is>
      </c>
    </row>
    <row r="1734">
      <c r="A1734" s="488" t="n">
        <v>24</v>
      </c>
      <c r="B1734" s="488" t="n">
        <v>3</v>
      </c>
      <c r="C1734" s="488" t="n">
        <v>2</v>
      </c>
      <c r="D1734" s="488" t="n">
        <v>1</v>
      </c>
      <c r="E1734" s="488" t="n">
        <v>2</v>
      </c>
      <c r="F1734" s="488" t="n">
        <v>2</v>
      </c>
      <c r="G1734" s="488" t="inlineStr">
        <is>
          <t>West-Down2</t>
        </is>
      </c>
      <c r="H1734" s="488" t="n">
        <v>0</v>
      </c>
      <c r="I1734" s="488" t="n">
        <v>0</v>
      </c>
      <c r="J1734" s="488" t="n">
        <v>0</v>
      </c>
      <c r="K1734" s="488" t="n">
        <v>0</v>
      </c>
      <c r="L1734" s="488" t="n">
        <v>0</v>
      </c>
      <c r="M1734" s="487" t="inlineStr">
        <is>
          <t>T</t>
        </is>
      </c>
    </row>
    <row r="1735">
      <c r="A1735" s="488" t="n">
        <v>24</v>
      </c>
      <c r="B1735" s="488" t="n">
        <v>3</v>
      </c>
      <c r="C1735" s="488" t="n">
        <v>2</v>
      </c>
      <c r="D1735" s="488" t="n">
        <v>1</v>
      </c>
      <c r="E1735" s="488" t="n">
        <v>2</v>
      </c>
      <c r="F1735" s="488" t="n">
        <v>2</v>
      </c>
      <c r="G1735" s="488" t="inlineStr">
        <is>
          <t>East-Up2</t>
        </is>
      </c>
      <c r="H1735" s="488" t="n">
        <v>0</v>
      </c>
      <c r="I1735" s="488" t="n">
        <v>0</v>
      </c>
      <c r="J1735" s="488" t="n">
        <v>0</v>
      </c>
      <c r="K1735" s="488" t="n">
        <v>0</v>
      </c>
      <c r="L1735" s="488" t="n">
        <v>0</v>
      </c>
      <c r="M1735" s="487" t="inlineStr">
        <is>
          <t>T</t>
        </is>
      </c>
    </row>
    <row r="1736">
      <c r="A1736" s="488" t="n">
        <v>24</v>
      </c>
      <c r="B1736" s="488" t="n">
        <v>3</v>
      </c>
      <c r="C1736" s="488" t="n">
        <v>2</v>
      </c>
      <c r="D1736" s="488" t="n">
        <v>1</v>
      </c>
      <c r="E1736" s="488" t="n">
        <v>2</v>
      </c>
      <c r="F1736" s="488" t="n">
        <v>2</v>
      </c>
      <c r="G1736" s="489" t="inlineStr">
        <is>
          <t>East-Up1</t>
        </is>
      </c>
      <c r="H1736" s="488" t="n">
        <v>2641.75</v>
      </c>
      <c r="I1736" s="488" t="n">
        <v>0</v>
      </c>
      <c r="J1736" s="488" t="n">
        <v>2</v>
      </c>
      <c r="K1736" s="488" t="n">
        <v>22</v>
      </c>
      <c r="L1736" s="488" t="n">
        <v>4</v>
      </c>
      <c r="M1736" s="487" t="inlineStr">
        <is>
          <t>T</t>
        </is>
      </c>
    </row>
    <row r="1737">
      <c r="A1737" s="488" t="n">
        <v>24</v>
      </c>
      <c r="B1737" s="488" t="n">
        <v>3</v>
      </c>
      <c r="C1737" s="488" t="n">
        <v>2</v>
      </c>
      <c r="D1737" s="488" t="n">
        <v>1</v>
      </c>
      <c r="E1737" s="488" t="n">
        <v>2</v>
      </c>
      <c r="F1737" s="488" t="n">
        <v>2</v>
      </c>
      <c r="G1737" s="488" t="inlineStr">
        <is>
          <t>East-Down1</t>
        </is>
      </c>
      <c r="H1737" s="488" t="n">
        <v>2629.59</v>
      </c>
      <c r="I1737" s="488" t="n">
        <v>0</v>
      </c>
      <c r="J1737" s="488" t="n">
        <v>7</v>
      </c>
      <c r="K1737" s="488" t="n">
        <v>30</v>
      </c>
      <c r="L1737" s="488" t="n">
        <v>4</v>
      </c>
      <c r="M1737" s="487" t="inlineStr">
        <is>
          <t>T</t>
        </is>
      </c>
    </row>
    <row r="1738">
      <c r="A1738" s="488" t="n">
        <v>24</v>
      </c>
      <c r="B1738" s="488" t="n">
        <v>3</v>
      </c>
      <c r="C1738" s="488" t="n">
        <v>2</v>
      </c>
      <c r="D1738" s="488" t="n">
        <v>1</v>
      </c>
      <c r="E1738" s="488" t="n">
        <v>2</v>
      </c>
      <c r="F1738" s="488" t="n">
        <v>2</v>
      </c>
      <c r="G1738" s="488" t="inlineStr">
        <is>
          <t>East-Down2</t>
        </is>
      </c>
      <c r="H1738" s="488" t="n">
        <v>0</v>
      </c>
      <c r="I1738" s="488" t="n">
        <v>0</v>
      </c>
      <c r="J1738" s="488" t="n">
        <v>0</v>
      </c>
      <c r="K1738" s="488" t="n">
        <v>0</v>
      </c>
      <c r="L1738" s="488" t="n">
        <v>0</v>
      </c>
      <c r="M1738" s="487" t="inlineStr">
        <is>
          <t>T</t>
        </is>
      </c>
    </row>
    <row r="1739">
      <c r="A1739" s="488" t="n">
        <v>24</v>
      </c>
      <c r="B1739" s="488" t="n">
        <v>3</v>
      </c>
      <c r="C1739" s="488" t="n">
        <v>2</v>
      </c>
      <c r="D1739" s="488" t="n">
        <v>1</v>
      </c>
      <c r="E1739" s="488" t="n">
        <v>2</v>
      </c>
      <c r="F1739" s="488" t="n">
        <v>2</v>
      </c>
      <c r="G1739" s="488" t="inlineStr">
        <is>
          <t>North-Left2</t>
        </is>
      </c>
      <c r="H1739" s="488" t="n">
        <v>1320.19</v>
      </c>
      <c r="I1739" s="488" t="n">
        <v>89</v>
      </c>
      <c r="J1739" s="488" t="n">
        <v>44</v>
      </c>
      <c r="K1739" s="488" t="n">
        <v>10</v>
      </c>
      <c r="L1739" s="488" t="n">
        <v>1</v>
      </c>
      <c r="M1739" s="487" t="inlineStr">
        <is>
          <t>T</t>
        </is>
      </c>
    </row>
    <row r="1740">
      <c r="A1740" s="488" t="n">
        <v>24</v>
      </c>
      <c r="B1740" s="488" t="n">
        <v>3</v>
      </c>
      <c r="C1740" s="488" t="n">
        <v>2</v>
      </c>
      <c r="D1740" s="488" t="n">
        <v>1</v>
      </c>
      <c r="E1740" s="488" t="n">
        <v>2</v>
      </c>
      <c r="F1740" s="488" t="n">
        <v>2</v>
      </c>
      <c r="G1740" s="489" t="inlineStr">
        <is>
          <t>North-Left1</t>
        </is>
      </c>
      <c r="H1740" s="488" t="n">
        <v>1320.14</v>
      </c>
      <c r="I1740" s="488" t="n">
        <v>89</v>
      </c>
      <c r="J1740" s="488" t="n">
        <v>49</v>
      </c>
      <c r="K1740" s="488" t="n">
        <v>37</v>
      </c>
      <c r="L1740" s="488" t="n">
        <v>2</v>
      </c>
      <c r="M1740" s="487" t="inlineStr">
        <is>
          <t>T</t>
        </is>
      </c>
    </row>
    <row r="1741">
      <c r="A1741" s="488" t="n">
        <v>24</v>
      </c>
      <c r="B1741" s="488" t="n">
        <v>3</v>
      </c>
      <c r="C1741" s="488" t="n">
        <v>2</v>
      </c>
      <c r="D1741" s="488" t="n">
        <v>1</v>
      </c>
      <c r="E1741" s="488" t="n">
        <v>2</v>
      </c>
      <c r="F1741" s="488" t="n">
        <v>2</v>
      </c>
      <c r="G1741" s="488" t="inlineStr">
        <is>
          <t>North-Right1</t>
        </is>
      </c>
      <c r="H1741" s="488" t="n">
        <v>1320.53</v>
      </c>
      <c r="I1741" s="488" t="n">
        <v>89</v>
      </c>
      <c r="J1741" s="488" t="n">
        <v>52</v>
      </c>
      <c r="K1741" s="488" t="n">
        <v>7</v>
      </c>
      <c r="L1741" s="488" t="n">
        <v>2</v>
      </c>
      <c r="M1741" s="487" t="inlineStr">
        <is>
          <t>T</t>
        </is>
      </c>
    </row>
    <row r="1742">
      <c r="A1742" s="488" t="n">
        <v>24</v>
      </c>
      <c r="B1742" s="488" t="n">
        <v>3</v>
      </c>
      <c r="C1742" s="488" t="n">
        <v>2</v>
      </c>
      <c r="D1742" s="488" t="n">
        <v>1</v>
      </c>
      <c r="E1742" s="488" t="n">
        <v>2</v>
      </c>
      <c r="F1742" s="488" t="n">
        <v>2</v>
      </c>
      <c r="G1742" s="488" t="inlineStr">
        <is>
          <t>North-Right2</t>
        </is>
      </c>
      <c r="H1742" s="488" t="n">
        <v>1320.53</v>
      </c>
      <c r="I1742" s="488" t="n">
        <v>89</v>
      </c>
      <c r="J1742" s="488" t="n">
        <v>52</v>
      </c>
      <c r="K1742" s="488" t="n">
        <v>7</v>
      </c>
      <c r="L1742" s="488" t="n">
        <v>2</v>
      </c>
      <c r="M1742" s="487" t="inlineStr">
        <is>
          <t>T</t>
        </is>
      </c>
    </row>
    <row r="1743">
      <c r="A1743" s="488" t="n">
        <v>24</v>
      </c>
      <c r="B1743" s="488" t="n">
        <v>3</v>
      </c>
      <c r="C1743" s="488" t="n">
        <v>2</v>
      </c>
      <c r="D1743" s="488" t="n">
        <v>1</v>
      </c>
      <c r="E1743" s="488" t="n">
        <v>2</v>
      </c>
      <c r="F1743" s="488" t="n">
        <v>2</v>
      </c>
      <c r="G1743" s="488" t="inlineStr">
        <is>
          <t>South-Left2</t>
        </is>
      </c>
      <c r="H1743" s="488" t="n">
        <v>0</v>
      </c>
      <c r="I1743" s="488" t="n">
        <v>0</v>
      </c>
      <c r="J1743" s="488" t="n">
        <v>0</v>
      </c>
      <c r="K1743" s="488" t="n">
        <v>0</v>
      </c>
      <c r="L1743" s="488" t="n">
        <v>0</v>
      </c>
      <c r="M1743" s="487" t="inlineStr">
        <is>
          <t>T</t>
        </is>
      </c>
    </row>
    <row r="1744">
      <c r="A1744" s="488" t="n">
        <v>24</v>
      </c>
      <c r="B1744" s="488" t="n">
        <v>3</v>
      </c>
      <c r="C1744" s="488" t="n">
        <v>2</v>
      </c>
      <c r="D1744" s="488" t="n">
        <v>1</v>
      </c>
      <c r="E1744" s="488" t="n">
        <v>2</v>
      </c>
      <c r="F1744" s="488" t="n">
        <v>2</v>
      </c>
      <c r="G1744" s="489" t="inlineStr">
        <is>
          <t>South-Left1</t>
        </is>
      </c>
      <c r="H1744" s="488" t="n">
        <v>2636.51</v>
      </c>
      <c r="I1744" s="488" t="n">
        <v>89</v>
      </c>
      <c r="J1744" s="488" t="n">
        <v>56</v>
      </c>
      <c r="K1744" s="488" t="n">
        <v>33</v>
      </c>
      <c r="L1744" s="488" t="n">
        <v>4</v>
      </c>
      <c r="M1744" s="487" t="inlineStr">
        <is>
          <t>T</t>
        </is>
      </c>
    </row>
    <row r="1745">
      <c r="A1745" s="488" t="n">
        <v>24</v>
      </c>
      <c r="B1745" s="488" t="n">
        <v>3</v>
      </c>
      <c r="C1745" s="488" t="n">
        <v>2</v>
      </c>
      <c r="D1745" s="488" t="n">
        <v>1</v>
      </c>
      <c r="E1745" s="488" t="n">
        <v>2</v>
      </c>
      <c r="F1745" s="488" t="n">
        <v>2</v>
      </c>
      <c r="G1745" s="488" t="inlineStr">
        <is>
          <t>South-Right1</t>
        </is>
      </c>
      <c r="H1745" s="488" t="n">
        <v>2651.64</v>
      </c>
      <c r="I1745" s="488" t="n">
        <v>89</v>
      </c>
      <c r="J1745" s="488" t="n">
        <v>54</v>
      </c>
      <c r="K1745" s="488" t="n">
        <v>17</v>
      </c>
      <c r="L1745" s="488" t="n">
        <v>4</v>
      </c>
      <c r="M1745" s="487" t="inlineStr">
        <is>
          <t>T</t>
        </is>
      </c>
    </row>
    <row r="1746">
      <c r="A1746" s="488" t="n">
        <v>24</v>
      </c>
      <c r="B1746" s="488" t="n">
        <v>3</v>
      </c>
      <c r="C1746" s="488" t="n">
        <v>2</v>
      </c>
      <c r="D1746" s="488" t="n">
        <v>1</v>
      </c>
      <c r="E1746" s="488" t="n">
        <v>2</v>
      </c>
      <c r="F1746" s="488" t="n">
        <v>2</v>
      </c>
      <c r="G1746" s="488" t="inlineStr">
        <is>
          <t>South-Right2</t>
        </is>
      </c>
      <c r="H1746" s="488" t="n">
        <v>0</v>
      </c>
      <c r="I1746" s="488" t="n">
        <v>0</v>
      </c>
      <c r="J1746" s="488" t="n">
        <v>0</v>
      </c>
      <c r="K1746" s="488" t="n">
        <v>0</v>
      </c>
      <c r="L1746" s="488" t="n">
        <v>0</v>
      </c>
      <c r="M1746" s="487" t="inlineStr">
        <is>
          <t>T</t>
        </is>
      </c>
    </row>
    <row r="1747">
      <c r="A1747" s="485" t="n">
        <v>24</v>
      </c>
      <c r="B1747" s="485" t="n">
        <v>3</v>
      </c>
      <c r="C1747" s="485" t="n">
        <v>2</v>
      </c>
      <c r="D1747" s="485" t="n">
        <v>2</v>
      </c>
      <c r="E1747" s="485" t="n">
        <v>2</v>
      </c>
      <c r="F1747" s="485" t="n">
        <v>2</v>
      </c>
      <c r="G1747" s="485" t="inlineStr">
        <is>
          <t>West-Up2</t>
        </is>
      </c>
      <c r="H1747" s="485" t="n">
        <v>1321.75</v>
      </c>
      <c r="I1747" s="485" t="n">
        <v>0</v>
      </c>
      <c r="J1747" s="485" t="n">
        <v>10</v>
      </c>
      <c r="K1747" s="485" t="n">
        <v>46</v>
      </c>
      <c r="L1747" s="485" t="n">
        <v>2</v>
      </c>
      <c r="M1747" s="514" t="inlineStr">
        <is>
          <t>T</t>
        </is>
      </c>
    </row>
    <row r="1748">
      <c r="A1748" s="485" t="n">
        <v>24</v>
      </c>
      <c r="B1748" s="485" t="n">
        <v>3</v>
      </c>
      <c r="C1748" s="485" t="n">
        <v>2</v>
      </c>
      <c r="D1748" s="485" t="n">
        <v>2</v>
      </c>
      <c r="E1748" s="485" t="n">
        <v>2</v>
      </c>
      <c r="F1748" s="485" t="n">
        <v>2</v>
      </c>
      <c r="G1748" s="516" t="inlineStr">
        <is>
          <t>West-Up1</t>
        </is>
      </c>
      <c r="H1748" s="485" t="n">
        <v>1323.545</v>
      </c>
      <c r="I1748" s="485" t="n">
        <v>0</v>
      </c>
      <c r="J1748" s="485" t="n">
        <v>15</v>
      </c>
      <c r="K1748" s="485" t="n">
        <v>37</v>
      </c>
      <c r="L1748" s="485" t="n">
        <v>2</v>
      </c>
      <c r="M1748" s="514" t="inlineStr">
        <is>
          <t>T</t>
        </is>
      </c>
    </row>
    <row r="1749">
      <c r="A1749" s="485" t="n">
        <v>24</v>
      </c>
      <c r="B1749" s="485" t="n">
        <v>3</v>
      </c>
      <c r="C1749" s="485" t="n">
        <v>2</v>
      </c>
      <c r="D1749" s="485" t="n">
        <v>2</v>
      </c>
      <c r="E1749" s="485" t="n">
        <v>2</v>
      </c>
      <c r="F1749" s="485" t="n">
        <v>2</v>
      </c>
      <c r="G1749" s="485" t="inlineStr">
        <is>
          <t>West-Down1</t>
        </is>
      </c>
      <c r="H1749" s="485" t="n">
        <v>1323.545</v>
      </c>
      <c r="I1749" s="485" t="n">
        <v>0</v>
      </c>
      <c r="J1749" s="485" t="n">
        <v>15</v>
      </c>
      <c r="K1749" s="485" t="n">
        <v>37</v>
      </c>
      <c r="L1749" s="485" t="n">
        <v>2</v>
      </c>
      <c r="M1749" s="514" t="inlineStr">
        <is>
          <t>T</t>
        </is>
      </c>
    </row>
    <row r="1750">
      <c r="A1750" s="485" t="n">
        <v>24</v>
      </c>
      <c r="B1750" s="485" t="n">
        <v>3</v>
      </c>
      <c r="C1750" s="485" t="n">
        <v>2</v>
      </c>
      <c r="D1750" s="485" t="n">
        <v>2</v>
      </c>
      <c r="E1750" s="485" t="n">
        <v>2</v>
      </c>
      <c r="F1750" s="485" t="n">
        <v>2</v>
      </c>
      <c r="G1750" s="485" t="inlineStr">
        <is>
          <t>West-Down2</t>
        </is>
      </c>
      <c r="H1750" s="485" t="n">
        <v>1322.8</v>
      </c>
      <c r="I1750" s="485" t="n">
        <v>0</v>
      </c>
      <c r="J1750" s="485" t="n">
        <v>1</v>
      </c>
      <c r="K1750" s="485" t="n">
        <v>17</v>
      </c>
      <c r="L1750" s="485" t="n">
        <v>2</v>
      </c>
      <c r="M1750" s="514" t="inlineStr">
        <is>
          <t>T</t>
        </is>
      </c>
    </row>
    <row r="1751">
      <c r="A1751" s="485" t="n">
        <v>24</v>
      </c>
      <c r="B1751" s="485" t="n">
        <v>3</v>
      </c>
      <c r="C1751" s="485" t="n">
        <v>2</v>
      </c>
      <c r="D1751" s="485" t="n">
        <v>2</v>
      </c>
      <c r="E1751" s="485" t="n">
        <v>2</v>
      </c>
      <c r="F1751" s="485" t="n">
        <v>2</v>
      </c>
      <c r="G1751" s="485" t="inlineStr">
        <is>
          <t>East-Up2</t>
        </is>
      </c>
      <c r="H1751" s="485" t="n">
        <v>1322.7075</v>
      </c>
      <c r="I1751" s="485" t="n">
        <v>0</v>
      </c>
      <c r="J1751" s="485" t="n">
        <v>44</v>
      </c>
      <c r="K1751" s="485" t="n">
        <v>25</v>
      </c>
      <c r="L1751" s="485" t="n">
        <v>4</v>
      </c>
      <c r="M1751" s="514" t="inlineStr">
        <is>
          <t>T</t>
        </is>
      </c>
    </row>
    <row r="1752">
      <c r="A1752" s="485" t="n">
        <v>24</v>
      </c>
      <c r="B1752" s="485" t="n">
        <v>3</v>
      </c>
      <c r="C1752" s="485" t="n">
        <v>2</v>
      </c>
      <c r="D1752" s="485" t="n">
        <v>2</v>
      </c>
      <c r="E1752" s="485" t="n">
        <v>2</v>
      </c>
      <c r="F1752" s="485" t="n">
        <v>2</v>
      </c>
      <c r="G1752" s="516" t="inlineStr">
        <is>
          <t>East-Up1</t>
        </is>
      </c>
      <c r="H1752" s="485" t="n">
        <v>1322.7075</v>
      </c>
      <c r="I1752" s="485" t="n">
        <v>0</v>
      </c>
      <c r="J1752" s="485" t="n">
        <v>44</v>
      </c>
      <c r="K1752" s="485" t="n">
        <v>25</v>
      </c>
      <c r="L1752" s="485" t="n">
        <v>4</v>
      </c>
      <c r="M1752" s="514" t="inlineStr">
        <is>
          <t>T</t>
        </is>
      </c>
    </row>
    <row r="1753">
      <c r="A1753" s="485" t="n">
        <v>24</v>
      </c>
      <c r="B1753" s="485" t="n">
        <v>3</v>
      </c>
      <c r="C1753" s="485" t="n">
        <v>2</v>
      </c>
      <c r="D1753" s="485" t="n">
        <v>2</v>
      </c>
      <c r="E1753" s="485" t="n">
        <v>2</v>
      </c>
      <c r="F1753" s="485" t="n">
        <v>2</v>
      </c>
      <c r="G1753" s="485" t="inlineStr">
        <is>
          <t>East-Down1</t>
        </is>
      </c>
      <c r="H1753" s="485" t="n">
        <v>1322.7075</v>
      </c>
      <c r="I1753" s="485" t="n">
        <v>0</v>
      </c>
      <c r="J1753" s="485" t="n">
        <v>44</v>
      </c>
      <c r="K1753" s="485" t="n">
        <v>25</v>
      </c>
      <c r="L1753" s="485" t="n">
        <v>4</v>
      </c>
      <c r="M1753" s="514" t="inlineStr">
        <is>
          <t>T</t>
        </is>
      </c>
    </row>
    <row r="1754">
      <c r="A1754" s="485" t="n">
        <v>24</v>
      </c>
      <c r="B1754" s="485" t="n">
        <v>3</v>
      </c>
      <c r="C1754" s="485" t="n">
        <v>2</v>
      </c>
      <c r="D1754" s="485" t="n">
        <v>2</v>
      </c>
      <c r="E1754" s="485" t="n">
        <v>2</v>
      </c>
      <c r="F1754" s="485" t="n">
        <v>2</v>
      </c>
      <c r="G1754" s="485" t="inlineStr">
        <is>
          <t>East-Down2</t>
        </is>
      </c>
      <c r="H1754" s="485" t="n">
        <v>1322.7075</v>
      </c>
      <c r="I1754" s="485" t="n">
        <v>0</v>
      </c>
      <c r="J1754" s="485" t="n">
        <v>44</v>
      </c>
      <c r="K1754" s="485" t="n">
        <v>25</v>
      </c>
      <c r="L1754" s="485" t="n">
        <v>4</v>
      </c>
      <c r="M1754" s="514" t="inlineStr">
        <is>
          <t>T</t>
        </is>
      </c>
    </row>
    <row r="1755">
      <c r="A1755" s="485" t="n">
        <v>24</v>
      </c>
      <c r="B1755" s="485" t="n">
        <v>3</v>
      </c>
      <c r="C1755" s="485" t="n">
        <v>2</v>
      </c>
      <c r="D1755" s="485" t="n">
        <v>2</v>
      </c>
      <c r="E1755" s="485" t="n">
        <v>2</v>
      </c>
      <c r="F1755" s="485" t="n">
        <v>2</v>
      </c>
      <c r="G1755" s="485" t="inlineStr">
        <is>
          <t>North-Left2</t>
        </is>
      </c>
      <c r="H1755" s="485" t="n">
        <v>0</v>
      </c>
      <c r="I1755" s="485" t="n">
        <v>0</v>
      </c>
      <c r="J1755" s="485" t="n">
        <v>0</v>
      </c>
      <c r="K1755" s="485" t="n">
        <v>0</v>
      </c>
      <c r="L1755" s="485" t="n">
        <v>0</v>
      </c>
      <c r="M1755" s="514" t="inlineStr">
        <is>
          <t>T</t>
        </is>
      </c>
    </row>
    <row r="1756">
      <c r="A1756" s="485" t="n">
        <v>24</v>
      </c>
      <c r="B1756" s="485" t="n">
        <v>3</v>
      </c>
      <c r="C1756" s="485" t="n">
        <v>2</v>
      </c>
      <c r="D1756" s="485" t="n">
        <v>2</v>
      </c>
      <c r="E1756" s="485" t="n">
        <v>2</v>
      </c>
      <c r="F1756" s="485" t="n">
        <v>2</v>
      </c>
      <c r="G1756" s="516" t="inlineStr">
        <is>
          <t>North-Left1</t>
        </is>
      </c>
      <c r="H1756" s="485" t="n">
        <v>5271.96</v>
      </c>
      <c r="I1756" s="485" t="n">
        <v>89</v>
      </c>
      <c r="J1756" s="485" t="n">
        <v>39</v>
      </c>
      <c r="K1756" s="485" t="n">
        <v>48</v>
      </c>
      <c r="L1756" s="485" t="n">
        <v>2</v>
      </c>
      <c r="M1756" s="514" t="inlineStr">
        <is>
          <t>T</t>
        </is>
      </c>
    </row>
    <row r="1757">
      <c r="A1757" s="485" t="n">
        <v>24</v>
      </c>
      <c r="B1757" s="485" t="n">
        <v>3</v>
      </c>
      <c r="C1757" s="485" t="n">
        <v>2</v>
      </c>
      <c r="D1757" s="485" t="n">
        <v>2</v>
      </c>
      <c r="E1757" s="485" t="n">
        <v>2</v>
      </c>
      <c r="F1757" s="485" t="n">
        <v>2</v>
      </c>
      <c r="G1757" s="485" t="inlineStr">
        <is>
          <t>North-Right1</t>
        </is>
      </c>
      <c r="H1757" s="485" t="n">
        <v>0</v>
      </c>
      <c r="I1757" s="485" t="n">
        <v>0</v>
      </c>
      <c r="J1757" s="485" t="n">
        <v>0</v>
      </c>
      <c r="K1757" s="485" t="n">
        <v>0</v>
      </c>
      <c r="L1757" s="485" t="n">
        <v>0</v>
      </c>
      <c r="M1757" s="514" t="inlineStr">
        <is>
          <t>T</t>
        </is>
      </c>
    </row>
    <row r="1758">
      <c r="A1758" s="485" t="n">
        <v>24</v>
      </c>
      <c r="B1758" s="485" t="n">
        <v>3</v>
      </c>
      <c r="C1758" s="485" t="n">
        <v>2</v>
      </c>
      <c r="D1758" s="485" t="n">
        <v>2</v>
      </c>
      <c r="E1758" s="485" t="n">
        <v>2</v>
      </c>
      <c r="F1758" s="485" t="n">
        <v>2</v>
      </c>
      <c r="G1758" s="485" t="inlineStr">
        <is>
          <t>North-Right2</t>
        </is>
      </c>
      <c r="H1758" s="485" t="n">
        <v>0</v>
      </c>
      <c r="I1758" s="485" t="n">
        <v>0</v>
      </c>
      <c r="J1758" s="485" t="n">
        <v>0</v>
      </c>
      <c r="K1758" s="485" t="n">
        <v>0</v>
      </c>
      <c r="L1758" s="485" t="n">
        <v>0</v>
      </c>
      <c r="M1758" s="514" t="inlineStr">
        <is>
          <t>T</t>
        </is>
      </c>
    </row>
    <row r="1759">
      <c r="A1759" s="485" t="n">
        <v>24</v>
      </c>
      <c r="B1759" s="485" t="n">
        <v>3</v>
      </c>
      <c r="C1759" s="485" t="n">
        <v>2</v>
      </c>
      <c r="D1759" s="485" t="n">
        <v>2</v>
      </c>
      <c r="E1759" s="485" t="n">
        <v>2</v>
      </c>
      <c r="F1759" s="485" t="n">
        <v>2</v>
      </c>
      <c r="G1759" s="485" t="inlineStr">
        <is>
          <t>South-Left2</t>
        </is>
      </c>
      <c r="H1759" s="485" t="n">
        <v>0</v>
      </c>
      <c r="I1759" s="485" t="n">
        <v>0</v>
      </c>
      <c r="J1759" s="485" t="n">
        <v>0</v>
      </c>
      <c r="K1759" s="485" t="n">
        <v>0</v>
      </c>
      <c r="L1759" s="485" t="n">
        <v>0</v>
      </c>
      <c r="M1759" s="514" t="inlineStr">
        <is>
          <t>T</t>
        </is>
      </c>
    </row>
    <row r="1760">
      <c r="A1760" s="485" t="n">
        <v>24</v>
      </c>
      <c r="B1760" s="485" t="n">
        <v>3</v>
      </c>
      <c r="C1760" s="485" t="n">
        <v>2</v>
      </c>
      <c r="D1760" s="485" t="n">
        <v>2</v>
      </c>
      <c r="E1760" s="485" t="n">
        <v>2</v>
      </c>
      <c r="F1760" s="485" t="n">
        <v>2</v>
      </c>
      <c r="G1760" s="516" t="inlineStr">
        <is>
          <t>South-Left1</t>
        </is>
      </c>
      <c r="H1760" s="485" t="n">
        <v>2798.72</v>
      </c>
      <c r="I1760" s="485" t="n">
        <v>89</v>
      </c>
      <c r="J1760" s="485" t="n">
        <v>44</v>
      </c>
      <c r="K1760" s="485" t="n">
        <v>59</v>
      </c>
      <c r="L1760" s="485" t="n">
        <v>3</v>
      </c>
      <c r="M1760" s="514" t="inlineStr">
        <is>
          <t>T</t>
        </is>
      </c>
    </row>
    <row r="1761">
      <c r="A1761" s="485" t="n">
        <v>24</v>
      </c>
      <c r="B1761" s="485" t="n">
        <v>3</v>
      </c>
      <c r="C1761" s="485" t="n">
        <v>2</v>
      </c>
      <c r="D1761" s="485" t="n">
        <v>2</v>
      </c>
      <c r="E1761" s="485" t="n">
        <v>2</v>
      </c>
      <c r="F1761" s="485" t="n">
        <v>2</v>
      </c>
      <c r="G1761" s="485" t="inlineStr">
        <is>
          <t>South-Right1</t>
        </is>
      </c>
      <c r="H1761" s="485" t="n">
        <v>1219.24</v>
      </c>
      <c r="I1761" s="485" t="n">
        <v>89</v>
      </c>
      <c r="J1761" s="485" t="n">
        <v>43</v>
      </c>
      <c r="K1761" s="485" t="n">
        <v>32</v>
      </c>
      <c r="L1761" s="485" t="n">
        <v>2</v>
      </c>
      <c r="M1761" s="514" t="inlineStr">
        <is>
          <t>T</t>
        </is>
      </c>
    </row>
    <row r="1762">
      <c r="A1762" s="485" t="n">
        <v>24</v>
      </c>
      <c r="B1762" s="485" t="n">
        <v>3</v>
      </c>
      <c r="C1762" s="485" t="n">
        <v>2</v>
      </c>
      <c r="D1762" s="485" t="n">
        <v>2</v>
      </c>
      <c r="E1762" s="485" t="n">
        <v>2</v>
      </c>
      <c r="F1762" s="485" t="n">
        <v>2</v>
      </c>
      <c r="G1762" s="485" t="inlineStr">
        <is>
          <t>South-Right2</t>
        </is>
      </c>
      <c r="H1762" s="485" t="n">
        <v>1339.04</v>
      </c>
      <c r="I1762" s="485" t="n">
        <v>89</v>
      </c>
      <c r="J1762" s="485" t="n">
        <v>23</v>
      </c>
      <c r="K1762" s="485" t="n">
        <v>42</v>
      </c>
      <c r="L1762" s="485" t="n">
        <v>2</v>
      </c>
      <c r="M1762" s="514" t="inlineStr">
        <is>
          <t>T</t>
        </is>
      </c>
    </row>
    <row r="1763">
      <c r="A1763" s="486" t="n">
        <v>25</v>
      </c>
      <c r="B1763" s="486" t="n">
        <v>6</v>
      </c>
      <c r="C1763" s="486" t="n">
        <v>2</v>
      </c>
      <c r="D1763" s="486" t="n">
        <v>19</v>
      </c>
      <c r="E1763" s="486" t="n">
        <v>1</v>
      </c>
      <c r="F1763" s="486" t="n">
        <v>1</v>
      </c>
      <c r="G1763" s="486" t="inlineStr">
        <is>
          <t>West-Up2</t>
        </is>
      </c>
      <c r="H1763" s="486" t="n">
        <v>0</v>
      </c>
      <c r="I1763" s="486" t="n">
        <v>0</v>
      </c>
      <c r="J1763" s="486" t="n">
        <v>0</v>
      </c>
      <c r="K1763" s="486" t="n">
        <v>0</v>
      </c>
      <c r="L1763" s="486" t="n">
        <v>0</v>
      </c>
      <c r="M1763" s="487" t="inlineStr">
        <is>
          <t>G</t>
        </is>
      </c>
    </row>
    <row r="1764">
      <c r="A1764" s="486" t="n">
        <v>25</v>
      </c>
      <c r="B1764" s="486" t="n">
        <v>6</v>
      </c>
      <c r="C1764" s="486" t="n">
        <v>2</v>
      </c>
      <c r="D1764" s="486" t="n">
        <v>19</v>
      </c>
      <c r="E1764" s="486" t="n">
        <v>1</v>
      </c>
      <c r="F1764" s="486" t="n">
        <v>1</v>
      </c>
      <c r="G1764" s="475" t="inlineStr">
        <is>
          <t>West-Up1</t>
        </is>
      </c>
      <c r="H1764" s="486" t="n">
        <v>2639.22</v>
      </c>
      <c r="I1764" s="486" t="n">
        <v>1</v>
      </c>
      <c r="J1764" s="486" t="n">
        <v>12</v>
      </c>
      <c r="K1764" s="486" t="n">
        <v>12</v>
      </c>
      <c r="L1764" s="486" t="n">
        <v>4</v>
      </c>
      <c r="M1764" s="487" t="inlineStr">
        <is>
          <t>G</t>
        </is>
      </c>
    </row>
    <row r="1765">
      <c r="A1765" s="486" t="n">
        <v>25</v>
      </c>
      <c r="B1765" s="486" t="n">
        <v>6</v>
      </c>
      <c r="C1765" s="486" t="n">
        <v>2</v>
      </c>
      <c r="D1765" s="486" t="n">
        <v>19</v>
      </c>
      <c r="E1765" s="486" t="n">
        <v>1</v>
      </c>
      <c r="F1765" s="486" t="n">
        <v>1</v>
      </c>
      <c r="G1765" s="486" t="inlineStr">
        <is>
          <t>West-Down1</t>
        </is>
      </c>
      <c r="H1765" s="486" t="n">
        <v>2638.93</v>
      </c>
      <c r="I1765" s="486" t="n">
        <v>1</v>
      </c>
      <c r="J1765" s="486" t="n">
        <v>13</v>
      </c>
      <c r="K1765" s="486" t="n">
        <v>53</v>
      </c>
      <c r="L1765" s="486" t="n">
        <v>4</v>
      </c>
      <c r="M1765" s="487" t="inlineStr">
        <is>
          <t>G</t>
        </is>
      </c>
    </row>
    <row r="1766">
      <c r="A1766" s="486" t="n">
        <v>25</v>
      </c>
      <c r="B1766" s="486" t="n">
        <v>6</v>
      </c>
      <c r="C1766" s="486" t="n">
        <v>2</v>
      </c>
      <c r="D1766" s="486" t="n">
        <v>19</v>
      </c>
      <c r="E1766" s="486" t="n">
        <v>1</v>
      </c>
      <c r="F1766" s="486" t="n">
        <v>1</v>
      </c>
      <c r="G1766" s="486" t="inlineStr">
        <is>
          <t>West-Down2</t>
        </is>
      </c>
      <c r="H1766" s="486" t="n">
        <v>0</v>
      </c>
      <c r="I1766" s="486" t="n">
        <v>0</v>
      </c>
      <c r="J1766" s="486" t="n">
        <v>0</v>
      </c>
      <c r="K1766" s="486" t="n">
        <v>0</v>
      </c>
      <c r="L1766" s="486" t="n">
        <v>0</v>
      </c>
      <c r="M1766" s="487" t="inlineStr">
        <is>
          <t>G</t>
        </is>
      </c>
    </row>
    <row r="1767">
      <c r="A1767" s="486" t="n">
        <v>25</v>
      </c>
      <c r="B1767" s="486" t="n">
        <v>6</v>
      </c>
      <c r="C1767" s="486" t="n">
        <v>2</v>
      </c>
      <c r="D1767" s="486" t="n">
        <v>19</v>
      </c>
      <c r="E1767" s="486" t="n">
        <v>1</v>
      </c>
      <c r="F1767" s="486" t="n">
        <v>1</v>
      </c>
      <c r="G1767" s="486" t="inlineStr">
        <is>
          <t>East-Up2</t>
        </is>
      </c>
      <c r="H1767" s="486" t="n">
        <v>0</v>
      </c>
      <c r="I1767" s="486" t="n">
        <v>0</v>
      </c>
      <c r="J1767" s="486" t="n">
        <v>0</v>
      </c>
      <c r="K1767" s="486" t="n">
        <v>0</v>
      </c>
      <c r="L1767" s="486" t="n">
        <v>0</v>
      </c>
      <c r="M1767" s="487" t="inlineStr">
        <is>
          <t>G</t>
        </is>
      </c>
    </row>
    <row r="1768">
      <c r="A1768" s="486" t="n">
        <v>25</v>
      </c>
      <c r="B1768" s="486" t="n">
        <v>6</v>
      </c>
      <c r="C1768" s="486" t="n">
        <v>2</v>
      </c>
      <c r="D1768" s="486" t="n">
        <v>19</v>
      </c>
      <c r="E1768" s="486" t="n">
        <v>1</v>
      </c>
      <c r="F1768" s="486" t="n">
        <v>1</v>
      </c>
      <c r="G1768" s="475" t="inlineStr">
        <is>
          <t>East-Up1</t>
        </is>
      </c>
      <c r="H1768" s="486" t="n">
        <v>2643.3</v>
      </c>
      <c r="I1768" s="486" t="n">
        <v>1</v>
      </c>
      <c r="J1768" s="486" t="n">
        <v>13</v>
      </c>
      <c r="K1768" s="486" t="n">
        <v>44</v>
      </c>
      <c r="L1768" s="486" t="n">
        <v>4</v>
      </c>
      <c r="M1768" s="487" t="inlineStr">
        <is>
          <t>G</t>
        </is>
      </c>
    </row>
    <row r="1769">
      <c r="A1769" s="486" t="n">
        <v>25</v>
      </c>
      <c r="B1769" s="486" t="n">
        <v>6</v>
      </c>
      <c r="C1769" s="486" t="n">
        <v>2</v>
      </c>
      <c r="D1769" s="486" t="n">
        <v>19</v>
      </c>
      <c r="E1769" s="486" t="n">
        <v>1</v>
      </c>
      <c r="F1769" s="486" t="n">
        <v>1</v>
      </c>
      <c r="G1769" s="486" t="inlineStr">
        <is>
          <t>East-Down1</t>
        </is>
      </c>
      <c r="H1769" s="486" t="n">
        <v>2643.55</v>
      </c>
      <c r="I1769" s="486" t="n">
        <v>1</v>
      </c>
      <c r="J1769" s="486" t="n">
        <v>13</v>
      </c>
      <c r="K1769" s="486" t="n">
        <v>44</v>
      </c>
      <c r="L1769" s="486" t="n">
        <v>4</v>
      </c>
      <c r="M1769" s="487" t="inlineStr">
        <is>
          <t>G</t>
        </is>
      </c>
    </row>
    <row r="1770">
      <c r="A1770" s="486" t="n">
        <v>25</v>
      </c>
      <c r="B1770" s="486" t="n">
        <v>6</v>
      </c>
      <c r="C1770" s="486" t="n">
        <v>2</v>
      </c>
      <c r="D1770" s="486" t="n">
        <v>19</v>
      </c>
      <c r="E1770" s="486" t="n">
        <v>1</v>
      </c>
      <c r="F1770" s="486" t="n">
        <v>1</v>
      </c>
      <c r="G1770" s="486" t="inlineStr">
        <is>
          <t>East-Down2</t>
        </is>
      </c>
      <c r="H1770" s="486" t="n">
        <v>0</v>
      </c>
      <c r="I1770" s="486" t="n">
        <v>0</v>
      </c>
      <c r="J1770" s="486" t="n">
        <v>0</v>
      </c>
      <c r="K1770" s="486" t="n">
        <v>0</v>
      </c>
      <c r="L1770" s="486" t="n">
        <v>0</v>
      </c>
      <c r="M1770" s="487" t="inlineStr">
        <is>
          <t>G</t>
        </is>
      </c>
    </row>
    <row r="1771">
      <c r="A1771" s="486" t="n">
        <v>25</v>
      </c>
      <c r="B1771" s="486" t="n">
        <v>6</v>
      </c>
      <c r="C1771" s="486" t="n">
        <v>2</v>
      </c>
      <c r="D1771" s="486" t="n">
        <v>19</v>
      </c>
      <c r="E1771" s="486" t="n">
        <v>1</v>
      </c>
      <c r="F1771" s="486" t="n">
        <v>1</v>
      </c>
      <c r="G1771" s="486" t="inlineStr">
        <is>
          <t>North-Left2</t>
        </is>
      </c>
      <c r="H1771" s="486" t="n">
        <v>0</v>
      </c>
      <c r="I1771" s="486" t="n">
        <v>0</v>
      </c>
      <c r="J1771" s="486" t="n">
        <v>0</v>
      </c>
      <c r="K1771" s="486" t="n">
        <v>0</v>
      </c>
      <c r="L1771" s="486" t="n">
        <v>0</v>
      </c>
      <c r="M1771" s="487" t="inlineStr">
        <is>
          <t>G</t>
        </is>
      </c>
    </row>
    <row r="1772">
      <c r="A1772" s="486" t="n">
        <v>25</v>
      </c>
      <c r="B1772" s="486" t="n">
        <v>6</v>
      </c>
      <c r="C1772" s="486" t="n">
        <v>2</v>
      </c>
      <c r="D1772" s="486" t="n">
        <v>19</v>
      </c>
      <c r="E1772" s="486" t="n">
        <v>1</v>
      </c>
      <c r="F1772" s="486" t="n">
        <v>1</v>
      </c>
      <c r="G1772" s="475" t="inlineStr">
        <is>
          <t>North-Left1</t>
        </is>
      </c>
      <c r="H1772" s="486" t="n">
        <v>2642</v>
      </c>
      <c r="I1772" s="486" t="n">
        <v>88</v>
      </c>
      <c r="J1772" s="486" t="n">
        <v>40</v>
      </c>
      <c r="K1772" s="486" t="n">
        <v>41</v>
      </c>
      <c r="L1772" s="486" t="n">
        <v>3</v>
      </c>
      <c r="M1772" s="487" t="inlineStr">
        <is>
          <t>G</t>
        </is>
      </c>
    </row>
    <row r="1773">
      <c r="A1773" s="486" t="n">
        <v>25</v>
      </c>
      <c r="B1773" s="486" t="n">
        <v>6</v>
      </c>
      <c r="C1773" s="486" t="n">
        <v>2</v>
      </c>
      <c r="D1773" s="486" t="n">
        <v>19</v>
      </c>
      <c r="E1773" s="486" t="n">
        <v>1</v>
      </c>
      <c r="F1773" s="486" t="n">
        <v>1</v>
      </c>
      <c r="G1773" s="486" t="inlineStr">
        <is>
          <t>North-Right1</t>
        </is>
      </c>
      <c r="H1773" s="486" t="n">
        <v>2640.66</v>
      </c>
      <c r="I1773" s="486" t="n">
        <v>88</v>
      </c>
      <c r="J1773" s="486" t="n">
        <v>40</v>
      </c>
      <c r="K1773" s="486" t="n">
        <v>41</v>
      </c>
      <c r="L1773" s="486" t="n">
        <v>3</v>
      </c>
      <c r="M1773" s="487" t="inlineStr">
        <is>
          <t>G</t>
        </is>
      </c>
    </row>
    <row r="1774">
      <c r="A1774" s="486" t="n">
        <v>25</v>
      </c>
      <c r="B1774" s="486" t="n">
        <v>6</v>
      </c>
      <c r="C1774" s="486" t="n">
        <v>2</v>
      </c>
      <c r="D1774" s="486" t="n">
        <v>19</v>
      </c>
      <c r="E1774" s="486" t="n">
        <v>1</v>
      </c>
      <c r="F1774" s="486" t="n">
        <v>1</v>
      </c>
      <c r="G1774" s="486" t="inlineStr">
        <is>
          <t>North-Right2</t>
        </is>
      </c>
      <c r="H1774" s="486" t="n">
        <v>0</v>
      </c>
      <c r="I1774" s="486" t="n">
        <v>0</v>
      </c>
      <c r="J1774" s="486" t="n">
        <v>0</v>
      </c>
      <c r="K1774" s="486" t="n">
        <v>0</v>
      </c>
      <c r="L1774" s="486" t="n">
        <v>0</v>
      </c>
      <c r="M1774" s="487" t="inlineStr">
        <is>
          <t>G</t>
        </is>
      </c>
    </row>
    <row r="1775">
      <c r="A1775" s="486" t="n">
        <v>25</v>
      </c>
      <c r="B1775" s="486" t="n">
        <v>6</v>
      </c>
      <c r="C1775" s="486" t="n">
        <v>2</v>
      </c>
      <c r="D1775" s="486" t="n">
        <v>19</v>
      </c>
      <c r="E1775" s="486" t="n">
        <v>1</v>
      </c>
      <c r="F1775" s="486" t="n">
        <v>1</v>
      </c>
      <c r="G1775" s="486" t="inlineStr">
        <is>
          <t>South-Left2</t>
        </is>
      </c>
      <c r="H1775" s="486" t="n">
        <v>0</v>
      </c>
      <c r="I1775" s="486" t="n">
        <v>0</v>
      </c>
      <c r="J1775" s="486" t="n">
        <v>0</v>
      </c>
      <c r="K1775" s="486" t="n">
        <v>0</v>
      </c>
      <c r="L1775" s="486" t="n">
        <v>0</v>
      </c>
      <c r="M1775" s="487" t="inlineStr">
        <is>
          <t>G</t>
        </is>
      </c>
    </row>
    <row r="1776">
      <c r="A1776" s="486" t="n">
        <v>25</v>
      </c>
      <c r="B1776" s="486" t="n">
        <v>6</v>
      </c>
      <c r="C1776" s="486" t="n">
        <v>2</v>
      </c>
      <c r="D1776" s="486" t="n">
        <v>19</v>
      </c>
      <c r="E1776" s="486" t="n">
        <v>1</v>
      </c>
      <c r="F1776" s="486" t="n">
        <v>1</v>
      </c>
      <c r="G1776" s="475" t="inlineStr">
        <is>
          <t>South-Left1</t>
        </is>
      </c>
      <c r="H1776" s="486" t="n">
        <v>2640.25</v>
      </c>
      <c r="I1776" s="486" t="n">
        <v>88</v>
      </c>
      <c r="J1776" s="486" t="n">
        <v>47</v>
      </c>
      <c r="K1776" s="486" t="n">
        <v>33</v>
      </c>
      <c r="L1776" s="486" t="n">
        <v>3</v>
      </c>
      <c r="M1776" s="487" t="inlineStr">
        <is>
          <t>G</t>
        </is>
      </c>
    </row>
    <row r="1777">
      <c r="A1777" s="486" t="n">
        <v>25</v>
      </c>
      <c r="B1777" s="486" t="n">
        <v>6</v>
      </c>
      <c r="C1777" s="486" t="n">
        <v>2</v>
      </c>
      <c r="D1777" s="486" t="n">
        <v>19</v>
      </c>
      <c r="E1777" s="486" t="n">
        <v>1</v>
      </c>
      <c r="F1777" s="486" t="n">
        <v>1</v>
      </c>
      <c r="G1777" s="486" t="inlineStr">
        <is>
          <t>South-Right1</t>
        </is>
      </c>
      <c r="H1777" s="486" t="n">
        <v>2638.11</v>
      </c>
      <c r="I1777" s="486" t="n">
        <v>88</v>
      </c>
      <c r="J1777" s="486" t="n">
        <v>47</v>
      </c>
      <c r="K1777" s="486" t="n">
        <v>8</v>
      </c>
      <c r="L1777" s="486" t="n">
        <v>3</v>
      </c>
      <c r="M1777" s="487" t="inlineStr">
        <is>
          <t>G</t>
        </is>
      </c>
    </row>
    <row r="1778">
      <c r="A1778" s="486" t="n">
        <v>25</v>
      </c>
      <c r="B1778" s="486" t="n">
        <v>6</v>
      </c>
      <c r="C1778" s="486" t="n">
        <v>2</v>
      </c>
      <c r="D1778" s="486" t="n">
        <v>19</v>
      </c>
      <c r="E1778" s="486" t="n">
        <v>1</v>
      </c>
      <c r="F1778" s="486" t="n">
        <v>1</v>
      </c>
      <c r="G1778" s="486" t="inlineStr">
        <is>
          <t>South-Right2</t>
        </is>
      </c>
      <c r="H1778" s="486" t="n">
        <v>0</v>
      </c>
      <c r="I1778" s="486" t="n">
        <v>0</v>
      </c>
      <c r="J1778" s="486" t="n">
        <v>0</v>
      </c>
      <c r="K1778" s="486" t="n">
        <v>0</v>
      </c>
      <c r="L1778" s="486" t="n">
        <v>0</v>
      </c>
      <c r="M1778" s="487" t="inlineStr">
        <is>
          <t>G</t>
        </is>
      </c>
    </row>
    <row r="1779">
      <c r="A1779" s="485" t="n">
        <v>25</v>
      </c>
      <c r="B1779" s="485" t="n">
        <v>2</v>
      </c>
      <c r="C1779" s="485" t="n">
        <v>2</v>
      </c>
      <c r="D1779" s="485" t="n">
        <v>1</v>
      </c>
      <c r="E1779" s="485" t="n">
        <v>2</v>
      </c>
      <c r="F1779" s="485" t="n">
        <v>2</v>
      </c>
      <c r="G1779" s="485" t="inlineStr">
        <is>
          <t>West-Up2</t>
        </is>
      </c>
      <c r="H1779" s="485" t="n">
        <v>1322.11</v>
      </c>
      <c r="I1779" s="485" t="n">
        <v>0</v>
      </c>
      <c r="J1779" s="485" t="n">
        <v>4</v>
      </c>
      <c r="K1779" s="485" t="n">
        <v>59</v>
      </c>
      <c r="L1779" s="485" t="n">
        <v>2</v>
      </c>
      <c r="M1779" s="514" t="inlineStr">
        <is>
          <t>T</t>
        </is>
      </c>
    </row>
    <row r="1780">
      <c r="A1780" s="485" t="n">
        <v>25</v>
      </c>
      <c r="B1780" s="485" t="n">
        <v>2</v>
      </c>
      <c r="C1780" s="485" t="n">
        <v>2</v>
      </c>
      <c r="D1780" s="485" t="n">
        <v>1</v>
      </c>
      <c r="E1780" s="485" t="n">
        <v>2</v>
      </c>
      <c r="F1780" s="485" t="n">
        <v>2</v>
      </c>
      <c r="G1780" s="516" t="inlineStr">
        <is>
          <t>West-Up1</t>
        </is>
      </c>
      <c r="H1780" s="485" t="n">
        <v>1322.11</v>
      </c>
      <c r="I1780" s="485" t="n">
        <v>0</v>
      </c>
      <c r="J1780" s="485" t="n">
        <v>4</v>
      </c>
      <c r="K1780" s="485" t="n">
        <v>59</v>
      </c>
      <c r="L1780" s="485" t="n">
        <v>2</v>
      </c>
      <c r="M1780" s="514" t="inlineStr">
        <is>
          <t>T</t>
        </is>
      </c>
    </row>
    <row r="1781">
      <c r="A1781" s="485" t="n">
        <v>25</v>
      </c>
      <c r="B1781" s="485" t="n">
        <v>2</v>
      </c>
      <c r="C1781" s="485" t="n">
        <v>2</v>
      </c>
      <c r="D1781" s="485" t="n">
        <v>1</v>
      </c>
      <c r="E1781" s="485" t="n">
        <v>2</v>
      </c>
      <c r="F1781" s="485" t="n">
        <v>2</v>
      </c>
      <c r="G1781" s="485" t="inlineStr">
        <is>
          <t>West-Down1</t>
        </is>
      </c>
      <c r="H1781" s="485" t="n">
        <v>1322.13</v>
      </c>
      <c r="I1781" s="485" t="n">
        <v>0</v>
      </c>
      <c r="J1781" s="485" t="n">
        <v>2</v>
      </c>
      <c r="K1781" s="485" t="n">
        <v>57</v>
      </c>
      <c r="L1781" s="485" t="n">
        <v>4</v>
      </c>
      <c r="M1781" s="514" t="inlineStr">
        <is>
          <t>T</t>
        </is>
      </c>
    </row>
    <row r="1782">
      <c r="A1782" s="485" t="n">
        <v>25</v>
      </c>
      <c r="B1782" s="485" t="n">
        <v>2</v>
      </c>
      <c r="C1782" s="485" t="n">
        <v>2</v>
      </c>
      <c r="D1782" s="485" t="n">
        <v>1</v>
      </c>
      <c r="E1782" s="485" t="n">
        <v>2</v>
      </c>
      <c r="F1782" s="485" t="n">
        <v>2</v>
      </c>
      <c r="G1782" s="485" t="inlineStr">
        <is>
          <t>West-Down2</t>
        </is>
      </c>
      <c r="H1782" s="485" t="n">
        <v>1328</v>
      </c>
      <c r="I1782" s="485" t="n">
        <v>0</v>
      </c>
      <c r="J1782" s="485" t="n">
        <v>9</v>
      </c>
      <c r="K1782" s="485" t="n">
        <v>32</v>
      </c>
      <c r="L1782" s="485" t="n">
        <v>4</v>
      </c>
      <c r="M1782" s="514" t="inlineStr">
        <is>
          <t>T</t>
        </is>
      </c>
    </row>
    <row r="1783">
      <c r="A1783" s="485" t="n">
        <v>25</v>
      </c>
      <c r="B1783" s="485" t="n">
        <v>2</v>
      </c>
      <c r="C1783" s="485" t="n">
        <v>2</v>
      </c>
      <c r="D1783" s="485" t="n">
        <v>1</v>
      </c>
      <c r="E1783" s="485" t="n">
        <v>2</v>
      </c>
      <c r="F1783" s="485" t="n">
        <v>2</v>
      </c>
      <c r="G1783" s="485" t="inlineStr">
        <is>
          <t>East-Up2</t>
        </is>
      </c>
      <c r="H1783" s="485" t="n">
        <v>0</v>
      </c>
      <c r="I1783" s="485" t="n">
        <v>0</v>
      </c>
      <c r="J1783" s="485" t="n">
        <v>0</v>
      </c>
      <c r="K1783" s="485" t="n">
        <v>0</v>
      </c>
      <c r="L1783" s="485" t="n">
        <v>0</v>
      </c>
      <c r="M1783" s="514" t="inlineStr">
        <is>
          <t>T</t>
        </is>
      </c>
    </row>
    <row r="1784">
      <c r="A1784" s="485" t="n">
        <v>25</v>
      </c>
      <c r="B1784" s="485" t="n">
        <v>2</v>
      </c>
      <c r="C1784" s="485" t="n">
        <v>2</v>
      </c>
      <c r="D1784" s="485" t="n">
        <v>1</v>
      </c>
      <c r="E1784" s="485" t="n">
        <v>2</v>
      </c>
      <c r="F1784" s="485" t="n">
        <v>2</v>
      </c>
      <c r="G1784" s="516" t="inlineStr">
        <is>
          <t>East-Up1</t>
        </is>
      </c>
      <c r="H1784" s="485" t="n">
        <v>2642.78</v>
      </c>
      <c r="I1784" s="485" t="n">
        <v>0</v>
      </c>
      <c r="J1784" s="485" t="n">
        <v>0</v>
      </c>
      <c r="K1784" s="485" t="n">
        <v>49</v>
      </c>
      <c r="L1784" s="485" t="n">
        <v>4</v>
      </c>
      <c r="M1784" s="514" t="inlineStr">
        <is>
          <t>T</t>
        </is>
      </c>
    </row>
    <row r="1785">
      <c r="A1785" s="485" t="n">
        <v>25</v>
      </c>
      <c r="B1785" s="485" t="n">
        <v>2</v>
      </c>
      <c r="C1785" s="485" t="n">
        <v>2</v>
      </c>
      <c r="D1785" s="485" t="n">
        <v>1</v>
      </c>
      <c r="E1785" s="485" t="n">
        <v>2</v>
      </c>
      <c r="F1785" s="485" t="n">
        <v>2</v>
      </c>
      <c r="G1785" s="485" t="inlineStr">
        <is>
          <t>East-Down1</t>
        </is>
      </c>
      <c r="H1785" s="485" t="n">
        <v>2645.85</v>
      </c>
      <c r="I1785" s="485" t="n">
        <v>0</v>
      </c>
      <c r="J1785" s="485" t="n">
        <v>28</v>
      </c>
      <c r="K1785" s="485" t="n">
        <v>7</v>
      </c>
      <c r="L1785" s="485" t="n">
        <v>4</v>
      </c>
      <c r="M1785" s="514" t="inlineStr">
        <is>
          <t>T</t>
        </is>
      </c>
    </row>
    <row r="1786">
      <c r="A1786" s="485" t="n">
        <v>25</v>
      </c>
      <c r="B1786" s="485" t="n">
        <v>2</v>
      </c>
      <c r="C1786" s="485" t="n">
        <v>2</v>
      </c>
      <c r="D1786" s="485" t="n">
        <v>1</v>
      </c>
      <c r="E1786" s="485" t="n">
        <v>2</v>
      </c>
      <c r="F1786" s="485" t="n">
        <v>2</v>
      </c>
      <c r="G1786" s="485" t="inlineStr">
        <is>
          <t>East-Down2</t>
        </is>
      </c>
      <c r="H1786" s="485" t="n">
        <v>0</v>
      </c>
      <c r="I1786" s="485" t="n">
        <v>0</v>
      </c>
      <c r="J1786" s="485" t="n">
        <v>0</v>
      </c>
      <c r="K1786" s="485" t="n">
        <v>0</v>
      </c>
      <c r="L1786" s="485" t="n">
        <v>0</v>
      </c>
      <c r="M1786" s="514" t="inlineStr">
        <is>
          <t>T</t>
        </is>
      </c>
    </row>
    <row r="1787">
      <c r="A1787" s="485" t="n">
        <v>25</v>
      </c>
      <c r="B1787" s="485" t="n">
        <v>2</v>
      </c>
      <c r="C1787" s="485" t="n">
        <v>2</v>
      </c>
      <c r="D1787" s="485" t="n">
        <v>1</v>
      </c>
      <c r="E1787" s="485" t="n">
        <v>2</v>
      </c>
      <c r="F1787" s="485" t="n">
        <v>2</v>
      </c>
      <c r="G1787" s="485" t="inlineStr">
        <is>
          <t>North-Left2</t>
        </is>
      </c>
      <c r="H1787" s="485" t="n">
        <v>1314.24</v>
      </c>
      <c r="I1787" s="485" t="n">
        <v>89</v>
      </c>
      <c r="J1787" s="485" t="n">
        <v>52</v>
      </c>
      <c r="K1787" s="485" t="n">
        <v>16</v>
      </c>
      <c r="L1787" s="485" t="n">
        <v>1</v>
      </c>
      <c r="M1787" s="514" t="inlineStr">
        <is>
          <t>T</t>
        </is>
      </c>
    </row>
    <row r="1788">
      <c r="A1788" s="485" t="n">
        <v>25</v>
      </c>
      <c r="B1788" s="485" t="n">
        <v>2</v>
      </c>
      <c r="C1788" s="485" t="n">
        <v>2</v>
      </c>
      <c r="D1788" s="485" t="n">
        <v>1</v>
      </c>
      <c r="E1788" s="485" t="n">
        <v>2</v>
      </c>
      <c r="F1788" s="485" t="n">
        <v>2</v>
      </c>
      <c r="G1788" s="516" t="inlineStr">
        <is>
          <t>North-Left1</t>
        </is>
      </c>
      <c r="H1788" s="485" t="n">
        <v>1302.62</v>
      </c>
      <c r="I1788" s="485" t="n">
        <v>89</v>
      </c>
      <c r="J1788" s="485" t="n">
        <v>52</v>
      </c>
      <c r="K1788" s="485" t="n">
        <v>16</v>
      </c>
      <c r="L1788" s="485" t="n">
        <v>1</v>
      </c>
      <c r="M1788" s="514" t="inlineStr">
        <is>
          <t>T</t>
        </is>
      </c>
    </row>
    <row r="1789">
      <c r="A1789" s="485" t="n">
        <v>25</v>
      </c>
      <c r="B1789" s="485" t="n">
        <v>2</v>
      </c>
      <c r="C1789" s="485" t="n">
        <v>2</v>
      </c>
      <c r="D1789" s="485" t="n">
        <v>1</v>
      </c>
      <c r="E1789" s="485" t="n">
        <v>2</v>
      </c>
      <c r="F1789" s="485" t="n">
        <v>2</v>
      </c>
      <c r="G1789" s="485" t="inlineStr">
        <is>
          <t>North-Right1</t>
        </is>
      </c>
      <c r="H1789" s="485" t="n">
        <v>1308.45</v>
      </c>
      <c r="I1789" s="485" t="n">
        <v>88</v>
      </c>
      <c r="J1789" s="485" t="n">
        <v>13</v>
      </c>
      <c r="K1789" s="485" t="n">
        <v>6</v>
      </c>
      <c r="L1789" s="485" t="n">
        <v>2</v>
      </c>
      <c r="M1789" s="514" t="inlineStr">
        <is>
          <t>T</t>
        </is>
      </c>
    </row>
    <row r="1790">
      <c r="A1790" s="485" t="n">
        <v>25</v>
      </c>
      <c r="B1790" s="485" t="n">
        <v>2</v>
      </c>
      <c r="C1790" s="485" t="n">
        <v>2</v>
      </c>
      <c r="D1790" s="485" t="n">
        <v>1</v>
      </c>
      <c r="E1790" s="485" t="n">
        <v>2</v>
      </c>
      <c r="F1790" s="485" t="n">
        <v>2</v>
      </c>
      <c r="G1790" s="485" t="inlineStr">
        <is>
          <t>North-Right2</t>
        </is>
      </c>
      <c r="H1790" s="485" t="n">
        <v>1341.05</v>
      </c>
      <c r="I1790" s="485" t="n">
        <v>88</v>
      </c>
      <c r="J1790" s="485" t="n">
        <v>1</v>
      </c>
      <c r="K1790" s="485" t="n">
        <v>3</v>
      </c>
      <c r="L1790" s="485" t="n">
        <v>1</v>
      </c>
      <c r="M1790" s="514" t="inlineStr">
        <is>
          <t>T</t>
        </is>
      </c>
    </row>
    <row r="1791">
      <c r="A1791" s="485" t="n">
        <v>25</v>
      </c>
      <c r="B1791" s="485" t="n">
        <v>2</v>
      </c>
      <c r="C1791" s="485" t="n">
        <v>2</v>
      </c>
      <c r="D1791" s="485" t="n">
        <v>1</v>
      </c>
      <c r="E1791" s="485" t="n">
        <v>2</v>
      </c>
      <c r="F1791" s="485" t="n">
        <v>2</v>
      </c>
      <c r="G1791" s="485" t="inlineStr">
        <is>
          <t>South-Left2</t>
        </is>
      </c>
      <c r="H1791" s="485" t="n">
        <v>1316.28</v>
      </c>
      <c r="I1791" s="485" t="n">
        <v>89</v>
      </c>
      <c r="J1791" s="485" t="n">
        <v>55</v>
      </c>
      <c r="K1791" s="485" t="n">
        <v>10</v>
      </c>
      <c r="L1791" s="485" t="n">
        <v>1</v>
      </c>
      <c r="M1791" s="514" t="inlineStr">
        <is>
          <t>T</t>
        </is>
      </c>
    </row>
    <row r="1792">
      <c r="A1792" s="485" t="n">
        <v>25</v>
      </c>
      <c r="B1792" s="485" t="n">
        <v>2</v>
      </c>
      <c r="C1792" s="485" t="n">
        <v>2</v>
      </c>
      <c r="D1792" s="485" t="n">
        <v>1</v>
      </c>
      <c r="E1792" s="485" t="n">
        <v>2</v>
      </c>
      <c r="F1792" s="485" t="n">
        <v>2</v>
      </c>
      <c r="G1792" s="516" t="inlineStr">
        <is>
          <t>South-Left1</t>
        </is>
      </c>
      <c r="H1792" s="485" t="n">
        <v>1316.28</v>
      </c>
      <c r="I1792" s="485" t="n">
        <v>89</v>
      </c>
      <c r="J1792" s="485" t="n">
        <v>55</v>
      </c>
      <c r="K1792" s="485" t="n">
        <v>10</v>
      </c>
      <c r="L1792" s="485" t="n">
        <v>1</v>
      </c>
      <c r="M1792" s="514" t="inlineStr">
        <is>
          <t>T</t>
        </is>
      </c>
    </row>
    <row r="1793">
      <c r="A1793" s="485" t="n">
        <v>25</v>
      </c>
      <c r="B1793" s="485" t="n">
        <v>2</v>
      </c>
      <c r="C1793" s="485" t="n">
        <v>2</v>
      </c>
      <c r="D1793" s="485" t="n">
        <v>1</v>
      </c>
      <c r="E1793" s="485" t="n">
        <v>2</v>
      </c>
      <c r="F1793" s="485" t="n">
        <v>2</v>
      </c>
      <c r="G1793" s="485" t="inlineStr">
        <is>
          <t>South-Right1</t>
        </is>
      </c>
      <c r="H1793" s="485" t="n">
        <v>1320.27</v>
      </c>
      <c r="I1793" s="485" t="n">
        <v>89</v>
      </c>
      <c r="J1793" s="485" t="n">
        <v>55</v>
      </c>
      <c r="K1793" s="485" t="n">
        <v>10</v>
      </c>
      <c r="L1793" s="485" t="n">
        <v>1</v>
      </c>
      <c r="M1793" s="514" t="inlineStr">
        <is>
          <t>T</t>
        </is>
      </c>
    </row>
    <row r="1794">
      <c r="A1794" s="485" t="n">
        <v>25</v>
      </c>
      <c r="B1794" s="485" t="n">
        <v>2</v>
      </c>
      <c r="C1794" s="485" t="n">
        <v>2</v>
      </c>
      <c r="D1794" s="485" t="n">
        <v>1</v>
      </c>
      <c r="E1794" s="485" t="n">
        <v>2</v>
      </c>
      <c r="F1794" s="485" t="n">
        <v>2</v>
      </c>
      <c r="G1794" s="485" t="inlineStr">
        <is>
          <t>South-Right2</t>
        </is>
      </c>
      <c r="H1794" s="485" t="n">
        <v>1333.38</v>
      </c>
      <c r="I1794" s="485" t="n">
        <v>89</v>
      </c>
      <c r="J1794" s="485" t="n">
        <v>59</v>
      </c>
      <c r="K1794" s="485" t="n">
        <v>23</v>
      </c>
      <c r="L1794" s="485" t="n">
        <v>1</v>
      </c>
      <c r="M1794" s="514" t="inlineStr">
        <is>
          <t>T</t>
        </is>
      </c>
    </row>
    <row r="1795">
      <c r="A1795" s="485" t="n">
        <v>25</v>
      </c>
      <c r="B1795" s="485" t="n">
        <v>2</v>
      </c>
      <c r="C1795" s="485" t="n">
        <v>2</v>
      </c>
      <c r="D1795" s="485" t="n">
        <v>2</v>
      </c>
      <c r="E1795" s="485" t="n">
        <v>2</v>
      </c>
      <c r="F1795" s="485" t="n">
        <v>2</v>
      </c>
      <c r="G1795" s="485" t="inlineStr">
        <is>
          <t>West-Up2</t>
        </is>
      </c>
      <c r="H1795" s="485" t="n">
        <v>0</v>
      </c>
      <c r="I1795" s="485" t="n">
        <v>0</v>
      </c>
      <c r="J1795" s="485" t="n">
        <v>0</v>
      </c>
      <c r="K1795" s="485" t="n">
        <v>0</v>
      </c>
      <c r="L1795" s="485" t="n">
        <v>0</v>
      </c>
      <c r="M1795" s="514" t="inlineStr">
        <is>
          <t>T</t>
        </is>
      </c>
    </row>
    <row r="1796">
      <c r="A1796" s="485" t="n">
        <v>25</v>
      </c>
      <c r="B1796" s="485" t="n">
        <v>2</v>
      </c>
      <c r="C1796" s="485" t="n">
        <v>2</v>
      </c>
      <c r="D1796" s="485" t="n">
        <v>2</v>
      </c>
      <c r="E1796" s="485" t="n">
        <v>2</v>
      </c>
      <c r="F1796" s="485" t="n">
        <v>2</v>
      </c>
      <c r="G1796" s="516" t="inlineStr">
        <is>
          <t>West-Up1</t>
        </is>
      </c>
      <c r="H1796" s="485" t="n">
        <v>2640.64</v>
      </c>
      <c r="I1796" s="485" t="n">
        <v>1</v>
      </c>
      <c r="J1796" s="485" t="n">
        <v>17</v>
      </c>
      <c r="K1796" s="485" t="n">
        <v>9</v>
      </c>
      <c r="L1796" s="485" t="n">
        <v>4</v>
      </c>
      <c r="M1796" s="514" t="inlineStr">
        <is>
          <t>T</t>
        </is>
      </c>
    </row>
    <row r="1797">
      <c r="A1797" s="485" t="n">
        <v>25</v>
      </c>
      <c r="B1797" s="485" t="n">
        <v>2</v>
      </c>
      <c r="C1797" s="485" t="n">
        <v>2</v>
      </c>
      <c r="D1797" s="485" t="n">
        <v>2</v>
      </c>
      <c r="E1797" s="485" t="n">
        <v>2</v>
      </c>
      <c r="F1797" s="485" t="n">
        <v>2</v>
      </c>
      <c r="G1797" s="485" t="inlineStr">
        <is>
          <t>West-Down1</t>
        </is>
      </c>
      <c r="H1797" s="485" t="n">
        <v>2640.41</v>
      </c>
      <c r="I1797" s="485" t="n">
        <v>1</v>
      </c>
      <c r="J1797" s="485" t="n">
        <v>17</v>
      </c>
      <c r="K1797" s="485" t="n">
        <v>3</v>
      </c>
      <c r="L1797" s="485" t="n">
        <v>4</v>
      </c>
      <c r="M1797" s="514" t="inlineStr">
        <is>
          <t>T</t>
        </is>
      </c>
    </row>
    <row r="1798">
      <c r="A1798" s="485" t="n">
        <v>25</v>
      </c>
      <c r="B1798" s="485" t="n">
        <v>2</v>
      </c>
      <c r="C1798" s="485" t="n">
        <v>2</v>
      </c>
      <c r="D1798" s="485" t="n">
        <v>2</v>
      </c>
      <c r="E1798" s="485" t="n">
        <v>2</v>
      </c>
      <c r="F1798" s="485" t="n">
        <v>2</v>
      </c>
      <c r="G1798" s="485" t="inlineStr">
        <is>
          <t>West-Down2</t>
        </is>
      </c>
      <c r="H1798" s="485" t="n">
        <v>0</v>
      </c>
      <c r="I1798" s="485" t="n">
        <v>0</v>
      </c>
      <c r="J1798" s="485" t="n">
        <v>0</v>
      </c>
      <c r="K1798" s="485" t="n">
        <v>0</v>
      </c>
      <c r="L1798" s="485" t="n">
        <v>0</v>
      </c>
      <c r="M1798" s="514" t="inlineStr">
        <is>
          <t>T</t>
        </is>
      </c>
    </row>
    <row r="1799">
      <c r="A1799" s="485" t="n">
        <v>25</v>
      </c>
      <c r="B1799" s="485" t="n">
        <v>2</v>
      </c>
      <c r="C1799" s="485" t="n">
        <v>2</v>
      </c>
      <c r="D1799" s="485" t="n">
        <v>2</v>
      </c>
      <c r="E1799" s="485" t="n">
        <v>2</v>
      </c>
      <c r="F1799" s="485" t="n">
        <v>2</v>
      </c>
      <c r="G1799" s="485" t="inlineStr">
        <is>
          <t>East-Up2</t>
        </is>
      </c>
      <c r="H1799" s="485" t="n">
        <v>0</v>
      </c>
      <c r="I1799" s="485" t="n">
        <v>0</v>
      </c>
      <c r="J1799" s="485" t="n">
        <v>0</v>
      </c>
      <c r="K1799" s="485" t="n">
        <v>0</v>
      </c>
      <c r="L1799" s="485" t="n">
        <v>0</v>
      </c>
      <c r="M1799" s="514" t="inlineStr">
        <is>
          <t>T</t>
        </is>
      </c>
    </row>
    <row r="1800">
      <c r="A1800" s="485" t="n">
        <v>25</v>
      </c>
      <c r="B1800" s="485" t="n">
        <v>2</v>
      </c>
      <c r="C1800" s="485" t="n">
        <v>2</v>
      </c>
      <c r="D1800" s="485" t="n">
        <v>2</v>
      </c>
      <c r="E1800" s="485" t="n">
        <v>2</v>
      </c>
      <c r="F1800" s="485" t="n">
        <v>2</v>
      </c>
      <c r="G1800" s="516" t="inlineStr">
        <is>
          <t>East-Up1</t>
        </is>
      </c>
      <c r="H1800" s="485" t="n">
        <v>2642.84</v>
      </c>
      <c r="I1800" s="485" t="n">
        <v>0</v>
      </c>
      <c r="J1800" s="485" t="n">
        <v>49</v>
      </c>
      <c r="K1800" s="485" t="n">
        <v>27</v>
      </c>
      <c r="L1800" s="485" t="n">
        <v>4</v>
      </c>
      <c r="M1800" s="514" t="inlineStr">
        <is>
          <t>T</t>
        </is>
      </c>
    </row>
    <row r="1801">
      <c r="A1801" s="485" t="n">
        <v>25</v>
      </c>
      <c r="B1801" s="485" t="n">
        <v>2</v>
      </c>
      <c r="C1801" s="485" t="n">
        <v>2</v>
      </c>
      <c r="D1801" s="485" t="n">
        <v>2</v>
      </c>
      <c r="E1801" s="485" t="n">
        <v>2</v>
      </c>
      <c r="F1801" s="485" t="n">
        <v>2</v>
      </c>
      <c r="G1801" s="485" t="inlineStr">
        <is>
          <t>East-Down1</t>
        </is>
      </c>
      <c r="H1801" s="485" t="n">
        <v>2643.1</v>
      </c>
      <c r="I1801" s="485" t="n">
        <v>0</v>
      </c>
      <c r="J1801" s="485" t="n">
        <v>48</v>
      </c>
      <c r="K1801" s="485" t="n">
        <v>57</v>
      </c>
      <c r="L1801" s="485" t="n">
        <v>4</v>
      </c>
      <c r="M1801" s="514" t="inlineStr">
        <is>
          <t>T</t>
        </is>
      </c>
    </row>
    <row r="1802">
      <c r="A1802" s="485" t="n">
        <v>25</v>
      </c>
      <c r="B1802" s="485" t="n">
        <v>2</v>
      </c>
      <c r="C1802" s="485" t="n">
        <v>2</v>
      </c>
      <c r="D1802" s="485" t="n">
        <v>2</v>
      </c>
      <c r="E1802" s="485" t="n">
        <v>2</v>
      </c>
      <c r="F1802" s="485" t="n">
        <v>2</v>
      </c>
      <c r="G1802" s="485" t="inlineStr">
        <is>
          <t>East-Down2</t>
        </is>
      </c>
      <c r="H1802" s="485" t="n">
        <v>0</v>
      </c>
      <c r="I1802" s="485" t="n">
        <v>0</v>
      </c>
      <c r="J1802" s="485" t="n">
        <v>0</v>
      </c>
      <c r="K1802" s="485" t="n">
        <v>0</v>
      </c>
      <c r="L1802" s="485" t="n">
        <v>0</v>
      </c>
      <c r="M1802" s="514" t="inlineStr">
        <is>
          <t>T</t>
        </is>
      </c>
    </row>
    <row r="1803">
      <c r="A1803" s="485" t="n">
        <v>25</v>
      </c>
      <c r="B1803" s="485" t="n">
        <v>2</v>
      </c>
      <c r="C1803" s="485" t="n">
        <v>2</v>
      </c>
      <c r="D1803" s="485" t="n">
        <v>2</v>
      </c>
      <c r="E1803" s="485" t="n">
        <v>2</v>
      </c>
      <c r="F1803" s="485" t="n">
        <v>2</v>
      </c>
      <c r="G1803" s="485" t="inlineStr">
        <is>
          <t>North-Left2</t>
        </is>
      </c>
      <c r="H1803" s="485" t="n">
        <v>0</v>
      </c>
      <c r="I1803" s="485" t="n">
        <v>0</v>
      </c>
      <c r="J1803" s="485" t="n">
        <v>0</v>
      </c>
      <c r="K1803" s="485" t="n">
        <v>0</v>
      </c>
      <c r="L1803" s="485" t="n">
        <v>0</v>
      </c>
      <c r="M1803" s="514" t="inlineStr">
        <is>
          <t>T</t>
        </is>
      </c>
    </row>
    <row r="1804">
      <c r="A1804" s="485" t="n">
        <v>25</v>
      </c>
      <c r="B1804" s="485" t="n">
        <v>2</v>
      </c>
      <c r="C1804" s="485" t="n">
        <v>2</v>
      </c>
      <c r="D1804" s="485" t="n">
        <v>2</v>
      </c>
      <c r="E1804" s="485" t="n">
        <v>2</v>
      </c>
      <c r="F1804" s="485" t="n">
        <v>2</v>
      </c>
      <c r="G1804" s="516" t="inlineStr">
        <is>
          <t>North-Left1</t>
        </is>
      </c>
      <c r="H1804" s="485" t="n">
        <v>2646.99</v>
      </c>
      <c r="I1804" s="485" t="n">
        <v>88</v>
      </c>
      <c r="J1804" s="485" t="n">
        <v>40</v>
      </c>
      <c r="K1804" s="485" t="n">
        <v>43</v>
      </c>
      <c r="L1804" s="485" t="n">
        <v>3</v>
      </c>
      <c r="M1804" s="514" t="inlineStr">
        <is>
          <t>T</t>
        </is>
      </c>
    </row>
    <row r="1805">
      <c r="A1805" s="485" t="n">
        <v>25</v>
      </c>
      <c r="B1805" s="485" t="n">
        <v>2</v>
      </c>
      <c r="C1805" s="485" t="n">
        <v>2</v>
      </c>
      <c r="D1805" s="485" t="n">
        <v>2</v>
      </c>
      <c r="E1805" s="485" t="n">
        <v>2</v>
      </c>
      <c r="F1805" s="485" t="n">
        <v>2</v>
      </c>
      <c r="G1805" s="485" t="inlineStr">
        <is>
          <t>North-Right1</t>
        </is>
      </c>
      <c r="H1805" s="485" t="n">
        <v>2646.73</v>
      </c>
      <c r="I1805" s="485" t="n">
        <v>88</v>
      </c>
      <c r="J1805" s="485" t="n">
        <v>40</v>
      </c>
      <c r="K1805" s="485" t="n">
        <v>6</v>
      </c>
      <c r="L1805" s="485" t="n">
        <v>3</v>
      </c>
      <c r="M1805" s="514" t="inlineStr">
        <is>
          <t>T</t>
        </is>
      </c>
    </row>
    <row r="1806">
      <c r="A1806" s="485" t="n">
        <v>25</v>
      </c>
      <c r="B1806" s="485" t="n">
        <v>2</v>
      </c>
      <c r="C1806" s="485" t="n">
        <v>2</v>
      </c>
      <c r="D1806" s="485" t="n">
        <v>2</v>
      </c>
      <c r="E1806" s="485" t="n">
        <v>2</v>
      </c>
      <c r="F1806" s="485" t="n">
        <v>2</v>
      </c>
      <c r="G1806" s="485" t="inlineStr">
        <is>
          <t>North-Right2</t>
        </is>
      </c>
      <c r="H1806" s="485" t="n">
        <v>0</v>
      </c>
      <c r="I1806" s="485" t="n">
        <v>0</v>
      </c>
      <c r="J1806" s="485" t="n">
        <v>0</v>
      </c>
      <c r="K1806" s="485" t="n">
        <v>0</v>
      </c>
      <c r="L1806" s="485" t="n">
        <v>0</v>
      </c>
      <c r="M1806" s="514" t="inlineStr">
        <is>
          <t>T</t>
        </is>
      </c>
    </row>
    <row r="1807">
      <c r="A1807" s="485" t="n">
        <v>25</v>
      </c>
      <c r="B1807" s="485" t="n">
        <v>2</v>
      </c>
      <c r="C1807" s="485" t="n">
        <v>2</v>
      </c>
      <c r="D1807" s="485" t="n">
        <v>2</v>
      </c>
      <c r="E1807" s="485" t="n">
        <v>2</v>
      </c>
      <c r="F1807" s="485" t="n">
        <v>2</v>
      </c>
      <c r="G1807" s="485" t="inlineStr">
        <is>
          <t>South-Left2</t>
        </is>
      </c>
      <c r="H1807" s="485" t="n">
        <v>0</v>
      </c>
      <c r="I1807" s="485" t="n">
        <v>0</v>
      </c>
      <c r="J1807" s="485" t="n">
        <v>0</v>
      </c>
      <c r="K1807" s="485" t="n">
        <v>0</v>
      </c>
      <c r="L1807" s="485" t="n">
        <v>0</v>
      </c>
      <c r="M1807" s="514" t="inlineStr">
        <is>
          <t>T</t>
        </is>
      </c>
    </row>
    <row r="1808">
      <c r="A1808" s="485" t="n">
        <v>25</v>
      </c>
      <c r="B1808" s="485" t="n">
        <v>2</v>
      </c>
      <c r="C1808" s="485" t="n">
        <v>2</v>
      </c>
      <c r="D1808" s="485" t="n">
        <v>2</v>
      </c>
      <c r="E1808" s="485" t="n">
        <v>2</v>
      </c>
      <c r="F1808" s="485" t="n">
        <v>2</v>
      </c>
      <c r="G1808" s="516" t="inlineStr">
        <is>
          <t>South-Left1</t>
        </is>
      </c>
      <c r="H1808" s="485" t="n">
        <v>2638.46</v>
      </c>
      <c r="I1808" s="485" t="n">
        <v>88</v>
      </c>
      <c r="J1808" s="485" t="n">
        <v>43</v>
      </c>
      <c r="K1808" s="485" t="n">
        <v>52</v>
      </c>
      <c r="L1808" s="485" t="n">
        <v>4</v>
      </c>
      <c r="M1808" s="514" t="inlineStr">
        <is>
          <t>T</t>
        </is>
      </c>
    </row>
    <row r="1809">
      <c r="A1809" s="485" t="n">
        <v>25</v>
      </c>
      <c r="B1809" s="485" t="n">
        <v>2</v>
      </c>
      <c r="C1809" s="485" t="n">
        <v>2</v>
      </c>
      <c r="D1809" s="485" t="n">
        <v>2</v>
      </c>
      <c r="E1809" s="485" t="n">
        <v>2</v>
      </c>
      <c r="F1809" s="485" t="n">
        <v>2</v>
      </c>
      <c r="G1809" s="485" t="inlineStr">
        <is>
          <t>South-Right1</t>
        </is>
      </c>
      <c r="H1809" s="485" t="n">
        <v>2612.36</v>
      </c>
      <c r="I1809" s="485" t="n">
        <v>88</v>
      </c>
      <c r="J1809" s="485" t="n">
        <v>43</v>
      </c>
      <c r="K1809" s="485" t="n">
        <v>4</v>
      </c>
      <c r="L1809" s="485" t="n">
        <v>4</v>
      </c>
      <c r="M1809" s="514" t="inlineStr">
        <is>
          <t>T</t>
        </is>
      </c>
    </row>
    <row r="1810">
      <c r="A1810" s="485" t="n">
        <v>25</v>
      </c>
      <c r="B1810" s="485" t="n">
        <v>2</v>
      </c>
      <c r="C1810" s="485" t="n">
        <v>2</v>
      </c>
      <c r="D1810" s="485" t="n">
        <v>2</v>
      </c>
      <c r="E1810" s="485" t="n">
        <v>2</v>
      </c>
      <c r="F1810" s="485" t="n">
        <v>2</v>
      </c>
      <c r="G1810" s="485" t="inlineStr">
        <is>
          <t>South-Right2</t>
        </is>
      </c>
      <c r="H1810" s="485" t="n">
        <v>0</v>
      </c>
      <c r="I1810" s="485" t="n">
        <v>0</v>
      </c>
      <c r="J1810" s="485" t="n">
        <v>0</v>
      </c>
      <c r="K1810" s="485" t="n">
        <v>0</v>
      </c>
      <c r="L1810" s="485" t="n">
        <v>0</v>
      </c>
      <c r="M1810" s="514" t="inlineStr">
        <is>
          <t>T</t>
        </is>
      </c>
    </row>
    <row r="1811" ht="25.5" customHeight="1" s="613">
      <c r="A1811" s="486" t="n">
        <v>25</v>
      </c>
      <c r="B1811" s="486" t="n">
        <v>2</v>
      </c>
      <c r="C1811" s="486" t="n">
        <v>2</v>
      </c>
      <c r="D1811" s="486" t="n">
        <v>3</v>
      </c>
      <c r="E1811" s="486" t="n">
        <v>2</v>
      </c>
      <c r="F1811" s="486" t="n">
        <v>2</v>
      </c>
      <c r="G1811" s="486" t="inlineStr">
        <is>
          <t>West-Up2</t>
        </is>
      </c>
      <c r="H1811" s="486" t="n">
        <v>0</v>
      </c>
      <c r="I1811" s="486" t="n">
        <v>0</v>
      </c>
      <c r="J1811" s="486" t="n">
        <v>0</v>
      </c>
      <c r="K1811" s="486" t="n">
        <v>0</v>
      </c>
      <c r="L1811" s="486" t="n">
        <v>0</v>
      </c>
      <c r="M1811" s="487" t="inlineStr">
        <is>
          <t>T</t>
        </is>
      </c>
    </row>
    <row r="1812" ht="25.5" customHeight="1" s="613">
      <c r="A1812" s="486" t="n">
        <v>25</v>
      </c>
      <c r="B1812" s="486" t="n">
        <v>2</v>
      </c>
      <c r="C1812" s="486" t="n">
        <v>2</v>
      </c>
      <c r="D1812" s="486" t="n">
        <v>3</v>
      </c>
      <c r="E1812" s="486" t="n">
        <v>2</v>
      </c>
      <c r="F1812" s="486" t="n">
        <v>2</v>
      </c>
      <c r="G1812" s="475" t="inlineStr">
        <is>
          <t>West-Up1</t>
        </is>
      </c>
      <c r="H1812" s="486" t="n">
        <v>2543.18</v>
      </c>
      <c r="I1812" s="486" t="n">
        <v>0</v>
      </c>
      <c r="J1812" s="486" t="n">
        <v>0</v>
      </c>
      <c r="K1812" s="486" t="n">
        <v>55</v>
      </c>
      <c r="L1812" s="486" t="n">
        <v>2</v>
      </c>
      <c r="M1812" s="487" t="inlineStr">
        <is>
          <t>T</t>
        </is>
      </c>
    </row>
    <row r="1813" ht="25.5" customHeight="1" s="613">
      <c r="A1813" s="486" t="n">
        <v>25</v>
      </c>
      <c r="B1813" s="486" t="n">
        <v>2</v>
      </c>
      <c r="C1813" s="486" t="n">
        <v>2</v>
      </c>
      <c r="D1813" s="486" t="n">
        <v>3</v>
      </c>
      <c r="E1813" s="486" t="n">
        <v>2</v>
      </c>
      <c r="F1813" s="486" t="n">
        <v>2</v>
      </c>
      <c r="G1813" s="486" t="inlineStr">
        <is>
          <t>West-Down1</t>
        </is>
      </c>
      <c r="H1813" s="486" t="n">
        <v>1334.93</v>
      </c>
      <c r="I1813" s="486" t="n">
        <v>0</v>
      </c>
      <c r="J1813" s="486" t="n">
        <v>15</v>
      </c>
      <c r="K1813" s="486" t="n">
        <v>44</v>
      </c>
      <c r="L1813" s="486" t="n">
        <v>4</v>
      </c>
      <c r="M1813" s="487" t="inlineStr">
        <is>
          <t>T</t>
        </is>
      </c>
    </row>
    <row r="1814" ht="25.5" customHeight="1" s="613">
      <c r="A1814" s="486" t="n">
        <v>25</v>
      </c>
      <c r="B1814" s="486" t="n">
        <v>2</v>
      </c>
      <c r="C1814" s="486" t="n">
        <v>2</v>
      </c>
      <c r="D1814" s="486" t="n">
        <v>3</v>
      </c>
      <c r="E1814" s="486" t="n">
        <v>2</v>
      </c>
      <c r="F1814" s="486" t="n">
        <v>2</v>
      </c>
      <c r="G1814" s="486" t="inlineStr">
        <is>
          <t>West-Down2</t>
        </is>
      </c>
      <c r="H1814" s="486" t="n">
        <v>1321.74</v>
      </c>
      <c r="I1814" s="486" t="n">
        <v>0</v>
      </c>
      <c r="J1814" s="486" t="n">
        <v>15</v>
      </c>
      <c r="K1814" s="486" t="n">
        <v>12</v>
      </c>
      <c r="L1814" s="486" t="n">
        <v>4</v>
      </c>
      <c r="M1814" s="487" t="inlineStr">
        <is>
          <t>T</t>
        </is>
      </c>
    </row>
    <row r="1815" ht="25.5" customHeight="1" s="613">
      <c r="A1815" s="486" t="n">
        <v>25</v>
      </c>
      <c r="B1815" s="486" t="n">
        <v>2</v>
      </c>
      <c r="C1815" s="486" t="n">
        <v>2</v>
      </c>
      <c r="D1815" s="486" t="n">
        <v>3</v>
      </c>
      <c r="E1815" s="486" t="n">
        <v>2</v>
      </c>
      <c r="F1815" s="486" t="n">
        <v>2</v>
      </c>
      <c r="G1815" s="486" t="inlineStr">
        <is>
          <t>East-Up2</t>
        </is>
      </c>
      <c r="H1815" s="486" t="n">
        <v>0</v>
      </c>
      <c r="I1815" s="486" t="n">
        <v>0</v>
      </c>
      <c r="J1815" s="486" t="n">
        <v>0</v>
      </c>
      <c r="K1815" s="486" t="n">
        <v>0</v>
      </c>
      <c r="L1815" s="486" t="n">
        <v>0</v>
      </c>
      <c r="M1815" s="487" t="inlineStr">
        <is>
          <t>T</t>
        </is>
      </c>
    </row>
    <row r="1816" ht="25.5" customHeight="1" s="613">
      <c r="A1816" s="486" t="n">
        <v>25</v>
      </c>
      <c r="B1816" s="486" t="n">
        <v>2</v>
      </c>
      <c r="C1816" s="486" t="n">
        <v>2</v>
      </c>
      <c r="D1816" s="486" t="n">
        <v>3</v>
      </c>
      <c r="E1816" s="486" t="n">
        <v>2</v>
      </c>
      <c r="F1816" s="486" t="n">
        <v>2</v>
      </c>
      <c r="G1816" s="475" t="inlineStr">
        <is>
          <t>East-Up1</t>
        </is>
      </c>
      <c r="H1816" s="486" t="n">
        <v>2593</v>
      </c>
      <c r="I1816" s="486" t="n">
        <v>0</v>
      </c>
      <c r="J1816" s="486" t="n">
        <v>7</v>
      </c>
      <c r="K1816" s="486" t="n">
        <v>9</v>
      </c>
      <c r="L1816" s="486" t="n">
        <v>2</v>
      </c>
      <c r="M1816" s="487" t="inlineStr">
        <is>
          <t>T</t>
        </is>
      </c>
    </row>
    <row r="1817" ht="25.5" customHeight="1" s="613">
      <c r="A1817" s="486" t="n">
        <v>25</v>
      </c>
      <c r="B1817" s="486" t="n">
        <v>2</v>
      </c>
      <c r="C1817" s="486" t="n">
        <v>2</v>
      </c>
      <c r="D1817" s="486" t="n">
        <v>3</v>
      </c>
      <c r="E1817" s="486" t="n">
        <v>2</v>
      </c>
      <c r="F1817" s="486" t="n">
        <v>2</v>
      </c>
      <c r="G1817" s="486" t="inlineStr">
        <is>
          <t>East-Down1</t>
        </is>
      </c>
      <c r="H1817" s="486" t="n">
        <v>1369.29</v>
      </c>
      <c r="I1817" s="486" t="n">
        <v>0</v>
      </c>
      <c r="J1817" s="486" t="n">
        <v>34</v>
      </c>
      <c r="K1817" s="486" t="n">
        <v>46</v>
      </c>
      <c r="L1817" s="486" t="n">
        <v>2</v>
      </c>
      <c r="M1817" s="487" t="inlineStr">
        <is>
          <t>T</t>
        </is>
      </c>
    </row>
    <row r="1818" ht="25.5" customHeight="1" s="613">
      <c r="A1818" s="486" t="n">
        <v>25</v>
      </c>
      <c r="B1818" s="486" t="n">
        <v>2</v>
      </c>
      <c r="C1818" s="486" t="n">
        <v>2</v>
      </c>
      <c r="D1818" s="486" t="n">
        <v>3</v>
      </c>
      <c r="E1818" s="486" t="n">
        <v>2</v>
      </c>
      <c r="F1818" s="486" t="n">
        <v>2</v>
      </c>
      <c r="G1818" s="486" t="inlineStr">
        <is>
          <t>East-Down2</t>
        </is>
      </c>
      <c r="H1818" s="486" t="n">
        <v>1322.15</v>
      </c>
      <c r="I1818" s="486" t="n">
        <v>0</v>
      </c>
      <c r="J1818" s="486" t="n">
        <v>0</v>
      </c>
      <c r="K1818" s="486" t="n">
        <v>0</v>
      </c>
      <c r="L1818" s="486" t="n">
        <v>0</v>
      </c>
      <c r="M1818" s="487" t="inlineStr">
        <is>
          <t>T</t>
        </is>
      </c>
    </row>
    <row r="1819" ht="25.5" customHeight="1" s="613">
      <c r="A1819" s="486" t="n">
        <v>25</v>
      </c>
      <c r="B1819" s="486" t="n">
        <v>2</v>
      </c>
      <c r="C1819" s="486" t="n">
        <v>2</v>
      </c>
      <c r="D1819" s="486" t="n">
        <v>3</v>
      </c>
      <c r="E1819" s="486" t="n">
        <v>2</v>
      </c>
      <c r="F1819" s="486" t="n">
        <v>2</v>
      </c>
      <c r="G1819" s="486" t="inlineStr">
        <is>
          <t>North-Left2</t>
        </is>
      </c>
      <c r="H1819" s="486" t="n">
        <v>0</v>
      </c>
      <c r="I1819" s="486" t="n">
        <v>0</v>
      </c>
      <c r="J1819" s="486" t="n">
        <v>0</v>
      </c>
      <c r="K1819" s="486" t="n">
        <v>0</v>
      </c>
      <c r="L1819" s="486" t="n">
        <v>0</v>
      </c>
      <c r="M1819" s="487" t="inlineStr">
        <is>
          <t>T</t>
        </is>
      </c>
    </row>
    <row r="1820" ht="25.5" customHeight="1" s="613">
      <c r="A1820" s="486" t="n">
        <v>25</v>
      </c>
      <c r="B1820" s="486" t="n">
        <v>2</v>
      </c>
      <c r="C1820" s="486" t="n">
        <v>2</v>
      </c>
      <c r="D1820" s="486" t="n">
        <v>3</v>
      </c>
      <c r="E1820" s="486" t="n">
        <v>2</v>
      </c>
      <c r="F1820" s="486" t="n">
        <v>2</v>
      </c>
      <c r="G1820" s="475" t="inlineStr">
        <is>
          <t>North-Left1</t>
        </is>
      </c>
      <c r="H1820" s="486" t="n">
        <v>5315.54</v>
      </c>
      <c r="I1820" s="486" t="n">
        <v>89</v>
      </c>
      <c r="J1820" s="486" t="n">
        <v>44</v>
      </c>
      <c r="K1820" s="486" t="n">
        <v>5</v>
      </c>
      <c r="L1820" s="486" t="n">
        <v>3</v>
      </c>
      <c r="M1820" s="487" t="inlineStr">
        <is>
          <t>T</t>
        </is>
      </c>
    </row>
    <row r="1821" ht="25.5" customHeight="1" s="613">
      <c r="A1821" s="486" t="n">
        <v>25</v>
      </c>
      <c r="B1821" s="486" t="n">
        <v>2</v>
      </c>
      <c r="C1821" s="486" t="n">
        <v>2</v>
      </c>
      <c r="D1821" s="486" t="n">
        <v>3</v>
      </c>
      <c r="E1821" s="486" t="n">
        <v>2</v>
      </c>
      <c r="F1821" s="486" t="n">
        <v>2</v>
      </c>
      <c r="G1821" s="486" t="inlineStr">
        <is>
          <t>North-Right1</t>
        </is>
      </c>
      <c r="H1821" s="486" t="n">
        <v>0</v>
      </c>
      <c r="I1821" s="486" t="n">
        <v>0</v>
      </c>
      <c r="J1821" s="486" t="n">
        <v>0</v>
      </c>
      <c r="K1821" s="486" t="n">
        <v>0</v>
      </c>
      <c r="L1821" s="486" t="n">
        <v>0</v>
      </c>
      <c r="M1821" s="487" t="inlineStr">
        <is>
          <t>T</t>
        </is>
      </c>
    </row>
    <row r="1822" ht="25.5" customHeight="1" s="613">
      <c r="A1822" s="486" t="n">
        <v>25</v>
      </c>
      <c r="B1822" s="486" t="n">
        <v>2</v>
      </c>
      <c r="C1822" s="486" t="n">
        <v>2</v>
      </c>
      <c r="D1822" s="486" t="n">
        <v>3</v>
      </c>
      <c r="E1822" s="486" t="n">
        <v>2</v>
      </c>
      <c r="F1822" s="486" t="n">
        <v>2</v>
      </c>
      <c r="G1822" s="486" t="inlineStr">
        <is>
          <t>North-Right2</t>
        </is>
      </c>
      <c r="H1822" s="486" t="n">
        <v>0</v>
      </c>
      <c r="I1822" s="486" t="n">
        <v>0</v>
      </c>
      <c r="J1822" s="486" t="n">
        <v>0</v>
      </c>
      <c r="K1822" s="486" t="n">
        <v>0</v>
      </c>
      <c r="L1822" s="486" t="n">
        <v>0</v>
      </c>
      <c r="M1822" s="487" t="inlineStr">
        <is>
          <t>T</t>
        </is>
      </c>
    </row>
    <row r="1823" ht="25.5" customHeight="1" s="613">
      <c r="A1823" s="486" t="n">
        <v>25</v>
      </c>
      <c r="B1823" s="486" t="n">
        <v>2</v>
      </c>
      <c r="C1823" s="486" t="n">
        <v>2</v>
      </c>
      <c r="D1823" s="486" t="n">
        <v>3</v>
      </c>
      <c r="E1823" s="486" t="n">
        <v>2</v>
      </c>
      <c r="F1823" s="486" t="n">
        <v>2</v>
      </c>
      <c r="G1823" s="486" t="inlineStr">
        <is>
          <t>South-Left2</t>
        </is>
      </c>
      <c r="H1823" s="486" t="n">
        <v>0</v>
      </c>
      <c r="I1823" s="486" t="n">
        <v>0</v>
      </c>
      <c r="J1823" s="486" t="n">
        <v>0</v>
      </c>
      <c r="K1823" s="486" t="n">
        <v>0</v>
      </c>
      <c r="L1823" s="486" t="n">
        <v>0</v>
      </c>
      <c r="M1823" s="487" t="inlineStr">
        <is>
          <t>T</t>
        </is>
      </c>
    </row>
    <row r="1824" ht="25.5" customHeight="1" s="613">
      <c r="A1824" s="486" t="n">
        <v>25</v>
      </c>
      <c r="B1824" s="486" t="n">
        <v>2</v>
      </c>
      <c r="C1824" s="486" t="n">
        <v>2</v>
      </c>
      <c r="D1824" s="486" t="n">
        <v>3</v>
      </c>
      <c r="E1824" s="486" t="n">
        <v>2</v>
      </c>
      <c r="F1824" s="486" t="n">
        <v>2</v>
      </c>
      <c r="G1824" s="475" t="inlineStr">
        <is>
          <t>South-Left1</t>
        </is>
      </c>
      <c r="H1824" s="486" t="n">
        <v>2641.51</v>
      </c>
      <c r="I1824" s="486" t="n">
        <v>89</v>
      </c>
      <c r="J1824" s="486" t="n">
        <v>20</v>
      </c>
      <c r="K1824" s="486" t="n">
        <v>53</v>
      </c>
      <c r="L1824" s="486" t="n">
        <v>4</v>
      </c>
      <c r="M1824" s="487" t="inlineStr">
        <is>
          <t>T</t>
        </is>
      </c>
    </row>
    <row r="1825" ht="25.5" customHeight="1" s="613">
      <c r="A1825" s="486" t="n">
        <v>25</v>
      </c>
      <c r="B1825" s="486" t="n">
        <v>2</v>
      </c>
      <c r="C1825" s="486" t="n">
        <v>2</v>
      </c>
      <c r="D1825" s="486" t="n">
        <v>3</v>
      </c>
      <c r="E1825" s="486" t="n">
        <v>2</v>
      </c>
      <c r="F1825" s="486" t="n">
        <v>2</v>
      </c>
      <c r="G1825" s="486" t="inlineStr">
        <is>
          <t>South-Right1</t>
        </is>
      </c>
      <c r="H1825" s="486" t="n">
        <v>2641.68</v>
      </c>
      <c r="I1825" s="486" t="n">
        <v>89</v>
      </c>
      <c r="J1825" s="486" t="n">
        <v>21</v>
      </c>
      <c r="K1825" s="486" t="n">
        <v>7</v>
      </c>
      <c r="L1825" s="486" t="n">
        <v>4</v>
      </c>
      <c r="M1825" s="487" t="inlineStr">
        <is>
          <t>T</t>
        </is>
      </c>
    </row>
    <row r="1826" ht="25.5" customHeight="1" s="613">
      <c r="A1826" s="486" t="n">
        <v>25</v>
      </c>
      <c r="B1826" s="486" t="n">
        <v>2</v>
      </c>
      <c r="C1826" s="486" t="n">
        <v>2</v>
      </c>
      <c r="D1826" s="486" t="n">
        <v>3</v>
      </c>
      <c r="E1826" s="486" t="n">
        <v>2</v>
      </c>
      <c r="F1826" s="486" t="n">
        <v>2</v>
      </c>
      <c r="G1826" s="486" t="inlineStr">
        <is>
          <t>South-Right2</t>
        </is>
      </c>
      <c r="H1826" s="486" t="n">
        <v>0</v>
      </c>
      <c r="I1826" s="486" t="n">
        <v>0</v>
      </c>
      <c r="J1826" s="486" t="n">
        <v>0</v>
      </c>
      <c r="K1826" s="486" t="n">
        <v>0</v>
      </c>
      <c r="L1826" s="486" t="n">
        <v>0</v>
      </c>
      <c r="M1826" s="487" t="inlineStr">
        <is>
          <t>T</t>
        </is>
      </c>
    </row>
    <row r="1827">
      <c r="A1827" s="486" t="n">
        <v>25</v>
      </c>
      <c r="B1827" s="486" t="n">
        <v>2</v>
      </c>
      <c r="C1827" s="486" t="n">
        <v>2</v>
      </c>
      <c r="D1827" s="486" t="n">
        <v>4</v>
      </c>
      <c r="E1827" s="486" t="n">
        <v>2</v>
      </c>
      <c r="F1827" s="486" t="n">
        <v>2</v>
      </c>
      <c r="G1827" s="486" t="inlineStr">
        <is>
          <t>West-Up2</t>
        </is>
      </c>
      <c r="H1827" s="486" t="n">
        <v>0</v>
      </c>
      <c r="I1827" s="486" t="n">
        <v>0</v>
      </c>
      <c r="J1827" s="486" t="n">
        <v>0</v>
      </c>
      <c r="K1827" s="486" t="n">
        <v>0</v>
      </c>
      <c r="L1827" s="486" t="n">
        <v>0</v>
      </c>
      <c r="M1827" s="490" t="inlineStr">
        <is>
          <t>T</t>
        </is>
      </c>
    </row>
    <row r="1828">
      <c r="A1828" s="486" t="n">
        <v>25</v>
      </c>
      <c r="B1828" s="486" t="n">
        <v>2</v>
      </c>
      <c r="C1828" s="486" t="n">
        <v>2</v>
      </c>
      <c r="D1828" s="486" t="n">
        <v>4</v>
      </c>
      <c r="E1828" s="486" t="n">
        <v>2</v>
      </c>
      <c r="F1828" s="486" t="n">
        <v>2</v>
      </c>
      <c r="G1828" s="475" t="inlineStr">
        <is>
          <t>West-Up1</t>
        </is>
      </c>
      <c r="H1828" s="486" t="n">
        <v>5283.77</v>
      </c>
      <c r="I1828" s="486" t="n">
        <v>0</v>
      </c>
      <c r="J1828" s="486" t="n">
        <v>15</v>
      </c>
      <c r="K1828" s="486" t="n">
        <v>24</v>
      </c>
      <c r="L1828" s="486" t="n">
        <v>4</v>
      </c>
      <c r="M1828" s="490" t="inlineStr">
        <is>
          <t>T</t>
        </is>
      </c>
    </row>
    <row r="1829">
      <c r="A1829" s="486" t="n">
        <v>25</v>
      </c>
      <c r="B1829" s="486" t="n">
        <v>2</v>
      </c>
      <c r="C1829" s="486" t="n">
        <v>2</v>
      </c>
      <c r="D1829" s="486" t="n">
        <v>4</v>
      </c>
      <c r="E1829" s="486" t="n">
        <v>2</v>
      </c>
      <c r="F1829" s="486" t="n">
        <v>2</v>
      </c>
      <c r="G1829" s="486" t="inlineStr">
        <is>
          <t>West-Down1</t>
        </is>
      </c>
      <c r="H1829" s="486" t="n">
        <v>0</v>
      </c>
      <c r="I1829" s="486" t="n">
        <v>0</v>
      </c>
      <c r="J1829" s="486" t="n">
        <v>0</v>
      </c>
      <c r="K1829" s="486" t="n">
        <v>0</v>
      </c>
      <c r="L1829" s="486" t="n">
        <v>0</v>
      </c>
      <c r="M1829" s="490" t="inlineStr">
        <is>
          <t>T</t>
        </is>
      </c>
    </row>
    <row r="1830">
      <c r="A1830" s="486" t="n">
        <v>25</v>
      </c>
      <c r="B1830" s="486" t="n">
        <v>2</v>
      </c>
      <c r="C1830" s="486" t="n">
        <v>2</v>
      </c>
      <c r="D1830" s="486" t="n">
        <v>4</v>
      </c>
      <c r="E1830" s="486" t="n">
        <v>2</v>
      </c>
      <c r="F1830" s="486" t="n">
        <v>2</v>
      </c>
      <c r="G1830" s="486" t="inlineStr">
        <is>
          <t>West-Down2</t>
        </is>
      </c>
      <c r="H1830" s="486" t="n">
        <v>0</v>
      </c>
      <c r="I1830" s="486" t="n">
        <v>0</v>
      </c>
      <c r="J1830" s="486" t="n">
        <v>0</v>
      </c>
      <c r="K1830" s="486" t="n">
        <v>0</v>
      </c>
      <c r="L1830" s="486" t="n">
        <v>0</v>
      </c>
      <c r="M1830" s="490" t="inlineStr">
        <is>
          <t>T</t>
        </is>
      </c>
    </row>
    <row r="1831">
      <c r="A1831" s="486" t="n">
        <v>25</v>
      </c>
      <c r="B1831" s="486" t="n">
        <v>2</v>
      </c>
      <c r="C1831" s="486" t="n">
        <v>2</v>
      </c>
      <c r="D1831" s="486" t="n">
        <v>4</v>
      </c>
      <c r="E1831" s="486" t="n">
        <v>2</v>
      </c>
      <c r="F1831" s="486" t="n">
        <v>2</v>
      </c>
      <c r="G1831" s="486" t="inlineStr">
        <is>
          <t>East-Up2</t>
        </is>
      </c>
      <c r="H1831" s="486" t="n">
        <v>0</v>
      </c>
      <c r="I1831" s="486" t="n">
        <v>0</v>
      </c>
      <c r="J1831" s="486" t="n">
        <v>0</v>
      </c>
      <c r="K1831" s="486" t="n">
        <v>0</v>
      </c>
      <c r="L1831" s="486" t="n">
        <v>0</v>
      </c>
      <c r="M1831" s="490" t="inlineStr">
        <is>
          <t>T</t>
        </is>
      </c>
    </row>
    <row r="1832">
      <c r="A1832" s="486" t="n">
        <v>25</v>
      </c>
      <c r="B1832" s="486" t="n">
        <v>2</v>
      </c>
      <c r="C1832" s="486" t="n">
        <v>2</v>
      </c>
      <c r="D1832" s="486" t="n">
        <v>4</v>
      </c>
      <c r="E1832" s="486" t="n">
        <v>2</v>
      </c>
      <c r="F1832" s="486" t="n">
        <v>2</v>
      </c>
      <c r="G1832" s="475" t="inlineStr">
        <is>
          <t>East-Up1</t>
        </is>
      </c>
      <c r="H1832" s="486" t="n">
        <v>5274.15</v>
      </c>
      <c r="I1832" s="486" t="n">
        <v>0</v>
      </c>
      <c r="J1832" s="486" t="n">
        <v>1</v>
      </c>
      <c r="K1832" s="486" t="n">
        <v>22</v>
      </c>
      <c r="L1832" s="486" t="n">
        <v>4</v>
      </c>
      <c r="M1832" s="490" t="inlineStr">
        <is>
          <t>T</t>
        </is>
      </c>
    </row>
    <row r="1833">
      <c r="A1833" s="486" t="n">
        <v>25</v>
      </c>
      <c r="B1833" s="486" t="n">
        <v>2</v>
      </c>
      <c r="C1833" s="486" t="n">
        <v>2</v>
      </c>
      <c r="D1833" s="486" t="n">
        <v>4</v>
      </c>
      <c r="E1833" s="486" t="n">
        <v>2</v>
      </c>
      <c r="F1833" s="486" t="n">
        <v>2</v>
      </c>
      <c r="G1833" s="486" t="inlineStr">
        <is>
          <t>East-Down1</t>
        </is>
      </c>
      <c r="H1833" s="486" t="n">
        <v>0</v>
      </c>
      <c r="I1833" s="486" t="n">
        <v>0</v>
      </c>
      <c r="J1833" s="486" t="n">
        <v>0</v>
      </c>
      <c r="K1833" s="486" t="n">
        <v>0</v>
      </c>
      <c r="L1833" s="486" t="n">
        <v>0</v>
      </c>
      <c r="M1833" s="490" t="inlineStr">
        <is>
          <t>T</t>
        </is>
      </c>
    </row>
    <row r="1834">
      <c r="A1834" s="486" t="n">
        <v>25</v>
      </c>
      <c r="B1834" s="486" t="n">
        <v>2</v>
      </c>
      <c r="C1834" s="486" t="n">
        <v>2</v>
      </c>
      <c r="D1834" s="486" t="n">
        <v>4</v>
      </c>
      <c r="E1834" s="486" t="n">
        <v>2</v>
      </c>
      <c r="F1834" s="486" t="n">
        <v>2</v>
      </c>
      <c r="G1834" s="486" t="inlineStr">
        <is>
          <t>East-Down2</t>
        </is>
      </c>
      <c r="H1834" s="486" t="n">
        <v>0</v>
      </c>
      <c r="I1834" s="486" t="n">
        <v>0</v>
      </c>
      <c r="J1834" s="486" t="n">
        <v>0</v>
      </c>
      <c r="K1834" s="486" t="n">
        <v>0</v>
      </c>
      <c r="L1834" s="486" t="n">
        <v>0</v>
      </c>
      <c r="M1834" s="490" t="inlineStr">
        <is>
          <t>T</t>
        </is>
      </c>
    </row>
    <row r="1835">
      <c r="A1835" s="486" t="n">
        <v>25</v>
      </c>
      <c r="B1835" s="486" t="n">
        <v>2</v>
      </c>
      <c r="C1835" s="486" t="n">
        <v>2</v>
      </c>
      <c r="D1835" s="486" t="n">
        <v>4</v>
      </c>
      <c r="E1835" s="486" t="n">
        <v>2</v>
      </c>
      <c r="F1835" s="486" t="n">
        <v>2</v>
      </c>
      <c r="G1835" s="486" t="inlineStr">
        <is>
          <t>North-Left2</t>
        </is>
      </c>
      <c r="H1835" s="486" t="n">
        <v>0</v>
      </c>
      <c r="I1835" s="486" t="n">
        <v>0</v>
      </c>
      <c r="J1835" s="486" t="n">
        <v>0</v>
      </c>
      <c r="K1835" s="486" t="n">
        <v>0</v>
      </c>
      <c r="L1835" s="486" t="n">
        <v>0</v>
      </c>
      <c r="M1835" s="490" t="inlineStr">
        <is>
          <t>T</t>
        </is>
      </c>
    </row>
    <row r="1836">
      <c r="A1836" s="486" t="n">
        <v>25</v>
      </c>
      <c r="B1836" s="486" t="n">
        <v>2</v>
      </c>
      <c r="C1836" s="486" t="n">
        <v>2</v>
      </c>
      <c r="D1836" s="486" t="n">
        <v>4</v>
      </c>
      <c r="E1836" s="486" t="n">
        <v>2</v>
      </c>
      <c r="F1836" s="486" t="n">
        <v>2</v>
      </c>
      <c r="G1836" s="475" t="inlineStr">
        <is>
          <t>North-Left1</t>
        </is>
      </c>
      <c r="H1836" s="486" t="n">
        <v>2657.94</v>
      </c>
      <c r="I1836" s="486" t="n">
        <v>89</v>
      </c>
      <c r="J1836" s="486" t="n">
        <v>53</v>
      </c>
      <c r="K1836" s="486" t="n">
        <v>13</v>
      </c>
      <c r="L1836" s="486" t="n">
        <v>1</v>
      </c>
      <c r="M1836" s="490" t="inlineStr">
        <is>
          <t>T</t>
        </is>
      </c>
    </row>
    <row r="1837">
      <c r="A1837" s="486" t="n">
        <v>25</v>
      </c>
      <c r="B1837" s="486" t="n">
        <v>2</v>
      </c>
      <c r="C1837" s="486" t="n">
        <v>2</v>
      </c>
      <c r="D1837" s="486" t="n">
        <v>4</v>
      </c>
      <c r="E1837" s="486" t="n">
        <v>2</v>
      </c>
      <c r="F1837" s="486" t="n">
        <v>2</v>
      </c>
      <c r="G1837" s="486" t="inlineStr">
        <is>
          <t>North-Right1</t>
        </is>
      </c>
      <c r="H1837" s="486" t="n">
        <v>2621.9</v>
      </c>
      <c r="I1837" s="486" t="n">
        <v>89</v>
      </c>
      <c r="J1837" s="486" t="n">
        <v>58</v>
      </c>
      <c r="K1837" s="486" t="n">
        <v>26</v>
      </c>
      <c r="L1837" s="486" t="n">
        <v>1</v>
      </c>
      <c r="M1837" s="490" t="inlineStr">
        <is>
          <t>T</t>
        </is>
      </c>
    </row>
    <row r="1838">
      <c r="A1838" s="486" t="n">
        <v>25</v>
      </c>
      <c r="B1838" s="486" t="n">
        <v>2</v>
      </c>
      <c r="C1838" s="486" t="n">
        <v>2</v>
      </c>
      <c r="D1838" s="486" t="n">
        <v>4</v>
      </c>
      <c r="E1838" s="486" t="n">
        <v>2</v>
      </c>
      <c r="F1838" s="486" t="n">
        <v>2</v>
      </c>
      <c r="G1838" s="486" t="inlineStr">
        <is>
          <t>North-Right2</t>
        </is>
      </c>
      <c r="H1838" s="486" t="n">
        <v>0</v>
      </c>
      <c r="I1838" s="486" t="n">
        <v>0</v>
      </c>
      <c r="J1838" s="486" t="n">
        <v>0</v>
      </c>
      <c r="K1838" s="486" t="n">
        <v>0</v>
      </c>
      <c r="L1838" s="486" t="n">
        <v>0</v>
      </c>
      <c r="M1838" s="490" t="inlineStr">
        <is>
          <t>T</t>
        </is>
      </c>
    </row>
    <row r="1839">
      <c r="A1839" s="486" t="n">
        <v>25</v>
      </c>
      <c r="B1839" s="486" t="n">
        <v>2</v>
      </c>
      <c r="C1839" s="486" t="n">
        <v>2</v>
      </c>
      <c r="D1839" s="486" t="n">
        <v>4</v>
      </c>
      <c r="E1839" s="486" t="n">
        <v>2</v>
      </c>
      <c r="F1839" s="486" t="n">
        <v>2</v>
      </c>
      <c r="G1839" s="486" t="inlineStr">
        <is>
          <t>South-Left2</t>
        </is>
      </c>
      <c r="H1839" s="486" t="n">
        <v>0</v>
      </c>
      <c r="I1839" s="486" t="n">
        <v>0</v>
      </c>
      <c r="J1839" s="486" t="n">
        <v>0</v>
      </c>
      <c r="K1839" s="486" t="n">
        <v>0</v>
      </c>
      <c r="L1839" s="486" t="n">
        <v>0</v>
      </c>
      <c r="M1839" s="490" t="inlineStr">
        <is>
          <t>T</t>
        </is>
      </c>
    </row>
    <row r="1840">
      <c r="A1840" s="486" t="n">
        <v>25</v>
      </c>
      <c r="B1840" s="486" t="n">
        <v>2</v>
      </c>
      <c r="C1840" s="486" t="n">
        <v>2</v>
      </c>
      <c r="D1840" s="486" t="n">
        <v>4</v>
      </c>
      <c r="E1840" s="486" t="n">
        <v>2</v>
      </c>
      <c r="F1840" s="486" t="n">
        <v>2</v>
      </c>
      <c r="G1840" s="475" t="inlineStr">
        <is>
          <t>South-Left1</t>
        </is>
      </c>
      <c r="H1840" s="486" t="n">
        <v>2622.78</v>
      </c>
      <c r="I1840" s="486" t="n">
        <v>89</v>
      </c>
      <c r="J1840" s="486" t="n">
        <v>55</v>
      </c>
      <c r="K1840" s="486" t="n">
        <v>5</v>
      </c>
      <c r="L1840" s="486" t="n">
        <v>3</v>
      </c>
      <c r="M1840" s="490" t="inlineStr">
        <is>
          <t>T</t>
        </is>
      </c>
    </row>
    <row r="1841">
      <c r="A1841" s="486" t="n">
        <v>25</v>
      </c>
      <c r="B1841" s="486" t="n">
        <v>2</v>
      </c>
      <c r="C1841" s="486" t="n">
        <v>2</v>
      </c>
      <c r="D1841" s="486" t="n">
        <v>4</v>
      </c>
      <c r="E1841" s="486" t="n">
        <v>2</v>
      </c>
      <c r="F1841" s="486" t="n">
        <v>2</v>
      </c>
      <c r="G1841" s="486" t="inlineStr">
        <is>
          <t>South-Right1</t>
        </is>
      </c>
      <c r="H1841" s="486" t="n">
        <v>2635.47</v>
      </c>
      <c r="I1841" s="486" t="n">
        <v>89</v>
      </c>
      <c r="J1841" s="486" t="n">
        <v>59</v>
      </c>
      <c r="K1841" s="486" t="n">
        <v>11</v>
      </c>
      <c r="L1841" s="486" t="n">
        <v>4</v>
      </c>
      <c r="M1841" s="490" t="inlineStr">
        <is>
          <t>T</t>
        </is>
      </c>
    </row>
    <row r="1842">
      <c r="A1842" s="486" t="n">
        <v>25</v>
      </c>
      <c r="B1842" s="486" t="n">
        <v>2</v>
      </c>
      <c r="C1842" s="486" t="n">
        <v>2</v>
      </c>
      <c r="D1842" s="486" t="n">
        <v>4</v>
      </c>
      <c r="E1842" s="486" t="n">
        <v>2</v>
      </c>
      <c r="F1842" s="486" t="n">
        <v>2</v>
      </c>
      <c r="G1842" s="486" t="inlineStr">
        <is>
          <t>South-Right2</t>
        </is>
      </c>
      <c r="H1842" s="486" t="n">
        <v>0</v>
      </c>
      <c r="I1842" s="486" t="n">
        <v>0</v>
      </c>
      <c r="J1842" s="486" t="n">
        <v>0</v>
      </c>
      <c r="K1842" s="486" t="n">
        <v>0</v>
      </c>
      <c r="L1842" s="486" t="n">
        <v>0</v>
      </c>
      <c r="M1842" s="490" t="inlineStr">
        <is>
          <t>T</t>
        </is>
      </c>
    </row>
    <row r="1843">
      <c r="A1843" s="485" t="n">
        <v>25</v>
      </c>
      <c r="B1843" s="485" t="n">
        <v>3</v>
      </c>
      <c r="C1843" s="485" t="n">
        <v>2</v>
      </c>
      <c r="D1843" s="485" t="n">
        <v>1</v>
      </c>
      <c r="E1843" s="485" t="n">
        <v>2</v>
      </c>
      <c r="F1843" s="485" t="n">
        <v>2</v>
      </c>
      <c r="G1843" s="485" t="inlineStr">
        <is>
          <t>West-Up2</t>
        </is>
      </c>
      <c r="H1843" s="485" t="n">
        <v>0</v>
      </c>
      <c r="I1843" s="485" t="n">
        <v>0</v>
      </c>
      <c r="J1843" s="485" t="n">
        <v>0</v>
      </c>
      <c r="K1843" s="485" t="n">
        <v>0</v>
      </c>
      <c r="L1843" s="485" t="n">
        <v>0</v>
      </c>
      <c r="M1843" s="514" t="inlineStr">
        <is>
          <t>T</t>
        </is>
      </c>
    </row>
    <row r="1844">
      <c r="A1844" s="485" t="n">
        <v>25</v>
      </c>
      <c r="B1844" s="485" t="n">
        <v>3</v>
      </c>
      <c r="C1844" s="485" t="n">
        <v>2</v>
      </c>
      <c r="D1844" s="485" t="n">
        <v>1</v>
      </c>
      <c r="E1844" s="485" t="n">
        <v>2</v>
      </c>
      <c r="F1844" s="485" t="n">
        <v>2</v>
      </c>
      <c r="G1844" s="516" t="inlineStr">
        <is>
          <t>West-Up1</t>
        </is>
      </c>
      <c r="H1844" s="485" t="n">
        <v>2641.35</v>
      </c>
      <c r="I1844" s="485" t="n">
        <v>0</v>
      </c>
      <c r="J1844" s="485" t="n">
        <v>6</v>
      </c>
      <c r="K1844" s="485" t="n">
        <v>37</v>
      </c>
      <c r="L1844" s="485" t="n">
        <v>3</v>
      </c>
      <c r="M1844" s="514" t="inlineStr">
        <is>
          <t>T</t>
        </is>
      </c>
    </row>
    <row r="1845">
      <c r="A1845" s="485" t="n">
        <v>25</v>
      </c>
      <c r="B1845" s="485" t="n">
        <v>3</v>
      </c>
      <c r="C1845" s="485" t="n">
        <v>2</v>
      </c>
      <c r="D1845" s="485" t="n">
        <v>1</v>
      </c>
      <c r="E1845" s="485" t="n">
        <v>2</v>
      </c>
      <c r="F1845" s="485" t="n">
        <v>2</v>
      </c>
      <c r="G1845" s="485" t="inlineStr">
        <is>
          <t>West-Down1</t>
        </is>
      </c>
      <c r="H1845" s="485" t="n">
        <v>1317.72</v>
      </c>
      <c r="I1845" s="485" t="n">
        <v>0</v>
      </c>
      <c r="J1845" s="485" t="n">
        <v>9</v>
      </c>
      <c r="K1845" s="485" t="n">
        <v>20</v>
      </c>
      <c r="L1845" s="485" t="n">
        <v>1</v>
      </c>
      <c r="M1845" s="514" t="inlineStr">
        <is>
          <t>T</t>
        </is>
      </c>
    </row>
    <row r="1846">
      <c r="A1846" s="485" t="n">
        <v>25</v>
      </c>
      <c r="B1846" s="485" t="n">
        <v>3</v>
      </c>
      <c r="C1846" s="485" t="n">
        <v>2</v>
      </c>
      <c r="D1846" s="485" t="n">
        <v>1</v>
      </c>
      <c r="E1846" s="485" t="n">
        <v>2</v>
      </c>
      <c r="F1846" s="485" t="n">
        <v>2</v>
      </c>
      <c r="G1846" s="485" t="inlineStr">
        <is>
          <t>West-Down2</t>
        </is>
      </c>
      <c r="H1846" s="485" t="n">
        <v>1317.72</v>
      </c>
      <c r="I1846" s="485" t="n">
        <v>0</v>
      </c>
      <c r="J1846" s="485" t="n">
        <v>8</v>
      </c>
      <c r="K1846" s="485" t="n">
        <v>20</v>
      </c>
      <c r="L1846" s="485" t="n">
        <v>1</v>
      </c>
      <c r="M1846" s="514" t="inlineStr">
        <is>
          <t>T</t>
        </is>
      </c>
    </row>
    <row r="1847">
      <c r="A1847" s="485" t="n">
        <v>25</v>
      </c>
      <c r="B1847" s="485" t="n">
        <v>3</v>
      </c>
      <c r="C1847" s="485" t="n">
        <v>2</v>
      </c>
      <c r="D1847" s="485" t="n">
        <v>1</v>
      </c>
      <c r="E1847" s="485" t="n">
        <v>2</v>
      </c>
      <c r="F1847" s="485" t="n">
        <v>2</v>
      </c>
      <c r="G1847" s="485" t="inlineStr">
        <is>
          <t>East-Up2</t>
        </is>
      </c>
      <c r="H1847" s="485" t="n">
        <v>0</v>
      </c>
      <c r="I1847" s="485" t="n">
        <v>0</v>
      </c>
      <c r="J1847" s="485" t="n">
        <v>0</v>
      </c>
      <c r="K1847" s="485" t="n">
        <v>0</v>
      </c>
      <c r="L1847" s="485" t="n">
        <v>0</v>
      </c>
      <c r="M1847" s="514" t="inlineStr">
        <is>
          <t>T</t>
        </is>
      </c>
    </row>
    <row r="1848">
      <c r="A1848" s="485" t="n">
        <v>25</v>
      </c>
      <c r="B1848" s="485" t="n">
        <v>3</v>
      </c>
      <c r="C1848" s="485" t="n">
        <v>2</v>
      </c>
      <c r="D1848" s="485" t="n">
        <v>1</v>
      </c>
      <c r="E1848" s="485" t="n">
        <v>2</v>
      </c>
      <c r="F1848" s="485" t="n">
        <v>2</v>
      </c>
      <c r="G1848" s="516" t="inlineStr">
        <is>
          <t>East-Up1</t>
        </is>
      </c>
      <c r="H1848" s="485" t="n">
        <v>2819.56</v>
      </c>
      <c r="I1848" s="485" t="n">
        <v>0</v>
      </c>
      <c r="J1848" s="485" t="n">
        <v>26</v>
      </c>
      <c r="K1848" s="485" t="n">
        <v>25</v>
      </c>
      <c r="L1848" s="485" t="n">
        <v>3</v>
      </c>
      <c r="M1848" s="514" t="inlineStr">
        <is>
          <t>T</t>
        </is>
      </c>
    </row>
    <row r="1849">
      <c r="A1849" s="485" t="n">
        <v>25</v>
      </c>
      <c r="B1849" s="485" t="n">
        <v>3</v>
      </c>
      <c r="C1849" s="485" t="n">
        <v>2</v>
      </c>
      <c r="D1849" s="485" t="n">
        <v>1</v>
      </c>
      <c r="E1849" s="485" t="n">
        <v>2</v>
      </c>
      <c r="F1849" s="485" t="n">
        <v>2</v>
      </c>
      <c r="G1849" s="485" t="inlineStr">
        <is>
          <t>East-Down1</t>
        </is>
      </c>
      <c r="H1849" s="485" t="n">
        <v>2639.14</v>
      </c>
      <c r="I1849" s="485" t="n">
        <v>0</v>
      </c>
      <c r="J1849" s="485" t="n">
        <v>16</v>
      </c>
      <c r="K1849" s="485" t="n">
        <v>16</v>
      </c>
      <c r="L1849" s="485" t="n">
        <v>2</v>
      </c>
      <c r="M1849" s="514" t="inlineStr">
        <is>
          <t>T</t>
        </is>
      </c>
    </row>
    <row r="1850">
      <c r="A1850" s="485" t="n">
        <v>25</v>
      </c>
      <c r="B1850" s="485" t="n">
        <v>3</v>
      </c>
      <c r="C1850" s="485" t="n">
        <v>2</v>
      </c>
      <c r="D1850" s="485" t="n">
        <v>1</v>
      </c>
      <c r="E1850" s="485" t="n">
        <v>2</v>
      </c>
      <c r="F1850" s="485" t="n">
        <v>2</v>
      </c>
      <c r="G1850" s="485" t="inlineStr">
        <is>
          <t>East-Down2</t>
        </is>
      </c>
      <c r="H1850" s="485" t="n">
        <v>0</v>
      </c>
      <c r="I1850" s="485" t="n">
        <v>0</v>
      </c>
      <c r="J1850" s="485" t="n">
        <v>0</v>
      </c>
      <c r="K1850" s="485" t="n">
        <v>0</v>
      </c>
      <c r="L1850" s="485" t="n">
        <v>0</v>
      </c>
      <c r="M1850" s="514" t="inlineStr">
        <is>
          <t>T</t>
        </is>
      </c>
    </row>
    <row r="1851">
      <c r="A1851" s="485" t="n">
        <v>25</v>
      </c>
      <c r="B1851" s="485" t="n">
        <v>3</v>
      </c>
      <c r="C1851" s="485" t="n">
        <v>2</v>
      </c>
      <c r="D1851" s="485" t="n">
        <v>1</v>
      </c>
      <c r="E1851" s="485" t="n">
        <v>2</v>
      </c>
      <c r="F1851" s="485" t="n">
        <v>2</v>
      </c>
      <c r="G1851" s="485" t="inlineStr">
        <is>
          <t>North-Left2</t>
        </is>
      </c>
      <c r="H1851" s="485" t="n">
        <v>0</v>
      </c>
      <c r="I1851" s="485" t="n">
        <v>0</v>
      </c>
      <c r="J1851" s="485" t="n">
        <v>0</v>
      </c>
      <c r="K1851" s="485" t="n">
        <v>0</v>
      </c>
      <c r="L1851" s="485" t="n">
        <v>0</v>
      </c>
      <c r="M1851" s="514" t="inlineStr">
        <is>
          <t>T</t>
        </is>
      </c>
    </row>
    <row r="1852">
      <c r="A1852" s="485" t="n">
        <v>25</v>
      </c>
      <c r="B1852" s="485" t="n">
        <v>3</v>
      </c>
      <c r="C1852" s="485" t="n">
        <v>2</v>
      </c>
      <c r="D1852" s="485" t="n">
        <v>1</v>
      </c>
      <c r="E1852" s="485" t="n">
        <v>2</v>
      </c>
      <c r="F1852" s="485" t="n">
        <v>2</v>
      </c>
      <c r="G1852" s="516" t="inlineStr">
        <is>
          <t>North-Left1</t>
        </is>
      </c>
      <c r="H1852" s="485" t="n">
        <v>2652.91</v>
      </c>
      <c r="I1852" s="485" t="n">
        <v>89</v>
      </c>
      <c r="J1852" s="485" t="n">
        <v>46</v>
      </c>
      <c r="K1852" s="485" t="n">
        <v>29</v>
      </c>
      <c r="L1852" s="485" t="n">
        <v>4</v>
      </c>
      <c r="M1852" s="514" t="inlineStr">
        <is>
          <t>T</t>
        </is>
      </c>
    </row>
    <row r="1853">
      <c r="A1853" s="485" t="n">
        <v>25</v>
      </c>
      <c r="B1853" s="485" t="n">
        <v>3</v>
      </c>
      <c r="C1853" s="485" t="n">
        <v>2</v>
      </c>
      <c r="D1853" s="485" t="n">
        <v>1</v>
      </c>
      <c r="E1853" s="485" t="n">
        <v>2</v>
      </c>
      <c r="F1853" s="485" t="n">
        <v>2</v>
      </c>
      <c r="G1853" s="485" t="inlineStr">
        <is>
          <t>North-Right1</t>
        </is>
      </c>
      <c r="H1853" s="485" t="n">
        <v>2653.27</v>
      </c>
      <c r="I1853" s="485" t="n">
        <v>89</v>
      </c>
      <c r="J1853" s="485" t="n">
        <v>44</v>
      </c>
      <c r="K1853" s="485" t="n">
        <v>53</v>
      </c>
      <c r="L1853" s="485" t="n">
        <v>1</v>
      </c>
      <c r="M1853" s="514" t="inlineStr">
        <is>
          <t>T</t>
        </is>
      </c>
    </row>
    <row r="1854">
      <c r="A1854" s="485" t="n">
        <v>25</v>
      </c>
      <c r="B1854" s="485" t="n">
        <v>3</v>
      </c>
      <c r="C1854" s="485" t="n">
        <v>2</v>
      </c>
      <c r="D1854" s="485" t="n">
        <v>1</v>
      </c>
      <c r="E1854" s="485" t="n">
        <v>2</v>
      </c>
      <c r="F1854" s="485" t="n">
        <v>2</v>
      </c>
      <c r="G1854" s="485" t="inlineStr">
        <is>
          <t>North-Right2</t>
        </is>
      </c>
      <c r="H1854" s="485" t="n">
        <v>0</v>
      </c>
      <c r="I1854" s="485" t="n">
        <v>0</v>
      </c>
      <c r="J1854" s="485" t="n">
        <v>0</v>
      </c>
      <c r="K1854" s="485" t="n">
        <v>0</v>
      </c>
      <c r="L1854" s="485" t="n">
        <v>0</v>
      </c>
      <c r="M1854" s="514" t="inlineStr">
        <is>
          <t>T</t>
        </is>
      </c>
    </row>
    <row r="1855">
      <c r="A1855" s="485" t="n">
        <v>25</v>
      </c>
      <c r="B1855" s="485" t="n">
        <v>3</v>
      </c>
      <c r="C1855" s="485" t="n">
        <v>2</v>
      </c>
      <c r="D1855" s="485" t="n">
        <v>1</v>
      </c>
      <c r="E1855" s="485" t="n">
        <v>2</v>
      </c>
      <c r="F1855" s="485" t="n">
        <v>2</v>
      </c>
      <c r="G1855" s="485" t="inlineStr">
        <is>
          <t>South-Left2</t>
        </is>
      </c>
      <c r="H1855" s="485" t="n">
        <v>1317.46</v>
      </c>
      <c r="I1855" s="485" t="n">
        <v>89</v>
      </c>
      <c r="J1855" s="485" t="n">
        <v>45</v>
      </c>
      <c r="K1855" s="485" t="n">
        <v>51</v>
      </c>
      <c r="L1855" s="485" t="n">
        <v>4</v>
      </c>
      <c r="M1855" s="514" t="inlineStr">
        <is>
          <t>T</t>
        </is>
      </c>
    </row>
    <row r="1856">
      <c r="A1856" s="485" t="n">
        <v>25</v>
      </c>
      <c r="B1856" s="485" t="n">
        <v>3</v>
      </c>
      <c r="C1856" s="485" t="n">
        <v>2</v>
      </c>
      <c r="D1856" s="485" t="n">
        <v>1</v>
      </c>
      <c r="E1856" s="485" t="n">
        <v>2</v>
      </c>
      <c r="F1856" s="485" t="n">
        <v>2</v>
      </c>
      <c r="G1856" s="516" t="inlineStr">
        <is>
          <t>South-Left1</t>
        </is>
      </c>
      <c r="H1856" s="485" t="n">
        <v>1317.46</v>
      </c>
      <c r="I1856" s="485" t="n">
        <v>89</v>
      </c>
      <c r="J1856" s="485" t="n">
        <v>45</v>
      </c>
      <c r="K1856" s="485" t="n">
        <v>51</v>
      </c>
      <c r="L1856" s="485" t="n">
        <v>4</v>
      </c>
      <c r="M1856" s="514" t="inlineStr">
        <is>
          <t>T</t>
        </is>
      </c>
    </row>
    <row r="1857">
      <c r="A1857" s="485" t="n">
        <v>25</v>
      </c>
      <c r="B1857" s="485" t="n">
        <v>3</v>
      </c>
      <c r="C1857" s="485" t="n">
        <v>2</v>
      </c>
      <c r="D1857" s="485" t="n">
        <v>1</v>
      </c>
      <c r="E1857" s="485" t="n">
        <v>2</v>
      </c>
      <c r="F1857" s="485" t="n">
        <v>2</v>
      </c>
      <c r="G1857" s="485" t="inlineStr">
        <is>
          <t>South-Right1</t>
        </is>
      </c>
      <c r="H1857" s="485" t="n">
        <v>1317.46</v>
      </c>
      <c r="I1857" s="485" t="n">
        <v>89</v>
      </c>
      <c r="J1857" s="485" t="n">
        <v>45</v>
      </c>
      <c r="K1857" s="485" t="n">
        <v>51</v>
      </c>
      <c r="L1857" s="485" t="n">
        <v>4</v>
      </c>
      <c r="M1857" s="514" t="inlineStr">
        <is>
          <t>T</t>
        </is>
      </c>
    </row>
    <row r="1858">
      <c r="A1858" s="485" t="n">
        <v>25</v>
      </c>
      <c r="B1858" s="485" t="n">
        <v>3</v>
      </c>
      <c r="C1858" s="485" t="n">
        <v>2</v>
      </c>
      <c r="D1858" s="485" t="n">
        <v>1</v>
      </c>
      <c r="E1858" s="485" t="n">
        <v>2</v>
      </c>
      <c r="F1858" s="485" t="n">
        <v>2</v>
      </c>
      <c r="G1858" s="485" t="inlineStr">
        <is>
          <t>South-Right2</t>
        </is>
      </c>
      <c r="H1858" s="485" t="n">
        <v>1317.46</v>
      </c>
      <c r="I1858" s="485" t="n">
        <v>89</v>
      </c>
      <c r="J1858" s="485" t="n">
        <v>45</v>
      </c>
      <c r="K1858" s="485" t="n">
        <v>51</v>
      </c>
      <c r="L1858" s="485" t="n">
        <v>4</v>
      </c>
      <c r="M1858" s="514" t="inlineStr">
        <is>
          <t>T</t>
        </is>
      </c>
    </row>
    <row r="1859">
      <c r="A1859" s="486" t="n">
        <v>25</v>
      </c>
      <c r="B1859" s="486" t="n">
        <v>3</v>
      </c>
      <c r="C1859" s="486" t="n">
        <v>2</v>
      </c>
      <c r="D1859" s="486" t="n">
        <v>2</v>
      </c>
      <c r="E1859" s="486" t="n">
        <v>2</v>
      </c>
      <c r="F1859" s="486" t="n">
        <v>2</v>
      </c>
      <c r="G1859" s="486" t="inlineStr">
        <is>
          <t>West-Up2</t>
        </is>
      </c>
      <c r="H1859" s="486" t="n">
        <v>0</v>
      </c>
      <c r="I1859" s="486" t="n">
        <v>0</v>
      </c>
      <c r="J1859" s="486" t="n">
        <v>0</v>
      </c>
      <c r="K1859" s="486" t="n">
        <v>0</v>
      </c>
      <c r="L1859" s="486" t="n">
        <v>0</v>
      </c>
      <c r="M1859" s="487" t="inlineStr">
        <is>
          <t>T</t>
        </is>
      </c>
    </row>
    <row r="1860">
      <c r="A1860" s="486" t="n">
        <v>25</v>
      </c>
      <c r="B1860" s="486" t="n">
        <v>3</v>
      </c>
      <c r="C1860" s="486" t="n">
        <v>2</v>
      </c>
      <c r="D1860" s="486" t="n">
        <v>2</v>
      </c>
      <c r="E1860" s="486" t="n">
        <v>2</v>
      </c>
      <c r="F1860" s="486" t="n">
        <v>2</v>
      </c>
      <c r="G1860" s="475" t="inlineStr">
        <is>
          <t>West-Up1</t>
        </is>
      </c>
      <c r="H1860" s="486" t="n">
        <v>2638.46</v>
      </c>
      <c r="I1860" s="486" t="n">
        <v>0</v>
      </c>
      <c r="J1860" s="486" t="n">
        <v>49</v>
      </c>
      <c r="K1860" s="486" t="n">
        <v>9</v>
      </c>
      <c r="L1860" s="486" t="n">
        <v>1</v>
      </c>
      <c r="M1860" s="487" t="inlineStr">
        <is>
          <t>T</t>
        </is>
      </c>
    </row>
    <row r="1861">
      <c r="A1861" s="486" t="n">
        <v>25</v>
      </c>
      <c r="B1861" s="486" t="n">
        <v>3</v>
      </c>
      <c r="C1861" s="486" t="n">
        <v>2</v>
      </c>
      <c r="D1861" s="486" t="n">
        <v>2</v>
      </c>
      <c r="E1861" s="486" t="n">
        <v>2</v>
      </c>
      <c r="F1861" s="486" t="n">
        <v>2</v>
      </c>
      <c r="G1861" s="486" t="inlineStr">
        <is>
          <t>West-Down1</t>
        </is>
      </c>
      <c r="H1861" s="486" t="n">
        <v>2634.93</v>
      </c>
      <c r="I1861" s="486" t="n">
        <v>0</v>
      </c>
      <c r="J1861" s="486" t="n">
        <v>48</v>
      </c>
      <c r="K1861" s="486" t="n">
        <v>59</v>
      </c>
      <c r="L1861" s="486" t="n">
        <v>1</v>
      </c>
      <c r="M1861" s="487" t="inlineStr">
        <is>
          <t>T</t>
        </is>
      </c>
    </row>
    <row r="1862">
      <c r="A1862" s="486" t="n">
        <v>25</v>
      </c>
      <c r="B1862" s="486" t="n">
        <v>3</v>
      </c>
      <c r="C1862" s="486" t="n">
        <v>2</v>
      </c>
      <c r="D1862" s="486" t="n">
        <v>2</v>
      </c>
      <c r="E1862" s="486" t="n">
        <v>2</v>
      </c>
      <c r="F1862" s="486" t="n">
        <v>2</v>
      </c>
      <c r="G1862" s="486" t="inlineStr">
        <is>
          <t>West-Down2</t>
        </is>
      </c>
      <c r="H1862" s="486" t="n">
        <v>0</v>
      </c>
      <c r="I1862" s="486" t="n">
        <v>0</v>
      </c>
      <c r="J1862" s="486" t="n">
        <v>0</v>
      </c>
      <c r="K1862" s="486" t="n">
        <v>0</v>
      </c>
      <c r="L1862" s="486" t="n">
        <v>0</v>
      </c>
      <c r="M1862" s="487" t="inlineStr">
        <is>
          <t>T</t>
        </is>
      </c>
    </row>
    <row r="1863">
      <c r="A1863" s="486" t="n">
        <v>25</v>
      </c>
      <c r="B1863" s="486" t="n">
        <v>3</v>
      </c>
      <c r="C1863" s="486" t="n">
        <v>2</v>
      </c>
      <c r="D1863" s="486" t="n">
        <v>2</v>
      </c>
      <c r="E1863" s="486" t="n">
        <v>2</v>
      </c>
      <c r="F1863" s="486" t="n">
        <v>2</v>
      </c>
      <c r="G1863" s="486" t="inlineStr">
        <is>
          <t>East-Up2</t>
        </is>
      </c>
      <c r="H1863" s="486" t="n">
        <v>0</v>
      </c>
      <c r="I1863" s="486" t="n">
        <v>0</v>
      </c>
      <c r="J1863" s="486" t="n">
        <v>0</v>
      </c>
      <c r="K1863" s="486" t="n">
        <v>0</v>
      </c>
      <c r="L1863" s="486" t="n">
        <v>0</v>
      </c>
      <c r="M1863" s="487" t="inlineStr">
        <is>
          <t>T</t>
        </is>
      </c>
    </row>
    <row r="1864">
      <c r="A1864" s="486" t="n">
        <v>25</v>
      </c>
      <c r="B1864" s="486" t="n">
        <v>3</v>
      </c>
      <c r="C1864" s="486" t="n">
        <v>2</v>
      </c>
      <c r="D1864" s="486" t="n">
        <v>2</v>
      </c>
      <c r="E1864" s="486" t="n">
        <v>2</v>
      </c>
      <c r="F1864" s="486" t="n">
        <v>2</v>
      </c>
      <c r="G1864" s="475" t="inlineStr">
        <is>
          <t>East-Up1</t>
        </is>
      </c>
      <c r="H1864" s="486" t="n">
        <v>2636.77</v>
      </c>
      <c r="I1864" s="486" t="n">
        <v>0</v>
      </c>
      <c r="J1864" s="486" t="n">
        <v>3</v>
      </c>
      <c r="K1864" s="486" t="n">
        <v>14</v>
      </c>
      <c r="L1864" s="486" t="n">
        <v>4</v>
      </c>
      <c r="M1864" s="487" t="inlineStr">
        <is>
          <t>T</t>
        </is>
      </c>
    </row>
    <row r="1865">
      <c r="A1865" s="486" t="n">
        <v>25</v>
      </c>
      <c r="B1865" s="486" t="n">
        <v>3</v>
      </c>
      <c r="C1865" s="486" t="n">
        <v>2</v>
      </c>
      <c r="D1865" s="486" t="n">
        <v>2</v>
      </c>
      <c r="E1865" s="486" t="n">
        <v>2</v>
      </c>
      <c r="F1865" s="486" t="n">
        <v>2</v>
      </c>
      <c r="G1865" s="486" t="inlineStr">
        <is>
          <t>East-Down1</t>
        </is>
      </c>
      <c r="H1865" s="486" t="n">
        <v>2639.2</v>
      </c>
      <c r="I1865" s="486" t="n">
        <v>0</v>
      </c>
      <c r="J1865" s="486" t="n">
        <v>0</v>
      </c>
      <c r="K1865" s="486" t="n">
        <v>36</v>
      </c>
      <c r="L1865" s="486" t="n">
        <v>4</v>
      </c>
      <c r="M1865" s="487" t="inlineStr">
        <is>
          <t>T</t>
        </is>
      </c>
    </row>
    <row r="1866">
      <c r="A1866" s="486" t="n">
        <v>25</v>
      </c>
      <c r="B1866" s="486" t="n">
        <v>3</v>
      </c>
      <c r="C1866" s="486" t="n">
        <v>2</v>
      </c>
      <c r="D1866" s="486" t="n">
        <v>2</v>
      </c>
      <c r="E1866" s="486" t="n">
        <v>2</v>
      </c>
      <c r="F1866" s="486" t="n">
        <v>2</v>
      </c>
      <c r="G1866" s="486" t="inlineStr">
        <is>
          <t>East-Down2</t>
        </is>
      </c>
      <c r="H1866" s="486" t="n">
        <v>0</v>
      </c>
      <c r="I1866" s="486" t="n">
        <v>0</v>
      </c>
      <c r="J1866" s="486" t="n">
        <v>0</v>
      </c>
      <c r="K1866" s="486" t="n">
        <v>0</v>
      </c>
      <c r="L1866" s="486" t="n">
        <v>0</v>
      </c>
      <c r="M1866" s="487" t="inlineStr">
        <is>
          <t>T</t>
        </is>
      </c>
    </row>
    <row r="1867">
      <c r="A1867" s="486" t="n">
        <v>25</v>
      </c>
      <c r="B1867" s="486" t="n">
        <v>3</v>
      </c>
      <c r="C1867" s="486" t="n">
        <v>2</v>
      </c>
      <c r="D1867" s="486" t="n">
        <v>2</v>
      </c>
      <c r="E1867" s="486" t="n">
        <v>2</v>
      </c>
      <c r="F1867" s="486" t="n">
        <v>2</v>
      </c>
      <c r="G1867" s="486" t="inlineStr">
        <is>
          <t>North-Left2</t>
        </is>
      </c>
      <c r="H1867" s="486" t="n">
        <v>0</v>
      </c>
      <c r="I1867" s="486" t="n">
        <v>0</v>
      </c>
      <c r="J1867" s="486" t="n">
        <v>0</v>
      </c>
      <c r="K1867" s="486" t="n">
        <v>0</v>
      </c>
      <c r="L1867" s="486" t="n">
        <v>0</v>
      </c>
      <c r="M1867" s="487" t="inlineStr">
        <is>
          <t>T</t>
        </is>
      </c>
    </row>
    <row r="1868">
      <c r="A1868" s="486" t="n">
        <v>25</v>
      </c>
      <c r="B1868" s="486" t="n">
        <v>3</v>
      </c>
      <c r="C1868" s="486" t="n">
        <v>2</v>
      </c>
      <c r="D1868" s="486" t="n">
        <v>2</v>
      </c>
      <c r="E1868" s="486" t="n">
        <v>2</v>
      </c>
      <c r="F1868" s="486" t="n">
        <v>2</v>
      </c>
      <c r="G1868" s="475" t="inlineStr">
        <is>
          <t>North-Left1</t>
        </is>
      </c>
      <c r="H1868" s="486" t="n">
        <v>2798.72</v>
      </c>
      <c r="I1868" s="486" t="n">
        <v>89</v>
      </c>
      <c r="J1868" s="486" t="n">
        <v>44</v>
      </c>
      <c r="K1868" s="486" t="n">
        <v>59</v>
      </c>
      <c r="L1868" s="486" t="n">
        <v>3</v>
      </c>
      <c r="M1868" s="487" t="inlineStr">
        <is>
          <t>T</t>
        </is>
      </c>
    </row>
    <row r="1869">
      <c r="A1869" s="486" t="n">
        <v>25</v>
      </c>
      <c r="B1869" s="486" t="n">
        <v>3</v>
      </c>
      <c r="C1869" s="486" t="n">
        <v>2</v>
      </c>
      <c r="D1869" s="486" t="n">
        <v>2</v>
      </c>
      <c r="E1869" s="486" t="n">
        <v>2</v>
      </c>
      <c r="F1869" s="486" t="n">
        <v>2</v>
      </c>
      <c r="G1869" s="486" t="inlineStr">
        <is>
          <t>North-Right1</t>
        </is>
      </c>
      <c r="H1869" s="486" t="n">
        <v>1219.24</v>
      </c>
      <c r="I1869" s="486" t="n">
        <v>89</v>
      </c>
      <c r="J1869" s="486" t="n">
        <v>43</v>
      </c>
      <c r="K1869" s="486" t="n">
        <v>32</v>
      </c>
      <c r="L1869" s="486" t="n">
        <v>2</v>
      </c>
      <c r="M1869" s="487" t="inlineStr">
        <is>
          <t>T</t>
        </is>
      </c>
    </row>
    <row r="1870">
      <c r="A1870" s="486" t="n">
        <v>25</v>
      </c>
      <c r="B1870" s="486" t="n">
        <v>3</v>
      </c>
      <c r="C1870" s="486" t="n">
        <v>2</v>
      </c>
      <c r="D1870" s="486" t="n">
        <v>2</v>
      </c>
      <c r="E1870" s="486" t="n">
        <v>2</v>
      </c>
      <c r="F1870" s="486" t="n">
        <v>2</v>
      </c>
      <c r="G1870" s="486" t="inlineStr">
        <is>
          <t>North-Right2</t>
        </is>
      </c>
      <c r="H1870" s="486" t="n">
        <v>1339.04</v>
      </c>
      <c r="I1870" s="486" t="n">
        <v>89</v>
      </c>
      <c r="J1870" s="486" t="n">
        <v>23</v>
      </c>
      <c r="K1870" s="486" t="n">
        <v>42</v>
      </c>
      <c r="L1870" s="486" t="n">
        <v>2</v>
      </c>
      <c r="M1870" s="487" t="inlineStr">
        <is>
          <t>T</t>
        </is>
      </c>
    </row>
    <row r="1871">
      <c r="A1871" s="486" t="n">
        <v>25</v>
      </c>
      <c r="B1871" s="486" t="n">
        <v>3</v>
      </c>
      <c r="C1871" s="486" t="n">
        <v>2</v>
      </c>
      <c r="D1871" s="486" t="n">
        <v>2</v>
      </c>
      <c r="E1871" s="486" t="n">
        <v>2</v>
      </c>
      <c r="F1871" s="486" t="n">
        <v>2</v>
      </c>
      <c r="G1871" s="486" t="inlineStr">
        <is>
          <t>South-Left2</t>
        </is>
      </c>
      <c r="H1871" s="486" t="n">
        <v>0</v>
      </c>
      <c r="I1871" s="486" t="n">
        <v>0</v>
      </c>
      <c r="J1871" s="486" t="n">
        <v>0</v>
      </c>
      <c r="K1871" s="486" t="n">
        <v>0</v>
      </c>
      <c r="L1871" s="486" t="n">
        <v>0</v>
      </c>
      <c r="M1871" s="487" t="inlineStr">
        <is>
          <t>T</t>
        </is>
      </c>
    </row>
    <row r="1872">
      <c r="A1872" s="486" t="n">
        <v>25</v>
      </c>
      <c r="B1872" s="486" t="n">
        <v>3</v>
      </c>
      <c r="C1872" s="486" t="n">
        <v>2</v>
      </c>
      <c r="D1872" s="486" t="n">
        <v>2</v>
      </c>
      <c r="E1872" s="486" t="n">
        <v>2</v>
      </c>
      <c r="F1872" s="486" t="n">
        <v>2</v>
      </c>
      <c r="G1872" s="475" t="inlineStr">
        <is>
          <t>South-Left1</t>
        </is>
      </c>
      <c r="H1872" s="486" t="n">
        <v>2643.4</v>
      </c>
      <c r="I1872" s="486" t="n">
        <v>89</v>
      </c>
      <c r="J1872" s="486" t="n">
        <v>39</v>
      </c>
      <c r="K1872" s="486" t="n">
        <v>44</v>
      </c>
      <c r="L1872" s="486" t="n">
        <v>3</v>
      </c>
      <c r="M1872" s="487" t="inlineStr">
        <is>
          <t>T</t>
        </is>
      </c>
    </row>
    <row r="1873">
      <c r="A1873" s="486" t="n">
        <v>25</v>
      </c>
      <c r="B1873" s="486" t="n">
        <v>3</v>
      </c>
      <c r="C1873" s="486" t="n">
        <v>2</v>
      </c>
      <c r="D1873" s="486" t="n">
        <v>2</v>
      </c>
      <c r="E1873" s="486" t="n">
        <v>2</v>
      </c>
      <c r="F1873" s="486" t="n">
        <v>2</v>
      </c>
      <c r="G1873" s="486" t="inlineStr">
        <is>
          <t>South-Right1</t>
        </is>
      </c>
      <c r="H1873" s="486" t="n">
        <v>1319.95</v>
      </c>
      <c r="I1873" s="486" t="n">
        <v>89</v>
      </c>
      <c r="J1873" s="486" t="n">
        <v>42</v>
      </c>
      <c r="K1873" s="486" t="n">
        <v>22</v>
      </c>
      <c r="L1873" s="486" t="n">
        <v>3</v>
      </c>
      <c r="M1873" s="487" t="inlineStr">
        <is>
          <t>T</t>
        </is>
      </c>
    </row>
    <row r="1874">
      <c r="A1874" s="486" t="n">
        <v>25</v>
      </c>
      <c r="B1874" s="486" t="n">
        <v>3</v>
      </c>
      <c r="C1874" s="486" t="n">
        <v>2</v>
      </c>
      <c r="D1874" s="486" t="n">
        <v>2</v>
      </c>
      <c r="E1874" s="486" t="n">
        <v>2</v>
      </c>
      <c r="F1874" s="486" t="n">
        <v>2</v>
      </c>
      <c r="G1874" s="486" t="inlineStr">
        <is>
          <t>South-Right2</t>
        </is>
      </c>
      <c r="H1874" s="486" t="n">
        <v>1321.29</v>
      </c>
      <c r="I1874" s="486" t="n">
        <v>89</v>
      </c>
      <c r="J1874" s="486" t="n">
        <v>42</v>
      </c>
      <c r="K1874" s="486" t="n">
        <v>28</v>
      </c>
      <c r="L1874" s="486" t="n">
        <v>3</v>
      </c>
      <c r="M1874" s="487" t="inlineStr">
        <is>
          <t>T</t>
        </is>
      </c>
    </row>
    <row r="1875">
      <c r="A1875" s="485" t="n">
        <v>25</v>
      </c>
      <c r="B1875" s="485" t="n">
        <v>4</v>
      </c>
      <c r="C1875" s="485" t="n">
        <v>2</v>
      </c>
      <c r="D1875" s="485" t="n">
        <v>4</v>
      </c>
      <c r="E1875" s="485" t="n">
        <v>2</v>
      </c>
      <c r="F1875" s="485" t="n">
        <v>2</v>
      </c>
      <c r="G1875" s="485" t="inlineStr">
        <is>
          <t>West-Up2</t>
        </is>
      </c>
      <c r="H1875" s="485" t="n">
        <v>0</v>
      </c>
      <c r="I1875" s="485" t="n">
        <v>0</v>
      </c>
      <c r="J1875" s="485" t="n">
        <v>0</v>
      </c>
      <c r="K1875" s="485" t="n">
        <v>0</v>
      </c>
      <c r="L1875" s="485" t="n">
        <v>0</v>
      </c>
      <c r="M1875" s="514" t="inlineStr">
        <is>
          <t>T</t>
        </is>
      </c>
    </row>
    <row r="1876">
      <c r="A1876" s="485" t="n">
        <v>25</v>
      </c>
      <c r="B1876" s="485" t="n">
        <v>4</v>
      </c>
      <c r="C1876" s="485" t="n">
        <v>2</v>
      </c>
      <c r="D1876" s="485" t="n">
        <v>4</v>
      </c>
      <c r="E1876" s="485" t="n">
        <v>2</v>
      </c>
      <c r="F1876" s="485" t="n">
        <v>2</v>
      </c>
      <c r="G1876" s="516" t="inlineStr">
        <is>
          <t>West-Up1</t>
        </is>
      </c>
      <c r="H1876" s="485" t="n">
        <v>5301.52</v>
      </c>
      <c r="I1876" s="485" t="n">
        <v>1</v>
      </c>
      <c r="J1876" s="485" t="n">
        <v>12</v>
      </c>
      <c r="K1876" s="485" t="n">
        <v>16</v>
      </c>
      <c r="L1876" s="485" t="n">
        <v>3</v>
      </c>
      <c r="M1876" s="514" t="inlineStr">
        <is>
          <t>T</t>
        </is>
      </c>
    </row>
    <row r="1877">
      <c r="A1877" s="485" t="n">
        <v>25</v>
      </c>
      <c r="B1877" s="485" t="n">
        <v>4</v>
      </c>
      <c r="C1877" s="485" t="n">
        <v>2</v>
      </c>
      <c r="D1877" s="485" t="n">
        <v>4</v>
      </c>
      <c r="E1877" s="485" t="n">
        <v>2</v>
      </c>
      <c r="F1877" s="485" t="n">
        <v>2</v>
      </c>
      <c r="G1877" s="485" t="inlineStr">
        <is>
          <t>West-Down1</t>
        </is>
      </c>
      <c r="H1877" s="485" t="n">
        <v>0</v>
      </c>
      <c r="I1877" s="485" t="n">
        <v>0</v>
      </c>
      <c r="J1877" s="485" t="n">
        <v>0</v>
      </c>
      <c r="K1877" s="485" t="n">
        <v>0</v>
      </c>
      <c r="L1877" s="485" t="n">
        <v>0</v>
      </c>
      <c r="M1877" s="514" t="inlineStr">
        <is>
          <t>T</t>
        </is>
      </c>
    </row>
    <row r="1878">
      <c r="A1878" s="485" t="n">
        <v>25</v>
      </c>
      <c r="B1878" s="485" t="n">
        <v>4</v>
      </c>
      <c r="C1878" s="485" t="n">
        <v>2</v>
      </c>
      <c r="D1878" s="485" t="n">
        <v>4</v>
      </c>
      <c r="E1878" s="485" t="n">
        <v>2</v>
      </c>
      <c r="F1878" s="485" t="n">
        <v>2</v>
      </c>
      <c r="G1878" s="485" t="inlineStr">
        <is>
          <t>West-Down2</t>
        </is>
      </c>
      <c r="H1878" s="485" t="n">
        <v>0</v>
      </c>
      <c r="I1878" s="485" t="n">
        <v>0</v>
      </c>
      <c r="J1878" s="485" t="n">
        <v>0</v>
      </c>
      <c r="K1878" s="485" t="n">
        <v>0</v>
      </c>
      <c r="L1878" s="485" t="n">
        <v>0</v>
      </c>
      <c r="M1878" s="514" t="inlineStr">
        <is>
          <t>T</t>
        </is>
      </c>
    </row>
    <row r="1879">
      <c r="A1879" s="485" t="n">
        <v>25</v>
      </c>
      <c r="B1879" s="485" t="n">
        <v>4</v>
      </c>
      <c r="C1879" s="485" t="n">
        <v>2</v>
      </c>
      <c r="D1879" s="485" t="n">
        <v>4</v>
      </c>
      <c r="E1879" s="485" t="n">
        <v>2</v>
      </c>
      <c r="F1879" s="485" t="n">
        <v>2</v>
      </c>
      <c r="G1879" s="485" t="inlineStr">
        <is>
          <t>East-Up2</t>
        </is>
      </c>
      <c r="H1879" s="485" t="n">
        <v>0</v>
      </c>
      <c r="I1879" s="485" t="n">
        <v>0</v>
      </c>
      <c r="J1879" s="485" t="n">
        <v>0</v>
      </c>
      <c r="K1879" s="485" t="n">
        <v>0</v>
      </c>
      <c r="L1879" s="485" t="n">
        <v>0</v>
      </c>
      <c r="M1879" s="514" t="inlineStr">
        <is>
          <t>T</t>
        </is>
      </c>
    </row>
    <row r="1880">
      <c r="A1880" s="485" t="n">
        <v>25</v>
      </c>
      <c r="B1880" s="485" t="n">
        <v>4</v>
      </c>
      <c r="C1880" s="485" t="n">
        <v>2</v>
      </c>
      <c r="D1880" s="485" t="n">
        <v>4</v>
      </c>
      <c r="E1880" s="485" t="n">
        <v>2</v>
      </c>
      <c r="F1880" s="485" t="n">
        <v>2</v>
      </c>
      <c r="G1880" s="516" t="inlineStr">
        <is>
          <t>East-Up1</t>
        </is>
      </c>
      <c r="H1880" s="485" t="n">
        <v>5293.88</v>
      </c>
      <c r="I1880" s="485" t="n">
        <v>0</v>
      </c>
      <c r="J1880" s="485" t="n">
        <v>13</v>
      </c>
      <c r="K1880" s="485" t="n">
        <v>26</v>
      </c>
      <c r="L1880" s="485" t="n">
        <v>2</v>
      </c>
      <c r="M1880" s="514" t="inlineStr">
        <is>
          <t>T</t>
        </is>
      </c>
    </row>
    <row r="1881">
      <c r="A1881" s="485" t="n">
        <v>25</v>
      </c>
      <c r="B1881" s="485" t="n">
        <v>4</v>
      </c>
      <c r="C1881" s="485" t="n">
        <v>2</v>
      </c>
      <c r="D1881" s="485" t="n">
        <v>4</v>
      </c>
      <c r="E1881" s="485" t="n">
        <v>2</v>
      </c>
      <c r="F1881" s="485" t="n">
        <v>2</v>
      </c>
      <c r="G1881" s="485" t="inlineStr">
        <is>
          <t>East-Down1</t>
        </is>
      </c>
      <c r="H1881" s="485" t="n">
        <v>0</v>
      </c>
      <c r="I1881" s="485" t="n">
        <v>0</v>
      </c>
      <c r="J1881" s="485" t="n">
        <v>0</v>
      </c>
      <c r="K1881" s="485" t="n">
        <v>0</v>
      </c>
      <c r="L1881" s="485" t="n">
        <v>0</v>
      </c>
      <c r="M1881" s="514" t="inlineStr">
        <is>
          <t>T</t>
        </is>
      </c>
    </row>
    <row r="1882">
      <c r="A1882" s="485" t="n">
        <v>25</v>
      </c>
      <c r="B1882" s="485" t="n">
        <v>4</v>
      </c>
      <c r="C1882" s="485" t="n">
        <v>2</v>
      </c>
      <c r="D1882" s="485" t="n">
        <v>4</v>
      </c>
      <c r="E1882" s="485" t="n">
        <v>2</v>
      </c>
      <c r="F1882" s="485" t="n">
        <v>2</v>
      </c>
      <c r="G1882" s="485" t="inlineStr">
        <is>
          <t>East-Down2</t>
        </is>
      </c>
      <c r="H1882" s="485" t="n">
        <v>0</v>
      </c>
      <c r="I1882" s="485" t="n">
        <v>0</v>
      </c>
      <c r="J1882" s="485" t="n">
        <v>0</v>
      </c>
      <c r="K1882" s="485" t="n">
        <v>0</v>
      </c>
      <c r="L1882" s="485" t="n">
        <v>0</v>
      </c>
      <c r="M1882" s="514" t="inlineStr">
        <is>
          <t>T</t>
        </is>
      </c>
    </row>
    <row r="1883">
      <c r="A1883" s="485" t="n">
        <v>25</v>
      </c>
      <c r="B1883" s="485" t="n">
        <v>4</v>
      </c>
      <c r="C1883" s="485" t="n">
        <v>2</v>
      </c>
      <c r="D1883" s="485" t="n">
        <v>4</v>
      </c>
      <c r="E1883" s="485" t="n">
        <v>2</v>
      </c>
      <c r="F1883" s="485" t="n">
        <v>2</v>
      </c>
      <c r="G1883" s="485" t="inlineStr">
        <is>
          <t>North-Left2</t>
        </is>
      </c>
      <c r="H1883" s="485" t="n">
        <v>0</v>
      </c>
      <c r="I1883" s="485" t="n">
        <v>0</v>
      </c>
      <c r="J1883" s="485" t="n">
        <v>0</v>
      </c>
      <c r="K1883" s="485" t="n">
        <v>0</v>
      </c>
      <c r="L1883" s="485" t="n">
        <v>0</v>
      </c>
      <c r="M1883" s="514" t="inlineStr">
        <is>
          <t>T</t>
        </is>
      </c>
    </row>
    <row r="1884">
      <c r="A1884" s="485" t="n">
        <v>25</v>
      </c>
      <c r="B1884" s="485" t="n">
        <v>4</v>
      </c>
      <c r="C1884" s="485" t="n">
        <v>2</v>
      </c>
      <c r="D1884" s="485" t="n">
        <v>4</v>
      </c>
      <c r="E1884" s="485" t="n">
        <v>2</v>
      </c>
      <c r="F1884" s="485" t="n">
        <v>2</v>
      </c>
      <c r="G1884" s="516" t="inlineStr">
        <is>
          <t>North-Left1</t>
        </is>
      </c>
      <c r="H1884" s="485" t="n">
        <v>5227.8</v>
      </c>
      <c r="I1884" s="485" t="n">
        <v>89</v>
      </c>
      <c r="J1884" s="485" t="n">
        <v>58</v>
      </c>
      <c r="K1884" s="485" t="n">
        <v>52</v>
      </c>
      <c r="L1884" s="485" t="n">
        <v>3</v>
      </c>
      <c r="M1884" s="514" t="inlineStr">
        <is>
          <t>T</t>
        </is>
      </c>
    </row>
    <row r="1885">
      <c r="A1885" s="485" t="n">
        <v>25</v>
      </c>
      <c r="B1885" s="485" t="n">
        <v>4</v>
      </c>
      <c r="C1885" s="485" t="n">
        <v>2</v>
      </c>
      <c r="D1885" s="485" t="n">
        <v>4</v>
      </c>
      <c r="E1885" s="485" t="n">
        <v>2</v>
      </c>
      <c r="F1885" s="485" t="n">
        <v>2</v>
      </c>
      <c r="G1885" s="485" t="inlineStr">
        <is>
          <t>North-Right1</t>
        </is>
      </c>
      <c r="H1885" s="485" t="n">
        <v>0</v>
      </c>
      <c r="I1885" s="485" t="n">
        <v>0</v>
      </c>
      <c r="J1885" s="485" t="n">
        <v>0</v>
      </c>
      <c r="K1885" s="485" t="n">
        <v>0</v>
      </c>
      <c r="L1885" s="485" t="n">
        <v>0</v>
      </c>
      <c r="M1885" s="514" t="inlineStr">
        <is>
          <t>T</t>
        </is>
      </c>
    </row>
    <row r="1886">
      <c r="A1886" s="485" t="n">
        <v>25</v>
      </c>
      <c r="B1886" s="485" t="n">
        <v>4</v>
      </c>
      <c r="C1886" s="485" t="n">
        <v>2</v>
      </c>
      <c r="D1886" s="485" t="n">
        <v>4</v>
      </c>
      <c r="E1886" s="485" t="n">
        <v>2</v>
      </c>
      <c r="F1886" s="485" t="n">
        <v>2</v>
      </c>
      <c r="G1886" s="485" t="inlineStr">
        <is>
          <t>North-Right2</t>
        </is>
      </c>
      <c r="H1886" s="485" t="n">
        <v>0</v>
      </c>
      <c r="I1886" s="485" t="n">
        <v>0</v>
      </c>
      <c r="J1886" s="485" t="n">
        <v>0</v>
      </c>
      <c r="K1886" s="485" t="n">
        <v>0</v>
      </c>
      <c r="L1886" s="485" t="n">
        <v>0</v>
      </c>
      <c r="M1886" s="514" t="inlineStr">
        <is>
          <t>T</t>
        </is>
      </c>
    </row>
    <row r="1887">
      <c r="A1887" s="485" t="n">
        <v>25</v>
      </c>
      <c r="B1887" s="485" t="n">
        <v>4</v>
      </c>
      <c r="C1887" s="485" t="n">
        <v>2</v>
      </c>
      <c r="D1887" s="485" t="n">
        <v>4</v>
      </c>
      <c r="E1887" s="485" t="n">
        <v>2</v>
      </c>
      <c r="F1887" s="485" t="n">
        <v>2</v>
      </c>
      <c r="G1887" s="485" t="inlineStr">
        <is>
          <t>South-Left2</t>
        </is>
      </c>
      <c r="H1887" s="485" t="n">
        <v>0</v>
      </c>
      <c r="I1887" s="485" t="n">
        <v>0</v>
      </c>
      <c r="J1887" s="485" t="n">
        <v>0</v>
      </c>
      <c r="K1887" s="485" t="n">
        <v>0</v>
      </c>
      <c r="L1887" s="485" t="n">
        <v>0</v>
      </c>
      <c r="M1887" s="514" t="inlineStr">
        <is>
          <t>T</t>
        </is>
      </c>
    </row>
    <row r="1888">
      <c r="A1888" s="485" t="n">
        <v>25</v>
      </c>
      <c r="B1888" s="485" t="n">
        <v>4</v>
      </c>
      <c r="C1888" s="485" t="n">
        <v>2</v>
      </c>
      <c r="D1888" s="485" t="n">
        <v>4</v>
      </c>
      <c r="E1888" s="485" t="n">
        <v>2</v>
      </c>
      <c r="F1888" s="485" t="n">
        <v>2</v>
      </c>
      <c r="G1888" s="516" t="inlineStr">
        <is>
          <t>South-Left1</t>
        </is>
      </c>
      <c r="H1888" s="485" t="n">
        <v>5318.56</v>
      </c>
      <c r="I1888" s="485" t="n">
        <v>89</v>
      </c>
      <c r="J1888" s="485" t="n">
        <v>54</v>
      </c>
      <c r="K1888" s="485" t="n">
        <v>40</v>
      </c>
      <c r="L1888" s="485" t="n">
        <v>2</v>
      </c>
      <c r="M1888" s="514" t="inlineStr">
        <is>
          <t>T</t>
        </is>
      </c>
    </row>
    <row r="1889">
      <c r="A1889" s="485" t="n">
        <v>25</v>
      </c>
      <c r="B1889" s="485" t="n">
        <v>4</v>
      </c>
      <c r="C1889" s="485" t="n">
        <v>2</v>
      </c>
      <c r="D1889" s="485" t="n">
        <v>4</v>
      </c>
      <c r="E1889" s="485" t="n">
        <v>2</v>
      </c>
      <c r="F1889" s="485" t="n">
        <v>2</v>
      </c>
      <c r="G1889" s="485" t="inlineStr">
        <is>
          <t>South-Right1</t>
        </is>
      </c>
      <c r="H1889" s="485" t="n">
        <v>0</v>
      </c>
      <c r="I1889" s="485" t="n">
        <v>0</v>
      </c>
      <c r="J1889" s="485" t="n">
        <v>0</v>
      </c>
      <c r="K1889" s="485" t="n">
        <v>0</v>
      </c>
      <c r="L1889" s="485" t="n">
        <v>0</v>
      </c>
      <c r="M1889" s="514" t="inlineStr">
        <is>
          <t>T</t>
        </is>
      </c>
    </row>
    <row r="1890">
      <c r="A1890" s="485" t="n">
        <v>25</v>
      </c>
      <c r="B1890" s="485" t="n">
        <v>4</v>
      </c>
      <c r="C1890" s="485" t="n">
        <v>2</v>
      </c>
      <c r="D1890" s="485" t="n">
        <v>4</v>
      </c>
      <c r="E1890" s="485" t="n">
        <v>2</v>
      </c>
      <c r="F1890" s="485" t="n">
        <v>2</v>
      </c>
      <c r="G1890" s="485" t="inlineStr">
        <is>
          <t>South-Right2</t>
        </is>
      </c>
      <c r="H1890" s="485" t="n">
        <v>0</v>
      </c>
      <c r="I1890" s="485" t="n">
        <v>0</v>
      </c>
      <c r="J1890" s="485" t="n">
        <v>0</v>
      </c>
      <c r="K1890" s="485" t="n">
        <v>0</v>
      </c>
      <c r="L1890" s="485" t="n">
        <v>0</v>
      </c>
      <c r="M1890" s="514" t="inlineStr">
        <is>
          <t>T</t>
        </is>
      </c>
    </row>
    <row r="1891">
      <c r="A1891" s="485" t="n">
        <v>26</v>
      </c>
      <c r="B1891" s="485" t="n">
        <v>7</v>
      </c>
      <c r="C1891" s="485" t="n">
        <v>2</v>
      </c>
      <c r="D1891" s="485" t="n">
        <v>20</v>
      </c>
      <c r="E1891" s="485" t="n">
        <v>1</v>
      </c>
      <c r="F1891" s="485" t="n">
        <v>1</v>
      </c>
      <c r="G1891" s="485" t="inlineStr">
        <is>
          <t>West-Up2</t>
        </is>
      </c>
      <c r="H1891" s="485" t="n">
        <v>0</v>
      </c>
      <c r="I1891" s="485" t="n">
        <v>0</v>
      </c>
      <c r="J1891" s="485" t="n">
        <v>0</v>
      </c>
      <c r="K1891" s="485" t="n">
        <v>0</v>
      </c>
      <c r="L1891" s="485" t="n">
        <v>0</v>
      </c>
      <c r="M1891" s="514" t="inlineStr">
        <is>
          <t>G</t>
        </is>
      </c>
    </row>
    <row r="1892">
      <c r="A1892" s="485" t="n">
        <v>26</v>
      </c>
      <c r="B1892" s="485" t="n">
        <v>7</v>
      </c>
      <c r="C1892" s="485" t="n">
        <v>2</v>
      </c>
      <c r="D1892" s="485" t="n">
        <v>20</v>
      </c>
      <c r="E1892" s="485" t="n">
        <v>1</v>
      </c>
      <c r="F1892" s="485" t="n">
        <v>1</v>
      </c>
      <c r="G1892" s="516" t="inlineStr">
        <is>
          <t>West-Up1</t>
        </is>
      </c>
      <c r="H1892" s="485" t="n">
        <v>2716.69</v>
      </c>
      <c r="I1892" s="485" t="n">
        <v>1</v>
      </c>
      <c r="J1892" s="485" t="n">
        <v>32</v>
      </c>
      <c r="K1892" s="485" t="n">
        <v>36</v>
      </c>
      <c r="L1892" s="485" t="n">
        <v>4</v>
      </c>
      <c r="M1892" s="514" t="inlineStr">
        <is>
          <t>G</t>
        </is>
      </c>
    </row>
    <row r="1893">
      <c r="A1893" s="485" t="n">
        <v>26</v>
      </c>
      <c r="B1893" s="485" t="n">
        <v>7</v>
      </c>
      <c r="C1893" s="485" t="n">
        <v>2</v>
      </c>
      <c r="D1893" s="485" t="n">
        <v>20</v>
      </c>
      <c r="E1893" s="485" t="n">
        <v>1</v>
      </c>
      <c r="F1893" s="485" t="n">
        <v>1</v>
      </c>
      <c r="G1893" s="485" t="inlineStr">
        <is>
          <t>West-Down1</t>
        </is>
      </c>
      <c r="H1893" s="485" t="n">
        <v>2708.94</v>
      </c>
      <c r="I1893" s="485" t="n">
        <v>1</v>
      </c>
      <c r="J1893" s="485" t="n">
        <v>28</v>
      </c>
      <c r="K1893" s="485" t="n">
        <v>13</v>
      </c>
      <c r="L1893" s="485" t="n">
        <v>4</v>
      </c>
      <c r="M1893" s="514" t="inlineStr">
        <is>
          <t>G</t>
        </is>
      </c>
    </row>
    <row r="1894">
      <c r="A1894" s="485" t="n">
        <v>26</v>
      </c>
      <c r="B1894" s="485" t="n">
        <v>7</v>
      </c>
      <c r="C1894" s="485" t="n">
        <v>2</v>
      </c>
      <c r="D1894" s="485" t="n">
        <v>20</v>
      </c>
      <c r="E1894" s="485" t="n">
        <v>1</v>
      </c>
      <c r="F1894" s="485" t="n">
        <v>1</v>
      </c>
      <c r="G1894" s="485" t="inlineStr">
        <is>
          <t>West-Down2</t>
        </is>
      </c>
      <c r="H1894" s="485" t="n">
        <v>0</v>
      </c>
      <c r="I1894" s="485" t="n">
        <v>0</v>
      </c>
      <c r="J1894" s="485" t="n">
        <v>0</v>
      </c>
      <c r="K1894" s="485" t="n">
        <v>0</v>
      </c>
      <c r="L1894" s="485" t="n">
        <v>0</v>
      </c>
      <c r="M1894" s="514" t="inlineStr">
        <is>
          <t>G</t>
        </is>
      </c>
    </row>
    <row r="1895">
      <c r="A1895" s="485" t="n">
        <v>26</v>
      </c>
      <c r="B1895" s="485" t="n">
        <v>7</v>
      </c>
      <c r="C1895" s="485" t="n">
        <v>2</v>
      </c>
      <c r="D1895" s="485" t="n">
        <v>20</v>
      </c>
      <c r="E1895" s="485" t="n">
        <v>1</v>
      </c>
      <c r="F1895" s="485" t="n">
        <v>1</v>
      </c>
      <c r="G1895" s="485" t="inlineStr">
        <is>
          <t>East-Up2</t>
        </is>
      </c>
      <c r="H1895" s="485" t="n">
        <v>0</v>
      </c>
      <c r="I1895" s="485" t="n">
        <v>0</v>
      </c>
      <c r="J1895" s="485" t="n">
        <v>0</v>
      </c>
      <c r="K1895" s="485" t="n">
        <v>0</v>
      </c>
      <c r="L1895" s="485" t="n">
        <v>0</v>
      </c>
      <c r="M1895" s="514" t="inlineStr">
        <is>
          <t>G</t>
        </is>
      </c>
    </row>
    <row r="1896">
      <c r="A1896" s="485" t="n">
        <v>26</v>
      </c>
      <c r="B1896" s="485" t="n">
        <v>7</v>
      </c>
      <c r="C1896" s="485" t="n">
        <v>2</v>
      </c>
      <c r="D1896" s="485" t="n">
        <v>20</v>
      </c>
      <c r="E1896" s="485" t="n">
        <v>1</v>
      </c>
      <c r="F1896" s="485" t="n">
        <v>1</v>
      </c>
      <c r="G1896" s="516" t="inlineStr">
        <is>
          <t>East-Up1</t>
        </is>
      </c>
      <c r="H1896" s="485" t="n">
        <v>2549.33</v>
      </c>
      <c r="I1896" s="485" t="n">
        <v>0</v>
      </c>
      <c r="J1896" s="485" t="n">
        <v>43</v>
      </c>
      <c r="K1896" s="485" t="n">
        <v>23</v>
      </c>
      <c r="L1896" s="485" t="n">
        <v>4</v>
      </c>
      <c r="M1896" s="514" t="inlineStr">
        <is>
          <t>G</t>
        </is>
      </c>
    </row>
    <row r="1897">
      <c r="A1897" s="485" t="n">
        <v>26</v>
      </c>
      <c r="B1897" s="485" t="n">
        <v>7</v>
      </c>
      <c r="C1897" s="485" t="n">
        <v>2</v>
      </c>
      <c r="D1897" s="485" t="n">
        <v>20</v>
      </c>
      <c r="E1897" s="485" t="n">
        <v>1</v>
      </c>
      <c r="F1897" s="485" t="n">
        <v>1</v>
      </c>
      <c r="G1897" s="485" t="inlineStr">
        <is>
          <t>East-Down1</t>
        </is>
      </c>
      <c r="H1897" s="485" t="n">
        <v>2705.64</v>
      </c>
      <c r="I1897" s="485" t="n">
        <v>2</v>
      </c>
      <c r="J1897" s="485" t="n">
        <v>42</v>
      </c>
      <c r="K1897" s="485" t="n">
        <v>0</v>
      </c>
      <c r="L1897" s="485" t="n">
        <v>4</v>
      </c>
      <c r="M1897" s="514" t="inlineStr">
        <is>
          <t>G</t>
        </is>
      </c>
    </row>
    <row r="1898">
      <c r="A1898" s="485" t="n">
        <v>26</v>
      </c>
      <c r="B1898" s="485" t="n">
        <v>7</v>
      </c>
      <c r="C1898" s="485" t="n">
        <v>2</v>
      </c>
      <c r="D1898" s="485" t="n">
        <v>20</v>
      </c>
      <c r="E1898" s="485" t="n">
        <v>1</v>
      </c>
      <c r="F1898" s="485" t="n">
        <v>1</v>
      </c>
      <c r="G1898" s="485" t="inlineStr">
        <is>
          <t>East-Down2</t>
        </is>
      </c>
      <c r="H1898" s="485" t="n">
        <v>0</v>
      </c>
      <c r="I1898" s="485" t="n">
        <v>0</v>
      </c>
      <c r="J1898" s="485" t="n">
        <v>0</v>
      </c>
      <c r="K1898" s="485" t="n">
        <v>0</v>
      </c>
      <c r="L1898" s="485" t="n">
        <v>0</v>
      </c>
      <c r="M1898" s="514" t="inlineStr">
        <is>
          <t>G</t>
        </is>
      </c>
    </row>
    <row r="1899">
      <c r="A1899" s="485" t="n">
        <v>26</v>
      </c>
      <c r="B1899" s="485" t="n">
        <v>7</v>
      </c>
      <c r="C1899" s="485" t="n">
        <v>2</v>
      </c>
      <c r="D1899" s="485" t="n">
        <v>20</v>
      </c>
      <c r="E1899" s="485" t="n">
        <v>1</v>
      </c>
      <c r="F1899" s="485" t="n">
        <v>1</v>
      </c>
      <c r="G1899" s="485" t="inlineStr">
        <is>
          <t>North-Left2</t>
        </is>
      </c>
      <c r="H1899" s="485" t="n">
        <v>0</v>
      </c>
      <c r="I1899" s="485" t="n">
        <v>0</v>
      </c>
      <c r="J1899" s="485" t="n">
        <v>0</v>
      </c>
      <c r="K1899" s="485" t="n">
        <v>0</v>
      </c>
      <c r="L1899" s="485" t="n">
        <v>0</v>
      </c>
      <c r="M1899" s="514" t="inlineStr">
        <is>
          <t>G</t>
        </is>
      </c>
    </row>
    <row r="1900">
      <c r="A1900" s="485" t="n">
        <v>26</v>
      </c>
      <c r="B1900" s="485" t="n">
        <v>7</v>
      </c>
      <c r="C1900" s="485" t="n">
        <v>2</v>
      </c>
      <c r="D1900" s="485" t="n">
        <v>20</v>
      </c>
      <c r="E1900" s="485" t="n">
        <v>1</v>
      </c>
      <c r="F1900" s="485" t="n">
        <v>1</v>
      </c>
      <c r="G1900" s="516" t="inlineStr">
        <is>
          <t>North-Left1</t>
        </is>
      </c>
      <c r="H1900" s="485" t="n">
        <v>2697.3</v>
      </c>
      <c r="I1900" s="485" t="n">
        <v>89</v>
      </c>
      <c r="J1900" s="485" t="n">
        <v>18</v>
      </c>
      <c r="K1900" s="485" t="n">
        <v>27</v>
      </c>
      <c r="L1900" s="485" t="n">
        <v>3</v>
      </c>
      <c r="M1900" s="514" t="inlineStr">
        <is>
          <t>G</t>
        </is>
      </c>
    </row>
    <row r="1901">
      <c r="A1901" s="485" t="n">
        <v>26</v>
      </c>
      <c r="B1901" s="485" t="n">
        <v>7</v>
      </c>
      <c r="C1901" s="485" t="n">
        <v>2</v>
      </c>
      <c r="D1901" s="485" t="n">
        <v>20</v>
      </c>
      <c r="E1901" s="485" t="n">
        <v>1</v>
      </c>
      <c r="F1901" s="485" t="n">
        <v>1</v>
      </c>
      <c r="G1901" s="485" t="inlineStr">
        <is>
          <t>North-Right1</t>
        </is>
      </c>
      <c r="H1901" s="485" t="n">
        <v>2695.26</v>
      </c>
      <c r="I1901" s="485" t="n">
        <v>89</v>
      </c>
      <c r="J1901" s="485" t="n">
        <v>42</v>
      </c>
      <c r="K1901" s="485" t="n">
        <v>43</v>
      </c>
      <c r="L1901" s="485" t="n">
        <v>3</v>
      </c>
      <c r="M1901" s="514" t="inlineStr">
        <is>
          <t>G</t>
        </is>
      </c>
    </row>
    <row r="1902">
      <c r="A1902" s="485" t="n">
        <v>26</v>
      </c>
      <c r="B1902" s="485" t="n">
        <v>7</v>
      </c>
      <c r="C1902" s="485" t="n">
        <v>2</v>
      </c>
      <c r="D1902" s="485" t="n">
        <v>20</v>
      </c>
      <c r="E1902" s="485" t="n">
        <v>1</v>
      </c>
      <c r="F1902" s="485" t="n">
        <v>1</v>
      </c>
      <c r="G1902" s="485" t="inlineStr">
        <is>
          <t>North-Right2</t>
        </is>
      </c>
      <c r="H1902" s="485" t="n">
        <v>0</v>
      </c>
      <c r="I1902" s="485" t="n">
        <v>0</v>
      </c>
      <c r="J1902" s="485" t="n">
        <v>0</v>
      </c>
      <c r="K1902" s="485" t="n">
        <v>0</v>
      </c>
      <c r="L1902" s="485" t="n">
        <v>0</v>
      </c>
      <c r="M1902" s="514" t="inlineStr">
        <is>
          <t>G</t>
        </is>
      </c>
    </row>
    <row r="1903">
      <c r="A1903" s="485" t="n">
        <v>26</v>
      </c>
      <c r="B1903" s="485" t="n">
        <v>7</v>
      </c>
      <c r="C1903" s="485" t="n">
        <v>2</v>
      </c>
      <c r="D1903" s="485" t="n">
        <v>20</v>
      </c>
      <c r="E1903" s="485" t="n">
        <v>1</v>
      </c>
      <c r="F1903" s="485" t="n">
        <v>1</v>
      </c>
      <c r="G1903" s="485" t="inlineStr">
        <is>
          <t>South-Left2</t>
        </is>
      </c>
      <c r="H1903" s="485" t="n">
        <v>1337.07</v>
      </c>
      <c r="I1903" s="485" t="n">
        <v>84</v>
      </c>
      <c r="J1903" s="485" t="n">
        <v>35</v>
      </c>
      <c r="K1903" s="485" t="n">
        <v>37</v>
      </c>
      <c r="L1903" s="485" t="n">
        <v>4</v>
      </c>
      <c r="M1903" s="514" t="inlineStr">
        <is>
          <t>G</t>
        </is>
      </c>
    </row>
    <row r="1904">
      <c r="A1904" s="485" t="n">
        <v>26</v>
      </c>
      <c r="B1904" s="485" t="n">
        <v>7</v>
      </c>
      <c r="C1904" s="485" t="n">
        <v>2</v>
      </c>
      <c r="D1904" s="485" t="n">
        <v>20</v>
      </c>
      <c r="E1904" s="485" t="n">
        <v>1</v>
      </c>
      <c r="F1904" s="485" t="n">
        <v>1</v>
      </c>
      <c r="G1904" s="516" t="inlineStr">
        <is>
          <t>South-Left1</t>
        </is>
      </c>
      <c r="H1904" s="485" t="n">
        <v>1434.84</v>
      </c>
      <c r="I1904" s="485" t="n">
        <v>89</v>
      </c>
      <c r="J1904" s="485" t="n">
        <v>42</v>
      </c>
      <c r="K1904" s="485" t="n">
        <v>21</v>
      </c>
      <c r="L1904" s="485" t="n">
        <v>3</v>
      </c>
      <c r="M1904" s="514" t="inlineStr">
        <is>
          <t>G</t>
        </is>
      </c>
    </row>
    <row r="1905">
      <c r="A1905" s="485" t="n">
        <v>26</v>
      </c>
      <c r="B1905" s="485" t="n">
        <v>7</v>
      </c>
      <c r="C1905" s="485" t="n">
        <v>2</v>
      </c>
      <c r="D1905" s="485" t="n">
        <v>20</v>
      </c>
      <c r="E1905" s="485" t="n">
        <v>1</v>
      </c>
      <c r="F1905" s="485" t="n">
        <v>1</v>
      </c>
      <c r="G1905" s="485" t="inlineStr">
        <is>
          <t>South-Right1</t>
        </is>
      </c>
      <c r="H1905" s="485" t="n">
        <v>2664.31</v>
      </c>
      <c r="I1905" s="485" t="n">
        <v>82</v>
      </c>
      <c r="J1905" s="485" t="n">
        <v>49</v>
      </c>
      <c r="K1905" s="485" t="n">
        <v>32</v>
      </c>
      <c r="L1905" s="485" t="n">
        <v>3</v>
      </c>
      <c r="M1905" s="514" t="inlineStr">
        <is>
          <t>G</t>
        </is>
      </c>
    </row>
    <row r="1906">
      <c r="A1906" s="485" t="n">
        <v>26</v>
      </c>
      <c r="B1906" s="485" t="n">
        <v>7</v>
      </c>
      <c r="C1906" s="485" t="n">
        <v>2</v>
      </c>
      <c r="D1906" s="485" t="n">
        <v>20</v>
      </c>
      <c r="E1906" s="485" t="n">
        <v>1</v>
      </c>
      <c r="F1906" s="485" t="n">
        <v>1</v>
      </c>
      <c r="G1906" s="485" t="inlineStr">
        <is>
          <t>South-Right2</t>
        </is>
      </c>
      <c r="H1906" s="485" t="n">
        <v>0</v>
      </c>
      <c r="I1906" s="485" t="n">
        <v>0</v>
      </c>
      <c r="J1906" s="485" t="n">
        <v>0</v>
      </c>
      <c r="K1906" s="485" t="n">
        <v>0</v>
      </c>
      <c r="L1906" s="485" t="n">
        <v>0</v>
      </c>
      <c r="M1906" s="514" t="inlineStr">
        <is>
          <t>G</t>
        </is>
      </c>
    </row>
    <row r="1907">
      <c r="A1907" s="485" t="n">
        <v>26</v>
      </c>
      <c r="B1907" s="485" t="n">
        <v>8</v>
      </c>
      <c r="C1907" s="485" t="n">
        <v>2</v>
      </c>
      <c r="D1907" s="485" t="n">
        <v>22</v>
      </c>
      <c r="E1907" s="485" t="n">
        <v>1</v>
      </c>
      <c r="F1907" s="485" t="n">
        <v>1</v>
      </c>
      <c r="G1907" s="485" t="inlineStr">
        <is>
          <t>West-Up2</t>
        </is>
      </c>
      <c r="H1907" s="485" t="n">
        <v>0</v>
      </c>
      <c r="I1907" s="485" t="n">
        <v>0</v>
      </c>
      <c r="J1907" s="485" t="n">
        <v>0</v>
      </c>
      <c r="K1907" s="485" t="n">
        <v>0</v>
      </c>
      <c r="L1907" s="485" t="n">
        <v>0</v>
      </c>
      <c r="M1907" s="514" t="inlineStr">
        <is>
          <t>T</t>
        </is>
      </c>
    </row>
    <row r="1908">
      <c r="A1908" s="485" t="n">
        <v>26</v>
      </c>
      <c r="B1908" s="485" t="n">
        <v>8</v>
      </c>
      <c r="C1908" s="485" t="n">
        <v>2</v>
      </c>
      <c r="D1908" s="485" t="n">
        <v>22</v>
      </c>
      <c r="E1908" s="485" t="n">
        <v>1</v>
      </c>
      <c r="F1908" s="485" t="n">
        <v>1</v>
      </c>
      <c r="G1908" s="516" t="inlineStr">
        <is>
          <t>West-Up1</t>
        </is>
      </c>
      <c r="H1908" s="485" t="n">
        <v>2642.45</v>
      </c>
      <c r="I1908" s="485" t="n">
        <v>1</v>
      </c>
      <c r="J1908" s="485" t="n">
        <v>48</v>
      </c>
      <c r="K1908" s="485" t="n">
        <v>57</v>
      </c>
      <c r="L1908" s="485" t="n">
        <v>4</v>
      </c>
      <c r="M1908" s="514" t="inlineStr">
        <is>
          <t>T</t>
        </is>
      </c>
    </row>
    <row r="1909">
      <c r="A1909" s="485" t="n">
        <v>26</v>
      </c>
      <c r="B1909" s="485" t="n">
        <v>8</v>
      </c>
      <c r="C1909" s="485" t="n">
        <v>2</v>
      </c>
      <c r="D1909" s="485" t="n">
        <v>22</v>
      </c>
      <c r="E1909" s="485" t="n">
        <v>1</v>
      </c>
      <c r="F1909" s="485" t="n">
        <v>1</v>
      </c>
      <c r="G1909" s="485" t="inlineStr">
        <is>
          <t>West-Down1</t>
        </is>
      </c>
      <c r="H1909" s="485" t="n">
        <v>2642.9</v>
      </c>
      <c r="I1909" s="485" t="n">
        <v>1</v>
      </c>
      <c r="J1909" s="485" t="n">
        <v>51</v>
      </c>
      <c r="K1909" s="485" t="n">
        <v>4</v>
      </c>
      <c r="L1909" s="485" t="n">
        <v>4</v>
      </c>
      <c r="M1909" s="514" t="inlineStr">
        <is>
          <t>T</t>
        </is>
      </c>
    </row>
    <row r="1910">
      <c r="A1910" s="485" t="n">
        <v>26</v>
      </c>
      <c r="B1910" s="485" t="n">
        <v>8</v>
      </c>
      <c r="C1910" s="485" t="n">
        <v>2</v>
      </c>
      <c r="D1910" s="485" t="n">
        <v>22</v>
      </c>
      <c r="E1910" s="485" t="n">
        <v>1</v>
      </c>
      <c r="F1910" s="485" t="n">
        <v>1</v>
      </c>
      <c r="G1910" s="485" t="inlineStr">
        <is>
          <t>West-Down2</t>
        </is>
      </c>
      <c r="H1910" s="485" t="n">
        <v>0</v>
      </c>
      <c r="I1910" s="485" t="n">
        <v>0</v>
      </c>
      <c r="J1910" s="485" t="n">
        <v>0</v>
      </c>
      <c r="K1910" s="485" t="n">
        <v>0</v>
      </c>
      <c r="L1910" s="485" t="n">
        <v>0</v>
      </c>
      <c r="M1910" s="514" t="inlineStr">
        <is>
          <t>T</t>
        </is>
      </c>
    </row>
    <row r="1911">
      <c r="A1911" s="485" t="n">
        <v>26</v>
      </c>
      <c r="B1911" s="485" t="n">
        <v>8</v>
      </c>
      <c r="C1911" s="485" t="n">
        <v>2</v>
      </c>
      <c r="D1911" s="485" t="n">
        <v>22</v>
      </c>
      <c r="E1911" s="485" t="n">
        <v>1</v>
      </c>
      <c r="F1911" s="485" t="n">
        <v>1</v>
      </c>
      <c r="G1911" s="485" t="inlineStr">
        <is>
          <t>East-Up2</t>
        </is>
      </c>
      <c r="H1911" s="485" t="n">
        <v>0</v>
      </c>
      <c r="I1911" s="485" t="n">
        <v>0</v>
      </c>
      <c r="J1911" s="485" t="n">
        <v>0</v>
      </c>
      <c r="K1911" s="485" t="n">
        <v>0</v>
      </c>
      <c r="L1911" s="485" t="n">
        <v>0</v>
      </c>
      <c r="M1911" s="514" t="inlineStr">
        <is>
          <t>T</t>
        </is>
      </c>
    </row>
    <row r="1912">
      <c r="A1912" s="485" t="n">
        <v>26</v>
      </c>
      <c r="B1912" s="485" t="n">
        <v>8</v>
      </c>
      <c r="C1912" s="485" t="n">
        <v>2</v>
      </c>
      <c r="D1912" s="485" t="n">
        <v>22</v>
      </c>
      <c r="E1912" s="485" t="n">
        <v>1</v>
      </c>
      <c r="F1912" s="485" t="n">
        <v>1</v>
      </c>
      <c r="G1912" s="516" t="inlineStr">
        <is>
          <t>East-Up1</t>
        </is>
      </c>
      <c r="H1912" s="516" t="n">
        <v>2630.65</v>
      </c>
      <c r="I1912" s="485" t="n">
        <v>0</v>
      </c>
      <c r="J1912" s="485" t="n">
        <v>4</v>
      </c>
      <c r="K1912" s="485" t="n">
        <v>47</v>
      </c>
      <c r="L1912" s="485" t="n">
        <v>4</v>
      </c>
      <c r="M1912" s="514" t="inlineStr">
        <is>
          <t>T</t>
        </is>
      </c>
    </row>
    <row r="1913">
      <c r="A1913" s="485" t="n">
        <v>26</v>
      </c>
      <c r="B1913" s="485" t="n">
        <v>8</v>
      </c>
      <c r="C1913" s="485" t="n">
        <v>2</v>
      </c>
      <c r="D1913" s="485" t="n">
        <v>22</v>
      </c>
      <c r="E1913" s="485" t="n">
        <v>1</v>
      </c>
      <c r="F1913" s="485" t="n">
        <v>1</v>
      </c>
      <c r="G1913" s="485" t="inlineStr">
        <is>
          <t>East-Down1</t>
        </is>
      </c>
      <c r="H1913" s="485" t="n">
        <v>2628.96</v>
      </c>
      <c r="I1913" s="485" t="n">
        <v>0</v>
      </c>
      <c r="J1913" s="485" t="n">
        <v>39</v>
      </c>
      <c r="K1913" s="485" t="n">
        <v>58</v>
      </c>
      <c r="L1913" s="485" t="n">
        <v>4</v>
      </c>
      <c r="M1913" s="514" t="inlineStr">
        <is>
          <t>T</t>
        </is>
      </c>
    </row>
    <row r="1914">
      <c r="A1914" s="485" t="n">
        <v>26</v>
      </c>
      <c r="B1914" s="485" t="n">
        <v>8</v>
      </c>
      <c r="C1914" s="485" t="n">
        <v>2</v>
      </c>
      <c r="D1914" s="485" t="n">
        <v>22</v>
      </c>
      <c r="E1914" s="485" t="n">
        <v>1</v>
      </c>
      <c r="F1914" s="485" t="n">
        <v>1</v>
      </c>
      <c r="G1914" s="485" t="inlineStr">
        <is>
          <t>East-Down2</t>
        </is>
      </c>
      <c r="H1914" s="485" t="n">
        <v>0</v>
      </c>
      <c r="I1914" s="485" t="n">
        <v>0</v>
      </c>
      <c r="J1914" s="485" t="n">
        <v>0</v>
      </c>
      <c r="K1914" s="485" t="n">
        <v>0</v>
      </c>
      <c r="L1914" s="485" t="n">
        <v>0</v>
      </c>
      <c r="M1914" s="514" t="inlineStr">
        <is>
          <t>T</t>
        </is>
      </c>
    </row>
    <row r="1915">
      <c r="A1915" s="485" t="n">
        <v>26</v>
      </c>
      <c r="B1915" s="485" t="n">
        <v>8</v>
      </c>
      <c r="C1915" s="485" t="n">
        <v>2</v>
      </c>
      <c r="D1915" s="485" t="n">
        <v>22</v>
      </c>
      <c r="E1915" s="485" t="n">
        <v>1</v>
      </c>
      <c r="F1915" s="485" t="n">
        <v>1</v>
      </c>
      <c r="G1915" s="485" t="inlineStr">
        <is>
          <t>North-Left2</t>
        </is>
      </c>
      <c r="H1915" s="485" t="n">
        <v>0</v>
      </c>
      <c r="I1915" s="485" t="n">
        <v>0</v>
      </c>
      <c r="J1915" s="485" t="n">
        <v>0</v>
      </c>
      <c r="K1915" s="485" t="n">
        <v>0</v>
      </c>
      <c r="L1915" s="485" t="n">
        <v>0</v>
      </c>
      <c r="M1915" s="514" t="inlineStr">
        <is>
          <t>T</t>
        </is>
      </c>
    </row>
    <row r="1916">
      <c r="A1916" s="485" t="n">
        <v>26</v>
      </c>
      <c r="B1916" s="485" t="n">
        <v>8</v>
      </c>
      <c r="C1916" s="485" t="n">
        <v>2</v>
      </c>
      <c r="D1916" s="485" t="n">
        <v>22</v>
      </c>
      <c r="E1916" s="485" t="n">
        <v>1</v>
      </c>
      <c r="F1916" s="485" t="n">
        <v>1</v>
      </c>
      <c r="G1916" s="516" t="inlineStr">
        <is>
          <t>North-Left1</t>
        </is>
      </c>
      <c r="H1916" s="516" t="n">
        <v>5389.68</v>
      </c>
      <c r="I1916" s="485" t="n">
        <v>89</v>
      </c>
      <c r="J1916" s="485" t="n">
        <v>18</v>
      </c>
      <c r="K1916" s="485" t="n">
        <v>40</v>
      </c>
      <c r="L1916" s="485" t="n">
        <v>0</v>
      </c>
      <c r="M1916" s="514" t="inlineStr">
        <is>
          <t>T</t>
        </is>
      </c>
    </row>
    <row r="1917">
      <c r="A1917" s="485" t="n">
        <v>26</v>
      </c>
      <c r="B1917" s="485" t="n">
        <v>8</v>
      </c>
      <c r="C1917" s="485" t="n">
        <v>2</v>
      </c>
      <c r="D1917" s="485" t="n">
        <v>22</v>
      </c>
      <c r="E1917" s="485" t="n">
        <v>1</v>
      </c>
      <c r="F1917" s="485" t="n">
        <v>1</v>
      </c>
      <c r="G1917" s="485" t="inlineStr">
        <is>
          <t>North-Right1</t>
        </is>
      </c>
      <c r="H1917" s="485" t="n">
        <v>0</v>
      </c>
      <c r="I1917" s="485" t="n">
        <v>0</v>
      </c>
      <c r="J1917" s="485" t="n">
        <v>0</v>
      </c>
      <c r="K1917" s="485" t="n">
        <v>0</v>
      </c>
      <c r="L1917" s="485" t="n">
        <v>0</v>
      </c>
      <c r="M1917" s="514" t="inlineStr">
        <is>
          <t>T</t>
        </is>
      </c>
    </row>
    <row r="1918">
      <c r="A1918" s="485" t="n">
        <v>26</v>
      </c>
      <c r="B1918" s="485" t="n">
        <v>8</v>
      </c>
      <c r="C1918" s="485" t="n">
        <v>2</v>
      </c>
      <c r="D1918" s="485" t="n">
        <v>22</v>
      </c>
      <c r="E1918" s="485" t="n">
        <v>1</v>
      </c>
      <c r="F1918" s="485" t="n">
        <v>1</v>
      </c>
      <c r="G1918" s="485" t="inlineStr">
        <is>
          <t>North-Right2</t>
        </is>
      </c>
      <c r="H1918" s="485" t="n">
        <v>0</v>
      </c>
      <c r="I1918" s="485" t="n">
        <v>0</v>
      </c>
      <c r="J1918" s="485" t="n">
        <v>0</v>
      </c>
      <c r="K1918" s="485" t="n">
        <v>0</v>
      </c>
      <c r="L1918" s="485" t="n">
        <v>0</v>
      </c>
      <c r="M1918" s="514" t="inlineStr">
        <is>
          <t>T</t>
        </is>
      </c>
    </row>
    <row r="1919">
      <c r="A1919" s="485" t="n">
        <v>26</v>
      </c>
      <c r="B1919" s="485" t="n">
        <v>8</v>
      </c>
      <c r="C1919" s="485" t="n">
        <v>2</v>
      </c>
      <c r="D1919" s="485" t="n">
        <v>22</v>
      </c>
      <c r="E1919" s="485" t="n">
        <v>1</v>
      </c>
      <c r="F1919" s="485" t="n">
        <v>1</v>
      </c>
      <c r="G1919" s="485" t="inlineStr">
        <is>
          <t>South-Left2</t>
        </is>
      </c>
      <c r="H1919" s="485" t="n">
        <v>0</v>
      </c>
      <c r="I1919" s="485" t="n">
        <v>0</v>
      </c>
      <c r="J1919" s="485" t="n">
        <v>0</v>
      </c>
      <c r="K1919" s="485" t="n">
        <v>0</v>
      </c>
      <c r="L1919" s="485" t="n">
        <v>0</v>
      </c>
      <c r="M1919" s="514" t="inlineStr">
        <is>
          <t>T</t>
        </is>
      </c>
    </row>
    <row r="1920">
      <c r="A1920" s="485" t="n">
        <v>26</v>
      </c>
      <c r="B1920" s="485" t="n">
        <v>8</v>
      </c>
      <c r="C1920" s="485" t="n">
        <v>2</v>
      </c>
      <c r="D1920" s="485" t="n">
        <v>22</v>
      </c>
      <c r="E1920" s="485" t="n">
        <v>1</v>
      </c>
      <c r="F1920" s="485" t="n">
        <v>1</v>
      </c>
      <c r="G1920" s="516" t="inlineStr">
        <is>
          <t>South-Left1</t>
        </is>
      </c>
      <c r="H1920" s="516" t="n">
        <v>2642.07</v>
      </c>
      <c r="I1920" s="485" t="n">
        <v>89</v>
      </c>
      <c r="J1920" s="485" t="n">
        <v>33</v>
      </c>
      <c r="K1920" s="485" t="n">
        <v>30</v>
      </c>
      <c r="L1920" s="485" t="n">
        <v>4</v>
      </c>
      <c r="M1920" s="514" t="inlineStr">
        <is>
          <t>T</t>
        </is>
      </c>
    </row>
    <row r="1921">
      <c r="A1921" s="485" t="n">
        <v>26</v>
      </c>
      <c r="B1921" s="485" t="n">
        <v>8</v>
      </c>
      <c r="C1921" s="485" t="n">
        <v>2</v>
      </c>
      <c r="D1921" s="485" t="n">
        <v>22</v>
      </c>
      <c r="E1921" s="485" t="n">
        <v>1</v>
      </c>
      <c r="F1921" s="485" t="n">
        <v>1</v>
      </c>
      <c r="G1921" s="485" t="inlineStr">
        <is>
          <t>South-Right1</t>
        </is>
      </c>
      <c r="H1921" s="485" t="n">
        <v>2640.06</v>
      </c>
      <c r="I1921" s="485" t="n">
        <v>89</v>
      </c>
      <c r="J1921" s="485" t="n">
        <v>32</v>
      </c>
      <c r="K1921" s="485" t="n">
        <v>38</v>
      </c>
      <c r="L1921" s="485" t="n">
        <v>1</v>
      </c>
      <c r="M1921" s="514" t="inlineStr">
        <is>
          <t>T</t>
        </is>
      </c>
    </row>
    <row r="1922">
      <c r="A1922" s="485" t="n">
        <v>26</v>
      </c>
      <c r="B1922" s="485" t="n">
        <v>8</v>
      </c>
      <c r="C1922" s="485" t="n">
        <v>2</v>
      </c>
      <c r="D1922" s="485" t="n">
        <v>22</v>
      </c>
      <c r="E1922" s="485" t="n">
        <v>1</v>
      </c>
      <c r="F1922" s="485" t="n">
        <v>1</v>
      </c>
      <c r="G1922" s="485" t="inlineStr">
        <is>
          <t>South-Right2</t>
        </is>
      </c>
      <c r="H1922" s="485" t="n">
        <v>0</v>
      </c>
      <c r="I1922" s="485" t="n">
        <v>0</v>
      </c>
      <c r="J1922" s="485" t="n">
        <v>0</v>
      </c>
      <c r="K1922" s="485" t="n">
        <v>0</v>
      </c>
      <c r="L1922" s="485" t="n">
        <v>0</v>
      </c>
      <c r="M1922" s="514" t="inlineStr">
        <is>
          <t>T</t>
        </is>
      </c>
    </row>
    <row r="1923">
      <c r="A1923" s="485" t="n">
        <v>26</v>
      </c>
      <c r="B1923" s="485" t="n">
        <v>2</v>
      </c>
      <c r="C1923" s="485" t="n">
        <v>2</v>
      </c>
      <c r="D1923" s="485" t="n">
        <v>3</v>
      </c>
      <c r="E1923" s="485" t="n">
        <v>2</v>
      </c>
      <c r="F1923" s="485" t="n">
        <v>2</v>
      </c>
      <c r="G1923" s="485" t="inlineStr">
        <is>
          <t>West-Up2</t>
        </is>
      </c>
      <c r="H1923" s="485" t="n">
        <v>0</v>
      </c>
      <c r="I1923" s="485" t="n">
        <v>0</v>
      </c>
      <c r="J1923" s="485" t="n">
        <v>0</v>
      </c>
      <c r="K1923" s="485" t="n">
        <v>0</v>
      </c>
      <c r="L1923" s="485" t="n">
        <v>0</v>
      </c>
      <c r="M1923" s="514" t="inlineStr">
        <is>
          <t>T</t>
        </is>
      </c>
    </row>
    <row r="1924">
      <c r="A1924" s="485" t="n">
        <v>26</v>
      </c>
      <c r="B1924" s="485" t="n">
        <v>2</v>
      </c>
      <c r="C1924" s="485" t="n">
        <v>2</v>
      </c>
      <c r="D1924" s="485" t="n">
        <v>3</v>
      </c>
      <c r="E1924" s="485" t="n">
        <v>2</v>
      </c>
      <c r="F1924" s="485" t="n">
        <v>2</v>
      </c>
      <c r="G1924" s="516" t="inlineStr">
        <is>
          <t>West-Up1</t>
        </is>
      </c>
      <c r="H1924" s="485" t="n">
        <v>2634.8</v>
      </c>
      <c r="I1924" s="485" t="n">
        <v>0</v>
      </c>
      <c r="J1924" s="485" t="n">
        <v>7</v>
      </c>
      <c r="K1924" s="485" t="n">
        <v>14</v>
      </c>
      <c r="L1924" s="485" t="n">
        <v>4</v>
      </c>
      <c r="M1924" s="514" t="inlineStr">
        <is>
          <t>T</t>
        </is>
      </c>
    </row>
    <row r="1925">
      <c r="A1925" s="485" t="n">
        <v>26</v>
      </c>
      <c r="B1925" s="485" t="n">
        <v>2</v>
      </c>
      <c r="C1925" s="485" t="n">
        <v>2</v>
      </c>
      <c r="D1925" s="485" t="n">
        <v>3</v>
      </c>
      <c r="E1925" s="485" t="n">
        <v>2</v>
      </c>
      <c r="F1925" s="485" t="n">
        <v>2</v>
      </c>
      <c r="G1925" s="485" t="inlineStr">
        <is>
          <t>West-Down1</t>
        </is>
      </c>
      <c r="H1925" s="485" t="n">
        <v>1321.42</v>
      </c>
      <c r="I1925" s="485" t="n">
        <v>0</v>
      </c>
      <c r="J1925" s="485" t="n">
        <v>12</v>
      </c>
      <c r="K1925" s="485" t="n">
        <v>36</v>
      </c>
      <c r="L1925" s="485" t="n">
        <v>4</v>
      </c>
      <c r="M1925" s="514" t="inlineStr">
        <is>
          <t>T</t>
        </is>
      </c>
    </row>
    <row r="1926">
      <c r="A1926" s="485" t="n">
        <v>26</v>
      </c>
      <c r="B1926" s="485" t="n">
        <v>2</v>
      </c>
      <c r="C1926" s="485" t="n">
        <v>2</v>
      </c>
      <c r="D1926" s="485" t="n">
        <v>3</v>
      </c>
      <c r="E1926" s="485" t="n">
        <v>2</v>
      </c>
      <c r="F1926" s="485" t="n">
        <v>2</v>
      </c>
      <c r="G1926" s="485" t="inlineStr">
        <is>
          <t>West-Down2</t>
        </is>
      </c>
      <c r="H1926" s="485" t="n">
        <v>1301.33</v>
      </c>
      <c r="I1926" s="485" t="n">
        <v>0</v>
      </c>
      <c r="J1926" s="485" t="n">
        <v>16</v>
      </c>
      <c r="K1926" s="485" t="n">
        <v>28</v>
      </c>
      <c r="L1926" s="485" t="n">
        <v>4</v>
      </c>
      <c r="M1926" s="514" t="inlineStr">
        <is>
          <t>T</t>
        </is>
      </c>
    </row>
    <row r="1927">
      <c r="A1927" s="485" t="n">
        <v>26</v>
      </c>
      <c r="B1927" s="485" t="n">
        <v>2</v>
      </c>
      <c r="C1927" s="485" t="n">
        <v>2</v>
      </c>
      <c r="D1927" s="485" t="n">
        <v>3</v>
      </c>
      <c r="E1927" s="485" t="n">
        <v>2</v>
      </c>
      <c r="F1927" s="485" t="n">
        <v>2</v>
      </c>
      <c r="G1927" s="485" t="inlineStr">
        <is>
          <t>East-Up2</t>
        </is>
      </c>
      <c r="H1927" s="485" t="n">
        <v>0</v>
      </c>
      <c r="I1927" s="485" t="n">
        <v>0</v>
      </c>
      <c r="J1927" s="485" t="n">
        <v>0</v>
      </c>
      <c r="K1927" s="485" t="n">
        <v>0</v>
      </c>
      <c r="L1927" s="485" t="n">
        <v>0</v>
      </c>
      <c r="M1927" s="514" t="inlineStr">
        <is>
          <t>T</t>
        </is>
      </c>
    </row>
    <row r="1928">
      <c r="A1928" s="485" t="n">
        <v>26</v>
      </c>
      <c r="B1928" s="485" t="n">
        <v>2</v>
      </c>
      <c r="C1928" s="485" t="n">
        <v>2</v>
      </c>
      <c r="D1928" s="485" t="n">
        <v>3</v>
      </c>
      <c r="E1928" s="485" t="n">
        <v>2</v>
      </c>
      <c r="F1928" s="485" t="n">
        <v>2</v>
      </c>
      <c r="G1928" s="516" t="inlineStr">
        <is>
          <t>East-Up1</t>
        </is>
      </c>
      <c r="H1928" s="485" t="n">
        <v>2543.18</v>
      </c>
      <c r="I1928" s="485" t="n">
        <v>0</v>
      </c>
      <c r="J1928" s="485" t="n">
        <v>0</v>
      </c>
      <c r="K1928" s="485" t="n">
        <v>55</v>
      </c>
      <c r="L1928" s="485" t="n">
        <v>2</v>
      </c>
      <c r="M1928" s="514" t="inlineStr">
        <is>
          <t>T</t>
        </is>
      </c>
    </row>
    <row r="1929">
      <c r="A1929" s="485" t="n">
        <v>26</v>
      </c>
      <c r="B1929" s="485" t="n">
        <v>2</v>
      </c>
      <c r="C1929" s="485" t="n">
        <v>2</v>
      </c>
      <c r="D1929" s="485" t="n">
        <v>3</v>
      </c>
      <c r="E1929" s="485" t="n">
        <v>2</v>
      </c>
      <c r="F1929" s="485" t="n">
        <v>2</v>
      </c>
      <c r="G1929" s="485" t="inlineStr">
        <is>
          <t>East-Down1</t>
        </is>
      </c>
      <c r="H1929" s="485" t="n">
        <v>1334.93</v>
      </c>
      <c r="I1929" s="485" t="n">
        <v>0</v>
      </c>
      <c r="J1929" s="485" t="n">
        <v>15</v>
      </c>
      <c r="K1929" s="485" t="n">
        <v>44</v>
      </c>
      <c r="L1929" s="485" t="n">
        <v>4</v>
      </c>
      <c r="M1929" s="514" t="inlineStr">
        <is>
          <t>T</t>
        </is>
      </c>
    </row>
    <row r="1930">
      <c r="A1930" s="485" t="n">
        <v>26</v>
      </c>
      <c r="B1930" s="485" t="n">
        <v>2</v>
      </c>
      <c r="C1930" s="485" t="n">
        <v>2</v>
      </c>
      <c r="D1930" s="485" t="n">
        <v>3</v>
      </c>
      <c r="E1930" s="485" t="n">
        <v>2</v>
      </c>
      <c r="F1930" s="485" t="n">
        <v>2</v>
      </c>
      <c r="G1930" s="485" t="inlineStr">
        <is>
          <t>East-Down2</t>
        </is>
      </c>
      <c r="H1930" s="485" t="n">
        <v>1321.74</v>
      </c>
      <c r="I1930" s="485" t="n">
        <v>0</v>
      </c>
      <c r="J1930" s="485" t="n">
        <v>15</v>
      </c>
      <c r="K1930" s="485" t="n">
        <v>12</v>
      </c>
      <c r="L1930" s="485" t="n">
        <v>4</v>
      </c>
      <c r="M1930" s="514" t="inlineStr">
        <is>
          <t>T</t>
        </is>
      </c>
    </row>
    <row r="1931">
      <c r="A1931" s="485" t="n">
        <v>26</v>
      </c>
      <c r="B1931" s="485" t="n">
        <v>2</v>
      </c>
      <c r="C1931" s="485" t="n">
        <v>2</v>
      </c>
      <c r="D1931" s="485" t="n">
        <v>3</v>
      </c>
      <c r="E1931" s="485" t="n">
        <v>2</v>
      </c>
      <c r="F1931" s="485" t="n">
        <v>2</v>
      </c>
      <c r="G1931" s="485" t="inlineStr">
        <is>
          <t>North-Left2</t>
        </is>
      </c>
      <c r="H1931" s="485" t="n">
        <v>0</v>
      </c>
      <c r="I1931" s="485" t="n">
        <v>0</v>
      </c>
      <c r="J1931" s="485" t="n">
        <v>0</v>
      </c>
      <c r="K1931" s="485" t="n">
        <v>0</v>
      </c>
      <c r="L1931" s="485" t="n">
        <v>0</v>
      </c>
      <c r="M1931" s="514" t="inlineStr">
        <is>
          <t>T</t>
        </is>
      </c>
    </row>
    <row r="1932">
      <c r="A1932" s="485" t="n">
        <v>26</v>
      </c>
      <c r="B1932" s="485" t="n">
        <v>2</v>
      </c>
      <c r="C1932" s="485" t="n">
        <v>2</v>
      </c>
      <c r="D1932" s="485" t="n">
        <v>3</v>
      </c>
      <c r="E1932" s="485" t="n">
        <v>2</v>
      </c>
      <c r="F1932" s="485" t="n">
        <v>2</v>
      </c>
      <c r="G1932" s="516" t="inlineStr">
        <is>
          <t>North-Left1</t>
        </is>
      </c>
      <c r="H1932" s="485" t="n">
        <v>2643.95</v>
      </c>
      <c r="I1932" s="485" t="n">
        <v>89</v>
      </c>
      <c r="J1932" s="485" t="n">
        <v>30</v>
      </c>
      <c r="K1932" s="485" t="n">
        <v>42</v>
      </c>
      <c r="L1932" s="485" t="n">
        <v>4</v>
      </c>
      <c r="M1932" s="514" t="inlineStr">
        <is>
          <t>T</t>
        </is>
      </c>
    </row>
    <row r="1933">
      <c r="A1933" s="485" t="n">
        <v>26</v>
      </c>
      <c r="B1933" s="485" t="n">
        <v>2</v>
      </c>
      <c r="C1933" s="485" t="n">
        <v>2</v>
      </c>
      <c r="D1933" s="485" t="n">
        <v>3</v>
      </c>
      <c r="E1933" s="485" t="n">
        <v>2</v>
      </c>
      <c r="F1933" s="485" t="n">
        <v>2</v>
      </c>
      <c r="G1933" s="485" t="inlineStr">
        <is>
          <t>North-Right1</t>
        </is>
      </c>
      <c r="H1933" s="485" t="n">
        <v>2644.23</v>
      </c>
      <c r="I1933" s="485" t="n">
        <v>89</v>
      </c>
      <c r="J1933" s="485" t="n">
        <v>30</v>
      </c>
      <c r="K1933" s="485" t="n">
        <v>34</v>
      </c>
      <c r="L1933" s="485" t="n">
        <v>4</v>
      </c>
      <c r="M1933" s="514" t="inlineStr">
        <is>
          <t>T</t>
        </is>
      </c>
    </row>
    <row r="1934">
      <c r="A1934" s="485" t="n">
        <v>26</v>
      </c>
      <c r="B1934" s="485" t="n">
        <v>2</v>
      </c>
      <c r="C1934" s="485" t="n">
        <v>2</v>
      </c>
      <c r="D1934" s="485" t="n">
        <v>3</v>
      </c>
      <c r="E1934" s="485" t="n">
        <v>2</v>
      </c>
      <c r="F1934" s="485" t="n">
        <v>2</v>
      </c>
      <c r="G1934" s="485" t="inlineStr">
        <is>
          <t>North-Right2</t>
        </is>
      </c>
      <c r="H1934" s="485" t="n">
        <v>0</v>
      </c>
      <c r="I1934" s="485" t="n">
        <v>0</v>
      </c>
      <c r="J1934" s="485" t="n">
        <v>0</v>
      </c>
      <c r="K1934" s="485" t="n">
        <v>0</v>
      </c>
      <c r="L1934" s="485" t="n">
        <v>0</v>
      </c>
      <c r="M1934" s="514" t="inlineStr">
        <is>
          <t>T</t>
        </is>
      </c>
    </row>
    <row r="1935">
      <c r="A1935" s="485" t="n">
        <v>26</v>
      </c>
      <c r="B1935" s="485" t="n">
        <v>2</v>
      </c>
      <c r="C1935" s="485" t="n">
        <v>2</v>
      </c>
      <c r="D1935" s="485" t="n">
        <v>3</v>
      </c>
      <c r="E1935" s="485" t="n">
        <v>2</v>
      </c>
      <c r="F1935" s="485" t="n">
        <v>2</v>
      </c>
      <c r="G1935" s="485" t="inlineStr">
        <is>
          <t>South-Left2</t>
        </is>
      </c>
      <c r="H1935" s="485" t="n">
        <v>0</v>
      </c>
      <c r="I1935" s="485" t="n">
        <v>0</v>
      </c>
      <c r="J1935" s="485" t="n">
        <v>0</v>
      </c>
      <c r="K1935" s="485" t="n">
        <v>0</v>
      </c>
      <c r="L1935" s="485" t="n">
        <v>0</v>
      </c>
      <c r="M1935" s="514" t="inlineStr">
        <is>
          <t>T</t>
        </is>
      </c>
    </row>
    <row r="1936">
      <c r="A1936" s="485" t="n">
        <v>26</v>
      </c>
      <c r="B1936" s="485" t="n">
        <v>2</v>
      </c>
      <c r="C1936" s="485" t="n">
        <v>2</v>
      </c>
      <c r="D1936" s="485" t="n">
        <v>3</v>
      </c>
      <c r="E1936" s="485" t="n">
        <v>2</v>
      </c>
      <c r="F1936" s="485" t="n">
        <v>2</v>
      </c>
      <c r="G1936" s="516" t="inlineStr">
        <is>
          <t>South-Left1</t>
        </is>
      </c>
      <c r="H1936" s="485" t="n">
        <v>2634.86</v>
      </c>
      <c r="I1936" s="485" t="n">
        <v>89</v>
      </c>
      <c r="J1936" s="485" t="n">
        <v>51</v>
      </c>
      <c r="K1936" s="485" t="n">
        <v>57</v>
      </c>
      <c r="L1936" s="485" t="n">
        <v>2</v>
      </c>
      <c r="M1936" s="514" t="inlineStr">
        <is>
          <t>T</t>
        </is>
      </c>
    </row>
    <row r="1937">
      <c r="A1937" s="485" t="n">
        <v>26</v>
      </c>
      <c r="B1937" s="485" t="n">
        <v>2</v>
      </c>
      <c r="C1937" s="485" t="n">
        <v>2</v>
      </c>
      <c r="D1937" s="485" t="n">
        <v>3</v>
      </c>
      <c r="E1937" s="485" t="n">
        <v>2</v>
      </c>
      <c r="F1937" s="485" t="n">
        <v>2</v>
      </c>
      <c r="G1937" s="485" t="inlineStr">
        <is>
          <t>South-Right1</t>
        </is>
      </c>
      <c r="H1937" s="485" t="n">
        <v>2647.79</v>
      </c>
      <c r="I1937" s="485" t="n">
        <v>89</v>
      </c>
      <c r="J1937" s="485" t="n">
        <v>51</v>
      </c>
      <c r="K1937" s="485" t="n">
        <v>43</v>
      </c>
      <c r="L1937" s="485" t="n">
        <v>2</v>
      </c>
      <c r="M1937" s="514" t="inlineStr">
        <is>
          <t>T</t>
        </is>
      </c>
    </row>
    <row r="1938">
      <c r="A1938" s="485" t="n">
        <v>26</v>
      </c>
      <c r="B1938" s="485" t="n">
        <v>2</v>
      </c>
      <c r="C1938" s="485" t="n">
        <v>2</v>
      </c>
      <c r="D1938" s="485" t="n">
        <v>3</v>
      </c>
      <c r="E1938" s="485" t="n">
        <v>2</v>
      </c>
      <c r="F1938" s="485" t="n">
        <v>2</v>
      </c>
      <c r="G1938" s="485" t="inlineStr">
        <is>
          <t>South-Right2</t>
        </is>
      </c>
      <c r="H1938" s="485" t="n">
        <v>0</v>
      </c>
      <c r="I1938" s="485" t="n">
        <v>0</v>
      </c>
      <c r="J1938" s="485" t="n">
        <v>0</v>
      </c>
      <c r="K1938" s="485" t="n">
        <v>0</v>
      </c>
      <c r="L1938" s="485" t="n">
        <v>0</v>
      </c>
      <c r="M1938" s="514" t="inlineStr">
        <is>
          <t>T</t>
        </is>
      </c>
    </row>
    <row r="1939">
      <c r="A1939" s="485" t="n">
        <v>26</v>
      </c>
      <c r="B1939" s="485" t="n">
        <v>2</v>
      </c>
      <c r="C1939" s="485" t="n">
        <v>2</v>
      </c>
      <c r="D1939" s="485" t="n">
        <v>4</v>
      </c>
      <c r="E1939" s="485" t="n">
        <v>2</v>
      </c>
      <c r="F1939" s="485" t="n">
        <v>2</v>
      </c>
      <c r="G1939" s="485" t="inlineStr">
        <is>
          <t>West-Up2</t>
        </is>
      </c>
      <c r="H1939" s="485" t="n">
        <v>0</v>
      </c>
      <c r="I1939" s="485" t="n">
        <v>0</v>
      </c>
      <c r="J1939" s="485" t="n">
        <v>0</v>
      </c>
      <c r="K1939" s="485" t="n">
        <v>0</v>
      </c>
      <c r="L1939" s="485" t="n">
        <v>0</v>
      </c>
      <c r="M1939" s="515" t="inlineStr">
        <is>
          <t>T</t>
        </is>
      </c>
    </row>
    <row r="1940">
      <c r="A1940" s="485" t="n">
        <v>26</v>
      </c>
      <c r="B1940" s="485" t="n">
        <v>2</v>
      </c>
      <c r="C1940" s="485" t="n">
        <v>2</v>
      </c>
      <c r="D1940" s="485" t="n">
        <v>4</v>
      </c>
      <c r="E1940" s="485" t="n">
        <v>2</v>
      </c>
      <c r="F1940" s="485" t="n">
        <v>2</v>
      </c>
      <c r="G1940" s="516" t="inlineStr">
        <is>
          <t>West-Up1</t>
        </is>
      </c>
      <c r="H1940" s="485" t="n">
        <v>2649.97</v>
      </c>
      <c r="I1940" s="485" t="n">
        <v>0</v>
      </c>
      <c r="J1940" s="485" t="n">
        <v>55</v>
      </c>
      <c r="K1940" s="485" t="n">
        <v>27</v>
      </c>
      <c r="L1940" s="485" t="n">
        <v>4</v>
      </c>
      <c r="M1940" s="515" t="inlineStr">
        <is>
          <t>T</t>
        </is>
      </c>
    </row>
    <row r="1941">
      <c r="A1941" s="485" t="n">
        <v>26</v>
      </c>
      <c r="B1941" s="485" t="n">
        <v>2</v>
      </c>
      <c r="C1941" s="485" t="n">
        <v>2</v>
      </c>
      <c r="D1941" s="485" t="n">
        <v>4</v>
      </c>
      <c r="E1941" s="485" t="n">
        <v>2</v>
      </c>
      <c r="F1941" s="485" t="n">
        <v>2</v>
      </c>
      <c r="G1941" s="485" t="inlineStr">
        <is>
          <t>West-Down1</t>
        </is>
      </c>
      <c r="H1941" s="485" t="n">
        <v>2644.16</v>
      </c>
      <c r="I1941" s="485" t="n">
        <v>0</v>
      </c>
      <c r="J1941" s="485" t="n">
        <v>4</v>
      </c>
      <c r="K1941" s="485" t="n">
        <v>32</v>
      </c>
      <c r="L1941" s="485" t="n">
        <v>3</v>
      </c>
      <c r="M1941" s="515" t="inlineStr">
        <is>
          <t>T</t>
        </is>
      </c>
    </row>
    <row r="1942">
      <c r="A1942" s="485" t="n">
        <v>26</v>
      </c>
      <c r="B1942" s="485" t="n">
        <v>2</v>
      </c>
      <c r="C1942" s="485" t="n">
        <v>2</v>
      </c>
      <c r="D1942" s="485" t="n">
        <v>4</v>
      </c>
      <c r="E1942" s="485" t="n">
        <v>2</v>
      </c>
      <c r="F1942" s="485" t="n">
        <v>2</v>
      </c>
      <c r="G1942" s="485" t="inlineStr">
        <is>
          <t>West-Down2</t>
        </is>
      </c>
      <c r="H1942" s="485" t="n">
        <v>0</v>
      </c>
      <c r="I1942" s="485" t="n">
        <v>0</v>
      </c>
      <c r="J1942" s="485" t="n">
        <v>0</v>
      </c>
      <c r="K1942" s="485" t="n">
        <v>0</v>
      </c>
      <c r="L1942" s="485" t="n">
        <v>0</v>
      </c>
      <c r="M1942" s="515" t="inlineStr">
        <is>
          <t>T</t>
        </is>
      </c>
    </row>
    <row r="1943">
      <c r="A1943" s="485" t="n">
        <v>26</v>
      </c>
      <c r="B1943" s="485" t="n">
        <v>2</v>
      </c>
      <c r="C1943" s="485" t="n">
        <v>2</v>
      </c>
      <c r="D1943" s="485" t="n">
        <v>4</v>
      </c>
      <c r="E1943" s="485" t="n">
        <v>2</v>
      </c>
      <c r="F1943" s="485" t="n">
        <v>2</v>
      </c>
      <c r="G1943" s="485" t="inlineStr">
        <is>
          <t>East-Up2</t>
        </is>
      </c>
      <c r="H1943" s="485" t="n">
        <v>0</v>
      </c>
      <c r="I1943" s="485" t="n">
        <v>0</v>
      </c>
      <c r="J1943" s="485" t="n">
        <v>0</v>
      </c>
      <c r="K1943" s="485" t="n">
        <v>0</v>
      </c>
      <c r="L1943" s="485" t="n">
        <v>0</v>
      </c>
      <c r="M1943" s="515" t="inlineStr">
        <is>
          <t>T</t>
        </is>
      </c>
    </row>
    <row r="1944">
      <c r="A1944" s="485" t="n">
        <v>26</v>
      </c>
      <c r="B1944" s="485" t="n">
        <v>2</v>
      </c>
      <c r="C1944" s="485" t="n">
        <v>2</v>
      </c>
      <c r="D1944" s="485" t="n">
        <v>4</v>
      </c>
      <c r="E1944" s="485" t="n">
        <v>2</v>
      </c>
      <c r="F1944" s="485" t="n">
        <v>2</v>
      </c>
      <c r="G1944" s="516" t="inlineStr">
        <is>
          <t>East-Up1</t>
        </is>
      </c>
      <c r="H1944" s="485" t="n">
        <v>5283.77</v>
      </c>
      <c r="I1944" s="485" t="n">
        <v>0</v>
      </c>
      <c r="J1944" s="485" t="n">
        <v>15</v>
      </c>
      <c r="K1944" s="485" t="n">
        <v>24</v>
      </c>
      <c r="L1944" s="485" t="n">
        <v>4</v>
      </c>
      <c r="M1944" s="515" t="inlineStr">
        <is>
          <t>T</t>
        </is>
      </c>
    </row>
    <row r="1945">
      <c r="A1945" s="485" t="n">
        <v>26</v>
      </c>
      <c r="B1945" s="485" t="n">
        <v>2</v>
      </c>
      <c r="C1945" s="485" t="n">
        <v>2</v>
      </c>
      <c r="D1945" s="485" t="n">
        <v>4</v>
      </c>
      <c r="E1945" s="485" t="n">
        <v>2</v>
      </c>
      <c r="F1945" s="485" t="n">
        <v>2</v>
      </c>
      <c r="G1945" s="485" t="inlineStr">
        <is>
          <t>East-Down1</t>
        </is>
      </c>
      <c r="H1945" s="485" t="n">
        <v>0</v>
      </c>
      <c r="I1945" s="485" t="n">
        <v>0</v>
      </c>
      <c r="J1945" s="485" t="n">
        <v>0</v>
      </c>
      <c r="K1945" s="485" t="n">
        <v>0</v>
      </c>
      <c r="L1945" s="485" t="n">
        <v>0</v>
      </c>
      <c r="M1945" s="515" t="inlineStr">
        <is>
          <t>T</t>
        </is>
      </c>
    </row>
    <row r="1946">
      <c r="A1946" s="485" t="n">
        <v>26</v>
      </c>
      <c r="B1946" s="485" t="n">
        <v>2</v>
      </c>
      <c r="C1946" s="485" t="n">
        <v>2</v>
      </c>
      <c r="D1946" s="485" t="n">
        <v>4</v>
      </c>
      <c r="E1946" s="485" t="n">
        <v>2</v>
      </c>
      <c r="F1946" s="485" t="n">
        <v>2</v>
      </c>
      <c r="G1946" s="485" t="inlineStr">
        <is>
          <t>East-Down2</t>
        </is>
      </c>
      <c r="H1946" s="485" t="n">
        <v>0</v>
      </c>
      <c r="I1946" s="485" t="n">
        <v>0</v>
      </c>
      <c r="J1946" s="485" t="n">
        <v>0</v>
      </c>
      <c r="K1946" s="485" t="n">
        <v>0</v>
      </c>
      <c r="L1946" s="485" t="n">
        <v>0</v>
      </c>
      <c r="M1946" s="515" t="inlineStr">
        <is>
          <t>T</t>
        </is>
      </c>
    </row>
    <row r="1947">
      <c r="A1947" s="485" t="n">
        <v>26</v>
      </c>
      <c r="B1947" s="485" t="n">
        <v>2</v>
      </c>
      <c r="C1947" s="485" t="n">
        <v>2</v>
      </c>
      <c r="D1947" s="485" t="n">
        <v>4</v>
      </c>
      <c r="E1947" s="485" t="n">
        <v>2</v>
      </c>
      <c r="F1947" s="485" t="n">
        <v>2</v>
      </c>
      <c r="G1947" s="485" t="inlineStr">
        <is>
          <t>North-Left2</t>
        </is>
      </c>
      <c r="H1947" s="485" t="n">
        <v>0</v>
      </c>
      <c r="I1947" s="485" t="n">
        <v>0</v>
      </c>
      <c r="J1947" s="485" t="n">
        <v>0</v>
      </c>
      <c r="K1947" s="485" t="n">
        <v>0</v>
      </c>
      <c r="L1947" s="485" t="n">
        <v>0</v>
      </c>
      <c r="M1947" s="515" t="inlineStr">
        <is>
          <t>T</t>
        </is>
      </c>
    </row>
    <row r="1948">
      <c r="A1948" s="485" t="n">
        <v>26</v>
      </c>
      <c r="B1948" s="485" t="n">
        <v>2</v>
      </c>
      <c r="C1948" s="485" t="n">
        <v>2</v>
      </c>
      <c r="D1948" s="485" t="n">
        <v>4</v>
      </c>
      <c r="E1948" s="485" t="n">
        <v>2</v>
      </c>
      <c r="F1948" s="485" t="n">
        <v>2</v>
      </c>
      <c r="G1948" s="516" t="inlineStr">
        <is>
          <t>North-Left1</t>
        </is>
      </c>
      <c r="H1948" s="485" t="n">
        <v>5290.83</v>
      </c>
      <c r="I1948" s="485" t="n">
        <v>89</v>
      </c>
      <c r="J1948" s="485" t="n">
        <v>54</v>
      </c>
      <c r="K1948" s="485" t="n">
        <v>30</v>
      </c>
      <c r="L1948" s="485" t="n">
        <v>4</v>
      </c>
      <c r="M1948" s="515" t="inlineStr">
        <is>
          <t>T</t>
        </is>
      </c>
    </row>
    <row r="1949">
      <c r="A1949" s="485" t="n">
        <v>26</v>
      </c>
      <c r="B1949" s="485" t="n">
        <v>2</v>
      </c>
      <c r="C1949" s="485" t="n">
        <v>2</v>
      </c>
      <c r="D1949" s="485" t="n">
        <v>4</v>
      </c>
      <c r="E1949" s="485" t="n">
        <v>2</v>
      </c>
      <c r="F1949" s="485" t="n">
        <v>2</v>
      </c>
      <c r="G1949" s="485" t="inlineStr">
        <is>
          <t>North-Right1</t>
        </is>
      </c>
      <c r="H1949" s="485" t="n">
        <v>0</v>
      </c>
      <c r="I1949" s="485" t="n">
        <v>0</v>
      </c>
      <c r="J1949" s="485" t="n">
        <v>0</v>
      </c>
      <c r="K1949" s="485" t="n">
        <v>0</v>
      </c>
      <c r="L1949" s="485" t="n">
        <v>0</v>
      </c>
      <c r="M1949" s="515" t="inlineStr">
        <is>
          <t>T</t>
        </is>
      </c>
    </row>
    <row r="1950">
      <c r="A1950" s="485" t="n">
        <v>26</v>
      </c>
      <c r="B1950" s="485" t="n">
        <v>2</v>
      </c>
      <c r="C1950" s="485" t="n">
        <v>2</v>
      </c>
      <c r="D1950" s="485" t="n">
        <v>4</v>
      </c>
      <c r="E1950" s="485" t="n">
        <v>2</v>
      </c>
      <c r="F1950" s="485" t="n">
        <v>2</v>
      </c>
      <c r="G1950" s="485" t="inlineStr">
        <is>
          <t>North-Right2</t>
        </is>
      </c>
      <c r="H1950" s="485" t="n">
        <v>0</v>
      </c>
      <c r="I1950" s="485" t="n">
        <v>0</v>
      </c>
      <c r="J1950" s="485" t="n">
        <v>0</v>
      </c>
      <c r="K1950" s="485" t="n">
        <v>0</v>
      </c>
      <c r="L1950" s="485" t="n">
        <v>0</v>
      </c>
      <c r="M1950" s="515" t="inlineStr">
        <is>
          <t>T</t>
        </is>
      </c>
    </row>
    <row r="1951">
      <c r="A1951" s="485" t="n">
        <v>26</v>
      </c>
      <c r="B1951" s="485" t="n">
        <v>2</v>
      </c>
      <c r="C1951" s="485" t="n">
        <v>2</v>
      </c>
      <c r="D1951" s="485" t="n">
        <v>4</v>
      </c>
      <c r="E1951" s="485" t="n">
        <v>2</v>
      </c>
      <c r="F1951" s="485" t="n">
        <v>2</v>
      </c>
      <c r="G1951" s="485" t="inlineStr">
        <is>
          <t>South-Left2</t>
        </is>
      </c>
      <c r="H1951" s="485" t="n">
        <v>0</v>
      </c>
      <c r="I1951" s="485" t="n">
        <v>0</v>
      </c>
      <c r="J1951" s="485" t="n">
        <v>0</v>
      </c>
      <c r="K1951" s="485" t="n">
        <v>0</v>
      </c>
      <c r="L1951" s="485" t="n">
        <v>0</v>
      </c>
      <c r="M1951" s="515" t="inlineStr">
        <is>
          <t>T</t>
        </is>
      </c>
    </row>
    <row r="1952">
      <c r="A1952" s="485" t="n">
        <v>26</v>
      </c>
      <c r="B1952" s="485" t="n">
        <v>2</v>
      </c>
      <c r="C1952" s="485" t="n">
        <v>2</v>
      </c>
      <c r="D1952" s="485" t="n">
        <v>4</v>
      </c>
      <c r="E1952" s="485" t="n">
        <v>2</v>
      </c>
      <c r="F1952" s="485" t="n">
        <v>2</v>
      </c>
      <c r="G1952" s="516" t="inlineStr">
        <is>
          <t>South-Left1</t>
        </is>
      </c>
      <c r="H1952" s="485" t="n">
        <v>5275.24</v>
      </c>
      <c r="I1952" s="485" t="n">
        <v>89</v>
      </c>
      <c r="J1952" s="485" t="n">
        <v>58</v>
      </c>
      <c r="K1952" s="485" t="n">
        <v>57</v>
      </c>
      <c r="L1952" s="485" t="n">
        <v>2</v>
      </c>
      <c r="M1952" s="515" t="inlineStr">
        <is>
          <t>T</t>
        </is>
      </c>
    </row>
    <row r="1953">
      <c r="A1953" s="485" t="n">
        <v>26</v>
      </c>
      <c r="B1953" s="485" t="n">
        <v>2</v>
      </c>
      <c r="C1953" s="485" t="n">
        <v>2</v>
      </c>
      <c r="D1953" s="485" t="n">
        <v>4</v>
      </c>
      <c r="E1953" s="485" t="n">
        <v>2</v>
      </c>
      <c r="F1953" s="485" t="n">
        <v>2</v>
      </c>
      <c r="G1953" s="485" t="inlineStr">
        <is>
          <t>South-Right1</t>
        </is>
      </c>
      <c r="H1953" s="485" t="n">
        <v>0</v>
      </c>
      <c r="I1953" s="485" t="n">
        <v>0</v>
      </c>
      <c r="J1953" s="485" t="n">
        <v>0</v>
      </c>
      <c r="K1953" s="485" t="n">
        <v>0</v>
      </c>
      <c r="L1953" s="485" t="n">
        <v>0</v>
      </c>
      <c r="M1953" s="515" t="inlineStr">
        <is>
          <t>T</t>
        </is>
      </c>
    </row>
    <row r="1954">
      <c r="A1954" s="485" t="n">
        <v>26</v>
      </c>
      <c r="B1954" s="485" t="n">
        <v>2</v>
      </c>
      <c r="C1954" s="485" t="n">
        <v>2</v>
      </c>
      <c r="D1954" s="485" t="n">
        <v>4</v>
      </c>
      <c r="E1954" s="485" t="n">
        <v>2</v>
      </c>
      <c r="F1954" s="485" t="n">
        <v>2</v>
      </c>
      <c r="G1954" s="485" t="inlineStr">
        <is>
          <t>South-Right2</t>
        </is>
      </c>
      <c r="H1954" s="485" t="n">
        <v>0</v>
      </c>
      <c r="I1954" s="485" t="n">
        <v>0</v>
      </c>
      <c r="J1954" s="485" t="n">
        <v>0</v>
      </c>
      <c r="K1954" s="485" t="n">
        <v>0</v>
      </c>
      <c r="L1954" s="485" t="n">
        <v>0</v>
      </c>
      <c r="M1954" s="515" t="inlineStr">
        <is>
          <t>T</t>
        </is>
      </c>
    </row>
    <row r="1955">
      <c r="A1955" s="493" t="n">
        <v>26</v>
      </c>
      <c r="B1955" s="493" t="n">
        <v>3</v>
      </c>
      <c r="C1955" s="493" t="n">
        <v>2</v>
      </c>
      <c r="D1955" s="493" t="n">
        <v>2</v>
      </c>
      <c r="E1955" s="493" t="n">
        <v>2</v>
      </c>
      <c r="F1955" s="493" t="n">
        <v>2</v>
      </c>
      <c r="G1955" s="493" t="inlineStr">
        <is>
          <t>West-Up2</t>
        </is>
      </c>
      <c r="H1955" s="493" t="n">
        <v>1325.64</v>
      </c>
      <c r="I1955" s="493" t="n">
        <v>0</v>
      </c>
      <c r="J1955" s="493" t="n">
        <v>20</v>
      </c>
      <c r="K1955" s="493" t="n">
        <v>44</v>
      </c>
      <c r="L1955" s="493" t="n">
        <v>2</v>
      </c>
      <c r="M1955" s="494" t="inlineStr">
        <is>
          <t>T</t>
        </is>
      </c>
    </row>
    <row r="1956">
      <c r="A1956" s="493" t="n">
        <v>26</v>
      </c>
      <c r="B1956" s="493" t="n">
        <v>3</v>
      </c>
      <c r="C1956" s="493" t="n">
        <v>2</v>
      </c>
      <c r="D1956" s="493" t="n">
        <v>2</v>
      </c>
      <c r="E1956" s="493" t="n">
        <v>2</v>
      </c>
      <c r="F1956" s="493" t="n">
        <v>2</v>
      </c>
      <c r="G1956" s="496" t="inlineStr">
        <is>
          <t>West-Up1</t>
        </is>
      </c>
      <c r="H1956" s="493" t="n">
        <v>1328.46</v>
      </c>
      <c r="I1956" s="493" t="n">
        <v>0</v>
      </c>
      <c r="J1956" s="493" t="n">
        <v>3</v>
      </c>
      <c r="K1956" s="493" t="n">
        <v>23</v>
      </c>
      <c r="L1956" s="493" t="n">
        <v>2</v>
      </c>
      <c r="M1956" s="494" t="inlineStr">
        <is>
          <t>T</t>
        </is>
      </c>
    </row>
    <row r="1957">
      <c r="A1957" s="493" t="n">
        <v>26</v>
      </c>
      <c r="B1957" s="493" t="n">
        <v>3</v>
      </c>
      <c r="C1957" s="493" t="n">
        <v>2</v>
      </c>
      <c r="D1957" s="493" t="n">
        <v>2</v>
      </c>
      <c r="E1957" s="493" t="n">
        <v>2</v>
      </c>
      <c r="F1957" s="493" t="n">
        <v>2</v>
      </c>
      <c r="G1957" s="493" t="inlineStr">
        <is>
          <t>West-Down1</t>
        </is>
      </c>
      <c r="H1957" s="493" t="n">
        <v>2646.83</v>
      </c>
      <c r="I1957" s="493" t="n">
        <v>0</v>
      </c>
      <c r="J1957" s="493" t="n">
        <v>2</v>
      </c>
      <c r="K1957" s="493" t="n">
        <v>9</v>
      </c>
      <c r="L1957" s="493" t="n">
        <v>4</v>
      </c>
      <c r="M1957" s="494" t="inlineStr">
        <is>
          <t>T</t>
        </is>
      </c>
    </row>
    <row r="1958">
      <c r="A1958" s="493" t="n">
        <v>26</v>
      </c>
      <c r="B1958" s="493" t="n">
        <v>3</v>
      </c>
      <c r="C1958" s="493" t="n">
        <v>2</v>
      </c>
      <c r="D1958" s="493" t="n">
        <v>2</v>
      </c>
      <c r="E1958" s="493" t="n">
        <v>2</v>
      </c>
      <c r="F1958" s="493" t="n">
        <v>2</v>
      </c>
      <c r="G1958" s="493" t="inlineStr">
        <is>
          <t>West-Down2</t>
        </is>
      </c>
      <c r="H1958" s="493" t="n">
        <v>0</v>
      </c>
      <c r="I1958" s="493" t="n">
        <v>0</v>
      </c>
      <c r="J1958" s="493" t="n">
        <v>0</v>
      </c>
      <c r="K1958" s="493" t="n">
        <v>0</v>
      </c>
      <c r="L1958" s="493" t="n">
        <v>0</v>
      </c>
      <c r="M1958" s="494" t="inlineStr">
        <is>
          <t>T</t>
        </is>
      </c>
    </row>
    <row r="1959">
      <c r="A1959" s="493" t="n">
        <v>26</v>
      </c>
      <c r="B1959" s="493" t="n">
        <v>3</v>
      </c>
      <c r="C1959" s="493" t="n">
        <v>2</v>
      </c>
      <c r="D1959" s="493" t="n">
        <v>2</v>
      </c>
      <c r="E1959" s="493" t="n">
        <v>2</v>
      </c>
      <c r="F1959" s="493" t="n">
        <v>2</v>
      </c>
      <c r="G1959" s="493" t="inlineStr">
        <is>
          <t>East-Up2</t>
        </is>
      </c>
      <c r="H1959" s="493" t="n">
        <v>0</v>
      </c>
      <c r="I1959" s="493" t="n">
        <v>0</v>
      </c>
      <c r="J1959" s="493" t="n">
        <v>0</v>
      </c>
      <c r="K1959" s="493" t="n">
        <v>0</v>
      </c>
      <c r="L1959" s="493" t="n">
        <v>0</v>
      </c>
      <c r="M1959" s="494" t="inlineStr">
        <is>
          <t>T</t>
        </is>
      </c>
    </row>
    <row r="1960">
      <c r="A1960" s="493" t="n">
        <v>26</v>
      </c>
      <c r="B1960" s="493" t="n">
        <v>3</v>
      </c>
      <c r="C1960" s="493" t="n">
        <v>2</v>
      </c>
      <c r="D1960" s="493" t="n">
        <v>2</v>
      </c>
      <c r="E1960" s="493" t="n">
        <v>2</v>
      </c>
      <c r="F1960" s="493" t="n">
        <v>2</v>
      </c>
      <c r="G1960" s="496" t="inlineStr">
        <is>
          <t>East-Up1</t>
        </is>
      </c>
      <c r="H1960" s="493" t="n">
        <v>2638.46</v>
      </c>
      <c r="I1960" s="493" t="n">
        <v>0</v>
      </c>
      <c r="J1960" s="493" t="n">
        <v>49</v>
      </c>
      <c r="K1960" s="493" t="n">
        <v>9</v>
      </c>
      <c r="L1960" s="493" t="n">
        <v>1</v>
      </c>
      <c r="M1960" s="494" t="inlineStr">
        <is>
          <t>T</t>
        </is>
      </c>
    </row>
    <row r="1961">
      <c r="A1961" s="493" t="n">
        <v>26</v>
      </c>
      <c r="B1961" s="493" t="n">
        <v>3</v>
      </c>
      <c r="C1961" s="493" t="n">
        <v>2</v>
      </c>
      <c r="D1961" s="493" t="n">
        <v>2</v>
      </c>
      <c r="E1961" s="493" t="n">
        <v>2</v>
      </c>
      <c r="F1961" s="493" t="n">
        <v>2</v>
      </c>
      <c r="G1961" s="493" t="inlineStr">
        <is>
          <t>East-Down1</t>
        </is>
      </c>
      <c r="H1961" s="493" t="n">
        <v>2634.93</v>
      </c>
      <c r="I1961" s="493" t="n">
        <v>0</v>
      </c>
      <c r="J1961" s="493" t="n">
        <v>48</v>
      </c>
      <c r="K1961" s="493" t="n">
        <v>59</v>
      </c>
      <c r="L1961" s="493" t="n">
        <v>1</v>
      </c>
      <c r="M1961" s="494" t="inlineStr">
        <is>
          <t>T</t>
        </is>
      </c>
    </row>
    <row r="1962">
      <c r="A1962" s="493" t="n">
        <v>26</v>
      </c>
      <c r="B1962" s="493" t="n">
        <v>3</v>
      </c>
      <c r="C1962" s="493" t="n">
        <v>2</v>
      </c>
      <c r="D1962" s="493" t="n">
        <v>2</v>
      </c>
      <c r="E1962" s="493" t="n">
        <v>2</v>
      </c>
      <c r="F1962" s="493" t="n">
        <v>2</v>
      </c>
      <c r="G1962" s="493" t="inlineStr">
        <is>
          <t>East-Down2</t>
        </is>
      </c>
      <c r="H1962" s="493" t="n">
        <v>0</v>
      </c>
      <c r="I1962" s="493" t="n">
        <v>0</v>
      </c>
      <c r="J1962" s="493" t="n">
        <v>0</v>
      </c>
      <c r="K1962" s="493" t="n">
        <v>0</v>
      </c>
      <c r="L1962" s="493" t="n">
        <v>0</v>
      </c>
      <c r="M1962" s="494" t="inlineStr">
        <is>
          <t>T</t>
        </is>
      </c>
    </row>
    <row r="1963">
      <c r="A1963" s="493" t="n">
        <v>26</v>
      </c>
      <c r="B1963" s="493" t="n">
        <v>3</v>
      </c>
      <c r="C1963" s="493" t="n">
        <v>2</v>
      </c>
      <c r="D1963" s="493" t="n">
        <v>2</v>
      </c>
      <c r="E1963" s="493" t="n">
        <v>2</v>
      </c>
      <c r="F1963" s="493" t="n">
        <v>2</v>
      </c>
      <c r="G1963" s="493" t="inlineStr">
        <is>
          <t>North-Left2</t>
        </is>
      </c>
      <c r="H1963" s="493" t="n">
        <v>0</v>
      </c>
      <c r="I1963" s="493" t="n">
        <v>0</v>
      </c>
      <c r="J1963" s="493" t="n">
        <v>0</v>
      </c>
      <c r="K1963" s="493" t="n">
        <v>0</v>
      </c>
      <c r="L1963" s="493" t="n">
        <v>0</v>
      </c>
      <c r="M1963" s="494" t="inlineStr">
        <is>
          <t>T</t>
        </is>
      </c>
    </row>
    <row r="1964">
      <c r="A1964" s="493" t="n">
        <v>26</v>
      </c>
      <c r="B1964" s="493" t="n">
        <v>3</v>
      </c>
      <c r="C1964" s="493" t="n">
        <v>2</v>
      </c>
      <c r="D1964" s="493" t="n">
        <v>2</v>
      </c>
      <c r="E1964" s="493" t="n">
        <v>2</v>
      </c>
      <c r="F1964" s="493" t="n">
        <v>2</v>
      </c>
      <c r="G1964" s="496" t="inlineStr">
        <is>
          <t>North-Left1</t>
        </is>
      </c>
      <c r="H1964" s="493" t="n">
        <v>2614.1</v>
      </c>
      <c r="I1964" s="493" t="n">
        <v>89</v>
      </c>
      <c r="J1964" s="493" t="n">
        <v>45</v>
      </c>
      <c r="K1964" s="493" t="n">
        <v>21</v>
      </c>
      <c r="L1964" s="493" t="n">
        <v>4</v>
      </c>
      <c r="M1964" s="494" t="inlineStr">
        <is>
          <t>T</t>
        </is>
      </c>
    </row>
    <row r="1965">
      <c r="A1965" s="493" t="n">
        <v>26</v>
      </c>
      <c r="B1965" s="493" t="n">
        <v>3</v>
      </c>
      <c r="C1965" s="493" t="n">
        <v>2</v>
      </c>
      <c r="D1965" s="493" t="n">
        <v>2</v>
      </c>
      <c r="E1965" s="493" t="n">
        <v>2</v>
      </c>
      <c r="F1965" s="493" t="n">
        <v>2</v>
      </c>
      <c r="G1965" s="493" t="inlineStr">
        <is>
          <t>North-Right1</t>
        </is>
      </c>
      <c r="H1965" s="493" t="n">
        <v>1300</v>
      </c>
      <c r="I1965" s="493" t="n">
        <v>89</v>
      </c>
      <c r="J1965" s="493" t="n">
        <v>45</v>
      </c>
      <c r="K1965" s="493" t="n">
        <v>21</v>
      </c>
      <c r="L1965" s="493" t="n">
        <v>4</v>
      </c>
      <c r="M1965" s="494" t="inlineStr">
        <is>
          <t>T</t>
        </is>
      </c>
    </row>
    <row r="1966">
      <c r="A1966" s="493" t="n">
        <v>26</v>
      </c>
      <c r="B1966" s="493" t="n">
        <v>3</v>
      </c>
      <c r="C1966" s="493" t="n">
        <v>2</v>
      </c>
      <c r="D1966" s="493" t="n">
        <v>2</v>
      </c>
      <c r="E1966" s="493" t="n">
        <v>2</v>
      </c>
      <c r="F1966" s="493" t="n">
        <v>2</v>
      </c>
      <c r="G1966" s="493" t="inlineStr">
        <is>
          <t>North-Right2</t>
        </is>
      </c>
      <c r="H1966" s="493" t="n">
        <v>1285.65</v>
      </c>
      <c r="I1966" s="493" t="n">
        <v>88</v>
      </c>
      <c r="J1966" s="493" t="n">
        <v>51</v>
      </c>
      <c r="K1966" s="493" t="n">
        <v>4</v>
      </c>
      <c r="L1966" s="493" t="n">
        <v>3</v>
      </c>
      <c r="M1966" s="494" t="inlineStr">
        <is>
          <t>T</t>
        </is>
      </c>
    </row>
    <row r="1967">
      <c r="A1967" s="493" t="n">
        <v>26</v>
      </c>
      <c r="B1967" s="493" t="n">
        <v>3</v>
      </c>
      <c r="C1967" s="493" t="n">
        <v>2</v>
      </c>
      <c r="D1967" s="493" t="n">
        <v>2</v>
      </c>
      <c r="E1967" s="493" t="n">
        <v>2</v>
      </c>
      <c r="F1967" s="493" t="n">
        <v>2</v>
      </c>
      <c r="G1967" s="493" t="inlineStr">
        <is>
          <t>South-Left2</t>
        </is>
      </c>
      <c r="H1967" s="493" t="n">
        <v>0</v>
      </c>
      <c r="I1967" s="493" t="n">
        <v>0</v>
      </c>
      <c r="J1967" s="493" t="n">
        <v>0</v>
      </c>
      <c r="K1967" s="493" t="n">
        <v>0</v>
      </c>
      <c r="L1967" s="493" t="n">
        <v>0</v>
      </c>
      <c r="M1967" s="494" t="inlineStr">
        <is>
          <t>T</t>
        </is>
      </c>
    </row>
    <row r="1968">
      <c r="A1968" s="493" t="n">
        <v>26</v>
      </c>
      <c r="B1968" s="493" t="n">
        <v>3</v>
      </c>
      <c r="C1968" s="493" t="n">
        <v>2</v>
      </c>
      <c r="D1968" s="493" t="n">
        <v>2</v>
      </c>
      <c r="E1968" s="493" t="n">
        <v>2</v>
      </c>
      <c r="F1968" s="493" t="n">
        <v>2</v>
      </c>
      <c r="G1968" s="496" t="inlineStr">
        <is>
          <t>South-Left1</t>
        </is>
      </c>
      <c r="H1968" s="493" t="n">
        <v>2633.77</v>
      </c>
      <c r="I1968" s="493" t="n">
        <v>89</v>
      </c>
      <c r="J1968" s="493" t="n">
        <v>23</v>
      </c>
      <c r="K1968" s="493" t="n">
        <v>53</v>
      </c>
      <c r="L1968" s="493" t="n">
        <v>3</v>
      </c>
      <c r="M1968" s="494" t="inlineStr">
        <is>
          <t>T</t>
        </is>
      </c>
    </row>
    <row r="1969">
      <c r="A1969" s="493" t="n">
        <v>26</v>
      </c>
      <c r="B1969" s="493" t="n">
        <v>3</v>
      </c>
      <c r="C1969" s="493" t="n">
        <v>2</v>
      </c>
      <c r="D1969" s="493" t="n">
        <v>2</v>
      </c>
      <c r="E1969" s="493" t="n">
        <v>2</v>
      </c>
      <c r="F1969" s="493" t="n">
        <v>2</v>
      </c>
      <c r="G1969" s="493" t="inlineStr">
        <is>
          <t>South-Right1</t>
        </is>
      </c>
      <c r="H1969" s="493" t="n">
        <v>1325.99</v>
      </c>
      <c r="I1969" s="493" t="n">
        <v>89</v>
      </c>
      <c r="J1969" s="493" t="n">
        <v>47</v>
      </c>
      <c r="K1969" s="493" t="n">
        <v>48</v>
      </c>
      <c r="L1969" s="493" t="n">
        <v>3</v>
      </c>
      <c r="M1969" s="494" t="inlineStr">
        <is>
          <t>T</t>
        </is>
      </c>
    </row>
    <row r="1970">
      <c r="A1970" s="493" t="n">
        <v>26</v>
      </c>
      <c r="B1970" s="493" t="n">
        <v>3</v>
      </c>
      <c r="C1970" s="493" t="n">
        <v>2</v>
      </c>
      <c r="D1970" s="493" t="n">
        <v>2</v>
      </c>
      <c r="E1970" s="493" t="n">
        <v>2</v>
      </c>
      <c r="F1970" s="493" t="n">
        <v>2</v>
      </c>
      <c r="G1970" s="493" t="inlineStr">
        <is>
          <t>South-Right2</t>
        </is>
      </c>
      <c r="H1970" s="493" t="n">
        <v>1322.75</v>
      </c>
      <c r="I1970" s="493" t="n">
        <v>89</v>
      </c>
      <c r="J1970" s="493" t="n">
        <v>47</v>
      </c>
      <c r="K1970" s="493" t="n">
        <v>34</v>
      </c>
      <c r="L1970" s="493" t="n">
        <v>3</v>
      </c>
      <c r="M1970" s="494" t="inlineStr">
        <is>
          <t>T</t>
        </is>
      </c>
    </row>
    <row r="1971">
      <c r="A1971" s="486" t="n">
        <v>26</v>
      </c>
      <c r="B1971" s="486" t="n">
        <v>3</v>
      </c>
      <c r="C1971" s="486" t="n">
        <v>2</v>
      </c>
      <c r="D1971" s="486" t="n">
        <v>4</v>
      </c>
      <c r="E1971" s="486" t="n">
        <v>2</v>
      </c>
      <c r="F1971" s="486" t="n">
        <v>2</v>
      </c>
      <c r="G1971" s="486" t="inlineStr">
        <is>
          <t>West-Up2</t>
        </is>
      </c>
      <c r="H1971" s="486" t="n">
        <v>0</v>
      </c>
      <c r="I1971" s="486" t="n">
        <v>0</v>
      </c>
      <c r="J1971" s="486" t="n">
        <v>0</v>
      </c>
      <c r="K1971" s="486" t="n">
        <v>0</v>
      </c>
      <c r="L1971" s="486" t="n">
        <v>0</v>
      </c>
      <c r="M1971" s="514" t="inlineStr">
        <is>
          <t>T</t>
        </is>
      </c>
    </row>
    <row r="1972">
      <c r="A1972" s="486" t="n">
        <v>26</v>
      </c>
      <c r="B1972" s="486" t="n">
        <v>3</v>
      </c>
      <c r="C1972" s="486" t="n">
        <v>2</v>
      </c>
      <c r="D1972" s="486" t="n">
        <v>4</v>
      </c>
      <c r="E1972" s="486" t="n">
        <v>2</v>
      </c>
      <c r="F1972" s="486" t="n">
        <v>2</v>
      </c>
      <c r="G1972" s="475" t="inlineStr">
        <is>
          <t>West-Up1</t>
        </is>
      </c>
      <c r="H1972" s="486" t="n">
        <v>2621.48</v>
      </c>
      <c r="I1972" s="486" t="n">
        <v>0</v>
      </c>
      <c r="J1972" s="486" t="n">
        <v>4</v>
      </c>
      <c r="K1972" s="486" t="n">
        <v>54</v>
      </c>
      <c r="L1972" s="486" t="n">
        <v>2</v>
      </c>
      <c r="M1972" s="514" t="inlineStr">
        <is>
          <t>T</t>
        </is>
      </c>
    </row>
    <row r="1973">
      <c r="A1973" s="486" t="n">
        <v>26</v>
      </c>
      <c r="B1973" s="486" t="n">
        <v>3</v>
      </c>
      <c r="C1973" s="486" t="n">
        <v>2</v>
      </c>
      <c r="D1973" s="486" t="n">
        <v>4</v>
      </c>
      <c r="E1973" s="486" t="n">
        <v>2</v>
      </c>
      <c r="F1973" s="486" t="n">
        <v>2</v>
      </c>
      <c r="G1973" s="486" t="inlineStr">
        <is>
          <t>West-Down1</t>
        </is>
      </c>
      <c r="H1973" s="486" t="n">
        <v>2635.04</v>
      </c>
      <c r="I1973" s="486" t="n">
        <v>0</v>
      </c>
      <c r="J1973" s="486" t="n">
        <v>2</v>
      </c>
      <c r="K1973" s="486" t="n">
        <v>14</v>
      </c>
      <c r="L1973" s="486" t="n">
        <v>2</v>
      </c>
      <c r="M1973" s="514" t="inlineStr">
        <is>
          <t>T</t>
        </is>
      </c>
    </row>
    <row r="1974">
      <c r="A1974" s="486" t="n">
        <v>26</v>
      </c>
      <c r="B1974" s="486" t="n">
        <v>3</v>
      </c>
      <c r="C1974" s="486" t="n">
        <v>2</v>
      </c>
      <c r="D1974" s="486" t="n">
        <v>4</v>
      </c>
      <c r="E1974" s="486" t="n">
        <v>2</v>
      </c>
      <c r="F1974" s="486" t="n">
        <v>2</v>
      </c>
      <c r="G1974" s="486" t="inlineStr">
        <is>
          <t>West-Down2</t>
        </is>
      </c>
      <c r="H1974" s="486" t="n">
        <v>0</v>
      </c>
      <c r="I1974" s="486" t="n">
        <v>0</v>
      </c>
      <c r="J1974" s="486" t="n">
        <v>0</v>
      </c>
      <c r="K1974" s="486" t="n">
        <v>0</v>
      </c>
      <c r="L1974" s="486" t="n">
        <v>0</v>
      </c>
      <c r="M1974" s="514" t="inlineStr">
        <is>
          <t>T</t>
        </is>
      </c>
    </row>
    <row r="1975">
      <c r="A1975" s="486" t="n">
        <v>26</v>
      </c>
      <c r="B1975" s="486" t="n">
        <v>3</v>
      </c>
      <c r="C1975" s="486" t="n">
        <v>2</v>
      </c>
      <c r="D1975" s="486" t="n">
        <v>4</v>
      </c>
      <c r="E1975" s="486" t="n">
        <v>2</v>
      </c>
      <c r="F1975" s="486" t="n">
        <v>2</v>
      </c>
      <c r="G1975" s="486" t="inlineStr">
        <is>
          <t>East-Up2</t>
        </is>
      </c>
      <c r="H1975" s="486" t="n">
        <v>1316.9</v>
      </c>
      <c r="I1975" s="486" t="n">
        <v>0</v>
      </c>
      <c r="J1975" s="486" t="n">
        <v>8</v>
      </c>
      <c r="K1975" s="486" t="n">
        <v>43</v>
      </c>
      <c r="L1975" s="486" t="n">
        <v>1</v>
      </c>
      <c r="M1975" s="514" t="inlineStr">
        <is>
          <t>T</t>
        </is>
      </c>
    </row>
    <row r="1976">
      <c r="A1976" s="486" t="n">
        <v>26</v>
      </c>
      <c r="B1976" s="486" t="n">
        <v>3</v>
      </c>
      <c r="C1976" s="486" t="n">
        <v>2</v>
      </c>
      <c r="D1976" s="486" t="n">
        <v>4</v>
      </c>
      <c r="E1976" s="486" t="n">
        <v>2</v>
      </c>
      <c r="F1976" s="486" t="n">
        <v>2</v>
      </c>
      <c r="G1976" s="475" t="inlineStr">
        <is>
          <t>East-Up1</t>
        </is>
      </c>
      <c r="H1976" s="486" t="n">
        <v>1316</v>
      </c>
      <c r="I1976" s="486" t="n">
        <v>2</v>
      </c>
      <c r="J1976" s="486" t="n">
        <v>16</v>
      </c>
      <c r="K1976" s="486" t="n">
        <v>9</v>
      </c>
      <c r="L1976" s="486" t="n">
        <v>4</v>
      </c>
      <c r="M1976" s="514" t="inlineStr">
        <is>
          <t>T</t>
        </is>
      </c>
    </row>
    <row r="1977">
      <c r="A1977" s="486" t="n">
        <v>26</v>
      </c>
      <c r="B1977" s="486" t="n">
        <v>3</v>
      </c>
      <c r="C1977" s="486" t="n">
        <v>2</v>
      </c>
      <c r="D1977" s="486" t="n">
        <v>4</v>
      </c>
      <c r="E1977" s="486" t="n">
        <v>2</v>
      </c>
      <c r="F1977" s="486" t="n">
        <v>2</v>
      </c>
      <c r="G1977" s="486" t="inlineStr">
        <is>
          <t>East-Down1</t>
        </is>
      </c>
      <c r="H1977" s="486" t="n">
        <v>2640</v>
      </c>
      <c r="I1977" s="486" t="n">
        <v>2</v>
      </c>
      <c r="J1977" s="486" t="n">
        <v>38</v>
      </c>
      <c r="K1977" s="486" t="n">
        <v>36</v>
      </c>
      <c r="L1977" s="486" t="n">
        <v>4</v>
      </c>
      <c r="M1977" s="514" t="inlineStr">
        <is>
          <t>T</t>
        </is>
      </c>
    </row>
    <row r="1978">
      <c r="A1978" s="486" t="n">
        <v>26</v>
      </c>
      <c r="B1978" s="486" t="n">
        <v>3</v>
      </c>
      <c r="C1978" s="486" t="n">
        <v>2</v>
      </c>
      <c r="D1978" s="486" t="n">
        <v>4</v>
      </c>
      <c r="E1978" s="486" t="n">
        <v>2</v>
      </c>
      <c r="F1978" s="486" t="n">
        <v>2</v>
      </c>
      <c r="G1978" s="486" t="inlineStr">
        <is>
          <t>East-Down2</t>
        </is>
      </c>
      <c r="H1978" s="486" t="n">
        <v>0</v>
      </c>
      <c r="I1978" s="486" t="n">
        <v>0</v>
      </c>
      <c r="J1978" s="486" t="n">
        <v>0</v>
      </c>
      <c r="K1978" s="486" t="n">
        <v>0</v>
      </c>
      <c r="L1978" s="486" t="n">
        <v>0</v>
      </c>
      <c r="M1978" s="514" t="inlineStr">
        <is>
          <t>T</t>
        </is>
      </c>
    </row>
    <row r="1979">
      <c r="A1979" s="486" t="n">
        <v>26</v>
      </c>
      <c r="B1979" s="486" t="n">
        <v>3</v>
      </c>
      <c r="C1979" s="486" t="n">
        <v>2</v>
      </c>
      <c r="D1979" s="486" t="n">
        <v>4</v>
      </c>
      <c r="E1979" s="486" t="n">
        <v>2</v>
      </c>
      <c r="F1979" s="486" t="n">
        <v>2</v>
      </c>
      <c r="G1979" s="486" t="inlineStr">
        <is>
          <t>North-Left2</t>
        </is>
      </c>
      <c r="H1979" s="486" t="n">
        <v>0</v>
      </c>
      <c r="I1979" s="486" t="n">
        <v>0</v>
      </c>
      <c r="J1979" s="486" t="n">
        <v>0</v>
      </c>
      <c r="K1979" s="486" t="n">
        <v>0</v>
      </c>
      <c r="L1979" s="486" t="n">
        <v>0</v>
      </c>
      <c r="M1979" s="514" t="inlineStr">
        <is>
          <t>T</t>
        </is>
      </c>
    </row>
    <row r="1980">
      <c r="A1980" s="486" t="n">
        <v>26</v>
      </c>
      <c r="B1980" s="486" t="n">
        <v>3</v>
      </c>
      <c r="C1980" s="486" t="n">
        <v>2</v>
      </c>
      <c r="D1980" s="486" t="n">
        <v>4</v>
      </c>
      <c r="E1980" s="486" t="n">
        <v>2</v>
      </c>
      <c r="F1980" s="486" t="n">
        <v>2</v>
      </c>
      <c r="G1980" s="475" t="inlineStr">
        <is>
          <t>North-Left1</t>
        </is>
      </c>
      <c r="H1980" s="486" t="n">
        <v>2646.72</v>
      </c>
      <c r="I1980" s="486" t="n">
        <v>89</v>
      </c>
      <c r="J1980" s="486" t="n">
        <v>47</v>
      </c>
      <c r="K1980" s="486" t="n">
        <v>6</v>
      </c>
      <c r="L1980" s="486" t="n">
        <v>1</v>
      </c>
      <c r="M1980" s="514" t="inlineStr">
        <is>
          <t>T</t>
        </is>
      </c>
    </row>
    <row r="1981">
      <c r="A1981" s="486" t="n">
        <v>26</v>
      </c>
      <c r="B1981" s="486" t="n">
        <v>3</v>
      </c>
      <c r="C1981" s="486" t="n">
        <v>2</v>
      </c>
      <c r="D1981" s="486" t="n">
        <v>4</v>
      </c>
      <c r="E1981" s="486" t="n">
        <v>2</v>
      </c>
      <c r="F1981" s="486" t="n">
        <v>2</v>
      </c>
      <c r="G1981" s="486" t="inlineStr">
        <is>
          <t>North-Right1</t>
        </is>
      </c>
      <c r="H1981" s="486" t="n">
        <v>2646.72</v>
      </c>
      <c r="I1981" s="486" t="n">
        <v>89</v>
      </c>
      <c r="J1981" s="486" t="n">
        <v>47</v>
      </c>
      <c r="K1981" s="486" t="n">
        <v>6</v>
      </c>
      <c r="L1981" s="486" t="n">
        <v>1</v>
      </c>
      <c r="M1981" s="514" t="inlineStr">
        <is>
          <t>T</t>
        </is>
      </c>
    </row>
    <row r="1982">
      <c r="A1982" s="486" t="n">
        <v>26</v>
      </c>
      <c r="B1982" s="486" t="n">
        <v>3</v>
      </c>
      <c r="C1982" s="486" t="n">
        <v>2</v>
      </c>
      <c r="D1982" s="486" t="n">
        <v>4</v>
      </c>
      <c r="E1982" s="486" t="n">
        <v>2</v>
      </c>
      <c r="F1982" s="486" t="n">
        <v>2</v>
      </c>
      <c r="G1982" s="486" t="inlineStr">
        <is>
          <t>North-Right2</t>
        </is>
      </c>
      <c r="H1982" s="486" t="n">
        <v>0</v>
      </c>
      <c r="I1982" s="486" t="n">
        <v>0</v>
      </c>
      <c r="J1982" s="486" t="n">
        <v>0</v>
      </c>
      <c r="K1982" s="486" t="n">
        <v>0</v>
      </c>
      <c r="L1982" s="486" t="n">
        <v>0</v>
      </c>
      <c r="M1982" s="514" t="inlineStr">
        <is>
          <t>T</t>
        </is>
      </c>
    </row>
    <row r="1983">
      <c r="A1983" s="486" t="n">
        <v>26</v>
      </c>
      <c r="B1983" s="486" t="n">
        <v>3</v>
      </c>
      <c r="C1983" s="486" t="n">
        <v>2</v>
      </c>
      <c r="D1983" s="486" t="n">
        <v>4</v>
      </c>
      <c r="E1983" s="486" t="n">
        <v>2</v>
      </c>
      <c r="F1983" s="486" t="n">
        <v>2</v>
      </c>
      <c r="G1983" s="486" t="inlineStr">
        <is>
          <t>South-Left2</t>
        </is>
      </c>
      <c r="H1983" s="486" t="n">
        <v>0</v>
      </c>
      <c r="I1983" s="486" t="n">
        <v>0</v>
      </c>
      <c r="J1983" s="486" t="n">
        <v>0</v>
      </c>
      <c r="K1983" s="486" t="n">
        <v>0</v>
      </c>
      <c r="L1983" s="486" t="n">
        <v>0</v>
      </c>
      <c r="M1983" s="514" t="inlineStr">
        <is>
          <t>T</t>
        </is>
      </c>
    </row>
    <row r="1984">
      <c r="A1984" s="486" t="n">
        <v>26</v>
      </c>
      <c r="B1984" s="486" t="n">
        <v>3</v>
      </c>
      <c r="C1984" s="486" t="n">
        <v>2</v>
      </c>
      <c r="D1984" s="486" t="n">
        <v>4</v>
      </c>
      <c r="E1984" s="486" t="n">
        <v>2</v>
      </c>
      <c r="F1984" s="486" t="n">
        <v>2</v>
      </c>
      <c r="G1984" s="475" t="inlineStr">
        <is>
          <t>South-Left1</t>
        </is>
      </c>
      <c r="H1984" s="486" t="n">
        <v>2661.67</v>
      </c>
      <c r="I1984" s="486" t="n">
        <v>89</v>
      </c>
      <c r="J1984" s="486" t="n">
        <v>43</v>
      </c>
      <c r="K1984" s="486" t="n">
        <v>36</v>
      </c>
      <c r="L1984" s="486" t="n">
        <v>2</v>
      </c>
      <c r="M1984" s="514" t="inlineStr">
        <is>
          <t>T</t>
        </is>
      </c>
    </row>
    <row r="1985">
      <c r="A1985" s="486" t="n">
        <v>26</v>
      </c>
      <c r="B1985" s="486" t="n">
        <v>3</v>
      </c>
      <c r="C1985" s="486" t="n">
        <v>2</v>
      </c>
      <c r="D1985" s="486" t="n">
        <v>4</v>
      </c>
      <c r="E1985" s="486" t="n">
        <v>2</v>
      </c>
      <c r="F1985" s="486" t="n">
        <v>2</v>
      </c>
      <c r="G1985" s="486" t="inlineStr">
        <is>
          <t>South-Right1</t>
        </is>
      </c>
      <c r="H1985" s="486" t="n">
        <v>2634.2</v>
      </c>
      <c r="I1985" s="486" t="n">
        <v>87</v>
      </c>
      <c r="J1985" s="486" t="n">
        <v>58</v>
      </c>
      <c r="K1985" s="486" t="n">
        <v>7</v>
      </c>
      <c r="L1985" s="486" t="n">
        <v>2</v>
      </c>
      <c r="M1985" s="514" t="inlineStr">
        <is>
          <t>T</t>
        </is>
      </c>
    </row>
    <row r="1986">
      <c r="A1986" s="486" t="n">
        <v>26</v>
      </c>
      <c r="B1986" s="486" t="n">
        <v>3</v>
      </c>
      <c r="C1986" s="486" t="n">
        <v>2</v>
      </c>
      <c r="D1986" s="486" t="n">
        <v>4</v>
      </c>
      <c r="E1986" s="486" t="n">
        <v>2</v>
      </c>
      <c r="F1986" s="486" t="n">
        <v>2</v>
      </c>
      <c r="G1986" s="486" t="inlineStr">
        <is>
          <t>South-Right2</t>
        </is>
      </c>
      <c r="H1986" s="486" t="n">
        <v>0</v>
      </c>
      <c r="I1986" s="486" t="n">
        <v>0</v>
      </c>
      <c r="J1986" s="486" t="n">
        <v>0</v>
      </c>
      <c r="K1986" s="486" t="n">
        <v>0</v>
      </c>
      <c r="L1986" s="486" t="n">
        <v>0</v>
      </c>
      <c r="M1986" s="514" t="inlineStr">
        <is>
          <t>T</t>
        </is>
      </c>
    </row>
    <row r="1987">
      <c r="A1987" s="485" t="n">
        <v>27</v>
      </c>
      <c r="B1987" s="485" t="n">
        <v>7</v>
      </c>
      <c r="C1987" s="485" t="n">
        <v>2</v>
      </c>
      <c r="D1987" s="485" t="n">
        <v>22</v>
      </c>
      <c r="E1987" s="485" t="n">
        <v>1</v>
      </c>
      <c r="F1987" s="485" t="n">
        <v>1</v>
      </c>
      <c r="G1987" s="485" t="inlineStr">
        <is>
          <t>West-Up2</t>
        </is>
      </c>
      <c r="H1987" s="485" t="n">
        <v>0</v>
      </c>
      <c r="I1987" s="485" t="n">
        <v>0</v>
      </c>
      <c r="J1987" s="485" t="n">
        <v>0</v>
      </c>
      <c r="K1987" s="485" t="n">
        <v>0</v>
      </c>
      <c r="L1987" s="485" t="n">
        <v>0</v>
      </c>
      <c r="M1987" s="514" t="inlineStr">
        <is>
          <t>T</t>
        </is>
      </c>
    </row>
    <row r="1988">
      <c r="A1988" s="485" t="n">
        <v>27</v>
      </c>
      <c r="B1988" s="485" t="n">
        <v>7</v>
      </c>
      <c r="C1988" s="485" t="n">
        <v>2</v>
      </c>
      <c r="D1988" s="485" t="n">
        <v>22</v>
      </c>
      <c r="E1988" s="485" t="n">
        <v>1</v>
      </c>
      <c r="F1988" s="485" t="n">
        <v>1</v>
      </c>
      <c r="G1988" s="516" t="inlineStr">
        <is>
          <t>West-Up1</t>
        </is>
      </c>
      <c r="H1988" s="485" t="n">
        <v>2640.98</v>
      </c>
      <c r="I1988" s="485" t="n">
        <v>0</v>
      </c>
      <c r="J1988" s="485" t="n">
        <v>0</v>
      </c>
      <c r="K1988" s="485" t="n">
        <v>46</v>
      </c>
      <c r="L1988" s="485" t="n">
        <v>4</v>
      </c>
      <c r="M1988" s="514" t="inlineStr">
        <is>
          <t>T</t>
        </is>
      </c>
    </row>
    <row r="1989">
      <c r="A1989" s="485" t="n">
        <v>27</v>
      </c>
      <c r="B1989" s="485" t="n">
        <v>7</v>
      </c>
      <c r="C1989" s="485" t="n">
        <v>2</v>
      </c>
      <c r="D1989" s="485" t="n">
        <v>22</v>
      </c>
      <c r="E1989" s="485" t="n">
        <v>1</v>
      </c>
      <c r="F1989" s="485" t="n">
        <v>1</v>
      </c>
      <c r="G1989" s="485" t="inlineStr">
        <is>
          <t>West-Down1</t>
        </is>
      </c>
      <c r="H1989" s="485" t="n">
        <v>2640.59</v>
      </c>
      <c r="I1989" s="485" t="n">
        <v>0</v>
      </c>
      <c r="J1989" s="485" t="n">
        <v>1</v>
      </c>
      <c r="K1989" s="485" t="n">
        <v>37</v>
      </c>
      <c r="L1989" s="485" t="n">
        <v>4</v>
      </c>
      <c r="M1989" s="514" t="inlineStr">
        <is>
          <t>T</t>
        </is>
      </c>
    </row>
    <row r="1990">
      <c r="A1990" s="485" t="n">
        <v>27</v>
      </c>
      <c r="B1990" s="485" t="n">
        <v>7</v>
      </c>
      <c r="C1990" s="485" t="n">
        <v>2</v>
      </c>
      <c r="D1990" s="485" t="n">
        <v>22</v>
      </c>
      <c r="E1990" s="485" t="n">
        <v>1</v>
      </c>
      <c r="F1990" s="485" t="n">
        <v>1</v>
      </c>
      <c r="G1990" s="485" t="inlineStr">
        <is>
          <t>West-Down2</t>
        </is>
      </c>
      <c r="H1990" s="485" t="n">
        <v>0</v>
      </c>
      <c r="I1990" s="485" t="n">
        <v>0</v>
      </c>
      <c r="J1990" s="485" t="n">
        <v>0</v>
      </c>
      <c r="K1990" s="485" t="n">
        <v>0</v>
      </c>
      <c r="L1990" s="485" t="n">
        <v>0</v>
      </c>
      <c r="M1990" s="514" t="inlineStr">
        <is>
          <t>T</t>
        </is>
      </c>
    </row>
    <row r="1991">
      <c r="A1991" s="485" t="n">
        <v>27</v>
      </c>
      <c r="B1991" s="485" t="n">
        <v>7</v>
      </c>
      <c r="C1991" s="485" t="n">
        <v>2</v>
      </c>
      <c r="D1991" s="485" t="n">
        <v>22</v>
      </c>
      <c r="E1991" s="485" t="n">
        <v>1</v>
      </c>
      <c r="F1991" s="485" t="n">
        <v>1</v>
      </c>
      <c r="G1991" s="485" t="inlineStr">
        <is>
          <t>East-Up2</t>
        </is>
      </c>
      <c r="H1991" s="485" t="n">
        <v>0</v>
      </c>
      <c r="I1991" s="485" t="n">
        <v>0</v>
      </c>
      <c r="J1991" s="485" t="n">
        <v>0</v>
      </c>
      <c r="K1991" s="485" t="n">
        <v>0</v>
      </c>
      <c r="L1991" s="485" t="n">
        <v>0</v>
      </c>
      <c r="M1991" s="514" t="inlineStr">
        <is>
          <t>T</t>
        </is>
      </c>
    </row>
    <row r="1992">
      <c r="A1992" s="485" t="n">
        <v>27</v>
      </c>
      <c r="B1992" s="485" t="n">
        <v>7</v>
      </c>
      <c r="C1992" s="485" t="n">
        <v>2</v>
      </c>
      <c r="D1992" s="485" t="n">
        <v>22</v>
      </c>
      <c r="E1992" s="485" t="n">
        <v>1</v>
      </c>
      <c r="F1992" s="485" t="n">
        <v>1</v>
      </c>
      <c r="G1992" s="516" t="inlineStr">
        <is>
          <t>East-Up1</t>
        </is>
      </c>
      <c r="H1992" s="485" t="n">
        <v>2640.16</v>
      </c>
      <c r="I1992" s="485" t="n">
        <v>0</v>
      </c>
      <c r="J1992" s="485" t="n">
        <v>4</v>
      </c>
      <c r="K1992" s="485" t="n">
        <v>4</v>
      </c>
      <c r="L1992" s="485" t="n">
        <v>4</v>
      </c>
      <c r="M1992" s="514" t="inlineStr">
        <is>
          <t>T</t>
        </is>
      </c>
    </row>
    <row r="1993">
      <c r="A1993" s="485" t="n">
        <v>27</v>
      </c>
      <c r="B1993" s="485" t="n">
        <v>7</v>
      </c>
      <c r="C1993" s="485" t="n">
        <v>2</v>
      </c>
      <c r="D1993" s="485" t="n">
        <v>22</v>
      </c>
      <c r="E1993" s="485" t="n">
        <v>1</v>
      </c>
      <c r="F1993" s="485" t="n">
        <v>1</v>
      </c>
      <c r="G1993" s="485" t="inlineStr">
        <is>
          <t>East-Down1</t>
        </is>
      </c>
      <c r="H1993" s="485" t="n">
        <v>2640.39</v>
      </c>
      <c r="I1993" s="485" t="n">
        <v>0</v>
      </c>
      <c r="J1993" s="485" t="n">
        <v>3</v>
      </c>
      <c r="K1993" s="485" t="n">
        <v>46</v>
      </c>
      <c r="L1993" s="485" t="n">
        <v>4</v>
      </c>
      <c r="M1993" s="514" t="inlineStr">
        <is>
          <t>T</t>
        </is>
      </c>
    </row>
    <row r="1994">
      <c r="A1994" s="485" t="n">
        <v>27</v>
      </c>
      <c r="B1994" s="485" t="n">
        <v>7</v>
      </c>
      <c r="C1994" s="485" t="n">
        <v>2</v>
      </c>
      <c r="D1994" s="485" t="n">
        <v>22</v>
      </c>
      <c r="E1994" s="485" t="n">
        <v>1</v>
      </c>
      <c r="F1994" s="485" t="n">
        <v>1</v>
      </c>
      <c r="G1994" s="485" t="inlineStr">
        <is>
          <t>East-Down2</t>
        </is>
      </c>
      <c r="H1994" s="485" t="n">
        <v>0</v>
      </c>
      <c r="I1994" s="485" t="n">
        <v>0</v>
      </c>
      <c r="J1994" s="485" t="n">
        <v>0</v>
      </c>
      <c r="K1994" s="485" t="n">
        <v>0</v>
      </c>
      <c r="L1994" s="485" t="n">
        <v>0</v>
      </c>
      <c r="M1994" s="514" t="inlineStr">
        <is>
          <t>T</t>
        </is>
      </c>
    </row>
    <row r="1995">
      <c r="A1995" s="485" t="n">
        <v>27</v>
      </c>
      <c r="B1995" s="485" t="n">
        <v>7</v>
      </c>
      <c r="C1995" s="485" t="n">
        <v>2</v>
      </c>
      <c r="D1995" s="485" t="n">
        <v>22</v>
      </c>
      <c r="E1995" s="485" t="n">
        <v>1</v>
      </c>
      <c r="F1995" s="485" t="n">
        <v>1</v>
      </c>
      <c r="G1995" s="485" t="inlineStr">
        <is>
          <t>North-Left2</t>
        </is>
      </c>
      <c r="H1995" s="485" t="n">
        <v>0</v>
      </c>
      <c r="I1995" s="485" t="n">
        <v>0</v>
      </c>
      <c r="J1995" s="485" t="n">
        <v>0</v>
      </c>
      <c r="K1995" s="485" t="n">
        <v>0</v>
      </c>
      <c r="L1995" s="485" t="n">
        <v>0</v>
      </c>
      <c r="M1995" s="514" t="inlineStr">
        <is>
          <t>T</t>
        </is>
      </c>
    </row>
    <row r="1996">
      <c r="A1996" s="485" t="n">
        <v>27</v>
      </c>
      <c r="B1996" s="485" t="n">
        <v>7</v>
      </c>
      <c r="C1996" s="485" t="n">
        <v>2</v>
      </c>
      <c r="D1996" s="485" t="n">
        <v>22</v>
      </c>
      <c r="E1996" s="485" t="n">
        <v>1</v>
      </c>
      <c r="F1996" s="485" t="n">
        <v>1</v>
      </c>
      <c r="G1996" s="516" t="inlineStr">
        <is>
          <t>North-Left1</t>
        </is>
      </c>
      <c r="H1996" s="485" t="n">
        <v>2634.4</v>
      </c>
      <c r="I1996" s="485" t="n">
        <v>89</v>
      </c>
      <c r="J1996" s="485" t="n">
        <v>55</v>
      </c>
      <c r="K1996" s="485" t="n">
        <v>56</v>
      </c>
      <c r="L1996" s="485" t="n">
        <v>3</v>
      </c>
      <c r="M1996" s="514" t="inlineStr">
        <is>
          <t>T</t>
        </is>
      </c>
    </row>
    <row r="1997">
      <c r="A1997" s="485" t="n">
        <v>27</v>
      </c>
      <c r="B1997" s="485" t="n">
        <v>7</v>
      </c>
      <c r="C1997" s="485" t="n">
        <v>2</v>
      </c>
      <c r="D1997" s="485" t="n">
        <v>22</v>
      </c>
      <c r="E1997" s="485" t="n">
        <v>1</v>
      </c>
      <c r="F1997" s="485" t="n">
        <v>1</v>
      </c>
      <c r="G1997" s="485" t="inlineStr">
        <is>
          <t>North-Right1</t>
        </is>
      </c>
      <c r="H1997" s="485" t="n">
        <v>2634.39</v>
      </c>
      <c r="I1997" s="485" t="n">
        <v>89</v>
      </c>
      <c r="J1997" s="485" t="n">
        <v>55</v>
      </c>
      <c r="K1997" s="485" t="n">
        <v>30</v>
      </c>
      <c r="L1997" s="485" t="n">
        <v>3</v>
      </c>
      <c r="M1997" s="514" t="inlineStr">
        <is>
          <t>T</t>
        </is>
      </c>
    </row>
    <row r="1998">
      <c r="A1998" s="485" t="n">
        <v>27</v>
      </c>
      <c r="B1998" s="485" t="n">
        <v>7</v>
      </c>
      <c r="C1998" s="485" t="n">
        <v>2</v>
      </c>
      <c r="D1998" s="485" t="n">
        <v>22</v>
      </c>
      <c r="E1998" s="485" t="n">
        <v>1</v>
      </c>
      <c r="F1998" s="485" t="n">
        <v>1</v>
      </c>
      <c r="G1998" s="485" t="inlineStr">
        <is>
          <t>North-Right2</t>
        </is>
      </c>
      <c r="H1998" s="485" t="n">
        <v>0</v>
      </c>
      <c r="I1998" s="485" t="n">
        <v>0</v>
      </c>
      <c r="J1998" s="485" t="n">
        <v>0</v>
      </c>
      <c r="K1998" s="485" t="n">
        <v>0</v>
      </c>
      <c r="L1998" s="485" t="n">
        <v>0</v>
      </c>
      <c r="M1998" s="514" t="inlineStr">
        <is>
          <t>T</t>
        </is>
      </c>
    </row>
    <row r="1999">
      <c r="A1999" s="485" t="n">
        <v>27</v>
      </c>
      <c r="B1999" s="485" t="n">
        <v>7</v>
      </c>
      <c r="C1999" s="485" t="n">
        <v>2</v>
      </c>
      <c r="D1999" s="485" t="n">
        <v>22</v>
      </c>
      <c r="E1999" s="485" t="n">
        <v>1</v>
      </c>
      <c r="F1999" s="485" t="n">
        <v>1</v>
      </c>
      <c r="G1999" s="485" t="inlineStr">
        <is>
          <t>South-Left2</t>
        </is>
      </c>
      <c r="H1999" s="485" t="n">
        <v>0</v>
      </c>
      <c r="I1999" s="485" t="n">
        <v>0</v>
      </c>
      <c r="J1999" s="485" t="n">
        <v>0</v>
      </c>
      <c r="K1999" s="485" t="n">
        <v>0</v>
      </c>
      <c r="L1999" s="485" t="n">
        <v>0</v>
      </c>
      <c r="M1999" s="514" t="inlineStr">
        <is>
          <t>T</t>
        </is>
      </c>
    </row>
    <row r="2000">
      <c r="A2000" s="485" t="n">
        <v>27</v>
      </c>
      <c r="B2000" s="485" t="n">
        <v>7</v>
      </c>
      <c r="C2000" s="485" t="n">
        <v>2</v>
      </c>
      <c r="D2000" s="485" t="n">
        <v>22</v>
      </c>
      <c r="E2000" s="485" t="n">
        <v>1</v>
      </c>
      <c r="F2000" s="485" t="n">
        <v>1</v>
      </c>
      <c r="G2000" s="516" t="inlineStr">
        <is>
          <t>South-Left1</t>
        </is>
      </c>
      <c r="H2000" s="485" t="n">
        <v>2636.37</v>
      </c>
      <c r="I2000" s="485" t="n">
        <v>89</v>
      </c>
      <c r="J2000" s="485" t="n">
        <v>54</v>
      </c>
      <c r="K2000" s="485" t="n">
        <v>56</v>
      </c>
      <c r="L2000" s="485" t="n">
        <v>3</v>
      </c>
      <c r="M2000" s="514" t="inlineStr">
        <is>
          <t>T</t>
        </is>
      </c>
    </row>
    <row r="2001">
      <c r="A2001" s="485" t="n">
        <v>27</v>
      </c>
      <c r="B2001" s="485" t="n">
        <v>7</v>
      </c>
      <c r="C2001" s="485" t="n">
        <v>2</v>
      </c>
      <c r="D2001" s="485" t="n">
        <v>22</v>
      </c>
      <c r="E2001" s="485" t="n">
        <v>1</v>
      </c>
      <c r="F2001" s="485" t="n">
        <v>1</v>
      </c>
      <c r="G2001" s="485" t="inlineStr">
        <is>
          <t>South-Right1</t>
        </is>
      </c>
      <c r="H2001" s="485" t="n">
        <v>2636.7</v>
      </c>
      <c r="I2001" s="485" t="n">
        <v>89</v>
      </c>
      <c r="J2001" s="485" t="n">
        <v>55</v>
      </c>
      <c r="K2001" s="485" t="n">
        <v>11</v>
      </c>
      <c r="L2001" s="485" t="n">
        <v>3</v>
      </c>
      <c r="M2001" s="514" t="inlineStr">
        <is>
          <t>T</t>
        </is>
      </c>
    </row>
    <row r="2002">
      <c r="A2002" s="485" t="n">
        <v>27</v>
      </c>
      <c r="B2002" s="485" t="n">
        <v>7</v>
      </c>
      <c r="C2002" s="485" t="n">
        <v>2</v>
      </c>
      <c r="D2002" s="485" t="n">
        <v>22</v>
      </c>
      <c r="E2002" s="485" t="n">
        <v>1</v>
      </c>
      <c r="F2002" s="485" t="n">
        <v>1</v>
      </c>
      <c r="G2002" s="485" t="inlineStr">
        <is>
          <t>South-Right2</t>
        </is>
      </c>
      <c r="H2002" s="485" t="n">
        <v>0</v>
      </c>
      <c r="I2002" s="485" t="n">
        <v>0</v>
      </c>
      <c r="J2002" s="485" t="n">
        <v>0</v>
      </c>
      <c r="K2002" s="485" t="n">
        <v>0</v>
      </c>
      <c r="L2002" s="485" t="n">
        <v>0</v>
      </c>
      <c r="M2002" s="514" t="inlineStr">
        <is>
          <t>T</t>
        </is>
      </c>
    </row>
    <row r="2003">
      <c r="A2003" s="486" t="n">
        <v>27</v>
      </c>
      <c r="B2003" s="486" t="n">
        <v>2</v>
      </c>
      <c r="C2003" s="486" t="n">
        <v>2</v>
      </c>
      <c r="D2003" s="486" t="n">
        <v>2</v>
      </c>
      <c r="E2003" s="486" t="n">
        <v>2</v>
      </c>
      <c r="F2003" s="486" t="n">
        <v>2</v>
      </c>
      <c r="G2003" s="486" t="inlineStr">
        <is>
          <t>West-Up2</t>
        </is>
      </c>
      <c r="H2003" s="486" t="n">
        <v>1317.04</v>
      </c>
      <c r="I2003" s="486" t="n">
        <v>0</v>
      </c>
      <c r="J2003" s="486" t="n">
        <v>7</v>
      </c>
      <c r="K2003" s="486" t="n">
        <v>25</v>
      </c>
      <c r="L2003" s="486" t="n">
        <v>2</v>
      </c>
      <c r="M2003" s="487" t="inlineStr">
        <is>
          <t>T</t>
        </is>
      </c>
    </row>
    <row r="2004">
      <c r="A2004" s="486" t="n">
        <v>27</v>
      </c>
      <c r="B2004" s="486" t="n">
        <v>2</v>
      </c>
      <c r="C2004" s="486" t="n">
        <v>2</v>
      </c>
      <c r="D2004" s="486" t="n">
        <v>2</v>
      </c>
      <c r="E2004" s="486" t="n">
        <v>2</v>
      </c>
      <c r="F2004" s="486" t="n">
        <v>2</v>
      </c>
      <c r="G2004" s="475" t="inlineStr">
        <is>
          <t>West-Up1</t>
        </is>
      </c>
      <c r="H2004" s="486" t="n">
        <v>1316.71</v>
      </c>
      <c r="I2004" s="486" t="n">
        <v>0</v>
      </c>
      <c r="J2004" s="486" t="n">
        <v>7</v>
      </c>
      <c r="K2004" s="486" t="n">
        <v>50</v>
      </c>
      <c r="L2004" s="486" t="n">
        <v>2</v>
      </c>
      <c r="M2004" s="487" t="inlineStr">
        <is>
          <t>T</t>
        </is>
      </c>
    </row>
    <row r="2005">
      <c r="A2005" s="486" t="n">
        <v>27</v>
      </c>
      <c r="B2005" s="486" t="n">
        <v>2</v>
      </c>
      <c r="C2005" s="486" t="n">
        <v>2</v>
      </c>
      <c r="D2005" s="486" t="n">
        <v>2</v>
      </c>
      <c r="E2005" s="486" t="n">
        <v>2</v>
      </c>
      <c r="F2005" s="486" t="n">
        <v>2</v>
      </c>
      <c r="G2005" s="486" t="inlineStr">
        <is>
          <t>West-Down1</t>
        </is>
      </c>
      <c r="H2005" s="486" t="n">
        <v>2575.08</v>
      </c>
      <c r="I2005" s="486" t="n">
        <v>0</v>
      </c>
      <c r="J2005" s="486" t="n">
        <v>13</v>
      </c>
      <c r="K2005" s="486" t="n">
        <v>19</v>
      </c>
      <c r="L2005" s="486" t="n">
        <v>2</v>
      </c>
      <c r="M2005" s="487" t="inlineStr">
        <is>
          <t>T</t>
        </is>
      </c>
    </row>
    <row r="2006">
      <c r="A2006" s="486" t="n">
        <v>27</v>
      </c>
      <c r="B2006" s="486" t="n">
        <v>2</v>
      </c>
      <c r="C2006" s="486" t="n">
        <v>2</v>
      </c>
      <c r="D2006" s="486" t="n">
        <v>2</v>
      </c>
      <c r="E2006" s="486" t="n">
        <v>2</v>
      </c>
      <c r="F2006" s="486" t="n">
        <v>2</v>
      </c>
      <c r="G2006" s="486" t="inlineStr">
        <is>
          <t>West-Down2</t>
        </is>
      </c>
      <c r="H2006" s="486" t="n">
        <v>0</v>
      </c>
      <c r="I2006" s="486" t="n">
        <v>0</v>
      </c>
      <c r="J2006" s="486" t="n">
        <v>0</v>
      </c>
      <c r="K2006" s="486" t="n">
        <v>0</v>
      </c>
      <c r="L2006" s="486" t="n">
        <v>0</v>
      </c>
      <c r="M2006" s="487" t="inlineStr">
        <is>
          <t>T</t>
        </is>
      </c>
    </row>
    <row r="2007">
      <c r="A2007" s="486" t="n">
        <v>27</v>
      </c>
      <c r="B2007" s="486" t="n">
        <v>2</v>
      </c>
      <c r="C2007" s="486" t="n">
        <v>2</v>
      </c>
      <c r="D2007" s="486" t="n">
        <v>2</v>
      </c>
      <c r="E2007" s="486" t="n">
        <v>2</v>
      </c>
      <c r="F2007" s="486" t="n">
        <v>2</v>
      </c>
      <c r="G2007" s="486" t="inlineStr">
        <is>
          <t>East-Up2</t>
        </is>
      </c>
      <c r="H2007" s="486" t="n">
        <v>0</v>
      </c>
      <c r="I2007" s="486" t="n">
        <v>0</v>
      </c>
      <c r="J2007" s="486" t="n">
        <v>0</v>
      </c>
      <c r="K2007" s="486" t="n">
        <v>0</v>
      </c>
      <c r="L2007" s="486" t="n">
        <v>0</v>
      </c>
      <c r="M2007" s="487" t="inlineStr">
        <is>
          <t>T</t>
        </is>
      </c>
    </row>
    <row r="2008">
      <c r="A2008" s="486" t="n">
        <v>27</v>
      </c>
      <c r="B2008" s="486" t="n">
        <v>2</v>
      </c>
      <c r="C2008" s="486" t="n">
        <v>2</v>
      </c>
      <c r="D2008" s="486" t="n">
        <v>2</v>
      </c>
      <c r="E2008" s="486" t="n">
        <v>2</v>
      </c>
      <c r="F2008" s="486" t="n">
        <v>2</v>
      </c>
      <c r="G2008" s="475" t="inlineStr">
        <is>
          <t>East-Up1</t>
        </is>
      </c>
      <c r="H2008" s="486" t="n">
        <v>2633.53</v>
      </c>
      <c r="I2008" s="486" t="n">
        <v>0</v>
      </c>
      <c r="J2008" s="486" t="n">
        <v>5</v>
      </c>
      <c r="K2008" s="486" t="n">
        <v>1</v>
      </c>
      <c r="L2008" s="486" t="n">
        <v>1</v>
      </c>
      <c r="M2008" s="487" t="inlineStr">
        <is>
          <t>T</t>
        </is>
      </c>
    </row>
    <row r="2009">
      <c r="A2009" s="486" t="n">
        <v>27</v>
      </c>
      <c r="B2009" s="486" t="n">
        <v>2</v>
      </c>
      <c r="C2009" s="486" t="n">
        <v>2</v>
      </c>
      <c r="D2009" s="486" t="n">
        <v>2</v>
      </c>
      <c r="E2009" s="486" t="n">
        <v>2</v>
      </c>
      <c r="F2009" s="486" t="n">
        <v>2</v>
      </c>
      <c r="G2009" s="486" t="inlineStr">
        <is>
          <t>East-Down1</t>
        </is>
      </c>
      <c r="H2009" s="486" t="n">
        <v>2633.59</v>
      </c>
      <c r="I2009" s="486" t="n">
        <v>0</v>
      </c>
      <c r="J2009" s="486" t="n">
        <v>4</v>
      </c>
      <c r="K2009" s="486" t="n">
        <v>56</v>
      </c>
      <c r="L2009" s="486" t="n">
        <v>1</v>
      </c>
      <c r="M2009" s="487" t="inlineStr">
        <is>
          <t>T</t>
        </is>
      </c>
    </row>
    <row r="2010">
      <c r="A2010" s="486" t="n">
        <v>27</v>
      </c>
      <c r="B2010" s="486" t="n">
        <v>2</v>
      </c>
      <c r="C2010" s="486" t="n">
        <v>2</v>
      </c>
      <c r="D2010" s="486" t="n">
        <v>2</v>
      </c>
      <c r="E2010" s="486" t="n">
        <v>2</v>
      </c>
      <c r="F2010" s="486" t="n">
        <v>2</v>
      </c>
      <c r="G2010" s="486" t="inlineStr">
        <is>
          <t>East-Down2</t>
        </is>
      </c>
      <c r="H2010" s="486" t="n">
        <v>0</v>
      </c>
      <c r="I2010" s="486" t="n">
        <v>0</v>
      </c>
      <c r="J2010" s="486" t="n">
        <v>0</v>
      </c>
      <c r="K2010" s="486" t="n">
        <v>0</v>
      </c>
      <c r="L2010" s="486" t="n">
        <v>0</v>
      </c>
      <c r="M2010" s="487" t="inlineStr">
        <is>
          <t>T</t>
        </is>
      </c>
    </row>
    <row r="2011">
      <c r="A2011" s="486" t="n">
        <v>27</v>
      </c>
      <c r="B2011" s="486" t="n">
        <v>2</v>
      </c>
      <c r="C2011" s="486" t="n">
        <v>2</v>
      </c>
      <c r="D2011" s="486" t="n">
        <v>2</v>
      </c>
      <c r="E2011" s="486" t="n">
        <v>2</v>
      </c>
      <c r="F2011" s="486" t="n">
        <v>2</v>
      </c>
      <c r="G2011" s="486" t="inlineStr">
        <is>
          <t>North-Left2</t>
        </is>
      </c>
      <c r="H2011" s="486" t="n">
        <v>0</v>
      </c>
      <c r="I2011" s="486" t="n">
        <v>0</v>
      </c>
      <c r="J2011" s="486" t="n">
        <v>0</v>
      </c>
      <c r="K2011" s="486" t="n">
        <v>0</v>
      </c>
      <c r="L2011" s="486" t="n">
        <v>0</v>
      </c>
      <c r="M2011" s="487" t="inlineStr">
        <is>
          <t>T</t>
        </is>
      </c>
    </row>
    <row r="2012">
      <c r="A2012" s="486" t="n">
        <v>27</v>
      </c>
      <c r="B2012" s="486" t="n">
        <v>2</v>
      </c>
      <c r="C2012" s="486" t="n">
        <v>2</v>
      </c>
      <c r="D2012" s="486" t="n">
        <v>2</v>
      </c>
      <c r="E2012" s="486" t="n">
        <v>2</v>
      </c>
      <c r="F2012" s="486" t="n">
        <v>2</v>
      </c>
      <c r="G2012" s="475" t="inlineStr">
        <is>
          <t>North-Left1</t>
        </is>
      </c>
      <c r="H2012" s="486" t="n">
        <v>2638.94</v>
      </c>
      <c r="I2012" s="486" t="n">
        <v>89</v>
      </c>
      <c r="J2012" s="486" t="n">
        <v>58</v>
      </c>
      <c r="K2012" s="486" t="n">
        <v>8</v>
      </c>
      <c r="L2012" s="486" t="n">
        <v>2</v>
      </c>
      <c r="M2012" s="487" t="inlineStr">
        <is>
          <t>T</t>
        </is>
      </c>
    </row>
    <row r="2013">
      <c r="A2013" s="486" t="n">
        <v>27</v>
      </c>
      <c r="B2013" s="486" t="n">
        <v>2</v>
      </c>
      <c r="C2013" s="486" t="n">
        <v>2</v>
      </c>
      <c r="D2013" s="486" t="n">
        <v>2</v>
      </c>
      <c r="E2013" s="486" t="n">
        <v>2</v>
      </c>
      <c r="F2013" s="486" t="n">
        <v>2</v>
      </c>
      <c r="G2013" s="486" t="inlineStr">
        <is>
          <t>North-Right1</t>
        </is>
      </c>
      <c r="H2013" s="486" t="n">
        <v>2639.94</v>
      </c>
      <c r="I2013" s="486" t="n">
        <v>89</v>
      </c>
      <c r="J2013" s="486" t="n">
        <v>59</v>
      </c>
      <c r="K2013" s="486" t="n">
        <v>7</v>
      </c>
      <c r="L2013" s="486" t="n">
        <v>1</v>
      </c>
      <c r="M2013" s="487" t="inlineStr">
        <is>
          <t>T</t>
        </is>
      </c>
    </row>
    <row r="2014">
      <c r="A2014" s="486" t="n">
        <v>27</v>
      </c>
      <c r="B2014" s="486" t="n">
        <v>2</v>
      </c>
      <c r="C2014" s="486" t="n">
        <v>2</v>
      </c>
      <c r="D2014" s="486" t="n">
        <v>2</v>
      </c>
      <c r="E2014" s="486" t="n">
        <v>2</v>
      </c>
      <c r="F2014" s="486" t="n">
        <v>2</v>
      </c>
      <c r="G2014" s="486" t="inlineStr">
        <is>
          <t>North-Right2</t>
        </is>
      </c>
      <c r="H2014" s="486" t="n">
        <v>0</v>
      </c>
      <c r="I2014" s="486" t="n">
        <v>0</v>
      </c>
      <c r="J2014" s="486" t="n">
        <v>0</v>
      </c>
      <c r="K2014" s="486" t="n">
        <v>0</v>
      </c>
      <c r="L2014" s="486" t="n">
        <v>0</v>
      </c>
      <c r="M2014" s="487" t="inlineStr">
        <is>
          <t>T</t>
        </is>
      </c>
    </row>
    <row r="2015">
      <c r="A2015" s="486" t="n">
        <v>27</v>
      </c>
      <c r="B2015" s="486" t="n">
        <v>2</v>
      </c>
      <c r="C2015" s="486" t="n">
        <v>2</v>
      </c>
      <c r="D2015" s="486" t="n">
        <v>2</v>
      </c>
      <c r="E2015" s="486" t="n">
        <v>2</v>
      </c>
      <c r="F2015" s="486" t="n">
        <v>2</v>
      </c>
      <c r="G2015" s="486" t="inlineStr">
        <is>
          <t>South-Left2</t>
        </is>
      </c>
      <c r="H2015" s="486" t="n">
        <v>0</v>
      </c>
      <c r="I2015" s="486" t="n">
        <v>0</v>
      </c>
      <c r="J2015" s="486" t="n">
        <v>0</v>
      </c>
      <c r="K2015" s="486" t="n">
        <v>0</v>
      </c>
      <c r="L2015" s="486" t="n">
        <v>0</v>
      </c>
      <c r="M2015" s="487" t="inlineStr">
        <is>
          <t>T</t>
        </is>
      </c>
    </row>
    <row r="2016">
      <c r="A2016" s="486" t="n">
        <v>27</v>
      </c>
      <c r="B2016" s="486" t="n">
        <v>2</v>
      </c>
      <c r="C2016" s="486" t="n">
        <v>2</v>
      </c>
      <c r="D2016" s="486" t="n">
        <v>2</v>
      </c>
      <c r="E2016" s="486" t="n">
        <v>2</v>
      </c>
      <c r="F2016" s="486" t="n">
        <v>2</v>
      </c>
      <c r="G2016" s="475" t="inlineStr">
        <is>
          <t>South-Left1</t>
        </is>
      </c>
      <c r="H2016" s="486" t="n">
        <v>5302.63</v>
      </c>
      <c r="I2016" s="486" t="n">
        <v>89</v>
      </c>
      <c r="J2016" s="486" t="n">
        <v>22</v>
      </c>
      <c r="K2016" s="486" t="n">
        <v>41</v>
      </c>
      <c r="L2016" s="486" t="n">
        <v>4</v>
      </c>
      <c r="M2016" s="487" t="inlineStr">
        <is>
          <t>T</t>
        </is>
      </c>
    </row>
    <row r="2017">
      <c r="A2017" s="486" t="n">
        <v>27</v>
      </c>
      <c r="B2017" s="486" t="n">
        <v>2</v>
      </c>
      <c r="C2017" s="486" t="n">
        <v>2</v>
      </c>
      <c r="D2017" s="486" t="n">
        <v>2</v>
      </c>
      <c r="E2017" s="486" t="n">
        <v>2</v>
      </c>
      <c r="F2017" s="486" t="n">
        <v>2</v>
      </c>
      <c r="G2017" s="486" t="inlineStr">
        <is>
          <t>South-Right1</t>
        </is>
      </c>
      <c r="H2017" s="486" t="n">
        <v>0</v>
      </c>
      <c r="I2017" s="486" t="n">
        <v>0</v>
      </c>
      <c r="J2017" s="486" t="n">
        <v>0</v>
      </c>
      <c r="K2017" s="486" t="n">
        <v>0</v>
      </c>
      <c r="L2017" s="486" t="n">
        <v>0</v>
      </c>
      <c r="M2017" s="487" t="inlineStr">
        <is>
          <t>T</t>
        </is>
      </c>
    </row>
    <row r="2018">
      <c r="A2018" s="486" t="n">
        <v>27</v>
      </c>
      <c r="B2018" s="486" t="n">
        <v>2</v>
      </c>
      <c r="C2018" s="486" t="n">
        <v>2</v>
      </c>
      <c r="D2018" s="486" t="n">
        <v>2</v>
      </c>
      <c r="E2018" s="486" t="n">
        <v>2</v>
      </c>
      <c r="F2018" s="486" t="n">
        <v>2</v>
      </c>
      <c r="G2018" s="486" t="inlineStr">
        <is>
          <t>South-Right2</t>
        </is>
      </c>
      <c r="H2018" s="486" t="n">
        <v>0</v>
      </c>
      <c r="I2018" s="486" t="n">
        <v>0</v>
      </c>
      <c r="J2018" s="486" t="n">
        <v>0</v>
      </c>
      <c r="K2018" s="486" t="n">
        <v>0</v>
      </c>
      <c r="L2018" s="486" t="n">
        <v>0</v>
      </c>
      <c r="M2018" s="487" t="inlineStr">
        <is>
          <t>T</t>
        </is>
      </c>
    </row>
    <row r="2019">
      <c r="A2019" s="486" t="n">
        <v>27</v>
      </c>
      <c r="B2019" s="486" t="n">
        <v>2</v>
      </c>
      <c r="C2019" s="486" t="n">
        <v>2</v>
      </c>
      <c r="D2019" s="486" t="n">
        <v>3</v>
      </c>
      <c r="E2019" s="486" t="n">
        <v>2</v>
      </c>
      <c r="F2019" s="486" t="n">
        <v>2</v>
      </c>
      <c r="G2019" s="486" t="inlineStr">
        <is>
          <t>West-Up2</t>
        </is>
      </c>
      <c r="H2019" s="486" t="n">
        <v>0</v>
      </c>
      <c r="I2019" s="486" t="n">
        <v>0</v>
      </c>
      <c r="J2019" s="486" t="n">
        <v>0</v>
      </c>
      <c r="K2019" s="486" t="n">
        <v>0</v>
      </c>
      <c r="L2019" s="486" t="n">
        <v>0</v>
      </c>
      <c r="M2019" s="487" t="inlineStr">
        <is>
          <t>T</t>
        </is>
      </c>
    </row>
    <row r="2020">
      <c r="A2020" s="486" t="n">
        <v>27</v>
      </c>
      <c r="B2020" s="486" t="n">
        <v>2</v>
      </c>
      <c r="C2020" s="486" t="n">
        <v>2</v>
      </c>
      <c r="D2020" s="486" t="n">
        <v>3</v>
      </c>
      <c r="E2020" s="486" t="n">
        <v>2</v>
      </c>
      <c r="F2020" s="486" t="n">
        <v>2</v>
      </c>
      <c r="G2020" s="475" t="inlineStr">
        <is>
          <t>West-Up1</t>
        </is>
      </c>
      <c r="H2020" s="486" t="n">
        <v>2664.07</v>
      </c>
      <c r="I2020" s="486" t="n">
        <v>0</v>
      </c>
      <c r="J2020" s="486" t="n">
        <v>17</v>
      </c>
      <c r="K2020" s="486" t="n">
        <v>44</v>
      </c>
      <c r="L2020" s="486" t="n">
        <v>4</v>
      </c>
      <c r="M2020" s="487" t="inlineStr">
        <is>
          <t>T</t>
        </is>
      </c>
    </row>
    <row r="2021">
      <c r="A2021" s="486" t="n">
        <v>27</v>
      </c>
      <c r="B2021" s="486" t="n">
        <v>2</v>
      </c>
      <c r="C2021" s="486" t="n">
        <v>2</v>
      </c>
      <c r="D2021" s="486" t="n">
        <v>3</v>
      </c>
      <c r="E2021" s="486" t="n">
        <v>2</v>
      </c>
      <c r="F2021" s="486" t="n">
        <v>2</v>
      </c>
      <c r="G2021" s="486" t="inlineStr">
        <is>
          <t>West-Down1</t>
        </is>
      </c>
      <c r="H2021" s="486" t="n">
        <v>2643.27</v>
      </c>
      <c r="I2021" s="486" t="n">
        <v>0</v>
      </c>
      <c r="J2021" s="486" t="n">
        <v>10</v>
      </c>
      <c r="K2021" s="486" t="n">
        <v>0</v>
      </c>
      <c r="L2021" s="486" t="n">
        <v>4</v>
      </c>
      <c r="M2021" s="487" t="inlineStr">
        <is>
          <t>T</t>
        </is>
      </c>
    </row>
    <row r="2022">
      <c r="A2022" s="486" t="n">
        <v>27</v>
      </c>
      <c r="B2022" s="486" t="n">
        <v>2</v>
      </c>
      <c r="C2022" s="486" t="n">
        <v>2</v>
      </c>
      <c r="D2022" s="486" t="n">
        <v>3</v>
      </c>
      <c r="E2022" s="486" t="n">
        <v>2</v>
      </c>
      <c r="F2022" s="486" t="n">
        <v>2</v>
      </c>
      <c r="G2022" s="486" t="inlineStr">
        <is>
          <t>West-Down2</t>
        </is>
      </c>
      <c r="H2022" s="486" t="n">
        <v>0</v>
      </c>
      <c r="I2022" s="486" t="n">
        <v>0</v>
      </c>
      <c r="J2022" s="486" t="n">
        <v>0</v>
      </c>
      <c r="K2022" s="486" t="n">
        <v>0</v>
      </c>
      <c r="L2022" s="486" t="n">
        <v>0</v>
      </c>
      <c r="M2022" s="487" t="inlineStr">
        <is>
          <t>T</t>
        </is>
      </c>
    </row>
    <row r="2023">
      <c r="A2023" s="486" t="n">
        <v>27</v>
      </c>
      <c r="B2023" s="486" t="n">
        <v>2</v>
      </c>
      <c r="C2023" s="486" t="n">
        <v>2</v>
      </c>
      <c r="D2023" s="486" t="n">
        <v>3</v>
      </c>
      <c r="E2023" s="486" t="n">
        <v>2</v>
      </c>
      <c r="F2023" s="486" t="n">
        <v>2</v>
      </c>
      <c r="G2023" s="486" t="inlineStr">
        <is>
          <t>East-Up2</t>
        </is>
      </c>
      <c r="H2023" s="486" t="n">
        <v>0</v>
      </c>
      <c r="I2023" s="486" t="n">
        <v>0</v>
      </c>
      <c r="J2023" s="486" t="n">
        <v>0</v>
      </c>
      <c r="K2023" s="486" t="n">
        <v>0</v>
      </c>
      <c r="L2023" s="486" t="n">
        <v>0</v>
      </c>
      <c r="M2023" s="487" t="inlineStr">
        <is>
          <t>T</t>
        </is>
      </c>
    </row>
    <row r="2024">
      <c r="A2024" s="486" t="n">
        <v>27</v>
      </c>
      <c r="B2024" s="486" t="n">
        <v>2</v>
      </c>
      <c r="C2024" s="486" t="n">
        <v>2</v>
      </c>
      <c r="D2024" s="486" t="n">
        <v>3</v>
      </c>
      <c r="E2024" s="486" t="n">
        <v>2</v>
      </c>
      <c r="F2024" s="486" t="n">
        <v>2</v>
      </c>
      <c r="G2024" s="475" t="inlineStr">
        <is>
          <t>East-Up1</t>
        </is>
      </c>
      <c r="H2024" s="486" t="n">
        <v>2634.8</v>
      </c>
      <c r="I2024" s="486" t="n">
        <v>0</v>
      </c>
      <c r="J2024" s="486" t="n">
        <v>7</v>
      </c>
      <c r="K2024" s="486" t="n">
        <v>14</v>
      </c>
      <c r="L2024" s="486" t="n">
        <v>4</v>
      </c>
      <c r="M2024" s="487" t="inlineStr">
        <is>
          <t>T</t>
        </is>
      </c>
    </row>
    <row r="2025">
      <c r="A2025" s="486" t="n">
        <v>27</v>
      </c>
      <c r="B2025" s="486" t="n">
        <v>2</v>
      </c>
      <c r="C2025" s="486" t="n">
        <v>2</v>
      </c>
      <c r="D2025" s="486" t="n">
        <v>3</v>
      </c>
      <c r="E2025" s="486" t="n">
        <v>2</v>
      </c>
      <c r="F2025" s="486" t="n">
        <v>2</v>
      </c>
      <c r="G2025" s="486" t="inlineStr">
        <is>
          <t>East-Down1</t>
        </is>
      </c>
      <c r="H2025" s="486" t="n">
        <v>1321.42</v>
      </c>
      <c r="I2025" s="486" t="n">
        <v>0</v>
      </c>
      <c r="J2025" s="486" t="n">
        <v>12</v>
      </c>
      <c r="K2025" s="486" t="n">
        <v>36</v>
      </c>
      <c r="L2025" s="486" t="n">
        <v>4</v>
      </c>
      <c r="M2025" s="487" t="inlineStr">
        <is>
          <t>T</t>
        </is>
      </c>
    </row>
    <row r="2026">
      <c r="A2026" s="486" t="n">
        <v>27</v>
      </c>
      <c r="B2026" s="486" t="n">
        <v>2</v>
      </c>
      <c r="C2026" s="486" t="n">
        <v>2</v>
      </c>
      <c r="D2026" s="486" t="n">
        <v>3</v>
      </c>
      <c r="E2026" s="486" t="n">
        <v>2</v>
      </c>
      <c r="F2026" s="486" t="n">
        <v>2</v>
      </c>
      <c r="G2026" s="486" t="inlineStr">
        <is>
          <t>East-Down2</t>
        </is>
      </c>
      <c r="H2026" s="486" t="n">
        <v>1301.33</v>
      </c>
      <c r="I2026" s="486" t="n">
        <v>0</v>
      </c>
      <c r="J2026" s="486" t="n">
        <v>16</v>
      </c>
      <c r="K2026" s="486" t="n">
        <v>28</v>
      </c>
      <c r="L2026" s="486" t="n">
        <v>4</v>
      </c>
      <c r="M2026" s="487" t="inlineStr">
        <is>
          <t>T</t>
        </is>
      </c>
    </row>
    <row r="2027">
      <c r="A2027" s="486" t="n">
        <v>27</v>
      </c>
      <c r="B2027" s="486" t="n">
        <v>2</v>
      </c>
      <c r="C2027" s="486" t="n">
        <v>2</v>
      </c>
      <c r="D2027" s="486" t="n">
        <v>3</v>
      </c>
      <c r="E2027" s="486" t="n">
        <v>2</v>
      </c>
      <c r="F2027" s="486" t="n">
        <v>2</v>
      </c>
      <c r="G2027" s="486" t="inlineStr">
        <is>
          <t>North-Left2</t>
        </is>
      </c>
      <c r="H2027" s="486" t="n">
        <v>0</v>
      </c>
      <c r="I2027" s="486" t="n">
        <v>0</v>
      </c>
      <c r="J2027" s="486" t="n">
        <v>0</v>
      </c>
      <c r="K2027" s="486" t="n">
        <v>0</v>
      </c>
      <c r="L2027" s="486" t="n">
        <v>0</v>
      </c>
      <c r="M2027" s="487" t="inlineStr">
        <is>
          <t>T</t>
        </is>
      </c>
    </row>
    <row r="2028">
      <c r="A2028" s="486" t="n">
        <v>27</v>
      </c>
      <c r="B2028" s="486" t="n">
        <v>2</v>
      </c>
      <c r="C2028" s="486" t="n">
        <v>2</v>
      </c>
      <c r="D2028" s="486" t="n">
        <v>3</v>
      </c>
      <c r="E2028" s="486" t="n">
        <v>2</v>
      </c>
      <c r="F2028" s="486" t="n">
        <v>2</v>
      </c>
      <c r="G2028" s="475" t="inlineStr">
        <is>
          <t>North-Left1</t>
        </is>
      </c>
      <c r="H2028" s="486" t="n">
        <v>5285.71</v>
      </c>
      <c r="I2028" s="486" t="n">
        <v>89</v>
      </c>
      <c r="J2028" s="486" t="n">
        <v>45</v>
      </c>
      <c r="K2028" s="486" t="n">
        <v>42</v>
      </c>
      <c r="L2028" s="486" t="n">
        <v>4</v>
      </c>
      <c r="M2028" s="487" t="inlineStr">
        <is>
          <t>T</t>
        </is>
      </c>
    </row>
    <row r="2029">
      <c r="A2029" s="486" t="n">
        <v>27</v>
      </c>
      <c r="B2029" s="486" t="n">
        <v>2</v>
      </c>
      <c r="C2029" s="486" t="n">
        <v>2</v>
      </c>
      <c r="D2029" s="486" t="n">
        <v>3</v>
      </c>
      <c r="E2029" s="486" t="n">
        <v>2</v>
      </c>
      <c r="F2029" s="486" t="n">
        <v>2</v>
      </c>
      <c r="G2029" s="486" t="inlineStr">
        <is>
          <t>North-Right1</t>
        </is>
      </c>
      <c r="H2029" s="486" t="n">
        <v>0</v>
      </c>
      <c r="I2029" s="486" t="n">
        <v>0</v>
      </c>
      <c r="J2029" s="486" t="n">
        <v>0</v>
      </c>
      <c r="K2029" s="486" t="n">
        <v>0</v>
      </c>
      <c r="L2029" s="486" t="n">
        <v>0</v>
      </c>
      <c r="M2029" s="487" t="inlineStr">
        <is>
          <t>T</t>
        </is>
      </c>
    </row>
    <row r="2030">
      <c r="A2030" s="486" t="n">
        <v>27</v>
      </c>
      <c r="B2030" s="486" t="n">
        <v>2</v>
      </c>
      <c r="C2030" s="486" t="n">
        <v>2</v>
      </c>
      <c r="D2030" s="486" t="n">
        <v>3</v>
      </c>
      <c r="E2030" s="486" t="n">
        <v>2</v>
      </c>
      <c r="F2030" s="486" t="n">
        <v>2</v>
      </c>
      <c r="G2030" s="486" t="inlineStr">
        <is>
          <t>North-Right2</t>
        </is>
      </c>
      <c r="H2030" s="486" t="n">
        <v>0</v>
      </c>
      <c r="I2030" s="486" t="n">
        <v>0</v>
      </c>
      <c r="J2030" s="486" t="n">
        <v>0</v>
      </c>
      <c r="K2030" s="486" t="n">
        <v>0</v>
      </c>
      <c r="L2030" s="486" t="n">
        <v>0</v>
      </c>
      <c r="M2030" s="487" t="inlineStr">
        <is>
          <t>T</t>
        </is>
      </c>
    </row>
    <row r="2031">
      <c r="A2031" s="486" t="n">
        <v>27</v>
      </c>
      <c r="B2031" s="486" t="n">
        <v>2</v>
      </c>
      <c r="C2031" s="486" t="n">
        <v>2</v>
      </c>
      <c r="D2031" s="486" t="n">
        <v>3</v>
      </c>
      <c r="E2031" s="486" t="n">
        <v>2</v>
      </c>
      <c r="F2031" s="486" t="n">
        <v>2</v>
      </c>
      <c r="G2031" s="486" t="inlineStr">
        <is>
          <t>South-Left2</t>
        </is>
      </c>
      <c r="H2031" s="486" t="n">
        <v>0</v>
      </c>
      <c r="I2031" s="486" t="n">
        <v>0</v>
      </c>
      <c r="J2031" s="486" t="n">
        <v>0</v>
      </c>
      <c r="K2031" s="486" t="n">
        <v>0</v>
      </c>
      <c r="L2031" s="486" t="n">
        <v>0</v>
      </c>
      <c r="M2031" s="487" t="inlineStr">
        <is>
          <t>T</t>
        </is>
      </c>
    </row>
    <row r="2032">
      <c r="A2032" s="486" t="n">
        <v>27</v>
      </c>
      <c r="B2032" s="486" t="n">
        <v>2</v>
      </c>
      <c r="C2032" s="486" t="n">
        <v>2</v>
      </c>
      <c r="D2032" s="486" t="n">
        <v>3</v>
      </c>
      <c r="E2032" s="486" t="n">
        <v>2</v>
      </c>
      <c r="F2032" s="486" t="n">
        <v>2</v>
      </c>
      <c r="G2032" s="475" t="inlineStr">
        <is>
          <t>South-Left1</t>
        </is>
      </c>
      <c r="H2032" s="486" t="n">
        <v>2637.18</v>
      </c>
      <c r="I2032" s="486" t="n">
        <v>89</v>
      </c>
      <c r="J2032" s="486" t="n">
        <v>41</v>
      </c>
      <c r="K2032" s="486" t="n">
        <v>50</v>
      </c>
      <c r="L2032" s="486" t="n">
        <v>3</v>
      </c>
      <c r="M2032" s="487" t="inlineStr">
        <is>
          <t>T</t>
        </is>
      </c>
    </row>
    <row r="2033">
      <c r="A2033" s="486" t="n">
        <v>27</v>
      </c>
      <c r="B2033" s="486" t="n">
        <v>2</v>
      </c>
      <c r="C2033" s="486" t="n">
        <v>2</v>
      </c>
      <c r="D2033" s="486" t="n">
        <v>3</v>
      </c>
      <c r="E2033" s="486" t="n">
        <v>2</v>
      </c>
      <c r="F2033" s="486" t="n">
        <v>2</v>
      </c>
      <c r="G2033" s="486" t="inlineStr">
        <is>
          <t>South-Right1</t>
        </is>
      </c>
      <c r="H2033" s="486" t="n">
        <v>2643.75</v>
      </c>
      <c r="I2033" s="486" t="n">
        <v>89</v>
      </c>
      <c r="J2033" s="486" t="n">
        <v>41</v>
      </c>
      <c r="K2033" s="486" t="n">
        <v>59</v>
      </c>
      <c r="L2033" s="486" t="n">
        <v>3</v>
      </c>
      <c r="M2033" s="487" t="inlineStr">
        <is>
          <t>T</t>
        </is>
      </c>
    </row>
    <row r="2034">
      <c r="A2034" s="486" t="n">
        <v>27</v>
      </c>
      <c r="B2034" s="486" t="n">
        <v>2</v>
      </c>
      <c r="C2034" s="486" t="n">
        <v>2</v>
      </c>
      <c r="D2034" s="486" t="n">
        <v>3</v>
      </c>
      <c r="E2034" s="486" t="n">
        <v>2</v>
      </c>
      <c r="F2034" s="486" t="n">
        <v>2</v>
      </c>
      <c r="G2034" s="486" t="inlineStr">
        <is>
          <t>South-Right2</t>
        </is>
      </c>
      <c r="H2034" s="486" t="n">
        <v>0</v>
      </c>
      <c r="I2034" s="486" t="n">
        <v>0</v>
      </c>
      <c r="J2034" s="486" t="n">
        <v>0</v>
      </c>
      <c r="K2034" s="486" t="n">
        <v>0</v>
      </c>
      <c r="L2034" s="486" t="n">
        <v>0</v>
      </c>
      <c r="M2034" s="487" t="inlineStr">
        <is>
          <t>T</t>
        </is>
      </c>
    </row>
    <row r="2035">
      <c r="A2035" s="488" t="n">
        <v>27</v>
      </c>
      <c r="B2035" s="488" t="n">
        <v>2</v>
      </c>
      <c r="C2035" s="488" t="n">
        <v>2</v>
      </c>
      <c r="D2035" s="488" t="n">
        <v>4</v>
      </c>
      <c r="E2035" s="488" t="n">
        <v>2</v>
      </c>
      <c r="F2035" s="488" t="n">
        <v>2</v>
      </c>
      <c r="G2035" s="488" t="inlineStr">
        <is>
          <t>West-Up2</t>
        </is>
      </c>
      <c r="H2035" s="488" t="n">
        <v>0</v>
      </c>
      <c r="I2035" s="488" t="n">
        <v>0</v>
      </c>
      <c r="J2035" s="488" t="n">
        <v>0</v>
      </c>
      <c r="K2035" s="488" t="n">
        <v>0</v>
      </c>
      <c r="L2035" s="488" t="n">
        <v>0</v>
      </c>
      <c r="M2035" s="497" t="inlineStr">
        <is>
          <t>T</t>
        </is>
      </c>
    </row>
    <row r="2036">
      <c r="A2036" s="488" t="n">
        <v>27</v>
      </c>
      <c r="B2036" s="488" t="n">
        <v>2</v>
      </c>
      <c r="C2036" s="488" t="n">
        <v>2</v>
      </c>
      <c r="D2036" s="488" t="n">
        <v>4</v>
      </c>
      <c r="E2036" s="488" t="n">
        <v>2</v>
      </c>
      <c r="F2036" s="488" t="n">
        <v>2</v>
      </c>
      <c r="G2036" s="488" t="inlineStr">
        <is>
          <t>West-Up1</t>
        </is>
      </c>
      <c r="H2036" s="488" t="n">
        <v>2640</v>
      </c>
      <c r="I2036" s="488" t="n">
        <v>0</v>
      </c>
      <c r="J2036" s="488" t="n">
        <v>2</v>
      </c>
      <c r="K2036" s="488" t="n">
        <v>0</v>
      </c>
      <c r="L2036" s="488" t="n">
        <v>4</v>
      </c>
      <c r="M2036" s="497" t="inlineStr">
        <is>
          <t>T</t>
        </is>
      </c>
    </row>
    <row r="2037">
      <c r="A2037" s="488" t="n">
        <v>27</v>
      </c>
      <c r="B2037" s="488" t="n">
        <v>2</v>
      </c>
      <c r="C2037" s="488" t="n">
        <v>2</v>
      </c>
      <c r="D2037" s="488" t="n">
        <v>4</v>
      </c>
      <c r="E2037" s="488" t="n">
        <v>2</v>
      </c>
      <c r="F2037" s="488" t="n">
        <v>2</v>
      </c>
      <c r="G2037" s="488" t="inlineStr">
        <is>
          <t>West-Down1</t>
        </is>
      </c>
      <c r="H2037" s="488" t="n">
        <v>2610.79</v>
      </c>
      <c r="I2037" s="488" t="n">
        <v>0</v>
      </c>
      <c r="J2037" s="488" t="n">
        <v>14</v>
      </c>
      <c r="K2037" s="488" t="n">
        <v>33</v>
      </c>
      <c r="L2037" s="488" t="n">
        <v>4</v>
      </c>
      <c r="M2037" s="497" t="inlineStr">
        <is>
          <t>T</t>
        </is>
      </c>
    </row>
    <row r="2038">
      <c r="A2038" s="488" t="n">
        <v>27</v>
      </c>
      <c r="B2038" s="488" t="n">
        <v>2</v>
      </c>
      <c r="C2038" s="488" t="n">
        <v>2</v>
      </c>
      <c r="D2038" s="488" t="n">
        <v>4</v>
      </c>
      <c r="E2038" s="488" t="n">
        <v>2</v>
      </c>
      <c r="F2038" s="488" t="n">
        <v>2</v>
      </c>
      <c r="G2038" s="488" t="inlineStr">
        <is>
          <t>West-Down2</t>
        </is>
      </c>
      <c r="H2038" s="488" t="n">
        <v>0</v>
      </c>
      <c r="I2038" s="488" t="n">
        <v>0</v>
      </c>
      <c r="J2038" s="488" t="n">
        <v>0</v>
      </c>
      <c r="K2038" s="488" t="n">
        <v>0</v>
      </c>
      <c r="L2038" s="488" t="n">
        <v>0</v>
      </c>
      <c r="M2038" s="497" t="inlineStr">
        <is>
          <t>T</t>
        </is>
      </c>
    </row>
    <row r="2039">
      <c r="A2039" s="488" t="n">
        <v>27</v>
      </c>
      <c r="B2039" s="488" t="n">
        <v>2</v>
      </c>
      <c r="C2039" s="488" t="n">
        <v>2</v>
      </c>
      <c r="D2039" s="488" t="n">
        <v>4</v>
      </c>
      <c r="E2039" s="488" t="n">
        <v>2</v>
      </c>
      <c r="F2039" s="488" t="n">
        <v>2</v>
      </c>
      <c r="G2039" s="488" t="inlineStr">
        <is>
          <t>East-Up2</t>
        </is>
      </c>
      <c r="H2039" s="488" t="n">
        <v>0</v>
      </c>
      <c r="I2039" s="488" t="n">
        <v>0</v>
      </c>
      <c r="J2039" s="488" t="n">
        <v>0</v>
      </c>
      <c r="K2039" s="488" t="n">
        <v>0</v>
      </c>
      <c r="L2039" s="488" t="n">
        <v>0</v>
      </c>
      <c r="M2039" s="497" t="inlineStr">
        <is>
          <t>T</t>
        </is>
      </c>
    </row>
    <row r="2040">
      <c r="A2040" s="488" t="n">
        <v>27</v>
      </c>
      <c r="B2040" s="488" t="n">
        <v>2</v>
      </c>
      <c r="C2040" s="488" t="n">
        <v>2</v>
      </c>
      <c r="D2040" s="488" t="n">
        <v>4</v>
      </c>
      <c r="E2040" s="488" t="n">
        <v>2</v>
      </c>
      <c r="F2040" s="488" t="n">
        <v>2</v>
      </c>
      <c r="G2040" s="488" t="inlineStr">
        <is>
          <t>East-Up1</t>
        </is>
      </c>
      <c r="H2040" s="488" t="n">
        <v>2610</v>
      </c>
      <c r="I2040" s="488" t="n">
        <v>0</v>
      </c>
      <c r="J2040" s="488" t="n">
        <v>2</v>
      </c>
      <c r="K2040" s="488" t="n">
        <v>0</v>
      </c>
      <c r="L2040" s="488" t="n">
        <v>4</v>
      </c>
      <c r="M2040" s="497" t="inlineStr">
        <is>
          <t>T</t>
        </is>
      </c>
    </row>
    <row r="2041">
      <c r="A2041" s="488" t="n">
        <v>27</v>
      </c>
      <c r="B2041" s="488" t="n">
        <v>2</v>
      </c>
      <c r="C2041" s="488" t="n">
        <v>2</v>
      </c>
      <c r="D2041" s="488" t="n">
        <v>4</v>
      </c>
      <c r="E2041" s="488" t="n">
        <v>2</v>
      </c>
      <c r="F2041" s="488" t="n">
        <v>2</v>
      </c>
      <c r="G2041" s="488" t="inlineStr">
        <is>
          <t>East-Down1</t>
        </is>
      </c>
      <c r="H2041" s="488" t="n">
        <v>2644.21</v>
      </c>
      <c r="I2041" s="488" t="n">
        <v>0</v>
      </c>
      <c r="J2041" s="488" t="n">
        <v>3</v>
      </c>
      <c r="K2041" s="488" t="n">
        <v>42</v>
      </c>
      <c r="L2041" s="488" t="n">
        <v>2</v>
      </c>
      <c r="M2041" s="497" t="inlineStr">
        <is>
          <t>T</t>
        </is>
      </c>
    </row>
    <row r="2042">
      <c r="A2042" s="488" t="n">
        <v>27</v>
      </c>
      <c r="B2042" s="488" t="n">
        <v>2</v>
      </c>
      <c r="C2042" s="488" t="n">
        <v>2</v>
      </c>
      <c r="D2042" s="488" t="n">
        <v>4</v>
      </c>
      <c r="E2042" s="488" t="n">
        <v>2</v>
      </c>
      <c r="F2042" s="488" t="n">
        <v>2</v>
      </c>
      <c r="G2042" s="488" t="inlineStr">
        <is>
          <t>East-Down2</t>
        </is>
      </c>
      <c r="H2042" s="488" t="n">
        <v>0</v>
      </c>
      <c r="I2042" s="488" t="n">
        <v>0</v>
      </c>
      <c r="J2042" s="488" t="n">
        <v>0</v>
      </c>
      <c r="K2042" s="488" t="n">
        <v>0</v>
      </c>
      <c r="L2042" s="488" t="n">
        <v>0</v>
      </c>
      <c r="M2042" s="497" t="inlineStr">
        <is>
          <t>T</t>
        </is>
      </c>
    </row>
    <row r="2043">
      <c r="A2043" s="488" t="n">
        <v>27</v>
      </c>
      <c r="B2043" s="488" t="n">
        <v>2</v>
      </c>
      <c r="C2043" s="488" t="n">
        <v>2</v>
      </c>
      <c r="D2043" s="488" t="n">
        <v>4</v>
      </c>
      <c r="E2043" s="488" t="n">
        <v>2</v>
      </c>
      <c r="F2043" s="488" t="n">
        <v>2</v>
      </c>
      <c r="G2043" s="488" t="inlineStr">
        <is>
          <t>North-Left2</t>
        </is>
      </c>
      <c r="H2043" s="488" t="n">
        <v>0</v>
      </c>
      <c r="I2043" s="488" t="n">
        <v>0</v>
      </c>
      <c r="J2043" s="488" t="n">
        <v>0</v>
      </c>
      <c r="K2043" s="488" t="n">
        <v>0</v>
      </c>
      <c r="L2043" s="488" t="n">
        <v>0</v>
      </c>
      <c r="M2043" s="497" t="inlineStr">
        <is>
          <t>T</t>
        </is>
      </c>
    </row>
    <row r="2044">
      <c r="A2044" s="488" t="n">
        <v>27</v>
      </c>
      <c r="B2044" s="488" t="n">
        <v>2</v>
      </c>
      <c r="C2044" s="488" t="n">
        <v>2</v>
      </c>
      <c r="D2044" s="488" t="n">
        <v>4</v>
      </c>
      <c r="E2044" s="488" t="n">
        <v>2</v>
      </c>
      <c r="F2044" s="488" t="n">
        <v>2</v>
      </c>
      <c r="G2044" s="488" t="inlineStr">
        <is>
          <t>North-Left1</t>
        </is>
      </c>
      <c r="H2044" s="488" t="n">
        <v>5280</v>
      </c>
      <c r="I2044" s="488" t="n">
        <v>90</v>
      </c>
      <c r="J2044" s="488" t="n">
        <v>0</v>
      </c>
      <c r="K2044" s="488" t="n">
        <v>0</v>
      </c>
      <c r="L2044" s="488" t="n">
        <v>4</v>
      </c>
      <c r="M2044" s="497" t="inlineStr">
        <is>
          <t>T</t>
        </is>
      </c>
    </row>
    <row r="2045">
      <c r="A2045" s="488" t="n">
        <v>27</v>
      </c>
      <c r="B2045" s="488" t="n">
        <v>2</v>
      </c>
      <c r="C2045" s="488" t="n">
        <v>2</v>
      </c>
      <c r="D2045" s="488" t="n">
        <v>4</v>
      </c>
      <c r="E2045" s="488" t="n">
        <v>2</v>
      </c>
      <c r="F2045" s="488" t="n">
        <v>2</v>
      </c>
      <c r="G2045" s="488" t="inlineStr">
        <is>
          <t>North-Right1</t>
        </is>
      </c>
      <c r="H2045" s="488" t="n">
        <v>0</v>
      </c>
      <c r="I2045" s="488" t="n">
        <v>0</v>
      </c>
      <c r="J2045" s="488" t="n">
        <v>0</v>
      </c>
      <c r="K2045" s="488" t="n">
        <v>0</v>
      </c>
      <c r="L2045" s="488" t="n">
        <v>0</v>
      </c>
      <c r="M2045" s="497" t="inlineStr">
        <is>
          <t>T</t>
        </is>
      </c>
    </row>
    <row r="2046">
      <c r="A2046" s="488" t="n">
        <v>27</v>
      </c>
      <c r="B2046" s="488" t="n">
        <v>2</v>
      </c>
      <c r="C2046" s="488" t="n">
        <v>2</v>
      </c>
      <c r="D2046" s="488" t="n">
        <v>4</v>
      </c>
      <c r="E2046" s="488" t="n">
        <v>2</v>
      </c>
      <c r="F2046" s="488" t="n">
        <v>2</v>
      </c>
      <c r="G2046" s="488" t="inlineStr">
        <is>
          <t>North-Right2</t>
        </is>
      </c>
      <c r="H2046" s="488" t="n">
        <v>0</v>
      </c>
      <c r="I2046" s="488" t="n">
        <v>0</v>
      </c>
      <c r="J2046" s="488" t="n">
        <v>0</v>
      </c>
      <c r="K2046" s="488" t="n">
        <v>0</v>
      </c>
      <c r="L2046" s="488" t="n">
        <v>0</v>
      </c>
      <c r="M2046" s="497" t="inlineStr">
        <is>
          <t>T</t>
        </is>
      </c>
    </row>
    <row r="2047">
      <c r="A2047" s="488" t="n">
        <v>27</v>
      </c>
      <c r="B2047" s="488" t="n">
        <v>2</v>
      </c>
      <c r="C2047" s="488" t="n">
        <v>2</v>
      </c>
      <c r="D2047" s="488" t="n">
        <v>4</v>
      </c>
      <c r="E2047" s="488" t="n">
        <v>2</v>
      </c>
      <c r="F2047" s="488" t="n">
        <v>2</v>
      </c>
      <c r="G2047" s="488" t="inlineStr">
        <is>
          <t>South-Left2</t>
        </is>
      </c>
      <c r="H2047" s="488" t="n">
        <v>0</v>
      </c>
      <c r="I2047" s="488" t="n">
        <v>0</v>
      </c>
      <c r="J2047" s="488" t="n">
        <v>0</v>
      </c>
      <c r="K2047" s="488" t="n">
        <v>0</v>
      </c>
      <c r="L2047" s="488" t="n">
        <v>0</v>
      </c>
      <c r="M2047" s="497" t="inlineStr">
        <is>
          <t>T</t>
        </is>
      </c>
    </row>
    <row r="2048">
      <c r="A2048" s="488" t="n">
        <v>27</v>
      </c>
      <c r="B2048" s="488" t="n">
        <v>2</v>
      </c>
      <c r="C2048" s="488" t="n">
        <v>2</v>
      </c>
      <c r="D2048" s="488" t="n">
        <v>4</v>
      </c>
      <c r="E2048" s="488" t="n">
        <v>2</v>
      </c>
      <c r="F2048" s="488" t="n">
        <v>2</v>
      </c>
      <c r="G2048" s="488" t="inlineStr">
        <is>
          <t>South-Left1</t>
        </is>
      </c>
      <c r="H2048" s="488" t="n">
        <v>2650.59</v>
      </c>
      <c r="I2048" s="488" t="n">
        <v>89</v>
      </c>
      <c r="J2048" s="488" t="n">
        <v>40</v>
      </c>
      <c r="K2048" s="488" t="n">
        <v>22</v>
      </c>
      <c r="L2048" s="488" t="n">
        <v>4</v>
      </c>
      <c r="M2048" s="497" t="inlineStr">
        <is>
          <t>T</t>
        </is>
      </c>
    </row>
    <row r="2049">
      <c r="A2049" s="488" t="n">
        <v>27</v>
      </c>
      <c r="B2049" s="488" t="n">
        <v>2</v>
      </c>
      <c r="C2049" s="488" t="n">
        <v>2</v>
      </c>
      <c r="D2049" s="488" t="n">
        <v>4</v>
      </c>
      <c r="E2049" s="488" t="n">
        <v>2</v>
      </c>
      <c r="F2049" s="488" t="n">
        <v>2</v>
      </c>
      <c r="G2049" s="488" t="inlineStr">
        <is>
          <t>South-Right1</t>
        </is>
      </c>
      <c r="H2049" s="488" t="n">
        <v>2635.59</v>
      </c>
      <c r="I2049" s="488" t="n">
        <v>89</v>
      </c>
      <c r="J2049" s="488" t="n">
        <v>58</v>
      </c>
      <c r="K2049" s="488" t="n">
        <v>23</v>
      </c>
      <c r="L2049" s="488" t="n">
        <v>3</v>
      </c>
      <c r="M2049" s="497" t="inlineStr">
        <is>
          <t>T</t>
        </is>
      </c>
    </row>
    <row r="2050">
      <c r="A2050" s="488" t="n">
        <v>27</v>
      </c>
      <c r="B2050" s="488" t="n">
        <v>2</v>
      </c>
      <c r="C2050" s="488" t="n">
        <v>2</v>
      </c>
      <c r="D2050" s="488" t="n">
        <v>4</v>
      </c>
      <c r="E2050" s="488" t="n">
        <v>2</v>
      </c>
      <c r="F2050" s="488" t="n">
        <v>2</v>
      </c>
      <c r="G2050" s="488" t="inlineStr">
        <is>
          <t>South-Right2</t>
        </is>
      </c>
      <c r="H2050" s="488" t="n">
        <v>0</v>
      </c>
      <c r="I2050" s="488" t="n">
        <v>0</v>
      </c>
      <c r="J2050" s="488" t="n">
        <v>0</v>
      </c>
      <c r="K2050" s="488" t="n">
        <v>0</v>
      </c>
      <c r="L2050" s="488" t="n">
        <v>0</v>
      </c>
      <c r="M2050" s="497" t="inlineStr">
        <is>
          <t>T</t>
        </is>
      </c>
    </row>
    <row r="2051">
      <c r="A2051" s="486" t="n">
        <v>27</v>
      </c>
      <c r="B2051" s="486" t="n">
        <v>3</v>
      </c>
      <c r="C2051" s="486" t="n">
        <v>2</v>
      </c>
      <c r="D2051" s="486" t="n">
        <v>1</v>
      </c>
      <c r="E2051" s="486" t="n">
        <v>2</v>
      </c>
      <c r="F2051" s="486" t="n">
        <v>2</v>
      </c>
      <c r="G2051" s="486" t="inlineStr">
        <is>
          <t>West-Up2</t>
        </is>
      </c>
      <c r="H2051" s="486" t="n">
        <v>1320.63</v>
      </c>
      <c r="I2051" s="486" t="n">
        <v>0</v>
      </c>
      <c r="J2051" s="486" t="n">
        <v>4</v>
      </c>
      <c r="K2051" s="486" t="n">
        <v>2</v>
      </c>
      <c r="L2051" s="486" t="n">
        <v>2</v>
      </c>
      <c r="M2051" s="514" t="inlineStr">
        <is>
          <t>T</t>
        </is>
      </c>
    </row>
    <row r="2052">
      <c r="A2052" s="486" t="n">
        <v>27</v>
      </c>
      <c r="B2052" s="486" t="n">
        <v>3</v>
      </c>
      <c r="C2052" s="486" t="n">
        <v>2</v>
      </c>
      <c r="D2052" s="486" t="n">
        <v>1</v>
      </c>
      <c r="E2052" s="486" t="n">
        <v>2</v>
      </c>
      <c r="F2052" s="486" t="n">
        <v>2</v>
      </c>
      <c r="G2052" s="475" t="inlineStr">
        <is>
          <t>West-Up1</t>
        </is>
      </c>
      <c r="H2052" s="486" t="n">
        <v>1320.17</v>
      </c>
      <c r="I2052" s="486" t="n">
        <v>0</v>
      </c>
      <c r="J2052" s="486" t="n">
        <v>4</v>
      </c>
      <c r="K2052" s="486" t="n">
        <v>38</v>
      </c>
      <c r="L2052" s="486" t="n">
        <v>2</v>
      </c>
      <c r="M2052" s="514" t="inlineStr">
        <is>
          <t>T</t>
        </is>
      </c>
    </row>
    <row r="2053">
      <c r="A2053" s="486" t="n">
        <v>27</v>
      </c>
      <c r="B2053" s="486" t="n">
        <v>3</v>
      </c>
      <c r="C2053" s="486" t="n">
        <v>2</v>
      </c>
      <c r="D2053" s="486" t="n">
        <v>1</v>
      </c>
      <c r="E2053" s="486" t="n">
        <v>2</v>
      </c>
      <c r="F2053" s="486" t="n">
        <v>2</v>
      </c>
      <c r="G2053" s="486" t="inlineStr">
        <is>
          <t>West-Down1</t>
        </is>
      </c>
      <c r="H2053" s="486" t="n">
        <v>2640.81</v>
      </c>
      <c r="I2053" s="486" t="n">
        <v>0</v>
      </c>
      <c r="J2053" s="486" t="n">
        <v>4</v>
      </c>
      <c r="K2053" s="486" t="n">
        <v>38</v>
      </c>
      <c r="L2053" s="486" t="n">
        <v>2</v>
      </c>
      <c r="M2053" s="514" t="inlineStr">
        <is>
          <t>T</t>
        </is>
      </c>
    </row>
    <row r="2054">
      <c r="A2054" s="486" t="n">
        <v>27</v>
      </c>
      <c r="B2054" s="486" t="n">
        <v>3</v>
      </c>
      <c r="C2054" s="486" t="n">
        <v>2</v>
      </c>
      <c r="D2054" s="486" t="n">
        <v>1</v>
      </c>
      <c r="E2054" s="486" t="n">
        <v>2</v>
      </c>
      <c r="F2054" s="486" t="n">
        <v>2</v>
      </c>
      <c r="G2054" s="486" t="inlineStr">
        <is>
          <t>West-Down2</t>
        </is>
      </c>
      <c r="H2054" s="486" t="n">
        <v>0</v>
      </c>
      <c r="I2054" s="486" t="n">
        <v>0</v>
      </c>
      <c r="J2054" s="486" t="n">
        <v>0</v>
      </c>
      <c r="K2054" s="486" t="n">
        <v>0</v>
      </c>
      <c r="L2054" s="486" t="n">
        <v>0</v>
      </c>
      <c r="M2054" s="514" t="inlineStr">
        <is>
          <t>T</t>
        </is>
      </c>
    </row>
    <row r="2055">
      <c r="A2055" s="486" t="n">
        <v>27</v>
      </c>
      <c r="B2055" s="486" t="n">
        <v>3</v>
      </c>
      <c r="C2055" s="486" t="n">
        <v>2</v>
      </c>
      <c r="D2055" s="486" t="n">
        <v>1</v>
      </c>
      <c r="E2055" s="486" t="n">
        <v>2</v>
      </c>
      <c r="F2055" s="486" t="n">
        <v>2</v>
      </c>
      <c r="G2055" s="486" t="inlineStr">
        <is>
          <t>East-Up2</t>
        </is>
      </c>
      <c r="H2055" s="486" t="n">
        <v>1319.64</v>
      </c>
      <c r="I2055" s="486" t="n">
        <v>0</v>
      </c>
      <c r="J2055" s="486" t="n">
        <v>3</v>
      </c>
      <c r="K2055" s="486" t="n">
        <v>9</v>
      </c>
      <c r="L2055" s="486" t="n">
        <v>2</v>
      </c>
      <c r="M2055" s="514" t="inlineStr">
        <is>
          <t>T</t>
        </is>
      </c>
    </row>
    <row r="2056">
      <c r="A2056" s="486" t="n">
        <v>27</v>
      </c>
      <c r="B2056" s="486" t="n">
        <v>3</v>
      </c>
      <c r="C2056" s="486" t="n">
        <v>2</v>
      </c>
      <c r="D2056" s="486" t="n">
        <v>1</v>
      </c>
      <c r="E2056" s="486" t="n">
        <v>2</v>
      </c>
      <c r="F2056" s="486" t="n">
        <v>2</v>
      </c>
      <c r="G2056" s="475" t="inlineStr">
        <is>
          <t>East-Up1</t>
        </is>
      </c>
      <c r="H2056" s="486" t="n">
        <v>1319.64</v>
      </c>
      <c r="I2056" s="486" t="n">
        <v>0</v>
      </c>
      <c r="J2056" s="486" t="n">
        <v>3</v>
      </c>
      <c r="K2056" s="486" t="n">
        <v>9</v>
      </c>
      <c r="L2056" s="486" t="n">
        <v>2</v>
      </c>
      <c r="M2056" s="514" t="inlineStr">
        <is>
          <t>T</t>
        </is>
      </c>
    </row>
    <row r="2057">
      <c r="A2057" s="486" t="n">
        <v>27</v>
      </c>
      <c r="B2057" s="486" t="n">
        <v>3</v>
      </c>
      <c r="C2057" s="486" t="n">
        <v>2</v>
      </c>
      <c r="D2057" s="486" t="n">
        <v>1</v>
      </c>
      <c r="E2057" s="486" t="n">
        <v>2</v>
      </c>
      <c r="F2057" s="486" t="n">
        <v>2</v>
      </c>
      <c r="G2057" s="486" t="inlineStr">
        <is>
          <t>East-Down1</t>
        </is>
      </c>
      <c r="H2057" s="486" t="n">
        <v>2640.14</v>
      </c>
      <c r="I2057" s="486" t="n">
        <v>0</v>
      </c>
      <c r="J2057" s="486" t="n">
        <v>2</v>
      </c>
      <c r="K2057" s="486" t="n">
        <v>53</v>
      </c>
      <c r="L2057" s="486" t="n">
        <v>2</v>
      </c>
      <c r="M2057" s="514" t="inlineStr">
        <is>
          <t>T</t>
        </is>
      </c>
    </row>
    <row r="2058">
      <c r="A2058" s="486" t="n">
        <v>27</v>
      </c>
      <c r="B2058" s="486" t="n">
        <v>3</v>
      </c>
      <c r="C2058" s="486" t="n">
        <v>2</v>
      </c>
      <c r="D2058" s="486" t="n">
        <v>1</v>
      </c>
      <c r="E2058" s="486" t="n">
        <v>2</v>
      </c>
      <c r="F2058" s="486" t="n">
        <v>2</v>
      </c>
      <c r="G2058" s="486" t="inlineStr">
        <is>
          <t>East-Down2</t>
        </is>
      </c>
      <c r="H2058" s="486" t="n">
        <v>0</v>
      </c>
      <c r="I2058" s="486" t="n">
        <v>0</v>
      </c>
      <c r="J2058" s="486" t="n">
        <v>0</v>
      </c>
      <c r="K2058" s="486" t="n">
        <v>0</v>
      </c>
      <c r="L2058" s="486" t="n">
        <v>0</v>
      </c>
      <c r="M2058" s="514" t="inlineStr">
        <is>
          <t>T</t>
        </is>
      </c>
    </row>
    <row r="2059">
      <c r="A2059" s="486" t="n">
        <v>27</v>
      </c>
      <c r="B2059" s="486" t="n">
        <v>3</v>
      </c>
      <c r="C2059" s="486" t="n">
        <v>2</v>
      </c>
      <c r="D2059" s="486" t="n">
        <v>1</v>
      </c>
      <c r="E2059" s="486" t="n">
        <v>2</v>
      </c>
      <c r="F2059" s="486" t="n">
        <v>2</v>
      </c>
      <c r="G2059" s="486" t="inlineStr">
        <is>
          <t>North-Left2</t>
        </is>
      </c>
      <c r="H2059" s="486" t="n">
        <v>0</v>
      </c>
      <c r="I2059" s="486" t="n">
        <v>0</v>
      </c>
      <c r="J2059" s="486" t="n">
        <v>0</v>
      </c>
      <c r="K2059" s="486" t="n">
        <v>0</v>
      </c>
      <c r="L2059" s="486" t="n">
        <v>0</v>
      </c>
      <c r="M2059" s="514" t="inlineStr">
        <is>
          <t>T</t>
        </is>
      </c>
    </row>
    <row r="2060">
      <c r="A2060" s="486" t="n">
        <v>27</v>
      </c>
      <c r="B2060" s="486" t="n">
        <v>3</v>
      </c>
      <c r="C2060" s="486" t="n">
        <v>2</v>
      </c>
      <c r="D2060" s="486" t="n">
        <v>1</v>
      </c>
      <c r="E2060" s="486" t="n">
        <v>2</v>
      </c>
      <c r="F2060" s="486" t="n">
        <v>2</v>
      </c>
      <c r="G2060" s="475" t="inlineStr">
        <is>
          <t>North-Left1</t>
        </is>
      </c>
      <c r="H2060" s="486" t="n">
        <v>2639.51</v>
      </c>
      <c r="I2060" s="486" t="n">
        <v>89</v>
      </c>
      <c r="J2060" s="486" t="n">
        <v>56</v>
      </c>
      <c r="K2060" s="486" t="n">
        <v>5</v>
      </c>
      <c r="L2060" s="486" t="n">
        <v>3</v>
      </c>
      <c r="M2060" s="514" t="inlineStr">
        <is>
          <t>T</t>
        </is>
      </c>
    </row>
    <row r="2061">
      <c r="A2061" s="486" t="n">
        <v>27</v>
      </c>
      <c r="B2061" s="486" t="n">
        <v>3</v>
      </c>
      <c r="C2061" s="486" t="n">
        <v>2</v>
      </c>
      <c r="D2061" s="486" t="n">
        <v>1</v>
      </c>
      <c r="E2061" s="486" t="n">
        <v>2</v>
      </c>
      <c r="F2061" s="486" t="n">
        <v>2</v>
      </c>
      <c r="G2061" s="486" t="inlineStr">
        <is>
          <t>North-Right1</t>
        </is>
      </c>
      <c r="H2061" s="486" t="n">
        <v>2639.5</v>
      </c>
      <c r="I2061" s="486" t="n">
        <v>89</v>
      </c>
      <c r="J2061" s="486" t="n">
        <v>55</v>
      </c>
      <c r="K2061" s="486" t="n">
        <v>49</v>
      </c>
      <c r="L2061" s="486" t="n">
        <v>3</v>
      </c>
      <c r="M2061" s="514" t="inlineStr">
        <is>
          <t>T</t>
        </is>
      </c>
    </row>
    <row r="2062">
      <c r="A2062" s="486" t="n">
        <v>27</v>
      </c>
      <c r="B2062" s="486" t="n">
        <v>3</v>
      </c>
      <c r="C2062" s="486" t="n">
        <v>2</v>
      </c>
      <c r="D2062" s="486" t="n">
        <v>1</v>
      </c>
      <c r="E2062" s="486" t="n">
        <v>2</v>
      </c>
      <c r="F2062" s="486" t="n">
        <v>2</v>
      </c>
      <c r="G2062" s="486" t="inlineStr">
        <is>
          <t>North-Right2</t>
        </is>
      </c>
      <c r="H2062" s="486" t="n">
        <v>0</v>
      </c>
      <c r="I2062" s="486" t="n">
        <v>0</v>
      </c>
      <c r="J2062" s="486" t="n">
        <v>0</v>
      </c>
      <c r="K2062" s="486" t="n">
        <v>0</v>
      </c>
      <c r="L2062" s="486" t="n">
        <v>0</v>
      </c>
      <c r="M2062" s="514" t="inlineStr">
        <is>
          <t>T</t>
        </is>
      </c>
    </row>
    <row r="2063">
      <c r="A2063" s="486" t="n">
        <v>27</v>
      </c>
      <c r="B2063" s="486" t="n">
        <v>3</v>
      </c>
      <c r="C2063" s="486" t="n">
        <v>2</v>
      </c>
      <c r="D2063" s="486" t="n">
        <v>1</v>
      </c>
      <c r="E2063" s="486" t="n">
        <v>2</v>
      </c>
      <c r="F2063" s="486" t="n">
        <v>2</v>
      </c>
      <c r="G2063" s="486" t="inlineStr">
        <is>
          <t>South-Left2</t>
        </is>
      </c>
      <c r="H2063" s="486" t="n">
        <v>0</v>
      </c>
      <c r="I2063" s="486" t="n">
        <v>0</v>
      </c>
      <c r="J2063" s="486" t="n">
        <v>0</v>
      </c>
      <c r="K2063" s="486" t="n">
        <v>0</v>
      </c>
      <c r="L2063" s="486" t="n">
        <v>0</v>
      </c>
      <c r="M2063" s="514" t="inlineStr">
        <is>
          <t>T</t>
        </is>
      </c>
    </row>
    <row r="2064">
      <c r="A2064" s="486" t="n">
        <v>27</v>
      </c>
      <c r="B2064" s="486" t="n">
        <v>3</v>
      </c>
      <c r="C2064" s="486" t="n">
        <v>2</v>
      </c>
      <c r="D2064" s="486" t="n">
        <v>1</v>
      </c>
      <c r="E2064" s="486" t="n">
        <v>2</v>
      </c>
      <c r="F2064" s="486" t="n">
        <v>2</v>
      </c>
      <c r="G2064" s="475" t="inlineStr">
        <is>
          <t>South-Left1</t>
        </is>
      </c>
      <c r="H2064" s="486" t="n">
        <v>2639.7</v>
      </c>
      <c r="I2064" s="486" t="n">
        <v>88</v>
      </c>
      <c r="J2064" s="486" t="n">
        <v>51</v>
      </c>
      <c r="K2064" s="486" t="n">
        <v>29</v>
      </c>
      <c r="L2064" s="486" t="n">
        <v>3</v>
      </c>
      <c r="M2064" s="514" t="inlineStr">
        <is>
          <t>T</t>
        </is>
      </c>
    </row>
    <row r="2065">
      <c r="A2065" s="486" t="n">
        <v>27</v>
      </c>
      <c r="B2065" s="486" t="n">
        <v>3</v>
      </c>
      <c r="C2065" s="486" t="n">
        <v>2</v>
      </c>
      <c r="D2065" s="486" t="n">
        <v>1</v>
      </c>
      <c r="E2065" s="486" t="n">
        <v>2</v>
      </c>
      <c r="F2065" s="486" t="n">
        <v>2</v>
      </c>
      <c r="G2065" s="486" t="inlineStr">
        <is>
          <t>South-Right1</t>
        </is>
      </c>
      <c r="H2065" s="486" t="n">
        <v>2640.28</v>
      </c>
      <c r="I2065" s="486" t="n">
        <v>88</v>
      </c>
      <c r="J2065" s="486" t="n">
        <v>51</v>
      </c>
      <c r="K2065" s="486" t="n">
        <v>33</v>
      </c>
      <c r="L2065" s="486" t="n">
        <v>3</v>
      </c>
      <c r="M2065" s="514" t="inlineStr">
        <is>
          <t>T</t>
        </is>
      </c>
    </row>
    <row r="2066">
      <c r="A2066" s="486" t="n">
        <v>27</v>
      </c>
      <c r="B2066" s="486" t="n">
        <v>3</v>
      </c>
      <c r="C2066" s="486" t="n">
        <v>2</v>
      </c>
      <c r="D2066" s="486" t="n">
        <v>1</v>
      </c>
      <c r="E2066" s="486" t="n">
        <v>2</v>
      </c>
      <c r="F2066" s="486" t="n">
        <v>2</v>
      </c>
      <c r="G2066" s="486" t="inlineStr">
        <is>
          <t>South-Right2</t>
        </is>
      </c>
      <c r="H2066" s="486" t="n">
        <v>0</v>
      </c>
      <c r="I2066" s="486" t="n">
        <v>0</v>
      </c>
      <c r="J2066" s="486" t="n">
        <v>0</v>
      </c>
      <c r="K2066" s="486" t="n">
        <v>0</v>
      </c>
      <c r="L2066" s="486" t="n">
        <v>0</v>
      </c>
      <c r="M2066" s="514" t="inlineStr">
        <is>
          <t>T</t>
        </is>
      </c>
    </row>
    <row r="2067">
      <c r="A2067" s="485" t="n">
        <v>27</v>
      </c>
      <c r="B2067" s="485" t="n">
        <v>3</v>
      </c>
      <c r="C2067" s="485" t="n">
        <v>2</v>
      </c>
      <c r="D2067" s="485" t="n">
        <v>4</v>
      </c>
      <c r="E2067" s="485" t="n">
        <v>2</v>
      </c>
      <c r="F2067" s="485" t="n">
        <v>2</v>
      </c>
      <c r="G2067" s="485" t="inlineStr">
        <is>
          <t>West-Up2</t>
        </is>
      </c>
      <c r="H2067" s="485" t="n">
        <v>0</v>
      </c>
      <c r="I2067" s="485" t="n">
        <v>0</v>
      </c>
      <c r="J2067" s="485" t="n">
        <v>0</v>
      </c>
      <c r="K2067" s="485" t="n">
        <v>0</v>
      </c>
      <c r="L2067" s="485" t="n">
        <v>0</v>
      </c>
      <c r="M2067" s="514" t="inlineStr">
        <is>
          <t>T</t>
        </is>
      </c>
    </row>
    <row r="2068">
      <c r="A2068" s="485" t="n">
        <v>27</v>
      </c>
      <c r="B2068" s="485" t="n">
        <v>3</v>
      </c>
      <c r="C2068" s="485" t="n">
        <v>2</v>
      </c>
      <c r="D2068" s="485" t="n">
        <v>4</v>
      </c>
      <c r="E2068" s="485" t="n">
        <v>2</v>
      </c>
      <c r="F2068" s="485" t="n">
        <v>2</v>
      </c>
      <c r="G2068" s="516" t="inlineStr">
        <is>
          <t>West-Up1</t>
        </is>
      </c>
      <c r="H2068" s="485" t="n">
        <v>2610.49</v>
      </c>
      <c r="I2068" s="485" t="n">
        <v>0</v>
      </c>
      <c r="J2068" s="485" t="n">
        <v>2</v>
      </c>
      <c r="K2068" s="485" t="n">
        <v>20</v>
      </c>
      <c r="L2068" s="485" t="n">
        <v>4</v>
      </c>
      <c r="M2068" s="514" t="inlineStr">
        <is>
          <t>T</t>
        </is>
      </c>
    </row>
    <row r="2069">
      <c r="A2069" s="485" t="n">
        <v>27</v>
      </c>
      <c r="B2069" s="485" t="n">
        <v>3</v>
      </c>
      <c r="C2069" s="485" t="n">
        <v>2</v>
      </c>
      <c r="D2069" s="485" t="n">
        <v>4</v>
      </c>
      <c r="E2069" s="485" t="n">
        <v>2</v>
      </c>
      <c r="F2069" s="485" t="n">
        <v>2</v>
      </c>
      <c r="G2069" s="485" t="inlineStr">
        <is>
          <t>West-Down1</t>
        </is>
      </c>
      <c r="H2069" s="485" t="n">
        <v>2620.1</v>
      </c>
      <c r="I2069" s="485" t="n">
        <v>0</v>
      </c>
      <c r="J2069" s="485" t="n">
        <v>3</v>
      </c>
      <c r="K2069" s="485" t="n">
        <v>4</v>
      </c>
      <c r="L2069" s="485" t="n">
        <v>4</v>
      </c>
      <c r="M2069" s="514" t="inlineStr">
        <is>
          <t>T</t>
        </is>
      </c>
    </row>
    <row r="2070">
      <c r="A2070" s="485" t="n">
        <v>27</v>
      </c>
      <c r="B2070" s="485" t="n">
        <v>3</v>
      </c>
      <c r="C2070" s="485" t="n">
        <v>2</v>
      </c>
      <c r="D2070" s="485" t="n">
        <v>4</v>
      </c>
      <c r="E2070" s="485" t="n">
        <v>2</v>
      </c>
      <c r="F2070" s="485" t="n">
        <v>2</v>
      </c>
      <c r="G2070" s="485" t="inlineStr">
        <is>
          <t>West-Down2</t>
        </is>
      </c>
      <c r="H2070" s="485" t="n">
        <v>0</v>
      </c>
      <c r="I2070" s="485" t="n">
        <v>0</v>
      </c>
      <c r="J2070" s="485" t="n">
        <v>0</v>
      </c>
      <c r="K2070" s="485" t="n">
        <v>0</v>
      </c>
      <c r="L2070" s="485" t="n">
        <v>0</v>
      </c>
      <c r="M2070" s="514" t="inlineStr">
        <is>
          <t>T</t>
        </is>
      </c>
    </row>
    <row r="2071">
      <c r="A2071" s="485" t="n">
        <v>27</v>
      </c>
      <c r="B2071" s="485" t="n">
        <v>3</v>
      </c>
      <c r="C2071" s="485" t="n">
        <v>2</v>
      </c>
      <c r="D2071" s="485" t="n">
        <v>4</v>
      </c>
      <c r="E2071" s="485" t="n">
        <v>2</v>
      </c>
      <c r="F2071" s="485" t="n">
        <v>2</v>
      </c>
      <c r="G2071" s="485" t="inlineStr">
        <is>
          <t>East-Up2</t>
        </is>
      </c>
      <c r="H2071" s="485" t="n">
        <v>1314.9</v>
      </c>
      <c r="I2071" s="485" t="n">
        <v>0</v>
      </c>
      <c r="J2071" s="485" t="n">
        <v>30</v>
      </c>
      <c r="K2071" s="485" t="n">
        <v>57</v>
      </c>
      <c r="L2071" s="485" t="n">
        <v>1</v>
      </c>
      <c r="M2071" s="514" t="inlineStr">
        <is>
          <t>T</t>
        </is>
      </c>
    </row>
    <row r="2072">
      <c r="A2072" s="485" t="n">
        <v>27</v>
      </c>
      <c r="B2072" s="485" t="n">
        <v>3</v>
      </c>
      <c r="C2072" s="485" t="n">
        <v>2</v>
      </c>
      <c r="D2072" s="485" t="n">
        <v>4</v>
      </c>
      <c r="E2072" s="485" t="n">
        <v>2</v>
      </c>
      <c r="F2072" s="485" t="n">
        <v>2</v>
      </c>
      <c r="G2072" s="516" t="inlineStr">
        <is>
          <t>East-Up1</t>
        </is>
      </c>
      <c r="H2072" s="485" t="n">
        <v>1321.13</v>
      </c>
      <c r="I2072" s="485" t="n">
        <v>0</v>
      </c>
      <c r="J2072" s="485" t="n">
        <v>30</v>
      </c>
      <c r="K2072" s="485" t="n">
        <v>22</v>
      </c>
      <c r="L2072" s="485" t="n">
        <v>1</v>
      </c>
      <c r="M2072" s="514" t="inlineStr">
        <is>
          <t>T</t>
        </is>
      </c>
    </row>
    <row r="2073">
      <c r="A2073" s="485" t="n">
        <v>27</v>
      </c>
      <c r="B2073" s="485" t="n">
        <v>3</v>
      </c>
      <c r="C2073" s="485" t="n">
        <v>2</v>
      </c>
      <c r="D2073" s="485" t="n">
        <v>4</v>
      </c>
      <c r="E2073" s="485" t="n">
        <v>2</v>
      </c>
      <c r="F2073" s="485" t="n">
        <v>2</v>
      </c>
      <c r="G2073" s="485" t="inlineStr">
        <is>
          <t>East-Down1</t>
        </is>
      </c>
      <c r="H2073" s="485" t="n">
        <v>1321.01</v>
      </c>
      <c r="I2073" s="485" t="n">
        <v>1</v>
      </c>
      <c r="J2073" s="485" t="n">
        <v>9</v>
      </c>
      <c r="K2073" s="485" t="n">
        <v>48</v>
      </c>
      <c r="L2073" s="485" t="n">
        <v>1</v>
      </c>
      <c r="M2073" s="514" t="inlineStr">
        <is>
          <t>T</t>
        </is>
      </c>
    </row>
    <row r="2074">
      <c r="A2074" s="485" t="n">
        <v>27</v>
      </c>
      <c r="B2074" s="485" t="n">
        <v>3</v>
      </c>
      <c r="C2074" s="485" t="n">
        <v>2</v>
      </c>
      <c r="D2074" s="485" t="n">
        <v>4</v>
      </c>
      <c r="E2074" s="485" t="n">
        <v>2</v>
      </c>
      <c r="F2074" s="485" t="n">
        <v>2</v>
      </c>
      <c r="G2074" s="485" t="inlineStr">
        <is>
          <t>East-Down2</t>
        </is>
      </c>
      <c r="H2074" s="485" t="n">
        <v>1328.99</v>
      </c>
      <c r="I2074" s="485" t="n">
        <v>0</v>
      </c>
      <c r="J2074" s="485" t="n">
        <v>20</v>
      </c>
      <c r="K2074" s="485" t="n">
        <v>51</v>
      </c>
      <c r="L2074" s="485" t="n">
        <v>1</v>
      </c>
      <c r="M2074" s="514" t="inlineStr">
        <is>
          <t>T</t>
        </is>
      </c>
    </row>
    <row r="2075">
      <c r="A2075" s="485" t="n">
        <v>27</v>
      </c>
      <c r="B2075" s="485" t="n">
        <v>3</v>
      </c>
      <c r="C2075" s="485" t="n">
        <v>2</v>
      </c>
      <c r="D2075" s="485" t="n">
        <v>4</v>
      </c>
      <c r="E2075" s="485" t="n">
        <v>2</v>
      </c>
      <c r="F2075" s="485" t="n">
        <v>2</v>
      </c>
      <c r="G2075" s="485" t="inlineStr">
        <is>
          <t>North-Left2</t>
        </is>
      </c>
      <c r="H2075" s="485" t="n">
        <v>0</v>
      </c>
      <c r="I2075" s="485" t="n">
        <v>0</v>
      </c>
      <c r="J2075" s="485" t="n">
        <v>0</v>
      </c>
      <c r="K2075" s="485" t="n">
        <v>0</v>
      </c>
      <c r="L2075" s="485" t="n">
        <v>0</v>
      </c>
      <c r="M2075" s="514" t="inlineStr">
        <is>
          <t>T</t>
        </is>
      </c>
    </row>
    <row r="2076">
      <c r="A2076" s="485" t="n">
        <v>27</v>
      </c>
      <c r="B2076" s="485" t="n">
        <v>3</v>
      </c>
      <c r="C2076" s="485" t="n">
        <v>2</v>
      </c>
      <c r="D2076" s="485" t="n">
        <v>4</v>
      </c>
      <c r="E2076" s="485" t="n">
        <v>2</v>
      </c>
      <c r="F2076" s="485" t="n">
        <v>2</v>
      </c>
      <c r="G2076" s="516" t="inlineStr">
        <is>
          <t>North-Left1</t>
        </is>
      </c>
      <c r="H2076" s="485" t="n">
        <v>2666.68</v>
      </c>
      <c r="I2076" s="485" t="n">
        <v>88</v>
      </c>
      <c r="J2076" s="485" t="n">
        <v>16</v>
      </c>
      <c r="K2076" s="485" t="n">
        <v>44</v>
      </c>
      <c r="L2076" s="485" t="n">
        <v>2</v>
      </c>
      <c r="M2076" s="514" t="inlineStr">
        <is>
          <t>T</t>
        </is>
      </c>
    </row>
    <row r="2077">
      <c r="A2077" s="485" t="n">
        <v>27</v>
      </c>
      <c r="B2077" s="485" t="n">
        <v>3</v>
      </c>
      <c r="C2077" s="485" t="n">
        <v>2</v>
      </c>
      <c r="D2077" s="485" t="n">
        <v>4</v>
      </c>
      <c r="E2077" s="485" t="n">
        <v>2</v>
      </c>
      <c r="F2077" s="485" t="n">
        <v>2</v>
      </c>
      <c r="G2077" s="485" t="inlineStr">
        <is>
          <t>North-Right1</t>
        </is>
      </c>
      <c r="H2077" s="485" t="n">
        <v>2666.28</v>
      </c>
      <c r="I2077" s="485" t="n">
        <v>88</v>
      </c>
      <c r="J2077" s="485" t="n">
        <v>18</v>
      </c>
      <c r="K2077" s="485" t="n">
        <v>38</v>
      </c>
      <c r="L2077" s="485" t="n">
        <v>2</v>
      </c>
      <c r="M2077" s="514" t="inlineStr">
        <is>
          <t>T</t>
        </is>
      </c>
    </row>
    <row r="2078">
      <c r="A2078" s="485" t="n">
        <v>27</v>
      </c>
      <c r="B2078" s="485" t="n">
        <v>3</v>
      </c>
      <c r="C2078" s="485" t="n">
        <v>2</v>
      </c>
      <c r="D2078" s="485" t="n">
        <v>4</v>
      </c>
      <c r="E2078" s="485" t="n">
        <v>2</v>
      </c>
      <c r="F2078" s="485" t="n">
        <v>2</v>
      </c>
      <c r="G2078" s="485" t="inlineStr">
        <is>
          <t>North-Right2</t>
        </is>
      </c>
      <c r="H2078" s="485" t="n">
        <v>0</v>
      </c>
      <c r="I2078" s="485" t="n">
        <v>0</v>
      </c>
      <c r="J2078" s="485" t="n">
        <v>0</v>
      </c>
      <c r="K2078" s="485" t="n">
        <v>0</v>
      </c>
      <c r="L2078" s="485" t="n">
        <v>0</v>
      </c>
      <c r="M2078" s="514" t="inlineStr">
        <is>
          <t>T</t>
        </is>
      </c>
    </row>
    <row r="2079">
      <c r="A2079" s="485" t="n">
        <v>27</v>
      </c>
      <c r="B2079" s="485" t="n">
        <v>3</v>
      </c>
      <c r="C2079" s="485" t="n">
        <v>2</v>
      </c>
      <c r="D2079" s="485" t="n">
        <v>4</v>
      </c>
      <c r="E2079" s="485" t="n">
        <v>2</v>
      </c>
      <c r="F2079" s="485" t="n">
        <v>2</v>
      </c>
      <c r="G2079" s="485" t="inlineStr">
        <is>
          <t>South-Left2</t>
        </is>
      </c>
      <c r="H2079" s="485" t="n">
        <v>0</v>
      </c>
      <c r="I2079" s="485" t="n">
        <v>0</v>
      </c>
      <c r="J2079" s="485" t="n">
        <v>0</v>
      </c>
      <c r="K2079" s="485" t="n">
        <v>0</v>
      </c>
      <c r="L2079" s="485" t="n">
        <v>0</v>
      </c>
      <c r="M2079" s="514" t="inlineStr">
        <is>
          <t>T</t>
        </is>
      </c>
    </row>
    <row r="2080">
      <c r="A2080" s="485" t="n">
        <v>27</v>
      </c>
      <c r="B2080" s="485" t="n">
        <v>3</v>
      </c>
      <c r="C2080" s="485" t="n">
        <v>2</v>
      </c>
      <c r="D2080" s="485" t="n">
        <v>4</v>
      </c>
      <c r="E2080" s="485" t="n">
        <v>2</v>
      </c>
      <c r="F2080" s="485" t="n">
        <v>2</v>
      </c>
      <c r="G2080" s="516" t="inlineStr">
        <is>
          <t>South-Left1</t>
        </is>
      </c>
      <c r="H2080" s="485" t="n">
        <v>2660.93</v>
      </c>
      <c r="I2080" s="485" t="n">
        <v>88</v>
      </c>
      <c r="J2080" s="485" t="n">
        <v>23</v>
      </c>
      <c r="K2080" s="485" t="n">
        <v>30</v>
      </c>
      <c r="L2080" s="485" t="n">
        <v>2</v>
      </c>
      <c r="M2080" s="514" t="inlineStr">
        <is>
          <t>T</t>
        </is>
      </c>
    </row>
    <row r="2081">
      <c r="A2081" s="485" t="n">
        <v>27</v>
      </c>
      <c r="B2081" s="485" t="n">
        <v>3</v>
      </c>
      <c r="C2081" s="485" t="n">
        <v>2</v>
      </c>
      <c r="D2081" s="485" t="n">
        <v>4</v>
      </c>
      <c r="E2081" s="485" t="n">
        <v>2</v>
      </c>
      <c r="F2081" s="485" t="n">
        <v>2</v>
      </c>
      <c r="G2081" s="485" t="inlineStr">
        <is>
          <t>South-Right1</t>
        </is>
      </c>
      <c r="H2081" s="485" t="n">
        <v>2661.81</v>
      </c>
      <c r="I2081" s="485" t="n">
        <v>88</v>
      </c>
      <c r="J2081" s="485" t="n">
        <v>44</v>
      </c>
      <c r="K2081" s="485" t="n">
        <v>59</v>
      </c>
      <c r="L2081" s="485" t="n">
        <v>2</v>
      </c>
      <c r="M2081" s="514" t="inlineStr">
        <is>
          <t>T</t>
        </is>
      </c>
    </row>
    <row r="2082">
      <c r="A2082" s="485" t="n">
        <v>27</v>
      </c>
      <c r="B2082" s="485" t="n">
        <v>3</v>
      </c>
      <c r="C2082" s="485" t="n">
        <v>2</v>
      </c>
      <c r="D2082" s="485" t="n">
        <v>4</v>
      </c>
      <c r="E2082" s="485" t="n">
        <v>2</v>
      </c>
      <c r="F2082" s="485" t="n">
        <v>2</v>
      </c>
      <c r="G2082" s="485" t="inlineStr">
        <is>
          <t>South-Right2</t>
        </is>
      </c>
      <c r="H2082" s="485" t="n">
        <v>0</v>
      </c>
      <c r="I2082" s="485" t="n">
        <v>0</v>
      </c>
      <c r="J2082" s="485" t="n">
        <v>0</v>
      </c>
      <c r="K2082" s="485" t="n">
        <v>0</v>
      </c>
      <c r="L2082" s="485" t="n">
        <v>0</v>
      </c>
      <c r="M2082" s="514" t="inlineStr">
        <is>
          <t>T</t>
        </is>
      </c>
    </row>
    <row r="2083">
      <c r="A2083" s="486" t="n">
        <v>28</v>
      </c>
      <c r="B2083" s="486" t="n">
        <v>7</v>
      </c>
      <c r="C2083" s="486" t="n">
        <v>2</v>
      </c>
      <c r="D2083" s="486" t="n">
        <v>20</v>
      </c>
      <c r="E2083" s="486" t="n">
        <v>1</v>
      </c>
      <c r="F2083" s="486" t="n">
        <v>1</v>
      </c>
      <c r="G2083" s="486" t="inlineStr">
        <is>
          <t>West-Up2</t>
        </is>
      </c>
      <c r="H2083" s="486" t="n">
        <v>0</v>
      </c>
      <c r="I2083" s="486" t="n">
        <v>0</v>
      </c>
      <c r="J2083" s="486" t="n">
        <v>0</v>
      </c>
      <c r="K2083" s="486" t="n">
        <v>0</v>
      </c>
      <c r="L2083" s="486" t="n">
        <v>0</v>
      </c>
      <c r="M2083" s="487" t="inlineStr">
        <is>
          <t>T</t>
        </is>
      </c>
    </row>
    <row r="2084">
      <c r="A2084" s="486" t="n">
        <v>28</v>
      </c>
      <c r="B2084" s="486" t="n">
        <v>7</v>
      </c>
      <c r="C2084" s="486" t="n">
        <v>2</v>
      </c>
      <c r="D2084" s="486" t="n">
        <v>20</v>
      </c>
      <c r="E2084" s="486" t="n">
        <v>1</v>
      </c>
      <c r="F2084" s="486" t="n">
        <v>1</v>
      </c>
      <c r="G2084" s="475" t="inlineStr">
        <is>
          <t>West-Up1</t>
        </is>
      </c>
      <c r="H2084" s="486" t="n">
        <v>2701.36</v>
      </c>
      <c r="I2084" s="486" t="n">
        <v>0</v>
      </c>
      <c r="J2084" s="486" t="n">
        <v>12</v>
      </c>
      <c r="K2084" s="486" t="n">
        <v>12</v>
      </c>
      <c r="L2084" s="486" t="n">
        <v>4</v>
      </c>
      <c r="M2084" s="487" t="inlineStr">
        <is>
          <t>T</t>
        </is>
      </c>
    </row>
    <row r="2085">
      <c r="A2085" s="486" t="n">
        <v>28</v>
      </c>
      <c r="B2085" s="486" t="n">
        <v>7</v>
      </c>
      <c r="C2085" s="486" t="n">
        <v>2</v>
      </c>
      <c r="D2085" s="486" t="n">
        <v>20</v>
      </c>
      <c r="E2085" s="486" t="n">
        <v>1</v>
      </c>
      <c r="F2085" s="486" t="n">
        <v>1</v>
      </c>
      <c r="G2085" s="486" t="inlineStr">
        <is>
          <t>West-Down1</t>
        </is>
      </c>
      <c r="H2085" s="486" t="n">
        <v>1364.03</v>
      </c>
      <c r="I2085" s="486" t="n">
        <v>0</v>
      </c>
      <c r="J2085" s="486" t="n">
        <v>48</v>
      </c>
      <c r="K2085" s="486" t="n">
        <v>48</v>
      </c>
      <c r="L2085" s="486" t="n">
        <v>4</v>
      </c>
      <c r="M2085" s="487" t="inlineStr">
        <is>
          <t>T</t>
        </is>
      </c>
    </row>
    <row r="2086">
      <c r="A2086" s="486" t="n">
        <v>28</v>
      </c>
      <c r="B2086" s="486" t="n">
        <v>7</v>
      </c>
      <c r="C2086" s="486" t="n">
        <v>2</v>
      </c>
      <c r="D2086" s="486" t="n">
        <v>20</v>
      </c>
      <c r="E2086" s="486" t="n">
        <v>1</v>
      </c>
      <c r="F2086" s="486" t="n">
        <v>1</v>
      </c>
      <c r="G2086" s="486" t="inlineStr">
        <is>
          <t>West-Down2</t>
        </is>
      </c>
      <c r="H2086" s="486" t="n">
        <v>1362.33</v>
      </c>
      <c r="I2086" s="486" t="n">
        <v>1</v>
      </c>
      <c r="J2086" s="486" t="n">
        <v>6</v>
      </c>
      <c r="K2086" s="486" t="n">
        <v>12</v>
      </c>
      <c r="L2086" s="486" t="n">
        <v>4</v>
      </c>
      <c r="M2086" s="487" t="inlineStr">
        <is>
          <t>T</t>
        </is>
      </c>
    </row>
    <row r="2087">
      <c r="A2087" s="486" t="n">
        <v>28</v>
      </c>
      <c r="B2087" s="486" t="n">
        <v>7</v>
      </c>
      <c r="C2087" s="486" t="n">
        <v>2</v>
      </c>
      <c r="D2087" s="486" t="n">
        <v>20</v>
      </c>
      <c r="E2087" s="486" t="n">
        <v>1</v>
      </c>
      <c r="F2087" s="486" t="n">
        <v>1</v>
      </c>
      <c r="G2087" s="486" t="inlineStr">
        <is>
          <t>East-Up2</t>
        </is>
      </c>
      <c r="H2087" s="486" t="n">
        <v>0</v>
      </c>
      <c r="I2087" s="486" t="n">
        <v>0</v>
      </c>
      <c r="J2087" s="486" t="n">
        <v>0</v>
      </c>
      <c r="K2087" s="486" t="n">
        <v>0</v>
      </c>
      <c r="L2087" s="486" t="n">
        <v>0</v>
      </c>
      <c r="M2087" s="487" t="inlineStr">
        <is>
          <t>T</t>
        </is>
      </c>
    </row>
    <row r="2088">
      <c r="A2088" s="486" t="n">
        <v>28</v>
      </c>
      <c r="B2088" s="486" t="n">
        <v>7</v>
      </c>
      <c r="C2088" s="486" t="n">
        <v>2</v>
      </c>
      <c r="D2088" s="486" t="n">
        <v>20</v>
      </c>
      <c r="E2088" s="486" t="n">
        <v>1</v>
      </c>
      <c r="F2088" s="486" t="n">
        <v>1</v>
      </c>
      <c r="G2088" s="475" t="inlineStr">
        <is>
          <t>East-Up1</t>
        </is>
      </c>
      <c r="H2088" s="486" t="n">
        <v>2728.24</v>
      </c>
      <c r="I2088" s="486" t="n">
        <v>0</v>
      </c>
      <c r="J2088" s="486" t="n">
        <v>32</v>
      </c>
      <c r="K2088" s="486" t="n">
        <v>32</v>
      </c>
      <c r="L2088" s="486" t="n">
        <v>4</v>
      </c>
      <c r="M2088" s="487" t="inlineStr">
        <is>
          <t>T</t>
        </is>
      </c>
    </row>
    <row r="2089">
      <c r="A2089" s="486" t="n">
        <v>28</v>
      </c>
      <c r="B2089" s="486" t="n">
        <v>7</v>
      </c>
      <c r="C2089" s="486" t="n">
        <v>2</v>
      </c>
      <c r="D2089" s="486" t="n">
        <v>20</v>
      </c>
      <c r="E2089" s="486" t="n">
        <v>1</v>
      </c>
      <c r="F2089" s="486" t="n">
        <v>1</v>
      </c>
      <c r="G2089" s="486" t="inlineStr">
        <is>
          <t>East-Down1</t>
        </is>
      </c>
      <c r="H2089" s="486" t="n">
        <v>2735.54</v>
      </c>
      <c r="I2089" s="486" t="n">
        <v>0</v>
      </c>
      <c r="J2089" s="486" t="n">
        <v>29</v>
      </c>
      <c r="K2089" s="486" t="n">
        <v>29</v>
      </c>
      <c r="L2089" s="486" t="n">
        <v>4</v>
      </c>
      <c r="M2089" s="487" t="inlineStr">
        <is>
          <t>T</t>
        </is>
      </c>
    </row>
    <row r="2090">
      <c r="A2090" s="486" t="n">
        <v>28</v>
      </c>
      <c r="B2090" s="486" t="n">
        <v>7</v>
      </c>
      <c r="C2090" s="486" t="n">
        <v>2</v>
      </c>
      <c r="D2090" s="486" t="n">
        <v>20</v>
      </c>
      <c r="E2090" s="486" t="n">
        <v>1</v>
      </c>
      <c r="F2090" s="486" t="n">
        <v>1</v>
      </c>
      <c r="G2090" s="486" t="inlineStr">
        <is>
          <t>East-Down2</t>
        </is>
      </c>
      <c r="H2090" s="486" t="n">
        <v>0</v>
      </c>
      <c r="I2090" s="486" t="n">
        <v>0</v>
      </c>
      <c r="J2090" s="486" t="n">
        <v>0</v>
      </c>
      <c r="K2090" s="486" t="n">
        <v>0</v>
      </c>
      <c r="L2090" s="486" t="n">
        <v>0</v>
      </c>
      <c r="M2090" s="487" t="inlineStr">
        <is>
          <t>T</t>
        </is>
      </c>
    </row>
    <row r="2091">
      <c r="A2091" s="486" t="n">
        <v>28</v>
      </c>
      <c r="B2091" s="486" t="n">
        <v>7</v>
      </c>
      <c r="C2091" s="486" t="n">
        <v>2</v>
      </c>
      <c r="D2091" s="486" t="n">
        <v>20</v>
      </c>
      <c r="E2091" s="486" t="n">
        <v>1</v>
      </c>
      <c r="F2091" s="486" t="n">
        <v>1</v>
      </c>
      <c r="G2091" s="486" t="inlineStr">
        <is>
          <t>North-Left2</t>
        </is>
      </c>
      <c r="H2091" s="486" t="n">
        <v>0</v>
      </c>
      <c r="I2091" s="486" t="n">
        <v>0</v>
      </c>
      <c r="J2091" s="486" t="n">
        <v>0</v>
      </c>
      <c r="K2091" s="486" t="n">
        <v>0</v>
      </c>
      <c r="L2091" s="486" t="n">
        <v>0</v>
      </c>
      <c r="M2091" s="487" t="inlineStr">
        <is>
          <t>T</t>
        </is>
      </c>
    </row>
    <row r="2092">
      <c r="A2092" s="486" t="n">
        <v>28</v>
      </c>
      <c r="B2092" s="486" t="n">
        <v>7</v>
      </c>
      <c r="C2092" s="486" t="n">
        <v>2</v>
      </c>
      <c r="D2092" s="486" t="n">
        <v>20</v>
      </c>
      <c r="E2092" s="486" t="n">
        <v>1</v>
      </c>
      <c r="F2092" s="486" t="n">
        <v>1</v>
      </c>
      <c r="G2092" s="475" t="inlineStr">
        <is>
          <t>North-Left1</t>
        </is>
      </c>
      <c r="H2092" s="486" t="n">
        <v>2652.39</v>
      </c>
      <c r="I2092" s="486" t="n">
        <v>89</v>
      </c>
      <c r="J2092" s="486" t="n">
        <v>1</v>
      </c>
      <c r="K2092" s="486" t="n">
        <v>24</v>
      </c>
      <c r="L2092" s="486" t="n">
        <v>3</v>
      </c>
      <c r="M2092" s="487" t="inlineStr">
        <is>
          <t>T</t>
        </is>
      </c>
    </row>
    <row r="2093">
      <c r="A2093" s="486" t="n">
        <v>28</v>
      </c>
      <c r="B2093" s="486" t="n">
        <v>7</v>
      </c>
      <c r="C2093" s="486" t="n">
        <v>2</v>
      </c>
      <c r="D2093" s="486" t="n">
        <v>20</v>
      </c>
      <c r="E2093" s="486" t="n">
        <v>1</v>
      </c>
      <c r="F2093" s="486" t="n">
        <v>1</v>
      </c>
      <c r="G2093" s="486" t="inlineStr">
        <is>
          <t>North-Right1</t>
        </is>
      </c>
      <c r="H2093" s="486" t="n">
        <v>2649.5</v>
      </c>
      <c r="I2093" s="486" t="n">
        <v>88</v>
      </c>
      <c r="J2093" s="486" t="n">
        <v>56</v>
      </c>
      <c r="K2093" s="486" t="n">
        <v>3</v>
      </c>
      <c r="L2093" s="486" t="n">
        <v>3</v>
      </c>
      <c r="M2093" s="487" t="inlineStr">
        <is>
          <t>T</t>
        </is>
      </c>
    </row>
    <row r="2094">
      <c r="A2094" s="486" t="n">
        <v>28</v>
      </c>
      <c r="B2094" s="486" t="n">
        <v>7</v>
      </c>
      <c r="C2094" s="486" t="n">
        <v>2</v>
      </c>
      <c r="D2094" s="486" t="n">
        <v>20</v>
      </c>
      <c r="E2094" s="486" t="n">
        <v>1</v>
      </c>
      <c r="F2094" s="486" t="n">
        <v>1</v>
      </c>
      <c r="G2094" s="486" t="inlineStr">
        <is>
          <t>North-Right2</t>
        </is>
      </c>
      <c r="H2094" s="486" t="n">
        <v>0</v>
      </c>
      <c r="I2094" s="486" t="n">
        <v>0</v>
      </c>
      <c r="J2094" s="486" t="n">
        <v>0</v>
      </c>
      <c r="K2094" s="486" t="n">
        <v>0</v>
      </c>
      <c r="L2094" s="486" t="n">
        <v>0</v>
      </c>
      <c r="M2094" s="487" t="inlineStr">
        <is>
          <t>T</t>
        </is>
      </c>
    </row>
    <row r="2095">
      <c r="A2095" s="486" t="n">
        <v>28</v>
      </c>
      <c r="B2095" s="486" t="n">
        <v>7</v>
      </c>
      <c r="C2095" s="486" t="n">
        <v>2</v>
      </c>
      <c r="D2095" s="486" t="n">
        <v>20</v>
      </c>
      <c r="E2095" s="486" t="n">
        <v>1</v>
      </c>
      <c r="F2095" s="486" t="n">
        <v>1</v>
      </c>
      <c r="G2095" s="486" t="inlineStr">
        <is>
          <t>South-Left2</t>
        </is>
      </c>
      <c r="H2095" s="486" t="n">
        <v>0</v>
      </c>
      <c r="I2095" s="486" t="n">
        <v>0</v>
      </c>
      <c r="J2095" s="486" t="n">
        <v>0</v>
      </c>
      <c r="K2095" s="486" t="n">
        <v>0</v>
      </c>
      <c r="L2095" s="486" t="n">
        <v>0</v>
      </c>
      <c r="M2095" s="487" t="inlineStr">
        <is>
          <t>T</t>
        </is>
      </c>
    </row>
    <row r="2096">
      <c r="A2096" s="486" t="n">
        <v>28</v>
      </c>
      <c r="B2096" s="486" t="n">
        <v>7</v>
      </c>
      <c r="C2096" s="486" t="n">
        <v>2</v>
      </c>
      <c r="D2096" s="486" t="n">
        <v>20</v>
      </c>
      <c r="E2096" s="486" t="n">
        <v>1</v>
      </c>
      <c r="F2096" s="486" t="n">
        <v>1</v>
      </c>
      <c r="G2096" s="475" t="inlineStr">
        <is>
          <t>South-Left1</t>
        </is>
      </c>
      <c r="H2096" s="486" t="n">
        <v>2648.97</v>
      </c>
      <c r="I2096" s="486" t="n">
        <v>89</v>
      </c>
      <c r="J2096" s="486" t="n">
        <v>33</v>
      </c>
      <c r="K2096" s="486" t="n">
        <v>31</v>
      </c>
      <c r="L2096" s="486" t="n">
        <v>2</v>
      </c>
      <c r="M2096" s="487" t="inlineStr">
        <is>
          <t>T</t>
        </is>
      </c>
    </row>
    <row r="2097">
      <c r="A2097" s="486" t="n">
        <v>28</v>
      </c>
      <c r="B2097" s="486" t="n">
        <v>7</v>
      </c>
      <c r="C2097" s="486" t="n">
        <v>2</v>
      </c>
      <c r="D2097" s="486" t="n">
        <v>20</v>
      </c>
      <c r="E2097" s="486" t="n">
        <v>1</v>
      </c>
      <c r="F2097" s="486" t="n">
        <v>1</v>
      </c>
      <c r="G2097" s="486" t="inlineStr">
        <is>
          <t>South-Right1</t>
        </is>
      </c>
      <c r="H2097" s="486" t="n">
        <v>2646.52</v>
      </c>
      <c r="I2097" s="486" t="n">
        <v>89</v>
      </c>
      <c r="J2097" s="486" t="n">
        <v>10</v>
      </c>
      <c r="K2097" s="486" t="n">
        <v>50</v>
      </c>
      <c r="L2097" s="486" t="n">
        <v>2</v>
      </c>
      <c r="M2097" s="487" t="inlineStr">
        <is>
          <t>T</t>
        </is>
      </c>
    </row>
    <row r="2098">
      <c r="A2098" s="486" t="n">
        <v>28</v>
      </c>
      <c r="B2098" s="486" t="n">
        <v>7</v>
      </c>
      <c r="C2098" s="486" t="n">
        <v>2</v>
      </c>
      <c r="D2098" s="486" t="n">
        <v>20</v>
      </c>
      <c r="E2098" s="486" t="n">
        <v>1</v>
      </c>
      <c r="F2098" s="486" t="n">
        <v>1</v>
      </c>
      <c r="G2098" s="486" t="inlineStr">
        <is>
          <t>South-Right2</t>
        </is>
      </c>
      <c r="H2098" s="486" t="n">
        <v>0</v>
      </c>
      <c r="I2098" s="486" t="n">
        <v>0</v>
      </c>
      <c r="J2098" s="486" t="n">
        <v>0</v>
      </c>
      <c r="K2098" s="486" t="n">
        <v>0</v>
      </c>
      <c r="L2098" s="486" t="n">
        <v>0</v>
      </c>
      <c r="M2098" s="487" t="inlineStr">
        <is>
          <t>T</t>
        </is>
      </c>
    </row>
    <row r="2099">
      <c r="A2099" s="485" t="n">
        <v>28</v>
      </c>
      <c r="B2099" s="485" t="n">
        <v>2</v>
      </c>
      <c r="C2099" s="485" t="n">
        <v>2</v>
      </c>
      <c r="D2099" s="485" t="n">
        <v>2</v>
      </c>
      <c r="E2099" s="485" t="n">
        <v>2</v>
      </c>
      <c r="F2099" s="485" t="n">
        <v>2</v>
      </c>
      <c r="G2099" s="485" t="inlineStr">
        <is>
          <t>West-Up2</t>
        </is>
      </c>
      <c r="H2099" s="485" t="n">
        <v>0</v>
      </c>
      <c r="I2099" s="485" t="n">
        <v>0</v>
      </c>
      <c r="J2099" s="485" t="n">
        <v>0</v>
      </c>
      <c r="K2099" s="485" t="n">
        <v>0</v>
      </c>
      <c r="L2099" s="485" t="n">
        <v>0</v>
      </c>
      <c r="M2099" s="514" t="inlineStr">
        <is>
          <t>T</t>
        </is>
      </c>
    </row>
    <row r="2100">
      <c r="A2100" s="485" t="n">
        <v>28</v>
      </c>
      <c r="B2100" s="485" t="n">
        <v>2</v>
      </c>
      <c r="C2100" s="485" t="n">
        <v>2</v>
      </c>
      <c r="D2100" s="485" t="n">
        <v>2</v>
      </c>
      <c r="E2100" s="485" t="n">
        <v>2</v>
      </c>
      <c r="F2100" s="485" t="n">
        <v>2</v>
      </c>
      <c r="G2100" s="516" t="inlineStr">
        <is>
          <t>West-Up1</t>
        </is>
      </c>
      <c r="H2100" s="485" t="n">
        <v>5308.89</v>
      </c>
      <c r="I2100" s="485" t="n">
        <v>0</v>
      </c>
      <c r="J2100" s="485" t="n">
        <v>6</v>
      </c>
      <c r="K2100" s="485" t="n">
        <v>51</v>
      </c>
      <c r="L2100" s="485" t="n">
        <v>2</v>
      </c>
      <c r="M2100" s="514" t="inlineStr">
        <is>
          <t>T</t>
        </is>
      </c>
    </row>
    <row r="2101">
      <c r="A2101" s="485" t="n">
        <v>28</v>
      </c>
      <c r="B2101" s="485" t="n">
        <v>2</v>
      </c>
      <c r="C2101" s="485" t="n">
        <v>2</v>
      </c>
      <c r="D2101" s="485" t="n">
        <v>2</v>
      </c>
      <c r="E2101" s="485" t="n">
        <v>2</v>
      </c>
      <c r="F2101" s="485" t="n">
        <v>2</v>
      </c>
      <c r="G2101" s="485" t="inlineStr">
        <is>
          <t>West-Down1</t>
        </is>
      </c>
      <c r="H2101" s="485" t="n">
        <v>0</v>
      </c>
      <c r="I2101" s="485" t="n">
        <v>0</v>
      </c>
      <c r="J2101" s="485" t="n">
        <v>0</v>
      </c>
      <c r="K2101" s="485" t="n">
        <v>0</v>
      </c>
      <c r="L2101" s="485" t="n">
        <v>0</v>
      </c>
      <c r="M2101" s="514" t="inlineStr">
        <is>
          <t>T</t>
        </is>
      </c>
    </row>
    <row r="2102">
      <c r="A2102" s="485" t="n">
        <v>28</v>
      </c>
      <c r="B2102" s="485" t="n">
        <v>2</v>
      </c>
      <c r="C2102" s="485" t="n">
        <v>2</v>
      </c>
      <c r="D2102" s="485" t="n">
        <v>2</v>
      </c>
      <c r="E2102" s="485" t="n">
        <v>2</v>
      </c>
      <c r="F2102" s="485" t="n">
        <v>2</v>
      </c>
      <c r="G2102" s="485" t="inlineStr">
        <is>
          <t>West-Down2</t>
        </is>
      </c>
      <c r="H2102" s="485" t="n">
        <v>0</v>
      </c>
      <c r="I2102" s="485" t="n">
        <v>0</v>
      </c>
      <c r="J2102" s="485" t="n">
        <v>0</v>
      </c>
      <c r="K2102" s="485" t="n">
        <v>0</v>
      </c>
      <c r="L2102" s="485" t="n">
        <v>0</v>
      </c>
      <c r="M2102" s="514" t="inlineStr">
        <is>
          <t>T</t>
        </is>
      </c>
    </row>
    <row r="2103">
      <c r="A2103" s="485" t="n">
        <v>28</v>
      </c>
      <c r="B2103" s="485" t="n">
        <v>2</v>
      </c>
      <c r="C2103" s="485" t="n">
        <v>2</v>
      </c>
      <c r="D2103" s="485" t="n">
        <v>2</v>
      </c>
      <c r="E2103" s="485" t="n">
        <v>2</v>
      </c>
      <c r="F2103" s="485" t="n">
        <v>2</v>
      </c>
      <c r="G2103" s="485" t="inlineStr">
        <is>
          <t>East-Up2</t>
        </is>
      </c>
      <c r="H2103" s="485" t="n">
        <v>0</v>
      </c>
      <c r="I2103" s="485" t="n">
        <v>0</v>
      </c>
      <c r="J2103" s="485" t="n">
        <v>0</v>
      </c>
      <c r="K2103" s="485" t="n">
        <v>0</v>
      </c>
      <c r="L2103" s="485" t="n">
        <v>0</v>
      </c>
      <c r="M2103" s="514" t="inlineStr">
        <is>
          <t>T</t>
        </is>
      </c>
    </row>
    <row r="2104">
      <c r="A2104" s="485" t="n">
        <v>28</v>
      </c>
      <c r="B2104" s="485" t="n">
        <v>2</v>
      </c>
      <c r="C2104" s="485" t="n">
        <v>2</v>
      </c>
      <c r="D2104" s="485" t="n">
        <v>2</v>
      </c>
      <c r="E2104" s="485" t="n">
        <v>2</v>
      </c>
      <c r="F2104" s="485" t="n">
        <v>2</v>
      </c>
      <c r="G2104" s="516" t="inlineStr">
        <is>
          <t>East-Up1</t>
        </is>
      </c>
      <c r="H2104" s="485" t="n">
        <v>2633.53</v>
      </c>
      <c r="I2104" s="485" t="n">
        <v>0</v>
      </c>
      <c r="J2104" s="485" t="n">
        <v>5</v>
      </c>
      <c r="K2104" s="485" t="n">
        <v>1</v>
      </c>
      <c r="L2104" s="485" t="n">
        <v>4</v>
      </c>
      <c r="M2104" s="514" t="inlineStr">
        <is>
          <t>T</t>
        </is>
      </c>
    </row>
    <row r="2105">
      <c r="A2105" s="485" t="n">
        <v>28</v>
      </c>
      <c r="B2105" s="485" t="n">
        <v>2</v>
      </c>
      <c r="C2105" s="485" t="n">
        <v>2</v>
      </c>
      <c r="D2105" s="485" t="n">
        <v>2</v>
      </c>
      <c r="E2105" s="485" t="n">
        <v>2</v>
      </c>
      <c r="F2105" s="485" t="n">
        <v>2</v>
      </c>
      <c r="G2105" s="485" t="inlineStr">
        <is>
          <t>East-Down1</t>
        </is>
      </c>
      <c r="H2105" s="485" t="n">
        <v>2633.59</v>
      </c>
      <c r="I2105" s="485" t="n">
        <v>0</v>
      </c>
      <c r="J2105" s="485" t="n">
        <v>4</v>
      </c>
      <c r="K2105" s="485" t="n">
        <v>56</v>
      </c>
      <c r="L2105" s="485" t="n">
        <v>4</v>
      </c>
      <c r="M2105" s="514" t="inlineStr">
        <is>
          <t>T</t>
        </is>
      </c>
    </row>
    <row r="2106">
      <c r="A2106" s="485" t="n">
        <v>28</v>
      </c>
      <c r="B2106" s="485" t="n">
        <v>2</v>
      </c>
      <c r="C2106" s="485" t="n">
        <v>2</v>
      </c>
      <c r="D2106" s="485" t="n">
        <v>2</v>
      </c>
      <c r="E2106" s="485" t="n">
        <v>2</v>
      </c>
      <c r="F2106" s="485" t="n">
        <v>2</v>
      </c>
      <c r="G2106" s="485" t="inlineStr">
        <is>
          <t>East-Down2</t>
        </is>
      </c>
      <c r="H2106" s="485" t="n">
        <v>0</v>
      </c>
      <c r="I2106" s="485" t="n">
        <v>0</v>
      </c>
      <c r="J2106" s="485" t="n">
        <v>0</v>
      </c>
      <c r="K2106" s="485" t="n">
        <v>0</v>
      </c>
      <c r="L2106" s="485" t="n">
        <v>0</v>
      </c>
      <c r="M2106" s="514" t="inlineStr">
        <is>
          <t>T</t>
        </is>
      </c>
    </row>
    <row r="2107">
      <c r="A2107" s="485" t="n">
        <v>28</v>
      </c>
      <c r="B2107" s="485" t="n">
        <v>2</v>
      </c>
      <c r="C2107" s="485" t="n">
        <v>2</v>
      </c>
      <c r="D2107" s="485" t="n">
        <v>2</v>
      </c>
      <c r="E2107" s="485" t="n">
        <v>2</v>
      </c>
      <c r="F2107" s="485" t="n">
        <v>2</v>
      </c>
      <c r="G2107" s="485" t="inlineStr">
        <is>
          <t>North-Left2</t>
        </is>
      </c>
      <c r="H2107" s="485" t="n">
        <v>0</v>
      </c>
      <c r="I2107" s="485" t="n">
        <v>0</v>
      </c>
      <c r="J2107" s="485" t="n">
        <v>0</v>
      </c>
      <c r="K2107" s="485" t="n">
        <v>0</v>
      </c>
      <c r="L2107" s="485" t="n">
        <v>0</v>
      </c>
      <c r="M2107" s="514" t="inlineStr">
        <is>
          <t>T</t>
        </is>
      </c>
    </row>
    <row r="2108">
      <c r="A2108" s="485" t="n">
        <v>28</v>
      </c>
      <c r="B2108" s="485" t="n">
        <v>2</v>
      </c>
      <c r="C2108" s="485" t="n">
        <v>2</v>
      </c>
      <c r="D2108" s="485" t="n">
        <v>2</v>
      </c>
      <c r="E2108" s="485" t="n">
        <v>2</v>
      </c>
      <c r="F2108" s="485" t="n">
        <v>2</v>
      </c>
      <c r="G2108" s="516" t="inlineStr">
        <is>
          <t>North-Left1</t>
        </is>
      </c>
      <c r="H2108" s="485" t="n">
        <v>2650.57</v>
      </c>
      <c r="I2108" s="485" t="n">
        <v>89</v>
      </c>
      <c r="J2108" s="485" t="n">
        <v>58</v>
      </c>
      <c r="K2108" s="485" t="n">
        <v>36</v>
      </c>
      <c r="L2108" s="485" t="n">
        <v>4</v>
      </c>
      <c r="M2108" s="514" t="inlineStr">
        <is>
          <t>T</t>
        </is>
      </c>
    </row>
    <row r="2109">
      <c r="A2109" s="485" t="n">
        <v>28</v>
      </c>
      <c r="B2109" s="485" t="n">
        <v>2</v>
      </c>
      <c r="C2109" s="485" t="n">
        <v>2</v>
      </c>
      <c r="D2109" s="485" t="n">
        <v>2</v>
      </c>
      <c r="E2109" s="485" t="n">
        <v>2</v>
      </c>
      <c r="F2109" s="485" t="n">
        <v>2</v>
      </c>
      <c r="G2109" s="485" t="inlineStr">
        <is>
          <t>North-Right1</t>
        </is>
      </c>
      <c r="H2109" s="485" t="n">
        <v>2650.28</v>
      </c>
      <c r="I2109" s="485" t="n">
        <v>89</v>
      </c>
      <c r="J2109" s="485" t="n">
        <v>59</v>
      </c>
      <c r="K2109" s="485" t="n">
        <v>41</v>
      </c>
      <c r="L2109" s="485" t="n">
        <v>4</v>
      </c>
      <c r="M2109" s="514" t="inlineStr">
        <is>
          <t>T</t>
        </is>
      </c>
    </row>
    <row r="2110">
      <c r="A2110" s="485" t="n">
        <v>28</v>
      </c>
      <c r="B2110" s="485" t="n">
        <v>2</v>
      </c>
      <c r="C2110" s="485" t="n">
        <v>2</v>
      </c>
      <c r="D2110" s="485" t="n">
        <v>2</v>
      </c>
      <c r="E2110" s="485" t="n">
        <v>2</v>
      </c>
      <c r="F2110" s="485" t="n">
        <v>2</v>
      </c>
      <c r="G2110" s="485" t="inlineStr">
        <is>
          <t>North-Right2</t>
        </is>
      </c>
      <c r="H2110" s="485" t="n">
        <v>0</v>
      </c>
      <c r="I2110" s="485" t="n">
        <v>0</v>
      </c>
      <c r="J2110" s="485" t="n">
        <v>0</v>
      </c>
      <c r="K2110" s="485" t="n">
        <v>0</v>
      </c>
      <c r="L2110" s="485" t="n">
        <v>0</v>
      </c>
      <c r="M2110" s="514" t="inlineStr">
        <is>
          <t>T</t>
        </is>
      </c>
    </row>
    <row r="2111">
      <c r="A2111" s="485" t="n">
        <v>28</v>
      </c>
      <c r="B2111" s="485" t="n">
        <v>2</v>
      </c>
      <c r="C2111" s="485" t="n">
        <v>2</v>
      </c>
      <c r="D2111" s="485" t="n">
        <v>2</v>
      </c>
      <c r="E2111" s="485" t="n">
        <v>2</v>
      </c>
      <c r="F2111" s="485" t="n">
        <v>2</v>
      </c>
      <c r="G2111" s="485" t="inlineStr">
        <is>
          <t>South-Left2</t>
        </is>
      </c>
      <c r="H2111" s="485" t="n">
        <v>0</v>
      </c>
      <c r="I2111" s="485" t="n">
        <v>0</v>
      </c>
      <c r="J2111" s="485" t="n">
        <v>0</v>
      </c>
      <c r="K2111" s="485" t="n">
        <v>0</v>
      </c>
      <c r="L2111" s="485" t="n">
        <v>0</v>
      </c>
      <c r="M2111" s="514" t="inlineStr">
        <is>
          <t>T</t>
        </is>
      </c>
    </row>
    <row r="2112">
      <c r="A2112" s="485" t="n">
        <v>28</v>
      </c>
      <c r="B2112" s="485" t="n">
        <v>2</v>
      </c>
      <c r="C2112" s="485" t="n">
        <v>2</v>
      </c>
      <c r="D2112" s="485" t="n">
        <v>2</v>
      </c>
      <c r="E2112" s="485" t="n">
        <v>2</v>
      </c>
      <c r="F2112" s="485" t="n">
        <v>2</v>
      </c>
      <c r="G2112" s="516" t="inlineStr">
        <is>
          <t>South-Left1</t>
        </is>
      </c>
      <c r="H2112" s="485" t="n">
        <v>5296.53</v>
      </c>
      <c r="I2112" s="485" t="n">
        <v>88</v>
      </c>
      <c r="J2112" s="485" t="n">
        <v>55</v>
      </c>
      <c r="K2112" s="485" t="n">
        <v>54</v>
      </c>
      <c r="L2112" s="485" t="n">
        <v>3</v>
      </c>
      <c r="M2112" s="514" t="inlineStr">
        <is>
          <t>T</t>
        </is>
      </c>
    </row>
    <row r="2113">
      <c r="A2113" s="485" t="n">
        <v>28</v>
      </c>
      <c r="B2113" s="485" t="n">
        <v>2</v>
      </c>
      <c r="C2113" s="485" t="n">
        <v>2</v>
      </c>
      <c r="D2113" s="485" t="n">
        <v>2</v>
      </c>
      <c r="E2113" s="485" t="n">
        <v>2</v>
      </c>
      <c r="F2113" s="485" t="n">
        <v>2</v>
      </c>
      <c r="G2113" s="485" t="inlineStr">
        <is>
          <t>South-Right1</t>
        </is>
      </c>
      <c r="H2113" s="485" t="n">
        <v>0</v>
      </c>
      <c r="I2113" s="485" t="n">
        <v>0</v>
      </c>
      <c r="J2113" s="485" t="n">
        <v>0</v>
      </c>
      <c r="K2113" s="485" t="n">
        <v>0</v>
      </c>
      <c r="L2113" s="485" t="n">
        <v>0</v>
      </c>
      <c r="M2113" s="514" t="inlineStr">
        <is>
          <t>T</t>
        </is>
      </c>
    </row>
    <row r="2114">
      <c r="A2114" s="485" t="n">
        <v>28</v>
      </c>
      <c r="B2114" s="485" t="n">
        <v>2</v>
      </c>
      <c r="C2114" s="485" t="n">
        <v>2</v>
      </c>
      <c r="D2114" s="485" t="n">
        <v>2</v>
      </c>
      <c r="E2114" s="485" t="n">
        <v>2</v>
      </c>
      <c r="F2114" s="485" t="n">
        <v>2</v>
      </c>
      <c r="G2114" s="485" t="inlineStr">
        <is>
          <t>South-Right2</t>
        </is>
      </c>
      <c r="H2114" s="485" t="n">
        <v>0</v>
      </c>
      <c r="I2114" s="485" t="n">
        <v>0</v>
      </c>
      <c r="J2114" s="485" t="n">
        <v>0</v>
      </c>
      <c r="K2114" s="485" t="n">
        <v>0</v>
      </c>
      <c r="L2114" s="485" t="n">
        <v>0</v>
      </c>
      <c r="M2114" s="514" t="inlineStr">
        <is>
          <t>T</t>
        </is>
      </c>
    </row>
    <row r="2115">
      <c r="A2115" s="485" t="n">
        <v>28</v>
      </c>
      <c r="B2115" s="485" t="n">
        <v>2</v>
      </c>
      <c r="C2115" s="485" t="n">
        <v>2</v>
      </c>
      <c r="D2115" s="485" t="n">
        <v>3</v>
      </c>
      <c r="E2115" s="485" t="n">
        <v>2</v>
      </c>
      <c r="F2115" s="485" t="n">
        <v>2</v>
      </c>
      <c r="G2115" s="485" t="inlineStr">
        <is>
          <t>West-Up2</t>
        </is>
      </c>
      <c r="H2115" s="485" t="n">
        <v>0</v>
      </c>
      <c r="I2115" s="485" t="n">
        <v>0</v>
      </c>
      <c r="J2115" s="485" t="n">
        <v>0</v>
      </c>
      <c r="K2115" s="485" t="n">
        <v>0</v>
      </c>
      <c r="L2115" s="485" t="n">
        <v>0</v>
      </c>
      <c r="M2115" s="514" t="inlineStr">
        <is>
          <t>T</t>
        </is>
      </c>
    </row>
    <row r="2116">
      <c r="A2116" s="485" t="n">
        <v>28</v>
      </c>
      <c r="B2116" s="485" t="n">
        <v>2</v>
      </c>
      <c r="C2116" s="485" t="n">
        <v>2</v>
      </c>
      <c r="D2116" s="485" t="n">
        <v>3</v>
      </c>
      <c r="E2116" s="485" t="n">
        <v>2</v>
      </c>
      <c r="F2116" s="485" t="n">
        <v>2</v>
      </c>
      <c r="G2116" s="516" t="inlineStr">
        <is>
          <t>West-Up1</t>
        </is>
      </c>
      <c r="H2116" s="485" t="n">
        <v>5302.04</v>
      </c>
      <c r="I2116" s="485" t="n">
        <v>0</v>
      </c>
      <c r="J2116" s="485" t="n">
        <v>11</v>
      </c>
      <c r="K2116" s="485" t="n">
        <v>49</v>
      </c>
      <c r="L2116" s="485" t="n">
        <v>2</v>
      </c>
      <c r="M2116" s="514" t="inlineStr">
        <is>
          <t>T</t>
        </is>
      </c>
    </row>
    <row r="2117">
      <c r="A2117" s="485" t="n">
        <v>28</v>
      </c>
      <c r="B2117" s="485" t="n">
        <v>2</v>
      </c>
      <c r="C2117" s="485" t="n">
        <v>2</v>
      </c>
      <c r="D2117" s="485" t="n">
        <v>3</v>
      </c>
      <c r="E2117" s="485" t="n">
        <v>2</v>
      </c>
      <c r="F2117" s="485" t="n">
        <v>2</v>
      </c>
      <c r="G2117" s="485" t="inlineStr">
        <is>
          <t>West-Down1</t>
        </is>
      </c>
      <c r="H2117" s="485" t="n">
        <v>0</v>
      </c>
      <c r="I2117" s="485" t="n">
        <v>0</v>
      </c>
      <c r="J2117" s="485" t="n">
        <v>0</v>
      </c>
      <c r="K2117" s="485" t="n">
        <v>0</v>
      </c>
      <c r="L2117" s="485" t="n">
        <v>0</v>
      </c>
      <c r="M2117" s="514" t="inlineStr">
        <is>
          <t>T</t>
        </is>
      </c>
    </row>
    <row r="2118">
      <c r="A2118" s="485" t="n">
        <v>28</v>
      </c>
      <c r="B2118" s="485" t="n">
        <v>2</v>
      </c>
      <c r="C2118" s="485" t="n">
        <v>2</v>
      </c>
      <c r="D2118" s="485" t="n">
        <v>3</v>
      </c>
      <c r="E2118" s="485" t="n">
        <v>2</v>
      </c>
      <c r="F2118" s="485" t="n">
        <v>2</v>
      </c>
      <c r="G2118" s="485" t="inlineStr">
        <is>
          <t>West-Down2</t>
        </is>
      </c>
      <c r="H2118" s="485" t="n">
        <v>0</v>
      </c>
      <c r="I2118" s="485" t="n">
        <v>0</v>
      </c>
      <c r="J2118" s="485" t="n">
        <v>0</v>
      </c>
      <c r="K2118" s="485" t="n">
        <v>0</v>
      </c>
      <c r="L2118" s="485" t="n">
        <v>0</v>
      </c>
      <c r="M2118" s="514" t="inlineStr">
        <is>
          <t>T</t>
        </is>
      </c>
    </row>
    <row r="2119">
      <c r="A2119" s="485" t="n">
        <v>28</v>
      </c>
      <c r="B2119" s="485" t="n">
        <v>2</v>
      </c>
      <c r="C2119" s="485" t="n">
        <v>2</v>
      </c>
      <c r="D2119" s="485" t="n">
        <v>3</v>
      </c>
      <c r="E2119" s="485" t="n">
        <v>2</v>
      </c>
      <c r="F2119" s="485" t="n">
        <v>2</v>
      </c>
      <c r="G2119" s="485" t="inlineStr">
        <is>
          <t>East-Up2</t>
        </is>
      </c>
      <c r="H2119" s="485" t="n">
        <v>0</v>
      </c>
      <c r="I2119" s="485" t="n">
        <v>0</v>
      </c>
      <c r="J2119" s="485" t="n">
        <v>0</v>
      </c>
      <c r="K2119" s="485" t="n">
        <v>0</v>
      </c>
      <c r="L2119" s="485" t="n">
        <v>0</v>
      </c>
      <c r="M2119" s="514" t="inlineStr">
        <is>
          <t>T</t>
        </is>
      </c>
    </row>
    <row r="2120">
      <c r="A2120" s="485" t="n">
        <v>28</v>
      </c>
      <c r="B2120" s="485" t="n">
        <v>2</v>
      </c>
      <c r="C2120" s="485" t="n">
        <v>2</v>
      </c>
      <c r="D2120" s="485" t="n">
        <v>3</v>
      </c>
      <c r="E2120" s="485" t="n">
        <v>2</v>
      </c>
      <c r="F2120" s="485" t="n">
        <v>2</v>
      </c>
      <c r="G2120" s="516" t="inlineStr">
        <is>
          <t>East-Up1</t>
        </is>
      </c>
      <c r="H2120" s="485" t="n">
        <v>2664.07</v>
      </c>
      <c r="I2120" s="485" t="n">
        <v>0</v>
      </c>
      <c r="J2120" s="485" t="n">
        <v>17</v>
      </c>
      <c r="K2120" s="485" t="n">
        <v>44</v>
      </c>
      <c r="L2120" s="485" t="n">
        <v>4</v>
      </c>
      <c r="M2120" s="514" t="inlineStr">
        <is>
          <t>T</t>
        </is>
      </c>
    </row>
    <row r="2121">
      <c r="A2121" s="485" t="n">
        <v>28</v>
      </c>
      <c r="B2121" s="485" t="n">
        <v>2</v>
      </c>
      <c r="C2121" s="485" t="n">
        <v>2</v>
      </c>
      <c r="D2121" s="485" t="n">
        <v>3</v>
      </c>
      <c r="E2121" s="485" t="n">
        <v>2</v>
      </c>
      <c r="F2121" s="485" t="n">
        <v>2</v>
      </c>
      <c r="G2121" s="485" t="inlineStr">
        <is>
          <t>East-Down1</t>
        </is>
      </c>
      <c r="H2121" s="485" t="n">
        <v>2643.27</v>
      </c>
      <c r="I2121" s="485" t="n">
        <v>0</v>
      </c>
      <c r="J2121" s="485" t="n">
        <v>10</v>
      </c>
      <c r="K2121" s="485" t="n">
        <v>0</v>
      </c>
      <c r="L2121" s="485" t="n">
        <v>4</v>
      </c>
      <c r="M2121" s="514" t="inlineStr">
        <is>
          <t>T</t>
        </is>
      </c>
    </row>
    <row r="2122">
      <c r="A2122" s="485" t="n">
        <v>28</v>
      </c>
      <c r="B2122" s="485" t="n">
        <v>2</v>
      </c>
      <c r="C2122" s="485" t="n">
        <v>2</v>
      </c>
      <c r="D2122" s="485" t="n">
        <v>3</v>
      </c>
      <c r="E2122" s="485" t="n">
        <v>2</v>
      </c>
      <c r="F2122" s="485" t="n">
        <v>2</v>
      </c>
      <c r="G2122" s="485" t="inlineStr">
        <is>
          <t>East-Down2</t>
        </is>
      </c>
      <c r="H2122" s="485" t="n">
        <v>0</v>
      </c>
      <c r="I2122" s="485" t="n">
        <v>0</v>
      </c>
      <c r="J2122" s="485" t="n">
        <v>0</v>
      </c>
      <c r="K2122" s="485" t="n">
        <v>0</v>
      </c>
      <c r="L2122" s="485" t="n">
        <v>0</v>
      </c>
      <c r="M2122" s="514" t="inlineStr">
        <is>
          <t>T</t>
        </is>
      </c>
    </row>
    <row r="2123">
      <c r="A2123" s="485" t="n">
        <v>28</v>
      </c>
      <c r="B2123" s="485" t="n">
        <v>2</v>
      </c>
      <c r="C2123" s="485" t="n">
        <v>2</v>
      </c>
      <c r="D2123" s="485" t="n">
        <v>3</v>
      </c>
      <c r="E2123" s="485" t="n">
        <v>2</v>
      </c>
      <c r="F2123" s="485" t="n">
        <v>2</v>
      </c>
      <c r="G2123" s="485" t="inlineStr">
        <is>
          <t>North-Left2</t>
        </is>
      </c>
      <c r="H2123" s="485" t="n">
        <v>0</v>
      </c>
      <c r="I2123" s="485" t="n">
        <v>0</v>
      </c>
      <c r="J2123" s="485" t="n">
        <v>0</v>
      </c>
      <c r="K2123" s="485" t="n">
        <v>0</v>
      </c>
      <c r="L2123" s="485" t="n">
        <v>0</v>
      </c>
      <c r="M2123" s="514" t="inlineStr">
        <is>
          <t>T</t>
        </is>
      </c>
    </row>
    <row r="2124">
      <c r="A2124" s="485" t="n">
        <v>28</v>
      </c>
      <c r="B2124" s="485" t="n">
        <v>2</v>
      </c>
      <c r="C2124" s="485" t="n">
        <v>2</v>
      </c>
      <c r="D2124" s="485" t="n">
        <v>3</v>
      </c>
      <c r="E2124" s="485" t="n">
        <v>2</v>
      </c>
      <c r="F2124" s="485" t="n">
        <v>2</v>
      </c>
      <c r="G2124" s="516" t="inlineStr">
        <is>
          <t>North-Left1</t>
        </is>
      </c>
      <c r="H2124" s="485" t="n">
        <v>3959.66</v>
      </c>
      <c r="I2124" s="485" t="n">
        <v>89</v>
      </c>
      <c r="J2124" s="485" t="n">
        <v>58</v>
      </c>
      <c r="K2124" s="485" t="n">
        <v>5</v>
      </c>
      <c r="L2124" s="485" t="n">
        <v>3</v>
      </c>
      <c r="M2124" s="514" t="inlineStr">
        <is>
          <t>T</t>
        </is>
      </c>
    </row>
    <row r="2125">
      <c r="A2125" s="485" t="n">
        <v>28</v>
      </c>
      <c r="B2125" s="485" t="n">
        <v>2</v>
      </c>
      <c r="C2125" s="485" t="n">
        <v>2</v>
      </c>
      <c r="D2125" s="485" t="n">
        <v>3</v>
      </c>
      <c r="E2125" s="485" t="n">
        <v>2</v>
      </c>
      <c r="F2125" s="485" t="n">
        <v>2</v>
      </c>
      <c r="G2125" s="485" t="inlineStr">
        <is>
          <t>North-Right1</t>
        </is>
      </c>
      <c r="H2125" s="485" t="n">
        <v>0</v>
      </c>
      <c r="I2125" s="485" t="n">
        <v>0</v>
      </c>
      <c r="J2125" s="485" t="n">
        <v>0</v>
      </c>
      <c r="K2125" s="485" t="n">
        <v>0</v>
      </c>
      <c r="L2125" s="485" t="n">
        <v>0</v>
      </c>
      <c r="M2125" s="514" t="inlineStr">
        <is>
          <t>T</t>
        </is>
      </c>
    </row>
    <row r="2126">
      <c r="A2126" s="485" t="n">
        <v>28</v>
      </c>
      <c r="B2126" s="485" t="n">
        <v>2</v>
      </c>
      <c r="C2126" s="485" t="n">
        <v>2</v>
      </c>
      <c r="D2126" s="485" t="n">
        <v>3</v>
      </c>
      <c r="E2126" s="485" t="n">
        <v>2</v>
      </c>
      <c r="F2126" s="485" t="n">
        <v>2</v>
      </c>
      <c r="G2126" s="485" t="inlineStr">
        <is>
          <t>North-Right2</t>
        </is>
      </c>
      <c r="H2126" s="485" t="n">
        <v>1319.22</v>
      </c>
      <c r="I2126" s="485" t="n">
        <v>89</v>
      </c>
      <c r="J2126" s="485" t="n">
        <v>57</v>
      </c>
      <c r="K2126" s="485" t="n">
        <v>11</v>
      </c>
      <c r="L2126" s="485" t="n">
        <v>4</v>
      </c>
      <c r="M2126" s="514" t="inlineStr">
        <is>
          <t>T</t>
        </is>
      </c>
    </row>
    <row r="2127">
      <c r="A2127" s="485" t="n">
        <v>28</v>
      </c>
      <c r="B2127" s="485" t="n">
        <v>2</v>
      </c>
      <c r="C2127" s="485" t="n">
        <v>2</v>
      </c>
      <c r="D2127" s="485" t="n">
        <v>3</v>
      </c>
      <c r="E2127" s="485" t="n">
        <v>2</v>
      </c>
      <c r="F2127" s="485" t="n">
        <v>2</v>
      </c>
      <c r="G2127" s="485" t="inlineStr">
        <is>
          <t>South-Left2</t>
        </is>
      </c>
      <c r="H2127" s="485" t="n">
        <v>0</v>
      </c>
      <c r="I2127" s="485" t="n">
        <v>0</v>
      </c>
      <c r="J2127" s="485" t="n">
        <v>0</v>
      </c>
      <c r="K2127" s="485" t="n">
        <v>0</v>
      </c>
      <c r="L2127" s="485" t="n">
        <v>0</v>
      </c>
      <c r="M2127" s="514" t="inlineStr">
        <is>
          <t>T</t>
        </is>
      </c>
    </row>
    <row r="2128">
      <c r="A2128" s="485" t="n">
        <v>28</v>
      </c>
      <c r="B2128" s="485" t="n">
        <v>2</v>
      </c>
      <c r="C2128" s="485" t="n">
        <v>2</v>
      </c>
      <c r="D2128" s="485" t="n">
        <v>3</v>
      </c>
      <c r="E2128" s="485" t="n">
        <v>2</v>
      </c>
      <c r="F2128" s="485" t="n">
        <v>2</v>
      </c>
      <c r="G2128" s="516" t="inlineStr">
        <is>
          <t>South-Left1</t>
        </is>
      </c>
      <c r="H2128" s="485" t="n">
        <v>2659.72</v>
      </c>
      <c r="I2128" s="485" t="n">
        <v>89</v>
      </c>
      <c r="J2128" s="485" t="n">
        <v>57</v>
      </c>
      <c r="K2128" s="485" t="n">
        <v>15</v>
      </c>
      <c r="L2128" s="485" t="n">
        <v>4</v>
      </c>
      <c r="M2128" s="514" t="inlineStr">
        <is>
          <t>T</t>
        </is>
      </c>
    </row>
    <row r="2129">
      <c r="A2129" s="485" t="n">
        <v>28</v>
      </c>
      <c r="B2129" s="485" t="n">
        <v>2</v>
      </c>
      <c r="C2129" s="485" t="n">
        <v>2</v>
      </c>
      <c r="D2129" s="485" t="n">
        <v>3</v>
      </c>
      <c r="E2129" s="485" t="n">
        <v>2</v>
      </c>
      <c r="F2129" s="485" t="n">
        <v>2</v>
      </c>
      <c r="G2129" s="485" t="inlineStr">
        <is>
          <t>South-Right1</t>
        </is>
      </c>
      <c r="H2129" s="485" t="n">
        <v>2658.8</v>
      </c>
      <c r="I2129" s="485" t="n">
        <v>89</v>
      </c>
      <c r="J2129" s="485" t="n">
        <v>57</v>
      </c>
      <c r="K2129" s="485" t="n">
        <v>22</v>
      </c>
      <c r="L2129" s="485" t="n">
        <v>4</v>
      </c>
      <c r="M2129" s="514" t="inlineStr">
        <is>
          <t>T</t>
        </is>
      </c>
    </row>
    <row r="2130">
      <c r="A2130" s="485" t="n">
        <v>28</v>
      </c>
      <c r="B2130" s="485" t="n">
        <v>2</v>
      </c>
      <c r="C2130" s="485" t="n">
        <v>2</v>
      </c>
      <c r="D2130" s="485" t="n">
        <v>3</v>
      </c>
      <c r="E2130" s="485" t="n">
        <v>2</v>
      </c>
      <c r="F2130" s="485" t="n">
        <v>2</v>
      </c>
      <c r="G2130" s="485" t="inlineStr">
        <is>
          <t>South-Right2</t>
        </is>
      </c>
      <c r="H2130" s="485" t="n">
        <v>0</v>
      </c>
      <c r="I2130" s="485" t="n">
        <v>0</v>
      </c>
      <c r="J2130" s="485" t="n">
        <v>0</v>
      </c>
      <c r="K2130" s="485" t="n">
        <v>0</v>
      </c>
      <c r="L2130" s="485" t="n">
        <v>0</v>
      </c>
      <c r="M2130" s="514" t="inlineStr">
        <is>
          <t>T</t>
        </is>
      </c>
    </row>
    <row r="2131">
      <c r="A2131" s="486" t="n">
        <v>28</v>
      </c>
      <c r="B2131" s="486" t="n">
        <v>3</v>
      </c>
      <c r="C2131" s="486" t="n">
        <v>2</v>
      </c>
      <c r="D2131" s="486" t="n">
        <v>1</v>
      </c>
      <c r="E2131" s="486" t="n">
        <v>2</v>
      </c>
      <c r="F2131" s="486" t="n">
        <v>2</v>
      </c>
      <c r="G2131" s="486" t="inlineStr">
        <is>
          <t>West-Up2</t>
        </is>
      </c>
      <c r="H2131" s="486" t="n">
        <v>0</v>
      </c>
      <c r="I2131" s="486" t="n">
        <v>0</v>
      </c>
      <c r="J2131" s="486" t="n">
        <v>0</v>
      </c>
      <c r="K2131" s="486" t="n">
        <v>0</v>
      </c>
      <c r="L2131" s="486" t="n">
        <v>0</v>
      </c>
      <c r="M2131" s="487" t="inlineStr">
        <is>
          <t>T</t>
        </is>
      </c>
    </row>
    <row r="2132">
      <c r="A2132" s="486" t="n">
        <v>28</v>
      </c>
      <c r="B2132" s="486" t="n">
        <v>3</v>
      </c>
      <c r="C2132" s="486" t="n">
        <v>2</v>
      </c>
      <c r="D2132" s="486" t="n">
        <v>1</v>
      </c>
      <c r="E2132" s="486" t="n">
        <v>2</v>
      </c>
      <c r="F2132" s="486" t="n">
        <v>2</v>
      </c>
      <c r="G2132" s="475" t="inlineStr">
        <is>
          <t>West-Up1</t>
        </is>
      </c>
      <c r="H2132" s="486" t="n">
        <v>5367.48</v>
      </c>
      <c r="I2132" s="486" t="n">
        <v>0</v>
      </c>
      <c r="J2132" s="486" t="n">
        <v>7</v>
      </c>
      <c r="K2132" s="486" t="n">
        <v>31</v>
      </c>
      <c r="L2132" s="486" t="n">
        <v>2</v>
      </c>
      <c r="M2132" s="487" t="inlineStr">
        <is>
          <t>T</t>
        </is>
      </c>
    </row>
    <row r="2133">
      <c r="A2133" s="486" t="n">
        <v>28</v>
      </c>
      <c r="B2133" s="486" t="n">
        <v>3</v>
      </c>
      <c r="C2133" s="486" t="n">
        <v>2</v>
      </c>
      <c r="D2133" s="486" t="n">
        <v>1</v>
      </c>
      <c r="E2133" s="486" t="n">
        <v>2</v>
      </c>
      <c r="F2133" s="486" t="n">
        <v>2</v>
      </c>
      <c r="G2133" s="486" t="inlineStr">
        <is>
          <t>West-Down1</t>
        </is>
      </c>
      <c r="H2133" s="486" t="n">
        <v>0</v>
      </c>
      <c r="I2133" s="486" t="n">
        <v>0</v>
      </c>
      <c r="J2133" s="486" t="n">
        <v>0</v>
      </c>
      <c r="K2133" s="486" t="n">
        <v>0</v>
      </c>
      <c r="L2133" s="486" t="n">
        <v>0</v>
      </c>
      <c r="M2133" s="487" t="inlineStr">
        <is>
          <t>T</t>
        </is>
      </c>
    </row>
    <row r="2134">
      <c r="A2134" s="486" t="n">
        <v>28</v>
      </c>
      <c r="B2134" s="486" t="n">
        <v>3</v>
      </c>
      <c r="C2134" s="486" t="n">
        <v>2</v>
      </c>
      <c r="D2134" s="486" t="n">
        <v>1</v>
      </c>
      <c r="E2134" s="486" t="n">
        <v>2</v>
      </c>
      <c r="F2134" s="486" t="n">
        <v>2</v>
      </c>
      <c r="G2134" s="486" t="inlineStr">
        <is>
          <t>West-Down2</t>
        </is>
      </c>
      <c r="H2134" s="486" t="n">
        <v>0</v>
      </c>
      <c r="I2134" s="486" t="n">
        <v>0</v>
      </c>
      <c r="J2134" s="486" t="n">
        <v>0</v>
      </c>
      <c r="K2134" s="486" t="n">
        <v>0</v>
      </c>
      <c r="L2134" s="486" t="n">
        <v>0</v>
      </c>
      <c r="M2134" s="487" t="inlineStr">
        <is>
          <t>T</t>
        </is>
      </c>
    </row>
    <row r="2135">
      <c r="A2135" s="486" t="n">
        <v>28</v>
      </c>
      <c r="B2135" s="486" t="n">
        <v>3</v>
      </c>
      <c r="C2135" s="486" t="n">
        <v>2</v>
      </c>
      <c r="D2135" s="486" t="n">
        <v>1</v>
      </c>
      <c r="E2135" s="486" t="n">
        <v>2</v>
      </c>
      <c r="F2135" s="486" t="n">
        <v>2</v>
      </c>
      <c r="G2135" s="486" t="inlineStr">
        <is>
          <t>East-Up2</t>
        </is>
      </c>
      <c r="H2135" s="486" t="n">
        <v>0</v>
      </c>
      <c r="I2135" s="486" t="n">
        <v>0</v>
      </c>
      <c r="J2135" s="486" t="n">
        <v>0</v>
      </c>
      <c r="K2135" s="486" t="n">
        <v>0</v>
      </c>
      <c r="L2135" s="486" t="n">
        <v>0</v>
      </c>
      <c r="M2135" s="487" t="inlineStr">
        <is>
          <t>T</t>
        </is>
      </c>
    </row>
    <row r="2136">
      <c r="A2136" s="486" t="n">
        <v>28</v>
      </c>
      <c r="B2136" s="486" t="n">
        <v>3</v>
      </c>
      <c r="C2136" s="486" t="n">
        <v>2</v>
      </c>
      <c r="D2136" s="486" t="n">
        <v>1</v>
      </c>
      <c r="E2136" s="486" t="n">
        <v>2</v>
      </c>
      <c r="F2136" s="486" t="n">
        <v>2</v>
      </c>
      <c r="G2136" s="475" t="inlineStr">
        <is>
          <t>East-Up1</t>
        </is>
      </c>
      <c r="H2136" s="486" t="n">
        <v>4023.64</v>
      </c>
      <c r="I2136" s="486" t="n">
        <v>0</v>
      </c>
      <c r="J2136" s="486" t="n">
        <v>6</v>
      </c>
      <c r="K2136" s="486" t="n">
        <v>47</v>
      </c>
      <c r="L2136" s="486" t="n">
        <v>2</v>
      </c>
      <c r="M2136" s="487" t="inlineStr">
        <is>
          <t>T</t>
        </is>
      </c>
    </row>
    <row r="2137">
      <c r="A2137" s="486" t="n">
        <v>28</v>
      </c>
      <c r="B2137" s="486" t="n">
        <v>3</v>
      </c>
      <c r="C2137" s="486" t="n">
        <v>2</v>
      </c>
      <c r="D2137" s="486" t="n">
        <v>1</v>
      </c>
      <c r="E2137" s="486" t="n">
        <v>2</v>
      </c>
      <c r="F2137" s="486" t="n">
        <v>2</v>
      </c>
      <c r="G2137" s="486" t="inlineStr">
        <is>
          <t>East-Down1</t>
        </is>
      </c>
      <c r="H2137" s="486" t="n">
        <v>0</v>
      </c>
      <c r="I2137" s="486" t="n">
        <v>0</v>
      </c>
      <c r="J2137" s="486" t="n">
        <v>0</v>
      </c>
      <c r="K2137" s="486" t="n">
        <v>0</v>
      </c>
      <c r="L2137" s="486" t="n">
        <v>0</v>
      </c>
      <c r="M2137" s="487" t="inlineStr">
        <is>
          <t>T</t>
        </is>
      </c>
    </row>
    <row r="2138">
      <c r="A2138" s="486" t="n">
        <v>28</v>
      </c>
      <c r="B2138" s="486" t="n">
        <v>3</v>
      </c>
      <c r="C2138" s="486" t="n">
        <v>2</v>
      </c>
      <c r="D2138" s="486" t="n">
        <v>1</v>
      </c>
      <c r="E2138" s="486" t="n">
        <v>2</v>
      </c>
      <c r="F2138" s="486" t="n">
        <v>2</v>
      </c>
      <c r="G2138" s="486" t="inlineStr">
        <is>
          <t>East-Down2</t>
        </is>
      </c>
      <c r="H2138" s="486" t="n">
        <v>1331.27</v>
      </c>
      <c r="I2138" s="486" t="n">
        <v>0</v>
      </c>
      <c r="J2138" s="486" t="n">
        <v>9</v>
      </c>
      <c r="K2138" s="486" t="n">
        <v>4</v>
      </c>
      <c r="L2138" s="486" t="n">
        <v>4</v>
      </c>
      <c r="M2138" s="487" t="inlineStr">
        <is>
          <t>T</t>
        </is>
      </c>
    </row>
    <row r="2139">
      <c r="A2139" s="486" t="n">
        <v>28</v>
      </c>
      <c r="B2139" s="486" t="n">
        <v>3</v>
      </c>
      <c r="C2139" s="486" t="n">
        <v>2</v>
      </c>
      <c r="D2139" s="486" t="n">
        <v>1</v>
      </c>
      <c r="E2139" s="486" t="n">
        <v>2</v>
      </c>
      <c r="F2139" s="486" t="n">
        <v>2</v>
      </c>
      <c r="G2139" s="486" t="inlineStr">
        <is>
          <t>North-Left2</t>
        </is>
      </c>
      <c r="H2139" s="486" t="n">
        <v>0</v>
      </c>
      <c r="I2139" s="486" t="n">
        <v>0</v>
      </c>
      <c r="J2139" s="486" t="n">
        <v>0</v>
      </c>
      <c r="K2139" s="486" t="n">
        <v>0</v>
      </c>
      <c r="L2139" s="486" t="n">
        <v>0</v>
      </c>
      <c r="M2139" s="487" t="inlineStr">
        <is>
          <t>T</t>
        </is>
      </c>
    </row>
    <row r="2140">
      <c r="A2140" s="486" t="n">
        <v>28</v>
      </c>
      <c r="B2140" s="486" t="n">
        <v>3</v>
      </c>
      <c r="C2140" s="486" t="n">
        <v>2</v>
      </c>
      <c r="D2140" s="486" t="n">
        <v>1</v>
      </c>
      <c r="E2140" s="486" t="n">
        <v>2</v>
      </c>
      <c r="F2140" s="486" t="n">
        <v>2</v>
      </c>
      <c r="G2140" s="475" t="inlineStr">
        <is>
          <t>North-Left1</t>
        </is>
      </c>
      <c r="H2140" s="486" t="n">
        <v>2608.11</v>
      </c>
      <c r="I2140" s="486" t="n">
        <v>89</v>
      </c>
      <c r="J2140" s="486" t="n">
        <v>40</v>
      </c>
      <c r="K2140" s="486" t="n">
        <v>35</v>
      </c>
      <c r="L2140" s="486" t="n">
        <v>1</v>
      </c>
      <c r="M2140" s="487" t="inlineStr">
        <is>
          <t>T</t>
        </is>
      </c>
    </row>
    <row r="2141">
      <c r="A2141" s="486" t="n">
        <v>28</v>
      </c>
      <c r="B2141" s="486" t="n">
        <v>3</v>
      </c>
      <c r="C2141" s="486" t="n">
        <v>2</v>
      </c>
      <c r="D2141" s="486" t="n">
        <v>1</v>
      </c>
      <c r="E2141" s="486" t="n">
        <v>2</v>
      </c>
      <c r="F2141" s="486" t="n">
        <v>2</v>
      </c>
      <c r="G2141" s="486" t="inlineStr">
        <is>
          <t>North-Right1</t>
        </is>
      </c>
      <c r="H2141" s="486" t="n">
        <v>2643.25</v>
      </c>
      <c r="I2141" s="486" t="n">
        <v>89</v>
      </c>
      <c r="J2141" s="486" t="n">
        <v>34</v>
      </c>
      <c r="K2141" s="486" t="n">
        <v>58</v>
      </c>
      <c r="L2141" s="486" t="n">
        <v>1</v>
      </c>
      <c r="M2141" s="487" t="inlineStr">
        <is>
          <t>T</t>
        </is>
      </c>
    </row>
    <row r="2142">
      <c r="A2142" s="486" t="n">
        <v>28</v>
      </c>
      <c r="B2142" s="486" t="n">
        <v>3</v>
      </c>
      <c r="C2142" s="486" t="n">
        <v>2</v>
      </c>
      <c r="D2142" s="486" t="n">
        <v>1</v>
      </c>
      <c r="E2142" s="486" t="n">
        <v>2</v>
      </c>
      <c r="F2142" s="486" t="n">
        <v>2</v>
      </c>
      <c r="G2142" s="486" t="inlineStr">
        <is>
          <t>North-Right2</t>
        </is>
      </c>
      <c r="H2142" s="486" t="n">
        <v>0</v>
      </c>
      <c r="I2142" s="486" t="n">
        <v>0</v>
      </c>
      <c r="J2142" s="486" t="n">
        <v>0</v>
      </c>
      <c r="K2142" s="486" t="n">
        <v>0</v>
      </c>
      <c r="L2142" s="486" t="n">
        <v>0</v>
      </c>
      <c r="M2142" s="487" t="inlineStr">
        <is>
          <t>T</t>
        </is>
      </c>
    </row>
    <row r="2143">
      <c r="A2143" s="486" t="n">
        <v>28</v>
      </c>
      <c r="B2143" s="486" t="n">
        <v>3</v>
      </c>
      <c r="C2143" s="486" t="n">
        <v>2</v>
      </c>
      <c r="D2143" s="486" t="n">
        <v>1</v>
      </c>
      <c r="E2143" s="486" t="n">
        <v>2</v>
      </c>
      <c r="F2143" s="486" t="n">
        <v>2</v>
      </c>
      <c r="G2143" s="486" t="inlineStr">
        <is>
          <t>South-Left2</t>
        </is>
      </c>
      <c r="H2143" s="486" t="n">
        <v>0</v>
      </c>
      <c r="I2143" s="486" t="n">
        <v>0</v>
      </c>
      <c r="J2143" s="486" t="n">
        <v>0</v>
      </c>
      <c r="K2143" s="486" t="n">
        <v>0</v>
      </c>
      <c r="L2143" s="486" t="n">
        <v>0</v>
      </c>
      <c r="M2143" s="487" t="inlineStr">
        <is>
          <t>T</t>
        </is>
      </c>
    </row>
    <row r="2144">
      <c r="A2144" s="486" t="n">
        <v>28</v>
      </c>
      <c r="B2144" s="486" t="n">
        <v>3</v>
      </c>
      <c r="C2144" s="486" t="n">
        <v>2</v>
      </c>
      <c r="D2144" s="486" t="n">
        <v>1</v>
      </c>
      <c r="E2144" s="486" t="n">
        <v>2</v>
      </c>
      <c r="F2144" s="486" t="n">
        <v>2</v>
      </c>
      <c r="G2144" s="475" t="inlineStr">
        <is>
          <t>South-Left1</t>
        </is>
      </c>
      <c r="H2144" s="486" t="n">
        <v>2631.3</v>
      </c>
      <c r="I2144" s="486" t="n">
        <v>89</v>
      </c>
      <c r="J2144" s="486" t="n">
        <v>48</v>
      </c>
      <c r="K2144" s="486" t="n">
        <v>0</v>
      </c>
      <c r="L2144" s="486" t="n">
        <v>2</v>
      </c>
      <c r="M2144" s="487" t="inlineStr">
        <is>
          <t>T</t>
        </is>
      </c>
    </row>
    <row r="2145">
      <c r="A2145" s="486" t="n">
        <v>28</v>
      </c>
      <c r="B2145" s="486" t="n">
        <v>3</v>
      </c>
      <c r="C2145" s="486" t="n">
        <v>2</v>
      </c>
      <c r="D2145" s="486" t="n">
        <v>1</v>
      </c>
      <c r="E2145" s="486" t="n">
        <v>2</v>
      </c>
      <c r="F2145" s="486" t="n">
        <v>2</v>
      </c>
      <c r="G2145" s="486" t="inlineStr">
        <is>
          <t>South-Right1</t>
        </is>
      </c>
      <c r="H2145" s="486" t="n">
        <v>2631.3</v>
      </c>
      <c r="I2145" s="486" t="n">
        <v>89</v>
      </c>
      <c r="J2145" s="486" t="n">
        <v>48</v>
      </c>
      <c r="K2145" s="486" t="n">
        <v>36</v>
      </c>
      <c r="L2145" s="486" t="n">
        <v>2</v>
      </c>
      <c r="M2145" s="487" t="inlineStr">
        <is>
          <t>T</t>
        </is>
      </c>
    </row>
    <row r="2146">
      <c r="A2146" s="486" t="n">
        <v>28</v>
      </c>
      <c r="B2146" s="486" t="n">
        <v>3</v>
      </c>
      <c r="C2146" s="486" t="n">
        <v>2</v>
      </c>
      <c r="D2146" s="486" t="n">
        <v>1</v>
      </c>
      <c r="E2146" s="486" t="n">
        <v>2</v>
      </c>
      <c r="F2146" s="486" t="n">
        <v>2</v>
      </c>
      <c r="G2146" s="486" t="inlineStr">
        <is>
          <t>South-Right2</t>
        </is>
      </c>
      <c r="H2146" s="486" t="n">
        <v>0</v>
      </c>
      <c r="I2146" s="486" t="n">
        <v>0</v>
      </c>
      <c r="J2146" s="486" t="n">
        <v>0</v>
      </c>
      <c r="K2146" s="486" t="n">
        <v>0</v>
      </c>
      <c r="L2146" s="486" t="n">
        <v>0</v>
      </c>
      <c r="M2146" s="487" t="inlineStr">
        <is>
          <t>T</t>
        </is>
      </c>
    </row>
    <row r="2147">
      <c r="A2147" s="485" t="n">
        <v>28</v>
      </c>
      <c r="B2147" s="485" t="n">
        <v>3</v>
      </c>
      <c r="C2147" s="485" t="n">
        <v>2</v>
      </c>
      <c r="D2147" s="485" t="n">
        <v>4</v>
      </c>
      <c r="E2147" s="485" t="n">
        <v>2</v>
      </c>
      <c r="F2147" s="485" t="n">
        <v>2</v>
      </c>
      <c r="G2147" s="485" t="inlineStr">
        <is>
          <t>West-Up2</t>
        </is>
      </c>
      <c r="H2147" s="485" t="n">
        <v>0</v>
      </c>
      <c r="I2147" s="485" t="n">
        <v>0</v>
      </c>
      <c r="J2147" s="485" t="n">
        <v>0</v>
      </c>
      <c r="K2147" s="485" t="n">
        <v>0</v>
      </c>
      <c r="L2147" s="485" t="n">
        <v>0</v>
      </c>
      <c r="M2147" s="514" t="inlineStr">
        <is>
          <t>T</t>
        </is>
      </c>
    </row>
    <row r="2148">
      <c r="A2148" s="485" t="n">
        <v>28</v>
      </c>
      <c r="B2148" s="485" t="n">
        <v>3</v>
      </c>
      <c r="C2148" s="485" t="n">
        <v>2</v>
      </c>
      <c r="D2148" s="485" t="n">
        <v>4</v>
      </c>
      <c r="E2148" s="485" t="n">
        <v>2</v>
      </c>
      <c r="F2148" s="485" t="n">
        <v>2</v>
      </c>
      <c r="G2148" s="516" t="inlineStr">
        <is>
          <t>West-Up1</t>
        </is>
      </c>
      <c r="H2148" s="485" t="n">
        <v>2622.4</v>
      </c>
      <c r="I2148" s="485" t="n">
        <v>0</v>
      </c>
      <c r="J2148" s="485" t="n">
        <v>4</v>
      </c>
      <c r="K2148" s="485" t="n">
        <v>48</v>
      </c>
      <c r="L2148" s="485" t="n">
        <v>4</v>
      </c>
      <c r="M2148" s="514" t="inlineStr">
        <is>
          <t>T</t>
        </is>
      </c>
    </row>
    <row r="2149">
      <c r="A2149" s="485" t="n">
        <v>28</v>
      </c>
      <c r="B2149" s="485" t="n">
        <v>3</v>
      </c>
      <c r="C2149" s="485" t="n">
        <v>2</v>
      </c>
      <c r="D2149" s="485" t="n">
        <v>4</v>
      </c>
      <c r="E2149" s="485" t="n">
        <v>2</v>
      </c>
      <c r="F2149" s="485" t="n">
        <v>2</v>
      </c>
      <c r="G2149" s="485" t="inlineStr">
        <is>
          <t>West-Down1</t>
        </is>
      </c>
      <c r="H2149" s="485" t="n">
        <v>2622.46</v>
      </c>
      <c r="I2149" s="485" t="n">
        <v>0</v>
      </c>
      <c r="J2149" s="485" t="n">
        <v>0</v>
      </c>
      <c r="K2149" s="485" t="n">
        <v>49</v>
      </c>
      <c r="L2149" s="485" t="n">
        <v>4</v>
      </c>
      <c r="M2149" s="514" t="inlineStr">
        <is>
          <t>T</t>
        </is>
      </c>
    </row>
    <row r="2150">
      <c r="A2150" s="485" t="n">
        <v>28</v>
      </c>
      <c r="B2150" s="485" t="n">
        <v>3</v>
      </c>
      <c r="C2150" s="485" t="n">
        <v>2</v>
      </c>
      <c r="D2150" s="485" t="n">
        <v>4</v>
      </c>
      <c r="E2150" s="485" t="n">
        <v>2</v>
      </c>
      <c r="F2150" s="485" t="n">
        <v>2</v>
      </c>
      <c r="G2150" s="485" t="inlineStr">
        <is>
          <t>West-Down2</t>
        </is>
      </c>
      <c r="H2150" s="485" t="n">
        <v>0</v>
      </c>
      <c r="I2150" s="485" t="n">
        <v>0</v>
      </c>
      <c r="J2150" s="485" t="n">
        <v>0</v>
      </c>
      <c r="K2150" s="485" t="n">
        <v>0</v>
      </c>
      <c r="L2150" s="485" t="n">
        <v>0</v>
      </c>
      <c r="M2150" s="514" t="inlineStr">
        <is>
          <t>T</t>
        </is>
      </c>
    </row>
    <row r="2151">
      <c r="A2151" s="485" t="n">
        <v>28</v>
      </c>
      <c r="B2151" s="485" t="n">
        <v>3</v>
      </c>
      <c r="C2151" s="485" t="n">
        <v>2</v>
      </c>
      <c r="D2151" s="485" t="n">
        <v>4</v>
      </c>
      <c r="E2151" s="485" t="n">
        <v>2</v>
      </c>
      <c r="F2151" s="485" t="n">
        <v>2</v>
      </c>
      <c r="G2151" s="485" t="inlineStr">
        <is>
          <t>East-Up2</t>
        </is>
      </c>
      <c r="H2151" s="485" t="n">
        <v>1369.98</v>
      </c>
      <c r="I2151" s="485" t="n">
        <v>0</v>
      </c>
      <c r="J2151" s="485" t="n">
        <v>29</v>
      </c>
      <c r="K2151" s="485" t="n">
        <v>38</v>
      </c>
      <c r="L2151" s="485" t="n">
        <v>1</v>
      </c>
      <c r="M2151" s="514" t="inlineStr">
        <is>
          <t>T</t>
        </is>
      </c>
    </row>
    <row r="2152">
      <c r="A2152" s="485" t="n">
        <v>28</v>
      </c>
      <c r="B2152" s="485" t="n">
        <v>3</v>
      </c>
      <c r="C2152" s="485" t="n">
        <v>2</v>
      </c>
      <c r="D2152" s="485" t="n">
        <v>4</v>
      </c>
      <c r="E2152" s="485" t="n">
        <v>2</v>
      </c>
      <c r="F2152" s="485" t="n">
        <v>2</v>
      </c>
      <c r="G2152" s="516" t="inlineStr">
        <is>
          <t>East-Up1</t>
        </is>
      </c>
      <c r="H2152" s="485" t="n">
        <v>1326.87</v>
      </c>
      <c r="I2152" s="485" t="n">
        <v>0</v>
      </c>
      <c r="J2152" s="485" t="n">
        <v>29</v>
      </c>
      <c r="K2152" s="485" t="n">
        <v>38</v>
      </c>
      <c r="L2152" s="485" t="n">
        <v>1</v>
      </c>
      <c r="M2152" s="514" t="inlineStr">
        <is>
          <t>T</t>
        </is>
      </c>
    </row>
    <row r="2153">
      <c r="A2153" s="485" t="n">
        <v>28</v>
      </c>
      <c r="B2153" s="485" t="n">
        <v>3</v>
      </c>
      <c r="C2153" s="485" t="n">
        <v>2</v>
      </c>
      <c r="D2153" s="485" t="n">
        <v>4</v>
      </c>
      <c r="E2153" s="485" t="n">
        <v>2</v>
      </c>
      <c r="F2153" s="485" t="n">
        <v>2</v>
      </c>
      <c r="G2153" s="485" t="inlineStr">
        <is>
          <t>East-Down1</t>
        </is>
      </c>
      <c r="H2153" s="485" t="n">
        <v>2635.56</v>
      </c>
      <c r="I2153" s="485" t="n">
        <v>0</v>
      </c>
      <c r="J2153" s="485" t="n">
        <v>29</v>
      </c>
      <c r="K2153" s="485" t="n">
        <v>34</v>
      </c>
      <c r="L2153" s="485" t="n">
        <v>3</v>
      </c>
      <c r="M2153" s="514" t="inlineStr">
        <is>
          <t>T</t>
        </is>
      </c>
    </row>
    <row r="2154">
      <c r="A2154" s="485" t="n">
        <v>28</v>
      </c>
      <c r="B2154" s="485" t="n">
        <v>3</v>
      </c>
      <c r="C2154" s="485" t="n">
        <v>2</v>
      </c>
      <c r="D2154" s="485" t="n">
        <v>4</v>
      </c>
      <c r="E2154" s="485" t="n">
        <v>2</v>
      </c>
      <c r="F2154" s="485" t="n">
        <v>2</v>
      </c>
      <c r="G2154" s="485" t="inlineStr">
        <is>
          <t>East-Down2</t>
        </is>
      </c>
      <c r="H2154" s="485" t="n">
        <v>0</v>
      </c>
      <c r="I2154" s="485" t="n">
        <v>0</v>
      </c>
      <c r="J2154" s="485" t="n">
        <v>0</v>
      </c>
      <c r="K2154" s="485" t="n">
        <v>0</v>
      </c>
      <c r="L2154" s="485" t="n">
        <v>0</v>
      </c>
      <c r="M2154" s="514" t="inlineStr">
        <is>
          <t>T</t>
        </is>
      </c>
    </row>
    <row r="2155">
      <c r="A2155" s="485" t="n">
        <v>28</v>
      </c>
      <c r="B2155" s="485" t="n">
        <v>3</v>
      </c>
      <c r="C2155" s="485" t="n">
        <v>2</v>
      </c>
      <c r="D2155" s="485" t="n">
        <v>4</v>
      </c>
      <c r="E2155" s="485" t="n">
        <v>2</v>
      </c>
      <c r="F2155" s="485" t="n">
        <v>2</v>
      </c>
      <c r="G2155" s="485" t="inlineStr">
        <is>
          <t>North-Left2</t>
        </is>
      </c>
      <c r="H2155" s="485" t="n">
        <v>0</v>
      </c>
      <c r="I2155" s="485" t="n">
        <v>0</v>
      </c>
      <c r="J2155" s="485" t="n">
        <v>0</v>
      </c>
      <c r="K2155" s="485" t="n">
        <v>0</v>
      </c>
      <c r="L2155" s="485" t="n">
        <v>0</v>
      </c>
      <c r="M2155" s="514" t="inlineStr">
        <is>
          <t>T</t>
        </is>
      </c>
    </row>
    <row r="2156">
      <c r="A2156" s="485" t="n">
        <v>28</v>
      </c>
      <c r="B2156" s="485" t="n">
        <v>3</v>
      </c>
      <c r="C2156" s="485" t="n">
        <v>2</v>
      </c>
      <c r="D2156" s="485" t="n">
        <v>4</v>
      </c>
      <c r="E2156" s="485" t="n">
        <v>2</v>
      </c>
      <c r="F2156" s="485" t="n">
        <v>2</v>
      </c>
      <c r="G2156" s="516" t="inlineStr">
        <is>
          <t>North-Left1</t>
        </is>
      </c>
      <c r="H2156" s="485" t="n">
        <v>2661.36</v>
      </c>
      <c r="I2156" s="485" t="n">
        <v>89</v>
      </c>
      <c r="J2156" s="485" t="n">
        <v>2</v>
      </c>
      <c r="K2156" s="485" t="n">
        <v>11</v>
      </c>
      <c r="L2156" s="485" t="n">
        <v>2</v>
      </c>
      <c r="M2156" s="514" t="inlineStr">
        <is>
          <t>T</t>
        </is>
      </c>
    </row>
    <row r="2157">
      <c r="A2157" s="485" t="n">
        <v>28</v>
      </c>
      <c r="B2157" s="485" t="n">
        <v>3</v>
      </c>
      <c r="C2157" s="485" t="n">
        <v>2</v>
      </c>
      <c r="D2157" s="485" t="n">
        <v>4</v>
      </c>
      <c r="E2157" s="485" t="n">
        <v>2</v>
      </c>
      <c r="F2157" s="485" t="n">
        <v>2</v>
      </c>
      <c r="G2157" s="485" t="inlineStr">
        <is>
          <t>North-Right1</t>
        </is>
      </c>
      <c r="H2157" s="485" t="n">
        <v>2661.51</v>
      </c>
      <c r="I2157" s="485" t="n">
        <v>89</v>
      </c>
      <c r="J2157" s="485" t="n">
        <v>5</v>
      </c>
      <c r="K2157" s="485" t="n">
        <v>22</v>
      </c>
      <c r="L2157" s="485" t="n">
        <v>2</v>
      </c>
      <c r="M2157" s="514" t="inlineStr">
        <is>
          <t>T</t>
        </is>
      </c>
    </row>
    <row r="2158">
      <c r="A2158" s="485" t="n">
        <v>28</v>
      </c>
      <c r="B2158" s="485" t="n">
        <v>3</v>
      </c>
      <c r="C2158" s="485" t="n">
        <v>2</v>
      </c>
      <c r="D2158" s="485" t="n">
        <v>4</v>
      </c>
      <c r="E2158" s="485" t="n">
        <v>2</v>
      </c>
      <c r="F2158" s="485" t="n">
        <v>2</v>
      </c>
      <c r="G2158" s="485" t="inlineStr">
        <is>
          <t>North-Right2</t>
        </is>
      </c>
      <c r="H2158" s="485" t="n">
        <v>0</v>
      </c>
      <c r="I2158" s="485" t="n">
        <v>0</v>
      </c>
      <c r="J2158" s="485" t="n">
        <v>0</v>
      </c>
      <c r="K2158" s="485" t="n">
        <v>0</v>
      </c>
      <c r="L2158" s="485" t="n">
        <v>0</v>
      </c>
      <c r="M2158" s="514" t="inlineStr">
        <is>
          <t>T</t>
        </is>
      </c>
    </row>
    <row r="2159">
      <c r="A2159" s="485" t="n">
        <v>28</v>
      </c>
      <c r="B2159" s="485" t="n">
        <v>3</v>
      </c>
      <c r="C2159" s="485" t="n">
        <v>2</v>
      </c>
      <c r="D2159" s="485" t="n">
        <v>4</v>
      </c>
      <c r="E2159" s="485" t="n">
        <v>2</v>
      </c>
      <c r="F2159" s="485" t="n">
        <v>2</v>
      </c>
      <c r="G2159" s="485" t="inlineStr">
        <is>
          <t>South-Left2</t>
        </is>
      </c>
      <c r="H2159" s="485" t="n">
        <v>0</v>
      </c>
      <c r="I2159" s="485" t="n">
        <v>0</v>
      </c>
      <c r="J2159" s="485" t="n">
        <v>0</v>
      </c>
      <c r="K2159" s="485" t="n">
        <v>0</v>
      </c>
      <c r="L2159" s="485" t="n">
        <v>0</v>
      </c>
      <c r="M2159" s="514" t="inlineStr">
        <is>
          <t>T</t>
        </is>
      </c>
    </row>
    <row r="2160">
      <c r="A2160" s="485" t="n">
        <v>28</v>
      </c>
      <c r="B2160" s="485" t="n">
        <v>3</v>
      </c>
      <c r="C2160" s="485" t="n">
        <v>2</v>
      </c>
      <c r="D2160" s="485" t="n">
        <v>4</v>
      </c>
      <c r="E2160" s="485" t="n">
        <v>2</v>
      </c>
      <c r="F2160" s="485" t="n">
        <v>2</v>
      </c>
      <c r="G2160" s="516" t="inlineStr">
        <is>
          <t>South-Left1</t>
        </is>
      </c>
      <c r="H2160" s="485" t="n">
        <v>2659.65</v>
      </c>
      <c r="I2160" s="485" t="n">
        <v>88</v>
      </c>
      <c r="J2160" s="485" t="n">
        <v>54</v>
      </c>
      <c r="K2160" s="485" t="n">
        <v>33</v>
      </c>
      <c r="L2160" s="485" t="n">
        <v>2</v>
      </c>
      <c r="M2160" s="514" t="inlineStr">
        <is>
          <t>T</t>
        </is>
      </c>
    </row>
    <row r="2161">
      <c r="A2161" s="485" t="n">
        <v>28</v>
      </c>
      <c r="B2161" s="485" t="n">
        <v>3</v>
      </c>
      <c r="C2161" s="485" t="n">
        <v>2</v>
      </c>
      <c r="D2161" s="485" t="n">
        <v>4</v>
      </c>
      <c r="E2161" s="485" t="n">
        <v>2</v>
      </c>
      <c r="F2161" s="485" t="n">
        <v>2</v>
      </c>
      <c r="G2161" s="485" t="inlineStr">
        <is>
          <t>South-Right1</t>
        </is>
      </c>
      <c r="H2161" s="485" t="n">
        <v>2663.28</v>
      </c>
      <c r="I2161" s="485" t="n">
        <v>88</v>
      </c>
      <c r="J2161" s="485" t="n">
        <v>54</v>
      </c>
      <c r="K2161" s="485" t="n">
        <v>33</v>
      </c>
      <c r="L2161" s="485" t="n">
        <v>2</v>
      </c>
      <c r="M2161" s="514" t="inlineStr">
        <is>
          <t>T</t>
        </is>
      </c>
    </row>
    <row r="2162">
      <c r="A2162" s="485" t="n">
        <v>28</v>
      </c>
      <c r="B2162" s="485" t="n">
        <v>3</v>
      </c>
      <c r="C2162" s="485" t="n">
        <v>2</v>
      </c>
      <c r="D2162" s="485" t="n">
        <v>4</v>
      </c>
      <c r="E2162" s="485" t="n">
        <v>2</v>
      </c>
      <c r="F2162" s="485" t="n">
        <v>2</v>
      </c>
      <c r="G2162" s="485" t="inlineStr">
        <is>
          <t>South-Right2</t>
        </is>
      </c>
      <c r="H2162" s="485" t="n">
        <v>0</v>
      </c>
      <c r="I2162" s="485" t="n">
        <v>0</v>
      </c>
      <c r="J2162" s="485" t="n">
        <v>0</v>
      </c>
      <c r="K2162" s="485" t="n">
        <v>0</v>
      </c>
      <c r="L2162" s="485" t="n">
        <v>0</v>
      </c>
      <c r="M2162" s="514" t="inlineStr">
        <is>
          <t>T</t>
        </is>
      </c>
    </row>
    <row r="2163">
      <c r="A2163" s="485" t="n">
        <v>29</v>
      </c>
      <c r="B2163" s="485" t="n">
        <v>2</v>
      </c>
      <c r="C2163" s="485" t="n">
        <v>2</v>
      </c>
      <c r="D2163" s="485" t="n">
        <v>1</v>
      </c>
      <c r="E2163" s="485" t="n">
        <v>1</v>
      </c>
      <c r="F2163" s="485" t="n">
        <v>2</v>
      </c>
      <c r="G2163" s="485" t="inlineStr">
        <is>
          <t>West-Up2</t>
        </is>
      </c>
      <c r="H2163" s="485" t="n">
        <v>0</v>
      </c>
      <c r="I2163" s="485" t="n">
        <v>0</v>
      </c>
      <c r="J2163" s="485" t="n">
        <v>0</v>
      </c>
      <c r="K2163" s="485" t="n">
        <v>0</v>
      </c>
      <c r="L2163" s="485" t="n">
        <v>0</v>
      </c>
      <c r="M2163" s="514" t="inlineStr">
        <is>
          <t>T</t>
        </is>
      </c>
    </row>
    <row r="2164">
      <c r="A2164" s="485" t="n">
        <v>29</v>
      </c>
      <c r="B2164" s="485" t="n">
        <v>2</v>
      </c>
      <c r="C2164" s="485" t="n">
        <v>2</v>
      </c>
      <c r="D2164" s="485" t="n">
        <v>1</v>
      </c>
      <c r="E2164" s="485" t="n">
        <v>1</v>
      </c>
      <c r="F2164" s="485" t="n">
        <v>2</v>
      </c>
      <c r="G2164" s="516" t="inlineStr">
        <is>
          <t>West-Up1</t>
        </is>
      </c>
      <c r="H2164" s="485" t="n">
        <v>5275.05</v>
      </c>
      <c r="I2164" s="485" t="n">
        <v>0</v>
      </c>
      <c r="J2164" s="485" t="n">
        <v>4</v>
      </c>
      <c r="K2164" s="485" t="n">
        <v>36</v>
      </c>
      <c r="L2164" s="485" t="n">
        <v>4</v>
      </c>
      <c r="M2164" s="514" t="inlineStr">
        <is>
          <t>T</t>
        </is>
      </c>
    </row>
    <row r="2165">
      <c r="A2165" s="485" t="n">
        <v>29</v>
      </c>
      <c r="B2165" s="485" t="n">
        <v>2</v>
      </c>
      <c r="C2165" s="485" t="n">
        <v>2</v>
      </c>
      <c r="D2165" s="485" t="n">
        <v>1</v>
      </c>
      <c r="E2165" s="485" t="n">
        <v>1</v>
      </c>
      <c r="F2165" s="485" t="n">
        <v>2</v>
      </c>
      <c r="G2165" s="485" t="inlineStr">
        <is>
          <t>West-Down1</t>
        </is>
      </c>
      <c r="H2165" s="485" t="n">
        <v>0</v>
      </c>
      <c r="I2165" s="485" t="n">
        <v>0</v>
      </c>
      <c r="J2165" s="485" t="n">
        <v>0</v>
      </c>
      <c r="K2165" s="485" t="n">
        <v>0</v>
      </c>
      <c r="L2165" s="485" t="n">
        <v>0</v>
      </c>
      <c r="M2165" s="514" t="inlineStr">
        <is>
          <t>T</t>
        </is>
      </c>
    </row>
    <row r="2166">
      <c r="A2166" s="485" t="n">
        <v>29</v>
      </c>
      <c r="B2166" s="485" t="n">
        <v>2</v>
      </c>
      <c r="C2166" s="485" t="n">
        <v>2</v>
      </c>
      <c r="D2166" s="485" t="n">
        <v>1</v>
      </c>
      <c r="E2166" s="485" t="n">
        <v>1</v>
      </c>
      <c r="F2166" s="485" t="n">
        <v>2</v>
      </c>
      <c r="G2166" s="485" t="inlineStr">
        <is>
          <t>West-Down2</t>
        </is>
      </c>
      <c r="H2166" s="485" t="n">
        <v>0</v>
      </c>
      <c r="I2166" s="485" t="n">
        <v>0</v>
      </c>
      <c r="J2166" s="485" t="n">
        <v>0</v>
      </c>
      <c r="K2166" s="485" t="n">
        <v>0</v>
      </c>
      <c r="L2166" s="485" t="n">
        <v>0</v>
      </c>
      <c r="M2166" s="514" t="inlineStr">
        <is>
          <t>T</t>
        </is>
      </c>
    </row>
    <row r="2167">
      <c r="A2167" s="485" t="n">
        <v>29</v>
      </c>
      <c r="B2167" s="485" t="n">
        <v>2</v>
      </c>
      <c r="C2167" s="485" t="n">
        <v>2</v>
      </c>
      <c r="D2167" s="485" t="n">
        <v>1</v>
      </c>
      <c r="E2167" s="485" t="n">
        <v>1</v>
      </c>
      <c r="F2167" s="485" t="n">
        <v>2</v>
      </c>
      <c r="G2167" s="485" t="inlineStr">
        <is>
          <t>East-Up2</t>
        </is>
      </c>
      <c r="H2167" s="485" t="n">
        <v>0</v>
      </c>
      <c r="I2167" s="485" t="n">
        <v>0</v>
      </c>
      <c r="J2167" s="485" t="n">
        <v>0</v>
      </c>
      <c r="K2167" s="485" t="n">
        <v>0</v>
      </c>
      <c r="L2167" s="485" t="n">
        <v>0</v>
      </c>
      <c r="M2167" s="514" t="inlineStr">
        <is>
          <t>T</t>
        </is>
      </c>
    </row>
    <row r="2168">
      <c r="A2168" s="485" t="n">
        <v>29</v>
      </c>
      <c r="B2168" s="485" t="n">
        <v>2</v>
      </c>
      <c r="C2168" s="485" t="n">
        <v>2</v>
      </c>
      <c r="D2168" s="485" t="n">
        <v>1</v>
      </c>
      <c r="E2168" s="485" t="n">
        <v>1</v>
      </c>
      <c r="F2168" s="485" t="n">
        <v>2</v>
      </c>
      <c r="G2168" s="516" t="inlineStr">
        <is>
          <t>East-Up1</t>
        </is>
      </c>
      <c r="H2168" s="485" t="n">
        <v>5284.46</v>
      </c>
      <c r="I2168" s="485" t="n">
        <v>0</v>
      </c>
      <c r="J2168" s="485" t="n">
        <v>0</v>
      </c>
      <c r="K2168" s="485" t="n">
        <v>40</v>
      </c>
      <c r="L2168" s="485" t="n">
        <v>4</v>
      </c>
      <c r="M2168" s="514" t="inlineStr">
        <is>
          <t>T</t>
        </is>
      </c>
    </row>
    <row r="2169">
      <c r="A2169" s="485" t="n">
        <v>29</v>
      </c>
      <c r="B2169" s="485" t="n">
        <v>2</v>
      </c>
      <c r="C2169" s="485" t="n">
        <v>2</v>
      </c>
      <c r="D2169" s="485" t="n">
        <v>1</v>
      </c>
      <c r="E2169" s="485" t="n">
        <v>1</v>
      </c>
      <c r="F2169" s="485" t="n">
        <v>2</v>
      </c>
      <c r="G2169" s="485" t="inlineStr">
        <is>
          <t>East-Down1</t>
        </is>
      </c>
      <c r="H2169" s="485" t="n">
        <v>0</v>
      </c>
      <c r="I2169" s="485" t="n">
        <v>0</v>
      </c>
      <c r="J2169" s="485" t="n">
        <v>0</v>
      </c>
      <c r="K2169" s="485" t="n">
        <v>0</v>
      </c>
      <c r="L2169" s="485" t="n">
        <v>0</v>
      </c>
      <c r="M2169" s="514" t="inlineStr">
        <is>
          <t>T</t>
        </is>
      </c>
    </row>
    <row r="2170">
      <c r="A2170" s="485" t="n">
        <v>29</v>
      </c>
      <c r="B2170" s="485" t="n">
        <v>2</v>
      </c>
      <c r="C2170" s="485" t="n">
        <v>2</v>
      </c>
      <c r="D2170" s="485" t="n">
        <v>1</v>
      </c>
      <c r="E2170" s="485" t="n">
        <v>1</v>
      </c>
      <c r="F2170" s="485" t="n">
        <v>2</v>
      </c>
      <c r="G2170" s="485" t="inlineStr">
        <is>
          <t>East-Down2</t>
        </is>
      </c>
      <c r="H2170" s="485" t="n">
        <v>0</v>
      </c>
      <c r="I2170" s="485" t="n">
        <v>0</v>
      </c>
      <c r="J2170" s="485" t="n">
        <v>0</v>
      </c>
      <c r="K2170" s="485" t="n">
        <v>0</v>
      </c>
      <c r="L2170" s="485" t="n">
        <v>0</v>
      </c>
      <c r="M2170" s="514" t="inlineStr">
        <is>
          <t>T</t>
        </is>
      </c>
    </row>
    <row r="2171">
      <c r="A2171" s="485" t="n">
        <v>29</v>
      </c>
      <c r="B2171" s="485" t="n">
        <v>2</v>
      </c>
      <c r="C2171" s="485" t="n">
        <v>2</v>
      </c>
      <c r="D2171" s="485" t="n">
        <v>1</v>
      </c>
      <c r="E2171" s="485" t="n">
        <v>1</v>
      </c>
      <c r="F2171" s="485" t="n">
        <v>2</v>
      </c>
      <c r="G2171" s="485" t="inlineStr">
        <is>
          <t>North-Left2</t>
        </is>
      </c>
      <c r="H2171" s="485" t="n">
        <v>0</v>
      </c>
      <c r="I2171" s="485" t="n">
        <v>0</v>
      </c>
      <c r="J2171" s="485" t="n">
        <v>0</v>
      </c>
      <c r="K2171" s="485" t="n">
        <v>0</v>
      </c>
      <c r="L2171" s="485" t="n">
        <v>0</v>
      </c>
      <c r="M2171" s="514" t="inlineStr">
        <is>
          <t>T</t>
        </is>
      </c>
    </row>
    <row r="2172">
      <c r="A2172" s="485" t="n">
        <v>29</v>
      </c>
      <c r="B2172" s="485" t="n">
        <v>2</v>
      </c>
      <c r="C2172" s="485" t="n">
        <v>2</v>
      </c>
      <c r="D2172" s="485" t="n">
        <v>1</v>
      </c>
      <c r="E2172" s="485" t="n">
        <v>1</v>
      </c>
      <c r="F2172" s="485" t="n">
        <v>2</v>
      </c>
      <c r="G2172" s="516" t="inlineStr">
        <is>
          <t>North-Left1</t>
        </is>
      </c>
      <c r="H2172" s="485" t="n">
        <v>2611.19</v>
      </c>
      <c r="I2172" s="485" t="n">
        <v>89</v>
      </c>
      <c r="J2172" s="485" t="n">
        <v>57</v>
      </c>
      <c r="K2172" s="485" t="n">
        <v>9</v>
      </c>
      <c r="L2172" s="485" t="n">
        <v>4</v>
      </c>
      <c r="M2172" s="514" t="inlineStr">
        <is>
          <t>T</t>
        </is>
      </c>
    </row>
    <row r="2173">
      <c r="A2173" s="485" t="n">
        <v>29</v>
      </c>
      <c r="B2173" s="485" t="n">
        <v>2</v>
      </c>
      <c r="C2173" s="485" t="n">
        <v>2</v>
      </c>
      <c r="D2173" s="485" t="n">
        <v>1</v>
      </c>
      <c r="E2173" s="485" t="n">
        <v>1</v>
      </c>
      <c r="F2173" s="485" t="n">
        <v>2</v>
      </c>
      <c r="G2173" s="485" t="inlineStr">
        <is>
          <t>North-Right1</t>
        </is>
      </c>
      <c r="H2173" s="485" t="n">
        <v>2636.95</v>
      </c>
      <c r="I2173" s="485" t="n">
        <v>89</v>
      </c>
      <c r="J2173" s="485" t="n">
        <v>51</v>
      </c>
      <c r="K2173" s="485" t="n">
        <v>31</v>
      </c>
      <c r="L2173" s="485" t="n">
        <v>4</v>
      </c>
      <c r="M2173" s="514" t="inlineStr">
        <is>
          <t>T</t>
        </is>
      </c>
    </row>
    <row r="2174">
      <c r="A2174" s="485" t="n">
        <v>29</v>
      </c>
      <c r="B2174" s="485" t="n">
        <v>2</v>
      </c>
      <c r="C2174" s="485" t="n">
        <v>2</v>
      </c>
      <c r="D2174" s="485" t="n">
        <v>1</v>
      </c>
      <c r="E2174" s="485" t="n">
        <v>1</v>
      </c>
      <c r="F2174" s="485" t="n">
        <v>2</v>
      </c>
      <c r="G2174" s="485" t="inlineStr">
        <is>
          <t>North-Right2</t>
        </is>
      </c>
      <c r="H2174" s="485" t="n">
        <v>0</v>
      </c>
      <c r="I2174" s="485" t="n">
        <v>0</v>
      </c>
      <c r="J2174" s="485" t="n">
        <v>0</v>
      </c>
      <c r="K2174" s="485" t="n">
        <v>0</v>
      </c>
      <c r="L2174" s="485" t="n">
        <v>0</v>
      </c>
      <c r="M2174" s="514" t="inlineStr">
        <is>
          <t>T</t>
        </is>
      </c>
    </row>
    <row r="2175">
      <c r="A2175" s="485" t="n">
        <v>29</v>
      </c>
      <c r="B2175" s="485" t="n">
        <v>2</v>
      </c>
      <c r="C2175" s="485" t="n">
        <v>2</v>
      </c>
      <c r="D2175" s="485" t="n">
        <v>1</v>
      </c>
      <c r="E2175" s="485" t="n">
        <v>1</v>
      </c>
      <c r="F2175" s="485" t="n">
        <v>2</v>
      </c>
      <c r="G2175" s="485" t="inlineStr">
        <is>
          <t>South-Left2</t>
        </is>
      </c>
      <c r="H2175" s="485" t="n">
        <v>0</v>
      </c>
      <c r="I2175" s="485" t="n">
        <v>0</v>
      </c>
      <c r="J2175" s="485" t="n">
        <v>0</v>
      </c>
      <c r="K2175" s="485" t="n">
        <v>0</v>
      </c>
      <c r="L2175" s="485" t="n">
        <v>0</v>
      </c>
      <c r="M2175" s="514" t="inlineStr">
        <is>
          <t>T</t>
        </is>
      </c>
    </row>
    <row r="2176">
      <c r="A2176" s="485" t="n">
        <v>29</v>
      </c>
      <c r="B2176" s="485" t="n">
        <v>2</v>
      </c>
      <c r="C2176" s="485" t="n">
        <v>2</v>
      </c>
      <c r="D2176" s="485" t="n">
        <v>1</v>
      </c>
      <c r="E2176" s="485" t="n">
        <v>1</v>
      </c>
      <c r="F2176" s="485" t="n">
        <v>2</v>
      </c>
      <c r="G2176" s="516" t="inlineStr">
        <is>
          <t>South-Left1</t>
        </is>
      </c>
      <c r="H2176" s="486" t="n">
        <v>5283.22</v>
      </c>
      <c r="I2176" s="486" t="n">
        <v>89</v>
      </c>
      <c r="J2176" s="486" t="n">
        <v>48</v>
      </c>
      <c r="K2176" s="486" t="n">
        <v>53</v>
      </c>
      <c r="L2176" s="486" t="n">
        <v>4</v>
      </c>
      <c r="M2176" s="514" t="inlineStr">
        <is>
          <t>T</t>
        </is>
      </c>
    </row>
    <row r="2177">
      <c r="A2177" s="485" t="n">
        <v>29</v>
      </c>
      <c r="B2177" s="485" t="n">
        <v>2</v>
      </c>
      <c r="C2177" s="485" t="n">
        <v>2</v>
      </c>
      <c r="D2177" s="485" t="n">
        <v>1</v>
      </c>
      <c r="E2177" s="485" t="n">
        <v>1</v>
      </c>
      <c r="F2177" s="485" t="n">
        <v>2</v>
      </c>
      <c r="G2177" s="485" t="inlineStr">
        <is>
          <t>South-Right1</t>
        </is>
      </c>
      <c r="H2177" s="485" t="n">
        <v>0</v>
      </c>
      <c r="I2177" s="485" t="n">
        <v>0</v>
      </c>
      <c r="J2177" s="485" t="n">
        <v>0</v>
      </c>
      <c r="K2177" s="485" t="n">
        <v>0</v>
      </c>
      <c r="L2177" s="485" t="n">
        <v>0</v>
      </c>
      <c r="M2177" s="514" t="inlineStr">
        <is>
          <t>T</t>
        </is>
      </c>
    </row>
    <row r="2178">
      <c r="A2178" s="485" t="n">
        <v>29</v>
      </c>
      <c r="B2178" s="485" t="n">
        <v>2</v>
      </c>
      <c r="C2178" s="485" t="n">
        <v>2</v>
      </c>
      <c r="D2178" s="485" t="n">
        <v>1</v>
      </c>
      <c r="E2178" s="485" t="n">
        <v>1</v>
      </c>
      <c r="F2178" s="485" t="n">
        <v>2</v>
      </c>
      <c r="G2178" s="485" t="inlineStr">
        <is>
          <t>South-Right2</t>
        </is>
      </c>
      <c r="H2178" s="485" t="n">
        <v>0</v>
      </c>
      <c r="I2178" s="485" t="n">
        <v>0</v>
      </c>
      <c r="J2178" s="485" t="n">
        <v>0</v>
      </c>
      <c r="K2178" s="485" t="n">
        <v>0</v>
      </c>
      <c r="L2178" s="485" t="n">
        <v>0</v>
      </c>
      <c r="M2178" s="514" t="inlineStr">
        <is>
          <t>T</t>
        </is>
      </c>
    </row>
    <row r="2179">
      <c r="A2179" s="486" t="n">
        <v>29</v>
      </c>
      <c r="B2179" s="486" t="n">
        <v>2</v>
      </c>
      <c r="C2179" s="486" t="n">
        <v>2</v>
      </c>
      <c r="D2179" s="486" t="n">
        <v>3</v>
      </c>
      <c r="E2179" s="486" t="n">
        <v>2</v>
      </c>
      <c r="F2179" s="486" t="n">
        <v>2</v>
      </c>
      <c r="G2179" s="486" t="inlineStr">
        <is>
          <t>West-Up2</t>
        </is>
      </c>
      <c r="H2179" s="486" t="n">
        <v>0</v>
      </c>
      <c r="I2179" s="486" t="n">
        <v>0</v>
      </c>
      <c r="J2179" s="486" t="n">
        <v>0</v>
      </c>
      <c r="K2179" s="486" t="n">
        <v>0</v>
      </c>
      <c r="L2179" s="486" t="n">
        <v>0</v>
      </c>
      <c r="M2179" s="487" t="inlineStr">
        <is>
          <t>T</t>
        </is>
      </c>
    </row>
    <row r="2180">
      <c r="A2180" s="486" t="n">
        <v>29</v>
      </c>
      <c r="B2180" s="486" t="n">
        <v>2</v>
      </c>
      <c r="C2180" s="486" t="n">
        <v>2</v>
      </c>
      <c r="D2180" s="486" t="n">
        <v>3</v>
      </c>
      <c r="E2180" s="486" t="n">
        <v>2</v>
      </c>
      <c r="F2180" s="486" t="n">
        <v>2</v>
      </c>
      <c r="G2180" s="475" t="inlineStr">
        <is>
          <t>West-Up1</t>
        </is>
      </c>
      <c r="H2180" s="486" t="n">
        <v>5212.57</v>
      </c>
      <c r="I2180" s="486" t="n">
        <v>0</v>
      </c>
      <c r="J2180" s="486" t="n">
        <v>12</v>
      </c>
      <c r="K2180" s="486" t="n">
        <v>50</v>
      </c>
      <c r="L2180" s="486" t="n">
        <v>4</v>
      </c>
      <c r="M2180" s="487" t="inlineStr">
        <is>
          <t>T</t>
        </is>
      </c>
    </row>
    <row r="2181">
      <c r="A2181" s="486" t="n">
        <v>29</v>
      </c>
      <c r="B2181" s="486" t="n">
        <v>2</v>
      </c>
      <c r="C2181" s="486" t="n">
        <v>2</v>
      </c>
      <c r="D2181" s="486" t="n">
        <v>3</v>
      </c>
      <c r="E2181" s="486" t="n">
        <v>2</v>
      </c>
      <c r="F2181" s="486" t="n">
        <v>2</v>
      </c>
      <c r="G2181" s="486" t="inlineStr">
        <is>
          <t>West-Down1</t>
        </is>
      </c>
      <c r="H2181" s="486" t="n">
        <v>0</v>
      </c>
      <c r="I2181" s="486" t="n">
        <v>0</v>
      </c>
      <c r="J2181" s="486" t="n">
        <v>0</v>
      </c>
      <c r="K2181" s="486" t="n">
        <v>0</v>
      </c>
      <c r="L2181" s="486" t="n">
        <v>0</v>
      </c>
      <c r="M2181" s="487" t="inlineStr">
        <is>
          <t>T</t>
        </is>
      </c>
    </row>
    <row r="2182">
      <c r="A2182" s="486" t="n">
        <v>29</v>
      </c>
      <c r="B2182" s="486" t="n">
        <v>2</v>
      </c>
      <c r="C2182" s="486" t="n">
        <v>2</v>
      </c>
      <c r="D2182" s="486" t="n">
        <v>3</v>
      </c>
      <c r="E2182" s="486" t="n">
        <v>2</v>
      </c>
      <c r="F2182" s="486" t="n">
        <v>2</v>
      </c>
      <c r="G2182" s="486" t="inlineStr">
        <is>
          <t>West-Down2</t>
        </is>
      </c>
      <c r="H2182" s="486" t="n">
        <v>0</v>
      </c>
      <c r="I2182" s="486" t="n">
        <v>0</v>
      </c>
      <c r="J2182" s="486" t="n">
        <v>0</v>
      </c>
      <c r="K2182" s="486" t="n">
        <v>0</v>
      </c>
      <c r="L2182" s="486" t="n">
        <v>0</v>
      </c>
      <c r="M2182" s="487" t="inlineStr">
        <is>
          <t>T</t>
        </is>
      </c>
    </row>
    <row r="2183">
      <c r="A2183" s="486" t="n">
        <v>29</v>
      </c>
      <c r="B2183" s="486" t="n">
        <v>2</v>
      </c>
      <c r="C2183" s="486" t="n">
        <v>2</v>
      </c>
      <c r="D2183" s="486" t="n">
        <v>3</v>
      </c>
      <c r="E2183" s="486" t="n">
        <v>2</v>
      </c>
      <c r="F2183" s="486" t="n">
        <v>2</v>
      </c>
      <c r="G2183" s="486" t="inlineStr">
        <is>
          <t>East-Up2</t>
        </is>
      </c>
      <c r="H2183" s="486" t="n">
        <v>0</v>
      </c>
      <c r="I2183" s="486" t="n">
        <v>0</v>
      </c>
      <c r="J2183" s="486" t="n">
        <v>0</v>
      </c>
      <c r="K2183" s="486" t="n">
        <v>0</v>
      </c>
      <c r="L2183" s="486" t="n">
        <v>0</v>
      </c>
      <c r="M2183" s="487" t="inlineStr">
        <is>
          <t>T</t>
        </is>
      </c>
    </row>
    <row r="2184">
      <c r="A2184" s="486" t="n">
        <v>29</v>
      </c>
      <c r="B2184" s="486" t="n">
        <v>2</v>
      </c>
      <c r="C2184" s="486" t="n">
        <v>2</v>
      </c>
      <c r="D2184" s="486" t="n">
        <v>3</v>
      </c>
      <c r="E2184" s="486" t="n">
        <v>2</v>
      </c>
      <c r="F2184" s="486" t="n">
        <v>2</v>
      </c>
      <c r="G2184" s="475" t="inlineStr">
        <is>
          <t>East-Up1</t>
        </is>
      </c>
      <c r="H2184" s="486" t="n">
        <v>5302.29</v>
      </c>
      <c r="I2184" s="486" t="n">
        <v>0</v>
      </c>
      <c r="J2184" s="486" t="n">
        <v>5</v>
      </c>
      <c r="K2184" s="486" t="n">
        <v>57</v>
      </c>
      <c r="L2184" s="486" t="n">
        <v>3</v>
      </c>
      <c r="M2184" s="487" t="inlineStr">
        <is>
          <t>T</t>
        </is>
      </c>
    </row>
    <row r="2185">
      <c r="A2185" s="486" t="n">
        <v>29</v>
      </c>
      <c r="B2185" s="486" t="n">
        <v>2</v>
      </c>
      <c r="C2185" s="486" t="n">
        <v>2</v>
      </c>
      <c r="D2185" s="486" t="n">
        <v>3</v>
      </c>
      <c r="E2185" s="486" t="n">
        <v>2</v>
      </c>
      <c r="F2185" s="486" t="n">
        <v>2</v>
      </c>
      <c r="G2185" s="486" t="inlineStr">
        <is>
          <t>East-Down1</t>
        </is>
      </c>
      <c r="H2185" s="486" t="n">
        <v>0</v>
      </c>
      <c r="I2185" s="486" t="n">
        <v>0</v>
      </c>
      <c r="J2185" s="486" t="n">
        <v>0</v>
      </c>
      <c r="K2185" s="486" t="n">
        <v>0</v>
      </c>
      <c r="L2185" s="486" t="n">
        <v>0</v>
      </c>
      <c r="M2185" s="487" t="inlineStr">
        <is>
          <t>T</t>
        </is>
      </c>
    </row>
    <row r="2186">
      <c r="A2186" s="486" t="n">
        <v>29</v>
      </c>
      <c r="B2186" s="486" t="n">
        <v>2</v>
      </c>
      <c r="C2186" s="486" t="n">
        <v>2</v>
      </c>
      <c r="D2186" s="486" t="n">
        <v>3</v>
      </c>
      <c r="E2186" s="486" t="n">
        <v>2</v>
      </c>
      <c r="F2186" s="486" t="n">
        <v>2</v>
      </c>
      <c r="G2186" s="486" t="inlineStr">
        <is>
          <t>East-Down2</t>
        </is>
      </c>
      <c r="H2186" s="486" t="n">
        <v>0</v>
      </c>
      <c r="I2186" s="486" t="n">
        <v>0</v>
      </c>
      <c r="J2186" s="486" t="n">
        <v>0</v>
      </c>
      <c r="K2186" s="486" t="n">
        <v>0</v>
      </c>
      <c r="L2186" s="486" t="n">
        <v>0</v>
      </c>
      <c r="M2186" s="487" t="inlineStr">
        <is>
          <t>T</t>
        </is>
      </c>
    </row>
    <row r="2187">
      <c r="A2187" s="486" t="n">
        <v>29</v>
      </c>
      <c r="B2187" s="486" t="n">
        <v>2</v>
      </c>
      <c r="C2187" s="486" t="n">
        <v>2</v>
      </c>
      <c r="D2187" s="486" t="n">
        <v>3</v>
      </c>
      <c r="E2187" s="486" t="n">
        <v>2</v>
      </c>
      <c r="F2187" s="486" t="n">
        <v>2</v>
      </c>
      <c r="G2187" s="486" t="inlineStr">
        <is>
          <t>North-Left2</t>
        </is>
      </c>
      <c r="H2187" s="486" t="n">
        <v>1325.66</v>
      </c>
      <c r="I2187" s="486" t="n">
        <v>88</v>
      </c>
      <c r="J2187" s="486" t="n">
        <v>57</v>
      </c>
      <c r="K2187" s="486" t="n">
        <v>0</v>
      </c>
      <c r="L2187" s="486" t="n">
        <v>2</v>
      </c>
      <c r="M2187" s="487" t="inlineStr">
        <is>
          <t>T</t>
        </is>
      </c>
    </row>
    <row r="2188">
      <c r="A2188" s="486" t="n">
        <v>29</v>
      </c>
      <c r="B2188" s="486" t="n">
        <v>2</v>
      </c>
      <c r="C2188" s="486" t="n">
        <v>2</v>
      </c>
      <c r="D2188" s="486" t="n">
        <v>3</v>
      </c>
      <c r="E2188" s="486" t="n">
        <v>2</v>
      </c>
      <c r="F2188" s="486" t="n">
        <v>2</v>
      </c>
      <c r="G2188" s="475" t="inlineStr">
        <is>
          <t>North-Left1</t>
        </is>
      </c>
      <c r="H2188" s="486" t="n">
        <v>3977</v>
      </c>
      <c r="I2188" s="486" t="n">
        <v>88</v>
      </c>
      <c r="J2188" s="486" t="n">
        <v>57</v>
      </c>
      <c r="K2188" s="486" t="n">
        <v>0</v>
      </c>
      <c r="L2188" s="486" t="n">
        <v>2</v>
      </c>
      <c r="M2188" s="487" t="inlineStr">
        <is>
          <t>T</t>
        </is>
      </c>
    </row>
    <row r="2189">
      <c r="A2189" s="486" t="n">
        <v>29</v>
      </c>
      <c r="B2189" s="486" t="n">
        <v>2</v>
      </c>
      <c r="C2189" s="486" t="n">
        <v>2</v>
      </c>
      <c r="D2189" s="486" t="n">
        <v>3</v>
      </c>
      <c r="E2189" s="486" t="n">
        <v>2</v>
      </c>
      <c r="F2189" s="486" t="n">
        <v>2</v>
      </c>
      <c r="G2189" s="486" t="inlineStr">
        <is>
          <t>North-Right1</t>
        </is>
      </c>
      <c r="H2189" s="486" t="n">
        <v>0</v>
      </c>
      <c r="I2189" s="486" t="n">
        <v>0</v>
      </c>
      <c r="J2189" s="486" t="n">
        <v>0</v>
      </c>
      <c r="K2189" s="486" t="n">
        <v>0</v>
      </c>
      <c r="L2189" s="486" t="n">
        <v>0</v>
      </c>
      <c r="M2189" s="487" t="inlineStr">
        <is>
          <t>T</t>
        </is>
      </c>
    </row>
    <row r="2190">
      <c r="A2190" s="486" t="n">
        <v>29</v>
      </c>
      <c r="B2190" s="486" t="n">
        <v>2</v>
      </c>
      <c r="C2190" s="486" t="n">
        <v>2</v>
      </c>
      <c r="D2190" s="486" t="n">
        <v>3</v>
      </c>
      <c r="E2190" s="486" t="n">
        <v>2</v>
      </c>
      <c r="F2190" s="486" t="n">
        <v>2</v>
      </c>
      <c r="G2190" s="486" t="inlineStr">
        <is>
          <t>North-Right2</t>
        </is>
      </c>
      <c r="H2190" s="486" t="n">
        <v>0</v>
      </c>
      <c r="I2190" s="486" t="n">
        <v>0</v>
      </c>
      <c r="J2190" s="486" t="n">
        <v>0</v>
      </c>
      <c r="K2190" s="486" t="n">
        <v>0</v>
      </c>
      <c r="L2190" s="486" t="n">
        <v>0</v>
      </c>
      <c r="M2190" s="487" t="inlineStr">
        <is>
          <t>T</t>
        </is>
      </c>
    </row>
    <row r="2191">
      <c r="A2191" s="486" t="n">
        <v>29</v>
      </c>
      <c r="B2191" s="486" t="n">
        <v>2</v>
      </c>
      <c r="C2191" s="486" t="n">
        <v>2</v>
      </c>
      <c r="D2191" s="486" t="n">
        <v>3</v>
      </c>
      <c r="E2191" s="486" t="n">
        <v>2</v>
      </c>
      <c r="F2191" s="486" t="n">
        <v>2</v>
      </c>
      <c r="G2191" s="486" t="inlineStr">
        <is>
          <t>South-Left2</t>
        </is>
      </c>
      <c r="H2191" s="486" t="n">
        <v>0</v>
      </c>
      <c r="I2191" s="486" t="n">
        <v>0</v>
      </c>
      <c r="J2191" s="486" t="n">
        <v>0</v>
      </c>
      <c r="K2191" s="486" t="n">
        <v>0</v>
      </c>
      <c r="L2191" s="486" t="n">
        <v>0</v>
      </c>
      <c r="M2191" s="487" t="inlineStr">
        <is>
          <t>T</t>
        </is>
      </c>
    </row>
    <row r="2192">
      <c r="A2192" s="486" t="n">
        <v>29</v>
      </c>
      <c r="B2192" s="486" t="n">
        <v>2</v>
      </c>
      <c r="C2192" s="486" t="n">
        <v>2</v>
      </c>
      <c r="D2192" s="486" t="n">
        <v>3</v>
      </c>
      <c r="E2192" s="486" t="n">
        <v>2</v>
      </c>
      <c r="F2192" s="486" t="n">
        <v>2</v>
      </c>
      <c r="G2192" s="475" t="inlineStr">
        <is>
          <t>South-Left1</t>
        </is>
      </c>
      <c r="H2192" s="486" t="n">
        <v>5273.15</v>
      </c>
      <c r="I2192" s="486" t="n">
        <v>89</v>
      </c>
      <c r="J2192" s="486" t="n">
        <v>55</v>
      </c>
      <c r="K2192" s="486" t="n">
        <v>10</v>
      </c>
      <c r="L2192" s="486" t="n">
        <v>3</v>
      </c>
      <c r="M2192" s="487" t="inlineStr">
        <is>
          <t>T</t>
        </is>
      </c>
    </row>
    <row r="2193">
      <c r="A2193" s="486" t="n">
        <v>29</v>
      </c>
      <c r="B2193" s="486" t="n">
        <v>2</v>
      </c>
      <c r="C2193" s="486" t="n">
        <v>2</v>
      </c>
      <c r="D2193" s="486" t="n">
        <v>3</v>
      </c>
      <c r="E2193" s="486" t="n">
        <v>2</v>
      </c>
      <c r="F2193" s="486" t="n">
        <v>2</v>
      </c>
      <c r="G2193" s="486" t="inlineStr">
        <is>
          <t>South-Right1</t>
        </is>
      </c>
      <c r="H2193" s="486" t="n">
        <v>0</v>
      </c>
      <c r="I2193" s="486" t="n">
        <v>0</v>
      </c>
      <c r="J2193" s="486" t="n">
        <v>0</v>
      </c>
      <c r="K2193" s="486" t="n">
        <v>0</v>
      </c>
      <c r="L2193" s="486" t="n">
        <v>0</v>
      </c>
      <c r="M2193" s="487" t="inlineStr">
        <is>
          <t>T</t>
        </is>
      </c>
    </row>
    <row r="2194">
      <c r="A2194" s="486" t="n">
        <v>29</v>
      </c>
      <c r="B2194" s="486" t="n">
        <v>2</v>
      </c>
      <c r="C2194" s="486" t="n">
        <v>2</v>
      </c>
      <c r="D2194" s="486" t="n">
        <v>3</v>
      </c>
      <c r="E2194" s="486" t="n">
        <v>2</v>
      </c>
      <c r="F2194" s="486" t="n">
        <v>2</v>
      </c>
      <c r="G2194" s="486" t="inlineStr">
        <is>
          <t>South-Right2</t>
        </is>
      </c>
      <c r="H2194" s="486" t="n">
        <v>0</v>
      </c>
      <c r="I2194" s="486" t="n">
        <v>0</v>
      </c>
      <c r="J2194" s="486" t="n">
        <v>0</v>
      </c>
      <c r="K2194" s="486" t="n">
        <v>0</v>
      </c>
      <c r="L2194" s="486" t="n">
        <v>0</v>
      </c>
      <c r="M2194" s="487" t="inlineStr">
        <is>
          <t>T</t>
        </is>
      </c>
    </row>
    <row r="2195">
      <c r="A2195" s="485" t="n">
        <v>29</v>
      </c>
      <c r="B2195" s="485" t="n">
        <v>3</v>
      </c>
      <c r="C2195" s="485" t="n">
        <v>2</v>
      </c>
      <c r="D2195" s="485" t="n">
        <v>1</v>
      </c>
      <c r="E2195" s="485" t="n">
        <v>1</v>
      </c>
      <c r="F2195" s="485" t="n">
        <v>2</v>
      </c>
      <c r="G2195" s="485" t="inlineStr">
        <is>
          <t>West-Up2</t>
        </is>
      </c>
      <c r="H2195" s="485" t="n">
        <v>0</v>
      </c>
      <c r="I2195" s="485" t="n">
        <v>0</v>
      </c>
      <c r="J2195" s="485" t="n">
        <v>0</v>
      </c>
      <c r="K2195" s="485" t="n">
        <v>0</v>
      </c>
      <c r="L2195" s="485" t="n">
        <v>0</v>
      </c>
      <c r="M2195" s="514" t="inlineStr">
        <is>
          <t>G</t>
        </is>
      </c>
    </row>
    <row r="2196">
      <c r="A2196" s="485" t="n">
        <v>29</v>
      </c>
      <c r="B2196" s="485" t="n">
        <v>3</v>
      </c>
      <c r="C2196" s="485" t="n">
        <v>2</v>
      </c>
      <c r="D2196" s="485" t="n">
        <v>1</v>
      </c>
      <c r="E2196" s="485" t="n">
        <v>1</v>
      </c>
      <c r="F2196" s="485" t="n">
        <v>2</v>
      </c>
      <c r="G2196" s="485" t="inlineStr">
        <is>
          <t>West-Up1</t>
        </is>
      </c>
      <c r="H2196" s="485" t="n">
        <v>5258.11</v>
      </c>
      <c r="I2196" s="485" t="n">
        <v>0</v>
      </c>
      <c r="J2196" s="485" t="n">
        <v>50</v>
      </c>
      <c r="K2196" s="485" t="n">
        <v>14</v>
      </c>
      <c r="L2196" s="485" t="n">
        <v>4</v>
      </c>
      <c r="M2196" s="514" t="inlineStr">
        <is>
          <t>G</t>
        </is>
      </c>
    </row>
    <row r="2197">
      <c r="A2197" s="485" t="n">
        <v>29</v>
      </c>
      <c r="B2197" s="485" t="n">
        <v>3</v>
      </c>
      <c r="C2197" s="485" t="n">
        <v>2</v>
      </c>
      <c r="D2197" s="485" t="n">
        <v>1</v>
      </c>
      <c r="E2197" s="485" t="n">
        <v>1</v>
      </c>
      <c r="F2197" s="485" t="n">
        <v>2</v>
      </c>
      <c r="G2197" s="485" t="inlineStr">
        <is>
          <t>West-Down1</t>
        </is>
      </c>
      <c r="H2197" s="485" t="n">
        <v>0</v>
      </c>
      <c r="I2197" s="485" t="n">
        <v>0</v>
      </c>
      <c r="J2197" s="485" t="n">
        <v>0</v>
      </c>
      <c r="K2197" s="485" t="n">
        <v>0</v>
      </c>
      <c r="L2197" s="485" t="n">
        <v>0</v>
      </c>
      <c r="M2197" s="514" t="inlineStr">
        <is>
          <t>G</t>
        </is>
      </c>
    </row>
    <row r="2198">
      <c r="A2198" s="485" t="n">
        <v>29</v>
      </c>
      <c r="B2198" s="485" t="n">
        <v>3</v>
      </c>
      <c r="C2198" s="485" t="n">
        <v>2</v>
      </c>
      <c r="D2198" s="485" t="n">
        <v>1</v>
      </c>
      <c r="E2198" s="485" t="n">
        <v>1</v>
      </c>
      <c r="F2198" s="485" t="n">
        <v>2</v>
      </c>
      <c r="G2198" s="485" t="inlineStr">
        <is>
          <t>West-Down2</t>
        </is>
      </c>
      <c r="H2198" s="485" t="n">
        <v>0</v>
      </c>
      <c r="I2198" s="485" t="n">
        <v>0</v>
      </c>
      <c r="J2198" s="485" t="n">
        <v>0</v>
      </c>
      <c r="K2198" s="485" t="n">
        <v>0</v>
      </c>
      <c r="L2198" s="485" t="n">
        <v>0</v>
      </c>
      <c r="M2198" s="514" t="inlineStr">
        <is>
          <t>G</t>
        </is>
      </c>
    </row>
    <row r="2199">
      <c r="A2199" s="485" t="n">
        <v>29</v>
      </c>
      <c r="B2199" s="485" t="n">
        <v>3</v>
      </c>
      <c r="C2199" s="485" t="n">
        <v>2</v>
      </c>
      <c r="D2199" s="485" t="n">
        <v>1</v>
      </c>
      <c r="E2199" s="485" t="n">
        <v>1</v>
      </c>
      <c r="F2199" s="485" t="n">
        <v>2</v>
      </c>
      <c r="G2199" s="485" t="inlineStr">
        <is>
          <t>East-Up2</t>
        </is>
      </c>
      <c r="H2199" s="485" t="n">
        <v>0</v>
      </c>
      <c r="I2199" s="485" t="n">
        <v>0</v>
      </c>
      <c r="J2199" s="485" t="n">
        <v>0</v>
      </c>
      <c r="K2199" s="485" t="n">
        <v>0</v>
      </c>
      <c r="L2199" s="485" t="n">
        <v>0</v>
      </c>
      <c r="M2199" s="514" t="inlineStr">
        <is>
          <t>G</t>
        </is>
      </c>
    </row>
    <row r="2200">
      <c r="A2200" s="485" t="n">
        <v>29</v>
      </c>
      <c r="B2200" s="485" t="n">
        <v>3</v>
      </c>
      <c r="C2200" s="485" t="n">
        <v>2</v>
      </c>
      <c r="D2200" s="485" t="n">
        <v>1</v>
      </c>
      <c r="E2200" s="485" t="n">
        <v>1</v>
      </c>
      <c r="F2200" s="485" t="n">
        <v>2</v>
      </c>
      <c r="G2200" s="485" t="inlineStr">
        <is>
          <t>East-Up1</t>
        </is>
      </c>
      <c r="H2200" s="485" t="n">
        <v>5273.87</v>
      </c>
      <c r="I2200" s="485" t="n">
        <v>1</v>
      </c>
      <c r="J2200" s="485" t="n">
        <v>7</v>
      </c>
      <c r="K2200" s="485" t="n">
        <v>31</v>
      </c>
      <c r="L2200" s="485" t="n">
        <v>1</v>
      </c>
      <c r="M2200" s="514" t="inlineStr">
        <is>
          <t>G</t>
        </is>
      </c>
    </row>
    <row r="2201">
      <c r="A2201" s="485" t="n">
        <v>29</v>
      </c>
      <c r="B2201" s="485" t="n">
        <v>3</v>
      </c>
      <c r="C2201" s="485" t="n">
        <v>2</v>
      </c>
      <c r="D2201" s="485" t="n">
        <v>1</v>
      </c>
      <c r="E2201" s="485" t="n">
        <v>1</v>
      </c>
      <c r="F2201" s="485" t="n">
        <v>2</v>
      </c>
      <c r="G2201" s="485" t="inlineStr">
        <is>
          <t>East-Down1</t>
        </is>
      </c>
      <c r="H2201" s="485" t="n">
        <v>0</v>
      </c>
      <c r="I2201" s="485" t="n">
        <v>0</v>
      </c>
      <c r="J2201" s="485" t="n">
        <v>0</v>
      </c>
      <c r="K2201" s="485" t="n">
        <v>0</v>
      </c>
      <c r="L2201" s="485" t="n">
        <v>0</v>
      </c>
      <c r="M2201" s="514" t="inlineStr">
        <is>
          <t>G</t>
        </is>
      </c>
    </row>
    <row r="2202">
      <c r="A2202" s="485" t="n">
        <v>29</v>
      </c>
      <c r="B2202" s="485" t="n">
        <v>3</v>
      </c>
      <c r="C2202" s="485" t="n">
        <v>2</v>
      </c>
      <c r="D2202" s="485" t="n">
        <v>1</v>
      </c>
      <c r="E2202" s="485" t="n">
        <v>1</v>
      </c>
      <c r="F2202" s="485" t="n">
        <v>2</v>
      </c>
      <c r="G2202" s="485" t="inlineStr">
        <is>
          <t>East-Down2</t>
        </is>
      </c>
      <c r="H2202" s="485" t="n">
        <v>0</v>
      </c>
      <c r="I2202" s="485" t="n">
        <v>0</v>
      </c>
      <c r="J2202" s="485" t="n">
        <v>0</v>
      </c>
      <c r="K2202" s="485" t="n">
        <v>0</v>
      </c>
      <c r="L2202" s="485" t="n">
        <v>0</v>
      </c>
      <c r="M2202" s="514" t="inlineStr">
        <is>
          <t>G</t>
        </is>
      </c>
    </row>
    <row r="2203">
      <c r="A2203" s="485" t="n">
        <v>29</v>
      </c>
      <c r="B2203" s="485" t="n">
        <v>3</v>
      </c>
      <c r="C2203" s="485" t="n">
        <v>2</v>
      </c>
      <c r="D2203" s="485" t="n">
        <v>1</v>
      </c>
      <c r="E2203" s="485" t="n">
        <v>1</v>
      </c>
      <c r="F2203" s="485" t="n">
        <v>2</v>
      </c>
      <c r="G2203" s="485" t="inlineStr">
        <is>
          <t>North-Left2</t>
        </is>
      </c>
      <c r="H2203" s="485" t="n">
        <v>0</v>
      </c>
      <c r="I2203" s="485" t="n">
        <v>0</v>
      </c>
      <c r="J2203" s="485" t="n">
        <v>0</v>
      </c>
      <c r="K2203" s="485" t="n">
        <v>0</v>
      </c>
      <c r="L2203" s="485" t="n">
        <v>0</v>
      </c>
      <c r="M2203" s="514" t="inlineStr">
        <is>
          <t>G</t>
        </is>
      </c>
    </row>
    <row r="2204">
      <c r="A2204" s="485" t="n">
        <v>29</v>
      </c>
      <c r="B2204" s="485" t="n">
        <v>3</v>
      </c>
      <c r="C2204" s="485" t="n">
        <v>2</v>
      </c>
      <c r="D2204" s="485" t="n">
        <v>1</v>
      </c>
      <c r="E2204" s="485" t="n">
        <v>1</v>
      </c>
      <c r="F2204" s="485" t="n">
        <v>2</v>
      </c>
      <c r="G2204" s="485" t="inlineStr">
        <is>
          <t>North-Left1</t>
        </is>
      </c>
      <c r="H2204" s="485" t="n">
        <v>5229</v>
      </c>
      <c r="I2204" s="485" t="n">
        <v>88</v>
      </c>
      <c r="J2204" s="485" t="n">
        <v>53</v>
      </c>
      <c r="K2204" s="485" t="n">
        <v>13</v>
      </c>
      <c r="L2204" s="485" t="n">
        <v>2</v>
      </c>
      <c r="M2204" s="514" t="inlineStr">
        <is>
          <t>G</t>
        </is>
      </c>
    </row>
    <row r="2205">
      <c r="A2205" s="485" t="n">
        <v>29</v>
      </c>
      <c r="B2205" s="485" t="n">
        <v>3</v>
      </c>
      <c r="C2205" s="485" t="n">
        <v>2</v>
      </c>
      <c r="D2205" s="485" t="n">
        <v>1</v>
      </c>
      <c r="E2205" s="485" t="n">
        <v>1</v>
      </c>
      <c r="F2205" s="485" t="n">
        <v>2</v>
      </c>
      <c r="G2205" s="485" t="inlineStr">
        <is>
          <t>North-Right1</t>
        </is>
      </c>
      <c r="H2205" s="485" t="n">
        <v>0</v>
      </c>
      <c r="I2205" s="485" t="n">
        <v>0</v>
      </c>
      <c r="J2205" s="485" t="n">
        <v>0</v>
      </c>
      <c r="K2205" s="485" t="n">
        <v>0</v>
      </c>
      <c r="L2205" s="485" t="n">
        <v>0</v>
      </c>
      <c r="M2205" s="514" t="inlineStr">
        <is>
          <t>G</t>
        </is>
      </c>
    </row>
    <row r="2206">
      <c r="A2206" s="485" t="n">
        <v>29</v>
      </c>
      <c r="B2206" s="485" t="n">
        <v>3</v>
      </c>
      <c r="C2206" s="485" t="n">
        <v>2</v>
      </c>
      <c r="D2206" s="485" t="n">
        <v>1</v>
      </c>
      <c r="E2206" s="485" t="n">
        <v>1</v>
      </c>
      <c r="F2206" s="485" t="n">
        <v>2</v>
      </c>
      <c r="G2206" s="485" t="inlineStr">
        <is>
          <t>North-Right2</t>
        </is>
      </c>
      <c r="H2206" s="485" t="n">
        <v>0</v>
      </c>
      <c r="I2206" s="485" t="n">
        <v>0</v>
      </c>
      <c r="J2206" s="485" t="n">
        <v>0</v>
      </c>
      <c r="K2206" s="485" t="n">
        <v>0</v>
      </c>
      <c r="L2206" s="485" t="n">
        <v>0</v>
      </c>
      <c r="M2206" s="514" t="inlineStr">
        <is>
          <t>G</t>
        </is>
      </c>
    </row>
    <row r="2207">
      <c r="A2207" s="485" t="n">
        <v>29</v>
      </c>
      <c r="B2207" s="485" t="n">
        <v>3</v>
      </c>
      <c r="C2207" s="485" t="n">
        <v>2</v>
      </c>
      <c r="D2207" s="485" t="n">
        <v>1</v>
      </c>
      <c r="E2207" s="485" t="n">
        <v>1</v>
      </c>
      <c r="F2207" s="485" t="n">
        <v>2</v>
      </c>
      <c r="G2207" s="485" t="inlineStr">
        <is>
          <t>South-Left2</t>
        </is>
      </c>
      <c r="H2207" s="485" t="n">
        <v>0</v>
      </c>
      <c r="I2207" s="485" t="n">
        <v>0</v>
      </c>
      <c r="J2207" s="485" t="n">
        <v>0</v>
      </c>
      <c r="K2207" s="485" t="n">
        <v>0</v>
      </c>
      <c r="L2207" s="485" t="n">
        <v>0</v>
      </c>
      <c r="M2207" s="514" t="inlineStr">
        <is>
          <t>G</t>
        </is>
      </c>
    </row>
    <row r="2208">
      <c r="A2208" s="485" t="n">
        <v>29</v>
      </c>
      <c r="B2208" s="485" t="n">
        <v>3</v>
      </c>
      <c r="C2208" s="485" t="n">
        <v>2</v>
      </c>
      <c r="D2208" s="485" t="n">
        <v>1</v>
      </c>
      <c r="E2208" s="485" t="n">
        <v>1</v>
      </c>
      <c r="F2208" s="485" t="n">
        <v>2</v>
      </c>
      <c r="G2208" s="485" t="inlineStr">
        <is>
          <t>South-Left1</t>
        </is>
      </c>
      <c r="H2208" s="485" t="n">
        <v>5255.8</v>
      </c>
      <c r="I2208" s="485" t="n">
        <v>89</v>
      </c>
      <c r="J2208" s="485" t="n">
        <v>3</v>
      </c>
      <c r="K2208" s="485" t="n">
        <v>34</v>
      </c>
      <c r="L2208" s="485" t="n">
        <v>2</v>
      </c>
      <c r="M2208" s="514" t="inlineStr">
        <is>
          <t>G</t>
        </is>
      </c>
    </row>
    <row r="2209">
      <c r="A2209" s="485" t="n">
        <v>29</v>
      </c>
      <c r="B2209" s="485" t="n">
        <v>3</v>
      </c>
      <c r="C2209" s="485" t="n">
        <v>2</v>
      </c>
      <c r="D2209" s="485" t="n">
        <v>1</v>
      </c>
      <c r="E2209" s="485" t="n">
        <v>1</v>
      </c>
      <c r="F2209" s="485" t="n">
        <v>2</v>
      </c>
      <c r="G2209" s="485" t="inlineStr">
        <is>
          <t>South-Right1</t>
        </is>
      </c>
      <c r="H2209" s="485" t="n">
        <v>0</v>
      </c>
      <c r="I2209" s="485" t="n">
        <v>0</v>
      </c>
      <c r="J2209" s="485" t="n">
        <v>0</v>
      </c>
      <c r="K2209" s="485" t="n">
        <v>0</v>
      </c>
      <c r="L2209" s="485" t="n">
        <v>0</v>
      </c>
      <c r="M2209" s="514" t="inlineStr">
        <is>
          <t>G</t>
        </is>
      </c>
    </row>
    <row r="2210">
      <c r="A2210" s="485" t="n">
        <v>29</v>
      </c>
      <c r="B2210" s="485" t="n">
        <v>3</v>
      </c>
      <c r="C2210" s="485" t="n">
        <v>2</v>
      </c>
      <c r="D2210" s="485" t="n">
        <v>1</v>
      </c>
      <c r="E2210" s="485" t="n">
        <v>1</v>
      </c>
      <c r="F2210" s="485" t="n">
        <v>2</v>
      </c>
      <c r="G2210" s="485" t="inlineStr">
        <is>
          <t>South-Right2</t>
        </is>
      </c>
      <c r="H2210" s="485" t="n">
        <v>0</v>
      </c>
      <c r="I2210" s="485" t="n">
        <v>0</v>
      </c>
      <c r="J2210" s="485" t="n">
        <v>0</v>
      </c>
      <c r="K2210" s="485" t="n">
        <v>0</v>
      </c>
      <c r="L2210" s="485" t="n">
        <v>0</v>
      </c>
      <c r="M2210" s="514" t="inlineStr">
        <is>
          <t>G</t>
        </is>
      </c>
    </row>
    <row r="2211" customFormat="1" s="513">
      <c r="A2211" s="517" t="n">
        <v>30</v>
      </c>
      <c r="B2211" s="517" t="n">
        <v>2</v>
      </c>
      <c r="C2211" s="517" t="n">
        <v>2</v>
      </c>
      <c r="D2211" s="517" t="n">
        <v>1</v>
      </c>
      <c r="E2211" s="517" t="n">
        <v>1</v>
      </c>
      <c r="F2211" s="517" t="n">
        <v>2</v>
      </c>
      <c r="G2211" s="517" t="inlineStr">
        <is>
          <t>West-Up2</t>
        </is>
      </c>
      <c r="H2211" s="517" t="n">
        <v>0</v>
      </c>
      <c r="I2211" s="517" t="n">
        <v>0</v>
      </c>
      <c r="J2211" s="517" t="n">
        <v>0</v>
      </c>
      <c r="K2211" s="517" t="n">
        <v>0</v>
      </c>
      <c r="L2211" s="517" t="n">
        <v>0</v>
      </c>
      <c r="M2211" s="518" t="inlineStr">
        <is>
          <t>T</t>
        </is>
      </c>
    </row>
    <row r="2212" customFormat="1" s="513">
      <c r="A2212" s="517" t="n">
        <v>30</v>
      </c>
      <c r="B2212" s="517" t="n">
        <v>2</v>
      </c>
      <c r="C2212" s="517" t="n">
        <v>2</v>
      </c>
      <c r="D2212" s="517" t="n">
        <v>1</v>
      </c>
      <c r="E2212" s="517" t="n">
        <v>1</v>
      </c>
      <c r="F2212" s="517" t="n">
        <v>2</v>
      </c>
      <c r="G2212" s="519" t="inlineStr">
        <is>
          <t>West-Up1</t>
        </is>
      </c>
      <c r="H2212" s="517" t="n">
        <v>2642.78</v>
      </c>
      <c r="I2212" s="517" t="n">
        <v>0</v>
      </c>
      <c r="J2212" s="517" t="n">
        <v>0</v>
      </c>
      <c r="K2212" s="517" t="n">
        <v>49</v>
      </c>
      <c r="L2212" s="517" t="n">
        <v>4</v>
      </c>
      <c r="M2212" s="518" t="inlineStr">
        <is>
          <t>T</t>
        </is>
      </c>
    </row>
    <row r="2213" customFormat="1" s="513">
      <c r="A2213" s="517" t="n">
        <v>30</v>
      </c>
      <c r="B2213" s="517" t="n">
        <v>2</v>
      </c>
      <c r="C2213" s="517" t="n">
        <v>2</v>
      </c>
      <c r="D2213" s="517" t="n">
        <v>1</v>
      </c>
      <c r="E2213" s="517" t="n">
        <v>1</v>
      </c>
      <c r="F2213" s="517" t="n">
        <v>2</v>
      </c>
      <c r="G2213" s="517" t="inlineStr">
        <is>
          <t>West-Down1</t>
        </is>
      </c>
      <c r="H2213" s="517" t="n">
        <v>2644.75</v>
      </c>
      <c r="I2213" s="517" t="n">
        <v>0</v>
      </c>
      <c r="J2213" s="517" t="n">
        <v>27</v>
      </c>
      <c r="K2213" s="517" t="n">
        <v>58</v>
      </c>
      <c r="L2213" s="517" t="n">
        <v>4</v>
      </c>
      <c r="M2213" s="518" t="inlineStr">
        <is>
          <t>T</t>
        </is>
      </c>
    </row>
    <row r="2214" customFormat="1" s="513">
      <c r="A2214" s="517" t="n">
        <v>30</v>
      </c>
      <c r="B2214" s="517" t="n">
        <v>2</v>
      </c>
      <c r="C2214" s="517" t="n">
        <v>2</v>
      </c>
      <c r="D2214" s="517" t="n">
        <v>1</v>
      </c>
      <c r="E2214" s="517" t="n">
        <v>1</v>
      </c>
      <c r="F2214" s="517" t="n">
        <v>2</v>
      </c>
      <c r="G2214" s="517" t="inlineStr">
        <is>
          <t>West-Down2</t>
        </is>
      </c>
      <c r="H2214" s="517" t="n">
        <v>0</v>
      </c>
      <c r="I2214" s="517" t="n">
        <v>0</v>
      </c>
      <c r="J2214" s="517" t="n">
        <v>0</v>
      </c>
      <c r="K2214" s="517" t="n">
        <v>0</v>
      </c>
      <c r="L2214" s="517" t="n">
        <v>0</v>
      </c>
      <c r="M2214" s="518" t="inlineStr">
        <is>
          <t>T</t>
        </is>
      </c>
    </row>
    <row r="2215" customFormat="1" s="513">
      <c r="A2215" s="517" t="n">
        <v>30</v>
      </c>
      <c r="B2215" s="517" t="n">
        <v>2</v>
      </c>
      <c r="C2215" s="517" t="n">
        <v>2</v>
      </c>
      <c r="D2215" s="517" t="n">
        <v>1</v>
      </c>
      <c r="E2215" s="517" t="n">
        <v>1</v>
      </c>
      <c r="F2215" s="517" t="n">
        <v>2</v>
      </c>
      <c r="G2215" s="517" t="inlineStr">
        <is>
          <t>East-Up2</t>
        </is>
      </c>
      <c r="H2215" s="517" t="n">
        <v>0</v>
      </c>
      <c r="I2215" s="517" t="n">
        <v>0</v>
      </c>
      <c r="J2215" s="517" t="n">
        <v>0</v>
      </c>
      <c r="K2215" s="517" t="n">
        <v>0</v>
      </c>
      <c r="L2215" s="517" t="n">
        <v>0</v>
      </c>
      <c r="M2215" s="518" t="inlineStr">
        <is>
          <t>T</t>
        </is>
      </c>
    </row>
    <row r="2216" customFormat="1" s="513">
      <c r="A2216" s="517" t="n">
        <v>30</v>
      </c>
      <c r="B2216" s="517" t="n">
        <v>2</v>
      </c>
      <c r="C2216" s="517" t="n">
        <v>2</v>
      </c>
      <c r="D2216" s="517" t="n">
        <v>1</v>
      </c>
      <c r="E2216" s="517" t="n">
        <v>1</v>
      </c>
      <c r="F2216" s="517" t="n">
        <v>2</v>
      </c>
      <c r="G2216" s="519" t="inlineStr">
        <is>
          <t>East-Up1</t>
        </is>
      </c>
      <c r="H2216" s="517" t="n">
        <v>2640.87</v>
      </c>
      <c r="I2216" s="517" t="n">
        <v>0</v>
      </c>
      <c r="J2216" s="517" t="n">
        <v>41</v>
      </c>
      <c r="K2216" s="517" t="n">
        <v>11</v>
      </c>
      <c r="L2216" s="517" t="n">
        <v>2</v>
      </c>
      <c r="M2216" s="518" t="inlineStr">
        <is>
          <t>T</t>
        </is>
      </c>
    </row>
    <row r="2217" customFormat="1" s="513">
      <c r="A2217" s="517" t="n">
        <v>30</v>
      </c>
      <c r="B2217" s="517" t="n">
        <v>2</v>
      </c>
      <c r="C2217" s="517" t="n">
        <v>2</v>
      </c>
      <c r="D2217" s="517" t="n">
        <v>1</v>
      </c>
      <c r="E2217" s="517" t="n">
        <v>1</v>
      </c>
      <c r="F2217" s="517" t="n">
        <v>2</v>
      </c>
      <c r="G2217" s="517" t="inlineStr">
        <is>
          <t>East-Down1</t>
        </is>
      </c>
      <c r="H2217" s="517" t="n">
        <v>2635.69</v>
      </c>
      <c r="I2217" s="517" t="n">
        <v>0</v>
      </c>
      <c r="J2217" s="517" t="n">
        <v>26</v>
      </c>
      <c r="K2217" s="517" t="n">
        <v>54</v>
      </c>
      <c r="L2217" s="517" t="n">
        <v>4</v>
      </c>
      <c r="M2217" s="518" t="inlineStr">
        <is>
          <t>T</t>
        </is>
      </c>
    </row>
    <row r="2218" customFormat="1" s="513">
      <c r="A2218" s="517" t="n">
        <v>30</v>
      </c>
      <c r="B2218" s="517" t="n">
        <v>2</v>
      </c>
      <c r="C2218" s="517" t="n">
        <v>2</v>
      </c>
      <c r="D2218" s="517" t="n">
        <v>1</v>
      </c>
      <c r="E2218" s="517" t="n">
        <v>1</v>
      </c>
      <c r="F2218" s="517" t="n">
        <v>2</v>
      </c>
      <c r="G2218" s="517" t="inlineStr">
        <is>
          <t>East-Down2</t>
        </is>
      </c>
      <c r="H2218" s="517" t="n">
        <v>0</v>
      </c>
      <c r="I2218" s="517" t="n">
        <v>0</v>
      </c>
      <c r="J2218" s="517" t="n">
        <v>0</v>
      </c>
      <c r="K2218" s="517" t="n">
        <v>0</v>
      </c>
      <c r="L2218" s="517" t="n">
        <v>0</v>
      </c>
      <c r="M2218" s="518" t="inlineStr">
        <is>
          <t>T</t>
        </is>
      </c>
    </row>
    <row r="2219" customFormat="1" s="513">
      <c r="A2219" s="517" t="n">
        <v>30</v>
      </c>
      <c r="B2219" s="517" t="n">
        <v>2</v>
      </c>
      <c r="C2219" s="517" t="n">
        <v>2</v>
      </c>
      <c r="D2219" s="517" t="n">
        <v>1</v>
      </c>
      <c r="E2219" s="517" t="n">
        <v>1</v>
      </c>
      <c r="F2219" s="517" t="n">
        <v>2</v>
      </c>
      <c r="G2219" s="517" t="inlineStr">
        <is>
          <t>North-Left2</t>
        </is>
      </c>
      <c r="H2219" s="517" t="n"/>
      <c r="I2219" s="517" t="n"/>
      <c r="J2219" s="517" t="n"/>
      <c r="K2219" s="517" t="n"/>
      <c r="L2219" s="517" t="n"/>
      <c r="M2219" s="518" t="inlineStr">
        <is>
          <t>T</t>
        </is>
      </c>
    </row>
    <row r="2220" customFormat="1" s="513">
      <c r="A2220" s="517" t="n">
        <v>30</v>
      </c>
      <c r="B2220" s="517" t="n">
        <v>2</v>
      </c>
      <c r="C2220" s="517" t="n">
        <v>2</v>
      </c>
      <c r="D2220" s="517" t="n">
        <v>1</v>
      </c>
      <c r="E2220" s="517" t="n">
        <v>1</v>
      </c>
      <c r="F2220" s="517" t="n">
        <v>2</v>
      </c>
      <c r="G2220" s="519" t="inlineStr">
        <is>
          <t>North-Left1</t>
        </is>
      </c>
      <c r="H2220" s="517" t="n">
        <v>2617.22</v>
      </c>
      <c r="I2220" s="517" t="n">
        <v>89</v>
      </c>
      <c r="J2220" s="517" t="n">
        <v>12</v>
      </c>
      <c r="K2220" s="517" t="n">
        <v>4</v>
      </c>
      <c r="L2220" s="517" t="n">
        <v>4</v>
      </c>
      <c r="M2220" s="518" t="inlineStr">
        <is>
          <t>T</t>
        </is>
      </c>
    </row>
    <row r="2221" customFormat="1" s="513">
      <c r="A2221" s="517" t="n">
        <v>30</v>
      </c>
      <c r="B2221" s="517" t="n">
        <v>2</v>
      </c>
      <c r="C2221" s="517" t="n">
        <v>2</v>
      </c>
      <c r="D2221" s="517" t="n">
        <v>1</v>
      </c>
      <c r="E2221" s="517" t="n">
        <v>1</v>
      </c>
      <c r="F2221" s="517" t="n">
        <v>2</v>
      </c>
      <c r="G2221" s="517" t="inlineStr">
        <is>
          <t>North-Right1</t>
        </is>
      </c>
      <c r="H2221" s="517" t="n">
        <v>1327.1</v>
      </c>
      <c r="I2221" s="517" t="n">
        <v>89</v>
      </c>
      <c r="J2221" s="517" t="n">
        <v>48</v>
      </c>
      <c r="K2221" s="517" t="n">
        <v>36</v>
      </c>
      <c r="L2221" s="517" t="n">
        <v>4</v>
      </c>
      <c r="M2221" s="518" t="inlineStr">
        <is>
          <t>T</t>
        </is>
      </c>
    </row>
    <row r="2222" customFormat="1" s="513">
      <c r="A2222" s="517" t="n">
        <v>30</v>
      </c>
      <c r="B2222" s="517" t="n">
        <v>2</v>
      </c>
      <c r="C2222" s="517" t="n">
        <v>2</v>
      </c>
      <c r="D2222" s="517" t="n">
        <v>1</v>
      </c>
      <c r="E2222" s="517" t="n">
        <v>1</v>
      </c>
      <c r="F2222" s="517" t="n">
        <v>2</v>
      </c>
      <c r="G2222" s="517" t="inlineStr">
        <is>
          <t>North-Right2</t>
        </is>
      </c>
      <c r="H2222" s="517" t="n">
        <v>1324.29</v>
      </c>
      <c r="I2222" s="517" t="n">
        <v>89</v>
      </c>
      <c r="J2222" s="517" t="n">
        <v>48</v>
      </c>
      <c r="K2222" s="517" t="n">
        <v>36</v>
      </c>
      <c r="L2222" s="517" t="n">
        <v>4</v>
      </c>
      <c r="M2222" s="518" t="inlineStr">
        <is>
          <t>T</t>
        </is>
      </c>
    </row>
    <row r="2223" customFormat="1" s="513">
      <c r="A2223" s="517" t="n">
        <v>30</v>
      </c>
      <c r="B2223" s="517" t="n">
        <v>2</v>
      </c>
      <c r="C2223" s="517" t="n">
        <v>2</v>
      </c>
      <c r="D2223" s="517" t="n">
        <v>1</v>
      </c>
      <c r="E2223" s="517" t="n">
        <v>1</v>
      </c>
      <c r="F2223" s="517" t="n">
        <v>2</v>
      </c>
      <c r="G2223" s="517" t="inlineStr">
        <is>
          <t>South-Left2</t>
        </is>
      </c>
      <c r="H2223" s="517" t="n">
        <v>0</v>
      </c>
      <c r="I2223" s="517" t="n">
        <v>0</v>
      </c>
      <c r="J2223" s="517" t="n">
        <v>0</v>
      </c>
      <c r="K2223" s="517" t="n">
        <v>0</v>
      </c>
      <c r="L2223" s="517" t="n">
        <v>0</v>
      </c>
      <c r="M2223" s="518" t="inlineStr">
        <is>
          <t>T</t>
        </is>
      </c>
    </row>
    <row r="2224" customFormat="1" s="513">
      <c r="A2224" s="517" t="n">
        <v>30</v>
      </c>
      <c r="B2224" s="517" t="n">
        <v>2</v>
      </c>
      <c r="C2224" s="517" t="n">
        <v>2</v>
      </c>
      <c r="D2224" s="517" t="n">
        <v>1</v>
      </c>
      <c r="E2224" s="517" t="n">
        <v>1</v>
      </c>
      <c r="F2224" s="517" t="n">
        <v>2</v>
      </c>
      <c r="G2224" s="519" t="inlineStr">
        <is>
          <t>South-Left1</t>
        </is>
      </c>
      <c r="H2224" s="517" t="n">
        <v>2661.24</v>
      </c>
      <c r="I2224" s="517" t="n">
        <v>89</v>
      </c>
      <c r="J2224" s="517" t="n">
        <v>37</v>
      </c>
      <c r="K2224" s="517" t="n">
        <v>0</v>
      </c>
      <c r="L2224" s="517" t="n">
        <v>1</v>
      </c>
      <c r="M2224" s="518" t="inlineStr">
        <is>
          <t>T</t>
        </is>
      </c>
    </row>
    <row r="2225" customFormat="1" s="513">
      <c r="A2225" s="517" t="n">
        <v>30</v>
      </c>
      <c r="B2225" s="517" t="n">
        <v>2</v>
      </c>
      <c r="C2225" s="517" t="n">
        <v>2</v>
      </c>
      <c r="D2225" s="517" t="n">
        <v>1</v>
      </c>
      <c r="E2225" s="517" t="n">
        <v>1</v>
      </c>
      <c r="F2225" s="517" t="n">
        <v>2</v>
      </c>
      <c r="G2225" s="517" t="inlineStr">
        <is>
          <t>South-Right1</t>
        </is>
      </c>
      <c r="H2225" s="517" t="n">
        <v>2630.1</v>
      </c>
      <c r="I2225" s="517" t="n">
        <v>89</v>
      </c>
      <c r="J2225" s="517" t="n">
        <v>38</v>
      </c>
      <c r="K2225" s="517" t="n">
        <v>21</v>
      </c>
      <c r="L2225" s="517" t="n">
        <v>1</v>
      </c>
      <c r="M2225" s="518" t="inlineStr">
        <is>
          <t>T</t>
        </is>
      </c>
    </row>
    <row r="2226" customFormat="1" s="513">
      <c r="A2226" s="517" t="n">
        <v>30</v>
      </c>
      <c r="B2226" s="517" t="n">
        <v>2</v>
      </c>
      <c r="C2226" s="517" t="n">
        <v>2</v>
      </c>
      <c r="D2226" s="517" t="n">
        <v>1</v>
      </c>
      <c r="E2226" s="517" t="n">
        <v>1</v>
      </c>
      <c r="F2226" s="517" t="n">
        <v>2</v>
      </c>
      <c r="G2226" s="517" t="inlineStr">
        <is>
          <t>South-Right2</t>
        </is>
      </c>
      <c r="H2226" s="517" t="n">
        <v>0</v>
      </c>
      <c r="I2226" s="517" t="n">
        <v>0</v>
      </c>
      <c r="J2226" s="517" t="n">
        <v>0</v>
      </c>
      <c r="K2226" s="517" t="n">
        <v>0</v>
      </c>
      <c r="L2226" s="517" t="n">
        <v>0</v>
      </c>
      <c r="M2226" s="518" t="inlineStr">
        <is>
          <t>T</t>
        </is>
      </c>
    </row>
    <row r="2227">
      <c r="A2227" s="486" t="n">
        <v>30</v>
      </c>
      <c r="B2227" s="486" t="n">
        <v>2</v>
      </c>
      <c r="C2227" s="486" t="n">
        <v>2</v>
      </c>
      <c r="D2227" s="486" t="n">
        <v>1</v>
      </c>
      <c r="E2227" s="486" t="n">
        <v>2</v>
      </c>
      <c r="F2227" s="486" t="n">
        <v>2</v>
      </c>
      <c r="G2227" s="486" t="inlineStr">
        <is>
          <t>West-Up2</t>
        </is>
      </c>
      <c r="H2227" s="486" t="n">
        <v>0</v>
      </c>
      <c r="I2227" s="486" t="n">
        <v>0</v>
      </c>
      <c r="J2227" s="486" t="n">
        <v>0</v>
      </c>
      <c r="K2227" s="486" t="n">
        <v>0</v>
      </c>
      <c r="L2227" s="486" t="n">
        <v>0</v>
      </c>
      <c r="M2227" s="487" t="inlineStr">
        <is>
          <t>T</t>
        </is>
      </c>
    </row>
    <row r="2228">
      <c r="A2228" s="486" t="n">
        <v>30</v>
      </c>
      <c r="B2228" s="486" t="n">
        <v>2</v>
      </c>
      <c r="C2228" s="486" t="n">
        <v>2</v>
      </c>
      <c r="D2228" s="486" t="n">
        <v>1</v>
      </c>
      <c r="E2228" s="486" t="n">
        <v>2</v>
      </c>
      <c r="F2228" s="486" t="n">
        <v>2</v>
      </c>
      <c r="G2228" s="475" t="inlineStr">
        <is>
          <t>West-Up1</t>
        </is>
      </c>
      <c r="H2228" s="486" t="n">
        <v>2642.63</v>
      </c>
      <c r="I2228" s="486" t="n">
        <v>0</v>
      </c>
      <c r="J2228" s="486" t="n">
        <v>3</v>
      </c>
      <c r="K2228" s="486" t="n">
        <v>32</v>
      </c>
      <c r="L2228" s="486" t="n">
        <v>2</v>
      </c>
      <c r="M2228" s="487" t="inlineStr">
        <is>
          <t>T</t>
        </is>
      </c>
    </row>
    <row r="2229">
      <c r="A2229" s="486" t="n">
        <v>30</v>
      </c>
      <c r="B2229" s="486" t="n">
        <v>2</v>
      </c>
      <c r="C2229" s="486" t="n">
        <v>2</v>
      </c>
      <c r="D2229" s="486" t="n">
        <v>1</v>
      </c>
      <c r="E2229" s="486" t="n">
        <v>2</v>
      </c>
      <c r="F2229" s="486" t="n">
        <v>2</v>
      </c>
      <c r="G2229" s="486" t="inlineStr">
        <is>
          <t>West-Down1</t>
        </is>
      </c>
      <c r="H2229" s="486" t="n">
        <v>2643.02</v>
      </c>
      <c r="I2229" s="486" t="n">
        <v>0</v>
      </c>
      <c r="J2229" s="486" t="n">
        <v>3</v>
      </c>
      <c r="K2229" s="486" t="n">
        <v>47</v>
      </c>
      <c r="L2229" s="486" t="n">
        <v>2</v>
      </c>
      <c r="M2229" s="487" t="inlineStr">
        <is>
          <t>T</t>
        </is>
      </c>
    </row>
    <row r="2230">
      <c r="A2230" s="486" t="n">
        <v>30</v>
      </c>
      <c r="B2230" s="486" t="n">
        <v>2</v>
      </c>
      <c r="C2230" s="486" t="n">
        <v>2</v>
      </c>
      <c r="D2230" s="486" t="n">
        <v>1</v>
      </c>
      <c r="E2230" s="486" t="n">
        <v>2</v>
      </c>
      <c r="F2230" s="486" t="n">
        <v>2</v>
      </c>
      <c r="G2230" s="486" t="inlineStr">
        <is>
          <t>West-Down2</t>
        </is>
      </c>
      <c r="H2230" s="486" t="n">
        <v>0</v>
      </c>
      <c r="I2230" s="486" t="n">
        <v>0</v>
      </c>
      <c r="J2230" s="486" t="n">
        <v>0</v>
      </c>
      <c r="K2230" s="486" t="n">
        <v>0</v>
      </c>
      <c r="L2230" s="486" t="n">
        <v>0</v>
      </c>
      <c r="M2230" s="487" t="inlineStr">
        <is>
          <t>T</t>
        </is>
      </c>
    </row>
    <row r="2231">
      <c r="A2231" s="486" t="n">
        <v>30</v>
      </c>
      <c r="B2231" s="486" t="n">
        <v>2</v>
      </c>
      <c r="C2231" s="486" t="n">
        <v>2</v>
      </c>
      <c r="D2231" s="486" t="n">
        <v>1</v>
      </c>
      <c r="E2231" s="486" t="n">
        <v>2</v>
      </c>
      <c r="F2231" s="486" t="n">
        <v>2</v>
      </c>
      <c r="G2231" s="486" t="inlineStr">
        <is>
          <t>East-Up2</t>
        </is>
      </c>
      <c r="H2231" s="486" t="n">
        <v>0</v>
      </c>
      <c r="I2231" s="486" t="n">
        <v>0</v>
      </c>
      <c r="J2231" s="486" t="n">
        <v>0</v>
      </c>
      <c r="K2231" s="486" t="n">
        <v>0</v>
      </c>
      <c r="L2231" s="486" t="n">
        <v>0</v>
      </c>
      <c r="M2231" s="487" t="inlineStr">
        <is>
          <t>T</t>
        </is>
      </c>
    </row>
    <row r="2232">
      <c r="A2232" s="486" t="n">
        <v>30</v>
      </c>
      <c r="B2232" s="486" t="n">
        <v>2</v>
      </c>
      <c r="C2232" s="486" t="n">
        <v>2</v>
      </c>
      <c r="D2232" s="486" t="n">
        <v>1</v>
      </c>
      <c r="E2232" s="486" t="n">
        <v>2</v>
      </c>
      <c r="F2232" s="486" t="n">
        <v>2</v>
      </c>
      <c r="G2232" s="475" t="inlineStr">
        <is>
          <t>East-Up1</t>
        </is>
      </c>
      <c r="H2232" s="486" t="n">
        <v>2640</v>
      </c>
      <c r="I2232" s="486" t="n">
        <v>0</v>
      </c>
      <c r="J2232" s="486" t="n">
        <v>0</v>
      </c>
      <c r="K2232" s="486" t="n">
        <v>0</v>
      </c>
      <c r="L2232" s="486" t="n">
        <v>4</v>
      </c>
      <c r="M2232" s="487" t="inlineStr">
        <is>
          <t>T</t>
        </is>
      </c>
    </row>
    <row r="2233">
      <c r="A2233" s="486" t="n">
        <v>30</v>
      </c>
      <c r="B2233" s="486" t="n">
        <v>2</v>
      </c>
      <c r="C2233" s="486" t="n">
        <v>2</v>
      </c>
      <c r="D2233" s="486" t="n">
        <v>1</v>
      </c>
      <c r="E2233" s="486" t="n">
        <v>2</v>
      </c>
      <c r="F2233" s="486" t="n">
        <v>2</v>
      </c>
      <c r="G2233" s="486" t="inlineStr">
        <is>
          <t>East-Down1</t>
        </is>
      </c>
      <c r="H2233" s="486" t="n">
        <v>2638.5</v>
      </c>
      <c r="I2233" s="486" t="n">
        <v>0</v>
      </c>
      <c r="J2233" s="486" t="n">
        <v>1</v>
      </c>
      <c r="K2233" s="486" t="n">
        <v>22</v>
      </c>
      <c r="L2233" s="486" t="n">
        <v>4</v>
      </c>
      <c r="M2233" s="487" t="inlineStr">
        <is>
          <t>T</t>
        </is>
      </c>
    </row>
    <row r="2234">
      <c r="A2234" s="486" t="n">
        <v>30</v>
      </c>
      <c r="B2234" s="486" t="n">
        <v>2</v>
      </c>
      <c r="C2234" s="486" t="n">
        <v>2</v>
      </c>
      <c r="D2234" s="486" t="n">
        <v>1</v>
      </c>
      <c r="E2234" s="486" t="n">
        <v>2</v>
      </c>
      <c r="F2234" s="486" t="n">
        <v>2</v>
      </c>
      <c r="G2234" s="486" t="inlineStr">
        <is>
          <t>East-Down2</t>
        </is>
      </c>
      <c r="H2234" s="486" t="n">
        <v>0</v>
      </c>
      <c r="I2234" s="486" t="n">
        <v>0</v>
      </c>
      <c r="J2234" s="486" t="n">
        <v>0</v>
      </c>
      <c r="K2234" s="486" t="n">
        <v>0</v>
      </c>
      <c r="L2234" s="486" t="n">
        <v>0</v>
      </c>
      <c r="M2234" s="487" t="inlineStr">
        <is>
          <t>T</t>
        </is>
      </c>
    </row>
    <row r="2235">
      <c r="A2235" s="486" t="n">
        <v>30</v>
      </c>
      <c r="B2235" s="486" t="n">
        <v>2</v>
      </c>
      <c r="C2235" s="486" t="n">
        <v>2</v>
      </c>
      <c r="D2235" s="486" t="n">
        <v>1</v>
      </c>
      <c r="E2235" s="486" t="n">
        <v>2</v>
      </c>
      <c r="F2235" s="486" t="n">
        <v>2</v>
      </c>
      <c r="G2235" s="486" t="inlineStr">
        <is>
          <t>North-Left2</t>
        </is>
      </c>
      <c r="H2235" s="486" t="n">
        <v>0</v>
      </c>
      <c r="I2235" s="486" t="n">
        <v>0</v>
      </c>
      <c r="J2235" s="486" t="n">
        <v>0</v>
      </c>
      <c r="K2235" s="486" t="n">
        <v>0</v>
      </c>
      <c r="L2235" s="486" t="n">
        <v>0</v>
      </c>
      <c r="M2235" s="487" t="inlineStr">
        <is>
          <t>T</t>
        </is>
      </c>
    </row>
    <row r="2236">
      <c r="A2236" s="486" t="n">
        <v>30</v>
      </c>
      <c r="B2236" s="486" t="n">
        <v>2</v>
      </c>
      <c r="C2236" s="486" t="n">
        <v>2</v>
      </c>
      <c r="D2236" s="486" t="n">
        <v>1</v>
      </c>
      <c r="E2236" s="486" t="n">
        <v>2</v>
      </c>
      <c r="F2236" s="486" t="n">
        <v>2</v>
      </c>
      <c r="G2236" s="475" t="inlineStr">
        <is>
          <t>North-Left1</t>
        </is>
      </c>
      <c r="H2236" s="486" t="n">
        <v>0</v>
      </c>
      <c r="I2236" s="486" t="n">
        <v>0</v>
      </c>
      <c r="J2236" s="486" t="n">
        <v>0</v>
      </c>
      <c r="K2236" s="486" t="n">
        <v>0</v>
      </c>
      <c r="L2236" s="486" t="n">
        <v>0</v>
      </c>
      <c r="M2236" s="487" t="inlineStr">
        <is>
          <t>T</t>
        </is>
      </c>
    </row>
    <row r="2237">
      <c r="A2237" s="486" t="n">
        <v>30</v>
      </c>
      <c r="B2237" s="486" t="n">
        <v>2</v>
      </c>
      <c r="C2237" s="486" t="n">
        <v>2</v>
      </c>
      <c r="D2237" s="486" t="n">
        <v>1</v>
      </c>
      <c r="E2237" s="486" t="n">
        <v>2</v>
      </c>
      <c r="F2237" s="486" t="n">
        <v>2</v>
      </c>
      <c r="G2237" s="486" t="inlineStr">
        <is>
          <t>North-Right1</t>
        </is>
      </c>
      <c r="H2237" s="486" t="n">
        <v>0</v>
      </c>
      <c r="I2237" s="486" t="n">
        <v>0</v>
      </c>
      <c r="J2237" s="486" t="n">
        <v>0</v>
      </c>
      <c r="K2237" s="486" t="n">
        <v>0</v>
      </c>
      <c r="L2237" s="486" t="n">
        <v>0</v>
      </c>
      <c r="M2237" s="487" t="inlineStr">
        <is>
          <t>T</t>
        </is>
      </c>
    </row>
    <row r="2238">
      <c r="A2238" s="486" t="n">
        <v>30</v>
      </c>
      <c r="B2238" s="486" t="n">
        <v>2</v>
      </c>
      <c r="C2238" s="486" t="n">
        <v>2</v>
      </c>
      <c r="D2238" s="486" t="n">
        <v>1</v>
      </c>
      <c r="E2238" s="486" t="n">
        <v>2</v>
      </c>
      <c r="F2238" s="486" t="n">
        <v>2</v>
      </c>
      <c r="G2238" s="486" t="inlineStr">
        <is>
          <t>North-Right2</t>
        </is>
      </c>
      <c r="H2238" s="486" t="n">
        <v>0</v>
      </c>
      <c r="I2238" s="486" t="n">
        <v>0</v>
      </c>
      <c r="J2238" s="486" t="n">
        <v>0</v>
      </c>
      <c r="K2238" s="486" t="n">
        <v>0</v>
      </c>
      <c r="L2238" s="486" t="n">
        <v>0</v>
      </c>
      <c r="M2238" s="487" t="inlineStr">
        <is>
          <t>T</t>
        </is>
      </c>
    </row>
    <row r="2239">
      <c r="A2239" s="486" t="n">
        <v>30</v>
      </c>
      <c r="B2239" s="486" t="n">
        <v>2</v>
      </c>
      <c r="C2239" s="486" t="n">
        <v>2</v>
      </c>
      <c r="D2239" s="486" t="n">
        <v>1</v>
      </c>
      <c r="E2239" s="486" t="n">
        <v>2</v>
      </c>
      <c r="F2239" s="486" t="n">
        <v>2</v>
      </c>
      <c r="G2239" s="486" t="inlineStr">
        <is>
          <t>South-Left2</t>
        </is>
      </c>
      <c r="H2239" s="486" t="n">
        <v>1323.27</v>
      </c>
      <c r="I2239" s="486" t="n">
        <v>89</v>
      </c>
      <c r="J2239" s="486" t="n">
        <v>54</v>
      </c>
      <c r="K2239" s="486" t="n">
        <v>35</v>
      </c>
      <c r="L2239" s="486" t="n">
        <v>3</v>
      </c>
      <c r="M2239" s="487" t="inlineStr">
        <is>
          <t>T</t>
        </is>
      </c>
    </row>
    <row r="2240">
      <c r="A2240" s="486" t="n">
        <v>30</v>
      </c>
      <c r="B2240" s="486" t="n">
        <v>2</v>
      </c>
      <c r="C2240" s="486" t="n">
        <v>2</v>
      </c>
      <c r="D2240" s="486" t="n">
        <v>1</v>
      </c>
      <c r="E2240" s="486" t="n">
        <v>2</v>
      </c>
      <c r="F2240" s="486" t="n">
        <v>2</v>
      </c>
      <c r="G2240" s="475" t="inlineStr">
        <is>
          <t>South-Left1</t>
        </is>
      </c>
      <c r="H2240" s="486" t="n">
        <v>1319.36</v>
      </c>
      <c r="I2240" s="486" t="n">
        <v>89</v>
      </c>
      <c r="J2240" s="486" t="n">
        <v>54</v>
      </c>
      <c r="K2240" s="486" t="n">
        <v>6</v>
      </c>
      <c r="L2240" s="486" t="n">
        <v>3</v>
      </c>
      <c r="M2240" s="487" t="inlineStr">
        <is>
          <t>T</t>
        </is>
      </c>
    </row>
    <row r="2241">
      <c r="A2241" s="486" t="n">
        <v>30</v>
      </c>
      <c r="B2241" s="486" t="n">
        <v>2</v>
      </c>
      <c r="C2241" s="486" t="n">
        <v>2</v>
      </c>
      <c r="D2241" s="486" t="n">
        <v>1</v>
      </c>
      <c r="E2241" s="486" t="n">
        <v>2</v>
      </c>
      <c r="F2241" s="486" t="n">
        <v>2</v>
      </c>
      <c r="G2241" s="486" t="inlineStr">
        <is>
          <t>South-Right1</t>
        </is>
      </c>
      <c r="H2241" s="486" t="n">
        <v>2643.88</v>
      </c>
      <c r="I2241" s="486" t="n">
        <v>89</v>
      </c>
      <c r="J2241" s="486" t="n">
        <v>54</v>
      </c>
      <c r="K2241" s="486" t="n">
        <v>3</v>
      </c>
      <c r="L2241" s="486" t="n">
        <v>3</v>
      </c>
      <c r="M2241" s="487" t="inlineStr">
        <is>
          <t>T</t>
        </is>
      </c>
    </row>
    <row r="2242">
      <c r="A2242" s="486" t="n">
        <v>30</v>
      </c>
      <c r="B2242" s="486" t="n">
        <v>2</v>
      </c>
      <c r="C2242" s="486" t="n">
        <v>2</v>
      </c>
      <c r="D2242" s="486" t="n">
        <v>1</v>
      </c>
      <c r="E2242" s="486" t="n">
        <v>2</v>
      </c>
      <c r="F2242" s="486" t="n">
        <v>2</v>
      </c>
      <c r="G2242" s="486" t="inlineStr">
        <is>
          <t>South-Right2</t>
        </is>
      </c>
      <c r="H2242" s="486" t="n">
        <v>0</v>
      </c>
      <c r="I2242" s="486" t="n">
        <v>0</v>
      </c>
      <c r="J2242" s="486" t="n">
        <v>0</v>
      </c>
      <c r="K2242" s="486" t="n">
        <v>0</v>
      </c>
      <c r="L2242" s="486" t="n">
        <v>0</v>
      </c>
      <c r="M2242" s="487" t="inlineStr">
        <is>
          <t>T</t>
        </is>
      </c>
    </row>
    <row r="2243">
      <c r="A2243" s="486" t="n">
        <v>30</v>
      </c>
      <c r="B2243" s="486" t="n">
        <v>2</v>
      </c>
      <c r="C2243" s="486" t="n">
        <v>2</v>
      </c>
      <c r="D2243" s="486" t="n">
        <v>2</v>
      </c>
      <c r="E2243" s="486" t="n">
        <v>2</v>
      </c>
      <c r="F2243" s="486" t="n">
        <v>2</v>
      </c>
      <c r="G2243" s="486" t="inlineStr">
        <is>
          <t>West-Up2</t>
        </is>
      </c>
      <c r="H2243" s="486" t="n">
        <v>0</v>
      </c>
      <c r="I2243" s="486" t="n">
        <v>0</v>
      </c>
      <c r="J2243" s="486" t="n">
        <v>0</v>
      </c>
      <c r="K2243" s="486" t="n">
        <v>0</v>
      </c>
      <c r="L2243" s="486" t="n">
        <v>0</v>
      </c>
      <c r="M2243" s="487" t="inlineStr">
        <is>
          <t>T</t>
        </is>
      </c>
    </row>
    <row r="2244">
      <c r="A2244" s="486" t="n">
        <v>30</v>
      </c>
      <c r="B2244" s="486" t="n">
        <v>2</v>
      </c>
      <c r="C2244" s="486" t="n">
        <v>2</v>
      </c>
      <c r="D2244" s="486" t="n">
        <v>2</v>
      </c>
      <c r="E2244" s="486" t="n">
        <v>2</v>
      </c>
      <c r="F2244" s="486" t="n">
        <v>2</v>
      </c>
      <c r="G2244" s="475" t="inlineStr">
        <is>
          <t>West-Up1</t>
        </is>
      </c>
      <c r="H2244" s="486" t="n">
        <v>2593</v>
      </c>
      <c r="I2244" s="486" t="n">
        <v>0</v>
      </c>
      <c r="J2244" s="486" t="n">
        <v>7</v>
      </c>
      <c r="K2244" s="486" t="n">
        <v>9</v>
      </c>
      <c r="L2244" s="486" t="n">
        <v>2</v>
      </c>
      <c r="M2244" s="487" t="inlineStr">
        <is>
          <t>T</t>
        </is>
      </c>
    </row>
    <row r="2245">
      <c r="A2245" s="486" t="n">
        <v>30</v>
      </c>
      <c r="B2245" s="486" t="n">
        <v>2</v>
      </c>
      <c r="C2245" s="486" t="n">
        <v>2</v>
      </c>
      <c r="D2245" s="486" t="n">
        <v>2</v>
      </c>
      <c r="E2245" s="486" t="n">
        <v>2</v>
      </c>
      <c r="F2245" s="486" t="n">
        <v>2</v>
      </c>
      <c r="G2245" s="486" t="inlineStr">
        <is>
          <t>West-Down1</t>
        </is>
      </c>
      <c r="H2245" s="486" t="n">
        <v>1369.29</v>
      </c>
      <c r="I2245" s="486" t="n">
        <v>0</v>
      </c>
      <c r="J2245" s="486" t="n">
        <v>34</v>
      </c>
      <c r="K2245" s="486" t="n">
        <v>46</v>
      </c>
      <c r="L2245" s="486" t="n">
        <v>2</v>
      </c>
      <c r="M2245" s="487" t="inlineStr">
        <is>
          <t>T</t>
        </is>
      </c>
    </row>
    <row r="2246">
      <c r="A2246" s="486" t="n">
        <v>30</v>
      </c>
      <c r="B2246" s="486" t="n">
        <v>2</v>
      </c>
      <c r="C2246" s="486" t="n">
        <v>2</v>
      </c>
      <c r="D2246" s="486" t="n">
        <v>2</v>
      </c>
      <c r="E2246" s="486" t="n">
        <v>2</v>
      </c>
      <c r="F2246" s="486" t="n">
        <v>2</v>
      </c>
      <c r="G2246" s="486" t="inlineStr">
        <is>
          <t>West-Down2</t>
        </is>
      </c>
      <c r="H2246" s="486" t="n">
        <v>1322.15</v>
      </c>
      <c r="I2246" s="486" t="n">
        <v>0</v>
      </c>
      <c r="J2246" s="486" t="n">
        <v>5</v>
      </c>
      <c r="K2246" s="486" t="n">
        <v>32</v>
      </c>
      <c r="L2246" s="486" t="n">
        <v>2</v>
      </c>
      <c r="M2246" s="487" t="inlineStr">
        <is>
          <t>T</t>
        </is>
      </c>
    </row>
    <row r="2247">
      <c r="A2247" s="486" t="n">
        <v>30</v>
      </c>
      <c r="B2247" s="486" t="n">
        <v>2</v>
      </c>
      <c r="C2247" s="486" t="n">
        <v>2</v>
      </c>
      <c r="D2247" s="486" t="n">
        <v>2</v>
      </c>
      <c r="E2247" s="486" t="n">
        <v>2</v>
      </c>
      <c r="F2247" s="486" t="n">
        <v>2</v>
      </c>
      <c r="G2247" s="486" t="inlineStr">
        <is>
          <t>East-Up2</t>
        </is>
      </c>
      <c r="H2247" s="486" t="n">
        <v>0</v>
      </c>
      <c r="I2247" s="486" t="n">
        <v>0</v>
      </c>
      <c r="J2247" s="486" t="n">
        <v>0</v>
      </c>
      <c r="K2247" s="486" t="n">
        <v>0</v>
      </c>
      <c r="L2247" s="486" t="n">
        <v>0</v>
      </c>
      <c r="M2247" s="487" t="inlineStr">
        <is>
          <t>T</t>
        </is>
      </c>
    </row>
    <row r="2248">
      <c r="A2248" s="486" t="n">
        <v>30</v>
      </c>
      <c r="B2248" s="486" t="n">
        <v>2</v>
      </c>
      <c r="C2248" s="486" t="n">
        <v>2</v>
      </c>
      <c r="D2248" s="486" t="n">
        <v>2</v>
      </c>
      <c r="E2248" s="486" t="n">
        <v>2</v>
      </c>
      <c r="F2248" s="486" t="n">
        <v>2</v>
      </c>
      <c r="G2248" s="475" t="inlineStr">
        <is>
          <t>East-Up1</t>
        </is>
      </c>
      <c r="H2248" s="486" t="n">
        <v>5291.53</v>
      </c>
      <c r="I2248" s="486" t="n">
        <v>0</v>
      </c>
      <c r="J2248" s="486" t="n">
        <v>7</v>
      </c>
      <c r="K2248" s="486" t="n">
        <v>16</v>
      </c>
      <c r="L2248" s="486" t="n">
        <v>3</v>
      </c>
      <c r="M2248" s="487" t="inlineStr">
        <is>
          <t>T</t>
        </is>
      </c>
    </row>
    <row r="2249">
      <c r="A2249" s="486" t="n">
        <v>30</v>
      </c>
      <c r="B2249" s="486" t="n">
        <v>2</v>
      </c>
      <c r="C2249" s="486" t="n">
        <v>2</v>
      </c>
      <c r="D2249" s="486" t="n">
        <v>2</v>
      </c>
      <c r="E2249" s="486" t="n">
        <v>2</v>
      </c>
      <c r="F2249" s="486" t="n">
        <v>2</v>
      </c>
      <c r="G2249" s="486" t="inlineStr">
        <is>
          <t>East-Down1</t>
        </is>
      </c>
      <c r="H2249" s="486" t="n">
        <v>0</v>
      </c>
      <c r="I2249" s="486" t="n">
        <v>0</v>
      </c>
      <c r="J2249" s="486" t="n">
        <v>0</v>
      </c>
      <c r="K2249" s="486" t="n">
        <v>0</v>
      </c>
      <c r="L2249" s="486" t="n">
        <v>0</v>
      </c>
      <c r="M2249" s="487" t="inlineStr">
        <is>
          <t>T</t>
        </is>
      </c>
    </row>
    <row r="2250">
      <c r="A2250" s="486" t="n">
        <v>30</v>
      </c>
      <c r="B2250" s="486" t="n">
        <v>2</v>
      </c>
      <c r="C2250" s="486" t="n">
        <v>2</v>
      </c>
      <c r="D2250" s="486" t="n">
        <v>2</v>
      </c>
      <c r="E2250" s="486" t="n">
        <v>2</v>
      </c>
      <c r="F2250" s="486" t="n">
        <v>2</v>
      </c>
      <c r="G2250" s="486" t="inlineStr">
        <is>
          <t>East-Down2</t>
        </is>
      </c>
      <c r="H2250" s="486" t="n">
        <v>0</v>
      </c>
      <c r="I2250" s="486" t="n">
        <v>0</v>
      </c>
      <c r="J2250" s="486" t="n">
        <v>0</v>
      </c>
      <c r="K2250" s="486" t="n">
        <v>0</v>
      </c>
      <c r="L2250" s="486" t="n">
        <v>0</v>
      </c>
      <c r="M2250" s="487" t="inlineStr">
        <is>
          <t>T</t>
        </is>
      </c>
    </row>
    <row r="2251">
      <c r="A2251" s="486" t="n">
        <v>30</v>
      </c>
      <c r="B2251" s="486" t="n">
        <v>2</v>
      </c>
      <c r="C2251" s="486" t="n">
        <v>2</v>
      </c>
      <c r="D2251" s="486" t="n">
        <v>2</v>
      </c>
      <c r="E2251" s="486" t="n">
        <v>2</v>
      </c>
      <c r="F2251" s="486" t="n">
        <v>2</v>
      </c>
      <c r="G2251" s="486" t="inlineStr">
        <is>
          <t>North-Left2</t>
        </is>
      </c>
      <c r="H2251" s="486" t="n">
        <v>0</v>
      </c>
      <c r="I2251" s="486" t="n">
        <v>0</v>
      </c>
      <c r="J2251" s="486" t="n">
        <v>0</v>
      </c>
      <c r="K2251" s="486" t="n">
        <v>0</v>
      </c>
      <c r="L2251" s="486" t="n">
        <v>0</v>
      </c>
      <c r="M2251" s="487" t="inlineStr">
        <is>
          <t>T</t>
        </is>
      </c>
    </row>
    <row r="2252">
      <c r="A2252" s="486" t="n">
        <v>30</v>
      </c>
      <c r="B2252" s="486" t="n">
        <v>2</v>
      </c>
      <c r="C2252" s="486" t="n">
        <v>2</v>
      </c>
      <c r="D2252" s="486" t="n">
        <v>2</v>
      </c>
      <c r="E2252" s="486" t="n">
        <v>2</v>
      </c>
      <c r="F2252" s="486" t="n">
        <v>2</v>
      </c>
      <c r="G2252" s="475" t="inlineStr">
        <is>
          <t>North-Left1</t>
        </is>
      </c>
      <c r="H2252" s="486" t="n">
        <v>5185.43</v>
      </c>
      <c r="I2252" s="486" t="n">
        <v>89</v>
      </c>
      <c r="J2252" s="486" t="n">
        <v>43</v>
      </c>
      <c r="K2252" s="486" t="n">
        <v>13</v>
      </c>
      <c r="L2252" s="486" t="n">
        <v>3</v>
      </c>
      <c r="M2252" s="487" t="inlineStr">
        <is>
          <t>T</t>
        </is>
      </c>
    </row>
    <row r="2253">
      <c r="A2253" s="486" t="n">
        <v>30</v>
      </c>
      <c r="B2253" s="486" t="n">
        <v>2</v>
      </c>
      <c r="C2253" s="486" t="n">
        <v>2</v>
      </c>
      <c r="D2253" s="486" t="n">
        <v>2</v>
      </c>
      <c r="E2253" s="486" t="n">
        <v>2</v>
      </c>
      <c r="F2253" s="486" t="n">
        <v>2</v>
      </c>
      <c r="G2253" s="486" t="inlineStr">
        <is>
          <t>North-Right1</t>
        </is>
      </c>
      <c r="H2253" s="486" t="n">
        <v>0</v>
      </c>
      <c r="I2253" s="486" t="n">
        <v>0</v>
      </c>
      <c r="J2253" s="486" t="n">
        <v>0</v>
      </c>
      <c r="K2253" s="486" t="n">
        <v>0</v>
      </c>
      <c r="L2253" s="486" t="n">
        <v>0</v>
      </c>
      <c r="M2253" s="487" t="inlineStr">
        <is>
          <t>T</t>
        </is>
      </c>
    </row>
    <row r="2254">
      <c r="A2254" s="486" t="n">
        <v>30</v>
      </c>
      <c r="B2254" s="486" t="n">
        <v>2</v>
      </c>
      <c r="C2254" s="486" t="n">
        <v>2</v>
      </c>
      <c r="D2254" s="486" t="n">
        <v>2</v>
      </c>
      <c r="E2254" s="486" t="n">
        <v>2</v>
      </c>
      <c r="F2254" s="486" t="n">
        <v>2</v>
      </c>
      <c r="G2254" s="486" t="inlineStr">
        <is>
          <t>North-Right2</t>
        </is>
      </c>
      <c r="H2254" s="486" t="n">
        <v>0</v>
      </c>
      <c r="I2254" s="486" t="n">
        <v>0</v>
      </c>
      <c r="J2254" s="486" t="n">
        <v>0</v>
      </c>
      <c r="K2254" s="486" t="n">
        <v>0</v>
      </c>
      <c r="L2254" s="486" t="n">
        <v>0</v>
      </c>
      <c r="M2254" s="487" t="inlineStr">
        <is>
          <t>T</t>
        </is>
      </c>
    </row>
    <row r="2255">
      <c r="A2255" s="486" t="n">
        <v>30</v>
      </c>
      <c r="B2255" s="486" t="n">
        <v>2</v>
      </c>
      <c r="C2255" s="486" t="n">
        <v>2</v>
      </c>
      <c r="D2255" s="486" t="n">
        <v>2</v>
      </c>
      <c r="E2255" s="486" t="n">
        <v>2</v>
      </c>
      <c r="F2255" s="486" t="n">
        <v>2</v>
      </c>
      <c r="G2255" s="486" t="inlineStr">
        <is>
          <t>South-Left2</t>
        </is>
      </c>
      <c r="H2255" s="486" t="n">
        <v>0</v>
      </c>
      <c r="I2255" s="486" t="n">
        <v>0</v>
      </c>
      <c r="J2255" s="486" t="n">
        <v>0</v>
      </c>
      <c r="K2255" s="486" t="n">
        <v>0</v>
      </c>
      <c r="L2255" s="486" t="n">
        <v>0</v>
      </c>
      <c r="M2255" s="487" t="inlineStr">
        <is>
          <t>T</t>
        </is>
      </c>
    </row>
    <row r="2256">
      <c r="A2256" s="486" t="n">
        <v>30</v>
      </c>
      <c r="B2256" s="486" t="n">
        <v>2</v>
      </c>
      <c r="C2256" s="486" t="n">
        <v>2</v>
      </c>
      <c r="D2256" s="486" t="n">
        <v>2</v>
      </c>
      <c r="E2256" s="486" t="n">
        <v>2</v>
      </c>
      <c r="F2256" s="486" t="n">
        <v>2</v>
      </c>
      <c r="G2256" s="475" t="inlineStr">
        <is>
          <t>South-Left1</t>
        </is>
      </c>
      <c r="H2256" s="486" t="n">
        <v>5195.57</v>
      </c>
      <c r="I2256" s="486" t="n">
        <v>89</v>
      </c>
      <c r="J2256" s="486" t="n">
        <v>47</v>
      </c>
      <c r="K2256" s="486" t="n">
        <v>59</v>
      </c>
      <c r="L2256" s="486" t="n">
        <v>2</v>
      </c>
      <c r="M2256" s="487" t="inlineStr">
        <is>
          <t>T</t>
        </is>
      </c>
    </row>
    <row r="2257">
      <c r="A2257" s="486" t="n">
        <v>30</v>
      </c>
      <c r="B2257" s="486" t="n">
        <v>2</v>
      </c>
      <c r="C2257" s="486" t="n">
        <v>2</v>
      </c>
      <c r="D2257" s="486" t="n">
        <v>2</v>
      </c>
      <c r="E2257" s="486" t="n">
        <v>2</v>
      </c>
      <c r="F2257" s="486" t="n">
        <v>2</v>
      </c>
      <c r="G2257" s="486" t="inlineStr">
        <is>
          <t>South-Right1</t>
        </is>
      </c>
      <c r="H2257" s="486" t="n">
        <v>0</v>
      </c>
      <c r="I2257" s="486" t="n">
        <v>0</v>
      </c>
      <c r="J2257" s="486" t="n">
        <v>0</v>
      </c>
      <c r="K2257" s="486" t="n">
        <v>0</v>
      </c>
      <c r="L2257" s="486" t="n">
        <v>0</v>
      </c>
      <c r="M2257" s="487" t="inlineStr">
        <is>
          <t>T</t>
        </is>
      </c>
    </row>
    <row r="2258">
      <c r="A2258" s="486" t="n">
        <v>30</v>
      </c>
      <c r="B2258" s="486" t="n">
        <v>2</v>
      </c>
      <c r="C2258" s="486" t="n">
        <v>2</v>
      </c>
      <c r="D2258" s="486" t="n">
        <v>2</v>
      </c>
      <c r="E2258" s="486" t="n">
        <v>2</v>
      </c>
      <c r="F2258" s="486" t="n">
        <v>2</v>
      </c>
      <c r="G2258" s="486" t="inlineStr">
        <is>
          <t>South-Right2</t>
        </is>
      </c>
      <c r="H2258" s="486" t="n">
        <v>0</v>
      </c>
      <c r="I2258" s="486" t="n">
        <v>0</v>
      </c>
      <c r="J2258" s="486" t="n">
        <v>0</v>
      </c>
      <c r="K2258" s="486" t="n">
        <v>0</v>
      </c>
      <c r="L2258" s="486" t="n">
        <v>0</v>
      </c>
      <c r="M2258" s="487" t="inlineStr">
        <is>
          <t>T</t>
        </is>
      </c>
    </row>
    <row r="2259">
      <c r="A2259" s="485" t="n">
        <v>30</v>
      </c>
      <c r="B2259" s="485" t="n">
        <v>2</v>
      </c>
      <c r="C2259" s="485" t="n">
        <v>2</v>
      </c>
      <c r="D2259" s="485" t="n">
        <v>3</v>
      </c>
      <c r="E2259" s="485" t="n">
        <v>2</v>
      </c>
      <c r="F2259" s="485" t="n">
        <v>2</v>
      </c>
      <c r="G2259" s="485" t="inlineStr">
        <is>
          <t>West-Up2</t>
        </is>
      </c>
      <c r="H2259" s="485" t="n">
        <v>0</v>
      </c>
      <c r="I2259" s="485" t="n">
        <v>0</v>
      </c>
      <c r="J2259" s="485" t="n">
        <v>0</v>
      </c>
      <c r="K2259" s="485" t="n">
        <v>0</v>
      </c>
      <c r="L2259" s="485" t="n">
        <v>0</v>
      </c>
      <c r="M2259" s="514" t="inlineStr">
        <is>
          <t>T</t>
        </is>
      </c>
    </row>
    <row r="2260">
      <c r="A2260" s="485" t="n">
        <v>30</v>
      </c>
      <c r="B2260" s="485" t="n">
        <v>2</v>
      </c>
      <c r="C2260" s="485" t="n">
        <v>2</v>
      </c>
      <c r="D2260" s="485" t="n">
        <v>3</v>
      </c>
      <c r="E2260" s="485" t="n">
        <v>2</v>
      </c>
      <c r="F2260" s="485" t="n">
        <v>2</v>
      </c>
      <c r="G2260" s="516" t="inlineStr">
        <is>
          <t>West-Up1</t>
        </is>
      </c>
      <c r="H2260" s="485" t="n">
        <v>2545.48</v>
      </c>
      <c r="I2260" s="485" t="n">
        <v>0</v>
      </c>
      <c r="J2260" s="485" t="n">
        <v>2</v>
      </c>
      <c r="K2260" s="485" t="n">
        <v>5</v>
      </c>
      <c r="L2260" s="485" t="n">
        <v>4</v>
      </c>
      <c r="M2260" s="514" t="inlineStr">
        <is>
          <t>T</t>
        </is>
      </c>
    </row>
    <row r="2261">
      <c r="A2261" s="485" t="n">
        <v>30</v>
      </c>
      <c r="B2261" s="485" t="n">
        <v>2</v>
      </c>
      <c r="C2261" s="485" t="n">
        <v>2</v>
      </c>
      <c r="D2261" s="485" t="n">
        <v>3</v>
      </c>
      <c r="E2261" s="485" t="n">
        <v>2</v>
      </c>
      <c r="F2261" s="485" t="n">
        <v>2</v>
      </c>
      <c r="G2261" s="485" t="inlineStr">
        <is>
          <t>West-Down1</t>
        </is>
      </c>
      <c r="H2261" s="485" t="n">
        <v>2644.39</v>
      </c>
      <c r="I2261" s="485" t="n">
        <v>0</v>
      </c>
      <c r="J2261" s="485" t="n">
        <v>0</v>
      </c>
      <c r="K2261" s="485" t="n">
        <v>17</v>
      </c>
      <c r="L2261" s="485" t="n">
        <v>4</v>
      </c>
      <c r="M2261" s="514" t="inlineStr">
        <is>
          <t>T</t>
        </is>
      </c>
    </row>
    <row r="2262">
      <c r="A2262" s="485" t="n">
        <v>30</v>
      </c>
      <c r="B2262" s="485" t="n">
        <v>2</v>
      </c>
      <c r="C2262" s="485" t="n">
        <v>2</v>
      </c>
      <c r="D2262" s="485" t="n">
        <v>3</v>
      </c>
      <c r="E2262" s="485" t="n">
        <v>2</v>
      </c>
      <c r="F2262" s="485" t="n">
        <v>2</v>
      </c>
      <c r="G2262" s="485" t="inlineStr">
        <is>
          <t>West-Down2</t>
        </is>
      </c>
      <c r="H2262" s="485" t="n">
        <v>0</v>
      </c>
      <c r="I2262" s="485" t="n">
        <v>0</v>
      </c>
      <c r="J2262" s="485" t="n">
        <v>0</v>
      </c>
      <c r="K2262" s="485" t="n">
        <v>0</v>
      </c>
      <c r="L2262" s="485" t="n">
        <v>0</v>
      </c>
      <c r="M2262" s="514" t="inlineStr">
        <is>
          <t>T</t>
        </is>
      </c>
    </row>
    <row r="2263">
      <c r="A2263" s="485" t="n">
        <v>30</v>
      </c>
      <c r="B2263" s="485" t="n">
        <v>2</v>
      </c>
      <c r="C2263" s="485" t="n">
        <v>2</v>
      </c>
      <c r="D2263" s="485" t="n">
        <v>3</v>
      </c>
      <c r="E2263" s="485" t="n">
        <v>2</v>
      </c>
      <c r="F2263" s="485" t="n">
        <v>2</v>
      </c>
      <c r="G2263" s="485" t="inlineStr">
        <is>
          <t>East-Up2</t>
        </is>
      </c>
      <c r="H2263" s="485" t="n">
        <v>0</v>
      </c>
      <c r="I2263" s="485" t="n">
        <v>0</v>
      </c>
      <c r="J2263" s="485" t="n">
        <v>0</v>
      </c>
      <c r="K2263" s="485" t="n">
        <v>0</v>
      </c>
      <c r="L2263" s="485" t="n">
        <v>0</v>
      </c>
      <c r="M2263" s="514" t="inlineStr">
        <is>
          <t>T</t>
        </is>
      </c>
    </row>
    <row r="2264">
      <c r="A2264" s="485" t="n">
        <v>30</v>
      </c>
      <c r="B2264" s="485" t="n">
        <v>2</v>
      </c>
      <c r="C2264" s="485" t="n">
        <v>2</v>
      </c>
      <c r="D2264" s="485" t="n">
        <v>3</v>
      </c>
      <c r="E2264" s="485" t="n">
        <v>2</v>
      </c>
      <c r="F2264" s="485" t="n">
        <v>2</v>
      </c>
      <c r="G2264" s="516" t="inlineStr">
        <is>
          <t>East-Up1</t>
        </is>
      </c>
      <c r="H2264" s="485" t="n">
        <v>5309.4</v>
      </c>
      <c r="I2264" s="485" t="n">
        <v>0</v>
      </c>
      <c r="J2264" s="485" t="n">
        <v>17</v>
      </c>
      <c r="K2264" s="485" t="n">
        <v>32</v>
      </c>
      <c r="L2264" s="485" t="n">
        <v>3</v>
      </c>
      <c r="M2264" s="514" t="inlineStr">
        <is>
          <t>T</t>
        </is>
      </c>
    </row>
    <row r="2265">
      <c r="A2265" s="485" t="n">
        <v>30</v>
      </c>
      <c r="B2265" s="485" t="n">
        <v>2</v>
      </c>
      <c r="C2265" s="485" t="n">
        <v>2</v>
      </c>
      <c r="D2265" s="485" t="n">
        <v>3</v>
      </c>
      <c r="E2265" s="485" t="n">
        <v>2</v>
      </c>
      <c r="F2265" s="485" t="n">
        <v>2</v>
      </c>
      <c r="G2265" s="485" t="inlineStr">
        <is>
          <t>East-Down1</t>
        </is>
      </c>
      <c r="H2265" s="485" t="n">
        <v>0</v>
      </c>
      <c r="I2265" s="485" t="n">
        <v>0</v>
      </c>
      <c r="J2265" s="485" t="n">
        <v>0</v>
      </c>
      <c r="K2265" s="485" t="n">
        <v>0</v>
      </c>
      <c r="L2265" s="485" t="n">
        <v>0</v>
      </c>
      <c r="M2265" s="514" t="inlineStr">
        <is>
          <t>T</t>
        </is>
      </c>
    </row>
    <row r="2266">
      <c r="A2266" s="485" t="n">
        <v>30</v>
      </c>
      <c r="B2266" s="485" t="n">
        <v>2</v>
      </c>
      <c r="C2266" s="485" t="n">
        <v>2</v>
      </c>
      <c r="D2266" s="485" t="n">
        <v>3</v>
      </c>
      <c r="E2266" s="485" t="n">
        <v>2</v>
      </c>
      <c r="F2266" s="485" t="n">
        <v>2</v>
      </c>
      <c r="G2266" s="485" t="inlineStr">
        <is>
          <t>East-Down2</t>
        </is>
      </c>
      <c r="H2266" s="485" t="n">
        <v>0</v>
      </c>
      <c r="I2266" s="485" t="n">
        <v>0</v>
      </c>
      <c r="J2266" s="485" t="n">
        <v>0</v>
      </c>
      <c r="K2266" s="485" t="n">
        <v>0</v>
      </c>
      <c r="L2266" s="485" t="n">
        <v>0</v>
      </c>
      <c r="M2266" s="514" t="inlineStr">
        <is>
          <t>T</t>
        </is>
      </c>
    </row>
    <row r="2267">
      <c r="A2267" s="485" t="n">
        <v>30</v>
      </c>
      <c r="B2267" s="485" t="n">
        <v>2</v>
      </c>
      <c r="C2267" s="485" t="n">
        <v>2</v>
      </c>
      <c r="D2267" s="485" t="n">
        <v>3</v>
      </c>
      <c r="E2267" s="485" t="n">
        <v>2</v>
      </c>
      <c r="F2267" s="485" t="n">
        <v>2</v>
      </c>
      <c r="G2267" s="485" t="inlineStr">
        <is>
          <t>North-Left2</t>
        </is>
      </c>
      <c r="H2267" s="485" t="n">
        <v>0</v>
      </c>
      <c r="I2267" s="485" t="n">
        <v>0</v>
      </c>
      <c r="J2267" s="485" t="n">
        <v>0</v>
      </c>
      <c r="K2267" s="485" t="n">
        <v>0</v>
      </c>
      <c r="L2267" s="485" t="n">
        <v>0</v>
      </c>
      <c r="M2267" s="514" t="inlineStr">
        <is>
          <t>T</t>
        </is>
      </c>
    </row>
    <row r="2268">
      <c r="A2268" s="485" t="n">
        <v>30</v>
      </c>
      <c r="B2268" s="485" t="n">
        <v>2</v>
      </c>
      <c r="C2268" s="485" t="n">
        <v>2</v>
      </c>
      <c r="D2268" s="485" t="n">
        <v>3</v>
      </c>
      <c r="E2268" s="485" t="n">
        <v>2</v>
      </c>
      <c r="F2268" s="485" t="n">
        <v>2</v>
      </c>
      <c r="G2268" s="516" t="inlineStr">
        <is>
          <t>North-Left1</t>
        </is>
      </c>
      <c r="H2268" s="485" t="n">
        <v>5207.42</v>
      </c>
      <c r="I2268" s="485" t="n">
        <v>87</v>
      </c>
      <c r="J2268" s="485" t="n">
        <v>15</v>
      </c>
      <c r="K2268" s="485" t="n">
        <v>39</v>
      </c>
      <c r="L2268" s="485" t="n">
        <v>2</v>
      </c>
      <c r="M2268" s="514" t="inlineStr">
        <is>
          <t>T</t>
        </is>
      </c>
    </row>
    <row r="2269">
      <c r="A2269" s="485" t="n">
        <v>30</v>
      </c>
      <c r="B2269" s="485" t="n">
        <v>2</v>
      </c>
      <c r="C2269" s="485" t="n">
        <v>2</v>
      </c>
      <c r="D2269" s="485" t="n">
        <v>3</v>
      </c>
      <c r="E2269" s="485" t="n">
        <v>2</v>
      </c>
      <c r="F2269" s="485" t="n">
        <v>2</v>
      </c>
      <c r="G2269" s="485" t="inlineStr">
        <is>
          <t>North-Right1</t>
        </is>
      </c>
      <c r="H2269" s="485" t="n">
        <v>0</v>
      </c>
      <c r="I2269" s="485" t="n">
        <v>0</v>
      </c>
      <c r="J2269" s="485" t="n">
        <v>0</v>
      </c>
      <c r="K2269" s="485" t="n">
        <v>0</v>
      </c>
      <c r="L2269" s="485" t="n">
        <v>0</v>
      </c>
      <c r="M2269" s="514" t="inlineStr">
        <is>
          <t>T</t>
        </is>
      </c>
    </row>
    <row r="2270">
      <c r="A2270" s="485" t="n">
        <v>30</v>
      </c>
      <c r="B2270" s="485" t="n">
        <v>2</v>
      </c>
      <c r="C2270" s="485" t="n">
        <v>2</v>
      </c>
      <c r="D2270" s="485" t="n">
        <v>3</v>
      </c>
      <c r="E2270" s="485" t="n">
        <v>2</v>
      </c>
      <c r="F2270" s="485" t="n">
        <v>2</v>
      </c>
      <c r="G2270" s="485" t="inlineStr">
        <is>
          <t>North-Right2</t>
        </is>
      </c>
      <c r="H2270" s="485" t="n">
        <v>0</v>
      </c>
      <c r="I2270" s="485" t="n">
        <v>0</v>
      </c>
      <c r="J2270" s="485" t="n">
        <v>0</v>
      </c>
      <c r="K2270" s="485" t="n">
        <v>0</v>
      </c>
      <c r="L2270" s="485" t="n">
        <v>0</v>
      </c>
      <c r="M2270" s="514" t="inlineStr">
        <is>
          <t>T</t>
        </is>
      </c>
    </row>
    <row r="2271">
      <c r="A2271" s="485" t="n">
        <v>30</v>
      </c>
      <c r="B2271" s="485" t="n">
        <v>2</v>
      </c>
      <c r="C2271" s="485" t="n">
        <v>2</v>
      </c>
      <c r="D2271" s="485" t="n">
        <v>3</v>
      </c>
      <c r="E2271" s="485" t="n">
        <v>2</v>
      </c>
      <c r="F2271" s="485" t="n">
        <v>2</v>
      </c>
      <c r="G2271" s="485" t="inlineStr">
        <is>
          <t>South-Left2</t>
        </is>
      </c>
      <c r="H2271" s="485" t="n">
        <v>0</v>
      </c>
      <c r="I2271" s="485" t="n">
        <v>0</v>
      </c>
      <c r="J2271" s="485" t="n">
        <v>0</v>
      </c>
      <c r="K2271" s="485" t="n">
        <v>0</v>
      </c>
      <c r="L2271" s="485" t="n">
        <v>0</v>
      </c>
      <c r="M2271" s="514" t="inlineStr">
        <is>
          <t>T</t>
        </is>
      </c>
    </row>
    <row r="2272">
      <c r="A2272" s="485" t="n">
        <v>30</v>
      </c>
      <c r="B2272" s="485" t="n">
        <v>2</v>
      </c>
      <c r="C2272" s="485" t="n">
        <v>2</v>
      </c>
      <c r="D2272" s="485" t="n">
        <v>3</v>
      </c>
      <c r="E2272" s="485" t="n">
        <v>2</v>
      </c>
      <c r="F2272" s="485" t="n">
        <v>2</v>
      </c>
      <c r="G2272" s="516" t="inlineStr">
        <is>
          <t>South-Left1</t>
        </is>
      </c>
      <c r="H2272" s="485" t="n">
        <v>5179.25</v>
      </c>
      <c r="I2272" s="485" t="n">
        <v>86</v>
      </c>
      <c r="J2272" s="485" t="n">
        <v>39</v>
      </c>
      <c r="K2272" s="485" t="n">
        <v>33</v>
      </c>
      <c r="L2272" s="485" t="n">
        <v>3</v>
      </c>
      <c r="M2272" s="514" t="inlineStr">
        <is>
          <t>T</t>
        </is>
      </c>
    </row>
    <row r="2273">
      <c r="A2273" s="485" t="n">
        <v>30</v>
      </c>
      <c r="B2273" s="485" t="n">
        <v>2</v>
      </c>
      <c r="C2273" s="485" t="n">
        <v>2</v>
      </c>
      <c r="D2273" s="485" t="n">
        <v>3</v>
      </c>
      <c r="E2273" s="485" t="n">
        <v>2</v>
      </c>
      <c r="F2273" s="485" t="n">
        <v>2</v>
      </c>
      <c r="G2273" s="485" t="inlineStr">
        <is>
          <t>South-Right1</t>
        </is>
      </c>
      <c r="H2273" s="485" t="n">
        <v>0</v>
      </c>
      <c r="I2273" s="485" t="n">
        <v>0</v>
      </c>
      <c r="J2273" s="485" t="n">
        <v>0</v>
      </c>
      <c r="K2273" s="485" t="n">
        <v>0</v>
      </c>
      <c r="L2273" s="485" t="n">
        <v>0</v>
      </c>
      <c r="M2273" s="514" t="inlineStr">
        <is>
          <t>T</t>
        </is>
      </c>
    </row>
    <row r="2274">
      <c r="A2274" s="485" t="n">
        <v>30</v>
      </c>
      <c r="B2274" s="485" t="n">
        <v>2</v>
      </c>
      <c r="C2274" s="485" t="n">
        <v>2</v>
      </c>
      <c r="D2274" s="485" t="n">
        <v>3</v>
      </c>
      <c r="E2274" s="485" t="n">
        <v>2</v>
      </c>
      <c r="F2274" s="485" t="n">
        <v>2</v>
      </c>
      <c r="G2274" s="485" t="inlineStr">
        <is>
          <t>South-Right2</t>
        </is>
      </c>
      <c r="H2274" s="485" t="n">
        <v>0</v>
      </c>
      <c r="I2274" s="485" t="n">
        <v>0</v>
      </c>
      <c r="J2274" s="485" t="n">
        <v>0</v>
      </c>
      <c r="K2274" s="485" t="n">
        <v>0</v>
      </c>
      <c r="L2274" s="485" t="n">
        <v>0</v>
      </c>
      <c r="M2274" s="514" t="inlineStr">
        <is>
          <t>T</t>
        </is>
      </c>
    </row>
    <row r="2275">
      <c r="A2275" s="486" t="n">
        <v>30</v>
      </c>
      <c r="B2275" s="486" t="n">
        <v>3</v>
      </c>
      <c r="C2275" s="486" t="n">
        <v>2</v>
      </c>
      <c r="D2275" s="486" t="n">
        <v>1</v>
      </c>
      <c r="E2275" s="486" t="n">
        <v>1</v>
      </c>
      <c r="F2275" s="486" t="n">
        <v>2</v>
      </c>
      <c r="G2275" s="486" t="inlineStr">
        <is>
          <t>West-Up2</t>
        </is>
      </c>
      <c r="H2275" s="486" t="n">
        <v>0</v>
      </c>
      <c r="I2275" s="486" t="n">
        <v>0</v>
      </c>
      <c r="J2275" s="486" t="n">
        <v>0</v>
      </c>
      <c r="K2275" s="486" t="n">
        <v>0</v>
      </c>
      <c r="L2275" s="486" t="n">
        <v>0</v>
      </c>
      <c r="M2275" s="487" t="inlineStr">
        <is>
          <t>T</t>
        </is>
      </c>
    </row>
    <row r="2276">
      <c r="A2276" s="486" t="n">
        <v>30</v>
      </c>
      <c r="B2276" s="486" t="n">
        <v>3</v>
      </c>
      <c r="C2276" s="486" t="n">
        <v>2</v>
      </c>
      <c r="D2276" s="486" t="n">
        <v>1</v>
      </c>
      <c r="E2276" s="486" t="n">
        <v>1</v>
      </c>
      <c r="F2276" s="486" t="n">
        <v>2</v>
      </c>
      <c r="G2276" s="475" t="inlineStr">
        <is>
          <t>West-Up1</t>
        </is>
      </c>
      <c r="H2276" s="486" t="n">
        <v>2819.55</v>
      </c>
      <c r="I2276" s="486" t="n">
        <v>0</v>
      </c>
      <c r="J2276" s="486" t="n">
        <v>3</v>
      </c>
      <c r="K2276" s="486" t="n">
        <v>49</v>
      </c>
      <c r="L2276" s="486" t="n">
        <v>3</v>
      </c>
      <c r="M2276" s="487" t="inlineStr">
        <is>
          <t>T</t>
        </is>
      </c>
    </row>
    <row r="2277">
      <c r="A2277" s="486" t="n">
        <v>30</v>
      </c>
      <c r="B2277" s="486" t="n">
        <v>3</v>
      </c>
      <c r="C2277" s="486" t="n">
        <v>2</v>
      </c>
      <c r="D2277" s="486" t="n">
        <v>1</v>
      </c>
      <c r="E2277" s="486" t="n">
        <v>1</v>
      </c>
      <c r="F2277" s="486" t="n">
        <v>2</v>
      </c>
      <c r="G2277" s="486" t="inlineStr">
        <is>
          <t>West-Down1</t>
        </is>
      </c>
      <c r="H2277" s="486" t="n">
        <v>2639.13</v>
      </c>
      <c r="I2277" s="486" t="n">
        <v>0</v>
      </c>
      <c r="J2277" s="486" t="n">
        <v>2</v>
      </c>
      <c r="K2277" s="486" t="n">
        <v>4</v>
      </c>
      <c r="L2277" s="486" t="n">
        <v>3</v>
      </c>
      <c r="M2277" s="487" t="inlineStr">
        <is>
          <t>T</t>
        </is>
      </c>
    </row>
    <row r="2278">
      <c r="A2278" s="486" t="n">
        <v>30</v>
      </c>
      <c r="B2278" s="486" t="n">
        <v>3</v>
      </c>
      <c r="C2278" s="486" t="n">
        <v>2</v>
      </c>
      <c r="D2278" s="486" t="n">
        <v>1</v>
      </c>
      <c r="E2278" s="486" t="n">
        <v>1</v>
      </c>
      <c r="F2278" s="486" t="n">
        <v>2</v>
      </c>
      <c r="G2278" s="486" t="inlineStr">
        <is>
          <t>West-Down2</t>
        </is>
      </c>
      <c r="H2278" s="486" t="n">
        <v>0</v>
      </c>
      <c r="I2278" s="486" t="n">
        <v>0</v>
      </c>
      <c r="J2278" s="486" t="n">
        <v>0</v>
      </c>
      <c r="K2278" s="486" t="n">
        <v>0</v>
      </c>
      <c r="L2278" s="486" t="n">
        <v>0</v>
      </c>
      <c r="M2278" s="487" t="inlineStr">
        <is>
          <t>T</t>
        </is>
      </c>
    </row>
    <row r="2279">
      <c r="A2279" s="486" t="n">
        <v>30</v>
      </c>
      <c r="B2279" s="486" t="n">
        <v>3</v>
      </c>
      <c r="C2279" s="486" t="n">
        <v>2</v>
      </c>
      <c r="D2279" s="486" t="n">
        <v>1</v>
      </c>
      <c r="E2279" s="486" t="n">
        <v>1</v>
      </c>
      <c r="F2279" s="486" t="n">
        <v>2</v>
      </c>
      <c r="G2279" s="486" t="inlineStr">
        <is>
          <t>East-Up2</t>
        </is>
      </c>
      <c r="H2279" s="486" t="n">
        <v>1317.58</v>
      </c>
      <c r="I2279" s="486" t="n">
        <v>0</v>
      </c>
      <c r="J2279" s="486" t="n">
        <v>48</v>
      </c>
      <c r="K2279" s="486" t="n">
        <v>59</v>
      </c>
      <c r="L2279" s="486" t="n">
        <v>3</v>
      </c>
      <c r="M2279" s="487" t="inlineStr">
        <is>
          <t>T</t>
        </is>
      </c>
    </row>
    <row r="2280">
      <c r="A2280" s="486" t="n">
        <v>30</v>
      </c>
      <c r="B2280" s="486" t="n">
        <v>3</v>
      </c>
      <c r="C2280" s="486" t="n">
        <v>2</v>
      </c>
      <c r="D2280" s="486" t="n">
        <v>1</v>
      </c>
      <c r="E2280" s="486" t="n">
        <v>1</v>
      </c>
      <c r="F2280" s="486" t="n">
        <v>2</v>
      </c>
      <c r="G2280" s="475" t="inlineStr">
        <is>
          <t>East-Up1</t>
        </is>
      </c>
      <c r="H2280" s="486" t="n">
        <v>1317.58</v>
      </c>
      <c r="I2280" s="486" t="n">
        <v>0</v>
      </c>
      <c r="J2280" s="486" t="n">
        <v>48</v>
      </c>
      <c r="K2280" s="486" t="n">
        <v>59</v>
      </c>
      <c r="L2280" s="486" t="n">
        <v>3</v>
      </c>
      <c r="M2280" s="487" t="inlineStr">
        <is>
          <t>T</t>
        </is>
      </c>
    </row>
    <row r="2281">
      <c r="A2281" s="486" t="n">
        <v>30</v>
      </c>
      <c r="B2281" s="486" t="n">
        <v>3</v>
      </c>
      <c r="C2281" s="486" t="n">
        <v>2</v>
      </c>
      <c r="D2281" s="486" t="n">
        <v>1</v>
      </c>
      <c r="E2281" s="486" t="n">
        <v>1</v>
      </c>
      <c r="F2281" s="486" t="n">
        <v>2</v>
      </c>
      <c r="G2281" s="486" t="inlineStr">
        <is>
          <t>East-Down1</t>
        </is>
      </c>
      <c r="H2281" s="486" t="n">
        <v>1316.91</v>
      </c>
      <c r="I2281" s="486" t="n">
        <v>0</v>
      </c>
      <c r="J2281" s="486" t="n">
        <v>18</v>
      </c>
      <c r="K2281" s="486" t="n">
        <v>59</v>
      </c>
      <c r="L2281" s="486" t="n">
        <v>3</v>
      </c>
      <c r="M2281" s="487" t="inlineStr">
        <is>
          <t>T</t>
        </is>
      </c>
    </row>
    <row r="2282">
      <c r="A2282" s="486" t="n">
        <v>30</v>
      </c>
      <c r="B2282" s="486" t="n">
        <v>3</v>
      </c>
      <c r="C2282" s="486" t="n">
        <v>2</v>
      </c>
      <c r="D2282" s="486" t="n">
        <v>1</v>
      </c>
      <c r="E2282" s="486" t="n">
        <v>1</v>
      </c>
      <c r="F2282" s="486" t="n">
        <v>2</v>
      </c>
      <c r="G2282" s="486" t="inlineStr">
        <is>
          <t>East-Down2</t>
        </is>
      </c>
      <c r="H2282" s="486" t="n">
        <v>1316.91</v>
      </c>
      <c r="I2282" s="486" t="n">
        <v>0</v>
      </c>
      <c r="J2282" s="486" t="n">
        <v>18</v>
      </c>
      <c r="K2282" s="486" t="n">
        <v>59</v>
      </c>
      <c r="L2282" s="486" t="n">
        <v>3</v>
      </c>
      <c r="M2282" s="487" t="inlineStr">
        <is>
          <t>T</t>
        </is>
      </c>
    </row>
    <row r="2283">
      <c r="A2283" s="486" t="n">
        <v>30</v>
      </c>
      <c r="B2283" s="486" t="n">
        <v>3</v>
      </c>
      <c r="C2283" s="486" t="n">
        <v>2</v>
      </c>
      <c r="D2283" s="486" t="n">
        <v>1</v>
      </c>
      <c r="E2283" s="486" t="n">
        <v>1</v>
      </c>
      <c r="F2283" s="486" t="n">
        <v>2</v>
      </c>
      <c r="G2283" s="486" t="inlineStr">
        <is>
          <t>North-Left2</t>
        </is>
      </c>
      <c r="H2283" s="486" t="n">
        <v>0</v>
      </c>
      <c r="I2283" s="486" t="n">
        <v>0</v>
      </c>
      <c r="J2283" s="486" t="n">
        <v>0</v>
      </c>
      <c r="K2283" s="486" t="n">
        <v>0</v>
      </c>
      <c r="L2283" s="486" t="n">
        <v>0</v>
      </c>
      <c r="M2283" s="487" t="inlineStr">
        <is>
          <t>T</t>
        </is>
      </c>
    </row>
    <row r="2284">
      <c r="A2284" s="486" t="n">
        <v>30</v>
      </c>
      <c r="B2284" s="486" t="n">
        <v>3</v>
      </c>
      <c r="C2284" s="486" t="n">
        <v>2</v>
      </c>
      <c r="D2284" s="486" t="n">
        <v>1</v>
      </c>
      <c r="E2284" s="486" t="n">
        <v>1</v>
      </c>
      <c r="F2284" s="486" t="n">
        <v>2</v>
      </c>
      <c r="G2284" s="475" t="inlineStr">
        <is>
          <t>North-Left1</t>
        </is>
      </c>
      <c r="H2284" s="486" t="n">
        <v>2642.15</v>
      </c>
      <c r="I2284" s="486" t="n">
        <v>89</v>
      </c>
      <c r="J2284" s="486" t="n">
        <v>51</v>
      </c>
      <c r="K2284" s="486" t="n">
        <v>15</v>
      </c>
      <c r="L2284" s="486" t="n">
        <v>2</v>
      </c>
      <c r="M2284" s="487" t="inlineStr">
        <is>
          <t>T</t>
        </is>
      </c>
    </row>
    <row r="2285">
      <c r="A2285" s="486" t="n">
        <v>30</v>
      </c>
      <c r="B2285" s="486" t="n">
        <v>3</v>
      </c>
      <c r="C2285" s="486" t="n">
        <v>2</v>
      </c>
      <c r="D2285" s="486" t="n">
        <v>1</v>
      </c>
      <c r="E2285" s="486" t="n">
        <v>1</v>
      </c>
      <c r="F2285" s="486" t="n">
        <v>2</v>
      </c>
      <c r="G2285" s="486" t="inlineStr">
        <is>
          <t>North-Right1</t>
        </is>
      </c>
      <c r="H2285" s="486" t="n">
        <v>1298.58</v>
      </c>
      <c r="I2285" s="486" t="n">
        <v>89</v>
      </c>
      <c r="J2285" s="486" t="n">
        <v>58</v>
      </c>
      <c r="K2285" s="486" t="n">
        <v>37</v>
      </c>
      <c r="L2285" s="486" t="n">
        <v>3</v>
      </c>
      <c r="M2285" s="487" t="inlineStr">
        <is>
          <t>T</t>
        </is>
      </c>
    </row>
    <row r="2286">
      <c r="A2286" s="486" t="n">
        <v>30</v>
      </c>
      <c r="B2286" s="486" t="n">
        <v>3</v>
      </c>
      <c r="C2286" s="486" t="n">
        <v>2</v>
      </c>
      <c r="D2286" s="486" t="n">
        <v>1</v>
      </c>
      <c r="E2286" s="486" t="n">
        <v>1</v>
      </c>
      <c r="F2286" s="486" t="n">
        <v>2</v>
      </c>
      <c r="G2286" s="486" t="inlineStr">
        <is>
          <t>North-Right2</t>
        </is>
      </c>
      <c r="H2286" s="486" t="n">
        <v>1324.86</v>
      </c>
      <c r="I2286" s="486" t="n">
        <v>89</v>
      </c>
      <c r="J2286" s="486" t="n">
        <v>58</v>
      </c>
      <c r="K2286" s="486" t="n">
        <v>37</v>
      </c>
      <c r="L2286" s="486" t="n">
        <v>3</v>
      </c>
      <c r="M2286" s="487" t="inlineStr">
        <is>
          <t>T</t>
        </is>
      </c>
    </row>
    <row r="2287">
      <c r="A2287" s="486" t="n">
        <v>30</v>
      </c>
      <c r="B2287" s="486" t="n">
        <v>3</v>
      </c>
      <c r="C2287" s="486" t="n">
        <v>2</v>
      </c>
      <c r="D2287" s="486" t="n">
        <v>1</v>
      </c>
      <c r="E2287" s="486" t="n">
        <v>1</v>
      </c>
      <c r="F2287" s="486" t="n">
        <v>2</v>
      </c>
      <c r="G2287" s="486" t="inlineStr">
        <is>
          <t>South-Left2</t>
        </is>
      </c>
      <c r="H2287" s="486" t="n">
        <v>1319.67</v>
      </c>
      <c r="I2287" s="486" t="n">
        <v>89</v>
      </c>
      <c r="J2287" s="486" t="n">
        <v>25</v>
      </c>
      <c r="K2287" s="486" t="n">
        <v>4</v>
      </c>
      <c r="L2287" s="486" t="n">
        <v>4</v>
      </c>
      <c r="M2287" s="487" t="inlineStr">
        <is>
          <t>T</t>
        </is>
      </c>
    </row>
    <row r="2288">
      <c r="A2288" s="486" t="n">
        <v>30</v>
      </c>
      <c r="B2288" s="486" t="n">
        <v>3</v>
      </c>
      <c r="C2288" s="486" t="n">
        <v>2</v>
      </c>
      <c r="D2288" s="486" t="n">
        <v>1</v>
      </c>
      <c r="E2288" s="486" t="n">
        <v>1</v>
      </c>
      <c r="F2288" s="486" t="n">
        <v>2</v>
      </c>
      <c r="G2288" s="475" t="inlineStr">
        <is>
          <t>South-Left1</t>
        </is>
      </c>
      <c r="H2288" s="486" t="n">
        <v>1319.7</v>
      </c>
      <c r="I2288" s="486" t="n">
        <v>89</v>
      </c>
      <c r="J2288" s="486" t="n">
        <v>24</v>
      </c>
      <c r="K2288" s="486" t="n">
        <v>36</v>
      </c>
      <c r="L2288" s="486" t="n">
        <v>4</v>
      </c>
      <c r="M2288" s="487" t="inlineStr">
        <is>
          <t>T</t>
        </is>
      </c>
    </row>
    <row r="2289">
      <c r="A2289" s="486" t="n">
        <v>30</v>
      </c>
      <c r="B2289" s="486" t="n">
        <v>3</v>
      </c>
      <c r="C2289" s="486" t="n">
        <v>2</v>
      </c>
      <c r="D2289" s="486" t="n">
        <v>1</v>
      </c>
      <c r="E2289" s="486" t="n">
        <v>1</v>
      </c>
      <c r="F2289" s="486" t="n">
        <v>2</v>
      </c>
      <c r="G2289" s="486" t="inlineStr">
        <is>
          <t>South-Right1</t>
        </is>
      </c>
      <c r="H2289" s="486" t="n">
        <v>1331.72</v>
      </c>
      <c r="I2289" s="486" t="n">
        <v>89</v>
      </c>
      <c r="J2289" s="486" t="n">
        <v>49</v>
      </c>
      <c r="K2289" s="486" t="n">
        <v>53</v>
      </c>
      <c r="L2289" s="486" t="n">
        <v>4</v>
      </c>
      <c r="M2289" s="487" t="inlineStr">
        <is>
          <t>T</t>
        </is>
      </c>
    </row>
    <row r="2290">
      <c r="A2290" s="486" t="n">
        <v>30</v>
      </c>
      <c r="B2290" s="486" t="n">
        <v>3</v>
      </c>
      <c r="C2290" s="486" t="n">
        <v>2</v>
      </c>
      <c r="D2290" s="486" t="n">
        <v>1</v>
      </c>
      <c r="E2290" s="486" t="n">
        <v>1</v>
      </c>
      <c r="F2290" s="486" t="n">
        <v>2</v>
      </c>
      <c r="G2290" s="486" t="inlineStr">
        <is>
          <t>South-Right2</t>
        </is>
      </c>
      <c r="H2290" s="486" t="n">
        <v>1305.76</v>
      </c>
      <c r="I2290" s="486" t="n">
        <v>89</v>
      </c>
      <c r="J2290" s="486" t="n">
        <v>51</v>
      </c>
      <c r="K2290" s="486" t="n">
        <v>46</v>
      </c>
      <c r="L2290" s="486" t="n">
        <v>4</v>
      </c>
      <c r="M2290" s="487" t="inlineStr">
        <is>
          <t>T</t>
        </is>
      </c>
    </row>
    <row r="2291">
      <c r="A2291" s="485" t="n">
        <v>31</v>
      </c>
      <c r="B2291" s="485" t="n">
        <v>1</v>
      </c>
      <c r="C2291" s="485" t="n">
        <v>2</v>
      </c>
      <c r="D2291" s="485" t="n">
        <v>1</v>
      </c>
      <c r="E2291" s="485" t="n">
        <v>2</v>
      </c>
      <c r="F2291" s="485" t="n">
        <v>2</v>
      </c>
      <c r="G2291" s="485" t="inlineStr">
        <is>
          <t>West-Up2</t>
        </is>
      </c>
      <c r="H2291" s="485" t="n">
        <v>0</v>
      </c>
      <c r="I2291" s="485" t="n">
        <v>0</v>
      </c>
      <c r="J2291" s="485" t="n">
        <v>0</v>
      </c>
      <c r="K2291" s="485" t="n">
        <v>0</v>
      </c>
      <c r="L2291" s="485" t="n">
        <v>0</v>
      </c>
      <c r="M2291" s="515" t="inlineStr">
        <is>
          <t>T</t>
        </is>
      </c>
    </row>
    <row r="2292">
      <c r="A2292" s="485" t="n">
        <v>31</v>
      </c>
      <c r="B2292" s="485" t="n">
        <v>1</v>
      </c>
      <c r="C2292" s="485" t="n">
        <v>2</v>
      </c>
      <c r="D2292" s="485" t="n">
        <v>1</v>
      </c>
      <c r="E2292" s="485" t="n">
        <v>2</v>
      </c>
      <c r="F2292" s="485" t="n">
        <v>2</v>
      </c>
      <c r="G2292" s="516" t="inlineStr">
        <is>
          <t>West-Up1</t>
        </is>
      </c>
      <c r="H2292" s="485" t="n">
        <v>2633.5</v>
      </c>
      <c r="I2292" s="485" t="n">
        <v>0</v>
      </c>
      <c r="J2292" s="485" t="n">
        <v>1</v>
      </c>
      <c r="K2292" s="485" t="n">
        <v>29</v>
      </c>
      <c r="L2292" s="485" t="n">
        <v>4</v>
      </c>
      <c r="M2292" s="515" t="inlineStr">
        <is>
          <t>T</t>
        </is>
      </c>
    </row>
    <row r="2293">
      <c r="A2293" s="485" t="n">
        <v>31</v>
      </c>
      <c r="B2293" s="485" t="n">
        <v>1</v>
      </c>
      <c r="C2293" s="485" t="n">
        <v>2</v>
      </c>
      <c r="D2293" s="485" t="n">
        <v>1</v>
      </c>
      <c r="E2293" s="485" t="n">
        <v>2</v>
      </c>
      <c r="F2293" s="485" t="n">
        <v>2</v>
      </c>
      <c r="G2293" s="485" t="inlineStr">
        <is>
          <t>West-Down1</t>
        </is>
      </c>
      <c r="H2293" s="485" t="n">
        <v>2644.78</v>
      </c>
      <c r="I2293" s="485" t="n">
        <v>0</v>
      </c>
      <c r="J2293" s="485" t="n">
        <v>16</v>
      </c>
      <c r="K2293" s="485" t="n">
        <v>37</v>
      </c>
      <c r="L2293" s="485" t="n">
        <v>4</v>
      </c>
      <c r="M2293" s="515" t="inlineStr">
        <is>
          <t>T</t>
        </is>
      </c>
    </row>
    <row r="2294">
      <c r="A2294" s="485" t="n">
        <v>31</v>
      </c>
      <c r="B2294" s="485" t="n">
        <v>1</v>
      </c>
      <c r="C2294" s="485" t="n">
        <v>2</v>
      </c>
      <c r="D2294" s="485" t="n">
        <v>1</v>
      </c>
      <c r="E2294" s="485" t="n">
        <v>2</v>
      </c>
      <c r="F2294" s="485" t="n">
        <v>2</v>
      </c>
      <c r="G2294" s="485" t="inlineStr">
        <is>
          <t>West-Down2</t>
        </is>
      </c>
      <c r="H2294" s="485" t="n">
        <v>0</v>
      </c>
      <c r="I2294" s="485" t="n">
        <v>0</v>
      </c>
      <c r="J2294" s="485" t="n">
        <v>0</v>
      </c>
      <c r="K2294" s="485" t="n">
        <v>0</v>
      </c>
      <c r="L2294" s="485" t="n">
        <v>0</v>
      </c>
      <c r="M2294" s="515" t="inlineStr">
        <is>
          <t>T</t>
        </is>
      </c>
    </row>
    <row r="2295">
      <c r="A2295" s="485" t="n">
        <v>31</v>
      </c>
      <c r="B2295" s="485" t="n">
        <v>1</v>
      </c>
      <c r="C2295" s="485" t="n">
        <v>2</v>
      </c>
      <c r="D2295" s="485" t="n">
        <v>1</v>
      </c>
      <c r="E2295" s="485" t="n">
        <v>2</v>
      </c>
      <c r="F2295" s="485" t="n">
        <v>2</v>
      </c>
      <c r="G2295" s="485" t="inlineStr">
        <is>
          <t>East-Up2</t>
        </is>
      </c>
      <c r="H2295" s="485" t="n">
        <v>0</v>
      </c>
      <c r="I2295" s="485" t="n">
        <v>0</v>
      </c>
      <c r="J2295" s="485" t="n">
        <v>0</v>
      </c>
      <c r="K2295" s="485" t="n">
        <v>0</v>
      </c>
      <c r="L2295" s="485" t="n">
        <v>0</v>
      </c>
      <c r="M2295" s="515" t="inlineStr">
        <is>
          <t>T</t>
        </is>
      </c>
    </row>
    <row r="2296">
      <c r="A2296" s="485" t="n">
        <v>31</v>
      </c>
      <c r="B2296" s="485" t="n">
        <v>1</v>
      </c>
      <c r="C2296" s="485" t="n">
        <v>2</v>
      </c>
      <c r="D2296" s="485" t="n">
        <v>1</v>
      </c>
      <c r="E2296" s="485" t="n">
        <v>2</v>
      </c>
      <c r="F2296" s="485" t="n">
        <v>2</v>
      </c>
      <c r="G2296" s="516" t="inlineStr">
        <is>
          <t>East-Up1</t>
        </is>
      </c>
      <c r="H2296" s="485" t="n">
        <v>2639.15</v>
      </c>
      <c r="I2296" s="485" t="n">
        <v>0</v>
      </c>
      <c r="J2296" s="485" t="n">
        <v>6</v>
      </c>
      <c r="K2296" s="485" t="n">
        <v>13</v>
      </c>
      <c r="L2296" s="485" t="n">
        <v>2</v>
      </c>
      <c r="M2296" s="515" t="inlineStr">
        <is>
          <t>T</t>
        </is>
      </c>
    </row>
    <row r="2297">
      <c r="A2297" s="485" t="n">
        <v>31</v>
      </c>
      <c r="B2297" s="485" t="n">
        <v>1</v>
      </c>
      <c r="C2297" s="485" t="n">
        <v>2</v>
      </c>
      <c r="D2297" s="485" t="n">
        <v>1</v>
      </c>
      <c r="E2297" s="485" t="n">
        <v>2</v>
      </c>
      <c r="F2297" s="485" t="n">
        <v>2</v>
      </c>
      <c r="G2297" s="485" t="inlineStr">
        <is>
          <t>East-Down1</t>
        </is>
      </c>
      <c r="H2297" s="485" t="n">
        <v>1312.95</v>
      </c>
      <c r="I2297" s="485" t="n">
        <v>0</v>
      </c>
      <c r="J2297" s="485" t="n">
        <v>8</v>
      </c>
      <c r="K2297" s="485" t="n">
        <v>43</v>
      </c>
      <c r="L2297" s="485" t="n">
        <v>2</v>
      </c>
      <c r="M2297" s="515" t="inlineStr">
        <is>
          <t>T</t>
        </is>
      </c>
    </row>
    <row r="2298">
      <c r="A2298" s="485" t="n">
        <v>31</v>
      </c>
      <c r="B2298" s="485" t="n">
        <v>1</v>
      </c>
      <c r="C2298" s="485" t="n">
        <v>2</v>
      </c>
      <c r="D2298" s="485" t="n">
        <v>1</v>
      </c>
      <c r="E2298" s="485" t="n">
        <v>2</v>
      </c>
      <c r="F2298" s="485" t="n">
        <v>2</v>
      </c>
      <c r="G2298" s="485" t="inlineStr">
        <is>
          <t>East-Down2</t>
        </is>
      </c>
      <c r="H2298" s="485" t="n">
        <v>1316.71</v>
      </c>
      <c r="I2298" s="485" t="n">
        <v>0</v>
      </c>
      <c r="J2298" s="485" t="n">
        <v>8</v>
      </c>
      <c r="K2298" s="485" t="n">
        <v>34</v>
      </c>
      <c r="L2298" s="485" t="n">
        <v>2</v>
      </c>
      <c r="M2298" s="515" t="inlineStr">
        <is>
          <t>T</t>
        </is>
      </c>
    </row>
    <row r="2299">
      <c r="A2299" s="485" t="n">
        <v>31</v>
      </c>
      <c r="B2299" s="485" t="n">
        <v>1</v>
      </c>
      <c r="C2299" s="485" t="n">
        <v>2</v>
      </c>
      <c r="D2299" s="485" t="n">
        <v>1</v>
      </c>
      <c r="E2299" s="485" t="n">
        <v>2</v>
      </c>
      <c r="F2299" s="485" t="n">
        <v>2</v>
      </c>
      <c r="G2299" s="485" t="inlineStr">
        <is>
          <t>North-Left2</t>
        </is>
      </c>
      <c r="H2299" s="485" t="n">
        <v>0</v>
      </c>
      <c r="I2299" s="485" t="n">
        <v>0</v>
      </c>
      <c r="J2299" s="485" t="n">
        <v>0</v>
      </c>
      <c r="K2299" s="485" t="n">
        <v>0</v>
      </c>
      <c r="L2299" s="485" t="n">
        <v>0</v>
      </c>
      <c r="M2299" s="515" t="inlineStr">
        <is>
          <t>T</t>
        </is>
      </c>
    </row>
    <row r="2300">
      <c r="A2300" s="485" t="n">
        <v>31</v>
      </c>
      <c r="B2300" s="485" t="n">
        <v>1</v>
      </c>
      <c r="C2300" s="485" t="n">
        <v>2</v>
      </c>
      <c r="D2300" s="485" t="n">
        <v>1</v>
      </c>
      <c r="E2300" s="485" t="n">
        <v>2</v>
      </c>
      <c r="F2300" s="485" t="n">
        <v>2</v>
      </c>
      <c r="G2300" s="516" t="inlineStr">
        <is>
          <t>North-Left1</t>
        </is>
      </c>
      <c r="H2300" s="485" t="n">
        <v>2638.81</v>
      </c>
      <c r="I2300" s="485" t="n">
        <v>89</v>
      </c>
      <c r="J2300" s="485" t="n">
        <v>34</v>
      </c>
      <c r="K2300" s="485" t="n">
        <v>56</v>
      </c>
      <c r="L2300" s="485" t="n">
        <v>2</v>
      </c>
      <c r="M2300" s="515" t="inlineStr">
        <is>
          <t>T</t>
        </is>
      </c>
    </row>
    <row r="2301">
      <c r="A2301" s="485" t="n">
        <v>31</v>
      </c>
      <c r="B2301" s="485" t="n">
        <v>1</v>
      </c>
      <c r="C2301" s="485" t="n">
        <v>2</v>
      </c>
      <c r="D2301" s="485" t="n">
        <v>1</v>
      </c>
      <c r="E2301" s="485" t="n">
        <v>2</v>
      </c>
      <c r="F2301" s="485" t="n">
        <v>2</v>
      </c>
      <c r="G2301" s="485" t="inlineStr">
        <is>
          <t>North-Right1</t>
        </is>
      </c>
      <c r="H2301" s="485" t="n">
        <v>2653.92</v>
      </c>
      <c r="I2301" s="485" t="n">
        <v>89</v>
      </c>
      <c r="J2301" s="485" t="n">
        <v>55</v>
      </c>
      <c r="K2301" s="485" t="n">
        <v>10</v>
      </c>
      <c r="L2301" s="485" t="n">
        <v>2</v>
      </c>
      <c r="M2301" s="515" t="inlineStr">
        <is>
          <t>T</t>
        </is>
      </c>
    </row>
    <row r="2302">
      <c r="A2302" s="485" t="n">
        <v>31</v>
      </c>
      <c r="B2302" s="485" t="n">
        <v>1</v>
      </c>
      <c r="C2302" s="485" t="n">
        <v>2</v>
      </c>
      <c r="D2302" s="485" t="n">
        <v>1</v>
      </c>
      <c r="E2302" s="485" t="n">
        <v>2</v>
      </c>
      <c r="F2302" s="485" t="n">
        <v>2</v>
      </c>
      <c r="G2302" s="485" t="inlineStr">
        <is>
          <t>North-Right2</t>
        </is>
      </c>
      <c r="H2302" s="485" t="n">
        <v>0</v>
      </c>
      <c r="I2302" s="485" t="n">
        <v>0</v>
      </c>
      <c r="J2302" s="485" t="n">
        <v>0</v>
      </c>
      <c r="K2302" s="485" t="n">
        <v>0</v>
      </c>
      <c r="L2302" s="485" t="n">
        <v>0</v>
      </c>
      <c r="M2302" s="515" t="inlineStr">
        <is>
          <t>T</t>
        </is>
      </c>
    </row>
    <row r="2303">
      <c r="A2303" s="485" t="n">
        <v>31</v>
      </c>
      <c r="B2303" s="485" t="n">
        <v>1</v>
      </c>
      <c r="C2303" s="485" t="n">
        <v>2</v>
      </c>
      <c r="D2303" s="485" t="n">
        <v>1</v>
      </c>
      <c r="E2303" s="485" t="n">
        <v>2</v>
      </c>
      <c r="F2303" s="485" t="n">
        <v>2</v>
      </c>
      <c r="G2303" s="485" t="inlineStr">
        <is>
          <t>South-Left2</t>
        </is>
      </c>
      <c r="H2303" s="485" t="n">
        <v>1317.14</v>
      </c>
      <c r="I2303" s="485" t="n">
        <v>87</v>
      </c>
      <c r="J2303" s="485" t="n">
        <v>48</v>
      </c>
      <c r="K2303" s="485" t="n">
        <v>33</v>
      </c>
      <c r="L2303" s="485" t="n">
        <v>2</v>
      </c>
      <c r="M2303" s="515" t="inlineStr">
        <is>
          <t>T</t>
        </is>
      </c>
    </row>
    <row r="2304">
      <c r="A2304" s="485" t="n">
        <v>31</v>
      </c>
      <c r="B2304" s="485" t="n">
        <v>1</v>
      </c>
      <c r="C2304" s="485" t="n">
        <v>2</v>
      </c>
      <c r="D2304" s="485" t="n">
        <v>1</v>
      </c>
      <c r="E2304" s="485" t="n">
        <v>2</v>
      </c>
      <c r="F2304" s="485" t="n">
        <v>2</v>
      </c>
      <c r="G2304" s="516" t="inlineStr">
        <is>
          <t>South-Left1</t>
        </is>
      </c>
      <c r="H2304" s="485" t="n">
        <v>1297.9</v>
      </c>
      <c r="I2304" s="485" t="n">
        <v>89</v>
      </c>
      <c r="J2304" s="485" t="n">
        <v>38</v>
      </c>
      <c r="K2304" s="485" t="n">
        <v>12</v>
      </c>
      <c r="L2304" s="485" t="n">
        <v>2</v>
      </c>
      <c r="M2304" s="515" t="inlineStr">
        <is>
          <t>T</t>
        </is>
      </c>
    </row>
    <row r="2305">
      <c r="A2305" s="485" t="n">
        <v>31</v>
      </c>
      <c r="B2305" s="485" t="n">
        <v>1</v>
      </c>
      <c r="C2305" s="485" t="n">
        <v>2</v>
      </c>
      <c r="D2305" s="485" t="n">
        <v>1</v>
      </c>
      <c r="E2305" s="485" t="n">
        <v>2</v>
      </c>
      <c r="F2305" s="485" t="n">
        <v>2</v>
      </c>
      <c r="G2305" s="485" t="inlineStr">
        <is>
          <t>South-Right1</t>
        </is>
      </c>
      <c r="H2305" s="485" t="n">
        <v>2653.42</v>
      </c>
      <c r="I2305" s="485" t="n">
        <v>89</v>
      </c>
      <c r="J2305" s="485" t="n">
        <v>26</v>
      </c>
      <c r="K2305" s="485" t="n">
        <v>5</v>
      </c>
      <c r="L2305" s="485" t="n">
        <v>1</v>
      </c>
      <c r="M2305" s="515" t="inlineStr">
        <is>
          <t>T</t>
        </is>
      </c>
    </row>
    <row r="2306">
      <c r="A2306" s="485" t="n">
        <v>31</v>
      </c>
      <c r="B2306" s="485" t="n">
        <v>1</v>
      </c>
      <c r="C2306" s="485" t="n">
        <v>2</v>
      </c>
      <c r="D2306" s="485" t="n">
        <v>1</v>
      </c>
      <c r="E2306" s="485" t="n">
        <v>2</v>
      </c>
      <c r="F2306" s="485" t="n">
        <v>2</v>
      </c>
      <c r="G2306" s="485" t="inlineStr">
        <is>
          <t>South-Right2</t>
        </is>
      </c>
      <c r="H2306" s="485" t="n">
        <v>0</v>
      </c>
      <c r="I2306" s="485" t="n">
        <v>0</v>
      </c>
      <c r="J2306" s="485" t="n">
        <v>0</v>
      </c>
      <c r="K2306" s="485" t="n">
        <v>0</v>
      </c>
      <c r="L2306" s="485" t="n">
        <v>0</v>
      </c>
      <c r="M2306" s="515" t="inlineStr">
        <is>
          <t>T</t>
        </is>
      </c>
    </row>
    <row r="2307">
      <c r="A2307" s="485" t="n">
        <v>31</v>
      </c>
      <c r="B2307" s="485" t="n">
        <v>2</v>
      </c>
      <c r="C2307" s="485" t="n">
        <v>2</v>
      </c>
      <c r="D2307" s="485" t="n">
        <v>1</v>
      </c>
      <c r="E2307" s="485" t="n">
        <v>1</v>
      </c>
      <c r="F2307" s="485" t="n">
        <v>2</v>
      </c>
      <c r="G2307" s="485" t="inlineStr">
        <is>
          <t>West-Up2</t>
        </is>
      </c>
      <c r="H2307" s="485" t="n">
        <v>2654.84</v>
      </c>
      <c r="I2307" s="485" t="n">
        <v>0</v>
      </c>
      <c r="J2307" s="485" t="n">
        <v>8</v>
      </c>
      <c r="K2307" s="485" t="n">
        <v>41</v>
      </c>
      <c r="L2307" s="485" t="n">
        <v>4</v>
      </c>
      <c r="M2307" s="514" t="inlineStr">
        <is>
          <t>T</t>
        </is>
      </c>
    </row>
    <row r="2308">
      <c r="A2308" s="485" t="n">
        <v>31</v>
      </c>
      <c r="B2308" s="485" t="n">
        <v>2</v>
      </c>
      <c r="C2308" s="485" t="n">
        <v>2</v>
      </c>
      <c r="D2308" s="485" t="n">
        <v>1</v>
      </c>
      <c r="E2308" s="485" t="n">
        <v>1</v>
      </c>
      <c r="F2308" s="485" t="n">
        <v>2</v>
      </c>
      <c r="G2308" s="516" t="inlineStr">
        <is>
          <t>West-Up1</t>
        </is>
      </c>
      <c r="H2308" s="485" t="n">
        <v>2654.84</v>
      </c>
      <c r="I2308" s="485" t="n">
        <v>0</v>
      </c>
      <c r="J2308" s="485" t="n">
        <v>8</v>
      </c>
      <c r="K2308" s="485" t="n">
        <v>41</v>
      </c>
      <c r="L2308" s="485" t="n">
        <v>4</v>
      </c>
      <c r="M2308" s="514" t="inlineStr">
        <is>
          <t>T</t>
        </is>
      </c>
    </row>
    <row r="2309">
      <c r="A2309" s="485" t="n">
        <v>31</v>
      </c>
      <c r="B2309" s="485" t="n">
        <v>2</v>
      </c>
      <c r="C2309" s="485" t="n">
        <v>2</v>
      </c>
      <c r="D2309" s="485" t="n">
        <v>1</v>
      </c>
      <c r="E2309" s="485" t="n">
        <v>1</v>
      </c>
      <c r="F2309" s="485" t="n">
        <v>2</v>
      </c>
      <c r="G2309" s="485" t="inlineStr">
        <is>
          <t>West-Down1</t>
        </is>
      </c>
      <c r="H2309" s="485" t="n">
        <v>0</v>
      </c>
      <c r="I2309" s="485" t="n">
        <v>0</v>
      </c>
      <c r="J2309" s="485" t="n">
        <v>0</v>
      </c>
      <c r="K2309" s="485" t="n">
        <v>0</v>
      </c>
      <c r="L2309" s="485" t="n">
        <v>0</v>
      </c>
      <c r="M2309" s="514" t="inlineStr">
        <is>
          <t>T</t>
        </is>
      </c>
    </row>
    <row r="2310">
      <c r="A2310" s="485" t="n">
        <v>31</v>
      </c>
      <c r="B2310" s="485" t="n">
        <v>2</v>
      </c>
      <c r="C2310" s="485" t="n">
        <v>2</v>
      </c>
      <c r="D2310" s="485" t="n">
        <v>1</v>
      </c>
      <c r="E2310" s="485" t="n">
        <v>1</v>
      </c>
      <c r="F2310" s="485" t="n">
        <v>2</v>
      </c>
      <c r="G2310" s="485" t="inlineStr">
        <is>
          <t>West-Down2</t>
        </is>
      </c>
      <c r="H2310" s="485" t="n">
        <v>0</v>
      </c>
      <c r="I2310" s="485" t="n">
        <v>0</v>
      </c>
      <c r="J2310" s="485" t="n">
        <v>0</v>
      </c>
      <c r="K2310" s="485" t="n">
        <v>0</v>
      </c>
      <c r="L2310" s="485" t="n">
        <v>0</v>
      </c>
      <c r="M2310" s="514" t="inlineStr">
        <is>
          <t>T</t>
        </is>
      </c>
    </row>
    <row r="2311">
      <c r="A2311" s="485" t="n">
        <v>31</v>
      </c>
      <c r="B2311" s="485" t="n">
        <v>2</v>
      </c>
      <c r="C2311" s="485" t="n">
        <v>2</v>
      </c>
      <c r="D2311" s="485" t="n">
        <v>1</v>
      </c>
      <c r="E2311" s="485" t="n">
        <v>1</v>
      </c>
      <c r="F2311" s="485" t="n">
        <v>2</v>
      </c>
      <c r="G2311" s="485" t="inlineStr">
        <is>
          <t>East-Up2</t>
        </is>
      </c>
      <c r="H2311" s="485" t="n">
        <v>0</v>
      </c>
      <c r="I2311" s="485" t="n">
        <v>0</v>
      </c>
      <c r="J2311" s="485" t="n">
        <v>0</v>
      </c>
      <c r="K2311" s="485" t="n">
        <v>0</v>
      </c>
      <c r="L2311" s="485" t="n">
        <v>0</v>
      </c>
      <c r="M2311" s="514" t="inlineStr">
        <is>
          <t>T</t>
        </is>
      </c>
    </row>
    <row r="2312">
      <c r="A2312" s="485" t="n">
        <v>31</v>
      </c>
      <c r="B2312" s="485" t="n">
        <v>2</v>
      </c>
      <c r="C2312" s="485" t="n">
        <v>2</v>
      </c>
      <c r="D2312" s="485" t="n">
        <v>1</v>
      </c>
      <c r="E2312" s="485" t="n">
        <v>1</v>
      </c>
      <c r="F2312" s="485" t="n">
        <v>2</v>
      </c>
      <c r="G2312" s="516" t="inlineStr">
        <is>
          <t>East-Up1</t>
        </is>
      </c>
      <c r="H2312" s="485" t="n">
        <v>2638.18</v>
      </c>
      <c r="I2312" s="485" t="n">
        <v>0</v>
      </c>
      <c r="J2312" s="485" t="n">
        <v>11</v>
      </c>
      <c r="K2312" s="485" t="n">
        <v>53</v>
      </c>
      <c r="L2312" s="485" t="n">
        <v>4</v>
      </c>
      <c r="M2312" s="514" t="inlineStr">
        <is>
          <t>T</t>
        </is>
      </c>
    </row>
    <row r="2313">
      <c r="A2313" s="485" t="n">
        <v>31</v>
      </c>
      <c r="B2313" s="485" t="n">
        <v>2</v>
      </c>
      <c r="C2313" s="485" t="n">
        <v>2</v>
      </c>
      <c r="D2313" s="485" t="n">
        <v>1</v>
      </c>
      <c r="E2313" s="485" t="n">
        <v>1</v>
      </c>
      <c r="F2313" s="485" t="n">
        <v>2</v>
      </c>
      <c r="G2313" s="485" t="inlineStr">
        <is>
          <t>East-Down1</t>
        </is>
      </c>
      <c r="H2313" s="485" t="n">
        <v>2640.34</v>
      </c>
      <c r="I2313" s="485" t="n">
        <v>0</v>
      </c>
      <c r="J2313" s="485" t="n">
        <v>14</v>
      </c>
      <c r="K2313" s="485" t="n">
        <v>19</v>
      </c>
      <c r="L2313" s="485" t="n">
        <v>2</v>
      </c>
      <c r="M2313" s="514" t="inlineStr">
        <is>
          <t>T</t>
        </is>
      </c>
    </row>
    <row r="2314">
      <c r="A2314" s="485" t="n">
        <v>31</v>
      </c>
      <c r="B2314" s="485" t="n">
        <v>2</v>
      </c>
      <c r="C2314" s="485" t="n">
        <v>2</v>
      </c>
      <c r="D2314" s="485" t="n">
        <v>1</v>
      </c>
      <c r="E2314" s="485" t="n">
        <v>1</v>
      </c>
      <c r="F2314" s="485" t="n">
        <v>2</v>
      </c>
      <c r="G2314" s="485" t="inlineStr">
        <is>
          <t>East-Down2</t>
        </is>
      </c>
      <c r="H2314" s="485" t="n">
        <v>0</v>
      </c>
      <c r="I2314" s="485" t="n">
        <v>0</v>
      </c>
      <c r="J2314" s="485" t="n">
        <v>0</v>
      </c>
      <c r="K2314" s="485" t="n">
        <v>0</v>
      </c>
      <c r="L2314" s="485" t="n">
        <v>0</v>
      </c>
      <c r="M2314" s="514" t="inlineStr">
        <is>
          <t>T</t>
        </is>
      </c>
    </row>
    <row r="2315">
      <c r="A2315" s="485" t="n">
        <v>31</v>
      </c>
      <c r="B2315" s="485" t="n">
        <v>2</v>
      </c>
      <c r="C2315" s="485" t="n">
        <v>2</v>
      </c>
      <c r="D2315" s="485" t="n">
        <v>1</v>
      </c>
      <c r="E2315" s="485" t="n">
        <v>1</v>
      </c>
      <c r="F2315" s="485" t="n">
        <v>2</v>
      </c>
      <c r="G2315" s="485" t="inlineStr">
        <is>
          <t>North-Left2</t>
        </is>
      </c>
      <c r="H2315" s="485" t="n">
        <v>0</v>
      </c>
      <c r="I2315" s="485" t="n">
        <v>0</v>
      </c>
      <c r="J2315" s="485" t="n">
        <v>0</v>
      </c>
      <c r="K2315" s="485" t="n">
        <v>0</v>
      </c>
      <c r="L2315" s="485" t="n">
        <v>0</v>
      </c>
      <c r="M2315" s="514" t="inlineStr">
        <is>
          <t>T</t>
        </is>
      </c>
    </row>
    <row r="2316">
      <c r="A2316" s="485" t="n">
        <v>31</v>
      </c>
      <c r="B2316" s="485" t="n">
        <v>2</v>
      </c>
      <c r="C2316" s="485" t="n">
        <v>2</v>
      </c>
      <c r="D2316" s="485" t="n">
        <v>1</v>
      </c>
      <c r="E2316" s="485" t="n">
        <v>1</v>
      </c>
      <c r="F2316" s="485" t="n">
        <v>2</v>
      </c>
      <c r="G2316" s="516" t="inlineStr">
        <is>
          <t>North-Left1</t>
        </is>
      </c>
      <c r="H2316" s="485" t="n">
        <v>2661.24</v>
      </c>
      <c r="I2316" s="485" t="n">
        <v>89</v>
      </c>
      <c r="J2316" s="485" t="n">
        <v>37</v>
      </c>
      <c r="K2316" s="485" t="n">
        <v>0</v>
      </c>
      <c r="L2316" s="485" t="n">
        <v>1</v>
      </c>
      <c r="M2316" s="514" t="inlineStr">
        <is>
          <t>T</t>
        </is>
      </c>
    </row>
    <row r="2317">
      <c r="A2317" s="485" t="n">
        <v>31</v>
      </c>
      <c r="B2317" s="485" t="n">
        <v>2</v>
      </c>
      <c r="C2317" s="485" t="n">
        <v>2</v>
      </c>
      <c r="D2317" s="485" t="n">
        <v>1</v>
      </c>
      <c r="E2317" s="485" t="n">
        <v>1</v>
      </c>
      <c r="F2317" s="485" t="n">
        <v>2</v>
      </c>
      <c r="G2317" s="485" t="inlineStr">
        <is>
          <t>North-Right1</t>
        </is>
      </c>
      <c r="H2317" s="485" t="n">
        <v>2630.1</v>
      </c>
      <c r="I2317" s="485" t="n">
        <v>89</v>
      </c>
      <c r="J2317" s="485" t="n">
        <v>38</v>
      </c>
      <c r="K2317" s="485" t="n">
        <v>21</v>
      </c>
      <c r="L2317" s="485" t="n">
        <v>1</v>
      </c>
      <c r="M2317" s="514" t="inlineStr">
        <is>
          <t>T</t>
        </is>
      </c>
    </row>
    <row r="2318">
      <c r="A2318" s="485" t="n">
        <v>31</v>
      </c>
      <c r="B2318" s="485" t="n">
        <v>2</v>
      </c>
      <c r="C2318" s="485" t="n">
        <v>2</v>
      </c>
      <c r="D2318" s="485" t="n">
        <v>1</v>
      </c>
      <c r="E2318" s="485" t="n">
        <v>1</v>
      </c>
      <c r="F2318" s="485" t="n">
        <v>2</v>
      </c>
      <c r="G2318" s="485" t="inlineStr">
        <is>
          <t>North-Right2</t>
        </is>
      </c>
      <c r="H2318" s="485" t="n">
        <v>0</v>
      </c>
      <c r="I2318" s="485" t="n">
        <v>0</v>
      </c>
      <c r="J2318" s="485" t="n">
        <v>0</v>
      </c>
      <c r="K2318" s="485" t="n">
        <v>0</v>
      </c>
      <c r="L2318" s="485" t="n">
        <v>0</v>
      </c>
      <c r="M2318" s="514" t="inlineStr">
        <is>
          <t>T</t>
        </is>
      </c>
    </row>
    <row r="2319">
      <c r="A2319" s="485" t="n">
        <v>31</v>
      </c>
      <c r="B2319" s="485" t="n">
        <v>2</v>
      </c>
      <c r="C2319" s="485" t="n">
        <v>2</v>
      </c>
      <c r="D2319" s="485" t="n">
        <v>1</v>
      </c>
      <c r="E2319" s="485" t="n">
        <v>1</v>
      </c>
      <c r="F2319" s="485" t="n">
        <v>2</v>
      </c>
      <c r="G2319" s="485" t="inlineStr">
        <is>
          <t>South-Left2</t>
        </is>
      </c>
      <c r="H2319" s="485" t="n">
        <v>0</v>
      </c>
      <c r="I2319" s="485" t="n">
        <v>0</v>
      </c>
      <c r="J2319" s="485" t="n">
        <v>0</v>
      </c>
      <c r="K2319" s="485" t="n">
        <v>0</v>
      </c>
      <c r="L2319" s="485" t="n">
        <v>0</v>
      </c>
      <c r="M2319" s="514" t="inlineStr">
        <is>
          <t>T</t>
        </is>
      </c>
    </row>
    <row r="2320">
      <c r="A2320" s="485" t="n">
        <v>31</v>
      </c>
      <c r="B2320" s="485" t="n">
        <v>2</v>
      </c>
      <c r="C2320" s="485" t="n">
        <v>2</v>
      </c>
      <c r="D2320" s="485" t="n">
        <v>1</v>
      </c>
      <c r="E2320" s="485" t="n">
        <v>1</v>
      </c>
      <c r="F2320" s="485" t="n">
        <v>2</v>
      </c>
      <c r="G2320" s="516" t="inlineStr">
        <is>
          <t>South-Left1</t>
        </is>
      </c>
      <c r="H2320" s="485" t="n">
        <v>2639.22</v>
      </c>
      <c r="I2320" s="485" t="n">
        <v>89</v>
      </c>
      <c r="J2320" s="485" t="n">
        <v>57</v>
      </c>
      <c r="K2320" s="485" t="n">
        <v>40</v>
      </c>
      <c r="L2320" s="485" t="n">
        <v>4</v>
      </c>
      <c r="M2320" s="514" t="inlineStr">
        <is>
          <t>T</t>
        </is>
      </c>
    </row>
    <row r="2321">
      <c r="A2321" s="485" t="n">
        <v>31</v>
      </c>
      <c r="B2321" s="485" t="n">
        <v>2</v>
      </c>
      <c r="C2321" s="485" t="n">
        <v>2</v>
      </c>
      <c r="D2321" s="485" t="n">
        <v>1</v>
      </c>
      <c r="E2321" s="485" t="n">
        <v>1</v>
      </c>
      <c r="F2321" s="485" t="n">
        <v>2</v>
      </c>
      <c r="G2321" s="485" t="inlineStr">
        <is>
          <t>South-Right1</t>
        </is>
      </c>
      <c r="H2321" s="485" t="n">
        <v>2636.71</v>
      </c>
      <c r="I2321" s="485" t="n">
        <v>89</v>
      </c>
      <c r="J2321" s="485" t="n">
        <v>58</v>
      </c>
      <c r="K2321" s="485" t="n">
        <v>11</v>
      </c>
      <c r="L2321" s="485" t="n">
        <v>4</v>
      </c>
      <c r="M2321" s="514" t="inlineStr">
        <is>
          <t>T</t>
        </is>
      </c>
    </row>
    <row r="2322">
      <c r="A2322" s="485" t="n">
        <v>31</v>
      </c>
      <c r="B2322" s="485" t="n">
        <v>2</v>
      </c>
      <c r="C2322" s="485" t="n">
        <v>2</v>
      </c>
      <c r="D2322" s="485" t="n">
        <v>1</v>
      </c>
      <c r="E2322" s="485" t="n">
        <v>1</v>
      </c>
      <c r="F2322" s="485" t="n">
        <v>2</v>
      </c>
      <c r="G2322" s="485" t="inlineStr">
        <is>
          <t>South-Right2</t>
        </is>
      </c>
      <c r="H2322" s="485" t="n">
        <v>0</v>
      </c>
      <c r="I2322" s="485" t="n">
        <v>0</v>
      </c>
      <c r="J2322" s="485" t="n">
        <v>0</v>
      </c>
      <c r="K2322" s="485" t="n">
        <v>0</v>
      </c>
      <c r="L2322" s="485" t="n">
        <v>0</v>
      </c>
      <c r="M2322" s="514" t="inlineStr">
        <is>
          <t>T</t>
        </is>
      </c>
    </row>
    <row r="2323">
      <c r="A2323" s="485" t="n">
        <v>31</v>
      </c>
      <c r="B2323" s="485" t="n">
        <v>2</v>
      </c>
      <c r="C2323" s="485" t="n">
        <v>2</v>
      </c>
      <c r="D2323" s="485" t="n">
        <v>1</v>
      </c>
      <c r="E2323" s="485" t="n">
        <v>2</v>
      </c>
      <c r="F2323" s="485" t="n">
        <v>2</v>
      </c>
      <c r="G2323" s="485" t="inlineStr">
        <is>
          <t>West-Up2</t>
        </is>
      </c>
      <c r="H2323" s="485" t="n">
        <v>0</v>
      </c>
      <c r="I2323" s="485" t="n">
        <v>0</v>
      </c>
      <c r="J2323" s="485" t="n">
        <v>0</v>
      </c>
      <c r="K2323" s="485" t="n">
        <v>0</v>
      </c>
      <c r="L2323" s="485" t="n">
        <v>0</v>
      </c>
      <c r="M2323" s="514" t="inlineStr">
        <is>
          <t>T</t>
        </is>
      </c>
    </row>
    <row r="2324">
      <c r="A2324" s="485" t="n">
        <v>31</v>
      </c>
      <c r="B2324" s="485" t="n">
        <v>2</v>
      </c>
      <c r="C2324" s="485" t="n">
        <v>2</v>
      </c>
      <c r="D2324" s="485" t="n">
        <v>1</v>
      </c>
      <c r="E2324" s="485" t="n">
        <v>2</v>
      </c>
      <c r="F2324" s="485" t="n">
        <v>2</v>
      </c>
      <c r="G2324" s="516" t="inlineStr">
        <is>
          <t>West-Up1</t>
        </is>
      </c>
      <c r="H2324" s="485" t="n">
        <v>2638.33</v>
      </c>
      <c r="I2324" s="485" t="n">
        <v>0</v>
      </c>
      <c r="J2324" s="485" t="n">
        <v>9</v>
      </c>
      <c r="K2324" s="485" t="n">
        <v>51</v>
      </c>
      <c r="L2324" s="485" t="n">
        <v>4</v>
      </c>
      <c r="M2324" s="514" t="inlineStr">
        <is>
          <t>T</t>
        </is>
      </c>
    </row>
    <row r="2325">
      <c r="A2325" s="485" t="n">
        <v>31</v>
      </c>
      <c r="B2325" s="485" t="n">
        <v>2</v>
      </c>
      <c r="C2325" s="485" t="n">
        <v>2</v>
      </c>
      <c r="D2325" s="485" t="n">
        <v>1</v>
      </c>
      <c r="E2325" s="485" t="n">
        <v>2</v>
      </c>
      <c r="F2325" s="485" t="n">
        <v>2</v>
      </c>
      <c r="G2325" s="485" t="inlineStr">
        <is>
          <t>West-Down1</t>
        </is>
      </c>
      <c r="H2325" s="485" t="n">
        <v>2641.1</v>
      </c>
      <c r="I2325" s="485" t="n">
        <v>0</v>
      </c>
      <c r="J2325" s="485" t="n">
        <v>9</v>
      </c>
      <c r="K2325" s="485" t="n">
        <v>40</v>
      </c>
      <c r="L2325" s="485" t="n">
        <v>4</v>
      </c>
      <c r="M2325" s="514" t="inlineStr">
        <is>
          <t>T</t>
        </is>
      </c>
    </row>
    <row r="2326">
      <c r="A2326" s="485" t="n">
        <v>31</v>
      </c>
      <c r="B2326" s="485" t="n">
        <v>2</v>
      </c>
      <c r="C2326" s="485" t="n">
        <v>2</v>
      </c>
      <c r="D2326" s="485" t="n">
        <v>1</v>
      </c>
      <c r="E2326" s="485" t="n">
        <v>2</v>
      </c>
      <c r="F2326" s="485" t="n">
        <v>2</v>
      </c>
      <c r="G2326" s="485" t="inlineStr">
        <is>
          <t>West-Down2</t>
        </is>
      </c>
      <c r="H2326" s="485" t="n">
        <v>0</v>
      </c>
      <c r="I2326" s="485" t="n">
        <v>0</v>
      </c>
      <c r="J2326" s="485" t="n">
        <v>0</v>
      </c>
      <c r="K2326" s="485" t="n">
        <v>0</v>
      </c>
      <c r="L2326" s="485" t="n">
        <v>0</v>
      </c>
      <c r="M2326" s="514" t="inlineStr">
        <is>
          <t>T</t>
        </is>
      </c>
    </row>
    <row r="2327">
      <c r="A2327" s="485" t="n">
        <v>31</v>
      </c>
      <c r="B2327" s="485" t="n">
        <v>2</v>
      </c>
      <c r="C2327" s="485" t="n">
        <v>2</v>
      </c>
      <c r="D2327" s="485" t="n">
        <v>1</v>
      </c>
      <c r="E2327" s="485" t="n">
        <v>2</v>
      </c>
      <c r="F2327" s="485" t="n">
        <v>2</v>
      </c>
      <c r="G2327" s="485" t="inlineStr">
        <is>
          <t>East-Up2</t>
        </is>
      </c>
      <c r="H2327" s="485" t="n">
        <v>0</v>
      </c>
      <c r="I2327" s="485" t="n">
        <v>0</v>
      </c>
      <c r="J2327" s="485" t="n">
        <v>0</v>
      </c>
      <c r="K2327" s="485" t="n">
        <v>0</v>
      </c>
      <c r="L2327" s="485" t="n">
        <v>0</v>
      </c>
      <c r="M2327" s="514" t="inlineStr">
        <is>
          <t>T</t>
        </is>
      </c>
    </row>
    <row r="2328">
      <c r="A2328" s="485" t="n">
        <v>31</v>
      </c>
      <c r="B2328" s="485" t="n">
        <v>2</v>
      </c>
      <c r="C2328" s="485" t="n">
        <v>2</v>
      </c>
      <c r="D2328" s="485" t="n">
        <v>1</v>
      </c>
      <c r="E2328" s="485" t="n">
        <v>2</v>
      </c>
      <c r="F2328" s="485" t="n">
        <v>2</v>
      </c>
      <c r="G2328" s="516" t="inlineStr">
        <is>
          <t>East-Up1</t>
        </is>
      </c>
      <c r="H2328" s="485" t="n">
        <v>5275.36</v>
      </c>
      <c r="I2328" s="485" t="n">
        <v>0</v>
      </c>
      <c r="J2328" s="485" t="n">
        <v>24</v>
      </c>
      <c r="K2328" s="485" t="n">
        <v>26</v>
      </c>
      <c r="L2328" s="485" t="n">
        <v>4</v>
      </c>
      <c r="M2328" s="514" t="inlineStr">
        <is>
          <t>T</t>
        </is>
      </c>
    </row>
    <row r="2329">
      <c r="A2329" s="485" t="n">
        <v>31</v>
      </c>
      <c r="B2329" s="485" t="n">
        <v>2</v>
      </c>
      <c r="C2329" s="485" t="n">
        <v>2</v>
      </c>
      <c r="D2329" s="485" t="n">
        <v>1</v>
      </c>
      <c r="E2329" s="485" t="n">
        <v>2</v>
      </c>
      <c r="F2329" s="485" t="n">
        <v>2</v>
      </c>
      <c r="G2329" s="485" t="inlineStr">
        <is>
          <t>East-Down1</t>
        </is>
      </c>
      <c r="H2329" s="485" t="n">
        <v>0</v>
      </c>
      <c r="I2329" s="485" t="n">
        <v>0</v>
      </c>
      <c r="J2329" s="485" t="n">
        <v>0</v>
      </c>
      <c r="K2329" s="485" t="n">
        <v>0</v>
      </c>
      <c r="L2329" s="485" t="n">
        <v>0</v>
      </c>
      <c r="M2329" s="514" t="inlineStr">
        <is>
          <t>T</t>
        </is>
      </c>
    </row>
    <row r="2330">
      <c r="A2330" s="485" t="n">
        <v>31</v>
      </c>
      <c r="B2330" s="485" t="n">
        <v>2</v>
      </c>
      <c r="C2330" s="485" t="n">
        <v>2</v>
      </c>
      <c r="D2330" s="485" t="n">
        <v>1</v>
      </c>
      <c r="E2330" s="485" t="n">
        <v>2</v>
      </c>
      <c r="F2330" s="485" t="n">
        <v>2</v>
      </c>
      <c r="G2330" s="485" t="inlineStr">
        <is>
          <t>East-Down2</t>
        </is>
      </c>
      <c r="H2330" s="485" t="n">
        <v>0</v>
      </c>
      <c r="I2330" s="485" t="n">
        <v>0</v>
      </c>
      <c r="J2330" s="485" t="n">
        <v>0</v>
      </c>
      <c r="K2330" s="485" t="n">
        <v>0</v>
      </c>
      <c r="L2330" s="485" t="n">
        <v>0</v>
      </c>
      <c r="M2330" s="514" t="inlineStr">
        <is>
          <t>T</t>
        </is>
      </c>
    </row>
    <row r="2331">
      <c r="A2331" s="485" t="n">
        <v>31</v>
      </c>
      <c r="B2331" s="485" t="n">
        <v>2</v>
      </c>
      <c r="C2331" s="485" t="n">
        <v>2</v>
      </c>
      <c r="D2331" s="485" t="n">
        <v>1</v>
      </c>
      <c r="E2331" s="485" t="n">
        <v>2</v>
      </c>
      <c r="F2331" s="485" t="n">
        <v>2</v>
      </c>
      <c r="G2331" s="485" t="inlineStr">
        <is>
          <t>North-Left2</t>
        </is>
      </c>
      <c r="H2331" s="485" t="n">
        <v>1323.27</v>
      </c>
      <c r="I2331" s="485" t="n">
        <v>89</v>
      </c>
      <c r="J2331" s="485" t="n">
        <v>54</v>
      </c>
      <c r="K2331" s="485" t="n">
        <v>35</v>
      </c>
      <c r="L2331" s="485" t="n">
        <v>3</v>
      </c>
      <c r="M2331" s="514" t="inlineStr">
        <is>
          <t>T</t>
        </is>
      </c>
    </row>
    <row r="2332">
      <c r="A2332" s="485" t="n">
        <v>31</v>
      </c>
      <c r="B2332" s="485" t="n">
        <v>2</v>
      </c>
      <c r="C2332" s="485" t="n">
        <v>2</v>
      </c>
      <c r="D2332" s="485" t="n">
        <v>1</v>
      </c>
      <c r="E2332" s="485" t="n">
        <v>2</v>
      </c>
      <c r="F2332" s="485" t="n">
        <v>2</v>
      </c>
      <c r="G2332" s="516" t="inlineStr">
        <is>
          <t>North-Left1</t>
        </is>
      </c>
      <c r="H2332" s="485" t="n">
        <v>1319.36</v>
      </c>
      <c r="I2332" s="485" t="n">
        <v>89</v>
      </c>
      <c r="J2332" s="485" t="n">
        <v>54</v>
      </c>
      <c r="K2332" s="485" t="n">
        <v>6</v>
      </c>
      <c r="L2332" s="485" t="n">
        <v>3</v>
      </c>
      <c r="M2332" s="514" t="inlineStr">
        <is>
          <t>T</t>
        </is>
      </c>
    </row>
    <row r="2333">
      <c r="A2333" s="485" t="n">
        <v>31</v>
      </c>
      <c r="B2333" s="485" t="n">
        <v>2</v>
      </c>
      <c r="C2333" s="485" t="n">
        <v>2</v>
      </c>
      <c r="D2333" s="485" t="n">
        <v>1</v>
      </c>
      <c r="E2333" s="485" t="n">
        <v>2</v>
      </c>
      <c r="F2333" s="485" t="n">
        <v>2</v>
      </c>
      <c r="G2333" s="485" t="inlineStr">
        <is>
          <t>North-Right1</t>
        </is>
      </c>
      <c r="H2333" s="485" t="n">
        <v>2643.88</v>
      </c>
      <c r="I2333" s="485" t="n">
        <v>89</v>
      </c>
      <c r="J2333" s="485" t="n">
        <v>54</v>
      </c>
      <c r="K2333" s="485" t="n">
        <v>3</v>
      </c>
      <c r="L2333" s="485" t="n">
        <v>3</v>
      </c>
      <c r="M2333" s="514" t="inlineStr">
        <is>
          <t>T</t>
        </is>
      </c>
    </row>
    <row r="2334">
      <c r="A2334" s="485" t="n">
        <v>31</v>
      </c>
      <c r="B2334" s="485" t="n">
        <v>2</v>
      </c>
      <c r="C2334" s="485" t="n">
        <v>2</v>
      </c>
      <c r="D2334" s="485" t="n">
        <v>1</v>
      </c>
      <c r="E2334" s="485" t="n">
        <v>2</v>
      </c>
      <c r="F2334" s="485" t="n">
        <v>2</v>
      </c>
      <c r="G2334" s="485" t="inlineStr">
        <is>
          <t>North-Right2</t>
        </is>
      </c>
      <c r="H2334" s="485" t="n">
        <v>0</v>
      </c>
      <c r="I2334" s="485" t="n">
        <v>0</v>
      </c>
      <c r="J2334" s="485" t="n">
        <v>0</v>
      </c>
      <c r="K2334" s="485" t="n">
        <v>0</v>
      </c>
      <c r="L2334" s="485" t="n">
        <v>0</v>
      </c>
      <c r="M2334" s="514" t="inlineStr">
        <is>
          <t>T</t>
        </is>
      </c>
    </row>
    <row r="2335">
      <c r="A2335" s="485" t="n">
        <v>31</v>
      </c>
      <c r="B2335" s="485" t="n">
        <v>2</v>
      </c>
      <c r="C2335" s="485" t="n">
        <v>2</v>
      </c>
      <c r="D2335" s="485" t="n">
        <v>1</v>
      </c>
      <c r="E2335" s="485" t="n">
        <v>2</v>
      </c>
      <c r="F2335" s="485" t="n">
        <v>2</v>
      </c>
      <c r="G2335" s="485" t="inlineStr">
        <is>
          <t>South-Left2</t>
        </is>
      </c>
      <c r="H2335" s="485" t="n">
        <v>0</v>
      </c>
      <c r="I2335" s="485" t="n">
        <v>0</v>
      </c>
      <c r="J2335" s="485" t="n">
        <v>0</v>
      </c>
      <c r="K2335" s="485" t="n">
        <v>0</v>
      </c>
      <c r="L2335" s="485" t="n">
        <v>0</v>
      </c>
      <c r="M2335" s="514" t="inlineStr">
        <is>
          <t>T</t>
        </is>
      </c>
    </row>
    <row r="2336">
      <c r="A2336" s="485" t="n">
        <v>31</v>
      </c>
      <c r="B2336" s="485" t="n">
        <v>2</v>
      </c>
      <c r="C2336" s="485" t="n">
        <v>2</v>
      </c>
      <c r="D2336" s="485" t="n">
        <v>1</v>
      </c>
      <c r="E2336" s="485" t="n">
        <v>2</v>
      </c>
      <c r="F2336" s="485" t="n">
        <v>2</v>
      </c>
      <c r="G2336" s="516" t="inlineStr">
        <is>
          <t>South-Left1</t>
        </is>
      </c>
      <c r="H2336" s="485" t="n">
        <v>2661.32</v>
      </c>
      <c r="I2336" s="485" t="n">
        <v>89</v>
      </c>
      <c r="J2336" s="485" t="n">
        <v>58</v>
      </c>
      <c r="K2336" s="485" t="n">
        <v>1</v>
      </c>
      <c r="L2336" s="485" t="n">
        <v>4</v>
      </c>
      <c r="M2336" s="514" t="inlineStr">
        <is>
          <t>T</t>
        </is>
      </c>
    </row>
    <row r="2337">
      <c r="A2337" s="485" t="n">
        <v>31</v>
      </c>
      <c r="B2337" s="485" t="n">
        <v>2</v>
      </c>
      <c r="C2337" s="485" t="n">
        <v>2</v>
      </c>
      <c r="D2337" s="485" t="n">
        <v>1</v>
      </c>
      <c r="E2337" s="485" t="n">
        <v>2</v>
      </c>
      <c r="F2337" s="485" t="n">
        <v>2</v>
      </c>
      <c r="G2337" s="485" t="inlineStr">
        <is>
          <t>South-Right1</t>
        </is>
      </c>
      <c r="H2337" s="485" t="n">
        <v>2647.72</v>
      </c>
      <c r="I2337" s="485" t="n">
        <v>89</v>
      </c>
      <c r="J2337" s="485" t="n">
        <v>40</v>
      </c>
      <c r="K2337" s="485" t="n">
        <v>59</v>
      </c>
      <c r="L2337" s="485" t="n">
        <v>3</v>
      </c>
      <c r="M2337" s="514" t="inlineStr">
        <is>
          <t>T</t>
        </is>
      </c>
    </row>
    <row r="2338">
      <c r="A2338" s="485" t="n">
        <v>31</v>
      </c>
      <c r="B2338" s="485" t="n">
        <v>2</v>
      </c>
      <c r="C2338" s="485" t="n">
        <v>2</v>
      </c>
      <c r="D2338" s="485" t="n">
        <v>1</v>
      </c>
      <c r="E2338" s="485" t="n">
        <v>2</v>
      </c>
      <c r="F2338" s="485" t="n">
        <v>2</v>
      </c>
      <c r="G2338" s="485" t="inlineStr">
        <is>
          <t>South-Right2</t>
        </is>
      </c>
      <c r="H2338" s="485" t="n">
        <v>0</v>
      </c>
      <c r="I2338" s="485" t="n">
        <v>0</v>
      </c>
      <c r="J2338" s="485" t="n">
        <v>0</v>
      </c>
      <c r="K2338" s="485" t="n">
        <v>0</v>
      </c>
      <c r="L2338" s="485" t="n">
        <v>0</v>
      </c>
      <c r="M2338" s="514" t="inlineStr">
        <is>
          <t>T</t>
        </is>
      </c>
    </row>
    <row r="2339">
      <c r="A2339" s="485" t="n">
        <v>31</v>
      </c>
      <c r="B2339" s="485" t="n">
        <v>2</v>
      </c>
      <c r="C2339" s="485" t="n">
        <v>2</v>
      </c>
      <c r="D2339" s="485" t="n">
        <v>2</v>
      </c>
      <c r="E2339" s="485" t="n">
        <v>2</v>
      </c>
      <c r="F2339" s="485" t="n">
        <v>2</v>
      </c>
      <c r="G2339" s="485" t="inlineStr">
        <is>
          <t>West-Up2</t>
        </is>
      </c>
      <c r="H2339" s="485" t="n">
        <v>0</v>
      </c>
      <c r="I2339" s="485" t="n">
        <v>0</v>
      </c>
      <c r="J2339" s="485" t="n">
        <v>0</v>
      </c>
      <c r="K2339" s="485" t="n">
        <v>0</v>
      </c>
      <c r="L2339" s="485" t="n">
        <v>0</v>
      </c>
      <c r="M2339" s="514" t="inlineStr">
        <is>
          <t>T</t>
        </is>
      </c>
    </row>
    <row r="2340">
      <c r="A2340" s="485" t="n">
        <v>31</v>
      </c>
      <c r="B2340" s="485" t="n">
        <v>2</v>
      </c>
      <c r="C2340" s="485" t="n">
        <v>2</v>
      </c>
      <c r="D2340" s="485" t="n">
        <v>2</v>
      </c>
      <c r="E2340" s="485" t="n">
        <v>2</v>
      </c>
      <c r="F2340" s="485" t="n">
        <v>2</v>
      </c>
      <c r="G2340" s="516" t="inlineStr">
        <is>
          <t>West-Up1</t>
        </is>
      </c>
      <c r="H2340" s="485" t="n">
        <v>2635.54</v>
      </c>
      <c r="I2340" s="485" t="n">
        <v>0</v>
      </c>
      <c r="J2340" s="485" t="n">
        <v>2</v>
      </c>
      <c r="K2340" s="485" t="n">
        <v>14</v>
      </c>
      <c r="L2340" s="485" t="n">
        <v>1</v>
      </c>
      <c r="M2340" s="514" t="inlineStr">
        <is>
          <t>T</t>
        </is>
      </c>
    </row>
    <row r="2341">
      <c r="A2341" s="485" t="n">
        <v>31</v>
      </c>
      <c r="B2341" s="485" t="n">
        <v>2</v>
      </c>
      <c r="C2341" s="485" t="n">
        <v>2</v>
      </c>
      <c r="D2341" s="485" t="n">
        <v>2</v>
      </c>
      <c r="E2341" s="485" t="n">
        <v>2</v>
      </c>
      <c r="F2341" s="485" t="n">
        <v>2</v>
      </c>
      <c r="G2341" s="485" t="inlineStr">
        <is>
          <t>West-Down1</t>
        </is>
      </c>
      <c r="H2341" s="485" t="n">
        <v>2642.88</v>
      </c>
      <c r="I2341" s="485" t="n">
        <v>0</v>
      </c>
      <c r="J2341" s="485" t="n">
        <v>2</v>
      </c>
      <c r="K2341" s="485" t="n">
        <v>57</v>
      </c>
      <c r="L2341" s="485" t="n">
        <v>3</v>
      </c>
      <c r="M2341" s="514" t="inlineStr">
        <is>
          <t>T</t>
        </is>
      </c>
    </row>
    <row r="2342">
      <c r="A2342" s="485" t="n">
        <v>31</v>
      </c>
      <c r="B2342" s="485" t="n">
        <v>2</v>
      </c>
      <c r="C2342" s="485" t="n">
        <v>2</v>
      </c>
      <c r="D2342" s="485" t="n">
        <v>2</v>
      </c>
      <c r="E2342" s="485" t="n">
        <v>2</v>
      </c>
      <c r="F2342" s="485" t="n">
        <v>2</v>
      </c>
      <c r="G2342" s="485" t="inlineStr">
        <is>
          <t>West-Down2</t>
        </is>
      </c>
      <c r="H2342" s="485" t="n">
        <v>0</v>
      </c>
      <c r="I2342" s="485" t="n">
        <v>0</v>
      </c>
      <c r="J2342" s="485" t="n">
        <v>0</v>
      </c>
      <c r="K2342" s="485" t="n">
        <v>0</v>
      </c>
      <c r="L2342" s="485" t="n">
        <v>0</v>
      </c>
      <c r="M2342" s="514" t="inlineStr">
        <is>
          <t>T</t>
        </is>
      </c>
    </row>
    <row r="2343">
      <c r="A2343" s="485" t="n">
        <v>31</v>
      </c>
      <c r="B2343" s="485" t="n">
        <v>2</v>
      </c>
      <c r="C2343" s="485" t="n">
        <v>2</v>
      </c>
      <c r="D2343" s="485" t="n">
        <v>2</v>
      </c>
      <c r="E2343" s="485" t="n">
        <v>2</v>
      </c>
      <c r="F2343" s="485" t="n">
        <v>2</v>
      </c>
      <c r="G2343" s="485" t="inlineStr">
        <is>
          <t>East-Up2</t>
        </is>
      </c>
      <c r="H2343" s="485" t="n">
        <v>0</v>
      </c>
      <c r="I2343" s="485" t="n">
        <v>0</v>
      </c>
      <c r="J2343" s="485" t="n">
        <v>0</v>
      </c>
      <c r="K2343" s="485" t="n">
        <v>0</v>
      </c>
      <c r="L2343" s="485" t="n">
        <v>0</v>
      </c>
      <c r="M2343" s="514" t="inlineStr">
        <is>
          <t>T</t>
        </is>
      </c>
    </row>
    <row r="2344">
      <c r="A2344" s="485" t="n">
        <v>31</v>
      </c>
      <c r="B2344" s="485" t="n">
        <v>2</v>
      </c>
      <c r="C2344" s="485" t="n">
        <v>2</v>
      </c>
      <c r="D2344" s="485" t="n">
        <v>2</v>
      </c>
      <c r="E2344" s="485" t="n">
        <v>2</v>
      </c>
      <c r="F2344" s="485" t="n">
        <v>2</v>
      </c>
      <c r="G2344" s="516" t="inlineStr">
        <is>
          <t>East-Up1</t>
        </is>
      </c>
      <c r="H2344" s="485" t="n">
        <v>2666.6</v>
      </c>
      <c r="I2344" s="485" t="n">
        <v>0</v>
      </c>
      <c r="J2344" s="485" t="n">
        <v>1</v>
      </c>
      <c r="K2344" s="485" t="n">
        <v>47</v>
      </c>
      <c r="L2344" s="485" t="n">
        <v>1</v>
      </c>
      <c r="M2344" s="514" t="inlineStr">
        <is>
          <t>T</t>
        </is>
      </c>
    </row>
    <row r="2345">
      <c r="A2345" s="485" t="n">
        <v>31</v>
      </c>
      <c r="B2345" s="485" t="n">
        <v>2</v>
      </c>
      <c r="C2345" s="485" t="n">
        <v>2</v>
      </c>
      <c r="D2345" s="485" t="n">
        <v>2</v>
      </c>
      <c r="E2345" s="485" t="n">
        <v>2</v>
      </c>
      <c r="F2345" s="485" t="n">
        <v>2</v>
      </c>
      <c r="G2345" s="485" t="inlineStr">
        <is>
          <t>East-Down1</t>
        </is>
      </c>
      <c r="H2345" s="485" t="n">
        <v>2606.75</v>
      </c>
      <c r="I2345" s="485" t="n">
        <v>0</v>
      </c>
      <c r="J2345" s="485" t="n">
        <v>1</v>
      </c>
      <c r="K2345" s="485" t="n">
        <v>3</v>
      </c>
      <c r="L2345" s="485" t="n">
        <v>1</v>
      </c>
      <c r="M2345" s="514" t="inlineStr">
        <is>
          <t>T</t>
        </is>
      </c>
    </row>
    <row r="2346">
      <c r="A2346" s="485" t="n">
        <v>31</v>
      </c>
      <c r="B2346" s="485" t="n">
        <v>2</v>
      </c>
      <c r="C2346" s="485" t="n">
        <v>2</v>
      </c>
      <c r="D2346" s="485" t="n">
        <v>2</v>
      </c>
      <c r="E2346" s="485" t="n">
        <v>2</v>
      </c>
      <c r="F2346" s="485" t="n">
        <v>2</v>
      </c>
      <c r="G2346" s="485" t="inlineStr">
        <is>
          <t>East-Down2</t>
        </is>
      </c>
      <c r="H2346" s="485" t="n">
        <v>0</v>
      </c>
      <c r="I2346" s="485" t="n">
        <v>0</v>
      </c>
      <c r="J2346" s="485" t="n">
        <v>0</v>
      </c>
      <c r="K2346" s="485" t="n">
        <v>0</v>
      </c>
      <c r="L2346" s="485" t="n">
        <v>0</v>
      </c>
      <c r="M2346" s="514" t="inlineStr">
        <is>
          <t>T</t>
        </is>
      </c>
    </row>
    <row r="2347">
      <c r="A2347" s="485" t="n">
        <v>31</v>
      </c>
      <c r="B2347" s="485" t="n">
        <v>2</v>
      </c>
      <c r="C2347" s="485" t="n">
        <v>2</v>
      </c>
      <c r="D2347" s="485" t="n">
        <v>2</v>
      </c>
      <c r="E2347" s="485" t="n">
        <v>2</v>
      </c>
      <c r="F2347" s="485" t="n">
        <v>2</v>
      </c>
      <c r="G2347" s="485" t="inlineStr">
        <is>
          <t>North-Left2</t>
        </is>
      </c>
      <c r="H2347" s="485" t="n">
        <v>0</v>
      </c>
      <c r="I2347" s="485" t="n">
        <v>0</v>
      </c>
      <c r="J2347" s="485" t="n">
        <v>0</v>
      </c>
      <c r="K2347" s="485" t="n">
        <v>0</v>
      </c>
      <c r="L2347" s="485" t="n">
        <v>0</v>
      </c>
      <c r="M2347" s="514" t="inlineStr">
        <is>
          <t>T</t>
        </is>
      </c>
    </row>
    <row r="2348">
      <c r="A2348" s="485" t="n">
        <v>31</v>
      </c>
      <c r="B2348" s="485" t="n">
        <v>2</v>
      </c>
      <c r="C2348" s="485" t="n">
        <v>2</v>
      </c>
      <c r="D2348" s="485" t="n">
        <v>2</v>
      </c>
      <c r="E2348" s="485" t="n">
        <v>2</v>
      </c>
      <c r="F2348" s="485" t="n">
        <v>2</v>
      </c>
      <c r="G2348" s="516" t="inlineStr">
        <is>
          <t>North-Left1</t>
        </is>
      </c>
      <c r="H2348" s="485" t="n">
        <v>5195.57</v>
      </c>
      <c r="I2348" s="485" t="n">
        <v>89</v>
      </c>
      <c r="J2348" s="485" t="n">
        <v>47</v>
      </c>
      <c r="K2348" s="485" t="n">
        <v>59</v>
      </c>
      <c r="L2348" s="485" t="n">
        <v>2</v>
      </c>
      <c r="M2348" s="514" t="inlineStr">
        <is>
          <t>T</t>
        </is>
      </c>
    </row>
    <row r="2349">
      <c r="A2349" s="485" t="n">
        <v>31</v>
      </c>
      <c r="B2349" s="485" t="n">
        <v>2</v>
      </c>
      <c r="C2349" s="485" t="n">
        <v>2</v>
      </c>
      <c r="D2349" s="485" t="n">
        <v>2</v>
      </c>
      <c r="E2349" s="485" t="n">
        <v>2</v>
      </c>
      <c r="F2349" s="485" t="n">
        <v>2</v>
      </c>
      <c r="G2349" s="485" t="inlineStr">
        <is>
          <t>North-Right1</t>
        </is>
      </c>
      <c r="H2349" s="485" t="n">
        <v>0</v>
      </c>
      <c r="I2349" s="485" t="n">
        <v>0</v>
      </c>
      <c r="J2349" s="485" t="n">
        <v>0</v>
      </c>
      <c r="K2349" s="485" t="n">
        <v>0</v>
      </c>
      <c r="L2349" s="485" t="n">
        <v>0</v>
      </c>
      <c r="M2349" s="514" t="inlineStr">
        <is>
          <t>T</t>
        </is>
      </c>
    </row>
    <row r="2350">
      <c r="A2350" s="485" t="n">
        <v>31</v>
      </c>
      <c r="B2350" s="485" t="n">
        <v>2</v>
      </c>
      <c r="C2350" s="485" t="n">
        <v>2</v>
      </c>
      <c r="D2350" s="485" t="n">
        <v>2</v>
      </c>
      <c r="E2350" s="485" t="n">
        <v>2</v>
      </c>
      <c r="F2350" s="485" t="n">
        <v>2</v>
      </c>
      <c r="G2350" s="485" t="inlineStr">
        <is>
          <t>North-Right2</t>
        </is>
      </c>
      <c r="H2350" s="485" t="n">
        <v>0</v>
      </c>
      <c r="I2350" s="485" t="n">
        <v>0</v>
      </c>
      <c r="J2350" s="485" t="n">
        <v>0</v>
      </c>
      <c r="K2350" s="485" t="n">
        <v>0</v>
      </c>
      <c r="L2350" s="485" t="n">
        <v>0</v>
      </c>
      <c r="M2350" s="514" t="inlineStr">
        <is>
          <t>T</t>
        </is>
      </c>
    </row>
    <row r="2351">
      <c r="A2351" s="485" t="n">
        <v>31</v>
      </c>
      <c r="B2351" s="485" t="n">
        <v>2</v>
      </c>
      <c r="C2351" s="485" t="n">
        <v>2</v>
      </c>
      <c r="D2351" s="485" t="n">
        <v>2</v>
      </c>
      <c r="E2351" s="485" t="n">
        <v>2</v>
      </c>
      <c r="F2351" s="485" t="n">
        <v>2</v>
      </c>
      <c r="G2351" s="485" t="inlineStr">
        <is>
          <t>South-Left2</t>
        </is>
      </c>
      <c r="H2351" s="485" t="n">
        <v>1235.48</v>
      </c>
      <c r="I2351" s="485" t="n">
        <v>89</v>
      </c>
      <c r="J2351" s="485" t="n">
        <v>44</v>
      </c>
      <c r="K2351" s="485" t="n">
        <v>35</v>
      </c>
      <c r="L2351" s="485" t="n">
        <v>3</v>
      </c>
      <c r="M2351" s="514" t="inlineStr">
        <is>
          <t>T</t>
        </is>
      </c>
    </row>
    <row r="2352">
      <c r="A2352" s="485" t="n">
        <v>31</v>
      </c>
      <c r="B2352" s="485" t="n">
        <v>2</v>
      </c>
      <c r="C2352" s="485" t="n">
        <v>2</v>
      </c>
      <c r="D2352" s="485" t="n">
        <v>2</v>
      </c>
      <c r="E2352" s="485" t="n">
        <v>2</v>
      </c>
      <c r="F2352" s="485" t="n">
        <v>2</v>
      </c>
      <c r="G2352" s="516" t="inlineStr">
        <is>
          <t>South-Left1</t>
        </is>
      </c>
      <c r="H2352" s="485" t="n">
        <v>1321.06666666667</v>
      </c>
      <c r="I2352" s="485" t="n">
        <v>89</v>
      </c>
      <c r="J2352" s="485" t="n">
        <v>44</v>
      </c>
      <c r="K2352" s="485" t="n">
        <v>39</v>
      </c>
      <c r="L2352" s="485" t="n">
        <v>3</v>
      </c>
      <c r="M2352" s="514" t="inlineStr">
        <is>
          <t>T</t>
        </is>
      </c>
    </row>
    <row r="2353">
      <c r="A2353" s="485" t="n">
        <v>31</v>
      </c>
      <c r="B2353" s="485" t="n">
        <v>2</v>
      </c>
      <c r="C2353" s="485" t="n">
        <v>2</v>
      </c>
      <c r="D2353" s="485" t="n">
        <v>2</v>
      </c>
      <c r="E2353" s="485" t="n">
        <v>2</v>
      </c>
      <c r="F2353" s="485" t="n">
        <v>2</v>
      </c>
      <c r="G2353" s="485" t="inlineStr">
        <is>
          <t>South-Right1</t>
        </is>
      </c>
      <c r="H2353" s="485" t="n">
        <v>1321.06666666667</v>
      </c>
      <c r="I2353" s="485" t="n">
        <v>89</v>
      </c>
      <c r="J2353" s="485" t="n">
        <v>44</v>
      </c>
      <c r="K2353" s="485" t="n">
        <v>39</v>
      </c>
      <c r="L2353" s="485" t="n">
        <v>3</v>
      </c>
      <c r="M2353" s="514" t="inlineStr">
        <is>
          <t>T</t>
        </is>
      </c>
    </row>
    <row r="2354">
      <c r="A2354" s="485" t="n">
        <v>31</v>
      </c>
      <c r="B2354" s="485" t="n">
        <v>2</v>
      </c>
      <c r="C2354" s="485" t="n">
        <v>2</v>
      </c>
      <c r="D2354" s="485" t="n">
        <v>2</v>
      </c>
      <c r="E2354" s="485" t="n">
        <v>2</v>
      </c>
      <c r="F2354" s="485" t="n">
        <v>2</v>
      </c>
      <c r="G2354" s="485" t="inlineStr">
        <is>
          <t>South-Right2</t>
        </is>
      </c>
      <c r="H2354" s="485" t="n">
        <v>1321.06666666667</v>
      </c>
      <c r="I2354" s="485" t="n">
        <v>89</v>
      </c>
      <c r="J2354" s="485" t="n">
        <v>44</v>
      </c>
      <c r="K2354" s="485" t="n">
        <v>39</v>
      </c>
      <c r="L2354" s="485" t="n">
        <v>3</v>
      </c>
      <c r="M2354" s="514" t="inlineStr">
        <is>
          <t>T</t>
        </is>
      </c>
    </row>
    <row r="2355">
      <c r="A2355" s="485" t="n">
        <v>31</v>
      </c>
      <c r="B2355" s="485" t="n">
        <v>3</v>
      </c>
      <c r="C2355" s="485" t="n">
        <v>2</v>
      </c>
      <c r="D2355" s="485" t="n">
        <v>1</v>
      </c>
      <c r="E2355" s="485" t="n">
        <v>1</v>
      </c>
      <c r="F2355" s="485" t="n">
        <v>2</v>
      </c>
      <c r="G2355" s="485" t="inlineStr">
        <is>
          <t>West-Up2</t>
        </is>
      </c>
      <c r="H2355" s="485" t="n">
        <v>1328.234</v>
      </c>
      <c r="I2355" s="485" t="n">
        <v>0</v>
      </c>
      <c r="J2355" s="485" t="n">
        <v>44</v>
      </c>
      <c r="K2355" s="485" t="n">
        <v>24</v>
      </c>
      <c r="L2355" s="485" t="n">
        <v>4</v>
      </c>
      <c r="M2355" s="514" t="inlineStr">
        <is>
          <t>T</t>
        </is>
      </c>
    </row>
    <row r="2356">
      <c r="A2356" s="485" t="n">
        <v>31</v>
      </c>
      <c r="B2356" s="485" t="n">
        <v>3</v>
      </c>
      <c r="C2356" s="485" t="n">
        <v>2</v>
      </c>
      <c r="D2356" s="485" t="n">
        <v>1</v>
      </c>
      <c r="E2356" s="485" t="n">
        <v>1</v>
      </c>
      <c r="F2356" s="485" t="n">
        <v>2</v>
      </c>
      <c r="G2356" s="516" t="inlineStr">
        <is>
          <t>West-Up1</t>
        </is>
      </c>
      <c r="H2356" s="485" t="n">
        <v>1323.15</v>
      </c>
      <c r="I2356" s="485" t="n">
        <v>1</v>
      </c>
      <c r="J2356" s="485" t="n">
        <v>0</v>
      </c>
      <c r="K2356" s="485" t="n">
        <v>2</v>
      </c>
      <c r="L2356" s="485" t="n">
        <v>4</v>
      </c>
      <c r="M2356" s="514" t="inlineStr">
        <is>
          <t>T</t>
        </is>
      </c>
    </row>
    <row r="2357">
      <c r="A2357" s="485" t="n">
        <v>31</v>
      </c>
      <c r="B2357" s="485" t="n">
        <v>3</v>
      </c>
      <c r="C2357" s="485" t="n">
        <v>2</v>
      </c>
      <c r="D2357" s="485" t="n">
        <v>1</v>
      </c>
      <c r="E2357" s="485" t="n">
        <v>1</v>
      </c>
      <c r="F2357" s="485" t="n">
        <v>2</v>
      </c>
      <c r="G2357" s="485" t="inlineStr">
        <is>
          <t>West-Down1</t>
        </is>
      </c>
      <c r="H2357" s="485" t="n">
        <v>2699.48</v>
      </c>
      <c r="I2357" s="485" t="n">
        <v>1</v>
      </c>
      <c r="J2357" s="485" t="n">
        <v>3</v>
      </c>
      <c r="K2357" s="485" t="n">
        <v>2</v>
      </c>
      <c r="L2357" s="485" t="n">
        <v>4</v>
      </c>
      <c r="M2357" s="514" t="inlineStr">
        <is>
          <t>T</t>
        </is>
      </c>
    </row>
    <row r="2358">
      <c r="A2358" s="485" t="n">
        <v>31</v>
      </c>
      <c r="B2358" s="485" t="n">
        <v>3</v>
      </c>
      <c r="C2358" s="485" t="n">
        <v>2</v>
      </c>
      <c r="D2358" s="485" t="n">
        <v>1</v>
      </c>
      <c r="E2358" s="485" t="n">
        <v>1</v>
      </c>
      <c r="F2358" s="485" t="n">
        <v>2</v>
      </c>
      <c r="G2358" s="485" t="inlineStr">
        <is>
          <t>West-Down2</t>
        </is>
      </c>
      <c r="H2358" s="485" t="n">
        <v>0</v>
      </c>
      <c r="I2358" s="485" t="n">
        <v>0</v>
      </c>
      <c r="J2358" s="485" t="n">
        <v>0</v>
      </c>
      <c r="K2358" s="485" t="n">
        <v>0</v>
      </c>
      <c r="L2358" s="485" t="n">
        <v>0</v>
      </c>
      <c r="M2358" s="514" t="inlineStr">
        <is>
          <t>T</t>
        </is>
      </c>
    </row>
    <row r="2359">
      <c r="A2359" s="485" t="n">
        <v>31</v>
      </c>
      <c r="B2359" s="485" t="n">
        <v>3</v>
      </c>
      <c r="C2359" s="485" t="n">
        <v>2</v>
      </c>
      <c r="D2359" s="485" t="n">
        <v>1</v>
      </c>
      <c r="E2359" s="485" t="n">
        <v>1</v>
      </c>
      <c r="F2359" s="485" t="n">
        <v>2</v>
      </c>
      <c r="G2359" s="485" t="inlineStr">
        <is>
          <t>East-Up2</t>
        </is>
      </c>
      <c r="H2359" s="485" t="n">
        <v>0</v>
      </c>
      <c r="I2359" s="485" t="n">
        <v>0</v>
      </c>
      <c r="J2359" s="485" t="n">
        <v>0</v>
      </c>
      <c r="K2359" s="485" t="n">
        <v>0</v>
      </c>
      <c r="L2359" s="485" t="n">
        <v>0</v>
      </c>
      <c r="M2359" s="514" t="inlineStr">
        <is>
          <t>T</t>
        </is>
      </c>
    </row>
    <row r="2360">
      <c r="A2360" s="485" t="n">
        <v>31</v>
      </c>
      <c r="B2360" s="485" t="n">
        <v>3</v>
      </c>
      <c r="C2360" s="485" t="n">
        <v>2</v>
      </c>
      <c r="D2360" s="485" t="n">
        <v>1</v>
      </c>
      <c r="E2360" s="485" t="n">
        <v>1</v>
      </c>
      <c r="F2360" s="485" t="n">
        <v>2</v>
      </c>
      <c r="G2360" s="516" t="inlineStr">
        <is>
          <t>East-Up1</t>
        </is>
      </c>
      <c r="H2360" s="485" t="n">
        <v>2635.27</v>
      </c>
      <c r="I2360" s="485" t="n">
        <v>1</v>
      </c>
      <c r="J2360" s="485" t="n">
        <v>10</v>
      </c>
      <c r="K2360" s="485" t="n">
        <v>39</v>
      </c>
      <c r="L2360" s="485" t="n">
        <v>4</v>
      </c>
      <c r="M2360" s="514" t="inlineStr">
        <is>
          <t>T</t>
        </is>
      </c>
    </row>
    <row r="2361">
      <c r="A2361" s="485" t="n">
        <v>31</v>
      </c>
      <c r="B2361" s="485" t="n">
        <v>3</v>
      </c>
      <c r="C2361" s="485" t="n">
        <v>2</v>
      </c>
      <c r="D2361" s="485" t="n">
        <v>1</v>
      </c>
      <c r="E2361" s="485" t="n">
        <v>1</v>
      </c>
      <c r="F2361" s="485" t="n">
        <v>2</v>
      </c>
      <c r="G2361" s="485" t="inlineStr">
        <is>
          <t>East-Down1</t>
        </is>
      </c>
      <c r="H2361" s="485" t="n">
        <v>1334.8</v>
      </c>
      <c r="I2361" s="485" t="n">
        <v>0</v>
      </c>
      <c r="J2361" s="485" t="n">
        <v>54</v>
      </c>
      <c r="K2361" s="485" t="n">
        <v>14</v>
      </c>
      <c r="L2361" s="485" t="n">
        <v>4</v>
      </c>
      <c r="M2361" s="514" t="inlineStr">
        <is>
          <t>T</t>
        </is>
      </c>
    </row>
    <row r="2362">
      <c r="A2362" s="485" t="n">
        <v>31</v>
      </c>
      <c r="B2362" s="485" t="n">
        <v>3</v>
      </c>
      <c r="C2362" s="485" t="n">
        <v>2</v>
      </c>
      <c r="D2362" s="485" t="n">
        <v>1</v>
      </c>
      <c r="E2362" s="485" t="n">
        <v>1</v>
      </c>
      <c r="F2362" s="485" t="n">
        <v>2</v>
      </c>
      <c r="G2362" s="485" t="inlineStr">
        <is>
          <t>East-Down2</t>
        </is>
      </c>
      <c r="H2362" s="485" t="n">
        <v>1335.03</v>
      </c>
      <c r="I2362" s="485" t="n">
        <v>0</v>
      </c>
      <c r="J2362" s="485" t="n">
        <v>54</v>
      </c>
      <c r="K2362" s="485" t="n">
        <v>27</v>
      </c>
      <c r="L2362" s="485" t="n">
        <v>4</v>
      </c>
      <c r="M2362" s="514" t="inlineStr">
        <is>
          <t>T</t>
        </is>
      </c>
    </row>
    <row r="2363">
      <c r="A2363" s="485" t="n">
        <v>31</v>
      </c>
      <c r="B2363" s="485" t="n">
        <v>3</v>
      </c>
      <c r="C2363" s="485" t="n">
        <v>2</v>
      </c>
      <c r="D2363" s="485" t="n">
        <v>1</v>
      </c>
      <c r="E2363" s="485" t="n">
        <v>1</v>
      </c>
      <c r="F2363" s="485" t="n">
        <v>2</v>
      </c>
      <c r="G2363" s="485" t="inlineStr">
        <is>
          <t>North-Left2</t>
        </is>
      </c>
      <c r="H2363" s="485" t="n">
        <v>1319.71</v>
      </c>
      <c r="I2363" s="485" t="n">
        <v>89</v>
      </c>
      <c r="J2363" s="485" t="n">
        <v>20</v>
      </c>
      <c r="K2363" s="485" t="n">
        <v>28</v>
      </c>
      <c r="L2363" s="485" t="n">
        <v>3</v>
      </c>
      <c r="M2363" s="514" t="inlineStr">
        <is>
          <t>T</t>
        </is>
      </c>
    </row>
    <row r="2364">
      <c r="A2364" s="485" t="n">
        <v>31</v>
      </c>
      <c r="B2364" s="485" t="n">
        <v>3</v>
      </c>
      <c r="C2364" s="485" t="n">
        <v>2</v>
      </c>
      <c r="D2364" s="485" t="n">
        <v>1</v>
      </c>
      <c r="E2364" s="485" t="n">
        <v>1</v>
      </c>
      <c r="F2364" s="485" t="n">
        <v>2</v>
      </c>
      <c r="G2364" s="516" t="inlineStr">
        <is>
          <t>North-Left1</t>
        </is>
      </c>
      <c r="H2364" s="485" t="n">
        <v>1319.75</v>
      </c>
      <c r="I2364" s="485" t="n">
        <v>89</v>
      </c>
      <c r="J2364" s="485" t="n">
        <v>30</v>
      </c>
      <c r="K2364" s="485" t="n">
        <v>51</v>
      </c>
      <c r="L2364" s="485" t="n">
        <v>3</v>
      </c>
      <c r="M2364" s="514" t="inlineStr">
        <is>
          <t>T</t>
        </is>
      </c>
    </row>
    <row r="2365">
      <c r="A2365" s="485" t="n">
        <v>31</v>
      </c>
      <c r="B2365" s="485" t="n">
        <v>3</v>
      </c>
      <c r="C2365" s="485" t="n">
        <v>2</v>
      </c>
      <c r="D2365" s="485" t="n">
        <v>1</v>
      </c>
      <c r="E2365" s="485" t="n">
        <v>1</v>
      </c>
      <c r="F2365" s="485" t="n">
        <v>2</v>
      </c>
      <c r="G2365" s="485" t="inlineStr">
        <is>
          <t>North-Right1</t>
        </is>
      </c>
      <c r="H2365" s="485" t="n">
        <v>2637.62</v>
      </c>
      <c r="I2365" s="485" t="n">
        <v>89</v>
      </c>
      <c r="J2365" s="485" t="n">
        <v>4</v>
      </c>
      <c r="K2365" s="485" t="n">
        <v>40</v>
      </c>
      <c r="L2365" s="485" t="n">
        <v>3</v>
      </c>
      <c r="M2365" s="514" t="inlineStr">
        <is>
          <t>T</t>
        </is>
      </c>
    </row>
    <row r="2366">
      <c r="A2366" s="485" t="n">
        <v>31</v>
      </c>
      <c r="B2366" s="485" t="n">
        <v>3</v>
      </c>
      <c r="C2366" s="485" t="n">
        <v>2</v>
      </c>
      <c r="D2366" s="485" t="n">
        <v>1</v>
      </c>
      <c r="E2366" s="485" t="n">
        <v>1</v>
      </c>
      <c r="F2366" s="485" t="n">
        <v>2</v>
      </c>
      <c r="G2366" s="485" t="inlineStr">
        <is>
          <t>North-Right2</t>
        </is>
      </c>
      <c r="H2366" s="485" t="n">
        <v>0</v>
      </c>
      <c r="I2366" s="485" t="n">
        <v>0</v>
      </c>
      <c r="J2366" s="485" t="n">
        <v>0</v>
      </c>
      <c r="K2366" s="485" t="n">
        <v>0</v>
      </c>
      <c r="L2366" s="485" t="n">
        <v>0</v>
      </c>
      <c r="M2366" s="514" t="inlineStr">
        <is>
          <t>T</t>
        </is>
      </c>
    </row>
    <row r="2367">
      <c r="A2367" s="485" t="n">
        <v>31</v>
      </c>
      <c r="B2367" s="485" t="n">
        <v>3</v>
      </c>
      <c r="C2367" s="485" t="n">
        <v>2</v>
      </c>
      <c r="D2367" s="485" t="n">
        <v>1</v>
      </c>
      <c r="E2367" s="485" t="n">
        <v>1</v>
      </c>
      <c r="F2367" s="485" t="n">
        <v>2</v>
      </c>
      <c r="G2367" s="485" t="inlineStr">
        <is>
          <t>South-Left2</t>
        </is>
      </c>
      <c r="H2367" s="485" t="n">
        <v>0</v>
      </c>
      <c r="I2367" s="485" t="n">
        <v>0</v>
      </c>
      <c r="J2367" s="485" t="n">
        <v>0</v>
      </c>
      <c r="K2367" s="485" t="n">
        <v>0</v>
      </c>
      <c r="L2367" s="485" t="n">
        <v>0</v>
      </c>
      <c r="M2367" s="514" t="inlineStr">
        <is>
          <t>T</t>
        </is>
      </c>
    </row>
    <row r="2368">
      <c r="A2368" s="485" t="n">
        <v>31</v>
      </c>
      <c r="B2368" s="485" t="n">
        <v>3</v>
      </c>
      <c r="C2368" s="485" t="n">
        <v>2</v>
      </c>
      <c r="D2368" s="485" t="n">
        <v>1</v>
      </c>
      <c r="E2368" s="485" t="n">
        <v>1</v>
      </c>
      <c r="F2368" s="485" t="n">
        <v>2</v>
      </c>
      <c r="G2368" s="516" t="inlineStr">
        <is>
          <t>South-Left1</t>
        </is>
      </c>
      <c r="H2368" s="485" t="n">
        <v>2642.36</v>
      </c>
      <c r="I2368" s="485" t="n">
        <v>88</v>
      </c>
      <c r="J2368" s="485" t="n">
        <v>53</v>
      </c>
      <c r="K2368" s="485" t="n">
        <v>58</v>
      </c>
      <c r="L2368" s="485" t="n">
        <v>3</v>
      </c>
      <c r="M2368" s="514" t="inlineStr">
        <is>
          <t>T</t>
        </is>
      </c>
    </row>
    <row r="2369">
      <c r="A2369" s="485" t="n">
        <v>31</v>
      </c>
      <c r="B2369" s="485" t="n">
        <v>3</v>
      </c>
      <c r="C2369" s="485" t="n">
        <v>2</v>
      </c>
      <c r="D2369" s="485" t="n">
        <v>1</v>
      </c>
      <c r="E2369" s="485" t="n">
        <v>1</v>
      </c>
      <c r="F2369" s="485" t="n">
        <v>2</v>
      </c>
      <c r="G2369" s="485" t="inlineStr">
        <is>
          <t>South-Right1</t>
        </is>
      </c>
      <c r="H2369" s="485" t="n">
        <v>2642.07</v>
      </c>
      <c r="I2369" s="485" t="n">
        <v>88</v>
      </c>
      <c r="J2369" s="485" t="n">
        <v>41</v>
      </c>
      <c r="K2369" s="485" t="n">
        <v>46</v>
      </c>
      <c r="L2369" s="485" t="n">
        <v>3</v>
      </c>
      <c r="M2369" s="514" t="inlineStr">
        <is>
          <t>T</t>
        </is>
      </c>
    </row>
    <row r="2370">
      <c r="A2370" s="485" t="n">
        <v>31</v>
      </c>
      <c r="B2370" s="485" t="n">
        <v>3</v>
      </c>
      <c r="C2370" s="485" t="n">
        <v>2</v>
      </c>
      <c r="D2370" s="485" t="n">
        <v>1</v>
      </c>
      <c r="E2370" s="485" t="n">
        <v>1</v>
      </c>
      <c r="F2370" s="485" t="n">
        <v>2</v>
      </c>
      <c r="G2370" s="485" t="inlineStr">
        <is>
          <t>South-Right2</t>
        </is>
      </c>
      <c r="H2370" s="485" t="n">
        <v>0</v>
      </c>
      <c r="I2370" s="485" t="n">
        <v>0</v>
      </c>
      <c r="J2370" s="485" t="n">
        <v>0</v>
      </c>
      <c r="K2370" s="485" t="n">
        <v>0</v>
      </c>
      <c r="L2370" s="485" t="n">
        <v>0</v>
      </c>
      <c r="M2370" s="514" t="inlineStr">
        <is>
          <t>T</t>
        </is>
      </c>
    </row>
    <row r="2371">
      <c r="A2371" s="485" t="n">
        <v>32</v>
      </c>
      <c r="B2371" s="485" t="n">
        <v>11</v>
      </c>
      <c r="C2371" s="485" t="n">
        <v>2</v>
      </c>
      <c r="D2371" s="485" t="n">
        <v>24</v>
      </c>
      <c r="E2371" s="485" t="n">
        <v>1</v>
      </c>
      <c r="F2371" s="485" t="n">
        <v>1</v>
      </c>
      <c r="G2371" s="485" t="inlineStr">
        <is>
          <t>West-Up2</t>
        </is>
      </c>
      <c r="H2371" s="485" t="n">
        <v>0</v>
      </c>
      <c r="I2371" s="485" t="n">
        <v>0</v>
      </c>
      <c r="J2371" s="485" t="n">
        <v>0</v>
      </c>
      <c r="K2371" s="485" t="n">
        <v>0</v>
      </c>
      <c r="L2371" s="485" t="n">
        <v>0</v>
      </c>
      <c r="M2371" s="514" t="inlineStr">
        <is>
          <t>T</t>
        </is>
      </c>
    </row>
    <row r="2372">
      <c r="A2372" s="485" t="n">
        <v>32</v>
      </c>
      <c r="B2372" s="485" t="n">
        <v>11</v>
      </c>
      <c r="C2372" s="485" t="n">
        <v>2</v>
      </c>
      <c r="D2372" s="485" t="n">
        <v>24</v>
      </c>
      <c r="E2372" s="485" t="n">
        <v>1</v>
      </c>
      <c r="F2372" s="485" t="n">
        <v>1</v>
      </c>
      <c r="G2372" s="516" t="inlineStr">
        <is>
          <t>West-Up1</t>
        </is>
      </c>
      <c r="H2372" s="485" t="n">
        <v>2644.27</v>
      </c>
      <c r="I2372" s="485" t="n">
        <v>0</v>
      </c>
      <c r="J2372" s="485" t="n">
        <v>0</v>
      </c>
      <c r="K2372" s="485" t="n">
        <v>41</v>
      </c>
      <c r="L2372" s="485" t="n">
        <v>2</v>
      </c>
      <c r="M2372" s="514" t="inlineStr">
        <is>
          <t>T</t>
        </is>
      </c>
    </row>
    <row r="2373">
      <c r="A2373" s="485" t="n">
        <v>32</v>
      </c>
      <c r="B2373" s="485" t="n">
        <v>11</v>
      </c>
      <c r="C2373" s="485" t="n">
        <v>2</v>
      </c>
      <c r="D2373" s="485" t="n">
        <v>24</v>
      </c>
      <c r="E2373" s="485" t="n">
        <v>1</v>
      </c>
      <c r="F2373" s="485" t="n">
        <v>1</v>
      </c>
      <c r="G2373" s="485" t="inlineStr">
        <is>
          <t>West-Down1</t>
        </is>
      </c>
      <c r="H2373" s="485" t="n">
        <v>2637.58</v>
      </c>
      <c r="I2373" s="485" t="n">
        <v>0</v>
      </c>
      <c r="J2373" s="485" t="n">
        <v>2</v>
      </c>
      <c r="K2373" s="485" t="n">
        <v>34</v>
      </c>
      <c r="L2373" s="485" t="n">
        <v>4</v>
      </c>
      <c r="M2373" s="514" t="inlineStr">
        <is>
          <t>T</t>
        </is>
      </c>
    </row>
    <row r="2374">
      <c r="A2374" s="485" t="n">
        <v>32</v>
      </c>
      <c r="B2374" s="485" t="n">
        <v>11</v>
      </c>
      <c r="C2374" s="485" t="n">
        <v>2</v>
      </c>
      <c r="D2374" s="485" t="n">
        <v>24</v>
      </c>
      <c r="E2374" s="485" t="n">
        <v>1</v>
      </c>
      <c r="F2374" s="485" t="n">
        <v>1</v>
      </c>
      <c r="G2374" s="485" t="inlineStr">
        <is>
          <t>West-Down2</t>
        </is>
      </c>
      <c r="H2374" s="485" t="n">
        <v>0</v>
      </c>
      <c r="I2374" s="485" t="n">
        <v>0</v>
      </c>
      <c r="J2374" s="485" t="n">
        <v>0</v>
      </c>
      <c r="K2374" s="485" t="n">
        <v>0</v>
      </c>
      <c r="L2374" s="485" t="n">
        <v>0</v>
      </c>
      <c r="M2374" s="514" t="inlineStr">
        <is>
          <t>T</t>
        </is>
      </c>
    </row>
    <row r="2375">
      <c r="A2375" s="485" t="n">
        <v>32</v>
      </c>
      <c r="B2375" s="485" t="n">
        <v>11</v>
      </c>
      <c r="C2375" s="485" t="n">
        <v>2</v>
      </c>
      <c r="D2375" s="485" t="n">
        <v>24</v>
      </c>
      <c r="E2375" s="485" t="n">
        <v>1</v>
      </c>
      <c r="F2375" s="485" t="n">
        <v>1</v>
      </c>
      <c r="G2375" s="485" t="inlineStr">
        <is>
          <t>East-Up2</t>
        </is>
      </c>
      <c r="H2375" s="485" t="n">
        <v>0</v>
      </c>
      <c r="I2375" s="485" t="n">
        <v>0</v>
      </c>
      <c r="J2375" s="485" t="n">
        <v>0</v>
      </c>
      <c r="K2375" s="485" t="n">
        <v>0</v>
      </c>
      <c r="L2375" s="485" t="n">
        <v>0</v>
      </c>
      <c r="M2375" s="514" t="inlineStr">
        <is>
          <t>T</t>
        </is>
      </c>
    </row>
    <row r="2376">
      <c r="A2376" s="485" t="n">
        <v>32</v>
      </c>
      <c r="B2376" s="485" t="n">
        <v>11</v>
      </c>
      <c r="C2376" s="485" t="n">
        <v>2</v>
      </c>
      <c r="D2376" s="485" t="n">
        <v>24</v>
      </c>
      <c r="E2376" s="485" t="n">
        <v>1</v>
      </c>
      <c r="F2376" s="485" t="n">
        <v>1</v>
      </c>
      <c r="G2376" s="516" t="inlineStr">
        <is>
          <t>East-Up1</t>
        </is>
      </c>
      <c r="H2376" s="485" t="n">
        <v>5250</v>
      </c>
      <c r="I2376" s="485" t="n">
        <v>0</v>
      </c>
      <c r="J2376" s="485" t="n">
        <v>3</v>
      </c>
      <c r="K2376" s="485" t="n">
        <v>0</v>
      </c>
      <c r="L2376" s="485" t="n">
        <v>4</v>
      </c>
      <c r="M2376" s="514" t="inlineStr">
        <is>
          <t>T</t>
        </is>
      </c>
    </row>
    <row r="2377">
      <c r="A2377" s="485" t="n">
        <v>32</v>
      </c>
      <c r="B2377" s="485" t="n">
        <v>11</v>
      </c>
      <c r="C2377" s="485" t="n">
        <v>2</v>
      </c>
      <c r="D2377" s="485" t="n">
        <v>24</v>
      </c>
      <c r="E2377" s="485" t="n">
        <v>1</v>
      </c>
      <c r="F2377" s="485" t="n">
        <v>1</v>
      </c>
      <c r="G2377" s="485" t="inlineStr">
        <is>
          <t>East-Down1</t>
        </is>
      </c>
      <c r="H2377" s="485" t="n">
        <v>0</v>
      </c>
      <c r="I2377" s="485" t="n">
        <v>0</v>
      </c>
      <c r="J2377" s="485" t="n">
        <v>0</v>
      </c>
      <c r="K2377" s="485" t="n">
        <v>0</v>
      </c>
      <c r="L2377" s="485" t="n">
        <v>0</v>
      </c>
      <c r="M2377" s="514" t="inlineStr">
        <is>
          <t>T</t>
        </is>
      </c>
    </row>
    <row r="2378">
      <c r="A2378" s="485" t="n">
        <v>32</v>
      </c>
      <c r="B2378" s="485" t="n">
        <v>11</v>
      </c>
      <c r="C2378" s="485" t="n">
        <v>2</v>
      </c>
      <c r="D2378" s="485" t="n">
        <v>24</v>
      </c>
      <c r="E2378" s="485" t="n">
        <v>1</v>
      </c>
      <c r="F2378" s="485" t="n">
        <v>1</v>
      </c>
      <c r="G2378" s="485" t="inlineStr">
        <is>
          <t>East-Down2</t>
        </is>
      </c>
      <c r="H2378" s="485" t="n">
        <v>0</v>
      </c>
      <c r="I2378" s="485" t="n">
        <v>0</v>
      </c>
      <c r="J2378" s="485" t="n">
        <v>0</v>
      </c>
      <c r="K2378" s="485" t="n">
        <v>0</v>
      </c>
      <c r="L2378" s="485" t="n">
        <v>0</v>
      </c>
      <c r="M2378" s="514" t="inlineStr">
        <is>
          <t>T</t>
        </is>
      </c>
    </row>
    <row r="2379">
      <c r="A2379" s="485" t="n">
        <v>32</v>
      </c>
      <c r="B2379" s="485" t="n">
        <v>11</v>
      </c>
      <c r="C2379" s="485" t="n">
        <v>2</v>
      </c>
      <c r="D2379" s="485" t="n">
        <v>24</v>
      </c>
      <c r="E2379" s="485" t="n">
        <v>1</v>
      </c>
      <c r="F2379" s="485" t="n">
        <v>1</v>
      </c>
      <c r="G2379" s="485" t="inlineStr">
        <is>
          <t>North-Left2</t>
        </is>
      </c>
      <c r="H2379" s="485" t="n">
        <v>0</v>
      </c>
      <c r="I2379" s="485" t="n">
        <v>0</v>
      </c>
      <c r="J2379" s="485" t="n">
        <v>0</v>
      </c>
      <c r="K2379" s="485" t="n">
        <v>0</v>
      </c>
      <c r="L2379" s="485" t="n">
        <v>0</v>
      </c>
      <c r="M2379" s="514" t="inlineStr">
        <is>
          <t>T</t>
        </is>
      </c>
    </row>
    <row r="2380">
      <c r="A2380" s="485" t="n">
        <v>32</v>
      </c>
      <c r="B2380" s="485" t="n">
        <v>11</v>
      </c>
      <c r="C2380" s="485" t="n">
        <v>2</v>
      </c>
      <c r="D2380" s="485" t="n">
        <v>24</v>
      </c>
      <c r="E2380" s="485" t="n">
        <v>1</v>
      </c>
      <c r="F2380" s="485" t="n">
        <v>1</v>
      </c>
      <c r="G2380" s="516" t="inlineStr">
        <is>
          <t>North-Left1</t>
        </is>
      </c>
      <c r="H2380" s="485" t="n">
        <v>2641.76</v>
      </c>
      <c r="I2380" s="485" t="n">
        <v>89</v>
      </c>
      <c r="J2380" s="485" t="n">
        <v>54</v>
      </c>
      <c r="K2380" s="485" t="n">
        <v>49</v>
      </c>
      <c r="L2380" s="485" t="n">
        <v>4</v>
      </c>
      <c r="M2380" s="514" t="inlineStr">
        <is>
          <t>T</t>
        </is>
      </c>
    </row>
    <row r="2381">
      <c r="A2381" s="485" t="n">
        <v>32</v>
      </c>
      <c r="B2381" s="485" t="n">
        <v>11</v>
      </c>
      <c r="C2381" s="485" t="n">
        <v>2</v>
      </c>
      <c r="D2381" s="485" t="n">
        <v>24</v>
      </c>
      <c r="E2381" s="485" t="n">
        <v>1</v>
      </c>
      <c r="F2381" s="485" t="n">
        <v>1</v>
      </c>
      <c r="G2381" s="485" t="inlineStr">
        <is>
          <t>North-Right1</t>
        </is>
      </c>
      <c r="H2381" s="485" t="n">
        <v>2640.04</v>
      </c>
      <c r="I2381" s="485" t="n">
        <v>89</v>
      </c>
      <c r="J2381" s="485" t="n">
        <v>57</v>
      </c>
      <c r="K2381" s="485" t="n">
        <v>0</v>
      </c>
      <c r="L2381" s="485" t="n">
        <v>4</v>
      </c>
      <c r="M2381" s="514" t="inlineStr">
        <is>
          <t>T</t>
        </is>
      </c>
    </row>
    <row r="2382">
      <c r="A2382" s="485" t="n">
        <v>32</v>
      </c>
      <c r="B2382" s="485" t="n">
        <v>11</v>
      </c>
      <c r="C2382" s="485" t="n">
        <v>2</v>
      </c>
      <c r="D2382" s="485" t="n">
        <v>24</v>
      </c>
      <c r="E2382" s="485" t="n">
        <v>1</v>
      </c>
      <c r="F2382" s="485" t="n">
        <v>1</v>
      </c>
      <c r="G2382" s="485" t="inlineStr">
        <is>
          <t>North-Right2</t>
        </is>
      </c>
      <c r="H2382" s="485" t="n">
        <v>0</v>
      </c>
      <c r="I2382" s="485" t="n">
        <v>0</v>
      </c>
      <c r="J2382" s="485" t="n">
        <v>0</v>
      </c>
      <c r="K2382" s="485" t="n">
        <v>0</v>
      </c>
      <c r="L2382" s="485" t="n">
        <v>0</v>
      </c>
      <c r="M2382" s="514" t="inlineStr">
        <is>
          <t>T</t>
        </is>
      </c>
    </row>
    <row r="2383">
      <c r="A2383" s="485" t="n">
        <v>32</v>
      </c>
      <c r="B2383" s="485" t="n">
        <v>11</v>
      </c>
      <c r="C2383" s="485" t="n">
        <v>2</v>
      </c>
      <c r="D2383" s="485" t="n">
        <v>24</v>
      </c>
      <c r="E2383" s="485" t="n">
        <v>1</v>
      </c>
      <c r="F2383" s="485" t="n">
        <v>1</v>
      </c>
      <c r="G2383" s="485" t="inlineStr">
        <is>
          <t>South-Left2</t>
        </is>
      </c>
      <c r="H2383" s="485" t="n">
        <v>0</v>
      </c>
      <c r="I2383" s="485" t="n">
        <v>0</v>
      </c>
      <c r="J2383" s="485" t="n">
        <v>0</v>
      </c>
      <c r="K2383" s="485" t="n">
        <v>0</v>
      </c>
      <c r="L2383" s="485" t="n">
        <v>0</v>
      </c>
      <c r="M2383" s="514" t="inlineStr">
        <is>
          <t>T</t>
        </is>
      </c>
    </row>
    <row r="2384">
      <c r="A2384" s="485" t="n">
        <v>32</v>
      </c>
      <c r="B2384" s="485" t="n">
        <v>11</v>
      </c>
      <c r="C2384" s="485" t="n">
        <v>2</v>
      </c>
      <c r="D2384" s="485" t="n">
        <v>24</v>
      </c>
      <c r="E2384" s="485" t="n">
        <v>1</v>
      </c>
      <c r="F2384" s="485" t="n">
        <v>1</v>
      </c>
      <c r="G2384" s="516" t="inlineStr">
        <is>
          <t>South-Left1</t>
        </is>
      </c>
      <c r="H2384" s="485" t="n">
        <v>2639.16</v>
      </c>
      <c r="I2384" s="485" t="n">
        <v>89</v>
      </c>
      <c r="J2384" s="485" t="n">
        <v>53</v>
      </c>
      <c r="K2384" s="485" t="n">
        <v>27</v>
      </c>
      <c r="L2384" s="485" t="n">
        <v>2</v>
      </c>
      <c r="M2384" s="514" t="inlineStr">
        <is>
          <t>T</t>
        </is>
      </c>
    </row>
    <row r="2385">
      <c r="A2385" s="485" t="n">
        <v>32</v>
      </c>
      <c r="B2385" s="485" t="n">
        <v>11</v>
      </c>
      <c r="C2385" s="485" t="n">
        <v>2</v>
      </c>
      <c r="D2385" s="485" t="n">
        <v>24</v>
      </c>
      <c r="E2385" s="485" t="n">
        <v>1</v>
      </c>
      <c r="F2385" s="485" t="n">
        <v>1</v>
      </c>
      <c r="G2385" s="485" t="inlineStr">
        <is>
          <t>South-Right1</t>
        </is>
      </c>
      <c r="H2385" s="485" t="n">
        <v>2640</v>
      </c>
      <c r="I2385" s="485" t="n">
        <v>89</v>
      </c>
      <c r="J2385" s="485" t="n">
        <v>59</v>
      </c>
      <c r="K2385" s="485" t="n">
        <v>0</v>
      </c>
      <c r="L2385" s="485" t="n">
        <v>2</v>
      </c>
      <c r="M2385" s="514" t="inlineStr">
        <is>
          <t>T</t>
        </is>
      </c>
    </row>
    <row r="2386">
      <c r="A2386" s="485" t="n">
        <v>32</v>
      </c>
      <c r="B2386" s="485" t="n">
        <v>11</v>
      </c>
      <c r="C2386" s="485" t="n">
        <v>2</v>
      </c>
      <c r="D2386" s="485" t="n">
        <v>24</v>
      </c>
      <c r="E2386" s="485" t="n">
        <v>1</v>
      </c>
      <c r="F2386" s="485" t="n">
        <v>1</v>
      </c>
      <c r="G2386" s="485" t="inlineStr">
        <is>
          <t>South-Right2</t>
        </is>
      </c>
      <c r="H2386" s="485" t="n">
        <v>0</v>
      </c>
      <c r="I2386" s="485" t="n">
        <v>0</v>
      </c>
      <c r="J2386" s="485" t="n">
        <v>0</v>
      </c>
      <c r="K2386" s="485" t="n">
        <v>0</v>
      </c>
      <c r="L2386" s="485" t="n">
        <v>0</v>
      </c>
      <c r="M2386" s="514" t="inlineStr">
        <is>
          <t>T</t>
        </is>
      </c>
    </row>
    <row r="2387">
      <c r="A2387" s="485" t="n">
        <v>32</v>
      </c>
      <c r="B2387" s="485" t="n">
        <v>7</v>
      </c>
      <c r="C2387" s="485" t="n">
        <v>2</v>
      </c>
      <c r="D2387" s="485" t="n">
        <v>20</v>
      </c>
      <c r="E2387" s="485" t="n">
        <v>1</v>
      </c>
      <c r="F2387" s="485" t="n">
        <v>1</v>
      </c>
      <c r="G2387" s="485" t="inlineStr">
        <is>
          <t>West-Up2</t>
        </is>
      </c>
      <c r="H2387" s="485" t="n">
        <v>1362.87</v>
      </c>
      <c r="I2387" s="485" t="n">
        <v>0</v>
      </c>
      <c r="J2387" s="485" t="n">
        <v>41</v>
      </c>
      <c r="K2387" s="485" t="n">
        <v>39</v>
      </c>
      <c r="L2387" s="485" t="n">
        <v>4</v>
      </c>
      <c r="M2387" s="515" t="inlineStr">
        <is>
          <t>T</t>
        </is>
      </c>
    </row>
    <row r="2388">
      <c r="A2388" s="485" t="n">
        <v>32</v>
      </c>
      <c r="B2388" s="485" t="n">
        <v>7</v>
      </c>
      <c r="C2388" s="485" t="n">
        <v>2</v>
      </c>
      <c r="D2388" s="485" t="n">
        <v>20</v>
      </c>
      <c r="E2388" s="485" t="n">
        <v>1</v>
      </c>
      <c r="F2388" s="485" t="n">
        <v>1</v>
      </c>
      <c r="G2388" s="516" t="inlineStr">
        <is>
          <t>West-Up1</t>
        </is>
      </c>
      <c r="H2388" s="485" t="n">
        <v>1350.46</v>
      </c>
      <c r="I2388" s="485" t="n">
        <v>0</v>
      </c>
      <c r="J2388" s="485" t="n">
        <v>48</v>
      </c>
      <c r="K2388" s="485" t="n">
        <v>1</v>
      </c>
      <c r="L2388" s="485" t="n">
        <v>4</v>
      </c>
      <c r="M2388" s="515" t="inlineStr">
        <is>
          <t>T</t>
        </is>
      </c>
    </row>
    <row r="2389">
      <c r="A2389" s="485" t="n">
        <v>32</v>
      </c>
      <c r="B2389" s="485" t="n">
        <v>7</v>
      </c>
      <c r="C2389" s="485" t="n">
        <v>2</v>
      </c>
      <c r="D2389" s="485" t="n">
        <v>20</v>
      </c>
      <c r="E2389" s="485" t="n">
        <v>1</v>
      </c>
      <c r="F2389" s="485" t="n">
        <v>1</v>
      </c>
      <c r="G2389" s="485" t="inlineStr">
        <is>
          <t>West-Down1</t>
        </is>
      </c>
      <c r="H2389" s="485" t="n">
        <v>2764.3</v>
      </c>
      <c r="I2389" s="485" t="n">
        <v>1</v>
      </c>
      <c r="J2389" s="485" t="n">
        <v>40</v>
      </c>
      <c r="K2389" s="485" t="n">
        <v>8</v>
      </c>
      <c r="L2389" s="485" t="n">
        <v>4</v>
      </c>
      <c r="M2389" s="515" t="inlineStr">
        <is>
          <t>T</t>
        </is>
      </c>
    </row>
    <row r="2390">
      <c r="A2390" s="485" t="n">
        <v>32</v>
      </c>
      <c r="B2390" s="485" t="n">
        <v>7</v>
      </c>
      <c r="C2390" s="485" t="n">
        <v>2</v>
      </c>
      <c r="D2390" s="485" t="n">
        <v>20</v>
      </c>
      <c r="E2390" s="485" t="n">
        <v>1</v>
      </c>
      <c r="F2390" s="485" t="n">
        <v>1</v>
      </c>
      <c r="G2390" s="485" t="inlineStr">
        <is>
          <t>West-Down2</t>
        </is>
      </c>
      <c r="H2390" s="485" t="n">
        <v>0</v>
      </c>
      <c r="I2390" s="485" t="n">
        <v>0</v>
      </c>
      <c r="J2390" s="485" t="n">
        <v>0</v>
      </c>
      <c r="K2390" s="485" t="n">
        <v>0</v>
      </c>
      <c r="L2390" s="485" t="n">
        <v>0</v>
      </c>
      <c r="M2390" s="515" t="inlineStr">
        <is>
          <t>T</t>
        </is>
      </c>
    </row>
    <row r="2391">
      <c r="A2391" s="485" t="n">
        <v>32</v>
      </c>
      <c r="B2391" s="485" t="n">
        <v>7</v>
      </c>
      <c r="C2391" s="485" t="n">
        <v>2</v>
      </c>
      <c r="D2391" s="485" t="n">
        <v>20</v>
      </c>
      <c r="E2391" s="485" t="n">
        <v>1</v>
      </c>
      <c r="F2391" s="485" t="n">
        <v>1</v>
      </c>
      <c r="G2391" s="485" t="inlineStr">
        <is>
          <t>East-Up2</t>
        </is>
      </c>
      <c r="H2391" s="485" t="n">
        <v>1372.15</v>
      </c>
      <c r="I2391" s="485" t="n">
        <v>0</v>
      </c>
      <c r="J2391" s="485" t="n">
        <v>41</v>
      </c>
      <c r="K2391" s="485" t="n">
        <v>37</v>
      </c>
      <c r="L2391" s="485" t="n">
        <v>1</v>
      </c>
      <c r="M2391" s="515" t="inlineStr">
        <is>
          <t>T</t>
        </is>
      </c>
    </row>
    <row r="2392">
      <c r="A2392" s="485" t="n">
        <v>32</v>
      </c>
      <c r="B2392" s="485" t="n">
        <v>7</v>
      </c>
      <c r="C2392" s="485" t="n">
        <v>2</v>
      </c>
      <c r="D2392" s="485" t="n">
        <v>20</v>
      </c>
      <c r="E2392" s="485" t="n">
        <v>1</v>
      </c>
      <c r="F2392" s="485" t="n">
        <v>1</v>
      </c>
      <c r="G2392" s="516" t="inlineStr">
        <is>
          <t>East-Up1</t>
        </is>
      </c>
      <c r="H2392" s="485" t="n">
        <v>1372.19</v>
      </c>
      <c r="I2392" s="485" t="n">
        <v>0</v>
      </c>
      <c r="J2392" s="485" t="n">
        <v>42</v>
      </c>
      <c r="K2392" s="485" t="n">
        <v>55</v>
      </c>
      <c r="L2392" s="485" t="n">
        <v>4</v>
      </c>
      <c r="M2392" s="515" t="inlineStr">
        <is>
          <t>T</t>
        </is>
      </c>
    </row>
    <row r="2393">
      <c r="A2393" s="485" t="n">
        <v>32</v>
      </c>
      <c r="B2393" s="485" t="n">
        <v>7</v>
      </c>
      <c r="C2393" s="485" t="n">
        <v>2</v>
      </c>
      <c r="D2393" s="485" t="n">
        <v>20</v>
      </c>
      <c r="E2393" s="485" t="n">
        <v>1</v>
      </c>
      <c r="F2393" s="485" t="n">
        <v>1</v>
      </c>
      <c r="G2393" s="485" t="inlineStr">
        <is>
          <t>East-Down1</t>
        </is>
      </c>
      <c r="H2393" s="485" t="n">
        <v>2743.11</v>
      </c>
      <c r="I2393" s="485" t="n">
        <v>0</v>
      </c>
      <c r="J2393" s="485" t="n">
        <v>45</v>
      </c>
      <c r="K2393" s="485" t="n">
        <v>58</v>
      </c>
      <c r="L2393" s="485" t="n">
        <v>4</v>
      </c>
      <c r="M2393" s="515" t="inlineStr">
        <is>
          <t>T</t>
        </is>
      </c>
    </row>
    <row r="2394">
      <c r="A2394" s="485" t="n">
        <v>32</v>
      </c>
      <c r="B2394" s="485" t="n">
        <v>7</v>
      </c>
      <c r="C2394" s="485" t="n">
        <v>2</v>
      </c>
      <c r="D2394" s="485" t="n">
        <v>20</v>
      </c>
      <c r="E2394" s="485" t="n">
        <v>1</v>
      </c>
      <c r="F2394" s="485" t="n">
        <v>1</v>
      </c>
      <c r="G2394" s="485" t="inlineStr">
        <is>
          <t>East-Down2</t>
        </is>
      </c>
      <c r="H2394" s="485" t="n">
        <v>0</v>
      </c>
      <c r="I2394" s="485" t="n">
        <v>0</v>
      </c>
      <c r="J2394" s="485" t="n">
        <v>0</v>
      </c>
      <c r="K2394" s="485" t="n">
        <v>0</v>
      </c>
      <c r="L2394" s="485" t="n">
        <v>0</v>
      </c>
      <c r="M2394" s="515" t="inlineStr">
        <is>
          <t>T</t>
        </is>
      </c>
    </row>
    <row r="2395">
      <c r="A2395" s="485" t="n">
        <v>32</v>
      </c>
      <c r="B2395" s="485" t="n">
        <v>7</v>
      </c>
      <c r="C2395" s="485" t="n">
        <v>2</v>
      </c>
      <c r="D2395" s="485" t="n">
        <v>20</v>
      </c>
      <c r="E2395" s="485" t="n">
        <v>1</v>
      </c>
      <c r="F2395" s="485" t="n">
        <v>1</v>
      </c>
      <c r="G2395" s="485" t="inlineStr">
        <is>
          <t>North-Left2</t>
        </is>
      </c>
      <c r="H2395" s="485" t="n">
        <v>1358.49</v>
      </c>
      <c r="I2395" s="485" t="n">
        <v>89</v>
      </c>
      <c r="J2395" s="485" t="n">
        <v>22</v>
      </c>
      <c r="K2395" s="485" t="n">
        <v>52</v>
      </c>
      <c r="L2395" s="485" t="n">
        <v>2</v>
      </c>
      <c r="M2395" s="515" t="inlineStr">
        <is>
          <t>T</t>
        </is>
      </c>
    </row>
    <row r="2396">
      <c r="A2396" s="485" t="n">
        <v>32</v>
      </c>
      <c r="B2396" s="485" t="n">
        <v>7</v>
      </c>
      <c r="C2396" s="485" t="n">
        <v>2</v>
      </c>
      <c r="D2396" s="485" t="n">
        <v>20</v>
      </c>
      <c r="E2396" s="485" t="n">
        <v>1</v>
      </c>
      <c r="F2396" s="485" t="n">
        <v>1</v>
      </c>
      <c r="G2396" s="516" t="inlineStr">
        <is>
          <t>North-Left1</t>
        </is>
      </c>
      <c r="H2396" s="485" t="n">
        <v>1325.62</v>
      </c>
      <c r="I2396" s="485" t="n">
        <v>89</v>
      </c>
      <c r="J2396" s="485" t="n">
        <v>25</v>
      </c>
      <c r="K2396" s="485" t="n">
        <v>48</v>
      </c>
      <c r="L2396" s="485" t="n">
        <v>2</v>
      </c>
      <c r="M2396" s="515" t="inlineStr">
        <is>
          <t>T</t>
        </is>
      </c>
    </row>
    <row r="2397">
      <c r="A2397" s="485" t="n">
        <v>32</v>
      </c>
      <c r="B2397" s="485" t="n">
        <v>7</v>
      </c>
      <c r="C2397" s="485" t="n">
        <v>2</v>
      </c>
      <c r="D2397" s="485" t="n">
        <v>20</v>
      </c>
      <c r="E2397" s="485" t="n">
        <v>1</v>
      </c>
      <c r="F2397" s="485" t="n">
        <v>1</v>
      </c>
      <c r="G2397" s="485" t="inlineStr">
        <is>
          <t>North-Right1</t>
        </is>
      </c>
      <c r="H2397" s="485" t="n">
        <v>1328.36</v>
      </c>
      <c r="I2397" s="485" t="n">
        <v>89</v>
      </c>
      <c r="J2397" s="485" t="n">
        <v>35</v>
      </c>
      <c r="K2397" s="485" t="n">
        <v>32</v>
      </c>
      <c r="L2397" s="485" t="n">
        <v>2</v>
      </c>
      <c r="M2397" s="515" t="inlineStr">
        <is>
          <t>T</t>
        </is>
      </c>
    </row>
    <row r="2398">
      <c r="A2398" s="485" t="n">
        <v>32</v>
      </c>
      <c r="B2398" s="485" t="n">
        <v>7</v>
      </c>
      <c r="C2398" s="485" t="n">
        <v>2</v>
      </c>
      <c r="D2398" s="485" t="n">
        <v>20</v>
      </c>
      <c r="E2398" s="485" t="n">
        <v>1</v>
      </c>
      <c r="F2398" s="485" t="n">
        <v>1</v>
      </c>
      <c r="G2398" s="485" t="inlineStr">
        <is>
          <t>North-Right2</t>
        </is>
      </c>
      <c r="H2398" s="485" t="n">
        <v>1328.23</v>
      </c>
      <c r="I2398" s="485" t="n">
        <v>89</v>
      </c>
      <c r="J2398" s="485" t="n">
        <v>36</v>
      </c>
      <c r="K2398" s="485" t="n">
        <v>17</v>
      </c>
      <c r="L2398" s="485" t="n">
        <v>2</v>
      </c>
      <c r="M2398" s="515" t="inlineStr">
        <is>
          <t>T</t>
        </is>
      </c>
    </row>
    <row r="2399">
      <c r="A2399" s="485" t="n">
        <v>32</v>
      </c>
      <c r="B2399" s="485" t="n">
        <v>7</v>
      </c>
      <c r="C2399" s="485" t="n">
        <v>2</v>
      </c>
      <c r="D2399" s="485" t="n">
        <v>20</v>
      </c>
      <c r="E2399" s="485" t="n">
        <v>1</v>
      </c>
      <c r="F2399" s="485" t="n">
        <v>1</v>
      </c>
      <c r="G2399" s="485" t="inlineStr">
        <is>
          <t>South-Left2</t>
        </is>
      </c>
      <c r="H2399" s="485" t="n">
        <v>0</v>
      </c>
      <c r="I2399" s="485" t="n">
        <v>0</v>
      </c>
      <c r="J2399" s="485" t="n">
        <v>0</v>
      </c>
      <c r="K2399" s="485" t="n">
        <v>0</v>
      </c>
      <c r="L2399" s="485" t="n">
        <v>0</v>
      </c>
      <c r="M2399" s="515" t="inlineStr">
        <is>
          <t>T</t>
        </is>
      </c>
    </row>
    <row r="2400">
      <c r="A2400" s="485" t="n">
        <v>32</v>
      </c>
      <c r="B2400" s="485" t="n">
        <v>7</v>
      </c>
      <c r="C2400" s="485" t="n">
        <v>2</v>
      </c>
      <c r="D2400" s="485" t="n">
        <v>20</v>
      </c>
      <c r="E2400" s="485" t="n">
        <v>1</v>
      </c>
      <c r="F2400" s="485" t="n">
        <v>1</v>
      </c>
      <c r="G2400" s="516" t="inlineStr">
        <is>
          <t>South-Left1</t>
        </is>
      </c>
      <c r="H2400" s="485" t="n">
        <v>2642.77</v>
      </c>
      <c r="I2400" s="485" t="n">
        <v>89</v>
      </c>
      <c r="J2400" s="485" t="n">
        <v>28</v>
      </c>
      <c r="K2400" s="485" t="n">
        <v>44</v>
      </c>
      <c r="L2400" s="485" t="n">
        <v>2</v>
      </c>
      <c r="M2400" s="515" t="inlineStr">
        <is>
          <t>T</t>
        </is>
      </c>
    </row>
    <row r="2401">
      <c r="A2401" s="485" t="n">
        <v>32</v>
      </c>
      <c r="B2401" s="485" t="n">
        <v>7</v>
      </c>
      <c r="C2401" s="485" t="n">
        <v>2</v>
      </c>
      <c r="D2401" s="485" t="n">
        <v>20</v>
      </c>
      <c r="E2401" s="485" t="n">
        <v>1</v>
      </c>
      <c r="F2401" s="485" t="n">
        <v>1</v>
      </c>
      <c r="G2401" s="485" t="inlineStr">
        <is>
          <t>South-Right1</t>
        </is>
      </c>
      <c r="H2401" s="485" t="n">
        <v>2652.38</v>
      </c>
      <c r="I2401" s="485" t="n">
        <v>89</v>
      </c>
      <c r="J2401" s="485" t="n">
        <v>44</v>
      </c>
      <c r="K2401" s="485" t="n">
        <v>53</v>
      </c>
      <c r="L2401" s="485" t="n">
        <v>2</v>
      </c>
      <c r="M2401" s="515" t="inlineStr">
        <is>
          <t>T</t>
        </is>
      </c>
    </row>
    <row r="2402">
      <c r="A2402" s="485" t="n">
        <v>32</v>
      </c>
      <c r="B2402" s="485" t="n">
        <v>7</v>
      </c>
      <c r="C2402" s="485" t="n">
        <v>2</v>
      </c>
      <c r="D2402" s="485" t="n">
        <v>20</v>
      </c>
      <c r="E2402" s="485" t="n">
        <v>1</v>
      </c>
      <c r="F2402" s="485" t="n">
        <v>1</v>
      </c>
      <c r="G2402" s="485" t="inlineStr">
        <is>
          <t>South-Right2</t>
        </is>
      </c>
      <c r="H2402" s="485" t="n">
        <v>0</v>
      </c>
      <c r="I2402" s="485" t="n">
        <v>0</v>
      </c>
      <c r="J2402" s="485" t="n">
        <v>0</v>
      </c>
      <c r="K2402" s="485" t="n">
        <v>0</v>
      </c>
      <c r="L2402" s="485" t="n">
        <v>0</v>
      </c>
      <c r="M2402" s="515" t="inlineStr">
        <is>
          <t>T</t>
        </is>
      </c>
    </row>
    <row r="2403">
      <c r="A2403" s="485" t="n">
        <v>32</v>
      </c>
      <c r="B2403" s="485" t="n">
        <v>8</v>
      </c>
      <c r="C2403" s="485" t="n">
        <v>1</v>
      </c>
      <c r="D2403" s="485" t="n">
        <v>8</v>
      </c>
      <c r="E2403" s="485" t="n">
        <v>1</v>
      </c>
      <c r="F2403" s="485" t="n">
        <v>1</v>
      </c>
      <c r="G2403" s="485" t="inlineStr">
        <is>
          <t>West-Up2</t>
        </is>
      </c>
      <c r="H2403" s="485" t="n">
        <v>0</v>
      </c>
      <c r="I2403" s="485" t="n">
        <v>0</v>
      </c>
      <c r="J2403" s="485" t="n">
        <v>0</v>
      </c>
      <c r="K2403" s="485" t="n">
        <v>0</v>
      </c>
      <c r="L2403" s="485" t="n">
        <v>0</v>
      </c>
      <c r="M2403" s="514" t="inlineStr">
        <is>
          <t>T</t>
        </is>
      </c>
    </row>
    <row r="2404">
      <c r="A2404" s="485" t="n">
        <v>32</v>
      </c>
      <c r="B2404" s="485" t="n">
        <v>8</v>
      </c>
      <c r="C2404" s="485" t="n">
        <v>1</v>
      </c>
      <c r="D2404" s="485" t="n">
        <v>8</v>
      </c>
      <c r="E2404" s="485" t="n">
        <v>1</v>
      </c>
      <c r="F2404" s="485" t="n">
        <v>1</v>
      </c>
      <c r="G2404" s="516" t="inlineStr">
        <is>
          <t>West-Up1</t>
        </is>
      </c>
      <c r="H2404" s="485" t="n">
        <v>2768</v>
      </c>
      <c r="I2404" s="485" t="n">
        <v>0</v>
      </c>
      <c r="J2404" s="485" t="n">
        <v>49</v>
      </c>
      <c r="K2404" s="485" t="n">
        <v>22</v>
      </c>
      <c r="L2404" s="485" t="n">
        <v>4</v>
      </c>
      <c r="M2404" s="514" t="inlineStr">
        <is>
          <t>T</t>
        </is>
      </c>
    </row>
    <row r="2405">
      <c r="A2405" s="485" t="n">
        <v>32</v>
      </c>
      <c r="B2405" s="485" t="n">
        <v>8</v>
      </c>
      <c r="C2405" s="485" t="n">
        <v>1</v>
      </c>
      <c r="D2405" s="485" t="n">
        <v>8</v>
      </c>
      <c r="E2405" s="485" t="n">
        <v>1</v>
      </c>
      <c r="F2405" s="485" t="n">
        <v>1</v>
      </c>
      <c r="G2405" s="485" t="inlineStr">
        <is>
          <t>West-Down1</t>
        </is>
      </c>
      <c r="H2405" s="485" t="n">
        <v>2639.02</v>
      </c>
      <c r="I2405" s="485" t="n">
        <v>0</v>
      </c>
      <c r="J2405" s="485" t="n">
        <v>57</v>
      </c>
      <c r="K2405" s="485" t="n">
        <v>52</v>
      </c>
      <c r="L2405" s="485" t="n">
        <v>4</v>
      </c>
      <c r="M2405" s="514" t="inlineStr">
        <is>
          <t>T</t>
        </is>
      </c>
    </row>
    <row r="2406">
      <c r="A2406" s="485" t="n">
        <v>32</v>
      </c>
      <c r="B2406" s="485" t="n">
        <v>8</v>
      </c>
      <c r="C2406" s="485" t="n">
        <v>1</v>
      </c>
      <c r="D2406" s="485" t="n">
        <v>8</v>
      </c>
      <c r="E2406" s="485" t="n">
        <v>1</v>
      </c>
      <c r="F2406" s="485" t="n">
        <v>1</v>
      </c>
      <c r="G2406" s="485" t="inlineStr">
        <is>
          <t>West-Down2</t>
        </is>
      </c>
      <c r="H2406" s="485" t="n">
        <v>0</v>
      </c>
      <c r="I2406" s="485" t="n">
        <v>0</v>
      </c>
      <c r="J2406" s="485" t="n">
        <v>0</v>
      </c>
      <c r="K2406" s="485" t="n">
        <v>0</v>
      </c>
      <c r="L2406" s="485" t="n">
        <v>0</v>
      </c>
      <c r="M2406" s="514" t="inlineStr">
        <is>
          <t>T</t>
        </is>
      </c>
    </row>
    <row r="2407">
      <c r="A2407" s="485" t="n">
        <v>32</v>
      </c>
      <c r="B2407" s="485" t="n">
        <v>8</v>
      </c>
      <c r="C2407" s="485" t="n">
        <v>1</v>
      </c>
      <c r="D2407" s="485" t="n">
        <v>8</v>
      </c>
      <c r="E2407" s="485" t="n">
        <v>1</v>
      </c>
      <c r="F2407" s="485" t="n">
        <v>1</v>
      </c>
      <c r="G2407" s="485" t="inlineStr">
        <is>
          <t>East-Up2</t>
        </is>
      </c>
      <c r="H2407" s="485" t="n">
        <v>0</v>
      </c>
      <c r="I2407" s="485" t="n">
        <v>0</v>
      </c>
      <c r="J2407" s="485" t="n">
        <v>0</v>
      </c>
      <c r="K2407" s="485" t="n">
        <v>0</v>
      </c>
      <c r="L2407" s="485" t="n">
        <v>0</v>
      </c>
      <c r="M2407" s="514" t="inlineStr">
        <is>
          <t>T</t>
        </is>
      </c>
    </row>
    <row r="2408">
      <c r="A2408" s="485" t="n">
        <v>32</v>
      </c>
      <c r="B2408" s="485" t="n">
        <v>8</v>
      </c>
      <c r="C2408" s="485" t="n">
        <v>1</v>
      </c>
      <c r="D2408" s="485" t="n">
        <v>8</v>
      </c>
      <c r="E2408" s="485" t="n">
        <v>1</v>
      </c>
      <c r="F2408" s="485" t="n">
        <v>1</v>
      </c>
      <c r="G2408" s="516" t="inlineStr">
        <is>
          <t>East-Up1</t>
        </is>
      </c>
      <c r="H2408" s="485" t="n">
        <v>2768</v>
      </c>
      <c r="I2408" s="485" t="n">
        <v>0</v>
      </c>
      <c r="J2408" s="485" t="n">
        <v>49</v>
      </c>
      <c r="K2408" s="485" t="n">
        <v>22</v>
      </c>
      <c r="L2408" s="485" t="n">
        <v>4</v>
      </c>
      <c r="M2408" s="514" t="inlineStr">
        <is>
          <t>T</t>
        </is>
      </c>
    </row>
    <row r="2409">
      <c r="A2409" s="485" t="n">
        <v>32</v>
      </c>
      <c r="B2409" s="485" t="n">
        <v>8</v>
      </c>
      <c r="C2409" s="485" t="n">
        <v>1</v>
      </c>
      <c r="D2409" s="485" t="n">
        <v>8</v>
      </c>
      <c r="E2409" s="485" t="n">
        <v>1</v>
      </c>
      <c r="F2409" s="485" t="n">
        <v>1</v>
      </c>
      <c r="G2409" s="485" t="inlineStr">
        <is>
          <t>East-Down1</t>
        </is>
      </c>
      <c r="H2409" s="485" t="n">
        <v>2639.02</v>
      </c>
      <c r="I2409" s="485" t="n">
        <v>0</v>
      </c>
      <c r="J2409" s="485" t="n">
        <v>57</v>
      </c>
      <c r="K2409" s="485" t="n">
        <v>52</v>
      </c>
      <c r="L2409" s="485" t="n">
        <v>4</v>
      </c>
      <c r="M2409" s="514" t="inlineStr">
        <is>
          <t>T</t>
        </is>
      </c>
    </row>
    <row r="2410">
      <c r="A2410" s="485" t="n">
        <v>32</v>
      </c>
      <c r="B2410" s="485" t="n">
        <v>8</v>
      </c>
      <c r="C2410" s="485" t="n">
        <v>1</v>
      </c>
      <c r="D2410" s="485" t="n">
        <v>8</v>
      </c>
      <c r="E2410" s="485" t="n">
        <v>1</v>
      </c>
      <c r="F2410" s="485" t="n">
        <v>1</v>
      </c>
      <c r="G2410" s="485" t="inlineStr">
        <is>
          <t>East-Down2</t>
        </is>
      </c>
      <c r="H2410" s="485" t="n">
        <v>0</v>
      </c>
      <c r="I2410" s="485" t="n">
        <v>0</v>
      </c>
      <c r="J2410" s="485" t="n">
        <v>0</v>
      </c>
      <c r="K2410" s="485" t="n">
        <v>0</v>
      </c>
      <c r="L2410" s="485" t="n">
        <v>0</v>
      </c>
      <c r="M2410" s="514" t="inlineStr">
        <is>
          <t>T</t>
        </is>
      </c>
    </row>
    <row r="2411">
      <c r="A2411" s="485" t="n">
        <v>32</v>
      </c>
      <c r="B2411" s="485" t="n">
        <v>8</v>
      </c>
      <c r="C2411" s="485" t="n">
        <v>1</v>
      </c>
      <c r="D2411" s="485" t="n">
        <v>8</v>
      </c>
      <c r="E2411" s="485" t="n">
        <v>1</v>
      </c>
      <c r="F2411" s="485" t="n">
        <v>1</v>
      </c>
      <c r="G2411" s="485" t="inlineStr">
        <is>
          <t>North-Left2</t>
        </is>
      </c>
      <c r="H2411" s="485" t="n">
        <v>0</v>
      </c>
      <c r="I2411" s="485" t="n">
        <v>0</v>
      </c>
      <c r="J2411" s="485" t="n">
        <v>0</v>
      </c>
      <c r="K2411" s="485" t="n">
        <v>0</v>
      </c>
      <c r="L2411" s="485" t="n">
        <v>0</v>
      </c>
      <c r="M2411" s="514" t="inlineStr">
        <is>
          <t>T</t>
        </is>
      </c>
    </row>
    <row r="2412">
      <c r="A2412" s="485" t="n">
        <v>32</v>
      </c>
      <c r="B2412" s="485" t="n">
        <v>8</v>
      </c>
      <c r="C2412" s="485" t="n">
        <v>1</v>
      </c>
      <c r="D2412" s="485" t="n">
        <v>8</v>
      </c>
      <c r="E2412" s="485" t="n">
        <v>1</v>
      </c>
      <c r="F2412" s="485" t="n">
        <v>1</v>
      </c>
      <c r="G2412" s="516" t="inlineStr">
        <is>
          <t>North-Left1</t>
        </is>
      </c>
      <c r="H2412" s="485" t="n">
        <v>5284.71</v>
      </c>
      <c r="I2412" s="485" t="n">
        <v>88</v>
      </c>
      <c r="J2412" s="485" t="n">
        <v>41</v>
      </c>
      <c r="K2412" s="485" t="n">
        <v>16</v>
      </c>
      <c r="L2412" s="485" t="n">
        <v>3</v>
      </c>
      <c r="M2412" s="514" t="inlineStr">
        <is>
          <t>T</t>
        </is>
      </c>
    </row>
    <row r="2413">
      <c r="A2413" s="485" t="n">
        <v>32</v>
      </c>
      <c r="B2413" s="485" t="n">
        <v>8</v>
      </c>
      <c r="C2413" s="485" t="n">
        <v>1</v>
      </c>
      <c r="D2413" s="485" t="n">
        <v>8</v>
      </c>
      <c r="E2413" s="485" t="n">
        <v>1</v>
      </c>
      <c r="F2413" s="485" t="n">
        <v>1</v>
      </c>
      <c r="G2413" s="485" t="inlineStr">
        <is>
          <t>North-Right1</t>
        </is>
      </c>
      <c r="H2413" s="485" t="n">
        <v>0</v>
      </c>
      <c r="I2413" s="485" t="n">
        <v>0</v>
      </c>
      <c r="J2413" s="485" t="n">
        <v>0</v>
      </c>
      <c r="K2413" s="485" t="n">
        <v>0</v>
      </c>
      <c r="L2413" s="485" t="n">
        <v>0</v>
      </c>
      <c r="M2413" s="514" t="inlineStr">
        <is>
          <t>T</t>
        </is>
      </c>
    </row>
    <row r="2414">
      <c r="A2414" s="485" t="n">
        <v>32</v>
      </c>
      <c r="B2414" s="485" t="n">
        <v>8</v>
      </c>
      <c r="C2414" s="485" t="n">
        <v>1</v>
      </c>
      <c r="D2414" s="485" t="n">
        <v>8</v>
      </c>
      <c r="E2414" s="485" t="n">
        <v>1</v>
      </c>
      <c r="F2414" s="485" t="n">
        <v>1</v>
      </c>
      <c r="G2414" s="485" t="inlineStr">
        <is>
          <t>North-Right2</t>
        </is>
      </c>
      <c r="H2414" s="485" t="n">
        <v>0</v>
      </c>
      <c r="I2414" s="485" t="n">
        <v>0</v>
      </c>
      <c r="J2414" s="485" t="n">
        <v>0</v>
      </c>
      <c r="K2414" s="485" t="n">
        <v>0</v>
      </c>
      <c r="L2414" s="485" t="n">
        <v>0</v>
      </c>
      <c r="M2414" s="514" t="inlineStr">
        <is>
          <t>T</t>
        </is>
      </c>
    </row>
    <row r="2415">
      <c r="A2415" s="485" t="n">
        <v>32</v>
      </c>
      <c r="B2415" s="485" t="n">
        <v>8</v>
      </c>
      <c r="C2415" s="485" t="n">
        <v>1</v>
      </c>
      <c r="D2415" s="485" t="n">
        <v>8</v>
      </c>
      <c r="E2415" s="485" t="n">
        <v>1</v>
      </c>
      <c r="F2415" s="485" t="n">
        <v>1</v>
      </c>
      <c r="G2415" s="485" t="inlineStr">
        <is>
          <t>South-Left2</t>
        </is>
      </c>
      <c r="H2415" s="485" t="n">
        <v>0</v>
      </c>
      <c r="I2415" s="485" t="n">
        <v>0</v>
      </c>
      <c r="J2415" s="485" t="n">
        <v>0</v>
      </c>
      <c r="K2415" s="485" t="n">
        <v>0</v>
      </c>
      <c r="L2415" s="485" t="n">
        <v>0</v>
      </c>
      <c r="M2415" s="514" t="inlineStr">
        <is>
          <t>T</t>
        </is>
      </c>
    </row>
    <row r="2416">
      <c r="A2416" s="485" t="n">
        <v>32</v>
      </c>
      <c r="B2416" s="485" t="n">
        <v>8</v>
      </c>
      <c r="C2416" s="485" t="n">
        <v>1</v>
      </c>
      <c r="D2416" s="485" t="n">
        <v>8</v>
      </c>
      <c r="E2416" s="485" t="n">
        <v>1</v>
      </c>
      <c r="F2416" s="485" t="n">
        <v>1</v>
      </c>
      <c r="G2416" s="516" t="inlineStr">
        <is>
          <t>South-Left1</t>
        </is>
      </c>
      <c r="H2416" s="485" t="n">
        <v>2632.85</v>
      </c>
      <c r="I2416" s="485" t="n">
        <v>89</v>
      </c>
      <c r="J2416" s="485" t="n">
        <v>5</v>
      </c>
      <c r="K2416" s="485" t="n">
        <v>57</v>
      </c>
      <c r="L2416" s="485" t="n">
        <v>3</v>
      </c>
      <c r="M2416" s="514" t="inlineStr">
        <is>
          <t>T</t>
        </is>
      </c>
    </row>
    <row r="2417">
      <c r="A2417" s="485" t="n">
        <v>32</v>
      </c>
      <c r="B2417" s="485" t="n">
        <v>8</v>
      </c>
      <c r="C2417" s="485" t="n">
        <v>1</v>
      </c>
      <c r="D2417" s="485" t="n">
        <v>8</v>
      </c>
      <c r="E2417" s="485" t="n">
        <v>1</v>
      </c>
      <c r="F2417" s="485" t="n">
        <v>1</v>
      </c>
      <c r="G2417" s="485" t="inlineStr">
        <is>
          <t>South-Right1</t>
        </is>
      </c>
      <c r="H2417" s="485" t="n">
        <v>2641.19</v>
      </c>
      <c r="I2417" s="485" t="n">
        <v>89</v>
      </c>
      <c r="J2417" s="485" t="n">
        <v>17</v>
      </c>
      <c r="K2417" s="485" t="n">
        <v>32</v>
      </c>
      <c r="L2417" s="485" t="n">
        <v>3</v>
      </c>
      <c r="M2417" s="514" t="inlineStr">
        <is>
          <t>T</t>
        </is>
      </c>
    </row>
    <row r="2418">
      <c r="A2418" s="485" t="n">
        <v>32</v>
      </c>
      <c r="B2418" s="485" t="n">
        <v>8</v>
      </c>
      <c r="C2418" s="485" t="n">
        <v>1</v>
      </c>
      <c r="D2418" s="485" t="n">
        <v>8</v>
      </c>
      <c r="E2418" s="485" t="n">
        <v>1</v>
      </c>
      <c r="F2418" s="485" t="n">
        <v>1</v>
      </c>
      <c r="G2418" s="485" t="inlineStr">
        <is>
          <t>South-Right2</t>
        </is>
      </c>
      <c r="H2418" s="485" t="n">
        <v>0</v>
      </c>
      <c r="I2418" s="485" t="n">
        <v>0</v>
      </c>
      <c r="J2418" s="485" t="n">
        <v>0</v>
      </c>
      <c r="K2418" s="485" t="n">
        <v>0</v>
      </c>
      <c r="L2418" s="485" t="n">
        <v>0</v>
      </c>
      <c r="M2418" s="514" t="inlineStr">
        <is>
          <t>T</t>
        </is>
      </c>
    </row>
    <row r="2419">
      <c r="A2419" s="486" t="n">
        <v>32</v>
      </c>
      <c r="B2419" s="486" t="n">
        <v>2</v>
      </c>
      <c r="C2419" s="486" t="n">
        <v>2</v>
      </c>
      <c r="D2419" s="486" t="n">
        <v>1</v>
      </c>
      <c r="E2419" s="486" t="n">
        <v>1</v>
      </c>
      <c r="F2419" s="486" t="n">
        <v>2</v>
      </c>
      <c r="G2419" s="486" t="inlineStr">
        <is>
          <t>West-Up2</t>
        </is>
      </c>
      <c r="H2419" s="486" t="n">
        <v>0</v>
      </c>
      <c r="I2419" s="486" t="n">
        <v>0</v>
      </c>
      <c r="J2419" s="486" t="n">
        <v>0</v>
      </c>
      <c r="K2419" s="486" t="n">
        <v>0</v>
      </c>
      <c r="L2419" s="486" t="n">
        <v>0</v>
      </c>
      <c r="M2419" s="487" t="inlineStr">
        <is>
          <t>T</t>
        </is>
      </c>
    </row>
    <row r="2420">
      <c r="A2420" s="486" t="n">
        <v>32</v>
      </c>
      <c r="B2420" s="486" t="n">
        <v>2</v>
      </c>
      <c r="C2420" s="486" t="n">
        <v>2</v>
      </c>
      <c r="D2420" s="486" t="n">
        <v>1</v>
      </c>
      <c r="E2420" s="486" t="n">
        <v>1</v>
      </c>
      <c r="F2420" s="486" t="n">
        <v>2</v>
      </c>
      <c r="G2420" s="475" t="inlineStr">
        <is>
          <t>West-Up1</t>
        </is>
      </c>
      <c r="H2420" s="486" t="n">
        <v>2638.11</v>
      </c>
      <c r="I2420" s="486" t="n">
        <v>0</v>
      </c>
      <c r="J2420" s="486" t="n">
        <v>23</v>
      </c>
      <c r="K2420" s="486" t="n">
        <v>39</v>
      </c>
      <c r="L2420" s="486" t="n">
        <v>4</v>
      </c>
      <c r="M2420" s="487" t="inlineStr">
        <is>
          <t>T</t>
        </is>
      </c>
    </row>
    <row r="2421">
      <c r="A2421" s="486" t="n">
        <v>32</v>
      </c>
      <c r="B2421" s="486" t="n">
        <v>2</v>
      </c>
      <c r="C2421" s="486" t="n">
        <v>2</v>
      </c>
      <c r="D2421" s="486" t="n">
        <v>1</v>
      </c>
      <c r="E2421" s="486" t="n">
        <v>1</v>
      </c>
      <c r="F2421" s="486" t="n">
        <v>2</v>
      </c>
      <c r="G2421" s="486" t="inlineStr">
        <is>
          <t>West-Down1</t>
        </is>
      </c>
      <c r="H2421" s="486" t="n">
        <v>2640</v>
      </c>
      <c r="I2421" s="486" t="n">
        <v>0</v>
      </c>
      <c r="J2421" s="486" t="n">
        <v>7</v>
      </c>
      <c r="K2421" s="486" t="n">
        <v>0</v>
      </c>
      <c r="L2421" s="486" t="n">
        <v>4</v>
      </c>
      <c r="M2421" s="487" t="inlineStr">
        <is>
          <t>T</t>
        </is>
      </c>
    </row>
    <row r="2422">
      <c r="A2422" s="486" t="n">
        <v>32</v>
      </c>
      <c r="B2422" s="486" t="n">
        <v>2</v>
      </c>
      <c r="C2422" s="486" t="n">
        <v>2</v>
      </c>
      <c r="D2422" s="486" t="n">
        <v>1</v>
      </c>
      <c r="E2422" s="486" t="n">
        <v>1</v>
      </c>
      <c r="F2422" s="486" t="n">
        <v>2</v>
      </c>
      <c r="G2422" s="486" t="inlineStr">
        <is>
          <t>West-Down2</t>
        </is>
      </c>
      <c r="H2422" s="486" t="n">
        <v>0</v>
      </c>
      <c r="I2422" s="486" t="n">
        <v>0</v>
      </c>
      <c r="J2422" s="486" t="n">
        <v>0</v>
      </c>
      <c r="K2422" s="486" t="n">
        <v>0</v>
      </c>
      <c r="L2422" s="486" t="n">
        <v>0</v>
      </c>
      <c r="M2422" s="487" t="inlineStr">
        <is>
          <t>T</t>
        </is>
      </c>
    </row>
    <row r="2423">
      <c r="A2423" s="486" t="n">
        <v>32</v>
      </c>
      <c r="B2423" s="486" t="n">
        <v>2</v>
      </c>
      <c r="C2423" s="486" t="n">
        <v>2</v>
      </c>
      <c r="D2423" s="486" t="n">
        <v>1</v>
      </c>
      <c r="E2423" s="486" t="n">
        <v>1</v>
      </c>
      <c r="F2423" s="486" t="n">
        <v>2</v>
      </c>
      <c r="G2423" s="486" t="inlineStr">
        <is>
          <t>East-Up2</t>
        </is>
      </c>
      <c r="H2423" s="486" t="n">
        <v>1321.73</v>
      </c>
      <c r="I2423" s="486" t="n">
        <v>0</v>
      </c>
      <c r="J2423" s="486" t="n">
        <v>8</v>
      </c>
      <c r="K2423" s="486" t="n">
        <v>38</v>
      </c>
      <c r="L2423" s="486" t="n">
        <v>4</v>
      </c>
      <c r="M2423" s="487" t="inlineStr">
        <is>
          <t>T</t>
        </is>
      </c>
    </row>
    <row r="2424">
      <c r="A2424" s="486" t="n">
        <v>32</v>
      </c>
      <c r="B2424" s="486" t="n">
        <v>2</v>
      </c>
      <c r="C2424" s="486" t="n">
        <v>2</v>
      </c>
      <c r="D2424" s="486" t="n">
        <v>1</v>
      </c>
      <c r="E2424" s="486" t="n">
        <v>1</v>
      </c>
      <c r="F2424" s="486" t="n">
        <v>2</v>
      </c>
      <c r="G2424" s="475" t="inlineStr">
        <is>
          <t>East-Up1</t>
        </is>
      </c>
      <c r="H2424" s="486" t="n">
        <v>1321.75</v>
      </c>
      <c r="I2424" s="486" t="n">
        <v>0</v>
      </c>
      <c r="J2424" s="486" t="n">
        <v>6</v>
      </c>
      <c r="K2424" s="486" t="n">
        <v>20</v>
      </c>
      <c r="L2424" s="486" t="n">
        <v>3</v>
      </c>
      <c r="M2424" s="487" t="inlineStr">
        <is>
          <t>T</t>
        </is>
      </c>
    </row>
    <row r="2425">
      <c r="A2425" s="486" t="n">
        <v>32</v>
      </c>
      <c r="B2425" s="486" t="n">
        <v>2</v>
      </c>
      <c r="C2425" s="486" t="n">
        <v>2</v>
      </c>
      <c r="D2425" s="486" t="n">
        <v>1</v>
      </c>
      <c r="E2425" s="486" t="n">
        <v>1</v>
      </c>
      <c r="F2425" s="486" t="n">
        <v>2</v>
      </c>
      <c r="G2425" s="486" t="inlineStr">
        <is>
          <t>East-Down1</t>
        </is>
      </c>
      <c r="H2425" s="486" t="n">
        <v>2632.96</v>
      </c>
      <c r="I2425" s="486" t="n">
        <v>0</v>
      </c>
      <c r="J2425" s="486" t="n">
        <v>22</v>
      </c>
      <c r="K2425" s="486" t="n">
        <v>2</v>
      </c>
      <c r="L2425" s="486" t="n">
        <v>4</v>
      </c>
      <c r="M2425" s="487" t="inlineStr">
        <is>
          <t>T</t>
        </is>
      </c>
    </row>
    <row r="2426">
      <c r="A2426" s="486" t="n">
        <v>32</v>
      </c>
      <c r="B2426" s="486" t="n">
        <v>2</v>
      </c>
      <c r="C2426" s="486" t="n">
        <v>2</v>
      </c>
      <c r="D2426" s="486" t="n">
        <v>1</v>
      </c>
      <c r="E2426" s="486" t="n">
        <v>1</v>
      </c>
      <c r="F2426" s="486" t="n">
        <v>2</v>
      </c>
      <c r="G2426" s="486" t="inlineStr">
        <is>
          <t>East-Down2</t>
        </is>
      </c>
      <c r="H2426" s="486" t="n">
        <v>0</v>
      </c>
      <c r="I2426" s="486" t="n">
        <v>0</v>
      </c>
      <c r="J2426" s="486" t="n">
        <v>0</v>
      </c>
      <c r="K2426" s="486" t="n">
        <v>0</v>
      </c>
      <c r="L2426" s="486" t="n">
        <v>0</v>
      </c>
      <c r="M2426" s="487" t="inlineStr">
        <is>
          <t>T</t>
        </is>
      </c>
    </row>
    <row r="2427">
      <c r="A2427" s="486" t="n">
        <v>32</v>
      </c>
      <c r="B2427" s="486" t="n">
        <v>2</v>
      </c>
      <c r="C2427" s="486" t="n">
        <v>2</v>
      </c>
      <c r="D2427" s="486" t="n">
        <v>1</v>
      </c>
      <c r="E2427" s="486" t="n">
        <v>1</v>
      </c>
      <c r="F2427" s="486" t="n">
        <v>2</v>
      </c>
      <c r="G2427" s="486" t="inlineStr">
        <is>
          <t>North-Left2</t>
        </is>
      </c>
      <c r="H2427" s="486" t="n">
        <v>0</v>
      </c>
      <c r="I2427" s="486" t="n">
        <v>0</v>
      </c>
      <c r="J2427" s="486" t="n">
        <v>0</v>
      </c>
      <c r="K2427" s="486" t="n">
        <v>0</v>
      </c>
      <c r="L2427" s="486" t="n">
        <v>0</v>
      </c>
      <c r="M2427" s="487" t="inlineStr">
        <is>
          <t>T</t>
        </is>
      </c>
    </row>
    <row r="2428">
      <c r="A2428" s="486" t="n">
        <v>32</v>
      </c>
      <c r="B2428" s="486" t="n">
        <v>2</v>
      </c>
      <c r="C2428" s="486" t="n">
        <v>2</v>
      </c>
      <c r="D2428" s="486" t="n">
        <v>1</v>
      </c>
      <c r="E2428" s="486" t="n">
        <v>1</v>
      </c>
      <c r="F2428" s="486" t="n">
        <v>2</v>
      </c>
      <c r="G2428" s="475" t="inlineStr">
        <is>
          <t>North-Left1</t>
        </is>
      </c>
      <c r="H2428" s="486" t="n">
        <v>5283.22</v>
      </c>
      <c r="I2428" s="486" t="n">
        <v>89</v>
      </c>
      <c r="J2428" s="486" t="n">
        <v>48</v>
      </c>
      <c r="K2428" s="486" t="n">
        <v>53</v>
      </c>
      <c r="L2428" s="486" t="n">
        <v>4</v>
      </c>
      <c r="M2428" s="487" t="inlineStr">
        <is>
          <t>T</t>
        </is>
      </c>
    </row>
    <row r="2429">
      <c r="A2429" s="486" t="n">
        <v>32</v>
      </c>
      <c r="B2429" s="486" t="n">
        <v>2</v>
      </c>
      <c r="C2429" s="486" t="n">
        <v>2</v>
      </c>
      <c r="D2429" s="486" t="n">
        <v>1</v>
      </c>
      <c r="E2429" s="486" t="n">
        <v>1</v>
      </c>
      <c r="F2429" s="486" t="n">
        <v>2</v>
      </c>
      <c r="G2429" s="486" t="inlineStr">
        <is>
          <t>North-Right1</t>
        </is>
      </c>
      <c r="H2429" s="486" t="n">
        <v>0</v>
      </c>
      <c r="I2429" s="486" t="n">
        <v>0</v>
      </c>
      <c r="J2429" s="486" t="n">
        <v>0</v>
      </c>
      <c r="K2429" s="486" t="n">
        <v>0</v>
      </c>
      <c r="L2429" s="486" t="n">
        <v>0</v>
      </c>
      <c r="M2429" s="487" t="inlineStr">
        <is>
          <t>T</t>
        </is>
      </c>
    </row>
    <row r="2430">
      <c r="A2430" s="486" t="n">
        <v>32</v>
      </c>
      <c r="B2430" s="486" t="n">
        <v>2</v>
      </c>
      <c r="C2430" s="486" t="n">
        <v>2</v>
      </c>
      <c r="D2430" s="486" t="n">
        <v>1</v>
      </c>
      <c r="E2430" s="486" t="n">
        <v>1</v>
      </c>
      <c r="F2430" s="486" t="n">
        <v>2</v>
      </c>
      <c r="G2430" s="486" t="inlineStr">
        <is>
          <t>North-Right2</t>
        </is>
      </c>
      <c r="H2430" s="486" t="n">
        <v>0</v>
      </c>
      <c r="I2430" s="486" t="n">
        <v>0</v>
      </c>
      <c r="J2430" s="486" t="n">
        <v>0</v>
      </c>
      <c r="K2430" s="486" t="n">
        <v>0</v>
      </c>
      <c r="L2430" s="486" t="n">
        <v>0</v>
      </c>
      <c r="M2430" s="487" t="inlineStr">
        <is>
          <t>T</t>
        </is>
      </c>
    </row>
    <row r="2431">
      <c r="A2431" s="486" t="n">
        <v>32</v>
      </c>
      <c r="B2431" s="486" t="n">
        <v>2</v>
      </c>
      <c r="C2431" s="486" t="n">
        <v>2</v>
      </c>
      <c r="D2431" s="486" t="n">
        <v>1</v>
      </c>
      <c r="E2431" s="486" t="n">
        <v>1</v>
      </c>
      <c r="F2431" s="486" t="n">
        <v>2</v>
      </c>
      <c r="G2431" s="486" t="inlineStr">
        <is>
          <t>South-Left2</t>
        </is>
      </c>
      <c r="H2431" s="486" t="n">
        <v>0</v>
      </c>
      <c r="I2431" s="486" t="n">
        <v>0</v>
      </c>
      <c r="J2431" s="486" t="n">
        <v>0</v>
      </c>
      <c r="K2431" s="486" t="n">
        <v>0</v>
      </c>
      <c r="L2431" s="486" t="n">
        <v>0</v>
      </c>
      <c r="M2431" s="487" t="inlineStr">
        <is>
          <t>T</t>
        </is>
      </c>
    </row>
    <row r="2432">
      <c r="A2432" s="486" t="n">
        <v>32</v>
      </c>
      <c r="B2432" s="486" t="n">
        <v>2</v>
      </c>
      <c r="C2432" s="486" t="n">
        <v>2</v>
      </c>
      <c r="D2432" s="486" t="n">
        <v>1</v>
      </c>
      <c r="E2432" s="486" t="n">
        <v>1</v>
      </c>
      <c r="F2432" s="486" t="n">
        <v>2</v>
      </c>
      <c r="G2432" s="475" t="inlineStr">
        <is>
          <t>South-Left1</t>
        </is>
      </c>
      <c r="H2432" s="486" t="n">
        <v>2636.7</v>
      </c>
      <c r="I2432" s="486" t="n">
        <v>89</v>
      </c>
      <c r="J2432" s="486" t="n">
        <v>52</v>
      </c>
      <c r="K2432" s="486" t="n">
        <v>0</v>
      </c>
      <c r="L2432" s="486" t="n">
        <v>4</v>
      </c>
      <c r="M2432" s="487" t="inlineStr">
        <is>
          <t>T</t>
        </is>
      </c>
    </row>
    <row r="2433">
      <c r="A2433" s="486" t="n">
        <v>32</v>
      </c>
      <c r="B2433" s="486" t="n">
        <v>2</v>
      </c>
      <c r="C2433" s="486" t="n">
        <v>2</v>
      </c>
      <c r="D2433" s="486" t="n">
        <v>1</v>
      </c>
      <c r="E2433" s="486" t="n">
        <v>1</v>
      </c>
      <c r="F2433" s="486" t="n">
        <v>2</v>
      </c>
      <c r="G2433" s="486" t="inlineStr">
        <is>
          <t>South-Right1</t>
        </is>
      </c>
      <c r="H2433" s="486" t="n">
        <v>2647.96</v>
      </c>
      <c r="I2433" s="486" t="n">
        <v>89</v>
      </c>
      <c r="J2433" s="486" t="n">
        <v>46</v>
      </c>
      <c r="K2433" s="486" t="n">
        <v>30</v>
      </c>
      <c r="L2433" s="486" t="n">
        <v>4</v>
      </c>
      <c r="M2433" s="487" t="inlineStr">
        <is>
          <t>T</t>
        </is>
      </c>
    </row>
    <row r="2434">
      <c r="A2434" s="486" t="n">
        <v>32</v>
      </c>
      <c r="B2434" s="486" t="n">
        <v>2</v>
      </c>
      <c r="C2434" s="486" t="n">
        <v>2</v>
      </c>
      <c r="D2434" s="486" t="n">
        <v>1</v>
      </c>
      <c r="E2434" s="486" t="n">
        <v>1</v>
      </c>
      <c r="F2434" s="486" t="n">
        <v>2</v>
      </c>
      <c r="G2434" s="486" t="inlineStr">
        <is>
          <t>South-Right2</t>
        </is>
      </c>
      <c r="H2434" s="486" t="n">
        <v>0</v>
      </c>
      <c r="I2434" s="486" t="n">
        <v>0</v>
      </c>
      <c r="J2434" s="486" t="n">
        <v>0</v>
      </c>
      <c r="K2434" s="486" t="n">
        <v>0</v>
      </c>
      <c r="L2434" s="486" t="n">
        <v>0</v>
      </c>
      <c r="M2434" s="487" t="inlineStr">
        <is>
          <t>T</t>
        </is>
      </c>
    </row>
    <row r="2435">
      <c r="A2435" s="486" t="n">
        <v>32</v>
      </c>
      <c r="B2435" s="486" t="n">
        <v>3</v>
      </c>
      <c r="C2435" s="486" t="n">
        <v>2</v>
      </c>
      <c r="D2435" s="486" t="n">
        <v>1</v>
      </c>
      <c r="E2435" s="486" t="n">
        <v>1</v>
      </c>
      <c r="F2435" s="486" t="n">
        <v>2</v>
      </c>
      <c r="G2435" s="486" t="inlineStr">
        <is>
          <t>West-Up2</t>
        </is>
      </c>
      <c r="H2435" s="486" t="n">
        <v>0</v>
      </c>
      <c r="I2435" s="486" t="n">
        <v>0</v>
      </c>
      <c r="J2435" s="486" t="n">
        <v>0</v>
      </c>
      <c r="K2435" s="486" t="n">
        <v>0</v>
      </c>
      <c r="L2435" s="486" t="n">
        <v>0</v>
      </c>
      <c r="M2435" s="487" t="inlineStr">
        <is>
          <t>G</t>
        </is>
      </c>
    </row>
    <row r="2436">
      <c r="A2436" s="486" t="n">
        <v>32</v>
      </c>
      <c r="B2436" s="486" t="n">
        <v>3</v>
      </c>
      <c r="C2436" s="486" t="n">
        <v>2</v>
      </c>
      <c r="D2436" s="486" t="n">
        <v>1</v>
      </c>
      <c r="E2436" s="486" t="n">
        <v>1</v>
      </c>
      <c r="F2436" s="486" t="n">
        <v>2</v>
      </c>
      <c r="G2436" s="475" t="inlineStr">
        <is>
          <t>West-Up1</t>
        </is>
      </c>
      <c r="H2436" s="486" t="n">
        <v>5312.49</v>
      </c>
      <c r="I2436" s="486" t="n">
        <v>0</v>
      </c>
      <c r="J2436" s="486" t="n">
        <v>57</v>
      </c>
      <c r="K2436" s="486" t="n">
        <v>38</v>
      </c>
      <c r="L2436" s="486" t="n">
        <v>1</v>
      </c>
      <c r="M2436" s="487" t="inlineStr">
        <is>
          <t>G</t>
        </is>
      </c>
    </row>
    <row r="2437">
      <c r="A2437" s="486" t="n">
        <v>32</v>
      </c>
      <c r="B2437" s="486" t="n">
        <v>3</v>
      </c>
      <c r="C2437" s="486" t="n">
        <v>2</v>
      </c>
      <c r="D2437" s="486" t="n">
        <v>1</v>
      </c>
      <c r="E2437" s="486" t="n">
        <v>1</v>
      </c>
      <c r="F2437" s="486" t="n">
        <v>2</v>
      </c>
      <c r="G2437" s="486" t="inlineStr">
        <is>
          <t>West-Down1</t>
        </is>
      </c>
      <c r="H2437" s="486" t="n">
        <v>0</v>
      </c>
      <c r="I2437" s="486" t="n">
        <v>0</v>
      </c>
      <c r="J2437" s="486" t="n">
        <v>0</v>
      </c>
      <c r="K2437" s="486" t="n">
        <v>0</v>
      </c>
      <c r="L2437" s="486" t="n">
        <v>0</v>
      </c>
      <c r="M2437" s="487" t="inlineStr">
        <is>
          <t>G</t>
        </is>
      </c>
    </row>
    <row r="2438">
      <c r="A2438" s="486" t="n">
        <v>32</v>
      </c>
      <c r="B2438" s="486" t="n">
        <v>3</v>
      </c>
      <c r="C2438" s="486" t="n">
        <v>2</v>
      </c>
      <c r="D2438" s="486" t="n">
        <v>1</v>
      </c>
      <c r="E2438" s="486" t="n">
        <v>1</v>
      </c>
      <c r="F2438" s="486" t="n">
        <v>2</v>
      </c>
      <c r="G2438" s="486" t="inlineStr">
        <is>
          <t>West-Down2</t>
        </is>
      </c>
      <c r="H2438" s="486" t="n">
        <v>0</v>
      </c>
      <c r="I2438" s="486" t="n">
        <v>0</v>
      </c>
      <c r="J2438" s="486" t="n">
        <v>0</v>
      </c>
      <c r="K2438" s="486" t="n">
        <v>0</v>
      </c>
      <c r="L2438" s="486" t="n">
        <v>0</v>
      </c>
      <c r="M2438" s="487" t="inlineStr">
        <is>
          <t>G</t>
        </is>
      </c>
    </row>
    <row r="2439">
      <c r="A2439" s="486" t="n">
        <v>32</v>
      </c>
      <c r="B2439" s="486" t="n">
        <v>3</v>
      </c>
      <c r="C2439" s="486" t="n">
        <v>2</v>
      </c>
      <c r="D2439" s="486" t="n">
        <v>1</v>
      </c>
      <c r="E2439" s="486" t="n">
        <v>1</v>
      </c>
      <c r="F2439" s="486" t="n">
        <v>2</v>
      </c>
      <c r="G2439" s="486" t="inlineStr">
        <is>
          <t>East-Up2</t>
        </is>
      </c>
      <c r="H2439" s="486" t="n">
        <v>0</v>
      </c>
      <c r="I2439" s="486" t="n">
        <v>0</v>
      </c>
      <c r="J2439" s="486" t="n">
        <v>0</v>
      </c>
      <c r="K2439" s="486" t="n">
        <v>0</v>
      </c>
      <c r="L2439" s="486" t="n">
        <v>0</v>
      </c>
      <c r="M2439" s="487" t="inlineStr">
        <is>
          <t>G</t>
        </is>
      </c>
    </row>
    <row r="2440">
      <c r="A2440" s="486" t="n">
        <v>32</v>
      </c>
      <c r="B2440" s="486" t="n">
        <v>3</v>
      </c>
      <c r="C2440" s="486" t="n">
        <v>2</v>
      </c>
      <c r="D2440" s="486" t="n">
        <v>1</v>
      </c>
      <c r="E2440" s="486" t="n">
        <v>1</v>
      </c>
      <c r="F2440" s="486" t="n">
        <v>2</v>
      </c>
      <c r="G2440" s="475" t="inlineStr">
        <is>
          <t>East-Up1</t>
        </is>
      </c>
      <c r="H2440" s="486" t="n">
        <v>2643.24</v>
      </c>
      <c r="I2440" s="486" t="n">
        <v>1</v>
      </c>
      <c r="J2440" s="486" t="n">
        <v>1</v>
      </c>
      <c r="K2440" s="486" t="n">
        <v>55</v>
      </c>
      <c r="L2440" s="486" t="n">
        <v>4</v>
      </c>
      <c r="M2440" s="487" t="inlineStr">
        <is>
          <t>G</t>
        </is>
      </c>
    </row>
    <row r="2441">
      <c r="A2441" s="486" t="n">
        <v>32</v>
      </c>
      <c r="B2441" s="486" t="n">
        <v>3</v>
      </c>
      <c r="C2441" s="486" t="n">
        <v>2</v>
      </c>
      <c r="D2441" s="486" t="n">
        <v>1</v>
      </c>
      <c r="E2441" s="486" t="n">
        <v>1</v>
      </c>
      <c r="F2441" s="486" t="n">
        <v>2</v>
      </c>
      <c r="G2441" s="486" t="inlineStr">
        <is>
          <t>East-Down1</t>
        </is>
      </c>
      <c r="H2441" s="486" t="n">
        <v>2640.79</v>
      </c>
      <c r="I2441" s="486" t="n">
        <v>0</v>
      </c>
      <c r="J2441" s="486" t="n">
        <v>58</v>
      </c>
      <c r="K2441" s="486" t="n">
        <v>46</v>
      </c>
      <c r="L2441" s="486" t="n">
        <v>1</v>
      </c>
      <c r="M2441" s="487" t="inlineStr">
        <is>
          <t>G</t>
        </is>
      </c>
    </row>
    <row r="2442">
      <c r="A2442" s="486" t="n">
        <v>32</v>
      </c>
      <c r="B2442" s="486" t="n">
        <v>3</v>
      </c>
      <c r="C2442" s="486" t="n">
        <v>2</v>
      </c>
      <c r="D2442" s="486" t="n">
        <v>1</v>
      </c>
      <c r="E2442" s="486" t="n">
        <v>1</v>
      </c>
      <c r="F2442" s="486" t="n">
        <v>2</v>
      </c>
      <c r="G2442" s="486" t="inlineStr">
        <is>
          <t>East-Down2</t>
        </is>
      </c>
      <c r="H2442" s="486" t="n">
        <v>0</v>
      </c>
      <c r="I2442" s="486" t="n">
        <v>0</v>
      </c>
      <c r="J2442" s="486" t="n">
        <v>0</v>
      </c>
      <c r="K2442" s="486" t="n">
        <v>0</v>
      </c>
      <c r="L2442" s="486" t="n">
        <v>0</v>
      </c>
      <c r="M2442" s="487" t="inlineStr">
        <is>
          <t>G</t>
        </is>
      </c>
    </row>
    <row r="2443">
      <c r="A2443" s="486" t="n">
        <v>32</v>
      </c>
      <c r="B2443" s="486" t="n">
        <v>3</v>
      </c>
      <c r="C2443" s="486" t="n">
        <v>2</v>
      </c>
      <c r="D2443" s="486" t="n">
        <v>1</v>
      </c>
      <c r="E2443" s="486" t="n">
        <v>1</v>
      </c>
      <c r="F2443" s="486" t="n">
        <v>2</v>
      </c>
      <c r="G2443" s="486" t="inlineStr">
        <is>
          <t>North-Left2</t>
        </is>
      </c>
      <c r="H2443" s="486" t="n">
        <v>0</v>
      </c>
      <c r="I2443" s="486" t="n">
        <v>0</v>
      </c>
      <c r="J2443" s="486" t="n">
        <v>0</v>
      </c>
      <c r="K2443" s="486" t="n">
        <v>0</v>
      </c>
      <c r="L2443" s="486" t="n">
        <v>0</v>
      </c>
      <c r="M2443" s="487" t="inlineStr">
        <is>
          <t>G</t>
        </is>
      </c>
    </row>
    <row r="2444">
      <c r="A2444" s="486" t="n">
        <v>32</v>
      </c>
      <c r="B2444" s="486" t="n">
        <v>3</v>
      </c>
      <c r="C2444" s="486" t="n">
        <v>2</v>
      </c>
      <c r="D2444" s="486" t="n">
        <v>1</v>
      </c>
      <c r="E2444" s="486" t="n">
        <v>1</v>
      </c>
      <c r="F2444" s="486" t="n">
        <v>2</v>
      </c>
      <c r="G2444" s="475" t="inlineStr">
        <is>
          <t>North-Left1</t>
        </is>
      </c>
      <c r="H2444" s="486" t="n">
        <v>5255.8</v>
      </c>
      <c r="I2444" s="486" t="n">
        <v>89</v>
      </c>
      <c r="J2444" s="486" t="n">
        <v>3</v>
      </c>
      <c r="K2444" s="486" t="n">
        <v>34</v>
      </c>
      <c r="L2444" s="486" t="n">
        <v>2</v>
      </c>
      <c r="M2444" s="487" t="inlineStr">
        <is>
          <t>G</t>
        </is>
      </c>
    </row>
    <row r="2445">
      <c r="A2445" s="486" t="n">
        <v>32</v>
      </c>
      <c r="B2445" s="486" t="n">
        <v>3</v>
      </c>
      <c r="C2445" s="486" t="n">
        <v>2</v>
      </c>
      <c r="D2445" s="486" t="n">
        <v>1</v>
      </c>
      <c r="E2445" s="486" t="n">
        <v>1</v>
      </c>
      <c r="F2445" s="486" t="n">
        <v>2</v>
      </c>
      <c r="G2445" s="486" t="inlineStr">
        <is>
          <t>North-Right1</t>
        </is>
      </c>
      <c r="H2445" s="486" t="n">
        <v>0</v>
      </c>
      <c r="I2445" s="486" t="n">
        <v>0</v>
      </c>
      <c r="J2445" s="486" t="n">
        <v>0</v>
      </c>
      <c r="K2445" s="486" t="n">
        <v>0</v>
      </c>
      <c r="L2445" s="486" t="n">
        <v>0</v>
      </c>
      <c r="M2445" s="487" t="inlineStr">
        <is>
          <t>G</t>
        </is>
      </c>
    </row>
    <row r="2446">
      <c r="A2446" s="486" t="n">
        <v>32</v>
      </c>
      <c r="B2446" s="486" t="n">
        <v>3</v>
      </c>
      <c r="C2446" s="486" t="n">
        <v>2</v>
      </c>
      <c r="D2446" s="486" t="n">
        <v>1</v>
      </c>
      <c r="E2446" s="486" t="n">
        <v>1</v>
      </c>
      <c r="F2446" s="486" t="n">
        <v>2</v>
      </c>
      <c r="G2446" s="486" t="inlineStr">
        <is>
          <t>North-Right2</t>
        </is>
      </c>
      <c r="H2446" s="486" t="n">
        <v>0</v>
      </c>
      <c r="I2446" s="486" t="n">
        <v>0</v>
      </c>
      <c r="J2446" s="486" t="n">
        <v>0</v>
      </c>
      <c r="K2446" s="486" t="n">
        <v>0</v>
      </c>
      <c r="L2446" s="486" t="n">
        <v>0</v>
      </c>
      <c r="M2446" s="487" t="inlineStr">
        <is>
          <t>G</t>
        </is>
      </c>
    </row>
    <row r="2447">
      <c r="A2447" s="486" t="n">
        <v>32</v>
      </c>
      <c r="B2447" s="486" t="n">
        <v>3</v>
      </c>
      <c r="C2447" s="486" t="n">
        <v>2</v>
      </c>
      <c r="D2447" s="486" t="n">
        <v>1</v>
      </c>
      <c r="E2447" s="486" t="n">
        <v>1</v>
      </c>
      <c r="F2447" s="486" t="n">
        <v>2</v>
      </c>
      <c r="G2447" s="486" t="inlineStr">
        <is>
          <t>South-Left2</t>
        </is>
      </c>
      <c r="H2447" s="486" t="n">
        <v>0</v>
      </c>
      <c r="I2447" s="486" t="n">
        <v>0</v>
      </c>
      <c r="J2447" s="486" t="n">
        <v>0</v>
      </c>
      <c r="K2447" s="486" t="n">
        <v>0</v>
      </c>
      <c r="L2447" s="486" t="n">
        <v>0</v>
      </c>
      <c r="M2447" s="487" t="inlineStr">
        <is>
          <t>G</t>
        </is>
      </c>
    </row>
    <row r="2448">
      <c r="A2448" s="486" t="n">
        <v>32</v>
      </c>
      <c r="B2448" s="486" t="n">
        <v>3</v>
      </c>
      <c r="C2448" s="486" t="n">
        <v>2</v>
      </c>
      <c r="D2448" s="486" t="n">
        <v>1</v>
      </c>
      <c r="E2448" s="486" t="n">
        <v>1</v>
      </c>
      <c r="F2448" s="486" t="n">
        <v>2</v>
      </c>
      <c r="G2448" s="475" t="inlineStr">
        <is>
          <t>South-Left1</t>
        </is>
      </c>
      <c r="H2448" s="486" t="n">
        <v>2577.82</v>
      </c>
      <c r="I2448" s="486" t="n">
        <v>88</v>
      </c>
      <c r="J2448" s="486" t="n">
        <v>41</v>
      </c>
      <c r="K2448" s="486" t="n">
        <v>27</v>
      </c>
      <c r="L2448" s="486" t="n">
        <v>2</v>
      </c>
      <c r="M2448" s="487" t="inlineStr">
        <is>
          <t>G</t>
        </is>
      </c>
    </row>
    <row r="2449">
      <c r="A2449" s="486" t="n">
        <v>32</v>
      </c>
      <c r="B2449" s="486" t="n">
        <v>3</v>
      </c>
      <c r="C2449" s="486" t="n">
        <v>2</v>
      </c>
      <c r="D2449" s="486" t="n">
        <v>1</v>
      </c>
      <c r="E2449" s="486" t="n">
        <v>1</v>
      </c>
      <c r="F2449" s="486" t="n">
        <v>2</v>
      </c>
      <c r="G2449" s="486" t="inlineStr">
        <is>
          <t>South-Right1</t>
        </is>
      </c>
      <c r="H2449" s="486" t="n">
        <v>2569.87</v>
      </c>
      <c r="I2449" s="486" t="n">
        <v>88</v>
      </c>
      <c r="J2449" s="486" t="n">
        <v>48</v>
      </c>
      <c r="K2449" s="486" t="n">
        <v>21</v>
      </c>
      <c r="L2449" s="486" t="n">
        <v>2</v>
      </c>
      <c r="M2449" s="487" t="inlineStr">
        <is>
          <t>G</t>
        </is>
      </c>
    </row>
    <row r="2450">
      <c r="A2450" s="486" t="n">
        <v>32</v>
      </c>
      <c r="B2450" s="486" t="n">
        <v>3</v>
      </c>
      <c r="C2450" s="486" t="n">
        <v>2</v>
      </c>
      <c r="D2450" s="486" t="n">
        <v>1</v>
      </c>
      <c r="E2450" s="486" t="n">
        <v>1</v>
      </c>
      <c r="F2450" s="486" t="n">
        <v>2</v>
      </c>
      <c r="G2450" s="486" t="inlineStr">
        <is>
          <t>South-Right2</t>
        </is>
      </c>
      <c r="H2450" s="486" t="n">
        <v>0</v>
      </c>
      <c r="I2450" s="486" t="n">
        <v>0</v>
      </c>
      <c r="J2450" s="486" t="n">
        <v>0</v>
      </c>
      <c r="K2450" s="486" t="n">
        <v>0</v>
      </c>
      <c r="L2450" s="486" t="n">
        <v>0</v>
      </c>
      <c r="M2450" s="487" t="inlineStr">
        <is>
          <t>G</t>
        </is>
      </c>
    </row>
    <row r="2451">
      <c r="A2451" s="486" t="n">
        <v>33</v>
      </c>
      <c r="B2451" s="486" t="n">
        <v>2</v>
      </c>
      <c r="C2451" s="486" t="n">
        <v>2</v>
      </c>
      <c r="D2451" s="486" t="n">
        <v>2</v>
      </c>
      <c r="E2451" s="486" t="n">
        <v>2</v>
      </c>
      <c r="F2451" s="486" t="n">
        <v>2</v>
      </c>
      <c r="G2451" s="486" t="inlineStr">
        <is>
          <t>West-Up2</t>
        </is>
      </c>
      <c r="H2451" s="486" t="n">
        <v>0</v>
      </c>
      <c r="I2451" s="486" t="n">
        <v>0</v>
      </c>
      <c r="J2451" s="486" t="n">
        <v>0</v>
      </c>
      <c r="K2451" s="486" t="n">
        <v>0</v>
      </c>
      <c r="L2451" s="486" t="n">
        <v>0</v>
      </c>
      <c r="M2451" s="487" t="inlineStr">
        <is>
          <t>T</t>
        </is>
      </c>
    </row>
    <row r="2452">
      <c r="A2452" s="486" t="n">
        <v>33</v>
      </c>
      <c r="B2452" s="486" t="n">
        <v>2</v>
      </c>
      <c r="C2452" s="486" t="n">
        <v>2</v>
      </c>
      <c r="D2452" s="486" t="n">
        <v>2</v>
      </c>
      <c r="E2452" s="486" t="n">
        <v>2</v>
      </c>
      <c r="F2452" s="486" t="n">
        <v>2</v>
      </c>
      <c r="G2452" s="475" t="inlineStr">
        <is>
          <t>West-Up1</t>
        </is>
      </c>
      <c r="H2452" s="486" t="n">
        <v>2570.69</v>
      </c>
      <c r="I2452" s="486" t="n">
        <v>0</v>
      </c>
      <c r="J2452" s="486" t="n">
        <v>7</v>
      </c>
      <c r="K2452" s="486" t="n">
        <v>49</v>
      </c>
      <c r="L2452" s="486" t="n">
        <v>4</v>
      </c>
      <c r="M2452" s="487" t="inlineStr">
        <is>
          <t>T</t>
        </is>
      </c>
    </row>
    <row r="2453">
      <c r="A2453" s="486" t="n">
        <v>33</v>
      </c>
      <c r="B2453" s="486" t="n">
        <v>2</v>
      </c>
      <c r="C2453" s="486" t="n">
        <v>2</v>
      </c>
      <c r="D2453" s="486" t="n">
        <v>2</v>
      </c>
      <c r="E2453" s="486" t="n">
        <v>2</v>
      </c>
      <c r="F2453" s="486" t="n">
        <v>2</v>
      </c>
      <c r="G2453" s="486" t="inlineStr">
        <is>
          <t>West-Down1</t>
        </is>
      </c>
      <c r="H2453" s="486" t="n">
        <v>1308.92</v>
      </c>
      <c r="I2453" s="486" t="n">
        <v>0</v>
      </c>
      <c r="J2453" s="486" t="n">
        <v>15</v>
      </c>
      <c r="K2453" s="486" t="n">
        <v>45</v>
      </c>
      <c r="L2453" s="486" t="n">
        <v>4</v>
      </c>
      <c r="M2453" s="487" t="inlineStr">
        <is>
          <t>T</t>
        </is>
      </c>
    </row>
    <row r="2454">
      <c r="A2454" s="486" t="n">
        <v>33</v>
      </c>
      <c r="B2454" s="486" t="n">
        <v>2</v>
      </c>
      <c r="C2454" s="486" t="n">
        <v>2</v>
      </c>
      <c r="D2454" s="486" t="n">
        <v>2</v>
      </c>
      <c r="E2454" s="486" t="n">
        <v>2</v>
      </c>
      <c r="F2454" s="486" t="n">
        <v>2</v>
      </c>
      <c r="G2454" s="486" t="inlineStr">
        <is>
          <t>West-Down2</t>
        </is>
      </c>
      <c r="H2454" s="486" t="n">
        <v>1311.8</v>
      </c>
      <c r="I2454" s="486" t="n">
        <v>0</v>
      </c>
      <c r="J2454" s="486" t="n">
        <v>17</v>
      </c>
      <c r="K2454" s="486" t="n">
        <v>40</v>
      </c>
      <c r="L2454" s="486" t="n">
        <v>4</v>
      </c>
      <c r="M2454" s="487" t="inlineStr">
        <is>
          <t>T</t>
        </is>
      </c>
    </row>
    <row r="2455">
      <c r="A2455" s="486" t="n">
        <v>33</v>
      </c>
      <c r="B2455" s="486" t="n">
        <v>2</v>
      </c>
      <c r="C2455" s="486" t="n">
        <v>2</v>
      </c>
      <c r="D2455" s="486" t="n">
        <v>2</v>
      </c>
      <c r="E2455" s="486" t="n">
        <v>2</v>
      </c>
      <c r="F2455" s="486" t="n">
        <v>2</v>
      </c>
      <c r="G2455" s="486" t="inlineStr">
        <is>
          <t>East-Up2</t>
        </is>
      </c>
      <c r="H2455" s="486" t="n">
        <v>0</v>
      </c>
      <c r="I2455" s="486" t="n">
        <v>0</v>
      </c>
      <c r="J2455" s="486" t="n">
        <v>0</v>
      </c>
      <c r="K2455" s="486" t="n">
        <v>0</v>
      </c>
      <c r="L2455" s="486" t="n">
        <v>0</v>
      </c>
      <c r="M2455" s="487" t="inlineStr">
        <is>
          <t>T</t>
        </is>
      </c>
    </row>
    <row r="2456">
      <c r="A2456" s="486" t="n">
        <v>33</v>
      </c>
      <c r="B2456" s="486" t="n">
        <v>2</v>
      </c>
      <c r="C2456" s="486" t="n">
        <v>2</v>
      </c>
      <c r="D2456" s="486" t="n">
        <v>2</v>
      </c>
      <c r="E2456" s="486" t="n">
        <v>2</v>
      </c>
      <c r="F2456" s="486" t="n">
        <v>2</v>
      </c>
      <c r="G2456" s="475" t="inlineStr">
        <is>
          <t>East-Up1</t>
        </is>
      </c>
      <c r="H2456" s="486" t="n">
        <v>2575.07</v>
      </c>
      <c r="I2456" s="486" t="n">
        <v>0</v>
      </c>
      <c r="J2456" s="486" t="n">
        <v>1</v>
      </c>
      <c r="K2456" s="486" t="n">
        <v>32</v>
      </c>
      <c r="L2456" s="486" t="n">
        <v>2</v>
      </c>
      <c r="M2456" s="487" t="inlineStr">
        <is>
          <t>T</t>
        </is>
      </c>
    </row>
    <row r="2457">
      <c r="A2457" s="486" t="n">
        <v>33</v>
      </c>
      <c r="B2457" s="486" t="n">
        <v>2</v>
      </c>
      <c r="C2457" s="486" t="n">
        <v>2</v>
      </c>
      <c r="D2457" s="486" t="n">
        <v>2</v>
      </c>
      <c r="E2457" s="486" t="n">
        <v>2</v>
      </c>
      <c r="F2457" s="486" t="n">
        <v>2</v>
      </c>
      <c r="G2457" s="486" t="inlineStr">
        <is>
          <t>East-Down1</t>
        </is>
      </c>
      <c r="H2457" s="486" t="n">
        <v>1317.05</v>
      </c>
      <c r="I2457" s="486" t="n">
        <v>0</v>
      </c>
      <c r="J2457" s="486" t="n">
        <v>20</v>
      </c>
      <c r="K2457" s="486" t="n">
        <v>18</v>
      </c>
      <c r="L2457" s="486" t="n">
        <v>4</v>
      </c>
      <c r="M2457" s="487" t="inlineStr">
        <is>
          <t>T</t>
        </is>
      </c>
    </row>
    <row r="2458">
      <c r="A2458" s="486" t="n">
        <v>33</v>
      </c>
      <c r="B2458" s="486" t="n">
        <v>2</v>
      </c>
      <c r="C2458" s="486" t="n">
        <v>2</v>
      </c>
      <c r="D2458" s="486" t="n">
        <v>2</v>
      </c>
      <c r="E2458" s="486" t="n">
        <v>2</v>
      </c>
      <c r="F2458" s="486" t="n">
        <v>2</v>
      </c>
      <c r="G2458" s="486" t="inlineStr">
        <is>
          <t>East-Down2</t>
        </is>
      </c>
      <c r="H2458" s="486" t="n">
        <v>1318.09</v>
      </c>
      <c r="I2458" s="486" t="n">
        <v>0</v>
      </c>
      <c r="J2458" s="486" t="n">
        <v>7</v>
      </c>
      <c r="K2458" s="486" t="n">
        <v>13</v>
      </c>
      <c r="L2458" s="486" t="n">
        <v>4</v>
      </c>
      <c r="M2458" s="487" t="inlineStr">
        <is>
          <t>T</t>
        </is>
      </c>
    </row>
    <row r="2459">
      <c r="A2459" s="486" t="n">
        <v>33</v>
      </c>
      <c r="B2459" s="486" t="n">
        <v>2</v>
      </c>
      <c r="C2459" s="486" t="n">
        <v>2</v>
      </c>
      <c r="D2459" s="486" t="n">
        <v>2</v>
      </c>
      <c r="E2459" s="486" t="n">
        <v>2</v>
      </c>
      <c r="F2459" s="486" t="n">
        <v>2</v>
      </c>
      <c r="G2459" s="486" t="inlineStr">
        <is>
          <t>North-Left2</t>
        </is>
      </c>
      <c r="H2459" s="486" t="n">
        <v>0</v>
      </c>
      <c r="I2459" s="486" t="n">
        <v>0</v>
      </c>
      <c r="J2459" s="486" t="n">
        <v>0</v>
      </c>
      <c r="K2459" s="486" t="n">
        <v>0</v>
      </c>
      <c r="L2459" s="486" t="n">
        <v>0</v>
      </c>
      <c r="M2459" s="487" t="inlineStr">
        <is>
          <t>T</t>
        </is>
      </c>
    </row>
    <row r="2460">
      <c r="A2460" s="486" t="n">
        <v>33</v>
      </c>
      <c r="B2460" s="486" t="n">
        <v>2</v>
      </c>
      <c r="C2460" s="486" t="n">
        <v>2</v>
      </c>
      <c r="D2460" s="486" t="n">
        <v>2</v>
      </c>
      <c r="E2460" s="486" t="n">
        <v>2</v>
      </c>
      <c r="F2460" s="486" t="n">
        <v>2</v>
      </c>
      <c r="G2460" s="475" t="inlineStr">
        <is>
          <t>North-Left1</t>
        </is>
      </c>
      <c r="H2460" s="486" t="n">
        <v>3959.66</v>
      </c>
      <c r="I2460" s="486" t="n">
        <v>89</v>
      </c>
      <c r="J2460" s="486" t="n">
        <v>58</v>
      </c>
      <c r="K2460" s="486" t="n">
        <v>5</v>
      </c>
      <c r="L2460" s="486" t="n">
        <v>3</v>
      </c>
      <c r="M2460" s="487" t="inlineStr">
        <is>
          <t>T</t>
        </is>
      </c>
    </row>
    <row r="2461">
      <c r="A2461" s="486" t="n">
        <v>33</v>
      </c>
      <c r="B2461" s="486" t="n">
        <v>2</v>
      </c>
      <c r="C2461" s="486" t="n">
        <v>2</v>
      </c>
      <c r="D2461" s="486" t="n">
        <v>2</v>
      </c>
      <c r="E2461" s="486" t="n">
        <v>2</v>
      </c>
      <c r="F2461" s="486" t="n">
        <v>2</v>
      </c>
      <c r="G2461" s="486" t="inlineStr">
        <is>
          <t>North-Right1</t>
        </is>
      </c>
      <c r="H2461" s="486" t="n">
        <v>1319.22</v>
      </c>
      <c r="I2461" s="486" t="n">
        <v>89</v>
      </c>
      <c r="J2461" s="486" t="n">
        <v>57</v>
      </c>
      <c r="K2461" s="486" t="n">
        <v>11</v>
      </c>
      <c r="L2461" s="486" t="n">
        <v>4</v>
      </c>
      <c r="M2461" s="487" t="inlineStr">
        <is>
          <t>T</t>
        </is>
      </c>
    </row>
    <row r="2462">
      <c r="A2462" s="486" t="n">
        <v>33</v>
      </c>
      <c r="B2462" s="486" t="n">
        <v>2</v>
      </c>
      <c r="C2462" s="486" t="n">
        <v>2</v>
      </c>
      <c r="D2462" s="486" t="n">
        <v>2</v>
      </c>
      <c r="E2462" s="486" t="n">
        <v>2</v>
      </c>
      <c r="F2462" s="486" t="n">
        <v>2</v>
      </c>
      <c r="G2462" s="486" t="inlineStr">
        <is>
          <t>North-Right2</t>
        </is>
      </c>
      <c r="H2462" s="486" t="n">
        <v>0</v>
      </c>
      <c r="I2462" s="486" t="n">
        <v>0</v>
      </c>
      <c r="J2462" s="486" t="n">
        <v>0</v>
      </c>
      <c r="K2462" s="486" t="n">
        <v>0</v>
      </c>
      <c r="L2462" s="486" t="n">
        <v>0</v>
      </c>
      <c r="M2462" s="487" t="inlineStr">
        <is>
          <t>T</t>
        </is>
      </c>
    </row>
    <row r="2463">
      <c r="A2463" s="486" t="n">
        <v>33</v>
      </c>
      <c r="B2463" s="486" t="n">
        <v>2</v>
      </c>
      <c r="C2463" s="486" t="n">
        <v>2</v>
      </c>
      <c r="D2463" s="486" t="n">
        <v>2</v>
      </c>
      <c r="E2463" s="486" t="n">
        <v>2</v>
      </c>
      <c r="F2463" s="486" t="n">
        <v>2</v>
      </c>
      <c r="G2463" s="486" t="inlineStr">
        <is>
          <t>South-Left2</t>
        </is>
      </c>
      <c r="H2463" s="486" t="n">
        <v>1320.15</v>
      </c>
      <c r="I2463" s="486" t="n">
        <v>88</v>
      </c>
      <c r="J2463" s="486" t="n">
        <v>57</v>
      </c>
      <c r="K2463" s="486" t="n">
        <v>5</v>
      </c>
      <c r="L2463" s="486" t="n">
        <v>2</v>
      </c>
      <c r="M2463" s="487" t="inlineStr">
        <is>
          <t>T</t>
        </is>
      </c>
    </row>
    <row r="2464">
      <c r="A2464" s="486" t="n">
        <v>33</v>
      </c>
      <c r="B2464" s="486" t="n">
        <v>2</v>
      </c>
      <c r="C2464" s="486" t="n">
        <v>2</v>
      </c>
      <c r="D2464" s="486" t="n">
        <v>2</v>
      </c>
      <c r="E2464" s="486" t="n">
        <v>2</v>
      </c>
      <c r="F2464" s="486" t="n">
        <v>2</v>
      </c>
      <c r="G2464" s="475" t="inlineStr">
        <is>
          <t>South-Left1</t>
        </is>
      </c>
      <c r="H2464" s="486" t="n">
        <v>1320</v>
      </c>
      <c r="I2464" s="486" t="n">
        <v>89</v>
      </c>
      <c r="J2464" s="486" t="n">
        <v>11</v>
      </c>
      <c r="K2464" s="486" t="n">
        <v>39</v>
      </c>
      <c r="L2464" s="486" t="n">
        <v>2</v>
      </c>
      <c r="M2464" s="487" t="inlineStr">
        <is>
          <t>T</t>
        </is>
      </c>
    </row>
    <row r="2465">
      <c r="A2465" s="486" t="n">
        <v>33</v>
      </c>
      <c r="B2465" s="486" t="n">
        <v>2</v>
      </c>
      <c r="C2465" s="486" t="n">
        <v>2</v>
      </c>
      <c r="D2465" s="486" t="n">
        <v>2</v>
      </c>
      <c r="E2465" s="486" t="n">
        <v>2</v>
      </c>
      <c r="F2465" s="486" t="n">
        <v>2</v>
      </c>
      <c r="G2465" s="486" t="inlineStr">
        <is>
          <t>South-Right1</t>
        </is>
      </c>
      <c r="H2465" s="486" t="n">
        <v>2646.9</v>
      </c>
      <c r="I2465" s="486" t="n">
        <v>89</v>
      </c>
      <c r="J2465" s="486" t="n">
        <v>11</v>
      </c>
      <c r="K2465" s="486" t="n">
        <v>39</v>
      </c>
      <c r="L2465" s="486" t="n">
        <v>2</v>
      </c>
      <c r="M2465" s="487" t="inlineStr">
        <is>
          <t>T</t>
        </is>
      </c>
    </row>
    <row r="2466">
      <c r="A2466" s="486" t="n">
        <v>33</v>
      </c>
      <c r="B2466" s="486" t="n">
        <v>2</v>
      </c>
      <c r="C2466" s="486" t="n">
        <v>2</v>
      </c>
      <c r="D2466" s="486" t="n">
        <v>2</v>
      </c>
      <c r="E2466" s="486" t="n">
        <v>2</v>
      </c>
      <c r="F2466" s="486" t="n">
        <v>2</v>
      </c>
      <c r="G2466" s="486" t="inlineStr">
        <is>
          <t>South-Right2</t>
        </is>
      </c>
      <c r="H2466" s="486" t="n">
        <v>0</v>
      </c>
      <c r="I2466" s="486" t="n">
        <v>0</v>
      </c>
      <c r="J2466" s="486" t="n">
        <v>0</v>
      </c>
      <c r="K2466" s="486" t="n">
        <v>0</v>
      </c>
      <c r="L2466" s="486" t="n">
        <v>0</v>
      </c>
      <c r="M2466" s="487" t="inlineStr">
        <is>
          <t>T</t>
        </is>
      </c>
    </row>
    <row r="2467">
      <c r="A2467" s="486" t="n">
        <v>34</v>
      </c>
      <c r="B2467" s="486" t="n">
        <v>7</v>
      </c>
      <c r="C2467" s="486" t="n">
        <v>2</v>
      </c>
      <c r="D2467" s="486" t="n">
        <v>20</v>
      </c>
      <c r="E2467" s="486" t="n">
        <v>1</v>
      </c>
      <c r="F2467" s="486" t="n">
        <v>1</v>
      </c>
      <c r="G2467" s="486" t="inlineStr">
        <is>
          <t>West-Up2</t>
        </is>
      </c>
      <c r="H2467" s="486" t="n">
        <v>0</v>
      </c>
      <c r="I2467" s="486" t="n">
        <v>0</v>
      </c>
      <c r="J2467" s="486" t="n">
        <v>0</v>
      </c>
      <c r="K2467" s="486" t="n">
        <v>0</v>
      </c>
      <c r="L2467" s="486" t="n">
        <v>0</v>
      </c>
      <c r="M2467" s="487" t="inlineStr">
        <is>
          <t>T</t>
        </is>
      </c>
    </row>
    <row r="2468">
      <c r="A2468" s="486" t="n">
        <v>34</v>
      </c>
      <c r="B2468" s="486" t="n">
        <v>7</v>
      </c>
      <c r="C2468" s="486" t="n">
        <v>2</v>
      </c>
      <c r="D2468" s="486" t="n">
        <v>20</v>
      </c>
      <c r="E2468" s="486" t="n">
        <v>1</v>
      </c>
      <c r="F2468" s="486" t="n">
        <v>1</v>
      </c>
      <c r="G2468" s="475" t="inlineStr">
        <is>
          <t>West-Up1</t>
        </is>
      </c>
      <c r="H2468" s="486" t="n">
        <v>2722.86</v>
      </c>
      <c r="I2468" s="486" t="n">
        <v>0</v>
      </c>
      <c r="J2468" s="486" t="n">
        <v>36</v>
      </c>
      <c r="K2468" s="486" t="n">
        <v>34</v>
      </c>
      <c r="L2468" s="486" t="n">
        <v>4</v>
      </c>
      <c r="M2468" s="487" t="inlineStr">
        <is>
          <t>T</t>
        </is>
      </c>
    </row>
    <row r="2469">
      <c r="A2469" s="486" t="n">
        <v>34</v>
      </c>
      <c r="B2469" s="486" t="n">
        <v>7</v>
      </c>
      <c r="C2469" s="486" t="n">
        <v>2</v>
      </c>
      <c r="D2469" s="486" t="n">
        <v>20</v>
      </c>
      <c r="E2469" s="486" t="n">
        <v>1</v>
      </c>
      <c r="F2469" s="486" t="n">
        <v>1</v>
      </c>
      <c r="G2469" s="486" t="inlineStr">
        <is>
          <t>West-Down1</t>
        </is>
      </c>
      <c r="H2469" s="486" t="n">
        <v>2724.09</v>
      </c>
      <c r="I2469" s="486" t="n">
        <v>0</v>
      </c>
      <c r="J2469" s="486" t="n">
        <v>44</v>
      </c>
      <c r="K2469" s="486" t="n">
        <v>43</v>
      </c>
      <c r="L2469" s="486" t="n">
        <v>4</v>
      </c>
      <c r="M2469" s="487" t="inlineStr">
        <is>
          <t>T</t>
        </is>
      </c>
    </row>
    <row r="2470">
      <c r="A2470" s="486" t="n">
        <v>34</v>
      </c>
      <c r="B2470" s="486" t="n">
        <v>7</v>
      </c>
      <c r="C2470" s="486" t="n">
        <v>2</v>
      </c>
      <c r="D2470" s="486" t="n">
        <v>20</v>
      </c>
      <c r="E2470" s="486" t="n">
        <v>1</v>
      </c>
      <c r="F2470" s="486" t="n">
        <v>1</v>
      </c>
      <c r="G2470" s="486" t="inlineStr">
        <is>
          <t>West-Down2</t>
        </is>
      </c>
      <c r="H2470" s="486" t="n">
        <v>0</v>
      </c>
      <c r="I2470" s="486" t="n">
        <v>0</v>
      </c>
      <c r="J2470" s="486" t="n">
        <v>0</v>
      </c>
      <c r="K2470" s="486" t="n">
        <v>0</v>
      </c>
      <c r="L2470" s="486" t="n">
        <v>0</v>
      </c>
      <c r="M2470" s="487" t="inlineStr">
        <is>
          <t>T</t>
        </is>
      </c>
    </row>
    <row r="2471">
      <c r="A2471" s="486" t="n">
        <v>34</v>
      </c>
      <c r="B2471" s="486" t="n">
        <v>7</v>
      </c>
      <c r="C2471" s="486" t="n">
        <v>2</v>
      </c>
      <c r="D2471" s="486" t="n">
        <v>20</v>
      </c>
      <c r="E2471" s="486" t="n">
        <v>1</v>
      </c>
      <c r="F2471" s="486" t="n">
        <v>1</v>
      </c>
      <c r="G2471" s="486" t="inlineStr">
        <is>
          <t>East-Up2</t>
        </is>
      </c>
      <c r="H2471" s="486" t="n">
        <v>0</v>
      </c>
      <c r="I2471" s="486" t="n">
        <v>0</v>
      </c>
      <c r="J2471" s="486" t="n">
        <v>0</v>
      </c>
      <c r="K2471" s="486" t="n">
        <v>0</v>
      </c>
      <c r="L2471" s="486" t="n">
        <v>0</v>
      </c>
      <c r="M2471" s="487" t="inlineStr">
        <is>
          <t>T</t>
        </is>
      </c>
    </row>
    <row r="2472">
      <c r="A2472" s="486" t="n">
        <v>34</v>
      </c>
      <c r="B2472" s="486" t="n">
        <v>7</v>
      </c>
      <c r="C2472" s="486" t="n">
        <v>2</v>
      </c>
      <c r="D2472" s="486" t="n">
        <v>20</v>
      </c>
      <c r="E2472" s="486" t="n">
        <v>1</v>
      </c>
      <c r="F2472" s="486" t="n">
        <v>1</v>
      </c>
      <c r="G2472" s="475" t="inlineStr">
        <is>
          <t>East-Up1</t>
        </is>
      </c>
      <c r="H2472" s="486" t="n">
        <v>2703.71</v>
      </c>
      <c r="I2472" s="486" t="n">
        <v>0</v>
      </c>
      <c r="J2472" s="486" t="n">
        <v>12</v>
      </c>
      <c r="K2472" s="486" t="n">
        <v>16</v>
      </c>
      <c r="L2472" s="486" t="n">
        <v>4</v>
      </c>
      <c r="M2472" s="487" t="inlineStr">
        <is>
          <t>T</t>
        </is>
      </c>
    </row>
    <row r="2473">
      <c r="A2473" s="486" t="n">
        <v>34</v>
      </c>
      <c r="B2473" s="486" t="n">
        <v>7</v>
      </c>
      <c r="C2473" s="486" t="n">
        <v>2</v>
      </c>
      <c r="D2473" s="486" t="n">
        <v>20</v>
      </c>
      <c r="E2473" s="486" t="n">
        <v>1</v>
      </c>
      <c r="F2473" s="486" t="n">
        <v>1</v>
      </c>
      <c r="G2473" s="486" t="inlineStr">
        <is>
          <t>East-Down1</t>
        </is>
      </c>
      <c r="H2473" s="486" t="n">
        <v>2704.87</v>
      </c>
      <c r="I2473" s="486" t="n">
        <v>0</v>
      </c>
      <c r="J2473" s="486" t="n">
        <v>41</v>
      </c>
      <c r="K2473" s="486" t="n">
        <v>5</v>
      </c>
      <c r="L2473" s="486" t="n">
        <v>4</v>
      </c>
      <c r="M2473" s="487" t="inlineStr">
        <is>
          <t>T</t>
        </is>
      </c>
    </row>
    <row r="2474">
      <c r="A2474" s="486" t="n">
        <v>34</v>
      </c>
      <c r="B2474" s="486" t="n">
        <v>7</v>
      </c>
      <c r="C2474" s="486" t="n">
        <v>2</v>
      </c>
      <c r="D2474" s="486" t="n">
        <v>20</v>
      </c>
      <c r="E2474" s="486" t="n">
        <v>1</v>
      </c>
      <c r="F2474" s="486" t="n">
        <v>1</v>
      </c>
      <c r="G2474" s="486" t="inlineStr">
        <is>
          <t>East-Down2</t>
        </is>
      </c>
      <c r="H2474" s="486" t="n">
        <v>0</v>
      </c>
      <c r="I2474" s="486" t="n">
        <v>0</v>
      </c>
      <c r="J2474" s="486" t="n">
        <v>0</v>
      </c>
      <c r="K2474" s="486" t="n">
        <v>0</v>
      </c>
      <c r="L2474" s="486" t="n">
        <v>0</v>
      </c>
      <c r="M2474" s="487" t="inlineStr">
        <is>
          <t>T</t>
        </is>
      </c>
    </row>
    <row r="2475">
      <c r="A2475" s="486" t="n">
        <v>34</v>
      </c>
      <c r="B2475" s="486" t="n">
        <v>7</v>
      </c>
      <c r="C2475" s="486" t="n">
        <v>2</v>
      </c>
      <c r="D2475" s="486" t="n">
        <v>20</v>
      </c>
      <c r="E2475" s="486" t="n">
        <v>1</v>
      </c>
      <c r="F2475" s="486" t="n">
        <v>1</v>
      </c>
      <c r="G2475" s="486" t="inlineStr">
        <is>
          <t>North-Left2</t>
        </is>
      </c>
      <c r="H2475" s="486" t="n">
        <v>0</v>
      </c>
      <c r="I2475" s="486" t="n">
        <v>0</v>
      </c>
      <c r="J2475" s="486" t="n">
        <v>0</v>
      </c>
      <c r="K2475" s="486" t="n">
        <v>0</v>
      </c>
      <c r="L2475" s="486" t="n">
        <v>0</v>
      </c>
      <c r="M2475" s="487" t="inlineStr">
        <is>
          <t>T</t>
        </is>
      </c>
    </row>
    <row r="2476">
      <c r="A2476" s="486" t="n">
        <v>34</v>
      </c>
      <c r="B2476" s="486" t="n">
        <v>7</v>
      </c>
      <c r="C2476" s="486" t="n">
        <v>2</v>
      </c>
      <c r="D2476" s="486" t="n">
        <v>20</v>
      </c>
      <c r="E2476" s="486" t="n">
        <v>1</v>
      </c>
      <c r="F2476" s="486" t="n">
        <v>1</v>
      </c>
      <c r="G2476" s="475" t="inlineStr">
        <is>
          <t>North-Left1</t>
        </is>
      </c>
      <c r="H2476" s="486" t="n">
        <v>2678.08</v>
      </c>
      <c r="I2476" s="486" t="n">
        <v>87</v>
      </c>
      <c r="J2476" s="486" t="n">
        <v>24</v>
      </c>
      <c r="K2476" s="486" t="n">
        <v>25</v>
      </c>
      <c r="L2476" s="486" t="n">
        <v>4</v>
      </c>
      <c r="M2476" s="487" t="inlineStr">
        <is>
          <t>T</t>
        </is>
      </c>
    </row>
    <row r="2477">
      <c r="A2477" s="486" t="n">
        <v>34</v>
      </c>
      <c r="B2477" s="486" t="n">
        <v>7</v>
      </c>
      <c r="C2477" s="486" t="n">
        <v>2</v>
      </c>
      <c r="D2477" s="486" t="n">
        <v>20</v>
      </c>
      <c r="E2477" s="486" t="n">
        <v>1</v>
      </c>
      <c r="F2477" s="486" t="n">
        <v>1</v>
      </c>
      <c r="G2477" s="486" t="inlineStr">
        <is>
          <t>North-Right1</t>
        </is>
      </c>
      <c r="H2477" s="486" t="n">
        <v>1318.02</v>
      </c>
      <c r="I2477" s="486" t="n">
        <v>87</v>
      </c>
      <c r="J2477" s="486" t="n">
        <v>0</v>
      </c>
      <c r="K2477" s="486" t="n">
        <v>47</v>
      </c>
      <c r="L2477" s="486" t="n">
        <v>4</v>
      </c>
      <c r="M2477" s="487" t="inlineStr">
        <is>
          <t>T</t>
        </is>
      </c>
    </row>
    <row r="2478">
      <c r="A2478" s="486" t="n">
        <v>34</v>
      </c>
      <c r="B2478" s="486" t="n">
        <v>7</v>
      </c>
      <c r="C2478" s="486" t="n">
        <v>2</v>
      </c>
      <c r="D2478" s="486" t="n">
        <v>20</v>
      </c>
      <c r="E2478" s="486" t="n">
        <v>1</v>
      </c>
      <c r="F2478" s="486" t="n">
        <v>1</v>
      </c>
      <c r="G2478" s="486" t="inlineStr">
        <is>
          <t>North-Right2</t>
        </is>
      </c>
      <c r="H2478" s="486" t="n">
        <v>1337.97</v>
      </c>
      <c r="I2478" s="486" t="n">
        <v>81</v>
      </c>
      <c r="J2478" s="486" t="n">
        <v>44</v>
      </c>
      <c r="K2478" s="486" t="n">
        <v>27</v>
      </c>
      <c r="L2478" s="486" t="n">
        <v>3</v>
      </c>
      <c r="M2478" s="487" t="inlineStr">
        <is>
          <t>T</t>
        </is>
      </c>
    </row>
    <row r="2479">
      <c r="A2479" s="486" t="n">
        <v>34</v>
      </c>
      <c r="B2479" s="486" t="n">
        <v>7</v>
      </c>
      <c r="C2479" s="486" t="n">
        <v>2</v>
      </c>
      <c r="D2479" s="486" t="n">
        <v>20</v>
      </c>
      <c r="E2479" s="486" t="n">
        <v>1</v>
      </c>
      <c r="F2479" s="486" t="n">
        <v>1</v>
      </c>
      <c r="G2479" s="486" t="inlineStr">
        <is>
          <t>South-Left2</t>
        </is>
      </c>
      <c r="H2479" s="486" t="n">
        <v>0</v>
      </c>
      <c r="I2479" s="486" t="n">
        <v>0</v>
      </c>
      <c r="J2479" s="486" t="n">
        <v>0</v>
      </c>
      <c r="K2479" s="486" t="n">
        <v>0</v>
      </c>
      <c r="L2479" s="486" t="n">
        <v>0</v>
      </c>
      <c r="M2479" s="487" t="inlineStr">
        <is>
          <t>T</t>
        </is>
      </c>
    </row>
    <row r="2480">
      <c r="A2480" s="486" t="n">
        <v>34</v>
      </c>
      <c r="B2480" s="486" t="n">
        <v>7</v>
      </c>
      <c r="C2480" s="486" t="n">
        <v>2</v>
      </c>
      <c r="D2480" s="486" t="n">
        <v>20</v>
      </c>
      <c r="E2480" s="486" t="n">
        <v>1</v>
      </c>
      <c r="F2480" s="486" t="n">
        <v>1</v>
      </c>
      <c r="G2480" s="475" t="inlineStr">
        <is>
          <t>South-Left1</t>
        </is>
      </c>
      <c r="H2480" s="486" t="n">
        <v>2631.48</v>
      </c>
      <c r="I2480" s="486" t="n">
        <v>89</v>
      </c>
      <c r="J2480" s="486" t="n">
        <v>49</v>
      </c>
      <c r="K2480" s="486" t="n">
        <v>34</v>
      </c>
      <c r="L2480" s="486" t="n">
        <v>3</v>
      </c>
      <c r="M2480" s="487" t="inlineStr">
        <is>
          <t>T</t>
        </is>
      </c>
    </row>
    <row r="2481">
      <c r="A2481" s="486" t="n">
        <v>34</v>
      </c>
      <c r="B2481" s="486" t="n">
        <v>7</v>
      </c>
      <c r="C2481" s="486" t="n">
        <v>2</v>
      </c>
      <c r="D2481" s="486" t="n">
        <v>20</v>
      </c>
      <c r="E2481" s="486" t="n">
        <v>1</v>
      </c>
      <c r="F2481" s="486" t="n">
        <v>1</v>
      </c>
      <c r="G2481" s="486" t="inlineStr">
        <is>
          <t>South-Right1</t>
        </is>
      </c>
      <c r="H2481" s="486" t="n">
        <v>2661.97</v>
      </c>
      <c r="I2481" s="486" t="n">
        <v>89</v>
      </c>
      <c r="J2481" s="486" t="n">
        <v>17</v>
      </c>
      <c r="K2481" s="486" t="n">
        <v>56</v>
      </c>
      <c r="L2481" s="486" t="n">
        <v>3</v>
      </c>
      <c r="M2481" s="487" t="inlineStr">
        <is>
          <t>T</t>
        </is>
      </c>
    </row>
    <row r="2482">
      <c r="A2482" s="486" t="n">
        <v>34</v>
      </c>
      <c r="B2482" s="486" t="n">
        <v>7</v>
      </c>
      <c r="C2482" s="486" t="n">
        <v>2</v>
      </c>
      <c r="D2482" s="486" t="n">
        <v>20</v>
      </c>
      <c r="E2482" s="486" t="n">
        <v>1</v>
      </c>
      <c r="F2482" s="486" t="n">
        <v>1</v>
      </c>
      <c r="G2482" s="486" t="inlineStr">
        <is>
          <t>South-Right2</t>
        </is>
      </c>
      <c r="H2482" s="486" t="n">
        <v>0</v>
      </c>
      <c r="I2482" s="486" t="n">
        <v>0</v>
      </c>
      <c r="J2482" s="486" t="n">
        <v>0</v>
      </c>
      <c r="K2482" s="486" t="n">
        <v>0</v>
      </c>
      <c r="L2482" s="486" t="n">
        <v>0</v>
      </c>
      <c r="M2482" s="487" t="inlineStr">
        <is>
          <t>T</t>
        </is>
      </c>
    </row>
    <row r="2483">
      <c r="A2483" s="486" t="n">
        <v>34</v>
      </c>
      <c r="B2483" s="486" t="n">
        <v>2</v>
      </c>
      <c r="C2483" s="486" t="n">
        <v>2</v>
      </c>
      <c r="D2483" s="486" t="n">
        <v>2</v>
      </c>
      <c r="E2483" s="486" t="n">
        <v>2</v>
      </c>
      <c r="F2483" s="486" t="n">
        <v>2</v>
      </c>
      <c r="G2483" s="486" t="inlineStr">
        <is>
          <t>West-Up2</t>
        </is>
      </c>
      <c r="H2483" s="486" t="n">
        <v>0</v>
      </c>
      <c r="I2483" s="486" t="n">
        <v>0</v>
      </c>
      <c r="J2483" s="486" t="n">
        <v>0</v>
      </c>
      <c r="K2483" s="486" t="n">
        <v>0</v>
      </c>
      <c r="L2483" s="486" t="n">
        <v>0</v>
      </c>
      <c r="M2483" s="487" t="inlineStr">
        <is>
          <t>T</t>
        </is>
      </c>
    </row>
    <row r="2484">
      <c r="A2484" s="486" t="n">
        <v>34</v>
      </c>
      <c r="B2484" s="486" t="n">
        <v>2</v>
      </c>
      <c r="C2484" s="486" t="n">
        <v>2</v>
      </c>
      <c r="D2484" s="486" t="n">
        <v>2</v>
      </c>
      <c r="E2484" s="486" t="n">
        <v>2</v>
      </c>
      <c r="F2484" s="486" t="n">
        <v>2</v>
      </c>
      <c r="G2484" s="475" t="inlineStr">
        <is>
          <t>West-Up1</t>
        </is>
      </c>
      <c r="H2484" s="486" t="n">
        <v>2675.07</v>
      </c>
      <c r="I2484" s="486" t="n">
        <v>0</v>
      </c>
      <c r="J2484" s="486" t="n">
        <v>1</v>
      </c>
      <c r="K2484" s="486" t="n">
        <v>32</v>
      </c>
      <c r="L2484" s="486" t="n">
        <v>2</v>
      </c>
      <c r="M2484" s="487" t="inlineStr">
        <is>
          <t>T</t>
        </is>
      </c>
    </row>
    <row r="2485">
      <c r="A2485" s="486" t="n">
        <v>34</v>
      </c>
      <c r="B2485" s="486" t="n">
        <v>2</v>
      </c>
      <c r="C2485" s="486" t="n">
        <v>2</v>
      </c>
      <c r="D2485" s="486" t="n">
        <v>2</v>
      </c>
      <c r="E2485" s="486" t="n">
        <v>2</v>
      </c>
      <c r="F2485" s="486" t="n">
        <v>2</v>
      </c>
      <c r="G2485" s="486" t="inlineStr">
        <is>
          <t>West-Down1</t>
        </is>
      </c>
      <c r="H2485" s="486" t="n">
        <v>1317.05</v>
      </c>
      <c r="I2485" s="486" t="n">
        <v>0</v>
      </c>
      <c r="J2485" s="486" t="n">
        <v>20</v>
      </c>
      <c r="K2485" s="486" t="n">
        <v>18</v>
      </c>
      <c r="L2485" s="486" t="n">
        <v>4</v>
      </c>
      <c r="M2485" s="487" t="inlineStr">
        <is>
          <t>T</t>
        </is>
      </c>
    </row>
    <row r="2486">
      <c r="A2486" s="486" t="n">
        <v>34</v>
      </c>
      <c r="B2486" s="486" t="n">
        <v>2</v>
      </c>
      <c r="C2486" s="486" t="n">
        <v>2</v>
      </c>
      <c r="D2486" s="486" t="n">
        <v>2</v>
      </c>
      <c r="E2486" s="486" t="n">
        <v>2</v>
      </c>
      <c r="F2486" s="486" t="n">
        <v>2</v>
      </c>
      <c r="G2486" s="486" t="inlineStr">
        <is>
          <t>West-Down2</t>
        </is>
      </c>
      <c r="H2486" s="486" t="n">
        <v>1318.09</v>
      </c>
      <c r="I2486" s="486" t="n">
        <v>0</v>
      </c>
      <c r="J2486" s="486" t="n">
        <v>7</v>
      </c>
      <c r="K2486" s="486" t="n">
        <v>13</v>
      </c>
      <c r="L2486" s="486" t="n">
        <v>4</v>
      </c>
      <c r="M2486" s="487" t="inlineStr">
        <is>
          <t>T</t>
        </is>
      </c>
    </row>
    <row r="2487">
      <c r="A2487" s="486" t="n">
        <v>34</v>
      </c>
      <c r="B2487" s="486" t="n">
        <v>2</v>
      </c>
      <c r="C2487" s="486" t="n">
        <v>2</v>
      </c>
      <c r="D2487" s="486" t="n">
        <v>2</v>
      </c>
      <c r="E2487" s="486" t="n">
        <v>2</v>
      </c>
      <c r="F2487" s="486" t="n">
        <v>2</v>
      </c>
      <c r="G2487" s="486" t="inlineStr">
        <is>
          <t>East-Up2</t>
        </is>
      </c>
      <c r="H2487" s="486" t="n">
        <v>0</v>
      </c>
      <c r="I2487" s="486" t="n">
        <v>0</v>
      </c>
      <c r="J2487" s="486" t="n">
        <v>0</v>
      </c>
      <c r="K2487" s="486" t="n">
        <v>0</v>
      </c>
      <c r="L2487" s="486" t="n">
        <v>0</v>
      </c>
      <c r="M2487" s="487" t="inlineStr">
        <is>
          <t>T</t>
        </is>
      </c>
    </row>
    <row r="2488">
      <c r="A2488" s="486" t="n">
        <v>34</v>
      </c>
      <c r="B2488" s="486" t="n">
        <v>2</v>
      </c>
      <c r="C2488" s="486" t="n">
        <v>2</v>
      </c>
      <c r="D2488" s="486" t="n">
        <v>2</v>
      </c>
      <c r="E2488" s="486" t="n">
        <v>2</v>
      </c>
      <c r="F2488" s="486" t="n">
        <v>2</v>
      </c>
      <c r="G2488" s="475" t="inlineStr">
        <is>
          <t>East-Up1</t>
        </is>
      </c>
      <c r="H2488" s="486" t="n">
        <v>5086.66</v>
      </c>
      <c r="I2488" s="486" t="n">
        <v>0</v>
      </c>
      <c r="J2488" s="486" t="n">
        <v>7</v>
      </c>
      <c r="K2488" s="486" t="n">
        <v>18</v>
      </c>
      <c r="L2488" s="486" t="n">
        <v>4</v>
      </c>
      <c r="M2488" s="487" t="inlineStr">
        <is>
          <t>T</t>
        </is>
      </c>
    </row>
    <row r="2489">
      <c r="A2489" s="486" t="n">
        <v>34</v>
      </c>
      <c r="B2489" s="486" t="n">
        <v>2</v>
      </c>
      <c r="C2489" s="486" t="n">
        <v>2</v>
      </c>
      <c r="D2489" s="486" t="n">
        <v>2</v>
      </c>
      <c r="E2489" s="486" t="n">
        <v>2</v>
      </c>
      <c r="F2489" s="486" t="n">
        <v>2</v>
      </c>
      <c r="G2489" s="486" t="inlineStr">
        <is>
          <t>East-Down1</t>
        </is>
      </c>
      <c r="H2489" s="486" t="n">
        <v>0</v>
      </c>
      <c r="I2489" s="486" t="n">
        <v>0</v>
      </c>
      <c r="J2489" s="486" t="n">
        <v>0</v>
      </c>
      <c r="K2489" s="486" t="n">
        <v>0</v>
      </c>
      <c r="L2489" s="486" t="n">
        <v>0</v>
      </c>
      <c r="M2489" s="487" t="inlineStr">
        <is>
          <t>T</t>
        </is>
      </c>
    </row>
    <row r="2490">
      <c r="A2490" s="486" t="n">
        <v>34</v>
      </c>
      <c r="B2490" s="486" t="n">
        <v>2</v>
      </c>
      <c r="C2490" s="486" t="n">
        <v>2</v>
      </c>
      <c r="D2490" s="486" t="n">
        <v>2</v>
      </c>
      <c r="E2490" s="486" t="n">
        <v>2</v>
      </c>
      <c r="F2490" s="486" t="n">
        <v>2</v>
      </c>
      <c r="G2490" s="486" t="inlineStr">
        <is>
          <t>East-Down2</t>
        </is>
      </c>
      <c r="H2490" s="486" t="n">
        <v>0</v>
      </c>
      <c r="I2490" s="486" t="n">
        <v>0</v>
      </c>
      <c r="J2490" s="486" t="n">
        <v>0</v>
      </c>
      <c r="K2490" s="486" t="n">
        <v>0</v>
      </c>
      <c r="L2490" s="486" t="n">
        <v>0</v>
      </c>
      <c r="M2490" s="487" t="inlineStr">
        <is>
          <t>T</t>
        </is>
      </c>
    </row>
    <row r="2491">
      <c r="A2491" s="486" t="n">
        <v>34</v>
      </c>
      <c r="B2491" s="486" t="n">
        <v>2</v>
      </c>
      <c r="C2491" s="486" t="n">
        <v>2</v>
      </c>
      <c r="D2491" s="486" t="n">
        <v>2</v>
      </c>
      <c r="E2491" s="486" t="n">
        <v>2</v>
      </c>
      <c r="F2491" s="486" t="n">
        <v>2</v>
      </c>
      <c r="G2491" s="486" t="inlineStr">
        <is>
          <t>North-Left2</t>
        </is>
      </c>
      <c r="H2491" s="486" t="n">
        <v>0</v>
      </c>
      <c r="I2491" s="486" t="n">
        <v>0</v>
      </c>
      <c r="J2491" s="486" t="n">
        <v>0</v>
      </c>
      <c r="K2491" s="486" t="n">
        <v>0</v>
      </c>
      <c r="L2491" s="486" t="n">
        <v>0</v>
      </c>
      <c r="M2491" s="487" t="inlineStr">
        <is>
          <t>T</t>
        </is>
      </c>
    </row>
    <row r="2492">
      <c r="A2492" s="486" t="n">
        <v>34</v>
      </c>
      <c r="B2492" s="486" t="n">
        <v>2</v>
      </c>
      <c r="C2492" s="486" t="n">
        <v>2</v>
      </c>
      <c r="D2492" s="486" t="n">
        <v>2</v>
      </c>
      <c r="E2492" s="486" t="n">
        <v>2</v>
      </c>
      <c r="F2492" s="486" t="n">
        <v>2</v>
      </c>
      <c r="G2492" s="475" t="inlineStr">
        <is>
          <t>North-Left1</t>
        </is>
      </c>
      <c r="H2492" s="486" t="n">
        <v>5302.63</v>
      </c>
      <c r="I2492" s="486" t="n">
        <v>89</v>
      </c>
      <c r="J2492" s="486" t="n">
        <v>22</v>
      </c>
      <c r="K2492" s="486" t="n">
        <v>41</v>
      </c>
      <c r="L2492" s="486" t="n">
        <v>4</v>
      </c>
      <c r="M2492" s="487" t="inlineStr">
        <is>
          <t>T</t>
        </is>
      </c>
    </row>
    <row r="2493">
      <c r="A2493" s="486" t="n">
        <v>34</v>
      </c>
      <c r="B2493" s="486" t="n">
        <v>2</v>
      </c>
      <c r="C2493" s="486" t="n">
        <v>2</v>
      </c>
      <c r="D2493" s="486" t="n">
        <v>2</v>
      </c>
      <c r="E2493" s="486" t="n">
        <v>2</v>
      </c>
      <c r="F2493" s="486" t="n">
        <v>2</v>
      </c>
      <c r="G2493" s="486" t="inlineStr">
        <is>
          <t>North-Right1</t>
        </is>
      </c>
      <c r="H2493" s="486" t="n">
        <v>0</v>
      </c>
      <c r="I2493" s="486" t="n">
        <v>0</v>
      </c>
      <c r="J2493" s="486" t="n">
        <v>0</v>
      </c>
      <c r="K2493" s="486" t="n">
        <v>0</v>
      </c>
      <c r="L2493" s="486" t="n">
        <v>0</v>
      </c>
      <c r="M2493" s="487" t="inlineStr">
        <is>
          <t>T</t>
        </is>
      </c>
    </row>
    <row r="2494">
      <c r="A2494" s="486" t="n">
        <v>34</v>
      </c>
      <c r="B2494" s="486" t="n">
        <v>2</v>
      </c>
      <c r="C2494" s="486" t="n">
        <v>2</v>
      </c>
      <c r="D2494" s="486" t="n">
        <v>2</v>
      </c>
      <c r="E2494" s="486" t="n">
        <v>2</v>
      </c>
      <c r="F2494" s="486" t="n">
        <v>2</v>
      </c>
      <c r="G2494" s="486" t="inlineStr">
        <is>
          <t>North-Right2</t>
        </is>
      </c>
      <c r="H2494" s="486" t="n">
        <v>0</v>
      </c>
      <c r="I2494" s="486" t="n">
        <v>0</v>
      </c>
      <c r="J2494" s="486" t="n">
        <v>0</v>
      </c>
      <c r="K2494" s="486" t="n">
        <v>0</v>
      </c>
      <c r="L2494" s="486" t="n">
        <v>0</v>
      </c>
      <c r="M2494" s="487" t="inlineStr">
        <is>
          <t>T</t>
        </is>
      </c>
    </row>
    <row r="2495">
      <c r="A2495" s="486" t="n">
        <v>34</v>
      </c>
      <c r="B2495" s="486" t="n">
        <v>2</v>
      </c>
      <c r="C2495" s="486" t="n">
        <v>2</v>
      </c>
      <c r="D2495" s="486" t="n">
        <v>2</v>
      </c>
      <c r="E2495" s="486" t="n">
        <v>2</v>
      </c>
      <c r="F2495" s="486" t="n">
        <v>2</v>
      </c>
      <c r="G2495" s="486" t="inlineStr">
        <is>
          <t>South-Left2</t>
        </is>
      </c>
      <c r="H2495" s="486" t="n">
        <v>1328.86</v>
      </c>
      <c r="I2495" s="486" t="n">
        <v>89</v>
      </c>
      <c r="J2495" s="486" t="n">
        <v>16</v>
      </c>
      <c r="K2495" s="486" t="n">
        <v>3</v>
      </c>
      <c r="L2495" s="486" t="n">
        <v>2</v>
      </c>
      <c r="M2495" s="487" t="inlineStr">
        <is>
          <t>T</t>
        </is>
      </c>
    </row>
    <row r="2496">
      <c r="A2496" s="486" t="n">
        <v>34</v>
      </c>
      <c r="B2496" s="486" t="n">
        <v>2</v>
      </c>
      <c r="C2496" s="486" t="n">
        <v>2</v>
      </c>
      <c r="D2496" s="486" t="n">
        <v>2</v>
      </c>
      <c r="E2496" s="486" t="n">
        <v>2</v>
      </c>
      <c r="F2496" s="486" t="n">
        <v>2</v>
      </c>
      <c r="G2496" s="475" t="inlineStr">
        <is>
          <t>South-Left1</t>
        </is>
      </c>
      <c r="H2496" s="486" t="n">
        <v>1328.73</v>
      </c>
      <c r="I2496" s="486" t="n">
        <v>89</v>
      </c>
      <c r="J2496" s="486" t="n">
        <v>15</v>
      </c>
      <c r="K2496" s="486" t="n">
        <v>21</v>
      </c>
      <c r="L2496" s="486" t="n">
        <v>2</v>
      </c>
      <c r="M2496" s="487" t="inlineStr">
        <is>
          <t>T</t>
        </is>
      </c>
    </row>
    <row r="2497">
      <c r="A2497" s="486" t="n">
        <v>34</v>
      </c>
      <c r="B2497" s="486" t="n">
        <v>2</v>
      </c>
      <c r="C2497" s="486" t="n">
        <v>2</v>
      </c>
      <c r="D2497" s="486" t="n">
        <v>2</v>
      </c>
      <c r="E2497" s="486" t="n">
        <v>2</v>
      </c>
      <c r="F2497" s="486" t="n">
        <v>2</v>
      </c>
      <c r="G2497" s="486" t="inlineStr">
        <is>
          <t>South-Right1</t>
        </is>
      </c>
      <c r="H2497" s="486" t="n">
        <v>2646.55</v>
      </c>
      <c r="I2497" s="486" t="n">
        <v>89</v>
      </c>
      <c r="J2497" s="486" t="n">
        <v>18</v>
      </c>
      <c r="K2497" s="486" t="n">
        <v>48</v>
      </c>
      <c r="L2497" s="486" t="n">
        <v>2</v>
      </c>
      <c r="M2497" s="487" t="inlineStr">
        <is>
          <t>T</t>
        </is>
      </c>
    </row>
    <row r="2498">
      <c r="A2498" s="486" t="n">
        <v>34</v>
      </c>
      <c r="B2498" s="486" t="n">
        <v>2</v>
      </c>
      <c r="C2498" s="486" t="n">
        <v>2</v>
      </c>
      <c r="D2498" s="486" t="n">
        <v>2</v>
      </c>
      <c r="E2498" s="486" t="n">
        <v>2</v>
      </c>
      <c r="F2498" s="486" t="n">
        <v>2</v>
      </c>
      <c r="G2498" s="486" t="inlineStr">
        <is>
          <t>South-Right2</t>
        </is>
      </c>
      <c r="H2498" s="486" t="n">
        <v>0</v>
      </c>
      <c r="I2498" s="486" t="n">
        <v>0</v>
      </c>
      <c r="J2498" s="486" t="n">
        <v>0</v>
      </c>
      <c r="K2498" s="486" t="n">
        <v>0</v>
      </c>
      <c r="L2498" s="486" t="n">
        <v>0</v>
      </c>
      <c r="M2498" s="487" t="inlineStr">
        <is>
          <t>T</t>
        </is>
      </c>
    </row>
    <row r="2499">
      <c r="A2499" s="485" t="n">
        <v>34</v>
      </c>
      <c r="B2499" s="485" t="n">
        <v>3</v>
      </c>
      <c r="C2499" s="485" t="n">
        <v>2</v>
      </c>
      <c r="D2499" s="485" t="n">
        <v>1</v>
      </c>
      <c r="E2499" s="485" t="n">
        <v>2</v>
      </c>
      <c r="F2499" s="485" t="n">
        <v>2</v>
      </c>
      <c r="G2499" s="485" t="inlineStr">
        <is>
          <t>West-Up2</t>
        </is>
      </c>
      <c r="H2499" s="485" t="n">
        <v>1356.36</v>
      </c>
      <c r="I2499" s="485" t="n">
        <v>0</v>
      </c>
      <c r="J2499" s="485" t="n">
        <v>37</v>
      </c>
      <c r="K2499" s="485" t="n">
        <v>11</v>
      </c>
      <c r="L2499" s="485" t="n">
        <v>4</v>
      </c>
      <c r="M2499" s="514" t="inlineStr">
        <is>
          <t>T</t>
        </is>
      </c>
    </row>
    <row r="2500">
      <c r="A2500" s="485" t="n">
        <v>34</v>
      </c>
      <c r="B2500" s="485" t="n">
        <v>3</v>
      </c>
      <c r="C2500" s="485" t="n">
        <v>2</v>
      </c>
      <c r="D2500" s="485" t="n">
        <v>1</v>
      </c>
      <c r="E2500" s="485" t="n">
        <v>2</v>
      </c>
      <c r="F2500" s="485" t="n">
        <v>2</v>
      </c>
      <c r="G2500" s="516" t="inlineStr">
        <is>
          <t>West-Up1</t>
        </is>
      </c>
      <c r="H2500" s="485" t="n">
        <v>1359.14</v>
      </c>
      <c r="I2500" s="485" t="n">
        <v>0</v>
      </c>
      <c r="J2500" s="485" t="n">
        <v>23</v>
      </c>
      <c r="K2500" s="485" t="n">
        <v>38</v>
      </c>
      <c r="L2500" s="485" t="n">
        <v>4</v>
      </c>
      <c r="M2500" s="514" t="inlineStr">
        <is>
          <t>T</t>
        </is>
      </c>
    </row>
    <row r="2501">
      <c r="A2501" s="485" t="n">
        <v>34</v>
      </c>
      <c r="B2501" s="485" t="n">
        <v>3</v>
      </c>
      <c r="C2501" s="485" t="n">
        <v>2</v>
      </c>
      <c r="D2501" s="485" t="n">
        <v>1</v>
      </c>
      <c r="E2501" s="485" t="n">
        <v>2</v>
      </c>
      <c r="F2501" s="485" t="n">
        <v>2</v>
      </c>
      <c r="G2501" s="485" t="inlineStr">
        <is>
          <t>West-Down1</t>
        </is>
      </c>
      <c r="H2501" s="485" t="n">
        <v>1271.02</v>
      </c>
      <c r="I2501" s="485" t="n">
        <v>0</v>
      </c>
      <c r="J2501" s="485" t="n">
        <v>26</v>
      </c>
      <c r="K2501" s="485" t="n">
        <v>38</v>
      </c>
      <c r="L2501" s="485" t="n">
        <v>4</v>
      </c>
      <c r="M2501" s="514" t="inlineStr">
        <is>
          <t>T</t>
        </is>
      </c>
    </row>
    <row r="2502">
      <c r="A2502" s="485" t="n">
        <v>34</v>
      </c>
      <c r="B2502" s="485" t="n">
        <v>3</v>
      </c>
      <c r="C2502" s="485" t="n">
        <v>2</v>
      </c>
      <c r="D2502" s="485" t="n">
        <v>1</v>
      </c>
      <c r="E2502" s="485" t="n">
        <v>2</v>
      </c>
      <c r="F2502" s="485" t="n">
        <v>2</v>
      </c>
      <c r="G2502" s="485" t="inlineStr">
        <is>
          <t>West-Down2</t>
        </is>
      </c>
      <c r="H2502" s="485" t="n">
        <v>2626.02</v>
      </c>
      <c r="I2502" s="485" t="n">
        <v>1</v>
      </c>
      <c r="J2502" s="485" t="n">
        <v>7</v>
      </c>
      <c r="K2502" s="485" t="n">
        <v>1</v>
      </c>
      <c r="L2502" s="485" t="n">
        <v>4</v>
      </c>
      <c r="M2502" s="514" t="inlineStr">
        <is>
          <t>T</t>
        </is>
      </c>
    </row>
    <row r="2503">
      <c r="A2503" s="485" t="n">
        <v>34</v>
      </c>
      <c r="B2503" s="485" t="n">
        <v>3</v>
      </c>
      <c r="C2503" s="485" t="n">
        <v>2</v>
      </c>
      <c r="D2503" s="485" t="n">
        <v>1</v>
      </c>
      <c r="E2503" s="485" t="n">
        <v>2</v>
      </c>
      <c r="F2503" s="485" t="n">
        <v>2</v>
      </c>
      <c r="G2503" s="485" t="inlineStr">
        <is>
          <t>East-Up2</t>
        </is>
      </c>
      <c r="H2503" s="485" t="n">
        <v>1317.02</v>
      </c>
      <c r="I2503" s="485" t="n">
        <v>0</v>
      </c>
      <c r="J2503" s="485" t="n">
        <v>45</v>
      </c>
      <c r="K2503" s="485" t="n">
        <v>40</v>
      </c>
      <c r="L2503" s="485" t="n">
        <v>4</v>
      </c>
      <c r="M2503" s="514" t="inlineStr">
        <is>
          <t>T</t>
        </is>
      </c>
    </row>
    <row r="2504">
      <c r="A2504" s="485" t="n">
        <v>34</v>
      </c>
      <c r="B2504" s="485" t="n">
        <v>3</v>
      </c>
      <c r="C2504" s="485" t="n">
        <v>2</v>
      </c>
      <c r="D2504" s="485" t="n">
        <v>1</v>
      </c>
      <c r="E2504" s="485" t="n">
        <v>2</v>
      </c>
      <c r="F2504" s="485" t="n">
        <v>2</v>
      </c>
      <c r="G2504" s="516" t="inlineStr">
        <is>
          <t>East-Up1</t>
        </is>
      </c>
      <c r="H2504" s="485" t="n">
        <v>1359.78</v>
      </c>
      <c r="I2504" s="485" t="n">
        <v>0</v>
      </c>
      <c r="J2504" s="485" t="n">
        <v>35</v>
      </c>
      <c r="K2504" s="485" t="n">
        <v>48</v>
      </c>
      <c r="L2504" s="514" t="n">
        <v>4</v>
      </c>
      <c r="M2504" s="498" t="inlineStr">
        <is>
          <t>T</t>
        </is>
      </c>
    </row>
    <row r="2505">
      <c r="A2505" s="485" t="n">
        <v>34</v>
      </c>
      <c r="B2505" s="485" t="n">
        <v>3</v>
      </c>
      <c r="C2505" s="485" t="n">
        <v>2</v>
      </c>
      <c r="D2505" s="485" t="n">
        <v>1</v>
      </c>
      <c r="E2505" s="485" t="n">
        <v>2</v>
      </c>
      <c r="F2505" s="485" t="n">
        <v>2</v>
      </c>
      <c r="G2505" s="485" t="inlineStr">
        <is>
          <t>East-Down1</t>
        </is>
      </c>
      <c r="H2505" s="485" t="n">
        <v>1317.84</v>
      </c>
      <c r="I2505" s="485" t="n">
        <v>1</v>
      </c>
      <c r="J2505" s="485" t="n">
        <v>30</v>
      </c>
      <c r="K2505" s="485" t="n">
        <v>12</v>
      </c>
      <c r="L2505" s="485" t="n">
        <v>4</v>
      </c>
      <c r="M2505" s="514" t="inlineStr">
        <is>
          <t>T</t>
        </is>
      </c>
    </row>
    <row r="2506">
      <c r="A2506" s="485" t="n">
        <v>34</v>
      </c>
      <c r="B2506" s="485" t="n">
        <v>3</v>
      </c>
      <c r="C2506" s="485" t="n">
        <v>2</v>
      </c>
      <c r="D2506" s="485" t="n">
        <v>1</v>
      </c>
      <c r="E2506" s="485" t="n">
        <v>2</v>
      </c>
      <c r="F2506" s="485" t="n">
        <v>2</v>
      </c>
      <c r="G2506" s="485" t="inlineStr">
        <is>
          <t>East-Down2</t>
        </is>
      </c>
      <c r="H2506" s="485" t="n">
        <v>1329.57</v>
      </c>
      <c r="I2506" s="485" t="n">
        <v>1</v>
      </c>
      <c r="J2506" s="485" t="n">
        <v>3</v>
      </c>
      <c r="K2506" s="485" t="n">
        <v>22</v>
      </c>
      <c r="L2506" s="485" t="n">
        <v>4</v>
      </c>
      <c r="M2506" s="514" t="inlineStr">
        <is>
          <t>T</t>
        </is>
      </c>
    </row>
    <row r="2507">
      <c r="A2507" s="485" t="n">
        <v>34</v>
      </c>
      <c r="B2507" s="485" t="n">
        <v>3</v>
      </c>
      <c r="C2507" s="485" t="n">
        <v>2</v>
      </c>
      <c r="D2507" s="485" t="n">
        <v>1</v>
      </c>
      <c r="E2507" s="485" t="n">
        <v>2</v>
      </c>
      <c r="F2507" s="485" t="n">
        <v>2</v>
      </c>
      <c r="G2507" s="485" t="inlineStr">
        <is>
          <t>North-Left2</t>
        </is>
      </c>
      <c r="H2507" s="485" t="n">
        <v>1334.13</v>
      </c>
      <c r="I2507" s="485" t="n">
        <v>89</v>
      </c>
      <c r="J2507" s="485" t="n">
        <v>31</v>
      </c>
      <c r="K2507" s="485" t="n">
        <v>18</v>
      </c>
      <c r="L2507" s="485" t="inlineStr">
        <is>
          <t>N0W</t>
        </is>
      </c>
      <c r="M2507" s="514" t="inlineStr">
        <is>
          <t>T</t>
        </is>
      </c>
    </row>
    <row r="2508">
      <c r="A2508" s="485" t="n">
        <v>34</v>
      </c>
      <c r="B2508" s="485" t="n">
        <v>3</v>
      </c>
      <c r="C2508" s="485" t="n">
        <v>2</v>
      </c>
      <c r="D2508" s="485" t="n">
        <v>1</v>
      </c>
      <c r="E2508" s="485" t="n">
        <v>2</v>
      </c>
      <c r="F2508" s="485" t="n">
        <v>2</v>
      </c>
      <c r="G2508" s="516" t="inlineStr">
        <is>
          <t>North-Left1</t>
        </is>
      </c>
      <c r="H2508" s="485" t="n">
        <v>3924.31</v>
      </c>
      <c r="I2508" s="485" t="n">
        <v>88</v>
      </c>
      <c r="J2508" s="485" t="n">
        <v>30</v>
      </c>
      <c r="K2508" s="485" t="n">
        <v>72</v>
      </c>
      <c r="L2508" s="485" t="n">
        <v>3</v>
      </c>
      <c r="M2508" s="514" t="inlineStr">
        <is>
          <t>T</t>
        </is>
      </c>
    </row>
    <row r="2509">
      <c r="A2509" s="485" t="n">
        <v>34</v>
      </c>
      <c r="B2509" s="485" t="n">
        <v>3</v>
      </c>
      <c r="C2509" s="485" t="n">
        <v>2</v>
      </c>
      <c r="D2509" s="485" t="n">
        <v>1</v>
      </c>
      <c r="E2509" s="485" t="n">
        <v>2</v>
      </c>
      <c r="F2509" s="485" t="n">
        <v>2</v>
      </c>
      <c r="G2509" s="485" t="inlineStr">
        <is>
          <t>North-Right1</t>
        </is>
      </c>
      <c r="H2509" s="485" t="n">
        <v>0</v>
      </c>
      <c r="I2509" s="485" t="n">
        <v>0</v>
      </c>
      <c r="J2509" s="485" t="n">
        <v>0</v>
      </c>
      <c r="K2509" s="485" t="n">
        <v>0</v>
      </c>
      <c r="L2509" s="485" t="n">
        <v>0</v>
      </c>
      <c r="M2509" s="514" t="inlineStr">
        <is>
          <t>T</t>
        </is>
      </c>
    </row>
    <row r="2510">
      <c r="A2510" s="485" t="n">
        <v>34</v>
      </c>
      <c r="B2510" s="485" t="n">
        <v>3</v>
      </c>
      <c r="C2510" s="485" t="n">
        <v>2</v>
      </c>
      <c r="D2510" s="485" t="n">
        <v>1</v>
      </c>
      <c r="E2510" s="485" t="n">
        <v>2</v>
      </c>
      <c r="F2510" s="485" t="n">
        <v>2</v>
      </c>
      <c r="G2510" s="485" t="inlineStr">
        <is>
          <t>North-Right2</t>
        </is>
      </c>
      <c r="H2510" s="485" t="n">
        <v>0</v>
      </c>
      <c r="I2510" s="485" t="n">
        <v>0</v>
      </c>
      <c r="J2510" s="485" t="n">
        <v>0</v>
      </c>
      <c r="K2510" s="485" t="n">
        <v>0</v>
      </c>
      <c r="L2510" s="485" t="n">
        <v>0</v>
      </c>
      <c r="M2510" s="514" t="inlineStr">
        <is>
          <t>T</t>
        </is>
      </c>
    </row>
    <row r="2511">
      <c r="A2511" s="485" t="n">
        <v>34</v>
      </c>
      <c r="B2511" s="485" t="n">
        <v>3</v>
      </c>
      <c r="C2511" s="485" t="n">
        <v>2</v>
      </c>
      <c r="D2511" s="485" t="n">
        <v>1</v>
      </c>
      <c r="E2511" s="485" t="n">
        <v>2</v>
      </c>
      <c r="F2511" s="485" t="n">
        <v>2</v>
      </c>
      <c r="G2511" s="485" t="inlineStr">
        <is>
          <t>South-Left2</t>
        </is>
      </c>
      <c r="H2511" s="485" t="n">
        <v>1328.03</v>
      </c>
      <c r="I2511" s="485" t="n">
        <v>89</v>
      </c>
      <c r="J2511" s="485" t="n">
        <v>8</v>
      </c>
      <c r="K2511" s="485" t="n">
        <v>16</v>
      </c>
      <c r="L2511" s="485" t="n">
        <v>2</v>
      </c>
      <c r="M2511" s="514" t="inlineStr">
        <is>
          <t>T</t>
        </is>
      </c>
    </row>
    <row r="2512">
      <c r="A2512" s="485" t="n">
        <v>34</v>
      </c>
      <c r="B2512" s="485" t="n">
        <v>3</v>
      </c>
      <c r="C2512" s="485" t="n">
        <v>2</v>
      </c>
      <c r="D2512" s="485" t="n">
        <v>1</v>
      </c>
      <c r="E2512" s="485" t="n">
        <v>2</v>
      </c>
      <c r="F2512" s="485" t="n">
        <v>2</v>
      </c>
      <c r="G2512" s="516" t="inlineStr">
        <is>
          <t>South-Left1</t>
        </is>
      </c>
      <c r="H2512" s="485" t="n">
        <v>1284.86</v>
      </c>
      <c r="I2512" s="485" t="n">
        <v>89</v>
      </c>
      <c r="J2512" s="485" t="n">
        <v>7</v>
      </c>
      <c r="K2512" s="485" t="n">
        <v>12</v>
      </c>
      <c r="L2512" s="485" t="n">
        <v>2</v>
      </c>
      <c r="M2512" s="514" t="inlineStr">
        <is>
          <t>T</t>
        </is>
      </c>
    </row>
    <row r="2513">
      <c r="A2513" s="485" t="n">
        <v>34</v>
      </c>
      <c r="B2513" s="485" t="n">
        <v>3</v>
      </c>
      <c r="C2513" s="485" t="n">
        <v>2</v>
      </c>
      <c r="D2513" s="485" t="n">
        <v>1</v>
      </c>
      <c r="E2513" s="485" t="n">
        <v>2</v>
      </c>
      <c r="F2513" s="485" t="n">
        <v>2</v>
      </c>
      <c r="G2513" s="485" t="inlineStr">
        <is>
          <t>South-Right1</t>
        </is>
      </c>
      <c r="H2513" s="485" t="n">
        <v>2664.9</v>
      </c>
      <c r="I2513" s="485" t="n">
        <v>89</v>
      </c>
      <c r="J2513" s="485" t="n">
        <v>38</v>
      </c>
      <c r="K2513" s="485" t="n">
        <v>31</v>
      </c>
      <c r="L2513" s="485" t="n">
        <v>1</v>
      </c>
      <c r="M2513" s="514" t="inlineStr">
        <is>
          <t>T</t>
        </is>
      </c>
    </row>
    <row r="2514">
      <c r="A2514" s="485" t="n">
        <v>34</v>
      </c>
      <c r="B2514" s="485" t="n">
        <v>3</v>
      </c>
      <c r="C2514" s="485" t="n">
        <v>2</v>
      </c>
      <c r="D2514" s="485" t="n">
        <v>1</v>
      </c>
      <c r="E2514" s="485" t="n">
        <v>2</v>
      </c>
      <c r="F2514" s="485" t="n">
        <v>2</v>
      </c>
      <c r="G2514" s="485" t="inlineStr">
        <is>
          <t>South-Right2</t>
        </is>
      </c>
      <c r="H2514" s="485" t="n">
        <v>0</v>
      </c>
      <c r="I2514" s="485" t="n">
        <v>0</v>
      </c>
      <c r="J2514" s="485" t="n">
        <v>0</v>
      </c>
      <c r="K2514" s="485" t="n">
        <v>0</v>
      </c>
      <c r="L2514" s="485" t="n">
        <v>0</v>
      </c>
      <c r="M2514" s="514" t="inlineStr">
        <is>
          <t>T</t>
        </is>
      </c>
    </row>
    <row r="2515">
      <c r="A2515" s="486" t="n">
        <v>35</v>
      </c>
      <c r="B2515" s="486" t="n">
        <v>3</v>
      </c>
      <c r="C2515" s="486" t="n">
        <v>2</v>
      </c>
      <c r="D2515" s="486" t="n">
        <v>2</v>
      </c>
      <c r="E2515" s="486" t="n">
        <v>2</v>
      </c>
      <c r="F2515" s="486" t="n">
        <v>2</v>
      </c>
      <c r="G2515" s="486" t="inlineStr">
        <is>
          <t>West-Up2</t>
        </is>
      </c>
      <c r="H2515" s="486" t="n">
        <v>1343.61</v>
      </c>
      <c r="I2515" s="486" t="n">
        <v>0</v>
      </c>
      <c r="J2515" s="486" t="n">
        <v>1</v>
      </c>
      <c r="K2515" s="486" t="n">
        <v>8</v>
      </c>
      <c r="L2515" s="486" t="n">
        <v>1</v>
      </c>
      <c r="M2515" s="487" t="inlineStr">
        <is>
          <t>T</t>
        </is>
      </c>
    </row>
    <row r="2516">
      <c r="A2516" s="486" t="n">
        <v>35</v>
      </c>
      <c r="B2516" s="486" t="n">
        <v>3</v>
      </c>
      <c r="C2516" s="486" t="n">
        <v>2</v>
      </c>
      <c r="D2516" s="486" t="n">
        <v>2</v>
      </c>
      <c r="E2516" s="486" t="n">
        <v>2</v>
      </c>
      <c r="F2516" s="486" t="n">
        <v>2</v>
      </c>
      <c r="G2516" s="475" t="inlineStr">
        <is>
          <t>West-Up1</t>
        </is>
      </c>
      <c r="H2516" s="486" t="n">
        <v>1260.51</v>
      </c>
      <c r="I2516" s="486" t="n">
        <v>0</v>
      </c>
      <c r="J2516" s="486" t="n">
        <v>2</v>
      </c>
      <c r="K2516" s="486" t="n">
        <v>13</v>
      </c>
      <c r="L2516" s="486" t="n">
        <v>1</v>
      </c>
      <c r="M2516" s="487" t="inlineStr">
        <is>
          <t>T</t>
        </is>
      </c>
    </row>
    <row r="2517">
      <c r="A2517" s="486" t="n">
        <v>35</v>
      </c>
      <c r="B2517" s="486" t="n">
        <v>3</v>
      </c>
      <c r="C2517" s="486" t="n">
        <v>2</v>
      </c>
      <c r="D2517" s="486" t="n">
        <v>2</v>
      </c>
      <c r="E2517" s="486" t="n">
        <v>2</v>
      </c>
      <c r="F2517" s="486" t="n">
        <v>2</v>
      </c>
      <c r="G2517" s="486" t="inlineStr">
        <is>
          <t>West-Down1</t>
        </is>
      </c>
      <c r="H2517" s="486" t="n">
        <v>2627.07</v>
      </c>
      <c r="I2517" s="486" t="n">
        <v>0</v>
      </c>
      <c r="J2517" s="486" t="n">
        <v>10</v>
      </c>
      <c r="K2517" s="486" t="n">
        <v>11</v>
      </c>
      <c r="L2517" s="486" t="n">
        <v>3</v>
      </c>
      <c r="M2517" s="487" t="inlineStr">
        <is>
          <t>T</t>
        </is>
      </c>
    </row>
    <row r="2518">
      <c r="A2518" s="486" t="n">
        <v>35</v>
      </c>
      <c r="B2518" s="486" t="n">
        <v>3</v>
      </c>
      <c r="C2518" s="486" t="n">
        <v>2</v>
      </c>
      <c r="D2518" s="486" t="n">
        <v>2</v>
      </c>
      <c r="E2518" s="486" t="n">
        <v>2</v>
      </c>
      <c r="F2518" s="486" t="n">
        <v>2</v>
      </c>
      <c r="G2518" s="486" t="inlineStr">
        <is>
          <t>West-Down2</t>
        </is>
      </c>
      <c r="H2518" s="486" t="n">
        <v>0</v>
      </c>
      <c r="I2518" s="486" t="n">
        <v>0</v>
      </c>
      <c r="J2518" s="486" t="n">
        <v>0</v>
      </c>
      <c r="K2518" s="486" t="n">
        <v>0</v>
      </c>
      <c r="L2518" s="486" t="n">
        <v>0</v>
      </c>
      <c r="M2518" s="487" t="inlineStr">
        <is>
          <t>T</t>
        </is>
      </c>
    </row>
    <row r="2519">
      <c r="A2519" s="486" t="n">
        <v>35</v>
      </c>
      <c r="B2519" s="486" t="n">
        <v>3</v>
      </c>
      <c r="C2519" s="486" t="n">
        <v>2</v>
      </c>
      <c r="D2519" s="486" t="n">
        <v>2</v>
      </c>
      <c r="E2519" s="486" t="n">
        <v>2</v>
      </c>
      <c r="F2519" s="486" t="n">
        <v>2</v>
      </c>
      <c r="G2519" s="486" t="inlineStr">
        <is>
          <t>East-Up2</t>
        </is>
      </c>
      <c r="H2519" s="486" t="n">
        <v>0</v>
      </c>
      <c r="I2519" s="486" t="n">
        <v>0</v>
      </c>
      <c r="J2519" s="486" t="n">
        <v>0</v>
      </c>
      <c r="K2519" s="486" t="n">
        <v>0</v>
      </c>
      <c r="L2519" s="486" t="n">
        <v>0</v>
      </c>
      <c r="M2519" s="487" t="inlineStr">
        <is>
          <t>T</t>
        </is>
      </c>
    </row>
    <row r="2520">
      <c r="A2520" s="486" t="n">
        <v>35</v>
      </c>
      <c r="B2520" s="486" t="n">
        <v>3</v>
      </c>
      <c r="C2520" s="486" t="n">
        <v>2</v>
      </c>
      <c r="D2520" s="486" t="n">
        <v>2</v>
      </c>
      <c r="E2520" s="486" t="n">
        <v>2</v>
      </c>
      <c r="F2520" s="486" t="n">
        <v>2</v>
      </c>
      <c r="G2520" s="475" t="inlineStr">
        <is>
          <t>East-Up1</t>
        </is>
      </c>
      <c r="H2520" s="486" t="n">
        <v>5278.99</v>
      </c>
      <c r="I2520" s="486" t="n">
        <v>0</v>
      </c>
      <c r="J2520" s="486" t="n">
        <v>12</v>
      </c>
      <c r="K2520" s="486" t="n">
        <v>17</v>
      </c>
      <c r="L2520" s="486" t="n">
        <v>1</v>
      </c>
      <c r="M2520" s="487" t="inlineStr">
        <is>
          <t>T</t>
        </is>
      </c>
    </row>
    <row r="2521">
      <c r="A2521" s="486" t="n">
        <v>35</v>
      </c>
      <c r="B2521" s="486" t="n">
        <v>3</v>
      </c>
      <c r="C2521" s="486" t="n">
        <v>2</v>
      </c>
      <c r="D2521" s="486" t="n">
        <v>2</v>
      </c>
      <c r="E2521" s="486" t="n">
        <v>2</v>
      </c>
      <c r="F2521" s="486" t="n">
        <v>2</v>
      </c>
      <c r="G2521" s="486" t="inlineStr">
        <is>
          <t>East-Down1</t>
        </is>
      </c>
      <c r="H2521" s="486" t="n">
        <v>0</v>
      </c>
      <c r="I2521" s="486" t="n">
        <v>0</v>
      </c>
      <c r="J2521" s="486" t="n">
        <v>0</v>
      </c>
      <c r="K2521" s="486" t="n">
        <v>0</v>
      </c>
      <c r="L2521" s="486" t="n">
        <v>0</v>
      </c>
      <c r="M2521" s="487" t="inlineStr">
        <is>
          <t>T</t>
        </is>
      </c>
    </row>
    <row r="2522">
      <c r="A2522" s="486" t="n">
        <v>35</v>
      </c>
      <c r="B2522" s="486" t="n">
        <v>3</v>
      </c>
      <c r="C2522" s="486" t="n">
        <v>2</v>
      </c>
      <c r="D2522" s="486" t="n">
        <v>2</v>
      </c>
      <c r="E2522" s="486" t="n">
        <v>2</v>
      </c>
      <c r="F2522" s="486" t="n">
        <v>2</v>
      </c>
      <c r="G2522" s="486" t="inlineStr">
        <is>
          <t>East-Down2</t>
        </is>
      </c>
      <c r="H2522" s="486" t="n">
        <v>0</v>
      </c>
      <c r="I2522" s="486" t="n">
        <v>0</v>
      </c>
      <c r="J2522" s="486" t="n">
        <v>0</v>
      </c>
      <c r="K2522" s="486" t="n">
        <v>0</v>
      </c>
      <c r="L2522" s="486" t="n">
        <v>0</v>
      </c>
      <c r="M2522" s="487" t="inlineStr">
        <is>
          <t>T</t>
        </is>
      </c>
    </row>
    <row r="2523">
      <c r="A2523" s="486" t="n">
        <v>35</v>
      </c>
      <c r="B2523" s="486" t="n">
        <v>3</v>
      </c>
      <c r="C2523" s="486" t="n">
        <v>2</v>
      </c>
      <c r="D2523" s="486" t="n">
        <v>2</v>
      </c>
      <c r="E2523" s="486" t="n">
        <v>2</v>
      </c>
      <c r="F2523" s="486" t="n">
        <v>2</v>
      </c>
      <c r="G2523" s="486" t="inlineStr">
        <is>
          <t>North-Left2</t>
        </is>
      </c>
      <c r="H2523" s="486" t="n">
        <v>0</v>
      </c>
      <c r="I2523" s="486" t="n">
        <v>0</v>
      </c>
      <c r="J2523" s="486" t="n">
        <v>0</v>
      </c>
      <c r="K2523" s="486" t="n">
        <v>0</v>
      </c>
      <c r="L2523" s="486" t="n">
        <v>0</v>
      </c>
      <c r="M2523" s="487" t="inlineStr">
        <is>
          <t>T</t>
        </is>
      </c>
    </row>
    <row r="2524">
      <c r="A2524" s="486" t="n">
        <v>35</v>
      </c>
      <c r="B2524" s="486" t="n">
        <v>3</v>
      </c>
      <c r="C2524" s="486" t="n">
        <v>2</v>
      </c>
      <c r="D2524" s="486" t="n">
        <v>2</v>
      </c>
      <c r="E2524" s="486" t="n">
        <v>2</v>
      </c>
      <c r="F2524" s="486" t="n">
        <v>2</v>
      </c>
      <c r="G2524" s="475" t="inlineStr">
        <is>
          <t>North-Left1</t>
        </is>
      </c>
      <c r="H2524" s="486" t="n">
        <v>2633.77</v>
      </c>
      <c r="I2524" s="486" t="n">
        <v>89</v>
      </c>
      <c r="J2524" s="486" t="n">
        <v>23</v>
      </c>
      <c r="K2524" s="486" t="n">
        <v>53</v>
      </c>
      <c r="L2524" s="486" t="n">
        <v>3</v>
      </c>
      <c r="M2524" s="487" t="inlineStr">
        <is>
          <t>T</t>
        </is>
      </c>
    </row>
    <row r="2525">
      <c r="A2525" s="486" t="n">
        <v>35</v>
      </c>
      <c r="B2525" s="486" t="n">
        <v>3</v>
      </c>
      <c r="C2525" s="486" t="n">
        <v>2</v>
      </c>
      <c r="D2525" s="486" t="n">
        <v>2</v>
      </c>
      <c r="E2525" s="486" t="n">
        <v>2</v>
      </c>
      <c r="F2525" s="486" t="n">
        <v>2</v>
      </c>
      <c r="G2525" s="486" t="inlineStr">
        <is>
          <t>North-Right1</t>
        </is>
      </c>
      <c r="H2525" s="486" t="n">
        <v>1325.99</v>
      </c>
      <c r="I2525" s="486" t="n">
        <v>89</v>
      </c>
      <c r="J2525" s="486" t="n">
        <v>47</v>
      </c>
      <c r="K2525" s="486" t="n">
        <v>48</v>
      </c>
      <c r="L2525" s="486" t="n">
        <v>3</v>
      </c>
      <c r="M2525" s="487" t="inlineStr">
        <is>
          <t>T</t>
        </is>
      </c>
    </row>
    <row r="2526">
      <c r="A2526" s="486" t="n">
        <v>35</v>
      </c>
      <c r="B2526" s="486" t="n">
        <v>3</v>
      </c>
      <c r="C2526" s="486" t="n">
        <v>2</v>
      </c>
      <c r="D2526" s="486" t="n">
        <v>2</v>
      </c>
      <c r="E2526" s="486" t="n">
        <v>2</v>
      </c>
      <c r="F2526" s="486" t="n">
        <v>2</v>
      </c>
      <c r="G2526" s="486" t="inlineStr">
        <is>
          <t>North-Right2</t>
        </is>
      </c>
      <c r="H2526" s="486" t="n">
        <v>1322.75</v>
      </c>
      <c r="I2526" s="486" t="n">
        <v>89</v>
      </c>
      <c r="J2526" s="486" t="n">
        <v>47</v>
      </c>
      <c r="K2526" s="486" t="n">
        <v>34</v>
      </c>
      <c r="L2526" s="486" t="n">
        <v>3</v>
      </c>
      <c r="M2526" s="487" t="inlineStr">
        <is>
          <t>T</t>
        </is>
      </c>
    </row>
    <row r="2527">
      <c r="A2527" s="486" t="n">
        <v>35</v>
      </c>
      <c r="B2527" s="486" t="n">
        <v>3</v>
      </c>
      <c r="C2527" s="486" t="n">
        <v>2</v>
      </c>
      <c r="D2527" s="486" t="n">
        <v>2</v>
      </c>
      <c r="E2527" s="486" t="n">
        <v>2</v>
      </c>
      <c r="F2527" s="486" t="n">
        <v>2</v>
      </c>
      <c r="G2527" s="486" t="inlineStr">
        <is>
          <t>South-Left2</t>
        </is>
      </c>
      <c r="H2527" s="486" t="n">
        <v>0</v>
      </c>
      <c r="I2527" s="486" t="n">
        <v>0</v>
      </c>
      <c r="J2527" s="486" t="n">
        <v>0</v>
      </c>
      <c r="K2527" s="486" t="n">
        <v>0</v>
      </c>
      <c r="L2527" s="486" t="n">
        <v>0</v>
      </c>
      <c r="M2527" s="487" t="inlineStr">
        <is>
          <t>T</t>
        </is>
      </c>
    </row>
    <row r="2528">
      <c r="A2528" s="486" t="n">
        <v>35</v>
      </c>
      <c r="B2528" s="486" t="n">
        <v>3</v>
      </c>
      <c r="C2528" s="486" t="n">
        <v>2</v>
      </c>
      <c r="D2528" s="486" t="n">
        <v>2</v>
      </c>
      <c r="E2528" s="486" t="n">
        <v>2</v>
      </c>
      <c r="F2528" s="486" t="n">
        <v>2</v>
      </c>
      <c r="G2528" s="475" t="inlineStr">
        <is>
          <t>South-Left1</t>
        </is>
      </c>
      <c r="H2528" s="486" t="n">
        <v>2643.56</v>
      </c>
      <c r="I2528" s="486" t="n">
        <v>89</v>
      </c>
      <c r="J2528" s="486" t="n">
        <v>56</v>
      </c>
      <c r="K2528" s="486" t="n">
        <v>2</v>
      </c>
      <c r="L2528" s="486" t="n">
        <v>3</v>
      </c>
      <c r="M2528" s="487" t="inlineStr">
        <is>
          <t>T</t>
        </is>
      </c>
    </row>
    <row r="2529">
      <c r="A2529" s="486" t="n">
        <v>35</v>
      </c>
      <c r="B2529" s="486" t="n">
        <v>3</v>
      </c>
      <c r="C2529" s="486" t="n">
        <v>2</v>
      </c>
      <c r="D2529" s="486" t="n">
        <v>2</v>
      </c>
      <c r="E2529" s="486" t="n">
        <v>2</v>
      </c>
      <c r="F2529" s="486" t="n">
        <v>2</v>
      </c>
      <c r="G2529" s="486" t="inlineStr">
        <is>
          <t>South-Right1</t>
        </is>
      </c>
      <c r="H2529" s="486" t="n">
        <v>2664.21</v>
      </c>
      <c r="I2529" s="486" t="n">
        <v>89</v>
      </c>
      <c r="J2529" s="486" t="n">
        <v>42</v>
      </c>
      <c r="K2529" s="486" t="n">
        <v>22</v>
      </c>
      <c r="L2529" s="486" t="n">
        <v>4</v>
      </c>
      <c r="M2529" s="487" t="inlineStr">
        <is>
          <t>T</t>
        </is>
      </c>
    </row>
    <row r="2530">
      <c r="A2530" s="486" t="n">
        <v>35</v>
      </c>
      <c r="B2530" s="486" t="n">
        <v>3</v>
      </c>
      <c r="C2530" s="486" t="n">
        <v>2</v>
      </c>
      <c r="D2530" s="486" t="n">
        <v>2</v>
      </c>
      <c r="E2530" s="486" t="n">
        <v>2</v>
      </c>
      <c r="F2530" s="486" t="n">
        <v>2</v>
      </c>
      <c r="G2530" s="486" t="inlineStr">
        <is>
          <t>South-Right2</t>
        </is>
      </c>
      <c r="H2530" s="486" t="n">
        <v>0</v>
      </c>
      <c r="I2530" s="486" t="n">
        <v>0</v>
      </c>
      <c r="J2530" s="486" t="n">
        <v>0</v>
      </c>
      <c r="K2530" s="486" t="n">
        <v>0</v>
      </c>
      <c r="L2530" s="486" t="n">
        <v>0</v>
      </c>
      <c r="M2530" s="487" t="inlineStr">
        <is>
          <t>T</t>
        </is>
      </c>
    </row>
    <row r="2531">
      <c r="A2531" s="485" t="n">
        <v>36</v>
      </c>
      <c r="B2531" s="485" t="n">
        <v>6</v>
      </c>
      <c r="C2531" s="485" t="n">
        <v>2</v>
      </c>
      <c r="D2531" s="485" t="n">
        <v>19</v>
      </c>
      <c r="E2531" s="485" t="n">
        <v>1</v>
      </c>
      <c r="F2531" s="485" t="n">
        <v>1</v>
      </c>
      <c r="G2531" s="485" t="inlineStr">
        <is>
          <t>West-Up2</t>
        </is>
      </c>
      <c r="H2531" s="485" t="n">
        <v>0</v>
      </c>
      <c r="I2531" s="485" t="n">
        <v>0</v>
      </c>
      <c r="J2531" s="485" t="n">
        <v>0</v>
      </c>
      <c r="K2531" s="485" t="n">
        <v>0</v>
      </c>
      <c r="L2531" s="485" t="n">
        <v>0</v>
      </c>
      <c r="M2531" s="487" t="inlineStr">
        <is>
          <t>G</t>
        </is>
      </c>
      <c r="N2531" s="501" t="n"/>
      <c r="O2531" s="501" t="n"/>
    </row>
    <row r="2532">
      <c r="A2532" s="485" t="n">
        <v>36</v>
      </c>
      <c r="B2532" s="485" t="n">
        <v>6</v>
      </c>
      <c r="C2532" s="485" t="n">
        <v>2</v>
      </c>
      <c r="D2532" s="485" t="n">
        <v>19</v>
      </c>
      <c r="E2532" s="485" t="n">
        <v>1</v>
      </c>
      <c r="F2532" s="485" t="n">
        <v>1</v>
      </c>
      <c r="G2532" s="516" t="inlineStr">
        <is>
          <t>West-Up1</t>
        </is>
      </c>
      <c r="H2532" s="485" t="n">
        <v>2641.18</v>
      </c>
      <c r="I2532" s="485" t="n">
        <v>1</v>
      </c>
      <c r="J2532" s="485" t="n">
        <v>11</v>
      </c>
      <c r="K2532" s="485" t="n">
        <v>50</v>
      </c>
      <c r="L2532" s="485" t="n">
        <v>4</v>
      </c>
      <c r="M2532" s="487" t="inlineStr">
        <is>
          <t>G</t>
        </is>
      </c>
      <c r="N2532" s="501" t="n"/>
      <c r="O2532" s="501" t="n"/>
    </row>
    <row r="2533">
      <c r="A2533" s="485" t="n">
        <v>36</v>
      </c>
      <c r="B2533" s="485" t="n">
        <v>6</v>
      </c>
      <c r="C2533" s="485" t="n">
        <v>2</v>
      </c>
      <c r="D2533" s="485" t="n">
        <v>19</v>
      </c>
      <c r="E2533" s="485" t="n">
        <v>1</v>
      </c>
      <c r="F2533" s="485" t="n">
        <v>1</v>
      </c>
      <c r="G2533" s="485" t="inlineStr">
        <is>
          <t>West-Down1</t>
        </is>
      </c>
      <c r="H2533" s="485" t="n">
        <v>2639.94</v>
      </c>
      <c r="I2533" s="485" t="n">
        <v>1</v>
      </c>
      <c r="J2533" s="485" t="n">
        <v>12</v>
      </c>
      <c r="K2533" s="485" t="n">
        <v>13</v>
      </c>
      <c r="L2533" s="485" t="n">
        <v>4</v>
      </c>
      <c r="M2533" s="487" t="inlineStr">
        <is>
          <t>G</t>
        </is>
      </c>
      <c r="N2533" s="501" t="n"/>
      <c r="O2533" s="501" t="n"/>
    </row>
    <row r="2534">
      <c r="A2534" s="485" t="n">
        <v>36</v>
      </c>
      <c r="B2534" s="485" t="n">
        <v>6</v>
      </c>
      <c r="C2534" s="485" t="n">
        <v>2</v>
      </c>
      <c r="D2534" s="485" t="n">
        <v>19</v>
      </c>
      <c r="E2534" s="485" t="n">
        <v>1</v>
      </c>
      <c r="F2534" s="485" t="n">
        <v>1</v>
      </c>
      <c r="G2534" s="485" t="inlineStr">
        <is>
          <t>West-Down2</t>
        </is>
      </c>
      <c r="H2534" s="485" t="n">
        <v>0</v>
      </c>
      <c r="I2534" s="485" t="n">
        <v>0</v>
      </c>
      <c r="J2534" s="485" t="n">
        <v>0</v>
      </c>
      <c r="K2534" s="485" t="n">
        <v>0</v>
      </c>
      <c r="L2534" s="485" t="n">
        <v>0</v>
      </c>
      <c r="M2534" s="487" t="inlineStr">
        <is>
          <t>G</t>
        </is>
      </c>
      <c r="N2534" s="501" t="n"/>
      <c r="O2534" s="501" t="n"/>
    </row>
    <row r="2535">
      <c r="A2535" s="485" t="n">
        <v>36</v>
      </c>
      <c r="B2535" s="485" t="n">
        <v>6</v>
      </c>
      <c r="C2535" s="485" t="n">
        <v>2</v>
      </c>
      <c r="D2535" s="485" t="n">
        <v>19</v>
      </c>
      <c r="E2535" s="485" t="n">
        <v>1</v>
      </c>
      <c r="F2535" s="485" t="n">
        <v>1</v>
      </c>
      <c r="G2535" s="485" t="inlineStr">
        <is>
          <t>East-Up2</t>
        </is>
      </c>
      <c r="H2535" s="485" t="n">
        <v>0</v>
      </c>
      <c r="I2535" s="485" t="n">
        <v>0</v>
      </c>
      <c r="J2535" s="485" t="n">
        <v>0</v>
      </c>
      <c r="K2535" s="485" t="n">
        <v>0</v>
      </c>
      <c r="L2535" s="485" t="n">
        <v>0</v>
      </c>
      <c r="M2535" s="487" t="inlineStr">
        <is>
          <t>G</t>
        </is>
      </c>
      <c r="N2535" s="501" t="n"/>
      <c r="O2535" s="501" t="n"/>
    </row>
    <row r="2536">
      <c r="A2536" s="485" t="n">
        <v>36</v>
      </c>
      <c r="B2536" s="485" t="n">
        <v>6</v>
      </c>
      <c r="C2536" s="485" t="n">
        <v>2</v>
      </c>
      <c r="D2536" s="485" t="n">
        <v>19</v>
      </c>
      <c r="E2536" s="485" t="n">
        <v>1</v>
      </c>
      <c r="F2536" s="485" t="n">
        <v>1</v>
      </c>
      <c r="G2536" s="516" t="inlineStr">
        <is>
          <t>East-Up1</t>
        </is>
      </c>
      <c r="H2536" s="485" t="n">
        <v>2641.7</v>
      </c>
      <c r="I2536" s="485" t="n">
        <v>1</v>
      </c>
      <c r="J2536" s="485" t="n">
        <v>12</v>
      </c>
      <c r="K2536" s="485" t="n">
        <v>56</v>
      </c>
      <c r="L2536" s="485" t="n">
        <v>4</v>
      </c>
      <c r="M2536" s="487" t="inlineStr">
        <is>
          <t>G</t>
        </is>
      </c>
      <c r="N2536" s="501" t="n"/>
      <c r="O2536" s="501" t="n"/>
    </row>
    <row r="2537">
      <c r="A2537" s="485" t="n">
        <v>36</v>
      </c>
      <c r="B2537" s="485" t="n">
        <v>6</v>
      </c>
      <c r="C2537" s="485" t="n">
        <v>2</v>
      </c>
      <c r="D2537" s="485" t="n">
        <v>19</v>
      </c>
      <c r="E2537" s="485" t="n">
        <v>1</v>
      </c>
      <c r="F2537" s="485" t="n">
        <v>1</v>
      </c>
      <c r="G2537" s="485" t="inlineStr">
        <is>
          <t>East-Down1</t>
        </is>
      </c>
      <c r="H2537" s="485" t="n">
        <v>2645.83</v>
      </c>
      <c r="I2537" s="485" t="n">
        <v>1</v>
      </c>
      <c r="J2537" s="485" t="n">
        <v>13</v>
      </c>
      <c r="K2537" s="485" t="n">
        <v>14</v>
      </c>
      <c r="L2537" s="485" t="n">
        <v>4</v>
      </c>
      <c r="M2537" s="487" t="inlineStr">
        <is>
          <t>G</t>
        </is>
      </c>
      <c r="N2537" s="501" t="n"/>
      <c r="O2537" s="501" t="n"/>
    </row>
    <row r="2538">
      <c r="A2538" s="485" t="n">
        <v>36</v>
      </c>
      <c r="B2538" s="485" t="n">
        <v>6</v>
      </c>
      <c r="C2538" s="485" t="n">
        <v>2</v>
      </c>
      <c r="D2538" s="485" t="n">
        <v>19</v>
      </c>
      <c r="E2538" s="485" t="n">
        <v>1</v>
      </c>
      <c r="F2538" s="485" t="n">
        <v>1</v>
      </c>
      <c r="G2538" s="485" t="inlineStr">
        <is>
          <t>East-Down2</t>
        </is>
      </c>
      <c r="H2538" s="485" t="n">
        <v>0</v>
      </c>
      <c r="I2538" s="485" t="n">
        <v>0</v>
      </c>
      <c r="J2538" s="485" t="n">
        <v>0</v>
      </c>
      <c r="K2538" s="485" t="n">
        <v>0</v>
      </c>
      <c r="L2538" s="485" t="n">
        <v>0</v>
      </c>
      <c r="M2538" s="487" t="inlineStr">
        <is>
          <t>G</t>
        </is>
      </c>
      <c r="N2538" s="501" t="n"/>
      <c r="O2538" s="501" t="n"/>
    </row>
    <row r="2539">
      <c r="A2539" s="485" t="n">
        <v>36</v>
      </c>
      <c r="B2539" s="485" t="n">
        <v>6</v>
      </c>
      <c r="C2539" s="485" t="n">
        <v>2</v>
      </c>
      <c r="D2539" s="485" t="n">
        <v>19</v>
      </c>
      <c r="E2539" s="485" t="n">
        <v>1</v>
      </c>
      <c r="F2539" s="485" t="n">
        <v>1</v>
      </c>
      <c r="G2539" s="485" t="inlineStr">
        <is>
          <t>North-Left2</t>
        </is>
      </c>
      <c r="H2539" s="485" t="n">
        <v>0</v>
      </c>
      <c r="I2539" s="485" t="n">
        <v>0</v>
      </c>
      <c r="J2539" s="485" t="n">
        <v>0</v>
      </c>
      <c r="K2539" s="485" t="n">
        <v>0</v>
      </c>
      <c r="L2539" s="485" t="n">
        <v>0</v>
      </c>
      <c r="M2539" s="487" t="inlineStr">
        <is>
          <t>G</t>
        </is>
      </c>
      <c r="N2539" s="501" t="n"/>
      <c r="O2539" s="501" t="n"/>
    </row>
    <row r="2540">
      <c r="A2540" s="485" t="n">
        <v>36</v>
      </c>
      <c r="B2540" s="485" t="n">
        <v>6</v>
      </c>
      <c r="C2540" s="485" t="n">
        <v>2</v>
      </c>
      <c r="D2540" s="485" t="n">
        <v>19</v>
      </c>
      <c r="E2540" s="485" t="n">
        <v>1</v>
      </c>
      <c r="F2540" s="485" t="n">
        <v>1</v>
      </c>
      <c r="G2540" s="516" t="inlineStr">
        <is>
          <t>North-Left1</t>
        </is>
      </c>
      <c r="H2540" s="485" t="n">
        <v>5281.62</v>
      </c>
      <c r="I2540" s="485" t="n">
        <v>88</v>
      </c>
      <c r="J2540" s="485" t="n">
        <v>54</v>
      </c>
      <c r="K2540" s="485" t="n">
        <v>26</v>
      </c>
      <c r="L2540" s="485" t="n">
        <v>3</v>
      </c>
      <c r="M2540" s="487" t="inlineStr">
        <is>
          <t>G</t>
        </is>
      </c>
      <c r="N2540" s="501" t="n"/>
      <c r="O2540" s="501" t="n"/>
    </row>
    <row r="2541">
      <c r="A2541" s="485" t="n">
        <v>36</v>
      </c>
      <c r="B2541" s="485" t="n">
        <v>6</v>
      </c>
      <c r="C2541" s="485" t="n">
        <v>2</v>
      </c>
      <c r="D2541" s="485" t="n">
        <v>19</v>
      </c>
      <c r="E2541" s="485" t="n">
        <v>1</v>
      </c>
      <c r="F2541" s="485" t="n">
        <v>1</v>
      </c>
      <c r="G2541" s="485" t="inlineStr">
        <is>
          <t>North-Right1</t>
        </is>
      </c>
      <c r="H2541" s="485" t="n">
        <v>0</v>
      </c>
      <c r="I2541" s="485" t="n">
        <v>0</v>
      </c>
      <c r="J2541" s="485" t="n">
        <v>0</v>
      </c>
      <c r="K2541" s="485" t="n">
        <v>0</v>
      </c>
      <c r="L2541" s="485" t="n">
        <v>0</v>
      </c>
      <c r="M2541" s="487" t="inlineStr">
        <is>
          <t>G</t>
        </is>
      </c>
      <c r="N2541" s="501" t="n"/>
      <c r="O2541" s="501" t="n"/>
    </row>
    <row r="2542">
      <c r="A2542" s="485" t="n">
        <v>36</v>
      </c>
      <c r="B2542" s="485" t="n">
        <v>6</v>
      </c>
      <c r="C2542" s="485" t="n">
        <v>2</v>
      </c>
      <c r="D2542" s="485" t="n">
        <v>19</v>
      </c>
      <c r="E2542" s="485" t="n">
        <v>1</v>
      </c>
      <c r="F2542" s="485" t="n">
        <v>1</v>
      </c>
      <c r="G2542" s="485" t="inlineStr">
        <is>
          <t>North-Right2</t>
        </is>
      </c>
      <c r="H2542" s="485" t="n">
        <v>0</v>
      </c>
      <c r="I2542" s="485" t="n">
        <v>0</v>
      </c>
      <c r="J2542" s="485" t="n">
        <v>0</v>
      </c>
      <c r="K2542" s="485" t="n">
        <v>0</v>
      </c>
      <c r="L2542" s="485" t="n">
        <v>0</v>
      </c>
      <c r="M2542" s="487" t="inlineStr">
        <is>
          <t>G</t>
        </is>
      </c>
      <c r="N2542" s="501" t="n"/>
      <c r="O2542" s="501" t="n"/>
    </row>
    <row r="2543">
      <c r="A2543" s="485" t="n">
        <v>36</v>
      </c>
      <c r="B2543" s="485" t="n">
        <v>6</v>
      </c>
      <c r="C2543" s="485" t="n">
        <v>2</v>
      </c>
      <c r="D2543" s="485" t="n">
        <v>19</v>
      </c>
      <c r="E2543" s="485" t="n">
        <v>1</v>
      </c>
      <c r="F2543" s="485" t="n">
        <v>1</v>
      </c>
      <c r="G2543" s="485" t="inlineStr">
        <is>
          <t>South-Left2</t>
        </is>
      </c>
      <c r="H2543" s="485" t="n">
        <v>0</v>
      </c>
      <c r="I2543" s="485" t="n">
        <v>0</v>
      </c>
      <c r="J2543" s="485" t="n">
        <v>0</v>
      </c>
      <c r="K2543" s="485" t="n">
        <v>0</v>
      </c>
      <c r="L2543" s="485" t="n">
        <v>0</v>
      </c>
      <c r="M2543" s="487" t="inlineStr">
        <is>
          <t>G</t>
        </is>
      </c>
      <c r="N2543" s="501" t="n"/>
      <c r="O2543" s="501" t="n"/>
    </row>
    <row r="2544">
      <c r="A2544" s="485" t="n">
        <v>36</v>
      </c>
      <c r="B2544" s="485" t="n">
        <v>6</v>
      </c>
      <c r="C2544" s="485" t="n">
        <v>2</v>
      </c>
      <c r="D2544" s="485" t="n">
        <v>19</v>
      </c>
      <c r="E2544" s="485" t="n">
        <v>1</v>
      </c>
      <c r="F2544" s="485" t="n">
        <v>1</v>
      </c>
      <c r="G2544" s="516" t="inlineStr">
        <is>
          <t>South-Left1</t>
        </is>
      </c>
      <c r="H2544" s="485" t="n">
        <v>2639.7</v>
      </c>
      <c r="I2544" s="485" t="n">
        <v>88</v>
      </c>
      <c r="J2544" s="485" t="n">
        <v>51</v>
      </c>
      <c r="K2544" s="485" t="n">
        <v>29</v>
      </c>
      <c r="L2544" s="485" t="n">
        <v>3</v>
      </c>
      <c r="M2544" s="487" t="inlineStr">
        <is>
          <t>G</t>
        </is>
      </c>
      <c r="N2544" s="501" t="n"/>
      <c r="O2544" s="501" t="n"/>
    </row>
    <row r="2545">
      <c r="A2545" s="485" t="n">
        <v>36</v>
      </c>
      <c r="B2545" s="485" t="n">
        <v>6</v>
      </c>
      <c r="C2545" s="485" t="n">
        <v>2</v>
      </c>
      <c r="D2545" s="485" t="n">
        <v>19</v>
      </c>
      <c r="E2545" s="485" t="n">
        <v>1</v>
      </c>
      <c r="F2545" s="485" t="n">
        <v>1</v>
      </c>
      <c r="G2545" s="485" t="inlineStr">
        <is>
          <t>South-Right1</t>
        </is>
      </c>
      <c r="H2545" s="485" t="n">
        <v>2640.28</v>
      </c>
      <c r="I2545" s="485" t="n">
        <v>88</v>
      </c>
      <c r="J2545" s="485" t="n">
        <v>51</v>
      </c>
      <c r="K2545" s="485" t="n">
        <v>33</v>
      </c>
      <c r="L2545" s="485" t="n">
        <v>3</v>
      </c>
      <c r="M2545" s="487" t="inlineStr">
        <is>
          <t>G</t>
        </is>
      </c>
      <c r="N2545" s="501" t="n"/>
      <c r="O2545" s="501" t="n"/>
    </row>
    <row r="2546">
      <c r="A2546" s="485" t="n">
        <v>36</v>
      </c>
      <c r="B2546" s="485" t="n">
        <v>6</v>
      </c>
      <c r="C2546" s="485" t="n">
        <v>2</v>
      </c>
      <c r="D2546" s="485" t="n">
        <v>19</v>
      </c>
      <c r="E2546" s="485" t="n">
        <v>1</v>
      </c>
      <c r="F2546" s="485" t="n">
        <v>1</v>
      </c>
      <c r="G2546" s="485" t="inlineStr">
        <is>
          <t>South-Right2</t>
        </is>
      </c>
      <c r="H2546" s="485" t="n">
        <v>0</v>
      </c>
      <c r="I2546" s="485" t="n">
        <v>0</v>
      </c>
      <c r="J2546" s="485" t="n">
        <v>0</v>
      </c>
      <c r="K2546" s="485" t="n">
        <v>0</v>
      </c>
      <c r="L2546" s="485" t="n">
        <v>0</v>
      </c>
      <c r="M2546" s="487" t="inlineStr">
        <is>
          <t>G</t>
        </is>
      </c>
      <c r="N2546" s="501" t="n"/>
      <c r="O2546" s="501" t="n"/>
    </row>
    <row r="2547">
      <c r="A2547" s="485" t="n">
        <v>36</v>
      </c>
      <c r="B2547" s="485" t="n">
        <v>7</v>
      </c>
      <c r="C2547" s="485" t="n">
        <v>2</v>
      </c>
      <c r="D2547" s="485" t="n">
        <v>20</v>
      </c>
      <c r="E2547" s="485" t="n">
        <v>1</v>
      </c>
      <c r="F2547" s="485" t="n">
        <v>1</v>
      </c>
      <c r="G2547" s="485" t="inlineStr">
        <is>
          <t>West-Up2</t>
        </is>
      </c>
      <c r="H2547" s="485" t="n">
        <v>1375.18</v>
      </c>
      <c r="I2547" s="485" t="n">
        <v>1</v>
      </c>
      <c r="J2547" s="485" t="n">
        <v>6</v>
      </c>
      <c r="K2547" s="485" t="n">
        <v>50</v>
      </c>
      <c r="L2547" s="485" t="n">
        <v>3</v>
      </c>
      <c r="M2547" s="514" t="inlineStr">
        <is>
          <t>T</t>
        </is>
      </c>
    </row>
    <row r="2548">
      <c r="A2548" s="485" t="n">
        <v>36</v>
      </c>
      <c r="B2548" s="485" t="n">
        <v>7</v>
      </c>
      <c r="C2548" s="485" t="n">
        <v>2</v>
      </c>
      <c r="D2548" s="485" t="n">
        <v>20</v>
      </c>
      <c r="E2548" s="485" t="n">
        <v>1</v>
      </c>
      <c r="F2548" s="485" t="n">
        <v>1</v>
      </c>
      <c r="G2548" s="516" t="inlineStr">
        <is>
          <t>West-Up1</t>
        </is>
      </c>
      <c r="H2548" s="485" t="n">
        <v>1375.19</v>
      </c>
      <c r="I2548" s="485" t="n">
        <v>1</v>
      </c>
      <c r="J2548" s="485" t="n">
        <v>7</v>
      </c>
      <c r="K2548" s="485" t="n">
        <v>16</v>
      </c>
      <c r="L2548" s="485" t="n">
        <v>3</v>
      </c>
      <c r="M2548" s="514" t="inlineStr">
        <is>
          <t>T</t>
        </is>
      </c>
    </row>
    <row r="2549">
      <c r="A2549" s="485" t="n">
        <v>36</v>
      </c>
      <c r="B2549" s="485" t="n">
        <v>7</v>
      </c>
      <c r="C2549" s="485" t="n">
        <v>2</v>
      </c>
      <c r="D2549" s="485" t="n">
        <v>20</v>
      </c>
      <c r="E2549" s="485" t="n">
        <v>1</v>
      </c>
      <c r="F2549" s="485" t="n">
        <v>1</v>
      </c>
      <c r="G2549" s="485" t="inlineStr">
        <is>
          <t>West-Down1</t>
        </is>
      </c>
      <c r="H2549" s="485" t="n">
        <v>1371.77</v>
      </c>
      <c r="I2549" s="485" t="n">
        <v>1</v>
      </c>
      <c r="J2549" s="485" t="n">
        <v>8</v>
      </c>
      <c r="K2549" s="485" t="n">
        <v>0</v>
      </c>
      <c r="L2549" s="485" t="n">
        <v>3</v>
      </c>
      <c r="M2549" s="514" t="inlineStr">
        <is>
          <t>T</t>
        </is>
      </c>
    </row>
    <row r="2550">
      <c r="A2550" s="485" t="n">
        <v>36</v>
      </c>
      <c r="B2550" s="485" t="n">
        <v>7</v>
      </c>
      <c r="C2550" s="485" t="n">
        <v>2</v>
      </c>
      <c r="D2550" s="485" t="n">
        <v>20</v>
      </c>
      <c r="E2550" s="485" t="n">
        <v>1</v>
      </c>
      <c r="F2550" s="485" t="n">
        <v>1</v>
      </c>
      <c r="G2550" s="485" t="inlineStr">
        <is>
          <t>West-Down2</t>
        </is>
      </c>
      <c r="H2550" s="485" t="n">
        <v>1371</v>
      </c>
      <c r="I2550" s="485" t="n">
        <v>1</v>
      </c>
      <c r="J2550" s="485" t="n">
        <v>7</v>
      </c>
      <c r="K2550" s="485" t="n">
        <v>40</v>
      </c>
      <c r="L2550" s="485" t="n">
        <v>3</v>
      </c>
      <c r="M2550" s="514" t="inlineStr">
        <is>
          <t>T</t>
        </is>
      </c>
    </row>
    <row r="2551">
      <c r="A2551" s="485" t="n">
        <v>36</v>
      </c>
      <c r="B2551" s="485" t="n">
        <v>7</v>
      </c>
      <c r="C2551" s="485" t="n">
        <v>2</v>
      </c>
      <c r="D2551" s="485" t="n">
        <v>20</v>
      </c>
      <c r="E2551" s="485" t="n">
        <v>1</v>
      </c>
      <c r="F2551" s="485" t="n">
        <v>1</v>
      </c>
      <c r="G2551" s="485" t="inlineStr">
        <is>
          <t>East-Up2</t>
        </is>
      </c>
      <c r="H2551" s="485" t="n">
        <v>1370.62</v>
      </c>
      <c r="I2551" s="485" t="n">
        <v>0</v>
      </c>
      <c r="J2551" s="485" t="n">
        <v>4</v>
      </c>
      <c r="K2551" s="485" t="n">
        <v>14</v>
      </c>
      <c r="L2551" s="485" t="n">
        <v>1</v>
      </c>
      <c r="M2551" s="514" t="inlineStr">
        <is>
          <t>T</t>
        </is>
      </c>
    </row>
    <row r="2552">
      <c r="A2552" s="485" t="n">
        <v>36</v>
      </c>
      <c r="B2552" s="485" t="n">
        <v>7</v>
      </c>
      <c r="C2552" s="485" t="n">
        <v>2</v>
      </c>
      <c r="D2552" s="485" t="n">
        <v>20</v>
      </c>
      <c r="E2552" s="485" t="n">
        <v>1</v>
      </c>
      <c r="F2552" s="485" t="n">
        <v>1</v>
      </c>
      <c r="G2552" s="516" t="inlineStr">
        <is>
          <t>East-Up1</t>
        </is>
      </c>
      <c r="H2552" s="485" t="n">
        <v>1316.85</v>
      </c>
      <c r="I2552" s="485" t="n">
        <v>2</v>
      </c>
      <c r="J2552" s="485" t="n">
        <v>38</v>
      </c>
      <c r="K2552" s="485" t="n">
        <v>30</v>
      </c>
      <c r="L2552" s="485" t="n">
        <v>1</v>
      </c>
      <c r="M2552" s="514" t="inlineStr">
        <is>
          <t>T</t>
        </is>
      </c>
    </row>
    <row r="2553">
      <c r="A2553" s="485" t="n">
        <v>36</v>
      </c>
      <c r="B2553" s="485" t="n">
        <v>7</v>
      </c>
      <c r="C2553" s="485" t="n">
        <v>2</v>
      </c>
      <c r="D2553" s="485" t="n">
        <v>20</v>
      </c>
      <c r="E2553" s="485" t="n">
        <v>1</v>
      </c>
      <c r="F2553" s="485" t="n">
        <v>1</v>
      </c>
      <c r="G2553" s="485" t="inlineStr">
        <is>
          <t>East-Down1</t>
        </is>
      </c>
      <c r="H2553" s="485" t="n">
        <v>2632.33</v>
      </c>
      <c r="I2553" s="485" t="n">
        <v>0</v>
      </c>
      <c r="J2553" s="485" t="n">
        <v>47</v>
      </c>
      <c r="K2553" s="485" t="n">
        <v>20</v>
      </c>
      <c r="L2553" s="485" t="n">
        <v>1</v>
      </c>
      <c r="M2553" s="514" t="inlineStr">
        <is>
          <t>T</t>
        </is>
      </c>
    </row>
    <row r="2554">
      <c r="A2554" s="485" t="n">
        <v>36</v>
      </c>
      <c r="B2554" s="485" t="n">
        <v>7</v>
      </c>
      <c r="C2554" s="485" t="n">
        <v>2</v>
      </c>
      <c r="D2554" s="485" t="n">
        <v>20</v>
      </c>
      <c r="E2554" s="485" t="n">
        <v>1</v>
      </c>
      <c r="F2554" s="485" t="n">
        <v>1</v>
      </c>
      <c r="G2554" s="485" t="inlineStr">
        <is>
          <t>East-Down2</t>
        </is>
      </c>
      <c r="H2554" s="485" t="n">
        <v>0</v>
      </c>
      <c r="I2554" s="485" t="n">
        <v>0</v>
      </c>
      <c r="J2554" s="485" t="n">
        <v>0</v>
      </c>
      <c r="K2554" s="485" t="n">
        <v>0</v>
      </c>
      <c r="L2554" s="485" t="n">
        <v>0</v>
      </c>
      <c r="M2554" s="514" t="inlineStr">
        <is>
          <t>T</t>
        </is>
      </c>
    </row>
    <row r="2555">
      <c r="A2555" s="485" t="n">
        <v>36</v>
      </c>
      <c r="B2555" s="485" t="n">
        <v>7</v>
      </c>
      <c r="C2555" s="485" t="n">
        <v>2</v>
      </c>
      <c r="D2555" s="485" t="n">
        <v>20</v>
      </c>
      <c r="E2555" s="485" t="n">
        <v>1</v>
      </c>
      <c r="F2555" s="485" t="n">
        <v>1</v>
      </c>
      <c r="G2555" s="485" t="inlineStr">
        <is>
          <t>North-Left2</t>
        </is>
      </c>
      <c r="H2555" s="485" t="n">
        <v>0</v>
      </c>
      <c r="I2555" s="485" t="n">
        <v>0</v>
      </c>
      <c r="J2555" s="485" t="n">
        <v>0</v>
      </c>
      <c r="K2555" s="485" t="n">
        <v>0</v>
      </c>
      <c r="L2555" s="485" t="n">
        <v>0</v>
      </c>
      <c r="M2555" s="514" t="inlineStr">
        <is>
          <t>T</t>
        </is>
      </c>
    </row>
    <row r="2556">
      <c r="A2556" s="485" t="n">
        <v>36</v>
      </c>
      <c r="B2556" s="485" t="n">
        <v>7</v>
      </c>
      <c r="C2556" s="485" t="n">
        <v>2</v>
      </c>
      <c r="D2556" s="485" t="n">
        <v>20</v>
      </c>
      <c r="E2556" s="485" t="n">
        <v>1</v>
      </c>
      <c r="F2556" s="485" t="n">
        <v>1</v>
      </c>
      <c r="G2556" s="516" t="inlineStr">
        <is>
          <t>North-Left1</t>
        </is>
      </c>
      <c r="H2556" s="485" t="n">
        <v>2576.78</v>
      </c>
      <c r="I2556" s="485" t="n">
        <v>88</v>
      </c>
      <c r="J2556" s="485" t="n">
        <v>30</v>
      </c>
      <c r="K2556" s="485" t="n">
        <v>5</v>
      </c>
      <c r="L2556" s="485" t="n">
        <v>1</v>
      </c>
      <c r="M2556" s="514" t="inlineStr">
        <is>
          <t>T</t>
        </is>
      </c>
    </row>
    <row r="2557">
      <c r="A2557" s="485" t="n">
        <v>36</v>
      </c>
      <c r="B2557" s="485" t="n">
        <v>7</v>
      </c>
      <c r="C2557" s="485" t="n">
        <v>2</v>
      </c>
      <c r="D2557" s="485" t="n">
        <v>20</v>
      </c>
      <c r="E2557" s="485" t="n">
        <v>1</v>
      </c>
      <c r="F2557" s="485" t="n">
        <v>1</v>
      </c>
      <c r="G2557" s="485" t="inlineStr">
        <is>
          <t>North-Right1</t>
        </is>
      </c>
      <c r="H2557" s="485" t="n">
        <v>2579.61</v>
      </c>
      <c r="I2557" s="485" t="n">
        <v>88</v>
      </c>
      <c r="J2557" s="485" t="n">
        <v>30</v>
      </c>
      <c r="K2557" s="485" t="n">
        <v>34</v>
      </c>
      <c r="L2557" s="485" t="n">
        <v>1</v>
      </c>
      <c r="M2557" s="514" t="inlineStr">
        <is>
          <t>T</t>
        </is>
      </c>
    </row>
    <row r="2558">
      <c r="A2558" s="485" t="n">
        <v>36</v>
      </c>
      <c r="B2558" s="485" t="n">
        <v>7</v>
      </c>
      <c r="C2558" s="485" t="n">
        <v>2</v>
      </c>
      <c r="D2558" s="485" t="n">
        <v>20</v>
      </c>
      <c r="E2558" s="485" t="n">
        <v>1</v>
      </c>
      <c r="F2558" s="485" t="n">
        <v>1</v>
      </c>
      <c r="G2558" s="485" t="inlineStr">
        <is>
          <t>North-Right2</t>
        </is>
      </c>
      <c r="H2558" s="485" t="n">
        <v>0</v>
      </c>
      <c r="I2558" s="485" t="n">
        <v>0</v>
      </c>
      <c r="J2558" s="485" t="n">
        <v>0</v>
      </c>
      <c r="K2558" s="485" t="n">
        <v>0</v>
      </c>
      <c r="L2558" s="485" t="n">
        <v>0</v>
      </c>
      <c r="M2558" s="514" t="inlineStr">
        <is>
          <t>T</t>
        </is>
      </c>
    </row>
    <row r="2559">
      <c r="A2559" s="485" t="n">
        <v>36</v>
      </c>
      <c r="B2559" s="485" t="n">
        <v>7</v>
      </c>
      <c r="C2559" s="485" t="n">
        <v>2</v>
      </c>
      <c r="D2559" s="485" t="n">
        <v>20</v>
      </c>
      <c r="E2559" s="485" t="n">
        <v>1</v>
      </c>
      <c r="F2559" s="485" t="n">
        <v>1</v>
      </c>
      <c r="G2559" s="485" t="inlineStr">
        <is>
          <t>South-Left2</t>
        </is>
      </c>
      <c r="H2559" s="485" t="n">
        <v>0</v>
      </c>
      <c r="I2559" s="485" t="n">
        <v>0</v>
      </c>
      <c r="J2559" s="485" t="n">
        <v>0</v>
      </c>
      <c r="K2559" s="485" t="n">
        <v>0</v>
      </c>
      <c r="L2559" s="485" t="n">
        <v>0</v>
      </c>
      <c r="M2559" s="514" t="inlineStr">
        <is>
          <t>T</t>
        </is>
      </c>
    </row>
    <row r="2560">
      <c r="A2560" s="485" t="n">
        <v>36</v>
      </c>
      <c r="B2560" s="485" t="n">
        <v>7</v>
      </c>
      <c r="C2560" s="485" t="n">
        <v>2</v>
      </c>
      <c r="D2560" s="485" t="n">
        <v>20</v>
      </c>
      <c r="E2560" s="485" t="n">
        <v>1</v>
      </c>
      <c r="F2560" s="485" t="n">
        <v>1</v>
      </c>
      <c r="G2560" s="516" t="inlineStr">
        <is>
          <t>South-Left1</t>
        </is>
      </c>
      <c r="H2560" s="485" t="n">
        <v>2657.59</v>
      </c>
      <c r="I2560" s="485" t="n">
        <v>89</v>
      </c>
      <c r="J2560" s="485" t="n">
        <v>35</v>
      </c>
      <c r="K2560" s="485" t="n">
        <v>32</v>
      </c>
      <c r="L2560" s="485" t="n">
        <v>2</v>
      </c>
      <c r="M2560" s="514" t="inlineStr">
        <is>
          <t>T</t>
        </is>
      </c>
    </row>
    <row r="2561">
      <c r="A2561" s="485" t="n">
        <v>36</v>
      </c>
      <c r="B2561" s="485" t="n">
        <v>7</v>
      </c>
      <c r="C2561" s="485" t="n">
        <v>2</v>
      </c>
      <c r="D2561" s="485" t="n">
        <v>20</v>
      </c>
      <c r="E2561" s="485" t="n">
        <v>1</v>
      </c>
      <c r="F2561" s="485" t="n">
        <v>1</v>
      </c>
      <c r="G2561" s="485" t="inlineStr">
        <is>
          <t>South-Right1</t>
        </is>
      </c>
      <c r="H2561" s="485" t="n">
        <v>2657.61</v>
      </c>
      <c r="I2561" s="485" t="n">
        <v>89</v>
      </c>
      <c r="J2561" s="485" t="n">
        <v>35</v>
      </c>
      <c r="K2561" s="485" t="n">
        <v>8</v>
      </c>
      <c r="L2561" s="485" t="n">
        <v>2</v>
      </c>
      <c r="M2561" s="514" t="inlineStr">
        <is>
          <t>T</t>
        </is>
      </c>
    </row>
    <row r="2562">
      <c r="A2562" s="485" t="n">
        <v>36</v>
      </c>
      <c r="B2562" s="485" t="n">
        <v>7</v>
      </c>
      <c r="C2562" s="485" t="n">
        <v>2</v>
      </c>
      <c r="D2562" s="485" t="n">
        <v>20</v>
      </c>
      <c r="E2562" s="485" t="n">
        <v>1</v>
      </c>
      <c r="F2562" s="485" t="n">
        <v>1</v>
      </c>
      <c r="G2562" s="485" t="inlineStr">
        <is>
          <t>South-Right2</t>
        </is>
      </c>
      <c r="H2562" s="485" t="n">
        <v>0</v>
      </c>
      <c r="I2562" s="485" t="n">
        <v>0</v>
      </c>
      <c r="J2562" s="485" t="n">
        <v>0</v>
      </c>
      <c r="K2562" s="485" t="n">
        <v>0</v>
      </c>
      <c r="L2562" s="485" t="n">
        <v>0</v>
      </c>
      <c r="M2562" s="514" t="inlineStr">
        <is>
          <t>T</t>
        </is>
      </c>
    </row>
    <row r="2563">
      <c r="A2563" s="486" t="n">
        <v>36</v>
      </c>
      <c r="B2563" s="486" t="n">
        <v>9</v>
      </c>
      <c r="C2563" s="486" t="n">
        <v>2</v>
      </c>
      <c r="D2563" s="486" t="n">
        <v>19</v>
      </c>
      <c r="E2563" s="486" t="n">
        <v>1</v>
      </c>
      <c r="F2563" s="486" t="n">
        <v>1</v>
      </c>
      <c r="G2563" s="486" t="inlineStr">
        <is>
          <t>West-Up2</t>
        </is>
      </c>
      <c r="H2563" s="486" t="n">
        <v>0</v>
      </c>
      <c r="I2563" s="486" t="n">
        <v>0</v>
      </c>
      <c r="J2563" s="486" t="n">
        <v>0</v>
      </c>
      <c r="K2563" s="486" t="n">
        <v>0</v>
      </c>
      <c r="L2563" s="486" t="n">
        <v>0</v>
      </c>
      <c r="M2563" s="487" t="inlineStr">
        <is>
          <t>G</t>
        </is>
      </c>
    </row>
    <row r="2564">
      <c r="A2564" s="486" t="n">
        <v>36</v>
      </c>
      <c r="B2564" s="486" t="n">
        <v>9</v>
      </c>
      <c r="C2564" s="486" t="n">
        <v>2</v>
      </c>
      <c r="D2564" s="486" t="n">
        <v>19</v>
      </c>
      <c r="E2564" s="486" t="n">
        <v>1</v>
      </c>
      <c r="F2564" s="486" t="n">
        <v>1</v>
      </c>
      <c r="G2564" s="475" t="inlineStr">
        <is>
          <t>West-Up1</t>
        </is>
      </c>
      <c r="H2564" s="486" t="n">
        <v>2670.26</v>
      </c>
      <c r="I2564" s="486" t="n">
        <v>1</v>
      </c>
      <c r="J2564" s="486" t="n">
        <v>39</v>
      </c>
      <c r="K2564" s="486" t="n">
        <v>26</v>
      </c>
      <c r="L2564" s="486" t="n">
        <v>4</v>
      </c>
      <c r="M2564" s="487" t="inlineStr">
        <is>
          <t>G</t>
        </is>
      </c>
    </row>
    <row r="2565">
      <c r="A2565" s="486" t="n">
        <v>36</v>
      </c>
      <c r="B2565" s="486" t="n">
        <v>9</v>
      </c>
      <c r="C2565" s="486" t="n">
        <v>2</v>
      </c>
      <c r="D2565" s="486" t="n">
        <v>19</v>
      </c>
      <c r="E2565" s="486" t="n">
        <v>1</v>
      </c>
      <c r="F2565" s="486" t="n">
        <v>1</v>
      </c>
      <c r="G2565" s="486" t="inlineStr">
        <is>
          <t>West-Down1</t>
        </is>
      </c>
      <c r="H2565" s="486" t="n">
        <v>2671.02</v>
      </c>
      <c r="I2565" s="486" t="n">
        <v>0</v>
      </c>
      <c r="J2565" s="486" t="n">
        <v>0</v>
      </c>
      <c r="K2565" s="486" t="n">
        <v>0</v>
      </c>
      <c r="L2565" s="486" t="n">
        <v>4</v>
      </c>
      <c r="M2565" s="487" t="inlineStr">
        <is>
          <t>G</t>
        </is>
      </c>
    </row>
    <row r="2566">
      <c r="A2566" s="486" t="n">
        <v>36</v>
      </c>
      <c r="B2566" s="486" t="n">
        <v>9</v>
      </c>
      <c r="C2566" s="486" t="n">
        <v>2</v>
      </c>
      <c r="D2566" s="486" t="n">
        <v>19</v>
      </c>
      <c r="E2566" s="486" t="n">
        <v>1</v>
      </c>
      <c r="F2566" s="486" t="n">
        <v>1</v>
      </c>
      <c r="G2566" s="486" t="inlineStr">
        <is>
          <t>West-Down2</t>
        </is>
      </c>
      <c r="H2566" s="486" t="n">
        <v>0</v>
      </c>
      <c r="I2566" s="486" t="n">
        <v>0</v>
      </c>
      <c r="J2566" s="486" t="n">
        <v>0</v>
      </c>
      <c r="K2566" s="486" t="n">
        <v>0</v>
      </c>
      <c r="L2566" s="486" t="n">
        <v>0</v>
      </c>
      <c r="M2566" s="487" t="inlineStr">
        <is>
          <t>G</t>
        </is>
      </c>
    </row>
    <row r="2567">
      <c r="A2567" s="486" t="n">
        <v>36</v>
      </c>
      <c r="B2567" s="486" t="n">
        <v>9</v>
      </c>
      <c r="C2567" s="486" t="n">
        <v>2</v>
      </c>
      <c r="D2567" s="486" t="n">
        <v>19</v>
      </c>
      <c r="E2567" s="486" t="n">
        <v>1</v>
      </c>
      <c r="F2567" s="486" t="n">
        <v>1</v>
      </c>
      <c r="G2567" s="486" t="inlineStr">
        <is>
          <t>East-Up2</t>
        </is>
      </c>
      <c r="H2567" s="486" t="n">
        <v>0</v>
      </c>
      <c r="I2567" s="486" t="n">
        <v>0</v>
      </c>
      <c r="J2567" s="486" t="n">
        <v>0</v>
      </c>
      <c r="K2567" s="486" t="n">
        <v>0</v>
      </c>
      <c r="L2567" s="486" t="n">
        <v>0</v>
      </c>
      <c r="M2567" s="487" t="inlineStr">
        <is>
          <t>G</t>
        </is>
      </c>
    </row>
    <row r="2568">
      <c r="A2568" s="486" t="n">
        <v>36</v>
      </c>
      <c r="B2568" s="486" t="n">
        <v>9</v>
      </c>
      <c r="C2568" s="486" t="n">
        <v>2</v>
      </c>
      <c r="D2568" s="486" t="n">
        <v>19</v>
      </c>
      <c r="E2568" s="486" t="n">
        <v>1</v>
      </c>
      <c r="F2568" s="486" t="n">
        <v>1</v>
      </c>
      <c r="G2568" s="475" t="inlineStr">
        <is>
          <t>East-Up1</t>
        </is>
      </c>
      <c r="H2568" s="486" t="n">
        <v>2621.5</v>
      </c>
      <c r="I2568" s="486" t="n">
        <v>0</v>
      </c>
      <c r="J2568" s="486" t="n">
        <v>49</v>
      </c>
      <c r="K2568" s="486" t="n">
        <v>0</v>
      </c>
      <c r="L2568" s="486" t="n">
        <v>4</v>
      </c>
      <c r="M2568" s="487" t="inlineStr">
        <is>
          <t>G</t>
        </is>
      </c>
    </row>
    <row r="2569">
      <c r="A2569" s="486" t="n">
        <v>36</v>
      </c>
      <c r="B2569" s="486" t="n">
        <v>9</v>
      </c>
      <c r="C2569" s="486" t="n">
        <v>2</v>
      </c>
      <c r="D2569" s="486" t="n">
        <v>19</v>
      </c>
      <c r="E2569" s="486" t="n">
        <v>1</v>
      </c>
      <c r="F2569" s="486" t="n">
        <v>1</v>
      </c>
      <c r="G2569" s="486" t="inlineStr">
        <is>
          <t>East-Down1</t>
        </is>
      </c>
      <c r="H2569" s="486" t="n">
        <v>2673</v>
      </c>
      <c r="I2569" s="486" t="n">
        <v>0</v>
      </c>
      <c r="J2569" s="486" t="n">
        <v>0</v>
      </c>
      <c r="K2569" s="486" t="n">
        <v>0</v>
      </c>
      <c r="L2569" s="486" t="n">
        <v>4</v>
      </c>
      <c r="M2569" s="487" t="inlineStr">
        <is>
          <t>G</t>
        </is>
      </c>
    </row>
    <row r="2570">
      <c r="A2570" s="486" t="n">
        <v>36</v>
      </c>
      <c r="B2570" s="486" t="n">
        <v>9</v>
      </c>
      <c r="C2570" s="486" t="n">
        <v>2</v>
      </c>
      <c r="D2570" s="486" t="n">
        <v>19</v>
      </c>
      <c r="E2570" s="486" t="n">
        <v>1</v>
      </c>
      <c r="F2570" s="486" t="n">
        <v>1</v>
      </c>
      <c r="G2570" s="486" t="inlineStr">
        <is>
          <t>East-Down2</t>
        </is>
      </c>
      <c r="H2570" s="486" t="n">
        <v>0</v>
      </c>
      <c r="I2570" s="486" t="n">
        <v>0</v>
      </c>
      <c r="J2570" s="486" t="n">
        <v>0</v>
      </c>
      <c r="K2570" s="486" t="n">
        <v>0</v>
      </c>
      <c r="L2570" s="486" t="n">
        <v>0</v>
      </c>
      <c r="M2570" s="487" t="inlineStr">
        <is>
          <t>G</t>
        </is>
      </c>
    </row>
    <row r="2571">
      <c r="A2571" s="486" t="n">
        <v>36</v>
      </c>
      <c r="B2571" s="486" t="n">
        <v>9</v>
      </c>
      <c r="C2571" s="486" t="n">
        <v>2</v>
      </c>
      <c r="D2571" s="486" t="n">
        <v>19</v>
      </c>
      <c r="E2571" s="486" t="n">
        <v>1</v>
      </c>
      <c r="F2571" s="486" t="n">
        <v>1</v>
      </c>
      <c r="G2571" s="486" t="inlineStr">
        <is>
          <t>North-Left2</t>
        </is>
      </c>
      <c r="H2571" s="486" t="n">
        <v>0</v>
      </c>
      <c r="I2571" s="486" t="n">
        <v>0</v>
      </c>
      <c r="J2571" s="486" t="n">
        <v>0</v>
      </c>
      <c r="K2571" s="486" t="n">
        <v>0</v>
      </c>
      <c r="L2571" s="486" t="n">
        <v>0</v>
      </c>
      <c r="M2571" s="487" t="inlineStr">
        <is>
          <t>G</t>
        </is>
      </c>
    </row>
    <row r="2572">
      <c r="A2572" s="486" t="n">
        <v>36</v>
      </c>
      <c r="B2572" s="486" t="n">
        <v>9</v>
      </c>
      <c r="C2572" s="486" t="n">
        <v>2</v>
      </c>
      <c r="D2572" s="486" t="n">
        <v>19</v>
      </c>
      <c r="E2572" s="486" t="n">
        <v>1</v>
      </c>
      <c r="F2572" s="486" t="n">
        <v>1</v>
      </c>
      <c r="G2572" s="475" t="inlineStr">
        <is>
          <t>North-Left1</t>
        </is>
      </c>
      <c r="H2572" s="486" t="n">
        <v>2683.46</v>
      </c>
      <c r="I2572" s="486" t="n">
        <v>89</v>
      </c>
      <c r="J2572" s="486" t="n">
        <v>20</v>
      </c>
      <c r="K2572" s="486" t="n">
        <v>20</v>
      </c>
      <c r="L2572" s="486" t="n">
        <v>3</v>
      </c>
      <c r="M2572" s="487" t="inlineStr">
        <is>
          <t>G</t>
        </is>
      </c>
    </row>
    <row r="2573">
      <c r="A2573" s="486" t="n">
        <v>36</v>
      </c>
      <c r="B2573" s="486" t="n">
        <v>9</v>
      </c>
      <c r="C2573" s="486" t="n">
        <v>2</v>
      </c>
      <c r="D2573" s="486" t="n">
        <v>19</v>
      </c>
      <c r="E2573" s="486" t="n">
        <v>1</v>
      </c>
      <c r="F2573" s="486" t="n">
        <v>1</v>
      </c>
      <c r="G2573" s="486" t="inlineStr">
        <is>
          <t>North-Right1</t>
        </is>
      </c>
      <c r="H2573" s="486" t="n">
        <v>2685.12</v>
      </c>
      <c r="I2573" s="486" t="n">
        <v>89</v>
      </c>
      <c r="J2573" s="486" t="n">
        <v>19</v>
      </c>
      <c r="K2573" s="486" t="n">
        <v>58</v>
      </c>
      <c r="L2573" s="486" t="n">
        <v>3</v>
      </c>
      <c r="M2573" s="487" t="inlineStr">
        <is>
          <t>G</t>
        </is>
      </c>
    </row>
    <row r="2574">
      <c r="A2574" s="486" t="n">
        <v>36</v>
      </c>
      <c r="B2574" s="486" t="n">
        <v>9</v>
      </c>
      <c r="C2574" s="486" t="n">
        <v>2</v>
      </c>
      <c r="D2574" s="486" t="n">
        <v>19</v>
      </c>
      <c r="E2574" s="486" t="n">
        <v>1</v>
      </c>
      <c r="F2574" s="486" t="n">
        <v>1</v>
      </c>
      <c r="G2574" s="486" t="inlineStr">
        <is>
          <t>North-Right2</t>
        </is>
      </c>
      <c r="H2574" s="486" t="n">
        <v>0</v>
      </c>
      <c r="I2574" s="486" t="n">
        <v>0</v>
      </c>
      <c r="J2574" s="486" t="n">
        <v>0</v>
      </c>
      <c r="K2574" s="486" t="n">
        <v>0</v>
      </c>
      <c r="L2574" s="486" t="n">
        <v>0</v>
      </c>
      <c r="M2574" s="487" t="inlineStr">
        <is>
          <t>G</t>
        </is>
      </c>
    </row>
    <row r="2575">
      <c r="A2575" s="486" t="n">
        <v>36</v>
      </c>
      <c r="B2575" s="486" t="n">
        <v>9</v>
      </c>
      <c r="C2575" s="486" t="n">
        <v>2</v>
      </c>
      <c r="D2575" s="486" t="n">
        <v>19</v>
      </c>
      <c r="E2575" s="486" t="n">
        <v>1</v>
      </c>
      <c r="F2575" s="486" t="n">
        <v>1</v>
      </c>
      <c r="G2575" s="486" t="inlineStr">
        <is>
          <t>South-Left2</t>
        </is>
      </c>
      <c r="H2575" s="486" t="n">
        <v>0</v>
      </c>
      <c r="I2575" s="486" t="n">
        <v>0</v>
      </c>
      <c r="J2575" s="486" t="n">
        <v>0</v>
      </c>
      <c r="K2575" s="486" t="n">
        <v>0</v>
      </c>
      <c r="L2575" s="486" t="n">
        <v>0</v>
      </c>
      <c r="M2575" s="487" t="inlineStr">
        <is>
          <t>G</t>
        </is>
      </c>
    </row>
    <row r="2576">
      <c r="A2576" s="486" t="n">
        <v>36</v>
      </c>
      <c r="B2576" s="486" t="n">
        <v>9</v>
      </c>
      <c r="C2576" s="486" t="n">
        <v>2</v>
      </c>
      <c r="D2576" s="486" t="n">
        <v>19</v>
      </c>
      <c r="E2576" s="486" t="n">
        <v>1</v>
      </c>
      <c r="F2576" s="486" t="n">
        <v>1</v>
      </c>
      <c r="G2576" s="475" t="inlineStr">
        <is>
          <t>South-Left1</t>
        </is>
      </c>
      <c r="H2576" s="486" t="n">
        <v>2663.1</v>
      </c>
      <c r="I2576" s="486" t="n">
        <v>90</v>
      </c>
      <c r="J2576" s="486" t="n">
        <v>0</v>
      </c>
      <c r="K2576" s="486" t="n">
        <v>0</v>
      </c>
      <c r="L2576" s="486" t="n">
        <v>3</v>
      </c>
      <c r="M2576" s="487" t="inlineStr">
        <is>
          <t>G</t>
        </is>
      </c>
    </row>
    <row r="2577">
      <c r="A2577" s="486" t="n">
        <v>36</v>
      </c>
      <c r="B2577" s="486" t="n">
        <v>9</v>
      </c>
      <c r="C2577" s="486" t="n">
        <v>2</v>
      </c>
      <c r="D2577" s="486" t="n">
        <v>19</v>
      </c>
      <c r="E2577" s="486" t="n">
        <v>1</v>
      </c>
      <c r="F2577" s="486" t="n">
        <v>1</v>
      </c>
      <c r="G2577" s="486" t="inlineStr">
        <is>
          <t>South-Right1</t>
        </is>
      </c>
      <c r="H2577" s="486" t="n">
        <v>2653.2</v>
      </c>
      <c r="I2577" s="486" t="n">
        <v>90</v>
      </c>
      <c r="J2577" s="486" t="n">
        <v>0</v>
      </c>
      <c r="K2577" s="486" t="n">
        <v>0</v>
      </c>
      <c r="L2577" s="486" t="n">
        <v>3</v>
      </c>
      <c r="M2577" s="487" t="inlineStr">
        <is>
          <t>G</t>
        </is>
      </c>
    </row>
    <row r="2578">
      <c r="A2578" s="486" t="n">
        <v>36</v>
      </c>
      <c r="B2578" s="486" t="n">
        <v>9</v>
      </c>
      <c r="C2578" s="486" t="n">
        <v>2</v>
      </c>
      <c r="D2578" s="486" t="n">
        <v>19</v>
      </c>
      <c r="E2578" s="486" t="n">
        <v>1</v>
      </c>
      <c r="F2578" s="486" t="n">
        <v>1</v>
      </c>
      <c r="G2578" s="486" t="inlineStr">
        <is>
          <t>South-Right2</t>
        </is>
      </c>
      <c r="H2578" s="486" t="n">
        <v>0</v>
      </c>
      <c r="I2578" s="486" t="n">
        <v>0</v>
      </c>
      <c r="J2578" s="486" t="n">
        <v>0</v>
      </c>
      <c r="K2578" s="486" t="n">
        <v>0</v>
      </c>
      <c r="L2578" s="486" t="n">
        <v>0</v>
      </c>
      <c r="M2578" s="487" t="inlineStr">
        <is>
          <t>G</t>
        </is>
      </c>
    </row>
    <row r="2579">
      <c r="A2579" s="486" t="n">
        <v>36</v>
      </c>
      <c r="B2579" s="486" t="n">
        <v>2</v>
      </c>
      <c r="C2579" s="486" t="n">
        <v>2</v>
      </c>
      <c r="D2579" s="486" t="n">
        <v>1</v>
      </c>
      <c r="E2579" s="486" t="n">
        <v>2</v>
      </c>
      <c r="F2579" s="486" t="n">
        <v>2</v>
      </c>
      <c r="G2579" s="486" t="inlineStr">
        <is>
          <t>West-Up2</t>
        </is>
      </c>
      <c r="H2579" s="486" t="n">
        <v>1310.02</v>
      </c>
      <c r="I2579" s="486" t="n">
        <v>0</v>
      </c>
      <c r="J2579" s="486" t="n">
        <v>13</v>
      </c>
      <c r="K2579" s="486" t="n">
        <v>46</v>
      </c>
      <c r="L2579" s="486" t="n">
        <v>2</v>
      </c>
      <c r="M2579" s="487" t="inlineStr">
        <is>
          <t>T</t>
        </is>
      </c>
    </row>
    <row r="2580">
      <c r="A2580" s="486" t="n">
        <v>36</v>
      </c>
      <c r="B2580" s="486" t="n">
        <v>2</v>
      </c>
      <c r="C2580" s="486" t="n">
        <v>2</v>
      </c>
      <c r="D2580" s="486" t="n">
        <v>1</v>
      </c>
      <c r="E2580" s="486" t="n">
        <v>2</v>
      </c>
      <c r="F2580" s="486" t="n">
        <v>2</v>
      </c>
      <c r="G2580" s="475" t="inlineStr">
        <is>
          <t>West-Up1</t>
        </is>
      </c>
      <c r="H2580" s="486" t="n">
        <v>1310.02</v>
      </c>
      <c r="I2580" s="486" t="n">
        <v>0</v>
      </c>
      <c r="J2580" s="486" t="n">
        <v>13</v>
      </c>
      <c r="K2580" s="486" t="n">
        <v>46</v>
      </c>
      <c r="L2580" s="486" t="n">
        <v>2</v>
      </c>
      <c r="M2580" s="487" t="inlineStr">
        <is>
          <t>T</t>
        </is>
      </c>
    </row>
    <row r="2581">
      <c r="A2581" s="486" t="n">
        <v>36</v>
      </c>
      <c r="B2581" s="486" t="n">
        <v>2</v>
      </c>
      <c r="C2581" s="486" t="n">
        <v>2</v>
      </c>
      <c r="D2581" s="486" t="n">
        <v>1</v>
      </c>
      <c r="E2581" s="486" t="n">
        <v>2</v>
      </c>
      <c r="F2581" s="486" t="n">
        <v>2</v>
      </c>
      <c r="G2581" s="486" t="inlineStr">
        <is>
          <t>West-Down1</t>
        </is>
      </c>
      <c r="H2581" s="486" t="n">
        <v>2686.33</v>
      </c>
      <c r="I2581" s="486" t="n">
        <v>0</v>
      </c>
      <c r="J2581" s="486" t="n">
        <v>28</v>
      </c>
      <c r="K2581" s="486" t="n">
        <v>37</v>
      </c>
      <c r="L2581" s="486" t="n">
        <v>4</v>
      </c>
      <c r="M2581" s="487" t="inlineStr">
        <is>
          <t>T</t>
        </is>
      </c>
    </row>
    <row r="2582">
      <c r="A2582" s="486" t="n">
        <v>36</v>
      </c>
      <c r="B2582" s="486" t="n">
        <v>2</v>
      </c>
      <c r="C2582" s="486" t="n">
        <v>2</v>
      </c>
      <c r="D2582" s="486" t="n">
        <v>1</v>
      </c>
      <c r="E2582" s="486" t="n">
        <v>2</v>
      </c>
      <c r="F2582" s="486" t="n">
        <v>2</v>
      </c>
      <c r="G2582" s="486" t="inlineStr">
        <is>
          <t>West-Down2</t>
        </is>
      </c>
      <c r="H2582" s="486" t="n">
        <v>0</v>
      </c>
      <c r="I2582" s="486" t="n">
        <v>0</v>
      </c>
      <c r="J2582" s="486" t="n">
        <v>0</v>
      </c>
      <c r="K2582" s="486" t="n">
        <v>0</v>
      </c>
      <c r="L2582" s="486" t="n">
        <v>0</v>
      </c>
      <c r="M2582" s="487" t="inlineStr">
        <is>
          <t>T</t>
        </is>
      </c>
    </row>
    <row r="2583">
      <c r="A2583" s="486" t="n">
        <v>36</v>
      </c>
      <c r="B2583" s="486" t="n">
        <v>2</v>
      </c>
      <c r="C2583" s="486" t="n">
        <v>2</v>
      </c>
      <c r="D2583" s="486" t="n">
        <v>1</v>
      </c>
      <c r="E2583" s="486" t="n">
        <v>2</v>
      </c>
      <c r="F2583" s="486" t="n">
        <v>2</v>
      </c>
      <c r="G2583" s="486" t="inlineStr">
        <is>
          <t>East-Up2</t>
        </is>
      </c>
      <c r="H2583" s="486" t="n">
        <v>1327.14</v>
      </c>
      <c r="I2583" s="486" t="n">
        <v>0</v>
      </c>
      <c r="J2583" s="486" t="n">
        <v>8</v>
      </c>
      <c r="K2583" s="486" t="n">
        <v>37</v>
      </c>
      <c r="L2583" s="486" t="n">
        <v>4</v>
      </c>
      <c r="M2583" s="487" t="inlineStr">
        <is>
          <t>T</t>
        </is>
      </c>
    </row>
    <row r="2584">
      <c r="A2584" s="486" t="n">
        <v>36</v>
      </c>
      <c r="B2584" s="486" t="n">
        <v>2</v>
      </c>
      <c r="C2584" s="486" t="n">
        <v>2</v>
      </c>
      <c r="D2584" s="486" t="n">
        <v>1</v>
      </c>
      <c r="E2584" s="486" t="n">
        <v>2</v>
      </c>
      <c r="F2584" s="486" t="n">
        <v>2</v>
      </c>
      <c r="G2584" s="475" t="inlineStr">
        <is>
          <t>East-Up1</t>
        </is>
      </c>
      <c r="H2584" s="486" t="n">
        <v>1327.14</v>
      </c>
      <c r="I2584" s="486" t="n">
        <v>0</v>
      </c>
      <c r="J2584" s="486" t="n">
        <v>8</v>
      </c>
      <c r="K2584" s="486" t="n">
        <v>37</v>
      </c>
      <c r="L2584" s="486" t="n">
        <v>4</v>
      </c>
      <c r="M2584" s="487" t="inlineStr">
        <is>
          <t>T</t>
        </is>
      </c>
    </row>
    <row r="2585">
      <c r="A2585" s="486" t="n">
        <v>36</v>
      </c>
      <c r="B2585" s="486" t="n">
        <v>2</v>
      </c>
      <c r="C2585" s="486" t="n">
        <v>2</v>
      </c>
      <c r="D2585" s="486" t="n">
        <v>1</v>
      </c>
      <c r="E2585" s="486" t="n">
        <v>2</v>
      </c>
      <c r="F2585" s="486" t="n">
        <v>2</v>
      </c>
      <c r="G2585" s="486" t="inlineStr">
        <is>
          <t>East-Down1</t>
        </is>
      </c>
      <c r="H2585" s="486" t="n">
        <v>2654.29</v>
      </c>
      <c r="I2585" s="486" t="n">
        <v>0</v>
      </c>
      <c r="J2585" s="486" t="n">
        <v>8</v>
      </c>
      <c r="K2585" s="486" t="n">
        <v>37</v>
      </c>
      <c r="L2585" s="486" t="n">
        <v>4</v>
      </c>
      <c r="M2585" s="487" t="inlineStr">
        <is>
          <t>T</t>
        </is>
      </c>
    </row>
    <row r="2586">
      <c r="A2586" s="486" t="n">
        <v>36</v>
      </c>
      <c r="B2586" s="486" t="n">
        <v>2</v>
      </c>
      <c r="C2586" s="486" t="n">
        <v>2</v>
      </c>
      <c r="D2586" s="486" t="n">
        <v>1</v>
      </c>
      <c r="E2586" s="486" t="n">
        <v>2</v>
      </c>
      <c r="F2586" s="486" t="n">
        <v>2</v>
      </c>
      <c r="G2586" s="486" t="inlineStr">
        <is>
          <t>East-Down2</t>
        </is>
      </c>
      <c r="H2586" s="486" t="n">
        <v>0</v>
      </c>
      <c r="I2586" s="486" t="n">
        <v>0</v>
      </c>
      <c r="J2586" s="486" t="n">
        <v>0</v>
      </c>
      <c r="K2586" s="486" t="n">
        <v>0</v>
      </c>
      <c r="L2586" s="486" t="n">
        <v>0</v>
      </c>
      <c r="M2586" s="487" t="inlineStr">
        <is>
          <t>T</t>
        </is>
      </c>
    </row>
    <row r="2587">
      <c r="A2587" s="486" t="n">
        <v>36</v>
      </c>
      <c r="B2587" s="486" t="n">
        <v>2</v>
      </c>
      <c r="C2587" s="486" t="n">
        <v>2</v>
      </c>
      <c r="D2587" s="486" t="n">
        <v>1</v>
      </c>
      <c r="E2587" s="486" t="n">
        <v>2</v>
      </c>
      <c r="F2587" s="486" t="n">
        <v>2</v>
      </c>
      <c r="G2587" s="486" t="inlineStr">
        <is>
          <t>North-Left2</t>
        </is>
      </c>
      <c r="H2587" s="486" t="n">
        <v>1316.28</v>
      </c>
      <c r="I2587" s="486" t="n">
        <v>89</v>
      </c>
      <c r="J2587" s="486" t="n">
        <v>55</v>
      </c>
      <c r="K2587" s="486" t="n">
        <v>10</v>
      </c>
      <c r="L2587" s="486" t="n">
        <v>1</v>
      </c>
      <c r="M2587" s="487" t="inlineStr">
        <is>
          <t>T</t>
        </is>
      </c>
    </row>
    <row r="2588">
      <c r="A2588" s="486" t="n">
        <v>36</v>
      </c>
      <c r="B2588" s="486" t="n">
        <v>2</v>
      </c>
      <c r="C2588" s="486" t="n">
        <v>2</v>
      </c>
      <c r="D2588" s="486" t="n">
        <v>1</v>
      </c>
      <c r="E2588" s="486" t="n">
        <v>2</v>
      </c>
      <c r="F2588" s="486" t="n">
        <v>2</v>
      </c>
      <c r="G2588" s="475" t="inlineStr">
        <is>
          <t>North-Left1</t>
        </is>
      </c>
      <c r="H2588" s="486" t="n">
        <v>1316.28</v>
      </c>
      <c r="I2588" s="486" t="n">
        <v>89</v>
      </c>
      <c r="J2588" s="486" t="n">
        <v>55</v>
      </c>
      <c r="K2588" s="486" t="n">
        <v>10</v>
      </c>
      <c r="L2588" s="486" t="n">
        <v>1</v>
      </c>
      <c r="M2588" s="487" t="inlineStr">
        <is>
          <t>T</t>
        </is>
      </c>
    </row>
    <row r="2589">
      <c r="A2589" s="486" t="n">
        <v>36</v>
      </c>
      <c r="B2589" s="486" t="n">
        <v>2</v>
      </c>
      <c r="C2589" s="486" t="n">
        <v>2</v>
      </c>
      <c r="D2589" s="486" t="n">
        <v>1</v>
      </c>
      <c r="E2589" s="486" t="n">
        <v>2</v>
      </c>
      <c r="F2589" s="486" t="n">
        <v>2</v>
      </c>
      <c r="G2589" s="486" t="inlineStr">
        <is>
          <t>North-Right1</t>
        </is>
      </c>
      <c r="H2589" s="486" t="n">
        <v>1320.27</v>
      </c>
      <c r="I2589" s="486" t="n">
        <v>89</v>
      </c>
      <c r="J2589" s="486" t="n">
        <v>55</v>
      </c>
      <c r="K2589" s="486" t="n">
        <v>10</v>
      </c>
      <c r="L2589" s="486" t="n">
        <v>1</v>
      </c>
      <c r="M2589" s="487" t="inlineStr">
        <is>
          <t>T</t>
        </is>
      </c>
    </row>
    <row r="2590">
      <c r="A2590" s="486" t="n">
        <v>36</v>
      </c>
      <c r="B2590" s="486" t="n">
        <v>2</v>
      </c>
      <c r="C2590" s="486" t="n">
        <v>2</v>
      </c>
      <c r="D2590" s="486" t="n">
        <v>1</v>
      </c>
      <c r="E2590" s="486" t="n">
        <v>2</v>
      </c>
      <c r="F2590" s="486" t="n">
        <v>2</v>
      </c>
      <c r="G2590" s="486" t="inlineStr">
        <is>
          <t>North-Right2</t>
        </is>
      </c>
      <c r="H2590" s="486" t="n">
        <v>1333.38</v>
      </c>
      <c r="I2590" s="486" t="n">
        <v>89</v>
      </c>
      <c r="J2590" s="486" t="n">
        <v>59</v>
      </c>
      <c r="K2590" s="486" t="n">
        <v>23</v>
      </c>
      <c r="L2590" s="486" t="n">
        <v>1</v>
      </c>
      <c r="M2590" s="487" t="inlineStr">
        <is>
          <t>T</t>
        </is>
      </c>
    </row>
    <row r="2591">
      <c r="A2591" s="486" t="n">
        <v>36</v>
      </c>
      <c r="B2591" s="486" t="n">
        <v>2</v>
      </c>
      <c r="C2591" s="486" t="n">
        <v>2</v>
      </c>
      <c r="D2591" s="486" t="n">
        <v>1</v>
      </c>
      <c r="E2591" s="486" t="n">
        <v>2</v>
      </c>
      <c r="F2591" s="486" t="n">
        <v>2</v>
      </c>
      <c r="G2591" s="486" t="inlineStr">
        <is>
          <t>South-Left2</t>
        </is>
      </c>
      <c r="H2591" s="486" t="n">
        <v>1322.21</v>
      </c>
      <c r="I2591" s="486" t="n">
        <v>89</v>
      </c>
      <c r="J2591" s="486" t="n">
        <v>54</v>
      </c>
      <c r="K2591" s="486" t="n">
        <v>24</v>
      </c>
      <c r="L2591" s="486" t="n">
        <v>1</v>
      </c>
      <c r="M2591" s="487" t="inlineStr">
        <is>
          <t>T</t>
        </is>
      </c>
    </row>
    <row r="2592">
      <c r="A2592" s="486" t="n">
        <v>36</v>
      </c>
      <c r="B2592" s="486" t="n">
        <v>2</v>
      </c>
      <c r="C2592" s="486" t="n">
        <v>2</v>
      </c>
      <c r="D2592" s="486" t="n">
        <v>1</v>
      </c>
      <c r="E2592" s="486" t="n">
        <v>2</v>
      </c>
      <c r="F2592" s="486" t="n">
        <v>2</v>
      </c>
      <c r="G2592" s="475" t="inlineStr">
        <is>
          <t>South-Left1</t>
        </is>
      </c>
      <c r="H2592" s="486" t="n">
        <v>1321.57</v>
      </c>
      <c r="I2592" s="486" t="n">
        <v>89</v>
      </c>
      <c r="J2592" s="486" t="n">
        <v>54</v>
      </c>
      <c r="K2592" s="486" t="n">
        <v>21</v>
      </c>
      <c r="L2592" s="486" t="n">
        <v>1</v>
      </c>
      <c r="M2592" s="487" t="inlineStr">
        <is>
          <t>T</t>
        </is>
      </c>
    </row>
    <row r="2593">
      <c r="A2593" s="486" t="n">
        <v>36</v>
      </c>
      <c r="B2593" s="486" t="n">
        <v>2</v>
      </c>
      <c r="C2593" s="486" t="n">
        <v>2</v>
      </c>
      <c r="D2593" s="486" t="n">
        <v>1</v>
      </c>
      <c r="E2593" s="486" t="n">
        <v>2</v>
      </c>
      <c r="F2593" s="486" t="n">
        <v>2</v>
      </c>
      <c r="G2593" s="486" t="inlineStr">
        <is>
          <t>South-Right1</t>
        </is>
      </c>
      <c r="H2593" s="486" t="n">
        <v>1321.93</v>
      </c>
      <c r="I2593" s="486" t="n">
        <v>89</v>
      </c>
      <c r="J2593" s="486" t="n">
        <v>55</v>
      </c>
      <c r="K2593" s="486" t="n">
        <v>6</v>
      </c>
      <c r="L2593" s="486" t="n">
        <v>1</v>
      </c>
      <c r="M2593" s="487" t="inlineStr">
        <is>
          <t>T</t>
        </is>
      </c>
    </row>
    <row r="2594">
      <c r="A2594" s="486" t="n">
        <v>36</v>
      </c>
      <c r="B2594" s="486" t="n">
        <v>2</v>
      </c>
      <c r="C2594" s="486" t="n">
        <v>2</v>
      </c>
      <c r="D2594" s="486" t="n">
        <v>1</v>
      </c>
      <c r="E2594" s="486" t="n">
        <v>2</v>
      </c>
      <c r="F2594" s="486" t="n">
        <v>2</v>
      </c>
      <c r="G2594" s="486" t="inlineStr">
        <is>
          <t>South-Right2</t>
        </is>
      </c>
      <c r="H2594" s="486" t="n">
        <v>1321.96</v>
      </c>
      <c r="I2594" s="486" t="n">
        <v>89</v>
      </c>
      <c r="J2594" s="486" t="n">
        <v>55</v>
      </c>
      <c r="K2594" s="486" t="n">
        <v>6</v>
      </c>
      <c r="L2594" s="486" t="n">
        <v>1</v>
      </c>
      <c r="M2594" s="487" t="inlineStr">
        <is>
          <t>T</t>
        </is>
      </c>
    </row>
    <row r="2595" customFormat="1" s="501">
      <c r="A2595" s="485" t="n">
        <v>36</v>
      </c>
      <c r="B2595" s="485" t="n">
        <v>2</v>
      </c>
      <c r="C2595" s="485" t="n">
        <v>2</v>
      </c>
      <c r="D2595" s="485" t="n">
        <v>2</v>
      </c>
      <c r="E2595" s="485" t="n">
        <v>2</v>
      </c>
      <c r="F2595" s="485" t="n">
        <v>2</v>
      </c>
      <c r="G2595" s="485" t="inlineStr">
        <is>
          <t>West-Up2</t>
        </is>
      </c>
      <c r="H2595" s="485" t="n">
        <v>0</v>
      </c>
      <c r="I2595" s="485" t="n">
        <v>0</v>
      </c>
      <c r="J2595" s="485" t="n">
        <v>0</v>
      </c>
      <c r="K2595" s="485" t="n">
        <v>0</v>
      </c>
      <c r="L2595" s="485" t="n">
        <v>0</v>
      </c>
      <c r="M2595" s="514" t="inlineStr">
        <is>
          <t>T</t>
        </is>
      </c>
      <c r="N2595" s="511" t="n"/>
      <c r="O2595" s="511" t="n"/>
    </row>
    <row r="2596" customFormat="1" s="501">
      <c r="A2596" s="485" t="n">
        <v>36</v>
      </c>
      <c r="B2596" s="485" t="n">
        <v>2</v>
      </c>
      <c r="C2596" s="485" t="n">
        <v>2</v>
      </c>
      <c r="D2596" s="485" t="n">
        <v>2</v>
      </c>
      <c r="E2596" s="485" t="n">
        <v>2</v>
      </c>
      <c r="F2596" s="485" t="n">
        <v>2</v>
      </c>
      <c r="G2596" s="516" t="inlineStr">
        <is>
          <t>West-Up1</t>
        </is>
      </c>
      <c r="H2596" s="485" t="n">
        <v>2630.87</v>
      </c>
      <c r="I2596" s="485" t="n">
        <v>0</v>
      </c>
      <c r="J2596" s="485" t="n">
        <v>29</v>
      </c>
      <c r="K2596" s="485" t="n">
        <v>23</v>
      </c>
      <c r="L2596" s="485" t="n">
        <v>4</v>
      </c>
      <c r="M2596" s="514" t="inlineStr">
        <is>
          <t>T</t>
        </is>
      </c>
      <c r="N2596" s="511" t="n"/>
      <c r="O2596" s="511" t="n"/>
    </row>
    <row r="2597" customFormat="1" s="501">
      <c r="A2597" s="485" t="n">
        <v>36</v>
      </c>
      <c r="B2597" s="485" t="n">
        <v>2</v>
      </c>
      <c r="C2597" s="485" t="n">
        <v>2</v>
      </c>
      <c r="D2597" s="485" t="n">
        <v>2</v>
      </c>
      <c r="E2597" s="485" t="n">
        <v>2</v>
      </c>
      <c r="F2597" s="485" t="n">
        <v>2</v>
      </c>
      <c r="G2597" s="485" t="inlineStr">
        <is>
          <t>West-Down1</t>
        </is>
      </c>
      <c r="H2597" s="485" t="n">
        <v>2631.96</v>
      </c>
      <c r="I2597" s="485" t="n">
        <v>0</v>
      </c>
      <c r="J2597" s="485" t="n">
        <v>52</v>
      </c>
      <c r="K2597" s="485" t="n">
        <v>25</v>
      </c>
      <c r="L2597" s="485" t="n">
        <v>4</v>
      </c>
      <c r="M2597" s="514" t="inlineStr">
        <is>
          <t>T</t>
        </is>
      </c>
      <c r="N2597" s="511" t="n"/>
      <c r="O2597" s="511" t="n"/>
    </row>
    <row r="2598" customFormat="1" s="501">
      <c r="A2598" s="485" t="n">
        <v>36</v>
      </c>
      <c r="B2598" s="485" t="n">
        <v>2</v>
      </c>
      <c r="C2598" s="485" t="n">
        <v>2</v>
      </c>
      <c r="D2598" s="485" t="n">
        <v>2</v>
      </c>
      <c r="E2598" s="485" t="n">
        <v>2</v>
      </c>
      <c r="F2598" s="485" t="n">
        <v>2</v>
      </c>
      <c r="G2598" s="485" t="inlineStr">
        <is>
          <t>West-Down2</t>
        </is>
      </c>
      <c r="H2598" s="485" t="n">
        <v>0</v>
      </c>
      <c r="I2598" s="485" t="n">
        <v>0</v>
      </c>
      <c r="J2598" s="485" t="n">
        <v>0</v>
      </c>
      <c r="K2598" s="485" t="n">
        <v>0</v>
      </c>
      <c r="L2598" s="485" t="n">
        <v>0</v>
      </c>
      <c r="M2598" s="514" t="inlineStr">
        <is>
          <t>T</t>
        </is>
      </c>
      <c r="N2598" s="511" t="n"/>
      <c r="O2598" s="511" t="n"/>
    </row>
    <row r="2599" customFormat="1" s="501">
      <c r="A2599" s="485" t="n">
        <v>36</v>
      </c>
      <c r="B2599" s="485" t="n">
        <v>2</v>
      </c>
      <c r="C2599" s="485" t="n">
        <v>2</v>
      </c>
      <c r="D2599" s="485" t="n">
        <v>2</v>
      </c>
      <c r="E2599" s="485" t="n">
        <v>2</v>
      </c>
      <c r="F2599" s="485" t="n">
        <v>2</v>
      </c>
      <c r="G2599" s="485" t="inlineStr">
        <is>
          <t>East-Up2</t>
        </is>
      </c>
      <c r="H2599" s="485" t="n">
        <v>0</v>
      </c>
      <c r="I2599" s="485" t="n">
        <v>0</v>
      </c>
      <c r="J2599" s="485" t="n">
        <v>0</v>
      </c>
      <c r="K2599" s="485" t="n">
        <v>0</v>
      </c>
      <c r="L2599" s="485" t="n">
        <v>0</v>
      </c>
      <c r="M2599" s="514" t="inlineStr">
        <is>
          <t>T</t>
        </is>
      </c>
      <c r="N2599" s="511" t="n"/>
      <c r="O2599" s="511" t="n"/>
    </row>
    <row r="2600" customFormat="1" s="501">
      <c r="A2600" s="485" t="n">
        <v>36</v>
      </c>
      <c r="B2600" s="485" t="n">
        <v>2</v>
      </c>
      <c r="C2600" s="485" t="n">
        <v>2</v>
      </c>
      <c r="D2600" s="485" t="n">
        <v>2</v>
      </c>
      <c r="E2600" s="485" t="n">
        <v>2</v>
      </c>
      <c r="F2600" s="485" t="n">
        <v>2</v>
      </c>
      <c r="G2600" s="516" t="inlineStr">
        <is>
          <t>East-Up1</t>
        </is>
      </c>
      <c r="H2600" s="485" t="n">
        <v>2638.35</v>
      </c>
      <c r="I2600" s="485" t="n">
        <v>1</v>
      </c>
      <c r="J2600" s="485" t="n">
        <v>2</v>
      </c>
      <c r="K2600" s="485" t="n">
        <v>50</v>
      </c>
      <c r="L2600" s="485" t="n">
        <v>4</v>
      </c>
      <c r="M2600" s="514" t="inlineStr">
        <is>
          <t>T</t>
        </is>
      </c>
      <c r="N2600" s="511" t="n"/>
      <c r="O2600" s="511" t="n"/>
    </row>
    <row r="2601" customFormat="1" s="501">
      <c r="A2601" s="485" t="n">
        <v>36</v>
      </c>
      <c r="B2601" s="485" t="n">
        <v>2</v>
      </c>
      <c r="C2601" s="485" t="n">
        <v>2</v>
      </c>
      <c r="D2601" s="485" t="n">
        <v>2</v>
      </c>
      <c r="E2601" s="485" t="n">
        <v>2</v>
      </c>
      <c r="F2601" s="485" t="n">
        <v>2</v>
      </c>
      <c r="G2601" s="485" t="inlineStr">
        <is>
          <t>East-Down1</t>
        </is>
      </c>
      <c r="H2601" s="485" t="n">
        <v>2641.3</v>
      </c>
      <c r="I2601" s="485" t="n">
        <v>1</v>
      </c>
      <c r="J2601" s="485" t="n">
        <v>2</v>
      </c>
      <c r="K2601" s="485" t="n">
        <v>27</v>
      </c>
      <c r="L2601" s="485" t="n">
        <v>4</v>
      </c>
      <c r="M2601" s="514" t="inlineStr">
        <is>
          <t>T</t>
        </is>
      </c>
      <c r="N2601" s="511" t="n"/>
      <c r="O2601" s="511" t="n"/>
    </row>
    <row r="2602" customFormat="1" s="501">
      <c r="A2602" s="485" t="n">
        <v>36</v>
      </c>
      <c r="B2602" s="485" t="n">
        <v>2</v>
      </c>
      <c r="C2602" s="485" t="n">
        <v>2</v>
      </c>
      <c r="D2602" s="485" t="n">
        <v>2</v>
      </c>
      <c r="E2602" s="485" t="n">
        <v>2</v>
      </c>
      <c r="F2602" s="485" t="n">
        <v>2</v>
      </c>
      <c r="G2602" s="485" t="inlineStr">
        <is>
          <t>East-Down2</t>
        </is>
      </c>
      <c r="H2602" s="485" t="n">
        <v>0</v>
      </c>
      <c r="I2602" s="485" t="n">
        <v>0</v>
      </c>
      <c r="J2602" s="485" t="n">
        <v>0</v>
      </c>
      <c r="K2602" s="485" t="n">
        <v>0</v>
      </c>
      <c r="L2602" s="485" t="n">
        <v>0</v>
      </c>
      <c r="M2602" s="514" t="inlineStr">
        <is>
          <t>T</t>
        </is>
      </c>
      <c r="N2602" s="511" t="n"/>
      <c r="O2602" s="511" t="n"/>
    </row>
    <row r="2603" customFormat="1" s="501">
      <c r="A2603" s="485" t="n">
        <v>36</v>
      </c>
      <c r="B2603" s="485" t="n">
        <v>2</v>
      </c>
      <c r="C2603" s="485" t="n">
        <v>2</v>
      </c>
      <c r="D2603" s="485" t="n">
        <v>2</v>
      </c>
      <c r="E2603" s="485" t="n">
        <v>2</v>
      </c>
      <c r="F2603" s="485" t="n">
        <v>2</v>
      </c>
      <c r="G2603" s="485" t="inlineStr">
        <is>
          <t>North-Left2</t>
        </is>
      </c>
      <c r="H2603" s="485" t="n">
        <v>0</v>
      </c>
      <c r="I2603" s="485" t="n">
        <v>0</v>
      </c>
      <c r="J2603" s="485" t="n">
        <v>0</v>
      </c>
      <c r="K2603" s="485" t="n">
        <v>0</v>
      </c>
      <c r="L2603" s="485" t="n">
        <v>0</v>
      </c>
      <c r="M2603" s="514" t="inlineStr">
        <is>
          <t>T</t>
        </is>
      </c>
      <c r="N2603" s="511" t="n"/>
      <c r="O2603" s="511" t="n"/>
    </row>
    <row r="2604" customFormat="1" s="501">
      <c r="A2604" s="485" t="n">
        <v>36</v>
      </c>
      <c r="B2604" s="485" t="n">
        <v>2</v>
      </c>
      <c r="C2604" s="485" t="n">
        <v>2</v>
      </c>
      <c r="D2604" s="485" t="n">
        <v>2</v>
      </c>
      <c r="E2604" s="485" t="n">
        <v>2</v>
      </c>
      <c r="F2604" s="485" t="n">
        <v>2</v>
      </c>
      <c r="G2604" s="516" t="inlineStr">
        <is>
          <t>North-Left1</t>
        </is>
      </c>
      <c r="H2604" s="485" t="n">
        <v>2638.46</v>
      </c>
      <c r="I2604" s="485" t="n">
        <v>88</v>
      </c>
      <c r="J2604" s="485" t="n">
        <v>43</v>
      </c>
      <c r="K2604" s="485" t="n">
        <v>52</v>
      </c>
      <c r="L2604" s="485" t="n">
        <v>4</v>
      </c>
      <c r="M2604" s="514" t="inlineStr">
        <is>
          <t>T</t>
        </is>
      </c>
      <c r="N2604" s="511" t="n"/>
      <c r="O2604" s="511" t="n"/>
    </row>
    <row r="2605" customFormat="1" s="501">
      <c r="A2605" s="485" t="n">
        <v>36</v>
      </c>
      <c r="B2605" s="485" t="n">
        <v>2</v>
      </c>
      <c r="C2605" s="485" t="n">
        <v>2</v>
      </c>
      <c r="D2605" s="485" t="n">
        <v>2</v>
      </c>
      <c r="E2605" s="485" t="n">
        <v>2</v>
      </c>
      <c r="F2605" s="485" t="n">
        <v>2</v>
      </c>
      <c r="G2605" s="485" t="inlineStr">
        <is>
          <t>North-Right1</t>
        </is>
      </c>
      <c r="H2605" s="485" t="n">
        <v>2612.36</v>
      </c>
      <c r="I2605" s="485" t="n">
        <v>88</v>
      </c>
      <c r="J2605" s="485" t="n">
        <v>43</v>
      </c>
      <c r="K2605" s="485" t="n">
        <v>4</v>
      </c>
      <c r="L2605" s="485" t="n">
        <v>4</v>
      </c>
      <c r="M2605" s="514" t="inlineStr">
        <is>
          <t>T</t>
        </is>
      </c>
      <c r="N2605" s="511" t="n"/>
      <c r="O2605" s="511" t="n"/>
    </row>
    <row r="2606" customFormat="1" s="501">
      <c r="A2606" s="485" t="n">
        <v>36</v>
      </c>
      <c r="B2606" s="485" t="n">
        <v>2</v>
      </c>
      <c r="C2606" s="485" t="n">
        <v>2</v>
      </c>
      <c r="D2606" s="485" t="n">
        <v>2</v>
      </c>
      <c r="E2606" s="485" t="n">
        <v>2</v>
      </c>
      <c r="F2606" s="485" t="n">
        <v>2</v>
      </c>
      <c r="G2606" s="485" t="inlineStr">
        <is>
          <t>North-Right2</t>
        </is>
      </c>
      <c r="H2606" s="485" t="n">
        <v>0</v>
      </c>
      <c r="I2606" s="485" t="n">
        <v>0</v>
      </c>
      <c r="J2606" s="485" t="n">
        <v>0</v>
      </c>
      <c r="K2606" s="485" t="n">
        <v>0</v>
      </c>
      <c r="L2606" s="485" t="n">
        <v>0</v>
      </c>
      <c r="M2606" s="514" t="inlineStr">
        <is>
          <t>T</t>
        </is>
      </c>
      <c r="N2606" s="511" t="n"/>
      <c r="O2606" s="511" t="n"/>
    </row>
    <row r="2607" customFormat="1" s="501">
      <c r="A2607" s="485" t="n">
        <v>36</v>
      </c>
      <c r="B2607" s="485" t="n">
        <v>2</v>
      </c>
      <c r="C2607" s="485" t="n">
        <v>2</v>
      </c>
      <c r="D2607" s="485" t="n">
        <v>2</v>
      </c>
      <c r="E2607" s="485" t="n">
        <v>2</v>
      </c>
      <c r="F2607" s="485" t="n">
        <v>2</v>
      </c>
      <c r="G2607" s="485" t="inlineStr">
        <is>
          <t>South-Left2</t>
        </is>
      </c>
      <c r="H2607" s="485" t="n">
        <v>0</v>
      </c>
      <c r="I2607" s="485" t="n">
        <v>0</v>
      </c>
      <c r="J2607" s="485" t="n">
        <v>0</v>
      </c>
      <c r="K2607" s="485" t="n">
        <v>0</v>
      </c>
      <c r="L2607" s="485" t="n">
        <v>0</v>
      </c>
      <c r="M2607" s="514" t="inlineStr">
        <is>
          <t>T</t>
        </is>
      </c>
      <c r="N2607" s="511" t="n"/>
      <c r="O2607" s="511" t="n"/>
    </row>
    <row r="2608" customFormat="1" s="501">
      <c r="A2608" s="485" t="n">
        <v>36</v>
      </c>
      <c r="B2608" s="485" t="n">
        <v>2</v>
      </c>
      <c r="C2608" s="485" t="n">
        <v>2</v>
      </c>
      <c r="D2608" s="485" t="n">
        <v>2</v>
      </c>
      <c r="E2608" s="485" t="n">
        <v>2</v>
      </c>
      <c r="F2608" s="485" t="n">
        <v>2</v>
      </c>
      <c r="G2608" s="516" t="inlineStr">
        <is>
          <t>South-Left1</t>
        </is>
      </c>
      <c r="H2608" s="485" t="n">
        <v>2650.68</v>
      </c>
      <c r="I2608" s="485" t="n">
        <v>88</v>
      </c>
      <c r="J2608" s="485" t="n">
        <v>59</v>
      </c>
      <c r="K2608" s="485" t="n">
        <v>29</v>
      </c>
      <c r="L2608" s="485" t="n">
        <v>3</v>
      </c>
      <c r="M2608" s="514" t="inlineStr">
        <is>
          <t>T</t>
        </is>
      </c>
      <c r="N2608" s="511" t="n"/>
      <c r="O2608" s="511" t="n"/>
    </row>
    <row r="2609" customFormat="1" s="501">
      <c r="A2609" s="485" t="n">
        <v>36</v>
      </c>
      <c r="B2609" s="485" t="n">
        <v>2</v>
      </c>
      <c r="C2609" s="485" t="n">
        <v>2</v>
      </c>
      <c r="D2609" s="485" t="n">
        <v>2</v>
      </c>
      <c r="E2609" s="485" t="n">
        <v>2</v>
      </c>
      <c r="F2609" s="485" t="n">
        <v>2</v>
      </c>
      <c r="G2609" s="485" t="inlineStr">
        <is>
          <t>South-Right1</t>
        </is>
      </c>
      <c r="H2609" s="485" t="n">
        <v>1316.15</v>
      </c>
      <c r="I2609" s="485" t="n">
        <v>89</v>
      </c>
      <c r="J2609" s="485" t="n">
        <v>12</v>
      </c>
      <c r="K2609" s="485" t="n">
        <v>42</v>
      </c>
      <c r="L2609" s="485" t="n">
        <v>3</v>
      </c>
      <c r="M2609" s="514" t="inlineStr">
        <is>
          <t>T</t>
        </is>
      </c>
      <c r="N2609" s="511" t="n"/>
      <c r="O2609" s="511" t="n"/>
    </row>
    <row r="2610" customFormat="1" s="501">
      <c r="A2610" s="485" t="n">
        <v>36</v>
      </c>
      <c r="B2610" s="485" t="n">
        <v>2</v>
      </c>
      <c r="C2610" s="485" t="n">
        <v>2</v>
      </c>
      <c r="D2610" s="485" t="n">
        <v>2</v>
      </c>
      <c r="E2610" s="485" t="n">
        <v>2</v>
      </c>
      <c r="F2610" s="485" t="n">
        <v>2</v>
      </c>
      <c r="G2610" s="485" t="inlineStr">
        <is>
          <t>South-Right2</t>
        </is>
      </c>
      <c r="H2610" s="485" t="n">
        <v>1317.29</v>
      </c>
      <c r="I2610" s="485" t="n">
        <v>88</v>
      </c>
      <c r="J2610" s="485" t="n">
        <v>26</v>
      </c>
      <c r="K2610" s="485" t="n">
        <v>37</v>
      </c>
      <c r="L2610" s="485" t="n">
        <v>3</v>
      </c>
      <c r="M2610" s="514" t="inlineStr">
        <is>
          <t>T</t>
        </is>
      </c>
      <c r="N2610" s="511" t="n"/>
      <c r="O2610" s="511" t="n"/>
    </row>
    <row r="2611" customFormat="1" s="501">
      <c r="A2611" s="499" t="n">
        <v>36</v>
      </c>
      <c r="B2611" s="499" t="n">
        <v>3</v>
      </c>
      <c r="C2611" s="499" t="n">
        <v>2</v>
      </c>
      <c r="D2611" s="499" t="n">
        <v>1</v>
      </c>
      <c r="E2611" s="499" t="n">
        <v>2</v>
      </c>
      <c r="F2611" s="499" t="n">
        <v>2</v>
      </c>
      <c r="G2611" s="499" t="inlineStr">
        <is>
          <t>West-Up2</t>
        </is>
      </c>
      <c r="H2611" s="499" t="n">
        <v>1324.32</v>
      </c>
      <c r="I2611" s="499" t="n">
        <v>0</v>
      </c>
      <c r="J2611" s="499" t="n">
        <v>11</v>
      </c>
      <c r="K2611" s="499" t="n">
        <v>39</v>
      </c>
      <c r="L2611" s="499" t="n">
        <v>3</v>
      </c>
      <c r="M2611" s="520" t="inlineStr">
        <is>
          <t>T</t>
        </is>
      </c>
    </row>
    <row r="2612" customFormat="1" s="501">
      <c r="A2612" s="499" t="n">
        <v>36</v>
      </c>
      <c r="B2612" s="499" t="n">
        <v>3</v>
      </c>
      <c r="C2612" s="499" t="n">
        <v>2</v>
      </c>
      <c r="D2612" s="499" t="n">
        <v>1</v>
      </c>
      <c r="E2612" s="499" t="n">
        <v>2</v>
      </c>
      <c r="F2612" s="499" t="n">
        <v>2</v>
      </c>
      <c r="G2612" s="502" t="inlineStr">
        <is>
          <t>West-Up1</t>
        </is>
      </c>
      <c r="H2612" s="499" t="n">
        <v>1325.25</v>
      </c>
      <c r="I2612" s="499" t="n">
        <v>0</v>
      </c>
      <c r="J2612" s="499" t="n">
        <v>11</v>
      </c>
      <c r="K2612" s="499" t="n">
        <v>39</v>
      </c>
      <c r="L2612" s="499" t="n">
        <v>3</v>
      </c>
      <c r="M2612" s="520" t="inlineStr">
        <is>
          <t>T</t>
        </is>
      </c>
    </row>
    <row r="2613" customFormat="1" s="501">
      <c r="A2613" s="499" t="n">
        <v>36</v>
      </c>
      <c r="B2613" s="499" t="n">
        <v>3</v>
      </c>
      <c r="C2613" s="499" t="n">
        <v>2</v>
      </c>
      <c r="D2613" s="499" t="n">
        <v>1</v>
      </c>
      <c r="E2613" s="499" t="n">
        <v>2</v>
      </c>
      <c r="F2613" s="499" t="n">
        <v>2</v>
      </c>
      <c r="G2613" s="499" t="inlineStr">
        <is>
          <t>West-Down1</t>
        </is>
      </c>
      <c r="H2613" s="499" t="n">
        <v>1339</v>
      </c>
      <c r="I2613" s="499" t="n">
        <v>0</v>
      </c>
      <c r="J2613" s="499" t="n">
        <v>16</v>
      </c>
      <c r="K2613" s="499" t="n">
        <v>39</v>
      </c>
      <c r="L2613" s="499" t="n">
        <v>3</v>
      </c>
      <c r="M2613" s="520" t="inlineStr">
        <is>
          <t>T</t>
        </is>
      </c>
    </row>
    <row r="2614" customFormat="1" s="501">
      <c r="A2614" s="499" t="n">
        <v>36</v>
      </c>
      <c r="B2614" s="499" t="n">
        <v>3</v>
      </c>
      <c r="C2614" s="499" t="n">
        <v>2</v>
      </c>
      <c r="D2614" s="499" t="n">
        <v>1</v>
      </c>
      <c r="E2614" s="499" t="n">
        <v>2</v>
      </c>
      <c r="F2614" s="499" t="n">
        <v>2</v>
      </c>
      <c r="G2614" s="499" t="inlineStr">
        <is>
          <t>West-Down2</t>
        </is>
      </c>
      <c r="H2614" s="499" t="n">
        <v>1336.18</v>
      </c>
      <c r="I2614" s="499" t="n">
        <v>0</v>
      </c>
      <c r="J2614" s="499" t="n">
        <v>16</v>
      </c>
      <c r="K2614" s="499" t="n">
        <v>37</v>
      </c>
      <c r="L2614" s="499" t="n">
        <v>3</v>
      </c>
      <c r="M2614" s="520" t="inlineStr">
        <is>
          <t>T</t>
        </is>
      </c>
    </row>
    <row r="2615" customFormat="1" s="501">
      <c r="A2615" s="499" t="n">
        <v>36</v>
      </c>
      <c r="B2615" s="499" t="n">
        <v>3</v>
      </c>
      <c r="C2615" s="499" t="n">
        <v>2</v>
      </c>
      <c r="D2615" s="499" t="n">
        <v>1</v>
      </c>
      <c r="E2615" s="499" t="n">
        <v>2</v>
      </c>
      <c r="F2615" s="499" t="n">
        <v>2</v>
      </c>
      <c r="G2615" s="499" t="inlineStr">
        <is>
          <t>East-Up2</t>
        </is>
      </c>
      <c r="H2615" s="499" t="n">
        <v>1328.26</v>
      </c>
      <c r="I2615" s="499" t="n">
        <v>0</v>
      </c>
      <c r="J2615" s="499" t="n">
        <v>15</v>
      </c>
      <c r="K2615" s="499" t="n">
        <v>52</v>
      </c>
      <c r="L2615" s="499" t="n">
        <v>3</v>
      </c>
      <c r="M2615" s="520" t="inlineStr">
        <is>
          <t>T</t>
        </is>
      </c>
    </row>
    <row r="2616" customFormat="1" s="501">
      <c r="A2616" s="499" t="n">
        <v>36</v>
      </c>
      <c r="B2616" s="499" t="n">
        <v>3</v>
      </c>
      <c r="C2616" s="499" t="n">
        <v>2</v>
      </c>
      <c r="D2616" s="499" t="n">
        <v>1</v>
      </c>
      <c r="E2616" s="499" t="n">
        <v>2</v>
      </c>
      <c r="F2616" s="499" t="n">
        <v>2</v>
      </c>
      <c r="G2616" s="502" t="inlineStr">
        <is>
          <t>East-Up1</t>
        </is>
      </c>
      <c r="H2616" s="499" t="n">
        <v>1322.85</v>
      </c>
      <c r="I2616" s="499" t="n">
        <v>0</v>
      </c>
      <c r="J2616" s="499" t="n">
        <v>0</v>
      </c>
      <c r="K2616" s="499" t="n">
        <v>5</v>
      </c>
      <c r="L2616" s="499" t="n">
        <v>3</v>
      </c>
      <c r="M2616" s="520" t="inlineStr">
        <is>
          <t>T</t>
        </is>
      </c>
    </row>
    <row r="2617" customFormat="1" s="501">
      <c r="A2617" s="499" t="n">
        <v>36</v>
      </c>
      <c r="B2617" s="499" t="n">
        <v>3</v>
      </c>
      <c r="C2617" s="499" t="n">
        <v>2</v>
      </c>
      <c r="D2617" s="499" t="n">
        <v>1</v>
      </c>
      <c r="E2617" s="499" t="n">
        <v>2</v>
      </c>
      <c r="F2617" s="499" t="n">
        <v>2</v>
      </c>
      <c r="G2617" s="499" t="inlineStr">
        <is>
          <t>East-Down1</t>
        </is>
      </c>
      <c r="H2617" s="499" t="n">
        <v>1324.9</v>
      </c>
      <c r="I2617" s="499" t="n">
        <v>0</v>
      </c>
      <c r="J2617" s="499" t="n">
        <v>3</v>
      </c>
      <c r="K2617" s="499" t="n">
        <v>36</v>
      </c>
      <c r="L2617" s="499" t="n">
        <v>1</v>
      </c>
      <c r="M2617" s="520" t="inlineStr">
        <is>
          <t>T</t>
        </is>
      </c>
    </row>
    <row r="2618" customFormat="1" s="501">
      <c r="A2618" s="499" t="n">
        <v>36</v>
      </c>
      <c r="B2618" s="499" t="n">
        <v>3</v>
      </c>
      <c r="C2618" s="499" t="n">
        <v>2</v>
      </c>
      <c r="D2618" s="499" t="n">
        <v>1</v>
      </c>
      <c r="E2618" s="499" t="n">
        <v>2</v>
      </c>
      <c r="F2618" s="499" t="n">
        <v>2</v>
      </c>
      <c r="G2618" s="499" t="inlineStr">
        <is>
          <t>East-Down2</t>
        </is>
      </c>
      <c r="H2618" s="499" t="n">
        <v>1374.7</v>
      </c>
      <c r="I2618" s="499" t="n">
        <v>0</v>
      </c>
      <c r="J2618" s="499" t="n">
        <v>2</v>
      </c>
      <c r="K2618" s="499" t="n">
        <v>15</v>
      </c>
      <c r="L2618" s="499" t="n">
        <v>1</v>
      </c>
      <c r="M2618" s="520" t="inlineStr">
        <is>
          <t>T</t>
        </is>
      </c>
    </row>
    <row r="2619" customFormat="1" s="501">
      <c r="A2619" s="499" t="n">
        <v>36</v>
      </c>
      <c r="B2619" s="499" t="n">
        <v>3</v>
      </c>
      <c r="C2619" s="499" t="n">
        <v>2</v>
      </c>
      <c r="D2619" s="499" t="n">
        <v>1</v>
      </c>
      <c r="E2619" s="499" t="n">
        <v>2</v>
      </c>
      <c r="F2619" s="499" t="n">
        <v>2</v>
      </c>
      <c r="G2619" s="499" t="inlineStr">
        <is>
          <t>North-Left2</t>
        </is>
      </c>
      <c r="H2619" s="499" t="n">
        <v>1317.46</v>
      </c>
      <c r="I2619" s="499" t="n">
        <v>89</v>
      </c>
      <c r="J2619" s="499" t="n">
        <v>45</v>
      </c>
      <c r="K2619" s="499" t="n">
        <v>51</v>
      </c>
      <c r="L2619" s="499" t="n">
        <v>4</v>
      </c>
      <c r="M2619" s="520" t="inlineStr">
        <is>
          <t>T</t>
        </is>
      </c>
    </row>
    <row r="2620" customFormat="1" s="501">
      <c r="A2620" s="499" t="n">
        <v>36</v>
      </c>
      <c r="B2620" s="499" t="n">
        <v>3</v>
      </c>
      <c r="C2620" s="499" t="n">
        <v>2</v>
      </c>
      <c r="D2620" s="499" t="n">
        <v>1</v>
      </c>
      <c r="E2620" s="499" t="n">
        <v>2</v>
      </c>
      <c r="F2620" s="499" t="n">
        <v>2</v>
      </c>
      <c r="G2620" s="502" t="inlineStr">
        <is>
          <t>North-Left1</t>
        </is>
      </c>
      <c r="H2620" s="499" t="n">
        <v>1317.46</v>
      </c>
      <c r="I2620" s="499" t="n">
        <v>89</v>
      </c>
      <c r="J2620" s="499" t="n">
        <v>45</v>
      </c>
      <c r="K2620" s="499" t="n">
        <v>51</v>
      </c>
      <c r="L2620" s="499" t="n">
        <v>4</v>
      </c>
      <c r="M2620" s="520" t="inlineStr">
        <is>
          <t>T</t>
        </is>
      </c>
    </row>
    <row r="2621" customFormat="1" s="501">
      <c r="A2621" s="499" t="n">
        <v>36</v>
      </c>
      <c r="B2621" s="499" t="n">
        <v>3</v>
      </c>
      <c r="C2621" s="499" t="n">
        <v>2</v>
      </c>
      <c r="D2621" s="499" t="n">
        <v>1</v>
      </c>
      <c r="E2621" s="499" t="n">
        <v>2</v>
      </c>
      <c r="F2621" s="499" t="n">
        <v>2</v>
      </c>
      <c r="G2621" s="499" t="inlineStr">
        <is>
          <t>North-Right1</t>
        </is>
      </c>
      <c r="H2621" s="499" t="n">
        <v>1317.46</v>
      </c>
      <c r="I2621" s="499" t="n">
        <v>89</v>
      </c>
      <c r="J2621" s="499" t="n">
        <v>45</v>
      </c>
      <c r="K2621" s="499" t="n">
        <v>51</v>
      </c>
      <c r="L2621" s="499" t="n">
        <v>4</v>
      </c>
      <c r="M2621" s="520" t="inlineStr">
        <is>
          <t>T</t>
        </is>
      </c>
    </row>
    <row r="2622" customFormat="1" s="501">
      <c r="A2622" s="499" t="n">
        <v>36</v>
      </c>
      <c r="B2622" s="499" t="n">
        <v>3</v>
      </c>
      <c r="C2622" s="499" t="n">
        <v>2</v>
      </c>
      <c r="D2622" s="499" t="n">
        <v>1</v>
      </c>
      <c r="E2622" s="499" t="n">
        <v>2</v>
      </c>
      <c r="F2622" s="499" t="n">
        <v>2</v>
      </c>
      <c r="G2622" s="499" t="inlineStr">
        <is>
          <t>North-Right2</t>
        </is>
      </c>
      <c r="H2622" s="499" t="n">
        <v>1317.46</v>
      </c>
      <c r="I2622" s="499" t="n">
        <v>89</v>
      </c>
      <c r="J2622" s="499" t="n">
        <v>45</v>
      </c>
      <c r="K2622" s="499" t="n">
        <v>51</v>
      </c>
      <c r="L2622" s="499" t="n">
        <v>4</v>
      </c>
      <c r="M2622" s="520" t="inlineStr">
        <is>
          <t>T</t>
        </is>
      </c>
    </row>
    <row r="2623" customFormat="1" s="501">
      <c r="A2623" s="499" t="n">
        <v>36</v>
      </c>
      <c r="B2623" s="499" t="n">
        <v>3</v>
      </c>
      <c r="C2623" s="499" t="n">
        <v>2</v>
      </c>
      <c r="D2623" s="499" t="n">
        <v>1</v>
      </c>
      <c r="E2623" s="499" t="n">
        <v>2</v>
      </c>
      <c r="F2623" s="499" t="n">
        <v>2</v>
      </c>
      <c r="G2623" s="499" t="inlineStr">
        <is>
          <t>South-Left2</t>
        </is>
      </c>
      <c r="H2623" s="499" t="n">
        <v>1328.62</v>
      </c>
      <c r="I2623" s="499" t="n">
        <v>89</v>
      </c>
      <c r="J2623" s="499" t="n">
        <v>33</v>
      </c>
      <c r="K2623" s="499" t="n">
        <v>48</v>
      </c>
      <c r="L2623" s="499" t="n">
        <v>1</v>
      </c>
      <c r="M2623" s="520" t="inlineStr">
        <is>
          <t>T</t>
        </is>
      </c>
    </row>
    <row r="2624" customFormat="1" s="501">
      <c r="A2624" s="499" t="n">
        <v>36</v>
      </c>
      <c r="B2624" s="499" t="n">
        <v>3</v>
      </c>
      <c r="C2624" s="499" t="n">
        <v>2</v>
      </c>
      <c r="D2624" s="499" t="n">
        <v>1</v>
      </c>
      <c r="E2624" s="499" t="n">
        <v>2</v>
      </c>
      <c r="F2624" s="499" t="n">
        <v>2</v>
      </c>
      <c r="G2624" s="502" t="inlineStr">
        <is>
          <t>South-Left1</t>
        </is>
      </c>
      <c r="H2624" s="499" t="n">
        <v>1328.62</v>
      </c>
      <c r="I2624" s="499" t="n">
        <v>89</v>
      </c>
      <c r="J2624" s="499" t="n">
        <v>33</v>
      </c>
      <c r="K2624" s="499" t="n">
        <v>48</v>
      </c>
      <c r="L2624" s="499" t="n">
        <v>1</v>
      </c>
      <c r="M2624" s="520" t="inlineStr">
        <is>
          <t>T</t>
        </is>
      </c>
    </row>
    <row r="2625" customFormat="1" s="501">
      <c r="A2625" s="499" t="n">
        <v>36</v>
      </c>
      <c r="B2625" s="499" t="n">
        <v>3</v>
      </c>
      <c r="C2625" s="499" t="n">
        <v>2</v>
      </c>
      <c r="D2625" s="499" t="n">
        <v>1</v>
      </c>
      <c r="E2625" s="499" t="n">
        <v>2</v>
      </c>
      <c r="F2625" s="499" t="n">
        <v>2</v>
      </c>
      <c r="G2625" s="499" t="inlineStr">
        <is>
          <t>South-Right1</t>
        </is>
      </c>
      <c r="H2625" s="499" t="n">
        <v>1315.42</v>
      </c>
      <c r="I2625" s="499" t="n">
        <v>89</v>
      </c>
      <c r="J2625" s="499" t="n">
        <v>24</v>
      </c>
      <c r="K2625" s="499" t="n">
        <v>8</v>
      </c>
      <c r="L2625" s="499" t="n">
        <v>1</v>
      </c>
      <c r="M2625" s="520" t="inlineStr">
        <is>
          <t>T</t>
        </is>
      </c>
    </row>
    <row r="2626" customFormat="1" s="501">
      <c r="A2626" s="499" t="n">
        <v>36</v>
      </c>
      <c r="B2626" s="499" t="n">
        <v>3</v>
      </c>
      <c r="C2626" s="499" t="n">
        <v>2</v>
      </c>
      <c r="D2626" s="499" t="n">
        <v>1</v>
      </c>
      <c r="E2626" s="499" t="n">
        <v>2</v>
      </c>
      <c r="F2626" s="499" t="n">
        <v>2</v>
      </c>
      <c r="G2626" s="499" t="inlineStr">
        <is>
          <t>South-Right2</t>
        </is>
      </c>
      <c r="H2626" s="499" t="n">
        <v>1315.42</v>
      </c>
      <c r="I2626" s="499" t="n">
        <v>89</v>
      </c>
      <c r="J2626" s="499" t="n">
        <v>24</v>
      </c>
      <c r="K2626" s="499" t="n">
        <v>8</v>
      </c>
      <c r="L2626" s="499" t="n">
        <v>1</v>
      </c>
      <c r="M2626" s="520" t="inlineStr">
        <is>
          <t>T</t>
        </is>
      </c>
    </row>
    <row r="2627">
      <c r="A2627" s="485" t="n">
        <v>36</v>
      </c>
      <c r="B2627" s="485" t="n">
        <v>3</v>
      </c>
      <c r="C2627" s="485" t="n">
        <v>2</v>
      </c>
      <c r="D2627" s="485" t="n">
        <v>2</v>
      </c>
      <c r="E2627" s="485" t="n">
        <v>2</v>
      </c>
      <c r="F2627" s="485" t="n">
        <v>2</v>
      </c>
      <c r="G2627" s="485" t="inlineStr">
        <is>
          <t>West-Up2</t>
        </is>
      </c>
      <c r="H2627" s="485" t="n">
        <v>0</v>
      </c>
      <c r="I2627" s="485" t="n">
        <v>0</v>
      </c>
      <c r="J2627" s="485" t="n">
        <v>0</v>
      </c>
      <c r="K2627" s="485" t="n">
        <v>0</v>
      </c>
      <c r="L2627" s="485" t="n">
        <v>0</v>
      </c>
      <c r="M2627" s="514" t="inlineStr">
        <is>
          <t>T</t>
        </is>
      </c>
    </row>
    <row r="2628">
      <c r="A2628" s="485" t="n">
        <v>36</v>
      </c>
      <c r="B2628" s="485" t="n">
        <v>3</v>
      </c>
      <c r="C2628" s="485" t="n">
        <v>2</v>
      </c>
      <c r="D2628" s="485" t="n">
        <v>2</v>
      </c>
      <c r="E2628" s="485" t="n">
        <v>2</v>
      </c>
      <c r="F2628" s="485" t="n">
        <v>2</v>
      </c>
      <c r="G2628" s="516" t="inlineStr">
        <is>
          <t>West-Up1</t>
        </is>
      </c>
      <c r="H2628" s="485" t="n">
        <v>5278.99</v>
      </c>
      <c r="I2628" s="485" t="n">
        <v>0</v>
      </c>
      <c r="J2628" s="485" t="n">
        <v>12</v>
      </c>
      <c r="K2628" s="485" t="n">
        <v>17</v>
      </c>
      <c r="L2628" s="485" t="n">
        <v>1</v>
      </c>
      <c r="M2628" s="514" t="inlineStr">
        <is>
          <t>T</t>
        </is>
      </c>
    </row>
    <row r="2629">
      <c r="A2629" s="485" t="n">
        <v>36</v>
      </c>
      <c r="B2629" s="485" t="n">
        <v>3</v>
      </c>
      <c r="C2629" s="485" t="n">
        <v>2</v>
      </c>
      <c r="D2629" s="485" t="n">
        <v>2</v>
      </c>
      <c r="E2629" s="485" t="n">
        <v>2</v>
      </c>
      <c r="F2629" s="485" t="n">
        <v>2</v>
      </c>
      <c r="G2629" s="485" t="inlineStr">
        <is>
          <t>West-Down1</t>
        </is>
      </c>
      <c r="H2629" s="485" t="n">
        <v>0</v>
      </c>
      <c r="I2629" s="485" t="n">
        <v>0</v>
      </c>
      <c r="J2629" s="485" t="n">
        <v>0</v>
      </c>
      <c r="K2629" s="485" t="n">
        <v>0</v>
      </c>
      <c r="L2629" s="485" t="n">
        <v>0</v>
      </c>
      <c r="M2629" s="514" t="inlineStr">
        <is>
          <t>T</t>
        </is>
      </c>
    </row>
    <row r="2630">
      <c r="A2630" s="485" t="n">
        <v>36</v>
      </c>
      <c r="B2630" s="485" t="n">
        <v>3</v>
      </c>
      <c r="C2630" s="485" t="n">
        <v>2</v>
      </c>
      <c r="D2630" s="485" t="n">
        <v>2</v>
      </c>
      <c r="E2630" s="485" t="n">
        <v>2</v>
      </c>
      <c r="F2630" s="485" t="n">
        <v>2</v>
      </c>
      <c r="G2630" s="485" t="inlineStr">
        <is>
          <t>West-Down2</t>
        </is>
      </c>
      <c r="H2630" s="485" t="n">
        <v>0</v>
      </c>
      <c r="I2630" s="485" t="n">
        <v>0</v>
      </c>
      <c r="J2630" s="485" t="n">
        <v>0</v>
      </c>
      <c r="K2630" s="485" t="n">
        <v>0</v>
      </c>
      <c r="L2630" s="485" t="n">
        <v>0</v>
      </c>
      <c r="M2630" s="514" t="inlineStr">
        <is>
          <t>T</t>
        </is>
      </c>
    </row>
    <row r="2631">
      <c r="A2631" s="485" t="n">
        <v>36</v>
      </c>
      <c r="B2631" s="485" t="n">
        <v>3</v>
      </c>
      <c r="C2631" s="485" t="n">
        <v>2</v>
      </c>
      <c r="D2631" s="485" t="n">
        <v>2</v>
      </c>
      <c r="E2631" s="485" t="n">
        <v>2</v>
      </c>
      <c r="F2631" s="485" t="n">
        <v>2</v>
      </c>
      <c r="G2631" s="485" t="inlineStr">
        <is>
          <t>East-Up2</t>
        </is>
      </c>
      <c r="H2631" s="485" t="n">
        <v>1345.41</v>
      </c>
      <c r="I2631" s="485" t="n">
        <v>0</v>
      </c>
      <c r="J2631" s="485" t="n">
        <v>35</v>
      </c>
      <c r="K2631" s="485" t="n">
        <v>15</v>
      </c>
      <c r="L2631" s="485" t="n">
        <v>4</v>
      </c>
      <c r="M2631" s="514" t="inlineStr">
        <is>
          <t>T</t>
        </is>
      </c>
    </row>
    <row r="2632">
      <c r="A2632" s="485" t="n">
        <v>36</v>
      </c>
      <c r="B2632" s="485" t="n">
        <v>3</v>
      </c>
      <c r="C2632" s="485" t="n">
        <v>2</v>
      </c>
      <c r="D2632" s="485" t="n">
        <v>2</v>
      </c>
      <c r="E2632" s="485" t="n">
        <v>2</v>
      </c>
      <c r="F2632" s="485" t="n">
        <v>2</v>
      </c>
      <c r="G2632" s="516" t="inlineStr">
        <is>
          <t>East-Up1</t>
        </is>
      </c>
      <c r="H2632" s="485" t="n">
        <v>1321.92</v>
      </c>
      <c r="I2632" s="485" t="n">
        <v>0</v>
      </c>
      <c r="J2632" s="485" t="n">
        <v>22</v>
      </c>
      <c r="K2632" s="485" t="n">
        <v>45</v>
      </c>
      <c r="L2632" s="485" t="n">
        <v>4</v>
      </c>
      <c r="M2632" s="514" t="inlineStr">
        <is>
          <t>T</t>
        </is>
      </c>
    </row>
    <row r="2633">
      <c r="A2633" s="485" t="n">
        <v>36</v>
      </c>
      <c r="B2633" s="485" t="n">
        <v>3</v>
      </c>
      <c r="C2633" s="485" t="n">
        <v>2</v>
      </c>
      <c r="D2633" s="485" t="n">
        <v>2</v>
      </c>
      <c r="E2633" s="485" t="n">
        <v>2</v>
      </c>
      <c r="F2633" s="485" t="n">
        <v>2</v>
      </c>
      <c r="G2633" s="485" t="inlineStr">
        <is>
          <t>East-Down1</t>
        </is>
      </c>
      <c r="H2633" s="485" t="n">
        <v>2640</v>
      </c>
      <c r="I2633" s="485" t="n">
        <v>0</v>
      </c>
      <c r="J2633" s="485" t="n">
        <v>22</v>
      </c>
      <c r="K2633" s="485" t="n">
        <v>45</v>
      </c>
      <c r="L2633" s="485" t="n">
        <v>0</v>
      </c>
      <c r="M2633" s="514" t="inlineStr">
        <is>
          <t>T</t>
        </is>
      </c>
    </row>
    <row r="2634">
      <c r="A2634" s="485" t="n">
        <v>36</v>
      </c>
      <c r="B2634" s="485" t="n">
        <v>3</v>
      </c>
      <c r="C2634" s="485" t="n">
        <v>2</v>
      </c>
      <c r="D2634" s="485" t="n">
        <v>2</v>
      </c>
      <c r="E2634" s="485" t="n">
        <v>2</v>
      </c>
      <c r="F2634" s="485" t="n">
        <v>2</v>
      </c>
      <c r="G2634" s="485" t="inlineStr">
        <is>
          <t>East-Down2</t>
        </is>
      </c>
      <c r="H2634" s="485" t="n">
        <v>0</v>
      </c>
      <c r="I2634" s="485" t="n">
        <v>0</v>
      </c>
      <c r="J2634" s="485" t="n">
        <v>0</v>
      </c>
      <c r="K2634" s="485" t="n">
        <v>0</v>
      </c>
      <c r="L2634" s="485" t="n">
        <v>0</v>
      </c>
      <c r="M2634" s="514" t="inlineStr">
        <is>
          <t>T</t>
        </is>
      </c>
    </row>
    <row r="2635">
      <c r="A2635" s="485" t="n">
        <v>36</v>
      </c>
      <c r="B2635" s="485" t="n">
        <v>3</v>
      </c>
      <c r="C2635" s="485" t="n">
        <v>2</v>
      </c>
      <c r="D2635" s="485" t="n">
        <v>2</v>
      </c>
      <c r="E2635" s="485" t="n">
        <v>2</v>
      </c>
      <c r="F2635" s="485" t="n">
        <v>2</v>
      </c>
      <c r="G2635" s="485" t="inlineStr">
        <is>
          <t>North-Left2</t>
        </is>
      </c>
      <c r="H2635" s="485" t="n">
        <v>0</v>
      </c>
      <c r="I2635" s="485" t="n">
        <v>0</v>
      </c>
      <c r="J2635" s="485" t="n">
        <v>0</v>
      </c>
      <c r="K2635" s="485" t="n">
        <v>0</v>
      </c>
      <c r="L2635" s="485" t="n">
        <v>0</v>
      </c>
      <c r="M2635" s="514" t="inlineStr">
        <is>
          <t>T</t>
        </is>
      </c>
    </row>
    <row r="2636">
      <c r="A2636" s="485" t="n">
        <v>36</v>
      </c>
      <c r="B2636" s="485" t="n">
        <v>3</v>
      </c>
      <c r="C2636" s="485" t="n">
        <v>2</v>
      </c>
      <c r="D2636" s="485" t="n">
        <v>2</v>
      </c>
      <c r="E2636" s="485" t="n">
        <v>2</v>
      </c>
      <c r="F2636" s="485" t="n">
        <v>2</v>
      </c>
      <c r="G2636" s="516" t="inlineStr">
        <is>
          <t>North-Left1</t>
        </is>
      </c>
      <c r="H2636" s="485" t="n">
        <v>2643.4</v>
      </c>
      <c r="I2636" s="485" t="n">
        <v>89</v>
      </c>
      <c r="J2636" s="485" t="n">
        <v>39</v>
      </c>
      <c r="K2636" s="485" t="n">
        <v>44</v>
      </c>
      <c r="L2636" s="485" t="n">
        <v>3</v>
      </c>
      <c r="M2636" s="514" t="inlineStr">
        <is>
          <t>T</t>
        </is>
      </c>
    </row>
    <row r="2637">
      <c r="A2637" s="485" t="n">
        <v>36</v>
      </c>
      <c r="B2637" s="485" t="n">
        <v>3</v>
      </c>
      <c r="C2637" s="485" t="n">
        <v>2</v>
      </c>
      <c r="D2637" s="485" t="n">
        <v>2</v>
      </c>
      <c r="E2637" s="485" t="n">
        <v>2</v>
      </c>
      <c r="F2637" s="485" t="n">
        <v>2</v>
      </c>
      <c r="G2637" s="485" t="inlineStr">
        <is>
          <t>North-Right1</t>
        </is>
      </c>
      <c r="H2637" s="485" t="n">
        <v>1319.95</v>
      </c>
      <c r="I2637" s="485" t="n">
        <v>89</v>
      </c>
      <c r="J2637" s="485" t="n">
        <v>42</v>
      </c>
      <c r="K2637" s="485" t="n">
        <v>22</v>
      </c>
      <c r="L2637" s="485" t="n">
        <v>3</v>
      </c>
      <c r="M2637" s="514" t="inlineStr">
        <is>
          <t>T</t>
        </is>
      </c>
    </row>
    <row r="2638">
      <c r="A2638" s="485" t="n">
        <v>36</v>
      </c>
      <c r="B2638" s="485" t="n">
        <v>3</v>
      </c>
      <c r="C2638" s="485" t="n">
        <v>2</v>
      </c>
      <c r="D2638" s="485" t="n">
        <v>2</v>
      </c>
      <c r="E2638" s="485" t="n">
        <v>2</v>
      </c>
      <c r="F2638" s="485" t="n">
        <v>2</v>
      </c>
      <c r="G2638" s="485" t="inlineStr">
        <is>
          <t>North-Right2</t>
        </is>
      </c>
      <c r="H2638" s="485" t="n">
        <v>1321.29</v>
      </c>
      <c r="I2638" s="485" t="n">
        <v>89</v>
      </c>
      <c r="J2638" s="485" t="n">
        <v>42</v>
      </c>
      <c r="K2638" s="485" t="n">
        <v>28</v>
      </c>
      <c r="L2638" s="485" t="n">
        <v>3</v>
      </c>
      <c r="M2638" s="514" t="inlineStr">
        <is>
          <t>T</t>
        </is>
      </c>
    </row>
    <row r="2639">
      <c r="A2639" s="485" t="n">
        <v>36</v>
      </c>
      <c r="B2639" s="485" t="n">
        <v>3</v>
      </c>
      <c r="C2639" s="485" t="n">
        <v>2</v>
      </c>
      <c r="D2639" s="485" t="n">
        <v>2</v>
      </c>
      <c r="E2639" s="485" t="n">
        <v>2</v>
      </c>
      <c r="F2639" s="485" t="n">
        <v>2</v>
      </c>
      <c r="G2639" s="485" t="inlineStr">
        <is>
          <t>South-Left2</t>
        </is>
      </c>
      <c r="H2639" s="485" t="n">
        <v>0</v>
      </c>
      <c r="I2639" s="485" t="n">
        <v>0</v>
      </c>
      <c r="J2639" s="485" t="n">
        <v>0</v>
      </c>
      <c r="K2639" s="485" t="n">
        <v>0</v>
      </c>
      <c r="L2639" s="485" t="n">
        <v>0</v>
      </c>
      <c r="M2639" s="514" t="inlineStr">
        <is>
          <t>T</t>
        </is>
      </c>
    </row>
    <row r="2640">
      <c r="A2640" s="485" t="n">
        <v>36</v>
      </c>
      <c r="B2640" s="485" t="n">
        <v>3</v>
      </c>
      <c r="C2640" s="485" t="n">
        <v>2</v>
      </c>
      <c r="D2640" s="485" t="n">
        <v>2</v>
      </c>
      <c r="E2640" s="485" t="n">
        <v>2</v>
      </c>
      <c r="F2640" s="485" t="n">
        <v>2</v>
      </c>
      <c r="G2640" s="516" t="inlineStr">
        <is>
          <t>South-Left1</t>
        </is>
      </c>
      <c r="H2640" s="485" t="n">
        <v>2664.02</v>
      </c>
      <c r="I2640" s="485" t="n">
        <v>89</v>
      </c>
      <c r="J2640" s="485" t="n">
        <v>43</v>
      </c>
      <c r="K2640" s="485" t="n">
        <v>52</v>
      </c>
      <c r="L2640" s="485" t="n">
        <v>3</v>
      </c>
      <c r="M2640" s="514" t="inlineStr">
        <is>
          <t>T</t>
        </is>
      </c>
    </row>
    <row r="2641">
      <c r="A2641" s="485" t="n">
        <v>36</v>
      </c>
      <c r="B2641" s="485" t="n">
        <v>3</v>
      </c>
      <c r="C2641" s="485" t="n">
        <v>2</v>
      </c>
      <c r="D2641" s="485" t="n">
        <v>2</v>
      </c>
      <c r="E2641" s="485" t="n">
        <v>2</v>
      </c>
      <c r="F2641" s="485" t="n">
        <v>2</v>
      </c>
      <c r="G2641" s="485" t="inlineStr">
        <is>
          <t>South-Right1</t>
        </is>
      </c>
      <c r="H2641" s="485" t="n">
        <v>2640</v>
      </c>
      <c r="I2641" s="485" t="n">
        <v>89</v>
      </c>
      <c r="J2641" s="485" t="n">
        <v>43</v>
      </c>
      <c r="K2641" s="485" t="n">
        <v>52</v>
      </c>
      <c r="L2641" s="485" t="n">
        <v>3</v>
      </c>
      <c r="M2641" s="514" t="inlineStr">
        <is>
          <t>T</t>
        </is>
      </c>
    </row>
    <row r="2642">
      <c r="A2642" s="485" t="n">
        <v>36</v>
      </c>
      <c r="B2642" s="485" t="n">
        <v>3</v>
      </c>
      <c r="C2642" s="485" t="n">
        <v>2</v>
      </c>
      <c r="D2642" s="485" t="n">
        <v>2</v>
      </c>
      <c r="E2642" s="485" t="n">
        <v>2</v>
      </c>
      <c r="F2642" s="485" t="n">
        <v>2</v>
      </c>
      <c r="G2642" s="485" t="inlineStr">
        <is>
          <t>South-Right2</t>
        </is>
      </c>
      <c r="H2642" s="485" t="n">
        <v>0</v>
      </c>
      <c r="I2642" s="485" t="n">
        <v>0</v>
      </c>
      <c r="J2642" s="485" t="n">
        <v>0</v>
      </c>
      <c r="K2642" s="485" t="n">
        <v>0</v>
      </c>
      <c r="L2642" s="485" t="n">
        <v>0</v>
      </c>
      <c r="M2642" s="514" t="inlineStr">
        <is>
          <t>T</t>
        </is>
      </c>
    </row>
    <row r="2643">
      <c r="A2643" s="486" t="n">
        <v>36</v>
      </c>
      <c r="B2643" s="486" t="n">
        <v>4</v>
      </c>
      <c r="C2643" s="486" t="n">
        <v>2</v>
      </c>
      <c r="D2643" s="486" t="n">
        <v>4</v>
      </c>
      <c r="E2643" s="486" t="n">
        <v>2</v>
      </c>
      <c r="F2643" s="486" t="n">
        <v>2</v>
      </c>
      <c r="G2643" s="486" t="inlineStr">
        <is>
          <t>West-Up2</t>
        </is>
      </c>
      <c r="H2643" s="486" t="n">
        <v>0</v>
      </c>
      <c r="I2643" s="486" t="n">
        <v>0</v>
      </c>
      <c r="J2643" s="486" t="n">
        <v>0</v>
      </c>
      <c r="K2643" s="486" t="n">
        <v>0</v>
      </c>
      <c r="L2643" s="486" t="n">
        <v>0</v>
      </c>
      <c r="M2643" s="487" t="inlineStr">
        <is>
          <t>T</t>
        </is>
      </c>
    </row>
    <row r="2644">
      <c r="A2644" s="486" t="n">
        <v>36</v>
      </c>
      <c r="B2644" s="486" t="n">
        <v>4</v>
      </c>
      <c r="C2644" s="486" t="n">
        <v>2</v>
      </c>
      <c r="D2644" s="486" t="n">
        <v>4</v>
      </c>
      <c r="E2644" s="486" t="n">
        <v>2</v>
      </c>
      <c r="F2644" s="486" t="n">
        <v>2</v>
      </c>
      <c r="G2644" s="475" t="inlineStr">
        <is>
          <t>West-Up1</t>
        </is>
      </c>
      <c r="H2644" s="486" t="n">
        <v>5410.21</v>
      </c>
      <c r="I2644" s="486" t="n">
        <v>0</v>
      </c>
      <c r="J2644" s="486" t="n">
        <v>48</v>
      </c>
      <c r="K2644" s="486" t="n">
        <v>13</v>
      </c>
      <c r="L2644" s="486" t="n">
        <v>1</v>
      </c>
      <c r="M2644" s="487" t="inlineStr">
        <is>
          <t>T</t>
        </is>
      </c>
    </row>
    <row r="2645">
      <c r="A2645" s="486" t="n">
        <v>36</v>
      </c>
      <c r="B2645" s="486" t="n">
        <v>4</v>
      </c>
      <c r="C2645" s="486" t="n">
        <v>2</v>
      </c>
      <c r="D2645" s="486" t="n">
        <v>4</v>
      </c>
      <c r="E2645" s="486" t="n">
        <v>2</v>
      </c>
      <c r="F2645" s="486" t="n">
        <v>2</v>
      </c>
      <c r="G2645" s="486" t="inlineStr">
        <is>
          <t>West-Down1</t>
        </is>
      </c>
      <c r="H2645" s="486" t="n">
        <v>0</v>
      </c>
      <c r="I2645" s="486" t="n">
        <v>0</v>
      </c>
      <c r="J2645" s="486" t="n">
        <v>0</v>
      </c>
      <c r="K2645" s="486" t="n">
        <v>0</v>
      </c>
      <c r="L2645" s="486" t="n">
        <v>0</v>
      </c>
      <c r="M2645" s="487" t="inlineStr">
        <is>
          <t>T</t>
        </is>
      </c>
    </row>
    <row r="2646">
      <c r="A2646" s="486" t="n">
        <v>36</v>
      </c>
      <c r="B2646" s="486" t="n">
        <v>4</v>
      </c>
      <c r="C2646" s="486" t="n">
        <v>2</v>
      </c>
      <c r="D2646" s="486" t="n">
        <v>4</v>
      </c>
      <c r="E2646" s="486" t="n">
        <v>2</v>
      </c>
      <c r="F2646" s="486" t="n">
        <v>2</v>
      </c>
      <c r="G2646" s="486" t="inlineStr">
        <is>
          <t>West-Down2</t>
        </is>
      </c>
      <c r="H2646" s="486" t="n">
        <v>0</v>
      </c>
      <c r="I2646" s="486" t="n">
        <v>0</v>
      </c>
      <c r="J2646" s="486" t="n">
        <v>0</v>
      </c>
      <c r="K2646" s="486" t="n">
        <v>0</v>
      </c>
      <c r="L2646" s="486" t="n">
        <v>0</v>
      </c>
      <c r="M2646" s="487" t="inlineStr">
        <is>
          <t>T</t>
        </is>
      </c>
    </row>
    <row r="2647">
      <c r="A2647" s="486" t="n">
        <v>36</v>
      </c>
      <c r="B2647" s="486" t="n">
        <v>4</v>
      </c>
      <c r="C2647" s="486" t="n">
        <v>2</v>
      </c>
      <c r="D2647" s="486" t="n">
        <v>4</v>
      </c>
      <c r="E2647" s="486" t="n">
        <v>2</v>
      </c>
      <c r="F2647" s="486" t="n">
        <v>2</v>
      </c>
      <c r="G2647" s="486" t="inlineStr">
        <is>
          <t>East-Up2</t>
        </is>
      </c>
      <c r="H2647" s="486" t="n">
        <v>0</v>
      </c>
      <c r="I2647" s="486" t="n">
        <v>0</v>
      </c>
      <c r="J2647" s="486" t="n">
        <v>0</v>
      </c>
      <c r="K2647" s="486" t="n">
        <v>0</v>
      </c>
      <c r="L2647" s="486" t="n">
        <v>0</v>
      </c>
      <c r="M2647" s="487" t="inlineStr">
        <is>
          <t>T</t>
        </is>
      </c>
    </row>
    <row r="2648">
      <c r="A2648" s="486" t="n">
        <v>36</v>
      </c>
      <c r="B2648" s="486" t="n">
        <v>4</v>
      </c>
      <c r="C2648" s="486" t="n">
        <v>2</v>
      </c>
      <c r="D2648" s="486" t="n">
        <v>4</v>
      </c>
      <c r="E2648" s="486" t="n">
        <v>2</v>
      </c>
      <c r="F2648" s="486" t="n">
        <v>2</v>
      </c>
      <c r="G2648" s="475" t="inlineStr">
        <is>
          <t>East-Up1</t>
        </is>
      </c>
      <c r="H2648" s="486" t="n">
        <v>2631.63</v>
      </c>
      <c r="I2648" s="486" t="n">
        <v>0</v>
      </c>
      <c r="J2648" s="486" t="n">
        <v>0</v>
      </c>
      <c r="K2648" s="486" t="n">
        <v>56</v>
      </c>
      <c r="L2648" s="486" t="n">
        <v>4</v>
      </c>
      <c r="M2648" s="487" t="inlineStr">
        <is>
          <t>T</t>
        </is>
      </c>
    </row>
    <row r="2649">
      <c r="A2649" s="486" t="n">
        <v>36</v>
      </c>
      <c r="B2649" s="486" t="n">
        <v>4</v>
      </c>
      <c r="C2649" s="486" t="n">
        <v>2</v>
      </c>
      <c r="D2649" s="486" t="n">
        <v>4</v>
      </c>
      <c r="E2649" s="486" t="n">
        <v>2</v>
      </c>
      <c r="F2649" s="486" t="n">
        <v>2</v>
      </c>
      <c r="G2649" s="486" t="inlineStr">
        <is>
          <t>East-Down1</t>
        </is>
      </c>
      <c r="H2649" s="486" t="n">
        <v>2639.71</v>
      </c>
      <c r="I2649" s="486" t="n">
        <v>0</v>
      </c>
      <c r="J2649" s="486" t="n">
        <v>18</v>
      </c>
      <c r="K2649" s="486" t="n">
        <v>31</v>
      </c>
      <c r="L2649" s="486" t="n">
        <v>4</v>
      </c>
      <c r="M2649" s="487" t="inlineStr">
        <is>
          <t>T</t>
        </is>
      </c>
    </row>
    <row r="2650">
      <c r="A2650" s="486" t="n">
        <v>36</v>
      </c>
      <c r="B2650" s="486" t="n">
        <v>4</v>
      </c>
      <c r="C2650" s="486" t="n">
        <v>2</v>
      </c>
      <c r="D2650" s="486" t="n">
        <v>4</v>
      </c>
      <c r="E2650" s="486" t="n">
        <v>2</v>
      </c>
      <c r="F2650" s="486" t="n">
        <v>2</v>
      </c>
      <c r="G2650" s="486" t="inlineStr">
        <is>
          <t>East-Down2</t>
        </is>
      </c>
      <c r="H2650" s="486" t="n">
        <v>0</v>
      </c>
      <c r="I2650" s="486" t="n">
        <v>0</v>
      </c>
      <c r="J2650" s="486" t="n">
        <v>0</v>
      </c>
      <c r="K2650" s="486" t="n">
        <v>0</v>
      </c>
      <c r="L2650" s="486" t="n">
        <v>0</v>
      </c>
      <c r="M2650" s="487" t="inlineStr">
        <is>
          <t>T</t>
        </is>
      </c>
    </row>
    <row r="2651">
      <c r="A2651" s="486" t="n">
        <v>36</v>
      </c>
      <c r="B2651" s="486" t="n">
        <v>4</v>
      </c>
      <c r="C2651" s="486" t="n">
        <v>2</v>
      </c>
      <c r="D2651" s="486" t="n">
        <v>4</v>
      </c>
      <c r="E2651" s="486" t="n">
        <v>2</v>
      </c>
      <c r="F2651" s="486" t="n">
        <v>2</v>
      </c>
      <c r="G2651" s="486" t="inlineStr">
        <is>
          <t>North-Left2</t>
        </is>
      </c>
      <c r="H2651" s="486" t="n">
        <v>0</v>
      </c>
      <c r="I2651" s="486" t="n">
        <v>0</v>
      </c>
      <c r="J2651" s="486" t="n">
        <v>0</v>
      </c>
      <c r="K2651" s="486" t="n">
        <v>0</v>
      </c>
      <c r="L2651" s="486" t="n">
        <v>0</v>
      </c>
      <c r="M2651" s="487" t="inlineStr">
        <is>
          <t>T</t>
        </is>
      </c>
    </row>
    <row r="2652">
      <c r="A2652" s="486" t="n">
        <v>36</v>
      </c>
      <c r="B2652" s="486" t="n">
        <v>4</v>
      </c>
      <c r="C2652" s="486" t="n">
        <v>2</v>
      </c>
      <c r="D2652" s="486" t="n">
        <v>4</v>
      </c>
      <c r="E2652" s="486" t="n">
        <v>2</v>
      </c>
      <c r="F2652" s="486" t="n">
        <v>2</v>
      </c>
      <c r="G2652" s="475" t="inlineStr">
        <is>
          <t>North-Left1</t>
        </is>
      </c>
      <c r="H2652" s="486" t="n">
        <v>5318.56</v>
      </c>
      <c r="I2652" s="486" t="n">
        <v>89</v>
      </c>
      <c r="J2652" s="486" t="n">
        <v>54</v>
      </c>
      <c r="K2652" s="486" t="n">
        <v>40</v>
      </c>
      <c r="L2652" s="486" t="n">
        <v>2</v>
      </c>
      <c r="M2652" s="487" t="inlineStr">
        <is>
          <t>T</t>
        </is>
      </c>
    </row>
    <row r="2653">
      <c r="A2653" s="486" t="n">
        <v>36</v>
      </c>
      <c r="B2653" s="486" t="n">
        <v>4</v>
      </c>
      <c r="C2653" s="486" t="n">
        <v>2</v>
      </c>
      <c r="D2653" s="486" t="n">
        <v>4</v>
      </c>
      <c r="E2653" s="486" t="n">
        <v>2</v>
      </c>
      <c r="F2653" s="486" t="n">
        <v>2</v>
      </c>
      <c r="G2653" s="486" t="inlineStr">
        <is>
          <t>North-Right1</t>
        </is>
      </c>
      <c r="H2653" s="486" t="n">
        <v>0</v>
      </c>
      <c r="I2653" s="486" t="n">
        <v>0</v>
      </c>
      <c r="J2653" s="486" t="n">
        <v>0</v>
      </c>
      <c r="K2653" s="486" t="n">
        <v>0</v>
      </c>
      <c r="L2653" s="486" t="n">
        <v>0</v>
      </c>
      <c r="M2653" s="487" t="inlineStr">
        <is>
          <t>T</t>
        </is>
      </c>
    </row>
    <row r="2654">
      <c r="A2654" s="486" t="n">
        <v>36</v>
      </c>
      <c r="B2654" s="486" t="n">
        <v>4</v>
      </c>
      <c r="C2654" s="486" t="n">
        <v>2</v>
      </c>
      <c r="D2654" s="486" t="n">
        <v>4</v>
      </c>
      <c r="E2654" s="486" t="n">
        <v>2</v>
      </c>
      <c r="F2654" s="486" t="n">
        <v>2</v>
      </c>
      <c r="G2654" s="486" t="inlineStr">
        <is>
          <t>North-Right2</t>
        </is>
      </c>
      <c r="H2654" s="486" t="n">
        <v>0</v>
      </c>
      <c r="I2654" s="486" t="n">
        <v>0</v>
      </c>
      <c r="J2654" s="486" t="n">
        <v>0</v>
      </c>
      <c r="K2654" s="486" t="n">
        <v>0</v>
      </c>
      <c r="L2654" s="486" t="n">
        <v>0</v>
      </c>
      <c r="M2654" s="487" t="inlineStr">
        <is>
          <t>T</t>
        </is>
      </c>
    </row>
    <row r="2655">
      <c r="A2655" s="486" t="n">
        <v>36</v>
      </c>
      <c r="B2655" s="486" t="n">
        <v>4</v>
      </c>
      <c r="C2655" s="486" t="n">
        <v>2</v>
      </c>
      <c r="D2655" s="486" t="n">
        <v>4</v>
      </c>
      <c r="E2655" s="486" t="n">
        <v>2</v>
      </c>
      <c r="F2655" s="486" t="n">
        <v>2</v>
      </c>
      <c r="G2655" s="486" t="inlineStr">
        <is>
          <t>South-Left2</t>
        </is>
      </c>
      <c r="H2655" s="486" t="n">
        <v>0</v>
      </c>
      <c r="I2655" s="486" t="n">
        <v>0</v>
      </c>
      <c r="J2655" s="486" t="n">
        <v>0</v>
      </c>
      <c r="K2655" s="486" t="n">
        <v>0</v>
      </c>
      <c r="L2655" s="486" t="n">
        <v>0</v>
      </c>
      <c r="M2655" s="487" t="inlineStr">
        <is>
          <t>T</t>
        </is>
      </c>
    </row>
    <row r="2656">
      <c r="A2656" s="486" t="n">
        <v>36</v>
      </c>
      <c r="B2656" s="486" t="n">
        <v>4</v>
      </c>
      <c r="C2656" s="486" t="n">
        <v>2</v>
      </c>
      <c r="D2656" s="486" t="n">
        <v>4</v>
      </c>
      <c r="E2656" s="486" t="n">
        <v>2</v>
      </c>
      <c r="F2656" s="486" t="n">
        <v>2</v>
      </c>
      <c r="G2656" s="475" t="inlineStr">
        <is>
          <t>South-Left1</t>
        </is>
      </c>
      <c r="H2656" s="486" t="n">
        <v>5259.63</v>
      </c>
      <c r="I2656" s="486" t="n">
        <v>88</v>
      </c>
      <c r="J2656" s="486" t="n">
        <v>24</v>
      </c>
      <c r="K2656" s="486" t="n">
        <v>10</v>
      </c>
      <c r="L2656" s="486" t="n">
        <v>2</v>
      </c>
      <c r="M2656" s="487" t="inlineStr">
        <is>
          <t>T</t>
        </is>
      </c>
    </row>
    <row r="2657">
      <c r="A2657" s="486" t="n">
        <v>36</v>
      </c>
      <c r="B2657" s="486" t="n">
        <v>4</v>
      </c>
      <c r="C2657" s="486" t="n">
        <v>2</v>
      </c>
      <c r="D2657" s="486" t="n">
        <v>4</v>
      </c>
      <c r="E2657" s="486" t="n">
        <v>2</v>
      </c>
      <c r="F2657" s="486" t="n">
        <v>2</v>
      </c>
      <c r="G2657" s="486" t="inlineStr">
        <is>
          <t>South-Right1</t>
        </is>
      </c>
      <c r="H2657" s="486" t="n">
        <v>0</v>
      </c>
      <c r="I2657" s="486" t="n">
        <v>0</v>
      </c>
      <c r="J2657" s="486" t="n">
        <v>0</v>
      </c>
      <c r="K2657" s="486" t="n">
        <v>0</v>
      </c>
      <c r="L2657" s="486" t="n">
        <v>0</v>
      </c>
      <c r="M2657" s="487" t="inlineStr">
        <is>
          <t>T</t>
        </is>
      </c>
    </row>
    <row r="2658">
      <c r="A2658" s="486" t="n">
        <v>36</v>
      </c>
      <c r="B2658" s="486" t="n">
        <v>4</v>
      </c>
      <c r="C2658" s="486" t="n">
        <v>2</v>
      </c>
      <c r="D2658" s="486" t="n">
        <v>4</v>
      </c>
      <c r="E2658" s="486" t="n">
        <v>2</v>
      </c>
      <c r="F2658" s="486" t="n">
        <v>2</v>
      </c>
      <c r="G2658" s="486" t="inlineStr">
        <is>
          <t>South-Right2</t>
        </is>
      </c>
      <c r="H2658" s="486" t="n">
        <v>0</v>
      </c>
      <c r="I2658" s="486" t="n">
        <v>0</v>
      </c>
      <c r="J2658" s="486" t="n">
        <v>0</v>
      </c>
      <c r="K2658" s="486" t="n">
        <v>0</v>
      </c>
      <c r="L2658" s="486" t="n">
        <v>0</v>
      </c>
      <c r="M2658" s="487" t="inlineStr">
        <is>
          <t>T</t>
        </is>
      </c>
    </row>
    <row r="2659">
      <c r="A2659" s="485" t="n">
        <v>36</v>
      </c>
      <c r="B2659" s="485" t="n">
        <v>5</v>
      </c>
      <c r="C2659" s="485" t="n">
        <v>2</v>
      </c>
      <c r="D2659" s="485" t="n">
        <v>6</v>
      </c>
      <c r="E2659" s="485" t="n">
        <v>2</v>
      </c>
      <c r="F2659" s="485" t="n">
        <v>2</v>
      </c>
      <c r="G2659" s="485" t="inlineStr">
        <is>
          <t>West-Up2</t>
        </is>
      </c>
      <c r="H2659" s="485" t="n">
        <v>0</v>
      </c>
      <c r="I2659" s="485" t="n">
        <v>0</v>
      </c>
      <c r="J2659" s="485" t="n">
        <v>0</v>
      </c>
      <c r="K2659" s="485" t="n">
        <v>0</v>
      </c>
      <c r="L2659" s="485" t="n">
        <v>0</v>
      </c>
      <c r="M2659" s="514" t="inlineStr">
        <is>
          <t>T</t>
        </is>
      </c>
    </row>
    <row r="2660">
      <c r="A2660" s="485" t="n">
        <v>36</v>
      </c>
      <c r="B2660" s="485" t="n">
        <v>5</v>
      </c>
      <c r="C2660" s="485" t="n">
        <v>2</v>
      </c>
      <c r="D2660" s="485" t="n">
        <v>6</v>
      </c>
      <c r="E2660" s="485" t="n">
        <v>2</v>
      </c>
      <c r="F2660" s="485" t="n">
        <v>2</v>
      </c>
      <c r="G2660" s="516" t="inlineStr">
        <is>
          <t>West-Up1</t>
        </is>
      </c>
      <c r="H2660" s="485" t="n">
        <v>2633.32</v>
      </c>
      <c r="I2660" s="485" t="n">
        <v>0</v>
      </c>
      <c r="J2660" s="485" t="n">
        <v>17</v>
      </c>
      <c r="K2660" s="485" t="n">
        <v>1</v>
      </c>
      <c r="L2660" s="485" t="n">
        <v>2</v>
      </c>
      <c r="M2660" s="514" t="inlineStr">
        <is>
          <t>T</t>
        </is>
      </c>
    </row>
    <row r="2661">
      <c r="A2661" s="485" t="n">
        <v>36</v>
      </c>
      <c r="B2661" s="485" t="n">
        <v>5</v>
      </c>
      <c r="C2661" s="485" t="n">
        <v>2</v>
      </c>
      <c r="D2661" s="485" t="n">
        <v>6</v>
      </c>
      <c r="E2661" s="485" t="n">
        <v>2</v>
      </c>
      <c r="F2661" s="485" t="n">
        <v>2</v>
      </c>
      <c r="G2661" s="485" t="inlineStr">
        <is>
          <t>West-Down1</t>
        </is>
      </c>
      <c r="H2661" s="485" t="n">
        <v>2649.43</v>
      </c>
      <c r="I2661" s="485" t="n">
        <v>0</v>
      </c>
      <c r="J2661" s="485" t="n">
        <v>9</v>
      </c>
      <c r="K2661" s="485" t="n">
        <v>51</v>
      </c>
      <c r="L2661" s="485" t="n">
        <v>4</v>
      </c>
      <c r="M2661" s="514" t="inlineStr">
        <is>
          <t>T</t>
        </is>
      </c>
    </row>
    <row r="2662">
      <c r="A2662" s="485" t="n">
        <v>36</v>
      </c>
      <c r="B2662" s="485" t="n">
        <v>5</v>
      </c>
      <c r="C2662" s="485" t="n">
        <v>2</v>
      </c>
      <c r="D2662" s="485" t="n">
        <v>6</v>
      </c>
      <c r="E2662" s="485" t="n">
        <v>2</v>
      </c>
      <c r="F2662" s="485" t="n">
        <v>2</v>
      </c>
      <c r="G2662" s="485" t="inlineStr">
        <is>
          <t>West-Down2</t>
        </is>
      </c>
      <c r="H2662" s="485" t="n">
        <v>0</v>
      </c>
      <c r="I2662" s="485" t="n">
        <v>0</v>
      </c>
      <c r="J2662" s="485" t="n">
        <v>0</v>
      </c>
      <c r="K2662" s="485" t="n">
        <v>0</v>
      </c>
      <c r="L2662" s="485" t="n">
        <v>0</v>
      </c>
      <c r="M2662" s="514" t="inlineStr">
        <is>
          <t>T</t>
        </is>
      </c>
    </row>
    <row r="2663">
      <c r="A2663" s="485" t="n">
        <v>36</v>
      </c>
      <c r="B2663" s="485" t="n">
        <v>5</v>
      </c>
      <c r="C2663" s="485" t="n">
        <v>2</v>
      </c>
      <c r="D2663" s="485" t="n">
        <v>6</v>
      </c>
      <c r="E2663" s="485" t="n">
        <v>2</v>
      </c>
      <c r="F2663" s="485" t="n">
        <v>2</v>
      </c>
      <c r="G2663" s="485" t="inlineStr">
        <is>
          <t>East-Up2</t>
        </is>
      </c>
      <c r="H2663" s="485" t="n">
        <v>0</v>
      </c>
      <c r="I2663" s="485" t="n">
        <v>0</v>
      </c>
      <c r="J2663" s="485" t="n">
        <v>0</v>
      </c>
      <c r="K2663" s="485" t="n">
        <v>0</v>
      </c>
      <c r="L2663" s="485" t="n">
        <v>0</v>
      </c>
      <c r="M2663" s="514" t="inlineStr">
        <is>
          <t>T</t>
        </is>
      </c>
    </row>
    <row r="2664">
      <c r="A2664" s="485" t="n">
        <v>36</v>
      </c>
      <c r="B2664" s="485" t="n">
        <v>5</v>
      </c>
      <c r="C2664" s="485" t="n">
        <v>2</v>
      </c>
      <c r="D2664" s="485" t="n">
        <v>6</v>
      </c>
      <c r="E2664" s="485" t="n">
        <v>2</v>
      </c>
      <c r="F2664" s="485" t="n">
        <v>2</v>
      </c>
      <c r="G2664" s="516" t="inlineStr">
        <is>
          <t>East-Up1</t>
        </is>
      </c>
      <c r="H2664" s="485" t="n">
        <v>2637.02</v>
      </c>
      <c r="I2664" s="485" t="n">
        <v>0</v>
      </c>
      <c r="J2664" s="485" t="n">
        <v>9</v>
      </c>
      <c r="K2664" s="485" t="n">
        <v>38</v>
      </c>
      <c r="L2664" s="485" t="n">
        <v>2</v>
      </c>
      <c r="M2664" s="514" t="inlineStr">
        <is>
          <t>T</t>
        </is>
      </c>
    </row>
    <row r="2665">
      <c r="A2665" s="485" t="n">
        <v>36</v>
      </c>
      <c r="B2665" s="485" t="n">
        <v>5</v>
      </c>
      <c r="C2665" s="485" t="n">
        <v>2</v>
      </c>
      <c r="D2665" s="485" t="n">
        <v>6</v>
      </c>
      <c r="E2665" s="485" t="n">
        <v>2</v>
      </c>
      <c r="F2665" s="485" t="n">
        <v>2</v>
      </c>
      <c r="G2665" s="485" t="inlineStr">
        <is>
          <t>East-Down1</t>
        </is>
      </c>
      <c r="H2665" s="485" t="n">
        <v>2635.82</v>
      </c>
      <c r="I2665" s="485" t="n">
        <v>0</v>
      </c>
      <c r="J2665" s="485" t="n">
        <v>0</v>
      </c>
      <c r="K2665" s="485" t="n">
        <v>37</v>
      </c>
      <c r="L2665" s="485" t="n">
        <v>4</v>
      </c>
      <c r="M2665" s="514" t="inlineStr">
        <is>
          <t>T</t>
        </is>
      </c>
    </row>
    <row r="2666">
      <c r="A2666" s="485" t="n">
        <v>36</v>
      </c>
      <c r="B2666" s="485" t="n">
        <v>5</v>
      </c>
      <c r="C2666" s="485" t="n">
        <v>2</v>
      </c>
      <c r="D2666" s="485" t="n">
        <v>6</v>
      </c>
      <c r="E2666" s="485" t="n">
        <v>2</v>
      </c>
      <c r="F2666" s="485" t="n">
        <v>2</v>
      </c>
      <c r="G2666" s="485" t="inlineStr">
        <is>
          <t>East-Down2</t>
        </is>
      </c>
      <c r="H2666" s="485" t="n">
        <v>0</v>
      </c>
      <c r="I2666" s="485" t="n">
        <v>0</v>
      </c>
      <c r="J2666" s="485" t="n">
        <v>0</v>
      </c>
      <c r="K2666" s="485" t="n">
        <v>0</v>
      </c>
      <c r="L2666" s="485" t="n">
        <v>0</v>
      </c>
      <c r="M2666" s="514" t="inlineStr">
        <is>
          <t>T</t>
        </is>
      </c>
    </row>
    <row r="2667">
      <c r="A2667" s="485" t="n">
        <v>36</v>
      </c>
      <c r="B2667" s="485" t="n">
        <v>5</v>
      </c>
      <c r="C2667" s="485" t="n">
        <v>2</v>
      </c>
      <c r="D2667" s="485" t="n">
        <v>6</v>
      </c>
      <c r="E2667" s="485" t="n">
        <v>2</v>
      </c>
      <c r="F2667" s="485" t="n">
        <v>2</v>
      </c>
      <c r="G2667" s="485" t="inlineStr">
        <is>
          <t>North-Left2</t>
        </is>
      </c>
      <c r="H2667" s="485" t="n">
        <v>0</v>
      </c>
      <c r="I2667" s="485" t="n">
        <v>0</v>
      </c>
      <c r="J2667" s="485" t="n">
        <v>0</v>
      </c>
      <c r="K2667" s="485" t="n">
        <v>0</v>
      </c>
      <c r="L2667" s="485" t="n">
        <v>0</v>
      </c>
      <c r="M2667" s="514" t="inlineStr">
        <is>
          <t>T</t>
        </is>
      </c>
    </row>
    <row r="2668">
      <c r="A2668" s="485" t="n">
        <v>36</v>
      </c>
      <c r="B2668" s="485" t="n">
        <v>5</v>
      </c>
      <c r="C2668" s="485" t="n">
        <v>2</v>
      </c>
      <c r="D2668" s="485" t="n">
        <v>6</v>
      </c>
      <c r="E2668" s="485" t="n">
        <v>2</v>
      </c>
      <c r="F2668" s="485" t="n">
        <v>2</v>
      </c>
      <c r="G2668" s="516" t="inlineStr">
        <is>
          <t>North-Left1</t>
        </is>
      </c>
      <c r="H2668" s="485" t="n">
        <v>2627.86</v>
      </c>
      <c r="I2668" s="485" t="n">
        <v>89</v>
      </c>
      <c r="J2668" s="485" t="n">
        <v>46</v>
      </c>
      <c r="K2668" s="485" t="n">
        <v>9</v>
      </c>
      <c r="L2668" s="485" t="n">
        <v>4</v>
      </c>
      <c r="M2668" s="514" t="inlineStr">
        <is>
          <t>T</t>
        </is>
      </c>
    </row>
    <row r="2669">
      <c r="A2669" s="485" t="n">
        <v>36</v>
      </c>
      <c r="B2669" s="485" t="n">
        <v>5</v>
      </c>
      <c r="C2669" s="485" t="n">
        <v>2</v>
      </c>
      <c r="D2669" s="485" t="n">
        <v>6</v>
      </c>
      <c r="E2669" s="485" t="n">
        <v>2</v>
      </c>
      <c r="F2669" s="485" t="n">
        <v>2</v>
      </c>
      <c r="G2669" s="485" t="inlineStr">
        <is>
          <t>North-Right1</t>
        </is>
      </c>
      <c r="H2669" s="485" t="n">
        <v>2633.68</v>
      </c>
      <c r="I2669" s="485" t="n">
        <v>89</v>
      </c>
      <c r="J2669" s="485" t="n">
        <v>49</v>
      </c>
      <c r="K2669" s="485" t="n">
        <v>51</v>
      </c>
      <c r="L2669" s="485" t="n">
        <v>2</v>
      </c>
      <c r="M2669" s="514" t="inlineStr">
        <is>
          <t>T</t>
        </is>
      </c>
    </row>
    <row r="2670">
      <c r="A2670" s="485" t="n">
        <v>36</v>
      </c>
      <c r="B2670" s="485" t="n">
        <v>5</v>
      </c>
      <c r="C2670" s="485" t="n">
        <v>2</v>
      </c>
      <c r="D2670" s="485" t="n">
        <v>6</v>
      </c>
      <c r="E2670" s="485" t="n">
        <v>2</v>
      </c>
      <c r="F2670" s="485" t="n">
        <v>2</v>
      </c>
      <c r="G2670" s="485" t="inlineStr">
        <is>
          <t>North-Right2</t>
        </is>
      </c>
      <c r="H2670" s="485" t="n">
        <v>0</v>
      </c>
      <c r="I2670" s="485" t="n">
        <v>0</v>
      </c>
      <c r="J2670" s="485" t="n">
        <v>0</v>
      </c>
      <c r="K2670" s="485" t="n">
        <v>0</v>
      </c>
      <c r="L2670" s="485" t="n">
        <v>0</v>
      </c>
      <c r="M2670" s="514" t="inlineStr">
        <is>
          <t>T</t>
        </is>
      </c>
    </row>
    <row r="2671">
      <c r="A2671" s="485" t="n">
        <v>36</v>
      </c>
      <c r="B2671" s="485" t="n">
        <v>5</v>
      </c>
      <c r="C2671" s="485" t="n">
        <v>2</v>
      </c>
      <c r="D2671" s="485" t="n">
        <v>6</v>
      </c>
      <c r="E2671" s="485" t="n">
        <v>2</v>
      </c>
      <c r="F2671" s="485" t="n">
        <v>2</v>
      </c>
      <c r="G2671" s="485" t="inlineStr">
        <is>
          <t>South-Left2</t>
        </is>
      </c>
      <c r="H2671" s="485" t="n">
        <v>0</v>
      </c>
      <c r="I2671" s="485" t="n">
        <v>0</v>
      </c>
      <c r="J2671" s="485" t="n">
        <v>0</v>
      </c>
      <c r="K2671" s="485" t="n">
        <v>0</v>
      </c>
      <c r="L2671" s="485" t="n">
        <v>0</v>
      </c>
      <c r="M2671" s="514" t="inlineStr">
        <is>
          <t>T</t>
        </is>
      </c>
    </row>
    <row r="2672">
      <c r="A2672" s="485" t="n">
        <v>36</v>
      </c>
      <c r="B2672" s="485" t="n">
        <v>5</v>
      </c>
      <c r="C2672" s="485" t="n">
        <v>2</v>
      </c>
      <c r="D2672" s="485" t="n">
        <v>6</v>
      </c>
      <c r="E2672" s="485" t="n">
        <v>2</v>
      </c>
      <c r="F2672" s="485" t="n">
        <v>2</v>
      </c>
      <c r="G2672" s="516" t="inlineStr">
        <is>
          <t>South-Left1</t>
        </is>
      </c>
      <c r="H2672" s="485" t="n">
        <v>2631.36</v>
      </c>
      <c r="I2672" s="485" t="n">
        <v>89</v>
      </c>
      <c r="J2672" s="485" t="n">
        <v>39</v>
      </c>
      <c r="K2672" s="485" t="n">
        <v>22</v>
      </c>
      <c r="L2672" s="485" t="n">
        <v>1</v>
      </c>
      <c r="M2672" s="514" t="inlineStr">
        <is>
          <t>T</t>
        </is>
      </c>
    </row>
    <row r="2673">
      <c r="A2673" s="485" t="n">
        <v>36</v>
      </c>
      <c r="B2673" s="485" t="n">
        <v>5</v>
      </c>
      <c r="C2673" s="485" t="n">
        <v>2</v>
      </c>
      <c r="D2673" s="485" t="n">
        <v>6</v>
      </c>
      <c r="E2673" s="485" t="n">
        <v>2</v>
      </c>
      <c r="F2673" s="485" t="n">
        <v>2</v>
      </c>
      <c r="G2673" s="485" t="inlineStr">
        <is>
          <t>South-Right1</t>
        </is>
      </c>
      <c r="H2673" s="485" t="n">
        <v>2628.83</v>
      </c>
      <c r="I2673" s="485" t="n">
        <v>89</v>
      </c>
      <c r="J2673" s="485" t="n">
        <v>30</v>
      </c>
      <c r="K2673" s="485" t="n">
        <v>6</v>
      </c>
      <c r="L2673" s="485" t="n">
        <v>3</v>
      </c>
      <c r="M2673" s="514" t="inlineStr">
        <is>
          <t>T</t>
        </is>
      </c>
    </row>
    <row r="2674">
      <c r="A2674" s="485" t="n">
        <v>36</v>
      </c>
      <c r="B2674" s="485" t="n">
        <v>5</v>
      </c>
      <c r="C2674" s="485" t="n">
        <v>2</v>
      </c>
      <c r="D2674" s="485" t="n">
        <v>6</v>
      </c>
      <c r="E2674" s="485" t="n">
        <v>2</v>
      </c>
      <c r="F2674" s="485" t="n">
        <v>2</v>
      </c>
      <c r="G2674" s="485" t="inlineStr">
        <is>
          <t>South-Right2</t>
        </is>
      </c>
      <c r="H2674" s="485" t="n">
        <v>0</v>
      </c>
      <c r="I2674" s="485" t="n">
        <v>0</v>
      </c>
      <c r="J2674" s="485" t="n">
        <v>0</v>
      </c>
      <c r="K2674" s="485" t="n">
        <v>0</v>
      </c>
      <c r="L2674" s="485" t="n">
        <v>0</v>
      </c>
      <c r="M2674" s="514" t="inlineStr">
        <is>
          <t>T</t>
        </is>
      </c>
    </row>
  </sheetData>
  <autoFilter ref="A2:M2">
    <sortState ref="A3:M2674">
      <sortCondition ref="A2"/>
    </sortState>
  </autoFilter>
  <conditionalFormatting sqref="A2084 A2086 A2088 A2090 A2092 A2094 A2096 A2098 A2100 A2102 A2104 A2106 A2108 A2110 A2112 A2114 A2116 A2118 A2120 A2122 A2124 A2126 A2128 A2130 F2084 F2086 F2088 F2090 F2092 F2094 F2096 F2098">
    <cfRule type="expression" priority="47" dxfId="0">
      <formula>" =MOD(ROW(),8)=0"</formula>
    </cfRule>
  </conditionalFormatting>
  <conditionalFormatting sqref="F2100 F2102 F2104 F2106 F2108 F2110 F2112 F2114 F2116 F2118 F2120 F2122 F2124 F2126 F2128 F2130">
    <cfRule type="expression" priority="46" dxfId="0">
      <formula>" =MOD(ROW(),8)=0"</formula>
    </cfRule>
  </conditionalFormatting>
  <conditionalFormatting sqref="G2131:G2146">
    <cfRule type="expression" priority="45" dxfId="0">
      <formula>" =MOD(ROW(),8)=0"</formula>
    </cfRule>
  </conditionalFormatting>
  <conditionalFormatting sqref="B2132:E2132 B2134:E2134 B2136:E2136 B2138:E2138 B2140:E2140 B2142:E2142 B2144:E2144 B2146:E2146">
    <cfRule type="expression" priority="44" dxfId="0">
      <formula>" =MOD(ROW(),8)=0"</formula>
    </cfRule>
  </conditionalFormatting>
  <conditionalFormatting sqref="A2132 A2134 A2136 A2138 A2140 A2142 A2144 A2146 F2132 F2134 F2136 F2138 F2140 F2142 F2144 F2146">
    <cfRule type="expression" priority="43" dxfId="0">
      <formula>" =MOD(ROW(),8)=0"</formula>
    </cfRule>
  </conditionalFormatting>
  <conditionalFormatting sqref="G2147:G2162">
    <cfRule type="expression" priority="42" dxfId="0">
      <formula>" =MOD(ROW(),8)=0"</formula>
    </cfRule>
  </conditionalFormatting>
  <conditionalFormatting sqref="B2148:E2148 B2150:E2150 B2152:E2152 B2154:E2154 B2156:E2156 B2158:E2158 B2160:E2160 B2162:E2162">
    <cfRule type="expression" priority="41" dxfId="0">
      <formula>" =MOD(ROW(),8)=0"</formula>
    </cfRule>
  </conditionalFormatting>
  <conditionalFormatting sqref="A707:G722">
    <cfRule type="expression" priority="21" dxfId="0">
      <formula>" =MOD(ROW(),8)=0"</formula>
    </cfRule>
  </conditionalFormatting>
  <conditionalFormatting sqref="H708:L709">
    <cfRule type="expression" priority="20" dxfId="0">
      <formula>" =MOD(ROW(),8)=0"</formula>
    </cfRule>
  </conditionalFormatting>
  <conditionalFormatting sqref="A2148 A2150 A2152 A2154 A2156 A2158 A2160 A2162 F2148 F2150 F2152 F2154 F2156 F2158 F2160 F2162">
    <cfRule type="expression" priority="40" dxfId="0">
      <formula>" =MOD(ROW(),8)=0"</formula>
    </cfRule>
  </conditionalFormatting>
  <conditionalFormatting sqref="B2163:E2163 B2165:E2165 B2167:E2167 B2169:E2169 B2171:E2171 B2173:E2173 B2175:E2175 B2177:E2177">
    <cfRule type="expression" priority="39" dxfId="0">
      <formula>" =MOD(ROW(),8)=0"</formula>
    </cfRule>
  </conditionalFormatting>
  <conditionalFormatting sqref="A2163 A2165 A2167 A2169 A2171 A2173 A2175 A2177 F2163 F2165 F2167 F2169 F2171 F2173 F2175 F2177">
    <cfRule type="expression" priority="38" dxfId="0">
      <formula>" =MOD(ROW(),8)=0"</formula>
    </cfRule>
  </conditionalFormatting>
  <conditionalFormatting sqref="G2163:G2178">
    <cfRule type="expression" priority="37" dxfId="0">
      <formula>" =MOD(ROW(),8)=0"</formula>
    </cfRule>
  </conditionalFormatting>
  <conditionalFormatting sqref="B2164:E2164 B2166:E2166 B2168:E2168 B2170:E2170 B2172:E2172 B2174:E2174 B2176:E2176 B2178:E2178">
    <cfRule type="expression" priority="36" dxfId="0">
      <formula>" =MOD(ROW(),8)=0"</formula>
    </cfRule>
  </conditionalFormatting>
  <conditionalFormatting sqref="A2164 A2166 A2168 A2170 A2172 A2174 A2176 A2178 F2164 F2166 F2168 F2170 F2172 F2174 F2176 F2178">
    <cfRule type="expression" priority="35" dxfId="0">
      <formula>" =MOD(ROW(),8)=0"</formula>
    </cfRule>
  </conditionalFormatting>
  <conditionalFormatting sqref="M1491 M1493 M1495 M1497 M1499 M1501 M1503 M1505">
    <cfRule type="expression" priority="34" dxfId="0">
      <formula>" =MOD(ROW(),8)=0"</formula>
    </cfRule>
  </conditionalFormatting>
  <conditionalFormatting sqref="M356 M358 M360 M362 M364 M366 M368 M370 M372 M374 M376 M378 M380 M382 M384 M386">
    <cfRule type="expression" priority="30" dxfId="0">
      <formula>" =MOD(ROW(),8)=0"</formula>
    </cfRule>
  </conditionalFormatting>
  <conditionalFormatting sqref="M388 M390 M392 M394 M396 M398 M400 M402 M404 M406 M408 M410 M412 M414 M416 M418">
    <cfRule type="expression" priority="29" dxfId="0">
      <formula>" =MOD(ROW(),8)=0"</formula>
    </cfRule>
  </conditionalFormatting>
  <conditionalFormatting sqref="M691:M722">
    <cfRule type="expression" priority="28" dxfId="0">
      <formula>" =MOD(ROW(),8)=0"</formula>
    </cfRule>
  </conditionalFormatting>
  <conditionalFormatting sqref="B1:M1">
    <cfRule type="expression" priority="14" dxfId="0">
      <formula>" =MOD(ROW(),8)=0"</formula>
    </cfRule>
  </conditionalFormatting>
  <conditionalFormatting sqref="A1">
    <cfRule type="expression" priority="15" dxfId="0">
      <formula>" =MOD(ROW(),8)=0"</formula>
    </cfRule>
  </conditionalFormatting>
  <conditionalFormatting sqref="G2035:G2050">
    <cfRule type="expression" priority="60" dxfId="0">
      <formula>" =MOD(ROW(),8)=0"</formula>
    </cfRule>
  </conditionalFormatting>
  <conditionalFormatting sqref="A2036 A2038 A2040 A2042 A2044 A2046 A2048 A2050 F2036 F2038 F2040 F2042 F2044 F2046 F2048 F2050">
    <cfRule type="expression" priority="59" dxfId="0">
      <formula>" =MOD(ROW(),8)=0"</formula>
    </cfRule>
  </conditionalFormatting>
  <conditionalFormatting sqref="A2051 A2053 A2055 A2057 A2059 A2061 A2063 A2065 F2051 F2053 F2055 F2057 F2059 F2061 F2063 F2065">
    <cfRule type="expression" priority="58" dxfId="0">
      <formula>" =MOD(ROW(),8)=0"</formula>
    </cfRule>
  </conditionalFormatting>
  <conditionalFormatting sqref="G2051:G2066">
    <cfRule type="expression" priority="57" dxfId="0">
      <formula>" =MOD(ROW(),8)=0"</formula>
    </cfRule>
  </conditionalFormatting>
  <conditionalFormatting sqref="A2052 A2054 A2056 A2058 A2060 A2062 A2064 A2066 F2052 F2054 F2056 F2058 F2060 F2062 F2064 F2066">
    <cfRule type="expression" priority="56" dxfId="0">
      <formula>" =MOD(ROW(),8)=0"</formula>
    </cfRule>
  </conditionalFormatting>
  <conditionalFormatting sqref="B2067:E2083 B2085:E2085 B2087:E2087 B2089:E2089 B2091:E2091 B2093:E2093 B2095:E2095 B2097:E2097 B2099:E2099 B2101:E2101 B2103:E2103 B2105:E2105 B2107:E2107 B2109:E2109 B2111:E2111 B2113:E2113 B2115:E2115 B2117:E2117 B2119:E2119 B2121:E2121 B2123:E2123 B2125:E2125 B2127:E2127 B2129:E2129 B2131:E2131 B2133:E2133 B2135:E2135 B2137:E2137 B2139:E2139 B2141:E2141 B2143:E2143 B2145:E2145 B2147:E2147 B2149:E2149 B2151:E2151 B2153:E2153 B2155:E2155 B2157:E2157 B2159:E2159 B2161:E2161">
    <cfRule type="expression" priority="55" dxfId="0">
      <formula>" =MOD(ROW(),8)=0"</formula>
    </cfRule>
  </conditionalFormatting>
  <conditionalFormatting sqref="A2067 A2069 A2071 A2073 A2075 A2077 A2079 A2081 A2083 A2085 A2087 A2089 A2091 A2093 A2095 A2097 A2099 A2101 A2103 A2105 A2107 A2109 A2111 A2113 A2115 A2117 A2119 A2121 A2123 A2125 A2127 A2129 A2131 A2133 A2135 A2137 A2139 A2141 A2143 A2145 A2147 A2149 A2151 A2153 A2155 A2157 A2159 A2161 F2067 F2069 F2071 F2073 F2075 F2077 F2079 F2081 F2083 F2085 F2087 F2089 F2091 F2093 F2095 F2097 F2099 F2101 F2103 F2105 F2107 F2109 F2111 F2113 F2115 F2117 F2119 F2121 F2123 F2125 F2127 F2129 F2131 F2133 F2135 F2137 F2139 F2141 F2143 F2145 F2147 F2149 F2151 F2153 F2155 F2157 F2159 F2161">
    <cfRule type="expression" priority="54" dxfId="0">
      <formula>" =MOD(ROW(),8)=0"</formula>
    </cfRule>
  </conditionalFormatting>
  <conditionalFormatting sqref="G2067:G2082">
    <cfRule type="expression" priority="53" dxfId="0">
      <formula>" =MOD(ROW(),8)=0"</formula>
    </cfRule>
  </conditionalFormatting>
  <conditionalFormatting sqref="A2068 A2070 A2072 A2074 A2076 A2078 A2080 A2082 F2068 F2070 F2072 F2074 F2076 F2078 F2080 F2082">
    <cfRule type="expression" priority="52" dxfId="0">
      <formula>" =MOD(ROW(),8)=0"</formula>
    </cfRule>
  </conditionalFormatting>
  <conditionalFormatting sqref="G2083:G2098">
    <cfRule type="expression" priority="51" dxfId="0">
      <formula>" =MOD(ROW(),8)=0"</formula>
    </cfRule>
  </conditionalFormatting>
  <conditionalFormatting sqref="G2099:G2114">
    <cfRule type="expression" priority="50" dxfId="0">
      <formula>" =MOD(ROW(),8)=0"</formula>
    </cfRule>
  </conditionalFormatting>
  <conditionalFormatting sqref="G2115:G2130">
    <cfRule type="expression" priority="49" dxfId="0">
      <formula>" =MOD(ROW(),8)=0"</formula>
    </cfRule>
  </conditionalFormatting>
  <conditionalFormatting sqref="B2084:E2084 B2086:E2086 B2088:E2088 B2090:E2090 B2092:E2092 B2094:E2094 B2096:E2096 B2098:E2098 B2100:E2100 B2102:E2102 B2104:E2104 B2106:E2106 B2108:E2108 B2110:E2110 B2112:E2112 B2114:E2114 B2116:E2116 B2118:E2118 B2120:E2120 B2122:E2122 B2124:E2124 B2126:E2126 B2128:E2128 B2130:E2130">
    <cfRule type="expression" priority="48" dxfId="0">
      <formula>" =MOD(ROW(),8)=0"</formula>
    </cfRule>
  </conditionalFormatting>
  <conditionalFormatting sqref="A2">
    <cfRule type="expression" priority="13" dxfId="0">
      <formula>" =MOD(ROW(),8)=0"</formula>
    </cfRule>
  </conditionalFormatting>
  <conditionalFormatting sqref="H712:L712">
    <cfRule type="expression" priority="16" dxfId="0">
      <formula>" =MOD(ROW(),8)=0"</formula>
    </cfRule>
  </conditionalFormatting>
  <conditionalFormatting sqref="B2:M2">
    <cfRule type="expression" priority="12" dxfId="0">
      <formula>" =MOD(ROW(),8)=0"</formula>
    </cfRule>
  </conditionalFormatting>
  <conditionalFormatting sqref="M804 M806 M808 M810 M812 M814 M816 M818">
    <cfRule type="expression" priority="11" dxfId="0">
      <formula>" =MOD(ROW(),8)=0"</formula>
    </cfRule>
  </conditionalFormatting>
  <conditionalFormatting sqref="M4 M6 M8 M10 M12 M14 M16 M18">
    <cfRule type="expression" priority="9" dxfId="0">
      <formula>" =MOD(ROW(),8)=0"</formula>
    </cfRule>
  </conditionalFormatting>
  <conditionalFormatting sqref="M644 M646 M648 M650 M652 M654 M656 M658">
    <cfRule type="expression" priority="8" dxfId="0">
      <formula>" =MOD(ROW(),8)=0"</formula>
    </cfRule>
  </conditionalFormatting>
  <conditionalFormatting sqref="M948 M950 M952 M954 M956 M958 M960 M962">
    <cfRule type="expression" priority="7" dxfId="0">
      <formula>" =MOD(ROW(),8)=0"</formula>
    </cfRule>
  </conditionalFormatting>
  <conditionalFormatting sqref="M1492 M1494 M1496 M1498 M1500 M1502 M1504 M1506">
    <cfRule type="expression" priority="1" dxfId="0">
      <formula>" =MOD(ROW(),8)=0"</formula>
    </cfRule>
  </conditionalFormatting>
  <conditionalFormatting sqref="A3:M3 A4:L18 A19:M355 A356:L386 A387:M387 A388:L418 A419:M643 A644:L658 A659:M690 A691:G694 A695:L706 A723:M772 A773:G778 A779:L786 A787:M802 A819:M822 A823:G826 A827:M835 A836:G837 A838:M841 A842:G842 A843:M947 A948:L962 A963:M1490 A1491:L1522 A1523:M1682 A1683:L1683 A1684:G1684 A1685:L1688 A1689:G1689 A1690:L1698 A1699:M2034 A2035:F2035 A2037 A2039 A2041 A2043 A2045 A2047 A2049 B2036:E2066 F2037 F2039 F2041 F2043 F2045 F2047 F2049 H707:L707 H710:L711 H713:L722 H773:L774 H811:L814 H816:L818 H824:L824 H836:L836 H2036:K2036 I1684:L1684 M5 M7 M9 M11 M13 M15 M17 M357 M359 M361 M363 M365 M367 M369 M371 M373 M375 M377 M379 M381 M383 M385 M389 M391 M393 M395 M397 M399 M401 M403 M405 M407 M409 M411 M413 M415 M417 M645 M647 M649 M651 M653 M655 M657 M773:M786 M803 M805 M807 M809 M811 M813 M815 M817 M823:M826 M836:M837 M842 M949 M951 M953 M955 M957 M959 M961 M1507:M1511 M1513:M1522 M1683:M1698">
    <cfRule type="expression" priority="64" dxfId="0">
      <formula>" =MOD(ROW(),8)=0"</formula>
    </cfRule>
  </conditionalFormatting>
  <conditionalFormatting sqref="A803:G818">
    <cfRule type="expression" priority="63" dxfId="0">
      <formula>" =MOD(ROW(),8)=0"</formula>
    </cfRule>
  </conditionalFormatting>
  <pageMargins left="0.7" right="0.7" top="0.75" bottom="0.75" header="0.3" footer="0.3"/>
  <pageSetup orientation="portrait"/>
</worksheet>
</file>

<file path=xl/worksheets/sheet14.xml><?xml version="1.0" encoding="utf-8"?>
<worksheet xmlns="http://schemas.openxmlformats.org/spreadsheetml/2006/main">
  <sheetPr codeName="Sheet14">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15.xml><?xml version="1.0" encoding="utf-8"?>
<worksheet xmlns="http://schemas.openxmlformats.org/spreadsheetml/2006/main">
  <sheetPr codeName="Sheet15">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Dustin Doucet;daynedoucet@utah.gov</dc:creator>
  <dcterms:created xmlns:dcterms="http://purl.org/dc/terms/" xmlns:xsi="http://www.w3.org/2001/XMLSchema-instance" xsi:type="dcterms:W3CDTF">2012-09-18T23:58:54Z</dcterms:created>
  <dcterms:modified xmlns:dcterms="http://purl.org/dc/terms/" xmlns:xsi="http://www.w3.org/2001/XMLSchema-instance" xsi:type="dcterms:W3CDTF">2026-05-25T14:10:30Z</dcterms:modified>
  <cp:lastModifiedBy>Colton Goodrich</cp:lastModifiedBy>
  <cp:lastPrinted>2020-03-25T20:18:40Z</cp:lastPrinted>
</cp:coreProperties>
</file>