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6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7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8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9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Work\RewriteAPD\"/>
    </mc:Choice>
  </mc:AlternateContent>
  <bookViews>
    <workbookView xWindow="7230" yWindow="195" windowWidth="21570" windowHeight="12225" tabRatio="929"/>
  </bookViews>
  <sheets>
    <sheet name="Dx to Plat Comparison" sheetId="1" r:id="rId1"/>
    <sheet name="BHL from LL" sheetId="2" r:id="rId2"/>
    <sheet name="SHL Section" sheetId="3" r:id="rId3"/>
    <sheet name="BHL Section 1" sheetId="4" r:id="rId4"/>
    <sheet name="BHL Section 2" sheetId="5" r:id="rId5"/>
    <sheet name="BHL Section 3" sheetId="6" r:id="rId6"/>
    <sheet name="Lat-Long &amp; Grid Calc SHL" sheetId="7" r:id="rId7"/>
    <sheet name="Lat-Long &amp; Grid Calc 1" sheetId="8" r:id="rId8"/>
    <sheet name="Lat-Long &amp; Grid Calc 2" sheetId="9" r:id="rId9"/>
    <sheet name="Lat-Long &amp; Grid Calc 3" sheetId="10" r:id="rId10"/>
    <sheet name="Distance &amp; Bearing" sheetId="11" r:id="rId11"/>
  </sheets>
  <definedNames>
    <definedName name="_xlnm.Print_Area" localSheetId="1">'BHL from LL'!$A$68:$M$86</definedName>
    <definedName name="_xlnm.Print_Area" localSheetId="3">'BHL Section 1'!$A$22:$M$40</definedName>
    <definedName name="_xlnm.Print_Area" localSheetId="4">'BHL Section 2'!$A$22:$M$40</definedName>
    <definedName name="_xlnm.Print_Area" localSheetId="5">'BHL Section 3'!$A$22:$M$40</definedName>
    <definedName name="_xlnm.Print_Area" localSheetId="0">'Dx to Plat Comparison'!$A$1:$Q$34</definedName>
    <definedName name="_xlnm.Print_Area" localSheetId="7">'Lat-Long &amp; Grid Calc 1'!$A$23:$M$41</definedName>
    <definedName name="_xlnm.Print_Area" localSheetId="8">'Lat-Long &amp; Grid Calc 2'!$A$23:$M$41</definedName>
    <definedName name="_xlnm.Print_Area" localSheetId="9">'Lat-Long &amp; Grid Calc 3'!$A$23:$M$41</definedName>
    <definedName name="_xlnm.Print_Area" localSheetId="6">'Lat-Long &amp; Grid Calc SHL'!$A$23:$M$41</definedName>
    <definedName name="_xlnm.Print_Area" localSheetId="2">'SHL Section'!$A$22:$M$40</definedName>
  </definedNames>
  <calcPr calcId="152511"/>
</workbook>
</file>

<file path=xl/calcChain.xml><?xml version="1.0" encoding="utf-8"?>
<calcChain xmlns="http://schemas.openxmlformats.org/spreadsheetml/2006/main">
  <c r="B69" i="1" l="1"/>
  <c r="B59" i="1"/>
  <c r="F58" i="1" s="1"/>
  <c r="B54" i="1"/>
  <c r="F68" i="1"/>
  <c r="F67" i="1"/>
  <c r="F63" i="1"/>
  <c r="F62" i="1"/>
  <c r="F57" i="1"/>
  <c r="F53" i="1"/>
  <c r="F52" i="1"/>
  <c r="O46" i="11" l="1"/>
  <c r="O48" i="11" s="1"/>
  <c r="O49" i="11" s="1"/>
  <c r="E20" i="11"/>
  <c r="D20" i="11"/>
  <c r="E19" i="11"/>
  <c r="D19" i="11"/>
  <c r="E16" i="11"/>
  <c r="D16" i="11"/>
  <c r="E15" i="11"/>
  <c r="D15" i="11"/>
  <c r="E13" i="11"/>
  <c r="D13" i="11"/>
  <c r="E12" i="11"/>
  <c r="D12" i="11"/>
  <c r="E10" i="11"/>
  <c r="D10" i="11"/>
  <c r="E9" i="11"/>
  <c r="D9" i="11"/>
  <c r="E7" i="11"/>
  <c r="D7" i="11"/>
  <c r="E6" i="11"/>
  <c r="D6" i="11"/>
  <c r="E5" i="11"/>
  <c r="D5" i="11"/>
  <c r="E4" i="11"/>
  <c r="D4" i="11"/>
  <c r="AE63" i="10"/>
  <c r="AW62" i="10"/>
  <c r="AL61" i="10"/>
  <c r="AK61" i="10"/>
  <c r="AL60" i="10"/>
  <c r="AK60" i="10"/>
  <c r="V57" i="10"/>
  <c r="L57" i="10"/>
  <c r="B57" i="10"/>
  <c r="AK56" i="10"/>
  <c r="AL63" i="10" s="1"/>
  <c r="AI56" i="10"/>
  <c r="AJ61" i="10" s="1"/>
  <c r="AG56" i="10"/>
  <c r="AG62" i="10" s="1"/>
  <c r="AE56" i="10"/>
  <c r="AF62" i="10" s="1"/>
  <c r="W40" i="10"/>
  <c r="A40" i="10"/>
  <c r="V24" i="10"/>
  <c r="L24" i="10"/>
  <c r="B24" i="10"/>
  <c r="AB17" i="10"/>
  <c r="AA17" i="10"/>
  <c r="S14" i="10"/>
  <c r="N14" i="10"/>
  <c r="AB11" i="10"/>
  <c r="Z11" i="10"/>
  <c r="H11" i="10"/>
  <c r="F11" i="10"/>
  <c r="AB10" i="10"/>
  <c r="Z10" i="10"/>
  <c r="H10" i="10"/>
  <c r="F10" i="10"/>
  <c r="C10" i="10"/>
  <c r="AB9" i="10"/>
  <c r="Z9" i="10"/>
  <c r="H9" i="10"/>
  <c r="F9" i="10"/>
  <c r="C9" i="10"/>
  <c r="W8" i="10"/>
  <c r="V8" i="10"/>
  <c r="T8" i="10"/>
  <c r="P5" i="10"/>
  <c r="N5" i="10"/>
  <c r="AI63" i="9"/>
  <c r="AW62" i="9"/>
  <c r="AL62" i="9"/>
  <c r="AK62" i="9"/>
  <c r="AG61" i="9"/>
  <c r="AF61" i="9"/>
  <c r="AE61" i="9"/>
  <c r="AG60" i="9"/>
  <c r="V57" i="9"/>
  <c r="L57" i="9"/>
  <c r="B57" i="9"/>
  <c r="AK56" i="9"/>
  <c r="AL61" i="9" s="1"/>
  <c r="AI56" i="9"/>
  <c r="AJ62" i="9" s="1"/>
  <c r="AG56" i="9"/>
  <c r="AH62" i="9" s="1"/>
  <c r="AE56" i="9"/>
  <c r="AE63" i="9" s="1"/>
  <c r="W40" i="9"/>
  <c r="A40" i="9"/>
  <c r="V24" i="9"/>
  <c r="L24" i="9"/>
  <c r="B24" i="9"/>
  <c r="AB17" i="9"/>
  <c r="AA17" i="9"/>
  <c r="S14" i="9"/>
  <c r="N14" i="9"/>
  <c r="AB11" i="9"/>
  <c r="Z11" i="9"/>
  <c r="H11" i="9"/>
  <c r="F11" i="9"/>
  <c r="AB10" i="9"/>
  <c r="Z10" i="9"/>
  <c r="H10" i="9"/>
  <c r="F10" i="9"/>
  <c r="C10" i="9"/>
  <c r="AB9" i="9"/>
  <c r="Z9" i="9"/>
  <c r="H9" i="9"/>
  <c r="F9" i="9"/>
  <c r="C9" i="9"/>
  <c r="W8" i="9"/>
  <c r="V8" i="9"/>
  <c r="T8" i="9"/>
  <c r="P5" i="9"/>
  <c r="N5" i="9"/>
  <c r="AW62" i="8"/>
  <c r="AK62" i="8"/>
  <c r="AJ62" i="8"/>
  <c r="AI62" i="8"/>
  <c r="AG61" i="8"/>
  <c r="AF61" i="8"/>
  <c r="V57" i="8"/>
  <c r="L57" i="8"/>
  <c r="B57" i="8"/>
  <c r="AK56" i="8"/>
  <c r="AL61" i="8" s="1"/>
  <c r="AI56" i="8"/>
  <c r="AJ61" i="8" s="1"/>
  <c r="AG56" i="8"/>
  <c r="AH62" i="8" s="1"/>
  <c r="AE56" i="8"/>
  <c r="AF62" i="8" s="1"/>
  <c r="W40" i="8"/>
  <c r="A40" i="8"/>
  <c r="V24" i="8"/>
  <c r="L24" i="8"/>
  <c r="B24" i="8"/>
  <c r="AB17" i="8"/>
  <c r="AA17" i="8"/>
  <c r="S14" i="8"/>
  <c r="N14" i="8"/>
  <c r="AB11" i="8"/>
  <c r="Z11" i="8"/>
  <c r="H11" i="8"/>
  <c r="F11" i="8"/>
  <c r="AB10" i="8"/>
  <c r="Z10" i="8"/>
  <c r="H10" i="8"/>
  <c r="F10" i="8"/>
  <c r="C10" i="8"/>
  <c r="AB9" i="8"/>
  <c r="Z9" i="8"/>
  <c r="H9" i="8"/>
  <c r="F9" i="8"/>
  <c r="C9" i="8"/>
  <c r="W8" i="8"/>
  <c r="V8" i="8"/>
  <c r="T8" i="8"/>
  <c r="P5" i="8"/>
  <c r="N5" i="8"/>
  <c r="AX109" i="7"/>
  <c r="AX110" i="7" s="1"/>
  <c r="AX108" i="7"/>
  <c r="AX107" i="7"/>
  <c r="V57" i="7"/>
  <c r="L57" i="7"/>
  <c r="B57" i="7"/>
  <c r="W40" i="7"/>
  <c r="A40" i="7"/>
  <c r="V24" i="7"/>
  <c r="L24" i="7"/>
  <c r="B24" i="7"/>
  <c r="AB17" i="7"/>
  <c r="AA17" i="7"/>
  <c r="R17" i="7"/>
  <c r="Q17" i="7"/>
  <c r="N14" i="7"/>
  <c r="AB11" i="7"/>
  <c r="Z11" i="7"/>
  <c r="J11" i="7"/>
  <c r="I11" i="7"/>
  <c r="L11" i="7" s="1"/>
  <c r="H11" i="7"/>
  <c r="F11" i="7"/>
  <c r="AB10" i="7"/>
  <c r="Z10" i="7"/>
  <c r="L10" i="7"/>
  <c r="K10" i="7"/>
  <c r="J10" i="7"/>
  <c r="I10" i="7"/>
  <c r="H10" i="7"/>
  <c r="F10" i="7"/>
  <c r="AB9" i="7"/>
  <c r="Z9" i="7"/>
  <c r="J9" i="7"/>
  <c r="I9" i="7"/>
  <c r="H9" i="7"/>
  <c r="F9" i="7"/>
  <c r="AB8" i="7"/>
  <c r="Z8" i="7"/>
  <c r="W8" i="7"/>
  <c r="V8" i="7"/>
  <c r="T8" i="7"/>
  <c r="L8" i="7"/>
  <c r="J8" i="7"/>
  <c r="I8" i="7"/>
  <c r="P5" i="7"/>
  <c r="N5" i="7"/>
  <c r="AM55" i="6"/>
  <c r="AL55" i="6"/>
  <c r="AK55" i="6"/>
  <c r="AJ55" i="6"/>
  <c r="AI55" i="6"/>
  <c r="AH55" i="6"/>
  <c r="AG55" i="6"/>
  <c r="AF55" i="6"/>
  <c r="AM54" i="6"/>
  <c r="AL54" i="6"/>
  <c r="AK54" i="6"/>
  <c r="AJ54" i="6"/>
  <c r="AI54" i="6"/>
  <c r="AH54" i="6"/>
  <c r="AG54" i="6"/>
  <c r="AF54" i="6"/>
  <c r="AM53" i="6"/>
  <c r="AL53" i="6"/>
  <c r="AK53" i="6"/>
  <c r="AJ53" i="6"/>
  <c r="AI53" i="6"/>
  <c r="AH53" i="6"/>
  <c r="AG53" i="6"/>
  <c r="AF53" i="6"/>
  <c r="AM52" i="6"/>
  <c r="AL52" i="6"/>
  <c r="AK52" i="6"/>
  <c r="AJ52" i="6"/>
  <c r="AI52" i="6"/>
  <c r="AH52" i="6"/>
  <c r="AG52" i="6"/>
  <c r="AF52" i="6"/>
  <c r="AB16" i="6"/>
  <c r="AA16" i="6"/>
  <c r="Z16" i="6"/>
  <c r="AA15" i="6"/>
  <c r="AB14" i="6"/>
  <c r="AA14" i="6"/>
  <c r="AA13" i="6"/>
  <c r="AA12" i="6"/>
  <c r="AA11" i="6"/>
  <c r="V10" i="6"/>
  <c r="H10" i="6"/>
  <c r="F10" i="6"/>
  <c r="H9" i="6"/>
  <c r="F9" i="6"/>
  <c r="B9" i="6"/>
  <c r="V8" i="6"/>
  <c r="H8" i="6"/>
  <c r="F8" i="6"/>
  <c r="B8" i="6"/>
  <c r="V7" i="6"/>
  <c r="V9" i="6" s="1"/>
  <c r="S7" i="6"/>
  <c r="R7" i="6"/>
  <c r="P7" i="6"/>
  <c r="L7" i="6"/>
  <c r="J7" i="6"/>
  <c r="AM55" i="5"/>
  <c r="AL55" i="5"/>
  <c r="AK55" i="5"/>
  <c r="AJ55" i="5"/>
  <c r="AI55" i="5"/>
  <c r="AH55" i="5"/>
  <c r="AG55" i="5"/>
  <c r="AF55" i="5"/>
  <c r="AM54" i="5"/>
  <c r="AL54" i="5"/>
  <c r="AK54" i="5"/>
  <c r="AJ54" i="5"/>
  <c r="AI54" i="5"/>
  <c r="AH54" i="5"/>
  <c r="AG54" i="5"/>
  <c r="AF54" i="5"/>
  <c r="AM53" i="5"/>
  <c r="AL53" i="5"/>
  <c r="AK53" i="5"/>
  <c r="AJ53" i="5"/>
  <c r="AI53" i="5"/>
  <c r="AH53" i="5"/>
  <c r="AG53" i="5"/>
  <c r="AF53" i="5"/>
  <c r="AM52" i="5"/>
  <c r="AL52" i="5"/>
  <c r="AK52" i="5"/>
  <c r="AJ52" i="5"/>
  <c r="AI52" i="5"/>
  <c r="AH52" i="5"/>
  <c r="AG52" i="5"/>
  <c r="AF52" i="5"/>
  <c r="AB16" i="5"/>
  <c r="AA16" i="5"/>
  <c r="Z16" i="5"/>
  <c r="AA15" i="5"/>
  <c r="AB14" i="5"/>
  <c r="AA14" i="5"/>
  <c r="AA13" i="5"/>
  <c r="AA12" i="5"/>
  <c r="AA11" i="5"/>
  <c r="V10" i="5"/>
  <c r="H10" i="5"/>
  <c r="F10" i="5"/>
  <c r="V9" i="5"/>
  <c r="H9" i="5"/>
  <c r="F9" i="5"/>
  <c r="B9" i="5"/>
  <c r="V8" i="5"/>
  <c r="H8" i="5"/>
  <c r="F8" i="5"/>
  <c r="B8" i="5"/>
  <c r="V7" i="5"/>
  <c r="S7" i="5"/>
  <c r="R7" i="5"/>
  <c r="P7" i="5"/>
  <c r="L7" i="5"/>
  <c r="J7" i="5"/>
  <c r="AM55" i="4"/>
  <c r="AL55" i="4"/>
  <c r="AK55" i="4"/>
  <c r="AJ55" i="4"/>
  <c r="AI55" i="4"/>
  <c r="AH55" i="4"/>
  <c r="AG55" i="4"/>
  <c r="AF55" i="4"/>
  <c r="AM54" i="4"/>
  <c r="AL54" i="4"/>
  <c r="AK54" i="4"/>
  <c r="AJ54" i="4"/>
  <c r="AI54" i="4"/>
  <c r="AH54" i="4"/>
  <c r="AG54" i="4"/>
  <c r="AF54" i="4"/>
  <c r="AM53" i="4"/>
  <c r="AL53" i="4"/>
  <c r="AK53" i="4"/>
  <c r="AJ53" i="4"/>
  <c r="AI53" i="4"/>
  <c r="AH53" i="4"/>
  <c r="AG53" i="4"/>
  <c r="AF53" i="4"/>
  <c r="AM52" i="4"/>
  <c r="AL52" i="4"/>
  <c r="AK52" i="4"/>
  <c r="AJ52" i="4"/>
  <c r="AI52" i="4"/>
  <c r="AH52" i="4"/>
  <c r="AG52" i="4"/>
  <c r="AF52" i="4"/>
  <c r="AB16" i="4"/>
  <c r="AA16" i="4"/>
  <c r="Z16" i="4"/>
  <c r="AA15" i="4"/>
  <c r="AB14" i="4"/>
  <c r="AA14" i="4"/>
  <c r="AA13" i="4"/>
  <c r="AA12" i="4"/>
  <c r="AA11" i="4"/>
  <c r="H10" i="4"/>
  <c r="F10" i="4"/>
  <c r="H9" i="4"/>
  <c r="F9" i="4"/>
  <c r="B9" i="4"/>
  <c r="V8" i="4"/>
  <c r="H8" i="4"/>
  <c r="F8" i="4"/>
  <c r="B8" i="4"/>
  <c r="V7" i="4"/>
  <c r="V10" i="4" s="1"/>
  <c r="S7" i="4"/>
  <c r="R7" i="4"/>
  <c r="P7" i="4"/>
  <c r="L7" i="4"/>
  <c r="J7" i="4"/>
  <c r="U61" i="3"/>
  <c r="O61" i="3"/>
  <c r="K61" i="3"/>
  <c r="E61" i="3"/>
  <c r="AZ57" i="3"/>
  <c r="AZ56" i="3"/>
  <c r="AZ60" i="3" s="1"/>
  <c r="O56" i="3"/>
  <c r="K56" i="3"/>
  <c r="AZ55" i="3"/>
  <c r="W54" i="3"/>
  <c r="B54" i="3"/>
  <c r="W46" i="3"/>
  <c r="B46" i="3"/>
  <c r="W38" i="3"/>
  <c r="B38" i="3"/>
  <c r="W30" i="3"/>
  <c r="B30" i="3"/>
  <c r="BA28" i="3"/>
  <c r="U23" i="3"/>
  <c r="O23" i="3"/>
  <c r="K23" i="3"/>
  <c r="E23" i="3"/>
  <c r="BW22" i="3"/>
  <c r="BV22" i="3"/>
  <c r="CB19" i="3"/>
  <c r="CA19" i="3"/>
  <c r="CA28" i="3" s="1"/>
  <c r="BZ19" i="3"/>
  <c r="CA22" i="3" s="1"/>
  <c r="BY19" i="3"/>
  <c r="BX19" i="3"/>
  <c r="BW28" i="3" s="1"/>
  <c r="BW19" i="3"/>
  <c r="BV19" i="3"/>
  <c r="BU19" i="3"/>
  <c r="BU28" i="3" s="1"/>
  <c r="BT19" i="3"/>
  <c r="BS28" i="3" s="1"/>
  <c r="BS19" i="3"/>
  <c r="BR19" i="3"/>
  <c r="BQ28" i="3" s="1"/>
  <c r="BQ19" i="3"/>
  <c r="BR22" i="3" s="1"/>
  <c r="BP19" i="3"/>
  <c r="BO19" i="3"/>
  <c r="BN19" i="3"/>
  <c r="BO22" i="3" s="1"/>
  <c r="BM19" i="3"/>
  <c r="BN22" i="3" s="1"/>
  <c r="BP26" i="3" s="1"/>
  <c r="BL19" i="3"/>
  <c r="BK19" i="3"/>
  <c r="BK28" i="3" s="1"/>
  <c r="BJ19" i="3"/>
  <c r="BK22" i="3" s="1"/>
  <c r="BI19" i="3"/>
  <c r="BJ22" i="3" s="1"/>
  <c r="BH19" i="3"/>
  <c r="BG19" i="3"/>
  <c r="BF19" i="3"/>
  <c r="BG22" i="3" s="1"/>
  <c r="BI26" i="3" s="1"/>
  <c r="BE19" i="3"/>
  <c r="BE28" i="3" s="1"/>
  <c r="BD19" i="3"/>
  <c r="BC28" i="3" s="1"/>
  <c r="BC19" i="3"/>
  <c r="BB19" i="3"/>
  <c r="BC22" i="3" s="1"/>
  <c r="BA19" i="3"/>
  <c r="BB22" i="3" s="1"/>
  <c r="AZ19" i="3"/>
  <c r="AY28" i="3" s="1"/>
  <c r="AY19" i="3"/>
  <c r="AX19" i="3"/>
  <c r="AW19" i="3"/>
  <c r="AX22" i="3" s="1"/>
  <c r="AG16" i="3"/>
  <c r="AF16" i="3"/>
  <c r="Q16" i="3"/>
  <c r="P16" i="3"/>
  <c r="N16" i="3"/>
  <c r="AD15" i="3"/>
  <c r="AC15" i="3"/>
  <c r="AB15" i="3"/>
  <c r="Q15" i="3"/>
  <c r="P15" i="3"/>
  <c r="N15" i="3"/>
  <c r="AQ10" i="3"/>
  <c r="V10" i="3"/>
  <c r="S10" i="3"/>
  <c r="R10" i="3"/>
  <c r="P10" i="3"/>
  <c r="G10" i="3"/>
  <c r="E10" i="3"/>
  <c r="D10" i="3"/>
  <c r="V9" i="3"/>
  <c r="S9" i="3"/>
  <c r="R9" i="3"/>
  <c r="P9" i="3"/>
  <c r="G9" i="3"/>
  <c r="E9" i="3"/>
  <c r="D9" i="3"/>
  <c r="AR8" i="3"/>
  <c r="AM6" i="3" s="1"/>
  <c r="V8" i="3"/>
  <c r="S8" i="3"/>
  <c r="R8" i="3"/>
  <c r="Q8" i="3"/>
  <c r="Q9" i="3" s="1"/>
  <c r="P8" i="3"/>
  <c r="G8" i="3"/>
  <c r="E8" i="3"/>
  <c r="D8" i="3"/>
  <c r="AS7" i="3"/>
  <c r="Y7" i="3"/>
  <c r="AR10" i="3" s="1"/>
  <c r="X7" i="3"/>
  <c r="Q7" i="3"/>
  <c r="O7" i="3"/>
  <c r="N7" i="3"/>
  <c r="K7" i="3"/>
  <c r="I7" i="3"/>
  <c r="AK6" i="3"/>
  <c r="AJ8" i="3" s="1"/>
  <c r="C3" i="3"/>
  <c r="C2" i="3"/>
  <c r="AM105" i="2"/>
  <c r="M22" i="2"/>
  <c r="L22" i="2"/>
  <c r="K22" i="2"/>
  <c r="J22" i="2"/>
  <c r="I22" i="2"/>
  <c r="H22" i="2"/>
  <c r="E19" i="2"/>
  <c r="D19" i="2"/>
  <c r="B19" i="2"/>
  <c r="AX18" i="2"/>
  <c r="AW18" i="2"/>
  <c r="AV18" i="2"/>
  <c r="AU18" i="2"/>
  <c r="AT18" i="2"/>
  <c r="AS18" i="2"/>
  <c r="E18" i="2"/>
  <c r="D18" i="2"/>
  <c r="B18" i="2"/>
  <c r="AX17" i="2"/>
  <c r="AW17" i="2"/>
  <c r="AV17" i="2"/>
  <c r="AU17" i="2"/>
  <c r="AT17" i="2"/>
  <c r="AS17" i="2"/>
  <c r="AD16" i="2"/>
  <c r="AC16" i="2"/>
  <c r="AA15" i="2"/>
  <c r="Z15" i="2"/>
  <c r="Y15" i="2"/>
  <c r="S14" i="2"/>
  <c r="R14" i="2"/>
  <c r="U14" i="2" s="1"/>
  <c r="E13" i="2"/>
  <c r="AO10" i="2"/>
  <c r="AP5" i="2" s="1"/>
  <c r="AQ5" i="2" s="1"/>
  <c r="AN10" i="2"/>
  <c r="AP6" i="2" s="1"/>
  <c r="V10" i="2"/>
  <c r="S10" i="2"/>
  <c r="R10" i="2"/>
  <c r="P10" i="2"/>
  <c r="G10" i="2"/>
  <c r="E10" i="2"/>
  <c r="D10" i="2"/>
  <c r="AX9" i="2"/>
  <c r="V9" i="2"/>
  <c r="S9" i="2"/>
  <c r="R9" i="2"/>
  <c r="P9" i="2"/>
  <c r="N9" i="2"/>
  <c r="N10" i="2" s="1"/>
  <c r="G9" i="2"/>
  <c r="E9" i="2"/>
  <c r="AW9" i="2" s="1"/>
  <c r="D9" i="2"/>
  <c r="AO8" i="2"/>
  <c r="AJ6" i="2" s="1"/>
  <c r="V8" i="2"/>
  <c r="S8" i="2"/>
  <c r="R8" i="2"/>
  <c r="P8" i="2"/>
  <c r="N8" i="2"/>
  <c r="G8" i="2"/>
  <c r="E8" i="2"/>
  <c r="D8" i="2"/>
  <c r="AP7" i="2"/>
  <c r="AO7" i="2"/>
  <c r="Q7" i="2"/>
  <c r="Q8" i="2" s="1"/>
  <c r="Q9" i="2" s="1"/>
  <c r="Q10" i="2" s="1"/>
  <c r="O7" i="2"/>
  <c r="O8" i="2" s="1"/>
  <c r="O9" i="2" s="1"/>
  <c r="O10" i="2" s="1"/>
  <c r="N7" i="2"/>
  <c r="K7" i="2"/>
  <c r="I7" i="2"/>
  <c r="AH6" i="2"/>
  <c r="AI9" i="2" s="1"/>
  <c r="AN5" i="2"/>
  <c r="C3" i="2"/>
  <c r="C2" i="2"/>
  <c r="E69" i="1"/>
  <c r="D69" i="1"/>
  <c r="C69" i="1"/>
  <c r="H67" i="1"/>
  <c r="G67" i="1"/>
  <c r="AC64" i="1"/>
  <c r="D64" i="1"/>
  <c r="B64" i="1"/>
  <c r="E64" i="1" s="1"/>
  <c r="AC63" i="1"/>
  <c r="AC62" i="1"/>
  <c r="AC61" i="1"/>
  <c r="H61" i="1"/>
  <c r="G61" i="1"/>
  <c r="AC60" i="1"/>
  <c r="AC59" i="1" s="1"/>
  <c r="E59" i="1"/>
  <c r="D59" i="1"/>
  <c r="C59" i="1"/>
  <c r="H55" i="1"/>
  <c r="G55" i="1"/>
  <c r="E54" i="1"/>
  <c r="D54" i="1"/>
  <c r="C54" i="1"/>
  <c r="W53" i="1"/>
  <c r="V32" i="1" s="1"/>
  <c r="W52" i="1"/>
  <c r="F48" i="1"/>
  <c r="F47" i="1"/>
  <c r="D47" i="1"/>
  <c r="G46" i="1"/>
  <c r="F46" i="1" s="1"/>
  <c r="V33" i="1" s="1"/>
  <c r="D46" i="1"/>
  <c r="E46" i="1" s="1"/>
  <c r="AB45" i="1"/>
  <c r="AB47" i="1" s="1"/>
  <c r="AB48" i="1" s="1"/>
  <c r="U44" i="1"/>
  <c r="P43" i="1"/>
  <c r="N43" i="1"/>
  <c r="V42" i="1"/>
  <c r="V43" i="1" s="1"/>
  <c r="U42" i="1"/>
  <c r="U43" i="1" s="1"/>
  <c r="AK41" i="1"/>
  <c r="M41" i="1"/>
  <c r="G40" i="1"/>
  <c r="C40" i="1"/>
  <c r="G39" i="1"/>
  <c r="C39" i="1"/>
  <c r="U38" i="1"/>
  <c r="V37" i="1"/>
  <c r="P37" i="1"/>
  <c r="N37" i="1"/>
  <c r="AI36" i="1"/>
  <c r="V36" i="1"/>
  <c r="O37" i="1" s="1"/>
  <c r="U36" i="1"/>
  <c r="U37" i="1" s="1"/>
  <c r="M35" i="1"/>
  <c r="P31" i="1"/>
  <c r="O31" i="1"/>
  <c r="N31" i="1"/>
  <c r="V30" i="1"/>
  <c r="U30" i="1"/>
  <c r="U31" i="1" s="1"/>
  <c r="M30" i="1"/>
  <c r="N30" i="1" s="1"/>
  <c r="I30" i="1"/>
  <c r="H30" i="1"/>
  <c r="G30" i="1"/>
  <c r="F30" i="1"/>
  <c r="AJ29" i="1"/>
  <c r="AL29" i="1" s="1"/>
  <c r="AN29" i="1" s="1"/>
  <c r="M29" i="1"/>
  <c r="D29" i="1"/>
  <c r="O42" i="1" s="1"/>
  <c r="P42" i="1" s="1"/>
  <c r="C29" i="1"/>
  <c r="O36" i="1" s="1"/>
  <c r="P36" i="1" s="1"/>
  <c r="P25" i="1"/>
  <c r="O26" i="1" s="1"/>
  <c r="O25" i="1"/>
  <c r="N25" i="1"/>
  <c r="M25" i="1"/>
  <c r="AH24" i="1"/>
  <c r="V24" i="1"/>
  <c r="U24" i="1"/>
  <c r="O24" i="1"/>
  <c r="P24" i="1" s="1"/>
  <c r="M24" i="1"/>
  <c r="N24" i="1" s="1"/>
  <c r="AH23" i="1"/>
  <c r="M23" i="1"/>
  <c r="AH22" i="1"/>
  <c r="AI21" i="1"/>
  <c r="AJ21" i="1" s="1"/>
  <c r="AH21" i="1"/>
  <c r="AH20" i="1"/>
  <c r="N15" i="1"/>
  <c r="N18" i="1" s="1"/>
  <c r="M15" i="1"/>
  <c r="M18" i="1" s="1"/>
  <c r="L15" i="1"/>
  <c r="L18" i="1" s="1"/>
  <c r="K15" i="1"/>
  <c r="K18" i="1" s="1"/>
  <c r="T14" i="1"/>
  <c r="U14" i="1" s="1"/>
  <c r="N14" i="1"/>
  <c r="N16" i="1" s="1"/>
  <c r="M14" i="1"/>
  <c r="S14" i="1" s="1"/>
  <c r="L14" i="1"/>
  <c r="L16" i="1" s="1"/>
  <c r="K14" i="1"/>
  <c r="K16" i="1" s="1"/>
  <c r="N13" i="1"/>
  <c r="T13" i="1" s="1"/>
  <c r="U13" i="1" s="1"/>
  <c r="M13" i="1"/>
  <c r="M16" i="1" s="1"/>
  <c r="L13" i="1"/>
  <c r="U7" i="2" s="1"/>
  <c r="K13" i="1"/>
  <c r="T7" i="2" s="1"/>
  <c r="O11" i="1"/>
  <c r="M8" i="1"/>
  <c r="K8" i="1"/>
  <c r="I8" i="1"/>
  <c r="V7" i="1"/>
  <c r="AL41" i="1" s="1"/>
  <c r="U7" i="1"/>
  <c r="AJ36" i="1" s="1"/>
  <c r="AL36" i="1" s="1"/>
  <c r="S7" i="1"/>
  <c r="M7" i="1"/>
  <c r="K7" i="1"/>
  <c r="I7" i="1"/>
  <c r="AN6" i="1"/>
  <c r="AM6" i="1"/>
  <c r="AL6" i="1"/>
  <c r="AP6" i="1" s="1"/>
  <c r="AK6" i="1"/>
  <c r="AI6" i="1"/>
  <c r="D48" i="1" s="1"/>
  <c r="V6" i="1"/>
  <c r="AL40" i="1" s="1"/>
  <c r="U6" i="1"/>
  <c r="AJ35" i="1" s="1"/>
  <c r="S6" i="1"/>
  <c r="M6" i="1"/>
  <c r="K6" i="1"/>
  <c r="I6" i="1"/>
  <c r="M5" i="1"/>
  <c r="K5" i="1"/>
  <c r="I5" i="1"/>
  <c r="O4" i="1"/>
  <c r="N4" i="1"/>
  <c r="M4" i="1"/>
  <c r="L4" i="1"/>
  <c r="K4" i="1"/>
  <c r="J4" i="1"/>
  <c r="AE61" i="8" l="1"/>
  <c r="AE63" i="8"/>
  <c r="AF63" i="9"/>
  <c r="AF63" i="8"/>
  <c r="AG63" i="9"/>
  <c r="AG63" i="8"/>
  <c r="AH63" i="9"/>
  <c r="AL63" i="8"/>
  <c r="AJ63" i="9"/>
  <c r="AE60" i="8"/>
  <c r="AK63" i="9"/>
  <c r="AF60" i="8"/>
  <c r="AF64" i="8" s="1"/>
  <c r="AL63" i="9"/>
  <c r="AG60" i="8"/>
  <c r="AE60" i="9"/>
  <c r="AI60" i="8"/>
  <c r="AF60" i="9"/>
  <c r="AS5" i="3"/>
  <c r="AT5" i="3" s="1"/>
  <c r="AQ5" i="3"/>
  <c r="AS6" i="3"/>
  <c r="AH14" i="1"/>
  <c r="AI14" i="1" s="1"/>
  <c r="AJ14" i="1" s="1"/>
  <c r="AK14" i="1" s="1"/>
  <c r="AL14" i="1" s="1"/>
  <c r="AM14" i="1" s="1"/>
  <c r="AN14" i="1" s="1"/>
  <c r="P19" i="1"/>
  <c r="O38" i="1"/>
  <c r="AK21" i="1"/>
  <c r="AL21" i="1" s="1"/>
  <c r="AK36" i="1"/>
  <c r="U10" i="10"/>
  <c r="U10" i="9"/>
  <c r="U10" i="7"/>
  <c r="U10" i="8"/>
  <c r="Q9" i="6"/>
  <c r="Q9" i="5"/>
  <c r="Q10" i="3"/>
  <c r="Q9" i="4"/>
  <c r="E8" i="6"/>
  <c r="E8" i="5"/>
  <c r="E8" i="4"/>
  <c r="AQ6" i="3"/>
  <c r="M27" i="1"/>
  <c r="V27" i="1"/>
  <c r="AL8" i="3"/>
  <c r="AL9" i="3"/>
  <c r="AL10" i="3"/>
  <c r="AJ10" i="3"/>
  <c r="K17" i="1"/>
  <c r="P17" i="1"/>
  <c r="M17" i="1"/>
  <c r="U27" i="1"/>
  <c r="T8" i="2"/>
  <c r="N17" i="1"/>
  <c r="O17" i="1"/>
  <c r="L17" i="1"/>
  <c r="AH6" i="1" s="1"/>
  <c r="M26" i="1"/>
  <c r="V44" i="1"/>
  <c r="AO5" i="2"/>
  <c r="AG8" i="2"/>
  <c r="AG10" i="2"/>
  <c r="M5" i="10"/>
  <c r="M5" i="9"/>
  <c r="M5" i="8"/>
  <c r="M5" i="7"/>
  <c r="I7" i="6"/>
  <c r="I7" i="5"/>
  <c r="AO55" i="3"/>
  <c r="AP54" i="3"/>
  <c r="H45" i="3"/>
  <c r="G29" i="3"/>
  <c r="AO54" i="3"/>
  <c r="AV53" i="3"/>
  <c r="G45" i="3"/>
  <c r="AT55" i="3" s="1"/>
  <c r="R28" i="3"/>
  <c r="AU53" i="3"/>
  <c r="Q28" i="3"/>
  <c r="R27" i="3" s="1"/>
  <c r="R44" i="3"/>
  <c r="H28" i="3"/>
  <c r="Q44" i="3"/>
  <c r="R43" i="3" s="1"/>
  <c r="G28" i="3"/>
  <c r="H27" i="3" s="1"/>
  <c r="AR53" i="3"/>
  <c r="H44" i="3"/>
  <c r="AQ53" i="3"/>
  <c r="AV52" i="3"/>
  <c r="G44" i="3"/>
  <c r="AP53" i="3"/>
  <c r="AU52" i="3"/>
  <c r="AO53" i="3"/>
  <c r="AV55" i="3"/>
  <c r="AL48" i="3"/>
  <c r="AU55" i="3"/>
  <c r="AV54" i="3"/>
  <c r="AR52" i="3"/>
  <c r="AU54" i="3"/>
  <c r="AQ52" i="3"/>
  <c r="AH48" i="3"/>
  <c r="AP52" i="3"/>
  <c r="AF48" i="3"/>
  <c r="I7" i="4"/>
  <c r="AP55" i="3"/>
  <c r="AQ54" i="3"/>
  <c r="Q45" i="3"/>
  <c r="H29" i="3"/>
  <c r="BY26" i="3"/>
  <c r="AI29" i="1"/>
  <c r="AK29" i="1" s="1"/>
  <c r="M31" i="1"/>
  <c r="U33" i="1"/>
  <c r="M42" i="1"/>
  <c r="N42" i="1" s="1"/>
  <c r="M44" i="1" s="1"/>
  <c r="AI8" i="2"/>
  <c r="AI10" i="2"/>
  <c r="AM106" i="2"/>
  <c r="O5" i="10"/>
  <c r="O5" i="9"/>
  <c r="O5" i="8"/>
  <c r="O5" i="7"/>
  <c r="K7" i="6"/>
  <c r="K7" i="5"/>
  <c r="AS8" i="3"/>
  <c r="V10" i="10"/>
  <c r="V10" i="8"/>
  <c r="V10" i="9"/>
  <c r="R9" i="6"/>
  <c r="V10" i="7"/>
  <c r="R9" i="5"/>
  <c r="Q29" i="3"/>
  <c r="K7" i="4"/>
  <c r="R9" i="4"/>
  <c r="G11" i="10"/>
  <c r="G11" i="9"/>
  <c r="G11" i="7"/>
  <c r="G11" i="8"/>
  <c r="AM107" i="2"/>
  <c r="AM108" i="2" s="1"/>
  <c r="AP10" i="2" s="1"/>
  <c r="W10" i="10"/>
  <c r="W10" i="8"/>
  <c r="W10" i="9"/>
  <c r="S9" i="6"/>
  <c r="W10" i="7"/>
  <c r="S9" i="5"/>
  <c r="S9" i="4"/>
  <c r="AZ26" i="3"/>
  <c r="R29" i="3"/>
  <c r="V38" i="1"/>
  <c r="U45" i="1"/>
  <c r="AP8" i="2"/>
  <c r="R8" i="10"/>
  <c r="R8" i="8"/>
  <c r="R8" i="7"/>
  <c r="R8" i="9"/>
  <c r="N7" i="6"/>
  <c r="N7" i="5"/>
  <c r="L38" i="3"/>
  <c r="N7" i="4"/>
  <c r="AW28" i="3"/>
  <c r="U25" i="1"/>
  <c r="AI35" i="1"/>
  <c r="AK35" i="1" s="1"/>
  <c r="V45" i="1"/>
  <c r="C64" i="1"/>
  <c r="AM109" i="2"/>
  <c r="S8" i="10"/>
  <c r="S8" i="7"/>
  <c r="S8" i="8"/>
  <c r="S8" i="9"/>
  <c r="O7" i="6"/>
  <c r="O7" i="5"/>
  <c r="O7" i="4"/>
  <c r="O8" i="3"/>
  <c r="T10" i="10"/>
  <c r="T10" i="9"/>
  <c r="T10" i="7"/>
  <c r="T10" i="8"/>
  <c r="P9" i="6"/>
  <c r="P9" i="5"/>
  <c r="P9" i="4"/>
  <c r="AN6" i="2"/>
  <c r="AT8" i="2" s="1"/>
  <c r="C2" i="10"/>
  <c r="C2" i="9"/>
  <c r="C2" i="8"/>
  <c r="C2" i="7"/>
  <c r="C2" i="5"/>
  <c r="C2" i="6"/>
  <c r="C2" i="4"/>
  <c r="U8" i="10"/>
  <c r="U8" i="9"/>
  <c r="U8" i="8"/>
  <c r="Q7" i="6"/>
  <c r="U8" i="7"/>
  <c r="Q7" i="5"/>
  <c r="Q7" i="4"/>
  <c r="T9" i="10"/>
  <c r="T9" i="9"/>
  <c r="T9" i="8"/>
  <c r="T9" i="7"/>
  <c r="P8" i="6"/>
  <c r="P8" i="5"/>
  <c r="P8" i="4"/>
  <c r="D9" i="6"/>
  <c r="D9" i="5"/>
  <c r="D9" i="4"/>
  <c r="AW10" i="3"/>
  <c r="BO28" i="3"/>
  <c r="AS55" i="3" s="1"/>
  <c r="R45" i="3"/>
  <c r="AR54" i="3"/>
  <c r="V31" i="1"/>
  <c r="C3" i="10"/>
  <c r="C3" i="9"/>
  <c r="C3" i="7"/>
  <c r="C3" i="8"/>
  <c r="C3" i="5"/>
  <c r="C3" i="6"/>
  <c r="C3" i="4"/>
  <c r="T7" i="3"/>
  <c r="U9" i="10"/>
  <c r="U9" i="9"/>
  <c r="U9" i="8"/>
  <c r="Q8" i="6"/>
  <c r="U9" i="7"/>
  <c r="Q8" i="5"/>
  <c r="Q8" i="4"/>
  <c r="E10" i="10"/>
  <c r="E10" i="9"/>
  <c r="E10" i="7"/>
  <c r="E10" i="8"/>
  <c r="AS54" i="3"/>
  <c r="V25" i="1"/>
  <c r="S13" i="1"/>
  <c r="AI24" i="1"/>
  <c r="AJ24" i="1" s="1"/>
  <c r="M43" i="1"/>
  <c r="AW8" i="2"/>
  <c r="U7" i="3"/>
  <c r="V9" i="10"/>
  <c r="V9" i="9"/>
  <c r="V9" i="7"/>
  <c r="V9" i="8"/>
  <c r="R8" i="6"/>
  <c r="R8" i="5"/>
  <c r="R8" i="4"/>
  <c r="G10" i="10"/>
  <c r="G10" i="8"/>
  <c r="G10" i="9"/>
  <c r="G10" i="7"/>
  <c r="T11" i="10"/>
  <c r="T11" i="9"/>
  <c r="T11" i="8"/>
  <c r="P10" i="6"/>
  <c r="T11" i="7"/>
  <c r="P10" i="5"/>
  <c r="P10" i="4"/>
  <c r="AQ55" i="3"/>
  <c r="AI23" i="1"/>
  <c r="AJ23" i="1" s="1"/>
  <c r="N5" i="1"/>
  <c r="AI20" i="1"/>
  <c r="AJ20" i="1" s="1"/>
  <c r="U26" i="1"/>
  <c r="U39" i="1"/>
  <c r="AX8" i="2"/>
  <c r="AW10" i="2"/>
  <c r="I5" i="10"/>
  <c r="I5" i="9"/>
  <c r="I5" i="8"/>
  <c r="I5" i="7"/>
  <c r="W9" i="10"/>
  <c r="W9" i="9"/>
  <c r="W9" i="7"/>
  <c r="W9" i="8"/>
  <c r="S8" i="5"/>
  <c r="S8" i="6"/>
  <c r="S8" i="4"/>
  <c r="AJ9" i="3"/>
  <c r="AR55" i="3"/>
  <c r="N7" i="1"/>
  <c r="V26" i="1"/>
  <c r="V39" i="1"/>
  <c r="O43" i="1"/>
  <c r="N8" i="1" s="1"/>
  <c r="AG9" i="2"/>
  <c r="AX10" i="2"/>
  <c r="J5" i="10"/>
  <c r="J5" i="9"/>
  <c r="J5" i="7"/>
  <c r="J5" i="8"/>
  <c r="V11" i="10"/>
  <c r="V11" i="9"/>
  <c r="V11" i="8"/>
  <c r="V11" i="7"/>
  <c r="R10" i="6"/>
  <c r="R10" i="5"/>
  <c r="R10" i="4"/>
  <c r="M37" i="1"/>
  <c r="O7" i="1" s="1"/>
  <c r="AB46" i="1"/>
  <c r="W11" i="10"/>
  <c r="W11" i="9"/>
  <c r="W11" i="7"/>
  <c r="W11" i="8"/>
  <c r="S10" i="6"/>
  <c r="S10" i="5"/>
  <c r="S10" i="4"/>
  <c r="D8" i="5"/>
  <c r="D8" i="6"/>
  <c r="D8" i="4"/>
  <c r="AW9" i="3"/>
  <c r="AY22" i="3"/>
  <c r="BA26" i="3" s="1"/>
  <c r="O5" i="1"/>
  <c r="AO6" i="1"/>
  <c r="AI22" i="1"/>
  <c r="AJ22" i="1" s="1"/>
  <c r="M36" i="1"/>
  <c r="N36" i="1" s="1"/>
  <c r="K19" i="1" s="1"/>
  <c r="AK40" i="1"/>
  <c r="E9" i="10"/>
  <c r="E9" i="9"/>
  <c r="E9" i="8"/>
  <c r="E9" i="7"/>
  <c r="AX9" i="3"/>
  <c r="BG28" i="3"/>
  <c r="BF22" i="3"/>
  <c r="BH26" i="3" s="1"/>
  <c r="O30" i="1"/>
  <c r="P30" i="1" s="1"/>
  <c r="O32" i="1" s="1"/>
  <c r="U32" i="1"/>
  <c r="AU9" i="2"/>
  <c r="AS9" i="2" s="1"/>
  <c r="T14" i="2"/>
  <c r="G9" i="10"/>
  <c r="G9" i="9"/>
  <c r="G9" i="7"/>
  <c r="G9" i="8"/>
  <c r="D10" i="6"/>
  <c r="D10" i="5"/>
  <c r="D10" i="4"/>
  <c r="E11" i="10"/>
  <c r="E11" i="9"/>
  <c r="E11" i="8"/>
  <c r="E11" i="7"/>
  <c r="BI28" i="3"/>
  <c r="AT52" i="3" s="1"/>
  <c r="BY28" i="3"/>
  <c r="BZ22" i="3"/>
  <c r="BX26" i="3" s="1"/>
  <c r="BS22" i="3"/>
  <c r="BQ26" i="3" s="1"/>
  <c r="AO52" i="3"/>
  <c r="AZ58" i="3"/>
  <c r="AZ59" i="3" s="1"/>
  <c r="V9" i="4"/>
  <c r="BM28" i="3"/>
  <c r="AS53" i="3" s="1"/>
  <c r="L9" i="7"/>
  <c r="K9" i="7"/>
  <c r="AL64" i="10"/>
  <c r="AE64" i="8"/>
  <c r="K8" i="7"/>
  <c r="K11" i="7"/>
  <c r="AL62" i="8"/>
  <c r="AH63" i="8"/>
  <c r="AI63" i="8"/>
  <c r="AJ63" i="8"/>
  <c r="AK63" i="8"/>
  <c r="G16" i="11"/>
  <c r="F16" i="11"/>
  <c r="AH61" i="10"/>
  <c r="AH60" i="10"/>
  <c r="AG61" i="10"/>
  <c r="AG60" i="10"/>
  <c r="AH63" i="10"/>
  <c r="AG63" i="10"/>
  <c r="AH62" i="10"/>
  <c r="H16" i="11"/>
  <c r="AH60" i="8"/>
  <c r="AH61" i="8"/>
  <c r="H7" i="11"/>
  <c r="AI61" i="8"/>
  <c r="AE62" i="8"/>
  <c r="AJ60" i="8"/>
  <c r="AK60" i="8"/>
  <c r="AK61" i="8"/>
  <c r="AG62" i="8"/>
  <c r="AL60" i="8"/>
  <c r="AL64" i="8" s="1"/>
  <c r="G10" i="11"/>
  <c r="H10" i="11" s="1"/>
  <c r="F10" i="11"/>
  <c r="AI62" i="10"/>
  <c r="AJ62" i="10"/>
  <c r="F5" i="11"/>
  <c r="AK62" i="10"/>
  <c r="AK64" i="10" s="1"/>
  <c r="AF63" i="10"/>
  <c r="G5" i="11"/>
  <c r="H5" i="11" s="1"/>
  <c r="AL62" i="10"/>
  <c r="AI63" i="10"/>
  <c r="AJ63" i="10"/>
  <c r="F6" i="11"/>
  <c r="AH60" i="9"/>
  <c r="AH61" i="9"/>
  <c r="AK63" i="10"/>
  <c r="G6" i="11"/>
  <c r="H6" i="11" s="1"/>
  <c r="F20" i="11"/>
  <c r="AI60" i="9"/>
  <c r="AI61" i="9"/>
  <c r="AE62" i="9"/>
  <c r="AE64" i="9" s="1"/>
  <c r="AE60" i="10"/>
  <c r="AE61" i="10"/>
  <c r="G20" i="11"/>
  <c r="H20" i="11" s="1"/>
  <c r="AJ60" i="9"/>
  <c r="AJ61" i="9"/>
  <c r="AF62" i="9"/>
  <c r="AF64" i="9" s="1"/>
  <c r="AF60" i="10"/>
  <c r="AF61" i="10"/>
  <c r="F13" i="11"/>
  <c r="AK60" i="9"/>
  <c r="AK64" i="9" s="1"/>
  <c r="AK61" i="9"/>
  <c r="AG62" i="9"/>
  <c r="AG64" i="9" s="1"/>
  <c r="G13" i="11"/>
  <c r="H13" i="11" s="1"/>
  <c r="AL60" i="9"/>
  <c r="F7" i="11"/>
  <c r="O47" i="11"/>
  <c r="AI62" i="9"/>
  <c r="AI60" i="10"/>
  <c r="AI64" i="10" s="1"/>
  <c r="AI61" i="10"/>
  <c r="AE62" i="10"/>
  <c r="G7" i="11"/>
  <c r="AJ60" i="10"/>
  <c r="AG64" i="8" l="1"/>
  <c r="AL64" i="9"/>
  <c r="AI64" i="8"/>
  <c r="AK24" i="1"/>
  <c r="AL24" i="1" s="1"/>
  <c r="AK22" i="1"/>
  <c r="AL22" i="1" s="1"/>
  <c r="AN21" i="1"/>
  <c r="AM21" i="1"/>
  <c r="AK20" i="1"/>
  <c r="AL20" i="1" s="1"/>
  <c r="AO14" i="1"/>
  <c r="W6" i="1" s="1"/>
  <c r="AP14" i="1"/>
  <c r="X6" i="1" s="1"/>
  <c r="AQ14" i="1"/>
  <c r="O45" i="1"/>
  <c r="AL23" i="1"/>
  <c r="AK23" i="1"/>
  <c r="M33" i="1"/>
  <c r="O6" i="1"/>
  <c r="N6" i="1"/>
  <c r="O27" i="1"/>
  <c r="L5" i="1" s="1"/>
  <c r="J5" i="1"/>
  <c r="L5" i="7"/>
  <c r="K5" i="7"/>
  <c r="T10" i="2"/>
  <c r="O19" i="1"/>
  <c r="N19" i="1"/>
  <c r="L19" i="1"/>
  <c r="AH7" i="1" s="1"/>
  <c r="M38" i="1"/>
  <c r="AT9" i="2"/>
  <c r="AI32" i="2" s="1"/>
  <c r="M39" i="1"/>
  <c r="AM55" i="3"/>
  <c r="AL55" i="3"/>
  <c r="AM54" i="3"/>
  <c r="AL54" i="3"/>
  <c r="AM53" i="3"/>
  <c r="Q43" i="3"/>
  <c r="AM23" i="3"/>
  <c r="AL53" i="3"/>
  <c r="AL52" i="3"/>
  <c r="AM52" i="3"/>
  <c r="AL23" i="3"/>
  <c r="M32" i="1"/>
  <c r="AI64" i="9"/>
  <c r="W39" i="3"/>
  <c r="A39" i="3"/>
  <c r="V23" i="3"/>
  <c r="V56" i="3"/>
  <c r="L56" i="3"/>
  <c r="L23" i="3"/>
  <c r="B56" i="3"/>
  <c r="B23" i="3"/>
  <c r="AS52" i="3"/>
  <c r="AT53" i="3"/>
  <c r="M19" i="1"/>
  <c r="U7" i="6"/>
  <c r="U7" i="5"/>
  <c r="U7" i="4"/>
  <c r="U10" i="3"/>
  <c r="AV9" i="3"/>
  <c r="U8" i="3"/>
  <c r="X9" i="3"/>
  <c r="U9" i="3"/>
  <c r="AV8" i="3"/>
  <c r="AL31" i="1"/>
  <c r="AK31" i="1"/>
  <c r="AM29" i="1"/>
  <c r="U9" i="2"/>
  <c r="AL35" i="1"/>
  <c r="AN39" i="2"/>
  <c r="AO39" i="2" s="1"/>
  <c r="AP39" i="2" s="1"/>
  <c r="AQ39" i="2" s="1"/>
  <c r="AR39" i="2" s="1"/>
  <c r="AS39" i="2" s="1"/>
  <c r="AT39" i="2" s="1"/>
  <c r="AU8" i="2"/>
  <c r="AR5" i="3"/>
  <c r="AX10" i="3"/>
  <c r="AV10" i="3" s="1"/>
  <c r="AX8" i="3"/>
  <c r="X8" i="3" s="1"/>
  <c r="AW8" i="3"/>
  <c r="AG64" i="10"/>
  <c r="AN40" i="2"/>
  <c r="AO40" i="2" s="1"/>
  <c r="AP40" i="2" s="1"/>
  <c r="AQ40" i="2" s="1"/>
  <c r="AR40" i="2" s="1"/>
  <c r="AS40" i="2" s="1"/>
  <c r="AT40" i="2" s="1"/>
  <c r="P8" i="9"/>
  <c r="O8" i="9"/>
  <c r="N8" i="9"/>
  <c r="M8" i="9"/>
  <c r="L8" i="9"/>
  <c r="K8" i="9"/>
  <c r="J8" i="9"/>
  <c r="I8" i="9"/>
  <c r="CD22" i="3"/>
  <c r="CE20" i="3" s="1"/>
  <c r="AF53" i="3"/>
  <c r="AG52" i="3"/>
  <c r="AF52" i="3"/>
  <c r="Q27" i="3"/>
  <c r="AG55" i="3"/>
  <c r="AF55" i="3"/>
  <c r="AG54" i="3"/>
  <c r="AF54" i="3"/>
  <c r="AG20" i="3"/>
  <c r="AG53" i="3"/>
  <c r="AF20" i="3"/>
  <c r="AH32" i="2"/>
  <c r="M15" i="10"/>
  <c r="Z7" i="10" s="1"/>
  <c r="M15" i="9"/>
  <c r="Z7" i="9" s="1"/>
  <c r="M15" i="7"/>
  <c r="Z7" i="7" s="1"/>
  <c r="M15" i="8"/>
  <c r="Z7" i="8" s="1"/>
  <c r="AH64" i="8"/>
  <c r="CE22" i="3"/>
  <c r="E9" i="6"/>
  <c r="E9" i="5"/>
  <c r="E9" i="4"/>
  <c r="AH28" i="7"/>
  <c r="AG28" i="7"/>
  <c r="AL30" i="7"/>
  <c r="O8" i="7"/>
  <c r="AK30" i="7"/>
  <c r="M8" i="7"/>
  <c r="AI29" i="7"/>
  <c r="AE27" i="7"/>
  <c r="P8" i="7"/>
  <c r="N8" i="7"/>
  <c r="AJ29" i="7"/>
  <c r="AF27" i="7"/>
  <c r="Y11" i="7"/>
  <c r="AH64" i="9"/>
  <c r="AH64" i="10"/>
  <c r="AU10" i="2"/>
  <c r="I8" i="8"/>
  <c r="P8" i="8"/>
  <c r="O8" i="8"/>
  <c r="N8" i="8"/>
  <c r="M8" i="8"/>
  <c r="J8" i="8"/>
  <c r="L8" i="8"/>
  <c r="K8" i="8"/>
  <c r="AT54" i="3"/>
  <c r="E10" i="6"/>
  <c r="E10" i="5"/>
  <c r="E10" i="4"/>
  <c r="AN38" i="2"/>
  <c r="AO38" i="2" s="1"/>
  <c r="AP38" i="2" s="1"/>
  <c r="AQ38" i="2" s="1"/>
  <c r="AR38" i="2" s="1"/>
  <c r="AS38" i="2" s="1"/>
  <c r="AT38" i="2" s="1"/>
  <c r="P8" i="10"/>
  <c r="O8" i="10"/>
  <c r="N8" i="10"/>
  <c r="M8" i="10"/>
  <c r="L8" i="10"/>
  <c r="K8" i="10"/>
  <c r="J8" i="10"/>
  <c r="I8" i="10"/>
  <c r="U8" i="2"/>
  <c r="G10" i="6"/>
  <c r="G10" i="5"/>
  <c r="G10" i="4"/>
  <c r="U11" i="10"/>
  <c r="U11" i="9"/>
  <c r="U11" i="8"/>
  <c r="Q10" i="6"/>
  <c r="U11" i="7"/>
  <c r="Q10" i="5"/>
  <c r="Q10" i="4"/>
  <c r="AT10" i="2"/>
  <c r="AE64" i="10"/>
  <c r="O8" i="1"/>
  <c r="T7" i="6"/>
  <c r="T7" i="5"/>
  <c r="T7" i="4"/>
  <c r="Y8" i="3"/>
  <c r="T10" i="3"/>
  <c r="T8" i="3"/>
  <c r="Y9" i="3"/>
  <c r="T9" i="3"/>
  <c r="AI52" i="3"/>
  <c r="AH52" i="3"/>
  <c r="AI55" i="3"/>
  <c r="AH55" i="3"/>
  <c r="AI54" i="3"/>
  <c r="AI21" i="3"/>
  <c r="AH54" i="3"/>
  <c r="AH21" i="3"/>
  <c r="G27" i="3"/>
  <c r="AH53" i="3"/>
  <c r="AI53" i="3"/>
  <c r="U10" i="2"/>
  <c r="G9" i="6"/>
  <c r="G9" i="5"/>
  <c r="G9" i="4"/>
  <c r="O44" i="1"/>
  <c r="AK64" i="8"/>
  <c r="AJ64" i="10"/>
  <c r="T9" i="2"/>
  <c r="G8" i="6"/>
  <c r="G8" i="5"/>
  <c r="G8" i="4"/>
  <c r="AF64" i="10"/>
  <c r="AJ64" i="8"/>
  <c r="AJ64" i="9"/>
  <c r="S9" i="10"/>
  <c r="S9" i="9"/>
  <c r="S9" i="8"/>
  <c r="O8" i="6"/>
  <c r="S9" i="7"/>
  <c r="O8" i="5"/>
  <c r="O8" i="4"/>
  <c r="O9" i="3"/>
  <c r="AW38" i="2" l="1"/>
  <c r="AU38" i="2"/>
  <c r="AV38" i="2"/>
  <c r="AU39" i="2"/>
  <c r="AV39" i="2"/>
  <c r="AW39" i="2"/>
  <c r="AW40" i="2"/>
  <c r="AV40" i="2"/>
  <c r="AU40" i="2"/>
  <c r="AM20" i="1"/>
  <c r="AN20" i="1" s="1"/>
  <c r="X10" i="3"/>
  <c r="Y10" i="3"/>
  <c r="AM22" i="1"/>
  <c r="AN22" i="1" s="1"/>
  <c r="AM24" i="1"/>
  <c r="AN24" i="1" s="1"/>
  <c r="U10" i="5"/>
  <c r="U8" i="5"/>
  <c r="U9" i="5"/>
  <c r="J6" i="1"/>
  <c r="O33" i="1"/>
  <c r="L6" i="1" s="1"/>
  <c r="AS10" i="2"/>
  <c r="AH33" i="2" s="1"/>
  <c r="AH15" i="1"/>
  <c r="AI15" i="1" s="1"/>
  <c r="AJ15" i="1" s="1"/>
  <c r="AK15" i="1" s="1"/>
  <c r="AL15" i="1" s="1"/>
  <c r="AM15" i="1" s="1"/>
  <c r="AN15" i="1" s="1"/>
  <c r="K5" i="10"/>
  <c r="K5" i="9"/>
  <c r="K5" i="8"/>
  <c r="Y8" i="7"/>
  <c r="Y10" i="7"/>
  <c r="AN31" i="1"/>
  <c r="AM31" i="1"/>
  <c r="AJ48" i="3"/>
  <c r="AU23" i="3"/>
  <c r="AQ23" i="3"/>
  <c r="AO23" i="3"/>
  <c r="AK23" i="3"/>
  <c r="AG23" i="3"/>
  <c r="AS23" i="3"/>
  <c r="AI23" i="3"/>
  <c r="L5" i="10"/>
  <c r="L5" i="9"/>
  <c r="L5" i="8"/>
  <c r="AA8" i="7"/>
  <c r="AA10" i="7"/>
  <c r="AA11" i="7"/>
  <c r="AJ31" i="7"/>
  <c r="AT27" i="7"/>
  <c r="AH31" i="7"/>
  <c r="AR27" i="7"/>
  <c r="AF31" i="7"/>
  <c r="AP27" i="7"/>
  <c r="AT31" i="7"/>
  <c r="AN27" i="7"/>
  <c r="AR31" i="7"/>
  <c r="AL27" i="7"/>
  <c r="AN31" i="7"/>
  <c r="AL31" i="7"/>
  <c r="AJ27" i="7"/>
  <c r="AH27" i="7"/>
  <c r="AP31" i="7"/>
  <c r="AT29" i="7"/>
  <c r="AR29" i="7"/>
  <c r="AP29" i="7"/>
  <c r="AN29" i="7"/>
  <c r="AL29" i="7"/>
  <c r="AH29" i="7"/>
  <c r="AF29" i="7"/>
  <c r="AQ21" i="1"/>
  <c r="AP21" i="1"/>
  <c r="T17" i="1" s="1"/>
  <c r="U17" i="1" s="1"/>
  <c r="AO21" i="1"/>
  <c r="S17" i="1" s="1"/>
  <c r="AO30" i="7"/>
  <c r="AM30" i="7"/>
  <c r="AI30" i="7"/>
  <c r="AG30" i="7"/>
  <c r="AK56" i="7"/>
  <c r="AE30" i="7"/>
  <c r="AS30" i="7"/>
  <c r="AQ30" i="7"/>
  <c r="AE28" i="7"/>
  <c r="AS28" i="7"/>
  <c r="AQ28" i="7"/>
  <c r="AO28" i="7"/>
  <c r="AM28" i="7"/>
  <c r="AG56" i="7"/>
  <c r="AK28" i="7"/>
  <c r="AI28" i="7"/>
  <c r="U9" i="6"/>
  <c r="U10" i="6"/>
  <c r="U8" i="6"/>
  <c r="AF23" i="3"/>
  <c r="AT23" i="3"/>
  <c r="AR23" i="3"/>
  <c r="AP23" i="3"/>
  <c r="AN23" i="3"/>
  <c r="AJ23" i="3"/>
  <c r="AH23" i="3"/>
  <c r="T10" i="4"/>
  <c r="T9" i="4"/>
  <c r="T8" i="4"/>
  <c r="AS8" i="2"/>
  <c r="AI31" i="2" s="1"/>
  <c r="T9" i="5"/>
  <c r="T10" i="5"/>
  <c r="T8" i="5"/>
  <c r="AN21" i="3"/>
  <c r="AF21" i="3"/>
  <c r="AT21" i="3"/>
  <c r="AP21" i="3"/>
  <c r="AL21" i="3"/>
  <c r="AJ21" i="3"/>
  <c r="AR21" i="3"/>
  <c r="T10" i="6"/>
  <c r="T9" i="6"/>
  <c r="T8" i="6"/>
  <c r="AI31" i="7"/>
  <c r="AS27" i="7"/>
  <c r="AG31" i="7"/>
  <c r="AQ27" i="7"/>
  <c r="AE31" i="7"/>
  <c r="AO27" i="7"/>
  <c r="AS31" i="7"/>
  <c r="AM27" i="7"/>
  <c r="AQ31" i="7"/>
  <c r="AK27" i="7"/>
  <c r="AO31" i="7"/>
  <c r="AI27" i="7"/>
  <c r="AM31" i="7"/>
  <c r="AK31" i="7"/>
  <c r="AE56" i="7"/>
  <c r="AG27" i="7"/>
  <c r="Y9" i="7"/>
  <c r="L8" i="1"/>
  <c r="M45" i="1"/>
  <c r="J8" i="1" s="1"/>
  <c r="AO20" i="3"/>
  <c r="AI20" i="3"/>
  <c r="AU20" i="3"/>
  <c r="AS20" i="3"/>
  <c r="AQ20" i="3"/>
  <c r="AM20" i="3"/>
  <c r="AK20" i="3"/>
  <c r="AF28" i="7"/>
  <c r="AT28" i="7"/>
  <c r="AR28" i="7"/>
  <c r="AP28" i="7"/>
  <c r="AL28" i="7"/>
  <c r="AN28" i="7"/>
  <c r="AJ28" i="7"/>
  <c r="AS29" i="7"/>
  <c r="AQ29" i="7"/>
  <c r="AO29" i="7"/>
  <c r="AM29" i="7"/>
  <c r="AK29" i="7"/>
  <c r="AI56" i="7"/>
  <c r="AG29" i="7"/>
  <c r="AE29" i="7"/>
  <c r="AO21" i="3"/>
  <c r="AM21" i="3"/>
  <c r="AK21" i="3"/>
  <c r="AG21" i="3"/>
  <c r="AU21" i="3"/>
  <c r="AS21" i="3"/>
  <c r="AQ21" i="3"/>
  <c r="S10" i="10"/>
  <c r="S10" i="9"/>
  <c r="S10" i="7"/>
  <c r="S10" i="8"/>
  <c r="O9" i="5"/>
  <c r="O9" i="6"/>
  <c r="O9" i="4"/>
  <c r="O10" i="3"/>
  <c r="AM23" i="1"/>
  <c r="AN23" i="1" s="1"/>
  <c r="AP20" i="3"/>
  <c r="AN20" i="3"/>
  <c r="AL20" i="3"/>
  <c r="AJ20" i="3"/>
  <c r="AT20" i="3"/>
  <c r="AR20" i="3"/>
  <c r="AH20" i="3"/>
  <c r="AP30" i="7"/>
  <c r="AN30" i="7"/>
  <c r="AJ30" i="7"/>
  <c r="AH30" i="7"/>
  <c r="AT30" i="7"/>
  <c r="AR30" i="7"/>
  <c r="AF30" i="7"/>
  <c r="U9" i="4"/>
  <c r="U8" i="4"/>
  <c r="U10" i="4"/>
  <c r="AA9" i="7"/>
  <c r="J7" i="1"/>
  <c r="O39" i="1"/>
  <c r="L7" i="1" s="1"/>
  <c r="AP24" i="1" l="1"/>
  <c r="AQ24" i="1"/>
  <c r="AO24" i="1"/>
  <c r="AP22" i="1"/>
  <c r="AQ22" i="1"/>
  <c r="AO22" i="1"/>
  <c r="AP20" i="1"/>
  <c r="T16" i="1" s="1"/>
  <c r="U16" i="1" s="1"/>
  <c r="AQ20" i="1"/>
  <c r="AO20" i="1"/>
  <c r="S16" i="1" s="1"/>
  <c r="AO15" i="1"/>
  <c r="W7" i="1" s="1"/>
  <c r="AP15" i="1"/>
  <c r="X7" i="1" s="1"/>
  <c r="AQ15" i="1"/>
  <c r="AP23" i="1"/>
  <c r="AQ23" i="1"/>
  <c r="AO23" i="1"/>
  <c r="AH61" i="7"/>
  <c r="AH60" i="7"/>
  <c r="AG61" i="7"/>
  <c r="AG60" i="7"/>
  <c r="AH63" i="7"/>
  <c r="AG63" i="7"/>
  <c r="AH62" i="7"/>
  <c r="AG62" i="7"/>
  <c r="AH31" i="2"/>
  <c r="S11" i="10"/>
  <c r="S11" i="9"/>
  <c r="S11" i="8"/>
  <c r="S11" i="7"/>
  <c r="O10" i="6"/>
  <c r="O10" i="5"/>
  <c r="O10" i="4"/>
  <c r="AJ63" i="7"/>
  <c r="AI63" i="7"/>
  <c r="AJ62" i="7"/>
  <c r="AI62" i="7"/>
  <c r="AI61" i="7"/>
  <c r="AI60" i="7"/>
  <c r="AI64" i="7" s="1"/>
  <c r="AJ61" i="7"/>
  <c r="AJ60" i="7"/>
  <c r="AF33" i="2"/>
  <c r="R17" i="2"/>
  <c r="AI33" i="2"/>
  <c r="AL63" i="7"/>
  <c r="AK63" i="7"/>
  <c r="AL62" i="7"/>
  <c r="AK62" i="7"/>
  <c r="AL61" i="7"/>
  <c r="AL60" i="7"/>
  <c r="AK61" i="7"/>
  <c r="AK60" i="7"/>
  <c r="S16" i="2"/>
  <c r="AG32" i="2"/>
  <c r="AF61" i="7"/>
  <c r="AF60" i="7"/>
  <c r="AE61" i="7"/>
  <c r="AE60" i="7"/>
  <c r="AF63" i="7"/>
  <c r="AE63" i="7"/>
  <c r="AE62" i="7"/>
  <c r="AF62" i="7"/>
  <c r="AK52" i="3"/>
  <c r="AJ52" i="3"/>
  <c r="AK55" i="3"/>
  <c r="AJ55" i="3"/>
  <c r="AK54" i="3"/>
  <c r="AK22" i="3"/>
  <c r="AJ54" i="3"/>
  <c r="AK53" i="3"/>
  <c r="G43" i="3"/>
  <c r="AJ53" i="3"/>
  <c r="AJ22" i="3"/>
  <c r="I3" i="3"/>
  <c r="M7" i="3"/>
  <c r="H43" i="3"/>
  <c r="R16" i="2"/>
  <c r="AF32" i="2"/>
  <c r="AG31" i="2"/>
  <c r="S15" i="2"/>
  <c r="AG33" i="2"/>
  <c r="S17" i="2"/>
  <c r="R15" i="2"/>
  <c r="AF31" i="2"/>
  <c r="AG64" i="7" l="1"/>
  <c r="AJ64" i="7"/>
  <c r="Q8" i="10"/>
  <c r="Q8" i="9"/>
  <c r="Q8" i="7"/>
  <c r="Q8" i="8"/>
  <c r="M7" i="6"/>
  <c r="M7" i="5"/>
  <c r="M7" i="4"/>
  <c r="AF64" i="7"/>
  <c r="P16" i="1"/>
  <c r="O16" i="1"/>
  <c r="AN35" i="1"/>
  <c r="AP35" i="1" s="1"/>
  <c r="AM35" i="1"/>
  <c r="AO35" i="1" s="1"/>
  <c r="AE64" i="7"/>
  <c r="U16" i="2"/>
  <c r="T16" i="2"/>
  <c r="AP16" i="2"/>
  <c r="AO16" i="2"/>
  <c r="AX30" i="2"/>
  <c r="AX29" i="2"/>
  <c r="AN22" i="3"/>
  <c r="AH22" i="3"/>
  <c r="AF22" i="3"/>
  <c r="AT22" i="3"/>
  <c r="AR22" i="3"/>
  <c r="AP22" i="3"/>
  <c r="AL22" i="3"/>
  <c r="AT24" i="3"/>
  <c r="AR24" i="3"/>
  <c r="AJ24" i="3"/>
  <c r="AP24" i="3"/>
  <c r="AH24" i="3"/>
  <c r="AN24" i="3"/>
  <c r="AF24" i="3"/>
  <c r="AL24" i="3"/>
  <c r="AN32" i="2"/>
  <c r="AN31" i="2"/>
  <c r="AP31" i="2" s="1"/>
  <c r="AU21" i="2"/>
  <c r="AV21" i="2" s="1"/>
  <c r="AU22" i="2"/>
  <c r="AV22" i="2" s="1"/>
  <c r="O18" i="1"/>
  <c r="P18" i="1"/>
  <c r="AO22" i="3"/>
  <c r="AM22" i="3"/>
  <c r="AI22" i="3"/>
  <c r="AU22" i="3"/>
  <c r="AS22" i="3"/>
  <c r="AQ22" i="3"/>
  <c r="AG22" i="3"/>
  <c r="AU24" i="3"/>
  <c r="AQ24" i="3"/>
  <c r="AI24" i="3"/>
  <c r="AG24" i="3"/>
  <c r="AO24" i="3"/>
  <c r="AM24" i="3"/>
  <c r="AK24" i="3"/>
  <c r="AS24" i="3"/>
  <c r="AO17" i="2"/>
  <c r="AP17" i="2"/>
  <c r="U17" i="2"/>
  <c r="T17" i="2"/>
  <c r="AX31" i="2"/>
  <c r="AX32" i="2"/>
  <c r="AO31" i="2"/>
  <c r="AO32" i="2"/>
  <c r="AP32" i="2" s="1"/>
  <c r="AN33" i="2"/>
  <c r="AP34" i="2"/>
  <c r="AN34" i="2"/>
  <c r="AW21" i="2"/>
  <c r="AX21" i="2" s="1"/>
  <c r="AW22" i="2"/>
  <c r="AX22" i="2" s="1"/>
  <c r="AK64" i="7"/>
  <c r="AL64" i="7"/>
  <c r="AN36" i="1"/>
  <c r="AP36" i="1" s="1"/>
  <c r="AM36" i="1"/>
  <c r="AO36" i="1" s="1"/>
  <c r="AN29" i="2"/>
  <c r="AN30" i="2"/>
  <c r="AO30" i="2" s="1"/>
  <c r="AS22" i="2"/>
  <c r="AT22" i="2" s="1"/>
  <c r="AS21" i="2"/>
  <c r="AT21" i="2" s="1"/>
  <c r="U15" i="2"/>
  <c r="T15" i="2"/>
  <c r="AX33" i="2"/>
  <c r="AO18" i="2"/>
  <c r="AP18" i="2"/>
  <c r="AX34" i="2"/>
  <c r="AO34" i="2"/>
  <c r="AH64" i="7"/>
  <c r="AQ32" i="2" l="1"/>
  <c r="AR32" i="2" s="1"/>
  <c r="AQ31" i="2"/>
  <c r="AR31" i="2" s="1"/>
  <c r="AI17" i="2"/>
  <c r="AL23" i="2"/>
  <c r="AJ32" i="2"/>
  <c r="AK32" i="2"/>
  <c r="AK23" i="2"/>
  <c r="AX23" i="2"/>
  <c r="AW23" i="2"/>
  <c r="AJ18" i="2"/>
  <c r="AL18" i="2" s="1"/>
  <c r="AO29" i="2"/>
  <c r="AP29" i="2" s="1"/>
  <c r="AV23" i="2"/>
  <c r="AU23" i="2"/>
  <c r="AJ17" i="2"/>
  <c r="AL17" i="2" s="1"/>
  <c r="AP30" i="2"/>
  <c r="AI18" i="2"/>
  <c r="AK33" i="2"/>
  <c r="AL24" i="2"/>
  <c r="AJ33" i="2"/>
  <c r="AK24" i="2"/>
  <c r="AK34" i="3"/>
  <c r="AI27" i="3"/>
  <c r="AJ34" i="3"/>
  <c r="AH27" i="3"/>
  <c r="AI33" i="3"/>
  <c r="AH33" i="3"/>
  <c r="AK40" i="3"/>
  <c r="AJ40" i="3"/>
  <c r="AK28" i="3"/>
  <c r="AI39" i="3"/>
  <c r="AJ28" i="3"/>
  <c r="AH39" i="3"/>
  <c r="AF26" i="3"/>
  <c r="AG38" i="3"/>
  <c r="AF38" i="3"/>
  <c r="AM29" i="3"/>
  <c r="AM41" i="3"/>
  <c r="AL29" i="3"/>
  <c r="AL41" i="3"/>
  <c r="AM35" i="3"/>
  <c r="AL35" i="3"/>
  <c r="AG26" i="3"/>
  <c r="AG32" i="3"/>
  <c r="AF32" i="3"/>
  <c r="AQ34" i="2"/>
  <c r="AR34" i="2" s="1"/>
  <c r="AO33" i="2"/>
  <c r="AP33" i="2" s="1"/>
  <c r="AT23" i="2"/>
  <c r="AS23" i="2"/>
  <c r="AJ16" i="2"/>
  <c r="AK31" i="2"/>
  <c r="AI16" i="2"/>
  <c r="AK16" i="2" s="1"/>
  <c r="AL22" i="2"/>
  <c r="AJ31" i="2"/>
  <c r="AK22" i="2"/>
  <c r="AQ33" i="2" l="1"/>
  <c r="AR33" i="2" s="1"/>
  <c r="AQ29" i="2"/>
  <c r="AR29" i="2" s="1"/>
  <c r="AS34" i="2"/>
  <c r="AT34" i="2" s="1"/>
  <c r="AS31" i="2"/>
  <c r="AT31" i="2" s="1"/>
  <c r="AS32" i="2"/>
  <c r="AT32" i="2" s="1"/>
  <c r="AP33" i="3"/>
  <c r="AN33" i="3"/>
  <c r="AL33" i="3"/>
  <c r="AJ33" i="3"/>
  <c r="AH69" i="3"/>
  <c r="AF33" i="3"/>
  <c r="AT33" i="3"/>
  <c r="AR33" i="3"/>
  <c r="AJ27" i="3"/>
  <c r="AF27" i="3"/>
  <c r="AT27" i="3"/>
  <c r="AR27" i="3"/>
  <c r="AP27" i="3"/>
  <c r="AH58" i="3"/>
  <c r="AN27" i="3"/>
  <c r="AL27" i="3"/>
  <c r="AR41" i="3"/>
  <c r="AP41" i="3"/>
  <c r="AN41" i="3"/>
  <c r="BG48" i="3"/>
  <c r="AJ41" i="3"/>
  <c r="AL80" i="3"/>
  <c r="AH41" i="3"/>
  <c r="AT41" i="3"/>
  <c r="AF41" i="3"/>
  <c r="AK30" i="3"/>
  <c r="AU26" i="3"/>
  <c r="AI30" i="3"/>
  <c r="AG30" i="3"/>
  <c r="AQ26" i="3"/>
  <c r="AU30" i="3"/>
  <c r="AO26" i="3"/>
  <c r="AS30" i="3"/>
  <c r="AM26" i="3"/>
  <c r="AQ30" i="3"/>
  <c r="AK26" i="3"/>
  <c r="AM30" i="3"/>
  <c r="AO30" i="3"/>
  <c r="AS26" i="3"/>
  <c r="AI26" i="3"/>
  <c r="AR29" i="3"/>
  <c r="AP29" i="3"/>
  <c r="AN29" i="3"/>
  <c r="AJ29" i="3"/>
  <c r="AL58" i="3"/>
  <c r="AH29" i="3"/>
  <c r="AF29" i="3"/>
  <c r="AT29" i="3"/>
  <c r="AG27" i="3"/>
  <c r="AU27" i="3"/>
  <c r="AS27" i="3"/>
  <c r="AQ27" i="3"/>
  <c r="AO27" i="3"/>
  <c r="AK27" i="3"/>
  <c r="AM27" i="3"/>
  <c r="AG35" i="3"/>
  <c r="AU35" i="3"/>
  <c r="AS35" i="3"/>
  <c r="AQ35" i="3"/>
  <c r="AO35" i="3"/>
  <c r="AI35" i="3"/>
  <c r="AK35" i="3"/>
  <c r="AO33" i="3"/>
  <c r="AM33" i="3"/>
  <c r="AK33" i="3"/>
  <c r="AG33" i="3"/>
  <c r="AU33" i="3"/>
  <c r="AQ33" i="3"/>
  <c r="AS33" i="3"/>
  <c r="AI34" i="3"/>
  <c r="AG34" i="3"/>
  <c r="AU34" i="3"/>
  <c r="AS34" i="3"/>
  <c r="AQ34" i="3"/>
  <c r="AM34" i="3"/>
  <c r="AO34" i="3"/>
  <c r="AK17" i="2"/>
  <c r="AR42" i="3"/>
  <c r="AH38" i="3"/>
  <c r="AP42" i="3"/>
  <c r="AN42" i="3"/>
  <c r="AT38" i="3"/>
  <c r="AL42" i="3"/>
  <c r="AR38" i="3"/>
  <c r="AJ42" i="3"/>
  <c r="AP38" i="3"/>
  <c r="AH42" i="3"/>
  <c r="AN38" i="3"/>
  <c r="AF42" i="3"/>
  <c r="AL38" i="3"/>
  <c r="AJ38" i="3"/>
  <c r="AF80" i="3"/>
  <c r="BG45" i="3" s="1"/>
  <c r="AT42" i="3"/>
  <c r="AQ42" i="3"/>
  <c r="AO42" i="3"/>
  <c r="AU38" i="3"/>
  <c r="AM42" i="3"/>
  <c r="AS38" i="3"/>
  <c r="AK42" i="3"/>
  <c r="AQ38" i="3"/>
  <c r="AI42" i="3"/>
  <c r="AO38" i="3"/>
  <c r="AG42" i="3"/>
  <c r="AM38" i="3"/>
  <c r="AS42" i="3"/>
  <c r="AI38" i="3"/>
  <c r="AK38" i="3"/>
  <c r="AU42" i="3"/>
  <c r="AS40" i="3"/>
  <c r="AQ40" i="3"/>
  <c r="AO40" i="3"/>
  <c r="AM40" i="3"/>
  <c r="AI40" i="3"/>
  <c r="AU40" i="3"/>
  <c r="AG40" i="3"/>
  <c r="AL16" i="2"/>
  <c r="AL30" i="3"/>
  <c r="AJ30" i="3"/>
  <c r="AT26" i="3"/>
  <c r="AH30" i="3"/>
  <c r="AR26" i="3"/>
  <c r="AF30" i="3"/>
  <c r="AP26" i="3"/>
  <c r="AT30" i="3"/>
  <c r="AN26" i="3"/>
  <c r="AR30" i="3"/>
  <c r="AP30" i="3"/>
  <c r="AF58" i="3"/>
  <c r="AN30" i="3"/>
  <c r="AL26" i="3"/>
  <c r="AJ26" i="3"/>
  <c r="AH26" i="3"/>
  <c r="AH35" i="3"/>
  <c r="AF35" i="3"/>
  <c r="AT35" i="3"/>
  <c r="AL69" i="3"/>
  <c r="AR35" i="3"/>
  <c r="AP35" i="3"/>
  <c r="AN35" i="3"/>
  <c r="AJ35" i="3"/>
  <c r="AS41" i="3"/>
  <c r="AQ41" i="3"/>
  <c r="AO41" i="3"/>
  <c r="AK41" i="3"/>
  <c r="AI41" i="3"/>
  <c r="AG41" i="3"/>
  <c r="AU41" i="3"/>
  <c r="AQ29" i="3"/>
  <c r="AO29" i="3"/>
  <c r="AK29" i="3"/>
  <c r="AI29" i="3"/>
  <c r="AG29" i="3"/>
  <c r="AS29" i="3"/>
  <c r="AU29" i="3"/>
  <c r="AT39" i="3"/>
  <c r="AR39" i="3"/>
  <c r="AP39" i="3"/>
  <c r="BG46" i="3"/>
  <c r="AN39" i="3"/>
  <c r="AL39" i="3"/>
  <c r="AJ39" i="3"/>
  <c r="AH80" i="3"/>
  <c r="AF39" i="3"/>
  <c r="AK18" i="2"/>
  <c r="AQ30" i="2"/>
  <c r="AR30" i="2" s="1"/>
  <c r="AS36" i="3"/>
  <c r="AS32" i="3"/>
  <c r="AQ36" i="3"/>
  <c r="AQ32" i="3"/>
  <c r="AO36" i="3"/>
  <c r="AO32" i="3"/>
  <c r="AM36" i="3"/>
  <c r="AM32" i="3"/>
  <c r="AK36" i="3"/>
  <c r="AK32" i="3"/>
  <c r="AI36" i="3"/>
  <c r="AI32" i="3"/>
  <c r="AU36" i="3"/>
  <c r="AU32" i="3"/>
  <c r="AG36" i="3"/>
  <c r="AL34" i="3"/>
  <c r="AH34" i="3"/>
  <c r="AF34" i="3"/>
  <c r="AJ69" i="3"/>
  <c r="AT34" i="3"/>
  <c r="AR34" i="3"/>
  <c r="AP34" i="3"/>
  <c r="AN34" i="3"/>
  <c r="AF28" i="3"/>
  <c r="AT28" i="3"/>
  <c r="AR28" i="3"/>
  <c r="AP28" i="3"/>
  <c r="AN28" i="3"/>
  <c r="AL28" i="3"/>
  <c r="AJ58" i="3"/>
  <c r="AH28" i="3"/>
  <c r="AU39" i="3"/>
  <c r="AS39" i="3"/>
  <c r="AQ39" i="3"/>
  <c r="AO39" i="3"/>
  <c r="AM39" i="3"/>
  <c r="AK39" i="3"/>
  <c r="AG39" i="3"/>
  <c r="AU28" i="3"/>
  <c r="AS28" i="3"/>
  <c r="AQ28" i="3"/>
  <c r="AO28" i="3"/>
  <c r="AM28" i="3"/>
  <c r="AG28" i="3"/>
  <c r="AI28" i="3"/>
  <c r="AT36" i="3"/>
  <c r="AT32" i="3"/>
  <c r="AR36" i="3"/>
  <c r="AR32" i="3"/>
  <c r="AP36" i="3"/>
  <c r="AP32" i="3"/>
  <c r="AN36" i="3"/>
  <c r="AN32" i="3"/>
  <c r="AL36" i="3"/>
  <c r="AL32" i="3"/>
  <c r="AF69" i="3"/>
  <c r="AJ36" i="3"/>
  <c r="AJ32" i="3"/>
  <c r="AH36" i="3"/>
  <c r="AH32" i="3"/>
  <c r="AF36" i="3"/>
  <c r="AT40" i="3"/>
  <c r="BG47" i="3"/>
  <c r="AR40" i="3"/>
  <c r="AP40" i="3"/>
  <c r="AN40" i="3"/>
  <c r="AL40" i="3"/>
  <c r="AJ80" i="3"/>
  <c r="AH40" i="3"/>
  <c r="AF40" i="3"/>
  <c r="AS30" i="2" l="1"/>
  <c r="AT30" i="2" s="1"/>
  <c r="AV32" i="2"/>
  <c r="AU32" i="2"/>
  <c r="AW32" i="2"/>
  <c r="AV31" i="2"/>
  <c r="AW31" i="2"/>
  <c r="AU31" i="2"/>
  <c r="AU34" i="2"/>
  <c r="AW34" i="2"/>
  <c r="AV34" i="2"/>
  <c r="AS29" i="2"/>
  <c r="AT29" i="2" s="1"/>
  <c r="AS33" i="2"/>
  <c r="AT33" i="2" s="1"/>
  <c r="AG65" i="3"/>
  <c r="AG64" i="3"/>
  <c r="AG63" i="3"/>
  <c r="AG62" i="3"/>
  <c r="Q32" i="3"/>
  <c r="AF65" i="3"/>
  <c r="AF64" i="3"/>
  <c r="AF63" i="3"/>
  <c r="AF62" i="3"/>
  <c r="AF66" i="3" s="1"/>
  <c r="R31" i="3"/>
  <c r="Q31" i="3"/>
  <c r="Q30" i="3"/>
  <c r="BF50" i="3"/>
  <c r="L38" i="4" s="1"/>
  <c r="R32" i="3"/>
  <c r="N8" i="3"/>
  <c r="AV87" i="3"/>
  <c r="AV86" i="3"/>
  <c r="AV85" i="3"/>
  <c r="AV84" i="3"/>
  <c r="AI76" i="3"/>
  <c r="AI75" i="3"/>
  <c r="AI74" i="3"/>
  <c r="AI73" i="3"/>
  <c r="AH76" i="3"/>
  <c r="AH75" i="3"/>
  <c r="AH74" i="3"/>
  <c r="AH73" i="3"/>
  <c r="H35" i="3"/>
  <c r="G35" i="3"/>
  <c r="H34" i="3"/>
  <c r="G34" i="3"/>
  <c r="H33" i="3" s="1"/>
  <c r="G33" i="3"/>
  <c r="AU76" i="3"/>
  <c r="AU75" i="3"/>
  <c r="AU74" i="3"/>
  <c r="AU73" i="3"/>
  <c r="BF53" i="3"/>
  <c r="R35" i="3"/>
  <c r="AG76" i="3"/>
  <c r="AG75" i="3"/>
  <c r="AG74" i="3"/>
  <c r="AG73" i="3"/>
  <c r="Q35" i="3"/>
  <c r="AF76" i="3"/>
  <c r="AF75" i="3"/>
  <c r="AF74" i="3"/>
  <c r="AF73" i="3"/>
  <c r="R34" i="3"/>
  <c r="Q34" i="3"/>
  <c r="Q33" i="3"/>
  <c r="N9" i="3"/>
  <c r="BG40" i="3"/>
  <c r="BG37" i="3"/>
  <c r="BG43" i="3"/>
  <c r="H32" i="3"/>
  <c r="G32" i="3"/>
  <c r="H31" i="3"/>
  <c r="G31" i="3"/>
  <c r="G30" i="3"/>
  <c r="AH65" i="3"/>
  <c r="AH64" i="3"/>
  <c r="AH63" i="3"/>
  <c r="AH62" i="3"/>
  <c r="AH66" i="3" s="1"/>
  <c r="AI65" i="3"/>
  <c r="AI64" i="3"/>
  <c r="AI63" i="3"/>
  <c r="AI62" i="3"/>
  <c r="BF56" i="3"/>
  <c r="Q36" i="3"/>
  <c r="R38" i="3"/>
  <c r="Q38" i="3"/>
  <c r="AG87" i="3"/>
  <c r="AG86" i="3"/>
  <c r="AG85" i="3"/>
  <c r="AG84" i="3"/>
  <c r="AF87" i="3"/>
  <c r="AF86" i="3"/>
  <c r="AF85" i="3"/>
  <c r="AF84" i="3"/>
  <c r="AF88" i="3" s="1"/>
  <c r="R37" i="3"/>
  <c r="Q37" i="3"/>
  <c r="N10" i="3"/>
  <c r="R47" i="3"/>
  <c r="Q47" i="3"/>
  <c r="R46" i="3" s="1"/>
  <c r="Q46" i="3"/>
  <c r="AM65" i="3"/>
  <c r="AM64" i="3"/>
  <c r="AM63" i="3"/>
  <c r="AM62" i="3"/>
  <c r="AL65" i="3"/>
  <c r="AL64" i="3"/>
  <c r="AL63" i="3"/>
  <c r="AL62" i="3"/>
  <c r="R48" i="3"/>
  <c r="Q48" i="3"/>
  <c r="AP65" i="3"/>
  <c r="AP64" i="3"/>
  <c r="AP63" i="3"/>
  <c r="AP62" i="3"/>
  <c r="AO65" i="3"/>
  <c r="AO64" i="3"/>
  <c r="AO63" i="3"/>
  <c r="AO62" i="3"/>
  <c r="AR65" i="3"/>
  <c r="AR64" i="3"/>
  <c r="AR63" i="3"/>
  <c r="AR62" i="3"/>
  <c r="BG41" i="3"/>
  <c r="AQ65" i="3"/>
  <c r="AQ64" i="3"/>
  <c r="AQ63" i="3"/>
  <c r="AQ62" i="3"/>
  <c r="AO87" i="3"/>
  <c r="AO86" i="3"/>
  <c r="AO85" i="3"/>
  <c r="AO84" i="3"/>
  <c r="AT65" i="3"/>
  <c r="AT64" i="3"/>
  <c r="AT63" i="3"/>
  <c r="AT62" i="3"/>
  <c r="AU87" i="3"/>
  <c r="AU86" i="3"/>
  <c r="AU85" i="3"/>
  <c r="AU84" i="3"/>
  <c r="H53" i="3"/>
  <c r="AK87" i="3"/>
  <c r="AK86" i="3"/>
  <c r="AK85" i="3"/>
  <c r="AK84" i="3"/>
  <c r="G53" i="3"/>
  <c r="H52" i="3" s="1"/>
  <c r="AJ87" i="3"/>
  <c r="AJ86" i="3"/>
  <c r="AJ85" i="3"/>
  <c r="AJ84" i="3"/>
  <c r="G52" i="3"/>
  <c r="H54" i="3"/>
  <c r="G54" i="3"/>
  <c r="G48" i="3"/>
  <c r="H47" i="3"/>
  <c r="G47" i="3"/>
  <c r="G46" i="3"/>
  <c r="AK65" i="3"/>
  <c r="AK64" i="3"/>
  <c r="AK63" i="3"/>
  <c r="AK62" i="3"/>
  <c r="H48" i="3"/>
  <c r="AJ65" i="3"/>
  <c r="AJ64" i="3"/>
  <c r="AJ63" i="3"/>
  <c r="AJ62" i="3"/>
  <c r="AP76" i="3"/>
  <c r="AP75" i="3"/>
  <c r="AP74" i="3"/>
  <c r="AP73" i="3"/>
  <c r="BG44" i="3"/>
  <c r="AP87" i="3"/>
  <c r="AP86" i="3"/>
  <c r="AP85" i="3"/>
  <c r="AP84" i="3"/>
  <c r="BG38" i="3"/>
  <c r="AK76" i="3"/>
  <c r="AK75" i="3"/>
  <c r="AK74" i="3"/>
  <c r="AK73" i="3"/>
  <c r="AJ76" i="3"/>
  <c r="AJ75" i="3"/>
  <c r="AJ74" i="3"/>
  <c r="AJ73" i="3"/>
  <c r="H50" i="3"/>
  <c r="G50" i="3"/>
  <c r="G49" i="3"/>
  <c r="H51" i="3"/>
  <c r="G51" i="3"/>
  <c r="R50" i="3"/>
  <c r="Q50" i="3"/>
  <c r="Q49" i="3"/>
  <c r="R51" i="3"/>
  <c r="Q51" i="3"/>
  <c r="AL76" i="3"/>
  <c r="AL75" i="3"/>
  <c r="AL74" i="3"/>
  <c r="AL73" i="3"/>
  <c r="AM73" i="3"/>
  <c r="AM76" i="3"/>
  <c r="AM75" i="3"/>
  <c r="AM74" i="3"/>
  <c r="BG39" i="3"/>
  <c r="AS65" i="3"/>
  <c r="AS64" i="3"/>
  <c r="AS63" i="3"/>
  <c r="AS62" i="3"/>
  <c r="AQ87" i="3"/>
  <c r="AQ86" i="3"/>
  <c r="AQ85" i="3"/>
  <c r="AQ84" i="3"/>
  <c r="AO73" i="3"/>
  <c r="AO76" i="3"/>
  <c r="AO75" i="3"/>
  <c r="AO74" i="3"/>
  <c r="AU65" i="3"/>
  <c r="AU64" i="3"/>
  <c r="AU63" i="3"/>
  <c r="AU62" i="3"/>
  <c r="AR87" i="3"/>
  <c r="AR86" i="3"/>
  <c r="AR85" i="3"/>
  <c r="AR84" i="3"/>
  <c r="AT76" i="3"/>
  <c r="AT75" i="3"/>
  <c r="AT74" i="3"/>
  <c r="AT73" i="3"/>
  <c r="AQ76" i="3"/>
  <c r="AQ75" i="3"/>
  <c r="AQ74" i="3"/>
  <c r="AQ73" i="3"/>
  <c r="AS86" i="3"/>
  <c r="AS85" i="3"/>
  <c r="AS84" i="3"/>
  <c r="AS87" i="3"/>
  <c r="R53" i="3"/>
  <c r="AM87" i="3"/>
  <c r="AM86" i="3"/>
  <c r="AM85" i="3"/>
  <c r="AM84" i="3"/>
  <c r="Q53" i="3"/>
  <c r="AL87" i="3"/>
  <c r="AL86" i="3"/>
  <c r="AL85" i="3"/>
  <c r="AL84" i="3"/>
  <c r="Q52" i="3"/>
  <c r="R54" i="3"/>
  <c r="Q54" i="3"/>
  <c r="AV76" i="3"/>
  <c r="AV75" i="3"/>
  <c r="AV74" i="3"/>
  <c r="AV73" i="3"/>
  <c r="G36" i="3"/>
  <c r="AI87" i="3"/>
  <c r="AI86" i="3"/>
  <c r="AI85" i="3"/>
  <c r="AI84" i="3"/>
  <c r="AH87" i="3"/>
  <c r="AH86" i="3"/>
  <c r="AH85" i="3"/>
  <c r="AH84" i="3"/>
  <c r="H38" i="3"/>
  <c r="G38" i="3"/>
  <c r="H37" i="3"/>
  <c r="G37" i="3"/>
  <c r="AS76" i="3"/>
  <c r="AS75" i="3"/>
  <c r="AS74" i="3"/>
  <c r="AS73" i="3"/>
  <c r="AR76" i="3"/>
  <c r="AR75" i="3"/>
  <c r="AR74" i="3"/>
  <c r="AR73" i="3"/>
  <c r="AT87" i="3"/>
  <c r="AT86" i="3"/>
  <c r="AT85" i="3"/>
  <c r="AT84" i="3"/>
  <c r="AV65" i="3"/>
  <c r="AV64" i="3"/>
  <c r="AV63" i="3"/>
  <c r="AV62" i="3"/>
  <c r="BG42" i="3"/>
  <c r="AI66" i="3" l="1"/>
  <c r="H49" i="3"/>
  <c r="AM77" i="3"/>
  <c r="AL77" i="3"/>
  <c r="AJ66" i="3"/>
  <c r="AJ88" i="3"/>
  <c r="AV29" i="2"/>
  <c r="AW29" i="2"/>
  <c r="AU29" i="2"/>
  <c r="AW33" i="2"/>
  <c r="AU33" i="2"/>
  <c r="AV33" i="2"/>
  <c r="AW30" i="2"/>
  <c r="AU30" i="2"/>
  <c r="AV30" i="2"/>
  <c r="AL66" i="3"/>
  <c r="AF77" i="3"/>
  <c r="H46" i="3"/>
  <c r="R9" i="10"/>
  <c r="R9" i="9"/>
  <c r="R9" i="8"/>
  <c r="N8" i="6"/>
  <c r="R9" i="7"/>
  <c r="N8" i="5"/>
  <c r="N8" i="4"/>
  <c r="AG88" i="3"/>
  <c r="L56" i="4"/>
  <c r="B32" i="4"/>
  <c r="B56" i="4"/>
  <c r="B49" i="4"/>
  <c r="U62" i="4"/>
  <c r="O62" i="4"/>
  <c r="W41" i="4"/>
  <c r="K62" i="4"/>
  <c r="B41" i="4"/>
  <c r="E62" i="4"/>
  <c r="O61" i="4"/>
  <c r="W47" i="4"/>
  <c r="W39" i="4"/>
  <c r="K61" i="4"/>
  <c r="A39" i="4"/>
  <c r="E61" i="4"/>
  <c r="W55" i="4"/>
  <c r="B55" i="4"/>
  <c r="W38" i="4"/>
  <c r="B47" i="4"/>
  <c r="L23" i="4"/>
  <c r="AK22" i="4"/>
  <c r="K23" i="4"/>
  <c r="AJ22" i="4"/>
  <c r="E23" i="4"/>
  <c r="AI21" i="4"/>
  <c r="U61" i="4"/>
  <c r="B23" i="4"/>
  <c r="AH21" i="4"/>
  <c r="AM23" i="4"/>
  <c r="AG20" i="4"/>
  <c r="V56" i="4"/>
  <c r="W30" i="4"/>
  <c r="AL23" i="4"/>
  <c r="AF20" i="4"/>
  <c r="B38" i="4"/>
  <c r="W32" i="4"/>
  <c r="U17" i="4"/>
  <c r="W49" i="4"/>
  <c r="O17" i="4"/>
  <c r="B30" i="4"/>
  <c r="K17" i="4"/>
  <c r="E17" i="4"/>
  <c r="W24" i="4"/>
  <c r="B24" i="4"/>
  <c r="O23" i="4"/>
  <c r="V23" i="4"/>
  <c r="U23" i="4"/>
  <c r="K63" i="9"/>
  <c r="E24" i="10"/>
  <c r="W50" i="8"/>
  <c r="K24" i="9"/>
  <c r="W33" i="9"/>
  <c r="U24" i="7"/>
  <c r="B31" i="7"/>
  <c r="E62" i="8"/>
  <c r="K62" i="10"/>
  <c r="U18" i="10"/>
  <c r="B39" i="8"/>
  <c r="K62" i="8"/>
  <c r="E18" i="9"/>
  <c r="B39" i="9"/>
  <c r="K18" i="7"/>
  <c r="W48" i="8"/>
  <c r="E63" i="10"/>
  <c r="E63" i="9"/>
  <c r="W48" i="10"/>
  <c r="W50" i="10"/>
  <c r="W50" i="9"/>
  <c r="O18" i="10"/>
  <c r="O62" i="9"/>
  <c r="W39" i="10"/>
  <c r="U62" i="7"/>
  <c r="K18" i="8"/>
  <c r="W33" i="7"/>
  <c r="W42" i="7"/>
  <c r="E63" i="8"/>
  <c r="B39" i="10"/>
  <c r="E62" i="10"/>
  <c r="U63" i="10"/>
  <c r="U24" i="9"/>
  <c r="O24" i="8"/>
  <c r="B56" i="7"/>
  <c r="O24" i="7"/>
  <c r="B50" i="9"/>
  <c r="B42" i="10"/>
  <c r="W48" i="9"/>
  <c r="B50" i="10"/>
  <c r="B31" i="10"/>
  <c r="W56" i="8"/>
  <c r="K63" i="10"/>
  <c r="W25" i="7"/>
  <c r="B50" i="8"/>
  <c r="E63" i="7"/>
  <c r="W56" i="10"/>
  <c r="U24" i="10"/>
  <c r="K18" i="10"/>
  <c r="B48" i="8"/>
  <c r="W42" i="9"/>
  <c r="O62" i="7"/>
  <c r="U24" i="8"/>
  <c r="W56" i="7"/>
  <c r="B31" i="8"/>
  <c r="B48" i="10"/>
  <c r="W56" i="9"/>
  <c r="O63" i="10"/>
  <c r="E18" i="10"/>
  <c r="U18" i="9"/>
  <c r="B33" i="7"/>
  <c r="E18" i="8"/>
  <c r="B48" i="7"/>
  <c r="U63" i="9"/>
  <c r="B25" i="7"/>
  <c r="O62" i="8"/>
  <c r="U18" i="7"/>
  <c r="B25" i="10"/>
  <c r="B33" i="8"/>
  <c r="U63" i="7"/>
  <c r="B48" i="9"/>
  <c r="W25" i="9"/>
  <c r="K62" i="9"/>
  <c r="B42" i="9"/>
  <c r="O18" i="7"/>
  <c r="W31" i="9"/>
  <c r="E24" i="9"/>
  <c r="U62" i="10"/>
  <c r="O24" i="10"/>
  <c r="O63" i="8"/>
  <c r="O24" i="9"/>
  <c r="O18" i="9"/>
  <c r="U18" i="8"/>
  <c r="W31" i="7"/>
  <c r="W39" i="7"/>
  <c r="B56" i="10"/>
  <c r="U62" i="9"/>
  <c r="W33" i="8"/>
  <c r="U62" i="8"/>
  <c r="W42" i="8"/>
  <c r="K62" i="7"/>
  <c r="K24" i="7"/>
  <c r="E18" i="7"/>
  <c r="W39" i="8"/>
  <c r="W48" i="7"/>
  <c r="W25" i="10"/>
  <c r="B56" i="9"/>
  <c r="B33" i="9"/>
  <c r="B56" i="8"/>
  <c r="W31" i="8"/>
  <c r="W39" i="9"/>
  <c r="K24" i="8"/>
  <c r="B39" i="7"/>
  <c r="K24" i="10"/>
  <c r="B42" i="8"/>
  <c r="K63" i="7"/>
  <c r="B50" i="7"/>
  <c r="W33" i="10"/>
  <c r="O63" i="9"/>
  <c r="W42" i="10"/>
  <c r="B25" i="9"/>
  <c r="W25" i="8"/>
  <c r="B31" i="9"/>
  <c r="B25" i="8"/>
  <c r="B42" i="7"/>
  <c r="W50" i="7"/>
  <c r="B33" i="10"/>
  <c r="E62" i="7"/>
  <c r="E24" i="8"/>
  <c r="O62" i="10"/>
  <c r="W31" i="10"/>
  <c r="K63" i="8"/>
  <c r="E62" i="9"/>
  <c r="K18" i="9"/>
  <c r="O18" i="8"/>
  <c r="E24" i="7"/>
  <c r="O63" i="7"/>
  <c r="U63" i="8"/>
  <c r="H36" i="3"/>
  <c r="AM66" i="3"/>
  <c r="H30" i="3"/>
  <c r="AH77" i="3"/>
  <c r="AJ77" i="3"/>
  <c r="AG77" i="3"/>
  <c r="R30" i="3"/>
  <c r="AN18" i="2"/>
  <c r="AN24" i="2"/>
  <c r="K10" i="2" s="1"/>
  <c r="AM17" i="2"/>
  <c r="AM23" i="2"/>
  <c r="I9" i="2" s="1"/>
  <c r="AH88" i="3"/>
  <c r="AL88" i="3"/>
  <c r="AI77" i="3"/>
  <c r="AK77" i="3"/>
  <c r="AN17" i="2"/>
  <c r="AN23" i="2"/>
  <c r="K9" i="2" s="1"/>
  <c r="R52" i="3"/>
  <c r="AK66" i="3"/>
  <c r="AK88" i="3"/>
  <c r="R11" i="10"/>
  <c r="R11" i="9"/>
  <c r="R11" i="8"/>
  <c r="N10" i="6"/>
  <c r="R11" i="7"/>
  <c r="N10" i="5"/>
  <c r="N10" i="4"/>
  <c r="R10" i="10"/>
  <c r="R10" i="9"/>
  <c r="R10" i="7"/>
  <c r="R10" i="8"/>
  <c r="N9" i="5"/>
  <c r="N9" i="4"/>
  <c r="N9" i="6"/>
  <c r="AG66" i="3"/>
  <c r="R36" i="3"/>
  <c r="AI88" i="3"/>
  <c r="AM88" i="3"/>
  <c r="R49" i="3"/>
  <c r="R33" i="3"/>
  <c r="N9" i="10" l="1"/>
  <c r="M9" i="10"/>
  <c r="L9" i="10"/>
  <c r="AA9" i="10" s="1"/>
  <c r="K9" i="10"/>
  <c r="Y9" i="10" s="1"/>
  <c r="J9" i="10"/>
  <c r="I9" i="10"/>
  <c r="AH34" i="10"/>
  <c r="AG34" i="10"/>
  <c r="AL36" i="10"/>
  <c r="AK36" i="10"/>
  <c r="AF33" i="10"/>
  <c r="AE33" i="10"/>
  <c r="Q9" i="10"/>
  <c r="P9" i="10"/>
  <c r="O9" i="10"/>
  <c r="BC19" i="4"/>
  <c r="BB19" i="4"/>
  <c r="BA19" i="4"/>
  <c r="BD19" i="4"/>
  <c r="M11" i="9"/>
  <c r="L11" i="9"/>
  <c r="AA11" i="9" s="1"/>
  <c r="K11" i="9"/>
  <c r="Y11" i="9" s="1"/>
  <c r="J11" i="9"/>
  <c r="I11" i="9"/>
  <c r="Q11" i="9" s="1"/>
  <c r="AH46" i="9"/>
  <c r="AG46" i="9"/>
  <c r="N11" i="9"/>
  <c r="P11" i="9"/>
  <c r="O11" i="9"/>
  <c r="BX20" i="8"/>
  <c r="CA20" i="8"/>
  <c r="BZ20" i="8"/>
  <c r="BY20" i="8"/>
  <c r="BK20" i="10"/>
  <c r="BJ20" i="10"/>
  <c r="BJ29" i="10" s="1"/>
  <c r="BI20" i="10"/>
  <c r="BJ23" i="10" s="1"/>
  <c r="BH20" i="10"/>
  <c r="AH22" i="4"/>
  <c r="AF22" i="4"/>
  <c r="AT22" i="4"/>
  <c r="AR22" i="4"/>
  <c r="AP22" i="4"/>
  <c r="AL22" i="4"/>
  <c r="AN22" i="4"/>
  <c r="BP19" i="4"/>
  <c r="BO28" i="4" s="1"/>
  <c r="BO19" i="4"/>
  <c r="BN19" i="4"/>
  <c r="BM19" i="4"/>
  <c r="BO20" i="7"/>
  <c r="BN29" i="7" s="1"/>
  <c r="BN20" i="7"/>
  <c r="BM20" i="7"/>
  <c r="BL20" i="7"/>
  <c r="AY20" i="10"/>
  <c r="AX29" i="10" s="1"/>
  <c r="AX20" i="10"/>
  <c r="AW20" i="10"/>
  <c r="AV20" i="10"/>
  <c r="BX19" i="4"/>
  <c r="BW19" i="4"/>
  <c r="BV19" i="4"/>
  <c r="BW22" i="4" s="1"/>
  <c r="BU19" i="4"/>
  <c r="AI47" i="8"/>
  <c r="AL48" i="8"/>
  <c r="AJ47" i="8"/>
  <c r="Q11" i="8"/>
  <c r="P11" i="8"/>
  <c r="O11" i="8"/>
  <c r="N11" i="8"/>
  <c r="M11" i="8"/>
  <c r="L11" i="8"/>
  <c r="AA11" i="8" s="1"/>
  <c r="K11" i="8"/>
  <c r="Y11" i="8" s="1"/>
  <c r="J11" i="8"/>
  <c r="AE45" i="8"/>
  <c r="I11" i="8"/>
  <c r="AF45" i="8"/>
  <c r="BS20" i="7"/>
  <c r="BR20" i="7"/>
  <c r="BQ20" i="7"/>
  <c r="BP20" i="7"/>
  <c r="AZ19" i="4"/>
  <c r="AY28" i="4" s="1"/>
  <c r="AY19" i="4"/>
  <c r="AX19" i="4"/>
  <c r="AW19" i="4"/>
  <c r="AI22" i="4"/>
  <c r="AG22" i="4"/>
  <c r="AU22" i="4"/>
  <c r="AS22" i="4"/>
  <c r="AQ22" i="4"/>
  <c r="AO22" i="4"/>
  <c r="AM22" i="4"/>
  <c r="AK21" i="4"/>
  <c r="AG21" i="4"/>
  <c r="AU21" i="4"/>
  <c r="AS21" i="4"/>
  <c r="AQ21" i="4"/>
  <c r="AO21" i="4"/>
  <c r="AM21" i="4"/>
  <c r="BF20" i="10"/>
  <c r="BE20" i="10"/>
  <c r="BD20" i="10"/>
  <c r="BG20" i="10"/>
  <c r="BG20" i="8"/>
  <c r="BF20" i="8"/>
  <c r="BE20" i="8"/>
  <c r="BD20" i="8"/>
  <c r="BK20" i="9"/>
  <c r="BJ20" i="9"/>
  <c r="BI20" i="9"/>
  <c r="BJ23" i="9" s="1"/>
  <c r="BH20" i="9"/>
  <c r="BT20" i="9"/>
  <c r="BU20" i="9"/>
  <c r="BW20" i="9"/>
  <c r="BV20" i="9"/>
  <c r="CA20" i="9"/>
  <c r="BZ20" i="9"/>
  <c r="BY20" i="9"/>
  <c r="BZ23" i="9" s="1"/>
  <c r="BX20" i="9"/>
  <c r="CB19" i="4"/>
  <c r="CA19" i="4"/>
  <c r="BZ19" i="4"/>
  <c r="BY19" i="4"/>
  <c r="BS19" i="4"/>
  <c r="BR19" i="4"/>
  <c r="BQ19" i="4"/>
  <c r="BR22" i="4" s="1"/>
  <c r="BT19" i="4"/>
  <c r="BS28" i="4" s="1"/>
  <c r="BC20" i="8"/>
  <c r="BB29" i="8" s="1"/>
  <c r="BB20" i="8"/>
  <c r="BA20" i="8"/>
  <c r="AZ20" i="8"/>
  <c r="L9" i="9"/>
  <c r="AA9" i="9" s="1"/>
  <c r="K9" i="9"/>
  <c r="Y9" i="9" s="1"/>
  <c r="J9" i="9"/>
  <c r="I9" i="9"/>
  <c r="AH34" i="9"/>
  <c r="AG34" i="9"/>
  <c r="AL36" i="9"/>
  <c r="AK36" i="9"/>
  <c r="AF33" i="9"/>
  <c r="AE33" i="9"/>
  <c r="Q9" i="9"/>
  <c r="P9" i="9"/>
  <c r="AI35" i="9"/>
  <c r="M9" i="9"/>
  <c r="O9" i="9"/>
  <c r="N9" i="9"/>
  <c r="O11" i="10"/>
  <c r="N11" i="10"/>
  <c r="M11" i="10"/>
  <c r="L11" i="10"/>
  <c r="AA11" i="10" s="1"/>
  <c r="AH46" i="10"/>
  <c r="K11" i="10"/>
  <c r="Y11" i="10" s="1"/>
  <c r="AK48" i="10"/>
  <c r="J11" i="10"/>
  <c r="I11" i="10"/>
  <c r="Q11" i="10" s="1"/>
  <c r="AF45" i="10"/>
  <c r="AE45" i="10"/>
  <c r="P11" i="10"/>
  <c r="BT20" i="7"/>
  <c r="BW20" i="7"/>
  <c r="BV20" i="7"/>
  <c r="BU20" i="7"/>
  <c r="BV20" i="10"/>
  <c r="BU20" i="10"/>
  <c r="BT20" i="10"/>
  <c r="BW20" i="10"/>
  <c r="BL19" i="4"/>
  <c r="BK19" i="4"/>
  <c r="BJ19" i="4"/>
  <c r="BI19" i="4"/>
  <c r="AW20" i="8"/>
  <c r="AV20" i="8"/>
  <c r="AX20" i="8"/>
  <c r="AY20" i="8"/>
  <c r="AX29" i="8" s="1"/>
  <c r="AY20" i="7"/>
  <c r="AX29" i="7" s="1"/>
  <c r="AX20" i="7"/>
  <c r="AW20" i="7"/>
  <c r="AV20" i="7"/>
  <c r="BW20" i="8"/>
  <c r="BV20" i="8"/>
  <c r="BU20" i="8"/>
  <c r="BT20" i="8"/>
  <c r="AP24" i="4"/>
  <c r="AL20" i="4"/>
  <c r="AN24" i="4"/>
  <c r="AJ20" i="4"/>
  <c r="AL24" i="4"/>
  <c r="AH20" i="4"/>
  <c r="AB10" i="4"/>
  <c r="AB11" i="4" s="1"/>
  <c r="Z8" i="4" s="1"/>
  <c r="AJ24" i="4"/>
  <c r="AH24" i="4"/>
  <c r="AT20" i="4"/>
  <c r="AF24" i="4"/>
  <c r="AR20" i="4"/>
  <c r="AT24" i="4"/>
  <c r="AP20" i="4"/>
  <c r="AR24" i="4"/>
  <c r="AN20" i="4"/>
  <c r="AN22" i="2"/>
  <c r="K8" i="2" s="1"/>
  <c r="AN16" i="2"/>
  <c r="BD20" i="9"/>
  <c r="BE20" i="9"/>
  <c r="BF20" i="9"/>
  <c r="BG20" i="9"/>
  <c r="AR23" i="4"/>
  <c r="AP23" i="4"/>
  <c r="AN23" i="4"/>
  <c r="AJ23" i="4"/>
  <c r="AH23" i="4"/>
  <c r="AF23" i="4"/>
  <c r="AT23" i="4"/>
  <c r="BH19" i="4"/>
  <c r="BG19" i="4"/>
  <c r="BE19" i="4"/>
  <c r="BF19" i="4"/>
  <c r="BG22" i="4" s="1"/>
  <c r="M10" i="8"/>
  <c r="L10" i="8"/>
  <c r="AA10" i="8" s="1"/>
  <c r="K10" i="8"/>
  <c r="Y10" i="8" s="1"/>
  <c r="J10" i="8"/>
  <c r="I10" i="8"/>
  <c r="N10" i="8"/>
  <c r="P10" i="8"/>
  <c r="O10" i="8"/>
  <c r="BC20" i="10"/>
  <c r="BB20" i="10"/>
  <c r="BA20" i="10"/>
  <c r="AZ20" i="10"/>
  <c r="BA23" i="10" s="1"/>
  <c r="BO20" i="9"/>
  <c r="BN20" i="9"/>
  <c r="BM20" i="9"/>
  <c r="BL20" i="9"/>
  <c r="AJ41" i="7"/>
  <c r="AI41" i="7"/>
  <c r="Q10" i="7"/>
  <c r="AH40" i="7"/>
  <c r="O10" i="7"/>
  <c r="AG40" i="7"/>
  <c r="N10" i="7"/>
  <c r="M10" i="7"/>
  <c r="AF39" i="7"/>
  <c r="AE39" i="7"/>
  <c r="AK42" i="7"/>
  <c r="AL42" i="7"/>
  <c r="P10" i="7"/>
  <c r="BS20" i="8"/>
  <c r="BR20" i="8"/>
  <c r="BQ20" i="8"/>
  <c r="BP20" i="8"/>
  <c r="BS20" i="9"/>
  <c r="BR20" i="9"/>
  <c r="BQ20" i="9"/>
  <c r="BP20" i="9"/>
  <c r="BS20" i="10"/>
  <c r="BR20" i="10"/>
  <c r="BQ20" i="10"/>
  <c r="BP20" i="10"/>
  <c r="AM18" i="2"/>
  <c r="AM24" i="2"/>
  <c r="I10" i="2" s="1"/>
  <c r="BC20" i="7"/>
  <c r="BB20" i="7"/>
  <c r="BA20" i="7"/>
  <c r="AZ20" i="7"/>
  <c r="BA23" i="7" s="1"/>
  <c r="AO24" i="4"/>
  <c r="AK20" i="4"/>
  <c r="AM24" i="4"/>
  <c r="AI20" i="4"/>
  <c r="AK24" i="4"/>
  <c r="AI24" i="4"/>
  <c r="AU20" i="4"/>
  <c r="AG24" i="4"/>
  <c r="AS20" i="4"/>
  <c r="AU24" i="4"/>
  <c r="AQ20" i="4"/>
  <c r="AQ24" i="4"/>
  <c r="AM20" i="4"/>
  <c r="AO20" i="4"/>
  <c r="AS24" i="4"/>
  <c r="AL42" i="10"/>
  <c r="AJ41" i="10"/>
  <c r="Q10" i="10"/>
  <c r="AI41" i="10"/>
  <c r="P10" i="10"/>
  <c r="O10" i="10"/>
  <c r="AH40" i="10"/>
  <c r="N10" i="10"/>
  <c r="M10" i="10"/>
  <c r="L10" i="10"/>
  <c r="AA10" i="10" s="1"/>
  <c r="K10" i="10"/>
  <c r="Y10" i="10" s="1"/>
  <c r="J10" i="10"/>
  <c r="I10" i="10"/>
  <c r="AE39" i="10"/>
  <c r="AQ23" i="4"/>
  <c r="AO23" i="4"/>
  <c r="AK23" i="4"/>
  <c r="AI23" i="4"/>
  <c r="AG23" i="4"/>
  <c r="AS23" i="4"/>
  <c r="AU23" i="4"/>
  <c r="AM22" i="2"/>
  <c r="I8" i="2" s="1"/>
  <c r="AM16" i="2"/>
  <c r="BD20" i="7"/>
  <c r="BG20" i="7"/>
  <c r="BF20" i="7"/>
  <c r="BE20" i="7"/>
  <c r="BC20" i="9"/>
  <c r="BB20" i="9"/>
  <c r="BA20" i="9"/>
  <c r="AZ20" i="9"/>
  <c r="CA20" i="10"/>
  <c r="BZ20" i="10"/>
  <c r="BY20" i="10"/>
  <c r="BX20" i="10"/>
  <c r="AY20" i="9"/>
  <c r="AX20" i="9"/>
  <c r="AW20" i="9"/>
  <c r="AV20" i="9"/>
  <c r="BM20" i="8"/>
  <c r="BL20" i="8"/>
  <c r="BN20" i="8"/>
  <c r="BO20" i="8"/>
  <c r="P10" i="9"/>
  <c r="O10" i="9"/>
  <c r="N10" i="9"/>
  <c r="M10" i="9"/>
  <c r="L10" i="9"/>
  <c r="AA10" i="9" s="1"/>
  <c r="K10" i="9"/>
  <c r="Y10" i="9" s="1"/>
  <c r="J10" i="9"/>
  <c r="I10" i="9"/>
  <c r="BK20" i="8"/>
  <c r="BJ20" i="8"/>
  <c r="BJ29" i="8" s="1"/>
  <c r="BI20" i="8"/>
  <c r="BJ23" i="8" s="1"/>
  <c r="BH20" i="8"/>
  <c r="AJ21" i="4"/>
  <c r="AF21" i="4"/>
  <c r="AT21" i="4"/>
  <c r="AR21" i="4"/>
  <c r="AP21" i="4"/>
  <c r="AL21" i="4"/>
  <c r="AN21" i="4"/>
  <c r="AH34" i="7"/>
  <c r="AG34" i="7"/>
  <c r="AL36" i="7"/>
  <c r="AK36" i="7"/>
  <c r="AE33" i="7"/>
  <c r="Q9" i="7"/>
  <c r="AJ35" i="7"/>
  <c r="AI35" i="7"/>
  <c r="P9" i="7"/>
  <c r="AF33" i="7"/>
  <c r="O9" i="7"/>
  <c r="N9" i="7"/>
  <c r="M9" i="7"/>
  <c r="N11" i="7"/>
  <c r="M11" i="7"/>
  <c r="AL48" i="7"/>
  <c r="AH46" i="7"/>
  <c r="AK48" i="7"/>
  <c r="AG46" i="7"/>
  <c r="AF45" i="7"/>
  <c r="AE45" i="7"/>
  <c r="AJ47" i="7"/>
  <c r="AI47" i="7"/>
  <c r="P11" i="7"/>
  <c r="O11" i="7"/>
  <c r="Q11" i="7"/>
  <c r="J9" i="2"/>
  <c r="L9" i="2"/>
  <c r="BK20" i="7"/>
  <c r="BI20" i="7"/>
  <c r="BH20" i="7"/>
  <c r="BJ20" i="7"/>
  <c r="BO20" i="10"/>
  <c r="BN20" i="10"/>
  <c r="BM20" i="10"/>
  <c r="BL20" i="10"/>
  <c r="CA20" i="7"/>
  <c r="BY20" i="7"/>
  <c r="BZ20" i="7"/>
  <c r="BZ29" i="7" s="1"/>
  <c r="BX20" i="7"/>
  <c r="Q9" i="8"/>
  <c r="P9" i="8"/>
  <c r="O9" i="8"/>
  <c r="N9" i="8"/>
  <c r="M9" i="8"/>
  <c r="L9" i="8"/>
  <c r="AA9" i="8" s="1"/>
  <c r="K9" i="8"/>
  <c r="Y9" i="8" s="1"/>
  <c r="J9" i="8"/>
  <c r="I9" i="8"/>
  <c r="AF39" i="9" l="1"/>
  <c r="BQ23" i="7"/>
  <c r="BN22" i="4"/>
  <c r="AX29" i="9"/>
  <c r="BR29" i="7"/>
  <c r="AG40" i="9"/>
  <c r="AG78" i="9" s="1"/>
  <c r="BQ23" i="8"/>
  <c r="AG46" i="10"/>
  <c r="BW28" i="4"/>
  <c r="AG34" i="8"/>
  <c r="AH40" i="9"/>
  <c r="AN40" i="9" s="1"/>
  <c r="AE39" i="8"/>
  <c r="AS39" i="8" s="1"/>
  <c r="CA22" i="4"/>
  <c r="AH34" i="8"/>
  <c r="AH37" i="8" s="1"/>
  <c r="CA28" i="4"/>
  <c r="BF29" i="8"/>
  <c r="AE33" i="8"/>
  <c r="AJ35" i="8"/>
  <c r="AI41" i="9"/>
  <c r="BA23" i="9"/>
  <c r="BN29" i="9"/>
  <c r="BG28" i="4"/>
  <c r="AJ41" i="9"/>
  <c r="AK42" i="9"/>
  <c r="BV29" i="10"/>
  <c r="BZ29" i="9"/>
  <c r="AL42" i="9"/>
  <c r="BB29" i="9"/>
  <c r="AG46" i="8"/>
  <c r="BF47" i="8" s="1"/>
  <c r="BC28" i="4"/>
  <c r="AL36" i="8"/>
  <c r="AH36" i="8" s="1"/>
  <c r="AK36" i="8"/>
  <c r="AS37" i="8" s="1"/>
  <c r="AF33" i="8"/>
  <c r="AE39" i="9"/>
  <c r="BV29" i="7"/>
  <c r="BB22" i="4"/>
  <c r="Q10" i="8"/>
  <c r="AI35" i="8"/>
  <c r="Q10" i="9"/>
  <c r="BF29" i="7"/>
  <c r="AH46" i="8"/>
  <c r="BZ23" i="8"/>
  <c r="AT62" i="10"/>
  <c r="AT61" i="10"/>
  <c r="AT60" i="10"/>
  <c r="AT63" i="10"/>
  <c r="BJ23" i="7"/>
  <c r="BF43" i="9"/>
  <c r="AK40" i="9"/>
  <c r="AI40" i="9"/>
  <c r="AE40" i="9"/>
  <c r="AS40" i="9"/>
  <c r="AO40" i="9"/>
  <c r="AQ40" i="9"/>
  <c r="AP40" i="10"/>
  <c r="AN40" i="10"/>
  <c r="AL40" i="10"/>
  <c r="AJ40" i="10"/>
  <c r="AF40" i="10"/>
  <c r="AT40" i="10"/>
  <c r="AR40" i="10"/>
  <c r="BP29" i="10"/>
  <c r="BR23" i="10"/>
  <c r="BK28" i="4"/>
  <c r="AQ45" i="10"/>
  <c r="AO45" i="10"/>
  <c r="AM45" i="10"/>
  <c r="AE49" i="10"/>
  <c r="AK45" i="10"/>
  <c r="BF46" i="10"/>
  <c r="AI45" i="10"/>
  <c r="AG45" i="10"/>
  <c r="AE89" i="10"/>
  <c r="AS45" i="10"/>
  <c r="AP63" i="8"/>
  <c r="AP62" i="8"/>
  <c r="AP60" i="8"/>
  <c r="AP61" i="8"/>
  <c r="BV29" i="9"/>
  <c r="AO46" i="9"/>
  <c r="AM46" i="9"/>
  <c r="AK46" i="9"/>
  <c r="BF47" i="9"/>
  <c r="AG89" i="9"/>
  <c r="AS46" i="9"/>
  <c r="AQ46" i="9"/>
  <c r="AI46" i="9"/>
  <c r="AE46" i="9"/>
  <c r="BX29" i="10"/>
  <c r="BY23" i="10"/>
  <c r="BR29" i="10"/>
  <c r="AM40" i="7"/>
  <c r="AK40" i="7"/>
  <c r="BF43" i="7"/>
  <c r="AI40" i="7"/>
  <c r="AG78" i="7"/>
  <c r="AE40" i="7"/>
  <c r="AS40" i="7"/>
  <c r="AQ40" i="7"/>
  <c r="AO40" i="7"/>
  <c r="BE28" i="4"/>
  <c r="BF22" i="4"/>
  <c r="BU23" i="8"/>
  <c r="BT29" i="8"/>
  <c r="AU63" i="9"/>
  <c r="AU62" i="9"/>
  <c r="AU61" i="9"/>
  <c r="BV23" i="9"/>
  <c r="BX27" i="9" s="1"/>
  <c r="AU60" i="9"/>
  <c r="AM46" i="8"/>
  <c r="BM23" i="7"/>
  <c r="BO27" i="7" s="1"/>
  <c r="AR61" i="7"/>
  <c r="AR62" i="7"/>
  <c r="AR60" i="7"/>
  <c r="AR63" i="7"/>
  <c r="AR33" i="10"/>
  <c r="AP33" i="10"/>
  <c r="AN33" i="10"/>
  <c r="AL33" i="10"/>
  <c r="AJ33" i="10"/>
  <c r="AH33" i="10"/>
  <c r="AT33" i="10"/>
  <c r="BZ23" i="10"/>
  <c r="AO41" i="10"/>
  <c r="BF44" i="10"/>
  <c r="AM41" i="10"/>
  <c r="AK41" i="10"/>
  <c r="AI78" i="10"/>
  <c r="AG41" i="10"/>
  <c r="AE41" i="10"/>
  <c r="AS41" i="10"/>
  <c r="AQ41" i="10"/>
  <c r="BQ23" i="9"/>
  <c r="AU62" i="8"/>
  <c r="AU61" i="8"/>
  <c r="AU60" i="8"/>
  <c r="AU63" i="8"/>
  <c r="BV23" i="8"/>
  <c r="BT29" i="10"/>
  <c r="BU23" i="10"/>
  <c r="BT29" i="9"/>
  <c r="BU23" i="9"/>
  <c r="BP29" i="7"/>
  <c r="BR23" i="7"/>
  <c r="BL29" i="7"/>
  <c r="BN23" i="7"/>
  <c r="BP27" i="7" s="1"/>
  <c r="AK67" i="10"/>
  <c r="AE36" i="10"/>
  <c r="AS36" i="10"/>
  <c r="AQ36" i="10"/>
  <c r="AO36" i="10"/>
  <c r="AM36" i="10"/>
  <c r="BF41" i="10"/>
  <c r="AI36" i="10"/>
  <c r="AG36" i="10"/>
  <c r="AK35" i="8"/>
  <c r="AI67" i="8"/>
  <c r="AS35" i="8"/>
  <c r="AQ35" i="8"/>
  <c r="BF40" i="8"/>
  <c r="AO35" i="8"/>
  <c r="AM35" i="8"/>
  <c r="AG35" i="8"/>
  <c r="AE35" i="8"/>
  <c r="AT37" i="7"/>
  <c r="AP33" i="7"/>
  <c r="AR37" i="7"/>
  <c r="AN33" i="7"/>
  <c r="AP37" i="7"/>
  <c r="AL33" i="7"/>
  <c r="AN37" i="7"/>
  <c r="AJ33" i="7"/>
  <c r="AL37" i="7"/>
  <c r="AH33" i="7"/>
  <c r="AH37" i="7"/>
  <c r="AT33" i="7"/>
  <c r="AJ37" i="7"/>
  <c r="AF37" i="7"/>
  <c r="AR33" i="7"/>
  <c r="BZ29" i="10"/>
  <c r="BP29" i="9"/>
  <c r="BR23" i="9"/>
  <c r="AN40" i="7"/>
  <c r="AL40" i="7"/>
  <c r="AJ40" i="7"/>
  <c r="AF40" i="7"/>
  <c r="AT40" i="7"/>
  <c r="AR40" i="7"/>
  <c r="AP40" i="7"/>
  <c r="BV29" i="8"/>
  <c r="AU62" i="10"/>
  <c r="AU61" i="10"/>
  <c r="AU60" i="10"/>
  <c r="AU63" i="10"/>
  <c r="BV23" i="10"/>
  <c r="BX27" i="10" s="1"/>
  <c r="AK46" i="10"/>
  <c r="BF47" i="10"/>
  <c r="AI46" i="10"/>
  <c r="AE46" i="10"/>
  <c r="AS46" i="10"/>
  <c r="AG89" i="10"/>
  <c r="AQ46" i="10"/>
  <c r="AO46" i="10"/>
  <c r="AM46" i="10"/>
  <c r="AS37" i="9"/>
  <c r="AO33" i="9"/>
  <c r="AQ37" i="9"/>
  <c r="AM33" i="9"/>
  <c r="AO37" i="9"/>
  <c r="AK33" i="9"/>
  <c r="AM37" i="9"/>
  <c r="AI33" i="9"/>
  <c r="AE67" i="9"/>
  <c r="AK37" i="9"/>
  <c r="AG33" i="9"/>
  <c r="AI37" i="9"/>
  <c r="BF38" i="9"/>
  <c r="AE37" i="9"/>
  <c r="AQ33" i="9"/>
  <c r="AG37" i="9"/>
  <c r="AS33" i="9"/>
  <c r="BI23" i="9"/>
  <c r="BH29" i="9"/>
  <c r="AT61" i="7"/>
  <c r="AT60" i="7"/>
  <c r="AT63" i="7"/>
  <c r="AT62" i="7"/>
  <c r="AN46" i="8"/>
  <c r="AL46" i="8"/>
  <c r="AJ46" i="8"/>
  <c r="AF46" i="8"/>
  <c r="AT46" i="8"/>
  <c r="AR46" i="8"/>
  <c r="AP46" i="8"/>
  <c r="AS62" i="10"/>
  <c r="AS61" i="10"/>
  <c r="AS60" i="10"/>
  <c r="AS63" i="10"/>
  <c r="AF36" i="10"/>
  <c r="AT36" i="10"/>
  <c r="AR36" i="10"/>
  <c r="AP36" i="10"/>
  <c r="AN36" i="10"/>
  <c r="AJ36" i="10"/>
  <c r="AH36" i="10"/>
  <c r="AP45" i="10"/>
  <c r="AN45" i="10"/>
  <c r="AL45" i="10"/>
  <c r="AJ45" i="10"/>
  <c r="AH45" i="10"/>
  <c r="AT45" i="10"/>
  <c r="AR45" i="10"/>
  <c r="AG37" i="8"/>
  <c r="AS33" i="8"/>
  <c r="BF38" i="8"/>
  <c r="AE37" i="8"/>
  <c r="AQ33" i="8"/>
  <c r="AE67" i="8"/>
  <c r="AO37" i="8"/>
  <c r="AK33" i="8"/>
  <c r="AM37" i="8"/>
  <c r="AI33" i="8"/>
  <c r="AO33" i="8"/>
  <c r="AM33" i="8"/>
  <c r="AI37" i="8"/>
  <c r="AG33" i="8"/>
  <c r="AO63" i="10"/>
  <c r="AO62" i="10"/>
  <c r="AO61" i="10"/>
  <c r="AO60" i="10"/>
  <c r="AN41" i="10"/>
  <c r="AL41" i="10"/>
  <c r="AH41" i="10"/>
  <c r="AF41" i="10"/>
  <c r="AT41" i="10"/>
  <c r="AR41" i="10"/>
  <c r="AP41" i="10"/>
  <c r="AT63" i="9"/>
  <c r="AT60" i="9"/>
  <c r="AT61" i="9"/>
  <c r="AT62" i="9"/>
  <c r="AM29" i="4"/>
  <c r="AL29" i="4"/>
  <c r="AL35" i="4"/>
  <c r="AG38" i="4"/>
  <c r="AG32" i="4"/>
  <c r="AF38" i="4"/>
  <c r="AM35" i="4"/>
  <c r="AF32" i="4"/>
  <c r="AG26" i="4"/>
  <c r="AF26" i="4"/>
  <c r="AM41" i="4"/>
  <c r="AL41" i="4"/>
  <c r="AO48" i="10"/>
  <c r="AM48" i="10"/>
  <c r="AI48" i="10"/>
  <c r="AK89" i="10"/>
  <c r="AG48" i="10"/>
  <c r="AE48" i="10"/>
  <c r="AS48" i="10"/>
  <c r="AQ48" i="10"/>
  <c r="AP33" i="9"/>
  <c r="AN33" i="9"/>
  <c r="AL33" i="9"/>
  <c r="AJ33" i="9"/>
  <c r="AH33" i="9"/>
  <c r="AT33" i="9"/>
  <c r="AR33" i="9"/>
  <c r="AM34" i="10"/>
  <c r="AG67" i="10"/>
  <c r="AK34" i="10"/>
  <c r="AI34" i="10"/>
  <c r="AE34" i="10"/>
  <c r="AS34" i="10"/>
  <c r="AQ34" i="10"/>
  <c r="AO34" i="10"/>
  <c r="BF39" i="10"/>
  <c r="BI23" i="10"/>
  <c r="BH29" i="10"/>
  <c r="AS41" i="9"/>
  <c r="BF44" i="9"/>
  <c r="AM41" i="9"/>
  <c r="AI78" i="9"/>
  <c r="AO41" i="9"/>
  <c r="AK41" i="9"/>
  <c r="AG41" i="9"/>
  <c r="AE41" i="9"/>
  <c r="AQ41" i="9"/>
  <c r="BX29" i="7"/>
  <c r="BY23" i="7"/>
  <c r="AI67" i="7"/>
  <c r="AG35" i="7"/>
  <c r="AE35" i="7"/>
  <c r="AS35" i="7"/>
  <c r="AQ35" i="7"/>
  <c r="BF40" i="7"/>
  <c r="AO35" i="7"/>
  <c r="AM35" i="7"/>
  <c r="AK35" i="7"/>
  <c r="AK42" i="10"/>
  <c r="BR29" i="9"/>
  <c r="AM41" i="7"/>
  <c r="AK41" i="7"/>
  <c r="AI78" i="7"/>
  <c r="AG41" i="7"/>
  <c r="AE41" i="7"/>
  <c r="AS41" i="7"/>
  <c r="AQ41" i="7"/>
  <c r="BF44" i="7"/>
  <c r="AO41" i="7"/>
  <c r="AF39" i="8"/>
  <c r="AW23" i="7"/>
  <c r="AY27" i="7" s="1"/>
  <c r="AN60" i="7"/>
  <c r="AN63" i="7"/>
  <c r="AN61" i="7"/>
  <c r="AN62" i="7"/>
  <c r="BV23" i="7"/>
  <c r="AU62" i="7"/>
  <c r="AU60" i="7"/>
  <c r="AU61" i="7"/>
  <c r="AU63" i="7"/>
  <c r="AK67" i="9"/>
  <c r="AS36" i="9"/>
  <c r="AQ36" i="9"/>
  <c r="AO36" i="9"/>
  <c r="AM36" i="9"/>
  <c r="BF41" i="9"/>
  <c r="AI36" i="9"/>
  <c r="AE36" i="9"/>
  <c r="AG36" i="9"/>
  <c r="BQ28" i="4"/>
  <c r="BS22" i="4"/>
  <c r="BJ29" i="9"/>
  <c r="AH47" i="8"/>
  <c r="AF47" i="8"/>
  <c r="AT47" i="8"/>
  <c r="AP47" i="8"/>
  <c r="AN47" i="8"/>
  <c r="AL47" i="8"/>
  <c r="AR47" i="8"/>
  <c r="BP26" i="4"/>
  <c r="BZ29" i="8"/>
  <c r="AN34" i="10"/>
  <c r="AL34" i="10"/>
  <c r="AJ34" i="10"/>
  <c r="AF34" i="10"/>
  <c r="AT34" i="10"/>
  <c r="AR34" i="10"/>
  <c r="AP34" i="10"/>
  <c r="AH27" i="4"/>
  <c r="AK40" i="4"/>
  <c r="AJ40" i="4"/>
  <c r="AI33" i="4"/>
  <c r="AI39" i="4"/>
  <c r="AH33" i="4"/>
  <c r="AH39" i="4"/>
  <c r="AJ34" i="4"/>
  <c r="AK28" i="4"/>
  <c r="AJ28" i="4"/>
  <c r="AK34" i="4"/>
  <c r="AI27" i="4"/>
  <c r="AG36" i="8"/>
  <c r="AK67" i="8"/>
  <c r="AE36" i="8"/>
  <c r="AO36" i="8"/>
  <c r="AM36" i="8"/>
  <c r="AI36" i="8"/>
  <c r="AS36" i="8"/>
  <c r="AQ36" i="8"/>
  <c r="AS39" i="10"/>
  <c r="AQ39" i="10"/>
  <c r="AO39" i="10"/>
  <c r="AM39" i="10"/>
  <c r="AE78" i="10"/>
  <c r="AK39" i="10"/>
  <c r="AI39" i="10"/>
  <c r="AG39" i="10"/>
  <c r="AL41" i="7"/>
  <c r="AH41" i="7"/>
  <c r="AF41" i="7"/>
  <c r="AT41" i="7"/>
  <c r="AR41" i="7"/>
  <c r="AN41" i="7"/>
  <c r="AP41" i="7"/>
  <c r="AX23" i="7"/>
  <c r="AV29" i="7"/>
  <c r="AL46" i="10"/>
  <c r="AJ46" i="10"/>
  <c r="AF46" i="10"/>
  <c r="AT46" i="10"/>
  <c r="AR46" i="10"/>
  <c r="AP46" i="10"/>
  <c r="AN46" i="10"/>
  <c r="AT36" i="9"/>
  <c r="AR36" i="9"/>
  <c r="AP36" i="9"/>
  <c r="AN36" i="9"/>
  <c r="AJ36" i="9"/>
  <c r="AH36" i="9"/>
  <c r="AF36" i="9"/>
  <c r="AS63" i="9"/>
  <c r="AS60" i="9"/>
  <c r="AS61" i="9"/>
  <c r="AS62" i="9"/>
  <c r="AR48" i="8"/>
  <c r="AP48" i="8"/>
  <c r="AN48" i="8"/>
  <c r="AJ48" i="8"/>
  <c r="AH48" i="8"/>
  <c r="AF48" i="8"/>
  <c r="AT48" i="8"/>
  <c r="BO22" i="4"/>
  <c r="BM28" i="4"/>
  <c r="AO63" i="8"/>
  <c r="AO62" i="8"/>
  <c r="AO61" i="8"/>
  <c r="AO60" i="8"/>
  <c r="AI47" i="9"/>
  <c r="BF38" i="10"/>
  <c r="AQ33" i="10"/>
  <c r="AO33" i="10"/>
  <c r="AE67" i="10"/>
  <c r="AM33" i="10"/>
  <c r="AK33" i="10"/>
  <c r="AI33" i="10"/>
  <c r="AG33" i="10"/>
  <c r="AS33" i="10"/>
  <c r="BB23" i="9"/>
  <c r="AZ29" i="9"/>
  <c r="AJ42" i="10"/>
  <c r="AH42" i="10"/>
  <c r="AF42" i="10"/>
  <c r="AT42" i="10"/>
  <c r="AR42" i="10"/>
  <c r="AP42" i="10"/>
  <c r="AN42" i="10"/>
  <c r="BZ23" i="7"/>
  <c r="AT47" i="7"/>
  <c r="AR47" i="7"/>
  <c r="AP47" i="7"/>
  <c r="AN47" i="7"/>
  <c r="AL47" i="7"/>
  <c r="AF47" i="7"/>
  <c r="AH47" i="7"/>
  <c r="AS63" i="8"/>
  <c r="AS62" i="8"/>
  <c r="AS61" i="8"/>
  <c r="AS60" i="8"/>
  <c r="BF45" i="9"/>
  <c r="AQ42" i="9"/>
  <c r="AO42" i="9"/>
  <c r="AM42" i="9"/>
  <c r="AI42" i="9"/>
  <c r="AG42" i="9"/>
  <c r="AE42" i="9"/>
  <c r="AK78" i="9"/>
  <c r="AS42" i="9"/>
  <c r="AP63" i="9"/>
  <c r="AP60" i="9"/>
  <c r="AP61" i="9"/>
  <c r="AP62" i="9"/>
  <c r="BB23" i="7"/>
  <c r="AZ29" i="7"/>
  <c r="BR23" i="8"/>
  <c r="BP29" i="8"/>
  <c r="AR63" i="9"/>
  <c r="BM23" i="9"/>
  <c r="AR60" i="9"/>
  <c r="AR61" i="9"/>
  <c r="AR62" i="9"/>
  <c r="AL48" i="10"/>
  <c r="BF49" i="10" s="1"/>
  <c r="AK34" i="9"/>
  <c r="AI34" i="9"/>
  <c r="AG67" i="9"/>
  <c r="AE34" i="9"/>
  <c r="AS34" i="9"/>
  <c r="AQ34" i="9"/>
  <c r="BF39" i="9"/>
  <c r="AM34" i="9"/>
  <c r="AO34" i="9"/>
  <c r="BY28" i="4"/>
  <c r="BZ22" i="4"/>
  <c r="BE23" i="8"/>
  <c r="BD29" i="8"/>
  <c r="AL49" i="8"/>
  <c r="AR45" i="8"/>
  <c r="AJ49" i="8"/>
  <c r="AP45" i="8"/>
  <c r="AH49" i="8"/>
  <c r="AT49" i="8"/>
  <c r="AJ45" i="8"/>
  <c r="AR49" i="8"/>
  <c r="AH45" i="8"/>
  <c r="AN49" i="8"/>
  <c r="AT45" i="8"/>
  <c r="AP49" i="8"/>
  <c r="AF49" i="8"/>
  <c r="AN45" i="8"/>
  <c r="AL45" i="8"/>
  <c r="AG47" i="8"/>
  <c r="AE47" i="8"/>
  <c r="AS47" i="8"/>
  <c r="AQ47" i="8"/>
  <c r="AO47" i="8"/>
  <c r="AI89" i="8"/>
  <c r="AM47" i="8"/>
  <c r="AK47" i="8"/>
  <c r="BF48" i="8"/>
  <c r="BX29" i="8"/>
  <c r="BY23" i="8"/>
  <c r="AJ47" i="9"/>
  <c r="AS60" i="7"/>
  <c r="AS61" i="7"/>
  <c r="AS62" i="7"/>
  <c r="AS63" i="7"/>
  <c r="AL35" i="8"/>
  <c r="AH35" i="8"/>
  <c r="AT35" i="8"/>
  <c r="AR35" i="8"/>
  <c r="AP35" i="8"/>
  <c r="AN35" i="8"/>
  <c r="AF35" i="8"/>
  <c r="AT33" i="8"/>
  <c r="AR33" i="8"/>
  <c r="AP33" i="8"/>
  <c r="AL33" i="8"/>
  <c r="AJ33" i="8"/>
  <c r="AN33" i="8"/>
  <c r="AH33" i="8"/>
  <c r="AS37" i="7"/>
  <c r="AO33" i="7"/>
  <c r="AE67" i="7"/>
  <c r="AQ37" i="7"/>
  <c r="AM33" i="7"/>
  <c r="AO37" i="7"/>
  <c r="AK33" i="7"/>
  <c r="AM37" i="7"/>
  <c r="AI33" i="7"/>
  <c r="AK37" i="7"/>
  <c r="AG33" i="7"/>
  <c r="AI37" i="7"/>
  <c r="BF38" i="7"/>
  <c r="AG37" i="7"/>
  <c r="AS33" i="7"/>
  <c r="AE37" i="7"/>
  <c r="AQ33" i="7"/>
  <c r="AO43" i="9"/>
  <c r="AK43" i="9"/>
  <c r="AI43" i="9"/>
  <c r="AQ39" i="9"/>
  <c r="AE78" i="9"/>
  <c r="AS43" i="9"/>
  <c r="AO39" i="9"/>
  <c r="AQ43" i="9"/>
  <c r="AM39" i="9"/>
  <c r="AM43" i="9"/>
  <c r="AK39" i="9"/>
  <c r="AI39" i="9"/>
  <c r="AG43" i="9"/>
  <c r="AG39" i="9"/>
  <c r="AE43" i="9"/>
  <c r="BF42" i="9"/>
  <c r="AS39" i="9"/>
  <c r="AP42" i="9"/>
  <c r="AJ42" i="9"/>
  <c r="AN42" i="9"/>
  <c r="AH42" i="9"/>
  <c r="AF42" i="9"/>
  <c r="AR42" i="9"/>
  <c r="AT42" i="9"/>
  <c r="AF39" i="10"/>
  <c r="AP61" i="7"/>
  <c r="AP60" i="7"/>
  <c r="AP63" i="7"/>
  <c r="AP62" i="7"/>
  <c r="AT63" i="8"/>
  <c r="AT62" i="8"/>
  <c r="AT61" i="8"/>
  <c r="AT60" i="8"/>
  <c r="BL29" i="9"/>
  <c r="BN23" i="9"/>
  <c r="AJ41" i="8"/>
  <c r="BT29" i="7"/>
  <c r="BU23" i="7"/>
  <c r="AL34" i="9"/>
  <c r="AJ34" i="9"/>
  <c r="AF34" i="9"/>
  <c r="AT34" i="9"/>
  <c r="AR34" i="9"/>
  <c r="AP34" i="9"/>
  <c r="AN34" i="9"/>
  <c r="AQ63" i="8"/>
  <c r="AQ62" i="8"/>
  <c r="AQ61" i="8"/>
  <c r="AQ60" i="8"/>
  <c r="BF23" i="8"/>
  <c r="BH27" i="8" s="1"/>
  <c r="AE45" i="9"/>
  <c r="AI67" i="9"/>
  <c r="AG35" i="9"/>
  <c r="AE35" i="9"/>
  <c r="AS35" i="9"/>
  <c r="AQ35" i="9"/>
  <c r="AO35" i="9"/>
  <c r="AM35" i="9"/>
  <c r="AK35" i="9"/>
  <c r="AO34" i="8"/>
  <c r="AM34" i="8"/>
  <c r="AG67" i="8"/>
  <c r="AE34" i="8"/>
  <c r="AK34" i="8"/>
  <c r="AI34" i="8"/>
  <c r="AQ34" i="8"/>
  <c r="AS34" i="8"/>
  <c r="AN41" i="9"/>
  <c r="AL41" i="9"/>
  <c r="AH41" i="9"/>
  <c r="AF41" i="9"/>
  <c r="AT41" i="9"/>
  <c r="AP41" i="9"/>
  <c r="AR41" i="9"/>
  <c r="AR63" i="10"/>
  <c r="BM23" i="10"/>
  <c r="AR62" i="10"/>
  <c r="AR61" i="10"/>
  <c r="AR60" i="10"/>
  <c r="AH49" i="7"/>
  <c r="AN45" i="7"/>
  <c r="AF49" i="7"/>
  <c r="AL45" i="7"/>
  <c r="AT49" i="7"/>
  <c r="AJ45" i="7"/>
  <c r="AR49" i="7"/>
  <c r="AH45" i="7"/>
  <c r="AP49" i="7"/>
  <c r="AN49" i="7"/>
  <c r="AT45" i="7"/>
  <c r="AJ49" i="7"/>
  <c r="AP45" i="7"/>
  <c r="AR45" i="7"/>
  <c r="AL49" i="7"/>
  <c r="AK67" i="7"/>
  <c r="AS36" i="7"/>
  <c r="AQ36" i="7"/>
  <c r="AO36" i="7"/>
  <c r="AM36" i="7"/>
  <c r="BF41" i="7"/>
  <c r="AI36" i="7"/>
  <c r="AG36" i="7"/>
  <c r="AE36" i="7"/>
  <c r="BN29" i="8"/>
  <c r="BF23" i="7"/>
  <c r="AQ63" i="7"/>
  <c r="AQ62" i="7"/>
  <c r="AQ61" i="7"/>
  <c r="AQ60" i="7"/>
  <c r="BB29" i="7"/>
  <c r="BR29" i="8"/>
  <c r="AS45" i="8"/>
  <c r="AQ45" i="8"/>
  <c r="AO45" i="8"/>
  <c r="AK45" i="8"/>
  <c r="BF46" i="8"/>
  <c r="AI45" i="8"/>
  <c r="AG45" i="8"/>
  <c r="AE89" i="8"/>
  <c r="AM45" i="8"/>
  <c r="BV22" i="4"/>
  <c r="BU28" i="4"/>
  <c r="BF47" i="7"/>
  <c r="AI46" i="7"/>
  <c r="AE46" i="7"/>
  <c r="AS46" i="7"/>
  <c r="AQ46" i="7"/>
  <c r="AG89" i="7"/>
  <c r="AO46" i="7"/>
  <c r="AK46" i="7"/>
  <c r="AM46" i="7"/>
  <c r="L10" i="2"/>
  <c r="J10" i="2"/>
  <c r="AG40" i="8"/>
  <c r="BY26" i="4"/>
  <c r="AL48" i="9"/>
  <c r="BH29" i="8"/>
  <c r="BI23" i="8"/>
  <c r="AO63" i="7"/>
  <c r="AO61" i="7"/>
  <c r="AO60" i="7"/>
  <c r="AO62" i="7"/>
  <c r="AT36" i="7"/>
  <c r="AR36" i="7"/>
  <c r="AP36" i="7"/>
  <c r="AN36" i="7"/>
  <c r="AH36" i="7"/>
  <c r="AJ36" i="7"/>
  <c r="AF36" i="7"/>
  <c r="AM48" i="7"/>
  <c r="BF49" i="7"/>
  <c r="AI48" i="7"/>
  <c r="AG48" i="7"/>
  <c r="AK89" i="7"/>
  <c r="AE48" i="7"/>
  <c r="AS48" i="7"/>
  <c r="AO48" i="7"/>
  <c r="AQ48" i="7"/>
  <c r="AR63" i="8"/>
  <c r="AR61" i="8"/>
  <c r="AR60" i="8"/>
  <c r="AR62" i="8"/>
  <c r="BM23" i="8"/>
  <c r="BO27" i="8" s="1"/>
  <c r="AJ42" i="7"/>
  <c r="AH42" i="7"/>
  <c r="AF42" i="7"/>
  <c r="AT42" i="7"/>
  <c r="AR42" i="7"/>
  <c r="AP42" i="7"/>
  <c r="AN42" i="7"/>
  <c r="AH40" i="8"/>
  <c r="AN63" i="8"/>
  <c r="AN62" i="8"/>
  <c r="AN61" i="8"/>
  <c r="AN60" i="8"/>
  <c r="AW23" i="8"/>
  <c r="BX29" i="9"/>
  <c r="BY23" i="9"/>
  <c r="BA28" i="4"/>
  <c r="BC22" i="4"/>
  <c r="AI35" i="10"/>
  <c r="AQ37" i="10" s="1"/>
  <c r="AE47" i="7"/>
  <c r="AS47" i="7"/>
  <c r="AQ47" i="7"/>
  <c r="AO47" i="7"/>
  <c r="AM47" i="7"/>
  <c r="AI89" i="7"/>
  <c r="BF48" i="7"/>
  <c r="AK47" i="7"/>
  <c r="AG47" i="7"/>
  <c r="AI49" i="7"/>
  <c r="AO45" i="7"/>
  <c r="AG49" i="7"/>
  <c r="AM45" i="7"/>
  <c r="AE49" i="7"/>
  <c r="AK45" i="7"/>
  <c r="BF46" i="7"/>
  <c r="AS49" i="7"/>
  <c r="AI45" i="7"/>
  <c r="AQ49" i="7"/>
  <c r="AG45" i="7"/>
  <c r="AO49" i="7"/>
  <c r="AE89" i="7"/>
  <c r="AM49" i="7"/>
  <c r="AS45" i="7"/>
  <c r="AQ45" i="7"/>
  <c r="AK49" i="7"/>
  <c r="AJ46" i="7"/>
  <c r="AF46" i="7"/>
  <c r="AT46" i="7"/>
  <c r="AR46" i="7"/>
  <c r="AP46" i="7"/>
  <c r="AN46" i="7"/>
  <c r="AL46" i="7"/>
  <c r="AL34" i="7"/>
  <c r="AJ34" i="7"/>
  <c r="AF34" i="7"/>
  <c r="AT34" i="7"/>
  <c r="AP34" i="7"/>
  <c r="AR34" i="7"/>
  <c r="AN34" i="7"/>
  <c r="BN23" i="8"/>
  <c r="BL29" i="8"/>
  <c r="BE23" i="7"/>
  <c r="BD29" i="7"/>
  <c r="AI42" i="7"/>
  <c r="AG42" i="7"/>
  <c r="AK78" i="7"/>
  <c r="AE42" i="7"/>
  <c r="AS42" i="7"/>
  <c r="AQ42" i="7"/>
  <c r="BF45" i="7"/>
  <c r="AO42" i="7"/>
  <c r="AM42" i="7"/>
  <c r="BB23" i="10"/>
  <c r="AZ29" i="10"/>
  <c r="AI41" i="8"/>
  <c r="BF29" i="9"/>
  <c r="AV29" i="8"/>
  <c r="AX23" i="8"/>
  <c r="AJ35" i="9"/>
  <c r="AL37" i="9" s="1"/>
  <c r="BE23" i="10"/>
  <c r="BG27" i="10" s="1"/>
  <c r="BD29" i="10"/>
  <c r="AK48" i="8"/>
  <c r="AO49" i="8" s="1"/>
  <c r="AK48" i="9"/>
  <c r="AP46" i="9"/>
  <c r="AN46" i="9"/>
  <c r="AL46" i="9"/>
  <c r="AJ46" i="9"/>
  <c r="AT46" i="9"/>
  <c r="AR46" i="9"/>
  <c r="AF46" i="9"/>
  <c r="AH35" i="7"/>
  <c r="AF35" i="7"/>
  <c r="AT35" i="7"/>
  <c r="AR35" i="7"/>
  <c r="AP35" i="7"/>
  <c r="AL35" i="7"/>
  <c r="AN35" i="7"/>
  <c r="BN23" i="10"/>
  <c r="BP27" i="10" s="1"/>
  <c r="BL29" i="10"/>
  <c r="AK34" i="7"/>
  <c r="AG67" i="7"/>
  <c r="AI34" i="7"/>
  <c r="AE34" i="7"/>
  <c r="AS34" i="7"/>
  <c r="AQ34" i="7"/>
  <c r="BF39" i="7"/>
  <c r="AO34" i="7"/>
  <c r="AM34" i="7"/>
  <c r="AN48" i="7"/>
  <c r="AJ48" i="7"/>
  <c r="AH48" i="7"/>
  <c r="AF48" i="7"/>
  <c r="AT48" i="7"/>
  <c r="AR48" i="7"/>
  <c r="AP48" i="7"/>
  <c r="AN61" i="9"/>
  <c r="AN60" i="9"/>
  <c r="AN62" i="9"/>
  <c r="AN63" i="9"/>
  <c r="AW23" i="9"/>
  <c r="AY27" i="9" s="1"/>
  <c r="AG40" i="10"/>
  <c r="AE43" i="10" s="1"/>
  <c r="AI43" i="7"/>
  <c r="AQ39" i="7"/>
  <c r="AG43" i="7"/>
  <c r="AO39" i="7"/>
  <c r="AE43" i="7"/>
  <c r="AM39" i="7"/>
  <c r="BF42" i="7"/>
  <c r="AS43" i="7"/>
  <c r="AK39" i="7"/>
  <c r="AE78" i="7"/>
  <c r="AQ43" i="7"/>
  <c r="AI39" i="7"/>
  <c r="AO43" i="7"/>
  <c r="AM43" i="7"/>
  <c r="AS39" i="7"/>
  <c r="AG39" i="7"/>
  <c r="AK43" i="7"/>
  <c r="AP63" i="10"/>
  <c r="AP62" i="10"/>
  <c r="AP61" i="10"/>
  <c r="AP60" i="10"/>
  <c r="AK42" i="8"/>
  <c r="AQ63" i="9"/>
  <c r="AQ60" i="9"/>
  <c r="BF23" i="9"/>
  <c r="BH27" i="9" s="1"/>
  <c r="AQ61" i="9"/>
  <c r="AQ62" i="9"/>
  <c r="BI28" i="4"/>
  <c r="BJ22" i="4"/>
  <c r="AI47" i="10"/>
  <c r="AS49" i="10" s="1"/>
  <c r="BA23" i="8"/>
  <c r="AQ63" i="10"/>
  <c r="BF23" i="10"/>
  <c r="BH27" i="10" s="1"/>
  <c r="AQ62" i="10"/>
  <c r="AQ61" i="10"/>
  <c r="AQ60" i="10"/>
  <c r="AX22" i="4"/>
  <c r="AZ26" i="4" s="1"/>
  <c r="AN63" i="10"/>
  <c r="AN62" i="10"/>
  <c r="AW23" i="10"/>
  <c r="AY27" i="10" s="1"/>
  <c r="AN61" i="10"/>
  <c r="AN60" i="10"/>
  <c r="AJ35" i="10"/>
  <c r="AJ37" i="10" s="1"/>
  <c r="AN43" i="9"/>
  <c r="AJ43" i="9"/>
  <c r="AT43" i="9"/>
  <c r="AP39" i="9"/>
  <c r="AR43" i="9"/>
  <c r="AN39" i="9"/>
  <c r="AP43" i="9"/>
  <c r="AL39" i="9"/>
  <c r="AL43" i="9"/>
  <c r="AJ39" i="9"/>
  <c r="AH43" i="9"/>
  <c r="AH39" i="9"/>
  <c r="AF43" i="9"/>
  <c r="AR39" i="9"/>
  <c r="AT39" i="9"/>
  <c r="BN29" i="10"/>
  <c r="BJ29" i="7"/>
  <c r="BI23" i="7"/>
  <c r="BH29" i="7"/>
  <c r="AX23" i="9"/>
  <c r="AZ27" i="9" s="1"/>
  <c r="AV29" i="9"/>
  <c r="L8" i="2"/>
  <c r="J8" i="2"/>
  <c r="BQ23" i="10"/>
  <c r="AH43" i="7"/>
  <c r="AP39" i="7"/>
  <c r="AF43" i="7"/>
  <c r="AN39" i="7"/>
  <c r="AT43" i="7"/>
  <c r="AL39" i="7"/>
  <c r="AR43" i="7"/>
  <c r="AJ39" i="7"/>
  <c r="AP43" i="7"/>
  <c r="AH39" i="7"/>
  <c r="AN43" i="7"/>
  <c r="AJ43" i="7"/>
  <c r="AT39" i="7"/>
  <c r="AR39" i="7"/>
  <c r="AL43" i="7"/>
  <c r="BB29" i="10"/>
  <c r="AL42" i="8"/>
  <c r="BE23" i="9"/>
  <c r="BG27" i="9" s="1"/>
  <c r="BD29" i="9"/>
  <c r="BK22" i="4"/>
  <c r="BI26" i="4" s="1"/>
  <c r="AJ47" i="10"/>
  <c r="AF49" i="10" s="1"/>
  <c r="AZ29" i="8"/>
  <c r="BB23" i="8"/>
  <c r="AO61" i="9"/>
  <c r="AO60" i="9"/>
  <c r="AO63" i="9"/>
  <c r="AO62" i="9"/>
  <c r="BF29" i="10"/>
  <c r="AW28" i="4"/>
  <c r="AY22" i="4"/>
  <c r="BA26" i="4" s="1"/>
  <c r="AV29" i="10"/>
  <c r="AX23" i="10"/>
  <c r="AF45" i="9"/>
  <c r="AZ27" i="10" l="1"/>
  <c r="BP27" i="8"/>
  <c r="AI43" i="10"/>
  <c r="AH49" i="10"/>
  <c r="AK46" i="8"/>
  <c r="BF39" i="8"/>
  <c r="AL37" i="8"/>
  <c r="AR36" i="8"/>
  <c r="AR37" i="8"/>
  <c r="BF41" i="8"/>
  <c r="AJ36" i="8"/>
  <c r="BH27" i="7"/>
  <c r="AN36" i="8"/>
  <c r="AJ37" i="8"/>
  <c r="AS73" i="8" s="1"/>
  <c r="AN37" i="8"/>
  <c r="AR34" i="8"/>
  <c r="AP36" i="8"/>
  <c r="AP40" i="9"/>
  <c r="AO39" i="8"/>
  <c r="AT34" i="8"/>
  <c r="AT36" i="8"/>
  <c r="AR40" i="9"/>
  <c r="AG39" i="8"/>
  <c r="AF36" i="8"/>
  <c r="AG89" i="8"/>
  <c r="AT40" i="9"/>
  <c r="AI39" i="8"/>
  <c r="AP37" i="8"/>
  <c r="BW27" i="7"/>
  <c r="AF34" i="8"/>
  <c r="AO37" i="10"/>
  <c r="AI46" i="8"/>
  <c r="AF40" i="9"/>
  <c r="AK39" i="8"/>
  <c r="AT37" i="8"/>
  <c r="AL34" i="8"/>
  <c r="BW27" i="10"/>
  <c r="AQ46" i="8"/>
  <c r="AJ40" i="9"/>
  <c r="AE78" i="8"/>
  <c r="AJ34" i="8"/>
  <c r="AN34" i="8"/>
  <c r="AK37" i="8"/>
  <c r="AO46" i="8"/>
  <c r="AL40" i="9"/>
  <c r="AM39" i="8"/>
  <c r="BP27" i="9"/>
  <c r="AF37" i="8"/>
  <c r="AP34" i="8"/>
  <c r="BF42" i="8"/>
  <c r="BX27" i="8"/>
  <c r="AS46" i="8"/>
  <c r="AQ39" i="8"/>
  <c r="BG27" i="8"/>
  <c r="BO27" i="9"/>
  <c r="AQ37" i="8"/>
  <c r="AE46" i="8"/>
  <c r="AM40" i="9"/>
  <c r="AM49" i="8"/>
  <c r="AO96" i="10"/>
  <c r="AO95" i="10"/>
  <c r="AO94" i="10"/>
  <c r="AO93" i="10"/>
  <c r="AU74" i="9"/>
  <c r="AU73" i="9"/>
  <c r="AU72" i="9"/>
  <c r="AU71" i="9"/>
  <c r="R29" i="7"/>
  <c r="Q29" i="7"/>
  <c r="BE52" i="7"/>
  <c r="Q28" i="7"/>
  <c r="R30" i="7"/>
  <c r="AE74" i="7"/>
  <c r="AE73" i="7"/>
  <c r="AE72" i="7"/>
  <c r="AE71" i="7"/>
  <c r="AF73" i="7"/>
  <c r="AF72" i="7"/>
  <c r="AF71" i="7"/>
  <c r="Q30" i="7"/>
  <c r="AF74" i="7"/>
  <c r="H29" i="7"/>
  <c r="G29" i="7"/>
  <c r="G28" i="7"/>
  <c r="AH74" i="7"/>
  <c r="AH73" i="7"/>
  <c r="AH72" i="7"/>
  <c r="AH71" i="7"/>
  <c r="AH75" i="7" s="1"/>
  <c r="AG73" i="7"/>
  <c r="AG72" i="7"/>
  <c r="AG71" i="7"/>
  <c r="H30" i="7"/>
  <c r="G30" i="7"/>
  <c r="AG74" i="7"/>
  <c r="R36" i="8"/>
  <c r="R35" i="8"/>
  <c r="AF96" i="8"/>
  <c r="AF95" i="8"/>
  <c r="AF94" i="8"/>
  <c r="AF93" i="8"/>
  <c r="BE58" i="8"/>
  <c r="Q35" i="8"/>
  <c r="AE96" i="8"/>
  <c r="AE95" i="8"/>
  <c r="AE94" i="8"/>
  <c r="AE93" i="8"/>
  <c r="Q36" i="8"/>
  <c r="Q34" i="8"/>
  <c r="Q44" i="7"/>
  <c r="R46" i="7"/>
  <c r="Q46" i="7"/>
  <c r="AL74" i="7"/>
  <c r="AL73" i="7"/>
  <c r="AL72" i="7"/>
  <c r="AL71" i="7"/>
  <c r="AK74" i="7"/>
  <c r="AK73" i="7"/>
  <c r="AK72" i="7"/>
  <c r="AK71" i="7"/>
  <c r="AK75" i="7" s="1"/>
  <c r="R45" i="7"/>
  <c r="Q45" i="7"/>
  <c r="AQ74" i="8"/>
  <c r="AQ73" i="8"/>
  <c r="AQ72" i="8"/>
  <c r="AQ71" i="8"/>
  <c r="AL39" i="4"/>
  <c r="AJ39" i="4"/>
  <c r="AT39" i="4"/>
  <c r="AR39" i="4"/>
  <c r="AP39" i="4"/>
  <c r="AN39" i="4"/>
  <c r="AF39" i="4"/>
  <c r="AJ85" i="9"/>
  <c r="AJ84" i="9"/>
  <c r="AJ83" i="9"/>
  <c r="AJ82" i="9"/>
  <c r="H48" i="9"/>
  <c r="AI85" i="9"/>
  <c r="AI84" i="9"/>
  <c r="AI83" i="9"/>
  <c r="AI82" i="9"/>
  <c r="AI86" i="9" s="1"/>
  <c r="G48" i="9"/>
  <c r="H47" i="9" s="1"/>
  <c r="G47" i="9"/>
  <c r="H49" i="9"/>
  <c r="G49" i="9"/>
  <c r="AF37" i="9"/>
  <c r="AT35" i="4"/>
  <c r="AP35" i="4"/>
  <c r="AR35" i="4"/>
  <c r="AN35" i="4"/>
  <c r="AJ35" i="4"/>
  <c r="AH35" i="4"/>
  <c r="AF35" i="4"/>
  <c r="BE51" i="8"/>
  <c r="AH34" i="4"/>
  <c r="AT34" i="4"/>
  <c r="AP34" i="4"/>
  <c r="AF34" i="4"/>
  <c r="AR34" i="4"/>
  <c r="AL34" i="4"/>
  <c r="AN34" i="4"/>
  <c r="AN96" i="10"/>
  <c r="AN95" i="10"/>
  <c r="AN94" i="10"/>
  <c r="AN93" i="10"/>
  <c r="AH35" i="10"/>
  <c r="AF35" i="10"/>
  <c r="AT35" i="10"/>
  <c r="AR35" i="10"/>
  <c r="AP35" i="10"/>
  <c r="AN35" i="10"/>
  <c r="AL35" i="10"/>
  <c r="AQ40" i="8"/>
  <c r="AO40" i="8"/>
  <c r="BF43" i="8"/>
  <c r="AG78" i="8"/>
  <c r="AI40" i="8"/>
  <c r="AS40" i="8"/>
  <c r="AM40" i="8"/>
  <c r="AK40" i="8"/>
  <c r="AE40" i="8"/>
  <c r="AU96" i="7"/>
  <c r="AU95" i="7"/>
  <c r="AU94" i="7"/>
  <c r="AU93" i="7"/>
  <c r="AG74" i="8"/>
  <c r="AG73" i="8"/>
  <c r="AG72" i="8"/>
  <c r="AG71" i="8"/>
  <c r="AG75" i="8" s="1"/>
  <c r="H30" i="8"/>
  <c r="G30" i="8"/>
  <c r="G28" i="8"/>
  <c r="AH74" i="8"/>
  <c r="AH73" i="8"/>
  <c r="AH72" i="8"/>
  <c r="AH71" i="8"/>
  <c r="AH75" i="8" s="1"/>
  <c r="H29" i="8"/>
  <c r="G29" i="8"/>
  <c r="H28" i="8" s="1"/>
  <c r="AM43" i="10"/>
  <c r="AK43" i="10"/>
  <c r="AL33" i="4"/>
  <c r="AT33" i="4"/>
  <c r="AR33" i="4"/>
  <c r="AP33" i="4"/>
  <c r="AN33" i="4"/>
  <c r="AJ33" i="4"/>
  <c r="AF33" i="4"/>
  <c r="G44" i="7"/>
  <c r="H46" i="7"/>
  <c r="G46" i="7"/>
  <c r="AJ74" i="7"/>
  <c r="AJ73" i="7"/>
  <c r="AJ72" i="7"/>
  <c r="AJ71" i="7"/>
  <c r="AI74" i="7"/>
  <c r="AI73" i="7"/>
  <c r="AI72" i="7"/>
  <c r="AI71" i="7"/>
  <c r="AI75" i="7" s="1"/>
  <c r="H45" i="7"/>
  <c r="G45" i="7"/>
  <c r="AP29" i="4"/>
  <c r="AH29" i="4"/>
  <c r="AJ29" i="4"/>
  <c r="AF29" i="4"/>
  <c r="AT29" i="4"/>
  <c r="AN29" i="4"/>
  <c r="AR29" i="4"/>
  <c r="AJ49" i="10"/>
  <c r="BW27" i="8"/>
  <c r="AG49" i="10"/>
  <c r="BE55" i="7"/>
  <c r="AF85" i="7"/>
  <c r="AF84" i="7"/>
  <c r="AF83" i="7"/>
  <c r="AF82" i="7"/>
  <c r="R32" i="7"/>
  <c r="AE85" i="7"/>
  <c r="AE84" i="7"/>
  <c r="AE83" i="7"/>
  <c r="AE82" i="7"/>
  <c r="Q32" i="7"/>
  <c r="Q31" i="7"/>
  <c r="R33" i="7"/>
  <c r="Q33" i="7"/>
  <c r="AS48" i="9"/>
  <c r="AQ48" i="9"/>
  <c r="AO48" i="9"/>
  <c r="AI48" i="9"/>
  <c r="AG48" i="9"/>
  <c r="AE48" i="9"/>
  <c r="BF49" i="9"/>
  <c r="AM48" i="9"/>
  <c r="AK89" i="9"/>
  <c r="AI67" i="10"/>
  <c r="AG35" i="10"/>
  <c r="AE35" i="10"/>
  <c r="AS35" i="10"/>
  <c r="AQ35" i="10"/>
  <c r="BF40" i="10"/>
  <c r="AO35" i="10"/>
  <c r="AM35" i="10"/>
  <c r="AK35" i="10"/>
  <c r="AN85" i="9"/>
  <c r="AN84" i="9"/>
  <c r="AN83" i="9"/>
  <c r="AN82" i="9"/>
  <c r="AN74" i="7"/>
  <c r="AN73" i="7"/>
  <c r="AN72" i="7"/>
  <c r="AN71" i="7"/>
  <c r="AE74" i="10"/>
  <c r="AE73" i="10"/>
  <c r="AE72" i="10"/>
  <c r="AE71" i="10"/>
  <c r="R29" i="10"/>
  <c r="Q29" i="10"/>
  <c r="BE52" i="10"/>
  <c r="Q28" i="10"/>
  <c r="AF74" i="10"/>
  <c r="AF73" i="10"/>
  <c r="AF72" i="10"/>
  <c r="R30" i="10"/>
  <c r="AF71" i="10"/>
  <c r="Q30" i="10"/>
  <c r="AM39" i="4"/>
  <c r="AU39" i="4"/>
  <c r="AS39" i="4"/>
  <c r="AQ39" i="4"/>
  <c r="AO39" i="4"/>
  <c r="AK39" i="4"/>
  <c r="AG39" i="4"/>
  <c r="R45" i="9"/>
  <c r="AL73" i="9"/>
  <c r="AK73" i="9"/>
  <c r="AL71" i="9"/>
  <c r="AK71" i="9"/>
  <c r="AL74" i="9"/>
  <c r="AL72" i="9"/>
  <c r="Q45" i="9"/>
  <c r="AK74" i="9"/>
  <c r="AK72" i="9"/>
  <c r="R46" i="9"/>
  <c r="Q46" i="9"/>
  <c r="Q44" i="9"/>
  <c r="AH37" i="9"/>
  <c r="AP73" i="9" s="1"/>
  <c r="AL96" i="10"/>
  <c r="AL95" i="10"/>
  <c r="AL94" i="10"/>
  <c r="AL93" i="10"/>
  <c r="AK96" i="10"/>
  <c r="AK95" i="10"/>
  <c r="AK94" i="10"/>
  <c r="AK93" i="10"/>
  <c r="Q50" i="10"/>
  <c r="R52" i="10"/>
  <c r="Q52" i="10"/>
  <c r="R51" i="10"/>
  <c r="Q51" i="10"/>
  <c r="AO29" i="4"/>
  <c r="AK29" i="4"/>
  <c r="AI29" i="4"/>
  <c r="AG29" i="4"/>
  <c r="AU29" i="4"/>
  <c r="AS29" i="4"/>
  <c r="AQ29" i="4"/>
  <c r="AP74" i="8"/>
  <c r="AP73" i="8"/>
  <c r="AP72" i="8"/>
  <c r="AP71" i="8"/>
  <c r="AT74" i="9"/>
  <c r="AT73" i="9"/>
  <c r="AT72" i="9"/>
  <c r="AT71" i="9"/>
  <c r="AL37" i="10"/>
  <c r="AH96" i="8"/>
  <c r="AH95" i="8"/>
  <c r="AH94" i="8"/>
  <c r="AH93" i="8"/>
  <c r="AG96" i="8"/>
  <c r="AG95" i="8"/>
  <c r="AG94" i="8"/>
  <c r="AG93" i="8"/>
  <c r="AG97" i="8" s="1"/>
  <c r="H35" i="8"/>
  <c r="G35" i="8"/>
  <c r="H36" i="8"/>
  <c r="G36" i="8"/>
  <c r="G34" i="8"/>
  <c r="BH26" i="4"/>
  <c r="AE43" i="8"/>
  <c r="AT48" i="9"/>
  <c r="AR48" i="9"/>
  <c r="AP48" i="9"/>
  <c r="AN48" i="9"/>
  <c r="AJ48" i="9"/>
  <c r="AH48" i="9"/>
  <c r="AF48" i="9"/>
  <c r="AQ48" i="8"/>
  <c r="AO48" i="8"/>
  <c r="AM48" i="8"/>
  <c r="BF49" i="8"/>
  <c r="BE57" i="8" s="1"/>
  <c r="AI48" i="8"/>
  <c r="AK89" i="8"/>
  <c r="AG48" i="8"/>
  <c r="AS48" i="8"/>
  <c r="AE48" i="8"/>
  <c r="Q47" i="7"/>
  <c r="R49" i="7"/>
  <c r="Q49" i="7"/>
  <c r="R48" i="7"/>
  <c r="AL85" i="7"/>
  <c r="AL84" i="7"/>
  <c r="AL83" i="7"/>
  <c r="AL82" i="7"/>
  <c r="AL86" i="7" s="1"/>
  <c r="Q48" i="7"/>
  <c r="AK85" i="7"/>
  <c r="AK84" i="7"/>
  <c r="AK83" i="7"/>
  <c r="AK82" i="7"/>
  <c r="AQ49" i="8"/>
  <c r="BO27" i="10"/>
  <c r="AH47" i="9"/>
  <c r="AF47" i="9"/>
  <c r="AT47" i="9"/>
  <c r="AR47" i="9"/>
  <c r="AP47" i="9"/>
  <c r="AN47" i="9"/>
  <c r="AL47" i="9"/>
  <c r="AO43" i="10"/>
  <c r="AK33" i="4"/>
  <c r="AG33" i="4"/>
  <c r="AS33" i="4"/>
  <c r="AQ33" i="4"/>
  <c r="AU33" i="4"/>
  <c r="AO33" i="4"/>
  <c r="AM33" i="4"/>
  <c r="AJ37" i="9"/>
  <c r="AR73" i="9" s="1"/>
  <c r="AF74" i="9"/>
  <c r="AF73" i="9"/>
  <c r="AF72" i="9"/>
  <c r="AF71" i="9"/>
  <c r="AF75" i="9" s="1"/>
  <c r="AE74" i="9"/>
  <c r="AE73" i="9"/>
  <c r="AE72" i="9"/>
  <c r="AE71" i="9"/>
  <c r="R29" i="9"/>
  <c r="Q29" i="9"/>
  <c r="R28" i="9" s="1"/>
  <c r="BE52" i="9"/>
  <c r="Q28" i="9"/>
  <c r="R30" i="9"/>
  <c r="Q30" i="9"/>
  <c r="AI49" i="10"/>
  <c r="R33" i="8"/>
  <c r="Q33" i="8"/>
  <c r="AF85" i="8"/>
  <c r="AF84" i="8"/>
  <c r="AF83" i="8"/>
  <c r="AF82" i="8"/>
  <c r="BE55" i="8"/>
  <c r="AE85" i="8"/>
  <c r="AE84" i="8"/>
  <c r="AE83" i="8"/>
  <c r="AE82" i="8"/>
  <c r="Q32" i="8"/>
  <c r="Q31" i="8"/>
  <c r="R32" i="8"/>
  <c r="AO83" i="9"/>
  <c r="AO85" i="9"/>
  <c r="AO84" i="9"/>
  <c r="AO82" i="9"/>
  <c r="AN96" i="7"/>
  <c r="AN95" i="7"/>
  <c r="AN94" i="7"/>
  <c r="AN93" i="7"/>
  <c r="AS96" i="7"/>
  <c r="AS95" i="7"/>
  <c r="AS94" i="7"/>
  <c r="AS93" i="7"/>
  <c r="AP83" i="9"/>
  <c r="AP85" i="9"/>
  <c r="AP82" i="9"/>
  <c r="AP84" i="9"/>
  <c r="AP74" i="7"/>
  <c r="AP73" i="7"/>
  <c r="AP72" i="7"/>
  <c r="AP71" i="7"/>
  <c r="AS37" i="10"/>
  <c r="AL40" i="4"/>
  <c r="AH40" i="4"/>
  <c r="AT40" i="4"/>
  <c r="AR40" i="4"/>
  <c r="AP40" i="4"/>
  <c r="AN40" i="4"/>
  <c r="AF40" i="4"/>
  <c r="G47" i="7"/>
  <c r="H49" i="7"/>
  <c r="G49" i="7"/>
  <c r="AI85" i="7"/>
  <c r="AI84" i="7"/>
  <c r="AI83" i="7"/>
  <c r="AI82" i="7"/>
  <c r="AJ85" i="7"/>
  <c r="AJ84" i="7"/>
  <c r="AJ83" i="7"/>
  <c r="AJ82" i="7"/>
  <c r="AJ86" i="7" s="1"/>
  <c r="H48" i="7"/>
  <c r="G48" i="7"/>
  <c r="AL49" i="10"/>
  <c r="AN37" i="10"/>
  <c r="AI43" i="8"/>
  <c r="AQ96" i="7"/>
  <c r="AQ95" i="7"/>
  <c r="AQ94" i="7"/>
  <c r="AQ93" i="7"/>
  <c r="AN74" i="8"/>
  <c r="AN73" i="8"/>
  <c r="AN72" i="8"/>
  <c r="AN71" i="8"/>
  <c r="H36" i="10"/>
  <c r="AH96" i="10"/>
  <c r="AH95" i="10"/>
  <c r="AH94" i="10"/>
  <c r="AH93" i="10"/>
  <c r="G36" i="10"/>
  <c r="AG96" i="10"/>
  <c r="AG95" i="10"/>
  <c r="AG94" i="10"/>
  <c r="AG93" i="10"/>
  <c r="H35" i="10"/>
  <c r="G35" i="10"/>
  <c r="G34" i="10"/>
  <c r="AS49" i="8"/>
  <c r="BE54" i="7"/>
  <c r="BE57" i="7"/>
  <c r="BE51" i="7"/>
  <c r="AU74" i="8"/>
  <c r="AU73" i="8"/>
  <c r="AU72" i="8"/>
  <c r="AU71" i="8"/>
  <c r="AQ43" i="10"/>
  <c r="AI40" i="4"/>
  <c r="AG40" i="4"/>
  <c r="AS40" i="4"/>
  <c r="AQ40" i="4"/>
  <c r="AU40" i="4"/>
  <c r="AO40" i="4"/>
  <c r="AM40" i="4"/>
  <c r="AT74" i="8"/>
  <c r="AT73" i="8"/>
  <c r="AT72" i="8"/>
  <c r="AT71" i="8"/>
  <c r="Q44" i="10"/>
  <c r="R46" i="10"/>
  <c r="AL74" i="10"/>
  <c r="AL73" i="10"/>
  <c r="AL72" i="10"/>
  <c r="AL71" i="10"/>
  <c r="AL75" i="10" s="1"/>
  <c r="Q46" i="10"/>
  <c r="AK74" i="10"/>
  <c r="AK73" i="10"/>
  <c r="AK72" i="10"/>
  <c r="AK71" i="10"/>
  <c r="R45" i="10"/>
  <c r="Q45" i="10"/>
  <c r="AK49" i="10"/>
  <c r="AT83" i="9"/>
  <c r="AT85" i="9"/>
  <c r="AT82" i="9"/>
  <c r="AT84" i="9"/>
  <c r="AQ96" i="10"/>
  <c r="AQ95" i="10"/>
  <c r="AQ94" i="10"/>
  <c r="AQ93" i="10"/>
  <c r="AP93" i="7"/>
  <c r="AP96" i="7"/>
  <c r="AP95" i="7"/>
  <c r="AP94" i="7"/>
  <c r="AR74" i="7"/>
  <c r="AR73" i="7"/>
  <c r="AR72" i="7"/>
  <c r="AR71" i="7"/>
  <c r="AE37" i="10"/>
  <c r="AT27" i="4"/>
  <c r="AP27" i="4"/>
  <c r="AR27" i="4"/>
  <c r="AN27" i="4"/>
  <c r="AL27" i="4"/>
  <c r="AJ27" i="4"/>
  <c r="AF27" i="4"/>
  <c r="AN49" i="10"/>
  <c r="AO74" i="7"/>
  <c r="AO73" i="7"/>
  <c r="AO72" i="7"/>
  <c r="AO71" i="7"/>
  <c r="AP37" i="10"/>
  <c r="AM49" i="10"/>
  <c r="AK43" i="8"/>
  <c r="AO85" i="7"/>
  <c r="AO84" i="7"/>
  <c r="AO83" i="7"/>
  <c r="AO82" i="7"/>
  <c r="AH35" i="9"/>
  <c r="AF35" i="9"/>
  <c r="AT35" i="9"/>
  <c r="AR35" i="9"/>
  <c r="AP35" i="9"/>
  <c r="AN35" i="9"/>
  <c r="AL35" i="9"/>
  <c r="AN85" i="7"/>
  <c r="AN84" i="7"/>
  <c r="AN83" i="7"/>
  <c r="AN82" i="7"/>
  <c r="AZ27" i="8"/>
  <c r="BG27" i="7"/>
  <c r="AY27" i="8"/>
  <c r="H36" i="7"/>
  <c r="G36" i="7"/>
  <c r="AH96" i="7"/>
  <c r="AH95" i="7"/>
  <c r="AH94" i="7"/>
  <c r="AH93" i="7"/>
  <c r="AG96" i="7"/>
  <c r="AG95" i="7"/>
  <c r="AG94" i="7"/>
  <c r="AG93" i="7"/>
  <c r="H35" i="7"/>
  <c r="G35" i="7"/>
  <c r="G34" i="7"/>
  <c r="AG37" i="10"/>
  <c r="BE51" i="10"/>
  <c r="AS43" i="10"/>
  <c r="BX27" i="7"/>
  <c r="AN37" i="9"/>
  <c r="AH41" i="4"/>
  <c r="AF41" i="4"/>
  <c r="AT41" i="4"/>
  <c r="AP41" i="4"/>
  <c r="AN41" i="4"/>
  <c r="AR41" i="4"/>
  <c r="AJ41" i="4"/>
  <c r="AP49" i="10"/>
  <c r="AS74" i="7"/>
  <c r="AS73" i="7"/>
  <c r="AS72" i="7"/>
  <c r="AS71" i="7"/>
  <c r="AO49" i="10"/>
  <c r="AM43" i="8"/>
  <c r="AT96" i="7"/>
  <c r="AT95" i="7"/>
  <c r="AT94" i="7"/>
  <c r="AT93" i="7"/>
  <c r="AR96" i="7"/>
  <c r="AR95" i="7"/>
  <c r="AR94" i="7"/>
  <c r="AR93" i="7"/>
  <c r="AE49" i="8"/>
  <c r="AO96" i="8" s="1"/>
  <c r="BF40" i="9"/>
  <c r="BE51" i="9" s="1"/>
  <c r="AJ43" i="10"/>
  <c r="AR39" i="10"/>
  <c r="AH43" i="10"/>
  <c r="AP39" i="10"/>
  <c r="AF43" i="10"/>
  <c r="AN83" i="10" s="1"/>
  <c r="AN39" i="10"/>
  <c r="AT43" i="10"/>
  <c r="AL39" i="10"/>
  <c r="AR43" i="10"/>
  <c r="AJ39" i="10"/>
  <c r="AP43" i="10"/>
  <c r="AH39" i="10"/>
  <c r="AN43" i="10"/>
  <c r="AT39" i="10"/>
  <c r="AL43" i="10"/>
  <c r="AT74" i="7"/>
  <c r="AT73" i="7"/>
  <c r="AT72" i="7"/>
  <c r="AT71" i="7"/>
  <c r="AH74" i="9"/>
  <c r="AH73" i="9"/>
  <c r="AH72" i="9"/>
  <c r="AH71" i="9"/>
  <c r="AG74" i="9"/>
  <c r="AG73" i="9"/>
  <c r="AG72" i="9"/>
  <c r="AG71" i="9"/>
  <c r="AG75" i="9" s="1"/>
  <c r="H29" i="9"/>
  <c r="G29" i="9"/>
  <c r="G28" i="9"/>
  <c r="G30" i="9"/>
  <c r="H30" i="9"/>
  <c r="AK47" i="9"/>
  <c r="AG47" i="9"/>
  <c r="AE47" i="9"/>
  <c r="AS47" i="9"/>
  <c r="AQ47" i="9"/>
  <c r="AO47" i="9"/>
  <c r="BF48" i="9"/>
  <c r="AI89" i="9"/>
  <c r="AM47" i="9"/>
  <c r="Q33" i="10"/>
  <c r="AF85" i="10"/>
  <c r="AF84" i="10"/>
  <c r="AF83" i="10"/>
  <c r="AF82" i="10"/>
  <c r="BE55" i="10"/>
  <c r="AE85" i="10"/>
  <c r="AE84" i="10"/>
  <c r="AE83" i="10"/>
  <c r="AE82" i="10"/>
  <c r="AE86" i="10" s="1"/>
  <c r="R32" i="10"/>
  <c r="Q32" i="10"/>
  <c r="Q31" i="10"/>
  <c r="R33" i="10"/>
  <c r="AI42" i="10"/>
  <c r="AK78" i="10"/>
  <c r="AG42" i="10"/>
  <c r="AE42" i="10"/>
  <c r="AS42" i="10"/>
  <c r="AQ42" i="10"/>
  <c r="BF45" i="10"/>
  <c r="AO42" i="10"/>
  <c r="AM42" i="10"/>
  <c r="AI41" i="4"/>
  <c r="AG41" i="4"/>
  <c r="AU41" i="4"/>
  <c r="AQ41" i="4"/>
  <c r="AO41" i="4"/>
  <c r="AS41" i="4"/>
  <c r="AK41" i="4"/>
  <c r="AI85" i="10"/>
  <c r="AI84" i="10"/>
  <c r="AI83" i="10"/>
  <c r="AI82" i="10"/>
  <c r="AI86" i="10" s="1"/>
  <c r="G48" i="10"/>
  <c r="G47" i="10"/>
  <c r="H49" i="10"/>
  <c r="G49" i="10"/>
  <c r="AJ83" i="10"/>
  <c r="AJ82" i="10"/>
  <c r="H48" i="10"/>
  <c r="AJ84" i="10"/>
  <c r="AJ85" i="10"/>
  <c r="AR37" i="10"/>
  <c r="AH85" i="7"/>
  <c r="AH84" i="7"/>
  <c r="AH83" i="7"/>
  <c r="AH82" i="7"/>
  <c r="G33" i="7"/>
  <c r="AG85" i="7"/>
  <c r="AG84" i="7"/>
  <c r="AG83" i="7"/>
  <c r="AG82" i="7"/>
  <c r="H32" i="7"/>
  <c r="G32" i="7"/>
  <c r="G31" i="7"/>
  <c r="H33" i="7"/>
  <c r="R36" i="10"/>
  <c r="Q36" i="10"/>
  <c r="R35" i="10"/>
  <c r="AF96" i="10"/>
  <c r="AF95" i="10"/>
  <c r="AF94" i="10"/>
  <c r="AF93" i="10"/>
  <c r="BE58" i="10"/>
  <c r="Q35" i="10"/>
  <c r="R34" i="10" s="1"/>
  <c r="AE96" i="10"/>
  <c r="AE95" i="10"/>
  <c r="AE94" i="10"/>
  <c r="AE93" i="10"/>
  <c r="Q34" i="10"/>
  <c r="AG43" i="8"/>
  <c r="AH85" i="9"/>
  <c r="AH84" i="9"/>
  <c r="AH83" i="9"/>
  <c r="AH82" i="9"/>
  <c r="AG85" i="9"/>
  <c r="AG84" i="9"/>
  <c r="AG83" i="9"/>
  <c r="AG82" i="9"/>
  <c r="G33" i="9"/>
  <c r="H32" i="9"/>
  <c r="G32" i="9"/>
  <c r="G31" i="9"/>
  <c r="H33" i="9"/>
  <c r="AN42" i="8"/>
  <c r="AJ42" i="8"/>
  <c r="AF42" i="8"/>
  <c r="AT42" i="8"/>
  <c r="AR42" i="8"/>
  <c r="AP42" i="8"/>
  <c r="AH42" i="8"/>
  <c r="AP85" i="7"/>
  <c r="AP84" i="7"/>
  <c r="AP83" i="7"/>
  <c r="AP82" i="7"/>
  <c r="AG49" i="8"/>
  <c r="AQ95" i="8" s="1"/>
  <c r="H51" i="8"/>
  <c r="G51" i="8"/>
  <c r="AJ96" i="8"/>
  <c r="AJ95" i="8"/>
  <c r="AJ94" i="8"/>
  <c r="AJ93" i="8"/>
  <c r="AI96" i="8"/>
  <c r="AI95" i="8"/>
  <c r="AI94" i="8"/>
  <c r="AI93" i="8"/>
  <c r="G50" i="8"/>
  <c r="H52" i="8"/>
  <c r="G52" i="8"/>
  <c r="AQ96" i="8"/>
  <c r="AQ94" i="8"/>
  <c r="AQ93" i="8"/>
  <c r="AI37" i="10"/>
  <c r="AS73" i="10" s="1"/>
  <c r="AZ27" i="7"/>
  <c r="BF42" i="10"/>
  <c r="Q45" i="8"/>
  <c r="R46" i="8"/>
  <c r="AL74" i="8"/>
  <c r="AL73" i="8"/>
  <c r="AL72" i="8"/>
  <c r="AL71" i="8"/>
  <c r="Q46" i="8"/>
  <c r="AK74" i="8"/>
  <c r="AK73" i="8"/>
  <c r="AK72" i="8"/>
  <c r="AK71" i="8"/>
  <c r="R45" i="8"/>
  <c r="Q44" i="8"/>
  <c r="AP37" i="9"/>
  <c r="AJ30" i="4"/>
  <c r="AF30" i="4"/>
  <c r="AR30" i="4"/>
  <c r="AP26" i="4"/>
  <c r="AN30" i="4"/>
  <c r="AN26" i="4"/>
  <c r="AL30" i="4"/>
  <c r="AL26" i="4"/>
  <c r="AH30" i="4"/>
  <c r="AJ26" i="4"/>
  <c r="AH26" i="4"/>
  <c r="AT26" i="4"/>
  <c r="AP30" i="4"/>
  <c r="AT30" i="4"/>
  <c r="AR26" i="4"/>
  <c r="AR49" i="10"/>
  <c r="AQ74" i="7"/>
  <c r="AQ73" i="7"/>
  <c r="AQ72" i="7"/>
  <c r="AQ71" i="7"/>
  <c r="AO43" i="8"/>
  <c r="AR85" i="10"/>
  <c r="AR84" i="10"/>
  <c r="AR83" i="10"/>
  <c r="AR82" i="10"/>
  <c r="AU85" i="7"/>
  <c r="AU84" i="7"/>
  <c r="AU83" i="7"/>
  <c r="AU82" i="7"/>
  <c r="AQ41" i="8"/>
  <c r="AO41" i="8"/>
  <c r="BF44" i="8"/>
  <c r="BE54" i="8" s="1"/>
  <c r="AM41" i="8"/>
  <c r="AI78" i="8"/>
  <c r="AG41" i="8"/>
  <c r="AK41" i="8"/>
  <c r="AE41" i="8"/>
  <c r="AS41" i="8"/>
  <c r="AL85" i="9"/>
  <c r="AL84" i="9"/>
  <c r="AL83" i="9"/>
  <c r="AL82" i="9"/>
  <c r="R48" i="9"/>
  <c r="AK85" i="9"/>
  <c r="AK84" i="9"/>
  <c r="AK83" i="9"/>
  <c r="AK82" i="9"/>
  <c r="Q48" i="9"/>
  <c r="Q47" i="9"/>
  <c r="R49" i="9"/>
  <c r="Q49" i="9"/>
  <c r="AI30" i="4"/>
  <c r="AG30" i="4"/>
  <c r="AU30" i="4"/>
  <c r="AQ30" i="4"/>
  <c r="AO30" i="4"/>
  <c r="AO26" i="4"/>
  <c r="AM30" i="4"/>
  <c r="AM26" i="4"/>
  <c r="AK30" i="4"/>
  <c r="AK26" i="4"/>
  <c r="AI26" i="4"/>
  <c r="AU26" i="4"/>
  <c r="AQ26" i="4"/>
  <c r="AS30" i="4"/>
  <c r="AS26" i="4"/>
  <c r="BW27" i="9"/>
  <c r="AT37" i="10"/>
  <c r="AQ49" i="10"/>
  <c r="AM42" i="8"/>
  <c r="AK78" i="8"/>
  <c r="AE42" i="8"/>
  <c r="AS42" i="8"/>
  <c r="AO42" i="8"/>
  <c r="AQ42" i="8"/>
  <c r="BF45" i="8"/>
  <c r="AI42" i="8"/>
  <c r="AG42" i="8"/>
  <c r="AQ85" i="7"/>
  <c r="AQ84" i="7"/>
  <c r="AQ83" i="7"/>
  <c r="AQ82" i="7"/>
  <c r="AT85" i="7"/>
  <c r="AT84" i="7"/>
  <c r="AT83" i="7"/>
  <c r="AT82" i="7"/>
  <c r="AI49" i="8"/>
  <c r="AS96" i="8" s="1"/>
  <c r="AP48" i="10"/>
  <c r="AN48" i="10"/>
  <c r="AJ48" i="10"/>
  <c r="AH48" i="10"/>
  <c r="AF48" i="10"/>
  <c r="AT48" i="10"/>
  <c r="AR48" i="10"/>
  <c r="AK37" i="10"/>
  <c r="AG27" i="4"/>
  <c r="AU27" i="4"/>
  <c r="AS27" i="4"/>
  <c r="AQ27" i="4"/>
  <c r="AO27" i="4"/>
  <c r="AM27" i="4"/>
  <c r="AK27" i="4"/>
  <c r="AR37" i="9"/>
  <c r="AT36" i="4"/>
  <c r="AP32" i="4"/>
  <c r="AP36" i="4"/>
  <c r="AL32" i="4"/>
  <c r="AL36" i="4"/>
  <c r="AH32" i="4"/>
  <c r="AF36" i="4"/>
  <c r="AR32" i="4"/>
  <c r="AN32" i="4"/>
  <c r="AJ32" i="4"/>
  <c r="AR36" i="4"/>
  <c r="AN36" i="4"/>
  <c r="AT32" i="4"/>
  <c r="AJ36" i="4"/>
  <c r="AH36" i="4"/>
  <c r="AT49" i="10"/>
  <c r="AU74" i="7"/>
  <c r="AU73" i="7"/>
  <c r="AU72" i="7"/>
  <c r="AU71" i="7"/>
  <c r="H45" i="8"/>
  <c r="G45" i="8"/>
  <c r="H44" i="8" s="1"/>
  <c r="H46" i="8"/>
  <c r="AJ71" i="8"/>
  <c r="AI71" i="8"/>
  <c r="G44" i="8"/>
  <c r="AJ74" i="8"/>
  <c r="AI74" i="8"/>
  <c r="G46" i="8"/>
  <c r="AJ73" i="8"/>
  <c r="AI73" i="8"/>
  <c r="AJ72" i="8"/>
  <c r="AI72" i="8"/>
  <c r="AH95" i="9"/>
  <c r="AG95" i="9"/>
  <c r="H36" i="9"/>
  <c r="G36" i="9"/>
  <c r="AH94" i="9"/>
  <c r="AG94" i="9"/>
  <c r="H35" i="9"/>
  <c r="G35" i="9"/>
  <c r="AH96" i="9"/>
  <c r="AH93" i="9"/>
  <c r="G34" i="9"/>
  <c r="AG96" i="9"/>
  <c r="AG93" i="9"/>
  <c r="AQ83" i="9"/>
  <c r="AQ85" i="9"/>
  <c r="AQ82" i="9"/>
  <c r="AQ84" i="9"/>
  <c r="AN49" i="9"/>
  <c r="AT45" i="9"/>
  <c r="AL49" i="9"/>
  <c r="AR45" i="9"/>
  <c r="AJ49" i="9"/>
  <c r="AP45" i="9"/>
  <c r="AR49" i="9"/>
  <c r="AN45" i="9"/>
  <c r="AP49" i="9"/>
  <c r="AH49" i="9"/>
  <c r="AL45" i="9"/>
  <c r="AF49" i="9"/>
  <c r="AJ45" i="9"/>
  <c r="AH45" i="9"/>
  <c r="AT49" i="9"/>
  <c r="AO40" i="10"/>
  <c r="AM40" i="10"/>
  <c r="AK40" i="10"/>
  <c r="BF43" i="10"/>
  <c r="AG78" i="10"/>
  <c r="AI40" i="10"/>
  <c r="AE40" i="10"/>
  <c r="AS40" i="10"/>
  <c r="AQ40" i="10"/>
  <c r="R36" i="7"/>
  <c r="Q36" i="7"/>
  <c r="R35" i="7"/>
  <c r="BE58" i="7"/>
  <c r="Q35" i="7"/>
  <c r="R34" i="7" s="1"/>
  <c r="AF96" i="7"/>
  <c r="AF95" i="7"/>
  <c r="AF94" i="7"/>
  <c r="AF93" i="7"/>
  <c r="AE96" i="7"/>
  <c r="AE95" i="7"/>
  <c r="AE94" i="7"/>
  <c r="AE93" i="7"/>
  <c r="AE97" i="7" s="1"/>
  <c r="Q34" i="7"/>
  <c r="AJ96" i="7"/>
  <c r="AJ95" i="7"/>
  <c r="AJ94" i="7"/>
  <c r="AJ93" i="7"/>
  <c r="G50" i="7"/>
  <c r="AI96" i="7"/>
  <c r="AI95" i="7"/>
  <c r="AI94" i="7"/>
  <c r="AI93" i="7"/>
  <c r="AI97" i="7" s="1"/>
  <c r="H52" i="7"/>
  <c r="G52" i="7"/>
  <c r="H51" i="7"/>
  <c r="G51" i="7"/>
  <c r="AR40" i="8"/>
  <c r="AP40" i="8"/>
  <c r="AN40" i="8"/>
  <c r="AJ40" i="8"/>
  <c r="AT40" i="8"/>
  <c r="AL40" i="8"/>
  <c r="AF40" i="8"/>
  <c r="AF85" i="9"/>
  <c r="AF84" i="9"/>
  <c r="AE85" i="9"/>
  <c r="AE84" i="9"/>
  <c r="AE83" i="9"/>
  <c r="AE82" i="9"/>
  <c r="BE55" i="9"/>
  <c r="R32" i="9"/>
  <c r="Q32" i="9"/>
  <c r="AF83" i="9"/>
  <c r="Q31" i="9"/>
  <c r="Q33" i="9"/>
  <c r="AF82" i="9"/>
  <c r="R33" i="9"/>
  <c r="AG34" i="4"/>
  <c r="AU34" i="4"/>
  <c r="AS34" i="4"/>
  <c r="AO34" i="4"/>
  <c r="AM34" i="4"/>
  <c r="AI34" i="4"/>
  <c r="AQ34" i="4"/>
  <c r="AS35" i="4"/>
  <c r="AQ35" i="4"/>
  <c r="AO35" i="4"/>
  <c r="AK35" i="4"/>
  <c r="AI35" i="4"/>
  <c r="AU35" i="4"/>
  <c r="AG35" i="4"/>
  <c r="AF37" i="10"/>
  <c r="AQ43" i="8"/>
  <c r="AS83" i="9"/>
  <c r="AS85" i="9"/>
  <c r="AS82" i="9"/>
  <c r="AS84" i="9"/>
  <c r="AU85" i="9"/>
  <c r="AU82" i="9"/>
  <c r="AU84" i="9"/>
  <c r="AU83" i="9"/>
  <c r="AL96" i="7"/>
  <c r="AL95" i="7"/>
  <c r="AL94" i="7"/>
  <c r="AL93" i="7"/>
  <c r="Q50" i="7"/>
  <c r="AK96" i="7"/>
  <c r="AK95" i="7"/>
  <c r="AK94" i="7"/>
  <c r="AK93" i="7"/>
  <c r="R52" i="7"/>
  <c r="Q52" i="7"/>
  <c r="R51" i="7"/>
  <c r="Q51" i="7"/>
  <c r="AK49" i="8"/>
  <c r="AU94" i="8" s="1"/>
  <c r="AO93" i="7"/>
  <c r="AO96" i="7"/>
  <c r="AO95" i="7"/>
  <c r="AO94" i="7"/>
  <c r="AI74" i="9"/>
  <c r="AI73" i="9"/>
  <c r="AI72" i="9"/>
  <c r="AI71" i="9"/>
  <c r="G45" i="9"/>
  <c r="G46" i="9"/>
  <c r="AJ73" i="9"/>
  <c r="AJ71" i="9"/>
  <c r="H45" i="9"/>
  <c r="H46" i="9"/>
  <c r="G44" i="9"/>
  <c r="AJ74" i="9"/>
  <c r="AJ72" i="9"/>
  <c r="AP41" i="8"/>
  <c r="AN41" i="8"/>
  <c r="AH41" i="8"/>
  <c r="AF41" i="8"/>
  <c r="AT41" i="8"/>
  <c r="AL41" i="8"/>
  <c r="AR41" i="8"/>
  <c r="AU96" i="8"/>
  <c r="AU95" i="8"/>
  <c r="AU93" i="8"/>
  <c r="AM37" i="10"/>
  <c r="AG43" i="10"/>
  <c r="AT28" i="4"/>
  <c r="AP28" i="4"/>
  <c r="AL28" i="4"/>
  <c r="AF28" i="4"/>
  <c r="AR28" i="4"/>
  <c r="AN28" i="4"/>
  <c r="AH28" i="4"/>
  <c r="AL43" i="8"/>
  <c r="AT39" i="8"/>
  <c r="AJ43" i="8"/>
  <c r="AR39" i="8"/>
  <c r="AT43" i="8"/>
  <c r="AL39" i="8"/>
  <c r="AR43" i="8"/>
  <c r="AJ39" i="8"/>
  <c r="AN43" i="8"/>
  <c r="AH39" i="8"/>
  <c r="AP43" i="8"/>
  <c r="AH43" i="8"/>
  <c r="AF43" i="8"/>
  <c r="AN39" i="8"/>
  <c r="AP39" i="8"/>
  <c r="H30" i="10"/>
  <c r="G30" i="10"/>
  <c r="H29" i="10"/>
  <c r="G29" i="10"/>
  <c r="H28" i="10" s="1"/>
  <c r="G28" i="10"/>
  <c r="AH74" i="10"/>
  <c r="AH73" i="10"/>
  <c r="AH72" i="10"/>
  <c r="AH71" i="10"/>
  <c r="AG74" i="10"/>
  <c r="AG73" i="10"/>
  <c r="AG72" i="10"/>
  <c r="AG71" i="10"/>
  <c r="AT37" i="9"/>
  <c r="AH42" i="4"/>
  <c r="AP38" i="4"/>
  <c r="AF42" i="4"/>
  <c r="AT42" i="4"/>
  <c r="AL38" i="4"/>
  <c r="AP42" i="4"/>
  <c r="AH38" i="4"/>
  <c r="AN42" i="4"/>
  <c r="AR38" i="4"/>
  <c r="AN38" i="4"/>
  <c r="AR42" i="4"/>
  <c r="AJ38" i="4"/>
  <c r="AL42" i="4"/>
  <c r="AJ42" i="4"/>
  <c r="AT38" i="4"/>
  <c r="R30" i="8"/>
  <c r="AF74" i="8"/>
  <c r="AF73" i="8"/>
  <c r="AF72" i="8"/>
  <c r="AF71" i="8"/>
  <c r="Q30" i="8"/>
  <c r="AE74" i="8"/>
  <c r="AE73" i="8"/>
  <c r="AE72" i="8"/>
  <c r="AE71" i="8"/>
  <c r="R29" i="8"/>
  <c r="BE52" i="8"/>
  <c r="Q28" i="8"/>
  <c r="Q29" i="8"/>
  <c r="AG42" i="4"/>
  <c r="AO38" i="4"/>
  <c r="AU42" i="4"/>
  <c r="AM38" i="4"/>
  <c r="AS42" i="4"/>
  <c r="AK38" i="4"/>
  <c r="AO42" i="4"/>
  <c r="AM42" i="4"/>
  <c r="AU38" i="4"/>
  <c r="AS38" i="4"/>
  <c r="AQ38" i="4"/>
  <c r="AQ42" i="4"/>
  <c r="AI38" i="4"/>
  <c r="AK42" i="4"/>
  <c r="AI42" i="4"/>
  <c r="AF47" i="10"/>
  <c r="AT47" i="10"/>
  <c r="AR47" i="10"/>
  <c r="AP47" i="10"/>
  <c r="AN47" i="10"/>
  <c r="AL47" i="10"/>
  <c r="AH47" i="10"/>
  <c r="AR85" i="7"/>
  <c r="AR84" i="7"/>
  <c r="AR83" i="7"/>
  <c r="AR82" i="7"/>
  <c r="AS85" i="7"/>
  <c r="AS84" i="7"/>
  <c r="AS83" i="7"/>
  <c r="AS82" i="7"/>
  <c r="AG47" i="10"/>
  <c r="AE47" i="10"/>
  <c r="AS47" i="10"/>
  <c r="AQ47" i="10"/>
  <c r="AO47" i="10"/>
  <c r="AI89" i="10"/>
  <c r="AM47" i="10"/>
  <c r="BF48" i="10"/>
  <c r="BE57" i="10" s="1"/>
  <c r="AK47" i="10"/>
  <c r="BX26" i="4"/>
  <c r="AE89" i="9"/>
  <c r="AO49" i="9"/>
  <c r="AM49" i="9"/>
  <c r="AK49" i="9"/>
  <c r="AQ45" i="9"/>
  <c r="AI49" i="9"/>
  <c r="AO45" i="9"/>
  <c r="AS49" i="9"/>
  <c r="AS45" i="9"/>
  <c r="AQ49" i="9"/>
  <c r="BF46" i="9"/>
  <c r="AM45" i="9"/>
  <c r="AG49" i="9"/>
  <c r="AK45" i="9"/>
  <c r="AE49" i="9"/>
  <c r="AI45" i="9"/>
  <c r="AG45" i="9"/>
  <c r="AR83" i="9"/>
  <c r="AR85" i="9"/>
  <c r="AR82" i="9"/>
  <c r="AR84" i="9"/>
  <c r="AO74" i="8"/>
  <c r="AO73" i="8"/>
  <c r="AO72" i="8"/>
  <c r="AO71" i="8"/>
  <c r="BQ26" i="4"/>
  <c r="CE22" i="4" s="1"/>
  <c r="AS28" i="4"/>
  <c r="AU28" i="4"/>
  <c r="AQ28" i="4"/>
  <c r="AO28" i="4"/>
  <c r="AM28" i="4"/>
  <c r="AG28" i="4"/>
  <c r="AI28" i="4"/>
  <c r="AS36" i="4"/>
  <c r="AO32" i="4"/>
  <c r="AQ36" i="4"/>
  <c r="AM32" i="4"/>
  <c r="AO36" i="4"/>
  <c r="AK32" i="4"/>
  <c r="AK36" i="4"/>
  <c r="AI36" i="4"/>
  <c r="AS32" i="4"/>
  <c r="AQ32" i="4"/>
  <c r="AI32" i="4"/>
  <c r="AU36" i="4"/>
  <c r="AM36" i="4"/>
  <c r="AG36" i="4"/>
  <c r="AU32" i="4"/>
  <c r="AN73" i="9"/>
  <c r="AN71" i="9"/>
  <c r="AN74" i="9"/>
  <c r="AN72" i="9"/>
  <c r="AH37" i="10"/>
  <c r="AS43" i="8"/>
  <c r="AS74" i="8" l="1"/>
  <c r="AL97" i="7"/>
  <c r="R31" i="9"/>
  <c r="H50" i="7"/>
  <c r="AF86" i="8"/>
  <c r="AK97" i="10"/>
  <c r="AJ75" i="7"/>
  <c r="AL97" i="10"/>
  <c r="AL75" i="8"/>
  <c r="AI97" i="8"/>
  <c r="AI86" i="7"/>
  <c r="AR71" i="8"/>
  <c r="AR72" i="8"/>
  <c r="CD22" i="4"/>
  <c r="CE20" i="4" s="1"/>
  <c r="AR73" i="8"/>
  <c r="AF97" i="8"/>
  <c r="AG97" i="9"/>
  <c r="AR74" i="8"/>
  <c r="R31" i="7"/>
  <c r="AJ97" i="8"/>
  <c r="AS71" i="8"/>
  <c r="AE75" i="8"/>
  <c r="AE97" i="10"/>
  <c r="R31" i="8"/>
  <c r="AS72" i="8"/>
  <c r="BE57" i="9"/>
  <c r="BE54" i="10"/>
  <c r="AE86" i="8"/>
  <c r="R50" i="10"/>
  <c r="AJ75" i="9"/>
  <c r="AP96" i="8"/>
  <c r="AP95" i="8"/>
  <c r="AP94" i="8"/>
  <c r="AP93" i="8"/>
  <c r="AG97" i="10"/>
  <c r="AS74" i="9"/>
  <c r="AS72" i="9"/>
  <c r="AS73" i="9"/>
  <c r="AS71" i="9"/>
  <c r="AE86" i="7"/>
  <c r="AR74" i="9"/>
  <c r="BE54" i="9"/>
  <c r="AK97" i="7"/>
  <c r="AT65" i="4"/>
  <c r="AT64" i="4"/>
  <c r="AT63" i="4"/>
  <c r="AT62" i="4"/>
  <c r="AK75" i="8"/>
  <c r="AG86" i="9"/>
  <c r="AF97" i="10"/>
  <c r="AH86" i="7"/>
  <c r="Q47" i="10"/>
  <c r="R49" i="10"/>
  <c r="Q49" i="10"/>
  <c r="AL85" i="10"/>
  <c r="AL84" i="10"/>
  <c r="AL83" i="10"/>
  <c r="AL82" i="10"/>
  <c r="AL86" i="10" s="1"/>
  <c r="R48" i="10"/>
  <c r="AK85" i="10"/>
  <c r="AK84" i="10"/>
  <c r="AK83" i="10"/>
  <c r="AK82" i="10"/>
  <c r="Q48" i="10"/>
  <c r="AH97" i="7"/>
  <c r="AH69" i="4"/>
  <c r="AQ76" i="4"/>
  <c r="AQ75" i="4"/>
  <c r="AQ74" i="4"/>
  <c r="AQ73" i="4"/>
  <c r="AS93" i="8"/>
  <c r="H51" i="9"/>
  <c r="G51" i="9"/>
  <c r="H50" i="9" s="1"/>
  <c r="AJ96" i="9"/>
  <c r="AJ95" i="9"/>
  <c r="AJ94" i="9"/>
  <c r="AJ93" i="9"/>
  <c r="AI96" i="9"/>
  <c r="AI95" i="9"/>
  <c r="AI94" i="9"/>
  <c r="AI93" i="9"/>
  <c r="H52" i="9"/>
  <c r="G52" i="9"/>
  <c r="G50" i="9"/>
  <c r="AR85" i="8"/>
  <c r="AR84" i="8"/>
  <c r="AR83" i="8"/>
  <c r="AR82" i="8"/>
  <c r="AU74" i="10"/>
  <c r="AU73" i="10"/>
  <c r="AU72" i="10"/>
  <c r="AU71" i="10"/>
  <c r="G45" i="10"/>
  <c r="H44" i="10" s="1"/>
  <c r="G44" i="10"/>
  <c r="H46" i="10"/>
  <c r="AJ74" i="10"/>
  <c r="AJ73" i="10"/>
  <c r="AJ72" i="10"/>
  <c r="AJ71" i="10"/>
  <c r="G46" i="10"/>
  <c r="AI74" i="10"/>
  <c r="AI73" i="10"/>
  <c r="AI72" i="10"/>
  <c r="AI71" i="10"/>
  <c r="H45" i="10"/>
  <c r="AS85" i="8"/>
  <c r="AS84" i="8"/>
  <c r="AS83" i="8"/>
  <c r="AS82" i="8"/>
  <c r="H44" i="9"/>
  <c r="AO74" i="10"/>
  <c r="AO73" i="10"/>
  <c r="AO72" i="10"/>
  <c r="AO71" i="10"/>
  <c r="AO96" i="9"/>
  <c r="AO95" i="9"/>
  <c r="AO94" i="9"/>
  <c r="AO93" i="9"/>
  <c r="AJ69" i="4"/>
  <c r="AS76" i="4"/>
  <c r="AS75" i="4"/>
  <c r="AS74" i="4"/>
  <c r="AS73" i="4"/>
  <c r="AS94" i="8"/>
  <c r="AV65" i="4"/>
  <c r="AV64" i="4"/>
  <c r="AV63" i="4"/>
  <c r="AV62" i="4"/>
  <c r="AL86" i="9"/>
  <c r="AH75" i="9"/>
  <c r="AN83" i="8"/>
  <c r="AN82" i="8"/>
  <c r="AN84" i="8"/>
  <c r="AN85" i="8"/>
  <c r="R51" i="9"/>
  <c r="Q51" i="9"/>
  <c r="R50" i="9" s="1"/>
  <c r="AL96" i="9"/>
  <c r="AL95" i="9"/>
  <c r="AL94" i="9"/>
  <c r="AL93" i="9"/>
  <c r="AK96" i="9"/>
  <c r="AK95" i="9"/>
  <c r="AK94" i="9"/>
  <c r="AK93" i="9"/>
  <c r="Q50" i="9"/>
  <c r="R52" i="9"/>
  <c r="Q52" i="9"/>
  <c r="AF75" i="7"/>
  <c r="AN82" i="10"/>
  <c r="AV87" i="4"/>
  <c r="AV86" i="4"/>
  <c r="AV85" i="4"/>
  <c r="AV84" i="4"/>
  <c r="AP76" i="4"/>
  <c r="AP75" i="4"/>
  <c r="AP74" i="4"/>
  <c r="AP73" i="4"/>
  <c r="AN96" i="9"/>
  <c r="AN95" i="9"/>
  <c r="AN94" i="9"/>
  <c r="AN93" i="9"/>
  <c r="AF75" i="8"/>
  <c r="AI75" i="9"/>
  <c r="AP72" i="9"/>
  <c r="AJ97" i="7"/>
  <c r="AS95" i="8"/>
  <c r="AU96" i="10"/>
  <c r="AU95" i="10"/>
  <c r="AU94" i="10"/>
  <c r="AU93" i="10"/>
  <c r="AE75" i="9"/>
  <c r="AG75" i="7"/>
  <c r="AF96" i="9"/>
  <c r="AF95" i="9"/>
  <c r="AF94" i="9"/>
  <c r="AF93" i="9"/>
  <c r="AE96" i="9"/>
  <c r="AE95" i="9"/>
  <c r="R36" i="9"/>
  <c r="Q36" i="9"/>
  <c r="R35" i="9"/>
  <c r="Q35" i="9"/>
  <c r="R34" i="9" s="1"/>
  <c r="AE94" i="9"/>
  <c r="BE58" i="9"/>
  <c r="Q34" i="9"/>
  <c r="AE93" i="9"/>
  <c r="AE97" i="9" s="1"/>
  <c r="AV76" i="4"/>
  <c r="AV75" i="4"/>
  <c r="AV74" i="4"/>
  <c r="AV73" i="4"/>
  <c r="AU85" i="8"/>
  <c r="AU84" i="8"/>
  <c r="AU83" i="8"/>
  <c r="AU82" i="8"/>
  <c r="AP74" i="9"/>
  <c r="AQ96" i="9"/>
  <c r="AQ95" i="9"/>
  <c r="AQ94" i="9"/>
  <c r="AQ93" i="9"/>
  <c r="AQ65" i="4"/>
  <c r="AQ64" i="4"/>
  <c r="AQ63" i="4"/>
  <c r="AQ62" i="4"/>
  <c r="AH58" i="4"/>
  <c r="AH86" i="9"/>
  <c r="R31" i="10"/>
  <c r="AO85" i="10"/>
  <c r="AO84" i="10"/>
  <c r="AO83" i="10"/>
  <c r="AO82" i="10"/>
  <c r="AH97" i="10"/>
  <c r="H47" i="7"/>
  <c r="R44" i="9"/>
  <c r="AF75" i="10"/>
  <c r="AF86" i="7"/>
  <c r="H44" i="7"/>
  <c r="AE97" i="8"/>
  <c r="AN84" i="10"/>
  <c r="AH97" i="9"/>
  <c r="AR96" i="8"/>
  <c r="AR95" i="8"/>
  <c r="AR94" i="8"/>
  <c r="AR93" i="8"/>
  <c r="AK85" i="8"/>
  <c r="AK84" i="8"/>
  <c r="AK83" i="8"/>
  <c r="AK82" i="8"/>
  <c r="Q48" i="8"/>
  <c r="Q47" i="8"/>
  <c r="R49" i="8"/>
  <c r="Q49" i="8"/>
  <c r="AL85" i="8"/>
  <c r="AL84" i="8"/>
  <c r="AL83" i="8"/>
  <c r="AL82" i="8"/>
  <c r="R48" i="8"/>
  <c r="AK86" i="7"/>
  <c r="AL96" i="8"/>
  <c r="AL95" i="8"/>
  <c r="AL94" i="8"/>
  <c r="AL93" i="8"/>
  <c r="AK96" i="8"/>
  <c r="AK95" i="8"/>
  <c r="AK94" i="8"/>
  <c r="AK93" i="8"/>
  <c r="AK97" i="8" s="1"/>
  <c r="Q50" i="8"/>
  <c r="R52" i="8"/>
  <c r="Q52" i="8"/>
  <c r="Q51" i="8"/>
  <c r="R50" i="8" s="1"/>
  <c r="R51" i="8"/>
  <c r="AH85" i="8"/>
  <c r="AH84" i="8"/>
  <c r="AH83" i="8"/>
  <c r="AH82" i="8"/>
  <c r="H33" i="8"/>
  <c r="AG85" i="8"/>
  <c r="AG84" i="8"/>
  <c r="AG83" i="8"/>
  <c r="AG82" i="8"/>
  <c r="G33" i="8"/>
  <c r="H32" i="8"/>
  <c r="G32" i="8"/>
  <c r="H31" i="8" s="1"/>
  <c r="G31" i="8"/>
  <c r="AJ86" i="9"/>
  <c r="R44" i="7"/>
  <c r="AE75" i="7"/>
  <c r="AN85" i="10"/>
  <c r="AJ96" i="10"/>
  <c r="AJ95" i="10"/>
  <c r="AJ94" i="10"/>
  <c r="AJ93" i="10"/>
  <c r="AI96" i="10"/>
  <c r="AI95" i="10"/>
  <c r="AI94" i="10"/>
  <c r="AI93" i="10"/>
  <c r="G50" i="10"/>
  <c r="H52" i="10"/>
  <c r="G52" i="10"/>
  <c r="H51" i="10"/>
  <c r="G51" i="10"/>
  <c r="H50" i="10" s="1"/>
  <c r="AU65" i="4"/>
  <c r="AU64" i="4"/>
  <c r="AU63" i="4"/>
  <c r="AU62" i="4"/>
  <c r="AL58" i="4"/>
  <c r="AQ85" i="10"/>
  <c r="AQ84" i="10"/>
  <c r="AQ83" i="10"/>
  <c r="AQ82" i="10"/>
  <c r="AF86" i="9"/>
  <c r="AQ87" i="4"/>
  <c r="AQ86" i="4"/>
  <c r="AQ85" i="4"/>
  <c r="AQ84" i="4"/>
  <c r="AH80" i="4"/>
  <c r="H34" i="9"/>
  <c r="AI75" i="8"/>
  <c r="AP65" i="4"/>
  <c r="AP64" i="4"/>
  <c r="AP63" i="4"/>
  <c r="AP62" i="4"/>
  <c r="H34" i="8"/>
  <c r="AK75" i="9"/>
  <c r="AO83" i="8"/>
  <c r="AO82" i="8"/>
  <c r="AO85" i="8"/>
  <c r="AO84" i="8"/>
  <c r="AJ75" i="8"/>
  <c r="AR65" i="4"/>
  <c r="AR64" i="4"/>
  <c r="AR63" i="4"/>
  <c r="AR62" i="4"/>
  <c r="AP85" i="8"/>
  <c r="AP84" i="8"/>
  <c r="AP83" i="8"/>
  <c r="AP82" i="8"/>
  <c r="AJ86" i="10"/>
  <c r="AS85" i="10"/>
  <c r="AS84" i="10"/>
  <c r="AS83" i="10"/>
  <c r="AS82" i="10"/>
  <c r="AP74" i="10"/>
  <c r="AP73" i="10"/>
  <c r="AP72" i="10"/>
  <c r="AP71" i="10"/>
  <c r="AL75" i="9"/>
  <c r="R34" i="8"/>
  <c r="AQ71" i="9"/>
  <c r="AQ74" i="9"/>
  <c r="AQ72" i="9"/>
  <c r="AQ73" i="9"/>
  <c r="AP96" i="9"/>
  <c r="AP95" i="9"/>
  <c r="AP94" i="9"/>
  <c r="AP93" i="9"/>
  <c r="AP87" i="4"/>
  <c r="AP86" i="4"/>
  <c r="AP85" i="4"/>
  <c r="AP84" i="4"/>
  <c r="AJ80" i="4"/>
  <c r="AS87" i="4"/>
  <c r="AS86" i="4"/>
  <c r="AS85" i="4"/>
  <c r="AS84" i="4"/>
  <c r="AG75" i="10"/>
  <c r="AQ85" i="8"/>
  <c r="AQ84" i="8"/>
  <c r="AQ83" i="8"/>
  <c r="AQ82" i="8"/>
  <c r="AH85" i="10"/>
  <c r="AH84" i="10"/>
  <c r="AH83" i="10"/>
  <c r="AH82" i="10"/>
  <c r="H33" i="10"/>
  <c r="AG85" i="10"/>
  <c r="AG84" i="10"/>
  <c r="AG83" i="10"/>
  <c r="AG82" i="10"/>
  <c r="G33" i="10"/>
  <c r="H32" i="10"/>
  <c r="G32" i="10"/>
  <c r="G31" i="10"/>
  <c r="AS94" i="9"/>
  <c r="AS96" i="9"/>
  <c r="AS93" i="9"/>
  <c r="AS95" i="9"/>
  <c r="AF69" i="4"/>
  <c r="AO73" i="4"/>
  <c r="AO76" i="4"/>
  <c r="AO74" i="4"/>
  <c r="AO75" i="4"/>
  <c r="AT74" i="10"/>
  <c r="AT73" i="10"/>
  <c r="AT72" i="10"/>
  <c r="AT71" i="10"/>
  <c r="H31" i="7"/>
  <c r="AT85" i="8"/>
  <c r="AT84" i="8"/>
  <c r="AT83" i="8"/>
  <c r="AT82" i="8"/>
  <c r="AN74" i="10"/>
  <c r="AN73" i="10"/>
  <c r="AN72" i="10"/>
  <c r="AN71" i="10"/>
  <c r="R47" i="7"/>
  <c r="AP96" i="10"/>
  <c r="AP95" i="10"/>
  <c r="AP94" i="10"/>
  <c r="AP93" i="10"/>
  <c r="AT85" i="10"/>
  <c r="AT84" i="10"/>
  <c r="AT83" i="10"/>
  <c r="AT82" i="10"/>
  <c r="AT94" i="9"/>
  <c r="AT96" i="9"/>
  <c r="AT93" i="9"/>
  <c r="AT95" i="9"/>
  <c r="AP71" i="9"/>
  <c r="AL80" i="4"/>
  <c r="AU87" i="4"/>
  <c r="AU86" i="4"/>
  <c r="AU85" i="4"/>
  <c r="AU84" i="4"/>
  <c r="AJ85" i="8"/>
  <c r="AJ84" i="8"/>
  <c r="AJ83" i="8"/>
  <c r="AJ82" i="8"/>
  <c r="H48" i="8"/>
  <c r="AI85" i="8"/>
  <c r="AI84" i="8"/>
  <c r="AI83" i="8"/>
  <c r="AI82" i="8"/>
  <c r="G48" i="8"/>
  <c r="H47" i="8" s="1"/>
  <c r="G47" i="8"/>
  <c r="H49" i="8"/>
  <c r="G49" i="8"/>
  <c r="R44" i="8"/>
  <c r="AU85" i="10"/>
  <c r="AU84" i="10"/>
  <c r="AU83" i="10"/>
  <c r="AU82" i="10"/>
  <c r="AN96" i="8"/>
  <c r="AN95" i="8"/>
  <c r="AN94" i="8"/>
  <c r="AN93" i="8"/>
  <c r="H34" i="7"/>
  <c r="AT96" i="10"/>
  <c r="AT95" i="10"/>
  <c r="AT94" i="10"/>
  <c r="AT93" i="10"/>
  <c r="AS71" i="10"/>
  <c r="AR87" i="4"/>
  <c r="AR86" i="4"/>
  <c r="AR85" i="4"/>
  <c r="AR84" i="4"/>
  <c r="AT96" i="8"/>
  <c r="AT95" i="8"/>
  <c r="AT94" i="8"/>
  <c r="AT93" i="8"/>
  <c r="AU94" i="9"/>
  <c r="AU96" i="9"/>
  <c r="AU93" i="9"/>
  <c r="AU95" i="9"/>
  <c r="AL69" i="4"/>
  <c r="AU76" i="4"/>
  <c r="AU75" i="4"/>
  <c r="AU74" i="4"/>
  <c r="AU73" i="4"/>
  <c r="AO65" i="4"/>
  <c r="AO64" i="4"/>
  <c r="AO63" i="4"/>
  <c r="AO62" i="4"/>
  <c r="AF58" i="4"/>
  <c r="AG86" i="7"/>
  <c r="AF86" i="10"/>
  <c r="R44" i="10"/>
  <c r="R28" i="10"/>
  <c r="AS96" i="10"/>
  <c r="AS95" i="10"/>
  <c r="AS94" i="10"/>
  <c r="AS93" i="10"/>
  <c r="AO93" i="8"/>
  <c r="AO73" i="9"/>
  <c r="AO71" i="9"/>
  <c r="AO74" i="9"/>
  <c r="AO72" i="9"/>
  <c r="AL75" i="7"/>
  <c r="H28" i="7"/>
  <c r="AS72" i="10"/>
  <c r="AO87" i="4"/>
  <c r="AO86" i="4"/>
  <c r="AO85" i="4"/>
  <c r="AO84" i="4"/>
  <c r="AF80" i="4"/>
  <c r="AR76" i="4"/>
  <c r="AR75" i="4"/>
  <c r="AR74" i="4"/>
  <c r="AR73" i="4"/>
  <c r="AT76" i="4"/>
  <c r="AT75" i="4"/>
  <c r="AT74" i="4"/>
  <c r="AT73" i="4"/>
  <c r="R28" i="8"/>
  <c r="AR96" i="9"/>
  <c r="AR95" i="9"/>
  <c r="AR94" i="9"/>
  <c r="AR93" i="9"/>
  <c r="AT87" i="4"/>
  <c r="AT86" i="4"/>
  <c r="AT85" i="4"/>
  <c r="AT84" i="4"/>
  <c r="R50" i="7"/>
  <c r="AF97" i="7"/>
  <c r="R47" i="9"/>
  <c r="AS65" i="4"/>
  <c r="AS64" i="4"/>
  <c r="AS63" i="4"/>
  <c r="AS62" i="4"/>
  <c r="AJ58" i="4"/>
  <c r="H28" i="9"/>
  <c r="AG97" i="7"/>
  <c r="AR96" i="10"/>
  <c r="AR95" i="10"/>
  <c r="AR94" i="10"/>
  <c r="AR93" i="10"/>
  <c r="AO94" i="8"/>
  <c r="AR71" i="9"/>
  <c r="R28" i="7"/>
  <c r="AQ74" i="10"/>
  <c r="AQ73" i="10"/>
  <c r="AQ72" i="10"/>
  <c r="AQ71" i="10"/>
  <c r="AH75" i="10"/>
  <c r="AP85" i="10"/>
  <c r="AP84" i="10"/>
  <c r="AP83" i="10"/>
  <c r="AP82" i="10"/>
  <c r="AE86" i="9"/>
  <c r="AK86" i="9"/>
  <c r="AR74" i="10"/>
  <c r="AR73" i="10"/>
  <c r="AR72" i="10"/>
  <c r="AR71" i="10"/>
  <c r="H50" i="8"/>
  <c r="H31" i="9"/>
  <c r="H47" i="10"/>
  <c r="AK75" i="10"/>
  <c r="H34" i="10"/>
  <c r="AH97" i="8"/>
  <c r="AE75" i="10"/>
  <c r="AO95" i="8"/>
  <c r="AR72" i="9"/>
  <c r="AS74" i="10"/>
  <c r="AI86" i="8" l="1"/>
  <c r="AL97" i="9"/>
  <c r="H31" i="10"/>
  <c r="AI97" i="10"/>
  <c r="AG86" i="8"/>
  <c r="AK86" i="8"/>
  <c r="AJ75" i="10"/>
  <c r="R45" i="4"/>
  <c r="Q45" i="4"/>
  <c r="R44" i="4"/>
  <c r="Q44" i="4"/>
  <c r="R43" i="4" s="1"/>
  <c r="AM65" i="4"/>
  <c r="AM64" i="4"/>
  <c r="AM63" i="4"/>
  <c r="AM62" i="4"/>
  <c r="AM66" i="4" s="1"/>
  <c r="AL62" i="4"/>
  <c r="Q43" i="4"/>
  <c r="AL65" i="4"/>
  <c r="AL64" i="4"/>
  <c r="AL63" i="4"/>
  <c r="AJ97" i="9"/>
  <c r="AL86" i="8"/>
  <c r="AI75" i="10"/>
  <c r="AJ86" i="8"/>
  <c r="H35" i="4"/>
  <c r="H34" i="4"/>
  <c r="AI87" i="4"/>
  <c r="AI86" i="4"/>
  <c r="AI85" i="4"/>
  <c r="AI84" i="4"/>
  <c r="AI88" i="4" s="1"/>
  <c r="AH87" i="4"/>
  <c r="AH86" i="4"/>
  <c r="AH85" i="4"/>
  <c r="AH84" i="4"/>
  <c r="G34" i="4"/>
  <c r="G35" i="4"/>
  <c r="G33" i="4"/>
  <c r="AK76" i="4"/>
  <c r="AK75" i="4"/>
  <c r="AK74" i="4"/>
  <c r="AK73" i="4"/>
  <c r="AJ76" i="4"/>
  <c r="AJ75" i="4"/>
  <c r="AJ74" i="4"/>
  <c r="AJ73" i="4"/>
  <c r="AJ77" i="4" s="1"/>
  <c r="G46" i="4"/>
  <c r="H48" i="4"/>
  <c r="G48" i="4"/>
  <c r="H47" i="4"/>
  <c r="G47" i="4"/>
  <c r="AG86" i="10"/>
  <c r="AH65" i="4"/>
  <c r="AH64" i="4"/>
  <c r="AH63" i="4"/>
  <c r="AH62" i="4"/>
  <c r="AH66" i="4" s="1"/>
  <c r="H28" i="4"/>
  <c r="AI62" i="4"/>
  <c r="G28" i="4"/>
  <c r="G27" i="4"/>
  <c r="AI65" i="4"/>
  <c r="H29" i="4"/>
  <c r="G29" i="4"/>
  <c r="AI64" i="4"/>
  <c r="AI63" i="4"/>
  <c r="G49" i="4"/>
  <c r="AK87" i="4"/>
  <c r="AK86" i="4"/>
  <c r="AK85" i="4"/>
  <c r="AK84" i="4"/>
  <c r="AK88" i="4" s="1"/>
  <c r="AJ87" i="4"/>
  <c r="AJ86" i="4"/>
  <c r="AJ85" i="4"/>
  <c r="AJ84" i="4"/>
  <c r="H51" i="4"/>
  <c r="H50" i="4"/>
  <c r="G50" i="4"/>
  <c r="G51" i="4"/>
  <c r="R47" i="8"/>
  <c r="Q28" i="4"/>
  <c r="AG65" i="4"/>
  <c r="AG64" i="4"/>
  <c r="AG63" i="4"/>
  <c r="AG62" i="4"/>
  <c r="AF65" i="4"/>
  <c r="AF64" i="4"/>
  <c r="AF63" i="4"/>
  <c r="AF62" i="4"/>
  <c r="AF66" i="4" s="1"/>
  <c r="Q27" i="4"/>
  <c r="R28" i="4"/>
  <c r="R29" i="4"/>
  <c r="Q29" i="4"/>
  <c r="M8" i="4"/>
  <c r="BG39" i="4"/>
  <c r="BG38" i="4"/>
  <c r="BG37" i="4"/>
  <c r="BF51" i="3" s="1"/>
  <c r="L38" i="5" s="1"/>
  <c r="BG40" i="4"/>
  <c r="AI76" i="4"/>
  <c r="AI75" i="4"/>
  <c r="AI74" i="4"/>
  <c r="AI73" i="4"/>
  <c r="H31" i="4"/>
  <c r="AH76" i="4"/>
  <c r="AH75" i="4"/>
  <c r="AH74" i="4"/>
  <c r="AH73" i="4"/>
  <c r="G31" i="4"/>
  <c r="G30" i="4"/>
  <c r="H32" i="4"/>
  <c r="G32" i="4"/>
  <c r="AH86" i="10"/>
  <c r="AL97" i="8"/>
  <c r="AI97" i="9"/>
  <c r="AL76" i="4"/>
  <c r="AL75" i="4"/>
  <c r="AL74" i="4"/>
  <c r="AL73" i="4"/>
  <c r="Q46" i="4"/>
  <c r="R48" i="4"/>
  <c r="Q48" i="4"/>
  <c r="R47" i="4"/>
  <c r="Q47" i="4"/>
  <c r="R46" i="4" s="1"/>
  <c r="AM74" i="4"/>
  <c r="AM73" i="4"/>
  <c r="AM76" i="4"/>
  <c r="AM75" i="4"/>
  <c r="Q35" i="4"/>
  <c r="R34" i="4"/>
  <c r="Q34" i="4"/>
  <c r="Q33" i="4"/>
  <c r="AG87" i="4"/>
  <c r="AG86" i="4"/>
  <c r="AG85" i="4"/>
  <c r="AG84" i="4"/>
  <c r="AG88" i="4" s="1"/>
  <c r="AF87" i="4"/>
  <c r="AF86" i="4"/>
  <c r="AF85" i="4"/>
  <c r="AF84" i="4"/>
  <c r="AF88" i="4" s="1"/>
  <c r="R35" i="4"/>
  <c r="M10" i="4"/>
  <c r="BG46" i="4"/>
  <c r="BG45" i="4"/>
  <c r="BF57" i="3" s="1"/>
  <c r="BG47" i="4"/>
  <c r="BG48" i="4"/>
  <c r="AF97" i="9"/>
  <c r="AK97" i="9"/>
  <c r="R47" i="10"/>
  <c r="AM87" i="4"/>
  <c r="AM86" i="4"/>
  <c r="AM85" i="4"/>
  <c r="AM84" i="4"/>
  <c r="AM88" i="4" s="1"/>
  <c r="AL87" i="4"/>
  <c r="AL86" i="4"/>
  <c r="AL85" i="4"/>
  <c r="AL84" i="4"/>
  <c r="R51" i="4"/>
  <c r="Q51" i="4"/>
  <c r="R50" i="4"/>
  <c r="Q50" i="4"/>
  <c r="Q49" i="4"/>
  <c r="R31" i="4"/>
  <c r="AG76" i="4"/>
  <c r="AG75" i="4"/>
  <c r="AG74" i="4"/>
  <c r="AG73" i="4"/>
  <c r="AF76" i="4"/>
  <c r="AF75" i="4"/>
  <c r="AF74" i="4"/>
  <c r="AF73" i="4"/>
  <c r="AF77" i="4" s="1"/>
  <c r="M9" i="4"/>
  <c r="R32" i="4"/>
  <c r="Q30" i="4"/>
  <c r="Q32" i="4"/>
  <c r="Q31" i="4"/>
  <c r="R30" i="4" s="1"/>
  <c r="BG41" i="4"/>
  <c r="BG44" i="4"/>
  <c r="BG43" i="4"/>
  <c r="BG42" i="4"/>
  <c r="AJ97" i="10"/>
  <c r="AK86" i="10"/>
  <c r="G43" i="4"/>
  <c r="H45" i="4"/>
  <c r="H44" i="4"/>
  <c r="AK65" i="4"/>
  <c r="AK64" i="4"/>
  <c r="AK63" i="4"/>
  <c r="AK62" i="4"/>
  <c r="G44" i="4"/>
  <c r="AJ62" i="4"/>
  <c r="AJ65" i="4"/>
  <c r="AJ64" i="4"/>
  <c r="G45" i="4"/>
  <c r="AJ63" i="4"/>
  <c r="AH86" i="8"/>
  <c r="BF54" i="3" l="1"/>
  <c r="AM77" i="4"/>
  <c r="AH77" i="4"/>
  <c r="AG66" i="4"/>
  <c r="H46" i="4"/>
  <c r="AH88" i="4"/>
  <c r="O62" i="5"/>
  <c r="K62" i="5"/>
  <c r="E62" i="5"/>
  <c r="O61" i="5"/>
  <c r="W47" i="5"/>
  <c r="K61" i="5"/>
  <c r="E61" i="5"/>
  <c r="W55" i="5"/>
  <c r="O23" i="5"/>
  <c r="U62" i="5"/>
  <c r="B55" i="5"/>
  <c r="W41" i="5"/>
  <c r="L23" i="5"/>
  <c r="AK22" i="5"/>
  <c r="U61" i="5"/>
  <c r="B41" i="5"/>
  <c r="W30" i="5"/>
  <c r="K23" i="5"/>
  <c r="AJ22" i="5"/>
  <c r="E23" i="5"/>
  <c r="AI21" i="5"/>
  <c r="B49" i="5"/>
  <c r="B23" i="5"/>
  <c r="AH21" i="5"/>
  <c r="W39" i="5"/>
  <c r="V56" i="5"/>
  <c r="A39" i="5"/>
  <c r="AM23" i="5"/>
  <c r="AG20" i="5"/>
  <c r="L56" i="5"/>
  <c r="B30" i="5"/>
  <c r="AL23" i="5"/>
  <c r="AF20" i="5"/>
  <c r="B56" i="5"/>
  <c r="W38" i="5"/>
  <c r="W32" i="5"/>
  <c r="U17" i="5"/>
  <c r="O17" i="5"/>
  <c r="B38" i="5"/>
  <c r="K17" i="5"/>
  <c r="E17" i="5"/>
  <c r="W24" i="5"/>
  <c r="B47" i="5"/>
  <c r="B32" i="5"/>
  <c r="B24" i="5"/>
  <c r="V23" i="5"/>
  <c r="W49" i="5"/>
  <c r="U23" i="5"/>
  <c r="R27" i="4"/>
  <c r="H33" i="4"/>
  <c r="AL66" i="4"/>
  <c r="AG77" i="4"/>
  <c r="H30" i="4"/>
  <c r="H49" i="4"/>
  <c r="AL88" i="4"/>
  <c r="J10" i="4"/>
  <c r="I10" i="4"/>
  <c r="AJ66" i="4"/>
  <c r="I8" i="4" s="1"/>
  <c r="H43" i="4"/>
  <c r="H27" i="4"/>
  <c r="AK66" i="4"/>
  <c r="R33" i="4"/>
  <c r="AL77" i="4"/>
  <c r="J9" i="4" s="1"/>
  <c r="AI77" i="4"/>
  <c r="AJ88" i="4"/>
  <c r="AI66" i="4"/>
  <c r="L8" i="4" s="1"/>
  <c r="AK77" i="4"/>
  <c r="L10" i="4"/>
  <c r="K10" i="4"/>
  <c r="R49" i="4"/>
  <c r="AR23" i="5" l="1"/>
  <c r="AP23" i="5"/>
  <c r="AN23" i="5"/>
  <c r="AJ23" i="5"/>
  <c r="AH23" i="5"/>
  <c r="AF23" i="5"/>
  <c r="AT23" i="5"/>
  <c r="BT19" i="5"/>
  <c r="BS19" i="5"/>
  <c r="BR19" i="5"/>
  <c r="BQ19" i="5"/>
  <c r="BR22" i="5" s="1"/>
  <c r="BX19" i="5"/>
  <c r="BW19" i="5"/>
  <c r="BW28" i="5" s="1"/>
  <c r="BV19" i="5"/>
  <c r="BU19" i="5"/>
  <c r="AS23" i="5"/>
  <c r="AQ23" i="5"/>
  <c r="AO23" i="5"/>
  <c r="AK23" i="5"/>
  <c r="AI23" i="5"/>
  <c r="AG23" i="5"/>
  <c r="AU23" i="5"/>
  <c r="K8" i="4"/>
  <c r="BL19" i="5"/>
  <c r="BK19" i="5"/>
  <c r="BJ19" i="5"/>
  <c r="BI19" i="5"/>
  <c r="I9" i="4"/>
  <c r="AZ19" i="5"/>
  <c r="AY19" i="5"/>
  <c r="AX19" i="5"/>
  <c r="AW19" i="5"/>
  <c r="AX22" i="5" s="1"/>
  <c r="AZ26" i="5" s="1"/>
  <c r="AK21" i="5"/>
  <c r="AG21" i="5"/>
  <c r="AU21" i="5"/>
  <c r="AS21" i="5"/>
  <c r="AQ21" i="5"/>
  <c r="AO21" i="5"/>
  <c r="AM21" i="5"/>
  <c r="BH19" i="5"/>
  <c r="BG19" i="5"/>
  <c r="BE19" i="5"/>
  <c r="BF19" i="5"/>
  <c r="CB19" i="5"/>
  <c r="CA19" i="5"/>
  <c r="CA28" i="5" s="1"/>
  <c r="BZ19" i="5"/>
  <c r="CA22" i="5" s="1"/>
  <c r="BY19" i="5"/>
  <c r="AI22" i="5"/>
  <c r="AG22" i="5"/>
  <c r="AU22" i="5"/>
  <c r="AS22" i="5"/>
  <c r="AQ22" i="5"/>
  <c r="AO22" i="5"/>
  <c r="AM22" i="5"/>
  <c r="J8" i="4"/>
  <c r="BD19" i="5"/>
  <c r="BC19" i="5"/>
  <c r="BB19" i="5"/>
  <c r="BA19" i="5"/>
  <c r="BB22" i="5" s="1"/>
  <c r="L9" i="4"/>
  <c r="K9" i="4"/>
  <c r="AL22" i="5"/>
  <c r="AH22" i="5"/>
  <c r="AF22" i="5"/>
  <c r="AT22" i="5"/>
  <c r="AR22" i="5"/>
  <c r="AP22" i="5"/>
  <c r="AN22" i="5"/>
  <c r="AQ24" i="5"/>
  <c r="AM20" i="5"/>
  <c r="AO24" i="5"/>
  <c r="AK20" i="5"/>
  <c r="AM24" i="5"/>
  <c r="AI20" i="5"/>
  <c r="AK24" i="5"/>
  <c r="AI24" i="5"/>
  <c r="AU20" i="5"/>
  <c r="AG24" i="5"/>
  <c r="AS20" i="5"/>
  <c r="AU24" i="5"/>
  <c r="AQ20" i="5"/>
  <c r="AO20" i="5"/>
  <c r="AS24" i="5"/>
  <c r="BP19" i="5"/>
  <c r="BO19" i="5"/>
  <c r="BN19" i="5"/>
  <c r="BM19" i="5"/>
  <c r="BN22" i="5" s="1"/>
  <c r="AL21" i="5"/>
  <c r="AJ21" i="5"/>
  <c r="AF21" i="5"/>
  <c r="AT21" i="5"/>
  <c r="AR21" i="5"/>
  <c r="AP21" i="5"/>
  <c r="AN21" i="5"/>
  <c r="AP24" i="5"/>
  <c r="AL20" i="5"/>
  <c r="AN24" i="5"/>
  <c r="AJ20" i="5"/>
  <c r="AL24" i="5"/>
  <c r="AH20" i="5"/>
  <c r="AB10" i="5"/>
  <c r="AB11" i="5" s="1"/>
  <c r="Z8" i="5" s="1"/>
  <c r="AJ24" i="5"/>
  <c r="AH24" i="5"/>
  <c r="AT20" i="5"/>
  <c r="AF24" i="5"/>
  <c r="AR20" i="5"/>
  <c r="AT24" i="5"/>
  <c r="AP20" i="5"/>
  <c r="AN20" i="5"/>
  <c r="AR24" i="5"/>
  <c r="BC28" i="5" l="1"/>
  <c r="BS28" i="5"/>
  <c r="BP26" i="5"/>
  <c r="BQ28" i="5"/>
  <c r="BS22" i="5"/>
  <c r="BM28" i="5"/>
  <c r="BO22" i="5"/>
  <c r="BQ26" i="5" s="1"/>
  <c r="BZ22" i="5"/>
  <c r="BY28" i="5"/>
  <c r="AY22" i="5"/>
  <c r="AW28" i="5"/>
  <c r="AI33" i="5"/>
  <c r="AI39" i="5"/>
  <c r="AH33" i="5"/>
  <c r="AH39" i="5"/>
  <c r="AK28" i="5"/>
  <c r="AJ28" i="5"/>
  <c r="AK34" i="5"/>
  <c r="AJ34" i="5"/>
  <c r="AI27" i="5"/>
  <c r="AH27" i="5"/>
  <c r="AK40" i="5"/>
  <c r="AJ40" i="5"/>
  <c r="AY28" i="5"/>
  <c r="BO28" i="5"/>
  <c r="AM29" i="5"/>
  <c r="AL29" i="5"/>
  <c r="AM35" i="5"/>
  <c r="AL35" i="5"/>
  <c r="AG38" i="5"/>
  <c r="AG32" i="5"/>
  <c r="AF38" i="5"/>
  <c r="AF32" i="5"/>
  <c r="AM41" i="5"/>
  <c r="AL41" i="5"/>
  <c r="AG26" i="5"/>
  <c r="AF26" i="5"/>
  <c r="BG22" i="5"/>
  <c r="BJ22" i="5"/>
  <c r="BI28" i="5"/>
  <c r="BC22" i="5"/>
  <c r="BA28" i="5"/>
  <c r="BF22" i="5"/>
  <c r="BH26" i="5" s="1"/>
  <c r="BE28" i="5"/>
  <c r="BK22" i="5"/>
  <c r="BV22" i="5"/>
  <c r="BX26" i="5" s="1"/>
  <c r="BU28" i="5"/>
  <c r="BG28" i="5"/>
  <c r="BK28" i="5"/>
  <c r="BW22" i="5"/>
  <c r="BY26" i="5" s="1"/>
  <c r="CD22" i="5" l="1"/>
  <c r="BI26" i="5"/>
  <c r="AF33" i="5"/>
  <c r="AT33" i="5"/>
  <c r="AR33" i="5"/>
  <c r="AP33" i="5"/>
  <c r="AN33" i="5"/>
  <c r="AL33" i="5"/>
  <c r="AJ33" i="5"/>
  <c r="BA26" i="5"/>
  <c r="CE22" i="5" s="1"/>
  <c r="CE20" i="5" s="1"/>
  <c r="AQ28" i="5"/>
  <c r="AO28" i="5"/>
  <c r="AM28" i="5"/>
  <c r="AI28" i="5"/>
  <c r="AG28" i="5"/>
  <c r="AU28" i="5"/>
  <c r="AS28" i="5"/>
  <c r="AF41" i="5"/>
  <c r="AT41" i="5"/>
  <c r="AR41" i="5"/>
  <c r="AP41" i="5"/>
  <c r="AN41" i="5"/>
  <c r="AJ41" i="5"/>
  <c r="AH41" i="5"/>
  <c r="AG33" i="5"/>
  <c r="AU33" i="5"/>
  <c r="AS33" i="5"/>
  <c r="AQ33" i="5"/>
  <c r="AO33" i="5"/>
  <c r="AM33" i="5"/>
  <c r="AK33" i="5"/>
  <c r="AU41" i="5"/>
  <c r="AS41" i="5"/>
  <c r="AQ41" i="5"/>
  <c r="AO41" i="5"/>
  <c r="AK41" i="5"/>
  <c r="AI41" i="5"/>
  <c r="AG41" i="5"/>
  <c r="AH40" i="5"/>
  <c r="AF40" i="5"/>
  <c r="AT40" i="5"/>
  <c r="AR40" i="5"/>
  <c r="AP40" i="5"/>
  <c r="AN40" i="5"/>
  <c r="AL40" i="5"/>
  <c r="AG39" i="5"/>
  <c r="AU39" i="5"/>
  <c r="AS39" i="5"/>
  <c r="AQ39" i="5"/>
  <c r="AO39" i="5"/>
  <c r="AM39" i="5"/>
  <c r="AK39" i="5"/>
  <c r="AP36" i="5"/>
  <c r="AL32" i="5"/>
  <c r="AN36" i="5"/>
  <c r="AJ32" i="5"/>
  <c r="AL36" i="5"/>
  <c r="AH32" i="5"/>
  <c r="AJ36" i="5"/>
  <c r="AH36" i="5"/>
  <c r="AT32" i="5"/>
  <c r="AF36" i="5"/>
  <c r="AR32" i="5"/>
  <c r="AT36" i="5"/>
  <c r="AP32" i="5"/>
  <c r="AR36" i="5"/>
  <c r="AN32" i="5"/>
  <c r="AI40" i="5"/>
  <c r="AG40" i="5"/>
  <c r="AU40" i="5"/>
  <c r="AS40" i="5"/>
  <c r="AQ40" i="5"/>
  <c r="AO40" i="5"/>
  <c r="AM40" i="5"/>
  <c r="AJ39" i="5"/>
  <c r="AF39" i="5"/>
  <c r="AT39" i="5"/>
  <c r="AR39" i="5"/>
  <c r="AP39" i="5"/>
  <c r="AN39" i="5"/>
  <c r="AL39" i="5"/>
  <c r="AF30" i="5"/>
  <c r="AP26" i="5"/>
  <c r="AT30" i="5"/>
  <c r="AN26" i="5"/>
  <c r="AR30" i="5"/>
  <c r="AL26" i="5"/>
  <c r="AP30" i="5"/>
  <c r="AJ26" i="5"/>
  <c r="AN30" i="5"/>
  <c r="AH26" i="5"/>
  <c r="AL30" i="5"/>
  <c r="AJ30" i="5"/>
  <c r="AT26" i="5"/>
  <c r="AH30" i="5"/>
  <c r="AR26" i="5"/>
  <c r="AN42" i="5"/>
  <c r="AL38" i="5"/>
  <c r="AT42" i="5"/>
  <c r="AJ38" i="5"/>
  <c r="AR42" i="5"/>
  <c r="AH38" i="5"/>
  <c r="AP42" i="5"/>
  <c r="AL42" i="5"/>
  <c r="AT38" i="5"/>
  <c r="AJ42" i="5"/>
  <c r="AR38" i="5"/>
  <c r="AH42" i="5"/>
  <c r="AP38" i="5"/>
  <c r="AN38" i="5"/>
  <c r="AF42" i="5"/>
  <c r="AT27" i="5"/>
  <c r="AR27" i="5"/>
  <c r="AP27" i="5"/>
  <c r="AN27" i="5"/>
  <c r="AL27" i="5"/>
  <c r="AJ27" i="5"/>
  <c r="AF27" i="5"/>
  <c r="AJ29" i="5"/>
  <c r="AH29" i="5"/>
  <c r="AF29" i="5"/>
  <c r="AT29" i="5"/>
  <c r="AR29" i="5"/>
  <c r="AP29" i="5"/>
  <c r="AN29" i="5"/>
  <c r="AG30" i="5"/>
  <c r="AQ26" i="5"/>
  <c r="AU30" i="5"/>
  <c r="AO26" i="5"/>
  <c r="AS30" i="5"/>
  <c r="AM26" i="5"/>
  <c r="AQ30" i="5"/>
  <c r="AK26" i="5"/>
  <c r="AO30" i="5"/>
  <c r="AI26" i="5"/>
  <c r="AM30" i="5"/>
  <c r="AK30" i="5"/>
  <c r="AU26" i="5"/>
  <c r="AI30" i="5"/>
  <c r="AS26" i="5"/>
  <c r="AQ36" i="5"/>
  <c r="AM32" i="5"/>
  <c r="AO36" i="5"/>
  <c r="AK32" i="5"/>
  <c r="AM36" i="5"/>
  <c r="AI32" i="5"/>
  <c r="AK36" i="5"/>
  <c r="AI36" i="5"/>
  <c r="AU32" i="5"/>
  <c r="AG36" i="5"/>
  <c r="AS32" i="5"/>
  <c r="AU36" i="5"/>
  <c r="AQ32" i="5"/>
  <c r="AS36" i="5"/>
  <c r="AO32" i="5"/>
  <c r="AU27" i="5"/>
  <c r="AS27" i="5"/>
  <c r="AQ27" i="5"/>
  <c r="AO27" i="5"/>
  <c r="AM27" i="5"/>
  <c r="AK27" i="5"/>
  <c r="AG27" i="5"/>
  <c r="AM38" i="5"/>
  <c r="AU42" i="5"/>
  <c r="AK38" i="5"/>
  <c r="AS42" i="5"/>
  <c r="AI38" i="5"/>
  <c r="AQ42" i="5"/>
  <c r="AO42" i="5"/>
  <c r="AM42" i="5"/>
  <c r="AU38" i="5"/>
  <c r="AK42" i="5"/>
  <c r="AS38" i="5"/>
  <c r="AI42" i="5"/>
  <c r="AQ38" i="5"/>
  <c r="AO38" i="5"/>
  <c r="AG42" i="5"/>
  <c r="AT34" i="5"/>
  <c r="AR34" i="5"/>
  <c r="AP34" i="5"/>
  <c r="AN34" i="5"/>
  <c r="AL34" i="5"/>
  <c r="AH34" i="5"/>
  <c r="AF34" i="5"/>
  <c r="AP35" i="5"/>
  <c r="AN35" i="5"/>
  <c r="AJ35" i="5"/>
  <c r="AH35" i="5"/>
  <c r="AF35" i="5"/>
  <c r="AT35" i="5"/>
  <c r="AR35" i="5"/>
  <c r="AU34" i="5"/>
  <c r="AS34" i="5"/>
  <c r="AQ34" i="5"/>
  <c r="AO34" i="5"/>
  <c r="AM34" i="5"/>
  <c r="AI34" i="5"/>
  <c r="AG34" i="5"/>
  <c r="AK29" i="5"/>
  <c r="AI29" i="5"/>
  <c r="AG29" i="5"/>
  <c r="AU29" i="5"/>
  <c r="AS29" i="5"/>
  <c r="AQ29" i="5"/>
  <c r="AO29" i="5"/>
  <c r="AQ35" i="5"/>
  <c r="AO35" i="5"/>
  <c r="AK35" i="5"/>
  <c r="AI35" i="5"/>
  <c r="AG35" i="5"/>
  <c r="AU35" i="5"/>
  <c r="AS35" i="5"/>
  <c r="AP28" i="5"/>
  <c r="AN28" i="5"/>
  <c r="AL28" i="5"/>
  <c r="AH28" i="5"/>
  <c r="AF28" i="5"/>
  <c r="AT28" i="5"/>
  <c r="AR28" i="5"/>
  <c r="AH69" i="5" l="1"/>
  <c r="AQ74" i="5"/>
  <c r="AQ76" i="5"/>
  <c r="AQ73" i="5"/>
  <c r="AQ75" i="5"/>
  <c r="AP76" i="5"/>
  <c r="AP75" i="5"/>
  <c r="AP74" i="5"/>
  <c r="AP73" i="5"/>
  <c r="AL80" i="5"/>
  <c r="AU85" i="5"/>
  <c r="AU87" i="5"/>
  <c r="AU84" i="5"/>
  <c r="AU86" i="5"/>
  <c r="AJ69" i="5"/>
  <c r="AS76" i="5"/>
  <c r="AS75" i="5"/>
  <c r="AS74" i="5"/>
  <c r="AS73" i="5"/>
  <c r="AR74" i="5"/>
  <c r="AR76" i="5"/>
  <c r="AR73" i="5"/>
  <c r="AR75" i="5"/>
  <c r="AU76" i="5"/>
  <c r="AU75" i="5"/>
  <c r="AU74" i="5"/>
  <c r="AU73" i="5"/>
  <c r="AL69" i="5"/>
  <c r="AT76" i="5"/>
  <c r="AT75" i="5"/>
  <c r="AT74" i="5"/>
  <c r="AT73" i="5"/>
  <c r="AP86" i="5"/>
  <c r="AP85" i="5"/>
  <c r="AP87" i="5"/>
  <c r="AP84" i="5"/>
  <c r="AO65" i="5"/>
  <c r="AO64" i="5"/>
  <c r="AO63" i="5"/>
  <c r="AO62" i="5"/>
  <c r="AF58" i="5"/>
  <c r="AS87" i="5"/>
  <c r="AS86" i="5"/>
  <c r="AS85" i="5"/>
  <c r="AS84" i="5"/>
  <c r="AJ80" i="5"/>
  <c r="AF80" i="5"/>
  <c r="AO86" i="5"/>
  <c r="AO85" i="5"/>
  <c r="AO87" i="5"/>
  <c r="AO84" i="5"/>
  <c r="AV65" i="5"/>
  <c r="AV63" i="5"/>
  <c r="AV62" i="5"/>
  <c r="AV64" i="5"/>
  <c r="AV74" i="5"/>
  <c r="AV76" i="5"/>
  <c r="AV73" i="5"/>
  <c r="AV75" i="5"/>
  <c r="AT87" i="5"/>
  <c r="AT86" i="5"/>
  <c r="AT85" i="5"/>
  <c r="AT84" i="5"/>
  <c r="AQ65" i="5"/>
  <c r="AQ64" i="5"/>
  <c r="AQ63" i="5"/>
  <c r="AQ62" i="5"/>
  <c r="AH58" i="5"/>
  <c r="AP65" i="5"/>
  <c r="AP64" i="5"/>
  <c r="AP63" i="5"/>
  <c r="AP62" i="5"/>
  <c r="AR63" i="5"/>
  <c r="AR65" i="5"/>
  <c r="AR62" i="5"/>
  <c r="AR64" i="5"/>
  <c r="AV85" i="5"/>
  <c r="AV87" i="5"/>
  <c r="AV84" i="5"/>
  <c r="AV86" i="5"/>
  <c r="AH80" i="5"/>
  <c r="AQ87" i="5"/>
  <c r="AQ86" i="5"/>
  <c r="AQ85" i="5"/>
  <c r="AQ84" i="5"/>
  <c r="AS65" i="5"/>
  <c r="AS64" i="5"/>
  <c r="AS63" i="5"/>
  <c r="AS62" i="5"/>
  <c r="AJ58" i="5"/>
  <c r="AR86" i="5"/>
  <c r="AR85" i="5"/>
  <c r="AR87" i="5"/>
  <c r="AR84" i="5"/>
  <c r="AT65" i="5"/>
  <c r="AT64" i="5"/>
  <c r="AT63" i="5"/>
  <c r="AT62" i="5"/>
  <c r="AU65" i="5"/>
  <c r="AU64" i="5"/>
  <c r="AU63" i="5"/>
  <c r="AU62" i="5"/>
  <c r="AL58" i="5"/>
  <c r="AF69" i="5"/>
  <c r="AO76" i="5"/>
  <c r="AO75" i="5"/>
  <c r="AO74" i="5"/>
  <c r="AO73" i="5"/>
  <c r="AJ75" i="5" l="1"/>
  <c r="G46" i="5"/>
  <c r="AK74" i="5"/>
  <c r="AJ74" i="5"/>
  <c r="H48" i="5"/>
  <c r="G48" i="5"/>
  <c r="AK76" i="5"/>
  <c r="AJ76" i="5"/>
  <c r="AK73" i="5"/>
  <c r="H47" i="5"/>
  <c r="AJ73" i="5"/>
  <c r="AJ77" i="5" s="1"/>
  <c r="G47" i="5"/>
  <c r="H46" i="5" s="1"/>
  <c r="AK75" i="5"/>
  <c r="AG87" i="5"/>
  <c r="AG86" i="5"/>
  <c r="AG85" i="5"/>
  <c r="AG84" i="5"/>
  <c r="AF87" i="5"/>
  <c r="AF86" i="5"/>
  <c r="AF85" i="5"/>
  <c r="AF84" i="5"/>
  <c r="AF88" i="5" s="1"/>
  <c r="R34" i="5"/>
  <c r="M10" i="5"/>
  <c r="Q34" i="5"/>
  <c r="Q33" i="5"/>
  <c r="R35" i="5"/>
  <c r="Q35" i="5"/>
  <c r="BG45" i="5"/>
  <c r="BG46" i="5"/>
  <c r="BG48" i="5"/>
  <c r="BG47" i="5"/>
  <c r="AL87" i="5"/>
  <c r="AL86" i="5"/>
  <c r="AL85" i="5"/>
  <c r="AL84" i="5"/>
  <c r="R51" i="5"/>
  <c r="R50" i="5"/>
  <c r="AM87" i="5"/>
  <c r="AM86" i="5"/>
  <c r="AM85" i="5"/>
  <c r="AM84" i="5"/>
  <c r="Q49" i="5"/>
  <c r="Q51" i="5"/>
  <c r="Q50" i="5"/>
  <c r="R49" i="5" s="1"/>
  <c r="AK65" i="5"/>
  <c r="AK64" i="5"/>
  <c r="AK63" i="5"/>
  <c r="AK62" i="5"/>
  <c r="AJ65" i="5"/>
  <c r="AJ64" i="5"/>
  <c r="AJ63" i="5"/>
  <c r="H45" i="5"/>
  <c r="G45" i="5"/>
  <c r="H44" i="5"/>
  <c r="G44" i="5"/>
  <c r="H43" i="5" s="1"/>
  <c r="AJ62" i="5"/>
  <c r="AJ66" i="5" s="1"/>
  <c r="G43" i="5"/>
  <c r="AF62" i="5"/>
  <c r="Q27" i="5"/>
  <c r="AG63" i="5"/>
  <c r="AG65" i="5"/>
  <c r="AF63" i="5"/>
  <c r="AF65" i="5"/>
  <c r="R29" i="5"/>
  <c r="M8" i="5"/>
  <c r="Q29" i="5"/>
  <c r="R28" i="5"/>
  <c r="Q28" i="5"/>
  <c r="R27" i="5" s="1"/>
  <c r="AG62" i="5"/>
  <c r="AF64" i="5"/>
  <c r="AG64" i="5"/>
  <c r="BG39" i="5"/>
  <c r="BG37" i="5"/>
  <c r="BG38" i="5"/>
  <c r="BG40" i="5"/>
  <c r="AH65" i="5"/>
  <c r="AH64" i="5"/>
  <c r="G27" i="5"/>
  <c r="AI63" i="5"/>
  <c r="AH63" i="5"/>
  <c r="AI65" i="5"/>
  <c r="H29" i="5"/>
  <c r="G29" i="5"/>
  <c r="AI64" i="5"/>
  <c r="AI62" i="5"/>
  <c r="AH62" i="5"/>
  <c r="H28" i="5"/>
  <c r="G28" i="5"/>
  <c r="H27" i="5" s="1"/>
  <c r="AK87" i="5"/>
  <c r="AK86" i="5"/>
  <c r="AK85" i="5"/>
  <c r="AK84" i="5"/>
  <c r="AJ87" i="5"/>
  <c r="AJ86" i="5"/>
  <c r="AJ85" i="5"/>
  <c r="AJ84" i="5"/>
  <c r="H50" i="5"/>
  <c r="G49" i="5"/>
  <c r="H51" i="5"/>
  <c r="G51" i="5"/>
  <c r="G50" i="5"/>
  <c r="H49" i="5" s="1"/>
  <c r="Q48" i="5"/>
  <c r="Q47" i="5"/>
  <c r="R46" i="5" s="1"/>
  <c r="AL76" i="5"/>
  <c r="AL75" i="5"/>
  <c r="AL74" i="5"/>
  <c r="AL73" i="5"/>
  <c r="Q46" i="5"/>
  <c r="AM74" i="5"/>
  <c r="R48" i="5"/>
  <c r="AM76" i="5"/>
  <c r="AM73" i="5"/>
  <c r="R47" i="5"/>
  <c r="AM75" i="5"/>
  <c r="AG76" i="5"/>
  <c r="AG75" i="5"/>
  <c r="AG74" i="5"/>
  <c r="AG73" i="5"/>
  <c r="AF76" i="5"/>
  <c r="AF75" i="5"/>
  <c r="AF74" i="5"/>
  <c r="AF73" i="5"/>
  <c r="AF77" i="5" s="1"/>
  <c r="M9" i="5"/>
  <c r="Q30" i="5"/>
  <c r="R32" i="5"/>
  <c r="Q32" i="5"/>
  <c r="Q31" i="5"/>
  <c r="R31" i="5"/>
  <c r="BG42" i="5"/>
  <c r="BG44" i="5"/>
  <c r="BG41" i="5"/>
  <c r="BG43" i="5"/>
  <c r="Q44" i="5"/>
  <c r="AM63" i="5"/>
  <c r="AL63" i="5"/>
  <c r="AM65" i="5"/>
  <c r="R45" i="5"/>
  <c r="AL65" i="5"/>
  <c r="Q45" i="5"/>
  <c r="R44" i="5"/>
  <c r="AM62" i="5"/>
  <c r="AM64" i="5"/>
  <c r="AL62" i="5"/>
  <c r="AL64" i="5"/>
  <c r="Q43" i="5"/>
  <c r="AH87" i="5"/>
  <c r="AH86" i="5"/>
  <c r="AH85" i="5"/>
  <c r="AH84" i="5"/>
  <c r="AH88" i="5" s="1"/>
  <c r="H34" i="5"/>
  <c r="AI86" i="5"/>
  <c r="G34" i="5"/>
  <c r="G33" i="5"/>
  <c r="AI85" i="5"/>
  <c r="AI87" i="5"/>
  <c r="H35" i="5"/>
  <c r="G35" i="5"/>
  <c r="AI84" i="5"/>
  <c r="AH76" i="5"/>
  <c r="AH75" i="5"/>
  <c r="AH74" i="5"/>
  <c r="AH73" i="5"/>
  <c r="AI76" i="5"/>
  <c r="AI75" i="5"/>
  <c r="AI74" i="5"/>
  <c r="AI73" i="5"/>
  <c r="AI77" i="5" s="1"/>
  <c r="H31" i="5"/>
  <c r="G31" i="5"/>
  <c r="G30" i="5"/>
  <c r="H32" i="5"/>
  <c r="G32" i="5"/>
  <c r="AM66" i="5" l="1"/>
  <c r="AG77" i="5"/>
  <c r="AI66" i="5"/>
  <c r="AL88" i="5"/>
  <c r="AH77" i="5"/>
  <c r="I9" i="5" s="1"/>
  <c r="AK88" i="5"/>
  <c r="BE59" i="8"/>
  <c r="BE59" i="7"/>
  <c r="BE59" i="10"/>
  <c r="BE59" i="9"/>
  <c r="BF58" i="3"/>
  <c r="BE53" i="10"/>
  <c r="BE53" i="9"/>
  <c r="BE53" i="8"/>
  <c r="BE53" i="7"/>
  <c r="AF66" i="5"/>
  <c r="AM88" i="5"/>
  <c r="AK77" i="5"/>
  <c r="H30" i="5"/>
  <c r="AH66" i="5"/>
  <c r="R33" i="5"/>
  <c r="BF52" i="3"/>
  <c r="L38" i="6" s="1"/>
  <c r="H33" i="5"/>
  <c r="R43" i="5"/>
  <c r="BE56" i="9"/>
  <c r="BE56" i="10"/>
  <c r="BE56" i="7"/>
  <c r="BE56" i="8"/>
  <c r="AG66" i="5"/>
  <c r="AL77" i="5"/>
  <c r="J9" i="5" s="1"/>
  <c r="J10" i="5"/>
  <c r="AL66" i="5"/>
  <c r="R30" i="5"/>
  <c r="AM77" i="5"/>
  <c r="AJ88" i="5"/>
  <c r="I10" i="5" s="1"/>
  <c r="AI88" i="5"/>
  <c r="BF55" i="3"/>
  <c r="AK66" i="5"/>
  <c r="AG88" i="5"/>
  <c r="L9" i="5" l="1"/>
  <c r="L8" i="5"/>
  <c r="K8" i="5"/>
  <c r="U61" i="6"/>
  <c r="B23" i="6"/>
  <c r="AH21" i="6"/>
  <c r="O61" i="6"/>
  <c r="W47" i="6"/>
  <c r="W39" i="6"/>
  <c r="K61" i="6"/>
  <c r="A39" i="6"/>
  <c r="AM23" i="6"/>
  <c r="AG20" i="6"/>
  <c r="E61" i="6"/>
  <c r="W55" i="6"/>
  <c r="B30" i="6"/>
  <c r="AL23" i="6"/>
  <c r="AF20" i="6"/>
  <c r="B55" i="6"/>
  <c r="W38" i="6"/>
  <c r="W32" i="6"/>
  <c r="U17" i="6"/>
  <c r="W49" i="6"/>
  <c r="O17" i="6"/>
  <c r="B47" i="6"/>
  <c r="B38" i="6"/>
  <c r="K17" i="6"/>
  <c r="V56" i="6"/>
  <c r="W24" i="6"/>
  <c r="L56" i="6"/>
  <c r="B32" i="6"/>
  <c r="B24" i="6"/>
  <c r="B56" i="6"/>
  <c r="B49" i="6"/>
  <c r="V23" i="6"/>
  <c r="U23" i="6"/>
  <c r="U62" i="6"/>
  <c r="O23" i="6"/>
  <c r="O62" i="6"/>
  <c r="W41" i="6"/>
  <c r="E62" i="6"/>
  <c r="E23" i="6"/>
  <c r="AI21" i="6"/>
  <c r="AK22" i="6"/>
  <c r="AJ22" i="6"/>
  <c r="B41" i="6"/>
  <c r="L23" i="6"/>
  <c r="E17" i="6"/>
  <c r="K23" i="6"/>
  <c r="K62" i="6"/>
  <c r="W30" i="6"/>
  <c r="J8" i="5"/>
  <c r="I8" i="5"/>
  <c r="L10" i="5"/>
  <c r="K10" i="5"/>
  <c r="K9" i="5"/>
  <c r="AH22" i="6" l="1"/>
  <c r="AF22" i="6"/>
  <c r="AT22" i="6"/>
  <c r="AR22" i="6"/>
  <c r="AP22" i="6"/>
  <c r="AN22" i="6"/>
  <c r="AL22" i="6"/>
  <c r="AO23" i="6"/>
  <c r="AK23" i="6"/>
  <c r="AI23" i="6"/>
  <c r="AG23" i="6"/>
  <c r="AU23" i="6"/>
  <c r="AS23" i="6"/>
  <c r="AQ23" i="6"/>
  <c r="AZ19" i="6"/>
  <c r="AY28" i="6" s="1"/>
  <c r="AY19" i="6"/>
  <c r="AX19" i="6"/>
  <c r="AW19" i="6"/>
  <c r="AF21" i="6"/>
  <c r="AT21" i="6"/>
  <c r="AR21" i="6"/>
  <c r="AP21" i="6"/>
  <c r="AN21" i="6"/>
  <c r="AL21" i="6"/>
  <c r="AJ21" i="6"/>
  <c r="AM24" i="6"/>
  <c r="AI20" i="6"/>
  <c r="AK24" i="6"/>
  <c r="AI24" i="6"/>
  <c r="AU20" i="6"/>
  <c r="AG24" i="6"/>
  <c r="AS20" i="6"/>
  <c r="AU24" i="6"/>
  <c r="AQ20" i="6"/>
  <c r="AS24" i="6"/>
  <c r="AO20" i="6"/>
  <c r="AQ24" i="6"/>
  <c r="AM20" i="6"/>
  <c r="AK20" i="6"/>
  <c r="AO24" i="6"/>
  <c r="CB19" i="6"/>
  <c r="CA19" i="6"/>
  <c r="CA28" i="6" s="1"/>
  <c r="BZ19" i="6"/>
  <c r="CA22" i="6" s="1"/>
  <c r="BY19" i="6"/>
  <c r="BX19" i="6"/>
  <c r="BW19" i="6"/>
  <c r="BV19" i="6"/>
  <c r="BU19" i="6"/>
  <c r="AG22" i="6"/>
  <c r="AU22" i="6"/>
  <c r="AS22" i="6"/>
  <c r="AQ22" i="6"/>
  <c r="AO22" i="6"/>
  <c r="AM22" i="6"/>
  <c r="AI22" i="6"/>
  <c r="BT19" i="6"/>
  <c r="BQ19" i="6"/>
  <c r="BS19" i="6"/>
  <c r="BR19" i="6"/>
  <c r="BL19" i="6"/>
  <c r="BK19" i="6"/>
  <c r="BJ19" i="6"/>
  <c r="BI19" i="6"/>
  <c r="AL24" i="6"/>
  <c r="AH20" i="6"/>
  <c r="AB10" i="6"/>
  <c r="AB11" i="6" s="1"/>
  <c r="Z8" i="6" s="1"/>
  <c r="AJ24" i="6"/>
  <c r="AH24" i="6"/>
  <c r="AT20" i="6"/>
  <c r="AF24" i="6"/>
  <c r="AR20" i="6"/>
  <c r="AT24" i="6"/>
  <c r="AP20" i="6"/>
  <c r="AR24" i="6"/>
  <c r="AN20" i="6"/>
  <c r="AN24" i="6"/>
  <c r="AJ20" i="6"/>
  <c r="AL20" i="6"/>
  <c r="AP24" i="6"/>
  <c r="BD19" i="6"/>
  <c r="BA19" i="6"/>
  <c r="BC19" i="6"/>
  <c r="BB19" i="6"/>
  <c r="AN23" i="6"/>
  <c r="AJ23" i="6"/>
  <c r="AH23" i="6"/>
  <c r="AF23" i="6"/>
  <c r="AT23" i="6"/>
  <c r="AP23" i="6"/>
  <c r="AR23" i="6"/>
  <c r="AG21" i="6"/>
  <c r="AU21" i="6"/>
  <c r="AS21" i="6"/>
  <c r="AQ21" i="6"/>
  <c r="AO21" i="6"/>
  <c r="AM21" i="6"/>
  <c r="AK21" i="6"/>
  <c r="L8" i="3"/>
  <c r="K8" i="3"/>
  <c r="I8" i="3"/>
  <c r="J8" i="3"/>
  <c r="M8" i="3"/>
  <c r="BP19" i="6"/>
  <c r="BO19" i="6"/>
  <c r="BN19" i="6"/>
  <c r="BM19" i="6"/>
  <c r="BN22" i="6" s="1"/>
  <c r="BH19" i="6"/>
  <c r="BG19" i="6"/>
  <c r="BG28" i="6" s="1"/>
  <c r="BF19" i="6"/>
  <c r="BG22" i="6" s="1"/>
  <c r="BE19" i="6"/>
  <c r="BR22" i="6" l="1"/>
  <c r="AX22" i="6"/>
  <c r="BO22" i="6"/>
  <c r="BM28" i="6"/>
  <c r="BO28" i="6"/>
  <c r="BK28" i="6"/>
  <c r="BP26" i="6"/>
  <c r="BZ22" i="6"/>
  <c r="BY28" i="6"/>
  <c r="BW22" i="6"/>
  <c r="BY26" i="6" s="1"/>
  <c r="BS22" i="6"/>
  <c r="BQ28" i="6"/>
  <c r="BS28" i="6"/>
  <c r="AM35" i="6"/>
  <c r="AL35" i="6"/>
  <c r="AG38" i="6"/>
  <c r="AG32" i="6"/>
  <c r="AF38" i="6"/>
  <c r="AF32" i="6"/>
  <c r="AM41" i="6"/>
  <c r="AL41" i="6"/>
  <c r="AG26" i="6"/>
  <c r="AF26" i="6"/>
  <c r="AM29" i="6"/>
  <c r="AL29" i="6"/>
  <c r="BA28" i="6"/>
  <c r="BC22" i="6"/>
  <c r="BW28" i="6"/>
  <c r="BE28" i="6"/>
  <c r="BF22" i="6"/>
  <c r="BB22" i="6"/>
  <c r="AZ26" i="6" s="1"/>
  <c r="BC28" i="6"/>
  <c r="AK28" i="6"/>
  <c r="AJ28" i="6"/>
  <c r="AK34" i="6"/>
  <c r="AJ34" i="6"/>
  <c r="AI27" i="6"/>
  <c r="AH27" i="6"/>
  <c r="AK40" i="6"/>
  <c r="AJ40" i="6"/>
  <c r="AI33" i="6"/>
  <c r="AI39" i="6"/>
  <c r="AH33" i="6"/>
  <c r="AH39" i="6"/>
  <c r="BI28" i="6"/>
  <c r="BJ22" i="6"/>
  <c r="AY22" i="6"/>
  <c r="AW28" i="6"/>
  <c r="BK22" i="6"/>
  <c r="BI26" i="6" s="1"/>
  <c r="BV22" i="6"/>
  <c r="BU28" i="6"/>
  <c r="BX26" i="6" l="1"/>
  <c r="BA26" i="6"/>
  <c r="AU39" i="6"/>
  <c r="AS39" i="6"/>
  <c r="AQ39" i="6"/>
  <c r="AO39" i="6"/>
  <c r="AM39" i="6"/>
  <c r="AK39" i="6"/>
  <c r="AG39" i="6"/>
  <c r="BH26" i="6"/>
  <c r="CD22" i="6" s="1"/>
  <c r="AM36" i="6"/>
  <c r="AI32" i="6"/>
  <c r="AK36" i="6"/>
  <c r="AI36" i="6"/>
  <c r="AU32" i="6"/>
  <c r="AG36" i="6"/>
  <c r="AS32" i="6"/>
  <c r="AU36" i="6"/>
  <c r="AQ32" i="6"/>
  <c r="AS36" i="6"/>
  <c r="AO32" i="6"/>
  <c r="AQ36" i="6"/>
  <c r="AM32" i="6"/>
  <c r="AO36" i="6"/>
  <c r="AK32" i="6"/>
  <c r="AH29" i="6"/>
  <c r="AF29" i="6"/>
  <c r="AT29" i="6"/>
  <c r="AR29" i="6"/>
  <c r="AP29" i="6"/>
  <c r="AN29" i="6"/>
  <c r="AJ29" i="6"/>
  <c r="AJ35" i="6"/>
  <c r="AH35" i="6"/>
  <c r="AF35" i="6"/>
  <c r="AT35" i="6"/>
  <c r="AR35" i="6"/>
  <c r="AP35" i="6"/>
  <c r="AN35" i="6"/>
  <c r="AU33" i="6"/>
  <c r="AS33" i="6"/>
  <c r="AQ33" i="6"/>
  <c r="AO33" i="6"/>
  <c r="AM33" i="6"/>
  <c r="AK33" i="6"/>
  <c r="AG33" i="6"/>
  <c r="AI29" i="6"/>
  <c r="AG29" i="6"/>
  <c r="AU29" i="6"/>
  <c r="AS29" i="6"/>
  <c r="AQ29" i="6"/>
  <c r="AO29" i="6"/>
  <c r="AK29" i="6"/>
  <c r="AK35" i="6"/>
  <c r="AI35" i="6"/>
  <c r="AG35" i="6"/>
  <c r="AU35" i="6"/>
  <c r="AS35" i="6"/>
  <c r="AQ35" i="6"/>
  <c r="AO35" i="6"/>
  <c r="AQ27" i="6"/>
  <c r="AO27" i="6"/>
  <c r="AM27" i="6"/>
  <c r="AK27" i="6"/>
  <c r="AG27" i="6"/>
  <c r="AU27" i="6"/>
  <c r="AS27" i="6"/>
  <c r="AR30" i="6"/>
  <c r="AL26" i="6"/>
  <c r="AP30" i="6"/>
  <c r="AJ26" i="6"/>
  <c r="AN30" i="6"/>
  <c r="AH26" i="6"/>
  <c r="AL30" i="6"/>
  <c r="AJ30" i="6"/>
  <c r="AT26" i="6"/>
  <c r="AH30" i="6"/>
  <c r="AR26" i="6"/>
  <c r="AF30" i="6"/>
  <c r="AT30" i="6"/>
  <c r="AN26" i="6"/>
  <c r="AP26" i="6"/>
  <c r="AF39" i="6"/>
  <c r="AT39" i="6"/>
  <c r="AR39" i="6"/>
  <c r="AP39" i="6"/>
  <c r="AN39" i="6"/>
  <c r="AL39" i="6"/>
  <c r="AJ39" i="6"/>
  <c r="AP34" i="6"/>
  <c r="AN34" i="6"/>
  <c r="AL34" i="6"/>
  <c r="AH34" i="6"/>
  <c r="AF34" i="6"/>
  <c r="AT34" i="6"/>
  <c r="AR34" i="6"/>
  <c r="AS30" i="6"/>
  <c r="AM26" i="6"/>
  <c r="AQ30" i="6"/>
  <c r="AK26" i="6"/>
  <c r="AO30" i="6"/>
  <c r="AI26" i="6"/>
  <c r="AM30" i="6"/>
  <c r="AK30" i="6"/>
  <c r="AU26" i="6"/>
  <c r="AI30" i="6"/>
  <c r="AS26" i="6"/>
  <c r="AG30" i="6"/>
  <c r="AQ26" i="6"/>
  <c r="AO26" i="6"/>
  <c r="AU30" i="6"/>
  <c r="AQ42" i="6"/>
  <c r="AI38" i="6"/>
  <c r="AO42" i="6"/>
  <c r="AM42" i="6"/>
  <c r="AU38" i="6"/>
  <c r="AK42" i="6"/>
  <c r="AS38" i="6"/>
  <c r="AI42" i="6"/>
  <c r="AQ38" i="6"/>
  <c r="AG42" i="6"/>
  <c r="AO38" i="6"/>
  <c r="AU42" i="6"/>
  <c r="AM38" i="6"/>
  <c r="AS42" i="6"/>
  <c r="AK38" i="6"/>
  <c r="AT33" i="6"/>
  <c r="AR33" i="6"/>
  <c r="AP33" i="6"/>
  <c r="AN33" i="6"/>
  <c r="AL33" i="6"/>
  <c r="AJ33" i="6"/>
  <c r="AF33" i="6"/>
  <c r="AT40" i="6"/>
  <c r="AR40" i="6"/>
  <c r="AP40" i="6"/>
  <c r="AN40" i="6"/>
  <c r="AL40" i="6"/>
  <c r="AH40" i="6"/>
  <c r="AF40" i="6"/>
  <c r="AQ34" i="6"/>
  <c r="AO34" i="6"/>
  <c r="AM34" i="6"/>
  <c r="AI34" i="6"/>
  <c r="AG34" i="6"/>
  <c r="AU34" i="6"/>
  <c r="AS34" i="6"/>
  <c r="AR41" i="6"/>
  <c r="AP41" i="6"/>
  <c r="AN41" i="6"/>
  <c r="AJ41" i="6"/>
  <c r="AH41" i="6"/>
  <c r="AF41" i="6"/>
  <c r="AT41" i="6"/>
  <c r="AP27" i="6"/>
  <c r="AN27" i="6"/>
  <c r="AL27" i="6"/>
  <c r="AJ27" i="6"/>
  <c r="AF27" i="6"/>
  <c r="AT27" i="6"/>
  <c r="AR27" i="6"/>
  <c r="AL28" i="6"/>
  <c r="AH28" i="6"/>
  <c r="AF28" i="6"/>
  <c r="AT28" i="6"/>
  <c r="AR28" i="6"/>
  <c r="AP28" i="6"/>
  <c r="AN28" i="6"/>
  <c r="AQ41" i="6"/>
  <c r="AO41" i="6"/>
  <c r="AK41" i="6"/>
  <c r="AI41" i="6"/>
  <c r="AG41" i="6"/>
  <c r="AU41" i="6"/>
  <c r="AS41" i="6"/>
  <c r="AP42" i="6"/>
  <c r="AH38" i="6"/>
  <c r="AN42" i="6"/>
  <c r="AL42" i="6"/>
  <c r="AT38" i="6"/>
  <c r="AJ42" i="6"/>
  <c r="AR38" i="6"/>
  <c r="AH42" i="6"/>
  <c r="AP38" i="6"/>
  <c r="AF42" i="6"/>
  <c r="AN38" i="6"/>
  <c r="AT42" i="6"/>
  <c r="AL38" i="6"/>
  <c r="AR42" i="6"/>
  <c r="AJ38" i="6"/>
  <c r="AU40" i="6"/>
  <c r="AS40" i="6"/>
  <c r="AQ40" i="6"/>
  <c r="AO40" i="6"/>
  <c r="AM40" i="6"/>
  <c r="AI40" i="6"/>
  <c r="AG40" i="6"/>
  <c r="AM28" i="6"/>
  <c r="AI28" i="6"/>
  <c r="AG28" i="6"/>
  <c r="AU28" i="6"/>
  <c r="AS28" i="6"/>
  <c r="AQ28" i="6"/>
  <c r="AO28" i="6"/>
  <c r="AL36" i="6"/>
  <c r="AH32" i="6"/>
  <c r="AJ36" i="6"/>
  <c r="AH36" i="6"/>
  <c r="AT32" i="6"/>
  <c r="AF36" i="6"/>
  <c r="AR32" i="6"/>
  <c r="AT36" i="6"/>
  <c r="AP32" i="6"/>
  <c r="AR36" i="6"/>
  <c r="AN32" i="6"/>
  <c r="AP36" i="6"/>
  <c r="AL32" i="6"/>
  <c r="AN36" i="6"/>
  <c r="AJ32" i="6"/>
  <c r="BQ26" i="6"/>
  <c r="CE22" i="6" s="1"/>
  <c r="CE20" i="6" l="1"/>
  <c r="AQ65" i="6"/>
  <c r="AQ64" i="6"/>
  <c r="AQ63" i="6"/>
  <c r="AQ62" i="6"/>
  <c r="AH58" i="6"/>
  <c r="AP76" i="6"/>
  <c r="AP75" i="6"/>
  <c r="AP74" i="6"/>
  <c r="AP73" i="6"/>
  <c r="AF69" i="6"/>
  <c r="AO76" i="6"/>
  <c r="AO75" i="6"/>
  <c r="AO74" i="6"/>
  <c r="AO73" i="6"/>
  <c r="AL80" i="6"/>
  <c r="AU84" i="6"/>
  <c r="AU85" i="6"/>
  <c r="AU86" i="6"/>
  <c r="AU87" i="6"/>
  <c r="AP87" i="6"/>
  <c r="AP84" i="6"/>
  <c r="AP85" i="6"/>
  <c r="AP86" i="6"/>
  <c r="AJ58" i="6"/>
  <c r="AS65" i="6"/>
  <c r="AS64" i="6"/>
  <c r="AS63" i="6"/>
  <c r="AS62" i="6"/>
  <c r="AR76" i="6"/>
  <c r="AR75" i="6"/>
  <c r="AR74" i="6"/>
  <c r="AR73" i="6"/>
  <c r="AT76" i="6"/>
  <c r="AT75" i="6"/>
  <c r="AT74" i="6"/>
  <c r="AT73" i="6"/>
  <c r="AH69" i="6"/>
  <c r="AQ76" i="6"/>
  <c r="AQ75" i="6"/>
  <c r="AQ74" i="6"/>
  <c r="AQ73" i="6"/>
  <c r="AR87" i="6"/>
  <c r="AR86" i="6"/>
  <c r="AR85" i="6"/>
  <c r="AR84" i="6"/>
  <c r="AV65" i="6"/>
  <c r="AV64" i="6"/>
  <c r="AV63" i="6"/>
  <c r="AV62" i="6"/>
  <c r="AR65" i="6"/>
  <c r="AR64" i="6"/>
  <c r="AR63" i="6"/>
  <c r="AR62" i="6"/>
  <c r="AT65" i="6"/>
  <c r="AT64" i="6"/>
  <c r="AT63" i="6"/>
  <c r="AT62" i="6"/>
  <c r="AL58" i="6"/>
  <c r="AU65" i="6"/>
  <c r="AU64" i="6"/>
  <c r="AU63" i="6"/>
  <c r="AU62" i="6"/>
  <c r="AJ69" i="6"/>
  <c r="AS76" i="6"/>
  <c r="AS75" i="6"/>
  <c r="AS74" i="6"/>
  <c r="AS73" i="6"/>
  <c r="AV76" i="6"/>
  <c r="AV75" i="6"/>
  <c r="AV74" i="6"/>
  <c r="AV73" i="6"/>
  <c r="AT87" i="6"/>
  <c r="AT86" i="6"/>
  <c r="AT85" i="6"/>
  <c r="AT84" i="6"/>
  <c r="AL69" i="6"/>
  <c r="AU76" i="6"/>
  <c r="AU75" i="6"/>
  <c r="AU74" i="6"/>
  <c r="AU73" i="6"/>
  <c r="AV84" i="6"/>
  <c r="AV85" i="6"/>
  <c r="AV86" i="6"/>
  <c r="AV87" i="6"/>
  <c r="AS87" i="6"/>
  <c r="AJ80" i="6"/>
  <c r="AS84" i="6"/>
  <c r="AS85" i="6"/>
  <c r="AS86" i="6"/>
  <c r="AP65" i="6"/>
  <c r="AP64" i="6"/>
  <c r="AP63" i="6"/>
  <c r="AP62" i="6"/>
  <c r="AO87" i="6"/>
  <c r="AF80" i="6"/>
  <c r="AO84" i="6"/>
  <c r="AO85" i="6"/>
  <c r="AO86" i="6"/>
  <c r="AQ87" i="6"/>
  <c r="AH80" i="6"/>
  <c r="AQ84" i="6"/>
  <c r="AQ85" i="6"/>
  <c r="AQ86" i="6"/>
  <c r="AO65" i="6"/>
  <c r="AO64" i="6"/>
  <c r="AO63" i="6"/>
  <c r="AO62" i="6"/>
  <c r="AF58" i="6"/>
  <c r="H47" i="6" l="1"/>
  <c r="G47" i="6"/>
  <c r="AK76" i="6"/>
  <c r="AK75" i="6"/>
  <c r="AK74" i="6"/>
  <c r="AK73" i="6"/>
  <c r="AK77" i="6" s="1"/>
  <c r="AJ76" i="6"/>
  <c r="AJ75" i="6"/>
  <c r="AJ74" i="6"/>
  <c r="AJ73" i="6"/>
  <c r="G46" i="6"/>
  <c r="G48" i="6"/>
  <c r="H48" i="6"/>
  <c r="Q33" i="6"/>
  <c r="AG84" i="6"/>
  <c r="AG85" i="6"/>
  <c r="AF84" i="6"/>
  <c r="AF85" i="6"/>
  <c r="AG86" i="6"/>
  <c r="AF86" i="6"/>
  <c r="AG87" i="6"/>
  <c r="R35" i="6"/>
  <c r="AF87" i="6"/>
  <c r="Q35" i="6"/>
  <c r="R34" i="6"/>
  <c r="M10" i="6"/>
  <c r="Q34" i="6"/>
  <c r="R33" i="6" s="1"/>
  <c r="BG45" i="6"/>
  <c r="BG46" i="6"/>
  <c r="BG47" i="6"/>
  <c r="BG48" i="6"/>
  <c r="R44" i="6"/>
  <c r="Q44" i="6"/>
  <c r="AM65" i="6"/>
  <c r="AM64" i="6"/>
  <c r="AM63" i="6"/>
  <c r="AM62" i="6"/>
  <c r="AM66" i="6" s="1"/>
  <c r="AL65" i="6"/>
  <c r="AL64" i="6"/>
  <c r="AL63" i="6"/>
  <c r="AL62" i="6"/>
  <c r="AL66" i="6" s="1"/>
  <c r="Q43" i="6"/>
  <c r="R45" i="6"/>
  <c r="Q45" i="6"/>
  <c r="Q30" i="6"/>
  <c r="R32" i="6"/>
  <c r="Q32" i="6"/>
  <c r="R31" i="6"/>
  <c r="Q31" i="6"/>
  <c r="AF76" i="6"/>
  <c r="AF75" i="6"/>
  <c r="AF74" i="6"/>
  <c r="AF73" i="6"/>
  <c r="AF77" i="6" s="1"/>
  <c r="M9" i="6"/>
  <c r="AG76" i="6"/>
  <c r="AG75" i="6"/>
  <c r="AG74" i="6"/>
  <c r="AG73" i="6"/>
  <c r="BG44" i="6"/>
  <c r="BG41" i="6"/>
  <c r="BG42" i="6"/>
  <c r="BG43" i="6"/>
  <c r="AM87" i="6"/>
  <c r="AM86" i="6"/>
  <c r="AL86" i="6"/>
  <c r="R50" i="6"/>
  <c r="Q50" i="6"/>
  <c r="AL87" i="6"/>
  <c r="Q49" i="6"/>
  <c r="AM84" i="6"/>
  <c r="AM85" i="6"/>
  <c r="AL84" i="6"/>
  <c r="R51" i="6"/>
  <c r="AL85" i="6"/>
  <c r="Q51" i="6"/>
  <c r="R47" i="6"/>
  <c r="Q47" i="6"/>
  <c r="R46" i="6" s="1"/>
  <c r="AM76" i="6"/>
  <c r="AM75" i="6"/>
  <c r="AM74" i="6"/>
  <c r="AM73" i="6"/>
  <c r="AL76" i="6"/>
  <c r="AL75" i="6"/>
  <c r="AL74" i="6"/>
  <c r="AL73" i="6"/>
  <c r="AL77" i="6" s="1"/>
  <c r="Q46" i="6"/>
  <c r="R48" i="6"/>
  <c r="Q48" i="6"/>
  <c r="AJ85" i="6"/>
  <c r="G51" i="6"/>
  <c r="AK86" i="6"/>
  <c r="AJ86" i="6"/>
  <c r="H50" i="6"/>
  <c r="AK87" i="6"/>
  <c r="G50" i="6"/>
  <c r="H49" i="6" s="1"/>
  <c r="AJ87" i="6"/>
  <c r="G49" i="6"/>
  <c r="AK85" i="6"/>
  <c r="AJ84" i="6"/>
  <c r="H51" i="6"/>
  <c r="AK84" i="6"/>
  <c r="G30" i="6"/>
  <c r="H32" i="6"/>
  <c r="G32" i="6"/>
  <c r="AI76" i="6"/>
  <c r="AI75" i="6"/>
  <c r="AI74" i="6"/>
  <c r="AI73" i="6"/>
  <c r="AI77" i="6" s="1"/>
  <c r="H31" i="6"/>
  <c r="AH76" i="6"/>
  <c r="AH75" i="6"/>
  <c r="AH74" i="6"/>
  <c r="AH73" i="6"/>
  <c r="G31" i="6"/>
  <c r="H29" i="6"/>
  <c r="G29" i="6"/>
  <c r="AI65" i="6"/>
  <c r="AI64" i="6"/>
  <c r="AI63" i="6"/>
  <c r="AI62" i="6"/>
  <c r="AI66" i="6" s="1"/>
  <c r="AH65" i="6"/>
  <c r="AH64" i="6"/>
  <c r="AH63" i="6"/>
  <c r="AH62" i="6"/>
  <c r="AH66" i="6" s="1"/>
  <c r="H28" i="6"/>
  <c r="G28" i="6"/>
  <c r="H27" i="6" s="1"/>
  <c r="G27" i="6"/>
  <c r="G45" i="6"/>
  <c r="H44" i="6"/>
  <c r="G44" i="6"/>
  <c r="AK65" i="6"/>
  <c r="AK64" i="6"/>
  <c r="AK63" i="6"/>
  <c r="AK62" i="6"/>
  <c r="AK66" i="6" s="1"/>
  <c r="AJ65" i="6"/>
  <c r="AJ64" i="6"/>
  <c r="AJ63" i="6"/>
  <c r="AJ62" i="6"/>
  <c r="AJ66" i="6" s="1"/>
  <c r="G43" i="6"/>
  <c r="H45" i="6"/>
  <c r="AI84" i="6"/>
  <c r="AI85" i="6"/>
  <c r="AH84" i="6"/>
  <c r="AH85" i="6"/>
  <c r="AI86" i="6"/>
  <c r="G33" i="6"/>
  <c r="AH86" i="6"/>
  <c r="AI87" i="6"/>
  <c r="AH87" i="6"/>
  <c r="H35" i="6"/>
  <c r="G35" i="6"/>
  <c r="G34" i="6"/>
  <c r="H34" i="6"/>
  <c r="R29" i="6"/>
  <c r="M8" i="6"/>
  <c r="Q29" i="6"/>
  <c r="R28" i="6"/>
  <c r="Q28" i="6"/>
  <c r="R27" i="6" s="1"/>
  <c r="AG65" i="6"/>
  <c r="AG64" i="6"/>
  <c r="AG63" i="6"/>
  <c r="AG62" i="6"/>
  <c r="AF65" i="6"/>
  <c r="AF64" i="6"/>
  <c r="AF63" i="6"/>
  <c r="AF62" i="6"/>
  <c r="AF66" i="6" s="1"/>
  <c r="Q27" i="6"/>
  <c r="BG38" i="6"/>
  <c r="BG37" i="6"/>
  <c r="BG39" i="6"/>
  <c r="BG40" i="6"/>
  <c r="AH88" i="6" l="1"/>
  <c r="AG88" i="6"/>
  <c r="AG77" i="6"/>
  <c r="AJ77" i="6"/>
  <c r="AI88" i="6"/>
  <c r="AL88" i="6"/>
  <c r="J8" i="6"/>
  <c r="I8" i="6"/>
  <c r="AM88" i="6"/>
  <c r="J9" i="6"/>
  <c r="I9" i="6"/>
  <c r="H33" i="6"/>
  <c r="AJ88" i="6"/>
  <c r="R49" i="6"/>
  <c r="AK88" i="6"/>
  <c r="H43" i="6"/>
  <c r="H30" i="6"/>
  <c r="H46" i="6"/>
  <c r="AG66" i="6"/>
  <c r="AH77" i="6"/>
  <c r="AM77" i="6"/>
  <c r="R30" i="6"/>
  <c r="R43" i="6"/>
  <c r="AF88" i="6"/>
  <c r="I9" i="3" l="1"/>
  <c r="J9" i="3"/>
  <c r="L9" i="6"/>
  <c r="K9" i="6"/>
  <c r="L10" i="6"/>
  <c r="K10" i="6"/>
  <c r="I10" i="6"/>
  <c r="J10" i="6"/>
  <c r="L8" i="6"/>
  <c r="K8" i="6"/>
  <c r="L9" i="3" l="1"/>
  <c r="K9" i="3"/>
  <c r="J10" i="3"/>
  <c r="I10" i="3"/>
  <c r="M10" i="3"/>
  <c r="L10" i="3"/>
  <c r="K10" i="3"/>
  <c r="M9" i="3"/>
</calcChain>
</file>

<file path=xl/sharedStrings.xml><?xml version="1.0" encoding="utf-8"?>
<sst xmlns="http://schemas.openxmlformats.org/spreadsheetml/2006/main" count="4277" uniqueCount="428">
  <si>
    <t>Well:</t>
  </si>
  <si>
    <t>Results:</t>
  </si>
  <si>
    <t>As-Drilled Section Line Footages</t>
  </si>
  <si>
    <t>UTM Grid</t>
  </si>
  <si>
    <t>Reference: NOAA Manual NOS NGS 5</t>
  </si>
  <si>
    <t>API:</t>
  </si>
  <si>
    <t>FNL-FSL</t>
  </si>
  <si>
    <t>FEL-FWL</t>
  </si>
  <si>
    <t>Easting</t>
  </si>
  <si>
    <t>Northing</t>
  </si>
  <si>
    <t>Closest Section Corners to Plat BHL</t>
  </si>
  <si>
    <t>Plat Plan D&amp;B</t>
  </si>
  <si>
    <t>SHL</t>
  </si>
  <si>
    <t>State Plane Grid</t>
  </si>
  <si>
    <t>BHL Lat/Long from Plat Plan</t>
  </si>
  <si>
    <t>UTM BHL</t>
  </si>
  <si>
    <t>SHL to BHL1</t>
  </si>
  <si>
    <t>BHL1 to BHL2</t>
  </si>
  <si>
    <t>SHL to BHL2</t>
  </si>
  <si>
    <t>Check of BHL from Plat Lat. &amp; Long</t>
  </si>
  <si>
    <t>Latitude</t>
  </si>
  <si>
    <t>Longintude</t>
  </si>
  <si>
    <t>UTAH NORTH 4301</t>
  </si>
  <si>
    <t>UTAH CENTRAL 4302</t>
  </si>
  <si>
    <t>UTAH SOUTH 4303</t>
  </si>
  <si>
    <t>f1</t>
  </si>
  <si>
    <t xml:space="preserve">Ra </t>
  </si>
  <si>
    <t>Distance</t>
  </si>
  <si>
    <t>Bearing</t>
  </si>
  <si>
    <t xml:space="preserve">   Survey Plat North Reference</t>
  </si>
  <si>
    <t>BHL 1</t>
  </si>
  <si>
    <t>Defining Constants</t>
  </si>
  <si>
    <t>Plat Plan BHL1</t>
  </si>
  <si>
    <t>Directional Survey North Reference</t>
  </si>
  <si>
    <t>BHL 2</t>
  </si>
  <si>
    <t>Bs =</t>
  </si>
  <si>
    <t>Southern standard parallel</t>
  </si>
  <si>
    <t>Plat Plan BHL2</t>
  </si>
  <si>
    <t>Bn =</t>
  </si>
  <si>
    <t>Northern standard parallel</t>
  </si>
  <si>
    <t>Surveyor Plat Section Line Footages</t>
  </si>
  <si>
    <t>Calculated Distance and Bearing from Plat Lat. &amp; Long.</t>
  </si>
  <si>
    <t>Bb =</t>
  </si>
  <si>
    <t>Latitude of grid origin</t>
  </si>
  <si>
    <t>Distance           (USS Feet)</t>
  </si>
  <si>
    <t>Angle (dd.dddddd)</t>
  </si>
  <si>
    <t>Bearing (dd.mmss)</t>
  </si>
  <si>
    <t>Lo =</t>
  </si>
  <si>
    <t>Longitude of the true and grid origin, the "central meridian"</t>
  </si>
  <si>
    <t xml:space="preserve">Plat SHL </t>
  </si>
  <si>
    <t>Lat/Long Coordinates</t>
  </si>
  <si>
    <t>Nb =</t>
  </si>
  <si>
    <t>Northing value at grid origin "Bb"</t>
  </si>
  <si>
    <t>Plat Plan BHL 1</t>
  </si>
  <si>
    <t>Longitude</t>
  </si>
  <si>
    <t>Eo =</t>
  </si>
  <si>
    <t>Easting value at the origin "Lo"</t>
  </si>
  <si>
    <t>Plat Plan Lat/Long from D&amp;B in Geo</t>
  </si>
  <si>
    <t>Plat Plan BHL 2</t>
  </si>
  <si>
    <t>SHL to BHL 1</t>
  </si>
  <si>
    <t>s0</t>
  </si>
  <si>
    <t>Ds0</t>
  </si>
  <si>
    <t>s1</t>
  </si>
  <si>
    <t>Ds1</t>
  </si>
  <si>
    <t>s2</t>
  </si>
  <si>
    <t>Ds2</t>
  </si>
  <si>
    <t>s3</t>
  </si>
  <si>
    <t>f2</t>
  </si>
  <si>
    <t>L2</t>
  </si>
  <si>
    <t>a2</t>
  </si>
  <si>
    <t>BHL 1 to BHL 2</t>
  </si>
  <si>
    <t>Computed Constants</t>
  </si>
  <si>
    <t>Section</t>
  </si>
  <si>
    <t>Township</t>
  </si>
  <si>
    <t>Range</t>
  </si>
  <si>
    <t>Geodetic**</t>
  </si>
  <si>
    <t>** From Vincenty Formula</t>
  </si>
  <si>
    <t>Bo =</t>
  </si>
  <si>
    <t>Latitude of the true projection origin, the "central parallel"</t>
  </si>
  <si>
    <t>BHL 1 Plan Departure - From Lat/Long</t>
  </si>
  <si>
    <t>SinBo =</t>
  </si>
  <si>
    <t>Sine of Bo</t>
  </si>
  <si>
    <t>Plan Departure - Plat SHL to BHL 1</t>
  </si>
  <si>
    <t>Rb =</t>
  </si>
  <si>
    <t>Mapping radius at Bb</t>
  </si>
  <si>
    <t>BHL 2 Plan Departure - From Lat/Long</t>
  </si>
  <si>
    <t>Ro =</t>
  </si>
  <si>
    <t>Mapping radius at Bo</t>
  </si>
  <si>
    <t>Geo D&amp;B from Plat Lat/Long</t>
  </si>
  <si>
    <t>Meridian:</t>
  </si>
  <si>
    <t>Surface Elevation:</t>
  </si>
  <si>
    <t>Plan Departure - Plat SHL to BHL 2</t>
  </si>
  <si>
    <t>No =</t>
  </si>
  <si>
    <t>Northing value at the true projection origin "Bo"</t>
  </si>
  <si>
    <t>l0</t>
  </si>
  <si>
    <t>l1</t>
  </si>
  <si>
    <t>l2</t>
  </si>
  <si>
    <t>l3</t>
  </si>
  <si>
    <t>s</t>
  </si>
  <si>
    <t>a1</t>
  </si>
  <si>
    <t xml:space="preserve">K = </t>
  </si>
  <si>
    <t>Mapping radius at the equator</t>
  </si>
  <si>
    <t>Survey Plat Directional Plan</t>
  </si>
  <si>
    <t>Section Corner near BHL1</t>
  </si>
  <si>
    <t>Section Corner near BHL2</t>
  </si>
  <si>
    <t>Directional Survey Departure Value on Plat North Reference</t>
  </si>
  <si>
    <t xml:space="preserve">ko = </t>
  </si>
  <si>
    <t>Central parallel grid scale factor</t>
  </si>
  <si>
    <t>Plan Bearings &amp; Distances</t>
  </si>
  <si>
    <t xml:space="preserve">Mo = </t>
  </si>
  <si>
    <t>Scaled radius of curvature in the meridian at "Bo"</t>
  </si>
  <si>
    <t>Plat</t>
  </si>
  <si>
    <t>DS</t>
  </si>
  <si>
    <t>N-S</t>
  </si>
  <si>
    <t>E-W</t>
  </si>
  <si>
    <t xml:space="preserve">ro = </t>
  </si>
  <si>
    <t>Geometric mean radius of curvature at Bo scaled to the grid</t>
  </si>
  <si>
    <t>SC to BHL1</t>
  </si>
  <si>
    <t>dist.</t>
  </si>
  <si>
    <t>Section Line Bearings at BHL 1</t>
  </si>
  <si>
    <t>Section Line Bearings at BHL 2</t>
  </si>
  <si>
    <t>Survey Plat Plan Departure</t>
  </si>
  <si>
    <t>True</t>
  </si>
  <si>
    <t>SC to BHL2</t>
  </si>
  <si>
    <t>deg.</t>
  </si>
  <si>
    <t>E-W Line</t>
  </si>
  <si>
    <t>N-S Line</t>
  </si>
  <si>
    <t>Directional Survey Actual Departure</t>
  </si>
  <si>
    <t>Grid</t>
  </si>
  <si>
    <t>Coefficients for GP to PC</t>
  </si>
  <si>
    <t>min.</t>
  </si>
  <si>
    <t>Departure Difference</t>
  </si>
  <si>
    <t>L(1) =</t>
  </si>
  <si>
    <t>Plat Plan Lat/Long from D&amp;B in SPG</t>
  </si>
  <si>
    <t>sec.</t>
  </si>
  <si>
    <t>Section Line Correction</t>
  </si>
  <si>
    <t>L(2) =</t>
  </si>
  <si>
    <t>SPG SHL</t>
  </si>
  <si>
    <t>SPG BHL1</t>
  </si>
  <si>
    <t>SPG BHL2</t>
  </si>
  <si>
    <t>dir.</t>
  </si>
  <si>
    <t>L(3) =</t>
  </si>
  <si>
    <t>Northing (m)</t>
  </si>
  <si>
    <t>Easting (m)</t>
  </si>
  <si>
    <t>dec. deg.</t>
  </si>
  <si>
    <t>L(4) =</t>
  </si>
  <si>
    <t>Coefficients for PC to GP</t>
  </si>
  <si>
    <t>G(1) =</t>
  </si>
  <si>
    <t>Final Directional Survey Data*</t>
  </si>
  <si>
    <t>G(2) =</t>
  </si>
  <si>
    <t>SPG from Plat Lat/Long</t>
  </si>
  <si>
    <t>GEO from Plat Lat/Long</t>
  </si>
  <si>
    <t>Depth</t>
  </si>
  <si>
    <t>N-S Offset</t>
  </si>
  <si>
    <t>E-W Offset</t>
  </si>
  <si>
    <t>G(3) =</t>
  </si>
  <si>
    <t>N-S Plane</t>
  </si>
  <si>
    <t>E-W Plane</t>
  </si>
  <si>
    <t>G(4) =</t>
  </si>
  <si>
    <t>Section Corner to BHL1</t>
  </si>
  <si>
    <t>Section Corner to BHL2</t>
  </si>
  <si>
    <t>Coefficients for Grid Scale Factor</t>
  </si>
  <si>
    <t>F(1) =</t>
  </si>
  <si>
    <t>Method 2</t>
  </si>
  <si>
    <t>SP Grid at Elevation</t>
  </si>
  <si>
    <t>F(2) =</t>
  </si>
  <si>
    <t>F(3) =</t>
  </si>
  <si>
    <t>* Two points for each BHL must be in proximity having same section line bearings.</t>
  </si>
  <si>
    <t>Ellipsoid Constants</t>
  </si>
  <si>
    <t>a =</t>
  </si>
  <si>
    <t xml:space="preserve">Zone: </t>
  </si>
  <si>
    <t>b =</t>
  </si>
  <si>
    <t>Radians</t>
  </si>
  <si>
    <t>Degrees</t>
  </si>
  <si>
    <t>f =</t>
  </si>
  <si>
    <t>Calc. Conv. Angles @ SHL</t>
  </si>
  <si>
    <t>1/f =</t>
  </si>
  <si>
    <t>Calc. Scale Factor @ SHL</t>
  </si>
  <si>
    <t xml:space="preserve">e = </t>
  </si>
  <si>
    <t>Calc. Elevation Factor @ SHL</t>
  </si>
  <si>
    <t>e2 =</t>
  </si>
  <si>
    <t>FNL</t>
  </si>
  <si>
    <t>S-E</t>
  </si>
  <si>
    <t>N</t>
  </si>
  <si>
    <t>UT N 4301</t>
  </si>
  <si>
    <t>Salt Lake</t>
  </si>
  <si>
    <t>FSL</t>
  </si>
  <si>
    <t>N-E</t>
  </si>
  <si>
    <t>S</t>
  </si>
  <si>
    <t>UT C 4302</t>
  </si>
  <si>
    <t>Uintah</t>
  </si>
  <si>
    <t>Reference: U.S. Geological Survey Professional Paper 1395</t>
  </si>
  <si>
    <t>Interpolation Calculation</t>
  </si>
  <si>
    <t>dd:mm:ss to dd.ddddd Conversion</t>
  </si>
  <si>
    <t>FEL</t>
  </si>
  <si>
    <t xml:space="preserve">° </t>
  </si>
  <si>
    <t>S-W</t>
  </si>
  <si>
    <t>E</t>
  </si>
  <si>
    <t>UT S 4303</t>
  </si>
  <si>
    <t>UTM Zone 12N Parameters</t>
  </si>
  <si>
    <t>degrees</t>
  </si>
  <si>
    <t>FWL</t>
  </si>
  <si>
    <t xml:space="preserve">" </t>
  </si>
  <si>
    <t>N-W</t>
  </si>
  <si>
    <t>W</t>
  </si>
  <si>
    <t>Central Meridian =</t>
  </si>
  <si>
    <t>minutes</t>
  </si>
  <si>
    <t>FE =</t>
  </si>
  <si>
    <t>seconds</t>
  </si>
  <si>
    <t>FN =</t>
  </si>
  <si>
    <t>dd.dddddd</t>
  </si>
  <si>
    <t>k0 =</t>
  </si>
  <si>
    <t>e,2 =</t>
  </si>
  <si>
    <t>Notes</t>
  </si>
  <si>
    <t>UTM Radians</t>
  </si>
  <si>
    <t>UTM Degrees</t>
  </si>
  <si>
    <t>SP Grid Radians</t>
  </si>
  <si>
    <t>SP Grid Degrees</t>
  </si>
  <si>
    <t>Measured</t>
  </si>
  <si>
    <t>Directional Data</t>
  </si>
  <si>
    <t>Section Line Footages</t>
  </si>
  <si>
    <t>UTM Coordinates</t>
  </si>
  <si>
    <t>Corrected Directional Data to Survey Plat North Reference</t>
  </si>
  <si>
    <t>Geodetic North Convergence Angle</t>
  </si>
  <si>
    <t>For Lat/Long Calculation</t>
  </si>
  <si>
    <t>Distance and Bearing From SHL to BHL</t>
  </si>
  <si>
    <t>Qtr-Qtr</t>
  </si>
  <si>
    <t>T-Dir.</t>
  </si>
  <si>
    <t>R-Dir.</t>
  </si>
  <si>
    <t>Meridian</t>
  </si>
  <si>
    <t>Zone</t>
  </si>
  <si>
    <t>Angle:</t>
  </si>
  <si>
    <t>Scale  Fact.:</t>
  </si>
  <si>
    <t>Scale Factor</t>
  </si>
  <si>
    <t>Surface</t>
  </si>
  <si>
    <t xml:space="preserve"> Survey Plat North Reference:</t>
  </si>
  <si>
    <t>DE</t>
  </si>
  <si>
    <t>DN</t>
  </si>
  <si>
    <t>Prod. Interval Top</t>
  </si>
  <si>
    <t>Directional Survey North Reference:</t>
  </si>
  <si>
    <t>Prod. Interval Bot.</t>
  </si>
  <si>
    <t>Total Depth</t>
  </si>
  <si>
    <t>SHL to BHL3</t>
  </si>
  <si>
    <t xml:space="preserve">   Survey Plat North Reference:</t>
  </si>
  <si>
    <t>Plat Corners near BHL1</t>
  </si>
  <si>
    <t>Plat Corners near BHL2</t>
  </si>
  <si>
    <t>Plat Corners near BHL3</t>
  </si>
  <si>
    <t>Lat/Long from UTM</t>
  </si>
  <si>
    <t>E-W Line Corner</t>
  </si>
  <si>
    <t>Method 1</t>
  </si>
  <si>
    <t>True at Elevation from Plat Lat/Long</t>
  </si>
  <si>
    <t>Method 3</t>
  </si>
  <si>
    <t>State Plane Grid Coordinates</t>
  </si>
  <si>
    <t>Directional Survey Information</t>
  </si>
  <si>
    <t>N-S Line Corner</t>
  </si>
  <si>
    <t>Prod. Int. Top (BHL1)</t>
  </si>
  <si>
    <t>Survey North Reference</t>
  </si>
  <si>
    <t>Section Line Bearings</t>
  </si>
  <si>
    <t>Prod. Int. Bottoml (BHL2)</t>
  </si>
  <si>
    <t>SP Zone:</t>
  </si>
  <si>
    <t>Total Depth (BHL3)</t>
  </si>
  <si>
    <t>Section Corner to BHL3</t>
  </si>
  <si>
    <t>True at Elevation</t>
  </si>
  <si>
    <t>Slope</t>
  </si>
  <si>
    <t>Perp Slope</t>
  </si>
  <si>
    <t>Section Line to BHL</t>
  </si>
  <si>
    <t>Geo D&amp;B from Lat/Long</t>
  </si>
  <si>
    <t>From Vincenty Formula</t>
  </si>
  <si>
    <t>From UPM Coordinates</t>
  </si>
  <si>
    <t>From SP Coordinates</t>
  </si>
  <si>
    <t>E-W Line Corner to BHL1</t>
  </si>
  <si>
    <t>N-S Line Corner to BHL1</t>
  </si>
  <si>
    <t>BHL1</t>
  </si>
  <si>
    <t>E-W Line Corner to BHL2</t>
  </si>
  <si>
    <t>BHL2</t>
  </si>
  <si>
    <t>N-S Line Corner to BHL2</t>
  </si>
  <si>
    <t>BHL3</t>
  </si>
  <si>
    <t>E-W Line Corner to BHL3</t>
  </si>
  <si>
    <t>N-S Line Corner to BHL3</t>
  </si>
  <si>
    <t>BHL Lat/Long from Directional Survey True D&amp;B</t>
  </si>
  <si>
    <t>NE</t>
  </si>
  <si>
    <t>NE-NE</t>
  </si>
  <si>
    <t>NW</t>
  </si>
  <si>
    <t>NW-NE</t>
  </si>
  <si>
    <t>SW</t>
  </si>
  <si>
    <t>SW-NE</t>
  </si>
  <si>
    <t>SE</t>
  </si>
  <si>
    <t>SE-NE</t>
  </si>
  <si>
    <t>NE-NW</t>
  </si>
  <si>
    <t>NW-NW</t>
  </si>
  <si>
    <t>SW-NW</t>
  </si>
  <si>
    <t>SE-NW</t>
  </si>
  <si>
    <t>NE-SW</t>
  </si>
  <si>
    <t>NW-SW</t>
  </si>
  <si>
    <t>SW-SW</t>
  </si>
  <si>
    <t>SE-SW</t>
  </si>
  <si>
    <t>NE-SE</t>
  </si>
  <si>
    <t>NW-SE</t>
  </si>
  <si>
    <t>SW-SE</t>
  </si>
  <si>
    <t>SE-SE</t>
  </si>
  <si>
    <t>Input SHL and BHL from UTM</t>
  </si>
  <si>
    <t>Directional Survey Correction</t>
  </si>
  <si>
    <t xml:space="preserve">For single section line bearing and distance, input in green shaded area. </t>
  </si>
  <si>
    <t xml:space="preserve">For single quarter section line bearing and distance, input in either of two areas. </t>
  </si>
  <si>
    <t>Distances from Section and Quarter Corners</t>
  </si>
  <si>
    <t>Qtr-Qtr Section</t>
  </si>
  <si>
    <t>1 N-NENE</t>
  </si>
  <si>
    <t>2 N-NWNE</t>
  </si>
  <si>
    <t>3 N-NENW</t>
  </si>
  <si>
    <t>4 N-NWNW</t>
  </si>
  <si>
    <t>5 W-NWNW</t>
  </si>
  <si>
    <t>6 W-SWNW</t>
  </si>
  <si>
    <t>7 W-NWSW</t>
  </si>
  <si>
    <t>8 W-SWSW</t>
  </si>
  <si>
    <t>9 S-SWSW</t>
  </si>
  <si>
    <t>10 S-SESW</t>
  </si>
  <si>
    <t>11 S-SWSE</t>
  </si>
  <si>
    <t>12 S-SESE</t>
  </si>
  <si>
    <t>13 E-SESE</t>
  </si>
  <si>
    <t>14 E-NESE</t>
  </si>
  <si>
    <t>15 E-SENE</t>
  </si>
  <si>
    <t>16 E-NENE</t>
  </si>
  <si>
    <t>NE SC</t>
  </si>
  <si>
    <t>NW SC</t>
  </si>
  <si>
    <t>SW SC</t>
  </si>
  <si>
    <t>SE SC</t>
  </si>
  <si>
    <t>N QC</t>
  </si>
  <si>
    <t>W QC</t>
  </si>
  <si>
    <t>S QC</t>
  </si>
  <si>
    <t>E QC</t>
  </si>
  <si>
    <t>N-S &amp; E-W</t>
  </si>
  <si>
    <t>Quad</t>
  </si>
  <si>
    <t>SHL/BHL</t>
  </si>
  <si>
    <t>Qtr Section</t>
  </si>
  <si>
    <t>1 N-NE</t>
  </si>
  <si>
    <t>2 N-NW</t>
  </si>
  <si>
    <t>3 W-NW</t>
  </si>
  <si>
    <t>4 W-SW</t>
  </si>
  <si>
    <t>5 S-SW</t>
  </si>
  <si>
    <t>6 S-SE</t>
  </si>
  <si>
    <t>7 E-SE</t>
  </si>
  <si>
    <t>8 E-NE</t>
  </si>
  <si>
    <t>Closure =</t>
  </si>
  <si>
    <t>Quadrant 2</t>
  </si>
  <si>
    <t>Quadrant 1</t>
  </si>
  <si>
    <t>Cosine</t>
  </si>
  <si>
    <t>BHL</t>
  </si>
  <si>
    <t>Sec. Logic</t>
  </si>
  <si>
    <t>Quadrant 3</t>
  </si>
  <si>
    <t>Quadrant 4</t>
  </si>
  <si>
    <t>SinBo</t>
  </si>
  <si>
    <t>Quad 1 (NE)</t>
  </si>
  <si>
    <t>Quad 2 (NW)</t>
  </si>
  <si>
    <t>Quad 3 (SW)</t>
  </si>
  <si>
    <t>Quad 4 (SE)</t>
  </si>
  <si>
    <t>SHL Qtr-Qtr Logic</t>
  </si>
  <si>
    <t>SHL NE SC Calc</t>
  </si>
  <si>
    <t>SHL NW SC Calc</t>
  </si>
  <si>
    <t>SHL SW SC Calc</t>
  </si>
  <si>
    <t>SHL SE SC Calc</t>
  </si>
  <si>
    <t>BHL1 Section</t>
  </si>
  <si>
    <t>Distance from section corner</t>
  </si>
  <si>
    <t>BHL2 Section</t>
  </si>
  <si>
    <t>UTM Zone 12</t>
  </si>
  <si>
    <t>M0 =</t>
  </si>
  <si>
    <t>BHL3 Section</t>
  </si>
  <si>
    <t>BHL1 Qtr-Qtr Logic</t>
  </si>
  <si>
    <t>BHL1 NE Line Calc</t>
  </si>
  <si>
    <t>BHL1 NW Line Calc</t>
  </si>
  <si>
    <t>BHL1 SW Line Calc</t>
  </si>
  <si>
    <t>BHL1 SE Line Calc</t>
  </si>
  <si>
    <t>Calc w/o perpendicular correction</t>
  </si>
  <si>
    <t>BHL2 Qtr-Qtr Logic</t>
  </si>
  <si>
    <t>BHL2 NE Line Calc</t>
  </si>
  <si>
    <t>BHL2 NW Line Calc</t>
  </si>
  <si>
    <t>BHL3 SW Line Calc</t>
  </si>
  <si>
    <t>BHL4 SE Line Calc</t>
  </si>
  <si>
    <t>BHL3 Qtr-Qtr Logic</t>
  </si>
  <si>
    <t>BHL3 NE Line Calc</t>
  </si>
  <si>
    <t>BHL3 NW Line Calc</t>
  </si>
  <si>
    <t>BHL3 SE Line Calc</t>
  </si>
  <si>
    <t>UTM</t>
  </si>
  <si>
    <t>N-S Adjust</t>
  </si>
  <si>
    <t>E-W Adjust</t>
  </si>
  <si>
    <t>CPL</t>
  </si>
  <si>
    <t>FTL</t>
  </si>
  <si>
    <t>Yes</t>
  </si>
  <si>
    <t>No</t>
  </si>
  <si>
    <t>State Plane Coordinates from Lat/Long</t>
  </si>
  <si>
    <t>Survey Plat Section Line Footages</t>
  </si>
  <si>
    <t>Latitude (dd.ddddd)</t>
  </si>
  <si>
    <t>Longitude (dd.ddddd)</t>
  </si>
  <si>
    <t>Northing (feet)</t>
  </si>
  <si>
    <t>Easting (feet)</t>
  </si>
  <si>
    <t>Well SHL</t>
  </si>
  <si>
    <t>Corrected Grid Distances to Plat North</t>
  </si>
  <si>
    <t>Nearest Section Corner to SHL/BHL</t>
  </si>
  <si>
    <t>Calculated Section Line Footages</t>
  </si>
  <si>
    <t>Angle</t>
  </si>
  <si>
    <t>Directional Survey Interpolation</t>
  </si>
  <si>
    <t>MD</t>
  </si>
  <si>
    <t>Data 1</t>
  </si>
  <si>
    <t>Data 2</t>
  </si>
  <si>
    <t>Convergence Angle</t>
  </si>
  <si>
    <t>(d.dddd)</t>
  </si>
  <si>
    <t>Survey Pt. 1</t>
  </si>
  <si>
    <t>Survey Pt. 2</t>
  </si>
  <si>
    <t>Ref. Depth</t>
  </si>
  <si>
    <t>Mag</t>
  </si>
  <si>
    <t>Plat North Reference</t>
  </si>
  <si>
    <t>SHL NE Line Calc</t>
  </si>
  <si>
    <t>SHL NW Line Calc</t>
  </si>
  <si>
    <t>SHL SW Line Calc</t>
  </si>
  <si>
    <t>SHL SE Line Calc</t>
  </si>
  <si>
    <t>Section 6</t>
  </si>
  <si>
    <t>Plat Lat/Long</t>
  </si>
  <si>
    <t>SP Grid</t>
  </si>
  <si>
    <t>Bearing (dd.dd)</t>
  </si>
  <si>
    <t>NW-SC</t>
  </si>
  <si>
    <t>NW-QQ</t>
  </si>
  <si>
    <t>W-QC</t>
  </si>
  <si>
    <t>SW-SC</t>
  </si>
  <si>
    <t>W-QQ</t>
  </si>
  <si>
    <t>NE-SC</t>
  </si>
  <si>
    <t>E-QQ</t>
  </si>
  <si>
    <t>Plat Well Locations</t>
  </si>
  <si>
    <t>Plat SHL</t>
  </si>
  <si>
    <t>Plat BHL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</si>
</sst>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0.00000"/>
    <numFmt numFmtId="165" formatCode="0.0"/>
    <numFmt numFmtId="166" formatCode="0.0000"/>
    <numFmt numFmtId="167" formatCode="0.000"/>
    <numFmt numFmtId="168" formatCode="0.000000"/>
    <numFmt numFmtId="169" formatCode="#,##0.00000"/>
    <numFmt numFmtId="170" formatCode="0.00000000"/>
    <numFmt numFmtId="171" formatCode="0.000000000"/>
    <numFmt numFmtId="172" formatCode="0.0000000"/>
    <numFmt numFmtId="173" formatCode="_(* #,##0_);_(* \(#,##0\);_(* &quot;-&quot;??_);_(@_)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sz val="12"/>
      <color theme="8" tint="-0.249977111117893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theme="1"/>
      <name val="Symbol"/>
      <family val="1"/>
      <charset val="2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Down"/>
    </fill>
    <fill>
      <patternFill patternType="solid">
        <fgColor theme="8" tint="0.79998168889431442"/>
        <bgColor indexed="64"/>
      </patternFill>
    </fill>
    <fill>
      <patternFill patternType="lightUp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-0.249977111117893"/>
        <bgColor indexed="64"/>
      </patternFill>
    </fill>
  </fills>
  <borders count="15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">
        <color indexed="64"/>
      </top>
      <bottom/>
      <diagonal/>
    </border>
    <border>
      <left style="mediumDashed">
        <color indexed="64"/>
      </left>
      <right/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thin">
        <color indexed="64"/>
      </top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auto="1"/>
      </bottom>
      <diagonal/>
    </border>
    <border>
      <left style="thin">
        <color indexed="64"/>
      </left>
      <right/>
      <top style="dotted">
        <color auto="1"/>
      </top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tted">
        <color auto="1"/>
      </bottom>
      <diagonal/>
    </border>
    <border>
      <left/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/>
      <top style="dotted">
        <color auto="1"/>
      </top>
      <bottom style="dotted">
        <color auto="1"/>
      </bottom>
      <diagonal/>
    </border>
    <border>
      <left/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auto="1"/>
      </top>
      <bottom style="medium">
        <color indexed="64"/>
      </bottom>
      <diagonal/>
    </border>
    <border>
      <left/>
      <right/>
      <top style="dotted">
        <color auto="1"/>
      </top>
      <bottom style="medium">
        <color indexed="64"/>
      </bottom>
      <diagonal/>
    </border>
    <border>
      <left/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auto="1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auto="1"/>
      </bottom>
      <diagonal/>
    </border>
    <border>
      <left/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tted">
        <color auto="1"/>
      </top>
      <bottom style="thin">
        <color indexed="64"/>
      </bottom>
      <diagonal/>
    </border>
    <border>
      <left/>
      <right style="thin">
        <color indexed="64"/>
      </right>
      <top style="dotted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tted">
        <color auto="1"/>
      </top>
      <bottom style="dashed">
        <color indexed="64"/>
      </bottom>
      <diagonal/>
    </border>
    <border>
      <left/>
      <right style="medium">
        <color indexed="64"/>
      </right>
      <top style="dotted">
        <color auto="1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auto="1"/>
      </right>
      <top style="dashed">
        <color indexed="64"/>
      </top>
      <bottom style="dashed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6" fillId="0" borderId="0"/>
  </cellStyleXfs>
  <cellXfs count="978">
    <xf numFmtId="0" fontId="0" fillId="0" borderId="0" xfId="0"/>
    <xf numFmtId="0" fontId="0" fillId="0" borderId="0" xfId="0" applyAlignment="1">
      <alignment horizont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Alignment="1">
      <alignment horizontal="right" wrapText="1"/>
    </xf>
    <xf numFmtId="0" fontId="3" fillId="0" borderId="0" xfId="0" applyFont="1" applyAlignment="1">
      <alignment horizontal="center" wrapText="1"/>
    </xf>
    <xf numFmtId="0" fontId="3" fillId="0" borderId="0" xfId="0" applyFont="1"/>
    <xf numFmtId="0" fontId="3" fillId="0" borderId="0" xfId="0" applyFont="1" applyAlignment="1">
      <alignment horizontal="center" vertical="top"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0" borderId="19" xfId="0" applyFont="1" applyBorder="1" applyAlignment="1">
      <alignment horizontal="right" vertical="center"/>
    </xf>
    <xf numFmtId="0" fontId="3" fillId="0" borderId="0" xfId="0" applyFont="1" applyAlignment="1">
      <alignment horizontal="left" wrapText="1"/>
    </xf>
    <xf numFmtId="0" fontId="4" fillId="0" borderId="0" xfId="0" applyFont="1" applyAlignment="1">
      <alignment horizontal="right"/>
    </xf>
    <xf numFmtId="164" fontId="3" fillId="0" borderId="0" xfId="0" applyNumberFormat="1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right" vertical="center"/>
    </xf>
    <xf numFmtId="0" fontId="3" fillId="0" borderId="20" xfId="0" applyFont="1" applyBorder="1" applyAlignment="1">
      <alignment horizontal="center"/>
    </xf>
    <xf numFmtId="1" fontId="3" fillId="0" borderId="21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0" fontId="4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15" xfId="0" applyBorder="1"/>
    <xf numFmtId="0" fontId="3" fillId="0" borderId="27" xfId="0" applyFont="1" applyBorder="1"/>
    <xf numFmtId="0" fontId="3" fillId="0" borderId="28" xfId="0" applyFont="1" applyBorder="1"/>
    <xf numFmtId="0" fontId="3" fillId="0" borderId="0" xfId="0" applyFont="1" applyAlignment="1">
      <alignment horizontal="right"/>
    </xf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0" fontId="0" fillId="0" borderId="28" xfId="0" applyBorder="1"/>
    <xf numFmtId="0" fontId="0" fillId="0" borderId="0" xfId="0" applyAlignment="1">
      <alignment horizontal="left"/>
    </xf>
    <xf numFmtId="1" fontId="3" fillId="0" borderId="0" xfId="0" applyNumberFormat="1" applyFont="1"/>
    <xf numFmtId="1" fontId="3" fillId="0" borderId="33" xfId="0" applyNumberFormat="1" applyFont="1" applyBorder="1" applyAlignment="1">
      <alignment horizontal="right"/>
    </xf>
    <xf numFmtId="1" fontId="3" fillId="4" borderId="21" xfId="0" applyNumberFormat="1" applyFont="1" applyFill="1" applyBorder="1" applyAlignment="1">
      <alignment horizontal="right"/>
    </xf>
    <xf numFmtId="1" fontId="3" fillId="4" borderId="22" xfId="0" applyNumberFormat="1" applyFont="1" applyFill="1" applyBorder="1" applyAlignment="1">
      <alignment horizontal="right"/>
    </xf>
    <xf numFmtId="1" fontId="3" fillId="0" borderId="27" xfId="0" applyNumberFormat="1" applyFont="1" applyBorder="1"/>
    <xf numFmtId="1" fontId="3" fillId="0" borderId="28" xfId="0" applyNumberFormat="1" applyFont="1" applyBorder="1"/>
    <xf numFmtId="1" fontId="3" fillId="4" borderId="33" xfId="0" applyNumberFormat="1" applyFont="1" applyFill="1" applyBorder="1" applyAlignment="1">
      <alignment horizontal="right"/>
    </xf>
    <xf numFmtId="0" fontId="4" fillId="0" borderId="0" xfId="0" applyFont="1"/>
    <xf numFmtId="0" fontId="3" fillId="0" borderId="2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0" fontId="1" fillId="3" borderId="0" xfId="0" applyFont="1" applyFill="1" applyAlignment="1">
      <alignment horizontal="left"/>
    </xf>
    <xf numFmtId="0" fontId="1" fillId="0" borderId="32" xfId="0" applyFont="1" applyBorder="1" applyAlignment="1">
      <alignment horizontal="center"/>
    </xf>
    <xf numFmtId="0" fontId="1" fillId="0" borderId="2" xfId="0" applyFont="1" applyBorder="1"/>
    <xf numFmtId="0" fontId="1" fillId="0" borderId="15" xfId="0" applyFont="1" applyBorder="1"/>
    <xf numFmtId="0" fontId="1" fillId="0" borderId="44" xfId="0" applyFont="1" applyBorder="1" applyAlignment="1">
      <alignment horizontal="center" wrapText="1"/>
    </xf>
    <xf numFmtId="0" fontId="2" fillId="0" borderId="15" xfId="0" applyFont="1" applyBorder="1"/>
    <xf numFmtId="0" fontId="1" fillId="0" borderId="48" xfId="0" applyFont="1" applyBorder="1" applyAlignment="1">
      <alignment horizontal="center"/>
    </xf>
    <xf numFmtId="1" fontId="1" fillId="0" borderId="38" xfId="0" applyNumberFormat="1" applyFont="1" applyBorder="1" applyAlignment="1">
      <alignment horizontal="center"/>
    </xf>
    <xf numFmtId="1" fontId="1" fillId="0" borderId="37" xfId="0" applyNumberFormat="1" applyFont="1" applyBorder="1" applyAlignment="1">
      <alignment horizontal="center"/>
    </xf>
    <xf numFmtId="1" fontId="1" fillId="0" borderId="37" xfId="0" applyNumberFormat="1" applyFont="1" applyBorder="1"/>
    <xf numFmtId="1" fontId="1" fillId="0" borderId="52" xfId="0" applyNumberFormat="1" applyFont="1" applyBorder="1"/>
    <xf numFmtId="1" fontId="1" fillId="0" borderId="56" xfId="0" applyNumberFormat="1" applyFont="1" applyBorder="1" applyAlignment="1">
      <alignment horizontal="center"/>
    </xf>
    <xf numFmtId="1" fontId="1" fillId="0" borderId="56" xfId="0" applyNumberFormat="1" applyFont="1" applyBorder="1"/>
    <xf numFmtId="1" fontId="1" fillId="0" borderId="57" xfId="0" applyNumberFormat="1" applyFont="1" applyBorder="1"/>
    <xf numFmtId="0" fontId="0" fillId="3" borderId="0" xfId="0" applyFill="1" applyAlignment="1">
      <alignment horizontal="left"/>
    </xf>
    <xf numFmtId="1" fontId="1" fillId="0" borderId="39" xfId="0" applyNumberFormat="1" applyFont="1" applyBorder="1"/>
    <xf numFmtId="1" fontId="1" fillId="0" borderId="38" xfId="0" applyNumberFormat="1" applyFont="1" applyBorder="1"/>
    <xf numFmtId="1" fontId="1" fillId="0" borderId="40" xfId="0" applyNumberFormat="1" applyFont="1" applyBorder="1"/>
    <xf numFmtId="1" fontId="1" fillId="0" borderId="55" xfId="0" applyNumberFormat="1" applyFont="1" applyBorder="1"/>
    <xf numFmtId="1" fontId="1" fillId="0" borderId="43" xfId="0" applyNumberFormat="1" applyFont="1" applyBorder="1" applyAlignment="1">
      <alignment horizontal="center"/>
    </xf>
    <xf numFmtId="1" fontId="1" fillId="0" borderId="42" xfId="0" applyNumberFormat="1" applyFont="1" applyBorder="1" applyAlignment="1">
      <alignment horizontal="center"/>
    </xf>
    <xf numFmtId="1" fontId="1" fillId="0" borderId="54" xfId="0" applyNumberFormat="1" applyFont="1" applyBorder="1" applyAlignment="1">
      <alignment horizontal="center"/>
    </xf>
    <xf numFmtId="1" fontId="1" fillId="0" borderId="40" xfId="0" applyNumberFormat="1" applyFont="1" applyBorder="1" applyAlignment="1">
      <alignment horizontal="right"/>
    </xf>
    <xf numFmtId="1" fontId="1" fillId="0" borderId="55" xfId="0" applyNumberFormat="1" applyFont="1" applyBorder="1" applyAlignment="1">
      <alignment horizontal="right"/>
    </xf>
    <xf numFmtId="0" fontId="3" fillId="0" borderId="22" xfId="0" applyFont="1" applyBorder="1" applyAlignment="1">
      <alignment horizontal="right"/>
    </xf>
    <xf numFmtId="1" fontId="3" fillId="0" borderId="20" xfId="0" applyNumberFormat="1" applyFont="1" applyBorder="1"/>
    <xf numFmtId="0" fontId="3" fillId="6" borderId="0" xfId="0" applyFont="1" applyFill="1"/>
    <xf numFmtId="0" fontId="3" fillId="6" borderId="0" xfId="0" applyFont="1" applyFill="1" applyAlignment="1">
      <alignment horizontal="center"/>
    </xf>
    <xf numFmtId="1" fontId="3" fillId="0" borderId="32" xfId="0" applyNumberFormat="1" applyFont="1" applyBorder="1"/>
    <xf numFmtId="1" fontId="3" fillId="0" borderId="24" xfId="0" applyNumberFormat="1" applyFont="1" applyBorder="1"/>
    <xf numFmtId="1" fontId="3" fillId="0" borderId="25" xfId="0" applyNumberFormat="1" applyFont="1" applyBorder="1"/>
    <xf numFmtId="1" fontId="3" fillId="0" borderId="26" xfId="0" applyNumberFormat="1" applyFont="1" applyBorder="1"/>
    <xf numFmtId="0" fontId="3" fillId="7" borderId="25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3" fillId="7" borderId="35" xfId="0" applyFont="1" applyFill="1" applyBorder="1" applyAlignment="1">
      <alignment horizontal="center"/>
    </xf>
    <xf numFmtId="0" fontId="3" fillId="8" borderId="23" xfId="0" applyFont="1" applyFill="1" applyBorder="1"/>
    <xf numFmtId="1" fontId="3" fillId="8" borderId="23" xfId="0" applyNumberFormat="1" applyFont="1" applyFill="1" applyBorder="1"/>
    <xf numFmtId="0" fontId="0" fillId="2" borderId="0" xfId="0" applyFill="1" applyAlignment="1">
      <alignment horizontal="left"/>
    </xf>
    <xf numFmtId="0" fontId="0" fillId="2" borderId="0" xfId="0" applyFill="1"/>
    <xf numFmtId="0" fontId="3" fillId="9" borderId="28" xfId="0" applyFont="1" applyFill="1" applyBorder="1" applyAlignment="1">
      <alignment horizontal="center"/>
    </xf>
    <xf numFmtId="0" fontId="3" fillId="9" borderId="0" xfId="0" applyFont="1" applyFill="1" applyAlignment="1">
      <alignment horizontal="center"/>
    </xf>
    <xf numFmtId="1" fontId="3" fillId="9" borderId="22" xfId="0" applyNumberFormat="1" applyFont="1" applyFill="1" applyBorder="1"/>
    <xf numFmtId="1" fontId="1" fillId="0" borderId="36" xfId="0" applyNumberFormat="1" applyFont="1" applyBorder="1" applyAlignment="1">
      <alignment horizontal="center"/>
    </xf>
    <xf numFmtId="0" fontId="8" fillId="8" borderId="30" xfId="0" applyFont="1" applyFill="1" applyBorder="1" applyAlignment="1">
      <alignment horizontal="left"/>
    </xf>
    <xf numFmtId="0" fontId="8" fillId="8" borderId="0" xfId="0" applyFont="1" applyFill="1" applyAlignment="1">
      <alignment horizontal="left"/>
    </xf>
    <xf numFmtId="1" fontId="1" fillId="0" borderId="39" xfId="0" applyNumberFormat="1" applyFont="1" applyBorder="1" applyAlignment="1">
      <alignment horizontal="right"/>
    </xf>
    <xf numFmtId="1" fontId="1" fillId="0" borderId="36" xfId="0" applyNumberFormat="1" applyFont="1" applyBorder="1"/>
    <xf numFmtId="1" fontId="1" fillId="0" borderId="50" xfId="0" applyNumberFormat="1" applyFont="1" applyBorder="1"/>
    <xf numFmtId="0" fontId="1" fillId="0" borderId="0" xfId="0" applyFont="1" applyProtection="1">
      <protection locked="0"/>
    </xf>
    <xf numFmtId="1" fontId="1" fillId="0" borderId="43" xfId="0" applyNumberFormat="1" applyFont="1" applyBorder="1" applyAlignment="1" applyProtection="1">
      <alignment horizontal="center"/>
      <protection locked="0"/>
    </xf>
    <xf numFmtId="1" fontId="1" fillId="0" borderId="37" xfId="0" applyNumberFormat="1" applyFont="1" applyBorder="1" applyAlignment="1" applyProtection="1">
      <alignment horizontal="center"/>
      <protection locked="0"/>
    </xf>
    <xf numFmtId="1" fontId="1" fillId="0" borderId="56" xfId="0" applyNumberFormat="1" applyFont="1" applyBorder="1" applyAlignment="1" applyProtection="1">
      <alignment horizontal="center"/>
      <protection locked="0"/>
    </xf>
    <xf numFmtId="1" fontId="1" fillId="2" borderId="36" xfId="0" applyNumberFormat="1" applyFont="1" applyFill="1" applyBorder="1" applyAlignment="1" applyProtection="1">
      <alignment horizontal="center"/>
      <protection locked="0"/>
    </xf>
    <xf numFmtId="1" fontId="1" fillId="2" borderId="38" xfId="0" applyNumberFormat="1" applyFont="1" applyFill="1" applyBorder="1" applyAlignment="1" applyProtection="1">
      <alignment horizontal="center"/>
      <protection locked="0"/>
    </xf>
    <xf numFmtId="1" fontId="1" fillId="0" borderId="38" xfId="0" applyNumberFormat="1" applyFont="1" applyBorder="1" applyProtection="1">
      <protection locked="0"/>
    </xf>
    <xf numFmtId="2" fontId="3" fillId="2" borderId="0" xfId="0" applyNumberFormat="1" applyFont="1" applyFill="1" applyProtection="1"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2" fontId="3" fillId="2" borderId="15" xfId="0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24" xfId="0" applyFont="1" applyBorder="1"/>
    <xf numFmtId="0" fontId="3" fillId="0" borderId="32" xfId="0" applyFont="1" applyBorder="1"/>
    <xf numFmtId="1" fontId="1" fillId="2" borderId="50" xfId="0" applyNumberFormat="1" applyFont="1" applyFill="1" applyBorder="1" applyAlignment="1" applyProtection="1">
      <alignment horizontal="center"/>
      <protection locked="0"/>
    </xf>
    <xf numFmtId="1" fontId="1" fillId="0" borderId="52" xfId="0" applyNumberFormat="1" applyFont="1" applyBorder="1" applyAlignment="1">
      <alignment horizontal="center"/>
    </xf>
    <xf numFmtId="1" fontId="1" fillId="0" borderId="57" xfId="0" applyNumberFormat="1" applyFont="1" applyBorder="1" applyAlignment="1">
      <alignment horizontal="center"/>
    </xf>
    <xf numFmtId="0" fontId="1" fillId="2" borderId="28" xfId="0" applyFont="1" applyFill="1" applyBorder="1" applyProtection="1">
      <protection locked="0"/>
    </xf>
    <xf numFmtId="0" fontId="1" fillId="2" borderId="32" xfId="0" applyFont="1" applyFill="1" applyBorder="1" applyProtection="1">
      <protection locked="0"/>
    </xf>
    <xf numFmtId="1" fontId="1" fillId="0" borderId="38" xfId="0" applyNumberFormat="1" applyFont="1" applyBorder="1" applyAlignment="1" applyProtection="1">
      <alignment horizontal="center"/>
      <protection locked="0"/>
    </xf>
    <xf numFmtId="0" fontId="3" fillId="6" borderId="0" xfId="0" quotePrefix="1" applyFont="1" applyFill="1"/>
    <xf numFmtId="0" fontId="1" fillId="0" borderId="23" xfId="0" applyFont="1" applyBorder="1"/>
    <xf numFmtId="0" fontId="1" fillId="0" borderId="24" xfId="0" applyFont="1" applyBorder="1"/>
    <xf numFmtId="0" fontId="0" fillId="0" borderId="59" xfId="0" applyBorder="1"/>
    <xf numFmtId="1" fontId="1" fillId="0" borderId="64" xfId="0" applyNumberFormat="1" applyFont="1" applyBorder="1" applyAlignment="1">
      <alignment horizontal="center"/>
    </xf>
    <xf numFmtId="1" fontId="1" fillId="0" borderId="51" xfId="0" applyNumberFormat="1" applyFont="1" applyBorder="1"/>
    <xf numFmtId="1" fontId="1" fillId="0" borderId="52" xfId="0" applyNumberFormat="1" applyFont="1" applyBorder="1" applyAlignment="1" applyProtection="1">
      <alignment horizontal="center"/>
      <protection locked="0"/>
    </xf>
    <xf numFmtId="1" fontId="1" fillId="0" borderId="53" xfId="0" applyNumberFormat="1" applyFont="1" applyBorder="1"/>
    <xf numFmtId="1" fontId="1" fillId="0" borderId="57" xfId="0" applyNumberFormat="1" applyFont="1" applyBorder="1" applyAlignment="1" applyProtection="1">
      <alignment horizontal="center"/>
      <protection locked="0"/>
    </xf>
    <xf numFmtId="1" fontId="1" fillId="0" borderId="63" xfId="0" applyNumberFormat="1" applyFont="1" applyBorder="1" applyAlignment="1">
      <alignment horizontal="right"/>
    </xf>
    <xf numFmtId="0" fontId="0" fillId="0" borderId="37" xfId="0" applyBorder="1"/>
    <xf numFmtId="0" fontId="0" fillId="0" borderId="42" xfId="0" applyBorder="1"/>
    <xf numFmtId="0" fontId="1" fillId="0" borderId="39" xfId="0" applyFont="1" applyBorder="1" applyAlignment="1">
      <alignment horizontal="left"/>
    </xf>
    <xf numFmtId="0" fontId="1" fillId="0" borderId="38" xfId="0" applyFont="1" applyBorder="1"/>
    <xf numFmtId="0" fontId="1" fillId="0" borderId="38" xfId="0" applyFont="1" applyBorder="1" applyAlignment="1">
      <alignment horizontal="center"/>
    </xf>
    <xf numFmtId="164" fontId="3" fillId="0" borderId="0" xfId="0" applyNumberFormat="1" applyFont="1" applyAlignment="1">
      <alignment horizontal="right"/>
    </xf>
    <xf numFmtId="0" fontId="0" fillId="0" borderId="0" xfId="0" applyAlignment="1" applyProtection="1">
      <alignment horizontal="center"/>
      <protection locked="0"/>
    </xf>
    <xf numFmtId="1" fontId="1" fillId="0" borderId="65" xfId="0" applyNumberFormat="1" applyFont="1" applyBorder="1"/>
    <xf numFmtId="0" fontId="0" fillId="0" borderId="0" xfId="0" quotePrefix="1"/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/>
    <xf numFmtId="0" fontId="3" fillId="8" borderId="0" xfId="0" applyFont="1" applyFill="1"/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right" wrapText="1"/>
    </xf>
    <xf numFmtId="1" fontId="0" fillId="0" borderId="0" xfId="0" applyNumberFormat="1"/>
    <xf numFmtId="0" fontId="10" fillId="0" borderId="0" xfId="0" applyFont="1" applyAlignment="1">
      <alignment horizontal="center"/>
    </xf>
    <xf numFmtId="0" fontId="3" fillId="0" borderId="35" xfId="0" applyFont="1" applyBorder="1" applyAlignment="1">
      <alignment horizontal="center"/>
    </xf>
    <xf numFmtId="1" fontId="3" fillId="0" borderId="29" xfId="0" applyNumberFormat="1" applyFont="1" applyBorder="1"/>
    <xf numFmtId="1" fontId="3" fillId="0" borderId="31" xfId="0" applyNumberFormat="1" applyFont="1" applyBorder="1"/>
    <xf numFmtId="0" fontId="11" fillId="0" borderId="0" xfId="0" applyFont="1"/>
    <xf numFmtId="2" fontId="3" fillId="2" borderId="0" xfId="0" applyNumberFormat="1" applyFont="1" applyFill="1" applyAlignment="1" applyProtection="1">
      <alignment horizontal="center"/>
      <protection locked="0"/>
    </xf>
    <xf numFmtId="0" fontId="3" fillId="8" borderId="0" xfId="0" applyFont="1" applyFill="1" applyAlignment="1">
      <alignment horizontal="left"/>
    </xf>
    <xf numFmtId="1" fontId="2" fillId="0" borderId="0" xfId="0" applyNumberFormat="1" applyFont="1"/>
    <xf numFmtId="1" fontId="1" fillId="2" borderId="37" xfId="0" applyNumberFormat="1" applyFont="1" applyFill="1" applyBorder="1" applyAlignment="1" applyProtection="1">
      <alignment horizontal="center"/>
      <protection locked="0"/>
    </xf>
    <xf numFmtId="1" fontId="1" fillId="2" borderId="56" xfId="0" applyNumberFormat="1" applyFont="1" applyFill="1" applyBorder="1" applyAlignment="1" applyProtection="1">
      <alignment horizontal="center"/>
      <protection locked="0"/>
    </xf>
    <xf numFmtId="0" fontId="1" fillId="0" borderId="15" xfId="0" applyFont="1" applyBorder="1" applyAlignment="1">
      <alignment vertical="top"/>
    </xf>
    <xf numFmtId="0" fontId="1" fillId="6" borderId="0" xfId="0" applyFont="1" applyFill="1" applyAlignment="1">
      <alignment horizontal="right"/>
    </xf>
    <xf numFmtId="0" fontId="3" fillId="6" borderId="0" xfId="0" applyFont="1" applyFill="1" applyAlignment="1" applyProtection="1">
      <alignment horizontal="center"/>
      <protection locked="0"/>
    </xf>
    <xf numFmtId="0" fontId="2" fillId="0" borderId="16" xfId="0" applyFont="1" applyBorder="1"/>
    <xf numFmtId="0" fontId="1" fillId="0" borderId="29" xfId="0" applyFont="1" applyBorder="1"/>
    <xf numFmtId="0" fontId="1" fillId="0" borderId="30" xfId="0" applyFont="1" applyBorder="1"/>
    <xf numFmtId="0" fontId="0" fillId="0" borderId="31" xfId="0" applyBorder="1"/>
    <xf numFmtId="0" fontId="1" fillId="0" borderId="27" xfId="0" applyFont="1" applyBorder="1"/>
    <xf numFmtId="1" fontId="1" fillId="2" borderId="28" xfId="0" applyNumberFormat="1" applyFont="1" applyFill="1" applyBorder="1" applyProtection="1">
      <protection locked="0"/>
    </xf>
    <xf numFmtId="2" fontId="1" fillId="2" borderId="32" xfId="0" applyNumberFormat="1" applyFont="1" applyFill="1" applyBorder="1" applyProtection="1">
      <protection locked="0"/>
    </xf>
    <xf numFmtId="0" fontId="1" fillId="0" borderId="28" xfId="0" applyFont="1" applyBorder="1"/>
    <xf numFmtId="0" fontId="1" fillId="0" borderId="28" xfId="0" applyFont="1" applyBorder="1" applyAlignment="1">
      <alignment horizontal="right"/>
    </xf>
    <xf numFmtId="0" fontId="1" fillId="0" borderId="32" xfId="0" applyFont="1" applyBorder="1" applyAlignment="1">
      <alignment horizontal="right"/>
    </xf>
    <xf numFmtId="1" fontId="1" fillId="0" borderId="0" xfId="0" applyNumberFormat="1" applyFont="1"/>
    <xf numFmtId="1" fontId="4" fillId="0" borderId="0" xfId="0" applyNumberFormat="1" applyFont="1" applyAlignment="1">
      <alignment horizontal="center"/>
    </xf>
    <xf numFmtId="0" fontId="12" fillId="0" borderId="0" xfId="0" quotePrefix="1" applyFont="1"/>
    <xf numFmtId="1" fontId="4" fillId="0" borderId="0" xfId="0" applyNumberFormat="1" applyFont="1"/>
    <xf numFmtId="0" fontId="0" fillId="0" borderId="4" xfId="0" applyBorder="1" applyAlignment="1">
      <alignment horizontal="right"/>
    </xf>
    <xf numFmtId="1" fontId="1" fillId="0" borderId="58" xfId="0" applyNumberFormat="1" applyFont="1" applyBorder="1"/>
    <xf numFmtId="1" fontId="1" fillId="0" borderId="1" xfId="0" applyNumberFormat="1" applyFont="1" applyBorder="1"/>
    <xf numFmtId="0" fontId="1" fillId="0" borderId="66" xfId="0" applyFont="1" applyBorder="1" applyAlignment="1">
      <alignment horizontal="center"/>
    </xf>
    <xf numFmtId="1" fontId="13" fillId="0" borderId="39" xfId="0" applyNumberFormat="1" applyFont="1" applyBorder="1"/>
    <xf numFmtId="1" fontId="13" fillId="0" borderId="38" xfId="0" applyNumberFormat="1" applyFont="1" applyBorder="1" applyAlignment="1">
      <alignment horizontal="center"/>
    </xf>
    <xf numFmtId="1" fontId="13" fillId="0" borderId="38" xfId="0" applyNumberFormat="1" applyFont="1" applyBorder="1"/>
    <xf numFmtId="1" fontId="13" fillId="0" borderId="43" xfId="0" applyNumberFormat="1" applyFont="1" applyBorder="1" applyAlignment="1">
      <alignment horizontal="center"/>
    </xf>
    <xf numFmtId="1" fontId="13" fillId="0" borderId="65" xfId="0" applyNumberFormat="1" applyFont="1" applyBorder="1"/>
    <xf numFmtId="1" fontId="13" fillId="0" borderId="37" xfId="0" applyNumberFormat="1" applyFont="1" applyBorder="1" applyAlignment="1">
      <alignment horizontal="center"/>
    </xf>
    <xf numFmtId="1" fontId="13" fillId="0" borderId="36" xfId="0" applyNumberFormat="1" applyFont="1" applyBorder="1"/>
    <xf numFmtId="1" fontId="13" fillId="0" borderId="42" xfId="0" applyNumberFormat="1" applyFont="1" applyBorder="1" applyAlignment="1">
      <alignment horizontal="center"/>
    </xf>
    <xf numFmtId="1" fontId="13" fillId="0" borderId="40" xfId="0" applyNumberFormat="1" applyFont="1" applyBorder="1"/>
    <xf numFmtId="1" fontId="13" fillId="0" borderId="37" xfId="0" applyNumberFormat="1" applyFont="1" applyBorder="1"/>
    <xf numFmtId="1" fontId="13" fillId="0" borderId="55" xfId="0" applyNumberFormat="1" applyFont="1" applyBorder="1"/>
    <xf numFmtId="1" fontId="13" fillId="0" borderId="56" xfId="0" applyNumberFormat="1" applyFont="1" applyBorder="1" applyAlignment="1">
      <alignment horizontal="center"/>
    </xf>
    <xf numFmtId="1" fontId="13" fillId="0" borderId="56" xfId="0" applyNumberFormat="1" applyFont="1" applyBorder="1"/>
    <xf numFmtId="1" fontId="13" fillId="0" borderId="54" xfId="0" applyNumberFormat="1" applyFont="1" applyBorder="1" applyAlignment="1">
      <alignment horizontal="center"/>
    </xf>
    <xf numFmtId="1" fontId="3" fillId="0" borderId="0" xfId="0" applyNumberFormat="1" applyFont="1" applyAlignment="1">
      <alignment horizontal="right"/>
    </xf>
    <xf numFmtId="0" fontId="1" fillId="0" borderId="43" xfId="0" applyFont="1" applyBorder="1" applyAlignment="1">
      <alignment horizontal="center"/>
    </xf>
    <xf numFmtId="164" fontId="1" fillId="0" borderId="75" xfId="0" applyNumberFormat="1" applyFont="1" applyBorder="1" applyAlignment="1">
      <alignment horizontal="center" vertical="center"/>
    </xf>
    <xf numFmtId="164" fontId="1" fillId="0" borderId="77" xfId="0" applyNumberFormat="1" applyFont="1" applyBorder="1" applyAlignment="1">
      <alignment horizontal="center" vertical="center"/>
    </xf>
    <xf numFmtId="164" fontId="0" fillId="2" borderId="0" xfId="0" applyNumberFormat="1" applyFill="1" applyProtection="1">
      <protection locked="0"/>
    </xf>
    <xf numFmtId="1" fontId="0" fillId="0" borderId="29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0" xfId="0" applyNumberFormat="1"/>
    <xf numFmtId="0" fontId="0" fillId="0" borderId="27" xfId="0" applyBorder="1"/>
    <xf numFmtId="2" fontId="0" fillId="0" borderId="32" xfId="0" applyNumberFormat="1" applyBorder="1" applyAlignment="1">
      <alignment horizontal="center"/>
    </xf>
    <xf numFmtId="168" fontId="0" fillId="0" borderId="23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2" fontId="3" fillId="2" borderId="15" xfId="0" applyNumberFormat="1" applyFont="1" applyFill="1" applyBorder="1" applyAlignment="1" applyProtection="1">
      <alignment horizontal="center"/>
      <protection locked="0"/>
    </xf>
    <xf numFmtId="0" fontId="1" fillId="0" borderId="16" xfId="0" applyFont="1" applyBorder="1"/>
    <xf numFmtId="1" fontId="1" fillId="10" borderId="55" xfId="0" applyNumberFormat="1" applyFont="1" applyFill="1" applyBorder="1" applyProtection="1">
      <protection locked="0"/>
    </xf>
    <xf numFmtId="1" fontId="0" fillId="10" borderId="58" xfId="0" applyNumberFormat="1" applyFill="1" applyBorder="1" applyProtection="1">
      <protection locked="0"/>
    </xf>
    <xf numFmtId="1" fontId="0" fillId="10" borderId="1" xfId="0" applyNumberFormat="1" applyFill="1" applyBorder="1" applyProtection="1">
      <protection locked="0"/>
    </xf>
    <xf numFmtId="1" fontId="1" fillId="10" borderId="39" xfId="0" applyNumberFormat="1" applyFont="1" applyFill="1" applyBorder="1" applyProtection="1">
      <protection locked="0"/>
    </xf>
    <xf numFmtId="1" fontId="1" fillId="10" borderId="38" xfId="0" applyNumberFormat="1" applyFont="1" applyFill="1" applyBorder="1" applyProtection="1">
      <protection locked="0"/>
    </xf>
    <xf numFmtId="1" fontId="1" fillId="10" borderId="39" xfId="0" applyNumberFormat="1" applyFont="1" applyFill="1" applyBorder="1" applyAlignment="1" applyProtection="1">
      <alignment horizontal="right"/>
      <protection locked="0"/>
    </xf>
    <xf numFmtId="1" fontId="1" fillId="10" borderId="36" xfId="0" applyNumberFormat="1" applyFont="1" applyFill="1" applyBorder="1" applyProtection="1">
      <protection locked="0"/>
    </xf>
    <xf numFmtId="1" fontId="1" fillId="2" borderId="89" xfId="0" applyNumberFormat="1" applyFont="1" applyFill="1" applyBorder="1" applyAlignment="1" applyProtection="1">
      <alignment horizontal="center"/>
      <protection locked="0"/>
    </xf>
    <xf numFmtId="0" fontId="1" fillId="11" borderId="60" xfId="0" applyFont="1" applyFill="1" applyBorder="1" applyAlignment="1">
      <alignment horizontal="center"/>
    </xf>
    <xf numFmtId="0" fontId="1" fillId="11" borderId="34" xfId="0" applyFont="1" applyFill="1" applyBorder="1" applyAlignment="1">
      <alignment horizontal="center"/>
    </xf>
    <xf numFmtId="0" fontId="1" fillId="11" borderId="3" xfId="0" applyFont="1" applyFill="1" applyBorder="1"/>
    <xf numFmtId="0" fontId="1" fillId="11" borderId="17" xfId="0" applyFont="1" applyFill="1" applyBorder="1"/>
    <xf numFmtId="0" fontId="1" fillId="11" borderId="0" xfId="0" applyFont="1" applyFill="1"/>
    <xf numFmtId="0" fontId="3" fillId="11" borderId="0" xfId="0" applyFont="1" applyFill="1"/>
    <xf numFmtId="0" fontId="3" fillId="11" borderId="0" xfId="0" quotePrefix="1" applyFont="1" applyFill="1"/>
    <xf numFmtId="0" fontId="3" fillId="11" borderId="0" xfId="0" applyFont="1" applyFill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04" xfId="0" applyFont="1" applyBorder="1"/>
    <xf numFmtId="0" fontId="1" fillId="0" borderId="73" xfId="0" applyFont="1" applyBorder="1"/>
    <xf numFmtId="0" fontId="1" fillId="0" borderId="74" xfId="0" applyFont="1" applyBorder="1"/>
    <xf numFmtId="0" fontId="0" fillId="0" borderId="2" xfId="0" applyBorder="1" applyAlignment="1">
      <alignment wrapText="1"/>
    </xf>
    <xf numFmtId="0" fontId="1" fillId="0" borderId="20" xfId="0" applyFont="1" applyBorder="1" applyAlignment="1">
      <alignment horizontal="center" wrapText="1"/>
    </xf>
    <xf numFmtId="164" fontId="1" fillId="0" borderId="105" xfId="0" applyNumberFormat="1" applyFont="1" applyBorder="1"/>
    <xf numFmtId="1" fontId="1" fillId="0" borderId="105" xfId="0" applyNumberFormat="1" applyFont="1" applyBorder="1"/>
    <xf numFmtId="164" fontId="1" fillId="0" borderId="39" xfId="0" applyNumberFormat="1" applyFont="1" applyBorder="1"/>
    <xf numFmtId="164" fontId="1" fillId="0" borderId="40" xfId="0" applyNumberFormat="1" applyFont="1" applyBorder="1"/>
    <xf numFmtId="164" fontId="1" fillId="0" borderId="55" xfId="0" applyNumberFormat="1" applyFont="1" applyBorder="1"/>
    <xf numFmtId="168" fontId="1" fillId="2" borderId="105" xfId="0" applyNumberFormat="1" applyFont="1" applyFill="1" applyBorder="1" applyProtection="1">
      <protection locked="0"/>
    </xf>
    <xf numFmtId="168" fontId="1" fillId="2" borderId="39" xfId="0" applyNumberFormat="1" applyFont="1" applyFill="1" applyBorder="1" applyProtection="1">
      <protection locked="0"/>
    </xf>
    <xf numFmtId="168" fontId="1" fillId="2" borderId="40" xfId="0" applyNumberFormat="1" applyFont="1" applyFill="1" applyBorder="1" applyProtection="1">
      <protection locked="0"/>
    </xf>
    <xf numFmtId="168" fontId="1" fillId="2" borderId="55" xfId="0" applyNumberFormat="1" applyFont="1" applyFill="1" applyBorder="1" applyProtection="1">
      <protection locked="0"/>
    </xf>
    <xf numFmtId="0" fontId="1" fillId="0" borderId="17" xfId="0" applyFont="1" applyBorder="1" applyAlignment="1">
      <alignment horizontal="center"/>
    </xf>
    <xf numFmtId="168" fontId="1" fillId="0" borderId="4" xfId="0" applyNumberFormat="1" applyFont="1" applyBorder="1"/>
    <xf numFmtId="168" fontId="1" fillId="0" borderId="58" xfId="0" applyNumberFormat="1" applyFont="1" applyBorder="1"/>
    <xf numFmtId="0" fontId="1" fillId="0" borderId="18" xfId="0" applyFont="1" applyBorder="1" applyAlignment="1">
      <alignment horizontal="center"/>
    </xf>
    <xf numFmtId="168" fontId="1" fillId="0" borderId="109" xfId="0" applyNumberFormat="1" applyFont="1" applyBorder="1"/>
    <xf numFmtId="168" fontId="1" fillId="0" borderId="110" xfId="0" applyNumberFormat="1" applyFont="1" applyBorder="1"/>
    <xf numFmtId="1" fontId="1" fillId="4" borderId="63" xfId="0" applyNumberFormat="1" applyFont="1" applyFill="1" applyBorder="1" applyProtection="1">
      <protection locked="0"/>
    </xf>
    <xf numFmtId="1" fontId="1" fillId="4" borderId="111" xfId="0" applyNumberFormat="1" applyFont="1" applyFill="1" applyBorder="1" applyProtection="1">
      <protection locked="0"/>
    </xf>
    <xf numFmtId="1" fontId="1" fillId="4" borderId="51" xfId="0" applyNumberFormat="1" applyFont="1" applyFill="1" applyBorder="1" applyProtection="1">
      <protection locked="0"/>
    </xf>
    <xf numFmtId="1" fontId="1" fillId="4" borderId="112" xfId="0" applyNumberFormat="1" applyFont="1" applyFill="1" applyBorder="1" applyProtection="1">
      <protection locked="0"/>
    </xf>
    <xf numFmtId="2" fontId="1" fillId="4" borderId="113" xfId="0" applyNumberFormat="1" applyFont="1" applyFill="1" applyBorder="1" applyProtection="1">
      <protection locked="0"/>
    </xf>
    <xf numFmtId="2" fontId="1" fillId="4" borderId="114" xfId="0" applyNumberFormat="1" applyFont="1" applyFill="1" applyBorder="1" applyProtection="1">
      <protection locked="0"/>
    </xf>
    <xf numFmtId="0" fontId="14" fillId="12" borderId="2" xfId="0" applyFont="1" applyFill="1" applyBorder="1"/>
    <xf numFmtId="0" fontId="0" fillId="12" borderId="15" xfId="0" applyFill="1" applyBorder="1"/>
    <xf numFmtId="0" fontId="0" fillId="12" borderId="16" xfId="0" applyFill="1" applyBorder="1"/>
    <xf numFmtId="0" fontId="14" fillId="12" borderId="3" xfId="0" applyFont="1" applyFill="1" applyBorder="1"/>
    <xf numFmtId="0" fontId="0" fillId="12" borderId="0" xfId="0" applyFill="1"/>
    <xf numFmtId="0" fontId="0" fillId="12" borderId="17" xfId="0" applyFill="1" applyBorder="1"/>
    <xf numFmtId="0" fontId="0" fillId="12" borderId="3" xfId="0" applyFill="1" applyBorder="1"/>
    <xf numFmtId="0" fontId="0" fillId="12" borderId="0" xfId="0" applyFill="1" applyAlignment="1">
      <alignment horizontal="center"/>
    </xf>
    <xf numFmtId="0" fontId="0" fillId="12" borderId="23" xfId="0" applyFill="1" applyBorder="1" applyAlignment="1">
      <alignment horizontal="center" wrapText="1"/>
    </xf>
    <xf numFmtId="0" fontId="19" fillId="12" borderId="3" xfId="0" applyFont="1" applyFill="1" applyBorder="1"/>
    <xf numFmtId="46" fontId="0" fillId="12" borderId="0" xfId="0" applyNumberFormat="1" applyFill="1"/>
    <xf numFmtId="11" fontId="0" fillId="12" borderId="0" xfId="0" applyNumberFormat="1" applyFill="1"/>
    <xf numFmtId="0" fontId="0" fillId="12" borderId="4" xfId="0" applyFill="1" applyBorder="1"/>
    <xf numFmtId="0" fontId="0" fillId="12" borderId="1" xfId="0" applyFill="1" applyBorder="1"/>
    <xf numFmtId="0" fontId="0" fillId="12" borderId="18" xfId="0" applyFill="1" applyBorder="1"/>
    <xf numFmtId="0" fontId="14" fillId="13" borderId="2" xfId="0" applyFont="1" applyFill="1" applyBorder="1"/>
    <xf numFmtId="0" fontId="0" fillId="13" borderId="15" xfId="0" applyFill="1" applyBorder="1"/>
    <xf numFmtId="0" fontId="0" fillId="13" borderId="16" xfId="0" applyFill="1" applyBorder="1"/>
    <xf numFmtId="0" fontId="0" fillId="13" borderId="3" xfId="0" applyFill="1" applyBorder="1"/>
    <xf numFmtId="0" fontId="0" fillId="13" borderId="17" xfId="0" applyFill="1" applyBorder="1"/>
    <xf numFmtId="0" fontId="0" fillId="13" borderId="3" xfId="0" applyFill="1" applyBorder="1" applyAlignment="1">
      <alignment horizontal="center"/>
    </xf>
    <xf numFmtId="0" fontId="0" fillId="13" borderId="4" xfId="0" applyFill="1" applyBorder="1"/>
    <xf numFmtId="0" fontId="0" fillId="13" borderId="1" xfId="0" applyFill="1" applyBorder="1"/>
    <xf numFmtId="0" fontId="0" fillId="13" borderId="18" xfId="0" applyFill="1" applyBorder="1"/>
    <xf numFmtId="0" fontId="0" fillId="12" borderId="17" xfId="0" applyFill="1" applyBorder="1" applyAlignment="1">
      <alignment horizontal="center"/>
    </xf>
    <xf numFmtId="0" fontId="0" fillId="12" borderId="48" xfId="0" applyFill="1" applyBorder="1" applyAlignment="1">
      <alignment horizontal="center" wrapText="1"/>
    </xf>
    <xf numFmtId="46" fontId="0" fillId="12" borderId="17" xfId="0" applyNumberFormat="1" applyFill="1" applyBorder="1"/>
    <xf numFmtId="11" fontId="0" fillId="12" borderId="17" xfId="0" applyNumberFormat="1" applyFill="1" applyBorder="1"/>
    <xf numFmtId="0" fontId="15" fillId="11" borderId="0" xfId="0" applyFont="1" applyFill="1"/>
    <xf numFmtId="0" fontId="0" fillId="11" borderId="0" xfId="0" quotePrefix="1" applyFill="1"/>
    <xf numFmtId="0" fontId="0" fillId="11" borderId="0" xfId="0" applyFill="1"/>
    <xf numFmtId="0" fontId="0" fillId="0" borderId="0" xfId="0" applyProtection="1">
      <protection locked="0"/>
    </xf>
    <xf numFmtId="2" fontId="0" fillId="0" borderId="0" xfId="0" applyNumberFormat="1"/>
    <xf numFmtId="0" fontId="0" fillId="2" borderId="0" xfId="0" applyFill="1" applyAlignment="1" applyProtection="1">
      <alignment horizontal="center"/>
      <protection locked="0"/>
    </xf>
    <xf numFmtId="0" fontId="1" fillId="0" borderId="80" xfId="0" applyFont="1" applyBorder="1" applyAlignment="1">
      <alignment horizontal="center"/>
    </xf>
    <xf numFmtId="1" fontId="1" fillId="10" borderId="40" xfId="0" applyNumberFormat="1" applyFont="1" applyFill="1" applyBorder="1" applyProtection="1">
      <protection locked="0"/>
    </xf>
    <xf numFmtId="1" fontId="0" fillId="10" borderId="40" xfId="0" applyNumberFormat="1" applyFill="1" applyBorder="1" applyProtection="1">
      <protection locked="0"/>
    </xf>
    <xf numFmtId="1" fontId="0" fillId="10" borderId="37" xfId="0" applyNumberFormat="1" applyFill="1" applyBorder="1" applyProtection="1">
      <protection locked="0"/>
    </xf>
    <xf numFmtId="0" fontId="3" fillId="11" borderId="2" xfId="0" applyFont="1" applyFill="1" applyBorder="1" applyAlignment="1">
      <alignment horizontal="right"/>
    </xf>
    <xf numFmtId="0" fontId="3" fillId="11" borderId="15" xfId="0" applyFont="1" applyFill="1" applyBorder="1"/>
    <xf numFmtId="0" fontId="3" fillId="11" borderId="16" xfId="0" applyFont="1" applyFill="1" applyBorder="1"/>
    <xf numFmtId="0" fontId="3" fillId="11" borderId="17" xfId="0" applyFont="1" applyFill="1" applyBorder="1"/>
    <xf numFmtId="11" fontId="3" fillId="11" borderId="0" xfId="0" applyNumberFormat="1" applyFont="1" applyFill="1"/>
    <xf numFmtId="11" fontId="3" fillId="11" borderId="17" xfId="0" applyNumberFormat="1" applyFont="1" applyFill="1" applyBorder="1"/>
    <xf numFmtId="11" fontId="3" fillId="11" borderId="1" xfId="0" applyNumberFormat="1" applyFont="1" applyFill="1" applyBorder="1"/>
    <xf numFmtId="11" fontId="3" fillId="11" borderId="18" xfId="0" applyNumberFormat="1" applyFont="1" applyFill="1" applyBorder="1"/>
    <xf numFmtId="0" fontId="3" fillId="11" borderId="3" xfId="0" applyFont="1" applyFill="1" applyBorder="1" applyAlignment="1">
      <alignment horizontal="right"/>
    </xf>
    <xf numFmtId="0" fontId="3" fillId="11" borderId="4" xfId="0" applyFont="1" applyFill="1" applyBorder="1" applyAlignment="1">
      <alignment horizontal="right"/>
    </xf>
    <xf numFmtId="168" fontId="2" fillId="0" borderId="1" xfId="0" applyNumberFormat="1" applyFont="1" applyBorder="1"/>
    <xf numFmtId="168" fontId="2" fillId="0" borderId="18" xfId="0" applyNumberFormat="1" applyFont="1" applyBorder="1"/>
    <xf numFmtId="0" fontId="1" fillId="0" borderId="0" xfId="0" applyFont="1" applyAlignment="1">
      <alignment horizontal="right"/>
    </xf>
    <xf numFmtId="0" fontId="1" fillId="0" borderId="0" xfId="0" applyFont="1" applyAlignment="1" applyProtection="1">
      <alignment horizontal="center"/>
      <protection locked="0"/>
    </xf>
    <xf numFmtId="1" fontId="1" fillId="0" borderId="61" xfId="0" applyNumberFormat="1" applyFont="1" applyBorder="1" applyAlignment="1">
      <alignment horizontal="right"/>
    </xf>
    <xf numFmtId="1" fontId="1" fillId="0" borderId="35" xfId="0" applyNumberFormat="1" applyFont="1" applyBorder="1" applyAlignment="1">
      <alignment horizontal="right"/>
    </xf>
    <xf numFmtId="164" fontId="1" fillId="0" borderId="62" xfId="0" applyNumberFormat="1" applyFont="1" applyBorder="1" applyAlignment="1">
      <alignment horizontal="center"/>
    </xf>
    <xf numFmtId="168" fontId="1" fillId="0" borderId="18" xfId="0" applyNumberFormat="1" applyFont="1" applyBorder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/>
    <xf numFmtId="0" fontId="3" fillId="11" borderId="1" xfId="0" applyFont="1" applyFill="1" applyBorder="1"/>
    <xf numFmtId="0" fontId="3" fillId="11" borderId="23" xfId="0" applyFont="1" applyFill="1" applyBorder="1"/>
    <xf numFmtId="0" fontId="3" fillId="11" borderId="2" xfId="0" applyFont="1" applyFill="1" applyBorder="1"/>
    <xf numFmtId="0" fontId="3" fillId="11" borderId="15" xfId="0" applyFont="1" applyFill="1" applyBorder="1" applyAlignment="1">
      <alignment horizontal="right"/>
    </xf>
    <xf numFmtId="1" fontId="3" fillId="11" borderId="16" xfId="0" applyNumberFormat="1" applyFont="1" applyFill="1" applyBorder="1"/>
    <xf numFmtId="0" fontId="3" fillId="11" borderId="3" xfId="0" applyFont="1" applyFill="1" applyBorder="1"/>
    <xf numFmtId="1" fontId="3" fillId="11" borderId="17" xfId="0" applyNumberFormat="1" applyFont="1" applyFill="1" applyBorder="1"/>
    <xf numFmtId="0" fontId="3" fillId="11" borderId="4" xfId="0" applyFont="1" applyFill="1" applyBorder="1"/>
    <xf numFmtId="0" fontId="3" fillId="0" borderId="2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3" xfId="0" applyFont="1" applyBorder="1"/>
    <xf numFmtId="0" fontId="3" fillId="11" borderId="17" xfId="0" applyFont="1" applyFill="1" applyBorder="1" applyAlignment="1">
      <alignment horizontal="center"/>
    </xf>
    <xf numFmtId="0" fontId="3" fillId="0" borderId="4" xfId="0" applyFont="1" applyBorder="1"/>
    <xf numFmtId="0" fontId="3" fillId="11" borderId="1" xfId="0" applyFont="1" applyFill="1" applyBorder="1" applyAlignment="1">
      <alignment horizontal="center"/>
    </xf>
    <xf numFmtId="0" fontId="3" fillId="11" borderId="18" xfId="0" applyFont="1" applyFill="1" applyBorder="1" applyAlignment="1">
      <alignment horizontal="center"/>
    </xf>
    <xf numFmtId="0" fontId="1" fillId="0" borderId="15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2" borderId="15" xfId="0" applyFill="1" applyBorder="1"/>
    <xf numFmtId="0" fontId="22" fillId="0" borderId="94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168" fontId="1" fillId="0" borderId="0" xfId="0" applyNumberFormat="1" applyFont="1"/>
    <xf numFmtId="2" fontId="1" fillId="0" borderId="1" xfId="0" applyNumberFormat="1" applyFont="1" applyBorder="1" applyAlignment="1">
      <alignment horizontal="center"/>
    </xf>
    <xf numFmtId="2" fontId="1" fillId="0" borderId="18" xfId="0" applyNumberFormat="1" applyFont="1" applyBorder="1" applyAlignment="1">
      <alignment horizontal="center"/>
    </xf>
    <xf numFmtId="168" fontId="0" fillId="0" borderId="0" xfId="0" applyNumberFormat="1"/>
    <xf numFmtId="0" fontId="1" fillId="0" borderId="61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168" fontId="1" fillId="10" borderId="78" xfId="0" applyNumberFormat="1" applyFont="1" applyFill="1" applyBorder="1" applyProtection="1">
      <protection locked="0"/>
    </xf>
    <xf numFmtId="168" fontId="1" fillId="10" borderId="80" xfId="0" applyNumberFormat="1" applyFont="1" applyFill="1" applyBorder="1" applyProtection="1">
      <protection locked="0"/>
    </xf>
    <xf numFmtId="168" fontId="1" fillId="0" borderId="81" xfId="0" applyNumberFormat="1" applyFont="1" applyBorder="1"/>
    <xf numFmtId="168" fontId="1" fillId="0" borderId="83" xfId="0" applyNumberFormat="1" applyFont="1" applyBorder="1"/>
    <xf numFmtId="0" fontId="22" fillId="0" borderId="48" xfId="0" applyFont="1" applyBorder="1" applyAlignment="1">
      <alignment horizontal="center"/>
    </xf>
    <xf numFmtId="1" fontId="1" fillId="0" borderId="17" xfId="0" applyNumberFormat="1" applyFont="1" applyBorder="1"/>
    <xf numFmtId="1" fontId="1" fillId="0" borderId="18" xfId="0" applyNumberFormat="1" applyFont="1" applyBorder="1"/>
    <xf numFmtId="0" fontId="1" fillId="0" borderId="63" xfId="0" applyFont="1" applyBorder="1" applyAlignment="1">
      <alignment horizontal="left"/>
    </xf>
    <xf numFmtId="0" fontId="1" fillId="2" borderId="64" xfId="0" applyFont="1" applyFill="1" applyBorder="1" applyAlignment="1" applyProtection="1">
      <alignment horizontal="center"/>
      <protection locked="0"/>
    </xf>
    <xf numFmtId="0" fontId="1" fillId="0" borderId="51" xfId="0" applyFont="1" applyBorder="1"/>
    <xf numFmtId="0" fontId="1" fillId="0" borderId="119" xfId="0" applyFont="1" applyBorder="1"/>
    <xf numFmtId="164" fontId="1" fillId="0" borderId="1" xfId="0" applyNumberFormat="1" applyFont="1" applyBorder="1" applyProtection="1">
      <protection locked="0"/>
    </xf>
    <xf numFmtId="0" fontId="21" fillId="0" borderId="18" xfId="0" applyFont="1" applyBorder="1"/>
    <xf numFmtId="1" fontId="1" fillId="3" borderId="78" xfId="0" applyNumberFormat="1" applyFont="1" applyFill="1" applyBorder="1" applyAlignment="1" applyProtection="1">
      <alignment horizontal="center"/>
      <protection locked="0"/>
    </xf>
    <xf numFmtId="1" fontId="1" fillId="3" borderId="81" xfId="0" applyNumberFormat="1" applyFont="1" applyFill="1" applyBorder="1" applyAlignment="1" applyProtection="1">
      <alignment horizontal="center"/>
      <protection locked="0"/>
    </xf>
    <xf numFmtId="1" fontId="1" fillId="3" borderId="4" xfId="0" applyNumberFormat="1" applyFont="1" applyFill="1" applyBorder="1" applyAlignment="1" applyProtection="1">
      <alignment horizontal="center"/>
      <protection locked="0"/>
    </xf>
    <xf numFmtId="2" fontId="1" fillId="3" borderId="79" xfId="0" applyNumberFormat="1" applyFont="1" applyFill="1" applyBorder="1" applyAlignment="1" applyProtection="1">
      <alignment horizontal="center"/>
      <protection locked="0"/>
    </xf>
    <xf numFmtId="2" fontId="1" fillId="3" borderId="80" xfId="0" applyNumberFormat="1" applyFont="1" applyFill="1" applyBorder="1" applyAlignment="1" applyProtection="1">
      <alignment horizontal="center"/>
      <protection locked="0"/>
    </xf>
    <xf numFmtId="2" fontId="1" fillId="3" borderId="82" xfId="0" applyNumberFormat="1" applyFont="1" applyFill="1" applyBorder="1" applyAlignment="1" applyProtection="1">
      <alignment horizontal="center"/>
      <protection locked="0"/>
    </xf>
    <xf numFmtId="2" fontId="1" fillId="3" borderId="83" xfId="0" applyNumberFormat="1" applyFont="1" applyFill="1" applyBorder="1" applyAlignment="1" applyProtection="1">
      <alignment horizontal="center"/>
      <protection locked="0"/>
    </xf>
    <xf numFmtId="1" fontId="1" fillId="3" borderId="106" xfId="0" applyNumberFormat="1" applyFont="1" applyFill="1" applyBorder="1" applyProtection="1">
      <protection locked="0"/>
    </xf>
    <xf numFmtId="1" fontId="1" fillId="3" borderId="65" xfId="0" applyNumberFormat="1" applyFont="1" applyFill="1" applyBorder="1" applyProtection="1">
      <protection locked="0"/>
    </xf>
    <xf numFmtId="1" fontId="1" fillId="3" borderId="107" xfId="0" applyNumberFormat="1" applyFont="1" applyFill="1" applyBorder="1" applyProtection="1">
      <protection locked="0"/>
    </xf>
    <xf numFmtId="1" fontId="1" fillId="3" borderId="40" xfId="0" applyNumberFormat="1" applyFont="1" applyFill="1" applyBorder="1" applyProtection="1">
      <protection locked="0"/>
    </xf>
    <xf numFmtId="2" fontId="1" fillId="3" borderId="108" xfId="0" applyNumberFormat="1" applyFont="1" applyFill="1" applyBorder="1" applyProtection="1">
      <protection locked="0"/>
    </xf>
    <xf numFmtId="2" fontId="1" fillId="3" borderId="32" xfId="0" applyNumberFormat="1" applyFont="1" applyFill="1" applyBorder="1" applyProtection="1">
      <protection locked="0"/>
    </xf>
    <xf numFmtId="0" fontId="1" fillId="0" borderId="84" xfId="0" applyFont="1" applyBorder="1" applyAlignment="1">
      <alignment horizontal="center"/>
    </xf>
    <xf numFmtId="2" fontId="1" fillId="0" borderId="85" xfId="0" applyNumberFormat="1" applyFont="1" applyBorder="1" applyAlignment="1">
      <alignment horizontal="center"/>
    </xf>
    <xf numFmtId="168" fontId="1" fillId="0" borderId="125" xfId="0" applyNumberFormat="1" applyFont="1" applyBorder="1" applyAlignment="1">
      <alignment horizontal="center"/>
    </xf>
    <xf numFmtId="0" fontId="1" fillId="0" borderId="0" xfId="0" applyFont="1" applyAlignment="1">
      <alignment vertical="top" wrapText="1"/>
    </xf>
    <xf numFmtId="2" fontId="1" fillId="0" borderId="87" xfId="0" applyNumberFormat="1" applyFont="1" applyBorder="1" applyAlignment="1">
      <alignment horizontal="center"/>
    </xf>
    <xf numFmtId="168" fontId="1" fillId="0" borderId="123" xfId="0" applyNumberFormat="1" applyFont="1" applyBorder="1" applyAlignment="1">
      <alignment horizontal="center"/>
    </xf>
    <xf numFmtId="0" fontId="1" fillId="0" borderId="3" xfId="0" applyFont="1" applyBorder="1" applyAlignment="1">
      <alignment vertical="top"/>
    </xf>
    <xf numFmtId="2" fontId="1" fillId="0" borderId="0" xfId="0" applyNumberFormat="1" applyFont="1" applyAlignment="1">
      <alignment horizontal="center"/>
    </xf>
    <xf numFmtId="0" fontId="1" fillId="0" borderId="121" xfId="0" applyFont="1" applyBorder="1"/>
    <xf numFmtId="0" fontId="1" fillId="0" borderId="122" xfId="0" applyFont="1" applyBorder="1"/>
    <xf numFmtId="0" fontId="1" fillId="0" borderId="17" xfId="0" applyFont="1" applyBorder="1"/>
    <xf numFmtId="0" fontId="4" fillId="0" borderId="87" xfId="0" applyFont="1" applyBorder="1" applyAlignment="1">
      <alignment horizontal="center"/>
    </xf>
    <xf numFmtId="0" fontId="4" fillId="0" borderId="123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2" fontId="1" fillId="0" borderId="89" xfId="0" applyNumberFormat="1" applyFont="1" applyBorder="1"/>
    <xf numFmtId="0" fontId="1" fillId="0" borderId="130" xfId="0" quotePrefix="1" applyFont="1" applyBorder="1" applyAlignment="1">
      <alignment horizontal="center"/>
    </xf>
    <xf numFmtId="0" fontId="1" fillId="0" borderId="131" xfId="0" quotePrefix="1" applyFont="1" applyBorder="1" applyAlignment="1">
      <alignment horizontal="center"/>
    </xf>
    <xf numFmtId="2" fontId="1" fillId="0" borderId="131" xfId="0" applyNumberFormat="1" applyFont="1" applyBorder="1"/>
    <xf numFmtId="0" fontId="1" fillId="0" borderId="86" xfId="0" quotePrefix="1" applyFont="1" applyBorder="1" applyAlignment="1">
      <alignment horizontal="center"/>
    </xf>
    <xf numFmtId="0" fontId="1" fillId="0" borderId="132" xfId="0" quotePrefix="1" applyFont="1" applyBorder="1" applyAlignment="1">
      <alignment horizontal="center"/>
    </xf>
    <xf numFmtId="2" fontId="1" fillId="0" borderId="132" xfId="0" applyNumberFormat="1" applyFont="1" applyBorder="1"/>
    <xf numFmtId="2" fontId="1" fillId="0" borderId="83" xfId="0" applyNumberFormat="1" applyFont="1" applyBorder="1"/>
    <xf numFmtId="0" fontId="1" fillId="0" borderId="127" xfId="0" quotePrefix="1" applyFont="1" applyBorder="1" applyAlignment="1">
      <alignment horizontal="center"/>
    </xf>
    <xf numFmtId="0" fontId="1" fillId="0" borderId="133" xfId="0" quotePrefix="1" applyFont="1" applyBorder="1" applyAlignment="1">
      <alignment horizontal="center"/>
    </xf>
    <xf numFmtId="2" fontId="1" fillId="0" borderId="133" xfId="0" applyNumberFormat="1" applyFont="1" applyBorder="1"/>
    <xf numFmtId="2" fontId="1" fillId="0" borderId="99" xfId="0" applyNumberFormat="1" applyFont="1" applyBorder="1"/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/>
    </xf>
    <xf numFmtId="0" fontId="1" fillId="0" borderId="120" xfId="0" applyFont="1" applyBorder="1"/>
    <xf numFmtId="0" fontId="1" fillId="0" borderId="22" xfId="0" applyFont="1" applyBorder="1"/>
    <xf numFmtId="164" fontId="1" fillId="0" borderId="0" xfId="0" applyNumberFormat="1" applyFont="1" applyAlignment="1">
      <alignment horizontal="center"/>
    </xf>
    <xf numFmtId="0" fontId="1" fillId="0" borderId="126" xfId="0" quotePrefix="1" applyFont="1" applyBorder="1" applyAlignment="1">
      <alignment horizontal="center"/>
    </xf>
    <xf numFmtId="0" fontId="1" fillId="0" borderId="134" xfId="0" quotePrefix="1" applyFont="1" applyBorder="1" applyAlignment="1">
      <alignment horizontal="center"/>
    </xf>
    <xf numFmtId="2" fontId="1" fillId="0" borderId="134" xfId="0" applyNumberFormat="1" applyFont="1" applyBorder="1"/>
    <xf numFmtId="164" fontId="1" fillId="0" borderId="87" xfId="0" applyNumberFormat="1" applyFont="1" applyBorder="1" applyAlignment="1">
      <alignment horizontal="center" vertical="center"/>
    </xf>
    <xf numFmtId="0" fontId="1" fillId="11" borderId="0" xfId="0" quotePrefix="1" applyFont="1" applyFill="1"/>
    <xf numFmtId="0" fontId="19" fillId="13" borderId="0" xfId="0" applyFont="1" applyFill="1"/>
    <xf numFmtId="0" fontId="0" fillId="13" borderId="0" xfId="0" applyFill="1"/>
    <xf numFmtId="0" fontId="0" fillId="13" borderId="0" xfId="0" applyFill="1" applyAlignment="1">
      <alignment horizontal="right"/>
    </xf>
    <xf numFmtId="2" fontId="0" fillId="13" borderId="0" xfId="0" applyNumberFormat="1" applyFill="1"/>
    <xf numFmtId="168" fontId="0" fillId="0" borderId="0" xfId="0" quotePrefix="1" applyNumberFormat="1"/>
    <xf numFmtId="0" fontId="1" fillId="0" borderId="0" xfId="0" quotePrefix="1" applyFont="1" applyAlignment="1">
      <alignment vertical="top" wrapText="1"/>
    </xf>
    <xf numFmtId="1" fontId="18" fillId="8" borderId="78" xfId="0" applyNumberFormat="1" applyFont="1" applyFill="1" applyBorder="1" applyAlignment="1">
      <alignment vertical="center"/>
    </xf>
    <xf numFmtId="0" fontId="18" fillId="8" borderId="68" xfId="0" applyFont="1" applyFill="1" applyBorder="1" applyAlignment="1">
      <alignment horizontal="left" vertical="center"/>
    </xf>
    <xf numFmtId="1" fontId="18" fillId="8" borderId="79" xfId="0" applyNumberFormat="1" applyFont="1" applyFill="1" applyBorder="1" applyAlignment="1">
      <alignment vertical="center"/>
    </xf>
    <xf numFmtId="0" fontId="18" fillId="8" borderId="79" xfId="0" applyFont="1" applyFill="1" applyBorder="1" applyAlignment="1">
      <alignment vertical="center"/>
    </xf>
    <xf numFmtId="1" fontId="18" fillId="8" borderId="67" xfId="0" applyNumberFormat="1" applyFont="1" applyFill="1" applyBorder="1" applyAlignment="1">
      <alignment horizontal="center" vertical="center"/>
    </xf>
    <xf numFmtId="1" fontId="18" fillId="8" borderId="80" xfId="0" applyNumberFormat="1" applyFont="1" applyFill="1" applyBorder="1" applyAlignment="1">
      <alignment horizontal="center" vertical="center"/>
    </xf>
    <xf numFmtId="1" fontId="18" fillId="8" borderId="81" xfId="0" applyNumberFormat="1" applyFont="1" applyFill="1" applyBorder="1" applyAlignment="1">
      <alignment vertical="center"/>
    </xf>
    <xf numFmtId="0" fontId="18" fillId="8" borderId="70" xfId="0" applyFont="1" applyFill="1" applyBorder="1" applyAlignment="1">
      <alignment horizontal="left" vertical="center"/>
    </xf>
    <xf numFmtId="1" fontId="18" fillId="8" borderId="82" xfId="0" applyNumberFormat="1" applyFont="1" applyFill="1" applyBorder="1" applyAlignment="1">
      <alignment vertical="center"/>
    </xf>
    <xf numFmtId="0" fontId="18" fillId="8" borderId="82" xfId="0" applyFont="1" applyFill="1" applyBorder="1" applyAlignment="1">
      <alignment vertical="center"/>
    </xf>
    <xf numFmtId="1" fontId="18" fillId="8" borderId="69" xfId="0" applyNumberFormat="1" applyFont="1" applyFill="1" applyBorder="1" applyAlignment="1">
      <alignment horizontal="center" vertical="center"/>
    </xf>
    <xf numFmtId="1" fontId="18" fillId="8" borderId="83" xfId="0" applyNumberFormat="1" applyFont="1" applyFill="1" applyBorder="1" applyAlignment="1">
      <alignment horizontal="center" vertical="center"/>
    </xf>
    <xf numFmtId="1" fontId="18" fillId="8" borderId="4" xfId="0" applyNumberFormat="1" applyFont="1" applyFill="1" applyBorder="1" applyAlignment="1">
      <alignment vertical="center"/>
    </xf>
    <xf numFmtId="0" fontId="18" fillId="8" borderId="59" xfId="0" applyFont="1" applyFill="1" applyBorder="1" applyAlignment="1">
      <alignment horizontal="left" vertical="center"/>
    </xf>
    <xf numFmtId="1" fontId="18" fillId="8" borderId="1" xfId="0" applyNumberFormat="1" applyFont="1" applyFill="1" applyBorder="1" applyAlignment="1">
      <alignment vertical="center"/>
    </xf>
    <xf numFmtId="0" fontId="18" fillId="8" borderId="1" xfId="0" applyFont="1" applyFill="1" applyBorder="1" applyAlignment="1">
      <alignment vertical="center"/>
    </xf>
    <xf numFmtId="1" fontId="18" fillId="8" borderId="58" xfId="0" applyNumberFormat="1" applyFont="1" applyFill="1" applyBorder="1" applyAlignment="1">
      <alignment horizontal="center" vertical="center"/>
    </xf>
    <xf numFmtId="1" fontId="18" fillId="8" borderId="18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0" fillId="0" borderId="23" xfId="0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0" fontId="0" fillId="0" borderId="3" xfId="0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6" xfId="0" applyBorder="1" applyAlignment="1">
      <alignment horizontal="center"/>
    </xf>
    <xf numFmtId="1" fontId="0" fillId="0" borderId="27" xfId="0" applyNumberFormat="1" applyBorder="1"/>
    <xf numFmtId="1" fontId="1" fillId="3" borderId="78" xfId="0" applyNumberFormat="1" applyFont="1" applyFill="1" applyBorder="1" applyAlignment="1" applyProtection="1">
      <alignment vertical="center"/>
      <protection locked="0"/>
    </xf>
    <xf numFmtId="1" fontId="1" fillId="3" borderId="81" xfId="0" applyNumberFormat="1" applyFont="1" applyFill="1" applyBorder="1" applyAlignment="1" applyProtection="1">
      <alignment vertical="center"/>
      <protection locked="0"/>
    </xf>
    <xf numFmtId="168" fontId="1" fillId="3" borderId="85" xfId="0" applyNumberFormat="1" applyFont="1" applyFill="1" applyBorder="1" applyAlignment="1" applyProtection="1">
      <alignment horizontal="right" vertical="center"/>
      <protection locked="0"/>
    </xf>
    <xf numFmtId="168" fontId="1" fillId="3" borderId="91" xfId="0" applyNumberFormat="1" applyFont="1" applyFill="1" applyBorder="1" applyAlignment="1" applyProtection="1">
      <alignment vertical="center"/>
      <protection locked="0"/>
    </xf>
    <xf numFmtId="168" fontId="1" fillId="3" borderId="126" xfId="0" applyNumberFormat="1" applyFont="1" applyFill="1" applyBorder="1" applyAlignment="1" applyProtection="1">
      <alignment horizontal="right" vertical="center"/>
      <protection locked="0"/>
    </xf>
    <xf numFmtId="1" fontId="1" fillId="15" borderId="4" xfId="0" applyNumberFormat="1" applyFont="1" applyFill="1" applyBorder="1" applyAlignment="1" applyProtection="1">
      <alignment vertical="center"/>
      <protection locked="0"/>
    </xf>
    <xf numFmtId="168" fontId="1" fillId="15" borderId="127" xfId="0" applyNumberFormat="1" applyFont="1" applyFill="1" applyBorder="1" applyAlignment="1" applyProtection="1">
      <alignment horizontal="right" vertical="center"/>
      <protection locked="0"/>
    </xf>
    <xf numFmtId="168" fontId="1" fillId="15" borderId="97" xfId="0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8" xfId="0" applyBorder="1" applyAlignment="1">
      <alignment vertical="center"/>
    </xf>
    <xf numFmtId="0" fontId="14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23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45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1" fillId="0" borderId="28" xfId="0" applyFont="1" applyBorder="1" applyAlignment="1">
      <alignment vertical="center"/>
    </xf>
    <xf numFmtId="0" fontId="1" fillId="3" borderId="16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3" borderId="18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/>
    </xf>
    <xf numFmtId="0" fontId="1" fillId="3" borderId="68" xfId="0" applyFont="1" applyFill="1" applyBorder="1" applyAlignment="1" applyProtection="1">
      <alignment horizontal="center" vertical="center"/>
      <protection locked="0"/>
    </xf>
    <xf numFmtId="1" fontId="1" fillId="3" borderId="79" xfId="0" applyNumberFormat="1" applyFont="1" applyFill="1" applyBorder="1" applyAlignment="1" applyProtection="1">
      <alignment vertical="center"/>
      <protection locked="0"/>
    </xf>
    <xf numFmtId="1" fontId="1" fillId="3" borderId="80" xfId="0" applyNumberFormat="1" applyFont="1" applyFill="1" applyBorder="1" applyAlignment="1" applyProtection="1">
      <alignment horizontal="center" vertical="center"/>
      <protection locked="0"/>
    </xf>
    <xf numFmtId="0" fontId="1" fillId="3" borderId="70" xfId="0" applyFont="1" applyFill="1" applyBorder="1" applyAlignment="1" applyProtection="1">
      <alignment horizontal="center" vertical="center"/>
      <protection locked="0"/>
    </xf>
    <xf numFmtId="1" fontId="1" fillId="3" borderId="82" xfId="0" applyNumberFormat="1" applyFont="1" applyFill="1" applyBorder="1" applyAlignment="1" applyProtection="1">
      <alignment vertical="center"/>
      <protection locked="0"/>
    </xf>
    <xf numFmtId="1" fontId="1" fillId="3" borderId="83" xfId="0" applyNumberFormat="1" applyFont="1" applyFill="1" applyBorder="1" applyAlignment="1" applyProtection="1">
      <alignment horizontal="center" vertical="center"/>
      <protection locked="0"/>
    </xf>
    <xf numFmtId="0" fontId="1" fillId="0" borderId="24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15" borderId="59" xfId="0" applyFont="1" applyFill="1" applyBorder="1" applyAlignment="1" applyProtection="1">
      <alignment horizontal="center" vertical="center"/>
      <protection locked="0"/>
    </xf>
    <xf numFmtId="1" fontId="1" fillId="15" borderId="1" xfId="0" applyNumberFormat="1" applyFont="1" applyFill="1" applyBorder="1" applyAlignment="1" applyProtection="1">
      <alignment vertical="center"/>
      <protection locked="0"/>
    </xf>
    <xf numFmtId="1" fontId="1" fillId="15" borderId="18" xfId="0" applyNumberFormat="1" applyFont="1" applyFill="1" applyBorder="1" applyAlignment="1" applyProtection="1">
      <alignment horizontal="center" vertical="center"/>
      <protection locked="0"/>
    </xf>
    <xf numFmtId="1" fontId="1" fillId="0" borderId="88" xfId="0" applyNumberFormat="1" applyFont="1" applyBorder="1" applyAlignment="1">
      <alignment horizontal="right" vertical="center"/>
    </xf>
    <xf numFmtId="1" fontId="1" fillId="0" borderId="91" xfId="0" applyNumberFormat="1" applyFont="1" applyBorder="1" applyAlignment="1">
      <alignment vertical="center"/>
    </xf>
    <xf numFmtId="0" fontId="1" fillId="0" borderId="95" xfId="0" applyFont="1" applyBorder="1" applyAlignment="1">
      <alignment vertical="center"/>
    </xf>
    <xf numFmtId="0" fontId="1" fillId="0" borderId="89" xfId="0" applyFont="1" applyBorder="1" applyAlignment="1">
      <alignment vertical="center"/>
    </xf>
    <xf numFmtId="0" fontId="1" fillId="0" borderId="69" xfId="0" applyFont="1" applyBorder="1" applyAlignment="1">
      <alignment vertical="center"/>
    </xf>
    <xf numFmtId="0" fontId="1" fillId="0" borderId="83" xfId="0" applyFont="1" applyBorder="1" applyAlignment="1">
      <alignment vertical="center"/>
    </xf>
    <xf numFmtId="1" fontId="1" fillId="3" borderId="128" xfId="0" applyNumberFormat="1" applyFont="1" applyFill="1" applyBorder="1" applyAlignment="1" applyProtection="1">
      <alignment horizontal="center" vertical="center"/>
      <protection locked="0"/>
    </xf>
    <xf numFmtId="1" fontId="1" fillId="3" borderId="38" xfId="0" applyNumberFormat="1" applyFont="1" applyFill="1" applyBorder="1" applyAlignment="1" applyProtection="1">
      <alignment horizontal="right" vertical="center"/>
      <protection locked="0"/>
    </xf>
    <xf numFmtId="1" fontId="1" fillId="3" borderId="43" xfId="0" applyNumberFormat="1" applyFont="1" applyFill="1" applyBorder="1" applyAlignment="1" applyProtection="1">
      <alignment horizontal="center" vertical="center"/>
      <protection locked="0"/>
    </xf>
    <xf numFmtId="1" fontId="1" fillId="3" borderId="64" xfId="0" applyNumberFormat="1" applyFont="1" applyFill="1" applyBorder="1" applyAlignment="1" applyProtection="1">
      <alignment horizontal="center" vertical="center"/>
      <protection locked="0"/>
    </xf>
    <xf numFmtId="0" fontId="1" fillId="0" borderId="16" xfId="0" applyFont="1" applyBorder="1" applyAlignment="1">
      <alignment horizontal="right" vertical="center"/>
    </xf>
    <xf numFmtId="1" fontId="1" fillId="0" borderId="81" xfId="0" applyNumberFormat="1" applyFont="1" applyBorder="1" applyAlignment="1">
      <alignment vertical="center"/>
    </xf>
    <xf numFmtId="1" fontId="1" fillId="0" borderId="70" xfId="0" applyNumberFormat="1" applyFont="1" applyBorder="1" applyAlignment="1">
      <alignment vertical="center"/>
    </xf>
    <xf numFmtId="1" fontId="1" fillId="0" borderId="82" xfId="0" applyNumberFormat="1" applyFont="1" applyBorder="1" applyAlignment="1">
      <alignment vertical="center"/>
    </xf>
    <xf numFmtId="1" fontId="1" fillId="0" borderId="69" xfId="0" applyNumberFormat="1" applyFont="1" applyBorder="1" applyAlignment="1">
      <alignment vertical="center"/>
    </xf>
    <xf numFmtId="1" fontId="1" fillId="0" borderId="83" xfId="0" applyNumberFormat="1" applyFont="1" applyBorder="1" applyAlignment="1">
      <alignment vertical="center"/>
    </xf>
    <xf numFmtId="1" fontId="1" fillId="3" borderId="107" xfId="0" applyNumberFormat="1" applyFont="1" applyFill="1" applyBorder="1" applyAlignment="1" applyProtection="1">
      <alignment horizontal="center" vertical="center"/>
      <protection locked="0"/>
    </xf>
    <xf numFmtId="1" fontId="1" fillId="3" borderId="37" xfId="0" applyNumberFormat="1" applyFont="1" applyFill="1" applyBorder="1" applyAlignment="1" applyProtection="1">
      <alignment horizontal="right" vertical="center"/>
      <protection locked="0"/>
    </xf>
    <xf numFmtId="1" fontId="1" fillId="3" borderId="42" xfId="0" applyNumberFormat="1" applyFont="1" applyFill="1" applyBorder="1" applyAlignment="1" applyProtection="1">
      <alignment horizontal="center" vertical="center"/>
      <protection locked="0"/>
    </xf>
    <xf numFmtId="1" fontId="1" fillId="3" borderId="52" xfId="0" applyNumberFormat="1" applyFont="1" applyFill="1" applyBorder="1" applyAlignment="1" applyProtection="1">
      <alignment horizontal="center" vertical="center"/>
      <protection locked="0"/>
    </xf>
    <xf numFmtId="0" fontId="1" fillId="0" borderId="17" xfId="0" applyFont="1" applyBorder="1" applyAlignment="1">
      <alignment horizontal="right" vertical="center"/>
    </xf>
    <xf numFmtId="1" fontId="1" fillId="15" borderId="129" xfId="0" applyNumberFormat="1" applyFont="1" applyFill="1" applyBorder="1" applyAlignment="1" applyProtection="1">
      <alignment horizontal="center" vertical="center"/>
      <protection locked="0"/>
    </xf>
    <xf numFmtId="1" fontId="1" fillId="15" borderId="56" xfId="0" applyNumberFormat="1" applyFont="1" applyFill="1" applyBorder="1" applyAlignment="1" applyProtection="1">
      <alignment horizontal="right" vertical="center"/>
      <protection locked="0"/>
    </xf>
    <xf numFmtId="1" fontId="1" fillId="15" borderId="54" xfId="0" applyNumberFormat="1" applyFont="1" applyFill="1" applyBorder="1" applyAlignment="1" applyProtection="1">
      <alignment horizontal="center" vertical="center"/>
      <protection locked="0"/>
    </xf>
    <xf numFmtId="1" fontId="1" fillId="15" borderId="57" xfId="0" applyNumberFormat="1" applyFont="1" applyFill="1" applyBorder="1" applyAlignment="1" applyProtection="1">
      <alignment horizontal="center" vertical="center"/>
      <protection locked="0"/>
    </xf>
    <xf numFmtId="1" fontId="1" fillId="0" borderId="90" xfId="0" applyNumberFormat="1" applyFont="1" applyBorder="1" applyAlignment="1">
      <alignment vertical="center"/>
    </xf>
    <xf numFmtId="1" fontId="1" fillId="0" borderId="88" xfId="0" applyNumberFormat="1" applyFont="1" applyBorder="1" applyAlignment="1">
      <alignment vertical="center"/>
    </xf>
    <xf numFmtId="1" fontId="1" fillId="0" borderId="95" xfId="0" applyNumberFormat="1" applyFont="1" applyBorder="1" applyAlignment="1">
      <alignment vertical="center"/>
    </xf>
    <xf numFmtId="1" fontId="1" fillId="0" borderId="89" xfId="0" applyNumberFormat="1" applyFont="1" applyBorder="1" applyAlignment="1">
      <alignment vertical="center"/>
    </xf>
    <xf numFmtId="0" fontId="1" fillId="0" borderId="71" xfId="0" applyFont="1" applyBorder="1" applyAlignment="1">
      <alignment horizontal="right" vertical="center"/>
    </xf>
    <xf numFmtId="0" fontId="1" fillId="14" borderId="92" xfId="0" applyFont="1" applyFill="1" applyBorder="1" applyAlignment="1" applyProtection="1">
      <alignment horizontal="center" vertical="center"/>
      <protection locked="0"/>
    </xf>
    <xf numFmtId="0" fontId="1" fillId="0" borderId="71" xfId="0" applyFont="1" applyBorder="1" applyAlignment="1">
      <alignment vertical="center"/>
    </xf>
    <xf numFmtId="0" fontId="1" fillId="0" borderId="72" xfId="0" applyFont="1" applyBorder="1" applyAlignment="1">
      <alignment horizontal="right" vertical="center"/>
    </xf>
    <xf numFmtId="1" fontId="1" fillId="3" borderId="135" xfId="0" applyNumberFormat="1" applyFont="1" applyFill="1" applyBorder="1" applyAlignment="1" applyProtection="1">
      <alignment horizontal="center" vertical="center"/>
      <protection locked="0"/>
    </xf>
    <xf numFmtId="1" fontId="1" fillId="0" borderId="4" xfId="0" applyNumberFormat="1" applyFont="1" applyBorder="1" applyAlignment="1">
      <alignment vertical="center"/>
    </xf>
    <xf numFmtId="1" fontId="1" fillId="0" borderId="59" xfId="0" applyNumberFormat="1" applyFont="1" applyBorder="1" applyAlignment="1">
      <alignment vertical="center"/>
    </xf>
    <xf numFmtId="1" fontId="1" fillId="0" borderId="1" xfId="0" applyNumberFormat="1" applyFont="1" applyBorder="1" applyAlignment="1">
      <alignment vertical="center"/>
    </xf>
    <xf numFmtId="1" fontId="1" fillId="0" borderId="58" xfId="0" applyNumberFormat="1" applyFont="1" applyBorder="1" applyAlignment="1">
      <alignment vertical="center"/>
    </xf>
    <xf numFmtId="1" fontId="1" fillId="0" borderId="18" xfId="0" applyNumberFormat="1" applyFont="1" applyBorder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84" xfId="0" applyFont="1" applyBorder="1" applyAlignment="1">
      <alignment horizontal="center" vertical="center"/>
    </xf>
    <xf numFmtId="168" fontId="1" fillId="3" borderId="87" xfId="0" applyNumberFormat="1" applyFont="1" applyFill="1" applyBorder="1" applyAlignment="1" applyProtection="1">
      <alignment horizontal="right" vertical="center"/>
      <protection locked="0"/>
    </xf>
    <xf numFmtId="168" fontId="1" fillId="3" borderId="89" xfId="0" applyNumberFormat="1" applyFont="1" applyFill="1" applyBorder="1" applyAlignment="1" applyProtection="1">
      <alignment vertical="center"/>
      <protection locked="0"/>
    </xf>
    <xf numFmtId="168" fontId="1" fillId="15" borderId="99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>
      <alignment horizontal="right" vertical="center" wrapText="1"/>
    </xf>
    <xf numFmtId="2" fontId="1" fillId="3" borderId="85" xfId="0" applyNumberFormat="1" applyFont="1" applyFill="1" applyBorder="1" applyAlignment="1" applyProtection="1">
      <alignment vertical="center"/>
      <protection locked="0"/>
    </xf>
    <xf numFmtId="2" fontId="1" fillId="15" borderId="80" xfId="0" applyNumberFormat="1" applyFont="1" applyFill="1" applyBorder="1" applyAlignment="1" applyProtection="1">
      <alignment vertical="center"/>
      <protection locked="0"/>
    </xf>
    <xf numFmtId="2" fontId="1" fillId="0" borderId="91" xfId="0" applyNumberFormat="1" applyFont="1" applyBorder="1" applyAlignment="1">
      <alignment vertical="center"/>
    </xf>
    <xf numFmtId="2" fontId="1" fillId="0" borderId="89" xfId="0" applyNumberFormat="1" applyFont="1" applyBorder="1" applyAlignment="1">
      <alignment vertical="center"/>
    </xf>
    <xf numFmtId="0" fontId="1" fillId="3" borderId="86" xfId="0" applyFont="1" applyFill="1" applyBorder="1" applyAlignment="1" applyProtection="1">
      <alignment vertical="center"/>
      <protection locked="0"/>
    </xf>
    <xf numFmtId="0" fontId="1" fillId="15" borderId="83" xfId="0" applyFont="1" applyFill="1" applyBorder="1" applyAlignment="1" applyProtection="1">
      <alignment vertical="center"/>
      <protection locked="0"/>
    </xf>
    <xf numFmtId="0" fontId="1" fillId="0" borderId="70" xfId="0" applyFont="1" applyBorder="1" applyAlignment="1">
      <alignment horizontal="left" vertical="center"/>
    </xf>
    <xf numFmtId="0" fontId="1" fillId="0" borderId="83" xfId="0" applyFont="1" applyBorder="1" applyAlignment="1">
      <alignment horizontal="left" vertical="center"/>
    </xf>
    <xf numFmtId="0" fontId="1" fillId="3" borderId="83" xfId="0" applyFont="1" applyFill="1" applyBorder="1" applyAlignment="1" applyProtection="1">
      <alignment vertical="center"/>
      <protection locked="0"/>
    </xf>
    <xf numFmtId="0" fontId="1" fillId="15" borderId="86" xfId="0" applyFont="1" applyFill="1" applyBorder="1" applyAlignment="1" applyProtection="1">
      <alignment vertical="center"/>
      <protection locked="0"/>
    </xf>
    <xf numFmtId="1" fontId="1" fillId="0" borderId="0" xfId="0" applyNumberFormat="1" applyFont="1" applyAlignment="1">
      <alignment horizontal="right" vertical="center"/>
    </xf>
    <xf numFmtId="1" fontId="1" fillId="0" borderId="96" xfId="0" applyNumberFormat="1" applyFont="1" applyBorder="1" applyAlignment="1">
      <alignment vertical="center"/>
    </xf>
    <xf numFmtId="1" fontId="1" fillId="0" borderId="97" xfId="0" applyNumberFormat="1" applyFont="1" applyBorder="1" applyAlignment="1">
      <alignment vertical="center"/>
    </xf>
    <xf numFmtId="1" fontId="1" fillId="0" borderId="98" xfId="0" applyNumberFormat="1" applyFont="1" applyBorder="1" applyAlignment="1">
      <alignment vertical="center"/>
    </xf>
    <xf numFmtId="1" fontId="1" fillId="0" borderId="99" xfId="0" applyNumberFormat="1" applyFont="1" applyBorder="1" applyAlignment="1">
      <alignment vertical="center"/>
    </xf>
    <xf numFmtId="0" fontId="1" fillId="3" borderId="86" xfId="0" applyFont="1" applyFill="1" applyBorder="1" applyAlignment="1" applyProtection="1">
      <alignment horizontal="center" vertical="center"/>
      <protection locked="0"/>
    </xf>
    <xf numFmtId="0" fontId="1" fillId="15" borderId="83" xfId="0" applyFont="1" applyFill="1" applyBorder="1" applyAlignment="1" applyProtection="1">
      <alignment horizontal="center" vertical="center"/>
      <protection locked="0"/>
    </xf>
    <xf numFmtId="164" fontId="1" fillId="0" borderId="18" xfId="0" applyNumberFormat="1" applyFont="1" applyBorder="1" applyAlignment="1">
      <alignment horizontal="center" vertical="center"/>
    </xf>
    <xf numFmtId="0" fontId="1" fillId="3" borderId="83" xfId="0" applyFont="1" applyFill="1" applyBorder="1" applyAlignment="1" applyProtection="1">
      <alignment horizontal="center" vertical="center"/>
      <protection locked="0"/>
    </xf>
    <xf numFmtId="0" fontId="1" fillId="15" borderId="86" xfId="0" applyFont="1" applyFill="1" applyBorder="1" applyAlignment="1" applyProtection="1">
      <alignment horizontal="center" vertical="center"/>
      <protection locked="0"/>
    </xf>
    <xf numFmtId="0" fontId="1" fillId="0" borderId="94" xfId="0" applyFont="1" applyBorder="1" applyAlignment="1">
      <alignment horizontal="center" vertical="center"/>
    </xf>
    <xf numFmtId="1" fontId="1" fillId="3" borderId="67" xfId="0" applyNumberFormat="1" applyFont="1" applyFill="1" applyBorder="1" applyAlignment="1" applyProtection="1">
      <alignment vertical="center"/>
      <protection locked="0"/>
    </xf>
    <xf numFmtId="0" fontId="1" fillId="3" borderId="80" xfId="0" applyFont="1" applyFill="1" applyBorder="1" applyAlignment="1" applyProtection="1">
      <alignment horizontal="center" vertical="center"/>
      <protection locked="0"/>
    </xf>
    <xf numFmtId="1" fontId="1" fillId="3" borderId="69" xfId="0" applyNumberFormat="1" applyFont="1" applyFill="1" applyBorder="1" applyAlignment="1" applyProtection="1">
      <alignment vertical="center"/>
      <protection locked="0"/>
    </xf>
    <xf numFmtId="1" fontId="1" fillId="15" borderId="69" xfId="0" applyNumberFormat="1" applyFont="1" applyFill="1" applyBorder="1" applyAlignment="1" applyProtection="1">
      <alignment vertical="center"/>
      <protection locked="0"/>
    </xf>
    <xf numFmtId="0" fontId="1" fillId="15" borderId="70" xfId="0" applyFont="1" applyFill="1" applyBorder="1" applyAlignment="1" applyProtection="1">
      <alignment horizontal="center" vertical="center"/>
      <protection locked="0"/>
    </xf>
    <xf numFmtId="1" fontId="1" fillId="15" borderId="101" xfId="0" applyNumberFormat="1" applyFont="1" applyFill="1" applyBorder="1" applyAlignment="1" applyProtection="1">
      <alignment vertical="center"/>
      <protection locked="0"/>
    </xf>
    <xf numFmtId="0" fontId="1" fillId="15" borderId="102" xfId="0" applyFont="1" applyFill="1" applyBorder="1" applyAlignment="1" applyProtection="1">
      <alignment horizontal="center" vertical="center"/>
      <protection locked="0"/>
    </xf>
    <xf numFmtId="0" fontId="1" fillId="15" borderId="103" xfId="0" applyFont="1" applyFill="1" applyBorder="1" applyAlignment="1" applyProtection="1">
      <alignment horizontal="center" vertical="center"/>
      <protection locked="0"/>
    </xf>
    <xf numFmtId="0" fontId="1" fillId="0" borderId="62" xfId="0" applyFont="1" applyBorder="1" applyAlignment="1">
      <alignment vertical="center"/>
    </xf>
    <xf numFmtId="0" fontId="20" fillId="0" borderId="18" xfId="0" applyFont="1" applyBorder="1" applyAlignment="1">
      <alignment vertical="center"/>
    </xf>
    <xf numFmtId="0" fontId="1" fillId="0" borderId="60" xfId="0" applyFont="1" applyBorder="1" applyAlignment="1">
      <alignment horizontal="right" vertical="center" wrapText="1"/>
    </xf>
    <xf numFmtId="1" fontId="1" fillId="3" borderId="93" xfId="0" applyNumberFormat="1" applyFont="1" applyFill="1" applyBorder="1" applyAlignment="1">
      <alignment horizontal="center" vertical="center"/>
    </xf>
    <xf numFmtId="1" fontId="1" fillId="3" borderId="93" xfId="0" applyNumberFormat="1" applyFont="1" applyFill="1" applyBorder="1" applyAlignment="1" applyProtection="1">
      <alignment horizontal="center" vertical="center"/>
      <protection locked="0"/>
    </xf>
    <xf numFmtId="0" fontId="1" fillId="0" borderId="84" xfId="0" applyFont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 wrapText="1"/>
    </xf>
    <xf numFmtId="0" fontId="1" fillId="0" borderId="3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1" fontId="1" fillId="0" borderId="23" xfId="0" applyNumberFormat="1" applyFont="1" applyBorder="1" applyAlignment="1">
      <alignment horizontal="right" vertical="center"/>
    </xf>
    <xf numFmtId="1" fontId="1" fillId="0" borderId="23" xfId="0" applyNumberFormat="1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1" fontId="0" fillId="2" borderId="78" xfId="0" applyNumberFormat="1" applyFill="1" applyBorder="1" applyAlignment="1" applyProtection="1">
      <alignment horizontal="center" vertical="center"/>
      <protection locked="0"/>
    </xf>
    <xf numFmtId="2" fontId="0" fillId="2" borderId="79" xfId="0" applyNumberFormat="1" applyFill="1" applyBorder="1" applyAlignment="1" applyProtection="1">
      <alignment horizontal="center" vertical="center"/>
      <protection locked="0"/>
    </xf>
    <xf numFmtId="2" fontId="0" fillId="2" borderId="80" xfId="0" applyNumberFormat="1" applyFill="1" applyBorder="1" applyAlignment="1" applyProtection="1">
      <alignment horizontal="center" vertical="center"/>
      <protection locked="0"/>
    </xf>
    <xf numFmtId="1" fontId="1" fillId="2" borderId="106" xfId="0" applyNumberFormat="1" applyFont="1" applyFill="1" applyBorder="1" applyAlignment="1" applyProtection="1">
      <alignment vertical="center"/>
      <protection locked="0"/>
    </xf>
    <xf numFmtId="1" fontId="1" fillId="2" borderId="65" xfId="0" applyNumberFormat="1" applyFont="1" applyFill="1" applyBorder="1" applyAlignment="1" applyProtection="1">
      <alignment vertical="center"/>
      <protection locked="0"/>
    </xf>
    <xf numFmtId="1" fontId="0" fillId="2" borderId="81" xfId="0" applyNumberFormat="1" applyFill="1" applyBorder="1" applyAlignment="1" applyProtection="1">
      <alignment horizontal="center" vertical="center"/>
      <protection locked="0"/>
    </xf>
    <xf numFmtId="2" fontId="0" fillId="2" borderId="82" xfId="0" applyNumberFormat="1" applyFill="1" applyBorder="1" applyAlignment="1" applyProtection="1">
      <alignment horizontal="center" vertical="center"/>
      <protection locked="0"/>
    </xf>
    <xf numFmtId="2" fontId="0" fillId="2" borderId="83" xfId="0" applyNumberFormat="1" applyFill="1" applyBorder="1" applyAlignment="1" applyProtection="1">
      <alignment horizontal="center" vertical="center"/>
      <protection locked="0"/>
    </xf>
    <xf numFmtId="1" fontId="1" fillId="2" borderId="107" xfId="0" applyNumberFormat="1" applyFont="1" applyFill="1" applyBorder="1" applyAlignment="1" applyProtection="1">
      <alignment vertical="center"/>
      <protection locked="0"/>
    </xf>
    <xf numFmtId="1" fontId="1" fillId="2" borderId="40" xfId="0" applyNumberFormat="1" applyFont="1" applyFill="1" applyBorder="1" applyAlignment="1" applyProtection="1">
      <alignment vertical="center"/>
      <protection locked="0"/>
    </xf>
    <xf numFmtId="1" fontId="0" fillId="2" borderId="4" xfId="0" applyNumberForma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1" fillId="2" borderId="108" xfId="0" applyNumberFormat="1" applyFont="1" applyFill="1" applyBorder="1" applyAlignment="1" applyProtection="1">
      <alignment vertical="center"/>
      <protection locked="0"/>
    </xf>
    <xf numFmtId="2" fontId="1" fillId="2" borderId="32" xfId="0" applyNumberFormat="1" applyFont="1" applyFill="1" applyBorder="1" applyAlignment="1" applyProtection="1">
      <alignment vertical="center"/>
      <protection locked="0"/>
    </xf>
    <xf numFmtId="168" fontId="1" fillId="0" borderId="4" xfId="0" applyNumberFormat="1" applyFont="1" applyBorder="1" applyAlignment="1">
      <alignment vertical="center"/>
    </xf>
    <xf numFmtId="168" fontId="1" fillId="0" borderId="58" xfId="0" applyNumberFormat="1" applyFont="1" applyBorder="1" applyAlignment="1">
      <alignment vertical="center"/>
    </xf>
    <xf numFmtId="0" fontId="1" fillId="0" borderId="18" xfId="0" applyFont="1" applyBorder="1" applyAlignment="1">
      <alignment horizontal="center" vertical="center"/>
    </xf>
    <xf numFmtId="0" fontId="0" fillId="0" borderId="28" xfId="0" applyBorder="1" applyAlignment="1">
      <alignment vertical="top" wrapText="1"/>
    </xf>
    <xf numFmtId="0" fontId="0" fillId="0" borderId="0" xfId="0" applyAlignment="1" applyProtection="1">
      <alignment horizontal="center" vertical="top" wrapText="1"/>
      <protection locked="0"/>
    </xf>
    <xf numFmtId="0" fontId="3" fillId="0" borderId="28" xfId="0" applyFont="1" applyBorder="1" applyAlignment="1" applyProtection="1">
      <alignment horizontal="center"/>
      <protection locked="0"/>
    </xf>
    <xf numFmtId="164" fontId="3" fillId="0" borderId="32" xfId="0" applyNumberFormat="1" applyFont="1" applyBorder="1" applyAlignment="1">
      <alignment horizontal="center"/>
    </xf>
    <xf numFmtId="0" fontId="3" fillId="0" borderId="23" xfId="0" applyFont="1" applyBorder="1" applyAlignment="1">
      <alignment horizontal="left" wrapText="1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2" fontId="3" fillId="0" borderId="28" xfId="0" applyNumberFormat="1" applyFont="1" applyBorder="1" applyAlignment="1" applyProtection="1">
      <alignment horizontal="center"/>
      <protection locked="0"/>
    </xf>
    <xf numFmtId="1" fontId="1" fillId="0" borderId="87" xfId="0" applyNumberFormat="1" applyFont="1" applyBorder="1" applyAlignment="1">
      <alignment vertical="center" wrapText="1"/>
    </xf>
    <xf numFmtId="1" fontId="1" fillId="0" borderId="18" xfId="0" applyNumberFormat="1" applyFont="1" applyBorder="1" applyAlignment="1">
      <alignment vertical="center" wrapText="1"/>
    </xf>
    <xf numFmtId="168" fontId="1" fillId="0" borderId="85" xfId="0" applyNumberFormat="1" applyFont="1" applyBorder="1" applyAlignment="1">
      <alignment vertical="center"/>
    </xf>
    <xf numFmtId="168" fontId="1" fillId="0" borderId="80" xfId="0" applyNumberFormat="1" applyFont="1" applyBorder="1" applyAlignment="1">
      <alignment vertical="center"/>
    </xf>
    <xf numFmtId="168" fontId="1" fillId="0" borderId="87" xfId="0" applyNumberFormat="1" applyFont="1" applyBorder="1" applyAlignment="1">
      <alignment vertical="center"/>
    </xf>
    <xf numFmtId="168" fontId="1" fillId="0" borderId="18" xfId="0" applyNumberFormat="1" applyFont="1" applyBorder="1" applyAlignment="1">
      <alignment vertical="center"/>
    </xf>
    <xf numFmtId="1" fontId="1" fillId="0" borderId="85" xfId="0" applyNumberFormat="1" applyFont="1" applyBorder="1" applyAlignment="1">
      <alignment vertical="center" wrapText="1"/>
    </xf>
    <xf numFmtId="1" fontId="1" fillId="0" borderId="80" xfId="0" applyNumberFormat="1" applyFont="1" applyBorder="1" applyAlignment="1">
      <alignment vertical="center" wrapText="1"/>
    </xf>
    <xf numFmtId="1" fontId="1" fillId="10" borderId="36" xfId="0" applyNumberFormat="1" applyFont="1" applyFill="1" applyBorder="1" applyAlignment="1" applyProtection="1">
      <alignment horizontal="center"/>
      <protection locked="0"/>
    </xf>
    <xf numFmtId="1" fontId="1" fillId="10" borderId="38" xfId="0" applyNumberFormat="1" applyFont="1" applyFill="1" applyBorder="1" applyAlignment="1" applyProtection="1">
      <alignment horizontal="center"/>
      <protection locked="0"/>
    </xf>
    <xf numFmtId="0" fontId="4" fillId="12" borderId="3" xfId="0" applyFont="1" applyFill="1" applyBorder="1"/>
    <xf numFmtId="0" fontId="1" fillId="12" borderId="0" xfId="0" applyFont="1" applyFill="1"/>
    <xf numFmtId="0" fontId="1" fillId="12" borderId="17" xfId="0" applyFont="1" applyFill="1" applyBorder="1"/>
    <xf numFmtId="0" fontId="1" fillId="12" borderId="3" xfId="0" applyFont="1" applyFill="1" applyBorder="1"/>
    <xf numFmtId="0" fontId="1" fillId="12" borderId="0" xfId="0" applyFont="1" applyFill="1" applyAlignment="1">
      <alignment horizontal="center"/>
    </xf>
    <xf numFmtId="0" fontId="1" fillId="12" borderId="23" xfId="0" applyFont="1" applyFill="1" applyBorder="1" applyAlignment="1">
      <alignment horizontal="center" wrapText="1"/>
    </xf>
    <xf numFmtId="0" fontId="24" fillId="12" borderId="3" xfId="0" applyFont="1" applyFill="1" applyBorder="1"/>
    <xf numFmtId="46" fontId="1" fillId="12" borderId="0" xfId="0" applyNumberFormat="1" applyFont="1" applyFill="1"/>
    <xf numFmtId="11" fontId="1" fillId="12" borderId="0" xfId="0" applyNumberFormat="1" applyFont="1" applyFill="1"/>
    <xf numFmtId="0" fontId="1" fillId="12" borderId="4" xfId="0" applyFont="1" applyFill="1" applyBorder="1"/>
    <xf numFmtId="0" fontId="1" fillId="12" borderId="1" xfId="0" applyFont="1" applyFill="1" applyBorder="1"/>
    <xf numFmtId="0" fontId="1" fillId="12" borderId="18" xfId="0" applyFont="1" applyFill="1" applyBorder="1"/>
    <xf numFmtId="0" fontId="24" fillId="13" borderId="0" xfId="0" applyFont="1" applyFill="1"/>
    <xf numFmtId="0" fontId="1" fillId="13" borderId="0" xfId="0" applyFont="1" applyFill="1"/>
    <xf numFmtId="0" fontId="1" fillId="13" borderId="0" xfId="0" applyFont="1" applyFill="1" applyAlignment="1">
      <alignment horizontal="right"/>
    </xf>
    <xf numFmtId="2" fontId="1" fillId="13" borderId="0" xfId="0" applyNumberFormat="1" applyFont="1" applyFill="1"/>
    <xf numFmtId="1" fontId="1" fillId="0" borderId="0" xfId="0" applyNumberFormat="1" applyFont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0" borderId="94" xfId="0" applyFont="1" applyBorder="1" applyAlignment="1">
      <alignment horizontal="center"/>
    </xf>
    <xf numFmtId="2" fontId="2" fillId="0" borderId="27" xfId="0" applyNumberFormat="1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164" fontId="1" fillId="11" borderId="0" xfId="0" applyNumberFormat="1" applyFont="1" applyFill="1"/>
    <xf numFmtId="0" fontId="1" fillId="0" borderId="2" xfId="0" applyFont="1" applyBorder="1" applyAlignment="1">
      <alignment horizontal="center" wrapText="1"/>
    </xf>
    <xf numFmtId="1" fontId="1" fillId="0" borderId="63" xfId="0" applyNumberFormat="1" applyFont="1" applyBorder="1"/>
    <xf numFmtId="1" fontId="1" fillId="10" borderId="51" xfId="0" applyNumberFormat="1" applyFont="1" applyFill="1" applyBorder="1" applyProtection="1">
      <protection locked="0"/>
    </xf>
    <xf numFmtId="1" fontId="1" fillId="0" borderId="65" xfId="0" applyNumberFormat="1" applyFont="1" applyBorder="1" applyProtection="1">
      <protection locked="0"/>
    </xf>
    <xf numFmtId="1" fontId="1" fillId="0" borderId="37" xfId="0" applyNumberFormat="1" applyFont="1" applyBorder="1" applyAlignment="1">
      <alignment horizontal="left"/>
    </xf>
    <xf numFmtId="1" fontId="1" fillId="0" borderId="42" xfId="0" applyNumberFormat="1" applyFont="1" applyBorder="1" applyAlignment="1">
      <alignment horizontal="left"/>
    </xf>
    <xf numFmtId="1" fontId="1" fillId="10" borderId="37" xfId="0" applyNumberFormat="1" applyFont="1" applyFill="1" applyBorder="1" applyAlignment="1" applyProtection="1">
      <alignment horizontal="center"/>
      <protection locked="0"/>
    </xf>
    <xf numFmtId="1" fontId="1" fillId="0" borderId="17" xfId="0" applyNumberFormat="1" applyFont="1" applyBorder="1" applyAlignment="1">
      <alignment horizontal="center"/>
    </xf>
    <xf numFmtId="1" fontId="1" fillId="0" borderId="40" xfId="0" applyNumberFormat="1" applyFont="1" applyBorder="1" applyProtection="1">
      <protection locked="0"/>
    </xf>
    <xf numFmtId="1" fontId="1" fillId="10" borderId="53" xfId="0" applyNumberFormat="1" applyFont="1" applyFill="1" applyBorder="1" applyProtection="1">
      <protection locked="0"/>
    </xf>
    <xf numFmtId="1" fontId="1" fillId="0" borderId="55" xfId="0" applyNumberFormat="1" applyFont="1" applyBorder="1" applyProtection="1">
      <protection locked="0"/>
    </xf>
    <xf numFmtId="1" fontId="1" fillId="0" borderId="56" xfId="0" applyNumberFormat="1" applyFont="1" applyBorder="1" applyAlignment="1">
      <alignment horizontal="left"/>
    </xf>
    <xf numFmtId="1" fontId="1" fillId="0" borderId="54" xfId="0" applyNumberFormat="1" applyFont="1" applyBorder="1" applyAlignment="1">
      <alignment horizontal="left"/>
    </xf>
    <xf numFmtId="1" fontId="1" fillId="10" borderId="56" xfId="0" applyNumberFormat="1" applyFont="1" applyFill="1" applyBorder="1" applyAlignment="1" applyProtection="1">
      <alignment horizontal="center"/>
      <protection locked="0"/>
    </xf>
    <xf numFmtId="1" fontId="1" fillId="0" borderId="18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" fontId="1" fillId="16" borderId="18" xfId="0" applyNumberFormat="1" applyFont="1" applyFill="1" applyBorder="1" applyAlignment="1" applyProtection="1">
      <alignment horizontal="center" vertical="center"/>
      <protection locked="0"/>
    </xf>
    <xf numFmtId="0" fontId="1" fillId="0" borderId="35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68" fontId="1" fillId="10" borderId="85" xfId="0" applyNumberFormat="1" applyFont="1" applyFill="1" applyBorder="1" applyAlignment="1" applyProtection="1">
      <alignment horizontal="right" vertical="center"/>
      <protection locked="0"/>
    </xf>
    <xf numFmtId="168" fontId="1" fillId="10" borderId="80" xfId="0" applyNumberFormat="1" applyFont="1" applyFill="1" applyBorder="1" applyAlignment="1" applyProtection="1">
      <alignment vertical="center"/>
      <protection locked="0"/>
    </xf>
    <xf numFmtId="168" fontId="1" fillId="10" borderId="68" xfId="0" applyNumberFormat="1" applyFont="1" applyFill="1" applyBorder="1" applyProtection="1">
      <protection locked="0"/>
    </xf>
    <xf numFmtId="168" fontId="1" fillId="0" borderId="70" xfId="0" applyNumberFormat="1" applyFont="1" applyBorder="1"/>
    <xf numFmtId="0" fontId="1" fillId="0" borderId="3" xfId="0" applyFont="1" applyBorder="1"/>
    <xf numFmtId="0" fontId="1" fillId="0" borderId="90" xfId="0" applyFont="1" applyBorder="1"/>
    <xf numFmtId="0" fontId="1" fillId="0" borderId="88" xfId="0" applyFont="1" applyBorder="1" applyAlignment="1">
      <alignment horizontal="right"/>
    </xf>
    <xf numFmtId="1" fontId="1" fillId="0" borderId="95" xfId="0" applyNumberFormat="1" applyFont="1" applyBorder="1"/>
    <xf numFmtId="1" fontId="1" fillId="0" borderId="88" xfId="0" applyNumberFormat="1" applyFont="1" applyBorder="1"/>
    <xf numFmtId="1" fontId="1" fillId="0" borderId="91" xfId="0" applyNumberFormat="1" applyFont="1" applyBorder="1"/>
    <xf numFmtId="1" fontId="1" fillId="0" borderId="89" xfId="0" applyNumberFormat="1" applyFont="1" applyBorder="1"/>
    <xf numFmtId="0" fontId="1" fillId="0" borderId="136" xfId="0" applyFont="1" applyBorder="1" applyAlignment="1">
      <alignment horizontal="center" vertical="center"/>
    </xf>
    <xf numFmtId="168" fontId="1" fillId="0" borderId="59" xfId="0" applyNumberFormat="1" applyFont="1" applyBorder="1"/>
    <xf numFmtId="1" fontId="1" fillId="0" borderId="1" xfId="0" applyNumberFormat="1" applyFont="1" applyBorder="1" applyAlignment="1">
      <alignment horizontal="right" vertical="center"/>
    </xf>
    <xf numFmtId="0" fontId="1" fillId="0" borderId="81" xfId="0" applyFont="1" applyBorder="1"/>
    <xf numFmtId="0" fontId="1" fillId="0" borderId="82" xfId="0" applyFont="1" applyBorder="1" applyAlignment="1">
      <alignment horizontal="right"/>
    </xf>
    <xf numFmtId="1" fontId="1" fillId="0" borderId="69" xfId="0" applyNumberFormat="1" applyFont="1" applyBorder="1"/>
    <xf numFmtId="1" fontId="1" fillId="0" borderId="82" xfId="0" applyNumberFormat="1" applyFont="1" applyBorder="1"/>
    <xf numFmtId="1" fontId="1" fillId="0" borderId="70" xfId="0" applyNumberFormat="1" applyFont="1" applyBorder="1"/>
    <xf numFmtId="1" fontId="1" fillId="0" borderId="83" xfId="0" applyNumberFormat="1" applyFont="1" applyBorder="1"/>
    <xf numFmtId="1" fontId="1" fillId="0" borderId="80" xfId="0" applyNumberFormat="1" applyFont="1" applyBorder="1" applyAlignment="1">
      <alignment vertical="center"/>
    </xf>
    <xf numFmtId="0" fontId="1" fillId="10" borderId="86" xfId="0" applyFont="1" applyFill="1" applyBorder="1" applyAlignment="1" applyProtection="1">
      <alignment vertical="center"/>
      <protection locked="0"/>
    </xf>
    <xf numFmtId="0" fontId="1" fillId="0" borderId="4" xfId="0" applyFont="1" applyBorder="1"/>
    <xf numFmtId="0" fontId="1" fillId="0" borderId="1" xfId="0" applyFont="1" applyBorder="1" applyAlignment="1">
      <alignment horizontal="right"/>
    </xf>
    <xf numFmtId="1" fontId="1" fillId="0" borderId="59" xfId="0" applyNumberFormat="1" applyFont="1" applyBorder="1"/>
    <xf numFmtId="164" fontId="1" fillId="10" borderId="1" xfId="0" applyNumberFormat="1" applyFont="1" applyFill="1" applyBorder="1" applyProtection="1">
      <protection locked="0"/>
    </xf>
    <xf numFmtId="0" fontId="25" fillId="0" borderId="23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4" fillId="12" borderId="2" xfId="0" applyFont="1" applyFill="1" applyBorder="1"/>
    <xf numFmtId="0" fontId="1" fillId="12" borderId="15" xfId="0" applyFont="1" applyFill="1" applyBorder="1"/>
    <xf numFmtId="0" fontId="1" fillId="12" borderId="16" xfId="0" applyFont="1" applyFill="1" applyBorder="1"/>
    <xf numFmtId="1" fontId="1" fillId="12" borderId="0" xfId="0" applyNumberFormat="1" applyFont="1" applyFill="1"/>
    <xf numFmtId="164" fontId="1" fillId="12" borderId="0" xfId="0" applyNumberFormat="1" applyFont="1" applyFill="1"/>
    <xf numFmtId="1" fontId="1" fillId="0" borderId="78" xfId="0" applyNumberFormat="1" applyFont="1" applyBorder="1" applyAlignment="1">
      <alignment horizontal="right" vertical="center"/>
    </xf>
    <xf numFmtId="1" fontId="1" fillId="0" borderId="4" xfId="0" applyNumberFormat="1" applyFont="1" applyBorder="1" applyAlignment="1">
      <alignment horizontal="right" vertical="center"/>
    </xf>
    <xf numFmtId="1" fontId="1" fillId="0" borderId="87" xfId="0" applyNumberFormat="1" applyFont="1" applyBorder="1" applyAlignment="1">
      <alignment horizontal="right" vertical="center"/>
    </xf>
    <xf numFmtId="1" fontId="1" fillId="0" borderId="140" xfId="0" applyNumberFormat="1" applyFont="1" applyBorder="1" applyAlignment="1">
      <alignment vertical="center"/>
    </xf>
    <xf numFmtId="1" fontId="1" fillId="0" borderId="143" xfId="0" applyNumberFormat="1" applyFont="1" applyBorder="1" applyAlignment="1">
      <alignment vertical="center"/>
    </xf>
    <xf numFmtId="0" fontId="1" fillId="0" borderId="26" xfId="0" applyFont="1" applyBorder="1" applyAlignment="1">
      <alignment horizontal="center" vertical="center"/>
    </xf>
    <xf numFmtId="1" fontId="1" fillId="0" borderId="79" xfId="0" applyNumberFormat="1" applyFont="1" applyBorder="1" applyAlignment="1">
      <alignment horizontal="right" vertical="center"/>
    </xf>
    <xf numFmtId="1" fontId="1" fillId="0" borderId="59" xfId="0" applyNumberFormat="1" applyFont="1" applyBorder="1" applyAlignment="1">
      <alignment horizontal="right" vertical="center"/>
    </xf>
    <xf numFmtId="1" fontId="1" fillId="0" borderId="71" xfId="0" applyNumberFormat="1" applyFont="1" applyBorder="1" applyAlignment="1">
      <alignment horizontal="right" vertical="center"/>
    </xf>
    <xf numFmtId="1" fontId="1" fillId="0" borderId="92" xfId="0" applyNumberFormat="1" applyFont="1" applyBorder="1" applyAlignment="1">
      <alignment vertical="center"/>
    </xf>
    <xf numFmtId="1" fontId="1" fillId="0" borderId="72" xfId="0" applyNumberFormat="1" applyFont="1" applyBorder="1" applyAlignment="1">
      <alignment horizontal="right" vertical="center"/>
    </xf>
    <xf numFmtId="1" fontId="1" fillId="0" borderId="3" xfId="0" applyNumberFormat="1" applyFont="1" applyBorder="1" applyAlignment="1">
      <alignment horizontal="right" vertical="center"/>
    </xf>
    <xf numFmtId="1" fontId="1" fillId="0" borderId="17" xfId="0" applyNumberFormat="1" applyFont="1" applyBorder="1" applyAlignment="1">
      <alignment vertical="center"/>
    </xf>
    <xf numFmtId="0" fontId="20" fillId="0" borderId="2" xfId="0" applyFont="1" applyBorder="1"/>
    <xf numFmtId="0" fontId="1" fillId="0" borderId="92" xfId="0" applyFont="1" applyBorder="1"/>
    <xf numFmtId="2" fontId="2" fillId="0" borderId="0" xfId="0" applyNumberFormat="1" applyFont="1"/>
    <xf numFmtId="0" fontId="1" fillId="0" borderId="3" xfId="0" applyFont="1" applyBorder="1" applyAlignment="1">
      <alignment horizontal="right"/>
    </xf>
    <xf numFmtId="2" fontId="1" fillId="0" borderId="0" xfId="0" applyNumberFormat="1" applyFont="1"/>
    <xf numFmtId="164" fontId="1" fillId="0" borderId="17" xfId="0" applyNumberFormat="1" applyFont="1" applyBorder="1"/>
    <xf numFmtId="0" fontId="1" fillId="0" borderId="4" xfId="0" applyFont="1" applyBorder="1" applyAlignment="1">
      <alignment horizontal="right"/>
    </xf>
    <xf numFmtId="2" fontId="1" fillId="0" borderId="1" xfId="0" applyNumberFormat="1" applyFont="1" applyBorder="1"/>
    <xf numFmtId="164" fontId="1" fillId="0" borderId="18" xfId="0" applyNumberFormat="1" applyFont="1" applyBorder="1"/>
    <xf numFmtId="168" fontId="1" fillId="0" borderId="0" xfId="0" quotePrefix="1" applyNumberFormat="1" applyFont="1"/>
    <xf numFmtId="168" fontId="1" fillId="0" borderId="79" xfId="0" applyNumberFormat="1" applyFont="1" applyBorder="1"/>
    <xf numFmtId="168" fontId="1" fillId="0" borderId="82" xfId="0" applyNumberFormat="1" applyFont="1" applyBorder="1"/>
    <xf numFmtId="168" fontId="1" fillId="0" borderId="80" xfId="0" applyNumberFormat="1" applyFont="1" applyBorder="1"/>
    <xf numFmtId="168" fontId="1" fillId="0" borderId="1" xfId="0" applyNumberFormat="1" applyFont="1" applyBorder="1"/>
    <xf numFmtId="168" fontId="1" fillId="0" borderId="85" xfId="0" applyNumberFormat="1" applyFont="1" applyBorder="1" applyAlignment="1">
      <alignment horizontal="center"/>
    </xf>
    <xf numFmtId="168" fontId="1" fillId="0" borderId="86" xfId="0" applyNumberFormat="1" applyFont="1" applyBorder="1" applyAlignment="1">
      <alignment horizontal="center"/>
    </xf>
    <xf numFmtId="0" fontId="1" fillId="0" borderId="87" xfId="0" applyFont="1" applyBorder="1" applyAlignment="1">
      <alignment horizontal="center"/>
    </xf>
    <xf numFmtId="168" fontId="1" fillId="0" borderId="67" xfId="0" applyNumberFormat="1" applyFont="1" applyBorder="1"/>
    <xf numFmtId="168" fontId="1" fillId="0" borderId="68" xfId="0" applyNumberFormat="1" applyFont="1" applyBorder="1"/>
    <xf numFmtId="168" fontId="1" fillId="0" borderId="69" xfId="0" applyNumberFormat="1" applyFont="1" applyBorder="1"/>
    <xf numFmtId="0" fontId="1" fillId="0" borderId="145" xfId="0" applyFont="1" applyBorder="1" applyAlignment="1">
      <alignment horizontal="center" vertical="center"/>
    </xf>
    <xf numFmtId="1" fontId="1" fillId="0" borderId="146" xfId="0" applyNumberFormat="1" applyFont="1" applyBorder="1"/>
    <xf numFmtId="168" fontId="1" fillId="5" borderId="87" xfId="0" applyNumberFormat="1" applyFont="1" applyFill="1" applyBorder="1" applyAlignment="1" applyProtection="1">
      <alignment horizontal="right" vertical="center"/>
      <protection locked="0"/>
    </xf>
    <xf numFmtId="168" fontId="1" fillId="5" borderId="89" xfId="0" applyNumberFormat="1" applyFont="1" applyFill="1" applyBorder="1" applyAlignment="1" applyProtection="1">
      <alignment vertical="center"/>
      <protection locked="0"/>
    </xf>
    <xf numFmtId="0" fontId="1" fillId="5" borderId="83" xfId="0" applyFont="1" applyFill="1" applyBorder="1" applyAlignment="1" applyProtection="1">
      <alignment vertical="center"/>
      <protection locked="0"/>
    </xf>
    <xf numFmtId="168" fontId="1" fillId="5" borderId="18" xfId="0" applyNumberFormat="1" applyFont="1" applyFill="1" applyBorder="1" applyAlignment="1" applyProtection="1">
      <alignment vertical="center"/>
      <protection locked="0"/>
    </xf>
    <xf numFmtId="1" fontId="1" fillId="17" borderId="36" xfId="0" applyNumberFormat="1" applyFont="1" applyFill="1" applyBorder="1" applyAlignment="1" applyProtection="1">
      <alignment horizontal="center"/>
      <protection locked="0"/>
    </xf>
    <xf numFmtId="1" fontId="1" fillId="17" borderId="37" xfId="0" applyNumberFormat="1" applyFont="1" applyFill="1" applyBorder="1" applyAlignment="1" applyProtection="1">
      <alignment horizontal="center"/>
      <protection locked="0"/>
    </xf>
    <xf numFmtId="1" fontId="1" fillId="17" borderId="56" xfId="0" applyNumberFormat="1" applyFont="1" applyFill="1" applyBorder="1" applyAlignment="1" applyProtection="1">
      <alignment horizontal="center"/>
      <protection locked="0"/>
    </xf>
    <xf numFmtId="0" fontId="0" fillId="17" borderId="139" xfId="0" applyFill="1" applyBorder="1" applyAlignment="1" applyProtection="1">
      <alignment horizontal="center"/>
      <protection locked="0"/>
    </xf>
    <xf numFmtId="0" fontId="1" fillId="17" borderId="64" xfId="0" applyFont="1" applyFill="1" applyBorder="1" applyAlignment="1" applyProtection="1">
      <alignment horizontal="center"/>
      <protection locked="0"/>
    </xf>
    <xf numFmtId="1" fontId="1" fillId="17" borderId="89" xfId="0" applyNumberFormat="1" applyFont="1" applyFill="1" applyBorder="1" applyAlignment="1" applyProtection="1">
      <alignment horizontal="center"/>
      <protection locked="0"/>
    </xf>
    <xf numFmtId="0" fontId="0" fillId="17" borderId="0" xfId="0" applyFill="1" applyAlignment="1" applyProtection="1">
      <alignment horizontal="center"/>
      <protection locked="0"/>
    </xf>
    <xf numFmtId="1" fontId="1" fillId="17" borderId="43" xfId="0" applyNumberFormat="1" applyFont="1" applyFill="1" applyBorder="1" applyAlignment="1" applyProtection="1">
      <alignment horizontal="center"/>
      <protection locked="0"/>
    </xf>
    <xf numFmtId="0" fontId="0" fillId="17" borderId="37" xfId="0" applyFill="1" applyBorder="1" applyProtection="1">
      <protection locked="0"/>
    </xf>
    <xf numFmtId="0" fontId="0" fillId="17" borderId="1" xfId="0" applyFill="1" applyBorder="1" applyProtection="1">
      <protection locked="0"/>
    </xf>
    <xf numFmtId="0" fontId="0" fillId="17" borderId="42" xfId="0" applyFill="1" applyBorder="1" applyProtection="1">
      <protection locked="0"/>
    </xf>
    <xf numFmtId="0" fontId="0" fillId="17" borderId="59" xfId="0" applyFill="1" applyBorder="1" applyProtection="1">
      <protection locked="0"/>
    </xf>
    <xf numFmtId="1" fontId="1" fillId="17" borderId="38" xfId="0" applyNumberFormat="1" applyFont="1" applyFill="1" applyBorder="1" applyAlignment="1" applyProtection="1">
      <alignment horizontal="center"/>
      <protection locked="0"/>
    </xf>
    <xf numFmtId="0" fontId="1" fillId="17" borderId="86" xfId="0" applyFont="1" applyFill="1" applyBorder="1" applyAlignment="1" applyProtection="1">
      <alignment horizontal="center" vertical="center"/>
      <protection locked="0"/>
    </xf>
    <xf numFmtId="0" fontId="1" fillId="17" borderId="83" xfId="0" applyFont="1" applyFill="1" applyBorder="1" applyAlignment="1" applyProtection="1">
      <alignment horizontal="center" vertical="center"/>
      <protection locked="0"/>
    </xf>
    <xf numFmtId="0" fontId="1" fillId="0" borderId="96" xfId="0" applyFont="1" applyBorder="1"/>
    <xf numFmtId="0" fontId="1" fillId="0" borderId="98" xfId="0" applyFont="1" applyBorder="1" applyAlignment="1">
      <alignment horizontal="right"/>
    </xf>
    <xf numFmtId="1" fontId="1" fillId="0" borderId="98" xfId="0" applyNumberFormat="1" applyFont="1" applyBorder="1"/>
    <xf numFmtId="1" fontId="1" fillId="0" borderId="99" xfId="0" applyNumberFormat="1" applyFont="1" applyBorder="1"/>
    <xf numFmtId="0" fontId="1" fillId="0" borderId="46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60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3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124" xfId="0" applyFont="1" applyBorder="1" applyAlignment="1">
      <alignment horizontal="center" vertical="center"/>
    </xf>
    <xf numFmtId="0" fontId="1" fillId="0" borderId="93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61" xfId="0" applyFont="1" applyBorder="1" applyAlignment="1">
      <alignment horizontal="center" wrapText="1"/>
    </xf>
    <xf numFmtId="0" fontId="1" fillId="0" borderId="35" xfId="0" applyFont="1" applyBorder="1" applyAlignment="1">
      <alignment horizontal="center" wrapText="1"/>
    </xf>
    <xf numFmtId="0" fontId="1" fillId="0" borderId="62" xfId="0" applyFont="1" applyBorder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25" xfId="0" applyFont="1" applyBorder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wrapText="1"/>
    </xf>
    <xf numFmtId="0" fontId="1" fillId="0" borderId="46" xfId="0" applyFont="1" applyBorder="1" applyAlignment="1">
      <alignment horizontal="center" wrapText="1"/>
    </xf>
    <xf numFmtId="0" fontId="3" fillId="0" borderId="3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31" xfId="0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72" fontId="1" fillId="0" borderId="48" xfId="0" applyNumberFormat="1" applyFont="1" applyBorder="1" applyAlignment="1">
      <alignment horizontal="center"/>
    </xf>
    <xf numFmtId="172" fontId="0" fillId="0" borderId="0" xfId="0" applyNumberFormat="1"/>
    <xf numFmtId="170" fontId="0" fillId="0" borderId="0" xfId="0" applyNumberFormat="1"/>
    <xf numFmtId="167" fontId="1" fillId="0" borderId="0" xfId="0" applyNumberFormat="1" applyFont="1"/>
    <xf numFmtId="165" fontId="1" fillId="0" borderId="0" xfId="0" applyNumberFormat="1" applyFont="1"/>
    <xf numFmtId="172" fontId="1" fillId="0" borderId="0" xfId="0" applyNumberFormat="1" applyFont="1" applyAlignment="1">
      <alignment horizontal="center"/>
    </xf>
    <xf numFmtId="167" fontId="0" fillId="0" borderId="0" xfId="0" applyNumberFormat="1"/>
    <xf numFmtId="169" fontId="0" fillId="12" borderId="0" xfId="0" applyNumberFormat="1" applyFill="1"/>
    <xf numFmtId="173" fontId="1" fillId="3" borderId="85" xfId="1" applyNumberFormat="1" applyFont="1" applyFill="1" applyBorder="1" applyAlignment="1" applyProtection="1">
      <alignment vertical="center"/>
      <protection locked="0"/>
    </xf>
    <xf numFmtId="173" fontId="1" fillId="3" borderId="86" xfId="1" applyNumberFormat="1" applyFont="1" applyFill="1" applyBorder="1" applyAlignment="1" applyProtection="1">
      <alignment vertical="center"/>
      <protection locked="0"/>
    </xf>
    <xf numFmtId="173" fontId="1" fillId="15" borderId="86" xfId="1" applyNumberFormat="1" applyFont="1" applyFill="1" applyBorder="1" applyAlignment="1" applyProtection="1">
      <alignment vertical="center"/>
      <protection locked="0"/>
    </xf>
    <xf numFmtId="173" fontId="1" fillId="15" borderId="100" xfId="1" applyNumberFormat="1" applyFont="1" applyFill="1" applyBorder="1" applyAlignment="1" applyProtection="1">
      <alignment vertical="center"/>
      <protection locked="0"/>
    </xf>
    <xf numFmtId="167" fontId="1" fillId="0" borderId="35" xfId="0" applyNumberFormat="1" applyFont="1" applyBorder="1" applyAlignment="1" applyProtection="1">
      <alignment vertical="center"/>
      <protection locked="0"/>
    </xf>
    <xf numFmtId="167" fontId="1" fillId="0" borderId="1" xfId="0" applyNumberFormat="1" applyFont="1" applyBorder="1" applyAlignment="1" applyProtection="1">
      <alignment vertical="center"/>
      <protection locked="0"/>
    </xf>
    <xf numFmtId="167" fontId="0" fillId="12" borderId="0" xfId="0" applyNumberFormat="1" applyFill="1"/>
    <xf numFmtId="166" fontId="1" fillId="0" borderId="18" xfId="0" applyNumberFormat="1" applyFont="1" applyBorder="1" applyAlignment="1">
      <alignment horizontal="center" vertical="center"/>
    </xf>
    <xf numFmtId="170" fontId="0" fillId="12" borderId="0" xfId="0" applyNumberFormat="1" applyFill="1"/>
    <xf numFmtId="171" fontId="0" fillId="12" borderId="1" xfId="0" applyNumberFormat="1" applyFill="1" applyBorder="1"/>
    <xf numFmtId="167" fontId="0" fillId="13" borderId="0" xfId="0" applyNumberFormat="1" applyFill="1"/>
    <xf numFmtId="170" fontId="0" fillId="13" borderId="0" xfId="0" applyNumberFormat="1" applyFill="1"/>
    <xf numFmtId="171" fontId="0" fillId="13" borderId="0" xfId="0" applyNumberFormat="1" applyFill="1"/>
    <xf numFmtId="167" fontId="0" fillId="13" borderId="1" xfId="0" applyNumberFormat="1" applyFill="1" applyBorder="1" applyAlignment="1">
      <alignment horizontal="right"/>
    </xf>
    <xf numFmtId="166" fontId="1" fillId="0" borderId="76" xfId="0" applyNumberFormat="1" applyFont="1" applyBorder="1" applyAlignment="1">
      <alignment horizontal="center" vertical="center"/>
    </xf>
    <xf numFmtId="166" fontId="1" fillId="0" borderId="35" xfId="0" applyNumberFormat="1" applyFont="1" applyBorder="1" applyAlignment="1">
      <alignment horizontal="center"/>
    </xf>
    <xf numFmtId="172" fontId="1" fillId="0" borderId="3" xfId="0" applyNumberFormat="1" applyFont="1" applyBorder="1"/>
    <xf numFmtId="172" fontId="1" fillId="0" borderId="4" xfId="0" applyNumberFormat="1" applyFont="1" applyBorder="1"/>
    <xf numFmtId="166" fontId="1" fillId="10" borderId="118" xfId="0" applyNumberFormat="1" applyFont="1" applyFill="1" applyBorder="1" applyProtection="1">
      <protection locked="0"/>
    </xf>
    <xf numFmtId="167" fontId="2" fillId="0" borderId="0" xfId="0" applyNumberFormat="1" applyFont="1"/>
    <xf numFmtId="166" fontId="1" fillId="0" borderId="85" xfId="0" applyNumberFormat="1" applyFont="1" applyBorder="1" applyAlignment="1">
      <alignment horizontal="right" vertical="center"/>
    </xf>
    <xf numFmtId="166" fontId="1" fillId="0" borderId="141" xfId="0" applyNumberFormat="1" applyFont="1" applyBorder="1" applyAlignment="1">
      <alignment vertical="center"/>
    </xf>
    <xf numFmtId="166" fontId="1" fillId="0" borderId="68" xfId="0" applyNumberFormat="1" applyFont="1" applyBorder="1" applyAlignment="1">
      <alignment horizontal="right" vertical="center"/>
    </xf>
    <xf numFmtId="166" fontId="1" fillId="0" borderId="86" xfId="0" applyNumberFormat="1" applyFont="1" applyBorder="1" applyAlignment="1">
      <alignment horizontal="right" vertical="center"/>
    </xf>
    <xf numFmtId="166" fontId="1" fillId="0" borderId="142" xfId="0" applyNumberFormat="1" applyFont="1" applyBorder="1" applyAlignment="1">
      <alignment vertical="center"/>
    </xf>
    <xf numFmtId="166" fontId="1" fillId="0" borderId="70" xfId="0" applyNumberFormat="1" applyFont="1" applyBorder="1" applyAlignment="1">
      <alignment horizontal="right" vertical="center"/>
    </xf>
    <xf numFmtId="172" fontId="1" fillId="0" borderId="0" xfId="0" applyNumberFormat="1" applyFont="1"/>
    <xf numFmtId="170" fontId="1" fillId="0" borderId="0" xfId="0" applyNumberFormat="1" applyFont="1"/>
    <xf numFmtId="169" fontId="1" fillId="12" borderId="0" xfId="0" applyNumberFormat="1" applyFont="1" applyFill="1"/>
    <xf numFmtId="165" fontId="1" fillId="12" borderId="0" xfId="0" applyNumberFormat="1" applyFont="1" applyFill="1"/>
    <xf numFmtId="172" fontId="1" fillId="12" borderId="1" xfId="0" applyNumberFormat="1" applyFont="1" applyFill="1" applyBorder="1"/>
    <xf numFmtId="166" fontId="1" fillId="0" borderId="118" xfId="0" applyNumberFormat="1" applyFont="1" applyBorder="1" applyProtection="1">
      <protection locked="0"/>
    </xf>
    <xf numFmtId="165" fontId="3" fillId="0" borderId="28" xfId="0" applyNumberFormat="1" applyFont="1" applyBorder="1"/>
    <xf numFmtId="165" fontId="3" fillId="0" borderId="27" xfId="0" applyNumberFormat="1" applyFont="1" applyBorder="1"/>
    <xf numFmtId="165" fontId="3" fillId="0" borderId="0" xfId="0" applyNumberFormat="1" applyFont="1" applyAlignment="1">
      <alignment horizontal="right"/>
    </xf>
    <xf numFmtId="165" fontId="3" fillId="0" borderId="0" xfId="0" applyNumberFormat="1" applyFont="1" applyAlignment="1">
      <alignment horizontal="center"/>
    </xf>
    <xf numFmtId="165" fontId="3" fillId="0" borderId="29" xfId="0" applyNumberFormat="1" applyFont="1" applyBorder="1"/>
    <xf numFmtId="165" fontId="3" fillId="0" borderId="31" xfId="0" applyNumberFormat="1" applyFont="1" applyBorder="1"/>
    <xf numFmtId="165" fontId="3" fillId="0" borderId="25" xfId="0" applyNumberFormat="1" applyFont="1" applyBorder="1"/>
    <xf numFmtId="165" fontId="3" fillId="0" borderId="26" xfId="0" applyNumberFormat="1" applyFont="1" applyBorder="1"/>
    <xf numFmtId="167" fontId="3" fillId="0" borderId="0" xfId="0" applyNumberFormat="1" applyFont="1"/>
    <xf numFmtId="169" fontId="3" fillId="11" borderId="0" xfId="0" applyNumberFormat="1" applyFont="1" applyFill="1"/>
    <xf numFmtId="167" fontId="3" fillId="11" borderId="17" xfId="0" applyNumberFormat="1" applyFont="1" applyFill="1" applyBorder="1"/>
    <xf numFmtId="172" fontId="3" fillId="11" borderId="17" xfId="0" applyNumberFormat="1" applyFont="1" applyFill="1" applyBorder="1"/>
    <xf numFmtId="167" fontId="3" fillId="11" borderId="0" xfId="0" applyNumberFormat="1" applyFont="1" applyFill="1" applyAlignment="1">
      <alignment horizontal="right"/>
    </xf>
    <xf numFmtId="166" fontId="3" fillId="0" borderId="0" xfId="0" applyNumberFormat="1" applyFont="1"/>
    <xf numFmtId="166" fontId="1" fillId="0" borderId="38" xfId="0" applyNumberFormat="1" applyFont="1" applyBorder="1" applyAlignment="1">
      <alignment horizontal="center"/>
    </xf>
    <xf numFmtId="166" fontId="1" fillId="0" borderId="73" xfId="0" applyNumberFormat="1" applyFont="1" applyBorder="1"/>
    <xf numFmtId="165" fontId="1" fillId="2" borderId="30" xfId="0" applyNumberFormat="1" applyFont="1" applyFill="1" applyBorder="1" applyProtection="1">
      <protection locked="0"/>
    </xf>
    <xf numFmtId="165" fontId="1" fillId="2" borderId="31" xfId="0" applyNumberFormat="1" applyFont="1" applyFill="1" applyBorder="1" applyProtection="1">
      <protection locked="0"/>
    </xf>
    <xf numFmtId="165" fontId="1" fillId="2" borderId="0" xfId="0" applyNumberFormat="1" applyFont="1" applyFill="1" applyProtection="1">
      <protection locked="0"/>
    </xf>
    <xf numFmtId="165" fontId="1" fillId="2" borderId="27" xfId="0" applyNumberFormat="1" applyFont="1" applyFill="1" applyBorder="1" applyProtection="1">
      <protection locked="0"/>
    </xf>
    <xf numFmtId="165" fontId="1" fillId="0" borderId="23" xfId="0" applyNumberFormat="1" applyFont="1" applyBorder="1"/>
    <xf numFmtId="165" fontId="1" fillId="0" borderId="24" xfId="0" applyNumberFormat="1" applyFont="1" applyBorder="1"/>
    <xf numFmtId="0" fontId="17" fillId="3" borderId="2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Protection="1">
      <protection locked="0"/>
    </xf>
    <xf numFmtId="0" fontId="0" fillId="0" borderId="23" xfId="0" applyBorder="1" applyAlignment="1">
      <alignment horizontal="center"/>
    </xf>
    <xf numFmtId="0" fontId="0" fillId="0" borderId="23" xfId="0" applyBorder="1"/>
    <xf numFmtId="0" fontId="1" fillId="0" borderId="116" xfId="0" applyFont="1" applyBorder="1" applyAlignment="1">
      <alignment horizontal="center" wrapText="1"/>
    </xf>
    <xf numFmtId="0" fontId="0" fillId="0" borderId="123" xfId="0" applyBorder="1"/>
    <xf numFmtId="0" fontId="4" fillId="0" borderId="147" xfId="0" applyFont="1" applyBorder="1" applyAlignment="1">
      <alignment horizontal="center"/>
    </xf>
    <xf numFmtId="0" fontId="0" fillId="0" borderId="48" xfId="0" applyBorder="1"/>
    <xf numFmtId="0" fontId="1" fillId="0" borderId="135" xfId="0" applyFont="1" applyBorder="1" applyAlignment="1">
      <alignment horizontal="center" vertical="center" wrapText="1"/>
    </xf>
    <xf numFmtId="0" fontId="0" fillId="0" borderId="92" xfId="0" applyBorder="1"/>
    <xf numFmtId="167" fontId="1" fillId="0" borderId="63" xfId="0" applyNumberFormat="1" applyFont="1" applyBorder="1" applyAlignment="1">
      <alignment horizontal="center"/>
    </xf>
    <xf numFmtId="0" fontId="0" fillId="0" borderId="38" xfId="0" applyBorder="1"/>
    <xf numFmtId="0" fontId="1" fillId="0" borderId="135" xfId="0" applyFont="1" applyBorder="1" applyAlignment="1">
      <alignment horizontal="center" vertical="center"/>
    </xf>
    <xf numFmtId="0" fontId="0" fillId="0" borderId="72" xfId="0" applyBorder="1"/>
    <xf numFmtId="0" fontId="1" fillId="0" borderId="2" xfId="0" applyFont="1" applyBorder="1" applyAlignment="1">
      <alignment horizontal="center" vertical="center"/>
    </xf>
    <xf numFmtId="0" fontId="0" fillId="0" borderId="15" xfId="0" applyBorder="1"/>
    <xf numFmtId="0" fontId="1" fillId="0" borderId="62" xfId="0" applyFont="1" applyBorder="1" applyAlignment="1">
      <alignment horizontal="center" wrapText="1"/>
    </xf>
    <xf numFmtId="0" fontId="4" fillId="0" borderId="145" xfId="0" applyFont="1" applyBorder="1" applyAlignment="1">
      <alignment horizontal="center"/>
    </xf>
    <xf numFmtId="0" fontId="0" fillId="0" borderId="46" xfId="0" applyBorder="1"/>
    <xf numFmtId="0" fontId="0" fillId="0" borderId="34" xfId="0" applyBorder="1"/>
    <xf numFmtId="0" fontId="1" fillId="0" borderId="145" xfId="0" applyFont="1" applyBorder="1" applyAlignment="1">
      <alignment horizontal="center" vertical="center"/>
    </xf>
    <xf numFmtId="0" fontId="18" fillId="0" borderId="124" xfId="0" applyFont="1" applyBorder="1" applyAlignment="1">
      <alignment horizontal="center" vertical="center" wrapText="1"/>
    </xf>
    <xf numFmtId="0" fontId="0" fillId="0" borderId="47" xfId="0" applyBorder="1"/>
    <xf numFmtId="0" fontId="1" fillId="0" borderId="92" xfId="0" applyFont="1" applyBorder="1" applyAlignment="1">
      <alignment horizontal="center" vertical="center" wrapText="1"/>
    </xf>
    <xf numFmtId="0" fontId="1" fillId="0" borderId="116" xfId="0" applyFont="1" applyBorder="1" applyAlignment="1">
      <alignment horizontal="center" vertical="center"/>
    </xf>
    <xf numFmtId="0" fontId="0" fillId="0" borderId="115" xfId="0" applyBorder="1"/>
    <xf numFmtId="0" fontId="1" fillId="0" borderId="46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/>
    </xf>
    <xf numFmtId="164" fontId="1" fillId="0" borderId="135" xfId="0" applyNumberFormat="1" applyFont="1" applyBorder="1" applyAlignment="1">
      <alignment horizontal="center" vertical="center"/>
    </xf>
    <xf numFmtId="0" fontId="1" fillId="0" borderId="61" xfId="0" applyFont="1" applyBorder="1" applyAlignment="1">
      <alignment horizontal="right" vertical="center"/>
    </xf>
    <xf numFmtId="0" fontId="0" fillId="0" borderId="35" xfId="0" applyBorder="1"/>
    <xf numFmtId="0" fontId="4" fillId="0" borderId="135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149" xfId="0" applyFont="1" applyBorder="1" applyAlignment="1">
      <alignment horizontal="center" vertical="center"/>
    </xf>
    <xf numFmtId="0" fontId="0" fillId="0" borderId="62" xfId="0" applyBorder="1"/>
    <xf numFmtId="1" fontId="17" fillId="3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35" xfId="0" applyBorder="1" applyProtection="1">
      <protection locked="0"/>
    </xf>
    <xf numFmtId="0" fontId="1" fillId="0" borderId="124" xfId="0" applyFont="1" applyBorder="1" applyAlignment="1">
      <alignment horizontal="center" vertical="center" wrapText="1"/>
    </xf>
    <xf numFmtId="0" fontId="1" fillId="0" borderId="148" xfId="0" applyFont="1" applyBorder="1" applyAlignment="1">
      <alignment horizontal="center" wrapText="1"/>
    </xf>
    <xf numFmtId="0" fontId="0" fillId="0" borderId="87" xfId="0" applyBorder="1"/>
    <xf numFmtId="0" fontId="1" fillId="0" borderId="93" xfId="0" applyFont="1" applyBorder="1" applyAlignment="1">
      <alignment horizontal="center" vertical="center" wrapText="1"/>
    </xf>
    <xf numFmtId="167" fontId="1" fillId="0" borderId="4" xfId="0" applyNumberFormat="1" applyFont="1" applyBorder="1" applyAlignment="1">
      <alignment horizontal="center"/>
    </xf>
    <xf numFmtId="0" fontId="0" fillId="0" borderId="1" xfId="0" applyBorder="1"/>
    <xf numFmtId="0" fontId="1" fillId="0" borderId="4" xfId="0" applyFont="1" applyBorder="1" applyAlignment="1">
      <alignment horizontal="center" vertical="center"/>
    </xf>
    <xf numFmtId="0" fontId="18" fillId="0" borderId="71" xfId="0" applyFont="1" applyBorder="1" applyAlignment="1">
      <alignment horizontal="center" vertical="center" wrapText="1"/>
    </xf>
    <xf numFmtId="0" fontId="18" fillId="0" borderId="46" xfId="0" applyFont="1" applyBorder="1" applyAlignment="1">
      <alignment horizontal="center" vertical="center" wrapText="1"/>
    </xf>
    <xf numFmtId="0" fontId="18" fillId="0" borderId="117" xfId="0" applyFont="1" applyBorder="1" applyAlignment="1">
      <alignment horizontal="center" vertical="center"/>
    </xf>
    <xf numFmtId="0" fontId="1" fillId="0" borderId="71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148" xfId="0" applyFont="1" applyBorder="1" applyAlignment="1">
      <alignment horizontal="center" vertical="center"/>
    </xf>
    <xf numFmtId="0" fontId="1" fillId="0" borderId="4" xfId="0" applyFont="1" applyBorder="1" applyAlignment="1">
      <alignment horizontal="right" vertical="center"/>
    </xf>
    <xf numFmtId="0" fontId="0" fillId="0" borderId="24" xfId="0" applyBorder="1" applyAlignment="1">
      <alignment horizontal="center"/>
    </xf>
    <xf numFmtId="0" fontId="0" fillId="0" borderId="24" xfId="0" applyBorder="1"/>
    <xf numFmtId="0" fontId="1" fillId="0" borderId="34" xfId="0" applyFont="1" applyBorder="1" applyAlignment="1">
      <alignment horizontal="center" vertical="center"/>
    </xf>
    <xf numFmtId="0" fontId="1" fillId="0" borderId="124" xfId="0" applyFont="1" applyBorder="1" applyAlignment="1">
      <alignment horizontal="center" vertical="center"/>
    </xf>
    <xf numFmtId="0" fontId="1" fillId="0" borderId="145" xfId="0" applyFont="1" applyBorder="1" applyAlignment="1">
      <alignment horizontal="center"/>
    </xf>
    <xf numFmtId="0" fontId="1" fillId="0" borderId="137" xfId="0" applyFont="1" applyBorder="1" applyAlignment="1">
      <alignment horizontal="right" vertical="center"/>
    </xf>
    <xf numFmtId="0" fontId="0" fillId="0" borderId="138" xfId="0" applyBorder="1"/>
    <xf numFmtId="0" fontId="1" fillId="0" borderId="150" xfId="0" applyFont="1" applyBorder="1" applyAlignment="1">
      <alignment horizontal="center" vertical="center"/>
    </xf>
    <xf numFmtId="0" fontId="0" fillId="0" borderId="16" xfId="0" applyBorder="1"/>
    <xf numFmtId="0" fontId="0" fillId="0" borderId="3" xfId="0" applyBorder="1"/>
    <xf numFmtId="0" fontId="3" fillId="0" borderId="0" xfId="0" applyFont="1"/>
    <xf numFmtId="0" fontId="0" fillId="0" borderId="17" xfId="0" applyBorder="1"/>
    <xf numFmtId="1" fontId="4" fillId="10" borderId="35" xfId="0" applyNumberFormat="1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horizontal="center"/>
    </xf>
    <xf numFmtId="0" fontId="4" fillId="0" borderId="51" xfId="0" applyFont="1" applyBorder="1" applyAlignment="1">
      <alignment horizontal="center"/>
    </xf>
    <xf numFmtId="0" fontId="0" fillId="0" borderId="37" xfId="0" applyBorder="1"/>
    <xf numFmtId="0" fontId="9" fillId="0" borderId="0" xfId="0" applyFont="1" applyAlignment="1">
      <alignment horizontal="center"/>
    </xf>
    <xf numFmtId="0" fontId="2" fillId="0" borderId="0" xfId="0" applyFont="1"/>
    <xf numFmtId="0" fontId="1" fillId="0" borderId="1" xfId="0" applyFont="1" applyBorder="1" applyAlignment="1">
      <alignment horizontal="center" wrapText="1"/>
    </xf>
    <xf numFmtId="0" fontId="4" fillId="0" borderId="49" xfId="0" applyFont="1" applyBorder="1" applyAlignment="1">
      <alignment horizontal="center"/>
    </xf>
    <xf numFmtId="0" fontId="0" fillId="0" borderId="36" xfId="0" applyBorder="1"/>
    <xf numFmtId="0" fontId="1" fillId="0" borderId="7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/>
    <xf numFmtId="0" fontId="4" fillId="0" borderId="145" xfId="0" applyFont="1" applyBorder="1" applyAlignment="1">
      <alignment horizontal="center" vertical="center"/>
    </xf>
    <xf numFmtId="0" fontId="1" fillId="0" borderId="9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53" xfId="0" applyFont="1" applyBorder="1" applyAlignment="1">
      <alignment horizontal="center"/>
    </xf>
    <xf numFmtId="0" fontId="0" fillId="0" borderId="152" xfId="0" applyBorder="1"/>
    <xf numFmtId="0" fontId="1" fillId="0" borderId="26" xfId="0" applyFont="1" applyBorder="1" applyAlignment="1">
      <alignment horizontal="center" wrapText="1"/>
    </xf>
    <xf numFmtId="0" fontId="0" fillId="0" borderId="26" xfId="0" applyBorder="1"/>
    <xf numFmtId="0" fontId="1" fillId="0" borderId="61" xfId="0" applyFont="1" applyBorder="1" applyAlignment="1">
      <alignment horizontal="center" wrapText="1"/>
    </xf>
    <xf numFmtId="164" fontId="1" fillId="0" borderId="92" xfId="0" applyNumberFormat="1" applyFont="1" applyBorder="1" applyAlignment="1">
      <alignment horizontal="center"/>
    </xf>
    <xf numFmtId="0" fontId="4" fillId="10" borderId="23" xfId="0" applyFont="1" applyFill="1" applyBorder="1" applyAlignment="1" applyProtection="1">
      <alignment horizontal="center"/>
      <protection locked="0"/>
    </xf>
    <xf numFmtId="0" fontId="1" fillId="0" borderId="150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/>
    </xf>
    <xf numFmtId="0" fontId="1" fillId="0" borderId="90" xfId="0" applyFont="1" applyBorder="1" applyAlignment="1">
      <alignment horizontal="center"/>
    </xf>
    <xf numFmtId="0" fontId="0" fillId="0" borderId="88" xfId="0" applyBorder="1"/>
    <xf numFmtId="0" fontId="1" fillId="0" borderId="145" xfId="0" applyFont="1" applyBorder="1" applyAlignment="1">
      <alignment horizontal="center" wrapText="1"/>
    </xf>
    <xf numFmtId="0" fontId="1" fillId="0" borderId="151" xfId="0" applyFont="1" applyBorder="1" applyAlignment="1">
      <alignment horizontal="center"/>
    </xf>
    <xf numFmtId="0" fontId="0" fillId="3" borderId="135" xfId="0" applyFill="1" applyBorder="1" applyAlignment="1" applyProtection="1">
      <alignment horizontal="left" vertical="top" wrapText="1"/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8" xfId="0" applyBorder="1" applyProtection="1">
      <protection locked="0"/>
    </xf>
    <xf numFmtId="0" fontId="1" fillId="0" borderId="47" xfId="0" applyFont="1" applyBorder="1" applyAlignment="1">
      <alignment horizontal="center" vertical="center"/>
    </xf>
    <xf numFmtId="0" fontId="1" fillId="0" borderId="151" xfId="0" applyFont="1" applyBorder="1" applyAlignment="1">
      <alignment horizontal="center" wrapText="1"/>
    </xf>
    <xf numFmtId="0" fontId="1" fillId="0" borderId="124" xfId="0" applyFont="1" applyBorder="1" applyAlignment="1">
      <alignment horizontal="center"/>
    </xf>
    <xf numFmtId="0" fontId="1" fillId="0" borderId="25" xfId="0" applyFont="1" applyBorder="1" applyAlignment="1">
      <alignment horizontal="center" wrapText="1"/>
    </xf>
    <xf numFmtId="164" fontId="1" fillId="0" borderId="135" xfId="0" applyNumberFormat="1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122" xfId="0" applyFont="1" applyBorder="1" applyAlignment="1">
      <alignment horizontal="center"/>
    </xf>
    <xf numFmtId="0" fontId="0" fillId="0" borderId="144" xfId="0" applyBorder="1"/>
    <xf numFmtId="0" fontId="1" fillId="0" borderId="46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0" fillId="0" borderId="54" xfId="0" applyBorder="1"/>
    <xf numFmtId="0" fontId="5" fillId="0" borderId="15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4" fillId="0" borderId="107" xfId="0" applyFont="1" applyBorder="1" applyAlignment="1">
      <alignment horizontal="center"/>
    </xf>
    <xf numFmtId="0" fontId="0" fillId="0" borderId="42" xfId="0" applyBorder="1"/>
    <xf numFmtId="0" fontId="6" fillId="0" borderId="17" xfId="0" applyFont="1" applyBorder="1" applyAlignment="1">
      <alignment horizontal="right" vertical="center"/>
    </xf>
    <xf numFmtId="1" fontId="3" fillId="0" borderId="20" xfId="0" applyNumberFormat="1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0" fillId="0" borderId="27" xfId="0" applyBorder="1"/>
    <xf numFmtId="0" fontId="4" fillId="0" borderId="106" xfId="0" applyFont="1" applyBorder="1" applyAlignment="1">
      <alignment horizontal="center"/>
    </xf>
    <xf numFmtId="0" fontId="0" fillId="0" borderId="41" xfId="0" applyBorder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7" fillId="0" borderId="135" xfId="0" applyFont="1" applyBorder="1" applyAlignment="1">
      <alignment horizontal="center" vertical="center"/>
    </xf>
    <xf numFmtId="0" fontId="0" fillId="0" borderId="4" xfId="0" applyBorder="1"/>
    <xf numFmtId="0" fontId="0" fillId="0" borderId="18" xfId="0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top"/>
    </xf>
    <xf numFmtId="1" fontId="3" fillId="0" borderId="35" xfId="0" applyNumberFormat="1" applyFont="1" applyBorder="1" applyAlignment="1">
      <alignment horizontal="center"/>
    </xf>
    <xf numFmtId="0" fontId="0" fillId="0" borderId="21" xfId="0" applyBorder="1" applyAlignment="1">
      <alignment horizontal="center" vertical="top" wrapText="1"/>
    </xf>
    <xf numFmtId="0" fontId="0" fillId="0" borderId="30" xfId="0" applyBorder="1"/>
    <xf numFmtId="0" fontId="0" fillId="0" borderId="31" xfId="0" applyBorder="1"/>
    <xf numFmtId="0" fontId="0" fillId="0" borderId="28" xfId="0" applyBorder="1"/>
    <xf numFmtId="0" fontId="4" fillId="0" borderId="23" xfId="0" applyFont="1" applyBorder="1" applyAlignment="1">
      <alignment horizontal="center"/>
    </xf>
    <xf numFmtId="1" fontId="3" fillId="5" borderId="20" xfId="0" applyNumberFormat="1" applyFont="1" applyFill="1" applyBorder="1" applyAlignment="1">
      <alignment horizontal="center"/>
    </xf>
    <xf numFmtId="1" fontId="4" fillId="0" borderId="23" xfId="0" applyNumberFormat="1" applyFont="1" applyBorder="1" applyAlignment="1">
      <alignment horizontal="center"/>
    </xf>
    <xf numFmtId="0" fontId="3" fillId="0" borderId="9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124" xfId="0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1" fillId="0" borderId="93" xfId="0" applyFont="1" applyBorder="1" applyAlignment="1">
      <alignment horizontal="center" wrapText="1"/>
    </xf>
    <xf numFmtId="1" fontId="7" fillId="2" borderId="135" xfId="0" applyNumberFormat="1" applyFont="1" applyFill="1" applyBorder="1" applyAlignment="1" applyProtection="1">
      <alignment horizontal="center" vertical="center"/>
      <protection locked="0"/>
    </xf>
    <xf numFmtId="0" fontId="1" fillId="0" borderId="20" xfId="0" applyFont="1" applyBorder="1" applyAlignment="1">
      <alignment horizontal="center"/>
    </xf>
    <xf numFmtId="164" fontId="1" fillId="0" borderId="20" xfId="0" applyNumberFormat="1" applyFont="1" applyBorder="1" applyAlignment="1">
      <alignment horizontal="center"/>
    </xf>
    <xf numFmtId="0" fontId="0" fillId="2" borderId="23" xfId="0" applyFill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106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rgb="FF008000"/>
      </font>
    </dxf>
    <dxf>
      <font>
        <color rgb="FFCC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rgb="FF008000"/>
      </font>
    </dxf>
    <dxf>
      <font>
        <color rgb="FFCC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rgb="FF008000"/>
      </font>
    </dxf>
    <dxf>
      <font>
        <color rgb="FFCC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rgb="FF008000"/>
      </font>
    </dxf>
    <dxf>
      <font>
        <color rgb="FFCC0000"/>
      </font>
    </dxf>
    <dxf>
      <font>
        <color rgb="FF008000"/>
      </font>
    </dxf>
    <dxf>
      <font>
        <color rgb="FFCC0000"/>
      </font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4" dropStyle="combo" dx="16" fmlaLink="D28" fmlaRange="$U$49:$U$52" noThreeD="1" sel="0" val="0"/>
</file>

<file path=xl/ctrlProps/ctrlProp2.xml><?xml version="1.0" encoding="utf-8"?>
<formControlPr xmlns="http://schemas.microsoft.com/office/spreadsheetml/2009/9/main" objectType="Drop" dropLines="4" dropStyle="combo" dx="16" fmlaLink="C28" fmlaRange="$U$49:$U$52" noThreeD="1" sel="0" val="0"/>
</file>

<file path=xl/ctrlProps/ctrlProp3.xml><?xml version="1.0" encoding="utf-8"?>
<formControlPr xmlns="http://schemas.microsoft.com/office/spreadsheetml/2009/9/main" objectType="Drop" dropLines="2" dropStyle="combo" dx="16" fmlaLink="$F$11" fmlaRange="$S$51:$S$52" noThreeD="1" sel="0" val="0"/>
</file>

<file path=xl/ctrlProps/ctrlProp4.xml><?xml version="1.0" encoding="utf-8"?>
<formControlPr xmlns="http://schemas.microsoft.com/office/spreadsheetml/2009/9/main" objectType="Drop" dropLines="2" dropStyle="combo" dx="16" fmlaLink="$D$11" fmlaRange="$S$49:$S$50" noThreeD="1" sel="0" val="0"/>
</file>

<file path=xl/ctrlProps/ctrlProp5.xml><?xml version="1.0" encoding="utf-8"?>
<formControlPr xmlns="http://schemas.microsoft.com/office/spreadsheetml/2009/9/main" objectType="Drop" dropLines="2" dropStyle="combo" dx="16" fmlaLink="$F$6" fmlaRange="$T$49:$T$50" noThreeD="1" sel="1" val="0"/>
</file>

<file path=xl/ctrlProps/ctrlProp6.xml><?xml version="1.0" encoding="utf-8"?>
<formControlPr xmlns="http://schemas.microsoft.com/office/spreadsheetml/2009/9/main" objectType="Drop" dropLines="2" dropStyle="combo" dx="16" fmlaLink="$F$12" fmlaRange="$S$51:$S$52" noThreeD="1" sel="0" val="0"/>
</file>

<file path=xl/ctrlProps/ctrlProp7.xml><?xml version="1.0" encoding="utf-8"?>
<formControlPr xmlns="http://schemas.microsoft.com/office/spreadsheetml/2009/9/main" objectType="Drop" dropLines="2" dropStyle="combo" dx="16" fmlaLink="$D$12" fmlaRange="$S$49:$S$50" noThreeD="1" sel="0" val="0"/>
</file>

<file path=xl/ctrlProps/ctrlProp8.xml><?xml version="1.0" encoding="utf-8"?>
<formControlPr xmlns="http://schemas.microsoft.com/office/spreadsheetml/2009/9/main" objectType="Drop" dropLines="4" dropStyle="combo" dx="16" fmlaLink="G29" fmlaRange="$U$49:$U$52" noThreeD="1" sel="0" val="0"/>
</file>

<file path=xl/ctrlProps/ctrlProp9.xml><?xml version="1.0" encoding="utf-8"?>
<formControlPr xmlns="http://schemas.microsoft.com/office/spreadsheetml/2009/9/main" objectType="Drop" dropLines="4" dropStyle="combo" dx="16" fmlaLink="F29" fmlaRange="$U$49:$U$52" noThreeD="1" sel="0" val="0"/>
</file>

<file path=xl/ctrlProps/ctrlProp10.xml><?xml version="1.0" encoding="utf-8"?>
<formControlPr xmlns="http://schemas.microsoft.com/office/spreadsheetml/2009/9/main" objectType="Drop" dropLines="2" dropStyle="combo" dx="16" fmlaLink="$E$35" fmlaRange="$V$49:$V$50" noThreeD="1" sel="0" val="0"/>
</file>

<file path=xl/ctrlProps/ctrlProp11.xml><?xml version="1.0" encoding="utf-8"?>
<formControlPr xmlns="http://schemas.microsoft.com/office/spreadsheetml/2009/9/main" objectType="Drop" dropLines="2" dropStyle="combo" dx="16" fmlaLink="$G$35" fmlaRange="$V$51:$V$52" noThreeD="1" sel="0" val="0"/>
</file>

<file path=xl/ctrlProps/ctrlProp12.xml><?xml version="1.0" encoding="utf-8"?>
<formControlPr xmlns="http://schemas.microsoft.com/office/spreadsheetml/2009/9/main" objectType="Drop" dropLines="2" dropStyle="combo" dx="16" fmlaLink="$F$7" fmlaRange="$T$49:$T$50" noThreeD="1" sel="1" val="0"/>
</file>

<file path=xl/ctrlProps/ctrlProp13.xml><?xml version="1.0" encoding="utf-8"?>
<formControlPr xmlns="http://schemas.microsoft.com/office/spreadsheetml/2009/9/main" objectType="Drop" dropLines="2" dropStyle="combo" dx="16" fmlaLink="$E$36" fmlaRange="$V$49:$V$50" noThreeD="1" sel="0" val="0"/>
</file>

<file path=xl/ctrlProps/ctrlProp14.xml><?xml version="1.0" encoding="utf-8"?>
<formControlPr xmlns="http://schemas.microsoft.com/office/spreadsheetml/2009/9/main" objectType="Drop" dropLines="2" dropStyle="combo" dx="16" fmlaLink="$G$36" fmlaRange="$V$51:$V$52" noThreeD="1" sel="0" val="0"/>
</file>

<file path=xl/ctrlProps/ctrlProp15.xml><?xml version="1.0" encoding="utf-8"?>
<formControlPr xmlns="http://schemas.microsoft.com/office/spreadsheetml/2009/9/main" objectType="Drop" dropLines="3" dropStyle="combo" dx="16" fmlaLink="$G$44" fmlaRange="$W$49:$W$51" noThreeD="1" sel="2" val="0"/>
</file>

<file path=xl/ctrlProps/ctrlProp16.xml><?xml version="1.0" encoding="utf-8"?>
<formControlPr xmlns="http://schemas.microsoft.com/office/spreadsheetml/2009/9/main" objectType="Drop" dropLines="2" dropStyle="combo" dx="16" fmlaLink="$F$13" fmlaRange="$S$51:$S$52" noThreeD="1" sel="0" val="0"/>
</file>

<file path=xl/ctrlProps/ctrlProp17.xml><?xml version="1.0" encoding="utf-8"?>
<formControlPr xmlns="http://schemas.microsoft.com/office/spreadsheetml/2009/9/main" objectType="Drop" dropLines="2" dropStyle="combo" dx="16" fmlaLink="$D$13" fmlaRange="$S$49:$S$50" noThreeD="1" sel="0" val="0"/>
</file>

<file path=xl/ctrlProps/ctrlProp18.xml><?xml version="1.0" encoding="utf-8"?>
<formControlPr xmlns="http://schemas.microsoft.com/office/spreadsheetml/2009/9/main" objectType="Drop" dropLines="4" dropStyle="combo" dx="16" fmlaLink="I29" fmlaRange="$U$49:$U$52" noThreeD="1" sel="0" val="0"/>
</file>

<file path=xl/ctrlProps/ctrlProp19.xml><?xml version="1.0" encoding="utf-8"?>
<formControlPr xmlns="http://schemas.microsoft.com/office/spreadsheetml/2009/9/main" objectType="Drop" dropLines="4" dropStyle="combo" dx="16" fmlaLink="H29" fmlaRange="$U$49:$U$52" noThreeD="1" sel="0" val="0"/>
</file>

<file path=xl/ctrlProps/ctrlProp20.xml><?xml version="1.0" encoding="utf-8"?>
<formControlPr xmlns="http://schemas.microsoft.com/office/spreadsheetml/2009/9/main" objectType="Drop" dropLines="2" dropStyle="combo" dx="16" fmlaLink="$E$37" fmlaRange="$V$49:$V$50" noThreeD="1" sel="0" val="0"/>
</file>

<file path=xl/ctrlProps/ctrlProp21.xml><?xml version="1.0" encoding="utf-8"?>
<formControlPr xmlns="http://schemas.microsoft.com/office/spreadsheetml/2009/9/main" objectType="Drop" dropLines="2" dropStyle="combo" dx="16" fmlaLink="$G$37" fmlaRange="$V$51:$V$52" noThreeD="1" sel="0" val="0"/>
</file>

<file path=xl/ctrlProps/ctrlProp22.xml><?xml version="1.0" encoding="utf-8"?>
<formControlPr xmlns="http://schemas.microsoft.com/office/spreadsheetml/2009/9/main" objectType="Drop" dropLines="2" dropStyle="combo" dx="16" fmlaLink="$E$38" fmlaRange="$V$49:$V$50" noThreeD="1" sel="0" val="0"/>
</file>

<file path=xl/ctrlProps/ctrlProp23.xml><?xml version="1.0" encoding="utf-8"?>
<formControlPr xmlns="http://schemas.microsoft.com/office/spreadsheetml/2009/9/main" objectType="Drop" dropLines="2" dropStyle="combo" dx="16" fmlaLink="$G$38" fmlaRange="$V$51:$V$52" noThreeD="1" sel="0" val="0"/>
</file>

<file path=xl/ctrlProps/ctrlProp24.xml><?xml version="1.0" encoding="utf-8"?>
<formControlPr xmlns="http://schemas.microsoft.com/office/spreadsheetml/2009/9/main" objectType="Drop" dropLines="2" dropStyle="combo" dx="16" fmlaLink="$E$16" fmlaRange="$V$49:$V$50" noThreeD="1" sel="0" val="0"/>
</file>

<file path=xl/ctrlProps/ctrlProp25.xml><?xml version="1.0" encoding="utf-8"?>
<formControlPr xmlns="http://schemas.microsoft.com/office/spreadsheetml/2009/9/main" objectType="Drop" dropLines="2" dropStyle="combo" dx="16" fmlaLink="$E$17" fmlaRange="$V$49:$V$50" noThreeD="1" sel="0" val="0"/>
</file>

<file path=xl/ctrlProps/ctrlProp26.xml><?xml version="1.0" encoding="utf-8"?>
<formControlPr xmlns="http://schemas.microsoft.com/office/spreadsheetml/2009/9/main" objectType="Drop" dropLines="2" dropStyle="combo" dx="16" fmlaLink="$E$18" fmlaRange="$V$49:$V$50" noThreeD="1" sel="0" val="0"/>
</file>

<file path=xl/ctrlProps/ctrlProp27.xml><?xml version="1.0" encoding="utf-8"?>
<formControlPr xmlns="http://schemas.microsoft.com/office/spreadsheetml/2009/9/main" objectType="Drop" dropLines="2" dropStyle="combo" dx="16" fmlaLink="$G$16" fmlaRange="$V$51:$V$52" noThreeD="1" sel="0" val="0"/>
</file>

<file path=xl/ctrlProps/ctrlProp28.xml><?xml version="1.0" encoding="utf-8"?>
<formControlPr xmlns="http://schemas.microsoft.com/office/spreadsheetml/2009/9/main" objectType="Drop" dropLines="2" dropStyle="combo" dx="16" fmlaLink="$G$17" fmlaRange="$V$51:$V$52" noThreeD="1" sel="0" val="0"/>
</file>

<file path=xl/ctrlProps/ctrlProp29.xml><?xml version="1.0" encoding="utf-8"?>
<formControlPr xmlns="http://schemas.microsoft.com/office/spreadsheetml/2009/9/main" objectType="Drop" dropLines="2" dropStyle="combo" dx="16" fmlaLink="$G$18" fmlaRange="$V$51:$V$52" noThreeD="1" sel="0" val="0"/>
</file>

<file path=xl/ctrlProps/ctrlProp30.xml><?xml version="1.0" encoding="utf-8"?>
<formControlPr xmlns="http://schemas.microsoft.com/office/spreadsheetml/2009/9/main" objectType="Drop" dropLines="2" dropStyle="combo" dx="16" fmlaLink="$D$19" fmlaRange="$X$49:$X$50" noThreeD="1" sel="1" val="0"/>
</file>

<file path=xl/ctrlProps/ctrlProp31.xml><?xml version="1.0" encoding="utf-8"?>
<formControlPr xmlns="http://schemas.microsoft.com/office/spreadsheetml/2009/9/main" objectType="Drop" dropLines="2" dropStyle="combo" dx="16" fmlaLink="S7" fmlaRange="$AQ$44:$AQ$45" noThreeD="1" sel="2" val="0"/>
</file>

<file path=xl/ctrlProps/ctrlProp32.xml><?xml version="1.0" encoding="utf-8"?>
<formControlPr xmlns="http://schemas.microsoft.com/office/spreadsheetml/2009/9/main" objectType="Drop" dropLines="2" dropStyle="combo" dx="16" fmlaLink="AH8" fmlaRange="$AO$44:$AO$45" noThreeD="1" sel="2" val="0"/>
</file>

<file path=xl/ctrlProps/ctrlProp33.xml><?xml version="1.0" encoding="utf-8"?>
<formControlPr xmlns="http://schemas.microsoft.com/office/spreadsheetml/2009/9/main" objectType="Drop" dropLines="2" dropStyle="combo" dx="16" fmlaLink="AH9" fmlaRange="$AO$44:$AO$45" noThreeD="1" sel="2" val="0"/>
</file>

<file path=xl/ctrlProps/ctrlProp34.xml><?xml version="1.0" encoding="utf-8"?>
<formControlPr xmlns="http://schemas.microsoft.com/office/spreadsheetml/2009/9/main" objectType="Drop" dropLines="2" dropStyle="combo" dx="16" fmlaLink="AH10" fmlaRange="$AO$44:$AO$45" noThreeD="1" sel="2" val="0"/>
</file>

<file path=xl/ctrlProps/ctrlProp35.xml><?xml version="1.0" encoding="utf-8"?>
<formControlPr xmlns="http://schemas.microsoft.com/office/spreadsheetml/2009/9/main" objectType="Drop" dropLines="2" dropStyle="combo" dx="16" fmlaLink="AJ8" fmlaRange="$AO$46:$AO$47" noThreeD="1" sel="2" val="0"/>
</file>

<file path=xl/ctrlProps/ctrlProp36.xml><?xml version="1.0" encoding="utf-8"?>
<formControlPr xmlns="http://schemas.microsoft.com/office/spreadsheetml/2009/9/main" objectType="Drop" dropLines="2" dropStyle="combo" dx="16" fmlaLink="AJ9" fmlaRange="$AO$46:$AO$47" noThreeD="1" sel="2" val="0"/>
</file>

<file path=xl/ctrlProps/ctrlProp37.xml><?xml version="1.0" encoding="utf-8"?>
<formControlPr xmlns="http://schemas.microsoft.com/office/spreadsheetml/2009/9/main" objectType="Drop" dropLines="2" dropStyle="combo" dx="16" fmlaLink="AJ10" fmlaRange="$AO$46:$AO$47" noThreeD="1" sel="2" val="0"/>
</file>

<file path=xl/ctrlProps/ctrlProp38.xml><?xml version="1.0" encoding="utf-8"?>
<formControlPr xmlns="http://schemas.microsoft.com/office/spreadsheetml/2009/9/main" objectType="Drop" dropLines="2" dropStyle="combo" dx="16" fmlaLink="$L$7" fmlaRange="$AL$46:$AL$47" noThreeD="1" sel="2" val="0"/>
</file>

<file path=xl/ctrlProps/ctrlProp39.xml><?xml version="1.0" encoding="utf-8"?>
<formControlPr xmlns="http://schemas.microsoft.com/office/spreadsheetml/2009/9/main" objectType="Drop" dropLines="2" dropStyle="combo" dx="16" fmlaLink="R7" fmlaRange="$AO$46:$AO$47" noThreeD="1" sel="2" val="0"/>
</file>

<file path=xl/ctrlProps/ctrlProp40.xml><?xml version="1.0" encoding="utf-8"?>
<formControlPr xmlns="http://schemas.microsoft.com/office/spreadsheetml/2009/9/main" objectType="Drop" dropLines="2" dropStyle="combo" dx="16" fmlaLink="E16" fmlaRange="$AM$44:$AM$45" noThreeD="1" sel="1" val="0"/>
</file>

<file path=xl/ctrlProps/ctrlProp41.xml><?xml version="1.0" encoding="utf-8"?>
<formControlPr xmlns="http://schemas.microsoft.com/office/spreadsheetml/2009/9/main" objectType="Drop" dropLines="2" dropStyle="combo" dx="16" fmlaLink="$J$7" fmlaRange="$AL$44:$AL$45" noThreeD="1" sel="2" val="0"/>
</file>

<file path=xl/ctrlProps/ctrlProp42.xml><?xml version="1.0" encoding="utf-8"?>
<formControlPr xmlns="http://schemas.microsoft.com/office/spreadsheetml/2009/9/main" objectType="Drop" dropLines="2" dropStyle="combo" dx="16" fmlaLink="P7" fmlaRange="$AO$44:$AO$45" noThreeD="1" sel="2" val="0"/>
</file>

<file path=xl/ctrlProps/ctrlProp43.xml><?xml version="1.0" encoding="utf-8"?>
<formControlPr xmlns="http://schemas.microsoft.com/office/spreadsheetml/2009/9/main" objectType="Drop" dropLines="2" dropStyle="combo" dx="16" fmlaLink="$E$12" fmlaRange="$AM$44:$AM$45" noThreeD="1" sel="1" val="0"/>
</file>

<file path=xl/ctrlProps/ctrlProp44.xml><?xml version="1.0" encoding="utf-8"?>
<formControlPr xmlns="http://schemas.microsoft.com/office/spreadsheetml/2009/9/main" objectType="Drop" dropLines="3" dropStyle="combo" dx="16" fmlaLink="$C$17" fmlaRange="$AQ$47:$AQ$49" noThreeD="1" sel="2" val="0"/>
</file>

<file path=xl/ctrlProps/ctrlProp45.xml><?xml version="1.0" encoding="utf-8"?>
<formControlPr xmlns="http://schemas.microsoft.com/office/spreadsheetml/2009/9/main" objectType="Drop" dropLines="4" dropStyle="combo" dx="16" fmlaLink="I21" fmlaRange="$AN$44:$AN$47" noThreeD="1" sel="3" val="0"/>
</file>

<file path=xl/ctrlProps/ctrlProp46.xml><?xml version="1.0" encoding="utf-8"?>
<formControlPr xmlns="http://schemas.microsoft.com/office/spreadsheetml/2009/9/main" objectType="Drop" dropLines="4" dropStyle="combo" dx="16" fmlaLink="H21" fmlaRange="$AN$44:$AN$47" noThreeD="1" sel="4" val="0"/>
</file>

<file path=xl/ctrlProps/ctrlProp47.xml><?xml version="1.0" encoding="utf-8"?>
<formControlPr xmlns="http://schemas.microsoft.com/office/spreadsheetml/2009/9/main" objectType="Drop" dropLines="4" dropStyle="combo" dx="16" fmlaLink="K21" fmlaRange="$AN$44:$AN$47" noThreeD="1" sel="4" val="0"/>
</file>

<file path=xl/ctrlProps/ctrlProp48.xml><?xml version="1.0" encoding="utf-8"?>
<formControlPr xmlns="http://schemas.microsoft.com/office/spreadsheetml/2009/9/main" objectType="Drop" dropLines="4" dropStyle="combo" dx="16" fmlaLink="J21" fmlaRange="$AN$44:$AN$47" noThreeD="1" sel="4" val="0"/>
</file>

<file path=xl/ctrlProps/ctrlProp49.xml><?xml version="1.0" encoding="utf-8"?>
<formControlPr xmlns="http://schemas.microsoft.com/office/spreadsheetml/2009/9/main" objectType="Drop" dropLines="16" dropStyle="combo" dx="16" fmlaLink="M7" fmlaRange="$AR$44:$AR$59" noThreeD="1" sel="11" val="0"/>
</file>

<file path=xl/ctrlProps/ctrlProp50.xml><?xml version="1.0" encoding="utf-8"?>
<formControlPr xmlns="http://schemas.microsoft.com/office/spreadsheetml/2009/9/main" objectType="Drop" dropLines="16" dropStyle="combo" dx="16" fmlaLink="M8" fmlaRange="$AR$44:$AR$59" noThreeD="1" sel="16" val="0"/>
</file>

<file path=xl/ctrlProps/ctrlProp51.xml><?xml version="1.0" encoding="utf-8"?>
<formControlPr xmlns="http://schemas.microsoft.com/office/spreadsheetml/2009/9/main" objectType="Drop" dropLines="16" dropStyle="combo" dx="16" fmlaLink="M9" fmlaRange="$AR$44:$AR$59" noThreeD="1" sel="11" val="0"/>
</file>

<file path=xl/ctrlProps/ctrlProp52.xml><?xml version="1.0" encoding="utf-8"?>
<formControlPr xmlns="http://schemas.microsoft.com/office/spreadsheetml/2009/9/main" objectType="Drop" dropLines="16" dropStyle="combo" dx="16" fmlaLink="M10" fmlaRange="$AR$44:$AR$59" noThreeD="1" sel="11" val="0"/>
</file>

<file path=xl/ctrlProps/ctrlProp53.xml><?xml version="1.0" encoding="utf-8"?>
<formControlPr xmlns="http://schemas.microsoft.com/office/spreadsheetml/2009/9/main" objectType="Drop" dropLines="4" dropStyle="combo" dx="16" fmlaLink="M21" fmlaRange="$AN$44:$AN$47" noThreeD="1" sel="4" val="0"/>
</file>

<file path=xl/ctrlProps/ctrlProp54.xml><?xml version="1.0" encoding="utf-8"?>
<formControlPr xmlns="http://schemas.microsoft.com/office/spreadsheetml/2009/9/main" objectType="Drop" dropLines="4" dropStyle="combo" dx="16" fmlaLink="L21" fmlaRange="$AN$44:$AN$47" noThreeD="1" sel="4" val="0"/>
</file>

<file path=xl/ctrlProps/ctrlProp55.xml><?xml version="1.0" encoding="utf-8"?>
<formControlPr xmlns="http://schemas.microsoft.com/office/spreadsheetml/2009/9/main" objectType="Drop" dropLines="4" dropStyle="combo" dx="16" fmlaLink="E22" fmlaRange="'SHL Section'!$AY$37:$AY$40" noThreeD="1" sel="3" val="0"/>
</file>

<file path=xl/ctrlProps/ctrlProp56.xml><?xml version="1.0" encoding="utf-8"?>
<formControlPr xmlns="http://schemas.microsoft.com/office/spreadsheetml/2009/9/main" objectType="Drop" dropLines="4" dropStyle="combo" dx="16" fmlaLink="E60" fmlaRange="'SHL Section'!$AY$37:$AY$40" noThreeD="1" sel="3" val="0"/>
</file>

<file path=xl/ctrlProps/ctrlProp57.xml><?xml version="1.0" encoding="utf-8"?>
<formControlPr xmlns="http://schemas.microsoft.com/office/spreadsheetml/2009/9/main" objectType="Drop" dropLines="4" dropStyle="combo" dx="16" fmlaLink="O22" fmlaRange="'SHL Section'!$AY$37:$AY$40" noThreeD="1" sel="3" val="0"/>
</file>

<file path=xl/ctrlProps/ctrlProp58.xml><?xml version="1.0" encoding="utf-8"?>
<formControlPr xmlns="http://schemas.microsoft.com/office/spreadsheetml/2009/9/main" objectType="Drop" dropLines="4" dropStyle="combo" dx="16" fmlaLink="O60" fmlaRange="'SHL Section'!$AY$37:$AY$40" noThreeD="1" sel="3" val="0"/>
</file>

<file path=xl/ctrlProps/ctrlProp59.xml><?xml version="1.0" encoding="utf-8"?>
<formControlPr xmlns="http://schemas.microsoft.com/office/spreadsheetml/2009/9/main" objectType="Drop" dropLines="4" dropStyle="combo" dx="16" fmlaLink="W29" fmlaRange="'SHL Section'!$AY$37:$AY$40" noThreeD="1" sel="4" val="0"/>
</file>

<file path=xl/ctrlProps/ctrlProp60.xml><?xml version="1.0" encoding="utf-8"?>
<formControlPr xmlns="http://schemas.microsoft.com/office/spreadsheetml/2009/9/main" objectType="Drop" dropLines="4" dropStyle="combo" dx="16" fmlaLink="W45" fmlaRange="'SHL Section'!$AY$37:$AY$40" noThreeD="1" sel="1" val="0"/>
</file>

<file path=xl/ctrlProps/ctrlProp61.xml><?xml version="1.0" encoding="utf-8"?>
<formControlPr xmlns="http://schemas.microsoft.com/office/spreadsheetml/2009/9/main" objectType="Drop" dropLines="4" dropStyle="combo" dx="16" fmlaLink="U22" fmlaRange="'SHL Section'!$AY$37:$AY$40" noThreeD="1" sel="1" val="0"/>
</file>

<file path=xl/ctrlProps/ctrlProp62.xml><?xml version="1.0" encoding="utf-8"?>
<formControlPr xmlns="http://schemas.microsoft.com/office/spreadsheetml/2009/9/main" objectType="Drop" dropLines="4" dropStyle="combo" dx="16" fmlaLink="U60" fmlaRange="'SHL Section'!$AY$37:$AY$40" noThreeD="1" sel="3" val="0"/>
</file>

<file path=xl/ctrlProps/ctrlProp63.xml><?xml version="1.0" encoding="utf-8"?>
<formControlPr xmlns="http://schemas.microsoft.com/office/spreadsheetml/2009/9/main" objectType="Drop" dropLines="4" dropStyle="combo" dx="16" fmlaLink="B37" fmlaRange="'SHL Section'!$AY$37:$AY$40" noThreeD="1" sel="1" val="0"/>
</file>

<file path=xl/ctrlProps/ctrlProp64.xml><?xml version="1.0" encoding="utf-8"?>
<formControlPr xmlns="http://schemas.microsoft.com/office/spreadsheetml/2009/9/main" objectType="Drop" dropLines="4" dropStyle="combo" dx="16" fmlaLink="W37" fmlaRange="'SHL Section'!$AY$37:$AY$40" noThreeD="1" sel="1" val="0"/>
</file>

<file path=xl/ctrlProps/ctrlProp65.xml><?xml version="1.0" encoding="utf-8"?>
<formControlPr xmlns="http://schemas.microsoft.com/office/spreadsheetml/2009/9/main" objectType="Drop" dropLines="4" dropStyle="combo" dx="16" fmlaLink="B53" fmlaRange="'SHL Section'!$AY$37:$AY$40" noThreeD="1" sel="4" val="0"/>
</file>

<file path=xl/ctrlProps/ctrlProp66.xml><?xml version="1.0" encoding="utf-8"?>
<formControlPr xmlns="http://schemas.microsoft.com/office/spreadsheetml/2009/9/main" objectType="Drop" dropLines="4" dropStyle="combo" dx="16" fmlaLink="W53" fmlaRange="'SHL Section'!$AY$37:$AY$40" noThreeD="1" sel="1" val="0"/>
</file>

<file path=xl/ctrlProps/ctrlProp67.xml><?xml version="1.0" encoding="utf-8"?>
<formControlPr xmlns="http://schemas.microsoft.com/office/spreadsheetml/2009/9/main" objectType="Drop" dropLines="2" dropStyle="combo" dx="16" fmlaLink="S7" fmlaRange="$BB$37:$BB$38" noThreeD="1" sel="2" val="0"/>
</file>

<file path=xl/ctrlProps/ctrlProp68.xml><?xml version="1.0" encoding="utf-8"?>
<formControlPr xmlns="http://schemas.microsoft.com/office/spreadsheetml/2009/9/main" objectType="Drop" dropLines="2" dropStyle="combo" dx="16" fmlaLink="AK8" fmlaRange="$AZ$37:$AZ$38" noThreeD="1" sel="2" val="0"/>
</file>

<file path=xl/ctrlProps/ctrlProp69.xml><?xml version="1.0" encoding="utf-8"?>
<formControlPr xmlns="http://schemas.microsoft.com/office/spreadsheetml/2009/9/main" objectType="Drop" dropLines="2" dropStyle="combo" dx="16" fmlaLink="AK9" fmlaRange="$AZ$37:$AZ$38" noThreeD="1" sel="2" val="0"/>
</file>

<file path=xl/ctrlProps/ctrlProp70.xml><?xml version="1.0" encoding="utf-8"?>
<formControlPr xmlns="http://schemas.microsoft.com/office/spreadsheetml/2009/9/main" objectType="Drop" dropLines="2" dropStyle="combo" dx="16" fmlaLink="AK10" fmlaRange="$AZ$37:$AZ$38" noThreeD="1" sel="2" val="0"/>
</file>

<file path=xl/ctrlProps/ctrlProp71.xml><?xml version="1.0" encoding="utf-8"?>
<formControlPr xmlns="http://schemas.microsoft.com/office/spreadsheetml/2009/9/main" objectType="Drop" dropLines="2" dropStyle="combo" dx="16" fmlaLink="AM8" fmlaRange="$AZ$39:$AZ$40" noThreeD="1" sel="2" val="0"/>
</file>

<file path=xl/ctrlProps/ctrlProp72.xml><?xml version="1.0" encoding="utf-8"?>
<formControlPr xmlns="http://schemas.microsoft.com/office/spreadsheetml/2009/9/main" objectType="Drop" dropLines="2" dropStyle="combo" dx="16" fmlaLink="AM9" fmlaRange="$AZ$39:$AZ$40" noThreeD="1" sel="2" val="0"/>
</file>

<file path=xl/ctrlProps/ctrlProp73.xml><?xml version="1.0" encoding="utf-8"?>
<formControlPr xmlns="http://schemas.microsoft.com/office/spreadsheetml/2009/9/main" objectType="Drop" dropLines="2" dropStyle="combo" dx="16" fmlaLink="AM10" fmlaRange="$AZ$39:$AZ$40" noThreeD="1" sel="2" val="0"/>
</file>

<file path=xl/ctrlProps/ctrlProp74.xml><?xml version="1.0" encoding="utf-8"?>
<formControlPr xmlns="http://schemas.microsoft.com/office/spreadsheetml/2009/9/main" objectType="Drop" dropLines="2" dropStyle="combo" dx="16" fmlaLink="$L$7" fmlaRange="$AW$39:$AW$40" noThreeD="1" sel="2" val="0"/>
</file>

<file path=xl/ctrlProps/ctrlProp75.xml><?xml version="1.0" encoding="utf-8"?>
<formControlPr xmlns="http://schemas.microsoft.com/office/spreadsheetml/2009/9/main" objectType="Drop" dropLines="2" dropStyle="combo" dx="16" fmlaLink="R7" fmlaRange="$AZ$39:$AZ$40" noThreeD="1" sel="2" val="0"/>
</file>

<file path=xl/ctrlProps/ctrlProp76.xml><?xml version="1.0" encoding="utf-8"?>
<formControlPr xmlns="http://schemas.microsoft.com/office/spreadsheetml/2009/9/main" objectType="Drop" dropLines="3" dropStyle="combo" dx="16" fmlaLink="Q13" fmlaRange="$AX$37:$AX$39" noThreeD="1" sel="1" val="0"/>
</file>

<file path=xl/ctrlProps/ctrlProp77.xml><?xml version="1.0" encoding="utf-8"?>
<formControlPr xmlns="http://schemas.microsoft.com/office/spreadsheetml/2009/9/main" objectType="Drop" dropLines="2" dropStyle="combo" dx="16" fmlaLink="$J$7" fmlaRange="$AW$37:$AW$38" noThreeD="1" sel="2" val="0"/>
</file>

<file path=xl/ctrlProps/ctrlProp78.xml><?xml version="1.0" encoding="utf-8"?>
<formControlPr xmlns="http://schemas.microsoft.com/office/spreadsheetml/2009/9/main" objectType="Drop" dropLines="4" dropStyle="combo" dx="16" fmlaLink="B45" fmlaRange="'SHL Section'!$AY$37:$AY$40" noThreeD="1" sel="3" val="0"/>
</file>

<file path=xl/ctrlProps/ctrlProp79.xml><?xml version="1.0" encoding="utf-8"?>
<formControlPr xmlns="http://schemas.microsoft.com/office/spreadsheetml/2009/9/main" objectType="Drop" dropLines="4" dropStyle="combo" dx="16" fmlaLink="B29" fmlaRange="'SHL Section'!$AY$37:$AY$40" noThreeD="1" sel="4" val="0"/>
</file>

<file path=xl/ctrlProps/ctrlProp80.xml><?xml version="1.0" encoding="utf-8"?>
<formControlPr xmlns="http://schemas.microsoft.com/office/spreadsheetml/2009/9/main" objectType="Drop" dropLines="4" dropStyle="combo" dx="16" fmlaLink="K22" fmlaRange="'SHL Section'!$AY$37:$AY$40" noThreeD="1" sel="2" val="0"/>
</file>

<file path=xl/ctrlProps/ctrlProp81.xml><?xml version="1.0" encoding="utf-8"?>
<formControlPr xmlns="http://schemas.microsoft.com/office/spreadsheetml/2009/9/main" objectType="Drop" dropLines="4" dropStyle="combo" dx="16" fmlaLink="K60" fmlaRange="'SHL Section'!$AY$37:$AY$40" noThreeD="1" sel="3" val="0"/>
</file>

<file path=xl/ctrlProps/ctrlProp82.xml><?xml version="1.0" encoding="utf-8"?>
<formControlPr xmlns="http://schemas.microsoft.com/office/spreadsheetml/2009/9/main" objectType="Drop" dropLines="2" dropStyle="combo" dx="16" fmlaLink="P7" fmlaRange="$AZ$37:$AZ$38" noThreeD="1" sel="2" val="0"/>
</file>

<file path=xl/ctrlProps/ctrlProp83.xml><?xml version="1.0" encoding="utf-8"?>
<formControlPr xmlns="http://schemas.microsoft.com/office/spreadsheetml/2009/9/main" objectType="Drop" dropLines="2" dropStyle="combo" dx="16" fmlaLink="$AR$7" fmlaRange="$AX$37:$AX$38" noThreeD="1" sel="1" val="0"/>
</file>

<file path=xl/ctrlProps/ctrlProp84.xml><?xml version="1.0" encoding="utf-8"?>
<formControlPr xmlns="http://schemas.microsoft.com/office/spreadsheetml/2009/9/main" objectType="Drop" dropLines="3" dropStyle="combo" dx="16" fmlaLink="$O$14" fmlaRange="$BB$40:$BB$42" noThreeD="1" sel="2" val="0"/>
</file>

<file path=xl/ctrlProps/ctrlProp85.xml><?xml version="1.0" encoding="utf-8"?>
<formControlPr xmlns="http://schemas.microsoft.com/office/spreadsheetml/2009/9/main" objectType="Drop" dropLines="4" dropStyle="combo" dx="16" fmlaLink="E22" fmlaRange="'BHL Section 1'!$AY$36:$AY$39" noThreeD="1" sel="3" val="0"/>
</file>

<file path=xl/ctrlProps/ctrlProp86.xml><?xml version="1.0" encoding="utf-8"?>
<formControlPr xmlns="http://schemas.microsoft.com/office/spreadsheetml/2009/9/main" objectType="Drop" dropLines="4" dropStyle="combo" dx="16" fmlaLink="B29" fmlaRange="'BHL Section 1'!$AY$36:$AY$39" noThreeD="1" sel="4" val="0"/>
</file>

<file path=xl/ctrlProps/ctrlProp87.xml><?xml version="1.0" encoding="utf-8"?>
<formControlPr xmlns="http://schemas.microsoft.com/office/spreadsheetml/2009/9/main" objectType="Drop" dropLines="4" dropStyle="combo" dx="16" fmlaLink="E60" fmlaRange="'BHL Section 1'!$AY$36:$AY$39" noThreeD="1" sel="2" val="0"/>
</file>

<file path=xl/ctrlProps/ctrlProp88.xml><?xml version="1.0" encoding="utf-8"?>
<formControlPr xmlns="http://schemas.microsoft.com/office/spreadsheetml/2009/9/main" objectType="Drop" dropLines="4" dropStyle="combo" dx="16" fmlaLink="B46" fmlaRange="'BHL Section 1'!$AY$36:$AY$39" noThreeD="1" sel="2" val="0"/>
</file>

<file path=xl/ctrlProps/ctrlProp89.xml><?xml version="1.0" encoding="utf-8"?>
<formControlPr xmlns="http://schemas.microsoft.com/office/spreadsheetml/2009/9/main" objectType="Drop" dropLines="4" dropStyle="combo" dx="16" fmlaLink="O22" fmlaRange="'BHL Section 1'!$AY$36:$AY$39" noThreeD="1" sel="1" val="0"/>
</file>

<file path=xl/ctrlProps/ctrlProp90.xml><?xml version="1.0" encoding="utf-8"?>
<formControlPr xmlns="http://schemas.microsoft.com/office/spreadsheetml/2009/9/main" objectType="Drop" dropLines="4" dropStyle="combo" dx="16" fmlaLink="O60" fmlaRange="'BHL Section 1'!$AY$36:$AY$39" noThreeD="1" sel="2" val="0"/>
</file>

<file path=xl/ctrlProps/ctrlProp91.xml><?xml version="1.0" encoding="utf-8"?>
<formControlPr xmlns="http://schemas.microsoft.com/office/spreadsheetml/2009/9/main" objectType="Drop" dropLines="4" dropStyle="combo" dx="16" fmlaLink="W29" fmlaRange="'BHL Section 1'!$AY$36:$AY$39" noThreeD="1" sel="4" val="0"/>
</file>

<file path=xl/ctrlProps/ctrlProp92.xml><?xml version="1.0" encoding="utf-8"?>
<formControlPr xmlns="http://schemas.microsoft.com/office/spreadsheetml/2009/9/main" objectType="Drop" dropLines="4" dropStyle="combo" dx="16" fmlaLink="W46" fmlaRange="'BHL Section 1'!$AY$36:$AY$39" noThreeD="1" sel="3" val="0"/>
</file>

<file path=xl/ctrlProps/ctrlProp93.xml><?xml version="1.0" encoding="utf-8"?>
<formControlPr xmlns="http://schemas.microsoft.com/office/spreadsheetml/2009/9/main" objectType="Drop" dropLines="4" dropStyle="combo" dx="16" fmlaLink="K22" fmlaRange="'BHL Section 1'!$AY$36:$AY$39" noThreeD="1" sel="1" val="0"/>
</file>

<file path=xl/ctrlProps/ctrlProp94.xml><?xml version="1.0" encoding="utf-8"?>
<formControlPr xmlns="http://schemas.microsoft.com/office/spreadsheetml/2009/9/main" objectType="Drop" dropLines="4" dropStyle="combo" dx="16" fmlaLink="U22" fmlaRange="'BHL Section 1'!$AY$36:$AY$39" noThreeD="1" sel="3" val="0"/>
</file>

<file path=xl/ctrlProps/ctrlProp95.xml><?xml version="1.0" encoding="utf-8"?>
<formControlPr xmlns="http://schemas.microsoft.com/office/spreadsheetml/2009/9/main" objectType="Drop" dropLines="4" dropStyle="combo" dx="16" fmlaLink="K60" fmlaRange="'BHL Section 1'!$AY$36:$AY$39" noThreeD="1" sel="4" val="0"/>
</file>

<file path=xl/ctrlProps/ctrlProp96.xml><?xml version="1.0" encoding="utf-8"?>
<formControlPr xmlns="http://schemas.microsoft.com/office/spreadsheetml/2009/9/main" objectType="Drop" dropLines="4" dropStyle="combo" dx="16" fmlaLink="U60" fmlaRange="'BHL Section 1'!$AY$36:$AY$39" noThreeD="1" sel="4" val="0"/>
</file>

<file path=xl/ctrlProps/ctrlProp97.xml><?xml version="1.0" encoding="utf-8"?>
<formControlPr xmlns="http://schemas.microsoft.com/office/spreadsheetml/2009/9/main" objectType="Drop" dropLines="4" dropStyle="combo" dx="16" fmlaLink="B37" fmlaRange="'BHL Section 1'!$AY$36:$AY$39" noThreeD="1" sel="2" val="0"/>
</file>

<file path=xl/ctrlProps/ctrlProp98.xml><?xml version="1.0" encoding="utf-8"?>
<formControlPr xmlns="http://schemas.microsoft.com/office/spreadsheetml/2009/9/main" objectType="Drop" dropLines="4" dropStyle="combo" dx="16" fmlaLink="W37" fmlaRange="'BHL Section 1'!$AY$36:$AY$39" noThreeD="1" sel="1" val="0"/>
</file>

<file path=xl/ctrlProps/ctrlProp99.xml><?xml version="1.0" encoding="utf-8"?>
<formControlPr xmlns="http://schemas.microsoft.com/office/spreadsheetml/2009/9/main" objectType="Drop" dropLines="4" dropStyle="combo" dx="16" fmlaLink="B54" fmlaRange="'BHL Section 1'!$AY$36:$AY$39" noThreeD="1" sel="1" val="0"/>
</file>

<file path=xl/ctrlProps/ctrlProp100.xml><?xml version="1.0" encoding="utf-8"?>
<formControlPr xmlns="http://schemas.microsoft.com/office/spreadsheetml/2009/9/main" objectType="Drop" dropLines="4" dropStyle="combo" dx="16" fmlaLink="W54" fmlaRange="'BHL Section 1'!$AY$36:$AY$39" noThreeD="1" sel="4" val="0"/>
</file>

<file path=xl/ctrlProps/ctrlProp101.xml><?xml version="1.0" encoding="utf-8"?>
<formControlPr xmlns="http://schemas.microsoft.com/office/spreadsheetml/2009/9/main" objectType="Drop" dropLines="2" dropStyle="combo" dx="16" fmlaLink="AA10" fmlaRange="$BB$38:$BB$39" noThreeD="1" sel="1" val="0"/>
</file>

<file path=xl/ctrlProps/ctrlProp102.xml><?xml version="1.0" encoding="utf-8"?>
<formControlPr xmlns="http://schemas.microsoft.com/office/spreadsheetml/2009/9/main" objectType="Drop" dropLines="4" dropStyle="combo" dx="16" fmlaLink="Z15" fmlaRange="$AY$36:$AY$39" noThreeD="1" sel="1" val="0"/>
</file>

<file path=xl/ctrlProps/ctrlProp103.xml><?xml version="1.0" encoding="utf-8"?>
<formControlPr xmlns="http://schemas.microsoft.com/office/spreadsheetml/2009/9/main" objectType="Drop" dropLines="4" dropStyle="combo" dx="16" fmlaLink="E22" fmlaRange="'BHL Section 2'!$AY$36:$AY$39" noThreeD="1" sel="1" val="0"/>
</file>

<file path=xl/ctrlProps/ctrlProp104.xml><?xml version="1.0" encoding="utf-8"?>
<formControlPr xmlns="http://schemas.microsoft.com/office/spreadsheetml/2009/9/main" objectType="Drop" dropLines="4" dropStyle="combo" dx="16" fmlaLink="B29" fmlaRange="'BHL Section 2'!$AY$36:$AY$39" noThreeD="1" sel="2" val="0"/>
</file>

<file path=xl/ctrlProps/ctrlProp105.xml><?xml version="1.0" encoding="utf-8"?>
<formControlPr xmlns="http://schemas.microsoft.com/office/spreadsheetml/2009/9/main" objectType="Drop" dropLines="4" dropStyle="combo" dx="16" fmlaLink="E60" fmlaRange="'BHL Section 2'!$AY$36:$AY$39" noThreeD="1" sel="1" val="0"/>
</file>

<file path=xl/ctrlProps/ctrlProp106.xml><?xml version="1.0" encoding="utf-8"?>
<formControlPr xmlns="http://schemas.microsoft.com/office/spreadsheetml/2009/9/main" objectType="Drop" dropLines="4" dropStyle="combo" dx="16" fmlaLink="B46" fmlaRange="'BHL Section 2'!$AY$36:$AY$39" noThreeD="1" sel="4" val="0"/>
</file>

<file path=xl/ctrlProps/ctrlProp107.xml><?xml version="1.0" encoding="utf-8"?>
<formControlPr xmlns="http://schemas.microsoft.com/office/spreadsheetml/2009/9/main" objectType="Drop" dropLines="4" dropStyle="combo" dx="16" fmlaLink="O22" fmlaRange="'BHL Section 2'!$AY$36:$AY$39" noThreeD="1" sel="2" val="0"/>
</file>

<file path=xl/ctrlProps/ctrlProp108.xml><?xml version="1.0" encoding="utf-8"?>
<formControlPr xmlns="http://schemas.microsoft.com/office/spreadsheetml/2009/9/main" objectType="Drop" dropLines="4" dropStyle="combo" dx="16" fmlaLink="O60" fmlaRange="'BHL Section 2'!$AY$36:$AY$39" noThreeD="1" sel="4" val="0"/>
</file>

<file path=xl/ctrlProps/ctrlProp109.xml><?xml version="1.0" encoding="utf-8"?>
<formControlPr xmlns="http://schemas.microsoft.com/office/spreadsheetml/2009/9/main" objectType="Drop" dropLines="4" dropStyle="combo" dx="16" fmlaLink="W29" fmlaRange="'BHL Section 2'!$AY$36:$AY$39" noThreeD="1" sel="2" val="0"/>
</file>

<file path=xl/ctrlProps/ctrlProp110.xml><?xml version="1.0" encoding="utf-8"?>
<formControlPr xmlns="http://schemas.microsoft.com/office/spreadsheetml/2009/9/main" objectType="Drop" dropLines="4" dropStyle="combo" dx="16" fmlaLink="W46" fmlaRange="'BHL Section 2'!$AY$36:$AY$39" noThreeD="1" sel="2" val="0"/>
</file>

<file path=xl/ctrlProps/ctrlProp111.xml><?xml version="1.0" encoding="utf-8"?>
<formControlPr xmlns="http://schemas.microsoft.com/office/spreadsheetml/2009/9/main" objectType="Drop" dropLines="4" dropStyle="combo" dx="16" fmlaLink="K22" fmlaRange="'BHL Section 2'!$AY$36:$AY$39" noThreeD="1" sel="2" val="0"/>
</file>

<file path=xl/ctrlProps/ctrlProp112.xml><?xml version="1.0" encoding="utf-8"?>
<formControlPr xmlns="http://schemas.microsoft.com/office/spreadsheetml/2009/9/main" objectType="Drop" dropLines="4" dropStyle="combo" dx="16" fmlaLink="U22" fmlaRange="'BHL Section 2'!$AY$36:$AY$39" noThreeD="1" sel="1" val="0"/>
</file>

<file path=xl/ctrlProps/ctrlProp113.xml><?xml version="1.0" encoding="utf-8"?>
<formControlPr xmlns="http://schemas.microsoft.com/office/spreadsheetml/2009/9/main" objectType="Drop" dropLines="4" dropStyle="combo" dx="16" fmlaLink="K60" fmlaRange="'BHL Section 2'!$AY$36:$AY$39" noThreeD="1" sel="4" val="0"/>
</file>

<file path=xl/ctrlProps/ctrlProp114.xml><?xml version="1.0" encoding="utf-8"?>
<formControlPr xmlns="http://schemas.microsoft.com/office/spreadsheetml/2009/9/main" objectType="Drop" dropLines="4" dropStyle="combo" dx="16" fmlaLink="U60" fmlaRange="'BHL Section 2'!$AY$36:$AY$39" noThreeD="1" sel="1" val="0"/>
</file>

<file path=xl/ctrlProps/ctrlProp115.xml><?xml version="1.0" encoding="utf-8"?>
<formControlPr xmlns="http://schemas.microsoft.com/office/spreadsheetml/2009/9/main" objectType="Drop" dropLines="4" dropStyle="combo" dx="16" fmlaLink="B37" fmlaRange="'BHL Section 2'!$AY$36:$AY$39" noThreeD="1" sel="2" val="0"/>
</file>

<file path=xl/ctrlProps/ctrlProp116.xml><?xml version="1.0" encoding="utf-8"?>
<formControlPr xmlns="http://schemas.microsoft.com/office/spreadsheetml/2009/9/main" objectType="Drop" dropLines="4" dropStyle="combo" dx="16" fmlaLink="W37" fmlaRange="'BHL Section 2'!$AY$36:$AY$39" noThreeD="1" sel="2" val="0"/>
</file>

<file path=xl/ctrlProps/ctrlProp117.xml><?xml version="1.0" encoding="utf-8"?>
<formControlPr xmlns="http://schemas.microsoft.com/office/spreadsheetml/2009/9/main" objectType="Drop" dropLines="4" dropStyle="combo" dx="16" fmlaLink="B54" fmlaRange="'BHL Section 2'!$AY$36:$AY$39" noThreeD="1" sel="2" val="0"/>
</file>

<file path=xl/ctrlProps/ctrlProp118.xml><?xml version="1.0" encoding="utf-8"?>
<formControlPr xmlns="http://schemas.microsoft.com/office/spreadsheetml/2009/9/main" objectType="Drop" dropLines="4" dropStyle="combo" dx="16" fmlaLink="W54" fmlaRange="'BHL Section 2'!$AY$36:$AY$39" noThreeD="1" sel="4" val="0"/>
</file>

<file path=xl/ctrlProps/ctrlProp119.xml><?xml version="1.0" encoding="utf-8"?>
<formControlPr xmlns="http://schemas.microsoft.com/office/spreadsheetml/2009/9/main" objectType="Drop" dropLines="4" dropStyle="combo" dx="16" fmlaLink="K22" fmlaRange="'BHL Section 1'!$AY$36:$AY$39" noThreeD="1" sel="2" val="0"/>
</file>

<file path=xl/ctrlProps/ctrlProp120.xml><?xml version="1.0" encoding="utf-8"?>
<formControlPr xmlns="http://schemas.microsoft.com/office/spreadsheetml/2009/9/main" objectType="Drop" dropLines="4" dropStyle="combo" dx="16" fmlaLink="B29" fmlaRange="'BHL Section 1'!$AY$36:$AY$39" noThreeD="1" sel="2" val="0"/>
</file>

<file path=xl/ctrlProps/ctrlProp121.xml><?xml version="1.0" encoding="utf-8"?>
<formControlPr xmlns="http://schemas.microsoft.com/office/spreadsheetml/2009/9/main" objectType="Drop" dropLines="4" dropStyle="combo" dx="16" fmlaLink="B46" fmlaRange="'BHL Section 1'!$AY$36:$AY$39" noThreeD="1" sel="4" val="0"/>
</file>

<file path=xl/ctrlProps/ctrlProp122.xml><?xml version="1.0" encoding="utf-8"?>
<formControlPr xmlns="http://schemas.microsoft.com/office/spreadsheetml/2009/9/main" objectType="Drop" dropLines="2" dropStyle="combo" dx="16" fmlaLink="AA10" fmlaRange="$BB$38:$BB$39" noThreeD="1" sel="1" val="0"/>
</file>

<file path=xl/ctrlProps/ctrlProp123.xml><?xml version="1.0" encoding="utf-8"?>
<formControlPr xmlns="http://schemas.microsoft.com/office/spreadsheetml/2009/9/main" objectType="Drop" dropLines="4" dropStyle="combo" dx="16" fmlaLink="Z15" fmlaRange="$AY$36:$AY$39" noThreeD="1" sel="2" val="0"/>
</file>

<file path=xl/ctrlProps/ctrlProp124.xml><?xml version="1.0" encoding="utf-8"?>
<formControlPr xmlns="http://schemas.microsoft.com/office/spreadsheetml/2009/9/main" objectType="Drop" dropLines="4" dropStyle="combo" dx="16" fmlaLink="E22" fmlaRange="'BHL Section 3'!$AY$36:$AY$39" noThreeD="1" sel="2" val="0"/>
</file>

<file path=xl/ctrlProps/ctrlProp125.xml><?xml version="1.0" encoding="utf-8"?>
<formControlPr xmlns="http://schemas.microsoft.com/office/spreadsheetml/2009/9/main" objectType="Drop" dropLines="4" dropStyle="combo" dx="16" fmlaLink="B29" fmlaRange="'BHL Section 3'!$AY$36:$AY$39" noThreeD="1" sel="1" val="0"/>
</file>

<file path=xl/ctrlProps/ctrlProp126.xml><?xml version="1.0" encoding="utf-8"?>
<formControlPr xmlns="http://schemas.microsoft.com/office/spreadsheetml/2009/9/main" objectType="Drop" dropLines="4" dropStyle="combo" dx="16" fmlaLink="E60" fmlaRange="'BHL Section 3'!$AY$36:$AY$39" noThreeD="1" sel="4" val="0"/>
</file>

<file path=xl/ctrlProps/ctrlProp127.xml><?xml version="1.0" encoding="utf-8"?>
<formControlPr xmlns="http://schemas.microsoft.com/office/spreadsheetml/2009/9/main" objectType="Drop" dropLines="4" dropStyle="combo" dx="16" fmlaLink="B46" fmlaRange="'BHL Section 3'!$AY$36:$AY$39" noThreeD="1" sel="1" val="0"/>
</file>

<file path=xl/ctrlProps/ctrlProp128.xml><?xml version="1.0" encoding="utf-8"?>
<formControlPr xmlns="http://schemas.microsoft.com/office/spreadsheetml/2009/9/main" objectType="Drop" dropLines="4" dropStyle="combo" dx="16" fmlaLink="O22" fmlaRange="'BHL Section 3'!$AY$36:$AY$39" noThreeD="1" sel="3" val="0"/>
</file>

<file path=xl/ctrlProps/ctrlProp129.xml><?xml version="1.0" encoding="utf-8"?>
<formControlPr xmlns="http://schemas.microsoft.com/office/spreadsheetml/2009/9/main" objectType="Drop" dropLines="4" dropStyle="combo" dx="16" fmlaLink="O60" fmlaRange="'BHL Section 3'!$AY$36:$AY$39" noThreeD="1" sel="3" val="0"/>
</file>

<file path=xl/ctrlProps/ctrlProp130.xml><?xml version="1.0" encoding="utf-8"?>
<formControlPr xmlns="http://schemas.microsoft.com/office/spreadsheetml/2009/9/main" objectType="Drop" dropLines="4" dropStyle="combo" dx="16" fmlaLink="W29" fmlaRange="'BHL Section 3'!$AY$36:$AY$39" noThreeD="1" sel="4" val="0"/>
</file>

<file path=xl/ctrlProps/ctrlProp131.xml><?xml version="1.0" encoding="utf-8"?>
<formControlPr xmlns="http://schemas.microsoft.com/office/spreadsheetml/2009/9/main" objectType="Drop" dropLines="4" dropStyle="combo" dx="16" fmlaLink="W46" fmlaRange="'BHL Section 3'!$AY$36:$AY$39" noThreeD="1" sel="1" val="0"/>
</file>

<file path=xl/ctrlProps/ctrlProp132.xml><?xml version="1.0" encoding="utf-8"?>
<formControlPr xmlns="http://schemas.microsoft.com/office/spreadsheetml/2009/9/main" objectType="Drop" dropLines="4" dropStyle="combo" dx="16" fmlaLink="K22" fmlaRange="'BHL Section 3'!$AY$36:$AY$39" noThreeD="1" sel="3" val="0"/>
</file>

<file path=xl/ctrlProps/ctrlProp133.xml><?xml version="1.0" encoding="utf-8"?>
<formControlPr xmlns="http://schemas.microsoft.com/office/spreadsheetml/2009/9/main" objectType="Drop" dropLines="4" dropStyle="combo" dx="16" fmlaLink="U22" fmlaRange="'BHL Section 3'!$AY$36:$AY$39" noThreeD="1" sel="4" val="0"/>
</file>

<file path=xl/ctrlProps/ctrlProp134.xml><?xml version="1.0" encoding="utf-8"?>
<formControlPr xmlns="http://schemas.microsoft.com/office/spreadsheetml/2009/9/main" objectType="Drop" dropLines="4" dropStyle="combo" dx="16" fmlaLink="K60" fmlaRange="'BHL Section 3'!$AY$36:$AY$39" noThreeD="1" sel="3" val="0"/>
</file>

<file path=xl/ctrlProps/ctrlProp135.xml><?xml version="1.0" encoding="utf-8"?>
<formControlPr xmlns="http://schemas.microsoft.com/office/spreadsheetml/2009/9/main" objectType="Drop" dropLines="4" dropStyle="combo" dx="16" fmlaLink="U60" fmlaRange="'BHL Section 3'!$AY$36:$AY$39" noThreeD="1" sel="4" val="0"/>
</file>

<file path=xl/ctrlProps/ctrlProp136.xml><?xml version="1.0" encoding="utf-8"?>
<formControlPr xmlns="http://schemas.microsoft.com/office/spreadsheetml/2009/9/main" objectType="Drop" dropLines="4" dropStyle="combo" dx="16" fmlaLink="B37" fmlaRange="'BHL Section 3'!$AY$36:$AY$39" noThreeD="1" sel="1" val="0"/>
</file>

<file path=xl/ctrlProps/ctrlProp137.xml><?xml version="1.0" encoding="utf-8"?>
<formControlPr xmlns="http://schemas.microsoft.com/office/spreadsheetml/2009/9/main" objectType="Drop" dropLines="4" dropStyle="combo" dx="16" fmlaLink="W37" fmlaRange="'BHL Section 3'!$AY$36:$AY$39" noThreeD="1" sel="1" val="0"/>
</file>

<file path=xl/ctrlProps/ctrlProp138.xml><?xml version="1.0" encoding="utf-8"?>
<formControlPr xmlns="http://schemas.microsoft.com/office/spreadsheetml/2009/9/main" objectType="Drop" dropLines="4" dropStyle="combo" dx="16" fmlaLink="B54" fmlaRange="'BHL Section 3'!$AY$36:$AY$39" noThreeD="1" sel="4" val="0"/>
</file>

<file path=xl/ctrlProps/ctrlProp139.xml><?xml version="1.0" encoding="utf-8"?>
<formControlPr xmlns="http://schemas.microsoft.com/office/spreadsheetml/2009/9/main" objectType="Drop" dropLines="4" dropStyle="combo" dx="16" fmlaLink="W54" fmlaRange="'BHL Section 3'!$AY$36:$AY$39" noThreeD="1" sel="4" val="0"/>
</file>

<file path=xl/ctrlProps/ctrlProp140.xml><?xml version="1.0" encoding="utf-8"?>
<formControlPr xmlns="http://schemas.microsoft.com/office/spreadsheetml/2009/9/main" objectType="Drop" dropLines="4" dropStyle="combo" dx="16" fmlaLink="K22" fmlaRange="'BHL Section 1'!$AY$36:$AY$39" noThreeD="1" sel="3" val="0"/>
</file>

<file path=xl/ctrlProps/ctrlProp141.xml><?xml version="1.0" encoding="utf-8"?>
<formControlPr xmlns="http://schemas.microsoft.com/office/spreadsheetml/2009/9/main" objectType="Drop" dropLines="4" dropStyle="combo" dx="16" fmlaLink="B29" fmlaRange="'BHL Section 1'!$AY$36:$AY$39" noThreeD="1" sel="1" val="0"/>
</file>

<file path=xl/ctrlProps/ctrlProp142.xml><?xml version="1.0" encoding="utf-8"?>
<formControlPr xmlns="http://schemas.microsoft.com/office/spreadsheetml/2009/9/main" objectType="Drop" dropLines="4" dropStyle="combo" dx="16" fmlaLink="B46" fmlaRange="'BHL Section 1'!$AY$36:$AY$39" noThreeD="1" sel="1" val="0"/>
</file>

<file path=xl/ctrlProps/ctrlProp143.xml><?xml version="1.0" encoding="utf-8"?>
<formControlPr xmlns="http://schemas.microsoft.com/office/spreadsheetml/2009/9/main" objectType="Drop" dropLines="2" dropStyle="combo" dx="16" fmlaLink="AA10" fmlaRange="$BB$38:$BB$39" noThreeD="1" sel="1" val="0"/>
</file>

<file path=xl/ctrlProps/ctrlProp144.xml><?xml version="1.0" encoding="utf-8"?>
<formControlPr xmlns="http://schemas.microsoft.com/office/spreadsheetml/2009/9/main" objectType="Drop" dropLines="4" dropStyle="combo" dx="16" fmlaLink="Z15" fmlaRange="$AY$36:$AY$39" noThreeD="1" sel="4" val="0"/>
</file>

<file path=xl/ctrlProps/ctrlProp145.xml><?xml version="1.0" encoding="utf-8"?>
<formControlPr xmlns="http://schemas.microsoft.com/office/spreadsheetml/2009/9/main" objectType="Drop" dropLines="4" dropStyle="combo" dx="16" fmlaLink="E23" fmlaRange="'Lat-Long &amp; Grid Calc SHL'!$AX$38:$AX$41" noThreeD="1" sel="2" val="0"/>
</file>

<file path=xl/ctrlProps/ctrlProp146.xml><?xml version="1.0" encoding="utf-8"?>
<formControlPr xmlns="http://schemas.microsoft.com/office/spreadsheetml/2009/9/main" objectType="Drop" dropLines="4" dropStyle="combo" dx="16" fmlaLink="E61" fmlaRange="'Lat-Long &amp; Grid Calc SHL'!$AX$38:$AX$41" noThreeD="1" sel="2" val="0"/>
</file>

<file path=xl/ctrlProps/ctrlProp147.xml><?xml version="1.0" encoding="utf-8"?>
<formControlPr xmlns="http://schemas.microsoft.com/office/spreadsheetml/2009/9/main" objectType="Drop" dropLines="4" dropStyle="combo" dx="16" fmlaLink="O23" fmlaRange="'Lat-Long &amp; Grid Calc SHL'!$AX$38:$AX$41" noThreeD="1" sel="2" val="0"/>
</file>

<file path=xl/ctrlProps/ctrlProp148.xml><?xml version="1.0" encoding="utf-8"?>
<formControlPr xmlns="http://schemas.microsoft.com/office/spreadsheetml/2009/9/main" objectType="Drop" dropLines="4" dropStyle="combo" dx="16" fmlaLink="O61" fmlaRange="'Lat-Long &amp; Grid Calc SHL'!$AX$38:$AX$41" noThreeD="1" sel="2" val="0"/>
</file>

<file path=xl/ctrlProps/ctrlProp149.xml><?xml version="1.0" encoding="utf-8"?>
<formControlPr xmlns="http://schemas.microsoft.com/office/spreadsheetml/2009/9/main" objectType="Drop" dropLines="4" dropStyle="combo" dx="16" fmlaLink="W30" fmlaRange="'Lat-Long &amp; Grid Calc SHL'!$AX$38:$AX$41" noThreeD="1" sel="4" val="0"/>
</file>

<file path=xl/ctrlProps/ctrlProp150.xml><?xml version="1.0" encoding="utf-8"?>
<formControlPr xmlns="http://schemas.microsoft.com/office/spreadsheetml/2009/9/main" objectType="Drop" dropLines="4" dropStyle="combo" dx="16" fmlaLink="W47" fmlaRange="'Lat-Long &amp; Grid Calc SHL'!$AX$38:$AX$41" noThreeD="1" sel="4" val="0"/>
</file>

<file path=xl/ctrlProps/ctrlProp151.xml><?xml version="1.0" encoding="utf-8"?>
<formControlPr xmlns="http://schemas.microsoft.com/office/spreadsheetml/2009/9/main" objectType="Drop" dropLines="4" dropStyle="combo" dx="16" fmlaLink="U23" fmlaRange="'Lat-Long &amp; Grid Calc SHL'!$AX$38:$AX$41" noThreeD="1" sel="2" val="0"/>
</file>

<file path=xl/ctrlProps/ctrlProp152.xml><?xml version="1.0" encoding="utf-8"?>
<formControlPr xmlns="http://schemas.microsoft.com/office/spreadsheetml/2009/9/main" objectType="Drop" dropLines="4" dropStyle="combo" dx="16" fmlaLink="U61" fmlaRange="'Lat-Long &amp; Grid Calc SHL'!$AX$38:$AX$41" noThreeD="1" sel="2" val="0"/>
</file>

<file path=xl/ctrlProps/ctrlProp153.xml><?xml version="1.0" encoding="utf-8"?>
<formControlPr xmlns="http://schemas.microsoft.com/office/spreadsheetml/2009/9/main" objectType="Drop" dropLines="4" dropStyle="combo" dx="16" fmlaLink="B38" fmlaRange="'Lat-Long &amp; Grid Calc SHL'!$AX$38:$AX$41" noThreeD="1" sel="1" val="0"/>
</file>

<file path=xl/ctrlProps/ctrlProp154.xml><?xml version="1.0" encoding="utf-8"?>
<formControlPr xmlns="http://schemas.microsoft.com/office/spreadsheetml/2009/9/main" objectType="Drop" dropLines="4" dropStyle="combo" dx="16" fmlaLink="W38" fmlaRange="'Lat-Long &amp; Grid Calc SHL'!$AX$38:$AX$41" noThreeD="1" sel="4" val="0"/>
</file>

<file path=xl/ctrlProps/ctrlProp155.xml><?xml version="1.0" encoding="utf-8"?>
<formControlPr xmlns="http://schemas.microsoft.com/office/spreadsheetml/2009/9/main" objectType="Drop" dropLines="4" dropStyle="combo" dx="16" fmlaLink="B55" fmlaRange="'Lat-Long &amp; Grid Calc SHL'!$AX$38:$AX$41" noThreeD="1" sel="1" val="0"/>
</file>

<file path=xl/ctrlProps/ctrlProp156.xml><?xml version="1.0" encoding="utf-8"?>
<formControlPr xmlns="http://schemas.microsoft.com/office/spreadsheetml/2009/9/main" objectType="Drop" dropLines="4" dropStyle="combo" dx="16" fmlaLink="W55" fmlaRange="'Lat-Long &amp; Grid Calc SHL'!$AX$38:$AX$41" noThreeD="1" sel="4" val="0"/>
</file>

<file path=xl/ctrlProps/ctrlProp157.xml><?xml version="1.0" encoding="utf-8"?>
<formControlPr xmlns="http://schemas.microsoft.com/office/spreadsheetml/2009/9/main" objectType="Drop" dropLines="4" dropStyle="combo" dx="16" fmlaLink="B47" fmlaRange="'Lat-Long &amp; Grid Calc SHL'!$AX$38:$AX$41" noThreeD="1" sel="1" val="0"/>
</file>

<file path=xl/ctrlProps/ctrlProp158.xml><?xml version="1.0" encoding="utf-8"?>
<formControlPr xmlns="http://schemas.microsoft.com/office/spreadsheetml/2009/9/main" objectType="Drop" dropLines="4" dropStyle="combo" dx="16" fmlaLink="B30" fmlaRange="'Lat-Long &amp; Grid Calc SHL'!$AX$38:$AX$41" noThreeD="1" sel="1" val="0"/>
</file>

<file path=xl/ctrlProps/ctrlProp159.xml><?xml version="1.0" encoding="utf-8"?>
<formControlPr xmlns="http://schemas.microsoft.com/office/spreadsheetml/2009/9/main" objectType="Drop" dropLines="4" dropStyle="combo" dx="16" fmlaLink="K23" fmlaRange="'Lat-Long &amp; Grid Calc SHL'!$AX$38:$AX$41" noThreeD="1" sel="2" val="0"/>
</file>

<file path=xl/ctrlProps/ctrlProp160.xml><?xml version="1.0" encoding="utf-8"?>
<formControlPr xmlns="http://schemas.microsoft.com/office/spreadsheetml/2009/9/main" objectType="Drop" dropLines="4" dropStyle="combo" dx="16" fmlaLink="K61" fmlaRange="'Lat-Long &amp; Grid Calc SHL'!$AX$38:$AX$41" noThreeD="1" sel="2" val="0"/>
</file>

<file path=xl/ctrlProps/ctrlProp161.xml><?xml version="1.0" encoding="utf-8"?>
<formControlPr xmlns="http://schemas.microsoft.com/office/spreadsheetml/2009/9/main" objectType="Drop" dropLines="3" dropStyle="combo" dx="16" fmlaLink="$K$2" fmlaRange="$AV$43:$AV$45" noThreeD="1" sel="2" val="0"/>
</file>

<file path=xl/ctrlProps/ctrlProp162.xml><?xml version="1.0" encoding="utf-8"?>
<formControlPr xmlns="http://schemas.microsoft.com/office/spreadsheetml/2009/9/main" objectType="Drop" dropLines="4" dropStyle="combo" dx="16" fmlaLink="E23" fmlaRange="'Lat-Long &amp; Grid Calc 1'!$AX$38:$AX$41" noThreeD="1" sel="2" val="0"/>
</file>

<file path=xl/ctrlProps/ctrlProp163.xml><?xml version="1.0" encoding="utf-8"?>
<formControlPr xmlns="http://schemas.microsoft.com/office/spreadsheetml/2009/9/main" objectType="Drop" dropLines="4" dropStyle="combo" dx="16" fmlaLink="E61" fmlaRange="'Lat-Long &amp; Grid Calc 1'!$AX$38:$AX$41" noThreeD="1" sel="2" val="0"/>
</file>

<file path=xl/ctrlProps/ctrlProp164.xml><?xml version="1.0" encoding="utf-8"?>
<formControlPr xmlns="http://schemas.microsoft.com/office/spreadsheetml/2009/9/main" objectType="Drop" dropLines="4" dropStyle="combo" dx="16" fmlaLink="O23" fmlaRange="'Lat-Long &amp; Grid Calc 1'!$AX$38:$AX$41" noThreeD="1" sel="2" val="0"/>
</file>

<file path=xl/ctrlProps/ctrlProp165.xml><?xml version="1.0" encoding="utf-8"?>
<formControlPr xmlns="http://schemas.microsoft.com/office/spreadsheetml/2009/9/main" objectType="Drop" dropLines="4" dropStyle="combo" dx="16" fmlaLink="O61" fmlaRange="'Lat-Long &amp; Grid Calc 1'!$AX$38:$AX$41" noThreeD="1" sel="2" val="0"/>
</file>

<file path=xl/ctrlProps/ctrlProp166.xml><?xml version="1.0" encoding="utf-8"?>
<formControlPr xmlns="http://schemas.microsoft.com/office/spreadsheetml/2009/9/main" objectType="Drop" dropLines="4" dropStyle="combo" dx="16" fmlaLink="W30" fmlaRange="'Lat-Long &amp; Grid Calc 1'!$AX$38:$AX$41" noThreeD="1" sel="4" val="0"/>
</file>

<file path=xl/ctrlProps/ctrlProp167.xml><?xml version="1.0" encoding="utf-8"?>
<formControlPr xmlns="http://schemas.microsoft.com/office/spreadsheetml/2009/9/main" objectType="Drop" dropLines="4" dropStyle="combo" dx="16" fmlaLink="W47" fmlaRange="'Lat-Long &amp; Grid Calc 1'!$AX$38:$AX$41" noThreeD="1" sel="4" val="0"/>
</file>

<file path=xl/ctrlProps/ctrlProp168.xml><?xml version="1.0" encoding="utf-8"?>
<formControlPr xmlns="http://schemas.microsoft.com/office/spreadsheetml/2009/9/main" objectType="Drop" dropLines="4" dropStyle="combo" dx="16" fmlaLink="U23" fmlaRange="'Lat-Long &amp; Grid Calc 1'!$AX$38:$AX$41" noThreeD="1" sel="2" val="0"/>
</file>

<file path=xl/ctrlProps/ctrlProp169.xml><?xml version="1.0" encoding="utf-8"?>
<formControlPr xmlns="http://schemas.microsoft.com/office/spreadsheetml/2009/9/main" objectType="Drop" dropLines="4" dropStyle="combo" dx="16" fmlaLink="U61" fmlaRange="'Lat-Long &amp; Grid Calc 1'!$AX$38:$AX$41" noThreeD="1" sel="2" val="0"/>
</file>

<file path=xl/ctrlProps/ctrlProp170.xml><?xml version="1.0" encoding="utf-8"?>
<formControlPr xmlns="http://schemas.microsoft.com/office/spreadsheetml/2009/9/main" objectType="Drop" dropLines="4" dropStyle="combo" dx="16" fmlaLink="B38" fmlaRange="'Lat-Long &amp; Grid Calc 1'!$AX$38:$AX$41" noThreeD="1" sel="1" val="0"/>
</file>

<file path=xl/ctrlProps/ctrlProp171.xml><?xml version="1.0" encoding="utf-8"?>
<formControlPr xmlns="http://schemas.microsoft.com/office/spreadsheetml/2009/9/main" objectType="Drop" dropLines="4" dropStyle="combo" dx="16" fmlaLink="W38" fmlaRange="'Lat-Long &amp; Grid Calc 1'!$AX$38:$AX$41" noThreeD="1" sel="4" val="0"/>
</file>

<file path=xl/ctrlProps/ctrlProp172.xml><?xml version="1.0" encoding="utf-8"?>
<formControlPr xmlns="http://schemas.microsoft.com/office/spreadsheetml/2009/9/main" objectType="Drop" dropLines="4" dropStyle="combo" dx="16" fmlaLink="B55" fmlaRange="'Lat-Long &amp; Grid Calc 1'!$AX$38:$AX$41" noThreeD="1" sel="1" val="0"/>
</file>

<file path=xl/ctrlProps/ctrlProp173.xml><?xml version="1.0" encoding="utf-8"?>
<formControlPr xmlns="http://schemas.microsoft.com/office/spreadsheetml/2009/9/main" objectType="Drop" dropLines="4" dropStyle="combo" dx="16" fmlaLink="W55" fmlaRange="'Lat-Long &amp; Grid Calc 1'!$AX$38:$AX$41" noThreeD="1" sel="4" val="0"/>
</file>

<file path=xl/ctrlProps/ctrlProp174.xml><?xml version="1.0" encoding="utf-8"?>
<formControlPr xmlns="http://schemas.microsoft.com/office/spreadsheetml/2009/9/main" objectType="Drop" dropLines="4" dropStyle="combo" dx="16" fmlaLink="B47" fmlaRange="'Lat-Long &amp; Grid Calc 1'!$AX$38:$AX$41" noThreeD="1" sel="1" val="0"/>
</file>

<file path=xl/ctrlProps/ctrlProp175.xml><?xml version="1.0" encoding="utf-8"?>
<formControlPr xmlns="http://schemas.microsoft.com/office/spreadsheetml/2009/9/main" objectType="Drop" dropLines="4" dropStyle="combo" dx="16" fmlaLink="B30" fmlaRange="'Lat-Long &amp; Grid Calc 1'!$AX$38:$AX$41" noThreeD="1" sel="1" val="0"/>
</file>

<file path=xl/ctrlProps/ctrlProp176.xml><?xml version="1.0" encoding="utf-8"?>
<formControlPr xmlns="http://schemas.microsoft.com/office/spreadsheetml/2009/9/main" objectType="Drop" dropLines="4" dropStyle="combo" dx="16" fmlaLink="K23" fmlaRange="'Lat-Long &amp; Grid Calc 1'!$AX$38:$AX$41" noThreeD="1" sel="2" val="0"/>
</file>

<file path=xl/ctrlProps/ctrlProp177.xml><?xml version="1.0" encoding="utf-8"?>
<formControlPr xmlns="http://schemas.microsoft.com/office/spreadsheetml/2009/9/main" objectType="Drop" dropLines="4" dropStyle="combo" dx="16" fmlaLink="K61" fmlaRange="'Lat-Long &amp; Grid Calc 1'!$AX$38:$AX$41" noThreeD="1" sel="2" val="0"/>
</file>

<file path=xl/ctrlProps/ctrlProp178.xml><?xml version="1.0" encoding="utf-8"?>
<formControlPr xmlns="http://schemas.microsoft.com/office/spreadsheetml/2009/9/main" objectType="Drop" dropLines="4" dropStyle="combo" dx="16" fmlaLink="E23" fmlaRange="'Lat-Long &amp; Grid Calc SHL'!$AX$38:$AX$41" noThreeD="1" sel="2" val="0"/>
</file>

<file path=xl/ctrlProps/ctrlProp179.xml><?xml version="1.0" encoding="utf-8"?>
<formControlPr xmlns="http://schemas.microsoft.com/office/spreadsheetml/2009/9/main" objectType="Drop" dropLines="4" dropStyle="combo" dx="16" fmlaLink="E61" fmlaRange="'Lat-Long &amp; Grid Calc SHL'!$AX$38:$AX$41" noThreeD="1" sel="2" val="0"/>
</file>

<file path=xl/ctrlProps/ctrlProp180.xml><?xml version="1.0" encoding="utf-8"?>
<formControlPr xmlns="http://schemas.microsoft.com/office/spreadsheetml/2009/9/main" objectType="Drop" dropLines="4" dropStyle="combo" dx="16" fmlaLink="O23" fmlaRange="'Lat-Long &amp; Grid Calc SHL'!$AX$38:$AX$41" noThreeD="1" sel="2" val="0"/>
</file>

<file path=xl/ctrlProps/ctrlProp181.xml><?xml version="1.0" encoding="utf-8"?>
<formControlPr xmlns="http://schemas.microsoft.com/office/spreadsheetml/2009/9/main" objectType="Drop" dropLines="4" dropStyle="combo" dx="16" fmlaLink="O61" fmlaRange="'Lat-Long &amp; Grid Calc SHL'!$AX$38:$AX$41" noThreeD="1" sel="2" val="0"/>
</file>

<file path=xl/ctrlProps/ctrlProp182.xml><?xml version="1.0" encoding="utf-8"?>
<formControlPr xmlns="http://schemas.microsoft.com/office/spreadsheetml/2009/9/main" objectType="Drop" dropLines="4" dropStyle="combo" dx="16" fmlaLink="W30" fmlaRange="'Lat-Long &amp; Grid Calc SHL'!$AX$38:$AX$41" noThreeD="1" sel="4" val="0"/>
</file>

<file path=xl/ctrlProps/ctrlProp183.xml><?xml version="1.0" encoding="utf-8"?>
<formControlPr xmlns="http://schemas.microsoft.com/office/spreadsheetml/2009/9/main" objectType="Drop" dropLines="4" dropStyle="combo" dx="16" fmlaLink="W47" fmlaRange="'Lat-Long &amp; Grid Calc SHL'!$AX$38:$AX$41" noThreeD="1" sel="4" val="0"/>
</file>

<file path=xl/ctrlProps/ctrlProp184.xml><?xml version="1.0" encoding="utf-8"?>
<formControlPr xmlns="http://schemas.microsoft.com/office/spreadsheetml/2009/9/main" objectType="Drop" dropLines="4" dropStyle="combo" dx="16" fmlaLink="U23" fmlaRange="'Lat-Long &amp; Grid Calc SHL'!$AX$38:$AX$41" noThreeD="1" sel="2" val="0"/>
</file>

<file path=xl/ctrlProps/ctrlProp185.xml><?xml version="1.0" encoding="utf-8"?>
<formControlPr xmlns="http://schemas.microsoft.com/office/spreadsheetml/2009/9/main" objectType="Drop" dropLines="4" dropStyle="combo" dx="16" fmlaLink="U61" fmlaRange="'Lat-Long &amp; Grid Calc SHL'!$AX$38:$AX$41" noThreeD="1" sel="2" val="0"/>
</file>

<file path=xl/ctrlProps/ctrlProp186.xml><?xml version="1.0" encoding="utf-8"?>
<formControlPr xmlns="http://schemas.microsoft.com/office/spreadsheetml/2009/9/main" objectType="Drop" dropLines="4" dropStyle="combo" dx="16" fmlaLink="B38" fmlaRange="'Lat-Long &amp; Grid Calc SHL'!$AX$38:$AX$41" noThreeD="1" sel="1" val="0"/>
</file>

<file path=xl/ctrlProps/ctrlProp187.xml><?xml version="1.0" encoding="utf-8"?>
<formControlPr xmlns="http://schemas.microsoft.com/office/spreadsheetml/2009/9/main" objectType="Drop" dropLines="4" dropStyle="combo" dx="16" fmlaLink="W38" fmlaRange="'Lat-Long &amp; Grid Calc SHL'!$AX$38:$AX$41" noThreeD="1" sel="4" val="0"/>
</file>

<file path=xl/ctrlProps/ctrlProp188.xml><?xml version="1.0" encoding="utf-8"?>
<formControlPr xmlns="http://schemas.microsoft.com/office/spreadsheetml/2009/9/main" objectType="Drop" dropLines="4" dropStyle="combo" dx="16" fmlaLink="B55" fmlaRange="'Lat-Long &amp; Grid Calc SHL'!$AX$38:$AX$41" noThreeD="1" sel="1" val="0"/>
</file>

<file path=xl/ctrlProps/ctrlProp189.xml><?xml version="1.0" encoding="utf-8"?>
<formControlPr xmlns="http://schemas.microsoft.com/office/spreadsheetml/2009/9/main" objectType="Drop" dropLines="4" dropStyle="combo" dx="16" fmlaLink="W55" fmlaRange="'Lat-Long &amp; Grid Calc SHL'!$AX$38:$AX$41" noThreeD="1" sel="4" val="0"/>
</file>

<file path=xl/ctrlProps/ctrlProp190.xml><?xml version="1.0" encoding="utf-8"?>
<formControlPr xmlns="http://schemas.microsoft.com/office/spreadsheetml/2009/9/main" objectType="Drop" dropLines="4" dropStyle="combo" dx="16" fmlaLink="B47" fmlaRange="'Lat-Long &amp; Grid Calc SHL'!$AX$38:$AX$41" noThreeD="1" sel="1" val="0"/>
</file>

<file path=xl/ctrlProps/ctrlProp191.xml><?xml version="1.0" encoding="utf-8"?>
<formControlPr xmlns="http://schemas.microsoft.com/office/spreadsheetml/2009/9/main" objectType="Drop" dropLines="4" dropStyle="combo" dx="16" fmlaLink="B30" fmlaRange="'Lat-Long &amp; Grid Calc SHL'!$AX$38:$AX$41" noThreeD="1" sel="1" val="0"/>
</file>

<file path=xl/ctrlProps/ctrlProp192.xml><?xml version="1.0" encoding="utf-8"?>
<formControlPr xmlns="http://schemas.microsoft.com/office/spreadsheetml/2009/9/main" objectType="Drop" dropLines="4" dropStyle="combo" dx="16" fmlaLink="K23" fmlaRange="'Lat-Long &amp; Grid Calc SHL'!$AX$38:$AX$41" noThreeD="1" sel="2" val="0"/>
</file>

<file path=xl/ctrlProps/ctrlProp193.xml><?xml version="1.0" encoding="utf-8"?>
<formControlPr xmlns="http://schemas.microsoft.com/office/spreadsheetml/2009/9/main" objectType="Drop" dropLines="4" dropStyle="combo" dx="16" fmlaLink="K61" fmlaRange="'Lat-Long &amp; Grid Calc SHL'!$AX$38:$AX$41" noThreeD="1" sel="2" val="0"/>
</file>

<file path=xl/ctrlProps/ctrlProp194.xml><?xml version="1.0" encoding="utf-8"?>
<formControlPr xmlns="http://schemas.microsoft.com/office/spreadsheetml/2009/9/main" objectType="Drop" dropLines="4" dropStyle="combo" dx="16" fmlaLink="E23" fmlaRange="'Lat-Long &amp; Grid Calc 2'!$AX$38:$AX$41" noThreeD="1" sel="2" val="0"/>
</file>

<file path=xl/ctrlProps/ctrlProp195.xml><?xml version="1.0" encoding="utf-8"?>
<formControlPr xmlns="http://schemas.microsoft.com/office/spreadsheetml/2009/9/main" objectType="Drop" dropLines="4" dropStyle="combo" dx="16" fmlaLink="E61" fmlaRange="'Lat-Long &amp; Grid Calc 2'!$AX$38:$AX$41" noThreeD="1" sel="2" val="0"/>
</file>

<file path=xl/ctrlProps/ctrlProp196.xml><?xml version="1.0" encoding="utf-8"?>
<formControlPr xmlns="http://schemas.microsoft.com/office/spreadsheetml/2009/9/main" objectType="Drop" dropLines="4" dropStyle="combo" dx="16" fmlaLink="O23" fmlaRange="'Lat-Long &amp; Grid Calc 2'!$AX$38:$AX$41" noThreeD="1" sel="2" val="0"/>
</file>

<file path=xl/ctrlProps/ctrlProp197.xml><?xml version="1.0" encoding="utf-8"?>
<formControlPr xmlns="http://schemas.microsoft.com/office/spreadsheetml/2009/9/main" objectType="Drop" dropLines="4" dropStyle="combo" dx="16" fmlaLink="O61" fmlaRange="'Lat-Long &amp; Grid Calc 2'!$AX$38:$AX$41" noThreeD="1" sel="2" val="0"/>
</file>

<file path=xl/ctrlProps/ctrlProp198.xml><?xml version="1.0" encoding="utf-8"?>
<formControlPr xmlns="http://schemas.microsoft.com/office/spreadsheetml/2009/9/main" objectType="Drop" dropLines="4" dropStyle="combo" dx="16" fmlaLink="W30" fmlaRange="'Lat-Long &amp; Grid Calc 2'!$AX$38:$AX$41" noThreeD="1" sel="4" val="0"/>
</file>

<file path=xl/ctrlProps/ctrlProp199.xml><?xml version="1.0" encoding="utf-8"?>
<formControlPr xmlns="http://schemas.microsoft.com/office/spreadsheetml/2009/9/main" objectType="Drop" dropLines="4" dropStyle="combo" dx="16" fmlaLink="W47" fmlaRange="'Lat-Long &amp; Grid Calc 2'!$AX$38:$AX$41" noThreeD="1" sel="4" val="0"/>
</file>

<file path=xl/ctrlProps/ctrlProp200.xml><?xml version="1.0" encoding="utf-8"?>
<formControlPr xmlns="http://schemas.microsoft.com/office/spreadsheetml/2009/9/main" objectType="Drop" dropLines="4" dropStyle="combo" dx="16" fmlaLink="U23" fmlaRange="'Lat-Long &amp; Grid Calc 2'!$AX$38:$AX$41" noThreeD="1" sel="2" val="0"/>
</file>

<file path=xl/ctrlProps/ctrlProp201.xml><?xml version="1.0" encoding="utf-8"?>
<formControlPr xmlns="http://schemas.microsoft.com/office/spreadsheetml/2009/9/main" objectType="Drop" dropLines="4" dropStyle="combo" dx="16" fmlaLink="U61" fmlaRange="'Lat-Long &amp; Grid Calc 2'!$AX$38:$AX$41" noThreeD="1" sel="2" val="0"/>
</file>

<file path=xl/ctrlProps/ctrlProp202.xml><?xml version="1.0" encoding="utf-8"?>
<formControlPr xmlns="http://schemas.microsoft.com/office/spreadsheetml/2009/9/main" objectType="Drop" dropLines="4" dropStyle="combo" dx="16" fmlaLink="B38" fmlaRange="'Lat-Long &amp; Grid Calc 2'!$AX$38:$AX$41" noThreeD="1" sel="1" val="0"/>
</file>

<file path=xl/ctrlProps/ctrlProp203.xml><?xml version="1.0" encoding="utf-8"?>
<formControlPr xmlns="http://schemas.microsoft.com/office/spreadsheetml/2009/9/main" objectType="Drop" dropLines="4" dropStyle="combo" dx="16" fmlaLink="W38" fmlaRange="'Lat-Long &amp; Grid Calc 2'!$AX$38:$AX$41" noThreeD="1" sel="4" val="0"/>
</file>

<file path=xl/ctrlProps/ctrlProp204.xml><?xml version="1.0" encoding="utf-8"?>
<formControlPr xmlns="http://schemas.microsoft.com/office/spreadsheetml/2009/9/main" objectType="Drop" dropLines="4" dropStyle="combo" dx="16" fmlaLink="B55" fmlaRange="'Lat-Long &amp; Grid Calc 2'!$AX$38:$AX$41" noThreeD="1" sel="1" val="0"/>
</file>

<file path=xl/ctrlProps/ctrlProp205.xml><?xml version="1.0" encoding="utf-8"?>
<formControlPr xmlns="http://schemas.microsoft.com/office/spreadsheetml/2009/9/main" objectType="Drop" dropLines="4" dropStyle="combo" dx="16" fmlaLink="W55" fmlaRange="'Lat-Long &amp; Grid Calc 2'!$AX$38:$AX$41" noThreeD="1" sel="4" val="0"/>
</file>

<file path=xl/ctrlProps/ctrlProp206.xml><?xml version="1.0" encoding="utf-8"?>
<formControlPr xmlns="http://schemas.microsoft.com/office/spreadsheetml/2009/9/main" objectType="Drop" dropLines="4" dropStyle="combo" dx="16" fmlaLink="B47" fmlaRange="'Lat-Long &amp; Grid Calc 2'!$AX$38:$AX$41" noThreeD="1" sel="1" val="0"/>
</file>

<file path=xl/ctrlProps/ctrlProp207.xml><?xml version="1.0" encoding="utf-8"?>
<formControlPr xmlns="http://schemas.microsoft.com/office/spreadsheetml/2009/9/main" objectType="Drop" dropLines="4" dropStyle="combo" dx="16" fmlaLink="B30" fmlaRange="'Lat-Long &amp; Grid Calc 2'!$AX$38:$AX$41" noThreeD="1" sel="1" val="0"/>
</file>

<file path=xl/ctrlProps/ctrlProp208.xml><?xml version="1.0" encoding="utf-8"?>
<formControlPr xmlns="http://schemas.microsoft.com/office/spreadsheetml/2009/9/main" objectType="Drop" dropLines="4" dropStyle="combo" dx="16" fmlaLink="K23" fmlaRange="'Lat-Long &amp; Grid Calc 2'!$AX$38:$AX$41" noThreeD="1" sel="2" val="0"/>
</file>

<file path=xl/ctrlProps/ctrlProp209.xml><?xml version="1.0" encoding="utf-8"?>
<formControlPr xmlns="http://schemas.microsoft.com/office/spreadsheetml/2009/9/main" objectType="Drop" dropLines="4" dropStyle="combo" dx="16" fmlaLink="K61" fmlaRange="'Lat-Long &amp; Grid Calc 2'!$AX$38:$AX$41" noThreeD="1" sel="2" val="0"/>
</file>

<file path=xl/ctrlProps/ctrlProp210.xml><?xml version="1.0" encoding="utf-8"?>
<formControlPr xmlns="http://schemas.microsoft.com/office/spreadsheetml/2009/9/main" objectType="Drop" dropLines="4" dropStyle="combo" dx="16" fmlaLink="E23" fmlaRange="'Lat-Long &amp; Grid Calc SHL'!$AX$38:$AX$41" noThreeD="1" sel="2" val="0"/>
</file>

<file path=xl/ctrlProps/ctrlProp211.xml><?xml version="1.0" encoding="utf-8"?>
<formControlPr xmlns="http://schemas.microsoft.com/office/spreadsheetml/2009/9/main" objectType="Drop" dropLines="4" dropStyle="combo" dx="16" fmlaLink="E61" fmlaRange="'Lat-Long &amp; Grid Calc SHL'!$AX$38:$AX$41" noThreeD="1" sel="2" val="0"/>
</file>

<file path=xl/ctrlProps/ctrlProp212.xml><?xml version="1.0" encoding="utf-8"?>
<formControlPr xmlns="http://schemas.microsoft.com/office/spreadsheetml/2009/9/main" objectType="Drop" dropLines="4" dropStyle="combo" dx="16" fmlaLink="O23" fmlaRange="'Lat-Long &amp; Grid Calc SHL'!$AX$38:$AX$41" noThreeD="1" sel="2" val="0"/>
</file>

<file path=xl/ctrlProps/ctrlProp213.xml><?xml version="1.0" encoding="utf-8"?>
<formControlPr xmlns="http://schemas.microsoft.com/office/spreadsheetml/2009/9/main" objectType="Drop" dropLines="4" dropStyle="combo" dx="16" fmlaLink="O61" fmlaRange="'Lat-Long &amp; Grid Calc SHL'!$AX$38:$AX$41" noThreeD="1" sel="2" val="0"/>
</file>

<file path=xl/ctrlProps/ctrlProp214.xml><?xml version="1.0" encoding="utf-8"?>
<formControlPr xmlns="http://schemas.microsoft.com/office/spreadsheetml/2009/9/main" objectType="Drop" dropLines="4" dropStyle="combo" dx="16" fmlaLink="W30" fmlaRange="'Lat-Long &amp; Grid Calc SHL'!$AX$38:$AX$41" noThreeD="1" sel="4" val="0"/>
</file>

<file path=xl/ctrlProps/ctrlProp215.xml><?xml version="1.0" encoding="utf-8"?>
<formControlPr xmlns="http://schemas.microsoft.com/office/spreadsheetml/2009/9/main" objectType="Drop" dropLines="4" dropStyle="combo" dx="16" fmlaLink="W47" fmlaRange="'Lat-Long &amp; Grid Calc SHL'!$AX$38:$AX$41" noThreeD="1" sel="4" val="0"/>
</file>

<file path=xl/ctrlProps/ctrlProp216.xml><?xml version="1.0" encoding="utf-8"?>
<formControlPr xmlns="http://schemas.microsoft.com/office/spreadsheetml/2009/9/main" objectType="Drop" dropLines="4" dropStyle="combo" dx="16" fmlaLink="U23" fmlaRange="'Lat-Long &amp; Grid Calc SHL'!$AX$38:$AX$41" noThreeD="1" sel="2" val="0"/>
</file>

<file path=xl/ctrlProps/ctrlProp217.xml><?xml version="1.0" encoding="utf-8"?>
<formControlPr xmlns="http://schemas.microsoft.com/office/spreadsheetml/2009/9/main" objectType="Drop" dropLines="4" dropStyle="combo" dx="16" fmlaLink="U61" fmlaRange="'Lat-Long &amp; Grid Calc SHL'!$AX$38:$AX$41" noThreeD="1" sel="2" val="0"/>
</file>

<file path=xl/ctrlProps/ctrlProp218.xml><?xml version="1.0" encoding="utf-8"?>
<formControlPr xmlns="http://schemas.microsoft.com/office/spreadsheetml/2009/9/main" objectType="Drop" dropLines="4" dropStyle="combo" dx="16" fmlaLink="B38" fmlaRange="'Lat-Long &amp; Grid Calc SHL'!$AX$38:$AX$41" noThreeD="1" sel="1" val="0"/>
</file>

<file path=xl/ctrlProps/ctrlProp219.xml><?xml version="1.0" encoding="utf-8"?>
<formControlPr xmlns="http://schemas.microsoft.com/office/spreadsheetml/2009/9/main" objectType="Drop" dropLines="4" dropStyle="combo" dx="16" fmlaLink="W38" fmlaRange="'Lat-Long &amp; Grid Calc SHL'!$AX$38:$AX$41" noThreeD="1" sel="4" val="0"/>
</file>

<file path=xl/ctrlProps/ctrlProp220.xml><?xml version="1.0" encoding="utf-8"?>
<formControlPr xmlns="http://schemas.microsoft.com/office/spreadsheetml/2009/9/main" objectType="Drop" dropLines="4" dropStyle="combo" dx="16" fmlaLink="B55" fmlaRange="'Lat-Long &amp; Grid Calc SHL'!$AX$38:$AX$41" noThreeD="1" sel="1" val="0"/>
</file>

<file path=xl/ctrlProps/ctrlProp221.xml><?xml version="1.0" encoding="utf-8"?>
<formControlPr xmlns="http://schemas.microsoft.com/office/spreadsheetml/2009/9/main" objectType="Drop" dropLines="4" dropStyle="combo" dx="16" fmlaLink="W55" fmlaRange="'Lat-Long &amp; Grid Calc SHL'!$AX$38:$AX$41" noThreeD="1" sel="4" val="0"/>
</file>

<file path=xl/ctrlProps/ctrlProp222.xml><?xml version="1.0" encoding="utf-8"?>
<formControlPr xmlns="http://schemas.microsoft.com/office/spreadsheetml/2009/9/main" objectType="Drop" dropLines="4" dropStyle="combo" dx="16" fmlaLink="B47" fmlaRange="'Lat-Long &amp; Grid Calc SHL'!$AX$38:$AX$41" noThreeD="1" sel="1" val="0"/>
</file>

<file path=xl/ctrlProps/ctrlProp223.xml><?xml version="1.0" encoding="utf-8"?>
<formControlPr xmlns="http://schemas.microsoft.com/office/spreadsheetml/2009/9/main" objectType="Drop" dropLines="4" dropStyle="combo" dx="16" fmlaLink="B30" fmlaRange="'Lat-Long &amp; Grid Calc SHL'!$AX$38:$AX$41" noThreeD="1" sel="1" val="0"/>
</file>

<file path=xl/ctrlProps/ctrlProp224.xml><?xml version="1.0" encoding="utf-8"?>
<formControlPr xmlns="http://schemas.microsoft.com/office/spreadsheetml/2009/9/main" objectType="Drop" dropLines="4" dropStyle="combo" dx="16" fmlaLink="K23" fmlaRange="'Lat-Long &amp; Grid Calc SHL'!$AX$38:$AX$41" noThreeD="1" sel="2" val="0"/>
</file>

<file path=xl/ctrlProps/ctrlProp225.xml><?xml version="1.0" encoding="utf-8"?>
<formControlPr xmlns="http://schemas.microsoft.com/office/spreadsheetml/2009/9/main" objectType="Drop" dropLines="4" dropStyle="combo" dx="16" fmlaLink="K61" fmlaRange="'Lat-Long &amp; Grid Calc SHL'!$AX$38:$AX$41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27</xdr:row>
          <xdr:rowOff>9525</xdr:rowOff>
        </xdr:from>
        <xdr:to>
          <xdr:col>3</xdr:col>
          <xdr:colOff>552450</xdr:colOff>
          <xdr:row>27</xdr:row>
          <xdr:rowOff>190500</xdr:rowOff>
        </xdr:to>
        <xdr:sp macro="" textlink="">
          <xdr:nvSpPr>
            <xdr:cNvPr id="61441" name="Drop Dow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27</xdr:row>
          <xdr:rowOff>9525</xdr:rowOff>
        </xdr:from>
        <xdr:to>
          <xdr:col>2</xdr:col>
          <xdr:colOff>552450</xdr:colOff>
          <xdr:row>27</xdr:row>
          <xdr:rowOff>190500</xdr:rowOff>
        </xdr:to>
        <xdr:sp macro="" textlink="">
          <xdr:nvSpPr>
            <xdr:cNvPr id="61442" name="Drop Dow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10</xdr:row>
          <xdr:rowOff>9525</xdr:rowOff>
        </xdr:from>
        <xdr:to>
          <xdr:col>5</xdr:col>
          <xdr:colOff>485775</xdr:colOff>
          <xdr:row>10</xdr:row>
          <xdr:rowOff>190500</xdr:rowOff>
        </xdr:to>
        <xdr:sp macro="" textlink="">
          <xdr:nvSpPr>
            <xdr:cNvPr id="61443" name="Drop Dow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</xdr:row>
          <xdr:rowOff>9525</xdr:rowOff>
        </xdr:from>
        <xdr:to>
          <xdr:col>3</xdr:col>
          <xdr:colOff>485775</xdr:colOff>
          <xdr:row>10</xdr:row>
          <xdr:rowOff>190500</xdr:rowOff>
        </xdr:to>
        <xdr:sp macro="" textlink="">
          <xdr:nvSpPr>
            <xdr:cNvPr id="61444" name="Drop Dow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19050</xdr:rowOff>
        </xdr:from>
        <xdr:to>
          <xdr:col>5</xdr:col>
          <xdr:colOff>581025</xdr:colOff>
          <xdr:row>5</xdr:row>
          <xdr:rowOff>180975</xdr:rowOff>
        </xdr:to>
        <xdr:sp macro="" textlink="">
          <xdr:nvSpPr>
            <xdr:cNvPr id="61445" name="Drop Dow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</xdr:row>
          <xdr:rowOff>9525</xdr:rowOff>
        </xdr:from>
        <xdr:to>
          <xdr:col>5</xdr:col>
          <xdr:colOff>485775</xdr:colOff>
          <xdr:row>11</xdr:row>
          <xdr:rowOff>190500</xdr:rowOff>
        </xdr:to>
        <xdr:sp macro="" textlink="">
          <xdr:nvSpPr>
            <xdr:cNvPr id="61446" name="Drop Dow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9525</xdr:rowOff>
        </xdr:from>
        <xdr:to>
          <xdr:col>3</xdr:col>
          <xdr:colOff>485775</xdr:colOff>
          <xdr:row>11</xdr:row>
          <xdr:rowOff>190500</xdr:rowOff>
        </xdr:to>
        <xdr:sp macro="" textlink="">
          <xdr:nvSpPr>
            <xdr:cNvPr id="61447" name="Drop Dow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28</xdr:row>
          <xdr:rowOff>9525</xdr:rowOff>
        </xdr:from>
        <xdr:to>
          <xdr:col>6</xdr:col>
          <xdr:colOff>561975</xdr:colOff>
          <xdr:row>28</xdr:row>
          <xdr:rowOff>190500</xdr:rowOff>
        </xdr:to>
        <xdr:sp macro="" textlink="">
          <xdr:nvSpPr>
            <xdr:cNvPr id="61448" name="Drop Dow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28</xdr:row>
          <xdr:rowOff>9525</xdr:rowOff>
        </xdr:from>
        <xdr:to>
          <xdr:col>5</xdr:col>
          <xdr:colOff>561975</xdr:colOff>
          <xdr:row>28</xdr:row>
          <xdr:rowOff>190500</xdr:rowOff>
        </xdr:to>
        <xdr:sp macro="" textlink="">
          <xdr:nvSpPr>
            <xdr:cNvPr id="61449" name="Drop Dow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34</xdr:row>
          <xdr:rowOff>19050</xdr:rowOff>
        </xdr:from>
        <xdr:to>
          <xdr:col>4</xdr:col>
          <xdr:colOff>495300</xdr:colOff>
          <xdr:row>34</xdr:row>
          <xdr:rowOff>161925</xdr:rowOff>
        </xdr:to>
        <xdr:sp macro="" textlink="">
          <xdr:nvSpPr>
            <xdr:cNvPr id="61450" name="Drop Dow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34</xdr:row>
          <xdr:rowOff>19050</xdr:rowOff>
        </xdr:from>
        <xdr:to>
          <xdr:col>6</xdr:col>
          <xdr:colOff>495300</xdr:colOff>
          <xdr:row>34</xdr:row>
          <xdr:rowOff>161925</xdr:rowOff>
        </xdr:to>
        <xdr:sp macro="" textlink="">
          <xdr:nvSpPr>
            <xdr:cNvPr id="61451" name="Drop Down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9525</xdr:rowOff>
        </xdr:from>
        <xdr:to>
          <xdr:col>5</xdr:col>
          <xdr:colOff>581025</xdr:colOff>
          <xdr:row>6</xdr:row>
          <xdr:rowOff>171450</xdr:rowOff>
        </xdr:to>
        <xdr:sp macro="" textlink="">
          <xdr:nvSpPr>
            <xdr:cNvPr id="61452" name="Drop Down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35</xdr:row>
          <xdr:rowOff>19050</xdr:rowOff>
        </xdr:from>
        <xdr:to>
          <xdr:col>4</xdr:col>
          <xdr:colOff>495300</xdr:colOff>
          <xdr:row>35</xdr:row>
          <xdr:rowOff>161925</xdr:rowOff>
        </xdr:to>
        <xdr:sp macro="" textlink="">
          <xdr:nvSpPr>
            <xdr:cNvPr id="61453" name="Drop Down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35</xdr:row>
          <xdr:rowOff>19050</xdr:rowOff>
        </xdr:from>
        <xdr:to>
          <xdr:col>6</xdr:col>
          <xdr:colOff>495300</xdr:colOff>
          <xdr:row>35</xdr:row>
          <xdr:rowOff>161925</xdr:rowOff>
        </xdr:to>
        <xdr:sp macro="" textlink="">
          <xdr:nvSpPr>
            <xdr:cNvPr id="61454" name="Drop Down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43</xdr:row>
          <xdr:rowOff>9525</xdr:rowOff>
        </xdr:from>
        <xdr:to>
          <xdr:col>6</xdr:col>
          <xdr:colOff>733425</xdr:colOff>
          <xdr:row>43</xdr:row>
          <xdr:rowOff>180975</xdr:rowOff>
        </xdr:to>
        <xdr:sp macro="" textlink="">
          <xdr:nvSpPr>
            <xdr:cNvPr id="61455" name="Drop Down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9525</xdr:rowOff>
        </xdr:from>
        <xdr:to>
          <xdr:col>5</xdr:col>
          <xdr:colOff>485775</xdr:colOff>
          <xdr:row>12</xdr:row>
          <xdr:rowOff>190500</xdr:rowOff>
        </xdr:to>
        <xdr:sp macro="" textlink="">
          <xdr:nvSpPr>
            <xdr:cNvPr id="61456" name="Drop Down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9525</xdr:rowOff>
        </xdr:from>
        <xdr:to>
          <xdr:col>3</xdr:col>
          <xdr:colOff>485775</xdr:colOff>
          <xdr:row>12</xdr:row>
          <xdr:rowOff>190500</xdr:rowOff>
        </xdr:to>
        <xdr:sp macro="" textlink="">
          <xdr:nvSpPr>
            <xdr:cNvPr id="61457" name="Drop Down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28</xdr:row>
          <xdr:rowOff>9525</xdr:rowOff>
        </xdr:from>
        <xdr:to>
          <xdr:col>8</xdr:col>
          <xdr:colOff>561975</xdr:colOff>
          <xdr:row>28</xdr:row>
          <xdr:rowOff>190500</xdr:rowOff>
        </xdr:to>
        <xdr:sp macro="" textlink="">
          <xdr:nvSpPr>
            <xdr:cNvPr id="61458" name="Drop Down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28</xdr:row>
          <xdr:rowOff>9525</xdr:rowOff>
        </xdr:from>
        <xdr:to>
          <xdr:col>7</xdr:col>
          <xdr:colOff>561975</xdr:colOff>
          <xdr:row>28</xdr:row>
          <xdr:rowOff>190500</xdr:rowOff>
        </xdr:to>
        <xdr:sp macro="" textlink="">
          <xdr:nvSpPr>
            <xdr:cNvPr id="61459" name="Drop Down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36</xdr:row>
          <xdr:rowOff>19050</xdr:rowOff>
        </xdr:from>
        <xdr:to>
          <xdr:col>4</xdr:col>
          <xdr:colOff>495300</xdr:colOff>
          <xdr:row>36</xdr:row>
          <xdr:rowOff>161925</xdr:rowOff>
        </xdr:to>
        <xdr:sp macro="" textlink="">
          <xdr:nvSpPr>
            <xdr:cNvPr id="61460" name="Drop Down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36</xdr:row>
          <xdr:rowOff>19050</xdr:rowOff>
        </xdr:from>
        <xdr:to>
          <xdr:col>6</xdr:col>
          <xdr:colOff>495300</xdr:colOff>
          <xdr:row>36</xdr:row>
          <xdr:rowOff>161925</xdr:rowOff>
        </xdr:to>
        <xdr:sp macro="" textlink="">
          <xdr:nvSpPr>
            <xdr:cNvPr id="61461" name="Drop Down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37</xdr:row>
          <xdr:rowOff>19050</xdr:rowOff>
        </xdr:from>
        <xdr:to>
          <xdr:col>4</xdr:col>
          <xdr:colOff>495300</xdr:colOff>
          <xdr:row>37</xdr:row>
          <xdr:rowOff>161925</xdr:rowOff>
        </xdr:to>
        <xdr:sp macro="" textlink="">
          <xdr:nvSpPr>
            <xdr:cNvPr id="61462" name="Drop Down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37</xdr:row>
          <xdr:rowOff>19050</xdr:rowOff>
        </xdr:from>
        <xdr:to>
          <xdr:col>6</xdr:col>
          <xdr:colOff>495300</xdr:colOff>
          <xdr:row>37</xdr:row>
          <xdr:rowOff>161925</xdr:rowOff>
        </xdr:to>
        <xdr:sp macro="" textlink="">
          <xdr:nvSpPr>
            <xdr:cNvPr id="61463" name="Drop Down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15</xdr:row>
          <xdr:rowOff>28575</xdr:rowOff>
        </xdr:from>
        <xdr:to>
          <xdr:col>4</xdr:col>
          <xdr:colOff>647700</xdr:colOff>
          <xdr:row>15</xdr:row>
          <xdr:rowOff>171450</xdr:rowOff>
        </xdr:to>
        <xdr:sp macro="" textlink="">
          <xdr:nvSpPr>
            <xdr:cNvPr id="61464" name="Drop Down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16</xdr:row>
          <xdr:rowOff>28575</xdr:rowOff>
        </xdr:from>
        <xdr:to>
          <xdr:col>4</xdr:col>
          <xdr:colOff>657225</xdr:colOff>
          <xdr:row>16</xdr:row>
          <xdr:rowOff>171450</xdr:rowOff>
        </xdr:to>
        <xdr:sp macro="" textlink="">
          <xdr:nvSpPr>
            <xdr:cNvPr id="61465" name="Drop Down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17</xdr:row>
          <xdr:rowOff>28575</xdr:rowOff>
        </xdr:from>
        <xdr:to>
          <xdr:col>4</xdr:col>
          <xdr:colOff>657225</xdr:colOff>
          <xdr:row>17</xdr:row>
          <xdr:rowOff>171450</xdr:rowOff>
        </xdr:to>
        <xdr:sp macro="" textlink="">
          <xdr:nvSpPr>
            <xdr:cNvPr id="61466" name="Drop Down 26" hidden="1">
              <a:extLst>
                <a:ext uri="{63B3BB69-23CF-44E3-9099-C40C66FF867C}">
                  <a14:compatExt spid="_x0000_s6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15</xdr:row>
          <xdr:rowOff>28575</xdr:rowOff>
        </xdr:from>
        <xdr:to>
          <xdr:col>6</xdr:col>
          <xdr:colOff>657225</xdr:colOff>
          <xdr:row>15</xdr:row>
          <xdr:rowOff>171450</xdr:rowOff>
        </xdr:to>
        <xdr:sp macro="" textlink="">
          <xdr:nvSpPr>
            <xdr:cNvPr id="61467" name="Drop Down 27" hidden="1">
              <a:extLst>
                <a:ext uri="{63B3BB69-23CF-44E3-9099-C40C66FF867C}">
                  <a14:compatExt spid="_x0000_s6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16</xdr:row>
          <xdr:rowOff>28575</xdr:rowOff>
        </xdr:from>
        <xdr:to>
          <xdr:col>6</xdr:col>
          <xdr:colOff>666750</xdr:colOff>
          <xdr:row>16</xdr:row>
          <xdr:rowOff>171450</xdr:rowOff>
        </xdr:to>
        <xdr:sp macro="" textlink="">
          <xdr:nvSpPr>
            <xdr:cNvPr id="61468" name="Drop Down 28" hidden="1">
              <a:extLst>
                <a:ext uri="{63B3BB69-23CF-44E3-9099-C40C66FF867C}">
                  <a14:compatExt spid="_x0000_s6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17</xdr:row>
          <xdr:rowOff>28575</xdr:rowOff>
        </xdr:from>
        <xdr:to>
          <xdr:col>6</xdr:col>
          <xdr:colOff>666750</xdr:colOff>
          <xdr:row>17</xdr:row>
          <xdr:rowOff>171450</xdr:rowOff>
        </xdr:to>
        <xdr:sp macro="" textlink="">
          <xdr:nvSpPr>
            <xdr:cNvPr id="61469" name="Drop Down 29" hidden="1">
              <a:extLst>
                <a:ext uri="{63B3BB69-23CF-44E3-9099-C40C66FF867C}">
                  <a14:compatExt spid="_x0000_s6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18</xdr:row>
          <xdr:rowOff>19050</xdr:rowOff>
        </xdr:from>
        <xdr:to>
          <xdr:col>3</xdr:col>
          <xdr:colOff>809625</xdr:colOff>
          <xdr:row>18</xdr:row>
          <xdr:rowOff>180975</xdr:rowOff>
        </xdr:to>
        <xdr:sp macro="" textlink="">
          <xdr:nvSpPr>
            <xdr:cNvPr id="61470" name="Drop Down 30" hidden="1">
              <a:extLst>
                <a:ext uri="{63B3BB69-23CF-44E3-9099-C40C66FF867C}">
                  <a14:compatExt spid="_x0000_s6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</xdr:row>
          <xdr:rowOff>9525</xdr:rowOff>
        </xdr:from>
        <xdr:to>
          <xdr:col>18</xdr:col>
          <xdr:colOff>704850</xdr:colOff>
          <xdr:row>6</xdr:row>
          <xdr:rowOff>180975</xdr:rowOff>
        </xdr:to>
        <xdr:sp macro="" textlink="">
          <xdr:nvSpPr>
            <xdr:cNvPr id="71681" name="Drop Dow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</xdr:row>
          <xdr:rowOff>19050</xdr:rowOff>
        </xdr:from>
        <xdr:to>
          <xdr:col>5</xdr:col>
          <xdr:colOff>485775</xdr:colOff>
          <xdr:row>7</xdr:row>
          <xdr:rowOff>200025</xdr:rowOff>
        </xdr:to>
        <xdr:sp macro="" textlink="">
          <xdr:nvSpPr>
            <xdr:cNvPr id="71682" name="Drop Down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</xdr:row>
          <xdr:rowOff>19050</xdr:rowOff>
        </xdr:from>
        <xdr:to>
          <xdr:col>5</xdr:col>
          <xdr:colOff>485775</xdr:colOff>
          <xdr:row>8</xdr:row>
          <xdr:rowOff>200025</xdr:rowOff>
        </xdr:to>
        <xdr:sp macro="" textlink="">
          <xdr:nvSpPr>
            <xdr:cNvPr id="71683" name="Drop Down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9</xdr:row>
          <xdr:rowOff>28575</xdr:rowOff>
        </xdr:from>
        <xdr:to>
          <xdr:col>5</xdr:col>
          <xdr:colOff>485775</xdr:colOff>
          <xdr:row>9</xdr:row>
          <xdr:rowOff>209550</xdr:rowOff>
        </xdr:to>
        <xdr:sp macro="" textlink="">
          <xdr:nvSpPr>
            <xdr:cNvPr id="71684" name="Drop Down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28575</xdr:rowOff>
        </xdr:from>
        <xdr:to>
          <xdr:col>7</xdr:col>
          <xdr:colOff>495300</xdr:colOff>
          <xdr:row>7</xdr:row>
          <xdr:rowOff>209550</xdr:rowOff>
        </xdr:to>
        <xdr:sp macro="" textlink="">
          <xdr:nvSpPr>
            <xdr:cNvPr id="71685" name="Drop Down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28575</xdr:rowOff>
        </xdr:from>
        <xdr:to>
          <xdr:col>7</xdr:col>
          <xdr:colOff>495300</xdr:colOff>
          <xdr:row>8</xdr:row>
          <xdr:rowOff>209550</xdr:rowOff>
        </xdr:to>
        <xdr:sp macro="" textlink="">
          <xdr:nvSpPr>
            <xdr:cNvPr id="71686" name="Drop Down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9</xdr:row>
          <xdr:rowOff>28575</xdr:rowOff>
        </xdr:from>
        <xdr:to>
          <xdr:col>7</xdr:col>
          <xdr:colOff>485775</xdr:colOff>
          <xdr:row>9</xdr:row>
          <xdr:rowOff>209550</xdr:rowOff>
        </xdr:to>
        <xdr:sp macro="" textlink="">
          <xdr:nvSpPr>
            <xdr:cNvPr id="71687" name="Drop Down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28575</xdr:rowOff>
        </xdr:from>
        <xdr:to>
          <xdr:col>11</xdr:col>
          <xdr:colOff>466725</xdr:colOff>
          <xdr:row>6</xdr:row>
          <xdr:rowOff>200025</xdr:rowOff>
        </xdr:to>
        <xdr:sp macro="" textlink="">
          <xdr:nvSpPr>
            <xdr:cNvPr id="71688" name="Drop Down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6</xdr:row>
          <xdr:rowOff>0</xdr:rowOff>
        </xdr:from>
        <xdr:to>
          <xdr:col>17</xdr:col>
          <xdr:colOff>695325</xdr:colOff>
          <xdr:row>6</xdr:row>
          <xdr:rowOff>180975</xdr:rowOff>
        </xdr:to>
        <xdr:sp macro="" textlink="">
          <xdr:nvSpPr>
            <xdr:cNvPr id="71689" name="Drop Down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15</xdr:row>
          <xdr:rowOff>9525</xdr:rowOff>
        </xdr:from>
        <xdr:to>
          <xdr:col>4</xdr:col>
          <xdr:colOff>647700</xdr:colOff>
          <xdr:row>15</xdr:row>
          <xdr:rowOff>180975</xdr:rowOff>
        </xdr:to>
        <xdr:sp macro="" textlink="">
          <xdr:nvSpPr>
            <xdr:cNvPr id="71690" name="Drop Down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</xdr:row>
          <xdr:rowOff>28575</xdr:rowOff>
        </xdr:from>
        <xdr:to>
          <xdr:col>9</xdr:col>
          <xdr:colOff>485775</xdr:colOff>
          <xdr:row>6</xdr:row>
          <xdr:rowOff>200025</xdr:rowOff>
        </xdr:to>
        <xdr:sp macro="" textlink="">
          <xdr:nvSpPr>
            <xdr:cNvPr id="71691" name="Drop Down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6</xdr:row>
          <xdr:rowOff>9525</xdr:rowOff>
        </xdr:from>
        <xdr:to>
          <xdr:col>15</xdr:col>
          <xdr:colOff>704850</xdr:colOff>
          <xdr:row>6</xdr:row>
          <xdr:rowOff>190500</xdr:rowOff>
        </xdr:to>
        <xdr:sp macro="" textlink="">
          <xdr:nvSpPr>
            <xdr:cNvPr id="71692" name="Drop Down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11</xdr:row>
          <xdr:rowOff>19050</xdr:rowOff>
        </xdr:from>
        <xdr:to>
          <xdr:col>4</xdr:col>
          <xdr:colOff>619125</xdr:colOff>
          <xdr:row>11</xdr:row>
          <xdr:rowOff>180975</xdr:rowOff>
        </xdr:to>
        <xdr:sp macro="" textlink="">
          <xdr:nvSpPr>
            <xdr:cNvPr id="71693" name="Drop Down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16</xdr:row>
          <xdr:rowOff>19050</xdr:rowOff>
        </xdr:from>
        <xdr:to>
          <xdr:col>3</xdr:col>
          <xdr:colOff>200025</xdr:colOff>
          <xdr:row>16</xdr:row>
          <xdr:rowOff>171450</xdr:rowOff>
        </xdr:to>
        <xdr:sp macro="" textlink="">
          <xdr:nvSpPr>
            <xdr:cNvPr id="71694" name="Drop Down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8</xdr:col>
          <xdr:colOff>561975</xdr:colOff>
          <xdr:row>21</xdr:row>
          <xdr:rowOff>0</xdr:rowOff>
        </xdr:to>
        <xdr:sp macro="" textlink="">
          <xdr:nvSpPr>
            <xdr:cNvPr id="71695" name="Drop Down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</xdr:row>
          <xdr:rowOff>9525</xdr:rowOff>
        </xdr:from>
        <xdr:to>
          <xdr:col>7</xdr:col>
          <xdr:colOff>561975</xdr:colOff>
          <xdr:row>21</xdr:row>
          <xdr:rowOff>0</xdr:rowOff>
        </xdr:to>
        <xdr:sp macro="" textlink="">
          <xdr:nvSpPr>
            <xdr:cNvPr id="71696" name="Drop Down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9525</xdr:rowOff>
        </xdr:from>
        <xdr:to>
          <xdr:col>10</xdr:col>
          <xdr:colOff>561975</xdr:colOff>
          <xdr:row>21</xdr:row>
          <xdr:rowOff>0</xdr:rowOff>
        </xdr:to>
        <xdr:sp macro="" textlink="">
          <xdr:nvSpPr>
            <xdr:cNvPr id="71697" name="Drop Down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20</xdr:row>
          <xdr:rowOff>9525</xdr:rowOff>
        </xdr:from>
        <xdr:to>
          <xdr:col>9</xdr:col>
          <xdr:colOff>561975</xdr:colOff>
          <xdr:row>21</xdr:row>
          <xdr:rowOff>0</xdr:rowOff>
        </xdr:to>
        <xdr:sp macro="" textlink="">
          <xdr:nvSpPr>
            <xdr:cNvPr id="71698" name="Drop Down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19050</xdr:rowOff>
        </xdr:from>
        <xdr:to>
          <xdr:col>12</xdr:col>
          <xdr:colOff>695325</xdr:colOff>
          <xdr:row>6</xdr:row>
          <xdr:rowOff>200025</xdr:rowOff>
        </xdr:to>
        <xdr:sp macro="" textlink="">
          <xdr:nvSpPr>
            <xdr:cNvPr id="71699" name="Drop Down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0</xdr:rowOff>
        </xdr:from>
        <xdr:to>
          <xdr:col>12</xdr:col>
          <xdr:colOff>685800</xdr:colOff>
          <xdr:row>7</xdr:row>
          <xdr:rowOff>190500</xdr:rowOff>
        </xdr:to>
        <xdr:sp macro="" textlink="">
          <xdr:nvSpPr>
            <xdr:cNvPr id="71700" name="Drop Down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9525</xdr:rowOff>
        </xdr:from>
        <xdr:to>
          <xdr:col>12</xdr:col>
          <xdr:colOff>685800</xdr:colOff>
          <xdr:row>8</xdr:row>
          <xdr:rowOff>200025</xdr:rowOff>
        </xdr:to>
        <xdr:sp macro="" textlink="">
          <xdr:nvSpPr>
            <xdr:cNvPr id="71701" name="Drop Down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9525</xdr:rowOff>
        </xdr:from>
        <xdr:to>
          <xdr:col>12</xdr:col>
          <xdr:colOff>685800</xdr:colOff>
          <xdr:row>9</xdr:row>
          <xdr:rowOff>200025</xdr:rowOff>
        </xdr:to>
        <xdr:sp macro="" textlink="">
          <xdr:nvSpPr>
            <xdr:cNvPr id="71702" name="Drop Down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20</xdr:row>
          <xdr:rowOff>9525</xdr:rowOff>
        </xdr:from>
        <xdr:to>
          <xdr:col>12</xdr:col>
          <xdr:colOff>561975</xdr:colOff>
          <xdr:row>21</xdr:row>
          <xdr:rowOff>0</xdr:rowOff>
        </xdr:to>
        <xdr:sp macro="" textlink="">
          <xdr:nvSpPr>
            <xdr:cNvPr id="71703" name="Drop Down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20</xdr:row>
          <xdr:rowOff>9525</xdr:rowOff>
        </xdr:from>
        <xdr:to>
          <xdr:col>11</xdr:col>
          <xdr:colOff>561975</xdr:colOff>
          <xdr:row>21</xdr:row>
          <xdr:rowOff>0</xdr:rowOff>
        </xdr:to>
        <xdr:sp macro="" textlink="">
          <xdr:nvSpPr>
            <xdr:cNvPr id="71704" name="Drop Down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21</xdr:row>
          <xdr:rowOff>0</xdr:rowOff>
        </xdr:from>
        <xdr:to>
          <xdr:col>4</xdr:col>
          <xdr:colOff>466725</xdr:colOff>
          <xdr:row>22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59</xdr:row>
          <xdr:rowOff>0</xdr:rowOff>
        </xdr:from>
        <xdr:to>
          <xdr:col>4</xdr:col>
          <xdr:colOff>457200</xdr:colOff>
          <xdr:row>60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21</xdr:row>
          <xdr:rowOff>0</xdr:rowOff>
        </xdr:from>
        <xdr:to>
          <xdr:col>14</xdr:col>
          <xdr:colOff>514350</xdr:colOff>
          <xdr:row>22</xdr:row>
          <xdr:rowOff>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59</xdr:row>
          <xdr:rowOff>0</xdr:rowOff>
        </xdr:from>
        <xdr:to>
          <xdr:col>14</xdr:col>
          <xdr:colOff>504825</xdr:colOff>
          <xdr:row>59</xdr:row>
          <xdr:rowOff>142875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28</xdr:row>
          <xdr:rowOff>9525</xdr:rowOff>
        </xdr:from>
        <xdr:to>
          <xdr:col>22</xdr:col>
          <xdr:colOff>514350</xdr:colOff>
          <xdr:row>29</xdr:row>
          <xdr:rowOff>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44</xdr:row>
          <xdr:rowOff>0</xdr:rowOff>
        </xdr:from>
        <xdr:to>
          <xdr:col>22</xdr:col>
          <xdr:colOff>523875</xdr:colOff>
          <xdr:row>45</xdr:row>
          <xdr:rowOff>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21</xdr:row>
          <xdr:rowOff>0</xdr:rowOff>
        </xdr:from>
        <xdr:to>
          <xdr:col>20</xdr:col>
          <xdr:colOff>466725</xdr:colOff>
          <xdr:row>22</xdr:row>
          <xdr:rowOff>0</xdr:rowOff>
        </xdr:to>
        <xdr:sp macro="" textlink="">
          <xdr:nvSpPr>
            <xdr:cNvPr id="1077" name="Drop Dow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59</xdr:row>
          <xdr:rowOff>9525</xdr:rowOff>
        </xdr:from>
        <xdr:to>
          <xdr:col>20</xdr:col>
          <xdr:colOff>466725</xdr:colOff>
          <xdr:row>60</xdr:row>
          <xdr:rowOff>0</xdr:rowOff>
        </xdr:to>
        <xdr:sp macro="" textlink="">
          <xdr:nvSpPr>
            <xdr:cNvPr id="1080" name="Drop Dow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36</xdr:row>
          <xdr:rowOff>0</xdr:rowOff>
        </xdr:from>
        <xdr:to>
          <xdr:col>1</xdr:col>
          <xdr:colOff>495300</xdr:colOff>
          <xdr:row>37</xdr:row>
          <xdr:rowOff>0</xdr:rowOff>
        </xdr:to>
        <xdr:sp macro="" textlink="">
          <xdr:nvSpPr>
            <xdr:cNvPr id="1081" name="Drop Dow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36</xdr:row>
          <xdr:rowOff>9525</xdr:rowOff>
        </xdr:from>
        <xdr:to>
          <xdr:col>22</xdr:col>
          <xdr:colOff>523875</xdr:colOff>
          <xdr:row>37</xdr:row>
          <xdr:rowOff>0</xdr:rowOff>
        </xdr:to>
        <xdr:sp macro="" textlink="">
          <xdr:nvSpPr>
            <xdr:cNvPr id="1083" name="Drop Dow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52</xdr:row>
          <xdr:rowOff>0</xdr:rowOff>
        </xdr:from>
        <xdr:to>
          <xdr:col>1</xdr:col>
          <xdr:colOff>495300</xdr:colOff>
          <xdr:row>53</xdr:row>
          <xdr:rowOff>0</xdr:rowOff>
        </xdr:to>
        <xdr:sp macro="" textlink="">
          <xdr:nvSpPr>
            <xdr:cNvPr id="1084" name="Drop Dow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52</xdr:row>
          <xdr:rowOff>9525</xdr:rowOff>
        </xdr:from>
        <xdr:to>
          <xdr:col>22</xdr:col>
          <xdr:colOff>514350</xdr:colOff>
          <xdr:row>53</xdr:row>
          <xdr:rowOff>0</xdr:rowOff>
        </xdr:to>
        <xdr:sp macro="" textlink="">
          <xdr:nvSpPr>
            <xdr:cNvPr id="1085" name="Drop Down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</xdr:row>
          <xdr:rowOff>19050</xdr:rowOff>
        </xdr:from>
        <xdr:to>
          <xdr:col>18</xdr:col>
          <xdr:colOff>628650</xdr:colOff>
          <xdr:row>6</xdr:row>
          <xdr:rowOff>190500</xdr:rowOff>
        </xdr:to>
        <xdr:sp macro="" textlink="">
          <xdr:nvSpPr>
            <xdr:cNvPr id="1086" name="Drop Dow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</xdr:row>
          <xdr:rowOff>0</xdr:rowOff>
        </xdr:from>
        <xdr:to>
          <xdr:col>5</xdr:col>
          <xdr:colOff>485775</xdr:colOff>
          <xdr:row>7</xdr:row>
          <xdr:rowOff>190500</xdr:rowOff>
        </xdr:to>
        <xdr:sp macro="" textlink="">
          <xdr:nvSpPr>
            <xdr:cNvPr id="1089" name="Drop Dow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</xdr:row>
          <xdr:rowOff>0</xdr:rowOff>
        </xdr:from>
        <xdr:to>
          <xdr:col>5</xdr:col>
          <xdr:colOff>485775</xdr:colOff>
          <xdr:row>9</xdr:row>
          <xdr:rowOff>0</xdr:rowOff>
        </xdr:to>
        <xdr:sp macro="" textlink="">
          <xdr:nvSpPr>
            <xdr:cNvPr id="1090" name="Drop Dow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9</xdr:row>
          <xdr:rowOff>0</xdr:rowOff>
        </xdr:from>
        <xdr:to>
          <xdr:col>5</xdr:col>
          <xdr:colOff>485775</xdr:colOff>
          <xdr:row>9</xdr:row>
          <xdr:rowOff>180975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</xdr:row>
          <xdr:rowOff>0</xdr:rowOff>
        </xdr:from>
        <xdr:to>
          <xdr:col>7</xdr:col>
          <xdr:colOff>485775</xdr:colOff>
          <xdr:row>7</xdr:row>
          <xdr:rowOff>190500</xdr:rowOff>
        </xdr:to>
        <xdr:sp macro="" textlink="">
          <xdr:nvSpPr>
            <xdr:cNvPr id="1092" name="Drop Dow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8</xdr:row>
          <xdr:rowOff>0</xdr:rowOff>
        </xdr:from>
        <xdr:to>
          <xdr:col>7</xdr:col>
          <xdr:colOff>485775</xdr:colOff>
          <xdr:row>9</xdr:row>
          <xdr:rowOff>0</xdr:rowOff>
        </xdr:to>
        <xdr:sp macro="" textlink="">
          <xdr:nvSpPr>
            <xdr:cNvPr id="1093" name="Drop Dow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9</xdr:row>
          <xdr:rowOff>0</xdr:rowOff>
        </xdr:from>
        <xdr:to>
          <xdr:col>7</xdr:col>
          <xdr:colOff>485775</xdr:colOff>
          <xdr:row>9</xdr:row>
          <xdr:rowOff>180975</xdr:rowOff>
        </xdr:to>
        <xdr:sp macro="" textlink="">
          <xdr:nvSpPr>
            <xdr:cNvPr id="1094" name="Drop Dow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6</xdr:row>
          <xdr:rowOff>9525</xdr:rowOff>
        </xdr:from>
        <xdr:to>
          <xdr:col>11</xdr:col>
          <xdr:colOff>485775</xdr:colOff>
          <xdr:row>6</xdr:row>
          <xdr:rowOff>190500</xdr:rowOff>
        </xdr:to>
        <xdr:sp macro="" textlink="">
          <xdr:nvSpPr>
            <xdr:cNvPr id="1128" name="Drop Down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6</xdr:row>
          <xdr:rowOff>9525</xdr:rowOff>
        </xdr:from>
        <xdr:to>
          <xdr:col>17</xdr:col>
          <xdr:colOff>485775</xdr:colOff>
          <xdr:row>6</xdr:row>
          <xdr:rowOff>190500</xdr:rowOff>
        </xdr:to>
        <xdr:sp macro="" textlink="">
          <xdr:nvSpPr>
            <xdr:cNvPr id="1131" name="Drop Down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12</xdr:row>
          <xdr:rowOff>9525</xdr:rowOff>
        </xdr:from>
        <xdr:to>
          <xdr:col>16</xdr:col>
          <xdr:colOff>600075</xdr:colOff>
          <xdr:row>12</xdr:row>
          <xdr:rowOff>180975</xdr:rowOff>
        </xdr:to>
        <xdr:sp macro="" textlink="">
          <xdr:nvSpPr>
            <xdr:cNvPr id="1132" name="Drop Dow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</xdr:row>
          <xdr:rowOff>9525</xdr:rowOff>
        </xdr:from>
        <xdr:to>
          <xdr:col>9</xdr:col>
          <xdr:colOff>485775</xdr:colOff>
          <xdr:row>6</xdr:row>
          <xdr:rowOff>190500</xdr:rowOff>
        </xdr:to>
        <xdr:sp macro="" textlink="">
          <xdr:nvSpPr>
            <xdr:cNvPr id="1134" name="Drop Dow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44</xdr:row>
          <xdr:rowOff>0</xdr:rowOff>
        </xdr:from>
        <xdr:to>
          <xdr:col>1</xdr:col>
          <xdr:colOff>495300</xdr:colOff>
          <xdr:row>45</xdr:row>
          <xdr:rowOff>0</xdr:rowOff>
        </xdr:to>
        <xdr:sp macro="" textlink="">
          <xdr:nvSpPr>
            <xdr:cNvPr id="1136" name="Drop Down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28</xdr:row>
          <xdr:rowOff>0</xdr:rowOff>
        </xdr:from>
        <xdr:to>
          <xdr:col>1</xdr:col>
          <xdr:colOff>495300</xdr:colOff>
          <xdr:row>29</xdr:row>
          <xdr:rowOff>0</xdr:rowOff>
        </xdr:to>
        <xdr:sp macro="" textlink="">
          <xdr:nvSpPr>
            <xdr:cNvPr id="1137" name="Drop Dow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10</xdr:col>
          <xdr:colOff>466725</xdr:colOff>
          <xdr:row>22</xdr:row>
          <xdr:rowOff>0</xdr:rowOff>
        </xdr:to>
        <xdr:sp macro="" textlink="">
          <xdr:nvSpPr>
            <xdr:cNvPr id="1140" name="Drop Dow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59</xdr:row>
          <xdr:rowOff>0</xdr:rowOff>
        </xdr:from>
        <xdr:to>
          <xdr:col>10</xdr:col>
          <xdr:colOff>457200</xdr:colOff>
          <xdr:row>60</xdr:row>
          <xdr:rowOff>0</xdr:rowOff>
        </xdr:to>
        <xdr:sp macro="" textlink="">
          <xdr:nvSpPr>
            <xdr:cNvPr id="1141" name="Drop Down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6</xdr:row>
          <xdr:rowOff>9525</xdr:rowOff>
        </xdr:from>
        <xdr:to>
          <xdr:col>15</xdr:col>
          <xdr:colOff>485775</xdr:colOff>
          <xdr:row>6</xdr:row>
          <xdr:rowOff>190500</xdr:rowOff>
        </xdr:to>
        <xdr:sp macro="" textlink="">
          <xdr:nvSpPr>
            <xdr:cNvPr id="1142" name="Drop Dow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</xdr:row>
          <xdr:rowOff>95250</xdr:rowOff>
        </xdr:from>
        <xdr:to>
          <xdr:col>16</xdr:col>
          <xdr:colOff>0</xdr:colOff>
          <xdr:row>4</xdr:row>
          <xdr:rowOff>257175</xdr:rowOff>
        </xdr:to>
        <xdr:sp macro="" textlink="">
          <xdr:nvSpPr>
            <xdr:cNvPr id="1144" name="Drop Down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19050</xdr:rowOff>
        </xdr:from>
        <xdr:to>
          <xdr:col>15</xdr:col>
          <xdr:colOff>161925</xdr:colOff>
          <xdr:row>13</xdr:row>
          <xdr:rowOff>171450</xdr:rowOff>
        </xdr:to>
        <xdr:sp macro="" textlink="">
          <xdr:nvSpPr>
            <xdr:cNvPr id="1146" name="Drop Down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21</xdr:row>
          <xdr:rowOff>0</xdr:rowOff>
        </xdr:from>
        <xdr:to>
          <xdr:col>4</xdr:col>
          <xdr:colOff>466725</xdr:colOff>
          <xdr:row>22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9525</xdr:rowOff>
        </xdr:from>
        <xdr:to>
          <xdr:col>1</xdr:col>
          <xdr:colOff>485775</xdr:colOff>
          <xdr:row>29</xdr:row>
          <xdr:rowOff>9525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59</xdr:row>
          <xdr:rowOff>0</xdr:rowOff>
        </xdr:from>
        <xdr:to>
          <xdr:col>4</xdr:col>
          <xdr:colOff>457200</xdr:colOff>
          <xdr:row>60</xdr:row>
          <xdr:rowOff>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45</xdr:row>
          <xdr:rowOff>9525</xdr:rowOff>
        </xdr:from>
        <xdr:to>
          <xdr:col>1</xdr:col>
          <xdr:colOff>476250</xdr:colOff>
          <xdr:row>46</xdr:row>
          <xdr:rowOff>9525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21</xdr:row>
          <xdr:rowOff>0</xdr:rowOff>
        </xdr:from>
        <xdr:to>
          <xdr:col>14</xdr:col>
          <xdr:colOff>495300</xdr:colOff>
          <xdr:row>22</xdr:row>
          <xdr:rowOff>0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59</xdr:row>
          <xdr:rowOff>0</xdr:rowOff>
        </xdr:from>
        <xdr:to>
          <xdr:col>14</xdr:col>
          <xdr:colOff>504825</xdr:colOff>
          <xdr:row>59</xdr:row>
          <xdr:rowOff>142875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28</xdr:row>
          <xdr:rowOff>9525</xdr:rowOff>
        </xdr:from>
        <xdr:to>
          <xdr:col>22</xdr:col>
          <xdr:colOff>504825</xdr:colOff>
          <xdr:row>29</xdr:row>
          <xdr:rowOff>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45</xdr:row>
          <xdr:rowOff>0</xdr:rowOff>
        </xdr:from>
        <xdr:to>
          <xdr:col>22</xdr:col>
          <xdr:colOff>514350</xdr:colOff>
          <xdr:row>46</xdr:row>
          <xdr:rowOff>0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9525</xdr:rowOff>
        </xdr:from>
        <xdr:to>
          <xdr:col>10</xdr:col>
          <xdr:colOff>466725</xdr:colOff>
          <xdr:row>22</xdr:row>
          <xdr:rowOff>9525</xdr:rowOff>
        </xdr:to>
        <xdr:sp macro="" textlink="">
          <xdr:nvSpPr>
            <xdr:cNvPr id="4105" name="Drop Dow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21</xdr:row>
          <xdr:rowOff>0</xdr:rowOff>
        </xdr:from>
        <xdr:to>
          <xdr:col>20</xdr:col>
          <xdr:colOff>466725</xdr:colOff>
          <xdr:row>22</xdr:row>
          <xdr:rowOff>0</xdr:rowOff>
        </xdr:to>
        <xdr:sp macro="" textlink="">
          <xdr:nvSpPr>
            <xdr:cNvPr id="4106" name="Drop Dow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59</xdr:row>
          <xdr:rowOff>0</xdr:rowOff>
        </xdr:from>
        <xdr:to>
          <xdr:col>10</xdr:col>
          <xdr:colOff>476250</xdr:colOff>
          <xdr:row>60</xdr:row>
          <xdr:rowOff>0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59</xdr:row>
          <xdr:rowOff>9525</xdr:rowOff>
        </xdr:from>
        <xdr:to>
          <xdr:col>20</xdr:col>
          <xdr:colOff>466725</xdr:colOff>
          <xdr:row>60</xdr:row>
          <xdr:rowOff>0</xdr:rowOff>
        </xdr:to>
        <xdr:sp macro="" textlink="">
          <xdr:nvSpPr>
            <xdr:cNvPr id="4108" name="Drop Dow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36</xdr:row>
          <xdr:rowOff>0</xdr:rowOff>
        </xdr:from>
        <xdr:to>
          <xdr:col>1</xdr:col>
          <xdr:colOff>495300</xdr:colOff>
          <xdr:row>37</xdr:row>
          <xdr:rowOff>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36</xdr:row>
          <xdr:rowOff>9525</xdr:rowOff>
        </xdr:from>
        <xdr:to>
          <xdr:col>22</xdr:col>
          <xdr:colOff>514350</xdr:colOff>
          <xdr:row>37</xdr:row>
          <xdr:rowOff>0</xdr:rowOff>
        </xdr:to>
        <xdr:sp macro="" textlink="">
          <xdr:nvSpPr>
            <xdr:cNvPr id="4110" name="Drop Dow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53</xdr:row>
          <xdr:rowOff>0</xdr:rowOff>
        </xdr:from>
        <xdr:to>
          <xdr:col>1</xdr:col>
          <xdr:colOff>495300</xdr:colOff>
          <xdr:row>53</xdr:row>
          <xdr:rowOff>152400</xdr:rowOff>
        </xdr:to>
        <xdr:sp macro="" textlink="">
          <xdr:nvSpPr>
            <xdr:cNvPr id="4111" name="Drop Dow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53</xdr:row>
          <xdr:rowOff>9525</xdr:rowOff>
        </xdr:from>
        <xdr:to>
          <xdr:col>22</xdr:col>
          <xdr:colOff>504825</xdr:colOff>
          <xdr:row>53</xdr:row>
          <xdr:rowOff>152400</xdr:rowOff>
        </xdr:to>
        <xdr:sp macro="" textlink="">
          <xdr:nvSpPr>
            <xdr:cNvPr id="4112" name="Drop Dow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19050</xdr:rowOff>
        </xdr:from>
        <xdr:to>
          <xdr:col>26</xdr:col>
          <xdr:colOff>533400</xdr:colOff>
          <xdr:row>9</xdr:row>
          <xdr:rowOff>171450</xdr:rowOff>
        </xdr:to>
        <xdr:sp macro="" textlink="">
          <xdr:nvSpPr>
            <xdr:cNvPr id="4113" name="Drop Dow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114300</xdr:colOff>
          <xdr:row>14</xdr:row>
          <xdr:rowOff>28575</xdr:rowOff>
        </xdr:from>
        <xdr:to>
          <xdr:col>25</xdr:col>
          <xdr:colOff>533400</xdr:colOff>
          <xdr:row>14</xdr:row>
          <xdr:rowOff>171450</xdr:rowOff>
        </xdr:to>
        <xdr:sp macro="" textlink="">
          <xdr:nvSpPr>
            <xdr:cNvPr id="4114" name="Drop Dow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21</xdr:row>
          <xdr:rowOff>0</xdr:rowOff>
        </xdr:from>
        <xdr:to>
          <xdr:col>4</xdr:col>
          <xdr:colOff>466725</xdr:colOff>
          <xdr:row>22</xdr:row>
          <xdr:rowOff>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9525</xdr:rowOff>
        </xdr:from>
        <xdr:to>
          <xdr:col>1</xdr:col>
          <xdr:colOff>485775</xdr:colOff>
          <xdr:row>29</xdr:row>
          <xdr:rowOff>9525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59</xdr:row>
          <xdr:rowOff>0</xdr:rowOff>
        </xdr:from>
        <xdr:to>
          <xdr:col>4</xdr:col>
          <xdr:colOff>457200</xdr:colOff>
          <xdr:row>60</xdr:row>
          <xdr:rowOff>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45</xdr:row>
          <xdr:rowOff>9525</xdr:rowOff>
        </xdr:from>
        <xdr:to>
          <xdr:col>1</xdr:col>
          <xdr:colOff>476250</xdr:colOff>
          <xdr:row>46</xdr:row>
          <xdr:rowOff>9525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21</xdr:row>
          <xdr:rowOff>0</xdr:rowOff>
        </xdr:from>
        <xdr:to>
          <xdr:col>14</xdr:col>
          <xdr:colOff>495300</xdr:colOff>
          <xdr:row>22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59</xdr:row>
          <xdr:rowOff>0</xdr:rowOff>
        </xdr:from>
        <xdr:to>
          <xdr:col>14</xdr:col>
          <xdr:colOff>504825</xdr:colOff>
          <xdr:row>59</xdr:row>
          <xdr:rowOff>142875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28</xdr:row>
          <xdr:rowOff>9525</xdr:rowOff>
        </xdr:from>
        <xdr:to>
          <xdr:col>22</xdr:col>
          <xdr:colOff>504825</xdr:colOff>
          <xdr:row>29</xdr:row>
          <xdr:rowOff>0</xdr:rowOff>
        </xdr:to>
        <xdr:sp macro="" textlink="">
          <xdr:nvSpPr>
            <xdr:cNvPr id="5127" name="Drop Dow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45</xdr:row>
          <xdr:rowOff>0</xdr:rowOff>
        </xdr:from>
        <xdr:to>
          <xdr:col>22</xdr:col>
          <xdr:colOff>514350</xdr:colOff>
          <xdr:row>46</xdr:row>
          <xdr:rowOff>0</xdr:rowOff>
        </xdr:to>
        <xdr:sp macro="" textlink="">
          <xdr:nvSpPr>
            <xdr:cNvPr id="5128" name="Drop Dow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9525</xdr:rowOff>
        </xdr:from>
        <xdr:to>
          <xdr:col>10</xdr:col>
          <xdr:colOff>466725</xdr:colOff>
          <xdr:row>22</xdr:row>
          <xdr:rowOff>9525</xdr:rowOff>
        </xdr:to>
        <xdr:sp macro="" textlink="">
          <xdr:nvSpPr>
            <xdr:cNvPr id="5129" name="Drop Dow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21</xdr:row>
          <xdr:rowOff>0</xdr:rowOff>
        </xdr:from>
        <xdr:to>
          <xdr:col>20</xdr:col>
          <xdr:colOff>466725</xdr:colOff>
          <xdr:row>22</xdr:row>
          <xdr:rowOff>0</xdr:rowOff>
        </xdr:to>
        <xdr:sp macro="" textlink="">
          <xdr:nvSpPr>
            <xdr:cNvPr id="5130" name="Drop Dow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59</xdr:row>
          <xdr:rowOff>0</xdr:rowOff>
        </xdr:from>
        <xdr:to>
          <xdr:col>10</xdr:col>
          <xdr:colOff>476250</xdr:colOff>
          <xdr:row>60</xdr:row>
          <xdr:rowOff>0</xdr:rowOff>
        </xdr:to>
        <xdr:sp macro="" textlink="">
          <xdr:nvSpPr>
            <xdr:cNvPr id="5131" name="Drop Dow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59</xdr:row>
          <xdr:rowOff>9525</xdr:rowOff>
        </xdr:from>
        <xdr:to>
          <xdr:col>20</xdr:col>
          <xdr:colOff>466725</xdr:colOff>
          <xdr:row>60</xdr:row>
          <xdr:rowOff>0</xdr:rowOff>
        </xdr:to>
        <xdr:sp macro="" textlink="">
          <xdr:nvSpPr>
            <xdr:cNvPr id="5132" name="Drop Dow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36</xdr:row>
          <xdr:rowOff>0</xdr:rowOff>
        </xdr:from>
        <xdr:to>
          <xdr:col>1</xdr:col>
          <xdr:colOff>495300</xdr:colOff>
          <xdr:row>37</xdr:row>
          <xdr:rowOff>0</xdr:rowOff>
        </xdr:to>
        <xdr:sp macro="" textlink="">
          <xdr:nvSpPr>
            <xdr:cNvPr id="5133" name="Drop Dow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36</xdr:row>
          <xdr:rowOff>9525</xdr:rowOff>
        </xdr:from>
        <xdr:to>
          <xdr:col>22</xdr:col>
          <xdr:colOff>514350</xdr:colOff>
          <xdr:row>37</xdr:row>
          <xdr:rowOff>0</xdr:rowOff>
        </xdr:to>
        <xdr:sp macro="" textlink="">
          <xdr:nvSpPr>
            <xdr:cNvPr id="5134" name="Drop Dow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53</xdr:row>
          <xdr:rowOff>0</xdr:rowOff>
        </xdr:from>
        <xdr:to>
          <xdr:col>1</xdr:col>
          <xdr:colOff>495300</xdr:colOff>
          <xdr:row>53</xdr:row>
          <xdr:rowOff>152400</xdr:rowOff>
        </xdr:to>
        <xdr:sp macro="" textlink="">
          <xdr:nvSpPr>
            <xdr:cNvPr id="5135" name="Drop Dow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53</xdr:row>
          <xdr:rowOff>9525</xdr:rowOff>
        </xdr:from>
        <xdr:to>
          <xdr:col>22</xdr:col>
          <xdr:colOff>504825</xdr:colOff>
          <xdr:row>53</xdr:row>
          <xdr:rowOff>152400</xdr:rowOff>
        </xdr:to>
        <xdr:sp macro="" textlink="">
          <xdr:nvSpPr>
            <xdr:cNvPr id="5136" name="Drop Down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9525</xdr:rowOff>
        </xdr:from>
        <xdr:to>
          <xdr:col>10</xdr:col>
          <xdr:colOff>466725</xdr:colOff>
          <xdr:row>22</xdr:row>
          <xdr:rowOff>9525</xdr:rowOff>
        </xdr:to>
        <xdr:sp macro="" textlink="">
          <xdr:nvSpPr>
            <xdr:cNvPr id="5137" name="Drop Dow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9525</xdr:rowOff>
        </xdr:from>
        <xdr:to>
          <xdr:col>1</xdr:col>
          <xdr:colOff>485775</xdr:colOff>
          <xdr:row>29</xdr:row>
          <xdr:rowOff>9525</xdr:rowOff>
        </xdr:to>
        <xdr:sp macro="" textlink="">
          <xdr:nvSpPr>
            <xdr:cNvPr id="5138" name="Drop Down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45</xdr:row>
          <xdr:rowOff>9525</xdr:rowOff>
        </xdr:from>
        <xdr:to>
          <xdr:col>1</xdr:col>
          <xdr:colOff>476250</xdr:colOff>
          <xdr:row>46</xdr:row>
          <xdr:rowOff>9525</xdr:rowOff>
        </xdr:to>
        <xdr:sp macro="" textlink="">
          <xdr:nvSpPr>
            <xdr:cNvPr id="5139" name="Drop Down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19050</xdr:rowOff>
        </xdr:from>
        <xdr:to>
          <xdr:col>26</xdr:col>
          <xdr:colOff>533400</xdr:colOff>
          <xdr:row>9</xdr:row>
          <xdr:rowOff>171450</xdr:rowOff>
        </xdr:to>
        <xdr:sp macro="" textlink="">
          <xdr:nvSpPr>
            <xdr:cNvPr id="5140" name="Drop Down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114300</xdr:colOff>
          <xdr:row>14</xdr:row>
          <xdr:rowOff>28575</xdr:rowOff>
        </xdr:from>
        <xdr:to>
          <xdr:col>25</xdr:col>
          <xdr:colOff>533400</xdr:colOff>
          <xdr:row>14</xdr:row>
          <xdr:rowOff>171450</xdr:rowOff>
        </xdr:to>
        <xdr:sp macro="" textlink="">
          <xdr:nvSpPr>
            <xdr:cNvPr id="5141" name="Drop Down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21</xdr:row>
          <xdr:rowOff>0</xdr:rowOff>
        </xdr:from>
        <xdr:to>
          <xdr:col>4</xdr:col>
          <xdr:colOff>466725</xdr:colOff>
          <xdr:row>22</xdr:row>
          <xdr:rowOff>0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9525</xdr:rowOff>
        </xdr:from>
        <xdr:to>
          <xdr:col>1</xdr:col>
          <xdr:colOff>485775</xdr:colOff>
          <xdr:row>29</xdr:row>
          <xdr:rowOff>9525</xdr:rowOff>
        </xdr:to>
        <xdr:sp macro="" textlink="">
          <xdr:nvSpPr>
            <xdr:cNvPr id="14338" name="Drop Dow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59</xdr:row>
          <xdr:rowOff>0</xdr:rowOff>
        </xdr:from>
        <xdr:to>
          <xdr:col>4</xdr:col>
          <xdr:colOff>457200</xdr:colOff>
          <xdr:row>60</xdr:row>
          <xdr:rowOff>0</xdr:rowOff>
        </xdr:to>
        <xdr:sp macro="" textlink="">
          <xdr:nvSpPr>
            <xdr:cNvPr id="14339" name="Drop Dow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45</xdr:row>
          <xdr:rowOff>9525</xdr:rowOff>
        </xdr:from>
        <xdr:to>
          <xdr:col>1</xdr:col>
          <xdr:colOff>476250</xdr:colOff>
          <xdr:row>46</xdr:row>
          <xdr:rowOff>9525</xdr:rowOff>
        </xdr:to>
        <xdr:sp macro="" textlink="">
          <xdr:nvSpPr>
            <xdr:cNvPr id="14340" name="Drop Dow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21</xdr:row>
          <xdr:rowOff>0</xdr:rowOff>
        </xdr:from>
        <xdr:to>
          <xdr:col>14</xdr:col>
          <xdr:colOff>495300</xdr:colOff>
          <xdr:row>22</xdr:row>
          <xdr:rowOff>0</xdr:rowOff>
        </xdr:to>
        <xdr:sp macro="" textlink="">
          <xdr:nvSpPr>
            <xdr:cNvPr id="14341" name="Drop Dow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59</xdr:row>
          <xdr:rowOff>0</xdr:rowOff>
        </xdr:from>
        <xdr:to>
          <xdr:col>14</xdr:col>
          <xdr:colOff>504825</xdr:colOff>
          <xdr:row>59</xdr:row>
          <xdr:rowOff>142875</xdr:rowOff>
        </xdr:to>
        <xdr:sp macro="" textlink="">
          <xdr:nvSpPr>
            <xdr:cNvPr id="14342" name="Drop Dow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28</xdr:row>
          <xdr:rowOff>9525</xdr:rowOff>
        </xdr:from>
        <xdr:to>
          <xdr:col>22</xdr:col>
          <xdr:colOff>504825</xdr:colOff>
          <xdr:row>29</xdr:row>
          <xdr:rowOff>0</xdr:rowOff>
        </xdr:to>
        <xdr:sp macro="" textlink="">
          <xdr:nvSpPr>
            <xdr:cNvPr id="14343" name="Drop Dow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45</xdr:row>
          <xdr:rowOff>0</xdr:rowOff>
        </xdr:from>
        <xdr:to>
          <xdr:col>22</xdr:col>
          <xdr:colOff>514350</xdr:colOff>
          <xdr:row>46</xdr:row>
          <xdr:rowOff>0</xdr:rowOff>
        </xdr:to>
        <xdr:sp macro="" textlink="">
          <xdr:nvSpPr>
            <xdr:cNvPr id="14344" name="Drop Dow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9525</xdr:rowOff>
        </xdr:from>
        <xdr:to>
          <xdr:col>10</xdr:col>
          <xdr:colOff>466725</xdr:colOff>
          <xdr:row>22</xdr:row>
          <xdr:rowOff>9525</xdr:rowOff>
        </xdr:to>
        <xdr:sp macro="" textlink="">
          <xdr:nvSpPr>
            <xdr:cNvPr id="14345" name="Drop Dow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21</xdr:row>
          <xdr:rowOff>0</xdr:rowOff>
        </xdr:from>
        <xdr:to>
          <xdr:col>20</xdr:col>
          <xdr:colOff>466725</xdr:colOff>
          <xdr:row>22</xdr:row>
          <xdr:rowOff>0</xdr:rowOff>
        </xdr:to>
        <xdr:sp macro="" textlink="">
          <xdr:nvSpPr>
            <xdr:cNvPr id="14346" name="Drop Down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59</xdr:row>
          <xdr:rowOff>0</xdr:rowOff>
        </xdr:from>
        <xdr:to>
          <xdr:col>10</xdr:col>
          <xdr:colOff>476250</xdr:colOff>
          <xdr:row>60</xdr:row>
          <xdr:rowOff>0</xdr:rowOff>
        </xdr:to>
        <xdr:sp macro="" textlink="">
          <xdr:nvSpPr>
            <xdr:cNvPr id="14347" name="Drop Dow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59</xdr:row>
          <xdr:rowOff>9525</xdr:rowOff>
        </xdr:from>
        <xdr:to>
          <xdr:col>20</xdr:col>
          <xdr:colOff>466725</xdr:colOff>
          <xdr:row>60</xdr:row>
          <xdr:rowOff>0</xdr:rowOff>
        </xdr:to>
        <xdr:sp macro="" textlink="">
          <xdr:nvSpPr>
            <xdr:cNvPr id="14348" name="Drop Dow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36</xdr:row>
          <xdr:rowOff>0</xdr:rowOff>
        </xdr:from>
        <xdr:to>
          <xdr:col>1</xdr:col>
          <xdr:colOff>495300</xdr:colOff>
          <xdr:row>37</xdr:row>
          <xdr:rowOff>0</xdr:rowOff>
        </xdr:to>
        <xdr:sp macro="" textlink="">
          <xdr:nvSpPr>
            <xdr:cNvPr id="14349" name="Drop Dow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36</xdr:row>
          <xdr:rowOff>9525</xdr:rowOff>
        </xdr:from>
        <xdr:to>
          <xdr:col>22</xdr:col>
          <xdr:colOff>514350</xdr:colOff>
          <xdr:row>37</xdr:row>
          <xdr:rowOff>0</xdr:rowOff>
        </xdr:to>
        <xdr:sp macro="" textlink="">
          <xdr:nvSpPr>
            <xdr:cNvPr id="14350" name="Drop Down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53</xdr:row>
          <xdr:rowOff>0</xdr:rowOff>
        </xdr:from>
        <xdr:to>
          <xdr:col>1</xdr:col>
          <xdr:colOff>495300</xdr:colOff>
          <xdr:row>53</xdr:row>
          <xdr:rowOff>152400</xdr:rowOff>
        </xdr:to>
        <xdr:sp macro="" textlink="">
          <xdr:nvSpPr>
            <xdr:cNvPr id="14351" name="Drop Down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53</xdr:row>
          <xdr:rowOff>9525</xdr:rowOff>
        </xdr:from>
        <xdr:to>
          <xdr:col>22</xdr:col>
          <xdr:colOff>504825</xdr:colOff>
          <xdr:row>53</xdr:row>
          <xdr:rowOff>152400</xdr:rowOff>
        </xdr:to>
        <xdr:sp macro="" textlink="">
          <xdr:nvSpPr>
            <xdr:cNvPr id="14352" name="Drop Down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9525</xdr:rowOff>
        </xdr:from>
        <xdr:to>
          <xdr:col>10</xdr:col>
          <xdr:colOff>466725</xdr:colOff>
          <xdr:row>22</xdr:row>
          <xdr:rowOff>9525</xdr:rowOff>
        </xdr:to>
        <xdr:sp macro="" textlink="">
          <xdr:nvSpPr>
            <xdr:cNvPr id="14353" name="Drop Down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9525</xdr:rowOff>
        </xdr:from>
        <xdr:to>
          <xdr:col>1</xdr:col>
          <xdr:colOff>485775</xdr:colOff>
          <xdr:row>29</xdr:row>
          <xdr:rowOff>9525</xdr:rowOff>
        </xdr:to>
        <xdr:sp macro="" textlink="">
          <xdr:nvSpPr>
            <xdr:cNvPr id="14354" name="Drop Down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45</xdr:row>
          <xdr:rowOff>9525</xdr:rowOff>
        </xdr:from>
        <xdr:to>
          <xdr:col>1</xdr:col>
          <xdr:colOff>476250</xdr:colOff>
          <xdr:row>46</xdr:row>
          <xdr:rowOff>9525</xdr:rowOff>
        </xdr:to>
        <xdr:sp macro="" textlink="">
          <xdr:nvSpPr>
            <xdr:cNvPr id="14355" name="Drop Down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19050</xdr:rowOff>
        </xdr:from>
        <xdr:to>
          <xdr:col>26</xdr:col>
          <xdr:colOff>533400</xdr:colOff>
          <xdr:row>9</xdr:row>
          <xdr:rowOff>171450</xdr:rowOff>
        </xdr:to>
        <xdr:sp macro="" textlink="">
          <xdr:nvSpPr>
            <xdr:cNvPr id="14356" name="Drop Down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114300</xdr:colOff>
          <xdr:row>14</xdr:row>
          <xdr:rowOff>28575</xdr:rowOff>
        </xdr:from>
        <xdr:to>
          <xdr:col>25</xdr:col>
          <xdr:colOff>533400</xdr:colOff>
          <xdr:row>14</xdr:row>
          <xdr:rowOff>171450</xdr:rowOff>
        </xdr:to>
        <xdr:sp macro="" textlink="">
          <xdr:nvSpPr>
            <xdr:cNvPr id="14357" name="Drop Down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22</xdr:row>
          <xdr:rowOff>0</xdr:rowOff>
        </xdr:from>
        <xdr:to>
          <xdr:col>4</xdr:col>
          <xdr:colOff>466725</xdr:colOff>
          <xdr:row>23</xdr:row>
          <xdr:rowOff>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0</xdr:rowOff>
        </xdr:from>
        <xdr:to>
          <xdr:col>4</xdr:col>
          <xdr:colOff>457200</xdr:colOff>
          <xdr:row>61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22</xdr:row>
          <xdr:rowOff>0</xdr:rowOff>
        </xdr:from>
        <xdr:to>
          <xdr:col>14</xdr:col>
          <xdr:colOff>514350</xdr:colOff>
          <xdr:row>23</xdr:row>
          <xdr:rowOff>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60</xdr:row>
          <xdr:rowOff>0</xdr:rowOff>
        </xdr:from>
        <xdr:to>
          <xdr:col>14</xdr:col>
          <xdr:colOff>504825</xdr:colOff>
          <xdr:row>60</xdr:row>
          <xdr:rowOff>142875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29</xdr:row>
          <xdr:rowOff>9525</xdr:rowOff>
        </xdr:from>
        <xdr:to>
          <xdr:col>22</xdr:col>
          <xdr:colOff>514350</xdr:colOff>
          <xdr:row>30</xdr:row>
          <xdr:rowOff>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46</xdr:row>
          <xdr:rowOff>0</xdr:rowOff>
        </xdr:from>
        <xdr:to>
          <xdr:col>22</xdr:col>
          <xdr:colOff>523875</xdr:colOff>
          <xdr:row>47</xdr:row>
          <xdr:rowOff>0</xdr:rowOff>
        </xdr:to>
        <xdr:sp macro="" textlink="">
          <xdr:nvSpPr>
            <xdr:cNvPr id="9222" name="Drop Dow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22</xdr:row>
          <xdr:rowOff>0</xdr:rowOff>
        </xdr:from>
        <xdr:to>
          <xdr:col>20</xdr:col>
          <xdr:colOff>466725</xdr:colOff>
          <xdr:row>23</xdr:row>
          <xdr:rowOff>0</xdr:rowOff>
        </xdr:to>
        <xdr:sp macro="" textlink="">
          <xdr:nvSpPr>
            <xdr:cNvPr id="9223" name="Drop Dow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60</xdr:row>
          <xdr:rowOff>9525</xdr:rowOff>
        </xdr:from>
        <xdr:to>
          <xdr:col>20</xdr:col>
          <xdr:colOff>466725</xdr:colOff>
          <xdr:row>61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37</xdr:row>
          <xdr:rowOff>0</xdr:rowOff>
        </xdr:from>
        <xdr:to>
          <xdr:col>1</xdr:col>
          <xdr:colOff>495300</xdr:colOff>
          <xdr:row>38</xdr:row>
          <xdr:rowOff>0</xdr:rowOff>
        </xdr:to>
        <xdr:sp macro="" textlink="">
          <xdr:nvSpPr>
            <xdr:cNvPr id="9225" name="Drop Dow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37</xdr:row>
          <xdr:rowOff>9525</xdr:rowOff>
        </xdr:from>
        <xdr:to>
          <xdr:col>22</xdr:col>
          <xdr:colOff>523875</xdr:colOff>
          <xdr:row>38</xdr:row>
          <xdr:rowOff>0</xdr:rowOff>
        </xdr:to>
        <xdr:sp macro="" textlink="">
          <xdr:nvSpPr>
            <xdr:cNvPr id="9226" name="Drop Dow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54</xdr:row>
          <xdr:rowOff>0</xdr:rowOff>
        </xdr:from>
        <xdr:to>
          <xdr:col>1</xdr:col>
          <xdr:colOff>495300</xdr:colOff>
          <xdr:row>55</xdr:row>
          <xdr:rowOff>0</xdr:rowOff>
        </xdr:to>
        <xdr:sp macro="" textlink="">
          <xdr:nvSpPr>
            <xdr:cNvPr id="9227" name="Drop Dow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54</xdr:row>
          <xdr:rowOff>9525</xdr:rowOff>
        </xdr:from>
        <xdr:to>
          <xdr:col>22</xdr:col>
          <xdr:colOff>514350</xdr:colOff>
          <xdr:row>55</xdr:row>
          <xdr:rowOff>0</xdr:rowOff>
        </xdr:to>
        <xdr:sp macro="" textlink="">
          <xdr:nvSpPr>
            <xdr:cNvPr id="9228" name="Drop Dow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46</xdr:row>
          <xdr:rowOff>0</xdr:rowOff>
        </xdr:from>
        <xdr:to>
          <xdr:col>1</xdr:col>
          <xdr:colOff>495300</xdr:colOff>
          <xdr:row>47</xdr:row>
          <xdr:rowOff>0</xdr:rowOff>
        </xdr:to>
        <xdr:sp macro="" textlink="">
          <xdr:nvSpPr>
            <xdr:cNvPr id="9230" name="Drop Dow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29</xdr:row>
          <xdr:rowOff>0</xdr:rowOff>
        </xdr:from>
        <xdr:to>
          <xdr:col>1</xdr:col>
          <xdr:colOff>495300</xdr:colOff>
          <xdr:row>30</xdr:row>
          <xdr:rowOff>0</xdr:rowOff>
        </xdr:to>
        <xdr:sp macro="" textlink="">
          <xdr:nvSpPr>
            <xdr:cNvPr id="9231" name="Drop Down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0</xdr:rowOff>
        </xdr:from>
        <xdr:to>
          <xdr:col>10</xdr:col>
          <xdr:colOff>466725</xdr:colOff>
          <xdr:row>23</xdr:row>
          <xdr:rowOff>0</xdr:rowOff>
        </xdr:to>
        <xdr:sp macro="" textlink="">
          <xdr:nvSpPr>
            <xdr:cNvPr id="9232" name="Drop Dow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60</xdr:row>
          <xdr:rowOff>0</xdr:rowOff>
        </xdr:from>
        <xdr:to>
          <xdr:col>10</xdr:col>
          <xdr:colOff>457200</xdr:colOff>
          <xdr:row>61</xdr:row>
          <xdr:rowOff>0</xdr:rowOff>
        </xdr:to>
        <xdr:sp macro="" textlink="">
          <xdr:nvSpPr>
            <xdr:cNvPr id="9233" name="Drop Dow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1</xdr:row>
          <xdr:rowOff>28575</xdr:rowOff>
        </xdr:from>
        <xdr:to>
          <xdr:col>11</xdr:col>
          <xdr:colOff>514350</xdr:colOff>
          <xdr:row>1</xdr:row>
          <xdr:rowOff>180975</xdr:rowOff>
        </xdr:to>
        <xdr:sp macro="" textlink="">
          <xdr:nvSpPr>
            <xdr:cNvPr id="9234" name="Drop Down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22</xdr:row>
          <xdr:rowOff>0</xdr:rowOff>
        </xdr:from>
        <xdr:to>
          <xdr:col>4</xdr:col>
          <xdr:colOff>466725</xdr:colOff>
          <xdr:row>23</xdr:row>
          <xdr:rowOff>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0</xdr:rowOff>
        </xdr:from>
        <xdr:to>
          <xdr:col>4</xdr:col>
          <xdr:colOff>457200</xdr:colOff>
          <xdr:row>61</xdr:row>
          <xdr:rowOff>0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22</xdr:row>
          <xdr:rowOff>0</xdr:rowOff>
        </xdr:from>
        <xdr:to>
          <xdr:col>14</xdr:col>
          <xdr:colOff>514350</xdr:colOff>
          <xdr:row>23</xdr:row>
          <xdr:rowOff>0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60</xdr:row>
          <xdr:rowOff>0</xdr:rowOff>
        </xdr:from>
        <xdr:to>
          <xdr:col>14</xdr:col>
          <xdr:colOff>504825</xdr:colOff>
          <xdr:row>60</xdr:row>
          <xdr:rowOff>142875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29</xdr:row>
          <xdr:rowOff>9525</xdr:rowOff>
        </xdr:from>
        <xdr:to>
          <xdr:col>22</xdr:col>
          <xdr:colOff>514350</xdr:colOff>
          <xdr:row>30</xdr:row>
          <xdr:rowOff>0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46</xdr:row>
          <xdr:rowOff>0</xdr:rowOff>
        </xdr:from>
        <xdr:to>
          <xdr:col>22</xdr:col>
          <xdr:colOff>523875</xdr:colOff>
          <xdr:row>47</xdr:row>
          <xdr:rowOff>0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22</xdr:row>
          <xdr:rowOff>0</xdr:rowOff>
        </xdr:from>
        <xdr:to>
          <xdr:col>20</xdr:col>
          <xdr:colOff>466725</xdr:colOff>
          <xdr:row>23</xdr:row>
          <xdr:rowOff>0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60</xdr:row>
          <xdr:rowOff>9525</xdr:rowOff>
        </xdr:from>
        <xdr:to>
          <xdr:col>20</xdr:col>
          <xdr:colOff>466725</xdr:colOff>
          <xdr:row>61</xdr:row>
          <xdr:rowOff>0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37</xdr:row>
          <xdr:rowOff>0</xdr:rowOff>
        </xdr:from>
        <xdr:to>
          <xdr:col>1</xdr:col>
          <xdr:colOff>495300</xdr:colOff>
          <xdr:row>38</xdr:row>
          <xdr:rowOff>0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37</xdr:row>
          <xdr:rowOff>9525</xdr:rowOff>
        </xdr:from>
        <xdr:to>
          <xdr:col>22</xdr:col>
          <xdr:colOff>523875</xdr:colOff>
          <xdr:row>38</xdr:row>
          <xdr:rowOff>0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54</xdr:row>
          <xdr:rowOff>0</xdr:rowOff>
        </xdr:from>
        <xdr:to>
          <xdr:col>1</xdr:col>
          <xdr:colOff>495300</xdr:colOff>
          <xdr:row>55</xdr:row>
          <xdr:rowOff>0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54</xdr:row>
          <xdr:rowOff>9525</xdr:rowOff>
        </xdr:from>
        <xdr:to>
          <xdr:col>22</xdr:col>
          <xdr:colOff>514350</xdr:colOff>
          <xdr:row>55</xdr:row>
          <xdr:rowOff>0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46</xdr:row>
          <xdr:rowOff>0</xdr:rowOff>
        </xdr:from>
        <xdr:to>
          <xdr:col>1</xdr:col>
          <xdr:colOff>495300</xdr:colOff>
          <xdr:row>47</xdr:row>
          <xdr:rowOff>0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29</xdr:row>
          <xdr:rowOff>0</xdr:rowOff>
        </xdr:from>
        <xdr:to>
          <xdr:col>1</xdr:col>
          <xdr:colOff>495300</xdr:colOff>
          <xdr:row>30</xdr:row>
          <xdr:rowOff>0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0</xdr:rowOff>
        </xdr:from>
        <xdr:to>
          <xdr:col>10</xdr:col>
          <xdr:colOff>466725</xdr:colOff>
          <xdr:row>23</xdr:row>
          <xdr:rowOff>0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60</xdr:row>
          <xdr:rowOff>0</xdr:rowOff>
        </xdr:from>
        <xdr:to>
          <xdr:col>10</xdr:col>
          <xdr:colOff>457200</xdr:colOff>
          <xdr:row>61</xdr:row>
          <xdr:rowOff>0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22</xdr:row>
          <xdr:rowOff>0</xdr:rowOff>
        </xdr:from>
        <xdr:to>
          <xdr:col>4</xdr:col>
          <xdr:colOff>466725</xdr:colOff>
          <xdr:row>23</xdr:row>
          <xdr:rowOff>0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0</xdr:rowOff>
        </xdr:from>
        <xdr:to>
          <xdr:col>4</xdr:col>
          <xdr:colOff>457200</xdr:colOff>
          <xdr:row>61</xdr:row>
          <xdr:rowOff>0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22</xdr:row>
          <xdr:rowOff>0</xdr:rowOff>
        </xdr:from>
        <xdr:to>
          <xdr:col>14</xdr:col>
          <xdr:colOff>514350</xdr:colOff>
          <xdr:row>23</xdr:row>
          <xdr:rowOff>0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60</xdr:row>
          <xdr:rowOff>0</xdr:rowOff>
        </xdr:from>
        <xdr:to>
          <xdr:col>14</xdr:col>
          <xdr:colOff>504825</xdr:colOff>
          <xdr:row>60</xdr:row>
          <xdr:rowOff>142875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29</xdr:row>
          <xdr:rowOff>9525</xdr:rowOff>
        </xdr:from>
        <xdr:to>
          <xdr:col>22</xdr:col>
          <xdr:colOff>514350</xdr:colOff>
          <xdr:row>30</xdr:row>
          <xdr:rowOff>0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46</xdr:row>
          <xdr:rowOff>0</xdr:rowOff>
        </xdr:from>
        <xdr:to>
          <xdr:col>22</xdr:col>
          <xdr:colOff>523875</xdr:colOff>
          <xdr:row>47</xdr:row>
          <xdr:rowOff>0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22</xdr:row>
          <xdr:rowOff>0</xdr:rowOff>
        </xdr:from>
        <xdr:to>
          <xdr:col>20</xdr:col>
          <xdr:colOff>466725</xdr:colOff>
          <xdr:row>23</xdr:row>
          <xdr:rowOff>0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60</xdr:row>
          <xdr:rowOff>9525</xdr:rowOff>
        </xdr:from>
        <xdr:to>
          <xdr:col>20</xdr:col>
          <xdr:colOff>466725</xdr:colOff>
          <xdr:row>61</xdr:row>
          <xdr:rowOff>0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37</xdr:row>
          <xdr:rowOff>0</xdr:rowOff>
        </xdr:from>
        <xdr:to>
          <xdr:col>1</xdr:col>
          <xdr:colOff>495300</xdr:colOff>
          <xdr:row>38</xdr:row>
          <xdr:rowOff>0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37</xdr:row>
          <xdr:rowOff>9525</xdr:rowOff>
        </xdr:from>
        <xdr:to>
          <xdr:col>22</xdr:col>
          <xdr:colOff>523875</xdr:colOff>
          <xdr:row>38</xdr:row>
          <xdr:rowOff>0</xdr:rowOff>
        </xdr:to>
        <xdr:sp macro="" textlink="">
          <xdr:nvSpPr>
            <xdr:cNvPr id="35866" name="Drop Down 26" hidden="1">
              <a:extLst>
                <a:ext uri="{63B3BB69-23CF-44E3-9099-C40C66FF867C}">
                  <a14:compatExt spid="_x0000_s35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54</xdr:row>
          <xdr:rowOff>0</xdr:rowOff>
        </xdr:from>
        <xdr:to>
          <xdr:col>1</xdr:col>
          <xdr:colOff>495300</xdr:colOff>
          <xdr:row>55</xdr:row>
          <xdr:rowOff>0</xdr:rowOff>
        </xdr:to>
        <xdr:sp macro="" textlink="">
          <xdr:nvSpPr>
            <xdr:cNvPr id="35867" name="Drop Down 27" hidden="1">
              <a:extLst>
                <a:ext uri="{63B3BB69-23CF-44E3-9099-C40C66FF867C}">
                  <a14:compatExt spid="_x0000_s35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54</xdr:row>
          <xdr:rowOff>9525</xdr:rowOff>
        </xdr:from>
        <xdr:to>
          <xdr:col>22</xdr:col>
          <xdr:colOff>514350</xdr:colOff>
          <xdr:row>55</xdr:row>
          <xdr:rowOff>0</xdr:rowOff>
        </xdr:to>
        <xdr:sp macro="" textlink="">
          <xdr:nvSpPr>
            <xdr:cNvPr id="35868" name="Drop Down 28" hidden="1">
              <a:extLst>
                <a:ext uri="{63B3BB69-23CF-44E3-9099-C40C66FF867C}">
                  <a14:compatExt spid="_x0000_s35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46</xdr:row>
          <xdr:rowOff>0</xdr:rowOff>
        </xdr:from>
        <xdr:to>
          <xdr:col>1</xdr:col>
          <xdr:colOff>495300</xdr:colOff>
          <xdr:row>47</xdr:row>
          <xdr:rowOff>0</xdr:rowOff>
        </xdr:to>
        <xdr:sp macro="" textlink="">
          <xdr:nvSpPr>
            <xdr:cNvPr id="35869" name="Drop Down 29" hidden="1">
              <a:extLst>
                <a:ext uri="{63B3BB69-23CF-44E3-9099-C40C66FF867C}">
                  <a14:compatExt spid="_x0000_s35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29</xdr:row>
          <xdr:rowOff>0</xdr:rowOff>
        </xdr:from>
        <xdr:to>
          <xdr:col>1</xdr:col>
          <xdr:colOff>495300</xdr:colOff>
          <xdr:row>30</xdr:row>
          <xdr:rowOff>0</xdr:rowOff>
        </xdr:to>
        <xdr:sp macro="" textlink="">
          <xdr:nvSpPr>
            <xdr:cNvPr id="35870" name="Drop Down 30" hidden="1">
              <a:extLst>
                <a:ext uri="{63B3BB69-23CF-44E3-9099-C40C66FF867C}">
                  <a14:compatExt spid="_x0000_s35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0</xdr:rowOff>
        </xdr:from>
        <xdr:to>
          <xdr:col>10</xdr:col>
          <xdr:colOff>466725</xdr:colOff>
          <xdr:row>23</xdr:row>
          <xdr:rowOff>0</xdr:rowOff>
        </xdr:to>
        <xdr:sp macro="" textlink="">
          <xdr:nvSpPr>
            <xdr:cNvPr id="35871" name="Drop Down 31" hidden="1">
              <a:extLst>
                <a:ext uri="{63B3BB69-23CF-44E3-9099-C40C66FF867C}">
                  <a14:compatExt spid="_x0000_s35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60</xdr:row>
          <xdr:rowOff>0</xdr:rowOff>
        </xdr:from>
        <xdr:to>
          <xdr:col>10</xdr:col>
          <xdr:colOff>457200</xdr:colOff>
          <xdr:row>61</xdr:row>
          <xdr:rowOff>0</xdr:rowOff>
        </xdr:to>
        <xdr:sp macro="" textlink="">
          <xdr:nvSpPr>
            <xdr:cNvPr id="35872" name="Drop Down 32" hidden="1">
              <a:extLst>
                <a:ext uri="{63B3BB69-23CF-44E3-9099-C40C66FF867C}">
                  <a14:compatExt spid="_x0000_s35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22</xdr:row>
          <xdr:rowOff>0</xdr:rowOff>
        </xdr:from>
        <xdr:to>
          <xdr:col>4</xdr:col>
          <xdr:colOff>466725</xdr:colOff>
          <xdr:row>23</xdr:row>
          <xdr:rowOff>0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0</xdr:rowOff>
        </xdr:from>
        <xdr:to>
          <xdr:col>4</xdr:col>
          <xdr:colOff>457200</xdr:colOff>
          <xdr:row>61</xdr:row>
          <xdr:rowOff>0</xdr:rowOff>
        </xdr:to>
        <xdr:sp macro="" textlink="">
          <xdr:nvSpPr>
            <xdr:cNvPr id="37890" name="Drop Dow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22</xdr:row>
          <xdr:rowOff>0</xdr:rowOff>
        </xdr:from>
        <xdr:to>
          <xdr:col>14</xdr:col>
          <xdr:colOff>514350</xdr:colOff>
          <xdr:row>23</xdr:row>
          <xdr:rowOff>0</xdr:rowOff>
        </xdr:to>
        <xdr:sp macro="" textlink="">
          <xdr:nvSpPr>
            <xdr:cNvPr id="37891" name="Drop Dow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60</xdr:row>
          <xdr:rowOff>0</xdr:rowOff>
        </xdr:from>
        <xdr:to>
          <xdr:col>14</xdr:col>
          <xdr:colOff>504825</xdr:colOff>
          <xdr:row>60</xdr:row>
          <xdr:rowOff>142875</xdr:rowOff>
        </xdr:to>
        <xdr:sp macro="" textlink="">
          <xdr:nvSpPr>
            <xdr:cNvPr id="37892" name="Drop Dow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29</xdr:row>
          <xdr:rowOff>9525</xdr:rowOff>
        </xdr:from>
        <xdr:to>
          <xdr:col>22</xdr:col>
          <xdr:colOff>514350</xdr:colOff>
          <xdr:row>30</xdr:row>
          <xdr:rowOff>0</xdr:rowOff>
        </xdr:to>
        <xdr:sp macro="" textlink="">
          <xdr:nvSpPr>
            <xdr:cNvPr id="37893" name="Drop Dow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46</xdr:row>
          <xdr:rowOff>0</xdr:rowOff>
        </xdr:from>
        <xdr:to>
          <xdr:col>22</xdr:col>
          <xdr:colOff>523875</xdr:colOff>
          <xdr:row>47</xdr:row>
          <xdr:rowOff>0</xdr:rowOff>
        </xdr:to>
        <xdr:sp macro="" textlink="">
          <xdr:nvSpPr>
            <xdr:cNvPr id="37894" name="Drop Down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22</xdr:row>
          <xdr:rowOff>0</xdr:rowOff>
        </xdr:from>
        <xdr:to>
          <xdr:col>20</xdr:col>
          <xdr:colOff>466725</xdr:colOff>
          <xdr:row>23</xdr:row>
          <xdr:rowOff>0</xdr:rowOff>
        </xdr:to>
        <xdr:sp macro="" textlink="">
          <xdr:nvSpPr>
            <xdr:cNvPr id="37895" name="Drop Down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60</xdr:row>
          <xdr:rowOff>9525</xdr:rowOff>
        </xdr:from>
        <xdr:to>
          <xdr:col>20</xdr:col>
          <xdr:colOff>466725</xdr:colOff>
          <xdr:row>61</xdr:row>
          <xdr:rowOff>0</xdr:rowOff>
        </xdr:to>
        <xdr:sp macro="" textlink="">
          <xdr:nvSpPr>
            <xdr:cNvPr id="37896" name="Drop Down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37</xdr:row>
          <xdr:rowOff>0</xdr:rowOff>
        </xdr:from>
        <xdr:to>
          <xdr:col>1</xdr:col>
          <xdr:colOff>495300</xdr:colOff>
          <xdr:row>38</xdr:row>
          <xdr:rowOff>0</xdr:rowOff>
        </xdr:to>
        <xdr:sp macro="" textlink="">
          <xdr:nvSpPr>
            <xdr:cNvPr id="37897" name="Drop Down 9" hidden="1">
              <a:extLst>
                <a:ext uri="{63B3BB69-23CF-44E3-9099-C40C66FF867C}">
                  <a14:compatExt spid="_x0000_s3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37</xdr:row>
          <xdr:rowOff>9525</xdr:rowOff>
        </xdr:from>
        <xdr:to>
          <xdr:col>22</xdr:col>
          <xdr:colOff>523875</xdr:colOff>
          <xdr:row>38</xdr:row>
          <xdr:rowOff>0</xdr:rowOff>
        </xdr:to>
        <xdr:sp macro="" textlink="">
          <xdr:nvSpPr>
            <xdr:cNvPr id="37898" name="Drop Down 10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54</xdr:row>
          <xdr:rowOff>0</xdr:rowOff>
        </xdr:from>
        <xdr:to>
          <xdr:col>1</xdr:col>
          <xdr:colOff>495300</xdr:colOff>
          <xdr:row>55</xdr:row>
          <xdr:rowOff>0</xdr:rowOff>
        </xdr:to>
        <xdr:sp macro="" textlink="">
          <xdr:nvSpPr>
            <xdr:cNvPr id="37899" name="Drop Down 11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54</xdr:row>
          <xdr:rowOff>9525</xdr:rowOff>
        </xdr:from>
        <xdr:to>
          <xdr:col>22</xdr:col>
          <xdr:colOff>514350</xdr:colOff>
          <xdr:row>55</xdr:row>
          <xdr:rowOff>0</xdr:rowOff>
        </xdr:to>
        <xdr:sp macro="" textlink="">
          <xdr:nvSpPr>
            <xdr:cNvPr id="37900" name="Drop Down 12" hidden="1">
              <a:extLst>
                <a:ext uri="{63B3BB69-23CF-44E3-9099-C40C66FF867C}">
                  <a14:compatExt spid="_x0000_s3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46</xdr:row>
          <xdr:rowOff>0</xdr:rowOff>
        </xdr:from>
        <xdr:to>
          <xdr:col>1</xdr:col>
          <xdr:colOff>495300</xdr:colOff>
          <xdr:row>47</xdr:row>
          <xdr:rowOff>0</xdr:rowOff>
        </xdr:to>
        <xdr:sp macro="" textlink="">
          <xdr:nvSpPr>
            <xdr:cNvPr id="37901" name="Drop Down 13" hidden="1">
              <a:extLst>
                <a:ext uri="{63B3BB69-23CF-44E3-9099-C40C66FF867C}">
                  <a14:compatExt spid="_x0000_s3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29</xdr:row>
          <xdr:rowOff>0</xdr:rowOff>
        </xdr:from>
        <xdr:to>
          <xdr:col>1</xdr:col>
          <xdr:colOff>495300</xdr:colOff>
          <xdr:row>30</xdr:row>
          <xdr:rowOff>0</xdr:rowOff>
        </xdr:to>
        <xdr:sp macro="" textlink="">
          <xdr:nvSpPr>
            <xdr:cNvPr id="37902" name="Drop Down 14" hidden="1">
              <a:extLst>
                <a:ext uri="{63B3BB69-23CF-44E3-9099-C40C66FF867C}">
                  <a14:compatExt spid="_x0000_s3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0</xdr:rowOff>
        </xdr:from>
        <xdr:to>
          <xdr:col>10</xdr:col>
          <xdr:colOff>466725</xdr:colOff>
          <xdr:row>23</xdr:row>
          <xdr:rowOff>0</xdr:rowOff>
        </xdr:to>
        <xdr:sp macro="" textlink="">
          <xdr:nvSpPr>
            <xdr:cNvPr id="37903" name="Drop Down 15" hidden="1">
              <a:extLst>
                <a:ext uri="{63B3BB69-23CF-44E3-9099-C40C66FF867C}">
                  <a14:compatExt spid="_x0000_s3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60</xdr:row>
          <xdr:rowOff>0</xdr:rowOff>
        </xdr:from>
        <xdr:to>
          <xdr:col>10</xdr:col>
          <xdr:colOff>457200</xdr:colOff>
          <xdr:row>61</xdr:row>
          <xdr:rowOff>0</xdr:rowOff>
        </xdr:to>
        <xdr:sp macro="" textlink="">
          <xdr:nvSpPr>
            <xdr:cNvPr id="37904" name="Drop Down 16" hidden="1">
              <a:extLst>
                <a:ext uri="{63B3BB69-23CF-44E3-9099-C40C66FF867C}">
                  <a14:compatExt spid="_x0000_s3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22</xdr:row>
          <xdr:rowOff>0</xdr:rowOff>
        </xdr:from>
        <xdr:to>
          <xdr:col>4</xdr:col>
          <xdr:colOff>466725</xdr:colOff>
          <xdr:row>23</xdr:row>
          <xdr:rowOff>0</xdr:rowOff>
        </xdr:to>
        <xdr:sp macro="" textlink="">
          <xdr:nvSpPr>
            <xdr:cNvPr id="37905" name="Drop Down 17" hidden="1">
              <a:extLst>
                <a:ext uri="{63B3BB69-23CF-44E3-9099-C40C66FF867C}">
                  <a14:compatExt spid="_x0000_s3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0</xdr:rowOff>
        </xdr:from>
        <xdr:to>
          <xdr:col>4</xdr:col>
          <xdr:colOff>457200</xdr:colOff>
          <xdr:row>61</xdr:row>
          <xdr:rowOff>0</xdr:rowOff>
        </xdr:to>
        <xdr:sp macro="" textlink="">
          <xdr:nvSpPr>
            <xdr:cNvPr id="37906" name="Drop Down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22</xdr:row>
          <xdr:rowOff>0</xdr:rowOff>
        </xdr:from>
        <xdr:to>
          <xdr:col>14</xdr:col>
          <xdr:colOff>514350</xdr:colOff>
          <xdr:row>23</xdr:row>
          <xdr:rowOff>0</xdr:rowOff>
        </xdr:to>
        <xdr:sp macro="" textlink="">
          <xdr:nvSpPr>
            <xdr:cNvPr id="37907" name="Drop Down 19" hidden="1">
              <a:extLst>
                <a:ext uri="{63B3BB69-23CF-44E3-9099-C40C66FF867C}">
                  <a14:compatExt spid="_x0000_s3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60</xdr:row>
          <xdr:rowOff>0</xdr:rowOff>
        </xdr:from>
        <xdr:to>
          <xdr:col>14</xdr:col>
          <xdr:colOff>504825</xdr:colOff>
          <xdr:row>60</xdr:row>
          <xdr:rowOff>142875</xdr:rowOff>
        </xdr:to>
        <xdr:sp macro="" textlink="">
          <xdr:nvSpPr>
            <xdr:cNvPr id="37908" name="Drop Down 20" hidden="1">
              <a:extLst>
                <a:ext uri="{63B3BB69-23CF-44E3-9099-C40C66FF867C}">
                  <a14:compatExt spid="_x0000_s37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29</xdr:row>
          <xdr:rowOff>9525</xdr:rowOff>
        </xdr:from>
        <xdr:to>
          <xdr:col>22</xdr:col>
          <xdr:colOff>514350</xdr:colOff>
          <xdr:row>30</xdr:row>
          <xdr:rowOff>0</xdr:rowOff>
        </xdr:to>
        <xdr:sp macro="" textlink="">
          <xdr:nvSpPr>
            <xdr:cNvPr id="37909" name="Drop Down 21" hidden="1">
              <a:extLst>
                <a:ext uri="{63B3BB69-23CF-44E3-9099-C40C66FF867C}">
                  <a14:compatExt spid="_x0000_s3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46</xdr:row>
          <xdr:rowOff>0</xdr:rowOff>
        </xdr:from>
        <xdr:to>
          <xdr:col>22</xdr:col>
          <xdr:colOff>523875</xdr:colOff>
          <xdr:row>47</xdr:row>
          <xdr:rowOff>0</xdr:rowOff>
        </xdr:to>
        <xdr:sp macro="" textlink="">
          <xdr:nvSpPr>
            <xdr:cNvPr id="37910" name="Drop Down 22" hidden="1">
              <a:extLst>
                <a:ext uri="{63B3BB69-23CF-44E3-9099-C40C66FF867C}">
                  <a14:compatExt spid="_x0000_s3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22</xdr:row>
          <xdr:rowOff>0</xdr:rowOff>
        </xdr:from>
        <xdr:to>
          <xdr:col>20</xdr:col>
          <xdr:colOff>466725</xdr:colOff>
          <xdr:row>23</xdr:row>
          <xdr:rowOff>0</xdr:rowOff>
        </xdr:to>
        <xdr:sp macro="" textlink="">
          <xdr:nvSpPr>
            <xdr:cNvPr id="37911" name="Drop Down 23" hidden="1">
              <a:extLst>
                <a:ext uri="{63B3BB69-23CF-44E3-9099-C40C66FF867C}">
                  <a14:compatExt spid="_x0000_s3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60</xdr:row>
          <xdr:rowOff>9525</xdr:rowOff>
        </xdr:from>
        <xdr:to>
          <xdr:col>20</xdr:col>
          <xdr:colOff>466725</xdr:colOff>
          <xdr:row>61</xdr:row>
          <xdr:rowOff>0</xdr:rowOff>
        </xdr:to>
        <xdr:sp macro="" textlink="">
          <xdr:nvSpPr>
            <xdr:cNvPr id="37912" name="Drop Down 24" hidden="1">
              <a:extLst>
                <a:ext uri="{63B3BB69-23CF-44E3-9099-C40C66FF867C}">
                  <a14:compatExt spid="_x0000_s3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37</xdr:row>
          <xdr:rowOff>0</xdr:rowOff>
        </xdr:from>
        <xdr:to>
          <xdr:col>1</xdr:col>
          <xdr:colOff>495300</xdr:colOff>
          <xdr:row>38</xdr:row>
          <xdr:rowOff>0</xdr:rowOff>
        </xdr:to>
        <xdr:sp macro="" textlink="">
          <xdr:nvSpPr>
            <xdr:cNvPr id="37913" name="Drop Down 25" hidden="1">
              <a:extLst>
                <a:ext uri="{63B3BB69-23CF-44E3-9099-C40C66FF867C}">
                  <a14:compatExt spid="_x0000_s3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37</xdr:row>
          <xdr:rowOff>9525</xdr:rowOff>
        </xdr:from>
        <xdr:to>
          <xdr:col>22</xdr:col>
          <xdr:colOff>523875</xdr:colOff>
          <xdr:row>38</xdr:row>
          <xdr:rowOff>0</xdr:rowOff>
        </xdr:to>
        <xdr:sp macro="" textlink="">
          <xdr:nvSpPr>
            <xdr:cNvPr id="37914" name="Drop Down 26" hidden="1">
              <a:extLst>
                <a:ext uri="{63B3BB69-23CF-44E3-9099-C40C66FF867C}">
                  <a14:compatExt spid="_x0000_s3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54</xdr:row>
          <xdr:rowOff>0</xdr:rowOff>
        </xdr:from>
        <xdr:to>
          <xdr:col>1</xdr:col>
          <xdr:colOff>495300</xdr:colOff>
          <xdr:row>55</xdr:row>
          <xdr:rowOff>0</xdr:rowOff>
        </xdr:to>
        <xdr:sp macro="" textlink="">
          <xdr:nvSpPr>
            <xdr:cNvPr id="37915" name="Drop Down 27" hidden="1">
              <a:extLst>
                <a:ext uri="{63B3BB69-23CF-44E3-9099-C40C66FF867C}">
                  <a14:compatExt spid="_x0000_s3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54</xdr:row>
          <xdr:rowOff>9525</xdr:rowOff>
        </xdr:from>
        <xdr:to>
          <xdr:col>22</xdr:col>
          <xdr:colOff>514350</xdr:colOff>
          <xdr:row>55</xdr:row>
          <xdr:rowOff>0</xdr:rowOff>
        </xdr:to>
        <xdr:sp macro="" textlink="">
          <xdr:nvSpPr>
            <xdr:cNvPr id="37916" name="Drop Down 28" hidden="1">
              <a:extLst>
                <a:ext uri="{63B3BB69-23CF-44E3-9099-C40C66FF867C}">
                  <a14:compatExt spid="_x0000_s3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46</xdr:row>
          <xdr:rowOff>0</xdr:rowOff>
        </xdr:from>
        <xdr:to>
          <xdr:col>1</xdr:col>
          <xdr:colOff>495300</xdr:colOff>
          <xdr:row>47</xdr:row>
          <xdr:rowOff>0</xdr:rowOff>
        </xdr:to>
        <xdr:sp macro="" textlink="">
          <xdr:nvSpPr>
            <xdr:cNvPr id="37917" name="Drop Down 29" hidden="1">
              <a:extLst>
                <a:ext uri="{63B3BB69-23CF-44E3-9099-C40C66FF867C}">
                  <a14:compatExt spid="_x0000_s3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29</xdr:row>
          <xdr:rowOff>0</xdr:rowOff>
        </xdr:from>
        <xdr:to>
          <xdr:col>1</xdr:col>
          <xdr:colOff>495300</xdr:colOff>
          <xdr:row>30</xdr:row>
          <xdr:rowOff>0</xdr:rowOff>
        </xdr:to>
        <xdr:sp macro="" textlink="">
          <xdr:nvSpPr>
            <xdr:cNvPr id="37918" name="Drop Down 30" hidden="1">
              <a:extLst>
                <a:ext uri="{63B3BB69-23CF-44E3-9099-C40C66FF867C}">
                  <a14:compatExt spid="_x0000_s3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0</xdr:rowOff>
        </xdr:from>
        <xdr:to>
          <xdr:col>10</xdr:col>
          <xdr:colOff>466725</xdr:colOff>
          <xdr:row>23</xdr:row>
          <xdr:rowOff>0</xdr:rowOff>
        </xdr:to>
        <xdr:sp macro="" textlink="">
          <xdr:nvSpPr>
            <xdr:cNvPr id="37919" name="Drop Down 31" hidden="1">
              <a:extLst>
                <a:ext uri="{63B3BB69-23CF-44E3-9099-C40C66FF867C}">
                  <a14:compatExt spid="_x0000_s3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60</xdr:row>
          <xdr:rowOff>0</xdr:rowOff>
        </xdr:from>
        <xdr:to>
          <xdr:col>10</xdr:col>
          <xdr:colOff>457200</xdr:colOff>
          <xdr:row>61</xdr:row>
          <xdr:rowOff>0</xdr:rowOff>
        </xdr:to>
        <xdr:sp macro="" textlink="">
          <xdr:nvSpPr>
            <xdr:cNvPr id="37920" name="Drop Down 32" hidden="1">
              <a:extLst>
                <a:ext uri="{63B3BB69-23CF-44E3-9099-C40C66FF867C}">
                  <a14:compatExt spid="_x0000_s3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ctrlProp" Target="../ctrlProps/ctrlProp31.x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" Type="http://schemas.openxmlformats.org/officeDocument/2006/relationships/ctrlProp" Target="../ctrlProps/ctrlProp55.xml"/><Relationship Id="rId21" Type="http://schemas.openxmlformats.org/officeDocument/2006/relationships/ctrlProp" Target="../ctrlProps/ctrlProp7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3" Type="http://schemas.openxmlformats.org/officeDocument/2006/relationships/ctrlProp" Target="../ctrlProps/ctrlProp85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13" Type="http://schemas.openxmlformats.org/officeDocument/2006/relationships/ctrlProp" Target="../ctrlProps/ctrlProp113.xml"/><Relationship Id="rId18" Type="http://schemas.openxmlformats.org/officeDocument/2006/relationships/ctrlProp" Target="../ctrlProps/ctrlProp118.xml"/><Relationship Id="rId3" Type="http://schemas.openxmlformats.org/officeDocument/2006/relationships/ctrlProp" Target="../ctrlProps/ctrlProp103.xml"/><Relationship Id="rId21" Type="http://schemas.openxmlformats.org/officeDocument/2006/relationships/ctrlProp" Target="../ctrlProps/ctrlProp121.xml"/><Relationship Id="rId7" Type="http://schemas.openxmlformats.org/officeDocument/2006/relationships/ctrlProp" Target="../ctrlProps/ctrlProp107.xml"/><Relationship Id="rId12" Type="http://schemas.openxmlformats.org/officeDocument/2006/relationships/ctrlProp" Target="../ctrlProps/ctrlProp112.xml"/><Relationship Id="rId17" Type="http://schemas.openxmlformats.org/officeDocument/2006/relationships/ctrlProp" Target="../ctrlProps/ctrlProp11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16.xml"/><Relationship Id="rId20" Type="http://schemas.openxmlformats.org/officeDocument/2006/relationships/ctrlProp" Target="../ctrlProps/ctrlProp120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06.xml"/><Relationship Id="rId11" Type="http://schemas.openxmlformats.org/officeDocument/2006/relationships/ctrlProp" Target="../ctrlProps/ctrlProp111.xml"/><Relationship Id="rId5" Type="http://schemas.openxmlformats.org/officeDocument/2006/relationships/ctrlProp" Target="../ctrlProps/ctrlProp105.xml"/><Relationship Id="rId15" Type="http://schemas.openxmlformats.org/officeDocument/2006/relationships/ctrlProp" Target="../ctrlProps/ctrlProp115.xml"/><Relationship Id="rId23" Type="http://schemas.openxmlformats.org/officeDocument/2006/relationships/ctrlProp" Target="../ctrlProps/ctrlProp123.xml"/><Relationship Id="rId10" Type="http://schemas.openxmlformats.org/officeDocument/2006/relationships/ctrlProp" Target="../ctrlProps/ctrlProp110.xml"/><Relationship Id="rId19" Type="http://schemas.openxmlformats.org/officeDocument/2006/relationships/ctrlProp" Target="../ctrlProps/ctrlProp119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Relationship Id="rId14" Type="http://schemas.openxmlformats.org/officeDocument/2006/relationships/ctrlProp" Target="../ctrlProps/ctrlProp114.xml"/><Relationship Id="rId22" Type="http://schemas.openxmlformats.org/officeDocument/2006/relationships/ctrlProp" Target="../ctrlProps/ctrlProp12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3" Type="http://schemas.openxmlformats.org/officeDocument/2006/relationships/ctrlProp" Target="../ctrlProps/ctrlProp124.xml"/><Relationship Id="rId21" Type="http://schemas.openxmlformats.org/officeDocument/2006/relationships/ctrlProp" Target="../ctrlProps/ctrlProp142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7.xml"/><Relationship Id="rId20" Type="http://schemas.openxmlformats.org/officeDocument/2006/relationships/ctrlProp" Target="../ctrlProps/ctrlProp141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10" Type="http://schemas.openxmlformats.org/officeDocument/2006/relationships/ctrlProp" Target="../ctrlProps/ctrlProp131.xml"/><Relationship Id="rId19" Type="http://schemas.openxmlformats.org/officeDocument/2006/relationships/ctrlProp" Target="../ctrlProps/ctrlProp140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13" Type="http://schemas.openxmlformats.org/officeDocument/2006/relationships/ctrlProp" Target="../ctrlProps/ctrlProp155.xml"/><Relationship Id="rId18" Type="http://schemas.openxmlformats.org/officeDocument/2006/relationships/ctrlProp" Target="../ctrlProps/ctrlProp160.xml"/><Relationship Id="rId3" Type="http://schemas.openxmlformats.org/officeDocument/2006/relationships/ctrlProp" Target="../ctrlProps/ctrlProp145.xml"/><Relationship Id="rId7" Type="http://schemas.openxmlformats.org/officeDocument/2006/relationships/ctrlProp" Target="../ctrlProps/ctrlProp149.xml"/><Relationship Id="rId12" Type="http://schemas.openxmlformats.org/officeDocument/2006/relationships/ctrlProp" Target="../ctrlProps/ctrlProp154.xml"/><Relationship Id="rId17" Type="http://schemas.openxmlformats.org/officeDocument/2006/relationships/ctrlProp" Target="../ctrlProps/ctrlProp159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58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5" Type="http://schemas.openxmlformats.org/officeDocument/2006/relationships/ctrlProp" Target="../ctrlProps/ctrlProp157.xml"/><Relationship Id="rId10" Type="http://schemas.openxmlformats.org/officeDocument/2006/relationships/ctrlProp" Target="../ctrlProps/ctrlProp152.xml"/><Relationship Id="rId19" Type="http://schemas.openxmlformats.org/officeDocument/2006/relationships/ctrlProp" Target="../ctrlProps/ctrlProp161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Relationship Id="rId14" Type="http://schemas.openxmlformats.org/officeDocument/2006/relationships/ctrlProp" Target="../ctrlProps/ctrlProp15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7.xml"/><Relationship Id="rId13" Type="http://schemas.openxmlformats.org/officeDocument/2006/relationships/ctrlProp" Target="../ctrlProps/ctrlProp172.xml"/><Relationship Id="rId18" Type="http://schemas.openxmlformats.org/officeDocument/2006/relationships/ctrlProp" Target="../ctrlProps/ctrlProp177.xml"/><Relationship Id="rId26" Type="http://schemas.openxmlformats.org/officeDocument/2006/relationships/ctrlProp" Target="../ctrlProps/ctrlProp185.xml"/><Relationship Id="rId3" Type="http://schemas.openxmlformats.org/officeDocument/2006/relationships/ctrlProp" Target="../ctrlProps/ctrlProp162.xml"/><Relationship Id="rId21" Type="http://schemas.openxmlformats.org/officeDocument/2006/relationships/ctrlProp" Target="../ctrlProps/ctrlProp180.xml"/><Relationship Id="rId34" Type="http://schemas.openxmlformats.org/officeDocument/2006/relationships/ctrlProp" Target="../ctrlProps/ctrlProp193.xml"/><Relationship Id="rId7" Type="http://schemas.openxmlformats.org/officeDocument/2006/relationships/ctrlProp" Target="../ctrlProps/ctrlProp166.xml"/><Relationship Id="rId12" Type="http://schemas.openxmlformats.org/officeDocument/2006/relationships/ctrlProp" Target="../ctrlProps/ctrlProp171.xml"/><Relationship Id="rId17" Type="http://schemas.openxmlformats.org/officeDocument/2006/relationships/ctrlProp" Target="../ctrlProps/ctrlProp176.xml"/><Relationship Id="rId25" Type="http://schemas.openxmlformats.org/officeDocument/2006/relationships/ctrlProp" Target="../ctrlProps/ctrlProp184.xml"/><Relationship Id="rId33" Type="http://schemas.openxmlformats.org/officeDocument/2006/relationships/ctrlProp" Target="../ctrlProps/ctrlProp192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75.xml"/><Relationship Id="rId20" Type="http://schemas.openxmlformats.org/officeDocument/2006/relationships/ctrlProp" Target="../ctrlProps/ctrlProp179.xml"/><Relationship Id="rId29" Type="http://schemas.openxmlformats.org/officeDocument/2006/relationships/ctrlProp" Target="../ctrlProps/ctrlProp18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65.xml"/><Relationship Id="rId11" Type="http://schemas.openxmlformats.org/officeDocument/2006/relationships/ctrlProp" Target="../ctrlProps/ctrlProp170.xml"/><Relationship Id="rId24" Type="http://schemas.openxmlformats.org/officeDocument/2006/relationships/ctrlProp" Target="../ctrlProps/ctrlProp183.xml"/><Relationship Id="rId32" Type="http://schemas.openxmlformats.org/officeDocument/2006/relationships/ctrlProp" Target="../ctrlProps/ctrlProp191.xml"/><Relationship Id="rId5" Type="http://schemas.openxmlformats.org/officeDocument/2006/relationships/ctrlProp" Target="../ctrlProps/ctrlProp164.xml"/><Relationship Id="rId15" Type="http://schemas.openxmlformats.org/officeDocument/2006/relationships/ctrlProp" Target="../ctrlProps/ctrlProp174.xml"/><Relationship Id="rId23" Type="http://schemas.openxmlformats.org/officeDocument/2006/relationships/ctrlProp" Target="../ctrlProps/ctrlProp182.xml"/><Relationship Id="rId28" Type="http://schemas.openxmlformats.org/officeDocument/2006/relationships/ctrlProp" Target="../ctrlProps/ctrlProp187.xml"/><Relationship Id="rId10" Type="http://schemas.openxmlformats.org/officeDocument/2006/relationships/ctrlProp" Target="../ctrlProps/ctrlProp169.xml"/><Relationship Id="rId19" Type="http://schemas.openxmlformats.org/officeDocument/2006/relationships/ctrlProp" Target="../ctrlProps/ctrlProp178.xml"/><Relationship Id="rId31" Type="http://schemas.openxmlformats.org/officeDocument/2006/relationships/ctrlProp" Target="../ctrlProps/ctrlProp190.xml"/><Relationship Id="rId4" Type="http://schemas.openxmlformats.org/officeDocument/2006/relationships/ctrlProp" Target="../ctrlProps/ctrlProp163.xml"/><Relationship Id="rId9" Type="http://schemas.openxmlformats.org/officeDocument/2006/relationships/ctrlProp" Target="../ctrlProps/ctrlProp168.xml"/><Relationship Id="rId14" Type="http://schemas.openxmlformats.org/officeDocument/2006/relationships/ctrlProp" Target="../ctrlProps/ctrlProp173.xml"/><Relationship Id="rId22" Type="http://schemas.openxmlformats.org/officeDocument/2006/relationships/ctrlProp" Target="../ctrlProps/ctrlProp181.xml"/><Relationship Id="rId27" Type="http://schemas.openxmlformats.org/officeDocument/2006/relationships/ctrlProp" Target="../ctrlProps/ctrlProp186.xml"/><Relationship Id="rId30" Type="http://schemas.openxmlformats.org/officeDocument/2006/relationships/ctrlProp" Target="../ctrlProps/ctrlProp18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9.xml"/><Relationship Id="rId13" Type="http://schemas.openxmlformats.org/officeDocument/2006/relationships/ctrlProp" Target="../ctrlProps/ctrlProp204.xml"/><Relationship Id="rId18" Type="http://schemas.openxmlformats.org/officeDocument/2006/relationships/ctrlProp" Target="../ctrlProps/ctrlProp209.xml"/><Relationship Id="rId26" Type="http://schemas.openxmlformats.org/officeDocument/2006/relationships/ctrlProp" Target="../ctrlProps/ctrlProp217.xml"/><Relationship Id="rId3" Type="http://schemas.openxmlformats.org/officeDocument/2006/relationships/ctrlProp" Target="../ctrlProps/ctrlProp194.xml"/><Relationship Id="rId21" Type="http://schemas.openxmlformats.org/officeDocument/2006/relationships/ctrlProp" Target="../ctrlProps/ctrlProp212.xml"/><Relationship Id="rId34" Type="http://schemas.openxmlformats.org/officeDocument/2006/relationships/ctrlProp" Target="../ctrlProps/ctrlProp225.xml"/><Relationship Id="rId7" Type="http://schemas.openxmlformats.org/officeDocument/2006/relationships/ctrlProp" Target="../ctrlProps/ctrlProp198.xml"/><Relationship Id="rId12" Type="http://schemas.openxmlformats.org/officeDocument/2006/relationships/ctrlProp" Target="../ctrlProps/ctrlProp203.xml"/><Relationship Id="rId17" Type="http://schemas.openxmlformats.org/officeDocument/2006/relationships/ctrlProp" Target="../ctrlProps/ctrlProp208.xml"/><Relationship Id="rId25" Type="http://schemas.openxmlformats.org/officeDocument/2006/relationships/ctrlProp" Target="../ctrlProps/ctrlProp216.xml"/><Relationship Id="rId33" Type="http://schemas.openxmlformats.org/officeDocument/2006/relationships/ctrlProp" Target="../ctrlProps/ctrlProp224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07.xml"/><Relationship Id="rId20" Type="http://schemas.openxmlformats.org/officeDocument/2006/relationships/ctrlProp" Target="../ctrlProps/ctrlProp211.xml"/><Relationship Id="rId29" Type="http://schemas.openxmlformats.org/officeDocument/2006/relationships/ctrlProp" Target="../ctrlProps/ctrlProp220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97.xml"/><Relationship Id="rId11" Type="http://schemas.openxmlformats.org/officeDocument/2006/relationships/ctrlProp" Target="../ctrlProps/ctrlProp202.xml"/><Relationship Id="rId24" Type="http://schemas.openxmlformats.org/officeDocument/2006/relationships/ctrlProp" Target="../ctrlProps/ctrlProp215.xml"/><Relationship Id="rId32" Type="http://schemas.openxmlformats.org/officeDocument/2006/relationships/ctrlProp" Target="../ctrlProps/ctrlProp223.xml"/><Relationship Id="rId5" Type="http://schemas.openxmlformats.org/officeDocument/2006/relationships/ctrlProp" Target="../ctrlProps/ctrlProp196.xml"/><Relationship Id="rId15" Type="http://schemas.openxmlformats.org/officeDocument/2006/relationships/ctrlProp" Target="../ctrlProps/ctrlProp206.xml"/><Relationship Id="rId23" Type="http://schemas.openxmlformats.org/officeDocument/2006/relationships/ctrlProp" Target="../ctrlProps/ctrlProp214.xml"/><Relationship Id="rId28" Type="http://schemas.openxmlformats.org/officeDocument/2006/relationships/ctrlProp" Target="../ctrlProps/ctrlProp219.xml"/><Relationship Id="rId10" Type="http://schemas.openxmlformats.org/officeDocument/2006/relationships/ctrlProp" Target="../ctrlProps/ctrlProp201.xml"/><Relationship Id="rId19" Type="http://schemas.openxmlformats.org/officeDocument/2006/relationships/ctrlProp" Target="../ctrlProps/ctrlProp210.xml"/><Relationship Id="rId31" Type="http://schemas.openxmlformats.org/officeDocument/2006/relationships/ctrlProp" Target="../ctrlProps/ctrlProp222.xml"/><Relationship Id="rId4" Type="http://schemas.openxmlformats.org/officeDocument/2006/relationships/ctrlProp" Target="../ctrlProps/ctrlProp195.xml"/><Relationship Id="rId9" Type="http://schemas.openxmlformats.org/officeDocument/2006/relationships/ctrlProp" Target="../ctrlProps/ctrlProp200.xml"/><Relationship Id="rId14" Type="http://schemas.openxmlformats.org/officeDocument/2006/relationships/ctrlProp" Target="../ctrlProps/ctrlProp205.xml"/><Relationship Id="rId22" Type="http://schemas.openxmlformats.org/officeDocument/2006/relationships/ctrlProp" Target="../ctrlProps/ctrlProp213.xml"/><Relationship Id="rId27" Type="http://schemas.openxmlformats.org/officeDocument/2006/relationships/ctrlProp" Target="../ctrlProps/ctrlProp218.xml"/><Relationship Id="rId30" Type="http://schemas.openxmlformats.org/officeDocument/2006/relationships/ctrlProp" Target="../ctrlProps/ctrlProp2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CF73"/>
  <sheetViews>
    <sheetView tabSelected="1" zoomScaleNormal="100" workbookViewId="0">
      <selection activeCell="G9" sqref="G9"/>
    </sheetView>
  </sheetViews>
  <sheetFormatPr defaultColWidth="9.140625" defaultRowHeight="15" x14ac:dyDescent="0.25"/>
  <cols>
    <col min="1" max="1" width="2.42578125" style="54" customWidth="1"/>
    <col min="2" max="2" width="12.28515625" style="54" customWidth="1"/>
    <col min="3" max="9" width="12.7109375" style="54" customWidth="1"/>
    <col min="10" max="10" width="13.7109375" style="54" customWidth="1"/>
    <col min="11" max="16" width="11.7109375" style="54" customWidth="1"/>
    <col min="17" max="17" width="1.85546875" style="54" customWidth="1"/>
    <col min="18" max="18" width="13.42578125" style="54" customWidth="1"/>
    <col min="19" max="20" width="15.28515625" style="54" customWidth="1"/>
    <col min="21" max="21" width="17" style="54" customWidth="1"/>
    <col min="22" max="22" width="15.28515625" style="54" customWidth="1"/>
    <col min="23" max="24" width="15.7109375" style="54" customWidth="1"/>
    <col min="25" max="25" width="5.42578125" style="54" customWidth="1"/>
    <col min="26" max="26" width="5.28515625" style="54" customWidth="1"/>
    <col min="27" max="27" width="11" customWidth="1"/>
    <col min="28" max="30" width="12.7109375" customWidth="1"/>
    <col min="31" max="31" width="2.42578125" customWidth="1"/>
    <col min="32" max="32" width="55.42578125" customWidth="1"/>
    <col min="33" max="33" width="15.5703125" customWidth="1"/>
    <col min="34" max="43" width="12.85546875" customWidth="1"/>
    <col min="44" max="44" width="4.5703125" style="54" customWidth="1"/>
    <col min="45" max="45" width="9.140625" style="54" customWidth="1"/>
    <col min="46" max="16384" width="9.140625" style="54"/>
  </cols>
  <sheetData>
    <row r="1" spans="1:84" ht="8.25" customHeight="1" thickBot="1" x14ac:dyDescent="0.3">
      <c r="A1" s="451"/>
      <c r="B1" s="452"/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2"/>
      <c r="P1" s="452"/>
      <c r="Q1" s="173"/>
      <c r="U1" s="5"/>
      <c r="V1" s="5"/>
      <c r="W1" s="19"/>
      <c r="X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</row>
    <row r="2" spans="1:84" ht="15.75" customHeight="1" thickBot="1" x14ac:dyDescent="0.3">
      <c r="A2" s="453"/>
      <c r="B2" s="454" t="s">
        <v>0</v>
      </c>
      <c r="C2" s="829"/>
      <c r="D2" s="830"/>
      <c r="E2" s="830"/>
      <c r="F2" s="830"/>
      <c r="G2" s="455"/>
      <c r="H2" s="456"/>
      <c r="I2" s="457" t="s">
        <v>1</v>
      </c>
      <c r="J2" s="873" t="s">
        <v>2</v>
      </c>
      <c r="K2" s="842"/>
      <c r="L2" s="842"/>
      <c r="M2" s="842"/>
      <c r="N2" s="875" t="s">
        <v>3</v>
      </c>
      <c r="O2" s="838"/>
      <c r="P2" s="456"/>
      <c r="Q2" s="213"/>
      <c r="U2" s="5"/>
      <c r="V2" s="5"/>
      <c r="W2" s="19"/>
      <c r="X2" s="19"/>
      <c r="Z2" s="19"/>
      <c r="AA2" s="263" t="s">
        <v>4</v>
      </c>
      <c r="AB2" s="264"/>
      <c r="AC2" s="264"/>
      <c r="AD2" s="264"/>
      <c r="AE2" s="264"/>
      <c r="AF2" s="265"/>
      <c r="AJ2" s="345"/>
      <c r="AL2" s="345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</row>
    <row r="3" spans="1:84" ht="15.75" customHeight="1" thickBot="1" x14ac:dyDescent="0.3">
      <c r="A3" s="453"/>
      <c r="B3" s="454" t="s">
        <v>5</v>
      </c>
      <c r="C3" s="864"/>
      <c r="D3" s="865"/>
      <c r="E3" s="865"/>
      <c r="F3" s="865"/>
      <c r="G3" s="455"/>
      <c r="H3" s="456"/>
      <c r="I3" s="458"/>
      <c r="J3" s="850" t="s">
        <v>6</v>
      </c>
      <c r="K3" s="851"/>
      <c r="L3" s="874" t="s">
        <v>7</v>
      </c>
      <c r="M3" s="847"/>
      <c r="N3" s="459" t="s">
        <v>8</v>
      </c>
      <c r="O3" s="460" t="s">
        <v>9</v>
      </c>
      <c r="P3" s="456"/>
      <c r="Q3" s="213"/>
      <c r="U3" s="846" t="s">
        <v>10</v>
      </c>
      <c r="V3" s="848"/>
      <c r="W3" s="746"/>
      <c r="X3" s="19"/>
      <c r="Y3" s="19"/>
      <c r="Z3" s="5"/>
      <c r="AA3" s="266"/>
      <c r="AB3" s="267"/>
      <c r="AC3" s="267"/>
      <c r="AD3" s="267"/>
      <c r="AE3" s="267"/>
      <c r="AF3" s="268"/>
      <c r="AK3" s="831" t="s">
        <v>11</v>
      </c>
      <c r="AL3" s="832"/>
      <c r="AM3" s="832"/>
      <c r="AN3" s="832"/>
      <c r="AO3" s="832"/>
      <c r="AP3" s="832"/>
      <c r="AR3" s="19"/>
      <c r="AS3" s="19"/>
      <c r="AT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</row>
    <row r="4" spans="1:84" ht="15.75" customHeight="1" thickBot="1" x14ac:dyDescent="0.3">
      <c r="A4" s="461"/>
      <c r="B4" s="455"/>
      <c r="C4" s="455"/>
      <c r="D4" s="455"/>
      <c r="E4" s="455"/>
      <c r="F4" s="455"/>
      <c r="G4" s="455"/>
      <c r="H4" s="455"/>
      <c r="I4" s="434" t="s">
        <v>12</v>
      </c>
      <c r="J4" s="416">
        <f>$C$11</f>
        <v>0</v>
      </c>
      <c r="K4" s="417" t="str">
        <f>IF($D$11=1,"FNL","FSL")</f>
        <v>FSL</v>
      </c>
      <c r="L4" s="418">
        <f>$E$11</f>
        <v>0</v>
      </c>
      <c r="M4" s="419" t="str">
        <f>IF($F$11=1,"FEL","FWL")</f>
        <v>FWL</v>
      </c>
      <c r="N4" s="420" t="str">
        <f>$K$13</f>
        <v/>
      </c>
      <c r="O4" s="421" t="str">
        <f>$L$13</f>
        <v/>
      </c>
      <c r="P4" s="455"/>
      <c r="Q4" s="174"/>
      <c r="U4" s="835" t="s">
        <v>13</v>
      </c>
      <c r="V4" s="836"/>
      <c r="W4" s="846" t="s">
        <v>14</v>
      </c>
      <c r="X4" s="848"/>
      <c r="Y4" s="5"/>
      <c r="AA4" s="269"/>
      <c r="AB4" s="270"/>
      <c r="AC4" s="270"/>
      <c r="AD4" s="270"/>
      <c r="AE4" s="267"/>
      <c r="AF4" s="268"/>
      <c r="AH4" s="735" t="s">
        <v>15</v>
      </c>
      <c r="AJ4" s="116"/>
      <c r="AK4" s="831" t="s">
        <v>16</v>
      </c>
      <c r="AL4" s="832"/>
      <c r="AM4" s="831" t="s">
        <v>17</v>
      </c>
      <c r="AN4" s="832"/>
      <c r="AO4" s="831" t="s">
        <v>18</v>
      </c>
      <c r="AP4" s="832"/>
    </row>
    <row r="5" spans="1:84" ht="15.75" customHeight="1" thickBot="1" x14ac:dyDescent="0.3">
      <c r="A5" s="461"/>
      <c r="B5" s="455"/>
      <c r="C5" s="455"/>
      <c r="D5" s="455"/>
      <c r="E5" s="455"/>
      <c r="F5" s="455"/>
      <c r="G5" s="455"/>
      <c r="H5" s="455"/>
      <c r="I5" s="434" t="str">
        <f>CONCATENATE("BHL @ ",ROUND($C$35,0),"' MD")</f>
        <v>BHL @ 0' MD</v>
      </c>
      <c r="J5" s="422">
        <f>IF($D$12=1,$C$12-$M$26+$M$27,$C$12+$M$26-$M$27)</f>
        <v>0</v>
      </c>
      <c r="K5" s="423" t="str">
        <f>IF($D$12=1,"FNL","FSL")</f>
        <v>FSL</v>
      </c>
      <c r="L5" s="424">
        <f>IF($F$12=1,$E$12-$O$26-$O$27,$E$12+$O$26+$O$27)</f>
        <v>0</v>
      </c>
      <c r="M5" s="425" t="str">
        <f>IF($F$12=1,"FEL","FWL")</f>
        <v>FWL</v>
      </c>
      <c r="N5" s="426" t="e">
        <f>ROUND(IF($F$6=1,IF($P$25="  E",$O$25,-$O$25)*$D$47*COS($D$46)-IF($N$25="  N",$M$25,-$M$25)*$D$47*SIN($D$46),IF($P$25="  E",$O$25,-$O$25)*$D$47/$F$47*COS($F$46-$D$46)+IF($N$25="  N",$M$25,-$M$25)*$D$47/$F$47*SIN($F$46-$D$46))*1200/3937, 1)+$K$13</f>
        <v>#VALUE!</v>
      </c>
      <c r="O5" s="427" t="e">
        <f>ROUND(IF($F$6=1,IF($N$25="  N",$M$25,-$M$25)*$D$47*COS($D$46)+IF($P$25="  E",$O$25,-$O$25)*$D$47*SIN($D$46),IF($N$25="  N",$M$25,-$M$25)*$D$47/$F$47*COS($F$46-$D$46)-IF($P$25="  E",$O$25,-$O$25)*$D$47/$F$47*SIN($F$46-$D$46))*1200/3937,1)+$L$13</f>
        <v>#VALUE!</v>
      </c>
      <c r="P5" s="455"/>
      <c r="Q5" s="174"/>
      <c r="S5" s="856" t="s">
        <v>19</v>
      </c>
      <c r="T5" s="847"/>
      <c r="U5" s="374" t="s">
        <v>8</v>
      </c>
      <c r="V5" s="61" t="s">
        <v>9</v>
      </c>
      <c r="W5" s="374" t="s">
        <v>20</v>
      </c>
      <c r="X5" s="767" t="s">
        <v>21</v>
      </c>
      <c r="AA5" s="269"/>
      <c r="AB5" s="271" t="s">
        <v>22</v>
      </c>
      <c r="AC5" s="271" t="s">
        <v>23</v>
      </c>
      <c r="AD5" s="271" t="s">
        <v>24</v>
      </c>
      <c r="AE5" s="267"/>
      <c r="AF5" s="268"/>
      <c r="AH5" s="341" t="s">
        <v>25</v>
      </c>
      <c r="AI5" s="435" t="s">
        <v>26</v>
      </c>
      <c r="AJ5" s="436"/>
      <c r="AK5" s="735" t="s">
        <v>27</v>
      </c>
      <c r="AL5" s="735" t="s">
        <v>28</v>
      </c>
      <c r="AM5" s="735" t="s">
        <v>27</v>
      </c>
      <c r="AN5" s="735" t="s">
        <v>28</v>
      </c>
      <c r="AO5" s="735" t="s">
        <v>27</v>
      </c>
      <c r="AP5" s="735" t="s">
        <v>28</v>
      </c>
    </row>
    <row r="6" spans="1:84" ht="15.75" customHeight="1" x14ac:dyDescent="0.25">
      <c r="A6" s="461"/>
      <c r="B6" s="455"/>
      <c r="C6" s="843" t="s">
        <v>29</v>
      </c>
      <c r="D6" s="844"/>
      <c r="E6" s="844"/>
      <c r="F6" s="462">
        <v>1</v>
      </c>
      <c r="G6" s="463"/>
      <c r="H6" s="455"/>
      <c r="I6" s="434" t="str">
        <f>CONCATENATE("BHL @ ",ROUND($C$36,0),"' MD")</f>
        <v>BHL @ 0' MD</v>
      </c>
      <c r="J6" s="422">
        <f>IF($D$12=1,$C$12-$M$32+$M$33,$C$12+$M$32-$M$33)</f>
        <v>0</v>
      </c>
      <c r="K6" s="423" t="str">
        <f>IF($D$12=1,"FNL","FSL")</f>
        <v>FSL</v>
      </c>
      <c r="L6" s="424">
        <f>IF($F$12=1,$E$12-$O$32-$O$33,$E$12+$O$32+$O$33)</f>
        <v>0</v>
      </c>
      <c r="M6" s="425" t="str">
        <f>IF($F$12=1,"FEL","FWL")</f>
        <v>FWL</v>
      </c>
      <c r="N6" s="426" t="e">
        <f>ROUND(IF($F$6=1,IF($P$31="  E",$O$31,-$O$31)*$D$47*COS($D$46)-IF($N$31="  N",$M$31,-$M$31)*$D$47*SIN($D$46),IF($P$31="  E",$O$31,-$O$31)*$D$47/$F$47*COS($F$46-$D$46)+IF($N$31="  N",$M$31,-$M$31)*$D$47/$F$47*SIN($F$46-$D$46))*1200/3937, 1)+$K$13</f>
        <v>#VALUE!</v>
      </c>
      <c r="O6" s="427" t="e">
        <f>ROUND(IF($F$6=1,IF($N$31="  N",$M$31,-$M$31)*$D$47*COS($D$46)+IF($P$31="  E",$O$31,-$O$31)*$D$47*SIN($D$46),IF($N$31="  N",$M$31,-$M$31)*$D$47/$F$47*COS($F$46-$D$46)-IF($P$31="  E",$O$31,-$O$31)*$D$47/$F$47*SIN($F$46-$D$46))*1200/3937,1)+$L$13</f>
        <v>#VALUE!</v>
      </c>
      <c r="P6" s="455"/>
      <c r="Q6" s="174"/>
      <c r="R6" s="313" t="s">
        <v>30</v>
      </c>
      <c r="S6" s="839" t="str">
        <f>IF(AND(ISNUMBER($F$23),ISNUMBER($G$23)),IF($F$6=2,CONCATENATE(ABS(ROUND($AK$40,0)),IF($V$6-$N$14&gt;0," FNL and "," FSL and "),ABS(ROUND($AL$40,0)),IF($U$6-$M$14&gt;0," FEL "," FWL ")),CONCATENATE(ABS(ROUND($AO35,0)),IF($F$23-$I$14&gt;0," FNL and "," FSL and "),ABS(ROUND($AP35,0)),IF($G$23-$J$14&gt;0," FWL "," FEL "))),"")</f>
        <v/>
      </c>
      <c r="T6" s="840"/>
      <c r="U6" s="596" t="str">
        <f>IF(AND(ISNUMBER($F$23),ISNUMBER($G$23)),IF($G$44=1,(($AB$18-($F$23-$AB$15)*($AB$26+($F$23-$AB$15)*($AB$27+($F$23-$AB$15)*($AB$28+($F$23-$AB$15)*$AB$29))))*SIN(RADIANS(((111.5-$G$23)*$AB$16)))+$AB$12)*3937/1200,IF($G$44=2,(($AC$18-($F$23-$AC$15)*($AC$26+($F$23-$AC$15)*($AC$27+($F$23-$AC$15)*($AC$28+($F$23-$AC$15)*$AC$29))))*SIN(RADIANS(((111.5-$G$23)*$AC$16)))+$AC$12)*3937/1200,(($AD$18-($F$23-$AD$15)*($AD$26+($F$23-$AD$15)*($AD$27+($F$23-$AD$15)*($AD$28+($F$23-$AD$15)*$AD$29))))*SIN(RADIANS(((111.5-$G$23)*$AD$16)))+$AD$12)*3937/1200)),"")</f>
        <v/>
      </c>
      <c r="V6" s="597" t="str">
        <f>IF(AND(ISNUMBER($F$23),ISNUMBER($G$23)),IF($G$44=1,(($F$23-$AB$15)*($AB$26+($F$23-$AB$15)*($AB$27+($F$23-$AB$15)*($AB$28+($F$23-$AB$15)*$AB$29)))+($AB$18-($F$23-$AB$15)*($AB$26+($F$23-$AB$15)*($AB$27+($F$23-$AB$15)*($AB$28+($F$23-$AB$15)*$AB$29))))*SIN(RADIANS(((111.5-$G$23)*$AB$16)))*TAN(RADIANS(((111.5-$G$23)*$AB$16))/2)+$AB$19)*3937/1200,IF($G$44=2,(($F$23-$AC$15)*($AC$26+($F$23-$AC$15)*($AC$27+($F$23-$AC$15)*($AC$28+($F$23-$AC$15)*$AC$29)))+($AC$18-($F$23-$AC$15)*($AC$26+($F$23-$AC$15)*($AC$27+($F$23-$AC$15)*($AC$28+($F$23-$AC$15)*$AC$29))))*SIN(RADIANS(((111.5-$G$23)*$AC$16)))*TAN(RADIANS(((111.5-$G$23)*$AC$16))/2)+$AC$19)*3937/1200,(($F$23-$AD$15)*($AD$26+($F$23-$AD$15)*($AD$27+($F$23-$AD$15)*($AD$28+($F$23-$AD$15)*$AD$29)))+($AD$18-($F$23-$AD$15)*($AD$26+($F$23-$AD$15)*($AD$27+($F$23-$AD$15)*($AD$28+($F$23-$AD$15)*$AD$29))))*SIN(RADIANS(((111.5-$G$23)*$AD$16)))*TAN(RADIANS(((111.5-$G$23)*$AD$16))/2)+$AD$19)*3937/1200)),"")</f>
        <v/>
      </c>
      <c r="W6" s="592" t="e">
        <f>IF($F$6=1,DEGREES($AO$14),$AK$31)</f>
        <v>#VALUE!</v>
      </c>
      <c r="X6" s="593" t="e">
        <f>IF($F$6=1,DEGREES(-$AP$14),$AL$31)</f>
        <v>#VALUE!</v>
      </c>
      <c r="AA6" s="272" t="s">
        <v>31</v>
      </c>
      <c r="AB6" s="267"/>
      <c r="AC6" s="267"/>
      <c r="AD6" s="267"/>
      <c r="AE6" s="267"/>
      <c r="AF6" s="268"/>
      <c r="AG6" s="437" t="s">
        <v>32</v>
      </c>
      <c r="AH6" s="768" t="e">
        <f>((0+($L$13+$L$17/3.28084)/$AC$55)/($AC$58*(1-$AC$63/4-3*$AC$63^2/64-5*$AC$63^3/256)))+(3*((1-(1-$AC$63)^0.5)/(1+(1-$AC$63)^0.5))/2-27*((1-(1-$AC$63)^0.5)/(1+(1-$AC$63)^0.5))^3/32)*SIN(2*((0+($L$13+$L$17/3.28084)/$AC$55)/($AC$58*(1-$AC$63/4-3*$AC$63^2/64-5*$AC$63^3/256))))+(21*((1-(1-$AC$63)^0.5)/(1+(1-$AC$63)^0.5))^2/16-55*((1-(1-$AC$63)^0.5)/(1+(1-$AC$63)^0.5))^4/32)*SIN(4*((0+($L$13+$L$17/3.28084)/$AC$55)/($AC$58*(1-$AC$63/4-3*$AC$63^2/64-5*$AC$63^3/256))))+(151*((1-(1-$AC$63)^0.5)/(1+(1-$AC$63)^0.5))^3/96)*SIN(6*((0+($L$13+$L$17/3.28084)/$AC$55)/($AC$58*(1-$AC$63/4-3*$AC$63^2/64-5*$AC$63^3/256))))+(1097*((1-(1-$AC$63)^0.5)/(1+(1-$AC$63)^0.5))^4/512)*SIN(8*((0+($L$13+$L$17/3.28084)/$AC$55)/($AC$58*(1-$AC$63/4-3*$AC$63^2/64-5*$AC$63^3/256))))</f>
        <v>#VALUE!</v>
      </c>
      <c r="AI6" s="438" t="str">
        <f>IF(AND(ISNUMBER($I$13),ISNUMBER($I$15)),$AB$43*(1-$AB$48)^0.5/(1-$AB$48*SIN(RADIANS(AVERAGE($I$13,$I$15)))^2),"")</f>
        <v/>
      </c>
      <c r="AJ6" s="769"/>
      <c r="AK6" s="295">
        <f>$C$24</f>
        <v>0</v>
      </c>
      <c r="AL6" s="345">
        <f>RADIANS(IF($C$28=1,180-($C$25+$C$26/60+$C$27/3600),IF($C$28=3,180+($C$25+$C$26/60+$C$27/3600),IF($C$28=4,360-($C$25+$C$26/60+$C$27/3600),($C$25+$C$26/60+$C$27/3600)))))</f>
        <v>0</v>
      </c>
      <c r="AM6" s="295">
        <f>$D$24</f>
        <v>0</v>
      </c>
      <c r="AN6" s="345">
        <f>RADIANS(IF($D$28=1,180-($D$25+$D$26/60+$D$27/3600),IF($D$28=3,180+($D$25+$D$26/60+$D$27/3600),IF($D$28=4,360-($D$25+$D$26/60+$D$27/3600),($D$25+$D$26/60+$D$27/3600)))))</f>
        <v>0</v>
      </c>
      <c r="AO6">
        <f>SQRT((COS($AL$6)*$AK$6+COS($AN$6)*$AM$6)^2+(SIN($AL$6)*$AK$6+SIN($AN$6)*$AM$6)^2)</f>
        <v>0</v>
      </c>
      <c r="AP6" s="345" t="e">
        <f>ATAN2((COS($AL$6)*$AK$6+COS($AN$6)*$AM$6),(SIN($AL$6)*$AK$6+SIN($AN$6)*$AM$6))</f>
        <v>#DIV/0!</v>
      </c>
    </row>
    <row r="7" spans="1:84" ht="15.75" customHeight="1" thickBot="1" x14ac:dyDescent="0.3">
      <c r="A7" s="461"/>
      <c r="B7" s="455"/>
      <c r="C7" s="872" t="s">
        <v>33</v>
      </c>
      <c r="D7" s="871"/>
      <c r="E7" s="871"/>
      <c r="F7" s="464">
        <v>1</v>
      </c>
      <c r="G7" s="463"/>
      <c r="H7" s="455"/>
      <c r="I7" s="434" t="str">
        <f>CONCATENATE("BHL @ ",ROUND($C$37,0),"' MD")</f>
        <v>BHL @ 0' MD</v>
      </c>
      <c r="J7" s="422">
        <f>IF($D$13=1,$C$13-$M$38+$M$39,$C$13+$M$38-$M$39)</f>
        <v>0</v>
      </c>
      <c r="K7" s="423" t="str">
        <f>IF($D$13=1,"FNL","FSL")</f>
        <v>FSL</v>
      </c>
      <c r="L7" s="424">
        <f>IF($F$13=1,$E$13-$O$38-$O$39,$E$13+$O$38+$O$39)</f>
        <v>0</v>
      </c>
      <c r="M7" s="425" t="str">
        <f>IF($F$13=1,"FEL","FWL")</f>
        <v>FWL</v>
      </c>
      <c r="N7" s="426" t="e">
        <f>ROUND(IF($F$6=1,IF($P$37="  E",$O$37,-$O$37)*$D$47*COS($D$46)-IF($N$37="  N",$M$37,-$M$37)*$D$47*SIN($D$46),IF($P$37="  E",$O$37,-$O$37)*$D$47/$F$47*COS($F$46-$D$46)+IF($N$37="  N",$M$37,-$M$37)*$D$47/$F$47*SIN($F$46-$D$46))*1200/3937, 1)+$K$13</f>
        <v>#VALUE!</v>
      </c>
      <c r="O7" s="427" t="e">
        <f>ROUND(IF($F$6=1,IF($N$37="  N",$M$37,-$M$37)*$D$47*COS($D$46)+IF($P$37="  E",$O$37,-$O$37)*$D$47*SIN($D$46),IF($N$37="  N",$M$37,-$M$37)*$D$47/$F$47*COS($F$46-$D$46)-IF($P$37="  E",$O$37,-$O$37)*$D$47/$F$47*SIN($F$46-$D$46))*1200/3937,1)+$L$13</f>
        <v>#VALUE!</v>
      </c>
      <c r="P7" s="455"/>
      <c r="Q7" s="174"/>
      <c r="R7" s="313" t="s">
        <v>34</v>
      </c>
      <c r="S7" s="870" t="str">
        <f>IF(AND(ISNUMBER($H$23),ISNUMBER($I$23)),IF($F$6=2,CONCATENATE(ABS(ROUND($AK$41,0)),IF($V$7-$N$15&gt;0," FNL and "," FSL and "),ABS(ROUND($AL$41,0)),IF($U$7-$M$15&gt;0," FEL "," FWL ")),CONCATENATE(ABS(ROUND($AO36,0)),IF($H$23-$I$15&gt;0," FNL and "," FSL and "),ABS(ROUND($AP36,0)),IF($I$23-$J$15&gt;0," FWL "," FEL "))),"")</f>
        <v/>
      </c>
      <c r="T7" s="871"/>
      <c r="U7" s="590" t="str">
        <f>IF(AND(ISNUMBER($H$23),ISNUMBER($I$23)),IF($G$44=1,(($AB$18-($H$23-$AB$15)*($AB$26+($H$23-$AB$15)*($AB$27+($H$23-$AB$15)*($AB$28+($H$23-$AB$15)*$AB$29))))*SIN(RADIANS(((111.5-$I$23)*$AB$16)))+$AB$12)*3937/1200,IF($G$44=2,(($AC$18-($H$23-$AC$15)*($AC$26+($H$23-$AC$15)*($AC$27+($H$23-$AC$15)*($AC$28+($H$23-$AC$15)*$AC$29))))*SIN(RADIANS(((111.5-$I$23)*$AC$16)))+$AC$12)*3937/1200,(($AD$18-($H$23-$AD$15)*($AD$26+($H$23-$AD$15)*($AD$27+($H$23-$AD$15)*($AD$28+($H$23-$AD$15)*$AD$29))))*SIN(RADIANS(((111.5-$I$23)*$AD$16)))+$AD$12)*3937/1200)),"")</f>
        <v/>
      </c>
      <c r="V7" s="591" t="str">
        <f>IF(AND(ISNUMBER($H$23),ISNUMBER($I$23)),IF($G$44=1,(($H$23-$AB$15)*($AB$26+($H$23-$AB$15)*($AB$27+($H$23-$AB$15)*($AB$28+($H$23-$AB$15)*$AB$29)))+($AB$18-($H$23-$AB$15)*($AB$26+($H$23-$AB$15)*($AB$27+($H$23-$AB$15)*($AB$28+($H$23-$AB$15)*$AB$29))))*SIN(RADIANS(((111.5-$I$23)*$AB$16)))*TAN(RADIANS(((111.5-$I$23)*$AB$16))/2)+$AB$19)*3937/1200,IF($G$44=2,(($H$23-$AC$15)*($AC$26+($H$23-$AC$15)*($AC$27+($H$23-$AC$15)*($AC$28+($H$23-$AC$15)*$AC$29)))+($AC$18-($H$23-$AC$15)*($AC$26+($H$23-$AC$15)*($AC$27+($H$23-$AC$15)*($AC$28+($H$23-$AC$15)*$AC$29))))*SIN(RADIANS(((111.5-$I$23)*$AC$16)))*TAN(RADIANS(((111.5-$I$23)*$AC$16))/2)+$AC$19)*3937/1200,(($H$23-$AD$15)*($AD$26+($H$23-$AD$15)*($AD$27+($H$23-$AD$15)*($AD$28+($H$23-$AD$15)*$AD$29)))+($AD$18-($H$23-$AD$15)*($AD$26+($H$23-$AD$15)*($AD$27+($H$23-$AD$15)*($AD$28+($H$23-$AD$15)*$AD$29))))*SIN(RADIANS(((111.5-$I$23)*$AD$16)))*TAN(RADIANS(((111.5-$I$23)*$AD$16))/2)+$AD$19)*3937/1200)),"")</f>
        <v/>
      </c>
      <c r="W7" s="594" t="e">
        <f>IF($F$6=1,DEGREES($AO$15),$AM$31)</f>
        <v>#VALUE!</v>
      </c>
      <c r="X7" s="595" t="e">
        <f>IF($F$6=1,DEGREES(-$AP$15),$AN$31)</f>
        <v>#VALUE!</v>
      </c>
      <c r="AA7" s="269" t="s">
        <v>35</v>
      </c>
      <c r="AB7" s="273">
        <v>1.6965277777777781</v>
      </c>
      <c r="AC7" s="273">
        <v>1.625694444444445</v>
      </c>
      <c r="AD7" s="273">
        <v>1.5506944444444439</v>
      </c>
      <c r="AE7" s="267"/>
      <c r="AF7" s="268" t="s">
        <v>36</v>
      </c>
      <c r="AG7" s="437" t="s">
        <v>37</v>
      </c>
      <c r="AH7" s="768" t="e">
        <f>((0+($L$13+$L$19/3.28084)/$AC$55)/($AC$58*(1-$AC$63/4-3*$AC$63^2/64-5*$AC$63^3/256)))+(3*((1-(1-$AC$63)^0.5)/(1+(1-$AC$63)^0.5))/2-27*((1-(1-$AC$63)^0.5)/(1+(1-$AC$63)^0.5))^3/32)*SIN(2*((0+($L$13+$L$19/3.28084)/$AC$55)/($AC$58*(1-$AC$63/4-3*$AC$63^2/64-5*$AC$63^3/256))))+(21*((1-(1-$AC$63)^0.5)/(1+(1-$AC$63)^0.5))^2/16-55*((1-(1-$AC$63)^0.5)/(1+(1-$AC$63)^0.5))^4/32)*SIN(4*((0+($L$13+$L$19/3.28084)/$AC$55)/($AC$58*(1-$AC$63/4-3*$AC$63^2/64-5*$AC$63^3/256))))+(151*((1-(1-$AC$63)^0.5)/(1+(1-$AC$63)^0.5))^3/96)*SIN(6*((0+($L$13+$L$19/3.28084)/$AC$55)/($AC$58*(1-$AC$63/4-3*$AC$63^2/64-5*$AC$63^3/256))))+(1097*((1-(1-$AC$63)^0.5)/(1+(1-$AC$63)^0.5))^4/512)*SIN(8*((0+($L$13+$L$19/3.28084)/$AC$55)/($AC$58*(1-$AC$63/4-3*$AC$63^2/64-5*$AC$63^3/256))))</f>
        <v>#VALUE!</v>
      </c>
    </row>
    <row r="8" spans="1:84" ht="15.75" customHeight="1" thickBot="1" x14ac:dyDescent="0.3">
      <c r="A8" s="461"/>
      <c r="B8" s="455"/>
      <c r="C8" s="752"/>
      <c r="D8" s="752"/>
      <c r="E8" s="752"/>
      <c r="F8" s="463"/>
      <c r="G8" s="463"/>
      <c r="H8" s="455"/>
      <c r="I8" s="434" t="str">
        <f>CONCATENATE("BHL @ ",ROUND($C$38,0),"' MD")</f>
        <v>BHL @ 0' MD</v>
      </c>
      <c r="J8" s="428">
        <f>IF($D$13=1,$C$13-$M$44+$M$45,$C$13+$M$44-$M$45)</f>
        <v>0</v>
      </c>
      <c r="K8" s="429" t="str">
        <f>IF($D$13=1,"FNL","FSL")</f>
        <v>FSL</v>
      </c>
      <c r="L8" s="430">
        <f>IF($F$13=1,$E$13-$O$44-$O$45,$E$13+$O$44+$O$45)</f>
        <v>0</v>
      </c>
      <c r="M8" s="431" t="str">
        <f>IF($F$13=1,"FEL","FWL")</f>
        <v>FWL</v>
      </c>
      <c r="N8" s="432" t="e">
        <f>ROUND(IF($F$6=1,IF($P$43="  E",$O$43,-$O$43)*$D$47*COS($D$46)-IF($N$43="  N",$M$43,-$M$43)*$D$47*SIN($D$46),IF($P$43="  E",$O$43,-$O$43)*$D$47/$F$47*COS($F$46-$D$46)+IF($N$43="  N",$M$43,-$M$43)*$D$47/$F$47*SIN($F$46-$D$46))*1200/3937, 1)+$K$13</f>
        <v>#VALUE!</v>
      </c>
      <c r="O8" s="433" t="e">
        <f>ROUND(IF($F$6=1,IF($N$43="  N",$M$43,-$M$43)*$D$47*COS($D$46)+IF($P$43="  E",$O$43,-$O$43)*$D$47*SIN($D$46),IF($N$43="  N",$M$43,-$M$43)*$D$47/$F$47*COS($F$46-$D$46)-IF($P$43="  E",$O$43,-$O$43)*$D$47/$F$47*SIN($F$46-$D$46))*1200/3937,1)+$L$13</f>
        <v>#VALUE!</v>
      </c>
      <c r="P8" s="455"/>
      <c r="Q8" s="174"/>
      <c r="U8" s="770"/>
      <c r="V8" s="771"/>
      <c r="W8" s="770"/>
      <c r="AA8" s="269" t="s">
        <v>38</v>
      </c>
      <c r="AB8" s="273">
        <v>1.7409722222222219</v>
      </c>
      <c r="AC8" s="273">
        <v>1.6937500000000001</v>
      </c>
      <c r="AD8" s="273">
        <v>1.5979166666666671</v>
      </c>
      <c r="AE8" s="267"/>
      <c r="AF8" s="268" t="s">
        <v>39</v>
      </c>
    </row>
    <row r="9" spans="1:84" ht="15.75" customHeight="1" thickBot="1" x14ac:dyDescent="0.3">
      <c r="A9" s="461"/>
      <c r="B9" s="455"/>
      <c r="C9" s="837" t="s">
        <v>40</v>
      </c>
      <c r="D9" s="842"/>
      <c r="E9" s="842"/>
      <c r="F9" s="838"/>
      <c r="G9" s="455"/>
      <c r="H9" s="455"/>
      <c r="I9" s="455"/>
      <c r="J9" s="455"/>
      <c r="K9" s="752"/>
      <c r="L9" s="752"/>
      <c r="M9" s="752"/>
      <c r="N9" s="752"/>
      <c r="O9" s="455"/>
      <c r="P9" s="455"/>
      <c r="Q9" s="174"/>
      <c r="S9" s="860" t="s">
        <v>41</v>
      </c>
      <c r="T9" s="842"/>
      <c r="U9" s="838"/>
      <c r="Z9" s="116"/>
      <c r="AA9" s="269" t="s">
        <v>42</v>
      </c>
      <c r="AB9" s="273">
        <v>1.680555555555556</v>
      </c>
      <c r="AC9" s="273">
        <v>1.5972222222222221</v>
      </c>
      <c r="AD9" s="273">
        <v>1.5277777777777779</v>
      </c>
      <c r="AE9" s="267"/>
      <c r="AF9" s="268" t="s">
        <v>43</v>
      </c>
    </row>
    <row r="10" spans="1:84" ht="15.75" customHeight="1" thickBot="1" x14ac:dyDescent="0.3">
      <c r="A10" s="461"/>
      <c r="B10" s="455"/>
      <c r="C10" s="866" t="s">
        <v>6</v>
      </c>
      <c r="D10" s="851"/>
      <c r="E10" s="869" t="s">
        <v>7</v>
      </c>
      <c r="F10" s="848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174"/>
      <c r="S10" s="867" t="s">
        <v>44</v>
      </c>
      <c r="T10" s="833" t="s">
        <v>45</v>
      </c>
      <c r="U10" s="845" t="s">
        <v>46</v>
      </c>
      <c r="Z10" s="116"/>
      <c r="AA10" s="269" t="s">
        <v>47</v>
      </c>
      <c r="AB10" s="273">
        <v>4.645833333333333</v>
      </c>
      <c r="AC10" s="273">
        <v>4.645833333333333</v>
      </c>
      <c r="AD10" s="273">
        <v>4.645833333333333</v>
      </c>
      <c r="AE10" s="267"/>
      <c r="AF10" s="268" t="s">
        <v>48</v>
      </c>
    </row>
    <row r="11" spans="1:84" ht="15.75" customHeight="1" thickBot="1" x14ac:dyDescent="0.3">
      <c r="A11" s="461"/>
      <c r="B11" s="465" t="s">
        <v>49</v>
      </c>
      <c r="C11" s="443"/>
      <c r="D11" s="466"/>
      <c r="E11" s="467"/>
      <c r="F11" s="468"/>
      <c r="G11" s="455"/>
      <c r="H11" s="455"/>
      <c r="I11" s="879" t="s">
        <v>50</v>
      </c>
      <c r="J11" s="854"/>
      <c r="K11" s="853" t="s">
        <v>3</v>
      </c>
      <c r="L11" s="854"/>
      <c r="M11" s="853" t="s">
        <v>13</v>
      </c>
      <c r="N11" s="854"/>
      <c r="O11" s="853" t="str">
        <f>IF($F$6=1,"Geodetic (at elevation)","Geodetic (on ellipsoid)")</f>
        <v>Geodetic (at elevation)</v>
      </c>
      <c r="P11" s="854"/>
      <c r="Q11" s="174"/>
      <c r="S11" s="868"/>
      <c r="T11" s="834"/>
      <c r="U11" s="836"/>
      <c r="Z11" s="116"/>
      <c r="AA11" s="269" t="s">
        <v>51</v>
      </c>
      <c r="AB11" s="267">
        <v>1000000</v>
      </c>
      <c r="AC11" s="267">
        <v>2000000</v>
      </c>
      <c r="AD11" s="267">
        <v>3000000</v>
      </c>
      <c r="AE11" s="267"/>
      <c r="AF11" s="268" t="s">
        <v>52</v>
      </c>
    </row>
    <row r="12" spans="1:84" ht="15.75" customHeight="1" x14ac:dyDescent="0.25">
      <c r="A12" s="461"/>
      <c r="B12" s="465" t="s">
        <v>53</v>
      </c>
      <c r="C12" s="444"/>
      <c r="D12" s="469"/>
      <c r="E12" s="470"/>
      <c r="F12" s="471"/>
      <c r="G12" s="455"/>
      <c r="H12" s="455"/>
      <c r="I12" s="741" t="s">
        <v>20</v>
      </c>
      <c r="J12" s="472" t="s">
        <v>54</v>
      </c>
      <c r="K12" s="737" t="s">
        <v>8</v>
      </c>
      <c r="L12" s="472" t="s">
        <v>9</v>
      </c>
      <c r="M12" s="737" t="s">
        <v>8</v>
      </c>
      <c r="N12" s="472" t="s">
        <v>9</v>
      </c>
      <c r="O12" s="473" t="s">
        <v>9</v>
      </c>
      <c r="P12" s="738" t="s">
        <v>8</v>
      </c>
      <c r="Q12" s="174"/>
      <c r="S12" s="846" t="s">
        <v>13</v>
      </c>
      <c r="T12" s="847"/>
      <c r="U12" s="848"/>
      <c r="X12" s="180"/>
      <c r="Z12" s="116"/>
      <c r="AA12" s="269" t="s">
        <v>55</v>
      </c>
      <c r="AB12" s="267">
        <v>500000</v>
      </c>
      <c r="AC12" s="267">
        <v>500000</v>
      </c>
      <c r="AD12" s="267">
        <v>500000</v>
      </c>
      <c r="AE12" s="267"/>
      <c r="AF12" s="268" t="s">
        <v>56</v>
      </c>
      <c r="AO12" s="831" t="s">
        <v>57</v>
      </c>
      <c r="AP12" s="832"/>
      <c r="AQ12" s="832"/>
    </row>
    <row r="13" spans="1:84" ht="15.75" customHeight="1" thickBot="1" x14ac:dyDescent="0.3">
      <c r="A13" s="461"/>
      <c r="B13" s="465" t="s">
        <v>58</v>
      </c>
      <c r="C13" s="448"/>
      <c r="D13" s="474"/>
      <c r="E13" s="475"/>
      <c r="F13" s="476"/>
      <c r="G13" s="455"/>
      <c r="H13" s="465" t="s">
        <v>49</v>
      </c>
      <c r="I13" s="445"/>
      <c r="J13" s="446"/>
      <c r="K13" s="477" t="str">
        <f>IF(AND(ISNUMBER($I13),ISNUMBER($J13)),$AC$53+($AC$55*($AC$58/(1-$AC$63*SIN(RADIANS($I13))^2)^0.5)*((RADIANS($AC$52-$J13)*COS(RADIANS($I13)))+(1-(TAN(RADIANS($I13))^2)+(($AC$60*(2-$AC$60)/(1-$AC$60)^2)*COS(RADIANS($I13))^2))*(RADIANS($AC$52-$J13)*COS(RADIANS($I13)))^3/6+(5-18*(TAN(RADIANS($I13))^2)+(($AC$60*(2-$AC$60)/(1-$AC$60)^2)*COS(RADIANS($I13))^2)^2+72*(($AC$60*(2-$AC$60)/(1-$AC$60)^2)*COS(RADIANS($I13))^2)-58*($AC$60*(2-$AC$60)/(1-$AC$60)^2))*(RADIANS($AC$52-$J13)*COS(RADIANS($I13)))^5/120)),"")</f>
        <v/>
      </c>
      <c r="L13" s="478" t="str">
        <f>IF(AND(ISNUMBER($I13),ISNUMBER($J13)),$AC$55*(($AC$58*((1-$AC$63/4-3*$AC$63^2/64-5*$AC$63^3/256)*RADIANS($I13)-(3*$AC$63/8+3*$AC$63^2/32+45*$AC$63^3/1024)*SIN(2*RADIANS($I13))+(15*$AC$63^2/256+45*$AC$63^3/1024)*SIN(4*RADIANS($I13))-(35*$AC$63^3/3072)*SIN(6*RADIANS($I13))))+($AC$58/(1-$AC$63*SIN(RADIANS($I13))^2)^0.5)*TAN(RADIANS($I13))*((RADIANS($AC$52-$J13)*COS(RADIANS($I13)))^2/2+(5-(TAN(RADIANS($I13))^2)+9*(($AC$60*(2-$AC$60)/(1-$AC$60)^2)*COS(RADIANS($I13))^2)+4*(($AC$60*(2-$AC$60)/(1-$AC$60)^2)*COS(RADIANS($I13))^2)^2)*(RADIANS($AC$52-$J13)*COS(RADIANS($I13)))^4/24+(61-58*(TAN(RADIANS($I13))^2)+(TAN(RADIANS($I13))^2)^2+600*(($AC$60*(2-$AC$60)/(1-$AC$60)^2)*COS(RADIANS($I13))^2)-330*($AC$60*(2-$AC$60)/(1-$AC$60)^2))*(RADIANS($AC$52-$J13)*COS(RADIANS($I13)))^6/720)),"")</f>
        <v/>
      </c>
      <c r="M13" s="477" t="str">
        <f>IF(AND(ISNUMBER($I$13),ISNUMBER($J$13)),IF($G$44=1,(($AB$18-($I$13-$AB$15)*($AB$26+($I$13-$AB$15)*($AB$27+($I$13-$AB$15)*($AB$28+($I$13-$AB$15)*$AB$29))))*SIN(RADIANS(((111.5-$J$13)*$AB$16)))+$AB$12)*3937/1200,IF($G$44=2,(($AC$18-($I$13-$AC$15)*($AC$26+($I$13-$AC$15)*($AC$27+($I$13-$AC$15)*($AC$28+($I$13-$AC$15)*$AC$29))))*SIN(RADIANS(((111.5-$J$13)*$AC$16)))+$AC$12)*3937/1200,(($AD$18-($I$13-$AD$15)*($AD$26+($I$13-$AD$15)*($AD$27+($I$13-$AD$15)*($AD$28+($I$13-$AD$15)*$AD$29))))*SIN(RADIANS(((111.5-$J$13)*$AD$16)))+$AD$12)*3937/1200)),"")</f>
        <v/>
      </c>
      <c r="N13" s="478" t="str">
        <f>IF(AND(ISNUMBER($I$13),ISNUMBER($J$13)),IF($G$44=1,(($I$13-$AB$15)*($AB$26+($I$13-$AB$15)*($AB$27+($I$13-$AB$15)*($AB$28+($I$13-$AB$15)*$AB$29)))+($AB$18-($I$13-$AB$15)*($AB$26+($I$13-$AB$15)*($AB$27+($I$13-$AB$15)*($AB$28+($I$13-$AB$15)*$AB$29))))*SIN(RADIANS(((111.5-$J$13)*$AB$16)))*TAN(RADIANS(((111.5-$J$13)*$AB$16))/2)+$AB$19)*3937/1200,IF($G$44=2,(($I$13-$AC$15)*($AC$26+($I$13-$AC$15)*($AC$27+($I$13-$AC$15)*($AC$28+($I$13-$AC$15)*$AC$29)))+($AC$18-($I$13-$AC$15)*($AC$26+($I$13-$AC$15)*($AC$27+($I$13-$AC$15)*($AC$28+($I$13-$AC$15)*$AC$29))))*SIN(RADIANS(((111.5-$J$13)*$AC$16)))*TAN(RADIANS(((111.5-$J$13)*$AC$16))/2)+$AC$19)*3937/1200,(($I$13-$AD$15)*($AD$26+($I$13-$AD$15)*($AD$27+($I$13-$AD$15)*($AD$28+($I$13-$AD$15)*$AD$29)))+($AD$18-($I$13-$AD$15)*($AD$26+($I$13-$AD$15)*($AD$27+($I$13-$AD$15)*($AD$28+($I$13-$AD$15)*$AD$29))))*SIN(RADIANS(((111.5-$J$13)*$AD$16)))*TAN(RADIANS(((111.5-$J$13)*$AD$16))/2)+$AD$19)*3937/1200)),"")</f>
        <v/>
      </c>
      <c r="O13" s="479"/>
      <c r="P13" s="480"/>
      <c r="Q13" s="174"/>
      <c r="R13" s="313" t="s">
        <v>59</v>
      </c>
      <c r="S13" s="375" t="e">
        <f>SQRT(SUMSQ($M$13-$M$14,$N$13-$N$14))</f>
        <v>#VALUE!</v>
      </c>
      <c r="T13" s="376" t="e">
        <f>IF((ATAN2(($N$13-$N$14),($M$13-$M$14))+PI())&lt;PI(),ROUND(DEGREES(ATAN2(($N$13-$N$14),($M$13-$M$14))+PI()),7),ROUND(DEGREES(ATAN2(($N$13-$N$14),($M$13-$M$14))+PI())-360,7))</f>
        <v>#VALUE!</v>
      </c>
      <c r="U13" s="297" t="e">
        <f>IF($T13&lt;0,IF(ABS($T13)&lt;90,CONCATENATE(IF(($N$13-$N$14)&lt;0,"N ","S "),ABS(TRUNC(-$T13)),$T$51,ABS(TRUNC((-$T13-TRUNC(-$T13))*60)),"' ",ROUND(ABS((-$T13-TRUNC(-$T13))*60-TRUNC((-$T13-TRUNC(-$T13))*60))*60,2),$T$52,IF(($M$13-$M$14)&gt;0,"W ","E ")),CONCATENATE(IF(($N$13-$N$14)&lt;0,"N ","S "),ABS(TRUNC(180+$T13)),$T$51,ABS(TRUNC((180+$T13-TRUNC(180+$T13))*60)),"' ",ROUND(ABS((180+$T13-TRUNC(180+$T13))*60-TRUNC((180+$T13-TRUNC(180+$T13))*60))*60,2),$T$52,IF(($N$13-$N$14)&gt;0,"W ","E "))),IF($T13&lt;90,CONCATENATE(IF(($N$13-$N$14)&lt;0,"N ","S "),ABS(TRUNC($T13)),$T$51,ABS(TRUNC(($T13-TRUNC($T13))*60)),"' ",ROUND(ABS(($T13-TRUNC($T13))*60-TRUNC(($T13-TRUNC($T13))*60))*60,2),$T$52,IF(($M$13-$M$14)&gt;0,"W ","E ")),CONCATENATE(IF(($N$13-$N$14)&lt;0,"N ","S "),ABS(TRUNC(180-$T13)),$T$51,ABS(TRUNC((180-$T13-TRUNC(180-$T13))*60)),"' ",ROUND(ABS((180-$T13-TRUNC(180-$T13))*60-TRUNC((180-$T13-TRUNC(180-$T13))*60))*60,2),$T$52,IF(($M$13-$M$14)&gt;0,"W ","E "))))</f>
        <v>#VALUE!</v>
      </c>
      <c r="Y13" s="377"/>
      <c r="AA13" s="269"/>
      <c r="AB13" s="267"/>
      <c r="AC13" s="267"/>
      <c r="AD13" s="267"/>
      <c r="AE13" s="267"/>
      <c r="AF13" s="268"/>
      <c r="AH13" s="341" t="s">
        <v>60</v>
      </c>
      <c r="AI13" s="341" t="s">
        <v>61</v>
      </c>
      <c r="AJ13" s="341" t="s">
        <v>62</v>
      </c>
      <c r="AK13" s="341" t="s">
        <v>63</v>
      </c>
      <c r="AL13" s="341" t="s">
        <v>64</v>
      </c>
      <c r="AM13" s="341" t="s">
        <v>65</v>
      </c>
      <c r="AN13" s="341" t="s">
        <v>66</v>
      </c>
      <c r="AO13" s="341" t="s">
        <v>67</v>
      </c>
      <c r="AP13" s="735" t="s">
        <v>68</v>
      </c>
      <c r="AQ13" s="341" t="s">
        <v>69</v>
      </c>
    </row>
    <row r="14" spans="1:84" ht="15.75" customHeight="1" thickBot="1" x14ac:dyDescent="0.3">
      <c r="A14" s="461"/>
      <c r="B14" s="455"/>
      <c r="C14" s="455"/>
      <c r="D14" s="455"/>
      <c r="E14" s="455"/>
      <c r="F14" s="455"/>
      <c r="G14" s="455"/>
      <c r="H14" s="465" t="s">
        <v>53</v>
      </c>
      <c r="I14" s="447"/>
      <c r="J14" s="446"/>
      <c r="K14" s="477" t="str">
        <f>IF(AND(ISNUMBER($I14),ISNUMBER($J14)),$AC$53+($AC$55*($AC$58/(1-$AC$63*SIN(RADIANS($I14))^2)^0.5)*((RADIANS($AC$52-$J14)*COS(RADIANS($I14)))+(1-(TAN(RADIANS($I14))^2)+(($AC$60*(2-$AC$60)/(1-$AC$60)^2)*COS(RADIANS($I14))^2))*(RADIANS($AC$52-$J14)*COS(RADIANS($I14)))^3/6+(5-18*(TAN(RADIANS($I14))^2)+(($AC$60*(2-$AC$60)/(1-$AC$60)^2)*COS(RADIANS($I14))^2)^2+72*(($AC$60*(2-$AC$60)/(1-$AC$60)^2)*COS(RADIANS($I14))^2)-58*($AC$60*(2-$AC$60)/(1-$AC$60)^2))*(RADIANS($AC$52-$J14)*COS(RADIANS($I14)))^5/120)),"")</f>
        <v/>
      </c>
      <c r="L14" s="478" t="str">
        <f>IF(AND(ISNUMBER($I14),ISNUMBER($J14)),$AC$55*(($AC$58*((1-$AC$63/4-3*$AC$63^2/64-5*$AC$63^3/256)*RADIANS($I14)-(3*$AC$63/8+3*$AC$63^2/32+45*$AC$63^3/1024)*SIN(2*RADIANS($I14))+(15*$AC$63^2/256+45*$AC$63^3/1024)*SIN(4*RADIANS($I14))-(35*$AC$63^3/3072)*SIN(6*RADIANS($I14))))+($AC$58/(1-$AC$63*SIN(RADIANS($I14))^2)^0.5)*TAN(RADIANS($I14))*((RADIANS($AC$52-$J14)*COS(RADIANS($I14)))^2/2+(5-(TAN(RADIANS($I14))^2)+9*(($AC$60*(2-$AC$60)/(1-$AC$60)^2)*COS(RADIANS($I14))^2)+4*(($AC$60*(2-$AC$60)/(1-$AC$60)^2)*COS(RADIANS($I14))^2)^2)*(RADIANS($AC$52-$J14)*COS(RADIANS($I14)))^4/24+(61-58*(TAN(RADIANS($I14))^2)+(TAN(RADIANS($I14))^2)^2+600*(($AC$60*(2-$AC$60)/(1-$AC$60)^2)*COS(RADIANS($I14))^2)-330*($AC$60*(2-$AC$60)/(1-$AC$60)^2))*(RADIANS($AC$52-$J14)*COS(RADIANS($I14)))^6/720)),"")</f>
        <v/>
      </c>
      <c r="M14" s="477" t="str">
        <f>IF(AND(ISNUMBER($I$14),ISNUMBER($J$14)),IF($G$44=1,(($AB$18-($I$14-$AB$15)*($AB$26+($I$14-$AB$15)*($AB$27+($I$14-$AB$15)*($AB$28+($I$14-$AB$15)*$AB$29))))*SIN(RADIANS(((111.5-$J$14)*$AB$16)))+$AB$12)*3937/1200,IF($G$44=2,(($AC$18-($I$14-$AC$15)*($AC$26+($I$14-$AC$15)*($AC$27+($I$14-$AC$15)*($AC$28+($I$14-$AC$15)*$AC$29))))*SIN(RADIANS(((111.5-$J$14)*$AC$16)))+$AC$12)*3937/1200,(($AD$18-($I$14-$AD$15)*($AD$26+($I$14-$AD$15)*($AD$27+($I$14-$AD$15)*($AD$28+($I$14-$AD$15)*$AD$29))))*SIN(RADIANS(((111.5-$J$14)*$AD$16)))+$AD$12)*3937/1200)),"")</f>
        <v/>
      </c>
      <c r="N14" s="478" t="str">
        <f>IF(AND(ISNUMBER($I$14),ISNUMBER($J$14)),IF($G$44=1,(($I$14-$AB$15)*($AB$26+($I$14-$AB$15)*($AB$27+($I$14-$AB$15)*($AB$28+($I$14-$AB$15)*$AB$29)))+($AB$18-($I$14-$AB$15)*($AB$26+($I$14-$AB$15)*($AB$27+($I$14-$AB$15)*($AB$28+($I$14-$AB$15)*$AB$29))))*SIN(RADIANS(((111.5-$J$14)*$AB$16)))*TAN(RADIANS(((111.5-$J$14)*$AB$16))/2)+$AB$19)*3937/1200,IF($G$44=2,(($I$14-$AC$15)*($AC$26+($I$14-$AC$15)*($AC$27+($I$14-$AC$15)*($AC$28+($I$14-$AC$15)*$AC$29)))+($AC$18-($I$14-$AC$15)*($AC$26+($I$14-$AC$15)*($AC$27+($I$14-$AC$15)*($AC$28+($I$14-$AC$15)*$AC$29))))*SIN(RADIANS(((111.5-$J$14)*$AC$16)))*TAN(RADIANS(((111.5-$J$14)*$AC$16))/2)+$AC$19)*3937/1200,(($I$14-$AD$15)*($AD$26+($I$14-$AD$15)*($AD$27+($I$14-$AD$15)*($AD$28+($I$14-$AD$15)*$AD$29)))+($AD$18-($I$14-$AD$15)*($AD$26+($I$14-$AD$15)*($AD$27+($I$14-$AD$15)*($AD$28+($I$14-$AD$15)*$AD$29))))*SIN(RADIANS(((111.5-$J$14)*$AD$16)))*TAN(RADIANS(((111.5-$J$14)*$AD$16))/2)+$AD$19)*3937/1200)),"")</f>
        <v/>
      </c>
      <c r="O14" s="479"/>
      <c r="P14" s="480"/>
      <c r="Q14" s="174"/>
      <c r="R14" s="313" t="s">
        <v>70</v>
      </c>
      <c r="S14" s="378" t="e">
        <f>SQRT(SUMSQ($M$14-$M$15,$N$14-$N$15))</f>
        <v>#VALUE!</v>
      </c>
      <c r="T14" s="379" t="e">
        <f>IF((ATAN2(($N$14-$N$15),($M$14-$M$15))+PI())&lt;PI(),ROUND(DEGREES(ATAN2(($N$14-$N$15),($M$14-$M$15))+PI()),7),ROUND(DEGREES(ATAN2(($N$14-$N$15),($M$14-$M$15))+PI())-360,7))</f>
        <v>#VALUE!</v>
      </c>
      <c r="U14" s="254" t="e">
        <f>IF($T14&lt;0,IF(ABS($T14)&lt;90,CONCATENATE(IF(($N$14-$N$15)&lt;0,"N ","S "),ABS(TRUNC(-$T14)),$T$51,ABS(TRUNC((-$T14-TRUNC(-$T14))*60)),"' ",ROUND(ABS((-$T14-TRUNC(-$T14))*60-TRUNC((-$T14-TRUNC(-$T14))*60))*60,2),$T$52,IF(($M$14-$M$15)&gt;0,"W ","E ")),CONCATENATE(IF(($N$14-$N$15)&lt;0,"N ","S "),ABS(TRUNC(180+$T14)),$T$51,ABS(TRUNC((180+$T14-TRUNC(180+$T14))*60)),"' ",ROUND(ABS((180+$T14-TRUNC(180+$T14))*60-TRUNC((180+$T14-TRUNC(180+$T14))*60))*60,2),$T$52,IF(($N$14-$N$15)&gt;0,"W ","E "))),IF($T14&lt;90,CONCATENATE(IF(($N$14-$N$15)&lt;0,"N ","S "),ABS(TRUNC($T14)),$T$51,ABS(TRUNC(($T14-TRUNC($T14))*60)),"' ",ROUND(ABS(($T14-TRUNC($T14))*60-TRUNC(($T14-TRUNC($T14))*60))*60,2),$T$52,IF(($M$14-$M$15)&gt;0,"W ","E ")),CONCATENATE(IF(($N$14-$N$15)&lt;0,"N ","S "),ABS(TRUNC(180-$T14)),$T$51,ABS(TRUNC((180-$T14-TRUNC(180-$T14))*60)),"' ",ROUND(ABS((180-$T14-TRUNC(180-$T14))*60-TRUNC((180-$T14-TRUNC(180-$T14))*60))*60,2),$T$52,IF(($M$14-$M$15)&gt;0,"W ","E "))))</f>
        <v>#VALUE!</v>
      </c>
      <c r="Y14" s="377"/>
      <c r="AA14" s="272" t="s">
        <v>71</v>
      </c>
      <c r="AB14" s="267"/>
      <c r="AC14" s="267"/>
      <c r="AD14" s="267"/>
      <c r="AE14" s="267"/>
      <c r="AF14" s="268"/>
      <c r="AG14" s="439" t="s">
        <v>16</v>
      </c>
      <c r="AH14" s="345" t="e">
        <f>$AK$6*($AI$6/($AI$6-17+$G$19*0.3048))*1200/3937/$AB$44/((1+1/4*(((1+((1-(COS((ATAN((1-$AB$45)*TAN(RADIANS($I13)))))*SIN($AL$6))^2)*$AB$48))^0.5-1)/((1+((1-(COS((ATAN((1-$AB$45)*TAN(RADIANS($I13)))))*SIN($AL$6))^2)*$AB$48))^0.5+1))^2)/(1-((1+((1-(COS((ATAN((1-$AB$45)*TAN(RADIANS($I13)))))*SIN($AL$6))^2)*$AB$48))^0.5-1)/((1+((1-(COS((ATAN((1-$AB$45)*TAN(RADIANS($I13)))))*SIN($AL$6))^2)*$AB$48))^0.5+1)))</f>
        <v>#VALUE!</v>
      </c>
      <c r="AI14" s="345" t="e">
        <f>(((1-(COS((ATAN((1-$AB$45)*TAN(RADIANS($I13)))))*SIN($AL$6))^2)*$AB$48)/512*(128+((1-(COS((ATAN((1-$AB$45)*TAN(RADIANS($I13)))))*SIN($AL$6))^2)*$AB$48)*(-64+37*((1-(COS((ATAN((1-$AB$45)*TAN(RADIANS($I13)))))*SIN($AL$6))^2)*$AB$48))))*SIN(AH14)*((COS(2*ATAN2(COS($AL$6),TAN((ATAN((1-$AB$45)*TAN(RADIANS($I13))))))+AH14))+1/4*(((1-(COS((ATAN((1-$AB$45)*TAN(RADIANS($I13)))))*SIN($AL$6))^2)*$AB$48)/512*(128+((1-(COS((ATAN((1-$AB$45)*TAN(RADIANS($I13)))))*SIN($AL$6))^2)*$AB$48)*(-64+37*((1-(COS((ATAN((1-$AB$45)*TAN(RADIANS($I13)))))*SIN($AL$6))^2)*$AB$48))))*(COS(AH14)*(-1+2*(COS(2*ATAN2(COS($AL$6),TAN((ATAN((1-$AB$45)*TAN(RADIANS($I13))))))+AH14))^2)))</f>
        <v>#VALUE!</v>
      </c>
      <c r="AJ14" s="345" t="e">
        <f>$AK$6*($AI$6/($AI$6-17+$G$19*0.3048))*1200/3937/$AB$44/((1+1/4*(((1+((1-(COS((ATAN((1-$AB$45)*TAN(RADIANS($I13)))))*SIN($AL$6))^2)*$AB$48))^0.5-1)/((1+((1-(COS((ATAN((1-$AB$45)*TAN(RADIANS($I13)))))*SIN($AL$6))^2)*$AB$48))^0.5+1))^2)/(1-((1+((1-(COS((ATAN((1-$AB$45)*TAN(RADIANS($I13)))))*SIN($AL$6))^2)*$AB$48))^0.5-1)/((1+((1-(COS((ATAN((1-$AB$45)*TAN(RADIANS($I13)))))*SIN($AL$6))^2)*$AB$48))^0.5+1)))+AI14</f>
        <v>#VALUE!</v>
      </c>
      <c r="AK14" s="345" t="e">
        <f>(((1-(COS((ATAN((1-$AB$45)*TAN(RADIANS($I13)))))*SIN($AL$6))^2)*$AB$48)/512*(128+((1-(COS((ATAN((1-$AB$45)*TAN(RADIANS($I13)))))*SIN($AL$6))^2)*$AB$48)*(-64+37*((1-(COS((ATAN((1-$AB$45)*TAN(RADIANS($I13)))))*SIN($AL$6))^2)*$AB$48))))*SIN(AJ14)*((COS(2*ATAN2(COS($AL$6),TAN((ATAN((1-$AB$45)*TAN(RADIANS($I13))))))+AJ14))+1/4*(((1-(COS((ATAN((1-$AB$45)*TAN(RADIANS($I13)))))*SIN($AL$6))^2)*$AB$48)/512*(128+((1-(COS((ATAN((1-$AB$45)*TAN(RADIANS($I13)))))*SIN($AL$6))^2)*$AB$48)*(-64+37*((1-(COS((ATAN((1-$AB$45)*TAN(RADIANS($I13)))))*SIN($AL$6))^2)*$AB$48))))*(COS(AJ14)*(-1+2*(COS(2*ATAN2(COS($AL$6),TAN((ATAN((1-$AB$45)*TAN(RADIANS($I13))))))+AJ14))^2)))</f>
        <v>#VALUE!</v>
      </c>
      <c r="AL14" s="345" t="e">
        <f>$AK$6*($AI$6/($AI$6-17+$G$19*0.3048))*1200/3937/$AB$44/((1+1/4*(((1+((1-(COS((ATAN((1-$AB$45)*TAN(RADIANS($I13)))))*SIN($AL$6))^2)*$AB$48))^0.5-1)/((1+((1-(COS((ATAN((1-$AB$45)*TAN(RADIANS($I13)))))*SIN($AL$6))^2)*$AB$48))^0.5+1))^2)/(1-((1+((1-(COS((ATAN((1-$AB$45)*TAN(RADIANS($I13)))))*SIN($AL$6))^2)*$AB$48))^0.5-1)/((1+((1-(COS((ATAN((1-$AB$45)*TAN(RADIANS($I13)))))*SIN($AL$6))^2)*$AB$48))^0.5+1)))+AK14</f>
        <v>#VALUE!</v>
      </c>
      <c r="AM14" s="345" t="e">
        <f>(((1-(COS((ATAN((1-$AB$45)*TAN(RADIANS($I13)))))*SIN($AL$6))^2)*$AB$48)/512*(128+((1-(COS((ATAN((1-$AB$45)*TAN(RADIANS($I13)))))*SIN($AL$6))^2)*$AB$48)*(-64+37*((1-(COS((ATAN((1-$AB$45)*TAN(RADIANS($I13)))))*SIN($AL$6))^2)*$AB$48))))*SIN(AL14)*((COS(2*ATAN2(COS($AL$6),TAN((ATAN((1-$AB$45)*TAN(RADIANS($I13))))))+AL14))+1/4*(((1-(COS((ATAN((1-$AB$45)*TAN(RADIANS($I13)))))*SIN($AL$6))^2)*$AB$48)/512*(128+((1-(COS((ATAN((1-$AB$45)*TAN(RADIANS($I13)))))*SIN($AL$6))^2)*$AB$48)*(-64+37*((1-(COS((ATAN((1-$AB$45)*TAN(RADIANS($I13)))))*SIN($AL$6))^2)*$AB$48))))*(COS(AL14)*(-1+2*(COS(2*ATAN2(COS($AL$6),TAN((ATAN((1-$AB$45)*TAN(RADIANS($I13))))))+AL14))^2)))</f>
        <v>#VALUE!</v>
      </c>
      <c r="AN14" s="345" t="e">
        <f>$AK$6*($AI$6/($AI$6-17+$G$19*0.3048))*1200/3937/$AB$44/((1+1/4*(((1+((1-(COS((ATAN((1-$AB$45)*TAN(RADIANS($I13)))))*SIN($AL$6))^2)*$AB$48))^0.5-1)/((1+((1-(COS((ATAN((1-$AB$45)*TAN(RADIANS($I13)))))*SIN($AL$6))^2)*$AB$48))^0.5+1))^2)/(1-((1+((1-(COS((ATAN((1-$AB$45)*TAN(RADIANS($I13)))))*SIN($AL$6))^2)*$AB$48))^0.5-1)/((1+((1-(COS((ATAN((1-$AB$45)*TAN(RADIANS($I13)))))*SIN($AL$6))^2)*$AB$48))^0.5+1)))+AM14</f>
        <v>#VALUE!</v>
      </c>
      <c r="AO14" s="414" t="e">
        <f>ATAN2((1-$AB$45)*((COS((ATAN((1-$AB$45)*TAN(RADIANS($I13)))))*SIN($AL$6))^2+(SIN((ATAN((1-$AB$45)*TAN(RADIANS($I13)))))*SIN($AN14)-COS((ATAN((1-$AB$45)*TAN(RADIANS($I13)))))*COS($AN14)*COS($AL$6))^2)^0.5,SIN((ATAN((1-$AB$45)*TAN(RADIANS($I13)))))*COS($AN14)+COS((ATAN((1-$AB$45)*TAN(RADIANS($I13)))))*SIN($AN14)*COS($AL$6))</f>
        <v>#VALUE!</v>
      </c>
      <c r="AP14" s="414" t="e">
        <f>(ATAN2(COS((ATAN((1-$AB$45)*TAN(RADIANS($I13)))))*COS($AN14)-SIN((ATAN((1-$AB$45)*TAN(RADIANS($I13)))))*SIN($AN14)*COS($AL$6),SIN($AN14)*SIN($AL$6))-(1-($AB$45/16*(1-(COS((ATAN((1-$AB$45)*TAN(RADIANS($I13)))))*SIN($AL$6))^2)*(4+$AB$45*(4-3*(1-(COS((ATAN((1-$AB$45)*TAN(RADIANS($I13)))))*SIN($AL$6))^2)))))*$AB$45*(COS((ATAN((1-$AB$45)*TAN(RADIANS($I13)))))*SIN($AL$6))*($AN14+($AB$45/16*(1-(COS((ATAN((1-$AB$45)*TAN(RADIANS($I13)))))*SIN($AL$6))^2)*(4+$AB$45*(4-3*(1-(COS((ATAN((1-$AB$45)*TAN(RADIANS($I13)))))*SIN($AL$6))^2))))*SIN($AN14)*((COS(2*ATAN2(COS($AL$6),TAN((ATAN((1-$AB$45)*TAN(RADIANS($I13))))))+$AN14))+($AB$45/16*(1-(COS((ATAN((1-$AB$45)*TAN(RADIANS($I13)))))*SIN($AL$6))^2)*(4+$AB$45*(4-3*(1-(COS((ATAN((1-$AB$45)*TAN(RADIANS($I13)))))*SIN($AL$6))^2))))*COS($AN14)*(-1+2*(COS(2*ATAN2(COS($AL$6),TAN((ATAN((1-$AB$45)*TAN(RADIANS($I13))))))+$AN14))^2))))+RADIANS(-$J13)</f>
        <v>#VALUE!</v>
      </c>
      <c r="AQ14" s="414" t="e">
        <f>ATAN2((-SIN((ATAN((1-$AB$45)*TAN(RADIANS($I13)))))*SIN($AN14)+COS((ATAN((1-$AB$45)*TAN(RADIANS($I13)))))*COS($AN14)*COS($AL$6)),(COS((ATAN((1-$AB$45)*TAN(RADIANS($I13)))))*SIN($AL$6)))</f>
        <v>#VALUE!</v>
      </c>
    </row>
    <row r="15" spans="1:84" ht="15.75" customHeight="1" thickBot="1" x14ac:dyDescent="0.3">
      <c r="A15" s="461"/>
      <c r="B15" s="455"/>
      <c r="C15" s="734" t="s">
        <v>72</v>
      </c>
      <c r="D15" s="855" t="s">
        <v>73</v>
      </c>
      <c r="E15" s="847"/>
      <c r="F15" s="883" t="s">
        <v>74</v>
      </c>
      <c r="G15" s="848"/>
      <c r="H15" s="465" t="s">
        <v>58</v>
      </c>
      <c r="I15" s="449"/>
      <c r="J15" s="450"/>
      <c r="K15" s="477" t="str">
        <f>IF(AND(ISNUMBER($I15),ISNUMBER($J15)),$AC$53+($AC$55*($AC$58/(1-$AC$63*SIN(RADIANS($I15))^2)^0.5)*((RADIANS($AC$52-$J15)*COS(RADIANS($I15)))+(1-(TAN(RADIANS($I15))^2)+(($AC$60*(2-$AC$60)/(1-$AC$60)^2)*COS(RADIANS($I15))^2))*(RADIANS($AC$52-$J15)*COS(RADIANS($I15)))^3/6+(5-18*(TAN(RADIANS($I15))^2)+(($AC$60*(2-$AC$60)/(1-$AC$60)^2)*COS(RADIANS($I15))^2)^2+72*(($AC$60*(2-$AC$60)/(1-$AC$60)^2)*COS(RADIANS($I15))^2)-58*($AC$60*(2-$AC$60)/(1-$AC$60)^2))*(RADIANS($AC$52-$J15)*COS(RADIANS($I15)))^5/120)),"")</f>
        <v/>
      </c>
      <c r="L15" s="478" t="str">
        <f>IF(AND(ISNUMBER($I15),ISNUMBER($J15)),$AC$55*(($AC$58*((1-$AC$63/4-3*$AC$63^2/64-5*$AC$63^3/256)*RADIANS($I15)-(3*$AC$63/8+3*$AC$63^2/32+45*$AC$63^3/1024)*SIN(2*RADIANS($I15))+(15*$AC$63^2/256+45*$AC$63^3/1024)*SIN(4*RADIANS($I15))-(35*$AC$63^3/3072)*SIN(6*RADIANS($I15))))+($AC$58/(1-$AC$63*SIN(RADIANS($I15))^2)^0.5)*TAN(RADIANS($I15))*((RADIANS($AC$52-$J15)*COS(RADIANS($I15)))^2/2+(5-(TAN(RADIANS($I15))^2)+9*(($AC$60*(2-$AC$60)/(1-$AC$60)^2)*COS(RADIANS($I15))^2)+4*(($AC$60*(2-$AC$60)/(1-$AC$60)^2)*COS(RADIANS($I15))^2)^2)*(RADIANS($AC$52-$J15)*COS(RADIANS($I15)))^4/24+(61-58*(TAN(RADIANS($I15))^2)+(TAN(RADIANS($I15))^2)^2+600*(($AC$60*(2-$AC$60)/(1-$AC$60)^2)*COS(RADIANS($I15))^2)-330*($AC$60*(2-$AC$60)/(1-$AC$60)^2))*(RADIANS($AC$52-$J15)*COS(RADIANS($I15)))^6/720)),"")</f>
        <v/>
      </c>
      <c r="M15" s="477" t="str">
        <f>IF(AND(ISNUMBER($I$15),ISNUMBER($J$15)),IF($G$44=1,(($AB$18-($I$15-$AB$15)*($AB$26+($I$15-$AB$15)*($AB$27+($I$15-$AB$15)*($AB$28+($I$15-$AB$15)*$AB$29))))*SIN(RADIANS(((111.5-$J$15)*$AB$16)))+$AB$12)*3937/1200,IF($G$44=2,(($AC$18-($I$15-$AC$15)*($AC$26+($I$15-$AC$15)*($AC$27+($I$15-$AC$15)*($AC$28+($I$15-$AC$15)*$AC$29))))*SIN(RADIANS(((111.5-$J$15)*$AC$16)))+$AC$12)*3937/1200,(($AD$18-($I$15-$AD$15)*($AD$26+($I$15-$AD$15)*($AD$27+($I$15-$AD$15)*($AD$28+($I$15-$AD$15)*$AD$29))))*SIN(RADIANS(((111.5-$J$15)*$AD$16)))+$AD$12)*3937/1200)),"")</f>
        <v/>
      </c>
      <c r="N15" s="478" t="str">
        <f>IF(AND(ISNUMBER($I$15),ISNUMBER($J$15)),IF($G$44=1,(($I$15-$AB$15)*($AB$26+($I$15-$AB$15)*($AB$27+($I$15-$AB$15)*($AB$28+($I$15-$AB$15)*$AB$29)))+($AB$18-($I$15-$AB$15)*($AB$26+($I$15-$AB$15)*($AB$27+($I$15-$AB$15)*($AB$28+($I$15-$AB$15)*$AB$29))))*SIN(RADIANS(((111.5-$J$15)*$AB$16)))*TAN(RADIANS(((111.5-$J$15)*$AB$16))/2)+$AB$19)*3937/1200,IF($G$44=2,(($I$15-$AC$15)*($AC$26+($I$15-$AC$15)*($AC$27+($I$15-$AC$15)*($AC$28+($I$15-$AC$15)*$AC$29)))+($AC$18-($I$15-$AC$15)*($AC$26+($I$15-$AC$15)*($AC$27+($I$15-$AC$15)*($AC$28+($I$15-$AC$15)*$AC$29))))*SIN(RADIANS(((111.5-$J$15)*$AC$16)))*TAN(RADIANS(((111.5-$J$15)*$AC$16))/2)+$AC$19)*3937/1200,(($I$15-$AD$15)*($AD$26+($I$15-$AD$15)*($AD$27+($I$15-$AD$15)*($AD$28+($I$15-$AD$15)*$AD$29)))+($AD$18-($I$15-$AD$15)*($AD$26+($I$15-$AD$15)*($AD$27+($I$15-$AD$15)*($AD$28+($I$15-$AD$15)*$AD$29))))*SIN(RADIANS(((111.5-$J$15)*$AD$16)))*TAN(RADIANS(((111.5-$J$15)*$AD$16))/2)+$AD$19)*3937/1200)),"")</f>
        <v/>
      </c>
      <c r="O15" s="481"/>
      <c r="P15" s="482"/>
      <c r="Q15" s="174"/>
      <c r="S15" s="846" t="s">
        <v>75</v>
      </c>
      <c r="T15" s="847"/>
      <c r="U15" s="848"/>
      <c r="V15" s="380" t="s">
        <v>76</v>
      </c>
      <c r="Y15" s="377"/>
      <c r="AA15" s="269" t="s">
        <v>77</v>
      </c>
      <c r="AB15" s="267">
        <v>41.250736679799999</v>
      </c>
      <c r="AC15" s="267">
        <v>39.8349774741</v>
      </c>
      <c r="AD15" s="267">
        <v>37.784069624099999</v>
      </c>
      <c r="AE15" s="267"/>
      <c r="AF15" s="268" t="s">
        <v>78</v>
      </c>
      <c r="AG15" s="439" t="s">
        <v>18</v>
      </c>
      <c r="AH15" s="345" t="e">
        <f>$AM$6*($AI$6/($AI$6-17+$G$19*0.3048))*1200/3937/$AB$44/((1+1/4*(((1+((1-(COS((ATAN((1-$AB$45)*TAN(RADIANS($W$6)))))*SIN($AN$6))^2)*$AB$48))^0.5-1)/((1+((1-(COS((ATAN((1-$AB$45)*TAN(RADIANS($W$6)))))*SIN($AN$6))^2)*$AB$48))^0.5+1))^2)/(1-((1+((1-(COS((ATAN((1-$AB$45)*TAN(RADIANS($W$6)))))*SIN($AN$6))^2)*$AB$48))^0.5-1)/((1+((1-(COS((ATAN((1-$AB$45)*TAN(RADIANS($W$6)))))*SIN($AN$6))^2)*$AB$48))^0.5+1)))</f>
        <v>#VALUE!</v>
      </c>
      <c r="AI15" s="345" t="e">
        <f>(((1-(COS((ATAN((1-$AB$45)*TAN(RADIANS($W$6)))))*SIN($AN$6))^2)*$AB$48)/512*(128+((1-(COS((ATAN((1-$AB$45)*TAN(RADIANS($W$6)))))*SIN($AN$6))^2)*$AB$48)*(-64+37*((1-(COS((ATAN((1-$AB$45)*TAN(RADIANS($W$6)))))*SIN($AN$6))^2)*$AB$48))))*SIN(AH15)*((COS(2*ATAN2(COS($AN$6),TAN((ATAN((1-$AB$45)*TAN(RADIANS($W$6))))))+AH15))+1/4*(((1-(COS((ATAN((1-$AB$45)*TAN(RADIANS($W$6)))))*SIN($AN$6))^2)*$AB$48)/512*(128+((1-(COS((ATAN((1-$AB$45)*TAN(RADIANS($W$6)))))*SIN($AN$6))^2)*$AB$48)*(-64+37*((1-(COS((ATAN((1-$AB$45)*TAN(RADIANS($W$6)))))*SIN($AN$6))^2)*$AB$48))))*(COS(AH15)*(-1+2*(COS(2*ATAN2(COS($AN$6),TAN((ATAN((1-$AB$45)*TAN(RADIANS($W$6))))))+AH15))^2)))</f>
        <v>#VALUE!</v>
      </c>
      <c r="AJ15" s="345" t="e">
        <f>$AM$6*($AI$6/($AI$6-17+$G$19*0.3048))*1200/3937/$AB$44/((1+1/4*(((1+((1-(COS((ATAN((1-$AB$45)*TAN(RADIANS($W$6)))))*SIN($AN$6))^2)*$AB$48))^0.5-1)/((1+((1-(COS((ATAN((1-$AB$45)*TAN(RADIANS($W$6)))))*SIN($AN$6))^2)*$AB$48))^0.5+1))^2)/(1-((1+((1-(COS((ATAN((1-$AB$45)*TAN(RADIANS($W$6)))))*SIN($AN$6))^2)*$AB$48))^0.5-1)/((1+((1-(COS((ATAN((1-$AB$45)*TAN(RADIANS($W$6)))))*SIN($AN$6))^2)*$AB$48))^0.5+1)))+AI15</f>
        <v>#VALUE!</v>
      </c>
      <c r="AK15" s="345" t="e">
        <f>(((1-(COS((ATAN((1-$AB$45)*TAN(RADIANS($W$6)))))*SIN($AN$6))^2)*$AB$48)/512*(128+((1-(COS((ATAN((1-$AB$45)*TAN(RADIANS($W$6)))))*SIN($AN$6))^2)*$AB$48)*(-64+37*((1-(COS((ATAN((1-$AB$45)*TAN(RADIANS($W$6)))))*SIN($AN$6))^2)*$AB$48))))*SIN(AJ15)*((COS(2*ATAN2(COS($AN$6),TAN((ATAN((1-$AB$45)*TAN(RADIANS($W$6))))))+AJ15))+1/4*(((1-(COS((ATAN((1-$AB$45)*TAN(RADIANS($W$6)))))*SIN($AN$6))^2)*$AB$48)/512*(128+((1-(COS((ATAN((1-$AB$45)*TAN(RADIANS($W$6)))))*SIN($AN$6))^2)*$AB$48)*(-64+37*((1-(COS((ATAN((1-$AB$45)*TAN(RADIANS($W$6)))))*SIN($AN$6))^2)*$AB$48))))*(COS(AJ15)*(-1+2*(COS(2*ATAN2(COS($AN$6),TAN((ATAN((1-$AB$45)*TAN(RADIANS($W$6))))))+AJ15))^2)))</f>
        <v>#VALUE!</v>
      </c>
      <c r="AL15" s="345" t="e">
        <f>$AM$6*($AI$6/($AI$6-17+$G$19*0.3048))*1200/3937/$AB$44/((1+1/4*(((1+((1-(COS((ATAN((1-$AB$45)*TAN(RADIANS($W$6)))))*SIN($AN$6))^2)*$AB$48))^0.5-1)/((1+((1-(COS((ATAN((1-$AB$45)*TAN(RADIANS($W$6)))))*SIN($AN$6))^2)*$AB$48))^0.5+1))^2)/(1-((1+((1-(COS((ATAN((1-$AB$45)*TAN(RADIANS($W$6)))))*SIN($AN$6))^2)*$AB$48))^0.5-1)/((1+((1-(COS((ATAN((1-$AB$45)*TAN(RADIANS($W$6)))))*SIN($AN$6))^2)*$AB$48))^0.5+1)))+AK15</f>
        <v>#VALUE!</v>
      </c>
      <c r="AM15" s="345" t="e">
        <f>(((1-(COS((ATAN((1-$AB$45)*TAN(RADIANS($W$6)))))*SIN($AN$6))^2)*$AB$48)/512*(128+((1-(COS((ATAN((1-$AB$45)*TAN(RADIANS($W$6)))))*SIN($AN$6))^2)*$AB$48)*(-64+37*((1-(COS((ATAN((1-$AB$45)*TAN(RADIANS($W$6)))))*SIN($AN$6))^2)*$AB$48))))*SIN(AL15)*((COS(2*ATAN2(COS($AN$6),TAN((ATAN((1-$AB$45)*TAN(RADIANS($W$6))))))+AL15))+1/4*(((1-(COS((ATAN((1-$AB$45)*TAN(RADIANS($W$6)))))*SIN($AN$6))^2)*$AB$48)/512*(128+((1-(COS((ATAN((1-$AB$45)*TAN(RADIANS($W$6)))))*SIN($AN$6))^2)*$AB$48)*(-64+37*((1-(COS((ATAN((1-$AB$45)*TAN(RADIANS($W$6)))))*SIN($AN$6))^2)*$AB$48))))*(COS(AL15)*(-1+2*(COS(2*ATAN2(COS($AN$6),TAN((ATAN((1-$AB$45)*TAN(RADIANS($W$6))))))+AL15))^2)))</f>
        <v>#VALUE!</v>
      </c>
      <c r="AN15" s="345" t="e">
        <f>$AM$6*($AI$6/($AI$6-17+$G$19*0.3048))*1200/3937/$AB$44/((1+1/4*(((1+((1-(COS((ATAN((1-$AB$45)*TAN(RADIANS($W$6)))))*SIN($AN$6))^2)*$AB$48))^0.5-1)/((1+((1-(COS((ATAN((1-$AB$45)*TAN(RADIANS($W$6)))))*SIN($AN$6))^2)*$AB$48))^0.5+1))^2)/(1-((1+((1-(COS((ATAN((1-$AB$45)*TAN(RADIANS($W$6)))))*SIN($AN$6))^2)*$AB$48))^0.5-1)/((1+((1-(COS((ATAN((1-$AB$45)*TAN(RADIANS($W$6)))))*SIN($AN$6))^2)*$AB$48))^0.5+1)))+AM15</f>
        <v>#VALUE!</v>
      </c>
      <c r="AO15" s="414" t="e">
        <f>ATAN2((1-$AB$45)*((COS((ATAN((1-$AB$45)*TAN(RADIANS($W$6)))))*SIN($AN$6))^2+(SIN((ATAN((1-$AB$45)*TAN(RADIANS($W$6)))))*SIN($AN15)-COS((ATAN((1-$AB$45)*TAN(RADIANS($W$6)))))*COS($AN15)*COS($AN$6))^2)^0.5,SIN((ATAN((1-$AB$45)*TAN(RADIANS($W$6)))))*COS($AN15)+COS((ATAN((1-$AB$45)*TAN(RADIANS($W$6)))))*SIN($AN15)*COS($AN$6))</f>
        <v>#VALUE!</v>
      </c>
      <c r="AP15" s="414" t="e">
        <f>(ATAN2(COS((ATAN((1-$AB$45)*TAN(RADIANS($W$6)))))*COS($AN15)-SIN((ATAN((1-$AB$45)*TAN(RADIANS($W$6)))))*SIN($AN15)*COS($AN$6),SIN($AN15)*SIN($AN$6))-(1-($AB$45/16*(1-(COS((ATAN((1-$AB$45)*TAN(RADIANS($W$6)))))*SIN($AN$6))^2)*(4+$AB$45*(4-3*(1-(COS((ATAN((1-$AB$45)*TAN(RADIANS($W$6)))))*SIN($AN$6))^2)))))*$AB$45*(COS((ATAN((1-$AB$45)*TAN(RADIANS($W$6)))))*SIN($AN$6))*($AN15+($AB$45/16*(1-(COS((ATAN((1-$AB$45)*TAN(RADIANS($W$6)))))*SIN($AN$6))^2)*(4+$AB$45*(4-3*(1-(COS((ATAN((1-$AB$45)*TAN(RADIANS($W$6)))))*SIN($AN$6))^2))))*SIN($AN15)*((COS(2*ATAN2(COS($AN$6),TAN((ATAN((1-$AB$45)*TAN(RADIANS($W$6))))))+$AN15))+($AB$45/16*(1-(COS((ATAN((1-$AB$45)*TAN(RADIANS($W$6)))))*SIN($AN$6))^2)*(4+$AB$45*(4-3*(1-(COS((ATAN((1-$AB$45)*TAN(RADIANS($W$6)))))*SIN($AN$6))^2))))*COS($AN15)*(-1+2*(COS(2*ATAN2(COS($AN$6),TAN((ATAN((1-$AB$45)*TAN(RADIANS($W$6))))))+$AN15))^2))))+RADIANS(-$X$6)</f>
        <v>#VALUE!</v>
      </c>
      <c r="AQ15" s="414" t="e">
        <f>ATAN2((-SIN((ATAN((1-$AB$45)*TAN(RADIANS($W$6)))))*SIN($AN15)+COS((ATAN((1-$AB$45)*TAN(RADIANS($W$6)))))*COS($AN15)*COS($AN$6)),(COS((ATAN((1-$AB$45)*TAN(RADIANS($W$6)))))*SIN($AN$6)))</f>
        <v>#VALUE!</v>
      </c>
    </row>
    <row r="16" spans="1:84" ht="15.75" customHeight="1" x14ac:dyDescent="0.25">
      <c r="A16" s="461"/>
      <c r="B16" s="465" t="s">
        <v>49</v>
      </c>
      <c r="C16" s="483"/>
      <c r="D16" s="484"/>
      <c r="E16" s="485"/>
      <c r="F16" s="484"/>
      <c r="G16" s="486"/>
      <c r="H16" s="465"/>
      <c r="I16" s="337"/>
      <c r="J16" s="487" t="s">
        <v>79</v>
      </c>
      <c r="K16" s="488" t="e">
        <f>(K14-K13)*3937/1200</f>
        <v>#VALUE!</v>
      </c>
      <c r="L16" s="489" t="e">
        <f>(L14-L13)*3937/1200</f>
        <v>#VALUE!</v>
      </c>
      <c r="M16" s="490" t="e">
        <f>(M14-M13)</f>
        <v>#VALUE!</v>
      </c>
      <c r="N16" s="489" t="e">
        <f>(N14-N13)</f>
        <v>#VALUE!</v>
      </c>
      <c r="O16" s="491" t="e">
        <f>IF($I$14&gt;$I$13,$S$16*ABS(COS(RADIANS($T$16))),-$S$16*ABS(COS(RADIANS($T$16))))</f>
        <v>#DIV/0!</v>
      </c>
      <c r="P16" s="492" t="e">
        <f>IF($J$14&gt;$J$13,-$S$16*ABS(SIN(RADIANS($T$16))),$S$16*ABS(SIN(RADIANS($T$16))))</f>
        <v>#DIV/0!</v>
      </c>
      <c r="Q16" s="174"/>
      <c r="R16" s="313" t="s">
        <v>59</v>
      </c>
      <c r="S16" s="375" t="e">
        <f>$AO20*3937/1200/IF($F$6=1,$F$48,1)</f>
        <v>#DIV/0!</v>
      </c>
      <c r="T16" s="376" t="e">
        <f>ROUND(DEGREES($AP20),7)</f>
        <v>#DIV/0!</v>
      </c>
      <c r="U16" s="297" t="e">
        <f>IF($T16&lt;0,IF(ABS($T16)&lt;90,CONCATENATE(IF(($I$13-$I$14)&lt;0,"N ","S "),ABS(TRUNC(-$T16)),$T$51,ABS(TRUNC((-$T16-TRUNC(-$T16))*60)),"' ",ROUND(ABS((-$T16-TRUNC(-$T16))*60-TRUNC((-$T16-TRUNC(-$T16))*60))*60,2),$T$52,IF(($J$13-$J$14)&gt;0,"E ","W ")),CONCATENATE(IF(($I$13-$I$14)&lt;0,"N ","S "),ABS(TRUNC(180+$T16)),$T$51,ABS(TRUNC((180+$T16-TRUNC(180+$T16))*60)),"' ",ROUND(ABS((180+$T16-TRUNC(180+$T16))*60-TRUNC((180+$T16-TRUNC(180+$T16))*60))*60,2),$T$52,IF(($J$13-$J$14)&gt;0,"E ","W "))),IF($T16&lt;90,CONCATENATE(IF(($I$13-$I$14)&lt;0,"N ","S "),ABS(TRUNC($T16)),$T$51,ABS(TRUNC(($T16-TRUNC($T16))*60)),"' ",ROUND(ABS(($T16-TRUNC($T16))*60-TRUNC(($T16-TRUNC($T16))*60))*60,2),$T$52,IF(($J$13-$J$14)&gt;0,"E ","W ")),CONCATENATE(IF(($I$13-$I$14)&lt;0,"N ","S "),ABS(TRUNC(180-$T16)),$T$51,ABS(TRUNC((180-$T16-TRUNC(180-$T16))*60)),"' ",ROUND(ABS((180-$T16-TRUNC(180-$T16))*60-TRUNC((180-$T16-TRUNC(180-$T16))*60))*60,2),$T$52,IF(($J$13-$J$14)&gt;0,"E ","W "))))</f>
        <v>#DIV/0!</v>
      </c>
      <c r="V16" s="313"/>
      <c r="Y16" s="415"/>
      <c r="AA16" s="269" t="s">
        <v>80</v>
      </c>
      <c r="AB16" s="267">
        <v>0.65935548181699999</v>
      </c>
      <c r="AC16" s="267">
        <v>0.64057859582499999</v>
      </c>
      <c r="AD16" s="267">
        <v>0.61268733723400004</v>
      </c>
      <c r="AE16" s="267"/>
      <c r="AF16" s="268" t="s">
        <v>81</v>
      </c>
    </row>
    <row r="17" spans="1:43" ht="15.75" customHeight="1" thickBot="1" x14ac:dyDescent="0.3">
      <c r="A17" s="461"/>
      <c r="B17" s="465" t="s">
        <v>53</v>
      </c>
      <c r="C17" s="493"/>
      <c r="D17" s="494"/>
      <c r="E17" s="495"/>
      <c r="F17" s="494"/>
      <c r="G17" s="496"/>
      <c r="H17" s="465"/>
      <c r="I17" s="455"/>
      <c r="J17" s="497" t="s">
        <v>82</v>
      </c>
      <c r="K17" s="488" t="e">
        <f>IF($F$6=1,IF($P$24="  E",$O$24,-$O$24)*$D$47*COS($D$46)-IF($N$24="  N",$M$24,-$M$24)*$D$47*SIN($D$46),IF($P$24="  E",$O$24,-$O$24)*$D$47/$F$47*COS($F$46-$D$46)+IF($N$24="  N",$M$24,-$M$24)*$D$47/$F$47*SIN($F$46-$D$46))</f>
        <v>#VALUE!</v>
      </c>
      <c r="L17" s="489" t="e">
        <f>IF($F$6=1,IF($N$24="  N",$M$24,-$M$24)*$D$47*COS($D$46)+IF($P$24="  E",$O$24,-$O$24)*$D$47*SIN($D$46),IF($N$24="  N",$M$24,-$M$24)*$D$47/$F$47*COS($F$46-$D$46)-IF($P$24="  E",$O$24,-$O$24)*$D$47/$F$47*SIN($F$46-$D$46))</f>
        <v>#VALUE!</v>
      </c>
      <c r="M17" s="490" t="e">
        <f>IF($F$6=1,IF($P$24="  E",$O$24,-$O$24)*$F$47*COS($F$46)-IF($N$24="  N",$M$24,-$M$24)*$F$47*SIN($F$46),IF($P$24="  E",$O$24,-$O$24))</f>
        <v>#VALUE!</v>
      </c>
      <c r="N17" s="489" t="e">
        <f>IF($F$6=1,IF($N$24="  N",$M$24,-$M$24)*$F$47*COS($F$46)+IF($P$24="  E",$O$24,-$O$24)*$F$47*SIN($F$46),IF($N$24="  N",$M$24,-$M$24))</f>
        <v>#VALUE!</v>
      </c>
      <c r="O17" s="491">
        <f>IF($F$6=1,IF($N$24="  N",$M$24,-$M$24),IF($N$24="  N",$M$24,-$M$24)/$F$47*COS($F$46)-IF($P$24="  E",$O$24,-$O$24)/$F$47*SIN($F$46))</f>
        <v>0</v>
      </c>
      <c r="P17" s="492">
        <f>IF($F$6=1,IF($P$24="  E",$O$24,-$O$24),IF($P$24="  E",$O$24,-$O$24)/$F$47*COS($F$46)+IF($N$24="  N",$M$24,-$M$24)/$F$47*SIN($F$46))</f>
        <v>0</v>
      </c>
      <c r="Q17" s="174"/>
      <c r="R17" s="313" t="s">
        <v>70</v>
      </c>
      <c r="S17" s="378" t="e">
        <f>$AO21*3937/1200/IF($F$6=1,$F$48,1)</f>
        <v>#DIV/0!</v>
      </c>
      <c r="T17" s="379" t="e">
        <f>ROUND(DEGREES($AP21),7)</f>
        <v>#DIV/0!</v>
      </c>
      <c r="U17" s="254" t="e">
        <f>IF($T17&lt;0,IF(ABS($T17)&lt;90,CONCATENATE(IF(($I$14-$I$15)&lt;0,"N ","S "),ABS(TRUNC(-$T17)),$T$51,ABS(TRUNC((-$T17-TRUNC(-$T17))*60)),"' ",ROUND(ABS((-$T17-TRUNC(-$T17))*60-TRUNC((-$T17-TRUNC(-$T17))*60))*60,2),$T$52,IF(($J$14-$J$15)&gt;0,"E ","W ")),CONCATENATE(IF(($I$14-$I$15)&lt;0,"N ","S "),ABS(TRUNC(180+$T17)),$T$51,ABS(TRUNC((180+$T17-TRUNC(180+$T17))*60)),"' ",ROUND(ABS((180+$T17-TRUNC(180+$T17))*60-TRUNC((180+$T17-TRUNC(180+$T17))*60))*60,2),$T$52,IF(($J$14-$J$15)&gt;0,"E ","W "))),IF($T17&lt;90,CONCATENATE(IF(($I$14-$I$15)&lt;0,"N ","S "),ABS(TRUNC($T17)),$T$51,ABS(TRUNC(($T17-TRUNC($T17))*60)),"' ",ROUND(ABS(($T17-TRUNC($T17))*60-TRUNC(($T17-TRUNC($T17))*60))*60,2),$T$52,IF(($J$14-$J$15)&gt;0,"E ","W ")),CONCATENATE(IF(($I$14-$I$15)&lt;0,"N ","S "),ABS(TRUNC(180-$T17)),$T$51,ABS(TRUNC((180-$T17-TRUNC(180-$T17))*60)),"' ",ROUND(ABS((180-$T17-TRUNC(180-$T17))*60-TRUNC((180-$T17-TRUNC(180-$T17))*60))*60,2),$T$52,IF(($J$14-$J$15)&gt;0,"E ","W "))))</f>
        <v>#DIV/0!</v>
      </c>
      <c r="V17" s="313"/>
      <c r="Y17" s="415"/>
      <c r="AA17" s="269" t="s">
        <v>83</v>
      </c>
      <c r="AB17" s="267">
        <v>7384852.1452000001</v>
      </c>
      <c r="AC17" s="267">
        <v>7822240.6085000001</v>
      </c>
      <c r="AD17" s="267">
        <v>8361336.2313000001</v>
      </c>
      <c r="AE17" s="267"/>
      <c r="AF17" s="268" t="s">
        <v>84</v>
      </c>
    </row>
    <row r="18" spans="1:43" ht="15.75" customHeight="1" thickBot="1" x14ac:dyDescent="0.3">
      <c r="A18" s="461"/>
      <c r="B18" s="465" t="s">
        <v>58</v>
      </c>
      <c r="C18" s="498"/>
      <c r="D18" s="499"/>
      <c r="E18" s="500"/>
      <c r="F18" s="499"/>
      <c r="G18" s="501"/>
      <c r="H18" s="465"/>
      <c r="I18" s="455"/>
      <c r="J18" s="497" t="s">
        <v>85</v>
      </c>
      <c r="K18" s="502" t="e">
        <f>(K15-K13)*3937/1200</f>
        <v>#VALUE!</v>
      </c>
      <c r="L18" s="478" t="e">
        <f>(L15-L13)*3937/1200</f>
        <v>#VALUE!</v>
      </c>
      <c r="M18" s="503" t="e">
        <f>(M15-M13)</f>
        <v>#VALUE!</v>
      </c>
      <c r="N18" s="478" t="e">
        <f>(N15-N13)</f>
        <v>#VALUE!</v>
      </c>
      <c r="O18" s="504" t="e">
        <f>IF($I$15&gt;$I$13,$AO22*3937/1200*ABS(COS($AP$22)),-$AO22*3937/1200*ABS(COS($AP$22)))/IF($F$6=1,$F$48,1)</f>
        <v>#DIV/0!</v>
      </c>
      <c r="P18" s="505" t="e">
        <f>IF($J$15&gt;$J$13,-$AO22*3937/1200*ABS(SIN($AP$22)),$AO22*3937/1200*ABS(SIN($AP$22)))/IF($F$6=1,$F$48,1)</f>
        <v>#DIV/0!</v>
      </c>
      <c r="Q18" s="174"/>
      <c r="R18" s="313"/>
      <c r="S18" s="381"/>
      <c r="T18" s="404"/>
      <c r="U18" s="404"/>
      <c r="V18" s="313"/>
      <c r="Y18" s="746"/>
      <c r="AA18" s="269" t="s">
        <v>86</v>
      </c>
      <c r="AB18" s="267">
        <v>7282974.6765999999</v>
      </c>
      <c r="AC18" s="267">
        <v>7655530.3910999997</v>
      </c>
      <c r="AD18" s="267">
        <v>8237322.9910000004</v>
      </c>
      <c r="AE18" s="267"/>
      <c r="AF18" s="268" t="s">
        <v>87</v>
      </c>
      <c r="AO18" s="831" t="s">
        <v>88</v>
      </c>
      <c r="AP18" s="832"/>
      <c r="AQ18" s="832"/>
    </row>
    <row r="19" spans="1:43" ht="15.75" customHeight="1" thickBot="1" x14ac:dyDescent="0.3">
      <c r="A19" s="461"/>
      <c r="B19" s="455"/>
      <c r="C19" s="506" t="s">
        <v>89</v>
      </c>
      <c r="D19" s="507">
        <v>1</v>
      </c>
      <c r="E19" s="508"/>
      <c r="F19" s="509" t="s">
        <v>90</v>
      </c>
      <c r="G19" s="510"/>
      <c r="H19" s="455"/>
      <c r="I19" s="455"/>
      <c r="J19" s="497" t="s">
        <v>91</v>
      </c>
      <c r="K19" s="511" t="e">
        <f>IF($F$6=1,IF($P$36="  E",$O$36,-$O$36)*$D$47*COS($D$46)-IF($N$36="  N",$M$36,-$M$36)*$D$47*SIN($D$46),IF($P$36="  E",$O$36,-$O$36)*$D$47/$F$47*COS($F$46-$D$46)+IF($N$36="  N",$M$36,-$M$36)*$D$47/$F$47*SIN($F$46-$D$46))</f>
        <v>#VALUE!</v>
      </c>
      <c r="L19" s="512" t="e">
        <f>IF($F$6=1,IF($N$36="  N",$M$36,-$M$36)*$D$47*COS($D$46)+IF($P$36="  E",$O$36,-$O$36)*$D$47*SIN($D$46),IF($N$36="  N",$M$36,-$M$36)*$D$47/$F$47*COS($F$46-$D$46)-IF($P$36="  E",$O$36,-$O$36)*$D$47/$F$47*SIN($F$46-$D$46))</f>
        <v>#VALUE!</v>
      </c>
      <c r="M19" s="513" t="e">
        <f>IF($F$6=1,IF($P$36="  E",$O$36,-$O$36)*$F$47*COS($F$46)-IF($N$36="  N",$M$36,-$M$36)*$F$47*SIN($F$46),IF($P$36="  E",$O$36,-$O$36))</f>
        <v>#VALUE!</v>
      </c>
      <c r="N19" s="512" t="e">
        <f>IF($F$6=1,IF($N$36="  N",$M$36,-$M$36)*$F$47*COS($F$46)+IF($P$36="  E",$O$36,-$O$36)*$F$47*SIN($F$46),IF($N$36="  N",$M$36,-$M$36))</f>
        <v>#VALUE!</v>
      </c>
      <c r="O19" s="514">
        <f>IF($F$6=1,IF($N$36="  N",$M$36,-$M$36),IF($N$36="  N",$M$36,-$M$36)/$F$47*COS($F$46)-IF($P$36="  E",$O$36,-$O$36)/$F$47*SIN($F$46))</f>
        <v>0</v>
      </c>
      <c r="P19" s="515">
        <f>IF($F$6=1,IF($P$36="  E",$O$36,-$O$36),IF($P$36="  E",$O$36,-$O$36)/$F$47*COS($F$46)+IF($N$36="  N",$M$36,-$M$36)/$F$47*SIN($F$46))</f>
        <v>0</v>
      </c>
      <c r="Q19" s="174"/>
      <c r="R19" s="313"/>
      <c r="S19" s="381"/>
      <c r="T19" s="404"/>
      <c r="U19" s="404"/>
      <c r="V19" s="313"/>
      <c r="Y19" s="772"/>
      <c r="AA19" s="269" t="s">
        <v>92</v>
      </c>
      <c r="AB19" s="267">
        <v>1101877.4686</v>
      </c>
      <c r="AC19" s="267">
        <v>2166710.2174</v>
      </c>
      <c r="AD19" s="267">
        <v>3124013.2403000002</v>
      </c>
      <c r="AE19" s="267"/>
      <c r="AF19" s="268" t="s">
        <v>93</v>
      </c>
      <c r="AH19" s="341" t="s">
        <v>94</v>
      </c>
      <c r="AI19" s="341" t="s">
        <v>60</v>
      </c>
      <c r="AJ19" s="341" t="s">
        <v>95</v>
      </c>
      <c r="AK19" s="341" t="s">
        <v>62</v>
      </c>
      <c r="AL19" s="341" t="s">
        <v>96</v>
      </c>
      <c r="AM19" s="341" t="s">
        <v>64</v>
      </c>
      <c r="AN19" s="341" t="s">
        <v>97</v>
      </c>
      <c r="AO19" s="735" t="s">
        <v>98</v>
      </c>
      <c r="AP19" s="341" t="s">
        <v>99</v>
      </c>
      <c r="AQ19" s="341" t="s">
        <v>69</v>
      </c>
    </row>
    <row r="20" spans="1:43" ht="15.75" customHeight="1" thickBot="1" x14ac:dyDescent="0.3">
      <c r="A20" s="461"/>
      <c r="B20" s="455"/>
      <c r="C20" s="455"/>
      <c r="D20" s="455"/>
      <c r="E20" s="455"/>
      <c r="F20" s="455"/>
      <c r="G20" s="455"/>
      <c r="H20" s="455"/>
      <c r="I20" s="455"/>
      <c r="J20" s="455"/>
      <c r="K20" s="516"/>
      <c r="L20" s="516"/>
      <c r="M20" s="516"/>
      <c r="N20" s="516"/>
      <c r="O20" s="516"/>
      <c r="P20" s="516"/>
      <c r="Q20" s="174"/>
      <c r="T20" s="342"/>
      <c r="U20" s="746"/>
      <c r="Y20" s="342"/>
      <c r="AA20" s="269" t="s">
        <v>100</v>
      </c>
      <c r="AB20" s="267">
        <v>12238904.9538</v>
      </c>
      <c r="AC20" s="267">
        <v>12415886.8989</v>
      </c>
      <c r="AD20" s="267">
        <v>12719504.172900001</v>
      </c>
      <c r="AE20" s="267"/>
      <c r="AF20" s="268" t="s">
        <v>101</v>
      </c>
      <c r="AG20" s="439" t="s">
        <v>16</v>
      </c>
      <c r="AH20" s="769">
        <f>(RADIANS(-$J14)-RADIANS(-$J$13))</f>
        <v>0</v>
      </c>
      <c r="AI20" s="769">
        <f>ATAN2((SIN((ATAN((1-$AC$60)*TAN(RADIANS($I$13)))))*SIN((ATAN((1-$AC$60)*TAN(RADIANS($I14)))))+COS((ATAN((1-$AC$60)*TAN(RADIANS($I$13)))))*COS((ATAN((1-$AC$60)*TAN(RADIANS($I14)))))*COS($AH20)),(((COS((ATAN((1-$AC$60)*TAN(RADIANS($I14)))))*SIN($AH20))^2+(COS((ATAN((1-$AC$60)*TAN(RADIANS($I$13)))))*SIN((ATAN((1-$AC$60)*TAN(RADIANS($I14)))))-SIN((ATAN((1-$AC$60)*TAN(RADIANS($I$13)))))*COS((ATAN((1-$AC$60)*TAN(RADIANS($I14)))))*COS($AH20))^2)^0.5))</f>
        <v>0</v>
      </c>
      <c r="AJ20" s="769" t="e">
        <f>((RADIANS(-$J14)-RADIANS(-$J$13))+(1-($AC$60/16*(1-((COS((ATAN((1-$AC$60)*TAN(RADIANS($I$13)))))*COS((ATAN((1-$AC$60)*TAN(RADIANS($I14)))))*SIN($AH20))/SIN($AI20))^2)*(4+$AC$60*(4-3*(1-((COS((ATAN((1-$AC$60)*TAN(RADIANS($I$13)))))*COS((ATAN((1-$AC$60)*TAN(RADIANS($I14)))))*SIN($AH20))/SIN($AI20))^2)))))*$AC$60*((COS((ATAN((1-$AC$60)*TAN(RADIANS($I$13)))))*COS((ATAN((1-$AC$60)*TAN(RADIANS($I14)))))*SIN($AH20))/SIN($AI20))*($AI20+($AC$60/16*(1-((COS((ATAN((1-$AC$60)*TAN(RADIANS($I$13)))))*COS((ATAN((1-$AC$60)*TAN(RADIANS($I14)))))*SIN($AH20))/SIN($AI20))^2)*(4+$AC$60*(4-3*(1-((COS((ATAN((1-$AC$60)*TAN(RADIANS($I$13)))))*COS((ATAN((1-$AC$60)*TAN(RADIANS($I14)))))*SIN($AH20))/SIN($AI20))^2))))*SIN($AI20)*((COS($AI20)-2*SIN((ATAN((1-$AC$60)*TAN(RADIANS($I$13)))))*SIN((ATAN((1-$AC$60)*TAN(RADIANS($I14)))))/(1-((COS((ATAN((1-$AC$60)*TAN(RADIANS($I$13)))))*COS((ATAN((1-$AC$60)*TAN(RADIANS($I14)))))*SIN($AH20))/SIN($AI20))^2))+($AC$60/16*(1-((COS((ATAN((1-$AC$60)*TAN(RADIANS($I$13)))))*COS((ATAN((1-$AC$60)*TAN(RADIANS($I14)))))*SIN($AH20))/SIN($AI20))^2)*(4+$AC$60*(4-3*(1-((COS((ATAN((1-$AC$60)*TAN(RADIANS($I$13)))))*COS((ATAN((1-$AC$60)*TAN(RADIANS($I14)))))*SIN($AH20))/SIN($AI20))^2))))*COS($AI20)*(-1+2*(COS($AI20)-2*SIN((ATAN((1-$AC$60)*TAN(RADIANS($I$13)))))*SIN((ATAN((1-$AC$60)*TAN(RADIANS($I14)))))/(1-((COS((ATAN((1-$AC$60)*TAN(RADIANS($I$13)))))*COS((ATAN((1-$AC$60)*TAN(RADIANS($I14)))))*SIN($AH20))/SIN($AI20))^2))^2))))</f>
        <v>#DIV/0!</v>
      </c>
      <c r="AK20" s="769" t="e">
        <f>ATAN2((SIN((ATAN((1-$AC$60)*TAN(RADIANS($I$13)))))*SIN((ATAN((1-$AC$60)*TAN(RADIANS($I14)))))+COS((ATAN((1-$AC$60)*TAN(RADIANS($I$13)))))*COS((ATAN((1-$AC$60)*TAN(RADIANS($I14)))))*COS($AJ20)),(((COS((ATAN((1-$AC$60)*TAN(RADIANS($I14)))))*SIN($AJ20))^2+(COS((ATAN((1-$AC$60)*TAN(RADIANS($I$13)))))*SIN((ATAN((1-$AC$60)*TAN(RADIANS($I14)))))-SIN((ATAN((1-$AC$60)*TAN(RADIANS($I$13)))))*COS((ATAN((1-$AC$60)*TAN(RADIANS($I14)))))*COS($AJ20))^2)^0.5))</f>
        <v>#DIV/0!</v>
      </c>
      <c r="AL20" s="769" t="e">
        <f>((RADIANS(-$J14)-RADIANS(-$J$13))+(1-($AC$60/16*(1-((COS((ATAN((1-$AC$60)*TAN(RADIANS($I$13)))))*COS((ATAN((1-$AC$60)*TAN(RADIANS($I14)))))*SIN($AJ20))/SIN($AK20))^2)*(4+$AC$60*(4-3*(1-((COS((ATAN((1-$AC$60)*TAN(RADIANS($I$13)))))*COS((ATAN((1-$AC$60)*TAN(RADIANS($I14)))))*SIN($AJ20))/SIN($AK20))^2)))))*$AC$60*((COS((ATAN((1-$AC$60)*TAN(RADIANS($I$13)))))*COS((ATAN((1-$AC$60)*TAN(RADIANS($I14)))))*SIN($AJ20))/SIN($AK20))*($AK20+($AC$60/16*(1-((COS((ATAN((1-$AC$60)*TAN(RADIANS($I$13)))))*COS((ATAN((1-$AC$60)*TAN(RADIANS($I14)))))*SIN($AJ20))/SIN($AK20))^2)*(4+$AC$60*(4-3*(1-((COS((ATAN((1-$AC$60)*TAN(RADIANS($I$13)))))*COS((ATAN((1-$AC$60)*TAN(RADIANS($I14)))))*SIN($AJ20))/SIN($AK20))^2))))*SIN($AK20)*((COS($AK20)-2*SIN((ATAN((1-$AC$60)*TAN(RADIANS($I$13)))))*SIN((ATAN((1-$AC$60)*TAN(RADIANS($I14)))))/(1-((COS((ATAN((1-$AC$60)*TAN(RADIANS($I$13)))))*COS((ATAN((1-$AC$60)*TAN(RADIANS($I14)))))*SIN($AJ20))/SIN($AK20))^2))+($AC$60/16*(1-((COS((ATAN((1-$AC$60)*TAN(RADIANS($I$13)))))*COS((ATAN((1-$AC$60)*TAN(RADIANS($I14)))))*SIN($AJ20))/SIN($AK20))^2)*(4+$AC$60*(4-3*(1-((COS((ATAN((1-$AC$60)*TAN(RADIANS($I$13)))))*COS((ATAN((1-$AC$60)*TAN(RADIANS($I14)))))*SIN($AJ20))/SIN($AK20))^2))))*COS($AK20)*(-1+2*(COS($AK20)-2*SIN((ATAN((1-$AC$60)*TAN(RADIANS($I$13)))))*SIN((ATAN((1-$AC$60)*TAN(RADIANS($I14)))))/(1-((COS((ATAN((1-$AC$60)*TAN(RADIANS($I$13)))))*COS((ATAN((1-$AC$60)*TAN(RADIANS($I14)))))*SIN($AJ20))/SIN($AK20))^2))^2))))</f>
        <v>#DIV/0!</v>
      </c>
      <c r="AM20" s="769" t="e">
        <f>ATAN2((SIN((ATAN((1-$AC$60)*TAN(RADIANS($I$13)))))*SIN((ATAN((1-$AC$60)*TAN(RADIANS($I14)))))+COS((ATAN((1-$AC$60)*TAN(RADIANS($I$13)))))*COS((ATAN((1-$AC$60)*TAN(RADIANS($I14)))))*COS($AL20)),(((COS((ATAN((1-$AC$60)*TAN(RADIANS($I14)))))*SIN($AL20))^2+(COS((ATAN((1-$AC$60)*TAN(RADIANS($I$13)))))*SIN((ATAN((1-$AC$60)*TAN(RADIANS($I14)))))-SIN((ATAN((1-$AC$60)*TAN(RADIANS($I$13)))))*COS((ATAN((1-$AC$60)*TAN(RADIANS($I14)))))*COS($AL20))^2)^0.5))</f>
        <v>#DIV/0!</v>
      </c>
      <c r="AN20" s="769" t="e">
        <f>((RADIANS(-$J14)-RADIANS(-$J$13))+(1-($AC$60/16*(1-((COS((ATAN((1-$AC$60)*TAN(RADIANS($I$13)))))*COS((ATAN((1-$AC$60)*TAN(RADIANS($I14)))))*SIN($AL20))/SIN($AM20))^2)*(4+$AC$60*(4-3*(1-((COS((ATAN((1-$AC$60)*TAN(RADIANS($I$13)))))*COS((ATAN((1-$AC$60)*TAN(RADIANS($I14)))))*SIN($AL20))/SIN($AM20))^2)))))*$AC$60*((COS((ATAN((1-$AC$60)*TAN(RADIANS($I$13)))))*COS((ATAN((1-$AC$60)*TAN(RADIANS($I14)))))*SIN($AL20))/SIN($AM20))*($AM20+($AC$60/16*(1-((COS((ATAN((1-$AC$60)*TAN(RADIANS($I$13)))))*COS((ATAN((1-$AC$60)*TAN(RADIANS($I14)))))*SIN($AL20))/SIN($AM20))^2)*(4+$AC$60*(4-3*(1-((COS((ATAN((1-$AC$60)*TAN(RADIANS($I$13)))))*COS((ATAN((1-$AC$60)*TAN(RADIANS($I14)))))*SIN($AL20))/SIN($AM20))^2))))*SIN($AM20)*((COS($AM20)-2*SIN((ATAN((1-$AC$60)*TAN(RADIANS($I$13)))))*SIN((ATAN((1-$AC$60)*TAN(RADIANS($I14)))))/(1-((COS((ATAN((1-$AC$60)*TAN(RADIANS($I$13)))))*COS((ATAN((1-$AC$60)*TAN(RADIANS($I14)))))*SIN($AL20))/SIN($AM20))^2))+($AC$60/16*(1-((COS((ATAN((1-$AC$60)*TAN(RADIANS($I$13)))))*COS((ATAN((1-$AC$60)*TAN(RADIANS($I14)))))*SIN($AL20))/SIN($AM20))^2)*(4+$AC$60*(4-3*(1-((COS((ATAN((1-$AC$60)*TAN(RADIANS($I$13)))))*COS((ATAN((1-$AC$60)*TAN(RADIANS($I14)))))*SIN($AL20))/SIN($AM20))^2))))*COS($AM20)*(-1+2*(COS($AM20)-2*SIN((ATAN((1-$AC$60)*TAN(RADIANS($I$13)))))*SIN((ATAN((1-$AC$60)*TAN(RADIANS($I14)))))/(1-((COS((ATAN((1-$AC$60)*TAN(RADIANS($I$13)))))*COS((ATAN((1-$AC$60)*TAN(RADIANS($I14)))))*SIN($AL20))/SIN($AM20))^2))^2))))</f>
        <v>#DIV/0!</v>
      </c>
      <c r="AO20" s="773" t="e">
        <f>($AC$59*((1+1/4*(((1+((1-((COS((ATAN((1-$AC$60)*TAN(RADIANS($I$13)))))*COS((ATAN((1-$AC$60)*TAN(RADIANS($I14)))))*SIN($AN20))/SIN($AM20))^2)*$AC$64))^0.5-1)/((1+((1-((COS((ATAN((1-$AC$60)*TAN(RADIANS($I$13)))))*COS((ATAN((1-$AC$60)*TAN(RADIANS($I14)))))*SIN($AN20))/SIN($AM20))^2)*$AC$64))^0.5+1))^2)/(1-((1+((1-((COS((ATAN((1-$AC$60)*TAN(RADIANS($I$13)))))*COS((ATAN((1-$AC$60)*TAN(RADIANS($I14)))))*SIN($AN20))/SIN($AM20))^2)*$AC$64))^0.5-1)/((1+((1-((COS((ATAN((1-$AC$60)*TAN(RADIANS($I$13)))))*COS((ATAN((1-$AC$60)*TAN(RADIANS($I14)))))*SIN($AN20))/SIN($AM20))^2)*$AC$64))^0.5+1)))*($AM20-((((1+((1-((COS((ATAN((1-$AC$60)*TAN(RADIANS($I$13)))))*COS((ATAN((1-$AC$60)*TAN(RADIANS($I14)))))*SIN($AN20))/SIN($AM20))^2)*$AC$64))^0.5-1)/((1+((1-((COS((ATAN((1-$AC$60)*TAN(RADIANS($I$13)))))*COS((ATAN((1-$AC$60)*TAN(RADIANS($I14)))))*SIN($AN20))/SIN($AM20))^2)*$AC$64))^0.5+1)*(1-3/8*(((1+((1-((COS((ATAN((1-$AC$60)*TAN(RADIANS($I$13)))))*COS((ATAN((1-$AC$60)*TAN(RADIANS($I14)))))*SIN($AN20))/SIN($AM20))^2)*$AC$64))^0.5-1)/((1+((1-((COS((ATAN((1-$AC$60)*TAN(RADIANS($I$13)))))*COS((ATAN((1-$AC$60)*TAN(RADIANS($I14)))))*SIN($AN20))/SIN($AM20))^2)*$AC$64))^0.5+1))^2))*(((COS((ATAN((1-$AC$60)*TAN(RADIANS($I14)))))*SIN($AN20))^2+(COS((ATAN((1-$AC$60)*TAN(RADIANS($I$13)))))*SIN((ATAN((1-$AC$60)*TAN(RADIANS($I14)))))-SIN((ATAN((1-$AC$60)*TAN(RADIANS($I$13)))))*COS((ATAN((1-$AC$60)*TAN(RADIANS($I14)))))*COS($AN20))^2)^0.5)*((COS($AM20)-2*SIN((ATAN((1-$AC$60)*TAN(RADIANS($I$13)))))*SIN((ATAN((1-$AC$60)*TAN(RADIANS($I14)))))/(1-((COS((ATAN((1-$AC$60)*TAN(RADIANS($I$13)))))*COS((ATAN((1-$AC$60)*TAN(RADIANS($I14)))))*SIN($AN20))/SIN($AM20))^2))+1/4*(((1+((1-((COS((ATAN((1-$AC$60)*TAN(RADIANS($I$13)))))*COS((ATAN((1-$AC$60)*TAN(RADIANS($I14)))))*SIN($AN20))/SIN($AM20))^2)*$AC$64))^0.5-1)/((1+((1-((COS((ATAN((1-$AC$60)*TAN(RADIANS($I$13)))))*COS((ATAN((1-$AC$60)*TAN(RADIANS($I14)))))*SIN($AN20))/SIN($AM20))^2)*$AC$64))^0.5+1)*(1-3/8*(((1+((1-((COS((ATAN((1-$AC$60)*TAN(RADIANS($I$13)))))*COS((ATAN((1-$AC$60)*TAN(RADIANS($I14)))))*SIN($AN20))/SIN($AM20))^2)*$AC$64))^0.5-1)/((1+((1-((COS((ATAN((1-$AC$60)*TAN(RADIANS($I$13)))))*COS((ATAN((1-$AC$60)*TAN(RADIANS($I14)))))*SIN($AN20))/SIN($AM20))^2)*$AC$64))^0.5+1))^2))*(SIN((ATAN((1-$AC$60)*TAN(RADIANS($I$13)))))*SIN((ATAN((1-$AC$60)*TAN(RADIANS($I14)))))+COS((ATAN((1-$AC$60)*TAN(RADIANS($I$13)))))*COS((ATAN((1-$AC$60)*TAN(RADIANS($I14)))))*COS($AN20))*(-1+2*(COS($AM20)-2*SIN((ATAN((1-$AC$60)*TAN(RADIANS($I$13)))))*SIN((ATAN((1-$AC$60)*TAN(RADIANS($I14)))))/(1-((COS((ATAN((1-$AC$60)*TAN(RADIANS($I$13)))))*COS((ATAN((1-$AC$60)*TAN(RADIANS($I14)))))*SIN($AN20))/SIN($AM20))^2)))))))</f>
        <v>#DIV/0!</v>
      </c>
      <c r="AP20" s="769" t="e">
        <f>ATAN2((COS((ATAN((1-$AC$60)*TAN(RADIANS($I$13)))))*SIN((ATAN((1-$AC$60)*TAN(RADIANS($I14)))))-SIN((ATAN((1-$AC$60)*TAN(RADIANS($I$13)))))*COS((ATAN((1-$AC$60)*TAN(RADIANS($I14)))))*COS($AN20)),(COS((ATAN((1-$AC$60)*TAN(RADIANS($I14)))))*SIN($AN20)))</f>
        <v>#DIV/0!</v>
      </c>
      <c r="AQ20" s="769" t="e">
        <f>ATAN2((COS((ATAN((1-$AC$60)*TAN(RADIANS($I$13)))))*SIN((ATAN((1-$AC$60)*TAN(RADIANS($I14)))))*COS($AN20)-SIN((ATAN((1-$AC$60)*TAN(RADIANS($I$13)))))*COS((ATAN((1-$AC$60)*TAN(RADIANS($I14)))))),(COS((ATAN((1-$AC$60)*TAN(RADIANS($I$13)))))*SIN($AN20)))</f>
        <v>#DIV/0!</v>
      </c>
    </row>
    <row r="21" spans="1:43" ht="15.75" customHeight="1" thickBot="1" x14ac:dyDescent="0.3">
      <c r="A21" s="461"/>
      <c r="B21" s="455"/>
      <c r="C21" s="849" t="s">
        <v>102</v>
      </c>
      <c r="D21" s="848"/>
      <c r="E21" s="455"/>
      <c r="F21" s="849" t="s">
        <v>103</v>
      </c>
      <c r="G21" s="848"/>
      <c r="H21" s="849" t="s">
        <v>104</v>
      </c>
      <c r="I21" s="848"/>
      <c r="J21" s="455"/>
      <c r="K21" s="516"/>
      <c r="L21" s="516"/>
      <c r="M21" s="516"/>
      <c r="N21" s="516"/>
      <c r="O21" s="516"/>
      <c r="P21" s="516"/>
      <c r="Q21" s="174"/>
      <c r="S21" s="860" t="s">
        <v>105</v>
      </c>
      <c r="T21" s="842"/>
      <c r="U21" s="842"/>
      <c r="V21" s="838"/>
      <c r="Y21" s="342"/>
      <c r="AA21" s="269" t="s">
        <v>106</v>
      </c>
      <c r="AB21" s="267">
        <v>0.99995684104100002</v>
      </c>
      <c r="AC21" s="267">
        <v>0.99989882076500003</v>
      </c>
      <c r="AD21" s="267">
        <v>0.99995129707800001</v>
      </c>
      <c r="AE21" s="267"/>
      <c r="AF21" s="268" t="s">
        <v>107</v>
      </c>
      <c r="AG21" s="437" t="s">
        <v>17</v>
      </c>
      <c r="AH21" s="769">
        <f>(RADIANS(-$J15)-RADIANS(-$J$14))</f>
        <v>0</v>
      </c>
      <c r="AI21" s="769">
        <f>ATAN2((SIN((ATAN((1-$AC$60)*TAN(RADIANS($I$14)))))*SIN((ATAN((1-$AC$60)*TAN(RADIANS($I15)))))+COS((ATAN((1-$AC$60)*TAN(RADIANS($I$14)))))*COS((ATAN((1-$AC$60)*TAN(RADIANS($I15)))))*COS($AH21)),(((COS((ATAN((1-$AC$60)*TAN(RADIANS($I15)))))*SIN($AH21))^2+(COS((ATAN((1-$AC$60)*TAN(RADIANS($I$14)))))*SIN((ATAN((1-$AC$60)*TAN(RADIANS($I15)))))-SIN((ATAN((1-$AC$60)*TAN(RADIANS($I$14)))))*COS((ATAN((1-$AC$60)*TAN(RADIANS($I15)))))*COS($AH21))^2)^0.5))</f>
        <v>0</v>
      </c>
      <c r="AJ21" s="769" t="e">
        <f>((RADIANS(-$J15)-RADIANS(-$J$14))+(1-($AC$60/16*(1-((COS((ATAN((1-$AC$60)*TAN(RADIANS($I$14)))))*COS((ATAN((1-$AC$60)*TAN(RADIANS($I15)))))*SIN($AH21))/SIN($AI21))^2)*(4+$AC$60*(4-3*(1-((COS((ATAN((1-$AC$60)*TAN(RADIANS($I$14)))))*COS((ATAN((1-$AC$60)*TAN(RADIANS($I15)))))*SIN($AH21))/SIN($AI21))^2)))))*$AC$60*((COS((ATAN((1-$AC$60)*TAN(RADIANS($I$14)))))*COS((ATAN((1-$AC$60)*TAN(RADIANS($I15)))))*SIN($AH21))/SIN($AI21))*($AI21+($AC$60/16*(1-((COS((ATAN((1-$AC$60)*TAN(RADIANS($I$14)))))*COS((ATAN((1-$AC$60)*TAN(RADIANS($I15)))))*SIN($AH21))/SIN($AI21))^2)*(4+$AC$60*(4-3*(1-((COS((ATAN((1-$AC$60)*TAN(RADIANS($I$14)))))*COS((ATAN((1-$AC$60)*TAN(RADIANS($I15)))))*SIN($AH21))/SIN($AI21))^2))))*SIN($AI21)*((COS($AI21)-2*SIN((ATAN((1-$AC$60)*TAN(RADIANS($I$14)))))*SIN((ATAN((1-$AC$60)*TAN(RADIANS($I15)))))/(1-((COS((ATAN((1-$AC$60)*TAN(RADIANS($I$14)))))*COS((ATAN((1-$AC$60)*TAN(RADIANS($I15)))))*SIN($AH21))/SIN($AI21))^2))+($AC$60/16*(1-((COS((ATAN((1-$AC$60)*TAN(RADIANS($I$14)))))*COS((ATAN((1-$AC$60)*TAN(RADIANS($I15)))))*SIN($AH21))/SIN($AI21))^2)*(4+$AC$60*(4-3*(1-((COS((ATAN((1-$AC$60)*TAN(RADIANS($I$14)))))*COS((ATAN((1-$AC$60)*TAN(RADIANS($I15)))))*SIN($AH21))/SIN($AI21))^2))))*COS($AI21)*(-1+2*(COS($AI21)-2*SIN((ATAN((1-$AC$60)*TAN(RADIANS($I$14)))))*SIN((ATAN((1-$AC$60)*TAN(RADIANS($I15)))))/(1-((COS((ATAN((1-$AC$60)*TAN(RADIANS($I$14)))))*COS((ATAN((1-$AC$60)*TAN(RADIANS($I15)))))*SIN($AH21))/SIN($AI21))^2))^2))))</f>
        <v>#DIV/0!</v>
      </c>
      <c r="AK21" s="769" t="e">
        <f>ATAN2((SIN((ATAN((1-$AC$60)*TAN(RADIANS($I$14)))))*SIN((ATAN((1-$AC$60)*TAN(RADIANS($I15)))))+COS((ATAN((1-$AC$60)*TAN(RADIANS($I$14)))))*COS((ATAN((1-$AC$60)*TAN(RADIANS($I15)))))*COS($AJ21)),(((COS((ATAN((1-$AC$60)*TAN(RADIANS($I15)))))*SIN($AJ21))^2+(COS((ATAN((1-$AC$60)*TAN(RADIANS($I$14)))))*SIN((ATAN((1-$AC$60)*TAN(RADIANS($I15)))))-SIN((ATAN((1-$AC$60)*TAN(RADIANS($I$14)))))*COS((ATAN((1-$AC$60)*TAN(RADIANS($I15)))))*COS($AJ21))^2)^0.5))</f>
        <v>#DIV/0!</v>
      </c>
      <c r="AL21" s="769" t="e">
        <f>((RADIANS(-$J15)-RADIANS(-$J$14))+(1-($AC$60/16*(1-((COS((ATAN((1-$AC$60)*TAN(RADIANS($I$14)))))*COS((ATAN((1-$AC$60)*TAN(RADIANS($I15)))))*SIN($AJ21))/SIN($AK21))^2)*(4+$AC$60*(4-3*(1-((COS((ATAN((1-$AC$60)*TAN(RADIANS($I$14)))))*COS((ATAN((1-$AC$60)*TAN(RADIANS($I15)))))*SIN($AJ21))/SIN($AK21))^2)))))*$AC$60*((COS((ATAN((1-$AC$60)*TAN(RADIANS($I$14)))))*COS((ATAN((1-$AC$60)*TAN(RADIANS($I15)))))*SIN($AJ21))/SIN($AK21))*($AK21+($AC$60/16*(1-((COS((ATAN((1-$AC$60)*TAN(RADIANS($I$14)))))*COS((ATAN((1-$AC$60)*TAN(RADIANS($I15)))))*SIN($AJ21))/SIN($AK21))^2)*(4+$AC$60*(4-3*(1-((COS((ATAN((1-$AC$60)*TAN(RADIANS($I$14)))))*COS((ATAN((1-$AC$60)*TAN(RADIANS($I15)))))*SIN($AJ21))/SIN($AK21))^2))))*SIN($AK21)*((COS($AK21)-2*SIN((ATAN((1-$AC$60)*TAN(RADIANS($I$14)))))*SIN((ATAN((1-$AC$60)*TAN(RADIANS($I15)))))/(1-((COS((ATAN((1-$AC$60)*TAN(RADIANS($I$14)))))*COS((ATAN((1-$AC$60)*TAN(RADIANS($I15)))))*SIN($AJ21))/SIN($AK21))^2))+($AC$60/16*(1-((COS((ATAN((1-$AC$60)*TAN(RADIANS($I$14)))))*COS((ATAN((1-$AC$60)*TAN(RADIANS($I15)))))*SIN($AJ21))/SIN($AK21))^2)*(4+$AC$60*(4-3*(1-((COS((ATAN((1-$AC$60)*TAN(RADIANS($I$14)))))*COS((ATAN((1-$AC$60)*TAN(RADIANS($I15)))))*SIN($AJ21))/SIN($AK21))^2))))*COS($AK21)*(-1+2*(COS($AK21)-2*SIN((ATAN((1-$AC$60)*TAN(RADIANS($I$14)))))*SIN((ATAN((1-$AC$60)*TAN(RADIANS($I15)))))/(1-((COS((ATAN((1-$AC$60)*TAN(RADIANS($I$14)))))*COS((ATAN((1-$AC$60)*TAN(RADIANS($I15)))))*SIN($AJ21))/SIN($AK21))^2))^2))))</f>
        <v>#DIV/0!</v>
      </c>
      <c r="AM21" s="769" t="e">
        <f>ATAN2((SIN((ATAN((1-$AC$60)*TAN(RADIANS($I$14)))))*SIN((ATAN((1-$AC$60)*TAN(RADIANS($I15)))))+COS((ATAN((1-$AC$60)*TAN(RADIANS($I$14)))))*COS((ATAN((1-$AC$60)*TAN(RADIANS($I15)))))*COS($AL21)),(((COS((ATAN((1-$AC$60)*TAN(RADIANS($I15)))))*SIN($AL21))^2+(COS((ATAN((1-$AC$60)*TAN(RADIANS($I$14)))))*SIN((ATAN((1-$AC$60)*TAN(RADIANS($I15)))))-SIN((ATAN((1-$AC$60)*TAN(RADIANS($I$14)))))*COS((ATAN((1-$AC$60)*TAN(RADIANS($I15)))))*COS($AL21))^2)^0.5))</f>
        <v>#DIV/0!</v>
      </c>
      <c r="AN21" s="769" t="e">
        <f>((RADIANS(-$J15)-RADIANS(-$J$14))+(1-($AC$60/16*(1-((COS((ATAN((1-$AC$60)*TAN(RADIANS($I$14)))))*COS((ATAN((1-$AC$60)*TAN(RADIANS($I15)))))*SIN($AL21))/SIN($AM21))^2)*(4+$AC$60*(4-3*(1-((COS((ATAN((1-$AC$60)*TAN(RADIANS($I$14)))))*COS((ATAN((1-$AC$60)*TAN(RADIANS($I15)))))*SIN($AL21))/SIN($AM21))^2)))))*$AC$60*((COS((ATAN((1-$AC$60)*TAN(RADIANS($I$14)))))*COS((ATAN((1-$AC$60)*TAN(RADIANS($I15)))))*SIN($AL21))/SIN($AM21))*($AM21+($AC$60/16*(1-((COS((ATAN((1-$AC$60)*TAN(RADIANS($I$14)))))*COS((ATAN((1-$AC$60)*TAN(RADIANS($I15)))))*SIN($AL21))/SIN($AM21))^2)*(4+$AC$60*(4-3*(1-((COS((ATAN((1-$AC$60)*TAN(RADIANS($I$14)))))*COS((ATAN((1-$AC$60)*TAN(RADIANS($I15)))))*SIN($AL21))/SIN($AM21))^2))))*SIN($AM21)*((COS($AM21)-2*SIN((ATAN((1-$AC$60)*TAN(RADIANS($I$14)))))*SIN((ATAN((1-$AC$60)*TAN(RADIANS($I15)))))/(1-((COS((ATAN((1-$AC$60)*TAN(RADIANS($I$14)))))*COS((ATAN((1-$AC$60)*TAN(RADIANS($I15)))))*SIN($AL21))/SIN($AM21))^2))+($AC$60/16*(1-((COS((ATAN((1-$AC$60)*TAN(RADIANS($I$14)))))*COS((ATAN((1-$AC$60)*TAN(RADIANS($I15)))))*SIN($AL21))/SIN($AM21))^2)*(4+$AC$60*(4-3*(1-((COS((ATAN((1-$AC$60)*TAN(RADIANS($I$14)))))*COS((ATAN((1-$AC$60)*TAN(RADIANS($I15)))))*SIN($AL21))/SIN($AM21))^2))))*COS($AM21)*(-1+2*(COS($AM21)-2*SIN((ATAN((1-$AC$60)*TAN(RADIANS($I$14)))))*SIN((ATAN((1-$AC$60)*TAN(RADIANS($I15)))))/(1-((COS((ATAN((1-$AC$60)*TAN(RADIANS($I$14)))))*COS((ATAN((1-$AC$60)*TAN(RADIANS($I15)))))*SIN($AL21))/SIN($AM21))^2))^2))))</f>
        <v>#DIV/0!</v>
      </c>
      <c r="AO21" s="773" t="e">
        <f>($AC$59*((1+1/4*(((1+((1-((COS((ATAN((1-$AC$60)*TAN(RADIANS($I$14)))))*COS((ATAN((1-$AC$60)*TAN(RADIANS($I15)))))*SIN($AN21))/SIN($AM21))^2)*$AC$64))^0.5-1)/((1+((1-((COS((ATAN((1-$AC$60)*TAN(RADIANS($I$14)))))*COS((ATAN((1-$AC$60)*TAN(RADIANS($I15)))))*SIN($AN21))/SIN($AM21))^2)*$AC$64))^0.5+1))^2)/(1-((1+((1-((COS((ATAN((1-$AC$60)*TAN(RADIANS($I$14)))))*COS((ATAN((1-$AC$60)*TAN(RADIANS($I15)))))*SIN($AN21))/SIN($AM21))^2)*$AC$64))^0.5-1)/((1+((1-((COS((ATAN((1-$AC$60)*TAN(RADIANS($I$14)))))*COS((ATAN((1-$AC$60)*TAN(RADIANS($I15)))))*SIN($AN21))/SIN($AM21))^2)*$AC$64))^0.5+1)))*($AM21-((((1+((1-((COS((ATAN((1-$AC$60)*TAN(RADIANS($I$14)))))*COS((ATAN((1-$AC$60)*TAN(RADIANS($I15)))))*SIN($AN21))/SIN($AM21))^2)*$AC$64))^0.5-1)/((1+((1-((COS((ATAN((1-$AC$60)*TAN(RADIANS($I$14)))))*COS((ATAN((1-$AC$60)*TAN(RADIANS($I15)))))*SIN($AN21))/SIN($AM21))^2)*$AC$64))^0.5+1)*(1-3/8*(((1+((1-((COS((ATAN((1-$AC$60)*TAN(RADIANS($I$14)))))*COS((ATAN((1-$AC$60)*TAN(RADIANS($I15)))))*SIN($AN21))/SIN($AM21))^2)*$AC$64))^0.5-1)/((1+((1-((COS((ATAN((1-$AC$60)*TAN(RADIANS($I$14)))))*COS((ATAN((1-$AC$60)*TAN(RADIANS($I15)))))*SIN($AN21))/SIN($AM21))^2)*$AC$64))^0.5+1))^2))*(((COS((ATAN((1-$AC$60)*TAN(RADIANS($I15)))))*SIN($AN21))^2+(COS((ATAN((1-$AC$60)*TAN(RADIANS($I$14)))))*SIN((ATAN((1-$AC$60)*TAN(RADIANS($I15)))))-SIN((ATAN((1-$AC$60)*TAN(RADIANS($I$14)))))*COS((ATAN((1-$AC$60)*TAN(RADIANS($I15)))))*COS($AN21))^2)^0.5)*((COS($AM21)-2*SIN((ATAN((1-$AC$60)*TAN(RADIANS($I$14)))))*SIN((ATAN((1-$AC$60)*TAN(RADIANS($I15)))))/(1-((COS((ATAN((1-$AC$60)*TAN(RADIANS($I$14)))))*COS((ATAN((1-$AC$60)*TAN(RADIANS($I15)))))*SIN($AN21))/SIN($AM21))^2))+1/4*(((1+((1-((COS((ATAN((1-$AC$60)*TAN(RADIANS($I$14)))))*COS((ATAN((1-$AC$60)*TAN(RADIANS($I15)))))*SIN($AN21))/SIN($AM21))^2)*$AC$64))^0.5-1)/((1+((1-((COS((ATAN((1-$AC$60)*TAN(RADIANS($I$14)))))*COS((ATAN((1-$AC$60)*TAN(RADIANS($I15)))))*SIN($AN21))/SIN($AM21))^2)*$AC$64))^0.5+1)*(1-3/8*(((1+((1-((COS((ATAN((1-$AC$60)*TAN(RADIANS($I$14)))))*COS((ATAN((1-$AC$60)*TAN(RADIANS($I15)))))*SIN($AN21))/SIN($AM21))^2)*$AC$64))^0.5-1)/((1+((1-((COS((ATAN((1-$AC$60)*TAN(RADIANS($I$14)))))*COS((ATAN((1-$AC$60)*TAN(RADIANS($I15)))))*SIN($AN21))/SIN($AM21))^2)*$AC$64))^0.5+1))^2))*(SIN((ATAN((1-$AC$60)*TAN(RADIANS($I$14)))))*SIN((ATAN((1-$AC$60)*TAN(RADIANS($I15)))))+COS((ATAN((1-$AC$60)*TAN(RADIANS($I$14)))))*COS((ATAN((1-$AC$60)*TAN(RADIANS($I15)))))*COS($AN21))*(-1+2*(COS($AM21)-2*SIN((ATAN((1-$AC$60)*TAN(RADIANS($I$14)))))*SIN((ATAN((1-$AC$60)*TAN(RADIANS($I15)))))/(1-((COS((ATAN((1-$AC$60)*TAN(RADIANS($I$14)))))*COS((ATAN((1-$AC$60)*TAN(RADIANS($I15)))))*SIN($AN21))/SIN($AM21))^2)))))))</f>
        <v>#DIV/0!</v>
      </c>
      <c r="AP21" s="769" t="e">
        <f>ATAN2((COS((ATAN((1-$AC$60)*TAN(RADIANS($I$14)))))*SIN((ATAN((1-$AC$60)*TAN(RADIANS($I15)))))-SIN((ATAN((1-$AC$60)*TAN(RADIANS($I$14)))))*COS((ATAN((1-$AC$60)*TAN(RADIANS($I15)))))*COS($AN21)),(COS((ATAN((1-$AC$60)*TAN(RADIANS($I15)))))*SIN($AN21)))</f>
        <v>#DIV/0!</v>
      </c>
      <c r="AQ21" s="769" t="e">
        <f>ATAN2((COS((ATAN((1-$AC$60)*TAN(RADIANS($I$14)))))*SIN((ATAN((1-$AC$60)*TAN(RADIANS($I15)))))*COS($AN21)-SIN((ATAN((1-$AC$60)*TAN(RADIANS($I$14)))))*COS((ATAN((1-$AC$60)*TAN(RADIANS($I15)))))),(COS((ATAN((1-$AC$60)*TAN(RADIANS($I$14)))))*SIN($AN21)))</f>
        <v>#DIV/0!</v>
      </c>
    </row>
    <row r="22" spans="1:43" ht="15.75" customHeight="1" thickBot="1" x14ac:dyDescent="0.3">
      <c r="A22" s="461"/>
      <c r="B22" s="455"/>
      <c r="C22" s="862" t="s">
        <v>108</v>
      </c>
      <c r="D22" s="863"/>
      <c r="E22" s="455"/>
      <c r="F22" s="517" t="s">
        <v>20</v>
      </c>
      <c r="G22" s="738" t="s">
        <v>54</v>
      </c>
      <c r="H22" s="517" t="s">
        <v>20</v>
      </c>
      <c r="I22" s="738" t="s">
        <v>54</v>
      </c>
      <c r="J22" s="455"/>
      <c r="K22" s="455"/>
      <c r="L22" s="455"/>
      <c r="M22" s="455"/>
      <c r="N22" s="455"/>
      <c r="O22" s="455"/>
      <c r="P22" s="455"/>
      <c r="Q22" s="174"/>
      <c r="S22" s="382"/>
      <c r="T22" s="383"/>
      <c r="U22" s="383"/>
      <c r="V22" s="384"/>
      <c r="W22" s="746"/>
      <c r="AA22" s="269" t="s">
        <v>109</v>
      </c>
      <c r="AB22" s="267">
        <v>6362923.4572000001</v>
      </c>
      <c r="AC22" s="267">
        <v>6360990.5575000001</v>
      </c>
      <c r="AD22" s="267">
        <v>6359086.0437000003</v>
      </c>
      <c r="AE22" s="267"/>
      <c r="AF22" s="268" t="s">
        <v>110</v>
      </c>
      <c r="AG22" s="439" t="s">
        <v>18</v>
      </c>
      <c r="AH22" s="769">
        <f>(RADIANS(-$J15)-RADIANS(-$J$13))</f>
        <v>0</v>
      </c>
      <c r="AI22" s="769">
        <f>ATAN2((SIN((ATAN((1-$AC$60)*TAN(RADIANS($I$13)))))*SIN((ATAN((1-$AC$60)*TAN(RADIANS($I15)))))+COS((ATAN((1-$AC$60)*TAN(RADIANS($I$13)))))*COS((ATAN((1-$AC$60)*TAN(RADIANS($I15)))))*COS($AH22)),(((COS((ATAN((1-$AC$60)*TAN(RADIANS($I15)))))*SIN($AH22))^2+(COS((ATAN((1-$AC$60)*TAN(RADIANS($I$13)))))*SIN((ATAN((1-$AC$60)*TAN(RADIANS($I15)))))-SIN((ATAN((1-$AC$60)*TAN(RADIANS($I$13)))))*COS((ATAN((1-$AC$60)*TAN(RADIANS($I15)))))*COS($AH22))^2)^0.5))</f>
        <v>0</v>
      </c>
      <c r="AJ22" s="769" t="e">
        <f>((RADIANS(-$J15)-RADIANS(-$J$13))+(1-($AC$60/16*(1-((COS((ATAN((1-$AC$60)*TAN(RADIANS($I$13)))))*COS((ATAN((1-$AC$60)*TAN(RADIANS($I15)))))*SIN($AH22))/SIN($AI22))^2)*(4+$AC$60*(4-3*(1-((COS((ATAN((1-$AC$60)*TAN(RADIANS($I$13)))))*COS((ATAN((1-$AC$60)*TAN(RADIANS($I15)))))*SIN($AH22))/SIN($AI22))^2)))))*$AC$60*((COS((ATAN((1-$AC$60)*TAN(RADIANS($I$13)))))*COS((ATAN((1-$AC$60)*TAN(RADIANS($I15)))))*SIN($AH22))/SIN($AI22))*($AI22+($AC$60/16*(1-((COS((ATAN((1-$AC$60)*TAN(RADIANS($I$13)))))*COS((ATAN((1-$AC$60)*TAN(RADIANS($I15)))))*SIN($AH22))/SIN($AI22))^2)*(4+$AC$60*(4-3*(1-((COS((ATAN((1-$AC$60)*TAN(RADIANS($I$13)))))*COS((ATAN((1-$AC$60)*TAN(RADIANS($I15)))))*SIN($AH22))/SIN($AI22))^2))))*SIN($AI22)*((COS($AI22)-2*SIN((ATAN((1-$AC$60)*TAN(RADIANS($I$13)))))*SIN((ATAN((1-$AC$60)*TAN(RADIANS($I15)))))/(1-((COS((ATAN((1-$AC$60)*TAN(RADIANS($I$13)))))*COS((ATAN((1-$AC$60)*TAN(RADIANS($I15)))))*SIN($AH22))/SIN($AI22))^2))+($AC$60/16*(1-((COS((ATAN((1-$AC$60)*TAN(RADIANS($I$13)))))*COS((ATAN((1-$AC$60)*TAN(RADIANS($I15)))))*SIN($AH22))/SIN($AI22))^2)*(4+$AC$60*(4-3*(1-((COS((ATAN((1-$AC$60)*TAN(RADIANS($I$13)))))*COS((ATAN((1-$AC$60)*TAN(RADIANS($I15)))))*SIN($AH22))/SIN($AI22))^2))))*COS($AI22)*(-1+2*(COS($AI22)-2*SIN((ATAN((1-$AC$60)*TAN(RADIANS($I$13)))))*SIN((ATAN((1-$AC$60)*TAN(RADIANS($I15)))))/(1-((COS((ATAN((1-$AC$60)*TAN(RADIANS($I$13)))))*COS((ATAN((1-$AC$60)*TAN(RADIANS($I15)))))*SIN($AH22))/SIN($AI22))^2))^2))))</f>
        <v>#DIV/0!</v>
      </c>
      <c r="AK22" s="769" t="e">
        <f>ATAN2((SIN((ATAN((1-$AC$60)*TAN(RADIANS($I$13)))))*SIN((ATAN((1-$AC$60)*TAN(RADIANS($I15)))))+COS((ATAN((1-$AC$60)*TAN(RADIANS($I$13)))))*COS((ATAN((1-$AC$60)*TAN(RADIANS($I15)))))*COS($AJ22)),(((COS((ATAN((1-$AC$60)*TAN(RADIANS($I15)))))*SIN($AJ22))^2+(COS((ATAN((1-$AC$60)*TAN(RADIANS($I$13)))))*SIN((ATAN((1-$AC$60)*TAN(RADIANS($I15)))))-SIN((ATAN((1-$AC$60)*TAN(RADIANS($I$13)))))*COS((ATAN((1-$AC$60)*TAN(RADIANS($I15)))))*COS($AJ22))^2)^0.5))</f>
        <v>#DIV/0!</v>
      </c>
      <c r="AL22" s="769" t="e">
        <f>((RADIANS(-$J15)-RADIANS(-$J$13))+(1-($AC$60/16*(1-((COS((ATAN((1-$AC$60)*TAN(RADIANS($I$13)))))*COS((ATAN((1-$AC$60)*TAN(RADIANS($I15)))))*SIN($AJ22))/SIN($AK22))^2)*(4+$AC$60*(4-3*(1-((COS((ATAN((1-$AC$60)*TAN(RADIANS($I$13)))))*COS((ATAN((1-$AC$60)*TAN(RADIANS($I15)))))*SIN($AJ22))/SIN($AK22))^2)))))*$AC$60*((COS((ATAN((1-$AC$60)*TAN(RADIANS($I$13)))))*COS((ATAN((1-$AC$60)*TAN(RADIANS($I15)))))*SIN($AJ22))/SIN($AK22))*($AK22+($AC$60/16*(1-((COS((ATAN((1-$AC$60)*TAN(RADIANS($I$13)))))*COS((ATAN((1-$AC$60)*TAN(RADIANS($I15)))))*SIN($AJ22))/SIN($AK22))^2)*(4+$AC$60*(4-3*(1-((COS((ATAN((1-$AC$60)*TAN(RADIANS($I$13)))))*COS((ATAN((1-$AC$60)*TAN(RADIANS($I15)))))*SIN($AJ22))/SIN($AK22))^2))))*SIN($AK22)*((COS($AK22)-2*SIN((ATAN((1-$AC$60)*TAN(RADIANS($I$13)))))*SIN((ATAN((1-$AC$60)*TAN(RADIANS($I15)))))/(1-((COS((ATAN((1-$AC$60)*TAN(RADIANS($I$13)))))*COS((ATAN((1-$AC$60)*TAN(RADIANS($I15)))))*SIN($AJ22))/SIN($AK22))^2))+($AC$60/16*(1-((COS((ATAN((1-$AC$60)*TAN(RADIANS($I$13)))))*COS((ATAN((1-$AC$60)*TAN(RADIANS($I15)))))*SIN($AJ22))/SIN($AK22))^2)*(4+$AC$60*(4-3*(1-((COS((ATAN((1-$AC$60)*TAN(RADIANS($I$13)))))*COS((ATAN((1-$AC$60)*TAN(RADIANS($I15)))))*SIN($AJ22))/SIN($AK22))^2))))*COS($AK22)*(-1+2*(COS($AK22)-2*SIN((ATAN((1-$AC$60)*TAN(RADIANS($I$13)))))*SIN((ATAN((1-$AC$60)*TAN(RADIANS($I15)))))/(1-((COS((ATAN((1-$AC$60)*TAN(RADIANS($I$13)))))*COS((ATAN((1-$AC$60)*TAN(RADIANS($I15)))))*SIN($AJ22))/SIN($AK22))^2))^2))))</f>
        <v>#DIV/0!</v>
      </c>
      <c r="AM22" s="769" t="e">
        <f>ATAN2((SIN((ATAN((1-$AC$60)*TAN(RADIANS($I$13)))))*SIN((ATAN((1-$AC$60)*TAN(RADIANS($I15)))))+COS((ATAN((1-$AC$60)*TAN(RADIANS($I$13)))))*COS((ATAN((1-$AC$60)*TAN(RADIANS($I15)))))*COS($AL22)),(((COS((ATAN((1-$AC$60)*TAN(RADIANS($I15)))))*SIN($AL22))^2+(COS((ATAN((1-$AC$60)*TAN(RADIANS($I$13)))))*SIN((ATAN((1-$AC$60)*TAN(RADIANS($I15)))))-SIN((ATAN((1-$AC$60)*TAN(RADIANS($I$13)))))*COS((ATAN((1-$AC$60)*TAN(RADIANS($I15)))))*COS($AL22))^2)^0.5))</f>
        <v>#DIV/0!</v>
      </c>
      <c r="AN22" s="769" t="e">
        <f>((RADIANS(-$J15)-RADIANS(-$J$13))+(1-($AC$60/16*(1-((COS((ATAN((1-$AC$60)*TAN(RADIANS($I$13)))))*COS((ATAN((1-$AC$60)*TAN(RADIANS($I15)))))*SIN($AL22))/SIN($AM22))^2)*(4+$AC$60*(4-3*(1-((COS((ATAN((1-$AC$60)*TAN(RADIANS($I$13)))))*COS((ATAN((1-$AC$60)*TAN(RADIANS($I15)))))*SIN($AL22))/SIN($AM22))^2)))))*$AC$60*((COS((ATAN((1-$AC$60)*TAN(RADIANS($I$13)))))*COS((ATAN((1-$AC$60)*TAN(RADIANS($I15)))))*SIN($AL22))/SIN($AM22))*($AM22+($AC$60/16*(1-((COS((ATAN((1-$AC$60)*TAN(RADIANS($I$13)))))*COS((ATAN((1-$AC$60)*TAN(RADIANS($I15)))))*SIN($AL22))/SIN($AM22))^2)*(4+$AC$60*(4-3*(1-((COS((ATAN((1-$AC$60)*TAN(RADIANS($I$13)))))*COS((ATAN((1-$AC$60)*TAN(RADIANS($I15)))))*SIN($AL22))/SIN($AM22))^2))))*SIN($AM22)*((COS($AM22)-2*SIN((ATAN((1-$AC$60)*TAN(RADIANS($I$13)))))*SIN((ATAN((1-$AC$60)*TAN(RADIANS($I15)))))/(1-((COS((ATAN((1-$AC$60)*TAN(RADIANS($I$13)))))*COS((ATAN((1-$AC$60)*TAN(RADIANS($I15)))))*SIN($AL22))/SIN($AM22))^2))+($AC$60/16*(1-((COS((ATAN((1-$AC$60)*TAN(RADIANS($I$13)))))*COS((ATAN((1-$AC$60)*TAN(RADIANS($I15)))))*SIN($AL22))/SIN($AM22))^2)*(4+$AC$60*(4-3*(1-((COS((ATAN((1-$AC$60)*TAN(RADIANS($I$13)))))*COS((ATAN((1-$AC$60)*TAN(RADIANS($I15)))))*SIN($AL22))/SIN($AM22))^2))))*COS($AM22)*(-1+2*(COS($AM22)-2*SIN((ATAN((1-$AC$60)*TAN(RADIANS($I$13)))))*SIN((ATAN((1-$AC$60)*TAN(RADIANS($I15)))))/(1-((COS((ATAN((1-$AC$60)*TAN(RADIANS($I$13)))))*COS((ATAN((1-$AC$60)*TAN(RADIANS($I15)))))*SIN($AL22))/SIN($AM22))^2))^2))))</f>
        <v>#DIV/0!</v>
      </c>
      <c r="AO22" s="773" t="e">
        <f>($AC$59*((1+1/4*(((1+((1-((COS((ATAN((1-$AC$60)*TAN(RADIANS($I$13)))))*COS((ATAN((1-$AC$60)*TAN(RADIANS($I15)))))*SIN($AN22))/SIN($AM22))^2)*$AC$64))^0.5-1)/((1+((1-((COS((ATAN((1-$AC$60)*TAN(RADIANS($I$13)))))*COS((ATAN((1-$AC$60)*TAN(RADIANS($I15)))))*SIN($AN22))/SIN($AM22))^2)*$AC$64))^0.5+1))^2)/(1-((1+((1-((COS((ATAN((1-$AC$60)*TAN(RADIANS($I$13)))))*COS((ATAN((1-$AC$60)*TAN(RADIANS($I15)))))*SIN($AN22))/SIN($AM22))^2)*$AC$64))^0.5-1)/((1+((1-((COS((ATAN((1-$AC$60)*TAN(RADIANS($I$13)))))*COS((ATAN((1-$AC$60)*TAN(RADIANS($I15)))))*SIN($AN22))/SIN($AM22))^2)*$AC$64))^0.5+1)))*($AM22-((((1+((1-((COS((ATAN((1-$AC$60)*TAN(RADIANS($I$13)))))*COS((ATAN((1-$AC$60)*TAN(RADIANS($I15)))))*SIN($AN22))/SIN($AM22))^2)*$AC$64))^0.5-1)/((1+((1-((COS((ATAN((1-$AC$60)*TAN(RADIANS($I$13)))))*COS((ATAN((1-$AC$60)*TAN(RADIANS($I15)))))*SIN($AN22))/SIN($AM22))^2)*$AC$64))^0.5+1)*(1-3/8*(((1+((1-((COS((ATAN((1-$AC$60)*TAN(RADIANS($I$13)))))*COS((ATAN((1-$AC$60)*TAN(RADIANS($I15)))))*SIN($AN22))/SIN($AM22))^2)*$AC$64))^0.5-1)/((1+((1-((COS((ATAN((1-$AC$60)*TAN(RADIANS($I$13)))))*COS((ATAN((1-$AC$60)*TAN(RADIANS($I15)))))*SIN($AN22))/SIN($AM22))^2)*$AC$64))^0.5+1))^2))*(((COS((ATAN((1-$AC$60)*TAN(RADIANS($I15)))))*SIN($AN22))^2+(COS((ATAN((1-$AC$60)*TAN(RADIANS($I$13)))))*SIN((ATAN((1-$AC$60)*TAN(RADIANS($I15)))))-SIN((ATAN((1-$AC$60)*TAN(RADIANS($I$13)))))*COS((ATAN((1-$AC$60)*TAN(RADIANS($I15)))))*COS($AN22))^2)^0.5)*((COS($AM22)-2*SIN((ATAN((1-$AC$60)*TAN(RADIANS($I$13)))))*SIN((ATAN((1-$AC$60)*TAN(RADIANS($I15)))))/(1-((COS((ATAN((1-$AC$60)*TAN(RADIANS($I$13)))))*COS((ATAN((1-$AC$60)*TAN(RADIANS($I15)))))*SIN($AN22))/SIN($AM22))^2))+1/4*(((1+((1-((COS((ATAN((1-$AC$60)*TAN(RADIANS($I$13)))))*COS((ATAN((1-$AC$60)*TAN(RADIANS($I15)))))*SIN($AN22))/SIN($AM22))^2)*$AC$64))^0.5-1)/((1+((1-((COS((ATAN((1-$AC$60)*TAN(RADIANS($I$13)))))*COS((ATAN((1-$AC$60)*TAN(RADIANS($I15)))))*SIN($AN22))/SIN($AM22))^2)*$AC$64))^0.5+1)*(1-3/8*(((1+((1-((COS((ATAN((1-$AC$60)*TAN(RADIANS($I$13)))))*COS((ATAN((1-$AC$60)*TAN(RADIANS($I15)))))*SIN($AN22))/SIN($AM22))^2)*$AC$64))^0.5-1)/((1+((1-((COS((ATAN((1-$AC$60)*TAN(RADIANS($I$13)))))*COS((ATAN((1-$AC$60)*TAN(RADIANS($I15)))))*SIN($AN22))/SIN($AM22))^2)*$AC$64))^0.5+1))^2))*(SIN((ATAN((1-$AC$60)*TAN(RADIANS($I$13)))))*SIN((ATAN((1-$AC$60)*TAN(RADIANS($I15)))))+COS((ATAN((1-$AC$60)*TAN(RADIANS($I$13)))))*COS((ATAN((1-$AC$60)*TAN(RADIANS($I15)))))*COS($AN22))*(-1+2*(COS($AM22)-2*SIN((ATAN((1-$AC$60)*TAN(RADIANS($I$13)))))*SIN((ATAN((1-$AC$60)*TAN(RADIANS($I15)))))/(1-((COS((ATAN((1-$AC$60)*TAN(RADIANS($I$13)))))*COS((ATAN((1-$AC$60)*TAN(RADIANS($I15)))))*SIN($AN22))/SIN($AM22))^2)))))))</f>
        <v>#DIV/0!</v>
      </c>
      <c r="AP22" s="769" t="e">
        <f>ATAN2((COS((ATAN((1-$AC$60)*TAN(RADIANS($I$13)))))*SIN((ATAN((1-$AC$60)*TAN(RADIANS($I15)))))-SIN((ATAN((1-$AC$60)*TAN(RADIANS($I$13)))))*COS((ATAN((1-$AC$60)*TAN(RADIANS($I15)))))*COS($AN22)),(COS((ATAN((1-$AC$60)*TAN(RADIANS($I15)))))*SIN($AN22)))</f>
        <v>#DIV/0!</v>
      </c>
      <c r="AQ22" s="769" t="e">
        <f>ATAN2((COS((ATAN((1-$AC$60)*TAN(RADIANS($I$13)))))*SIN((ATAN((1-$AC$60)*TAN(RADIANS($I15)))))*COS($AN22)-SIN((ATAN((1-$AC$60)*TAN(RADIANS($I$13)))))*COS((ATAN((1-$AC$60)*TAN(RADIANS($I15)))))),(COS((ATAN((1-$AC$60)*TAN(RADIANS($I$13)))))*SIN($AN22)))</f>
        <v>#DIV/0!</v>
      </c>
    </row>
    <row r="23" spans="1:43" ht="15.75" customHeight="1" thickBot="1" x14ac:dyDescent="0.3">
      <c r="A23" s="461"/>
      <c r="B23" s="455"/>
      <c r="C23" s="517" t="s">
        <v>16</v>
      </c>
      <c r="D23" s="738" t="s">
        <v>17</v>
      </c>
      <c r="E23" s="455"/>
      <c r="F23" s="518"/>
      <c r="G23" s="519"/>
      <c r="H23" s="449"/>
      <c r="I23" s="520"/>
      <c r="J23" s="465"/>
      <c r="K23" s="455"/>
      <c r="L23" s="455"/>
      <c r="M23" s="841" t="str">
        <f>CONCATENATE($C$35," MD"," BHL 1 departure"," calculation")</f>
        <v xml:space="preserve"> MD BHL 1 departure calculation</v>
      </c>
      <c r="N23" s="842"/>
      <c r="O23" s="842"/>
      <c r="P23" s="838"/>
      <c r="Q23" s="174"/>
      <c r="S23" s="385" t="s">
        <v>111</v>
      </c>
      <c r="T23" s="386" t="s">
        <v>112</v>
      </c>
      <c r="U23" s="386" t="s">
        <v>113</v>
      </c>
      <c r="V23" s="387" t="s">
        <v>114</v>
      </c>
      <c r="AA23" s="269" t="s">
        <v>115</v>
      </c>
      <c r="AB23" s="267">
        <v>6375032</v>
      </c>
      <c r="AC23" s="267">
        <v>6373617</v>
      </c>
      <c r="AD23" s="267">
        <v>6372457</v>
      </c>
      <c r="AE23" s="267"/>
      <c r="AF23" s="268" t="s">
        <v>116</v>
      </c>
      <c r="AG23" s="439" t="s">
        <v>117</v>
      </c>
      <c r="AH23" s="769">
        <f>(RADIANS(-$J14)-RADIANS(-$G$23))</f>
        <v>0</v>
      </c>
      <c r="AI23" s="769">
        <f>ATAN2((SIN((ATAN((1-$AC$60)*TAN(RADIANS($F$23)))))*SIN((ATAN((1-$AC$60)*TAN(RADIANS($I14)))))+COS((ATAN((1-$AC$60)*TAN(RADIANS($F$23)))))*COS((ATAN((1-$AC$60)*TAN(RADIANS($I14)))))*COS($AH23)),(((COS((ATAN((1-$AC$60)*TAN(RADIANS($I14)))))*SIN($AH23))^2+(COS((ATAN((1-$AC$60)*TAN(RADIANS($F$23)))))*SIN((ATAN((1-$AC$60)*TAN(RADIANS($I14)))))-SIN((ATAN((1-$AC$60)*TAN(RADIANS($F$23)))))*COS((ATAN((1-$AC$60)*TAN(RADIANS($I14)))))*COS($AH23))^2)^0.5))</f>
        <v>0</v>
      </c>
      <c r="AJ23" s="769" t="e">
        <f>((RADIANS(-$J14)-RADIANS(-$G$23))+(1-($AC$60/16*(1-((COS((ATAN((1-$AC$60)*TAN(RADIANS($F$23)))))*COS((ATAN((1-$AC$60)*TAN(RADIANS($I14)))))*SIN($AH23))/SIN($AI23))^2)*(4+$AC$60*(4-3*(1-((COS((ATAN((1-$AC$60)*TAN(RADIANS($F$23)))))*COS((ATAN((1-$AC$60)*TAN(RADIANS($I14)))))*SIN($AH23))/SIN($AI23))^2)))))*$AC$60*((COS((ATAN((1-$AC$60)*TAN(RADIANS($F$23)))))*COS((ATAN((1-$AC$60)*TAN(RADIANS($I14)))))*SIN($AH23))/SIN($AI23))*($AI23+($AC$60/16*(1-((COS((ATAN((1-$AC$60)*TAN(RADIANS($F$23)))))*COS((ATAN((1-$AC$60)*TAN(RADIANS($I14)))))*SIN($AH23))/SIN($AI23))^2)*(4+$AC$60*(4-3*(1-((COS((ATAN((1-$AC$60)*TAN(RADIANS($F$23)))))*COS((ATAN((1-$AC$60)*TAN(RADIANS($I14)))))*SIN($AH23))/SIN($AI23))^2))))*SIN($AI23)*((COS($AI23)-2*SIN((ATAN((1-$AC$60)*TAN(RADIANS($F$23)))))*SIN((ATAN((1-$AC$60)*TAN(RADIANS($I14)))))/(1-((COS((ATAN((1-$AC$60)*TAN(RADIANS($F$23)))))*COS((ATAN((1-$AC$60)*TAN(RADIANS($I14)))))*SIN($AH23))/SIN($AI23))^2))+($AC$60/16*(1-((COS((ATAN((1-$AC$60)*TAN(RADIANS($F$23)))))*COS((ATAN((1-$AC$60)*TAN(RADIANS($I14)))))*SIN($AH23))/SIN($AI23))^2)*(4+$AC$60*(4-3*(1-((COS((ATAN((1-$AC$60)*TAN(RADIANS($F$23)))))*COS((ATAN((1-$AC$60)*TAN(RADIANS($I14)))))*SIN($AH23))/SIN($AI23))^2))))*COS($AI23)*(-1+2*(COS($AI23)-2*SIN((ATAN((1-$AC$60)*TAN(RADIANS($F$23)))))*SIN((ATAN((1-$AC$60)*TAN(RADIANS($I14)))))/(1-((COS((ATAN((1-$AC$60)*TAN(RADIANS($F$23)))))*COS((ATAN((1-$AC$60)*TAN(RADIANS($I14)))))*SIN($AH23))/SIN($AI23))^2))^2))))</f>
        <v>#DIV/0!</v>
      </c>
      <c r="AK23" s="769" t="e">
        <f>ATAN2((SIN((ATAN((1-$AC$60)*TAN(RADIANS($F$23)))))*SIN((ATAN((1-$AC$60)*TAN(RADIANS($I14)))))+COS((ATAN((1-$AC$60)*TAN(RADIANS($F$23)))))*COS((ATAN((1-$AC$60)*TAN(RADIANS($I14)))))*COS($AJ23)),(((COS((ATAN((1-$AC$60)*TAN(RADIANS($I14)))))*SIN($AJ23))^2+(COS((ATAN((1-$AC$60)*TAN(RADIANS($F$23)))))*SIN((ATAN((1-$AC$60)*TAN(RADIANS($I14)))))-SIN((ATAN((1-$AC$60)*TAN(RADIANS($F$23)))))*COS((ATAN((1-$AC$60)*TAN(RADIANS($I14)))))*COS($AJ23))^2)^0.5))</f>
        <v>#DIV/0!</v>
      </c>
      <c r="AL23" s="769" t="e">
        <f>((RADIANS(-$J14)-RADIANS(-$G$23))+(1-($AC$60/16*(1-((COS((ATAN((1-$AC$60)*TAN(RADIANS($F$23)))))*COS((ATAN((1-$AC$60)*TAN(RADIANS($I14)))))*SIN($AJ23))/SIN($AK23))^2)*(4+$AC$60*(4-3*(1-((COS((ATAN((1-$AC$60)*TAN(RADIANS($F$23)))))*COS((ATAN((1-$AC$60)*TAN(RADIANS($I14)))))*SIN($AJ23))/SIN($AK23))^2)))))*$AC$60*((COS((ATAN((1-$AC$60)*TAN(RADIANS($F$23)))))*COS((ATAN((1-$AC$60)*TAN(RADIANS($I14)))))*SIN($AJ23))/SIN($AK23))*($AK23+($AC$60/16*(1-((COS((ATAN((1-$AC$60)*TAN(RADIANS($F$23)))))*COS((ATAN((1-$AC$60)*TAN(RADIANS($I14)))))*SIN($AJ23))/SIN($AK23))^2)*(4+$AC$60*(4-3*(1-((COS((ATAN((1-$AC$60)*TAN(RADIANS($F$23)))))*COS((ATAN((1-$AC$60)*TAN(RADIANS($I14)))))*SIN($AJ23))/SIN($AK23))^2))))*SIN($AK23)*((COS($AK23)-2*SIN((ATAN((1-$AC$60)*TAN(RADIANS($F$23)))))*SIN((ATAN((1-$AC$60)*TAN(RADIANS($I14)))))/(1-((COS((ATAN((1-$AC$60)*TAN(RADIANS($F$23)))))*COS((ATAN((1-$AC$60)*TAN(RADIANS($I14)))))*SIN($AJ23))/SIN($AK23))^2))+($AC$60/16*(1-((COS((ATAN((1-$AC$60)*TAN(RADIANS($F$23)))))*COS((ATAN((1-$AC$60)*TAN(RADIANS($I14)))))*SIN($AJ23))/SIN($AK23))^2)*(4+$AC$60*(4-3*(1-((COS((ATAN((1-$AC$60)*TAN(RADIANS($F$23)))))*COS((ATAN((1-$AC$60)*TAN(RADIANS($I14)))))*SIN($AJ23))/SIN($AK23))^2))))*COS($AK23)*(-1+2*(COS($AK23)-2*SIN((ATAN((1-$AC$60)*TAN(RADIANS($F$23)))))*SIN((ATAN((1-$AC$60)*TAN(RADIANS($I14)))))/(1-((COS((ATAN((1-$AC$60)*TAN(RADIANS($F$23)))))*COS((ATAN((1-$AC$60)*TAN(RADIANS($I14)))))*SIN($AJ23))/SIN($AK23))^2))^2))))</f>
        <v>#DIV/0!</v>
      </c>
      <c r="AM23" s="769" t="e">
        <f>ATAN2((SIN((ATAN((1-$AC$60)*TAN(RADIANS($F$23)))))*SIN((ATAN((1-$AC$60)*TAN(RADIANS($I14)))))+COS((ATAN((1-$AC$60)*TAN(RADIANS($F$23)))))*COS((ATAN((1-$AC$60)*TAN(RADIANS($I14)))))*COS($AL23)),(((COS((ATAN((1-$AC$60)*TAN(RADIANS($I14)))))*SIN($AL23))^2+(COS((ATAN((1-$AC$60)*TAN(RADIANS($F$23)))))*SIN((ATAN((1-$AC$60)*TAN(RADIANS($I14)))))-SIN((ATAN((1-$AC$60)*TAN(RADIANS($F$23)))))*COS((ATAN((1-$AC$60)*TAN(RADIANS($I14)))))*COS($AL23))^2)^0.5))</f>
        <v>#DIV/0!</v>
      </c>
      <c r="AN23" s="769" t="e">
        <f>((RADIANS(-$J14)-RADIANS(-$G$23))+(1-($AC$60/16*(1-((COS((ATAN((1-$AC$60)*TAN(RADIANS($F$23)))))*COS((ATAN((1-$AC$60)*TAN(RADIANS($I14)))))*SIN($AL23))/SIN($AM23))^2)*(4+$AC$60*(4-3*(1-((COS((ATAN((1-$AC$60)*TAN(RADIANS($F$23)))))*COS((ATAN((1-$AC$60)*TAN(RADIANS($I14)))))*SIN($AL23))/SIN($AM23))^2)))))*$AC$60*((COS((ATAN((1-$AC$60)*TAN(RADIANS($F$23)))))*COS((ATAN((1-$AC$60)*TAN(RADIANS($I14)))))*SIN($AL23))/SIN($AM23))*($AM23+($AC$60/16*(1-((COS((ATAN((1-$AC$60)*TAN(RADIANS($F$23)))))*COS((ATAN((1-$AC$60)*TAN(RADIANS($I14)))))*SIN($AL23))/SIN($AM23))^2)*(4+$AC$60*(4-3*(1-((COS((ATAN((1-$AC$60)*TAN(RADIANS($F$23)))))*COS((ATAN((1-$AC$60)*TAN(RADIANS($I14)))))*SIN($AL23))/SIN($AM23))^2))))*SIN($AM23)*((COS($AM23)-2*SIN((ATAN((1-$AC$60)*TAN(RADIANS($F$23)))))*SIN((ATAN((1-$AC$60)*TAN(RADIANS($I14)))))/(1-((COS((ATAN((1-$AC$60)*TAN(RADIANS($F$23)))))*COS((ATAN((1-$AC$60)*TAN(RADIANS($I14)))))*SIN($AL23))/SIN($AM23))^2))+($AC$60/16*(1-((COS((ATAN((1-$AC$60)*TAN(RADIANS($F$23)))))*COS((ATAN((1-$AC$60)*TAN(RADIANS($I14)))))*SIN($AL23))/SIN($AM23))^2)*(4+$AC$60*(4-3*(1-((COS((ATAN((1-$AC$60)*TAN(RADIANS($F$23)))))*COS((ATAN((1-$AC$60)*TAN(RADIANS($I14)))))*SIN($AL23))/SIN($AM23))^2))))*COS($AM23)*(-1+2*(COS($AM23)-2*SIN((ATAN((1-$AC$60)*TAN(RADIANS($F$23)))))*SIN((ATAN((1-$AC$60)*TAN(RADIANS($I14)))))/(1-((COS((ATAN((1-$AC$60)*TAN(RADIANS($F$23)))))*COS((ATAN((1-$AC$60)*TAN(RADIANS($I14)))))*SIN($AL23))/SIN($AM23))^2))^2))))</f>
        <v>#DIV/0!</v>
      </c>
      <c r="AO23" s="773" t="e">
        <f>($AC$59*((1+1/4*(((1+((1-((COS((ATAN((1-$AC$60)*TAN(RADIANS($F$23)))))*COS((ATAN((1-$AC$60)*TAN(RADIANS($I14)))))*SIN($AN23))/SIN($AM23))^2)*$AC$64))^0.5-1)/((1+((1-((COS((ATAN((1-$AC$60)*TAN(RADIANS($F$23)))))*COS((ATAN((1-$AC$60)*TAN(RADIANS($I14)))))*SIN($AN23))/SIN($AM23))^2)*$AC$64))^0.5+1))^2)/(1-((1+((1-((COS((ATAN((1-$AC$60)*TAN(RADIANS($F$23)))))*COS((ATAN((1-$AC$60)*TAN(RADIANS($I14)))))*SIN($AN23))/SIN($AM23))^2)*$AC$64))^0.5-1)/((1+((1-((COS((ATAN((1-$AC$60)*TAN(RADIANS($F$23)))))*COS((ATAN((1-$AC$60)*TAN(RADIANS($I14)))))*SIN($AN23))/SIN($AM23))^2)*$AC$64))^0.5+1)))*($AM23-((((1+((1-((COS((ATAN((1-$AC$60)*TAN(RADIANS($F$23)))))*COS((ATAN((1-$AC$60)*TAN(RADIANS($I14)))))*SIN($AN23))/SIN($AM23))^2)*$AC$64))^0.5-1)/((1+((1-((COS((ATAN((1-$AC$60)*TAN(RADIANS($F$23)))))*COS((ATAN((1-$AC$60)*TAN(RADIANS($I14)))))*SIN($AN23))/SIN($AM23))^2)*$AC$64))^0.5+1)*(1-3/8*(((1+((1-((COS((ATAN((1-$AC$60)*TAN(RADIANS($F$23)))))*COS((ATAN((1-$AC$60)*TAN(RADIANS($I14)))))*SIN($AN23))/SIN($AM23))^2)*$AC$64))^0.5-1)/((1+((1-((COS((ATAN((1-$AC$60)*TAN(RADIANS($F$23)))))*COS((ATAN((1-$AC$60)*TAN(RADIANS($I14)))))*SIN($AN23))/SIN($AM23))^2)*$AC$64))^0.5+1))^2))*(((COS((ATAN((1-$AC$60)*TAN(RADIANS($I14)))))*SIN($AN23))^2+(COS((ATAN((1-$AC$60)*TAN(RADIANS($F$23)))))*SIN((ATAN((1-$AC$60)*TAN(RADIANS($I14)))))-SIN((ATAN((1-$AC$60)*TAN(RADIANS($F$23)))))*COS((ATAN((1-$AC$60)*TAN(RADIANS($I14)))))*COS($AN23))^2)^0.5)*((COS($AM23)-2*SIN((ATAN((1-$AC$60)*TAN(RADIANS($F$23)))))*SIN((ATAN((1-$AC$60)*TAN(RADIANS($I14)))))/(1-((COS((ATAN((1-$AC$60)*TAN(RADIANS($F$23)))))*COS((ATAN((1-$AC$60)*TAN(RADIANS($I14)))))*SIN($AN23))/SIN($AM23))^2))+1/4*(((1+((1-((COS((ATAN((1-$AC$60)*TAN(RADIANS($F$23)))))*COS((ATAN((1-$AC$60)*TAN(RADIANS($I14)))))*SIN($AN23))/SIN($AM23))^2)*$AC$64))^0.5-1)/((1+((1-((COS((ATAN((1-$AC$60)*TAN(RADIANS($F$23)))))*COS((ATAN((1-$AC$60)*TAN(RADIANS($I14)))))*SIN($AN23))/SIN($AM23))^2)*$AC$64))^0.5+1)*(1-3/8*(((1+((1-((COS((ATAN((1-$AC$60)*TAN(RADIANS($F$23)))))*COS((ATAN((1-$AC$60)*TAN(RADIANS($I14)))))*SIN($AN23))/SIN($AM23))^2)*$AC$64))^0.5-1)/((1+((1-((COS((ATAN((1-$AC$60)*TAN(RADIANS($F$23)))))*COS((ATAN((1-$AC$60)*TAN(RADIANS($I14)))))*SIN($AN23))/SIN($AM23))^2)*$AC$64))^0.5+1))^2))*(SIN((ATAN((1-$AC$60)*TAN(RADIANS($F$23)))))*SIN((ATAN((1-$AC$60)*TAN(RADIANS($I14)))))+COS((ATAN((1-$AC$60)*TAN(RADIANS($F$23)))))*COS((ATAN((1-$AC$60)*TAN(RADIANS($I14)))))*COS($AN23))*(-1+2*(COS($AM23)-2*SIN((ATAN((1-$AC$60)*TAN(RADIANS($F$23)))))*SIN((ATAN((1-$AC$60)*TAN(RADIANS($I14)))))/(1-((COS((ATAN((1-$AC$60)*TAN(RADIANS($F$23)))))*COS((ATAN((1-$AC$60)*TAN(RADIANS($I14)))))*SIN($AN23))/SIN($AM23))^2)))))))</f>
        <v>#DIV/0!</v>
      </c>
      <c r="AP23" s="769" t="e">
        <f>ATAN2((COS((ATAN((1-$AC$60)*TAN(RADIANS($F$23)))))*SIN((ATAN((1-$AC$60)*TAN(RADIANS($I14)))))-SIN((ATAN((1-$AC$60)*TAN(RADIANS($F$23)))))*COS((ATAN((1-$AC$60)*TAN(RADIANS($I14)))))*COS($AN23)),(COS((ATAN((1-$AC$60)*TAN(RADIANS($I14)))))*SIN($AN23)))</f>
        <v>#DIV/0!</v>
      </c>
      <c r="AQ23" s="769" t="e">
        <f>ATAN2((COS((ATAN((1-$AC$60)*TAN(RADIANS($F$23)))))*SIN((ATAN((1-$AC$60)*TAN(RADIANS($I14)))))*COS($AN23)-SIN((ATAN((1-$AC$60)*TAN(RADIANS($F$23)))))*COS((ATAN((1-$AC$60)*TAN(RADIANS($I14)))))),(COS((ATAN((1-$AC$60)*TAN(RADIANS($F$23)))))*SIN($AN23)))</f>
        <v>#DIV/0!</v>
      </c>
    </row>
    <row r="24" spans="1:43" ht="15.75" customHeight="1" x14ac:dyDescent="0.25">
      <c r="A24" s="461"/>
      <c r="B24" s="521" t="s">
        <v>118</v>
      </c>
      <c r="C24" s="522"/>
      <c r="D24" s="523"/>
      <c r="E24" s="455"/>
      <c r="F24" s="849" t="s">
        <v>119</v>
      </c>
      <c r="G24" s="848"/>
      <c r="H24" s="849" t="s">
        <v>120</v>
      </c>
      <c r="I24" s="848"/>
      <c r="J24" s="455"/>
      <c r="K24" s="455"/>
      <c r="L24" s="465" t="s">
        <v>121</v>
      </c>
      <c r="M24" s="502">
        <f>ABS($C$24*IF(OR($C$28=2,$C$28=4),COS(RADIANS($C$29)),-COS(RADIANS($C$29))))</f>
        <v>0</v>
      </c>
      <c r="N24" s="524" t="str">
        <f>IF(M24=0,"",IF($C$24*IF(OR($C$28=2,$C$28=4),COS(RADIANS($C$29)),-COS(RADIANS($C$29)))&gt;0,"  N","  S"))</f>
        <v/>
      </c>
      <c r="O24" s="503">
        <f>ABS($C$24*IF(OR($C$28=1,$C$28=2),SIN(RADIANS($C$29)),-SIN(RADIANS($C$29))))</f>
        <v>0</v>
      </c>
      <c r="P24" s="525" t="str">
        <f>IF(O24=0,"",IF($C$24*IF(OR($C$28=1,$C$28=2),SIN(RADIANS($C$29)),-SIN(RADIANS($C$29)))&gt;0,"  E","  W"))</f>
        <v/>
      </c>
      <c r="Q24" s="174"/>
      <c r="S24" s="389" t="s">
        <v>122</v>
      </c>
      <c r="T24" s="390" t="s">
        <v>122</v>
      </c>
      <c r="U24" s="391">
        <f>IF($E$35=1,$D$35,-$D$35)</f>
        <v>0</v>
      </c>
      <c r="V24" s="388">
        <f>IF($G$35=1,$F$35,-$F$35)</f>
        <v>0</v>
      </c>
      <c r="AA24" s="269"/>
      <c r="AB24" s="267"/>
      <c r="AC24" s="267"/>
      <c r="AD24" s="267"/>
      <c r="AE24" s="267"/>
      <c r="AF24" s="268"/>
      <c r="AG24" s="439" t="s">
        <v>123</v>
      </c>
      <c r="AH24" s="769">
        <f>(RADIANS(-$J15)-RADIANS(-$I$23))</f>
        <v>0</v>
      </c>
      <c r="AI24" s="769">
        <f>ATAN2((SIN((ATAN((1-$AC$60)*TAN(RADIANS($H$23)))))*SIN((ATAN((1-$AC$60)*TAN(RADIANS($I15)))))+COS((ATAN((1-$AC$60)*TAN(RADIANS($H$23)))))*COS((ATAN((1-$AC$60)*TAN(RADIANS($I15)))))*COS($AH24)),(((COS((ATAN((1-$AC$60)*TAN(RADIANS($I15)))))*SIN($AH24))^2+(COS((ATAN((1-$AC$60)*TAN(RADIANS($H$23)))))*SIN((ATAN((1-$AC$60)*TAN(RADIANS($I15)))))-SIN((ATAN((1-$AC$60)*TAN(RADIANS($H$23)))))*COS((ATAN((1-$AC$60)*TAN(RADIANS($I15)))))*COS($AH24))^2)^0.5))</f>
        <v>0</v>
      </c>
      <c r="AJ24" s="769" t="e">
        <f>((RADIANS(-$J15)-RADIANS(-$I$23))+(1-($AC$60/16*(1-((COS((ATAN((1-$AC$60)*TAN(RADIANS($H$23)))))*COS((ATAN((1-$AC$60)*TAN(RADIANS($I15)))))*SIN($AH24))/SIN($AI24))^2)*(4+$AC$60*(4-3*(1-((COS((ATAN((1-$AC$60)*TAN(RADIANS($H$23)))))*COS((ATAN((1-$AC$60)*TAN(RADIANS($I15)))))*SIN($AH24))/SIN($AI24))^2)))))*$AC$60*((COS((ATAN((1-$AC$60)*TAN(RADIANS($H$23)))))*COS((ATAN((1-$AC$60)*TAN(RADIANS($I15)))))*SIN($AH24))/SIN($AI24))*($AI24+($AC$60/16*(1-((COS((ATAN((1-$AC$60)*TAN(RADIANS($H$23)))))*COS((ATAN((1-$AC$60)*TAN(RADIANS($I15)))))*SIN($AH24))/SIN($AI24))^2)*(4+$AC$60*(4-3*(1-((COS((ATAN((1-$AC$60)*TAN(RADIANS($H$23)))))*COS((ATAN((1-$AC$60)*TAN(RADIANS($I15)))))*SIN($AH24))/SIN($AI24))^2))))*SIN($AI24)*((COS($AI24)-2*SIN((ATAN((1-$AC$60)*TAN(RADIANS($H$23)))))*SIN((ATAN((1-$AC$60)*TAN(RADIANS($I15)))))/(1-((COS((ATAN((1-$AC$60)*TAN(RADIANS($H$23)))))*COS((ATAN((1-$AC$60)*TAN(RADIANS($I15)))))*SIN($AH24))/SIN($AI24))^2))+($AC$60/16*(1-((COS((ATAN((1-$AC$60)*TAN(RADIANS($H$23)))))*COS((ATAN((1-$AC$60)*TAN(RADIANS($I15)))))*SIN($AH24))/SIN($AI24))^2)*(4+$AC$60*(4-3*(1-((COS((ATAN((1-$AC$60)*TAN(RADIANS($H$23)))))*COS((ATAN((1-$AC$60)*TAN(RADIANS($I15)))))*SIN($AH24))/SIN($AI24))^2))))*COS($AI24)*(-1+2*(COS($AI24)-2*SIN((ATAN((1-$AC$60)*TAN(RADIANS($H$23)))))*SIN((ATAN((1-$AC$60)*TAN(RADIANS($I15)))))/(1-((COS((ATAN((1-$AC$60)*TAN(RADIANS($H$23)))))*COS((ATAN((1-$AC$60)*TAN(RADIANS($I15)))))*SIN($AH24))/SIN($AI24))^2))^2))))</f>
        <v>#DIV/0!</v>
      </c>
      <c r="AK24" s="769" t="e">
        <f>ATAN2((SIN((ATAN((1-$AC$60)*TAN(RADIANS($H$23)))))*SIN((ATAN((1-$AC$60)*TAN(RADIANS($I15)))))+COS((ATAN((1-$AC$60)*TAN(RADIANS($H$23)))))*COS((ATAN((1-$AC$60)*TAN(RADIANS($I15)))))*COS($AJ24)),(((COS((ATAN((1-$AC$60)*TAN(RADIANS($I15)))))*SIN($AJ24))^2+(COS((ATAN((1-$AC$60)*TAN(RADIANS($H$23)))))*SIN((ATAN((1-$AC$60)*TAN(RADIANS($I15)))))-SIN((ATAN((1-$AC$60)*TAN(RADIANS($H$23)))))*COS((ATAN((1-$AC$60)*TAN(RADIANS($I15)))))*COS($AJ24))^2)^0.5))</f>
        <v>#DIV/0!</v>
      </c>
      <c r="AL24" s="769" t="e">
        <f>((RADIANS(-$J15)-RADIANS(-$I$23))+(1-($AC$60/16*(1-((COS((ATAN((1-$AC$60)*TAN(RADIANS($H$23)))))*COS((ATAN((1-$AC$60)*TAN(RADIANS($I15)))))*SIN($AJ24))/SIN($AK24))^2)*(4+$AC$60*(4-3*(1-((COS((ATAN((1-$AC$60)*TAN(RADIANS($H$23)))))*COS((ATAN((1-$AC$60)*TAN(RADIANS($I15)))))*SIN($AJ24))/SIN($AK24))^2)))))*$AC$60*((COS((ATAN((1-$AC$60)*TAN(RADIANS($H$23)))))*COS((ATAN((1-$AC$60)*TAN(RADIANS($I15)))))*SIN($AJ24))/SIN($AK24))*($AK24+($AC$60/16*(1-((COS((ATAN((1-$AC$60)*TAN(RADIANS($H$23)))))*COS((ATAN((1-$AC$60)*TAN(RADIANS($I15)))))*SIN($AJ24))/SIN($AK24))^2)*(4+$AC$60*(4-3*(1-((COS((ATAN((1-$AC$60)*TAN(RADIANS($H$23)))))*COS((ATAN((1-$AC$60)*TAN(RADIANS($I15)))))*SIN($AJ24))/SIN($AK24))^2))))*SIN($AK24)*((COS($AK24)-2*SIN((ATAN((1-$AC$60)*TAN(RADIANS($H$23)))))*SIN((ATAN((1-$AC$60)*TAN(RADIANS($I15)))))/(1-((COS((ATAN((1-$AC$60)*TAN(RADIANS($H$23)))))*COS((ATAN((1-$AC$60)*TAN(RADIANS($I15)))))*SIN($AJ24))/SIN($AK24))^2))+($AC$60/16*(1-((COS((ATAN((1-$AC$60)*TAN(RADIANS($H$23)))))*COS((ATAN((1-$AC$60)*TAN(RADIANS($I15)))))*SIN($AJ24))/SIN($AK24))^2)*(4+$AC$60*(4-3*(1-((COS((ATAN((1-$AC$60)*TAN(RADIANS($H$23)))))*COS((ATAN((1-$AC$60)*TAN(RADIANS($I15)))))*SIN($AJ24))/SIN($AK24))^2))))*COS($AK24)*(-1+2*(COS($AK24)-2*SIN((ATAN((1-$AC$60)*TAN(RADIANS($H$23)))))*SIN((ATAN((1-$AC$60)*TAN(RADIANS($I15)))))/(1-((COS((ATAN((1-$AC$60)*TAN(RADIANS($H$23)))))*COS((ATAN((1-$AC$60)*TAN(RADIANS($I15)))))*SIN($AJ24))/SIN($AK24))^2))^2))))</f>
        <v>#DIV/0!</v>
      </c>
      <c r="AM24" s="769" t="e">
        <f>ATAN2((SIN((ATAN((1-$AC$60)*TAN(RADIANS($H$23)))))*SIN((ATAN((1-$AC$60)*TAN(RADIANS($I15)))))+COS((ATAN((1-$AC$60)*TAN(RADIANS($H$23)))))*COS((ATAN((1-$AC$60)*TAN(RADIANS($I15)))))*COS($AL24)),(((COS((ATAN((1-$AC$60)*TAN(RADIANS($I15)))))*SIN($AL24))^2+(COS((ATAN((1-$AC$60)*TAN(RADIANS($H$23)))))*SIN((ATAN((1-$AC$60)*TAN(RADIANS($I15)))))-SIN((ATAN((1-$AC$60)*TAN(RADIANS($H$23)))))*COS((ATAN((1-$AC$60)*TAN(RADIANS($I15)))))*COS($AL24))^2)^0.5))</f>
        <v>#DIV/0!</v>
      </c>
      <c r="AN24" s="769" t="e">
        <f>((RADIANS(-$J15)-RADIANS(-$I$23))+(1-($AC$60/16*(1-((COS((ATAN((1-$AC$60)*TAN(RADIANS($H$23)))))*COS((ATAN((1-$AC$60)*TAN(RADIANS($I15)))))*SIN($AL24))/SIN($AM24))^2)*(4+$AC$60*(4-3*(1-((COS((ATAN((1-$AC$60)*TAN(RADIANS($H$23)))))*COS((ATAN((1-$AC$60)*TAN(RADIANS($I15)))))*SIN($AL24))/SIN($AM24))^2)))))*$AC$60*((COS((ATAN((1-$AC$60)*TAN(RADIANS($H$23)))))*COS((ATAN((1-$AC$60)*TAN(RADIANS($I15)))))*SIN($AL24))/SIN($AM24))*($AM24+($AC$60/16*(1-((COS((ATAN((1-$AC$60)*TAN(RADIANS($H$23)))))*COS((ATAN((1-$AC$60)*TAN(RADIANS($I15)))))*SIN($AL24))/SIN($AM24))^2)*(4+$AC$60*(4-3*(1-((COS((ATAN((1-$AC$60)*TAN(RADIANS($H$23)))))*COS((ATAN((1-$AC$60)*TAN(RADIANS($I15)))))*SIN($AL24))/SIN($AM24))^2))))*SIN($AM24)*((COS($AM24)-2*SIN((ATAN((1-$AC$60)*TAN(RADIANS($H$23)))))*SIN((ATAN((1-$AC$60)*TAN(RADIANS($I15)))))/(1-((COS((ATAN((1-$AC$60)*TAN(RADIANS($H$23)))))*COS((ATAN((1-$AC$60)*TAN(RADIANS($I15)))))*SIN($AL24))/SIN($AM24))^2))+($AC$60/16*(1-((COS((ATAN((1-$AC$60)*TAN(RADIANS($H$23)))))*COS((ATAN((1-$AC$60)*TAN(RADIANS($I15)))))*SIN($AL24))/SIN($AM24))^2)*(4+$AC$60*(4-3*(1-((COS((ATAN((1-$AC$60)*TAN(RADIANS($H$23)))))*COS((ATAN((1-$AC$60)*TAN(RADIANS($I15)))))*SIN($AL24))/SIN($AM24))^2))))*COS($AM24)*(-1+2*(COS($AM24)-2*SIN((ATAN((1-$AC$60)*TAN(RADIANS($H$23)))))*SIN((ATAN((1-$AC$60)*TAN(RADIANS($I15)))))/(1-((COS((ATAN((1-$AC$60)*TAN(RADIANS($H$23)))))*COS((ATAN((1-$AC$60)*TAN(RADIANS($I15)))))*SIN($AL24))/SIN($AM24))^2))^2))))</f>
        <v>#DIV/0!</v>
      </c>
      <c r="AO24" s="773" t="e">
        <f>($AC$59*((1+1/4*(((1+((1-((COS((ATAN((1-$AC$60)*TAN(RADIANS($H$23)))))*COS((ATAN((1-$AC$60)*TAN(RADIANS($I15)))))*SIN($AN24))/SIN($AM24))^2)*$AC$64))^0.5-1)/((1+((1-((COS((ATAN((1-$AC$60)*TAN(RADIANS($H$23)))))*COS((ATAN((1-$AC$60)*TAN(RADIANS($I15)))))*SIN($AN24))/SIN($AM24))^2)*$AC$64))^0.5+1))^2)/(1-((1+((1-((COS((ATAN((1-$AC$60)*TAN(RADIANS($H$23)))))*COS((ATAN((1-$AC$60)*TAN(RADIANS($I15)))))*SIN($AN24))/SIN($AM24))^2)*$AC$64))^0.5-1)/((1+((1-((COS((ATAN((1-$AC$60)*TAN(RADIANS($H$23)))))*COS((ATAN((1-$AC$60)*TAN(RADIANS($I15)))))*SIN($AN24))/SIN($AM24))^2)*$AC$64))^0.5+1)))*($AM24-((((1+((1-((COS((ATAN((1-$AC$60)*TAN(RADIANS($H$23)))))*COS((ATAN((1-$AC$60)*TAN(RADIANS($I15)))))*SIN($AN24))/SIN($AM24))^2)*$AC$64))^0.5-1)/((1+((1-((COS((ATAN((1-$AC$60)*TAN(RADIANS($H$23)))))*COS((ATAN((1-$AC$60)*TAN(RADIANS($I15)))))*SIN($AN24))/SIN($AM24))^2)*$AC$64))^0.5+1)*(1-3/8*(((1+((1-((COS((ATAN((1-$AC$60)*TAN(RADIANS($H$23)))))*COS((ATAN((1-$AC$60)*TAN(RADIANS($I15)))))*SIN($AN24))/SIN($AM24))^2)*$AC$64))^0.5-1)/((1+((1-((COS((ATAN((1-$AC$60)*TAN(RADIANS($H$23)))))*COS((ATAN((1-$AC$60)*TAN(RADIANS($I15)))))*SIN($AN24))/SIN($AM24))^2)*$AC$64))^0.5+1))^2))*(((COS((ATAN((1-$AC$60)*TAN(RADIANS($I15)))))*SIN($AN24))^2+(COS((ATAN((1-$AC$60)*TAN(RADIANS($H$23)))))*SIN((ATAN((1-$AC$60)*TAN(RADIANS($I15)))))-SIN((ATAN((1-$AC$60)*TAN(RADIANS($H$23)))))*COS((ATAN((1-$AC$60)*TAN(RADIANS($I15)))))*COS($AN24))^2)^0.5)*((COS($AM24)-2*SIN((ATAN((1-$AC$60)*TAN(RADIANS($H$23)))))*SIN((ATAN((1-$AC$60)*TAN(RADIANS($I15)))))/(1-((COS((ATAN((1-$AC$60)*TAN(RADIANS($H$23)))))*COS((ATAN((1-$AC$60)*TAN(RADIANS($I15)))))*SIN($AN24))/SIN($AM24))^2))+1/4*(((1+((1-((COS((ATAN((1-$AC$60)*TAN(RADIANS($H$23)))))*COS((ATAN((1-$AC$60)*TAN(RADIANS($I15)))))*SIN($AN24))/SIN($AM24))^2)*$AC$64))^0.5-1)/((1+((1-((COS((ATAN((1-$AC$60)*TAN(RADIANS($H$23)))))*COS((ATAN((1-$AC$60)*TAN(RADIANS($I15)))))*SIN($AN24))/SIN($AM24))^2)*$AC$64))^0.5+1)*(1-3/8*(((1+((1-((COS((ATAN((1-$AC$60)*TAN(RADIANS($H$23)))))*COS((ATAN((1-$AC$60)*TAN(RADIANS($I15)))))*SIN($AN24))/SIN($AM24))^2)*$AC$64))^0.5-1)/((1+((1-((COS((ATAN((1-$AC$60)*TAN(RADIANS($H$23)))))*COS((ATAN((1-$AC$60)*TAN(RADIANS($I15)))))*SIN($AN24))/SIN($AM24))^2)*$AC$64))^0.5+1))^2))*(SIN((ATAN((1-$AC$60)*TAN(RADIANS($H$23)))))*SIN((ATAN((1-$AC$60)*TAN(RADIANS($I15)))))+COS((ATAN((1-$AC$60)*TAN(RADIANS($H$23)))))*COS((ATAN((1-$AC$60)*TAN(RADIANS($I15)))))*COS($AN24))*(-1+2*(COS($AM24)-2*SIN((ATAN((1-$AC$60)*TAN(RADIANS($H$23)))))*SIN((ATAN((1-$AC$60)*TAN(RADIANS($I15)))))/(1-((COS((ATAN((1-$AC$60)*TAN(RADIANS($H$23)))))*COS((ATAN((1-$AC$60)*TAN(RADIANS($I15)))))*SIN($AN24))/SIN($AM24))^2)))))))</f>
        <v>#DIV/0!</v>
      </c>
      <c r="AP24" s="769" t="e">
        <f>ATAN2((COS((ATAN((1-$AC$60)*TAN(RADIANS($H$23)))))*SIN((ATAN((1-$AC$60)*TAN(RADIANS($I15)))))-SIN((ATAN((1-$AC$60)*TAN(RADIANS($H$23)))))*COS((ATAN((1-$AC$60)*TAN(RADIANS($I15)))))*COS($AN24)),(COS((ATAN((1-$AC$60)*TAN(RADIANS($I15)))))*SIN($AN24)))</f>
        <v>#DIV/0!</v>
      </c>
      <c r="AQ24" s="769" t="e">
        <f>ATAN2((COS((ATAN((1-$AC$60)*TAN(RADIANS($H$23)))))*SIN((ATAN((1-$AC$60)*TAN(RADIANS($I15)))))*COS($AN24)-SIN((ATAN((1-$AC$60)*TAN(RADIANS($H$23)))))*COS((ATAN((1-$AC$60)*TAN(RADIANS($I15)))))),(COS((ATAN((1-$AC$60)*TAN(RADIANS($H$23)))))*SIN($AN24)))</f>
        <v>#DIV/0!</v>
      </c>
    </row>
    <row r="25" spans="1:43" ht="15.75" customHeight="1" x14ac:dyDescent="0.25">
      <c r="A25" s="461"/>
      <c r="B25" s="521" t="s">
        <v>124</v>
      </c>
      <c r="C25" s="526"/>
      <c r="D25" s="527"/>
      <c r="E25" s="455"/>
      <c r="F25" s="517" t="s">
        <v>125</v>
      </c>
      <c r="G25" s="738" t="s">
        <v>126</v>
      </c>
      <c r="H25" s="517" t="s">
        <v>125</v>
      </c>
      <c r="I25" s="738" t="s">
        <v>126</v>
      </c>
      <c r="J25" s="455"/>
      <c r="K25" s="455"/>
      <c r="L25" s="465" t="s">
        <v>127</v>
      </c>
      <c r="M25" s="488">
        <f>ABS(IF($F$6=1,IF($F$7=1,$U$24,$U$25),IF($F$7=2,$U$26,$U$27)))</f>
        <v>0</v>
      </c>
      <c r="N25" s="528" t="str">
        <f>IF(IF($F$6=$F$7,IF($E$35=1,$D$35,-$D$35),IF(AND($F$6=1,$F$7=2),IF($E$35=1,$D$35,-$D$35)*COS(RADIANS($F$39))-IF($G$35=1,$F$35,-$F$35)*SIN(RADIANS($F$39)),IF($E$35=1,$D$35,-$D$35)*COS(RADIANS($F$39))+IF($G$35=1,$F$35,-$F$35)*SIN(RADIANS($F$39))))&gt;0,"  N","  S")</f>
        <v xml:space="preserve">  S</v>
      </c>
      <c r="O25" s="490">
        <f>ABS(IF($F$6=1,IF($F$7=1,$V$24,$V$25),IF($F$7=2,$V$26,$V$27)))</f>
        <v>0</v>
      </c>
      <c r="P25" s="529" t="str">
        <f>IF(IF($F$6=$F$7,IF($G$35=1,$F$35,-$F$35),IF(AND($F$6=1,$F$7=2),IF($G$35=1,$F$35,-$F$35)*COS(RADIANS($F$39))+IF($E$35=1,$D$35,-$D$35)*SIN(RADIANS($F$39)),IF($G$35=1,$F$35,-$F$35)*COS($F$46)-IF($E$35=1,$D$35,-$D$35)*SIN($F$46)))&gt;0,"  E","  W")</f>
        <v xml:space="preserve">  W</v>
      </c>
      <c r="Q25" s="174"/>
      <c r="S25" s="392" t="s">
        <v>122</v>
      </c>
      <c r="T25" s="393" t="s">
        <v>128</v>
      </c>
      <c r="U25" s="394">
        <f>($U24*COS(RADIANS($W$52))-$V24*SIN(RADIANS($W$52)))/$W$53</f>
        <v>0</v>
      </c>
      <c r="V25" s="395">
        <f>($V24*COS(RADIANS($W$52))+$U24*SIN(RADIANS($W$52)))/$W$53</f>
        <v>0</v>
      </c>
      <c r="AA25" s="272" t="s">
        <v>129</v>
      </c>
      <c r="AB25" s="267"/>
      <c r="AC25" s="267"/>
      <c r="AD25" s="267"/>
      <c r="AE25" s="267"/>
      <c r="AF25" s="268"/>
      <c r="AG25" s="437"/>
      <c r="AH25" s="769"/>
      <c r="AI25" s="769"/>
      <c r="AJ25" s="769"/>
      <c r="AK25" s="769"/>
      <c r="AL25" s="769"/>
      <c r="AM25" s="769"/>
      <c r="AN25" s="769"/>
      <c r="AO25" s="773"/>
      <c r="AP25" s="769"/>
      <c r="AQ25" s="769"/>
    </row>
    <row r="26" spans="1:43" ht="15.75" customHeight="1" x14ac:dyDescent="0.25">
      <c r="A26" s="461"/>
      <c r="B26" s="521" t="s">
        <v>130</v>
      </c>
      <c r="C26" s="526"/>
      <c r="D26" s="527"/>
      <c r="E26" s="521" t="s">
        <v>124</v>
      </c>
      <c r="F26" s="526"/>
      <c r="G26" s="530"/>
      <c r="H26" s="531"/>
      <c r="I26" s="527"/>
      <c r="J26" s="455"/>
      <c r="K26" s="455"/>
      <c r="L26" s="532" t="s">
        <v>131</v>
      </c>
      <c r="M26" s="488">
        <f>IF($N$25="  N",$M$25,-$M$25)-IF($N$24="  N",$M$24,-$M$24)</f>
        <v>0</v>
      </c>
      <c r="N26" s="489"/>
      <c r="O26" s="490">
        <f>IF($P$25="  E",$O$25,-$O$25)-IF($P$24="  E",$O$24,-$O$24)</f>
        <v>0</v>
      </c>
      <c r="P26" s="492"/>
      <c r="Q26" s="174"/>
      <c r="S26" s="392" t="s">
        <v>128</v>
      </c>
      <c r="T26" s="393" t="s">
        <v>128</v>
      </c>
      <c r="U26" s="394" t="e">
        <f>IF($E$35=1,$D$35,-$D$35)*$F$47/$W$53</f>
        <v>#VALUE!</v>
      </c>
      <c r="V26" s="395" t="e">
        <f>IF($G$35=1,$F$35,-$F$35)*$F$47/$W$53</f>
        <v>#VALUE!</v>
      </c>
      <c r="AA26" s="269" t="s">
        <v>132</v>
      </c>
      <c r="AB26" s="267">
        <v>111053.9642</v>
      </c>
      <c r="AC26" s="267">
        <v>111020.2282</v>
      </c>
      <c r="AD26" s="267">
        <v>110986.9886</v>
      </c>
      <c r="AE26" s="267"/>
      <c r="AF26" s="268"/>
      <c r="AI26" s="831" t="s">
        <v>133</v>
      </c>
      <c r="AJ26" s="832"/>
      <c r="AK26" s="832"/>
      <c r="AL26" s="832"/>
      <c r="AM26" s="832"/>
      <c r="AN26" s="832"/>
    </row>
    <row r="27" spans="1:43" ht="15.75" customHeight="1" thickBot="1" x14ac:dyDescent="0.3">
      <c r="A27" s="461"/>
      <c r="B27" s="521" t="s">
        <v>134</v>
      </c>
      <c r="C27" s="526"/>
      <c r="D27" s="527"/>
      <c r="E27" s="521" t="s">
        <v>130</v>
      </c>
      <c r="F27" s="526"/>
      <c r="G27" s="530"/>
      <c r="H27" s="531"/>
      <c r="I27" s="527"/>
      <c r="J27" s="455"/>
      <c r="K27" s="455"/>
      <c r="L27" s="532" t="s">
        <v>135</v>
      </c>
      <c r="M27" s="533">
        <f>SIN(RADIANS(90-$F$30))*$O$26</f>
        <v>0</v>
      </c>
      <c r="N27" s="534"/>
      <c r="O27" s="535">
        <f>SIN(RADIANS(180-$G$30))*$M$26</f>
        <v>0</v>
      </c>
      <c r="P27" s="536"/>
      <c r="Q27" s="174"/>
      <c r="S27" s="396" t="s">
        <v>128</v>
      </c>
      <c r="T27" s="397" t="s">
        <v>122</v>
      </c>
      <c r="U27" s="398" t="e">
        <f>($U24*COS(-$F$46)-$V24*SIN(-$F$46))*$F$47</f>
        <v>#VALUE!</v>
      </c>
      <c r="V27" s="399" t="e">
        <f>($V24*COS(-$F$46)+$U24*SIN(-$F$46))*$F$47</f>
        <v>#VALUE!</v>
      </c>
      <c r="W27" s="400"/>
      <c r="X27" s="400"/>
      <c r="AA27" s="269" t="s">
        <v>136</v>
      </c>
      <c r="AB27" s="267">
        <v>9.67638</v>
      </c>
      <c r="AC27" s="774">
        <v>9.59755</v>
      </c>
      <c r="AD27" s="267">
        <v>9.4425899999999992</v>
      </c>
      <c r="AE27" s="267"/>
      <c r="AF27" s="268"/>
      <c r="AI27" s="831" t="s">
        <v>137</v>
      </c>
      <c r="AJ27" s="832"/>
      <c r="AK27" s="831" t="s">
        <v>138</v>
      </c>
      <c r="AL27" s="832"/>
      <c r="AM27" s="831" t="s">
        <v>139</v>
      </c>
      <c r="AN27" s="832"/>
    </row>
    <row r="28" spans="1:43" ht="15.75" customHeight="1" thickBot="1" x14ac:dyDescent="0.3">
      <c r="A28" s="461"/>
      <c r="B28" s="521" t="s">
        <v>140</v>
      </c>
      <c r="C28" s="537"/>
      <c r="D28" s="538"/>
      <c r="E28" s="521" t="s">
        <v>134</v>
      </c>
      <c r="F28" s="526"/>
      <c r="G28" s="530"/>
      <c r="H28" s="531"/>
      <c r="I28" s="527"/>
      <c r="J28" s="455"/>
      <c r="K28" s="750"/>
      <c r="L28" s="750"/>
      <c r="M28" s="401"/>
      <c r="N28" s="401"/>
      <c r="O28" s="401"/>
      <c r="P28" s="401"/>
      <c r="Q28" s="174"/>
      <c r="S28" s="402"/>
      <c r="T28" s="403"/>
      <c r="U28" s="403"/>
      <c r="V28" s="384"/>
      <c r="AA28" s="269" t="s">
        <v>141</v>
      </c>
      <c r="AB28" s="267">
        <v>5.6332899999999997</v>
      </c>
      <c r="AC28" s="267">
        <v>5.6369400000000001</v>
      </c>
      <c r="AD28" s="267">
        <v>5.6411800000000003</v>
      </c>
      <c r="AE28" s="267"/>
      <c r="AF28" s="268"/>
      <c r="AI28" s="440" t="s">
        <v>142</v>
      </c>
      <c r="AJ28" s="440" t="s">
        <v>143</v>
      </c>
      <c r="AK28" s="440" t="s">
        <v>142</v>
      </c>
      <c r="AL28" s="440" t="s">
        <v>143</v>
      </c>
      <c r="AM28" s="440" t="s">
        <v>142</v>
      </c>
      <c r="AN28" s="440" t="s">
        <v>143</v>
      </c>
    </row>
    <row r="29" spans="1:43" ht="15.75" customHeight="1" thickBot="1" x14ac:dyDescent="0.3">
      <c r="A29" s="461"/>
      <c r="B29" s="521" t="s">
        <v>144</v>
      </c>
      <c r="C29" s="408">
        <f>IF(C25="",0,(C25+C26/60+C27/3600))</f>
        <v>0</v>
      </c>
      <c r="D29" s="539">
        <f>IF(D25="",0,(D25+D26/60+D27/3600))</f>
        <v>0</v>
      </c>
      <c r="E29" s="521" t="s">
        <v>140</v>
      </c>
      <c r="F29" s="537"/>
      <c r="G29" s="540"/>
      <c r="H29" s="541"/>
      <c r="I29" s="538"/>
      <c r="J29" s="455"/>
      <c r="K29" s="455"/>
      <c r="L29" s="455"/>
      <c r="M29" s="841" t="str">
        <f>CONCATENATE($C$36," MD"," BHL1 departure"," calculation")</f>
        <v xml:space="preserve"> MD BHL1 departure calculation</v>
      </c>
      <c r="N29" s="842"/>
      <c r="O29" s="842"/>
      <c r="P29" s="838"/>
      <c r="Q29" s="174"/>
      <c r="S29" s="385" t="s">
        <v>111</v>
      </c>
      <c r="T29" s="386" t="s">
        <v>112</v>
      </c>
      <c r="U29" s="386" t="s">
        <v>113</v>
      </c>
      <c r="V29" s="387" t="s">
        <v>114</v>
      </c>
      <c r="AA29" s="269" t="s">
        <v>145</v>
      </c>
      <c r="AB29" s="267">
        <v>2.1794999999999998E-2</v>
      </c>
      <c r="AC29" s="267">
        <v>2.0324999999999999E-2</v>
      </c>
      <c r="AD29" s="267">
        <v>1.8991000000000001E-2</v>
      </c>
      <c r="AE29" s="267"/>
      <c r="AF29" s="268"/>
      <c r="AI29" s="773" t="e">
        <f>$N$13*1200/3937</f>
        <v>#VALUE!</v>
      </c>
      <c r="AJ29" s="773" t="e">
        <f>$M$13*1200/3937</f>
        <v>#VALUE!</v>
      </c>
      <c r="AK29" t="e">
        <f>$AI$29+ROUND($AK$6*1200/3937*$AI$6/($AI$6-17+$G$19*0.3048)*COS($AL$6),7)</f>
        <v>#VALUE!</v>
      </c>
      <c r="AL29" s="773" t="e">
        <f>$AJ$29+ROUND($AK$6*1200/3937*$AI$6/($AI$6-17+$G$19*0.3048)*SIN($AL$6),7)</f>
        <v>#VALUE!</v>
      </c>
      <c r="AM29" t="e">
        <f>$AK$29+ROUND($AM$6*1200/3937*$AI$6/($AI$6-17+$G$19*0.3048)*COS($AN$6),7)</f>
        <v>#VALUE!</v>
      </c>
      <c r="AN29" s="773" t="e">
        <f>$AL$29+ROUND($AM$6*1200/3937*$AI$6/($AI$6-17+$G$19*0.3048)*SIN($AN$6),7)</f>
        <v>#VALUE!</v>
      </c>
    </row>
    <row r="30" spans="1:43" ht="15.75" customHeight="1" thickBot="1" x14ac:dyDescent="0.3">
      <c r="A30" s="461"/>
      <c r="B30" s="521"/>
      <c r="C30" s="401"/>
      <c r="D30" s="401"/>
      <c r="E30" s="521" t="s">
        <v>144</v>
      </c>
      <c r="F30" s="408">
        <f>IF(F26="",0,IF(OR(F29=1,F29=4),180-(F26+F27/60+F28/3600),(F26+F27/60+F28/3600)))</f>
        <v>0</v>
      </c>
      <c r="G30" s="539">
        <f>IF(G26="",0,IF(OR(G29=1,G29=4),180-(G26+G27/60+G28/3600),180+(G26+G27/60+G28/3600)))</f>
        <v>0</v>
      </c>
      <c r="H30" s="408">
        <f>IF(H26="",0,IF(OR(H29=1,H29=4),180-(H26+H27/60+H28/3600),(H26+H27/60+H28/3600)))</f>
        <v>0</v>
      </c>
      <c r="I30" s="539">
        <f>IF(I26="",0,IF(OR(I29=1,I29=4),180-(I26+I27/60+I28/3600),180+(I26+I27/60+I28/3600)))</f>
        <v>0</v>
      </c>
      <c r="J30" s="455"/>
      <c r="K30" s="455"/>
      <c r="L30" s="465" t="s">
        <v>121</v>
      </c>
      <c r="M30" s="502">
        <f>ABS($C$24*IF(OR($C$28=2,$C$28=4),COS(RADIANS($C$29)),-COS(RADIANS($C$29))))</f>
        <v>0</v>
      </c>
      <c r="N30" s="524" t="str">
        <f>IF(M30=0,"",IF($C$24*IF(OR($C$28=2,$C$28=4),COS(RADIANS($C$29)),-COS(RADIANS($C$29)))&gt;0,"  N","  S"))</f>
        <v/>
      </c>
      <c r="O30" s="503">
        <f>ABS($C$24*IF(OR($C$28=1,$C$28=2),SIN(RADIANS($C$29)),-SIN(RADIANS($C$29))))</f>
        <v>0</v>
      </c>
      <c r="P30" s="525" t="str">
        <f>IF(O30=0,"",IF($C$24*IF(OR($C$28=1,$C$28=2),SIN(RADIANS($C$29)),-SIN(RADIANS($C$29)))&gt;0,"  E","  W"))</f>
        <v/>
      </c>
      <c r="Q30" s="174"/>
      <c r="S30" s="405" t="s">
        <v>122</v>
      </c>
      <c r="T30" s="406" t="s">
        <v>122</v>
      </c>
      <c r="U30" s="407">
        <f>IF($E$36=1,$D$36,-$D$36)</f>
        <v>0</v>
      </c>
      <c r="V30" s="388">
        <f>IF($G$36=1,$F$36,-$F$36)</f>
        <v>0</v>
      </c>
      <c r="AA30" s="269"/>
      <c r="AB30" s="267"/>
      <c r="AC30" s="267"/>
      <c r="AD30" s="267"/>
      <c r="AE30" s="267"/>
      <c r="AF30" s="268"/>
      <c r="AK30" s="341" t="s">
        <v>67</v>
      </c>
      <c r="AL30" s="735" t="s">
        <v>68</v>
      </c>
      <c r="AM30" s="341" t="s">
        <v>67</v>
      </c>
      <c r="AN30" s="735" t="s">
        <v>68</v>
      </c>
    </row>
    <row r="31" spans="1:43" ht="15.75" customHeight="1" x14ac:dyDescent="0.25">
      <c r="A31" s="461"/>
      <c r="B31" s="521"/>
      <c r="C31" s="401"/>
      <c r="D31" s="401"/>
      <c r="E31" s="455"/>
      <c r="F31" s="455"/>
      <c r="G31" s="455"/>
      <c r="H31" s="465"/>
      <c r="I31" s="465"/>
      <c r="J31" s="455"/>
      <c r="K31" s="455"/>
      <c r="L31" s="465" t="s">
        <v>127</v>
      </c>
      <c r="M31" s="488">
        <f>ABS(IF($F$6=1,IF($F$7=1,$U$30,$U$31),IF($F$7=2,$U$32,$U$33)))</f>
        <v>0</v>
      </c>
      <c r="N31" s="528" t="str">
        <f>IF(IF($F$6=$F$7,IF($E$36=1,$D$36,-$D$36),IF(AND($F$6=1,$F$7=2),IF($E$36=1,$D$36,-$D$36)*COS(RADIANS($F$39))-IF($G$36=1,$F$36,-$F$36)*SIN(RADIANS($F$39)),IF($E$36=1,$D$36,-$D$36)*COS(RADIANS($F$39))+IF($G$36=1,$F$36,-$F$36)*SIN(RADIANS($F$39))))&gt;0,"  N","  S")</f>
        <v xml:space="preserve">  S</v>
      </c>
      <c r="O31" s="490">
        <f>ABS(IF($F$6=1,IF($F$7=1,$V$30,$V$31),IF($F$7=2,$V$32,$V$33)))</f>
        <v>0</v>
      </c>
      <c r="P31" s="529" t="str">
        <f>IF(IF($F$6=$F$7,IF($G$36=1,$F$36,-$F$36),IF(AND($F$6=1,$F$7=2),IF($G$36=1,$F$36,-$F$36)*COS(RADIANS($F$39))+IF($E$36=1,$D$36,-$D$36)*SIN(RADIANS($F$39)),IF($G$36=1,$F$36,-$F$36)*COS($F$46)-IF($E$36=1,$D$36,-$D$36)*SIN($F$46)))&gt;0,"  E","  W")</f>
        <v xml:space="preserve">  W</v>
      </c>
      <c r="Q31" s="174"/>
      <c r="S31" s="392" t="s">
        <v>122</v>
      </c>
      <c r="T31" s="393" t="s">
        <v>128</v>
      </c>
      <c r="U31" s="394">
        <f>($U30*COS(RADIANS($W$52))-$V30*SIN(RADIANS($W$52)))/$W$53</f>
        <v>0</v>
      </c>
      <c r="V31" s="395">
        <f>($V30*COS(RADIANS($W$52))+$U30*SIN(RADIANS($W$52)))/$W$53</f>
        <v>0</v>
      </c>
      <c r="AA31" s="272" t="s">
        <v>146</v>
      </c>
      <c r="AB31" s="267"/>
      <c r="AC31" s="267"/>
      <c r="AD31" s="267"/>
      <c r="AE31" s="267"/>
      <c r="AF31" s="268"/>
      <c r="AK31" s="345" t="str">
        <f>IF(AND(ISNUMBER(AK$29),ISNUMBER(AL$29)),ROUND(IF($G$44=2,($AC$15+((AK$29-$AC$19)-(AL$29-$AC$12)*TAN(ATAN2(($AC$18-(AK$29-$AC$19)),(AL$29-$AC$12))/2))*($AC$32+((AK$29-$AC$19)-(AL$29-$AC$12)*TAN(ATAN2(($AC$18-(AK$29-$AC$19)),(AL$29-$AC$12))/2))*($AC$33+((AK$29-$AC$19)-(AL$29-$AC$12)*TAN(ATAN2(($AC$18-(AK$29-$AC$19)),(AL$29-$AC$12))/2))*($AC$34+((AK$29-$AC$19)-(AL$29-$AC$12)*TAN(ATAN2(($AC$18-(AK$29-$AC$19)),(AL$29-$AC$12))/2))*$AC$35)))),IF($G$44=1,($AD$15+((AK$29-$AD$19)-(AL$29-$AD$12)*TAN(ATAN2(($AD$18-(AK$29-$AD$19)),(AL$29-$AD$12))/2))*($AD$32+((AK$29-$AD$19)-(AL$29-$AD$12)*TAN(ATAN2(($AD$18-(AK$29-$AD$19)),(AL$29-$AD$12))/2))*($AD$33+((AK$29-$AD$19)-(AL$29-$AD$12)*TAN(ATAN2(($AD$18-(AK$29-$AD$19)),(AL$29-$AD$12))/2))*($AD$34+((AK$29-$AD$19)-(AL$29-$AD$12)*TAN(ATAN2(($AD$18-(AK$29-$AD$19)),(AL$29-$AD$12))/2))*$AD$35)))),($AB$15+((AK$29-$AB$19)-(AL$29-$AB$12)*TAN(ATAN2(($AB$18-(AK$29-$AB$19)),(AL$29-$AB$12))/2))*($AB$32+((AK$29-$AB$19)-(AL$29-$AB$12)*TAN(ATAN2(($AB$18-(AK$29-$AB$19)),(AL$29-$AB$12))/2))*($AB$33+((AK$29-$AB$19)-(AL$29-$AB$12)*TAN(ATAN2(($AB$18-(AK$29-$AB$19)),(AL$29-$AB$12))/2))*($AB$34+((AK$29-$AB$19)-(AL$29-$AB$12)*TAN(ATAN2(($AB$18-(AK$29-$AB$19)),(AL$29-$AB$12))/2))*$AB$35)))))),7),"")</f>
        <v/>
      </c>
      <c r="AL31" s="345" t="str">
        <f>IF(AND(ISNUMBER(AK$29),ISNUMBER(AL$29)),ROUND(IF($G$44=2,(111.5-DEGREES(ATAN2(($AC$18-(AK$29-$AC$19)),(AL$29-$AC$12)))/$AC$16),IF($G$44=1,(111.5-DEGREES(ATAN2(($AD$18-(AK$29-$AD$19)),(AL$29-$AD$12)))/$AD$16),(111.5-DEGREES(ATAN2(($AB$18-(AK$29-$AB$19)),(AL$29-$AB$12)))/$AB$16))),7),"")</f>
        <v/>
      </c>
      <c r="AM31" s="345" t="str">
        <f>IF(AND(ISNUMBER(AM$29),ISNUMBER(AN$29)),ROUND(IF($G$44=2,($AC$15+((AM$29-$AC$19)-(AN$29-$AC$12)*TAN(ATAN2(($AC$18-(AM$29-$AC$19)),(AN$29-$AC$12))/2))*($AC$32+((AM$29-$AC$19)-(AN$29-$AC$12)*TAN(ATAN2(($AC$18-(AM$29-$AC$19)),(AN$29-$AC$12))/2))*($AC$33+((AM$29-$AC$19)-(AN$29-$AC$12)*TAN(ATAN2(($AC$18-(AM$29-$AC$19)),(AN$29-$AC$12))/2))*($AC$34+((AM$29-$AC$19)-(AN$29-$AC$12)*TAN(ATAN2(($AC$18-(AM$29-$AC$19)),(AN$29-$AC$12))/2))*$AC$35)))),IF($G$44=1,($AD$15+((AM$29-$AD$19)-(AN$29-$AD$12)*TAN(ATAN2(($AD$18-(AM$29-$AD$19)),(AN$29-$AD$12))/2))*($AD$32+((AM$29-$AD$19)-(AN$29-$AD$12)*TAN(ATAN2(($AD$18-(AM$29-$AD$19)),(AN$29-$AD$12))/2))*($AD$33+((AM$29-$AD$19)-(AN$29-$AD$12)*TAN(ATAN2(($AD$18-(AM$29-$AD$19)),(AN$29-$AD$12))/2))*($AD$34+((AM$29-$AD$19)-(AN$29-$AD$12)*TAN(ATAN2(($AD$18-(AM$29-$AD$19)),(AN$29-$AD$12))/2))*$AD$35)))),($AB$15+((AM$29-$AB$19)-(AN$29-$AB$12)*TAN(ATAN2(($AB$18-(AM$29-$AB$19)),(AN$29-$AB$12))/2))*($AB$32+((AM$29-$AB$19)-(AN$29-$AB$12)*TAN(ATAN2(($AB$18-(AM$29-$AB$19)),(AN$29-$AB$12))/2))*($AB$33+((AM$29-$AB$19)-(AN$29-$AB$12)*TAN(ATAN2(($AB$18-(AM$29-$AB$19)),(AN$29-$AB$12))/2))*($AB$34+((AM$29-$AB$19)-(AN$29-$AB$12)*TAN(ATAN2(($AB$18-(AM$29-$AB$19)),(AN$29-$AB$12))/2))*$AB$35)))))),7),"")</f>
        <v/>
      </c>
      <c r="AN31" s="345" t="str">
        <f>IF(AND(ISNUMBER(AM$29),ISNUMBER(AN$29)),ROUND(IF($G$44=2,(111.5-DEGREES(ATAN2(($AC$18-(AM$29-$AC$19)),(AN$29-$AC$12)))/$AC$16),IF($G$44=1,(111.5-DEGREES(ATAN2(($AD$18-(AM$29-$AD$19)),(AN$29-$AD$12)))/$AD$16),(111.5-DEGREES(ATAN2(($AB$18-(AM$29-$AB$19)),(AN$29-$AB$12)))/$AB$16))),7),"")</f>
        <v/>
      </c>
    </row>
    <row r="32" spans="1:43" ht="15.75" customHeight="1" thickBot="1" x14ac:dyDescent="0.3">
      <c r="A32" s="461"/>
      <c r="B32" s="455"/>
      <c r="C32" s="455"/>
      <c r="D32" s="455"/>
      <c r="E32" s="455"/>
      <c r="F32" s="455"/>
      <c r="G32" s="455"/>
      <c r="H32" s="465"/>
      <c r="I32" s="465"/>
      <c r="J32" s="455"/>
      <c r="K32" s="455"/>
      <c r="L32" s="532" t="s">
        <v>131</v>
      </c>
      <c r="M32" s="488">
        <f>IF($N$31="  N",$M$31,-$M$31)-IF($N$30="  N",$M$30,-$M$30)</f>
        <v>0</v>
      </c>
      <c r="N32" s="489"/>
      <c r="O32" s="490">
        <f>IF($P$31="  E",$O$31,-$O$31)-IF($P$30="  E",$O$30,-$O$30)</f>
        <v>0</v>
      </c>
      <c r="P32" s="492"/>
      <c r="Q32" s="174"/>
      <c r="S32" s="392" t="s">
        <v>128</v>
      </c>
      <c r="T32" s="393" t="s">
        <v>128</v>
      </c>
      <c r="U32" s="394" t="e">
        <f>IF($E$36=1,$D$36,-$D$36)*$F$47/$W$53</f>
        <v>#VALUE!</v>
      </c>
      <c r="V32" s="395" t="e">
        <f>IF($G$36=1,$F$36,-$F$36)*$F$47/$W$53</f>
        <v>#VALUE!</v>
      </c>
      <c r="AA32" s="269" t="s">
        <v>147</v>
      </c>
      <c r="AB32" s="274">
        <v>9.0046312619999994E-6</v>
      </c>
      <c r="AC32" s="274">
        <v>9.0073674589999993E-6</v>
      </c>
      <c r="AD32" s="274">
        <v>9.0100651350000006E-6</v>
      </c>
      <c r="AE32" s="267"/>
      <c r="AF32" s="268"/>
      <c r="AK32" s="773"/>
    </row>
    <row r="33" spans="1:42" ht="15.75" customHeight="1" thickBot="1" x14ac:dyDescent="0.3">
      <c r="A33" s="461"/>
      <c r="B33" s="455"/>
      <c r="C33" s="841" t="s">
        <v>148</v>
      </c>
      <c r="D33" s="842"/>
      <c r="E33" s="842"/>
      <c r="F33" s="842"/>
      <c r="G33" s="838"/>
      <c r="H33" s="465"/>
      <c r="I33" s="465"/>
      <c r="J33" s="455"/>
      <c r="K33" s="455"/>
      <c r="L33" s="532" t="s">
        <v>135</v>
      </c>
      <c r="M33" s="533">
        <f>SIN(RADIANS(90-$F$30))*$O$32</f>
        <v>0</v>
      </c>
      <c r="N33" s="534"/>
      <c r="O33" s="535">
        <f>SIN(RADIANS(180-$G$30))*$M$32</f>
        <v>0</v>
      </c>
      <c r="P33" s="536"/>
      <c r="Q33" s="174"/>
      <c r="S33" s="396" t="s">
        <v>128</v>
      </c>
      <c r="T33" s="397" t="s">
        <v>122</v>
      </c>
      <c r="U33" s="398" t="e">
        <f>($U30*COS(-$F$46)-$V30*SIN(-$F$46))*$F$47</f>
        <v>#VALUE!</v>
      </c>
      <c r="V33" s="399" t="e">
        <f>($V30*COS(-$F$46)+$U30*SIN(-$F$46))*$F$47</f>
        <v>#VALUE!</v>
      </c>
      <c r="AA33" s="269" t="s">
        <v>149</v>
      </c>
      <c r="AB33" s="274">
        <v>-7.0651100000000001E-15</v>
      </c>
      <c r="AC33" s="274">
        <v>-7.01354E-15</v>
      </c>
      <c r="AD33" s="274">
        <v>-6.9067099999999998E-15</v>
      </c>
      <c r="AE33" s="267"/>
      <c r="AF33" s="268"/>
      <c r="AI33" s="881" t="s">
        <v>150</v>
      </c>
      <c r="AJ33" s="832"/>
      <c r="AK33" s="832"/>
      <c r="AL33" s="882"/>
      <c r="AM33" s="831" t="s">
        <v>151</v>
      </c>
      <c r="AN33" s="832"/>
      <c r="AO33" s="832"/>
      <c r="AP33" s="832"/>
    </row>
    <row r="34" spans="1:42" ht="15.75" customHeight="1" thickBot="1" x14ac:dyDescent="0.3">
      <c r="A34" s="461"/>
      <c r="B34" s="455"/>
      <c r="C34" s="542" t="s">
        <v>152</v>
      </c>
      <c r="D34" s="877" t="s">
        <v>153</v>
      </c>
      <c r="E34" s="832"/>
      <c r="F34" s="878" t="s">
        <v>154</v>
      </c>
      <c r="G34" s="836"/>
      <c r="H34" s="465"/>
      <c r="I34" s="465"/>
      <c r="J34" s="455"/>
      <c r="K34" s="455"/>
      <c r="L34" s="455"/>
      <c r="M34" s="455"/>
      <c r="N34" s="455"/>
      <c r="O34" s="455"/>
      <c r="P34" s="455"/>
      <c r="Q34" s="174"/>
      <c r="S34" s="402"/>
      <c r="T34" s="403"/>
      <c r="U34" s="403"/>
      <c r="V34" s="384"/>
      <c r="AA34" s="269" t="s">
        <v>155</v>
      </c>
      <c r="AB34" s="274">
        <v>-3.7018099999999998E-20</v>
      </c>
      <c r="AC34" s="274">
        <v>-3.708E-20</v>
      </c>
      <c r="AD34" s="274">
        <v>-3.7158500000000003E-20</v>
      </c>
      <c r="AE34" s="267"/>
      <c r="AF34" s="268"/>
      <c r="AI34" s="440" t="s">
        <v>156</v>
      </c>
      <c r="AJ34" s="440" t="s">
        <v>157</v>
      </c>
      <c r="AK34" s="440" t="s">
        <v>6</v>
      </c>
      <c r="AL34" s="441" t="s">
        <v>7</v>
      </c>
      <c r="AM34" s="440" t="s">
        <v>156</v>
      </c>
      <c r="AN34" s="440" t="s">
        <v>157</v>
      </c>
      <c r="AO34" s="440" t="s">
        <v>6</v>
      </c>
      <c r="AP34" s="440" t="s">
        <v>7</v>
      </c>
    </row>
    <row r="35" spans="1:42" ht="15.75" customHeight="1" thickBot="1" x14ac:dyDescent="0.3">
      <c r="A35" s="461"/>
      <c r="B35" s="465" t="s">
        <v>30</v>
      </c>
      <c r="C35" s="775"/>
      <c r="D35" s="543"/>
      <c r="E35" s="466"/>
      <c r="F35" s="543"/>
      <c r="G35" s="544"/>
      <c r="H35" s="455"/>
      <c r="I35" s="455"/>
      <c r="J35" s="455"/>
      <c r="K35" s="455"/>
      <c r="L35" s="455"/>
      <c r="M35" s="841" t="str">
        <f>CONCATENATE($C$37," MD"," BHL 2 departure"," calculation")</f>
        <v xml:space="preserve"> MD BHL 2 departure calculation</v>
      </c>
      <c r="N35" s="842"/>
      <c r="O35" s="842"/>
      <c r="P35" s="838"/>
      <c r="Q35" s="174"/>
      <c r="S35" s="385" t="s">
        <v>111</v>
      </c>
      <c r="T35" s="386" t="s">
        <v>112</v>
      </c>
      <c r="U35" s="386" t="s">
        <v>113</v>
      </c>
      <c r="V35" s="387" t="s">
        <v>114</v>
      </c>
      <c r="AA35" s="269" t="s">
        <v>158</v>
      </c>
      <c r="AB35" s="274">
        <v>-1.1272000000000001E-27</v>
      </c>
      <c r="AC35" s="274">
        <v>-1.0771000000000001E-27</v>
      </c>
      <c r="AD35" s="274">
        <v>-9.9162999999999992E-28</v>
      </c>
      <c r="AE35" s="267"/>
      <c r="AF35" s="268"/>
      <c r="AH35" s="437" t="s">
        <v>159</v>
      </c>
      <c r="AI35" s="156" t="e">
        <f>ROUND($V6-$N14,0)</f>
        <v>#VALUE!</v>
      </c>
      <c r="AJ35" s="156" t="e">
        <f>ROUND($U6-$M14,0)</f>
        <v>#VALUE!</v>
      </c>
      <c r="AK35" s="156" t="e">
        <f>AI35*COS(RADIANS(90-$F$30))-AJ35*SIN(RADIANS(90-$F$30))</f>
        <v>#VALUE!</v>
      </c>
      <c r="AL35" s="442" t="e">
        <f>AJ35*COS(RADIANS(180-$G$30))+AI35*SIN(RADIANS(180-$G$30))</f>
        <v>#VALUE!</v>
      </c>
      <c r="AM35" s="156" t="e">
        <f>ROUND(ABS($AO23*3937/1200*COS($AP23)),0)*($AI$6-17+$G$19*0.3048)/$AI$6</f>
        <v>#DIV/0!</v>
      </c>
      <c r="AN35" s="156" t="e">
        <f>ROUND(ABS($AO23*3937/1200*SIN($AP23)),0)*($AI$6-17+$G$19*0.3048)/$AI$6</f>
        <v>#DIV/0!</v>
      </c>
      <c r="AO35" s="156" t="e">
        <f>IF(OR(AND($I$14&lt;$F$23,$J$14&lt;$G$23),AND($I$14&gt;$F$23,$J$14&gt;$G$23)),AM35*COS(RADIANS(90-$F$30))+AN35*SIN(RADIANS(90-$F$30)),AM35*COS(RADIANS(90-$F$30))-AN35*SIN(RADIANS(90-$F$30)))</f>
        <v>#DIV/0!</v>
      </c>
      <c r="AP35" s="156" t="e">
        <f>IF(OR(AND($I$14&lt;$F$23,$J$14&lt;$G$23),AND($I$14&gt;$F$23,$J$14&gt;$G$23)),AN35*COS(RADIANS(180-$G$30))-AM35*SIN(RADIANS($G$30)),AN35*COS(RADIANS(180-$G$30))+AM35*SIN(RADIANS($G$30)))</f>
        <v>#DIV/0!</v>
      </c>
    </row>
    <row r="36" spans="1:42" ht="15.75" customHeight="1" x14ac:dyDescent="0.25">
      <c r="A36" s="461"/>
      <c r="B36" s="465" t="s">
        <v>30</v>
      </c>
      <c r="C36" s="776"/>
      <c r="D36" s="545"/>
      <c r="E36" s="469"/>
      <c r="F36" s="545"/>
      <c r="G36" s="540"/>
      <c r="H36" s="455"/>
      <c r="I36" s="455"/>
      <c r="J36" s="455"/>
      <c r="K36" s="455"/>
      <c r="L36" s="465" t="s">
        <v>121</v>
      </c>
      <c r="M36" s="502">
        <f>ABS($C$24*IF(OR($C$28=2,$C$28=4),COS(RADIANS($C$29)),-COS(RADIANS($C$29)))+$D$24*IF(OR($D$28=2,$D$28=4),COS(RADIANS($D$29)),-COS(RADIANS($D$29))))</f>
        <v>0</v>
      </c>
      <c r="N36" s="524" t="str">
        <f>IF(M36=0,"",IF($C$24*IF(OR($C$28=2,$C$28=4),COS(RADIANS($C$29)),-COS(RADIANS($C$29)))+$D$24*IF(OR($D$28=2,$D$28=4),COS(RADIANS($D$29)),-COS(RADIANS($D$29)))&gt;0,"  N","  S"))</f>
        <v/>
      </c>
      <c r="O36" s="503">
        <f>ABS($C$24*IF(OR($C$28=1,$C$28=2),SIN(RADIANS($C$29)),-SIN(RADIANS($C$29)))+$D$24*IF(OR($D$28=1,$D$28=2),SIN(RADIANS($D$29)),-SIN(RADIANS($D$29))))</f>
        <v>0</v>
      </c>
      <c r="P36" s="525" t="str">
        <f>IF(O36=0,"",IF($C$24*IF(OR($C$28=1,$C$28=2),SIN(RADIANS($C$29)),-SIN(RADIANS($C$29)))+$D$24*IF(OR($D$28=1,$D$28=2),SIN(RADIANS($D$29)),-SIN(RADIANS($D$29)))&gt;0,"  E","  W"))</f>
        <v/>
      </c>
      <c r="Q36" s="174"/>
      <c r="S36" s="405" t="s">
        <v>122</v>
      </c>
      <c r="T36" s="406" t="s">
        <v>122</v>
      </c>
      <c r="U36" s="407">
        <f>IF($E$37=1,$D$37,-$D$37)</f>
        <v>0</v>
      </c>
      <c r="V36" s="388">
        <f>IF($G$37=1,$F$37,-$F$37)</f>
        <v>0</v>
      </c>
      <c r="AA36" s="269"/>
      <c r="AB36" s="267"/>
      <c r="AC36" s="267"/>
      <c r="AD36" s="267"/>
      <c r="AE36" s="267"/>
      <c r="AF36" s="268"/>
      <c r="AH36" s="437" t="s">
        <v>160</v>
      </c>
      <c r="AI36" s="156" t="e">
        <f>ROUND($V7-$N15,0)</f>
        <v>#VALUE!</v>
      </c>
      <c r="AJ36" s="156" t="e">
        <f>ROUND($U7-$M15,0)</f>
        <v>#VALUE!</v>
      </c>
      <c r="AK36" s="156" t="e">
        <f>AI36*COS(RADIANS(90-$H$30))-AJ36*SIN(RADIANS(90-$H$30))</f>
        <v>#VALUE!</v>
      </c>
      <c r="AL36" s="442" t="e">
        <f>AJ36*COS(RADIANS(180-$I$30))+AI36*SIN(RADIANS(180-$I$30))</f>
        <v>#VALUE!</v>
      </c>
      <c r="AM36" s="156" t="e">
        <f>ROUND(ABS($AO24*3937/1200*COS($AP24)),0)*($AI$6-17+$G$19*0.3048)/$AI$6</f>
        <v>#DIV/0!</v>
      </c>
      <c r="AN36" s="156" t="e">
        <f>ROUND(ABS($AO24*3937/1200*SIN($AP24)),0)*($AI$6-17+$G$19*0.3048)/$AI$6</f>
        <v>#DIV/0!</v>
      </c>
      <c r="AO36" s="156" t="e">
        <f>IF(OR(AND($I$15&lt;$H$23,$J$15&lt;$I$23),AND($I$15&gt;$H$23,$J$15&gt;$I$23)),AM36*COS(RADIANS(90-$H$30))+AN36*SIN(RADIANS(90-$H$30)),AM36*COS(RADIANS(90-$H$30))-AN36*SIN(RADIANS(90-$H$30)))</f>
        <v>#DIV/0!</v>
      </c>
      <c r="AP36" s="156" t="e">
        <f>IF(OR(AND($I$15&lt;$H$23,$J$15&lt;$I$23),AND($I$15&gt;$H$23,$J$15&gt;$I$23)),AN36*COS(RADIANS(180-$I$30))-AM36*SIN(RADIANS($I$30)),AN36*COS(RADIANS(180-$I$30))+AM36*SIN(RADIANS($I$30)))</f>
        <v>#DIV/0!</v>
      </c>
    </row>
    <row r="37" spans="1:42" ht="15.75" customHeight="1" thickBot="1" x14ac:dyDescent="0.3">
      <c r="A37" s="461"/>
      <c r="B37" s="465" t="s">
        <v>34</v>
      </c>
      <c r="C37" s="777"/>
      <c r="D37" s="546"/>
      <c r="E37" s="547"/>
      <c r="F37" s="546"/>
      <c r="G37" s="538"/>
      <c r="H37" s="455"/>
      <c r="I37" s="455"/>
      <c r="J37" s="455"/>
      <c r="K37" s="455"/>
      <c r="L37" s="465" t="s">
        <v>127</v>
      </c>
      <c r="M37" s="488">
        <f>ABS(IF($F$6=1,IF($F$7=1,$U$36,$U$37),IF($F$7=2,$U$38,$U$39)))</f>
        <v>0</v>
      </c>
      <c r="N37" s="528" t="str">
        <f>IF(IF($F$6=$F$7,IF($E$37=1,$D$37,-$D$37),IF(AND($F$6=1,$F$7=2),IF($E$37=1,$D$37,-$D$37)*COS(RADIANS($F$39))-IF($G$37=1,$F$37,-$F$37)*SIN(RADIANS($F$39)),IF($E$37=1,$D$37,-$D$37)*COS(RADIANS($F$39))+IF($G$37=1,$F$37,-$F$37)*SIN(RADIANS($F$39))))&gt;0,"  N","  S")</f>
        <v xml:space="preserve">  S</v>
      </c>
      <c r="O37" s="490">
        <f>ABS(IF($F$6=1,IF($F$7=1,$V$36,$V$37),IF($F$7=2,$V$38,$V$39)))</f>
        <v>0</v>
      </c>
      <c r="P37" s="529" t="str">
        <f>IF(IF($F$6=$F$7,IF($G$37=1,$F$37,-$F$37),IF(AND($F$6=1,$F$7=2),IF($G$37=1,$F$37,-$F$37)*COS(RADIANS($F$39))+IF($E$37=1,$D$37,-$D$37)*SIN(RADIANS($F$39)),IF($G$37=1,$F$37,-$F$37)*COS($F$46)-IF($E$37=1,$D$37,-$D$37)*SIN($F$46)))&gt;0,"  E","  W")</f>
        <v xml:space="preserve">  W</v>
      </c>
      <c r="Q37" s="174"/>
      <c r="S37" s="392" t="s">
        <v>122</v>
      </c>
      <c r="T37" s="393" t="s">
        <v>128</v>
      </c>
      <c r="U37" s="394">
        <f>($U36*COS(RADIANS($W$52))-$V36*SIN(RADIANS($W$52)))/$W$53</f>
        <v>0</v>
      </c>
      <c r="V37" s="395">
        <f>($V36*COS(RADIANS($W$52))+$U36*SIN(RADIANS($W$52)))/$W$53</f>
        <v>0</v>
      </c>
      <c r="AA37" s="272" t="s">
        <v>161</v>
      </c>
      <c r="AB37" s="267"/>
      <c r="AC37" s="267"/>
      <c r="AD37" s="267"/>
      <c r="AE37" s="267"/>
      <c r="AF37" s="268"/>
    </row>
    <row r="38" spans="1:42" ht="15.75" customHeight="1" x14ac:dyDescent="0.25">
      <c r="A38" s="461"/>
      <c r="B38" s="465" t="s">
        <v>34</v>
      </c>
      <c r="C38" s="778"/>
      <c r="D38" s="548"/>
      <c r="E38" s="549"/>
      <c r="F38" s="548"/>
      <c r="G38" s="550"/>
      <c r="H38" s="455"/>
      <c r="I38" s="455"/>
      <c r="J38" s="455"/>
      <c r="K38" s="455"/>
      <c r="L38" s="532" t="s">
        <v>131</v>
      </c>
      <c r="M38" s="488">
        <f>IF($N$37="  N",$M$37,-$M$37)-IF($N$36="  N",$M$36,-$M$36)</f>
        <v>0</v>
      </c>
      <c r="N38" s="489"/>
      <c r="O38" s="490">
        <f>IF($P$37="  E",$O$37,-$O$37)-IF($P$36="  E",$O$36,-$O$36)</f>
        <v>0</v>
      </c>
      <c r="P38" s="492"/>
      <c r="Q38" s="174"/>
      <c r="S38" s="392" t="s">
        <v>128</v>
      </c>
      <c r="T38" s="393" t="s">
        <v>128</v>
      </c>
      <c r="U38" s="394" t="e">
        <f>IF($E$37=1,$D$37,-$D$37)*$F$47/$W$53</f>
        <v>#VALUE!</v>
      </c>
      <c r="V38" s="395" t="e">
        <f>IF($G$37=1,$F$37,-$F$37)*$F$47/$W$53</f>
        <v>#VALUE!</v>
      </c>
      <c r="AA38" s="269" t="s">
        <v>162</v>
      </c>
      <c r="AB38" s="267">
        <v>0.99995684104100002</v>
      </c>
      <c r="AC38" s="267">
        <v>0.99989882076500003</v>
      </c>
      <c r="AD38" s="267">
        <v>0.99995129707800001</v>
      </c>
      <c r="AE38" s="267"/>
      <c r="AF38" s="268"/>
      <c r="AI38" s="687" t="s">
        <v>163</v>
      </c>
      <c r="AJ38" s="58"/>
      <c r="AK38" s="861" t="s">
        <v>164</v>
      </c>
      <c r="AL38" s="848"/>
    </row>
    <row r="39" spans="1:42" ht="15.75" customHeight="1" thickBot="1" x14ac:dyDescent="0.3">
      <c r="A39" s="461"/>
      <c r="B39" s="455"/>
      <c r="C39" s="858" t="str">
        <f>IF($F$7=2,"Dir. Survey Grid Convergence Angle = ","")</f>
        <v/>
      </c>
      <c r="D39" s="859"/>
      <c r="E39" s="859"/>
      <c r="F39" s="779">
        <v>1</v>
      </c>
      <c r="G39" s="551" t="str">
        <f>IF($F$7=2,"(d.ddd)","")</f>
        <v/>
      </c>
      <c r="H39" s="455"/>
      <c r="I39" s="455"/>
      <c r="J39" s="455"/>
      <c r="K39" s="455"/>
      <c r="L39" s="532" t="s">
        <v>135</v>
      </c>
      <c r="M39" s="533">
        <f>SIN(RADIANS(90-$H$30))*$O$38</f>
        <v>0</v>
      </c>
      <c r="N39" s="534"/>
      <c r="O39" s="535">
        <f>SIN(RADIANS(180-$I$30))*$M$38</f>
        <v>0</v>
      </c>
      <c r="P39" s="536"/>
      <c r="Q39" s="174"/>
      <c r="S39" s="396" t="s">
        <v>128</v>
      </c>
      <c r="T39" s="397" t="s">
        <v>122</v>
      </c>
      <c r="U39" s="398" t="e">
        <f>($U36*COS(-$F$46)-$V36*SIN(-$F$46))*$F$47</f>
        <v>#VALUE!</v>
      </c>
      <c r="V39" s="399" t="e">
        <f>($V36*COS(-$F$46)+$U36*SIN(-$F$46))*$F$47</f>
        <v>#VALUE!</v>
      </c>
      <c r="AA39" s="269" t="s">
        <v>165</v>
      </c>
      <c r="AB39" s="274">
        <v>1.23032E-14</v>
      </c>
      <c r="AC39" s="274">
        <v>1.2308700000000001E-14</v>
      </c>
      <c r="AD39" s="274">
        <v>1.2313E-14</v>
      </c>
      <c r="AE39" s="267"/>
      <c r="AF39" s="268"/>
      <c r="AI39" s="645"/>
      <c r="AJ39" s="54"/>
      <c r="AK39" s="765" t="s">
        <v>6</v>
      </c>
      <c r="AL39" s="347" t="s">
        <v>7</v>
      </c>
    </row>
    <row r="40" spans="1:42" ht="15.75" customHeight="1" thickBot="1" x14ac:dyDescent="0.3">
      <c r="A40" s="461"/>
      <c r="B40" s="455"/>
      <c r="C40" s="880" t="str">
        <f>IF($F$7=2,"Dir. Survey Grid Scale Factor = ","")</f>
        <v/>
      </c>
      <c r="D40" s="871"/>
      <c r="E40" s="871"/>
      <c r="F40" s="780">
        <v>1</v>
      </c>
      <c r="G40" s="552" t="str">
        <f>IF(AND($F$7=2,$F$40&lt;0.9995),"Need Value","")</f>
        <v/>
      </c>
      <c r="H40" s="455"/>
      <c r="I40" s="455"/>
      <c r="J40" s="455"/>
      <c r="K40" s="455"/>
      <c r="L40" s="455"/>
      <c r="M40" s="455"/>
      <c r="N40" s="455"/>
      <c r="O40" s="455"/>
      <c r="P40" s="455"/>
      <c r="Q40" s="174"/>
      <c r="S40" s="402"/>
      <c r="T40" s="403"/>
      <c r="U40" s="403"/>
      <c r="V40" s="384"/>
      <c r="AA40" s="269" t="s">
        <v>166</v>
      </c>
      <c r="AB40" s="274">
        <v>5.5600000000000002E-22</v>
      </c>
      <c r="AC40" s="274">
        <v>5.26E-22</v>
      </c>
      <c r="AD40" s="274">
        <v>4.8900000000000001E-22</v>
      </c>
      <c r="AE40" s="267"/>
      <c r="AF40" s="268"/>
      <c r="AI40" s="646"/>
      <c r="AJ40" s="647" t="s">
        <v>159</v>
      </c>
      <c r="AK40" s="649" t="e">
        <f>ROUND(SQRT(SUMSQ(($V$6-$N$14+0.00001),($U$6-$M$14+0.00001)))*SIN(ABS(ATAN(($V$6-$N$14+0.00001)/($U$6-$M$14+0.00001)))+RADIANS(IF(OR(AND($V$6&gt;$N$14,$U$6&lt;$M$14),AND($V$6&lt;$N$14,$U$6&gt;$M$14)),90-$F$30,$F$30-90)))*($AI$6-17+$G$19*0.3048)/$AI$6,0)</f>
        <v>#VALUE!</v>
      </c>
      <c r="AL40" s="651" t="e">
        <f>ROUND(SQRT(SUMSQ(($V$6-$N$14+0.00001),($U$6-$M$14+0.00001)))*SIN(ABS(ATAN(($U$6-$M$14+0.00001)/($V$6-$N$14+0.00001)))+RADIANS(IF(OR(AND($V$6&gt;$N$14,$U$6&lt;$M$14),AND($V$6&lt;$N$14,$U$6&gt;$M$14)),$G$30-180,180-$G$30)))*($AI$6-17+$G$19*0.3048)/$AI$6,0)</f>
        <v>#VALUE!</v>
      </c>
    </row>
    <row r="41" spans="1:42" ht="15.75" customHeight="1" thickBot="1" x14ac:dyDescent="0.3">
      <c r="A41" s="461"/>
      <c r="B41" s="455"/>
      <c r="C41" s="455" t="s">
        <v>167</v>
      </c>
      <c r="D41" s="455"/>
      <c r="E41" s="455"/>
      <c r="F41" s="455"/>
      <c r="G41" s="455"/>
      <c r="H41" s="455"/>
      <c r="I41" s="455"/>
      <c r="J41" s="455"/>
      <c r="K41" s="455"/>
      <c r="L41" s="455"/>
      <c r="M41" s="841" t="str">
        <f>CONCATENATE($C$38," MD"," BHL 2 departure"," calculation")</f>
        <v xml:space="preserve"> MD BHL 2 departure calculation</v>
      </c>
      <c r="N41" s="842"/>
      <c r="O41" s="842"/>
      <c r="P41" s="838"/>
      <c r="Q41" s="174"/>
      <c r="S41" s="385" t="s">
        <v>111</v>
      </c>
      <c r="T41" s="386" t="s">
        <v>112</v>
      </c>
      <c r="U41" s="386" t="s">
        <v>113</v>
      </c>
      <c r="V41" s="387" t="s">
        <v>114</v>
      </c>
      <c r="AA41" s="269"/>
      <c r="AB41" s="267"/>
      <c r="AC41" s="267"/>
      <c r="AD41" s="267"/>
      <c r="AE41" s="267"/>
      <c r="AF41" s="268"/>
      <c r="AI41" s="728"/>
      <c r="AJ41" s="729" t="s">
        <v>160</v>
      </c>
      <c r="AK41" s="730" t="e">
        <f>ROUND(SQRT(SUMSQ(($V$7-$N$15+0.00001),($U$7-$M$15+0.00001)))*SIN(ABS(ATAN(($V$7-$N$15+0.00001)/($U$7-$M$15+0.00001)))+RADIANS(IF(OR(AND($V$7&gt;$N$15,$U$7&lt;$M$15),AND($V$7&lt;$N$15,$U$7&gt;$M$15)),90-$H$30,$H$30-90)))*($AI$6-17+$G$19*0.3048)/$AI$6,0)</f>
        <v>#VALUE!</v>
      </c>
      <c r="AL41" s="731" t="e">
        <f>ROUND(SQRT(SUMSQ(($V$7-$N$15+0.00001),($U$7-$M$15+0.00001)))*SIN(ABS(ATAN(($U$7-$M$15+0.00001)/($V$7-$N$15+0.00001)))+RADIANS(IF(OR(AND($V$7&gt;$N$15,$U$7&lt;$M$15),AND($V$7&lt;$N$15,$U$7&gt;$M$15)),$I$30-180,180-$I$30)))*($AI$6-17+$G$19*0.3048)/$AI$6,0)</f>
        <v>#VALUE!</v>
      </c>
    </row>
    <row r="42" spans="1:42" ht="15.75" customHeight="1" thickBot="1" x14ac:dyDescent="0.3">
      <c r="A42" s="461"/>
      <c r="B42" s="455"/>
      <c r="C42" s="455"/>
      <c r="D42" s="455"/>
      <c r="E42" s="455"/>
      <c r="F42" s="455"/>
      <c r="G42" s="455"/>
      <c r="H42" s="455"/>
      <c r="I42" s="455"/>
      <c r="J42" s="455"/>
      <c r="K42" s="455"/>
      <c r="L42" s="465" t="s">
        <v>121</v>
      </c>
      <c r="M42" s="502">
        <f>ABS($C$24*IF(OR($C$28=2,$C$28=4),COS(RADIANS($C$29)),-COS(RADIANS($C$29)))+$D$24*IF(OR($D$28=2,$D$28=4),COS(RADIANS($D$29)),-COS(RADIANS($D$29))))</f>
        <v>0</v>
      </c>
      <c r="N42" s="524" t="str">
        <f>IF(M42=0,"",IF($C$24*IF(OR($C$28=2,$C$28=4),COS(RADIANS($C$29)),-COS(RADIANS($C$29)))+$D$24*IF(OR($D$28=2,$D$28=4),COS(RADIANS($D$29)),-COS(RADIANS($D$29)))&gt;0,"  N","  S"))</f>
        <v/>
      </c>
      <c r="O42" s="503">
        <f>ABS($C$24*IF(OR($C$28=1,$C$28=2),SIN(RADIANS($C$29)),-SIN(RADIANS($C$29)))+$D$24*IF(OR($D$28=1,$D$28=2),SIN(RADIANS($D$29)),-SIN(RADIANS($D$29))))</f>
        <v>0</v>
      </c>
      <c r="P42" s="525" t="str">
        <f>IF(O42=0,"",IF($C$24*IF(OR($C$28=1,$C$28=2),SIN(RADIANS($C$29)),-SIN(RADIANS($C$29)))+$D$24*IF(OR($D$28=1,$D$28=2),SIN(RADIANS($D$29)),-SIN(RADIANS($D$29)))&gt;0,"  E","  W"))</f>
        <v/>
      </c>
      <c r="Q42" s="174"/>
      <c r="S42" s="405" t="s">
        <v>122</v>
      </c>
      <c r="T42" s="406" t="s">
        <v>122</v>
      </c>
      <c r="U42" s="407">
        <f>IF($E$38=1,$D$38,-$D$38)</f>
        <v>0</v>
      </c>
      <c r="V42" s="388">
        <f>IF($G$38=1,$F$38,-$F$38)</f>
        <v>0</v>
      </c>
      <c r="AA42" s="272" t="s">
        <v>168</v>
      </c>
      <c r="AB42" s="267"/>
      <c r="AC42" s="267"/>
      <c r="AD42" s="267"/>
      <c r="AE42" s="267"/>
      <c r="AF42" s="268"/>
    </row>
    <row r="43" spans="1:42" ht="15.75" customHeight="1" thickBot="1" x14ac:dyDescent="0.3">
      <c r="A43" s="461"/>
      <c r="B43" s="455"/>
      <c r="C43" s="455"/>
      <c r="D43" s="837" t="s">
        <v>3</v>
      </c>
      <c r="E43" s="838"/>
      <c r="F43" s="852" t="s">
        <v>13</v>
      </c>
      <c r="G43" s="838"/>
      <c r="H43" s="455"/>
      <c r="I43" s="455"/>
      <c r="J43" s="455"/>
      <c r="K43" s="455"/>
      <c r="L43" s="465" t="s">
        <v>127</v>
      </c>
      <c r="M43" s="488">
        <f>ABS(IF($F$6=1,IF($F$7=1,$U$42,$U$43),IF($F$7=2,$U$44,$U$45)))</f>
        <v>0</v>
      </c>
      <c r="N43" s="528" t="str">
        <f>IF(IF($F$6=$F$7,IF($E$38=1,$D$38,-$D$38),IF(AND($F$6=1,$F$7=2),IF($E$38=1,$D$38,-$D$38)*COS(RADIANS($F$39))-IF($G$38=1,$F$38,-$F$38)*SIN(RADIANS($F$39)),IF($E$38=1,$D$38,-$D$38)*COS(RADIANS($F$39))+IF($G$38=1,$F$38,-$F$38)*SIN(RADIANS($F$39))))&gt;0,"  N","  S")</f>
        <v xml:space="preserve">  S</v>
      </c>
      <c r="O43" s="490">
        <f>ABS(IF($F$6=1,IF($F$7=1,$V$42,$V$43),IF($F$7=2,$V$44,$V$45)))</f>
        <v>0</v>
      </c>
      <c r="P43" s="529" t="str">
        <f>IF(IF($F$6=$F$7,IF($G$38=1,$F$38,-$F$38),IF(AND($F$6=1,$F$7=2),IF($G$38=1,$F$38,-$F$38)*COS(RADIANS($F$39))+IF($E$38=1,$D$38,-$D$38)*SIN(RADIANS($F$39)),IF($G$38=1,$F$38,-$F$38)*COS($F$46)-IF($E$38=1,$D$38,-$D$38)*SIN($F$46)))&gt;0,"  E","  W")</f>
        <v xml:space="preserve">  W</v>
      </c>
      <c r="Q43" s="174"/>
      <c r="S43" s="392" t="s">
        <v>122</v>
      </c>
      <c r="T43" s="393" t="s">
        <v>128</v>
      </c>
      <c r="U43" s="394">
        <f>($U42*COS(RADIANS($W$52))-$V42*SIN(RADIANS($W$52)))/$W$53</f>
        <v>0</v>
      </c>
      <c r="V43" s="395">
        <f>($V42*COS(RADIANS($W$52))+$U42*SIN(RADIANS($W$52)))/$W$53</f>
        <v>0</v>
      </c>
      <c r="AA43" s="269" t="s">
        <v>169</v>
      </c>
      <c r="AB43" s="781">
        <v>6378137</v>
      </c>
      <c r="AC43" s="267"/>
      <c r="AD43" s="267"/>
      <c r="AE43" s="267"/>
      <c r="AF43" s="268"/>
    </row>
    <row r="44" spans="1:42" x14ac:dyDescent="0.25">
      <c r="A44" s="455"/>
      <c r="B44" s="455"/>
      <c r="C44" s="455"/>
      <c r="D44" s="553" t="s">
        <v>170</v>
      </c>
      <c r="E44" s="554">
        <v>12</v>
      </c>
      <c r="F44" s="553" t="s">
        <v>170</v>
      </c>
      <c r="G44" s="555">
        <v>2</v>
      </c>
      <c r="H44" s="455"/>
      <c r="I44" s="455"/>
      <c r="J44" s="455"/>
      <c r="K44" s="455"/>
      <c r="L44" s="532" t="s">
        <v>131</v>
      </c>
      <c r="M44" s="488">
        <f>IF($N$43="  N",$M$43,-$M$43)-IF($N$42="  N",$M$42,-$M$42)</f>
        <v>0</v>
      </c>
      <c r="N44" s="489"/>
      <c r="O44" s="490">
        <f>IF($P$43="  E",$O$43,-$O$43)-IF($P$42="  E",$O$42,-$O$42)</f>
        <v>0</v>
      </c>
      <c r="P44" s="492"/>
      <c r="Q44" s="174"/>
      <c r="S44" s="392" t="s">
        <v>128</v>
      </c>
      <c r="T44" s="393" t="s">
        <v>128</v>
      </c>
      <c r="U44" s="394" t="e">
        <f>IF($E$38=1,$D$38,-$D$38)*$F$47/$W$53</f>
        <v>#VALUE!</v>
      </c>
      <c r="V44" s="395" t="e">
        <f>IF($G$38=1,$F$38,-$F$38)*$F$47/$W$53</f>
        <v>#VALUE!</v>
      </c>
      <c r="AA44" s="269" t="s">
        <v>171</v>
      </c>
      <c r="AB44" s="781">
        <v>6356752.3141403003</v>
      </c>
      <c r="AC44" s="267"/>
      <c r="AD44" s="267"/>
      <c r="AE44" s="267"/>
      <c r="AF44" s="268"/>
    </row>
    <row r="45" spans="1:42" ht="15.75" customHeight="1" thickBot="1" x14ac:dyDescent="0.3">
      <c r="A45" s="455"/>
      <c r="B45" s="455"/>
      <c r="C45" s="455"/>
      <c r="D45" s="556" t="s">
        <v>172</v>
      </c>
      <c r="E45" s="557" t="s">
        <v>173</v>
      </c>
      <c r="F45" s="556" t="s">
        <v>172</v>
      </c>
      <c r="G45" s="557" t="s">
        <v>173</v>
      </c>
      <c r="H45" s="455"/>
      <c r="I45" s="455"/>
      <c r="J45" s="455"/>
      <c r="K45" s="455"/>
      <c r="L45" s="532" t="s">
        <v>135</v>
      </c>
      <c r="M45" s="533">
        <f>SIN(RADIANS(90-$H$30))*$O$44</f>
        <v>0</v>
      </c>
      <c r="N45" s="534"/>
      <c r="O45" s="535">
        <f>SIN(RADIANS(180-$I$30))*$M$44</f>
        <v>0</v>
      </c>
      <c r="P45" s="536"/>
      <c r="Q45" s="174"/>
      <c r="S45" s="396" t="s">
        <v>128</v>
      </c>
      <c r="T45" s="397" t="s">
        <v>122</v>
      </c>
      <c r="U45" s="398" t="e">
        <f>($U42*COS(-$F$46)-$V42*SIN(-$F$46))*$F$47</f>
        <v>#VALUE!</v>
      </c>
      <c r="V45" s="399" t="e">
        <f>($V42*COS(-$F$46)+$U42*SIN(-$F$46))*$F$47</f>
        <v>#VALUE!</v>
      </c>
      <c r="AA45" s="269" t="s">
        <v>174</v>
      </c>
      <c r="AB45" s="267">
        <f>(AB43-AB44)/AB43</f>
        <v>3.3528106811910332E-3</v>
      </c>
      <c r="AC45" s="267"/>
      <c r="AD45" s="267"/>
      <c r="AE45" s="267"/>
      <c r="AF45" s="268"/>
    </row>
    <row r="46" spans="1:42" ht="15.75" customHeight="1" thickBot="1" x14ac:dyDescent="0.3">
      <c r="A46" s="455"/>
      <c r="B46" s="876" t="s">
        <v>175</v>
      </c>
      <c r="C46" s="842"/>
      <c r="D46" s="408">
        <f>ROUND(ATAN(TAN(RADIANS(IF($E$44=11,117,111)-$J$13))*SIN(RADIANS($I$13))),6)</f>
        <v>0</v>
      </c>
      <c r="E46" s="782">
        <f>ROUND(DEGREES($D$46),6)</f>
        <v>0</v>
      </c>
      <c r="F46" s="408" t="e">
        <f>ROUND(RADIANS($G$46),6)</f>
        <v>#VALUE!</v>
      </c>
      <c r="G46" s="782" t="str">
        <f>IF(AND(ISNUMBER($I$13),ISNUMBER($J$13)),(111.5-$J$13)*IF($G$44=1,$AB$16,IF($G$44=2,$AC$16,$AD$16)),"")</f>
        <v/>
      </c>
      <c r="H46" s="455"/>
      <c r="I46" s="455"/>
      <c r="J46" s="455"/>
      <c r="K46" s="455"/>
      <c r="L46" s="532"/>
      <c r="M46" s="516"/>
      <c r="N46" s="516"/>
      <c r="O46" s="516"/>
      <c r="P46" s="516"/>
      <c r="Q46" s="174"/>
      <c r="AA46" s="269" t="s">
        <v>176</v>
      </c>
      <c r="AB46" s="783">
        <f>1/AB45</f>
        <v>298.25722210022479</v>
      </c>
      <c r="AC46" s="267"/>
      <c r="AD46" s="267"/>
      <c r="AE46" s="267"/>
      <c r="AF46" s="268"/>
    </row>
    <row r="47" spans="1:42" ht="15.75" customHeight="1" thickBot="1" x14ac:dyDescent="0.3">
      <c r="A47" s="455"/>
      <c r="B47" s="876" t="s">
        <v>177</v>
      </c>
      <c r="C47" s="842"/>
      <c r="D47" s="857" t="str">
        <f>IF(AND(ISNUMBER($I13),ISNUMBER($J13)),$AC$55*(1+(1+(($AC$60*(2-$AC$60)/(1-$AC$60)^2)*COS(RADIANS($I13))^2))*(RADIANS($AC$52-$J13)*COS(RADIANS($I13)))^2/2+(5-4*(TAN(RADIANS($I13))^2)+42*(($AC$60*(2-$AC$60)/(1-$AC$60)^2)*COS(RADIANS($I13))^2)+13*(($AC$60*(2-$AC$60)/(1-$AC$60)^2)*COS(RADIANS($I13))^2)^2-28*($AC$60*(2-$AC$60)/(1-$AC$60)^2))*(RADIANS($AC$52-$J13)*COS(RADIANS($I13)))^4/24+(61-148*(TAN(RADIANS($I13))^2)+16*(TAN(RADIANS($I13))^2)^2)*(RADIANS($AC$52-$J13)*COS(RADIANS($I13)))^6/720),"")</f>
        <v/>
      </c>
      <c r="E47" s="838"/>
      <c r="F47" s="857" t="str">
        <f>IF(AND(ISNUMBER($I13),ISNUMBER($J13)),IF($G44=1,$AB$38+$AB$39*(($I13-$AB$15)*($AB$26+($I13-$AB$15)*($AB$27+($I13-$AB$15)*($AB$28+$AB$29*($I13-$AB$15)))))^2+$AB$40*(($I13-$AB$15)*($AB$26+($I13-$AB$15)*($AB$27+($I13-$AB$15)*($AB$28+$AB$29*($I13-$AB$15)))))^3,IF($G44=2,$AC$38+$AC$39*(($I13-$AC$15)*($AC$26+($I13-$AC$15)*($AC$27+($I13-$AC$15)*($AC$28+$AC$29*($I13-$AC$15)))))^2+$AC$40*(($I13-$AC$15)*($AC$26+($I13-$AC$15)*($AC$27+($I13-$AC$15)*($AC$28+$AC$29*($I13-$AC$15)))))^3,$AD$38+$AD$39*(($I13-$AD$15)*($AD$26+($I13-$AD$15)*($AD$27+($I13-$AD$15)*($AD$28+$AD$29*($I13-$AD$15)))))^2+$AD$40*(($I13-$AD$15)*($AD$26+($I13-$AD$15)*($AD$27+($I13-$AD$15)*($AD$28+$AD$29*($I13-$AD$15)))))^3)),"")</f>
        <v/>
      </c>
      <c r="G47" s="838"/>
      <c r="H47" s="455"/>
      <c r="I47" s="455"/>
      <c r="J47" s="455"/>
      <c r="K47" s="455"/>
      <c r="L47" s="532"/>
      <c r="M47" s="516"/>
      <c r="N47" s="516"/>
      <c r="O47" s="516"/>
      <c r="P47" s="516"/>
      <c r="Q47" s="174"/>
      <c r="AA47" s="269" t="s">
        <v>178</v>
      </c>
      <c r="AB47" s="267">
        <f>(2*AB45-AB45^2)^0.5</f>
        <v>8.1819191042921943E-2</v>
      </c>
      <c r="AC47" s="267"/>
      <c r="AD47" s="267"/>
      <c r="AE47" s="267"/>
      <c r="AF47" s="268"/>
    </row>
    <row r="48" spans="1:42" ht="18" customHeight="1" thickBot="1" x14ac:dyDescent="0.3">
      <c r="A48" s="461"/>
      <c r="B48" s="876" t="s">
        <v>179</v>
      </c>
      <c r="C48" s="842"/>
      <c r="D48" s="857" t="e">
        <f>$AI$6/($AI$6-17+$G$19*0.3048)</f>
        <v>#VALUE!</v>
      </c>
      <c r="E48" s="838"/>
      <c r="F48" s="857" t="e">
        <f>$AI$6/($AI$6-17+$G$19*0.3048)</f>
        <v>#VALUE!</v>
      </c>
      <c r="G48" s="838"/>
      <c r="H48" s="455"/>
      <c r="I48" s="455"/>
      <c r="J48" s="455"/>
      <c r="K48" s="455"/>
      <c r="L48" s="532"/>
      <c r="M48" s="516"/>
      <c r="N48" s="516"/>
      <c r="O48" s="516"/>
      <c r="P48" s="516"/>
      <c r="Q48" s="174"/>
      <c r="AA48" s="275" t="s">
        <v>180</v>
      </c>
      <c r="AB48" s="784">
        <f>AB47^2</f>
        <v>6.6943800229181585E-3</v>
      </c>
      <c r="AC48" s="276"/>
      <c r="AD48" s="276"/>
      <c r="AE48" s="276"/>
      <c r="AF48" s="277"/>
    </row>
    <row r="49" spans="1:32" ht="15.75" customHeight="1" thickBot="1" x14ac:dyDescent="0.3">
      <c r="A49" s="558"/>
      <c r="B49" s="559"/>
      <c r="C49" s="559"/>
      <c r="D49" s="559"/>
      <c r="E49" s="559"/>
      <c r="F49" s="559"/>
      <c r="G49" s="559"/>
      <c r="H49" s="559"/>
      <c r="I49" s="559"/>
      <c r="J49" s="559"/>
      <c r="K49" s="559"/>
      <c r="L49" s="560"/>
      <c r="M49" s="561"/>
      <c r="N49" s="561"/>
      <c r="O49" s="561"/>
      <c r="P49" s="561"/>
      <c r="Q49" s="130"/>
      <c r="S49" s="232" t="s">
        <v>181</v>
      </c>
      <c r="T49" s="409" t="s">
        <v>122</v>
      </c>
      <c r="U49" s="232" t="s">
        <v>182</v>
      </c>
      <c r="V49" s="232" t="s">
        <v>183</v>
      </c>
      <c r="W49" s="232" t="s">
        <v>184</v>
      </c>
      <c r="X49" s="232" t="s">
        <v>185</v>
      </c>
    </row>
    <row r="50" spans="1:32" ht="15.75" customHeight="1" thickBot="1" x14ac:dyDescent="0.3">
      <c r="A50" s="455"/>
      <c r="B50" s="455"/>
      <c r="C50" s="455"/>
      <c r="D50" s="455"/>
      <c r="E50" s="455"/>
      <c r="F50" s="455"/>
      <c r="G50" s="455"/>
      <c r="H50" s="455"/>
      <c r="I50" s="455"/>
      <c r="J50" s="455"/>
      <c r="K50" s="455"/>
      <c r="L50" s="532"/>
      <c r="M50" s="516"/>
      <c r="N50" s="516"/>
      <c r="O50" s="516"/>
      <c r="P50" s="516"/>
      <c r="S50" s="232" t="s">
        <v>186</v>
      </c>
      <c r="T50" s="232" t="s">
        <v>128</v>
      </c>
      <c r="U50" s="232" t="s">
        <v>187</v>
      </c>
      <c r="V50" s="232" t="s">
        <v>188</v>
      </c>
      <c r="W50" s="232" t="s">
        <v>189</v>
      </c>
      <c r="X50" s="232" t="s">
        <v>190</v>
      </c>
      <c r="AA50" s="278" t="s">
        <v>191</v>
      </c>
      <c r="AB50" s="279"/>
      <c r="AC50" s="279"/>
      <c r="AD50" s="279"/>
      <c r="AE50" s="279"/>
      <c r="AF50" s="280"/>
    </row>
    <row r="51" spans="1:32" x14ac:dyDescent="0.25">
      <c r="A51" s="455"/>
      <c r="B51" s="562" t="s">
        <v>192</v>
      </c>
      <c r="C51" s="337"/>
      <c r="D51" s="337"/>
      <c r="E51" s="563"/>
      <c r="F51" s="455"/>
      <c r="G51" s="849" t="s">
        <v>193</v>
      </c>
      <c r="H51" s="847"/>
      <c r="I51" s="848"/>
      <c r="J51" s="752"/>
      <c r="K51" s="455"/>
      <c r="L51" s="455"/>
      <c r="M51" s="455"/>
      <c r="N51" s="455"/>
      <c r="O51" s="455"/>
      <c r="P51" s="455"/>
      <c r="S51" s="232" t="s">
        <v>194</v>
      </c>
      <c r="T51" s="291" t="s">
        <v>195</v>
      </c>
      <c r="U51" s="232" t="s">
        <v>196</v>
      </c>
      <c r="V51" s="232" t="s">
        <v>197</v>
      </c>
      <c r="W51" s="232" t="s">
        <v>198</v>
      </c>
      <c r="X51" s="232"/>
      <c r="AA51" s="281"/>
      <c r="AB51" s="410" t="s">
        <v>199</v>
      </c>
      <c r="AC51" s="411"/>
      <c r="AD51" s="411"/>
      <c r="AE51" s="411"/>
      <c r="AF51" s="282"/>
    </row>
    <row r="52" spans="1:32" x14ac:dyDescent="0.25">
      <c r="A52" s="455"/>
      <c r="B52" s="564"/>
      <c r="C52" s="565"/>
      <c r="D52" s="565"/>
      <c r="E52" s="566"/>
      <c r="F52" s="465" t="b">
        <f>B54&lt;B52</f>
        <v>0</v>
      </c>
      <c r="G52" s="567"/>
      <c r="H52" s="568"/>
      <c r="I52" s="753" t="s">
        <v>200</v>
      </c>
      <c r="J52" s="752"/>
      <c r="K52" s="455"/>
      <c r="L52" s="455"/>
      <c r="M52" s="455"/>
      <c r="N52" s="455"/>
      <c r="O52" s="455"/>
      <c r="P52" s="455"/>
      <c r="S52" s="232" t="s">
        <v>201</v>
      </c>
      <c r="T52" s="292" t="s">
        <v>202</v>
      </c>
      <c r="U52" s="232" t="s">
        <v>203</v>
      </c>
      <c r="V52" s="232" t="s">
        <v>204</v>
      </c>
      <c r="W52" s="232">
        <f>IF($F$7=1,0,$F$39)</f>
        <v>0</v>
      </c>
      <c r="X52" s="232"/>
      <c r="AA52" s="281"/>
      <c r="AB52" s="412" t="s">
        <v>205</v>
      </c>
      <c r="AC52" s="413">
        <v>111</v>
      </c>
      <c r="AD52" s="411"/>
      <c r="AE52" s="411"/>
      <c r="AF52" s="282"/>
    </row>
    <row r="53" spans="1:32" x14ac:dyDescent="0.25">
      <c r="A53" s="455"/>
      <c r="B53" s="569"/>
      <c r="C53" s="570"/>
      <c r="D53" s="570"/>
      <c r="E53" s="571"/>
      <c r="F53" s="465" t="b">
        <f>B53&gt;B54</f>
        <v>0</v>
      </c>
      <c r="G53" s="572"/>
      <c r="H53" s="573"/>
      <c r="I53" s="753" t="s">
        <v>206</v>
      </c>
      <c r="J53" s="752"/>
      <c r="K53" s="455"/>
      <c r="L53" s="455"/>
      <c r="M53" s="455"/>
      <c r="N53" s="455"/>
      <c r="O53" s="455"/>
      <c r="P53" s="455"/>
      <c r="S53" s="232"/>
      <c r="T53" s="232"/>
      <c r="U53" s="232"/>
      <c r="V53" s="232"/>
      <c r="W53" s="621">
        <f>IF($F$7=1,1,$F$40)</f>
        <v>1</v>
      </c>
      <c r="X53" s="232"/>
      <c r="AA53" s="283"/>
      <c r="AB53" s="412" t="s">
        <v>207</v>
      </c>
      <c r="AC53" s="411">
        <v>500000</v>
      </c>
      <c r="AD53" s="411"/>
      <c r="AE53" s="411"/>
      <c r="AF53" s="282"/>
    </row>
    <row r="54" spans="1:32" ht="15.75" customHeight="1" thickBot="1" x14ac:dyDescent="0.3">
      <c r="A54" s="455"/>
      <c r="B54" s="574">
        <f>C35</f>
        <v>0</v>
      </c>
      <c r="C54" s="575" t="e">
        <f>(C53-C52)/($B53-$B52)*($B54-$B52)+C52</f>
        <v>#DIV/0!</v>
      </c>
      <c r="D54" s="575" t="e">
        <f>(D53-D52)/($B53-$B52)*($B54-$B52)+D52</f>
        <v>#DIV/0!</v>
      </c>
      <c r="E54" s="576" t="e">
        <f>(E53-E52)/($B53-$B52)*($B54-$B52)+E52</f>
        <v>#DIV/0!</v>
      </c>
      <c r="F54" s="455"/>
      <c r="G54" s="577"/>
      <c r="H54" s="578"/>
      <c r="I54" s="738" t="s">
        <v>208</v>
      </c>
      <c r="J54" s="752"/>
      <c r="K54" s="455"/>
      <c r="L54" s="455"/>
      <c r="M54" s="455"/>
      <c r="N54" s="455"/>
      <c r="O54" s="455"/>
      <c r="P54" s="455"/>
      <c r="AA54" s="283"/>
      <c r="AB54" s="412" t="s">
        <v>209</v>
      </c>
      <c r="AC54" s="411">
        <v>0</v>
      </c>
      <c r="AD54" s="411"/>
      <c r="AE54" s="411"/>
      <c r="AF54" s="282"/>
    </row>
    <row r="55" spans="1:32" ht="18.75" customHeight="1" thickBot="1" x14ac:dyDescent="0.3">
      <c r="A55" s="455"/>
      <c r="B55" s="455"/>
      <c r="C55" s="455"/>
      <c r="D55" s="455"/>
      <c r="E55" s="455"/>
      <c r="F55" s="455"/>
      <c r="G55" s="579">
        <f>G52+G53/60+G54/3600</f>
        <v>0</v>
      </c>
      <c r="H55" s="580">
        <f>H52+H53/60+H54/3600</f>
        <v>0</v>
      </c>
      <c r="I55" s="581" t="s">
        <v>210</v>
      </c>
      <c r="J55" s="752"/>
      <c r="K55" s="455"/>
      <c r="L55" s="455"/>
      <c r="M55" s="455"/>
      <c r="N55" s="455"/>
      <c r="O55" s="455"/>
      <c r="P55" s="455"/>
      <c r="AA55" s="281"/>
      <c r="AB55" s="412" t="s">
        <v>211</v>
      </c>
      <c r="AC55" s="411">
        <v>0.99960000000000004</v>
      </c>
      <c r="AD55" s="411"/>
      <c r="AE55" s="411"/>
      <c r="AF55" s="282"/>
    </row>
    <row r="56" spans="1:32" ht="15.75" customHeight="1" thickBot="1" x14ac:dyDescent="0.3">
      <c r="A56" s="455"/>
      <c r="B56" s="562" t="s">
        <v>192</v>
      </c>
      <c r="C56" s="337"/>
      <c r="D56" s="337"/>
      <c r="E56" s="563"/>
      <c r="F56" s="455"/>
      <c r="G56" s="455"/>
      <c r="H56" s="455"/>
      <c r="I56" s="455"/>
      <c r="J56" s="455"/>
      <c r="K56" s="455"/>
      <c r="L56" s="455"/>
      <c r="M56" s="455"/>
      <c r="N56" s="455"/>
      <c r="O56" s="455"/>
      <c r="P56" s="455"/>
      <c r="AA56" s="281"/>
      <c r="AB56" s="411"/>
      <c r="AC56" s="411"/>
      <c r="AD56" s="411"/>
      <c r="AE56" s="411"/>
      <c r="AF56" s="282"/>
    </row>
    <row r="57" spans="1:32" x14ac:dyDescent="0.25">
      <c r="A57" s="455"/>
      <c r="B57" s="564"/>
      <c r="C57" s="565"/>
      <c r="D57" s="565"/>
      <c r="E57" s="566"/>
      <c r="F57" s="465" t="b">
        <f>B59&lt;B57</f>
        <v>0</v>
      </c>
      <c r="G57" s="849" t="s">
        <v>193</v>
      </c>
      <c r="H57" s="847"/>
      <c r="I57" s="848"/>
      <c r="J57" s="752"/>
      <c r="K57" s="455"/>
      <c r="L57" s="455"/>
      <c r="M57" s="455"/>
      <c r="N57" s="455"/>
      <c r="O57" s="455"/>
      <c r="P57" s="455"/>
      <c r="AA57" s="281"/>
      <c r="AB57" s="410" t="s">
        <v>168</v>
      </c>
      <c r="AC57" s="411"/>
      <c r="AD57" s="411"/>
      <c r="AE57" s="411"/>
      <c r="AF57" s="282"/>
    </row>
    <row r="58" spans="1:32" x14ac:dyDescent="0.25">
      <c r="A58" s="455"/>
      <c r="B58" s="569"/>
      <c r="C58" s="570"/>
      <c r="D58" s="570"/>
      <c r="E58" s="571"/>
      <c r="F58" s="465" t="b">
        <f>B58&gt;B59</f>
        <v>0</v>
      </c>
      <c r="G58" s="567"/>
      <c r="H58" s="568"/>
      <c r="I58" s="753" t="s">
        <v>200</v>
      </c>
      <c r="J58" s="752"/>
      <c r="K58" s="455"/>
      <c r="L58" s="455"/>
      <c r="M58" s="455"/>
      <c r="N58" s="455"/>
      <c r="O58" s="455"/>
      <c r="P58" s="455"/>
      <c r="AA58" s="281"/>
      <c r="AB58" s="412" t="s">
        <v>169</v>
      </c>
      <c r="AC58" s="785">
        <v>6378137</v>
      </c>
      <c r="AD58" s="411"/>
      <c r="AE58" s="411"/>
      <c r="AF58" s="282"/>
    </row>
    <row r="59" spans="1:32" ht="15.75" customHeight="1" thickBot="1" x14ac:dyDescent="0.3">
      <c r="A59" s="455"/>
      <c r="B59" s="574">
        <f>C36</f>
        <v>0</v>
      </c>
      <c r="C59" s="575" t="e">
        <f>(C58-C57)/($B58-$B57)*($B59-$B57)+C57</f>
        <v>#DIV/0!</v>
      </c>
      <c r="D59" s="575" t="e">
        <f>(D58-D57)/($B58-$B57)*($B59-$B57)+D57</f>
        <v>#DIV/0!</v>
      </c>
      <c r="E59" s="576" t="e">
        <f>(E58-E57)/($B58-$B57)*($B59-$B57)+E57</f>
        <v>#DIV/0!</v>
      </c>
      <c r="F59" s="455"/>
      <c r="G59" s="572"/>
      <c r="H59" s="573"/>
      <c r="I59" s="753" t="s">
        <v>206</v>
      </c>
      <c r="J59" s="752"/>
      <c r="K59" s="455"/>
      <c r="L59" s="455"/>
      <c r="M59" s="455"/>
      <c r="N59" s="455"/>
      <c r="O59" s="455"/>
      <c r="P59" s="455"/>
      <c r="AA59" s="281"/>
      <c r="AB59" s="412" t="s">
        <v>171</v>
      </c>
      <c r="AC59" s="785">
        <f>AC58-AC58*AC60</f>
        <v>6356752.3141403561</v>
      </c>
      <c r="AD59" s="411"/>
      <c r="AE59" s="411"/>
      <c r="AF59" s="282"/>
    </row>
    <row r="60" spans="1:32" ht="15.75" customHeight="1" thickBot="1" x14ac:dyDescent="0.3">
      <c r="A60" s="455"/>
      <c r="B60" s="455"/>
      <c r="C60" s="455"/>
      <c r="D60" s="455"/>
      <c r="E60" s="455"/>
      <c r="F60" s="455"/>
      <c r="G60" s="577"/>
      <c r="H60" s="578"/>
      <c r="I60" s="738" t="s">
        <v>208</v>
      </c>
      <c r="J60" s="752"/>
      <c r="K60" s="455"/>
      <c r="L60" s="455"/>
      <c r="M60" s="455"/>
      <c r="N60" s="455"/>
      <c r="O60" s="455"/>
      <c r="P60" s="455"/>
      <c r="AA60" s="281"/>
      <c r="AB60" s="412" t="s">
        <v>174</v>
      </c>
      <c r="AC60" s="411">
        <f>1/298.257222101</f>
        <v>3.3528106811823188E-3</v>
      </c>
      <c r="AD60" s="411"/>
      <c r="AE60" s="411"/>
      <c r="AF60" s="282"/>
    </row>
    <row r="61" spans="1:32" ht="15.75" customHeight="1" thickBot="1" x14ac:dyDescent="0.3">
      <c r="A61" s="455"/>
      <c r="B61" s="562" t="s">
        <v>192</v>
      </c>
      <c r="C61" s="337"/>
      <c r="D61" s="337"/>
      <c r="E61" s="563"/>
      <c r="F61" s="455"/>
      <c r="G61" s="579">
        <f>G58+G59/60+G60/3600</f>
        <v>0</v>
      </c>
      <c r="H61" s="580">
        <f>H58+H59/60+H60/3600</f>
        <v>0</v>
      </c>
      <c r="I61" s="581" t="s">
        <v>210</v>
      </c>
      <c r="J61" s="752"/>
      <c r="K61" s="455"/>
      <c r="L61" s="455"/>
      <c r="M61" s="455"/>
      <c r="N61" s="455"/>
      <c r="O61" s="455"/>
      <c r="P61" s="455"/>
      <c r="AA61" s="281"/>
      <c r="AB61" s="412" t="s">
        <v>176</v>
      </c>
      <c r="AC61" s="786">
        <f>1/AC60</f>
        <v>298.25722210100002</v>
      </c>
      <c r="AD61" s="411"/>
      <c r="AE61" s="411"/>
      <c r="AF61" s="282"/>
    </row>
    <row r="62" spans="1:32" ht="15.75" customHeight="1" thickBot="1" x14ac:dyDescent="0.3">
      <c r="A62" s="455"/>
      <c r="B62" s="564"/>
      <c r="C62" s="565"/>
      <c r="D62" s="565"/>
      <c r="E62" s="566"/>
      <c r="F62" s="465" t="b">
        <f>B64&lt;B62</f>
        <v>0</v>
      </c>
      <c r="G62" s="455"/>
      <c r="H62" s="455"/>
      <c r="I62" s="455"/>
      <c r="J62" s="455"/>
      <c r="K62" s="455"/>
      <c r="L62" s="455"/>
      <c r="M62" s="455"/>
      <c r="N62" s="455"/>
      <c r="O62" s="455"/>
      <c r="P62" s="455"/>
      <c r="AA62" s="281"/>
      <c r="AB62" s="412" t="s">
        <v>178</v>
      </c>
      <c r="AC62" s="411">
        <f>(2*AC60-AC60^2)^0.5</f>
        <v>8.1819191042815792E-2</v>
      </c>
      <c r="AD62" s="411"/>
      <c r="AE62" s="411"/>
      <c r="AF62" s="282"/>
    </row>
    <row r="63" spans="1:32" ht="17.25" customHeight="1" x14ac:dyDescent="0.25">
      <c r="A63" s="455"/>
      <c r="B63" s="569"/>
      <c r="C63" s="570"/>
      <c r="D63" s="570"/>
      <c r="E63" s="571"/>
      <c r="F63" s="465" t="b">
        <f>B63&gt;B64</f>
        <v>0</v>
      </c>
      <c r="G63" s="849" t="s">
        <v>193</v>
      </c>
      <c r="H63" s="847"/>
      <c r="I63" s="848"/>
      <c r="J63" s="455"/>
      <c r="K63" s="455"/>
      <c r="L63" s="455"/>
      <c r="M63" s="455"/>
      <c r="N63" s="455"/>
      <c r="O63" s="455"/>
      <c r="P63" s="455"/>
      <c r="AA63" s="281"/>
      <c r="AB63" s="412" t="s">
        <v>180</v>
      </c>
      <c r="AC63" s="787">
        <f>AC62^2</f>
        <v>6.6943800229007878E-3</v>
      </c>
      <c r="AD63" s="411"/>
      <c r="AE63" s="411"/>
      <c r="AF63" s="282"/>
    </row>
    <row r="64" spans="1:32" ht="18" customHeight="1" thickBot="1" x14ac:dyDescent="0.3">
      <c r="A64" s="455"/>
      <c r="B64" s="574">
        <f>C37</f>
        <v>0</v>
      </c>
      <c r="C64" s="575" t="e">
        <f>(C63-C62)/($B63-$B62)*($B64-$B62)+C62</f>
        <v>#DIV/0!</v>
      </c>
      <c r="D64" s="575" t="e">
        <f>(D63-D62)/($B63-$B62)*($B64-$B62)+D62</f>
        <v>#DIV/0!</v>
      </c>
      <c r="E64" s="576" t="e">
        <f>(E63-E62)/($B63-$B62)*($B64-$B62)+E62</f>
        <v>#DIV/0!</v>
      </c>
      <c r="F64" s="455"/>
      <c r="G64" s="567"/>
      <c r="H64" s="568"/>
      <c r="I64" s="753" t="s">
        <v>200</v>
      </c>
      <c r="J64" s="455"/>
      <c r="K64" s="455"/>
      <c r="L64" s="455"/>
      <c r="M64" s="455"/>
      <c r="N64" s="455"/>
      <c r="O64" s="455"/>
      <c r="P64" s="455"/>
      <c r="AA64" s="284"/>
      <c r="AB64" s="788" t="s">
        <v>212</v>
      </c>
      <c r="AC64" s="285">
        <f>(AC60*(2-AC60)/(1-AC60)^2)</f>
        <v>6.7394967754789573E-3</v>
      </c>
      <c r="AD64" s="285"/>
      <c r="AE64" s="285"/>
      <c r="AF64" s="286"/>
    </row>
    <row r="65" spans="1:16" ht="15.75" customHeight="1" thickBot="1" x14ac:dyDescent="0.3">
      <c r="A65" s="455"/>
      <c r="B65" s="455"/>
      <c r="C65" s="455"/>
      <c r="D65" s="455"/>
      <c r="E65" s="455"/>
      <c r="F65" s="455"/>
      <c r="G65" s="572"/>
      <c r="H65" s="573"/>
      <c r="I65" s="753" t="s">
        <v>206</v>
      </c>
      <c r="J65" s="455"/>
      <c r="K65" s="455"/>
      <c r="L65" s="455"/>
      <c r="M65" s="455"/>
      <c r="N65" s="455"/>
      <c r="O65" s="455"/>
      <c r="P65" s="455"/>
    </row>
    <row r="66" spans="1:16" x14ac:dyDescent="0.25">
      <c r="A66" s="455"/>
      <c r="B66" s="562" t="s">
        <v>192</v>
      </c>
      <c r="C66" s="337"/>
      <c r="D66" s="337"/>
      <c r="E66" s="563"/>
      <c r="F66" s="455"/>
      <c r="G66" s="577"/>
      <c r="H66" s="578"/>
      <c r="I66" s="738" t="s">
        <v>208</v>
      </c>
      <c r="J66" s="455"/>
      <c r="K66" s="455"/>
      <c r="L66" s="455"/>
      <c r="M66" s="455"/>
      <c r="N66" s="455"/>
      <c r="O66" s="455"/>
      <c r="P66" s="455"/>
    </row>
    <row r="67" spans="1:16" ht="15.75" customHeight="1" thickBot="1" x14ac:dyDescent="0.3">
      <c r="A67" s="455"/>
      <c r="B67" s="564"/>
      <c r="C67" s="565"/>
      <c r="D67" s="565"/>
      <c r="E67" s="566"/>
      <c r="F67" s="465" t="b">
        <f>B69&lt;B67</f>
        <v>0</v>
      </c>
      <c r="G67" s="579">
        <f>G64+G65/60+G66/3600</f>
        <v>0</v>
      </c>
      <c r="H67" s="580">
        <f>H64+H65/60+H66/3600</f>
        <v>0</v>
      </c>
      <c r="I67" s="581" t="s">
        <v>210</v>
      </c>
      <c r="J67" s="455"/>
      <c r="K67" s="455"/>
      <c r="L67" s="455"/>
      <c r="M67" s="455"/>
      <c r="N67" s="455"/>
      <c r="O67" s="455"/>
      <c r="P67" s="455"/>
    </row>
    <row r="68" spans="1:16" x14ac:dyDescent="0.25">
      <c r="A68" s="455"/>
      <c r="B68" s="569"/>
      <c r="C68" s="570"/>
      <c r="D68" s="570"/>
      <c r="E68" s="571"/>
      <c r="F68" s="465" t="b">
        <f>B68&gt;B69</f>
        <v>0</v>
      </c>
      <c r="G68" s="455"/>
      <c r="H68" s="455"/>
      <c r="I68" s="455"/>
      <c r="J68" s="455"/>
      <c r="K68" s="455"/>
      <c r="L68" s="455"/>
      <c r="M68" s="455"/>
      <c r="N68" s="455"/>
      <c r="O68" s="455"/>
      <c r="P68" s="455"/>
    </row>
    <row r="69" spans="1:16" ht="15.75" customHeight="1" thickBot="1" x14ac:dyDescent="0.3">
      <c r="A69" s="455"/>
      <c r="B69" s="574">
        <f>C38</f>
        <v>0</v>
      </c>
      <c r="C69" s="575" t="e">
        <f>(C68-C67)/($B68-$B67)*($B69-$B67)+C67</f>
        <v>#DIV/0!</v>
      </c>
      <c r="D69" s="575" t="e">
        <f>(D68-D67)/($B68-$B67)*($B69-$B67)+D67</f>
        <v>#DIV/0!</v>
      </c>
      <c r="E69" s="576" t="e">
        <f>(E68-E67)/($B68-$B67)*($B69-$B67)+E67</f>
        <v>#DIV/0!</v>
      </c>
      <c r="F69" s="455"/>
      <c r="G69" s="455"/>
      <c r="H69" s="455"/>
      <c r="I69" s="455"/>
      <c r="J69" s="455"/>
      <c r="K69" s="455"/>
      <c r="L69" s="455"/>
      <c r="M69" s="455"/>
      <c r="N69" s="455"/>
      <c r="O69" s="455"/>
      <c r="P69" s="455"/>
    </row>
    <row r="70" spans="1:16" x14ac:dyDescent="0.25">
      <c r="A70" s="455"/>
      <c r="B70" s="455"/>
      <c r="C70" s="455"/>
      <c r="D70" s="455"/>
      <c r="E70" s="455"/>
      <c r="F70" s="455"/>
      <c r="G70" s="455"/>
      <c r="H70" s="455"/>
      <c r="I70" s="455"/>
      <c r="J70" s="455"/>
      <c r="K70" s="455"/>
      <c r="L70" s="455"/>
      <c r="M70" s="455"/>
      <c r="N70" s="455"/>
      <c r="O70" s="455"/>
      <c r="P70" s="455"/>
    </row>
    <row r="71" spans="1:16" x14ac:dyDescent="0.25">
      <c r="A71" s="455"/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</row>
    <row r="72" spans="1:16" x14ac:dyDescent="0.25">
      <c r="A72" s="455"/>
      <c r="B72" s="455"/>
      <c r="C72" s="455"/>
      <c r="D72" s="455"/>
      <c r="E72" s="455"/>
      <c r="F72" s="455"/>
      <c r="G72" s="455"/>
      <c r="H72" s="455"/>
      <c r="I72" s="455"/>
      <c r="J72" s="455"/>
      <c r="K72" s="455"/>
      <c r="L72" s="455"/>
      <c r="M72" s="455"/>
      <c r="N72" s="455"/>
      <c r="O72" s="455"/>
      <c r="P72" s="455"/>
    </row>
    <row r="73" spans="1:16" x14ac:dyDescent="0.25">
      <c r="A73" s="455"/>
      <c r="B73" s="455"/>
      <c r="C73" s="455"/>
      <c r="D73" s="455"/>
      <c r="E73" s="455"/>
      <c r="F73" s="455"/>
      <c r="G73" s="455"/>
      <c r="H73" s="455"/>
      <c r="I73" s="455"/>
      <c r="J73" s="455"/>
      <c r="K73" s="455"/>
      <c r="L73" s="455"/>
      <c r="M73" s="455"/>
      <c r="N73" s="455"/>
      <c r="O73" s="455"/>
      <c r="P73" s="455"/>
    </row>
  </sheetData>
  <mergeCells count="70">
    <mergeCell ref="B47:C47"/>
    <mergeCell ref="M41:P41"/>
    <mergeCell ref="G57:I57"/>
    <mergeCell ref="AO18:AQ18"/>
    <mergeCell ref="D34:E34"/>
    <mergeCell ref="C33:G33"/>
    <mergeCell ref="F34:G34"/>
    <mergeCell ref="C40:E40"/>
    <mergeCell ref="B46:C46"/>
    <mergeCell ref="F21:G21"/>
    <mergeCell ref="AI33:AL33"/>
    <mergeCell ref="B48:C48"/>
    <mergeCell ref="J2:M2"/>
    <mergeCell ref="AI26:AN26"/>
    <mergeCell ref="M29:P29"/>
    <mergeCell ref="M23:P23"/>
    <mergeCell ref="AK4:AL4"/>
    <mergeCell ref="L3:M3"/>
    <mergeCell ref="K11:L11"/>
    <mergeCell ref="S15:U15"/>
    <mergeCell ref="N2:O2"/>
    <mergeCell ref="U3:V3"/>
    <mergeCell ref="W4:X4"/>
    <mergeCell ref="I11:J11"/>
    <mergeCell ref="C3:F3"/>
    <mergeCell ref="C10:D10"/>
    <mergeCell ref="S10:S11"/>
    <mergeCell ref="M11:N11"/>
    <mergeCell ref="E10:F10"/>
    <mergeCell ref="S7:T7"/>
    <mergeCell ref="C7:E7"/>
    <mergeCell ref="AM33:AP33"/>
    <mergeCell ref="C39:E39"/>
    <mergeCell ref="S9:U9"/>
    <mergeCell ref="AK38:AL38"/>
    <mergeCell ref="S21:V21"/>
    <mergeCell ref="C22:D22"/>
    <mergeCell ref="F24:G24"/>
    <mergeCell ref="AI27:AJ27"/>
    <mergeCell ref="C21:D21"/>
    <mergeCell ref="H24:I24"/>
    <mergeCell ref="AK27:AL27"/>
    <mergeCell ref="AO12:AQ12"/>
    <mergeCell ref="F15:G15"/>
    <mergeCell ref="G51:I51"/>
    <mergeCell ref="G63:I63"/>
    <mergeCell ref="D47:E47"/>
    <mergeCell ref="F47:G47"/>
    <mergeCell ref="F48:G48"/>
    <mergeCell ref="F43:G43"/>
    <mergeCell ref="O11:P11"/>
    <mergeCell ref="D15:E15"/>
    <mergeCell ref="S5:T5"/>
    <mergeCell ref="D48:E48"/>
    <mergeCell ref="C2:F2"/>
    <mergeCell ref="AM27:AN27"/>
    <mergeCell ref="T10:T11"/>
    <mergeCell ref="U4:V4"/>
    <mergeCell ref="D43:E43"/>
    <mergeCell ref="S6:T6"/>
    <mergeCell ref="M35:P35"/>
    <mergeCell ref="AK3:AP3"/>
    <mergeCell ref="AM4:AN4"/>
    <mergeCell ref="AO4:AP4"/>
    <mergeCell ref="C6:E6"/>
    <mergeCell ref="U10:U11"/>
    <mergeCell ref="S12:U12"/>
    <mergeCell ref="H21:I21"/>
    <mergeCell ref="J3:K3"/>
    <mergeCell ref="C9:F9"/>
  </mergeCells>
  <conditionalFormatting sqref="F39:F40">
    <cfRule type="expression" dxfId="1067" priority="1">
      <formula>IF($F$7=2,1)</formula>
    </cfRule>
  </conditionalFormatting>
  <printOptions horizontalCentered="1"/>
  <pageMargins left="0.45" right="0.45" top="1" bottom="0.75" header="0.3" footer="0.3"/>
  <pageSetup scale="7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Drop Down 1">
              <controlPr locked="0" defaultSize="0" autoLine="0" autoPict="0">
                <anchor moveWithCells="1">
                  <from>
                    <xdr:col>3</xdr:col>
                    <xdr:colOff>57150</xdr:colOff>
                    <xdr:row>27</xdr:row>
                    <xdr:rowOff>9525</xdr:rowOff>
                  </from>
                  <to>
                    <xdr:col>3</xdr:col>
                    <xdr:colOff>552450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Drop Down 2">
              <controlPr locked="0" defaultSize="0" autoLine="0" autoPict="0">
                <anchor moveWithCells="1">
                  <from>
                    <xdr:col>2</xdr:col>
                    <xdr:colOff>57150</xdr:colOff>
                    <xdr:row>27</xdr:row>
                    <xdr:rowOff>9525</xdr:rowOff>
                  </from>
                  <to>
                    <xdr:col>2</xdr:col>
                    <xdr:colOff>552450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Drop Down 3">
              <controlPr locked="0" defaultSize="0" autoLine="0" autoPict="0">
                <anchor moveWithCells="1">
                  <from>
                    <xdr:col>5</xdr:col>
                    <xdr:colOff>38100</xdr:colOff>
                    <xdr:row>10</xdr:row>
                    <xdr:rowOff>9525</xdr:rowOff>
                  </from>
                  <to>
                    <xdr:col>5</xdr:col>
                    <xdr:colOff>485775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Drop Down 4">
              <controlPr locked="0" defaultSize="0" autoLine="0" autoPict="0">
                <anchor moveWithCells="1">
                  <from>
                    <xdr:col>3</xdr:col>
                    <xdr:colOff>38100</xdr:colOff>
                    <xdr:row>10</xdr:row>
                    <xdr:rowOff>9525</xdr:rowOff>
                  </from>
                  <to>
                    <xdr:col>3</xdr:col>
                    <xdr:colOff>485775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Drop Down 5">
              <controlPr locked="0" defaultSize="0" autoLine="0" autoPict="0">
                <anchor moveWithCells="1">
                  <from>
                    <xdr:col>5</xdr:col>
                    <xdr:colOff>38100</xdr:colOff>
                    <xdr:row>5</xdr:row>
                    <xdr:rowOff>19050</xdr:rowOff>
                  </from>
                  <to>
                    <xdr:col>5</xdr:col>
                    <xdr:colOff>581025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Drop Down 6">
              <controlPr locked="0" defaultSize="0" autoLine="0" autoPict="0">
                <anchor moveWithCells="1">
                  <from>
                    <xdr:col>5</xdr:col>
                    <xdr:colOff>38100</xdr:colOff>
                    <xdr:row>11</xdr:row>
                    <xdr:rowOff>9525</xdr:rowOff>
                  </from>
                  <to>
                    <xdr:col>5</xdr:col>
                    <xdr:colOff>485775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Drop Down 7">
              <controlPr locked="0" defaultSize="0" autoLine="0" autoPict="0">
                <anchor moveWithCells="1">
                  <from>
                    <xdr:col>3</xdr:col>
                    <xdr:colOff>38100</xdr:colOff>
                    <xdr:row>11</xdr:row>
                    <xdr:rowOff>9525</xdr:rowOff>
                  </from>
                  <to>
                    <xdr:col>3</xdr:col>
                    <xdr:colOff>485775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0" name="Drop Down 8">
              <controlPr locked="0" defaultSize="0" autoLine="0" autoPict="0">
                <anchor moveWithCells="1">
                  <from>
                    <xdr:col>6</xdr:col>
                    <xdr:colOff>66675</xdr:colOff>
                    <xdr:row>28</xdr:row>
                    <xdr:rowOff>9525</xdr:rowOff>
                  </from>
                  <to>
                    <xdr:col>6</xdr:col>
                    <xdr:colOff>561975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1" name="Drop Down 9">
              <controlPr locked="0" defaultSize="0" autoLine="0" autoPict="0">
                <anchor moveWithCells="1">
                  <from>
                    <xdr:col>5</xdr:col>
                    <xdr:colOff>66675</xdr:colOff>
                    <xdr:row>28</xdr:row>
                    <xdr:rowOff>9525</xdr:rowOff>
                  </from>
                  <to>
                    <xdr:col>5</xdr:col>
                    <xdr:colOff>561975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2" name="Drop Down 10">
              <controlPr locked="0" defaultSize="0" autoLine="0" autoPict="0">
                <anchor moveWithCells="1">
                  <from>
                    <xdr:col>4</xdr:col>
                    <xdr:colOff>38100</xdr:colOff>
                    <xdr:row>34</xdr:row>
                    <xdr:rowOff>19050</xdr:rowOff>
                  </from>
                  <to>
                    <xdr:col>4</xdr:col>
                    <xdr:colOff>495300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3" name="Drop Down 11">
              <controlPr locked="0" defaultSize="0" autoLine="0" autoPict="0">
                <anchor moveWithCells="1">
                  <from>
                    <xdr:col>6</xdr:col>
                    <xdr:colOff>38100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4" name="Drop Down 12">
              <controlPr locked="0" defaultSize="0" autoLine="0" autoPict="0">
                <anchor moveWithCells="1">
                  <from>
                    <xdr:col>5</xdr:col>
                    <xdr:colOff>38100</xdr:colOff>
                    <xdr:row>6</xdr:row>
                    <xdr:rowOff>9525</xdr:rowOff>
                  </from>
                  <to>
                    <xdr:col>5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5" name="Drop Down 13">
              <controlPr locked="0" defaultSize="0" autoLine="0" autoPict="0">
                <anchor moveWithCells="1">
                  <from>
                    <xdr:col>4</xdr:col>
                    <xdr:colOff>38100</xdr:colOff>
                    <xdr:row>35</xdr:row>
                    <xdr:rowOff>19050</xdr:rowOff>
                  </from>
                  <to>
                    <xdr:col>4</xdr:col>
                    <xdr:colOff>495300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6" name="Drop Down 14">
              <controlPr locked="0" defaultSize="0" autoLine="0" autoPict="0">
                <anchor moveWithCells="1">
                  <from>
                    <xdr:col>6</xdr:col>
                    <xdr:colOff>38100</xdr:colOff>
                    <xdr:row>35</xdr:row>
                    <xdr:rowOff>19050</xdr:rowOff>
                  </from>
                  <to>
                    <xdr:col>6</xdr:col>
                    <xdr:colOff>495300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7" name="Drop Down 15">
              <controlPr locked="0" defaultSize="0" autoLine="0" autoPict="0">
                <anchor moveWithCells="1">
                  <from>
                    <xdr:col>6</xdr:col>
                    <xdr:colOff>38100</xdr:colOff>
                    <xdr:row>43</xdr:row>
                    <xdr:rowOff>9525</xdr:rowOff>
                  </from>
                  <to>
                    <xdr:col>6</xdr:col>
                    <xdr:colOff>733425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8" name="Drop Down 16">
              <controlPr locked="0" defaultSize="0" autoLine="0" autoPict="0">
                <anchor moveWithCells="1">
                  <from>
                    <xdr:col>5</xdr:col>
                    <xdr:colOff>38100</xdr:colOff>
                    <xdr:row>12</xdr:row>
                    <xdr:rowOff>9525</xdr:rowOff>
                  </from>
                  <to>
                    <xdr:col>5</xdr:col>
                    <xdr:colOff>485775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19" name="Drop Down 17">
              <controlPr locked="0" defaultSize="0" autoLine="0" autoPict="0">
                <anchor moveWithCells="1">
                  <from>
                    <xdr:col>3</xdr:col>
                    <xdr:colOff>38100</xdr:colOff>
                    <xdr:row>12</xdr:row>
                    <xdr:rowOff>9525</xdr:rowOff>
                  </from>
                  <to>
                    <xdr:col>3</xdr:col>
                    <xdr:colOff>485775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0" name="Drop Down 18">
              <controlPr locked="0" defaultSize="0" autoLine="0" autoPict="0">
                <anchor moveWithCells="1">
                  <from>
                    <xdr:col>8</xdr:col>
                    <xdr:colOff>66675</xdr:colOff>
                    <xdr:row>28</xdr:row>
                    <xdr:rowOff>9525</xdr:rowOff>
                  </from>
                  <to>
                    <xdr:col>8</xdr:col>
                    <xdr:colOff>561975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1" name="Drop Down 19">
              <controlPr locked="0" defaultSize="0" autoLine="0" autoPict="0">
                <anchor moveWithCells="1">
                  <from>
                    <xdr:col>7</xdr:col>
                    <xdr:colOff>66675</xdr:colOff>
                    <xdr:row>28</xdr:row>
                    <xdr:rowOff>9525</xdr:rowOff>
                  </from>
                  <to>
                    <xdr:col>7</xdr:col>
                    <xdr:colOff>561975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2" name="Drop Down 20">
              <controlPr locked="0" defaultSize="0" autoLine="0" autoPict="0">
                <anchor moveWithCells="1">
                  <from>
                    <xdr:col>4</xdr:col>
                    <xdr:colOff>38100</xdr:colOff>
                    <xdr:row>36</xdr:row>
                    <xdr:rowOff>19050</xdr:rowOff>
                  </from>
                  <to>
                    <xdr:col>4</xdr:col>
                    <xdr:colOff>495300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3" name="Drop Down 21">
              <controlPr locked="0" defaultSize="0" autoLine="0" autoPict="0">
                <anchor moveWithCells="1">
                  <from>
                    <xdr:col>6</xdr:col>
                    <xdr:colOff>38100</xdr:colOff>
                    <xdr:row>36</xdr:row>
                    <xdr:rowOff>19050</xdr:rowOff>
                  </from>
                  <to>
                    <xdr:col>6</xdr:col>
                    <xdr:colOff>495300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4" name="Drop Down 22">
              <controlPr locked="0" defaultSize="0" autoLine="0" autoPict="0">
                <anchor moveWithCells="1">
                  <from>
                    <xdr:col>4</xdr:col>
                    <xdr:colOff>38100</xdr:colOff>
                    <xdr:row>37</xdr:row>
                    <xdr:rowOff>19050</xdr:rowOff>
                  </from>
                  <to>
                    <xdr:col>4</xdr:col>
                    <xdr:colOff>495300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5" name="Drop Down 23">
              <controlPr locked="0" defaultSize="0" autoLine="0" autoPict="0">
                <anchor moveWithCells="1">
                  <from>
                    <xdr:col>6</xdr:col>
                    <xdr:colOff>38100</xdr:colOff>
                    <xdr:row>37</xdr:row>
                    <xdr:rowOff>19050</xdr:rowOff>
                  </from>
                  <to>
                    <xdr:col>6</xdr:col>
                    <xdr:colOff>495300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6" name="Drop Down 24">
              <controlPr locked="0" defaultSize="0" autoLine="0" autoPict="0">
                <anchor moveWithCells="1">
                  <from>
                    <xdr:col>4</xdr:col>
                    <xdr:colOff>190500</xdr:colOff>
                    <xdr:row>15</xdr:row>
                    <xdr:rowOff>28575</xdr:rowOff>
                  </from>
                  <to>
                    <xdr:col>4</xdr:col>
                    <xdr:colOff>647700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7" name="Drop Down 25">
              <controlPr locked="0" defaultSize="0" autoLine="0" autoPict="0">
                <anchor moveWithCells="1">
                  <from>
                    <xdr:col>4</xdr:col>
                    <xdr:colOff>200025</xdr:colOff>
                    <xdr:row>16</xdr:row>
                    <xdr:rowOff>28575</xdr:rowOff>
                  </from>
                  <to>
                    <xdr:col>4</xdr:col>
                    <xdr:colOff>657225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8" name="Drop Down 26">
              <controlPr locked="0" defaultSize="0" autoLine="0" autoPict="0">
                <anchor moveWithCells="1">
                  <from>
                    <xdr:col>4</xdr:col>
                    <xdr:colOff>200025</xdr:colOff>
                    <xdr:row>17</xdr:row>
                    <xdr:rowOff>28575</xdr:rowOff>
                  </from>
                  <to>
                    <xdr:col>4</xdr:col>
                    <xdr:colOff>657225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29" name="Drop Down 27">
              <controlPr locked="0" defaultSize="0" autoLine="0" autoPict="0">
                <anchor moveWithCells="1">
                  <from>
                    <xdr:col>6</xdr:col>
                    <xdr:colOff>200025</xdr:colOff>
                    <xdr:row>15</xdr:row>
                    <xdr:rowOff>28575</xdr:rowOff>
                  </from>
                  <to>
                    <xdr:col>6</xdr:col>
                    <xdr:colOff>657225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0" name="Drop Down 28">
              <controlPr locked="0" defaultSize="0" autoLine="0" autoPict="0">
                <anchor moveWithCells="1">
                  <from>
                    <xdr:col>6</xdr:col>
                    <xdr:colOff>209550</xdr:colOff>
                    <xdr:row>16</xdr:row>
                    <xdr:rowOff>28575</xdr:rowOff>
                  </from>
                  <to>
                    <xdr:col>6</xdr:col>
                    <xdr:colOff>666750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1" name="Drop Down 29">
              <controlPr locked="0" defaultSize="0" autoLine="0" autoPict="0">
                <anchor moveWithCells="1">
                  <from>
                    <xdr:col>6</xdr:col>
                    <xdr:colOff>209550</xdr:colOff>
                    <xdr:row>17</xdr:row>
                    <xdr:rowOff>28575</xdr:rowOff>
                  </from>
                  <to>
                    <xdr:col>6</xdr:col>
                    <xdr:colOff>666750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2" name="Drop Down 30">
              <controlPr locked="0" defaultSize="0" autoLine="0" autoPict="0">
                <anchor moveWithCells="1">
                  <from>
                    <xdr:col>3</xdr:col>
                    <xdr:colOff>57150</xdr:colOff>
                    <xdr:row>18</xdr:row>
                    <xdr:rowOff>19050</xdr:rowOff>
                  </from>
                  <to>
                    <xdr:col>3</xdr:col>
                    <xdr:colOff>809625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B1:DN155"/>
  <sheetViews>
    <sheetView zoomScale="112" zoomScaleNormal="112" workbookViewId="0">
      <selection activeCell="C2" sqref="C2:G2"/>
    </sheetView>
  </sheetViews>
  <sheetFormatPr defaultRowHeight="15" x14ac:dyDescent="0.25"/>
  <cols>
    <col min="1" max="1" width="8.28515625" customWidth="1"/>
    <col min="2" max="2" width="8.5703125" customWidth="1"/>
    <col min="3" max="3" width="7.85546875" customWidth="1"/>
    <col min="4" max="21" width="10.7109375" customWidth="1"/>
    <col min="22" max="22" width="5.42578125" customWidth="1"/>
    <col min="23" max="23" width="10" customWidth="1"/>
    <col min="24" max="24" width="11.7109375" style="5" customWidth="1"/>
    <col min="25" max="25" width="11.7109375" style="19" customWidth="1"/>
    <col min="26" max="28" width="9.7109375" style="19" customWidth="1"/>
    <col min="29" max="29" width="10" style="19" customWidth="1"/>
    <col min="30" max="30" width="10.140625" style="19" customWidth="1"/>
    <col min="31" max="32" width="9.7109375" style="19" customWidth="1"/>
    <col min="33" max="43" width="10.7109375" style="19" customWidth="1"/>
    <col min="44" max="44" width="10.85546875" style="19" customWidth="1"/>
    <col min="45" max="52" width="10.7109375" style="19" customWidth="1"/>
    <col min="53" max="75" width="9.140625" style="19" customWidth="1"/>
  </cols>
  <sheetData>
    <row r="1" spans="2:111" ht="8.25" customHeight="1" x14ac:dyDescent="0.25"/>
    <row r="2" spans="2:111" ht="15" customHeight="1" x14ac:dyDescent="0.25">
      <c r="B2" s="26" t="s">
        <v>0</v>
      </c>
      <c r="C2" s="914">
        <f>'Dx to Plat Comparison'!C2</f>
        <v>0</v>
      </c>
      <c r="D2" s="830"/>
      <c r="E2" s="830"/>
      <c r="F2" s="830"/>
      <c r="G2" s="830"/>
      <c r="Y2" s="5"/>
    </row>
    <row r="3" spans="2:111" ht="15" customHeight="1" x14ac:dyDescent="0.25">
      <c r="B3" s="26" t="s">
        <v>5</v>
      </c>
      <c r="C3" s="893">
        <f>'Dx to Plat Comparison'!C3</f>
        <v>0</v>
      </c>
      <c r="D3" s="865"/>
      <c r="E3" s="865"/>
      <c r="F3" s="865"/>
      <c r="G3" s="865"/>
      <c r="X3" s="897" t="s">
        <v>213</v>
      </c>
      <c r="Y3" s="891"/>
      <c r="AN3" s="899" t="s">
        <v>214</v>
      </c>
      <c r="AO3" s="899" t="s">
        <v>215</v>
      </c>
      <c r="AP3" s="899" t="s">
        <v>216</v>
      </c>
      <c r="AQ3" s="899" t="s">
        <v>217</v>
      </c>
      <c r="BX3" s="19"/>
      <c r="BY3" s="19"/>
    </row>
    <row r="4" spans="2:111" ht="15" customHeight="1" thickBot="1" x14ac:dyDescent="0.3">
      <c r="S4" s="5"/>
      <c r="T4" s="19"/>
      <c r="U4" s="19"/>
      <c r="V4" s="19"/>
      <c r="X4" s="898"/>
      <c r="Y4" s="891"/>
      <c r="AN4" s="871"/>
      <c r="AO4" s="871"/>
      <c r="AP4" s="871"/>
      <c r="AQ4" s="871"/>
      <c r="BX4" s="19"/>
      <c r="BY4" s="19"/>
    </row>
    <row r="5" spans="2:111" ht="26.25" customHeight="1" thickBot="1" x14ac:dyDescent="0.3">
      <c r="B5" s="57"/>
      <c r="C5" s="58"/>
      <c r="D5" s="622" t="s">
        <v>218</v>
      </c>
      <c r="E5" s="931" t="s">
        <v>219</v>
      </c>
      <c r="F5" s="847"/>
      <c r="G5" s="847"/>
      <c r="H5" s="851"/>
      <c r="I5" s="931" t="s">
        <v>220</v>
      </c>
      <c r="J5" s="847"/>
      <c r="K5" s="847"/>
      <c r="L5" s="851"/>
      <c r="M5" s="35"/>
      <c r="N5" s="35"/>
      <c r="O5" s="35"/>
      <c r="P5" s="35"/>
      <c r="Q5" s="35"/>
      <c r="R5" s="35"/>
      <c r="S5" s="60"/>
      <c r="T5" s="906" t="s">
        <v>221</v>
      </c>
      <c r="U5" s="847"/>
      <c r="V5" s="848"/>
      <c r="X5" s="921"/>
      <c r="Y5" s="922"/>
      <c r="Z5" s="922"/>
      <c r="AA5" s="922"/>
      <c r="AB5" s="922"/>
      <c r="AC5" s="922"/>
      <c r="AD5" s="922"/>
      <c r="AE5" s="923"/>
      <c r="AG5" s="919" t="s">
        <v>222</v>
      </c>
      <c r="AH5" s="847"/>
      <c r="AI5" s="847"/>
      <c r="AJ5" s="848"/>
      <c r="AL5" s="876" t="s">
        <v>223</v>
      </c>
      <c r="AM5" s="842"/>
      <c r="AN5" s="204">
        <f>ATAN(TAN(RADIANS(IF($V$7=11,117,111)-$AO$10))*SIN(RADIANS($AN$10)))</f>
        <v>0</v>
      </c>
      <c r="AO5" s="789">
        <f>DEGREES($AN$5)</f>
        <v>0</v>
      </c>
      <c r="AP5" s="205">
        <f>RADIANS(111.5-$AO$10)*IF($C$17=1,$AM$76,IF($C$17=2,$AN$76,$AO$76))</f>
        <v>1.2465929260667301</v>
      </c>
      <c r="AQ5" s="789">
        <f>DEGREES($AP$5)</f>
        <v>71.424513434487508</v>
      </c>
      <c r="AS5" s="915" t="s">
        <v>224</v>
      </c>
      <c r="AT5" s="844"/>
      <c r="AU5" s="889"/>
      <c r="AV5" s="888" t="s">
        <v>225</v>
      </c>
      <c r="AW5" s="844"/>
      <c r="AX5" s="889"/>
      <c r="BX5" s="19"/>
      <c r="BY5" s="19"/>
    </row>
    <row r="6" spans="2:111" ht="18" customHeight="1" thickBot="1" x14ac:dyDescent="0.3">
      <c r="B6" s="903"/>
      <c r="C6" s="904"/>
      <c r="D6" s="618" t="s">
        <v>152</v>
      </c>
      <c r="E6" s="933" t="s">
        <v>113</v>
      </c>
      <c r="F6" s="859"/>
      <c r="G6" s="910" t="s">
        <v>114</v>
      </c>
      <c r="H6" s="911"/>
      <c r="I6" s="933" t="s">
        <v>6</v>
      </c>
      <c r="J6" s="859"/>
      <c r="K6" s="910" t="s">
        <v>7</v>
      </c>
      <c r="L6" s="911"/>
      <c r="M6" s="740" t="s">
        <v>226</v>
      </c>
      <c r="N6" s="740" t="s">
        <v>72</v>
      </c>
      <c r="O6" s="740" t="s">
        <v>73</v>
      </c>
      <c r="P6" s="740" t="s">
        <v>227</v>
      </c>
      <c r="Q6" s="740" t="s">
        <v>74</v>
      </c>
      <c r="R6" s="740" t="s">
        <v>228</v>
      </c>
      <c r="S6" s="740" t="s">
        <v>229</v>
      </c>
      <c r="T6" s="56" t="s">
        <v>8</v>
      </c>
      <c r="U6" s="740" t="s">
        <v>9</v>
      </c>
      <c r="V6" s="61" t="s">
        <v>230</v>
      </c>
      <c r="X6" s="924"/>
      <c r="Y6" s="925"/>
      <c r="Z6" s="925"/>
      <c r="AA6" s="925"/>
      <c r="AB6" s="925"/>
      <c r="AC6" s="925"/>
      <c r="AD6" s="925"/>
      <c r="AE6" s="926"/>
      <c r="AG6" s="315" t="s">
        <v>231</v>
      </c>
      <c r="AH6" s="790">
        <f>IF($AO$7=1,IF($E$16=1,0,$D$18),IF($E$16=2,$D$18-$AQ$5,-$AQ$5))</f>
        <v>0</v>
      </c>
      <c r="AI6" s="316" t="s">
        <v>232</v>
      </c>
      <c r="AJ6" s="317">
        <f>IF(AND($AO$7=1,$AO$8=1),1,IF(AND($AO$7=2,$AO$8=1),$AP$6,IF(AND($AO$7=1,$AO$8=2),1/$D$19,$AP$6/$D$19)))</f>
        <v>1</v>
      </c>
      <c r="AL6" s="935" t="s">
        <v>233</v>
      </c>
      <c r="AM6" s="842"/>
      <c r="AN6" s="934">
        <f>IF(AND(ISNUMBER($AN$10),ISNUMBER($AO$10)),0.9996*(1+(1+((0.003352811*(2-0.003352811)/(1-0.003352811)^2)*COS(RADIANS($AN$10))^2))*(RADIANS(IF($V$7=11,117,111)-$AO$10)*COS(RADIANS($AN$10)))^2/2+(5-4*(TAN(RADIANS($AN$10))^2)+42*((0.003352811*(2-0.003352811)/(1-0.003352811)^2)*COS(RADIANS($AN$10))^2)+13*((0.003352811*(2-0.003352811)/(1-0.003352811)^2)*COS(RADIANS($AN$10))^2)^2-28*(0.003352811*(2-0.003352811)/(1-0.003352811)^2))*(RADIANS(IF($V$7=11,117,111)-$AO$10)*COS(RADIANS($AN$10)))^4/24+(61-148*(TAN(RADIANS($AN$10))^2)+16*(TAN(RADIANS($AN$10))^2)^2)*(RADIANS(IF($V$7=11,117,111)-$AO$10)*COS(RADIANS($AN$10)))^6/720),"")</f>
        <v>10.354690249898479</v>
      </c>
      <c r="AO6" s="838"/>
      <c r="AP6" s="913">
        <f>IF(AND(ISNUMBER($AN$10),ISNUMBER($AO$10)),IF($C$17=1,$AM$98+$AM$99*(($AN$10-$AM$75)*($AM$86+($AN$10-$AM$75)*($AM$87+($AN$10-$AM$75)*($AM$88+$AM$89*($AN$10-$AM$75)))))^2+$AM$100*(($AN$10-$AM$75)*($AM$86+($AN$10-$AM$75)*($AM$87+($AN$10-$AM$75)*($AM$88+$AM$89*($AN$10-$AM$75)))))^3,IF($C$17=2,$AN$98+$AN$99*(($AN$10-$AN$75)*($AN$86+($AN$10-$AN$75)*($AN$87+($AN$10-$AN$75)*($AN$88+$AN$89*($AN$10-$AN$75)))))^2+$AN$100*(($AN$10-$AN$75)*($AN$86+($AN$10-$AN$75)*($AN$87+($AN$10-$AN$75)*($AN$88+$AN$89*($AN$10-$AN$75)))))^3,$AO$98+$AO$99*(($AN$10-$AO$75)*($AO$86+($AN$10-$AO$75)*($AO$87+($AN$10-$AO$75)*($AO$88+$AO$89*($AN$10-$AO$75)))))^2+$AO$100*(($AN$10-$AO$75)*($AO$86+($AN$10-$AO$75)*($AO$87+($AN$10-$AO$75)*($AO$88+$AO$89*($AN$10-$AO$75)))))^3)),"")</f>
        <v>1.2181901162870503</v>
      </c>
      <c r="AQ6" s="838"/>
      <c r="AS6" s="890"/>
      <c r="AT6" s="891"/>
      <c r="AU6" s="892"/>
      <c r="AV6" s="890"/>
      <c r="AW6" s="891"/>
      <c r="AX6" s="892"/>
      <c r="BX6" s="19"/>
      <c r="BY6" s="19"/>
    </row>
    <row r="7" spans="2:111" ht="18" customHeight="1" x14ac:dyDescent="0.25">
      <c r="B7" s="900" t="s">
        <v>234</v>
      </c>
      <c r="C7" s="901"/>
      <c r="D7" s="623">
        <v>0</v>
      </c>
      <c r="E7" s="70"/>
      <c r="F7" s="62"/>
      <c r="G7" s="71"/>
      <c r="H7" s="62"/>
      <c r="I7" s="223">
        <f>'Dx to Plat Comparison'!C11</f>
        <v>0</v>
      </c>
      <c r="J7" s="719">
        <v>2</v>
      </c>
      <c r="K7" s="224">
        <f>'Dx to Plat Comparison'!E11</f>
        <v>0</v>
      </c>
      <c r="L7" s="720">
        <v>2</v>
      </c>
      <c r="M7" s="713">
        <v>11</v>
      </c>
      <c r="N7" s="598">
        <f>'Dx to Plat Comparison'!C16</f>
        <v>0</v>
      </c>
      <c r="O7" s="599">
        <f>'Dx to Plat Comparison'!D16</f>
        <v>0</v>
      </c>
      <c r="P7" s="725">
        <v>2</v>
      </c>
      <c r="Q7" s="599">
        <f>'Dx to Plat Comparison'!F16</f>
        <v>0</v>
      </c>
      <c r="R7" s="725">
        <v>2</v>
      </c>
      <c r="S7" s="725">
        <v>2</v>
      </c>
      <c r="T7" s="225" t="str">
        <f>'Dx to Plat Comparison'!K13</f>
        <v/>
      </c>
      <c r="U7" s="226" t="str">
        <f>'Dx to Plat Comparison'!L13</f>
        <v/>
      </c>
      <c r="V7" s="122">
        <v>12</v>
      </c>
      <c r="X7" s="924"/>
      <c r="Y7" s="925"/>
      <c r="Z7" s="925"/>
      <c r="AA7" s="925"/>
      <c r="AB7" s="925"/>
      <c r="AC7" s="925"/>
      <c r="AD7" s="925"/>
      <c r="AE7" s="926"/>
      <c r="AG7" s="912" t="s">
        <v>113</v>
      </c>
      <c r="AH7" s="859"/>
      <c r="AI7" s="845" t="s">
        <v>114</v>
      </c>
      <c r="AJ7" s="863"/>
      <c r="AM7" s="54"/>
      <c r="AN7" s="313" t="s">
        <v>235</v>
      </c>
      <c r="AO7" s="746">
        <f>$E$12</f>
        <v>1</v>
      </c>
      <c r="AP7" s="54" t="str">
        <f>IF($AO$7=1,"(True)", "(Grid)")</f>
        <v>(True)</v>
      </c>
      <c r="AS7" s="340" t="s">
        <v>25</v>
      </c>
      <c r="AT7" s="341" t="s">
        <v>236</v>
      </c>
      <c r="AU7" s="352" t="s">
        <v>237</v>
      </c>
      <c r="AV7" s="332"/>
      <c r="AW7" s="740" t="s">
        <v>27</v>
      </c>
      <c r="AX7" s="61" t="s">
        <v>28</v>
      </c>
      <c r="BX7" s="19"/>
      <c r="BY7" s="19"/>
    </row>
    <row r="8" spans="2:111" ht="18" customHeight="1" thickBot="1" x14ac:dyDescent="0.3">
      <c r="B8" s="895" t="s">
        <v>238</v>
      </c>
      <c r="C8" s="896"/>
      <c r="D8" s="624">
        <f>'Dx to Plat Comparison'!C35</f>
        <v>0</v>
      </c>
      <c r="E8" s="299">
        <f>'Dx to Plat Comparison'!D36</f>
        <v>0</v>
      </c>
      <c r="F8" s="721"/>
      <c r="G8" s="300">
        <f>'Dx to Plat Comparison'!F36</f>
        <v>0</v>
      </c>
      <c r="H8" s="723"/>
      <c r="I8" s="625" t="e">
        <f>IF($AO$7=1,$AM$22,$AK$22)</f>
        <v>#DIV/0!</v>
      </c>
      <c r="J8" s="626" t="str">
        <f>IF(AND(ISNUMBER($I8),ISNUMBER($K8)),IF($M8&lt;9,"  FNL",IF($M8&gt;8,"  FSL","")),"")</f>
        <v/>
      </c>
      <c r="K8" s="101" t="e">
        <f>IF($AO$7=1,$AN$22,$AL$22)</f>
        <v>#DIV/0!</v>
      </c>
      <c r="L8" s="627" t="str">
        <f>IF(AND(ISNUMBER($I8),ISNUMBER($K8)),IF(OR($M8&lt;5,$M8&gt;12),"  FEL",IF(AND($M8&gt;4,$M8&lt;13),"  FWL","")),"")</f>
        <v/>
      </c>
      <c r="M8" s="714">
        <v>16</v>
      </c>
      <c r="N8" s="628">
        <f>'Dx to Plat Comparison'!C17</f>
        <v>0</v>
      </c>
      <c r="O8" s="628">
        <f>O7</f>
        <v>0</v>
      </c>
      <c r="P8" s="628" t="str">
        <f>IF('BHL from LL'!$P$7=1,"N","S")</f>
        <v>S</v>
      </c>
      <c r="Q8" s="628">
        <f>Q7</f>
        <v>0</v>
      </c>
      <c r="R8" s="628" t="str">
        <f>IF('BHL from LL'!$R$7=1,"E","W")</f>
        <v>W</v>
      </c>
      <c r="S8" s="628" t="str">
        <f>IF($S$7=1,"Salt Lake","Uintah")</f>
        <v>Uintah</v>
      </c>
      <c r="T8" s="77" t="e">
        <f>IF($E$16=1,$T$7+(IF($AJ$8=1,$G$8,-$G$8)*COS($AN$5)-IF($AH$8=1,$E$8,-$E$8)*SIN($AN$5))*IF($E$16=1,$AN$6,$AN$6/$D$19)/3.28084,$T$7+(IF($AJ$8=1,$G$8,-$G$8)*COS($AP$5-$AN$5)+IF($AH$8=1,$E$8,-$E$8)*SIN($AP$5-$AN$5))*IF($E$16=1,$AN$6,$AN$6/$D$19)/3.28084)</f>
        <v>#VALUE!</v>
      </c>
      <c r="U8" s="64" t="e">
        <f>IF($E$16=1,$U$7+(IF($AH$8=1,$E$8,-$E$8)*COS($AN$5)+IF($AJ$8=1,$G$8,-$G$8)*SIN($AN$5))*IF($E$16=1,$AN$6,$AN$6/$D$19)/3.28084,$U$7+(IF($AH$8=1,$E$8,-$E$8)*COS($AP$5-$AN$5)-IF($AJ$8=1,$G$8,-$G$8)*SIN($AP$5-$AN$5))*IF($E$16=1,$AN$6,$AN$6/$D$19)/3.28084)</f>
        <v>#VALUE!</v>
      </c>
      <c r="V8" s="123">
        <f>$V$7</f>
        <v>12</v>
      </c>
      <c r="X8" s="924"/>
      <c r="Y8" s="925"/>
      <c r="Z8" s="925"/>
      <c r="AA8" s="925"/>
      <c r="AB8" s="925"/>
      <c r="AC8" s="925"/>
      <c r="AD8" s="925"/>
      <c r="AE8" s="926"/>
      <c r="AG8" s="133">
        <f>(IF($AH$8=1,$E$8,-$E$8)*COS(RADIANS($AH$6))-IF($AJ$8=1,$G$8,-$G$8)*SIN(RADIANS($AH$6)))*$AJ$6</f>
        <v>0</v>
      </c>
      <c r="AH8" s="105">
        <v>2</v>
      </c>
      <c r="AI8" s="64">
        <f>(IF($AJ$8=1,$G$8,-$G$8)*COS(RADIANS($AH$6))+IF($AH$8=1,$E$8,-$E$8)*SIN(RADIANS($AH$6)))*$AJ$6</f>
        <v>0</v>
      </c>
      <c r="AJ8" s="134">
        <v>2</v>
      </c>
      <c r="AM8" s="54"/>
      <c r="AN8" s="313" t="s">
        <v>239</v>
      </c>
      <c r="AO8" s="746">
        <f>$E$16</f>
        <v>1</v>
      </c>
      <c r="AP8" s="54" t="str">
        <f>IF($AO$8=1,"(True)", "(Grid)")</f>
        <v>(True)</v>
      </c>
      <c r="AQ8" s="54"/>
      <c r="AS8" s="791" t="e">
        <f>((0+($U$7+$AU8)/$AP$106)/($AM$103*(1-$AM$108/4-3*$AM$108^2/64-5*$AM$108^3/256)))+(3*((1-(1-$AM$108)^0.5)/(1+(1-$AM$108)^0.5))/2-27*((1-(1-$AM$108)^0.5)/(1+(1-$AM$108)^0.5))^3/32)*SIN(2*((0+($U$7+$AU8)/$AP$106)/($AM$103*(1-$AM$108/4-3*$AM$108^2/64-5*$AM$108^3/256))))+(21*((1-(1-$AM$108)^0.5)/(1+(1-$AM$108)^0.5))^2/16-55*((1-(1-$AM$108)^0.5)/(1+(1-$AM$108)^0.5))^4/32)*SIN(4*((0+($U$7+$AU8)/$AP$106)/($AM$103*(1-$AM$108/4-3*$AM$108^2/64-5*$AM$108^3/256))))+(151*((1-(1-$AM$108)^0.5)/(1+(1-$AM$108)^0.5))^3/96)*SIN(6*((0+($U$7+$AU8)/$AP$106)/($AM$103*(1-$AM$108/4-3*$AM$108^2/64-5*$AM$108^3/256))))+(1097*((1-(1-$AM$108)^0.5)/(1+(1-$AM$108)^0.5))^4/512)*SIN(8*((0+($U$7+$AU8)/$AP$106)/($AM$103*(1-$AM$108/4-3*$AM$108^2/64-5*$AM$108^3/256))))</f>
        <v>#VALUE!</v>
      </c>
      <c r="AT8" s="616">
        <f>IF($E$16=1,(IF($AJ$8=1,$G$8+1,-$G$8+0.00001)*COS($AN$5)-IF($AH$8=1,$E$8+0.00001,-$E$8+0.00001)*SIN($AN$5))*IF($E$16=1,$AN$6,$AN$6/$D$19)/3.28084,(IF($AJ$8=1,$G$8+0.00001,-$G$8+0.00001)*COS($AP$5-$AN$5)+IF($AH$8=1,$E$8+0.00001,-$E$8+0.00001)*SIN($AP$5-$AN$5))*IF($E$16=1,$AN$6,$AN$6/$D$19)/3.28084)</f>
        <v>3.1561094871735527E-5</v>
      </c>
      <c r="AU8" s="629">
        <f>IF($E$16=1,(IF($AH$8=1,$E$8+0.00001,-$E$8+0.00001)*COS($AN$5)+IF($AJ$8=1,$G$8+0.00001,-$G$8+0.00001)*SIN($AN$5))*IF($E$16=1,$AN$6,$AN$6/$D$19)/3.28084,(IF($AH$8=1,$E$8+0.00001,-$E$8+0.00001)*COS($AP$5-$AN$5)-IF($AJ$8=1,$G$8+0.00001,-$G$8+0.00001)*SIN($AP$5-$AN$5))*IF($E$16=1,$AN$6,$AN$6/$D$19)/3.28084)</f>
        <v>3.1561094871735527E-5</v>
      </c>
      <c r="AV8" s="690" t="s">
        <v>16</v>
      </c>
      <c r="AW8" s="691">
        <f>SQRT(SUMSQ($E8+0.00001,$G8))</f>
        <v>1.0000000000000001E-5</v>
      </c>
      <c r="AX8" s="692" t="e">
        <f>ATAN2(IF($AH8=1,$E8,-$E8),IF($AJ8=1,$G8,-$G8))</f>
        <v>#DIV/0!</v>
      </c>
    </row>
    <row r="9" spans="2:111" ht="18" customHeight="1" x14ac:dyDescent="0.25">
      <c r="B9" s="895" t="s">
        <v>240</v>
      </c>
      <c r="C9" s="896"/>
      <c r="D9" s="624">
        <f>'Dx to Plat Comparison'!C36</f>
        <v>0</v>
      </c>
      <c r="E9" s="299">
        <f>'Dx to Plat Comparison'!D37</f>
        <v>0</v>
      </c>
      <c r="F9" s="721"/>
      <c r="G9" s="300">
        <f>'Dx to Plat Comparison'!F37</f>
        <v>0</v>
      </c>
      <c r="H9" s="723"/>
      <c r="I9" s="630" t="e">
        <f>IF($AO$7=1,$AM$23,$AK$23)</f>
        <v>#DIV/0!</v>
      </c>
      <c r="J9" s="626" t="str">
        <f>IF(AND(ISNUMBER($I9),ISNUMBER($K9)),IF($M9&lt;9,"  FNL",IF($M9&gt;8,"  FSL","")),"")</f>
        <v/>
      </c>
      <c r="K9" s="64" t="e">
        <f>IF($AO$7=1,$AN$23,$AL$23)</f>
        <v>#DIV/0!</v>
      </c>
      <c r="L9" s="627" t="str">
        <f>IF(AND(ISNUMBER($I9),ISNUMBER($K9)),IF(OR($M9&lt;5,$M9&gt;12),"  FEL",IF(AND($M9&gt;4,$M9&lt;13),"  FWL","")),"")</f>
        <v/>
      </c>
      <c r="M9" s="714">
        <v>11</v>
      </c>
      <c r="N9" s="628">
        <f>'Dx to Plat Comparison'!C18</f>
        <v>0</v>
      </c>
      <c r="O9" s="628">
        <f>O8</f>
        <v>0</v>
      </c>
      <c r="P9" s="628" t="str">
        <f>IF('BHL from LL'!$P$7=1,"N","S")</f>
        <v>S</v>
      </c>
      <c r="Q9" s="628">
        <f>Q8</f>
        <v>0</v>
      </c>
      <c r="R9" s="628" t="str">
        <f>IF('BHL from LL'!$R$7=1,"E","W")</f>
        <v>W</v>
      </c>
      <c r="S9" s="628" t="str">
        <f>IF($S$7=1,"Salt Lake","Uintah")</f>
        <v>Uintah</v>
      </c>
      <c r="T9" s="77" t="e">
        <f>IF($E$16=1,$T$7+(IF($AJ$9=1,$G$9,-$G$9)*COS($AN$5)-IF($AH$9=1,$E$9,-$E$9)*SIN($AN$5))*IF($E$16=1,$AN$6,$AN$6/$D$19)/3.28084,$T$7+(IF($AJ$9=1,$G$9,-$G$9)*COS($AP$5-$AN$5)+IF($AH$9=1,$E$9,-$E$9)*SIN($AP$5-$AN$5))*IF($E$16=1,$AN$6,$AN$6/$D$19)/3.28084)</f>
        <v>#VALUE!</v>
      </c>
      <c r="U9" s="64" t="e">
        <f>IF($E$16=1,$U$7+(IF($AH$9=1,$E$9,-$E$9)*COS($AN$5)+IF($AJ$9=1,$G$9,-$G$9)*SIN($AN$5))*IF($E$16=1,$AN$6,$AN$6/$D$19)/3.28084,$U$7+(IF($AH$9=1,$E$9,-$E$9)*COS($AP$5-$AN$5)-IF($AJ$9=1,$G$9,-$G$9)*SIN($AP$5-$AN$5))*IF($E$16=1,$AN$6,$AN$6/$D$19)/3.28084)</f>
        <v>#VALUE!</v>
      </c>
      <c r="V9" s="123">
        <f>$V$7</f>
        <v>12</v>
      </c>
      <c r="X9" s="924"/>
      <c r="Y9" s="925"/>
      <c r="Z9" s="925"/>
      <c r="AA9" s="925"/>
      <c r="AB9" s="925"/>
      <c r="AC9" s="925"/>
      <c r="AD9" s="925"/>
      <c r="AE9" s="926"/>
      <c r="AG9" s="133">
        <f>(IF($AH$9=1,$E$9,-$E$9)*COS(RADIANS($AH$6))-IF($AJ$9=1,$G$9,-$G$9)*SIN(RADIANS($AH$6)))*$AJ$6</f>
        <v>0</v>
      </c>
      <c r="AH9" s="105">
        <v>2</v>
      </c>
      <c r="AI9" s="64">
        <f>(IF($AJ$9=1,$G$9,-$G$9)*COS(RADIANS($AH$6))+IF($AH$9=1,$E$9,-$E$9)*SIN(RADIANS($AH$6)))*$AJ$6</f>
        <v>0</v>
      </c>
      <c r="AJ9" s="134">
        <v>2</v>
      </c>
      <c r="AM9" s="57"/>
      <c r="AN9" s="732" t="s">
        <v>20</v>
      </c>
      <c r="AO9" s="733" t="s">
        <v>54</v>
      </c>
      <c r="AP9" s="707" t="s">
        <v>26</v>
      </c>
      <c r="AS9" s="791" t="e">
        <f>((0+($U$7+$AU9)/$AP$106)/($AM$103*(1-$AM$108/4-3*$AM$108^2/64-5*$AM$108^3/256)))+(3*((1-(1-$AM$108)^0.5)/(1+(1-$AM$108)^0.5))/2-27*((1-(1-$AM$108)^0.5)/(1+(1-$AM$108)^0.5))^3/32)*SIN(2*((0+($U$7+$AU9)/$AP$106)/($AM$103*(1-$AM$108/4-3*$AM$108^2/64-5*$AM$108^3/256))))+(21*((1-(1-$AM$108)^0.5)/(1+(1-$AM$108)^0.5))^2/16-55*((1-(1-$AM$108)^0.5)/(1+(1-$AM$108)^0.5))^4/32)*SIN(4*((0+($U$7+$AU9)/$AP$106)/($AM$103*(1-$AM$108/4-3*$AM$108^2/64-5*$AM$108^3/256))))+(151*((1-(1-$AM$108)^0.5)/(1+(1-$AM$108)^0.5))^3/96)*SIN(6*((0+($U$7+$AU9)/$AP$106)/($AM$103*(1-$AM$108/4-3*$AM$108^2/64-5*$AM$108^3/256))))+(1097*((1-(1-$AM$108)^0.5)/(1+(1-$AM$108)^0.5))^4/512)*SIN(8*((0+($U$7+$AU9)/$AP$106)/($AM$103*(1-$AM$108/4-3*$AM$108^2/64-5*$AM$108^3/256))))</f>
        <v>#VALUE!</v>
      </c>
      <c r="AT9" s="616">
        <f>IF($E$16=1,(IF($AJ$9=1,$G$9+0.00001,-$G$9+0.00001)*COS($AN$5)-IF($AH$9=1,$E$9+0.00001,-$E$9+0.00001)*SIN($AN$5))*IF($E$16=1,$AN$6,$AN$6/$D$19)/3.28084,(IF($AJ$9=1,$G$9+0.00001,-$G$9+0.00001)*COS($AP$5-$AN$5)+IF($AH$9=1,$E$9+0.00001,-$E$9+0.00001)*SIN($AP$5-$AN$5))*IF($E$16=1,$AN$6,$AN$6/$D$19)/3.28084)</f>
        <v>3.1561094871735527E-5</v>
      </c>
      <c r="AU9" s="629">
        <f>IF($E$16=1,(IF($AH$9=1,$E$9+0.00001,-$E$9+0.00001)*COS($AN$5)+IF($AJ$9=1,$G$9+0.00001,-$G$9+0.00001)*SIN($AN$5))*IF($E$16=1,$AN$6,$AN$6/$D$19)/3.28084,(IF($AH$9=1,$E$9+0.00001,-$E$9+0.00001)*COS($AP$5-$AN$5)-IF($AJ$9=1,$G$9+0.00001,-$G$9+0.00001)*SIN($AP$5-$AN$5))*IF($E$16=1,$AN$6,$AN$6/$D$19)/3.28084)</f>
        <v>3.1561094871735527E-5</v>
      </c>
      <c r="AV9" s="690" t="s">
        <v>18</v>
      </c>
      <c r="AW9" s="691">
        <f>SQRT(SUMSQ($E9+0.00001,$G9))</f>
        <v>1.0000000000000001E-5</v>
      </c>
      <c r="AX9" s="692" t="e">
        <f>ATAN2(IF($AH9=1,$E9,-$E9),IF($AJ9=1,$G9,-$G9))</f>
        <v>#DIV/0!</v>
      </c>
    </row>
    <row r="10" spans="2:111" ht="18" customHeight="1" thickBot="1" x14ac:dyDescent="0.3">
      <c r="B10" s="908" t="s">
        <v>241</v>
      </c>
      <c r="C10" s="909"/>
      <c r="D10" s="631">
        <f>'Dx to Plat Comparison'!C38</f>
        <v>0</v>
      </c>
      <c r="E10" s="221">
        <f>'Dx to Plat Comparison'!D38</f>
        <v>0</v>
      </c>
      <c r="F10" s="722"/>
      <c r="G10" s="222">
        <f>'Dx to Plat Comparison'!F38</f>
        <v>0</v>
      </c>
      <c r="H10" s="724"/>
      <c r="I10" s="632" t="e">
        <f>IF($AO$7=1,$AM$24,$AK$24)</f>
        <v>#DIV/0!</v>
      </c>
      <c r="J10" s="633" t="str">
        <f>IF(AND(ISNUMBER($I10),ISNUMBER($K10)),IF($M10&lt;9,"  FNL",IF($M10&gt;8,"  FSL","")),"")</f>
        <v/>
      </c>
      <c r="K10" s="67" t="e">
        <f>IF($AO$7=1,$AN$24,$AL$24)</f>
        <v>#DIV/0!</v>
      </c>
      <c r="L10" s="634" t="str">
        <f>IF(AND(ISNUMBER($I10),ISNUMBER($K10)),IF(OR($M10&lt;5,$M10&gt;12),"  FEL",IF(AND($M10&gt;4,$M10&lt;13),"  FWL","")),"")</f>
        <v/>
      </c>
      <c r="M10" s="715">
        <v>11</v>
      </c>
      <c r="N10" s="635">
        <f>N9</f>
        <v>0</v>
      </c>
      <c r="O10" s="635">
        <f>O9</f>
        <v>0</v>
      </c>
      <c r="P10" s="635" t="str">
        <f>IF('BHL from LL'!$P$7=1,"N","S")</f>
        <v>S</v>
      </c>
      <c r="Q10" s="635">
        <f>Q9</f>
        <v>0</v>
      </c>
      <c r="R10" s="635" t="str">
        <f>IF('BHL from LL'!$R$7=1,"E","W")</f>
        <v>W</v>
      </c>
      <c r="S10" s="635" t="str">
        <f>IF($S$7=1,"Salt Lake","Uintah")</f>
        <v>Uintah</v>
      </c>
      <c r="T10" s="78" t="e">
        <f>IF($E$16=1,$T$7+(IF($AJ$10=1,$G$10,-$G$10)*COS($AN$5)-IF($AH$10=1,$E$10,-$E$10)*SIN($AN$5))*IF($E$16=1,$AN$6,$AN$6/$D$19)/3.28084,$T$7+(IF($AJ$10=1,$G$10,-$G$10)*COS($AP$5-$AN$5)+IF($AH$10=1,$E$10,-$E$10)*SIN($AP$5-$AN$5))*IF($E$16=1,$AN$6,$AN$6/$D$19)/3.28084)</f>
        <v>#VALUE!</v>
      </c>
      <c r="U10" s="67" t="e">
        <f>IF($E$16=1,$U$7+(IF($AH$10=1,$E$10,-$E$10)*COS($AN$5)+IF($AJ$10=1,$G$10,-$G$10)*SIN($AN$5))*IF($E$16=1,$AN$6,$AN$6/$D$19)/3.28084,$U$7+(IF($AH$10=1,$E$10,-$E$10)*COS($AP$5-$AN$5)-IF($AJ$10=1,$G$10,-$G$10)*SIN($AP$5-$AN$5))*IF($E$16=1,$AN$6,$AN$6/$D$19)/3.28084)</f>
        <v>#VALUE!</v>
      </c>
      <c r="V10" s="124">
        <f>$V$7</f>
        <v>12</v>
      </c>
      <c r="X10" s="927"/>
      <c r="Y10" s="928"/>
      <c r="Z10" s="928"/>
      <c r="AA10" s="928"/>
      <c r="AB10" s="928"/>
      <c r="AC10" s="928"/>
      <c r="AD10" s="928"/>
      <c r="AE10" s="929"/>
      <c r="AG10" s="135">
        <f>(IF($AH$10=1,$E$10,-$E$10)*COS(RADIANS($AH$6))-IF($AJ$10=1,$G$10,-$G$10)*SIN(RADIANS($AH$6)))*$AJ$6</f>
        <v>0</v>
      </c>
      <c r="AH10" s="106">
        <v>2</v>
      </c>
      <c r="AI10" s="67">
        <f>(IF($AJ$10=1,$G$10,-$G$10)*COS(RADIANS($AH$6))+IF($AH$10=1,$E$10,-$E$10)*SIN(RADIANS($AH$6)))*$AJ$6</f>
        <v>0</v>
      </c>
      <c r="AJ10" s="136">
        <v>2</v>
      </c>
      <c r="AM10" s="744" t="s">
        <v>49</v>
      </c>
      <c r="AN10" s="311">
        <f>ROUND(IF(ISNUMBER($R$14),$R$14,""),7)</f>
        <v>0</v>
      </c>
      <c r="AO10" s="312">
        <f>ROUND(IF(ISNUMBER($S$14),$S$14,""),7)</f>
        <v>0</v>
      </c>
      <c r="AP10" s="708">
        <f>IF(ISNUMBER($R$14),$AM$103*(1-$AM$108)^0.5/(1-$AM$108*SIN(RADIANS($R$14))^2),"")</f>
        <v>6356752.3141403003</v>
      </c>
      <c r="AS10" s="792" t="e">
        <f>((0+($U$7+$AU10)/$AP$106)/($AM$103*(1-$AM$108/4-3*$AM$108^2/64-5*$AM$108^3/256)))+(3*((1-(1-$AM$108)^0.5)/(1+(1-$AM$108)^0.5))/2-27*((1-(1-$AM$108)^0.5)/(1+(1-$AM$108)^0.5))^3/32)*SIN(2*((0+($U$7+$AU10)/$AP$106)/($AM$103*(1-$AM$108/4-3*$AM$108^2/64-5*$AM$108^3/256))))+(21*((1-(1-$AM$108)^0.5)/(1+(1-$AM$108)^0.5))^2/16-55*((1-(1-$AM$108)^0.5)/(1+(1-$AM$108)^0.5))^4/32)*SIN(4*((0+($U$7+$AU10)/$AP$106)/($AM$103*(1-$AM$108/4-3*$AM$108^2/64-5*$AM$108^3/256))))+(151*((1-(1-$AM$108)^0.5)/(1+(1-$AM$108)^0.5))^3/96)*SIN(6*((0+($U$7+$AU10)/$AP$106)/($AM$103*(1-$AM$108/4-3*$AM$108^2/64-5*$AM$108^3/256))))+(1097*((1-(1-$AM$108)^0.5)/(1+(1-$AM$108)^0.5))^4/512)*SIN(8*((0+($U$7+$AU10)/$AP$106)/($AM$103*(1-$AM$108/4-3*$AM$108^2/64-5*$AM$108^3/256))))</f>
        <v>#VALUE!</v>
      </c>
      <c r="AT10" s="617">
        <f>IF($E$16=1,(IF($AJ$10=1,$G$10+0.00001,-$G$10+0.00001)*COS($AN$5)-IF($AH$10=1,$E$10+0.00001,-$E$10+0.00001)*SIN($AN$5))*IF($E$16=1,$AN$6,$AN$6/$D$19)/3.28084,(IF($AJ$10=1,$G$10+0.00001,-$G$10+0.00001)*COS($AP$5-$AN$5)+IF($AH$10=1,$E$10+0.00001,-$E$10+0.00001)*SIN($AP$5-$AN$5))*IF($E$16=1,$AN$6,$AN$6/$D$19)/3.28084)</f>
        <v>3.1561094871735527E-5</v>
      </c>
      <c r="AU10" s="636">
        <f>IF($E$16=1,(IF($AH$10=1,$E$10+0.00001,-$E$10+0.00001)*COS($AN$5)+IF($AJ$10=1,$G$10+0.00001,-$G$10+0.00001)*SIN($AN$5))*IF($E$16=1,$AN$6,$AN$6/$D$19)/3.28084,(IF($AH$10=1,$E$10+0.00001,-$E$10+0.00001)*COS($AP$5-$AN$5)-IF($AJ$10=1,$G$10+0.00001,-$G$10+0.00001)*SIN($AP$5-$AN$5))*IF($E$16=1,$AN$6,$AN$6/$D$19)/3.28084)</f>
        <v>3.1561094871735527E-5</v>
      </c>
      <c r="AV10" s="693" t="s">
        <v>242</v>
      </c>
      <c r="AW10" s="694">
        <f>SQRT(SUMSQ($E10+0.00001,$G10))</f>
        <v>1.0000000000000001E-5</v>
      </c>
      <c r="AX10" s="695" t="e">
        <f>ATAN2(IF($AH10=1,$E10,-$E10),IF($AJ10=1,$G10,-$G10))</f>
        <v>#DIV/0!</v>
      </c>
      <c r="BX10" s="19"/>
      <c r="BY10" s="19"/>
    </row>
    <row r="11" spans="2:111" ht="26.25" customHeight="1" thickBot="1" x14ac:dyDescent="0.3">
      <c r="G11" s="51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AC11" s="54"/>
      <c r="AD11" s="54"/>
      <c r="AS11" s="54"/>
      <c r="BX11" s="19"/>
      <c r="BY11" s="19"/>
      <c r="BZ11" s="19"/>
      <c r="CA11" s="19"/>
    </row>
    <row r="12" spans="2:111" ht="15" customHeight="1" x14ac:dyDescent="0.25">
      <c r="B12" s="886" t="s">
        <v>243</v>
      </c>
      <c r="C12" s="887"/>
      <c r="D12" s="887"/>
      <c r="E12" s="716">
        <v>1</v>
      </c>
      <c r="G12" s="455"/>
      <c r="H12" s="905" t="s">
        <v>244</v>
      </c>
      <c r="I12" s="848"/>
      <c r="J12" s="905" t="s">
        <v>245</v>
      </c>
      <c r="K12" s="848"/>
      <c r="L12" s="905" t="s">
        <v>246</v>
      </c>
      <c r="M12" s="848"/>
      <c r="N12" s="637"/>
      <c r="P12" s="57"/>
      <c r="Q12" s="58"/>
      <c r="R12" s="932" t="s">
        <v>247</v>
      </c>
      <c r="S12" s="851"/>
      <c r="T12" s="883" t="s">
        <v>13</v>
      </c>
      <c r="U12" s="848"/>
      <c r="X12" s="57" t="s">
        <v>192</v>
      </c>
      <c r="Y12" s="58"/>
      <c r="Z12" s="58"/>
      <c r="AA12" s="219"/>
      <c r="AB12" s="54"/>
      <c r="AC12" s="885" t="s">
        <v>193</v>
      </c>
      <c r="AD12" s="847"/>
      <c r="AE12" s="848"/>
      <c r="AF12" s="746"/>
      <c r="BX12" s="19"/>
      <c r="BY12" s="19"/>
    </row>
    <row r="13" spans="2:111" ht="15" customHeight="1" thickBot="1" x14ac:dyDescent="0.3">
      <c r="B13" s="880" t="s">
        <v>90</v>
      </c>
      <c r="C13" s="871"/>
      <c r="D13" s="871"/>
      <c r="E13" s="638">
        <f>'Dx to Plat Comparison'!G19</f>
        <v>0</v>
      </c>
      <c r="G13" s="455"/>
      <c r="H13" s="517" t="s">
        <v>20</v>
      </c>
      <c r="I13" s="738" t="s">
        <v>54</v>
      </c>
      <c r="J13" s="517" t="s">
        <v>20</v>
      </c>
      <c r="K13" s="738" t="s">
        <v>54</v>
      </c>
      <c r="L13" s="517" t="s">
        <v>20</v>
      </c>
      <c r="M13" s="738" t="s">
        <v>54</v>
      </c>
      <c r="N13" s="637"/>
      <c r="P13" s="903"/>
      <c r="Q13" s="904"/>
      <c r="R13" s="346" t="s">
        <v>20</v>
      </c>
      <c r="S13" s="766" t="s">
        <v>54</v>
      </c>
      <c r="T13" s="639" t="s">
        <v>8</v>
      </c>
      <c r="U13" s="739" t="s">
        <v>9</v>
      </c>
      <c r="V13" s="54"/>
      <c r="W13" s="54"/>
      <c r="X13" s="361"/>
      <c r="Y13" s="364"/>
      <c r="Z13" s="364"/>
      <c r="AA13" s="365"/>
      <c r="AB13" s="54"/>
      <c r="AC13" s="368"/>
      <c r="AD13" s="369"/>
      <c r="AE13" s="251" t="s">
        <v>200</v>
      </c>
      <c r="AF13" s="746"/>
      <c r="BX13" s="19"/>
      <c r="BY13" s="19"/>
    </row>
    <row r="14" spans="2:111" ht="15" customHeight="1" thickBot="1" x14ac:dyDescent="0.3">
      <c r="G14" s="640" t="s">
        <v>248</v>
      </c>
      <c r="H14" s="641">
        <v>40.257953999999998</v>
      </c>
      <c r="I14" s="642">
        <v>110.16185900000001</v>
      </c>
      <c r="J14" s="641">
        <v>40.257992097120692</v>
      </c>
      <c r="K14" s="642">
        <v>110.1997590025675</v>
      </c>
      <c r="L14" s="641">
        <v>40.257992097120692</v>
      </c>
      <c r="M14" s="642">
        <v>110.1997590025675</v>
      </c>
      <c r="N14" s="637"/>
      <c r="P14" s="900" t="s">
        <v>234</v>
      </c>
      <c r="Q14" s="901"/>
      <c r="R14" s="348">
        <f>'Dx to Plat Comparison'!I13</f>
        <v>0</v>
      </c>
      <c r="S14" s="643">
        <f>'Dx to Plat Comparison'!J13</f>
        <v>0</v>
      </c>
      <c r="T14" s="477">
        <f>IF(AND(ISNUMBER($R14),ISNUMBER($S14)),IF($C$17=1,(($AM$78-($R14-$AM$75)*($AM$86+($R14-$AM$75)*($AM$87+($R14-$AM$75)*($AM$88+($R14-$AM$75)*$AM$89))))*SIN(RADIANS(((111.5-$S14)*$AM$76)))+$AM$72)*3937/1200,IF($C$17=2,(($AN$78-($R14-$AN$75)*($AN$86+($R14-$AN$75)*($AN$87+($R14-$AN$75)*($AN$88+($R14-$AN$75)*$AN$89))))*SIN(RADIANS(((111.5-$S14)*$AN$76)))+$AN$72)*3937/1200,(($AO$78-($R14-$AO$75)*($AO$86+($R14-$AO$75)*($AO$87+($R14-$AO$75)*($AO$88+($R14-$AO$75)*$AO$89))))*SIN(RADIANS(((111.5-$S14)*$AO$76)))+$AO$72)*3937/1200)),"")</f>
        <v>40103653.522858381</v>
      </c>
      <c r="U14" s="505">
        <f>IF(AND(ISNUMBER($R14),ISNUMBER($S14)),IF($C$17=1,(($R14-$AM$75)*($AM$86+($R14-$AM$75)*($AM$87+($R14-$AM$75)*($AM$88+($R14-$AM$75)*$AM$89)))+($AM$78-($R14-$AM$75)*($AM$86+($R14-$AM$75)*($AM$87+($R14-$AM$75)*($AM$88+($R14-$AM$75)*$AM$89))))*SIN(RADIANS(((111.5-$S14)*$AM$76)))*TAN(RADIANS(((111.5-$S14)*$AM$76))/2)+$AM$79)*3937/1200,IF($C$17=2,(($R14-$AN$75)*($AN$86+($R14-$AN$75)*($AN$87+($R14-$AN$75)*($AN$88+($R14-$AN$75)*$AN$89)))+($AN$78-($R14-$AN$75)*($AN$86+($R14-$AN$75)*($AN$87+($R14-$AN$75)*($AN$88+($R14-$AN$75)*$AN$89))))*SIN(RADIANS(((111.5-$S14)*$AN$76)))*TAN(RADIANS(((111.5-$S14)*$AN$76))/2)+$AN$79)*3937/1200,(($R14-$AO$75)*($AO$86+($R14-$AO$75)*($AO$87+($R14-$AO$75)*($AO$88+($R14-$AO$75)*$AO$89)))+($AO$78-($R14-$AO$75)*($AO$86+($R14-$AO$75)*($AO$87+($R14-$AO$75)*($AO$88+($R14-$AO$75)*$AO$89))))*SIN(RADIANS(((111.5-$S14)*$AO$76)))*TAN(RADIANS(((111.5-$S14)*$AO$76))/2)+$AO$79)*3937/1200)),"")</f>
        <v>19299142.333762784</v>
      </c>
      <c r="V14" s="54"/>
      <c r="W14" s="54"/>
      <c r="X14" s="362"/>
      <c r="Y14" s="366"/>
      <c r="Z14" s="366"/>
      <c r="AA14" s="367"/>
      <c r="AB14" s="54"/>
      <c r="AC14" s="370"/>
      <c r="AD14" s="371"/>
      <c r="AE14" s="251" t="s">
        <v>206</v>
      </c>
      <c r="AG14" s="687" t="s">
        <v>249</v>
      </c>
      <c r="AH14" s="58"/>
      <c r="AI14" s="920" t="s">
        <v>13</v>
      </c>
      <c r="AJ14" s="847"/>
      <c r="AK14" s="847"/>
      <c r="AL14" s="851"/>
      <c r="AM14" s="861" t="s">
        <v>250</v>
      </c>
      <c r="AN14" s="847"/>
      <c r="AO14" s="847"/>
      <c r="AP14" s="848"/>
      <c r="AR14" s="54"/>
      <c r="AS14" s="687" t="s">
        <v>251</v>
      </c>
      <c r="AT14" s="902" t="s">
        <v>252</v>
      </c>
      <c r="AU14" s="842"/>
      <c r="AV14" s="842"/>
      <c r="AW14" s="842"/>
      <c r="AX14" s="688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</row>
    <row r="15" spans="2:111" ht="15" customHeight="1" thickBot="1" x14ac:dyDescent="0.3">
      <c r="B15" s="885" t="s">
        <v>253</v>
      </c>
      <c r="C15" s="847"/>
      <c r="D15" s="847"/>
      <c r="E15" s="848"/>
      <c r="G15" s="640" t="s">
        <v>254</v>
      </c>
      <c r="H15" s="709">
        <v>40.257953999999998</v>
      </c>
      <c r="I15" s="710">
        <v>110.16185900000001</v>
      </c>
      <c r="J15" s="709">
        <v>40.257992097120692</v>
      </c>
      <c r="K15" s="712">
        <v>110.1997590025675</v>
      </c>
      <c r="L15" s="709">
        <v>40.257992097120692</v>
      </c>
      <c r="M15" s="712">
        <v>110.1997590025675</v>
      </c>
      <c r="N15" s="637"/>
      <c r="P15" s="895" t="s">
        <v>255</v>
      </c>
      <c r="Q15" s="896"/>
      <c r="R15" s="350" t="e">
        <f>ROUND(IF($E$16=2,IF(AND(ISNUMBER($E8),ISNUMBER($G8),ISNUMBER($R$14),ISNUMBER($S$14)),IF($C$17=2,($AN$75+((($U15*1200/3937)-$AN$79)-(($T15*1200/3937)-$AN$72)*TAN(ATAN2(($AN$78-(($U15*1200/3937)-$AN$79)),(($T15*1200/3937)-$AN$72))/2))*($AN$92+((($U15*1200/3937)-$AN$79)-(($T15*1200/3937)-$AN$72)*TAN(ATAN2(($AN$78-(($U15*1200/3937)-$AN$79)),(($T15*1200/3937)-$AN$72))/2))*($AN$93+((($U15*1200/3937)-$AN$79)-(($T15*1200/3937)-$AN$72)*TAN(ATAN2(($AN$78-(($U15*1200/3937)-$AN$79)),(($T15*1200/3937)-$AN$72))/2))*($AN$94+((($U15*1200/3937)-$AN$79)-(($T15*1200/3937)-$AN$72)*TAN(ATAN2(($AN$78-(($U15*1200/3937)-$AN$79)),(($T15*1200/3937)-$AN$72))/2))*$AN$95)))),IF($C$17=1,($AO$75+((($U15*1200/3937)-$AO$79)-(($T15*1200/3937)-$AO$72)*TAN(ATAN2(($AO$78-(($U15*1200/3937)-$AO$79)),(($T15*1200/3937)-$AO$72))/2))*($AO$92+((($U15*1200/3937)-$AO$79)-(($T15*1200/3937)-$AO$72)*TAN(ATAN2(($AO$78-(($U15*1200/3937)-$AO$79)),(($T15*1200/3937)-$AO$72))/2))*($AO$93+((($U15*1200/3937)-$AO$79)-(($T15*1200/3937)-$AO$72)*TAN(ATAN2(($AO$78-(($U15*1200/3937)-$AO$79)),(($T15*1200/3937)-$AO$72))/2))*($AO$94+((($U15*1200/3937)-$AO$79)-(($T15*1200/3937)-$AO$72)*TAN(ATAN2(($AO$78-(($U15*1200/3937)-$AO$79)),(($T15*1200/3937)-$AO$72))/2))*$AO$95)))),($AM$75+((($U15*1200/3937)-$AM$79)-(($T15*1200/3937)-$AM$72)*TAN(ATAN2(($AM$78-(($U15*1200/3937)-$AM$79)),(($T15*1200/3937)-$AM$72))/2))*($AM$92+((($U15*1200/3937)-$AM$79)-(($T15*1200/3937)-$AM$72)*TAN(ATAN2(($AM$78-(($U15*1200/3937)-$AM$79)),(($T15*1200/3937)-$AM$72))/2))*($AM$93+((($U15*1200/3937)-$AM$79)-(($T15*1200/3937)-$AM$72)*TAN(ATAN2(($AM$78-(($U15*1200/3937)-$AM$79)),(($T15*1200/3937)-$AM$72))/2))*($AM$94+((($U15*1200/3937)-$AM$79)-(($T15*1200/3937)-$AM$72)*TAN(ATAN2(($AM$78-(($U15*1200/3937)-$AM$79)),(($T15*1200/3937)-$AM$72))/2))*$AM$95)))))),""),DEGREES($AU38)),7)</f>
        <v>#DIV/0!</v>
      </c>
      <c r="S15" s="644" t="e">
        <f>ROUND(IF($E$16=2,IF(AND(ISNUMBER($E8),ISNUMBER($G8),ISNUMBER($R$14),ISNUMBER($S$14)),IF($C$17=2,(111.5-DEGREES(ATAN2(($AN$78-(($U15*1200/3937)-$AN$79)),(($T15*1200/3937)-$AN$72)))/$AN$76),IF($C$17=1,(111.5-DEGREES(ATAN2(($AO$78-(($U15*1200/3937)-$AO$79)),(($T15*1200/3937)-$AO$72)))/$AO$76),(111.5-DEGREES(ATAN2(($AM$78-(($U15*1200/3937)-$AM$79)),(($T15*1200/3937)-$AM$72)))/$AM$76))),""),DEGREES(-$AV38)),7)</f>
        <v>#DIV/0!</v>
      </c>
      <c r="T15" s="477" t="e">
        <f>ROUND(IF($E$16=2,IF(AND(ISNUMBER($E8),ISNUMBER($G8),ISNUMBER($R14),ISNUMBER($S14)),$T$14+IF($AJ8=1,$G8,-$G8),""),IF(AND(ISNUMBER($R14),ISNUMBER($S14),ISNUMBER($AF31),ISNUMBER($AG31)),IF($C$17=1,(($AM$78-($AF31-$AM$75)*($AM$86+($AF31-$AM$75)*($AM$87+($AF31-$AM$75)*($AM$88+($AF31-$AM$75)*$AM$89))))*SIN(RADIANS(((111.5-$AG31)*$AM$76)))+$AM$72)*3937/1200,IF($C$17=2,(($AN$78-($AF31-$AN$75)*($AN$86+($AF31-$AN$75)*($AN$87+($AF31-$AN$75)*($AN$88+($AF31-$AN$75)*$AN$89))))*SIN(RADIANS(((111.5-$AG31)*$AN$76)))+$AN$72)*3937/1200,(($AO$78-($AF31-$AO$75)*($AO$86+($AF31-$AO$75)*($AO$87+($AF31-$AO$75)*($AO$88+($AF31-$AO$75)*$AO$89))))*SIN(RADIANS(((111.5-$AG31)*$AO$76)))+$AO$72)*3937/1200)),"")),3)</f>
        <v>#VALUE!</v>
      </c>
      <c r="U15" s="505" t="e">
        <f>ROUND(IF($E$16=2,IF(AND(ISNUMBER($E8),ISNUMBER($G8),ISNUMBER($R14),ISNUMBER($S14)),$U$14+IF($AH8=1,$E8,-$E8),""),IF(AND(ISNUMBER($R14),ISNUMBER($S14),ISNUMBER($AF31),ISNUMBER($AG31)),IF($C$17=1,(($AF31-$AM$75)*($AM$86+($AF31-$AM$75)*($AM$87+($AF31-$AM$75)*($AM$88+($AF31-$AM$75)*$AM$89)))+($AM$78-($AF31-$AM$75)*($AM$86+($AF31-$AM$75)*($AM$87+($AF31-$AM$75)*($AM$88+($AF31-$AM$75)*$AM$89))))*SIN(RADIANS(((111.5-$AG31)*$AM$76)))*TAN(RADIANS(((111.5-$AG31)*$AM$76))/2)+$AM$79)*3937/1200,IF($C$17=2,(($AF31-$AN$75)*($AN$86+($AF31-$AN$75)*($AN$87+($AF31-$AN$75)*($AN$88+($AF31-$AN$75)*$AN$89)))+($AN$78-($AF31-$AN$75)*($AN$86+($AF31-$AN$75)*($AN$87+($AF31-$AN$75)*($AN$88+($AF31-$AN$75)*$AN$89))))*SIN(RADIANS(((111.5-$AG31)*$AN$76)))*TAN(RADIANS(((111.5-$AG31)*$AN$76))/2)+$AN$79)*3937/1200,(($AF31-$AO$75)*($AO$86+($AF31-$AO$75)*($AO$87+($AF31-$AO$75)*($AO$88+($AF31-$AO$75)*$AO$89)))+($AO$78-($AF31-$AO$75)*($AO$86+($AF31-$AO$75)*($AO$87+($AF31-$AO$75)*($AO$88+($AF31-$AO$75)*$AO$89))))*SIN(RADIANS(((111.5-$AG31)*$AO$76)))*TAN(RADIANS(((111.5-$AG31)*$AO$76))/2)+$AO$79)*3937/1200)),"")),3)</f>
        <v>#VALUE!</v>
      </c>
      <c r="V15" s="54"/>
      <c r="W15" s="54"/>
      <c r="X15" s="363"/>
      <c r="Y15" s="343" t="e">
        <f>(Y14-Y13)/($X$14-$X$13)*($X$15-$X$13)+Y13</f>
        <v>#DIV/0!</v>
      </c>
      <c r="Z15" s="343" t="e">
        <f>(Z14-Z13)/($X$14-$X$13)*($X$15-$X$13)+Z13</f>
        <v>#DIV/0!</v>
      </c>
      <c r="AA15" s="344" t="e">
        <f>(AA14-AA13)/($X$14-$X$13)*($X$15-$X$13)+AA13</f>
        <v>#DIV/0!</v>
      </c>
      <c r="AB15" s="54"/>
      <c r="AC15" s="372"/>
      <c r="AD15" s="373"/>
      <c r="AE15" s="61" t="s">
        <v>208</v>
      </c>
      <c r="AF15" s="18"/>
      <c r="AG15" s="645"/>
      <c r="AH15" s="54"/>
      <c r="AI15" s="764" t="s">
        <v>156</v>
      </c>
      <c r="AJ15" s="765" t="s">
        <v>157</v>
      </c>
      <c r="AK15" s="765" t="s">
        <v>6</v>
      </c>
      <c r="AL15" s="766" t="s">
        <v>7</v>
      </c>
      <c r="AM15" s="765" t="s">
        <v>156</v>
      </c>
      <c r="AN15" s="765" t="s">
        <v>157</v>
      </c>
      <c r="AO15" s="765" t="s">
        <v>6</v>
      </c>
      <c r="AP15" s="347" t="s">
        <v>7</v>
      </c>
      <c r="AQ15" s="18"/>
      <c r="AR15" s="54"/>
      <c r="AS15" s="884" t="s">
        <v>244</v>
      </c>
      <c r="AT15" s="851"/>
      <c r="AU15" s="884" t="s">
        <v>245</v>
      </c>
      <c r="AV15" s="851"/>
      <c r="AW15" s="930" t="s">
        <v>246</v>
      </c>
      <c r="AX15" s="851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</row>
    <row r="16" spans="2:111" s="1" customFormat="1" ht="15" customHeight="1" thickBot="1" x14ac:dyDescent="0.3">
      <c r="B16" s="355" t="s">
        <v>256</v>
      </c>
      <c r="C16" s="141"/>
      <c r="D16" s="142"/>
      <c r="E16" s="717">
        <v>1</v>
      </c>
      <c r="G16" s="455"/>
      <c r="H16" s="849" t="s">
        <v>257</v>
      </c>
      <c r="I16" s="848"/>
      <c r="J16" s="849" t="s">
        <v>257</v>
      </c>
      <c r="K16" s="848"/>
      <c r="L16" s="849" t="s">
        <v>257</v>
      </c>
      <c r="M16" s="848"/>
      <c r="N16" s="637"/>
      <c r="P16" s="895" t="s">
        <v>258</v>
      </c>
      <c r="Q16" s="896"/>
      <c r="R16" s="350" t="e">
        <f>ROUND(IF($E$16=2,IF(AND(ISNUMBER($E9),ISNUMBER($G9),ISNUMBER($R$14),ISNUMBER($S$14)),IF($C$17=2,($AN$75+((($U16*1200/3937)-$AN$79)-(($T16*1200/3937)-$AN$72)*TAN(ATAN2(($AN$78-(($U16*1200/3937)-$AN$79)),(($T16*1200/3937)-$AN$72))/2))*($AN$92+((($U16*1200/3937)-$AN$79)-(($T16*1200/3937)-$AN$72)*TAN(ATAN2(($AN$78-(($U16*1200/3937)-$AN$79)),(($T16*1200/3937)-$AN$72))/2))*($AN$93+((($U16*1200/3937)-$AN$79)-(($T16*1200/3937)-$AN$72)*TAN(ATAN2(($AN$78-(($U16*1200/3937)-$AN$79)),(($T16*1200/3937)-$AN$72))/2))*($AN$94+((($U16*1200/3937)-$AN$79)-(($T16*1200/3937)-$AN$72)*TAN(ATAN2(($AN$78-(($U16*1200/3937)-$AN$79)),(($T16*1200/3937)-$AN$72))/2))*$AN$95)))),IF($C$17=1,($AO$75+((($U16*1200/3937)-$AO$79)-(($T16*1200/3937)-$AO$72)*TAN(ATAN2(($AO$78-(($U16*1200/3937)-$AO$79)),(($T16*1200/3937)-$AO$72))/2))*($AO$92+((($U16*1200/3937)-$AO$79)-(($T16*1200/3937)-$AO$72)*TAN(ATAN2(($AO$78-(($U16*1200/3937)-$AO$79)),(($T16*1200/3937)-$AO$72))/2))*($AO$93+((($U16*1200/3937)-$AO$79)-(($T16*1200/3937)-$AO$72)*TAN(ATAN2(($AO$78-(($U16*1200/3937)-$AO$79)),(($T16*1200/3937)-$AO$72))/2))*($AO$94+((($U16*1200/3937)-$AO$79)-(($T16*1200/3937)-$AO$72)*TAN(ATAN2(($AO$78-(($U16*1200/3937)-$AO$79)),(($T16*1200/3937)-$AO$72))/2))*$AO$95)))),($AM$75+((($U16*1200/3937)-$AM$79)-(($T16*1200/3937)-$AM$72)*TAN(ATAN2(($AM$78-(($U16*1200/3937)-$AM$79)),(($T16*1200/3937)-$AM$72))/2))*($AM$92+((($U16*1200/3937)-$AM$79)-(($T16*1200/3937)-$AM$72)*TAN(ATAN2(($AM$78-(($U16*1200/3937)-$AM$79)),(($T16*1200/3937)-$AM$72))/2))*($AM$93+((($U16*1200/3937)-$AM$79)-(($T16*1200/3937)-$AM$72)*TAN(ATAN2(($AM$78-(($U16*1200/3937)-$AM$79)),(($T16*1200/3937)-$AM$72))/2))*($AM$94+((($U16*1200/3937)-$AM$79)-(($T16*1200/3937)-$AM$72)*TAN(ATAN2(($AM$78-(($U16*1200/3937)-$AM$79)),(($T16*1200/3937)-$AM$72))/2))*$AM$95)))))),""),DEGREES($AU39)),7)</f>
        <v>#DIV/0!</v>
      </c>
      <c r="S16" s="644" t="e">
        <f>ROUND(IF($E$16=2,IF(AND(ISNUMBER($E9),ISNUMBER($G9),ISNUMBER($R$14),ISNUMBER($S$14)),IF($C$17=2,(111.5-DEGREES(ATAN2(($AN$78-(($U16*1200/3937)-$AN$79)),(($T16*1200/3937)-$AN$72)))/$AN$76),IF($C$17=1,(111.5-DEGREES(ATAN2(($AO$78-(($U16*1200/3937)-$AO$79)),(($T16*1200/3937)-$AO$72)))/$AO$76),(111.5-DEGREES(ATAN2(($AM$78-(($U16*1200/3937)-$AM$79)),(($T16*1200/3937)-$AM$72)))/$AM$76))),""),DEGREES(-$AV39)),7)</f>
        <v>#DIV/0!</v>
      </c>
      <c r="T16" s="477" t="e">
        <f>ROUND(IF($E$16=2,IF(AND(ISNUMBER($E9),ISNUMBER($G9),ISNUMBER($R15),ISNUMBER($S15)),$T$14+IF($AJ9=1,$G9,-$G9),""),IF(AND(ISNUMBER($R15),ISNUMBER($S15),ISNUMBER($AF32),ISNUMBER($AG32)),IF($C$17=1,(($AM$78-($AF32-$AM$75)*($AM$86+($AF32-$AM$75)*($AM$87+($AF32-$AM$75)*($AM$88+($AF32-$AM$75)*$AM$89))))*SIN(RADIANS(((111.5-$AG32)*$AM$76)))+$AM$72)*3937/1200,IF($C$17=2,(($AN$78-($AF32-$AN$75)*($AN$86+($AF32-$AN$75)*($AN$87+($AF32-$AN$75)*($AN$88+($AF32-$AN$75)*$AN$89))))*SIN(RADIANS(((111.5-$AG32)*$AN$76)))+$AN$72)*3937/1200,(($AO$78-($AF32-$AO$75)*($AO$86+($AF32-$AO$75)*($AO$87+($AF32-$AO$75)*($AO$88+($AF32-$AO$75)*$AO$89))))*SIN(RADIANS(((111.5-$AG32)*$AO$76)))+$AO$72)*3937/1200)),"")),3)</f>
        <v>#VALUE!</v>
      </c>
      <c r="U16" s="505" t="e">
        <f>ROUND(IF($E$16=2,IF(AND(ISNUMBER($E9),ISNUMBER($G9),ISNUMBER($R15),ISNUMBER($S15)),$U$14+IF($AH9=1,$E9,-$E9),""),IF(AND(ISNUMBER($R15),ISNUMBER($S15),ISNUMBER($AF32),ISNUMBER($AG32)),IF($C$17=1,(($AF32-$AM$75)*($AM$86+($AF32-$AM$75)*($AM$87+($AF32-$AM$75)*($AM$88+($AF32-$AM$75)*$AM$89)))+($AM$78-($AF32-$AM$75)*($AM$86+($AF32-$AM$75)*($AM$87+($AF32-$AM$75)*($AM$88+($AF32-$AM$75)*$AM$89))))*SIN(RADIANS(((111.5-$AG32)*$AM$76)))*TAN(RADIANS(((111.5-$AG32)*$AM$76))/2)+$AM$79)*3937/1200,IF($C$17=2,(($AF32-$AN$75)*($AN$86+($AF32-$AN$75)*($AN$87+($AF32-$AN$75)*($AN$88+($AF32-$AN$75)*$AN$89)))+($AN$78-($AF32-$AN$75)*($AN$86+($AF32-$AN$75)*($AN$87+($AF32-$AN$75)*($AN$88+($AF32-$AN$75)*$AN$89))))*SIN(RADIANS(((111.5-$AG32)*$AN$76)))*TAN(RADIANS(((111.5-$AG32)*$AN$76))/2)+$AN$79)*3937/1200,(($AF32-$AO$75)*($AO$86+($AF32-$AO$75)*($AO$87+($AF32-$AO$75)*($AO$88+($AF32-$AO$75)*$AO$89)))+($AO$78-($AF32-$AO$75)*($AO$86+($AF32-$AO$75)*($AO$87+($AF32-$AO$75)*($AO$88+($AF32-$AO$75)*$AO$89))))*SIN(RADIANS(((111.5-$AG32)*$AO$76)))*TAN(RADIANS(((111.5-$AG32)*$AO$76))/2)+$AO$79)*3937/1200)),"")),3)</f>
        <v>#VALUE!</v>
      </c>
      <c r="X16" s="54"/>
      <c r="Y16" s="54"/>
      <c r="Z16" s="54"/>
      <c r="AA16" s="54"/>
      <c r="AB16" s="54"/>
      <c r="AC16" s="252">
        <f>AC13+AC14/60+AC15/3600</f>
        <v>0</v>
      </c>
      <c r="AD16" s="253">
        <f>AD13+AD14/60+AD15/3600</f>
        <v>0</v>
      </c>
      <c r="AE16" s="254" t="s">
        <v>210</v>
      </c>
      <c r="AF16" s="18"/>
      <c r="AG16" s="646"/>
      <c r="AH16" s="647" t="s">
        <v>159</v>
      </c>
      <c r="AI16" s="648" t="e">
        <f>ROUND($AT$17-$U15,0)</f>
        <v>#VALUE!</v>
      </c>
      <c r="AJ16" s="649" t="e">
        <f>ROUND($AS$18-$T15,0)</f>
        <v>#VALUE!</v>
      </c>
      <c r="AK16" s="649" t="e">
        <f>AI16*COS(RADIANS(90-$H$22))-AJ16*SIN(RADIANS(90-$H$22))</f>
        <v>#VALUE!</v>
      </c>
      <c r="AL16" s="650" t="e">
        <f>AJ16*COS(RADIANS(180-$I$22))+AI16*SIN(RADIANS(180-$I$22))</f>
        <v>#VALUE!</v>
      </c>
      <c r="AM16" s="649" t="e">
        <f>ROUND(ABS($AU$29*3937/1200*COS($AV$29)),0)*($AX$29-17+$E$13*0.3048)/$AX$29</f>
        <v>#DIV/0!</v>
      </c>
      <c r="AN16" s="649" t="e">
        <f>ROUND(ABS($AU$30*3937/1200*SIN($AV$30)),0)*($AX$30-17+$E$13*0.3048)/$AX$30</f>
        <v>#DIV/0!</v>
      </c>
      <c r="AO16" s="649" t="e">
        <f>IF(OR(AND($R$15&lt;$H$14,$S$15&lt;$I$14),AND($R$15&gt;$H$14,$S$15&gt;$I$14)),AM16*COS(RADIANS(90-$H$22))+AN16*SIN(RADIANS(90-$H$22)),AM16*COS(RADIANS(90-$H$22))-AN16*SIN(RADIANS(90-$H$22)))</f>
        <v>#DIV/0!</v>
      </c>
      <c r="AP16" s="651" t="e">
        <f>IF(OR(AND($R$15&lt;$H$15,$S$15&lt;$I$15),AND($R$15&gt;$H$15,$S$15&gt;$I$15)),AN16*COS(RADIANS(180-$I$22))-AM16*SIN(RADIANS($I$22)),AN16*COS(RADIANS(180-$I$22))+AM16*SIN(RADIANS($I$22)))</f>
        <v>#DIV/0!</v>
      </c>
      <c r="AQ16" s="18"/>
      <c r="AR16" s="455"/>
      <c r="AS16" s="517" t="s">
        <v>8</v>
      </c>
      <c r="AT16" s="652" t="s">
        <v>9</v>
      </c>
      <c r="AU16" s="517" t="s">
        <v>8</v>
      </c>
      <c r="AV16" s="652" t="s">
        <v>9</v>
      </c>
      <c r="AW16" s="679" t="s">
        <v>8</v>
      </c>
      <c r="AX16" s="652" t="s">
        <v>9</v>
      </c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</row>
    <row r="17" spans="2:118" s="1" customFormat="1" ht="15" customHeight="1" thickBot="1" x14ac:dyDescent="0.3">
      <c r="B17" s="357" t="s">
        <v>259</v>
      </c>
      <c r="C17" s="718">
        <v>2</v>
      </c>
      <c r="E17" s="22"/>
      <c r="G17" s="521" t="s">
        <v>124</v>
      </c>
      <c r="H17" s="517" t="s">
        <v>125</v>
      </c>
      <c r="I17" s="738" t="s">
        <v>126</v>
      </c>
      <c r="J17" s="517" t="s">
        <v>125</v>
      </c>
      <c r="K17" s="738" t="s">
        <v>126</v>
      </c>
      <c r="L17" s="517" t="s">
        <v>125</v>
      </c>
      <c r="M17" s="738" t="s">
        <v>126</v>
      </c>
      <c r="N17" s="637"/>
      <c r="P17" s="908" t="s">
        <v>260</v>
      </c>
      <c r="Q17" s="909"/>
      <c r="R17" s="252" t="e">
        <f>ROUND(IF($E$16=2,IF(AND(ISNUMBER($E10),ISNUMBER($G10),ISNUMBER($R$14),ISNUMBER($S$14)),IF($C$17=2,($AN$75+((($U17*1200/3937)-$AN$79)-(($T17*1200/3937)-$AN$72)*TAN(ATAN2(($AN$78-(($U17*1200/3937)-$AN$79)),(($T17*1200/3937)-$AN$72))/2))*($AN$92+((($U17*1200/3937)-$AN$79)-(($T17*1200/3937)-$AN$72)*TAN(ATAN2(($AN$78-(($U17*1200/3937)-$AN$79)),(($T17*1200/3937)-$AN$72))/2))*($AN$93+((($U17*1200/3937)-$AN$79)-(($T17*1200/3937)-$AN$72)*TAN(ATAN2(($AN$78-(($U17*1200/3937)-$AN$79)),(($T17*1200/3937)-$AN$72))/2))*($AN$94+((($U17*1200/3937)-$AN$79)-(($T17*1200/3937)-$AN$72)*TAN(ATAN2(($AN$78-(($U17*1200/3937)-$AN$79)),(($T17*1200/3937)-$AN$72))/2))*$AN$95)))),IF($C$17=1,($AO$75+((($U17*1200/3937)-$AO$79)-(($T17*1200/3937)-$AO$72)*TAN(ATAN2(($AO$78-(($U17*1200/3937)-$AO$79)),(($T17*1200/3937)-$AO$72))/2))*($AO$92+((($U17*1200/3937)-$AO$79)-(($T17*1200/3937)-$AO$72)*TAN(ATAN2(($AO$78-(($U17*1200/3937)-$AO$79)),(($T17*1200/3937)-$AO$72))/2))*($AO$93+((($U17*1200/3937)-$AO$79)-(($T17*1200/3937)-$AO$72)*TAN(ATAN2(($AO$78-(($U17*1200/3937)-$AO$79)),(($T17*1200/3937)-$AO$72))/2))*($AO$94+((($U17*1200/3937)-$AO$79)-(($T17*1200/3937)-$AO$72)*TAN(ATAN2(($AO$78-(($U17*1200/3937)-$AO$79)),(($T17*1200/3937)-$AO$72))/2))*$AO$95)))),($AM$75+((($U17*1200/3937)-$AM$79)-(($T17*1200/3937)-$AM$72)*TAN(ATAN2(($AM$78-(($U17*1200/3937)-$AM$79)),(($T17*1200/3937)-$AM$72))/2))*($AM$92+((($U17*1200/3937)-$AM$79)-(($T17*1200/3937)-$AM$72)*TAN(ATAN2(($AM$78-(($U17*1200/3937)-$AM$79)),(($T17*1200/3937)-$AM$72))/2))*($AM$93+((($U17*1200/3937)-$AM$79)-(($T17*1200/3937)-$AM$72)*TAN(ATAN2(($AM$78-(($U17*1200/3937)-$AM$79)),(($T17*1200/3937)-$AM$72))/2))*($AM$94+((($U17*1200/3937)-$AM$79)-(($T17*1200/3937)-$AM$72)*TAN(ATAN2(($AM$78-(($U17*1200/3937)-$AM$79)),(($T17*1200/3937)-$AM$72))/2))*$AM$95)))))),""),DEGREES($AU40)),7)</f>
        <v>#DIV/0!</v>
      </c>
      <c r="S17" s="653" t="e">
        <f>ROUND(IF($E$16=2,IF(AND(ISNUMBER($E10),ISNUMBER($G10),ISNUMBER($R$14),ISNUMBER($S$14)),IF($C$17=2,(111.5-DEGREES(ATAN2(($AN$78-(($U17*1200/3937)-$AN$79)),(($T17*1200/3937)-$AN$72)))/$AN$76),IF($C$17=1,(111.5-DEGREES(ATAN2(($AO$78-(($U17*1200/3937)-$AO$79)),(($T17*1200/3937)-$AO$72)))/$AO$76),(111.5-DEGREES(ATAN2(($AM$78-(($U17*1200/3937)-$AM$79)),(($T17*1200/3937)-$AM$72)))/$AM$76))),""),DEGREES(-$AV40)),7)</f>
        <v>#DIV/0!</v>
      </c>
      <c r="T17" s="654" t="e">
        <f>ROUND(IF($E$16=2,IF(AND(ISNUMBER($E10),ISNUMBER($G10),ISNUMBER($R16),ISNUMBER($S16)),$T$14+IF($AJ10=1,$G10,-$G10),""),IF(AND(ISNUMBER($R16),ISNUMBER($S16),ISNUMBER($AF33),ISNUMBER($AG33)),IF($C$17=1,(($AM$78-($AF33-$AM$75)*($AM$86+($AF33-$AM$75)*($AM$87+($AF33-$AM$75)*($AM$88+($AF33-$AM$75)*$AM$89))))*SIN(RADIANS(((111.5-$AG33)*$AM$76)))+$AM$72)*3937/1200,IF($C$17=2,(($AN$78-($AF33-$AN$75)*($AN$86+($AF33-$AN$75)*($AN$87+($AF33-$AN$75)*($AN$88+($AF33-$AN$75)*$AN$89))))*SIN(RADIANS(((111.5-$AG33)*$AN$76)))+$AN$72)*3937/1200,(($AO$78-($AF33-$AO$75)*($AO$86+($AF33-$AO$75)*($AO$87+($AF33-$AO$75)*($AO$88+($AF33-$AO$75)*$AO$89))))*SIN(RADIANS(((111.5-$AG33)*$AO$76)))+$AO$72)*3937/1200)),"")),3)</f>
        <v>#VALUE!</v>
      </c>
      <c r="U17" s="515" t="e">
        <f>ROUND(IF($E$16=2,IF(AND(ISNUMBER($E10),ISNUMBER($G10),ISNUMBER($R16),ISNUMBER($S16)),$U$14+IF($AH10=1,$E10,-$E10),""),IF(AND(ISNUMBER($R16),ISNUMBER($S16),ISNUMBER($AF33),ISNUMBER($AG33)),IF($C$17=1,(($AF33-$AM$75)*($AM$86+($AF33-$AM$75)*($AM$87+($AF33-$AM$75)*($AM$88+($AF33-$AM$75)*$AM$89)))+($AM$78-($AF33-$AM$75)*($AM$86+($AF33-$AM$75)*($AM$87+($AF33-$AM$75)*($AM$88+($AF33-$AM$75)*$AM$89))))*SIN(RADIANS(((111.5-$AG33)*$AM$76)))*TAN(RADIANS(((111.5-$AG33)*$AM$76))/2)+$AM$79)*3937/1200,IF($C$17=2,(($AF33-$AN$75)*($AN$86+($AF33-$AN$75)*($AN$87+($AF33-$AN$75)*($AN$88+($AF33-$AN$75)*$AN$89)))+($AN$78-($AF33-$AN$75)*($AN$86+($AF33-$AN$75)*($AN$87+($AF33-$AN$75)*($AN$88+($AF33-$AN$75)*$AN$89))))*SIN(RADIANS(((111.5-$AG33)*$AN$76)))*TAN(RADIANS(((111.5-$AG33)*$AN$76))/2)+$AN$79)*3937/1200,(($AF33-$AO$75)*($AO$86+($AF33-$AO$75)*($AO$87+($AF33-$AO$75)*($AO$88+($AF33-$AO$75)*$AO$89)))+($AO$78-($AF33-$AO$75)*($AO$86+($AF33-$AO$75)*($AO$87+($AF33-$AO$75)*($AO$88+($AF33-$AO$75)*$AO$89))))*SIN(RADIANS(((111.5-$AG33)*$AO$76)))*TAN(RADIANS(((111.5-$AG33)*$AO$76))/2)+$AO$79)*3937/1200)),"")),3)</f>
        <v>#VALUE!</v>
      </c>
      <c r="X17" s="5"/>
      <c r="Y17" s="5"/>
      <c r="Z17" s="5"/>
      <c r="AA17" s="5"/>
      <c r="AB17" s="5"/>
      <c r="AC17" s="5"/>
      <c r="AD17" s="5"/>
      <c r="AE17" s="5"/>
      <c r="AF17" s="5"/>
      <c r="AG17" s="655"/>
      <c r="AH17" s="656" t="s">
        <v>160</v>
      </c>
      <c r="AI17" s="657" t="e">
        <f>ROUND($AV$17-$U16,0)</f>
        <v>#VALUE!</v>
      </c>
      <c r="AJ17" s="658" t="e">
        <f>ROUND($AU$18-$T16,0)</f>
        <v>#VALUE!</v>
      </c>
      <c r="AK17" s="658" t="e">
        <f>AI17*COS(RADIANS(90-$J$22))-AJ17*SIN(RADIANS(90-$J$22))</f>
        <v>#VALUE!</v>
      </c>
      <c r="AL17" s="659" t="e">
        <f>AJ17*COS(RADIANS(180-$K$22))+AI17*SIN(RADIANS(180-$K$22))</f>
        <v>#VALUE!</v>
      </c>
      <c r="AM17" s="658" t="e">
        <f>ROUND(ABS($AU$31*3937/1200*COS($AV$31)),0)*($AX$31-17+$E$13*0.3048)/$AX$31</f>
        <v>#DIV/0!</v>
      </c>
      <c r="AN17" s="658" t="e">
        <f>ROUND(ABS($AU$32*3937/1200*SIN($AV$32)),0)*($AX$32-17+$E$13*0.3048)/$AX$32</f>
        <v>#DIV/0!</v>
      </c>
      <c r="AO17" s="658" t="e">
        <f>IF(OR(AND($R$16&lt;$J$14,$S$16&lt;$K$14),AND($R$16&gt;$J$14,$S$16&gt;$K$14)),AM17*COS(RADIANS(90-$J$22))+AN17*SIN(RADIANS(90-$J$22)),AM17*COS(RADIANS(90-$J$22))-AN17*SIN(RADIANS(90-$J$22)))</f>
        <v>#DIV/0!</v>
      </c>
      <c r="AP17" s="660" t="e">
        <f>IF(OR(AND($R$16&lt;$J$15,$S$16&lt;$K$15),AND($R$16&gt;$J$15,$S$16&gt;$K$15)),AN17*COS(RADIANS(180-$K$22))-AM17*SIN(RADIANS($K$22)),AN17*COS(RADIANS(180-$K$22))+AM17*SIN(RADIANS($K$22)))</f>
        <v>#DIV/0!</v>
      </c>
      <c r="AQ17" s="5"/>
      <c r="AR17" s="465" t="s">
        <v>248</v>
      </c>
      <c r="AS17" s="674">
        <f>IF(AND(ISNUMBER(H14),ISNUMBER(I14)),IF($C$17=1,(($AM$78-(H14-$AM$75)*($AM$86+(H14-$AM$75)*($AM$87+(H14-$AM$75)*($AM$88+(H14-$AM$75)*$AM$89))))*SIN(RADIANS(((111.5-I14)*$AM$76)))+$AM$72)*3937/1200,IF($C$17=2,(($AN$78-(H14-$AN$75)*($AN$86+(H14-$AN$75)*($AN$87+(H14-$AN$75)*($AN$88+(H14-$AN$75)*$AN$89))))*SIN(RADIANS(((111.5-I14)*$AN$76)))+$AN$72)*3937/1200,(($AO$78-(H14-$AO$75)*($AO$86+(H14-$AO$75)*($AO$87+(H14-$AO$75)*($AO$88+(H14-$AO$75)*$AO$89))))*SIN(RADIANS(((111.5-I14)*$AO$76)))+$AO$72)*3937/1200)),"")</f>
        <v>2013858.2162087595</v>
      </c>
      <c r="AT17" s="661">
        <f>IF(AND(ISNUMBER(H14),ISNUMBER(I14)),IF($C$17=1,((H14-$AM$75)*($AM$86+(H14-$AM$75)*($AM$87+(H14-$AM$75)*($AM$88+(H14-$AM$75)*$AM$89)))+($AM$78-(H14-$AM$75)*($AM$86+(H14-$AM$75)*($AM$87+(H14-$AM$75)*($AM$88+(H14-$AM$75)*$AM$89))))*SIN(RADIANS(((111.5-I14)*$AM$76)))*TAN(RADIANS(((111.5-I14)*$AM$76))/2)+$AM$79)*3937/1200,IF($C$17=2,((H14-$AN$75)*($AN$86+(H14-$AN$75)*($AN$87+(H14-$AN$75)*($AN$88+(H14-$AN$75)*$AN$89)))+($AN$78-(H14-$AN$75)*($AN$86+(H14-$AN$75)*($AN$87+(H14-$AN$75)*($AN$88+(H14-$AN$75)*$AN$89))))*SIN(RADIANS(((111.5-I14)*$AN$76)))*TAN(RADIANS(((111.5-I14)*$AN$76))/2)+$AN$79)*3937/1200,((H14-$AO$75)*($AO$86+(H14-$AO$75)*($AO$87+(H14-$AO$75)*($AO$88+(H14-$AO$75)*$AO$89)))+($AO$78-(H14-$AO$75)*($AO$86+(H14-$AO$75)*($AO$87+(H14-$AO$75)*($AO$88+(H14-$AO$75)*$AO$89))))*SIN(RADIANS(((111.5-I14)*$AO$76)))*TAN(RADIANS(((111.5-I14)*$AO$76))/2)+$AO$79)*3937/1200)),"")</f>
        <v>7265480.1539310571</v>
      </c>
      <c r="AU17" s="674">
        <f>IF(AND(ISNUMBER(J14),ISNUMBER(K14)),IF($C$17=1,(($AM$78-(J14-$AM$75)*($AM$86+(J14-$AM$75)*($AM$87+(J14-$AM$75)*($AM$88+(J14-$AM$75)*$AM$89))))*SIN(RADIANS(((111.5-K14)*$AM$76)))+$AM$72)*3937/1200,IF($C$17=2,(($AN$78-(J14-$AN$75)*($AN$86+(J14-$AN$75)*($AN$87+(J14-$AN$75)*($AN$88+(J14-$AN$75)*$AN$89))))*SIN(RADIANS(((111.5-K14)*$AN$76)))+$AN$72)*3937/1200,(($AO$78-(J14-$AO$75)*($AO$86+(J14-$AO$75)*($AO$87+(J14-$AO$75)*($AO$88+(J14-$AO$75)*$AO$89))))*SIN(RADIANS(((111.5-K14)*$AO$76)))+$AO$72)*3937/1200)),"")</f>
        <v>2003281.8314283406</v>
      </c>
      <c r="AV17" s="661">
        <f>IF(AND(ISNUMBER(J14),ISNUMBER(K14)),IF($C$17=1,((J14-$AM$75)*($AM$86+(J14-$AM$75)*($AM$87+(J14-$AM$75)*($AM$88+(J14-$AM$75)*$AM$89)))+($AM$78-(J14-$AM$75)*($AM$86+(J14-$AM$75)*($AM$87+(J14-$AM$75)*($AM$88+(J14-$AM$75)*$AM$89))))*SIN(RADIANS(((111.5-K14)*$AM$76)))*TAN(RADIANS(((111.5-K14)*$AM$76))/2)+$AM$79)*3937/1200,IF($C$17=2,((J14-$AN$75)*($AN$86+(J14-$AN$75)*($AN$87+(J14-$AN$75)*($AN$88+(J14-$AN$75)*$AN$89)))+($AN$78-(J14-$AN$75)*($AN$86+(J14-$AN$75)*($AN$87+(J14-$AN$75)*($AN$88+(J14-$AN$75)*$AN$89))))*SIN(RADIANS(((111.5-K14)*$AN$76)))*TAN(RADIANS(((111.5-K14)*$AN$76))/2)+$AN$79)*3937/1200,((J14-$AO$75)*($AO$86+(J14-$AO$75)*($AO$87+(J14-$AO$75)*($AO$88+(J14-$AO$75)*$AO$89)))+($AO$78-(J14-$AO$75)*($AO$86+(J14-$AO$75)*($AO$87+(J14-$AO$75)*($AO$88+(J14-$AO$75)*$AO$89))))*SIN(RADIANS(((111.5-K14)*$AO$76)))*TAN(RADIANS(((111.5-K14)*$AO$76))/2)+$AO$79)*3937/1200)),"")</f>
        <v>7265338.0327091664</v>
      </c>
      <c r="AW17" s="680">
        <f>IF(AND(ISNUMBER(L14),ISNUMBER(M14)),IF($C$17=1,(($AM$78-(L14-$AM$75)*($AM$86+(L14-$AM$75)*($AM$87+(L14-$AM$75)*($AM$88+(L14-$AM$75)*$AM$89))))*SIN(RADIANS(((111.5-M14)*$AM$76)))+$AM$72)*3937/1200,IF($C$17=2,(($AN$78-(L14-$AN$75)*($AN$86+(L14-$AN$75)*($AN$87+(L14-$AN$75)*($AN$88+(L14-$AN$75)*$AN$89))))*SIN(RADIANS(((111.5-M14)*$AN$76)))+$AN$72)*3937/1200,(($AO$78-(L14-$AO$75)*($AO$86+(L14-$AO$75)*($AO$87+(L14-$AO$75)*($AO$88+(L14-$AO$75)*$AO$89))))*SIN(RADIANS(((111.5-M14)*$AO$76)))+$AO$72)*3937/1200)),"")</f>
        <v>2003281.8314283406</v>
      </c>
      <c r="AX17" s="661">
        <f>IF(AND(ISNUMBER(L14),ISNUMBER(M14)),IF($C$17=1,((L14-$AM$75)*($AM$86+(L14-$AM$75)*($AM$87+(L14-$AM$75)*($AM$88+(L14-$AM$75)*$AM$89)))+($AM$78-(L14-$AM$75)*($AM$86+(L14-$AM$75)*($AM$87+(L14-$AM$75)*($AM$88+(L14-$AM$75)*$AM$89))))*SIN(RADIANS(((111.5-M14)*$AM$76)))*TAN(RADIANS(((111.5-M14)*$AM$76))/2)+$AM$79)*3937/1200,IF($C$17=2,((L14-$AN$75)*($AN$86+(L14-$AN$75)*($AN$87+(L14-$AN$75)*($AN$88+(L14-$AN$75)*$AN$89)))+($AN$78-(L14-$AN$75)*($AN$86+(L14-$AN$75)*($AN$87+(L14-$AN$75)*($AN$88+(L14-$AN$75)*$AN$89))))*SIN(RADIANS(((111.5-M14)*$AN$76)))*TAN(RADIANS(((111.5-M14)*$AN$76))/2)+$AN$79)*3937/1200,((L14-$AO$75)*($AO$86+(L14-$AO$75)*($AO$87+(L14-$AO$75)*($AO$88+(L14-$AO$75)*$AO$89)))+($AO$78-(L14-$AO$75)*($AO$86+(L14-$AO$75)*($AO$87+(L14-$AO$75)*($AO$88+(L14-$AO$75)*$AO$89))))*SIN(RADIANS(((111.5-M14)*$AO$76)))*TAN(RADIANS(((111.5-M14)*$AO$76))/2)+$AO$79)*3937/1200)),"")</f>
        <v>7265338.0327091664</v>
      </c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</row>
    <row r="18" spans="2:118" ht="15" customHeight="1" thickBot="1" x14ac:dyDescent="0.3">
      <c r="B18" s="917" t="str">
        <f>IF($E$16=2,"Convergence Angle","")</f>
        <v/>
      </c>
      <c r="C18" s="918"/>
      <c r="D18" s="793">
        <f>'Dx to Plat Comparison'!F39</f>
        <v>1</v>
      </c>
      <c r="E18" s="358" t="str">
        <f>IF($E$16=2,"(d.ddd)","")</f>
        <v/>
      </c>
      <c r="F18" s="1"/>
      <c r="G18" s="521" t="s">
        <v>130</v>
      </c>
      <c r="H18" s="662">
        <v>89</v>
      </c>
      <c r="I18" s="711">
        <v>0</v>
      </c>
      <c r="J18" s="662">
        <v>89</v>
      </c>
      <c r="K18" s="711">
        <v>0</v>
      </c>
      <c r="L18" s="662">
        <v>89</v>
      </c>
      <c r="M18" s="711">
        <v>0</v>
      </c>
      <c r="N18" s="637"/>
      <c r="Y18" s="5"/>
      <c r="Z18" s="5"/>
      <c r="AA18" s="5"/>
      <c r="AB18" s="5"/>
      <c r="AC18" s="5"/>
      <c r="AD18" s="5"/>
      <c r="AE18" s="5"/>
      <c r="AF18" s="5"/>
      <c r="AG18" s="663"/>
      <c r="AH18" s="664" t="s">
        <v>261</v>
      </c>
      <c r="AI18" s="185" t="e">
        <f>ROUND($AX$17-$U17,0)</f>
        <v>#VALUE!</v>
      </c>
      <c r="AJ18" s="186" t="e">
        <f>ROUND($AW$18-$T17,0)</f>
        <v>#VALUE!</v>
      </c>
      <c r="AK18" s="186" t="e">
        <f>AI18*COS(RADIANS(90-$L$22))-AJ18*SIN(RADIANS(90-$L$22))</f>
        <v>#VALUE!</v>
      </c>
      <c r="AL18" s="665" t="e">
        <f>AJ18*COS(RADIANS(180-$M$22))+AI18*SIN(RADIANS(180-$M$22))</f>
        <v>#VALUE!</v>
      </c>
      <c r="AM18" s="186" t="e">
        <f>ROUND(ABS($AU$33*3937/1200*COS($AV$33)),0)*($AX$33-17+$E$13*0.3048)/$AX$33</f>
        <v>#DIV/0!</v>
      </c>
      <c r="AN18" s="186" t="e">
        <f>ROUND(ABS($AU$34*3937/1200*SIN($AV$34)),0)*($AX$34-17+$E$13*0.3048)/$AX$34</f>
        <v>#DIV/0!</v>
      </c>
      <c r="AO18" s="186" t="e">
        <f>IF(OR(AND($R$17&lt;$L$14,$S$17&lt;$M$14),AND($R$17&gt;$L$14,$S$17&gt;$M$14)),AM18*COS(RADIANS(90-$L$22))+AN18*SIN(RADIANS(90-$L$22)),AM18*COS(RADIANS(90-$L$22))-AN18*SIN(RADIANS(90-$L$22)))</f>
        <v>#DIV/0!</v>
      </c>
      <c r="AP18" s="354" t="e">
        <f>IF(OR(AND($R$17&lt;$L$15,$S$17&lt;$M$15),AND($R$17&gt;$L$15,$S$17&gt;$M$15)),AN18*COS(RADIANS(180-$M$22))-AM18*SIN(RADIANS($M$22)),AN18*COS(RADIANS(180-$M$22))+AM18*SIN(RADIANS($M$22)))</f>
        <v>#DIV/0!</v>
      </c>
      <c r="AQ18" s="5"/>
      <c r="AR18" s="465" t="s">
        <v>254</v>
      </c>
      <c r="AS18" s="675">
        <f>IF(AND(ISNUMBER(H15),ISNUMBER(I15)),IF($C$17=1,(($AM$78-(H15-$AM$75)*($AM$86+(H15-$AM$75)*($AM$87+(H15-$AM$75)*($AM$88+(H15-$AM$75)*$AM$89))))*SIN(RADIANS(((111.5-I15)*$AM$76)))+$AM$72)*3937/1200,IF($C$17=2,(($AN$78-(H15-$AN$75)*($AN$86+(H15-$AN$75)*($AN$87+(H15-$AN$75)*($AN$88+(H15-$AN$75)*$AN$89))))*SIN(RADIANS(((111.5-I15)*$AN$76)))+$AN$72)*3937/1200,(($AO$78-(H15-$AO$75)*($AO$86+(H15-$AO$75)*($AO$87+(H15-$AO$75)*($AO$88+(H15-$AO$75)*$AO$89))))*SIN(RADIANS(((111.5-I15)*$AO$76)))+$AO$72)*3937/1200)),"")</f>
        <v>2013858.2162087595</v>
      </c>
      <c r="AT18" s="515">
        <f>IF(AND(ISNUMBER(H15),ISNUMBER(I15)),IF($C$17=1,((H15-$AM$75)*($AM$86+(H15-$AM$75)*($AM$87+(H15-$AM$75)*($AM$88+(H15-$AM$75)*$AM$89)))+($AM$78-(H15-$AM$75)*($AM$86+(H15-$AM$75)*($AM$87+(H15-$AM$75)*($AM$88+(H15-$AM$75)*$AM$89))))*SIN(RADIANS(((111.5-I15)*$AM$76)))*TAN(RADIANS(((111.5-I15)*$AM$76))/2)+$AM$79)*3937/1200,IF($C$17=2,((H15-$AN$75)*($AN$86+(H15-$AN$75)*($AN$87+(H15-$AN$75)*($AN$88+(H15-$AN$75)*$AN$89)))+($AN$78-(H15-$AN$75)*($AN$86+(H15-$AN$75)*($AN$87+(H15-$AN$75)*($AN$88+(H15-$AN$75)*$AN$89))))*SIN(RADIANS(((111.5-I15)*$AN$76)))*TAN(RADIANS(((111.5-I15)*$AN$76))/2)+$AN$79)*3937/1200,((H15-$AO$75)*($AO$86+(H15-$AO$75)*($AO$87+(H15-$AO$75)*($AO$88+(H15-$AO$75)*$AO$89)))+($AO$78-(H15-$AO$75)*($AO$86+(H15-$AO$75)*($AO$87+(H15-$AO$75)*($AO$88+(H15-$AO$75)*$AO$89))))*SIN(RADIANS(((111.5-I15)*$AO$76)))*TAN(RADIANS(((111.5-I15)*$AO$76))/2)+$AO$79)*3937/1200)),"")</f>
        <v>7265480.1539310571</v>
      </c>
      <c r="AU18" s="675">
        <f>IF(AND(ISNUMBER(J15),ISNUMBER(K15)),IF($C$17=1,(($AM$78-(J15-$AM$75)*($AM$86+(J15-$AM$75)*($AM$87+(J15-$AM$75)*($AM$88+(J15-$AM$75)*$AM$89))))*SIN(RADIANS(((111.5-K15)*$AM$76)))+$AM$72)*3937/1200,IF($C$17=2,(($AN$78-(J15-$AN$75)*($AN$86+(J15-$AN$75)*($AN$87+(J15-$AN$75)*($AN$88+(J15-$AN$75)*$AN$89))))*SIN(RADIANS(((111.5-K15)*$AN$76)))+$AN$72)*3937/1200,(($AO$78-(J15-$AO$75)*($AO$86+(J15-$AO$75)*($AO$87+(J15-$AO$75)*($AO$88+(J15-$AO$75)*$AO$89))))*SIN(RADIANS(((111.5-K15)*$AO$76)))+$AO$72)*3937/1200)),"")</f>
        <v>2003281.8314283406</v>
      </c>
      <c r="AV18" s="515">
        <f>IF(AND(ISNUMBER(J15),ISNUMBER(K15)),IF($C$17=1,((J15-$AM$75)*($AM$86+(J15-$AM$75)*($AM$87+(J15-$AM$75)*($AM$88+(J15-$AM$75)*$AM$89)))+($AM$78-(J15-$AM$75)*($AM$86+(J15-$AM$75)*($AM$87+(J15-$AM$75)*($AM$88+(J15-$AM$75)*$AM$89))))*SIN(RADIANS(((111.5-K15)*$AM$76)))*TAN(RADIANS(((111.5-K15)*$AM$76))/2)+$AM$79)*3937/1200,IF($C$17=2,((J15-$AN$75)*($AN$86+(J15-$AN$75)*($AN$87+(J15-$AN$75)*($AN$88+(J15-$AN$75)*$AN$89)))+($AN$78-(J15-$AN$75)*($AN$86+(J15-$AN$75)*($AN$87+(J15-$AN$75)*($AN$88+(J15-$AN$75)*$AN$89))))*SIN(RADIANS(((111.5-K15)*$AN$76)))*TAN(RADIANS(((111.5-K15)*$AN$76))/2)+$AN$79)*3937/1200,((J15-$AO$75)*($AO$86+(J15-$AO$75)*($AO$87+(J15-$AO$75)*($AO$88+(J15-$AO$75)*$AO$89)))+($AO$78-(J15-$AO$75)*($AO$86+(J15-$AO$75)*($AO$87+(J15-$AO$75)*($AO$88+(J15-$AO$75)*$AO$89))))*SIN(RADIANS(((111.5-K15)*$AO$76)))*TAN(RADIANS(((111.5-K15)*$AO$76))/2)+$AO$79)*3937/1200)),"")</f>
        <v>7265338.0327091664</v>
      </c>
      <c r="AW18" s="654">
        <f>IF(AND(ISNUMBER(L15),ISNUMBER(M15)),IF($C$17=1,(($AM$78-(L15-$AM$75)*($AM$86+(L15-$AM$75)*($AM$87+(L15-$AM$75)*($AM$88+(L15-$AM$75)*$AM$89))))*SIN(RADIANS(((111.5-M15)*$AM$76)))+$AM$72)*3937/1200,IF($C$17=2,(($AN$78-(L15-$AN$75)*($AN$86+(L15-$AN$75)*($AN$87+(L15-$AN$75)*($AN$88+(L15-$AN$75)*$AN$89))))*SIN(RADIANS(((111.5-M15)*$AN$76)))+$AN$72)*3937/1200,(($AO$78-(L15-$AO$75)*($AO$86+(L15-$AO$75)*($AO$87+(L15-$AO$75)*($AO$88+(L15-$AO$75)*$AO$89))))*SIN(RADIANS(((111.5-M15)*$AO$76)))+$AO$72)*3937/1200)),"")</f>
        <v>2003281.8314283406</v>
      </c>
      <c r="AX18" s="515">
        <f>IF(AND(ISNUMBER(L15),ISNUMBER(M15)),IF($C$17=1,((L15-$AM$75)*($AM$86+(L15-$AM$75)*($AM$87+(L15-$AM$75)*($AM$88+(L15-$AM$75)*$AM$89)))+($AM$78-(L15-$AM$75)*($AM$86+(L15-$AM$75)*($AM$87+(L15-$AM$75)*($AM$88+(L15-$AM$75)*$AM$89))))*SIN(RADIANS(((111.5-M15)*$AM$76)))*TAN(RADIANS(((111.5-M15)*$AM$76))/2)+$AM$79)*3937/1200,IF($C$17=2,((L15-$AN$75)*($AN$86+(L15-$AN$75)*($AN$87+(L15-$AN$75)*($AN$88+(L15-$AN$75)*$AN$89)))+($AN$78-(L15-$AN$75)*($AN$86+(L15-$AN$75)*($AN$87+(L15-$AN$75)*($AN$88+(L15-$AN$75)*$AN$89))))*SIN(RADIANS(((111.5-M15)*$AN$76)))*TAN(RADIANS(((111.5-M15)*$AN$76))/2)+$AN$79)*3937/1200,((L15-$AO$75)*($AO$86+(L15-$AO$75)*($AO$87+(L15-$AO$75)*($AO$88+(L15-$AO$75)*$AO$89)))+($AO$78-(L15-$AO$75)*($AO$86+(L15-$AO$75)*($AO$87+(L15-$AO$75)*($AO$88+(L15-$AO$75)*$AO$89))))*SIN(RADIANS(((111.5-M15)*$AO$76)))*TAN(RADIANS(((111.5-M15)*$AO$76))/2)+$AO$79)*3937/1200)),"")</f>
        <v>7265338.0327091664</v>
      </c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</row>
    <row r="19" spans="2:118" ht="15" customHeight="1" thickBot="1" x14ac:dyDescent="0.3">
      <c r="B19" s="907" t="str">
        <f>IF($E$16=2,"Scale Factor","")</f>
        <v/>
      </c>
      <c r="C19" s="871"/>
      <c r="D19" s="666">
        <f>'Dx to Plat Comparison'!F40</f>
        <v>1</v>
      </c>
      <c r="E19" s="360" t="str">
        <f>IF(AND($E$16=2,D19=""),"required","")</f>
        <v/>
      </c>
      <c r="G19" s="521" t="s">
        <v>134</v>
      </c>
      <c r="H19" s="662">
        <v>52</v>
      </c>
      <c r="I19" s="711">
        <v>2</v>
      </c>
      <c r="J19" s="662">
        <v>55</v>
      </c>
      <c r="K19" s="711">
        <v>13</v>
      </c>
      <c r="L19" s="662">
        <v>55</v>
      </c>
      <c r="M19" s="711">
        <v>13</v>
      </c>
      <c r="N19" s="637"/>
      <c r="P19" s="156"/>
      <c r="X19" s="794"/>
      <c r="Y19" s="164"/>
      <c r="Z19" s="164"/>
      <c r="AA19" s="5"/>
      <c r="AB19" s="5"/>
      <c r="AC19" s="5"/>
      <c r="AD19" s="5"/>
      <c r="AE19" s="5"/>
      <c r="AF19" s="5"/>
      <c r="AG19" s="54"/>
      <c r="AH19" s="313"/>
      <c r="AI19" s="180"/>
      <c r="AJ19" s="180"/>
      <c r="AK19" s="180"/>
      <c r="AL19" s="180"/>
      <c r="AM19" s="180"/>
      <c r="AN19" s="180"/>
      <c r="AO19" s="180"/>
      <c r="AP19" s="180"/>
      <c r="AQ19" s="5"/>
      <c r="AS19" s="682"/>
      <c r="AT19" s="683"/>
      <c r="AU19" s="685"/>
      <c r="AV19" s="686"/>
      <c r="AW19" s="684"/>
      <c r="AX19" s="678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</row>
    <row r="20" spans="2:118" ht="15" customHeight="1" x14ac:dyDescent="0.25">
      <c r="B20" s="54"/>
      <c r="C20" s="54"/>
      <c r="G20" s="521" t="s">
        <v>140</v>
      </c>
      <c r="H20" s="662">
        <v>58</v>
      </c>
      <c r="I20" s="711">
        <v>57</v>
      </c>
      <c r="J20" s="662">
        <v>23</v>
      </c>
      <c r="K20" s="711">
        <v>23</v>
      </c>
      <c r="L20" s="662">
        <v>23</v>
      </c>
      <c r="M20" s="711">
        <v>23</v>
      </c>
      <c r="N20" s="637"/>
      <c r="X20" s="689"/>
      <c r="Y20" s="5"/>
      <c r="Z20" s="5"/>
      <c r="AC20" s="5"/>
      <c r="AD20" s="5"/>
      <c r="AE20" s="5"/>
      <c r="AF20" s="5"/>
      <c r="AG20" s="54"/>
      <c r="AH20" s="313"/>
      <c r="AI20" s="687" t="s">
        <v>163</v>
      </c>
      <c r="AJ20" s="58"/>
      <c r="AK20" s="938" t="s">
        <v>164</v>
      </c>
      <c r="AL20" s="847"/>
      <c r="AM20" s="906" t="s">
        <v>262</v>
      </c>
      <c r="AN20" s="848"/>
      <c r="AQ20" s="5"/>
      <c r="AS20" s="741" t="s">
        <v>263</v>
      </c>
      <c r="AT20" s="742" t="s">
        <v>264</v>
      </c>
      <c r="AU20" s="741" t="s">
        <v>263</v>
      </c>
      <c r="AV20" s="742" t="s">
        <v>264</v>
      </c>
      <c r="AW20" s="743" t="s">
        <v>263</v>
      </c>
      <c r="AX20" s="742" t="s">
        <v>264</v>
      </c>
      <c r="AY20" s="5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</row>
    <row r="21" spans="2:118" ht="15" customHeight="1" x14ac:dyDescent="0.25">
      <c r="E21" s="345"/>
      <c r="G21" s="521"/>
      <c r="H21" s="726">
        <v>4</v>
      </c>
      <c r="I21" s="727">
        <v>3</v>
      </c>
      <c r="J21" s="726">
        <v>4</v>
      </c>
      <c r="K21" s="727">
        <v>4</v>
      </c>
      <c r="L21" s="726">
        <v>4</v>
      </c>
      <c r="M21" s="727">
        <v>4</v>
      </c>
      <c r="N21" s="637"/>
      <c r="Y21" s="164"/>
      <c r="Z21" s="5"/>
      <c r="AC21" s="5"/>
      <c r="AD21" s="5"/>
      <c r="AE21" s="5"/>
      <c r="AF21" s="5"/>
      <c r="AG21" s="54"/>
      <c r="AH21" s="313"/>
      <c r="AI21" s="645"/>
      <c r="AJ21" s="54"/>
      <c r="AK21" s="765" t="s">
        <v>6</v>
      </c>
      <c r="AL21" s="766" t="s">
        <v>7</v>
      </c>
      <c r="AM21" s="765" t="s">
        <v>6</v>
      </c>
      <c r="AN21" s="347" t="s">
        <v>7</v>
      </c>
      <c r="AQ21" s="5"/>
      <c r="AR21" s="465" t="s">
        <v>248</v>
      </c>
      <c r="AS21" s="795" t="e">
        <f>IF($E$12=2,TAN(RADIANS(90-$H$22)),TAN(RADIANS(90-$H$22+(RADIANS(111.5-$S$15)*IF($C$17=1,$AM$76,IF($C$17=2,$AN$76,$AO$76))))))</f>
        <v>#DIV/0!</v>
      </c>
      <c r="AT21" s="796" t="e">
        <f>-1/AS21</f>
        <v>#DIV/0!</v>
      </c>
      <c r="AU21" s="795" t="e">
        <f>IF($E$12=2,TAN(RADIANS(90-$J$22)),TAN(RADIANS(90-$J$22+(RADIANS(111.5-$S$16)*IF($C$17=1,$AM$76,IF($C$17=2,$AN$76,$AO$76))))))</f>
        <v>#DIV/0!</v>
      </c>
      <c r="AV21" s="796" t="e">
        <f>-1/AU21</f>
        <v>#DIV/0!</v>
      </c>
      <c r="AW21" s="797" t="e">
        <f>IF($E$12=2,TAN(RADIANS(90-$L$22)),TAN(RADIANS(90-$L$22+(RADIANS(111.5-$S$17)*IF($C$17=1,$AM$76,IF($C$17=2,$AN$76,$AO$76))))))</f>
        <v>#DIV/0!</v>
      </c>
      <c r="AX21" s="796" t="e">
        <f>-1/AW21</f>
        <v>#DIV/0!</v>
      </c>
      <c r="AY21" s="5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</row>
    <row r="22" spans="2:118" ht="15" customHeight="1" thickBot="1" x14ac:dyDescent="0.3">
      <c r="B22" s="54"/>
      <c r="C22" s="54"/>
      <c r="D22" s="54"/>
      <c r="E22" s="54"/>
      <c r="G22" s="521" t="s">
        <v>144</v>
      </c>
      <c r="H22" s="408">
        <f>IF(H18="",0,IF(OR(H21=1,H21=4),180-(H18+H19/60+H20/3600),(H18+H19/60+H20/3600)))</f>
        <v>90.117222222222225</v>
      </c>
      <c r="I22" s="539">
        <f>IF(I18="",0,IF(OR(I21=1,I21=4),180-(I18+I19/60+I20/3600),180+(I18+I19/60+I20/3600)))</f>
        <v>180.04916666666668</v>
      </c>
      <c r="J22" s="408">
        <f>IF(J18="",0,IF(OR(J21=1,J21=4),180-(J18+J19/60+J20/3600),(J18+J19/60+J20/3600)))</f>
        <v>90.076944444444436</v>
      </c>
      <c r="K22" s="539">
        <f>IF(K18="",0,IF(OR(K21=1,K21=4),180-(K18+K19/60+K20/3600),180+(K18+K19/60+K20/3600)))</f>
        <v>179.77694444444444</v>
      </c>
      <c r="L22" s="408">
        <f>IF(L18="",0,IF(OR(L21=1,L21=4),180-(L18+L19/60+L20/3600),(L18+L19/60+L20/3600)))</f>
        <v>90.076944444444436</v>
      </c>
      <c r="M22" s="539">
        <f>IF(M18="",0,IF(OR(M21=1,M21=4),180-(M18+M19/60+M20/3600),180+(M18+M19/60+M20/3600)))</f>
        <v>179.77694444444444</v>
      </c>
      <c r="N22" s="637"/>
      <c r="Y22" s="5"/>
      <c r="Z22" s="5"/>
      <c r="AC22" s="5"/>
      <c r="AD22" s="5"/>
      <c r="AE22" s="5"/>
      <c r="AF22" s="5"/>
      <c r="AG22" s="54"/>
      <c r="AH22" s="313"/>
      <c r="AI22" s="646"/>
      <c r="AJ22" s="647" t="s">
        <v>159</v>
      </c>
      <c r="AK22" s="649" t="e">
        <f>ROUND(SQRT(SUMSQ(($AT$17-$U$15+0.00001),($AS$17-$T$15+0.00001)))*SIN(ABS(ATAN(($AT$17-$U$15+0.00001)/($AS$17-$T$15+0.00001)))+RADIANS(IF(OR(AND($AT$17&gt;$U$15,$AS$17&lt;$T$15),AND($AT$17&lt;$U$15,$AS$17&gt;$T$15)),90-$H$22,$H$22-90)))*($AX$29-17+$E$13*0.3048)/$AX$29,0)</f>
        <v>#VALUE!</v>
      </c>
      <c r="AL22" s="650" t="e">
        <f>ROUND(SQRT(SUMSQ(($AT$18-$U$15+0.00001),($AS$18-$T$15+0.00001)))*SIN(ABS(ATAN(($AS$18-$T$15+0.00001)/($AT$18-$U$15+0.00001)))+RADIANS(IF(OR(AND($AT$18&gt;$U$15,$AS$18&lt;$T$15),AND($AT$18&lt;$U$15,$AS$18&gt;$T$15)),$I$22-180,180-$I$22)))*($AX$30-17+$E$13*0.3048)/$AX$30,0)</f>
        <v>#VALUE!</v>
      </c>
      <c r="AM22" s="649" t="e">
        <f>ABS(ROUND($AU$29*3937/1200*SIN($AV$29-RADIANS($H$22))*($AX$29-17+$E$13*0.3048)/$AX$29,0))</f>
        <v>#DIV/0!</v>
      </c>
      <c r="AN22" s="651" t="e">
        <f>ABS(ROUND($AU$30*3937/1200*SIN(RADIANS($I$22)-$AV$30)*($AX$30-17+$E$13*0.3048)/$AX$30,0))</f>
        <v>#DIV/0!</v>
      </c>
      <c r="AQ22" s="5"/>
      <c r="AR22" s="465" t="s">
        <v>254</v>
      </c>
      <c r="AS22" s="798" t="e">
        <f>IF($E$12=2,TAN(RADIANS(90-$I$22)),TAN(RADIANS(90-$I$22+(RADIANS(111.5-$S$15)*IF($C$17=1,$AM$76,IF($C$17=2,$AN$76,$AO$76))))))</f>
        <v>#DIV/0!</v>
      </c>
      <c r="AT22" s="799" t="e">
        <f>-1/AS22</f>
        <v>#DIV/0!</v>
      </c>
      <c r="AU22" s="798" t="e">
        <f>IF($E$12=2,TAN(RADIANS(90-$K$22)),TAN(RADIANS(90-$K$22+(RADIANS(111.5-$S$16)*IF($C$17=1,$AM$76,IF($C$17=2,$AN$76,$AO$76))))))</f>
        <v>#DIV/0!</v>
      </c>
      <c r="AV22" s="799" t="e">
        <f>-1/AU22</f>
        <v>#DIV/0!</v>
      </c>
      <c r="AW22" s="800" t="e">
        <f>IF($E$12=2,TAN(RADIANS(90-$M$22)),TAN(RADIANS(90-$M$22+(RADIANS(111.5-$S$17)*IF($C$17=1,$AM$76,IF($C$17=2,$AN$76,$AO$76))))))</f>
        <v>#DIV/0!</v>
      </c>
      <c r="AX22" s="799" t="e">
        <f>-1/AW22</f>
        <v>#DIV/0!</v>
      </c>
      <c r="AY22" s="5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</row>
    <row r="23" spans="2:118" ht="15" customHeight="1" thickBot="1" x14ac:dyDescent="0.3">
      <c r="B23" s="43"/>
      <c r="X23" s="28"/>
      <c r="Y23" s="28"/>
      <c r="Z23" s="5"/>
      <c r="AA23" s="5"/>
      <c r="AB23" s="5"/>
      <c r="AC23" s="5"/>
      <c r="AD23" s="5"/>
      <c r="AE23" s="5"/>
      <c r="AF23" s="5"/>
      <c r="AG23" s="54"/>
      <c r="AH23" s="313"/>
      <c r="AI23" s="655"/>
      <c r="AJ23" s="656" t="s">
        <v>160</v>
      </c>
      <c r="AK23" s="658" t="e">
        <f>ROUND(SQRT(SUMSQ(($AV$17-$U$16+0.00001),($AU$17-$T$16+0.00001)))*SIN(ABS(ATAN(($AV$17-$U$16+0.00001)/($AU$17-$T$16+0.00001)))+RADIANS(IF(OR(AND($AV$17&gt;$U$16,$AU$17&lt;$T$16),AND($AV$17&lt;$U$16,$AU$17&gt;$T$16)),90-$J$22,$J$22-90)))*($AX$29-17+$E$13*0.3048)/$AX$29,0)</f>
        <v>#VALUE!</v>
      </c>
      <c r="AL23" s="659" t="e">
        <f>ROUND(SQRT(SUMSQ(($AV$18-$U$16+0.00001),($AU$18-$T$16+0.00001)))*SIN(ABS(ATAN(($AU$18-$T$16+0.00001)/($AV$18-$U$16+0.00001)))+RADIANS(IF(OR(AND($AV$18&gt;$U$16,$AU$18&lt;$T$16),AND($AV$18&lt;$U$16,$AU$18&gt;$T$16)),$K$22-180,180-$K$22)))*($AX$30-17+$E$13*0.3048)/$AX$30,0)</f>
        <v>#VALUE!</v>
      </c>
      <c r="AM23" s="658" t="e">
        <f>ABS(ROUND($AU$31*3937/1200*SIN($AV$31-RADIANS($J$22))*($AX$31-17+$E$13*0.3048)/$AX$31,0))</f>
        <v>#DIV/0!</v>
      </c>
      <c r="AN23" s="660" t="e">
        <f>ABS(ROUND($AU$32*3937/1200*SIN(RADIANS($K$22)-$AV$32)*($AX$32-17+$E$13*0.3048)/$AX$32,0))</f>
        <v>#DIV/0!</v>
      </c>
      <c r="AQ23" s="164"/>
      <c r="AR23" s="465" t="s">
        <v>265</v>
      </c>
      <c r="AS23" s="676" t="e">
        <f>SQRT(SUMSQ($T15-((AS$21*AS$17-AT$21*$T15+$U15-AT$17)/(AS$21-AT$21)),$U15-(AT$21*(((AS$21*AS$17-AT$21*$T15+$U15-AT$17)/(AS$21-AT$21))-$T15)+$U15)))</f>
        <v>#VALUE!</v>
      </c>
      <c r="AT23" s="677" t="e">
        <f>SQRT(SUMSQ($T15-((AS$22*AS$18-AT$22*$T15+$U15-AT$18)/(AS$22-AT$22)),$U15-(AT$22*(((AS$22*AS$18-AT$22*$T15+$U15-AT$18)/(AS$22-AT$22))-$T15)+$U15)))</f>
        <v>#VALUE!</v>
      </c>
      <c r="AU23" s="676" t="e">
        <f>SQRT(SUMSQ($T16-((AU$21*AU$17-AV$21*$T16+$U16-AV$17)/(AU$21-AV$21)),$U16-(AV$21*(((AU$21*AU$17-AV$21*$T16+$U16-AV$17)/(AU$21-AV$21))-$T16)+$U16)))</f>
        <v>#VALUE!</v>
      </c>
      <c r="AV23" s="677" t="e">
        <f>SQRT(SUMSQ($T16-((AU$22*AU$18-AV$22*$T16+$U16-AV$18)/(AU$22-AV$22)),$U16-(AV$22*(((AU$22*AU$18-AV$22*$T16+$U16-AV$18)/(AU$22-AV$22))-$T16)+$U16)))</f>
        <v>#VALUE!</v>
      </c>
      <c r="AW23" s="681" t="e">
        <f>SQRT(SUMSQ($T17-((AW$21*AW$17-AX$21*$T17+$U17-AX$17)/(AW$21-AX$21)),$U17-(AX$21*(((AW$21*AW$17-AX$21*$T17+$U17-AX$17)/(AW$21-AX$21))-$T17)+$U17)))</f>
        <v>#VALUE!</v>
      </c>
      <c r="AX23" s="677" t="e">
        <f>SQRT(SUMSQ($T17-((AW$22*AW$18-AX$22*$T17+$U17-AX$18)/(AW$22-AX$22)),$U17-(AX$22*(((AW$22*AW$18-AX$22*$T17+$U17-AX$18)/(AW$22-AX$22))-$T17)+$U17)))</f>
        <v>#VALUE!</v>
      </c>
      <c r="AY23" s="5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</row>
    <row r="24" spans="2:118" ht="15" customHeight="1" thickBot="1" x14ac:dyDescent="0.3">
      <c r="B24" s="43"/>
      <c r="R24" s="54"/>
      <c r="S24" s="54"/>
      <c r="Y24" s="5"/>
      <c r="Z24" s="5"/>
      <c r="AA24" s="5"/>
      <c r="AB24" s="5"/>
      <c r="AC24" s="5"/>
      <c r="AD24" s="5"/>
      <c r="AE24" s="5"/>
      <c r="AF24" s="5"/>
      <c r="AG24" s="54"/>
      <c r="AH24" s="313"/>
      <c r="AI24" s="663"/>
      <c r="AJ24" s="664" t="s">
        <v>261</v>
      </c>
      <c r="AK24" s="186" t="e">
        <f>ROUND(SQRT(SUMSQ(($AX$17-$U$17+0.00001),($AW$17-$T$17+0.00001)))*SIN(ABS(ATAN(($AX$17-$U$17+0.00001)/($AW$17-$T$17+0.00001)))+RADIANS(IF(OR(AND($AX$17&gt;$U$17,$AW$17&lt;$T$17),AND($AX$17&lt;$U$17,$AW$17&gt;$T$17)),90-$L$22,$L$22-90)))*($AX$29-17+$E$13*0.3048)/$AX$29,0)</f>
        <v>#VALUE!</v>
      </c>
      <c r="AL24" s="665" t="e">
        <f>ROUND(SQRT(SUMSQ(($AX$18-$U$17+0.00001),($AW$18-$T$17+0.00001)))*SIN(ABS(ATAN(($AW$18-$T$17+0.00001)/($AX$18-$U$17+0.00001)))+RADIANS(IF(OR(AND($AX$18&gt;$U$17,$AW$18&lt;$T$17),AND($AX$18&lt;$U$17,$AW$18&gt;$T$17)),$M$22-180,180-$M$22)))*($AX$30-17+$E$13*0.3048)/$AX$30,0)</f>
        <v>#VALUE!</v>
      </c>
      <c r="AM24" s="186" t="e">
        <f>ABS(ROUND($AU$33*3937/1200*SIN($AV$33-RADIANS($L$22))*($AX$33-17+$E$13*0.3048)/$AX$33,0))</f>
        <v>#DIV/0!</v>
      </c>
      <c r="AN24" s="354" t="e">
        <f>ABS(ROUND($AU$34*3937/1200*SIN(RADIANS($M$22)-$AV$34)*($AX$34-17+$E$13*0.3048)/$AX$34,0))</f>
        <v>#DIV/0!</v>
      </c>
      <c r="AP24" s="180"/>
      <c r="AQ24" s="164"/>
      <c r="AR24" s="465"/>
      <c r="AS24" s="532"/>
      <c r="AT24" s="516"/>
      <c r="AU24" s="532"/>
      <c r="AV24" s="516"/>
      <c r="AW24" s="532"/>
      <c r="AX24" s="516"/>
      <c r="AY24" s="5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</row>
    <row r="25" spans="2:118" ht="15" customHeight="1" x14ac:dyDescent="0.25">
      <c r="B25" s="43"/>
      <c r="T25" s="532"/>
      <c r="U25" s="516"/>
      <c r="Y25" s="5"/>
      <c r="Z25" s="5"/>
      <c r="AA25" s="5"/>
      <c r="AB25" s="5"/>
      <c r="AC25" s="5"/>
      <c r="AD25" s="5"/>
      <c r="AE25" s="5"/>
      <c r="AF25" s="5"/>
      <c r="AG25" s="54"/>
      <c r="AH25" s="313"/>
      <c r="AI25" s="180"/>
      <c r="AJ25" s="180"/>
      <c r="AK25" s="180"/>
      <c r="AL25" s="180"/>
      <c r="AM25" s="180"/>
      <c r="AN25" s="180"/>
      <c r="AO25" s="180"/>
      <c r="AP25" s="180"/>
      <c r="AQ25" s="164"/>
      <c r="AY25" s="5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</row>
    <row r="26" spans="2:118" ht="15" customHeight="1" x14ac:dyDescent="0.25">
      <c r="B26" s="43"/>
      <c r="T26" s="532"/>
      <c r="U26" s="516"/>
      <c r="Y26" s="5"/>
      <c r="Z26" s="5"/>
      <c r="AA26" s="5"/>
      <c r="AB26" s="5"/>
      <c r="AC26" s="5"/>
      <c r="AD26" s="5"/>
      <c r="AE26" s="5"/>
      <c r="AF26" s="5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"/>
      <c r="AR26" s="5"/>
      <c r="AY26" s="5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</row>
    <row r="27" spans="2:118" ht="15" customHeight="1" x14ac:dyDescent="0.25">
      <c r="B27" s="43"/>
      <c r="T27" s="532"/>
      <c r="U27" s="516"/>
      <c r="Y27" s="5"/>
      <c r="Z27" s="5"/>
      <c r="AA27" s="5"/>
      <c r="AB27" s="5"/>
      <c r="AJ27" s="5"/>
      <c r="AK27" s="5"/>
      <c r="AL27" s="5"/>
      <c r="AM27" s="54"/>
      <c r="AN27" s="54"/>
      <c r="AO27" s="54"/>
      <c r="AP27" s="54"/>
      <c r="AQ27" s="54"/>
      <c r="AR27" s="54"/>
      <c r="AS27" s="54"/>
      <c r="AT27" s="54"/>
      <c r="AU27" s="916" t="s">
        <v>266</v>
      </c>
      <c r="AV27" s="832"/>
      <c r="AW27" s="832"/>
      <c r="AX27" s="54"/>
      <c r="AY27" s="5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</row>
    <row r="28" spans="2:118" ht="15" customHeight="1" thickBot="1" x14ac:dyDescent="0.3">
      <c r="B28" s="43"/>
      <c r="R28" s="54"/>
      <c r="S28" s="54"/>
      <c r="Y28" s="5"/>
      <c r="Z28" s="5"/>
      <c r="AA28" s="5"/>
      <c r="AB28" s="5"/>
      <c r="AJ28" s="5"/>
      <c r="AK28" s="5"/>
      <c r="AL28" s="5"/>
      <c r="AM28" s="54"/>
      <c r="AN28" s="667" t="s">
        <v>94</v>
      </c>
      <c r="AO28" s="667" t="s">
        <v>60</v>
      </c>
      <c r="AP28" s="667" t="s">
        <v>95</v>
      </c>
      <c r="AQ28" s="667" t="s">
        <v>62</v>
      </c>
      <c r="AR28" s="667" t="s">
        <v>96</v>
      </c>
      <c r="AS28" s="667" t="s">
        <v>64</v>
      </c>
      <c r="AT28" s="667" t="s">
        <v>97</v>
      </c>
      <c r="AU28" s="740" t="s">
        <v>98</v>
      </c>
      <c r="AV28" s="667" t="s">
        <v>99</v>
      </c>
      <c r="AW28" s="667" t="s">
        <v>69</v>
      </c>
      <c r="AX28" s="737" t="s">
        <v>26</v>
      </c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</row>
    <row r="29" spans="2:118" ht="15" customHeight="1" x14ac:dyDescent="0.25">
      <c r="B29" s="43"/>
      <c r="R29" s="342"/>
      <c r="S29" s="342"/>
      <c r="T29" s="54"/>
      <c r="U29" s="54"/>
      <c r="Y29" s="5"/>
      <c r="Z29" s="5"/>
      <c r="AA29" s="5"/>
      <c r="AB29" s="5"/>
      <c r="AE29" s="382"/>
      <c r="AF29" s="936" t="s">
        <v>267</v>
      </c>
      <c r="AG29" s="937"/>
      <c r="AH29" s="936" t="s">
        <v>268</v>
      </c>
      <c r="AI29" s="937"/>
      <c r="AJ29" s="894" t="s">
        <v>269</v>
      </c>
      <c r="AK29" s="889"/>
      <c r="AL29" s="5"/>
      <c r="AM29" s="313" t="s">
        <v>270</v>
      </c>
      <c r="AN29" s="801" t="e">
        <f>(RADIANS(-$S$15)-RADIANS(-$I$14))</f>
        <v>#DIV/0!</v>
      </c>
      <c r="AO29" s="802" t="e">
        <f>ATAN2((SIN((ATAN((1-$AM$105)*TAN(RADIANS($H$14)))))*SIN((ATAN((1-$AM$105)*TAN(RADIANS($R$15)))))+COS((ATAN((1-$AM$105)*TAN(RADIANS($H$14)))))*COS((ATAN((1-$AM$105)*TAN(RADIANS($R$15)))))*COS($AN29)),(((COS((ATAN((1-$AM$105)*TAN(RADIANS($R$15)))))*SIN($AN29))^2+(COS((ATAN((1-$AM$105)*TAN(RADIANS($H$14)))))*SIN((ATAN((1-$AM$105)*TAN(RADIANS($R$15)))))-SIN((ATAN((1-$AM$105)*TAN(RADIANS($H$14)))))*COS((ATAN((1-$AM$105)*TAN(RADIANS($R$15)))))*COS($AN29))^2)^0.5))</f>
        <v>#DIV/0!</v>
      </c>
      <c r="AP29" s="342" t="e">
        <f>((RADIANS(-$S$15)-RADIANS(-$I$14))+(1-($AM$105/16*(1-((COS((ATAN((1-$AM$105)*TAN(RADIANS($H$14)))))*COS((ATAN((1-$AM$105)*TAN(RADIANS($R$15)))))*SIN($AN29))/SIN($AO29))^2)*(4+$AM$105*(4-3*(1-((COS((ATAN((1-$AM$105)*TAN(RADIANS($H$14)))))*COS((ATAN((1-$AM$105)*TAN(RADIANS($R$15)))))*SIN($AN29))/SIN($AO29))^2)))))*$AM$105*((COS((ATAN((1-$AM$105)*TAN(RADIANS($H$14)))))*COS((ATAN((1-$AM$105)*TAN(RADIANS($R$15)))))*SIN($AN29))/SIN($AO29))*($AO29+($AM$105/16*(1-((COS((ATAN((1-$AM$105)*TAN(RADIANS($H$14)))))*COS((ATAN((1-$AM$105)*TAN(RADIANS($R$15)))))*SIN($AN29))/SIN($AO29))^2)*(4+$AM$105*(4-3*(1-((COS((ATAN((1-$AM$105)*TAN(RADIANS($H$14)))))*COS((ATAN((1-$AM$105)*TAN(RADIANS($R$15)))))*SIN($AN29))/SIN($AO29))^2))))*SIN($AO29)*((COS($AO29)-2*SIN((ATAN((1-$AM$105)*TAN(RADIANS($H$14)))))*SIN((ATAN((1-$AM$105)*TAN(RADIANS($R$15)))))/(1-((COS((ATAN((1-$AM$105)*TAN(RADIANS($H$14)))))*COS((ATAN((1-$AM$105)*TAN(RADIANS($R$15)))))*SIN($AN29))/SIN($AO29))^2))+($AM$105/16*(1-((COS((ATAN((1-$AM$105)*TAN(RADIANS($H$14)))))*COS((ATAN((1-$AM$105)*TAN(RADIANS($R$15)))))*SIN($AN29))/SIN($AO29))^2)*(4+$AM$105*(4-3*(1-((COS((ATAN((1-$AM$105)*TAN(RADIANS($H$14)))))*COS((ATAN((1-$AM$105)*TAN(RADIANS($R$15)))))*SIN($AN29))/SIN($AO29))^2))))*COS($AO29)*(-1+2*(COS($AO29)-2*SIN((ATAN((1-$AM$105)*TAN(RADIANS($H$14)))))*SIN((ATAN((1-$AM$105)*TAN(RADIANS($R$15)))))/(1-((COS((ATAN((1-$AM$105)*TAN(RADIANS($H$14)))))*COS((ATAN((1-$AM$105)*TAN(RADIANS($R$15)))))*SIN($AN29))/SIN($AO29))^2))^2))))</f>
        <v>#DIV/0!</v>
      </c>
      <c r="AQ29" s="802" t="e">
        <f>ATAN2((SIN((ATAN((1-$AM$105)*TAN(RADIANS($H$14)))))*SIN((ATAN((1-$AM$105)*TAN(RADIANS($R$15)))))+COS((ATAN((1-$AM$105)*TAN(RADIANS($H$14)))))*COS((ATAN((1-$AM$105)*TAN(RADIANS($R$15)))))*COS($AP29)),(((COS((ATAN((1-$AM$105)*TAN(RADIANS($R$15)))))*SIN($AP29))^2+(COS((ATAN((1-$AM$105)*TAN(RADIANS($H$14)))))*SIN((ATAN((1-$AM$105)*TAN(RADIANS($R$15)))))-SIN((ATAN((1-$AM$105)*TAN(RADIANS($H$14)))))*COS((ATAN((1-$AM$105)*TAN(RADIANS($R$15)))))*COS($AP29))^2)^0.5))</f>
        <v>#DIV/0!</v>
      </c>
      <c r="AR29" s="342" t="e">
        <f>((RADIANS(-$S$15)-RADIANS(-$I$14))+(1-($AM$105/16*(1-((COS((ATAN((1-$AM$105)*TAN(RADIANS($H$14)))))*COS((ATAN((1-$AM$105)*TAN(RADIANS($R$15)))))*SIN($AP29))/SIN($AQ29))^2)*(4+$AM$105*(4-3*(1-((COS((ATAN((1-$AM$105)*TAN(RADIANS($H$14)))))*COS((ATAN((1-$AM$105)*TAN(RADIANS($R$15)))))*SIN($AP29))/SIN($AQ29))^2)))))*$AM$105*((COS((ATAN((1-$AM$105)*TAN(RADIANS($H$14)))))*COS((ATAN((1-$AM$105)*TAN(RADIANS($R$15)))))*SIN($AP29))/SIN($AQ29))*($AQ29+($AM$105/16*(1-((COS((ATAN((1-$AM$105)*TAN(RADIANS($H$14)))))*COS((ATAN((1-$AM$105)*TAN(RADIANS($R$15)))))*SIN($AP29))/SIN($AQ29))^2)*(4+$AM$105*(4-3*(1-((COS((ATAN((1-$AM$105)*TAN(RADIANS($H$14)))))*COS((ATAN((1-$AM$105)*TAN(RADIANS($R$15)))))*SIN($AP29))/SIN($AQ29))^2))))*SIN($AQ29)*((COS($AQ29)-2*SIN((ATAN((1-$AM$105)*TAN(RADIANS($H$14)))))*SIN((ATAN((1-$AM$105)*TAN(RADIANS($R$15)))))/(1-((COS((ATAN((1-$AM$105)*TAN(RADIANS($H$14)))))*COS((ATAN((1-$AM$105)*TAN(RADIANS($R$15)))))*SIN($AP29))/SIN($AQ29))^2))+($AM$105/16*(1-((COS((ATAN((1-$AM$105)*TAN(RADIANS($H$14)))))*COS((ATAN((1-$AM$105)*TAN(RADIANS($R$15)))))*SIN($AP29))/SIN($AQ29))^2)*(4+$AM$105*(4-3*(1-((COS((ATAN((1-$AM$105)*TAN(RADIANS($H$14)))))*COS((ATAN((1-$AM$105)*TAN(RADIANS($R$15)))))*SIN($AP29))/SIN($AQ29))^2))))*COS($AQ29)*(-1+2*(COS($AQ29)-2*SIN((ATAN((1-$AM$105)*TAN(RADIANS($H$14)))))*SIN((ATAN((1-$AM$105)*TAN(RADIANS($R$15)))))/(1-((COS((ATAN((1-$AM$105)*TAN(RADIANS($H$14)))))*COS((ATAN((1-$AM$105)*TAN(RADIANS($R$15)))))*SIN($AP29))/SIN($AQ29))^2))^2))))</f>
        <v>#DIV/0!</v>
      </c>
      <c r="AS29" s="802" t="e">
        <f>ATAN2((SIN((ATAN((1-$AM$105)*TAN(RADIANS($H$14)))))*SIN((ATAN((1-$AM$105)*TAN(RADIANS($R$15)))))+COS((ATAN((1-$AM$105)*TAN(RADIANS($H$14)))))*COS((ATAN((1-$AM$105)*TAN(RADIANS($R$15)))))*COS($AR29)),(((COS((ATAN((1-$AM$105)*TAN(RADIANS($R$15)))))*SIN($AR29))^2+(COS((ATAN((1-$AM$105)*TAN(RADIANS($H$14)))))*SIN((ATAN((1-$AM$105)*TAN(RADIANS($R$15)))))-SIN((ATAN((1-$AM$105)*TAN(RADIANS($H$14)))))*COS((ATAN((1-$AM$105)*TAN(RADIANS($R$15)))))*COS($AR29))^2)^0.5))</f>
        <v>#DIV/0!</v>
      </c>
      <c r="AT29" s="801" t="e">
        <f>((RADIANS(-$S$15)-RADIANS(-$I$14))+(1-($AM$105/16*(1-((COS((ATAN((1-$AM$105)*TAN(RADIANS($H$14)))))*COS((ATAN((1-$AM$105)*TAN(RADIANS($R$15)))))*SIN($AR29))/SIN($AS29))^2)*(4+$AM$105*(4-3*(1-((COS((ATAN((1-$AM$105)*TAN(RADIANS($H$14)))))*COS((ATAN((1-$AM$105)*TAN(RADIANS($R$15)))))*SIN($AR29))/SIN($AS29))^2)))))*$AM$105*((COS((ATAN((1-$AM$105)*TAN(RADIANS($H$14)))))*COS((ATAN((1-$AM$105)*TAN(RADIANS($R$15)))))*SIN($AR29))/SIN($AS29))*($AS29+($AM$105/16*(1-((COS((ATAN((1-$AM$105)*TAN(RADIANS($H$14)))))*COS((ATAN((1-$AM$105)*TAN(RADIANS($R$15)))))*SIN($AR29))/SIN($AS29))^2)*(4+$AM$105*(4-3*(1-((COS((ATAN((1-$AM$105)*TAN(RADIANS($H$14)))))*COS((ATAN((1-$AM$105)*TAN(RADIANS($R$15)))))*SIN($AR29))/SIN($AS29))^2))))*SIN($AS29)*((COS($AS29)-2*SIN((ATAN((1-$AM$105)*TAN(RADIANS($H$14)))))*SIN((ATAN((1-$AM$105)*TAN(RADIANS($R$15)))))/(1-((COS((ATAN((1-$AM$105)*TAN(RADIANS($H$14)))))*COS((ATAN((1-$AM$105)*TAN(RADIANS($R$15)))))*SIN($AR29))/SIN($AS29))^2))+($AM$105/16*(1-((COS((ATAN((1-$AM$105)*TAN(RADIANS($H$14)))))*COS((ATAN((1-$AM$105)*TAN(RADIANS($R$15)))))*SIN($AR29))/SIN($AS29))^2)*(4+$AM$105*(4-3*(1-((COS((ATAN((1-$AM$105)*TAN(RADIANS($H$14)))))*COS((ATAN((1-$AM$105)*TAN(RADIANS($R$15)))))*SIN($AR29))/SIN($AS29))^2))))*COS($AS29)*(-1+2*(COS($AS29)-2*SIN((ATAN((1-$AM$105)*TAN(RADIANS($H$14)))))*SIN((ATAN((1-$AM$105)*TAN(RADIANS($R$15)))))/(1-((COS((ATAN((1-$AM$105)*TAN(RADIANS($H$14)))))*COS((ATAN((1-$AM$105)*TAN(RADIANS($R$15)))))*SIN($AR29))/SIN($AS29))^2))^2))))</f>
        <v>#DIV/0!</v>
      </c>
      <c r="AU29" s="400" t="e">
        <f>($AM$104*((1+1/4*(((1+((1-((COS((ATAN((1-$AM$105)*TAN(RADIANS($H$14)))))*COS((ATAN((1-$AM$105)*TAN(RADIANS($R$15)))))*SIN($AT29))/SIN($AS29))^2)*$AM$109))^0.5-1)/((1+((1-((COS((ATAN((1-$AM$105)*TAN(RADIANS($H$14)))))*COS((ATAN((1-$AM$105)*TAN(RADIANS($R$15)))))*SIN($AT29))/SIN($AS29))^2)*$AM$109))^0.5+1))^2)/(1-((1+((1-((COS((ATAN((1-$AM$105)*TAN(RADIANS($H$14)))))*COS((ATAN((1-$AM$105)*TAN(RADIANS($R$15)))))*SIN($AT29))/SIN($AS29))^2)*$AM$109))^0.5-1)/((1+((1-((COS((ATAN((1-$AM$105)*TAN(RADIANS($H$14)))))*COS((ATAN((1-$AM$105)*TAN(RADIANS($R$15)))))*SIN($AT29))/SIN($AS29))^2)*$AM$109))^0.5+1)))*($AS29-((((1+((1-((COS((ATAN((1-$AM$105)*TAN(RADIANS($H$14)))))*COS((ATAN((1-$AM$105)*TAN(RADIANS($R$15)))))*SIN($AT29))/SIN($AS29))^2)*$AM$109))^0.5-1)/((1+((1-((COS((ATAN((1-$AM$105)*TAN(RADIANS($H$14)))))*COS((ATAN((1-$AM$105)*TAN(RADIANS($R$15)))))*SIN($AT29))/SIN($AS29))^2)*$AM$109))^0.5+1)*(1-3/8*(((1+((1-((COS((ATAN((1-$AM$105)*TAN(RADIANS($H$14)))))*COS((ATAN((1-$AM$105)*TAN(RADIANS($R$15)))))*SIN($AT29))/SIN($AS29))^2)*$AM$109))^0.5-1)/((1+((1-((COS((ATAN((1-$AM$105)*TAN(RADIANS($H$14)))))*COS((ATAN((1-$AM$105)*TAN(RADIANS($R$15)))))*SIN($AT29))/SIN($AS29))^2)*$AM$109))^0.5+1))^2))*(((COS((ATAN((1-$AM$105)*TAN(RADIANS($R$15)))))*SIN($AT29))^2+(COS((ATAN((1-$AM$105)*TAN(RADIANS($H$14)))))*SIN((ATAN((1-$AM$105)*TAN(RADIANS($R$15)))))-SIN((ATAN((1-$AM$105)*TAN(RADIANS($H$14)))))*COS((ATAN((1-$AM$105)*TAN(RADIANS($R$15)))))*COS($AT29))^2)^0.5)*((COS($AS29)-2*SIN((ATAN((1-$AM$105)*TAN(RADIANS($H$14)))))*SIN((ATAN((1-$AM$105)*TAN(RADIANS($R$15)))))/(1-((COS((ATAN((1-$AM$105)*TAN(RADIANS($H$14)))))*COS((ATAN((1-$AM$105)*TAN(RADIANS($R$15)))))*SIN($AT29))/SIN($AS29))^2))+1/4*(((1+((1-((COS((ATAN((1-$AM$105)*TAN(RADIANS($H$14)))))*COS((ATAN((1-$AM$105)*TAN(RADIANS($R$15)))))*SIN($AT29))/SIN($AS29))^2)*$AM$109))^0.5-1)/((1+((1-((COS((ATAN((1-$AM$105)*TAN(RADIANS($H$14)))))*COS((ATAN((1-$AM$105)*TAN(RADIANS($R$15)))))*SIN($AT29))/SIN($AS29))^2)*$AM$109))^0.5+1)*(1-3/8*(((1+((1-((COS((ATAN((1-$AM$105)*TAN(RADIANS($H$14)))))*COS((ATAN((1-$AM$105)*TAN(RADIANS($R$15)))))*SIN($AT29))/SIN($AS29))^2)*$AM$109))^0.5-1)/((1+((1-((COS((ATAN((1-$AM$105)*TAN(RADIANS($H$14)))))*COS((ATAN((1-$AM$105)*TAN(RADIANS($R$15)))))*SIN($AT29))/SIN($AS29))^2)*$AM$109))^0.5+1))^2))*(SIN((ATAN((1-$AM$105)*TAN(RADIANS($H$14)))))*SIN((ATAN((1-$AM$105)*TAN(RADIANS($R$15)))))+COS((ATAN((1-$AM$105)*TAN(RADIANS($H$14)))))*COS((ATAN((1-$AM$105)*TAN(RADIANS($R$15)))))*COS($AT29))*(-1+2*(COS($AS29)-2*SIN((ATAN((1-$AM$105)*TAN(RADIANS($H$14)))))*SIN((ATAN((1-$AM$105)*TAN(RADIANS($R$15)))))/(1-((COS((ATAN((1-$AM$105)*TAN(RADIANS($H$14)))))*COS((ATAN((1-$AM$105)*TAN(RADIANS($R$15)))))*SIN($AT29))/SIN($AS29))^2)))))))</f>
        <v>#DIV/0!</v>
      </c>
      <c r="AV29" s="801" t="e">
        <f>ATAN2((COS((ATAN((1-$AM$105)*TAN(RADIANS($H$14)))))*SIN((ATAN((1-$AM$105)*TAN(RADIANS($R$15)))))-SIN((ATAN((1-$AM$105)*TAN(RADIANS($H$14)))))*COS((ATAN((1-$AM$105)*TAN(RADIANS($R$15)))))*COS($AT29)),(COS((ATAN((1-$AM$105)*TAN(RADIANS($R$15)))))*SIN($AT29)))</f>
        <v>#DIV/0!</v>
      </c>
      <c r="AW29" s="801" t="e">
        <f>ATAN2((COS((ATAN((1-$AM$105)*TAN(RADIANS($H$14)))))*SIN((ATAN((1-$AM$105)*TAN(RADIANS($R$15)))))*COS($AT29)-SIN((ATAN((1-$AM$105)*TAN(RADIANS($H$14)))))*COS((ATAN((1-$AM$105)*TAN(RADIANS($R$15)))))),(COS((ATAN((1-$AM$105)*TAN(RADIANS($H$14)))))*SIN($AT29)))</f>
        <v>#DIV/0!</v>
      </c>
      <c r="AX29" s="616" t="str">
        <f>IF(AND(ISNUMBER($R$14),ISNUMBER($R$15)),$AM$103*(1-$AM$108)^0.5/(1-$AM$108*SIN(RADIANS(AVERAGE($R$14,$R$15)))^2),"")</f>
        <v/>
      </c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</row>
    <row r="30" spans="2:118" ht="15" customHeight="1" x14ac:dyDescent="0.25">
      <c r="B30" s="43"/>
      <c r="R30" s="342"/>
      <c r="S30" s="342"/>
      <c r="T30" s="54"/>
      <c r="U30" s="54"/>
      <c r="Y30" s="5"/>
      <c r="Z30" s="5"/>
      <c r="AA30" s="5"/>
      <c r="AB30" s="5"/>
      <c r="AE30" s="402"/>
      <c r="AF30" s="56" t="s">
        <v>20</v>
      </c>
      <c r="AG30" s="236" t="s">
        <v>54</v>
      </c>
      <c r="AH30" s="56" t="s">
        <v>20</v>
      </c>
      <c r="AI30" s="236" t="s">
        <v>54</v>
      </c>
      <c r="AJ30" s="740" t="s">
        <v>20</v>
      </c>
      <c r="AK30" s="61" t="s">
        <v>54</v>
      </c>
      <c r="AL30" s="5"/>
      <c r="AM30" s="313" t="s">
        <v>271</v>
      </c>
      <c r="AN30" s="801" t="e">
        <f>(RADIANS(-$S$15)-RADIANS(-$I$15))</f>
        <v>#DIV/0!</v>
      </c>
      <c r="AO30" s="802" t="e">
        <f>ATAN2((SIN((ATAN((1-$AM$105)*TAN(RADIANS($H$15)))))*SIN((ATAN((1-$AM$105)*TAN(RADIANS($R$15)))))+COS((ATAN((1-$AM$105)*TAN(RADIANS($H$15)))))*COS((ATAN((1-$AM$105)*TAN(RADIANS($R$15)))))*COS($AN30)),(((COS((ATAN((1-$AM$105)*TAN(RADIANS($R$15)))))*SIN($AN30))^2+(COS((ATAN((1-$AM$105)*TAN(RADIANS($H$15)))))*SIN((ATAN((1-$AM$105)*TAN(RADIANS($R$15)))))-SIN((ATAN((1-$AM$105)*TAN(RADIANS($H$15)))))*COS((ATAN((1-$AM$105)*TAN(RADIANS($R$15)))))*COS($AN30))^2)^0.5))</f>
        <v>#DIV/0!</v>
      </c>
      <c r="AP30" s="342" t="e">
        <f>((RADIANS(-$S$15)-RADIANS(-$I$15))+(1-($AM$105/16*(1-((COS((ATAN((1-$AM$105)*TAN(RADIANS($H$15)))))*COS((ATAN((1-$AM$105)*TAN(RADIANS($R$15)))))*SIN($AN30))/SIN($AO30))^2)*(4+$AM$105*(4-3*(1-((COS((ATAN((1-$AM$105)*TAN(RADIANS($H$15)))))*COS((ATAN((1-$AM$105)*TAN(RADIANS($R$15)))))*SIN($AN30))/SIN($AO30))^2)))))*$AM$105*((COS((ATAN((1-$AM$105)*TAN(RADIANS($H$15)))))*COS((ATAN((1-$AM$105)*TAN(RADIANS($R$15)))))*SIN($AN30))/SIN($AO30))*($AO30+($AM$105/16*(1-((COS((ATAN((1-$AM$105)*TAN(RADIANS($H$15)))))*COS((ATAN((1-$AM$105)*TAN(RADIANS($R$15)))))*SIN($AN30))/SIN($AO30))^2)*(4+$AM$105*(4-3*(1-((COS((ATAN((1-$AM$105)*TAN(RADIANS($H$15)))))*COS((ATAN((1-$AM$105)*TAN(RADIANS($R$15)))))*SIN($AN30))/SIN($AO30))^2))))*SIN($AO30)*((COS($AO30)-2*SIN((ATAN((1-$AM$105)*TAN(RADIANS($H$15)))))*SIN((ATAN((1-$AM$105)*TAN(RADIANS($R$15)))))/(1-((COS((ATAN((1-$AM$105)*TAN(RADIANS($H$15)))))*COS((ATAN((1-$AM$105)*TAN(RADIANS($R$15)))))*SIN($AN30))/SIN($AO30))^2))+($AM$105/16*(1-((COS((ATAN((1-$AM$105)*TAN(RADIANS($H$15)))))*COS((ATAN((1-$AM$105)*TAN(RADIANS($R$15)))))*SIN($AN30))/SIN($AO30))^2)*(4+$AM$105*(4-3*(1-((COS((ATAN((1-$AM$105)*TAN(RADIANS($H$15)))))*COS((ATAN((1-$AM$105)*TAN(RADIANS($R$15)))))*SIN($AN30))/SIN($AO30))^2))))*COS($AO30)*(-1+2*(COS($AO30)-2*SIN((ATAN((1-$AM$105)*TAN(RADIANS($H$15)))))*SIN((ATAN((1-$AM$105)*TAN(RADIANS($R$15)))))/(1-((COS((ATAN((1-$AM$105)*TAN(RADIANS($H$15)))))*COS((ATAN((1-$AM$105)*TAN(RADIANS($R$15)))))*SIN($AN30))/SIN($AO30))^2))^2))))</f>
        <v>#DIV/0!</v>
      </c>
      <c r="AQ30" s="802" t="e">
        <f>ATAN2((SIN((ATAN((1-$AM$105)*TAN(RADIANS($H$15)))))*SIN((ATAN((1-$AM$105)*TAN(RADIANS($R$15)))))+COS((ATAN((1-$AM$105)*TAN(RADIANS($H$15)))))*COS((ATAN((1-$AM$105)*TAN(RADIANS($R$15)))))*COS($AP30)),(((COS((ATAN((1-$AM$105)*TAN(RADIANS($R$15)))))*SIN($AP30))^2+(COS((ATAN((1-$AM$105)*TAN(RADIANS($H$15)))))*SIN((ATAN((1-$AM$105)*TAN(RADIANS($R$15)))))-SIN((ATAN((1-$AM$105)*TAN(RADIANS($H$15)))))*COS((ATAN((1-$AM$105)*TAN(RADIANS($R$15)))))*COS($AP30))^2)^0.5))</f>
        <v>#DIV/0!</v>
      </c>
      <c r="AR30" s="342" t="e">
        <f>((RADIANS(-$S$15)-RADIANS(-$I$15))+(1-($AM$105/16*(1-((COS((ATAN((1-$AM$105)*TAN(RADIANS($H$15)))))*COS((ATAN((1-$AM$105)*TAN(RADIANS($R$15)))))*SIN($AP30))/SIN($AQ30))^2)*(4+$AM$105*(4-3*(1-((COS((ATAN((1-$AM$105)*TAN(RADIANS($H$15)))))*COS((ATAN((1-$AM$105)*TAN(RADIANS($R$15)))))*SIN($AP30))/SIN($AQ30))^2)))))*$AM$105*((COS((ATAN((1-$AM$105)*TAN(RADIANS($H$15)))))*COS((ATAN((1-$AM$105)*TAN(RADIANS($R$15)))))*SIN($AP30))/SIN($AQ30))*($AQ30+($AM$105/16*(1-((COS((ATAN((1-$AM$105)*TAN(RADIANS($H$15)))))*COS((ATAN((1-$AM$105)*TAN(RADIANS($R$15)))))*SIN($AP30))/SIN($AQ30))^2)*(4+$AM$105*(4-3*(1-((COS((ATAN((1-$AM$105)*TAN(RADIANS($H$15)))))*COS((ATAN((1-$AM$105)*TAN(RADIANS($R$15)))))*SIN($AP30))/SIN($AQ30))^2))))*SIN($AQ30)*((COS($AQ30)-2*SIN((ATAN((1-$AM$105)*TAN(RADIANS($H$15)))))*SIN((ATAN((1-$AM$105)*TAN(RADIANS($R$15)))))/(1-((COS((ATAN((1-$AM$105)*TAN(RADIANS($H$15)))))*COS((ATAN((1-$AM$105)*TAN(RADIANS($R$15)))))*SIN($AP30))/SIN($AQ30))^2))+($AM$105/16*(1-((COS((ATAN((1-$AM$105)*TAN(RADIANS($H$15)))))*COS((ATAN((1-$AM$105)*TAN(RADIANS($R$15)))))*SIN($AP30))/SIN($AQ30))^2)*(4+$AM$105*(4-3*(1-((COS((ATAN((1-$AM$105)*TAN(RADIANS($H$15)))))*COS((ATAN((1-$AM$105)*TAN(RADIANS($R$15)))))*SIN($AP30))/SIN($AQ30))^2))))*COS($AQ30)*(-1+2*(COS($AQ30)-2*SIN((ATAN((1-$AM$105)*TAN(RADIANS($H$15)))))*SIN((ATAN((1-$AM$105)*TAN(RADIANS($R$15)))))/(1-((COS((ATAN((1-$AM$105)*TAN(RADIANS($H$15)))))*COS((ATAN((1-$AM$105)*TAN(RADIANS($R$15)))))*SIN($AP30))/SIN($AQ30))^2))^2))))</f>
        <v>#DIV/0!</v>
      </c>
      <c r="AS30" s="802" t="e">
        <f>ATAN2((SIN((ATAN((1-$AM$105)*TAN(RADIANS($H$15)))))*SIN((ATAN((1-$AM$105)*TAN(RADIANS($R$15)))))+COS((ATAN((1-$AM$105)*TAN(RADIANS($H$15)))))*COS((ATAN((1-$AM$105)*TAN(RADIANS($R$15)))))*COS($AR30)),(((COS((ATAN((1-$AM$105)*TAN(RADIANS($R$15)))))*SIN($AR30))^2+(COS((ATAN((1-$AM$105)*TAN(RADIANS($H$15)))))*SIN((ATAN((1-$AM$105)*TAN(RADIANS($R$15)))))-SIN((ATAN((1-$AM$105)*TAN(RADIANS($H$15)))))*COS((ATAN((1-$AM$105)*TAN(RADIANS($R$15)))))*COS($AR30))^2)^0.5))</f>
        <v>#DIV/0!</v>
      </c>
      <c r="AT30" s="801" t="e">
        <f>((RADIANS(-$S$15)-RADIANS(-$I$15))+(1-($AM$105/16*(1-((COS((ATAN((1-$AM$105)*TAN(RADIANS($H$15)))))*COS((ATAN((1-$AM$105)*TAN(RADIANS($R$15)))))*SIN($AR30))/SIN($AS30))^2)*(4+$AM$105*(4-3*(1-((COS((ATAN((1-$AM$105)*TAN(RADIANS($H$15)))))*COS((ATAN((1-$AM$105)*TAN(RADIANS($R$15)))))*SIN($AR30))/SIN($AS30))^2)))))*$AM$105*((COS((ATAN((1-$AM$105)*TAN(RADIANS($H$15)))))*COS((ATAN((1-$AM$105)*TAN(RADIANS($R$15)))))*SIN($AR30))/SIN($AS30))*($AS30+($AM$105/16*(1-((COS((ATAN((1-$AM$105)*TAN(RADIANS($H$15)))))*COS((ATAN((1-$AM$105)*TAN(RADIANS($R$15)))))*SIN($AR30))/SIN($AS30))^2)*(4+$AM$105*(4-3*(1-((COS((ATAN((1-$AM$105)*TAN(RADIANS($H$15)))))*COS((ATAN((1-$AM$105)*TAN(RADIANS($R$15)))))*SIN($AR30))/SIN($AS30))^2))))*SIN($AS30)*((COS($AS30)-2*SIN((ATAN((1-$AM$105)*TAN(RADIANS($H$15)))))*SIN((ATAN((1-$AM$105)*TAN(RADIANS($R$15)))))/(1-((COS((ATAN((1-$AM$105)*TAN(RADIANS($H$15)))))*COS((ATAN((1-$AM$105)*TAN(RADIANS($R$15)))))*SIN($AR30))/SIN($AS30))^2))+($AM$105/16*(1-((COS((ATAN((1-$AM$105)*TAN(RADIANS($H$15)))))*COS((ATAN((1-$AM$105)*TAN(RADIANS($R$15)))))*SIN($AR30))/SIN($AS30))^2)*(4+$AM$105*(4-3*(1-((COS((ATAN((1-$AM$105)*TAN(RADIANS($H$15)))))*COS((ATAN((1-$AM$105)*TAN(RADIANS($R$15)))))*SIN($AR30))/SIN($AS30))^2))))*COS($AS30)*(-1+2*(COS($AS30)-2*SIN((ATAN((1-$AM$105)*TAN(RADIANS($H$15)))))*SIN((ATAN((1-$AM$105)*TAN(RADIANS($R$15)))))/(1-((COS((ATAN((1-$AM$105)*TAN(RADIANS($H$15)))))*COS((ATAN((1-$AM$105)*TAN(RADIANS($R$15)))))*SIN($AR30))/SIN($AS30))^2))^2))))</f>
        <v>#DIV/0!</v>
      </c>
      <c r="AU30" s="400" t="e">
        <f>($AM$104*((1+1/4*(((1+((1-((COS((ATAN((1-$AM$105)*TAN(RADIANS($H$15)))))*COS((ATAN((1-$AM$105)*TAN(RADIANS($R$15)))))*SIN($AT30))/SIN($AS30))^2)*$AM$109))^0.5-1)/((1+((1-((COS((ATAN((1-$AM$105)*TAN(RADIANS($H$15)))))*COS((ATAN((1-$AM$105)*TAN(RADIANS($R$15)))))*SIN($AT30))/SIN($AS30))^2)*$AM$109))^0.5+1))^2)/(1-((1+((1-((COS((ATAN((1-$AM$105)*TAN(RADIANS($H$15)))))*COS((ATAN((1-$AM$105)*TAN(RADIANS($R$15)))))*SIN($AT30))/SIN($AS30))^2)*$AM$109))^0.5-1)/((1+((1-((COS((ATAN((1-$AM$105)*TAN(RADIANS($H$15)))))*COS((ATAN((1-$AM$105)*TAN(RADIANS($R$15)))))*SIN($AT30))/SIN($AS30))^2)*$AM$109))^0.5+1)))*($AS30-((((1+((1-((COS((ATAN((1-$AM$105)*TAN(RADIANS($H$15)))))*COS((ATAN((1-$AM$105)*TAN(RADIANS($R$15)))))*SIN($AT30))/SIN($AS30))^2)*$AM$109))^0.5-1)/((1+((1-((COS((ATAN((1-$AM$105)*TAN(RADIANS($H$15)))))*COS((ATAN((1-$AM$105)*TAN(RADIANS($R$15)))))*SIN($AT30))/SIN($AS30))^2)*$AM$109))^0.5+1)*(1-3/8*(((1+((1-((COS((ATAN((1-$AM$105)*TAN(RADIANS($H$15)))))*COS((ATAN((1-$AM$105)*TAN(RADIANS($R$15)))))*SIN($AT30))/SIN($AS30))^2)*$AM$109))^0.5-1)/((1+((1-((COS((ATAN((1-$AM$105)*TAN(RADIANS($H$15)))))*COS((ATAN((1-$AM$105)*TAN(RADIANS($R$15)))))*SIN($AT30))/SIN($AS30))^2)*$AM$109))^0.5+1))^2))*(((COS((ATAN((1-$AM$105)*TAN(RADIANS($R$15)))))*SIN($AT30))^2+(COS((ATAN((1-$AM$105)*TAN(RADIANS($H$15)))))*SIN((ATAN((1-$AM$105)*TAN(RADIANS($R$15)))))-SIN((ATAN((1-$AM$105)*TAN(RADIANS($H$15)))))*COS((ATAN((1-$AM$105)*TAN(RADIANS($R$15)))))*COS($AT30))^2)^0.5)*((COS($AS30)-2*SIN((ATAN((1-$AM$105)*TAN(RADIANS($H$15)))))*SIN((ATAN((1-$AM$105)*TAN(RADIANS($R$15)))))/(1-((COS((ATAN((1-$AM$105)*TAN(RADIANS($H$15)))))*COS((ATAN((1-$AM$105)*TAN(RADIANS($R$15)))))*SIN($AT30))/SIN($AS30))^2))+1/4*(((1+((1-((COS((ATAN((1-$AM$105)*TAN(RADIANS($H$15)))))*COS((ATAN((1-$AM$105)*TAN(RADIANS($R$15)))))*SIN($AT30))/SIN($AS30))^2)*$AM$109))^0.5-1)/((1+((1-((COS((ATAN((1-$AM$105)*TAN(RADIANS($H$15)))))*COS((ATAN((1-$AM$105)*TAN(RADIANS($R$15)))))*SIN($AT30))/SIN($AS30))^2)*$AM$109))^0.5+1)*(1-3/8*(((1+((1-((COS((ATAN((1-$AM$105)*TAN(RADIANS($H$15)))))*COS((ATAN((1-$AM$105)*TAN(RADIANS($R$15)))))*SIN($AT30))/SIN($AS30))^2)*$AM$109))^0.5-1)/((1+((1-((COS((ATAN((1-$AM$105)*TAN(RADIANS($H$15)))))*COS((ATAN((1-$AM$105)*TAN(RADIANS($R$15)))))*SIN($AT30))/SIN($AS30))^2)*$AM$109))^0.5+1))^2))*(SIN((ATAN((1-$AM$105)*TAN(RADIANS($H$15)))))*SIN((ATAN((1-$AM$105)*TAN(RADIANS($R$15)))))+COS((ATAN((1-$AM$105)*TAN(RADIANS($H$15)))))*COS((ATAN((1-$AM$105)*TAN(RADIANS($R$15)))))*COS($AT30))*(-1+2*(COS($AS30)-2*SIN((ATAN((1-$AM$105)*TAN(RADIANS($H$15)))))*SIN((ATAN((1-$AM$105)*TAN(RADIANS($R$15)))))/(1-((COS((ATAN((1-$AM$105)*TAN(RADIANS($H$15)))))*COS((ATAN((1-$AM$105)*TAN(RADIANS($R$15)))))*SIN($AT30))/SIN($AS30))^2)))))))</f>
        <v>#DIV/0!</v>
      </c>
      <c r="AV30" s="801" t="e">
        <f>ATAN2((COS((ATAN((1-$AM$105)*TAN(RADIANS($H$15)))))*SIN((ATAN((1-$AM$105)*TAN(RADIANS($R$15)))))-SIN((ATAN((1-$AM$105)*TAN(RADIANS($H$15)))))*COS((ATAN((1-$AM$105)*TAN(RADIANS($R$15)))))*COS($AT30)),(COS((ATAN((1-$AM$105)*TAN(RADIANS($R$15)))))*SIN($AT30)))</f>
        <v>#DIV/0!</v>
      </c>
      <c r="AW30" s="801" t="e">
        <f>ATAN2((COS((ATAN((1-$AM$105)*TAN(RADIANS($H$15)))))*SIN((ATAN((1-$AM$105)*TAN(RADIANS($R$15)))))*COS($AT30)-SIN((ATAN((1-$AM$105)*TAN(RADIANS($H$15)))))*COS((ATAN((1-$AM$105)*TAN(RADIANS($R$15)))))),(COS((ATAN((1-$AM$105)*TAN(RADIANS($H$15)))))*SIN($AT30)))</f>
        <v>#DIV/0!</v>
      </c>
      <c r="AX30" s="616" t="str">
        <f>IF(AND(ISNUMBER($R$14),ISNUMBER($R$15)),$AM$103*(1-$AM$108)^0.5/(1-$AM$108*SIN(RADIANS(AVERAGE($R$14,$R$15)))^2),"")</f>
        <v/>
      </c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</row>
    <row r="31" spans="2:118" ht="15" customHeight="1" x14ac:dyDescent="0.25">
      <c r="B31" s="43"/>
      <c r="R31" s="342"/>
      <c r="S31" s="342"/>
      <c r="T31" s="54"/>
      <c r="U31" s="54"/>
      <c r="Y31" s="5"/>
      <c r="Z31" s="5"/>
      <c r="AA31" s="5"/>
      <c r="AB31" s="5"/>
      <c r="AE31" s="701" t="s">
        <v>272</v>
      </c>
      <c r="AF31" s="704" t="e">
        <f>ROUND(DEGREES($AU38),7)</f>
        <v>#DIV/0!</v>
      </c>
      <c r="AG31" s="705" t="e">
        <f>ROUND(DEGREES(-$AV38),7)</f>
        <v>#DIV/0!</v>
      </c>
      <c r="AH31" s="704" t="e">
        <f>ROUND(DEGREES((((0+($U$7+$AU8)/$AP$106)/($AM$103*(1-$AM$108/4-3*$AM$108^2/64-5*$AM$108^3/256)))+(3*((1-(1-$AM$108)^0.5)/(1+(1-$AM$108)^0.5))/2-27*((1-(1-$AM$108)^0.5)/(1+(1-$AM$108)^0.5))^3/32)*SIN(2*((0+($U$7+$AU8)/$AP$106)/($AM$103*(1-$AM$108/4-3*$AM$108^2/64-5*$AM$108^3/256))))+(21*((1-(1-$AM$108)^0.5)/(1+(1-$AM$108)^0.5))^2/16-55*((1-(1-$AM$108)^0.5)/(1+(1-$AM$108)^0.5))^4/32)*SIN(4*((0+($U$7+$AU8)/$AP$106)/($AM$103*(1-$AM$108/4-3*$AM$108^2/64-5*$AM$108^3/256))))+(151*((1-(1-$AM$108)^0.5)/(1+(1-$AM$108)^0.5))^3/96)*SIN(6*((0+($U$7+$AU8)/$AP$106)/($AM$103*(1-$AM$108/4-3*$AM$108^2/64-5*$AM$108^3/256))))+(1097*((1-(1-$AM$108)^0.5)/(1+(1-$AM$108)^0.5))^4/512)*SIN(8*((0+($U$7+$AU8)/$AP$106)/($AM$103*(1-$AM$108/4-3*$AM$108^2/64-5*$AM$108^3/256)))))-(($AM$103/(1-$AM$108*SIN($AS8)^2)^0.5)*TAN((((0+($U$7+$AU8)/$AP$106)/($AM$103*(1-$AM$108/4-3*$AM$108^2/64-5*$AM$108^3/256)))+(3*((1-(1-$AM$108)^0.5)/(1+(1-$AM$108)^0.5))/2-27*((1-(1-$AM$108)^0.5)/(1+(1-$AM$108)^0.5))^3/32)*SIN(2*((0+($U$7+$AU8)/$AP$106)/($AM$103*(1-$AM$108/4-3*$AM$108^2/64-5*$AM$108^3/256))))+(21*((1-(1-$AM$108)^0.5)/(1+(1-$AM$108)^0.5))^2/16-55*((1-(1-$AM$108)^0.5)/(1+(1-$AM$108)^0.5))^4/32)*SIN(4*((0+($U$7+$AU8)/$AP$106)/($AM$103*(1-$AM$108/4-3*$AM$108^2/64-5*$AM$108^3/256))))+(151*((1-(1-$AM$108)^0.5)/(1+(1-$AM$108)^0.5))^3/96)*SIN(6*((0+($U$7+$AU8)/$AP$106)/($AM$103*(1-$AM$108/4-3*$AM$108^2/64-5*$AM$108^3/256))))+(1097*((1-(1-$AM$108)^0.5)/(1+(1-$AM$108)^0.5))^4/512)*SIN(8*((0+($U$7+$AU8)/$AP$106)/($AM$103*(1-$AM$108/4-3*$AM$108^2/64-5*$AM$108^3/256))))))/($AM$103*(1-$AM$108)/(1-$AM$108*SIN($AS8)^2)^1.5))*(((($T$7+$AT8)-$AP$104)/(($AM$103/(1-$AM$108*SIN($AS8)^2)^0.5)*$AP$106))^2/2-(5+3*(TAN($AS8)^2)+10*($AM$109*COS($AS8)^2)-4*($AM$109*COS($AS8)^2)^2-9*$AM$109)*((($T$7+$AT8)-$AP$104)/(($AM$103/(1-$AM$108*SIN($AS8)^2)^0.5)*$AP$106))^4/24+(61+90*(TAN($AS8)^2)+298*($AM$109*COS($AS8)^2)+45*(TAN($AS8)^2)^2-252*$AM$109-3*($AM$109*COS($AS8)^2)^2)*((($T$7+$AT8)-$AP$104)/(($AM$103/(1-$AM$108*SIN($AS8)^2)^0.5)*$AP$106))^6/720)),7)</f>
        <v>#VALUE!</v>
      </c>
      <c r="AI31" s="705" t="e">
        <f>ROUND(DEGREES(RADIANS($AP$103)-(((($T$7+$AT8)-$AP$104)/(($AM$103/(1-$AM$108*SIN($AS8)^2)^0.5)*$AP$106))-(1+2*(TAN($AS8)^2)+($AM$109*COS($AS8)^2))*((($T$7+$AT8)-$AP$104)/(($AM$103/(1-$AM$108*SIN($AS8)^2)^0.5)*$AP$106))^3/6+(5-2*($AM$109*COS($AS8)^2)+28*(TAN($AS8)^2)-3*($AM$109*COS($AS8)^2)^2+8*$AM$109+24*(TAN($AS8)^2)^2)*((($T$7+$AT8)-$AP$104)/(($AM$103/(1-$AM$108*SIN($AS8)^2)^0.5)*$AP$106))^5/120)/COS((((0+($U$7+$AU8)/$AP$106)/($AM$103*(1-$AM$108/4-3*$AM$108^2/64-5*$AM$108^3/256)))+(3*((1-(1-$AM$108)^0.5)/(1+(1-$AM$108)^0.5))/2-27*((1-(1-$AM$108)^0.5)/(1+(1-$AM$108)^0.5))^3/32)*SIN(2*((0+($U$7+$AU8)/$AP$106)/($AM$103*(1-$AM$108/4-3*$AM$108^2/64-5*$AM$108^3/256))))+(21*((1-(1-$AM$108)^0.5)/(1+(1-$AM$108)^0.5))^2/16-55*((1-(1-$AM$108)^0.5)/(1+(1-$AM$108)^0.5))^4/32)*SIN(4*((0+($U$7+$AU8)/$AP$106)/($AM$103*(1-$AM$108/4-3*$AM$108^2/64-5*$AM$108^3/256))))+(151*((1-(1-$AM$108)^0.5)/(1+(1-$AM$108)^0.5))^3/96)*SIN(6*((0+($U$7+$AU8)/$AP$106)/($AM$103*(1-$AM$108/4-3*$AM$108^2/64-5*$AM$108^3/256))))+(1097*((1-(1-$AM$108)^0.5)/(1+(1-$AM$108)^0.5))^4/512)*SIN(8*((0+($U$7+$AU8)/$AP$106)/($AM$103*(1-$AM$108/4-3*$AM$108^2/64-5*$AM$108^3/256))))))),7)</f>
        <v>#VALUE!</v>
      </c>
      <c r="AJ31" s="697" t="e">
        <f>IF(AND(ISNUMBER($E8),ISNUMBER($G8),ISNUMBER($R$14),ISNUMBER($S$14)),ROUND(IF($C$17=2,($AN$75+((($U15*1200/3937)-$AN$79)-(($T15*1200/3937)-$AN$72)*TAN(ATAN2(($AN$78-(($U15*1200/3937)-$AN$79)),(($T15*1200/3937)-$AN$72))/2))*($AN$92+((($U15*1200/3937)-$AN$79)-(($T15*1200/3937)-$AN$72)*TAN(ATAN2(($AN$78-(($U15*1200/3937)-$AN$79)),(($T15*1200/3937)-$AN$72))/2))*($AN$93+((($U15*1200/3937)-$AN$79)-(($T15*1200/3937)-$AN$72)*TAN(ATAN2(($AN$78-(($U15*1200/3937)-$AN$79)),(($T15*1200/3937)-$AN$72))/2))*($AN$94+((($U15*1200/3937)-$AN$79)-(($T15*1200/3937)-$AN$72)*TAN(ATAN2(($AN$78-(($U15*1200/3937)-$AN$79)),(($T15*1200/3937)-$AN$72))/2))*$AN$95)))),IF($C$17=1,($AO$75+((($U15*1200/3937)-$AO$79)-(($T15*1200/3937)-$AO$72)*TAN(ATAN2(($AO$78-(($U15*1200/3937)-$AO$79)),(($T15*1200/3937)-$AO$72))/2))*($AO$92+((($U15*1200/3937)-$AO$79)-(($T15*1200/3937)-$AO$72)*TAN(ATAN2(($AO$78-(($U15*1200/3937)-$AO$79)),(($T15*1200/3937)-$AO$72))/2))*($AO$93+((($U15*1200/3937)-$AO$79)-(($T15*1200/3937)-$AO$72)*TAN(ATAN2(($AO$78-(($U15*1200/3937)-$AO$79)),(($T15*1200/3937)-$AO$72))/2))*($AO$94+((($U15*1200/3937)-$AO$79)-(($T15*1200/3937)-$AO$72)*TAN(ATAN2(($AO$78-(($U15*1200/3937)-$AO$79)),(($T15*1200/3937)-$AO$72))/2))*$AO$95)))),($AM$75+((($U15*1200/3937)-$AM$79)-(($T15*1200/3937)-$AM$72)*TAN(ATAN2(($AM$78-(($U15*1200/3937)-$AM$79)),(($T15*1200/3937)-$AM$72))/2))*($AM$92+((($U15*1200/3937)-$AM$79)-(($T15*1200/3937)-$AM$72)*TAN(ATAN2(($AM$78-(($U15*1200/3937)-$AM$79)),(($T15*1200/3937)-$AM$72))/2))*($AM$93+((($U15*1200/3937)-$AM$79)-(($T15*1200/3937)-$AM$72)*TAN(ATAN2(($AM$78-(($U15*1200/3937)-$AM$79)),(($T15*1200/3937)-$AM$72))/2))*($AM$94+((($U15*1200/3937)-$AM$79)-(($T15*1200/3937)-$AM$72)*TAN(ATAN2(($AM$78-(($U15*1200/3937)-$AM$79)),(($T15*1200/3937)-$AM$72))/2))*$AM$95)))))),7),"")</f>
        <v>#VALUE!</v>
      </c>
      <c r="AK31" s="699" t="e">
        <f>IF(AND(ISNUMBER($E8),ISNUMBER($G8),ISNUMBER($R$14),ISNUMBER($S$14)),ROUND(IF($C$17=2,(111.5-DEGREES(ATAN2(($AN$78-(($U15*1200/3937)-$AN$79)),(($T15*1200/3937)-$AN$72)))/$AN$76),IF($C$17=1,(111.5-DEGREES(ATAN2(($AO$78-(($U15*1200/3937)-$AO$79)),(($T15*1200/3937)-$AO$72)))/$AO$76),(111.5-DEGREES(ATAN2(($AM$78-(($U15*1200/3937)-$AM$79)),(($T15*1200/3937)-$AM$72)))/$AM$76))),7),"")</f>
        <v>#VALUE!</v>
      </c>
      <c r="AL31" s="5"/>
      <c r="AM31" s="313" t="s">
        <v>273</v>
      </c>
      <c r="AN31" s="801" t="e">
        <f>(RADIANS(-$S$16)-RADIANS(-$K$14))</f>
        <v>#DIV/0!</v>
      </c>
      <c r="AO31" s="802" t="e">
        <f>ATAN2((SIN((ATAN((1-$AM$105)*TAN(RADIANS($J$14)))))*SIN((ATAN((1-$AM$105)*TAN(RADIANS($R$16)))))+COS((ATAN((1-$AM$105)*TAN(RADIANS($J$14)))))*COS((ATAN((1-$AM$105)*TAN(RADIANS($R$16)))))*COS($AN31)),(((COS((ATAN((1-$AM$105)*TAN(RADIANS($R$16)))))*SIN($AN31))^2+(COS((ATAN((1-$AM$105)*TAN(RADIANS($J$14)))))*SIN((ATAN((1-$AM$105)*TAN(RADIANS($R$16)))))-SIN((ATAN((1-$AM$105)*TAN(RADIANS($J$14)))))*COS((ATAN((1-$AM$105)*TAN(RADIANS($R$16)))))*COS($AN31))^2)^0.5))</f>
        <v>#DIV/0!</v>
      </c>
      <c r="AP31" s="342" t="e">
        <f>((RADIANS(-$S$16)-RADIANS(-$K$14))+(1-($AM$105/16*(1-((COS((ATAN((1-$AM$105)*TAN(RADIANS($J$14)))))*COS((ATAN((1-$AM$105)*TAN(RADIANS($R$16)))))*SIN($AN31))/SIN($AO31))^2)*(4+$AM$105*(4-3*(1-((COS((ATAN((1-$AM$105)*TAN(RADIANS($J$14)))))*COS((ATAN((1-$AM$105)*TAN(RADIANS($R$16)))))*SIN($AN31))/SIN($AO31))^2)))))*$AM$105*((COS((ATAN((1-$AM$105)*TAN(RADIANS($J$14)))))*COS((ATAN((1-$AM$105)*TAN(RADIANS($R$16)))))*SIN($AN31))/SIN($AO31))*($AO31+($AM$105/16*(1-((COS((ATAN((1-$AM$105)*TAN(RADIANS($J$14)))))*COS((ATAN((1-$AM$105)*TAN(RADIANS($R$16)))))*SIN($AN31))/SIN($AO31))^2)*(4+$AM$105*(4-3*(1-((COS((ATAN((1-$AM$105)*TAN(RADIANS($J$14)))))*COS((ATAN((1-$AM$105)*TAN(RADIANS($R$16)))))*SIN($AN31))/SIN($AO31))^2))))*SIN($AO31)*((COS($AO31)-2*SIN((ATAN((1-$AM$105)*TAN(RADIANS($J$14)))))*SIN((ATAN((1-$AM$105)*TAN(RADIANS($R$16)))))/(1-((COS((ATAN((1-$AM$105)*TAN(RADIANS($J$14)))))*COS((ATAN((1-$AM$105)*TAN(RADIANS($R$16)))))*SIN($AN31))/SIN($AO31))^2))+($AM$105/16*(1-((COS((ATAN((1-$AM$105)*TAN(RADIANS($J$14)))))*COS((ATAN((1-$AM$105)*TAN(RADIANS($R$16)))))*SIN($AN31))/SIN($AO31))^2)*(4+$AM$105*(4-3*(1-((COS((ATAN((1-$AM$105)*TAN(RADIANS($J$14)))))*COS((ATAN((1-$AM$105)*TAN(RADIANS($R$16)))))*SIN($AN31))/SIN($AO31))^2))))*COS($AO31)*(-1+2*(COS($AO31)-2*SIN((ATAN((1-$AM$105)*TAN(RADIANS($J$14)))))*SIN((ATAN((1-$AM$105)*TAN(RADIANS($R$16)))))/(1-((COS((ATAN((1-$AM$105)*TAN(RADIANS($J$14)))))*COS((ATAN((1-$AM$105)*TAN(RADIANS($R$16)))))*SIN($AN31))/SIN($AO31))^2))^2))))</f>
        <v>#DIV/0!</v>
      </c>
      <c r="AQ31" s="802" t="e">
        <f>ATAN2((SIN((ATAN((1-$AM$105)*TAN(RADIANS($J$14)))))*SIN((ATAN((1-$AM$105)*TAN(RADIANS($R$16)))))+COS((ATAN((1-$AM$105)*TAN(RADIANS($J$14)))))*COS((ATAN((1-$AM$105)*TAN(RADIANS($R$16)))))*COS($AP31)),(((COS((ATAN((1-$AM$105)*TAN(RADIANS($R$16)))))*SIN($AP31))^2+(COS((ATAN((1-$AM$105)*TAN(RADIANS($J$14)))))*SIN((ATAN((1-$AM$105)*TAN(RADIANS($R$16)))))-SIN((ATAN((1-$AM$105)*TAN(RADIANS($J$14)))))*COS((ATAN((1-$AM$105)*TAN(RADIANS($R$16)))))*COS($AP31))^2)^0.5))</f>
        <v>#DIV/0!</v>
      </c>
      <c r="AR31" s="342" t="e">
        <f>((RADIANS(-$S$16)-RADIANS(-$K$14))+(1-($AM$105/16*(1-((COS((ATAN((1-$AM$105)*TAN(RADIANS($J$14)))))*COS((ATAN((1-$AM$105)*TAN(RADIANS($R$16)))))*SIN($AP31))/SIN($AQ31))^2)*(4+$AM$105*(4-3*(1-((COS((ATAN((1-$AM$105)*TAN(RADIANS($J$14)))))*COS((ATAN((1-$AM$105)*TAN(RADIANS($R$16)))))*SIN($AP31))/SIN($AQ31))^2)))))*$AM$105*((COS((ATAN((1-$AM$105)*TAN(RADIANS($J$14)))))*COS((ATAN((1-$AM$105)*TAN(RADIANS($R$16)))))*SIN($AP31))/SIN($AQ31))*($AQ31+($AM$105/16*(1-((COS((ATAN((1-$AM$105)*TAN(RADIANS($J$14)))))*COS((ATAN((1-$AM$105)*TAN(RADIANS($R$16)))))*SIN($AP31))/SIN($AQ31))^2)*(4+$AM$105*(4-3*(1-((COS((ATAN((1-$AM$105)*TAN(RADIANS($J$14)))))*COS((ATAN((1-$AM$105)*TAN(RADIANS($R$16)))))*SIN($AP31))/SIN($AQ31))^2))))*SIN($AQ31)*((COS($AQ31)-2*SIN((ATAN((1-$AM$105)*TAN(RADIANS($J$14)))))*SIN((ATAN((1-$AM$105)*TAN(RADIANS($R$16)))))/(1-((COS((ATAN((1-$AM$105)*TAN(RADIANS($J$14)))))*COS((ATAN((1-$AM$105)*TAN(RADIANS($R$16)))))*SIN($AP31))/SIN($AQ31))^2))+($AM$105/16*(1-((COS((ATAN((1-$AM$105)*TAN(RADIANS($J$14)))))*COS((ATAN((1-$AM$105)*TAN(RADIANS($R$16)))))*SIN($AP31))/SIN($AQ31))^2)*(4+$AM$105*(4-3*(1-((COS((ATAN((1-$AM$105)*TAN(RADIANS($J$14)))))*COS((ATAN((1-$AM$105)*TAN(RADIANS($R$16)))))*SIN($AP31))/SIN($AQ31))^2))))*COS($AQ31)*(-1+2*(COS($AQ31)-2*SIN((ATAN((1-$AM$105)*TAN(RADIANS($J$14)))))*SIN((ATAN((1-$AM$105)*TAN(RADIANS($R$16)))))/(1-((COS((ATAN((1-$AM$105)*TAN(RADIANS($J$14)))))*COS((ATAN((1-$AM$105)*TAN(RADIANS($R$16)))))*SIN($AP31))/SIN($AQ31))^2))^2))))</f>
        <v>#DIV/0!</v>
      </c>
      <c r="AS31" s="802" t="e">
        <f>ATAN2((SIN((ATAN((1-$AM$105)*TAN(RADIANS($J$14)))))*SIN((ATAN((1-$AM$105)*TAN(RADIANS($R$16)))))+COS((ATAN((1-$AM$105)*TAN(RADIANS($J$14)))))*COS((ATAN((1-$AM$105)*TAN(RADIANS($R$16)))))*COS($AR31)),(((COS((ATAN((1-$AM$105)*TAN(RADIANS($R$16)))))*SIN($AR31))^2+(COS((ATAN((1-$AM$105)*TAN(RADIANS($J$14)))))*SIN((ATAN((1-$AM$105)*TAN(RADIANS($R$16)))))-SIN((ATAN((1-$AM$105)*TAN(RADIANS($J$14)))))*COS((ATAN((1-$AM$105)*TAN(RADIANS($R$16)))))*COS($AR31))^2)^0.5))</f>
        <v>#DIV/0!</v>
      </c>
      <c r="AT31" s="801" t="e">
        <f>((RADIANS(-$S$16)-RADIANS(-$K$14))+(1-($AM$105/16*(1-((COS((ATAN((1-$AM$105)*TAN(RADIANS($J$14)))))*COS((ATAN((1-$AM$105)*TAN(RADIANS($R$16)))))*SIN($AR31))/SIN($AS31))^2)*(4+$AM$105*(4-3*(1-((COS((ATAN((1-$AM$105)*TAN(RADIANS($J$14)))))*COS((ATAN((1-$AM$105)*TAN(RADIANS($R$16)))))*SIN($AR31))/SIN($AS31))^2)))))*$AM$105*((COS((ATAN((1-$AM$105)*TAN(RADIANS($J$14)))))*COS((ATAN((1-$AM$105)*TAN(RADIANS($R$16)))))*SIN($AR31))/SIN($AS31))*($AS31+($AM$105/16*(1-((COS((ATAN((1-$AM$105)*TAN(RADIANS($J$14)))))*COS((ATAN((1-$AM$105)*TAN(RADIANS($R$16)))))*SIN($AR31))/SIN($AS31))^2)*(4+$AM$105*(4-3*(1-((COS((ATAN((1-$AM$105)*TAN(RADIANS($J$14)))))*COS((ATAN((1-$AM$105)*TAN(RADIANS($R$16)))))*SIN($AR31))/SIN($AS31))^2))))*SIN($AS31)*((COS($AS31)-2*SIN((ATAN((1-$AM$105)*TAN(RADIANS($J$14)))))*SIN((ATAN((1-$AM$105)*TAN(RADIANS($R$16)))))/(1-((COS((ATAN((1-$AM$105)*TAN(RADIANS($J$14)))))*COS((ATAN((1-$AM$105)*TAN(RADIANS($R$16)))))*SIN($AR31))/SIN($AS31))^2))+($AM$105/16*(1-((COS((ATAN((1-$AM$105)*TAN(RADIANS($J$14)))))*COS((ATAN((1-$AM$105)*TAN(RADIANS($R$16)))))*SIN($AR31))/SIN($AS31))^2)*(4+$AM$105*(4-3*(1-((COS((ATAN((1-$AM$105)*TAN(RADIANS($J$14)))))*COS((ATAN((1-$AM$105)*TAN(RADIANS($R$16)))))*SIN($AR31))/SIN($AS31))^2))))*COS($AS31)*(-1+2*(COS($AS31)-2*SIN((ATAN((1-$AM$105)*TAN(RADIANS($J$14)))))*SIN((ATAN((1-$AM$105)*TAN(RADIANS($R$16)))))/(1-((COS((ATAN((1-$AM$105)*TAN(RADIANS($J$14)))))*COS((ATAN((1-$AM$105)*TAN(RADIANS($R$16)))))*SIN($AR31))/SIN($AS31))^2))^2))))</f>
        <v>#DIV/0!</v>
      </c>
      <c r="AU31" s="400" t="e">
        <f>($AM$104*((1+1/4*(((1+((1-((COS((ATAN((1-$AM$105)*TAN(RADIANS($J$14)))))*COS((ATAN((1-$AM$105)*TAN(RADIANS($R$16)))))*SIN($AT31))/SIN($AS31))^2)*$AM$109))^0.5-1)/((1+((1-((COS((ATAN((1-$AM$105)*TAN(RADIANS($J$14)))))*COS((ATAN((1-$AM$105)*TAN(RADIANS($R$16)))))*SIN($AT31))/SIN($AS31))^2)*$AM$109))^0.5+1))^2)/(1-((1+((1-((COS((ATAN((1-$AM$105)*TAN(RADIANS($J$14)))))*COS((ATAN((1-$AM$105)*TAN(RADIANS($R$16)))))*SIN($AT31))/SIN($AS31))^2)*$AM$109))^0.5-1)/((1+((1-((COS((ATAN((1-$AM$105)*TAN(RADIANS($J$14)))))*COS((ATAN((1-$AM$105)*TAN(RADIANS($R$16)))))*SIN($AT31))/SIN($AS31))^2)*$AM$109))^0.5+1)))*($AS31-((((1+((1-((COS((ATAN((1-$AM$105)*TAN(RADIANS($J$14)))))*COS((ATAN((1-$AM$105)*TAN(RADIANS($R$16)))))*SIN($AT31))/SIN($AS31))^2)*$AM$109))^0.5-1)/((1+((1-((COS((ATAN((1-$AM$105)*TAN(RADIANS($J$14)))))*COS((ATAN((1-$AM$105)*TAN(RADIANS($R$16)))))*SIN($AT31))/SIN($AS31))^2)*$AM$109))^0.5+1)*(1-3/8*(((1+((1-((COS((ATAN((1-$AM$105)*TAN(RADIANS($J$14)))))*COS((ATAN((1-$AM$105)*TAN(RADIANS($R$16)))))*SIN($AT31))/SIN($AS31))^2)*$AM$109))^0.5-1)/((1+((1-((COS((ATAN((1-$AM$105)*TAN(RADIANS($J$14)))))*COS((ATAN((1-$AM$105)*TAN(RADIANS($R$16)))))*SIN($AT31))/SIN($AS31))^2)*$AM$109))^0.5+1))^2))*(((COS((ATAN((1-$AM$105)*TAN(RADIANS($R$16)))))*SIN($AT31))^2+(COS((ATAN((1-$AM$105)*TAN(RADIANS($J$14)))))*SIN((ATAN((1-$AM$105)*TAN(RADIANS($R$16)))))-SIN((ATAN((1-$AM$105)*TAN(RADIANS($J$14)))))*COS((ATAN((1-$AM$105)*TAN(RADIANS($R$16)))))*COS($AT31))^2)^0.5)*((COS($AS31)-2*SIN((ATAN((1-$AM$105)*TAN(RADIANS($J$14)))))*SIN((ATAN((1-$AM$105)*TAN(RADIANS($R$16)))))/(1-((COS((ATAN((1-$AM$105)*TAN(RADIANS($J$14)))))*COS((ATAN((1-$AM$105)*TAN(RADIANS($R$16)))))*SIN($AT31))/SIN($AS31))^2))+1/4*(((1+((1-((COS((ATAN((1-$AM$105)*TAN(RADIANS($J$14)))))*COS((ATAN((1-$AM$105)*TAN(RADIANS($R$16)))))*SIN($AT31))/SIN($AS31))^2)*$AM$109))^0.5-1)/((1+((1-((COS((ATAN((1-$AM$105)*TAN(RADIANS($J$14)))))*COS((ATAN((1-$AM$105)*TAN(RADIANS($R$16)))))*SIN($AT31))/SIN($AS31))^2)*$AM$109))^0.5+1)*(1-3/8*(((1+((1-((COS((ATAN((1-$AM$105)*TAN(RADIANS($J$14)))))*COS((ATAN((1-$AM$105)*TAN(RADIANS($R$16)))))*SIN($AT31))/SIN($AS31))^2)*$AM$109))^0.5-1)/((1+((1-((COS((ATAN((1-$AM$105)*TAN(RADIANS($J$14)))))*COS((ATAN((1-$AM$105)*TAN(RADIANS($R$16)))))*SIN($AT31))/SIN($AS31))^2)*$AM$109))^0.5+1))^2))*(SIN((ATAN((1-$AM$105)*TAN(RADIANS($J$14)))))*SIN((ATAN((1-$AM$105)*TAN(RADIANS($R$16)))))+COS((ATAN((1-$AM$105)*TAN(RADIANS($J$14)))))*COS((ATAN((1-$AM$105)*TAN(RADIANS($R$16)))))*COS($AT31))*(-1+2*(COS($AS31)-2*SIN((ATAN((1-$AM$105)*TAN(RADIANS($J$14)))))*SIN((ATAN((1-$AM$105)*TAN(RADIANS($R$16)))))/(1-((COS((ATAN((1-$AM$105)*TAN(RADIANS($J$14)))))*COS((ATAN((1-$AM$105)*TAN(RADIANS($R$16)))))*SIN($AT31))/SIN($AS31))^2)))))))</f>
        <v>#DIV/0!</v>
      </c>
      <c r="AV31" s="801" t="e">
        <f>ATAN2((COS((ATAN((1-$AM$105)*TAN(RADIANS($J$14)))))*SIN((ATAN((1-$AM$105)*TAN(RADIANS($R$16)))))-SIN((ATAN((1-$AM$105)*TAN(RADIANS($J$14)))))*COS((ATAN((1-$AM$105)*TAN(RADIANS($R$16)))))*COS($AT31)),(COS((ATAN((1-$AM$105)*TAN(RADIANS($R$16)))))*SIN($AT31)))</f>
        <v>#DIV/0!</v>
      </c>
      <c r="AW31" s="801" t="e">
        <f>ATAN2((COS((ATAN((1-$AM$105)*TAN(RADIANS($J$14)))))*SIN((ATAN((1-$AM$105)*TAN(RADIANS($R$16)))))*COS($AT31)-SIN((ATAN((1-$AM$105)*TAN(RADIANS($J$14)))))*COS((ATAN((1-$AM$105)*TAN(RADIANS($R$16)))))),(COS((ATAN((1-$AM$105)*TAN(RADIANS($J$14)))))*SIN($AT31)))</f>
        <v>#DIV/0!</v>
      </c>
      <c r="AX31" s="616" t="str">
        <f>IF(AND(ISNUMBER($R$14),ISNUMBER($R$16)),$AM$103*(1-$AM$108)^0.5/(1-$AM$108*SIN(RADIANS(AVERAGE($R$14,$R$16)))^2),"")</f>
        <v/>
      </c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</row>
    <row r="32" spans="2:118" ht="15" customHeight="1" x14ac:dyDescent="0.25">
      <c r="B32" s="43"/>
      <c r="T32" s="54"/>
      <c r="U32" s="54"/>
      <c r="Y32" s="5"/>
      <c r="Z32" s="5"/>
      <c r="AA32" s="5"/>
      <c r="AB32" s="5"/>
      <c r="AC32" s="5"/>
      <c r="AD32" s="5"/>
      <c r="AE32" s="702" t="s">
        <v>274</v>
      </c>
      <c r="AF32" s="706" t="e">
        <f>ROUND(DEGREES($AU39),7)</f>
        <v>#DIV/0!</v>
      </c>
      <c r="AG32" s="644" t="e">
        <f>ROUND(DEGREES(-$AV39),7)</f>
        <v>#DIV/0!</v>
      </c>
      <c r="AH32" s="706" t="e">
        <f>ROUND(DEGREES((((0+($U$7+$AU9)/$AP$106)/($AM$103*(1-$AM$108/4-3*$AM$108^2/64-5*$AM$108^3/256)))+(3*((1-(1-$AM$108)^0.5)/(1+(1-$AM$108)^0.5))/2-27*((1-(1-$AM$108)^0.5)/(1+(1-$AM$108)^0.5))^3/32)*SIN(2*((0+($U$7+$AU9)/$AP$106)/($AM$103*(1-$AM$108/4-3*$AM$108^2/64-5*$AM$108^3/256))))+(21*((1-(1-$AM$108)^0.5)/(1+(1-$AM$108)^0.5))^2/16-55*((1-(1-$AM$108)^0.5)/(1+(1-$AM$108)^0.5))^4/32)*SIN(4*((0+($U$7+$AU9)/$AP$106)/($AM$103*(1-$AM$108/4-3*$AM$108^2/64-5*$AM$108^3/256))))+(151*((1-(1-$AM$108)^0.5)/(1+(1-$AM$108)^0.5))^3/96)*SIN(6*((0+($U$7+$AU9)/$AP$106)/($AM$103*(1-$AM$108/4-3*$AM$108^2/64-5*$AM$108^3/256))))+(1097*((1-(1-$AM$108)^0.5)/(1+(1-$AM$108)^0.5))^4/512)*SIN(8*((0+($U$7+$AU9)/$AP$106)/($AM$103*(1-$AM$108/4-3*$AM$108^2/64-5*$AM$108^3/256)))))-(($AM$103/(1-$AM$108*SIN($AS9)^2)^0.5)*TAN((((0+($U$7+$AU9)/$AP$106)/($AM$103*(1-$AM$108/4-3*$AM$108^2/64-5*$AM$108^3/256)))+(3*((1-(1-$AM$108)^0.5)/(1+(1-$AM$108)^0.5))/2-27*((1-(1-$AM$108)^0.5)/(1+(1-$AM$108)^0.5))^3/32)*SIN(2*((0+($U$7+$AU9)/$AP$106)/($AM$103*(1-$AM$108/4-3*$AM$108^2/64-5*$AM$108^3/256))))+(21*((1-(1-$AM$108)^0.5)/(1+(1-$AM$108)^0.5))^2/16-55*((1-(1-$AM$108)^0.5)/(1+(1-$AM$108)^0.5))^4/32)*SIN(4*((0+($U$7+$AU9)/$AP$106)/($AM$103*(1-$AM$108/4-3*$AM$108^2/64-5*$AM$108^3/256))))+(151*((1-(1-$AM$108)^0.5)/(1+(1-$AM$108)^0.5))^3/96)*SIN(6*((0+($U$7+$AU9)/$AP$106)/($AM$103*(1-$AM$108/4-3*$AM$108^2/64-5*$AM$108^3/256))))+(1097*((1-(1-$AM$108)^0.5)/(1+(1-$AM$108)^0.5))^4/512)*SIN(8*((0+($U$7+$AU9)/$AP$106)/($AM$103*(1-$AM$108/4-3*$AM$108^2/64-5*$AM$108^3/256))))))/($AM$103*(1-$AM$108)/(1-$AM$108*SIN($AS9)^2)^1.5))*(((($T$7+$AT9)-$AP$104)/(($AM$103/(1-$AM$108*SIN($AS9)^2)^0.5)*$AP$106))^2/2-(5+3*(TAN($AS9)^2)+10*($AM$109*COS($AS9)^2)-4*($AM$109*COS($AS9)^2)^2-9*$AM$109)*((($T$7+$AT9)-$AP$104)/(($AM$103/(1-$AM$108*SIN($AS9)^2)^0.5)*$AP$106))^4/24+(61+90*(TAN($AS9)^2)+298*($AM$109*COS($AS9)^2)+45*(TAN($AS9)^2)^2-252*$AM$109-3*($AM$109*COS($AS9)^2)^2)*((($T$7+$AT9)-$AP$104)/(($AM$103/(1-$AM$108*SIN($AS9)^2)^0.5)*$AP$106))^6/720)),7)</f>
        <v>#VALUE!</v>
      </c>
      <c r="AI32" s="644" t="e">
        <f>ROUND(DEGREES(RADIANS($AP$103)-(((($T$7+$AT9)-$AP$104)/(($AM$103/(1-$AM$108*SIN($AS9)^2)^0.5)*$AP$106))-(1+2*(TAN($AS9)^2)+($AM$109*COS($AS9)^2))*((($T$7+$AT9)-$AP$104)/(($AM$103/(1-$AM$108*SIN($AS9)^2)^0.5)*$AP$106))^3/6+(5-2*($AM$109*COS($AS9)^2)+28*(TAN($AS9)^2)-3*($AM$109*COS($AS9)^2)^2+8*$AM$109+24*(TAN($AS9)^2)^2)*((($T$7+$AT9)-$AP$104)/(($AM$103/(1-$AM$108*SIN($AS9)^2)^0.5)*$AP$106))^5/120)/COS((((0+($U$7+$AU9)/$AP$106)/($AM$103*(1-$AM$108/4-3*$AM$108^2/64-5*$AM$108^3/256)))+(3*((1-(1-$AM$108)^0.5)/(1+(1-$AM$108)^0.5))/2-27*((1-(1-$AM$108)^0.5)/(1+(1-$AM$108)^0.5))^3/32)*SIN(2*((0+($U$7+$AU9)/$AP$106)/($AM$103*(1-$AM$108/4-3*$AM$108^2/64-5*$AM$108^3/256))))+(21*((1-(1-$AM$108)^0.5)/(1+(1-$AM$108)^0.5))^2/16-55*((1-(1-$AM$108)^0.5)/(1+(1-$AM$108)^0.5))^4/32)*SIN(4*((0+($U$7+$AU9)/$AP$106)/($AM$103*(1-$AM$108/4-3*$AM$108^2/64-5*$AM$108^3/256))))+(151*((1-(1-$AM$108)^0.5)/(1+(1-$AM$108)^0.5))^3/96)*SIN(6*((0+($U$7+$AU9)/$AP$106)/($AM$103*(1-$AM$108/4-3*$AM$108^2/64-5*$AM$108^3/256))))+(1097*((1-(1-$AM$108)^0.5)/(1+(1-$AM$108)^0.5))^4/512)*SIN(8*((0+($U$7+$AU9)/$AP$106)/($AM$103*(1-$AM$108/4-3*$AM$108^2/64-5*$AM$108^3/256))))))),7)</f>
        <v>#VALUE!</v>
      </c>
      <c r="AJ32" s="698" t="e">
        <f>IF(AND(ISNUMBER($E9),ISNUMBER($G9),ISNUMBER($R$14),ISNUMBER($S$14)),ROUND(IF($C$17=2,($AN$75+((($U16*1200/3937)-$AN$79)-(($T16*1200/3937)-$AN$72)*TAN(ATAN2(($AN$78-(($U16*1200/3937)-$AN$79)),(($T16*1200/3937)-$AN$72))/2))*($AN$92+((($U16*1200/3937)-$AN$79)-(($T16*1200/3937)-$AN$72)*TAN(ATAN2(($AN$78-(($U16*1200/3937)-$AN$79)),(($T16*1200/3937)-$AN$72))/2))*($AN$93+((($U16*1200/3937)-$AN$79)-(($T16*1200/3937)-$AN$72)*TAN(ATAN2(($AN$78-(($U16*1200/3937)-$AN$79)),(($T16*1200/3937)-$AN$72))/2))*($AN$94+((($U16*1200/3937)-$AN$79)-(($T16*1200/3937)-$AN$72)*TAN(ATAN2(($AN$78-(($U16*1200/3937)-$AN$79)),(($T16*1200/3937)-$AN$72))/2))*$AN$95)))),IF($C$17=1,($AO$75+((($U16*1200/3937)-$AO$79)-(($T16*1200/3937)-$AO$72)*TAN(ATAN2(($AO$78-(($U16*1200/3937)-$AO$79)),(($T16*1200/3937)-$AO$72))/2))*($AO$92+((($U16*1200/3937)-$AO$79)-(($T16*1200/3937)-$AO$72)*TAN(ATAN2(($AO$78-(($U16*1200/3937)-$AO$79)),(($T16*1200/3937)-$AO$72))/2))*($AO$93+((($U16*1200/3937)-$AO$79)-(($T16*1200/3937)-$AO$72)*TAN(ATAN2(($AO$78-(($U16*1200/3937)-$AO$79)),(($T16*1200/3937)-$AO$72))/2))*($AO$94+((($U16*1200/3937)-$AO$79)-(($T16*1200/3937)-$AO$72)*TAN(ATAN2(($AO$78-(($U16*1200/3937)-$AO$79)),(($T16*1200/3937)-$AO$72))/2))*$AO$95)))),($AM$75+((($U16*1200/3937)-$AM$79)-(($T16*1200/3937)-$AM$72)*TAN(ATAN2(($AM$78-(($U16*1200/3937)-$AM$79)),(($T16*1200/3937)-$AM$72))/2))*($AM$92+((($U16*1200/3937)-$AM$79)-(($T16*1200/3937)-$AM$72)*TAN(ATAN2(($AM$78-(($U16*1200/3937)-$AM$79)),(($T16*1200/3937)-$AM$72))/2))*($AM$93+((($U16*1200/3937)-$AM$79)-(($T16*1200/3937)-$AM$72)*TAN(ATAN2(($AM$78-(($U16*1200/3937)-$AM$79)),(($T16*1200/3937)-$AM$72))/2))*($AM$94+((($U16*1200/3937)-$AM$79)-(($T16*1200/3937)-$AM$72)*TAN(ATAN2(($AM$78-(($U16*1200/3937)-$AM$79)),(($T16*1200/3937)-$AM$72))/2))*$AM$95)))))),7),"")</f>
        <v>#VALUE!</v>
      </c>
      <c r="AK32" s="351" t="e">
        <f>IF(AND(ISNUMBER($E9),ISNUMBER($G9),ISNUMBER($R$14),ISNUMBER($S$14)),ROUND(IF($C$17=2,(111.5-DEGREES(ATAN2(($AN$78-(($U16*1200/3937)-$AN$79)),(($T16*1200/3937)-$AN$72)))/$AN$76),IF($C$17=1,(111.5-DEGREES(ATAN2(($AO$78-(($U16*1200/3937)-$AO$79)),(($T16*1200/3937)-$AO$72)))/$AO$76),(111.5-DEGREES(ATAN2(($AM$78-(($U16*1200/3937)-$AM$79)),(($T16*1200/3937)-$AM$72)))/$AM$76))),7),"")</f>
        <v>#VALUE!</v>
      </c>
      <c r="AL32" s="5"/>
      <c r="AM32" s="313" t="s">
        <v>275</v>
      </c>
      <c r="AN32" s="801" t="e">
        <f>(RADIANS(-$S$16)-RADIANS(-$K$15))</f>
        <v>#DIV/0!</v>
      </c>
      <c r="AO32" s="802" t="e">
        <f>ATAN2((SIN((ATAN((1-$AM$105)*TAN(RADIANS($J$15)))))*SIN((ATAN((1-$AM$105)*TAN(RADIANS($R$16)))))+COS((ATAN((1-$AM$105)*TAN(RADIANS($J$15)))))*COS((ATAN((1-$AM$105)*TAN(RADIANS($R$16)))))*COS($AN32)),(((COS((ATAN((1-$AM$105)*TAN(RADIANS($R$16)))))*SIN($AN32))^2+(COS((ATAN((1-$AM$105)*TAN(RADIANS($J$15)))))*SIN((ATAN((1-$AM$105)*TAN(RADIANS($R$16)))))-SIN((ATAN((1-$AM$105)*TAN(RADIANS($J$15)))))*COS((ATAN((1-$AM$105)*TAN(RADIANS($R$16)))))*COS($AN32))^2)^0.5))</f>
        <v>#DIV/0!</v>
      </c>
      <c r="AP32" s="342" t="e">
        <f>((RADIANS(-$S$16)-RADIANS(-$K$15))+(1-($AM$105/16*(1-((COS((ATAN((1-$AM$105)*TAN(RADIANS($J$15)))))*COS((ATAN((1-$AM$105)*TAN(RADIANS($R$16)))))*SIN($AN32))/SIN($AO32))^2)*(4+$AM$105*(4-3*(1-((COS((ATAN((1-$AM$105)*TAN(RADIANS($J$15)))))*COS((ATAN((1-$AM$105)*TAN(RADIANS($R$16)))))*SIN($AN32))/SIN($AO32))^2)))))*$AM$105*((COS((ATAN((1-$AM$105)*TAN(RADIANS($J$15)))))*COS((ATAN((1-$AM$105)*TAN(RADIANS($R$16)))))*SIN($AN32))/SIN($AO32))*($AO32+($AM$105/16*(1-((COS((ATAN((1-$AM$105)*TAN(RADIANS($J$15)))))*COS((ATAN((1-$AM$105)*TAN(RADIANS($R$16)))))*SIN($AN32))/SIN($AO32))^2)*(4+$AM$105*(4-3*(1-((COS((ATAN((1-$AM$105)*TAN(RADIANS($J$15)))))*COS((ATAN((1-$AM$105)*TAN(RADIANS($R$16)))))*SIN($AN32))/SIN($AO32))^2))))*SIN($AO32)*((COS($AO32)-2*SIN((ATAN((1-$AM$105)*TAN(RADIANS($J$15)))))*SIN((ATAN((1-$AM$105)*TAN(RADIANS($R$16)))))/(1-((COS((ATAN((1-$AM$105)*TAN(RADIANS($J$15)))))*COS((ATAN((1-$AM$105)*TAN(RADIANS($R$16)))))*SIN($AN32))/SIN($AO32))^2))+($AM$105/16*(1-((COS((ATAN((1-$AM$105)*TAN(RADIANS($J$15)))))*COS((ATAN((1-$AM$105)*TAN(RADIANS($R$16)))))*SIN($AN32))/SIN($AO32))^2)*(4+$AM$105*(4-3*(1-((COS((ATAN((1-$AM$105)*TAN(RADIANS($J$15)))))*COS((ATAN((1-$AM$105)*TAN(RADIANS($R$16)))))*SIN($AN32))/SIN($AO32))^2))))*COS($AO32)*(-1+2*(COS($AO32)-2*SIN((ATAN((1-$AM$105)*TAN(RADIANS($J$15)))))*SIN((ATAN((1-$AM$105)*TAN(RADIANS($R$16)))))/(1-((COS((ATAN((1-$AM$105)*TAN(RADIANS($J$15)))))*COS((ATAN((1-$AM$105)*TAN(RADIANS($R$16)))))*SIN($AN32))/SIN($AO32))^2))^2))))</f>
        <v>#DIV/0!</v>
      </c>
      <c r="AQ32" s="802" t="e">
        <f>ATAN2((SIN((ATAN((1-$AM$105)*TAN(RADIANS($J$15)))))*SIN((ATAN((1-$AM$105)*TAN(RADIANS($R$16)))))+COS((ATAN((1-$AM$105)*TAN(RADIANS($J$15)))))*COS((ATAN((1-$AM$105)*TAN(RADIANS($R$16)))))*COS($AP32)),(((COS((ATAN((1-$AM$105)*TAN(RADIANS($R$16)))))*SIN($AP32))^2+(COS((ATAN((1-$AM$105)*TAN(RADIANS($J$15)))))*SIN((ATAN((1-$AM$105)*TAN(RADIANS($R$16)))))-SIN((ATAN((1-$AM$105)*TAN(RADIANS($J$15)))))*COS((ATAN((1-$AM$105)*TAN(RADIANS($R$16)))))*COS($AP32))^2)^0.5))</f>
        <v>#DIV/0!</v>
      </c>
      <c r="AR32" s="342" t="e">
        <f>((RADIANS(-$S$16)-RADIANS(-$K$15))+(1-($AM$105/16*(1-((COS((ATAN((1-$AM$105)*TAN(RADIANS($J$15)))))*COS((ATAN((1-$AM$105)*TAN(RADIANS($R$16)))))*SIN($AP32))/SIN($AQ32))^2)*(4+$AM$105*(4-3*(1-((COS((ATAN((1-$AM$105)*TAN(RADIANS($J$15)))))*COS((ATAN((1-$AM$105)*TAN(RADIANS($R$16)))))*SIN($AP32))/SIN($AQ32))^2)))))*$AM$105*((COS((ATAN((1-$AM$105)*TAN(RADIANS($J$15)))))*COS((ATAN((1-$AM$105)*TAN(RADIANS($R$16)))))*SIN($AP32))/SIN($AQ32))*($AQ32+($AM$105/16*(1-((COS((ATAN((1-$AM$105)*TAN(RADIANS($J$15)))))*COS((ATAN((1-$AM$105)*TAN(RADIANS($R$16)))))*SIN($AP32))/SIN($AQ32))^2)*(4+$AM$105*(4-3*(1-((COS((ATAN((1-$AM$105)*TAN(RADIANS($J$15)))))*COS((ATAN((1-$AM$105)*TAN(RADIANS($R$16)))))*SIN($AP32))/SIN($AQ32))^2))))*SIN($AQ32)*((COS($AQ32)-2*SIN((ATAN((1-$AM$105)*TAN(RADIANS($J$15)))))*SIN((ATAN((1-$AM$105)*TAN(RADIANS($R$16)))))/(1-((COS((ATAN((1-$AM$105)*TAN(RADIANS($J$15)))))*COS((ATAN((1-$AM$105)*TAN(RADIANS($R$16)))))*SIN($AP32))/SIN($AQ32))^2))+($AM$105/16*(1-((COS((ATAN((1-$AM$105)*TAN(RADIANS($J$15)))))*COS((ATAN((1-$AM$105)*TAN(RADIANS($R$16)))))*SIN($AP32))/SIN($AQ32))^2)*(4+$AM$105*(4-3*(1-((COS((ATAN((1-$AM$105)*TAN(RADIANS($J$15)))))*COS((ATAN((1-$AM$105)*TAN(RADIANS($R$16)))))*SIN($AP32))/SIN($AQ32))^2))))*COS($AQ32)*(-1+2*(COS($AQ32)-2*SIN((ATAN((1-$AM$105)*TAN(RADIANS($J$15)))))*SIN((ATAN((1-$AM$105)*TAN(RADIANS($R$16)))))/(1-((COS((ATAN((1-$AM$105)*TAN(RADIANS($J$15)))))*COS((ATAN((1-$AM$105)*TAN(RADIANS($R$16)))))*SIN($AP32))/SIN($AQ32))^2))^2))))</f>
        <v>#DIV/0!</v>
      </c>
      <c r="AS32" s="802" t="e">
        <f>ATAN2((SIN((ATAN((1-$AM$105)*TAN(RADIANS($J$15)))))*SIN((ATAN((1-$AM$105)*TAN(RADIANS($R$16)))))+COS((ATAN((1-$AM$105)*TAN(RADIANS($J$15)))))*COS((ATAN((1-$AM$105)*TAN(RADIANS($R$16)))))*COS($AR32)),(((COS((ATAN((1-$AM$105)*TAN(RADIANS($R$16)))))*SIN($AR32))^2+(COS((ATAN((1-$AM$105)*TAN(RADIANS($J$15)))))*SIN((ATAN((1-$AM$105)*TAN(RADIANS($R$16)))))-SIN((ATAN((1-$AM$105)*TAN(RADIANS($J$15)))))*COS((ATAN((1-$AM$105)*TAN(RADIANS($R$16)))))*COS($AR32))^2)^0.5))</f>
        <v>#DIV/0!</v>
      </c>
      <c r="AT32" s="801" t="e">
        <f>((RADIANS(-$S$16)-RADIANS(-$K$15))+(1-($AM$105/16*(1-((COS((ATAN((1-$AM$105)*TAN(RADIANS($J$15)))))*COS((ATAN((1-$AM$105)*TAN(RADIANS($R$16)))))*SIN($AR32))/SIN($AS32))^2)*(4+$AM$105*(4-3*(1-((COS((ATAN((1-$AM$105)*TAN(RADIANS($J$15)))))*COS((ATAN((1-$AM$105)*TAN(RADIANS($R$16)))))*SIN($AR32))/SIN($AS32))^2)))))*$AM$105*((COS((ATAN((1-$AM$105)*TAN(RADIANS($J$15)))))*COS((ATAN((1-$AM$105)*TAN(RADIANS($R$16)))))*SIN($AR32))/SIN($AS32))*($AS32+($AM$105/16*(1-((COS((ATAN((1-$AM$105)*TAN(RADIANS($J$15)))))*COS((ATAN((1-$AM$105)*TAN(RADIANS($R$16)))))*SIN($AR32))/SIN($AS32))^2)*(4+$AM$105*(4-3*(1-((COS((ATAN((1-$AM$105)*TAN(RADIANS($J$15)))))*COS((ATAN((1-$AM$105)*TAN(RADIANS($R$16)))))*SIN($AR32))/SIN($AS32))^2))))*SIN($AS32)*((COS($AS32)-2*SIN((ATAN((1-$AM$105)*TAN(RADIANS($J$15)))))*SIN((ATAN((1-$AM$105)*TAN(RADIANS($R$16)))))/(1-((COS((ATAN((1-$AM$105)*TAN(RADIANS($J$15)))))*COS((ATAN((1-$AM$105)*TAN(RADIANS($R$16)))))*SIN($AR32))/SIN($AS32))^2))+($AM$105/16*(1-((COS((ATAN((1-$AM$105)*TAN(RADIANS($J$15)))))*COS((ATAN((1-$AM$105)*TAN(RADIANS($R$16)))))*SIN($AR32))/SIN($AS32))^2)*(4+$AM$105*(4-3*(1-((COS((ATAN((1-$AM$105)*TAN(RADIANS($J$15)))))*COS((ATAN((1-$AM$105)*TAN(RADIANS($R$16)))))*SIN($AR32))/SIN($AS32))^2))))*COS($AS32)*(-1+2*(COS($AS32)-2*SIN((ATAN((1-$AM$105)*TAN(RADIANS($J$15)))))*SIN((ATAN((1-$AM$105)*TAN(RADIANS($R$16)))))/(1-((COS((ATAN((1-$AM$105)*TAN(RADIANS($J$15)))))*COS((ATAN((1-$AM$105)*TAN(RADIANS($R$16)))))*SIN($AR32))/SIN($AS32))^2))^2))))</f>
        <v>#DIV/0!</v>
      </c>
      <c r="AU32" s="400" t="e">
        <f>($AM$104*((1+1/4*(((1+((1-((COS((ATAN((1-$AM$105)*TAN(RADIANS($J$15)))))*COS((ATAN((1-$AM$105)*TAN(RADIANS($R$16)))))*SIN($AT32))/SIN($AS32))^2)*$AM$109))^0.5-1)/((1+((1-((COS((ATAN((1-$AM$105)*TAN(RADIANS($J$15)))))*COS((ATAN((1-$AM$105)*TAN(RADIANS($R$16)))))*SIN($AT32))/SIN($AS32))^2)*$AM$109))^0.5+1))^2)/(1-((1+((1-((COS((ATAN((1-$AM$105)*TAN(RADIANS($J$15)))))*COS((ATAN((1-$AM$105)*TAN(RADIANS($R$16)))))*SIN($AT32))/SIN($AS32))^2)*$AM$109))^0.5-1)/((1+((1-((COS((ATAN((1-$AM$105)*TAN(RADIANS($J$15)))))*COS((ATAN((1-$AM$105)*TAN(RADIANS($R$16)))))*SIN($AT32))/SIN($AS32))^2)*$AM$109))^0.5+1)))*($AS32-((((1+((1-((COS((ATAN((1-$AM$105)*TAN(RADIANS($J$15)))))*COS((ATAN((1-$AM$105)*TAN(RADIANS($R$16)))))*SIN($AT32))/SIN($AS32))^2)*$AM$109))^0.5-1)/((1+((1-((COS((ATAN((1-$AM$105)*TAN(RADIANS($J$15)))))*COS((ATAN((1-$AM$105)*TAN(RADIANS($R$16)))))*SIN($AT32))/SIN($AS32))^2)*$AM$109))^0.5+1)*(1-3/8*(((1+((1-((COS((ATAN((1-$AM$105)*TAN(RADIANS($J$15)))))*COS((ATAN((1-$AM$105)*TAN(RADIANS($R$16)))))*SIN($AT32))/SIN($AS32))^2)*$AM$109))^0.5-1)/((1+((1-((COS((ATAN((1-$AM$105)*TAN(RADIANS($J$15)))))*COS((ATAN((1-$AM$105)*TAN(RADIANS($R$16)))))*SIN($AT32))/SIN($AS32))^2)*$AM$109))^0.5+1))^2))*(((COS((ATAN((1-$AM$105)*TAN(RADIANS($R$16)))))*SIN($AT32))^2+(COS((ATAN((1-$AM$105)*TAN(RADIANS($J$15)))))*SIN((ATAN((1-$AM$105)*TAN(RADIANS($R$16)))))-SIN((ATAN((1-$AM$105)*TAN(RADIANS($J$15)))))*COS((ATAN((1-$AM$105)*TAN(RADIANS($R$16)))))*COS($AT32))^2)^0.5)*((COS($AS32)-2*SIN((ATAN((1-$AM$105)*TAN(RADIANS($J$15)))))*SIN((ATAN((1-$AM$105)*TAN(RADIANS($R$16)))))/(1-((COS((ATAN((1-$AM$105)*TAN(RADIANS($J$15)))))*COS((ATAN((1-$AM$105)*TAN(RADIANS($R$16)))))*SIN($AT32))/SIN($AS32))^2))+1/4*(((1+((1-((COS((ATAN((1-$AM$105)*TAN(RADIANS($J$15)))))*COS((ATAN((1-$AM$105)*TAN(RADIANS($R$16)))))*SIN($AT32))/SIN($AS32))^2)*$AM$109))^0.5-1)/((1+((1-((COS((ATAN((1-$AM$105)*TAN(RADIANS($J$15)))))*COS((ATAN((1-$AM$105)*TAN(RADIANS($R$16)))))*SIN($AT32))/SIN($AS32))^2)*$AM$109))^0.5+1)*(1-3/8*(((1+((1-((COS((ATAN((1-$AM$105)*TAN(RADIANS($J$15)))))*COS((ATAN((1-$AM$105)*TAN(RADIANS($R$16)))))*SIN($AT32))/SIN($AS32))^2)*$AM$109))^0.5-1)/((1+((1-((COS((ATAN((1-$AM$105)*TAN(RADIANS($J$15)))))*COS((ATAN((1-$AM$105)*TAN(RADIANS($R$16)))))*SIN($AT32))/SIN($AS32))^2)*$AM$109))^0.5+1))^2))*(SIN((ATAN((1-$AM$105)*TAN(RADIANS($J$15)))))*SIN((ATAN((1-$AM$105)*TAN(RADIANS($R$16)))))+COS((ATAN((1-$AM$105)*TAN(RADIANS($J$15)))))*COS((ATAN((1-$AM$105)*TAN(RADIANS($R$16)))))*COS($AT32))*(-1+2*(COS($AS32)-2*SIN((ATAN((1-$AM$105)*TAN(RADIANS($J$15)))))*SIN((ATAN((1-$AM$105)*TAN(RADIANS($R$16)))))/(1-((COS((ATAN((1-$AM$105)*TAN(RADIANS($J$15)))))*COS((ATAN((1-$AM$105)*TAN(RADIANS($R$16)))))*SIN($AT32))/SIN($AS32))^2)))))))</f>
        <v>#DIV/0!</v>
      </c>
      <c r="AV32" s="801" t="e">
        <f>ATAN2((COS((ATAN((1-$AM$105)*TAN(RADIANS($J$15)))))*SIN((ATAN((1-$AM$105)*TAN(RADIANS($R$16)))))-SIN((ATAN((1-$AM$105)*TAN(RADIANS($J$15)))))*COS((ATAN((1-$AM$105)*TAN(RADIANS($R$16)))))*COS($AT32)),(COS((ATAN((1-$AM$105)*TAN(RADIANS($R$16)))))*SIN($AT32)))</f>
        <v>#DIV/0!</v>
      </c>
      <c r="AW32" s="801" t="e">
        <f>ATAN2((COS((ATAN((1-$AM$105)*TAN(RADIANS($J$15)))))*SIN((ATAN((1-$AM$105)*TAN(RADIANS($R$16)))))*COS($AT32)-SIN((ATAN((1-$AM$105)*TAN(RADIANS($J$15)))))*COS((ATAN((1-$AM$105)*TAN(RADIANS($R$16)))))),(COS((ATAN((1-$AM$105)*TAN(RADIANS($J$15)))))*SIN($AT32)))</f>
        <v>#DIV/0!</v>
      </c>
      <c r="AX32" s="616" t="str">
        <f>IF(AND(ISNUMBER($R$14),ISNUMBER($R$16)),$AM$103*(1-$AM$108)^0.5/(1-$AM$108*SIN(RADIANS(AVERAGE($R$14,$R$16)))^2),"")</f>
        <v/>
      </c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</row>
    <row r="33" spans="2:103" ht="15" customHeight="1" thickBot="1" x14ac:dyDescent="0.3">
      <c r="B33" s="43"/>
      <c r="T33" s="54"/>
      <c r="U33" s="54"/>
      <c r="Y33" s="5"/>
      <c r="Z33" s="5"/>
      <c r="AA33" s="5"/>
      <c r="AB33" s="5"/>
      <c r="AC33" s="5"/>
      <c r="AD33" s="5"/>
      <c r="AE33" s="703" t="s">
        <v>276</v>
      </c>
      <c r="AF33" s="253" t="e">
        <f>ROUND(DEGREES($AU40),7)</f>
        <v>#DIV/0!</v>
      </c>
      <c r="AG33" s="653" t="e">
        <f>ROUND(DEGREES(-$AV40),7)</f>
        <v>#DIV/0!</v>
      </c>
      <c r="AH33" s="253" t="e">
        <f>ROUND(DEGREES((((0+($U$7+$AU10)/$AP$106)/($AM$103*(1-$AM$108/4-3*$AM$108^2/64-5*$AM$108^3/256)))+(3*((1-(1-$AM$108)^0.5)/(1+(1-$AM$108)^0.5))/2-27*((1-(1-$AM$108)^0.5)/(1+(1-$AM$108)^0.5))^3/32)*SIN(2*((0+($U$7+$AU10)/$AP$106)/($AM$103*(1-$AM$108/4-3*$AM$108^2/64-5*$AM$108^3/256))))+(21*((1-(1-$AM$108)^0.5)/(1+(1-$AM$108)^0.5))^2/16-55*((1-(1-$AM$108)^0.5)/(1+(1-$AM$108)^0.5))^4/32)*SIN(4*((0+($U$7+$AU10)/$AP$106)/($AM$103*(1-$AM$108/4-3*$AM$108^2/64-5*$AM$108^3/256))))+(151*((1-(1-$AM$108)^0.5)/(1+(1-$AM$108)^0.5))^3/96)*SIN(6*((0+($U$7+$AU10)/$AP$106)/($AM$103*(1-$AM$108/4-3*$AM$108^2/64-5*$AM$108^3/256))))+(1097*((1-(1-$AM$108)^0.5)/(1+(1-$AM$108)^0.5))^4/512)*SIN(8*((0+($U$7+$AU10)/$AP$106)/($AM$103*(1-$AM$108/4-3*$AM$108^2/64-5*$AM$108^3/256)))))-(($AM$103/(1-$AM$108*SIN($AS10)^2)^0.5)*TAN((((0+($U$7+$AU10)/$AP$106)/($AM$103*(1-$AM$108/4-3*$AM$108^2/64-5*$AM$108^3/256)))+(3*((1-(1-$AM$108)^0.5)/(1+(1-$AM$108)^0.5))/2-27*((1-(1-$AM$108)^0.5)/(1+(1-$AM$108)^0.5))^3/32)*SIN(2*((0+($U$7+$AU10)/$AP$106)/($AM$103*(1-$AM$108/4-3*$AM$108^2/64-5*$AM$108^3/256))))+(21*((1-(1-$AM$108)^0.5)/(1+(1-$AM$108)^0.5))^2/16-55*((1-(1-$AM$108)^0.5)/(1+(1-$AM$108)^0.5))^4/32)*SIN(4*((0+($U$7+$AU10)/$AP$106)/($AM$103*(1-$AM$108/4-3*$AM$108^2/64-5*$AM$108^3/256))))+(151*((1-(1-$AM$108)^0.5)/(1+(1-$AM$108)^0.5))^3/96)*SIN(6*((0+($U$7+$AU10)/$AP$106)/($AM$103*(1-$AM$108/4-3*$AM$108^2/64-5*$AM$108^3/256))))+(1097*((1-(1-$AM$108)^0.5)/(1+(1-$AM$108)^0.5))^4/512)*SIN(8*((0+($U$7+$AU10)/$AP$106)/($AM$103*(1-$AM$108/4-3*$AM$108^2/64-5*$AM$108^3/256))))))/($AM$103*(1-$AM$108)/(1-$AM$108*SIN($AS10)^2)^1.5))*(((($T$7+$AT10)-$AP$104)/(($AM$103/(1-$AM$108*SIN($AS10)^2)^0.5)*$AP$106))^2/2-(5+3*(TAN($AS10)^2)+10*($AM$109*COS($AS10)^2)-4*($AM$109*COS($AS10)^2)^2-9*$AM$109)*((($T$7+$AT10)-$AP$104)/(($AM$103/(1-$AM$108*SIN($AS10)^2)^0.5)*$AP$106))^4/24+(61+90*(TAN($AS10)^2)+298*($AM$109*COS($AS10)^2)+45*(TAN($AS10)^2)^2-252*$AM$109-3*($AM$109*COS($AS10)^2)^2)*((($T$7+$AT10)-$AP$104)/(($AM$103/(1-$AM$108*SIN($AS10)^2)^0.5)*$AP$106))^6/720)),7)</f>
        <v>#VALUE!</v>
      </c>
      <c r="AI33" s="653" t="e">
        <f>ROUND(DEGREES(RADIANS($AP$103)-(((($T$7+$AT10)-$AP$104)/(($AM$103/(1-$AM$108*SIN($AS10)^2)^0.5)*$AP$106))-(1+2*(TAN($AS10)^2)+($AM$109*COS($AS10)^2))*((($T$7+$AT10)-$AP$104)/(($AM$103/(1-$AM$108*SIN($AS10)^2)^0.5)*$AP$106))^3/6+(5-2*($AM$109*COS($AS10)^2)+28*(TAN($AS10)^2)-3*($AM$109*COS($AS10)^2)^2+8*$AM$109+24*(TAN($AS10)^2)^2)*((($T$7+$AT10)-$AP$104)/(($AM$103/(1-$AM$108*SIN($AS10)^2)^0.5)*$AP$106))^5/120)/COS((((0+($U$7+$AU10)/$AP$106)/($AM$103*(1-$AM$108/4-3*$AM$108^2/64-5*$AM$108^3/256)))+(3*((1-(1-$AM$108)^0.5)/(1+(1-$AM$108)^0.5))/2-27*((1-(1-$AM$108)^0.5)/(1+(1-$AM$108)^0.5))^3/32)*SIN(2*((0+($U$7+$AU10)/$AP$106)/($AM$103*(1-$AM$108/4-3*$AM$108^2/64-5*$AM$108^3/256))))+(21*((1-(1-$AM$108)^0.5)/(1+(1-$AM$108)^0.5))^2/16-55*((1-(1-$AM$108)^0.5)/(1+(1-$AM$108)^0.5))^4/32)*SIN(4*((0+($U$7+$AU10)/$AP$106)/($AM$103*(1-$AM$108/4-3*$AM$108^2/64-5*$AM$108^3/256))))+(151*((1-(1-$AM$108)^0.5)/(1+(1-$AM$108)^0.5))^3/96)*SIN(6*((0+($U$7+$AU10)/$AP$106)/($AM$103*(1-$AM$108/4-3*$AM$108^2/64-5*$AM$108^3/256))))+(1097*((1-(1-$AM$108)^0.5)/(1+(1-$AM$108)^0.5))^4/512)*SIN(8*((0+($U$7+$AU10)/$AP$106)/($AM$103*(1-$AM$108/4-3*$AM$108^2/64-5*$AM$108^3/256))))))),7)</f>
        <v>#VALUE!</v>
      </c>
      <c r="AJ33" s="700" t="e">
        <f>IF(AND(ISNUMBER($E10),ISNUMBER($G10),ISNUMBER($R$14),ISNUMBER($S$14)),ROUND(IF($C$17=2,($AN$75+((($U17*1200/3937)-$AN$79)-(($T17*1200/3937)-$AN$72)*TAN(ATAN2(($AN$78-(($U17*1200/3937)-$AN$79)),(($T17*1200/3937)-$AN$72))/2))*($AN$92+((($U17*1200/3937)-$AN$79)-(($T17*1200/3937)-$AN$72)*TAN(ATAN2(($AN$78-(($U17*1200/3937)-$AN$79)),(($T17*1200/3937)-$AN$72))/2))*($AN$93+((($U17*1200/3937)-$AN$79)-(($T17*1200/3937)-$AN$72)*TAN(ATAN2(($AN$78-(($U17*1200/3937)-$AN$79)),(($T17*1200/3937)-$AN$72))/2))*($AN$94+((($U17*1200/3937)-$AN$79)-(($T17*1200/3937)-$AN$72)*TAN(ATAN2(($AN$78-(($U17*1200/3937)-$AN$79)),(($T17*1200/3937)-$AN$72))/2))*$AN$95)))),IF($C$17=1,($AO$75+((($U17*1200/3937)-$AO$79)-(($T17*1200/3937)-$AO$72)*TAN(ATAN2(($AO$78-(($U17*1200/3937)-$AO$79)),(($T17*1200/3937)-$AO$72))/2))*($AO$92+((($U17*1200/3937)-$AO$79)-(($T17*1200/3937)-$AO$72)*TAN(ATAN2(($AO$78-(($U17*1200/3937)-$AO$79)),(($T17*1200/3937)-$AO$72))/2))*($AO$93+((($U17*1200/3937)-$AO$79)-(($T17*1200/3937)-$AO$72)*TAN(ATAN2(($AO$78-(($U17*1200/3937)-$AO$79)),(($T17*1200/3937)-$AO$72))/2))*($AO$94+((($U17*1200/3937)-$AO$79)-(($T17*1200/3937)-$AO$72)*TAN(ATAN2(($AO$78-(($U17*1200/3937)-$AO$79)),(($T17*1200/3937)-$AO$72))/2))*$AO$95)))),($AM$75+((($U17*1200/3937)-$AM$79)-(($T17*1200/3937)-$AM$72)*TAN(ATAN2(($AM$78-(($U17*1200/3937)-$AM$79)),(($T17*1200/3937)-$AM$72))/2))*($AM$92+((($U17*1200/3937)-$AM$79)-(($T17*1200/3937)-$AM$72)*TAN(ATAN2(($AM$78-(($U17*1200/3937)-$AM$79)),(($T17*1200/3937)-$AM$72))/2))*($AM$93+((($U17*1200/3937)-$AM$79)-(($T17*1200/3937)-$AM$72)*TAN(ATAN2(($AM$78-(($U17*1200/3937)-$AM$79)),(($T17*1200/3937)-$AM$72))/2))*($AM$94+((($U17*1200/3937)-$AM$79)-(($T17*1200/3937)-$AM$72)*TAN(ATAN2(($AM$78-(($U17*1200/3937)-$AM$79)),(($T17*1200/3937)-$AM$72))/2))*$AM$95)))))),7),"")</f>
        <v>#VALUE!</v>
      </c>
      <c r="AK33" s="318" t="e">
        <f>IF(AND(ISNUMBER($E10),ISNUMBER($G10),ISNUMBER($R$14),ISNUMBER($S$14)),ROUND(IF($C$17=2,(111.5-DEGREES(ATAN2(($AN$78-(($U17*1200/3937)-$AN$79)),(($T17*1200/3937)-$AN$72)))/$AN$76),IF($C$17=1,(111.5-DEGREES(ATAN2(($AO$78-(($U17*1200/3937)-$AO$79)),(($T17*1200/3937)-$AO$72)))/$AO$76),(111.5-DEGREES(ATAN2(($AM$78-(($U17*1200/3937)-$AM$79)),(($T17*1200/3937)-$AM$72)))/$AM$76))),7),"")</f>
        <v>#VALUE!</v>
      </c>
      <c r="AL33" s="5"/>
      <c r="AM33" s="313" t="s">
        <v>277</v>
      </c>
      <c r="AN33" s="801" t="e">
        <f>(RADIANS(-$S$17)-RADIANS(-$M$14))</f>
        <v>#DIV/0!</v>
      </c>
      <c r="AO33" s="802" t="e">
        <f>ATAN2((SIN((ATAN((1-$AM$105)*TAN(RADIANS($L$14)))))*SIN((ATAN((1-$AM$105)*TAN(RADIANS($R$17)))))+COS((ATAN((1-$AM$105)*TAN(RADIANS($L$14)))))*COS((ATAN((1-$AM$105)*TAN(RADIANS($R$17)))))*COS($AN33)),(((COS((ATAN((1-$AM$105)*TAN(RADIANS($R$17)))))*SIN($AN33))^2+(COS((ATAN((1-$AM$105)*TAN(RADIANS($L$14)))))*SIN((ATAN((1-$AM$105)*TAN(RADIANS($R$17)))))-SIN((ATAN((1-$AM$105)*TAN(RADIANS($L$14)))))*COS((ATAN((1-$AM$105)*TAN(RADIANS($R$17)))))*COS($AN33))^2)^0.5))</f>
        <v>#DIV/0!</v>
      </c>
      <c r="AP33" s="342" t="e">
        <f>((RADIANS(-$S$17)-RADIANS(-$M$14))+(1-($AM$105/16*(1-((COS((ATAN((1-$AM$105)*TAN(RADIANS($L$14)))))*COS((ATAN((1-$AM$105)*TAN(RADIANS($R$17)))))*SIN($AN33))/SIN($AO33))^2)*(4+$AM$105*(4-3*(1-((COS((ATAN((1-$AM$105)*TAN(RADIANS($L$14)))))*COS((ATAN((1-$AM$105)*TAN(RADIANS($R$17)))))*SIN($AN33))/SIN($AO33))^2)))))*$AM$105*((COS((ATAN((1-$AM$105)*TAN(RADIANS($L$14)))))*COS((ATAN((1-$AM$105)*TAN(RADIANS($R$17)))))*SIN($AN33))/SIN($AO33))*($AO33+($AM$105/16*(1-((COS((ATAN((1-$AM$105)*TAN(RADIANS($L$14)))))*COS((ATAN((1-$AM$105)*TAN(RADIANS($R$17)))))*SIN($AN33))/SIN($AO33))^2)*(4+$AM$105*(4-3*(1-((COS((ATAN((1-$AM$105)*TAN(RADIANS($L$14)))))*COS((ATAN((1-$AM$105)*TAN(RADIANS($R$17)))))*SIN($AN33))/SIN($AO33))^2))))*SIN($AO33)*((COS($AO33)-2*SIN((ATAN((1-$AM$105)*TAN(RADIANS($L$14)))))*SIN((ATAN((1-$AM$105)*TAN(RADIANS($R$17)))))/(1-((COS((ATAN((1-$AM$105)*TAN(RADIANS($L$14)))))*COS((ATAN((1-$AM$105)*TAN(RADIANS($R$17)))))*SIN($AN33))/SIN($AO33))^2))+($AM$105/16*(1-((COS((ATAN((1-$AM$105)*TAN(RADIANS($L$14)))))*COS((ATAN((1-$AM$105)*TAN(RADIANS($R$17)))))*SIN($AN33))/SIN($AO33))^2)*(4+$AM$105*(4-3*(1-((COS((ATAN((1-$AM$105)*TAN(RADIANS($L$14)))))*COS((ATAN((1-$AM$105)*TAN(RADIANS($R$17)))))*SIN($AN33))/SIN($AO33))^2))))*COS($AO33)*(-1+2*(COS($AO33)-2*SIN((ATAN((1-$AM$105)*TAN(RADIANS($L$14)))))*SIN((ATAN((1-$AM$105)*TAN(RADIANS($R$17)))))/(1-((COS((ATAN((1-$AM$105)*TAN(RADIANS($L$14)))))*COS((ATAN((1-$AM$105)*TAN(RADIANS($R$17)))))*SIN($AN33))/SIN($AO33))^2))^2))))</f>
        <v>#DIV/0!</v>
      </c>
      <c r="AQ33" s="802" t="e">
        <f>ATAN2((SIN((ATAN((1-$AM$105)*TAN(RADIANS($L$14)))))*SIN((ATAN((1-$AM$105)*TAN(RADIANS($R$17)))))+COS((ATAN((1-$AM$105)*TAN(RADIANS($L$14)))))*COS((ATAN((1-$AM$105)*TAN(RADIANS($R$17)))))*COS($AP33)),(((COS((ATAN((1-$AM$105)*TAN(RADIANS($R$17)))))*SIN($AP33))^2+(COS((ATAN((1-$AM$105)*TAN(RADIANS($L$14)))))*SIN((ATAN((1-$AM$105)*TAN(RADIANS($R$17)))))-SIN((ATAN((1-$AM$105)*TAN(RADIANS($L$14)))))*COS((ATAN((1-$AM$105)*TAN(RADIANS($R$17)))))*COS($AP33))^2)^0.5))</f>
        <v>#DIV/0!</v>
      </c>
      <c r="AR33" s="342" t="e">
        <f>((RADIANS(-$S$17)-RADIANS(-$M$14))+(1-($AM$105/16*(1-((COS((ATAN((1-$AM$105)*TAN(RADIANS($L$14)))))*COS((ATAN((1-$AM$105)*TAN(RADIANS($R$17)))))*SIN($AP33))/SIN($AQ33))^2)*(4+$AM$105*(4-3*(1-((COS((ATAN((1-$AM$105)*TAN(RADIANS($L$14)))))*COS((ATAN((1-$AM$105)*TAN(RADIANS($R$17)))))*SIN($AP33))/SIN($AQ33))^2)))))*$AM$105*((COS((ATAN((1-$AM$105)*TAN(RADIANS($L$14)))))*COS((ATAN((1-$AM$105)*TAN(RADIANS($R$17)))))*SIN($AP33))/SIN($AQ33))*($AQ33+($AM$105/16*(1-((COS((ATAN((1-$AM$105)*TAN(RADIANS($L$14)))))*COS((ATAN((1-$AM$105)*TAN(RADIANS($R$17)))))*SIN($AP33))/SIN($AQ33))^2)*(4+$AM$105*(4-3*(1-((COS((ATAN((1-$AM$105)*TAN(RADIANS($L$14)))))*COS((ATAN((1-$AM$105)*TAN(RADIANS($R$17)))))*SIN($AP33))/SIN($AQ33))^2))))*SIN($AQ33)*((COS($AQ33)-2*SIN((ATAN((1-$AM$105)*TAN(RADIANS($L$14)))))*SIN((ATAN((1-$AM$105)*TAN(RADIANS($R$17)))))/(1-((COS((ATAN((1-$AM$105)*TAN(RADIANS($L$14)))))*COS((ATAN((1-$AM$105)*TAN(RADIANS($R$17)))))*SIN($AP33))/SIN($AQ33))^2))+($AM$105/16*(1-((COS((ATAN((1-$AM$105)*TAN(RADIANS($L$14)))))*COS((ATAN((1-$AM$105)*TAN(RADIANS($R$17)))))*SIN($AP33))/SIN($AQ33))^2)*(4+$AM$105*(4-3*(1-((COS((ATAN((1-$AM$105)*TAN(RADIANS($L$14)))))*COS((ATAN((1-$AM$105)*TAN(RADIANS($R$17)))))*SIN($AP33))/SIN($AQ33))^2))))*COS($AQ33)*(-1+2*(COS($AQ33)-2*SIN((ATAN((1-$AM$105)*TAN(RADIANS($L$14)))))*SIN((ATAN((1-$AM$105)*TAN(RADIANS($R$17)))))/(1-((COS((ATAN((1-$AM$105)*TAN(RADIANS($L$14)))))*COS((ATAN((1-$AM$105)*TAN(RADIANS($R$17)))))*SIN($AP33))/SIN($AQ33))^2))^2))))</f>
        <v>#DIV/0!</v>
      </c>
      <c r="AS33" s="802" t="e">
        <f>ATAN2((SIN((ATAN((1-$AM$105)*TAN(RADIANS($L$14)))))*SIN((ATAN((1-$AM$105)*TAN(RADIANS($R$17)))))+COS((ATAN((1-$AM$105)*TAN(RADIANS($L$14)))))*COS((ATAN((1-$AM$105)*TAN(RADIANS($R$17)))))*COS($AR33)),(((COS((ATAN((1-$AM$105)*TAN(RADIANS($R$17)))))*SIN($AR33))^2+(COS((ATAN((1-$AM$105)*TAN(RADIANS($L$14)))))*SIN((ATAN((1-$AM$105)*TAN(RADIANS($R$17)))))-SIN((ATAN((1-$AM$105)*TAN(RADIANS($L$14)))))*COS((ATAN((1-$AM$105)*TAN(RADIANS($R$17)))))*COS($AR33))^2)^0.5))</f>
        <v>#DIV/0!</v>
      </c>
      <c r="AT33" s="801" t="e">
        <f>((RADIANS(-$S$17)-RADIANS(-$M$14))+(1-($AM$105/16*(1-((COS((ATAN((1-$AM$105)*TAN(RADIANS($L$14)))))*COS((ATAN((1-$AM$105)*TAN(RADIANS($R$17)))))*SIN($AR33))/SIN($AS33))^2)*(4+$AM$105*(4-3*(1-((COS((ATAN((1-$AM$105)*TAN(RADIANS($L$14)))))*COS((ATAN((1-$AM$105)*TAN(RADIANS($R$17)))))*SIN($AR33))/SIN($AS33))^2)))))*$AM$105*((COS((ATAN((1-$AM$105)*TAN(RADIANS($L$14)))))*COS((ATAN((1-$AM$105)*TAN(RADIANS($R$17)))))*SIN($AR33))/SIN($AS33))*($AS33+($AM$105/16*(1-((COS((ATAN((1-$AM$105)*TAN(RADIANS($L$14)))))*COS((ATAN((1-$AM$105)*TAN(RADIANS($R$17)))))*SIN($AR33))/SIN($AS33))^2)*(4+$AM$105*(4-3*(1-((COS((ATAN((1-$AM$105)*TAN(RADIANS($L$14)))))*COS((ATAN((1-$AM$105)*TAN(RADIANS($R$17)))))*SIN($AR33))/SIN($AS33))^2))))*SIN($AS33)*((COS($AS33)-2*SIN((ATAN((1-$AM$105)*TAN(RADIANS($L$14)))))*SIN((ATAN((1-$AM$105)*TAN(RADIANS($R$17)))))/(1-((COS((ATAN((1-$AM$105)*TAN(RADIANS($L$14)))))*COS((ATAN((1-$AM$105)*TAN(RADIANS($R$17)))))*SIN($AR33))/SIN($AS33))^2))+($AM$105/16*(1-((COS((ATAN((1-$AM$105)*TAN(RADIANS($L$14)))))*COS((ATAN((1-$AM$105)*TAN(RADIANS($R$17)))))*SIN($AR33))/SIN($AS33))^2)*(4+$AM$105*(4-3*(1-((COS((ATAN((1-$AM$105)*TAN(RADIANS($L$14)))))*COS((ATAN((1-$AM$105)*TAN(RADIANS($R$17)))))*SIN($AR33))/SIN($AS33))^2))))*COS($AS33)*(-1+2*(COS($AS33)-2*SIN((ATAN((1-$AM$105)*TAN(RADIANS($L$14)))))*SIN((ATAN((1-$AM$105)*TAN(RADIANS($R$17)))))/(1-((COS((ATAN((1-$AM$105)*TAN(RADIANS($L$14)))))*COS((ATAN((1-$AM$105)*TAN(RADIANS($R$17)))))*SIN($AR33))/SIN($AS33))^2))^2))))</f>
        <v>#DIV/0!</v>
      </c>
      <c r="AU33" s="400" t="e">
        <f>($AM$104*((1+1/4*(((1+((1-((COS((ATAN((1-$AM$105)*TAN(RADIANS($L$14)))))*COS((ATAN((1-$AM$105)*TAN(RADIANS($R$17)))))*SIN($AT33))/SIN($AS33))^2)*$AM$109))^0.5-1)/((1+((1-((COS((ATAN((1-$AM$105)*TAN(RADIANS($L$14)))))*COS((ATAN((1-$AM$105)*TAN(RADIANS($R$17)))))*SIN($AT33))/SIN($AS33))^2)*$AM$109))^0.5+1))^2)/(1-((1+((1-((COS((ATAN((1-$AM$105)*TAN(RADIANS($L$14)))))*COS((ATAN((1-$AM$105)*TAN(RADIANS($R$17)))))*SIN($AT33))/SIN($AS33))^2)*$AM$109))^0.5-1)/((1+((1-((COS((ATAN((1-$AM$105)*TAN(RADIANS($L$14)))))*COS((ATAN((1-$AM$105)*TAN(RADIANS($R$17)))))*SIN($AT33))/SIN($AS33))^2)*$AM$109))^0.5+1)))*($AS33-((((1+((1-((COS((ATAN((1-$AM$105)*TAN(RADIANS($L$14)))))*COS((ATAN((1-$AM$105)*TAN(RADIANS($R$17)))))*SIN($AT33))/SIN($AS33))^2)*$AM$109))^0.5-1)/((1+((1-((COS((ATAN((1-$AM$105)*TAN(RADIANS($L$14)))))*COS((ATAN((1-$AM$105)*TAN(RADIANS($R$17)))))*SIN($AT33))/SIN($AS33))^2)*$AM$109))^0.5+1)*(1-3/8*(((1+((1-((COS((ATAN((1-$AM$105)*TAN(RADIANS($L$14)))))*COS((ATAN((1-$AM$105)*TAN(RADIANS($R$17)))))*SIN($AT33))/SIN($AS33))^2)*$AM$109))^0.5-1)/((1+((1-((COS((ATAN((1-$AM$105)*TAN(RADIANS($L$14)))))*COS((ATAN((1-$AM$105)*TAN(RADIANS($R$17)))))*SIN($AT33))/SIN($AS33))^2)*$AM$109))^0.5+1))^2))*(((COS((ATAN((1-$AM$105)*TAN(RADIANS($R$17)))))*SIN($AT33))^2+(COS((ATAN((1-$AM$105)*TAN(RADIANS($L$14)))))*SIN((ATAN((1-$AM$105)*TAN(RADIANS($R$17)))))-SIN((ATAN((1-$AM$105)*TAN(RADIANS($L$14)))))*COS((ATAN((1-$AM$105)*TAN(RADIANS($R$17)))))*COS($AT33))^2)^0.5)*((COS($AS33)-2*SIN((ATAN((1-$AM$105)*TAN(RADIANS($L$14)))))*SIN((ATAN((1-$AM$105)*TAN(RADIANS($R$17)))))/(1-((COS((ATAN((1-$AM$105)*TAN(RADIANS($L$14)))))*COS((ATAN((1-$AM$105)*TAN(RADIANS($R$17)))))*SIN($AT33))/SIN($AS33))^2))+1/4*(((1+((1-((COS((ATAN((1-$AM$105)*TAN(RADIANS($L$14)))))*COS((ATAN((1-$AM$105)*TAN(RADIANS($R$17)))))*SIN($AT33))/SIN($AS33))^2)*$AM$109))^0.5-1)/((1+((1-((COS((ATAN((1-$AM$105)*TAN(RADIANS($L$14)))))*COS((ATAN((1-$AM$105)*TAN(RADIANS($R$17)))))*SIN($AT33))/SIN($AS33))^2)*$AM$109))^0.5+1)*(1-3/8*(((1+((1-((COS((ATAN((1-$AM$105)*TAN(RADIANS($L$14)))))*COS((ATAN((1-$AM$105)*TAN(RADIANS($R$17)))))*SIN($AT33))/SIN($AS33))^2)*$AM$109))^0.5-1)/((1+((1-((COS((ATAN((1-$AM$105)*TAN(RADIANS($L$14)))))*COS((ATAN((1-$AM$105)*TAN(RADIANS($R$17)))))*SIN($AT33))/SIN($AS33))^2)*$AM$109))^0.5+1))^2))*(SIN((ATAN((1-$AM$105)*TAN(RADIANS($L$14)))))*SIN((ATAN((1-$AM$105)*TAN(RADIANS($R$17)))))+COS((ATAN((1-$AM$105)*TAN(RADIANS($L$14)))))*COS((ATAN((1-$AM$105)*TAN(RADIANS($R$17)))))*COS($AT33))*(-1+2*(COS($AS33)-2*SIN((ATAN((1-$AM$105)*TAN(RADIANS($L$14)))))*SIN((ATAN((1-$AM$105)*TAN(RADIANS($R$17)))))/(1-((COS((ATAN((1-$AM$105)*TAN(RADIANS($L$14)))))*COS((ATAN((1-$AM$105)*TAN(RADIANS($R$17)))))*SIN($AT33))/SIN($AS33))^2)))))))</f>
        <v>#DIV/0!</v>
      </c>
      <c r="AV33" s="801" t="e">
        <f>ATAN2((COS((ATAN((1-$AM$105)*TAN(RADIANS($L$14)))))*SIN((ATAN((1-$AM$105)*TAN(RADIANS($R$17)))))-SIN((ATAN((1-$AM$105)*TAN(RADIANS($L$14)))))*COS((ATAN((1-$AM$105)*TAN(RADIANS($R$17)))))*COS($AT33)),(COS((ATAN((1-$AM$105)*TAN(RADIANS($R$17)))))*SIN($AT33)))</f>
        <v>#DIV/0!</v>
      </c>
      <c r="AW33" s="801" t="e">
        <f>ATAN2((COS((ATAN((1-$AM$105)*TAN(RADIANS($L$14)))))*SIN((ATAN((1-$AM$105)*TAN(RADIANS($R$17)))))*COS($AT33)-SIN((ATAN((1-$AM$105)*TAN(RADIANS($L$14)))))*COS((ATAN((1-$AM$105)*TAN(RADIANS($R$17)))))),(COS((ATAN((1-$AM$105)*TAN(RADIANS($L$14)))))*SIN($AT33)))</f>
        <v>#DIV/0!</v>
      </c>
      <c r="AX33" s="616" t="str">
        <f>IF(AND(ISNUMBER($R$14),ISNUMBER($R$17)),$AM$103*(1-$AM$108)^0.5/(1-$AM$108*SIN(RADIANS(AVERAGE($R$14,$R$17)))^2),"")</f>
        <v/>
      </c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</row>
    <row r="34" spans="2:103" ht="15" customHeight="1" x14ac:dyDescent="0.25">
      <c r="B34" s="43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313" t="s">
        <v>278</v>
      </c>
      <c r="AN34" s="801" t="e">
        <f>(RADIANS(-$S$17)-RADIANS(-$M$15))</f>
        <v>#DIV/0!</v>
      </c>
      <c r="AO34" s="802" t="e">
        <f>ATAN2((SIN((ATAN((1-$AM$105)*TAN(RADIANS($L$15)))))*SIN((ATAN((1-$AM$105)*TAN(RADIANS($R$17)))))+COS((ATAN((1-$AM$105)*TAN(RADIANS($L$15)))))*COS((ATAN((1-$AM$105)*TAN(RADIANS($R$17)))))*COS($AN34)),(((COS((ATAN((1-$AM$105)*TAN(RADIANS($R$17)))))*SIN($AN34))^2+(COS((ATAN((1-$AM$105)*TAN(RADIANS($L$15)))))*SIN((ATAN((1-$AM$105)*TAN(RADIANS($R$17)))))-SIN((ATAN((1-$AM$105)*TAN(RADIANS($L$15)))))*COS((ATAN((1-$AM$105)*TAN(RADIANS($R$17)))))*COS($AN34))^2)^0.5))</f>
        <v>#DIV/0!</v>
      </c>
      <c r="AP34" s="342" t="e">
        <f>((RADIANS(-$S$17)-RADIANS(-$M$15))+(1-($AM$105/16*(1-((COS((ATAN((1-$AM$105)*TAN(RADIANS($L$15)))))*COS((ATAN((1-$AM$105)*TAN(RADIANS($R$17)))))*SIN($AN34))/SIN($AO34))^2)*(4+$AM$105*(4-3*(1-((COS((ATAN((1-$AM$105)*TAN(RADIANS($L$15)))))*COS((ATAN((1-$AM$105)*TAN(RADIANS($R$17)))))*SIN($AN34))/SIN($AO34))^2)))))*$AM$105*((COS((ATAN((1-$AM$105)*TAN(RADIANS($L$15)))))*COS((ATAN((1-$AM$105)*TAN(RADIANS($R$17)))))*SIN($AN34))/SIN($AO34))*($AO34+($AM$105/16*(1-((COS((ATAN((1-$AM$105)*TAN(RADIANS($L$15)))))*COS((ATAN((1-$AM$105)*TAN(RADIANS($R$17)))))*SIN($AN34))/SIN($AO34))^2)*(4+$AM$105*(4-3*(1-((COS((ATAN((1-$AM$105)*TAN(RADIANS($L$15)))))*COS((ATAN((1-$AM$105)*TAN(RADIANS($R$17)))))*SIN($AN34))/SIN($AO34))^2))))*SIN($AO34)*((COS($AO34)-2*SIN((ATAN((1-$AM$105)*TAN(RADIANS($L$15)))))*SIN((ATAN((1-$AM$105)*TAN(RADIANS($R$17)))))/(1-((COS((ATAN((1-$AM$105)*TAN(RADIANS($L$15)))))*COS((ATAN((1-$AM$105)*TAN(RADIANS($R$17)))))*SIN($AN34))/SIN($AO34))^2))+($AM$105/16*(1-((COS((ATAN((1-$AM$105)*TAN(RADIANS($L$15)))))*COS((ATAN((1-$AM$105)*TAN(RADIANS($R$17)))))*SIN($AN34))/SIN($AO34))^2)*(4+$AM$105*(4-3*(1-((COS((ATAN((1-$AM$105)*TAN(RADIANS($L$15)))))*COS((ATAN((1-$AM$105)*TAN(RADIANS($R$17)))))*SIN($AN34))/SIN($AO34))^2))))*COS($AO34)*(-1+2*(COS($AO34)-2*SIN((ATAN((1-$AM$105)*TAN(RADIANS($L$15)))))*SIN((ATAN((1-$AM$105)*TAN(RADIANS($R$17)))))/(1-((COS((ATAN((1-$AM$105)*TAN(RADIANS($L$15)))))*COS((ATAN((1-$AM$105)*TAN(RADIANS($R$17)))))*SIN($AN34))/SIN($AO34))^2))^2))))</f>
        <v>#DIV/0!</v>
      </c>
      <c r="AQ34" s="802" t="e">
        <f>ATAN2((SIN((ATAN((1-$AM$105)*TAN(RADIANS($L$15)))))*SIN((ATAN((1-$AM$105)*TAN(RADIANS($R$17)))))+COS((ATAN((1-$AM$105)*TAN(RADIANS($L$15)))))*COS((ATAN((1-$AM$105)*TAN(RADIANS($R$17)))))*COS($AP34)),(((COS((ATAN((1-$AM$105)*TAN(RADIANS($R$17)))))*SIN($AP34))^2+(COS((ATAN((1-$AM$105)*TAN(RADIANS($L$15)))))*SIN((ATAN((1-$AM$105)*TAN(RADIANS($R$17)))))-SIN((ATAN((1-$AM$105)*TAN(RADIANS($L$15)))))*COS((ATAN((1-$AM$105)*TAN(RADIANS($R$17)))))*COS($AP34))^2)^0.5))</f>
        <v>#DIV/0!</v>
      </c>
      <c r="AR34" s="342" t="e">
        <f>((RADIANS(-$S$17)-RADIANS(-$M$15))+(1-($AM$105/16*(1-((COS((ATAN((1-$AM$105)*TAN(RADIANS($L$15)))))*COS((ATAN((1-$AM$105)*TAN(RADIANS($R$17)))))*SIN($AP34))/SIN($AQ34))^2)*(4+$AM$105*(4-3*(1-((COS((ATAN((1-$AM$105)*TAN(RADIANS($L$15)))))*COS((ATAN((1-$AM$105)*TAN(RADIANS($R$17)))))*SIN($AP34))/SIN($AQ34))^2)))))*$AM$105*((COS((ATAN((1-$AM$105)*TAN(RADIANS($L$15)))))*COS((ATAN((1-$AM$105)*TAN(RADIANS($R$17)))))*SIN($AP34))/SIN($AQ34))*($AQ34+($AM$105/16*(1-((COS((ATAN((1-$AM$105)*TAN(RADIANS($L$15)))))*COS((ATAN((1-$AM$105)*TAN(RADIANS($R$17)))))*SIN($AP34))/SIN($AQ34))^2)*(4+$AM$105*(4-3*(1-((COS((ATAN((1-$AM$105)*TAN(RADIANS($L$15)))))*COS((ATAN((1-$AM$105)*TAN(RADIANS($R$17)))))*SIN($AP34))/SIN($AQ34))^2))))*SIN($AQ34)*((COS($AQ34)-2*SIN((ATAN((1-$AM$105)*TAN(RADIANS($L$15)))))*SIN((ATAN((1-$AM$105)*TAN(RADIANS($R$17)))))/(1-((COS((ATAN((1-$AM$105)*TAN(RADIANS($L$15)))))*COS((ATAN((1-$AM$105)*TAN(RADIANS($R$17)))))*SIN($AP34))/SIN($AQ34))^2))+($AM$105/16*(1-((COS((ATAN((1-$AM$105)*TAN(RADIANS($L$15)))))*COS((ATAN((1-$AM$105)*TAN(RADIANS($R$17)))))*SIN($AP34))/SIN($AQ34))^2)*(4+$AM$105*(4-3*(1-((COS((ATAN((1-$AM$105)*TAN(RADIANS($L$15)))))*COS((ATAN((1-$AM$105)*TAN(RADIANS($R$17)))))*SIN($AP34))/SIN($AQ34))^2))))*COS($AQ34)*(-1+2*(COS($AQ34)-2*SIN((ATAN((1-$AM$105)*TAN(RADIANS($L$15)))))*SIN((ATAN((1-$AM$105)*TAN(RADIANS($R$17)))))/(1-((COS((ATAN((1-$AM$105)*TAN(RADIANS($L$15)))))*COS((ATAN((1-$AM$105)*TAN(RADIANS($R$17)))))*SIN($AP34))/SIN($AQ34))^2))^2))))</f>
        <v>#DIV/0!</v>
      </c>
      <c r="AS34" s="802" t="e">
        <f>ATAN2((SIN((ATAN((1-$AM$105)*TAN(RADIANS($L$15)))))*SIN((ATAN((1-$AM$105)*TAN(RADIANS($R$17)))))+COS((ATAN((1-$AM$105)*TAN(RADIANS($L$15)))))*COS((ATAN((1-$AM$105)*TAN(RADIANS($R$17)))))*COS($AR34)),(((COS((ATAN((1-$AM$105)*TAN(RADIANS($R$17)))))*SIN($AR34))^2+(COS((ATAN((1-$AM$105)*TAN(RADIANS($L$15)))))*SIN((ATAN((1-$AM$105)*TAN(RADIANS($R$17)))))-SIN((ATAN((1-$AM$105)*TAN(RADIANS($L$15)))))*COS((ATAN((1-$AM$105)*TAN(RADIANS($R$17)))))*COS($AR34))^2)^0.5))</f>
        <v>#DIV/0!</v>
      </c>
      <c r="AT34" s="801" t="e">
        <f>((RADIANS(-$S$17)-RADIANS(-$M$15))+(1-($AM$105/16*(1-((COS((ATAN((1-$AM$105)*TAN(RADIANS($L$15)))))*COS((ATAN((1-$AM$105)*TAN(RADIANS($R$17)))))*SIN($AR34))/SIN($AS34))^2)*(4+$AM$105*(4-3*(1-((COS((ATAN((1-$AM$105)*TAN(RADIANS($L$15)))))*COS((ATAN((1-$AM$105)*TAN(RADIANS($R$17)))))*SIN($AR34))/SIN($AS34))^2)))))*$AM$105*((COS((ATAN((1-$AM$105)*TAN(RADIANS($L$15)))))*COS((ATAN((1-$AM$105)*TAN(RADIANS($R$17)))))*SIN($AR34))/SIN($AS34))*($AS34+($AM$105/16*(1-((COS((ATAN((1-$AM$105)*TAN(RADIANS($L$15)))))*COS((ATAN((1-$AM$105)*TAN(RADIANS($R$17)))))*SIN($AR34))/SIN($AS34))^2)*(4+$AM$105*(4-3*(1-((COS((ATAN((1-$AM$105)*TAN(RADIANS($L$15)))))*COS((ATAN((1-$AM$105)*TAN(RADIANS($R$17)))))*SIN($AR34))/SIN($AS34))^2))))*SIN($AS34)*((COS($AS34)-2*SIN((ATAN((1-$AM$105)*TAN(RADIANS($L$15)))))*SIN((ATAN((1-$AM$105)*TAN(RADIANS($R$17)))))/(1-((COS((ATAN((1-$AM$105)*TAN(RADIANS($L$15)))))*COS((ATAN((1-$AM$105)*TAN(RADIANS($R$17)))))*SIN($AR34))/SIN($AS34))^2))+($AM$105/16*(1-((COS((ATAN((1-$AM$105)*TAN(RADIANS($L$15)))))*COS((ATAN((1-$AM$105)*TAN(RADIANS($R$17)))))*SIN($AR34))/SIN($AS34))^2)*(4+$AM$105*(4-3*(1-((COS((ATAN((1-$AM$105)*TAN(RADIANS($L$15)))))*COS((ATAN((1-$AM$105)*TAN(RADIANS($R$17)))))*SIN($AR34))/SIN($AS34))^2))))*COS($AS34)*(-1+2*(COS($AS34)-2*SIN((ATAN((1-$AM$105)*TAN(RADIANS($L$15)))))*SIN((ATAN((1-$AM$105)*TAN(RADIANS($R$17)))))/(1-((COS((ATAN((1-$AM$105)*TAN(RADIANS($L$15)))))*COS((ATAN((1-$AM$105)*TAN(RADIANS($R$17)))))*SIN($AR34))/SIN($AS34))^2))^2))))</f>
        <v>#DIV/0!</v>
      </c>
      <c r="AU34" s="400" t="e">
        <f>($AM$104*((1+1/4*(((1+((1-((COS((ATAN((1-$AM$105)*TAN(RADIANS($L$15)))))*COS((ATAN((1-$AM$105)*TAN(RADIANS($R$17)))))*SIN($AT34))/SIN($AS34))^2)*$AM$109))^0.5-1)/((1+((1-((COS((ATAN((1-$AM$105)*TAN(RADIANS($L$15)))))*COS((ATAN((1-$AM$105)*TAN(RADIANS($R$17)))))*SIN($AT34))/SIN($AS34))^2)*$AM$109))^0.5+1))^2)/(1-((1+((1-((COS((ATAN((1-$AM$105)*TAN(RADIANS($L$15)))))*COS((ATAN((1-$AM$105)*TAN(RADIANS($R$17)))))*SIN($AT34))/SIN($AS34))^2)*$AM$109))^0.5-1)/((1+((1-((COS((ATAN((1-$AM$105)*TAN(RADIANS($L$15)))))*COS((ATAN((1-$AM$105)*TAN(RADIANS($R$17)))))*SIN($AT34))/SIN($AS34))^2)*$AM$109))^0.5+1)))*($AS34-((((1+((1-((COS((ATAN((1-$AM$105)*TAN(RADIANS($L$15)))))*COS((ATAN((1-$AM$105)*TAN(RADIANS($R$17)))))*SIN($AT34))/SIN($AS34))^2)*$AM$109))^0.5-1)/((1+((1-((COS((ATAN((1-$AM$105)*TAN(RADIANS($L$15)))))*COS((ATAN((1-$AM$105)*TAN(RADIANS($R$17)))))*SIN($AT34))/SIN($AS34))^2)*$AM$109))^0.5+1)*(1-3/8*(((1+((1-((COS((ATAN((1-$AM$105)*TAN(RADIANS($L$15)))))*COS((ATAN((1-$AM$105)*TAN(RADIANS($R$17)))))*SIN($AT34))/SIN($AS34))^2)*$AM$109))^0.5-1)/((1+((1-((COS((ATAN((1-$AM$105)*TAN(RADIANS($L$15)))))*COS((ATAN((1-$AM$105)*TAN(RADIANS($R$17)))))*SIN($AT34))/SIN($AS34))^2)*$AM$109))^0.5+1))^2))*(((COS((ATAN((1-$AM$105)*TAN(RADIANS($R$17)))))*SIN($AT34))^2+(COS((ATAN((1-$AM$105)*TAN(RADIANS($L$15)))))*SIN((ATAN((1-$AM$105)*TAN(RADIANS($R$17)))))-SIN((ATAN((1-$AM$105)*TAN(RADIANS($L$15)))))*COS((ATAN((1-$AM$105)*TAN(RADIANS($R$17)))))*COS($AT34))^2)^0.5)*((COS($AS34)-2*SIN((ATAN((1-$AM$105)*TAN(RADIANS($L$15)))))*SIN((ATAN((1-$AM$105)*TAN(RADIANS($R$17)))))/(1-((COS((ATAN((1-$AM$105)*TAN(RADIANS($L$15)))))*COS((ATAN((1-$AM$105)*TAN(RADIANS($R$17)))))*SIN($AT34))/SIN($AS34))^2))+1/4*(((1+((1-((COS((ATAN((1-$AM$105)*TAN(RADIANS($L$15)))))*COS((ATAN((1-$AM$105)*TAN(RADIANS($R$17)))))*SIN($AT34))/SIN($AS34))^2)*$AM$109))^0.5-1)/((1+((1-((COS((ATAN((1-$AM$105)*TAN(RADIANS($L$15)))))*COS((ATAN((1-$AM$105)*TAN(RADIANS($R$17)))))*SIN($AT34))/SIN($AS34))^2)*$AM$109))^0.5+1)*(1-3/8*(((1+((1-((COS((ATAN((1-$AM$105)*TAN(RADIANS($L$15)))))*COS((ATAN((1-$AM$105)*TAN(RADIANS($R$17)))))*SIN($AT34))/SIN($AS34))^2)*$AM$109))^0.5-1)/((1+((1-((COS((ATAN((1-$AM$105)*TAN(RADIANS($L$15)))))*COS((ATAN((1-$AM$105)*TAN(RADIANS($R$17)))))*SIN($AT34))/SIN($AS34))^2)*$AM$109))^0.5+1))^2))*(SIN((ATAN((1-$AM$105)*TAN(RADIANS($L$15)))))*SIN((ATAN((1-$AM$105)*TAN(RADIANS($R$17)))))+COS((ATAN((1-$AM$105)*TAN(RADIANS($L$15)))))*COS((ATAN((1-$AM$105)*TAN(RADIANS($R$17)))))*COS($AT34))*(-1+2*(COS($AS34)-2*SIN((ATAN((1-$AM$105)*TAN(RADIANS($L$15)))))*SIN((ATAN((1-$AM$105)*TAN(RADIANS($R$17)))))/(1-((COS((ATAN((1-$AM$105)*TAN(RADIANS($L$15)))))*COS((ATAN((1-$AM$105)*TAN(RADIANS($R$17)))))*SIN($AT34))/SIN($AS34))^2)))))))</f>
        <v>#DIV/0!</v>
      </c>
      <c r="AV34" s="801" t="e">
        <f>ATAN2((COS((ATAN((1-$AM$105)*TAN(RADIANS($L$15)))))*SIN((ATAN((1-$AM$105)*TAN(RADIANS($R$17)))))-SIN((ATAN((1-$AM$105)*TAN(RADIANS($L$15)))))*COS((ATAN((1-$AM$105)*TAN(RADIANS($R$17)))))*COS($AT34)),(COS((ATAN((1-$AM$105)*TAN(RADIANS($R$17)))))*SIN($AT34)))</f>
        <v>#DIV/0!</v>
      </c>
      <c r="AW34" s="801" t="e">
        <f>ATAN2((COS((ATAN((1-$AM$105)*TAN(RADIANS($L$15)))))*SIN((ATAN((1-$AM$105)*TAN(RADIANS($R$17)))))*COS($AT34)-SIN((ATAN((1-$AM$105)*TAN(RADIANS($L$15)))))*COS((ATAN((1-$AM$105)*TAN(RADIANS($R$17)))))),(COS((ATAN((1-$AM$105)*TAN(RADIANS($L$15)))))*SIN($AT34)))</f>
        <v>#DIV/0!</v>
      </c>
      <c r="AX34" s="616" t="str">
        <f>IF(AND(ISNUMBER($R$14),ISNUMBER($R$17)),$AM$103*(1-$AM$108)^0.5/(1-$AM$108*SIN(RADIANS(AVERAGE($R$14,$R$17)))^2),"")</f>
        <v/>
      </c>
    </row>
    <row r="35" spans="2:103" ht="15" customHeight="1" x14ac:dyDescent="0.25">
      <c r="B35" s="43"/>
      <c r="Y35" s="5"/>
      <c r="Z35" s="29"/>
      <c r="AA35" s="5"/>
      <c r="AB35" s="5"/>
      <c r="AC35" s="5"/>
      <c r="AD35" s="5"/>
      <c r="AE35" s="5"/>
      <c r="AF35" s="5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"/>
    </row>
    <row r="36" spans="2:103" ht="15" customHeight="1" x14ac:dyDescent="0.25">
      <c r="B36" s="43"/>
      <c r="Y36" s="5"/>
      <c r="Z36" s="29"/>
      <c r="AA36" s="5"/>
      <c r="AB36" s="5"/>
      <c r="AC36" s="5"/>
      <c r="AD36" s="5"/>
      <c r="AM36" s="54"/>
      <c r="AN36" s="54"/>
      <c r="AO36" s="54"/>
      <c r="AP36" s="54"/>
      <c r="AQ36" s="54"/>
      <c r="AR36" s="54"/>
      <c r="AS36" s="54"/>
      <c r="AT36" s="916" t="s">
        <v>279</v>
      </c>
      <c r="AU36" s="832"/>
      <c r="AV36" s="832"/>
      <c r="AW36" s="832"/>
    </row>
    <row r="37" spans="2:103" ht="15" customHeight="1" x14ac:dyDescent="0.25">
      <c r="B37" s="43"/>
      <c r="Y37" s="5"/>
      <c r="Z37" s="5"/>
      <c r="AA37" s="5"/>
      <c r="AB37" s="5"/>
      <c r="AC37" s="5"/>
      <c r="AD37" s="5"/>
      <c r="AM37" s="54"/>
      <c r="AN37" s="667" t="s">
        <v>60</v>
      </c>
      <c r="AO37" s="667" t="s">
        <v>61</v>
      </c>
      <c r="AP37" s="667" t="s">
        <v>62</v>
      </c>
      <c r="AQ37" s="667" t="s">
        <v>63</v>
      </c>
      <c r="AR37" s="667" t="s">
        <v>64</v>
      </c>
      <c r="AS37" s="667" t="s">
        <v>65</v>
      </c>
      <c r="AT37" s="667" t="s">
        <v>66</v>
      </c>
      <c r="AU37" s="667" t="s">
        <v>67</v>
      </c>
      <c r="AV37" s="740" t="s">
        <v>68</v>
      </c>
      <c r="AW37" s="667" t="s">
        <v>69</v>
      </c>
    </row>
    <row r="38" spans="2:103" ht="12" customHeight="1" x14ac:dyDescent="0.25">
      <c r="B38" s="43"/>
      <c r="Y38" s="5"/>
      <c r="Z38" s="29"/>
      <c r="AA38" s="5"/>
      <c r="AB38" s="5"/>
      <c r="AC38" s="5"/>
      <c r="AD38" s="5"/>
      <c r="AM38" s="313" t="s">
        <v>16</v>
      </c>
      <c r="AN38" s="342" t="e">
        <f>$AW8*($AP$10/($AP$10-17+$E$13*0.3048))*1200/3937/$AM$104/((1+1/4*(((1+((1-(COS((ATAN((1-$AM$105)*TAN(RADIANS($R$14)))))*SIN($AX8))^2)*$AM$108))^0.5-1)/((1+((1-(COS((ATAN((1-$AM$105)*TAN(RADIANS($R$14)))))*SIN($AX8))^2)*$AM$108))^0.5+1))^2)/(1-((1+((1-(COS((ATAN((1-$AM$105)*TAN(RADIANS($R$14)))))*SIN($AX8))^2)*$AM$108))^0.5-1)/((1+((1-(COS((ATAN((1-$AM$105)*TAN(RADIANS($R$14)))))*SIN($AX8))^2)*$AM$108))^0.5+1)))</f>
        <v>#DIV/0!</v>
      </c>
      <c r="AO38" s="342" t="e">
        <f>(((1-(COS((ATAN((1-$AM$105)*TAN(RADIANS($R$14)))))*SIN($AX8))^2)*$AM$108)/512*(128+((1-(COS((ATAN((1-$AM$105)*TAN(RADIANS($R$14)))))*SIN($AX8))^2)*$AM$108)*(-64+37*((1-(COS((ATAN((1-$AM$105)*TAN(RADIANS($R$14)))))*SIN($AX8))^2)*$AM$108))))*SIN(AN38)*((COS(2*ATAN2(COS($AX8),TAN((ATAN((1-$AM$105)*TAN(RADIANS($R$14))))))+AN38))+1/4*(((1-(COS((ATAN((1-$AM$105)*TAN(RADIANS($R$14)))))*SIN($AX8))^2)*$AM$108)/512*(128+((1-(COS((ATAN((1-$AM$105)*TAN(RADIANS($R$14)))))*SIN($AX8))^2)*$AM$108)*(-64+37*((1-(COS((ATAN((1-$AM$105)*TAN(RADIANS($R$14)))))*SIN($AX8))^2)*$AM$108))))*(COS(AN38)*(-1+2*(COS(2*ATAN2(COS($AX8),TAN((ATAN((1-$AM$105)*TAN(RADIANS($R$14))))))+AN38))^2)))</f>
        <v>#DIV/0!</v>
      </c>
      <c r="AP38" s="342" t="e">
        <f>$AW8*($AP$10/($AP$10-17+$E$13*0.3048))*1200/3937/$AM$104/((1+1/4*(((1+((1-(COS((ATAN((1-$AM$105)*TAN(RADIANS($R$14)))))*SIN($AX8))^2)*$AM$108))^0.5-1)/((1+((1-(COS((ATAN((1-$AM$105)*TAN(RADIANS($R$14)))))*SIN($AX8))^2)*$AM$108))^0.5+1))^2)/(1-((1+((1-(COS((ATAN((1-$AM$105)*TAN(RADIANS($R$14)))))*SIN($AX8))^2)*$AM$108))^0.5-1)/((1+((1-(COS((ATAN((1-$AM$105)*TAN(RADIANS($R$14)))))*SIN($AX8))^2)*$AM$108))^0.5+1)))+AO38</f>
        <v>#DIV/0!</v>
      </c>
      <c r="AQ38" s="342" t="e">
        <f>(((1-(COS((ATAN((1-$AM$105)*TAN(RADIANS($R$14)))))*SIN($AX8))^2)*$AM$108)/512*(128+((1-(COS((ATAN((1-$AM$105)*TAN(RADIANS($R$14)))))*SIN($AX8))^2)*$AM$108)*(-64+37*((1-(COS((ATAN((1-$AM$105)*TAN(RADIANS($R$14)))))*SIN($AX8))^2)*$AM$108))))*SIN(AP38)*((COS(2*ATAN2(COS($AX8),TAN((ATAN((1-$AM$105)*TAN(RADIANS($R$14))))))+AP38))+1/4*(((1-(COS((ATAN((1-$AM$105)*TAN(RADIANS($R$14)))))*SIN($AX8))^2)*$AM$108)/512*(128+((1-(COS((ATAN((1-$AM$105)*TAN(RADIANS($R$14)))))*SIN($AX8))^2)*$AM$108)*(-64+37*((1-(COS((ATAN((1-$AM$105)*TAN(RADIANS($R$14)))))*SIN($AX8))^2)*$AM$108))))*(COS(AP38)*(-1+2*(COS(2*ATAN2(COS($AX8),TAN((ATAN((1-$AM$105)*TAN(RADIANS($R$14))))))+AP38))^2)))</f>
        <v>#DIV/0!</v>
      </c>
      <c r="AR38" s="342" t="e">
        <f>$AW8*($AP$10/($AP$10-17+$E$13*0.3048))*1200/3937/$AM$104/((1+1/4*(((1+((1-(COS((ATAN((1-$AM$105)*TAN(RADIANS($R$14)))))*SIN($AX8))^2)*$AM$108))^0.5-1)/((1+((1-(COS((ATAN((1-$AM$105)*TAN(RADIANS($R$14)))))*SIN($AX8))^2)*$AM$108))^0.5+1))^2)/(1-((1+((1-(COS((ATAN((1-$AM$105)*TAN(RADIANS($R$14)))))*SIN($AX8))^2)*$AM$108))^0.5-1)/((1+((1-(COS((ATAN((1-$AM$105)*TAN(RADIANS($R$14)))))*SIN($AX8))^2)*$AM$108))^0.5+1)))+AQ38</f>
        <v>#DIV/0!</v>
      </c>
      <c r="AS38" s="342" t="e">
        <f>(((1-(COS((ATAN((1-$AM$105)*TAN(RADIANS($R$14)))))*SIN($AX8))^2)*$AM$108)/512*(128+((1-(COS((ATAN((1-$AM$105)*TAN(RADIANS($R$14)))))*SIN($AX8))^2)*$AM$108)*(-64+37*((1-(COS((ATAN((1-$AM$105)*TAN(RADIANS($R$14)))))*SIN($AX8))^2)*$AM$108))))*SIN(AR38)*((COS(2*ATAN2(COS($AX8),TAN((ATAN((1-$AM$105)*TAN(RADIANS($R$14))))))+AR38))+1/4*(((1-(COS((ATAN((1-$AM$105)*TAN(RADIANS($R$14)))))*SIN($AX8))^2)*$AM$108)/512*(128+((1-(COS((ATAN((1-$AM$105)*TAN(RADIANS($R$14)))))*SIN($AX8))^2)*$AM$108)*(-64+37*((1-(COS((ATAN((1-$AM$105)*TAN(RADIANS($R$14)))))*SIN($AX8))^2)*$AM$108))))*(COS(AR38)*(-1+2*(COS(2*ATAN2(COS($AX8),TAN((ATAN((1-$AM$105)*TAN(RADIANS($R$14))))))+AR38))^2)))</f>
        <v>#DIV/0!</v>
      </c>
      <c r="AT38" s="342" t="e">
        <f>$AW8*($AP$10/($AP$10-17+$E$13*0.3048))*1200/3937/$AM$104/((1+1/4*(((1+((1-(COS((ATAN((1-$AM$105)*TAN(RADIANS($R$14)))))*SIN($AX8))^2)*$AM$108))^0.5-1)/((1+((1-(COS((ATAN((1-$AM$105)*TAN(RADIANS($R$14)))))*SIN($AX8))^2)*$AM$108))^0.5+1))^2)/(1-((1+((1-(COS((ATAN((1-$AM$105)*TAN(RADIANS($R$14)))))*SIN($AX8))^2)*$AM$108))^0.5-1)/((1+((1-(COS((ATAN((1-$AM$105)*TAN(RADIANS($R$14)))))*SIN($AX8))^2)*$AM$108))^0.5+1)))+AS38</f>
        <v>#DIV/0!</v>
      </c>
      <c r="AU38" s="696" t="e">
        <f>ATAN2((1-$AM$105)*((COS((ATAN((1-$AM$105)*TAN(RADIANS($R$14)))))*SIN($AX8))^2+(SIN((ATAN((1-$AM$105)*TAN(RADIANS($R$14)))))*SIN($AT38)-COS((ATAN((1-$AM$105)*TAN(RADIANS($R$14)))))*COS($AT38)*COS($AX8))^2)^0.5,SIN((ATAN((1-$AM$105)*TAN(RADIANS($R$14)))))*COS($AT38)+COS((ATAN((1-$AM$105)*TAN(RADIANS($R$14)))))*SIN($AT38)*COS($AX8))</f>
        <v>#DIV/0!</v>
      </c>
      <c r="AV38" s="696" t="e">
        <f>(ATAN2(COS((ATAN((1-$AM$105)*TAN(RADIANS($R$14)))))*COS($AT38)-SIN((ATAN((1-$AM$105)*TAN(RADIANS($R$14)))))*SIN($AT38)*COS($AX8),SIN($AT38)*SIN($AX8))-(1-($AM$105/16*(1-(COS((ATAN((1-$AM$105)*TAN(RADIANS($R$14)))))*SIN($AX8))^2)*(4+$AM$105*(4-3*(1-(COS((ATAN((1-$AM$105)*TAN(RADIANS($R$14)))))*SIN($AX8))^2)))))*$AM$105*(COS((ATAN((1-$AM$105)*TAN(RADIANS($R$14)))))*SIN($AX8))*($AT38+($AM$105/16*(1-(COS((ATAN((1-$AM$105)*TAN(RADIANS($R$14)))))*SIN($AX8))^2)*(4+$AM$105*(4-3*(1-(COS((ATAN((1-$AM$105)*TAN(RADIANS($R$14)))))*SIN($AX8))^2))))*SIN($AT38)*((COS(2*ATAN2(COS($AX8),TAN((ATAN((1-$AM$105)*TAN(RADIANS($R$14))))))+$AT38))+($AM$105/16*(1-(COS((ATAN((1-$AM$105)*TAN(RADIANS($R$14)))))*SIN($AX8))^2)*(4+$AM$105*(4-3*(1-(COS((ATAN((1-$AM$105)*TAN(RADIANS($R$14)))))*SIN($AX8))^2))))*COS($AT38)*(-1+2*(COS(2*ATAN2(COS($AX8),TAN((ATAN((1-$AM$105)*TAN(RADIANS($R$14))))))+$AT38))^2))))+RADIANS(-$S$14)</f>
        <v>#DIV/0!</v>
      </c>
      <c r="AW38" s="696" t="e">
        <f>ATAN2((-SIN((ATAN((1-$AM$105)*TAN(RADIANS($R$14)))))*SIN($AT38)+COS((ATAN((1-$AM$105)*TAN(RADIANS($R$14)))))*COS($AT38)*COS($AX8)),(COS((ATAN((1-$AM$105)*TAN(RADIANS($R$14)))))*SIN($AX8)))</f>
        <v>#DIV/0!</v>
      </c>
    </row>
    <row r="39" spans="2:103" ht="12" customHeight="1" x14ac:dyDescent="0.25">
      <c r="B39" s="43"/>
      <c r="Y39" s="5"/>
      <c r="Z39" s="29"/>
      <c r="AA39" s="5"/>
      <c r="AB39" s="5"/>
      <c r="AC39" s="5"/>
      <c r="AD39" s="5"/>
      <c r="AM39" s="313" t="s">
        <v>18</v>
      </c>
      <c r="AN39" s="342" t="e">
        <f>$AW9*($AP$10/($AP$10-17+$E$13*0.3048))*1200/3937/$AM$104/((1+1/4*(((1+((1-(COS((ATAN((1-$AM$105)*TAN(RADIANS($R$14)))))*SIN($AX9))^2)*$AM$108))^0.5-1)/((1+((1-(COS((ATAN((1-$AM$105)*TAN(RADIANS($R$14)))))*SIN($AX9))^2)*$AM$108))^0.5+1))^2)/(1-((1+((1-(COS((ATAN((1-$AM$105)*TAN(RADIANS($R$14)))))*SIN($AX9))^2)*$AM$108))^0.5-1)/((1+((1-(COS((ATAN((1-$AM$105)*TAN(RADIANS($R$14)))))*SIN($AX9))^2)*$AM$108))^0.5+1)))</f>
        <v>#DIV/0!</v>
      </c>
      <c r="AO39" s="342" t="e">
        <f>(((1-(COS((ATAN((1-$AM$105)*TAN(RADIANS($R$14)))))*SIN($AX9))^2)*$AM$108)/512*(128+((1-(COS((ATAN((1-$AM$105)*TAN(RADIANS($R$14)))))*SIN($AX9))^2)*$AM$108)*(-64+37*((1-(COS((ATAN((1-$AM$105)*TAN(RADIANS($R$14)))))*SIN($AX9))^2)*$AM$108))))*SIN(AN39)*((COS(2*ATAN2(COS($AX9),TAN((ATAN((1-$AM$105)*TAN(RADIANS($R$14))))))+AN39))+1/4*(((1-(COS((ATAN((1-$AM$105)*TAN(RADIANS($R$14)))))*SIN($AX9))^2)*$AM$108)/512*(128+((1-(COS((ATAN((1-$AM$105)*TAN(RADIANS($R$14)))))*SIN($AX9))^2)*$AM$108)*(-64+37*((1-(COS((ATAN((1-$AM$105)*TAN(RADIANS($R$14)))))*SIN($AX9))^2)*$AM$108))))*(COS(AN39)*(-1+2*(COS(2*ATAN2(COS($AX9),TAN((ATAN((1-$AM$105)*TAN(RADIANS($R$14))))))+AN39))^2)))</f>
        <v>#DIV/0!</v>
      </c>
      <c r="AP39" s="342" t="e">
        <f>$AW9*($AP$10/($AP$10-17+$E$13*0.3048))*1200/3937/$AM$104/((1+1/4*(((1+((1-(COS((ATAN((1-$AM$105)*TAN(RADIANS($R$14)))))*SIN($AX9))^2)*$AM$108))^0.5-1)/((1+((1-(COS((ATAN((1-$AM$105)*TAN(RADIANS($R$14)))))*SIN($AX9))^2)*$AM$108))^0.5+1))^2)/(1-((1+((1-(COS((ATAN((1-$AM$105)*TAN(RADIANS($R$14)))))*SIN($AX9))^2)*$AM$108))^0.5-1)/((1+((1-(COS((ATAN((1-$AM$105)*TAN(RADIANS($R$14)))))*SIN($AX9))^2)*$AM$108))^0.5+1)))+AO39</f>
        <v>#DIV/0!</v>
      </c>
      <c r="AQ39" s="342" t="e">
        <f>(((1-(COS((ATAN((1-$AM$105)*TAN(RADIANS($R$14)))))*SIN($AX9))^2)*$AM$108)/512*(128+((1-(COS((ATAN((1-$AM$105)*TAN(RADIANS($R$14)))))*SIN($AX9))^2)*$AM$108)*(-64+37*((1-(COS((ATAN((1-$AM$105)*TAN(RADIANS($R$14)))))*SIN($AX9))^2)*$AM$108))))*SIN(AP39)*((COS(2*ATAN2(COS($AX9),TAN((ATAN((1-$AM$105)*TAN(RADIANS($R$14))))))+AP39))+1/4*(((1-(COS((ATAN((1-$AM$105)*TAN(RADIANS($R$14)))))*SIN($AX9))^2)*$AM$108)/512*(128+((1-(COS((ATAN((1-$AM$105)*TAN(RADIANS($R$14)))))*SIN($AX9))^2)*$AM$108)*(-64+37*((1-(COS((ATAN((1-$AM$105)*TAN(RADIANS($R$14)))))*SIN($AX9))^2)*$AM$108))))*(COS(AP39)*(-1+2*(COS(2*ATAN2(COS($AX9),TAN((ATAN((1-$AM$105)*TAN(RADIANS($R$14))))))+AP39))^2)))</f>
        <v>#DIV/0!</v>
      </c>
      <c r="AR39" s="342" t="e">
        <f>$AW9*($AP$10/($AP$10-17+$E$13*0.3048))*1200/3937/$AM$104/((1+1/4*(((1+((1-(COS((ATAN((1-$AM$105)*TAN(RADIANS($R$14)))))*SIN($AX9))^2)*$AM$108))^0.5-1)/((1+((1-(COS((ATAN((1-$AM$105)*TAN(RADIANS($R$14)))))*SIN($AX9))^2)*$AM$108))^0.5+1))^2)/(1-((1+((1-(COS((ATAN((1-$AM$105)*TAN(RADIANS($R$14)))))*SIN($AX9))^2)*$AM$108))^0.5-1)/((1+((1-(COS((ATAN((1-$AM$105)*TAN(RADIANS($R$14)))))*SIN($AX9))^2)*$AM$108))^0.5+1)))+AQ39</f>
        <v>#DIV/0!</v>
      </c>
      <c r="AS39" s="342" t="e">
        <f>(((1-(COS((ATAN((1-$AM$105)*TAN(RADIANS($R$14)))))*SIN($AX9))^2)*$AM$108)/512*(128+((1-(COS((ATAN((1-$AM$105)*TAN(RADIANS($R$14)))))*SIN($AX9))^2)*$AM$108)*(-64+37*((1-(COS((ATAN((1-$AM$105)*TAN(RADIANS($R$14)))))*SIN($AX9))^2)*$AM$108))))*SIN(AR39)*((COS(2*ATAN2(COS($AX9),TAN((ATAN((1-$AM$105)*TAN(RADIANS($R$14))))))+AR39))+1/4*(((1-(COS((ATAN((1-$AM$105)*TAN(RADIANS($R$14)))))*SIN($AX9))^2)*$AM$108)/512*(128+((1-(COS((ATAN((1-$AM$105)*TAN(RADIANS($R$14)))))*SIN($AX9))^2)*$AM$108)*(-64+37*((1-(COS((ATAN((1-$AM$105)*TAN(RADIANS($R$14)))))*SIN($AX9))^2)*$AM$108))))*(COS(AR39)*(-1+2*(COS(2*ATAN2(COS($AX9),TAN((ATAN((1-$AM$105)*TAN(RADIANS($R$14))))))+AR39))^2)))</f>
        <v>#DIV/0!</v>
      </c>
      <c r="AT39" s="342" t="e">
        <f>$AW9*($AP$10/($AP$10-17+$E$13*0.3048))*1200/3937/$AM$104/((1+1/4*(((1+((1-(COS((ATAN((1-$AM$105)*TAN(RADIANS($R$14)))))*SIN($AX9))^2)*$AM$108))^0.5-1)/((1+((1-(COS((ATAN((1-$AM$105)*TAN(RADIANS($R$14)))))*SIN($AX9))^2)*$AM$108))^0.5+1))^2)/(1-((1+((1-(COS((ATAN((1-$AM$105)*TAN(RADIANS($R$14)))))*SIN($AX9))^2)*$AM$108))^0.5-1)/((1+((1-(COS((ATAN((1-$AM$105)*TAN(RADIANS($R$14)))))*SIN($AX9))^2)*$AM$108))^0.5+1)))+AS39</f>
        <v>#DIV/0!</v>
      </c>
      <c r="AU39" s="696" t="e">
        <f>ATAN2((1-$AM$105)*((COS((ATAN((1-$AM$105)*TAN(RADIANS($R$14)))))*SIN($AX9))^2+(SIN((ATAN((1-$AM$105)*TAN(RADIANS($R$14)))))*SIN($AT39)-COS((ATAN((1-$AM$105)*TAN(RADIANS($R$14)))))*COS($AT39)*COS($AX9))^2)^0.5,SIN((ATAN((1-$AM$105)*TAN(RADIANS($R$14)))))*COS($AT39)+COS((ATAN((1-$AM$105)*TAN(RADIANS($R$14)))))*SIN($AT39)*COS($AX9))</f>
        <v>#DIV/0!</v>
      </c>
      <c r="AV39" s="696" t="e">
        <f>(ATAN2(COS((ATAN((1-$AM$105)*TAN(RADIANS($R$14)))))*COS($AT39)-SIN((ATAN((1-$AM$105)*TAN(RADIANS($R$14)))))*SIN($AT39)*COS($AX9),SIN($AT39)*SIN($AX9))-(1-($AM$105/16*(1-(COS((ATAN((1-$AM$105)*TAN(RADIANS($R$14)))))*SIN($AX9))^2)*(4+$AM$105*(4-3*(1-(COS((ATAN((1-$AM$105)*TAN(RADIANS($R$14)))))*SIN($AX9))^2)))))*$AM$105*(COS((ATAN((1-$AM$105)*TAN(RADIANS($R$14)))))*SIN($AX9))*($AT39+($AM$105/16*(1-(COS((ATAN((1-$AM$105)*TAN(RADIANS($R$14)))))*SIN($AX9))^2)*(4+$AM$105*(4-3*(1-(COS((ATAN((1-$AM$105)*TAN(RADIANS($R$14)))))*SIN($AX9))^2))))*SIN($AT39)*((COS(2*ATAN2(COS($AX9),TAN((ATAN((1-$AM$105)*TAN(RADIANS($R$14))))))+$AT39))+($AM$105/16*(1-(COS((ATAN((1-$AM$105)*TAN(RADIANS($R$14)))))*SIN($AX9))^2)*(4+$AM$105*(4-3*(1-(COS((ATAN((1-$AM$105)*TAN(RADIANS($R$14)))))*SIN($AX9))^2))))*COS($AT39)*(-1+2*(COS(2*ATAN2(COS($AX9),TAN((ATAN((1-$AM$105)*TAN(RADIANS($R$14))))))+$AT39))^2))))+RADIANS(-$S$14)</f>
        <v>#DIV/0!</v>
      </c>
      <c r="AW39" s="696" t="e">
        <f>ATAN2((-SIN((ATAN((1-$AM$105)*TAN(RADIANS($R$14)))))*SIN($AT39)+COS((ATAN((1-$AM$105)*TAN(RADIANS($R$14)))))*COS($AT39)*COS($AX9)),(COS((ATAN((1-$AM$105)*TAN(RADIANS($R$14)))))*SIN($AX9)))</f>
        <v>#DIV/0!</v>
      </c>
    </row>
    <row r="40" spans="2:103" ht="12" customHeight="1" x14ac:dyDescent="0.25">
      <c r="B40" s="668"/>
      <c r="C40" s="54"/>
      <c r="Y40" s="5"/>
      <c r="Z40" s="29"/>
      <c r="AA40" s="5"/>
      <c r="AB40" s="5"/>
      <c r="AC40" s="5"/>
      <c r="AD40" s="5"/>
      <c r="AM40" s="313" t="s">
        <v>242</v>
      </c>
      <c r="AN40" s="342" t="e">
        <f>$AW10*($AP$10/($AP$10-17+$E$13*0.3048))*1200/3937/$AM$104/((1+1/4*(((1+((1-(COS((ATAN((1-$AM$105)*TAN(RADIANS($R$14)))))*SIN($AX10))^2)*$AM$108))^0.5-1)/((1+((1-(COS((ATAN((1-$AM$105)*TAN(RADIANS($R$14)))))*SIN($AX10))^2)*$AM$108))^0.5+1))^2)/(1-((1+((1-(COS((ATAN((1-$AM$105)*TAN(RADIANS($R$14)))))*SIN($AX10))^2)*$AM$108))^0.5-1)/((1+((1-(COS((ATAN((1-$AM$105)*TAN(RADIANS($R$14)))))*SIN($AX10))^2)*$AM$108))^0.5+1)))</f>
        <v>#DIV/0!</v>
      </c>
      <c r="AO40" s="342" t="e">
        <f>(((1-(COS((ATAN((1-$AM$105)*TAN(RADIANS($R$14)))))*SIN($AX10))^2)*$AM$108)/512*(128+((1-(COS((ATAN((1-$AM$105)*TAN(RADIANS($R$14)))))*SIN($AX10))^2)*$AM$108)*(-64+37*((1-(COS((ATAN((1-$AM$105)*TAN(RADIANS($R$14)))))*SIN($AX10))^2)*$AM$108))))*SIN(AN40)*((COS(2*ATAN2(COS($AX10),TAN((ATAN((1-$AM$105)*TAN(RADIANS($R$14))))))+AN40))+1/4*(((1-(COS((ATAN((1-$AM$105)*TAN(RADIANS($R$14)))))*SIN($AX10))^2)*$AM$108)/512*(128+((1-(COS((ATAN((1-$AM$105)*TAN(RADIANS($R$14)))))*SIN($AX10))^2)*$AM$108)*(-64+37*((1-(COS((ATAN((1-$AM$105)*TAN(RADIANS($R$14)))))*SIN($AX10))^2)*$AM$108))))*(COS(AN40)*(-1+2*(COS(2*ATAN2(COS($AX10),TAN((ATAN((1-$AM$105)*TAN(RADIANS($R$14))))))+AN40))^2)))</f>
        <v>#DIV/0!</v>
      </c>
      <c r="AP40" s="342" t="e">
        <f>$AW10*($AP$10/($AP$10-17+$E$13*0.3048))*1200/3937/$AM$104/((1+1/4*(((1+((1-(COS((ATAN((1-$AM$105)*TAN(RADIANS($R$14)))))*SIN($AX10))^2)*$AM$108))^0.5-1)/((1+((1-(COS((ATAN((1-$AM$105)*TAN(RADIANS($R$14)))))*SIN($AX10))^2)*$AM$108))^0.5+1))^2)/(1-((1+((1-(COS((ATAN((1-$AM$105)*TAN(RADIANS($R$14)))))*SIN($AX10))^2)*$AM$108))^0.5-1)/((1+((1-(COS((ATAN((1-$AM$105)*TAN(RADIANS($R$14)))))*SIN($AX10))^2)*$AM$108))^0.5+1)))+AO40</f>
        <v>#DIV/0!</v>
      </c>
      <c r="AQ40" s="342" t="e">
        <f>(((1-(COS((ATAN((1-$AM$105)*TAN(RADIANS($R$14)))))*SIN($AX10))^2)*$AM$108)/512*(128+((1-(COS((ATAN((1-$AM$105)*TAN(RADIANS($R$14)))))*SIN($AX10))^2)*$AM$108)*(-64+37*((1-(COS((ATAN((1-$AM$105)*TAN(RADIANS($R$14)))))*SIN($AX10))^2)*$AM$108))))*SIN(AP40)*((COS(2*ATAN2(COS($AX10),TAN((ATAN((1-$AM$105)*TAN(RADIANS($R$14))))))+AP40))+1/4*(((1-(COS((ATAN((1-$AM$105)*TAN(RADIANS($R$14)))))*SIN($AX10))^2)*$AM$108)/512*(128+((1-(COS((ATAN((1-$AM$105)*TAN(RADIANS($R$14)))))*SIN($AX10))^2)*$AM$108)*(-64+37*((1-(COS((ATAN((1-$AM$105)*TAN(RADIANS($R$14)))))*SIN($AX10))^2)*$AM$108))))*(COS(AP40)*(-1+2*(COS(2*ATAN2(COS($AX10),TAN((ATAN((1-$AM$105)*TAN(RADIANS($R$14))))))+AP40))^2)))</f>
        <v>#DIV/0!</v>
      </c>
      <c r="AR40" s="342" t="e">
        <f>$AW10*($AP$10/($AP$10-17+$E$13*0.3048))*1200/3937/$AM$104/((1+1/4*(((1+((1-(COS((ATAN((1-$AM$105)*TAN(RADIANS($R$14)))))*SIN($AX10))^2)*$AM$108))^0.5-1)/((1+((1-(COS((ATAN((1-$AM$105)*TAN(RADIANS($R$14)))))*SIN($AX10))^2)*$AM$108))^0.5+1))^2)/(1-((1+((1-(COS((ATAN((1-$AM$105)*TAN(RADIANS($R$14)))))*SIN($AX10))^2)*$AM$108))^0.5-1)/((1+((1-(COS((ATAN((1-$AM$105)*TAN(RADIANS($R$14)))))*SIN($AX10))^2)*$AM$108))^0.5+1)))+AQ40</f>
        <v>#DIV/0!</v>
      </c>
      <c r="AS40" s="342" t="e">
        <f>(((1-(COS((ATAN((1-$AM$105)*TAN(RADIANS($R$14)))))*SIN($AX10))^2)*$AM$108)/512*(128+((1-(COS((ATAN((1-$AM$105)*TAN(RADIANS($R$14)))))*SIN($AX10))^2)*$AM$108)*(-64+37*((1-(COS((ATAN((1-$AM$105)*TAN(RADIANS($R$14)))))*SIN($AX10))^2)*$AM$108))))*SIN(AR40)*((COS(2*ATAN2(COS($AX10),TAN((ATAN((1-$AM$105)*TAN(RADIANS($R$14))))))+AR40))+1/4*(((1-(COS((ATAN((1-$AM$105)*TAN(RADIANS($R$14)))))*SIN($AX10))^2)*$AM$108)/512*(128+((1-(COS((ATAN((1-$AM$105)*TAN(RADIANS($R$14)))))*SIN($AX10))^2)*$AM$108)*(-64+37*((1-(COS((ATAN((1-$AM$105)*TAN(RADIANS($R$14)))))*SIN($AX10))^2)*$AM$108))))*(COS(AR40)*(-1+2*(COS(2*ATAN2(COS($AX10),TAN((ATAN((1-$AM$105)*TAN(RADIANS($R$14))))))+AR40))^2)))</f>
        <v>#DIV/0!</v>
      </c>
      <c r="AT40" s="342" t="e">
        <f>$AW10*($AP$10/($AP$10-17+$E$13*0.3048))*1200/3937/$AM$104/((1+1/4*(((1+((1-(COS((ATAN((1-$AM$105)*TAN(RADIANS($R$14)))))*SIN($AX10))^2)*$AM$108))^0.5-1)/((1+((1-(COS((ATAN((1-$AM$105)*TAN(RADIANS($R$14)))))*SIN($AX10))^2)*$AM$108))^0.5+1))^2)/(1-((1+((1-(COS((ATAN((1-$AM$105)*TAN(RADIANS($R$14)))))*SIN($AX10))^2)*$AM$108))^0.5-1)/((1+((1-(COS((ATAN((1-$AM$105)*TAN(RADIANS($R$14)))))*SIN($AX10))^2)*$AM$108))^0.5+1)))+AS40</f>
        <v>#DIV/0!</v>
      </c>
      <c r="AU40" s="696" t="e">
        <f>ATAN2((1-$AM$105)*((COS((ATAN((1-$AM$105)*TAN(RADIANS($R$14)))))*SIN($AX10))^2+(SIN((ATAN((1-$AM$105)*TAN(RADIANS($R$14)))))*SIN($AT40)-COS((ATAN((1-$AM$105)*TAN(RADIANS($R$14)))))*COS($AT40)*COS($AX10))^2)^0.5,SIN((ATAN((1-$AM$105)*TAN(RADIANS($R$14)))))*COS($AT40)+COS((ATAN((1-$AM$105)*TAN(RADIANS($R$14)))))*SIN($AT40)*COS($AX10))</f>
        <v>#DIV/0!</v>
      </c>
      <c r="AV40" s="696" t="e">
        <f>(ATAN2(COS((ATAN((1-$AM$105)*TAN(RADIANS($R$14)))))*COS($AT40)-SIN((ATAN((1-$AM$105)*TAN(RADIANS($R$14)))))*SIN($AT40)*COS($AX10),SIN($AT40)*SIN($AX10))-(1-($AM$105/16*(1-(COS((ATAN((1-$AM$105)*TAN(RADIANS($R$14)))))*SIN($AX10))^2)*(4+$AM$105*(4-3*(1-(COS((ATAN((1-$AM$105)*TAN(RADIANS($R$14)))))*SIN($AX10))^2)))))*$AM$105*(COS((ATAN((1-$AM$105)*TAN(RADIANS($R$14)))))*SIN($AX10))*($AT40+($AM$105/16*(1-(COS((ATAN((1-$AM$105)*TAN(RADIANS($R$14)))))*SIN($AX10))^2)*(4+$AM$105*(4-3*(1-(COS((ATAN((1-$AM$105)*TAN(RADIANS($R$14)))))*SIN($AX10))^2))))*SIN($AT40)*((COS(2*ATAN2(COS($AX10),TAN((ATAN((1-$AM$105)*TAN(RADIANS($R$14))))))+$AT40))+($AM$105/16*(1-(COS((ATAN((1-$AM$105)*TAN(RADIANS($R$14)))))*SIN($AX10))^2)*(4+$AM$105*(4-3*(1-(COS((ATAN((1-$AM$105)*TAN(RADIANS($R$14)))))*SIN($AX10))^2))))*COS($AT40)*(-1+2*(COS(2*ATAN2(COS($AX10),TAN((ATAN((1-$AM$105)*TAN(RADIANS($R$14))))))+$AT40))^2))))+RADIANS(-$S$14)</f>
        <v>#DIV/0!</v>
      </c>
      <c r="AW40" s="696" t="e">
        <f>ATAN2((-SIN((ATAN((1-$AM$105)*TAN(RADIANS($R$14)))))*SIN($AT40)+COS((ATAN((1-$AM$105)*TAN(RADIANS($R$14)))))*COS($AT40)*COS($AX10)),(COS((ATAN((1-$AM$105)*TAN(RADIANS($R$14)))))*SIN($AX10)))</f>
        <v>#DIV/0!</v>
      </c>
    </row>
    <row r="41" spans="2:103" ht="12" customHeight="1" x14ac:dyDescent="0.25">
      <c r="B41" s="668"/>
      <c r="C41" s="54"/>
      <c r="Y41" s="5"/>
      <c r="Z41" s="29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</row>
    <row r="42" spans="2:103" ht="12" customHeight="1" x14ac:dyDescent="0.25">
      <c r="B42" s="668"/>
      <c r="C42" s="54"/>
      <c r="Y42" s="5"/>
      <c r="Z42" s="29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</row>
    <row r="43" spans="2:103" ht="12" customHeight="1" x14ac:dyDescent="0.25">
      <c r="B43" s="668"/>
      <c r="C43" s="54"/>
      <c r="Y43" s="5"/>
      <c r="Z43" s="29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</row>
    <row r="44" spans="2:103" ht="12" customHeight="1" x14ac:dyDescent="0.25">
      <c r="B44" s="668"/>
      <c r="C44" s="54"/>
      <c r="Y44" s="5"/>
      <c r="Z44" s="29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233" t="s">
        <v>181</v>
      </c>
      <c r="AM44" s="234" t="s">
        <v>122</v>
      </c>
      <c r="AN44" s="233" t="s">
        <v>182</v>
      </c>
      <c r="AO44" s="233" t="s">
        <v>183</v>
      </c>
      <c r="AP44" s="235" t="s">
        <v>280</v>
      </c>
      <c r="AQ44" s="233" t="s">
        <v>185</v>
      </c>
      <c r="AR44" s="233" t="s">
        <v>281</v>
      </c>
    </row>
    <row r="45" spans="2:103" ht="12" customHeight="1" x14ac:dyDescent="0.25">
      <c r="B45" s="668"/>
      <c r="C45" s="54"/>
      <c r="Y45" s="5"/>
      <c r="Z45" s="29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233" t="s">
        <v>186</v>
      </c>
      <c r="AM45" s="233" t="s">
        <v>128</v>
      </c>
      <c r="AN45" s="233" t="s">
        <v>187</v>
      </c>
      <c r="AO45" s="233" t="s">
        <v>188</v>
      </c>
      <c r="AP45" s="235" t="s">
        <v>282</v>
      </c>
      <c r="AQ45" s="233" t="s">
        <v>190</v>
      </c>
      <c r="AR45" s="233" t="s">
        <v>283</v>
      </c>
    </row>
    <row r="46" spans="2:103" ht="12" customHeight="1" x14ac:dyDescent="0.25">
      <c r="B46" s="668"/>
      <c r="C46" s="54"/>
      <c r="Y46" s="5"/>
      <c r="Z46" s="29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233" t="s">
        <v>194</v>
      </c>
      <c r="AM46" s="233"/>
      <c r="AN46" s="233" t="s">
        <v>196</v>
      </c>
      <c r="AO46" s="233" t="s">
        <v>197</v>
      </c>
      <c r="AP46" s="235" t="s">
        <v>284</v>
      </c>
      <c r="AQ46" s="233"/>
      <c r="AR46" s="233" t="s">
        <v>285</v>
      </c>
    </row>
    <row r="47" spans="2:103" ht="12" customHeight="1" x14ac:dyDescent="0.25">
      <c r="B47" s="668"/>
      <c r="C47" s="54"/>
      <c r="Y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233" t="s">
        <v>201</v>
      </c>
      <c r="AM47" s="233"/>
      <c r="AN47" s="233" t="s">
        <v>203</v>
      </c>
      <c r="AO47" s="233" t="s">
        <v>204</v>
      </c>
      <c r="AP47" s="235" t="s">
        <v>286</v>
      </c>
      <c r="AQ47" s="233" t="s">
        <v>184</v>
      </c>
      <c r="AR47" s="233" t="s">
        <v>287</v>
      </c>
    </row>
    <row r="48" spans="2:103" ht="12" customHeight="1" x14ac:dyDescent="0.25">
      <c r="B48" s="668"/>
      <c r="C48" s="54"/>
      <c r="Y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233"/>
      <c r="AM48" s="233"/>
      <c r="AN48" s="233"/>
      <c r="AO48" s="233"/>
      <c r="AP48" s="233"/>
      <c r="AQ48" s="233" t="s">
        <v>189</v>
      </c>
      <c r="AR48" s="233" t="s">
        <v>288</v>
      </c>
    </row>
    <row r="49" spans="2:44" ht="12" customHeight="1" x14ac:dyDescent="0.25">
      <c r="B49" s="43"/>
      <c r="Y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233"/>
      <c r="AM49" s="233"/>
      <c r="AN49" s="233"/>
      <c r="AO49" s="233"/>
      <c r="AP49" s="233"/>
      <c r="AQ49" s="233" t="s">
        <v>198</v>
      </c>
      <c r="AR49" s="233" t="s">
        <v>289</v>
      </c>
    </row>
    <row r="50" spans="2:44" ht="12" customHeight="1" x14ac:dyDescent="0.25">
      <c r="B50" s="43"/>
      <c r="Y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233"/>
      <c r="AM50" s="233"/>
      <c r="AN50" s="233"/>
      <c r="AO50" s="233"/>
      <c r="AP50" s="233"/>
      <c r="AQ50" s="233"/>
      <c r="AR50" s="233" t="s">
        <v>290</v>
      </c>
    </row>
    <row r="51" spans="2:44" ht="12" customHeight="1" x14ac:dyDescent="0.25">
      <c r="B51" s="43"/>
      <c r="Y51" s="5"/>
      <c r="Z51" s="29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233"/>
      <c r="AM51" s="233"/>
      <c r="AN51" s="233"/>
      <c r="AO51" s="233"/>
      <c r="AP51" s="233"/>
      <c r="AQ51" s="233"/>
      <c r="AR51" s="233" t="s">
        <v>291</v>
      </c>
    </row>
    <row r="52" spans="2:44" ht="12" customHeight="1" x14ac:dyDescent="0.25">
      <c r="B52" s="43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233"/>
      <c r="AM52" s="233"/>
      <c r="AN52" s="233"/>
      <c r="AO52" s="233"/>
      <c r="AP52" s="233"/>
      <c r="AQ52" s="233"/>
      <c r="AR52" s="233" t="s">
        <v>292</v>
      </c>
    </row>
    <row r="53" spans="2:44" ht="12" customHeight="1" x14ac:dyDescent="0.25"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233"/>
      <c r="AM53" s="233"/>
      <c r="AN53" s="233"/>
      <c r="AO53" s="233"/>
      <c r="AP53" s="233"/>
      <c r="AQ53" s="233"/>
      <c r="AR53" s="233" t="s">
        <v>293</v>
      </c>
    </row>
    <row r="54" spans="2:44" ht="12" customHeight="1" x14ac:dyDescent="0.25"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233"/>
      <c r="AM54" s="233"/>
      <c r="AN54" s="233"/>
      <c r="AO54" s="233"/>
      <c r="AP54" s="233"/>
      <c r="AQ54" s="233"/>
      <c r="AR54" s="233" t="s">
        <v>294</v>
      </c>
    </row>
    <row r="55" spans="2:44" ht="12" customHeight="1" x14ac:dyDescent="0.25"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233"/>
      <c r="AM55" s="233"/>
      <c r="AN55" s="233"/>
      <c r="AO55" s="233"/>
      <c r="AP55" s="233"/>
      <c r="AQ55" s="233"/>
      <c r="AR55" s="233" t="s">
        <v>295</v>
      </c>
    </row>
    <row r="56" spans="2:44" x14ac:dyDescent="0.25"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233"/>
      <c r="AM56" s="233"/>
      <c r="AN56" s="233"/>
      <c r="AO56" s="233"/>
      <c r="AP56" s="233"/>
      <c r="AQ56" s="233"/>
      <c r="AR56" s="233" t="s">
        <v>296</v>
      </c>
    </row>
    <row r="57" spans="2:44" ht="12" customHeight="1" x14ac:dyDescent="0.25"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233"/>
      <c r="AM57" s="233"/>
      <c r="AN57" s="233"/>
      <c r="AO57" s="233"/>
      <c r="AP57" s="233"/>
      <c r="AQ57" s="233"/>
      <c r="AR57" s="233" t="s">
        <v>297</v>
      </c>
    </row>
    <row r="58" spans="2:44" ht="12" customHeight="1" x14ac:dyDescent="0.25">
      <c r="Y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233"/>
      <c r="AM58" s="233"/>
      <c r="AN58" s="233"/>
      <c r="AO58" s="233"/>
      <c r="AP58" s="233"/>
      <c r="AQ58" s="233"/>
      <c r="AR58" s="233" t="s">
        <v>298</v>
      </c>
    </row>
    <row r="59" spans="2:44" ht="12" customHeight="1" x14ac:dyDescent="0.25"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233"/>
      <c r="AM59" s="233"/>
      <c r="AN59" s="233"/>
      <c r="AO59" s="233"/>
      <c r="AP59" s="233"/>
      <c r="AQ59" s="233"/>
      <c r="AR59" s="233" t="s">
        <v>299</v>
      </c>
    </row>
    <row r="60" spans="2:44" ht="12" customHeight="1" x14ac:dyDescent="0.25"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233"/>
      <c r="AM60" s="233"/>
      <c r="AN60" s="233"/>
      <c r="AO60" s="233"/>
      <c r="AP60" s="233"/>
      <c r="AQ60" s="233"/>
      <c r="AR60" s="233"/>
    </row>
    <row r="61" spans="2:44" ht="12" customHeight="1" thickBot="1" x14ac:dyDescent="0.3"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</row>
    <row r="62" spans="2:44" ht="12" customHeight="1" x14ac:dyDescent="0.25">
      <c r="Y62" s="5"/>
      <c r="Z62" s="5"/>
      <c r="AG62" s="5"/>
      <c r="AH62" s="5"/>
      <c r="AI62" s="5"/>
      <c r="AJ62" s="5"/>
      <c r="AK62" s="5"/>
      <c r="AL62" s="669" t="s">
        <v>4</v>
      </c>
      <c r="AM62" s="670"/>
      <c r="AN62" s="670"/>
      <c r="AO62" s="670"/>
      <c r="AP62" s="670"/>
      <c r="AQ62" s="671"/>
      <c r="AR62" s="54"/>
    </row>
    <row r="63" spans="2:44" ht="12" customHeight="1" x14ac:dyDescent="0.25">
      <c r="Y63" s="5"/>
      <c r="Z63" s="5"/>
      <c r="AG63" s="5"/>
      <c r="AH63" s="5"/>
      <c r="AI63" s="5"/>
      <c r="AJ63" s="5"/>
      <c r="AK63" s="5"/>
      <c r="AL63" s="600"/>
      <c r="AM63" s="601"/>
      <c r="AN63" s="601"/>
      <c r="AO63" s="601"/>
      <c r="AP63" s="601"/>
      <c r="AQ63" s="602"/>
      <c r="AR63" s="54"/>
    </row>
    <row r="64" spans="2:44" ht="12" customHeight="1" x14ac:dyDescent="0.25">
      <c r="Y64" s="5"/>
      <c r="Z64" s="5"/>
      <c r="AG64" s="5"/>
      <c r="AH64" s="5"/>
      <c r="AI64" s="5"/>
      <c r="AJ64" s="5"/>
      <c r="AK64" s="5"/>
      <c r="AL64" s="603"/>
      <c r="AM64" s="604"/>
      <c r="AN64" s="604"/>
      <c r="AO64" s="604"/>
      <c r="AP64" s="601"/>
      <c r="AQ64" s="602"/>
      <c r="AR64" s="54"/>
    </row>
    <row r="65" spans="25:44" ht="12" customHeight="1" x14ac:dyDescent="0.25">
      <c r="Y65" s="5"/>
      <c r="Z65" s="5"/>
      <c r="AG65" s="5"/>
      <c r="AH65" s="5"/>
      <c r="AI65" s="5"/>
      <c r="AJ65" s="5"/>
      <c r="AK65" s="5"/>
      <c r="AL65" s="603"/>
      <c r="AM65" s="605" t="s">
        <v>22</v>
      </c>
      <c r="AN65" s="605" t="s">
        <v>23</v>
      </c>
      <c r="AO65" s="605" t="s">
        <v>24</v>
      </c>
      <c r="AP65" s="601"/>
      <c r="AQ65" s="602"/>
      <c r="AR65" s="54"/>
    </row>
    <row r="66" spans="25:44" ht="12" customHeight="1" x14ac:dyDescent="0.25">
      <c r="Y66" s="5"/>
      <c r="Z66" s="5"/>
      <c r="AG66" s="5"/>
      <c r="AH66" s="5"/>
      <c r="AI66" s="5"/>
      <c r="AJ66" s="5"/>
      <c r="AK66" s="5"/>
      <c r="AL66" s="606" t="s">
        <v>31</v>
      </c>
      <c r="AM66" s="601"/>
      <c r="AN66" s="601"/>
      <c r="AO66" s="601"/>
      <c r="AP66" s="601"/>
      <c r="AQ66" s="602"/>
      <c r="AR66" s="54"/>
    </row>
    <row r="67" spans="25:44" ht="12" customHeight="1" x14ac:dyDescent="0.25">
      <c r="Y67" s="5"/>
      <c r="Z67" s="5"/>
      <c r="AG67" s="5"/>
      <c r="AH67" s="5"/>
      <c r="AI67" s="5"/>
      <c r="AJ67" s="5"/>
      <c r="AK67" s="5"/>
      <c r="AL67" s="603" t="s">
        <v>35</v>
      </c>
      <c r="AM67" s="607">
        <v>1.6965277777777781</v>
      </c>
      <c r="AN67" s="607">
        <v>1.625694444444445</v>
      </c>
      <c r="AO67" s="607">
        <v>1.5506944444444439</v>
      </c>
      <c r="AP67" s="601"/>
      <c r="AQ67" s="602" t="s">
        <v>36</v>
      </c>
      <c r="AR67" s="54"/>
    </row>
    <row r="68" spans="25:44" ht="12" customHeight="1" x14ac:dyDescent="0.25">
      <c r="Y68" s="5"/>
      <c r="Z68" s="5"/>
      <c r="AG68" s="5"/>
      <c r="AH68" s="5"/>
      <c r="AI68" s="5"/>
      <c r="AJ68" s="5"/>
      <c r="AK68" s="5"/>
      <c r="AL68" s="603" t="s">
        <v>38</v>
      </c>
      <c r="AM68" s="607">
        <v>1.7409722222222219</v>
      </c>
      <c r="AN68" s="607">
        <v>1.6937500000000001</v>
      </c>
      <c r="AO68" s="607">
        <v>1.5979166666666671</v>
      </c>
      <c r="AP68" s="601"/>
      <c r="AQ68" s="602" t="s">
        <v>39</v>
      </c>
      <c r="AR68" s="54"/>
    </row>
    <row r="69" spans="25:44" ht="12" customHeight="1" x14ac:dyDescent="0.25">
      <c r="Y69" s="5"/>
      <c r="AG69" s="5"/>
      <c r="AH69" s="5"/>
      <c r="AI69" s="5"/>
      <c r="AJ69" s="5"/>
      <c r="AK69" s="5"/>
      <c r="AL69" s="603" t="s">
        <v>42</v>
      </c>
      <c r="AM69" s="607">
        <v>1.680555555555556</v>
      </c>
      <c r="AN69" s="607">
        <v>1.5972222222222221</v>
      </c>
      <c r="AO69" s="607">
        <v>1.5277777777777779</v>
      </c>
      <c r="AP69" s="601"/>
      <c r="AQ69" s="602" t="s">
        <v>43</v>
      </c>
      <c r="AR69" s="54"/>
    </row>
    <row r="70" spans="25:44" ht="12" customHeight="1" x14ac:dyDescent="0.25">
      <c r="Y70" s="5"/>
      <c r="Z70" s="5"/>
      <c r="AG70" s="5"/>
      <c r="AH70" s="5"/>
      <c r="AI70" s="5"/>
      <c r="AJ70" s="5"/>
      <c r="AK70" s="5"/>
      <c r="AL70" s="603" t="s">
        <v>47</v>
      </c>
      <c r="AM70" s="607">
        <v>4.645833333333333</v>
      </c>
      <c r="AN70" s="607">
        <v>4.645833333333333</v>
      </c>
      <c r="AO70" s="607">
        <v>4.645833333333333</v>
      </c>
      <c r="AP70" s="601"/>
      <c r="AQ70" s="602" t="s">
        <v>48</v>
      </c>
      <c r="AR70" s="54"/>
    </row>
    <row r="71" spans="25:44" ht="12" customHeight="1" x14ac:dyDescent="0.25">
      <c r="Y71" s="5"/>
      <c r="Z71" s="5"/>
      <c r="AG71" s="5"/>
      <c r="AH71" s="5"/>
      <c r="AI71" s="5"/>
      <c r="AJ71" s="5"/>
      <c r="AK71" s="5"/>
      <c r="AL71" s="603" t="s">
        <v>51</v>
      </c>
      <c r="AM71" s="601">
        <v>1000000</v>
      </c>
      <c r="AN71" s="601">
        <v>2000000</v>
      </c>
      <c r="AO71" s="601">
        <v>3000000</v>
      </c>
      <c r="AP71" s="601"/>
      <c r="AQ71" s="602" t="s">
        <v>52</v>
      </c>
      <c r="AR71" s="54"/>
    </row>
    <row r="72" spans="25:44" ht="12" customHeight="1" x14ac:dyDescent="0.25">
      <c r="Y72" s="5"/>
      <c r="Z72" s="5"/>
      <c r="AG72" s="5"/>
      <c r="AH72" s="5"/>
      <c r="AI72" s="5"/>
      <c r="AJ72" s="5"/>
      <c r="AK72" s="5"/>
      <c r="AL72" s="603" t="s">
        <v>55</v>
      </c>
      <c r="AM72" s="601">
        <v>500000</v>
      </c>
      <c r="AN72" s="601">
        <v>500000</v>
      </c>
      <c r="AO72" s="601">
        <v>500000</v>
      </c>
      <c r="AP72" s="601"/>
      <c r="AQ72" s="602" t="s">
        <v>56</v>
      </c>
      <c r="AR72" s="54"/>
    </row>
    <row r="73" spans="25:44" ht="12" customHeight="1" x14ac:dyDescent="0.25">
      <c r="Y73" s="5"/>
      <c r="Z73" s="5"/>
      <c r="AG73" s="5"/>
      <c r="AH73" s="5"/>
      <c r="AI73" s="5"/>
      <c r="AJ73" s="5"/>
      <c r="AK73" s="5"/>
      <c r="AL73" s="603"/>
      <c r="AM73" s="601"/>
      <c r="AN73" s="601"/>
      <c r="AO73" s="601"/>
      <c r="AP73" s="601"/>
      <c r="AQ73" s="602"/>
      <c r="AR73" s="54"/>
    </row>
    <row r="74" spans="25:44" ht="12" customHeight="1" x14ac:dyDescent="0.25">
      <c r="Y74" s="5"/>
      <c r="Z74" s="5"/>
      <c r="AG74" s="5"/>
      <c r="AH74" s="5"/>
      <c r="AI74" s="5"/>
      <c r="AJ74" s="5"/>
      <c r="AK74" s="5"/>
      <c r="AL74" s="606" t="s">
        <v>71</v>
      </c>
      <c r="AM74" s="601"/>
      <c r="AN74" s="601"/>
      <c r="AO74" s="601"/>
      <c r="AP74" s="601"/>
      <c r="AQ74" s="602"/>
      <c r="AR74" s="54"/>
    </row>
    <row r="75" spans="25:44" ht="12" customHeight="1" x14ac:dyDescent="0.25">
      <c r="Y75" s="5"/>
      <c r="Z75" s="5"/>
      <c r="AG75" s="5"/>
      <c r="AH75" s="5"/>
      <c r="AI75" s="5"/>
      <c r="AJ75" s="5"/>
      <c r="AK75" s="5"/>
      <c r="AL75" s="603" t="s">
        <v>77</v>
      </c>
      <c r="AM75" s="601">
        <v>41.250736679799999</v>
      </c>
      <c r="AN75" s="601">
        <v>39.8349774741</v>
      </c>
      <c r="AO75" s="601">
        <v>37.784069624099999</v>
      </c>
      <c r="AP75" s="601"/>
      <c r="AQ75" s="602" t="s">
        <v>78</v>
      </c>
      <c r="AR75" s="54"/>
    </row>
    <row r="76" spans="25:44" ht="12" customHeight="1" x14ac:dyDescent="0.25">
      <c r="Y76" s="5"/>
      <c r="Z76" s="5"/>
      <c r="AG76" s="5"/>
      <c r="AH76" s="5"/>
      <c r="AI76" s="5"/>
      <c r="AJ76" s="5"/>
      <c r="AK76" s="5"/>
      <c r="AL76" s="603" t="s">
        <v>80</v>
      </c>
      <c r="AM76" s="601">
        <v>0.65935548181699999</v>
      </c>
      <c r="AN76" s="601">
        <v>0.64057859582499999</v>
      </c>
      <c r="AO76" s="601">
        <v>0.61268733723400004</v>
      </c>
      <c r="AP76" s="601"/>
      <c r="AQ76" s="602" t="s">
        <v>81</v>
      </c>
      <c r="AR76" s="54"/>
    </row>
    <row r="77" spans="25:44" ht="12" customHeight="1" x14ac:dyDescent="0.25">
      <c r="Y77" s="5"/>
      <c r="Z77" s="5"/>
      <c r="AG77" s="5"/>
      <c r="AH77" s="5"/>
      <c r="AI77" s="5"/>
      <c r="AJ77" s="5"/>
      <c r="AK77" s="5"/>
      <c r="AL77" s="603" t="s">
        <v>83</v>
      </c>
      <c r="AM77" s="601">
        <v>7384852.1452000001</v>
      </c>
      <c r="AN77" s="601">
        <v>7822240.6085000001</v>
      </c>
      <c r="AO77" s="601">
        <v>8361336.2313000001</v>
      </c>
      <c r="AP77" s="601"/>
      <c r="AQ77" s="602" t="s">
        <v>84</v>
      </c>
      <c r="AR77" s="54"/>
    </row>
    <row r="78" spans="25:44" ht="12" customHeight="1" x14ac:dyDescent="0.25">
      <c r="Y78" s="5"/>
      <c r="Z78" s="5"/>
      <c r="AG78" s="5"/>
      <c r="AH78" s="5"/>
      <c r="AI78" s="5"/>
      <c r="AJ78" s="5"/>
      <c r="AK78" s="5"/>
      <c r="AL78" s="603" t="s">
        <v>86</v>
      </c>
      <c r="AM78" s="601">
        <v>7282974.6765999999</v>
      </c>
      <c r="AN78" s="601">
        <v>7655530.3910999997</v>
      </c>
      <c r="AO78" s="601">
        <v>8237322.9910000004</v>
      </c>
      <c r="AP78" s="601"/>
      <c r="AQ78" s="602" t="s">
        <v>87</v>
      </c>
      <c r="AR78" s="54"/>
    </row>
    <row r="79" spans="25:44" ht="12" customHeight="1" x14ac:dyDescent="0.25">
      <c r="Y79" s="5"/>
      <c r="Z79" s="5"/>
      <c r="AG79" s="5"/>
      <c r="AH79" s="5"/>
      <c r="AI79" s="5"/>
      <c r="AJ79" s="5"/>
      <c r="AK79" s="5"/>
      <c r="AL79" s="603" t="s">
        <v>92</v>
      </c>
      <c r="AM79" s="601">
        <v>1101877.4686</v>
      </c>
      <c r="AN79" s="601">
        <v>2166710.2174</v>
      </c>
      <c r="AO79" s="601">
        <v>3124013.2403000002</v>
      </c>
      <c r="AP79" s="601"/>
      <c r="AQ79" s="602" t="s">
        <v>93</v>
      </c>
      <c r="AR79" s="54"/>
    </row>
    <row r="80" spans="25:44" ht="12" customHeight="1" x14ac:dyDescent="0.25">
      <c r="Y80" s="5"/>
      <c r="AG80" s="5"/>
      <c r="AH80" s="5"/>
      <c r="AI80" s="5"/>
      <c r="AJ80" s="5"/>
      <c r="AK80" s="5"/>
      <c r="AL80" s="603" t="s">
        <v>100</v>
      </c>
      <c r="AM80" s="601">
        <v>12238904.9538</v>
      </c>
      <c r="AN80" s="601">
        <v>12415886.8989</v>
      </c>
      <c r="AO80" s="601">
        <v>12719504.172900001</v>
      </c>
      <c r="AP80" s="601"/>
      <c r="AQ80" s="602" t="s">
        <v>101</v>
      </c>
      <c r="AR80" s="54"/>
    </row>
    <row r="81" spans="25:44" ht="12" customHeight="1" x14ac:dyDescent="0.25">
      <c r="Y81" s="5"/>
      <c r="Z81" s="5"/>
      <c r="AG81" s="5"/>
      <c r="AH81" s="5"/>
      <c r="AI81" s="5"/>
      <c r="AJ81" s="5"/>
      <c r="AK81" s="5"/>
      <c r="AL81" s="603" t="s">
        <v>106</v>
      </c>
      <c r="AM81" s="601">
        <v>0.99995684104100002</v>
      </c>
      <c r="AN81" s="601">
        <v>0.99989882076500003</v>
      </c>
      <c r="AO81" s="601">
        <v>0.99995129707800001</v>
      </c>
      <c r="AP81" s="601"/>
      <c r="AQ81" s="602" t="s">
        <v>107</v>
      </c>
      <c r="AR81" s="54"/>
    </row>
    <row r="82" spans="25:44" ht="12" customHeight="1" x14ac:dyDescent="0.25">
      <c r="Y82" s="5"/>
      <c r="Z82" s="5"/>
      <c r="AG82" s="5"/>
      <c r="AH82" s="5"/>
      <c r="AI82" s="5"/>
      <c r="AJ82" s="5"/>
      <c r="AK82" s="5"/>
      <c r="AL82" s="603" t="s">
        <v>109</v>
      </c>
      <c r="AM82" s="601">
        <v>6362923.4572000001</v>
      </c>
      <c r="AN82" s="601">
        <v>6360990.5575000001</v>
      </c>
      <c r="AO82" s="601">
        <v>6359086.0437000003</v>
      </c>
      <c r="AP82" s="601"/>
      <c r="AQ82" s="602" t="s">
        <v>110</v>
      </c>
      <c r="AR82" s="54"/>
    </row>
    <row r="83" spans="25:44" ht="12" customHeight="1" x14ac:dyDescent="0.25">
      <c r="Y83" s="5"/>
      <c r="Z83" s="5"/>
      <c r="AG83" s="5"/>
      <c r="AH83" s="5"/>
      <c r="AI83" s="5"/>
      <c r="AJ83" s="5"/>
      <c r="AK83" s="5"/>
      <c r="AL83" s="603" t="s">
        <v>115</v>
      </c>
      <c r="AM83" s="601">
        <v>6375032</v>
      </c>
      <c r="AN83" s="601">
        <v>6373617</v>
      </c>
      <c r="AO83" s="601">
        <v>6372457</v>
      </c>
      <c r="AP83" s="601"/>
      <c r="AQ83" s="602" t="s">
        <v>116</v>
      </c>
      <c r="AR83" s="54"/>
    </row>
    <row r="84" spans="25:44" ht="12" customHeight="1" x14ac:dyDescent="0.25">
      <c r="Y84" s="5"/>
      <c r="Z84" s="5"/>
      <c r="AG84" s="5"/>
      <c r="AH84" s="5"/>
      <c r="AI84" s="5"/>
      <c r="AJ84" s="5"/>
      <c r="AK84" s="5"/>
      <c r="AL84" s="603"/>
      <c r="AM84" s="601"/>
      <c r="AN84" s="601"/>
      <c r="AO84" s="601"/>
      <c r="AP84" s="601"/>
      <c r="AQ84" s="602"/>
      <c r="AR84" s="54"/>
    </row>
    <row r="85" spans="25:44" ht="12" customHeight="1" x14ac:dyDescent="0.25">
      <c r="Y85" s="5"/>
      <c r="Z85" s="5"/>
      <c r="AG85" s="5"/>
      <c r="AH85" s="5"/>
      <c r="AI85" s="5"/>
      <c r="AJ85" s="5"/>
      <c r="AK85" s="5"/>
      <c r="AL85" s="606" t="s">
        <v>129</v>
      </c>
      <c r="AM85" s="601"/>
      <c r="AN85" s="601"/>
      <c r="AO85" s="601"/>
      <c r="AP85" s="601"/>
      <c r="AQ85" s="602"/>
      <c r="AR85" s="54"/>
    </row>
    <row r="86" spans="25:44" ht="12" customHeight="1" x14ac:dyDescent="0.25">
      <c r="Y86" s="5"/>
      <c r="Z86" s="5"/>
      <c r="AG86" s="5"/>
      <c r="AH86" s="5"/>
      <c r="AI86" s="5"/>
      <c r="AJ86" s="5"/>
      <c r="AK86" s="5"/>
      <c r="AL86" s="603" t="s">
        <v>132</v>
      </c>
      <c r="AM86" s="601">
        <v>111053.9642</v>
      </c>
      <c r="AN86" s="601">
        <v>111020.2282</v>
      </c>
      <c r="AO86" s="601">
        <v>110986.9886</v>
      </c>
      <c r="AP86" s="601"/>
      <c r="AQ86" s="602"/>
      <c r="AR86" s="54"/>
    </row>
    <row r="87" spans="25:44" ht="12" customHeight="1" x14ac:dyDescent="0.25">
      <c r="Y87" s="5"/>
      <c r="Z87" s="5"/>
      <c r="AG87" s="5"/>
      <c r="AH87" s="5"/>
      <c r="AI87" s="5"/>
      <c r="AJ87" s="5"/>
      <c r="AK87" s="5"/>
      <c r="AL87" s="603" t="s">
        <v>136</v>
      </c>
      <c r="AM87" s="601">
        <v>9.67638</v>
      </c>
      <c r="AN87" s="803">
        <v>9.59755</v>
      </c>
      <c r="AO87" s="601">
        <v>9.4425899999999992</v>
      </c>
      <c r="AP87" s="601"/>
      <c r="AQ87" s="602"/>
      <c r="AR87" s="54"/>
    </row>
    <row r="88" spans="25:44" ht="12" customHeight="1" x14ac:dyDescent="0.25">
      <c r="Y88" s="5"/>
      <c r="Z88" s="5"/>
      <c r="AG88" s="5"/>
      <c r="AH88" s="5"/>
      <c r="AI88" s="5"/>
      <c r="AJ88" s="5"/>
      <c r="AK88" s="5"/>
      <c r="AL88" s="603" t="s">
        <v>141</v>
      </c>
      <c r="AM88" s="601">
        <v>5.6332899999999997</v>
      </c>
      <c r="AN88" s="601">
        <v>5.6369400000000001</v>
      </c>
      <c r="AO88" s="601">
        <v>5.6411800000000003</v>
      </c>
      <c r="AP88" s="601"/>
      <c r="AQ88" s="602"/>
      <c r="AR88" s="54"/>
    </row>
    <row r="89" spans="25:44" ht="12" customHeight="1" x14ac:dyDescent="0.25">
      <c r="Y89" s="5"/>
      <c r="Z89" s="5"/>
      <c r="AG89" s="5"/>
      <c r="AH89" s="5"/>
      <c r="AI89" s="5"/>
      <c r="AJ89" s="5"/>
      <c r="AK89" s="5"/>
      <c r="AL89" s="603" t="s">
        <v>145</v>
      </c>
      <c r="AM89" s="601">
        <v>2.1794999999999998E-2</v>
      </c>
      <c r="AN89" s="601">
        <v>2.0324999999999999E-2</v>
      </c>
      <c r="AO89" s="601">
        <v>1.8991000000000001E-2</v>
      </c>
      <c r="AP89" s="601"/>
      <c r="AQ89" s="602"/>
      <c r="AR89" s="54"/>
    </row>
    <row r="90" spans="25:44" ht="12" customHeight="1" x14ac:dyDescent="0.25">
      <c r="Y90" s="5"/>
      <c r="Z90" s="5"/>
      <c r="AG90" s="5"/>
      <c r="AH90" s="5"/>
      <c r="AI90" s="5"/>
      <c r="AJ90" s="5"/>
      <c r="AK90" s="5"/>
      <c r="AL90" s="603"/>
      <c r="AM90" s="601"/>
      <c r="AN90" s="601"/>
      <c r="AO90" s="601"/>
      <c r="AP90" s="601"/>
      <c r="AQ90" s="602"/>
      <c r="AR90" s="54"/>
    </row>
    <row r="91" spans="25:44" ht="12" customHeight="1" x14ac:dyDescent="0.25">
      <c r="Y91" s="5"/>
      <c r="Z91" s="5"/>
      <c r="AG91" s="5"/>
      <c r="AH91" s="5"/>
      <c r="AI91" s="5"/>
      <c r="AJ91" s="5"/>
      <c r="AK91" s="5"/>
      <c r="AL91" s="606" t="s">
        <v>146</v>
      </c>
      <c r="AM91" s="601"/>
      <c r="AN91" s="601"/>
      <c r="AO91" s="601"/>
      <c r="AP91" s="601"/>
      <c r="AQ91" s="602"/>
      <c r="AR91" s="54"/>
    </row>
    <row r="92" spans="25:44" ht="12" customHeight="1" x14ac:dyDescent="0.25">
      <c r="Y92" s="5"/>
      <c r="Z92" s="5"/>
      <c r="AG92" s="5"/>
      <c r="AH92" s="5"/>
      <c r="AI92" s="5"/>
      <c r="AJ92" s="5"/>
      <c r="AK92" s="5"/>
      <c r="AL92" s="603" t="s">
        <v>147</v>
      </c>
      <c r="AM92" s="608">
        <v>9.0046312619999994E-6</v>
      </c>
      <c r="AN92" s="608">
        <v>9.0073674589999993E-6</v>
      </c>
      <c r="AO92" s="608">
        <v>9.0100651350000006E-6</v>
      </c>
      <c r="AP92" s="601"/>
      <c r="AQ92" s="602"/>
      <c r="AR92" s="54"/>
    </row>
    <row r="93" spans="25:44" ht="12" customHeight="1" x14ac:dyDescent="0.25">
      <c r="Y93" s="5"/>
      <c r="Z93" s="5"/>
      <c r="AG93" s="5"/>
      <c r="AH93" s="5"/>
      <c r="AI93" s="5"/>
      <c r="AJ93" s="5"/>
      <c r="AK93" s="5"/>
      <c r="AL93" s="603" t="s">
        <v>149</v>
      </c>
      <c r="AM93" s="608">
        <v>-7.0651100000000001E-15</v>
      </c>
      <c r="AN93" s="608">
        <v>-7.01354E-15</v>
      </c>
      <c r="AO93" s="608">
        <v>-6.9067099999999998E-15</v>
      </c>
      <c r="AP93" s="601"/>
      <c r="AQ93" s="602"/>
      <c r="AR93" s="54"/>
    </row>
    <row r="94" spans="25:44" ht="12" customHeight="1" x14ac:dyDescent="0.25">
      <c r="Y94" s="5"/>
      <c r="Z94" s="5"/>
      <c r="AG94" s="5"/>
      <c r="AH94" s="5"/>
      <c r="AI94" s="5"/>
      <c r="AJ94" s="5"/>
      <c r="AK94" s="5"/>
      <c r="AL94" s="603" t="s">
        <v>155</v>
      </c>
      <c r="AM94" s="608">
        <v>-3.7018099999999998E-20</v>
      </c>
      <c r="AN94" s="608">
        <v>-3.708E-20</v>
      </c>
      <c r="AO94" s="608">
        <v>-3.7158500000000003E-20</v>
      </c>
      <c r="AP94" s="601"/>
      <c r="AQ94" s="602"/>
      <c r="AR94" s="54"/>
    </row>
    <row r="95" spans="25:44" x14ac:dyDescent="0.25">
      <c r="Y95" s="5"/>
      <c r="Z95" s="5"/>
      <c r="AG95" s="5"/>
      <c r="AH95" s="5"/>
      <c r="AI95" s="5"/>
      <c r="AJ95" s="5"/>
      <c r="AK95" s="5"/>
      <c r="AL95" s="603" t="s">
        <v>158</v>
      </c>
      <c r="AM95" s="608">
        <v>-1.1272000000000001E-27</v>
      </c>
      <c r="AN95" s="608">
        <v>-1.0771000000000001E-27</v>
      </c>
      <c r="AO95" s="608">
        <v>-9.9162999999999992E-28</v>
      </c>
      <c r="AP95" s="601"/>
      <c r="AQ95" s="602"/>
      <c r="AR95" s="54"/>
    </row>
    <row r="96" spans="25:44" x14ac:dyDescent="0.25">
      <c r="Y96" s="5"/>
      <c r="Z96" s="5"/>
      <c r="AG96" s="5"/>
      <c r="AH96" s="5"/>
      <c r="AI96" s="5"/>
      <c r="AJ96" s="5"/>
      <c r="AK96" s="5"/>
      <c r="AL96" s="603"/>
      <c r="AM96" s="601"/>
      <c r="AN96" s="601"/>
      <c r="AO96" s="601"/>
      <c r="AP96" s="601"/>
      <c r="AQ96" s="602"/>
      <c r="AR96" s="54"/>
    </row>
    <row r="97" spans="25:77" x14ac:dyDescent="0.25">
      <c r="Y97" s="5"/>
      <c r="Z97" s="5"/>
      <c r="AG97" s="5"/>
      <c r="AH97" s="5"/>
      <c r="AI97" s="5"/>
      <c r="AJ97" s="5"/>
      <c r="AK97" s="5"/>
      <c r="AL97" s="606" t="s">
        <v>161</v>
      </c>
      <c r="AM97" s="601"/>
      <c r="AN97" s="601"/>
      <c r="AO97" s="601"/>
      <c r="AP97" s="601"/>
      <c r="AQ97" s="602"/>
      <c r="AR97" s="54"/>
    </row>
    <row r="98" spans="25:77" x14ac:dyDescent="0.25">
      <c r="Y98" s="5"/>
      <c r="Z98" s="5"/>
      <c r="AG98" s="5"/>
      <c r="AH98" s="5"/>
      <c r="AI98" s="5"/>
      <c r="AJ98" s="5"/>
      <c r="AK98" s="5"/>
      <c r="AL98" s="603" t="s">
        <v>162</v>
      </c>
      <c r="AM98" s="601">
        <v>0.99995684104100002</v>
      </c>
      <c r="AN98" s="601">
        <v>0.99989882076500003</v>
      </c>
      <c r="AO98" s="601">
        <v>0.99995129707800001</v>
      </c>
      <c r="AP98" s="601"/>
      <c r="AQ98" s="602"/>
      <c r="AR98" s="54"/>
    </row>
    <row r="99" spans="25:77" x14ac:dyDescent="0.25">
      <c r="Y99" s="5"/>
      <c r="Z99" s="5"/>
      <c r="AG99" s="5"/>
      <c r="AH99" s="5"/>
      <c r="AI99" s="5"/>
      <c r="AJ99" s="5"/>
      <c r="AK99" s="5"/>
      <c r="AL99" s="603" t="s">
        <v>165</v>
      </c>
      <c r="AM99" s="608">
        <v>1.23032E-14</v>
      </c>
      <c r="AN99" s="608">
        <v>1.2308700000000001E-14</v>
      </c>
      <c r="AO99" s="608">
        <v>1.2313E-14</v>
      </c>
      <c r="AP99" s="601"/>
      <c r="AQ99" s="602"/>
      <c r="AR99" s="54"/>
    </row>
    <row r="100" spans="25:77" x14ac:dyDescent="0.25">
      <c r="AG100" s="5"/>
      <c r="AH100" s="5"/>
      <c r="AI100" s="5"/>
      <c r="AJ100" s="5"/>
      <c r="AK100" s="5"/>
      <c r="AL100" s="603" t="s">
        <v>166</v>
      </c>
      <c r="AM100" s="608">
        <v>5.5600000000000002E-22</v>
      </c>
      <c r="AN100" s="608">
        <v>5.26E-22</v>
      </c>
      <c r="AO100" s="608">
        <v>4.8900000000000001E-22</v>
      </c>
      <c r="AP100" s="601"/>
      <c r="AQ100" s="602"/>
      <c r="AR100" s="54"/>
    </row>
    <row r="101" spans="25:77" x14ac:dyDescent="0.25">
      <c r="AG101" s="5"/>
      <c r="AH101" s="5"/>
      <c r="AI101" s="5"/>
      <c r="AJ101" s="5"/>
      <c r="AK101" s="5"/>
      <c r="AL101" s="603"/>
      <c r="AM101" s="601"/>
      <c r="AN101" s="601"/>
      <c r="AO101" s="601"/>
      <c r="AP101" s="601"/>
      <c r="AQ101" s="602"/>
      <c r="AR101" s="54"/>
    </row>
    <row r="102" spans="25:77" x14ac:dyDescent="0.25">
      <c r="AG102" s="5"/>
      <c r="AH102" s="5"/>
      <c r="AI102" s="5"/>
      <c r="AJ102" s="5"/>
      <c r="AK102" s="5"/>
      <c r="AL102" s="606" t="s">
        <v>168</v>
      </c>
      <c r="AM102" s="601"/>
      <c r="AN102" s="601"/>
      <c r="AO102" s="612" t="s">
        <v>199</v>
      </c>
      <c r="AP102" s="613"/>
      <c r="AQ102" s="602"/>
      <c r="AR102" s="54"/>
    </row>
    <row r="103" spans="25:77" x14ac:dyDescent="0.25">
      <c r="AG103" s="5"/>
      <c r="AH103" s="5"/>
      <c r="AI103" s="5"/>
      <c r="AJ103" s="5"/>
      <c r="AK103" s="5"/>
      <c r="AL103" s="603" t="s">
        <v>169</v>
      </c>
      <c r="AM103" s="672">
        <v>6378137</v>
      </c>
      <c r="AN103" s="601"/>
      <c r="AO103" s="614" t="s">
        <v>205</v>
      </c>
      <c r="AP103" s="615">
        <v>111</v>
      </c>
      <c r="AQ103" s="602"/>
      <c r="AR103" s="54"/>
    </row>
    <row r="104" spans="25:77" x14ac:dyDescent="0.25">
      <c r="AG104" s="5"/>
      <c r="AH104" s="5"/>
      <c r="AI104" s="5"/>
      <c r="AJ104" s="5"/>
      <c r="AK104" s="5"/>
      <c r="AL104" s="603" t="s">
        <v>171</v>
      </c>
      <c r="AM104" s="804">
        <v>6356752.3141403003</v>
      </c>
      <c r="AN104" s="601"/>
      <c r="AO104" s="614" t="s">
        <v>207</v>
      </c>
      <c r="AP104" s="613">
        <v>500000</v>
      </c>
      <c r="AQ104" s="602"/>
      <c r="AR104" s="54"/>
    </row>
    <row r="105" spans="25:77" x14ac:dyDescent="0.25">
      <c r="AG105" s="5"/>
      <c r="AH105" s="5"/>
      <c r="AI105" s="5"/>
      <c r="AJ105" s="5"/>
      <c r="AK105" s="5"/>
      <c r="AL105" s="603" t="s">
        <v>174</v>
      </c>
      <c r="AM105" s="601">
        <f>(AM103-AM104)/AM103</f>
        <v>3.3528106811910332E-3</v>
      </c>
      <c r="AN105" s="601"/>
      <c r="AO105" s="614" t="s">
        <v>209</v>
      </c>
      <c r="AP105" s="613">
        <v>0</v>
      </c>
      <c r="AQ105" s="602"/>
      <c r="AR105" s="54"/>
    </row>
    <row r="106" spans="25:77" x14ac:dyDescent="0.25">
      <c r="AG106" s="5"/>
      <c r="AH106" s="5"/>
      <c r="AI106" s="5"/>
      <c r="AJ106" s="5"/>
      <c r="AK106" s="5"/>
      <c r="AL106" s="603" t="s">
        <v>176</v>
      </c>
      <c r="AM106" s="673">
        <f>1/AM105</f>
        <v>298.25722210022479</v>
      </c>
      <c r="AN106" s="601"/>
      <c r="AO106" s="614" t="s">
        <v>211</v>
      </c>
      <c r="AP106" s="613">
        <v>0.99960000000000004</v>
      </c>
      <c r="AQ106" s="602"/>
      <c r="AR106" s="54"/>
    </row>
    <row r="107" spans="25:77" x14ac:dyDescent="0.25">
      <c r="AG107" s="5"/>
      <c r="AH107" s="5"/>
      <c r="AI107" s="5"/>
      <c r="AJ107" s="5"/>
      <c r="AK107" s="5"/>
      <c r="AL107" s="603" t="s">
        <v>178</v>
      </c>
      <c r="AM107" s="601">
        <f>(2*AM105-AM105^2)^0.5</f>
        <v>8.1819191042921943E-2</v>
      </c>
      <c r="AN107" s="601"/>
      <c r="AO107" s="601"/>
      <c r="AP107" s="601"/>
      <c r="AQ107" s="602"/>
      <c r="AR107" s="54"/>
    </row>
    <row r="108" spans="25:77" ht="15.75" customHeight="1" x14ac:dyDescent="0.25">
      <c r="AG108" s="5"/>
      <c r="AH108" s="5"/>
      <c r="AI108" s="5"/>
      <c r="AJ108" s="5"/>
      <c r="AK108" s="5"/>
      <c r="AL108" s="603" t="s">
        <v>180</v>
      </c>
      <c r="AM108" s="601">
        <f>AM107^2</f>
        <v>6.6943800229181585E-3</v>
      </c>
      <c r="AN108" s="601"/>
      <c r="AO108" s="601"/>
      <c r="AP108" s="601"/>
      <c r="AQ108" s="602"/>
      <c r="AR108" s="54"/>
    </row>
    <row r="109" spans="25:77" ht="16.5" customHeight="1" thickBot="1" x14ac:dyDescent="0.3">
      <c r="AG109" s="5"/>
      <c r="AH109" s="5"/>
      <c r="AI109" s="5"/>
      <c r="AJ109" s="5"/>
      <c r="AK109" s="5"/>
      <c r="AL109" s="609" t="s">
        <v>212</v>
      </c>
      <c r="AM109" s="805">
        <f>(AM105*(2-AM105)/(1-AM105)^2)</f>
        <v>6.7394967754965639E-3</v>
      </c>
      <c r="AN109" s="610"/>
      <c r="AO109" s="610"/>
      <c r="AP109" s="610"/>
      <c r="AQ109" s="611"/>
      <c r="AR109" s="54"/>
    </row>
    <row r="110" spans="25:77" x14ac:dyDescent="0.25"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4"/>
    </row>
    <row r="111" spans="25:77" x14ac:dyDescent="0.25"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4"/>
      <c r="AY111" s="5"/>
      <c r="AZ111" s="54"/>
      <c r="BX111" s="19"/>
      <c r="BY111" s="19"/>
    </row>
    <row r="112" spans="25:77" x14ac:dyDescent="0.25"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4"/>
      <c r="AY112" s="5"/>
      <c r="AZ112" s="54"/>
      <c r="BX112" s="19"/>
      <c r="BY112" s="19"/>
    </row>
    <row r="113" spans="27:77" x14ac:dyDescent="0.25"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4"/>
      <c r="AY113" s="5"/>
      <c r="AZ113" s="54"/>
      <c r="BX113" s="19"/>
      <c r="BY113" s="19"/>
    </row>
    <row r="114" spans="27:77" x14ac:dyDescent="0.25"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4"/>
      <c r="AY114" s="5"/>
      <c r="AZ114" s="54"/>
      <c r="BX114" s="19"/>
      <c r="BY114" s="19"/>
    </row>
    <row r="115" spans="27:77" x14ac:dyDescent="0.25"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4"/>
      <c r="AY115" s="5"/>
      <c r="AZ115" s="54"/>
      <c r="BX115" s="19"/>
      <c r="BY115" s="19"/>
    </row>
    <row r="116" spans="27:77" x14ac:dyDescent="0.25"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4"/>
      <c r="AY116" s="5"/>
      <c r="AZ116" s="54"/>
      <c r="BX116" s="19"/>
      <c r="BY116" s="19"/>
    </row>
    <row r="117" spans="27:77" x14ac:dyDescent="0.25"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4"/>
      <c r="AY117" s="5"/>
      <c r="AZ117" s="54"/>
      <c r="BX117" s="19"/>
      <c r="BY117" s="19"/>
    </row>
    <row r="118" spans="27:77" x14ac:dyDescent="0.25"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4"/>
      <c r="AZ118" s="54"/>
      <c r="BX118" s="19"/>
      <c r="BY118" s="19"/>
    </row>
    <row r="119" spans="27:77" x14ac:dyDescent="0.25"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4"/>
      <c r="AZ119" s="54"/>
      <c r="BX119" s="19"/>
      <c r="BY119" s="19"/>
    </row>
    <row r="120" spans="27:77" x14ac:dyDescent="0.25"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BX120" s="19"/>
      <c r="BY120" s="19"/>
    </row>
    <row r="121" spans="27:77" x14ac:dyDescent="0.25"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BX121" s="19"/>
      <c r="BY121" s="19"/>
    </row>
    <row r="122" spans="27:77" x14ac:dyDescent="0.25"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BX122" s="19"/>
      <c r="BY122" s="19"/>
    </row>
    <row r="123" spans="27:77" x14ac:dyDescent="0.25"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BX123" s="19"/>
      <c r="BY123" s="19"/>
    </row>
    <row r="124" spans="27:77" x14ac:dyDescent="0.25"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BX124" s="19"/>
      <c r="BY124" s="19"/>
    </row>
    <row r="125" spans="27:77" x14ac:dyDescent="0.25"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4"/>
      <c r="AU125" s="54"/>
      <c r="AV125" s="54"/>
      <c r="AW125" s="54"/>
      <c r="AX125" s="54"/>
      <c r="BX125" s="19"/>
      <c r="BY125" s="19"/>
    </row>
    <row r="126" spans="27:77" x14ac:dyDescent="0.25"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4"/>
      <c r="AU126" s="54"/>
      <c r="AV126" s="54"/>
      <c r="AW126" s="54"/>
      <c r="AX126" s="54"/>
      <c r="BX126" s="19"/>
      <c r="BY126" s="19"/>
    </row>
    <row r="127" spans="27:77" x14ac:dyDescent="0.25"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BX127" s="19"/>
      <c r="BY127" s="19"/>
    </row>
    <row r="128" spans="27:77" x14ac:dyDescent="0.25"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BX128" s="19"/>
      <c r="BY128" s="19"/>
    </row>
    <row r="129" spans="33:77" x14ac:dyDescent="0.25"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BX129" s="19"/>
      <c r="BY129" s="19"/>
    </row>
    <row r="130" spans="33:77" x14ac:dyDescent="0.25"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BX130" s="19"/>
      <c r="BY130" s="19"/>
    </row>
    <row r="131" spans="33:77" x14ac:dyDescent="0.25"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BX131" s="19"/>
      <c r="BY131" s="19"/>
    </row>
    <row r="132" spans="33:77" x14ac:dyDescent="0.25">
      <c r="BX132" s="19"/>
      <c r="BY132" s="19"/>
    </row>
    <row r="133" spans="33:77" x14ac:dyDescent="0.25">
      <c r="BX133" s="19"/>
      <c r="BY133" s="19"/>
    </row>
    <row r="134" spans="33:77" x14ac:dyDescent="0.25">
      <c r="BX134" s="19"/>
      <c r="BY134" s="19"/>
    </row>
    <row r="135" spans="33:77" x14ac:dyDescent="0.25">
      <c r="BX135" s="19"/>
      <c r="BY135" s="19"/>
    </row>
    <row r="136" spans="33:77" x14ac:dyDescent="0.25">
      <c r="BX136" s="19"/>
      <c r="BY136" s="19"/>
    </row>
    <row r="137" spans="33:77" x14ac:dyDescent="0.25">
      <c r="BX137" s="19"/>
      <c r="BY137" s="19"/>
    </row>
    <row r="138" spans="33:77" x14ac:dyDescent="0.25">
      <c r="BX138" s="19"/>
      <c r="BY138" s="19"/>
    </row>
    <row r="139" spans="33:77" x14ac:dyDescent="0.25">
      <c r="BX139" s="19"/>
      <c r="BY139" s="19"/>
    </row>
    <row r="140" spans="33:77" x14ac:dyDescent="0.25">
      <c r="BX140" s="19"/>
      <c r="BY140" s="19"/>
    </row>
    <row r="141" spans="33:77" x14ac:dyDescent="0.25">
      <c r="BX141" s="19"/>
      <c r="BY141" s="19"/>
    </row>
    <row r="142" spans="33:77" x14ac:dyDescent="0.25">
      <c r="BX142" s="19"/>
      <c r="BY142" s="19"/>
    </row>
    <row r="143" spans="33:77" x14ac:dyDescent="0.25">
      <c r="BX143" s="19"/>
      <c r="BY143" s="19"/>
    </row>
    <row r="144" spans="33:77" x14ac:dyDescent="0.25">
      <c r="BX144" s="19"/>
      <c r="BY144" s="19"/>
    </row>
    <row r="145" spans="76:77" x14ac:dyDescent="0.25">
      <c r="BX145" s="19"/>
      <c r="BY145" s="19"/>
    </row>
    <row r="146" spans="76:77" x14ac:dyDescent="0.25">
      <c r="BX146" s="19"/>
      <c r="BY146" s="19"/>
    </row>
    <row r="147" spans="76:77" x14ac:dyDescent="0.25">
      <c r="BX147" s="19"/>
      <c r="BY147" s="19"/>
    </row>
    <row r="148" spans="76:77" x14ac:dyDescent="0.25">
      <c r="BX148" s="19"/>
      <c r="BY148" s="19"/>
    </row>
    <row r="149" spans="76:77" x14ac:dyDescent="0.25">
      <c r="BX149" s="19"/>
      <c r="BY149" s="19"/>
    </row>
    <row r="150" spans="76:77" x14ac:dyDescent="0.25">
      <c r="BX150" s="19"/>
      <c r="BY150" s="19"/>
    </row>
    <row r="151" spans="76:77" x14ac:dyDescent="0.25">
      <c r="BX151" s="19"/>
      <c r="BY151" s="19"/>
    </row>
    <row r="152" spans="76:77" x14ac:dyDescent="0.25">
      <c r="BX152" s="19"/>
      <c r="BY152" s="19"/>
    </row>
    <row r="153" spans="76:77" x14ac:dyDescent="0.25">
      <c r="BX153" s="19"/>
      <c r="BY153" s="19"/>
    </row>
    <row r="154" spans="76:77" x14ac:dyDescent="0.25">
      <c r="BX154" s="19"/>
      <c r="BY154" s="19"/>
    </row>
    <row r="155" spans="76:77" x14ac:dyDescent="0.25">
      <c r="BX155" s="19"/>
      <c r="BY155" s="19"/>
    </row>
  </sheetData>
  <sheetProtection sheet="1" objects="1" scenarios="1"/>
  <mergeCells count="61">
    <mergeCell ref="AT36:AW36"/>
    <mergeCell ref="L16:M16"/>
    <mergeCell ref="AN6:AO6"/>
    <mergeCell ref="AL6:AM6"/>
    <mergeCell ref="B15:E15"/>
    <mergeCell ref="B13:D13"/>
    <mergeCell ref="AF29:AG29"/>
    <mergeCell ref="AH29:AI29"/>
    <mergeCell ref="T12:U12"/>
    <mergeCell ref="P17:Q17"/>
    <mergeCell ref="E6:F6"/>
    <mergeCell ref="AK20:AL20"/>
    <mergeCell ref="AM20:AN20"/>
    <mergeCell ref="AU27:AW27"/>
    <mergeCell ref="AQ3:AQ4"/>
    <mergeCell ref="B18:C18"/>
    <mergeCell ref="AG5:AJ5"/>
    <mergeCell ref="AI14:AL14"/>
    <mergeCell ref="L12:M12"/>
    <mergeCell ref="X5:AE10"/>
    <mergeCell ref="AU15:AV15"/>
    <mergeCell ref="G6:H6"/>
    <mergeCell ref="AW15:AX15"/>
    <mergeCell ref="B8:C8"/>
    <mergeCell ref="E5:H5"/>
    <mergeCell ref="R12:S12"/>
    <mergeCell ref="AM14:AP14"/>
    <mergeCell ref="I6:J6"/>
    <mergeCell ref="B7:C7"/>
    <mergeCell ref="C2:G2"/>
    <mergeCell ref="AI7:AJ7"/>
    <mergeCell ref="AL5:AM5"/>
    <mergeCell ref="AO3:AO4"/>
    <mergeCell ref="AS5:AU6"/>
    <mergeCell ref="I5:L5"/>
    <mergeCell ref="B19:C19"/>
    <mergeCell ref="B10:C10"/>
    <mergeCell ref="J16:K16"/>
    <mergeCell ref="P16:Q16"/>
    <mergeCell ref="K6:L6"/>
    <mergeCell ref="P13:Q13"/>
    <mergeCell ref="B9:C9"/>
    <mergeCell ref="H16:I16"/>
    <mergeCell ref="AJ29:AK29"/>
    <mergeCell ref="P15:Q15"/>
    <mergeCell ref="X3:Y4"/>
    <mergeCell ref="AN3:AN4"/>
    <mergeCell ref="AP3:AP4"/>
    <mergeCell ref="P14:Q14"/>
    <mergeCell ref="T5:V5"/>
    <mergeCell ref="AG7:AH7"/>
    <mergeCell ref="AP6:AQ6"/>
    <mergeCell ref="AS15:AT15"/>
    <mergeCell ref="AC12:AE12"/>
    <mergeCell ref="B12:D12"/>
    <mergeCell ref="AV5:AX6"/>
    <mergeCell ref="C3:G3"/>
    <mergeCell ref="AT14:AW14"/>
    <mergeCell ref="B6:C6"/>
    <mergeCell ref="H12:I12"/>
    <mergeCell ref="J12:K12"/>
  </mergeCells>
  <conditionalFormatting sqref="D18:D19">
    <cfRule type="expression" dxfId="1066" priority="1">
      <formula>IF($E$16=2,1)</formula>
    </cfRule>
  </conditionalFormatting>
  <conditionalFormatting sqref="L84:M87">
    <cfRule type="expression" dxfId="1065" priority="3">
      <formula>$CI$20&gt;3</formula>
    </cfRule>
    <cfRule type="expression" dxfId="1064" priority="4">
      <formula>$CI$20&lt;0.1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Drop Down 1">
              <controlPr locked="0" defaultSize="0" autoLine="0" autoPict="0">
                <anchor moveWithCells="1">
                  <from>
                    <xdr:col>18</xdr:col>
                    <xdr:colOff>85725</xdr:colOff>
                    <xdr:row>6</xdr:row>
                    <xdr:rowOff>9525</xdr:rowOff>
                  </from>
                  <to>
                    <xdr:col>18</xdr:col>
                    <xdr:colOff>704850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Drop Down 2">
              <controlPr locked="0" defaultSize="0" autoLine="0" autoPict="0">
                <anchor moveWithCells="1">
                  <from>
                    <xdr:col>5</xdr:col>
                    <xdr:colOff>38100</xdr:colOff>
                    <xdr:row>7</xdr:row>
                    <xdr:rowOff>19050</xdr:rowOff>
                  </from>
                  <to>
                    <xdr:col>5</xdr:col>
                    <xdr:colOff>485775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Drop Down 3">
              <controlPr locked="0" defaultSize="0" autoLine="0" autoPict="0">
                <anchor moveWithCells="1">
                  <from>
                    <xdr:col>5</xdr:col>
                    <xdr:colOff>38100</xdr:colOff>
                    <xdr:row>8</xdr:row>
                    <xdr:rowOff>19050</xdr:rowOff>
                  </from>
                  <to>
                    <xdr:col>5</xdr:col>
                    <xdr:colOff>485775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Drop Down 4">
              <controlPr locked="0" defaultSize="0" autoLine="0" autoPict="0">
                <anchor moveWithCells="1">
                  <from>
                    <xdr:col>5</xdr:col>
                    <xdr:colOff>38100</xdr:colOff>
                    <xdr:row>9</xdr:row>
                    <xdr:rowOff>28575</xdr:rowOff>
                  </from>
                  <to>
                    <xdr:col>5</xdr:col>
                    <xdr:colOff>485775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7" name="Drop Down 5">
              <controlPr locked="0" defaultSize="0" autoLine="0" autoPict="0">
                <anchor moveWithCells="1">
                  <from>
                    <xdr:col>7</xdr:col>
                    <xdr:colOff>47625</xdr:colOff>
                    <xdr:row>7</xdr:row>
                    <xdr:rowOff>28575</xdr:rowOff>
                  </from>
                  <to>
                    <xdr:col>7</xdr:col>
                    <xdr:colOff>495300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8" name="Drop Down 6">
              <controlPr locked="0" defaultSize="0" autoLine="0" autoPict="0">
                <anchor moveWithCells="1">
                  <from>
                    <xdr:col>7</xdr:col>
                    <xdr:colOff>47625</xdr:colOff>
                    <xdr:row>8</xdr:row>
                    <xdr:rowOff>28575</xdr:rowOff>
                  </from>
                  <to>
                    <xdr:col>7</xdr:col>
                    <xdr:colOff>495300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9" name="Drop Down 7">
              <controlPr locked="0" defaultSize="0" autoLine="0" autoPict="0">
                <anchor moveWithCells="1">
                  <from>
                    <xdr:col>7</xdr:col>
                    <xdr:colOff>38100</xdr:colOff>
                    <xdr:row>9</xdr:row>
                    <xdr:rowOff>28575</xdr:rowOff>
                  </from>
                  <to>
                    <xdr:col>7</xdr:col>
                    <xdr:colOff>485775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0" name="Drop Down 8">
              <controlPr locked="0" defaultSize="0" autoLine="0" autoPict="0">
                <anchor moveWithCells="1">
                  <from>
                    <xdr:col>11</xdr:col>
                    <xdr:colOff>19050</xdr:colOff>
                    <xdr:row>6</xdr:row>
                    <xdr:rowOff>28575</xdr:rowOff>
                  </from>
                  <to>
                    <xdr:col>11</xdr:col>
                    <xdr:colOff>466725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1" name="Drop Down 9">
              <controlPr locked="0" defaultSize="0" autoLine="0" autoPict="0">
                <anchor moveWithCells="1">
                  <from>
                    <xdr:col>17</xdr:col>
                    <xdr:colOff>247650</xdr:colOff>
                    <xdr:row>6</xdr:row>
                    <xdr:rowOff>0</xdr:rowOff>
                  </from>
                  <to>
                    <xdr:col>17</xdr:col>
                    <xdr:colOff>695325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2" name="Drop Down 10">
              <controlPr locked="0" defaultSize="0" autoLine="0" autoPict="0">
                <anchor moveWithCells="1">
                  <from>
                    <xdr:col>4</xdr:col>
                    <xdr:colOff>85725</xdr:colOff>
                    <xdr:row>15</xdr:row>
                    <xdr:rowOff>9525</xdr:rowOff>
                  </from>
                  <to>
                    <xdr:col>4</xdr:col>
                    <xdr:colOff>647700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3" name="Drop Down 11">
              <controlPr locked="0" defaultSize="0" autoLine="0" autoPict="0">
                <anchor moveWithCells="1">
                  <from>
                    <xdr:col>9</xdr:col>
                    <xdr:colOff>38100</xdr:colOff>
                    <xdr:row>6</xdr:row>
                    <xdr:rowOff>28575</xdr:rowOff>
                  </from>
                  <to>
                    <xdr:col>9</xdr:col>
                    <xdr:colOff>485775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4" name="Drop Down 12">
              <controlPr locked="0" defaultSize="0" autoLine="0" autoPict="0">
                <anchor moveWithCells="1">
                  <from>
                    <xdr:col>15</xdr:col>
                    <xdr:colOff>257175</xdr:colOff>
                    <xdr:row>6</xdr:row>
                    <xdr:rowOff>9525</xdr:rowOff>
                  </from>
                  <to>
                    <xdr:col>15</xdr:col>
                    <xdr:colOff>704850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5" name="Drop Down 13">
              <controlPr locked="0" defaultSize="0" autoLine="0" autoPict="0">
                <anchor moveWithCells="1">
                  <from>
                    <xdr:col>4</xdr:col>
                    <xdr:colOff>123825</xdr:colOff>
                    <xdr:row>11</xdr:row>
                    <xdr:rowOff>19050</xdr:rowOff>
                  </from>
                  <to>
                    <xdr:col>4</xdr:col>
                    <xdr:colOff>619125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6" name="Drop Down 14">
              <controlPr locked="0" defaultSize="0" autoLine="0" autoPict="0">
                <anchor moveWithCells="1">
                  <from>
                    <xdr:col>2</xdr:col>
                    <xdr:colOff>19050</xdr:colOff>
                    <xdr:row>16</xdr:row>
                    <xdr:rowOff>19050</xdr:rowOff>
                  </from>
                  <to>
                    <xdr:col>3</xdr:col>
                    <xdr:colOff>200025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7" name="Drop Down 15">
              <controlPr locked="0"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8</xdr:col>
                    <xdr:colOff>561975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8" name="Drop Down 16">
              <controlPr locked="0" defaultSize="0" autoLine="0" autoPict="0">
                <anchor moveWithCells="1">
                  <from>
                    <xdr:col>7</xdr:col>
                    <xdr:colOff>66675</xdr:colOff>
                    <xdr:row>20</xdr:row>
                    <xdr:rowOff>9525</xdr:rowOff>
                  </from>
                  <to>
                    <xdr:col>7</xdr:col>
                    <xdr:colOff>561975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19" name="Drop Down 17">
              <controlPr locked="0" defaultSize="0" autoLine="0" autoPict="0">
                <anchor moveWithCells="1">
                  <from>
                    <xdr:col>10</xdr:col>
                    <xdr:colOff>66675</xdr:colOff>
                    <xdr:row>20</xdr:row>
                    <xdr:rowOff>9525</xdr:rowOff>
                  </from>
                  <to>
                    <xdr:col>10</xdr:col>
                    <xdr:colOff>561975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0" name="Drop Down 18">
              <controlPr locked="0" defaultSize="0" autoLine="0" autoPict="0">
                <anchor moveWithCells="1">
                  <from>
                    <xdr:col>9</xdr:col>
                    <xdr:colOff>66675</xdr:colOff>
                    <xdr:row>20</xdr:row>
                    <xdr:rowOff>9525</xdr:rowOff>
                  </from>
                  <to>
                    <xdr:col>9</xdr:col>
                    <xdr:colOff>561975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1" name="Drop Down 19">
              <controlPr locked="0" defaultSize="0" autoLine="0" autoPict="0">
                <anchor moveWithCells="1">
                  <from>
                    <xdr:col>12</xdr:col>
                    <xdr:colOff>38100</xdr:colOff>
                    <xdr:row>6</xdr:row>
                    <xdr:rowOff>19050</xdr:rowOff>
                  </from>
                  <to>
                    <xdr:col>12</xdr:col>
                    <xdr:colOff>695325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2" name="Drop Down 20">
              <controlPr locked="0" defaultSize="0" autoLine="0" autoPict="0">
                <anchor moveWithCells="1">
                  <from>
                    <xdr:col>12</xdr:col>
                    <xdr:colOff>28575</xdr:colOff>
                    <xdr:row>7</xdr:row>
                    <xdr:rowOff>0</xdr:rowOff>
                  </from>
                  <to>
                    <xdr:col>12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3" name="Drop Down 21">
              <controlPr locked="0" defaultSize="0" autoLine="0" autoPict="0">
                <anchor moveWithCells="1">
                  <from>
                    <xdr:col>12</xdr:col>
                    <xdr:colOff>28575</xdr:colOff>
                    <xdr:row>8</xdr:row>
                    <xdr:rowOff>9525</xdr:rowOff>
                  </from>
                  <to>
                    <xdr:col>12</xdr:col>
                    <xdr:colOff>685800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4" name="Drop Down 22">
              <controlPr locked="0" defaultSize="0" autoLine="0" autoPict="0">
                <anchor moveWithCells="1">
                  <from>
                    <xdr:col>12</xdr:col>
                    <xdr:colOff>28575</xdr:colOff>
                    <xdr:row>9</xdr:row>
                    <xdr:rowOff>9525</xdr:rowOff>
                  </from>
                  <to>
                    <xdr:col>12</xdr:col>
                    <xdr:colOff>685800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5" name="Drop Down 23">
              <controlPr locked="0" defaultSize="0" autoLine="0" autoPict="0">
                <anchor moveWithCells="1">
                  <from>
                    <xdr:col>12</xdr:col>
                    <xdr:colOff>66675</xdr:colOff>
                    <xdr:row>20</xdr:row>
                    <xdr:rowOff>9525</xdr:rowOff>
                  </from>
                  <to>
                    <xdr:col>12</xdr:col>
                    <xdr:colOff>561975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6" name="Drop Down 24">
              <controlPr locked="0" defaultSize="0" autoLine="0" autoPict="0">
                <anchor moveWithCells="1">
                  <from>
                    <xdr:col>11</xdr:col>
                    <xdr:colOff>66675</xdr:colOff>
                    <xdr:row>20</xdr:row>
                    <xdr:rowOff>9525</xdr:rowOff>
                  </from>
                  <to>
                    <xdr:col>11</xdr:col>
                    <xdr:colOff>561975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CE156"/>
  <sheetViews>
    <sheetView zoomScaleNormal="100" workbookViewId="0">
      <selection activeCell="G10" sqref="G10"/>
    </sheetView>
  </sheetViews>
  <sheetFormatPr defaultRowHeight="15" x14ac:dyDescent="0.25"/>
  <cols>
    <col min="1" max="1" width="8.28515625" customWidth="1"/>
    <col min="2" max="2" width="10.7109375" customWidth="1"/>
    <col min="3" max="3" width="4.7109375" customWidth="1"/>
    <col min="4" max="4" width="8.5703125" customWidth="1"/>
    <col min="5" max="6" width="7.7109375" customWidth="1"/>
    <col min="7" max="7" width="9.7109375" customWidth="1"/>
    <col min="8" max="13" width="7.7109375" customWidth="1"/>
    <col min="14" max="14" width="7.140625" customWidth="1"/>
    <col min="15" max="15" width="8.5703125" customWidth="1"/>
    <col min="16" max="16" width="7.7109375" customWidth="1"/>
    <col min="17" max="17" width="9.7109375" customWidth="1"/>
    <col min="18" max="18" width="7.42578125" customWidth="1"/>
    <col min="19" max="21" width="9.7109375" customWidth="1"/>
    <col min="22" max="22" width="5.42578125" customWidth="1"/>
    <col min="23" max="23" width="10.7109375" customWidth="1"/>
    <col min="24" max="25" width="11.7109375" customWidth="1"/>
    <col min="26" max="26" width="4.7109375" style="5" customWidth="1"/>
    <col min="27" max="27" width="11.7109375" style="5" customWidth="1"/>
    <col min="28" max="28" width="11.7109375" style="19" customWidth="1"/>
    <col min="29" max="31" width="9.7109375" style="19" customWidth="1"/>
    <col min="32" max="32" width="10" style="19" customWidth="1"/>
    <col min="33" max="33" width="10.140625" style="19" customWidth="1"/>
    <col min="34" max="47" width="9.7109375" style="19" customWidth="1"/>
    <col min="48" max="48" width="11.7109375" style="19" customWidth="1"/>
    <col min="49" max="49" width="9.85546875" style="19" customWidth="1"/>
    <col min="50" max="78" width="9.140625" style="19" customWidth="1"/>
  </cols>
  <sheetData>
    <row r="1" spans="2:82" ht="8.25" customHeight="1" x14ac:dyDescent="0.25"/>
    <row r="2" spans="2:82" ht="15" customHeight="1" x14ac:dyDescent="0.25">
      <c r="B2" s="26" t="s">
        <v>0</v>
      </c>
      <c r="C2" s="914">
        <f>'Dx to Plat Comparison'!C2</f>
        <v>0</v>
      </c>
      <c r="D2" s="830"/>
      <c r="E2" s="830"/>
      <c r="F2" s="830"/>
      <c r="G2" s="830"/>
      <c r="AB2" s="5"/>
    </row>
    <row r="3" spans="2:82" ht="15" customHeight="1" x14ac:dyDescent="0.25">
      <c r="B3" s="26" t="s">
        <v>5</v>
      </c>
      <c r="C3" s="893">
        <f>'Dx to Plat Comparison'!C3</f>
        <v>0</v>
      </c>
      <c r="D3" s="865"/>
      <c r="E3" s="865"/>
      <c r="F3" s="865"/>
      <c r="G3" s="865"/>
      <c r="I3" s="161" t="str">
        <f>IF(MAX(AF48:AM48)=0,"SHL survey footages must be from nearest section lines.","")</f>
        <v>SHL survey footages must be from nearest section lines.</v>
      </c>
      <c r="AA3" s="897" t="s">
        <v>213</v>
      </c>
      <c r="AB3" s="891"/>
      <c r="AQ3" s="899" t="s">
        <v>214</v>
      </c>
      <c r="AR3" s="899" t="s">
        <v>215</v>
      </c>
      <c r="AS3" s="899" t="s">
        <v>216</v>
      </c>
      <c r="AT3" s="899" t="s">
        <v>217</v>
      </c>
      <c r="CA3" s="19"/>
      <c r="CB3" s="19"/>
    </row>
    <row r="4" spans="2:82" ht="15" customHeight="1" thickBot="1" x14ac:dyDescent="0.3">
      <c r="S4" s="5"/>
      <c r="T4" s="19"/>
      <c r="U4" s="19"/>
      <c r="V4" s="19"/>
      <c r="AA4" s="898"/>
      <c r="AB4" s="891"/>
      <c r="AQ4" s="871"/>
      <c r="AR4" s="871"/>
      <c r="AS4" s="871"/>
      <c r="AT4" s="871"/>
      <c r="CA4" s="19"/>
      <c r="CB4" s="19"/>
    </row>
    <row r="5" spans="2:82" ht="26.25" customHeight="1" thickBot="1" x14ac:dyDescent="0.3">
      <c r="B5" s="57"/>
      <c r="C5" s="58"/>
      <c r="D5" s="59" t="s">
        <v>218</v>
      </c>
      <c r="E5" s="931" t="s">
        <v>219</v>
      </c>
      <c r="F5" s="847"/>
      <c r="G5" s="847"/>
      <c r="H5" s="851"/>
      <c r="I5" s="931" t="s">
        <v>220</v>
      </c>
      <c r="J5" s="847"/>
      <c r="K5" s="847"/>
      <c r="L5" s="851"/>
      <c r="M5" s="337" t="s">
        <v>29</v>
      </c>
      <c r="N5" s="337"/>
      <c r="O5" s="338"/>
      <c r="P5" s="339"/>
      <c r="Q5" s="35"/>
      <c r="R5" s="35"/>
      <c r="S5" s="60"/>
      <c r="T5" s="906" t="s">
        <v>221</v>
      </c>
      <c r="U5" s="847"/>
      <c r="V5" s="848"/>
      <c r="X5" s="919" t="s">
        <v>300</v>
      </c>
      <c r="Y5" s="848"/>
      <c r="AA5" s="921"/>
      <c r="AB5" s="922"/>
      <c r="AC5" s="922"/>
      <c r="AD5" s="922"/>
      <c r="AE5" s="922"/>
      <c r="AF5" s="922"/>
      <c r="AG5" s="922"/>
      <c r="AH5" s="923"/>
      <c r="AJ5" s="919" t="s">
        <v>222</v>
      </c>
      <c r="AK5" s="847"/>
      <c r="AL5" s="847"/>
      <c r="AM5" s="848"/>
      <c r="AO5" s="876" t="s">
        <v>223</v>
      </c>
      <c r="AP5" s="842"/>
      <c r="AQ5" s="204">
        <f>ATAN(TAN(RADIANS(IF($V$7=11,117,111)-$AR$10))*SIN(RADIANS($AQ$10)))</f>
        <v>0</v>
      </c>
      <c r="AR5" s="789">
        <f>DEGREES($AQ$5)</f>
        <v>0</v>
      </c>
      <c r="AS5" s="205">
        <f>RADIANS(111.5-$AR$10)*IF($O$14=1,$AX$43,IF($O$14=2,$AX$44,$AX$45))</f>
        <v>1.2465929260667301</v>
      </c>
      <c r="AT5" s="789">
        <f>DEGREES($AS$5)</f>
        <v>71.424513434487508</v>
      </c>
      <c r="AV5" s="915" t="s">
        <v>224</v>
      </c>
      <c r="AW5" s="844"/>
      <c r="AX5" s="889"/>
      <c r="CA5" s="19"/>
      <c r="CB5" s="19"/>
    </row>
    <row r="6" spans="2:82" ht="15" customHeight="1" thickBot="1" x14ac:dyDescent="0.3">
      <c r="B6" s="950"/>
      <c r="C6" s="951"/>
      <c r="D6" s="56" t="s">
        <v>152</v>
      </c>
      <c r="E6" s="933" t="s">
        <v>113</v>
      </c>
      <c r="F6" s="859"/>
      <c r="G6" s="910" t="s">
        <v>114</v>
      </c>
      <c r="H6" s="911"/>
      <c r="I6" s="933" t="s">
        <v>6</v>
      </c>
      <c r="J6" s="859"/>
      <c r="K6" s="910" t="s">
        <v>7</v>
      </c>
      <c r="L6" s="911"/>
      <c r="M6" s="740" t="s">
        <v>226</v>
      </c>
      <c r="N6" s="740" t="s">
        <v>72</v>
      </c>
      <c r="O6" s="740" t="s">
        <v>73</v>
      </c>
      <c r="P6" s="740" t="s">
        <v>227</v>
      </c>
      <c r="Q6" s="740" t="s">
        <v>74</v>
      </c>
      <c r="R6" s="740" t="s">
        <v>228</v>
      </c>
      <c r="S6" s="740" t="s">
        <v>229</v>
      </c>
      <c r="T6" s="56" t="s">
        <v>8</v>
      </c>
      <c r="U6" s="740" t="s">
        <v>9</v>
      </c>
      <c r="V6" s="61" t="s">
        <v>230</v>
      </c>
      <c r="X6" s="346" t="s">
        <v>20</v>
      </c>
      <c r="Y6" s="347" t="s">
        <v>54</v>
      </c>
      <c r="AA6" s="924"/>
      <c r="AB6" s="925"/>
      <c r="AC6" s="925"/>
      <c r="AD6" s="925"/>
      <c r="AE6" s="925"/>
      <c r="AF6" s="925"/>
      <c r="AG6" s="925"/>
      <c r="AH6" s="926"/>
      <c r="AJ6" s="315" t="s">
        <v>231</v>
      </c>
      <c r="AK6" s="790">
        <f>IF($AR$7=1,IF($Q$13=1,0,$P$15),IF($Q$13=2,$P$15-$AT$5,-$AT$5))</f>
        <v>0</v>
      </c>
      <c r="AL6" s="316" t="s">
        <v>232</v>
      </c>
      <c r="AM6" s="317">
        <f>IF(AND($AR$7=1,$AR$8=1),1,IF(AND($AR$7=2,$AR$8=1),$AS$6,IF(AND($AR$7=1,$AR$8=2),1/$P$16,$AS$6/$P$16)))</f>
        <v>1</v>
      </c>
      <c r="AO6" s="935" t="s">
        <v>233</v>
      </c>
      <c r="AP6" s="842"/>
      <c r="AQ6" s="934">
        <f>IF(AND(ISNUMBER($AQ$10),ISNUMBER($AR$10)),0.9996*(1+(1+((0.003352811*(2-0.003352811)/(1-0.003352811)^2)*COS(RADIANS($AQ$10))^2))*(RADIANS(IF($V$7=11,117,111)-$AR$10)*COS(RADIANS($AQ$10)))^2/2+(5-4*(TAN(RADIANS($AQ$10))^2)+42*((0.003352811*(2-0.003352811)/(1-0.003352811)^2)*COS(RADIANS($AQ$10))^2)+13*((0.003352811*(2-0.003352811)/(1-0.003352811)^2)*COS(RADIANS($AQ$10))^2)^2-28*(0.003352811*(2-0.003352811)/(1-0.003352811)^2))*(RADIANS(IF($V$7=11,117,111)-$AR$10)*COS(RADIANS($AQ$10)))^4/24+(61-148*(TAN(RADIANS($AQ$10))^2)+16*(TAN(RADIANS($AQ$10))^2)^2)*(RADIANS(IF($V$7=11,117,111)-$AR$10)*COS(RADIANS($AQ$10)))^6/720),"")</f>
        <v>10.354690249898479</v>
      </c>
      <c r="AR6" s="838"/>
      <c r="AS6" s="913">
        <f>IF(AND(ISNUMBER($AQ$10),ISNUMBER($AR$10)),IF($O$14=1,$AX$51+$AX$52*(($AQ$10-$AX$46)*($AX$47+($AQ$10-$AX$46)*($AX$48+($AQ$10-$AX$46)*($AX$49+$AX$50*($AQ$10-$AX$46)))))^2+$AX$53*(($AQ$10-$AX$46)*($AX$47+($AQ$10-$AX$46)*($AX$48+($AQ$10-$AX$46)*($AX$49+$AX$50*($AQ$10-$AX$46)))))^3,IF($O$14=2,$AY$51+$AY$52*(($AQ$10-$AY$46)*($AY$47+($AQ$10-$AY$46)*($AY$48+($AQ$10-$AY$46)*($AY$49+$AY$50*($AQ$10-$AY$46)))))^2+$AY$53*(($AQ$10-$AY$46)*($AY$47+($AQ$10-$AY$46)*($AY$48+($AQ$10-$AY$46)*($AY$49+$AY$50*($AQ$10-$AY$46)))))^3,$AZ$51+$AZ$52*(($AQ$10-$AZ$46)*($AZ$47+($AQ$10-$AZ$46)*($AZ$48+($AQ$10-$AZ$46)*($AZ$49+$AZ$50*($AQ$10-$AZ$46)))))^2+$AZ$53*(($AQ$10-$AZ$46)*($AZ$47+($AQ$10-$AZ$46)*($AZ$48+($AQ$10-$AZ$46)*($AZ$49+$AZ$50*($AQ$10-$AZ$46)))))^3)),"")</f>
        <v>1.2181901162870503</v>
      </c>
      <c r="AT6" s="838"/>
      <c r="AV6" s="890"/>
      <c r="AW6" s="891"/>
      <c r="AX6" s="892"/>
      <c r="CA6" s="19"/>
      <c r="CB6" s="19"/>
    </row>
    <row r="7" spans="2:82" ht="18" customHeight="1" x14ac:dyDescent="0.25">
      <c r="B7" s="952" t="s">
        <v>234</v>
      </c>
      <c r="C7" s="953"/>
      <c r="D7" s="70">
        <v>0</v>
      </c>
      <c r="E7" s="70"/>
      <c r="F7" s="62"/>
      <c r="G7" s="71"/>
      <c r="H7" s="62"/>
      <c r="I7" s="223">
        <f>'Dx to Plat Comparison'!C11</f>
        <v>0</v>
      </c>
      <c r="J7" s="144">
        <v>2</v>
      </c>
      <c r="K7" s="224">
        <f>'Dx to Plat Comparison'!E11</f>
        <v>0</v>
      </c>
      <c r="L7" s="104">
        <v>2</v>
      </c>
      <c r="M7" s="97" t="str">
        <f>IF(OR(ISNUMBER($AF$48),ISNUMBER($AH$48),ISNUMBER($AJ$48),ISNUMBER($AL$48)),VLOOKUP(MAX($AF$48:$AM$48),$AY$62:$BC$65,1+IF(ISNUMBER($AF$48),$AF$46,IF(ISNUMBER($AH$48),$AH$46,IF(ISNUMBER($AJ$48),$AJ$46,IF(ISNUMBER($AL$48),$AL$46,"")))),FALSE),"")</f>
        <v/>
      </c>
      <c r="N7" s="107">
        <f>'Dx to Plat Comparison'!C16</f>
        <v>0</v>
      </c>
      <c r="O7" s="108">
        <f>'Dx to Plat Comparison'!D16</f>
        <v>0</v>
      </c>
      <c r="P7" s="109">
        <v>2</v>
      </c>
      <c r="Q7" s="108">
        <f>'Dx to Plat Comparison'!F16</f>
        <v>0</v>
      </c>
      <c r="R7" s="109">
        <v>2</v>
      </c>
      <c r="S7" s="127">
        <v>2</v>
      </c>
      <c r="T7" s="225" t="str">
        <f>'Dx to Plat Comparison'!K13</f>
        <v/>
      </c>
      <c r="U7" s="226" t="str">
        <f>'Dx to Plat Comparison'!L13</f>
        <v/>
      </c>
      <c r="V7" s="122">
        <v>12</v>
      </c>
      <c r="X7" s="348">
        <f>'Dx to Plat Comparison'!I13</f>
        <v>0</v>
      </c>
      <c r="Y7" s="349">
        <f>'Dx to Plat Comparison'!J13</f>
        <v>0</v>
      </c>
      <c r="AA7" s="924"/>
      <c r="AB7" s="925"/>
      <c r="AC7" s="925"/>
      <c r="AD7" s="925"/>
      <c r="AE7" s="925"/>
      <c r="AF7" s="925"/>
      <c r="AG7" s="925"/>
      <c r="AH7" s="926"/>
      <c r="AJ7" s="912" t="s">
        <v>113</v>
      </c>
      <c r="AK7" s="859"/>
      <c r="AL7" s="845" t="s">
        <v>114</v>
      </c>
      <c r="AM7" s="863"/>
      <c r="AP7" s="54"/>
      <c r="AQ7" s="313" t="s">
        <v>235</v>
      </c>
      <c r="AR7" s="314">
        <v>1</v>
      </c>
      <c r="AS7" s="54" t="str">
        <f>IF($AR$7=1,"(True)", "(Grid)")</f>
        <v>(True)</v>
      </c>
      <c r="AV7" s="340" t="s">
        <v>25</v>
      </c>
      <c r="AW7" s="341" t="s">
        <v>236</v>
      </c>
      <c r="AX7" s="352" t="s">
        <v>237</v>
      </c>
      <c r="CA7" s="19"/>
      <c r="CB7" s="19"/>
    </row>
    <row r="8" spans="2:82" ht="15.75" customHeight="1" thickBot="1" x14ac:dyDescent="0.3">
      <c r="B8" s="946" t="s">
        <v>238</v>
      </c>
      <c r="C8" s="947"/>
      <c r="D8" s="298">
        <f>'Dx to Plat Comparison'!C36</f>
        <v>0</v>
      </c>
      <c r="E8" s="299">
        <f>'Dx to Plat Comparison'!D36</f>
        <v>0</v>
      </c>
      <c r="F8" s="138"/>
      <c r="G8" s="300">
        <f>'Dx to Plat Comparison'!F36</f>
        <v>0</v>
      </c>
      <c r="H8" s="139"/>
      <c r="I8" s="145" t="str">
        <f>IF(ISNUMBER($AF$66),$AF$66,IF(ISNUMBER($AH$66),$AH$66,IF(ISNUMBER($AJ$66),$AJ$66,IF(ISNUMBER($AL$66),$AL$66,IF(ISNUMBER('BHL Section 1'!$I$8),'BHL Section 1'!$I$8,IF(ISNUMBER('BHL Section 2'!$I$8),'BHL Section 2'!$I$8,""))))))</f>
        <v/>
      </c>
      <c r="J8" s="63" t="str">
        <f>IF(ISNUMBER($AF$66),$AF$61,IF(ISNUMBER($AH$66),$AH$61,IF(ISNUMBER($AJ$66),$AJ$61,IF(ISNUMBER($AL$66),$AL$61,IF(ISNUMBER('BHL Section 1'!$I$8),'BHL Section 1'!$J$8,IF(ISNUMBER('BHL Section 2'!$I$8),'BHL Section 2'!$J$8,""))))))</f>
        <v/>
      </c>
      <c r="K8" s="101" t="str">
        <f>IF(ISNUMBER($AG$66),$AG$66,IF(ISNUMBER($AI$66),$AI$66,IF(ISNUMBER($AK$66),$AK$66,IF(ISNUMBER($AM$66),$AM$66,IF(ISNUMBER('BHL Section 1'!$K$8),'BHL Section 1'!$K$8,IF(ISNUMBER('BHL Section 2'!$K$8),'BHL Section 2'!$K$8,""))))))</f>
        <v/>
      </c>
      <c r="L8" s="75" t="str">
        <f>IF(ISNUMBER($AG$66),$AG$61,IF(ISNUMBER($AI$66),$AI$61,IF(ISNUMBER($AK$66),$AK$61,IF(ISNUMBER($AM$66),$AM$61,IF(ISNUMBER('BHL Section 1'!$K$8),'BHL Section 1'!$L$8,IF(ISNUMBER('BHL Section 2'!$K$8),'BHL Section 2'!$L$8,""))))))</f>
        <v/>
      </c>
      <c r="M8" s="63" t="str">
        <f>IF(OR(ISNUMBER($AF$58),ISNUMBER($AH$58),ISNUMBER($AJ$58),ISNUMBER($AL$58)),VLOOKUP(MAX($AF$58:$AM$58),$AY$62:$BC$65,1+IF(ISNUMBER($AF$58),$AF$46,IF(ISNUMBER($AH$58),$AH$46,IF(ISNUMBER($AJ$58),$AJ$46,IF(ISNUMBER($AL$58),$AL$46,"")))),FALSE),IF(AND(ISNUMBER('BHL Section 1'!$I$8),ISNUMBER('BHL Section 1'!$K$8)),'BHL Section 1'!$M$8,IF(AND(ISNUMBER('BHL Section 2'!$I$8),ISNUMBER('BHL Section 2'!$K$8)),'BHL Section 2'!$M$8,"")))</f>
        <v/>
      </c>
      <c r="N8" s="63" t="e">
        <f>IF(MAX($AF$58:$AM$58)&gt;0,$N$7,IF(MAX('BHL Section 1'!$AF$58:$AM$58)&gt;0,'BHL Section 1'!$L$38,IF(MAX('BHL Section 2'!$AF$58:$AM$58)&gt;0,'BHL Section 2'!$L$38,IF(MAX('BHL Section 3'!$AF$58:$AM$58)&gt;0,'BHL Section 3'!$L$38,""))))</f>
        <v>#VALUE!</v>
      </c>
      <c r="O8" s="165">
        <f>O7</f>
        <v>0</v>
      </c>
      <c r="P8" s="165" t="str">
        <f>IF('SHL Section'!$P$7=1,"N","S")</f>
        <v>S</v>
      </c>
      <c r="Q8" s="165">
        <f>Q7</f>
        <v>0</v>
      </c>
      <c r="R8" s="165" t="str">
        <f>IF('SHL Section'!$R$7=1,"E","W")</f>
        <v>W</v>
      </c>
      <c r="S8" s="165" t="str">
        <f>IF($S$7=1,"Salt Lake","Uintah")</f>
        <v>Uintah</v>
      </c>
      <c r="T8" s="77" t="e">
        <f>IF($Q$13=1,$T$7+(IF($AM$8=1,$G$8,-$G$8)*COS($AQ$5)-IF($AK$8=1,$E$8,-$E$8)*SIN($AQ$5))*IF($Q$13=1,$AQ$6,$AQ$6/$P$16)/3.28084,$T$7+(IF($AM$8=1,$G$8,-$G$8)*COS($AS$5-$AQ$5)+IF($AK$8=1,$E$8,-$E$8)*SIN($AS$5-$AQ$5))*IF($Q$13=1,$AQ$6,$AQ$6/$P$16)/3.28084)</f>
        <v>#VALUE!</v>
      </c>
      <c r="U8" s="64" t="e">
        <f>IF($Q$13=1,$U$7+(IF($AK$8=1,$E$8,-$E$8)*COS($AQ$5)+IF($AM$8=1,$G$8,-$G$8)*SIN($AQ$5))*IF($Q$13=1,$AQ$6,$AQ$6/$P$16)/3.28084,$U$7+(IF($AK$8=1,$E$8,-$E$8)*COS($AS$5-$AQ$5)-IF($AM$8=1,$G$8,-$G$8)*SIN($AS$5-$AQ$5))*IF($Q$13=1,$AQ$6,$AQ$6/$P$16)/3.28084)</f>
        <v>#VALUE!</v>
      </c>
      <c r="V8" s="123">
        <f>$V$7</f>
        <v>12</v>
      </c>
      <c r="X8" s="350" t="e">
        <f>ROUND(DEGREES((((0+($U$7+$AX8)/$AX$59)/($AZ$54*(1-$AZ$59/4-3*$AZ$59^2/64-5*$AZ$59^3/256)))+(3*((1-(1-$AZ$59)^0.5)/(1+(1-$AZ$59)^0.5))/2-27*((1-(1-$AZ$59)^0.5)/(1+(1-$AZ$59)^0.5))^3/32)*SIN(2*((0+($U$7+$AX8)/$AX$59)/($AZ$54*(1-$AZ$59/4-3*$AZ$59^2/64-5*$AZ$59^3/256))))+(21*((1-(1-$AZ$59)^0.5)/(1+(1-$AZ$59)^0.5))^2/16-55*((1-(1-$AZ$59)^0.5)/(1+(1-$AZ$59)^0.5))^4/32)*SIN(4*((0+($U$7+$AX8)/$AX$59)/($AZ$54*(1-$AZ$59/4-3*$AZ$59^2/64-5*$AZ$59^3/256))))+(151*((1-(1-$AZ$59)^0.5)/(1+(1-$AZ$59)^0.5))^3/96)*SIN(6*((0+($U$7+$AX8)/$AX$59)/($AZ$54*(1-$AZ$59/4-3*$AZ$59^2/64-5*$AZ$59^3/256))))+(1097*((1-(1-$AZ$59)^0.5)/(1+(1-$AZ$59)^0.5))^4/512)*SIN(8*((0+($U$7+$AX8)/$AX$59)/($AZ$54*(1-$AZ$59/4-3*$AZ$59^2/64-5*$AZ$59^3/256)))))-(($AZ$54/(1-$AZ$59*SIN($AV8)^2)^0.5)*TAN((((0+($U$7+$AX8)/$AX$59)/($AZ$54*(1-$AZ$59/4-3*$AZ$59^2/64-5*$AZ$59^3/256)))+(3*((1-(1-$AZ$59)^0.5)/(1+(1-$AZ$59)^0.5))/2-27*((1-(1-$AZ$59)^0.5)/(1+(1-$AZ$59)^0.5))^3/32)*SIN(2*((0+($U$7+$AX8)/$AX$59)/($AZ$54*(1-$AZ$59/4-3*$AZ$59^2/64-5*$AZ$59^3/256))))+(21*((1-(1-$AZ$59)^0.5)/(1+(1-$AZ$59)^0.5))^2/16-55*((1-(1-$AZ$59)^0.5)/(1+(1-$AZ$59)^0.5))^4/32)*SIN(4*((0+($U$7+$AX8)/$AX$59)/($AZ$54*(1-$AZ$59/4-3*$AZ$59^2/64-5*$AZ$59^3/256))))+(151*((1-(1-$AZ$59)^0.5)/(1+(1-$AZ$59)^0.5))^3/96)*SIN(6*((0+($U$7+$AX8)/$AX$59)/($AZ$54*(1-$AZ$59/4-3*$AZ$59^2/64-5*$AZ$59^3/256))))+(1097*((1-(1-$AZ$59)^0.5)/(1+(1-$AZ$59)^0.5))^4/512)*SIN(8*((0+($U$7+$AX8)/$AX$59)/($AZ$54*(1-$AZ$59/4-3*$AZ$59^2/64-5*$AZ$59^3/256))))))/($AZ$54*(1-$AZ$59)/(1-$AZ$59*SIN($AV8)^2)^1.5))*(((($T$7+$AW8)-$AX$57)/(($AZ$54/(1-$AZ$59*SIN($AV8)^2)^0.5)*$AX$59))^2/2-(5+3*(TAN($AV8)^2)+10*($AZ$60*COS($AV8)^2)-4*($AZ$60*COS($AV8)^2)^2-9*$AZ$60)*((($T$7+$AW8)-$AX$57)/(($AZ$54/(1-$AZ$59*SIN($AV8)^2)^0.5)*$AX$59))^4/24+(61+90*(TAN($AV8)^2)+298*($AZ$60*COS($AV8)^2)+45*(TAN($AV8)^2)^2-252*$AZ$60-3*($AZ$60*COS($AV8)^2)^2)*((($T$7+$AW8)-$AX$57)/(($AZ$54/(1-$AZ$59*SIN($AV8)^2)^0.5)*$AX$59))^6/720)),7)</f>
        <v>#VALUE!</v>
      </c>
      <c r="Y8" s="351" t="e">
        <f>ROUND(DEGREES(RADIANS($AX$56)-(((($T$7+$AW8)-$AX$57)/(($AZ$54/(1-$AZ$59*SIN($AV8)^2)^0.5)*$AX$59))-(1+2*(TAN($AV8)^2)+($AZ$60*COS($AV8)^2))*((($T$7+$AW8)-$AX$57)/(($AZ$54/(1-$AZ$59*SIN($AV8)^2)^0.5)*$AX$59))^3/6+(5-2*($AZ$60*COS($AV8)^2)+28*(TAN($AV8)^2)-3*($AZ$60*COS($AV8)^2)^2+8*$AZ$60+24*(TAN($AV8)^2)^2)*((($T$7+$AW8)-$AX$57)/(($AZ$54/(1-$AZ$59*SIN($AV8)^2)^0.5)*$AX$59))^5/120)/COS((((0+($U$7+$AX8)/$AX$59)/($AZ$54*(1-$AZ$59/4-3*$AZ$59^2/64-5*$AZ$59^3/256)))+(3*((1-(1-$AZ$59)^0.5)/(1+(1-$AZ$59)^0.5))/2-27*((1-(1-$AZ$59)^0.5)/(1+(1-$AZ$59)^0.5))^3/32)*SIN(2*((0+($U$7+$AX8)/$AX$59)/($AZ$54*(1-$AZ$59/4-3*$AZ$59^2/64-5*$AZ$59^3/256))))+(21*((1-(1-$AZ$59)^0.5)/(1+(1-$AZ$59)^0.5))^2/16-55*((1-(1-$AZ$59)^0.5)/(1+(1-$AZ$59)^0.5))^4/32)*SIN(4*((0+($U$7+$AX8)/$AX$59)/($AZ$54*(1-$AZ$59/4-3*$AZ$59^2/64-5*$AZ$59^3/256))))+(151*((1-(1-$AZ$59)^0.5)/(1+(1-$AZ$59)^0.5))^3/96)*SIN(6*((0+($U$7+$AX8)/$AX$59)/($AZ$54*(1-$AZ$59/4-3*$AZ$59^2/64-5*$AZ$59^3/256))))+(1097*((1-(1-$AZ$59)^0.5)/(1+(1-$AZ$59)^0.5))^4/512)*SIN(8*((0+($U$7+$AX8)/$AX$59)/($AZ$54*(1-$AZ$59/4-3*$AZ$59^2/64-5*$AZ$59^3/256))))))),7)</f>
        <v>#VALUE!</v>
      </c>
      <c r="AA8" s="924"/>
      <c r="AB8" s="925"/>
      <c r="AC8" s="925"/>
      <c r="AD8" s="925"/>
      <c r="AE8" s="925"/>
      <c r="AF8" s="925"/>
      <c r="AG8" s="925"/>
      <c r="AH8" s="926"/>
      <c r="AJ8" s="133">
        <f>(IF($AK$8=1,$E$8,-$E$8)*COS(RADIANS($AK$6))-IF($AM$8=1,$G$8,-$G$8)*SIN(RADIANS($AK$6)))*$AM$6</f>
        <v>0</v>
      </c>
      <c r="AK8" s="105">
        <v>2</v>
      </c>
      <c r="AL8" s="64">
        <f>(IF($AM$8=1,$G$8,-$G$8)*COS(RADIANS($AK$6))+IF($AK$8=1,$E$8,-$E$8)*SIN(RADIANS($AK$6)))*$AM$6</f>
        <v>0</v>
      </c>
      <c r="AM8" s="134">
        <v>2</v>
      </c>
      <c r="AP8" s="54"/>
      <c r="AQ8" s="313" t="s">
        <v>239</v>
      </c>
      <c r="AR8" s="314">
        <f>$Q$13</f>
        <v>1</v>
      </c>
      <c r="AS8" s="54" t="str">
        <f>IF($AR$8=1,"(True)", "(Grid)")</f>
        <v>(True)</v>
      </c>
      <c r="AT8" s="54"/>
      <c r="AV8" s="791" t="e">
        <f>((0+($U$7+$AX8)/$AX$59)/($AZ$54*(1-$AZ$59/4-3*$AZ$59^2/64-5*$AZ$59^3/256)))+(3*((1-(1-$AZ$59)^0.5)/(1+(1-$AZ$59)^0.5))/2-27*((1-(1-$AZ$59)^0.5)/(1+(1-$AZ$59)^0.5))^3/32)*SIN(2*((0+($U$7+$AX8)/$AX$59)/($AZ$54*(1-$AZ$59/4-3*$AZ$59^2/64-5*$AZ$59^3/256))))+(21*((1-(1-$AZ$59)^0.5)/(1+(1-$AZ$59)^0.5))^2/16-55*((1-(1-$AZ$59)^0.5)/(1+(1-$AZ$59)^0.5))^4/32)*SIN(4*((0+($U$7+$AX8)/$AX$59)/($AZ$54*(1-$AZ$59/4-3*$AZ$59^2/64-5*$AZ$59^3/256))))+(151*((1-(1-$AZ$59)^0.5)/(1+(1-$AZ$59)^0.5))^3/96)*SIN(6*((0+($U$7+$AX8)/$AX$59)/($AZ$54*(1-$AZ$59/4-3*$AZ$59^2/64-5*$AZ$59^3/256))))+(1097*((1-(1-$AZ$59)^0.5)/(1+(1-$AZ$59)^0.5))^4/512)*SIN(8*((0+($U$7+$AX8)/$AX$59)/($AZ$54*(1-$AZ$59/4-3*$AZ$59^2/64-5*$AZ$59^3/256))))</f>
        <v>#VALUE!</v>
      </c>
      <c r="AW8" s="180">
        <f>IF($Q$13=1,(IF($AM$8=1,$G$8,-$G$8)*COS($AQ$5)-IF($AK$8=1,$E$8,-$E$8)*SIN($AQ$5))*IF($Q$13=1,$AQ$6,$AQ$6/$P$16)/3.28084,(IF($AM$8=1,$G$8,-$G$8)*COS($AS$5-$AQ$5)+IF($AK$8=1,$E$8,-$E$8)*SIN($AS$5-$AQ$5))*IF($Q$13=1,$AQ$6,$AQ$6/$P$16)/3.28084)</f>
        <v>0</v>
      </c>
      <c r="AX8" s="353">
        <f>IF($Q$13=1,(IF($AK$8=1,$E$8,-$E$8)*COS($AQ$5)+IF($AM$8=1,$G$8,-$G$8)*SIN($AQ$5))*IF($Q$13=1,$AQ$6,$AQ$6/$P$16)/3.28084,(IF($AK$8=1,$E$8,-$E$8)*COS($AS$5-$AQ$5)-IF($AM$8=1,$G$8,-$G$8)*SIN($AS$5-$AQ$5))*IF($Q$13=1,$AQ$6,$AQ$6/$P$16)/3.28084)</f>
        <v>0</v>
      </c>
    </row>
    <row r="9" spans="2:82" x14ac:dyDescent="0.25">
      <c r="B9" s="946" t="s">
        <v>240</v>
      </c>
      <c r="C9" s="947"/>
      <c r="D9" s="298">
        <f>'Dx to Plat Comparison'!C37</f>
        <v>0</v>
      </c>
      <c r="E9" s="299">
        <f>'Dx to Plat Comparison'!D37</f>
        <v>0</v>
      </c>
      <c r="F9" s="138"/>
      <c r="G9" s="300">
        <f>'Dx to Plat Comparison'!F37</f>
        <v>0</v>
      </c>
      <c r="H9" s="139"/>
      <c r="I9" s="72" t="str">
        <f>IF(ISNUMBER($AF$77),$AF$77,IF(ISNUMBER($AH$77),$AH$77,IF(ISNUMBER($AJ$77),$AJ$77,IF(ISNUMBER($AL$77),$AL$77,IF(ISNUMBER('BHL Section 1'!$I$9),'BHL Section 1'!$I$9,IF(ISNUMBER('BHL Section 2'!$I$9),'BHL Section 2'!$I$9,IF(ISNUMBER('BHL Section 3'!$I$9),'BHL Section 3'!$I$9,"")))))))</f>
        <v/>
      </c>
      <c r="J9" s="63" t="str">
        <f>IF(ISNUMBER($AF$77),$AF$72,IF(ISNUMBER($AH$77),$AH$72,IF(ISNUMBER($AJ$77),$AJ$72,IF(ISNUMBER($AL$77),$AL$72,IF(ISNUMBER('BHL Section 1'!$I$9),'BHL Section 1'!$J$9,IF(ISNUMBER('BHL Section 2'!$I$9),'BHL Section 2'!$J$9,IF(ISNUMBER('BHL Section 3'!$I$9),'BHL Section 3'!$J$9,"")))))))</f>
        <v/>
      </c>
      <c r="K9" s="64" t="str">
        <f>IF(ISNUMBER($AG$77),$AG$77,IF(ISNUMBER($AI$77),$AI$77,IF(ISNUMBER($AK$77),$AK$77,IF(ISNUMBER($AM$77),$AM$77,IF(ISNUMBER('BHL Section 1'!$K$9),'BHL Section 1'!$K$9,IF(ISNUMBER('BHL Section 2'!$K$9),'BHL Section 2'!$K$9,IF(ISNUMBER('BHL Section 3'!$K$9),'BHL Section 3'!$K$9,"")))))))</f>
        <v/>
      </c>
      <c r="L9" s="75" t="str">
        <f>IF(ISNUMBER($AG$77),$AG$72,IF(ISNUMBER($AI$77),$AI$72,IF(ISNUMBER($AK$77),$AK$72,IF(ISNUMBER($AM$77),$AM$72,IF(ISNUMBER('BHL Section 1'!$K$9),'BHL Section 1'!$L$9,IF(ISNUMBER('BHL Section 2'!$K$9),'BHL Section 2'!$L$9,IF(ISNUMBER('BHL Section 3'!$K$9),'BHL Section 3'!$L$9,"")))))))</f>
        <v/>
      </c>
      <c r="M9" s="63" t="str">
        <f>IF(OR(ISNUMBER($AF$69),ISNUMBER($AH$69),ISNUMBER($AJ$69),ISNUMBER($AL$69)),VLOOKUP(MAX($AF$69:$AM$69),$AY$62:$BC$65,1+IF(ISNUMBER($AF$69),$AF$46,IF(ISNUMBER($AH$69),$AH$46,IF(ISNUMBER($AJ$69),$AJ$46,IF(ISNUMBER($AL$69),$AL$46,"")))),FALSE),IF(AND(ISNUMBER('BHL Section 1'!$I$9),ISNUMBER('BHL Section 1'!$K$9)),'BHL Section 1'!$M$9,IF(AND(ISNUMBER('BHL Section 2'!$I$9),ISNUMBER('BHL Section 2'!$K$9)),'BHL Section 2'!$M$9,IF(AND(ISNUMBER('BHL Section 3'!$I$9),ISNUMBER('BHL Section 3'!$K$9)),'BHL Section 3'!$M$9,""))))</f>
        <v/>
      </c>
      <c r="N9" s="63" t="e">
        <f>IF(MAX($AF$69:$AM$69)&gt;0,$N$7,IF(MAX('BHL Section 1'!$AF$69:$AM$69)&gt;0,'BHL Section 1'!$L$38,IF(MAX('BHL Section 2'!$AF$69:$AM$69)&gt;0,'BHL Section 2'!$L$38,IF(MAX('BHL Section 3'!$AF$69:$AM$69)&gt;0,'BHL Section 3'!$L$38,""))))</f>
        <v>#VALUE!</v>
      </c>
      <c r="O9" s="165">
        <f>O8</f>
        <v>0</v>
      </c>
      <c r="P9" s="165" t="str">
        <f>IF('SHL Section'!$P$7=1,"N","S")</f>
        <v>S</v>
      </c>
      <c r="Q9" s="165">
        <f>Q8</f>
        <v>0</v>
      </c>
      <c r="R9" s="165" t="str">
        <f>IF('SHL Section'!$R$7=1,"E","W")</f>
        <v>W</v>
      </c>
      <c r="S9" s="165" t="str">
        <f>IF($S$7=1,"Salt Lake","Uintah")</f>
        <v>Uintah</v>
      </c>
      <c r="T9" s="77" t="e">
        <f>IF($Q$13=1,$T$7+(IF($AM$9=1,$G$9,-$G$9)*COS($AQ$5)-IF($AK$9=1,$E$9,-$E$9)*SIN($AQ$5))*IF($Q$13=1,$AQ$6,$AQ$6/$P$16)/3.28084,$T$7+(IF($AM$9=1,$G$9,-$G$9)*COS($AS$5-$AQ$5)+IF($AK$9=1,$E$9,-$E$9)*SIN($AS$5-$AQ$5))*IF($Q$13=1,$AQ$6,$AQ$6/$P$16)/3.28084)</f>
        <v>#VALUE!</v>
      </c>
      <c r="U9" s="64" t="e">
        <f>IF($Q$13=1,$U$7+(IF($AK$9=1,$E$9,-$E$9)*COS($AQ$5)+IF($AM$9=1,$G$9,-$G$9)*SIN($AQ$5))*IF($Q$13=1,$AQ$6,$AQ$6/$P$16)/3.28084,$U$7+(IF($AK$9=1,$E$9,-$E$9)*COS($AS$5-$AQ$5)-IF($AM$9=1,$G$9,-$G$9)*SIN($AS$5-$AQ$5))*IF($Q$13=1,$AQ$6,$AQ$6/$P$16)/3.28084)</f>
        <v>#VALUE!</v>
      </c>
      <c r="V9" s="123">
        <f>$V$7</f>
        <v>12</v>
      </c>
      <c r="X9" s="350" t="e">
        <f>ROUND(DEGREES((((0+($U$7+$AX9)/$AX$59)/($AZ$54*(1-$AZ$59/4-3*$AZ$59^2/64-5*$AZ$59^3/256)))+(3*((1-(1-$AZ$59)^0.5)/(1+(1-$AZ$59)^0.5))/2-27*((1-(1-$AZ$59)^0.5)/(1+(1-$AZ$59)^0.5))^3/32)*SIN(2*((0+($U$7+$AX9)/$AX$59)/($AZ$54*(1-$AZ$59/4-3*$AZ$59^2/64-5*$AZ$59^3/256))))+(21*((1-(1-$AZ$59)^0.5)/(1+(1-$AZ$59)^0.5))^2/16-55*((1-(1-$AZ$59)^0.5)/(1+(1-$AZ$59)^0.5))^4/32)*SIN(4*((0+($U$7+$AX9)/$AX$59)/($AZ$54*(1-$AZ$59/4-3*$AZ$59^2/64-5*$AZ$59^3/256))))+(151*((1-(1-$AZ$59)^0.5)/(1+(1-$AZ$59)^0.5))^3/96)*SIN(6*((0+($U$7+$AX9)/$AX$59)/($AZ$54*(1-$AZ$59/4-3*$AZ$59^2/64-5*$AZ$59^3/256))))+(1097*((1-(1-$AZ$59)^0.5)/(1+(1-$AZ$59)^0.5))^4/512)*SIN(8*((0+($U$7+$AX9)/$AX$59)/($AZ$54*(1-$AZ$59/4-3*$AZ$59^2/64-5*$AZ$59^3/256)))))-(($AZ$54/(1-$AZ$59*SIN($AV9)^2)^0.5)*TAN((((0+($U$7+$AX9)/$AX$59)/($AZ$54*(1-$AZ$59/4-3*$AZ$59^2/64-5*$AZ$59^3/256)))+(3*((1-(1-$AZ$59)^0.5)/(1+(1-$AZ$59)^0.5))/2-27*((1-(1-$AZ$59)^0.5)/(1+(1-$AZ$59)^0.5))^3/32)*SIN(2*((0+($U$7+$AX9)/$AX$59)/($AZ$54*(1-$AZ$59/4-3*$AZ$59^2/64-5*$AZ$59^3/256))))+(21*((1-(1-$AZ$59)^0.5)/(1+(1-$AZ$59)^0.5))^2/16-55*((1-(1-$AZ$59)^0.5)/(1+(1-$AZ$59)^0.5))^4/32)*SIN(4*((0+($U$7+$AX9)/$AX$59)/($AZ$54*(1-$AZ$59/4-3*$AZ$59^2/64-5*$AZ$59^3/256))))+(151*((1-(1-$AZ$59)^0.5)/(1+(1-$AZ$59)^0.5))^3/96)*SIN(6*((0+($U$7+$AX9)/$AX$59)/($AZ$54*(1-$AZ$59/4-3*$AZ$59^2/64-5*$AZ$59^3/256))))+(1097*((1-(1-$AZ$59)^0.5)/(1+(1-$AZ$59)^0.5))^4/512)*SIN(8*((0+($U$7+$AX9)/$AX$59)/($AZ$54*(1-$AZ$59/4-3*$AZ$59^2/64-5*$AZ$59^3/256))))))/($AZ$54*(1-$AZ$59)/(1-$AZ$59*SIN($AV9)^2)^1.5))*(((($T$7+$AW9)-$AX$57)/(($AZ$54/(1-$AZ$59*SIN($AV9)^2)^0.5)*$AX$59))^2/2-(5+3*(TAN($AV9)^2)+10*($AZ$60*COS($AV9)^2)-4*($AZ$60*COS($AV9)^2)^2-9*$AZ$60)*((($T$7+$AW9)-$AX$57)/(($AZ$54/(1-$AZ$59*SIN($AV9)^2)^0.5)*$AX$59))^4/24+(61+90*(TAN($AV9)^2)+298*($AZ$60*COS($AV9)^2)+45*(TAN($AV9)^2)^2-252*$AZ$60-3*($AZ$60*COS($AV9)^2)^2)*((($T$7+$AW9)-$AX$57)/(($AZ$54/(1-$AZ$59*SIN($AV9)^2)^0.5)*$AX$59))^6/720)),7)</f>
        <v>#VALUE!</v>
      </c>
      <c r="Y9" s="351" t="e">
        <f>ROUND(DEGREES(RADIANS($AX$56)-(((($T$7+$AW9)-$AX$57)/(($AZ$54/(1-$AZ$59*SIN($AV9)^2)^0.5)*$AX$59))-(1+2*(TAN($AV9)^2)+($AZ$60*COS($AV9)^2))*((($T$7+$AW9)-$AX$57)/(($AZ$54/(1-$AZ$59*SIN($AV9)^2)^0.5)*$AX$59))^3/6+(5-2*($AZ$60*COS($AV9)^2)+28*(TAN($AV9)^2)-3*($AZ$60*COS($AV9)^2)^2+8*$AZ$60+24*(TAN($AV9)^2)^2)*((($T$7+$AW9)-$AX$57)/(($AZ$54/(1-$AZ$59*SIN($AV9)^2)^0.5)*$AX$59))^5/120)/COS((((0+($U$7+$AX9)/$AX$59)/($AZ$54*(1-$AZ$59/4-3*$AZ$59^2/64-5*$AZ$59^3/256)))+(3*((1-(1-$AZ$59)^0.5)/(1+(1-$AZ$59)^0.5))/2-27*((1-(1-$AZ$59)^0.5)/(1+(1-$AZ$59)^0.5))^3/32)*SIN(2*((0+($U$7+$AX9)/$AX$59)/($AZ$54*(1-$AZ$59/4-3*$AZ$59^2/64-5*$AZ$59^3/256))))+(21*((1-(1-$AZ$59)^0.5)/(1+(1-$AZ$59)^0.5))^2/16-55*((1-(1-$AZ$59)^0.5)/(1+(1-$AZ$59)^0.5))^4/32)*SIN(4*((0+($U$7+$AX9)/$AX$59)/($AZ$54*(1-$AZ$59/4-3*$AZ$59^2/64-5*$AZ$59^3/256))))+(151*((1-(1-$AZ$59)^0.5)/(1+(1-$AZ$59)^0.5))^3/96)*SIN(6*((0+($U$7+$AX9)/$AX$59)/($AZ$54*(1-$AZ$59/4-3*$AZ$59^2/64-5*$AZ$59^3/256))))+(1097*((1-(1-$AZ$59)^0.5)/(1+(1-$AZ$59)^0.5))^4/512)*SIN(8*((0+($U$7+$AX9)/$AX$59)/($AZ$54*(1-$AZ$59/4-3*$AZ$59^2/64-5*$AZ$59^3/256))))))),7)</f>
        <v>#VALUE!</v>
      </c>
      <c r="AA9" s="924"/>
      <c r="AB9" s="925"/>
      <c r="AC9" s="925"/>
      <c r="AD9" s="925"/>
      <c r="AE9" s="925"/>
      <c r="AF9" s="925"/>
      <c r="AG9" s="925"/>
      <c r="AH9" s="926"/>
      <c r="AJ9" s="133">
        <f>(IF($AK$9=1,$E$9,-$E$9)*COS(RADIANS($AK$6))-IF($AM$9=1,$G$9,-$G$9)*SIN(RADIANS($AK$6)))*$AM$6</f>
        <v>0</v>
      </c>
      <c r="AK9" s="105">
        <v>2</v>
      </c>
      <c r="AL9" s="64">
        <f>(IF($AM$9=1,$G$9,-$G$9)*COS(RADIANS($AK$6))+IF($AK$9=1,$E$9,-$E$9)*SIN(RADIANS($AK$6)))*$AM$6</f>
        <v>0</v>
      </c>
      <c r="AM9" s="134">
        <v>2</v>
      </c>
      <c r="AP9" s="57"/>
      <c r="AQ9" s="732" t="s">
        <v>20</v>
      </c>
      <c r="AR9" s="733" t="s">
        <v>54</v>
      </c>
      <c r="AV9" s="791" t="e">
        <f>((0+($U$7+$AX9)/$AX$59)/($AZ$54*(1-$AZ$59/4-3*$AZ$59^2/64-5*$AZ$59^3/256)))+(3*((1-(1-$AZ$59)^0.5)/(1+(1-$AZ$59)^0.5))/2-27*((1-(1-$AZ$59)^0.5)/(1+(1-$AZ$59)^0.5))^3/32)*SIN(2*((0+($U$7+$AX9)/$AX$59)/($AZ$54*(1-$AZ$59/4-3*$AZ$59^2/64-5*$AZ$59^3/256))))+(21*((1-(1-$AZ$59)^0.5)/(1+(1-$AZ$59)^0.5))^2/16-55*((1-(1-$AZ$59)^0.5)/(1+(1-$AZ$59)^0.5))^4/32)*SIN(4*((0+($U$7+$AX9)/$AX$59)/($AZ$54*(1-$AZ$59/4-3*$AZ$59^2/64-5*$AZ$59^3/256))))+(151*((1-(1-$AZ$59)^0.5)/(1+(1-$AZ$59)^0.5))^3/96)*SIN(6*((0+($U$7+$AX9)/$AX$59)/($AZ$54*(1-$AZ$59/4-3*$AZ$59^2/64-5*$AZ$59^3/256))))+(1097*((1-(1-$AZ$59)^0.5)/(1+(1-$AZ$59)^0.5))^4/512)*SIN(8*((0+($U$7+$AX9)/$AX$59)/($AZ$54*(1-$AZ$59/4-3*$AZ$59^2/64-5*$AZ$59^3/256))))</f>
        <v>#VALUE!</v>
      </c>
      <c r="AW9" s="180">
        <f>IF($Q$13=1,(IF($AM$9=1,$G$9,-$G$9)*COS($AQ$5)-IF($AK$9=1,$E$9,-$E$9)*SIN($AQ$5))*IF($Q$13=1,$AQ$6,$AQ$6/$P$16)/3.28084,(IF($AM$9=1,$G$9,-$G$9)*COS($AS$5-$AQ$5)+IF($AK$9=1,$E$9,-$E$9)*SIN($AS$5-$AQ$5))*IF($Q$13=1,$AQ$6,$AQ$6/$P$16)/3.28084)</f>
        <v>0</v>
      </c>
      <c r="AX9" s="353">
        <f>IF($Q$13=1,(IF($AK$9=1,$E$9,-$E$9)*COS($AQ$5)+IF($AM$9=1,$G$9,-$G$9)*SIN($AQ$5))*IF($Q$13=1,$AQ$6,$AQ$6/$P$16)/3.28084,(IF($AK$9=1,$E$9,-$E$9)*COS($AS$5-$AQ$5)-IF($AM$9=1,$G$9,-$G$9)*SIN($AS$5-$AQ$5))*IF($Q$13=1,$AQ$6,$AQ$6/$P$16)/3.28084)</f>
        <v>0</v>
      </c>
    </row>
    <row r="10" spans="2:82" ht="15.75" customHeight="1" thickBot="1" x14ac:dyDescent="0.3">
      <c r="B10" s="940" t="s">
        <v>241</v>
      </c>
      <c r="C10" s="941"/>
      <c r="D10" s="220">
        <f>'Dx to Plat Comparison'!C38</f>
        <v>0</v>
      </c>
      <c r="E10" s="221">
        <f>'Dx to Plat Comparison'!D38</f>
        <v>0</v>
      </c>
      <c r="F10" s="2"/>
      <c r="G10" s="222">
        <f>'Dx to Plat Comparison'!F38</f>
        <v>0</v>
      </c>
      <c r="H10" s="131"/>
      <c r="I10" s="73" t="str">
        <f>IF(ISNUMBER($AF$88),$AF$88,IF(ISNUMBER($AH$88),$AH$88,IF(ISNUMBER($AJ$88),$AJ$88,IF(ISNUMBER($AL$88),$AL$88,IF(ISNUMBER('BHL Section 1'!$I$10),'BHL Section 1'!$I$10,IF(ISNUMBER('BHL Section 2'!$I$10),'BHL Section 2'!$I$10,IF(ISNUMBER('BHL Section 3'!$I$10),'BHL Section 3'!$I$10,"")))))))</f>
        <v/>
      </c>
      <c r="J10" s="66" t="str">
        <f>IF(ISNUMBER($AF$88),$AF$83,IF(ISNUMBER($AH$88),$AH$83,IF(ISNUMBER($AJ$88),$AJ$83,IF(ISNUMBER($AL$88),$AL$83,IF(ISNUMBER('BHL Section 1'!$I$10),'BHL Section 1'!$J$10,IF(ISNUMBER('BHL Section 2'!$I$10),'BHL Section 2'!$J$10,IF(ISNUMBER('BHL Section 3'!$I$10),'BHL Section 3'!$J$10,"")))))))</f>
        <v/>
      </c>
      <c r="K10" s="67" t="str">
        <f>IF(ISNUMBER($AG$88),$AG$88,IF(ISNUMBER($AI$88),$AI$88,IF(ISNUMBER($AK$88),$AK$88,IF(ISNUMBER($AM$88),$AM$88,IF(ISNUMBER('BHL Section 1'!$K$10),'BHL Section 1'!$K$10,IF(ISNUMBER('BHL Section 2'!$K$10),'BHL Section 2'!$K$10,IF(ISNUMBER('BHL Section 3'!$K$10),'BHL Section 3'!$K$10,"")))))))</f>
        <v/>
      </c>
      <c r="L10" s="76" t="str">
        <f>IF(ISNUMBER($AG$88),$AG$83,IF(ISNUMBER($AI$88),$AI$83,IF(ISNUMBER($AK$88),$AK$83,IF(ISNUMBER($AM$88),$AM$83,IF(ISNUMBER('BHL Section 1'!$K$10),'BHL Section 1'!$L$10,IF(ISNUMBER('BHL Section 2'!$K$10),'BHL Section 2'!$L$10,IF(ISNUMBER('BHL Section 3'!$K$10),'BHL Section 3'!$L$10,"")))))))</f>
        <v/>
      </c>
      <c r="M10" s="66" t="str">
        <f>IF(OR(ISNUMBER($AF$80),ISNUMBER($AH$80),ISNUMBER($AJ$80),ISNUMBER($AL$80)),VLOOKUP(MAX($AF$80:$AM$80),$AY$62:$BC$65,1+IF(ISNUMBER($AF$80),$AF$46,IF(ISNUMBER($AH$80),$AH$46,IF(ISNUMBER($AJ$80),$AJ$46,IF(ISNUMBER($AL$80),$AL$46,"")))),FALSE),IF(AND(ISNUMBER('BHL Section 1'!$I$10),ISNUMBER('BHL Section 1'!$K$10)),'BHL Section 1'!$M$10,IF(AND(ISNUMBER('BHL Section 2'!$I$10),ISNUMBER('BHL Section 2'!$K$10)),'BHL Section 2'!$M$10,IF(AND(ISNUMBER('BHL Section 3'!$I$10),ISNUMBER('BHL Section 3'!$K$10)),'BHL Section 3'!$M$10,""))))</f>
        <v/>
      </c>
      <c r="N10" s="66" t="e">
        <f>IF(MAX($AF$80:$AM$80)&gt;0,$N$7,IF(MAX('BHL Section 1'!$AF$80:$AM$80)&gt;0,'BHL Section 1'!$L$38,IF(MAX('BHL Section 2'!$AF$80:$AM$80)&gt;0,'BHL Section 2'!$L$38,IF(MAX('BHL Section 3'!$AF$80:$AM$80)&gt;0,'BHL Section 3'!$L$38,""))))</f>
        <v>#VALUE!</v>
      </c>
      <c r="O10" s="166">
        <f>O9</f>
        <v>0</v>
      </c>
      <c r="P10" s="166" t="str">
        <f>IF('SHL Section'!$P$7=1,"N","S")</f>
        <v>S</v>
      </c>
      <c r="Q10" s="166">
        <f>Q9</f>
        <v>0</v>
      </c>
      <c r="R10" s="166" t="str">
        <f>IF('SHL Section'!$R$7=1,"E","W")</f>
        <v>W</v>
      </c>
      <c r="S10" s="166" t="str">
        <f>IF($S$7=1,"Salt Lake","Uintah")</f>
        <v>Uintah</v>
      </c>
      <c r="T10" s="78" t="e">
        <f>IF($Q$13=1,$T$7+(IF($AM$10=1,$G$10,-$G$10)*COS($AQ$5)-IF($AK$10=1,$E$10,-$E$10)*SIN($AQ$5))*IF($Q$13=1,$AQ$6,$AQ$6/$P$16)/3.28084,$T$7+(IF($AM$10=1,$G$10,-$G$10)*COS($AS$5-$AQ$5)+IF($AK$10=1,$E$10,-$E$10)*SIN($AS$5-$AQ$5))*IF($Q$13=1,$AQ$6,$AQ$6/$P$16)/3.28084)</f>
        <v>#VALUE!</v>
      </c>
      <c r="U10" s="67" t="e">
        <f>IF($Q$13=1,$U$7+(IF($AK$10=1,$E$10,-$E$10)*COS($AQ$5)+IF($AM$10=1,$G$10,-$G$10)*SIN($AQ$5))*IF($Q$13=1,$AQ$6,$AQ$6/$P$16)/3.28084,$U$7+(IF($AK$10=1,$E$10,-$E$10)*COS($AS$5-$AQ$5)-IF($AM$10=1,$G$10,-$G$10)*SIN($AS$5-$AQ$5))*IF($Q$13=1,$AQ$6,$AQ$6/$P$16)/3.28084)</f>
        <v>#VALUE!</v>
      </c>
      <c r="V10" s="124">
        <f>$V$7</f>
        <v>12</v>
      </c>
      <c r="X10" s="252" t="e">
        <f>ROUND(DEGREES((((0+($U$7+$AX10)/$AX$59)/($AZ$54*(1-$AZ$59/4-3*$AZ$59^2/64-5*$AZ$59^3/256)))+(3*((1-(1-$AZ$59)^0.5)/(1+(1-$AZ$59)^0.5))/2-27*((1-(1-$AZ$59)^0.5)/(1+(1-$AZ$59)^0.5))^3/32)*SIN(2*((0+($U$7+$AX10)/$AX$59)/($AZ$54*(1-$AZ$59/4-3*$AZ$59^2/64-5*$AZ$59^3/256))))+(21*((1-(1-$AZ$59)^0.5)/(1+(1-$AZ$59)^0.5))^2/16-55*((1-(1-$AZ$59)^0.5)/(1+(1-$AZ$59)^0.5))^4/32)*SIN(4*((0+($U$7+$AX10)/$AX$59)/($AZ$54*(1-$AZ$59/4-3*$AZ$59^2/64-5*$AZ$59^3/256))))+(151*((1-(1-$AZ$59)^0.5)/(1+(1-$AZ$59)^0.5))^3/96)*SIN(6*((0+($U$7+$AX10)/$AX$59)/($AZ$54*(1-$AZ$59/4-3*$AZ$59^2/64-5*$AZ$59^3/256))))+(1097*((1-(1-$AZ$59)^0.5)/(1+(1-$AZ$59)^0.5))^4/512)*SIN(8*((0+($U$7+$AX10)/$AX$59)/($AZ$54*(1-$AZ$59/4-3*$AZ$59^2/64-5*$AZ$59^3/256)))))-(($AZ$54/(1-$AZ$59*SIN($AV10)^2)^0.5)*TAN((((0+($U$7+$AX10)/$AX$59)/($AZ$54*(1-$AZ$59/4-3*$AZ$59^2/64-5*$AZ$59^3/256)))+(3*((1-(1-$AZ$59)^0.5)/(1+(1-$AZ$59)^0.5))/2-27*((1-(1-$AZ$59)^0.5)/(1+(1-$AZ$59)^0.5))^3/32)*SIN(2*((0+($U$7+$AX10)/$AX$59)/($AZ$54*(1-$AZ$59/4-3*$AZ$59^2/64-5*$AZ$59^3/256))))+(21*((1-(1-$AZ$59)^0.5)/(1+(1-$AZ$59)^0.5))^2/16-55*((1-(1-$AZ$59)^0.5)/(1+(1-$AZ$59)^0.5))^4/32)*SIN(4*((0+($U$7+$AX10)/$AX$59)/($AZ$54*(1-$AZ$59/4-3*$AZ$59^2/64-5*$AZ$59^3/256))))+(151*((1-(1-$AZ$59)^0.5)/(1+(1-$AZ$59)^0.5))^3/96)*SIN(6*((0+($U$7+$AX10)/$AX$59)/($AZ$54*(1-$AZ$59/4-3*$AZ$59^2/64-5*$AZ$59^3/256))))+(1097*((1-(1-$AZ$59)^0.5)/(1+(1-$AZ$59)^0.5))^4/512)*SIN(8*((0+($U$7+$AX10)/$AX$59)/($AZ$54*(1-$AZ$59/4-3*$AZ$59^2/64-5*$AZ$59^3/256))))))/($AZ$54*(1-$AZ$59)/(1-$AZ$59*SIN($AV10)^2)^1.5))*(((($T$7+$AW10)-$AX$57)/(($AZ$54/(1-$AZ$59*SIN($AV10)^2)^0.5)*$AX$59))^2/2-(5+3*(TAN($AV10)^2)+10*($AZ$60*COS($AV10)^2)-4*($AZ$60*COS($AV10)^2)^2-9*$AZ$60)*((($T$7+$AW10)-$AX$57)/(($AZ$54/(1-$AZ$59*SIN($AV10)^2)^0.5)*$AX$59))^4/24+(61+90*(TAN($AV10)^2)+298*($AZ$60*COS($AV10)^2)+45*(TAN($AV10)^2)^2-252*$AZ$60-3*($AZ$60*COS($AV10)^2)^2)*((($T$7+$AW10)-$AX$57)/(($AZ$54/(1-$AZ$59*SIN($AV10)^2)^0.5)*$AX$59))^6/720)),7)</f>
        <v>#VALUE!</v>
      </c>
      <c r="Y10" s="318" t="e">
        <f>ROUND(DEGREES(RADIANS($AX$56)-(((($T$7+$AW10)-$AX$57)/(($AZ$54/(1-$AZ$59*SIN($AV10)^2)^0.5)*$AX$59))-(1+2*(TAN($AV10)^2)+($AZ$60*COS($AV10)^2))*((($T$7+$AW10)-$AX$57)/(($AZ$54/(1-$AZ$59*SIN($AV10)^2)^0.5)*$AX$59))^3/6+(5-2*($AZ$60*COS($AV10)^2)+28*(TAN($AV10)^2)-3*($AZ$60*COS($AV10)^2)^2+8*$AZ$60+24*(TAN($AV10)^2)^2)*((($T$7+$AW10)-$AX$57)/(($AZ$54/(1-$AZ$59*SIN($AV10)^2)^0.5)*$AX$59))^5/120)/COS((((0+($U$7+$AX10)/$AX$59)/($AZ$54*(1-$AZ$59/4-3*$AZ$59^2/64-5*$AZ$59^3/256)))+(3*((1-(1-$AZ$59)^0.5)/(1+(1-$AZ$59)^0.5))/2-27*((1-(1-$AZ$59)^0.5)/(1+(1-$AZ$59)^0.5))^3/32)*SIN(2*((0+($U$7+$AX10)/$AX$59)/($AZ$54*(1-$AZ$59/4-3*$AZ$59^2/64-5*$AZ$59^3/256))))+(21*((1-(1-$AZ$59)^0.5)/(1+(1-$AZ$59)^0.5))^2/16-55*((1-(1-$AZ$59)^0.5)/(1+(1-$AZ$59)^0.5))^4/32)*SIN(4*((0+($U$7+$AX10)/$AX$59)/($AZ$54*(1-$AZ$59/4-3*$AZ$59^2/64-5*$AZ$59^3/256))))+(151*((1-(1-$AZ$59)^0.5)/(1+(1-$AZ$59)^0.5))^3/96)*SIN(6*((0+($U$7+$AX10)/$AX$59)/($AZ$54*(1-$AZ$59/4-3*$AZ$59^2/64-5*$AZ$59^3/256))))+(1097*((1-(1-$AZ$59)^0.5)/(1+(1-$AZ$59)^0.5))^4/512)*SIN(8*((0+($U$7+$AX10)/$AX$59)/($AZ$54*(1-$AZ$59/4-3*$AZ$59^2/64-5*$AZ$59^3/256))))))),7)</f>
        <v>#VALUE!</v>
      </c>
      <c r="AA10" s="927"/>
      <c r="AB10" s="928"/>
      <c r="AC10" s="928"/>
      <c r="AD10" s="928"/>
      <c r="AE10" s="928"/>
      <c r="AF10" s="928"/>
      <c r="AG10" s="928"/>
      <c r="AH10" s="929"/>
      <c r="AJ10" s="135">
        <f>(IF($AK$10=1,$E$10,-$E$10)*COS(RADIANS($AK$6))-IF($AM$10=1,$G$10,-$G$10)*SIN(RADIANS($AK$6)))*$AM$6</f>
        <v>0</v>
      </c>
      <c r="AK10" s="106">
        <v>2</v>
      </c>
      <c r="AL10" s="67">
        <f>(IF($AM$10=1,$G$10,-$G$10)*COS(RADIANS($AK$6))+IF($AK$10=1,$E$10,-$E$10)*SIN(RADIANS($AK$6)))*$AM$6</f>
        <v>0</v>
      </c>
      <c r="AM10" s="136">
        <v>2</v>
      </c>
      <c r="AP10" s="744" t="s">
        <v>49</v>
      </c>
      <c r="AQ10" s="311">
        <f>ROUND(IF(ISNUMBER($X$7),$X$7,""),7)</f>
        <v>0</v>
      </c>
      <c r="AR10" s="312">
        <f>ROUND(IF(ISNUMBER($Y$7),$Y$7,""),7)</f>
        <v>0</v>
      </c>
      <c r="AV10" s="792" t="e">
        <f>((0+($U$7+$AX10)/$AX$59)/($AZ$54*(1-$AZ$59/4-3*$AZ$59^2/64-5*$AZ$59^3/256)))+(3*((1-(1-$AZ$59)^0.5)/(1+(1-$AZ$59)^0.5))/2-27*((1-(1-$AZ$59)^0.5)/(1+(1-$AZ$59)^0.5))^3/32)*SIN(2*((0+($U$7+$AX10)/$AX$59)/($AZ$54*(1-$AZ$59/4-3*$AZ$59^2/64-5*$AZ$59^3/256))))+(21*((1-(1-$AZ$59)^0.5)/(1+(1-$AZ$59)^0.5))^2/16-55*((1-(1-$AZ$59)^0.5)/(1+(1-$AZ$59)^0.5))^4/32)*SIN(4*((0+($U$7+$AX10)/$AX$59)/($AZ$54*(1-$AZ$59/4-3*$AZ$59^2/64-5*$AZ$59^3/256))))+(151*((1-(1-$AZ$59)^0.5)/(1+(1-$AZ$59)^0.5))^3/96)*SIN(6*((0+($U$7+$AX10)/$AX$59)/($AZ$54*(1-$AZ$59/4-3*$AZ$59^2/64-5*$AZ$59^3/256))))+(1097*((1-(1-$AZ$59)^0.5)/(1+(1-$AZ$59)^0.5))^4/512)*SIN(8*((0+($U$7+$AX10)/$AX$59)/($AZ$54*(1-$AZ$59/4-3*$AZ$59^2/64-5*$AZ$59^3/256))))</f>
        <v>#VALUE!</v>
      </c>
      <c r="AW10" s="186">
        <f>IF($Q$13=1,(IF($AM$10=1,$G$10,-$G$10)*COS($AQ$5)-IF($AK$10=1,$E$10,-$E$10)*SIN($AQ$5))*IF($Q$13=1,$AQ$6,$AQ$6/$P$16)/3.28084,(IF($AM$10=1,$G$10,-$G$10)*COS($AS$5-$AQ$5)+IF($AK$10=1,$E$10,-$E$10)*SIN($AS$5-$AQ$5))*IF($Q$13=1,$AQ$6,$AQ$6/$P$16)/3.28084)</f>
        <v>0</v>
      </c>
      <c r="AX10" s="354">
        <f>IF($Q$13=1,(IF($AK$10=1,$E$10,-$E$10)*COS($AQ$5)+IF($AM$10=1,$G$10,-$G$10)*SIN($AQ$5))*IF($Q$13=1,$AQ$6,$AQ$6/$P$16)/3.28084,(IF($AK$10=1,$E$10,-$E$10)*COS($AS$5-$AQ$5)-IF($AM$10=1,$G$10,-$G$10)*SIN($AS$5-$AQ$5))*IF($Q$13=1,$AQ$6,$AQ$6/$P$16)/3.28084)</f>
        <v>0</v>
      </c>
      <c r="CA10" s="19"/>
      <c r="CB10" s="19"/>
    </row>
    <row r="11" spans="2:82" ht="7.5" customHeight="1" thickBot="1" x14ac:dyDescent="0.3">
      <c r="G11" s="51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103"/>
      <c r="T11" s="54"/>
      <c r="U11" s="54"/>
      <c r="V11" s="54"/>
      <c r="W11" s="54"/>
      <c r="AF11" s="54"/>
      <c r="AG11" s="54"/>
      <c r="AV11" s="54"/>
      <c r="CA11" s="19"/>
      <c r="CB11" s="19"/>
      <c r="CC11" s="19"/>
      <c r="CD11" s="19"/>
    </row>
    <row r="12" spans="2:82" x14ac:dyDescent="0.25">
      <c r="L12" s="54"/>
      <c r="M12" s="54"/>
      <c r="N12" s="885" t="s">
        <v>301</v>
      </c>
      <c r="O12" s="847"/>
      <c r="P12" s="847"/>
      <c r="Q12" s="848"/>
      <c r="X12" s="345"/>
      <c r="Y12" s="345"/>
      <c r="AA12" s="57" t="s">
        <v>192</v>
      </c>
      <c r="AB12" s="58"/>
      <c r="AC12" s="58"/>
      <c r="AD12" s="219"/>
      <c r="AE12" s="54"/>
      <c r="AF12" s="885" t="s">
        <v>193</v>
      </c>
      <c r="AG12" s="847"/>
      <c r="AH12" s="848"/>
      <c r="AI12" s="746"/>
      <c r="AN12" s="54"/>
      <c r="CA12" s="19"/>
      <c r="CB12" s="19"/>
    </row>
    <row r="13" spans="2:82" x14ac:dyDescent="0.25">
      <c r="L13" s="54"/>
      <c r="M13" s="54"/>
      <c r="N13" s="355" t="s">
        <v>256</v>
      </c>
      <c r="O13" s="141"/>
      <c r="P13" s="142"/>
      <c r="Q13" s="356">
        <v>1</v>
      </c>
      <c r="T13" s="156"/>
      <c r="U13" s="156"/>
      <c r="V13" s="54"/>
      <c r="W13" s="54"/>
      <c r="X13" s="54"/>
      <c r="Y13" s="54"/>
      <c r="Z13" s="54"/>
      <c r="AA13" s="361"/>
      <c r="AB13" s="364"/>
      <c r="AC13" s="364"/>
      <c r="AD13" s="365"/>
      <c r="AE13" s="54"/>
      <c r="AF13" s="368"/>
      <c r="AG13" s="369"/>
      <c r="AH13" s="251" t="s">
        <v>200</v>
      </c>
      <c r="AI13" s="746"/>
      <c r="AJ13" s="54"/>
      <c r="AK13" s="54"/>
      <c r="AL13" s="54"/>
      <c r="AM13" s="54"/>
      <c r="AN13" s="54"/>
      <c r="CA13" s="19"/>
      <c r="CB13" s="19"/>
    </row>
    <row r="14" spans="2:82" x14ac:dyDescent="0.25">
      <c r="L14" s="54"/>
      <c r="M14" s="54"/>
      <c r="N14" s="357" t="s">
        <v>259</v>
      </c>
      <c r="O14" s="227">
        <v>2</v>
      </c>
      <c r="Q14" s="22"/>
      <c r="T14" s="156"/>
      <c r="U14" s="156"/>
      <c r="V14" s="54"/>
      <c r="W14" s="54"/>
      <c r="X14" s="342"/>
      <c r="Y14" s="342"/>
      <c r="Z14" s="54"/>
      <c r="AA14" s="362"/>
      <c r="AB14" s="366"/>
      <c r="AC14" s="366"/>
      <c r="AD14" s="367"/>
      <c r="AE14" s="54"/>
      <c r="AF14" s="370"/>
      <c r="AG14" s="371"/>
      <c r="AH14" s="251" t="s">
        <v>206</v>
      </c>
      <c r="CA14" s="19"/>
      <c r="CB14" s="19"/>
    </row>
    <row r="15" spans="2:82" ht="15.75" customHeight="1" thickBot="1" x14ac:dyDescent="0.3">
      <c r="B15" s="69" t="s">
        <v>302</v>
      </c>
      <c r="C15" s="55"/>
      <c r="D15" s="55"/>
      <c r="E15" s="55"/>
      <c r="F15" s="55"/>
      <c r="G15" s="55"/>
      <c r="H15" s="55"/>
      <c r="I15" s="55"/>
      <c r="J15" s="55"/>
      <c r="K15" s="55"/>
      <c r="L15" s="54"/>
      <c r="M15" s="54"/>
      <c r="N15" s="917" t="str">
        <f>IF($Q$13=2,"Convergence Angle","")</f>
        <v/>
      </c>
      <c r="O15" s="918"/>
      <c r="P15" s="806">
        <f>'Dx to Plat Comparison'!F39</f>
        <v>1</v>
      </c>
      <c r="Q15" s="358" t="str">
        <f>IF($Q$13=2,"(d.ddd)","")</f>
        <v/>
      </c>
      <c r="T15" s="156"/>
      <c r="U15" s="156"/>
      <c r="V15" s="54"/>
      <c r="W15" s="54"/>
      <c r="X15" s="54"/>
      <c r="Y15" s="54"/>
      <c r="Z15" s="54"/>
      <c r="AA15" s="363"/>
      <c r="AB15" s="343" t="e">
        <f>(AB14-AB13)/($AA$14-$AA$13)*($AA$15-$AA$13)+AB13</f>
        <v>#DIV/0!</v>
      </c>
      <c r="AC15" s="343" t="e">
        <f>(AC14-AC13)/($AA$14-$AA$13)*($AA$15-$AA$13)+AC13</f>
        <v>#DIV/0!</v>
      </c>
      <c r="AD15" s="344" t="e">
        <f>(AD14-AD13)/($AA$14-$AA$13)*($AA$15-$AA$13)+AD13</f>
        <v>#DIV/0!</v>
      </c>
      <c r="AE15" s="54"/>
      <c r="AF15" s="372"/>
      <c r="AG15" s="373"/>
      <c r="AH15" s="61" t="s">
        <v>208</v>
      </c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"/>
    </row>
    <row r="16" spans="2:82" s="1" customFormat="1" ht="15.75" customHeight="1" thickBot="1" x14ac:dyDescent="0.3">
      <c r="B16" s="92" t="s">
        <v>303</v>
      </c>
      <c r="C16" s="93"/>
      <c r="D16" s="93"/>
      <c r="E16" s="93"/>
      <c r="F16" s="93"/>
      <c r="G16" s="93"/>
      <c r="H16" s="93"/>
      <c r="I16" s="93"/>
      <c r="J16" s="93"/>
      <c r="K16" s="93"/>
      <c r="L16" s="54"/>
      <c r="M16" s="54"/>
      <c r="N16" s="907" t="str">
        <f>IF($Q$13=2,"Scale Factor","")</f>
        <v/>
      </c>
      <c r="O16" s="871"/>
      <c r="P16" s="359">
        <f>'Dx to Plat Comparison'!F40</f>
        <v>1</v>
      </c>
      <c r="Q16" s="360" t="str">
        <f>IF(AND($Q$13=2,P16=""),"required","")</f>
        <v/>
      </c>
      <c r="Z16" s="5"/>
      <c r="AA16" s="54"/>
      <c r="AB16" s="54"/>
      <c r="AC16" s="54"/>
      <c r="AD16" s="54"/>
      <c r="AE16" s="54"/>
      <c r="AF16" s="252">
        <f>AF13+AF14/60+AF15/3600</f>
        <v>0</v>
      </c>
      <c r="AG16" s="253">
        <f>AG13+AG14/60+AG15/3600</f>
        <v>0</v>
      </c>
      <c r="AH16" s="254" t="s">
        <v>210</v>
      </c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</row>
    <row r="17" spans="1:83" s="1" customFormat="1" x14ac:dyDescent="0.25">
      <c r="B17" s="43"/>
      <c r="Z17" s="5"/>
      <c r="AA17" s="5"/>
      <c r="AB17" s="5"/>
      <c r="AC17" s="5"/>
      <c r="AD17" s="943" t="s">
        <v>304</v>
      </c>
      <c r="AE17" s="832"/>
      <c r="AF17" s="832"/>
      <c r="AG17" s="832"/>
      <c r="AH17" s="832"/>
      <c r="AI17" s="832"/>
      <c r="AJ17" s="832"/>
      <c r="AK17" s="832"/>
      <c r="AL17" s="832"/>
      <c r="AM17" s="832"/>
      <c r="AN17" s="832"/>
      <c r="AO17" s="832"/>
      <c r="AP17" s="832"/>
      <c r="AQ17" s="832"/>
      <c r="AR17" s="832"/>
      <c r="AS17" s="832"/>
      <c r="AT17" s="832"/>
      <c r="AU17" s="832"/>
      <c r="AV17" s="38" t="s">
        <v>305</v>
      </c>
      <c r="AW17" s="939" t="s">
        <v>306</v>
      </c>
      <c r="AX17" s="882"/>
      <c r="AY17" s="939" t="s">
        <v>307</v>
      </c>
      <c r="AZ17" s="882"/>
      <c r="BA17" s="939" t="s">
        <v>308</v>
      </c>
      <c r="BB17" s="882"/>
      <c r="BC17" s="939" t="s">
        <v>309</v>
      </c>
      <c r="BD17" s="882"/>
      <c r="BE17" s="939" t="s">
        <v>310</v>
      </c>
      <c r="BF17" s="882"/>
      <c r="BG17" s="939" t="s">
        <v>311</v>
      </c>
      <c r="BH17" s="882"/>
      <c r="BI17" s="939" t="s">
        <v>312</v>
      </c>
      <c r="BJ17" s="882"/>
      <c r="BK17" s="939" t="s">
        <v>313</v>
      </c>
      <c r="BL17" s="882"/>
      <c r="BM17" s="939" t="s">
        <v>314</v>
      </c>
      <c r="BN17" s="882"/>
      <c r="BO17" s="939" t="s">
        <v>315</v>
      </c>
      <c r="BP17" s="882"/>
      <c r="BQ17" s="939" t="s">
        <v>316</v>
      </c>
      <c r="BR17" s="882"/>
      <c r="BS17" s="939" t="s">
        <v>317</v>
      </c>
      <c r="BT17" s="882"/>
      <c r="BU17" s="939" t="s">
        <v>318</v>
      </c>
      <c r="BV17" s="882"/>
      <c r="BW17" s="939" t="s">
        <v>319</v>
      </c>
      <c r="BX17" s="882"/>
      <c r="BY17" s="939" t="s">
        <v>320</v>
      </c>
      <c r="BZ17" s="882"/>
      <c r="CA17" s="939" t="s">
        <v>321</v>
      </c>
      <c r="CB17" s="882"/>
    </row>
    <row r="18" spans="1:83" x14ac:dyDescent="0.25">
      <c r="B18" s="26"/>
      <c r="C18" s="33"/>
      <c r="D18" s="17" t="s">
        <v>118</v>
      </c>
      <c r="E18" s="162"/>
      <c r="F18" s="33"/>
      <c r="G18" s="33"/>
      <c r="H18" s="33"/>
      <c r="I18" s="33"/>
      <c r="J18" s="17" t="s">
        <v>118</v>
      </c>
      <c r="K18" s="217">
        <v>5195.57</v>
      </c>
      <c r="N18" s="17" t="s">
        <v>118</v>
      </c>
      <c r="O18" s="162"/>
      <c r="T18" s="17" t="s">
        <v>118</v>
      </c>
      <c r="U18" s="162"/>
      <c r="AB18" s="5"/>
      <c r="AC18" s="5"/>
      <c r="AD18" s="39"/>
      <c r="AE18" s="18"/>
      <c r="AF18" s="939" t="s">
        <v>322</v>
      </c>
      <c r="AG18" s="882"/>
      <c r="AH18" s="939" t="s">
        <v>323</v>
      </c>
      <c r="AI18" s="882"/>
      <c r="AJ18" s="939" t="s">
        <v>324</v>
      </c>
      <c r="AK18" s="882"/>
      <c r="AL18" s="939" t="s">
        <v>325</v>
      </c>
      <c r="AM18" s="882"/>
      <c r="AN18" s="939" t="s">
        <v>326</v>
      </c>
      <c r="AO18" s="882"/>
      <c r="AP18" s="939" t="s">
        <v>327</v>
      </c>
      <c r="AQ18" s="882"/>
      <c r="AR18" s="939" t="s">
        <v>328</v>
      </c>
      <c r="AS18" s="882"/>
      <c r="AT18" s="939" t="s">
        <v>329</v>
      </c>
      <c r="AU18" s="882"/>
      <c r="AV18" s="38" t="s">
        <v>330</v>
      </c>
      <c r="AW18" s="760" t="s">
        <v>113</v>
      </c>
      <c r="AX18" s="761" t="s">
        <v>114</v>
      </c>
      <c r="AY18" s="760" t="s">
        <v>113</v>
      </c>
      <c r="AZ18" s="761" t="s">
        <v>114</v>
      </c>
      <c r="BA18" s="760" t="s">
        <v>113</v>
      </c>
      <c r="BB18" s="761" t="s">
        <v>114</v>
      </c>
      <c r="BC18" s="760" t="s">
        <v>113</v>
      </c>
      <c r="BD18" s="761" t="s">
        <v>114</v>
      </c>
      <c r="BE18" s="760" t="s">
        <v>113</v>
      </c>
      <c r="BF18" s="761" t="s">
        <v>114</v>
      </c>
      <c r="BG18" s="760" t="s">
        <v>113</v>
      </c>
      <c r="BH18" s="761" t="s">
        <v>114</v>
      </c>
      <c r="BI18" s="760" t="s">
        <v>113</v>
      </c>
      <c r="BJ18" s="761" t="s">
        <v>114</v>
      </c>
      <c r="BK18" s="760" t="s">
        <v>113</v>
      </c>
      <c r="BL18" s="761" t="s">
        <v>114</v>
      </c>
      <c r="BM18" s="760" t="s">
        <v>113</v>
      </c>
      <c r="BN18" s="761" t="s">
        <v>114</v>
      </c>
      <c r="BO18" s="760" t="s">
        <v>113</v>
      </c>
      <c r="BP18" s="761" t="s">
        <v>114</v>
      </c>
      <c r="BQ18" s="760" t="s">
        <v>113</v>
      </c>
      <c r="BR18" s="761" t="s">
        <v>114</v>
      </c>
      <c r="BS18" s="760" t="s">
        <v>113</v>
      </c>
      <c r="BT18" s="761" t="s">
        <v>114</v>
      </c>
      <c r="BU18" s="760" t="s">
        <v>113</v>
      </c>
      <c r="BV18" s="761" t="s">
        <v>114</v>
      </c>
      <c r="BW18" s="760" t="s">
        <v>113</v>
      </c>
      <c r="BX18" s="761" t="s">
        <v>114</v>
      </c>
      <c r="BY18" s="760" t="s">
        <v>113</v>
      </c>
      <c r="BZ18" s="761" t="s">
        <v>114</v>
      </c>
      <c r="CA18" s="760" t="s">
        <v>113</v>
      </c>
      <c r="CB18" s="761" t="s">
        <v>114</v>
      </c>
    </row>
    <row r="19" spans="1:83" ht="12" customHeight="1" x14ac:dyDescent="0.25">
      <c r="B19" s="26"/>
      <c r="C19" s="33"/>
      <c r="D19" s="17" t="s">
        <v>124</v>
      </c>
      <c r="E19" s="147"/>
      <c r="F19" s="33"/>
      <c r="G19" s="33"/>
      <c r="H19" s="33"/>
      <c r="I19" s="33"/>
      <c r="J19" s="17" t="s">
        <v>124</v>
      </c>
      <c r="K19" s="148">
        <v>89</v>
      </c>
      <c r="N19" s="17" t="s">
        <v>124</v>
      </c>
      <c r="O19" s="147"/>
      <c r="T19" s="17" t="s">
        <v>124</v>
      </c>
      <c r="U19" s="147"/>
      <c r="AB19" s="5"/>
      <c r="AC19" s="5"/>
      <c r="AD19" s="756" t="s">
        <v>331</v>
      </c>
      <c r="AE19" s="757" t="s">
        <v>332</v>
      </c>
      <c r="AF19" s="30" t="s">
        <v>113</v>
      </c>
      <c r="AG19" s="30" t="s">
        <v>114</v>
      </c>
      <c r="AH19" s="30" t="s">
        <v>113</v>
      </c>
      <c r="AI19" s="30" t="s">
        <v>114</v>
      </c>
      <c r="AJ19" s="30" t="s">
        <v>113</v>
      </c>
      <c r="AK19" s="30" t="s">
        <v>114</v>
      </c>
      <c r="AL19" s="30" t="s">
        <v>113</v>
      </c>
      <c r="AM19" s="30" t="s">
        <v>114</v>
      </c>
      <c r="AN19" s="30" t="s">
        <v>113</v>
      </c>
      <c r="AO19" s="30" t="s">
        <v>114</v>
      </c>
      <c r="AP19" s="30" t="s">
        <v>113</v>
      </c>
      <c r="AQ19" s="30" t="s">
        <v>114</v>
      </c>
      <c r="AR19" s="30" t="s">
        <v>113</v>
      </c>
      <c r="AS19" s="30" t="s">
        <v>114</v>
      </c>
      <c r="AT19" s="30" t="s">
        <v>113</v>
      </c>
      <c r="AU19" s="30" t="s">
        <v>114</v>
      </c>
      <c r="AV19" s="38"/>
      <c r="AW19" s="807">
        <f>IF(AND($U$18&gt;0,$O$18&gt;0),$U$18*SIN(RADIANS(90-$U$23)),IF(AND($U$18=0,$O$18&gt;0),$O$18/2*SIN(RADIANS(90-$O$23)),IF(AND($U$18&gt;0,$O$18=0),$U$18/2*SIN(RADIANS(90-$U$23)),IF(AND($U$18=0,$O$18=0,$K$18=0),$E$18/4*SIN(RADIANS(90-$E$23)),$K$18/4*SIN(RADIANS(90-$K$23))))))</f>
        <v>4.5402781134735051</v>
      </c>
      <c r="AX19" s="808">
        <f>IF(AND($U$18&gt;0,$O$18&gt;0),$U$18*COS(RADIANS(90-$U$23)),IF(AND($U$18=0,$O$18&gt;0),$O$18/2*COS(RADIANS(90-$O$23)),IF(AND($U$18&gt;0,$O$18=0),$U$18/2*COS(RADIANS(90-$U$23)),IF(AND($U$18=0,$O$18=0,$K$18=0),$E$18/4*COS(RADIANS(90-$E$23)),$K$18/4*COS(RADIANS(90-$K$23))))))</f>
        <v>1298.8845647057717</v>
      </c>
      <c r="AY19" s="807">
        <f>IF(AND($U$18&gt;0,$O$18&gt;0),$O$18*SIN(RADIANS(90-$O$23)),IF(AND($U$18=0,$O$18&gt;0),$O$18/2*SIN(RADIANS(90-$O$23)),IF(AND($U$18&gt;0,$O$18=0),$U$18/2*SIN(RADIANS(90-$U$23)),IF(AND($U$18=0,$O$18=0,$K$18=0),$E$18/4*SIN(RADIANS(90-$E$23)),$K$18/4*SIN(RADIANS(90-$K$23))))))</f>
        <v>4.5402781134735051</v>
      </c>
      <c r="AZ19" s="808">
        <f>IF(AND($U$18&gt;0,$O$18&gt;0),$O$18*COS(RADIANS(90-$O$23)),IF(AND($U$18=0,$O$18&gt;0),$O$18/2*COS(RADIANS(90-$O$23)),IF(AND($U$18&gt;0,$O$18=0),$U$18/2*COS(RADIANS(90-$U$23)),IF(AND($U$18=0,$O$18=0,$K$18=0),$E$18/4*COS(RADIANS(90-$E$23)),$K$18/4*COS(RADIANS(90-$K$23))))))</f>
        <v>1298.8845647057717</v>
      </c>
      <c r="BA19" s="807">
        <f>IF(AND($K$18&gt;0,$E$18&gt;0,OR($O$18&gt;0,$U$18&gt;0)),$K$18*SIN(RADIANS(90-$K$23)),IF(AND($K$18=0,$E$18&gt;0,OR($O$18&gt;0,$U$18&gt;0)),$E$18/2*SIN(RADIANS(90-$E$23)),IF(AND($K$18&gt;0,$E$18=0,OR($O$18&gt;0,$U$18&gt;0)),$K$18/2*SIN(RADIANS(90-$K$23)),IF(AND($K$18&gt;0,$O$18=0,$U$18=0),$K$18/4*SIN(RADIANS(90-$K$23)),$E$18/4*SIN(RADIANS(90-$E$23))))))</f>
        <v>4.5402781134735051</v>
      </c>
      <c r="BB19" s="808">
        <f>IF(AND($K$18&gt;0,$E$18&gt;0,OR($O$18&gt;0,$U$18&gt;0)),$K$18*COS(RADIANS(90-$K$23)),IF(AND($K$18=0,$E$18&gt;0,OR($O$18&gt;0,$U$18&gt;0)),$E$18/2*COS(RADIANS(90-$E$23)),IF(AND($K$18&gt;0,$E$18=0,OR($O$18&gt;0,$U$18&gt;0)),$K$18/2*COS(RADIANS(90-$K$23)),IF(AND($K$18&gt;0,$O$18=0,$U$18=0),$K$18/4*COS(RADIANS(90-$K$23)),$E$18/4*COS(RADIANS(90-$E$23))))))</f>
        <v>1298.8845647057717</v>
      </c>
      <c r="BC19" s="807">
        <f>IF(AND($K$18&gt;0,$E$18&gt;0,OR($O$18&gt;0,$U$18&gt;0)),$E$18*SIN(RADIANS(90-$E$23)),IF(AND($K$18=0,$E$18&gt;0,OR($O$18&gt;0,$U$18&gt;0)),$E$18/2*SIN(RADIANS(90-$E$23)),IF(AND($K$18&gt;0,$E$18=0,OR($O$18&gt;0,$U$18&gt;0)),$K$18/2*SIN(RADIANS(90-$K$23)),IF(AND($K$18&gt;0,$O$18=0,$U$18=0),$K$18/4*SIN(RADIANS(90-$K$23)),$E$18/4*SIN(RADIANS(90-$E$23))))))</f>
        <v>4.5402781134735051</v>
      </c>
      <c r="BD19" s="809">
        <f>IF(AND($K$18&gt;0,$E$18&gt;0,OR($O$18&gt;0,$U$18&gt;0)),$E$18*COS(RADIANS(90-$E$23)),IF(AND($K$18=0,$E$18&gt;0,OR($O$18&gt;0,$U$18&gt;0)),$E$18/2*COS(RADIANS(90-$E$23)),IF(AND($K$18&gt;0,$E$18=0,OR($O$18&gt;0,$U$18&gt;0)),$K$18/2*COS(RADIANS(90-$K$23)),IF(AND($K$18&gt;0,$O$18=0,$U$18=0),$K$18/4*COS(RADIANS(90-$K$23)),$E$18/4*COS(RADIANS(90-$E$23))))))</f>
        <v>1298.8845647057717</v>
      </c>
      <c r="BE19" s="807">
        <f>IF(AND($B$33&gt;0,$B$25&gt;0,OR($B$41&gt;0,$B$49&gt;0)),$B$25*COS(RADIANS(180-$B$30)),IF(AND($B$33=0,$B$25&gt;0,OR($B$41&gt;0,$B$49&gt;0)),$B$25/2*COS(RADIANS(180-$B$30)),IF(AND($B$33&gt;0,$B$25=0,OR($B$41&gt;0,$B$49&gt;0)),$B$33/2*COS(RADIANS(180-$B$38)),IF(AND($B$33&gt;0,$B$41=0,$B$49=0),$B$33/4*COS(RADIANS(180-$B$38)),$B$25/4*COS(RADIANS(180-$B$30))))))</f>
        <v>1317.7697219205245</v>
      </c>
      <c r="BF19" s="808">
        <f>IF(AND($B$33&gt;0,$B$25&gt;0,OR($B$41&gt;0,$B$49&gt;0)),$B$25*-SIN(RADIANS(180-$B$30)),IF(AND($B$33&gt;0,$B$25&gt;0,OR($B$41&gt;0,$B$49&gt;0)),$B$33*-SIN(RADIANS(180-$B$38)),IF(AND($B$33&gt;0,$B$25=0,OR($B$41&gt;0,$B$49&gt;0)),$B$33/2*-SIN(RADIANS(180-$B$38)),IF(AND($B$33&gt;0,$B$41=0,$B$49=0),$B$33/4*-SIN(RADIANS(180-$B$38)),$B$25/4*-SIN(RADIANS(180-$B$30))))))</f>
        <v>-0.85608965868660658</v>
      </c>
      <c r="BG19" s="807">
        <f>IF(AND($B$33&gt;0,$B$25&gt;0,OR($B$41&gt;0,$B$49&gt;0)),$B$33*COS(RADIANS(180-$B$38)),IF(AND($B$33=0,$B$25&gt;0,OR($B$41&gt;0,$B$49&gt;0)),$B$25/2*COS(RADIANS(180-$B$30)),IF(AND($B$33&gt;0,$B$25=0,OR($B$41&gt;0,$B$49&gt;0)),$B$33/2*COS(RADIANS(180-$B$38)),IF(AND($B$33&gt;0,$B$41=0,$B$49=0),$B$33/4*COS(RADIANS(180-$B$38)),$B$25/4*COS(RADIANS(180-$B$30))))))</f>
        <v>1317.7697219205245</v>
      </c>
      <c r="BH19" s="808">
        <f>IF(AND($B$33&gt;0,$B$25&gt;0,OR($B$41&gt;0,$B$49&gt;0)),$B$33*-SIN(RADIANS(180-$B$38)),IF(AND($B$33&gt;0,$B$25&gt;0,OR($B$41&gt;0,$B$49&gt;0)),$B$33*-SIN(RADIANS(180-$B$38)),IF(AND($B$33&gt;0,$B$25=0,OR($B$41&gt;0,$B$49&gt;0)),$B$33/2*-SIN(RADIANS(180-$B$38)),IF(AND($B$33&gt;0,$B$41=0,$B$49=0),$B$33/4*-SIN(RADIANS(180-$B$38)),$B$25/4*-SIN(RADIANS(180-$B$30))))))</f>
        <v>-0.85608965868660658</v>
      </c>
      <c r="BI19" s="807">
        <f>IF(AND($B$49&gt;0,$B$41&gt;0),$B$41*COS(RADIANS(180-$B$46)),IF(AND($B$49=0,$B$41&gt;0),$B$41/2*COS(RADIANS(180-$B$46)),IF(AND($B$49&gt;0,$B$41=0),$B$49/2*COS(RADIANS(180-$B$54)),IF(AND($B$49=0,$B$41=0,$B$33=0),$B$25/4*COS(RADIANS(180-$B$30)),$B$33/4*COS(RADIANS(180-$B$38))))))</f>
        <v>1321.4395134654424</v>
      </c>
      <c r="BJ19" s="808">
        <f>IF(AND($B$49&gt;0,$B$41&gt;0),$B$41*-SIN(RADIANS(180-$B$46)),IF(AND($B$49=0,$B$41&gt;0),$B$41/2*-SIN(RADIANS(180-$B$46)),IF(AND($B$49&gt;0,$B$41=0),$B$49/2*-SIN(RADIANS(180-$B$54)),IF(AND($B$49=0,$B$41=0,$B$33=0),$B$25/4*-SIN(RADIANS(180-$B$30)),$B$33/4*-SIN(RADIANS(180-$B$38))))))</f>
        <v>1.1339542384866284</v>
      </c>
      <c r="BK19" s="807">
        <f>IF(AND($B$49&gt;0,$B$41&gt;0),$B$49*COS(RADIANS(180-$B$54)),IF(AND($B$49=0,$B$41&gt;0),$B$41/2*COS(RADIANS(180-$B$46)),IF(AND($B$49&gt;0,$B$41=0),$B$49/2*COS(RADIANS(180-$B$54)),IF(AND($B$49=0,$B$41=0,$B$33=0),$B$25/4*COS(RADIANS(180-$B$30)),$B$33/4*COS(RADIANS(180-$B$38))))))</f>
        <v>1321.4395134654424</v>
      </c>
      <c r="BL19" s="808">
        <f>IF(AND($B$49&gt;0,$B$41&gt;0),$B$49*-SIN(RADIANS(180-$B$54)),IF(AND($B$49=0,$B$41&gt;0),$B$41/2*-SIN(RADIANS(180-$B$46)),IF(AND($B$49&gt;0,$B$41=0),$B$49/2*-SIN(RADIANS(180-$B$54)),IF(AND($B$49=0,$B$41=0,$B$33=0),$B$25/4*-SIN(RADIANS(180-$B$30)),$B$33/4*-SIN(RADIANS(180-$B$38))))))</f>
        <v>1.1339542384866284</v>
      </c>
      <c r="BM19" s="807">
        <f>IF(AND($K$56&gt;0,$E$56&gt;0,OR($O$56&gt;0,$U$56&gt;0)),$E$56*SIN(RADIANS(90-$E$61)),IF(AND($K$56=0,$E$56&gt;0,OR($O$56&gt;0,$U$56&gt;0)),$E$56/2*SIN(RADIANS(90-$E$61)),IF(AND($K$56&gt;0,$E$56=0,OR($O$56&gt;0,$U$56&gt;0)),$K$56/2*SIN(RADIANS(90-$K$61)),IF(AND($K$56&gt;0,$O$56=0,$U$56=0),$K$56/4*SIN(RADIANS(90-$K$61)),$E$56/4*SIN(RADIANS(90-$E$61))))))</f>
        <v>5.5405242913815425</v>
      </c>
      <c r="BN19" s="809">
        <f>IF(AND($K$56&gt;0,$E$56&gt;0,OR($O$56&gt;0,$U$56&gt;0)),$E$56*COS(RADIANS(90-$E$61)),IF(AND($K$56=0,$E$56&gt;0,OR($O$56&gt;0,$U$56&gt;0)),$E$56/2*COS(RADIANS(90-$E$61)),IF(AND($K$56&gt;0,$E$56=0,OR($O$56&gt;0,$U$56&gt;0)),$K$56/2*COS(RADIANS(90-$K$61)),IF(AND($K$56&gt;0,$O$56=0,$U$56=0),$K$56/4*COS(RADIANS(90-$K$61)),$E$56/4*COS(RADIANS(90-$E$61))))))</f>
        <v>1235.4675766650359</v>
      </c>
      <c r="BO19" s="807">
        <f>IF(AND($K$56&gt;0,$E$56&gt;0,OR($O$56&gt;0,$U$56&gt;0)),$K$56*SIN(RADIANS(90-$K$61)),IF(AND($K$56=0,$E$56&gt;0,OR($O$56&gt;0,$U$56&gt;0)),$E$56/2*SIN(RADIANS(90-$E$61)),IF(AND($K$56&gt;0,$E$56=0,OR($O$56&gt;0,$U$56&gt;0)),$K$56/2*SIN(RADIANS(90-$K$61)),IF(AND($K$56&gt;0,$O$56=0,$U$56=0),$K$56/4*SIN(RADIANS(90-$K$61)),$E$56/4*SIN(RADIANS(90-$E$61))))))</f>
        <v>5.8987200926640604</v>
      </c>
      <c r="BP19" s="808">
        <f>IF(AND($K$56&gt;0,$E$56&gt;0,OR($O$56&gt;0,$U$56&gt;0)),$K$56*COS(RADIANS(90-$K$61)),IF(AND($K$56=0,$E$56&gt;0,OR($O$56&gt;0,$U$56&gt;0)),$E$56/2*COS(RADIANS(90-$E$61)),IF(AND($K$56&gt;0,$E$56=0,OR($O$56&gt;0,$U$56&gt;0)),$K$56/2*COS(RADIANS(90-$K$61)),IF(AND($K$56&gt;0,$O$56=0,$U$56=0),$K$56/4*COS(RADIANS(90-$K$61)),$E$56/4*COS(RADIANS(90-$E$61))))))</f>
        <v>1321.0534973569563</v>
      </c>
      <c r="BQ19" s="807">
        <f>IF(AND($U$56&gt;0,$O$56&gt;0),$O$56*SIN(RADIANS(90-$O$61)),IF(AND($U$56=0,$O$56&gt;0),$O$56/2*SIN(RADIANS(90-$O$61)),IF(AND($U$56&gt;0,$O$56=0),$U$56/2*SIN(RADIANS(90-$U$61)),IF(AND($U$56=0,$O$56=0,$K$56=0),$E$56/4*SIN(RADIANS(90-$E$61)),$K$56/4*SIN(RADIANS(90-$K$61))))))</f>
        <v>5.8987200926640604</v>
      </c>
      <c r="BR19" s="808">
        <f>IF(AND($U$56&gt;0,$O$56&gt;0),$O$56*COS(RADIANS(90-$O$61)),IF(AND($U$56=0,$O$56&gt;0),$O$56/2*COS(RADIANS(90-$O$61)),IF(AND($U$56&gt;0,$O$56=0),$U$56/2*COS(RADIANS(90-$U$61)),IF(AND($U$56=0,$O$56=0,$K$56=0),$E$56/4*COS(RADIANS(90-$E$61)),$K$56/4*COS(RADIANS(90-$K$61))))))</f>
        <v>1321.0534973569563</v>
      </c>
      <c r="BS19" s="807">
        <f>IF(AND($U$56&gt;0,$O$56&gt;0),$U$56*SIN(RADIANS(90-$U$61)),IF(AND($U$56=0,$O$56&gt;0),$O$56/2*SIN(RADIANS(90-$O$61)),IF(AND($U$56&gt;0,$O$56=0),$U$56/2*SIN(RADIANS(90-$U$61)),IF(AND($U$56=0,$O$56=0,$K$56=0),$E$56/4*SIN(RADIANS(90-$E$61)),$K$56/4*SIN(RADIANS(90-$K$61))))))</f>
        <v>5.8987200926640604</v>
      </c>
      <c r="BT19" s="808">
        <f>IF(AND($U$56&gt;0,$O$56&gt;0),$U$56*COS(RADIANS(90-$U$61)),IF(AND($U$56=0,$O$56&gt;0),$O$56/2*COS(RADIANS(90-$O$61)),IF(AND($U$56&gt;0,$O$56=0),$U$56/2*COS(RADIANS(90-$U$61)),IF(AND($U$56=0,$O$56=0,$K$56=0),$E$56/4*COS(RADIANS(90-$E$61)),$K$56/4*COS(RADIANS(90-$K$61))))))</f>
        <v>1321.0534973569563</v>
      </c>
      <c r="BU19" s="807">
        <f>IF(AND($W$49&gt;0,$W$41&gt;0),$W$49*COS(RADIANS(180-$W$54)),IF(AND($W$49=0,$W$41&gt;0),$W$41/2*COS(RADIANS(180-$W$46)),IF(AND($W$49&gt;0,$W$41=0),$W$49/2*COS(RADIANS(180-$W$54)),IF(AND($W$49=0,$W$41=0,$W$33=0),$W$25/4*COS(RADIANS(180-$W$30)),$W$33/4*COS(RADIANS(180-$W$38))))))</f>
        <v>1303.374875927899</v>
      </c>
      <c r="BV19" s="808">
        <f>IF(AND($W$49&gt;0,$W$41&gt;0),$W$49*-SIN(RADIANS(180-$W$54)),IF(AND($W$49=0,$W$41&gt;0),$W$41/2*-SIN(RADIANS(180-$W$46)),IF(AND($W$49&gt;0,$W$41=0),$W$49/2*-SIN(RADIANS(180-$W$54)),IF(AND($W$49=0,$W$41=0,$W$33=0),$W$25/4*-SIN(RADIANS(180-$W$30)),$W$33/4*-SIN(RADIANS(180-$W$38))))))</f>
        <v>-0.56870461040910092</v>
      </c>
      <c r="BW19" s="807">
        <f>IF(AND($W$49&gt;0,$W$41&gt;0),$W$41*COS(RADIANS(180-$W$46)),IF(AND($W$49=0,$W$41&gt;0),$W$41/2*COS(RADIANS(180-$W$46)),IF(AND($W$49&gt;0,$W$41=0),$W$49/2*COS(RADIANS(180-$W$54)),IF(AND($W$49=0,$W$41=0,$W$33=0),$W$25/4*COS(RADIANS(180-$W$30)),$W$33/4*COS(RADIANS(180-$W$38))))))</f>
        <v>1303.374875927899</v>
      </c>
      <c r="BX19" s="808">
        <f>IF(AND($W$49&gt;0,$W$41&gt;0),$W$41*-SIN(RADIANS(180-$W$46)),IF(AND($W$49=0,$W$41&gt;0),$W$41/2*-SIN(RADIANS(180-$W$46)),IF(AND($W$49&gt;0,$W$41=0),$W$49/2*-SIN(RADIANS(180-$W$54)),IF(AND($W$49=0,$W$41=0,$W$33=0),$W$25/4*-SIN(RADIANS(180-$W$30)),$W$33/4*-SIN(RADIANS(180-$W$38))))))</f>
        <v>-0.56870461040910092</v>
      </c>
      <c r="BY19" s="807">
        <f>IF(AND($W$33&gt;0,$W$25&gt;0,OR($W$41&gt;0,$W$49&gt;0)),$W$33*COS(RADIANS(180-$W$38)),IF(AND($W$33=0,$W$25&gt;0,OR($W$41&gt;0,$W$49&gt;0)),$W$25/2*COS(RADIANS(180-$W$30)),IF(AND($W$33&gt;0,$W$25=0,OR($W$41&gt;0,$W$49&gt;0)),$W$33/2*COS(RADIANS(180-$W$38)),IF(AND($W$33&gt;0,$W$41=0,$W$49=0),$W$33/4*COS(RADIANS(180-$W$38)),$W$25/4*COS(RADIANS(180-$W$30))))))</f>
        <v>1333.2998206030056</v>
      </c>
      <c r="BZ19" s="808">
        <f>IF(AND($W$33&gt;0,$W$25&gt;0,OR($W$41&gt;0,$W$49&gt;0)),$W$33*-SIN(RADIANS(180-$W$38)),IF(AND($W$33&gt;0,$W$25&gt;0,OR($W$41&gt;0,$W$49&gt;0)),$W$33*-SIN(RADIANS(180-$W$38)),IF(AND($W$33&gt;0,$W$25=0,OR($W$41&gt;0,$W$49&gt;0)),$W$33/2*-SIN(RADIANS(180-$W$38)),IF(AND($W$33&gt;0,$W$41=0,$W$49=0),$W$33/4*-SIN(RADIANS(180-$W$38)),$W$25/4*-SIN(RADIANS(180-$W$30))))))</f>
        <v>-0.69165019567446251</v>
      </c>
      <c r="CA19" s="807">
        <f>IF(AND($W$33&gt;0,$W$25&gt;0,OR($W$41&gt;0,$W$49&gt;0)),$W$25*COS(RADIANS(180-$W$30)),IF(AND($W$33=0,$W$25&gt;0,OR($W$41&gt;0,$W$49&gt;0)),$W$25/2*COS(RADIANS(180-$W$30)),IF(AND($W$33&gt;0,$W$25=0,OR($W$41&gt;0,$W$49&gt;0)),$W$33/2*COS(RADIANS(180-$W$38)),IF(AND($W$33&gt;0,$W$41=0,$W$49=0),$W$33/4*COS(RADIANS(180-$W$38)),$W$25/4*COS(RADIANS(180-$W$30))))))</f>
        <v>1333.2998206030056</v>
      </c>
      <c r="CB19" s="808">
        <f>IF(AND($W$33&gt;0,$W$25&gt;0,OR($W$41&gt;0,$W$49&gt;0)),$W$25*-SIN(RADIANS(180-$W$30)),IF(AND($W$33&gt;0,$W$25&gt;0,OR($W$41&gt;0,$W$49&gt;0)),$W$33*-SIN(RADIANS(180-$W$38)),IF(AND($W$33&gt;0,$W$25=0,OR($W$41&gt;0,$W$49&gt;0)),$W$33/2*-SIN(RADIANS(180-$W$38)),IF(AND($W$33&gt;0,$W$41=0,$W$49=0),$W$33/4*-SIN(RADIANS(180-$W$38)),$W$25/4*-SIN(RADIANS(180-$W$30))))))</f>
        <v>-0.69165019567446251</v>
      </c>
    </row>
    <row r="20" spans="1:83" ht="12" customHeight="1" x14ac:dyDescent="0.25">
      <c r="B20" s="26"/>
      <c r="C20" s="33"/>
      <c r="D20" s="17" t="s">
        <v>130</v>
      </c>
      <c r="E20" s="147"/>
      <c r="F20" s="33"/>
      <c r="G20" s="33"/>
      <c r="H20" s="33"/>
      <c r="I20" s="33"/>
      <c r="J20" s="17" t="s">
        <v>130</v>
      </c>
      <c r="K20" s="148">
        <v>47</v>
      </c>
      <c r="N20" s="17" t="s">
        <v>130</v>
      </c>
      <c r="O20" s="147"/>
      <c r="T20" s="17" t="s">
        <v>130</v>
      </c>
      <c r="U20" s="147"/>
      <c r="AB20" s="5"/>
      <c r="AC20" s="5"/>
      <c r="AD20" s="52">
        <v>1</v>
      </c>
      <c r="AE20" s="53" t="s">
        <v>12</v>
      </c>
      <c r="AF20" s="46" t="str">
        <f>IF($AF$48=1,$AF$52,IF($AF$48=2,$AF$53,IF($AF$48=3,$AF$54,IF($AF$48=4,$AF$55,""))))</f>
        <v/>
      </c>
      <c r="AG20" s="46" t="str">
        <f>IF($AF$48=1,$AG$52,IF($AF$48=2,$AG$53,IF($AF$48=3,$AG$54,IF($AF$48=4,$AG$55,""))))</f>
        <v/>
      </c>
      <c r="AH20" s="31" t="str">
        <f>IF($AF$20="","",$AZ$26+$AF$20)</f>
        <v/>
      </c>
      <c r="AI20" s="31" t="str">
        <f>IF($AG$20="","",$BA$26+$AG$20)</f>
        <v/>
      </c>
      <c r="AJ20" s="31" t="str">
        <f>IF($AF$20="","",$BH$26+$AZ$26+$AF$20)</f>
        <v/>
      </c>
      <c r="AK20" s="31" t="str">
        <f>IF($AG$20="","",$BA$26+$BI$26+$AG$20)</f>
        <v/>
      </c>
      <c r="AL20" s="31" t="str">
        <f>IF($AF$20="","",$BX$26+$AF$20)</f>
        <v/>
      </c>
      <c r="AM20" s="31" t="str">
        <f>IF($AG$20="","",$AG$20+$BY$26)</f>
        <v/>
      </c>
      <c r="AN20" s="31" t="str">
        <f>IF($AF$20="","",$AX$22+$AF$20)</f>
        <v/>
      </c>
      <c r="AO20" s="31" t="str">
        <f>IF($AG$20="","",$AY$22+$AG$20)</f>
        <v/>
      </c>
      <c r="AP20" s="31" t="str">
        <f>IF($AF$20="","",$AZ$26+$AF$20+$BF$22)</f>
        <v/>
      </c>
      <c r="AQ20" s="31" t="str">
        <f>IF($AG$20="","",$BA$26+$AG$20+$BG$22)</f>
        <v/>
      </c>
      <c r="AR20" s="31" t="str">
        <f>IF($AF$20="","",$BX$26+$AF$20+$BR$22)</f>
        <v/>
      </c>
      <c r="AS20" s="31" t="str">
        <f>IF($AG$20="","",$AG$20+$BY$26+$BS$22)</f>
        <v/>
      </c>
      <c r="AT20" s="31" t="str">
        <f>IF($AF$20="","",$BZ$22+$AF$20)</f>
        <v/>
      </c>
      <c r="AU20" s="31" t="str">
        <f>IF($AG$20="","",$AG$20+$CA$22)</f>
        <v/>
      </c>
      <c r="AV20" s="38" t="s">
        <v>333</v>
      </c>
      <c r="AW20" s="939" t="s">
        <v>334</v>
      </c>
      <c r="AX20" s="832"/>
      <c r="AY20" s="832"/>
      <c r="AZ20" s="882"/>
      <c r="BA20" s="939" t="s">
        <v>335</v>
      </c>
      <c r="BB20" s="832"/>
      <c r="BC20" s="832"/>
      <c r="BD20" s="882"/>
      <c r="BE20" s="939" t="s">
        <v>336</v>
      </c>
      <c r="BF20" s="832"/>
      <c r="BG20" s="832"/>
      <c r="BH20" s="882"/>
      <c r="BI20" s="939" t="s">
        <v>337</v>
      </c>
      <c r="BJ20" s="832"/>
      <c r="BK20" s="832"/>
      <c r="BL20" s="882"/>
      <c r="BM20" s="939" t="s">
        <v>338</v>
      </c>
      <c r="BN20" s="832"/>
      <c r="BO20" s="832"/>
      <c r="BP20" s="882"/>
      <c r="BQ20" s="939" t="s">
        <v>339</v>
      </c>
      <c r="BR20" s="832"/>
      <c r="BS20" s="832"/>
      <c r="BT20" s="882"/>
      <c r="BU20" s="939" t="s">
        <v>340</v>
      </c>
      <c r="BV20" s="832"/>
      <c r="BW20" s="832"/>
      <c r="BX20" s="882"/>
      <c r="BY20" s="939" t="s">
        <v>341</v>
      </c>
      <c r="BZ20" s="832"/>
      <c r="CA20" s="832"/>
      <c r="CB20" s="882"/>
      <c r="CD20" s="155" t="s">
        <v>342</v>
      </c>
      <c r="CE20" s="810">
        <f>(CD22^2+CE22^2)^0.5</f>
        <v>1.4864881901189998E-2</v>
      </c>
    </row>
    <row r="21" spans="1:83" ht="12" customHeight="1" x14ac:dyDescent="0.25">
      <c r="D21" s="17" t="s">
        <v>134</v>
      </c>
      <c r="E21" s="147"/>
      <c r="J21" s="17" t="s">
        <v>134</v>
      </c>
      <c r="K21" s="148">
        <v>59</v>
      </c>
      <c r="N21" s="17" t="s">
        <v>134</v>
      </c>
      <c r="O21" s="147"/>
      <c r="T21" s="17" t="s">
        <v>134</v>
      </c>
      <c r="U21" s="147"/>
      <c r="AB21" s="164"/>
      <c r="AC21" s="28"/>
      <c r="AD21" s="52">
        <v>2</v>
      </c>
      <c r="AE21" s="53" t="s">
        <v>12</v>
      </c>
      <c r="AF21" s="32" t="str">
        <f>IF($AH$21="","",$AH$21-$AZ$26)</f>
        <v/>
      </c>
      <c r="AG21" s="32" t="str">
        <f>IF($AI$21="","",$AI$21-$BA$26)</f>
        <v/>
      </c>
      <c r="AH21" s="47" t="str">
        <f>IF($AH$48=1,$AH$52,IF($AH$48=2,$AH$53,IF($AH$48=3,$AH$54,IF($AH$48=4,$AH$55,""))))</f>
        <v/>
      </c>
      <c r="AI21" s="47" t="str">
        <f>IF($AH$48=1,$AI$52,IF($AH$48=2,$AI$53,IF($AH$48=3,$AI$54,IF($AH$48=4,$AI$55,""))))</f>
        <v/>
      </c>
      <c r="AJ21" s="32" t="str">
        <f>IF($AH$21="","",$BH$26+$AH$21)</f>
        <v/>
      </c>
      <c r="AK21" s="32" t="str">
        <f>IF($AI$21="","",$AI$21+$BI$26)</f>
        <v/>
      </c>
      <c r="AL21" s="32" t="str">
        <f>IF($AH$21="","",$AH$21-$AZ$26+$BX$26)</f>
        <v/>
      </c>
      <c r="AM21" s="32" t="str">
        <f>IF($AI$21="","",$AI$21-$BA$26+$BY$26)</f>
        <v/>
      </c>
      <c r="AN21" s="32" t="str">
        <f>IF($AH$21="","",$AH$21-$BB$22)</f>
        <v/>
      </c>
      <c r="AO21" s="32" t="str">
        <f>IF($AI$21="","",AI$21-$BC$22)</f>
        <v/>
      </c>
      <c r="AP21" s="32" t="str">
        <f>IF($AH$21="","",$BF$22+$AH$21)</f>
        <v/>
      </c>
      <c r="AQ21" s="32" t="str">
        <f>IF($AI$21="","",$AI$21+$BG$22)</f>
        <v/>
      </c>
      <c r="AR21" s="32" t="str">
        <f>IF($AH$21="","",$BH$26+$AH$21-$BN$22)</f>
        <v/>
      </c>
      <c r="AS21" s="32" t="str">
        <f>IF($AI$21="","",$AI$21+$BI$26-$BO$22)</f>
        <v/>
      </c>
      <c r="AT21" s="32" t="str">
        <f>IF($AH$21="","",$AH$21-$AZ$26+$BZ$22)</f>
        <v/>
      </c>
      <c r="AU21" s="32" t="str">
        <f>IF($AI$21="","",$AI$21-$BA$26+$CA$22)</f>
        <v/>
      </c>
      <c r="AV21" s="38" t="s">
        <v>330</v>
      </c>
      <c r="AW21" s="37"/>
      <c r="AX21" s="760" t="s">
        <v>113</v>
      </c>
      <c r="AY21" s="761" t="s">
        <v>114</v>
      </c>
      <c r="AZ21" s="36"/>
      <c r="BA21" s="37"/>
      <c r="BB21" s="760" t="s">
        <v>113</v>
      </c>
      <c r="BC21" s="761" t="s">
        <v>114</v>
      </c>
      <c r="BD21" s="36"/>
      <c r="BE21" s="37"/>
      <c r="BF21" s="760" t="s">
        <v>113</v>
      </c>
      <c r="BG21" s="761" t="s">
        <v>114</v>
      </c>
      <c r="BH21" s="36"/>
      <c r="BI21" s="37"/>
      <c r="BJ21" s="760" t="s">
        <v>113</v>
      </c>
      <c r="BK21" s="761" t="s">
        <v>114</v>
      </c>
      <c r="BL21" s="36"/>
      <c r="BM21" s="37"/>
      <c r="BN21" s="760" t="s">
        <v>113</v>
      </c>
      <c r="BO21" s="761" t="s">
        <v>114</v>
      </c>
      <c r="BP21" s="36"/>
      <c r="BQ21" s="37"/>
      <c r="BR21" s="760" t="s">
        <v>113</v>
      </c>
      <c r="BS21" s="761" t="s">
        <v>114</v>
      </c>
      <c r="BT21" s="36"/>
      <c r="BU21" s="37"/>
      <c r="BV21" s="760" t="s">
        <v>113</v>
      </c>
      <c r="BW21" s="761" t="s">
        <v>114</v>
      </c>
      <c r="BX21" s="36"/>
      <c r="BY21" s="37"/>
      <c r="BZ21" s="760" t="s">
        <v>113</v>
      </c>
      <c r="CA21" s="761" t="s">
        <v>114</v>
      </c>
      <c r="CB21" s="36"/>
      <c r="CD21" s="760" t="s">
        <v>113</v>
      </c>
      <c r="CE21" s="761" t="s">
        <v>114</v>
      </c>
    </row>
    <row r="22" spans="1:83" ht="12" customHeight="1" x14ac:dyDescent="0.25">
      <c r="A22" s="1"/>
      <c r="B22" s="1"/>
      <c r="C22" s="1"/>
      <c r="D22" s="17" t="s">
        <v>140</v>
      </c>
      <c r="E22" s="112">
        <v>3</v>
      </c>
      <c r="F22" s="18"/>
      <c r="G22" s="18"/>
      <c r="H22" s="18"/>
      <c r="I22" s="18"/>
      <c r="J22" s="17" t="s">
        <v>140</v>
      </c>
      <c r="K22" s="112">
        <v>2</v>
      </c>
      <c r="L22" s="1"/>
      <c r="M22" s="1"/>
      <c r="N22" s="17" t="s">
        <v>140</v>
      </c>
      <c r="O22" s="112">
        <v>3</v>
      </c>
      <c r="P22" s="18"/>
      <c r="Q22" s="18"/>
      <c r="R22" s="18"/>
      <c r="S22" s="18"/>
      <c r="T22" s="17" t="s">
        <v>140</v>
      </c>
      <c r="U22" s="112">
        <v>1</v>
      </c>
      <c r="V22" s="1"/>
      <c r="W22" s="1"/>
      <c r="X22" s="1"/>
      <c r="Y22" s="1"/>
      <c r="AB22" s="5"/>
      <c r="AC22" s="5"/>
      <c r="AD22" s="52">
        <v>3</v>
      </c>
      <c r="AE22" s="53" t="s">
        <v>12</v>
      </c>
      <c r="AF22" s="32" t="str">
        <f>IF($AJ$22="","",$AJ$22-$BH$26-$AZ$26)</f>
        <v/>
      </c>
      <c r="AG22" s="32" t="str">
        <f>IF($AK$22="","",$AK$22-$BI$26-$BA$26)</f>
        <v/>
      </c>
      <c r="AH22" s="32" t="str">
        <f>IF($AJ$22="","",$AJ$22-$BH$26)</f>
        <v/>
      </c>
      <c r="AI22" s="32" t="str">
        <f>IF($AK$22="","",$AK$22-$BI$26)</f>
        <v/>
      </c>
      <c r="AJ22" s="47" t="str">
        <f>IF($AJ$48=1,$AJ$52,IF($AJ$48=2,$AJ$53,IF($AJ$48=3,$AJ$54,IF($AJ$48=4,$AJ$55,""))))</f>
        <v/>
      </c>
      <c r="AK22" s="47" t="str">
        <f>IF($AJ$48=1,$AK$52,IF($AJ$48=2,$AK$53,IF($AJ$48=3,$AK$54,IF($AJ$48=4,$AK$55,""))))</f>
        <v/>
      </c>
      <c r="AL22" s="32" t="str">
        <f>IF($AJ$22="","",$AJ$22-$BP$26)</f>
        <v/>
      </c>
      <c r="AM22" s="32" t="str">
        <f>IF($AK$22="","",$AK$22-$BQ$26)</f>
        <v/>
      </c>
      <c r="AN22" s="32" t="str">
        <f>IF($AJ$22="","",$AJ$22-$BH$26-$BB$22)</f>
        <v/>
      </c>
      <c r="AO22" s="32" t="str">
        <f>IF($AK$22="","",$AK$22-$BI$26-$BC$22)</f>
        <v/>
      </c>
      <c r="AP22" s="32" t="str">
        <f>IF($AJ$22="","",$AJ$22-$BJ$22)</f>
        <v/>
      </c>
      <c r="AQ22" s="32" t="str">
        <f>IF($AK$22="","",$AK$22-$BK$22)</f>
        <v/>
      </c>
      <c r="AR22" s="32" t="str">
        <f>IF($AJ$22="","",$AJ$22-$BN$22)</f>
        <v/>
      </c>
      <c r="AS22" s="32" t="str">
        <f>IF($AK$22="","",$AK$22-$BO$22)</f>
        <v/>
      </c>
      <c r="AT22" s="32" t="str">
        <f>IF($AJ$22="","",$AJ$22-$BP$26-$BV$22)</f>
        <v/>
      </c>
      <c r="AU22" s="32" t="str">
        <f>IF($AK$22="","",$AK$22-$BQ$26-$BW$22)</f>
        <v/>
      </c>
      <c r="AV22" s="38"/>
      <c r="AW22" s="37"/>
      <c r="AX22" s="811">
        <f>AW19+AY19</f>
        <v>9.0805562269470101</v>
      </c>
      <c r="AY22" s="812">
        <f>AX19+AZ19</f>
        <v>2597.7691294115434</v>
      </c>
      <c r="AZ22" s="36"/>
      <c r="BA22" s="37"/>
      <c r="BB22" s="811">
        <f>BA19+BC19</f>
        <v>9.0805562269470101</v>
      </c>
      <c r="BC22" s="812">
        <f>BB19+BD19</f>
        <v>2597.7691294115434</v>
      </c>
      <c r="BD22" s="36"/>
      <c r="BE22" s="37"/>
      <c r="BF22" s="811">
        <f>BE19+BG19</f>
        <v>2635.539443841049</v>
      </c>
      <c r="BG22" s="812">
        <f>BF19+BH19</f>
        <v>-1.7121793173732132</v>
      </c>
      <c r="BH22" s="36"/>
      <c r="BI22" s="37"/>
      <c r="BJ22" s="811">
        <f>BI19+BK19</f>
        <v>2642.8790269308847</v>
      </c>
      <c r="BK22" s="812">
        <f>BJ19+BL19</f>
        <v>2.2679084769732567</v>
      </c>
      <c r="BL22" s="36"/>
      <c r="BM22" s="37"/>
      <c r="BN22" s="811">
        <f>BM19+BO19</f>
        <v>11.439244384045603</v>
      </c>
      <c r="BO22" s="812">
        <f>BN19+BP19</f>
        <v>2556.5210740219923</v>
      </c>
      <c r="BP22" s="36"/>
      <c r="BQ22" s="37"/>
      <c r="BR22" s="811">
        <f>BQ19+BS19</f>
        <v>11.797440185328121</v>
      </c>
      <c r="BS22" s="812">
        <f>BR19+BT19</f>
        <v>2642.1069947139126</v>
      </c>
      <c r="BT22" s="36"/>
      <c r="BU22" s="37"/>
      <c r="BV22" s="811">
        <f>BU19+BW19</f>
        <v>2606.749751855798</v>
      </c>
      <c r="BW22" s="812">
        <f>BV19+BX19</f>
        <v>-1.1374092208182018</v>
      </c>
      <c r="BX22" s="36"/>
      <c r="BY22" s="37"/>
      <c r="BZ22" s="811">
        <f>BY19+CA19</f>
        <v>2666.5996412060113</v>
      </c>
      <c r="CA22" s="812">
        <f>BZ19+CB19</f>
        <v>-1.383300391348925</v>
      </c>
      <c r="CB22" s="36"/>
      <c r="CD22" s="813">
        <f>AZ26+BH26-BP26-BX26</f>
        <v>-6.4944053556246217E-3</v>
      </c>
      <c r="CE22" s="814">
        <f>BA26+BI26-BQ26-BY26</f>
        <v>-1.3371141051277569E-2</v>
      </c>
    </row>
    <row r="23" spans="1:83" ht="12" customHeight="1" thickBot="1" x14ac:dyDescent="0.3">
      <c r="B23" s="945" t="str">
        <f>CONCATENATE("NW SC of ",$L$38)</f>
        <v>NW SC of 0</v>
      </c>
      <c r="C23" s="904"/>
      <c r="D23" s="17" t="s">
        <v>144</v>
      </c>
      <c r="E23" s="34" t="str">
        <f>IF(E19="","",IF(OR(E22=1,E22=4),180-(E19+E20/60+E21/3600),(E19+E20/60+E21/3600)))</f>
        <v/>
      </c>
      <c r="J23" s="17" t="s">
        <v>144</v>
      </c>
      <c r="K23" s="34">
        <f>IF(K19="","",IF(OR(K22=1,K22=4),180-(K19+K20/60+K21/3600),(K19+K20/60+K21/3600)))</f>
        <v>89.799722222222215</v>
      </c>
      <c r="L23" s="945" t="str">
        <f>CONCATENATE("N QC of ",$L$38)</f>
        <v>N QC of 0</v>
      </c>
      <c r="M23" s="904"/>
      <c r="N23" s="17" t="s">
        <v>144</v>
      </c>
      <c r="O23" s="27" t="str">
        <f>IF(O19="","",IF(OR(O22=1,O22=4),180-(O19+O20/60+O21/3600),(O19+O20/60+O21/3600)))</f>
        <v/>
      </c>
      <c r="T23" s="17" t="s">
        <v>144</v>
      </c>
      <c r="U23" s="27" t="str">
        <f>IF(U19="","",IF(OR(U22=1,U22=4),180-(U19+U20/60+U21/3600),(U19+U20/60+U21/3600)))</f>
        <v/>
      </c>
      <c r="V23" s="954" t="str">
        <f>CONCATENATE("NE SC of ",$L$38)</f>
        <v>NE SC of 0</v>
      </c>
      <c r="W23" s="904"/>
      <c r="Z23" s="28"/>
      <c r="AA23" s="28"/>
      <c r="AB23" s="28"/>
      <c r="AC23" s="5"/>
      <c r="AD23" s="756">
        <v>4</v>
      </c>
      <c r="AE23" s="758" t="s">
        <v>12</v>
      </c>
      <c r="AF23" s="45" t="str">
        <f>IF($AL$23="","",$AL$23-$BX$26)</f>
        <v/>
      </c>
      <c r="AG23" s="45" t="str">
        <f>IF($AM$23="","",$AM$23-$BY$26)</f>
        <v/>
      </c>
      <c r="AH23" s="45" t="str">
        <f>IF($AL$23="","",$AL$23+$BP$26-$BH$26)</f>
        <v/>
      </c>
      <c r="AI23" s="45" t="str">
        <f>IF($AM$23="","",$AM$23+$BQ$26-$BI$26)</f>
        <v/>
      </c>
      <c r="AJ23" s="45" t="str">
        <f>IF($AL$23="","",$AL$23+$BP$26)</f>
        <v/>
      </c>
      <c r="AK23" s="45" t="str">
        <f>IF($AM$23="","",$AM$23+$BQ$26)</f>
        <v/>
      </c>
      <c r="AL23" s="50" t="str">
        <f>IF($AL$48=1,$AL$52,IF($AL$48=2,$AL$53,IF($AL$48=3,$AL$54,IF($AL$48=4,$AL$55,""))))</f>
        <v/>
      </c>
      <c r="AM23" s="50" t="str">
        <f>IF($AL$48=1,$AM$52,IF($AL$48=2,$AM$53,IF($AL$48=3,$AM$54,IF($AL$48=4,$AM$55,""))))</f>
        <v/>
      </c>
      <c r="AN23" s="45" t="str">
        <f>IF($AL$23="","",$AL$23-$BX$26+$AX$22)</f>
        <v/>
      </c>
      <c r="AO23" s="45" t="str">
        <f>IF($AM$23="","",$AM$23-$BY$26+$AY$22)</f>
        <v/>
      </c>
      <c r="AP23" s="45" t="str">
        <f>IF($AL$23="","",$AL$23+$BP$26-$BJ$22)</f>
        <v/>
      </c>
      <c r="AQ23" s="45" t="str">
        <f>IF($AM$23="","",$AM$23+$BQ$26-$BK$22)</f>
        <v/>
      </c>
      <c r="AR23" s="45" t="str">
        <f>IF($AL$23="","",$AL$23+$BR$22)</f>
        <v/>
      </c>
      <c r="AS23" s="45" t="str">
        <f>IF($AM$23="","",$AM$23+$BS$22)</f>
        <v/>
      </c>
      <c r="AT23" s="45" t="str">
        <f>IF($AL$23="","",$AL$23-$BV$22)</f>
        <v/>
      </c>
      <c r="AU23" s="45" t="str">
        <f>IF($AM$23="","",$AM$23-$BW$22)</f>
        <v/>
      </c>
      <c r="AV23" s="38"/>
      <c r="AW23" s="37"/>
      <c r="BE23" s="37"/>
      <c r="BM23" s="37"/>
      <c r="BU23" s="37"/>
      <c r="CA23" s="19"/>
      <c r="CB23" s="19"/>
      <c r="CC23" s="42"/>
    </row>
    <row r="24" spans="1:83" ht="12" customHeight="1" x14ac:dyDescent="0.25">
      <c r="C24" s="3"/>
      <c r="D24" s="35"/>
      <c r="E24" s="35"/>
      <c r="F24" s="35"/>
      <c r="G24" s="35"/>
      <c r="H24" s="35"/>
      <c r="I24" s="35"/>
      <c r="J24" s="35"/>
      <c r="K24" s="35"/>
      <c r="L24" s="11"/>
      <c r="M24" s="12"/>
      <c r="N24" s="35"/>
      <c r="O24" s="35"/>
      <c r="P24" s="35"/>
      <c r="Q24" s="35"/>
      <c r="R24" s="35"/>
      <c r="S24" s="35"/>
      <c r="T24" s="35"/>
      <c r="U24" s="35"/>
      <c r="V24" s="21"/>
      <c r="AB24" s="5"/>
      <c r="AC24" s="5"/>
      <c r="AD24" s="944"/>
      <c r="AE24" s="911"/>
      <c r="AF24" s="80" t="str">
        <f>IF(ISNUMBER($AF$20),AF$20,IF(ISNUMBER($AH$21),AF$21,IF(ISNUMBER($AJ$22),AF$22,IF(ISNUMBER($AL$23),AF$23,""))))</f>
        <v/>
      </c>
      <c r="AG24" s="80" t="str">
        <f>IF(ISNUMBER($AG$20),AG$20,IF(ISNUMBER($AI$21),AG$21,IF(ISNUMBER($AK$22),AG$22,IF(ISNUMBER($AM$23),AG$23,""))))</f>
        <v/>
      </c>
      <c r="AH24" s="80" t="str">
        <f>IF(ISNUMBER($AF$20),AH$20,IF(ISNUMBER($AH$21),AH$21,IF(ISNUMBER($AJ$22),AH$22,IF(ISNUMBER($AL$23),AH$23,""))))</f>
        <v/>
      </c>
      <c r="AI24" s="80" t="str">
        <f>IF(ISNUMBER($AG$20),AI$20,IF(ISNUMBER($AI$21),AI$21,IF(ISNUMBER($AK$22),AI$22,IF(ISNUMBER($AM$23),AI$23,""))))</f>
        <v/>
      </c>
      <c r="AJ24" s="80" t="str">
        <f>IF(ISNUMBER($AF$20),AJ$20,IF(ISNUMBER($AH$21),AJ$21,IF(ISNUMBER($AJ$22),AJ$22,IF(ISNUMBER($AL$23),AJ$23,""))))</f>
        <v/>
      </c>
      <c r="AK24" s="80" t="str">
        <f>IF(ISNUMBER($AG$20),AK$20,IF(ISNUMBER($AI$21),AK$21,IF(ISNUMBER($AK$22),AK$22,IF(ISNUMBER($AM$23),AK$23,""))))</f>
        <v/>
      </c>
      <c r="AL24" s="80" t="str">
        <f>IF(ISNUMBER($AF$20),AL$20,IF(ISNUMBER($AH$21),AL$21,IF(ISNUMBER($AJ$22),AL$22,IF(ISNUMBER($AL$23),AL$23,""))))</f>
        <v/>
      </c>
      <c r="AM24" s="80" t="str">
        <f>IF(ISNUMBER($AG$20),AM$20,IF(ISNUMBER($AI$21),AM$21,IF(ISNUMBER($AK$22),AM$22,IF(ISNUMBER($AM$23),AM$23,""))))</f>
        <v/>
      </c>
      <c r="AN24" s="80" t="str">
        <f>IF(ISNUMBER($AF$20),AN$20,IF(ISNUMBER($AH$21),AN$21,IF(ISNUMBER($AJ$22),AN$22,IF(ISNUMBER($AL$23),AN$23,""))))</f>
        <v/>
      </c>
      <c r="AO24" s="80" t="str">
        <f>IF(ISNUMBER($AG$20),AO$20,IF(ISNUMBER($AI$21),AO$21,IF(ISNUMBER($AK$22),AO$22,IF(ISNUMBER($AM$23),AO$23,""))))</f>
        <v/>
      </c>
      <c r="AP24" s="80" t="str">
        <f>IF(ISNUMBER($AF$20),AP$20,IF(ISNUMBER($AH$21),AP$21,IF(ISNUMBER($AJ$22),AP$22,IF(ISNUMBER($AL$23),AP$23,""))))</f>
        <v/>
      </c>
      <c r="AQ24" s="80" t="str">
        <f>IF(ISNUMBER($AG$20),AQ$20,IF(ISNUMBER($AI$21),AQ$21,IF(ISNUMBER($AK$22),AQ$22,IF(ISNUMBER($AM$23),AQ$23,""))))</f>
        <v/>
      </c>
      <c r="AR24" s="80" t="str">
        <f>IF(ISNUMBER($AF$20),AR$20,IF(ISNUMBER($AH$21),AR$21,IF(ISNUMBER($AJ$22),AR$22,IF(ISNUMBER($AL$23),AR$23,""))))</f>
        <v/>
      </c>
      <c r="AS24" s="80" t="str">
        <f>IF(ISNUMBER($AG$20),AS$20,IF(ISNUMBER($AI$21),AS$21,IF(ISNUMBER($AK$22),AS$22,IF(ISNUMBER($AM$23),AS$23,""))))</f>
        <v/>
      </c>
      <c r="AT24" s="80" t="str">
        <f>IF(ISNUMBER($AF$20),AT$20,IF(ISNUMBER($AH$21),AT$21,IF(ISNUMBER($AJ$22),AT$22,IF(ISNUMBER($AL$23),AT$23,""))))</f>
        <v/>
      </c>
      <c r="AU24" s="80" t="str">
        <f>IF(ISNUMBER($AG$20),AU$20,IF(ISNUMBER($AI$21),AU$21,IF(ISNUMBER($AK$22),AU$22,IF(ISNUMBER($AM$23),AU$23,""))))</f>
        <v/>
      </c>
      <c r="AV24" s="38" t="s">
        <v>72</v>
      </c>
      <c r="AW24" s="939" t="s">
        <v>183</v>
      </c>
      <c r="AX24" s="832"/>
      <c r="AY24" s="832"/>
      <c r="AZ24" s="832"/>
      <c r="BA24" s="832"/>
      <c r="BB24" s="832"/>
      <c r="BC24" s="832"/>
      <c r="BD24" s="882"/>
      <c r="BE24" s="939" t="s">
        <v>204</v>
      </c>
      <c r="BF24" s="832"/>
      <c r="BG24" s="832"/>
      <c r="BH24" s="832"/>
      <c r="BI24" s="832"/>
      <c r="BJ24" s="832"/>
      <c r="BK24" s="832"/>
      <c r="BL24" s="882"/>
      <c r="BM24" s="939" t="s">
        <v>188</v>
      </c>
      <c r="BN24" s="832"/>
      <c r="BO24" s="832"/>
      <c r="BP24" s="832"/>
      <c r="BQ24" s="832"/>
      <c r="BR24" s="832"/>
      <c r="BS24" s="832"/>
      <c r="BT24" s="882"/>
      <c r="BU24" s="939" t="s">
        <v>197</v>
      </c>
      <c r="BV24" s="832"/>
      <c r="BW24" s="832"/>
      <c r="BX24" s="832"/>
      <c r="BY24" s="832"/>
      <c r="BZ24" s="832"/>
      <c r="CA24" s="832"/>
      <c r="CB24" s="882"/>
    </row>
    <row r="25" spans="1:83" ht="12" customHeight="1" x14ac:dyDescent="0.25">
      <c r="A25" s="17" t="s">
        <v>118</v>
      </c>
      <c r="B25" s="162"/>
      <c r="C25" s="4"/>
      <c r="L25" s="13"/>
      <c r="M25" s="14"/>
      <c r="V25" s="22"/>
      <c r="W25" s="110"/>
      <c r="X25" s="25" t="s">
        <v>118</v>
      </c>
      <c r="Y25" s="25"/>
      <c r="AB25" s="5"/>
      <c r="AC25" s="5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38" t="s">
        <v>330</v>
      </c>
      <c r="AW25" s="39"/>
      <c r="AX25" s="40"/>
      <c r="AY25" s="40"/>
      <c r="AZ25" s="760" t="s">
        <v>113</v>
      </c>
      <c r="BA25" s="761" t="s">
        <v>114</v>
      </c>
      <c r="BB25" s="40"/>
      <c r="BC25" s="40"/>
      <c r="BD25" s="41"/>
      <c r="BE25" s="39"/>
      <c r="BF25" s="40"/>
      <c r="BG25" s="40"/>
      <c r="BH25" s="760" t="s">
        <v>113</v>
      </c>
      <c r="BI25" s="761" t="s">
        <v>114</v>
      </c>
      <c r="BJ25" s="40"/>
      <c r="BK25" s="40"/>
      <c r="BL25" s="41"/>
      <c r="BM25" s="39"/>
      <c r="BN25" s="40"/>
      <c r="BO25" s="40"/>
      <c r="BP25" s="760" t="s">
        <v>113</v>
      </c>
      <c r="BQ25" s="761" t="s">
        <v>114</v>
      </c>
      <c r="BR25" s="40"/>
      <c r="BS25" s="40"/>
      <c r="BT25" s="41"/>
      <c r="BU25" s="39"/>
      <c r="BV25" s="40"/>
      <c r="BW25" s="40"/>
      <c r="BX25" s="760" t="s">
        <v>113</v>
      </c>
      <c r="BY25" s="761" t="s">
        <v>114</v>
      </c>
      <c r="BZ25" s="40"/>
      <c r="CA25" s="40"/>
      <c r="CB25" s="41"/>
    </row>
    <row r="26" spans="1:83" ht="12" customHeight="1" x14ac:dyDescent="0.25">
      <c r="A26" s="17" t="s">
        <v>124</v>
      </c>
      <c r="B26" s="147"/>
      <c r="C26" s="4"/>
      <c r="G26" s="831" t="s">
        <v>343</v>
      </c>
      <c r="H26" s="832"/>
      <c r="I26" s="149"/>
      <c r="L26" s="13"/>
      <c r="M26" s="14"/>
      <c r="Q26" s="831" t="s">
        <v>344</v>
      </c>
      <c r="R26" s="832"/>
      <c r="V26" s="22"/>
      <c r="W26" s="147"/>
      <c r="X26" s="25" t="s">
        <v>124</v>
      </c>
      <c r="Y26" s="25"/>
      <c r="AB26" s="5"/>
      <c r="AC26" s="5"/>
      <c r="AD26" s="52">
        <v>1</v>
      </c>
      <c r="AE26" s="53" t="s">
        <v>272</v>
      </c>
      <c r="AF26" s="47" t="e">
        <f>IF(AND($AT$24+$AJ$8&gt;0,$AO$24+$AL$8&gt;0),$AF$24+$AJ$8,"")</f>
        <v>#VALUE!</v>
      </c>
      <c r="AG26" s="47" t="e">
        <f>IF(AND($AT$24+$AJ$8&gt;0,$AO$24+$AL$8&gt;0),$AG$24+$AL$8,"")</f>
        <v>#VALUE!</v>
      </c>
      <c r="AH26" s="32" t="e">
        <f>IF($AF$26="","",$AZ$26+$AF$26)</f>
        <v>#VALUE!</v>
      </c>
      <c r="AI26" s="32" t="e">
        <f>IF($AG$26="","",$BA$26+$AG$26)</f>
        <v>#VALUE!</v>
      </c>
      <c r="AJ26" s="32" t="e">
        <f>IF($AF$26="","",$BH$26+$AZ$26+$AF$26)</f>
        <v>#VALUE!</v>
      </c>
      <c r="AK26" s="32" t="e">
        <f>IF($AG$26="","",$BA$26+$BI$26+$AG$26)</f>
        <v>#VALUE!</v>
      </c>
      <c r="AL26" s="32" t="e">
        <f>IF($AF$26="","",$BX$26+$AF$26)</f>
        <v>#VALUE!</v>
      </c>
      <c r="AM26" s="32" t="e">
        <f>IF($AG$26="","",$AG$26+$BY$26)</f>
        <v>#VALUE!</v>
      </c>
      <c r="AN26" s="32" t="e">
        <f>IF($AF$26="","",$AX$22+$AF$26)</f>
        <v>#VALUE!</v>
      </c>
      <c r="AO26" s="32" t="e">
        <f>IF($AG$26="","",$AY$22+$AG$26)</f>
        <v>#VALUE!</v>
      </c>
      <c r="AP26" s="32" t="e">
        <f>IF($AF$26="","",$AZ$26+$AF$26+$BF$22)</f>
        <v>#VALUE!</v>
      </c>
      <c r="AQ26" s="32" t="e">
        <f>IF($AG$26="","",$BA$26+$AG$26+$BG$22)</f>
        <v>#VALUE!</v>
      </c>
      <c r="AR26" s="32" t="e">
        <f>IF($AF$26="","",$BX$26+$AF$26+$BR$22)</f>
        <v>#VALUE!</v>
      </c>
      <c r="AS26" s="32" t="e">
        <f>IF($AG$26="","",$AG$26+$BY$26+$BS$22)</f>
        <v>#VALUE!</v>
      </c>
      <c r="AT26" s="32" t="e">
        <f>IF($AF$26="","",$BZ$22+$AF$26)</f>
        <v>#VALUE!</v>
      </c>
      <c r="AU26" s="32" t="e">
        <f>IF($AG$26="","",$AG$26+$CA$22)</f>
        <v>#VALUE!</v>
      </c>
      <c r="AV26" s="38"/>
      <c r="AW26" s="37"/>
      <c r="AZ26" s="811">
        <f>AX22+BB22</f>
        <v>18.16111245389402</v>
      </c>
      <c r="BA26" s="812">
        <f>AY22+BC22</f>
        <v>5195.5382588230868</v>
      </c>
      <c r="BD26" s="36"/>
      <c r="BE26" s="37"/>
      <c r="BH26" s="811">
        <f>BF22+BJ22</f>
        <v>5278.4184707719342</v>
      </c>
      <c r="BI26" s="812">
        <f>BG22+BK22</f>
        <v>0.55572915960004354</v>
      </c>
      <c r="BL26" s="36"/>
      <c r="BM26" s="37"/>
      <c r="BP26" s="811">
        <f>BN22+BR22</f>
        <v>23.236684569373722</v>
      </c>
      <c r="BQ26" s="812">
        <f>BO22+BS22</f>
        <v>5198.6280687359049</v>
      </c>
      <c r="BT26" s="36"/>
      <c r="BU26" s="37"/>
      <c r="BX26" s="811">
        <f>BV22+BZ22</f>
        <v>5273.3493930618097</v>
      </c>
      <c r="BY26" s="812">
        <f>BW22+CA22</f>
        <v>-2.5207096121671269</v>
      </c>
      <c r="CA26" s="19"/>
      <c r="CB26" s="36"/>
    </row>
    <row r="27" spans="1:83" ht="12" customHeight="1" x14ac:dyDescent="0.25">
      <c r="A27" s="17" t="s">
        <v>130</v>
      </c>
      <c r="B27" s="147"/>
      <c r="C27" s="4"/>
      <c r="G27" s="163" t="str">
        <f>IF(ISNUMBER($AH$48),$B$7,"")</f>
        <v/>
      </c>
      <c r="H27" s="150" t="str">
        <f>IF(AND(G28="",G28=""),"",IF($AH$48=1,"NE/NW",IF($AH$48=2,"NW/NW",IF($AH$48=3,"SW/NW",IF($AH$48=4,"SE/NW","")))))</f>
        <v/>
      </c>
      <c r="L27" s="13"/>
      <c r="M27" s="14"/>
      <c r="Q27" s="163" t="str">
        <f>IF(ISNUMBER($AF$48),$B$7,"")</f>
        <v/>
      </c>
      <c r="R27" s="150" t="str">
        <f>IF(AND(Q28="",Q28=""),"",IF($AF$48=1,"NE/NE",IF($AF$48=2,"NW/NE",IF($AF$48=3,"SW/NE",IF($AF$48=4,"SE/NE","")))))</f>
        <v/>
      </c>
      <c r="V27" s="22"/>
      <c r="W27" s="147"/>
      <c r="X27" s="25" t="s">
        <v>130</v>
      </c>
      <c r="Y27" s="25"/>
      <c r="AB27" s="5"/>
      <c r="AC27" s="5"/>
      <c r="AD27" s="52">
        <v>2</v>
      </c>
      <c r="AE27" s="53" t="s">
        <v>272</v>
      </c>
      <c r="AF27" s="32" t="e">
        <f>IF($AH$27="","",$AH$27-$AZ$26)</f>
        <v>#VALUE!</v>
      </c>
      <c r="AG27" s="32" t="e">
        <f>IF($AI$27="","",$AI$27-$BA$26)</f>
        <v>#VALUE!</v>
      </c>
      <c r="AH27" s="47" t="e">
        <f>IF(AND($AP$24+$AJ$8&gt;0,$AO$24+$AL$8&lt;0),$AH$24+$AJ$8,"")</f>
        <v>#VALUE!</v>
      </c>
      <c r="AI27" s="47" t="e">
        <f>IF(AND($AP$24+$AJ$8&gt;0,$AO$24+$AL$8&lt;0),$AI$24+$AL$8,"")</f>
        <v>#VALUE!</v>
      </c>
      <c r="AJ27" s="32" t="e">
        <f>IF($AH$27="","",$BH$26+$AH$27)</f>
        <v>#VALUE!</v>
      </c>
      <c r="AK27" s="32" t="e">
        <f>IF($AI$27="","",$AI$27+$BI$26)</f>
        <v>#VALUE!</v>
      </c>
      <c r="AL27" s="32" t="e">
        <f>IF($AH$27="","",$AH$27-$AZ$26+$BX$26)</f>
        <v>#VALUE!</v>
      </c>
      <c r="AM27" s="32" t="e">
        <f>IF($AI$27="","",$AI$27-$BA$26+$BY$26)</f>
        <v>#VALUE!</v>
      </c>
      <c r="AN27" s="32" t="e">
        <f>IF($AH$27="","",$AH$27-$BB$22)</f>
        <v>#VALUE!</v>
      </c>
      <c r="AO27" s="32" t="e">
        <f>IF($AI$27="","",AI$27-$BC$22)</f>
        <v>#VALUE!</v>
      </c>
      <c r="AP27" s="32" t="e">
        <f>IF($AH$27="","",$BF$22+$AH$27)</f>
        <v>#VALUE!</v>
      </c>
      <c r="AQ27" s="32" t="e">
        <f>IF($AI$27="","",$AI$27+$BG$22)</f>
        <v>#VALUE!</v>
      </c>
      <c r="AR27" s="32" t="e">
        <f>IF($AH$27="","",$BH$26+$AH$27-$BN$22)</f>
        <v>#VALUE!</v>
      </c>
      <c r="AS27" s="32" t="e">
        <f>IF($AI$27="","",$AI$27+$BI$26-$BO$22)</f>
        <v>#VALUE!</v>
      </c>
      <c r="AT27" s="32" t="e">
        <f>IF($AH$27="","",$AH$27-$AZ$26+$BZ$22)</f>
        <v>#VALUE!</v>
      </c>
      <c r="AU27" s="32" t="e">
        <f>IF($AI$27="","",$AI$27-$BA$26+$CA$22)</f>
        <v>#VALUE!</v>
      </c>
      <c r="AV27" s="38"/>
      <c r="CA27" s="19"/>
      <c r="CB27" s="19"/>
    </row>
    <row r="28" spans="1:83" ht="12" customHeight="1" x14ac:dyDescent="0.25">
      <c r="A28" s="17" t="s">
        <v>134</v>
      </c>
      <c r="B28" s="147"/>
      <c r="C28" s="4"/>
      <c r="G28" s="152" t="str">
        <f>IF(AND(ISNUMBER($I$7),ISNUMBER($K$7),$J$7=1,$L$7=2),$I$7,"")</f>
        <v/>
      </c>
      <c r="H28" s="152" t="str">
        <f>IF(AND(ISNUMBER($I$7),ISNUMBER($K$7),$J$7=1,$L$7=2),"FNL","")</f>
        <v/>
      </c>
      <c r="J28" s="19"/>
      <c r="K28" s="19"/>
      <c r="L28" s="13"/>
      <c r="M28" s="14"/>
      <c r="Q28" s="152" t="str">
        <f>IF(AND(ISNUMBER($I$7),ISNUMBER($K$7),$J$7=1,$L$7=1),$I$7,"")</f>
        <v/>
      </c>
      <c r="R28" s="152" t="str">
        <f>IF(AND(ISNUMBER($I$7),ISNUMBER($K$7),$J$7=1,$L$7=1),"FNL","")</f>
        <v/>
      </c>
      <c r="V28" s="22"/>
      <c r="W28" s="147"/>
      <c r="X28" s="25" t="s">
        <v>134</v>
      </c>
      <c r="Y28" s="25"/>
      <c r="AB28" s="5"/>
      <c r="AC28" s="5"/>
      <c r="AD28" s="52">
        <v>3</v>
      </c>
      <c r="AE28" s="53" t="s">
        <v>272</v>
      </c>
      <c r="AF28" s="32" t="e">
        <f>IF($AJ$28="","",$AJ$28-$BH$26-$AZ$26)</f>
        <v>#VALUE!</v>
      </c>
      <c r="AG28" s="32" t="e">
        <f>IF($AK$28="","",$AK$28-$BI$26-$BA$26)</f>
        <v>#VALUE!</v>
      </c>
      <c r="AH28" s="32" t="e">
        <f>IF($AJ$28="","",$AJ$28-$BH$26)</f>
        <v>#VALUE!</v>
      </c>
      <c r="AI28" s="32" t="e">
        <f>IF($AK$28="","",$AK$28-$BI$26)</f>
        <v>#VALUE!</v>
      </c>
      <c r="AJ28" s="47" t="e">
        <f>IF(AND($AP$24+$AJ$8&lt;0,$AS$24+$AL$8&lt;0),$AJ$24+$AJ$8,"")</f>
        <v>#VALUE!</v>
      </c>
      <c r="AK28" s="47" t="e">
        <f>IF(AND($AP$24+$AJ$8&lt;0,$AS$24+$AL$8&lt;0),$AK$24+$AL$8,"")</f>
        <v>#VALUE!</v>
      </c>
      <c r="AL28" s="32" t="e">
        <f>IF($AJ$28="","",$AJ$28-$BP$26)</f>
        <v>#VALUE!</v>
      </c>
      <c r="AM28" s="32" t="e">
        <f>IF($AK$28="","",$AK$28-$BQ$26)</f>
        <v>#VALUE!</v>
      </c>
      <c r="AN28" s="32" t="e">
        <f>IF($AJ$28="","",$AJ$28-$BH$26-$BB$22)</f>
        <v>#VALUE!</v>
      </c>
      <c r="AO28" s="32" t="e">
        <f>IF($AK$28="","",$AK$28-$BI$26-$BC$22)</f>
        <v>#VALUE!</v>
      </c>
      <c r="AP28" s="32" t="e">
        <f>IF($AJ$28="","",$AJ$28-$BJ$22)</f>
        <v>#VALUE!</v>
      </c>
      <c r="AQ28" s="32" t="e">
        <f>IF($AK$28="","",$AK$28-$BK$22)</f>
        <v>#VALUE!</v>
      </c>
      <c r="AR28" s="32" t="e">
        <f>IF($AJ$28="","",$AJ$28-$BN$22)</f>
        <v>#VALUE!</v>
      </c>
      <c r="AS28" s="32" t="e">
        <f>IF($AK$28="","",$AK$28-$BO$22)</f>
        <v>#VALUE!</v>
      </c>
      <c r="AT28" s="32" t="e">
        <f>IF($AJ$28="","",$AJ$28-$BP$26-$BV$22)</f>
        <v>#VALUE!</v>
      </c>
      <c r="AU28" s="32" t="e">
        <f>IF($AK$28="","",$AK$28-$BQ$26-$BW$22)</f>
        <v>#VALUE!</v>
      </c>
      <c r="AV28" s="38" t="s">
        <v>345</v>
      </c>
      <c r="AW28" s="143">
        <f>$AX$19/($AW$19^2+$AX$19^2)^0.5</f>
        <v>0.99999389072288258</v>
      </c>
      <c r="AX28" s="143"/>
      <c r="AY28" s="143">
        <f>$AZ$19/($AY$19^2+$AZ$19^2)^0.5</f>
        <v>0.99999389072288258</v>
      </c>
      <c r="AZ28" s="809"/>
      <c r="BA28" s="143">
        <f>$BB$19/($BA$19^2+$BB$19^2)^0.5</f>
        <v>0.99999389072288258</v>
      </c>
      <c r="BB28" s="143"/>
      <c r="BC28" s="143">
        <f>$BD$19/($BC$19^2+$BD$19^2)^0.5</f>
        <v>0.99999389072288258</v>
      </c>
      <c r="BD28" s="809"/>
      <c r="BE28" s="143">
        <f>$BE$19/($BE$19^2+$BF$19^2)^0.5</f>
        <v>0.99999978897723008</v>
      </c>
      <c r="BF28" s="143"/>
      <c r="BG28" s="143">
        <f>$BG$19/($BG$19^2+$BH$19^2)^0.5</f>
        <v>0.99999978897723008</v>
      </c>
      <c r="BH28" s="809"/>
      <c r="BI28" s="143">
        <f>$BI$19/($BI$19^2+$BJ$19^2)^0.5</f>
        <v>0.99999963181487039</v>
      </c>
      <c r="BJ28" s="143"/>
      <c r="BK28" s="143">
        <f>$BK$19/($BK$19^2+$BL$19^2)^0.5</f>
        <v>0.99999963181487039</v>
      </c>
      <c r="BL28" s="809"/>
      <c r="BM28" s="143">
        <f>$BN$19/($BM$19^2+$BN$19^2)^0.5</f>
        <v>0.9999899445276621</v>
      </c>
      <c r="BN28" s="143"/>
      <c r="BO28" s="143">
        <f>$BP$19/($BO$19^2+$BP$19^2)^0.5</f>
        <v>0.99999003130572994</v>
      </c>
      <c r="BP28" s="809"/>
      <c r="BQ28" s="143">
        <f>$BR$19/($BQ$19^2+$BR$19^2)^0.5</f>
        <v>0.99999003130572994</v>
      </c>
      <c r="BR28" s="143"/>
      <c r="BS28" s="143">
        <f>$BT$19/($BS$19^2+$BT$19^2)^0.5</f>
        <v>0.99999003130572994</v>
      </c>
      <c r="BT28" s="809"/>
      <c r="BU28" s="143">
        <f>$BU$19/($BU$19^2+$BV$19^2)^0.5</f>
        <v>0.9999999048070578</v>
      </c>
      <c r="BV28" s="143"/>
      <c r="BW28" s="143">
        <f>$BW$19/($BW$19^2+$BX$19^2)^0.5</f>
        <v>0.9999999048070578</v>
      </c>
      <c r="BX28" s="809"/>
      <c r="BY28" s="143">
        <f>$BY$19/($BY$19^2+$BZ$19^2)^0.5</f>
        <v>0.99999986544889052</v>
      </c>
      <c r="BZ28" s="143"/>
      <c r="CA28" s="143">
        <f>$CA$19/($CA$19^2+$CB$19^2)^0.5</f>
        <v>0.99999986544889052</v>
      </c>
      <c r="CB28" s="809"/>
    </row>
    <row r="29" spans="1:83" ht="12" customHeight="1" x14ac:dyDescent="0.25">
      <c r="A29" s="17" t="s">
        <v>140</v>
      </c>
      <c r="B29" s="112">
        <v>4</v>
      </c>
      <c r="C29" s="4"/>
      <c r="G29" s="90" t="str">
        <f>IF(AND(ISNUMBER($I$7),ISNUMBER($K$7),$J$7=1,$L$7=2),$K$7,"")</f>
        <v/>
      </c>
      <c r="H29" s="90" t="str">
        <f>IF(AND(ISNUMBER($I$7),ISNUMBER($K$7),$J$7=1,$L$7=2),"FWL","")</f>
        <v/>
      </c>
      <c r="J29" s="19"/>
      <c r="K29" s="19"/>
      <c r="L29" s="13"/>
      <c r="M29" s="14"/>
      <c r="Q29" s="90" t="str">
        <f>IF(AND(ISNUMBER($I$7),ISNUMBER($K$7),$J$7=1,$L$7=1),$K$7,"")</f>
        <v/>
      </c>
      <c r="R29" s="90" t="str">
        <f>IF(AND(ISNUMBER($I$7),ISNUMBER($K$7),$J$7=1,$L$7=1),"FEL","")</f>
        <v/>
      </c>
      <c r="V29" s="22"/>
      <c r="W29" s="112">
        <v>4</v>
      </c>
      <c r="X29" s="25" t="s">
        <v>140</v>
      </c>
      <c r="Y29" s="25"/>
      <c r="AB29" s="5"/>
      <c r="AC29" s="5"/>
      <c r="AD29" s="756">
        <v>4</v>
      </c>
      <c r="AE29" s="758" t="s">
        <v>272</v>
      </c>
      <c r="AF29" s="45" t="e">
        <f>IF($AL$29="","",$AL$29-$BX$26)</f>
        <v>#VALUE!</v>
      </c>
      <c r="AG29" s="45" t="e">
        <f>IF($AM$29="","",$AM$29-$BY$26)</f>
        <v>#VALUE!</v>
      </c>
      <c r="AH29" s="45" t="e">
        <f>IF($AL$29="","",$AL$29+$BP$26-$BH$26)</f>
        <v>#VALUE!</v>
      </c>
      <c r="AI29" s="45" t="e">
        <f>IF($AM$29="","",$AM$29+$BQ$26-$BI$26)</f>
        <v>#VALUE!</v>
      </c>
      <c r="AJ29" s="45" t="e">
        <f>IF($AL$29="","",$AL$29+$BP$26)</f>
        <v>#VALUE!</v>
      </c>
      <c r="AK29" s="45" t="e">
        <f>IF($AM$29="","",$AM$29+$BQ$26)</f>
        <v>#VALUE!</v>
      </c>
      <c r="AL29" s="50" t="e">
        <f>IF(AND($AT$24+$AJ$8&lt;0,$AS$24+$AL$8&gt;0),$AL$24+$AJ$8,"")</f>
        <v>#VALUE!</v>
      </c>
      <c r="AM29" s="50" t="e">
        <f>IF(AND($AT$24+$AJ$8&lt;0,$AS$24+$AL$8&gt;0),$AM$24+$AL$8,"")</f>
        <v>#VALUE!</v>
      </c>
      <c r="AN29" s="45" t="e">
        <f>IF($AL$29="","",$AL$29-$BX$26+$AX$22)</f>
        <v>#VALUE!</v>
      </c>
      <c r="AO29" s="45" t="e">
        <f>IF($AM$29="","",$AM$29-$BY$26+$AY$22)</f>
        <v>#VALUE!</v>
      </c>
      <c r="AP29" s="45" t="e">
        <f>IF($AL$29="","",$AL$29+$BP$26-$BJ$22)</f>
        <v>#VALUE!</v>
      </c>
      <c r="AQ29" s="45" t="e">
        <f>IF($AM$29="","",$AM$29+$BQ$26-$BK$22)</f>
        <v>#VALUE!</v>
      </c>
      <c r="AR29" s="45" t="e">
        <f>IF($AL$29="","",$AL$29+$BR$22)</f>
        <v>#VALUE!</v>
      </c>
      <c r="AS29" s="45" t="e">
        <f>IF($AM$29="","",$AM$29+$BS$22)</f>
        <v>#VALUE!</v>
      </c>
      <c r="AT29" s="45" t="e">
        <f>IF($AL$29="","",$AL$29-$BV$22)</f>
        <v>#VALUE!</v>
      </c>
      <c r="AU29" s="45" t="e">
        <f>IF($AM$29="","",$AM$29-$BW$22)</f>
        <v>#VALUE!</v>
      </c>
      <c r="AW29" s="809"/>
      <c r="AX29" s="809"/>
      <c r="AY29" s="809"/>
      <c r="AZ29" s="809"/>
      <c r="BA29" s="809"/>
      <c r="BB29" s="809"/>
      <c r="BC29" s="809"/>
      <c r="BD29" s="809"/>
      <c r="BE29" s="809"/>
      <c r="BF29" s="809"/>
      <c r="BG29" s="809"/>
      <c r="BH29" s="809"/>
      <c r="BI29" s="809"/>
      <c r="BJ29" s="809"/>
      <c r="BK29" s="809"/>
      <c r="BL29" s="809"/>
      <c r="BM29" s="809"/>
      <c r="BN29" s="809"/>
      <c r="BO29" s="809"/>
      <c r="BP29" s="809"/>
      <c r="BQ29" s="809"/>
      <c r="BR29" s="809"/>
      <c r="BS29" s="809"/>
      <c r="BT29" s="809"/>
      <c r="BU29" s="809"/>
      <c r="BV29" s="809"/>
      <c r="BW29" s="809"/>
      <c r="BX29" s="809"/>
      <c r="BY29" s="809"/>
      <c r="BZ29" s="809"/>
      <c r="CA29" s="809"/>
      <c r="CB29" s="809"/>
    </row>
    <row r="30" spans="1:83" ht="12" customHeight="1" x14ac:dyDescent="0.25">
      <c r="A30" s="17" t="s">
        <v>144</v>
      </c>
      <c r="B30" s="27" t="str">
        <f>IF(B26="","",IF(OR(B29=1,B29=4),180-(B26+B27/60+B28/3600),180+(B26+B27/60+B28/3600)))</f>
        <v/>
      </c>
      <c r="C30" s="4"/>
      <c r="G30" s="99" t="str">
        <f>IF(ISNUMBER($AH$58),$B$8,"")</f>
        <v/>
      </c>
      <c r="H30" s="150" t="str">
        <f>IF(AND(G31="",G32=""),"",IF($AH$58=1,"NE/NW",IF($AH$58=2,"NW/NW",IF($AH$58=3,"SW/NW",IF($AH$58=4,"SE/NW","")))))</f>
        <v/>
      </c>
      <c r="J30" s="153"/>
      <c r="K30" s="153"/>
      <c r="L30" s="13"/>
      <c r="M30" s="14"/>
      <c r="Q30" s="98" t="str">
        <f>IF(ISNUMBER($AF$58),$B$8,"")</f>
        <v/>
      </c>
      <c r="R30" s="150" t="str">
        <f>IF(AND(Q31="",Q32=""),"",IF($AF$58=1,"NE/NE",IF($AF$58=2,"NW/NE",IF($AF$58=3,"SW/NE",IF($AF$58=4,"SE/NE","")))))</f>
        <v/>
      </c>
      <c r="V30" s="22"/>
      <c r="W30" s="34" t="str">
        <f>IF(W26="","",IF(OR(W29=1,W29=4),180-(W26+W27/60+W28/3600),180+(W26+W27/60+W28/3600)))</f>
        <v/>
      </c>
      <c r="X30" s="25" t="s">
        <v>144</v>
      </c>
      <c r="Y30" s="25"/>
      <c r="AB30" s="5"/>
      <c r="AC30" s="5"/>
      <c r="AD30" s="944"/>
      <c r="AE30" s="911"/>
      <c r="AF30" s="80" t="str">
        <f>IF(ISNUMBER($AF$26),AF$26,IF(ISNUMBER($AH$27),AF$27,IF(ISNUMBER($AJ$28),AF$28,IF(ISNUMBER($AL$29),AF$29,""))))</f>
        <v/>
      </c>
      <c r="AG30" s="80" t="str">
        <f>IF(ISNUMBER($AG$26),AG$26,IF(ISNUMBER($AI$27),AG$27,IF(ISNUMBER($AK$28),AG$28,IF(ISNUMBER($AM$29),AG$29,""))))</f>
        <v/>
      </c>
      <c r="AH30" s="80" t="str">
        <f>IF(ISNUMBER($AF$26),AH$26,IF(ISNUMBER($AH$27),AH$27,IF(ISNUMBER($AJ$28),AH$28,IF(ISNUMBER($AL$29),AH$29,""))))</f>
        <v/>
      </c>
      <c r="AI30" s="80" t="str">
        <f>IF(ISNUMBER($AG$26),AI$26,IF(ISNUMBER($AI$27),AI$27,IF(ISNUMBER($AK$28),AI$28,IF(ISNUMBER($AM$29),AI$29,""))))</f>
        <v/>
      </c>
      <c r="AJ30" s="80" t="str">
        <f>IF(ISNUMBER($AF$26),AJ$26,IF(ISNUMBER($AH$27),AJ$27,IF(ISNUMBER($AJ$28),AJ$28,IF(ISNUMBER($AL$29),AJ$29,""))))</f>
        <v/>
      </c>
      <c r="AK30" s="80" t="str">
        <f>IF(ISNUMBER($AG$26),AK$26,IF(ISNUMBER($AI$27),AK$27,IF(ISNUMBER($AK$28),AK$28,IF(ISNUMBER($AM$29),AK$29,""))))</f>
        <v/>
      </c>
      <c r="AL30" s="80" t="str">
        <f>IF(ISNUMBER($AF$26),AL$26,IF(ISNUMBER($AH$27),AL$27,IF(ISNUMBER($AJ$28),AL$28,IF(ISNUMBER($AL$29),AL$29,""))))</f>
        <v/>
      </c>
      <c r="AM30" s="80" t="str">
        <f>IF(ISNUMBER($AG$26),AM$26,IF(ISNUMBER($AI$27),AM$27,IF(ISNUMBER($AK$28),AM$28,IF(ISNUMBER($AM$29),AM$29,""))))</f>
        <v/>
      </c>
      <c r="AN30" s="80" t="str">
        <f>IF(ISNUMBER($AF$26),AN$26,IF(ISNUMBER($AH$27),AN$27,IF(ISNUMBER($AJ$28),AN$28,IF(ISNUMBER($AL$29),AN$29,""))))</f>
        <v/>
      </c>
      <c r="AO30" s="80" t="str">
        <f>IF(ISNUMBER($AG$26),AO$26,IF(ISNUMBER($AI$27),AO$27,IF(ISNUMBER($AK$28),AO$28,IF(ISNUMBER($AM$29),AO$29,""))))</f>
        <v/>
      </c>
      <c r="AP30" s="80" t="str">
        <f>IF(ISNUMBER($AF$26),AP$26,IF(ISNUMBER($AH$27),AP$27,IF(ISNUMBER($AJ$28),AP$28,IF(ISNUMBER($AL$29),AP$29,""))))</f>
        <v/>
      </c>
      <c r="AQ30" s="80" t="str">
        <f>IF(ISNUMBER($AG$26),AQ$26,IF(ISNUMBER($AI$27),AQ$27,IF(ISNUMBER($AK$28),AQ$28,IF(ISNUMBER($AM$29),AQ$29,""))))</f>
        <v/>
      </c>
      <c r="AR30" s="80" t="str">
        <f>IF(ISNUMBER($AF$26),AR$26,IF(ISNUMBER($AH$27),AR$27,IF(ISNUMBER($AJ$28),AR$28,IF(ISNUMBER($AL$29),AR$29,""))))</f>
        <v/>
      </c>
      <c r="AS30" s="80" t="str">
        <f>IF(ISNUMBER($AG$26),AS$26,IF(ISNUMBER($AI$27),AS$27,IF(ISNUMBER($AK$28),AS$28,IF(ISNUMBER($AM$29),AS$29,""))))</f>
        <v/>
      </c>
      <c r="AT30" s="80" t="str">
        <f>IF(ISNUMBER($AF$26),AT$26,IF(ISNUMBER($AH$27),AT$27,IF(ISNUMBER($AJ$28),AT$28,IF(ISNUMBER($AL$29),AT$29,""))))</f>
        <v/>
      </c>
      <c r="AU30" s="80" t="str">
        <f>IF(ISNUMBER($AG$26),AU$26,IF(ISNUMBER($AI$27),AU$27,IF(ISNUMBER($AK$28),AU$28,IF(ISNUMBER($AM$29),AU$29,""))))</f>
        <v/>
      </c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  <c r="CB30" s="809"/>
    </row>
    <row r="31" spans="1:83" ht="12" customHeight="1" x14ac:dyDescent="0.25">
      <c r="C31" s="4"/>
      <c r="G31" s="151" t="str">
        <f>IF(ISNUMBER($AH$58),$I$8,"")</f>
        <v/>
      </c>
      <c r="H31" s="152" t="str">
        <f>IF(ISNUMBER($AH$58),"FNL","")</f>
        <v/>
      </c>
      <c r="J31" s="153"/>
      <c r="K31" s="153"/>
      <c r="L31" s="13"/>
      <c r="M31" s="14"/>
      <c r="Q31" s="151" t="str">
        <f>IF(ISNUMBER($AF$58),$I$8,"")</f>
        <v/>
      </c>
      <c r="R31" s="152" t="str">
        <f>IF(ISNUMBER($AF$58),"FNL","")</f>
        <v/>
      </c>
      <c r="V31" s="22"/>
      <c r="AB31" s="5"/>
      <c r="AC31" s="5"/>
      <c r="AD31" s="94"/>
      <c r="AE31" s="95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  <c r="CB31" s="809"/>
    </row>
    <row r="32" spans="1:83" ht="12" customHeight="1" x14ac:dyDescent="0.25">
      <c r="C32" s="4"/>
      <c r="F32" s="19"/>
      <c r="G32" s="91" t="str">
        <f>IF(ISNUMBER($AH$58),$K$8,"")</f>
        <v/>
      </c>
      <c r="H32" s="90" t="str">
        <f>IF(ISNUMBER($AH$58),"FWL","")</f>
        <v/>
      </c>
      <c r="I32" s="154"/>
      <c r="J32" s="153"/>
      <c r="K32" s="153"/>
      <c r="L32" s="13"/>
      <c r="M32" s="14"/>
      <c r="Q32" s="91" t="str">
        <f>IF(ISNUMBER($AF$58),$K$8,"")</f>
        <v/>
      </c>
      <c r="R32" s="90" t="str">
        <f>IF(ISNUMBER($AF$58),"FEL","")</f>
        <v/>
      </c>
      <c r="V32" s="22"/>
      <c r="AB32" s="5"/>
      <c r="AC32" s="5"/>
      <c r="AD32" s="52">
        <v>1</v>
      </c>
      <c r="AE32" s="53" t="s">
        <v>274</v>
      </c>
      <c r="AF32" s="47" t="e">
        <f>IF(AND($AT$24+$AJ$9&gt;0,$AO$24+$AL$9&gt;0),$AF$24+$AJ$9,"")</f>
        <v>#VALUE!</v>
      </c>
      <c r="AG32" s="47" t="e">
        <f>IF(AND($AT$24+$AJ$9&gt;0,$AO$24+$AL$9&gt;0),$AG$24+$AL$9,"")</f>
        <v>#VALUE!</v>
      </c>
      <c r="AH32" s="32" t="e">
        <f>IF($AF$32="","",$AZ$26+$AF$32)</f>
        <v>#VALUE!</v>
      </c>
      <c r="AI32" s="32" t="e">
        <f>IF($AG$32="","",$BA$26+$AG$32)</f>
        <v>#VALUE!</v>
      </c>
      <c r="AJ32" s="32" t="e">
        <f>IF($AF$32="","",$BH$26+$AZ$26+$AF$32)</f>
        <v>#VALUE!</v>
      </c>
      <c r="AK32" s="32" t="e">
        <f>IF($AG$32="","",$BA$26+$BI$26+$AG$32)</f>
        <v>#VALUE!</v>
      </c>
      <c r="AL32" s="32" t="e">
        <f>IF($AF$32="","",$BX$26+$AF$32)</f>
        <v>#VALUE!</v>
      </c>
      <c r="AM32" s="32" t="e">
        <f>IF($AG$32="","",$AG$32+$BY$26)</f>
        <v>#VALUE!</v>
      </c>
      <c r="AN32" s="32" t="e">
        <f>IF($AF$32="","",$AX$22+$AF$32)</f>
        <v>#VALUE!</v>
      </c>
      <c r="AO32" s="32" t="e">
        <f>IF($AG$32="","",$AY$22+$AG$32)</f>
        <v>#VALUE!</v>
      </c>
      <c r="AP32" s="32" t="e">
        <f>IF($AF$32="","",$AZ$26+$AF$32+$BF$22)</f>
        <v>#VALUE!</v>
      </c>
      <c r="AQ32" s="32" t="e">
        <f>IF($AG$32="","",$BA$26+$AG$32+$BG$22)</f>
        <v>#VALUE!</v>
      </c>
      <c r="AR32" s="32" t="e">
        <f>IF($AF$32="","",$BX$26+$AF$32+$BR$22)</f>
        <v>#VALUE!</v>
      </c>
      <c r="AS32" s="32" t="e">
        <f>IF($AG$32="","",$AG$32+$BY$26+$BS$22)</f>
        <v>#VALUE!</v>
      </c>
      <c r="AT32" s="32" t="e">
        <f>IF($AF$32="","",$BZ$22+$AF$32)</f>
        <v>#VALUE!</v>
      </c>
      <c r="AU32" s="32" t="e">
        <f>IF($AG$32="","",$AG$32+$CA$22)</f>
        <v>#VALUE!</v>
      </c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  <c r="CB32" s="809"/>
    </row>
    <row r="33" spans="1:80" ht="12" customHeight="1" x14ac:dyDescent="0.25">
      <c r="A33" s="17" t="s">
        <v>118</v>
      </c>
      <c r="B33" s="217">
        <v>2635.54</v>
      </c>
      <c r="C33" s="4"/>
      <c r="G33" s="99" t="str">
        <f>IF(ISNUMBER($AH$69),$B$9,"")</f>
        <v/>
      </c>
      <c r="H33" s="150" t="str">
        <f>IF(AND(G34="",G35=""),"",IF($AH$69=1,"NE/NW",IF($AH$69=2,"NW/NW",IF($AH$69=3,"SW/NW",IF($AH$69=4,"SE/NW","")))))</f>
        <v/>
      </c>
      <c r="J33" s="153"/>
      <c r="K33" s="153"/>
      <c r="L33" s="13"/>
      <c r="M33" s="14"/>
      <c r="Q33" s="98" t="str">
        <f>IF(ISNUMBER($AF$69),$B$9,"")</f>
        <v/>
      </c>
      <c r="R33" s="150" t="str">
        <f>IF(AND(Q34="",Q35=""),"",IF($AF$69=1,"NE/NE",IF($AF$69=2,"NW/NE",IF($AF$69=3,"SW/NE",IF($AF$69=4,"SE/NE","")))))</f>
        <v/>
      </c>
      <c r="S33" s="154"/>
      <c r="T33" s="153"/>
      <c r="U33" s="5"/>
      <c r="V33" s="22"/>
      <c r="W33" s="217">
        <v>2666.6</v>
      </c>
      <c r="X33" s="25" t="s">
        <v>118</v>
      </c>
      <c r="Y33" s="25"/>
      <c r="AB33" s="5"/>
      <c r="AC33" s="5"/>
      <c r="AD33" s="52">
        <v>2</v>
      </c>
      <c r="AE33" s="53" t="s">
        <v>274</v>
      </c>
      <c r="AF33" s="32" t="e">
        <f>IF($AH$33="","",$AH$33-$AZ$26)</f>
        <v>#VALUE!</v>
      </c>
      <c r="AG33" s="32" t="e">
        <f>IF($AI$33="","",$AI$33-$BA$26)</f>
        <v>#VALUE!</v>
      </c>
      <c r="AH33" s="47" t="e">
        <f>IF(AND($AP$24+$AJ$9&gt;0,$AO$24+$AL$9&lt;0),$AH$24+$AJ$9,"")</f>
        <v>#VALUE!</v>
      </c>
      <c r="AI33" s="47" t="e">
        <f>IF(AND($AP$24+$AJ$9&gt;0,$AO$24+$AL$9&lt;0),$AI$24+$AL$9,"")</f>
        <v>#VALUE!</v>
      </c>
      <c r="AJ33" s="32" t="e">
        <f>IF($AH$33="","",$BH$26+$AH$33)</f>
        <v>#VALUE!</v>
      </c>
      <c r="AK33" s="32" t="e">
        <f>IF($AI$33="","",$AI$33+$BI$26)</f>
        <v>#VALUE!</v>
      </c>
      <c r="AL33" s="32" t="e">
        <f>IF($AH$33="","",$AH$33-$AZ$26+$BX$26)</f>
        <v>#VALUE!</v>
      </c>
      <c r="AM33" s="32" t="e">
        <f>IF($AI$33="","",$AI$33-$BA$26+$BY$26)</f>
        <v>#VALUE!</v>
      </c>
      <c r="AN33" s="32" t="e">
        <f>IF($AH$33="","",$AH$33-$BB$22)</f>
        <v>#VALUE!</v>
      </c>
      <c r="AO33" s="32" t="e">
        <f>IF($AI$33="","",AI$33-$BC$22)</f>
        <v>#VALUE!</v>
      </c>
      <c r="AP33" s="32" t="e">
        <f>IF($AH$33="","",$BF$22+$AH$33)</f>
        <v>#VALUE!</v>
      </c>
      <c r="AQ33" s="32" t="e">
        <f>IF($AI$33="","",$AI$33+$BG$22)</f>
        <v>#VALUE!</v>
      </c>
      <c r="AR33" s="32" t="e">
        <f>IF($AH$33="","",$BH$26+$AH$33-$BN$22)</f>
        <v>#VALUE!</v>
      </c>
      <c r="AS33" s="32" t="e">
        <f>IF($AI$33="","",$AI$33+$BI$26-$BO$22)</f>
        <v>#VALUE!</v>
      </c>
      <c r="AT33" s="32" t="e">
        <f>IF($AH$33="","",$AH$33-$AZ$26+$BZ$22)</f>
        <v>#VALUE!</v>
      </c>
      <c r="AU33" s="32" t="e">
        <f>IF($AI$33="","",$AI$33-$BA$26+$CA$22)</f>
        <v>#VALUE!</v>
      </c>
    </row>
    <row r="34" spans="1:80" ht="12" customHeight="1" x14ac:dyDescent="0.25">
      <c r="A34" s="17" t="s">
        <v>124</v>
      </c>
      <c r="B34" s="148">
        <v>0</v>
      </c>
      <c r="C34" s="4"/>
      <c r="G34" s="151" t="str">
        <f>IF(ISNUMBER($AH$69),$I$9,"")</f>
        <v/>
      </c>
      <c r="H34" s="152" t="str">
        <f>IF(ISNUMBER($AH$69),"FNL","")</f>
        <v/>
      </c>
      <c r="J34" s="153"/>
      <c r="K34" s="153"/>
      <c r="L34" s="13"/>
      <c r="M34" s="14"/>
      <c r="Q34" s="151" t="str">
        <f>IF(ISNUMBER($AF$69),$I$9,"")</f>
        <v/>
      </c>
      <c r="R34" s="152" t="str">
        <f>IF(ISNUMBER($AF$69),"FNL","")</f>
        <v/>
      </c>
      <c r="S34" s="154"/>
      <c r="T34" s="153"/>
      <c r="U34" s="5"/>
      <c r="V34" s="22"/>
      <c r="W34" s="148">
        <v>0</v>
      </c>
      <c r="X34" s="25" t="s">
        <v>124</v>
      </c>
      <c r="Y34" s="25"/>
      <c r="AB34" s="5"/>
      <c r="AC34" s="5"/>
      <c r="AD34" s="52">
        <v>3</v>
      </c>
      <c r="AE34" s="53" t="s">
        <v>274</v>
      </c>
      <c r="AF34" s="32" t="e">
        <f>IF($AJ$34="","",$AJ$34-$BH$26-$AZ$26)</f>
        <v>#VALUE!</v>
      </c>
      <c r="AG34" s="32" t="e">
        <f>IF($AK$34="","",$AK$34-$BI$26-$BA$26)</f>
        <v>#VALUE!</v>
      </c>
      <c r="AH34" s="32" t="e">
        <f>IF($AJ$34="","",$AJ$34-$BH$26)</f>
        <v>#VALUE!</v>
      </c>
      <c r="AI34" s="32" t="e">
        <f>IF($AK$34="","",$AK$34-$BI$26)</f>
        <v>#VALUE!</v>
      </c>
      <c r="AJ34" s="47" t="e">
        <f>IF(AND($AP$24+$AJ$9&lt;0,$AS$24+$AL$9&lt;0),$AJ$24+$AJ$9,"")</f>
        <v>#VALUE!</v>
      </c>
      <c r="AK34" s="47" t="e">
        <f>IF(AND($AP$24+$AJ$9&lt;0,$AS$24+$AL$9&lt;0),$AK$24+$AL$9,"")</f>
        <v>#VALUE!</v>
      </c>
      <c r="AL34" s="32" t="e">
        <f>IF($AJ$34="","",$AJ$34-$BP$26)</f>
        <v>#VALUE!</v>
      </c>
      <c r="AM34" s="32" t="e">
        <f>IF($AK$34="","",$AK$34-$BQ$26)</f>
        <v>#VALUE!</v>
      </c>
      <c r="AN34" s="32" t="e">
        <f>IF($AJ$34="","",$AJ$34-$BH$26-$BB$22)</f>
        <v>#VALUE!</v>
      </c>
      <c r="AO34" s="32" t="e">
        <f>IF($AK$34="","",$AK$34-$BI$26-$BC$22)</f>
        <v>#VALUE!</v>
      </c>
      <c r="AP34" s="32" t="e">
        <f>IF($AJ$34="","",$AJ$34-$BJ$22)</f>
        <v>#VALUE!</v>
      </c>
      <c r="AQ34" s="32" t="e">
        <f>IF($AK$34="","",$AK$34-$BK$22)</f>
        <v>#VALUE!</v>
      </c>
      <c r="AR34" s="32" t="e">
        <f>IF($AJ$34="","",$AJ$34-$BN$22)</f>
        <v>#VALUE!</v>
      </c>
      <c r="AS34" s="32" t="e">
        <f>IF($AK$34="","",$AK$34-$BO$22)</f>
        <v>#VALUE!</v>
      </c>
      <c r="AT34" s="32" t="e">
        <f>IF($AJ$34="","",$AJ$34-$BP$26-$BV$22)</f>
        <v>#VALUE!</v>
      </c>
      <c r="AU34" s="32" t="e">
        <f>IF($AK$34="","",$AK$34-$BQ$26-$BW$22)</f>
        <v>#VALUE!</v>
      </c>
      <c r="BF34" s="809"/>
      <c r="BG34" s="809"/>
      <c r="BH34" s="809"/>
      <c r="BI34" s="809"/>
      <c r="BJ34" s="809"/>
      <c r="BK34" s="809"/>
      <c r="BL34" s="809"/>
      <c r="BM34" s="809"/>
      <c r="BN34" s="809"/>
      <c r="BO34" s="809"/>
      <c r="BP34" s="809"/>
      <c r="BQ34" s="809"/>
      <c r="CA34" s="19"/>
      <c r="CB34" s="19"/>
    </row>
    <row r="35" spans="1:80" ht="12" customHeight="1" x14ac:dyDescent="0.25">
      <c r="A35" s="17" t="s">
        <v>130</v>
      </c>
      <c r="B35" s="148">
        <v>2</v>
      </c>
      <c r="C35" s="4"/>
      <c r="G35" s="91" t="str">
        <f>IF(ISNUMBER($AH$69),$K$9,"")</f>
        <v/>
      </c>
      <c r="H35" s="90" t="str">
        <f>IF(ISNUMBER($AH$69),"FWL","")</f>
        <v/>
      </c>
      <c r="J35" s="153"/>
      <c r="K35" s="153"/>
      <c r="L35" s="13"/>
      <c r="M35" s="14"/>
      <c r="Q35" s="91" t="str">
        <f>IF(ISNUMBER($AF$69),$K$9,"")</f>
        <v/>
      </c>
      <c r="R35" s="90" t="str">
        <f>IF(ISNUMBER($AF$69),"FEL","")</f>
        <v/>
      </c>
      <c r="S35" s="154"/>
      <c r="T35" s="153"/>
      <c r="U35" s="5"/>
      <c r="V35" s="22"/>
      <c r="W35" s="148">
        <v>1</v>
      </c>
      <c r="X35" s="25" t="s">
        <v>130</v>
      </c>
      <c r="Y35" s="25"/>
      <c r="AB35" s="5"/>
      <c r="AC35" s="29"/>
      <c r="AD35" s="756">
        <v>4</v>
      </c>
      <c r="AE35" s="758" t="s">
        <v>274</v>
      </c>
      <c r="AF35" s="45" t="e">
        <f>IF($AL$35="","",$AL$35-$BX$26)</f>
        <v>#VALUE!</v>
      </c>
      <c r="AG35" s="45" t="e">
        <f>IF($AM$35="","",$AM$35-$BY$26)</f>
        <v>#VALUE!</v>
      </c>
      <c r="AH35" s="45" t="e">
        <f>IF($AL$35="","",$AL$35+$BP$26-$BH$26)</f>
        <v>#VALUE!</v>
      </c>
      <c r="AI35" s="45" t="e">
        <f>IF($AM$35="","",$AM$35+$BQ$26-$BI$26)</f>
        <v>#VALUE!</v>
      </c>
      <c r="AJ35" s="45" t="e">
        <f>IF($AL$35="","",$AL$35+$BP$26)</f>
        <v>#VALUE!</v>
      </c>
      <c r="AK35" s="45" t="e">
        <f>IF($AM$35="","",$AM$35+$BQ$26)</f>
        <v>#VALUE!</v>
      </c>
      <c r="AL35" s="50" t="e">
        <f>IF(AND($AT$24+$AJ$9&lt;0,$AS$24+$AL$9&gt;0),$AL$24+$AJ$9,"")</f>
        <v>#VALUE!</v>
      </c>
      <c r="AM35" s="50" t="e">
        <f>IF(AND($AT$24+$AJ$9&lt;0,$AS$24+$AL$9&gt;0),$AM$24+$AL$9,"")</f>
        <v>#VALUE!</v>
      </c>
      <c r="AN35" s="45" t="e">
        <f>IF($AL$35="","",$AL$35-$BX$26+$AX$22)</f>
        <v>#VALUE!</v>
      </c>
      <c r="AO35" s="45" t="e">
        <f>IF($AM$35="","",$AM$35-$BY$26+$AY$22)</f>
        <v>#VALUE!</v>
      </c>
      <c r="AP35" s="45" t="e">
        <f>IF($AL$35="","",$AL$35+$BP$26-$BJ$22)</f>
        <v>#VALUE!</v>
      </c>
      <c r="AQ35" s="45" t="e">
        <f>IF($AM$35="","",$AM$35+$BQ$26-$BK$22)</f>
        <v>#VALUE!</v>
      </c>
      <c r="AR35" s="45" t="e">
        <f>IF($AL$35="","",$AL$35+$BR$22)</f>
        <v>#VALUE!</v>
      </c>
      <c r="AS35" s="45" t="e">
        <f>IF($AM$35="","",$AM$35+$BS$22)</f>
        <v>#VALUE!</v>
      </c>
      <c r="AT35" s="45" t="e">
        <f>IF($AL$35="","",$AL$35-$BV$22)</f>
        <v>#VALUE!</v>
      </c>
      <c r="AU35" s="45" t="e">
        <f>IF($AM$35="","",$AM$35-$BW$22)</f>
        <v>#VALUE!</v>
      </c>
      <c r="BH35" s="235">
        <v>1</v>
      </c>
      <c r="BI35" s="235">
        <v>2</v>
      </c>
      <c r="BJ35" s="235">
        <v>3</v>
      </c>
      <c r="BK35" s="235">
        <v>4</v>
      </c>
      <c r="BL35" s="235">
        <v>5</v>
      </c>
      <c r="BM35" s="235">
        <v>6</v>
      </c>
      <c r="BN35" s="235">
        <v>7</v>
      </c>
      <c r="BO35" s="235">
        <v>8</v>
      </c>
      <c r="BP35" s="235">
        <v>9</v>
      </c>
      <c r="CA35" s="19"/>
      <c r="CB35" s="19"/>
    </row>
    <row r="36" spans="1:80" ht="12" customHeight="1" x14ac:dyDescent="0.25">
      <c r="A36" s="17" t="s">
        <v>134</v>
      </c>
      <c r="B36" s="148">
        <v>14</v>
      </c>
      <c r="C36" s="4"/>
      <c r="G36" s="99" t="str">
        <f>IF(ISNUMBER($AH$80),$B$10,"")</f>
        <v/>
      </c>
      <c r="H36" s="150" t="str">
        <f>IF(AND(G37="",G38=""),"",IF($AH$80=1,"NE/NW",IF($AH$80=2,"NW/NW",IF($AH$80=3,"SW/NW",IF($AH$80=4,"SE/NW","")))))</f>
        <v/>
      </c>
      <c r="J36" s="153"/>
      <c r="K36" s="153"/>
      <c r="L36" s="13"/>
      <c r="M36" s="14"/>
      <c r="Q36" s="98" t="str">
        <f>IF(ISNUMBER($AF$80),$B$10,"")</f>
        <v/>
      </c>
      <c r="R36" s="150" t="str">
        <f>IF(AND(Q37="",Q38=""),"",IF($AF$80=1,"NE/NE",IF($AF$80=2,"NW/NE",IF($AF$80=3,"SW/NE",IF($AF$80=4,"SE/NE","")))))</f>
        <v/>
      </c>
      <c r="S36" s="154"/>
      <c r="T36" s="153"/>
      <c r="U36" s="5"/>
      <c r="V36" s="22"/>
      <c r="W36" s="148">
        <v>47</v>
      </c>
      <c r="X36" s="25" t="s">
        <v>134</v>
      </c>
      <c r="Y36" s="25"/>
      <c r="AB36" s="5"/>
      <c r="AC36" s="29"/>
      <c r="AD36" s="944"/>
      <c r="AE36" s="911"/>
      <c r="AF36" s="80" t="str">
        <f>IF(ISNUMBER($AF$32),AF$32,IF(ISNUMBER($AH$33),AF$33,IF(ISNUMBER($AJ$34),AF$34,IF(ISNUMBER($AL$35),AF$35,""))))</f>
        <v/>
      </c>
      <c r="AG36" s="80" t="str">
        <f>IF(ISNUMBER($AG$32),AG$32,IF(ISNUMBER($AI$33),AG$33,IF(ISNUMBER($AK$34),AG$34,IF(ISNUMBER($AM$35),AG$35,""))))</f>
        <v/>
      </c>
      <c r="AH36" s="80" t="str">
        <f>IF(ISNUMBER($AF$32),AH$32,IF(ISNUMBER($AH$33),AH$33,IF(ISNUMBER($AJ$34),AH$34,IF(ISNUMBER($AL$35),AH$35,""))))</f>
        <v/>
      </c>
      <c r="AI36" s="80" t="str">
        <f>IF(ISNUMBER($AG$32),AI$32,IF(ISNUMBER($AI$33),AI$33,IF(ISNUMBER($AK$34),AI$34,IF(ISNUMBER($AM$35),AI$35,""))))</f>
        <v/>
      </c>
      <c r="AJ36" s="80" t="str">
        <f>IF(ISNUMBER($AF$32),AJ$32,IF(ISNUMBER($AH$33),AJ$33,IF(ISNUMBER($AJ$34),AJ$34,IF(ISNUMBER($AL$35),AJ$35,""))))</f>
        <v/>
      </c>
      <c r="AK36" s="80" t="str">
        <f>IF(ISNUMBER($AG$32),AK$32,IF(ISNUMBER($AI$33),AK$33,IF(ISNUMBER($AK$34),AK$34,IF(ISNUMBER($AM$35),AK$35,""))))</f>
        <v/>
      </c>
      <c r="AL36" s="80" t="str">
        <f>IF(ISNUMBER($AF$32),AL$32,IF(ISNUMBER($AH$33),AL$33,IF(ISNUMBER($AJ$34),AL$34,IF(ISNUMBER($AL$35),AL$35,""))))</f>
        <v/>
      </c>
      <c r="AM36" s="80" t="str">
        <f>IF(ISNUMBER($AG$32),AM$32,IF(ISNUMBER($AI$33),AM$33,IF(ISNUMBER($AK$34),AM$34,IF(ISNUMBER($AM$35),AM$35,""))))</f>
        <v/>
      </c>
      <c r="AN36" s="80" t="str">
        <f>IF(ISNUMBER($AF$32),AN$32,IF(ISNUMBER($AH$33),AN$33,IF(ISNUMBER($AJ$34),AN$34,IF(ISNUMBER($AL$35),AN$35,""))))</f>
        <v/>
      </c>
      <c r="AO36" s="80" t="str">
        <f>IF(ISNUMBER($AG$32),AO$32,IF(ISNUMBER($AI$33),AO$33,IF(ISNUMBER($AK$34),AO$34,IF(ISNUMBER($AM$35),AO$35,""))))</f>
        <v/>
      </c>
      <c r="AP36" s="80" t="str">
        <f>IF(ISNUMBER($AF$32),AP$32,IF(ISNUMBER($AH$33),AP$33,IF(ISNUMBER($AJ$34),AP$34,IF(ISNUMBER($AL$35),AP$35,""))))</f>
        <v/>
      </c>
      <c r="AQ36" s="80" t="str">
        <f>IF(ISNUMBER($AG$32),AQ$32,IF(ISNUMBER($AI$33),AQ$33,IF(ISNUMBER($AK$34),AQ$34,IF(ISNUMBER($AM$35),AQ$35,""))))</f>
        <v/>
      </c>
      <c r="AR36" s="80" t="str">
        <f>IF(ISNUMBER($AF$32),AR$32,IF(ISNUMBER($AH$33),AR$33,IF(ISNUMBER($AJ$34),AR$34,IF(ISNUMBER($AL$35),AR$35,""))))</f>
        <v/>
      </c>
      <c r="AS36" s="80" t="str">
        <f>IF(ISNUMBER($AG$32),AS$32,IF(ISNUMBER($AI$33),AS$33,IF(ISNUMBER($AK$34),AS$34,IF(ISNUMBER($AM$35),AS$35,""))))</f>
        <v/>
      </c>
      <c r="AT36" s="80" t="str">
        <f>IF(ISNUMBER($AF$32),AT$32,IF(ISNUMBER($AH$33),AT$33,IF(ISNUMBER($AJ$34),AT$34,IF(ISNUMBER($AL$35),AT$35,""))))</f>
        <v/>
      </c>
      <c r="AU36" s="80" t="str">
        <f>IF(ISNUMBER($AG$32),AU$32,IF(ISNUMBER($AI$33),AU$33,IF(ISNUMBER($AK$34),AU$34,IF(ISNUMBER($AM$35),AU$35,""))))</f>
        <v/>
      </c>
      <c r="BE36" s="760" t="s">
        <v>331</v>
      </c>
      <c r="BF36" s="158" t="s">
        <v>346</v>
      </c>
      <c r="BG36" s="761" t="s">
        <v>347</v>
      </c>
      <c r="BH36" s="235" t="s">
        <v>12</v>
      </c>
      <c r="BI36" s="235" t="s">
        <v>183</v>
      </c>
      <c r="BJ36" s="235" t="s">
        <v>280</v>
      </c>
      <c r="BK36" s="235" t="s">
        <v>197</v>
      </c>
      <c r="BL36" s="235" t="s">
        <v>286</v>
      </c>
      <c r="BM36" s="235" t="s">
        <v>188</v>
      </c>
      <c r="BN36" s="235" t="s">
        <v>284</v>
      </c>
      <c r="BO36" s="235" t="s">
        <v>204</v>
      </c>
      <c r="BP36" s="235" t="s">
        <v>282</v>
      </c>
      <c r="CA36" s="19"/>
      <c r="CB36" s="19"/>
    </row>
    <row r="37" spans="1:80" ht="12" customHeight="1" thickBot="1" x14ac:dyDescent="0.3">
      <c r="A37" s="17" t="s">
        <v>140</v>
      </c>
      <c r="B37" s="112">
        <v>1</v>
      </c>
      <c r="C37" s="4"/>
      <c r="G37" s="151" t="str">
        <f>IF(ISNUMBER($AH$80),$I$10,"")</f>
        <v/>
      </c>
      <c r="H37" s="152" t="str">
        <f>IF(ISNUMBER($AH$80),"FNL","")</f>
        <v/>
      </c>
      <c r="J37" s="153"/>
      <c r="K37" s="153"/>
      <c r="L37" s="13"/>
      <c r="M37" s="14"/>
      <c r="O37" s="19"/>
      <c r="P37" s="19"/>
      <c r="Q37" s="151" t="str">
        <f>IF(ISNUMBER($AF$80),$I$10,"")</f>
        <v/>
      </c>
      <c r="R37" s="152" t="str">
        <f>IF(ISNUMBER($AF$80),"FNL","")</f>
        <v/>
      </c>
      <c r="S37" s="154"/>
      <c r="T37" s="153"/>
      <c r="U37" s="5"/>
      <c r="V37" s="22"/>
      <c r="W37" s="112">
        <v>1</v>
      </c>
      <c r="X37" s="25" t="s">
        <v>140</v>
      </c>
      <c r="Y37" s="25"/>
      <c r="AB37" s="5"/>
      <c r="AC37" s="5"/>
      <c r="AD37" s="94"/>
      <c r="AE37" s="95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W37" s="233" t="s">
        <v>181</v>
      </c>
      <c r="AX37" s="234" t="s">
        <v>122</v>
      </c>
      <c r="AY37" s="233" t="s">
        <v>182</v>
      </c>
      <c r="AZ37" s="233" t="s">
        <v>183</v>
      </c>
      <c r="BA37" s="235" t="s">
        <v>280</v>
      </c>
      <c r="BB37" s="233" t="s">
        <v>185</v>
      </c>
      <c r="BC37" s="233" t="s">
        <v>281</v>
      </c>
      <c r="BE37" s="52">
        <v>1</v>
      </c>
      <c r="BF37" s="53" t="s">
        <v>272</v>
      </c>
      <c r="BG37" s="36" t="e">
        <f>IF(AND(MAX($AF$58:$AM$58)&lt;1,ISNUMBER($AF$26), ISNUMBER($AG$26)),IF(AND($AF$26&gt;0,$AG$26&gt;0),3,IF(AND($AF$26&lt;0,IF(-$AF$26&lt;$CA$19,$AP$62,$AP$65)&lt;0),4,IF(AND(IF(-$AG$26&lt;$AX$19,$AO$62,$AO$63)&lt;0,$AG$26&lt;0),2,""))),"")</f>
        <v>#VALUE!</v>
      </c>
      <c r="BH37" s="235">
        <v>1</v>
      </c>
      <c r="BI37" s="235">
        <v>36</v>
      </c>
      <c r="BJ37" s="235">
        <v>31</v>
      </c>
      <c r="BK37" s="235">
        <v>6</v>
      </c>
      <c r="BL37" s="235">
        <v>7</v>
      </c>
      <c r="BM37" s="235">
        <v>12</v>
      </c>
      <c r="BN37" s="235">
        <v>11</v>
      </c>
      <c r="BO37" s="235">
        <v>2</v>
      </c>
      <c r="BP37" s="235">
        <v>35</v>
      </c>
      <c r="CA37" s="19"/>
      <c r="CB37" s="19"/>
    </row>
    <row r="38" spans="1:80" ht="12" customHeight="1" x14ac:dyDescent="0.25">
      <c r="A38" s="17" t="s">
        <v>144</v>
      </c>
      <c r="B38" s="27">
        <f>IF(B34="","",IF(OR(B37=1,B37=4),180-(B34+B35/60+B36/3600),180+(B34+B35/60+B36/3600)))</f>
        <v>179.96277777777777</v>
      </c>
      <c r="C38" s="4"/>
      <c r="F38" s="815"/>
      <c r="G38" s="91" t="str">
        <f>IF(ISNUMBER($AH$80),$K$10,"")</f>
        <v/>
      </c>
      <c r="H38" s="90" t="str">
        <f>IF(ISNUMBER($AH$80),"FWL","")</f>
        <v/>
      </c>
      <c r="I38" s="154"/>
      <c r="J38" s="153"/>
      <c r="K38" s="153"/>
      <c r="L38" s="956">
        <f>$N$7</f>
        <v>0</v>
      </c>
      <c r="M38" s="889"/>
      <c r="P38" s="815"/>
      <c r="Q38" s="91" t="str">
        <f>IF(ISNUMBER($AF$80),$K$10,"")</f>
        <v/>
      </c>
      <c r="R38" s="90" t="str">
        <f>IF(ISNUMBER($AF$80),"FEL","")</f>
        <v/>
      </c>
      <c r="S38" s="154"/>
      <c r="T38" s="153"/>
      <c r="U38" s="5"/>
      <c r="V38" s="22"/>
      <c r="W38" s="34">
        <f>IF(W34="","",IF(OR(W37=1,W37=4),180-(W34+W35/60+W36/3600),180+(W34+W35/60+W36/3600)))</f>
        <v>179.97027777777777</v>
      </c>
      <c r="X38" s="25" t="s">
        <v>144</v>
      </c>
      <c r="Y38" s="25"/>
      <c r="AB38" s="5"/>
      <c r="AC38" s="29"/>
      <c r="AD38" s="52">
        <v>1</v>
      </c>
      <c r="AE38" s="53" t="s">
        <v>276</v>
      </c>
      <c r="AF38" s="47" t="e">
        <f>IF(AND($AT$24+$AJ$10&gt;0,$AO$24+$AL$10&gt;0),$AF$24+$AJ$10,"")</f>
        <v>#VALUE!</v>
      </c>
      <c r="AG38" s="47" t="e">
        <f>IF(AND($AT$24+$AJ$10&gt;0,$AO$24+$AL$10&gt;0),$AG$24+$AL$10,"")</f>
        <v>#VALUE!</v>
      </c>
      <c r="AH38" s="32" t="e">
        <f>IF($AF$38="","",$AZ$26+$AF$38)</f>
        <v>#VALUE!</v>
      </c>
      <c r="AI38" s="32" t="e">
        <f>IF($AG$38="","",$BA$26+$AG$38)</f>
        <v>#VALUE!</v>
      </c>
      <c r="AJ38" s="32" t="e">
        <f>IF($AF$38="","",$BH$26+$AZ$26+$AF$38)</f>
        <v>#VALUE!</v>
      </c>
      <c r="AK38" s="32" t="e">
        <f>IF($AG$38="","",$BA$26+$BI$26+$AG$38)</f>
        <v>#VALUE!</v>
      </c>
      <c r="AL38" s="32" t="e">
        <f>IF($AF$38="","",$BX$26+$AF$38)</f>
        <v>#VALUE!</v>
      </c>
      <c r="AM38" s="32" t="e">
        <f>IF($AG$38="","",$AG$38+$BY$26)</f>
        <v>#VALUE!</v>
      </c>
      <c r="AN38" s="32" t="e">
        <f>IF($AF$38="","",$AX$22+$AF$38)</f>
        <v>#VALUE!</v>
      </c>
      <c r="AO38" s="32" t="e">
        <f>IF($AG$38="","",$AY$22+$AG$38)</f>
        <v>#VALUE!</v>
      </c>
      <c r="AP38" s="32" t="e">
        <f>IF($AF$38="","",$AZ$26+$AF$38+$BF$22)</f>
        <v>#VALUE!</v>
      </c>
      <c r="AQ38" s="32" t="e">
        <f>IF($AG$38="","",$BA$26+$AG$38+$BG$22)</f>
        <v>#VALUE!</v>
      </c>
      <c r="AR38" s="32" t="e">
        <f>IF($AF$38="","",$BX$26+$AF$38+$BR$22)</f>
        <v>#VALUE!</v>
      </c>
      <c r="AS38" s="32" t="e">
        <f>IF($AG$38="","",$AG$38+$BY$26+$BS$22)</f>
        <v>#VALUE!</v>
      </c>
      <c r="AT38" s="32" t="e">
        <f>IF($AF$38="","",$BZ$22+$AF$38)</f>
        <v>#VALUE!</v>
      </c>
      <c r="AU38" s="32" t="e">
        <f>IF($AG$38="","",$AG$38+$CA$22)</f>
        <v>#VALUE!</v>
      </c>
      <c r="AW38" s="233" t="s">
        <v>186</v>
      </c>
      <c r="AX38" s="233" t="s">
        <v>128</v>
      </c>
      <c r="AY38" s="233" t="s">
        <v>187</v>
      </c>
      <c r="AZ38" s="233" t="s">
        <v>188</v>
      </c>
      <c r="BA38" s="235" t="s">
        <v>282</v>
      </c>
      <c r="BB38" s="233" t="s">
        <v>190</v>
      </c>
      <c r="BC38" s="233" t="s">
        <v>283</v>
      </c>
      <c r="BE38" s="52">
        <v>2</v>
      </c>
      <c r="BF38" s="53" t="s">
        <v>272</v>
      </c>
      <c r="BG38" s="36" t="e">
        <f>IF(AND(MAX($AF$58:$AM$58)&lt;1,ISNUMBER($AH$27), ISNUMBER($AI$27)),IF(AND(IF($AI$27&lt;$BD$19,$AQ$63,$AQ$62)&lt;0,$AI$27&gt;0),2,IF(AND($AH$27&gt;0,$AI$27&lt;0),9,IF(AND($AH$27&lt;0,IF(-$AH$27&lt;$BE$19,$AR$63,$AR$64)&lt;0),8,""))),"")</f>
        <v>#VALUE!</v>
      </c>
      <c r="BH38" s="235">
        <v>2</v>
      </c>
      <c r="BI38" s="235">
        <v>35</v>
      </c>
      <c r="BJ38" s="235">
        <v>36</v>
      </c>
      <c r="BK38" s="235">
        <v>1</v>
      </c>
      <c r="BL38" s="235">
        <v>12</v>
      </c>
      <c r="BM38" s="235">
        <v>11</v>
      </c>
      <c r="BN38" s="235">
        <v>10</v>
      </c>
      <c r="BO38" s="235">
        <v>3</v>
      </c>
      <c r="BP38" s="235">
        <v>34</v>
      </c>
      <c r="CA38" s="19"/>
      <c r="CB38" s="19"/>
    </row>
    <row r="39" spans="1:80" ht="12" customHeight="1" thickBot="1" x14ac:dyDescent="0.3">
      <c r="A39" s="948" t="str">
        <f>CONCATENATE("W QC of ",$L$38)</f>
        <v>W QC of 0</v>
      </c>
      <c r="B39" s="892"/>
      <c r="C39" s="7"/>
      <c r="D39" s="8"/>
      <c r="E39" s="8"/>
      <c r="F39" s="8"/>
      <c r="G39" s="8"/>
      <c r="H39" s="8"/>
      <c r="I39" s="8"/>
      <c r="J39" s="8"/>
      <c r="K39" s="8"/>
      <c r="L39" s="890"/>
      <c r="M39" s="892"/>
      <c r="N39" s="8"/>
      <c r="O39" s="8"/>
      <c r="P39" s="8"/>
      <c r="Q39" s="8"/>
      <c r="R39" s="8"/>
      <c r="S39" s="8"/>
      <c r="T39" s="8"/>
      <c r="U39" s="8"/>
      <c r="V39" s="24"/>
      <c r="W39" s="959" t="str">
        <f>CONCATENATE("E QC of ",$L$38)</f>
        <v>E QC of 0</v>
      </c>
      <c r="X39" s="904"/>
      <c r="Y39" s="759"/>
      <c r="AB39" s="5"/>
      <c r="AC39" s="29"/>
      <c r="AD39" s="52">
        <v>2</v>
      </c>
      <c r="AE39" s="53" t="s">
        <v>276</v>
      </c>
      <c r="AF39" s="32" t="e">
        <f>IF($AH$39="","",$AH$39-$AZ$26)</f>
        <v>#VALUE!</v>
      </c>
      <c r="AG39" s="32" t="e">
        <f>IF($AI$39="","",$AI$39-$BA$26)</f>
        <v>#VALUE!</v>
      </c>
      <c r="AH39" s="47" t="e">
        <f>IF(AND($AP$24+$AJ$10&gt;0,$AO$24+$AL$10&lt;0),$AH$24+$AJ$10,"")</f>
        <v>#VALUE!</v>
      </c>
      <c r="AI39" s="47" t="e">
        <f>IF(AND($AP$24+$AJ$10&gt;0,$AO$24+$AL$10&lt;0),$AI$24+$AL$10,"")</f>
        <v>#VALUE!</v>
      </c>
      <c r="AJ39" s="32" t="e">
        <f>IF($AH$39="","",$BH$26+$AH$39)</f>
        <v>#VALUE!</v>
      </c>
      <c r="AK39" s="32" t="e">
        <f>IF($AI$39="","",$AI$39+$BI$26)</f>
        <v>#VALUE!</v>
      </c>
      <c r="AL39" s="32" t="e">
        <f>IF($AH$39="","",$AH$39-$AZ$26+$BX$26)</f>
        <v>#VALUE!</v>
      </c>
      <c r="AM39" s="32" t="e">
        <f>IF($AI$39="","",$AI$39-$BA$26+$BY$26)</f>
        <v>#VALUE!</v>
      </c>
      <c r="AN39" s="32" t="e">
        <f>IF($AH$39="","",$AH$39-$BB$22)</f>
        <v>#VALUE!</v>
      </c>
      <c r="AO39" s="32" t="e">
        <f>IF($AI$39="","",AI$39-$BC$22)</f>
        <v>#VALUE!</v>
      </c>
      <c r="AP39" s="32" t="e">
        <f>IF($AH$39="","",$BF$22+$AH$39)</f>
        <v>#VALUE!</v>
      </c>
      <c r="AQ39" s="32" t="e">
        <f>IF($AI$39="","",$AI$39+$BG$22)</f>
        <v>#VALUE!</v>
      </c>
      <c r="AR39" s="32" t="e">
        <f>IF($AH$39="","",$BH$26+$AH$39-$BN$22)</f>
        <v>#VALUE!</v>
      </c>
      <c r="AS39" s="32" t="e">
        <f>IF($AI$39="","",$AI$39+$BI$26-$BO$22)</f>
        <v>#VALUE!</v>
      </c>
      <c r="AT39" s="32" t="e">
        <f>IF($AH$39="","",$AH$39-$AZ$26+$BZ$22)</f>
        <v>#VALUE!</v>
      </c>
      <c r="AU39" s="32" t="e">
        <f>IF($AI$39="","",$AI$39-$BA$26+$CA$22)</f>
        <v>#VALUE!</v>
      </c>
      <c r="AW39" s="233" t="s">
        <v>194</v>
      </c>
      <c r="AX39" s="233"/>
      <c r="AY39" s="233" t="s">
        <v>196</v>
      </c>
      <c r="AZ39" s="233" t="s">
        <v>197</v>
      </c>
      <c r="BA39" s="235" t="s">
        <v>284</v>
      </c>
      <c r="BB39" s="233"/>
      <c r="BC39" s="233" t="s">
        <v>285</v>
      </c>
      <c r="BE39" s="52">
        <v>3</v>
      </c>
      <c r="BF39" s="53" t="s">
        <v>272</v>
      </c>
      <c r="BG39" s="36" t="e">
        <f>IF(AND(MAX($AF$58:$AM$58)&lt;1,ISNUMBER($AJ$28), ISNUMBER($AK$28)),IF(AND($AJ$28&gt;0,IF($AJ$28&lt;$BK$19,$AT$64,$AT$63)&lt;0),8,IF(AND($AJ$28&lt;0,$AK$28&lt;0),7,IF(AND(IF($AK$28&lt;$BN$19,$AS$64,$AS$65)&lt;0,$AK$28&gt;0),6,""))),"")</f>
        <v>#VALUE!</v>
      </c>
      <c r="BH39" s="235">
        <v>3</v>
      </c>
      <c r="BI39" s="235">
        <v>34</v>
      </c>
      <c r="BJ39" s="235">
        <v>35</v>
      </c>
      <c r="BK39" s="235">
        <v>2</v>
      </c>
      <c r="BL39" s="235">
        <v>11</v>
      </c>
      <c r="BM39" s="235">
        <v>10</v>
      </c>
      <c r="BN39" s="235">
        <v>9</v>
      </c>
      <c r="BO39" s="235">
        <v>4</v>
      </c>
      <c r="BP39" s="235">
        <v>33</v>
      </c>
      <c r="CA39" s="19"/>
      <c r="CB39" s="19"/>
    </row>
    <row r="40" spans="1:80" ht="12" customHeight="1" x14ac:dyDescent="0.25">
      <c r="A40" s="904"/>
      <c r="B40" s="892"/>
      <c r="C40" s="9"/>
      <c r="D40" s="10"/>
      <c r="E40" s="10"/>
      <c r="F40" s="10"/>
      <c r="G40" s="10"/>
      <c r="H40" s="10"/>
      <c r="I40" s="10"/>
      <c r="J40" s="10"/>
      <c r="K40" s="10"/>
      <c r="L40" s="890"/>
      <c r="M40" s="892"/>
      <c r="N40" s="10"/>
      <c r="O40" s="10"/>
      <c r="P40" s="10"/>
      <c r="Q40" s="10"/>
      <c r="R40" s="10"/>
      <c r="S40" s="10"/>
      <c r="T40" s="10"/>
      <c r="U40" s="10"/>
      <c r="V40" s="22"/>
      <c r="W40" s="904"/>
      <c r="X40" s="904"/>
      <c r="Y40" s="759"/>
      <c r="AB40" s="5"/>
      <c r="AC40" s="29"/>
      <c r="AD40" s="52">
        <v>3</v>
      </c>
      <c r="AE40" s="53" t="s">
        <v>276</v>
      </c>
      <c r="AF40" s="32" t="e">
        <f>IF($AJ$40="","",$AJ$40-$BH$26-$AZ$26)</f>
        <v>#VALUE!</v>
      </c>
      <c r="AG40" s="32" t="e">
        <f>IF($AK$40="","",$AK$40-$BI$26-$BA$26)</f>
        <v>#VALUE!</v>
      </c>
      <c r="AH40" s="32" t="e">
        <f>IF($AJ$40="","",$AJ$40-$BH$26)</f>
        <v>#VALUE!</v>
      </c>
      <c r="AI40" s="32" t="e">
        <f>IF($AK$40="","",$AK$40-$BI$26)</f>
        <v>#VALUE!</v>
      </c>
      <c r="AJ40" s="47" t="e">
        <f>IF(AND($AP$24+$AJ$10&lt;0,$AS$24+$AL$10&lt;0),$AJ$24+$AJ$10,"")</f>
        <v>#VALUE!</v>
      </c>
      <c r="AK40" s="47" t="e">
        <f>IF(AND($AP$24+$AJ$10&lt;0,$AS$24+$AL$10&lt;0),$AK$24+$AL$10,"")</f>
        <v>#VALUE!</v>
      </c>
      <c r="AL40" s="32" t="e">
        <f>IF($AJ$40="","",$AJ$40-$BP$26)</f>
        <v>#VALUE!</v>
      </c>
      <c r="AM40" s="32" t="e">
        <f>IF($AK$40="","",$AK$40-$BQ$26)</f>
        <v>#VALUE!</v>
      </c>
      <c r="AN40" s="32" t="e">
        <f>IF($AJ$40="","",$AJ$40-$BH$26-$BB$22)</f>
        <v>#VALUE!</v>
      </c>
      <c r="AO40" s="32" t="e">
        <f>IF($AK$40="","",$AK$40-$BI$26-$BC$22)</f>
        <v>#VALUE!</v>
      </c>
      <c r="AP40" s="32" t="e">
        <f>IF($AJ$40="","",$AJ$40-$BJ$22)</f>
        <v>#VALUE!</v>
      </c>
      <c r="AQ40" s="32" t="e">
        <f>IF($AK$40="","",$AK$40-$BK$22)</f>
        <v>#VALUE!</v>
      </c>
      <c r="AR40" s="32" t="e">
        <f>IF($AJ$40="","",$AJ$40-$BN$22)</f>
        <v>#VALUE!</v>
      </c>
      <c r="AS40" s="32" t="e">
        <f>IF($AK$40="","",$AK$40-$BO$22)</f>
        <v>#VALUE!</v>
      </c>
      <c r="AT40" s="32" t="e">
        <f>IF($AJ$40="","",$AJ$40-$BP$26-$BV$22)</f>
        <v>#VALUE!</v>
      </c>
      <c r="AU40" s="32" t="e">
        <f>IF($AK$40="","",$AK$40-$BQ$26-$BW$22)</f>
        <v>#VALUE!</v>
      </c>
      <c r="AW40" s="233" t="s">
        <v>201</v>
      </c>
      <c r="AX40" s="233"/>
      <c r="AY40" s="233" t="s">
        <v>203</v>
      </c>
      <c r="AZ40" s="233" t="s">
        <v>204</v>
      </c>
      <c r="BA40" s="235" t="s">
        <v>286</v>
      </c>
      <c r="BB40" s="233" t="s">
        <v>184</v>
      </c>
      <c r="BC40" s="233" t="s">
        <v>287</v>
      </c>
      <c r="BE40" s="756">
        <v>4</v>
      </c>
      <c r="BF40" s="758" t="s">
        <v>272</v>
      </c>
      <c r="BG40" s="120" t="e">
        <f>IF(AND(MAX($AF$58:$AM$58)&lt;1,ISNUMBER($AL$29), ISNUMBER($AM$29)),IF(AND(IF(-$AM$29&lt;$BT$19,$AU$65,$AU$64)&lt;0,$AM$29&lt;0),6,IF(AND($AL$29&lt;0,$AM$29&gt;0),5,IF(AND($AL$29&gt;0,IF($AL$29&lt;$BU$19,$AV$65,$AV$62)&lt;0),4,""))),"")</f>
        <v>#VALUE!</v>
      </c>
      <c r="BH40" s="235">
        <v>4</v>
      </c>
      <c r="BI40" s="235">
        <v>33</v>
      </c>
      <c r="BJ40" s="235">
        <v>34</v>
      </c>
      <c r="BK40" s="235">
        <v>3</v>
      </c>
      <c r="BL40" s="235">
        <v>10</v>
      </c>
      <c r="BM40" s="235">
        <v>9</v>
      </c>
      <c r="BN40" s="235">
        <v>8</v>
      </c>
      <c r="BO40" s="235">
        <v>5</v>
      </c>
      <c r="BP40" s="235">
        <v>32</v>
      </c>
      <c r="CA40" s="19"/>
      <c r="CB40" s="19"/>
    </row>
    <row r="41" spans="1:80" ht="12" customHeight="1" thickBot="1" x14ac:dyDescent="0.3">
      <c r="A41" s="17" t="s">
        <v>118</v>
      </c>
      <c r="B41" s="162">
        <v>2642.88</v>
      </c>
      <c r="C41" s="4"/>
      <c r="L41" s="957"/>
      <c r="M41" s="958"/>
      <c r="V41" s="22"/>
      <c r="W41" s="162">
        <v>2606.75</v>
      </c>
      <c r="X41" s="25" t="s">
        <v>118</v>
      </c>
      <c r="Y41" s="25"/>
      <c r="AB41" s="5"/>
      <c r="AC41" s="29"/>
      <c r="AD41" s="756">
        <v>4</v>
      </c>
      <c r="AE41" s="758" t="s">
        <v>276</v>
      </c>
      <c r="AF41" s="45" t="e">
        <f>IF($AL$41="","",$AL$41-$BX$26)</f>
        <v>#VALUE!</v>
      </c>
      <c r="AG41" s="45" t="e">
        <f>IF($AM$41="","",$AM$41-$BY$26)</f>
        <v>#VALUE!</v>
      </c>
      <c r="AH41" s="45" t="e">
        <f>IF($AL$41="","",$AL$41+$BP$26-$BH$26)</f>
        <v>#VALUE!</v>
      </c>
      <c r="AI41" s="45" t="e">
        <f>IF($AM$41="","",$AM$41+$BQ$26-$BI$26)</f>
        <v>#VALUE!</v>
      </c>
      <c r="AJ41" s="45" t="e">
        <f>IF($AL$41="","",$AL$41+$BP$26)</f>
        <v>#VALUE!</v>
      </c>
      <c r="AK41" s="45" t="e">
        <f>IF($AM$41="","",$AM$41+$BQ$26)</f>
        <v>#VALUE!</v>
      </c>
      <c r="AL41" s="50" t="e">
        <f>IF(AND($AT$24+$AJ$10&lt;0,$AS$24+$AL$10&gt;0),$AL$24+$AJ$10,"")</f>
        <v>#VALUE!</v>
      </c>
      <c r="AM41" s="50" t="e">
        <f>IF(AND($AT$24+$AJ$10&lt;0,$AS$24+$AL$10&gt;0),$AM$24+$AL$10,"")</f>
        <v>#VALUE!</v>
      </c>
      <c r="AN41" s="45" t="e">
        <f>IF($AL$41="","",$AL$41-$BX$26+$AX$22)</f>
        <v>#VALUE!</v>
      </c>
      <c r="AO41" s="45" t="e">
        <f>IF($AM$41="","",$AM$41-$BY$26+$AY$22)</f>
        <v>#VALUE!</v>
      </c>
      <c r="AP41" s="45" t="e">
        <f>IF($AL$41="","",$AL$41+$BP$26-$BJ$22)</f>
        <v>#VALUE!</v>
      </c>
      <c r="AQ41" s="45" t="e">
        <f>IF($AM$41="","",$AM$41+$BQ$26-$BK$22)</f>
        <v>#VALUE!</v>
      </c>
      <c r="AR41" s="45" t="e">
        <f>IF($AL$41="","",$AL$41+$BR$22)</f>
        <v>#VALUE!</v>
      </c>
      <c r="AS41" s="45" t="e">
        <f>IF($AM$41="","",$AM$41+$BS$22)</f>
        <v>#VALUE!</v>
      </c>
      <c r="AT41" s="45" t="e">
        <f>IF($AL$41="","",$AL$41-$BV$22)</f>
        <v>#VALUE!</v>
      </c>
      <c r="AU41" s="45" t="e">
        <f>IF($AM$41="","",$AM$41-$BW$22)</f>
        <v>#VALUE!</v>
      </c>
      <c r="AW41" s="233"/>
      <c r="AX41" s="233"/>
      <c r="AY41" s="233"/>
      <c r="AZ41" s="233"/>
      <c r="BA41" s="233"/>
      <c r="BB41" s="233" t="s">
        <v>189</v>
      </c>
      <c r="BC41" s="233" t="s">
        <v>288</v>
      </c>
      <c r="BE41" s="52">
        <v>1</v>
      </c>
      <c r="BF41" s="53" t="s">
        <v>274</v>
      </c>
      <c r="BG41" s="36" t="e">
        <f>IF(AND(MAX($AF$69:$AM$69)&lt;1,ISNUMBER($AF$32), ISNUMBER($AG$32)),IF(AND($AF$32&gt;0,$AG$32&gt;0),3,IF(AND($AF$32&lt;0,IF(-$AF$32&lt;$CA$19,$AP$73,$AP$76)&lt;0),4,IF(AND(IF(-$AG$32&lt;$AX$19,$AO$73,$AO$74)&lt;0,$AG$32&lt;0),2,""))),"")</f>
        <v>#VALUE!</v>
      </c>
      <c r="BH41" s="235">
        <v>5</v>
      </c>
      <c r="BI41" s="235">
        <v>32</v>
      </c>
      <c r="BJ41" s="235">
        <v>33</v>
      </c>
      <c r="BK41" s="235">
        <v>4</v>
      </c>
      <c r="BL41" s="235">
        <v>9</v>
      </c>
      <c r="BM41" s="235">
        <v>8</v>
      </c>
      <c r="BN41" s="235">
        <v>7</v>
      </c>
      <c r="BO41" s="235">
        <v>6</v>
      </c>
      <c r="BP41" s="235">
        <v>31</v>
      </c>
      <c r="CA41" s="19"/>
      <c r="CB41" s="19"/>
    </row>
    <row r="42" spans="1:80" ht="12" customHeight="1" x14ac:dyDescent="0.25">
      <c r="A42" s="17" t="s">
        <v>124</v>
      </c>
      <c r="B42" s="147">
        <v>0</v>
      </c>
      <c r="C42" s="4"/>
      <c r="G42" s="831" t="s">
        <v>348</v>
      </c>
      <c r="H42" s="832"/>
      <c r="L42" s="13"/>
      <c r="M42" s="14"/>
      <c r="Q42" s="831" t="s">
        <v>349</v>
      </c>
      <c r="R42" s="832"/>
      <c r="U42" s="155"/>
      <c r="V42" s="22"/>
      <c r="W42" s="147">
        <v>0</v>
      </c>
      <c r="X42" s="25" t="s">
        <v>124</v>
      </c>
      <c r="Y42" s="25"/>
      <c r="AB42" s="5"/>
      <c r="AC42" s="29"/>
      <c r="AD42" s="944"/>
      <c r="AE42" s="911"/>
      <c r="AF42" s="80" t="str">
        <f>IF(ISNUMBER($AF$38),AF$38,IF(ISNUMBER($AH$39),AF$39,IF(ISNUMBER($AJ$40),AF$40,IF(ISNUMBER($AL$41),AF$41,""))))</f>
        <v/>
      </c>
      <c r="AG42" s="80" t="str">
        <f>IF(ISNUMBER($AG$38),AG$38,IF(ISNUMBER($AI$39),AG$39,IF(ISNUMBER($AK$40),AG$40,IF(ISNUMBER($AM$41),AG$41,""))))</f>
        <v/>
      </c>
      <c r="AH42" s="80" t="str">
        <f>IF(ISNUMBER($AF$38),AH$38,IF(ISNUMBER($AH$39),AH$39,IF(ISNUMBER($AJ$40),AH$40,IF(ISNUMBER($AL$41),AH$41,""))))</f>
        <v/>
      </c>
      <c r="AI42" s="80" t="str">
        <f>IF(ISNUMBER($AG$38),AI$38,IF(ISNUMBER($AI$39),AI$39,IF(ISNUMBER($AK$40),AI$40,IF(ISNUMBER($AM$41),AI$41,""))))</f>
        <v/>
      </c>
      <c r="AJ42" s="80" t="str">
        <f>IF(ISNUMBER($AF$38),AJ$38,IF(ISNUMBER($AH$39),AJ$39,IF(ISNUMBER($AJ$40),AJ$40,IF(ISNUMBER($AL$41),AJ$41,""))))</f>
        <v/>
      </c>
      <c r="AK42" s="80" t="str">
        <f>IF(ISNUMBER($AG$38),AK$38,IF(ISNUMBER($AI$39),AK$39,IF(ISNUMBER($AK$40),AK$40,IF(ISNUMBER($AM$41),AK$41,""))))</f>
        <v/>
      </c>
      <c r="AL42" s="80" t="str">
        <f>IF(ISNUMBER($AF$38),AL$38,IF(ISNUMBER($AH$39),AL$39,IF(ISNUMBER($AJ$40),AL$40,IF(ISNUMBER($AL$41),AL$41,""))))</f>
        <v/>
      </c>
      <c r="AM42" s="80" t="str">
        <f>IF(ISNUMBER($AG$38),AM$38,IF(ISNUMBER($AI$39),AM$39,IF(ISNUMBER($AK$40),AM$40,IF(ISNUMBER($AM$41),AM$41,""))))</f>
        <v/>
      </c>
      <c r="AN42" s="80" t="str">
        <f>IF(ISNUMBER($AF$38),AN$38,IF(ISNUMBER($AH$39),AN$39,IF(ISNUMBER($AJ$40),AN$40,IF(ISNUMBER($AL$41),AN$41,""))))</f>
        <v/>
      </c>
      <c r="AO42" s="80" t="str">
        <f>IF(ISNUMBER($AG$38),AO$38,IF(ISNUMBER($AI$39),AO$39,IF(ISNUMBER($AK$40),AO$40,IF(ISNUMBER($AM$41),AO$41,""))))</f>
        <v/>
      </c>
      <c r="AP42" s="80" t="str">
        <f>IF(ISNUMBER($AF$38),AP$38,IF(ISNUMBER($AH$39),AP$39,IF(ISNUMBER($AJ$40),AP$40,IF(ISNUMBER($AL$41),AP$41,""))))</f>
        <v/>
      </c>
      <c r="AQ42" s="80" t="str">
        <f>IF(ISNUMBER($AG$38),AQ$38,IF(ISNUMBER($AI$39),AQ$39,IF(ISNUMBER($AK$40),AQ$40,IF(ISNUMBER($AM$41),AQ$41,""))))</f>
        <v/>
      </c>
      <c r="AR42" s="80" t="str">
        <f>IF(ISNUMBER($AF$38),AR$38,IF(ISNUMBER($AH$39),AR$39,IF(ISNUMBER($AJ$40),AR$40,IF(ISNUMBER($AL$41),AR$41,""))))</f>
        <v/>
      </c>
      <c r="AS42" s="80" t="str">
        <f>IF(ISNUMBER($AG$38),AS$38,IF(ISNUMBER($AI$39),AS$39,IF(ISNUMBER($AK$40),AS$40,IF(ISNUMBER($AM$41),AS$41,""))))</f>
        <v/>
      </c>
      <c r="AT42" s="80" t="str">
        <f>IF(ISNUMBER($AF$38),AT$38,IF(ISNUMBER($AH$39),AT$39,IF(ISNUMBER($AJ$40),AT$40,IF(ISNUMBER($AL$41),AT$41,""))))</f>
        <v/>
      </c>
      <c r="AU42" s="80" t="str">
        <f>IF(ISNUMBER($AG$38),AU$38,IF(ISNUMBER($AI$39),AU$39,IF(ISNUMBER($AK$40),AU$40,IF(ISNUMBER($AM$41),AU$41,""))))</f>
        <v/>
      </c>
      <c r="AW42" s="228" t="s">
        <v>230</v>
      </c>
      <c r="AX42" s="229" t="s">
        <v>350</v>
      </c>
      <c r="AY42" s="233"/>
      <c r="AZ42" s="233"/>
      <c r="BA42" s="233"/>
      <c r="BB42" s="233" t="s">
        <v>198</v>
      </c>
      <c r="BC42" s="233" t="s">
        <v>289</v>
      </c>
      <c r="BE42" s="52">
        <v>2</v>
      </c>
      <c r="BF42" s="53" t="s">
        <v>274</v>
      </c>
      <c r="BG42" s="36" t="e">
        <f>IF(AND(MAX($AF$69:$AM$69)&lt;1,ISNUMBER($AH$33), ISNUMBER($AI$33)),IF(AND(IF($AI$33&lt;$BD$19,$AQ$74,$AQ$73)&lt;0,$AI$33&gt;0),2,IF(AND($AH$33&gt;0,$AI$33&lt;0),9,IF(AND($AH$33&lt;0,IF(-$AH$33&lt;$BE$19,$AR$74,$AR$75)&lt;0),8,""))),"")</f>
        <v>#VALUE!</v>
      </c>
      <c r="BH42" s="235">
        <v>6</v>
      </c>
      <c r="BI42" s="235">
        <v>31</v>
      </c>
      <c r="BJ42" s="235">
        <v>32</v>
      </c>
      <c r="BK42" s="235">
        <v>5</v>
      </c>
      <c r="BL42" s="235">
        <v>8</v>
      </c>
      <c r="BM42" s="235">
        <v>7</v>
      </c>
      <c r="BN42" s="235">
        <v>12</v>
      </c>
      <c r="BO42" s="235">
        <v>1</v>
      </c>
      <c r="BP42" s="235">
        <v>36</v>
      </c>
      <c r="CA42" s="19"/>
      <c r="CB42" s="19"/>
    </row>
    <row r="43" spans="1:80" ht="12" customHeight="1" x14ac:dyDescent="0.25">
      <c r="A43" s="17" t="s">
        <v>130</v>
      </c>
      <c r="B43" s="147">
        <v>2</v>
      </c>
      <c r="C43" s="4"/>
      <c r="G43" s="163" t="str">
        <f>IF(ISNUMBER($AJ$48),$B$7,"")</f>
        <v/>
      </c>
      <c r="H43" s="150" t="str">
        <f>IF(AND(G44="",G44=""),"",IF($AJ$48=1,"NE/SW",IF($AJ$48=2,"NW/SW",IF($AJ$48=3,"SW/SW",IF($AJ$48=4,"SE/SW","")))))</f>
        <v/>
      </c>
      <c r="L43" s="13"/>
      <c r="M43" s="14"/>
      <c r="Q43" s="163" t="str">
        <f>IF(ISNUMBER($AL$48),$B$7,"")</f>
        <v/>
      </c>
      <c r="R43" s="150" t="str">
        <f>IF(AND(Q44="",Q44=""),"",IF($AL$48=1,"NE/SE",IF($AL$48=2,"NW/SE",IF($AL$48=3,"SW/SE",IF($AL$48=4,"SE/SE","")))))</f>
        <v/>
      </c>
      <c r="U43" s="155"/>
      <c r="V43" s="22"/>
      <c r="W43" s="147">
        <v>1</v>
      </c>
      <c r="X43" s="25" t="s">
        <v>130</v>
      </c>
      <c r="Y43" s="25"/>
      <c r="AB43" s="5"/>
      <c r="AC43" s="29"/>
      <c r="AW43" s="230">
        <v>4301</v>
      </c>
      <c r="AX43" s="231">
        <v>0.65935548181699999</v>
      </c>
      <c r="AY43" s="233"/>
      <c r="AZ43" s="233"/>
      <c r="BA43" s="233"/>
      <c r="BB43" s="233"/>
      <c r="BC43" s="233" t="s">
        <v>290</v>
      </c>
      <c r="BE43" s="52">
        <v>3</v>
      </c>
      <c r="BF43" s="53" t="s">
        <v>274</v>
      </c>
      <c r="BG43" s="36" t="e">
        <f>IF(AND(MAX($AF$69:$AM$69)&lt;1,ISNUMBER($AJ$34), ISNUMBER($AK$34)),IF(AND($AJ$34&gt;0,IF($AJ$34&lt;$BK$19,$AT$75,$AT$74)&lt;0),8,IF(AND($AJ$34&lt;0,$AK$34&lt;0),7,IF(AND(IF($AK$34&lt;$BN$19,$AS$75,$AS$76)&lt;0,$AK$34&gt;0),6,""))),"")</f>
        <v>#VALUE!</v>
      </c>
      <c r="BH43" s="235">
        <v>7</v>
      </c>
      <c r="BI43" s="235">
        <v>6</v>
      </c>
      <c r="BJ43" s="235">
        <v>5</v>
      </c>
      <c r="BK43" s="235">
        <v>8</v>
      </c>
      <c r="BL43" s="235">
        <v>17</v>
      </c>
      <c r="BM43" s="235">
        <v>18</v>
      </c>
      <c r="BN43" s="235">
        <v>13</v>
      </c>
      <c r="BO43" s="235">
        <v>12</v>
      </c>
      <c r="BP43" s="235">
        <v>1</v>
      </c>
      <c r="CA43" s="19"/>
      <c r="CB43" s="19"/>
    </row>
    <row r="44" spans="1:80" ht="12" customHeight="1" x14ac:dyDescent="0.25">
      <c r="A44" s="17" t="s">
        <v>134</v>
      </c>
      <c r="B44" s="147">
        <v>57</v>
      </c>
      <c r="C44" s="4"/>
      <c r="G44" s="152">
        <f>IF(AND(ISNUMBER($I$7),ISNUMBER($K$7),$J$7=2,$L$7=2),$I$7,"")</f>
        <v>0</v>
      </c>
      <c r="H44" s="152" t="str">
        <f>IF(AND(ISNUMBER($I$7),ISNUMBER($K$7),$J$7=2,$L$7=2),"FSL","")</f>
        <v>FSL</v>
      </c>
      <c r="J44" s="19"/>
      <c r="K44" s="19"/>
      <c r="L44" s="13"/>
      <c r="M44" s="14"/>
      <c r="Q44" s="152" t="str">
        <f>IF(AND(ISNUMBER($I$7),ISNUMBER($K$7),$J$7=2,$L$7=1),$I$7,"")</f>
        <v/>
      </c>
      <c r="R44" s="152" t="str">
        <f>IF(AND(ISNUMBER($I$7),ISNUMBER($K$7),$J$7=2,$L$7=1),"FSL","")</f>
        <v/>
      </c>
      <c r="T44" s="19"/>
      <c r="U44" s="155"/>
      <c r="V44" s="22"/>
      <c r="W44" s="147">
        <v>30</v>
      </c>
      <c r="X44" s="25" t="s">
        <v>134</v>
      </c>
      <c r="Y44" s="25"/>
      <c r="AB44" s="5"/>
      <c r="AC44" s="29"/>
      <c r="AW44" s="230">
        <v>4302</v>
      </c>
      <c r="AX44" s="231">
        <v>0.64057859582499999</v>
      </c>
      <c r="AY44" s="233"/>
      <c r="AZ44" s="233"/>
      <c r="BA44" s="233"/>
      <c r="BB44" s="233"/>
      <c r="BC44" s="233" t="s">
        <v>291</v>
      </c>
      <c r="BE44" s="756">
        <v>4</v>
      </c>
      <c r="BF44" s="758" t="s">
        <v>274</v>
      </c>
      <c r="BG44" s="120" t="e">
        <f>IF(AND(MAX($AF$69:$AM$69)&lt;1,ISNUMBER($AL$35), ISNUMBER($AM$35)),IF(AND(IF(-$AM$35&lt;$BT$19,$AU$76,$AU$75)&lt;0,$AM$35&lt;0),6,IF(AND($AL$35&lt;0,$AM$35&gt;0),5,IF(AND($AL$35&gt;0,IF($AL$35&lt;$BU$19,$AV$76,$AV$73)&lt;0),4,""))),"")</f>
        <v>#VALUE!</v>
      </c>
      <c r="BH44" s="235">
        <v>8</v>
      </c>
      <c r="BI44" s="235">
        <v>5</v>
      </c>
      <c r="BJ44" s="235">
        <v>4</v>
      </c>
      <c r="BK44" s="235">
        <v>9</v>
      </c>
      <c r="BL44" s="235">
        <v>16</v>
      </c>
      <c r="BM44" s="235">
        <v>17</v>
      </c>
      <c r="BN44" s="235">
        <v>18</v>
      </c>
      <c r="BO44" s="235">
        <v>7</v>
      </c>
      <c r="BP44" s="235">
        <v>6</v>
      </c>
      <c r="CA44" s="19"/>
      <c r="CB44" s="19"/>
    </row>
    <row r="45" spans="1:80" ht="12" customHeight="1" thickBot="1" x14ac:dyDescent="0.3">
      <c r="A45" s="17" t="s">
        <v>140</v>
      </c>
      <c r="B45" s="112">
        <v>3</v>
      </c>
      <c r="C45" s="4"/>
      <c r="G45" s="90">
        <f>IF(AND(ISNUMBER($I$7),ISNUMBER($K$7),$J$7=2,$L$7=2),$K$7,"")</f>
        <v>0</v>
      </c>
      <c r="H45" s="90" t="str">
        <f>IF(AND(ISNUMBER($I$7),ISNUMBER($K$7),$J$7=2,$L$7=2),"FWL","")</f>
        <v>FWL</v>
      </c>
      <c r="J45" s="19"/>
      <c r="K45" s="19"/>
      <c r="L45" s="13"/>
      <c r="M45" s="14"/>
      <c r="Q45" s="90" t="str">
        <f>IF(AND(ISNUMBER($I$7),ISNUMBER($K$7),$J$7=2,$L$7=1),$K$7,"")</f>
        <v/>
      </c>
      <c r="R45" s="90" t="str">
        <f>IF(AND(ISNUMBER($I$7),ISNUMBER($K$7),$J$7=2,$L$7=1),"FEL","")</f>
        <v/>
      </c>
      <c r="T45" s="19"/>
      <c r="U45" s="155"/>
      <c r="V45" s="22"/>
      <c r="W45" s="112">
        <v>1</v>
      </c>
      <c r="X45" s="25" t="s">
        <v>140</v>
      </c>
      <c r="Y45" s="25"/>
      <c r="AB45" s="5"/>
      <c r="AC45" s="29"/>
      <c r="AD45" s="53"/>
      <c r="AE45" s="53"/>
      <c r="AF45" s="949" t="s">
        <v>351</v>
      </c>
      <c r="AG45" s="911"/>
      <c r="AH45" s="961" t="s">
        <v>352</v>
      </c>
      <c r="AI45" s="859"/>
      <c r="AJ45" s="949" t="s">
        <v>353</v>
      </c>
      <c r="AK45" s="911"/>
      <c r="AL45" s="949" t="s">
        <v>354</v>
      </c>
      <c r="AM45" s="911"/>
      <c r="AW45" s="230">
        <v>4303</v>
      </c>
      <c r="AX45" s="231">
        <v>0.61268733723400004</v>
      </c>
      <c r="AY45" s="233"/>
      <c r="AZ45" s="233"/>
      <c r="BA45" s="233"/>
      <c r="BB45" s="233"/>
      <c r="BC45" s="233" t="s">
        <v>292</v>
      </c>
      <c r="BE45" s="52">
        <v>1</v>
      </c>
      <c r="BF45" s="53" t="s">
        <v>276</v>
      </c>
      <c r="BG45" s="36" t="e">
        <f>IF(AND(MAX($AF$80:$AM$80)&lt;1,ISNUMBER($AF$38), ISNUMBER($AG$38)),IF(AND($AF$38&gt;0,$AG$38&gt;0),3,IF(AND($AF$38&lt;0,IF(-$AF$38&lt;$CA$19,$AP$84,$AP$87)&lt;0),4,IF(AND(IF(-$AG$38&lt;$AX$19,$AO$84,$AO$85)&lt;0,$AG$38&lt;0),2,""))),"")</f>
        <v>#VALUE!</v>
      </c>
      <c r="BH45" s="235">
        <v>9</v>
      </c>
      <c r="BI45" s="235">
        <v>4</v>
      </c>
      <c r="BJ45" s="235">
        <v>3</v>
      </c>
      <c r="BK45" s="235">
        <v>10</v>
      </c>
      <c r="BL45" s="235">
        <v>15</v>
      </c>
      <c r="BM45" s="235">
        <v>16</v>
      </c>
      <c r="BN45" s="235">
        <v>17</v>
      </c>
      <c r="BO45" s="235">
        <v>8</v>
      </c>
      <c r="BP45" s="235">
        <v>5</v>
      </c>
      <c r="CA45" s="19"/>
      <c r="CB45" s="19"/>
    </row>
    <row r="46" spans="1:80" ht="12" customHeight="1" x14ac:dyDescent="0.25">
      <c r="A46" s="17" t="s">
        <v>144</v>
      </c>
      <c r="B46" s="27">
        <f>IF(B42="","",IF(OR(B45=1,B45=4),180-(B42+B43/60+B44/3600),180+(B42+B43/60+B44/3600)))</f>
        <v>180.04916666666668</v>
      </c>
      <c r="C46" s="4"/>
      <c r="G46" s="99" t="str">
        <f>IF(ISNUMBER($AJ$58),$B$8,"")</f>
        <v/>
      </c>
      <c r="H46" s="150" t="str">
        <f>IF(AND(G47="",G48=""),"",IF($AJ$58=1,"NE/SW",IF($AJ$58=2,"NW/SW",IF($AJ$58=3,"SW/SW",IF($AJ$58=4,"SE/SW","")))))</f>
        <v/>
      </c>
      <c r="I46" s="154"/>
      <c r="J46" s="153"/>
      <c r="K46" s="153"/>
      <c r="L46" s="13"/>
      <c r="M46" s="14"/>
      <c r="Q46" s="99" t="str">
        <f>IF(ISNUMBER($AL$58),$B$8,"")</f>
        <v/>
      </c>
      <c r="R46" s="150" t="str">
        <f>IF(AND(Q47="",Q48=""),"",IF($AL$58=1,"NE/SE",IF($AL$58=2,"NW/SE",IF($AL$58=3,"SW/SE",IF($AL$58=4,"SE/SE","")))))</f>
        <v/>
      </c>
      <c r="S46" s="154"/>
      <c r="T46" s="153"/>
      <c r="U46" s="155"/>
      <c r="V46" s="22"/>
      <c r="W46" s="34">
        <f>IF(W42="","",IF(OR(W45=1,W45=4),180-(W42+W43/60+W44/3600),180+(W42+W43/60+W44/3600)))</f>
        <v>179.97499999999999</v>
      </c>
      <c r="X46" s="25" t="s">
        <v>144</v>
      </c>
      <c r="Y46" s="25"/>
      <c r="AB46" s="5"/>
      <c r="AC46" s="29"/>
      <c r="AE46" s="53"/>
      <c r="AF46" s="949">
        <v>1</v>
      </c>
      <c r="AG46" s="911"/>
      <c r="AH46" s="949">
        <v>2</v>
      </c>
      <c r="AI46" s="911"/>
      <c r="AJ46" s="949">
        <v>3</v>
      </c>
      <c r="AK46" s="911"/>
      <c r="AL46" s="949">
        <v>4</v>
      </c>
      <c r="AM46" s="911"/>
      <c r="AW46" s="301" t="s">
        <v>77</v>
      </c>
      <c r="AX46" s="302">
        <v>41.250736679799999</v>
      </c>
      <c r="AY46" s="302">
        <v>39.8349774741</v>
      </c>
      <c r="AZ46" s="303">
        <v>37.784069624099999</v>
      </c>
      <c r="BA46" s="233"/>
      <c r="BB46" s="233"/>
      <c r="BC46" s="233" t="s">
        <v>293</v>
      </c>
      <c r="BE46" s="52">
        <v>2</v>
      </c>
      <c r="BF46" s="53" t="s">
        <v>276</v>
      </c>
      <c r="BG46" s="36" t="e">
        <f>IF(AND(MAX($AF$80:$AM$80)&lt;1,ISNUMBER($AH$39), ISNUMBER($AI$39)),IF(AND(IF($AI$39&lt;$BD$19,$AQ$85,$AQ$84)&lt;0,$AI$39&gt;0),2,IF(AND($AH$39&gt;0,$AI$39&lt;0),9,IF(AND($AH$39&lt;0,IF(-$AH$39&lt;$BE$19,$AR$85,$AR$86)&lt;0),8,""))),"")</f>
        <v>#VALUE!</v>
      </c>
      <c r="BH46" s="235">
        <v>10</v>
      </c>
      <c r="BI46" s="235">
        <v>3</v>
      </c>
      <c r="BJ46" s="235">
        <v>2</v>
      </c>
      <c r="BK46" s="235">
        <v>11</v>
      </c>
      <c r="BL46" s="235">
        <v>14</v>
      </c>
      <c r="BM46" s="235">
        <v>15</v>
      </c>
      <c r="BN46" s="235">
        <v>16</v>
      </c>
      <c r="BO46" s="235">
        <v>9</v>
      </c>
      <c r="BP46" s="235">
        <v>4</v>
      </c>
      <c r="CA46" s="19"/>
      <c r="CB46" s="19"/>
    </row>
    <row r="47" spans="1:80" ht="12" customHeight="1" x14ac:dyDescent="0.25">
      <c r="C47" s="4"/>
      <c r="G47" s="151" t="str">
        <f>IF(ISNUMBER($AJ$58),$I$8,"")</f>
        <v/>
      </c>
      <c r="H47" s="152" t="str">
        <f>IF(ISNUMBER($AJ$58),"FSL","")</f>
        <v/>
      </c>
      <c r="I47" s="154"/>
      <c r="J47" s="153"/>
      <c r="K47" s="153"/>
      <c r="L47" s="13"/>
      <c r="M47" s="14"/>
      <c r="Q47" s="151" t="str">
        <f>IF(ISNUMBER($AL$58),$I$8,"")</f>
        <v/>
      </c>
      <c r="R47" s="152" t="str">
        <f>IF(ISNUMBER($AL$58),"FSL","")</f>
        <v/>
      </c>
      <c r="S47" s="154"/>
      <c r="T47" s="153"/>
      <c r="V47" s="22"/>
      <c r="AB47" s="5"/>
      <c r="AF47" s="939" t="s">
        <v>355</v>
      </c>
      <c r="AG47" s="882"/>
      <c r="AH47" s="943" t="s">
        <v>355</v>
      </c>
      <c r="AI47" s="832"/>
      <c r="AJ47" s="939" t="s">
        <v>355</v>
      </c>
      <c r="AK47" s="882"/>
      <c r="AL47" s="939" t="s">
        <v>355</v>
      </c>
      <c r="AM47" s="882"/>
      <c r="AW47" s="309" t="s">
        <v>132</v>
      </c>
      <c r="AX47" s="233">
        <v>111053.9642</v>
      </c>
      <c r="AY47" s="233">
        <v>111020.2282</v>
      </c>
      <c r="AZ47" s="304">
        <v>110986.9886</v>
      </c>
      <c r="BA47" s="233"/>
      <c r="BB47" s="233"/>
      <c r="BC47" s="233" t="s">
        <v>294</v>
      </c>
      <c r="BE47" s="52">
        <v>3</v>
      </c>
      <c r="BF47" s="53" t="s">
        <v>276</v>
      </c>
      <c r="BG47" s="36" t="e">
        <f>IF(AND(MAX($AF$80:$AM$80)&lt;1,ISNUMBER($AJ$40), ISNUMBER($AK$40)),IF(AND($AJ$40&gt;0,IF($AJ$40&lt;$BK$19,$AT$86,$AT$85)&lt;0),8,IF(AND($AJ$40&lt;0,$AK$40&lt;0),7,IF(AND(IF($AK$40&lt;$BN$19,$AS$86,$AS$87)&lt;0,$AK$40&gt;0),6,""))),"")</f>
        <v>#VALUE!</v>
      </c>
      <c r="BH47" s="235">
        <v>11</v>
      </c>
      <c r="BI47" s="235">
        <v>2</v>
      </c>
      <c r="BJ47" s="235">
        <v>1</v>
      </c>
      <c r="BK47" s="235">
        <v>12</v>
      </c>
      <c r="BL47" s="235">
        <v>13</v>
      </c>
      <c r="BM47" s="235">
        <v>14</v>
      </c>
      <c r="BN47" s="235">
        <v>15</v>
      </c>
      <c r="BO47" s="235">
        <v>10</v>
      </c>
      <c r="BP47" s="235">
        <v>3</v>
      </c>
      <c r="CA47" s="19"/>
      <c r="CB47" s="19"/>
    </row>
    <row r="48" spans="1:80" ht="12" customHeight="1" x14ac:dyDescent="0.25">
      <c r="C48" s="4"/>
      <c r="G48" s="91" t="str">
        <f>IF(ISNUMBER($AJ$58),$K$8,"")</f>
        <v/>
      </c>
      <c r="H48" s="90" t="str">
        <f>IF(ISNUMBER($AJ$58),"FWL","")</f>
        <v/>
      </c>
      <c r="I48" s="154"/>
      <c r="J48" s="153"/>
      <c r="K48" s="153"/>
      <c r="L48" s="13"/>
      <c r="M48" s="14"/>
      <c r="Q48" s="91" t="str">
        <f>IF(ISNUMBER($AL$58),$K$8,"")</f>
        <v/>
      </c>
      <c r="R48" s="90" t="str">
        <f>IF(ISNUMBER($AL$58),"FEL","")</f>
        <v/>
      </c>
      <c r="S48" s="154"/>
      <c r="T48" s="153"/>
      <c r="V48" s="22"/>
      <c r="AB48" s="5"/>
      <c r="AF48" s="944" t="str">
        <f>IF(AND(ISNUMBER($I$7),ISNUMBER($K$7),$J$7=1,$L$7=1),IF(AND((-$AO$52+$AP$52*$AW$19/$AX$19)&gt;0,-$AO$52&lt;$CA$19,(-$AP$52+$AO$52*$CB$19/$CA$19)&gt;0,-$AP$52&lt;$AX$19),1,IF(AND((-$AO$53-$AW$19+($AP$53+$AX$19)*$AY$19/$AZ$19)&gt;0,-$AO$53&lt;$CA$19,-$AP$53&gt;$AX$19,-$AP$53&lt;$AY$22),2,IF(AND(-$AO$54&lt;$BZ$22,-$AO$54&gt;$CA$19,-$AP$54&gt;$AX$19,-$AP$54&lt;$AY$22),3,IF(AND(-$AO$55&lt;$BZ$22,-$AO$55&gt;$CA$19,(-$AP$55-$CB$19-(-$AO$55-$CA$19)*$BZ$19/$BY$19)&gt;0,-$AP$55&lt;$AX$19),4,"")))),"")</f>
        <v/>
      </c>
      <c r="AG48" s="911"/>
      <c r="AH48" s="944" t="str">
        <f>IF(AND(ISNUMBER($I$7),ISNUMBER($K$7),$J$7=1,$L$7=2),IF(AND((-$AQ$52+$BC$19+($AR$52-$BD$19)*$BA$19/$BB$19)&gt;0,-$AQ$52&lt;$BE$19,$AR$52&gt;$BD$19,$AR$52&lt;$BC$22),1,IF(AND((-$AQ$53+$AR$53*$BC$19/$BD$19)&gt;0,-$AQ$53&lt;$BE$19,($AR$53-$AQ$53*$BF$19/$BE$19)&gt;0,$AR$53&lt;$BD$19),2,IF(AND(-$AQ$54&gt;$BE$19,-$AQ$54&lt;$BF$22,($AR$54+$BF$19+(-$AQ$54-$BE$19)*$BH$19/$BG$19)&gt;0,$AR$54&lt;$BD$19),3,IF(AND(-$AQ$55&gt;$BE$19,-$AQ$55&lt;$BF$22,$AR$55&gt;$BD$19,$AR$55&lt;$BC$22),4,"")))),"")</f>
        <v/>
      </c>
      <c r="AI48" s="911"/>
      <c r="AJ48" s="944" t="str">
        <f>IF(AND(ISNUMBER($I$7),ISNUMBER($K$7),$J$7=2,$L$7=2),IF(AND($AS$52&gt;$BK$19,$AS$52&lt;$BJ$22,$AT$52&gt;$BN$19,$AT$52&lt;$BO$22),1,IF(AND($AS$53&gt;$BK$19,$AS$53&lt;$BJ$22,($AT$53-$BL$19-($AS$53-$BK$19)*$BJ$19/$BI$19)&gt;0,$AT$53&lt;$BN$19),2,IF(AND(($AS$54-$AT$54*$BM$19/$BN$19)&gt;0,$AS$54&lt;$BK$19,($AT$54-$AS$54*$BL$19/$BK$19)&gt;0,$AT$54&lt;$BN$19),3,IF(AND(($AS$55-$BM$19-($AT$55-$BN$19)*$BO$19/$BP$19)&gt;0,$AS$55&lt;$BK$19,$AT$55&gt;$BN$19,$AT$55&lt;$BO$22),4,"")))),"")</f>
        <v/>
      </c>
      <c r="AK48" s="911"/>
      <c r="AL48" s="944" t="str">
        <f>IF(AND(ISNUMBER($I$7),ISNUMBER($K$7),$J$7=2,$L$7=1),IF(AND($AU$52&gt;$BU$19,$AU$52&lt;$BV$22,(-$AV$52+$BV$19+($AU$52-$BU$19)*$BX$19/$BW$19)&gt;0,-$AV$52&lt;$BT$19),1,IF(AND($AU$53&gt;$BU$19,$AU$53&lt;$BV$22,-$AV$53&gt;$BT$19,-$AV$53&lt;$BS$22),2,IF(AND(($AU$54+$BS$19+(-$AV$54-$BT$19)*$BQ$19/$BR$19)&gt;0,$AU$54&lt;$BU$19,-$AV$54&gt;$BT$19,-$AV$54&lt;$BS$22),3,IF(AND(($AU$55-$AV$55*$BS$19/$BT$19)&gt;0,$AU$55&lt;$BU$19,(-$AV$55+$AU$55*$BV$19/$BU$19)&gt;0,-$AV$55&lt;$BT$19),4,"")))),"")</f>
        <v/>
      </c>
      <c r="AM48" s="911"/>
      <c r="AW48" s="309" t="s">
        <v>136</v>
      </c>
      <c r="AX48" s="233">
        <v>9.67638</v>
      </c>
      <c r="AY48" s="816">
        <v>9.59755</v>
      </c>
      <c r="AZ48" s="304">
        <v>9.4425899999999992</v>
      </c>
      <c r="BA48" s="233"/>
      <c r="BB48" s="233"/>
      <c r="BC48" s="233" t="s">
        <v>295</v>
      </c>
      <c r="BE48" s="756">
        <v>4</v>
      </c>
      <c r="BF48" s="758" t="s">
        <v>276</v>
      </c>
      <c r="BG48" s="120" t="e">
        <f>IF(AND(MAX($AF$80:$AM$80)&lt;1,ISNUMBER($AL$41), ISNUMBER($AM$41)),IF(AND(IF(-$AM$41&lt;$BT$19,$AU$87,$AU$86)&lt;0,$AM$41&lt;0),6,IF(AND($AL$41&lt;0,$AM$41&gt;0),5,IF(AND($AL$41&gt;0,IF($AL$41&lt;$BU$19,$AV$87,$AV$84)&lt;0),4,""))),"")</f>
        <v>#VALUE!</v>
      </c>
      <c r="BH48" s="235">
        <v>12</v>
      </c>
      <c r="BI48" s="235">
        <v>1</v>
      </c>
      <c r="BJ48" s="235">
        <v>6</v>
      </c>
      <c r="BK48" s="235">
        <v>7</v>
      </c>
      <c r="BL48" s="235">
        <v>18</v>
      </c>
      <c r="BM48" s="235">
        <v>13</v>
      </c>
      <c r="BN48" s="235">
        <v>14</v>
      </c>
      <c r="BO48" s="235">
        <v>11</v>
      </c>
      <c r="BP48" s="235">
        <v>2</v>
      </c>
      <c r="CA48" s="19"/>
      <c r="CB48" s="19"/>
    </row>
    <row r="49" spans="1:80" ht="12" customHeight="1" x14ac:dyDescent="0.25">
      <c r="A49" s="17" t="s">
        <v>118</v>
      </c>
      <c r="B49" s="162"/>
      <c r="C49" s="4"/>
      <c r="G49" s="99" t="str">
        <f>IF(ISNUMBER($AJ$69),$B$9,"")</f>
        <v/>
      </c>
      <c r="H49" s="150" t="str">
        <f>IF(AND(G50="",G51=""),"",IF($AJ$69=1,"NE/SW",IF($AJ$69=2,"NW/SW",IF($AJ$69=3,"SW/SW",IF($AJ$69=4,"SE/SW","")))))</f>
        <v/>
      </c>
      <c r="I49" s="154"/>
      <c r="J49" s="153"/>
      <c r="K49" s="153"/>
      <c r="L49" s="13"/>
      <c r="M49" s="14"/>
      <c r="Q49" s="99" t="str">
        <f>IF(ISNUMBER($AL$69),$B$9,"")</f>
        <v/>
      </c>
      <c r="R49" s="150" t="str">
        <f>IF(AND(Q50="",Q51=""),"",IF($AL$69=1,"NE/SE",IF($AL$69=2,"NW/SE",IF($AL$69=3,"SW/SE",IF($AL$69=4,"SE/SE","")))))</f>
        <v/>
      </c>
      <c r="S49" s="154"/>
      <c r="T49" s="153"/>
      <c r="U49" s="5"/>
      <c r="V49" s="22"/>
      <c r="W49" s="110"/>
      <c r="X49" s="25" t="s">
        <v>118</v>
      </c>
      <c r="Y49" s="25"/>
      <c r="AB49" s="5"/>
      <c r="AF49" s="87"/>
      <c r="AG49" s="88"/>
      <c r="AH49" s="89"/>
      <c r="AI49" s="89"/>
      <c r="AJ49" s="87"/>
      <c r="AK49" s="88"/>
      <c r="AL49" s="87"/>
      <c r="AM49" s="88"/>
      <c r="AW49" s="309" t="s">
        <v>141</v>
      </c>
      <c r="AX49" s="233">
        <v>5.6332899999999997</v>
      </c>
      <c r="AY49" s="233">
        <v>5.6369400000000001</v>
      </c>
      <c r="AZ49" s="304">
        <v>5.6411800000000003</v>
      </c>
      <c r="BA49" s="233"/>
      <c r="BB49" s="233"/>
      <c r="BC49" s="233" t="s">
        <v>296</v>
      </c>
      <c r="BH49" s="235">
        <v>13</v>
      </c>
      <c r="BI49" s="235">
        <v>12</v>
      </c>
      <c r="BJ49" s="235">
        <v>7</v>
      </c>
      <c r="BK49" s="235">
        <v>18</v>
      </c>
      <c r="BL49" s="235">
        <v>19</v>
      </c>
      <c r="BM49" s="235">
        <v>24</v>
      </c>
      <c r="BN49" s="235">
        <v>23</v>
      </c>
      <c r="BO49" s="235">
        <v>14</v>
      </c>
      <c r="BP49" s="235">
        <v>11</v>
      </c>
      <c r="CA49" s="19"/>
      <c r="CB49" s="19"/>
    </row>
    <row r="50" spans="1:80" ht="12" customHeight="1" x14ac:dyDescent="0.25">
      <c r="A50" s="17" t="s">
        <v>124</v>
      </c>
      <c r="B50" s="147"/>
      <c r="C50" s="4"/>
      <c r="G50" s="151" t="str">
        <f>IF(ISNUMBER($AJ$69),$I$9,"")</f>
        <v/>
      </c>
      <c r="H50" s="152" t="str">
        <f>IF(ISNUMBER($AJ$69),"FSL","")</f>
        <v/>
      </c>
      <c r="I50" s="154"/>
      <c r="J50" s="153"/>
      <c r="K50" s="153"/>
      <c r="L50" s="13"/>
      <c r="M50" s="14"/>
      <c r="Q50" s="151" t="str">
        <f>IF(ISNUMBER($AL$69),$I$9,"")</f>
        <v/>
      </c>
      <c r="R50" s="152" t="str">
        <f>IF(ISNUMBER($AL$69),"FSL","")</f>
        <v/>
      </c>
      <c r="S50" s="154"/>
      <c r="T50" s="153"/>
      <c r="U50" s="5"/>
      <c r="V50" s="22"/>
      <c r="W50" s="111"/>
      <c r="X50" s="25" t="s">
        <v>124</v>
      </c>
      <c r="Y50" s="25"/>
      <c r="AB50" s="5"/>
      <c r="AF50" s="939" t="s">
        <v>356</v>
      </c>
      <c r="AG50" s="882"/>
      <c r="AH50" s="943" t="s">
        <v>357</v>
      </c>
      <c r="AI50" s="832"/>
      <c r="AJ50" s="939" t="s">
        <v>358</v>
      </c>
      <c r="AK50" s="882"/>
      <c r="AL50" s="939" t="s">
        <v>359</v>
      </c>
      <c r="AM50" s="882"/>
      <c r="AW50" s="309" t="s">
        <v>145</v>
      </c>
      <c r="AX50" s="233">
        <v>2.1794999999999998E-2</v>
      </c>
      <c r="AY50" s="233">
        <v>2.0324999999999999E-2</v>
      </c>
      <c r="AZ50" s="304">
        <v>1.8991000000000001E-2</v>
      </c>
      <c r="BA50" s="233"/>
      <c r="BB50" s="233"/>
      <c r="BC50" s="233" t="s">
        <v>297</v>
      </c>
      <c r="BE50" s="39" t="s">
        <v>360</v>
      </c>
      <c r="BF50" s="41" t="e">
        <f>IF(MAX($AF$58:$AM$58)&gt;0,$N$7,VLOOKUP($N$7,$BH$37:$BP$72,MAX($BG$37:$BG$40),FALSE))</f>
        <v>#VALUE!</v>
      </c>
      <c r="BH50" s="235">
        <v>14</v>
      </c>
      <c r="BI50" s="235">
        <v>11</v>
      </c>
      <c r="BJ50" s="235">
        <v>12</v>
      </c>
      <c r="BK50" s="235">
        <v>13</v>
      </c>
      <c r="BL50" s="235">
        <v>24</v>
      </c>
      <c r="BM50" s="235">
        <v>23</v>
      </c>
      <c r="BN50" s="235">
        <v>22</v>
      </c>
      <c r="BO50" s="235">
        <v>15</v>
      </c>
      <c r="BP50" s="235">
        <v>10</v>
      </c>
      <c r="CA50" s="19"/>
      <c r="CB50" s="19"/>
    </row>
    <row r="51" spans="1:80" ht="12" customHeight="1" x14ac:dyDescent="0.25">
      <c r="A51" s="17" t="s">
        <v>130</v>
      </c>
      <c r="B51" s="147"/>
      <c r="C51" s="4"/>
      <c r="G51" s="91" t="str">
        <f>IF(ISNUMBER($AJ$69),$K$9,"")</f>
        <v/>
      </c>
      <c r="H51" s="90" t="str">
        <f>IF(ISNUMBER($AJ$69),"FWL","")</f>
        <v/>
      </c>
      <c r="I51" s="154"/>
      <c r="J51" s="153"/>
      <c r="K51" s="153"/>
      <c r="L51" s="13"/>
      <c r="M51" s="14"/>
      <c r="Q51" s="91" t="str">
        <f>IF(ISNUMBER($AL$69),$K$9,"")</f>
        <v/>
      </c>
      <c r="R51" s="90" t="str">
        <f>IF(ISNUMBER($AL$69),"FEL","")</f>
        <v/>
      </c>
      <c r="S51" s="154"/>
      <c r="T51" s="153"/>
      <c r="U51" s="5"/>
      <c r="V51" s="22"/>
      <c r="W51" s="111"/>
      <c r="X51" s="25" t="s">
        <v>130</v>
      </c>
      <c r="Y51" s="25"/>
      <c r="AB51" s="5"/>
      <c r="AC51" s="29"/>
      <c r="AD51" s="29"/>
      <c r="AE51" s="757" t="s">
        <v>226</v>
      </c>
      <c r="AF51" s="30" t="s">
        <v>113</v>
      </c>
      <c r="AG51" s="30" t="s">
        <v>114</v>
      </c>
      <c r="AH51" s="761" t="s">
        <v>113</v>
      </c>
      <c r="AI51" s="760" t="s">
        <v>114</v>
      </c>
      <c r="AJ51" s="30" t="s">
        <v>113</v>
      </c>
      <c r="AK51" s="30" t="s">
        <v>114</v>
      </c>
      <c r="AL51" s="30" t="s">
        <v>113</v>
      </c>
      <c r="AM51" s="30" t="s">
        <v>114</v>
      </c>
      <c r="AO51" s="19" t="s">
        <v>361</v>
      </c>
      <c r="AW51" s="309" t="s">
        <v>162</v>
      </c>
      <c r="AX51" s="233">
        <v>0.99995684104100002</v>
      </c>
      <c r="AY51" s="233">
        <v>0.99989882076500003</v>
      </c>
      <c r="AZ51" s="304">
        <v>0.99995129707800001</v>
      </c>
      <c r="BA51" s="233"/>
      <c r="BB51" s="233"/>
      <c r="BC51" s="233" t="s">
        <v>298</v>
      </c>
      <c r="BE51" s="37"/>
      <c r="BF51" s="36" t="e">
        <f>IF(MAX('BHL Section 1'!$AF$58:$AM$58)&gt;0,'BHL Section 1'!$L$38,VLOOKUP('BHL Section 1'!$L$38,$BH$37:$BP$72,MAX('BHL Section 1'!$BG$37:$BG$40),FALSE))</f>
        <v>#VALUE!</v>
      </c>
      <c r="BH51" s="235">
        <v>15</v>
      </c>
      <c r="BI51" s="235">
        <v>10</v>
      </c>
      <c r="BJ51" s="235">
        <v>11</v>
      </c>
      <c r="BK51" s="235">
        <v>14</v>
      </c>
      <c r="BL51" s="235">
        <v>23</v>
      </c>
      <c r="BM51" s="235">
        <v>22</v>
      </c>
      <c r="BN51" s="235">
        <v>21</v>
      </c>
      <c r="BO51" s="235">
        <v>16</v>
      </c>
      <c r="BP51" s="235">
        <v>9</v>
      </c>
      <c r="CA51" s="19"/>
      <c r="CB51" s="19"/>
    </row>
    <row r="52" spans="1:80" ht="12" customHeight="1" x14ac:dyDescent="0.25">
      <c r="A52" s="17" t="s">
        <v>134</v>
      </c>
      <c r="B52" s="147"/>
      <c r="C52" s="4"/>
      <c r="G52" s="99" t="str">
        <f>IF(ISNUMBER($AJ$80),$B$10,"")</f>
        <v/>
      </c>
      <c r="H52" s="150" t="str">
        <f>IF(AND(G53="",G54=""),"",IF($AJ$80=1,"NE/SW",IF($AJ$80=2,"NW/SW",IF($AJ$80=3,"SW/SW",IF($AJ$80=4,"SE/SW","")))))</f>
        <v/>
      </c>
      <c r="I52" s="154"/>
      <c r="J52" s="153"/>
      <c r="K52" s="153"/>
      <c r="L52" s="13"/>
      <c r="M52" s="14"/>
      <c r="P52" s="19"/>
      <c r="Q52" s="99" t="str">
        <f>IF(ISNUMBER($AL$80),$B$10,"")</f>
        <v/>
      </c>
      <c r="R52" s="150" t="str">
        <f>IF(AND(Q53="",Q54=""),"",IF($AL$80=1,"NE/SE",IF($AL$80=2,"NW/SE",IF($AL$80=3,"SW/SE",IF($AL$80=4,"SE/SE","")))))</f>
        <v/>
      </c>
      <c r="S52" s="154"/>
      <c r="T52" s="153"/>
      <c r="U52" s="5"/>
      <c r="V52" s="22"/>
      <c r="W52" s="111"/>
      <c r="X52" s="25" t="s">
        <v>134</v>
      </c>
      <c r="Y52" s="25"/>
      <c r="AB52" s="5"/>
      <c r="AC52" s="5"/>
      <c r="AE52" s="53">
        <v>1</v>
      </c>
      <c r="AF52" s="49" t="str">
        <f>IF($AE52=AF$48,-($Q$28/$AW$28+$Q$29/$CA$28*$AW$19/$AX$19)/(1-$AW$19/$AX$19*$CB$19/$CA$19),"")</f>
        <v/>
      </c>
      <c r="AG52" s="48" t="str">
        <f>IF($AE52=AF$48,-($Q$29/$CA$28+$Q$28/$AW$28*$CB$19/$CA$19)/(1-$AW$19/$AX$19*$CB$19/$CA$19),"")</f>
        <v/>
      </c>
      <c r="AH52" s="44" t="str">
        <f>IF($AE52=AH$48,-($G$28/$BA$28-$BC$19-($G$29/$BE$28-$BD$19)*$BA$19/$BB$19)/(1-$BA$19/$BB$19*$BF$19/$BE$19),"")</f>
        <v/>
      </c>
      <c r="AI52" s="44" t="str">
        <f>IF($AE52=AH$48,($G$29/$BE$28-$BD$19-($G$28/$BA$28-$BC$19)*$BF$19/$BE$19)/(1-$BA$19/$BB$19*$BF$19/$BE$19)+$BD$19,"")</f>
        <v/>
      </c>
      <c r="AJ52" s="49" t="str">
        <f>IF($AE52=AJ$48,($G$44/$BO$28-$BK$19+$BM$19+($G$45/$BI$28-$BN$19+$BL$19)*$BO$19/$BP$19)/(1-$BJ$19/$BI$19*$BO$19/$BP$19)+$BK$19,"")</f>
        <v/>
      </c>
      <c r="AK52" s="48" t="str">
        <f>IF($AE52=AJ$48,($G$45/$BI$28-$BN$19+$BL$19+($G$44/$BO$28-$BK$19+$BM$19)*$BJ$19/$BI$19)/(1-$BJ$19/$BI$19*$BO$19/$BP$19)+$BN$19,"")</f>
        <v/>
      </c>
      <c r="AL52" s="49" t="str">
        <f>IF($AE52=AL$48,($Q$44/$BS$28-$BU$19-($Q$45/$BW$28-$BV$19)*$BS$19/$BT$19)/(1-$BX$19/$BW$19*$BS$19/$BT$19)+$BU$19,"")</f>
        <v/>
      </c>
      <c r="AM52" s="48" t="str">
        <f>IF($AE52=AL$48,-($Q$45/$BW$28-$BV$19-($Q$44/$BS$28-$BU$19)*$BX$19/$BW$19)/(1-$BX$19/$BW$19*$BS$19/$BT$19),"")</f>
        <v/>
      </c>
      <c r="AO52" s="159" t="str">
        <f>IF(AND(ISNUMBER($I$7),ISNUMBER($K$7),$J$7=1,$L$7=1),-($Q$28/$AW$28+$Q$29/$CA$28*$AW$19/$AX$19)/(1-$AW$19/$AX$19*$CB$19/$CA$19),"")</f>
        <v/>
      </c>
      <c r="AP52" s="160" t="str">
        <f>IF(AND(ISNUMBER($I$7),ISNUMBER($K$7),$J$7=1,$L$7=1),-($Q$29/$CA$28+$Q$28/$AW$28*$CB$19/$CA$19)/(1-$AW$19/$AX$19*$CB$19/$CA$19),"")</f>
        <v/>
      </c>
      <c r="AQ52" s="159" t="str">
        <f>IF(AND(ISNUMBER($I$7),ISNUMBER($K$7),$J$7=1,$L$7=2),-($G$28/$BA$28-$BC$19-($G$29/$BE$28-$BD$19)*$BA$19/$BB$19)/(1-$BA$19/$BB$19*$BF$19/$BE$19),"")</f>
        <v/>
      </c>
      <c r="AR52" s="160" t="str">
        <f>IF(AND(ISNUMBER($I$7),ISNUMBER($K$7),$J$7=1,$L$7=2),($G$29/$BE$28-$BD$19-($G$28/$BA$28-$BC$19)*$BF$19/$BE$19)/(1-$BA$19/$BB$19*$BF$19/$BE$19)+$BD$19,"")</f>
        <v/>
      </c>
      <c r="AS52" s="159">
        <f>IF(AND(ISNUMBER($I$7),ISNUMBER($K$7),$J$7=2,$L$7=2),($G$44/$BO$28-$BK$19+$BM$19+($G$45/$BI$28-$BN$19+$BL$19)*$BO$19/$BP$19)/(1-$BJ$19/$BI$19*$BO$19/$BP$19)+$BK$19,"")</f>
        <v>2.3959434915695965E-2</v>
      </c>
      <c r="AT52" s="160">
        <f>IF(AND(ISNUMBER($I$7),ISNUMBER($K$7),$J$7=2,$L$7=2),($G$45/$BI$28-$BN$19+$BL$19+($G$44/$BO$28-$BK$19+$BM$19)*$BJ$19/$BI$19)/(1-$BJ$19/$BI$19*$BO$19/$BP$19)+$BN$19,"")</f>
        <v>2.0560080656650825E-5</v>
      </c>
      <c r="AU52" s="159" t="str">
        <f>IF(AND(ISNUMBER($I$7),ISNUMBER($K$7),$J$7=2,$L$7=1),($Q$44/$BS$28-$BU$19-($Q$45/$BW$28-$BV$19)*$BS$19/$BT$19)/(1-$BX$19/$BW$19*$BS$19/$BT$19)+$BU$19,"")</f>
        <v/>
      </c>
      <c r="AV52" s="160" t="str">
        <f>IF(AND(ISNUMBER($I$7),ISNUMBER($K$7),$J$7=2,$L$7=1),-($Q$45/$BW$28-$BV$19-($Q$44/$BS$28-$BU$19)*$BX$19/$BW$19)/(1-$BX$19/$BW$19*$BS$19/$BT$19),"")</f>
        <v/>
      </c>
      <c r="AW52" s="309" t="s">
        <v>165</v>
      </c>
      <c r="AX52" s="305">
        <v>1.23032E-14</v>
      </c>
      <c r="AY52" s="305">
        <v>1.2308700000000001E-14</v>
      </c>
      <c r="AZ52" s="306">
        <v>1.2313E-14</v>
      </c>
      <c r="BA52" s="233"/>
      <c r="BB52" s="233"/>
      <c r="BC52" s="233" t="s">
        <v>299</v>
      </c>
      <c r="BE52" s="37"/>
      <c r="BF52" s="36" t="e">
        <f>IF(MAX('BHL Section 2'!$AF$58:$AM$58)&gt;0,'BHL Section 2'!$L$38,VLOOKUP('BHL Section 2'!$L$38,$BH$37:$BP$72,MAX('BHL Section 2'!$BG$37:$BG$40),FALSE))</f>
        <v>#VALUE!</v>
      </c>
      <c r="BH52" s="235">
        <v>16</v>
      </c>
      <c r="BI52" s="235">
        <v>9</v>
      </c>
      <c r="BJ52" s="235">
        <v>10</v>
      </c>
      <c r="BK52" s="235">
        <v>15</v>
      </c>
      <c r="BL52" s="235">
        <v>22</v>
      </c>
      <c r="BM52" s="235">
        <v>21</v>
      </c>
      <c r="BN52" s="235">
        <v>20</v>
      </c>
      <c r="BO52" s="235">
        <v>17</v>
      </c>
      <c r="BP52" s="235">
        <v>8</v>
      </c>
      <c r="CA52" s="19"/>
      <c r="CB52" s="19"/>
    </row>
    <row r="53" spans="1:80" ht="12" customHeight="1" thickBot="1" x14ac:dyDescent="0.3">
      <c r="A53" s="17" t="s">
        <v>140</v>
      </c>
      <c r="B53" s="112">
        <v>4</v>
      </c>
      <c r="C53" s="4"/>
      <c r="G53" s="151" t="str">
        <f>IF(ISNUMBER($AJ$80),$I$10,"")</f>
        <v/>
      </c>
      <c r="H53" s="152" t="str">
        <f>IF(ISNUMBER($AJ$80),"FSL","")</f>
        <v/>
      </c>
      <c r="I53" s="154"/>
      <c r="J53" s="153"/>
      <c r="K53" s="153"/>
      <c r="L53" s="13"/>
      <c r="M53" s="14"/>
      <c r="P53" s="19"/>
      <c r="Q53" s="151" t="str">
        <f>IF(ISNUMBER($AL$80),$I$10,"")</f>
        <v/>
      </c>
      <c r="R53" s="152" t="str">
        <f>IF(ISNUMBER($AL$80),"FSL","")</f>
        <v/>
      </c>
      <c r="S53" s="154"/>
      <c r="T53" s="153"/>
      <c r="U53" s="5"/>
      <c r="V53" s="22"/>
      <c r="W53" s="112">
        <v>1</v>
      </c>
      <c r="X53" s="25" t="s">
        <v>140</v>
      </c>
      <c r="Y53" s="25"/>
      <c r="AB53" s="5"/>
      <c r="AC53" s="5"/>
      <c r="AE53" s="53">
        <v>2</v>
      </c>
      <c r="AF53" s="49" t="str">
        <f>IF($AE53=AF$48,-($Q$28/$AY$28+$AW$19+($Q$29/$CA$28-$AX$19)*$AY$19/$AZ$19)/(1-$AY$19/$AZ$19*$CB$19/$CA$19),"")</f>
        <v/>
      </c>
      <c r="AG53" s="48" t="str">
        <f>IF($AE53=AF$48,-($Q$29/$CA$28-$AX$19+($Q$28/$AY$28+$AW$19)*$CB$19/$CA$19)/(1-$AY$19/$AZ$19*$CB$19/$CA$19)-$AX$19,"")</f>
        <v/>
      </c>
      <c r="AH53" s="44" t="str">
        <f>IF($AE53=AH$48,-($G$28/$BC$28-$G$29/$BE$28*$BC$19/$BD$19)/(1-$BF$19/$BE$19*$BC$19/$BD$19),"")</f>
        <v/>
      </c>
      <c r="AI53" s="44" t="str">
        <f>IF($AE53=AH$48,($G$29/$BE$28-$G$28/$BC$28*$BF$19/$BE$19)/(1-$BF$19/$BE$19*$BC$19/$BD$19),"")</f>
        <v/>
      </c>
      <c r="AJ53" s="49" t="str">
        <f>IF($AE53=AJ$48,($G$44/$BM$28-$BK$19+($G$45/$BI$28+$BL$19)*$BM$19/$BN$19)/(1-$BJ$19/$BI$19*$BM$19/$BN$19)+$BK$19,"")</f>
        <v/>
      </c>
      <c r="AK53" s="48" t="str">
        <f>IF($AE53=AJ$48,($G$45/$BI$28+$BL$19+($G$44/$BM$28-$BK$19)*$BJ$19/$BI$19)/(1-$BJ$19/$BI$19*$BM$19/$BN$19),"")</f>
        <v/>
      </c>
      <c r="AL53" s="49" t="str">
        <f>IF($AE53=AL$48,($Q$44/$BQ$28-$BU19-$BS$19-($Q$45/$BW$28-$BT$19-$BV$19)*$BQ$19/$BR$19)/(1-$BX$19/$BW$19*$BQ$19/$BR$19)+$BU$19,"")</f>
        <v/>
      </c>
      <c r="AM53" s="48" t="str">
        <f>IF($AE53=AL$48,-($Q$45/$BW$28-$BT$19-$BV$19-($Q$44/$BQ$28-$BU$19-$BS$19)*$BX$19/$BW$19)/(1-$BX$19/$BW$19*$BQ$19/$BR$19)-$BT$19,"")</f>
        <v/>
      </c>
      <c r="AO53" s="49" t="str">
        <f>IF(AND(ISNUMBER($I$7),ISNUMBER($K$7),$J$7=1,$L$7=1),-($Q$28/$AY$28+$AW$19+($Q$29/$CA$28-$AX$19)*$AY$19/$AZ$19)/(1-$AY$19/$AZ$19*$CB$19/$CA$19),"")</f>
        <v/>
      </c>
      <c r="AP53" s="48" t="str">
        <f>IF(AND(ISNUMBER($I$7),ISNUMBER($K$7),$J$7=1,$L$7=1),-($Q$29/$CA$28-$AX$19+($Q$28/$AY$28+$AW$19)*$CB$19/$CA$19)/(1-$AY$19/$AZ$19*$CB$19/$CA$19)-$AX$19,"")</f>
        <v/>
      </c>
      <c r="AQ53" s="49" t="str">
        <f>IF(AND(ISNUMBER($I$7),ISNUMBER($K$7),$J$7=1,$L$7=2),-($G$28/$BC$28-$G$29/$BE$28*$BC$19/$BD$19)/(1-$BF$19/$BE$19*$BC$19/$BD$19),"")</f>
        <v/>
      </c>
      <c r="AR53" s="48" t="str">
        <f>IF(AND(ISNUMBER($I$7),ISNUMBER($K$7),$J$7=1,$L$7=2),($G$29/$BE$28-$G$28/$BC$28*$BF$19/$BE$19)/(1-$BF$19/$BE$19*$BC$19/$BD$19),"")</f>
        <v/>
      </c>
      <c r="AS53" s="49">
        <f>IF(AND(ISNUMBER($I$7),ISNUMBER($K$7),$J$7=2,$L$7=2),($G$44/$BM$28-$BK$19+($G$45/$BI$28+$BL$19)*$BM$19/$BN$19)/(1-$BJ$19/$BI$19*$BM$19/$BN$19)+$BK$19,"")</f>
        <v>0</v>
      </c>
      <c r="AT53" s="48">
        <f>IF(AND(ISNUMBER($I$7),ISNUMBER($K$7),$J$7=2,$L$7=2),($G$45/$BI$28+$BL$19+($G$44/$BM$28-$BK$19)*$BJ$19/$BI$19)/(1-$BJ$19/$BI$19*$BM$19/$BN$19),"")</f>
        <v>0</v>
      </c>
      <c r="AU53" s="49" t="str">
        <f>IF(AND(ISNUMBER($I$7),ISNUMBER($K$7),$J$7=2,$L$7=1),($Q$44/$BQ$28-$BU19-$BS$19-($Q$45/$BW$28-$BT$19-$BV$19)*$BQ$19/$BR$19)/(1-$BX$19/$BW$19*$BQ$19/$BR$19)+$BU$19,"")</f>
        <v/>
      </c>
      <c r="AV53" s="48" t="str">
        <f>IF(AND(ISNUMBER($I$7),ISNUMBER($K$7),$J$7=2,$L$7=1),-($Q$45/$BW$28-$BT$19-$BV$19-($Q$44/$BQ$28-$BU$19-$BS$19)*$BX$19/$BW$19)/(1-$BX$19/$BW$19*$BQ$19/$BR$19)-$BT$19,"")</f>
        <v/>
      </c>
      <c r="AW53" s="310" t="s">
        <v>166</v>
      </c>
      <c r="AX53" s="307">
        <v>5.5600000000000002E-22</v>
      </c>
      <c r="AY53" s="307">
        <v>5.26E-22</v>
      </c>
      <c r="AZ53" s="308">
        <v>4.8900000000000001E-22</v>
      </c>
      <c r="BA53" s="233"/>
      <c r="BB53" s="233"/>
      <c r="BC53" s="233"/>
      <c r="BE53" s="39" t="s">
        <v>362</v>
      </c>
      <c r="BF53" s="41" t="e">
        <f>IF(MAX($AF$69:$AM$69)&gt;0,$N$7,VLOOKUP($N$7,$BH$37:$BP$72,MAX($BG$41:$BG$44),FALSE))</f>
        <v>#VALUE!</v>
      </c>
      <c r="BH53" s="235">
        <v>17</v>
      </c>
      <c r="BI53" s="235">
        <v>8</v>
      </c>
      <c r="BJ53" s="235">
        <v>9</v>
      </c>
      <c r="BK53" s="235">
        <v>16</v>
      </c>
      <c r="BL53" s="235">
        <v>21</v>
      </c>
      <c r="BM53" s="235">
        <v>20</v>
      </c>
      <c r="BN53" s="235">
        <v>19</v>
      </c>
      <c r="BO53" s="235">
        <v>18</v>
      </c>
      <c r="BP53" s="235">
        <v>7</v>
      </c>
      <c r="CA53" s="19"/>
      <c r="CB53" s="19"/>
    </row>
    <row r="54" spans="1:80" ht="12" customHeight="1" x14ac:dyDescent="0.25">
      <c r="A54" s="17" t="s">
        <v>144</v>
      </c>
      <c r="B54" s="27" t="str">
        <f>IF(B50="","",IF(OR(B53=1,B53=4),180-(B50+B51/60+B52/3600),180+(B50+B51/60+B52/3600)))</f>
        <v/>
      </c>
      <c r="C54" s="4"/>
      <c r="F54" s="815"/>
      <c r="G54" s="91" t="str">
        <f>IF(ISNUMBER($AJ$80),$K$10,"")</f>
        <v/>
      </c>
      <c r="H54" s="90" t="str">
        <f>IF(ISNUMBER($AJ$80),"FWL","")</f>
        <v/>
      </c>
      <c r="I54" s="154"/>
      <c r="J54" s="153"/>
      <c r="K54" s="153"/>
      <c r="L54" s="13"/>
      <c r="M54" s="14"/>
      <c r="P54" s="815"/>
      <c r="Q54" s="91" t="str">
        <f>IF(ISNUMBER($AL$80),$K$10,"")</f>
        <v/>
      </c>
      <c r="R54" s="90" t="str">
        <f>IF(ISNUMBER($AL$80),"FEL","")</f>
        <v/>
      </c>
      <c r="S54" s="154"/>
      <c r="T54" s="153"/>
      <c r="U54" s="5"/>
      <c r="V54" s="22"/>
      <c r="W54" s="34" t="str">
        <f>IF(W50="","",IF(OR(W53=1,W53=4),180-(W50+W51/60+W52/3600),180+(W50+W51/60+W52/3600)))</f>
        <v/>
      </c>
      <c r="X54" s="25" t="s">
        <v>144</v>
      </c>
      <c r="Y54" s="25"/>
      <c r="AB54" s="5"/>
      <c r="AC54" s="5"/>
      <c r="AE54" s="53">
        <v>3</v>
      </c>
      <c r="AF54" s="49" t="str">
        <f>IF($AE54=AF$48,-($Q$28/$AY$28+$AW$19-$CA$19+($Q$29/$BY$28+$CB$19-$AX$19)*$AY$19/$AZ$19)/(1-$AY$19/$AZ$19*$BZ$19/$BY$19)-$CA$19,"")</f>
        <v/>
      </c>
      <c r="AG54" s="48" t="str">
        <f>IF($AE54=AF$48,-($Q$29/$BY$28+$CB$19-$AX$19+($Q$28/$AY$28+$AW$19-$CA$19)*$BZ$19/$BY$19)/(1-$AY$19/$AZ$19*$BZ$19/$BY$19)-$AX$19,"")</f>
        <v/>
      </c>
      <c r="AH54" s="44" t="str">
        <f>IF($AE54=AH$48,-($G$28/$BC$28-$BE$19-($G$29/$BG$28-$BF$19)*$BC$19/$BD$19)/(1-$BH$19/$BG$19*$BC$19/$BD$19)-$BE$19,"")</f>
        <v/>
      </c>
      <c r="AI54" s="44" t="str">
        <f>IF($AE54=AH$48,($G$29/$BG$28-$BF$19-($G$28/$BC$28-$BE$19)*$BH$19/$BG$19)/(1-$BH$19/$BG$19*$BC$19/$BD$19),"")</f>
        <v/>
      </c>
      <c r="AJ54" s="49" t="str">
        <f>IF($AE54=AJ$48,($G$44/$BM$28+$G$45/$BK$28*$BM$19/$BN$19)/(1-$BL$19/$BK$19*$BM$19/$BN$19),"")</f>
        <v/>
      </c>
      <c r="AK54" s="48" t="str">
        <f>IF($AE54=AJ$48,($G$45/$BK$28+$G$44/$BM$28*$BL$19/$BK$19)/(1-$BL$19/$BK$19*$BM$19/$BN$19),"")</f>
        <v/>
      </c>
      <c r="AL54" s="49" t="str">
        <f>IF($AE54=AL$48,($Q$44/$BQ$28-$BS$19-($Q$45/$BU$28-$BT$19)*$BQ$19/$BR$19)/(1-$BV$19/$BU$19*$BQ$19/$BR$19),"")</f>
        <v/>
      </c>
      <c r="AM54" s="48" t="str">
        <f>IF($AE54=AL$48,-($Q$45/$BU$28-$BT$19-($Q$44/$BQ$28-$BS$19)*$BV$19/$BU$19)/(1-$BV$19/$BU$19*$BQ$19/$BR$19)-$BT$19,"")</f>
        <v/>
      </c>
      <c r="AO54" s="49" t="str">
        <f>IF(AND(ISNUMBER($I$7),ISNUMBER($K$7),$J$7=1,$L$7=1),-($Q$28/$AY$28+$AW$19-$CA$19+($Q$29/$BY$28+$CB$19-$AX$19)*$AY$19/$AZ$19)/(1-$AY$19/$AZ$19*$BZ$19/$BY$19)-$CA$19,"")</f>
        <v/>
      </c>
      <c r="AP54" s="48" t="str">
        <f>IF(AND(ISNUMBER($I$7),ISNUMBER($K$7),$J$7=1,$L$7=1),-($Q$29/$BY$28+$CB$19-$AX$19+($Q$28/$AY$28+$AW$19-$CA$19)*$BZ$19/$BY$19)/(1-$AY$19/$AZ$19*$BZ$19/$BY$19)-$AX$19,"")</f>
        <v/>
      </c>
      <c r="AQ54" s="49" t="str">
        <f>IF(AND(ISNUMBER($I$7),ISNUMBER($K$7),$J$7=1,$L$7=2),-($G$28/$BC$28-$BE$19-($G$29/$BG$28-$BF$19)*$BC$19/$BD$19)/(1-$BH$19/$BG$19*$BC$19/$BD$19)-$BE$19,"")</f>
        <v/>
      </c>
      <c r="AR54" s="48" t="str">
        <f>IF(AND(ISNUMBER($I$7),ISNUMBER($K$7),$J$7=1,$L$7=2),($G$29/$BG$28-$BF$19-($G$28/$BC$28-$BE$19)*$BH$19/$BG$19)/(1-$BH$19/$BG$19*$BC$19/$BD$19),"")</f>
        <v/>
      </c>
      <c r="AS54" s="49">
        <f>IF(AND(ISNUMBER($I$7),ISNUMBER($K$7),$J$7=2,$L$7=2),($G$44/$BM$28+$G$45/$BK$28*$BM$19/$BN$19)/(1-$BL$19/$BK$19*$BM$19/$BN$19),"")</f>
        <v>0</v>
      </c>
      <c r="AT54" s="48">
        <f>IF(AND(ISNUMBER($I$7),ISNUMBER($K$7),$J$7=2,$L$7=2),($G$45/$BK$28+$G$44/$BM$28*$BL$19/$BK$19)/(1-$BL$19/$BK$19*$BM$19/$BN$19),"")</f>
        <v>0</v>
      </c>
      <c r="AU54" s="49" t="str">
        <f>IF(AND(ISNUMBER($I$7),ISNUMBER($K$7),$J$7=2,$L$7=1),($Q$44/$BQ$28-$BS$19-($Q$45/$BU$28-$BT$19)*$BQ$19/$BR$19)/(1-$BV$19/$BU$19*$BQ$19/$BR$19),"")</f>
        <v/>
      </c>
      <c r="AV54" s="48" t="str">
        <f>IF(AND(ISNUMBER($I$7),ISNUMBER($K$7),$J$7=2,$L$7=1),-($Q$45/$BU$28-$BT$19-($Q$44/$BQ$28-$BS$19)*$BV$19/$BU$19)/(1-$BV$19/$BU$19*$BQ$19/$BR$19)-$BT$19,"")</f>
        <v/>
      </c>
      <c r="AW54" s="323"/>
      <c r="AX54" s="302"/>
      <c r="AY54" s="324" t="s">
        <v>169</v>
      </c>
      <c r="AZ54" s="325">
        <v>6378137</v>
      </c>
      <c r="BA54" s="233"/>
      <c r="BB54" s="233"/>
      <c r="BC54" s="233"/>
      <c r="BE54" s="37"/>
      <c r="BF54" s="36" t="e">
        <f>IF(MAX('BHL Section 1'!$AF$69:$AM$69)&gt;0,'BHL Section 1'!$L$38,VLOOKUP('BHL Section 1'!$L$38,$BH$37:$BP$72,MAX('BHL Section 1'!$BG$41:$BG$44),FALSE))</f>
        <v>#VALUE!</v>
      </c>
      <c r="BH54" s="235">
        <v>18</v>
      </c>
      <c r="BI54" s="235">
        <v>7</v>
      </c>
      <c r="BJ54" s="235">
        <v>8</v>
      </c>
      <c r="BK54" s="235">
        <v>17</v>
      </c>
      <c r="BL54" s="235">
        <v>20</v>
      </c>
      <c r="BM54" s="235">
        <v>19</v>
      </c>
      <c r="BN54" s="235">
        <v>24</v>
      </c>
      <c r="BO54" s="235">
        <v>13</v>
      </c>
      <c r="BP54" s="235">
        <v>12</v>
      </c>
      <c r="CA54" s="19"/>
      <c r="CB54" s="19"/>
    </row>
    <row r="55" spans="1:80" ht="12" customHeight="1" thickBot="1" x14ac:dyDescent="0.3">
      <c r="C55" s="6"/>
      <c r="D55" s="2"/>
      <c r="E55" s="2"/>
      <c r="F55" s="2"/>
      <c r="G55" s="2"/>
      <c r="H55" s="2"/>
      <c r="I55" s="2"/>
      <c r="J55" s="2"/>
      <c r="K55" s="2"/>
      <c r="L55" s="15"/>
      <c r="M55" s="16"/>
      <c r="N55" s="2"/>
      <c r="O55" s="2"/>
      <c r="P55" s="2"/>
      <c r="Q55" s="2"/>
      <c r="R55" s="2"/>
      <c r="S55" s="2"/>
      <c r="T55" s="2"/>
      <c r="U55" s="2"/>
      <c r="V55" s="23"/>
      <c r="AB55" s="5"/>
      <c r="AC55" s="5"/>
      <c r="AE55" s="53">
        <v>4</v>
      </c>
      <c r="AF55" s="49" t="str">
        <f>IF($AE55=AF$48,-($Q$28/$AW$28-$CA$19+($Q$29/$BY$28+$CB$19)*$AW$19/$AX$19)/(1-$AW$19/$AX$19*$BZ$19/$BY$19)-$CA$19,"")</f>
        <v/>
      </c>
      <c r="AG55" s="48" t="str">
        <f>IF($AE55=AF$48,-($Q$29/$BY$28+$CB$19+($Q$28/$AW$28-$CA$19)*$BZ$19/$BY$19)/(1-$AW$19/$AX$19*$BZ$19/$BY$19),"")</f>
        <v/>
      </c>
      <c r="AH55" s="44" t="str">
        <f>IF($AE55=AH$48,-($G$28/$BA$28-$BE$19-$BC$19-($G$29/$BG$28-$BD$19-$BF$19)*$BA$19/$BB$19)/(1-$BA$19/$BB$19*$BH$19/$BG$19)-$BE$19,"")</f>
        <v/>
      </c>
      <c r="AI55" s="44" t="str">
        <f>IF($AE55=AH$48,($G$29/$BG$28-$BD$19-$BF$19-($G$28/$BA$28-$BE$19-$BC$19)*$BH$19/$BG$19)/(1-$BA$19/$BB$19*$BH$19/$BG$19)+$BD$19,"")</f>
        <v/>
      </c>
      <c r="AJ55" s="49" t="str">
        <f>IF($AE55=AJ$48,($G$44/$BO$28+$BM$19+($G$45/$BK$28-$BN$19)*$BO$19/$BP$19)/(1-$BL$19/$BK$19*$BO$19/$BP$19),"")</f>
        <v/>
      </c>
      <c r="AK55" s="48" t="str">
        <f>IF($AE55=AJ$48,($G$45/$BK$28-$BN$19+($G$44/$BO$28+$BM$19)*$BL$19/$BK$19)/(1-$BL$19/$BK$19*$BO$19/$BP$19)+$BN$19,"")</f>
        <v/>
      </c>
      <c r="AL55" s="49" t="str">
        <f>IF($AE55=AL$48,($Q$44/$BS$28-$Q$45/$BU$28*$BS$19/$BT$19)/(1-$BV$19/$BU$19*$BS$19/$BT$19),"")</f>
        <v/>
      </c>
      <c r="AM55" s="48" t="str">
        <f>IF($AE55=AL$48,-($Q$45/$BU$28-$Q$44/$BS$28*$BV$19/$BU$19)/(1-$BV$19/$BU$19*$BS$19/$BT$19),"")</f>
        <v/>
      </c>
      <c r="AO55" s="83" t="str">
        <f>IF(AND(ISNUMBER($I$7),ISNUMBER($K$7),$J$7=1,$L$7=1),-($Q$28/$AW$28-$CA$19+($Q$29/$BY$28+$CB$19)*$AW$19/$AX$19)/(1-$AW$19/$AX$19*$BZ$19/$BY$19)-$CA$19,"")</f>
        <v/>
      </c>
      <c r="AP55" s="84" t="str">
        <f>IF(AND(ISNUMBER($I$7),ISNUMBER($K$7),$J$7=1,$L$7=1),-($Q$29/$BY$28+$CB$19+($Q$28/$AW$28-$CA$19)*$BZ$19/$BY$19)/(1-$AW$19/$AX$19*$BZ$19/$BY$19),"")</f>
        <v/>
      </c>
      <c r="AQ55" s="83" t="str">
        <f>IF(AND(ISNUMBER($I$7),ISNUMBER($K$7),$J$7=1,$L$7=2),-($G$28/$BA$28-$BE$19-$BC$19-($G$29/$BG$28-$BD$19-$BF$19)*$BA$19/$BB$19)/(1-$BA$19/$BB$19*$BH$19/$BG$19)-$BE$19,"")</f>
        <v/>
      </c>
      <c r="AR55" s="84" t="str">
        <f>IF(AND(ISNUMBER($I$7),ISNUMBER($K$7),$J$7=1,$L$7=2),($G$29/$BG$28-$BD$19-$BF$19-($G$28/$BA$28-$BE$19-$BC$19)*$BH$19/$BG$19)/(1-$BA$19/$BB$19*$BH$19/$BG$19)+$BD$19,"")</f>
        <v/>
      </c>
      <c r="AS55" s="83">
        <f>IF(AND(ISNUMBER($I$7),ISNUMBER($K$7),$J$7=2,$L$7=2),($G$44/$BO$28+$BM$19+($G$45/$BK$28-$BN$19)*$BO$19/$BP$19)/(1-$BL$19/$BK$19*$BO$19/$BP$19),"")</f>
        <v>2.3959434915559547E-2</v>
      </c>
      <c r="AT55" s="84">
        <f>IF(AND(ISNUMBER($I$7),ISNUMBER($K$7),$J$7=2,$L$7=2),($G$45/$BK$28-$BN$19+($G$44/$BO$28+$BM$19)*$BL$19/$BK$19)/(1-$BL$19/$BK$19*$BO$19/$BP$19)+$BN$19,"")</f>
        <v>2.0560080656650825E-5</v>
      </c>
      <c r="AU55" s="83" t="str">
        <f>IF(AND(ISNUMBER($I$7),ISNUMBER($K$7),$J$7=2,$L$7=1),($Q$44/$BS$28-$Q$45/$BU$28*$BS$19/$BT$19)/(1-$BV$19/$BU$19*$BS$19/$BT$19),"")</f>
        <v/>
      </c>
      <c r="AV55" s="84" t="str">
        <f>IF(AND(ISNUMBER($I$7),ISNUMBER($K$7),$J$7=2,$L$7=1),-($Q$45/$BU$28-$Q$44/$BS$28*$BV$19/$BU$19)/(1-$BV$19/$BU$19*$BS$19/$BT$19),"")</f>
        <v/>
      </c>
      <c r="AW55" s="326"/>
      <c r="AX55" s="322" t="s">
        <v>363</v>
      </c>
      <c r="AY55" s="319" t="s">
        <v>171</v>
      </c>
      <c r="AZ55" s="327">
        <f>AZ54-AZ54*AZ56</f>
        <v>6356752.3141403561</v>
      </c>
      <c r="BA55" s="233"/>
      <c r="BB55" s="233"/>
      <c r="BC55" s="233"/>
      <c r="BE55" s="121"/>
      <c r="BF55" s="120" t="e">
        <f>IF(MAX('BHL Section 2'!$AF$69:$AM$69)&gt;0,'BHL Section 2'!$L$38,VLOOKUP('BHL Section 2'!$L$38,$BH$37:$BP$72,MAX('BHL Section 2'!$BG$41:$BG$44),FALSE))</f>
        <v>#VALUE!</v>
      </c>
      <c r="BH55" s="235">
        <v>19</v>
      </c>
      <c r="BI55" s="235">
        <v>18</v>
      </c>
      <c r="BJ55" s="235">
        <v>17</v>
      </c>
      <c r="BK55" s="235">
        <v>20</v>
      </c>
      <c r="BL55" s="235">
        <v>29</v>
      </c>
      <c r="BM55" s="235">
        <v>30</v>
      </c>
      <c r="BN55" s="235">
        <v>25</v>
      </c>
      <c r="BO55" s="235">
        <v>24</v>
      </c>
      <c r="BP55" s="235">
        <v>13</v>
      </c>
      <c r="CA55" s="19"/>
      <c r="CB55" s="19"/>
    </row>
    <row r="56" spans="1:80" x14ac:dyDescent="0.25">
      <c r="B56" s="955" t="str">
        <f>CONCATENATE("SW SC of ",$L$38)</f>
        <v>SW SC of 0</v>
      </c>
      <c r="C56" s="904"/>
      <c r="D56" s="17" t="s">
        <v>118</v>
      </c>
      <c r="E56" s="218">
        <v>1235.48</v>
      </c>
      <c r="J56" s="17" t="s">
        <v>118</v>
      </c>
      <c r="K56" s="217">
        <f>3963.2/3</f>
        <v>1321.0666666666666</v>
      </c>
      <c r="L56" s="942" t="str">
        <f>CONCATENATE("S QC of ",$L$38)</f>
        <v>S QC of 0</v>
      </c>
      <c r="M56" s="844"/>
      <c r="N56" s="17" t="s">
        <v>118</v>
      </c>
      <c r="O56" s="218">
        <f>3963.2*2/3</f>
        <v>2642.1333333333332</v>
      </c>
      <c r="T56" s="17" t="s">
        <v>118</v>
      </c>
      <c r="U56" s="162"/>
      <c r="V56" s="960" t="str">
        <f>CONCATENATE("SE SC of ",$L$38)</f>
        <v>SE SC of 0</v>
      </c>
      <c r="W56" s="904"/>
      <c r="AB56" s="5"/>
      <c r="AC56" s="5"/>
      <c r="AF56" s="87"/>
      <c r="AG56" s="88"/>
      <c r="AH56" s="89"/>
      <c r="AI56" s="89"/>
      <c r="AJ56" s="87"/>
      <c r="AK56" s="88"/>
      <c r="AL56" s="87"/>
      <c r="AM56" s="88"/>
      <c r="AW56" s="309" t="s">
        <v>364</v>
      </c>
      <c r="AX56" s="320">
        <v>111</v>
      </c>
      <c r="AY56" s="319" t="s">
        <v>174</v>
      </c>
      <c r="AZ56" s="304">
        <f>1/298.257222101</f>
        <v>3.3528106811823188E-3</v>
      </c>
      <c r="BA56" s="233"/>
      <c r="BB56" s="233"/>
      <c r="BC56" s="233"/>
      <c r="BE56" s="39" t="s">
        <v>365</v>
      </c>
      <c r="BF56" s="41" t="e">
        <f>IF(MAX($AF$80:$AM$80)&gt;0,$N$7,VLOOKUP($N$7,$BH$37:$BP$72,MAX($BG$45:$BG$48),FALSE))</f>
        <v>#VALUE!</v>
      </c>
      <c r="BH56" s="235">
        <v>20</v>
      </c>
      <c r="BI56" s="235">
        <v>17</v>
      </c>
      <c r="BJ56" s="235">
        <v>16</v>
      </c>
      <c r="BK56" s="235">
        <v>21</v>
      </c>
      <c r="BL56" s="235">
        <v>28</v>
      </c>
      <c r="BM56" s="235">
        <v>29</v>
      </c>
      <c r="BN56" s="235">
        <v>30</v>
      </c>
      <c r="BO56" s="235">
        <v>19</v>
      </c>
      <c r="BP56" s="235">
        <v>18</v>
      </c>
      <c r="CA56" s="19"/>
      <c r="CB56" s="19"/>
    </row>
    <row r="57" spans="1:80" ht="12" customHeight="1" x14ac:dyDescent="0.25">
      <c r="D57" s="17" t="s">
        <v>124</v>
      </c>
      <c r="E57" s="147">
        <v>89</v>
      </c>
      <c r="F57" s="20"/>
      <c r="G57" s="20"/>
      <c r="H57" s="20"/>
      <c r="I57" s="20"/>
      <c r="J57" s="17" t="s">
        <v>124</v>
      </c>
      <c r="K57" s="148">
        <v>89</v>
      </c>
      <c r="N57" s="17" t="s">
        <v>124</v>
      </c>
      <c r="O57" s="147">
        <v>89</v>
      </c>
      <c r="P57" s="20"/>
      <c r="Q57" s="20"/>
      <c r="R57" s="20"/>
      <c r="S57" s="20"/>
      <c r="T57" s="17" t="s">
        <v>124</v>
      </c>
      <c r="U57" s="147"/>
      <c r="AB57" s="5"/>
      <c r="AC57" s="5"/>
      <c r="AF57" s="939" t="s">
        <v>366</v>
      </c>
      <c r="AG57" s="882"/>
      <c r="AH57" s="943" t="s">
        <v>366</v>
      </c>
      <c r="AI57" s="832"/>
      <c r="AJ57" s="939" t="s">
        <v>366</v>
      </c>
      <c r="AK57" s="882"/>
      <c r="AL57" s="939" t="s">
        <v>366</v>
      </c>
      <c r="AM57" s="882"/>
      <c r="AW57" s="309" t="s">
        <v>207</v>
      </c>
      <c r="AX57" s="233">
        <v>500000</v>
      </c>
      <c r="AY57" s="319" t="s">
        <v>176</v>
      </c>
      <c r="AZ57" s="817">
        <f>1/AZ56</f>
        <v>298.25722210100002</v>
      </c>
      <c r="BA57" s="233"/>
      <c r="BB57" s="233"/>
      <c r="BC57" s="233"/>
      <c r="BE57" s="37"/>
      <c r="BF57" s="36" t="e">
        <f>IF(MAX('BHL Section 1'!$AF$80:$AM$80)&gt;0,'BHL Section 1'!$L$38,VLOOKUP('BHL Section 1'!$L$38,$BH$37:$BP$72,MAX('BHL Section 1'!$BG$45:$BG$48),FALSE))</f>
        <v>#VALUE!</v>
      </c>
      <c r="BH57" s="235">
        <v>21</v>
      </c>
      <c r="BI57" s="235">
        <v>16</v>
      </c>
      <c r="BJ57" s="235">
        <v>15</v>
      </c>
      <c r="BK57" s="235">
        <v>22</v>
      </c>
      <c r="BL57" s="235">
        <v>27</v>
      </c>
      <c r="BM57" s="235">
        <v>28</v>
      </c>
      <c r="BN57" s="235">
        <v>29</v>
      </c>
      <c r="BO57" s="235">
        <v>20</v>
      </c>
      <c r="BP57" s="235">
        <v>17</v>
      </c>
      <c r="CA57" s="19"/>
      <c r="CB57" s="19"/>
    </row>
    <row r="58" spans="1:80" ht="12" customHeight="1" x14ac:dyDescent="0.25">
      <c r="D58" s="17" t="s">
        <v>130</v>
      </c>
      <c r="E58" s="147">
        <v>44</v>
      </c>
      <c r="J58" s="17" t="s">
        <v>130</v>
      </c>
      <c r="K58" s="148">
        <v>44</v>
      </c>
      <c r="N58" s="17" t="s">
        <v>130</v>
      </c>
      <c r="O58" s="147">
        <v>44</v>
      </c>
      <c r="T58" s="17" t="s">
        <v>130</v>
      </c>
      <c r="U58" s="147"/>
      <c r="AB58" s="5"/>
      <c r="AF58" s="944" t="e">
        <f>IF($AF$26="","",IF(AND((-$AF$26+$AG$26*$AW$19/$AX$19)&gt;0,-$AF$26&lt;$CA$19,(-$AG$26+$AF$26*$CB$19/$CA$19)&gt;0,-$AG$26&lt;$AX$19),1,IF(AND((-$AF$26-$AW$19+($AG$26+$AX$19)*$AY$19/$AZ$19)&gt;0,-$AF$26&lt;$CA$19,-$AG$26&gt;$AX$19,-$AG$26&lt;$AY$22),2,IF(AND(-$AF$26&lt;$BZ$22,-$AF$26&gt;$CA$19,-$AG$26&gt;$AX$19,-$AG$26&lt;$AY$22),3,IF(AND(-$AF$26&lt;$BZ$22,-$AF$26&gt;$CA$19,(-$AG$26-$CB$19-(-$AF$26-$CA$19)*$BZ$19/$BY$19)&gt;0,-$AG$26&lt;$AX$19),4,"")))))</f>
        <v>#VALUE!</v>
      </c>
      <c r="AG58" s="911"/>
      <c r="AH58" s="944" t="e">
        <f>IF($AH$27="","",IF(AND((-$AH$27+$BC$19+($AI$27-$BD$19)*$BA$19/$BB$19)&gt;0,-$AH$27&lt;$BE$19,$AI$27&gt;$BD$19,$AI$27&lt;$BC$22),1,IF(AND((-$AH$27+$AI$27*$BC$19/$BD$19)&gt;0,-$AH$27&lt;$BE$19,($AI$27-$AH$27*$BF$19/$BE$19)&gt;0,$AI$27&lt;$BD$19),2,IF(AND(-$AH$27&gt;$BE$19,-$AH$27&lt;$BF$22,($AI$27+$BF$19+(-$AH$27-$BE$19)*$BH$19/$BG$19)&gt;0,$AI$27&lt;$BD$19),3,IF(AND(-$AH$27&gt;$BE$19,-$AH$27&lt;$BF$22,$AI$27&gt;$BD$19,$AI$27&lt;$BC$22),4,"")))))</f>
        <v>#VALUE!</v>
      </c>
      <c r="AI58" s="911"/>
      <c r="AJ58" s="944" t="e">
        <f>IF($AJ$28="","",IF(AND($AJ$28&gt;$BK$19,$AJ$28&lt;$BJ$22,$AK$28&gt;$BN$19,$AK$28&lt;$BO$22),1,IF(AND($AJ$28&gt;$BK$19,$AJ$28&lt;$BJ$22,($AK$28-$BL$19-($AJ$28-$BK$19)*$BJ$19/$BI$19)&gt;0,$AK$28&lt;$BN$19),2,IF(AND(($AJ$28-$AK$28*$BM$19/$BN$19)&gt;0,$AJ$28&lt;$BK$19,($AK$28-$AJ$28*$BL$19/$BK$19)&gt;0,$AK$28&lt;$BN$19),3,IF(AND(($AJ$28-$BM$19-($AK$28-$BN$19)*$BO$19/$BP$19)&gt;0,$AJ$28&lt;$BK$19,$AK$28&gt;$BN$19,$AK$28&lt;$BO$22),4,"")))))</f>
        <v>#VALUE!</v>
      </c>
      <c r="AK58" s="911"/>
      <c r="AL58" s="944" t="e">
        <f>IF($AL$29="","",IF(AND($AL$29&gt;$BU$19,$AL$29&lt;$BV$22,(-$AM$29+$BV$19+($AL$29-$BU$19)*$BX$19/$BW$19)&gt;0,-$AM$29&lt;$BT$19),1,IF(AND($AL$29&gt;$BU$19,$AL$29&lt;$BV$22,-$AM$29&gt;$BT$19,-$AM$29&lt;$BS$22),2,IF(AND(($AL$29+$BS$19+(-$AM$29-$BT$19)*$BQ$19/$BR$19)&gt;0,$AL$29&lt;$BU$19,-$AM$29&gt;$BT$19,-$AM$29&lt;$BS$22),3,IF(AND(($AL$29-$AM$29*$BS$19/$BT$19)&gt;0,$AL$29&lt;$BU$19,(-$AM$29+$AL$29*$BV$19/$BU$19)&gt;0,-$AM$29&lt;$BT$19),4,"")))))</f>
        <v>#VALUE!</v>
      </c>
      <c r="AM58" s="911"/>
      <c r="AW58" s="309" t="s">
        <v>209</v>
      </c>
      <c r="AX58" s="233">
        <v>0</v>
      </c>
      <c r="AY58" s="319" t="s">
        <v>178</v>
      </c>
      <c r="AZ58" s="304">
        <f>(2*AZ56-AZ56^2)^0.5</f>
        <v>8.1819191042815792E-2</v>
      </c>
      <c r="BA58" s="233"/>
      <c r="BB58" s="233"/>
      <c r="BC58" s="233"/>
      <c r="BE58" s="121"/>
      <c r="BF58" s="120" t="e">
        <f>IF(MAX('BHL Section 2'!$AF$80:$AM$80)&gt;0,'BHL Section 2'!$L$38,VLOOKUP('BHL Section 2'!$L$38,$BH$37:$BP$72,MAX('BHL Section 2'!$BG$45:$BG$48),FALSE))</f>
        <v>#VALUE!</v>
      </c>
      <c r="BH58" s="235">
        <v>22</v>
      </c>
      <c r="BI58" s="235">
        <v>15</v>
      </c>
      <c r="BJ58" s="235">
        <v>14</v>
      </c>
      <c r="BK58" s="235">
        <v>23</v>
      </c>
      <c r="BL58" s="235">
        <v>26</v>
      </c>
      <c r="BM58" s="235">
        <v>27</v>
      </c>
      <c r="BN58" s="235">
        <v>28</v>
      </c>
      <c r="BO58" s="235">
        <v>21</v>
      </c>
      <c r="BP58" s="235">
        <v>16</v>
      </c>
      <c r="CA58" s="19"/>
      <c r="CB58" s="19"/>
    </row>
    <row r="59" spans="1:80" ht="12" customHeight="1" x14ac:dyDescent="0.25">
      <c r="D59" s="17" t="s">
        <v>134</v>
      </c>
      <c r="E59" s="147">
        <v>35</v>
      </c>
      <c r="J59" s="17" t="s">
        <v>134</v>
      </c>
      <c r="K59" s="148">
        <v>39</v>
      </c>
      <c r="N59" s="17" t="s">
        <v>134</v>
      </c>
      <c r="O59" s="147">
        <v>39</v>
      </c>
      <c r="T59" s="17" t="s">
        <v>134</v>
      </c>
      <c r="U59" s="147"/>
      <c r="AB59" s="5"/>
      <c r="AC59" s="5"/>
      <c r="AF59" s="87"/>
      <c r="AG59" s="88"/>
      <c r="AH59" s="89"/>
      <c r="AI59" s="89"/>
      <c r="AJ59" s="87"/>
      <c r="AK59" s="88"/>
      <c r="AL59" s="87"/>
      <c r="AM59" s="88"/>
      <c r="AW59" s="309" t="s">
        <v>211</v>
      </c>
      <c r="AX59" s="233">
        <v>0.99960000000000004</v>
      </c>
      <c r="AY59" s="319" t="s">
        <v>180</v>
      </c>
      <c r="AZ59" s="818">
        <f>AZ58^2</f>
        <v>6.6943800229007878E-3</v>
      </c>
      <c r="BA59" s="233"/>
      <c r="BB59" s="233"/>
      <c r="BC59" s="233"/>
      <c r="BH59" s="235">
        <v>23</v>
      </c>
      <c r="BI59" s="235">
        <v>14</v>
      </c>
      <c r="BJ59" s="235">
        <v>13</v>
      </c>
      <c r="BK59" s="235">
        <v>24</v>
      </c>
      <c r="BL59" s="235">
        <v>25</v>
      </c>
      <c r="BM59" s="235">
        <v>26</v>
      </c>
      <c r="BN59" s="235">
        <v>27</v>
      </c>
      <c r="BO59" s="235">
        <v>22</v>
      </c>
      <c r="BP59" s="235">
        <v>15</v>
      </c>
      <c r="CA59" s="19"/>
      <c r="CB59" s="19"/>
    </row>
    <row r="60" spans="1:80" ht="12" customHeight="1" thickBot="1" x14ac:dyDescent="0.3">
      <c r="D60" s="17" t="s">
        <v>140</v>
      </c>
      <c r="E60" s="112">
        <v>3</v>
      </c>
      <c r="J60" s="17" t="s">
        <v>140</v>
      </c>
      <c r="K60" s="112">
        <v>3</v>
      </c>
      <c r="N60" s="17" t="s">
        <v>140</v>
      </c>
      <c r="O60" s="112">
        <v>3</v>
      </c>
      <c r="T60" s="17" t="s">
        <v>140</v>
      </c>
      <c r="U60" s="112">
        <v>3</v>
      </c>
      <c r="V60" s="116"/>
      <c r="AB60" s="5"/>
      <c r="AC60" s="5"/>
      <c r="AF60" s="939" t="s">
        <v>367</v>
      </c>
      <c r="AG60" s="882"/>
      <c r="AH60" s="939" t="s">
        <v>368</v>
      </c>
      <c r="AI60" s="882"/>
      <c r="AJ60" s="939" t="s">
        <v>369</v>
      </c>
      <c r="AK60" s="882"/>
      <c r="AL60" s="939" t="s">
        <v>370</v>
      </c>
      <c r="AM60" s="882"/>
      <c r="AW60" s="328"/>
      <c r="AX60" s="321"/>
      <c r="AY60" s="819" t="s">
        <v>212</v>
      </c>
      <c r="AZ60" s="304">
        <f>(AZ56*(2-AZ56)/(1-AZ56)^2)</f>
        <v>6.7394967754789573E-3</v>
      </c>
      <c r="BA60" s="233"/>
      <c r="BB60" s="233"/>
      <c r="BC60" s="233"/>
      <c r="BH60" s="235">
        <v>24</v>
      </c>
      <c r="BI60" s="235">
        <v>13</v>
      </c>
      <c r="BJ60" s="235">
        <v>18</v>
      </c>
      <c r="BK60" s="235">
        <v>19</v>
      </c>
      <c r="BL60" s="235">
        <v>30</v>
      </c>
      <c r="BM60" s="235">
        <v>25</v>
      </c>
      <c r="BN60" s="235">
        <v>26</v>
      </c>
      <c r="BO60" s="235">
        <v>23</v>
      </c>
      <c r="BP60" s="235">
        <v>14</v>
      </c>
      <c r="CA60" s="19"/>
      <c r="CB60" s="19"/>
    </row>
    <row r="61" spans="1:80" ht="12" customHeight="1" x14ac:dyDescent="0.25">
      <c r="D61" s="17" t="s">
        <v>144</v>
      </c>
      <c r="E61" s="34">
        <f>IF(E57="","",IF(OR(E60=1,E60=4),180-(E57+E58/60+E59/3600),(E57+E58/60+E59/3600)))</f>
        <v>89.743055555555557</v>
      </c>
      <c r="J61" s="17" t="s">
        <v>144</v>
      </c>
      <c r="K61" s="34">
        <f>IF(K57="","",IF(OR(K60=1,K60=4),180-(K57+K58/60+K59/3600),(K57+K58/60+K59/3600)))</f>
        <v>89.744166666666672</v>
      </c>
      <c r="N61" s="17" t="s">
        <v>144</v>
      </c>
      <c r="O61" s="27">
        <f>IF(O57="","",IF(OR(O60=1,O60=4),180-(O57+O58/60+O59/3600),(O57+O58/60+O59/3600)))</f>
        <v>89.744166666666672</v>
      </c>
      <c r="T61" s="17" t="s">
        <v>144</v>
      </c>
      <c r="U61" s="27" t="str">
        <f>IF(U57="","",IF(OR(U60=1,U60=4),180-(U57+U58/60+U59/3600),(U57+U58/60+U59/3600)))</f>
        <v/>
      </c>
      <c r="AB61" s="5"/>
      <c r="AC61" s="5"/>
      <c r="AE61" s="757" t="s">
        <v>226</v>
      </c>
      <c r="AF61" s="30" t="s">
        <v>181</v>
      </c>
      <c r="AG61" s="30" t="s">
        <v>194</v>
      </c>
      <c r="AH61" s="761" t="s">
        <v>181</v>
      </c>
      <c r="AI61" s="760" t="s">
        <v>201</v>
      </c>
      <c r="AJ61" s="30" t="s">
        <v>186</v>
      </c>
      <c r="AK61" s="30" t="s">
        <v>201</v>
      </c>
      <c r="AL61" s="30" t="s">
        <v>186</v>
      </c>
      <c r="AM61" s="30" t="s">
        <v>194</v>
      </c>
      <c r="AO61" s="19" t="s">
        <v>371</v>
      </c>
      <c r="AX61" s="29"/>
      <c r="AY61" s="329"/>
      <c r="AZ61" s="330">
        <v>1</v>
      </c>
      <c r="BA61" s="330">
        <v>2</v>
      </c>
      <c r="BB61" s="330">
        <v>3</v>
      </c>
      <c r="BC61" s="331">
        <v>4</v>
      </c>
      <c r="BH61" s="235">
        <v>25</v>
      </c>
      <c r="BI61" s="235">
        <v>24</v>
      </c>
      <c r="BJ61" s="235">
        <v>19</v>
      </c>
      <c r="BK61" s="235">
        <v>30</v>
      </c>
      <c r="BL61" s="235">
        <v>31</v>
      </c>
      <c r="BM61" s="235">
        <v>36</v>
      </c>
      <c r="BN61" s="235">
        <v>35</v>
      </c>
      <c r="BO61" s="235">
        <v>26</v>
      </c>
      <c r="BP61" s="235">
        <v>23</v>
      </c>
      <c r="CA61" s="19"/>
      <c r="CB61" s="19"/>
    </row>
    <row r="62" spans="1:80" ht="12" customHeight="1" x14ac:dyDescent="0.25">
      <c r="AB62" s="5"/>
      <c r="AC62" s="5"/>
      <c r="AE62" s="53">
        <v>1</v>
      </c>
      <c r="AF62" s="49" t="e">
        <f>IF($AE62=AF$58,(-$AF$30+$AG$30*$AW$19/$AX$19)*$AW$28,"")</f>
        <v>#VALUE!</v>
      </c>
      <c r="AG62" s="48" t="e">
        <f>IF($AE62=AF$58,(-$AG$30+$AF$30*$CB$19/$CA$19)*$CA$28,"")</f>
        <v>#VALUE!</v>
      </c>
      <c r="AH62" s="49" t="e">
        <f>IF($AE62=AH$58,(-$AH$30+$BC$19+($AI$30-$BD$19)*$BA$19/$BB$19)*$BA$28,"")</f>
        <v>#VALUE!</v>
      </c>
      <c r="AI62" s="48" t="e">
        <f>IF($AE62=AH$58,($AI$30-$AH$30*$BF$19/$BE$19)*$BE$28,"")</f>
        <v>#VALUE!</v>
      </c>
      <c r="AJ62" s="49" t="e">
        <f>IF($AE62=AJ$58,($AJ$30-$BM$19-($AK$30-$BN$19)*$BO$19/$BP$19)*$BO$28,"")</f>
        <v>#VALUE!</v>
      </c>
      <c r="AK62" s="48" t="e">
        <f>IF($AE62=AJ$58,($AK$30-$BL$19-($AJ$30-$BK$19)*$BJ$19/$BI$19)*$BI$28,"")</f>
        <v>#VALUE!</v>
      </c>
      <c r="AL62" s="49" t="e">
        <f>IF($AE62=AL$58,($AL$30-$AM$30*$BS$19/$BT$19)*$BS$28,"")</f>
        <v>#VALUE!</v>
      </c>
      <c r="AM62" s="48" t="e">
        <f>IF($AE62=AL$58,(-$AM$30+$BV$19+($AL$30-$BU$19)*$BX$19/$BW$19)*$BW$28,"")</f>
        <v>#VALUE!</v>
      </c>
      <c r="AO62" s="159" t="e">
        <f>(-$AF$30+$AG$30*$AW$19/$AX$19)</f>
        <v>#VALUE!</v>
      </c>
      <c r="AP62" s="160" t="e">
        <f>(-$AG$30+$AF$30*$CB$19/$CA$19)</f>
        <v>#VALUE!</v>
      </c>
      <c r="AQ62" s="159" t="e">
        <f>(-$AH$30+$BC$19+($AI$30-$BD$19)*$BA$19/$BB$19)</f>
        <v>#VALUE!</v>
      </c>
      <c r="AR62" s="160" t="e">
        <f>($AI$30-$AH$30*$BF$19/$BE$19)</f>
        <v>#VALUE!</v>
      </c>
      <c r="AS62" s="159" t="e">
        <f>($AJ$30-$BM$19-($AK$30-$BN$19)*$BO$19/$BP$19)</f>
        <v>#VALUE!</v>
      </c>
      <c r="AT62" s="160" t="e">
        <f>($AK$30-$BL$19-($AJ$30-$BK$19)*$BJ$19/$BI$19)</f>
        <v>#VALUE!</v>
      </c>
      <c r="AU62" s="159" t="e">
        <f>($AL$30-$AM$30*$BS$19/$BT$19)</f>
        <v>#VALUE!</v>
      </c>
      <c r="AV62" s="160" t="e">
        <f>(-$AM$30+$BV$19+($AL$30-$BU$19)*$BX$19/$BW$19)</f>
        <v>#VALUE!</v>
      </c>
      <c r="AY62" s="332">
        <v>1</v>
      </c>
      <c r="AZ62" s="235" t="s">
        <v>281</v>
      </c>
      <c r="BA62" s="235" t="s">
        <v>288</v>
      </c>
      <c r="BB62" s="235" t="s">
        <v>292</v>
      </c>
      <c r="BC62" s="333" t="s">
        <v>296</v>
      </c>
      <c r="BH62" s="235">
        <v>26</v>
      </c>
      <c r="BI62" s="235">
        <v>23</v>
      </c>
      <c r="BJ62" s="235">
        <v>24</v>
      </c>
      <c r="BK62" s="235">
        <v>25</v>
      </c>
      <c r="BL62" s="235">
        <v>36</v>
      </c>
      <c r="BM62" s="235">
        <v>35</v>
      </c>
      <c r="BN62" s="235">
        <v>34</v>
      </c>
      <c r="BO62" s="235">
        <v>27</v>
      </c>
      <c r="BP62" s="235">
        <v>22</v>
      </c>
      <c r="CA62" s="19"/>
      <c r="CB62" s="19"/>
    </row>
    <row r="63" spans="1:80" ht="12" customHeight="1" x14ac:dyDescent="0.25">
      <c r="AB63" s="5"/>
      <c r="AC63" s="5"/>
      <c r="AE63" s="53">
        <v>2</v>
      </c>
      <c r="AF63" s="49" t="e">
        <f>IF($AE63=AF$58,(-$AF$30-$AW$19+($AG$30+$AX$19)*$AY$19/$AZ$19)*$AY$28,"")</f>
        <v>#VALUE!</v>
      </c>
      <c r="AG63" s="48" t="e">
        <f>IF($AE63=AF$58,(-$AG$30+$AF$30*$CB$19/$CA$19)*$CA$28,"")</f>
        <v>#VALUE!</v>
      </c>
      <c r="AH63" s="49" t="e">
        <f>IF($AE63=AH$58,(-$AH$30+$AI$30*$BC$19/$BD$19)*$BC$28,"")</f>
        <v>#VALUE!</v>
      </c>
      <c r="AI63" s="48" t="e">
        <f>IF($AE63=AH$58,($AI$30-$AH$30*$BF$19/$BE$19)*$BE$28,"")</f>
        <v>#VALUE!</v>
      </c>
      <c r="AJ63" s="49" t="e">
        <f>IF($AE63=AJ$58,($AJ$30-$AK$30*$BM$19/$BN$19)*$BM$28,"")</f>
        <v>#VALUE!</v>
      </c>
      <c r="AK63" s="48" t="e">
        <f>IF($AE63=AJ$58,($AK$30-$BL$19-($AJ$30-$BK$19)*$BJ$19/$BI$19)*$BI$28,"")</f>
        <v>#VALUE!</v>
      </c>
      <c r="AL63" s="49" t="e">
        <f>IF($AE63=AL$58,($AL$30+$BS$19+(-$AM$30-$BT$19)*$BQ$19/$BR$19)*$BQ$28,"")</f>
        <v>#VALUE!</v>
      </c>
      <c r="AM63" s="48" t="e">
        <f>IF($AE63=AL$58,(-$AM$30+$BV$19+($AL$30-$BU$19)*$BX$19/$BW$19)*$BW$28,"")</f>
        <v>#VALUE!</v>
      </c>
      <c r="AO63" s="49" t="e">
        <f>(-$AF$30-$AW$19+($AG$30+$AX$19)*$AY$19/$AZ$19)</f>
        <v>#VALUE!</v>
      </c>
      <c r="AP63" s="48" t="e">
        <f>(-$AG$30+$AF$30*$CB$19/$CA$19)</f>
        <v>#VALUE!</v>
      </c>
      <c r="AQ63" s="49" t="e">
        <f>(-$AH$30+$AI$30*$BC$19/$BD$19)</f>
        <v>#VALUE!</v>
      </c>
      <c r="AR63" s="48" t="e">
        <f>($AI$30-$AH$30*$BF$19/$BE$19)</f>
        <v>#VALUE!</v>
      </c>
      <c r="AS63" s="49" t="e">
        <f>($AJ$30-$AK$30*$BM$19/$BN$19)</f>
        <v>#VALUE!</v>
      </c>
      <c r="AT63" s="48" t="e">
        <f>($AK$30-$BL$19-($AJ$30-$BK$19)*$BJ$19/$BI$19)</f>
        <v>#VALUE!</v>
      </c>
      <c r="AU63" s="49" t="e">
        <f>($AL$30+$BS$19+(-$AM$30-$BT$19)*$BQ$19/$BR$19)</f>
        <v>#VALUE!</v>
      </c>
      <c r="AV63" s="48" t="e">
        <f>(-$AM$30+$BV$19+($AL$30-$BU$19)*$BX$19/$BW$19)</f>
        <v>#VALUE!</v>
      </c>
      <c r="AY63" s="332">
        <v>2</v>
      </c>
      <c r="AZ63" s="235" t="s">
        <v>283</v>
      </c>
      <c r="BA63" s="235" t="s">
        <v>289</v>
      </c>
      <c r="BB63" s="235" t="s">
        <v>293</v>
      </c>
      <c r="BC63" s="333" t="s">
        <v>297</v>
      </c>
      <c r="BH63" s="235">
        <v>27</v>
      </c>
      <c r="BI63" s="235">
        <v>22</v>
      </c>
      <c r="BJ63" s="235">
        <v>23</v>
      </c>
      <c r="BK63" s="235">
        <v>26</v>
      </c>
      <c r="BL63" s="235">
        <v>35</v>
      </c>
      <c r="BM63" s="235">
        <v>34</v>
      </c>
      <c r="BN63" s="235">
        <v>33</v>
      </c>
      <c r="BO63" s="235">
        <v>28</v>
      </c>
      <c r="BP63" s="235">
        <v>21</v>
      </c>
      <c r="CA63" s="19"/>
      <c r="CB63" s="19"/>
    </row>
    <row r="64" spans="1:80" ht="12" customHeight="1" x14ac:dyDescent="0.25">
      <c r="AB64" s="5"/>
      <c r="AC64" s="5"/>
      <c r="AE64" s="53">
        <v>3</v>
      </c>
      <c r="AF64" s="49" t="e">
        <f>IF($AE64=AF$58,(-$AF$30-$AW$19+($AG$30+$AX$19)*$AY$19/$AZ$19)*$AY$28,"")</f>
        <v>#VALUE!</v>
      </c>
      <c r="AG64" s="48" t="e">
        <f>IF($AE64=AF$58,(-$AG$30-$CB$19-(-$AF$30-$CA$19)*$BZ$19/$BY$19)*$BY$28,"")</f>
        <v>#VALUE!</v>
      </c>
      <c r="AH64" s="49" t="e">
        <f>IF($AE64=AH$58,(-$AH$30+$AI$30*$BC$19/$BD$19)*$BC$28,"")</f>
        <v>#VALUE!</v>
      </c>
      <c r="AI64" s="48" t="e">
        <f>IF($AE64=AH$58,($AI$30+$BF$19+(-$AH$30-$BE$19)*$BH$19/$BG$19)*$BG$28,"")</f>
        <v>#VALUE!</v>
      </c>
      <c r="AJ64" s="49" t="e">
        <f>IF($AE64=AJ$58,($AJ$30-$AK$30*$BM$19/$BN$19)*$BM$28,"")</f>
        <v>#VALUE!</v>
      </c>
      <c r="AK64" s="48" t="e">
        <f>IF($AE64=AJ$58,($AK$30-$AJ$30*$BL$19/$BK$19)*$BK$28,"")</f>
        <v>#VALUE!</v>
      </c>
      <c r="AL64" s="49" t="e">
        <f>IF($AE64=AL$58,($AL$30+$BS$19+(-$AM$30-$BT$19)*$BQ$19/$BR$19)*$BQ$28,"")</f>
        <v>#VALUE!</v>
      </c>
      <c r="AM64" s="48" t="e">
        <f>IF($AE64=AL$58,(-$AM$30+$AL$30*$BV$19/$BU$19)*$BU$28,"")</f>
        <v>#VALUE!</v>
      </c>
      <c r="AO64" s="49" t="e">
        <f>(-$AF$30-$AW$19+($AG$30+$AX$19)*$AY$19/$AZ$19)</f>
        <v>#VALUE!</v>
      </c>
      <c r="AP64" s="48" t="e">
        <f>(-$AG$30-$CB$19-(-$AF$30-$CA$19)*$BZ$19/$BY$19)</f>
        <v>#VALUE!</v>
      </c>
      <c r="AQ64" s="49" t="e">
        <f>(-$AH$30+$AI$30*$BC$19/$BD$19)</f>
        <v>#VALUE!</v>
      </c>
      <c r="AR64" s="48" t="e">
        <f>($AI$30+$BF$19+(-$AH$30-$BE$19)*$BH$19/$BG$19)</f>
        <v>#VALUE!</v>
      </c>
      <c r="AS64" s="49" t="e">
        <f>($AJ$30-$AK$30*$BM$19/$BN$19)</f>
        <v>#VALUE!</v>
      </c>
      <c r="AT64" s="48" t="e">
        <f>($AK$30-$AJ$30*$BL$19/$BK$19)</f>
        <v>#VALUE!</v>
      </c>
      <c r="AU64" s="49" t="e">
        <f>($AL$30+$BS$19+(-$AM$30-$BT$19)*$BQ$19/$BR$19)</f>
        <v>#VALUE!</v>
      </c>
      <c r="AV64" s="48" t="e">
        <f>(-$AM$30+$AL$30*$BV$19/$BU$19)</f>
        <v>#VALUE!</v>
      </c>
      <c r="AY64" s="332">
        <v>3</v>
      </c>
      <c r="AZ64" s="235" t="s">
        <v>285</v>
      </c>
      <c r="BA64" s="235" t="s">
        <v>290</v>
      </c>
      <c r="BB64" s="235" t="s">
        <v>294</v>
      </c>
      <c r="BC64" s="333" t="s">
        <v>298</v>
      </c>
      <c r="BH64" s="235">
        <v>28</v>
      </c>
      <c r="BI64" s="235">
        <v>21</v>
      </c>
      <c r="BJ64" s="235">
        <v>22</v>
      </c>
      <c r="BK64" s="235">
        <v>27</v>
      </c>
      <c r="BL64" s="235">
        <v>34</v>
      </c>
      <c r="BM64" s="235">
        <v>33</v>
      </c>
      <c r="BN64" s="235">
        <v>32</v>
      </c>
      <c r="BO64" s="235">
        <v>29</v>
      </c>
      <c r="BP64" s="235">
        <v>20</v>
      </c>
      <c r="CA64" s="19"/>
      <c r="CB64" s="19"/>
    </row>
    <row r="65" spans="28:80" ht="12" customHeight="1" thickBot="1" x14ac:dyDescent="0.3">
      <c r="AB65" s="5"/>
      <c r="AC65" s="5"/>
      <c r="AE65" s="53">
        <v>4</v>
      </c>
      <c r="AF65" s="83" t="e">
        <f>IF($AE65=AF$58,(-$AF$30+$AG$30*$AW$19/$AX$19)*$AW$28,"")</f>
        <v>#VALUE!</v>
      </c>
      <c r="AG65" s="84" t="e">
        <f>IF($AE65=AF$58,(-$AG$30-$CB$19-(-$AF$30-$CA$19)*$BZ$19/$BY$19)*$BY$28,"")</f>
        <v>#VALUE!</v>
      </c>
      <c r="AH65" s="83" t="e">
        <f>IF($AE65=AH$58,(-$AH$30+$BC$19+($AI$30-$BD$19)*$BA$19/$BB$19)*$BA$28,"")</f>
        <v>#VALUE!</v>
      </c>
      <c r="AI65" s="84" t="e">
        <f>IF($AE65=AH$58,($AI$30+$BF$19+(-$AH$30-$BE$19)*$BH$19/$BG$19)*$BG$28,"")</f>
        <v>#VALUE!</v>
      </c>
      <c r="AJ65" s="83" t="e">
        <f>IF($AE65=AJ$58,($AJ$30-$BM$19-($AK$30-$BN$19)*$BO$19/$BP$19)*$BO$28,"")</f>
        <v>#VALUE!</v>
      </c>
      <c r="AK65" s="84" t="e">
        <f>IF($AE65=AJ$58,($AK$30-$AJ$30*$BL$19/$BK$19)*$BK$28,"")</f>
        <v>#VALUE!</v>
      </c>
      <c r="AL65" s="83" t="e">
        <f>IF($AE65=AL$58,($AL$30-$AM$30*$BS$19/$BT$19)*$BS$28,"")</f>
        <v>#VALUE!</v>
      </c>
      <c r="AM65" s="84" t="e">
        <f>IF($AE65=AL$58,(-$AM$30+$AL$30*$BV$19/$BU$19)*$BU$28,"")</f>
        <v>#VALUE!</v>
      </c>
      <c r="AO65" s="83" t="e">
        <f>(-$AF$30+$AG$30*$AW$19/$AX$19)</f>
        <v>#VALUE!</v>
      </c>
      <c r="AP65" s="84" t="e">
        <f>(-$AG$30-$CB$19-(-$AF$30-$CA$19)*$BZ$19/$BY$19)</f>
        <v>#VALUE!</v>
      </c>
      <c r="AQ65" s="83" t="e">
        <f>(-$AH$30+$BC$19+($AI$30-$BD$19)*$BA$19/$BB$19)</f>
        <v>#VALUE!</v>
      </c>
      <c r="AR65" s="84" t="e">
        <f>($AI$30+$BF$19+(-$AH$30-$BE$19)*$BH$19/$BG$19)</f>
        <v>#VALUE!</v>
      </c>
      <c r="AS65" s="83" t="e">
        <f>($AJ$30-$BM$19-($AK$30-$BN$19)*$BO$19/$BP$19)</f>
        <v>#VALUE!</v>
      </c>
      <c r="AT65" s="84" t="e">
        <f>($AK$30-$AJ$30*$BL$19/$BK$19)</f>
        <v>#VALUE!</v>
      </c>
      <c r="AU65" s="83" t="e">
        <f>($AL$30-$AM$30*$BS$19/$BT$19)</f>
        <v>#VALUE!</v>
      </c>
      <c r="AV65" s="84" t="e">
        <f>(-$AM$30+$AL$30*$BV$19/$BU$19)</f>
        <v>#VALUE!</v>
      </c>
      <c r="AY65" s="334">
        <v>4</v>
      </c>
      <c r="AZ65" s="335" t="s">
        <v>287</v>
      </c>
      <c r="BA65" s="335" t="s">
        <v>291</v>
      </c>
      <c r="BB65" s="335" t="s">
        <v>295</v>
      </c>
      <c r="BC65" s="336" t="s">
        <v>299</v>
      </c>
      <c r="BH65" s="235">
        <v>29</v>
      </c>
      <c r="BI65" s="235">
        <v>20</v>
      </c>
      <c r="BJ65" s="235">
        <v>21</v>
      </c>
      <c r="BK65" s="235">
        <v>28</v>
      </c>
      <c r="BL65" s="235">
        <v>33</v>
      </c>
      <c r="BM65" s="235">
        <v>32</v>
      </c>
      <c r="BN65" s="235">
        <v>31</v>
      </c>
      <c r="BO65" s="235">
        <v>30</v>
      </c>
      <c r="BP65" s="235">
        <v>19</v>
      </c>
      <c r="CA65" s="19"/>
      <c r="CB65" s="19"/>
    </row>
    <row r="66" spans="28:80" ht="12" customHeight="1" x14ac:dyDescent="0.25">
      <c r="AB66" s="5"/>
      <c r="AC66" s="5"/>
      <c r="AF66" s="85" t="str">
        <f>IF(ISNUMBER($AF$62),AF$62,IF(ISNUMBER($AF$63),AF$63,IF(ISNUMBER($AF$64),AF$64,IF(ISNUMBER($AF$65),AF$65,""))))</f>
        <v/>
      </c>
      <c r="AG66" s="86" t="str">
        <f>IF(ISNUMBER($AG$62),AG$62,IF(ISNUMBER($AG$63),AG$63,IF(ISNUMBER($AG$64),AG$64,IF(ISNUMBER($AG$65),AG$65,""))))</f>
        <v/>
      </c>
      <c r="AH66" s="85" t="str">
        <f>IF(ISNUMBER($AH$62),AH$62,IF(ISNUMBER($AH$63),AH$63,IF(ISNUMBER($AH$64),AH$64,IF(ISNUMBER($AH$65),AH$65,""))))</f>
        <v/>
      </c>
      <c r="AI66" s="86" t="str">
        <f>IF(ISNUMBER($AI$62),AI$62,IF(ISNUMBER($AI$63),AI$63,IF(ISNUMBER($AI$64),AI$64,IF(ISNUMBER($AI$65),AI$65,""))))</f>
        <v/>
      </c>
      <c r="AJ66" s="85" t="str">
        <f>IF(ISNUMBER($AJ$62),AJ$62,IF(ISNUMBER($AJ$63),AJ$63,IF(ISNUMBER($AJ$64),AJ$64,IF(ISNUMBER($AJ$65),AJ$65,""))))</f>
        <v/>
      </c>
      <c r="AK66" s="86" t="str">
        <f>IF(ISNUMBER($AK$62),AK$62,IF(ISNUMBER($AK$63),AK$63,IF(ISNUMBER($AK$64),AK$64,IF(ISNUMBER($AK$65),AK$65,""))))</f>
        <v/>
      </c>
      <c r="AL66" s="85" t="str">
        <f>IF(ISNUMBER($AL$62),AL$62,IF(ISNUMBER($AL$63),AL$63,IF(ISNUMBER($AL$64),AL$64,IF(ISNUMBER($AL$65),AL$65,""))))</f>
        <v/>
      </c>
      <c r="AM66" s="86" t="str">
        <f>IF(ISNUMBER($AM$62),AM$62,IF(ISNUMBER($AM$63),AM$63,IF(ISNUMBER($AM$64),AM$64,IF(ISNUMBER($AM$65),AM$65,""))))</f>
        <v/>
      </c>
      <c r="AP66" s="44"/>
      <c r="AQ66" s="44"/>
      <c r="AR66" s="44"/>
      <c r="AS66" s="44"/>
      <c r="AT66" s="44"/>
      <c r="AU66" s="44"/>
      <c r="BH66" s="235">
        <v>30</v>
      </c>
      <c r="BI66" s="235">
        <v>19</v>
      </c>
      <c r="BJ66" s="235">
        <v>20</v>
      </c>
      <c r="BK66" s="235">
        <v>29</v>
      </c>
      <c r="BL66" s="235">
        <v>32</v>
      </c>
      <c r="BM66" s="235">
        <v>31</v>
      </c>
      <c r="BN66" s="235">
        <v>36</v>
      </c>
      <c r="BO66" s="235">
        <v>25</v>
      </c>
      <c r="BP66" s="235">
        <v>24</v>
      </c>
      <c r="CA66" s="19"/>
      <c r="CB66" s="19"/>
    </row>
    <row r="67" spans="28:80" ht="12" customHeight="1" x14ac:dyDescent="0.25">
      <c r="AB67" s="5"/>
      <c r="AC67" s="5"/>
      <c r="AF67" s="87"/>
      <c r="AG67" s="88"/>
      <c r="AH67" s="89"/>
      <c r="AI67" s="89"/>
      <c r="AJ67" s="87"/>
      <c r="AK67" s="88"/>
      <c r="AL67" s="87"/>
      <c r="AM67" s="88"/>
      <c r="AP67" s="44"/>
      <c r="AQ67" s="44"/>
      <c r="AR67" s="44"/>
      <c r="AS67" s="44"/>
      <c r="AT67" s="44"/>
      <c r="AU67" s="44"/>
      <c r="BH67" s="235">
        <v>31</v>
      </c>
      <c r="BI67" s="235">
        <v>30</v>
      </c>
      <c r="BJ67" s="235">
        <v>29</v>
      </c>
      <c r="BK67" s="235">
        <v>32</v>
      </c>
      <c r="BL67" s="235">
        <v>5</v>
      </c>
      <c r="BM67" s="235">
        <v>6</v>
      </c>
      <c r="BN67" s="235">
        <v>1</v>
      </c>
      <c r="BO67" s="235">
        <v>36</v>
      </c>
      <c r="BP67" s="235">
        <v>25</v>
      </c>
      <c r="CA67" s="19"/>
      <c r="CB67" s="19"/>
    </row>
    <row r="68" spans="28:80" ht="12" customHeight="1" x14ac:dyDescent="0.25">
      <c r="AB68" s="5"/>
      <c r="AC68" s="5"/>
      <c r="AF68" s="939" t="s">
        <v>372</v>
      </c>
      <c r="AG68" s="882"/>
      <c r="AH68" s="943" t="s">
        <v>372</v>
      </c>
      <c r="AI68" s="832"/>
      <c r="AJ68" s="939" t="s">
        <v>372</v>
      </c>
      <c r="AK68" s="882"/>
      <c r="AL68" s="939" t="s">
        <v>372</v>
      </c>
      <c r="AM68" s="882"/>
      <c r="AP68" s="44"/>
      <c r="AQ68" s="44"/>
      <c r="AR68" s="44"/>
      <c r="AS68" s="44"/>
      <c r="AT68" s="44"/>
      <c r="AU68" s="44"/>
      <c r="BH68" s="235">
        <v>32</v>
      </c>
      <c r="BI68" s="235">
        <v>29</v>
      </c>
      <c r="BJ68" s="235">
        <v>28</v>
      </c>
      <c r="BK68" s="235">
        <v>33</v>
      </c>
      <c r="BL68" s="235">
        <v>4</v>
      </c>
      <c r="BM68" s="235">
        <v>5</v>
      </c>
      <c r="BN68" s="235">
        <v>6</v>
      </c>
      <c r="BO68" s="235">
        <v>31</v>
      </c>
      <c r="BP68" s="235">
        <v>30</v>
      </c>
      <c r="CA68" s="19"/>
      <c r="CB68" s="19"/>
    </row>
    <row r="69" spans="28:80" ht="12" customHeight="1" x14ac:dyDescent="0.25">
      <c r="AB69" s="5"/>
      <c r="AF69" s="944" t="e">
        <f>IF($AF$32="","",IF(AND((-$AF$32+$AG$32*$AW$19/$AX$19)&gt;0,-$AF$32&lt;$CA$19,(-$AG$32+$AF$32*$CB$19/$CA$19)&gt;0,-$AG$32&lt;$AX$19),1,IF(AND((-$AF$32-$AW$19+($AG$32+$AX$19)*$AY$19/$AZ$19)&gt;0,-$AF$32&lt;$CA$19,-$AG$32&gt;$AX$19,-$AG$32&lt;$AY$22),2,IF(AND(-$AF$32&lt;$BZ$22,-$AF$32&gt;$CA$19,-$AG$32&gt;$AX$19,-$AG$32&lt;$AY$22),3,IF(AND(-$AF$32&lt;$BZ$22,-$AF$32&gt;$CA$19,(-$AG$32-$CB$19-(-$AF$32-$CA$19)*$BZ$19/$BY$19)&gt;0,-$AG$32&lt;$AX$19),4,"")))))</f>
        <v>#VALUE!</v>
      </c>
      <c r="AG69" s="911"/>
      <c r="AH69" s="944" t="e">
        <f>IF($AH$33="","",IF(AND((-$AH$33+$BC$19+($AI$33-$BD$19)*$BA$19/$BB$19)&gt;0,-$AH$33&lt;$BE$19,$AI$33&gt;$BD$19,$AI$33&lt;$BC$22),1,IF(AND((-$AH$33+$AI$33*$BC$19/$BD$19)&gt;0,-$AH$33&lt;$BE$19,($AI$33-$AH$33*$BF$19/$BE$19)&gt;0,$AI$33&lt;$BD$19),2,IF(AND(-$AH$33&gt;$BE$19,-$AH$33&lt;$BF$22,($AI$33+$BF$19+(-$AH$33-$BE$19)*$BH$19/$BG$19)&gt;0,$AI$33&lt;$BD$19),3,IF(AND(-$AH$33&gt;$BE$19,-$AH$33&lt;$BF$22,$AI$33&gt;$BD$19,$AI$33&lt;$BC$22),4,"")))))</f>
        <v>#VALUE!</v>
      </c>
      <c r="AI69" s="911"/>
      <c r="AJ69" s="944" t="e">
        <f>IF($AJ$34="","",IF(AND($AJ$34&gt;$BK$19,$AJ$34&lt;$BJ$22,$AK$34&gt;$BN$19,$AK$34&lt;$BO$22),1,IF(AND($AJ$34&gt;$BK$19,$AJ$34&lt;$BJ$22,($AK$34-$BL$19-($AJ$34-$BK$19)*$BJ$19/$BI$19)&gt;0,$AK$34&lt;$BN$19),2,IF(AND(($AJ$34-$AK$34*$BM$19/$BN$19)&gt;0,$AJ$34&lt;$BK$19,($AK$34-$AJ$34*$BL$19/$BK$19)&gt;0,$AK$34&lt;$BN$19),3,IF(AND(($AJ$34-$BM$19-($AK$34-$BN$19)*$BO$19/$BP$19)&gt;0,$AJ$34&lt;$BK$19,$AK$34&gt;$BN$19,$AK$34&lt;$BO$22),4,"")))))</f>
        <v>#VALUE!</v>
      </c>
      <c r="AK69" s="911"/>
      <c r="AL69" s="944" t="e">
        <f>IF($AL$35="","",IF(AND($AL$35&gt;$BU$19,$AL$35&lt;$BV$22,(-$AM$35+$BV$19+($AL$35-$BU$19)*$BX$19/$BW$19)&gt;0,-$AM$35&lt;$BT$19),1,IF(AND($AL$35&gt;$BU$19,$AL$35&lt;$BV$22,-$AM$35&gt;$BT$19,-$AM$35&lt;$BS$22),2,IF(AND(($AL$35+$BS$19+(-$AM$35-$BT$19)*$BQ$19/$BR$19)&gt;0,$AL$35&lt;$BU$19,-$AM$35&gt;$BT$19,-$AM$35&lt;$BS$22),3,IF(AND(($AL$35-$AM$35*$BS$19/$BT$19)&gt;0,$AL$35&lt;$BU$19,(-$AM$35+$AL$35*$BV$19/$BU$19)&gt;0,-$AM$35&lt;$BT$19),4,"")))))</f>
        <v>#VALUE!</v>
      </c>
      <c r="AM69" s="911"/>
      <c r="BH69" s="235">
        <v>33</v>
      </c>
      <c r="BI69" s="235">
        <v>28</v>
      </c>
      <c r="BJ69" s="235">
        <v>27</v>
      </c>
      <c r="BK69" s="235">
        <v>34</v>
      </c>
      <c r="BL69" s="235">
        <v>3</v>
      </c>
      <c r="BM69" s="235">
        <v>4</v>
      </c>
      <c r="BN69" s="235">
        <v>5</v>
      </c>
      <c r="BO69" s="235">
        <v>32</v>
      </c>
      <c r="BP69" s="235">
        <v>29</v>
      </c>
      <c r="CA69" s="19"/>
      <c r="CB69" s="19"/>
    </row>
    <row r="70" spans="28:80" ht="12" customHeight="1" x14ac:dyDescent="0.25">
      <c r="AB70" s="5"/>
      <c r="AC70" s="5"/>
      <c r="AF70" s="87"/>
      <c r="AG70" s="88"/>
      <c r="AH70" s="89"/>
      <c r="AI70" s="89"/>
      <c r="AJ70" s="87"/>
      <c r="AK70" s="88"/>
      <c r="AL70" s="87"/>
      <c r="AM70" s="88"/>
      <c r="BH70" s="235">
        <v>34</v>
      </c>
      <c r="BI70" s="235">
        <v>27</v>
      </c>
      <c r="BJ70" s="235">
        <v>26</v>
      </c>
      <c r="BK70" s="235">
        <v>35</v>
      </c>
      <c r="BL70" s="235">
        <v>2</v>
      </c>
      <c r="BM70" s="235">
        <v>3</v>
      </c>
      <c r="BN70" s="235">
        <v>4</v>
      </c>
      <c r="BO70" s="235">
        <v>33</v>
      </c>
      <c r="BP70" s="235">
        <v>28</v>
      </c>
      <c r="CA70" s="19"/>
      <c r="CB70" s="19"/>
    </row>
    <row r="71" spans="28:80" ht="12" customHeight="1" x14ac:dyDescent="0.25">
      <c r="AB71" s="5"/>
      <c r="AC71" s="5"/>
      <c r="AF71" s="939" t="s">
        <v>373</v>
      </c>
      <c r="AG71" s="882"/>
      <c r="AH71" s="939" t="s">
        <v>374</v>
      </c>
      <c r="AI71" s="882"/>
      <c r="AJ71" s="939" t="s">
        <v>375</v>
      </c>
      <c r="AK71" s="882"/>
      <c r="AL71" s="939" t="s">
        <v>376</v>
      </c>
      <c r="AM71" s="882"/>
      <c r="BH71" s="235">
        <v>35</v>
      </c>
      <c r="BI71" s="235">
        <v>26</v>
      </c>
      <c r="BJ71" s="235">
        <v>25</v>
      </c>
      <c r="BK71" s="235">
        <v>36</v>
      </c>
      <c r="BL71" s="235">
        <v>1</v>
      </c>
      <c r="BM71" s="235">
        <v>2</v>
      </c>
      <c r="BN71" s="235">
        <v>3</v>
      </c>
      <c r="BO71" s="235">
        <v>34</v>
      </c>
      <c r="BP71" s="235">
        <v>27</v>
      </c>
      <c r="CA71" s="19"/>
      <c r="CB71" s="19"/>
    </row>
    <row r="72" spans="28:80" ht="12" customHeight="1" x14ac:dyDescent="0.25">
      <c r="AB72" s="5"/>
      <c r="AC72" s="5"/>
      <c r="AE72" s="757" t="s">
        <v>226</v>
      </c>
      <c r="AF72" s="30" t="s">
        <v>181</v>
      </c>
      <c r="AG72" s="30" t="s">
        <v>194</v>
      </c>
      <c r="AH72" s="761" t="s">
        <v>181</v>
      </c>
      <c r="AI72" s="760" t="s">
        <v>201</v>
      </c>
      <c r="AJ72" s="30" t="s">
        <v>186</v>
      </c>
      <c r="AK72" s="30" t="s">
        <v>201</v>
      </c>
      <c r="AL72" s="30" t="s">
        <v>186</v>
      </c>
      <c r="AM72" s="30" t="s">
        <v>194</v>
      </c>
      <c r="AO72" s="19" t="s">
        <v>371</v>
      </c>
      <c r="BH72" s="235">
        <v>36</v>
      </c>
      <c r="BI72" s="235">
        <v>25</v>
      </c>
      <c r="BJ72" s="235">
        <v>30</v>
      </c>
      <c r="BK72" s="235">
        <v>31</v>
      </c>
      <c r="BL72" s="235">
        <v>6</v>
      </c>
      <c r="BM72" s="235">
        <v>1</v>
      </c>
      <c r="BN72" s="235">
        <v>2</v>
      </c>
      <c r="BO72" s="235">
        <v>35</v>
      </c>
      <c r="BP72" s="235">
        <v>26</v>
      </c>
      <c r="CA72" s="19"/>
      <c r="CB72" s="19"/>
    </row>
    <row r="73" spans="28:80" ht="12" customHeight="1" x14ac:dyDescent="0.25">
      <c r="AB73" s="5"/>
      <c r="AC73" s="5"/>
      <c r="AE73" s="53">
        <v>1</v>
      </c>
      <c r="AF73" s="49" t="e">
        <f>IF($AE73=AF$69,(-$AF$36+$AG$36*$AW$19/$AX$19)*$AW$28,"")</f>
        <v>#VALUE!</v>
      </c>
      <c r="AG73" s="48" t="e">
        <f>IF($AE73=AF$69,(-$AG$36+$AF$36*$CB$19/$CA$19)*$CA$28,"")</f>
        <v>#VALUE!</v>
      </c>
      <c r="AH73" s="49" t="e">
        <f>IF($AE73=AH$69,(-$AH$36+$BC$19+($AI$36-$BD$19)*$BA$19/$BB$19)*$BA$28,"")</f>
        <v>#VALUE!</v>
      </c>
      <c r="AI73" s="48" t="e">
        <f>IF($AE73=AH$69,($AI$36-$AH$36*$BF$19/$BE$19)*$BE$28,"")</f>
        <v>#VALUE!</v>
      </c>
      <c r="AJ73" s="49" t="e">
        <f>IF($AE73=AJ$69,($AJ$36-$BM$19-($AK$36-$BN$19)*$BO$19/$BP$19)*$BO$28,"")</f>
        <v>#VALUE!</v>
      </c>
      <c r="AK73" s="48" t="e">
        <f>IF($AE73=AJ$69,($AK$36-$BL$19-($AJ$36-$BK$19)*$BJ$19/$BI$19)*$BI$28,"")</f>
        <v>#VALUE!</v>
      </c>
      <c r="AL73" s="49" t="e">
        <f>IF($AE73=AL$69,($AL$36-$AM$36*$BS$19/$BT$19)*$BS$28,"")</f>
        <v>#VALUE!</v>
      </c>
      <c r="AM73" s="48" t="e">
        <f>IF($AE73=AL$69,(-$AM$36+$BV$19+($AL$36-$BU$19)*$BX$19/$BW$19)*$BW$28,"")</f>
        <v>#VALUE!</v>
      </c>
      <c r="AO73" s="159" t="e">
        <f>(-$AF$36+$AG$36*$AW$19/$AX$19)</f>
        <v>#VALUE!</v>
      </c>
      <c r="AP73" s="160" t="e">
        <f>(-$AG$36+$AF$36*$CB$19/$CA$19)</f>
        <v>#VALUE!</v>
      </c>
      <c r="AQ73" s="159" t="e">
        <f>(-$AH$36+$BC$19+($AI$36-$BD$19)*$BA$19/$BB$19)</f>
        <v>#VALUE!</v>
      </c>
      <c r="AR73" s="160" t="e">
        <f>($AI$36-$AH$36*$BF$19/$BE$19)</f>
        <v>#VALUE!</v>
      </c>
      <c r="AS73" s="159" t="e">
        <f>($AJ$36-$BM$19-($AK$36-$BN$19)*$BO$19/$BP$19)</f>
        <v>#VALUE!</v>
      </c>
      <c r="AT73" s="160" t="e">
        <f>($AK$36-$BL$19-($AJ$36-$BK$19)*$BJ$19/$BI$19)</f>
        <v>#VALUE!</v>
      </c>
      <c r="AU73" s="159" t="e">
        <f>($AL$36-$AM$36*$BS$19/$BT$19)</f>
        <v>#VALUE!</v>
      </c>
      <c r="AV73" s="160" t="e">
        <f>(-$AM$36+$BV$19+($AL$36-$BU$19)*$BX$19/$BW$19)</f>
        <v>#VALUE!</v>
      </c>
      <c r="CA73" s="19"/>
      <c r="CB73" s="19"/>
    </row>
    <row r="74" spans="28:80" ht="12" customHeight="1" x14ac:dyDescent="0.25">
      <c r="AB74" s="5"/>
      <c r="AC74" s="5"/>
      <c r="AE74" s="53">
        <v>2</v>
      </c>
      <c r="AF74" s="49" t="e">
        <f>IF($AE74=AF$69,(-$AF$36-$AW$19+($AG$36+$AX$19)*$AY$19/$AZ$19)*$AY$28,"")</f>
        <v>#VALUE!</v>
      </c>
      <c r="AG74" s="48" t="e">
        <f>IF($AE74=AF$69,(-$AG$36+$AF$36*$CB$19/$CA$19)*$CA$28,"")</f>
        <v>#VALUE!</v>
      </c>
      <c r="AH74" s="49" t="e">
        <f>IF($AE74=AH$69,(-$AH$36+$AI$36*$BC$19/$BD$19)*$BC$28,"")</f>
        <v>#VALUE!</v>
      </c>
      <c r="AI74" s="48" t="e">
        <f>IF($AE74=AH$69,($AI$36-$AH$36*$BF$19/$BE$19)*$BE$28,"")</f>
        <v>#VALUE!</v>
      </c>
      <c r="AJ74" s="49" t="e">
        <f>IF($AE74=AJ$69,($AJ$36-$AK$36*$BM$19/$BN$19)*$BM$28,"")</f>
        <v>#VALUE!</v>
      </c>
      <c r="AK74" s="48" t="e">
        <f>IF($AE74=AJ$69,($AK$36-$BL$19-($AJ$36-$BK$19)*$BJ$19/$BI$19)*$BI$28,"")</f>
        <v>#VALUE!</v>
      </c>
      <c r="AL74" s="49" t="e">
        <f>IF($AE74=AL$69,($AL$36+$BS$19+(-$AM$36-$BT$19)*$BQ$19/$BR$19)*$BQ$28,"")</f>
        <v>#VALUE!</v>
      </c>
      <c r="AM74" s="48" t="e">
        <f>IF($AE74=AL$69,(-$AM$36+$BV$19+($AL$36-$BU$19)*$BX$19/$BW$19)*$BW$28,"")</f>
        <v>#VALUE!</v>
      </c>
      <c r="AO74" s="49" t="e">
        <f>(-$AF$36-$AW$19+($AG$36+$AX$19)*$AY$19/$AZ$19)</f>
        <v>#VALUE!</v>
      </c>
      <c r="AP74" s="48" t="e">
        <f>(-$AG$36+$AF$36*$CB$19/$CA$19)</f>
        <v>#VALUE!</v>
      </c>
      <c r="AQ74" s="49" t="e">
        <f>(-$AH$36+$AI$36*$BC$19/$BD$19)</f>
        <v>#VALUE!</v>
      </c>
      <c r="AR74" s="48" t="e">
        <f>($AI$36-$AH$36*$BF$19/$BE$19)</f>
        <v>#VALUE!</v>
      </c>
      <c r="AS74" s="49" t="e">
        <f>($AJ$36-$AK$36*$BM$19/$BN$19)</f>
        <v>#VALUE!</v>
      </c>
      <c r="AT74" s="48" t="e">
        <f>($AK$36-$BL$19-($AJ$36-$BK$19)*$BJ$19/$BI$19)</f>
        <v>#VALUE!</v>
      </c>
      <c r="AU74" s="49" t="e">
        <f>($AL$36+$BS$19+(-$AM$36-$BT$19)*$BQ$19/$BR$19)</f>
        <v>#VALUE!</v>
      </c>
      <c r="AV74" s="48" t="e">
        <f>(-$AM$36+$BV$19+($AL$36-$BU$19)*$BX$19/$BW$19)</f>
        <v>#VALUE!</v>
      </c>
      <c r="CA74" s="19"/>
      <c r="CB74" s="19"/>
    </row>
    <row r="75" spans="28:80" ht="12" customHeight="1" x14ac:dyDescent="0.25">
      <c r="AB75" s="5"/>
      <c r="AC75" s="5"/>
      <c r="AE75" s="53">
        <v>3</v>
      </c>
      <c r="AF75" s="49" t="e">
        <f>IF($AE75=AF$69,(-$AF$36-$AW$19+($AG$36+$AX$19)*$AY$19/$AZ$19)*$AY$28,"")</f>
        <v>#VALUE!</v>
      </c>
      <c r="AG75" s="48" t="e">
        <f>IF($AE75=AF$69,(-$AG$36-$CB$19-(-$AF$36-$CA$19)*$BZ$19/$BY$19)*$BY$28,"")</f>
        <v>#VALUE!</v>
      </c>
      <c r="AH75" s="49" t="e">
        <f>IF($AE75=AH$69,(-$AH$36+$AI$36*$BC$19/$BD$19)*$BC$28,"")</f>
        <v>#VALUE!</v>
      </c>
      <c r="AI75" s="48" t="e">
        <f>IF($AE75=AH$69,($AI$36+$BF$19+(-$AH$36-$BE$19)*$BH$19/$BG$19)*$BG$28,"")</f>
        <v>#VALUE!</v>
      </c>
      <c r="AJ75" s="49" t="e">
        <f>IF($AE75=AJ$69,($AJ$36-$AK$36*$BM$19/$BN$19)*$BM$28,"")</f>
        <v>#VALUE!</v>
      </c>
      <c r="AK75" s="48" t="e">
        <f>IF($AE75=AJ$69,($AK$36-$AJ$36*$BL$19/$BK$19)*$BK$28,"")</f>
        <v>#VALUE!</v>
      </c>
      <c r="AL75" s="49" t="e">
        <f>IF($AE75=AL$69,($AL$36+$BS$19+(-$AM$36-$BT$19)*$BQ$19/$BR$19)*$BQ$28,"")</f>
        <v>#VALUE!</v>
      </c>
      <c r="AM75" s="48" t="e">
        <f>IF($AE75=AL$69,(-$AM$36+$AL$36*$BV$19/$BU$19)*$BU$28,"")</f>
        <v>#VALUE!</v>
      </c>
      <c r="AO75" s="49" t="e">
        <f>(-$AF$36-$AW$19+($AG$36+$AX$19)*$AY$19/$AZ$19)</f>
        <v>#VALUE!</v>
      </c>
      <c r="AP75" s="48" t="e">
        <f>(-$AG$36-$CB$19-(-$AF$36-$CA$19)*$BZ$19/$BY$19)</f>
        <v>#VALUE!</v>
      </c>
      <c r="AQ75" s="49" t="e">
        <f>(-$AH$36+$AI$36*$BC$19/$BD$19)</f>
        <v>#VALUE!</v>
      </c>
      <c r="AR75" s="48" t="e">
        <f>($AI$36+$BF$19+(-$AH$36-$BE$19)*$BH$19/$BG$19)</f>
        <v>#VALUE!</v>
      </c>
      <c r="AS75" s="49" t="e">
        <f>($AJ$36-$AK$36*$BM$19/$BN$19)</f>
        <v>#VALUE!</v>
      </c>
      <c r="AT75" s="48" t="e">
        <f>($AK$36-$AJ$36*$BL$19/$BK$19)</f>
        <v>#VALUE!</v>
      </c>
      <c r="AU75" s="49" t="e">
        <f>($AL$36+$BS$19+(-$AM$36-$BT$19)*$BQ$19/$BR$19)</f>
        <v>#VALUE!</v>
      </c>
      <c r="AV75" s="48" t="e">
        <f>(-$AM$36+$AL$36*$BV$19/$BU$19)</f>
        <v>#VALUE!</v>
      </c>
      <c r="CA75" s="19"/>
      <c r="CB75" s="19"/>
    </row>
    <row r="76" spans="28:80" ht="12" customHeight="1" x14ac:dyDescent="0.25">
      <c r="AB76" s="5"/>
      <c r="AC76" s="5"/>
      <c r="AE76" s="53">
        <v>4</v>
      </c>
      <c r="AF76" s="49" t="e">
        <f>IF($AE76=AF$69,(-$AF$36+$AG$36*$AW$19/$AX$19)*$AW$28,"")</f>
        <v>#VALUE!</v>
      </c>
      <c r="AG76" s="48" t="e">
        <f>IF($AE76=AF$69,(-$AG$36-$CB$19-(-$AF$36-$CA$19)*$BZ$19/$BY$19)*$BY$28,"")</f>
        <v>#VALUE!</v>
      </c>
      <c r="AH76" s="49" t="e">
        <f>IF($AE76=AH$69,(-$AH$36+$BC$19+($AI$36-$BD$19)*$BA$19/$BB$19)*$BA$28,"")</f>
        <v>#VALUE!</v>
      </c>
      <c r="AI76" s="48" t="e">
        <f>IF($AE76=AH$69,($AI$36+$BF$19+(-$AH$36-$BE$19)*$BH$19/$BG$19)*$BG$28,"")</f>
        <v>#VALUE!</v>
      </c>
      <c r="AJ76" s="49" t="e">
        <f>IF($AE76=AJ$69,($AJ$36-$BM$19-($AK$36-$BN$19)*$BO$19/$BP$19)*$BO$28,"")</f>
        <v>#VALUE!</v>
      </c>
      <c r="AK76" s="48" t="e">
        <f>IF($AE76=AJ$69,($AK$36-$AJ$36*$BL$19/$BK$19)*$BK$28,"")</f>
        <v>#VALUE!</v>
      </c>
      <c r="AL76" s="49" t="e">
        <f>IF($AE76=AL$69,($AL$36-$AM$36*$BS$19/$BT$19)*$BS$28,"")</f>
        <v>#VALUE!</v>
      </c>
      <c r="AM76" s="48" t="e">
        <f>IF($AE76=AL$69,(-$AM$36+$AL$36*$BV$19/$BU$19)*$BU$28,"")</f>
        <v>#VALUE!</v>
      </c>
      <c r="AO76" s="83" t="e">
        <f>(-$AF$36+$AG$36*$AW$19/$AX$19)</f>
        <v>#VALUE!</v>
      </c>
      <c r="AP76" s="84" t="e">
        <f>(-$AG$36-$CB$19-(-$AF$36-$CA$19)*$BZ$19/$BY$19)</f>
        <v>#VALUE!</v>
      </c>
      <c r="AQ76" s="83" t="e">
        <f>(-$AH$36+$BC$19+($AI$36-$BD$19)*$BA$19/$BB$19)</f>
        <v>#VALUE!</v>
      </c>
      <c r="AR76" s="84" t="e">
        <f>($AI$36+$BF$19+(-$AH$36-$BE$19)*$BH$19/$BG$19)</f>
        <v>#VALUE!</v>
      </c>
      <c r="AS76" s="83" t="e">
        <f>($AJ$36-$BM$19-($AK$36-$BN$19)*$BO$19/$BP$19)</f>
        <v>#VALUE!</v>
      </c>
      <c r="AT76" s="84" t="e">
        <f>($AK$36-$AJ$36*$BL$19/$BK$19)</f>
        <v>#VALUE!</v>
      </c>
      <c r="AU76" s="83" t="e">
        <f>($AL$36-$AM$36*$BS$19/$BT$19)</f>
        <v>#VALUE!</v>
      </c>
      <c r="AV76" s="84" t="e">
        <f>(-$AM$36+$AL$36*$BV$19/$BU$19)</f>
        <v>#VALUE!</v>
      </c>
      <c r="CA76" s="19"/>
      <c r="CB76" s="19"/>
    </row>
    <row r="77" spans="28:80" ht="12" customHeight="1" x14ac:dyDescent="0.25">
      <c r="AB77" s="5"/>
      <c r="AC77" s="5"/>
      <c r="AF77" s="85" t="str">
        <f>IF(ISNUMBER($AF$73),AF$73,IF(ISNUMBER($AF$74),AF$74,IF(ISNUMBER($AF$75),AF$75,IF(ISNUMBER($AF$76),AF$76,""))))</f>
        <v/>
      </c>
      <c r="AG77" s="86" t="str">
        <f>IF(ISNUMBER($AG$73),AG$73,IF(ISNUMBER($AG$74),AG$74,IF(ISNUMBER($AG$75),AG$75,IF(ISNUMBER($AG$76),AG$76,""))))</f>
        <v/>
      </c>
      <c r="AH77" s="85" t="str">
        <f>IF(ISNUMBER($AH$73),AH$73,IF(ISNUMBER($AH$74),AH$74,IF(ISNUMBER($AH$75),AH$75,IF(ISNUMBER($AH$76),AH$76,""))))</f>
        <v/>
      </c>
      <c r="AI77" s="86" t="str">
        <f>IF(ISNUMBER($AI$73),AI$73,IF(ISNUMBER($AI$74),AI$74,IF(ISNUMBER($AI$75),AI$75,IF(ISNUMBER($AI$76),AI$76,""))))</f>
        <v/>
      </c>
      <c r="AJ77" s="85" t="str">
        <f>IF(ISNUMBER($AJ$73),AJ$73,IF(ISNUMBER($AJ$74),AJ$74,IF(ISNUMBER($AJ$75),AJ$75,IF(ISNUMBER($AJ$76),AJ$76,""))))</f>
        <v/>
      </c>
      <c r="AK77" s="86" t="str">
        <f>IF(ISNUMBER($AK$73),AK$73,IF(ISNUMBER($AK$74),AK$74,IF(ISNUMBER($AK$75),AK$75,IF(ISNUMBER($AK$76),AK$76,""))))</f>
        <v/>
      </c>
      <c r="AL77" s="85" t="str">
        <f>IF(ISNUMBER($AL$73),AL$73,IF(ISNUMBER($AL$74),AL$74,IF(ISNUMBER($AL$75),AL$75,IF(ISNUMBER($AL$76),AL$76,""))))</f>
        <v/>
      </c>
      <c r="AM77" s="86" t="str">
        <f>IF(ISNUMBER($AM$73),AM$73,IF(ISNUMBER($AM$74),AM$74,IF(ISNUMBER($AM$75),AM$75,IF(ISNUMBER($AM$76),AM$76,""))))</f>
        <v/>
      </c>
      <c r="CA77" s="19"/>
      <c r="CB77" s="19"/>
    </row>
    <row r="78" spans="28:80" ht="12" customHeight="1" x14ac:dyDescent="0.25">
      <c r="AB78" s="5"/>
      <c r="AC78" s="5"/>
      <c r="AF78" s="87"/>
      <c r="AG78" s="88"/>
      <c r="AH78" s="89"/>
      <c r="AI78" s="89"/>
      <c r="AJ78" s="87"/>
      <c r="AK78" s="88"/>
      <c r="AL78" s="87"/>
      <c r="AM78" s="88"/>
      <c r="CA78" s="19"/>
      <c r="CB78" s="19"/>
    </row>
    <row r="79" spans="28:80" ht="12" customHeight="1" x14ac:dyDescent="0.25">
      <c r="AB79" s="5"/>
      <c r="AC79" s="5"/>
      <c r="AF79" s="939" t="s">
        <v>377</v>
      </c>
      <c r="AG79" s="882"/>
      <c r="AH79" s="943" t="s">
        <v>377</v>
      </c>
      <c r="AI79" s="832"/>
      <c r="AJ79" s="939" t="s">
        <v>377</v>
      </c>
      <c r="AK79" s="882"/>
      <c r="AL79" s="939" t="s">
        <v>377</v>
      </c>
      <c r="AM79" s="882"/>
      <c r="CA79" s="19"/>
      <c r="CB79" s="19"/>
    </row>
    <row r="80" spans="28:80" ht="12" customHeight="1" x14ac:dyDescent="0.25">
      <c r="AB80" s="5"/>
      <c r="AF80" s="944" t="e">
        <f>IF($AF$38="","",IF(AND((-$AF$38+$AG$38*$AW$19/$AX$19)&gt;0,-$AF$38&lt;$CA$19,(-$AG$38+$AF$38*$CB$19/$CA$19)&gt;0,-$AG$38&lt;$AX$19),1,IF(AND((-$AF$38-$AW$19+($AG$38+$AX$19)*$AY$19/$AZ$19)&gt;0,-$AF$38&lt;$CA$19,-$AG$38&gt;$AX$19,-$AG$38&lt;$AY$22),2,IF(AND(-$AF$38&lt;$BZ$22,-$AF$38&gt;$CA$19,-$AG$38&gt;$AX$19,-$AG$38&lt;$AY$22),3,IF(AND(-$AF$38&lt;$BZ$22,-$AF$38&gt;$CA$19,(-$AG$38-$CB$19-(-$AF$38-$CA$19)*$BZ$19/$BY$19)&gt;0,-$AG$38&lt;$AX$19),4,"")))))</f>
        <v>#VALUE!</v>
      </c>
      <c r="AG80" s="911"/>
      <c r="AH80" s="944" t="e">
        <f>IF($AH$39="","",IF(AND((-$AH$39+$BC$19+($AI$39-$BD$19)*$BA$19/$BB$19)&gt;0,-$AH$39&lt;$BE$19,$AI$39&gt;$BD$19,$AI$39&lt;$BC$22),1,IF(AND((-$AH$39+$AI$39*$BC$19/$BD$19)&gt;0,-$AH$39&lt;$BE$19,($AI$39-$AH$39*$BF$19/$BE$19)&gt;0,$AI$39&lt;$BD$19),2,IF(AND(-$AH$39&gt;$BE$19,-$AH$39&lt;$BF$22,($AI$39+$BF$19+(-$AH$39-$BE$19)*$BH$19/$BG$19)&gt;0,$AI$39&lt;$BD$19),3,IF(AND(-$AH$39&gt;$BE$19,-$AH$39&lt;$BF$22,$AI$39&gt;$BD$19,$AI$39&lt;$BC$22),4,"")))))</f>
        <v>#VALUE!</v>
      </c>
      <c r="AI80" s="911"/>
      <c r="AJ80" s="944" t="e">
        <f>IF($AJ$40="","",IF(AND($AJ$40&gt;$BK$19,$AJ$40&lt;$BJ$22,$AK$40&gt;$BN$19,$AK$40&lt;$BO$22),1,IF(AND($AJ$40&gt;$BK$19,$AJ$40&lt;$BJ$22,($AK$40-$BL$19-($AJ$40-$BK$19)*$BJ$19/$BI$19)&gt;0,$AK$40&lt;$BN$19),2,IF(AND(($AJ$40-$AK$40*$BM$19/$BN$19)&gt;0,$AJ$40&lt;$BK$19,($AK$40-$AJ$40*$BL$19/$BK$19)&gt;0,$AK$40&lt;$BN$19),3,IF(AND(($AJ$40-$BM$19-($AK$40-$BN$19)*$BO$19/$BP$19)&gt;0,$AJ$40&lt;$BK$19,$AK$40&gt;$BN$19,$AK$40&lt;$BO$22),4,"")))))</f>
        <v>#VALUE!</v>
      </c>
      <c r="AK80" s="911"/>
      <c r="AL80" s="944" t="e">
        <f>IF($AL$41="","",IF(AND($AL$41&gt;$BU$19,$AL$41&lt;$BV$22,(-$AM$41+$BV$19+($AL$41-$BU$19)*$BX$19/$BW$19)&gt;0,-$AM$41&lt;$BT$19),1,IF(AND($AL$41&gt;$BU$19,$AL$41&lt;$BV$22,-$AM$41&gt;$BT$19,-$AM$41&lt;$BS$22),2,IF(AND(($AL$41+$BS$19+(-$AM$41-$BT$19)*$BQ$19/$BR$19)&gt;0,$AL$41&lt;$BU$19,-$AM$41&gt;$BT$19,-$AM$41&lt;$BS$22),3,IF(AND(($AL$41-$AM$41*$BS$19/$BT$19)&gt;0,$AL$41&lt;$BU$19,(-$AM$41+$AL$41*$BV$19/$BU$19)&gt;0,-$AM$41&lt;$BT$19),4,"")))))</f>
        <v>#VALUE!</v>
      </c>
      <c r="AM80" s="911"/>
      <c r="CA80" s="19"/>
      <c r="CB80" s="19"/>
    </row>
    <row r="81" spans="28:80" ht="12" customHeight="1" x14ac:dyDescent="0.25">
      <c r="AB81" s="5"/>
      <c r="AC81" s="5"/>
      <c r="AF81" s="87"/>
      <c r="AG81" s="88"/>
      <c r="AH81" s="89"/>
      <c r="AI81" s="89"/>
      <c r="AJ81" s="87"/>
      <c r="AK81" s="88"/>
      <c r="AL81" s="87"/>
      <c r="AM81" s="88"/>
      <c r="CA81" s="19"/>
      <c r="CB81" s="19"/>
    </row>
    <row r="82" spans="28:80" ht="12" customHeight="1" x14ac:dyDescent="0.25">
      <c r="AB82" s="5"/>
      <c r="AC82" s="5"/>
      <c r="AF82" s="939" t="s">
        <v>378</v>
      </c>
      <c r="AG82" s="882"/>
      <c r="AH82" s="939" t="s">
        <v>379</v>
      </c>
      <c r="AI82" s="882"/>
      <c r="AJ82" s="939" t="s">
        <v>375</v>
      </c>
      <c r="AK82" s="882"/>
      <c r="AL82" s="939" t="s">
        <v>380</v>
      </c>
      <c r="AM82" s="882"/>
      <c r="CA82" s="19"/>
      <c r="CB82" s="19"/>
    </row>
    <row r="83" spans="28:80" ht="12" customHeight="1" x14ac:dyDescent="0.25">
      <c r="AB83" s="5"/>
      <c r="AC83" s="5"/>
      <c r="AE83" s="757" t="s">
        <v>226</v>
      </c>
      <c r="AF83" s="30" t="s">
        <v>181</v>
      </c>
      <c r="AG83" s="30" t="s">
        <v>194</v>
      </c>
      <c r="AH83" s="761" t="s">
        <v>181</v>
      </c>
      <c r="AI83" s="760" t="s">
        <v>201</v>
      </c>
      <c r="AJ83" s="30" t="s">
        <v>186</v>
      </c>
      <c r="AK83" s="30" t="s">
        <v>201</v>
      </c>
      <c r="AL83" s="30" t="s">
        <v>186</v>
      </c>
      <c r="AM83" s="30" t="s">
        <v>194</v>
      </c>
      <c r="AO83" s="19" t="s">
        <v>371</v>
      </c>
      <c r="CA83" s="19"/>
      <c r="CB83" s="19"/>
    </row>
    <row r="84" spans="28:80" ht="12" customHeight="1" x14ac:dyDescent="0.25">
      <c r="AB84" s="5"/>
      <c r="AC84" s="5"/>
      <c r="AE84" s="53">
        <v>1</v>
      </c>
      <c r="AF84" s="49" t="e">
        <f>IF($AE84=AF$80,(-$AF$42+$AG$42*$AW$19/$AX$19)*$AW$28,"")</f>
        <v>#VALUE!</v>
      </c>
      <c r="AG84" s="48" t="e">
        <f>IF($AE84=AF$80,(-$AG$42+$AF$42*$CB$19/$CA$19)*$CA$28,"")</f>
        <v>#VALUE!</v>
      </c>
      <c r="AH84" s="49" t="e">
        <f>IF($AE84=AH$80,(-$AH$42+$BC$19+($AI$42-$BD$19)*$BA$19/$BB$19)*$BA$28,"")</f>
        <v>#VALUE!</v>
      </c>
      <c r="AI84" s="48" t="e">
        <f>IF($AE84=AH$80,($AI$42-$AH$42*$BF$19/$BE$19)*$BE$28,"")</f>
        <v>#VALUE!</v>
      </c>
      <c r="AJ84" s="49" t="e">
        <f>IF($AE84=AJ$80,($AJ$42-$BM$19-($AK$42-$BN$19)*$BO$19/$BP$19)*$BO$28,"")</f>
        <v>#VALUE!</v>
      </c>
      <c r="AK84" s="48" t="e">
        <f>IF($AE84=AJ$80,($AK$42-$BL$19-($AJ$42-$BK$19)*$BJ$19/$BI$19)*$BI$28,"")</f>
        <v>#VALUE!</v>
      </c>
      <c r="AL84" s="49" t="e">
        <f>IF($AE84=AL$80,($AL$42-$AM$42*$BS$19/$BT$19)*$BS$28,"")</f>
        <v>#VALUE!</v>
      </c>
      <c r="AM84" s="48" t="e">
        <f>IF($AE84=AL$80,(-$AM$42+$BV$19+($AL$42-$BU$19)*$BX$19/$BW$19)*$BW$28,"")</f>
        <v>#VALUE!</v>
      </c>
      <c r="AO84" s="159" t="e">
        <f>(-$AF$42+$AG$42*$AW$19/$AX$19)</f>
        <v>#VALUE!</v>
      </c>
      <c r="AP84" s="160" t="e">
        <f>(-$AG$42+$AF$42*$CB$19/$CA$19)</f>
        <v>#VALUE!</v>
      </c>
      <c r="AQ84" s="159" t="e">
        <f>(-$AH$42+$BC$19+($AI$42-$BD$19)*$BA$19/$BB$19)</f>
        <v>#VALUE!</v>
      </c>
      <c r="AR84" s="160" t="e">
        <f>($AI$42-$AH$42*$BF$19/$BE$19)</f>
        <v>#VALUE!</v>
      </c>
      <c r="AS84" s="159" t="e">
        <f>($AJ$42-$BM$19-($AK$42-$BN$19)*$BO$19/$BP$19)</f>
        <v>#VALUE!</v>
      </c>
      <c r="AT84" s="160" t="e">
        <f>($AK$42-$BL$19-($AJ$42-$BK$19)*$BJ$19/$BI$19)</f>
        <v>#VALUE!</v>
      </c>
      <c r="AU84" s="159" t="e">
        <f>($AL$42-$AM$42*$BS$19/$BT$19)</f>
        <v>#VALUE!</v>
      </c>
      <c r="AV84" s="160" t="e">
        <f>(-$AM$42+$BV$19+($AL$42-$BU$19)*$BX$19/$BW$19)</f>
        <v>#VALUE!</v>
      </c>
      <c r="CA84" s="19"/>
      <c r="CB84" s="19"/>
    </row>
    <row r="85" spans="28:80" ht="12" customHeight="1" x14ac:dyDescent="0.25">
      <c r="AB85" s="5"/>
      <c r="AC85" s="5"/>
      <c r="AE85" s="53">
        <v>2</v>
      </c>
      <c r="AF85" s="49" t="e">
        <f>IF($AE85=AF$80,(-$AF$42-$AW$19+($AG$42+$AX$19)*$AY$19/$AZ$19)*$AY$28,"")</f>
        <v>#VALUE!</v>
      </c>
      <c r="AG85" s="48" t="e">
        <f>IF($AE85=AF$80,(-$AG$42+$AF$42*$CB$19/$CA$19)*$CA$28,"")</f>
        <v>#VALUE!</v>
      </c>
      <c r="AH85" s="49" t="e">
        <f>IF($AE85=AH$80,(-$AH$42+$AI$42*$BC$19/$BD$19)*$BC$28,"")</f>
        <v>#VALUE!</v>
      </c>
      <c r="AI85" s="48" t="e">
        <f>IF($AE85=AH$80,($AI$42-$AH$42*$BF$19/$BE$19)*$BE$28,"")</f>
        <v>#VALUE!</v>
      </c>
      <c r="AJ85" s="49" t="e">
        <f>IF($AE85=AJ$80,($AJ$42-$AK$42*$BM$19/$BN$19)*$BM$28,"")</f>
        <v>#VALUE!</v>
      </c>
      <c r="AK85" s="48" t="e">
        <f>IF($AE85=AJ$80,($AK$42-$BL$19-($AJ$42-$BK$19)*$BJ$19/$BI$19)*$BI$28,"")</f>
        <v>#VALUE!</v>
      </c>
      <c r="AL85" s="49" t="e">
        <f>IF($AE85=AL$80,($AL$42+$BS$19+(-$AM$42-$BT$19)*$BQ$19/$BR$19)*$BQ$28,"")</f>
        <v>#VALUE!</v>
      </c>
      <c r="AM85" s="48" t="e">
        <f>IF($AE85=AL$80,(-$AM$42+$BV$19+($AL$42-$BU$19)*$BX$19/$BW$19)*$BW$28,"")</f>
        <v>#VALUE!</v>
      </c>
      <c r="AO85" s="49" t="e">
        <f>(-$AF$42-$AW$19+($AG$42+$AX$19)*$AY$19/$AZ$19)</f>
        <v>#VALUE!</v>
      </c>
      <c r="AP85" s="48" t="e">
        <f>(-$AG$42+$AF$42*$CB$19/$CA$19)</f>
        <v>#VALUE!</v>
      </c>
      <c r="AQ85" s="49" t="e">
        <f>(-$AH$42+$AI$42*$BC$19/$BD$19)</f>
        <v>#VALUE!</v>
      </c>
      <c r="AR85" s="48" t="e">
        <f>($AI$42-$AH$42*$BF$19/$BE$19)</f>
        <v>#VALUE!</v>
      </c>
      <c r="AS85" s="49" t="e">
        <f>($AJ$42-$AK$42*$BM$19/$BN$19)</f>
        <v>#VALUE!</v>
      </c>
      <c r="AT85" s="48" t="e">
        <f>($AK$42-$BL$19-($AJ$42-$BK$19)*$BJ$19/$BI$19)</f>
        <v>#VALUE!</v>
      </c>
      <c r="AU85" s="49" t="e">
        <f>($AL$42+$BS$19+(-$AM$42-$BT$19)*$BQ$19/$BR$19)</f>
        <v>#VALUE!</v>
      </c>
      <c r="AV85" s="48" t="e">
        <f>(-$AM$42+$BV$19+($AL$42-$BU$19)*$BX$19/$BW$19)</f>
        <v>#VALUE!</v>
      </c>
      <c r="CA85" s="19"/>
      <c r="CB85" s="19"/>
    </row>
    <row r="86" spans="28:80" ht="12" customHeight="1" x14ac:dyDescent="0.25">
      <c r="AB86" s="5"/>
      <c r="AC86" s="5"/>
      <c r="AE86" s="53">
        <v>3</v>
      </c>
      <c r="AF86" s="49" t="e">
        <f>IF($AE86=AF$80,(-$AF$42-$AW$19+($AG$42+$AX$19)*$AY$19/$AZ$19)*$AY$28,"")</f>
        <v>#VALUE!</v>
      </c>
      <c r="AG86" s="48" t="e">
        <f>IF($AE86=AF$80,(-$AG$42-$CB$19-(-$AF$42-$CA$19)*$BZ$19/$BY$19)*$BY$28,"")</f>
        <v>#VALUE!</v>
      </c>
      <c r="AH86" s="49" t="e">
        <f>IF($AE86=AH$80,(-$AH$42+$AI$42*$BC$19/$BD$19)*$BC$28,"")</f>
        <v>#VALUE!</v>
      </c>
      <c r="AI86" s="48" t="e">
        <f>IF($AE86=AH$80,($AI$42+$BF$19+(-$AH$42-$BE$19)*$BH$19/$BG$19)*$BG$28,"")</f>
        <v>#VALUE!</v>
      </c>
      <c r="AJ86" s="49" t="e">
        <f>IF($AE86=AJ$80,($AJ$42-$AK$42*$BM$19/$BN$19)*$BM$28,"")</f>
        <v>#VALUE!</v>
      </c>
      <c r="AK86" s="48" t="e">
        <f>IF($AE86=AJ$80,($AK$42-$AJ$42*$BL$19/$BK$19)*$BK$28,"")</f>
        <v>#VALUE!</v>
      </c>
      <c r="AL86" s="49" t="e">
        <f>IF($AE86=AL$80,($AL$42+$BS$19+(-$AM$42-$BT$19)*$BQ$19/$BR$19)*$BQ$28,"")</f>
        <v>#VALUE!</v>
      </c>
      <c r="AM86" s="48" t="e">
        <f>IF($AE86=AL$80,(-$AM$42+$AL$42*$BV$19/$BU$19)*$BU$28,"")</f>
        <v>#VALUE!</v>
      </c>
      <c r="AO86" s="49" t="e">
        <f>(-$AF$42-$AW$19+($AG$42+$AX$19)*$AY$19/$AZ$19)</f>
        <v>#VALUE!</v>
      </c>
      <c r="AP86" s="48" t="e">
        <f>(-$AG$42-$CB$19-(-$AF$42-$CA$19)*$BZ$19/$BY$19)</f>
        <v>#VALUE!</v>
      </c>
      <c r="AQ86" s="49" t="e">
        <f>(-$AH$42+$AI$42*$BC$19/$BD$19)</f>
        <v>#VALUE!</v>
      </c>
      <c r="AR86" s="48" t="e">
        <f>($AI$42+$BF$19+(-$AH$42-$BE$19)*$BH$19/$BG$19)</f>
        <v>#VALUE!</v>
      </c>
      <c r="AS86" s="49" t="e">
        <f>($AJ$42-$AK$42*$BM$19/$BN$19)</f>
        <v>#VALUE!</v>
      </c>
      <c r="AT86" s="48" t="e">
        <f>($AK$42-$AJ$42*$BL$19/$BK$19)</f>
        <v>#VALUE!</v>
      </c>
      <c r="AU86" s="49" t="e">
        <f>($AL$42+$BS$19+(-$AM$42-$BT$19)*$BQ$19/$BR$19)</f>
        <v>#VALUE!</v>
      </c>
      <c r="AV86" s="48" t="e">
        <f>(-$AM$42+$AL$42*$BV$19/$BU$19)</f>
        <v>#VALUE!</v>
      </c>
      <c r="CA86" s="19"/>
      <c r="CB86" s="19"/>
    </row>
    <row r="87" spans="28:80" ht="12" customHeight="1" x14ac:dyDescent="0.25">
      <c r="AB87" s="5"/>
      <c r="AC87" s="5"/>
      <c r="AE87" s="53">
        <v>4</v>
      </c>
      <c r="AF87" s="83" t="e">
        <f>IF($AE87=AF$80,(-$AF$42+$AG$42*$AW$19/$AX$19)*$AW$28,"")</f>
        <v>#VALUE!</v>
      </c>
      <c r="AG87" s="84" t="e">
        <f>IF($AE87=AF$80,(-$AG$42-$CB$19-(-$AF$42-$CA$19)*$BZ$19/$BY$19)*$BY$28,"")</f>
        <v>#VALUE!</v>
      </c>
      <c r="AH87" s="83" t="e">
        <f>IF($AE87=AH$80,(-$AH$42+$BC$19+($AI$42-$BD$19)*$BA$19/$BB$19)*$BA$28,"")</f>
        <v>#VALUE!</v>
      </c>
      <c r="AI87" s="84" t="e">
        <f>IF($AE87=AH$80,($AI$42+$BF$19+(-$AH$42-$BE$19)*$BH$19/$BG$19)*$BG$28,"")</f>
        <v>#VALUE!</v>
      </c>
      <c r="AJ87" s="83" t="e">
        <f>IF($AE87=AJ$80,($AJ$42-$BM$19-($AK$42-$BN$19)*$BO$19/$BP$19)*$BO$28,"")</f>
        <v>#VALUE!</v>
      </c>
      <c r="AK87" s="84" t="e">
        <f>IF($AE87=AJ$80,($AK$42-$AJ$42*$BL$19/$BK$19)*$BK$28,"")</f>
        <v>#VALUE!</v>
      </c>
      <c r="AL87" s="83" t="e">
        <f>IF($AE87=AL$80,($AL$42-$AM$42*$BS$19/$BT$19)*$BS$28,"")</f>
        <v>#VALUE!</v>
      </c>
      <c r="AM87" s="84" t="e">
        <f>IF($AE87=AL$80,(-$AM$42+$AL$42*$BV$19/$BU$19)*$BU$28,"")</f>
        <v>#VALUE!</v>
      </c>
      <c r="AO87" s="83" t="e">
        <f>(-$AF$42+$AG$42*$AW$19/$AX$19)</f>
        <v>#VALUE!</v>
      </c>
      <c r="AP87" s="84" t="e">
        <f>(-$AG$42-$CB$19-(-$AF$42-$CA$19)*$BZ$19/$BY$19)</f>
        <v>#VALUE!</v>
      </c>
      <c r="AQ87" s="83" t="e">
        <f>(-$AH$42+$BC$19+($AI$42-$BD$19)*$BA$19/$BB$19)</f>
        <v>#VALUE!</v>
      </c>
      <c r="AR87" s="84" t="e">
        <f>($AI$42+$BF$19+(-$AH$42-$BE$19)*$BH$19/$BG$19)</f>
        <v>#VALUE!</v>
      </c>
      <c r="AS87" s="83" t="e">
        <f>($AJ$42-$BM$19-($AK$42-$BN$19)*$BO$19/$BP$19)</f>
        <v>#VALUE!</v>
      </c>
      <c r="AT87" s="84" t="e">
        <f>($AK$42-$AJ$42*$BL$19/$BK$19)</f>
        <v>#VALUE!</v>
      </c>
      <c r="AU87" s="83" t="e">
        <f>($AL$42-$AM$42*$BS$19/$BT$19)</f>
        <v>#VALUE!</v>
      </c>
      <c r="AV87" s="84" t="e">
        <f>(-$AM$42+$AL$42*$BV$19/$BU$19)</f>
        <v>#VALUE!</v>
      </c>
      <c r="CA87" s="19"/>
      <c r="CB87" s="19"/>
    </row>
    <row r="88" spans="28:80" ht="12" customHeight="1" x14ac:dyDescent="0.25">
      <c r="AB88" s="5"/>
      <c r="AC88" s="5"/>
      <c r="AF88" s="85" t="str">
        <f>IF(ISNUMBER($AF$84),AF$84,IF(ISNUMBER($AF$85),AF$85,IF(ISNUMBER($AF$86),AF$86,IF(ISNUMBER($AF$87),AF$87,""))))</f>
        <v/>
      </c>
      <c r="AG88" s="86" t="str">
        <f>IF(ISNUMBER($AG$84),AG$84,IF(ISNUMBER($AG$85),AG$85,IF(ISNUMBER($AG$86),AG$86,IF(ISNUMBER($AG$87),AG$87,""))))</f>
        <v/>
      </c>
      <c r="AH88" s="85" t="str">
        <f>IF(ISNUMBER($AH$84),AH$84,IF(ISNUMBER($AH$85),AH$85,IF(ISNUMBER($AH$86),AH$86,IF(ISNUMBER($AH$87),AH$87,""))))</f>
        <v/>
      </c>
      <c r="AI88" s="86" t="str">
        <f>IF(ISNUMBER($AI$84),AI$84,IF(ISNUMBER($AI$85),AI$85,IF(ISNUMBER($AI$86),AI$86,IF(ISNUMBER($AI$87),AI$87,""))))</f>
        <v/>
      </c>
      <c r="AJ88" s="85" t="str">
        <f>IF(ISNUMBER($AJ$84),AJ$84,IF(ISNUMBER($AJ$85),AJ$85,IF(ISNUMBER($AJ$86),AJ$86,IF(ISNUMBER($AJ$87),AJ$87,""))))</f>
        <v/>
      </c>
      <c r="AK88" s="86" t="str">
        <f>IF(ISNUMBER($AK$84),AK$84,IF(ISNUMBER($AK$85),AK$85,IF(ISNUMBER($AK$86),AK$86,IF(ISNUMBER($AK$87),AK$87,""))))</f>
        <v/>
      </c>
      <c r="AL88" s="85" t="str">
        <f>IF(ISNUMBER($AL$84),AL$84,IF(ISNUMBER($AL$85),AL$85,IF(ISNUMBER($AL$86),AL$86,IF(ISNUMBER($AL$87),AL$87,""))))</f>
        <v/>
      </c>
      <c r="AM88" s="86" t="str">
        <f>IF(ISNUMBER($AM$84),AM$84,IF(ISNUMBER($AM$85),AM$85,IF(ISNUMBER($AM$86),AM$86,IF(ISNUMBER($AM$87),AM$87,""))))</f>
        <v/>
      </c>
      <c r="CA88" s="19"/>
      <c r="CB88" s="19"/>
    </row>
    <row r="89" spans="28:80" ht="12" customHeight="1" x14ac:dyDescent="0.25">
      <c r="AB89" s="5"/>
      <c r="AC89" s="5"/>
      <c r="CA89" s="19"/>
      <c r="CB89" s="19"/>
    </row>
    <row r="90" spans="28:80" ht="12" customHeight="1" x14ac:dyDescent="0.25">
      <c r="AB90" s="5"/>
      <c r="AC90" s="5"/>
      <c r="CA90" s="19"/>
      <c r="CB90" s="19"/>
    </row>
    <row r="91" spans="28:80" ht="12" customHeight="1" x14ac:dyDescent="0.25">
      <c r="AB91" s="5"/>
      <c r="AC91" s="5"/>
      <c r="CA91" s="19"/>
      <c r="CB91" s="19"/>
    </row>
    <row r="92" spans="28:80" ht="12" customHeight="1" x14ac:dyDescent="0.25">
      <c r="AB92" s="5"/>
      <c r="AC92" s="5"/>
      <c r="CA92" s="19"/>
      <c r="CB92" s="19"/>
    </row>
    <row r="93" spans="28:80" ht="12" customHeight="1" x14ac:dyDescent="0.25">
      <c r="AB93" s="5"/>
      <c r="AC93" s="5"/>
      <c r="CA93" s="19"/>
      <c r="CB93" s="19"/>
    </row>
    <row r="94" spans="28:80" ht="12" customHeight="1" x14ac:dyDescent="0.25">
      <c r="AB94" s="5"/>
      <c r="AC94" s="5"/>
      <c r="CA94" s="19"/>
      <c r="CB94" s="19"/>
    </row>
    <row r="95" spans="28:80" x14ac:dyDescent="0.25">
      <c r="AB95" s="5"/>
      <c r="AC95" s="5"/>
      <c r="CA95" s="19"/>
      <c r="CB95" s="19"/>
    </row>
    <row r="96" spans="28:80" x14ac:dyDescent="0.25">
      <c r="AB96" s="5"/>
      <c r="AC96" s="5"/>
      <c r="CA96" s="19"/>
      <c r="CB96" s="19"/>
    </row>
    <row r="97" spans="28:80" x14ac:dyDescent="0.25">
      <c r="AB97" s="5"/>
      <c r="AC97" s="5"/>
      <c r="CA97" s="19"/>
      <c r="CB97" s="19"/>
    </row>
    <row r="98" spans="28:80" x14ac:dyDescent="0.25">
      <c r="AB98" s="5"/>
      <c r="AC98" s="5"/>
      <c r="CA98" s="19"/>
      <c r="CB98" s="19"/>
    </row>
    <row r="99" spans="28:80" x14ac:dyDescent="0.25">
      <c r="AB99" s="5"/>
      <c r="AC99" s="5"/>
      <c r="CA99" s="19"/>
      <c r="CB99" s="19"/>
    </row>
    <row r="100" spans="28:80" x14ac:dyDescent="0.25">
      <c r="AB100" s="5"/>
      <c r="AC100" s="5"/>
      <c r="CA100" s="19"/>
      <c r="CB100" s="19"/>
    </row>
    <row r="101" spans="28:80" x14ac:dyDescent="0.25">
      <c r="AB101" s="5"/>
      <c r="AC101" s="5"/>
      <c r="CA101" s="19"/>
      <c r="CB101" s="19"/>
    </row>
    <row r="102" spans="28:80" x14ac:dyDescent="0.25">
      <c r="AB102" s="5"/>
      <c r="AC102" s="5"/>
      <c r="CA102" s="19"/>
      <c r="CB102" s="19"/>
    </row>
    <row r="103" spans="28:80" x14ac:dyDescent="0.25">
      <c r="AB103" s="5"/>
      <c r="AC103" s="5"/>
      <c r="CA103" s="19"/>
      <c r="CB103" s="19"/>
    </row>
    <row r="104" spans="28:80" x14ac:dyDescent="0.25">
      <c r="AB104" s="5"/>
      <c r="AC104" s="5"/>
      <c r="CA104" s="19"/>
      <c r="CB104" s="19"/>
    </row>
    <row r="105" spans="28:80" x14ac:dyDescent="0.25">
      <c r="AB105" s="5"/>
      <c r="AC105" s="5"/>
      <c r="CA105" s="19"/>
      <c r="CB105" s="19"/>
    </row>
    <row r="106" spans="28:80" x14ac:dyDescent="0.25">
      <c r="AB106" s="5"/>
      <c r="AC106" s="5"/>
      <c r="CA106" s="19"/>
      <c r="CB106" s="19"/>
    </row>
    <row r="107" spans="28:80" x14ac:dyDescent="0.25">
      <c r="AB107" s="5"/>
      <c r="AC107" s="5"/>
      <c r="CA107" s="19"/>
      <c r="CB107" s="19"/>
    </row>
    <row r="108" spans="28:80" x14ac:dyDescent="0.25">
      <c r="AB108" s="5"/>
      <c r="AC108" s="5"/>
      <c r="CA108" s="19"/>
      <c r="CB108" s="19"/>
    </row>
    <row r="109" spans="28:80" x14ac:dyDescent="0.25">
      <c r="AB109" s="5"/>
      <c r="AC109" s="5"/>
      <c r="CA109" s="19"/>
      <c r="CB109" s="19"/>
    </row>
    <row r="110" spans="28:80" x14ac:dyDescent="0.25">
      <c r="AB110" s="5"/>
      <c r="AC110" s="5"/>
      <c r="CA110" s="19"/>
      <c r="CB110" s="19"/>
    </row>
    <row r="111" spans="28:80" x14ac:dyDescent="0.25">
      <c r="AB111" s="5"/>
      <c r="AC111" s="5"/>
      <c r="CA111" s="19"/>
      <c r="CB111" s="19"/>
    </row>
    <row r="112" spans="28:80" x14ac:dyDescent="0.25">
      <c r="AB112" s="5"/>
      <c r="AC112" s="5"/>
      <c r="CA112" s="19"/>
      <c r="CB112" s="19"/>
    </row>
    <row r="113" spans="28:80" x14ac:dyDescent="0.25">
      <c r="AB113" s="5"/>
      <c r="AC113" s="5"/>
      <c r="CA113" s="19"/>
      <c r="CB113" s="19"/>
    </row>
    <row r="114" spans="28:80" x14ac:dyDescent="0.25">
      <c r="AB114" s="5"/>
      <c r="AC114" s="5"/>
      <c r="CA114" s="19"/>
      <c r="CB114" s="19"/>
    </row>
    <row r="115" spans="28:80" x14ac:dyDescent="0.25">
      <c r="AB115" s="5"/>
      <c r="AC115" s="5"/>
      <c r="CA115" s="19"/>
      <c r="CB115" s="19"/>
    </row>
    <row r="116" spans="28:80" x14ac:dyDescent="0.25">
      <c r="AB116" s="5"/>
      <c r="AC116" s="5"/>
      <c r="CA116" s="19"/>
      <c r="CB116" s="19"/>
    </row>
    <row r="117" spans="28:80" x14ac:dyDescent="0.25">
      <c r="AB117" s="5"/>
      <c r="AC117" s="5"/>
      <c r="CA117" s="19"/>
      <c r="CB117" s="19"/>
    </row>
    <row r="118" spans="28:80" x14ac:dyDescent="0.25">
      <c r="AB118" s="5"/>
      <c r="AC118" s="5"/>
      <c r="CA118" s="19"/>
      <c r="CB118" s="19"/>
    </row>
    <row r="119" spans="28:80" x14ac:dyDescent="0.25">
      <c r="AB119" s="5"/>
      <c r="AC119" s="5"/>
      <c r="CA119" s="19"/>
      <c r="CB119" s="19"/>
    </row>
    <row r="120" spans="28:80" x14ac:dyDescent="0.25">
      <c r="AB120" s="5"/>
      <c r="AC120" s="5"/>
      <c r="CA120" s="19"/>
      <c r="CB120" s="19"/>
    </row>
    <row r="121" spans="28:80" x14ac:dyDescent="0.25">
      <c r="AB121" s="5"/>
      <c r="AC121" s="5"/>
      <c r="CA121" s="19"/>
      <c r="CB121" s="19"/>
    </row>
    <row r="122" spans="28:80" x14ac:dyDescent="0.25">
      <c r="AB122" s="5"/>
      <c r="AC122" s="5"/>
      <c r="CA122" s="19"/>
      <c r="CB122" s="19"/>
    </row>
    <row r="123" spans="28:80" x14ac:dyDescent="0.25">
      <c r="AB123" s="5"/>
      <c r="AC123" s="5"/>
      <c r="CA123" s="19"/>
      <c r="CB123" s="19"/>
    </row>
    <row r="124" spans="28:80" x14ac:dyDescent="0.25">
      <c r="AB124" s="5"/>
      <c r="AC124" s="5"/>
      <c r="CA124" s="19"/>
      <c r="CB124" s="19"/>
    </row>
    <row r="125" spans="28:80" x14ac:dyDescent="0.25">
      <c r="AB125" s="5"/>
      <c r="AC125" s="5"/>
      <c r="CA125" s="19"/>
      <c r="CB125" s="19"/>
    </row>
    <row r="126" spans="28:80" x14ac:dyDescent="0.25">
      <c r="AB126" s="5"/>
      <c r="AC126" s="5"/>
      <c r="CA126" s="19"/>
      <c r="CB126" s="19"/>
    </row>
    <row r="127" spans="28:80" x14ac:dyDescent="0.25">
      <c r="AB127" s="5"/>
      <c r="AC127" s="5"/>
      <c r="CA127" s="19"/>
      <c r="CB127" s="19"/>
    </row>
    <row r="128" spans="28:80" x14ac:dyDescent="0.25">
      <c r="AB128" s="5"/>
      <c r="AC128" s="5"/>
      <c r="CA128" s="19"/>
      <c r="CB128" s="19"/>
    </row>
    <row r="129" spans="28:80" x14ac:dyDescent="0.25">
      <c r="AB129" s="5"/>
      <c r="AC129" s="5"/>
      <c r="CA129" s="19"/>
      <c r="CB129" s="19"/>
    </row>
    <row r="130" spans="28:80" x14ac:dyDescent="0.25">
      <c r="AB130" s="5"/>
      <c r="AC130" s="5"/>
      <c r="CA130" s="19"/>
      <c r="CB130" s="19"/>
    </row>
    <row r="131" spans="28:80" x14ac:dyDescent="0.25">
      <c r="AB131" s="5"/>
      <c r="AC131" s="5"/>
      <c r="CA131" s="19"/>
      <c r="CB131" s="19"/>
    </row>
    <row r="132" spans="28:80" x14ac:dyDescent="0.25">
      <c r="AB132" s="5"/>
      <c r="AC132" s="5"/>
      <c r="CA132" s="19"/>
      <c r="CB132" s="19"/>
    </row>
    <row r="133" spans="28:80" x14ac:dyDescent="0.25">
      <c r="AB133" s="5"/>
      <c r="AC133" s="5"/>
      <c r="CA133" s="19"/>
      <c r="CB133" s="19"/>
    </row>
    <row r="134" spans="28:80" x14ac:dyDescent="0.25">
      <c r="AB134" s="5"/>
      <c r="AC134" s="5"/>
      <c r="CA134" s="19"/>
      <c r="CB134" s="19"/>
    </row>
    <row r="135" spans="28:80" x14ac:dyDescent="0.25">
      <c r="AB135" s="5"/>
      <c r="AC135" s="5"/>
      <c r="CA135" s="19"/>
      <c r="CB135" s="19"/>
    </row>
    <row r="136" spans="28:80" x14ac:dyDescent="0.25">
      <c r="AB136" s="5"/>
      <c r="AC136" s="5"/>
      <c r="CA136" s="19"/>
      <c r="CB136" s="19"/>
    </row>
    <row r="137" spans="28:80" x14ac:dyDescent="0.25">
      <c r="AB137" s="5"/>
      <c r="AC137" s="5"/>
      <c r="CA137" s="19"/>
      <c r="CB137" s="19"/>
    </row>
    <row r="138" spans="28:80" x14ac:dyDescent="0.25">
      <c r="AB138" s="5"/>
      <c r="AC138" s="5"/>
      <c r="CA138" s="19"/>
      <c r="CB138" s="19"/>
    </row>
    <row r="139" spans="28:80" x14ac:dyDescent="0.25">
      <c r="AB139" s="5"/>
      <c r="AC139" s="5"/>
      <c r="CA139" s="19"/>
      <c r="CB139" s="19"/>
    </row>
    <row r="140" spans="28:80" x14ac:dyDescent="0.25">
      <c r="AB140" s="5"/>
      <c r="AC140" s="5"/>
      <c r="CA140" s="19"/>
      <c r="CB140" s="19"/>
    </row>
    <row r="141" spans="28:80" x14ac:dyDescent="0.25">
      <c r="AB141" s="5"/>
      <c r="AC141" s="5"/>
      <c r="CA141" s="19"/>
      <c r="CB141" s="19"/>
    </row>
    <row r="142" spans="28:80" x14ac:dyDescent="0.25">
      <c r="AB142" s="5"/>
      <c r="AC142" s="5"/>
      <c r="CA142" s="19"/>
      <c r="CB142" s="19"/>
    </row>
    <row r="143" spans="28:80" x14ac:dyDescent="0.25">
      <c r="AB143" s="5"/>
      <c r="AC143" s="5"/>
      <c r="CA143" s="19"/>
      <c r="CB143" s="19"/>
    </row>
    <row r="144" spans="28:80" x14ac:dyDescent="0.25">
      <c r="AB144" s="5"/>
      <c r="AC144" s="5"/>
      <c r="CA144" s="19"/>
      <c r="CB144" s="19"/>
    </row>
    <row r="145" spans="28:80" x14ac:dyDescent="0.25">
      <c r="AB145" s="5"/>
      <c r="AC145" s="5"/>
      <c r="CA145" s="19"/>
      <c r="CB145" s="19"/>
    </row>
    <row r="146" spans="28:80" x14ac:dyDescent="0.25">
      <c r="AB146" s="5"/>
      <c r="AC146" s="5"/>
      <c r="CA146" s="19"/>
      <c r="CB146" s="19"/>
    </row>
    <row r="147" spans="28:80" x14ac:dyDescent="0.25">
      <c r="AB147" s="5"/>
      <c r="AC147" s="5"/>
      <c r="CA147" s="19"/>
      <c r="CB147" s="19"/>
    </row>
    <row r="148" spans="28:80" x14ac:dyDescent="0.25">
      <c r="AB148" s="5"/>
      <c r="AC148" s="5"/>
      <c r="CA148" s="19"/>
      <c r="CB148" s="19"/>
    </row>
    <row r="149" spans="28:80" x14ac:dyDescent="0.25">
      <c r="AB149" s="5"/>
      <c r="AC149" s="5"/>
      <c r="CA149" s="19"/>
      <c r="CB149" s="19"/>
    </row>
    <row r="150" spans="28:80" x14ac:dyDescent="0.25">
      <c r="AB150" s="5"/>
      <c r="AC150" s="5"/>
      <c r="CA150" s="19"/>
      <c r="CB150" s="19"/>
    </row>
    <row r="151" spans="28:80" x14ac:dyDescent="0.25">
      <c r="AB151" s="5"/>
      <c r="AC151" s="5"/>
      <c r="CA151" s="19"/>
      <c r="CB151" s="19"/>
    </row>
    <row r="152" spans="28:80" x14ac:dyDescent="0.25">
      <c r="AB152" s="5"/>
      <c r="AC152" s="5"/>
      <c r="CA152" s="19"/>
      <c r="CB152" s="19"/>
    </row>
    <row r="153" spans="28:80" x14ac:dyDescent="0.25">
      <c r="AB153" s="5"/>
      <c r="AC153" s="5"/>
      <c r="CA153" s="19"/>
      <c r="CB153" s="19"/>
    </row>
    <row r="154" spans="28:80" x14ac:dyDescent="0.25">
      <c r="AB154" s="5"/>
      <c r="AC154" s="5"/>
      <c r="CA154" s="19"/>
      <c r="CB154" s="19"/>
    </row>
    <row r="155" spans="28:80" x14ac:dyDescent="0.25">
      <c r="AB155" s="5"/>
      <c r="CA155" s="19"/>
      <c r="CB155" s="19"/>
    </row>
    <row r="156" spans="28:80" x14ac:dyDescent="0.25">
      <c r="AB156" s="5"/>
    </row>
  </sheetData>
  <sheetProtection sheet="1" objects="1" scenarios="1"/>
  <mergeCells count="143">
    <mergeCell ref="AQ3:AQ4"/>
    <mergeCell ref="AA3:AB4"/>
    <mergeCell ref="AR3:AR4"/>
    <mergeCell ref="AP18:AQ18"/>
    <mergeCell ref="AF18:AG18"/>
    <mergeCell ref="BI20:BL20"/>
    <mergeCell ref="AR18:AS18"/>
    <mergeCell ref="BA20:BD20"/>
    <mergeCell ref="BM20:BP20"/>
    <mergeCell ref="AJ80:AK80"/>
    <mergeCell ref="AF79:AG79"/>
    <mergeCell ref="BC17:BD17"/>
    <mergeCell ref="AH79:AI79"/>
    <mergeCell ref="BE17:BF17"/>
    <mergeCell ref="N15:O15"/>
    <mergeCell ref="BQ17:BR17"/>
    <mergeCell ref="AD17:AU17"/>
    <mergeCell ref="AH45:AI45"/>
    <mergeCell ref="AF69:AG69"/>
    <mergeCell ref="Q26:R26"/>
    <mergeCell ref="AJ69:AK69"/>
    <mergeCell ref="AH48:AI48"/>
    <mergeCell ref="AH46:AI46"/>
    <mergeCell ref="AF82:AG82"/>
    <mergeCell ref="BE24:BL24"/>
    <mergeCell ref="AH18:AI18"/>
    <mergeCell ref="AJ58:AK58"/>
    <mergeCell ref="AF57:AG57"/>
    <mergeCell ref="BU20:BX20"/>
    <mergeCell ref="AT18:AU18"/>
    <mergeCell ref="L38:M41"/>
    <mergeCell ref="AH82:AI82"/>
    <mergeCell ref="AJ82:AK82"/>
    <mergeCell ref="AJ57:AK57"/>
    <mergeCell ref="AF68:AG68"/>
    <mergeCell ref="AL57:AM57"/>
    <mergeCell ref="W39:X40"/>
    <mergeCell ref="AH50:AI50"/>
    <mergeCell ref="AH69:AI69"/>
    <mergeCell ref="AL69:AM69"/>
    <mergeCell ref="AL82:AM82"/>
    <mergeCell ref="AL79:AM79"/>
    <mergeCell ref="AL48:AM48"/>
    <mergeCell ref="V56:W56"/>
    <mergeCell ref="AF71:AG71"/>
    <mergeCell ref="AH47:AI47"/>
    <mergeCell ref="AJ47:AK47"/>
    <mergeCell ref="AH80:AI80"/>
    <mergeCell ref="AJ5:AM5"/>
    <mergeCell ref="AF48:AG48"/>
    <mergeCell ref="AW17:AX17"/>
    <mergeCell ref="B7:C7"/>
    <mergeCell ref="AD24:AE24"/>
    <mergeCell ref="G42:H42"/>
    <mergeCell ref="AL80:AM80"/>
    <mergeCell ref="V23:W23"/>
    <mergeCell ref="Q42:R42"/>
    <mergeCell ref="B56:C56"/>
    <mergeCell ref="AF12:AH12"/>
    <mergeCell ref="AJ7:AK7"/>
    <mergeCell ref="AL7:AM7"/>
    <mergeCell ref="AJ48:AK48"/>
    <mergeCell ref="AW24:BD24"/>
    <mergeCell ref="AJ18:AK18"/>
    <mergeCell ref="E6:F6"/>
    <mergeCell ref="AL18:AM18"/>
    <mergeCell ref="AH68:AI68"/>
    <mergeCell ref="E5:H5"/>
    <mergeCell ref="AD36:AE36"/>
    <mergeCell ref="AD30:AE30"/>
    <mergeCell ref="AF45:AG45"/>
    <mergeCell ref="C3:G3"/>
    <mergeCell ref="BI17:BJ17"/>
    <mergeCell ref="BU17:BV17"/>
    <mergeCell ref="AL45:AM45"/>
    <mergeCell ref="BW17:BX17"/>
    <mergeCell ref="B6:C6"/>
    <mergeCell ref="T5:V5"/>
    <mergeCell ref="AV5:AX6"/>
    <mergeCell ref="K6:L6"/>
    <mergeCell ref="X5:Y5"/>
    <mergeCell ref="G26:H26"/>
    <mergeCell ref="AJ45:AK45"/>
    <mergeCell ref="BS17:BT17"/>
    <mergeCell ref="I6:J6"/>
    <mergeCell ref="N16:O16"/>
    <mergeCell ref="AA5:AH10"/>
    <mergeCell ref="AS6:AT6"/>
    <mergeCell ref="BG17:BH17"/>
    <mergeCell ref="AY17:AZ17"/>
    <mergeCell ref="BA17:BB17"/>
    <mergeCell ref="BM17:BN17"/>
    <mergeCell ref="BO17:BP17"/>
    <mergeCell ref="N12:Q12"/>
    <mergeCell ref="AS3:AS4"/>
    <mergeCell ref="AF80:AG80"/>
    <mergeCell ref="A39:B40"/>
    <mergeCell ref="AH58:AI58"/>
    <mergeCell ref="AL47:AM47"/>
    <mergeCell ref="BY17:BZ17"/>
    <mergeCell ref="C2:G2"/>
    <mergeCell ref="AF58:AG58"/>
    <mergeCell ref="BE20:BH20"/>
    <mergeCell ref="BU24:CB24"/>
    <mergeCell ref="B9:C9"/>
    <mergeCell ref="BM24:BT24"/>
    <mergeCell ref="BQ20:BT20"/>
    <mergeCell ref="AF60:AG60"/>
    <mergeCell ref="AL58:AM58"/>
    <mergeCell ref="AO6:AP6"/>
    <mergeCell ref="AF47:AG47"/>
    <mergeCell ref="AQ6:AR6"/>
    <mergeCell ref="AF46:AG46"/>
    <mergeCell ref="AJ60:AK60"/>
    <mergeCell ref="AT3:AT4"/>
    <mergeCell ref="AL60:AM60"/>
    <mergeCell ref="AJ50:AK50"/>
    <mergeCell ref="AJ46:AK46"/>
    <mergeCell ref="AL46:AM46"/>
    <mergeCell ref="CA17:CB17"/>
    <mergeCell ref="B10:C10"/>
    <mergeCell ref="AO5:AP5"/>
    <mergeCell ref="AL71:AM71"/>
    <mergeCell ref="AH60:AI60"/>
    <mergeCell ref="AN18:AO18"/>
    <mergeCell ref="AF50:AG50"/>
    <mergeCell ref="AJ79:AK79"/>
    <mergeCell ref="BY20:CB20"/>
    <mergeCell ref="L56:M56"/>
    <mergeCell ref="BK17:BL17"/>
    <mergeCell ref="AL50:AM50"/>
    <mergeCell ref="AW20:AZ20"/>
    <mergeCell ref="AH57:AI57"/>
    <mergeCell ref="AD42:AE42"/>
    <mergeCell ref="I5:L5"/>
    <mergeCell ref="B23:C23"/>
    <mergeCell ref="G6:H6"/>
    <mergeCell ref="L23:M23"/>
    <mergeCell ref="B8:C8"/>
    <mergeCell ref="AJ68:AK68"/>
    <mergeCell ref="AL68:AM68"/>
    <mergeCell ref="AH71:AI71"/>
    <mergeCell ref="AJ71:AK71"/>
  </mergeCells>
  <conditionalFormatting sqref="L38:M41">
    <cfRule type="expression" dxfId="1063" priority="50">
      <formula>$CE$20&gt;3</formula>
    </cfRule>
    <cfRule type="expression" dxfId="1062" priority="51">
      <formula>$CE$20&lt;0.1</formula>
    </cfRule>
  </conditionalFormatting>
  <conditionalFormatting sqref="P15:P16">
    <cfRule type="expression" dxfId="1061" priority="48">
      <formula>IF($Q$13=2,1)</formula>
    </cfRule>
  </conditionalFormatting>
  <conditionalFormatting sqref="AF52:AG52">
    <cfRule type="expression" dxfId="1060" priority="238">
      <formula>$AF48=1</formula>
    </cfRule>
  </conditionalFormatting>
  <conditionalFormatting sqref="AF53:AG53">
    <cfRule type="expression" dxfId="1059" priority="234">
      <formula>$AF48=2</formula>
    </cfRule>
  </conditionalFormatting>
  <conditionalFormatting sqref="AF54:AG54">
    <cfRule type="expression" dxfId="1058" priority="230">
      <formula>$AF48=3</formula>
    </cfRule>
  </conditionalFormatting>
  <conditionalFormatting sqref="AF55:AG55">
    <cfRule type="expression" dxfId="1057" priority="226">
      <formula>$AF48=4</formula>
    </cfRule>
  </conditionalFormatting>
  <conditionalFormatting sqref="AF62:AG62">
    <cfRule type="expression" dxfId="1056" priority="207">
      <formula>$AF$58=1</formula>
    </cfRule>
  </conditionalFormatting>
  <conditionalFormatting sqref="AF63:AG63">
    <cfRule type="expression" dxfId="1055" priority="211">
      <formula>$AF$58=2</formula>
    </cfRule>
  </conditionalFormatting>
  <conditionalFormatting sqref="AF64:AG64">
    <cfRule type="expression" dxfId="1054" priority="215">
      <formula>$AF$58=3</formula>
    </cfRule>
  </conditionalFormatting>
  <conditionalFormatting sqref="AF65:AG65">
    <cfRule type="expression" dxfId="1053" priority="219">
      <formula>$AF$58=4</formula>
    </cfRule>
  </conditionalFormatting>
  <conditionalFormatting sqref="AF73:AG73">
    <cfRule type="expression" dxfId="1052" priority="191">
      <formula>$AF$69=1</formula>
    </cfRule>
  </conditionalFormatting>
  <conditionalFormatting sqref="AF74:AG74">
    <cfRule type="expression" dxfId="1051" priority="195">
      <formula>$AF$69=2</formula>
    </cfRule>
  </conditionalFormatting>
  <conditionalFormatting sqref="AF75:AG75">
    <cfRule type="expression" dxfId="1050" priority="161">
      <formula>$AF$69=3</formula>
    </cfRule>
  </conditionalFormatting>
  <conditionalFormatting sqref="AF76:AG76">
    <cfRule type="expression" dxfId="1049" priority="160">
      <formula>$AF$69=4</formula>
    </cfRule>
  </conditionalFormatting>
  <conditionalFormatting sqref="AF84:AG84">
    <cfRule type="expression" dxfId="1048" priority="175">
      <formula>$AF$80=1</formula>
    </cfRule>
  </conditionalFormatting>
  <conditionalFormatting sqref="AF85:AG85">
    <cfRule type="expression" dxfId="1047" priority="179">
      <formula>$AF$80=2</formula>
    </cfRule>
  </conditionalFormatting>
  <conditionalFormatting sqref="AF86:AG86">
    <cfRule type="expression" dxfId="1046" priority="183">
      <formula>$AF$80=3</formula>
    </cfRule>
  </conditionalFormatting>
  <conditionalFormatting sqref="AF87:AG87">
    <cfRule type="expression" dxfId="1045" priority="187">
      <formula>$AF$80=4</formula>
    </cfRule>
  </conditionalFormatting>
  <conditionalFormatting sqref="AF48:AM48">
    <cfRule type="cellIs" dxfId="1044" priority="1" operator="between">
      <formula>1</formula>
      <formula>4</formula>
    </cfRule>
  </conditionalFormatting>
  <conditionalFormatting sqref="AF58:AM58">
    <cfRule type="cellIs" dxfId="1043" priority="110" operator="between">
      <formula>1</formula>
      <formula>4</formula>
    </cfRule>
  </conditionalFormatting>
  <conditionalFormatting sqref="AF69:AM69">
    <cfRule type="cellIs" dxfId="1042" priority="104" operator="between">
      <formula>1</formula>
      <formula>4</formula>
    </cfRule>
  </conditionalFormatting>
  <conditionalFormatting sqref="AF80:AM80">
    <cfRule type="cellIs" dxfId="1041" priority="101" operator="between">
      <formula>1</formula>
      <formula>4</formula>
    </cfRule>
  </conditionalFormatting>
  <conditionalFormatting sqref="AH52:AI52">
    <cfRule type="expression" dxfId="1040" priority="237">
      <formula>$AH48=1</formula>
    </cfRule>
  </conditionalFormatting>
  <conditionalFormatting sqref="AH53:AI53">
    <cfRule type="expression" dxfId="1039" priority="233">
      <formula>$AH48=2</formula>
    </cfRule>
  </conditionalFormatting>
  <conditionalFormatting sqref="AH54:AI54">
    <cfRule type="expression" dxfId="1038" priority="229">
      <formula>$AH48=3</formula>
    </cfRule>
  </conditionalFormatting>
  <conditionalFormatting sqref="AH55:AI55">
    <cfRule type="expression" dxfId="1037" priority="225">
      <formula>$AH48=4</formula>
    </cfRule>
  </conditionalFormatting>
  <conditionalFormatting sqref="AH62:AI62">
    <cfRule type="expression" dxfId="1036" priority="206">
      <formula>$AH$58=1</formula>
    </cfRule>
  </conditionalFormatting>
  <conditionalFormatting sqref="AH63:AI63">
    <cfRule type="expression" dxfId="1035" priority="210">
      <formula>$AH$58=2</formula>
    </cfRule>
  </conditionalFormatting>
  <conditionalFormatting sqref="AH64:AI64">
    <cfRule type="expression" dxfId="1034" priority="214">
      <formula>$AH$58=3</formula>
    </cfRule>
  </conditionalFormatting>
  <conditionalFormatting sqref="AH65:AI65">
    <cfRule type="expression" dxfId="1033" priority="218">
      <formula>$AH$58=4</formula>
    </cfRule>
  </conditionalFormatting>
  <conditionalFormatting sqref="AH73:AI73">
    <cfRule type="expression" dxfId="1032" priority="158">
      <formula>$AH$69=1</formula>
    </cfRule>
  </conditionalFormatting>
  <conditionalFormatting sqref="AH74:AI74">
    <cfRule type="expression" dxfId="1031" priority="159">
      <formula>$AH$69=2</formula>
    </cfRule>
  </conditionalFormatting>
  <conditionalFormatting sqref="AH75:AI75">
    <cfRule type="expression" dxfId="1030" priority="157">
      <formula>$AH$69=3</formula>
    </cfRule>
  </conditionalFormatting>
  <conditionalFormatting sqref="AH76:AI76">
    <cfRule type="expression" dxfId="1029" priority="156">
      <formula>$AH$69=4</formula>
    </cfRule>
  </conditionalFormatting>
  <conditionalFormatting sqref="AH84:AI84">
    <cfRule type="expression" dxfId="1028" priority="174">
      <formula>$AH$80=1</formula>
    </cfRule>
  </conditionalFormatting>
  <conditionalFormatting sqref="AH85:AI85">
    <cfRule type="expression" dxfId="1027" priority="178">
      <formula>$AH$80=2</formula>
    </cfRule>
  </conditionalFormatting>
  <conditionalFormatting sqref="AH86:AI86">
    <cfRule type="expression" dxfId="1026" priority="182">
      <formula>$AH$80=3</formula>
    </cfRule>
  </conditionalFormatting>
  <conditionalFormatting sqref="AH87:AI87">
    <cfRule type="expression" dxfId="1025" priority="186">
      <formula>$AH$80=4</formula>
    </cfRule>
  </conditionalFormatting>
  <conditionalFormatting sqref="AJ52:AK52">
    <cfRule type="expression" dxfId="1024" priority="236">
      <formula>$AJ48=1</formula>
    </cfRule>
  </conditionalFormatting>
  <conditionalFormatting sqref="AJ53:AK53">
    <cfRule type="expression" dxfId="1023" priority="232">
      <formula>$AJ48=2</formula>
    </cfRule>
  </conditionalFormatting>
  <conditionalFormatting sqref="AJ54:AK54">
    <cfRule type="expression" dxfId="1022" priority="228">
      <formula>$AJ48=3</formula>
    </cfRule>
  </conditionalFormatting>
  <conditionalFormatting sqref="AJ55:AK55">
    <cfRule type="expression" dxfId="1021" priority="224">
      <formula>$AJ48=4</formula>
    </cfRule>
  </conditionalFormatting>
  <conditionalFormatting sqref="AJ62:AK62">
    <cfRule type="expression" dxfId="1020" priority="205">
      <formula>$AJ$58=1</formula>
    </cfRule>
  </conditionalFormatting>
  <conditionalFormatting sqref="AJ63:AK63">
    <cfRule type="expression" dxfId="1019" priority="209">
      <formula>$AJ$58=2</formula>
    </cfRule>
  </conditionalFormatting>
  <conditionalFormatting sqref="AJ64:AK64">
    <cfRule type="expression" dxfId="1018" priority="213">
      <formula>$AJ$58=3</formula>
    </cfRule>
  </conditionalFormatting>
  <conditionalFormatting sqref="AJ65:AK65">
    <cfRule type="expression" dxfId="1017" priority="217">
      <formula>$AJ$58=4</formula>
    </cfRule>
  </conditionalFormatting>
  <conditionalFormatting sqref="AJ73:AK73">
    <cfRule type="expression" dxfId="1016" priority="154">
      <formula>$AJ$69=1</formula>
    </cfRule>
  </conditionalFormatting>
  <conditionalFormatting sqref="AJ74:AK74">
    <cfRule type="expression" dxfId="1015" priority="155">
      <formula>$AJ$69=2</formula>
    </cfRule>
  </conditionalFormatting>
  <conditionalFormatting sqref="AJ75:AK75">
    <cfRule type="expression" dxfId="1014" priority="153">
      <formula>$AJ$69=3</formula>
    </cfRule>
  </conditionalFormatting>
  <conditionalFormatting sqref="AJ76:AK76">
    <cfRule type="expression" dxfId="1013" priority="152">
      <formula>$AJ$69=4</formula>
    </cfRule>
  </conditionalFormatting>
  <conditionalFormatting sqref="AJ84:AK84">
    <cfRule type="expression" dxfId="1012" priority="173">
      <formula>$AJ$80=1</formula>
    </cfRule>
  </conditionalFormatting>
  <conditionalFormatting sqref="AJ85:AK85">
    <cfRule type="expression" dxfId="1011" priority="177">
      <formula>$AJ$80=2</formula>
    </cfRule>
  </conditionalFormatting>
  <conditionalFormatting sqref="AJ86:AK86">
    <cfRule type="expression" dxfId="1010" priority="181">
      <formula>$AJ$80=3</formula>
    </cfRule>
  </conditionalFormatting>
  <conditionalFormatting sqref="AJ87:AK87">
    <cfRule type="expression" dxfId="1009" priority="185">
      <formula>$AJ$80=4</formula>
    </cfRule>
  </conditionalFormatting>
  <conditionalFormatting sqref="AL52:AM52">
    <cfRule type="expression" dxfId="1008" priority="235">
      <formula>$AL48=1</formula>
    </cfRule>
  </conditionalFormatting>
  <conditionalFormatting sqref="AL53:AM53">
    <cfRule type="expression" dxfId="1007" priority="231">
      <formula>$AL48=2</formula>
    </cfRule>
  </conditionalFormatting>
  <conditionalFormatting sqref="AL54:AM54">
    <cfRule type="expression" dxfId="1006" priority="227">
      <formula>$AL48=3</formula>
    </cfRule>
  </conditionalFormatting>
  <conditionalFormatting sqref="AL55:AM55">
    <cfRule type="expression" dxfId="1005" priority="223">
      <formula>$AL48=4</formula>
    </cfRule>
  </conditionalFormatting>
  <conditionalFormatting sqref="AL62:AM62">
    <cfRule type="expression" dxfId="1004" priority="204">
      <formula>$AL$58=1</formula>
    </cfRule>
  </conditionalFormatting>
  <conditionalFormatting sqref="AL63:AM63">
    <cfRule type="expression" dxfId="1003" priority="208">
      <formula>$AL$58=2</formula>
    </cfRule>
  </conditionalFormatting>
  <conditionalFormatting sqref="AL64:AM64">
    <cfRule type="expression" dxfId="1002" priority="212">
      <formula>$AL$58=3</formula>
    </cfRule>
  </conditionalFormatting>
  <conditionalFormatting sqref="AL65:AM65">
    <cfRule type="expression" dxfId="1001" priority="216">
      <formula>$AL$58=4</formula>
    </cfRule>
  </conditionalFormatting>
  <conditionalFormatting sqref="AL73:AM73">
    <cfRule type="expression" dxfId="1000" priority="150">
      <formula>$AL$69=1</formula>
    </cfRule>
  </conditionalFormatting>
  <conditionalFormatting sqref="AL74:AM74">
    <cfRule type="expression" dxfId="999" priority="151">
      <formula>$AL$69=2</formula>
    </cfRule>
  </conditionalFormatting>
  <conditionalFormatting sqref="AL75:AM75">
    <cfRule type="expression" dxfId="998" priority="149">
      <formula>$AL$69=3</formula>
    </cfRule>
  </conditionalFormatting>
  <conditionalFormatting sqref="AL76:AM76">
    <cfRule type="expression" dxfId="997" priority="148">
      <formula>$AL$69=4</formula>
    </cfRule>
  </conditionalFormatting>
  <conditionalFormatting sqref="AL84:AM84">
    <cfRule type="expression" dxfId="996" priority="172">
      <formula>$AL$80=1</formula>
    </cfRule>
  </conditionalFormatting>
  <conditionalFormatting sqref="AL85:AM85">
    <cfRule type="expression" dxfId="995" priority="176">
      <formula>$AL$80=2</formula>
    </cfRule>
  </conditionalFormatting>
  <conditionalFormatting sqref="AL86:AM86">
    <cfRule type="expression" dxfId="994" priority="180">
      <formula>$AL$80=3</formula>
    </cfRule>
  </conditionalFormatting>
  <conditionalFormatting sqref="AL87:AM87">
    <cfRule type="expression" dxfId="993" priority="184">
      <formula>$AL$80=4</formula>
    </cfRule>
  </conditionalFormatting>
  <conditionalFormatting sqref="AO52:AP52">
    <cfRule type="expression" dxfId="992" priority="9">
      <formula>$AF$48=1</formula>
    </cfRule>
  </conditionalFormatting>
  <conditionalFormatting sqref="AO53:AP53">
    <cfRule type="expression" dxfId="991" priority="13">
      <formula>$AF$48=2</formula>
    </cfRule>
  </conditionalFormatting>
  <conditionalFormatting sqref="AO54:AP54">
    <cfRule type="expression" dxfId="990" priority="17">
      <formula>$AF$48=3</formula>
    </cfRule>
  </conditionalFormatting>
  <conditionalFormatting sqref="AO55:AP55">
    <cfRule type="expression" dxfId="989" priority="21">
      <formula>$AF$48=4</formula>
    </cfRule>
  </conditionalFormatting>
  <conditionalFormatting sqref="AO62:AP62">
    <cfRule type="expression" dxfId="988" priority="118">
      <formula>$AF$58=1</formula>
    </cfRule>
  </conditionalFormatting>
  <conditionalFormatting sqref="AO63:AP63">
    <cfRule type="expression" dxfId="987" priority="122">
      <formula>$AF$58=2</formula>
    </cfRule>
  </conditionalFormatting>
  <conditionalFormatting sqref="AO64:AP64">
    <cfRule type="expression" dxfId="986" priority="126">
      <formula>$AF$58=3</formula>
    </cfRule>
  </conditionalFormatting>
  <conditionalFormatting sqref="AO65:AP65">
    <cfRule type="expression" dxfId="985" priority="130">
      <formula>$AF$58=4</formula>
    </cfRule>
  </conditionalFormatting>
  <conditionalFormatting sqref="AO73:AP73">
    <cfRule type="expression" dxfId="984" priority="99">
      <formula>$AF$69=1</formula>
    </cfRule>
  </conditionalFormatting>
  <conditionalFormatting sqref="AO74:AP74">
    <cfRule type="expression" dxfId="983" priority="100">
      <formula>$AF$69=2</formula>
    </cfRule>
  </conditionalFormatting>
  <conditionalFormatting sqref="AO75:AP75">
    <cfRule type="expression" dxfId="982" priority="98">
      <formula>$AF$69=3</formula>
    </cfRule>
  </conditionalFormatting>
  <conditionalFormatting sqref="AO76:AP76">
    <cfRule type="expression" dxfId="981" priority="97">
      <formula>$AF$69=4</formula>
    </cfRule>
  </conditionalFormatting>
  <conditionalFormatting sqref="AO84:AP84">
    <cfRule type="expression" dxfId="980" priority="67">
      <formula>$AF$80=1</formula>
    </cfRule>
  </conditionalFormatting>
  <conditionalFormatting sqref="AO85:AP85">
    <cfRule type="expression" dxfId="979" priority="68">
      <formula>$AF$80=2</formula>
    </cfRule>
  </conditionalFormatting>
  <conditionalFormatting sqref="AO86:AP86">
    <cfRule type="expression" dxfId="978" priority="66">
      <formula>$AF$80=3</formula>
    </cfRule>
  </conditionalFormatting>
  <conditionalFormatting sqref="AO87:AP87">
    <cfRule type="expression" dxfId="977" priority="65">
      <formula>$AF$80=4</formula>
    </cfRule>
  </conditionalFormatting>
  <conditionalFormatting sqref="AQ52:AR52">
    <cfRule type="expression" dxfId="976" priority="5">
      <formula>$AH48=1</formula>
    </cfRule>
  </conditionalFormatting>
  <conditionalFormatting sqref="AQ53:AR53">
    <cfRule type="expression" dxfId="975" priority="4">
      <formula>$AH48=2</formula>
    </cfRule>
  </conditionalFormatting>
  <conditionalFormatting sqref="AQ54:AR54">
    <cfRule type="expression" dxfId="974" priority="3">
      <formula>$AH48=3</formula>
    </cfRule>
  </conditionalFormatting>
  <conditionalFormatting sqref="AQ55:AR55">
    <cfRule type="expression" dxfId="973" priority="2">
      <formula>$AH48=4</formula>
    </cfRule>
  </conditionalFormatting>
  <conditionalFormatting sqref="AQ62:AR62">
    <cfRule type="expression" dxfId="972" priority="117">
      <formula>$AH$58=1</formula>
    </cfRule>
  </conditionalFormatting>
  <conditionalFormatting sqref="AQ63:AR63">
    <cfRule type="expression" dxfId="971" priority="121">
      <formula>$AH$58=2</formula>
    </cfRule>
  </conditionalFormatting>
  <conditionalFormatting sqref="AQ64:AR64">
    <cfRule type="expression" dxfId="970" priority="125">
      <formula>$AH$58=3</formula>
    </cfRule>
  </conditionalFormatting>
  <conditionalFormatting sqref="AQ65:AR65">
    <cfRule type="expression" dxfId="969" priority="129">
      <formula>$AH$58=4</formula>
    </cfRule>
  </conditionalFormatting>
  <conditionalFormatting sqref="AQ73:AR73">
    <cfRule type="expression" dxfId="968" priority="95">
      <formula>$AH$69=1</formula>
    </cfRule>
  </conditionalFormatting>
  <conditionalFormatting sqref="AQ74:AR74">
    <cfRule type="expression" dxfId="967" priority="96">
      <formula>$AH$69=2</formula>
    </cfRule>
  </conditionalFormatting>
  <conditionalFormatting sqref="AQ75:AR75">
    <cfRule type="expression" dxfId="966" priority="94">
      <formula>$AH$69=3</formula>
    </cfRule>
  </conditionalFormatting>
  <conditionalFormatting sqref="AQ76:AR76">
    <cfRule type="expression" dxfId="965" priority="93">
      <formula>$AH$69=4</formula>
    </cfRule>
  </conditionalFormatting>
  <conditionalFormatting sqref="AQ84:AR84">
    <cfRule type="expression" dxfId="964" priority="63">
      <formula>$AH$80=1</formula>
    </cfRule>
  </conditionalFormatting>
  <conditionalFormatting sqref="AQ85:AR85">
    <cfRule type="expression" dxfId="963" priority="64">
      <formula>$AH$80=2</formula>
    </cfRule>
  </conditionalFormatting>
  <conditionalFormatting sqref="AQ86:AR86">
    <cfRule type="expression" dxfId="962" priority="62">
      <formula>$AH$80=3</formula>
    </cfRule>
  </conditionalFormatting>
  <conditionalFormatting sqref="AQ87:AR87">
    <cfRule type="expression" dxfId="961" priority="61">
      <formula>$AH$80=4</formula>
    </cfRule>
  </conditionalFormatting>
  <conditionalFormatting sqref="AS52:AT52">
    <cfRule type="expression" dxfId="960" priority="7">
      <formula>$AJ$48=1</formula>
    </cfRule>
  </conditionalFormatting>
  <conditionalFormatting sqref="AS53:AT53">
    <cfRule type="expression" dxfId="959" priority="11">
      <formula>$AJ$48=2</formula>
    </cfRule>
  </conditionalFormatting>
  <conditionalFormatting sqref="AS54:AT54">
    <cfRule type="expression" dxfId="958" priority="15">
      <formula>$AJ$48=3</formula>
    </cfRule>
  </conditionalFormatting>
  <conditionalFormatting sqref="AS55:AT55">
    <cfRule type="expression" dxfId="957" priority="19">
      <formula>$AJ$48=4</formula>
    </cfRule>
  </conditionalFormatting>
  <conditionalFormatting sqref="AS62:AT62">
    <cfRule type="expression" dxfId="956" priority="116">
      <formula>$AJ$58=1</formula>
    </cfRule>
  </conditionalFormatting>
  <conditionalFormatting sqref="AS63:AT63">
    <cfRule type="expression" dxfId="955" priority="120">
      <formula>$AJ$58=2</formula>
    </cfRule>
  </conditionalFormatting>
  <conditionalFormatting sqref="AS64:AT64">
    <cfRule type="expression" dxfId="954" priority="124">
      <formula>$AJ$58=3</formula>
    </cfRule>
  </conditionalFormatting>
  <conditionalFormatting sqref="AS65:AT65">
    <cfRule type="expression" dxfId="953" priority="128">
      <formula>$AJ$58=4</formula>
    </cfRule>
  </conditionalFormatting>
  <conditionalFormatting sqref="AS73:AT73">
    <cfRule type="expression" dxfId="952" priority="91">
      <formula>$AJ$69=1</formula>
    </cfRule>
  </conditionalFormatting>
  <conditionalFormatting sqref="AS74:AT74">
    <cfRule type="expression" dxfId="951" priority="92">
      <formula>$AJ$69=2</formula>
    </cfRule>
  </conditionalFormatting>
  <conditionalFormatting sqref="AS75:AT75">
    <cfRule type="expression" dxfId="950" priority="90">
      <formula>$AJ$69=3</formula>
    </cfRule>
  </conditionalFormatting>
  <conditionalFormatting sqref="AS76:AT76">
    <cfRule type="expression" dxfId="949" priority="89">
      <formula>$AJ$69=4</formula>
    </cfRule>
  </conditionalFormatting>
  <conditionalFormatting sqref="AS84:AT84">
    <cfRule type="expression" dxfId="948" priority="59">
      <formula>$AJ$80=1</formula>
    </cfRule>
  </conditionalFormatting>
  <conditionalFormatting sqref="AS85:AT85">
    <cfRule type="expression" dxfId="947" priority="60">
      <formula>$AJ$80=2</formula>
    </cfRule>
  </conditionalFormatting>
  <conditionalFormatting sqref="AS86:AT86">
    <cfRule type="expression" dxfId="946" priority="58">
      <formula>$AJ$80=3</formula>
    </cfRule>
  </conditionalFormatting>
  <conditionalFormatting sqref="AS87:AT87">
    <cfRule type="expression" dxfId="945" priority="57">
      <formula>$AJ$80=4</formula>
    </cfRule>
  </conditionalFormatting>
  <conditionalFormatting sqref="AU52:AV52">
    <cfRule type="expression" dxfId="944" priority="6">
      <formula>$AL$48=1</formula>
    </cfRule>
  </conditionalFormatting>
  <conditionalFormatting sqref="AU53:AV53">
    <cfRule type="expression" dxfId="943" priority="10">
      <formula>$AL$48=2</formula>
    </cfRule>
  </conditionalFormatting>
  <conditionalFormatting sqref="AU54:AV54">
    <cfRule type="expression" dxfId="942" priority="14">
      <formula>$AL$48=3</formula>
    </cfRule>
  </conditionalFormatting>
  <conditionalFormatting sqref="AU55:AV55">
    <cfRule type="expression" dxfId="941" priority="18">
      <formula>$AL$48=4</formula>
    </cfRule>
  </conditionalFormatting>
  <conditionalFormatting sqref="AU62:AV62">
    <cfRule type="expression" dxfId="940" priority="115">
      <formula>$AL$58=1</formula>
    </cfRule>
  </conditionalFormatting>
  <conditionalFormatting sqref="AU63:AV63">
    <cfRule type="expression" dxfId="939" priority="119">
      <formula>$AL$58=2</formula>
    </cfRule>
  </conditionalFormatting>
  <conditionalFormatting sqref="AU64:AV64">
    <cfRule type="expression" dxfId="938" priority="123">
      <formula>$AL$58=3</formula>
    </cfRule>
  </conditionalFormatting>
  <conditionalFormatting sqref="AU65:AV65">
    <cfRule type="expression" dxfId="937" priority="127">
      <formula>$AL$58=4</formula>
    </cfRule>
  </conditionalFormatting>
  <conditionalFormatting sqref="AU73:AV73">
    <cfRule type="expression" dxfId="936" priority="87">
      <formula>$AL$69=1</formula>
    </cfRule>
  </conditionalFormatting>
  <conditionalFormatting sqref="AU74:AV74">
    <cfRule type="expression" dxfId="935" priority="88">
      <formula>$AL$69=2</formula>
    </cfRule>
  </conditionalFormatting>
  <conditionalFormatting sqref="AU75:AV75">
    <cfRule type="expression" dxfId="934" priority="86">
      <formula>$AL$69=3</formula>
    </cfRule>
  </conditionalFormatting>
  <conditionalFormatting sqref="AU76:AV76">
    <cfRule type="expression" dxfId="933" priority="85">
      <formula>$AL$69=4</formula>
    </cfRule>
  </conditionalFormatting>
  <conditionalFormatting sqref="AU84:AV84">
    <cfRule type="expression" dxfId="932" priority="55">
      <formula>$AL$80=1</formula>
    </cfRule>
  </conditionalFormatting>
  <conditionalFormatting sqref="AU85:AV85">
    <cfRule type="expression" dxfId="931" priority="56">
      <formula>$AL$80=2</formula>
    </cfRule>
  </conditionalFormatting>
  <conditionalFormatting sqref="AU86:AV86">
    <cfRule type="expression" dxfId="930" priority="54">
      <formula>$AL$80=3</formula>
    </cfRule>
  </conditionalFormatting>
  <conditionalFormatting sqref="AU87:AV87">
    <cfRule type="expression" dxfId="929" priority="53">
      <formula>$AL$80=4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Drop Down 8">
              <controlPr locked="0" defaultSize="0" autoLine="0" autoPict="0">
                <anchor moveWithCells="1">
                  <from>
                    <xdr:col>4</xdr:col>
                    <xdr:colOff>47625</xdr:colOff>
                    <xdr:row>21</xdr:row>
                    <xdr:rowOff>0</xdr:rowOff>
                  </from>
                  <to>
                    <xdr:col>4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Drop Down 13">
              <controlPr defaultSize="0" autoLine="0" autoPict="0">
                <anchor moveWithCells="1">
                  <from>
                    <xdr:col>4</xdr:col>
                    <xdr:colOff>38100</xdr:colOff>
                    <xdr:row>59</xdr:row>
                    <xdr:rowOff>0</xdr:rowOff>
                  </from>
                  <to>
                    <xdr:col>4</xdr:col>
                    <xdr:colOff>457200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Drop Down 24">
              <controlPr locked="0" defaultSize="0" autoLine="0" autoPict="0">
                <anchor moveWithCells="1">
                  <from>
                    <xdr:col>14</xdr:col>
                    <xdr:colOff>95250</xdr:colOff>
                    <xdr:row>21</xdr:row>
                    <xdr:rowOff>0</xdr:rowOff>
                  </from>
                  <to>
                    <xdr:col>14</xdr:col>
                    <xdr:colOff>514350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Drop Down 25">
              <controlPr defaultSize="0" autoLine="0" autoPict="0">
                <anchor moveWithCells="1">
                  <from>
                    <xdr:col>14</xdr:col>
                    <xdr:colOff>85725</xdr:colOff>
                    <xdr:row>59</xdr:row>
                    <xdr:rowOff>0</xdr:rowOff>
                  </from>
                  <to>
                    <xdr:col>14</xdr:col>
                    <xdr:colOff>504825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Drop Down 28">
              <controlPr defaultSize="0" autoLine="0" autoPict="0">
                <anchor moveWithCells="1">
                  <from>
                    <xdr:col>22</xdr:col>
                    <xdr:colOff>95250</xdr:colOff>
                    <xdr:row>28</xdr:row>
                    <xdr:rowOff>9525</xdr:rowOff>
                  </from>
                  <to>
                    <xdr:col>22</xdr:col>
                    <xdr:colOff>514350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Drop Down 29">
              <controlPr defaultSize="0" autoLine="0" autoPict="0">
                <anchor moveWithCells="1">
                  <from>
                    <xdr:col>22</xdr:col>
                    <xdr:colOff>104775</xdr:colOff>
                    <xdr:row>44</xdr:row>
                    <xdr:rowOff>0</xdr:rowOff>
                  </from>
                  <to>
                    <xdr:col>22</xdr:col>
                    <xdr:colOff>523875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9" name="Drop Down 53">
              <controlPr locked="0" defaultSize="0" autoLine="0" autoPict="0">
                <anchor moveWithCells="1">
                  <from>
                    <xdr:col>20</xdr:col>
                    <xdr:colOff>47625</xdr:colOff>
                    <xdr:row>21</xdr:row>
                    <xdr:rowOff>0</xdr:rowOff>
                  </from>
                  <to>
                    <xdr:col>20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0" name="Drop Down 56">
              <controlPr defaultSize="0" autoLine="0" autoPict="0">
                <anchor moveWithCells="1">
                  <from>
                    <xdr:col>20</xdr:col>
                    <xdr:colOff>47625</xdr:colOff>
                    <xdr:row>59</xdr:row>
                    <xdr:rowOff>9525</xdr:rowOff>
                  </from>
                  <to>
                    <xdr:col>20</xdr:col>
                    <xdr:colOff>466725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1" name="Drop Down 57">
              <controlPr defaultSize="0" autoLine="0" autoPict="0">
                <anchor moveWithCells="1">
                  <from>
                    <xdr:col>1</xdr:col>
                    <xdr:colOff>76200</xdr:colOff>
                    <xdr:row>36</xdr:row>
                    <xdr:rowOff>0</xdr:rowOff>
                  </from>
                  <to>
                    <xdr:col>1</xdr:col>
                    <xdr:colOff>495300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2" name="Drop Down 59">
              <controlPr defaultSize="0" autoLine="0" autoPict="0">
                <anchor moveWithCells="1">
                  <from>
                    <xdr:col>22</xdr:col>
                    <xdr:colOff>104775</xdr:colOff>
                    <xdr:row>36</xdr:row>
                    <xdr:rowOff>9525</xdr:rowOff>
                  </from>
                  <to>
                    <xdr:col>22</xdr:col>
                    <xdr:colOff>523875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3" name="Drop Down 60">
              <controlPr defaultSize="0" autoLine="0" autoPict="0">
                <anchor moveWithCells="1">
                  <from>
                    <xdr:col>1</xdr:col>
                    <xdr:colOff>76200</xdr:colOff>
                    <xdr:row>52</xdr:row>
                    <xdr:rowOff>0</xdr:rowOff>
                  </from>
                  <to>
                    <xdr:col>1</xdr:col>
                    <xdr:colOff>495300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4" name="Drop Down 61">
              <controlPr defaultSize="0" autoLine="0" autoPict="0">
                <anchor moveWithCells="1">
                  <from>
                    <xdr:col>22</xdr:col>
                    <xdr:colOff>95250</xdr:colOff>
                    <xdr:row>52</xdr:row>
                    <xdr:rowOff>9525</xdr:rowOff>
                  </from>
                  <to>
                    <xdr:col>22</xdr:col>
                    <xdr:colOff>514350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5" name="Drop Down 62">
              <controlPr locked="0" defaultSize="0" autoLine="0" autoPict="0">
                <anchor moveWithCells="1">
                  <from>
                    <xdr:col>18</xdr:col>
                    <xdr:colOff>9525</xdr:colOff>
                    <xdr:row>6</xdr:row>
                    <xdr:rowOff>19050</xdr:rowOff>
                  </from>
                  <to>
                    <xdr:col>18</xdr:col>
                    <xdr:colOff>628650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6" name="Drop Down 65">
              <controlPr locked="0" defaultSize="0" autoLine="0" autoPict="0">
                <anchor moveWithCells="1">
                  <from>
                    <xdr:col>5</xdr:col>
                    <xdr:colOff>38100</xdr:colOff>
                    <xdr:row>7</xdr:row>
                    <xdr:rowOff>0</xdr:rowOff>
                  </from>
                  <to>
                    <xdr:col>5</xdr:col>
                    <xdr:colOff>485775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7" name="Drop Down 66">
              <controlPr locked="0" defaultSize="0" autoLine="0" autoPict="0">
                <anchor moveWithCells="1">
                  <from>
                    <xdr:col>5</xdr:col>
                    <xdr:colOff>38100</xdr:colOff>
                    <xdr:row>8</xdr:row>
                    <xdr:rowOff>0</xdr:rowOff>
                  </from>
                  <to>
                    <xdr:col>5</xdr:col>
                    <xdr:colOff>485775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8" name="Drop Down 67">
              <controlPr locked="0" defaultSize="0" autoLine="0" autoPict="0">
                <anchor moveWithCells="1">
                  <from>
                    <xdr:col>5</xdr:col>
                    <xdr:colOff>38100</xdr:colOff>
                    <xdr:row>9</xdr:row>
                    <xdr:rowOff>0</xdr:rowOff>
                  </from>
                  <to>
                    <xdr:col>5</xdr:col>
                    <xdr:colOff>485775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9" name="Drop Down 68">
              <controlPr locked="0" defaultSize="0" autoLine="0" autoPict="0">
                <anchor moveWithCells="1">
                  <from>
                    <xdr:col>7</xdr:col>
                    <xdr:colOff>38100</xdr:colOff>
                    <xdr:row>7</xdr:row>
                    <xdr:rowOff>0</xdr:rowOff>
                  </from>
                  <to>
                    <xdr:col>7</xdr:col>
                    <xdr:colOff>485775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0" name="Drop Down 69">
              <controlPr locked="0" defaultSize="0" autoLine="0" autoPict="0">
                <anchor moveWithCells="1">
                  <from>
                    <xdr:col>7</xdr:col>
                    <xdr:colOff>38100</xdr:colOff>
                    <xdr:row>8</xdr:row>
                    <xdr:rowOff>0</xdr:rowOff>
                  </from>
                  <to>
                    <xdr:col>7</xdr:col>
                    <xdr:colOff>485775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21" name="Drop Down 70">
              <controlPr locked="0" defaultSize="0" autoLine="0" autoPict="0">
                <anchor moveWithCells="1">
                  <from>
                    <xdr:col>7</xdr:col>
                    <xdr:colOff>38100</xdr:colOff>
                    <xdr:row>9</xdr:row>
                    <xdr:rowOff>0</xdr:rowOff>
                  </from>
                  <to>
                    <xdr:col>7</xdr:col>
                    <xdr:colOff>485775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2" name="Drop Down 104">
              <controlPr locked="0" defaultSize="0" autoLine="0" autoPict="0">
                <anchor mov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11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3" name="Drop Down 107">
              <controlPr locked="0" defaultSize="0" autoLine="0" autoPict="0">
                <anchor moveWithCells="1">
                  <from>
                    <xdr:col>17</xdr:col>
                    <xdr:colOff>38100</xdr:colOff>
                    <xdr:row>6</xdr:row>
                    <xdr:rowOff>9525</xdr:rowOff>
                  </from>
                  <to>
                    <xdr:col>17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4" name="Drop Down 108">
              <controlPr locked="0" defaultSize="0" autoLine="0" autoPict="0">
                <anchor moveWithCells="1">
                  <from>
                    <xdr:col>16</xdr:col>
                    <xdr:colOff>38100</xdr:colOff>
                    <xdr:row>12</xdr:row>
                    <xdr:rowOff>9525</xdr:rowOff>
                  </from>
                  <to>
                    <xdr:col>16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Drop Down 110">
              <controlPr locked="0" defaultSize="0" autoLine="0" autoPict="0">
                <anchor moveWithCells="1">
                  <from>
                    <xdr:col>9</xdr:col>
                    <xdr:colOff>38100</xdr:colOff>
                    <xdr:row>6</xdr:row>
                    <xdr:rowOff>9525</xdr:rowOff>
                  </from>
                  <to>
                    <xdr:col>9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6" name="Drop Down 112">
              <controlPr defaultSize="0" autoLine="0" autoPict="0">
                <anchor moveWithCells="1">
                  <from>
                    <xdr:col>1</xdr:col>
                    <xdr:colOff>76200</xdr:colOff>
                    <xdr:row>44</xdr:row>
                    <xdr:rowOff>0</xdr:rowOff>
                  </from>
                  <to>
                    <xdr:col>1</xdr:col>
                    <xdr:colOff>495300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7" name="Drop Down 113">
              <controlPr defaultSize="0" autoLine="0" autoPict="0">
                <anchor moveWithCells="1">
                  <from>
                    <xdr:col>1</xdr:col>
                    <xdr:colOff>76200</xdr:colOff>
                    <xdr:row>28</xdr:row>
                    <xdr:rowOff>0</xdr:rowOff>
                  </from>
                  <to>
                    <xdr:col>1</xdr:col>
                    <xdr:colOff>495300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8" name="Drop Down 116">
              <controlPr locked="0" defaultSize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10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9" name="Drop Down 117">
              <controlPr defaultSize="0" autoLine="0" autoPict="0">
                <anchor moveWithCells="1">
                  <from>
                    <xdr:col>10</xdr:col>
                    <xdr:colOff>38100</xdr:colOff>
                    <xdr:row>59</xdr:row>
                    <xdr:rowOff>0</xdr:rowOff>
                  </from>
                  <to>
                    <xdr:col>10</xdr:col>
                    <xdr:colOff>457200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0" name="Drop Down 118">
              <controlPr locked="0" defaultSize="0" autoLine="0" autoPict="0">
                <anchor moveWithCells="1">
                  <from>
                    <xdr:col>15</xdr:col>
                    <xdr:colOff>38100</xdr:colOff>
                    <xdr:row>6</xdr:row>
                    <xdr:rowOff>9525</xdr:rowOff>
                  </from>
                  <to>
                    <xdr:col>15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1" name="Drop Down 120">
              <controlPr locked="0" defaultSize="0" autoLine="0" autoPict="0">
                <anchor moveWithCells="1">
                  <from>
                    <xdr:col>15</xdr:col>
                    <xdr:colOff>19050</xdr:colOff>
                    <xdr:row>4</xdr:row>
                    <xdr:rowOff>95250</xdr:rowOff>
                  </from>
                  <to>
                    <xdr:col>16</xdr:col>
                    <xdr:colOff>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Drop Down 122">
              <controlPr locked="0" defaultSize="0" autoLine="0" autoPict="0">
                <anchor moveWithCells="1">
                  <from>
                    <xdr:col>14</xdr:col>
                    <xdr:colOff>28575</xdr:colOff>
                    <xdr:row>13</xdr:row>
                    <xdr:rowOff>19050</xdr:rowOff>
                  </from>
                  <to>
                    <xdr:col>15</xdr:col>
                    <xdr:colOff>161925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CE155"/>
  <sheetViews>
    <sheetView topLeftCell="A16" zoomScaleNormal="100" workbookViewId="0">
      <selection activeCell="C2" sqref="C2:G2"/>
    </sheetView>
  </sheetViews>
  <sheetFormatPr defaultRowHeight="15" x14ac:dyDescent="0.25"/>
  <cols>
    <col min="1" max="1" width="8.28515625" customWidth="1"/>
    <col min="2" max="2" width="8.5703125" customWidth="1"/>
    <col min="3" max="3" width="6.42578125" customWidth="1"/>
    <col min="4" max="4" width="8.5703125" customWidth="1"/>
    <col min="5" max="6" width="7.7109375" customWidth="1"/>
    <col min="7" max="7" width="9.7109375" customWidth="1"/>
    <col min="8" max="14" width="7.7109375" customWidth="1"/>
    <col min="15" max="15" width="8.5703125" customWidth="1"/>
    <col min="16" max="16" width="6.140625" customWidth="1"/>
    <col min="17" max="17" width="9.7109375" customWidth="1"/>
    <col min="18" max="18" width="7.7109375" customWidth="1"/>
    <col min="19" max="19" width="8.5703125" customWidth="1"/>
    <col min="20" max="20" width="6.7109375" customWidth="1"/>
    <col min="21" max="21" width="7.7109375" customWidth="1"/>
    <col min="22" max="22" width="4.7109375" customWidth="1"/>
    <col min="23" max="23" width="8.5703125" customWidth="1"/>
    <col min="24" max="24" width="6.7109375" customWidth="1"/>
    <col min="25" max="25" width="3.5703125" style="5" customWidth="1"/>
    <col min="26" max="26" width="9.7109375" style="5" customWidth="1"/>
    <col min="27" max="29" width="9.140625" style="19" customWidth="1"/>
    <col min="30" max="47" width="7.7109375" style="19" customWidth="1"/>
    <col min="48" max="48" width="10.85546875" style="19" customWidth="1"/>
    <col min="49" max="49" width="9.28515625" style="19" customWidth="1"/>
    <col min="50" max="78" width="9.140625" style="19" customWidth="1"/>
  </cols>
  <sheetData>
    <row r="1" spans="1:82" ht="8.25" customHeight="1" x14ac:dyDescent="0.25"/>
    <row r="2" spans="1:82" x14ac:dyDescent="0.25">
      <c r="B2" s="26" t="s">
        <v>0</v>
      </c>
      <c r="C2" s="966">
        <f>'SHL Section'!$C$2:$G$2</f>
        <v>0</v>
      </c>
      <c r="D2" s="832"/>
      <c r="E2" s="832"/>
      <c r="F2" s="832"/>
      <c r="G2" s="832"/>
      <c r="AA2" s="5"/>
      <c r="AB2" s="5"/>
      <c r="AC2" s="5"/>
      <c r="CA2" s="19"/>
      <c r="CB2" s="19"/>
    </row>
    <row r="3" spans="1:82" x14ac:dyDescent="0.25">
      <c r="B3" s="26" t="s">
        <v>5</v>
      </c>
      <c r="C3" s="968">
        <f>'SHL Section'!$C$3:$G$3</f>
        <v>0</v>
      </c>
      <c r="D3" s="832"/>
      <c r="E3" s="832"/>
      <c r="F3" s="832"/>
      <c r="G3" s="832"/>
      <c r="CA3" s="19"/>
      <c r="CB3" s="19"/>
    </row>
    <row r="4" spans="1:82" ht="7.5" customHeight="1" thickBot="1" x14ac:dyDescent="0.3">
      <c r="S4" s="5"/>
      <c r="T4" s="19"/>
      <c r="U4" s="19"/>
      <c r="V4" s="19"/>
      <c r="CA4" s="19"/>
      <c r="CB4" s="19"/>
    </row>
    <row r="5" spans="1:82" ht="26.25" customHeight="1" x14ac:dyDescent="0.25">
      <c r="B5" s="57"/>
      <c r="C5" s="58"/>
      <c r="D5" s="59" t="s">
        <v>218</v>
      </c>
      <c r="E5" s="931" t="s">
        <v>219</v>
      </c>
      <c r="F5" s="847"/>
      <c r="G5" s="847"/>
      <c r="H5" s="851"/>
      <c r="I5" s="931" t="s">
        <v>220</v>
      </c>
      <c r="J5" s="847"/>
      <c r="K5" s="847"/>
      <c r="L5" s="851"/>
      <c r="M5" s="35"/>
      <c r="N5" s="35"/>
      <c r="O5" s="35"/>
      <c r="P5" s="35"/>
      <c r="Q5" s="35"/>
      <c r="R5" s="35"/>
      <c r="S5" s="60"/>
      <c r="T5" s="969" t="s">
        <v>381</v>
      </c>
      <c r="U5" s="847"/>
      <c r="V5" s="848"/>
      <c r="CA5" s="19"/>
      <c r="CB5" s="19"/>
    </row>
    <row r="6" spans="1:82" ht="15" customHeight="1" x14ac:dyDescent="0.25">
      <c r="B6" s="950"/>
      <c r="C6" s="951"/>
      <c r="D6" s="56" t="s">
        <v>152</v>
      </c>
      <c r="E6" s="933" t="s">
        <v>113</v>
      </c>
      <c r="F6" s="859"/>
      <c r="G6" s="910" t="s">
        <v>114</v>
      </c>
      <c r="H6" s="911"/>
      <c r="I6" s="933" t="s">
        <v>6</v>
      </c>
      <c r="J6" s="859"/>
      <c r="K6" s="910" t="s">
        <v>7</v>
      </c>
      <c r="L6" s="911"/>
      <c r="M6" s="740" t="s">
        <v>226</v>
      </c>
      <c r="N6" s="740" t="s">
        <v>72</v>
      </c>
      <c r="O6" s="740" t="s">
        <v>73</v>
      </c>
      <c r="P6" s="740" t="s">
        <v>227</v>
      </c>
      <c r="Q6" s="740" t="s">
        <v>74</v>
      </c>
      <c r="R6" s="740" t="s">
        <v>228</v>
      </c>
      <c r="S6" s="740" t="s">
        <v>229</v>
      </c>
      <c r="T6" s="56" t="s">
        <v>8</v>
      </c>
      <c r="U6" s="740" t="s">
        <v>9</v>
      </c>
      <c r="V6" s="61" t="s">
        <v>230</v>
      </c>
      <c r="CA6" s="19"/>
      <c r="CB6" s="19"/>
    </row>
    <row r="7" spans="1:82" x14ac:dyDescent="0.25">
      <c r="B7" s="952" t="s">
        <v>234</v>
      </c>
      <c r="C7" s="953"/>
      <c r="D7" s="70">
        <v>0</v>
      </c>
      <c r="E7" s="70"/>
      <c r="F7" s="62"/>
      <c r="G7" s="71"/>
      <c r="H7" s="62"/>
      <c r="I7" s="70">
        <f>'SHL Section'!$I$7</f>
        <v>0</v>
      </c>
      <c r="J7" s="62" t="str">
        <f>IF('SHL Section'!$J$7=1,"FNL","FSL")</f>
        <v>FSL</v>
      </c>
      <c r="K7" s="71">
        <f>'SHL Section'!$K$7</f>
        <v>0</v>
      </c>
      <c r="L7" s="74" t="str">
        <f>IF('SHL Section'!$L$7=1,"FEL","FWL")</f>
        <v>FWL</v>
      </c>
      <c r="M7" s="97" t="str">
        <f>'SHL Section'!$M$7</f>
        <v/>
      </c>
      <c r="N7" s="97">
        <f>'SHL Section'!$N$7</f>
        <v>0</v>
      </c>
      <c r="O7" s="62">
        <f>'SHL Section'!$O$7</f>
        <v>0</v>
      </c>
      <c r="P7" s="62" t="str">
        <f>IF('SHL Section'!$P$7=1,"N","S")</f>
        <v>S</v>
      </c>
      <c r="Q7" s="62">
        <f>'SHL Section'!$Q$7</f>
        <v>0</v>
      </c>
      <c r="R7" s="62" t="str">
        <f>IF('SHL Section'!$R$7=1,"E","W")</f>
        <v>W</v>
      </c>
      <c r="S7" s="62" t="str">
        <f>IF('SHL Section'!$S$7=1,"Salt Lake","Uintah")</f>
        <v>Uintah</v>
      </c>
      <c r="T7" s="100" t="str">
        <f>'SHL Section'!$T$7</f>
        <v/>
      </c>
      <c r="U7" s="101" t="str">
        <f>'SHL Section'!$U$7</f>
        <v/>
      </c>
      <c r="V7" s="102">
        <f>'SHL Section'!$V$7</f>
        <v>12</v>
      </c>
      <c r="CA7" s="19"/>
      <c r="CB7" s="19"/>
    </row>
    <row r="8" spans="1:82" ht="15" customHeight="1" x14ac:dyDescent="0.25">
      <c r="B8" s="946" t="str">
        <f>'SHL Section'!B8</f>
        <v>Prod. Interval Top</v>
      </c>
      <c r="C8" s="947"/>
      <c r="D8" s="72">
        <f>'SHL Section'!$D$8</f>
        <v>0</v>
      </c>
      <c r="E8" s="72">
        <f>ABS('SHL Section'!$AJ$8)</f>
        <v>0</v>
      </c>
      <c r="F8" s="63" t="str">
        <f>IF('SHL Section'!$AK$8=1,"N","S")</f>
        <v>S</v>
      </c>
      <c r="G8" s="64">
        <f>ABS('SHL Section'!$AL$8)</f>
        <v>0</v>
      </c>
      <c r="H8" s="63" t="str">
        <f>IF('SHL Section'!$AM$8=1,"E","W")</f>
        <v>W</v>
      </c>
      <c r="I8" s="72" t="str">
        <f>IF(ISNUMBER($AF$66),$AF$66,IF(ISNUMBER($AH$66),$AH$66,IF(ISNUMBER($AJ$66),$AJ$66,IF(ISNUMBER($AL$66),$AL$66,""))))</f>
        <v/>
      </c>
      <c r="J8" s="63" t="str">
        <f>IF(ISNUMBER($AF$66),$AF$61,IF(ISNUMBER($AH$66),$AH$61,IF(ISNUMBER($AJ$66),$AJ$61,IF(ISNUMBER($AL$66),$AL$61,""))))</f>
        <v/>
      </c>
      <c r="K8" s="64" t="str">
        <f>IF(ISNUMBER($AG$66),$AG$66,IF(ISNUMBER($AI$66),$AI$66,IF(ISNUMBER($AK$66),$AK$66,IF(ISNUMBER($AM$66),$AM$66,""))))</f>
        <v/>
      </c>
      <c r="L8" s="75" t="str">
        <f>IF(ISNUMBER($AG$66),$AG$61,IF(ISNUMBER($AI$66),$AI$61,IF(ISNUMBER($AK$66),$AK$61,IF(ISNUMBER($AM$66),$AM$61,""))))</f>
        <v/>
      </c>
      <c r="M8" s="63" t="str">
        <f>IF(OR(ISNUMBER($AF$58),ISNUMBER($AH$58),ISNUMBER($AJ$58),ISNUMBER($AL$58)),VLOOKUP(MAX($AF$58:$AM$58),$AW$56:$BA$59,1+IF(ISNUMBER($AF$58),$AF$46,IF(ISNUMBER($AH$58),$AH$46,IF(ISNUMBER($AJ$58),$AJ$46,IF(ISNUMBER($AL$58),$AL$46,"")))),FALSE),"")</f>
        <v/>
      </c>
      <c r="N8" s="63" t="e">
        <f>'SHL Section'!$N$8</f>
        <v>#VALUE!</v>
      </c>
      <c r="O8" s="63">
        <f>'SHL Section'!$O$8</f>
        <v>0</v>
      </c>
      <c r="P8" s="63" t="str">
        <f>'SHL Section'!$P$8</f>
        <v>S</v>
      </c>
      <c r="Q8" s="63">
        <f>'SHL Section'!$Q$8</f>
        <v>0</v>
      </c>
      <c r="R8" s="63" t="str">
        <f>'SHL Section'!$R$8</f>
        <v>W</v>
      </c>
      <c r="S8" s="63" t="str">
        <f>IF('SHL Section'!$S$8=1,"Salt Lake","Uintah")</f>
        <v>Uintah</v>
      </c>
      <c r="T8" s="77" t="e">
        <f>IF($H8=1,$T$7+$G8/3.28084,$T$7-$G8/3.28084)</f>
        <v>#VALUE!</v>
      </c>
      <c r="U8" s="64" t="e">
        <f>IF($F8=1,$U$7+$E8/3.28084,$U$7-$E8/3.28084)</f>
        <v>#VALUE!</v>
      </c>
      <c r="V8" s="65">
        <f>$V$7</f>
        <v>12</v>
      </c>
      <c r="Z8" s="962" t="e">
        <f>CONCATENATE("Is the ",IF($AB$11=1,"NE",IF($AB$11=2,"NW",IF($AB$11=3,"SW","SE")))," of Section ",'SHL Section'!$L$38," same as the ",IF($AB$10=1,"NE",IF($AB$10=2,"NW",IF($AB$10=3,"SW","SE")))," of Section ",$L$38,"?")</f>
        <v>#VALUE!</v>
      </c>
      <c r="AA8" s="963"/>
      <c r="AB8" s="964"/>
      <c r="AC8" s="762"/>
      <c r="CA8" s="19"/>
      <c r="CB8" s="19"/>
    </row>
    <row r="9" spans="1:82" x14ac:dyDescent="0.25">
      <c r="B9" s="946" t="str">
        <f>'SHL Section'!B9</f>
        <v>Prod. Interval Bot.</v>
      </c>
      <c r="C9" s="947"/>
      <c r="D9" s="72">
        <f>'SHL Section'!$D$9</f>
        <v>0</v>
      </c>
      <c r="E9" s="72">
        <f>ABS('SHL Section'!$AJ$9)</f>
        <v>0</v>
      </c>
      <c r="F9" s="63" t="str">
        <f>IF('SHL Section'!$AK$9=1,"N","S")</f>
        <v>S</v>
      </c>
      <c r="G9" s="64">
        <f>ABS('SHL Section'!$AL$9)</f>
        <v>0</v>
      </c>
      <c r="H9" s="63" t="str">
        <f>IF('SHL Section'!$AM$9=1,"E","W")</f>
        <v>W</v>
      </c>
      <c r="I9" s="72" t="str">
        <f>IF(ISNUMBER($AF$77),$AF$77,IF(ISNUMBER($AH$77),$AH$77,IF(ISNUMBER($AJ$77),$AJ$77,IF(ISNUMBER($AL$77),$AL$77,""))))</f>
        <v/>
      </c>
      <c r="J9" s="63" t="str">
        <f>IF(ISNUMBER($AF$77),$AF$72,IF(ISNUMBER($AH$77),$AH$72,IF(ISNUMBER($AJ$77),$AJ$72,IF(ISNUMBER($AL$77),$AL$72,""))))</f>
        <v/>
      </c>
      <c r="K9" s="64" t="str">
        <f>IF(ISNUMBER($AG$77),$AG$77,IF(ISNUMBER($AI$77),$AI$77,IF(ISNUMBER($AK$77),$AK$77,IF(ISNUMBER($AM$77),$AM$77,""))))</f>
        <v/>
      </c>
      <c r="L9" s="75" t="str">
        <f>IF(ISNUMBER($AG$77),$AG$72,IF(ISNUMBER($AI$77),$AI$72,IF(ISNUMBER($AK$77),$AK$72,IF(ISNUMBER($AM$77),$AM$72,""))))</f>
        <v/>
      </c>
      <c r="M9" s="63" t="str">
        <f>IF(OR(ISNUMBER($AF$69),ISNUMBER($AH$69),ISNUMBER($AJ$69),ISNUMBER($AL$69)),VLOOKUP(MAX($AF$69:$AM$69),$AW$56:$BA$59,1+IF(ISNUMBER($AF$69),$AF$46,IF(ISNUMBER($AH$69),$AH$46,IF(ISNUMBER($AJ$69),$AJ$46,IF(ISNUMBER($AL$69),$AL$46,"")))),FALSE),"")</f>
        <v/>
      </c>
      <c r="N9" s="63" t="e">
        <f>'SHL Section'!$N$9</f>
        <v>#VALUE!</v>
      </c>
      <c r="O9" s="63">
        <f>'SHL Section'!$O$9</f>
        <v>0</v>
      </c>
      <c r="P9" s="63" t="str">
        <f>'SHL Section'!$P$9</f>
        <v>S</v>
      </c>
      <c r="Q9" s="63">
        <f>'SHL Section'!$Q$9</f>
        <v>0</v>
      </c>
      <c r="R9" s="63" t="str">
        <f>'SHL Section'!$R$9</f>
        <v>W</v>
      </c>
      <c r="S9" s="63" t="str">
        <f>IF('SHL Section'!$S$9=1,"Salt Lake","Uintah")</f>
        <v>Uintah</v>
      </c>
      <c r="T9" s="77" t="e">
        <f>IF($H9=1,$T$7+$G9/3.28084,$T$7-$G9/3.28084)</f>
        <v>#VALUE!</v>
      </c>
      <c r="U9" s="64" t="e">
        <f>IF($F9=1,$U$7+$E9/3.28084,$U$7-$E9/3.28084)</f>
        <v>#VALUE!</v>
      </c>
      <c r="V9" s="65">
        <f>$V$7</f>
        <v>12</v>
      </c>
      <c r="Z9" s="965"/>
      <c r="AA9" s="891"/>
      <c r="AB9" s="951"/>
      <c r="AC9" s="762"/>
      <c r="CA9" s="19"/>
      <c r="CB9" s="19"/>
    </row>
    <row r="10" spans="1:82" ht="15.75" customHeight="1" thickBot="1" x14ac:dyDescent="0.3">
      <c r="B10" s="940" t="s">
        <v>241</v>
      </c>
      <c r="C10" s="941"/>
      <c r="D10" s="73">
        <f>'SHL Section'!$D$10</f>
        <v>0</v>
      </c>
      <c r="E10" s="73">
        <f>ABS('SHL Section'!$AJ$10)</f>
        <v>0</v>
      </c>
      <c r="F10" s="66" t="str">
        <f>IF('SHL Section'!$AK$10=1,"N","S")</f>
        <v>S</v>
      </c>
      <c r="G10" s="67">
        <f>ABS('SHL Section'!$AL$10)</f>
        <v>0</v>
      </c>
      <c r="H10" s="66" t="str">
        <f>IF('SHL Section'!$AM$10=1,"E","W")</f>
        <v>W</v>
      </c>
      <c r="I10" s="73" t="str">
        <f>IF(ISNUMBER($AF$88),$AF$88,IF(ISNUMBER($AH$88),$AH$88,IF(ISNUMBER($AJ$88),$AJ$88,IF(ISNUMBER($AL$88),$AL$88,""))))</f>
        <v/>
      </c>
      <c r="J10" s="66" t="str">
        <f>IF(ISNUMBER($AF$88),$AF$83,IF(ISNUMBER($AH$88),$AH$83,IF(ISNUMBER($AJ$88),$AJ$83,IF(ISNUMBER($AL$88),$AL$83,""))))</f>
        <v/>
      </c>
      <c r="K10" s="67" t="str">
        <f>IF(ISNUMBER($AG$88),$AG$88,IF(ISNUMBER($AI$88),$AI$88,IF(ISNUMBER($AK$88),$AK$88,IF(ISNUMBER($AM$88),$AM$88,""))))</f>
        <v/>
      </c>
      <c r="L10" s="76" t="str">
        <f>IF(ISNUMBER($AG$88),$AG$83,IF(ISNUMBER($AI$88),$AI$83,IF(ISNUMBER($AK$88),$AK$83,IF(ISNUMBER($AM$88),$AM$83,""))))</f>
        <v/>
      </c>
      <c r="M10" s="66" t="str">
        <f>IF(OR(ISNUMBER($AF$80),ISNUMBER($AH$80),ISNUMBER($AJ$80),ISNUMBER($AL$80)),VLOOKUP(MAX($AF$80:$AM$80),$AW$56:$BA$59,1+IF(ISNUMBER($AF$80),$AF$46,IF(ISNUMBER($AH$80),$AH$46,IF(ISNUMBER($AJ$80),$AJ$46,IF(ISNUMBER($AL$80),$AL$46,"")))),FALSE),"")</f>
        <v/>
      </c>
      <c r="N10" s="66" t="e">
        <f>'SHL Section'!$N$10</f>
        <v>#VALUE!</v>
      </c>
      <c r="O10" s="66">
        <f>'SHL Section'!$O$10</f>
        <v>0</v>
      </c>
      <c r="P10" s="66" t="str">
        <f>'SHL Section'!$P$10</f>
        <v>S</v>
      </c>
      <c r="Q10" s="66">
        <f>'SHL Section'!$Q$10</f>
        <v>0</v>
      </c>
      <c r="R10" s="66" t="str">
        <f>'SHL Section'!$R$10</f>
        <v>W</v>
      </c>
      <c r="S10" s="66" t="str">
        <f>IF('SHL Section'!$S$10=1,"Salt Lake","Uintah")</f>
        <v>Uintah</v>
      </c>
      <c r="T10" s="78" t="e">
        <f>IF($H10=1,$T$7+$G10/3.28084,$T$7-$G10/3.28084)</f>
        <v>#VALUE!</v>
      </c>
      <c r="U10" s="67" t="e">
        <f>IF($F10=1,$U$7+$E10/3.28084,$U$7-$E10/3.28084)</f>
        <v>#VALUE!</v>
      </c>
      <c r="V10" s="68">
        <f>$V$7</f>
        <v>12</v>
      </c>
      <c r="Z10" s="582"/>
      <c r="AA10" s="583">
        <v>1</v>
      </c>
      <c r="AB10" s="36">
        <f>IF(AND(ISNUMBER($AF$20),ISNUMBER($AG$20)),1,IF(AND(ISNUMBER($AH$21),ISNUMBER($AI$21)),2,IF(AND(ISNUMBER($AJ$22),ISNUMBER($AK$22)),3,4)))</f>
        <v>4</v>
      </c>
      <c r="AE10" s="820"/>
      <c r="CA10" s="19"/>
      <c r="CB10" s="19"/>
    </row>
    <row r="11" spans="1:82" x14ac:dyDescent="0.25">
      <c r="G11" s="51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Z11" s="589">
        <v>50</v>
      </c>
      <c r="AA11" s="25" t="str">
        <f>IF($AA$10=2,"dist.","")</f>
        <v/>
      </c>
      <c r="AB11" s="36" t="e">
        <f>IF(AND($AB$10=1,IF(SUM('SHL Section'!$BG$37:$BG$40)&gt;0,MAX('SHL Section'!$BG$37:$BG$40),IF(SUM('SHL Section'!$BG$41:$BG$44)&gt;0,MAX('SHL Section'!$BG$41:$BG$44),MAX('SHL Section'!$BG$45:$BG$48)))=6),4,IF(AND($AB$10=1,IF(SUM('SHL Section'!$BG$37:$BG$40)&gt;0,MAX('SHL Section'!$BG$37:$BG$40),IF(SUM('SHL Section'!$BG$41:$BG$44)&gt;0,MAX('SHL Section'!$BG$41:$BG$44),MAX('SHL Section'!$BG$45:$BG$48)))=7),3,IF(AND($AB$10=1,IF(SUM('SHL Section'!$BG$37:$BG$40)&gt;0,MAX('SHL Section'!$BG$37:$BG$40),IF(SUM('SHL Section'!$BG$41:$BG$44)&gt;0,MAX('SHL Section'!$BG$41:$BG$44),MAX('SHL Section'!$BG$45:$BG$48)))=8),2,IF(AND($AB$10=2,IF(SUM('SHL Section'!$BG$37:$BG$40)&gt;0,MAX('SHL Section'!$BG$37:$BG$40),IF(SUM('SHL Section'!$BG$41:$BG$44)&gt;0,MAX('SHL Section'!$BG$41:$BG$44),MAX('SHL Section'!$BG$45:$BG$48)))=6),3,IF(AND($AB$10=2,IF(SUM('SHL Section'!$BG$37:$BG$40)&gt;0,MAX('SHL Section'!$BG$37:$BG$40),IF(SUM('SHL Section'!$BG$41:$BG$44)&gt;0,MAX('SHL Section'!$BG$41:$BG$44),MAX('SHL Section'!$BG$45:$BG$48)))=5),4,IF(AND($AB$10=2,IF(SUM('SHL Section'!$BG$37:$BG$40)&gt;0,MAX('SHL Section'!$BG$37:$BG$40),IF(SUM('SHL Section'!$BG$41:$BG$44)&gt;0,MAX('SHL Section'!$BG$41:$BG$44),MAX('SHL Section'!$BG$45:$BG$48)))=4),1,IF(AND($AB$10=3,IF(SUM('SHL Section'!$BG$37:$BG$40)&gt;0,MAX('SHL Section'!$BG$37:$BG$40),IF(SUM('SHL Section'!$BG$41:$BG$44)&gt;0,MAX('SHL Section'!$BG$41:$BG$44),MAX('SHL Section'!$BG$45:$BG$48)))=4),4,IF(AND($AB$10=3,IF(SUM('SHL Section'!$BG$37:$BG$40)&gt;0,MAX('SHL Section'!$BG$37:$BG$40),IF(SUM('SHL Section'!$BG$41:$BG$44)&gt;0,MAX('SHL Section'!$BG$41:$BG$44),MAX('SHL Section'!$BG$45:$BG$48)))=3),3,IF(AND($AB$10=3,IF(SUM('SHL Section'!$BG$37:$BG$40)&gt;0,MAX('SHL Section'!$BG$37:$BG$40),IF(SUM('SHL Section'!$BG$41:$BG$44)&gt;0,MAX('SHL Section'!$BG$41:$BG$44),MAX('SHL Section'!$BG$45:$BG$48)))=2),2,IF(AND($AB$10=4,IF(SUM('SHL Section'!$BG$37:$BG$40)&gt;0,MAX('SHL Section'!$BG$37:$BG$40),IF(SUM('SHL Section'!$BG$41:$BG$44)&gt;0,MAX('SHL Section'!$BG$41:$BG$44),MAX('SHL Section'!$BG$45:$BG$48)))=2),1,IF(AND($AB$10=4,IF(SUM('SHL Section'!$BG$37:$BG$40)&gt;0,MAX('SHL Section'!$BG$37:$BG$40),IF(SUM('SHL Section'!$BG$41:$BG$44)&gt;0,MAX('SHL Section'!$BG$41:$BG$44),MAX('SHL Section'!$BG$45:$BG$48)))=9),2,IF(AND($AB$10=4,IF(SUM('SHL Section'!$BG$37:$BG$40)&gt;0,MAX('SHL Section'!$BG$37:$BG$40),IF(SUM('SHL Section'!$BG$41:$BG$44)&gt;0,MAX('SHL Section'!$BG$41:$BG$44),MAX('SHL Section'!$BG$45:$BG$48)))=4),3,"??"))))))))))))</f>
        <v>#VALUE!</v>
      </c>
      <c r="AE11" s="38"/>
      <c r="AI11" s="38"/>
      <c r="AJ11" s="38"/>
      <c r="CA11" s="19"/>
      <c r="CB11" s="19"/>
      <c r="CC11" s="19"/>
      <c r="CD11" s="19"/>
    </row>
    <row r="12" spans="1:82" x14ac:dyDescent="0.25">
      <c r="L12" s="54"/>
      <c r="M12" s="54"/>
      <c r="N12" s="746"/>
      <c r="O12" s="54"/>
      <c r="P12" s="54"/>
      <c r="Q12" s="54"/>
      <c r="R12" s="54"/>
      <c r="S12" s="54"/>
      <c r="T12" s="54"/>
      <c r="U12" s="54"/>
      <c r="Z12" s="584">
        <v>90</v>
      </c>
      <c r="AA12" s="25" t="str">
        <f>IF($AA$10=2,"deg.","")</f>
        <v/>
      </c>
      <c r="AB12" s="174"/>
      <c r="AC12" s="54"/>
      <c r="AD12" s="313"/>
      <c r="AE12" s="38"/>
      <c r="AH12" s="313"/>
      <c r="AI12" s="38"/>
      <c r="AJ12" s="38"/>
      <c r="AL12" s="53"/>
      <c r="CA12" s="19"/>
      <c r="CB12" s="19"/>
    </row>
    <row r="13" spans="1:82" x14ac:dyDescent="0.25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84">
        <v>30</v>
      </c>
      <c r="AA13" s="25" t="str">
        <f>IF($AA$10=2,"min.","")</f>
        <v/>
      </c>
      <c r="AB13" s="236" t="s">
        <v>382</v>
      </c>
      <c r="AC13" s="746"/>
      <c r="AD13" s="313"/>
      <c r="AE13" s="38"/>
      <c r="AF13" s="38"/>
      <c r="AH13" s="313"/>
      <c r="AI13" s="38"/>
      <c r="AJ13" s="38"/>
      <c r="AL13" s="53"/>
      <c r="CA13" s="19"/>
      <c r="CB13" s="19"/>
    </row>
    <row r="14" spans="1:82" s="1" customFormat="1" x14ac:dyDescent="0.25">
      <c r="B14" s="69" t="s">
        <v>302</v>
      </c>
      <c r="C14" s="55"/>
      <c r="D14" s="55"/>
      <c r="E14" s="55"/>
      <c r="F14" s="55"/>
      <c r="G14" s="55"/>
      <c r="H14" s="55"/>
      <c r="I14" s="55"/>
      <c r="J14" s="55"/>
      <c r="K14" s="55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84">
        <v>0</v>
      </c>
      <c r="AA14" s="25" t="str">
        <f>IF($AA$10=2,"sec.","")</f>
        <v/>
      </c>
      <c r="AB14" s="619">
        <f>IF($AA$10=2,IF(OR($Z$15=2,$Z$15=4),ROUND($Z$11*COS(RADIANS($Z$16)),4),-ROUND($Z$11*COS(RADIANS($Z$16)),4)),0)</f>
        <v>0</v>
      </c>
      <c r="AC14" s="588"/>
      <c r="AD14" s="313"/>
      <c r="AE14" s="38"/>
      <c r="AF14" s="38"/>
      <c r="AG14" s="19"/>
      <c r="AH14" s="313"/>
      <c r="AI14" s="38"/>
      <c r="AJ14" s="38"/>
      <c r="AK14" s="19"/>
      <c r="AL14" s="53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</row>
    <row r="15" spans="1:82" s="1" customFormat="1" x14ac:dyDescent="0.25">
      <c r="B15" s="92" t="s">
        <v>303</v>
      </c>
      <c r="C15" s="93"/>
      <c r="D15" s="93"/>
      <c r="E15" s="93"/>
      <c r="F15" s="93"/>
      <c r="G15" s="93"/>
      <c r="H15" s="93"/>
      <c r="I15" s="93"/>
      <c r="J15" s="93"/>
      <c r="K15" s="9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84">
        <v>1</v>
      </c>
      <c r="AA15" s="25" t="str">
        <f>IF($AA$10=2,"dir.","")</f>
        <v/>
      </c>
      <c r="AB15" s="587" t="s">
        <v>383</v>
      </c>
      <c r="AC15" s="588"/>
      <c r="AD15" s="155"/>
      <c r="AE15" s="38"/>
      <c r="AF15" s="38"/>
      <c r="AG15" s="18"/>
      <c r="AH15" s="155"/>
      <c r="AI15" s="17"/>
      <c r="AJ15" s="3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</row>
    <row r="16" spans="1:8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54"/>
      <c r="M16" s="54"/>
      <c r="Z16" s="585">
        <f>IF(Z12="","",(Z12+Z13/60+Z14/3600))</f>
        <v>90.5</v>
      </c>
      <c r="AA16" s="586" t="str">
        <f>IF($AA$10=2,"dec. deg.","")</f>
        <v/>
      </c>
      <c r="AB16" s="620">
        <f>IF($AA$10=2,IF(OR($Z$15=1,$Z$15=2),ROUND($Z$11*SIN(RADIANS($Z$16)),4),-ROUND($Z$11*SIN(RADIANS($Z$16)),4)),0)</f>
        <v>0</v>
      </c>
      <c r="AC16" s="58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"/>
    </row>
    <row r="17" spans="1:83" ht="12" customHeight="1" x14ac:dyDescent="0.25">
      <c r="B17" s="43"/>
      <c r="E17" s="44" t="e">
        <f>IF(AND($AA$10=1,$L$38='SHL Section'!$BF$50,MAX('SHL Section'!$BG$37:$BG$40)=6),'SHL Section'!$E$56,IF(AND($AA$10=1,$L$38='SHL Section'!$BF$53,MAX('SHL Section'!$BG$41:$BG$44)=6),'SHL Section'!$E$56,IF(AND($AA$10=1,$L$38='SHL Section'!$BF$56,MAX('SHL Section'!$BG$45:$BG$48)=6),'SHL Section'!$E$56,'BHL Section 1'!E18)))</f>
        <v>#VALUE!</v>
      </c>
      <c r="F17" s="156"/>
      <c r="G17" s="156"/>
      <c r="H17" s="156"/>
      <c r="I17" s="156"/>
      <c r="J17" s="156"/>
      <c r="K17" s="44" t="e">
        <f>IF(AND($AA$10=1,$L$38='SHL Section'!$BF$50,AND($AA$10=1,$L$38='SHL Section'!$BF$50,MAX('SHL Section'!$BG$37:$BG$40)=6)),'SHL Section'!$K$56,IF(AND($AA$10=1,$L$38='SHL Section'!$BF$53,MAX('SHL Section'!$BG$41:$BG$44)=6),'SHL Section'!$K$56,IF(AND($AA$10=1,$L$38='SHL Section'!$BF$56,MAX('SHL Section'!$BG$45:$BG$48)=6),'SHL Section'!$K$56,'BHL Section 1'!K18)))</f>
        <v>#VALUE!</v>
      </c>
      <c r="L17" s="156"/>
      <c r="M17" s="156"/>
      <c r="N17" s="156"/>
      <c r="O17" s="44" t="e">
        <f>IF(AND($AA$10=1,$L$38='SHL Section'!$BF$50,MAX('SHL Section'!$BG$37:$BG$40)=6),'SHL Section'!$O$56,IF(AND($AA$10=1,$L$38='SHL Section'!$BF$53,MAX('SHL Section'!$BG$41:$BG$44)=6),'SHL Section'!$O$56,IF(AND($AA$10=1,$L$38='SHL Section'!$BF$56,MAX('SHL Section'!$BG$45:$BG$48)=6),'SHL Section'!$O$56,'BHL Section 1'!O18)))</f>
        <v>#VALUE!</v>
      </c>
      <c r="P17" s="156"/>
      <c r="Q17" s="156"/>
      <c r="R17" s="156"/>
      <c r="S17" s="156"/>
      <c r="T17" s="156"/>
      <c r="U17" s="44" t="e">
        <f>IF(AND($AA$10=1,$L$38='SHL Section'!$BF$50,MAX('SHL Section'!$BG$37:$BG$40)=6),'SHL Section'!$U$56,IF(AND($AA$10=1,$L$38='SHL Section'!$BF$53,MAX('SHL Section'!$BG$41:$BG$44)=6),'SHL Section'!$U$56,IF(AND($AA$10=1,$L$38='SHL Section'!$BF$56,MAX('SHL Section'!$BG$45:$BG$48)=6),'SHL Section'!$U$56,'BHL Section 1'!U18)))</f>
        <v>#VALUE!</v>
      </c>
      <c r="AB17" s="5"/>
      <c r="AC17" s="5"/>
      <c r="AD17" s="943" t="s">
        <v>304</v>
      </c>
      <c r="AE17" s="832"/>
      <c r="AF17" s="832"/>
      <c r="AG17" s="832"/>
      <c r="AH17" s="832"/>
      <c r="AI17" s="832"/>
      <c r="AJ17" s="832"/>
      <c r="AK17" s="832"/>
      <c r="AL17" s="832"/>
      <c r="AM17" s="832"/>
      <c r="AN17" s="832"/>
      <c r="AO17" s="832"/>
      <c r="AP17" s="832"/>
      <c r="AQ17" s="832"/>
      <c r="AR17" s="832"/>
      <c r="AS17" s="832"/>
      <c r="AT17" s="832"/>
      <c r="AU17" s="832"/>
      <c r="AV17" s="38" t="s">
        <v>305</v>
      </c>
      <c r="AW17" s="939" t="s">
        <v>306</v>
      </c>
      <c r="AX17" s="882"/>
      <c r="AY17" s="939" t="s">
        <v>307</v>
      </c>
      <c r="AZ17" s="882"/>
      <c r="BA17" s="939" t="s">
        <v>308</v>
      </c>
      <c r="BB17" s="882"/>
      <c r="BC17" s="939" t="s">
        <v>309</v>
      </c>
      <c r="BD17" s="882"/>
      <c r="BE17" s="939" t="s">
        <v>310</v>
      </c>
      <c r="BF17" s="882"/>
      <c r="BG17" s="939" t="s">
        <v>311</v>
      </c>
      <c r="BH17" s="882"/>
      <c r="BI17" s="939" t="s">
        <v>312</v>
      </c>
      <c r="BJ17" s="882"/>
      <c r="BK17" s="939" t="s">
        <v>313</v>
      </c>
      <c r="BL17" s="882"/>
      <c r="BM17" s="939" t="s">
        <v>314</v>
      </c>
      <c r="BN17" s="882"/>
      <c r="BO17" s="939" t="s">
        <v>315</v>
      </c>
      <c r="BP17" s="882"/>
      <c r="BQ17" s="939" t="s">
        <v>316</v>
      </c>
      <c r="BR17" s="882"/>
      <c r="BS17" s="939" t="s">
        <v>317</v>
      </c>
      <c r="BT17" s="882"/>
      <c r="BU17" s="939" t="s">
        <v>318</v>
      </c>
      <c r="BV17" s="882"/>
      <c r="BW17" s="939" t="s">
        <v>319</v>
      </c>
      <c r="BX17" s="882"/>
      <c r="BY17" s="939" t="s">
        <v>320</v>
      </c>
      <c r="BZ17" s="882"/>
      <c r="CA17" s="939" t="s">
        <v>321</v>
      </c>
      <c r="CB17" s="882"/>
    </row>
    <row r="18" spans="1:83" ht="12" customHeight="1" x14ac:dyDescent="0.25">
      <c r="B18" s="26"/>
      <c r="C18" s="33"/>
      <c r="D18" s="17" t="s">
        <v>118</v>
      </c>
      <c r="E18" s="162"/>
      <c r="F18" s="157"/>
      <c r="G18" s="157"/>
      <c r="H18" s="157"/>
      <c r="I18" s="157"/>
      <c r="J18" s="17" t="s">
        <v>118</v>
      </c>
      <c r="K18" s="217">
        <v>2641.51</v>
      </c>
      <c r="L18" s="19"/>
      <c r="M18" s="19"/>
      <c r="N18" s="17" t="s">
        <v>118</v>
      </c>
      <c r="O18" s="162">
        <v>2641.68</v>
      </c>
      <c r="P18" s="19"/>
      <c r="Q18" s="19"/>
      <c r="R18" s="19"/>
      <c r="S18" s="19"/>
      <c r="T18" s="17" t="s">
        <v>118</v>
      </c>
      <c r="U18" s="162"/>
      <c r="AA18" s="5"/>
      <c r="AB18" s="5"/>
      <c r="AC18" s="5"/>
      <c r="AD18" s="39"/>
      <c r="AE18" s="18"/>
      <c r="AF18" s="939" t="s">
        <v>322</v>
      </c>
      <c r="AG18" s="882"/>
      <c r="AH18" s="939" t="s">
        <v>323</v>
      </c>
      <c r="AI18" s="882"/>
      <c r="AJ18" s="939" t="s">
        <v>324</v>
      </c>
      <c r="AK18" s="882"/>
      <c r="AL18" s="939" t="s">
        <v>325</v>
      </c>
      <c r="AM18" s="882"/>
      <c r="AN18" s="939" t="s">
        <v>326</v>
      </c>
      <c r="AO18" s="882"/>
      <c r="AP18" s="939" t="s">
        <v>327</v>
      </c>
      <c r="AQ18" s="882"/>
      <c r="AR18" s="939" t="s">
        <v>328</v>
      </c>
      <c r="AS18" s="882"/>
      <c r="AT18" s="939" t="s">
        <v>329</v>
      </c>
      <c r="AU18" s="882"/>
      <c r="AV18" s="38" t="s">
        <v>330</v>
      </c>
      <c r="AW18" s="760" t="s">
        <v>113</v>
      </c>
      <c r="AX18" s="761" t="s">
        <v>114</v>
      </c>
      <c r="AY18" s="760" t="s">
        <v>113</v>
      </c>
      <c r="AZ18" s="761" t="s">
        <v>114</v>
      </c>
      <c r="BA18" s="760" t="s">
        <v>113</v>
      </c>
      <c r="BB18" s="761" t="s">
        <v>114</v>
      </c>
      <c r="BC18" s="760" t="s">
        <v>113</v>
      </c>
      <c r="BD18" s="761" t="s">
        <v>114</v>
      </c>
      <c r="BE18" s="760" t="s">
        <v>113</v>
      </c>
      <c r="BF18" s="761" t="s">
        <v>114</v>
      </c>
      <c r="BG18" s="760" t="s">
        <v>113</v>
      </c>
      <c r="BH18" s="761" t="s">
        <v>114</v>
      </c>
      <c r="BI18" s="760" t="s">
        <v>113</v>
      </c>
      <c r="BJ18" s="761" t="s">
        <v>114</v>
      </c>
      <c r="BK18" s="760" t="s">
        <v>113</v>
      </c>
      <c r="BL18" s="761" t="s">
        <v>114</v>
      </c>
      <c r="BM18" s="760" t="s">
        <v>113</v>
      </c>
      <c r="BN18" s="761" t="s">
        <v>114</v>
      </c>
      <c r="BO18" s="760" t="s">
        <v>113</v>
      </c>
      <c r="BP18" s="761" t="s">
        <v>114</v>
      </c>
      <c r="BQ18" s="760" t="s">
        <v>113</v>
      </c>
      <c r="BR18" s="761" t="s">
        <v>114</v>
      </c>
      <c r="BS18" s="760" t="s">
        <v>113</v>
      </c>
      <c r="BT18" s="761" t="s">
        <v>114</v>
      </c>
      <c r="BU18" s="760" t="s">
        <v>113</v>
      </c>
      <c r="BV18" s="761" t="s">
        <v>114</v>
      </c>
      <c r="BW18" s="760" t="s">
        <v>113</v>
      </c>
      <c r="BX18" s="761" t="s">
        <v>114</v>
      </c>
      <c r="BY18" s="760" t="s">
        <v>113</v>
      </c>
      <c r="BZ18" s="761" t="s">
        <v>114</v>
      </c>
      <c r="CA18" s="760" t="s">
        <v>113</v>
      </c>
      <c r="CB18" s="761" t="s">
        <v>114</v>
      </c>
    </row>
    <row r="19" spans="1:83" ht="12" customHeight="1" x14ac:dyDescent="0.25">
      <c r="B19" s="26"/>
      <c r="C19" s="33"/>
      <c r="D19" s="17" t="s">
        <v>124</v>
      </c>
      <c r="E19" s="147"/>
      <c r="F19" s="33"/>
      <c r="G19" s="33"/>
      <c r="H19" s="33"/>
      <c r="I19" s="33"/>
      <c r="J19" s="17" t="s">
        <v>124</v>
      </c>
      <c r="K19" s="148">
        <v>89</v>
      </c>
      <c r="N19" s="17" t="s">
        <v>124</v>
      </c>
      <c r="O19" s="147">
        <v>89</v>
      </c>
      <c r="T19" s="17" t="s">
        <v>124</v>
      </c>
      <c r="U19" s="147"/>
      <c r="AA19" s="5"/>
      <c r="AB19" s="5"/>
      <c r="AC19" s="5"/>
      <c r="AD19" s="756" t="s">
        <v>331</v>
      </c>
      <c r="AE19" s="757"/>
      <c r="AF19" s="30" t="s">
        <v>113</v>
      </c>
      <c r="AG19" s="30" t="s">
        <v>114</v>
      </c>
      <c r="AH19" s="30" t="s">
        <v>113</v>
      </c>
      <c r="AI19" s="30" t="s">
        <v>114</v>
      </c>
      <c r="AJ19" s="30" t="s">
        <v>113</v>
      </c>
      <c r="AK19" s="30" t="s">
        <v>114</v>
      </c>
      <c r="AL19" s="30" t="s">
        <v>113</v>
      </c>
      <c r="AM19" s="30" t="s">
        <v>114</v>
      </c>
      <c r="AN19" s="30" t="s">
        <v>113</v>
      </c>
      <c r="AO19" s="30" t="s">
        <v>114</v>
      </c>
      <c r="AP19" s="30" t="s">
        <v>113</v>
      </c>
      <c r="AQ19" s="30" t="s">
        <v>114</v>
      </c>
      <c r="AR19" s="30" t="s">
        <v>113</v>
      </c>
      <c r="AS19" s="30" t="s">
        <v>114</v>
      </c>
      <c r="AT19" s="30" t="s">
        <v>113</v>
      </c>
      <c r="AU19" s="30" t="s">
        <v>114</v>
      </c>
      <c r="AV19" s="38"/>
      <c r="AW19" s="807" t="e">
        <f>IF(AND($U$17&gt;0,$O$17&gt;0),$U$17*SIN(RADIANS(90-$U$23)),IF(AND($U$17=0,$O$17&gt;0),$O$17/2*SIN(RADIANS(90-$O$23)),IF(AND($U$17&gt;0,$O$17=0),$U$17/2*SIN(RADIANS(90-$U$23)),IF(AND($U$17=0,$O$17=0,$K$17=0),$E$17/4*SIN(RADIANS(90-$E$23)),$K$17/4*SIN(RADIANS(90-$K$23))))))</f>
        <v>#VALUE!</v>
      </c>
      <c r="AX19" s="808" t="e">
        <f>IF(AND($U$17&gt;0,$O$17&gt;0),$U$17*COS(RADIANS(90-$U$23)),IF(AND($U$17=0,$O$17&gt;0),$O$17/2*COS(RADIANS(90-$O$23)),IF(AND($U$17&gt;0,$O$17=0),$U$17/2*COS(RADIANS(90-$U$23)),IF(AND($U$17=0,$O$17=0,$K$17=0),$E$17/4*COS(RADIANS(90-$E$23)),$K$17/4*COS(RADIANS(90-$K$23))))))</f>
        <v>#VALUE!</v>
      </c>
      <c r="AY19" s="807" t="e">
        <f>IF(AND($U$17&gt;0,$O$17&gt;0),$O$17*SIN(RADIANS(90-$O$23)),IF(AND($U$17=0,$O$17&gt;0),$O$17/2*SIN(RADIANS(90-$O$23)),IF(AND($U$17&gt;0,$O$17=0),$U$17/2*SIN(RADIANS(90-$U$23)),IF(AND($U$17=0,$O$17=0,$K$17=0),$E$17/4*SIN(RADIANS(90-$E$23)),$K$17/4*SIN(RADIANS(90-$K$23))))))</f>
        <v>#VALUE!</v>
      </c>
      <c r="AZ19" s="808" t="e">
        <f>IF(AND($U$17&gt;0,$O$17&gt;0),$O$17*COS(RADIANS(90-$O$23)),IF(AND($U$17=0,$O$17&gt;0),$O$17/2*COS(RADIANS(90-$O$23)),IF(AND($U$17&gt;0,$O$17=0),$U$17/2*COS(RADIANS(90-$U$23)),IF(AND($U$17=0,$O$17=0,$K$17=0),$E$17/4*COS(RADIANS(90-$E$23)),$K$17/4*COS(RADIANS(90-$K$23))))))</f>
        <v>#VALUE!</v>
      </c>
      <c r="BA19" s="807" t="e">
        <f>IF(AND($K$17&gt;0,$E$17&gt;0,OR($O$17&gt;0,$U$17&gt;0)),$K$17*SIN(RADIANS(90-$K$23)),IF(AND($K$17=0,$E$17&gt;0,OR($O$17&gt;0,$U$17&gt;0)),$E$17/2*SIN(RADIANS(90-$E$23)),IF(AND($K$17&gt;0,$E$17=0,OR($O$17&gt;0,$U$17&gt;0)),$K$17/2*SIN(RADIANS(90-$K$23)),IF(AND($K$17&gt;0,$O$17=0,$U$17=0),$K$17/4*SIN(RADIANS(90-$K$23)),$E$17/4*SIN(RADIANS(90-$E$23))))))</f>
        <v>#VALUE!</v>
      </c>
      <c r="BB19" s="808" t="e">
        <f>IF(AND($K$17&gt;0,$E$17&gt;0,OR($O$17&gt;0,$U$17&gt;0)),$K$17*COS(RADIANS(90-$K$23)),IF(AND($K$17=0,$E$17&gt;0,OR($O$17&gt;0,$U$17&gt;0)),$E$17/2*COS(RADIANS(90-$E$23)),IF(AND($K$17&gt;0,$E$17=0,OR($O$17&gt;0,$U$17&gt;0)),$K$17/2*COS(RADIANS(90-$K$23)),IF(AND($K$17&gt;0,$O$17=0,$U$17=0),$K$17/4*COS(RADIANS(90-$K$23)),$E$17/4*COS(RADIANS(90-$E$23))))))</f>
        <v>#VALUE!</v>
      </c>
      <c r="BC19" s="807" t="e">
        <f>IF(AND($K$17&gt;0,$E$17&gt;0,OR($O$17&gt;0,$U$17&gt;0)),$E$17*SIN(RADIANS(90-$E$23)),IF(AND($K$17=0,$E$17&gt;0,OR($O$17&gt;0,$U$17&gt;0)),$E$17/2*SIN(RADIANS(90-$E$23)),IF(AND($K$17&gt;0,$E$17=0,OR($O$17&gt;0,$U$17&gt;0)),$K$17/2*SIN(RADIANS(90-$K$23)),IF(AND($K$17&gt;0,$O$17=0,$U$17=0),$K$17/4*SIN(RADIANS(90-$K$23)),$E$17/4*SIN(RADIANS(90-$E$23))))))</f>
        <v>#VALUE!</v>
      </c>
      <c r="BD19" s="809" t="e">
        <f>IF(AND($K$17&gt;0,$E$17&gt;0,OR($O$17&gt;0,$U$17&gt;0)),$E$17*COS(RADIANS(90-$E$23)),IF(AND($K$17=0,$E$17&gt;0,OR($O$17&gt;0,$U$17&gt;0)),$E$17/2*COS(RADIANS(90-$E$23)),IF(AND($K$17&gt;0,$E$17=0,OR($O$17&gt;0,$U$17&gt;0)),$K$17/2*COS(RADIANS(90-$K$23)),IF(AND($K$17&gt;0,$O$17=0,$U$17=0),$K$17/4*COS(RADIANS(90-$K$23)),$E$17/4*COS(RADIANS(90-$E$23))))))</f>
        <v>#VALUE!</v>
      </c>
      <c r="BE19" s="807" t="e">
        <f>IF(AND($B$32&gt;0,$B$24&gt;0,OR($B$41&gt;0,$B$49&gt;0)),$B$24*COS(RADIANS(180-$B$30)),IF(AND($B$32=0,$B$24&gt;0,OR($B$41&gt;0,$B$49&gt;0)),$B$24/2*COS(RADIANS(180-$B$30)),IF(AND($B$32&gt;0,$B$24=0,OR($B$41&gt;0,$B$49&gt;0)),$B$32/2*COS(RADIANS(180-$B$38)),IF(AND($B$32&gt;0,$B$41=0,$B$49=0),$B$32/4*COS(RADIANS(180-$B$38)),$B$24/4*COS(RADIANS(180-$B$30))))))</f>
        <v>#VALUE!</v>
      </c>
      <c r="BF19" s="808" t="e">
        <f>IF(AND($B$32&gt;0,$B$24&gt;0,OR($B$41&gt;0,$B$49&gt;0)),$B$24*-SIN(RADIANS(180-$B$30)),IF(AND($B$32&gt;0,$B$24&gt;0,OR($B$41&gt;0,$B$49&gt;0)),$B$32*-SIN(RADIANS(180-$B$38)),IF(AND($B$32&gt;0,$B$24=0,OR($B$41&gt;0,$B$49&gt;0)),$B$32/2*-SIN(RADIANS(180-$B$38)),IF(AND($B$32&gt;0,$B$41=0,$B$49=0),$B$32/4*-SIN(RADIANS(180-$B$38)),$B$24/4*-SIN(RADIANS(180-$B$30))))))</f>
        <v>#VALUE!</v>
      </c>
      <c r="BG19" s="807" t="e">
        <f>IF(AND($B$32&gt;0,$B$24&gt;0,OR($B$41&gt;0,$B$49&gt;0)),$B$32*COS(RADIANS(180-$B$38)),IF(AND($B$32=0,$B$24&gt;0,OR($B$41&gt;0,$B$49&gt;0)),$B$24/2*COS(RADIANS(180-$B$30)),IF(AND($B$32&gt;0,$B$24=0,OR($B$41&gt;0,$B$49&gt;0)),$B$32/2*COS(RADIANS(180-$B$38)),IF(AND($B$32&gt;0,$B$41=0,$B$49=0),$B$32/4*COS(RADIANS(180-$B$38)),$B$24/4*COS(RADIANS(180-$B$30))))))</f>
        <v>#VALUE!</v>
      </c>
      <c r="BH19" s="808" t="e">
        <f>IF(AND($B$32&gt;0,$B$24&gt;0,OR($B$41&gt;0,$B$49&gt;0)),$B$32*-SIN(RADIANS(180-$B$38)),IF(AND($B$32&gt;0,$B$24&gt;0,OR($B$41&gt;0,$B$49&gt;0)),$B$32*-SIN(RADIANS(180-$B$38)),IF(AND($B$32&gt;0,$B$24=0,OR($B$41&gt;0,$B$49&gt;0)),$B$32/2*-SIN(RADIANS(180-$B$38)),IF(AND($B$32&gt;0,$B$41=0,$B$49=0),$B$32/4*-SIN(RADIANS(180-$B$38)),$B$24/4*-SIN(RADIANS(180-$B$30))))))</f>
        <v>#VALUE!</v>
      </c>
      <c r="BI19" s="807" t="e">
        <f>IF(AND($B$49&gt;0,$B$41&gt;0),$B$41*COS(RADIANS(180-$B$47)),IF(AND($B$49=0,$B$41&gt;0),$B$41/2*COS(RADIANS(180-$B$47)),IF(AND($B$49&gt;0,$B$41=0),$B$49/2*COS(RADIANS(180-$B$55)),IF(AND($B$49=0,$B$41=0,$B$32=0),$B$24/4*COS(RADIANS(180-$B$30)),$B$32/4*COS(RADIANS(180-$B$38))))))</f>
        <v>#VALUE!</v>
      </c>
      <c r="BJ19" s="808" t="e">
        <f>IF(AND($B$49&gt;0,$B$41&gt;0),$B$41*-SIN(RADIANS(180-$B$47)),IF(AND($B$49=0,$B$41&gt;0),$B$41/2*-SIN(RADIANS(180-$B$47)),IF(AND($B$49&gt;0,$B$41=0),$B$49/2*-SIN(RADIANS(180-$B$55)),IF(AND($B$49=0,$B$41=0,$B$32=0),$B$24/4*-SIN(RADIANS(180-$B$30)),$B$32/4*-SIN(RADIANS(180-$B$38))))))</f>
        <v>#VALUE!</v>
      </c>
      <c r="BK19" s="807" t="e">
        <f>IF(AND($B$49&gt;0,$B$41&gt;0),$B$49*COS(RADIANS(180-$B$55)),IF(AND($B$49=0,$B$41&gt;0),$B$41/2*COS(RADIANS(180-$B$47)),IF(AND($B$49&gt;0,$B$41=0),$B$49/2*COS(RADIANS(180-$B$55)),IF(AND($B$49=0,$B$41=0,$B$32=0),$B$24/4*COS(RADIANS(180-$B$30)),$B$32/4*COS(RADIANS(180-$B$38))))))</f>
        <v>#VALUE!</v>
      </c>
      <c r="BL19" s="808" t="e">
        <f>IF(AND($B$49&gt;0,$B$41&gt;0),$B$49*-SIN(RADIANS(180-$B$55)),IF(AND($B$49=0,$B$41&gt;0),$B$41/2*-SIN(RADIANS(180-$B$47)),IF(AND($B$49&gt;0,$B$41=0),$B$49/2*-SIN(RADIANS(180-$B$55)),IF(AND($B$49=0,$B$41=0,$B$32=0),$B$24/4*-SIN(RADIANS(180-$B$30)),$B$32/4*-SIN(RADIANS(180-$B$38))))))</f>
        <v>#VALUE!</v>
      </c>
      <c r="BM19" s="807" t="e">
        <f>IF(AND($K$62&gt;0,$E$62&gt;0,OR($O$62&gt;0,$U$62&gt;0)),$E$62*SIN(RADIANS(90-$E$61)),IF(AND($K$62=0,$E$62&gt;0,OR($O$62&gt;0,$U$62&gt;0)),$E$62/2*SIN(RADIANS(90-$E$61)),IF(AND($K$62&gt;0,$E$62=0,OR($O$62&gt;0,$U$62&gt;0)),$K$62/2*SIN(RADIANS(90-$K$61)),IF(AND($K$62&gt;0,$O$62=0,$U$62=0),$K$62/4*SIN(RADIANS(90-$K$61)),$E$62/4*SIN(RADIANS(90-$E$61))))))</f>
        <v>#VALUE!</v>
      </c>
      <c r="BN19" s="809" t="e">
        <f>IF(AND($K$62&gt;0,$E$62&gt;0,OR($O$62&gt;0,$U$62&gt;0)),$E$62*COS(RADIANS(90-$E$61)),IF(AND($K$62=0,$E$62&gt;0,OR($O$62&gt;0,$U$62&gt;0)),$E$62/2*COS(RADIANS(90-$E$61)),IF(AND($K$62&gt;0,$E$62=0,OR($O$62&gt;0,$U$62&gt;0)),$K$62/2*COS(RADIANS(90-$K$61)),IF(AND($K$62&gt;0,$O$62=0,$U$62=0),$K$62/4*COS(RADIANS(90-$K$61)),$E$62/4*COS(RADIANS(90-$E$61))))))</f>
        <v>#VALUE!</v>
      </c>
      <c r="BO19" s="807" t="e">
        <f>IF(AND($K$62&gt;0,$E$62&gt;0,OR($O$62&gt;0,$U$62&gt;0)),$K$62*SIN(RADIANS(90-$K$61)),IF(AND($K$62=0,$E$62&gt;0,OR($O$62&gt;0,$U$62&gt;0)),$E$62/2*SIN(RADIANS(90-$E$61)),IF(AND($K$62&gt;0,$E$62=0,OR($O$62&gt;0,$U$62&gt;0)),$K$62/2*SIN(RADIANS(90-$K$61)),IF(AND($K$62&gt;0,$O$62=0,$U$62=0),$K$62/4*SIN(RADIANS(90-$K$61)),$E$62/4*SIN(RADIANS(90-$E$61))))))</f>
        <v>#VALUE!</v>
      </c>
      <c r="BP19" s="808" t="e">
        <f>IF(AND($K$62&gt;0,$E$62&gt;0,OR($O$62&gt;0,$U$62&gt;0)),$K$62*COS(RADIANS(90-$K$61)),IF(AND($K$62=0,$E$62&gt;0,OR($O$62&gt;0,$U$62&gt;0)),$E$62/2*COS(RADIANS(90-$E$61)),IF(AND($K$62&gt;0,$E$62=0,OR($O$62&gt;0,$U$62&gt;0)),$K$62/2*COS(RADIANS(90-$K$61)),IF(AND($K$62&gt;0,$O$62=0,$U$62=0),$K$62/4*COS(RADIANS(90-$K$61)),$E$62/4*COS(RADIANS(90-$E$61))))))</f>
        <v>#VALUE!</v>
      </c>
      <c r="BQ19" s="807" t="e">
        <f>IF(AND($U$62&gt;0,$O$62&gt;0),$O$62*SIN(RADIANS(90-$O$61)),IF(AND($U$62=0,$O$62&gt;0),$O$62/2*SIN(RADIANS(90-$O$61)),IF(AND($U$62&gt;0,$O$62=0),$U$62/2*SIN(RADIANS(90-$U$61)),IF(AND($U$62=0,$O$62=0,$K$62=0),$E$62/4*SIN(RADIANS(90-$E$61)),$K$62/4*SIN(RADIANS(90-$K$61))))))</f>
        <v>#VALUE!</v>
      </c>
      <c r="BR19" s="808" t="e">
        <f>IF(AND($U$62&gt;0,$O$62&gt;0),$O$62*COS(RADIANS(90-$O$61)),IF(AND($U$62=0,$O$62&gt;0),$O$62/2*COS(RADIANS(90-$O$61)),IF(AND($U$62&gt;0,$O$62=0),$U$62/2*COS(RADIANS(90-$U$61)),IF(AND($U$62=0,$O$62=0,$K$62=0),$E$62/4*COS(RADIANS(90-$E$61)),$K$62/4*COS(RADIANS(90-$K$61))))))</f>
        <v>#VALUE!</v>
      </c>
      <c r="BS19" s="807" t="e">
        <f>IF(AND($U$62&gt;0,$O$62&gt;0),$U$62*SIN(RADIANS(90-$U$61)),IF(AND($U$62=0,$O$62&gt;0),$O$62/2*SIN(RADIANS(90-$O$61)),IF(AND($U$62&gt;0,$O$62=0),$U$62/2*SIN(RADIANS(90-$U$61)),IF(AND($U$62=0,$O$62=0,$K$62=0),$E$62/4*SIN(RADIANS(90-$E$61)),$K$62/4*SIN(RADIANS(90-$K$61))))))</f>
        <v>#VALUE!</v>
      </c>
      <c r="BT19" s="808" t="e">
        <f>IF(AND($U$62&gt;0,$O$62&gt;0),$U$62*COS(RADIANS(90-$U$61)),IF(AND($U$62=0,$O$62&gt;0),$O$62/2*COS(RADIANS(90-$O$61)),IF(AND($U$62&gt;0,$O$62=0),$U$62/2*COS(RADIANS(90-$U$61)),IF(AND($U$62=0,$O$62=0,$K$62=0),$E$62/4*COS(RADIANS(90-$E$61)),$K$62/4*COS(RADIANS(90-$K$61))))))</f>
        <v>#VALUE!</v>
      </c>
      <c r="BU19" s="807" t="e">
        <f>IF(AND($W$49&gt;0,$W$41&gt;0),$W$49*COS(RADIANS(180-$W$55)),IF(AND($W$49=0,$W$41&gt;0),$W$41/2*COS(RADIANS(180-$W$47)),IF(AND($W$49&gt;0,$W$41=0),$W$49/2*COS(RADIANS(180-$W$55)),IF(AND($W$49=0,$W$41=0,$W$32=0),$W$24/4*COS(RADIANS(180-$W$30)),$W$32/4*COS(RADIANS(180-$W$38))))))</f>
        <v>#VALUE!</v>
      </c>
      <c r="BV19" s="808" t="e">
        <f>IF(AND($W$49&gt;0,$W$41&gt;0),$W$49*-SIN(RADIANS(180-$W$55)),IF(AND($W$49=0,$W$41&gt;0),$W$41/2*-SIN(RADIANS(180-$W$47)),IF(AND($W$49&gt;0,$W$41=0),$W$49/2*-SIN(RADIANS(180-$W$55)),IF(AND($W$49=0,$W$41=0,$W$32=0),$W$24/4*-SIN(RADIANS(180-$W$30)),$W$32/4*-SIN(RADIANS(180-$W$38))))))</f>
        <v>#VALUE!</v>
      </c>
      <c r="BW19" s="807" t="e">
        <f>IF(AND($W$49&gt;0,$W$41&gt;0),$W$41*COS(RADIANS(180-$W$47)),IF(AND($W$49=0,$W$41&gt;0),$W$41/2*COS(RADIANS(180-$W$47)),IF(AND($W$49&gt;0,$W$41=0),$W$49/2*COS(RADIANS(180-$W$55)),IF(AND($W$49=0,$W$41=0,$W$32=0),$W$24/4*COS(RADIANS(180-$W$30)),$W$32/4*COS(RADIANS(180-$W$38))))))</f>
        <v>#VALUE!</v>
      </c>
      <c r="BX19" s="808" t="e">
        <f>IF(AND($W$49&gt;0,$W$41&gt;0),$W$41*-SIN(RADIANS(180-$W$47)),IF(AND($W$49=0,$W$41&gt;0),$W$41/2*-SIN(RADIANS(180-$W$47)),IF(AND($W$49&gt;0,$W$41=0),$W$49/2*-SIN(RADIANS(180-$W$55)),IF(AND($W$49=0,$W$41=0,$W$32=0),$W$24/4*-SIN(RADIANS(180-$W$30)),$W$32/4*-SIN(RADIANS(180-$W$38))))))</f>
        <v>#VALUE!</v>
      </c>
      <c r="BY19" s="807" t="e">
        <f>IF(AND($W$32&gt;0,$W$24&gt;0,OR($W$41&gt;0,$W$49&gt;0)),$W$32*COS(RADIANS(180-$W$38)),IF(AND($W$32=0,$W$24&gt;0,OR($W$41&gt;0,$W$49&gt;0)),$W$24/2*COS(RADIANS(180-$W$30)),IF(AND($W$32&gt;0,$W$24=0,OR($W$41&gt;0,$W$49&gt;0)),$W$32/2*COS(RADIANS(180-$W$38)),IF(AND($W$32&gt;0,$W$41=0,$W$49=0),$W$32/4*COS(RADIANS(180-$W$38)),$W$24/4*COS(RADIANS(180-$W$30))))))</f>
        <v>#VALUE!</v>
      </c>
      <c r="BZ19" s="808" t="e">
        <f>IF(AND($W$32&gt;0,$W$24&gt;0,OR($W$41&gt;0,$W$49&gt;0)),$W$32*-SIN(RADIANS(180-$W$38)),IF(AND($W$32&gt;0,$W$24&gt;0,OR($W$41&gt;0,$W$49&gt;0)),$W$32*-SIN(RADIANS(180-$W$38)),IF(AND($W$32&gt;0,$W$24=0,OR($W$41&gt;0,$W$49&gt;0)),$W$32/2*-SIN(RADIANS(180-$W$38)),IF(AND($W$32&gt;0,$W$41=0,$W$49=0),$W$32/4*-SIN(RADIANS(180-$W$38)),$W$24/4*-SIN(RADIANS(180-$W$30))))))</f>
        <v>#VALUE!</v>
      </c>
      <c r="CA19" s="807" t="e">
        <f>IF(AND($W$32&gt;0,$W$24&gt;0,OR($W$41&gt;0,$W$49&gt;0)),$W$24*COS(RADIANS(180-$W$30)),IF(AND($W$32=0,$W$24&gt;0,OR($W$41&gt;0,$W$49&gt;0)),$W$24/2*COS(RADIANS(180-$W$30)),IF(AND($W$32&gt;0,$W$24=0,OR($W$41&gt;0,$W$49&gt;0)),$W$32/2*COS(RADIANS(180-$W$38)),IF(AND($W$32&gt;0,$W$41=0,$W$49=0),$W$32/4*COS(RADIANS(180-$W$38)),$W$24/4*COS(RADIANS(180-$W$30))))))</f>
        <v>#VALUE!</v>
      </c>
      <c r="CB19" s="808" t="e">
        <f>IF(AND($W$32&gt;0,$W$24&gt;0,OR($W$41&gt;0,$W$49&gt;0)),$W$24*-SIN(RADIANS(180-$W$30)),IF(AND($W$32&gt;0,$W$24&gt;0,OR($W$41&gt;0,$W$49&gt;0)),$W$32*-SIN(RADIANS(180-$W$38)),IF(AND($W$32&gt;0,$W$24=0,OR($W$41&gt;0,$W$49&gt;0)),$W$32/2*-SIN(RADIANS(180-$W$38)),IF(AND($W$32&gt;0,$W$41=0,$W$49=0),$W$32/4*-SIN(RADIANS(180-$W$38)),$W$24/4*-SIN(RADIANS(180-$W$30))))))</f>
        <v>#VALUE!</v>
      </c>
    </row>
    <row r="20" spans="1:83" ht="12" customHeight="1" x14ac:dyDescent="0.25">
      <c r="B20" s="26"/>
      <c r="C20" s="33"/>
      <c r="D20" s="17" t="s">
        <v>130</v>
      </c>
      <c r="E20" s="147"/>
      <c r="F20" s="33"/>
      <c r="G20" s="33"/>
      <c r="H20" s="33"/>
      <c r="I20" s="33"/>
      <c r="J20" s="17" t="s">
        <v>130</v>
      </c>
      <c r="K20" s="148">
        <v>20</v>
      </c>
      <c r="N20" s="17" t="s">
        <v>130</v>
      </c>
      <c r="O20" s="147">
        <v>21</v>
      </c>
      <c r="T20" s="17" t="s">
        <v>130</v>
      </c>
      <c r="U20" s="147"/>
      <c r="AA20" s="5"/>
      <c r="AB20" s="5"/>
      <c r="AC20" s="5"/>
      <c r="AD20" s="52">
        <v>1</v>
      </c>
      <c r="AE20" s="53" t="s">
        <v>12</v>
      </c>
      <c r="AF20" s="46" t="e">
        <f>IF($L$38='SHL Section'!$BF$50,IF('SHL Section'!$BG$38=8,'SHL Section'!$AH$24-$AB$14,IF('SHL Section'!$BG$39=7,'SHL Section'!$AJ$24-$AB$14,IF('SHL Section'!$BG$40=6,'SHL Section'!$AL$24-$AB$14,""))),IF($L$38='SHL Section'!$BF$53,IF('SHL Section'!$BG$42=8,'SHL Section'!$AH$24-$AB$14,IF('SHL Section'!$BG$43=7,'SHL Section'!$AJ$24-$AB$14,IF('SHL Section'!$BG$44=6,'SHL Section'!$AL$24-$AB$14,""))),IF($L$38='SHL Section'!$BF$56,IF('SHL Section'!$BG$46=8,'SHL Section'!$AH$24-$AB$14,IF('SHL Section'!$BG$47=7,'SHL Section'!$AJ$24-$AB$14,IF('SHL Section'!$BG$48=6,'SHL Section'!$AL$24-$AB$14,""))),"")))</f>
        <v>#VALUE!</v>
      </c>
      <c r="AG20" s="46" t="e">
        <f>IF($L$38='SHL Section'!$BF$50,IF('SHL Section'!$BG$38=8,'SHL Section'!$AI$24-$AB$16,IF('SHL Section'!$BG$39=7,'SHL Section'!$AK$24-$AB$16,IF('SHL Section'!$BG$40=6,'SHL Section'!$AM$24-$AB$16,""))),IF($L$38='SHL Section'!$BF$53,IF('SHL Section'!$BG$42=8,'SHL Section'!$AI$24-$AB$16,IF('SHL Section'!$BG$43=7,'SHL Section'!$AK$24-$AB$16,IF('SHL Section'!$BG$44=6,'SHL Section'!$AM$24-$AB$16,""))),IF($L$38='SHL Section'!$BF$56,IF('SHL Section'!$BG$46=8,'SHL Section'!$AI$24-$AB$16,IF('SHL Section'!$BG$47=7,'SHL Section'!$AK$24-$AB$16,IF('SHL Section'!$BG$48=6,'SHL Section'!$AM$24-$AB$16,""))),"")))</f>
        <v>#VALUE!</v>
      </c>
      <c r="AH20" s="31" t="e">
        <f>IF($AF$20="","",$AZ$26+$AF$20)</f>
        <v>#VALUE!</v>
      </c>
      <c r="AI20" s="31" t="e">
        <f>IF($AG$20="","",$BA$26+$AG$20)</f>
        <v>#VALUE!</v>
      </c>
      <c r="AJ20" s="31" t="e">
        <f>IF($AF$20="","",$BH$26+$AZ$26+$AF$20)</f>
        <v>#VALUE!</v>
      </c>
      <c r="AK20" s="31" t="e">
        <f>IF($AG$20="","",$BA$26+$BI$26+$AG$20)</f>
        <v>#VALUE!</v>
      </c>
      <c r="AL20" s="31" t="e">
        <f>IF($AF$20="","",$BX$26+$AF$20)</f>
        <v>#VALUE!</v>
      </c>
      <c r="AM20" s="31" t="e">
        <f>IF($AG$20="","",$AG$20+$BY$26)</f>
        <v>#VALUE!</v>
      </c>
      <c r="AN20" s="31" t="e">
        <f>IF($AF$20="","",$AX$22+$AF$20)</f>
        <v>#VALUE!</v>
      </c>
      <c r="AO20" s="31" t="e">
        <f>IF($AG$20="","",$AY$22+$AG$20)</f>
        <v>#VALUE!</v>
      </c>
      <c r="AP20" s="31" t="e">
        <f>IF($AF$20="","",$AZ$26+$AF$20+$BF$22)</f>
        <v>#VALUE!</v>
      </c>
      <c r="AQ20" s="31" t="e">
        <f>IF($AG$20="","",$BA$26+$AG$20+$BG$22)</f>
        <v>#VALUE!</v>
      </c>
      <c r="AR20" s="31" t="e">
        <f>IF($AF$20="","",$BX$26+$AF$20+$BR$22)</f>
        <v>#VALUE!</v>
      </c>
      <c r="AS20" s="31" t="e">
        <f>IF($AG$20="","",$AG$20+$BY$26+$BS$22)</f>
        <v>#VALUE!</v>
      </c>
      <c r="AT20" s="31" t="e">
        <f>IF($AF$20="","",$BZ$22+$AF$20)</f>
        <v>#VALUE!</v>
      </c>
      <c r="AU20" s="31" t="e">
        <f>IF($AG$20="","",$AG$20+$CA$22)</f>
        <v>#VALUE!</v>
      </c>
      <c r="AV20" s="38" t="s">
        <v>333</v>
      </c>
      <c r="AW20" s="939" t="s">
        <v>334</v>
      </c>
      <c r="AX20" s="832"/>
      <c r="AY20" s="832"/>
      <c r="AZ20" s="882"/>
      <c r="BA20" s="939" t="s">
        <v>335</v>
      </c>
      <c r="BB20" s="832"/>
      <c r="BC20" s="832"/>
      <c r="BD20" s="882"/>
      <c r="BE20" s="939" t="s">
        <v>336</v>
      </c>
      <c r="BF20" s="832"/>
      <c r="BG20" s="832"/>
      <c r="BH20" s="882"/>
      <c r="BI20" s="939" t="s">
        <v>337</v>
      </c>
      <c r="BJ20" s="832"/>
      <c r="BK20" s="832"/>
      <c r="BL20" s="882"/>
      <c r="BM20" s="939" t="s">
        <v>338</v>
      </c>
      <c r="BN20" s="832"/>
      <c r="BO20" s="832"/>
      <c r="BP20" s="882"/>
      <c r="BQ20" s="939" t="s">
        <v>339</v>
      </c>
      <c r="BR20" s="832"/>
      <c r="BS20" s="832"/>
      <c r="BT20" s="882"/>
      <c r="BU20" s="939" t="s">
        <v>340</v>
      </c>
      <c r="BV20" s="832"/>
      <c r="BW20" s="832"/>
      <c r="BX20" s="882"/>
      <c r="BY20" s="939" t="s">
        <v>341</v>
      </c>
      <c r="BZ20" s="832"/>
      <c r="CA20" s="832"/>
      <c r="CB20" s="882"/>
      <c r="CD20" s="155" t="s">
        <v>342</v>
      </c>
      <c r="CE20" s="810" t="e">
        <f>(CD22^2+CE22^2)^0.5</f>
        <v>#VALUE!</v>
      </c>
    </row>
    <row r="21" spans="1:83" ht="12" customHeight="1" x14ac:dyDescent="0.25">
      <c r="D21" s="17" t="s">
        <v>134</v>
      </c>
      <c r="E21" s="147"/>
      <c r="J21" s="17" t="s">
        <v>134</v>
      </c>
      <c r="K21" s="148">
        <v>53</v>
      </c>
      <c r="N21" s="17" t="s">
        <v>134</v>
      </c>
      <c r="O21" s="147">
        <v>7</v>
      </c>
      <c r="T21" s="17" t="s">
        <v>134</v>
      </c>
      <c r="U21" s="147"/>
      <c r="AA21" s="28"/>
      <c r="AB21" s="28"/>
      <c r="AC21" s="28"/>
      <c r="AD21" s="52">
        <v>2</v>
      </c>
      <c r="AE21" s="53" t="s">
        <v>12</v>
      </c>
      <c r="AF21" s="32" t="e">
        <f>IF($AH$21="","",$AH$21-$AZ$26)</f>
        <v>#VALUE!</v>
      </c>
      <c r="AG21" s="32" t="e">
        <f>IF($AI$21="","",$AI$21-$BA$26)</f>
        <v>#VALUE!</v>
      </c>
      <c r="AH21" s="47" t="e">
        <f>IF($L$38='SHL Section'!$BF$50,IF('SHL Section'!$BG$37=4,'SHL Section'!$AF$24-$AB$14,IF('SHL Section'!$BG$39=6,'SHL Section'!$AJ$24-$AB$14,IF('SHL Section'!$BG$40=5,'SHL Section'!$AL$24-$AB$14,""))),IF($L$38='SHL Section'!$BF$53,IF('SHL Section'!$BG$41=4,'SHL Section'!$AF$24-$AB$14,IF('SHL Section'!$BG$43=6,'SHL Section'!$AJ$24-$AB$14,IF('SHL Section'!$BG$44=5,'SHL Section'!$AL$24-$AB$14,""))),IF($L$38='SHL Section'!$BF$56,IF('SHL Section'!$BG$45=4,'SHL Section'!$AF$24-$AB$14,IF('SHL Section'!$BG$47=6,'SHL Section'!$AJ$24-$AB$14,IF('SHL Section'!$BG$48=5,'SHL Section'!$AL$24-$AB$14,""))),"")))</f>
        <v>#VALUE!</v>
      </c>
      <c r="AI21" s="47" t="e">
        <f>IF($L$38='SHL Section'!$BF$50,IF('SHL Section'!$BG$37=4,'SHL Section'!$AG$24-$AB$16,IF('SHL Section'!$BG$39=6,'SHL Section'!$AK$24-$AB$16,IF('SHL Section'!$BG$40=5,'SHL Section'!$AM$24-$AB$16,""))),IF($L$38='SHL Section'!$BF$53,IF('SHL Section'!$BG$41=4,'SHL Section'!$AG$24-$AB$16,IF('SHL Section'!$BG$43=6,'SHL Section'!$AK$24-$AB$16,IF('SHL Section'!$BG$44=5,'SHL Section'!$AM$24-$AB$16,""))),IF($L$38='SHL Section'!$BF$56,IF('SHL Section'!$BG$45=4,'SHL Section'!$AG$24-$AB$16,IF('SHL Section'!$BG$47=6,'SHL Section'!$AK$24-$AB$16,IF('SHL Section'!$BG$48=5,'SHL Section'!$AM$24-$AB$16,""))),"")))</f>
        <v>#VALUE!</v>
      </c>
      <c r="AJ21" s="32" t="e">
        <f>IF($AH$21="","",$BH$26+$AH$21)</f>
        <v>#VALUE!</v>
      </c>
      <c r="AK21" s="32" t="e">
        <f>IF($AI$21="","",$AI$21+$BI$26)</f>
        <v>#VALUE!</v>
      </c>
      <c r="AL21" s="32" t="e">
        <f>IF($AH$21="","",$AH$21-$AZ$26+$BX$26)</f>
        <v>#VALUE!</v>
      </c>
      <c r="AM21" s="32" t="e">
        <f>IF($AI$21="","",$AI$21-$BA$26+$BY$26)</f>
        <v>#VALUE!</v>
      </c>
      <c r="AN21" s="32" t="e">
        <f>IF($AH$21="","",$AH$21-$BB$22)</f>
        <v>#VALUE!</v>
      </c>
      <c r="AO21" s="32" t="e">
        <f>IF($AI$21="","",AI$21-$BC$22)</f>
        <v>#VALUE!</v>
      </c>
      <c r="AP21" s="32" t="e">
        <f>IF($AH$21="","",$BF$22+$AH$21)</f>
        <v>#VALUE!</v>
      </c>
      <c r="AQ21" s="32" t="e">
        <f>IF($AI$21="","",$AI$21+$BG$22)</f>
        <v>#VALUE!</v>
      </c>
      <c r="AR21" s="32" t="e">
        <f>IF($AH$21="","",$BH$26+$AH$21-$BN$22)</f>
        <v>#VALUE!</v>
      </c>
      <c r="AS21" s="32" t="e">
        <f>IF($AI$21="","",$AI$21+$BI$26-$BO$22)</f>
        <v>#VALUE!</v>
      </c>
      <c r="AT21" s="32" t="e">
        <f>IF($AH$21="","",$AH$21-$AZ$26+$BZ$22)</f>
        <v>#VALUE!</v>
      </c>
      <c r="AU21" s="32" t="e">
        <f>IF($AI$21="","",$AI$21-$BA$26+$CA$22)</f>
        <v>#VALUE!</v>
      </c>
      <c r="AV21" s="38" t="s">
        <v>330</v>
      </c>
      <c r="AW21" s="37"/>
      <c r="AX21" s="760" t="s">
        <v>113</v>
      </c>
      <c r="AY21" s="761" t="s">
        <v>114</v>
      </c>
      <c r="AZ21" s="36"/>
      <c r="BA21" s="37"/>
      <c r="BB21" s="760" t="s">
        <v>113</v>
      </c>
      <c r="BC21" s="761" t="s">
        <v>114</v>
      </c>
      <c r="BD21" s="36"/>
      <c r="BE21" s="37"/>
      <c r="BF21" s="760" t="s">
        <v>113</v>
      </c>
      <c r="BG21" s="761" t="s">
        <v>114</v>
      </c>
      <c r="BH21" s="36"/>
      <c r="BI21" s="37"/>
      <c r="BJ21" s="760" t="s">
        <v>113</v>
      </c>
      <c r="BK21" s="761" t="s">
        <v>114</v>
      </c>
      <c r="BL21" s="36"/>
      <c r="BM21" s="37"/>
      <c r="BN21" s="760" t="s">
        <v>113</v>
      </c>
      <c r="BO21" s="761" t="s">
        <v>114</v>
      </c>
      <c r="BP21" s="36"/>
      <c r="BQ21" s="37"/>
      <c r="BR21" s="760" t="s">
        <v>113</v>
      </c>
      <c r="BS21" s="761" t="s">
        <v>114</v>
      </c>
      <c r="BT21" s="36"/>
      <c r="BU21" s="37"/>
      <c r="BV21" s="760" t="s">
        <v>113</v>
      </c>
      <c r="BW21" s="761" t="s">
        <v>114</v>
      </c>
      <c r="BX21" s="36"/>
      <c r="BY21" s="37"/>
      <c r="BZ21" s="760" t="s">
        <v>113</v>
      </c>
      <c r="CA21" s="761" t="s">
        <v>114</v>
      </c>
      <c r="CB21" s="36"/>
      <c r="CD21" s="760" t="s">
        <v>113</v>
      </c>
      <c r="CE21" s="761" t="s">
        <v>114</v>
      </c>
    </row>
    <row r="22" spans="1:83" ht="12" customHeight="1" x14ac:dyDescent="0.25">
      <c r="A22" s="1"/>
      <c r="B22" s="1"/>
      <c r="C22" s="1"/>
      <c r="D22" s="17" t="s">
        <v>140</v>
      </c>
      <c r="E22" s="112">
        <v>3</v>
      </c>
      <c r="F22" s="18"/>
      <c r="G22" s="18"/>
      <c r="H22" s="18"/>
      <c r="I22" s="18"/>
      <c r="J22" s="17" t="s">
        <v>140</v>
      </c>
      <c r="K22" s="112">
        <v>1</v>
      </c>
      <c r="L22" s="1"/>
      <c r="M22" s="1"/>
      <c r="N22" s="17" t="s">
        <v>140</v>
      </c>
      <c r="O22" s="112">
        <v>1</v>
      </c>
      <c r="P22" s="18"/>
      <c r="Q22" s="18"/>
      <c r="R22" s="18"/>
      <c r="S22" s="18"/>
      <c r="T22" s="17" t="s">
        <v>140</v>
      </c>
      <c r="U22" s="112">
        <v>3</v>
      </c>
      <c r="V22" s="1"/>
      <c r="W22" s="1"/>
      <c r="X22" s="1"/>
      <c r="AA22" s="5"/>
      <c r="AB22" s="5"/>
      <c r="AC22" s="5"/>
      <c r="AD22" s="52">
        <v>3</v>
      </c>
      <c r="AE22" s="53" t="s">
        <v>12</v>
      </c>
      <c r="AF22" s="32" t="e">
        <f>IF($AJ$22="","",$AJ$22-$BH$26-$AZ$26)</f>
        <v>#VALUE!</v>
      </c>
      <c r="AG22" s="32" t="e">
        <f>IF($AK$22="","",$AK$22-$BI$26-$BA$26)</f>
        <v>#VALUE!</v>
      </c>
      <c r="AH22" s="32" t="e">
        <f>IF($AJ$22="","",$AJ$22-$BH$26)</f>
        <v>#VALUE!</v>
      </c>
      <c r="AI22" s="32" t="e">
        <f>IF($AK$22="","",$AK$22-$BI$26)</f>
        <v>#VALUE!</v>
      </c>
      <c r="AJ22" s="47" t="e">
        <f>IF($L$38='SHL Section'!$BF$50,IF('SHL Section'!$BG$37=3,'SHL Section'!$AF$24-$AB$14,IF('SHL Section'!$BG$38=2,'SHL Section'!$AH$24-$AB$14,IF('SHL Section'!$BG$40=4,'SHL Section'!$AL$24-$AB$14,""))),IF($L$38='SHL Section'!$BF$53,IF('SHL Section'!$BG$41=3,'SHL Section'!$AF$24-$AB$14,IF('SHL Section'!$BG$42=2,'SHL Section'!$AH$24-$AB$14,IF('SHL Section'!$BG$44=4,'SHL Section'!$AL$24-$AB$14,""))),IF($L$38='SHL Section'!$BF$56,IF('SHL Section'!$BG$45=3,'SHL Section'!$AF$24-$AB$14,IF('SHL Section'!$BG$46=2,'SHL Section'!$AH$24-$AB$14,IF('SHL Section'!$BG$48=4,'SHL Section'!$AL$24-$AB$14,""))),"")))</f>
        <v>#VALUE!</v>
      </c>
      <c r="AK22" s="47" t="e">
        <f>IF($L$38='SHL Section'!$BF$50,IF('SHL Section'!$BG$37=3,'SHL Section'!$AG$24-$AB$16,IF('SHL Section'!$BG$38=2,'SHL Section'!$AI$24-$AB$16,IF('SHL Section'!$BG$40=4,'SHL Section'!$AM$24-$AB$16,""))),IF($L$38='SHL Section'!$BF$53,IF('SHL Section'!$BG$41=3,'SHL Section'!$AG$24-$AB$16,IF('SHL Section'!$BG$42=2,'SHL Section'!$AI$24-$AB$16,IF('SHL Section'!$BG$44=4,'SHL Section'!$AM$24-$AB$16,""))),IF($L$38='SHL Section'!$BF$56,IF('SHL Section'!$BG$45=3,'SHL Section'!$AG$24-$AB$16,IF('SHL Section'!$BG$46=2,'SHL Section'!$AI$24-$AB$16,IF('SHL Section'!$BG$48=4,'SHL Section'!$AM$24-$AB$16,""))),"")))</f>
        <v>#VALUE!</v>
      </c>
      <c r="AL22" s="32" t="e">
        <f>IF($AJ$22="","",$AJ$22-$BP$26)</f>
        <v>#VALUE!</v>
      </c>
      <c r="AM22" s="32" t="e">
        <f>IF($AK$22="","",$AK$22-$BQ$26)</f>
        <v>#VALUE!</v>
      </c>
      <c r="AN22" s="32" t="e">
        <f>IF($AJ$22="","",$AJ$22-$BH$26-$BB$22)</f>
        <v>#VALUE!</v>
      </c>
      <c r="AO22" s="32" t="e">
        <f>IF($AK$22="","",$AK$22-$BI$26-$BC$22)</f>
        <v>#VALUE!</v>
      </c>
      <c r="AP22" s="32" t="e">
        <f>IF($AJ$22="","",$AJ$22-$BJ$22)</f>
        <v>#VALUE!</v>
      </c>
      <c r="AQ22" s="32" t="e">
        <f>IF($AK$22="","",$AK$22-$BK$22)</f>
        <v>#VALUE!</v>
      </c>
      <c r="AR22" s="32" t="e">
        <f>IF($AJ$22="","",$AJ$22-$BN$22)</f>
        <v>#VALUE!</v>
      </c>
      <c r="AS22" s="32" t="e">
        <f>IF($AK$22="","",$AK$22-$BO$22)</f>
        <v>#VALUE!</v>
      </c>
      <c r="AT22" s="32" t="e">
        <f>IF($AJ$22="","",$AJ$22-$BP$26-$BV$22)</f>
        <v>#VALUE!</v>
      </c>
      <c r="AU22" s="32" t="e">
        <f>IF($AK$22="","",$AK$22-$BQ$26-$BW$22)</f>
        <v>#VALUE!</v>
      </c>
      <c r="AV22" s="38"/>
      <c r="AW22" s="37"/>
      <c r="AX22" s="811" t="e">
        <f>AW19+AY19</f>
        <v>#VALUE!</v>
      </c>
      <c r="AY22" s="812" t="e">
        <f>AX19+AZ19</f>
        <v>#VALUE!</v>
      </c>
      <c r="AZ22" s="36"/>
      <c r="BA22" s="37"/>
      <c r="BB22" s="811" t="e">
        <f>BA19+BC19</f>
        <v>#VALUE!</v>
      </c>
      <c r="BC22" s="812" t="e">
        <f>BB19+BD19</f>
        <v>#VALUE!</v>
      </c>
      <c r="BD22" s="36"/>
      <c r="BE22" s="37"/>
      <c r="BF22" s="811" t="e">
        <f>BE19+BG19</f>
        <v>#VALUE!</v>
      </c>
      <c r="BG22" s="812" t="e">
        <f>BF19+BH19</f>
        <v>#VALUE!</v>
      </c>
      <c r="BH22" s="36"/>
      <c r="BI22" s="37"/>
      <c r="BJ22" s="811" t="e">
        <f>BI19+BK19</f>
        <v>#VALUE!</v>
      </c>
      <c r="BK22" s="812" t="e">
        <f>BJ19+BL19</f>
        <v>#VALUE!</v>
      </c>
      <c r="BL22" s="36"/>
      <c r="BM22" s="37"/>
      <c r="BN22" s="811" t="e">
        <f>BM19+BO19</f>
        <v>#VALUE!</v>
      </c>
      <c r="BO22" s="812" t="e">
        <f>BN19+BP19</f>
        <v>#VALUE!</v>
      </c>
      <c r="BP22" s="36"/>
      <c r="BQ22" s="37"/>
      <c r="BR22" s="811" t="e">
        <f>BQ19+BS19</f>
        <v>#VALUE!</v>
      </c>
      <c r="BS22" s="812" t="e">
        <f>BR19+BT19</f>
        <v>#VALUE!</v>
      </c>
      <c r="BT22" s="36"/>
      <c r="BU22" s="37"/>
      <c r="BV22" s="811" t="e">
        <f>BU19+BW19</f>
        <v>#VALUE!</v>
      </c>
      <c r="BW22" s="812" t="e">
        <f>BV19+BX19</f>
        <v>#VALUE!</v>
      </c>
      <c r="BX22" s="36"/>
      <c r="BY22" s="37"/>
      <c r="BZ22" s="811" t="e">
        <f>BY19+CA19</f>
        <v>#VALUE!</v>
      </c>
      <c r="CA22" s="812" t="e">
        <f>BZ19+CB19</f>
        <v>#VALUE!</v>
      </c>
      <c r="CB22" s="36"/>
      <c r="CD22" s="813" t="e">
        <f>AZ26+BH26-BP26-BX26</f>
        <v>#VALUE!</v>
      </c>
      <c r="CE22" s="814" t="e">
        <f>BA26+BI26-BQ26-BY26</f>
        <v>#VALUE!</v>
      </c>
    </row>
    <row r="23" spans="1:83" ht="12" customHeight="1" thickBot="1" x14ac:dyDescent="0.3">
      <c r="B23" s="945" t="e">
        <f>CONCATENATE("NW SC of ",$L$38)</f>
        <v>#VALUE!</v>
      </c>
      <c r="C23" s="904"/>
      <c r="D23" s="17" t="s">
        <v>144</v>
      </c>
      <c r="E23" s="34" t="e">
        <f>IF(AND($L$38='SHL Section'!$BF$50,MAX('SHL Section'!$BG$37:$BG$40)=6),'SHL Section'!$E$61,IF(AND($L$38='SHL Section'!$BF$53,MAX('SHL Section'!$BG$41:$BG$44)=6),'SHL Section'!$E$61,IF(AND($L$38='SHL Section'!$BF$56,MAX('SHL Section'!$BG$45:$BG$48)=6),'SHL Section'!$E$61,IF(E19="","",IF(OR(E22=1,E22=4),180-(E19+E20/60+E21/3600),(E19+E20/60+E21/3600))))))</f>
        <v>#VALUE!</v>
      </c>
      <c r="J23" s="17" t="s">
        <v>144</v>
      </c>
      <c r="K23" s="34" t="e">
        <f>IF(AND($L$38='SHL Section'!$BF$50,MAX('SHL Section'!$BG$37:$BG$40)=6),'SHL Section'!$K$61,IF(AND($L$38='SHL Section'!$BF$53,MAX('SHL Section'!$BG$41:$BG$44)=6),'SHL Section'!$K$61,IF(AND($L$38='SHL Section'!$BF$56,MAX('SHL Section'!$BG$45:$BG$48)=6),'SHL Section'!$K$61,IF(K19="","",IF(OR(K22=1,K22=4),180-(K19+K20/60+K21/3600),(K19+K20/60+K21/3600))))))</f>
        <v>#VALUE!</v>
      </c>
      <c r="L23" s="945" t="e">
        <f>CONCATENATE("N QC of ",$L$38)</f>
        <v>#VALUE!</v>
      </c>
      <c r="M23" s="904"/>
      <c r="N23" s="17" t="s">
        <v>144</v>
      </c>
      <c r="O23" s="27" t="e">
        <f>IF(AND($L$38='SHL Section'!$BF$50,MAX('SHL Section'!$BG$37:$BG$40)=6),'SHL Section'!$O$61,IF(AND($L$38='SHL Section'!$BF$53,MAX('SHL Section'!$BG$41:$BG$44)=6),'SHL Section'!$O$61,IF(AND($L$38='SHL Section'!$BF$56,MAX('SHL Section'!$BG$45:$BG$48)=6),'SHL Section'!$O$61,IF(O19="","",IF(OR(O22=1,O22=4),180-(O19+O20/60+O21/3600),(O19+O20/60+O21/3600))))))</f>
        <v>#VALUE!</v>
      </c>
      <c r="T23" s="17" t="s">
        <v>144</v>
      </c>
      <c r="U23" s="27" t="e">
        <f>IF(AND($L$38='SHL Section'!$BF$50,MAX('SHL Section'!$BG$37:$BG$40)=6),'SHL Section'!$U$61,IF(AND($L$38='SHL Section'!$BF$53,MAX('SHL Section'!$BG$41:$BG$44)=6),'SHL Section'!$U$61,IF(AND($L$38='SHL Section'!$BF$56,MAX('SHL Section'!$BG$45:$BG$48)=6),'SHL Section'!$U$61,IF(U19="","",IF(OR(U22=1,U22=4),180-(U19+U20/60+U21/3600),(U19+U20/60+U21/3600))))))</f>
        <v>#VALUE!</v>
      </c>
      <c r="V23" s="954" t="e">
        <f>CONCATENATE("NE SC of ",$L$38)</f>
        <v>#VALUE!</v>
      </c>
      <c r="W23" s="904"/>
      <c r="Y23" s="28"/>
      <c r="Z23" s="28"/>
      <c r="AA23" s="5"/>
      <c r="AB23" s="5"/>
      <c r="AC23" s="5"/>
      <c r="AD23" s="756">
        <v>4</v>
      </c>
      <c r="AE23" s="758" t="s">
        <v>12</v>
      </c>
      <c r="AF23" s="45" t="e">
        <f>IF($AL$23="","",$AL$23-$BX$26)</f>
        <v>#VALUE!</v>
      </c>
      <c r="AG23" s="45" t="e">
        <f>IF($AM$23="","",$AM$23-$BY$26)</f>
        <v>#VALUE!</v>
      </c>
      <c r="AH23" s="45" t="e">
        <f>IF($AL$23="","",$AL$23+$BP$26-$BH$26)</f>
        <v>#VALUE!</v>
      </c>
      <c r="AI23" s="45" t="e">
        <f>IF($AM$23="","",$AM$23+$BQ$26-$BI$26)</f>
        <v>#VALUE!</v>
      </c>
      <c r="AJ23" s="45" t="e">
        <f>IF($AL$23="","",$AL$23+$BP$26)</f>
        <v>#VALUE!</v>
      </c>
      <c r="AK23" s="45" t="e">
        <f>IF($AM$23="","",$AM$23+$BQ$26)</f>
        <v>#VALUE!</v>
      </c>
      <c r="AL23" s="50" t="e">
        <f>IF($L$38='SHL Section'!$BF$50,IF('SHL Section'!$BG$37=2,'SHL Section'!$AF$24-$AB$14,IF('SHL Section'!$BG$38=9,'SHL Section'!$AH$24-$AB$14,IF('SHL Section'!$BG$39=8,'SHL Section'!$AJ$24-$AB$14,""))),IF($L$38='SHL Section'!$BF$53,IF('SHL Section'!$BG$41=2,'SHL Section'!$AF$24-$AB$14,IF('SHL Section'!$BG$42=9,'SHL Section'!$AH$24-$AB$14,IF('SHL Section'!$BG$43=8,'SHL Section'!$AJ$24-$AB$14,""))),IF($L$38='SHL Section'!$BF$56,IF('SHL Section'!$BG$45=2,'SHL Section'!$AF$24-$AB$14,IF('SHL Section'!$BG$46=9,'SHL Section'!$AH$24-$AB$14,IF('SHL Section'!$BG$47=8,'SHL Section'!$AJ$24-$AB$14,""))),"")))</f>
        <v>#VALUE!</v>
      </c>
      <c r="AM23" s="50" t="e">
        <f>IF($L$38='SHL Section'!$BF$50,IF('SHL Section'!$BG$37=2,'SHL Section'!$AG$24-$AB$16,IF('SHL Section'!$BG$38=9,'SHL Section'!$AI$24-$AB$16,IF('SHL Section'!$BG$39=8,'SHL Section'!$AK$24-$AB$16,""))),IF($L$38='SHL Section'!$BF$53,IF('SHL Section'!$BG$41=2,'SHL Section'!$AG$24-$AB$16,IF('SHL Section'!$BG$42=9,'SHL Section'!$AI$24-$AB$16,IF('SHL Section'!$BG$43=8,'SHL Section'!$AK$24-$AB$16,""))),IF($L$38='SHL Section'!$BF$56,IF('SHL Section'!$BG$45=2,'SHL Section'!$AG$24-$AB$16,IF('SHL Section'!$BG$46=9,'SHL Section'!$AI$24-$AB$16,IF('SHL Section'!$BG$47=8,'SHL Section'!$AK$24-$AB$16,""))),"")))</f>
        <v>#VALUE!</v>
      </c>
      <c r="AN23" s="45" t="e">
        <f>IF($AL$23="","",$AL$23-$BX$26+$AX$22)</f>
        <v>#VALUE!</v>
      </c>
      <c r="AO23" s="45" t="e">
        <f>IF($AM$23="","",$AM$23-$BY$26+$AY$22)</f>
        <v>#VALUE!</v>
      </c>
      <c r="AP23" s="45" t="e">
        <f>IF($AL$23="","",$AL$23+$BP$26-$BJ$22)</f>
        <v>#VALUE!</v>
      </c>
      <c r="AQ23" s="45" t="e">
        <f>IF($AM$23="","",$AM$23+$BQ$26-$BK$22)</f>
        <v>#VALUE!</v>
      </c>
      <c r="AR23" s="45" t="e">
        <f>IF($AL$23="","",$AL$23+$BR$22)</f>
        <v>#VALUE!</v>
      </c>
      <c r="AS23" s="45" t="e">
        <f>IF($AM$23="","",$AM$23+$BS$22)</f>
        <v>#VALUE!</v>
      </c>
      <c r="AT23" s="45" t="e">
        <f>IF($AL$23="","",$AL$23-$BV$22)</f>
        <v>#VALUE!</v>
      </c>
      <c r="AU23" s="45" t="e">
        <f>IF($AM$23="","",$AM$23-$BW$22)</f>
        <v>#VALUE!</v>
      </c>
      <c r="AV23" s="38"/>
      <c r="AW23" s="37"/>
      <c r="BE23" s="37"/>
      <c r="BM23" s="37"/>
      <c r="BU23" s="37"/>
      <c r="CA23" s="19"/>
      <c r="CB23" s="19"/>
      <c r="CC23" s="42"/>
    </row>
    <row r="24" spans="1:83" ht="12" customHeight="1" x14ac:dyDescent="0.25">
      <c r="B24" s="44" t="e">
        <f>IF(AND($AA$10=1,$L$38='SHL Section'!$BF$50,MAX('SHL Section'!$BG$37:$BG$40)=4),'SHL Section'!$W$25,IF(AND($AA$10=1,$L$38='SHL Section'!$BF$53,MAX('SHL Section'!$BG$41:$BG$44)=4),'SHL Section'!$W$25,IF(AND($AA$10=1,$L$38='SHL Section'!$BF$56,MAX('SHL Section'!$BG$45:$BG$48)=4),'SHL Section'!$W$25,'BHL Section 1'!B25)))</f>
        <v>#VALUE!</v>
      </c>
      <c r="C24" s="3"/>
      <c r="D24" s="35"/>
      <c r="E24" s="35"/>
      <c r="F24" s="35"/>
      <c r="G24" s="35"/>
      <c r="H24" s="35"/>
      <c r="I24" s="35"/>
      <c r="J24" s="35"/>
      <c r="K24" s="35"/>
      <c r="L24" s="11"/>
      <c r="M24" s="12"/>
      <c r="N24" s="35"/>
      <c r="O24" s="35"/>
      <c r="P24" s="35"/>
      <c r="Q24" s="35"/>
      <c r="R24" s="35"/>
      <c r="S24" s="35"/>
      <c r="T24" s="35"/>
      <c r="U24" s="35"/>
      <c r="V24" s="21"/>
      <c r="W24" s="154" t="e">
        <f>IF(AND($AA$10=1,$L$38='SHL Section'!$BF$50,MAX('SHL Section'!$BG$37:$BG$40)=8),'SHL Section'!$B$25,IF(AND($AA$10=1,$L$38='SHL Section'!$BF$53,MAX('SHL Section'!$BG$41:$BG$44)=8),'SHL Section'!$B$25,IF(AND($AA$10=1,$L$38='SHL Section'!$BF$56,MAX('SHL Section'!$BG$45:$BG$48)=8),'SHL Section'!$B$25,'BHL Section 1'!W25)))</f>
        <v>#VALUE!</v>
      </c>
      <c r="AA24" s="5"/>
      <c r="AB24" s="5"/>
      <c r="AC24" s="5"/>
      <c r="AD24" s="944"/>
      <c r="AE24" s="911"/>
      <c r="AF24" s="80" t="str">
        <f>IF(ISNUMBER($AF$20),AF$20,IF(ISNUMBER($AH$21),AF$21,IF(ISNUMBER($AJ$22),AF$22,IF(ISNUMBER($AL$23),AF$23,""))))</f>
        <v/>
      </c>
      <c r="AG24" s="80" t="str">
        <f>IF(ISNUMBER($AG$20),AG$20,IF(ISNUMBER($AI$21),AG$21,IF(ISNUMBER($AK$22),AG$22,IF(ISNUMBER($AM$23),AG$23,""))))</f>
        <v/>
      </c>
      <c r="AH24" s="80" t="str">
        <f>IF(ISNUMBER($AF$20),AH$20,IF(ISNUMBER($AH$21),AH$21,IF(ISNUMBER($AJ$22),AH$22,IF(ISNUMBER($AL$23),AH$23,""))))</f>
        <v/>
      </c>
      <c r="AI24" s="80" t="str">
        <f>IF(ISNUMBER($AG$20),AI$20,IF(ISNUMBER($AI$21),AI$21,IF(ISNUMBER($AK$22),AI$22,IF(ISNUMBER($AM$23),AI$23,""))))</f>
        <v/>
      </c>
      <c r="AJ24" s="80" t="str">
        <f>IF(ISNUMBER($AF$20),AJ$20,IF(ISNUMBER($AH$21),AJ$21,IF(ISNUMBER($AJ$22),AJ$22,IF(ISNUMBER($AL$23),AJ$23,""))))</f>
        <v/>
      </c>
      <c r="AK24" s="80" t="str">
        <f>IF(ISNUMBER($AG$20),AK$20,IF(ISNUMBER($AI$21),AK$21,IF(ISNUMBER($AK$22),AK$22,IF(ISNUMBER($AM$23),AK$23,""))))</f>
        <v/>
      </c>
      <c r="AL24" s="80" t="str">
        <f>IF(ISNUMBER($AF$20),AL$20,IF(ISNUMBER($AH$21),AL$21,IF(ISNUMBER($AJ$22),AL$22,IF(ISNUMBER($AL$23),AL$23,""))))</f>
        <v/>
      </c>
      <c r="AM24" s="80" t="str">
        <f>IF(ISNUMBER($AG$20),AM$20,IF(ISNUMBER($AI$21),AM$21,IF(ISNUMBER($AK$22),AM$22,IF(ISNUMBER($AM$23),AM$23,""))))</f>
        <v/>
      </c>
      <c r="AN24" s="80" t="str">
        <f>IF(ISNUMBER($AF$20),AN$20,IF(ISNUMBER($AH$21),AN$21,IF(ISNUMBER($AJ$22),AN$22,IF(ISNUMBER($AL$23),AN$23,""))))</f>
        <v/>
      </c>
      <c r="AO24" s="80" t="str">
        <f>IF(ISNUMBER($AG$20),AO$20,IF(ISNUMBER($AI$21),AO$21,IF(ISNUMBER($AK$22),AO$22,IF(ISNUMBER($AM$23),AO$23,""))))</f>
        <v/>
      </c>
      <c r="AP24" s="80" t="str">
        <f>IF(ISNUMBER($AF$20),AP$20,IF(ISNUMBER($AH$21),AP$21,IF(ISNUMBER($AJ$22),AP$22,IF(ISNUMBER($AL$23),AP$23,""))))</f>
        <v/>
      </c>
      <c r="AQ24" s="80" t="str">
        <f>IF(ISNUMBER($AG$20),AQ$20,IF(ISNUMBER($AI$21),AQ$21,IF(ISNUMBER($AK$22),AQ$22,IF(ISNUMBER($AM$23),AQ$23,""))))</f>
        <v/>
      </c>
      <c r="AR24" s="80" t="str">
        <f>IF(ISNUMBER($AF$20),AR$20,IF(ISNUMBER($AH$21),AR$21,IF(ISNUMBER($AJ$22),AR$22,IF(ISNUMBER($AL$23),AR$23,""))))</f>
        <v/>
      </c>
      <c r="AS24" s="80" t="str">
        <f>IF(ISNUMBER($AG$20),AS$20,IF(ISNUMBER($AI$21),AS$21,IF(ISNUMBER($AK$22),AS$22,IF(ISNUMBER($AM$23),AS$23,""))))</f>
        <v/>
      </c>
      <c r="AT24" s="80" t="str">
        <f>IF(ISNUMBER($AF$20),AT$20,IF(ISNUMBER($AH$21),AT$21,IF(ISNUMBER($AJ$22),AT$22,IF(ISNUMBER($AL$23),AT$23,""))))</f>
        <v/>
      </c>
      <c r="AU24" s="80" t="str">
        <f>IF(ISNUMBER($AG$20),AU$20,IF(ISNUMBER($AI$21),AU$21,IF(ISNUMBER($AK$22),AU$22,IF(ISNUMBER($AM$23),AU$23,""))))</f>
        <v/>
      </c>
      <c r="AV24" s="38" t="s">
        <v>72</v>
      </c>
      <c r="AW24" s="939" t="s">
        <v>183</v>
      </c>
      <c r="AX24" s="832"/>
      <c r="AY24" s="832"/>
      <c r="AZ24" s="832"/>
      <c r="BA24" s="832"/>
      <c r="BB24" s="832"/>
      <c r="BC24" s="832"/>
      <c r="BD24" s="882"/>
      <c r="BE24" s="939" t="s">
        <v>204</v>
      </c>
      <c r="BF24" s="832"/>
      <c r="BG24" s="832"/>
      <c r="BH24" s="832"/>
      <c r="BI24" s="832"/>
      <c r="BJ24" s="832"/>
      <c r="BK24" s="832"/>
      <c r="BL24" s="882"/>
      <c r="BM24" s="939" t="s">
        <v>188</v>
      </c>
      <c r="BN24" s="832"/>
      <c r="BO24" s="832"/>
      <c r="BP24" s="832"/>
      <c r="BQ24" s="832"/>
      <c r="BR24" s="832"/>
      <c r="BS24" s="832"/>
      <c r="BT24" s="882"/>
      <c r="BU24" s="939" t="s">
        <v>197</v>
      </c>
      <c r="BV24" s="832"/>
      <c r="BW24" s="832"/>
      <c r="BX24" s="832"/>
      <c r="BY24" s="832"/>
      <c r="BZ24" s="832"/>
      <c r="CA24" s="832"/>
      <c r="CB24" s="882"/>
    </row>
    <row r="25" spans="1:83" ht="12" customHeight="1" x14ac:dyDescent="0.25">
      <c r="A25" s="17" t="s">
        <v>118</v>
      </c>
      <c r="B25" s="162"/>
      <c r="C25" s="4"/>
      <c r="L25" s="13"/>
      <c r="M25" s="14"/>
      <c r="V25" s="22"/>
      <c r="W25" s="162"/>
      <c r="X25" s="25" t="s">
        <v>118</v>
      </c>
      <c r="AA25" s="5"/>
      <c r="AB25" s="5"/>
      <c r="AC25" s="5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38" t="s">
        <v>330</v>
      </c>
      <c r="AW25" s="39"/>
      <c r="AX25" s="40"/>
      <c r="AY25" s="40"/>
      <c r="AZ25" s="760" t="s">
        <v>113</v>
      </c>
      <c r="BA25" s="761" t="s">
        <v>114</v>
      </c>
      <c r="BB25" s="40"/>
      <c r="BC25" s="40"/>
      <c r="BD25" s="41"/>
      <c r="BE25" s="39"/>
      <c r="BF25" s="40"/>
      <c r="BG25" s="40"/>
      <c r="BH25" s="760" t="s">
        <v>113</v>
      </c>
      <c r="BI25" s="761" t="s">
        <v>114</v>
      </c>
      <c r="BJ25" s="40"/>
      <c r="BK25" s="40"/>
      <c r="BL25" s="41"/>
      <c r="BM25" s="39"/>
      <c r="BN25" s="40"/>
      <c r="BO25" s="40"/>
      <c r="BP25" s="760" t="s">
        <v>113</v>
      </c>
      <c r="BQ25" s="761" t="s">
        <v>114</v>
      </c>
      <c r="BR25" s="40"/>
      <c r="BS25" s="40"/>
      <c r="BT25" s="41"/>
      <c r="BU25" s="39"/>
      <c r="BV25" s="40"/>
      <c r="BW25" s="40"/>
      <c r="BX25" s="760" t="s">
        <v>113</v>
      </c>
      <c r="BY25" s="761" t="s">
        <v>114</v>
      </c>
      <c r="BZ25" s="40"/>
      <c r="CA25" s="40"/>
      <c r="CB25" s="41"/>
    </row>
    <row r="26" spans="1:83" ht="12" customHeight="1" x14ac:dyDescent="0.25">
      <c r="A26" s="17" t="s">
        <v>124</v>
      </c>
      <c r="B26" s="147"/>
      <c r="C26" s="4"/>
      <c r="G26" s="831" t="s">
        <v>343</v>
      </c>
      <c r="H26" s="832"/>
      <c r="I26" s="149"/>
      <c r="L26" s="13"/>
      <c r="M26" s="14"/>
      <c r="Q26" s="831" t="s">
        <v>344</v>
      </c>
      <c r="R26" s="832"/>
      <c r="V26" s="22"/>
      <c r="W26" s="147"/>
      <c r="X26" s="25" t="s">
        <v>124</v>
      </c>
      <c r="AB26" s="5"/>
      <c r="AC26" s="5"/>
      <c r="AD26" s="52">
        <v>1</v>
      </c>
      <c r="AE26" s="53" t="s">
        <v>272</v>
      </c>
      <c r="AF26" s="47" t="e">
        <f>IF(AND($AT$24+'SHL Section'!$AJ$8&gt;0,$AO$24+'SHL Section'!$AL$8&gt;0),$AF$24+'SHL Section'!$AJ$8,"")</f>
        <v>#VALUE!</v>
      </c>
      <c r="AG26" s="47" t="e">
        <f>IF(AND($AT$24+'SHL Section'!$AJ$8&gt;0,$AO$24+'SHL Section'!$AL$8&gt;0),$AG$24+'SHL Section'!$AL$8,"")</f>
        <v>#VALUE!</v>
      </c>
      <c r="AH26" s="32" t="e">
        <f>IF($AF$26="","",$AZ$26+$AF$26)</f>
        <v>#VALUE!</v>
      </c>
      <c r="AI26" s="32" t="e">
        <f>IF($AG$26="","",$BA$26+$AG$26)</f>
        <v>#VALUE!</v>
      </c>
      <c r="AJ26" s="32" t="e">
        <f>IF($AF$26="","",$BH$26+$AZ$26+$AF$26)</f>
        <v>#VALUE!</v>
      </c>
      <c r="AK26" s="32" t="e">
        <f>IF($AG$26="","",$BA$26+$BI$26+$AG$26)</f>
        <v>#VALUE!</v>
      </c>
      <c r="AL26" s="32" t="e">
        <f>IF($AF$26="","",$BX$26+$AF$26)</f>
        <v>#VALUE!</v>
      </c>
      <c r="AM26" s="32" t="e">
        <f>IF($AG$26="","",$AG$26+$BY$26)</f>
        <v>#VALUE!</v>
      </c>
      <c r="AN26" s="32" t="e">
        <f>IF($AF$26="","",$AX$22+$AF$26)</f>
        <v>#VALUE!</v>
      </c>
      <c r="AO26" s="32" t="e">
        <f>IF($AG$26="","",$AY$22+$AG$26)</f>
        <v>#VALUE!</v>
      </c>
      <c r="AP26" s="32" t="e">
        <f>IF($AF$26="","",$AZ$26+$AF$26+$BF$22)</f>
        <v>#VALUE!</v>
      </c>
      <c r="AQ26" s="32" t="e">
        <f>IF($AG$26="","",$BA$26+$AG$26+$BG$22)</f>
        <v>#VALUE!</v>
      </c>
      <c r="AR26" s="32" t="e">
        <f>IF($AF$26="","",$BX$26+$AF$26+$BR$22)</f>
        <v>#VALUE!</v>
      </c>
      <c r="AS26" s="32" t="e">
        <f>IF($AG$26="","",$AG$26+$BY$26+$BS$22)</f>
        <v>#VALUE!</v>
      </c>
      <c r="AT26" s="32" t="e">
        <f>IF($AF$26="","",$BZ$22+$AF$26)</f>
        <v>#VALUE!</v>
      </c>
      <c r="AU26" s="32" t="e">
        <f>IF($AG$26="","",$AG$26+$CA$22)</f>
        <v>#VALUE!</v>
      </c>
      <c r="AV26" s="38"/>
      <c r="AW26" s="37"/>
      <c r="AZ26" s="811" t="e">
        <f>AX22+BB22</f>
        <v>#VALUE!</v>
      </c>
      <c r="BA26" s="812" t="e">
        <f>AY22+BC22</f>
        <v>#VALUE!</v>
      </c>
      <c r="BD26" s="36"/>
      <c r="BE26" s="37"/>
      <c r="BH26" s="811" t="e">
        <f>BF22+BJ22</f>
        <v>#VALUE!</v>
      </c>
      <c r="BI26" s="812" t="e">
        <f>BG22+BK22</f>
        <v>#VALUE!</v>
      </c>
      <c r="BL26" s="36"/>
      <c r="BM26" s="37"/>
      <c r="BP26" s="811" t="e">
        <f>BN22+BR22</f>
        <v>#VALUE!</v>
      </c>
      <c r="BQ26" s="812" t="e">
        <f>BO22+BS22</f>
        <v>#VALUE!</v>
      </c>
      <c r="BT26" s="36"/>
      <c r="BU26" s="37"/>
      <c r="BX26" s="811" t="e">
        <f>BV22+BZ22</f>
        <v>#VALUE!</v>
      </c>
      <c r="BY26" s="812" t="e">
        <f>BW22+CA22</f>
        <v>#VALUE!</v>
      </c>
      <c r="CA26" s="19"/>
      <c r="CB26" s="36"/>
    </row>
    <row r="27" spans="1:83" ht="12" customHeight="1" x14ac:dyDescent="0.25">
      <c r="A27" s="17" t="s">
        <v>130</v>
      </c>
      <c r="B27" s="147"/>
      <c r="C27" s="4"/>
      <c r="G27" s="99" t="str">
        <f>IF(ISNUMBER($AH$58),$B$8,"")</f>
        <v/>
      </c>
      <c r="H27" s="150" t="str">
        <f>IF(AND(G28="",G29=""),"",IF($AH$58=1,"NE/NW",IF($AH$58=2,"NW/NW",IF($AH$58=3,"SW/NW",IF($AH$58=4,"SE/NW","")))))</f>
        <v/>
      </c>
      <c r="L27" s="13"/>
      <c r="M27" s="14"/>
      <c r="Q27" s="98" t="str">
        <f>IF(ISNUMBER($AF$58),$B$8,"")</f>
        <v/>
      </c>
      <c r="R27" s="150" t="str">
        <f>IF(AND(Q28="",Q29=""),"",IF($AF$58=1,"NE/NE",IF($AF$58=2,"NW/NE",IF($AF$58=3,"SW/NE",IF($AF$58=4,"SE/NE","")))))</f>
        <v/>
      </c>
      <c r="V27" s="22"/>
      <c r="W27" s="147"/>
      <c r="X27" s="25" t="s">
        <v>130</v>
      </c>
      <c r="AB27" s="5"/>
      <c r="AC27" s="5"/>
      <c r="AD27" s="52">
        <v>2</v>
      </c>
      <c r="AE27" s="53" t="s">
        <v>272</v>
      </c>
      <c r="AF27" s="32" t="e">
        <f>IF($AH$27="","",$AH$27-$AZ$26)</f>
        <v>#VALUE!</v>
      </c>
      <c r="AG27" s="32" t="e">
        <f>IF($AI$27="","",$AI$27-$BA$26)</f>
        <v>#VALUE!</v>
      </c>
      <c r="AH27" s="47" t="e">
        <f>IF(AND($AP$24+'SHL Section'!$AJ$8&gt;0,$AO$24+'SHL Section'!$AL$8&lt;0),$AH$24+'SHL Section'!$AJ$8,"")</f>
        <v>#VALUE!</v>
      </c>
      <c r="AI27" s="47" t="e">
        <f>IF(AND($AP$24+'SHL Section'!$AJ$8&gt;0,$AO$24+'SHL Section'!$AL$8&lt;0),$AI$24+'SHL Section'!$AL$8,"")</f>
        <v>#VALUE!</v>
      </c>
      <c r="AJ27" s="32" t="e">
        <f>IF($AH$27="","",$BH$26+$AH$27)</f>
        <v>#VALUE!</v>
      </c>
      <c r="AK27" s="32" t="e">
        <f>IF($AI$27="","",$AI$27+$BI$26)</f>
        <v>#VALUE!</v>
      </c>
      <c r="AL27" s="32" t="e">
        <f>IF($AH$27="","",$AH$27-$AZ$26+$BX$26)</f>
        <v>#VALUE!</v>
      </c>
      <c r="AM27" s="32" t="e">
        <f>IF($AI$27="","",$AI$27-$BA$26+$BY$26)</f>
        <v>#VALUE!</v>
      </c>
      <c r="AN27" s="32" t="e">
        <f>IF($AH$27="","",$AH$27-$BB$22)</f>
        <v>#VALUE!</v>
      </c>
      <c r="AO27" s="32" t="e">
        <f>IF($AI$27="","",AI$27-$BC$22)</f>
        <v>#VALUE!</v>
      </c>
      <c r="AP27" s="32" t="e">
        <f>IF($AH$27="","",$BF$22+$AH$27)</f>
        <v>#VALUE!</v>
      </c>
      <c r="AQ27" s="32" t="e">
        <f>IF($AI$27="","",$AI$27+$BG$22)</f>
        <v>#VALUE!</v>
      </c>
      <c r="AR27" s="32" t="e">
        <f>IF($AH$27="","",$BH$26+$AH$27-$BN$22)</f>
        <v>#VALUE!</v>
      </c>
      <c r="AS27" s="32" t="e">
        <f>IF($AI$27="","",$AI$27+$BI$26-$BO$22)</f>
        <v>#VALUE!</v>
      </c>
      <c r="AT27" s="32" t="e">
        <f>IF($AH$27="","",$AH$27-$AZ$26+$BZ$22)</f>
        <v>#VALUE!</v>
      </c>
      <c r="AU27" s="32" t="e">
        <f>IF($AI$27="","",$AI$27-$BA$26+$CA$22)</f>
        <v>#VALUE!</v>
      </c>
    </row>
    <row r="28" spans="1:83" ht="12" customHeight="1" x14ac:dyDescent="0.25">
      <c r="A28" s="17" t="s">
        <v>134</v>
      </c>
      <c r="B28" s="147"/>
      <c r="C28" s="4"/>
      <c r="G28" s="151" t="str">
        <f>IF(ISNUMBER($AH$58),$I$8,"")</f>
        <v/>
      </c>
      <c r="H28" s="152" t="str">
        <f>IF(ISNUMBER($AH$58),"FNL","")</f>
        <v/>
      </c>
      <c r="J28" s="19"/>
      <c r="K28" s="19"/>
      <c r="L28" s="13"/>
      <c r="M28" s="14"/>
      <c r="Q28" s="151" t="str">
        <f>IF(ISNUMBER($AF$58),$I$8,"")</f>
        <v/>
      </c>
      <c r="R28" s="152" t="str">
        <f>IF(ISNUMBER($AF$58),"FNL","")</f>
        <v/>
      </c>
      <c r="V28" s="22"/>
      <c r="W28" s="147"/>
      <c r="X28" s="25" t="s">
        <v>134</v>
      </c>
      <c r="AB28" s="5"/>
      <c r="AC28" s="5"/>
      <c r="AD28" s="52">
        <v>3</v>
      </c>
      <c r="AE28" s="53" t="s">
        <v>272</v>
      </c>
      <c r="AF28" s="32" t="e">
        <f>IF($AJ$28="","",$AJ$28-$BH$26-$AZ$26)</f>
        <v>#VALUE!</v>
      </c>
      <c r="AG28" s="32" t="e">
        <f>IF($AK$28="","",$AK$28-$BI$26-$BA$26)</f>
        <v>#VALUE!</v>
      </c>
      <c r="AH28" s="32" t="e">
        <f>IF($AJ$28="","",$AJ$28-$BH$26)</f>
        <v>#VALUE!</v>
      </c>
      <c r="AI28" s="32" t="e">
        <f>IF($AK$28="","",$AK$28-$BI$26)</f>
        <v>#VALUE!</v>
      </c>
      <c r="AJ28" s="47" t="e">
        <f>IF(AND($AP$24+'SHL Section'!$AJ$8&lt;0,$AS$24+'SHL Section'!$AL$8&lt;0),$AJ$24+'SHL Section'!$AJ$8,"")</f>
        <v>#VALUE!</v>
      </c>
      <c r="AK28" s="47" t="e">
        <f>IF(AND($AP$24+'SHL Section'!$AJ$8&lt;0,$AS$24+'SHL Section'!$AL$8&lt;0),$AK$24+'SHL Section'!$AL$8,"")</f>
        <v>#VALUE!</v>
      </c>
      <c r="AL28" s="32" t="e">
        <f>IF($AJ$28="","",$AJ$28-$BP$26)</f>
        <v>#VALUE!</v>
      </c>
      <c r="AM28" s="32" t="e">
        <f>IF($AK$28="","",$AK$28-$BQ$26)</f>
        <v>#VALUE!</v>
      </c>
      <c r="AN28" s="32" t="e">
        <f>IF($AJ$28="","",$AJ$28-$BH$26-$BB$22)</f>
        <v>#VALUE!</v>
      </c>
      <c r="AO28" s="32" t="e">
        <f>IF($AK$28="","",$AK$28-$BI$26-$BC$22)</f>
        <v>#VALUE!</v>
      </c>
      <c r="AP28" s="32" t="e">
        <f>IF($AJ$28="","",$AJ$28-$BJ$22)</f>
        <v>#VALUE!</v>
      </c>
      <c r="AQ28" s="32" t="e">
        <f>IF($AK$28="","",$AK$28-$BK$22)</f>
        <v>#VALUE!</v>
      </c>
      <c r="AR28" s="32" t="e">
        <f>IF($AJ$28="","",$AJ$28-$BN$22)</f>
        <v>#VALUE!</v>
      </c>
      <c r="AS28" s="32" t="e">
        <f>IF($AK$28="","",$AK$28-$BO$22)</f>
        <v>#VALUE!</v>
      </c>
      <c r="AT28" s="32" t="e">
        <f>IF($AJ$28="","",$AJ$28-$BP$26-$BV$22)</f>
        <v>#VALUE!</v>
      </c>
      <c r="AU28" s="32" t="e">
        <f>IF($AK$28="","",$AK$28-$BQ$26-$BW$22)</f>
        <v>#VALUE!</v>
      </c>
      <c r="AV28" s="38" t="s">
        <v>345</v>
      </c>
      <c r="AW28" s="143" t="e">
        <f>$AX$19/($AW$19^2+$AX$19^2)^0.5</f>
        <v>#VALUE!</v>
      </c>
      <c r="AX28" s="143"/>
      <c r="AY28" s="143" t="e">
        <f>$AZ$19/($AY$19^2+$AZ$19^2)^0.5</f>
        <v>#VALUE!</v>
      </c>
      <c r="AZ28" s="809"/>
      <c r="BA28" s="143" t="e">
        <f>$BB$19/($BA$19^2+$BB$19^2)^0.5</f>
        <v>#VALUE!</v>
      </c>
      <c r="BB28" s="143"/>
      <c r="BC28" s="143" t="e">
        <f>$BD$19/($BC$19^2+$BD$19^2)^0.5</f>
        <v>#VALUE!</v>
      </c>
      <c r="BD28" s="809"/>
      <c r="BE28" s="143" t="e">
        <f>$BE$19/($BE$19^2+$BF$19^2)^0.5</f>
        <v>#VALUE!</v>
      </c>
      <c r="BF28" s="143"/>
      <c r="BG28" s="143" t="e">
        <f>$BG$19/($BG$19^2+$BH$19^2)^0.5</f>
        <v>#VALUE!</v>
      </c>
      <c r="BH28" s="809"/>
      <c r="BI28" s="143" t="e">
        <f>$BI$19/($BI$19^2+$BJ$19^2)^0.5</f>
        <v>#VALUE!</v>
      </c>
      <c r="BJ28" s="143"/>
      <c r="BK28" s="143" t="e">
        <f>$BK$19/($BK$19^2+$BL$19^2)^0.5</f>
        <v>#VALUE!</v>
      </c>
      <c r="BL28" s="809"/>
      <c r="BM28" s="143" t="e">
        <f>$BN$19/($BM$19^2+$BN$19^2)^0.5</f>
        <v>#VALUE!</v>
      </c>
      <c r="BN28" s="143"/>
      <c r="BO28" s="143" t="e">
        <f>$BP$19/($BO$19^2+$BP$19^2)^0.5</f>
        <v>#VALUE!</v>
      </c>
      <c r="BP28" s="809"/>
      <c r="BQ28" s="143" t="e">
        <f>$BR$19/($BQ$19^2+$BR$19^2)^0.5</f>
        <v>#VALUE!</v>
      </c>
      <c r="BR28" s="143"/>
      <c r="BS28" s="143" t="e">
        <f>$BT$19/($BS$19^2+$BT$19^2)^0.5</f>
        <v>#VALUE!</v>
      </c>
      <c r="BT28" s="809"/>
      <c r="BU28" s="143" t="e">
        <f>$BU$19/($BU$19^2+$BV$19^2)^0.5</f>
        <v>#VALUE!</v>
      </c>
      <c r="BV28" s="143"/>
      <c r="BW28" s="143" t="e">
        <f>$BW$19/($BW$19^2+$BX$19^2)^0.5</f>
        <v>#VALUE!</v>
      </c>
      <c r="BX28" s="809"/>
      <c r="BY28" s="143" t="e">
        <f>$BY$19/($BY$19^2+$BZ$19^2)^0.5</f>
        <v>#VALUE!</v>
      </c>
      <c r="BZ28" s="143"/>
      <c r="CA28" s="143" t="e">
        <f>$CA$19/($CA$19^2+$CB$19^2)^0.5</f>
        <v>#VALUE!</v>
      </c>
      <c r="CB28" s="809"/>
    </row>
    <row r="29" spans="1:83" ht="12" customHeight="1" x14ac:dyDescent="0.25">
      <c r="A29" s="17" t="s">
        <v>140</v>
      </c>
      <c r="B29" s="112">
        <v>4</v>
      </c>
      <c r="C29" s="4"/>
      <c r="G29" s="91" t="str">
        <f>IF(ISNUMBER($AH$58),$K$8,"")</f>
        <v/>
      </c>
      <c r="H29" s="90" t="str">
        <f>IF(ISNUMBER($AH$58),"FWL","")</f>
        <v/>
      </c>
      <c r="J29" s="19"/>
      <c r="K29" s="19"/>
      <c r="L29" s="13"/>
      <c r="M29" s="14"/>
      <c r="Q29" s="91" t="str">
        <f>IF(ISNUMBER($AF$58),$K$8,"")</f>
        <v/>
      </c>
      <c r="R29" s="90" t="str">
        <f>IF(ISNUMBER($AF$58),"FEL","")</f>
        <v/>
      </c>
      <c r="V29" s="22"/>
      <c r="W29" s="112">
        <v>4</v>
      </c>
      <c r="X29" s="25" t="s">
        <v>140</v>
      </c>
      <c r="AB29" s="5"/>
      <c r="AC29" s="5"/>
      <c r="AD29" s="756">
        <v>4</v>
      </c>
      <c r="AE29" s="758" t="s">
        <v>272</v>
      </c>
      <c r="AF29" s="45" t="e">
        <f>IF($AL$29="","",$AL$29-$BX$26)</f>
        <v>#VALUE!</v>
      </c>
      <c r="AG29" s="45" t="e">
        <f>IF($AM$29="","",$AM$29-$BY$26)</f>
        <v>#VALUE!</v>
      </c>
      <c r="AH29" s="45" t="e">
        <f>IF($AL$29="","",$AL$29+$BP$26-$BH$26)</f>
        <v>#VALUE!</v>
      </c>
      <c r="AI29" s="45" t="e">
        <f>IF($AM$29="","",$AM$29+$BQ$26-$BI$26)</f>
        <v>#VALUE!</v>
      </c>
      <c r="AJ29" s="45" t="e">
        <f>IF($AL$29="","",$AL$29+$BP$26)</f>
        <v>#VALUE!</v>
      </c>
      <c r="AK29" s="45" t="e">
        <f>IF($AM$29="","",$AM$29+$BQ$26)</f>
        <v>#VALUE!</v>
      </c>
      <c r="AL29" s="50" t="e">
        <f>IF(AND($AT$24+'SHL Section'!$AJ$8&lt;0,$AS$24+'SHL Section'!$AL$8&gt;0),$AL$24+'SHL Section'!$AJ$8,"")</f>
        <v>#VALUE!</v>
      </c>
      <c r="AM29" s="50" t="e">
        <f>IF(AND($AT$24+'SHL Section'!$AJ$8&lt;0,$AS$24+'SHL Section'!$AL$8&gt;0),$AM$24+'SHL Section'!$AL$8,"")</f>
        <v>#VALUE!</v>
      </c>
      <c r="AN29" s="45" t="e">
        <f>IF($AL$29="","",$AL$29-$BX$26+$AX$22)</f>
        <v>#VALUE!</v>
      </c>
      <c r="AO29" s="45" t="e">
        <f>IF($AM$29="","",$AM$29-$BY$26+$AY$22)</f>
        <v>#VALUE!</v>
      </c>
      <c r="AP29" s="45" t="e">
        <f>IF($AL$29="","",$AL$29+$BP$26-$BJ$22)</f>
        <v>#VALUE!</v>
      </c>
      <c r="AQ29" s="45" t="e">
        <f>IF($AM$29="","",$AM$29+$BQ$26-$BK$22)</f>
        <v>#VALUE!</v>
      </c>
      <c r="AR29" s="45" t="e">
        <f>IF($AL$29="","",$AL$29+$BR$22)</f>
        <v>#VALUE!</v>
      </c>
      <c r="AS29" s="45" t="e">
        <f>IF($AM$29="","",$AM$29+$BS$22)</f>
        <v>#VALUE!</v>
      </c>
      <c r="AT29" s="45" t="e">
        <f>IF($AL$29="","",$AL$29-$BV$22)</f>
        <v>#VALUE!</v>
      </c>
      <c r="AU29" s="45" t="e">
        <f>IF($AM$29="","",$AM$29-$BW$22)</f>
        <v>#VALUE!</v>
      </c>
      <c r="AW29" s="809"/>
      <c r="AX29" s="809"/>
      <c r="AY29" s="809"/>
      <c r="AZ29" s="809"/>
      <c r="BA29" s="809"/>
      <c r="BB29" s="809"/>
      <c r="BC29" s="809"/>
      <c r="BD29" s="809"/>
      <c r="BE29" s="809"/>
      <c r="BF29" s="809"/>
      <c r="BG29" s="809"/>
      <c r="BH29" s="809"/>
      <c r="BI29" s="809"/>
      <c r="BJ29" s="809"/>
      <c r="BK29" s="809"/>
      <c r="BL29" s="809"/>
      <c r="BM29" s="809"/>
      <c r="BN29" s="809"/>
      <c r="BO29" s="809"/>
      <c r="BP29" s="809"/>
      <c r="BQ29" s="809"/>
      <c r="BR29" s="809"/>
      <c r="BS29" s="809"/>
      <c r="BT29" s="809"/>
      <c r="BU29" s="809"/>
      <c r="BV29" s="809"/>
      <c r="BW29" s="809"/>
      <c r="BX29" s="809"/>
      <c r="BY29" s="809"/>
      <c r="BZ29" s="809"/>
      <c r="CA29" s="809"/>
      <c r="CB29" s="809"/>
    </row>
    <row r="30" spans="1:83" ht="12" customHeight="1" x14ac:dyDescent="0.25">
      <c r="A30" s="17" t="s">
        <v>144</v>
      </c>
      <c r="B30" s="27" t="e">
        <f>IF(AND($L$38='SHL Section'!$BF$50,MAX('SHL Section'!$BG$37:$BG$40)=4),'SHL Section'!$W$30,IF(AND($L$38='SHL Section'!$BF$53,MAX('SHL Section'!$BG$41:$BG$44)=4),'SHL Section'!$W$30,IF(AND($L$38='SHL Section'!$BF$56,MAX('SHL Section'!$BG$45:$BG$48)=4),'SHL Section'!$W$30,IF(B26="","",IF(OR(B29=1,B29=4),180-(B26+B27/60+B28/3600),180+(B26+B27/60+B28/3600))))))</f>
        <v>#VALUE!</v>
      </c>
      <c r="C30" s="4"/>
      <c r="G30" s="99" t="str">
        <f>IF(ISNUMBER($AH$69),$B$9,"")</f>
        <v/>
      </c>
      <c r="H30" s="150" t="str">
        <f>IF(AND(G31="",G32=""),"",IF($AH$69=1,"NE/NW",IF($AH$69=2,"NW/NW",IF($AH$69=3,"SW/NW",IF($AH$69=4,"SE/NW","")))))</f>
        <v/>
      </c>
      <c r="J30" s="153"/>
      <c r="K30" s="153"/>
      <c r="L30" s="13"/>
      <c r="M30" s="14"/>
      <c r="Q30" s="98" t="str">
        <f>IF(ISNUMBER($AF$69),$B$9,"")</f>
        <v/>
      </c>
      <c r="R30" s="150" t="str">
        <f>IF(AND(Q31="",Q32=""),"",IF($AF$69=1,"NE/NE",IF($AF$69=2,"NW/NE",IF($AF$69=3,"SW/NE",IF($AF$69=4,"SE/NE","")))))</f>
        <v/>
      </c>
      <c r="V30" s="22"/>
      <c r="W30" s="34" t="e">
        <f>IF(AND($L$38='SHL Section'!$BF$50,MAX('SHL Section'!$BG$37:$BG$40)=8),'SHL Section'!$B$30,IF(AND($L$38='SHL Section'!$BF$53,MAX('SHL Section'!$BG$41:$BG$44)=8),'SHL Section'!$B$30,IF(AND($L$38='SHL Section'!$BF$56,MAX('SHL Section'!$BG$45:$BG$48)=8),'SHL Section'!$B$30,IF(W26="","",IF(OR(W29=1,W29=4),180-(W26+W27/60+W28/3600),180+(W26+W27/60+W28/3600))))))</f>
        <v>#VALUE!</v>
      </c>
      <c r="X30" s="25" t="s">
        <v>144</v>
      </c>
      <c r="AB30" s="5"/>
      <c r="AC30" s="5"/>
      <c r="AD30" s="944"/>
      <c r="AE30" s="911"/>
      <c r="AF30" s="80" t="str">
        <f>IF(ISNUMBER($AF$26),AF$26,IF(ISNUMBER($AH$27),AF$27,IF(ISNUMBER($AJ$28),AF$28,IF(ISNUMBER($AL$29),AF$29,""))))</f>
        <v/>
      </c>
      <c r="AG30" s="80" t="str">
        <f>IF(ISNUMBER($AG$26),AG$26,IF(ISNUMBER($AI$27),AG$27,IF(ISNUMBER($AK$28),AG$28,IF(ISNUMBER($AM$29),AG$29,""))))</f>
        <v/>
      </c>
      <c r="AH30" s="80" t="str">
        <f>IF(ISNUMBER($AF$26),AH$26,IF(ISNUMBER($AH$27),AH$27,IF(ISNUMBER($AJ$28),AH$28,IF(ISNUMBER($AL$29),AH$29,""))))</f>
        <v/>
      </c>
      <c r="AI30" s="80" t="str">
        <f>IF(ISNUMBER($AG$26),AI$26,IF(ISNUMBER($AI$27),AI$27,IF(ISNUMBER($AK$28),AI$28,IF(ISNUMBER($AM$29),AI$29,""))))</f>
        <v/>
      </c>
      <c r="AJ30" s="80" t="str">
        <f>IF(ISNUMBER($AF$26),AJ$26,IF(ISNUMBER($AH$27),AJ$27,IF(ISNUMBER($AJ$28),AJ$28,IF(ISNUMBER($AL$29),AJ$29,""))))</f>
        <v/>
      </c>
      <c r="AK30" s="80" t="str">
        <f>IF(ISNUMBER($AG$26),AK$26,IF(ISNUMBER($AI$27),AK$27,IF(ISNUMBER($AK$28),AK$28,IF(ISNUMBER($AM$29),AK$29,""))))</f>
        <v/>
      </c>
      <c r="AL30" s="80" t="str">
        <f>IF(ISNUMBER($AF$26),AL$26,IF(ISNUMBER($AH$27),AL$27,IF(ISNUMBER($AJ$28),AL$28,IF(ISNUMBER($AL$29),AL$29,""))))</f>
        <v/>
      </c>
      <c r="AM30" s="80" t="str">
        <f>IF(ISNUMBER($AG$26),AM$26,IF(ISNUMBER($AI$27),AM$27,IF(ISNUMBER($AK$28),AM$28,IF(ISNUMBER($AM$29),AM$29,""))))</f>
        <v/>
      </c>
      <c r="AN30" s="80" t="str">
        <f>IF(ISNUMBER($AF$26),AN$26,IF(ISNUMBER($AH$27),AN$27,IF(ISNUMBER($AJ$28),AN$28,IF(ISNUMBER($AL$29),AN$29,""))))</f>
        <v/>
      </c>
      <c r="AO30" s="80" t="str">
        <f>IF(ISNUMBER($AG$26),AO$26,IF(ISNUMBER($AI$27),AO$27,IF(ISNUMBER($AK$28),AO$28,IF(ISNUMBER($AM$29),AO$29,""))))</f>
        <v/>
      </c>
      <c r="AP30" s="80" t="str">
        <f>IF(ISNUMBER($AF$26),AP$26,IF(ISNUMBER($AH$27),AP$27,IF(ISNUMBER($AJ$28),AP$28,IF(ISNUMBER($AL$29),AP$29,""))))</f>
        <v/>
      </c>
      <c r="AQ30" s="80" t="str">
        <f>IF(ISNUMBER($AG$26),AQ$26,IF(ISNUMBER($AI$27),AQ$27,IF(ISNUMBER($AK$28),AQ$28,IF(ISNUMBER($AM$29),AQ$29,""))))</f>
        <v/>
      </c>
      <c r="AR30" s="80" t="str">
        <f>IF(ISNUMBER($AF$26),AR$26,IF(ISNUMBER($AH$27),AR$27,IF(ISNUMBER($AJ$28),AR$28,IF(ISNUMBER($AL$29),AR$29,""))))</f>
        <v/>
      </c>
      <c r="AS30" s="80" t="str">
        <f>IF(ISNUMBER($AG$26),AS$26,IF(ISNUMBER($AI$27),AS$27,IF(ISNUMBER($AK$28),AS$28,IF(ISNUMBER($AM$29),AS$29,""))))</f>
        <v/>
      </c>
      <c r="AT30" s="80" t="str">
        <f>IF(ISNUMBER($AF$26),AT$26,IF(ISNUMBER($AH$27),AT$27,IF(ISNUMBER($AJ$28),AT$28,IF(ISNUMBER($AL$29),AT$29,""))))</f>
        <v/>
      </c>
      <c r="AU30" s="80" t="str">
        <f>IF(ISNUMBER($AG$26),AU$26,IF(ISNUMBER($AI$27),AU$27,IF(ISNUMBER($AK$28),AU$28,IF(ISNUMBER($AM$29),AU$29,""))))</f>
        <v/>
      </c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  <c r="CB30" s="809"/>
    </row>
    <row r="31" spans="1:83" ht="12" customHeight="1" x14ac:dyDescent="0.25">
      <c r="C31" s="4"/>
      <c r="G31" s="151" t="str">
        <f>IF(ISNUMBER($AH$69),$I$9,"")</f>
        <v/>
      </c>
      <c r="H31" s="152" t="str">
        <f>IF(ISNUMBER($AH$69),"FNL","")</f>
        <v/>
      </c>
      <c r="J31" s="153"/>
      <c r="K31" s="153"/>
      <c r="L31" s="13"/>
      <c r="M31" s="14"/>
      <c r="Q31" s="151" t="str">
        <f>IF(ISNUMBER($AF$69),$I$9,"")</f>
        <v/>
      </c>
      <c r="R31" s="152" t="str">
        <f>IF(ISNUMBER($AF$69),"FNL","")</f>
        <v/>
      </c>
      <c r="V31" s="22"/>
      <c r="AB31" s="5"/>
      <c r="AC31" s="5"/>
      <c r="AD31" s="94"/>
      <c r="AE31" s="95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  <c r="CB31" s="809"/>
    </row>
    <row r="32" spans="1:83" ht="12" customHeight="1" x14ac:dyDescent="0.25">
      <c r="B32" s="44" t="e">
        <f>IF(AND($AA$10=1,$L$38='SHL Section'!$BF$50,MAX('SHL Section'!$BG$37:$BG$40)=4),'SHL Section'!$W$33,IF(AND($AA$10=1,$L$38='SHL Section'!$BF$53,MAX('SHL Section'!$BG$41:$BG$44)=4),'SHL Section'!$W$33,IF(AND($AA$10=1,$L$38='SHL Section'!$BF$56,MAX('SHL Section'!$BG$45:$BG$48)=4),'SHL Section'!$W$33,'BHL Section 1'!B33)))</f>
        <v>#VALUE!</v>
      </c>
      <c r="C32" s="4"/>
      <c r="F32" s="19"/>
      <c r="G32" s="91" t="str">
        <f>IF(ISNUMBER($AH$69),$K$9,"")</f>
        <v/>
      </c>
      <c r="H32" s="90" t="str">
        <f>IF(ISNUMBER($AH$69),"FWL","")</f>
        <v/>
      </c>
      <c r="I32" s="154"/>
      <c r="J32" s="153"/>
      <c r="K32" s="153"/>
      <c r="L32" s="13"/>
      <c r="M32" s="14"/>
      <c r="Q32" s="91" t="str">
        <f>IF(ISNUMBER($AF$69),$K$9,"")</f>
        <v/>
      </c>
      <c r="R32" s="90" t="str">
        <f>IF(ISNUMBER($AF$69),"FEL","")</f>
        <v/>
      </c>
      <c r="V32" s="22"/>
      <c r="W32" s="154" t="e">
        <f>IF(AND($AA$10=1,$L$38='SHL Section'!$BF$50,MAX('SHL Section'!$BG$37:$BG$40)=8),'SHL Section'!$B$33,IF(AND($AA$10=1,$L$38='SHL Section'!$BF$53,MAX('SHL Section'!$BG$41:$BG$44)=8),'SHL Section'!$B$33,IF(AND($AA$10=1,$L$38='SHL Section'!$BF$56,MAX('SHL Section'!$BG$45:$BG$48)=8),'SHL Section'!$B$33,'BHL Section 1'!W33)))</f>
        <v>#VALUE!</v>
      </c>
      <c r="AB32" s="5"/>
      <c r="AC32" s="5"/>
      <c r="AD32" s="52">
        <v>1</v>
      </c>
      <c r="AE32" s="53" t="s">
        <v>274</v>
      </c>
      <c r="AF32" s="47" t="e">
        <f>IF(AND($AT$24+'SHL Section'!$AJ$9&gt;0,$AO$24+'SHL Section'!$AL$9&gt;0),$AF$24+'SHL Section'!$AJ$9,"")</f>
        <v>#VALUE!</v>
      </c>
      <c r="AG32" s="47" t="e">
        <f>IF(AND($AT$24+'SHL Section'!$AJ$9&gt;0,$AO$24+'SHL Section'!$AL$9&gt;0),$AG$24+'SHL Section'!$AL$9,"")</f>
        <v>#VALUE!</v>
      </c>
      <c r="AH32" s="32" t="e">
        <f>IF($AF$32="","",$AZ$26+$AF$32)</f>
        <v>#VALUE!</v>
      </c>
      <c r="AI32" s="32" t="e">
        <f>IF($AG$32="","",$BA$26+$AG$32)</f>
        <v>#VALUE!</v>
      </c>
      <c r="AJ32" s="32" t="e">
        <f>IF($AF$32="","",$BH$26+$AZ$26+$AF$32)</f>
        <v>#VALUE!</v>
      </c>
      <c r="AK32" s="32" t="e">
        <f>IF($AG$32="","",$BA$26+$BI$26+$AG$32)</f>
        <v>#VALUE!</v>
      </c>
      <c r="AL32" s="32" t="e">
        <f>IF($AF$32="","",$BX$26+$AF$32)</f>
        <v>#VALUE!</v>
      </c>
      <c r="AM32" s="32" t="e">
        <f>IF($AG$32="","",$AG$32+$BY$26)</f>
        <v>#VALUE!</v>
      </c>
      <c r="AN32" s="32" t="e">
        <f>IF($AF$32="","",$AX$22+$AF$32)</f>
        <v>#VALUE!</v>
      </c>
      <c r="AO32" s="32" t="e">
        <f>IF($AG$32="","",$AY$22+$AG$32)</f>
        <v>#VALUE!</v>
      </c>
      <c r="AP32" s="32" t="e">
        <f>IF($AF$32="","",$AZ$26+$AF$32+$BF$22)</f>
        <v>#VALUE!</v>
      </c>
      <c r="AQ32" s="32" t="e">
        <f>IF($AG$32="","",$BA$26+$AG$32+$BG$22)</f>
        <v>#VALUE!</v>
      </c>
      <c r="AR32" s="32" t="e">
        <f>IF($AF$32="","",$BX$26+$AF$32+$BR$22)</f>
        <v>#VALUE!</v>
      </c>
      <c r="AS32" s="32" t="e">
        <f>IF($AG$32="","",$AG$32+$BY$26+$BS$22)</f>
        <v>#VALUE!</v>
      </c>
      <c r="AT32" s="32" t="e">
        <f>IF($AF$32="","",$BZ$22+$AF$32)</f>
        <v>#VALUE!</v>
      </c>
      <c r="AU32" s="32" t="e">
        <f>IF($AG$32="","",$AG$32+$CA$22)</f>
        <v>#VALUE!</v>
      </c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  <c r="CB32" s="809"/>
    </row>
    <row r="33" spans="1:80" ht="12" customHeight="1" x14ac:dyDescent="0.25">
      <c r="A33" s="17" t="s">
        <v>118</v>
      </c>
      <c r="B33" s="217">
        <v>2668.51</v>
      </c>
      <c r="C33" s="4"/>
      <c r="G33" s="99" t="str">
        <f>IF(ISNUMBER($AH$80),$B$10,"")</f>
        <v/>
      </c>
      <c r="H33" s="150" t="str">
        <f>IF(AND(G34="",G35=""),"",IF($AH$80=1,"NE/NW",IF($AH$80=2,"NW/NW",IF($AH$80=3,"SW/NW",IF($AH$80=4,"SE/NW","")))))</f>
        <v/>
      </c>
      <c r="J33" s="153"/>
      <c r="K33" s="153"/>
      <c r="L33" s="13"/>
      <c r="M33" s="14"/>
      <c r="Q33" s="98" t="str">
        <f>IF(ISNUMBER($AF$80),$B$10,"")</f>
        <v/>
      </c>
      <c r="R33" s="150" t="str">
        <f>IF(AND(Q34="",Q35=""),"",IF($AF$80=1,"NE/NE",IF($AF$80=2,"NW/NE",IF($AF$80=3,"SW/NE",IF($AF$80=4,"SE/NE","")))))</f>
        <v/>
      </c>
      <c r="S33" s="154"/>
      <c r="T33" s="153"/>
      <c r="U33" s="5"/>
      <c r="V33" s="22"/>
      <c r="W33" s="113">
        <v>2635.54</v>
      </c>
      <c r="X33" s="25" t="s">
        <v>118</v>
      </c>
      <c r="AB33" s="5"/>
      <c r="AC33" s="5"/>
      <c r="AD33" s="52">
        <v>2</v>
      </c>
      <c r="AE33" s="53" t="s">
        <v>274</v>
      </c>
      <c r="AF33" s="32" t="e">
        <f>IF($AH$33="","",$AH$33-$AZ$26)</f>
        <v>#VALUE!</v>
      </c>
      <c r="AG33" s="32" t="e">
        <f>IF($AI$33="","",$AI$33-$BA$26)</f>
        <v>#VALUE!</v>
      </c>
      <c r="AH33" s="47" t="e">
        <f>IF(AND($AP$24+'SHL Section'!$AJ$9&gt;0,$AO$24+'SHL Section'!$AL$9&lt;0),$AH$24+'SHL Section'!$AJ$9,"")</f>
        <v>#VALUE!</v>
      </c>
      <c r="AI33" s="47" t="e">
        <f>IF(AND($AP$24+'SHL Section'!$AJ$9&gt;0,$AO$24+'SHL Section'!$AL$9&lt;0),$AI$24+'SHL Section'!$AL$9,"")</f>
        <v>#VALUE!</v>
      </c>
      <c r="AJ33" s="32" t="e">
        <f>IF($AH$33="","",$BH$26+$AH$33)</f>
        <v>#VALUE!</v>
      </c>
      <c r="AK33" s="32" t="e">
        <f>IF($AI$33="","",$AI$33+$BI$26)</f>
        <v>#VALUE!</v>
      </c>
      <c r="AL33" s="32" t="e">
        <f>IF($AH$33="","",$AH$33-$AZ$26+$BX$26)</f>
        <v>#VALUE!</v>
      </c>
      <c r="AM33" s="32" t="e">
        <f>IF($AI$33="","",$AI$33-$BA$26+$BY$26)</f>
        <v>#VALUE!</v>
      </c>
      <c r="AN33" s="32" t="e">
        <f>IF($AH$33="","",$AH$33-$BB$22)</f>
        <v>#VALUE!</v>
      </c>
      <c r="AO33" s="32" t="e">
        <f>IF($AI$33="","",AI$33-$BC$22)</f>
        <v>#VALUE!</v>
      </c>
      <c r="AP33" s="32" t="e">
        <f>IF($AH$33="","",$BF$22+$AH$33)</f>
        <v>#VALUE!</v>
      </c>
      <c r="AQ33" s="32" t="e">
        <f>IF($AI$33="","",$AI$33+$BG$22)</f>
        <v>#VALUE!</v>
      </c>
      <c r="AR33" s="32" t="e">
        <f>IF($AH$33="","",$BH$26+$AH$33-$BN$22)</f>
        <v>#VALUE!</v>
      </c>
      <c r="AS33" s="32" t="e">
        <f>IF($AI$33="","",$AI$33+$BI$26-$BO$22)</f>
        <v>#VALUE!</v>
      </c>
      <c r="AT33" s="32" t="e">
        <f>IF($AH$33="","",$AH$33-$AZ$26+$BZ$22)</f>
        <v>#VALUE!</v>
      </c>
      <c r="AU33" s="32" t="e">
        <f>IF($AI$33="","",$AI$33-$BA$26+$CA$22)</f>
        <v>#VALUE!</v>
      </c>
    </row>
    <row r="34" spans="1:80" ht="12" customHeight="1" x14ac:dyDescent="0.25">
      <c r="A34" s="17" t="s">
        <v>124</v>
      </c>
      <c r="B34" s="148">
        <v>0</v>
      </c>
      <c r="C34" s="4"/>
      <c r="G34" s="151" t="str">
        <f>IF(ISNUMBER($AH$80),$I$10,"")</f>
        <v/>
      </c>
      <c r="H34" s="152" t="str">
        <f>IF(ISNUMBER($AH$80),"FNL","")</f>
        <v/>
      </c>
      <c r="J34" s="153"/>
      <c r="K34" s="153"/>
      <c r="L34" s="13"/>
      <c r="M34" s="14"/>
      <c r="Q34" s="151" t="str">
        <f>IF(ISNUMBER($AF$80),$I$10,"")</f>
        <v/>
      </c>
      <c r="R34" s="152" t="str">
        <f>IF(ISNUMBER($AF$80),"FNL","")</f>
        <v/>
      </c>
      <c r="S34" s="154"/>
      <c r="T34" s="153"/>
      <c r="U34" s="5"/>
      <c r="V34" s="22"/>
      <c r="W34" s="148">
        <v>0</v>
      </c>
      <c r="X34" s="25" t="s">
        <v>124</v>
      </c>
      <c r="AB34" s="5"/>
      <c r="AC34" s="5"/>
      <c r="AD34" s="52">
        <v>3</v>
      </c>
      <c r="AE34" s="53" t="s">
        <v>274</v>
      </c>
      <c r="AF34" s="32" t="e">
        <f>IF($AJ$34="","",$AJ$34-$BH$26-$AZ$26)</f>
        <v>#VALUE!</v>
      </c>
      <c r="AG34" s="32" t="e">
        <f>IF($AK$34="","",$AK$34-$BI$26-$BA$26)</f>
        <v>#VALUE!</v>
      </c>
      <c r="AH34" s="32" t="e">
        <f>IF($AJ$34="","",$AJ$34-$BH$26)</f>
        <v>#VALUE!</v>
      </c>
      <c r="AI34" s="32" t="e">
        <f>IF($AK$34="","",$AK$34-$BI$26)</f>
        <v>#VALUE!</v>
      </c>
      <c r="AJ34" s="47" t="e">
        <f>IF(AND($AP$24+'SHL Section'!$AJ$9&lt;0,$AS$24+'SHL Section'!$AL$9&lt;0),$AJ$24+'SHL Section'!$AJ$9,"")</f>
        <v>#VALUE!</v>
      </c>
      <c r="AK34" s="47" t="e">
        <f>IF(AND($AP$24+'SHL Section'!$AJ$9&lt;0,$AS$24+'SHL Section'!$AL$9&lt;0),$AK$24+'SHL Section'!$AL$9,"")</f>
        <v>#VALUE!</v>
      </c>
      <c r="AL34" s="32" t="e">
        <f>IF($AJ$34="","",$AJ$34-$BP$26)</f>
        <v>#VALUE!</v>
      </c>
      <c r="AM34" s="32" t="e">
        <f>IF($AK$34="","",$AK$34-$BQ$26)</f>
        <v>#VALUE!</v>
      </c>
      <c r="AN34" s="32" t="e">
        <f>IF($AJ$34="","",$AJ$34-$BH$26-$BB$22)</f>
        <v>#VALUE!</v>
      </c>
      <c r="AO34" s="32" t="e">
        <f>IF($AK$34="","",$AK$34-$BI$26-$BC$22)</f>
        <v>#VALUE!</v>
      </c>
      <c r="AP34" s="32" t="e">
        <f>IF($AJ$34="","",$AJ$34-$BJ$22)</f>
        <v>#VALUE!</v>
      </c>
      <c r="AQ34" s="32" t="e">
        <f>IF($AK$34="","",$AK$34-$BK$22)</f>
        <v>#VALUE!</v>
      </c>
      <c r="AR34" s="32" t="e">
        <f>IF($AJ$34="","",$AJ$34-$BN$22)</f>
        <v>#VALUE!</v>
      </c>
      <c r="AS34" s="32" t="e">
        <f>IF($AK$34="","",$AK$34-$BO$22)</f>
        <v>#VALUE!</v>
      </c>
      <c r="AT34" s="32" t="e">
        <f>IF($AJ$34="","",$AJ$34-$BP$26-$BV$22)</f>
        <v>#VALUE!</v>
      </c>
      <c r="AU34" s="32" t="e">
        <f>IF($AK$34="","",$AK$34-$BQ$26-$BW$22)</f>
        <v>#VALUE!</v>
      </c>
      <c r="CA34" s="19"/>
      <c r="CB34" s="19"/>
    </row>
    <row r="35" spans="1:80" ht="12" customHeight="1" x14ac:dyDescent="0.25">
      <c r="A35" s="17" t="s">
        <v>130</v>
      </c>
      <c r="B35" s="148">
        <v>7</v>
      </c>
      <c r="C35" s="4"/>
      <c r="G35" s="91" t="str">
        <f>IF(ISNUMBER($AH$80),$K$10,"")</f>
        <v/>
      </c>
      <c r="H35" s="90" t="str">
        <f>IF(ISNUMBER($AH$80),"FWL","")</f>
        <v/>
      </c>
      <c r="J35" s="153"/>
      <c r="K35" s="153"/>
      <c r="L35" s="13"/>
      <c r="M35" s="14"/>
      <c r="Q35" s="91" t="str">
        <f>IF(ISNUMBER($AF$80),$K$10,"")</f>
        <v/>
      </c>
      <c r="R35" s="90" t="str">
        <f>IF(ISNUMBER($AF$80),"FEL","")</f>
        <v/>
      </c>
      <c r="S35" s="154"/>
      <c r="T35" s="153"/>
      <c r="U35" s="5"/>
      <c r="V35" s="22"/>
      <c r="W35" s="148">
        <v>2</v>
      </c>
      <c r="X35" s="25" t="s">
        <v>130</v>
      </c>
      <c r="AB35" s="29"/>
      <c r="AC35" s="29"/>
      <c r="AD35" s="756">
        <v>4</v>
      </c>
      <c r="AE35" s="758" t="s">
        <v>274</v>
      </c>
      <c r="AF35" s="45" t="e">
        <f>IF($AL$35="","",$AL$35-$BX$26)</f>
        <v>#VALUE!</v>
      </c>
      <c r="AG35" s="45" t="e">
        <f>IF($AM$35="","",$AM$35-$BY$26)</f>
        <v>#VALUE!</v>
      </c>
      <c r="AH35" s="45" t="e">
        <f>IF($AL$35="","",$AL$35+$BP$26-$BH$26)</f>
        <v>#VALUE!</v>
      </c>
      <c r="AI35" s="45" t="e">
        <f>IF($AM$35="","",$AM$35+$BQ$26-$BI$26)</f>
        <v>#VALUE!</v>
      </c>
      <c r="AJ35" s="45" t="e">
        <f>IF($AL$35="","",$AL$35+$BP$26)</f>
        <v>#VALUE!</v>
      </c>
      <c r="AK35" s="45" t="e">
        <f>IF($AM$35="","",$AM$35+$BQ$26)</f>
        <v>#VALUE!</v>
      </c>
      <c r="AL35" s="50" t="e">
        <f>IF(AND($AT$24+'SHL Section'!$AJ$9&lt;0,$AS$24+'SHL Section'!$AL$9&gt;0),$AL$24+'SHL Section'!$AJ$9,"")</f>
        <v>#VALUE!</v>
      </c>
      <c r="AM35" s="50" t="e">
        <f>IF(AND($AT$24+'SHL Section'!$AJ$9&lt;0,$AS$24+'SHL Section'!$AL$9&gt;0),$AM$24+'SHL Section'!$AL$9,"")</f>
        <v>#VALUE!</v>
      </c>
      <c r="AN35" s="45" t="e">
        <f>IF($AL$35="","",$AL$35-$BX$26+$AX$22)</f>
        <v>#VALUE!</v>
      </c>
      <c r="AO35" s="45" t="e">
        <f>IF($AM$35="","",$AM$35-$BY$26+$AY$22)</f>
        <v>#VALUE!</v>
      </c>
      <c r="AP35" s="45" t="e">
        <f>IF($AL$35="","",$AL$35+$BP$26-$BJ$22)</f>
        <v>#VALUE!</v>
      </c>
      <c r="AQ35" s="45" t="e">
        <f>IF($AM$35="","",$AM$35+$BQ$26-$BK$22)</f>
        <v>#VALUE!</v>
      </c>
      <c r="AR35" s="45" t="e">
        <f>IF($AL$35="","",$AL$35+$BR$22)</f>
        <v>#VALUE!</v>
      </c>
      <c r="AS35" s="45" t="e">
        <f>IF($AM$35="","",$AM$35+$BS$22)</f>
        <v>#VALUE!</v>
      </c>
      <c r="AT35" s="45" t="e">
        <f>IF($AL$35="","",$AL$35-$BV$22)</f>
        <v>#VALUE!</v>
      </c>
      <c r="AU35" s="45" t="e">
        <f>IF($AM$35="","",$AM$35-$BW$22)</f>
        <v>#VALUE!</v>
      </c>
      <c r="BH35" s="53">
        <v>1</v>
      </c>
      <c r="BI35" s="53">
        <v>2</v>
      </c>
      <c r="BJ35" s="53">
        <v>3</v>
      </c>
      <c r="BK35" s="53">
        <v>4</v>
      </c>
      <c r="BL35" s="53">
        <v>5</v>
      </c>
      <c r="BM35" s="53">
        <v>6</v>
      </c>
      <c r="BN35" s="53">
        <v>7</v>
      </c>
      <c r="BO35" s="53">
        <v>8</v>
      </c>
      <c r="BP35" s="53">
        <v>9</v>
      </c>
      <c r="CA35" s="19"/>
      <c r="CB35" s="19"/>
    </row>
    <row r="36" spans="1:80" ht="12" customHeight="1" x14ac:dyDescent="0.25">
      <c r="A36" s="17" t="s">
        <v>134</v>
      </c>
      <c r="B36" s="148">
        <v>36</v>
      </c>
      <c r="C36" s="4"/>
      <c r="J36" s="153"/>
      <c r="K36" s="153"/>
      <c r="L36" s="13"/>
      <c r="M36" s="14"/>
      <c r="S36" s="154"/>
      <c r="T36" s="153"/>
      <c r="U36" s="5"/>
      <c r="V36" s="22"/>
      <c r="W36" s="148">
        <v>14</v>
      </c>
      <c r="X36" s="25" t="s">
        <v>134</v>
      </c>
      <c r="AB36" s="29"/>
      <c r="AC36" s="29"/>
      <c r="AD36" s="944"/>
      <c r="AE36" s="911"/>
      <c r="AF36" s="80" t="str">
        <f>IF(ISNUMBER($AF$32),AF$32,IF(ISNUMBER($AH$33),AF$33,IF(ISNUMBER($AJ$34),AF$34,IF(ISNUMBER($AL$35),AF$35,""))))</f>
        <v/>
      </c>
      <c r="AG36" s="80" t="str">
        <f>IF(ISNUMBER($AG$32),AG$32,IF(ISNUMBER($AI$33),AG$33,IF(ISNUMBER($AK$34),AG$34,IF(ISNUMBER($AM$35),AG$35,""))))</f>
        <v/>
      </c>
      <c r="AH36" s="80" t="str">
        <f>IF(ISNUMBER($AF$32),AH$32,IF(ISNUMBER($AH$33),AH$33,IF(ISNUMBER($AJ$34),AH$34,IF(ISNUMBER($AL$35),AH$35,""))))</f>
        <v/>
      </c>
      <c r="AI36" s="80" t="str">
        <f>IF(ISNUMBER($AG$32),AI$32,IF(ISNUMBER($AI$33),AI$33,IF(ISNUMBER($AK$34),AI$34,IF(ISNUMBER($AM$35),AI$35,""))))</f>
        <v/>
      </c>
      <c r="AJ36" s="80" t="str">
        <f>IF(ISNUMBER($AF$32),AJ$32,IF(ISNUMBER($AH$33),AJ$33,IF(ISNUMBER($AJ$34),AJ$34,IF(ISNUMBER($AL$35),AJ$35,""))))</f>
        <v/>
      </c>
      <c r="AK36" s="80" t="str">
        <f>IF(ISNUMBER($AG$32),AK$32,IF(ISNUMBER($AI$33),AK$33,IF(ISNUMBER($AK$34),AK$34,IF(ISNUMBER($AM$35),AK$35,""))))</f>
        <v/>
      </c>
      <c r="AL36" s="80" t="str">
        <f>IF(ISNUMBER($AF$32),AL$32,IF(ISNUMBER($AH$33),AL$33,IF(ISNUMBER($AJ$34),AL$34,IF(ISNUMBER($AL$35),AL$35,""))))</f>
        <v/>
      </c>
      <c r="AM36" s="80" t="str">
        <f>IF(ISNUMBER($AG$32),AM$32,IF(ISNUMBER($AI$33),AM$33,IF(ISNUMBER($AK$34),AM$34,IF(ISNUMBER($AM$35),AM$35,""))))</f>
        <v/>
      </c>
      <c r="AN36" s="80" t="str">
        <f>IF(ISNUMBER($AF$32),AN$32,IF(ISNUMBER($AH$33),AN$33,IF(ISNUMBER($AJ$34),AN$34,IF(ISNUMBER($AL$35),AN$35,""))))</f>
        <v/>
      </c>
      <c r="AO36" s="80" t="str">
        <f>IF(ISNUMBER($AG$32),AO$32,IF(ISNUMBER($AI$33),AO$33,IF(ISNUMBER($AK$34),AO$34,IF(ISNUMBER($AM$35),AO$35,""))))</f>
        <v/>
      </c>
      <c r="AP36" s="80" t="str">
        <f>IF(ISNUMBER($AF$32),AP$32,IF(ISNUMBER($AH$33),AP$33,IF(ISNUMBER($AJ$34),AP$34,IF(ISNUMBER($AL$35),AP$35,""))))</f>
        <v/>
      </c>
      <c r="AQ36" s="80" t="str">
        <f>IF(ISNUMBER($AG$32),AQ$32,IF(ISNUMBER($AI$33),AQ$33,IF(ISNUMBER($AK$34),AQ$34,IF(ISNUMBER($AM$35),AQ$35,""))))</f>
        <v/>
      </c>
      <c r="AR36" s="80" t="str">
        <f>IF(ISNUMBER($AF$32),AR$32,IF(ISNUMBER($AH$33),AR$33,IF(ISNUMBER($AJ$34),AR$34,IF(ISNUMBER($AL$35),AR$35,""))))</f>
        <v/>
      </c>
      <c r="AS36" s="80" t="str">
        <f>IF(ISNUMBER($AG$32),AS$32,IF(ISNUMBER($AI$33),AS$33,IF(ISNUMBER($AK$34),AS$34,IF(ISNUMBER($AM$35),AS$35,""))))</f>
        <v/>
      </c>
      <c r="AT36" s="80" t="str">
        <f>IF(ISNUMBER($AF$32),AT$32,IF(ISNUMBER($AH$33),AT$33,IF(ISNUMBER($AJ$34),AT$34,IF(ISNUMBER($AL$35),AT$35,""))))</f>
        <v/>
      </c>
      <c r="AU36" s="80" t="str">
        <f>IF(ISNUMBER($AG$32),AU$32,IF(ISNUMBER($AI$33),AU$33,IF(ISNUMBER($AK$34),AU$34,IF(ISNUMBER($AM$35),AU$35,""))))</f>
        <v/>
      </c>
      <c r="AW36" s="233" t="s">
        <v>181</v>
      </c>
      <c r="AX36" s="233" t="s">
        <v>12</v>
      </c>
      <c r="AY36" s="233" t="s">
        <v>182</v>
      </c>
      <c r="AZ36" s="233" t="s">
        <v>183</v>
      </c>
      <c r="BA36" s="235" t="s">
        <v>280</v>
      </c>
      <c r="BB36" s="233" t="s">
        <v>185</v>
      </c>
      <c r="BC36" s="233" t="s">
        <v>281</v>
      </c>
      <c r="BE36" s="760" t="s">
        <v>331</v>
      </c>
      <c r="BF36" s="158" t="s">
        <v>346</v>
      </c>
      <c r="BG36" s="761" t="s">
        <v>347</v>
      </c>
      <c r="BH36" s="53" t="s">
        <v>12</v>
      </c>
      <c r="BI36" s="53" t="s">
        <v>183</v>
      </c>
      <c r="BJ36" s="53" t="s">
        <v>280</v>
      </c>
      <c r="BK36" s="53" t="s">
        <v>197</v>
      </c>
      <c r="BL36" s="53" t="s">
        <v>286</v>
      </c>
      <c r="BM36" s="53" t="s">
        <v>188</v>
      </c>
      <c r="BN36" s="53" t="s">
        <v>284</v>
      </c>
      <c r="BO36" s="53" t="s">
        <v>204</v>
      </c>
      <c r="BP36" s="53" t="s">
        <v>282</v>
      </c>
      <c r="CA36" s="19"/>
      <c r="CB36" s="19"/>
    </row>
    <row r="37" spans="1:80" ht="12" customHeight="1" thickBot="1" x14ac:dyDescent="0.3">
      <c r="A37" s="17" t="s">
        <v>140</v>
      </c>
      <c r="B37" s="112">
        <v>2</v>
      </c>
      <c r="C37" s="4"/>
      <c r="J37" s="153"/>
      <c r="K37" s="153"/>
      <c r="L37" s="13"/>
      <c r="M37" s="14"/>
      <c r="O37" s="19"/>
      <c r="P37" s="19"/>
      <c r="S37" s="154"/>
      <c r="T37" s="153"/>
      <c r="U37" s="5"/>
      <c r="V37" s="22"/>
      <c r="W37" s="112">
        <v>1</v>
      </c>
      <c r="X37" s="25" t="s">
        <v>140</v>
      </c>
      <c r="AB37" s="5"/>
      <c r="AC37" s="5"/>
      <c r="AD37" s="94"/>
      <c r="AE37" s="95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W37" s="233" t="s">
        <v>186</v>
      </c>
      <c r="AX37" s="233" t="s">
        <v>384</v>
      </c>
      <c r="AY37" s="233" t="s">
        <v>187</v>
      </c>
      <c r="AZ37" s="233" t="s">
        <v>188</v>
      </c>
      <c r="BA37" s="235" t="s">
        <v>282</v>
      </c>
      <c r="BB37" s="233" t="s">
        <v>190</v>
      </c>
      <c r="BC37" s="233" t="s">
        <v>283</v>
      </c>
      <c r="BE37" s="52">
        <v>1</v>
      </c>
      <c r="BF37" s="53" t="s">
        <v>272</v>
      </c>
      <c r="BG37" s="36" t="str">
        <f>IF(AND(MAX($AF$58:$AM$58)&lt;1,ISNUMBER($AF$26), ISNUMBER($AG$26)),IF(AND($AF$26&gt;0,$AG$26&gt;0),3,IF(AND($AF$26&lt;0,IF(-$AF$26&lt;$CA$19,$AP$62,$AP$65)&lt;0),4,IF(AND(IF(-$AG$26&lt;$AX$19,$AO$62,$AO$63)&lt;0,$AG$26&lt;0),2,""))),"")</f>
        <v/>
      </c>
      <c r="BH37" s="235">
        <v>1</v>
      </c>
      <c r="BI37" s="235">
        <v>36</v>
      </c>
      <c r="BJ37" s="235">
        <v>31</v>
      </c>
      <c r="BK37" s="235">
        <v>6</v>
      </c>
      <c r="BL37" s="235">
        <v>7</v>
      </c>
      <c r="BM37" s="235">
        <v>12</v>
      </c>
      <c r="BN37" s="235">
        <v>11</v>
      </c>
      <c r="BO37" s="235">
        <v>2</v>
      </c>
      <c r="BP37" s="235">
        <v>35</v>
      </c>
      <c r="CA37" s="19"/>
      <c r="CB37" s="19"/>
    </row>
    <row r="38" spans="1:80" ht="12" customHeight="1" x14ac:dyDescent="0.25">
      <c r="A38" s="17" t="s">
        <v>144</v>
      </c>
      <c r="B38" s="27" t="e">
        <f>IF(AND($L$38='SHL Section'!$BF$50,MAX('SHL Section'!$BG$37:$BG$40)=4),'SHL Section'!$W$38,IF(AND($L$38='SHL Section'!$BF$53,MAX('SHL Section'!$BG$41:$BG$44)=4),'SHL Section'!$W$38,IF(AND($L$38='SHL Section'!$BF$56,MAX('SHL Section'!$BG$45:$BG$48)=4),'SHL Section'!$W$38,IF(B34="","",IF(OR(B37=1,B37=4),180-(B34+B35/60+B36/3600),180+(B34+B35/60+B36/3600))))))</f>
        <v>#VALUE!</v>
      </c>
      <c r="C38" s="4"/>
      <c r="F38" s="815"/>
      <c r="I38" s="154"/>
      <c r="J38" s="153"/>
      <c r="K38" s="153"/>
      <c r="L38" s="956" t="e">
        <f>IF(NOT('SHL Section'!$BF$50='SHL Section'!$N$7),'SHL Section'!$BF$50,IF(NOT('SHL Section'!$BF$53='SHL Section'!$N$7),'SHL Section'!$BF$53,IF(NOT('SHL Section'!$BF$56='SHL Section'!$N$7),'SHL Section'!$BF$56,"")))</f>
        <v>#VALUE!</v>
      </c>
      <c r="M38" s="889"/>
      <c r="P38" s="815"/>
      <c r="S38" s="154"/>
      <c r="T38" s="153"/>
      <c r="U38" s="5"/>
      <c r="V38" s="22"/>
      <c r="W38" s="34" t="e">
        <f>IF(AND($L$38='SHL Section'!$BF$50,MAX('SHL Section'!$BG$37:$BG$40)=8),'SHL Section'!$B$38,IF(AND($L$38='SHL Section'!$BF$53,MAX('SHL Section'!$BG$41:$BG$44)=8),'SHL Section'!$B$38,IF(AND($L$38='SHL Section'!$BF$56,MAX('SHL Section'!$BG$45:$BG$48)=8),'SHL Section'!$B$38,IF(W34="","",IF(OR(W37=1,W37=4),180-(W34+W35/60+W36/3600),180+(W34+W35/60+W36/3600))))))</f>
        <v>#VALUE!</v>
      </c>
      <c r="X38" s="25" t="s">
        <v>144</v>
      </c>
      <c r="AB38" s="29"/>
      <c r="AC38" s="29"/>
      <c r="AD38" s="52">
        <v>1</v>
      </c>
      <c r="AE38" s="53" t="s">
        <v>276</v>
      </c>
      <c r="AF38" s="47" t="e">
        <f>IF(AND($AT$24+'SHL Section'!$AJ$10&gt;0,$AO$24+'SHL Section'!$AL$10&gt;0),$AF$24+'SHL Section'!$AJ$10,"")</f>
        <v>#VALUE!</v>
      </c>
      <c r="AG38" s="47" t="e">
        <f>IF(AND($AT$24+'SHL Section'!$AJ$10&gt;0,$AO$24+'SHL Section'!$AL$10&gt;0),$AG$24+'SHL Section'!$AL$10,"")</f>
        <v>#VALUE!</v>
      </c>
      <c r="AH38" s="32" t="e">
        <f>IF($AF$38="","",$AZ$26+$AF$38)</f>
        <v>#VALUE!</v>
      </c>
      <c r="AI38" s="32" t="e">
        <f>IF($AG$38="","",$BA$26+$AG$38)</f>
        <v>#VALUE!</v>
      </c>
      <c r="AJ38" s="32" t="e">
        <f>IF($AF$38="","",$BH$26+$AZ$26+$AF$38)</f>
        <v>#VALUE!</v>
      </c>
      <c r="AK38" s="32" t="e">
        <f>IF($AG$38="","",$BA$26+$BI$26+$AG$38)</f>
        <v>#VALUE!</v>
      </c>
      <c r="AL38" s="32" t="e">
        <f>IF($AF$38="","",$BX$26+$AF$38)</f>
        <v>#VALUE!</v>
      </c>
      <c r="AM38" s="32" t="e">
        <f>IF($AG$38="","",$AG$38+$BY$26)</f>
        <v>#VALUE!</v>
      </c>
      <c r="AN38" s="32" t="e">
        <f>IF($AF$38="","",$AX$22+$AF$38)</f>
        <v>#VALUE!</v>
      </c>
      <c r="AO38" s="32" t="e">
        <f>IF($AG$38="","",$AY$22+$AG$38)</f>
        <v>#VALUE!</v>
      </c>
      <c r="AP38" s="32" t="e">
        <f>IF($AF$38="","",$AZ$26+$AF$38+$BF$22)</f>
        <v>#VALUE!</v>
      </c>
      <c r="AQ38" s="32" t="e">
        <f>IF($AG$38="","",$BA$26+$AG$38+$BG$22)</f>
        <v>#VALUE!</v>
      </c>
      <c r="AR38" s="32" t="e">
        <f>IF($AF$38="","",$BX$26+$AF$38+$BR$22)</f>
        <v>#VALUE!</v>
      </c>
      <c r="AS38" s="32" t="e">
        <f>IF($AG$38="","",$AG$38+$BY$26+$BS$22)</f>
        <v>#VALUE!</v>
      </c>
      <c r="AT38" s="32" t="e">
        <f>IF($AF$38="","",$BZ$22+$AF$38)</f>
        <v>#VALUE!</v>
      </c>
      <c r="AU38" s="32" t="e">
        <f>IF($AG$38="","",$AG$38+$CA$22)</f>
        <v>#VALUE!</v>
      </c>
      <c r="AW38" s="233" t="s">
        <v>194</v>
      </c>
      <c r="AX38" s="233" t="s">
        <v>385</v>
      </c>
      <c r="AY38" s="233" t="s">
        <v>196</v>
      </c>
      <c r="AZ38" s="233" t="s">
        <v>197</v>
      </c>
      <c r="BA38" s="235" t="s">
        <v>284</v>
      </c>
      <c r="BB38" s="233" t="s">
        <v>386</v>
      </c>
      <c r="BC38" s="233" t="s">
        <v>285</v>
      </c>
      <c r="BE38" s="52">
        <v>2</v>
      </c>
      <c r="BF38" s="53" t="s">
        <v>272</v>
      </c>
      <c r="BG38" s="36" t="str">
        <f>IF(AND(MAX($AF$58:$AM$58)&lt;1,ISNUMBER($AH$27), ISNUMBER($AI$27)),IF(AND(IF($AI$27&lt;$BD$19,$AQ$63,$AQ$62)&lt;0,$AI$27&gt;0),2,IF(AND($AH$27&gt;0,$AI$27&lt;0),9,IF(AND($AH$27&lt;0,IF(-$AH$27&lt;$BE$19,$AR$63,$AR$64)&lt;0),8,""))),"")</f>
        <v/>
      </c>
      <c r="BH38" s="235">
        <v>2</v>
      </c>
      <c r="BI38" s="235">
        <v>35</v>
      </c>
      <c r="BJ38" s="235">
        <v>36</v>
      </c>
      <c r="BK38" s="235">
        <v>1</v>
      </c>
      <c r="BL38" s="235">
        <v>12</v>
      </c>
      <c r="BM38" s="235">
        <v>11</v>
      </c>
      <c r="BN38" s="235">
        <v>10</v>
      </c>
      <c r="BO38" s="235">
        <v>3</v>
      </c>
      <c r="BP38" s="235">
        <v>34</v>
      </c>
      <c r="CA38" s="19"/>
      <c r="CB38" s="19"/>
    </row>
    <row r="39" spans="1:80" ht="12" customHeight="1" thickBot="1" x14ac:dyDescent="0.3">
      <c r="A39" s="948" t="e">
        <f>CONCATENATE("W QC of ",$L$38)</f>
        <v>#VALUE!</v>
      </c>
      <c r="B39" s="892"/>
      <c r="C39" s="7"/>
      <c r="D39" s="8"/>
      <c r="E39" s="8"/>
      <c r="F39" s="8"/>
      <c r="G39" s="8"/>
      <c r="H39" s="8"/>
      <c r="I39" s="8"/>
      <c r="J39" s="8"/>
      <c r="K39" s="8"/>
      <c r="L39" s="890"/>
      <c r="M39" s="892"/>
      <c r="N39" s="8"/>
      <c r="O39" s="8"/>
      <c r="P39" s="8"/>
      <c r="Q39" s="8"/>
      <c r="R39" s="8"/>
      <c r="S39" s="8"/>
      <c r="T39" s="8"/>
      <c r="U39" s="8"/>
      <c r="V39" s="24"/>
      <c r="W39" s="959" t="e">
        <f>CONCATENATE("E QC of ",$L$38)</f>
        <v>#VALUE!</v>
      </c>
      <c r="X39" s="904"/>
      <c r="AA39" s="5"/>
      <c r="AB39" s="29"/>
      <c r="AC39" s="29"/>
      <c r="AD39" s="52">
        <v>2</v>
      </c>
      <c r="AE39" s="53" t="s">
        <v>276</v>
      </c>
      <c r="AF39" s="32" t="e">
        <f>IF($AH$39="","",$AH$39-$AZ$26)</f>
        <v>#VALUE!</v>
      </c>
      <c r="AG39" s="32" t="e">
        <f>IF($AI$39="","",$AI$39-$BA$26)</f>
        <v>#VALUE!</v>
      </c>
      <c r="AH39" s="47" t="e">
        <f>IF(AND($AP$24+'SHL Section'!$AJ$10&gt;0,$AO$24+'SHL Section'!$AL$10&lt;0),$AH$24+'SHL Section'!$AJ$10,"")</f>
        <v>#VALUE!</v>
      </c>
      <c r="AI39" s="47" t="e">
        <f>IF(AND($AP$24+'SHL Section'!$AJ$10&gt;0,$AO$24+'SHL Section'!$AL$10&lt;0),$AI$24+'SHL Section'!$AL$10,"")</f>
        <v>#VALUE!</v>
      </c>
      <c r="AJ39" s="32" t="e">
        <f>IF($AH$39="","",$BH$26+$AH$39)</f>
        <v>#VALUE!</v>
      </c>
      <c r="AK39" s="32" t="e">
        <f>IF($AI$39="","",$AI$39+$BI$26)</f>
        <v>#VALUE!</v>
      </c>
      <c r="AL39" s="32" t="e">
        <f>IF($AH$39="","",$AH$39-$AZ$26+$BX$26)</f>
        <v>#VALUE!</v>
      </c>
      <c r="AM39" s="32" t="e">
        <f>IF($AI$39="","",$AI$39-$BA$26+$BY$26)</f>
        <v>#VALUE!</v>
      </c>
      <c r="AN39" s="32" t="e">
        <f>IF($AH$39="","",$AH$39-$BB$22)</f>
        <v>#VALUE!</v>
      </c>
      <c r="AO39" s="32" t="e">
        <f>IF($AI$39="","",AI$39-$BC$22)</f>
        <v>#VALUE!</v>
      </c>
      <c r="AP39" s="32" t="e">
        <f>IF($AH$39="","",$BF$22+$AH$39)</f>
        <v>#VALUE!</v>
      </c>
      <c r="AQ39" s="32" t="e">
        <f>IF($AI$39="","",$AI$39+$BG$22)</f>
        <v>#VALUE!</v>
      </c>
      <c r="AR39" s="32" t="e">
        <f>IF($AH$39="","",$BH$26+$AH$39-$BN$22)</f>
        <v>#VALUE!</v>
      </c>
      <c r="AS39" s="32" t="e">
        <f>IF($AI$39="","",$AI$39+$BI$26-$BO$22)</f>
        <v>#VALUE!</v>
      </c>
      <c r="AT39" s="32" t="e">
        <f>IF($AH$39="","",$AH$39-$AZ$26+$BZ$22)</f>
        <v>#VALUE!</v>
      </c>
      <c r="AU39" s="32" t="e">
        <f>IF($AI$39="","",$AI$39-$BA$26+$CA$22)</f>
        <v>#VALUE!</v>
      </c>
      <c r="AW39" s="233" t="s">
        <v>201</v>
      </c>
      <c r="AX39" s="233" t="s">
        <v>346</v>
      </c>
      <c r="AY39" s="233" t="s">
        <v>203</v>
      </c>
      <c r="AZ39" s="233" t="s">
        <v>204</v>
      </c>
      <c r="BA39" s="235" t="s">
        <v>286</v>
      </c>
      <c r="BB39" s="233" t="s">
        <v>387</v>
      </c>
      <c r="BC39" s="233" t="s">
        <v>287</v>
      </c>
      <c r="BE39" s="52">
        <v>3</v>
      </c>
      <c r="BF39" s="53" t="s">
        <v>272</v>
      </c>
      <c r="BG39" s="36" t="str">
        <f>IF(AND(MAX($AF$58:$AM$58)&lt;1,ISNUMBER($AJ$28), ISNUMBER($AK$28)),IF(AND($AJ$28&gt;0,IF($AJ$28&lt;$BK$19,$AT$64,$AT$63)&lt;0),8,IF(AND($AJ$28&lt;0,$AK$28&lt;0),7,IF(AND(IF($AK$28&lt;$BN$19,$AS$64,$AS$65)&lt;0,$AK$28&gt;0),6,""))),"")</f>
        <v/>
      </c>
      <c r="BH39" s="235">
        <v>3</v>
      </c>
      <c r="BI39" s="235">
        <v>34</v>
      </c>
      <c r="BJ39" s="235">
        <v>35</v>
      </c>
      <c r="BK39" s="235">
        <v>2</v>
      </c>
      <c r="BL39" s="235">
        <v>11</v>
      </c>
      <c r="BM39" s="235">
        <v>10</v>
      </c>
      <c r="BN39" s="235">
        <v>9</v>
      </c>
      <c r="BO39" s="235">
        <v>4</v>
      </c>
      <c r="BP39" s="235">
        <v>33</v>
      </c>
      <c r="CA39" s="19"/>
      <c r="CB39" s="19"/>
    </row>
    <row r="40" spans="1:80" ht="12" customHeight="1" x14ac:dyDescent="0.25">
      <c r="A40" s="904"/>
      <c r="B40" s="892"/>
      <c r="C40" s="9"/>
      <c r="D40" s="10"/>
      <c r="E40" s="10"/>
      <c r="F40" s="10"/>
      <c r="G40" s="10"/>
      <c r="H40" s="10"/>
      <c r="I40" s="10"/>
      <c r="J40" s="10"/>
      <c r="K40" s="10"/>
      <c r="L40" s="890"/>
      <c r="M40" s="892"/>
      <c r="N40" s="10"/>
      <c r="O40" s="10"/>
      <c r="P40" s="10"/>
      <c r="Q40" s="10"/>
      <c r="R40" s="10"/>
      <c r="S40" s="10"/>
      <c r="T40" s="10"/>
      <c r="U40" s="10"/>
      <c r="V40" s="22"/>
      <c r="W40" s="904"/>
      <c r="X40" s="904"/>
      <c r="AA40" s="5"/>
      <c r="AB40" s="29"/>
      <c r="AC40" s="29"/>
      <c r="AD40" s="52">
        <v>3</v>
      </c>
      <c r="AE40" s="53" t="s">
        <v>276</v>
      </c>
      <c r="AF40" s="32" t="e">
        <f>IF($AJ$40="","",$AJ$40-$BH$26-$AZ$26)</f>
        <v>#VALUE!</v>
      </c>
      <c r="AG40" s="32" t="e">
        <f>IF($AK$40="","",$AK$40-$BI$26-$BA$26)</f>
        <v>#VALUE!</v>
      </c>
      <c r="AH40" s="32" t="e">
        <f>IF($AJ$40="","",$AJ$40-$BH$26)</f>
        <v>#VALUE!</v>
      </c>
      <c r="AI40" s="32" t="e">
        <f>IF($AK$40="","",$AK$40-$BI$26)</f>
        <v>#VALUE!</v>
      </c>
      <c r="AJ40" s="47" t="e">
        <f>IF(AND($AP$24+'SHL Section'!$AJ$10&lt;0,$AS$24+'SHL Section'!$AL$10&lt;0),$AJ$24+'SHL Section'!$AJ$10,"")</f>
        <v>#VALUE!</v>
      </c>
      <c r="AK40" s="47" t="e">
        <f>IF(AND($AP$24+'SHL Section'!$AJ$10&lt;0,$AS$24+'SHL Section'!$AL$10&lt;0),$AK$24+'SHL Section'!$AL$10,"")</f>
        <v>#VALUE!</v>
      </c>
      <c r="AL40" s="32" t="e">
        <f>IF($AJ$40="","",$AJ$40-$BP$26)</f>
        <v>#VALUE!</v>
      </c>
      <c r="AM40" s="32" t="e">
        <f>IF($AK$40="","",$AK$40-$BQ$26)</f>
        <v>#VALUE!</v>
      </c>
      <c r="AN40" s="32" t="e">
        <f>IF($AJ$40="","",$AJ$40-$BH$26-$BB$22)</f>
        <v>#VALUE!</v>
      </c>
      <c r="AO40" s="32" t="e">
        <f>IF($AK$40="","",$AK$40-$BI$26-$BC$22)</f>
        <v>#VALUE!</v>
      </c>
      <c r="AP40" s="32" t="e">
        <f>IF($AJ$40="","",$AJ$40-$BJ$22)</f>
        <v>#VALUE!</v>
      </c>
      <c r="AQ40" s="32" t="e">
        <f>IF($AK$40="","",$AK$40-$BK$22)</f>
        <v>#VALUE!</v>
      </c>
      <c r="AR40" s="32" t="e">
        <f>IF($AJ$40="","",$AJ$40-$BN$22)</f>
        <v>#VALUE!</v>
      </c>
      <c r="AS40" s="32" t="e">
        <f>IF($AK$40="","",$AK$40-$BO$22)</f>
        <v>#VALUE!</v>
      </c>
      <c r="AT40" s="32" t="e">
        <f>IF($AJ$40="","",$AJ$40-$BP$26-$BV$22)</f>
        <v>#VALUE!</v>
      </c>
      <c r="AU40" s="32" t="e">
        <f>IF($AK$40="","",$AK$40-$BQ$26-$BW$22)</f>
        <v>#VALUE!</v>
      </c>
      <c r="AW40" s="233"/>
      <c r="AX40" s="233"/>
      <c r="AY40" s="233"/>
      <c r="AZ40" s="233"/>
      <c r="BA40" s="233"/>
      <c r="BB40" s="233"/>
      <c r="BC40" s="233" t="s">
        <v>288</v>
      </c>
      <c r="BE40" s="756">
        <v>4</v>
      </c>
      <c r="BF40" s="758" t="s">
        <v>272</v>
      </c>
      <c r="BG40" s="120" t="str">
        <f>IF(AND(MAX($AF$58:$AM$58)&lt;1,ISNUMBER($AL$29), ISNUMBER($AM$29)),IF(AND(IF(-$AM$29&lt;$BT$19,$AU$65,$AU$64)&lt;0,$AM$29&lt;0),6,IF(AND($AL$29&lt;0,$AM$29&gt;0),5,IF(AND($AL$29&gt;0,IF($AL$29&lt;$BU$19,$AV$65,$AV$62)&lt;0),4,""))),"")</f>
        <v/>
      </c>
      <c r="BH40" s="235">
        <v>4</v>
      </c>
      <c r="BI40" s="235">
        <v>33</v>
      </c>
      <c r="BJ40" s="235">
        <v>34</v>
      </c>
      <c r="BK40" s="235">
        <v>3</v>
      </c>
      <c r="BL40" s="235">
        <v>10</v>
      </c>
      <c r="BM40" s="235">
        <v>9</v>
      </c>
      <c r="BN40" s="235">
        <v>8</v>
      </c>
      <c r="BO40" s="235">
        <v>5</v>
      </c>
      <c r="BP40" s="235">
        <v>32</v>
      </c>
      <c r="CA40" s="19"/>
      <c r="CB40" s="19"/>
    </row>
    <row r="41" spans="1:80" ht="12" customHeight="1" thickBot="1" x14ac:dyDescent="0.3">
      <c r="B41" s="44" t="e">
        <f>IF(AND($AA$10=1,$L$38='SHL Section'!$BF$50,MAX('SHL Section'!$BG$37:$BG$40)=4),'SHL Section'!$W$41,IF(AND($AA$10=1,$L$38='SHL Section'!$BF$53,MAX('SHL Section'!$BG$41:$BG$44)=4),'SHL Section'!$W$41,IF(AND($AA$10=1,$L$38='SHL Section'!$BF$56,MAX('SHL Section'!$BG$45:$BG$48)=4),'SHL Section'!$W$41,'BHL Section 1'!B42)))</f>
        <v>#VALUE!</v>
      </c>
      <c r="C41" s="4"/>
      <c r="L41" s="957"/>
      <c r="M41" s="958"/>
      <c r="V41" s="22"/>
      <c r="W41" s="154" t="e">
        <f>IF(AND($AA$10=1,$L$38='SHL Section'!$BF$50,MAX('SHL Section'!$BG$37:$BG$40)=8),'SHL Section'!$B$41,IF(AND($AA$10=1,$L$38='SHL Section'!$BF$53,MAX('SHL Section'!$BG$41:$BG$44)=8),'SHL Section'!$B$41,IF(AND($AA$10=1,$L$38='SHL Section'!$BF$56,MAX('SHL Section'!$BG$45:$BG$48)=8),'SHL Section'!$B$41,'BHL Section 1'!W42)))</f>
        <v>#VALUE!</v>
      </c>
      <c r="AA41" s="5"/>
      <c r="AB41" s="29"/>
      <c r="AC41" s="29"/>
      <c r="AD41" s="756">
        <v>4</v>
      </c>
      <c r="AE41" s="758" t="s">
        <v>276</v>
      </c>
      <c r="AF41" s="45" t="e">
        <f>IF($AL$41="","",$AL$41-$BX$26)</f>
        <v>#VALUE!</v>
      </c>
      <c r="AG41" s="45" t="e">
        <f>IF($AM$41="","",$AM$41-$BY$26)</f>
        <v>#VALUE!</v>
      </c>
      <c r="AH41" s="45" t="e">
        <f>IF($AL$41="","",$AL$41+$BP$26-$BH$26)</f>
        <v>#VALUE!</v>
      </c>
      <c r="AI41" s="45" t="e">
        <f>IF($AM$41="","",$AM$41+$BQ$26-$BI$26)</f>
        <v>#VALUE!</v>
      </c>
      <c r="AJ41" s="45" t="e">
        <f>IF($AL$41="","",$AL$41+$BP$26)</f>
        <v>#VALUE!</v>
      </c>
      <c r="AK41" s="45" t="e">
        <f>IF($AM$41="","",$AM$41+$BQ$26)</f>
        <v>#VALUE!</v>
      </c>
      <c r="AL41" s="50" t="e">
        <f>IF(AND($AT$24+'SHL Section'!$AJ$10&lt;0,$AS$24+'SHL Section'!$AL$10&gt;0),$AL$24+'SHL Section'!$AJ$10,"")</f>
        <v>#VALUE!</v>
      </c>
      <c r="AM41" s="50" t="e">
        <f>IF(AND($AT$24+'SHL Section'!$AJ$10&lt;0,$AS$24+'SHL Section'!$AL$10&gt;0),$AM$24+'SHL Section'!$AL$10,"")</f>
        <v>#VALUE!</v>
      </c>
      <c r="AN41" s="45" t="e">
        <f>IF($AL$41="","",$AL$41-$BX$26+$AX$22)</f>
        <v>#VALUE!</v>
      </c>
      <c r="AO41" s="45" t="e">
        <f>IF($AM$41="","",$AM$41-$BY$26+$AY$22)</f>
        <v>#VALUE!</v>
      </c>
      <c r="AP41" s="45" t="e">
        <f>IF($AL$41="","",$AL$41+$BP$26-$BJ$22)</f>
        <v>#VALUE!</v>
      </c>
      <c r="AQ41" s="45" t="e">
        <f>IF($AM$41="","",$AM$41+$BQ$26-$BK$22)</f>
        <v>#VALUE!</v>
      </c>
      <c r="AR41" s="45" t="e">
        <f>IF($AL$41="","",$AL$41+$BR$22)</f>
        <v>#VALUE!</v>
      </c>
      <c r="AS41" s="45" t="e">
        <f>IF($AM$41="","",$AM$41+$BS$22)</f>
        <v>#VALUE!</v>
      </c>
      <c r="AT41" s="45" t="e">
        <f>IF($AL$41="","",$AL$41-$BV$22)</f>
        <v>#VALUE!</v>
      </c>
      <c r="AU41" s="45" t="e">
        <f>IF($AM$41="","",$AM$41-$BW$22)</f>
        <v>#VALUE!</v>
      </c>
      <c r="AW41" s="233"/>
      <c r="AX41" s="233"/>
      <c r="AY41" s="233"/>
      <c r="AZ41" s="233"/>
      <c r="BA41" s="233"/>
      <c r="BB41" s="233"/>
      <c r="BC41" s="233" t="s">
        <v>289</v>
      </c>
      <c r="BE41" s="52">
        <v>1</v>
      </c>
      <c r="BF41" s="53" t="s">
        <v>274</v>
      </c>
      <c r="BG41" s="36" t="str">
        <f>IF(AND(MAX($AF$69:$AM$69)&lt;1,ISNUMBER($AF$32), ISNUMBER($AG$32)),IF(AND($AF$32&gt;0,$AG$32&gt;0),3,IF(AND($AF$32&lt;0,IF(-$AF$32&lt;$CA$19,$AP$73,$AP$76)&lt;0),4,IF(AND(IF(-$AG$32&lt;$AX$19,$AO$73,$AO$74)&lt;0,$AG$32&lt;0),2,""))),"")</f>
        <v/>
      </c>
      <c r="BH41" s="235">
        <v>5</v>
      </c>
      <c r="BI41" s="235">
        <v>32</v>
      </c>
      <c r="BJ41" s="235">
        <v>33</v>
      </c>
      <c r="BK41" s="235">
        <v>4</v>
      </c>
      <c r="BL41" s="235">
        <v>9</v>
      </c>
      <c r="BM41" s="235">
        <v>8</v>
      </c>
      <c r="BN41" s="235">
        <v>7</v>
      </c>
      <c r="BO41" s="235">
        <v>6</v>
      </c>
      <c r="BP41" s="235">
        <v>31</v>
      </c>
      <c r="CA41" s="19"/>
      <c r="CB41" s="19"/>
    </row>
    <row r="42" spans="1:80" ht="12" customHeight="1" x14ac:dyDescent="0.25">
      <c r="A42" s="17" t="s">
        <v>118</v>
      </c>
      <c r="B42" s="162">
        <v>2659.03</v>
      </c>
      <c r="C42" s="4"/>
      <c r="G42" s="831" t="s">
        <v>348</v>
      </c>
      <c r="H42" s="832"/>
      <c r="L42" s="13"/>
      <c r="M42" s="14"/>
      <c r="Q42" s="831" t="s">
        <v>349</v>
      </c>
      <c r="R42" s="832"/>
      <c r="U42" s="155"/>
      <c r="V42" s="22"/>
      <c r="W42" s="162">
        <v>2642.88</v>
      </c>
      <c r="X42" s="25" t="s">
        <v>118</v>
      </c>
      <c r="AA42" s="5"/>
      <c r="AB42" s="29"/>
      <c r="AC42" s="29"/>
      <c r="AD42" s="944"/>
      <c r="AE42" s="911"/>
      <c r="AF42" s="80" t="str">
        <f>IF(ISNUMBER($AF$38),AF$38,IF(ISNUMBER($AH$39),AF$39,IF(ISNUMBER($AJ$40),AF$40,IF(ISNUMBER($AL$41),AF$41,""))))</f>
        <v/>
      </c>
      <c r="AG42" s="80" t="str">
        <f>IF(ISNUMBER($AG$38),AG$38,IF(ISNUMBER($AI$39),AG$39,IF(ISNUMBER($AK$40),AG$40,IF(ISNUMBER($AM$41),AG$41,""))))</f>
        <v/>
      </c>
      <c r="AH42" s="80" t="str">
        <f>IF(ISNUMBER($AF$38),AH$38,IF(ISNUMBER($AH$39),AH$39,IF(ISNUMBER($AJ$40),AH$40,IF(ISNUMBER($AL$41),AH$41,""))))</f>
        <v/>
      </c>
      <c r="AI42" s="80" t="str">
        <f>IF(ISNUMBER($AG$38),AI$38,IF(ISNUMBER($AI$39),AI$39,IF(ISNUMBER($AK$40),AI$40,IF(ISNUMBER($AM$41),AI$41,""))))</f>
        <v/>
      </c>
      <c r="AJ42" s="80" t="str">
        <f>IF(ISNUMBER($AF$38),AJ$38,IF(ISNUMBER($AH$39),AJ$39,IF(ISNUMBER($AJ$40),AJ$40,IF(ISNUMBER($AL$41),AJ$41,""))))</f>
        <v/>
      </c>
      <c r="AK42" s="80" t="str">
        <f>IF(ISNUMBER($AG$38),AK$38,IF(ISNUMBER($AI$39),AK$39,IF(ISNUMBER($AK$40),AK$40,IF(ISNUMBER($AM$41),AK$41,""))))</f>
        <v/>
      </c>
      <c r="AL42" s="80" t="str">
        <f>IF(ISNUMBER($AF$38),AL$38,IF(ISNUMBER($AH$39),AL$39,IF(ISNUMBER($AJ$40),AL$40,IF(ISNUMBER($AL$41),AL$41,""))))</f>
        <v/>
      </c>
      <c r="AM42" s="80" t="str">
        <f>IF(ISNUMBER($AG$38),AM$38,IF(ISNUMBER($AI$39),AM$39,IF(ISNUMBER($AK$40),AM$40,IF(ISNUMBER($AM$41),AM$41,""))))</f>
        <v/>
      </c>
      <c r="AN42" s="80" t="str">
        <f>IF(ISNUMBER($AF$38),AN$38,IF(ISNUMBER($AH$39),AN$39,IF(ISNUMBER($AJ$40),AN$40,IF(ISNUMBER($AL$41),AN$41,""))))</f>
        <v/>
      </c>
      <c r="AO42" s="80" t="str">
        <f>IF(ISNUMBER($AG$38),AO$38,IF(ISNUMBER($AI$39),AO$39,IF(ISNUMBER($AK$40),AO$40,IF(ISNUMBER($AM$41),AO$41,""))))</f>
        <v/>
      </c>
      <c r="AP42" s="80" t="str">
        <f>IF(ISNUMBER($AF$38),AP$38,IF(ISNUMBER($AH$39),AP$39,IF(ISNUMBER($AJ$40),AP$40,IF(ISNUMBER($AL$41),AP$41,""))))</f>
        <v/>
      </c>
      <c r="AQ42" s="80" t="str">
        <f>IF(ISNUMBER($AG$38),AQ$38,IF(ISNUMBER($AI$39),AQ$39,IF(ISNUMBER($AK$40),AQ$40,IF(ISNUMBER($AM$41),AQ$41,""))))</f>
        <v/>
      </c>
      <c r="AR42" s="80" t="str">
        <f>IF(ISNUMBER($AF$38),AR$38,IF(ISNUMBER($AH$39),AR$39,IF(ISNUMBER($AJ$40),AR$40,IF(ISNUMBER($AL$41),AR$41,""))))</f>
        <v/>
      </c>
      <c r="AS42" s="80" t="str">
        <f>IF(ISNUMBER($AG$38),AS$38,IF(ISNUMBER($AI$39),AS$39,IF(ISNUMBER($AK$40),AS$40,IF(ISNUMBER($AM$41),AS$41,""))))</f>
        <v/>
      </c>
      <c r="AT42" s="80" t="str">
        <f>IF(ISNUMBER($AF$38),AT$38,IF(ISNUMBER($AH$39),AT$39,IF(ISNUMBER($AJ$40),AT$40,IF(ISNUMBER($AL$41),AT$41,""))))</f>
        <v/>
      </c>
      <c r="AU42" s="80" t="str">
        <f>IF(ISNUMBER($AG$38),AU$38,IF(ISNUMBER($AI$39),AU$39,IF(ISNUMBER($AK$40),AU$40,IF(ISNUMBER($AM$41),AU$41,""))))</f>
        <v/>
      </c>
      <c r="AW42" s="233"/>
      <c r="AX42" s="233"/>
      <c r="AY42" s="233"/>
      <c r="AZ42" s="233"/>
      <c r="BA42" s="233"/>
      <c r="BB42" s="233"/>
      <c r="BC42" s="233" t="s">
        <v>290</v>
      </c>
      <c r="BE42" s="52">
        <v>2</v>
      </c>
      <c r="BF42" s="53" t="s">
        <v>274</v>
      </c>
      <c r="BG42" s="36" t="str">
        <f>IF(AND(MAX($AF$69:$AM$69)&lt;1,ISNUMBER($AH$33), ISNUMBER($AI$33)),IF(AND(IF($AI$33&lt;$BD$19,$AQ$74,$AQ$73)&lt;0,$AI$33&gt;0),2,IF(AND($AH$33&gt;0,$AI$33&lt;0),9,IF(AND($AH$33&lt;0,IF(-$AH$33&lt;$BE$19,$AR$74,$AR$75)&lt;0),8,""))),"")</f>
        <v/>
      </c>
      <c r="BH42" s="235">
        <v>6</v>
      </c>
      <c r="BI42" s="235">
        <v>31</v>
      </c>
      <c r="BJ42" s="235">
        <v>32</v>
      </c>
      <c r="BK42" s="235">
        <v>5</v>
      </c>
      <c r="BL42" s="235">
        <v>8</v>
      </c>
      <c r="BM42" s="235">
        <v>7</v>
      </c>
      <c r="BN42" s="235">
        <v>12</v>
      </c>
      <c r="BO42" s="235">
        <v>1</v>
      </c>
      <c r="BP42" s="235">
        <v>36</v>
      </c>
      <c r="CA42" s="19"/>
      <c r="CB42" s="19"/>
    </row>
    <row r="43" spans="1:80" ht="12" customHeight="1" x14ac:dyDescent="0.25">
      <c r="A43" s="17" t="s">
        <v>124</v>
      </c>
      <c r="B43" s="147">
        <v>0</v>
      </c>
      <c r="C43" s="4"/>
      <c r="G43" s="99" t="str">
        <f>IF(ISNUMBER($AJ$58),$B$8,"")</f>
        <v/>
      </c>
      <c r="H43" s="150" t="str">
        <f>IF(AND(G44="",G45=""),"",IF($AJ$58=1,"NE/SW",IF($AJ$58=2,"NW/SW",IF($AJ$58=3,"SW/SW",IF($AJ$58=4,"SE/SW","")))))</f>
        <v/>
      </c>
      <c r="L43" s="13"/>
      <c r="M43" s="14"/>
      <c r="Q43" s="99" t="str">
        <f>IF(ISNUMBER($AL$58),$B$8,"")</f>
        <v/>
      </c>
      <c r="R43" s="150" t="str">
        <f>IF(AND(Q44="",Q45=""),"",IF($AL$58=1,"NE/SE",IF($AL$58=2,"NW/SE",IF($AL$58=3,"SW/SE",IF($AL$58=4,"SE/SE","")))))</f>
        <v/>
      </c>
      <c r="U43" s="155"/>
      <c r="V43" s="22"/>
      <c r="W43" s="147">
        <v>0</v>
      </c>
      <c r="X43" s="25" t="s">
        <v>124</v>
      </c>
      <c r="AA43" s="5"/>
      <c r="AB43" s="29"/>
      <c r="AC43" s="29"/>
      <c r="AW43" s="233"/>
      <c r="AX43" s="233"/>
      <c r="AY43" s="233"/>
      <c r="AZ43" s="233"/>
      <c r="BA43" s="233"/>
      <c r="BB43" s="233"/>
      <c r="BC43" s="233" t="s">
        <v>291</v>
      </c>
      <c r="BE43" s="52">
        <v>3</v>
      </c>
      <c r="BF43" s="53" t="s">
        <v>274</v>
      </c>
      <c r="BG43" s="36" t="str">
        <f>IF(AND(MAX($AF$69:$AM$69)&lt;1,ISNUMBER($AJ$34), ISNUMBER($AK$34)),IF(AND($AJ$34&gt;0,IF($AJ$34&lt;$BK$19,$AT$75,$AT$74)&lt;0),8,IF(AND($AJ$34&lt;0,$AK$34&lt;0),7,IF(AND(IF($AK$34&lt;$BN$19,$AS$75,$AS$76)&lt;0,$AK$34&gt;0),6,""))),"")</f>
        <v/>
      </c>
      <c r="BH43" s="235">
        <v>7</v>
      </c>
      <c r="BI43" s="235">
        <v>6</v>
      </c>
      <c r="BJ43" s="235">
        <v>5</v>
      </c>
      <c r="BK43" s="235">
        <v>8</v>
      </c>
      <c r="BL43" s="235">
        <v>17</v>
      </c>
      <c r="BM43" s="235">
        <v>18</v>
      </c>
      <c r="BN43" s="235">
        <v>13</v>
      </c>
      <c r="BO43" s="235">
        <v>12</v>
      </c>
      <c r="BP43" s="235">
        <v>1</v>
      </c>
      <c r="CA43" s="19"/>
      <c r="CB43" s="19"/>
    </row>
    <row r="44" spans="1:80" ht="12" customHeight="1" x14ac:dyDescent="0.25">
      <c r="A44" s="17" t="s">
        <v>130</v>
      </c>
      <c r="B44" s="147">
        <v>4</v>
      </c>
      <c r="C44" s="4"/>
      <c r="G44" s="151" t="str">
        <f>IF(ISNUMBER($AJ$58),$I$8,"")</f>
        <v/>
      </c>
      <c r="H44" s="152" t="str">
        <f>IF(ISNUMBER($AJ$58),"FSL","")</f>
        <v/>
      </c>
      <c r="J44" s="19"/>
      <c r="K44" s="19"/>
      <c r="L44" s="13"/>
      <c r="M44" s="14"/>
      <c r="Q44" s="151" t="str">
        <f>IF(ISNUMBER($AL$58),$I$8,"")</f>
        <v/>
      </c>
      <c r="R44" s="152" t="str">
        <f>IF(ISNUMBER($AL$58),"FSL","")</f>
        <v/>
      </c>
      <c r="T44" s="19"/>
      <c r="U44" s="155"/>
      <c r="V44" s="22"/>
      <c r="W44" s="147">
        <v>2</v>
      </c>
      <c r="X44" s="25" t="s">
        <v>130</v>
      </c>
      <c r="AA44" s="5"/>
      <c r="AB44" s="29"/>
      <c r="AC44" s="29"/>
      <c r="AW44" s="233"/>
      <c r="AX44" s="233"/>
      <c r="AY44" s="233"/>
      <c r="AZ44" s="233"/>
      <c r="BA44" s="233"/>
      <c r="BB44" s="233"/>
      <c r="BC44" s="233" t="s">
        <v>292</v>
      </c>
      <c r="BE44" s="756">
        <v>4</v>
      </c>
      <c r="BF44" s="758" t="s">
        <v>274</v>
      </c>
      <c r="BG44" s="120" t="str">
        <f>IF(AND(MAX($AF$69:$AM$69)&lt;1,ISNUMBER($AL$35), ISNUMBER($AM$35)),IF(AND(IF(-$AM$35&lt;$BT$19,$AU$76,$AU$75)&lt;0,$AM$35&lt;0),6,IF(AND($AL$35&lt;0,$AM$35&gt;0),5,IF(AND($AL$35&gt;0,IF($AL$35&lt;$BU$19,$AV$76,$AV$73)&lt;0),4,""))),"")</f>
        <v/>
      </c>
      <c r="BH44" s="235">
        <v>8</v>
      </c>
      <c r="BI44" s="235">
        <v>5</v>
      </c>
      <c r="BJ44" s="235">
        <v>4</v>
      </c>
      <c r="BK44" s="235">
        <v>9</v>
      </c>
      <c r="BL44" s="235">
        <v>16</v>
      </c>
      <c r="BM44" s="235">
        <v>17</v>
      </c>
      <c r="BN44" s="235">
        <v>18</v>
      </c>
      <c r="BO44" s="235">
        <v>7</v>
      </c>
      <c r="BP44" s="235">
        <v>6</v>
      </c>
      <c r="CA44" s="19"/>
      <c r="CB44" s="19"/>
    </row>
    <row r="45" spans="1:80" ht="12" customHeight="1" x14ac:dyDescent="0.25">
      <c r="A45" s="17" t="s">
        <v>134</v>
      </c>
      <c r="B45" s="147">
        <v>21</v>
      </c>
      <c r="C45" s="4"/>
      <c r="G45" s="91" t="str">
        <f>IF(ISNUMBER($AJ$58),$K$8,"")</f>
        <v/>
      </c>
      <c r="H45" s="90" t="str">
        <f>IF(ISNUMBER($AJ$58),"FWL","")</f>
        <v/>
      </c>
      <c r="J45" s="19"/>
      <c r="K45" s="19"/>
      <c r="L45" s="13"/>
      <c r="M45" s="14"/>
      <c r="Q45" s="91" t="str">
        <f>IF(ISNUMBER($AL$58),$K$8,"")</f>
        <v/>
      </c>
      <c r="R45" s="90" t="str">
        <f>IF(ISNUMBER($AL$58),"FEL","")</f>
        <v/>
      </c>
      <c r="T45" s="19"/>
      <c r="U45" s="155"/>
      <c r="V45" s="22"/>
      <c r="W45" s="147">
        <v>57</v>
      </c>
      <c r="X45" s="25" t="s">
        <v>134</v>
      </c>
      <c r="AA45" s="5"/>
      <c r="AB45" s="29"/>
      <c r="AC45" s="29"/>
      <c r="AD45" s="53"/>
      <c r="AE45" s="53"/>
      <c r="AF45" s="949" t="s">
        <v>351</v>
      </c>
      <c r="AG45" s="911"/>
      <c r="AH45" s="961" t="s">
        <v>352</v>
      </c>
      <c r="AI45" s="859"/>
      <c r="AJ45" s="949" t="s">
        <v>353</v>
      </c>
      <c r="AK45" s="911"/>
      <c r="AL45" s="949" t="s">
        <v>354</v>
      </c>
      <c r="AM45" s="911"/>
      <c r="AW45" s="233"/>
      <c r="AX45" s="233"/>
      <c r="AY45" s="233"/>
      <c r="AZ45" s="233"/>
      <c r="BA45" s="233"/>
      <c r="BB45" s="233"/>
      <c r="BC45" s="233" t="s">
        <v>293</v>
      </c>
      <c r="BE45" s="52">
        <v>1</v>
      </c>
      <c r="BF45" s="53" t="s">
        <v>276</v>
      </c>
      <c r="BG45" s="36" t="str">
        <f>IF(AND(MAX($AF$80:$AM$80)&lt;1,ISNUMBER($AF$38), ISNUMBER($AG$38)),IF(AND($AF$38&gt;0,$AG$38&gt;0),3,IF(AND($AF$38&lt;0,IF(-$AF$38&lt;$CA$19,$AP$84,$AP$87)&lt;0),4,IF(AND(IF(-$AG$38&lt;$AX$19,$AO$84,$AO$85)&lt;0,$AG$38&lt;0),2,""))),"")</f>
        <v/>
      </c>
      <c r="BH45" s="235">
        <v>9</v>
      </c>
      <c r="BI45" s="235">
        <v>4</v>
      </c>
      <c r="BJ45" s="235">
        <v>3</v>
      </c>
      <c r="BK45" s="235">
        <v>10</v>
      </c>
      <c r="BL45" s="235">
        <v>15</v>
      </c>
      <c r="BM45" s="235">
        <v>16</v>
      </c>
      <c r="BN45" s="235">
        <v>17</v>
      </c>
      <c r="BO45" s="235">
        <v>8</v>
      </c>
      <c r="BP45" s="235">
        <v>5</v>
      </c>
      <c r="CA45" s="19"/>
      <c r="CB45" s="19"/>
    </row>
    <row r="46" spans="1:80" ht="12" customHeight="1" x14ac:dyDescent="0.25">
      <c r="A46" s="17" t="s">
        <v>140</v>
      </c>
      <c r="B46" s="112">
        <v>2</v>
      </c>
      <c r="C46" s="4"/>
      <c r="G46" s="99" t="str">
        <f>IF(ISNUMBER($AJ$69),$B$9,"")</f>
        <v/>
      </c>
      <c r="H46" s="150" t="str">
        <f>IF(AND(G47="",G48=""),"",IF($AJ$69=1,"NE/SW",IF($AJ$69=2,"NW/SW",IF($AJ$69=3,"SW/SW",IF($AJ$69=4,"SE/SW","")))))</f>
        <v/>
      </c>
      <c r="I46" s="154"/>
      <c r="J46" s="153"/>
      <c r="K46" s="153"/>
      <c r="L46" s="13"/>
      <c r="M46" s="14"/>
      <c r="Q46" s="99" t="str">
        <f>IF(ISNUMBER($AL$69),$B$9,"")</f>
        <v/>
      </c>
      <c r="R46" s="150" t="str">
        <f>IF(AND(Q47="",Q48=""),"",IF($AL$69=1,"NE/SE",IF($AL$69=2,"NW/SE",IF($AL$69=3,"SW/SE",IF($AL$69=4,"SE/SE","")))))</f>
        <v/>
      </c>
      <c r="S46" s="154"/>
      <c r="T46" s="153"/>
      <c r="U46" s="155"/>
      <c r="V46" s="22"/>
      <c r="W46" s="112">
        <v>3</v>
      </c>
      <c r="X46" s="25" t="s">
        <v>140</v>
      </c>
      <c r="AA46" s="5"/>
      <c r="AB46" s="29"/>
      <c r="AC46" s="29"/>
      <c r="AE46" s="53"/>
      <c r="AF46" s="967">
        <v>1</v>
      </c>
      <c r="AG46" s="911"/>
      <c r="AH46" s="967">
        <v>2</v>
      </c>
      <c r="AI46" s="911"/>
      <c r="AJ46" s="967">
        <v>3</v>
      </c>
      <c r="AK46" s="911"/>
      <c r="AL46" s="967">
        <v>4</v>
      </c>
      <c r="AM46" s="911"/>
      <c r="AW46" s="233"/>
      <c r="AX46" s="233"/>
      <c r="AY46" s="233"/>
      <c r="AZ46" s="233"/>
      <c r="BA46" s="233"/>
      <c r="BB46" s="233"/>
      <c r="BC46" s="233" t="s">
        <v>294</v>
      </c>
      <c r="BE46" s="52">
        <v>2</v>
      </c>
      <c r="BF46" s="53" t="s">
        <v>276</v>
      </c>
      <c r="BG46" s="36" t="str">
        <f>IF(AND(MAX($AF$80:$AM$80)&lt;1,ISNUMBER($AH$39), ISNUMBER($AI$39)),IF(AND(IF($AI$39&lt;$BD$19,$AQ$85,$AQ$84)&lt;0,$AI$39&gt;0),2,IF(AND($AH$39&gt;0,$AI$39&lt;0),9,IF(AND($AH$39&lt;0,IF(-$AH$39&lt;$BE$19,$AR$85,$AR$86)&lt;0),8,""))),"")</f>
        <v/>
      </c>
      <c r="BH46" s="235">
        <v>10</v>
      </c>
      <c r="BI46" s="235">
        <v>3</v>
      </c>
      <c r="BJ46" s="235">
        <v>2</v>
      </c>
      <c r="BK46" s="235">
        <v>11</v>
      </c>
      <c r="BL46" s="235">
        <v>14</v>
      </c>
      <c r="BM46" s="235">
        <v>15</v>
      </c>
      <c r="BN46" s="235">
        <v>16</v>
      </c>
      <c r="BO46" s="235">
        <v>9</v>
      </c>
      <c r="BP46" s="235">
        <v>4</v>
      </c>
      <c r="CA46" s="19"/>
      <c r="CB46" s="19"/>
    </row>
    <row r="47" spans="1:80" ht="12" customHeight="1" x14ac:dyDescent="0.25">
      <c r="A47" s="17" t="s">
        <v>144</v>
      </c>
      <c r="B47" s="27" t="e">
        <f>IF(AND($L$38='SHL Section'!$BF$50,MAX('SHL Section'!$BG$37:$BG$40)=4),'SHL Section'!$W$46,IF(AND($L$38='SHL Section'!$BF$53,MAX('SHL Section'!$BG$41:$BG$44)=4),'SHL Section'!$W$46,IF(AND($L$38='SHL Section'!$BF$56,MAX('SHL Section'!$BG$45:$BG$48)=4),'SHL Section'!$W$46,IF(B43="","",IF(OR(B46=1,B46=4),180-(B43+B44/60+B45/3600),180+(B43+B44/60+B45/3600))))))</f>
        <v>#VALUE!</v>
      </c>
      <c r="C47" s="4"/>
      <c r="G47" s="151" t="str">
        <f>IF(ISNUMBER($AJ$69),$I$9,"")</f>
        <v/>
      </c>
      <c r="H47" s="152" t="str">
        <f>IF(ISNUMBER($AJ$69),"FSL","")</f>
        <v/>
      </c>
      <c r="I47" s="154"/>
      <c r="J47" s="153"/>
      <c r="K47" s="153"/>
      <c r="L47" s="13"/>
      <c r="M47" s="14"/>
      <c r="Q47" s="151" t="str">
        <f>IF(ISNUMBER($AL$69),$I$9,"")</f>
        <v/>
      </c>
      <c r="R47" s="152" t="str">
        <f>IF(ISNUMBER($AL$69),"FSL","")</f>
        <v/>
      </c>
      <c r="S47" s="154"/>
      <c r="T47" s="153"/>
      <c r="V47" s="22"/>
      <c r="W47" s="34" t="e">
        <f>IF(AND($L$38='SHL Section'!$BF$50,MAX('SHL Section'!$BG$37:$BG$40)=8),'SHL Section'!$B$46,IF(AND($L$38='SHL Section'!$BF$53,MAX('SHL Section'!$BG$41:$BG$44)=8),'SHL Section'!$B$46,IF(AND($L$38='SHL Section'!$BF$56,MAX('SHL Section'!$BG$45:$BG$48)=8),'SHL Section'!$B$46,IF(W43="","",IF(OR(W46=1,W46=4),180-(W43+W44/60+W45/3600),180+(W43+W44/60+W45/3600))))))</f>
        <v>#VALUE!</v>
      </c>
      <c r="X47" s="25" t="s">
        <v>144</v>
      </c>
      <c r="AA47" s="5"/>
      <c r="AF47" s="939" t="s">
        <v>355</v>
      </c>
      <c r="AG47" s="882"/>
      <c r="AH47" s="943" t="s">
        <v>355</v>
      </c>
      <c r="AI47" s="832"/>
      <c r="AJ47" s="939" t="s">
        <v>355</v>
      </c>
      <c r="AK47" s="882"/>
      <c r="AL47" s="939" t="s">
        <v>355</v>
      </c>
      <c r="AM47" s="882"/>
      <c r="AW47" s="233"/>
      <c r="AX47" s="233"/>
      <c r="AY47" s="233"/>
      <c r="AZ47" s="233"/>
      <c r="BA47" s="233"/>
      <c r="BB47" s="233"/>
      <c r="BC47" s="233" t="s">
        <v>295</v>
      </c>
      <c r="BE47" s="52">
        <v>3</v>
      </c>
      <c r="BF47" s="53" t="s">
        <v>276</v>
      </c>
      <c r="BG47" s="36" t="str">
        <f>IF(AND(MAX($AF$80:$AM$80)&lt;1,ISNUMBER($AJ$40), ISNUMBER($AK$40)),IF(AND($AJ$40&gt;0,IF($AJ$40&lt;$BK$19,$AT$86,$AT$85)&lt;0),8,IF(AND($AJ$40&lt;0,$AK$40&lt;0),7,IF(AND(IF($AK$40&lt;$BN$19,$AS$86,$AS$87)&lt;0,$AK$40&gt;0),6,""))),"")</f>
        <v/>
      </c>
      <c r="BH47" s="235">
        <v>11</v>
      </c>
      <c r="BI47" s="235">
        <v>2</v>
      </c>
      <c r="BJ47" s="235">
        <v>1</v>
      </c>
      <c r="BK47" s="235">
        <v>12</v>
      </c>
      <c r="BL47" s="235">
        <v>13</v>
      </c>
      <c r="BM47" s="235">
        <v>14</v>
      </c>
      <c r="BN47" s="235">
        <v>15</v>
      </c>
      <c r="BO47" s="235">
        <v>10</v>
      </c>
      <c r="BP47" s="235">
        <v>3</v>
      </c>
      <c r="CA47" s="19"/>
      <c r="CB47" s="19"/>
    </row>
    <row r="48" spans="1:80" ht="12" customHeight="1" x14ac:dyDescent="0.25">
      <c r="C48" s="4"/>
      <c r="G48" s="91" t="str">
        <f>IF(ISNUMBER($AJ$69),$K$9,"")</f>
        <v/>
      </c>
      <c r="H48" s="90" t="str">
        <f>IF(ISNUMBER($AJ$69),"FWL","")</f>
        <v/>
      </c>
      <c r="I48" s="154"/>
      <c r="J48" s="153"/>
      <c r="K48" s="153"/>
      <c r="L48" s="13"/>
      <c r="M48" s="14"/>
      <c r="Q48" s="91" t="str">
        <f>IF(ISNUMBER($AL$69),$K$9,"")</f>
        <v/>
      </c>
      <c r="R48" s="90" t="str">
        <f>IF(ISNUMBER($AL$69),"FEL","")</f>
        <v/>
      </c>
      <c r="S48" s="154"/>
      <c r="T48" s="153"/>
      <c r="V48" s="22"/>
      <c r="AF48" s="944"/>
      <c r="AG48" s="911"/>
      <c r="AH48" s="944"/>
      <c r="AI48" s="911"/>
      <c r="AJ48" s="944"/>
      <c r="AK48" s="911"/>
      <c r="AL48" s="944"/>
      <c r="AM48" s="911"/>
      <c r="AW48" s="233"/>
      <c r="AX48" s="233"/>
      <c r="AY48" s="233"/>
      <c r="AZ48" s="233"/>
      <c r="BA48" s="233"/>
      <c r="BB48" s="233"/>
      <c r="BC48" s="233" t="s">
        <v>296</v>
      </c>
      <c r="BE48" s="756">
        <v>4</v>
      </c>
      <c r="BF48" s="758" t="s">
        <v>276</v>
      </c>
      <c r="BG48" s="120" t="str">
        <f>IF(AND(MAX($AF$80:$AM$80)&lt;1,ISNUMBER($AL$41), ISNUMBER($AM$41)),IF(AND(IF(-$AM$41&lt;$BT$19,$AU$87,$AU$86)&lt;0,$AM$41&lt;0),6,IF(AND($AL$41&lt;0,$AM$41&gt;0),5,IF(AND($AL$41&gt;0,IF($AL$41&lt;$BU$19,$AV$87,$AV$84)&lt;0),4,""))),"")</f>
        <v/>
      </c>
      <c r="BH48" s="235">
        <v>12</v>
      </c>
      <c r="BI48" s="235">
        <v>1</v>
      </c>
      <c r="BJ48" s="235">
        <v>6</v>
      </c>
      <c r="BK48" s="235">
        <v>7</v>
      </c>
      <c r="BL48" s="235">
        <v>18</v>
      </c>
      <c r="BM48" s="235">
        <v>13</v>
      </c>
      <c r="BN48" s="235">
        <v>14</v>
      </c>
      <c r="BO48" s="235">
        <v>11</v>
      </c>
      <c r="BP48" s="235">
        <v>2</v>
      </c>
      <c r="CA48" s="19"/>
      <c r="CB48" s="19"/>
    </row>
    <row r="49" spans="1:80" ht="12" customHeight="1" x14ac:dyDescent="0.25">
      <c r="B49" s="44" t="e">
        <f>IF(AND($AA$10=1,$L$38='SHL Section'!$BF$50,MAX('SHL Section'!$BG$37:$BG$40)=4),'SHL Section'!$W$49,IF(AND($AA$10=1,$L$38='SHL Section'!$BF$53,MAX('SHL Section'!$BG$41:$BG$44)=4),'SHL Section'!$W$49,IF(AND($AA$10=1,$L$38='SHL Section'!$BF$56,MAX('SHL Section'!$BG$45:$BG$48)=4),'SHL Section'!$W$49,'BHL Section 1'!B50)))</f>
        <v>#VALUE!</v>
      </c>
      <c r="C49" s="4"/>
      <c r="G49" s="99" t="str">
        <f>IF(ISNUMBER($AJ$80),$B$10,"")</f>
        <v/>
      </c>
      <c r="H49" s="150" t="str">
        <f>IF(AND(G50="",G51=""),"",IF($AJ$80=1,"NE/SW",IF($AJ$80=2,"NW/SW",IF($AJ$80=3,"SW/SW",IF($AJ$80=4,"SE/SW","")))))</f>
        <v/>
      </c>
      <c r="I49" s="154"/>
      <c r="J49" s="153"/>
      <c r="K49" s="153"/>
      <c r="L49" s="13"/>
      <c r="M49" s="14"/>
      <c r="Q49" s="99" t="str">
        <f>IF(ISNUMBER($AL$80),$B$10,"")</f>
        <v/>
      </c>
      <c r="R49" s="150" t="str">
        <f>IF(AND(Q50="",Q51=""),"",IF($AL$80=1,"NE/SE",IF($AL$80=2,"NW/SE",IF($AL$80=3,"SW/SE",IF($AL$80=4,"SE/SE","")))))</f>
        <v/>
      </c>
      <c r="S49" s="154"/>
      <c r="T49" s="153"/>
      <c r="U49" s="5"/>
      <c r="V49" s="22"/>
      <c r="W49" s="154" t="e">
        <f>IF(AND($AA$10=1,$L$38='SHL Section'!$BF$50,MAX('SHL Section'!$BG$37:$BG$40)=8),'SHL Section'!$B$49,IF(AND($AA$10=1,$L$38='SHL Section'!$BF$53,MAX('SHL Section'!$BG$41:$BG$44)=8),'SHL Section'!$B$49,IF(AND($AA$10=1,$L$38='SHL Section'!$BF$56,MAX('SHL Section'!$BG$45:$BG$48)=8),'SHL Section'!$B$49,'BHL Section 1'!W50)))</f>
        <v>#VALUE!</v>
      </c>
      <c r="AA49" s="5"/>
      <c r="AF49" s="87"/>
      <c r="AG49" s="88"/>
      <c r="AH49" s="89"/>
      <c r="AI49" s="89"/>
      <c r="AJ49" s="87"/>
      <c r="AK49" s="88"/>
      <c r="AL49" s="87"/>
      <c r="AM49" s="88"/>
      <c r="AW49" s="233"/>
      <c r="AX49" s="233"/>
      <c r="AY49" s="233"/>
      <c r="AZ49" s="233"/>
      <c r="BA49" s="233"/>
      <c r="BB49" s="233"/>
      <c r="BC49" s="233" t="s">
        <v>297</v>
      </c>
      <c r="BH49" s="235">
        <v>13</v>
      </c>
      <c r="BI49" s="235">
        <v>12</v>
      </c>
      <c r="BJ49" s="235">
        <v>7</v>
      </c>
      <c r="BK49" s="235">
        <v>18</v>
      </c>
      <c r="BL49" s="235">
        <v>19</v>
      </c>
      <c r="BM49" s="235">
        <v>24</v>
      </c>
      <c r="BN49" s="235">
        <v>23</v>
      </c>
      <c r="BO49" s="235">
        <v>14</v>
      </c>
      <c r="BP49" s="235">
        <v>11</v>
      </c>
      <c r="CA49" s="19"/>
      <c r="CB49" s="19"/>
    </row>
    <row r="50" spans="1:80" ht="12" customHeight="1" x14ac:dyDescent="0.25">
      <c r="A50" s="17" t="s">
        <v>118</v>
      </c>
      <c r="B50" s="162"/>
      <c r="C50" s="4"/>
      <c r="G50" s="151" t="str">
        <f>IF(ISNUMBER($AJ$80),$I$10,"")</f>
        <v/>
      </c>
      <c r="H50" s="152" t="str">
        <f>IF(ISNUMBER($AJ$80),"FSL","")</f>
        <v/>
      </c>
      <c r="I50" s="154"/>
      <c r="J50" s="153"/>
      <c r="K50" s="153"/>
      <c r="L50" s="13"/>
      <c r="M50" s="14"/>
      <c r="Q50" s="151" t="str">
        <f>IF(ISNUMBER($AL$80),$I$10,"")</f>
        <v/>
      </c>
      <c r="R50" s="152" t="str">
        <f>IF(ISNUMBER($AL$80),"FSL","")</f>
        <v/>
      </c>
      <c r="S50" s="154"/>
      <c r="T50" s="153"/>
      <c r="U50" s="5"/>
      <c r="V50" s="22"/>
      <c r="W50" s="162"/>
      <c r="X50" s="25" t="s">
        <v>118</v>
      </c>
      <c r="AA50" s="5"/>
      <c r="AF50" s="939" t="s">
        <v>356</v>
      </c>
      <c r="AG50" s="882"/>
      <c r="AH50" s="943" t="s">
        <v>357</v>
      </c>
      <c r="AI50" s="832"/>
      <c r="AJ50" s="939" t="s">
        <v>358</v>
      </c>
      <c r="AK50" s="882"/>
      <c r="AL50" s="939" t="s">
        <v>359</v>
      </c>
      <c r="AM50" s="882"/>
      <c r="AW50" s="233"/>
      <c r="AX50" s="233"/>
      <c r="AY50" s="233"/>
      <c r="AZ50" s="233"/>
      <c r="BA50" s="233"/>
      <c r="BB50" s="233"/>
      <c r="BC50" s="233" t="s">
        <v>298</v>
      </c>
      <c r="BH50" s="235">
        <v>14</v>
      </c>
      <c r="BI50" s="235">
        <v>11</v>
      </c>
      <c r="BJ50" s="235">
        <v>12</v>
      </c>
      <c r="BK50" s="235">
        <v>13</v>
      </c>
      <c r="BL50" s="235">
        <v>24</v>
      </c>
      <c r="BM50" s="235">
        <v>23</v>
      </c>
      <c r="BN50" s="235">
        <v>22</v>
      </c>
      <c r="BO50" s="235">
        <v>15</v>
      </c>
      <c r="BP50" s="235">
        <v>10</v>
      </c>
      <c r="CA50" s="19"/>
      <c r="CB50" s="19"/>
    </row>
    <row r="51" spans="1:80" ht="12" customHeight="1" x14ac:dyDescent="0.25">
      <c r="A51" s="17" t="s">
        <v>124</v>
      </c>
      <c r="B51" s="147"/>
      <c r="C51" s="4"/>
      <c r="G51" s="91" t="str">
        <f>IF(ISNUMBER($AJ$80),$K$10,"")</f>
        <v/>
      </c>
      <c r="H51" s="90" t="str">
        <f>IF(ISNUMBER($AJ$80),"FWL","")</f>
        <v/>
      </c>
      <c r="I51" s="154"/>
      <c r="J51" s="153"/>
      <c r="K51" s="153"/>
      <c r="L51" s="13"/>
      <c r="M51" s="14"/>
      <c r="Q51" s="91" t="str">
        <f>IF(ISNUMBER($AL$80),$K$10,"")</f>
        <v/>
      </c>
      <c r="R51" s="90" t="str">
        <f>IF(ISNUMBER($AL$80),"FEL","")</f>
        <v/>
      </c>
      <c r="S51" s="154"/>
      <c r="T51" s="153"/>
      <c r="U51" s="5"/>
      <c r="V51" s="22"/>
      <c r="W51" s="147"/>
      <c r="X51" s="25" t="s">
        <v>124</v>
      </c>
      <c r="AA51" s="5"/>
      <c r="AB51" s="29"/>
      <c r="AC51" s="29"/>
      <c r="AD51" s="29"/>
      <c r="AE51" s="757" t="s">
        <v>226</v>
      </c>
      <c r="AF51" s="30" t="s">
        <v>113</v>
      </c>
      <c r="AG51" s="30" t="s">
        <v>114</v>
      </c>
      <c r="AH51" s="761" t="s">
        <v>113</v>
      </c>
      <c r="AI51" s="760" t="s">
        <v>114</v>
      </c>
      <c r="AJ51" s="30" t="s">
        <v>113</v>
      </c>
      <c r="AK51" s="30" t="s">
        <v>114</v>
      </c>
      <c r="AL51" s="30" t="s">
        <v>113</v>
      </c>
      <c r="AM51" s="30" t="s">
        <v>114</v>
      </c>
      <c r="AW51" s="233"/>
      <c r="AX51" s="233"/>
      <c r="AY51" s="233"/>
      <c r="AZ51" s="233"/>
      <c r="BA51" s="233"/>
      <c r="BB51" s="233"/>
      <c r="BC51" s="233" t="s">
        <v>299</v>
      </c>
      <c r="BH51" s="235">
        <v>15</v>
      </c>
      <c r="BI51" s="235">
        <v>10</v>
      </c>
      <c r="BJ51" s="235">
        <v>11</v>
      </c>
      <c r="BK51" s="235">
        <v>14</v>
      </c>
      <c r="BL51" s="235">
        <v>23</v>
      </c>
      <c r="BM51" s="235">
        <v>22</v>
      </c>
      <c r="BN51" s="235">
        <v>21</v>
      </c>
      <c r="BO51" s="235">
        <v>16</v>
      </c>
      <c r="BP51" s="235">
        <v>9</v>
      </c>
      <c r="CA51" s="19"/>
      <c r="CB51" s="19"/>
    </row>
    <row r="52" spans="1:80" ht="12" customHeight="1" x14ac:dyDescent="0.25">
      <c r="A52" s="17" t="s">
        <v>130</v>
      </c>
      <c r="B52" s="147"/>
      <c r="C52" s="4"/>
      <c r="I52" s="154"/>
      <c r="J52" s="153"/>
      <c r="K52" s="153"/>
      <c r="L52" s="13"/>
      <c r="M52" s="14"/>
      <c r="P52" s="19"/>
      <c r="S52" s="154"/>
      <c r="T52" s="153"/>
      <c r="U52" s="5"/>
      <c r="V52" s="22"/>
      <c r="W52" s="147"/>
      <c r="X52" s="25" t="s">
        <v>130</v>
      </c>
      <c r="AA52" s="5"/>
      <c r="AB52" s="5"/>
      <c r="AC52" s="5"/>
      <c r="AE52" s="53">
        <v>1</v>
      </c>
      <c r="AF52" s="49" t="str">
        <f>IF($AE52=AF$48,-($Q$30/$AW$28+$Q$31/$CA$28*$AW$19/$AX$19)/(1-$AW$19/$AX$19*$CB$19/$CA$19),"")</f>
        <v/>
      </c>
      <c r="AG52" s="48" t="str">
        <f>IF($AE52=AF$48,-($Q$31/$CA$28+$Q$30/$AW$28*$CB$19/$CA$19)/(1-$AW$19/$AX$19*$CB$19/$CA$19),"")</f>
        <v/>
      </c>
      <c r="AH52" s="44" t="str">
        <f>IF($AE52=AH$48,-($G$30/$BA$28-$BC$19-($G$31/$BE$28-$BD$19)*$BA$19/$BB$19)/(1-$BA$19/$BB$19*$BF$19/$BE$19),"")</f>
        <v/>
      </c>
      <c r="AI52" s="44" t="str">
        <f>IF($AE52=AH$48,($G$31/$BE$28-$BD$19-($G$30/$BA$28-$BC$19)*$BF$19/$BE$19)/(1-$BA$19/$BB$19*$BF$19/$BE$19)+$BD$19,"")</f>
        <v/>
      </c>
      <c r="AJ52" s="49" t="str">
        <f>IF($AE52=AJ$48,($G$46/$BO$28-$BK$19+$BM$19+($G$47/$BI$28-$BN$19+$BL$19)*$BO$19/$BP$19)/(1-$BJ$19/$BI$19*$BO$19/$BP$19)+$BK$19,"")</f>
        <v/>
      </c>
      <c r="AK52" s="48" t="str">
        <f>IF($AE52=AJ$48,($G$47/$BI$28-$BN$19+$BL$19+($G$46/$BO$28-$BK$19+$BM$19)*$BJ$19/$BI$19)/(1-$BJ$19/$BI$19*$BO$19/$BP$19)+$BN$19,"")</f>
        <v/>
      </c>
      <c r="AL52" s="49" t="str">
        <f>IF($AE52=AL$48,($Q$46/$BS$28-$BU$19-($Q$47/$BW$28-$BV$19)*$BS$19/$BT$19)/(1-$BX$19/$BW$19*$BS$19/$BT$19)+$BU$19,"")</f>
        <v/>
      </c>
      <c r="AM52" s="48" t="str">
        <f>IF($AE52=AL$48,-($Q$47/$BW$28-$BV$19-($Q$46/$BS$28-$BU$19)*$BX$19/$BW$19)/(1-$BX$19/$BW$19*$BS$19/$BT$19),"")</f>
        <v/>
      </c>
      <c r="BH52" s="235">
        <v>16</v>
      </c>
      <c r="BI52" s="235">
        <v>9</v>
      </c>
      <c r="BJ52" s="235">
        <v>10</v>
      </c>
      <c r="BK52" s="235">
        <v>15</v>
      </c>
      <c r="BL52" s="235">
        <v>22</v>
      </c>
      <c r="BM52" s="235">
        <v>21</v>
      </c>
      <c r="BN52" s="235">
        <v>20</v>
      </c>
      <c r="BO52" s="235">
        <v>17</v>
      </c>
      <c r="BP52" s="235">
        <v>8</v>
      </c>
      <c r="CA52" s="19"/>
      <c r="CB52" s="19"/>
    </row>
    <row r="53" spans="1:80" ht="12" customHeight="1" x14ac:dyDescent="0.25">
      <c r="A53" s="17" t="s">
        <v>134</v>
      </c>
      <c r="B53" s="147"/>
      <c r="C53" s="4"/>
      <c r="I53" s="154"/>
      <c r="J53" s="153"/>
      <c r="K53" s="153"/>
      <c r="L53" s="13"/>
      <c r="M53" s="14"/>
      <c r="P53" s="19"/>
      <c r="S53" s="154"/>
      <c r="T53" s="153"/>
      <c r="U53" s="5"/>
      <c r="V53" s="22"/>
      <c r="W53" s="147"/>
      <c r="X53" s="25" t="s">
        <v>134</v>
      </c>
      <c r="AA53" s="5"/>
      <c r="AB53" s="5"/>
      <c r="AC53" s="5"/>
      <c r="AE53" s="53">
        <v>2</v>
      </c>
      <c r="AF53" s="49" t="str">
        <f>IF($AE53=AF$48,-($Q$30/$AY$28+$AW$19+($Q$31/$CA$28-$AX$19)*$AY$19/$AZ$19)/(1-$AY$19/$AZ$19*$CB$19/$CA$19),"")</f>
        <v/>
      </c>
      <c r="AG53" s="48" t="str">
        <f>IF($AE53=AF$48,-($Q$31/$CA$28-$AX$19+($Q$30/$AY$28+$AW$19)*$CB$19/$CA$19)/(1-$AY$19/$AZ$19*$CB$19/$CA$19)-$AX$19,"")</f>
        <v/>
      </c>
      <c r="AH53" s="44" t="str">
        <f>IF($AE53=AH$48,-($G$30/$BC$28-$G$31/$BE$28*$BC$19/$BD$19)/(1-$BF$19/$BE$19*$BC$19/$BD$19),"")</f>
        <v/>
      </c>
      <c r="AI53" s="44" t="str">
        <f>IF($AE53=AH$48,($G$31/$BE$28-$G$30/$BC$28*$BF$19/$BE$19)/(1-$BF$19/$BE$19*$BC$19/$BD$19),"")</f>
        <v/>
      </c>
      <c r="AJ53" s="49" t="str">
        <f>IF($AE53=AJ$48,($G$46/$BM$28-$BK$19+($G$47/$BI$28+$BL$19)*$BM$19/$BN$19)/(1-$BJ$19/$BI$19*$BM$19/$BN$19)+$BK$19,"")</f>
        <v/>
      </c>
      <c r="AK53" s="48" t="str">
        <f>IF($AE53=AJ$48,($G$47/$BI$28+$BL$19+($G$46/$BM$28-$BK$19)*$BJ$19/$BI$19)/(1-$BJ$19/$BI$19*$BM$19/$BN$19),"")</f>
        <v/>
      </c>
      <c r="AL53" s="49" t="str">
        <f>IF($AE53=AL$48,($Q$46/$BQ$28-$BU19-$BS$19-($Q$47/$BW$28-$BT$19-$BV$19)*$BQ$19/$BR$19)/(1-$BX$19/$BW$19*$BQ$19/$BR$19)+$BU$19,"")</f>
        <v/>
      </c>
      <c r="AM53" s="48" t="str">
        <f>IF($AE53=AL$48,-($Q$47/$BW$28-$BT$19-$BV$19-($Q$46/$BQ$28-$BU$19-$BS$19)*$BX$19/$BW$19)/(1-$BX$19/$BW$19*$BQ$19/$BR$19)-$BT$19,"")</f>
        <v/>
      </c>
      <c r="BH53" s="235">
        <v>17</v>
      </c>
      <c r="BI53" s="235">
        <v>8</v>
      </c>
      <c r="BJ53" s="235">
        <v>9</v>
      </c>
      <c r="BK53" s="235">
        <v>16</v>
      </c>
      <c r="BL53" s="235">
        <v>21</v>
      </c>
      <c r="BM53" s="235">
        <v>20</v>
      </c>
      <c r="BN53" s="235">
        <v>19</v>
      </c>
      <c r="BO53" s="235">
        <v>18</v>
      </c>
      <c r="BP53" s="235">
        <v>7</v>
      </c>
      <c r="CA53" s="19"/>
      <c r="CB53" s="19"/>
    </row>
    <row r="54" spans="1:80" x14ac:dyDescent="0.25">
      <c r="A54" s="17" t="s">
        <v>140</v>
      </c>
      <c r="B54" s="112">
        <v>1</v>
      </c>
      <c r="C54" s="4"/>
      <c r="F54" s="815"/>
      <c r="I54" s="154"/>
      <c r="J54" s="153"/>
      <c r="K54" s="153"/>
      <c r="L54" s="13"/>
      <c r="M54" s="14"/>
      <c r="P54" s="815"/>
      <c r="S54" s="154"/>
      <c r="T54" s="153"/>
      <c r="U54" s="5"/>
      <c r="V54" s="22"/>
      <c r="W54" s="112">
        <v>4</v>
      </c>
      <c r="X54" s="25" t="s">
        <v>140</v>
      </c>
      <c r="AA54" s="5"/>
      <c r="AB54" s="5"/>
      <c r="AC54" s="5"/>
      <c r="AE54" s="53">
        <v>3</v>
      </c>
      <c r="AF54" s="49" t="str">
        <f>IF($AE54=AF$48,-($Q$30/$AY$28+$AW$19-$CA$19+($Q$31/$BY$28+$CB$19-$AX$19)*$AY$19/$AZ$19)/(1-$AY$19/$AZ$19*$BZ$19/$BY$19)-$CA$19,"")</f>
        <v/>
      </c>
      <c r="AG54" s="48" t="str">
        <f>IF($AE54=AF$48,-($Q$31/$BY$28+$CB$19-$AX$19+($Q$30/$AY$28+$AW$19-$CA$19)*$BZ$19/$BY$19)/(1-$AY$19/$AZ$19*$BZ$19/$BY$19)-$AX$19,"")</f>
        <v/>
      </c>
      <c r="AH54" s="44" t="str">
        <f>IF($AE54=AH$48,-($G$30/$BC$28-$BE$19-($G$31/$BG$28-$BF$19)*$BC$19/$BD$19)/(1-$BH$19/$BG$19*$BC$19/$BD$19)-$BE$19,"")</f>
        <v/>
      </c>
      <c r="AI54" s="44" t="str">
        <f>IF($AE54=AH$48,($G$31/$BG$28-$BF$19-($G$30/$BC$28-$BE$19)*$BH$19/$BG$19)/(1-$BH$19/$BG$19*$BC$19/$BD$19),"")</f>
        <v/>
      </c>
      <c r="AJ54" s="49" t="str">
        <f>IF($AE54=AJ$48,($G$46/$BM$28+$G$47/$BK$28*$BM$19/$BN$19)/(1-$BL$19/$BK$19*$BM$19/$BN$19),"")</f>
        <v/>
      </c>
      <c r="AK54" s="48" t="str">
        <f>IF($AE54=AJ$48,($G$47/$BK$28+$G$46/$BM$28*$BL$19/$BK$19)/(1-$BL$19/$BK$19*$BM$19/$BN$19),"")</f>
        <v/>
      </c>
      <c r="AL54" s="49" t="str">
        <f>IF($AE54=AL$48,($Q$46/$BQ$28-$BS$19-($Q$47/$BU$28-$BT$19)*$BQ$19/$BR$19)/(1-$BV$19/$BU$19*$BQ$19/$BR$19),"")</f>
        <v/>
      </c>
      <c r="AM54" s="48" t="str">
        <f>IF($AE54=AL$48,-($Q$47/$BU$28-$BT$19-($Q$46/$BQ$28-$BS$19)*$BV$19/$BU$19)/(1-$BV$19/$BU$19*$BQ$19/$BR$19)-$BT$19,"")</f>
        <v/>
      </c>
      <c r="BH54" s="235">
        <v>18</v>
      </c>
      <c r="BI54" s="235">
        <v>7</v>
      </c>
      <c r="BJ54" s="235">
        <v>8</v>
      </c>
      <c r="BK54" s="235">
        <v>17</v>
      </c>
      <c r="BL54" s="235">
        <v>20</v>
      </c>
      <c r="BM54" s="235">
        <v>19</v>
      </c>
      <c r="BN54" s="235">
        <v>24</v>
      </c>
      <c r="BO54" s="235">
        <v>13</v>
      </c>
      <c r="BP54" s="235">
        <v>12</v>
      </c>
      <c r="CA54" s="19"/>
      <c r="CB54" s="19"/>
    </row>
    <row r="55" spans="1:80" ht="12" customHeight="1" thickBot="1" x14ac:dyDescent="0.3">
      <c r="A55" s="17" t="s">
        <v>144</v>
      </c>
      <c r="B55" s="27" t="e">
        <f>IF(AND($L$38='SHL Section'!$BF$50,MAX('SHL Section'!$BG$37:$BG$40)=4),'SHL Section'!$W$54,IF(AND($L$38='SHL Section'!$BF$53,MAX('SHL Section'!$BG$41:$BG$44)=4),'SHL Section'!$W$54,IF(AND($L$38='SHL Section'!$BF$56,MAX('SHL Section'!$BG$45:$BG$48)=4),'SHL Section'!$W$54,IF(B51="","",IF(OR(B54=1,B54=4),180-(B51+B52/60+B53/3600),180+(B51+B52/60+B53/3600))))))</f>
        <v>#VALUE!</v>
      </c>
      <c r="C55" s="6"/>
      <c r="D55" s="2"/>
      <c r="E55" s="2"/>
      <c r="F55" s="2"/>
      <c r="G55" s="2"/>
      <c r="H55" s="2"/>
      <c r="I55" s="2"/>
      <c r="J55" s="2"/>
      <c r="K55" s="2"/>
      <c r="L55" s="15"/>
      <c r="M55" s="16"/>
      <c r="N55" s="2"/>
      <c r="O55" s="2"/>
      <c r="P55" s="2"/>
      <c r="Q55" s="2"/>
      <c r="R55" s="2"/>
      <c r="S55" s="2"/>
      <c r="T55" s="2"/>
      <c r="U55" s="2"/>
      <c r="V55" s="23"/>
      <c r="W55" s="34" t="e">
        <f>IF(AND($L$38='SHL Section'!$BF$50,MAX('SHL Section'!$BG$37:$BG$40)=8),'SHL Section'!$B$54,IF(AND($L$38='SHL Section'!$BF$53,MAX('SHL Section'!$BG$41:$BG$44)=8),'SHL Section'!$B$54,IF(AND($L$38='SHL Section'!$BF$56,MAX('SHL Section'!$BG$45:$BG$48)=8),'SHL Section'!$B$54,IF(W51="","",IF(OR(W54=1,W54=4),180-(W51+W52/60+W53/3600),180+(W51+W52/60+W53/3600))))))</f>
        <v>#VALUE!</v>
      </c>
      <c r="X55" s="25" t="s">
        <v>144</v>
      </c>
      <c r="AA55" s="5"/>
      <c r="AB55" s="5"/>
      <c r="AC55" s="5"/>
      <c r="AE55" s="53">
        <v>4</v>
      </c>
      <c r="AF55" s="49" t="str">
        <f>IF($AE55=AF$48,-($Q$30/$AW$28-$CA$19+($Q$31/$BY$28+$CB$19)*$AW$19/$AX$19)/(1-$AW$19/$AX$19*$BZ$19/$BY$19)-$CA$19,"")</f>
        <v/>
      </c>
      <c r="AG55" s="48" t="str">
        <f>IF($AE55=AF$48,-($Q$31/$BY$28+$CB$19+($Q$30/$AW$28-$CA$19)*$BZ$19/$BY$19)/(1-$AW$19/$AX$19*$BZ$19/$BY$19),"")</f>
        <v/>
      </c>
      <c r="AH55" s="44" t="str">
        <f>IF($AE55=AH$48,-($G$30/$BA$28-$BE$19-$BC$19-($G$31/$BG$28-$BD$19-$BF$19)*$BA$19/$BB$19)/(1-$BA$19/$BB$19*$BH$19/$BG$19)-$BE$19,"")</f>
        <v/>
      </c>
      <c r="AI55" s="44" t="str">
        <f>IF($AE55=AH$48,($G$31/$BG$28-$BD$19-$BF$19-($G$30/$BA$28-$BE$19-$BC$19)*$BH$19/$BG$19)/(1-$BA$19/$BB$19*$BH$19/$BG$19)+$BD$19,"")</f>
        <v/>
      </c>
      <c r="AJ55" s="49" t="str">
        <f>IF($AE55=AJ$48,($G$46/$BO$28+$BM$19+($G$47/$BK$28-$BN$19)*$BO$19/$BP$19)/(1-$BL$19/$BK$19*$BO$19/$BP$19),"")</f>
        <v/>
      </c>
      <c r="AK55" s="48" t="str">
        <f>IF($AE55=AJ$48,($G$47/$BK$28-$BN$19+($G$46/$BO$28+$BM$19)*$BL$19/$BK$19)/(1-$BL$19/$BK$19*$BO$19/$BP$19)+$BN$19,"")</f>
        <v/>
      </c>
      <c r="AL55" s="49" t="str">
        <f>IF($AE55=AL$48,($Q$46/$BS$28-$Q$47/$BU$28*$BS$19/$BT$19)/(1-$BV$19/$BU$19*$BS$19/$BT$19),"")</f>
        <v/>
      </c>
      <c r="AM55" s="48" t="str">
        <f>IF($AE55=AL$48,-($Q$47/$BU$28-$Q$46/$BS$28*$BV$19/$BU$19)/(1-$BV$19/$BU$19*$BS$19/$BT$19),"")</f>
        <v/>
      </c>
      <c r="AX55" s="19">
        <v>1</v>
      </c>
      <c r="AY55" s="19">
        <v>2</v>
      </c>
      <c r="AZ55" s="19">
        <v>3</v>
      </c>
      <c r="BA55" s="19">
        <v>4</v>
      </c>
      <c r="BH55" s="235">
        <v>19</v>
      </c>
      <c r="BI55" s="235">
        <v>18</v>
      </c>
      <c r="BJ55" s="235">
        <v>17</v>
      </c>
      <c r="BK55" s="235">
        <v>20</v>
      </c>
      <c r="BL55" s="235">
        <v>29</v>
      </c>
      <c r="BM55" s="235">
        <v>30</v>
      </c>
      <c r="BN55" s="235">
        <v>25</v>
      </c>
      <c r="BO55" s="235">
        <v>24</v>
      </c>
      <c r="BP55" s="235">
        <v>13</v>
      </c>
      <c r="CA55" s="19"/>
      <c r="CB55" s="19"/>
    </row>
    <row r="56" spans="1:80" ht="12" customHeight="1" x14ac:dyDescent="0.25">
      <c r="B56" s="955" t="e">
        <f>CONCATENATE("SW SC of ",$L$38)</f>
        <v>#VALUE!</v>
      </c>
      <c r="C56" s="904"/>
      <c r="D56" s="17" t="s">
        <v>118</v>
      </c>
      <c r="E56" s="162"/>
      <c r="J56" s="17" t="s">
        <v>118</v>
      </c>
      <c r="K56" s="217">
        <v>5291.56</v>
      </c>
      <c r="L56" s="942" t="e">
        <f>CONCATENATE("S QC of ",$L$38)</f>
        <v>#VALUE!</v>
      </c>
      <c r="M56" s="844"/>
      <c r="N56" s="17" t="s">
        <v>118</v>
      </c>
      <c r="O56" s="162"/>
      <c r="T56" s="17" t="s">
        <v>118</v>
      </c>
      <c r="U56" s="162"/>
      <c r="V56" s="960" t="e">
        <f>CONCATENATE("SE SC of ",$L$38)</f>
        <v>#VALUE!</v>
      </c>
      <c r="W56" s="904"/>
      <c r="AA56" s="5"/>
      <c r="AB56" s="5"/>
      <c r="AC56" s="5"/>
      <c r="AF56" s="87"/>
      <c r="AG56" s="88"/>
      <c r="AH56" s="89"/>
      <c r="AI56" s="89"/>
      <c r="AJ56" s="87"/>
      <c r="AK56" s="88"/>
      <c r="AL56" s="87"/>
      <c r="AM56" s="88"/>
      <c r="AW56" s="19">
        <v>1</v>
      </c>
      <c r="AX56" s="235" t="s">
        <v>281</v>
      </c>
      <c r="AY56" s="235" t="s">
        <v>288</v>
      </c>
      <c r="AZ56" s="235" t="s">
        <v>292</v>
      </c>
      <c r="BA56" s="235" t="s">
        <v>296</v>
      </c>
      <c r="BH56" s="235">
        <v>20</v>
      </c>
      <c r="BI56" s="235">
        <v>17</v>
      </c>
      <c r="BJ56" s="235">
        <v>16</v>
      </c>
      <c r="BK56" s="235">
        <v>21</v>
      </c>
      <c r="BL56" s="235">
        <v>28</v>
      </c>
      <c r="BM56" s="235">
        <v>29</v>
      </c>
      <c r="BN56" s="235">
        <v>30</v>
      </c>
      <c r="BO56" s="235">
        <v>19</v>
      </c>
      <c r="BP56" s="235">
        <v>18</v>
      </c>
      <c r="CA56" s="19"/>
      <c r="CB56" s="19"/>
    </row>
    <row r="57" spans="1:80" ht="12" customHeight="1" x14ac:dyDescent="0.25">
      <c r="D57" s="17" t="s">
        <v>124</v>
      </c>
      <c r="E57" s="147"/>
      <c r="F57" s="20"/>
      <c r="G57" s="20"/>
      <c r="H57" s="20"/>
      <c r="I57" s="20"/>
      <c r="J57" s="17" t="s">
        <v>124</v>
      </c>
      <c r="K57" s="148">
        <v>89</v>
      </c>
      <c r="N57" s="17" t="s">
        <v>124</v>
      </c>
      <c r="O57" s="147"/>
      <c r="P57" s="20"/>
      <c r="Q57" s="20"/>
      <c r="R57" s="20"/>
      <c r="S57" s="20"/>
      <c r="T57" s="17" t="s">
        <v>124</v>
      </c>
      <c r="U57" s="147"/>
      <c r="AA57" s="5"/>
      <c r="AB57" s="5"/>
      <c r="AC57" s="5"/>
      <c r="AF57" s="939" t="s">
        <v>366</v>
      </c>
      <c r="AG57" s="882"/>
      <c r="AH57" s="943" t="s">
        <v>366</v>
      </c>
      <c r="AI57" s="832"/>
      <c r="AJ57" s="939" t="s">
        <v>366</v>
      </c>
      <c r="AK57" s="882"/>
      <c r="AL57" s="939" t="s">
        <v>366</v>
      </c>
      <c r="AM57" s="882"/>
      <c r="AW57" s="19">
        <v>2</v>
      </c>
      <c r="AX57" s="235" t="s">
        <v>283</v>
      </c>
      <c r="AY57" s="235" t="s">
        <v>289</v>
      </c>
      <c r="AZ57" s="235" t="s">
        <v>293</v>
      </c>
      <c r="BA57" s="235" t="s">
        <v>297</v>
      </c>
      <c r="BH57" s="235">
        <v>21</v>
      </c>
      <c r="BI57" s="235">
        <v>16</v>
      </c>
      <c r="BJ57" s="235">
        <v>15</v>
      </c>
      <c r="BK57" s="235">
        <v>22</v>
      </c>
      <c r="BL57" s="235">
        <v>27</v>
      </c>
      <c r="BM57" s="235">
        <v>28</v>
      </c>
      <c r="BN57" s="235">
        <v>29</v>
      </c>
      <c r="BO57" s="235">
        <v>20</v>
      </c>
      <c r="BP57" s="235">
        <v>17</v>
      </c>
      <c r="CA57" s="19"/>
      <c r="CB57" s="19"/>
    </row>
    <row r="58" spans="1:80" ht="12" customHeight="1" x14ac:dyDescent="0.25">
      <c r="D58" s="17" t="s">
        <v>130</v>
      </c>
      <c r="E58" s="147"/>
      <c r="J58" s="17" t="s">
        <v>130</v>
      </c>
      <c r="K58" s="148">
        <v>52</v>
      </c>
      <c r="N58" s="17" t="s">
        <v>130</v>
      </c>
      <c r="O58" s="147"/>
      <c r="T58" s="17" t="s">
        <v>130</v>
      </c>
      <c r="U58" s="147"/>
      <c r="AA58" s="5"/>
      <c r="AB58" s="5"/>
      <c r="AC58" s="5"/>
      <c r="AF58" s="944" t="str">
        <f>IF($AF$30="","",IF(AND((-$AF$30+$AG$30*$AW$19/$AX$19)&gt;0,-$AF$30&lt;$CA$19,(-$AG$30+$AF$30*$CB$19/$CA$19)&gt;0,-$AG$30&lt;$AX$19),1,IF(AND((-$AF$30-$AW$19+($AG$30+$AX$19)*$AY$19/$AZ$19)&gt;0,-$AF$30&lt;$CA$19,-$AG$30&gt;$AX$19,-$AG$30&lt;$AY$22),2,IF(AND(-$AF$30&lt;$BZ$22,-$AF$30&gt;$CA$19,-$AG$30&gt;$AX$19,-$AG$30&lt;$AY$22),3,IF(AND(-$AF$30&lt;$BZ$22,-$AF$30&gt;$CA$19,(-$AG$30-$CB$19-(-$AF$30-$CA$19)*$BZ$19/$BY$19)&gt;0,-$AG$30&lt;$AX$19),4,"")))))</f>
        <v/>
      </c>
      <c r="AG58" s="911"/>
      <c r="AH58" s="944" t="str">
        <f>IF($AH$30="","",IF(AND((-$AH$30+$BC$19+($AI$30-$BD$19)*$BA$19/$BB$19)&gt;0,-$AH$30&lt;$BE$19,$AI$30&gt;$BD$19,$AI$30&lt;$BC$22),1,IF(AND((-$AH$30+$AI$30*$BC$19/$BD$19)&gt;0,-$AH$30&lt;$BE$19,($AI$30-$AH$30*$BF$19/$BE$19)&gt;0,$AI$30&lt;$BD$19),2,IF(AND(-$AH$30&gt;$BE$19,-$AH$30&lt;$BF$22,($AI$30+$BF$19+(-$AH$30-$BE$19)*$BH$19/$BG$19)&gt;0,$AI$30&lt;$BD$19),3,IF(AND(-$AH$30&gt;$BE$19,-$AH$30&lt;$BF$22,$AI$30&gt;$BD$19,$AI$30&lt;$BC$22),4,"")))))</f>
        <v/>
      </c>
      <c r="AI58" s="911"/>
      <c r="AJ58" s="944" t="str">
        <f>IF($AJ$30="","",IF(AND($AJ$30&gt;$BK$19,$AJ$30&lt;$BJ$22,$AK$30&gt;$BN$19,$AK$30&lt;$BO$22),1,IF(AND($AJ$30&gt;$BK$19,$AJ$30&lt;$BJ$22,($AK$30-$BL$19-($AJ$30-$BK$19)*$BJ$19/$BI$19)&gt;0,$AK$30&lt;$BN$19),2,IF(AND(($AJ$30-$AK$30*$BM$19/$BN$19)&gt;0,$AJ$30&lt;$BK$19,($AK$30-$AJ$30*$BL$19/$BK$19)&gt;0,$AK$30&lt;$BN$19),3,IF(AND(($AJ$30-$BM$19-($AK$30-$BN$19)*$BO$19/$BP$19)&gt;0,$AJ$30&lt;$BK$19,$AK$30&gt;$BN$19,$AK$30&lt;$BO$22),4,"")))))</f>
        <v/>
      </c>
      <c r="AK58" s="911"/>
      <c r="AL58" s="944" t="str">
        <f>IF($AL$30="","",IF(AND($AL$30&gt;$BU$19,$AL$30&lt;$BV$22,(-$AM$30+$BV$19+($AL$30-$BU$19)*$BX$19/$BW$19)&gt;0,-$AM$30&lt;$BT$19),1,IF(AND($AL$30&gt;$BU$19,$AL$30&lt;$BV$22,-$AM$30&gt;$BT$19,-$AM$30&lt;$BS$22),2,IF(AND(($AL$30+$BS$19+(-$AM$30-$BT$19)*$BQ$19/$BR$19)&gt;0,$AL$30&lt;$BU$19,-$AM$30&gt;$BT$19,-$AM$30&lt;$BS$22),3,IF(AND(($AL$30-$AM$30*$BS$19/$BT$19)&gt;0,$AL$30&lt;$BU$19,(-$AM$30+$AL$30*$BV$19/$BU$19)&gt;0,-$AM$30&lt;$BT$19),4,"")))))</f>
        <v/>
      </c>
      <c r="AM58" s="911"/>
      <c r="AW58" s="19">
        <v>3</v>
      </c>
      <c r="AX58" s="235" t="s">
        <v>285</v>
      </c>
      <c r="AY58" s="235" t="s">
        <v>290</v>
      </c>
      <c r="AZ58" s="235" t="s">
        <v>294</v>
      </c>
      <c r="BA58" s="235" t="s">
        <v>298</v>
      </c>
      <c r="BH58" s="235">
        <v>22</v>
      </c>
      <c r="BI58" s="235">
        <v>15</v>
      </c>
      <c r="BJ58" s="235">
        <v>14</v>
      </c>
      <c r="BK58" s="235">
        <v>23</v>
      </c>
      <c r="BL58" s="235">
        <v>26</v>
      </c>
      <c r="BM58" s="235">
        <v>27</v>
      </c>
      <c r="BN58" s="235">
        <v>28</v>
      </c>
      <c r="BO58" s="235">
        <v>21</v>
      </c>
      <c r="BP58" s="235">
        <v>16</v>
      </c>
      <c r="CA58" s="19"/>
      <c r="CB58" s="19"/>
    </row>
    <row r="59" spans="1:80" ht="12" customHeight="1" x14ac:dyDescent="0.25">
      <c r="D59" s="17" t="s">
        <v>134</v>
      </c>
      <c r="E59" s="147"/>
      <c r="J59" s="17" t="s">
        <v>134</v>
      </c>
      <c r="K59" s="148">
        <v>58</v>
      </c>
      <c r="N59" s="17" t="s">
        <v>134</v>
      </c>
      <c r="O59" s="147"/>
      <c r="T59" s="17" t="s">
        <v>134</v>
      </c>
      <c r="U59" s="147"/>
      <c r="AA59" s="5"/>
      <c r="AB59" s="5"/>
      <c r="AC59" s="5"/>
      <c r="AF59" s="87"/>
      <c r="AG59" s="88"/>
      <c r="AH59" s="89"/>
      <c r="AI59" s="89"/>
      <c r="AJ59" s="87"/>
      <c r="AK59" s="88"/>
      <c r="AL59" s="87"/>
      <c r="AM59" s="88"/>
      <c r="AW59" s="19">
        <v>4</v>
      </c>
      <c r="AX59" s="235" t="s">
        <v>287</v>
      </c>
      <c r="AY59" s="235" t="s">
        <v>291</v>
      </c>
      <c r="AZ59" s="235" t="s">
        <v>295</v>
      </c>
      <c r="BA59" s="235" t="s">
        <v>299</v>
      </c>
      <c r="BH59" s="235">
        <v>23</v>
      </c>
      <c r="BI59" s="235">
        <v>14</v>
      </c>
      <c r="BJ59" s="235">
        <v>13</v>
      </c>
      <c r="BK59" s="235">
        <v>24</v>
      </c>
      <c r="BL59" s="235">
        <v>25</v>
      </c>
      <c r="BM59" s="235">
        <v>26</v>
      </c>
      <c r="BN59" s="235">
        <v>27</v>
      </c>
      <c r="BO59" s="235">
        <v>22</v>
      </c>
      <c r="BP59" s="235">
        <v>15</v>
      </c>
      <c r="CA59" s="19"/>
      <c r="CB59" s="19"/>
    </row>
    <row r="60" spans="1:80" ht="12" customHeight="1" x14ac:dyDescent="0.25">
      <c r="D60" s="17" t="s">
        <v>140</v>
      </c>
      <c r="E60" s="112">
        <v>2</v>
      </c>
      <c r="J60" s="17" t="s">
        <v>140</v>
      </c>
      <c r="K60" s="112">
        <v>4</v>
      </c>
      <c r="N60" s="17" t="s">
        <v>140</v>
      </c>
      <c r="O60" s="112">
        <v>2</v>
      </c>
      <c r="T60" s="17" t="s">
        <v>140</v>
      </c>
      <c r="U60" s="112">
        <v>4</v>
      </c>
      <c r="V60" s="116"/>
      <c r="AA60" s="5"/>
      <c r="AB60" s="5"/>
      <c r="AC60" s="5"/>
      <c r="AF60" s="939" t="s">
        <v>367</v>
      </c>
      <c r="AG60" s="882"/>
      <c r="AH60" s="939" t="s">
        <v>368</v>
      </c>
      <c r="AI60" s="882"/>
      <c r="AJ60" s="939" t="s">
        <v>369</v>
      </c>
      <c r="AK60" s="882"/>
      <c r="AL60" s="939" t="s">
        <v>370</v>
      </c>
      <c r="AM60" s="882"/>
      <c r="BH60" s="235">
        <v>24</v>
      </c>
      <c r="BI60" s="235">
        <v>13</v>
      </c>
      <c r="BJ60" s="235">
        <v>18</v>
      </c>
      <c r="BK60" s="235">
        <v>19</v>
      </c>
      <c r="BL60" s="235">
        <v>30</v>
      </c>
      <c r="BM60" s="235">
        <v>25</v>
      </c>
      <c r="BN60" s="235">
        <v>26</v>
      </c>
      <c r="BO60" s="235">
        <v>23</v>
      </c>
      <c r="BP60" s="235">
        <v>14</v>
      </c>
      <c r="CA60" s="19"/>
      <c r="CB60" s="19"/>
    </row>
    <row r="61" spans="1:80" ht="12" customHeight="1" x14ac:dyDescent="0.25">
      <c r="D61" s="17" t="s">
        <v>144</v>
      </c>
      <c r="E61" s="34" t="e">
        <f>IF(AND($L$38='SHL Section'!$BF$50,MAX('SHL Section'!$BG$37:$BG$40)=2),'SHL Section'!$E$23,IF(AND($L$38='SHL Section'!$BF$53,MAX('SHL Section'!$BG$41:$BG$44)=2),'SHL Section'!$E$23,IF(AND($L$38='SHL Section'!$BF$56,MAX('SHL Section'!$BG$45:$BG$48)=2),'SHL Section'!$E$23,IF(E57="","",IF(OR(E60=1,E60=4),180-(E57+E58/60+E59/3600),(E57+E58/60+E59/3600))))))</f>
        <v>#VALUE!</v>
      </c>
      <c r="J61" s="17" t="s">
        <v>144</v>
      </c>
      <c r="K61" s="34" t="e">
        <f>IF(AND($L$38='SHL Section'!$BF$50,MAX('SHL Section'!$BG$37:$BG$40)=2),'SHL Section'!$K$23,IF(AND($L$38='SHL Section'!$BF$53,MAX('SHL Section'!$BG$41:$BG$44)=2),'SHL Section'!$K$23,IF(AND($L$38='SHL Section'!$BF$56,MAX('SHL Section'!$BG$45:$BG$48)=2),'SHL Section'!$K$23,IF(K57="","",IF(OR(K60=1,K60=4),180-(K57+K58/60+K59/3600),(K57+K58/60+K59/3600))))))</f>
        <v>#VALUE!</v>
      </c>
      <c r="N61" s="17" t="s">
        <v>144</v>
      </c>
      <c r="O61" s="34" t="e">
        <f>IF(AND($L$38='SHL Section'!$BF$50,MAX('SHL Section'!$BG$37:$BG$40)=2),'SHL Section'!$O$23,IF(AND($L$38='SHL Section'!$BF$53,MAX('SHL Section'!$BG$41:$BG$44)=2),'SHL Section'!$O$23,IF(AND($L$38='SHL Section'!$BF$56,MAX('SHL Section'!$BG$45:$BG$48)=2),'SHL Section'!$O$23,IF(O57="","",IF(OR(O60=1,O60=4),180-(O57+O58/60+O59/3600),(O57+O58/60+O59/3600))))))</f>
        <v>#VALUE!</v>
      </c>
      <c r="T61" s="17" t="s">
        <v>144</v>
      </c>
      <c r="U61" s="27" t="e">
        <f>IF(AND($L$38='SHL Section'!$BF$50,MAX('SHL Section'!$BG$37:$BG$40)=2),'SHL Section'!$U$23,IF(AND($L$38='SHL Section'!$BF$53,MAX('SHL Section'!$BG$41:$BG$44)=2),'SHL Section'!$U$23,IF(AND($L$38='SHL Section'!$BF$56,MAX('SHL Section'!$BG$45:$BG$48)=2),'SHL Section'!$U$23,IF(U57="","",IF(OR(U60=1,U60=4),180-(U57+U58/60+U59/3600),(U57+U58/60+U59/3600))))))</f>
        <v>#VALUE!</v>
      </c>
      <c r="AA61" s="5"/>
      <c r="AB61" s="5"/>
      <c r="AC61" s="5"/>
      <c r="AE61" s="757" t="s">
        <v>226</v>
      </c>
      <c r="AF61" s="30" t="s">
        <v>181</v>
      </c>
      <c r="AG61" s="30" t="s">
        <v>194</v>
      </c>
      <c r="AH61" s="761" t="s">
        <v>181</v>
      </c>
      <c r="AI61" s="760" t="s">
        <v>201</v>
      </c>
      <c r="AJ61" s="30" t="s">
        <v>186</v>
      </c>
      <c r="AK61" s="30" t="s">
        <v>201</v>
      </c>
      <c r="AL61" s="30" t="s">
        <v>186</v>
      </c>
      <c r="AM61" s="30" t="s">
        <v>194</v>
      </c>
      <c r="AO61" s="19" t="s">
        <v>371</v>
      </c>
      <c r="AX61" s="29"/>
      <c r="BH61" s="235">
        <v>25</v>
      </c>
      <c r="BI61" s="235">
        <v>24</v>
      </c>
      <c r="BJ61" s="235">
        <v>19</v>
      </c>
      <c r="BK61" s="235">
        <v>30</v>
      </c>
      <c r="BL61" s="235">
        <v>31</v>
      </c>
      <c r="BM61" s="235">
        <v>36</v>
      </c>
      <c r="BN61" s="235">
        <v>35</v>
      </c>
      <c r="BO61" s="235">
        <v>26</v>
      </c>
      <c r="BP61" s="235">
        <v>23</v>
      </c>
      <c r="CA61" s="19"/>
      <c r="CB61" s="19"/>
    </row>
    <row r="62" spans="1:80" ht="12" customHeight="1" x14ac:dyDescent="0.25">
      <c r="E62" s="44" t="e">
        <f>IF(AND($AA$10=1,$L$38='SHL Section'!$BF$50,MAX('SHL Section'!$BG$37:$BG$40)=2),'SHL Section'!$E$18,IF(AND($AA$10=1,$L$38='SHL Section'!$BF$53,MAX('SHL Section'!$BG$41:$BG$44)=2),'SHL Section'!$E$18,IF(AND($AA$10=1,$L$38='SHL Section'!$BF$56,MAX('SHL Section'!$BG$45:$BG$48)=2),'SHL Section'!$E$18,'BHL Section 1'!E56)))</f>
        <v>#VALUE!</v>
      </c>
      <c r="F62" s="156"/>
      <c r="G62" s="156"/>
      <c r="H62" s="156"/>
      <c r="I62" s="156"/>
      <c r="J62" s="156"/>
      <c r="K62" s="44" t="e">
        <f>IF(AND($AA$10=1,$L$38='SHL Section'!$BF$50,MAX('SHL Section'!$BG$37:$BG$40)=2),'SHL Section'!$K$18,IF(AND($AA$10=1,$L$38='SHL Section'!$BF$53,MAX('SHL Section'!$BG$41:$BG$44)=2),'SHL Section'!$K$18,IF(AND($AA$10=1,$L$38='SHL Section'!$BF$56,MAX('SHL Section'!$BG$45:$BG$48)=2),'SHL Section'!$K$18,'BHL Section 1'!K56)))</f>
        <v>#VALUE!</v>
      </c>
      <c r="L62" s="156"/>
      <c r="M62" s="156"/>
      <c r="N62" s="156"/>
      <c r="O62" s="44" t="e">
        <f>IF(AND($AA$10=1,$L$38='SHL Section'!$BF$50,MAX('SHL Section'!$BG$37:$BG$40)=2),'SHL Section'!$O$18,IF(AND($AA$10=1,$L$38='SHL Section'!$BF$53,MAX('SHL Section'!$BG$41:$BG$44)=2),'SHL Section'!$O$18,IF(AND($AA$10=1,$L$38='SHL Section'!$BF$56,MAX('SHL Section'!$BG$45:$BG$48)=2),'SHL Section'!$O$18,'BHL Section 1'!O56)))</f>
        <v>#VALUE!</v>
      </c>
      <c r="P62" s="156"/>
      <c r="Q62" s="156"/>
      <c r="R62" s="156"/>
      <c r="S62" s="156"/>
      <c r="T62" s="156"/>
      <c r="U62" s="44" t="e">
        <f>IF(AND($AA$10=1,$L$38='SHL Section'!$BF$50,MAX('SHL Section'!$BG$37:$BG$40)=2),'SHL Section'!$U$18,IF(AND($AA$10=1,$L$38='SHL Section'!$BF$53,MAX('SHL Section'!$BG$41:$BG$44)=2),'SHL Section'!$U$18,IF(AND($AA$10=1,$L$38='SHL Section'!$BF$56,MAX('SHL Section'!$BG$45:$BG$48)=2),'SHL Section'!$U$18,'BHL Section 1'!U56)))</f>
        <v>#VALUE!</v>
      </c>
      <c r="AA62" s="5"/>
      <c r="AB62" s="5"/>
      <c r="AC62" s="5"/>
      <c r="AE62" s="53">
        <v>1</v>
      </c>
      <c r="AF62" s="49" t="str">
        <f>IF($AE62=AF$58,(-$AF$30+$AG$30*$AW$19/$AX$19)*$AW$28,"")</f>
        <v/>
      </c>
      <c r="AG62" s="48" t="str">
        <f>IF($AE62=AF$58,(-$AG$30+$AF$30*$CB$19/$CA$19)*$CA$28,"")</f>
        <v/>
      </c>
      <c r="AH62" s="49" t="str">
        <f>IF($AE62=AH$58,(-$AH$30+$BC$19+($AI$30-$BD$19)*$BA$19/$BB$19)*$BA$28,"")</f>
        <v/>
      </c>
      <c r="AI62" s="48" t="str">
        <f>IF($AE62=AH$58,($AI$30-$AH$30*$BF$19/$BE$19)*$BE$28,"")</f>
        <v/>
      </c>
      <c r="AJ62" s="49" t="str">
        <f>IF($AE62=AJ$58,($AJ$30-$BM$19-($AK$30-$BN$19)*$BO$19/$BP$19)*$BO$28,"")</f>
        <v/>
      </c>
      <c r="AK62" s="48" t="str">
        <f>IF($AE62=AJ$58,($AK$30-$BL$19-($AJ$30-$BK$19)*$BJ$19/$BI$19)*$BI$28,"")</f>
        <v/>
      </c>
      <c r="AL62" s="49" t="str">
        <f>IF($AE62=AL$58,($AL$30-$AM$30*$BS$19/$BT$19)*$BS$28,"")</f>
        <v/>
      </c>
      <c r="AM62" s="48" t="str">
        <f>IF($AE62=AL$58,(-$AM$30+$BV$19+($AL$30-$BU$19)*$BX$19/$BW$19)*$BW$28,"")</f>
        <v/>
      </c>
      <c r="AO62" s="159" t="str">
        <f>IF(ISNUMBER($AF$30),(-$AF$30+$AG$30*$AW$19/$AX$19),"")</f>
        <v/>
      </c>
      <c r="AP62" s="160" t="str">
        <f>IF(ISNUMBER($AG$30),(-$AG$30+$AF$30*$CB$19/$CA$19),"")</f>
        <v/>
      </c>
      <c r="AQ62" s="159" t="str">
        <f>IF(ISNUMBER($AH$30),(-$AH$30+$BC$19+($AI$30-$BD$19)*$BA$19/$BB$19),"")</f>
        <v/>
      </c>
      <c r="AR62" s="160" t="str">
        <f>IF(ISNUMBER($AI$30),($AI$30-$AH$30*$BF$19/$BE$19),"")</f>
        <v/>
      </c>
      <c r="AS62" s="159" t="str">
        <f>IF(ISNUMBER($AJ$30),($AJ$30-$BM$19-($AK$30-$BN$19)*$BO$19/$BP$19),"")</f>
        <v/>
      </c>
      <c r="AT62" s="160" t="str">
        <f>IF(ISNUMBER($AK$30),($AK$30-$BL$19-($AJ$30-$BK$19)*$BJ$19/$BI$19),"")</f>
        <v/>
      </c>
      <c r="AU62" s="159" t="str">
        <f>IF(ISNUMBER($AL$30),($AL$30-$AM$30*$BS$19/$BT$19),"")</f>
        <v/>
      </c>
      <c r="AV62" s="160" t="str">
        <f>IF(ISNUMBER($AM$30),(-$AM$30+$BV$19+($AL$30-$BU$19)*$BX$19/$BW$19),"")</f>
        <v/>
      </c>
      <c r="BH62" s="235">
        <v>26</v>
      </c>
      <c r="BI62" s="235">
        <v>23</v>
      </c>
      <c r="BJ62" s="235">
        <v>24</v>
      </c>
      <c r="BK62" s="235">
        <v>25</v>
      </c>
      <c r="BL62" s="235">
        <v>36</v>
      </c>
      <c r="BM62" s="235">
        <v>35</v>
      </c>
      <c r="BN62" s="235">
        <v>34</v>
      </c>
      <c r="BO62" s="235">
        <v>27</v>
      </c>
      <c r="BP62" s="235">
        <v>22</v>
      </c>
      <c r="CA62" s="19"/>
      <c r="CB62" s="19"/>
    </row>
    <row r="63" spans="1:80" ht="12" customHeight="1" x14ac:dyDescent="0.25">
      <c r="AA63" s="5"/>
      <c r="AB63" s="5"/>
      <c r="AC63" s="5"/>
      <c r="AE63" s="53">
        <v>2</v>
      </c>
      <c r="AF63" s="49" t="str">
        <f>IF($AE63=AF$58,(-$AF$30-$AW$19+($AG$30+$AX$19)*$AY$19/$AZ$19)*$AY$28,"")</f>
        <v/>
      </c>
      <c r="AG63" s="48" t="str">
        <f>IF($AE63=AF$58,(-$AG$30+$AF$30*$CB$19/$CA$19)*$CA$28,"")</f>
        <v/>
      </c>
      <c r="AH63" s="49" t="str">
        <f>IF($AE63=AH$58,(-$AH$30+$AI$30*$BC$19/$BD$19)*$BC$28,"")</f>
        <v/>
      </c>
      <c r="AI63" s="48" t="str">
        <f>IF($AE63=AH$58,($AI$30-$AH$30*$BF$19/$BE$19)*$BE$28,"")</f>
        <v/>
      </c>
      <c r="AJ63" s="49" t="str">
        <f>IF($AE63=AJ$58,($AJ$30-$AK$30*$BM$19/$BN$19)*$BM$28,"")</f>
        <v/>
      </c>
      <c r="AK63" s="48" t="str">
        <f>IF($AE63=AJ$58,($AK$30-$BL$19-($AJ$30-$BK$19)*$BJ$19/$BI$19)*$BI$28,"")</f>
        <v/>
      </c>
      <c r="AL63" s="49" t="str">
        <f>IF($AE63=AL$58,($AL$30+$BS$19+(-$AM$30-$BT$19)*$BQ$19/$BR$19)*$BQ$28,"")</f>
        <v/>
      </c>
      <c r="AM63" s="48" t="str">
        <f>IF($AE63=AL$58,(-$AM$30+$BV$19+($AL$30-$BU$19)*$BX$19/$BW$19)*$BW$28,"")</f>
        <v/>
      </c>
      <c r="AO63" s="49" t="str">
        <f>IF(ISNUMBER($AF$30),(-$AF$30-$AW$19+($AG$30+$AX$19)*$AY$19/$AZ$19),"")</f>
        <v/>
      </c>
      <c r="AP63" s="48" t="str">
        <f>IF(ISNUMBER($AG$30),(-$AG$30+$AF$30*$CB$19/$CA$19),"")</f>
        <v/>
      </c>
      <c r="AQ63" s="49" t="str">
        <f>IF(ISNUMBER($AH$30),(-$AH$30+$AI$30*$BC$19/$BD$19),"")</f>
        <v/>
      </c>
      <c r="AR63" s="48" t="str">
        <f>IF(ISNUMBER($AI$30),($AI$30-$AH$30*$BF$19/$BE$19),"")</f>
        <v/>
      </c>
      <c r="AS63" s="49" t="str">
        <f>IF(ISNUMBER($AJ$30),($AJ$30-$AK$30*$BM$19/$BN$19),"")</f>
        <v/>
      </c>
      <c r="AT63" s="48" t="str">
        <f>IF(ISNUMBER($AK$30),($AK$30-$BL$19-($AJ$30-$BK$19)*$BJ$19/$BI$19),"")</f>
        <v/>
      </c>
      <c r="AU63" s="49" t="str">
        <f>IF(ISNUMBER($AL$30),($AL$30+$BS$19+(-$AM$30-$BT$19)*$BQ$19/$BR$19),"")</f>
        <v/>
      </c>
      <c r="AV63" s="48" t="str">
        <f>IF(ISNUMBER($AM$30),(-$AM$30+$BV$19+($AL$30-$BU$19)*$BX$19/$BW$19),"")</f>
        <v/>
      </c>
      <c r="BH63" s="235">
        <v>27</v>
      </c>
      <c r="BI63" s="235">
        <v>22</v>
      </c>
      <c r="BJ63" s="235">
        <v>23</v>
      </c>
      <c r="BK63" s="235">
        <v>26</v>
      </c>
      <c r="BL63" s="235">
        <v>35</v>
      </c>
      <c r="BM63" s="235">
        <v>34</v>
      </c>
      <c r="BN63" s="235">
        <v>33</v>
      </c>
      <c r="BO63" s="235">
        <v>28</v>
      </c>
      <c r="BP63" s="235">
        <v>21</v>
      </c>
      <c r="CA63" s="19"/>
      <c r="CB63" s="19"/>
    </row>
    <row r="64" spans="1:80" ht="12" customHeight="1" x14ac:dyDescent="0.25">
      <c r="W64" s="146"/>
      <c r="AA64" s="5"/>
      <c r="AB64" s="5"/>
      <c r="AC64" s="5"/>
      <c r="AE64" s="53">
        <v>3</v>
      </c>
      <c r="AF64" s="49" t="str">
        <f>IF($AE64=AF$58,(-$AF$30-$AW$19+($AG$30+$AX$19)*$AY$19/$AZ$19)*$AY$28,"")</f>
        <v/>
      </c>
      <c r="AG64" s="48" t="str">
        <f>IF($AE64=AF$58,(-$AG$30-$CB$19-(-$AF$30-$CA$19)*$BZ$19/$BY$19)*$BY$28,"")</f>
        <v/>
      </c>
      <c r="AH64" s="49" t="str">
        <f>IF($AE64=AH$58,(-$AH$30+$AI$30*$BC$19/$BD$19)*$BC$28,"")</f>
        <v/>
      </c>
      <c r="AI64" s="48" t="str">
        <f>IF($AE64=AH$58,($AI$30+$BF$19+(-$AH$30-$BE$19)*$BH$19/$BG$19)*$BG$28,"")</f>
        <v/>
      </c>
      <c r="AJ64" s="49" t="str">
        <f>IF($AE64=AJ$58,($AJ$30-$AK$30*$BM$19/$BN$19)*$BM$28,"")</f>
        <v/>
      </c>
      <c r="AK64" s="48" t="str">
        <f>IF($AE64=AJ$58,($AK$30-$AJ$30*$BL$19/$BK$19)*$BK$28,"")</f>
        <v/>
      </c>
      <c r="AL64" s="49" t="str">
        <f>IF($AE64=AL$58,($AL$30+$BS$19+(-$AM$30-$BT$19)*$BQ$19/$BR$19)*$BQ$28,"")</f>
        <v/>
      </c>
      <c r="AM64" s="48" t="str">
        <f>IF($AE64=AL$58,(-$AM$30+$AL$30*$BV$19/$BU$19)*$BU$28,"")</f>
        <v/>
      </c>
      <c r="AO64" s="49" t="str">
        <f>IF(ISNUMBER($AF$30),(-$AF$30-$AW$19+($AG$30+$AX$19)*$AY$19/$AZ$19),"")</f>
        <v/>
      </c>
      <c r="AP64" s="48" t="str">
        <f>IF(ISNUMBER($AG$30),(-$AG$30-$CB$19-(-$AF$30-$CA$19)*$BZ$19/$BY$19),"")</f>
        <v/>
      </c>
      <c r="AQ64" s="49" t="str">
        <f>IF(ISNUMBER($AH$30),(-$AH$30+$AI$30*$BC$19/$BD$19),"")</f>
        <v/>
      </c>
      <c r="AR64" s="48" t="str">
        <f>IF(ISNUMBER($AI$30),($AI$30+$BF$19+(-$AH$30-$BE$19)*$BH$19/$BG$19),"")</f>
        <v/>
      </c>
      <c r="AS64" s="49" t="str">
        <f>IF(ISNUMBER($AJ$30),($AJ$30-$AK$30*$BM$19/$BN$19),"")</f>
        <v/>
      </c>
      <c r="AT64" s="48" t="str">
        <f>IF(ISNUMBER($AK$30),($AK$30-$AJ$30*$BL$19/$BK$19),"")</f>
        <v/>
      </c>
      <c r="AU64" s="49" t="str">
        <f>IF(ISNUMBER($AL$30),($AL$30+$BS$19+(-$AM$30-$BT$19)*$BQ$19/$BR$19),"")</f>
        <v/>
      </c>
      <c r="AV64" s="48" t="str">
        <f>IF(ISNUMBER($AM$30),(-$AM$30+$AL$30*$BV$19/$BU$19),"")</f>
        <v/>
      </c>
      <c r="BH64" s="235">
        <v>28</v>
      </c>
      <c r="BI64" s="235">
        <v>21</v>
      </c>
      <c r="BJ64" s="235">
        <v>22</v>
      </c>
      <c r="BK64" s="235">
        <v>27</v>
      </c>
      <c r="BL64" s="235">
        <v>34</v>
      </c>
      <c r="BM64" s="235">
        <v>33</v>
      </c>
      <c r="BN64" s="235">
        <v>32</v>
      </c>
      <c r="BO64" s="235">
        <v>29</v>
      </c>
      <c r="BP64" s="235">
        <v>20</v>
      </c>
      <c r="CA64" s="19"/>
      <c r="CB64" s="19"/>
    </row>
    <row r="65" spans="27:80" ht="12" customHeight="1" x14ac:dyDescent="0.25">
      <c r="AA65" s="5"/>
      <c r="AB65" s="5"/>
      <c r="AC65" s="5"/>
      <c r="AE65" s="53">
        <v>4</v>
      </c>
      <c r="AF65" s="83" t="str">
        <f>IF($AE65=AF$58,(-$AF$30+$AG$30*$AW$19/$AX$19)*$AW$28,"")</f>
        <v/>
      </c>
      <c r="AG65" s="84" t="str">
        <f>IF($AE65=AF$58,(-$AG$30-$CB$19-(-$AF$30-$CA$19)*$BZ$19/$BY$19)*$BY$28,"")</f>
        <v/>
      </c>
      <c r="AH65" s="83" t="str">
        <f>IF($AE65=AH$58,(-$AH$30+$BC$19+($AI$30-$BD$19)*$BA$19/$BB$19)*$BA$28,"")</f>
        <v/>
      </c>
      <c r="AI65" s="84" t="str">
        <f>IF($AE65=AH$58,($AI$30+$BF$19+(-$AH$30-$BE$19)*$BH$19/$BG$19)*$BG$28,"")</f>
        <v/>
      </c>
      <c r="AJ65" s="83" t="str">
        <f>IF($AE65=AJ$58,($AJ$30-$BM$19-($AK$30-$BN$19)*$BO$19/$BP$19)*$BO$28,"")</f>
        <v/>
      </c>
      <c r="AK65" s="84" t="str">
        <f>IF($AE65=AJ$58,($AK$30-$AJ$30*$BL$19/$BK$19)*$BK$28,"")</f>
        <v/>
      </c>
      <c r="AL65" s="83" t="str">
        <f>IF($AE65=AL$58,($AL$30-$AM$30*$BS$19/$BT$19)*$BS$28,"")</f>
        <v/>
      </c>
      <c r="AM65" s="84" t="str">
        <f>IF($AE65=AL$58,(-$AM$30+$AL$30*$BV$19/$BU$19)*$BU$28,"")</f>
        <v/>
      </c>
      <c r="AO65" s="83" t="str">
        <f>IF(ISNUMBER($AF$30),(-$AF$30+$AG$30*$AW$19/$AX$19),"")</f>
        <v/>
      </c>
      <c r="AP65" s="84" t="str">
        <f>IF(ISNUMBER($AG$30),(-$AG$30-$CB$19-(-$AF$30-$CA$19)*$BZ$19/$BY$19),"")</f>
        <v/>
      </c>
      <c r="AQ65" s="83" t="str">
        <f>IF(ISNUMBER($AH$30),(-$AH$30+$BC$19+($AI$30-$BD$19)*$BA$19/$BB$19),"")</f>
        <v/>
      </c>
      <c r="AR65" s="84" t="str">
        <f>IF(ISNUMBER($AI$30),($AI$30+$BF$19+(-$AH$30-$BE$19)*$BH$19/$BG$19),"")</f>
        <v/>
      </c>
      <c r="AS65" s="83" t="str">
        <f>IF(ISNUMBER($AJ$30),($AJ$30-$BM$19-($AK$30-$BN$19)*$BO$19/$BP$19),"")</f>
        <v/>
      </c>
      <c r="AT65" s="84" t="str">
        <f>IF(ISNUMBER($AK$30),($AK$30-$AJ$30*$BL$19/$BK$19),"")</f>
        <v/>
      </c>
      <c r="AU65" s="83" t="str">
        <f>IF(ISNUMBER($AL$30),($AL$30-$AM$30*$BS$19/$BT$19),"")</f>
        <v/>
      </c>
      <c r="AV65" s="84" t="str">
        <f>IF(ISNUMBER($AM$30),(-$AM$30+$AL$30*$BV$19/$BU$19),"")</f>
        <v/>
      </c>
      <c r="BH65" s="235">
        <v>29</v>
      </c>
      <c r="BI65" s="235">
        <v>20</v>
      </c>
      <c r="BJ65" s="235">
        <v>21</v>
      </c>
      <c r="BK65" s="235">
        <v>28</v>
      </c>
      <c r="BL65" s="235">
        <v>33</v>
      </c>
      <c r="BM65" s="235">
        <v>32</v>
      </c>
      <c r="BN65" s="235">
        <v>31</v>
      </c>
      <c r="BO65" s="235">
        <v>30</v>
      </c>
      <c r="BP65" s="235">
        <v>19</v>
      </c>
      <c r="CA65" s="19"/>
      <c r="CB65" s="19"/>
    </row>
    <row r="66" spans="27:80" ht="12" customHeight="1" x14ac:dyDescent="0.25">
      <c r="AA66" s="5"/>
      <c r="AB66" s="5"/>
      <c r="AC66" s="5"/>
      <c r="AF66" s="85" t="str">
        <f>IF(ISNUMBER($AF$62),AF$62,IF(ISNUMBER($AF$63),AF$63,IF(ISNUMBER($AF$64),AF$64,IF(ISNUMBER($AF$65),AF$65,""))))</f>
        <v/>
      </c>
      <c r="AG66" s="86" t="str">
        <f>IF(ISNUMBER($AG$62),AG$62,IF(ISNUMBER($AG$63),AG$63,IF(ISNUMBER($AG$64),AG$64,IF(ISNUMBER($AG$65),AG$65,""))))</f>
        <v/>
      </c>
      <c r="AH66" s="85" t="str">
        <f>IF(ISNUMBER($AH$62),AH$62,IF(ISNUMBER($AH$63),AH$63,IF(ISNUMBER($AH$64),AH$64,IF(ISNUMBER($AH$65),AH$65,""))))</f>
        <v/>
      </c>
      <c r="AI66" s="86" t="str">
        <f>IF(ISNUMBER($AI$62),AI$62,IF(ISNUMBER($AI$63),AI$63,IF(ISNUMBER($AI$64),AI$64,IF(ISNUMBER($AI$65),AI$65,""))))</f>
        <v/>
      </c>
      <c r="AJ66" s="85" t="str">
        <f>IF(ISNUMBER($AJ$62),AJ$62,IF(ISNUMBER($AJ$63),AJ$63,IF(ISNUMBER($AJ$64),AJ$64,IF(ISNUMBER($AJ$65),AJ$65,""))))</f>
        <v/>
      </c>
      <c r="AK66" s="86" t="str">
        <f>IF(ISNUMBER($AK$62),AK$62,IF(ISNUMBER($AK$63),AK$63,IF(ISNUMBER($AK$64),AK$64,IF(ISNUMBER($AK$65),AK$65,""))))</f>
        <v/>
      </c>
      <c r="AL66" s="85" t="str">
        <f>IF(ISNUMBER($AL$62),AL$62,IF(ISNUMBER($AL$63),AL$63,IF(ISNUMBER($AL$64),AL$64,IF(ISNUMBER($AL$65),AL$65,""))))</f>
        <v/>
      </c>
      <c r="AM66" s="86" t="str">
        <f>IF(ISNUMBER($AM$62),AM$62,IF(ISNUMBER($AM$63),AM$63,IF(ISNUMBER($AM$64),AM$64,IF(ISNUMBER($AM$65),AM$65,""))))</f>
        <v/>
      </c>
      <c r="AP66" s="44"/>
      <c r="AQ66" s="44"/>
      <c r="AR66" s="44"/>
      <c r="AS66" s="44"/>
      <c r="AT66" s="44"/>
      <c r="AU66" s="44"/>
      <c r="BH66" s="235">
        <v>30</v>
      </c>
      <c r="BI66" s="235">
        <v>19</v>
      </c>
      <c r="BJ66" s="235">
        <v>20</v>
      </c>
      <c r="BK66" s="235">
        <v>29</v>
      </c>
      <c r="BL66" s="235">
        <v>32</v>
      </c>
      <c r="BM66" s="235">
        <v>31</v>
      </c>
      <c r="BN66" s="235">
        <v>36</v>
      </c>
      <c r="BO66" s="235">
        <v>25</v>
      </c>
      <c r="BP66" s="235">
        <v>24</v>
      </c>
      <c r="CA66" s="19"/>
      <c r="CB66" s="19"/>
    </row>
    <row r="67" spans="27:80" ht="12" customHeight="1" x14ac:dyDescent="0.25">
      <c r="AA67" s="5"/>
      <c r="AB67" s="5"/>
      <c r="AC67" s="5"/>
      <c r="AF67" s="87"/>
      <c r="AG67" s="88"/>
      <c r="AH67" s="89"/>
      <c r="AI67" s="89"/>
      <c r="AJ67" s="87"/>
      <c r="AK67" s="88"/>
      <c r="AL67" s="87"/>
      <c r="AM67" s="88"/>
      <c r="AP67" s="44"/>
      <c r="AQ67" s="44"/>
      <c r="AR67" s="44"/>
      <c r="AS67" s="44"/>
      <c r="AT67" s="44"/>
      <c r="AU67" s="44"/>
      <c r="BH67" s="235">
        <v>31</v>
      </c>
      <c r="BI67" s="235">
        <v>30</v>
      </c>
      <c r="BJ67" s="235">
        <v>29</v>
      </c>
      <c r="BK67" s="235">
        <v>32</v>
      </c>
      <c r="BL67" s="235">
        <v>5</v>
      </c>
      <c r="BM67" s="235">
        <v>6</v>
      </c>
      <c r="BN67" s="235">
        <v>1</v>
      </c>
      <c r="BO67" s="235">
        <v>36</v>
      </c>
      <c r="BP67" s="235">
        <v>25</v>
      </c>
      <c r="CA67" s="19"/>
      <c r="CB67" s="19"/>
    </row>
    <row r="68" spans="27:80" ht="12" customHeight="1" x14ac:dyDescent="0.25">
      <c r="AA68" s="5"/>
      <c r="AB68" s="5"/>
      <c r="AC68" s="5"/>
      <c r="AF68" s="939" t="s">
        <v>372</v>
      </c>
      <c r="AG68" s="882"/>
      <c r="AH68" s="943" t="s">
        <v>372</v>
      </c>
      <c r="AI68" s="832"/>
      <c r="AJ68" s="939" t="s">
        <v>372</v>
      </c>
      <c r="AK68" s="882"/>
      <c r="AL68" s="939" t="s">
        <v>372</v>
      </c>
      <c r="AM68" s="882"/>
      <c r="AP68" s="44"/>
      <c r="AQ68" s="44"/>
      <c r="AR68" s="44"/>
      <c r="AS68" s="44"/>
      <c r="AT68" s="44"/>
      <c r="AU68" s="44"/>
      <c r="BH68" s="235">
        <v>32</v>
      </c>
      <c r="BI68" s="235">
        <v>29</v>
      </c>
      <c r="BJ68" s="235">
        <v>28</v>
      </c>
      <c r="BK68" s="235">
        <v>33</v>
      </c>
      <c r="BL68" s="235">
        <v>4</v>
      </c>
      <c r="BM68" s="235">
        <v>5</v>
      </c>
      <c r="BN68" s="235">
        <v>6</v>
      </c>
      <c r="BO68" s="235">
        <v>31</v>
      </c>
      <c r="BP68" s="235">
        <v>30</v>
      </c>
      <c r="CA68" s="19"/>
      <c r="CB68" s="19"/>
    </row>
    <row r="69" spans="27:80" ht="12" customHeight="1" x14ac:dyDescent="0.25">
      <c r="AA69" s="5"/>
      <c r="AB69" s="5"/>
      <c r="AC69" s="5"/>
      <c r="AF69" s="944" t="str">
        <f>IF($AF$36="","",IF(AND((-$AF$36+$AG$36*$AW$19/$AX$19)&gt;0,-$AF$36&lt;$CA$19,(-$AG$36+$AF$36*$CB$19/$CA$19)&gt;0,-$AG$36&lt;$AX$19),1,IF(AND((-$AF$36-$AW$19+($AG$36+$AX$19)*$AY$19/$AZ$19)&gt;0,-$AF$36&lt;$CA$19,-$AG$36&gt;$AX$19,-$AG$36&lt;$AY$22),2,IF(AND(-$AF$36&lt;$BZ$22,-$AF$36&gt;$CA$19,-$AG$36&gt;$AX$19,-$AG$36&lt;$AY$22),3,IF(AND(-$AF$36&lt;$BZ$22,-$AF$36&gt;$CA$19,(-$AG$36-$CB$19-(-$AF$36-$CA$19)*$BZ$19/$BY$19)&gt;0,-$AG$36&lt;$AX$19),4,"")))))</f>
        <v/>
      </c>
      <c r="AG69" s="911"/>
      <c r="AH69" s="944" t="str">
        <f>IF($AH$36="","",IF(AND((-$AH$36+$BC$19+($AI$36-$BD$19)*$BA$19/$BB$19)&gt;0,-$AH$36&lt;$BE$19,$AI$36&gt;$BD$19,$AI$36&lt;$BC$22),1,IF(AND((-$AH$36+$AI$36*$BC$19/$BD$19)&gt;0,-$AH$36&lt;$BE$19,($AI$36-$AH$36*$BF$19/$BE$19)&gt;0,$AI$36&lt;$BD$19),2,IF(AND(-$AH$36&gt;$BE$19,-$AH$36&lt;$BF$22,($AI$36+$BF$19+(-$AH$36-$BE$19)*$BH$19/$BG$19)&gt;0,$AI$36&lt;$BD$19),3,IF(AND(-$AH$36&gt;$BE$19,-$AH$36&lt;$BF$22,$AI$36&gt;$BD$19,$AI$36&lt;$BC$22),4,"")))))</f>
        <v/>
      </c>
      <c r="AI69" s="911"/>
      <c r="AJ69" s="944" t="str">
        <f>IF($AJ$36="","",IF(AND($AJ$36&gt;$BK$19,$AJ$36&lt;$BJ$22,$AK$36&gt;$BN$19,$AK$36&lt;$BO$22),1,IF(AND($AJ$36&gt;$BK$19,$AJ$36&lt;$BJ$22,($AK$36-$BL$19-($AJ$36-$BK$19)*$BJ$19/$BI$19)&gt;0,$AK$36&lt;$BN$19),2,IF(AND(($AJ$36-$AK$36*$BM$19/$BN$19)&gt;0,$AJ$36&lt;$BK$19,($AK$36-$AJ$36*$BL$19/$BK$19)&gt;0,$AK$36&lt;$BN$19),3,IF(AND(($AJ$36-$BM$19-($AK$36-$BN$19)*$BO$19/$BP$19)&gt;0,$AJ$36&lt;$BK$19,$AK$36&gt;$BN$19,$AK$36&lt;$BO$22),4,"")))))</f>
        <v/>
      </c>
      <c r="AK69" s="911"/>
      <c r="AL69" s="944" t="str">
        <f>IF($AL$36="","",IF(AND($AL$36&gt;$BU$19,$AL$36&lt;$BV$22,(-$AM$36+$BV$19+($AL$36-$BU$19)*$BX$19/$BW$19)&gt;0,-$AM$36&lt;$BT$19),1,IF(AND($AL$36&gt;$BU$19,$AL$36&lt;$BV$22,-$AM$36&gt;$BT$19,-$AM$36&lt;$BS$22),2,IF(AND(($AL$36+$BS$19+(-$AM$36-$BT$19)*$BQ$19/$BR$19)&gt;0,$AL$36&lt;$BU$19,-$AM$36&gt;$BT$19,-$AM$36&lt;$BS$22),3,IF(AND(($AL$36-$AM$36*$BS$19/$BT$19)&gt;0,$AL$36&lt;$BU$19,(-$AM$36+$AL$36*$BV$19/$BU$19)&gt;0,-$AM$36&lt;$BT$19),4,"")))))</f>
        <v/>
      </c>
      <c r="AM69" s="911"/>
      <c r="BH69" s="235">
        <v>33</v>
      </c>
      <c r="BI69" s="235">
        <v>28</v>
      </c>
      <c r="BJ69" s="235">
        <v>27</v>
      </c>
      <c r="BK69" s="235">
        <v>34</v>
      </c>
      <c r="BL69" s="235">
        <v>3</v>
      </c>
      <c r="BM69" s="235">
        <v>4</v>
      </c>
      <c r="BN69" s="235">
        <v>5</v>
      </c>
      <c r="BO69" s="235">
        <v>32</v>
      </c>
      <c r="BP69" s="235">
        <v>29</v>
      </c>
      <c r="CA69" s="19"/>
      <c r="CB69" s="19"/>
    </row>
    <row r="70" spans="27:80" ht="12" customHeight="1" x14ac:dyDescent="0.25">
      <c r="AA70" s="5"/>
      <c r="AB70" s="5"/>
      <c r="AC70" s="5"/>
      <c r="AF70" s="87"/>
      <c r="AG70" s="88"/>
      <c r="AH70" s="89"/>
      <c r="AI70" s="89"/>
      <c r="AJ70" s="87"/>
      <c r="AK70" s="88"/>
      <c r="AL70" s="87"/>
      <c r="AM70" s="88"/>
      <c r="BH70" s="235">
        <v>34</v>
      </c>
      <c r="BI70" s="235">
        <v>27</v>
      </c>
      <c r="BJ70" s="235">
        <v>26</v>
      </c>
      <c r="BK70" s="235">
        <v>35</v>
      </c>
      <c r="BL70" s="235">
        <v>2</v>
      </c>
      <c r="BM70" s="235">
        <v>3</v>
      </c>
      <c r="BN70" s="235">
        <v>4</v>
      </c>
      <c r="BO70" s="235">
        <v>33</v>
      </c>
      <c r="BP70" s="235">
        <v>28</v>
      </c>
      <c r="CA70" s="19"/>
      <c r="CB70" s="19"/>
    </row>
    <row r="71" spans="27:80" ht="12" customHeight="1" x14ac:dyDescent="0.25">
      <c r="AA71" s="5"/>
      <c r="AB71" s="5"/>
      <c r="AC71" s="5"/>
      <c r="AF71" s="939" t="s">
        <v>373</v>
      </c>
      <c r="AG71" s="882"/>
      <c r="AH71" s="939" t="s">
        <v>374</v>
      </c>
      <c r="AI71" s="882"/>
      <c r="AJ71" s="939" t="s">
        <v>375</v>
      </c>
      <c r="AK71" s="882"/>
      <c r="AL71" s="939" t="s">
        <v>376</v>
      </c>
      <c r="AM71" s="882"/>
      <c r="BH71" s="235">
        <v>35</v>
      </c>
      <c r="BI71" s="235">
        <v>26</v>
      </c>
      <c r="BJ71" s="235">
        <v>25</v>
      </c>
      <c r="BK71" s="235">
        <v>36</v>
      </c>
      <c r="BL71" s="235">
        <v>1</v>
      </c>
      <c r="BM71" s="235">
        <v>2</v>
      </c>
      <c r="BN71" s="235">
        <v>3</v>
      </c>
      <c r="BO71" s="235">
        <v>34</v>
      </c>
      <c r="BP71" s="235">
        <v>27</v>
      </c>
      <c r="CA71" s="19"/>
      <c r="CB71" s="19"/>
    </row>
    <row r="72" spans="27:80" ht="12" customHeight="1" x14ac:dyDescent="0.25">
      <c r="AA72" s="5"/>
      <c r="AB72" s="5"/>
      <c r="AC72" s="5"/>
      <c r="AE72" s="757" t="s">
        <v>226</v>
      </c>
      <c r="AF72" s="30" t="s">
        <v>181</v>
      </c>
      <c r="AG72" s="30" t="s">
        <v>194</v>
      </c>
      <c r="AH72" s="761" t="s">
        <v>181</v>
      </c>
      <c r="AI72" s="760" t="s">
        <v>201</v>
      </c>
      <c r="AJ72" s="30" t="s">
        <v>186</v>
      </c>
      <c r="AK72" s="30" t="s">
        <v>201</v>
      </c>
      <c r="AL72" s="30" t="s">
        <v>186</v>
      </c>
      <c r="AM72" s="30" t="s">
        <v>194</v>
      </c>
      <c r="AO72" s="19" t="s">
        <v>371</v>
      </c>
      <c r="BH72" s="235">
        <v>36</v>
      </c>
      <c r="BI72" s="235">
        <v>25</v>
      </c>
      <c r="BJ72" s="235">
        <v>30</v>
      </c>
      <c r="BK72" s="235">
        <v>31</v>
      </c>
      <c r="BL72" s="235">
        <v>6</v>
      </c>
      <c r="BM72" s="235">
        <v>1</v>
      </c>
      <c r="BN72" s="235">
        <v>2</v>
      </c>
      <c r="BO72" s="235">
        <v>35</v>
      </c>
      <c r="BP72" s="235">
        <v>26</v>
      </c>
      <c r="CA72" s="19"/>
      <c r="CB72" s="19"/>
    </row>
    <row r="73" spans="27:80" ht="12" customHeight="1" x14ac:dyDescent="0.25">
      <c r="AA73" s="5"/>
      <c r="AB73" s="5"/>
      <c r="AC73" s="5"/>
      <c r="AE73" s="53">
        <v>1</v>
      </c>
      <c r="AF73" s="49" t="str">
        <f>IF($AE73=AF$69,(-$AF$36+$AG$36*$AW$19/$AX$19)*$AW$28,"")</f>
        <v/>
      </c>
      <c r="AG73" s="48" t="str">
        <f>IF($AE73=AF$69,(-$AG$36+$AF$36*$CB$19/$CA$19)*$CA$28,"")</f>
        <v/>
      </c>
      <c r="AH73" s="49" t="str">
        <f>IF($AE73=AH$69,(-$AH$36+$BC$19+($AI$36-$BD$19)*$BA$19/$BB$19)*$BA$28,"")</f>
        <v/>
      </c>
      <c r="AI73" s="48" t="str">
        <f>IF($AE73=AH$69,($AI$36-$AH$36*$BF$19/$BE$19)*$BE$28,"")</f>
        <v/>
      </c>
      <c r="AJ73" s="49" t="str">
        <f>IF($AE73=AJ$69,($AJ$36-$BM$19-($AK$36-$BN$19)*$BO$19/$BP$19)*$BO$28,"")</f>
        <v/>
      </c>
      <c r="AK73" s="48" t="str">
        <f>IF($AE73=AJ$69,($AK$36-$BL$19-($AJ$36-$BK$19)*$BJ$19/$BI$19)*$BI$28,"")</f>
        <v/>
      </c>
      <c r="AL73" s="49" t="str">
        <f>IF($AE73=AL$69,($AL$36-$AM$36*$BS$19/$BT$19)*$BS$28,"")</f>
        <v/>
      </c>
      <c r="AM73" s="48" t="str">
        <f>IF($AE73=AL$69,(-$AM$36+$BV$19+($AL$36-$BU$19)*$BX$19/$BW$19)*$BW$28,"")</f>
        <v/>
      </c>
      <c r="AO73" s="159" t="str">
        <f>IF(ISNUMBER($AF$36),(-$AF$36+$AG$36*$AW$19/$AX$19),"")</f>
        <v/>
      </c>
      <c r="AP73" s="160" t="str">
        <f>IF(ISNUMBER($AG$36),(-$AG$36+$AF$36*$CB$19/$CA$19),"")</f>
        <v/>
      </c>
      <c r="AQ73" s="159" t="str">
        <f>IF(ISNUMBER($AH$36),(-$AH$36+$BC$19+($AI$36-$BD$19)*$BA$19/$BB$19),"")</f>
        <v/>
      </c>
      <c r="AR73" s="160" t="str">
        <f>IF(ISNUMBER($AI$36),($AI$36-$AH$36*$BF$19/$BE$19),"")</f>
        <v/>
      </c>
      <c r="AS73" s="159" t="str">
        <f>IF(ISNUMBER($AJ$36),($AJ$36-$BM$19-($AK$36-$BN$19)*$BO$19/$BP$19),"")</f>
        <v/>
      </c>
      <c r="AT73" s="160" t="str">
        <f>IF(ISNUMBER($AK$36),($AK$36-$BL$19-($AJ$36-$BK$19)*$BJ$19/$BI$19),"")</f>
        <v/>
      </c>
      <c r="AU73" s="159" t="str">
        <f>IF(ISNUMBER($AL$36),($AL$36-$AM$36*$BS$19/$BT$19),"")</f>
        <v/>
      </c>
      <c r="AV73" s="160" t="str">
        <f>IF(ISNUMBER($AM$36),(-$AM$36+$BV$19+($AL$36-$BU$19)*$BX$19/$BW$19),"")</f>
        <v/>
      </c>
      <c r="CA73" s="19"/>
      <c r="CB73" s="19"/>
    </row>
    <row r="74" spans="27:80" ht="12" customHeight="1" x14ac:dyDescent="0.25">
      <c r="AA74" s="5"/>
      <c r="AB74" s="5"/>
      <c r="AC74" s="5"/>
      <c r="AE74" s="53">
        <v>2</v>
      </c>
      <c r="AF74" s="49" t="str">
        <f>IF($AE74=AF$69,(-$AF$36-$AW$19+($AG$36+$AX$19)*$AY$19/$AZ$19)*$AY$28,"")</f>
        <v/>
      </c>
      <c r="AG74" s="48" t="str">
        <f>IF($AE74=AF$69,(-$AG$36+$AF$36*$CB$19/$CA$19)*$CA$28,"")</f>
        <v/>
      </c>
      <c r="AH74" s="49" t="str">
        <f>IF($AE74=AH$69,(-$AH$36+$AI$36*$BC$19/$BD$19)*$BC$28,"")</f>
        <v/>
      </c>
      <c r="AI74" s="48" t="str">
        <f>IF($AE74=AH$69,($AI$36-$AH$36*$BF$19/$BE$19)*$BE$28,"")</f>
        <v/>
      </c>
      <c r="AJ74" s="49" t="str">
        <f>IF($AE74=AJ$69,($AJ$36-$AK$36*$BM$19/$BN$19)*$BM$28,"")</f>
        <v/>
      </c>
      <c r="AK74" s="48" t="str">
        <f>IF($AE74=AJ$69,($AK$36-$BL$19-($AJ$36-$BK$19)*$BJ$19/$BI$19)*$BI$28,"")</f>
        <v/>
      </c>
      <c r="AL74" s="49" t="str">
        <f>IF($AE74=AL$69,($AL$36+$BS$19+(-$AM$36-$BT$19)*$BQ$19/$BR$19)*$BQ$28,"")</f>
        <v/>
      </c>
      <c r="AM74" s="48" t="str">
        <f>IF($AE74=AL$69,(-$AM$36+$BV$19+($AL$36-$BU$19)*$BX$19/$BW$19)*$BW$28,"")</f>
        <v/>
      </c>
      <c r="AO74" s="49" t="str">
        <f>IF(ISNUMBER($AF$36),(-$AF$36-$AW$19+($AG$36+$AX$19)*$AY$19/$AZ$19),"")</f>
        <v/>
      </c>
      <c r="AP74" s="48" t="str">
        <f>IF(ISNUMBER($AG$36),(-$AG$36+$AF$36*$CB$19/$CA$19),"")</f>
        <v/>
      </c>
      <c r="AQ74" s="49" t="str">
        <f>IF(ISNUMBER($AH$36),(-$AH$36+$AI$36*$BC$19/$BD$19),"")</f>
        <v/>
      </c>
      <c r="AR74" s="48" t="str">
        <f>IF(ISNUMBER($AI$36),($AI$36-$AH$36*$BF$19/$BE$19),"")</f>
        <v/>
      </c>
      <c r="AS74" s="49" t="str">
        <f>IF(ISNUMBER($AJ$36),($AJ$36-$AK$36*$BM$19/$BN$19),"")</f>
        <v/>
      </c>
      <c r="AT74" s="48" t="str">
        <f>IF(ISNUMBER($AK$36),($AK$36-$BL$19-($AJ$36-$BK$19)*$BJ$19/$BI$19),"")</f>
        <v/>
      </c>
      <c r="AU74" s="49" t="str">
        <f>IF(ISNUMBER($AL$36),($AL$36+$BS$19+(-$AM$36-$BT$19)*$BQ$19/$BR$19),"")</f>
        <v/>
      </c>
      <c r="AV74" s="48" t="str">
        <f>IF(ISNUMBER($AM$36),(-$AM$36+$BV$19+($AL$36-$BU$19)*$BX$19/$BW$19),"")</f>
        <v/>
      </c>
      <c r="CA74" s="19"/>
      <c r="CB74" s="19"/>
    </row>
    <row r="75" spans="27:80" ht="12" customHeight="1" x14ac:dyDescent="0.25">
      <c r="AA75" s="5"/>
      <c r="AB75" s="5"/>
      <c r="AC75" s="5"/>
      <c r="AE75" s="53">
        <v>3</v>
      </c>
      <c r="AF75" s="49" t="str">
        <f>IF($AE75=AF$69,(-$AF$36-$AW$19+($AG$36+$AX$19)*$AY$19/$AZ$19)*$AY$28,"")</f>
        <v/>
      </c>
      <c r="AG75" s="48" t="str">
        <f>IF($AE75=AF$69,(-$AG$36-$CB$19-(-$AF$36-$CA$19)*$BZ$19/$BY$19)*$BY$28,"")</f>
        <v/>
      </c>
      <c r="AH75" s="49" t="str">
        <f>IF($AE75=AH$69,(-$AH$36+$AI$36*$BC$19/$BD$19)*$BC$28,"")</f>
        <v/>
      </c>
      <c r="AI75" s="48" t="str">
        <f>IF($AE75=AH$69,($AI$36+$BF$19+(-$AH$36-$BE$19)*$BH$19/$BG$19)*$BG$28,"")</f>
        <v/>
      </c>
      <c r="AJ75" s="49" t="str">
        <f>IF($AE75=AJ$69,($AJ$36-$AK$36*$BM$19/$BN$19)*$BM$28,"")</f>
        <v/>
      </c>
      <c r="AK75" s="48" t="str">
        <f>IF($AE75=AJ$69,($AK$36-$AJ$36*$BL$19/$BK$19)*$BK$28,"")</f>
        <v/>
      </c>
      <c r="AL75" s="49" t="str">
        <f>IF($AE75=AL$69,($AL$36+$BS$19+(-$AM$36-$BT$19)*$BQ$19/$BR$19)*$BQ$28,"")</f>
        <v/>
      </c>
      <c r="AM75" s="48" t="str">
        <f>IF($AE75=AL$69,(-$AM$36+$AL$36*$BV$19/$BU$19)*$BU$28,"")</f>
        <v/>
      </c>
      <c r="AO75" s="49" t="str">
        <f>IF(ISNUMBER($AF$36),(-$AF$36-$AW$19+($AG$36+$AX$19)*$AY$19/$AZ$19),"")</f>
        <v/>
      </c>
      <c r="AP75" s="48" t="str">
        <f>IF(ISNUMBER($AG$36),(-$AG$36-$CB$19-(-$AF$36-$CA$19)*$BZ$19/$BY$19),"")</f>
        <v/>
      </c>
      <c r="AQ75" s="49" t="str">
        <f>IF(ISNUMBER($AH$36),(-$AH$36+$AI$36*$BC$19/$BD$19),"")</f>
        <v/>
      </c>
      <c r="AR75" s="48" t="str">
        <f>IF(ISNUMBER($AI$36),($AI$36+$BF$19+(-$AH$36-$BE$19)*$BH$19/$BG$19),"")</f>
        <v/>
      </c>
      <c r="AS75" s="49" t="str">
        <f>IF(ISNUMBER($AJ$36),($AJ$36-$AK$36*$BM$19/$BN$19),"")</f>
        <v/>
      </c>
      <c r="AT75" s="48" t="str">
        <f>IF(ISNUMBER($AK$36),($AK$36-$AJ$36*$BL$19/$BK$19),"")</f>
        <v/>
      </c>
      <c r="AU75" s="49" t="str">
        <f>IF(ISNUMBER($AL$36),($AL$36+$BS$19+(-$AM$36-$BT$19)*$BQ$19/$BR$19),"")</f>
        <v/>
      </c>
      <c r="AV75" s="48" t="str">
        <f>IF(ISNUMBER($AM$36),(-$AM$36+$AL$36*$BV$19/$BU$19),"")</f>
        <v/>
      </c>
      <c r="CA75" s="19"/>
      <c r="CB75" s="19"/>
    </row>
    <row r="76" spans="27:80" ht="12" customHeight="1" x14ac:dyDescent="0.25">
      <c r="AA76" s="5"/>
      <c r="AB76" s="5"/>
      <c r="AC76" s="5"/>
      <c r="AE76" s="53">
        <v>4</v>
      </c>
      <c r="AF76" s="49" t="str">
        <f>IF($AE76=AF$69,(-$AF$36+$AG$36*$AW$19/$AX$19)*$AW$28,"")</f>
        <v/>
      </c>
      <c r="AG76" s="48" t="str">
        <f>IF($AE76=AF$69,(-$AG$36-$CB$19-(-$AF$36-$CA$19)*$BZ$19/$BY$19)*$BY$28,"")</f>
        <v/>
      </c>
      <c r="AH76" s="49" t="str">
        <f>IF($AE76=AH$69,(-$AH$36+$BC$19+($AI$36-$BD$19)*$BA$19/$BB$19)*$BA$28,"")</f>
        <v/>
      </c>
      <c r="AI76" s="48" t="str">
        <f>IF($AE76=AH$69,($AI$36+$BF$19+(-$AH$36-$BE$19)*$BH$19/$BG$19)*$BG$28,"")</f>
        <v/>
      </c>
      <c r="AJ76" s="49" t="str">
        <f>IF($AE76=AJ$69,($AJ$36-$BM$19-($AK$36-$BN$19)*$BO$19/$BP$19)*$BO$28,"")</f>
        <v/>
      </c>
      <c r="AK76" s="48" t="str">
        <f>IF($AE76=AJ$69,($AK$36-$AJ$36*$BL$19/$BK$19)*$BK$28,"")</f>
        <v/>
      </c>
      <c r="AL76" s="49" t="str">
        <f>IF($AE76=AL$69,($AL$36-$AM$36*$BS$19/$BT$19)*$BS$28,"")</f>
        <v/>
      </c>
      <c r="AM76" s="48" t="str">
        <f>IF($AE76=AL$69,(-$AM$36+$AL$36*$BV$19/$BU$19)*$BU$28,"")</f>
        <v/>
      </c>
      <c r="AO76" s="83" t="str">
        <f>IF(ISNUMBER($AF$36),(-$AF$36+$AG$36*$AW$19/$AX$19),"")</f>
        <v/>
      </c>
      <c r="AP76" s="84" t="str">
        <f>IF(ISNUMBER($AG$36),(-$AG$36-$CB$19-(-$AF$36-$CA$19)*$BZ$19/$BY$19),"")</f>
        <v/>
      </c>
      <c r="AQ76" s="83" t="str">
        <f>IF(ISNUMBER($AH$36),(-$AH$36+$BC$19+($AI$36-$BD$19)*$BA$19/$BB$19),"")</f>
        <v/>
      </c>
      <c r="AR76" s="84" t="str">
        <f>IF(ISNUMBER($AI$36),($AI$36+$BF$19+(-$AH$36-$BE$19)*$BH$19/$BG$19),"")</f>
        <v/>
      </c>
      <c r="AS76" s="83" t="str">
        <f>IF(ISNUMBER($AJ$36),($AJ$36-$BM$19-($AK$36-$BN$19)*$BO$19/$BP$19),"")</f>
        <v/>
      </c>
      <c r="AT76" s="84" t="str">
        <f>IF(ISNUMBER($AK$36),($AK$36-$AJ$36*$BL$19/$BK$19),"")</f>
        <v/>
      </c>
      <c r="AU76" s="83" t="str">
        <f>IF(ISNUMBER($AL$36),($AL$36-$AM$36*$BS$19/$BT$19),"")</f>
        <v/>
      </c>
      <c r="AV76" s="84" t="str">
        <f>IF(ISNUMBER($AM$36),(-$AM$36+$AL$36*$BV$19/$BU$19),"")</f>
        <v/>
      </c>
      <c r="CA76" s="19"/>
      <c r="CB76" s="19"/>
    </row>
    <row r="77" spans="27:80" ht="12" customHeight="1" x14ac:dyDescent="0.25">
      <c r="AA77" s="5"/>
      <c r="AB77" s="5"/>
      <c r="AC77" s="5"/>
      <c r="AF77" s="85" t="str">
        <f>IF(ISNUMBER($AF$73),AF$73,IF(ISNUMBER($AF$74),AF$74,IF(ISNUMBER($AF$75),AF$75,IF(ISNUMBER($AF$76),AF$76,""))))</f>
        <v/>
      </c>
      <c r="AG77" s="86" t="str">
        <f>IF(ISNUMBER($AG$73),AG$73,IF(ISNUMBER($AG$74),AG$74,IF(ISNUMBER($AG$75),AG$75,IF(ISNUMBER($AG$76),AG$76,""))))</f>
        <v/>
      </c>
      <c r="AH77" s="85" t="str">
        <f>IF(ISNUMBER($AH$73),AH$73,IF(ISNUMBER($AH$74),AH$74,IF(ISNUMBER($AH$75),AH$75,IF(ISNUMBER($AH$76),AH$76,""))))</f>
        <v/>
      </c>
      <c r="AI77" s="86" t="str">
        <f>IF(ISNUMBER($AI$73),AI$73,IF(ISNUMBER($AI$74),AI$74,IF(ISNUMBER($AI$75),AI$75,IF(ISNUMBER($AI$76),AI$76,""))))</f>
        <v/>
      </c>
      <c r="AJ77" s="85" t="str">
        <f>IF(ISNUMBER($AJ$73),AJ$73,IF(ISNUMBER($AJ$74),AJ$74,IF(ISNUMBER($AJ$75),AJ$75,IF(ISNUMBER($AJ$76),AJ$76,""))))</f>
        <v/>
      </c>
      <c r="AK77" s="86" t="str">
        <f>IF(ISNUMBER($AK$73),AK$73,IF(ISNUMBER($AK$74),AK$74,IF(ISNUMBER($AK$75),AK$75,IF(ISNUMBER($AK$76),AK$76,""))))</f>
        <v/>
      </c>
      <c r="AL77" s="85" t="str">
        <f>IF(ISNUMBER($AL$73),AL$73,IF(ISNUMBER($AL$74),AL$74,IF(ISNUMBER($AL$75),AL$75,IF(ISNUMBER($AL$76),AL$76,""))))</f>
        <v/>
      </c>
      <c r="AM77" s="86" t="str">
        <f>IF(ISNUMBER($AM$73),AM$73,IF(ISNUMBER($AM$74),AM$74,IF(ISNUMBER($AM$75),AM$75,IF(ISNUMBER($AM$76),AM$76,""))))</f>
        <v/>
      </c>
      <c r="CA77" s="19"/>
      <c r="CB77" s="19"/>
    </row>
    <row r="78" spans="27:80" ht="12" customHeight="1" x14ac:dyDescent="0.25">
      <c r="AA78" s="5"/>
      <c r="AB78" s="5"/>
      <c r="AC78" s="5"/>
      <c r="AF78" s="87"/>
      <c r="AG78" s="88"/>
      <c r="AH78" s="89"/>
      <c r="AI78" s="89"/>
      <c r="AJ78" s="87"/>
      <c r="AK78" s="88"/>
      <c r="AL78" s="87"/>
      <c r="AM78" s="88"/>
      <c r="CA78" s="19"/>
      <c r="CB78" s="19"/>
    </row>
    <row r="79" spans="27:80" ht="12" customHeight="1" x14ac:dyDescent="0.25">
      <c r="AA79" s="5"/>
      <c r="AB79" s="5"/>
      <c r="AC79" s="5"/>
      <c r="AF79" s="939" t="s">
        <v>377</v>
      </c>
      <c r="AG79" s="882"/>
      <c r="AH79" s="943" t="s">
        <v>377</v>
      </c>
      <c r="AI79" s="832"/>
      <c r="AJ79" s="939" t="s">
        <v>377</v>
      </c>
      <c r="AK79" s="882"/>
      <c r="AL79" s="939" t="s">
        <v>377</v>
      </c>
      <c r="AM79" s="882"/>
      <c r="CA79" s="19"/>
      <c r="CB79" s="19"/>
    </row>
    <row r="80" spans="27:80" ht="12" customHeight="1" x14ac:dyDescent="0.25">
      <c r="AA80" s="5"/>
      <c r="AB80" s="5"/>
      <c r="AC80" s="5"/>
      <c r="AF80" s="944" t="str">
        <f>IF($AF$42="","",IF(AND((-$AF$42+$AG$42*$AW$19/$AX$19)&gt;0,-$AF$42&lt;$CA$19,(-$AG$42+$AF$42*$CB$19/$CA$19)&gt;0,-$AG$42&lt;$AX$19),1,IF(AND((-$AF$42-$AW$19+($AG$42+$AX$19)*$AY$19/$AZ$19)&gt;0,-$AF$42&lt;$CA$19,-$AG$42&gt;$AX$19,-$AG$42&lt;$AY$22),2,IF(AND(-$AF$42&lt;$BZ$22,-$AF$42&gt;$CA$19,-$AG$42&gt;$AX$19,-$AG$42&lt;$AY$22),3,IF(AND(-$AF$42&lt;$BZ$22,-$AF$42&gt;$CA$19,(-$AG$42-$CB$19-(-$AF$42-$CA$19)*$BZ$19/$BY$19)&gt;0,-$AG$42&lt;$AX$19),4,"")))))</f>
        <v/>
      </c>
      <c r="AG80" s="911"/>
      <c r="AH80" s="944" t="str">
        <f>IF($AH$42="","",IF(AND((-$AH$42+$BC$19+($AI$42-$BD$19)*$BA$19/$BB$19)&gt;0,-$AH$42&lt;$BE$19,$AI$42&gt;$BD$19,$AI$42&lt;$BC$22),1,IF(AND((-$AH$42+$AI$42*$BC$19/$BD$19)&gt;0,-$AH$42&lt;$BE$19,($AI$42-$AH$42*$BF$19/$BE$19)&gt;0,$AI$42&lt;$BD$19),2,IF(AND(-$AH$42&gt;$BE$19,-$AH$42&lt;$BF$22,($AI$42+$BF$19+(-$AH$42-$BE$19)*$BH$19/$BG$19)&gt;0,$AI$42&lt;$BD$19),3,IF(AND(-$AH$42&gt;$BE$19,-$AH$42&lt;$BF$22,$AI$42&gt;$BD$19,$AI$42&lt;$BC$22),4,"")))))</f>
        <v/>
      </c>
      <c r="AI80" s="911"/>
      <c r="AJ80" s="944" t="str">
        <f>IF($AJ$42="","",IF(AND($AJ$42&gt;$BK$19,$AJ$42&lt;$BJ$22,$AK$42&gt;$BN$19,$AK$42&lt;$BO$22),1,IF(AND($AJ$42&gt;$BK$19,$AJ$42&lt;$BJ$22,($AK$42-$BL$19-($AJ$42-$BK$19)*$BJ$19/$BI$19)&gt;0,$AK$42&lt;$BN$19),2,IF(AND(($AJ$42-$AK$42*$BM$19/$BN$19)&gt;0,$AJ$42&lt;$BK$19,($AK$42-$AJ$42*$BL$19/$BK$19)&gt;0,$AK$42&lt;$BN$19),3,IF(AND(($AJ$42-$BM$19-($AK$42-$BN$19)*$BO$19/$BP$19)&gt;0,$AJ$42&lt;$BK$19,$AK$42&gt;$BN$19,$AK$42&lt;$BO$22),4,"")))))</f>
        <v/>
      </c>
      <c r="AK80" s="911"/>
      <c r="AL80" s="944" t="str">
        <f>IF($AL$42="","",IF(AND($AL$42&gt;$BU$19,$AL$42&lt;$BV$22,(-$AM$42+$BV$19+($AL$42-$BU$19)*$BX$19/$BW$19)&gt;0,-$AM$42&lt;$BT$19),1,IF(AND($AL$42&gt;$BU$19,$AL$42&lt;$BV$22,-$AM$42&gt;$BT$19,-$AM$42&lt;$BS$22),2,IF(AND(($AL$42+$BS$19+(-$AM$42-$BT$19)*$BQ$19/$BR$19)&gt;0,$AL$42&lt;$BU$19,-$AM$42&gt;$BT$19,-$AM$42&lt;$BS$22),3,IF(AND(($AL$42-$AM$42*$BS$19/$BT$19)&gt;0,$AL$42&lt;$BU$19,(-$AM$42+$AL$42*$BV$19/$BU$19)&gt;0,-$AM$42&lt;$BT$19),4,"")))))</f>
        <v/>
      </c>
      <c r="AM80" s="911"/>
      <c r="CA80" s="19"/>
      <c r="CB80" s="19"/>
    </row>
    <row r="81" spans="27:80" ht="12" customHeight="1" x14ac:dyDescent="0.25">
      <c r="AA81" s="5"/>
      <c r="AB81" s="5"/>
      <c r="AC81" s="5"/>
      <c r="AF81" s="87"/>
      <c r="AG81" s="88"/>
      <c r="AH81" s="89"/>
      <c r="AI81" s="89"/>
      <c r="AJ81" s="87"/>
      <c r="AK81" s="88"/>
      <c r="AL81" s="87"/>
      <c r="AM81" s="88"/>
      <c r="CA81" s="19"/>
      <c r="CB81" s="19"/>
    </row>
    <row r="82" spans="27:80" ht="12" customHeight="1" x14ac:dyDescent="0.25">
      <c r="AA82" s="5"/>
      <c r="AB82" s="5"/>
      <c r="AC82" s="5"/>
      <c r="AF82" s="939" t="s">
        <v>378</v>
      </c>
      <c r="AG82" s="882"/>
      <c r="AH82" s="939" t="s">
        <v>379</v>
      </c>
      <c r="AI82" s="882"/>
      <c r="AJ82" s="939" t="s">
        <v>375</v>
      </c>
      <c r="AK82" s="882"/>
      <c r="AL82" s="939" t="s">
        <v>380</v>
      </c>
      <c r="AM82" s="882"/>
      <c r="CA82" s="19"/>
      <c r="CB82" s="19"/>
    </row>
    <row r="83" spans="27:80" ht="12" customHeight="1" x14ac:dyDescent="0.25">
      <c r="AA83" s="5"/>
      <c r="AB83" s="5"/>
      <c r="AC83" s="5"/>
      <c r="AE83" s="757" t="s">
        <v>226</v>
      </c>
      <c r="AF83" s="30" t="s">
        <v>181</v>
      </c>
      <c r="AG83" s="30" t="s">
        <v>194</v>
      </c>
      <c r="AH83" s="761" t="s">
        <v>181</v>
      </c>
      <c r="AI83" s="760" t="s">
        <v>201</v>
      </c>
      <c r="AJ83" s="30" t="s">
        <v>186</v>
      </c>
      <c r="AK83" s="30" t="s">
        <v>201</v>
      </c>
      <c r="AL83" s="30" t="s">
        <v>186</v>
      </c>
      <c r="AM83" s="30" t="s">
        <v>194</v>
      </c>
      <c r="AO83" s="19" t="s">
        <v>371</v>
      </c>
      <c r="CA83" s="19"/>
      <c r="CB83" s="19"/>
    </row>
    <row r="84" spans="27:80" ht="12" customHeight="1" x14ac:dyDescent="0.25">
      <c r="AA84" s="5"/>
      <c r="AB84" s="5"/>
      <c r="AC84" s="5"/>
      <c r="AE84" s="53">
        <v>1</v>
      </c>
      <c r="AF84" s="49" t="str">
        <f>IF($AE84=AF$80,(-$AF$42+$AG$42*$AW$19/$AX$19)*$AW$28,"")</f>
        <v/>
      </c>
      <c r="AG84" s="48" t="str">
        <f>IF($AE84=AF$80,(-$AG$42+$AF$42*$CB$19/$CA$19)*$CA$28,"")</f>
        <v/>
      </c>
      <c r="AH84" s="49" t="str">
        <f>IF($AE84=AH$80,(-$AH$42+$BC$19+($AI$42-$BD$19)*$BA$19/$BB$19)*$BA$28,"")</f>
        <v/>
      </c>
      <c r="AI84" s="48" t="str">
        <f>IF($AE84=AH$80,($AI$42-$AH$42*$BF$19/$BE$19)*$BE$28,"")</f>
        <v/>
      </c>
      <c r="AJ84" s="49" t="str">
        <f>IF($AE84=AJ$80,($AJ$42-$BM$19-($AK$42-$BN$19)*$BO$19/$BP$19)*$BO$28,"")</f>
        <v/>
      </c>
      <c r="AK84" s="48" t="str">
        <f>IF($AE84=AJ$80,($AK$42-$BL$19-($AJ$42-$BK$19)*$BJ$19/$BI$19)*$BI$28,"")</f>
        <v/>
      </c>
      <c r="AL84" s="49" t="str">
        <f>IF($AE84=AL$80,($AL$42-$AM$42*$BS$19/$BT$19)*$BS$28,"")</f>
        <v/>
      </c>
      <c r="AM84" s="48" t="str">
        <f>IF($AE84=AL$80,(-$AM$42+$BV$19+($AL$42-$BU$19)*$BX$19/$BW$19)*$BW$28,"")</f>
        <v/>
      </c>
      <c r="AO84" s="159" t="str">
        <f>IF(ISNUMBER($AF$42),(-$AF$42+$AG$42*$AW$19/$AX$19),"")</f>
        <v/>
      </c>
      <c r="AP84" s="160" t="str">
        <f>IF(ISNUMBER($AG$42),(-$AG$42+$AF$42*$CB$19/$CA$19),"")</f>
        <v/>
      </c>
      <c r="AQ84" s="159" t="str">
        <f>IF(ISNUMBER($AH$42),(-$AH$42+$BC$19+($AI$42-$BD$19)*$BA$19/$BB$19),"")</f>
        <v/>
      </c>
      <c r="AR84" s="160" t="str">
        <f>IF(ISNUMBER($AI$42),($AI$42-$AH$42*$BF$19/$BE$19),"")</f>
        <v/>
      </c>
      <c r="AS84" s="159" t="str">
        <f>IF(ISNUMBER($AJ$42),($AJ$42-$BM$19-($AK$42-$BN$19)*$BO$19/$BP$19),"")</f>
        <v/>
      </c>
      <c r="AT84" s="160" t="str">
        <f>IF(ISNUMBER($AK$42),($AK$42-$BL$19-($AJ$42-$BK$19)*$BJ$19/$BI$19),"")</f>
        <v/>
      </c>
      <c r="AU84" s="159" t="str">
        <f>IF(ISNUMBER($AL$42),($AL$42-$AM$42*$BS$19/$BT$19),"")</f>
        <v/>
      </c>
      <c r="AV84" s="160" t="str">
        <f>IF(ISNUMBER($AM$42),(-$AM$42+$BV$19+($AL$42-$BU$19)*$BX$19/$BW$19),"")</f>
        <v/>
      </c>
      <c r="CA84" s="19"/>
      <c r="CB84" s="19"/>
    </row>
    <row r="85" spans="27:80" ht="12" customHeight="1" x14ac:dyDescent="0.25">
      <c r="AA85" s="5"/>
      <c r="AB85" s="5"/>
      <c r="AC85" s="5"/>
      <c r="AE85" s="53">
        <v>2</v>
      </c>
      <c r="AF85" s="49" t="str">
        <f>IF($AE85=AF$80,(-$AF$42-$AW$19+($AG$42+$AX$19)*$AY$19/$AZ$19)*$AY$28,"")</f>
        <v/>
      </c>
      <c r="AG85" s="48" t="str">
        <f>IF($AE85=AF$80,(-$AG$42+$AF$42*$CB$19/$CA$19)*$CA$28,"")</f>
        <v/>
      </c>
      <c r="AH85" s="49" t="str">
        <f>IF($AE85=AH$80,(-$AH$42+$AI$42*$BC$19/$BD$19)*$BC$28,"")</f>
        <v/>
      </c>
      <c r="AI85" s="48" t="str">
        <f>IF($AE85=AH$80,($AI$42-$AH$42*$BF$19/$BE$19)*$BE$28,"")</f>
        <v/>
      </c>
      <c r="AJ85" s="49" t="str">
        <f>IF($AE85=AJ$80,($AJ$42-$AK$42*$BM$19/$BN$19)*$BM$28,"")</f>
        <v/>
      </c>
      <c r="AK85" s="48" t="str">
        <f>IF($AE85=AJ$80,($AK$42-$BL$19-($AJ$42-$BK$19)*$BJ$19/$BI$19)*$BI$28,"")</f>
        <v/>
      </c>
      <c r="AL85" s="49" t="str">
        <f>IF($AE85=AL$80,($AL$42+$BS$19+(-$AM$42-$BT$19)*$BQ$19/$BR$19)*$BQ$28,"")</f>
        <v/>
      </c>
      <c r="AM85" s="48" t="str">
        <f>IF($AE85=AL$80,(-$AM$42+$BV$19+($AL$42-$BU$19)*$BX$19/$BW$19)*$BW$28,"")</f>
        <v/>
      </c>
      <c r="AO85" s="49" t="str">
        <f>IF(ISNUMBER($AF$42),(-$AF$42-$AW$19+($AG$42+$AX$19)*$AY$19/$AZ$19),"")</f>
        <v/>
      </c>
      <c r="AP85" s="48" t="str">
        <f>IF(ISNUMBER($AG$42),(-$AG$42+$AF$42*$CB$19/$CA$19),"")</f>
        <v/>
      </c>
      <c r="AQ85" s="49" t="str">
        <f>IF(ISNUMBER($AH$42),(-$AH$42+$AI$42*$BC$19/$BD$19),"")</f>
        <v/>
      </c>
      <c r="AR85" s="48" t="str">
        <f>IF(ISNUMBER($AI$42),($AI$42-$AH$42*$BF$19/$BE$19),"")</f>
        <v/>
      </c>
      <c r="AS85" s="49" t="str">
        <f>IF(ISNUMBER($AJ$42),($AJ$42-$AK$42*$BM$19/$BN$19),"")</f>
        <v/>
      </c>
      <c r="AT85" s="48" t="str">
        <f>IF(ISNUMBER($AK$42),($AK$42-$BL$19-($AJ$42-$BK$19)*$BJ$19/$BI$19),"")</f>
        <v/>
      </c>
      <c r="AU85" s="49" t="str">
        <f>IF(ISNUMBER($AL$42),($AL$42+$BS$19+(-$AM$42-$BT$19)*$BQ$19/$BR$19),"")</f>
        <v/>
      </c>
      <c r="AV85" s="48" t="str">
        <f>IF(ISNUMBER($AM$42),(-$AM$42+$BV$19+($AL$42-$BU$19)*$BX$19/$BW$19),"")</f>
        <v/>
      </c>
      <c r="CA85" s="19"/>
      <c r="CB85" s="19"/>
    </row>
    <row r="86" spans="27:80" ht="12" customHeight="1" x14ac:dyDescent="0.25">
      <c r="AA86" s="5"/>
      <c r="AB86" s="5"/>
      <c r="AC86" s="5"/>
      <c r="AE86" s="53">
        <v>3</v>
      </c>
      <c r="AF86" s="49" t="str">
        <f>IF($AE86=AF$80,(-$AF$42-$AW$19+($AG$42+$AX$19)*$AY$19/$AZ$19)*$AY$28,"")</f>
        <v/>
      </c>
      <c r="AG86" s="48" t="str">
        <f>IF($AE86=AF$80,(-$AG$42-$CB$19-(-$AF$42-$CA$19)*$BZ$19/$BY$19)*$BY$28,"")</f>
        <v/>
      </c>
      <c r="AH86" s="49" t="str">
        <f>IF($AE86=AH$80,(-$AH$42+$AI$42*$BC$19/$BD$19)*$BC$28,"")</f>
        <v/>
      </c>
      <c r="AI86" s="48" t="str">
        <f>IF($AE86=AH$80,($AI$42+$BF$19+(-$AH$42-$BE$19)*$BH$19/$BG$19)*$BG$28,"")</f>
        <v/>
      </c>
      <c r="AJ86" s="49" t="str">
        <f>IF($AE86=AJ$80,($AJ$42-$AK$42*$BM$19/$BN$19)*$BM$28,"")</f>
        <v/>
      </c>
      <c r="AK86" s="48" t="str">
        <f>IF($AE86=AJ$80,($AK$42-$AJ$42*$BL$19/$BK$19)*$BK$28,"")</f>
        <v/>
      </c>
      <c r="AL86" s="49" t="str">
        <f>IF($AE86=AL$80,($AL$42+$BS$19+(-$AM$42-$BT$19)*$BQ$19/$BR$19)*$BQ$28,"")</f>
        <v/>
      </c>
      <c r="AM86" s="48" t="str">
        <f>IF($AE86=AL$80,(-$AM$42+$AL$42*$BV$19/$BU$19)*$BU$28,"")</f>
        <v/>
      </c>
      <c r="AO86" s="49" t="str">
        <f>IF(ISNUMBER($AF$42),(-$AF$42-$AW$19+($AG$42+$AX$19)*$AY$19/$AZ$19),"")</f>
        <v/>
      </c>
      <c r="AP86" s="48" t="str">
        <f>IF(ISNUMBER($AG$42),(-$AG$42-$CB$19-(-$AF$42-$CA$19)*$BZ$19/$BY$19),"")</f>
        <v/>
      </c>
      <c r="AQ86" s="49" t="str">
        <f>IF(ISNUMBER($AH$42),(-$AH$42+$AI$42*$BC$19/$BD$19),"")</f>
        <v/>
      </c>
      <c r="AR86" s="48" t="str">
        <f>IF(ISNUMBER($AI$42),($AI$42+$BF$19+(-$AH$42-$BE$19)*$BH$19/$BG$19),"")</f>
        <v/>
      </c>
      <c r="AS86" s="49" t="str">
        <f>IF(ISNUMBER($AJ$42),($AJ$42-$AK$42*$BM$19/$BN$19),"")</f>
        <v/>
      </c>
      <c r="AT86" s="48" t="str">
        <f>IF(ISNUMBER($AK$42),($AK$42-$AJ$42*$BL$19/$BK$19),"")</f>
        <v/>
      </c>
      <c r="AU86" s="49" t="str">
        <f>IF(ISNUMBER($AL$42),($AL$42+$BS$19+(-$AM$42-$BT$19)*$BQ$19/$BR$19),"")</f>
        <v/>
      </c>
      <c r="AV86" s="48" t="str">
        <f>IF(ISNUMBER($AM$42),(-$AM$42+$AL$42*$BV$19/$BU$19),"")</f>
        <v/>
      </c>
      <c r="CA86" s="19"/>
      <c r="CB86" s="19"/>
    </row>
    <row r="87" spans="27:80" ht="12" customHeight="1" x14ac:dyDescent="0.25">
      <c r="AA87" s="5"/>
      <c r="AB87" s="5"/>
      <c r="AC87" s="5"/>
      <c r="AE87" s="53">
        <v>4</v>
      </c>
      <c r="AF87" s="83" t="str">
        <f>IF($AE87=AF$80,(-$AF$42+$AG$42*$AW$19/$AX$19)*$AW$28,"")</f>
        <v/>
      </c>
      <c r="AG87" s="84" t="str">
        <f>IF($AE87=AF$80,(-$AG$42-$CB$19-(-$AF$42-$CA$19)*$BZ$19/$BY$19)*$BY$28,"")</f>
        <v/>
      </c>
      <c r="AH87" s="83" t="str">
        <f>IF($AE87=AH$80,(-$AH$42+$BC$19+($AI$42-$BD$19)*$BA$19/$BB$19)*$BA$28,"")</f>
        <v/>
      </c>
      <c r="AI87" s="84" t="str">
        <f>IF($AE87=AH$80,($AI$42+$BF$19+(-$AH$42-$BE$19)*$BH$19/$BG$19)*$BG$28,"")</f>
        <v/>
      </c>
      <c r="AJ87" s="83" t="str">
        <f>IF($AE87=AJ$80,($AJ$42-$BM$19-($AK$42-$BN$19)*$BO$19/$BP$19)*$BO$28,"")</f>
        <v/>
      </c>
      <c r="AK87" s="84" t="str">
        <f>IF($AE87=AJ$80,($AK$42-$AJ$42*$BL$19/$BK$19)*$BK$28,"")</f>
        <v/>
      </c>
      <c r="AL87" s="83" t="str">
        <f>IF($AE87=AL$80,($AL$42-$AM$42*$BS$19/$BT$19)*$BS$28,"")</f>
        <v/>
      </c>
      <c r="AM87" s="84" t="str">
        <f>IF($AE87=AL$80,(-$AM$42+$AL$42*$BV$19/$BU$19)*$BU$28,"")</f>
        <v/>
      </c>
      <c r="AO87" s="83" t="str">
        <f>IF(ISNUMBER($AF$42),(-$AF$42+$AG$42*$AW$19/$AX$19),"")</f>
        <v/>
      </c>
      <c r="AP87" s="84" t="str">
        <f>IF(ISNUMBER($AG$42),(-$AG$42-$CB$19-(-$AF$42-$CA$19)*$BZ$19/$BY$19),"")</f>
        <v/>
      </c>
      <c r="AQ87" s="83" t="str">
        <f>IF(ISNUMBER($AH$42),(-$AH$42+$BC$19+($AI$42-$BD$19)*$BA$19/$BB$19),"")</f>
        <v/>
      </c>
      <c r="AR87" s="84" t="str">
        <f>IF(ISNUMBER($AI$42),($AI$42+$BF$19+(-$AH$42-$BE$19)*$BH$19/$BG$19),"")</f>
        <v/>
      </c>
      <c r="AS87" s="83" t="str">
        <f>IF(ISNUMBER($AJ$42),($AJ$42-$BM$19-($AK$42-$BN$19)*$BO$19/$BP$19),"")</f>
        <v/>
      </c>
      <c r="AT87" s="84" t="str">
        <f>IF(ISNUMBER($AK$42),($AK$42-$AJ$42*$BL$19/$BK$19),"")</f>
        <v/>
      </c>
      <c r="AU87" s="83" t="str">
        <f>IF(ISNUMBER($AL$42),($AL$42-$AM$42*$BS$19/$BT$19),"")</f>
        <v/>
      </c>
      <c r="AV87" s="84" t="str">
        <f>IF(ISNUMBER($AM$42),(-$AM$42+$AL$42*$BV$19/$BU$19),"")</f>
        <v/>
      </c>
      <c r="CA87" s="19"/>
      <c r="CB87" s="19"/>
    </row>
    <row r="88" spans="27:80" ht="12" customHeight="1" x14ac:dyDescent="0.25">
      <c r="AA88" s="5"/>
      <c r="AB88" s="5"/>
      <c r="AC88" s="5"/>
      <c r="AF88" s="85" t="str">
        <f>IF(ISNUMBER($AF$84),AF$84,IF(ISNUMBER($AF$85),AF$85,IF(ISNUMBER($AF$86),AF$86,IF(ISNUMBER($AF$87),AF$87,""))))</f>
        <v/>
      </c>
      <c r="AG88" s="86" t="str">
        <f>IF(ISNUMBER($AG$84),AG$84,IF(ISNUMBER($AG$85),AG$85,IF(ISNUMBER($AG$86),AG$86,IF(ISNUMBER($AG$87),AG$87,""))))</f>
        <v/>
      </c>
      <c r="AH88" s="85" t="str">
        <f>IF(ISNUMBER($AH$84),AH$84,IF(ISNUMBER($AH$85),AH$85,IF(ISNUMBER($AH$86),AH$86,IF(ISNUMBER($AH$87),AH$87,""))))</f>
        <v/>
      </c>
      <c r="AI88" s="86" t="str">
        <f>IF(ISNUMBER($AI$84),AI$84,IF(ISNUMBER($AI$85),AI$85,IF(ISNUMBER($AI$86),AI$86,IF(ISNUMBER($AI$87),AI$87,""))))</f>
        <v/>
      </c>
      <c r="AJ88" s="85" t="str">
        <f>IF(ISNUMBER($AJ$84),AJ$84,IF(ISNUMBER($AJ$85),AJ$85,IF(ISNUMBER($AJ$86),AJ$86,IF(ISNUMBER($AJ$87),AJ$87,""))))</f>
        <v/>
      </c>
      <c r="AK88" s="86" t="str">
        <f>IF(ISNUMBER($AK$84),AK$84,IF(ISNUMBER($AK$85),AK$85,IF(ISNUMBER($AK$86),AK$86,IF(ISNUMBER($AK$87),AK$87,""))))</f>
        <v/>
      </c>
      <c r="AL88" s="85" t="str">
        <f>IF(ISNUMBER($AL$84),AL$84,IF(ISNUMBER($AL$85),AL$85,IF(ISNUMBER($AL$86),AL$86,IF(ISNUMBER($AL$87),AL$87,""))))</f>
        <v/>
      </c>
      <c r="AM88" s="86" t="str">
        <f>IF(ISNUMBER($AM$84),AM$84,IF(ISNUMBER($AM$85),AM$85,IF(ISNUMBER($AM$86),AM$86,IF(ISNUMBER($AM$87),AM$87,""))))</f>
        <v/>
      </c>
      <c r="CA88" s="19"/>
      <c r="CB88" s="19"/>
    </row>
    <row r="89" spans="27:80" ht="12" customHeight="1" x14ac:dyDescent="0.25">
      <c r="AA89" s="5"/>
      <c r="AB89" s="5"/>
      <c r="AC89" s="5"/>
      <c r="CA89" s="19"/>
      <c r="CB89" s="19"/>
    </row>
    <row r="90" spans="27:80" ht="12" customHeight="1" x14ac:dyDescent="0.25">
      <c r="AA90" s="5"/>
      <c r="AB90" s="5"/>
      <c r="AC90" s="5"/>
      <c r="CA90" s="19"/>
      <c r="CB90" s="19"/>
    </row>
    <row r="91" spans="27:80" ht="12" customHeight="1" x14ac:dyDescent="0.25">
      <c r="AA91" s="5"/>
      <c r="AB91" s="5"/>
      <c r="AC91" s="5"/>
      <c r="CA91" s="19"/>
      <c r="CB91" s="19"/>
    </row>
    <row r="92" spans="27:80" ht="12" customHeight="1" x14ac:dyDescent="0.25">
      <c r="AA92" s="5"/>
      <c r="AB92" s="5"/>
      <c r="AC92" s="5"/>
      <c r="CA92" s="19"/>
      <c r="CB92" s="19"/>
    </row>
    <row r="93" spans="27:80" x14ac:dyDescent="0.25">
      <c r="AA93" s="5"/>
      <c r="AB93" s="5"/>
      <c r="AC93" s="5"/>
      <c r="CA93" s="19"/>
      <c r="CB93" s="19"/>
    </row>
    <row r="94" spans="27:80" x14ac:dyDescent="0.25">
      <c r="AA94" s="5"/>
      <c r="AB94" s="5"/>
      <c r="AC94" s="5"/>
      <c r="CA94" s="19"/>
      <c r="CB94" s="19"/>
    </row>
    <row r="95" spans="27:80" x14ac:dyDescent="0.25">
      <c r="AA95" s="5"/>
      <c r="AB95" s="5"/>
      <c r="AC95" s="5"/>
      <c r="CA95" s="19"/>
      <c r="CB95" s="19"/>
    </row>
    <row r="96" spans="27:80" x14ac:dyDescent="0.25">
      <c r="AA96" s="5"/>
      <c r="AB96" s="5"/>
      <c r="AC96" s="5"/>
      <c r="CA96" s="19"/>
      <c r="CB96" s="19"/>
    </row>
    <row r="97" spans="27:80" x14ac:dyDescent="0.25">
      <c r="AA97" s="5"/>
      <c r="AB97" s="5"/>
      <c r="AC97" s="5"/>
      <c r="CA97" s="19"/>
      <c r="CB97" s="19"/>
    </row>
    <row r="98" spans="27:80" x14ac:dyDescent="0.25">
      <c r="AA98" s="5"/>
      <c r="AB98" s="5"/>
      <c r="AC98" s="5"/>
      <c r="CA98" s="19"/>
      <c r="CB98" s="19"/>
    </row>
    <row r="99" spans="27:80" x14ac:dyDescent="0.25">
      <c r="AA99" s="5"/>
      <c r="AB99" s="5"/>
      <c r="AC99" s="5"/>
      <c r="CA99" s="19"/>
      <c r="CB99" s="19"/>
    </row>
    <row r="100" spans="27:80" x14ac:dyDescent="0.25">
      <c r="AA100" s="5"/>
      <c r="AB100" s="5"/>
      <c r="AC100" s="5"/>
      <c r="CA100" s="19"/>
      <c r="CB100" s="19"/>
    </row>
    <row r="101" spans="27:80" x14ac:dyDescent="0.25">
      <c r="AA101" s="5"/>
      <c r="AB101" s="5"/>
      <c r="AC101" s="5"/>
      <c r="CA101" s="19"/>
      <c r="CB101" s="19"/>
    </row>
    <row r="102" spans="27:80" x14ac:dyDescent="0.25">
      <c r="AA102" s="5"/>
      <c r="AB102" s="5"/>
      <c r="AC102" s="5"/>
      <c r="CA102" s="19"/>
      <c r="CB102" s="19"/>
    </row>
    <row r="103" spans="27:80" x14ac:dyDescent="0.25">
      <c r="AA103" s="5"/>
      <c r="AB103" s="5"/>
      <c r="AC103" s="5"/>
      <c r="CA103" s="19"/>
      <c r="CB103" s="19"/>
    </row>
    <row r="104" spans="27:80" x14ac:dyDescent="0.25">
      <c r="AA104" s="5"/>
      <c r="AB104" s="5"/>
      <c r="AC104" s="5"/>
      <c r="CA104" s="19"/>
      <c r="CB104" s="19"/>
    </row>
    <row r="105" spans="27:80" x14ac:dyDescent="0.25">
      <c r="AA105" s="5"/>
      <c r="AB105" s="5"/>
      <c r="AC105" s="5"/>
      <c r="CA105" s="19"/>
      <c r="CB105" s="19"/>
    </row>
    <row r="106" spans="27:80" x14ac:dyDescent="0.25">
      <c r="AA106" s="5"/>
      <c r="AB106" s="5"/>
      <c r="AC106" s="5"/>
      <c r="CA106" s="19"/>
      <c r="CB106" s="19"/>
    </row>
    <row r="107" spans="27:80" x14ac:dyDescent="0.25">
      <c r="AA107" s="5"/>
      <c r="AB107" s="5"/>
      <c r="AC107" s="5"/>
      <c r="CA107" s="19"/>
      <c r="CB107" s="19"/>
    </row>
    <row r="108" spans="27:80" x14ac:dyDescent="0.25">
      <c r="AA108" s="5"/>
      <c r="AB108" s="5"/>
      <c r="AC108" s="5"/>
      <c r="CA108" s="19"/>
      <c r="CB108" s="19"/>
    </row>
    <row r="109" spans="27:80" x14ac:dyDescent="0.25">
      <c r="AA109" s="5"/>
      <c r="AB109" s="5"/>
      <c r="AC109" s="5"/>
      <c r="CA109" s="19"/>
      <c r="CB109" s="19"/>
    </row>
    <row r="110" spans="27:80" x14ac:dyDescent="0.25">
      <c r="AA110" s="5"/>
      <c r="AB110" s="5"/>
      <c r="AC110" s="5"/>
      <c r="CA110" s="19"/>
      <c r="CB110" s="19"/>
    </row>
    <row r="111" spans="27:80" x14ac:dyDescent="0.25">
      <c r="AA111" s="5"/>
      <c r="AB111" s="5"/>
      <c r="AC111" s="5"/>
      <c r="CA111" s="19"/>
      <c r="CB111" s="19"/>
    </row>
    <row r="112" spans="27:80" x14ac:dyDescent="0.25">
      <c r="AA112" s="5"/>
      <c r="AB112" s="5"/>
      <c r="AC112" s="5"/>
      <c r="CA112" s="19"/>
      <c r="CB112" s="19"/>
    </row>
    <row r="113" spans="27:80" x14ac:dyDescent="0.25">
      <c r="AA113" s="5"/>
      <c r="AB113" s="5"/>
      <c r="AC113" s="5"/>
      <c r="CA113" s="19"/>
      <c r="CB113" s="19"/>
    </row>
    <row r="114" spans="27:80" x14ac:dyDescent="0.25">
      <c r="AA114" s="5"/>
      <c r="AB114" s="5"/>
      <c r="AC114" s="5"/>
      <c r="CA114" s="19"/>
      <c r="CB114" s="19"/>
    </row>
    <row r="115" spans="27:80" x14ac:dyDescent="0.25">
      <c r="AA115" s="5"/>
      <c r="AB115" s="5"/>
      <c r="AC115" s="5"/>
      <c r="CA115" s="19"/>
      <c r="CB115" s="19"/>
    </row>
    <row r="116" spans="27:80" x14ac:dyDescent="0.25">
      <c r="AA116" s="5"/>
      <c r="AB116" s="5"/>
      <c r="AC116" s="5"/>
      <c r="CA116" s="19"/>
      <c r="CB116" s="19"/>
    </row>
    <row r="117" spans="27:80" x14ac:dyDescent="0.25">
      <c r="AA117" s="5"/>
      <c r="AB117" s="5"/>
      <c r="AC117" s="5"/>
      <c r="CA117" s="19"/>
      <c r="CB117" s="19"/>
    </row>
    <row r="118" spans="27:80" x14ac:dyDescent="0.25">
      <c r="AA118" s="5"/>
      <c r="AB118" s="5"/>
      <c r="AC118" s="5"/>
      <c r="CA118" s="19"/>
      <c r="CB118" s="19"/>
    </row>
    <row r="119" spans="27:80" x14ac:dyDescent="0.25">
      <c r="AA119" s="5"/>
      <c r="AB119" s="5"/>
      <c r="AC119" s="5"/>
      <c r="CA119" s="19"/>
      <c r="CB119" s="19"/>
    </row>
    <row r="120" spans="27:80" x14ac:dyDescent="0.25">
      <c r="AA120" s="5"/>
      <c r="AB120" s="5"/>
      <c r="AC120" s="5"/>
      <c r="CA120" s="19"/>
      <c r="CB120" s="19"/>
    </row>
    <row r="121" spans="27:80" x14ac:dyDescent="0.25">
      <c r="AA121" s="5"/>
      <c r="AB121" s="5"/>
      <c r="AC121" s="5"/>
      <c r="CA121" s="19"/>
      <c r="CB121" s="19"/>
    </row>
    <row r="122" spans="27:80" x14ac:dyDescent="0.25">
      <c r="AA122" s="5"/>
      <c r="AB122" s="5"/>
      <c r="AC122" s="5"/>
      <c r="CA122" s="19"/>
      <c r="CB122" s="19"/>
    </row>
    <row r="123" spans="27:80" x14ac:dyDescent="0.25">
      <c r="AA123" s="5"/>
      <c r="AB123" s="5"/>
      <c r="AC123" s="5"/>
      <c r="CA123" s="19"/>
      <c r="CB123" s="19"/>
    </row>
    <row r="124" spans="27:80" x14ac:dyDescent="0.25">
      <c r="AA124" s="5"/>
      <c r="AB124" s="5"/>
      <c r="AC124" s="5"/>
      <c r="CA124" s="19"/>
      <c r="CB124" s="19"/>
    </row>
    <row r="125" spans="27:80" x14ac:dyDescent="0.25">
      <c r="AA125" s="5"/>
      <c r="AB125" s="5"/>
      <c r="AC125" s="5"/>
      <c r="CA125" s="19"/>
      <c r="CB125" s="19"/>
    </row>
    <row r="126" spans="27:80" x14ac:dyDescent="0.25">
      <c r="AA126" s="5"/>
      <c r="AB126" s="5"/>
      <c r="AC126" s="5"/>
      <c r="CA126" s="19"/>
      <c r="CB126" s="19"/>
    </row>
    <row r="127" spans="27:80" x14ac:dyDescent="0.25">
      <c r="AA127" s="5"/>
      <c r="AB127" s="5"/>
      <c r="AC127" s="5"/>
      <c r="CA127" s="19"/>
      <c r="CB127" s="19"/>
    </row>
    <row r="128" spans="27:80" x14ac:dyDescent="0.25">
      <c r="AA128" s="5"/>
      <c r="AB128" s="5"/>
      <c r="AC128" s="5"/>
      <c r="CA128" s="19"/>
      <c r="CB128" s="19"/>
    </row>
    <row r="129" spans="27:80" x14ac:dyDescent="0.25">
      <c r="AA129" s="5"/>
      <c r="AB129" s="5"/>
      <c r="AC129" s="5"/>
      <c r="CA129" s="19"/>
      <c r="CB129" s="19"/>
    </row>
    <row r="130" spans="27:80" x14ac:dyDescent="0.25">
      <c r="AA130" s="5"/>
      <c r="AB130" s="5"/>
      <c r="AC130" s="5"/>
      <c r="CA130" s="19"/>
      <c r="CB130" s="19"/>
    </row>
    <row r="131" spans="27:80" x14ac:dyDescent="0.25">
      <c r="AA131" s="5"/>
      <c r="AB131" s="5"/>
      <c r="AC131" s="5"/>
      <c r="CA131" s="19"/>
      <c r="CB131" s="19"/>
    </row>
    <row r="132" spans="27:80" x14ac:dyDescent="0.25">
      <c r="AA132" s="5"/>
      <c r="AB132" s="5"/>
      <c r="AC132" s="5"/>
      <c r="CA132" s="19"/>
      <c r="CB132" s="19"/>
    </row>
    <row r="133" spans="27:80" x14ac:dyDescent="0.25">
      <c r="AA133" s="5"/>
      <c r="AB133" s="5"/>
      <c r="AC133" s="5"/>
      <c r="CA133" s="19"/>
      <c r="CB133" s="19"/>
    </row>
    <row r="134" spans="27:80" x14ac:dyDescent="0.25">
      <c r="AA134" s="5"/>
      <c r="AB134" s="5"/>
      <c r="AC134" s="5"/>
      <c r="CA134" s="19"/>
      <c r="CB134" s="19"/>
    </row>
    <row r="135" spans="27:80" x14ac:dyDescent="0.25">
      <c r="AA135" s="5"/>
      <c r="AB135" s="5"/>
      <c r="AC135" s="5"/>
      <c r="CA135" s="19"/>
      <c r="CB135" s="19"/>
    </row>
    <row r="136" spans="27:80" x14ac:dyDescent="0.25">
      <c r="AA136" s="5"/>
      <c r="AB136" s="5"/>
      <c r="AC136" s="5"/>
      <c r="CA136" s="19"/>
      <c r="CB136" s="19"/>
    </row>
    <row r="137" spans="27:80" x14ac:dyDescent="0.25">
      <c r="AA137" s="5"/>
      <c r="AB137" s="5"/>
      <c r="AC137" s="5"/>
      <c r="CA137" s="19"/>
      <c r="CB137" s="19"/>
    </row>
    <row r="138" spans="27:80" x14ac:dyDescent="0.25">
      <c r="AA138" s="5"/>
      <c r="AB138" s="5"/>
      <c r="AC138" s="5"/>
      <c r="CA138" s="19"/>
      <c r="CB138" s="19"/>
    </row>
    <row r="139" spans="27:80" x14ac:dyDescent="0.25">
      <c r="AA139" s="5"/>
      <c r="AB139" s="5"/>
      <c r="AC139" s="5"/>
      <c r="CA139" s="19"/>
      <c r="CB139" s="19"/>
    </row>
    <row r="140" spans="27:80" x14ac:dyDescent="0.25">
      <c r="AA140" s="5"/>
      <c r="AB140" s="5"/>
      <c r="AC140" s="5"/>
      <c r="CA140" s="19"/>
      <c r="CB140" s="19"/>
    </row>
    <row r="141" spans="27:80" x14ac:dyDescent="0.25">
      <c r="AA141" s="5"/>
      <c r="AB141" s="5"/>
      <c r="AC141" s="5"/>
      <c r="CA141" s="19"/>
      <c r="CB141" s="19"/>
    </row>
    <row r="142" spans="27:80" x14ac:dyDescent="0.25">
      <c r="AA142" s="5"/>
      <c r="AB142" s="5"/>
      <c r="AC142" s="5"/>
      <c r="CA142" s="19"/>
      <c r="CB142" s="19"/>
    </row>
    <row r="143" spans="27:80" x14ac:dyDescent="0.25">
      <c r="AA143" s="5"/>
      <c r="AB143" s="5"/>
      <c r="AC143" s="5"/>
      <c r="CA143" s="19"/>
      <c r="CB143" s="19"/>
    </row>
    <row r="144" spans="27:80" x14ac:dyDescent="0.25">
      <c r="AA144" s="5"/>
      <c r="AB144" s="5"/>
      <c r="AC144" s="5"/>
      <c r="CA144" s="19"/>
      <c r="CB144" s="19"/>
    </row>
    <row r="145" spans="27:80" x14ac:dyDescent="0.25">
      <c r="AA145" s="5"/>
      <c r="AB145" s="5"/>
      <c r="AC145" s="5"/>
      <c r="CA145" s="19"/>
      <c r="CB145" s="19"/>
    </row>
    <row r="146" spans="27:80" x14ac:dyDescent="0.25">
      <c r="AA146" s="5"/>
      <c r="AB146" s="5"/>
      <c r="AC146" s="5"/>
      <c r="CA146" s="19"/>
      <c r="CB146" s="19"/>
    </row>
    <row r="147" spans="27:80" x14ac:dyDescent="0.25">
      <c r="AA147" s="5"/>
      <c r="AB147" s="5"/>
      <c r="AC147" s="5"/>
      <c r="CA147" s="19"/>
      <c r="CB147" s="19"/>
    </row>
    <row r="148" spans="27:80" x14ac:dyDescent="0.25">
      <c r="AA148" s="5"/>
      <c r="AB148" s="5"/>
      <c r="AC148" s="5"/>
      <c r="CA148" s="19"/>
      <c r="CB148" s="19"/>
    </row>
    <row r="149" spans="27:80" x14ac:dyDescent="0.25">
      <c r="AA149" s="5"/>
      <c r="AB149" s="5"/>
      <c r="AC149" s="5"/>
      <c r="CA149" s="19"/>
      <c r="CB149" s="19"/>
    </row>
    <row r="150" spans="27:80" x14ac:dyDescent="0.25">
      <c r="AA150" s="5"/>
      <c r="AB150" s="5"/>
      <c r="AC150" s="5"/>
      <c r="CA150" s="19"/>
      <c r="CB150" s="19"/>
    </row>
    <row r="151" spans="27:80" x14ac:dyDescent="0.25">
      <c r="AA151" s="5"/>
      <c r="AB151" s="5"/>
      <c r="AC151" s="5"/>
      <c r="CA151" s="19"/>
      <c r="CB151" s="19"/>
    </row>
    <row r="152" spans="27:80" x14ac:dyDescent="0.25">
      <c r="AA152" s="5"/>
      <c r="AB152" s="5"/>
      <c r="AC152" s="5"/>
      <c r="CA152" s="19"/>
      <c r="CB152" s="19"/>
    </row>
    <row r="153" spans="27:80" x14ac:dyDescent="0.25">
      <c r="AA153" s="5"/>
      <c r="AB153" s="5"/>
      <c r="AC153" s="5"/>
      <c r="CA153" s="19"/>
      <c r="CB153" s="19"/>
    </row>
    <row r="154" spans="27:80" x14ac:dyDescent="0.25">
      <c r="AA154" s="5"/>
      <c r="AB154" s="5"/>
      <c r="AC154" s="5"/>
      <c r="CA154" s="19"/>
      <c r="CB154" s="19"/>
    </row>
    <row r="155" spans="27:80" x14ac:dyDescent="0.25">
      <c r="CA155" s="19"/>
      <c r="CB155" s="19"/>
    </row>
  </sheetData>
  <sheetProtection sheet="1" objects="1" scenarios="1"/>
  <mergeCells count="125">
    <mergeCell ref="Q26:R26"/>
    <mergeCell ref="AJ69:AK69"/>
    <mergeCell ref="AH48:AI48"/>
    <mergeCell ref="AH46:AI46"/>
    <mergeCell ref="V56:W56"/>
    <mergeCell ref="AF80:AG80"/>
    <mergeCell ref="AH58:AI58"/>
    <mergeCell ref="AL47:AM47"/>
    <mergeCell ref="AF18:AG18"/>
    <mergeCell ref="AP18:AQ18"/>
    <mergeCell ref="BI20:BL20"/>
    <mergeCell ref="AR18:AS18"/>
    <mergeCell ref="BA20:BD20"/>
    <mergeCell ref="BM20:BP20"/>
    <mergeCell ref="AF69:AG69"/>
    <mergeCell ref="BQ17:BR17"/>
    <mergeCell ref="AD17:AU17"/>
    <mergeCell ref="AH45:AI45"/>
    <mergeCell ref="BS17:BT17"/>
    <mergeCell ref="AL79:AM79"/>
    <mergeCell ref="AL48:AM48"/>
    <mergeCell ref="AF71:AG71"/>
    <mergeCell ref="AH47:AI47"/>
    <mergeCell ref="AJ47:AK47"/>
    <mergeCell ref="BM17:BN17"/>
    <mergeCell ref="BO17:BP17"/>
    <mergeCell ref="AW24:BD24"/>
    <mergeCell ref="AH69:AI69"/>
    <mergeCell ref="AL69:AM69"/>
    <mergeCell ref="E5:H5"/>
    <mergeCell ref="AD36:AE36"/>
    <mergeCell ref="AD30:AE30"/>
    <mergeCell ref="AF45:AG45"/>
    <mergeCell ref="AJ68:AK68"/>
    <mergeCell ref="AL68:AM68"/>
    <mergeCell ref="G26:H26"/>
    <mergeCell ref="AJ45:AK45"/>
    <mergeCell ref="B6:C6"/>
    <mergeCell ref="T5:V5"/>
    <mergeCell ref="K6:L6"/>
    <mergeCell ref="AF48:AG48"/>
    <mergeCell ref="B7:C7"/>
    <mergeCell ref="G42:H42"/>
    <mergeCell ref="AD24:AE24"/>
    <mergeCell ref="V23:W23"/>
    <mergeCell ref="Q42:R42"/>
    <mergeCell ref="B56:C56"/>
    <mergeCell ref="AJ48:AK48"/>
    <mergeCell ref="AJ18:AK18"/>
    <mergeCell ref="E6:F6"/>
    <mergeCell ref="AL18:AM18"/>
    <mergeCell ref="AH68:AI68"/>
    <mergeCell ref="B8:C8"/>
    <mergeCell ref="C2:G2"/>
    <mergeCell ref="AF58:AG58"/>
    <mergeCell ref="BE20:BH20"/>
    <mergeCell ref="BU24:CB24"/>
    <mergeCell ref="B9:C9"/>
    <mergeCell ref="BM24:BT24"/>
    <mergeCell ref="BQ20:BT20"/>
    <mergeCell ref="AF60:AG60"/>
    <mergeCell ref="AL58:AM58"/>
    <mergeCell ref="AF47:AG47"/>
    <mergeCell ref="AF46:AG46"/>
    <mergeCell ref="AJ60:AK60"/>
    <mergeCell ref="AL60:AM60"/>
    <mergeCell ref="AJ50:AK50"/>
    <mergeCell ref="AJ46:AK46"/>
    <mergeCell ref="AL46:AM46"/>
    <mergeCell ref="C3:G3"/>
    <mergeCell ref="BI17:BJ17"/>
    <mergeCell ref="BU17:BV17"/>
    <mergeCell ref="AL45:AM45"/>
    <mergeCell ref="BW17:BX17"/>
    <mergeCell ref="B23:C23"/>
    <mergeCell ref="L23:M23"/>
    <mergeCell ref="G6:H6"/>
    <mergeCell ref="A39:B40"/>
    <mergeCell ref="BY17:BZ17"/>
    <mergeCell ref="CA17:CB17"/>
    <mergeCell ref="B10:C10"/>
    <mergeCell ref="AL71:AM71"/>
    <mergeCell ref="AH60:AI60"/>
    <mergeCell ref="AN18:AO18"/>
    <mergeCell ref="AF50:AG50"/>
    <mergeCell ref="AJ79:AK79"/>
    <mergeCell ref="BY20:CB20"/>
    <mergeCell ref="AH71:AI71"/>
    <mergeCell ref="AJ71:AK71"/>
    <mergeCell ref="BE24:BL24"/>
    <mergeCell ref="AH18:AI18"/>
    <mergeCell ref="AJ58:AK58"/>
    <mergeCell ref="AF57:AG57"/>
    <mergeCell ref="BU20:BX20"/>
    <mergeCell ref="AT18:AU18"/>
    <mergeCell ref="L38:M41"/>
    <mergeCell ref="AJ57:AK57"/>
    <mergeCell ref="AF68:AG68"/>
    <mergeCell ref="AL57:AM57"/>
    <mergeCell ref="AH50:AI50"/>
    <mergeCell ref="W39:X40"/>
    <mergeCell ref="Z8:AB9"/>
    <mergeCell ref="L56:M56"/>
    <mergeCell ref="BK17:BL17"/>
    <mergeCell ref="AL82:AM82"/>
    <mergeCell ref="AL50:AM50"/>
    <mergeCell ref="AW20:AZ20"/>
    <mergeCell ref="AH57:AI57"/>
    <mergeCell ref="AD42:AE42"/>
    <mergeCell ref="I5:L5"/>
    <mergeCell ref="I6:J6"/>
    <mergeCell ref="AF82:AG82"/>
    <mergeCell ref="AH82:AI82"/>
    <mergeCell ref="AJ82:AK82"/>
    <mergeCell ref="AH80:AI80"/>
    <mergeCell ref="AW17:AX17"/>
    <mergeCell ref="BG17:BH17"/>
    <mergeCell ref="AL80:AM80"/>
    <mergeCell ref="AY17:AZ17"/>
    <mergeCell ref="BA17:BB17"/>
    <mergeCell ref="AJ80:AK80"/>
    <mergeCell ref="AF79:AG79"/>
    <mergeCell ref="BC17:BD17"/>
    <mergeCell ref="AH79:AI79"/>
    <mergeCell ref="BE17:BF17"/>
  </mergeCells>
  <conditionalFormatting sqref="L38:M41">
    <cfRule type="expression" dxfId="928" priority="2">
      <formula>$CE$20&gt;3</formula>
    </cfRule>
    <cfRule type="expression" dxfId="927" priority="3">
      <formula>$CE$20&lt;0.1</formula>
    </cfRule>
  </conditionalFormatting>
  <conditionalFormatting sqref="Z11:Z14">
    <cfRule type="expression" dxfId="926" priority="1">
      <formula>$AA$10=2</formula>
    </cfRule>
  </conditionalFormatting>
  <conditionalFormatting sqref="AF52:AG52">
    <cfRule type="expression" dxfId="925" priority="223">
      <formula>$AF48=1</formula>
    </cfRule>
  </conditionalFormatting>
  <conditionalFormatting sqref="AF53:AG53">
    <cfRule type="expression" dxfId="924" priority="219">
      <formula>$AF48=2</formula>
    </cfRule>
  </conditionalFormatting>
  <conditionalFormatting sqref="AF54:AG54">
    <cfRule type="expression" dxfId="923" priority="215">
      <formula>$AF48=3</formula>
    </cfRule>
  </conditionalFormatting>
  <conditionalFormatting sqref="AF55:AG55">
    <cfRule type="expression" dxfId="922" priority="211">
      <formula>$AF48=4</formula>
    </cfRule>
  </conditionalFormatting>
  <conditionalFormatting sqref="AF62:AG62">
    <cfRule type="expression" dxfId="921" priority="195">
      <formula>$AF$58=1</formula>
    </cfRule>
  </conditionalFormatting>
  <conditionalFormatting sqref="AF63:AG63">
    <cfRule type="expression" dxfId="920" priority="199">
      <formula>$AF$58=2</formula>
    </cfRule>
  </conditionalFormatting>
  <conditionalFormatting sqref="AF64:AG64">
    <cfRule type="expression" dxfId="919" priority="203">
      <formula>$AF$58=3</formula>
    </cfRule>
  </conditionalFormatting>
  <conditionalFormatting sqref="AF65:AG65">
    <cfRule type="expression" dxfId="918" priority="207">
      <formula>$AF$58=4</formula>
    </cfRule>
  </conditionalFormatting>
  <conditionalFormatting sqref="AF73:AG73">
    <cfRule type="expression" dxfId="917" priority="190">
      <formula>$AF$69=1</formula>
    </cfRule>
  </conditionalFormatting>
  <conditionalFormatting sqref="AF74:AG74">
    <cfRule type="expression" dxfId="916" priority="191">
      <formula>$AF$69=2</formula>
    </cfRule>
  </conditionalFormatting>
  <conditionalFormatting sqref="AF75:AG75">
    <cfRule type="expression" dxfId="915" priority="189">
      <formula>$AF$69=3</formula>
    </cfRule>
  </conditionalFormatting>
  <conditionalFormatting sqref="AF76:AG76">
    <cfRule type="expression" dxfId="914" priority="188">
      <formula>$AF$69=4</formula>
    </cfRule>
  </conditionalFormatting>
  <conditionalFormatting sqref="AF84:AG84">
    <cfRule type="expression" dxfId="913" priority="163">
      <formula>$AF$80=1</formula>
    </cfRule>
  </conditionalFormatting>
  <conditionalFormatting sqref="AF85:AG85">
    <cfRule type="expression" dxfId="912" priority="167">
      <formula>$AF$80=2</formula>
    </cfRule>
  </conditionalFormatting>
  <conditionalFormatting sqref="AF86:AG86">
    <cfRule type="expression" dxfId="911" priority="171">
      <formula>$AF$80=3</formula>
    </cfRule>
  </conditionalFormatting>
  <conditionalFormatting sqref="AF87:AG87">
    <cfRule type="expression" dxfId="910" priority="175">
      <formula>$AF$80=4</formula>
    </cfRule>
  </conditionalFormatting>
  <conditionalFormatting sqref="AF48:AM48">
    <cfRule type="cellIs" dxfId="909" priority="238" operator="between">
      <formula>1</formula>
      <formula>4</formula>
    </cfRule>
  </conditionalFormatting>
  <conditionalFormatting sqref="AF58:AM58">
    <cfRule type="cellIs" dxfId="908" priority="154" operator="between">
      <formula>1</formula>
      <formula>4</formula>
    </cfRule>
  </conditionalFormatting>
  <conditionalFormatting sqref="AF69:AM69">
    <cfRule type="cellIs" dxfId="907" priority="151" operator="between">
      <formula>1</formula>
      <formula>4</formula>
    </cfRule>
  </conditionalFormatting>
  <conditionalFormatting sqref="AF80:AM80">
    <cfRule type="cellIs" dxfId="906" priority="148" operator="between">
      <formula>1</formula>
      <formula>4</formula>
    </cfRule>
  </conditionalFormatting>
  <conditionalFormatting sqref="AH52:AI52">
    <cfRule type="expression" dxfId="905" priority="222">
      <formula>$AH48=1</formula>
    </cfRule>
  </conditionalFormatting>
  <conditionalFormatting sqref="AH53:AI53">
    <cfRule type="expression" dxfId="904" priority="218">
      <formula>$AH48=2</formula>
    </cfRule>
  </conditionalFormatting>
  <conditionalFormatting sqref="AH54:AI54">
    <cfRule type="expression" dxfId="903" priority="214">
      <formula>$AH48=3</formula>
    </cfRule>
  </conditionalFormatting>
  <conditionalFormatting sqref="AH55:AI55">
    <cfRule type="expression" dxfId="902" priority="210">
      <formula>$AH48=4</formula>
    </cfRule>
  </conditionalFormatting>
  <conditionalFormatting sqref="AH62:AI62">
    <cfRule type="expression" dxfId="901" priority="194">
      <formula>$AH$58=1</formula>
    </cfRule>
  </conditionalFormatting>
  <conditionalFormatting sqref="AH63:AI63">
    <cfRule type="expression" dxfId="900" priority="198">
      <formula>$AH$58=2</formula>
    </cfRule>
  </conditionalFormatting>
  <conditionalFormatting sqref="AH64:AI64">
    <cfRule type="expression" dxfId="899" priority="202">
      <formula>$AH$58=3</formula>
    </cfRule>
  </conditionalFormatting>
  <conditionalFormatting sqref="AH65:AI65">
    <cfRule type="expression" dxfId="898" priority="206">
      <formula>$AH$58=4</formula>
    </cfRule>
  </conditionalFormatting>
  <conditionalFormatting sqref="AH73:AI73">
    <cfRule type="expression" dxfId="897" priority="186">
      <formula>$AH$69=1</formula>
    </cfRule>
  </conditionalFormatting>
  <conditionalFormatting sqref="AH74:AI74">
    <cfRule type="expression" dxfId="896" priority="187">
      <formula>$AH$69=2</formula>
    </cfRule>
  </conditionalFormatting>
  <conditionalFormatting sqref="AH75:AI75">
    <cfRule type="expression" dxfId="895" priority="185">
      <formula>$AH$69=3</formula>
    </cfRule>
  </conditionalFormatting>
  <conditionalFormatting sqref="AH76:AI76">
    <cfRule type="expression" dxfId="894" priority="184">
      <formula>$AH$69=4</formula>
    </cfRule>
  </conditionalFormatting>
  <conditionalFormatting sqref="AH84:AI84">
    <cfRule type="expression" dxfId="893" priority="162">
      <formula>$AH$80=1</formula>
    </cfRule>
  </conditionalFormatting>
  <conditionalFormatting sqref="AH85:AI85">
    <cfRule type="expression" dxfId="892" priority="166">
      <formula>$AH$80=2</formula>
    </cfRule>
  </conditionalFormatting>
  <conditionalFormatting sqref="AH86:AI86">
    <cfRule type="expression" dxfId="891" priority="170">
      <formula>$AH$80=3</formula>
    </cfRule>
  </conditionalFormatting>
  <conditionalFormatting sqref="AH87:AI87">
    <cfRule type="expression" dxfId="890" priority="174">
      <formula>$AH$80=4</formula>
    </cfRule>
  </conditionalFormatting>
  <conditionalFormatting sqref="AJ52:AK52">
    <cfRule type="expression" dxfId="889" priority="221">
      <formula>$AJ48=1</formula>
    </cfRule>
  </conditionalFormatting>
  <conditionalFormatting sqref="AJ53:AK53">
    <cfRule type="expression" dxfId="888" priority="217">
      <formula>$AJ48=2</formula>
    </cfRule>
  </conditionalFormatting>
  <conditionalFormatting sqref="AJ54:AK54">
    <cfRule type="expression" dxfId="887" priority="213">
      <formula>$AJ48=3</formula>
    </cfRule>
  </conditionalFormatting>
  <conditionalFormatting sqref="AJ55:AK55">
    <cfRule type="expression" dxfId="886" priority="209">
      <formula>$AJ48=4</formula>
    </cfRule>
  </conditionalFormatting>
  <conditionalFormatting sqref="AJ62:AK62">
    <cfRule type="expression" dxfId="885" priority="193">
      <formula>$AJ$58=1</formula>
    </cfRule>
  </conditionalFormatting>
  <conditionalFormatting sqref="AJ63:AK63">
    <cfRule type="expression" dxfId="884" priority="197">
      <formula>$AJ$58=2</formula>
    </cfRule>
  </conditionalFormatting>
  <conditionalFormatting sqref="AJ64:AK64">
    <cfRule type="expression" dxfId="883" priority="201">
      <formula>$AJ$58=3</formula>
    </cfRule>
  </conditionalFormatting>
  <conditionalFormatting sqref="AJ65:AK65">
    <cfRule type="expression" dxfId="882" priority="205">
      <formula>$AJ$58=4</formula>
    </cfRule>
  </conditionalFormatting>
  <conditionalFormatting sqref="AJ73:AK73">
    <cfRule type="expression" dxfId="881" priority="182">
      <formula>$AJ$69=1</formula>
    </cfRule>
  </conditionalFormatting>
  <conditionalFormatting sqref="AJ74:AK74">
    <cfRule type="expression" dxfId="880" priority="183">
      <formula>$AJ$69=2</formula>
    </cfRule>
  </conditionalFormatting>
  <conditionalFormatting sqref="AJ75:AK75">
    <cfRule type="expression" dxfId="879" priority="181">
      <formula>$AJ$69=3</formula>
    </cfRule>
  </conditionalFormatting>
  <conditionalFormatting sqref="AJ76:AK76">
    <cfRule type="expression" dxfId="878" priority="180">
      <formula>$AJ$69=4</formula>
    </cfRule>
  </conditionalFormatting>
  <conditionalFormatting sqref="AJ84:AK84">
    <cfRule type="expression" dxfId="877" priority="161">
      <formula>$AJ$80=1</formula>
    </cfRule>
  </conditionalFormatting>
  <conditionalFormatting sqref="AJ85:AK85">
    <cfRule type="expression" dxfId="876" priority="165">
      <formula>$AJ$80=2</formula>
    </cfRule>
  </conditionalFormatting>
  <conditionalFormatting sqref="AJ86:AK86">
    <cfRule type="expression" dxfId="875" priority="169">
      <formula>$AJ$80=3</formula>
    </cfRule>
  </conditionalFormatting>
  <conditionalFormatting sqref="AJ87:AK87">
    <cfRule type="expression" dxfId="874" priority="173">
      <formula>$AJ$80=4</formula>
    </cfRule>
  </conditionalFormatting>
  <conditionalFormatting sqref="AL52:AM52">
    <cfRule type="expression" dxfId="873" priority="220">
      <formula>$AL48=1</formula>
    </cfRule>
  </conditionalFormatting>
  <conditionalFormatting sqref="AL53:AM53">
    <cfRule type="expression" dxfId="872" priority="216">
      <formula>$AL48=2</formula>
    </cfRule>
  </conditionalFormatting>
  <conditionalFormatting sqref="AL54:AM54">
    <cfRule type="expression" dxfId="871" priority="212">
      <formula>$AL48=3</formula>
    </cfRule>
  </conditionalFormatting>
  <conditionalFormatting sqref="AL55:AM55">
    <cfRule type="expression" dxfId="870" priority="208">
      <formula>$AL48=4</formula>
    </cfRule>
  </conditionalFormatting>
  <conditionalFormatting sqref="AL62:AM62">
    <cfRule type="expression" dxfId="869" priority="192">
      <formula>$AL$58=1</formula>
    </cfRule>
  </conditionalFormatting>
  <conditionalFormatting sqref="AL63:AM63">
    <cfRule type="expression" dxfId="868" priority="196">
      <formula>$AL$58=2</formula>
    </cfRule>
  </conditionalFormatting>
  <conditionalFormatting sqref="AL64:AM64">
    <cfRule type="expression" dxfId="867" priority="200">
      <formula>$AL$58=3</formula>
    </cfRule>
  </conditionalFormatting>
  <conditionalFormatting sqref="AL65:AM65">
    <cfRule type="expression" dxfId="866" priority="204">
      <formula>$AL$58=4</formula>
    </cfRule>
  </conditionalFormatting>
  <conditionalFormatting sqref="AL73:AM73">
    <cfRule type="expression" dxfId="865" priority="178">
      <formula>$AL$69=1</formula>
    </cfRule>
  </conditionalFormatting>
  <conditionalFormatting sqref="AL74:AM74">
    <cfRule type="expression" dxfId="864" priority="179">
      <formula>$AL$69=2</formula>
    </cfRule>
  </conditionalFormatting>
  <conditionalFormatting sqref="AL75:AM75">
    <cfRule type="expression" dxfId="863" priority="177">
      <formula>$AL$69=3</formula>
    </cfRule>
  </conditionalFormatting>
  <conditionalFormatting sqref="AL76:AM76">
    <cfRule type="expression" dxfId="862" priority="176">
      <formula>$AL$69=4</formula>
    </cfRule>
  </conditionalFormatting>
  <conditionalFormatting sqref="AL84:AM84">
    <cfRule type="expression" dxfId="861" priority="160">
      <formula>$AL$80=1</formula>
    </cfRule>
  </conditionalFormatting>
  <conditionalFormatting sqref="AL85:AM85">
    <cfRule type="expression" dxfId="860" priority="164">
      <formula>$AL$80=2</formula>
    </cfRule>
  </conditionalFormatting>
  <conditionalFormatting sqref="AL86:AM86">
    <cfRule type="expression" dxfId="859" priority="168">
      <formula>$AL$80=3</formula>
    </cfRule>
  </conditionalFormatting>
  <conditionalFormatting sqref="AL87:AM87">
    <cfRule type="expression" dxfId="858" priority="172">
      <formula>$AL$80=4</formula>
    </cfRule>
  </conditionalFormatting>
  <conditionalFormatting sqref="AO62:AP62">
    <cfRule type="expression" dxfId="857" priority="55">
      <formula>$AF$58=1</formula>
    </cfRule>
  </conditionalFormatting>
  <conditionalFormatting sqref="AO63:AP63">
    <cfRule type="expression" dxfId="856" priority="59">
      <formula>$AF$58=2</formula>
    </cfRule>
  </conditionalFormatting>
  <conditionalFormatting sqref="AO64:AP64">
    <cfRule type="expression" dxfId="855" priority="63">
      <formula>$AF$58=3</formula>
    </cfRule>
  </conditionalFormatting>
  <conditionalFormatting sqref="AO65:AP65">
    <cfRule type="expression" dxfId="854" priority="67">
      <formula>$AF$58=4</formula>
    </cfRule>
  </conditionalFormatting>
  <conditionalFormatting sqref="AO73:AP73">
    <cfRule type="expression" dxfId="853" priority="50">
      <formula>$AF$69=1</formula>
    </cfRule>
  </conditionalFormatting>
  <conditionalFormatting sqref="AO74:AP74">
    <cfRule type="expression" dxfId="852" priority="51">
      <formula>$AF$69=2</formula>
    </cfRule>
  </conditionalFormatting>
  <conditionalFormatting sqref="AO75:AP75">
    <cfRule type="expression" dxfId="851" priority="49">
      <formula>$AF$69=3</formula>
    </cfRule>
  </conditionalFormatting>
  <conditionalFormatting sqref="AO76:AP76">
    <cfRule type="expression" dxfId="850" priority="48">
      <formula>$AF$69=4</formula>
    </cfRule>
  </conditionalFormatting>
  <conditionalFormatting sqref="AO84:AP84">
    <cfRule type="expression" dxfId="849" priority="18">
      <formula>$AF$80=1</formula>
    </cfRule>
  </conditionalFormatting>
  <conditionalFormatting sqref="AO85:AP85">
    <cfRule type="expression" dxfId="848" priority="19">
      <formula>$AF$80=2</formula>
    </cfRule>
  </conditionalFormatting>
  <conditionalFormatting sqref="AO86:AP86">
    <cfRule type="expression" dxfId="847" priority="17">
      <formula>$AF$80=3</formula>
    </cfRule>
  </conditionalFormatting>
  <conditionalFormatting sqref="AO87:AP87">
    <cfRule type="expression" dxfId="846" priority="16">
      <formula>$AF$80=4</formula>
    </cfRule>
  </conditionalFormatting>
  <conditionalFormatting sqref="AQ62:AR62">
    <cfRule type="expression" dxfId="845" priority="54">
      <formula>$AH$58=1</formula>
    </cfRule>
  </conditionalFormatting>
  <conditionalFormatting sqref="AQ63:AR63">
    <cfRule type="expression" dxfId="844" priority="58">
      <formula>$AH$58=2</formula>
    </cfRule>
  </conditionalFormatting>
  <conditionalFormatting sqref="AQ64:AR64">
    <cfRule type="expression" dxfId="843" priority="62">
      <formula>$AH$58=3</formula>
    </cfRule>
  </conditionalFormatting>
  <conditionalFormatting sqref="AQ65:AR65">
    <cfRule type="expression" dxfId="842" priority="66">
      <formula>$AH$58=4</formula>
    </cfRule>
  </conditionalFormatting>
  <conditionalFormatting sqref="AQ73:AR73">
    <cfRule type="expression" dxfId="841" priority="46">
      <formula>$AH$69=1</formula>
    </cfRule>
  </conditionalFormatting>
  <conditionalFormatting sqref="AQ74:AR74">
    <cfRule type="expression" dxfId="840" priority="47">
      <formula>$AH$69=2</formula>
    </cfRule>
  </conditionalFormatting>
  <conditionalFormatting sqref="AQ75:AR75">
    <cfRule type="expression" dxfId="839" priority="45">
      <formula>$AH$69=3</formula>
    </cfRule>
  </conditionalFormatting>
  <conditionalFormatting sqref="AQ76:AR76">
    <cfRule type="expression" dxfId="838" priority="44">
      <formula>$AH$69=4</formula>
    </cfRule>
  </conditionalFormatting>
  <conditionalFormatting sqref="AQ84:AR84">
    <cfRule type="expression" dxfId="837" priority="14">
      <formula>$AH$80=1</formula>
    </cfRule>
  </conditionalFormatting>
  <conditionalFormatting sqref="AQ85:AR85">
    <cfRule type="expression" dxfId="836" priority="15">
      <formula>$AH$80=2</formula>
    </cfRule>
  </conditionalFormatting>
  <conditionalFormatting sqref="AQ86:AR86">
    <cfRule type="expression" dxfId="835" priority="13">
      <formula>$AH$80=3</formula>
    </cfRule>
  </conditionalFormatting>
  <conditionalFormatting sqref="AQ87:AR87">
    <cfRule type="expression" dxfId="834" priority="12">
      <formula>$AH$80=4</formula>
    </cfRule>
  </conditionalFormatting>
  <conditionalFormatting sqref="AS62:AT62">
    <cfRule type="expression" dxfId="833" priority="53">
      <formula>$AJ$58=1</formula>
    </cfRule>
  </conditionalFormatting>
  <conditionalFormatting sqref="AS63:AT63">
    <cfRule type="expression" dxfId="832" priority="57">
      <formula>$AJ$58=2</formula>
    </cfRule>
  </conditionalFormatting>
  <conditionalFormatting sqref="AS64:AT64">
    <cfRule type="expression" dxfId="831" priority="61">
      <formula>$AJ$58=3</formula>
    </cfRule>
  </conditionalFormatting>
  <conditionalFormatting sqref="AS65:AT65">
    <cfRule type="expression" dxfId="830" priority="65">
      <formula>$AJ$58=4</formula>
    </cfRule>
  </conditionalFormatting>
  <conditionalFormatting sqref="AS73:AT73">
    <cfRule type="expression" dxfId="829" priority="42">
      <formula>$AJ$69=1</formula>
    </cfRule>
  </conditionalFormatting>
  <conditionalFormatting sqref="AS74:AT74">
    <cfRule type="expression" dxfId="828" priority="43">
      <formula>$AJ$69=2</formula>
    </cfRule>
  </conditionalFormatting>
  <conditionalFormatting sqref="AS75:AT75">
    <cfRule type="expression" dxfId="827" priority="41">
      <formula>$AJ$69=3</formula>
    </cfRule>
  </conditionalFormatting>
  <conditionalFormatting sqref="AS76:AT76">
    <cfRule type="expression" dxfId="826" priority="40">
      <formula>$AJ$69=4</formula>
    </cfRule>
  </conditionalFormatting>
  <conditionalFormatting sqref="AS84:AT84">
    <cfRule type="expression" dxfId="825" priority="10">
      <formula>$AJ$80=1</formula>
    </cfRule>
  </conditionalFormatting>
  <conditionalFormatting sqref="AS85:AT85">
    <cfRule type="expression" dxfId="824" priority="11">
      <formula>$AJ$80=2</formula>
    </cfRule>
  </conditionalFormatting>
  <conditionalFormatting sqref="AS86:AT86">
    <cfRule type="expression" dxfId="823" priority="9">
      <formula>$AJ$80=3</formula>
    </cfRule>
  </conditionalFormatting>
  <conditionalFormatting sqref="AS87:AT87">
    <cfRule type="expression" dxfId="822" priority="8">
      <formula>$AJ$80=4</formula>
    </cfRule>
  </conditionalFormatting>
  <conditionalFormatting sqref="AU62:AV62">
    <cfRule type="expression" dxfId="821" priority="52">
      <formula>$AL$58=1</formula>
    </cfRule>
  </conditionalFormatting>
  <conditionalFormatting sqref="AU63:AV63">
    <cfRule type="expression" dxfId="820" priority="56">
      <formula>$AL$58=2</formula>
    </cfRule>
  </conditionalFormatting>
  <conditionalFormatting sqref="AU64:AV64">
    <cfRule type="expression" dxfId="819" priority="60">
      <formula>$AL$58=3</formula>
    </cfRule>
  </conditionalFormatting>
  <conditionalFormatting sqref="AU65:AV65">
    <cfRule type="expression" dxfId="818" priority="64">
      <formula>$AL$58=4</formula>
    </cfRule>
  </conditionalFormatting>
  <conditionalFormatting sqref="AU73:AV73">
    <cfRule type="expression" dxfId="817" priority="38">
      <formula>$AL$69=1</formula>
    </cfRule>
  </conditionalFormatting>
  <conditionalFormatting sqref="AU74:AV74">
    <cfRule type="expression" dxfId="816" priority="39">
      <formula>$AL$69=2</formula>
    </cfRule>
  </conditionalFormatting>
  <conditionalFormatting sqref="AU75:AV75">
    <cfRule type="expression" dxfId="815" priority="37">
      <formula>$AL$69=3</formula>
    </cfRule>
  </conditionalFormatting>
  <conditionalFormatting sqref="AU76:AV76">
    <cfRule type="expression" dxfId="814" priority="36">
      <formula>$AL$69=4</formula>
    </cfRule>
  </conditionalFormatting>
  <conditionalFormatting sqref="AU84:AV84">
    <cfRule type="expression" dxfId="813" priority="6">
      <formula>$AL$80=1</formula>
    </cfRule>
  </conditionalFormatting>
  <conditionalFormatting sqref="AU85:AV85">
    <cfRule type="expression" dxfId="812" priority="7">
      <formula>$AL$80=2</formula>
    </cfRule>
  </conditionalFormatting>
  <conditionalFormatting sqref="AU86:AV86">
    <cfRule type="expression" dxfId="811" priority="5">
      <formula>$AL$80=3</formula>
    </cfRule>
  </conditionalFormatting>
  <conditionalFormatting sqref="AU87:AV87">
    <cfRule type="expression" dxfId="810" priority="4">
      <formula>$AL$80=4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locked="0" defaultSize="0" autoLine="0" autoPict="0">
                <anchor moveWithCells="1">
                  <from>
                    <xdr:col>4</xdr:col>
                    <xdr:colOff>47625</xdr:colOff>
                    <xdr:row>21</xdr:row>
                    <xdr:rowOff>0</xdr:rowOff>
                  </from>
                  <to>
                    <xdr:col>4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1</xdr:col>
                    <xdr:colOff>66675</xdr:colOff>
                    <xdr:row>28</xdr:row>
                    <xdr:rowOff>9525</xdr:rowOff>
                  </from>
                  <to>
                    <xdr:col>1</xdr:col>
                    <xdr:colOff>485775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Drop Down 3">
              <controlPr defaultSize="0" autoLine="0" autoPict="0">
                <anchor moveWithCells="1">
                  <from>
                    <xdr:col>4</xdr:col>
                    <xdr:colOff>38100</xdr:colOff>
                    <xdr:row>59</xdr:row>
                    <xdr:rowOff>0</xdr:rowOff>
                  </from>
                  <to>
                    <xdr:col>4</xdr:col>
                    <xdr:colOff>457200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Drop Down 4">
              <controlPr defaultSize="0" autoLine="0" autoPict="0">
                <anchor moveWithCells="1">
                  <from>
                    <xdr:col>1</xdr:col>
                    <xdr:colOff>57150</xdr:colOff>
                    <xdr:row>45</xdr:row>
                    <xdr:rowOff>9525</xdr:rowOff>
                  </from>
                  <to>
                    <xdr:col>1</xdr:col>
                    <xdr:colOff>476250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Drop Down 5">
              <controlPr locked="0" defaultSize="0" autoLine="0" autoPict="0">
                <anchor moveWithCells="1">
                  <from>
                    <xdr:col>14</xdr:col>
                    <xdr:colOff>76200</xdr:colOff>
                    <xdr:row>21</xdr:row>
                    <xdr:rowOff>0</xdr:rowOff>
                  </from>
                  <to>
                    <xdr:col>14</xdr:col>
                    <xdr:colOff>495300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Drop Down 6">
              <controlPr defaultSize="0" autoLine="0" autoPict="0">
                <anchor moveWithCells="1">
                  <from>
                    <xdr:col>14</xdr:col>
                    <xdr:colOff>85725</xdr:colOff>
                    <xdr:row>59</xdr:row>
                    <xdr:rowOff>0</xdr:rowOff>
                  </from>
                  <to>
                    <xdr:col>14</xdr:col>
                    <xdr:colOff>504825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Drop Down 7">
              <controlPr defaultSize="0" autoLine="0" autoPict="0">
                <anchor moveWithCells="1">
                  <from>
                    <xdr:col>22</xdr:col>
                    <xdr:colOff>85725</xdr:colOff>
                    <xdr:row>28</xdr:row>
                    <xdr:rowOff>9525</xdr:rowOff>
                  </from>
                  <to>
                    <xdr:col>22</xdr:col>
                    <xdr:colOff>504825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Drop Down 8">
              <controlPr defaultSize="0" autoLine="0" autoPict="0">
                <anchor moveWithCells="1">
                  <from>
                    <xdr:col>22</xdr:col>
                    <xdr:colOff>95250</xdr:colOff>
                    <xdr:row>45</xdr:row>
                    <xdr:rowOff>0</xdr:rowOff>
                  </from>
                  <to>
                    <xdr:col>22</xdr:col>
                    <xdr:colOff>514350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Drop Down 9">
              <controlPr locked="0" defaultSize="0" autoLine="0" autoPict="0">
                <anchor moveWithCells="1">
                  <from>
                    <xdr:col>10</xdr:col>
                    <xdr:colOff>47625</xdr:colOff>
                    <xdr:row>21</xdr:row>
                    <xdr:rowOff>9525</xdr:rowOff>
                  </from>
                  <to>
                    <xdr:col>10</xdr:col>
                    <xdr:colOff>466725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Drop Down 10">
              <controlPr locked="0" defaultSize="0" autoLine="0" autoPict="0">
                <anchor moveWithCells="1">
                  <from>
                    <xdr:col>20</xdr:col>
                    <xdr:colOff>47625</xdr:colOff>
                    <xdr:row>21</xdr:row>
                    <xdr:rowOff>0</xdr:rowOff>
                  </from>
                  <to>
                    <xdr:col>20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Drop Down 11">
              <controlPr defaultSize="0" autoLine="0" autoPict="0">
                <anchor moveWithCells="1">
                  <from>
                    <xdr:col>10</xdr:col>
                    <xdr:colOff>57150</xdr:colOff>
                    <xdr:row>59</xdr:row>
                    <xdr:rowOff>0</xdr:rowOff>
                  </from>
                  <to>
                    <xdr:col>10</xdr:col>
                    <xdr:colOff>476250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Drop Down 12">
              <controlPr defaultSize="0" autoLine="0" autoPict="0">
                <anchor moveWithCells="1">
                  <from>
                    <xdr:col>20</xdr:col>
                    <xdr:colOff>47625</xdr:colOff>
                    <xdr:row>59</xdr:row>
                    <xdr:rowOff>9525</xdr:rowOff>
                  </from>
                  <to>
                    <xdr:col>20</xdr:col>
                    <xdr:colOff>466725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Drop Down 13">
              <controlPr defaultSize="0" autoLine="0" autoPict="0">
                <anchor moveWithCells="1">
                  <from>
                    <xdr:col>1</xdr:col>
                    <xdr:colOff>76200</xdr:colOff>
                    <xdr:row>36</xdr:row>
                    <xdr:rowOff>0</xdr:rowOff>
                  </from>
                  <to>
                    <xdr:col>1</xdr:col>
                    <xdr:colOff>495300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Drop Down 14">
              <controlPr defaultSize="0" autoLine="0" autoPict="0">
                <anchor moveWithCells="1">
                  <from>
                    <xdr:col>22</xdr:col>
                    <xdr:colOff>95250</xdr:colOff>
                    <xdr:row>36</xdr:row>
                    <xdr:rowOff>9525</xdr:rowOff>
                  </from>
                  <to>
                    <xdr:col>22</xdr:col>
                    <xdr:colOff>514350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Drop Down 15">
              <controlPr defaultSize="0" autoLine="0" autoPict="0">
                <anchor moveWithCells="1">
                  <from>
                    <xdr:col>1</xdr:col>
                    <xdr:colOff>76200</xdr:colOff>
                    <xdr:row>53</xdr:row>
                    <xdr:rowOff>0</xdr:rowOff>
                  </from>
                  <to>
                    <xdr:col>1</xdr:col>
                    <xdr:colOff>495300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Drop Down 16">
              <controlPr defaultSize="0" autoLine="0" autoPict="0">
                <anchor moveWithCells="1">
                  <from>
                    <xdr:col>22</xdr:col>
                    <xdr:colOff>85725</xdr:colOff>
                    <xdr:row>53</xdr:row>
                    <xdr:rowOff>9525</xdr:rowOff>
                  </from>
                  <to>
                    <xdr:col>22</xdr:col>
                    <xdr:colOff>504825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9" name="Drop Down 17">
              <controlPr locked="0" defaultSize="0" autoLine="0" autoPict="0">
                <anchor moveWithCells="1">
                  <from>
                    <xdr:col>26</xdr:col>
                    <xdr:colOff>114300</xdr:colOff>
                    <xdr:row>9</xdr:row>
                    <xdr:rowOff>19050</xdr:rowOff>
                  </from>
                  <to>
                    <xdr:col>26</xdr:col>
                    <xdr:colOff>533400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" name="Drop Down 18">
              <controlPr defaultSize="0" autoLine="0" autoPict="0">
                <anchor moveWithCells="1">
                  <from>
                    <xdr:col>25</xdr:col>
                    <xdr:colOff>114300</xdr:colOff>
                    <xdr:row>14</xdr:row>
                    <xdr:rowOff>28575</xdr:rowOff>
                  </from>
                  <to>
                    <xdr:col>25</xdr:col>
                    <xdr:colOff>533400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CE155"/>
  <sheetViews>
    <sheetView zoomScaleNormal="100" workbookViewId="0">
      <selection activeCell="C2" sqref="C2:G2"/>
    </sheetView>
  </sheetViews>
  <sheetFormatPr defaultRowHeight="15" x14ac:dyDescent="0.25"/>
  <cols>
    <col min="1" max="1" width="8.28515625" customWidth="1"/>
    <col min="2" max="2" width="8.5703125" customWidth="1"/>
    <col min="3" max="3" width="6.42578125" customWidth="1"/>
    <col min="4" max="4" width="8.5703125" customWidth="1"/>
    <col min="5" max="6" width="7.7109375" customWidth="1"/>
    <col min="7" max="7" width="9.7109375" customWidth="1"/>
    <col min="8" max="14" width="7.7109375" customWidth="1"/>
    <col min="15" max="15" width="8.5703125" customWidth="1"/>
    <col min="16" max="16" width="6.140625" customWidth="1"/>
    <col min="17" max="17" width="9.7109375" customWidth="1"/>
    <col min="18" max="18" width="7.7109375" customWidth="1"/>
    <col min="19" max="19" width="8.5703125" customWidth="1"/>
    <col min="20" max="20" width="6.7109375" customWidth="1"/>
    <col min="21" max="21" width="7.7109375" customWidth="1"/>
    <col min="22" max="22" width="4.7109375" customWidth="1"/>
    <col min="23" max="23" width="8.5703125" customWidth="1"/>
    <col min="24" max="24" width="6.7109375" customWidth="1"/>
    <col min="25" max="25" width="3.5703125" style="5" customWidth="1"/>
    <col min="26" max="26" width="9.7109375" style="5" customWidth="1"/>
    <col min="27" max="29" width="9.140625" style="19" customWidth="1"/>
    <col min="30" max="47" width="7.7109375" style="19" customWidth="1"/>
    <col min="48" max="48" width="12.85546875" style="19" customWidth="1"/>
    <col min="49" max="49" width="9.28515625" style="19" customWidth="1"/>
    <col min="50" max="78" width="9.140625" style="19" customWidth="1"/>
  </cols>
  <sheetData>
    <row r="1" spans="1:82" ht="8.25" customHeight="1" x14ac:dyDescent="0.25"/>
    <row r="2" spans="1:82" x14ac:dyDescent="0.25">
      <c r="B2" s="26" t="s">
        <v>0</v>
      </c>
      <c r="C2" s="966">
        <f>'SHL Section'!$C$2:$G$2</f>
        <v>0</v>
      </c>
      <c r="D2" s="832"/>
      <c r="E2" s="832"/>
      <c r="F2" s="832"/>
      <c r="G2" s="832"/>
      <c r="AA2" s="5"/>
      <c r="AB2" s="5"/>
      <c r="AC2" s="5"/>
      <c r="CA2" s="19"/>
      <c r="CB2" s="19"/>
    </row>
    <row r="3" spans="1:82" x14ac:dyDescent="0.25">
      <c r="B3" s="26" t="s">
        <v>5</v>
      </c>
      <c r="C3" s="968">
        <f>'SHL Section'!$C$3:$G$3</f>
        <v>0</v>
      </c>
      <c r="D3" s="832"/>
      <c r="E3" s="832"/>
      <c r="F3" s="832"/>
      <c r="G3" s="832"/>
      <c r="CA3" s="19"/>
      <c r="CB3" s="19"/>
    </row>
    <row r="4" spans="1:82" ht="7.5" customHeight="1" thickBot="1" x14ac:dyDescent="0.3">
      <c r="S4" s="5"/>
      <c r="T4" s="19"/>
      <c r="U4" s="19"/>
      <c r="V4" s="19"/>
      <c r="CA4" s="19"/>
      <c r="CB4" s="19"/>
    </row>
    <row r="5" spans="1:82" ht="26.25" customHeight="1" x14ac:dyDescent="0.25">
      <c r="B5" s="57"/>
      <c r="C5" s="58"/>
      <c r="D5" s="59" t="s">
        <v>218</v>
      </c>
      <c r="E5" s="931" t="s">
        <v>219</v>
      </c>
      <c r="F5" s="847"/>
      <c r="G5" s="847"/>
      <c r="H5" s="851"/>
      <c r="I5" s="931" t="s">
        <v>220</v>
      </c>
      <c r="J5" s="847"/>
      <c r="K5" s="847"/>
      <c r="L5" s="851"/>
      <c r="M5" s="35"/>
      <c r="N5" s="35"/>
      <c r="O5" s="35"/>
      <c r="P5" s="35"/>
      <c r="Q5" s="35"/>
      <c r="R5" s="35"/>
      <c r="S5" s="60"/>
      <c r="T5" s="969" t="s">
        <v>381</v>
      </c>
      <c r="U5" s="847"/>
      <c r="V5" s="848"/>
      <c r="CA5" s="19"/>
      <c r="CB5" s="19"/>
    </row>
    <row r="6" spans="1:82" ht="15" customHeight="1" x14ac:dyDescent="0.25">
      <c r="B6" s="950"/>
      <c r="C6" s="951"/>
      <c r="D6" s="56" t="s">
        <v>152</v>
      </c>
      <c r="E6" s="933" t="s">
        <v>113</v>
      </c>
      <c r="F6" s="859"/>
      <c r="G6" s="910" t="s">
        <v>114</v>
      </c>
      <c r="H6" s="911"/>
      <c r="I6" s="933" t="s">
        <v>6</v>
      </c>
      <c r="J6" s="859"/>
      <c r="K6" s="910" t="s">
        <v>7</v>
      </c>
      <c r="L6" s="911"/>
      <c r="M6" s="740" t="s">
        <v>226</v>
      </c>
      <c r="N6" s="740" t="s">
        <v>72</v>
      </c>
      <c r="O6" s="740" t="s">
        <v>73</v>
      </c>
      <c r="P6" s="740" t="s">
        <v>227</v>
      </c>
      <c r="Q6" s="740" t="s">
        <v>74</v>
      </c>
      <c r="R6" s="740" t="s">
        <v>228</v>
      </c>
      <c r="S6" s="740" t="s">
        <v>229</v>
      </c>
      <c r="T6" s="56" t="s">
        <v>8</v>
      </c>
      <c r="U6" s="740" t="s">
        <v>9</v>
      </c>
      <c r="V6" s="61" t="s">
        <v>230</v>
      </c>
      <c r="CA6" s="19"/>
      <c r="CB6" s="19"/>
    </row>
    <row r="7" spans="1:82" x14ac:dyDescent="0.25">
      <c r="B7" s="952" t="s">
        <v>234</v>
      </c>
      <c r="C7" s="953"/>
      <c r="D7" s="70">
        <v>0</v>
      </c>
      <c r="E7" s="70"/>
      <c r="F7" s="62"/>
      <c r="G7" s="71"/>
      <c r="H7" s="62"/>
      <c r="I7" s="70">
        <f>'SHL Section'!$I$7</f>
        <v>0</v>
      </c>
      <c r="J7" s="62" t="str">
        <f>IF('SHL Section'!$J$7=1,"FNL","FSL")</f>
        <v>FSL</v>
      </c>
      <c r="K7" s="71">
        <f>'SHL Section'!$K$7</f>
        <v>0</v>
      </c>
      <c r="L7" s="74" t="str">
        <f>IF('SHL Section'!$L$7=1,"FEL","FWL")</f>
        <v>FWL</v>
      </c>
      <c r="M7" s="97" t="str">
        <f>'SHL Section'!$M$7</f>
        <v/>
      </c>
      <c r="N7" s="97">
        <f>'SHL Section'!$N$7</f>
        <v>0</v>
      </c>
      <c r="O7" s="62">
        <f>'SHL Section'!$O$7</f>
        <v>0</v>
      </c>
      <c r="P7" s="62" t="str">
        <f>IF('SHL Section'!$P$7=1,"N","S")</f>
        <v>S</v>
      </c>
      <c r="Q7" s="62">
        <f>'SHL Section'!$Q$7</f>
        <v>0</v>
      </c>
      <c r="R7" s="62" t="str">
        <f>IF('SHL Section'!$R$7=1,"E","W")</f>
        <v>W</v>
      </c>
      <c r="S7" s="62" t="str">
        <f>IF('SHL Section'!$S$7=1,"Salt Lake","Uintah")</f>
        <v>Uintah</v>
      </c>
      <c r="T7" s="100" t="str">
        <f>'SHL Section'!$T$7</f>
        <v/>
      </c>
      <c r="U7" s="101" t="str">
        <f>'SHL Section'!$U$7</f>
        <v/>
      </c>
      <c r="V7" s="102">
        <f>'SHL Section'!$V$7</f>
        <v>12</v>
      </c>
      <c r="AE7" s="5"/>
      <c r="CA7" s="19"/>
      <c r="CB7" s="19"/>
    </row>
    <row r="8" spans="1:82" ht="15" customHeight="1" x14ac:dyDescent="0.25">
      <c r="B8" s="946" t="str">
        <f>'SHL Section'!B8</f>
        <v>Prod. Interval Top</v>
      </c>
      <c r="C8" s="947"/>
      <c r="D8" s="72">
        <f>'SHL Section'!$D$8</f>
        <v>0</v>
      </c>
      <c r="E8" s="72">
        <f>ABS('SHL Section'!$AJ$8)</f>
        <v>0</v>
      </c>
      <c r="F8" s="63" t="str">
        <f>IF('SHL Section'!$AK$8=1,"N","S")</f>
        <v>S</v>
      </c>
      <c r="G8" s="64">
        <f>ABS('SHL Section'!$AL$8)</f>
        <v>0</v>
      </c>
      <c r="H8" s="63" t="str">
        <f>IF('SHL Section'!$AM$8=1,"E","W")</f>
        <v>W</v>
      </c>
      <c r="I8" s="72" t="str">
        <f>IF(ISNUMBER($AF$66),$AF$66,IF(ISNUMBER($AH$66),$AH$66,IF(ISNUMBER($AJ$66),$AJ$66,IF(ISNUMBER($AL$66),$AL$66,""))))</f>
        <v/>
      </c>
      <c r="J8" s="63" t="str">
        <f>IF(ISNUMBER($AF$66),$AF$61,IF(ISNUMBER($AH$66),$AH$61,IF(ISNUMBER($AJ$66),$AJ$61,IF(ISNUMBER($AL$66),$AL$61,""))))</f>
        <v/>
      </c>
      <c r="K8" s="64" t="str">
        <f>IF(ISNUMBER($AG$66),$AG$66,IF(ISNUMBER($AI$66),$AI$66,IF(ISNUMBER($AK$66),$AK$66,IF(ISNUMBER($AM$66),$AM$66,""))))</f>
        <v/>
      </c>
      <c r="L8" s="75" t="str">
        <f>IF(ISNUMBER($AG$66),$AG$61,IF(ISNUMBER($AI$66),$AI$61,IF(ISNUMBER($AK$66),$AK$61,IF(ISNUMBER($AM$66),$AM$61,""))))</f>
        <v/>
      </c>
      <c r="M8" s="63" t="str">
        <f>IF(OR(ISNUMBER($AF$58),ISNUMBER($AH$58),ISNUMBER($AJ$58),ISNUMBER($AL$58)),VLOOKUP(MAX($AF$58:$AM$58),$AW$56:$BA$59,1+IF(ISNUMBER($AF$58),$AF$46,IF(ISNUMBER($AH$58),$AH$46,IF(ISNUMBER($AJ$58),$AJ$46,IF(ISNUMBER($AL$58),$AL$46,"")))),FALSE),"")</f>
        <v/>
      </c>
      <c r="N8" s="63" t="e">
        <f>'SHL Section'!$N$8</f>
        <v>#VALUE!</v>
      </c>
      <c r="O8" s="63">
        <f>'SHL Section'!$O$8</f>
        <v>0</v>
      </c>
      <c r="P8" s="63" t="str">
        <f>'SHL Section'!$P$8</f>
        <v>S</v>
      </c>
      <c r="Q8" s="63">
        <f>'SHL Section'!$Q$8</f>
        <v>0</v>
      </c>
      <c r="R8" s="63" t="str">
        <f>'SHL Section'!$R$8</f>
        <v>W</v>
      </c>
      <c r="S8" s="63" t="str">
        <f>IF('SHL Section'!$S$8=1,"Salt Lake","Uintah")</f>
        <v>Uintah</v>
      </c>
      <c r="T8" s="77" t="e">
        <f>IF($H8=1,$T$7+$G8/3.28084,$T$7-$G8/3.28084)</f>
        <v>#VALUE!</v>
      </c>
      <c r="U8" s="64" t="e">
        <f>IF($F8=1,$U$7+$E8/3.28084,$U$7-$E8/3.28084)</f>
        <v>#VALUE!</v>
      </c>
      <c r="V8" s="65">
        <f>$V$7</f>
        <v>12</v>
      </c>
      <c r="Z8" s="962" t="e">
        <f>CONCATENATE("Is the ",IF($AB$11=1,"NE",IF($AB$11=2,"NW",IF($AB$11=3,"SW","SE")))," of Section ",'BHL Section 1'!$L$38," same as the ",IF($AB$10=1,"NE",IF($AB$10=2,"NW",IF($AB$10=3,"SW","SE")))," of Section ",$L$38,"?")</f>
        <v>#VALUE!</v>
      </c>
      <c r="AA8" s="963"/>
      <c r="AB8" s="964"/>
      <c r="CA8" s="19"/>
      <c r="CB8" s="19"/>
    </row>
    <row r="9" spans="1:82" x14ac:dyDescent="0.25">
      <c r="B9" s="946" t="str">
        <f>'SHL Section'!B9</f>
        <v>Prod. Interval Bot.</v>
      </c>
      <c r="C9" s="947"/>
      <c r="D9" s="72">
        <f>'SHL Section'!$D$9</f>
        <v>0</v>
      </c>
      <c r="E9" s="72">
        <f>ABS('SHL Section'!$AJ$9)</f>
        <v>0</v>
      </c>
      <c r="F9" s="63" t="str">
        <f>IF('SHL Section'!$AK$9=1,"N","S")</f>
        <v>S</v>
      </c>
      <c r="G9" s="64">
        <f>ABS('SHL Section'!$AL$9)</f>
        <v>0</v>
      </c>
      <c r="H9" s="63" t="str">
        <f>IF('SHL Section'!$AM$9=1,"E","W")</f>
        <v>W</v>
      </c>
      <c r="I9" s="72" t="str">
        <f>IF(ISNUMBER($AF$77),$AF$77,IF(ISNUMBER($AH$77),$AH$77,IF(ISNUMBER($AJ$77),$AJ$77,IF(ISNUMBER($AL$77),$AL$77,""))))</f>
        <v/>
      </c>
      <c r="J9" s="63" t="str">
        <f>IF(ISNUMBER($AF$77),$AF$72,IF(ISNUMBER($AH$77),$AH$72,IF(ISNUMBER($AJ$77),$AJ$72,IF(ISNUMBER($AL$77),$AL$72,""))))</f>
        <v/>
      </c>
      <c r="K9" s="64" t="str">
        <f>IF(ISNUMBER($AG$77),$AG$77,IF(ISNUMBER($AI$77),$AI$77,IF(ISNUMBER($AK$77),$AK$77,IF(ISNUMBER($AM$77),$AM$77,""))))</f>
        <v/>
      </c>
      <c r="L9" s="75" t="str">
        <f>IF(ISNUMBER($AG$77),$AG$72,IF(ISNUMBER($AI$77),$AI$72,IF(ISNUMBER($AK$77),$AK$72,IF(ISNUMBER($AM$77),$AM$72,""))))</f>
        <v/>
      </c>
      <c r="M9" s="63" t="str">
        <f>IF(OR(ISNUMBER($AF$69),ISNUMBER($AH$69),ISNUMBER($AJ$69),ISNUMBER($AL$69)),VLOOKUP(MAX($AF$69:$AM$69),$AW$56:$BA$59,1+IF(ISNUMBER($AF$69),$AF$46,IF(ISNUMBER($AH$69),$AH$46,IF(ISNUMBER($AJ$69),$AJ$46,IF(ISNUMBER($AL$69),$AL$46,"")))),FALSE),"")</f>
        <v/>
      </c>
      <c r="N9" s="63" t="e">
        <f>'SHL Section'!$N$9</f>
        <v>#VALUE!</v>
      </c>
      <c r="O9" s="63">
        <f>'SHL Section'!$O$9</f>
        <v>0</v>
      </c>
      <c r="P9" s="63" t="str">
        <f>'SHL Section'!$P$9</f>
        <v>S</v>
      </c>
      <c r="Q9" s="63">
        <f>'SHL Section'!$Q$9</f>
        <v>0</v>
      </c>
      <c r="R9" s="63" t="str">
        <f>'SHL Section'!$R$9</f>
        <v>W</v>
      </c>
      <c r="S9" s="63" t="str">
        <f>IF('SHL Section'!$S$9=1,"Salt Lake","Uintah")</f>
        <v>Uintah</v>
      </c>
      <c r="T9" s="77" t="e">
        <f>IF($H9=1,$T$7+$G9/3.28084,$T$7-$G9/3.28084)</f>
        <v>#VALUE!</v>
      </c>
      <c r="U9" s="64" t="e">
        <f>IF($F9=1,$U$7+$E9/3.28084,$U$7-$E9/3.28084)</f>
        <v>#VALUE!</v>
      </c>
      <c r="V9" s="65">
        <f>$V$7</f>
        <v>12</v>
      </c>
      <c r="Z9" s="965"/>
      <c r="AA9" s="891"/>
      <c r="AB9" s="951"/>
      <c r="CA9" s="19"/>
      <c r="CB9" s="19"/>
    </row>
    <row r="10" spans="1:82" ht="15.75" customHeight="1" thickBot="1" x14ac:dyDescent="0.3">
      <c r="B10" s="940" t="s">
        <v>241</v>
      </c>
      <c r="C10" s="941"/>
      <c r="D10" s="73">
        <f>'SHL Section'!$D$10</f>
        <v>0</v>
      </c>
      <c r="E10" s="73">
        <f>ABS('SHL Section'!$AJ$10)</f>
        <v>0</v>
      </c>
      <c r="F10" s="66" t="str">
        <f>IF('SHL Section'!$AK$10=1,"N","S")</f>
        <v>S</v>
      </c>
      <c r="G10" s="67">
        <f>ABS('SHL Section'!$AL$10)</f>
        <v>0</v>
      </c>
      <c r="H10" s="66" t="str">
        <f>IF('SHL Section'!$AM$10=1,"E","W")</f>
        <v>W</v>
      </c>
      <c r="I10" s="73" t="str">
        <f>IF(ISNUMBER($AF$88),$AF$88,IF(ISNUMBER($AH$88),$AH$88,IF(ISNUMBER($AJ$88),$AJ$88,IF(ISNUMBER($AL$88),$AL$88,""))))</f>
        <v/>
      </c>
      <c r="J10" s="66" t="str">
        <f>IF(ISNUMBER($AF$88),$AF$83,IF(ISNUMBER($AH$88),$AH$83,IF(ISNUMBER($AJ$88),$AJ$83,IF(ISNUMBER($AL$88),$AL$83,""))))</f>
        <v/>
      </c>
      <c r="K10" s="67" t="str">
        <f>IF(ISNUMBER($AG$88),$AG$88,IF(ISNUMBER($AI$88),$AI$88,IF(ISNUMBER($AK$88),$AK$88,IF(ISNUMBER($AM$88),$AM$88,""))))</f>
        <v/>
      </c>
      <c r="L10" s="76" t="str">
        <f>IF(ISNUMBER($AG$88),$AG$83,IF(ISNUMBER($AI$88),$AI$83,IF(ISNUMBER($AK$88),$AK$83,IF(ISNUMBER($AM$88),$AM$83,""))))</f>
        <v/>
      </c>
      <c r="M10" s="66" t="str">
        <f>IF(OR(ISNUMBER($AF$80),ISNUMBER($AH$80),ISNUMBER($AJ$80),ISNUMBER($AL$80)),VLOOKUP(MAX($AF$80:$AM$80),$AW$56:$BA$59,1+IF(ISNUMBER($AF$80),$AF$46,IF(ISNUMBER($AH$80),$AH$46,IF(ISNUMBER($AJ$80),$AJ$46,IF(ISNUMBER($AL$80),$AL$46,"")))),FALSE),"")</f>
        <v/>
      </c>
      <c r="N10" s="66" t="e">
        <f>'SHL Section'!$N$10</f>
        <v>#VALUE!</v>
      </c>
      <c r="O10" s="66">
        <f>'SHL Section'!$O$10</f>
        <v>0</v>
      </c>
      <c r="P10" s="66" t="str">
        <f>'SHL Section'!$P$10</f>
        <v>S</v>
      </c>
      <c r="Q10" s="66">
        <f>'SHL Section'!$Q$10</f>
        <v>0</v>
      </c>
      <c r="R10" s="66" t="str">
        <f>'SHL Section'!$R$10</f>
        <v>W</v>
      </c>
      <c r="S10" s="66" t="str">
        <f>IF('SHL Section'!$S$10=1,"Salt Lake","Uintah")</f>
        <v>Uintah</v>
      </c>
      <c r="T10" s="78" t="e">
        <f>IF($H10=1,$T$7+$G10/3.28084,$T$7-$G10/3.28084)</f>
        <v>#VALUE!</v>
      </c>
      <c r="U10" s="67" t="e">
        <f>IF($F10=1,$U$7+$E10/3.28084,$U$7-$E10/3.28084)</f>
        <v>#VALUE!</v>
      </c>
      <c r="V10" s="68">
        <f>$V$7</f>
        <v>12</v>
      </c>
      <c r="Z10" s="582"/>
      <c r="AA10" s="583">
        <v>1</v>
      </c>
      <c r="AB10" s="36">
        <f>IF(AND(ISNUMBER($AF$20),ISNUMBER($AG$20)),1,IF(AND(ISNUMBER($AH$21),ISNUMBER($AI$21)),2,IF(AND(ISNUMBER($AJ$22),ISNUMBER($AK$22)),3,4)))</f>
        <v>4</v>
      </c>
      <c r="AE10" s="820"/>
      <c r="CA10" s="19"/>
      <c r="CB10" s="19"/>
    </row>
    <row r="11" spans="1:82" x14ac:dyDescent="0.25">
      <c r="G11" s="51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Z11" s="589"/>
      <c r="AA11" s="25" t="str">
        <f>IF($AA$10=2,"dist.","")</f>
        <v/>
      </c>
      <c r="AB11" s="36" t="str">
        <f>IF(AND($AB$10=1,IF(SUM('BHL Section 1'!$BG$41:$BG$44)&gt;0,MAX('BHL Section 1'!$BG$41:$BG$44),MAX('BHL Section 1'!$BG$45:$BG$48))=6),4,IF(AND($AB$10=1,IF(SUM('BHL Section 1'!$BG$41:$BG$44)&gt;0,MAX('BHL Section 1'!$BG$41:$BG$44),MAX('BHL Section 1'!$BG$45:$BG$48))=7),3,IF(AND($AB$10=1,IF(SUM('BHL Section 1'!$BG$41:$BG$44)&gt;0,MAX('BHL Section 1'!$BG$41:$BG$44),MAX('BHL Section 1'!$BG$45:$BG$48))=8),2,IF(AND($AB$10=2,IF(SUM('BHL Section 1'!$BG$41:$BG$44)&gt;0,MAX('BHL Section 1'!$BG$41:$BG$44),MAX('BHL Section 1'!$BG$45:$BG$48))=6),3,IF(AND($AB$10=2,IF(SUM('BHL Section 1'!$BG$41:$BG$44)&gt;0,MAX('BHL Section 1'!$BG$41:$BG$44),MAX('BHL Section 1'!$BG$45:$BG$48))=5),4,IF(AND($AB$10=2,IF(SUM('BHL Section 1'!$BG$41:$BG$44)&gt;0,MAX('BHL Section 1'!$BG$41:$BG$44),MAX('BHL Section 1'!$BG$45:$BG$48))=4),1,IF(AND($AB$10=3,IF(SUM('BHL Section 1'!$BG$41:$BG$44)&gt;0,MAX('BHL Section 1'!$BG$41:$BG$44),MAX('BHL Section 1'!$BG$45:$BG$48))=4),4,IF(AND($AB$10=3,IF(SUM('BHL Section 1'!$BG$41:$BG$44)&gt;0,MAX('BHL Section 1'!$BG$41:$BG$44),MAX('BHL Section 1'!$BG$45:$BG$48))=3),3,IF(AND($AB$10=3,IF(SUM('BHL Section 1'!$BG$41:$BG$44)&gt;0,MAX('BHL Section 1'!$BG$41:$BG$44),MAX('BHL Section 1'!$BG$45:$BG$48))=2),2,IF(AND($AB$10=4,IF(SUM('BHL Section 1'!$BG$41:$BG$44)&gt;0,MAX('BHL Section 1'!$BG$41:$BG$44),MAX('BHL Section 1'!$BG$45:$BG$48))=2),1,IF(AND($AB$10=4,IF(SUM('BHL Section 1'!$BG$41:$BG$44)&gt;0,MAX('BHL Section 1'!$BG$41:$BG$44),MAX('BHL Section 1'!$BG$45:$BG$48))=9),2,IF(AND($AB$10=4,IF(SUM('BHL Section 1'!$BG$41:$BG$44)&gt;0,MAX('BHL Section 1'!$BG$41:$BG$44),MAX('BHL Section 1'!$BG$45:$BG$48))=4),3,"??"))))))))))))</f>
        <v>??</v>
      </c>
      <c r="AE11" s="38"/>
      <c r="AH11" s="5"/>
      <c r="AI11" s="5"/>
      <c r="AJ11" s="5"/>
      <c r="AK11" s="5"/>
      <c r="AL11" s="5"/>
      <c r="AM11" s="5"/>
      <c r="CA11" s="19"/>
      <c r="CB11" s="19"/>
      <c r="CC11" s="19"/>
      <c r="CD11" s="19"/>
    </row>
    <row r="12" spans="1:82" x14ac:dyDescent="0.25">
      <c r="L12" s="54"/>
      <c r="M12" s="54"/>
      <c r="N12" s="54"/>
      <c r="O12" s="54"/>
      <c r="P12" s="54"/>
      <c r="Q12" s="54"/>
      <c r="R12" s="54"/>
      <c r="S12" s="54"/>
      <c r="T12" s="54"/>
      <c r="U12" s="54"/>
      <c r="Z12" s="584"/>
      <c r="AA12" s="25" t="str">
        <f>IF($AA$10=2,"deg.","")</f>
        <v/>
      </c>
      <c r="AB12" s="174"/>
      <c r="AC12" s="54"/>
      <c r="AD12" s="54"/>
      <c r="AE12" s="38"/>
      <c r="AH12" s="5"/>
      <c r="AI12" s="5"/>
      <c r="AJ12" s="5"/>
      <c r="AK12" s="5"/>
      <c r="AL12" s="5"/>
      <c r="AM12" s="5"/>
      <c r="AN12" s="54"/>
      <c r="CA12" s="19"/>
      <c r="CB12" s="19"/>
    </row>
    <row r="13" spans="1:82" x14ac:dyDescent="0.25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84"/>
      <c r="AA13" s="25" t="str">
        <f>IF($AA$10=2,"min.","")</f>
        <v/>
      </c>
      <c r="AB13" s="236" t="s">
        <v>382</v>
      </c>
      <c r="AC13" s="54"/>
      <c r="AD13" s="54"/>
      <c r="AE13" s="5"/>
      <c r="AF13" s="5"/>
      <c r="AG13" s="5"/>
      <c r="AH13" s="5"/>
      <c r="AI13" s="5"/>
      <c r="AJ13" s="5"/>
      <c r="AK13" s="5"/>
      <c r="AL13" s="5"/>
      <c r="AM13" s="5"/>
      <c r="AN13" s="54"/>
      <c r="CA13" s="19"/>
      <c r="CB13" s="19"/>
    </row>
    <row r="14" spans="1:82" s="1" customFormat="1" x14ac:dyDescent="0.25">
      <c r="B14" s="69" t="s">
        <v>302</v>
      </c>
      <c r="C14" s="55"/>
      <c r="D14" s="55"/>
      <c r="E14" s="55"/>
      <c r="F14" s="55"/>
      <c r="G14" s="55"/>
      <c r="H14" s="55"/>
      <c r="I14" s="55"/>
      <c r="J14" s="55"/>
      <c r="K14" s="55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84"/>
      <c r="AA14" s="25" t="str">
        <f>IF($AA$10=2,"sec.","")</f>
        <v/>
      </c>
      <c r="AB14" s="619">
        <f>IF($AA$10=2,IF(OR($Z$15=2,$Z$15=4),ROUND($Z$11*COS(RADIANS($Z$16)),4),-ROUND($Z$11*COS(RADIANS($Z$16)),4)),0)</f>
        <v>0</v>
      </c>
      <c r="AC14" s="5"/>
      <c r="AD14" s="19"/>
      <c r="AE14" s="5"/>
      <c r="AF14" s="5"/>
      <c r="AG14" s="5"/>
      <c r="AH14" s="5"/>
      <c r="AI14" s="5"/>
      <c r="AJ14" s="5"/>
      <c r="AK14" s="5"/>
      <c r="AL14" s="5"/>
      <c r="AM14" s="5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</row>
    <row r="15" spans="1:82" s="1" customFormat="1" x14ac:dyDescent="0.25">
      <c r="B15" s="92" t="s">
        <v>303</v>
      </c>
      <c r="C15" s="93"/>
      <c r="D15" s="93"/>
      <c r="E15" s="93"/>
      <c r="F15" s="93"/>
      <c r="G15" s="93"/>
      <c r="H15" s="93"/>
      <c r="I15" s="93"/>
      <c r="J15" s="93"/>
      <c r="K15" s="93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84">
        <v>2</v>
      </c>
      <c r="AA15" s="25" t="str">
        <f>IF($AA$10=2,"dir.","")</f>
        <v/>
      </c>
      <c r="AB15" s="587" t="s">
        <v>383</v>
      </c>
      <c r="AC15" s="5"/>
      <c r="AD15" s="18"/>
      <c r="AE15" s="5"/>
      <c r="AF15" s="5"/>
      <c r="AG15" s="5"/>
      <c r="AH15" s="5"/>
      <c r="AI15" s="5"/>
      <c r="AJ15" s="5"/>
      <c r="AK15" s="5"/>
      <c r="AL15" s="5"/>
      <c r="AM15" s="5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</row>
    <row r="16" spans="1:8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54"/>
      <c r="M16" s="54"/>
      <c r="Z16" s="585" t="str">
        <f>IF(Z12="","",(Z12+Z13/60+Z14/3600))</f>
        <v/>
      </c>
      <c r="AA16" s="586" t="str">
        <f>IF($AA$10=2,"dec. deg.","")</f>
        <v/>
      </c>
      <c r="AB16" s="620">
        <f>IF($AA$10=2,IF(OR($Z$15=1,$Z$15=2),ROUND($Z$11*SIN(RADIANS($Z$16)),4),-ROUND($Z$11*SIN(RADIANS($Z$16)),4)),0)</f>
        <v>0</v>
      </c>
      <c r="AC16" s="5"/>
      <c r="AD16" s="18"/>
      <c r="AE16" s="5"/>
      <c r="AF16" s="5"/>
      <c r="AG16" s="5"/>
      <c r="AH16" s="5"/>
      <c r="AI16" s="5"/>
      <c r="AJ16" s="5"/>
      <c r="AK16" s="5"/>
      <c r="AL16" s="5"/>
      <c r="AM16" s="5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"/>
    </row>
    <row r="17" spans="1:83" ht="12" customHeight="1" x14ac:dyDescent="0.25">
      <c r="B17" s="43"/>
      <c r="E17" s="44" t="e">
        <f>IF(AND($AA$10=1,$L$38='SHL Section'!$BF$51,MAX('BHL Section 1'!$BG$37:$BG$40)=6),'BHL Section 1'!$E$62,IF(AND($AA$10=1,$L$38='SHL Section'!$BF$54,MAX('BHL Section 1'!$BG$41:$BG$44)=6),'BHL Section 1'!$E$62,IF(AND($AA$10=1,$L$38='SHL Section'!$BF$57,MAX('BHL Section 1'!$BG$45:$BG$48)=6),'BHL Section 1'!$E$62,'BHL Section 2'!E18)))</f>
        <v>#VALUE!</v>
      </c>
      <c r="F17" s="156"/>
      <c r="G17" s="156"/>
      <c r="H17" s="156"/>
      <c r="I17" s="156"/>
      <c r="J17" s="156"/>
      <c r="K17" s="44" t="e">
        <f>IF(AND($AA$10=1,$L$38='SHL Section'!$BF$51,MAX('BHL Section 1'!$BG$37:$BG$40)=6),'BHL Section 1'!$K$62,IF(AND($AA$10=1,$L$38='SHL Section'!$BF$54,MAX('BHL Section 1'!$BG$41:$BG$44)=6),'BHL Section 1'!$K$62,IF(AND($AA$10=1,$L$38='SHL Section'!$BF$57,MAX('BHL Section 1'!$BG$45:$BG$48)=6),'BHL Section 1'!$K$62,'BHL Section 2'!K18)))</f>
        <v>#VALUE!</v>
      </c>
      <c r="L17" s="156"/>
      <c r="M17" s="156"/>
      <c r="N17" s="156"/>
      <c r="O17" s="44" t="e">
        <f>IF(AND($AA$10=1,$L$38='SHL Section'!$BF$51,MAX('BHL Section 1'!$BG$37:$BG$40)=6),'BHL Section 1'!$O$62,IF(AND($AA$10=1,$L$38='SHL Section'!$BF$54,MAX('BHL Section 1'!$BG$41:$BG$44)=6),'BHL Section 1'!$O$62,IF(AND($AA$10=1,$L$38='SHL Section'!$BF$57,MAX('BHL Section 1'!$BG$45:$BG$48)=6),'BHL Section 1'!$O$62,'BHL Section 2'!O18)))</f>
        <v>#VALUE!</v>
      </c>
      <c r="P17" s="156"/>
      <c r="Q17" s="156"/>
      <c r="R17" s="156"/>
      <c r="S17" s="156"/>
      <c r="T17" s="156"/>
      <c r="U17" s="44" t="e">
        <f>IF(AND($AA$10=1,$L$38='SHL Section'!$BF$51,MAX('BHL Section 1'!$BG$37:$BG$40)=6),'BHL Section 1'!$U$62,IF(AND($AA$10=1,$L$38='SHL Section'!$BF$54,MAX('BHL Section 1'!$BG$41:$BG$44)=6),'BHL Section 1'!$U$62,IF(AND($AA$10=1,$L$38='SHL Section'!$BF$57,MAX('BHL Section 1'!$BG$45:$BG$48)=6),'BHL Section 1'!$U$62,'BHL Section 2'!U18)))</f>
        <v>#VALUE!</v>
      </c>
      <c r="AA17" s="5"/>
      <c r="AB17" s="5"/>
      <c r="AC17" s="5"/>
      <c r="AD17" s="943" t="s">
        <v>304</v>
      </c>
      <c r="AE17" s="832"/>
      <c r="AF17" s="832"/>
      <c r="AG17" s="832"/>
      <c r="AH17" s="832"/>
      <c r="AI17" s="832"/>
      <c r="AJ17" s="832"/>
      <c r="AK17" s="832"/>
      <c r="AL17" s="832"/>
      <c r="AM17" s="832"/>
      <c r="AN17" s="832"/>
      <c r="AO17" s="832"/>
      <c r="AP17" s="832"/>
      <c r="AQ17" s="832"/>
      <c r="AR17" s="832"/>
      <c r="AS17" s="832"/>
      <c r="AT17" s="832"/>
      <c r="AU17" s="832"/>
      <c r="AV17" s="38" t="s">
        <v>305</v>
      </c>
      <c r="AW17" s="939" t="s">
        <v>306</v>
      </c>
      <c r="AX17" s="882"/>
      <c r="AY17" s="939" t="s">
        <v>307</v>
      </c>
      <c r="AZ17" s="882"/>
      <c r="BA17" s="939" t="s">
        <v>308</v>
      </c>
      <c r="BB17" s="882"/>
      <c r="BC17" s="939" t="s">
        <v>309</v>
      </c>
      <c r="BD17" s="882"/>
      <c r="BE17" s="939" t="s">
        <v>310</v>
      </c>
      <c r="BF17" s="882"/>
      <c r="BG17" s="939" t="s">
        <v>311</v>
      </c>
      <c r="BH17" s="882"/>
      <c r="BI17" s="939" t="s">
        <v>312</v>
      </c>
      <c r="BJ17" s="882"/>
      <c r="BK17" s="939" t="s">
        <v>313</v>
      </c>
      <c r="BL17" s="882"/>
      <c r="BM17" s="939" t="s">
        <v>314</v>
      </c>
      <c r="BN17" s="882"/>
      <c r="BO17" s="939" t="s">
        <v>315</v>
      </c>
      <c r="BP17" s="882"/>
      <c r="BQ17" s="939" t="s">
        <v>316</v>
      </c>
      <c r="BR17" s="882"/>
      <c r="BS17" s="939" t="s">
        <v>317</v>
      </c>
      <c r="BT17" s="882"/>
      <c r="BU17" s="939" t="s">
        <v>318</v>
      </c>
      <c r="BV17" s="882"/>
      <c r="BW17" s="939" t="s">
        <v>319</v>
      </c>
      <c r="BX17" s="882"/>
      <c r="BY17" s="939" t="s">
        <v>320</v>
      </c>
      <c r="BZ17" s="882"/>
      <c r="CA17" s="939" t="s">
        <v>321</v>
      </c>
      <c r="CB17" s="882"/>
    </row>
    <row r="18" spans="1:83" ht="12" customHeight="1" x14ac:dyDescent="0.25">
      <c r="B18" s="26"/>
      <c r="C18" s="33"/>
      <c r="D18" s="17" t="s">
        <v>118</v>
      </c>
      <c r="E18" s="162"/>
      <c r="F18" s="157"/>
      <c r="G18" s="157"/>
      <c r="H18" s="157"/>
      <c r="I18" s="157"/>
      <c r="J18" s="17" t="s">
        <v>118</v>
      </c>
      <c r="K18" s="217">
        <v>2634.86</v>
      </c>
      <c r="L18" s="19"/>
      <c r="M18" s="19"/>
      <c r="N18" s="17" t="s">
        <v>118</v>
      </c>
      <c r="O18" s="162">
        <v>2647.79</v>
      </c>
      <c r="P18" s="19"/>
      <c r="Q18" s="19"/>
      <c r="R18" s="19"/>
      <c r="S18" s="19"/>
      <c r="T18" s="17" t="s">
        <v>118</v>
      </c>
      <c r="U18" s="162"/>
      <c r="AA18" s="5"/>
      <c r="AB18" s="5"/>
      <c r="AC18" s="5"/>
      <c r="AD18" s="39"/>
      <c r="AE18" s="18"/>
      <c r="AF18" s="939" t="s">
        <v>322</v>
      </c>
      <c r="AG18" s="882"/>
      <c r="AH18" s="939" t="s">
        <v>323</v>
      </c>
      <c r="AI18" s="882"/>
      <c r="AJ18" s="939" t="s">
        <v>324</v>
      </c>
      <c r="AK18" s="882"/>
      <c r="AL18" s="939" t="s">
        <v>325</v>
      </c>
      <c r="AM18" s="882"/>
      <c r="AN18" s="939" t="s">
        <v>326</v>
      </c>
      <c r="AO18" s="882"/>
      <c r="AP18" s="939" t="s">
        <v>327</v>
      </c>
      <c r="AQ18" s="882"/>
      <c r="AR18" s="939" t="s">
        <v>328</v>
      </c>
      <c r="AS18" s="882"/>
      <c r="AT18" s="939" t="s">
        <v>329</v>
      </c>
      <c r="AU18" s="882"/>
      <c r="AV18" s="38" t="s">
        <v>330</v>
      </c>
      <c r="AW18" s="760" t="s">
        <v>113</v>
      </c>
      <c r="AX18" s="761" t="s">
        <v>114</v>
      </c>
      <c r="AY18" s="760" t="s">
        <v>113</v>
      </c>
      <c r="AZ18" s="761" t="s">
        <v>114</v>
      </c>
      <c r="BA18" s="760" t="s">
        <v>113</v>
      </c>
      <c r="BB18" s="761" t="s">
        <v>114</v>
      </c>
      <c r="BC18" s="760" t="s">
        <v>113</v>
      </c>
      <c r="BD18" s="761" t="s">
        <v>114</v>
      </c>
      <c r="BE18" s="760" t="s">
        <v>113</v>
      </c>
      <c r="BF18" s="761" t="s">
        <v>114</v>
      </c>
      <c r="BG18" s="760" t="s">
        <v>113</v>
      </c>
      <c r="BH18" s="761" t="s">
        <v>114</v>
      </c>
      <c r="BI18" s="760" t="s">
        <v>113</v>
      </c>
      <c r="BJ18" s="761" t="s">
        <v>114</v>
      </c>
      <c r="BK18" s="760" t="s">
        <v>113</v>
      </c>
      <c r="BL18" s="761" t="s">
        <v>114</v>
      </c>
      <c r="BM18" s="760" t="s">
        <v>113</v>
      </c>
      <c r="BN18" s="761" t="s">
        <v>114</v>
      </c>
      <c r="BO18" s="760" t="s">
        <v>113</v>
      </c>
      <c r="BP18" s="761" t="s">
        <v>114</v>
      </c>
      <c r="BQ18" s="760" t="s">
        <v>113</v>
      </c>
      <c r="BR18" s="761" t="s">
        <v>114</v>
      </c>
      <c r="BS18" s="760" t="s">
        <v>113</v>
      </c>
      <c r="BT18" s="761" t="s">
        <v>114</v>
      </c>
      <c r="BU18" s="760" t="s">
        <v>113</v>
      </c>
      <c r="BV18" s="761" t="s">
        <v>114</v>
      </c>
      <c r="BW18" s="760" t="s">
        <v>113</v>
      </c>
      <c r="BX18" s="761" t="s">
        <v>114</v>
      </c>
      <c r="BY18" s="760" t="s">
        <v>113</v>
      </c>
      <c r="BZ18" s="761" t="s">
        <v>114</v>
      </c>
      <c r="CA18" s="760" t="s">
        <v>113</v>
      </c>
      <c r="CB18" s="761" t="s">
        <v>114</v>
      </c>
    </row>
    <row r="19" spans="1:83" ht="12" customHeight="1" x14ac:dyDescent="0.25">
      <c r="B19" s="26"/>
      <c r="C19" s="33"/>
      <c r="D19" s="17" t="s">
        <v>124</v>
      </c>
      <c r="E19" s="147"/>
      <c r="F19" s="33"/>
      <c r="G19" s="33"/>
      <c r="H19" s="33"/>
      <c r="I19" s="33"/>
      <c r="J19" s="17" t="s">
        <v>124</v>
      </c>
      <c r="K19" s="148">
        <v>89</v>
      </c>
      <c r="N19" s="17" t="s">
        <v>124</v>
      </c>
      <c r="O19" s="147">
        <v>89</v>
      </c>
      <c r="T19" s="17" t="s">
        <v>124</v>
      </c>
      <c r="U19" s="147"/>
      <c r="AA19" s="5"/>
      <c r="AB19" s="5"/>
      <c r="AC19" s="5"/>
      <c r="AD19" s="756" t="s">
        <v>331</v>
      </c>
      <c r="AE19" s="757"/>
      <c r="AF19" s="30" t="s">
        <v>113</v>
      </c>
      <c r="AG19" s="30" t="s">
        <v>114</v>
      </c>
      <c r="AH19" s="30" t="s">
        <v>113</v>
      </c>
      <c r="AI19" s="30" t="s">
        <v>114</v>
      </c>
      <c r="AJ19" s="30" t="s">
        <v>113</v>
      </c>
      <c r="AK19" s="30" t="s">
        <v>114</v>
      </c>
      <c r="AL19" s="30" t="s">
        <v>113</v>
      </c>
      <c r="AM19" s="30" t="s">
        <v>114</v>
      </c>
      <c r="AN19" s="30" t="s">
        <v>113</v>
      </c>
      <c r="AO19" s="30" t="s">
        <v>114</v>
      </c>
      <c r="AP19" s="30" t="s">
        <v>113</v>
      </c>
      <c r="AQ19" s="30" t="s">
        <v>114</v>
      </c>
      <c r="AR19" s="30" t="s">
        <v>113</v>
      </c>
      <c r="AS19" s="30" t="s">
        <v>114</v>
      </c>
      <c r="AT19" s="30" t="s">
        <v>113</v>
      </c>
      <c r="AU19" s="30" t="s">
        <v>114</v>
      </c>
      <c r="AV19" s="38"/>
      <c r="AW19" s="807" t="e">
        <f>IF(AND($U$17&gt;0,$O$17&gt;0),$U$17*SIN(RADIANS(90-$U$23)),IF(AND($U$17=0,$O$17&gt;0),$O$17/2*SIN(RADIANS(90-$O$23)),IF(AND($U$17&gt;0,$O$17=0),$U$17/2*SIN(RADIANS(90-$U$23)),IF(AND($U$17=0,$O$17=0,$K$17=0),$E$17/4*SIN(RADIANS(90-$E$23)),$K$17/4*SIN(RADIANS(90-$K$23))))))</f>
        <v>#VALUE!</v>
      </c>
      <c r="AX19" s="808" t="e">
        <f>IF(AND($U$17&gt;0,$O$17&gt;0),$U$17*COS(RADIANS(90-$U$23)),IF(AND($U$17=0,$O$17&gt;0),$O$17/2*COS(RADIANS(90-$O$23)),IF(AND($U$17&gt;0,$O$17=0),$U$17/2*COS(RADIANS(90-$U$23)),IF(AND($U$17=0,$O$17=0,$K$17=0),$E$17/4*COS(RADIANS(90-$E$23)),$K$17/4*COS(RADIANS(90-$K$23))))))</f>
        <v>#VALUE!</v>
      </c>
      <c r="AY19" s="807" t="e">
        <f>IF(AND($U$17&gt;0,$O$17&gt;0),$O$17*SIN(RADIANS(90-$O$23)),IF(AND($U$17=0,$O$17&gt;0),$O$17/2*SIN(RADIANS(90-$O$23)),IF(AND($U$17&gt;0,$O$17=0),$U$17/2*SIN(RADIANS(90-$U$23)),IF(AND($U$17=0,$O$17=0,$K$17=0),$E$17/4*SIN(RADIANS(90-$E$23)),$K$17/4*SIN(RADIANS(90-$K$23))))))</f>
        <v>#VALUE!</v>
      </c>
      <c r="AZ19" s="808" t="e">
        <f>IF(AND($U$17&gt;0,$O$17&gt;0),$O$17*COS(RADIANS(90-$O$23)),IF(AND($U$17=0,$O$17&gt;0),$O$17/2*COS(RADIANS(90-$O$23)),IF(AND($U$17&gt;0,$O$17=0),$U$17/2*COS(RADIANS(90-$U$23)),IF(AND($U$17=0,$O$17=0,$K$17=0),$E$17/4*COS(RADIANS(90-$E$23)),$K$17/4*COS(RADIANS(90-$K$23))))))</f>
        <v>#VALUE!</v>
      </c>
      <c r="BA19" s="807" t="e">
        <f>IF(AND($K$17&gt;0,$E$17&gt;0,OR($O$17&gt;0,$U$17&gt;0)),$K$17*SIN(RADIANS(90-$K$23)),IF(AND($K$17=0,$E$17&gt;0,OR($O$17&gt;0,$U$17&gt;0)),$E$17/2*SIN(RADIANS(90-$E$23)),IF(AND($K$17&gt;0,$E$17=0,OR($O$17&gt;0,$U$17&gt;0)),$K$17/2*SIN(RADIANS(90-$K$23)),IF(AND($K$17&gt;0,$O$17=0,$U$17=0),$K$17/4*SIN(RADIANS(90-$K$23)),$E$17/4*SIN(RADIANS(90-$E$23))))))</f>
        <v>#VALUE!</v>
      </c>
      <c r="BB19" s="808" t="e">
        <f>IF(AND($K$17&gt;0,$E$17&gt;0,OR($O$17&gt;0,$U$17&gt;0)),$K$17*COS(RADIANS(90-$K$23)),IF(AND($K$17=0,$E$17&gt;0,OR($O$17&gt;0,$U$17&gt;0)),$E$17/2*COS(RADIANS(90-$E$23)),IF(AND($K$17&gt;0,$E$17=0,OR($O$17&gt;0,$U$17&gt;0)),$K$17/2*COS(RADIANS(90-$K$23)),IF(AND($K$17&gt;0,$O$17=0,$U$17=0),$K$17/4*COS(RADIANS(90-$K$23)),$E$17/4*COS(RADIANS(90-$E$23))))))</f>
        <v>#VALUE!</v>
      </c>
      <c r="BC19" s="807" t="e">
        <f>IF(AND($K$17&gt;0,$E$17&gt;0,OR($O$17&gt;0,$U$17&gt;0)),$E$17*SIN(RADIANS(90-$E$23)),IF(AND($K$17=0,$E$17&gt;0,OR($O$17&gt;0,$U$17&gt;0)),$E$17/2*SIN(RADIANS(90-$E$23)),IF(AND($K$17&gt;0,$E$17=0,OR($O$17&gt;0,$U$17&gt;0)),$K$17/2*SIN(RADIANS(90-$K$23)),IF(AND($K$17&gt;0,$O$17=0,$U$17=0),$K$17/4*SIN(RADIANS(90-$K$23)),$E$17/4*SIN(RADIANS(90-$E$23))))))</f>
        <v>#VALUE!</v>
      </c>
      <c r="BD19" s="809" t="e">
        <f>IF(AND($K$17&gt;0,$E$17&gt;0,OR($O$17&gt;0,$U$17&gt;0)),$E$17*COS(RADIANS(90-$E$23)),IF(AND($K$17=0,$E$17&gt;0,OR($O$17&gt;0,$U$17&gt;0)),$E$17/2*COS(RADIANS(90-$E$23)),IF(AND($K$17&gt;0,$E$17=0,OR($O$17&gt;0,$U$17&gt;0)),$K$17/2*COS(RADIANS(90-$K$23)),IF(AND($K$17&gt;0,$O$17=0,$U$17=0),$K$17/4*COS(RADIANS(90-$K$23)),$E$17/4*COS(RADIANS(90-$E$23))))))</f>
        <v>#VALUE!</v>
      </c>
      <c r="BE19" s="807" t="e">
        <f>IF(AND($B$32&gt;0,$B$24&gt;0,OR($B$41&gt;0,$B$49&gt;0)),$B$24*COS(RADIANS(180-$B$30)),IF(AND($B$32=0,$B$24&gt;0,OR($B$41&gt;0,$B$49&gt;0)),$B$24/2*COS(RADIANS(180-$B$30)),IF(AND($B$32&gt;0,$B$24=0,OR($B$41&gt;0,$B$49&gt;0)),$B$32/2*COS(RADIANS(180-$B$38)),IF(AND($B$32&gt;0,$B$41=0,$B$49=0),$B$32/4*COS(RADIANS(180-$B$38)),$B$24/4*COS(RADIANS(180-$B$30))))))</f>
        <v>#VALUE!</v>
      </c>
      <c r="BF19" s="808" t="e">
        <f>IF(AND($B$32&gt;0,$B$24&gt;0,OR($B$41&gt;0,$B$49&gt;0)),$B$24*-SIN(RADIANS(180-$B$30)),IF(AND($B$32&gt;0,$B$24&gt;0,OR($B$41&gt;0,$B$49&gt;0)),$B$32*-SIN(RADIANS(180-$B$38)),IF(AND($B$32&gt;0,$B$24=0,OR($B$41&gt;0,$B$49&gt;0)),$B$32/2*-SIN(RADIANS(180-$B$38)),IF(AND($B$32&gt;0,$B$41=0,$B$49=0),$B$32/4*-SIN(RADIANS(180-$B$38)),$B$24/4*-SIN(RADIANS(180-$B$30))))))</f>
        <v>#VALUE!</v>
      </c>
      <c r="BG19" s="807" t="e">
        <f>IF(AND($B$32&gt;0,$B$24&gt;0,OR($B$41&gt;0,$B$49&gt;0)),$B$32*COS(RADIANS(180-$B$38)),IF(AND($B$32=0,$B$24&gt;0,OR($B$41&gt;0,$B$49&gt;0)),$B$24/2*COS(RADIANS(180-$B$30)),IF(AND($B$32&gt;0,$B$24=0,OR($B$41&gt;0,$B$49&gt;0)),$B$32/2*COS(RADIANS(180-$B$38)),IF(AND($B$32&gt;0,$B$41=0,$B$49=0),$B$32/4*COS(RADIANS(180-$B$38)),$B$24/4*COS(RADIANS(180-$B$30))))))</f>
        <v>#VALUE!</v>
      </c>
      <c r="BH19" s="808" t="e">
        <f>IF(AND($B$32&gt;0,$B$24&gt;0,OR($B$41&gt;0,$B$49&gt;0)),$B$32*-SIN(RADIANS(180-$B$38)),IF(AND($B$32&gt;0,$B$24&gt;0,OR($B$41&gt;0,$B$49&gt;0)),$B$32*-SIN(RADIANS(180-$B$38)),IF(AND($B$32&gt;0,$B$24=0,OR($B$41&gt;0,$B$49&gt;0)),$B$32/2*-SIN(RADIANS(180-$B$38)),IF(AND($B$32&gt;0,$B$41=0,$B$49=0),$B$32/4*-SIN(RADIANS(180-$B$38)),$B$24/4*-SIN(RADIANS(180-$B$30))))))</f>
        <v>#VALUE!</v>
      </c>
      <c r="BI19" s="807" t="e">
        <f>IF(AND($B$49&gt;0,$B$41&gt;0),$B$41*COS(RADIANS(180-$B$47)),IF(AND($B$49=0,$B$41&gt;0),$B$41/2*COS(RADIANS(180-$B$47)),IF(AND($B$49&gt;0,$B$41=0),$B$49/2*COS(RADIANS(180-$B$55)),IF(AND($B$49=0,$B$41=0,$B$32=0),$B$24/4*COS(RADIANS(180-$B$30)),$B$32/4*COS(RADIANS(180-$B$38))))))</f>
        <v>#VALUE!</v>
      </c>
      <c r="BJ19" s="808" t="e">
        <f>IF(AND($B$49&gt;0,$B$41&gt;0),$B$41*-SIN(RADIANS(180-$B$47)),IF(AND($B$49=0,$B$41&gt;0),$B$41/2*-SIN(RADIANS(180-$B$47)),IF(AND($B$49&gt;0,$B$41=0),$B$49/2*-SIN(RADIANS(180-$B$55)),IF(AND($B$49=0,$B$41=0,$B$32=0),$B$24/4*-SIN(RADIANS(180-$B$30)),$B$32/4*-SIN(RADIANS(180-$B$38))))))</f>
        <v>#VALUE!</v>
      </c>
      <c r="BK19" s="807" t="e">
        <f>IF(AND($B$49&gt;0,$B$41&gt;0),$B$49*COS(RADIANS(180-$B$55)),IF(AND($B$49=0,$B$41&gt;0),$B$41/2*COS(RADIANS(180-$B$47)),IF(AND($B$49&gt;0,$B$41=0),$B$49/2*COS(RADIANS(180-$B$55)),IF(AND($B$49=0,$B$41=0,$B$32=0),$B$24/4*COS(RADIANS(180-$B$30)),$B$32/4*COS(RADIANS(180-$B$38))))))</f>
        <v>#VALUE!</v>
      </c>
      <c r="BL19" s="808" t="e">
        <f>IF(AND($B$49&gt;0,$B$41&gt;0),$B$49*-SIN(RADIANS(180-$B$55)),IF(AND($B$49=0,$B$41&gt;0),$B$41/2*-SIN(RADIANS(180-$B$47)),IF(AND($B$49&gt;0,$B$41=0),$B$49/2*-SIN(RADIANS(180-$B$55)),IF(AND($B$49=0,$B$41=0,$B$32=0),$B$24/4*-SIN(RADIANS(180-$B$30)),$B$32/4*-SIN(RADIANS(180-$B$38))))))</f>
        <v>#VALUE!</v>
      </c>
      <c r="BM19" s="807" t="e">
        <f>IF(AND($K$62&gt;0,$E$62&gt;0,OR($O$62&gt;0,$U$62&gt;0)),$E$62*SIN(RADIANS(90-$E$61)),IF(AND($K$62=0,$E$62&gt;0,OR($O$62&gt;0,$U$62&gt;0)),$E$62/2*SIN(RADIANS(90-$E$61)),IF(AND($K$62&gt;0,$E$62=0,OR($O$62&gt;0,$U$62&gt;0)),$K$62/2*SIN(RADIANS(90-$K$61)),IF(AND($K$62&gt;0,$O$62=0,$U$62=0),$K$62/4*SIN(RADIANS(90-$K$61)),$E$62/4*SIN(RADIANS(90-$E$61))))))</f>
        <v>#VALUE!</v>
      </c>
      <c r="BN19" s="809" t="e">
        <f>IF(AND($K$62&gt;0,$E$62&gt;0,OR($O$62&gt;0,$U$62&gt;0)),$E$62*COS(RADIANS(90-$E$61)),IF(AND($K$62=0,$E$62&gt;0,OR($O$62&gt;0,$U$62&gt;0)),$E$62/2*COS(RADIANS(90-$E$61)),IF(AND($K$62&gt;0,$E$62=0,OR($O$62&gt;0,$U$62&gt;0)),$K$62/2*COS(RADIANS(90-$K$61)),IF(AND($K$62&gt;0,$O$62=0,$U$62=0),$K$62/4*COS(RADIANS(90-$K$61)),$E$62/4*COS(RADIANS(90-$E$61))))))</f>
        <v>#VALUE!</v>
      </c>
      <c r="BO19" s="807" t="e">
        <f>IF(AND($K$62&gt;0,$E$62&gt;0,OR($O$62&gt;0,$U$62&gt;0)),$K$62*SIN(RADIANS(90-$K$61)),IF(AND($K$62=0,$E$62&gt;0,OR($O$62&gt;0,$U$62&gt;0)),$E$62/2*SIN(RADIANS(90-$E$61)),IF(AND($K$62&gt;0,$E$62=0,OR($O$62&gt;0,$U$62&gt;0)),$K$62/2*SIN(RADIANS(90-$K$61)),IF(AND($K$62&gt;0,$O$62=0,$U$62=0),$K$62/4*SIN(RADIANS(90-$K$61)),$E$62/4*SIN(RADIANS(90-$E$61))))))</f>
        <v>#VALUE!</v>
      </c>
      <c r="BP19" s="808" t="e">
        <f>IF(AND($K$62&gt;0,$E$62&gt;0,OR($O$62&gt;0,$U$62&gt;0)),$K$62*COS(RADIANS(90-$K$61)),IF(AND($K$62=0,$E$62&gt;0,OR($O$62&gt;0,$U$62&gt;0)),$E$62/2*COS(RADIANS(90-$E$61)),IF(AND($K$62&gt;0,$E$62=0,OR($O$62&gt;0,$U$62&gt;0)),$K$62/2*COS(RADIANS(90-$K$61)),IF(AND($K$62&gt;0,$O$62=0,$U$62=0),$K$62/4*COS(RADIANS(90-$K$61)),$E$62/4*COS(RADIANS(90-$E$61))))))</f>
        <v>#VALUE!</v>
      </c>
      <c r="BQ19" s="807" t="e">
        <f>IF(AND($U$62&gt;0,$O$62&gt;0),$O$62*SIN(RADIANS(90-$O$61)),IF(AND($U$62=0,$O$62&gt;0),$O$62/2*SIN(RADIANS(90-$O$61)),IF(AND($U$62&gt;0,$O$62=0),$U$62/2*SIN(RADIANS(90-$U$61)),IF(AND($U$62=0,$O$62=0,$K$62=0),$E$62/4*SIN(RADIANS(90-$E$61)),$K$62/4*SIN(RADIANS(90-$K$61))))))</f>
        <v>#VALUE!</v>
      </c>
      <c r="BR19" s="808" t="e">
        <f>IF(AND($U$62&gt;0,$O$62&gt;0),$O$62*COS(RADIANS(90-$O$61)),IF(AND($U$62=0,$O$62&gt;0),$O$62/2*COS(RADIANS(90-$O$61)),IF(AND($U$62&gt;0,$O$62=0),$U$62/2*COS(RADIANS(90-$U$61)),IF(AND($U$62=0,$O$62=0,$K$62=0),$E$62/4*COS(RADIANS(90-$E$61)),$K$62/4*COS(RADIANS(90-$K$61))))))</f>
        <v>#VALUE!</v>
      </c>
      <c r="BS19" s="807" t="e">
        <f>IF(AND($U$62&gt;0,$O$62&gt;0),$U$62*SIN(RADIANS(90-$U$61)),IF(AND($U$62=0,$O$62&gt;0),$O$62/2*SIN(RADIANS(90-$O$61)),IF(AND($U$62&gt;0,$O$62=0),$U$62/2*SIN(RADIANS(90-$U$61)),IF(AND($U$62=0,$O$62=0,$K$62=0),$E$62/4*SIN(RADIANS(90-$E$61)),$K$62/4*SIN(RADIANS(90-$K$61))))))</f>
        <v>#VALUE!</v>
      </c>
      <c r="BT19" s="808" t="e">
        <f>IF(AND($U$62&gt;0,$O$62&gt;0),$U$62*COS(RADIANS(90-$U$61)),IF(AND($U$62=0,$O$62&gt;0),$O$62/2*COS(RADIANS(90-$O$61)),IF(AND($U$62&gt;0,$O$62=0),$U$62/2*COS(RADIANS(90-$U$61)),IF(AND($U$62=0,$O$62=0,$K$62=0),$E$62/4*COS(RADIANS(90-$E$61)),$K$62/4*COS(RADIANS(90-$K$61))))))</f>
        <v>#VALUE!</v>
      </c>
      <c r="BU19" s="807" t="e">
        <f>IF(AND($W$49&gt;0,$W$41&gt;0),$W$49*COS(RADIANS(180-$W$55)),IF(AND($W$49=0,$W$41&gt;0),$W$41/2*COS(RADIANS(180-$W$47)),IF(AND($W$49&gt;0,$W$41=0),$W$49/2*COS(RADIANS(180-$W$55)),IF(AND($W$49=0,$W$41=0,$W$32=0),$W$24/4*COS(RADIANS(180-$W$30)),$W$32/4*COS(RADIANS(180-$W$38))))))</f>
        <v>#VALUE!</v>
      </c>
      <c r="BV19" s="808" t="e">
        <f>IF(AND($W$49&gt;0,$W$41&gt;0),$W$49*-SIN(RADIANS(180-$W$55)),IF(AND($W$49=0,$W$41&gt;0),$W$41/2*-SIN(RADIANS(180-$W$47)),IF(AND($W$49&gt;0,$W$41=0),$W$49/2*-SIN(RADIANS(180-$W$55)),IF(AND($W$49=0,$W$41=0,$W$32=0),$W$24/4*-SIN(RADIANS(180-$W$30)),$W$32/4*-SIN(RADIANS(180-$W$38))))))</f>
        <v>#VALUE!</v>
      </c>
      <c r="BW19" s="807" t="e">
        <f>IF(AND($W$49&gt;0,$W$41&gt;0),$W$41*COS(RADIANS(180-$W$47)),IF(AND($W$49=0,$W$41&gt;0),$W$41/2*COS(RADIANS(180-$W$47)),IF(AND($W$49&gt;0,$W$41=0),$W$49/2*COS(RADIANS(180-$W$55)),IF(AND($W$49=0,$W$41=0,$W$32=0),$W$24/4*COS(RADIANS(180-$W$30)),$W$32/4*COS(RADIANS(180-$W$38))))))</f>
        <v>#VALUE!</v>
      </c>
      <c r="BX19" s="808" t="e">
        <f>IF(AND($W$49&gt;0,$W$41&gt;0),$W$41*-SIN(RADIANS(180-$W$47)),IF(AND($W$49=0,$W$41&gt;0),$W$41/2*-SIN(RADIANS(180-$W$47)),IF(AND($W$49&gt;0,$W$41=0),$W$49/2*-SIN(RADIANS(180-$W$55)),IF(AND($W$49=0,$W$41=0,$W$32=0),$W$24/4*-SIN(RADIANS(180-$W$30)),$W$32/4*-SIN(RADIANS(180-$W$38))))))</f>
        <v>#VALUE!</v>
      </c>
      <c r="BY19" s="807" t="e">
        <f>IF(AND($W$32&gt;0,$W$24&gt;0,OR($W$41&gt;0,$W$49&gt;0)),$W$32*COS(RADIANS(180-$W$38)),IF(AND($W$32=0,$W$24&gt;0,OR($W$41&gt;0,$W$49&gt;0)),$W$24/2*COS(RADIANS(180-$W$30)),IF(AND($W$32&gt;0,$W$24=0,OR($W$41&gt;0,$W$49&gt;0)),$W$32/2*COS(RADIANS(180-$W$38)),IF(AND($W$32&gt;0,$W$41=0,$W$49=0),$W$32/4*COS(RADIANS(180-$W$38)),$W$24/4*COS(RADIANS(180-$W$30))))))</f>
        <v>#VALUE!</v>
      </c>
      <c r="BZ19" s="808" t="e">
        <f>IF(AND($W$32&gt;0,$W$24&gt;0,OR($W$41&gt;0,$W$49&gt;0)),$W$32*-SIN(RADIANS(180-$W$38)),IF(AND($W$32&gt;0,$W$24&gt;0,OR($W$41&gt;0,$W$49&gt;0)),$W$32*-SIN(RADIANS(180-$W$38)),IF(AND($W$32&gt;0,$W$24=0,OR($W$41&gt;0,$W$49&gt;0)),$W$32/2*-SIN(RADIANS(180-$W$38)),IF(AND($W$32&gt;0,$W$41=0,$W$49=0),$W$32/4*-SIN(RADIANS(180-$W$38)),$W$24/4*-SIN(RADIANS(180-$W$30))))))</f>
        <v>#VALUE!</v>
      </c>
      <c r="CA19" s="807" t="e">
        <f>IF(AND($W$32&gt;0,$W$24&gt;0,OR($W$41&gt;0,$W$49&gt;0)),$W$24*COS(RADIANS(180-$W$30)),IF(AND($W$32=0,$W$24&gt;0,OR($W$41&gt;0,$W$49&gt;0)),$W$24/2*COS(RADIANS(180-$W$30)),IF(AND($W$32&gt;0,$W$24=0,OR($W$41&gt;0,$W$49&gt;0)),$W$32/2*COS(RADIANS(180-$W$38)),IF(AND($W$32&gt;0,$W$41=0,$W$49=0),$W$32/4*COS(RADIANS(180-$W$38)),$W$24/4*COS(RADIANS(180-$W$30))))))</f>
        <v>#VALUE!</v>
      </c>
      <c r="CB19" s="808" t="e">
        <f>IF(AND($W$32&gt;0,$W$24&gt;0,OR($W$41&gt;0,$W$49&gt;0)),$W$24*-SIN(RADIANS(180-$W$30)),IF(AND($W$32&gt;0,$W$24&gt;0,OR($W$41&gt;0,$W$49&gt;0)),$W$32*-SIN(RADIANS(180-$W$38)),IF(AND($W$32&gt;0,$W$24=0,OR($W$41&gt;0,$W$49&gt;0)),$W$32/2*-SIN(RADIANS(180-$W$38)),IF(AND($W$32&gt;0,$W$41=0,$W$49=0),$W$32/4*-SIN(RADIANS(180-$W$38)),$W$24/4*-SIN(RADIANS(180-$W$30))))))</f>
        <v>#VALUE!</v>
      </c>
    </row>
    <row r="20" spans="1:83" ht="12" customHeight="1" x14ac:dyDescent="0.25">
      <c r="B20" s="26"/>
      <c r="C20" s="33"/>
      <c r="D20" s="17" t="s">
        <v>130</v>
      </c>
      <c r="E20" s="147"/>
      <c r="F20" s="33"/>
      <c r="G20" s="33"/>
      <c r="H20" s="33"/>
      <c r="I20" s="33"/>
      <c r="J20" s="17" t="s">
        <v>130</v>
      </c>
      <c r="K20" s="148">
        <v>51</v>
      </c>
      <c r="N20" s="17" t="s">
        <v>130</v>
      </c>
      <c r="O20" s="147">
        <v>51</v>
      </c>
      <c r="T20" s="17" t="s">
        <v>130</v>
      </c>
      <c r="U20" s="147"/>
      <c r="AA20" s="5"/>
      <c r="AB20" s="5"/>
      <c r="AC20" s="5"/>
      <c r="AD20" s="52">
        <v>1</v>
      </c>
      <c r="AE20" s="53" t="s">
        <v>12</v>
      </c>
      <c r="AF20" s="46" t="e">
        <f>IF($L$38='SHL Section'!$BF$51,IF('BHL Section 1'!$BG$38=8,'BHL Section 1'!$AH$24-$AB$14,IF('BHL Section 1'!$BG$39=7,'BHL Section 1'!$AJ$24-$AB$14,IF('BHL Section 1'!$BG$40=6,'BHL Section 1'!$AL$24-$AB$14,""))),IF($L$38='SHL Section'!$BF$54,IF('BHL Section 1'!$BG$42=8,'BHL Section 1'!$AH$24-$AB$14,IF('BHL Section 1'!$BG$43=7,'BHL Section 1'!$AJ$24-$AB$14,IF('BHL Section 1'!$BG$44=6,'BHL Section 1'!$AL$24-$AB$14,""))),IF($L$38='SHL Section'!$BF$57,IF('BHL Section 1'!$BG$46=8,'BHL Section 1'!$AH$24-$AB$14,IF('BHL Section 1'!$BG$47=7,'BHL Section 1'!$AJ$24-$AB$14,IF('BHL Section 1'!$BG$48=6,'BHL Section 1'!$AL$24-$AB$14,""))),IF($L$38='SHL Section'!$BF$56,IF('SHL Section'!$BG$46=8,'SHL Section'!$AH$24-$AB$14,IF('SHL Section'!$BG$47=7,'SHL Section'!$AJ$24-$AB$14,IF('SHL Section'!$BG$48=6,'SHL Section'!$AL$24-$AB$14,""))),""))))</f>
        <v>#VALUE!</v>
      </c>
      <c r="AG20" s="46" t="e">
        <f>IF($L$38='SHL Section'!$BF$51,IF('BHL Section 1'!$BG$38=8,'BHL Section 1'!$AI$24-$AB$16,IF('BHL Section 1'!$BG$39=7,'BHL Section 1'!$AK$24-$AB$16,IF('BHL Section 1'!$BG$40=6,'BHL Section 1'!$AM$24-$AB$16,""))),IF($L$38='SHL Section'!$BF$54,IF('BHL Section 1'!$BG$42=8,'BHL Section 1'!$AI$24-$AB$16,IF('BHL Section 1'!$BG$43=7,'BHL Section 1'!$AK$24-$AB$16,IF('BHL Section 1'!$BG$44=6,'BHL Section 1'!$AM$24-$AB$16,""))),IF($L$38='SHL Section'!$BF$57,IF('BHL Section 1'!$BG$46=8,'BHL Section 1'!$AI$24-$AB$16,IF('BHL Section 1'!$BG$47=7,'BHL Section 1'!$AK$24-$AB$16,IF('BHL Section 1'!$BG$48=6,'BHL Section 1'!$AM$24-$AB$16,""))),IF($L$38='SHL Section'!$BF$56,IF('SHL Section'!$BG$46=8,'SHL Section'!$AI$24-$AB$16,IF('SHL Section'!$BG$47=7,'SHL Section'!$AK$24-$AB$16,IF('SHL Section'!$BG$48=6,'SHL Section'!$AM$24-$AB$16,""))),""))))</f>
        <v>#VALUE!</v>
      </c>
      <c r="AH20" s="31" t="e">
        <f>IF($AF$20="","",$AZ$26+$AF$20)</f>
        <v>#VALUE!</v>
      </c>
      <c r="AI20" s="31" t="e">
        <f>IF($AG$20="","",$BA$26+$AG$20)</f>
        <v>#VALUE!</v>
      </c>
      <c r="AJ20" s="31" t="e">
        <f>IF($AF$20="","",$BH$26+$AZ$26+$AF$20)</f>
        <v>#VALUE!</v>
      </c>
      <c r="AK20" s="31" t="e">
        <f>IF($AG$20="","",$BA$26+$BI$26+$AG$20)</f>
        <v>#VALUE!</v>
      </c>
      <c r="AL20" s="31" t="e">
        <f>IF($AF$20="","",$BX$26+$AF$20)</f>
        <v>#VALUE!</v>
      </c>
      <c r="AM20" s="31" t="e">
        <f>IF($AG$20="","",$AG$20+$BY$26)</f>
        <v>#VALUE!</v>
      </c>
      <c r="AN20" s="31" t="e">
        <f>IF($AF$20="","",$AX$22+$AF$20)</f>
        <v>#VALUE!</v>
      </c>
      <c r="AO20" s="31" t="e">
        <f>IF($AG$20="","",$AY$22+$AG$20)</f>
        <v>#VALUE!</v>
      </c>
      <c r="AP20" s="31" t="e">
        <f>IF($AF$20="","",$AZ$26+$AF$20+$BF$22)</f>
        <v>#VALUE!</v>
      </c>
      <c r="AQ20" s="31" t="e">
        <f>IF($AG$20="","",$BA$26+$AG$20+$BG$22)</f>
        <v>#VALUE!</v>
      </c>
      <c r="AR20" s="31" t="e">
        <f>IF($AF$20="","",$BX$26+$AF$20+$BR$22)</f>
        <v>#VALUE!</v>
      </c>
      <c r="AS20" s="31" t="e">
        <f>IF($AG$20="","",$AG$20+$BY$26+$BS$22)</f>
        <v>#VALUE!</v>
      </c>
      <c r="AT20" s="31" t="e">
        <f>IF($AF$20="","",$BZ$22+$AF$20)</f>
        <v>#VALUE!</v>
      </c>
      <c r="AU20" s="31" t="e">
        <f>IF($AG$20="","",$AG$20+$CA$22)</f>
        <v>#VALUE!</v>
      </c>
      <c r="AV20" s="38" t="s">
        <v>333</v>
      </c>
      <c r="AW20" s="939" t="s">
        <v>334</v>
      </c>
      <c r="AX20" s="832"/>
      <c r="AY20" s="832"/>
      <c r="AZ20" s="882"/>
      <c r="BA20" s="939" t="s">
        <v>335</v>
      </c>
      <c r="BB20" s="832"/>
      <c r="BC20" s="832"/>
      <c r="BD20" s="882"/>
      <c r="BE20" s="939" t="s">
        <v>336</v>
      </c>
      <c r="BF20" s="832"/>
      <c r="BG20" s="832"/>
      <c r="BH20" s="882"/>
      <c r="BI20" s="939" t="s">
        <v>337</v>
      </c>
      <c r="BJ20" s="832"/>
      <c r="BK20" s="832"/>
      <c r="BL20" s="882"/>
      <c r="BM20" s="939" t="s">
        <v>338</v>
      </c>
      <c r="BN20" s="832"/>
      <c r="BO20" s="832"/>
      <c r="BP20" s="882"/>
      <c r="BQ20" s="939" t="s">
        <v>339</v>
      </c>
      <c r="BR20" s="832"/>
      <c r="BS20" s="832"/>
      <c r="BT20" s="882"/>
      <c r="BU20" s="939" t="s">
        <v>340</v>
      </c>
      <c r="BV20" s="832"/>
      <c r="BW20" s="832"/>
      <c r="BX20" s="882"/>
      <c r="BY20" s="939" t="s">
        <v>341</v>
      </c>
      <c r="BZ20" s="832"/>
      <c r="CA20" s="832"/>
      <c r="CB20" s="882"/>
      <c r="CD20" s="155" t="s">
        <v>342</v>
      </c>
      <c r="CE20" s="810" t="e">
        <f>(CD22^2+CE22^2)^0.5</f>
        <v>#VALUE!</v>
      </c>
    </row>
    <row r="21" spans="1:83" ht="12" customHeight="1" x14ac:dyDescent="0.25">
      <c r="D21" s="17" t="s">
        <v>134</v>
      </c>
      <c r="E21" s="147"/>
      <c r="J21" s="17" t="s">
        <v>134</v>
      </c>
      <c r="K21" s="148">
        <v>57</v>
      </c>
      <c r="N21" s="17" t="s">
        <v>134</v>
      </c>
      <c r="O21" s="147">
        <v>43</v>
      </c>
      <c r="T21" s="17" t="s">
        <v>134</v>
      </c>
      <c r="U21" s="147"/>
      <c r="AA21" s="28"/>
      <c r="AB21" s="28"/>
      <c r="AC21" s="28"/>
      <c r="AD21" s="52">
        <v>2</v>
      </c>
      <c r="AE21" s="53" t="s">
        <v>12</v>
      </c>
      <c r="AF21" s="32" t="e">
        <f>IF($AH$21="","",$AH$21-$AZ$26)</f>
        <v>#VALUE!</v>
      </c>
      <c r="AG21" s="32" t="e">
        <f>IF($AI$21="","",$AI$21-$BA$26)</f>
        <v>#VALUE!</v>
      </c>
      <c r="AH21" s="47" t="e">
        <f>IF($L$38='SHL Section'!$BF$51,IF('BHL Section 1'!$BG$37=4,'BHL Section 1'!$AF$24-$AB$14,IF('BHL Section 1'!$BG$39=6,'BHL Section 1'!$AJ$24-$AB$14,IF('BHL Section 1'!$BG$40=5,'BHL Section 1'!$AL$24-$AB$14,""))),IF($L$38='SHL Section'!$BF$54,IF('BHL Section 1'!$BG$41=4,'BHL Section 1'!$AF$24-$AB$14,IF('BHL Section 1'!$BG$43=6,'BHL Section 1'!$AJ$24-$AB$14,IF('BHL Section 1'!$BG$44=5,'BHL Section 1'!$AL$24-$AB$14,""))),IF($L$38='SHL Section'!$BF$57,IF('BHL Section 1'!$BG$45=4,'BHL Section 1'!$AF$24-$AB$14,IF('BHL Section 1'!$BG$47=6,'BHL Section 1'!$AJ$24-$AB$14,IF('BHL Section 1'!$BG$48=5,'BHL Section 1'!$AL$24-$AB$14,""))),IF($L$38='SHL Section'!$BF$56,IF('SHL Section'!$BG$45=4,'SHL Section'!$AF$24-$AB$14,IF('SHL Section'!$BG$47=6,'SHL Section'!$AJ$24-$AB$14,IF('SHL Section'!$BG$48=5,'SHL Section'!$AL$24-$AB$14,""))),""))))</f>
        <v>#VALUE!</v>
      </c>
      <c r="AI21" s="47" t="e">
        <f>IF($L$38='SHL Section'!$BF$51,IF('BHL Section 1'!$BG$37=4,'BHL Section 1'!$AG$24-$AB$16,IF('BHL Section 1'!$BG$39=6,'BHL Section 1'!$AK$24-$AB$16,IF('BHL Section 1'!$BG$40=5,'BHL Section 1'!$AM$24-$AB$16,""))),IF($L$38='SHL Section'!$BF$54,IF('BHL Section 1'!$BG$41=4,'BHL Section 1'!$AG$24-$AB$16,IF('BHL Section 1'!$BG$43=6,'BHL Section 1'!$AK$24-$AB$16,IF('BHL Section 1'!$BG$44=5,'BHL Section 1'!$AM$24-$AB$16,""))),IF($L$38='SHL Section'!$BF$57,IF('BHL Section 1'!$BG$45=4,'BHL Section 1'!$AG$24-$AB$16,IF('BHL Section 1'!$BG$47=6,'BHL Section 1'!$AK$24-$AB$16,IF('BHL Section 1'!$BG$48=5,'BHL Section 1'!$AM$24-$AB$16,""))),IF($L$38='SHL Section'!$BF$56,IF('SHL Section'!$BG$45=4,'SHL Section'!$AG$24-$AB$16,IF('SHL Section'!$BG$47=6,'SHL Section'!$AK$24-$AB$16,IF('SHL Section'!$BG$48=5,'SHL Section'!$AM$24-$AB$16,""))),""))))</f>
        <v>#VALUE!</v>
      </c>
      <c r="AJ21" s="32" t="e">
        <f>IF($AH$21="","",$BH$26+$AH$21)</f>
        <v>#VALUE!</v>
      </c>
      <c r="AK21" s="32" t="e">
        <f>IF($AI$21="","",$AI$21+$BI$26)</f>
        <v>#VALUE!</v>
      </c>
      <c r="AL21" s="32" t="e">
        <f>IF($AH$21="","",$AH$21-$AZ$26+$BX$26)</f>
        <v>#VALUE!</v>
      </c>
      <c r="AM21" s="32" t="e">
        <f>IF($AI$21="","",$AI$21-$BA$26+$BY$26)</f>
        <v>#VALUE!</v>
      </c>
      <c r="AN21" s="32" t="e">
        <f>IF($AH$21="","",$AH$21-$BB$22)</f>
        <v>#VALUE!</v>
      </c>
      <c r="AO21" s="32" t="e">
        <f>IF($AI$21="","",AI$21-$BC$22)</f>
        <v>#VALUE!</v>
      </c>
      <c r="AP21" s="32" t="e">
        <f>IF($AH$21="","",$BF$22+$AH$21)</f>
        <v>#VALUE!</v>
      </c>
      <c r="AQ21" s="32" t="e">
        <f>IF($AI$21="","",$AI$21+$BG$22)</f>
        <v>#VALUE!</v>
      </c>
      <c r="AR21" s="32" t="e">
        <f>IF($AH$21="","",$BH$26+$AH$21-$BN$22)</f>
        <v>#VALUE!</v>
      </c>
      <c r="AS21" s="32" t="e">
        <f>IF($AI$21="","",$AI$21+$BI$26-$BO$22)</f>
        <v>#VALUE!</v>
      </c>
      <c r="AT21" s="32" t="e">
        <f>IF($AH$21="","",$AH$21-$AZ$26+$BZ$22)</f>
        <v>#VALUE!</v>
      </c>
      <c r="AU21" s="32" t="e">
        <f>IF($AI$21="","",$AI$21-$BA$26+$CA$22)</f>
        <v>#VALUE!</v>
      </c>
      <c r="AV21" s="38" t="s">
        <v>330</v>
      </c>
      <c r="AW21" s="37"/>
      <c r="AX21" s="760" t="s">
        <v>113</v>
      </c>
      <c r="AY21" s="761" t="s">
        <v>114</v>
      </c>
      <c r="AZ21" s="36"/>
      <c r="BA21" s="37"/>
      <c r="BB21" s="760" t="s">
        <v>113</v>
      </c>
      <c r="BC21" s="761" t="s">
        <v>114</v>
      </c>
      <c r="BD21" s="36"/>
      <c r="BE21" s="37"/>
      <c r="BF21" s="760" t="s">
        <v>113</v>
      </c>
      <c r="BG21" s="761" t="s">
        <v>114</v>
      </c>
      <c r="BH21" s="36"/>
      <c r="BI21" s="37"/>
      <c r="BJ21" s="760" t="s">
        <v>113</v>
      </c>
      <c r="BK21" s="761" t="s">
        <v>114</v>
      </c>
      <c r="BL21" s="36"/>
      <c r="BM21" s="37"/>
      <c r="BN21" s="760" t="s">
        <v>113</v>
      </c>
      <c r="BO21" s="761" t="s">
        <v>114</v>
      </c>
      <c r="BP21" s="36"/>
      <c r="BQ21" s="37"/>
      <c r="BR21" s="760" t="s">
        <v>113</v>
      </c>
      <c r="BS21" s="761" t="s">
        <v>114</v>
      </c>
      <c r="BT21" s="36"/>
      <c r="BU21" s="37"/>
      <c r="BV21" s="760" t="s">
        <v>113</v>
      </c>
      <c r="BW21" s="761" t="s">
        <v>114</v>
      </c>
      <c r="BX21" s="36"/>
      <c r="BY21" s="37"/>
      <c r="BZ21" s="760" t="s">
        <v>113</v>
      </c>
      <c r="CA21" s="761" t="s">
        <v>114</v>
      </c>
      <c r="CB21" s="36"/>
      <c r="CD21" s="760" t="s">
        <v>113</v>
      </c>
      <c r="CE21" s="761" t="s">
        <v>114</v>
      </c>
    </row>
    <row r="22" spans="1:83" ht="12" customHeight="1" x14ac:dyDescent="0.25">
      <c r="A22" s="1"/>
      <c r="B22" s="1"/>
      <c r="C22" s="1"/>
      <c r="D22" s="17" t="s">
        <v>140</v>
      </c>
      <c r="E22" s="112">
        <v>1</v>
      </c>
      <c r="F22" s="18"/>
      <c r="G22" s="18"/>
      <c r="H22" s="18"/>
      <c r="I22" s="18"/>
      <c r="J22" s="17" t="s">
        <v>140</v>
      </c>
      <c r="K22" s="112">
        <v>2</v>
      </c>
      <c r="L22" s="1"/>
      <c r="M22" s="1"/>
      <c r="N22" s="17" t="s">
        <v>140</v>
      </c>
      <c r="O22" s="112">
        <v>2</v>
      </c>
      <c r="P22" s="18"/>
      <c r="Q22" s="18"/>
      <c r="R22" s="18"/>
      <c r="S22" s="18"/>
      <c r="T22" s="17" t="s">
        <v>140</v>
      </c>
      <c r="U22" s="112">
        <v>1</v>
      </c>
      <c r="V22" s="1"/>
      <c r="W22" s="1"/>
      <c r="X22" s="1"/>
      <c r="AA22" s="5"/>
      <c r="AB22" s="5"/>
      <c r="AC22" s="5"/>
      <c r="AD22" s="52">
        <v>3</v>
      </c>
      <c r="AE22" s="53" t="s">
        <v>12</v>
      </c>
      <c r="AF22" s="32" t="e">
        <f>IF($AJ$22="","",$AJ$22-$BH$26-$AZ$26)</f>
        <v>#VALUE!</v>
      </c>
      <c r="AG22" s="32" t="e">
        <f>IF($AK$22="","",$AK$22-$BI$26-$BA$26)</f>
        <v>#VALUE!</v>
      </c>
      <c r="AH22" s="32" t="e">
        <f>IF($AJ$22="","",$AJ$22-$BH$26)</f>
        <v>#VALUE!</v>
      </c>
      <c r="AI22" s="32" t="e">
        <f>IF($AK$22="","",$AK$22-$BI$26)</f>
        <v>#VALUE!</v>
      </c>
      <c r="AJ22" s="47" t="e">
        <f>IF($L$38='SHL Section'!$BF$51,IF('BHL Section 1'!$BG$37=3,'BHL Section 1'!$AF$24-$AB$14,IF('BHL Section 1'!$BG$38=2,'BHL Section 1'!$AH$24-$AB$14,IF('BHL Section 1'!$BG$40=4,'BHL Section 1'!$AL$24-$AB$14,""))),IF($L$38='SHL Section'!$BF$54,IF('BHL Section 1'!$BG$41=3,'BHL Section 1'!$AF$24-$AB$14,IF('BHL Section 1'!$BG$42=2,'BHL Section 1'!$AH$24-$AB$14,IF('BHL Section 1'!$BG$44=4,'BHL Section 1'!$AL$24-$AB$14,""))),IF($L$38='SHL Section'!$BF$57,IF('BHL Section 1'!$BG$45=3,'BHL Section 1'!$AF$24-$AB$14,IF('BHL Section 1'!$BG$46=2,'BHL Section 1'!$AH$24-$AB$14,IF('BHL Section 1'!$BG$48=4,'BHL Section 1'!$AL$24-$AB$14,""))),IF($L$38='SHL Section'!$BF$56,IF('SHL Section'!$BG$45=3,'SHL Section'!$AF$24-$AB$14,IF('SHL Section'!$BG$46=2,'SHL Section'!$AH$24-$AB$14,IF('SHL Section'!$BG$48=4,'SHL Section'!$AL$24-$AB$14,""))),""))))</f>
        <v>#VALUE!</v>
      </c>
      <c r="AK22" s="47" t="e">
        <f>IF($L$38='SHL Section'!$BF$51,IF('BHL Section 1'!$BG$37=3,'BHL Section 1'!$AG$24-$AB$16,IF('BHL Section 1'!$BG$38=2,'BHL Section 1'!$AI$24-$AB$16,IF('BHL Section 1'!$BG$40=4,'BHL Section 1'!$AM$24-$AB$16,""))),IF($L$38='SHL Section'!$BF$54,IF('BHL Section 1'!$BG$41=3,'BHL Section 1'!$AG$24-$AB$16,IF('BHL Section 1'!$BG$42=2,'BHL Section 1'!$AI$24-$AB$16,IF('BHL Section 1'!$BG$44=4,'BHL Section 1'!$AM$24-$AB$16,""))),IF($L$38='SHL Section'!$BF$57,IF('BHL Section 1'!$BG$45=3,'BHL Section 1'!$AG$24-$AB$16,IF('BHL Section 1'!$BG$46=2,'BHL Section 1'!$AI$24-$AB$16,IF('BHL Section 1'!$BG$48=4,'BHL Section 1'!$AM$24-$AB$16,""))),IF($L$38='SHL Section'!$BF$56,IF('SHL Section'!$BG$45=3,'SHL Section'!$AG$24-$AB$16,IF('SHL Section'!$BG$46=2,'SHL Section'!$AI$24-$AB$16,IF('SHL Section'!$BG$48=4,'SHL Section'!$AM$24-$AB$16,""))),""))))</f>
        <v>#VALUE!</v>
      </c>
      <c r="AL22" s="32" t="e">
        <f>IF($AJ$22="","",$AJ$22-$BP$26)</f>
        <v>#VALUE!</v>
      </c>
      <c r="AM22" s="32" t="e">
        <f>IF($AK$22="","",$AK$22-$BQ$26)</f>
        <v>#VALUE!</v>
      </c>
      <c r="AN22" s="32" t="e">
        <f>IF($AJ$22="","",$AJ$22-$BH$26-$BB$22)</f>
        <v>#VALUE!</v>
      </c>
      <c r="AO22" s="32" t="e">
        <f>IF($AK$22="","",$AK$22-$BI$26-$BC$22)</f>
        <v>#VALUE!</v>
      </c>
      <c r="AP22" s="32" t="e">
        <f>IF($AJ$22="","",$AJ$22-$BJ$22)</f>
        <v>#VALUE!</v>
      </c>
      <c r="AQ22" s="32" t="e">
        <f>IF($AK$22="","",$AK$22-$BK$22)</f>
        <v>#VALUE!</v>
      </c>
      <c r="AR22" s="32" t="e">
        <f>IF($AJ$22="","",$AJ$22-$BN$22)</f>
        <v>#VALUE!</v>
      </c>
      <c r="AS22" s="32" t="e">
        <f>IF($AK$22="","",$AK$22-$BO$22)</f>
        <v>#VALUE!</v>
      </c>
      <c r="AT22" s="32" t="e">
        <f>IF($AJ$22="","",$AJ$22-$BP$26-$BV$22)</f>
        <v>#VALUE!</v>
      </c>
      <c r="AU22" s="32" t="e">
        <f>IF($AK$22="","",$AK$22-$BQ$26-$BW$22)</f>
        <v>#VALUE!</v>
      </c>
      <c r="AV22" s="38"/>
      <c r="AW22" s="37"/>
      <c r="AX22" s="811" t="e">
        <f>AW19+AY19</f>
        <v>#VALUE!</v>
      </c>
      <c r="AY22" s="812" t="e">
        <f>AX19+AZ19</f>
        <v>#VALUE!</v>
      </c>
      <c r="AZ22" s="36"/>
      <c r="BA22" s="37"/>
      <c r="BB22" s="811" t="e">
        <f>BA19+BC19</f>
        <v>#VALUE!</v>
      </c>
      <c r="BC22" s="812" t="e">
        <f>BB19+BD19</f>
        <v>#VALUE!</v>
      </c>
      <c r="BD22" s="36"/>
      <c r="BE22" s="37"/>
      <c r="BF22" s="811" t="e">
        <f>BE19+BG19</f>
        <v>#VALUE!</v>
      </c>
      <c r="BG22" s="812" t="e">
        <f>BF19+BH19</f>
        <v>#VALUE!</v>
      </c>
      <c r="BH22" s="36"/>
      <c r="BI22" s="37"/>
      <c r="BJ22" s="811" t="e">
        <f>BI19+BK19</f>
        <v>#VALUE!</v>
      </c>
      <c r="BK22" s="812" t="e">
        <f>BJ19+BL19</f>
        <v>#VALUE!</v>
      </c>
      <c r="BL22" s="36"/>
      <c r="BM22" s="37"/>
      <c r="BN22" s="811" t="e">
        <f>BM19+BO19</f>
        <v>#VALUE!</v>
      </c>
      <c r="BO22" s="812" t="e">
        <f>BN19+BP19</f>
        <v>#VALUE!</v>
      </c>
      <c r="BP22" s="36"/>
      <c r="BQ22" s="37"/>
      <c r="BR22" s="811" t="e">
        <f>BQ19+BS19</f>
        <v>#VALUE!</v>
      </c>
      <c r="BS22" s="812" t="e">
        <f>BR19+BT19</f>
        <v>#VALUE!</v>
      </c>
      <c r="BT22" s="36"/>
      <c r="BU22" s="37"/>
      <c r="BV22" s="811" t="e">
        <f>BU19+BW19</f>
        <v>#VALUE!</v>
      </c>
      <c r="BW22" s="812" t="e">
        <f>BV19+BX19</f>
        <v>#VALUE!</v>
      </c>
      <c r="BX22" s="36"/>
      <c r="BY22" s="37"/>
      <c r="BZ22" s="811" t="e">
        <f>BY19+CA19</f>
        <v>#VALUE!</v>
      </c>
      <c r="CA22" s="812" t="e">
        <f>BZ19+CB19</f>
        <v>#VALUE!</v>
      </c>
      <c r="CB22" s="36"/>
      <c r="CD22" s="813" t="e">
        <f>AZ26+BH26-BP26-BX26</f>
        <v>#VALUE!</v>
      </c>
      <c r="CE22" s="814" t="e">
        <f>BA26+BI26-BQ26-BY26</f>
        <v>#VALUE!</v>
      </c>
    </row>
    <row r="23" spans="1:83" ht="12" customHeight="1" thickBot="1" x14ac:dyDescent="0.3">
      <c r="B23" s="945" t="e">
        <f>CONCATENATE("NW SC of ",$L$38)</f>
        <v>#VALUE!</v>
      </c>
      <c r="C23" s="904"/>
      <c r="D23" s="17" t="s">
        <v>144</v>
      </c>
      <c r="E23" s="34" t="e">
        <f>IF(AND($L$38='SHL Section'!$BF$51,MAX('BHL Section 1'!$BG$37:$BG$40)=6),'BHL Section 1'!$E$61,IF(AND($L$38='SHL Section'!$BF$54,MAX('BHL Section 1'!$BG$41:$BG$44)=6),'BHL Section 1'!$E$61,IF(AND($L$38='SHL Section'!$BF$57,MAX('BHL Section 1'!$BG$45:$BG$48)=6),'BHL Section 1'!$E$61,IF(E19="","",IF(OR(E22=1,E22=4),180-(E19+E20/60+E21/3600),(E19+E20/60+E21/3600))))))</f>
        <v>#VALUE!</v>
      </c>
      <c r="J23" s="17" t="s">
        <v>144</v>
      </c>
      <c r="K23" s="34" t="e">
        <f>IF(AND($L$38='SHL Section'!$BF$51,MAX('BHL Section 1'!$BG$37:$BG$40)=6),'BHL Section 1'!$K$61,IF(AND($L$38='SHL Section'!$BF$54,MAX('BHL Section 1'!$BG$41:$BG$44)=6),'BHL Section 1'!$K$61,IF(AND($L$38='SHL Section'!$BF$57,MAX('BHL Section 1'!$BG$45:$BG$48)=6),'BHL Section 1'!$K$61,IF(K19="","",IF(OR(K22=1,K22=4),180-(K19+K20/60+K21/3600),(K19+K20/60+K21/3600))))))</f>
        <v>#VALUE!</v>
      </c>
      <c r="L23" s="945" t="e">
        <f>CONCATENATE("N QC of ",$L$38)</f>
        <v>#VALUE!</v>
      </c>
      <c r="M23" s="904"/>
      <c r="N23" s="17" t="s">
        <v>144</v>
      </c>
      <c r="O23" s="27" t="e">
        <f>IF(AND($L$38='SHL Section'!$BF$51,MAX('BHL Section 1'!$BG$37:$BG$40)=6),'BHL Section 1'!$O$61,IF(AND($L$38='SHL Section'!$BF$54,MAX('BHL Section 1'!$BG$41:$BG$44)=6),'BHL Section 1'!$O$61,IF(AND($L$38='SHL Section'!$BF$57,MAX('BHL Section 1'!$BG$45:$BG$48)=6),'BHL Section 1'!$O$61,IF(O19="","",IF(OR(O22=1,O22=4),180-(O19+O20/60+O21/3600),(O19+O20/60+O21/3600))))))</f>
        <v>#VALUE!</v>
      </c>
      <c r="T23" s="17" t="s">
        <v>144</v>
      </c>
      <c r="U23" s="27" t="e">
        <f>IF(AND($L$38='SHL Section'!$BF$51,MAX('BHL Section 1'!$BG$37:$BG$40)=6),'BHL Section 1'!$U$61,IF(AND($L$38='SHL Section'!$BF$54,MAX('BHL Section 1'!$BG$41:$BG$44)=6),'BHL Section 1'!$U$61,IF(AND($L$38='SHL Section'!$BF$57,MAX('BHL Section 1'!$BG$45:$BG$48)=6),'BHL Section 1'!$U$61,IF(U19="","",IF(OR(U22=1,U22=4),180-(U19+U20/60+U21/3600),(U19+U20/60+U21/3600))))))</f>
        <v>#VALUE!</v>
      </c>
      <c r="V23" s="954" t="e">
        <f>CONCATENATE("NE SC of ",$L$38)</f>
        <v>#VALUE!</v>
      </c>
      <c r="W23" s="904"/>
      <c r="Y23" s="28"/>
      <c r="AA23" s="5"/>
      <c r="AB23" s="5"/>
      <c r="AC23" s="5"/>
      <c r="AD23" s="756">
        <v>4</v>
      </c>
      <c r="AE23" s="758" t="s">
        <v>12</v>
      </c>
      <c r="AF23" s="45" t="e">
        <f>IF($AL$23="","",$AL$23-$BX$26)</f>
        <v>#VALUE!</v>
      </c>
      <c r="AG23" s="45" t="e">
        <f>IF($AM$23="","",$AM$23-$BY$26)</f>
        <v>#VALUE!</v>
      </c>
      <c r="AH23" s="45" t="e">
        <f>IF($AL$23="","",$AL$23+$BP$26-$BH$26)</f>
        <v>#VALUE!</v>
      </c>
      <c r="AI23" s="45" t="e">
        <f>IF($AM$23="","",$AM$23+$BQ$26-$BI$26)</f>
        <v>#VALUE!</v>
      </c>
      <c r="AJ23" s="45" t="e">
        <f>IF($AL$23="","",$AL$23+$BP$26)</f>
        <v>#VALUE!</v>
      </c>
      <c r="AK23" s="45" t="e">
        <f>IF($AM$23="","",$AM$23+$BQ$26)</f>
        <v>#VALUE!</v>
      </c>
      <c r="AL23" s="50" t="e">
        <f>IF($L$38='SHL Section'!$BF$51,IF('BHL Section 1'!$BG$37=2,'BHL Section 1'!$AF$24-$AB$14,IF('BHL Section 1'!$BG$38=9,'BHL Section 1'!$AH$24-$AB$14,IF('BHL Section 1'!$BG$39=8,'BHL Section 1'!$AJ$24-$AB$14,""))),IF($L$38='SHL Section'!$BF$54,IF('BHL Section 1'!$BG$41=2,'BHL Section 1'!$AF$24-$AB$14,IF('BHL Section 1'!$BG$42=9,'BHL Section 1'!$AH$24-$AB$14,IF('BHL Section 1'!$BG$43=8,'BHL Section 1'!$AJ$24-$AB$14,""))),IF($L$38='SHL Section'!$BF$57,IF('BHL Section 1'!$BG$45=2,'BHL Section 1'!$AF$24-$AB$14,IF('BHL Section 1'!$BG$46=9,'BHL Section 1'!$AH$24-$AB$14,IF('BHL Section 1'!$BG$47=8,'BHL Section 1'!$AJ$24-$AB$14,""))),IF($L$38='SHL Section'!$BF$56,IF('SHL Section'!$BG$45=2,'SHL Section'!$AF$24-$AB$14,IF('SHL Section'!$BG$46=9,'SHL Section'!$AH$24-$AB$14,IF('SHL Section'!$BG$47=8,'SHL Section'!$AJ$24-$AB$14,""))),""))))</f>
        <v>#VALUE!</v>
      </c>
      <c r="AM23" s="50" t="e">
        <f>IF($L$38='SHL Section'!$BF$51,IF('BHL Section 1'!$BG$37=2,'BHL Section 1'!$AG$24-$AB$16,IF('BHL Section 1'!$BG$38=9,'BHL Section 1'!$AI$24-$AB$16,IF('BHL Section 1'!$BG$39=8,'BHL Section 1'!$AK$24-$AB$16,""))),IF($L$38='SHL Section'!$BF$54,IF('BHL Section 1'!$BG$41=2,'BHL Section 1'!$AG$24-$AB$16,IF('BHL Section 1'!$BG$42=9,'BHL Section 1'!$AI$24-$AB$16,IF('BHL Section 1'!$BG$43=8,'BHL Section 1'!$AK$24-$AB$16,""))),IF($L$38='SHL Section'!$BF$57,IF('BHL Section 1'!$BG$45=2,'BHL Section 1'!$AG$24-$AB$16,IF('BHL Section 1'!$BG$46=9,'BHL Section 1'!$AI$24-$AB$16,IF('BHL Section 1'!$BG$47=8,'BHL Section 1'!$AK$24-$AB$16,""))),IF($L$38='SHL Section'!$BF$56,IF('SHL Section'!$BG$45=2,'SHL Section'!$AG$24-$AB$16,IF('SHL Section'!$BG$46=9,'SHL Section'!$AI$24-$AB$16,IF('SHL Section'!$BG$47=8,'SHL Section'!$AK$24-$AB$16,""))),""))))</f>
        <v>#VALUE!</v>
      </c>
      <c r="AN23" s="45" t="e">
        <f>IF($AL$23="","",$AL$23-$BX$26+$AX$22)</f>
        <v>#VALUE!</v>
      </c>
      <c r="AO23" s="45" t="e">
        <f>IF($AM$23="","",$AM$23-$BY$26+$AY$22)</f>
        <v>#VALUE!</v>
      </c>
      <c r="AP23" s="45" t="e">
        <f>IF($AL$23="","",$AL$23+$BP$26-$BJ$22)</f>
        <v>#VALUE!</v>
      </c>
      <c r="AQ23" s="45" t="e">
        <f>IF($AM$23="","",$AM$23+$BQ$26-$BK$22)</f>
        <v>#VALUE!</v>
      </c>
      <c r="AR23" s="45" t="e">
        <f>IF($AL$23="","",$AL$23+$BR$22)</f>
        <v>#VALUE!</v>
      </c>
      <c r="AS23" s="45" t="e">
        <f>IF($AM$23="","",$AM$23+$BS$22)</f>
        <v>#VALUE!</v>
      </c>
      <c r="AT23" s="45" t="e">
        <f>IF($AL$23="","",$AL$23-$BV$22)</f>
        <v>#VALUE!</v>
      </c>
      <c r="AU23" s="45" t="e">
        <f>IF($AM$23="","",$AM$23-$BW$22)</f>
        <v>#VALUE!</v>
      </c>
      <c r="AV23" s="38"/>
      <c r="AW23" s="37"/>
      <c r="BE23" s="37"/>
      <c r="BM23" s="37"/>
      <c r="BU23" s="37"/>
      <c r="CA23" s="19"/>
      <c r="CB23" s="19"/>
      <c r="CC23" s="42"/>
    </row>
    <row r="24" spans="1:83" ht="12" customHeight="1" x14ac:dyDescent="0.25">
      <c r="B24" s="44" t="e">
        <f>IF(AND($AA$10=1,$L$38='SHL Section'!$BF$51,MAX('BHL Section 1'!$BG$37:$BG$40)=4),'BHL Section 1'!$W$24,IF(AND($AA$10=1,$L$38='SHL Section'!$BF$54,MAX('BHL Section 1'!$BG$41:$BG$44)=4),'BHL Section 1'!$W$24,IF(AND($AA$10=1,$L$38='SHL Section'!$BF$57,MAX('BHL Section 1'!$BG$45:$BG$48)=4),'BHL Section 1'!$W$24,'BHL Section 2'!B25)))</f>
        <v>#VALUE!</v>
      </c>
      <c r="C24" s="3"/>
      <c r="D24" s="35"/>
      <c r="E24" s="35"/>
      <c r="F24" s="35"/>
      <c r="G24" s="35"/>
      <c r="H24" s="35"/>
      <c r="I24" s="35"/>
      <c r="J24" s="35"/>
      <c r="K24" s="35"/>
      <c r="L24" s="11"/>
      <c r="M24" s="12"/>
      <c r="N24" s="35"/>
      <c r="O24" s="35"/>
      <c r="P24" s="35"/>
      <c r="Q24" s="35"/>
      <c r="R24" s="35"/>
      <c r="S24" s="35"/>
      <c r="T24" s="35"/>
      <c r="U24" s="35"/>
      <c r="V24" s="21"/>
      <c r="W24" s="154" t="e">
        <f>IF(AND($AA$10=1,$L$38='SHL Section'!$BF$51,MAX('BHL Section 1'!$BG$37:$BG$40)=8),'BHL Section 1'!$B$24,IF(AND($AA$10=1,$L$38='SHL Section'!$BF$54,MAX('BHL Section 1'!$BG$41:$BG$44)=8),'BHL Section 1'!$B$24,IF(AND($AA$10=1,$L$38='SHL Section'!$BF$57,MAX('BHL Section 1'!$BG$45:$BG$48)=8),'BHL Section 1'!$B$24,'BHL Section 2'!W25)))</f>
        <v>#VALUE!</v>
      </c>
      <c r="AA24" s="5"/>
      <c r="AB24" s="5"/>
      <c r="AC24" s="5"/>
      <c r="AD24" s="944"/>
      <c r="AE24" s="911"/>
      <c r="AF24" s="80" t="str">
        <f>IF(ISNUMBER($AF$20),AF$20,IF(ISNUMBER($AH$21),AF$21,IF(ISNUMBER($AJ$22),AF$22,IF(ISNUMBER($AL$23),AF$23,""))))</f>
        <v/>
      </c>
      <c r="AG24" s="80" t="str">
        <f>IF(ISNUMBER($AG$20),AG$20,IF(ISNUMBER($AI$21),AG$21,IF(ISNUMBER($AK$22),AG$22,IF(ISNUMBER($AM$23),AG$23,""))))</f>
        <v/>
      </c>
      <c r="AH24" s="80" t="str">
        <f>IF(ISNUMBER($AF$20),AH$20,IF(ISNUMBER($AH$21),AH$21,IF(ISNUMBER($AJ$22),AH$22,IF(ISNUMBER($AL$23),AH$23,""))))</f>
        <v/>
      </c>
      <c r="AI24" s="80" t="str">
        <f>IF(ISNUMBER($AG$20),AI$20,IF(ISNUMBER($AI$21),AI$21,IF(ISNUMBER($AK$22),AI$22,IF(ISNUMBER($AM$23),AI$23,""))))</f>
        <v/>
      </c>
      <c r="AJ24" s="80" t="str">
        <f>IF(ISNUMBER($AF$20),AJ$20,IF(ISNUMBER($AH$21),AJ$21,IF(ISNUMBER($AJ$22),AJ$22,IF(ISNUMBER($AL$23),AJ$23,""))))</f>
        <v/>
      </c>
      <c r="AK24" s="80" t="str">
        <f>IF(ISNUMBER($AG$20),AK$20,IF(ISNUMBER($AI$21),AK$21,IF(ISNUMBER($AK$22),AK$22,IF(ISNUMBER($AM$23),AK$23,""))))</f>
        <v/>
      </c>
      <c r="AL24" s="80" t="str">
        <f>IF(ISNUMBER($AF$20),AL$20,IF(ISNUMBER($AH$21),AL$21,IF(ISNUMBER($AJ$22),AL$22,IF(ISNUMBER($AL$23),AL$23,""))))</f>
        <v/>
      </c>
      <c r="AM24" s="80" t="str">
        <f>IF(ISNUMBER($AG$20),AM$20,IF(ISNUMBER($AI$21),AM$21,IF(ISNUMBER($AK$22),AM$22,IF(ISNUMBER($AM$23),AM$23,""))))</f>
        <v/>
      </c>
      <c r="AN24" s="80" t="str">
        <f>IF(ISNUMBER($AF$20),AN$20,IF(ISNUMBER($AH$21),AN$21,IF(ISNUMBER($AJ$22),AN$22,IF(ISNUMBER($AL$23),AN$23,""))))</f>
        <v/>
      </c>
      <c r="AO24" s="80" t="str">
        <f>IF(ISNUMBER($AG$20),AO$20,IF(ISNUMBER($AI$21),AO$21,IF(ISNUMBER($AK$22),AO$22,IF(ISNUMBER($AM$23),AO$23,""))))</f>
        <v/>
      </c>
      <c r="AP24" s="80" t="str">
        <f>IF(ISNUMBER($AF$20),AP$20,IF(ISNUMBER($AH$21),AP$21,IF(ISNUMBER($AJ$22),AP$22,IF(ISNUMBER($AL$23),AP$23,""))))</f>
        <v/>
      </c>
      <c r="AQ24" s="80" t="str">
        <f>IF(ISNUMBER($AG$20),AQ$20,IF(ISNUMBER($AI$21),AQ$21,IF(ISNUMBER($AK$22),AQ$22,IF(ISNUMBER($AM$23),AQ$23,""))))</f>
        <v/>
      </c>
      <c r="AR24" s="80" t="str">
        <f>IF(ISNUMBER($AF$20),AR$20,IF(ISNUMBER($AH$21),AR$21,IF(ISNUMBER($AJ$22),AR$22,IF(ISNUMBER($AL$23),AR$23,""))))</f>
        <v/>
      </c>
      <c r="AS24" s="80" t="str">
        <f>IF(ISNUMBER($AG$20),AS$20,IF(ISNUMBER($AI$21),AS$21,IF(ISNUMBER($AK$22),AS$22,IF(ISNUMBER($AM$23),AS$23,""))))</f>
        <v/>
      </c>
      <c r="AT24" s="80" t="str">
        <f>IF(ISNUMBER($AF$20),AT$20,IF(ISNUMBER($AH$21),AT$21,IF(ISNUMBER($AJ$22),AT$22,IF(ISNUMBER($AL$23),AT$23,""))))</f>
        <v/>
      </c>
      <c r="AU24" s="80" t="str">
        <f>IF(ISNUMBER($AG$20),AU$20,IF(ISNUMBER($AI$21),AU$21,IF(ISNUMBER($AK$22),AU$22,IF(ISNUMBER($AM$23),AU$23,""))))</f>
        <v/>
      </c>
      <c r="AV24" s="38" t="s">
        <v>72</v>
      </c>
      <c r="AW24" s="939" t="s">
        <v>183</v>
      </c>
      <c r="AX24" s="832"/>
      <c r="AY24" s="832"/>
      <c r="AZ24" s="832"/>
      <c r="BA24" s="832"/>
      <c r="BB24" s="832"/>
      <c r="BC24" s="832"/>
      <c r="BD24" s="882"/>
      <c r="BE24" s="939" t="s">
        <v>204</v>
      </c>
      <c r="BF24" s="832"/>
      <c r="BG24" s="832"/>
      <c r="BH24" s="832"/>
      <c r="BI24" s="832"/>
      <c r="BJ24" s="832"/>
      <c r="BK24" s="832"/>
      <c r="BL24" s="882"/>
      <c r="BM24" s="939" t="s">
        <v>188</v>
      </c>
      <c r="BN24" s="832"/>
      <c r="BO24" s="832"/>
      <c r="BP24" s="832"/>
      <c r="BQ24" s="832"/>
      <c r="BR24" s="832"/>
      <c r="BS24" s="832"/>
      <c r="BT24" s="882"/>
      <c r="BU24" s="939" t="s">
        <v>197</v>
      </c>
      <c r="BV24" s="832"/>
      <c r="BW24" s="832"/>
      <c r="BX24" s="832"/>
      <c r="BY24" s="832"/>
      <c r="BZ24" s="832"/>
      <c r="CA24" s="832"/>
      <c r="CB24" s="882"/>
    </row>
    <row r="25" spans="1:83" ht="12" customHeight="1" x14ac:dyDescent="0.25">
      <c r="A25" s="17" t="s">
        <v>118</v>
      </c>
      <c r="B25" s="162"/>
      <c r="C25" s="4"/>
      <c r="L25" s="13"/>
      <c r="M25" s="14"/>
      <c r="V25" s="22"/>
      <c r="W25" s="162"/>
      <c r="X25" s="25" t="s">
        <v>118</v>
      </c>
      <c r="AA25" s="5"/>
      <c r="AB25" s="5"/>
      <c r="AC25" s="5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38" t="s">
        <v>330</v>
      </c>
      <c r="AW25" s="39"/>
      <c r="AX25" s="40"/>
      <c r="AY25" s="40"/>
      <c r="AZ25" s="760" t="s">
        <v>113</v>
      </c>
      <c r="BA25" s="761" t="s">
        <v>114</v>
      </c>
      <c r="BB25" s="40"/>
      <c r="BC25" s="40"/>
      <c r="BD25" s="41"/>
      <c r="BE25" s="39"/>
      <c r="BF25" s="40"/>
      <c r="BG25" s="40"/>
      <c r="BH25" s="760" t="s">
        <v>113</v>
      </c>
      <c r="BI25" s="761" t="s">
        <v>114</v>
      </c>
      <c r="BJ25" s="40"/>
      <c r="BK25" s="40"/>
      <c r="BL25" s="41"/>
      <c r="BM25" s="39"/>
      <c r="BN25" s="40"/>
      <c r="BO25" s="40"/>
      <c r="BP25" s="760" t="s">
        <v>113</v>
      </c>
      <c r="BQ25" s="761" t="s">
        <v>114</v>
      </c>
      <c r="BR25" s="40"/>
      <c r="BS25" s="40"/>
      <c r="BT25" s="41"/>
      <c r="BU25" s="39"/>
      <c r="BV25" s="40"/>
      <c r="BW25" s="40"/>
      <c r="BX25" s="760" t="s">
        <v>113</v>
      </c>
      <c r="BY25" s="761" t="s">
        <v>114</v>
      </c>
      <c r="BZ25" s="40"/>
      <c r="CA25" s="40"/>
      <c r="CB25" s="41"/>
    </row>
    <row r="26" spans="1:83" ht="12" customHeight="1" x14ac:dyDescent="0.25">
      <c r="A26" s="17" t="s">
        <v>124</v>
      </c>
      <c r="B26" s="147"/>
      <c r="C26" s="4"/>
      <c r="G26" s="831" t="s">
        <v>343</v>
      </c>
      <c r="H26" s="832"/>
      <c r="I26" s="149"/>
      <c r="L26" s="13"/>
      <c r="M26" s="14"/>
      <c r="Q26" s="831" t="s">
        <v>344</v>
      </c>
      <c r="R26" s="832"/>
      <c r="V26" s="22"/>
      <c r="W26" s="147"/>
      <c r="X26" s="25" t="s">
        <v>124</v>
      </c>
      <c r="AA26" s="5"/>
      <c r="AB26" s="5"/>
      <c r="AC26" s="5"/>
      <c r="AD26" s="52">
        <v>1</v>
      </c>
      <c r="AE26" s="53" t="s">
        <v>272</v>
      </c>
      <c r="AF26" s="47" t="e">
        <f>IF(AND($AT$24+'SHL Section'!$AJ$8&gt;0,$AO$24+'SHL Section'!$AL$8&gt;0),$AF$24+'SHL Section'!$AJ$8,"")</f>
        <v>#VALUE!</v>
      </c>
      <c r="AG26" s="47" t="e">
        <f>IF(AND($AT$24+'SHL Section'!$AJ$8&gt;0,$AO$24+'SHL Section'!$AL$8&gt;0),$AG$24+'SHL Section'!$AL$8,"")</f>
        <v>#VALUE!</v>
      </c>
      <c r="AH26" s="32" t="e">
        <f>IF($AF$26="","",$AZ$26+$AF$26)</f>
        <v>#VALUE!</v>
      </c>
      <c r="AI26" s="32" t="e">
        <f>IF($AG$26="","",$BA$26+$AG$26)</f>
        <v>#VALUE!</v>
      </c>
      <c r="AJ26" s="32" t="e">
        <f>IF($AF$26="","",$BH$26+$AZ$26+$AF$26)</f>
        <v>#VALUE!</v>
      </c>
      <c r="AK26" s="32" t="e">
        <f>IF($AG$26="","",$BA$26+$BI$26+$AG$26)</f>
        <v>#VALUE!</v>
      </c>
      <c r="AL26" s="32" t="e">
        <f>IF($AF$26="","",$BX$26+$AF$26)</f>
        <v>#VALUE!</v>
      </c>
      <c r="AM26" s="32" t="e">
        <f>IF($AG$26="","",$AG$26+$BY$26)</f>
        <v>#VALUE!</v>
      </c>
      <c r="AN26" s="32" t="e">
        <f>IF($AF$26="","",$AX$22+$AF$26)</f>
        <v>#VALUE!</v>
      </c>
      <c r="AO26" s="32" t="e">
        <f>IF($AG$26="","",$AY$22+$AG$26)</f>
        <v>#VALUE!</v>
      </c>
      <c r="AP26" s="32" t="e">
        <f>IF($AF$26="","",$AZ$26+$AF$26+$BF$22)</f>
        <v>#VALUE!</v>
      </c>
      <c r="AQ26" s="32" t="e">
        <f>IF($AG$26="","",$BA$26+$AG$26+$BG$22)</f>
        <v>#VALUE!</v>
      </c>
      <c r="AR26" s="32" t="e">
        <f>IF($AF$26="","",$BX$26+$AF$26+$BR$22)</f>
        <v>#VALUE!</v>
      </c>
      <c r="AS26" s="32" t="e">
        <f>IF($AG$26="","",$AG$26+$BY$26+$BS$22)</f>
        <v>#VALUE!</v>
      </c>
      <c r="AT26" s="32" t="e">
        <f>IF($AF$26="","",$BZ$22+$AF$26)</f>
        <v>#VALUE!</v>
      </c>
      <c r="AU26" s="32" t="e">
        <f>IF($AG$26="","",$AG$26+$CA$22)</f>
        <v>#VALUE!</v>
      </c>
      <c r="AV26" s="38"/>
      <c r="AW26" s="37"/>
      <c r="AZ26" s="811" t="e">
        <f>AX22+BB22</f>
        <v>#VALUE!</v>
      </c>
      <c r="BA26" s="812" t="e">
        <f>AY22+BC22</f>
        <v>#VALUE!</v>
      </c>
      <c r="BD26" s="36"/>
      <c r="BE26" s="37"/>
      <c r="BH26" s="811" t="e">
        <f>BF22+BJ22</f>
        <v>#VALUE!</v>
      </c>
      <c r="BI26" s="812" t="e">
        <f>BG22+BK22</f>
        <v>#VALUE!</v>
      </c>
      <c r="BL26" s="36"/>
      <c r="BM26" s="37"/>
      <c r="BP26" s="811" t="e">
        <f>BN22+BR22</f>
        <v>#VALUE!</v>
      </c>
      <c r="BQ26" s="812" t="e">
        <f>BO22+BS22</f>
        <v>#VALUE!</v>
      </c>
      <c r="BT26" s="36"/>
      <c r="BU26" s="37"/>
      <c r="BX26" s="811" t="e">
        <f>BV22+BZ22</f>
        <v>#VALUE!</v>
      </c>
      <c r="BY26" s="812" t="e">
        <f>BW22+CA22</f>
        <v>#VALUE!</v>
      </c>
      <c r="CA26" s="19"/>
      <c r="CB26" s="36"/>
    </row>
    <row r="27" spans="1:83" ht="12" customHeight="1" x14ac:dyDescent="0.25">
      <c r="A27" s="17" t="s">
        <v>130</v>
      </c>
      <c r="B27" s="147"/>
      <c r="C27" s="4"/>
      <c r="G27" s="99" t="str">
        <f>IF(ISNUMBER($AH$58),$B$8,"")</f>
        <v/>
      </c>
      <c r="H27" s="150" t="str">
        <f>IF(AND(G28="",G29=""),"",IF($AH$58=1,"NE/NW",IF($AH$58=2,"NW/NW",IF($AH$58=3,"SW/NW",IF($AH$58=4,"SE/NW","")))))</f>
        <v/>
      </c>
      <c r="L27" s="13"/>
      <c r="M27" s="14"/>
      <c r="Q27" s="98" t="str">
        <f>IF(ISNUMBER($AF$58),$B$8,"")</f>
        <v/>
      </c>
      <c r="R27" s="150" t="str">
        <f>IF(AND(Q28="",Q29=""),"",IF($AF$58=1,"NE/NE",IF($AF$58=2,"NW/NE",IF($AF$58=3,"SW/NE",IF($AF$58=4,"SE/NE","")))))</f>
        <v/>
      </c>
      <c r="V27" s="22"/>
      <c r="W27" s="147"/>
      <c r="X27" s="25" t="s">
        <v>130</v>
      </c>
      <c r="AA27" s="5"/>
      <c r="AB27" s="5"/>
      <c r="AC27" s="5"/>
      <c r="AD27" s="52">
        <v>2</v>
      </c>
      <c r="AE27" s="53" t="s">
        <v>272</v>
      </c>
      <c r="AF27" s="32" t="e">
        <f>IF($AH$27="","",$AH$27-$AZ$26)</f>
        <v>#VALUE!</v>
      </c>
      <c r="AG27" s="32" t="e">
        <f>IF($AI$27="","",$AI$27-$BA$26)</f>
        <v>#VALUE!</v>
      </c>
      <c r="AH27" s="47" t="e">
        <f>IF(AND($AP$24+'SHL Section'!$AJ$8&gt;0,$AO$24+'SHL Section'!$AL$8&lt;0),$AH$24+'SHL Section'!$AJ$8,"")</f>
        <v>#VALUE!</v>
      </c>
      <c r="AI27" s="47" t="e">
        <f>IF(AND($AP$24+'SHL Section'!$AJ$8&gt;0,$AO$24+'SHL Section'!$AL$8&lt;0),$AI$24+'SHL Section'!$AL$8,"")</f>
        <v>#VALUE!</v>
      </c>
      <c r="AJ27" s="32" t="e">
        <f>IF($AH$27="","",$BH$26+$AH$27)</f>
        <v>#VALUE!</v>
      </c>
      <c r="AK27" s="32" t="e">
        <f>IF($AI$27="","",$AI$27+$BI$26)</f>
        <v>#VALUE!</v>
      </c>
      <c r="AL27" s="32" t="e">
        <f>IF($AH$27="","",$AH$27-$AZ$26+$BX$26)</f>
        <v>#VALUE!</v>
      </c>
      <c r="AM27" s="32" t="e">
        <f>IF($AI$27="","",$AI$27-$BA$26+$BY$26)</f>
        <v>#VALUE!</v>
      </c>
      <c r="AN27" s="32" t="e">
        <f>IF($AH$27="","",$AH$27-$BB$22)</f>
        <v>#VALUE!</v>
      </c>
      <c r="AO27" s="32" t="e">
        <f>IF($AI$27="","",AI$27-$BC$22)</f>
        <v>#VALUE!</v>
      </c>
      <c r="AP27" s="32" t="e">
        <f>IF($AH$27="","",$BF$22+$AH$27)</f>
        <v>#VALUE!</v>
      </c>
      <c r="AQ27" s="32" t="e">
        <f>IF($AI$27="","",$AI$27+$BG$22)</f>
        <v>#VALUE!</v>
      </c>
      <c r="AR27" s="32" t="e">
        <f>IF($AH$27="","",$BH$26+$AH$27-$BN$22)</f>
        <v>#VALUE!</v>
      </c>
      <c r="AS27" s="32" t="e">
        <f>IF($AI$27="","",$AI$27+$BI$26-$BO$22)</f>
        <v>#VALUE!</v>
      </c>
      <c r="AT27" s="32" t="e">
        <f>IF($AH$27="","",$AH$27-$AZ$26+$BZ$22)</f>
        <v>#VALUE!</v>
      </c>
      <c r="AU27" s="32" t="e">
        <f>IF($AI$27="","",$AI$27-$BA$26+$CA$22)</f>
        <v>#VALUE!</v>
      </c>
      <c r="AV27" s="38"/>
      <c r="CA27" s="19"/>
      <c r="CB27" s="19"/>
    </row>
    <row r="28" spans="1:83" ht="12" customHeight="1" x14ac:dyDescent="0.25">
      <c r="A28" s="17" t="s">
        <v>134</v>
      </c>
      <c r="B28" s="147"/>
      <c r="C28" s="4"/>
      <c r="G28" s="151" t="str">
        <f>IF(ISNUMBER($AH$58),$I$8,"")</f>
        <v/>
      </c>
      <c r="H28" s="152" t="str">
        <f>IF(ISNUMBER($AH$58),"FNL","")</f>
        <v/>
      </c>
      <c r="J28" s="19"/>
      <c r="K28" s="19"/>
      <c r="L28" s="13"/>
      <c r="M28" s="14"/>
      <c r="Q28" s="151" t="str">
        <f>IF(ISNUMBER($AF$58),$I$8,"")</f>
        <v/>
      </c>
      <c r="R28" s="152" t="str">
        <f>IF(ISNUMBER($AF$58),"FNL","")</f>
        <v/>
      </c>
      <c r="V28" s="22"/>
      <c r="W28" s="147"/>
      <c r="X28" s="25" t="s">
        <v>134</v>
      </c>
      <c r="AA28" s="5"/>
      <c r="AB28" s="5"/>
      <c r="AC28" s="5"/>
      <c r="AD28" s="52">
        <v>3</v>
      </c>
      <c r="AE28" s="53" t="s">
        <v>272</v>
      </c>
      <c r="AF28" s="32" t="e">
        <f>IF($AJ$28="","",$AJ$28-$BH$26-$AZ$26)</f>
        <v>#VALUE!</v>
      </c>
      <c r="AG28" s="32" t="e">
        <f>IF($AK$28="","",$AK$28-$BI$26-$BA$26)</f>
        <v>#VALUE!</v>
      </c>
      <c r="AH28" s="32" t="e">
        <f>IF($AJ$28="","",$AJ$28-$BH$26)</f>
        <v>#VALUE!</v>
      </c>
      <c r="AI28" s="32" t="e">
        <f>IF($AK$28="","",$AK$28-$BI$26)</f>
        <v>#VALUE!</v>
      </c>
      <c r="AJ28" s="47" t="e">
        <f>IF(AND($AP$24+'SHL Section'!$AJ$8&lt;0,$AS$24+'SHL Section'!$AL$8&lt;0),$AJ$24+'SHL Section'!$AJ$8,"")</f>
        <v>#VALUE!</v>
      </c>
      <c r="AK28" s="47" t="e">
        <f>IF(AND($AP$24+'SHL Section'!$AJ$8&lt;0,$AS$24+'SHL Section'!$AL$8&lt;0),$AK$24+'SHL Section'!$AL$8,"")</f>
        <v>#VALUE!</v>
      </c>
      <c r="AL28" s="32" t="e">
        <f>IF($AJ$28="","",$AJ$28-$BP$26)</f>
        <v>#VALUE!</v>
      </c>
      <c r="AM28" s="32" t="e">
        <f>IF($AK$28="","",$AK$28-$BQ$26)</f>
        <v>#VALUE!</v>
      </c>
      <c r="AN28" s="32" t="e">
        <f>IF($AJ$28="","",$AJ$28-$BH$26-$BB$22)</f>
        <v>#VALUE!</v>
      </c>
      <c r="AO28" s="32" t="e">
        <f>IF($AK$28="","",$AK$28-$BI$26-$BC$22)</f>
        <v>#VALUE!</v>
      </c>
      <c r="AP28" s="32" t="e">
        <f>IF($AJ$28="","",$AJ$28-$BJ$22)</f>
        <v>#VALUE!</v>
      </c>
      <c r="AQ28" s="32" t="e">
        <f>IF($AK$28="","",$AK$28-$BK$22)</f>
        <v>#VALUE!</v>
      </c>
      <c r="AR28" s="32" t="e">
        <f>IF($AJ$28="","",$AJ$28-$BN$22)</f>
        <v>#VALUE!</v>
      </c>
      <c r="AS28" s="32" t="e">
        <f>IF($AK$28="","",$AK$28-$BO$22)</f>
        <v>#VALUE!</v>
      </c>
      <c r="AT28" s="32" t="e">
        <f>IF($AJ$28="","",$AJ$28-$BP$26-$BV$22)</f>
        <v>#VALUE!</v>
      </c>
      <c r="AU28" s="32" t="e">
        <f>IF($AK$28="","",$AK$28-$BQ$26-$BW$22)</f>
        <v>#VALUE!</v>
      </c>
      <c r="AV28" s="38" t="s">
        <v>345</v>
      </c>
      <c r="AW28" s="143" t="e">
        <f>$AX$19/($AW$19^2+$AX$19^2)^0.5</f>
        <v>#VALUE!</v>
      </c>
      <c r="AX28" s="143"/>
      <c r="AY28" s="143" t="e">
        <f>$AZ$19/($AY$19^2+$AZ$19^2)^0.5</f>
        <v>#VALUE!</v>
      </c>
      <c r="AZ28" s="809"/>
      <c r="BA28" s="143" t="e">
        <f>$BB$19/($BA$19^2+$BB$19^2)^0.5</f>
        <v>#VALUE!</v>
      </c>
      <c r="BB28" s="143"/>
      <c r="BC28" s="143" t="e">
        <f>$BD$19/($BC$19^2+$BD$19^2)^0.5</f>
        <v>#VALUE!</v>
      </c>
      <c r="BD28" s="809"/>
      <c r="BE28" s="143" t="e">
        <f>$BE$19/($BE$19^2+$BF$19^2)^0.5</f>
        <v>#VALUE!</v>
      </c>
      <c r="BF28" s="143"/>
      <c r="BG28" s="143" t="e">
        <f>$BG$19/($BG$19^2+$BH$19^2)^0.5</f>
        <v>#VALUE!</v>
      </c>
      <c r="BH28" s="809"/>
      <c r="BI28" s="143" t="e">
        <f>$BI$19/($BI$19^2+$BJ$19^2)^0.5</f>
        <v>#VALUE!</v>
      </c>
      <c r="BJ28" s="143"/>
      <c r="BK28" s="143" t="e">
        <f>$BK$19/($BK$19^2+$BL$19^2)^0.5</f>
        <v>#VALUE!</v>
      </c>
      <c r="BL28" s="809"/>
      <c r="BM28" s="143" t="e">
        <f>$BN$19/($BM$19^2+$BN$19^2)^0.5</f>
        <v>#VALUE!</v>
      </c>
      <c r="BN28" s="143"/>
      <c r="BO28" s="143" t="e">
        <f>$BP$19/($BO$19^2+$BP$19^2)^0.5</f>
        <v>#VALUE!</v>
      </c>
      <c r="BP28" s="809"/>
      <c r="BQ28" s="143" t="e">
        <f>$BR$19/($BQ$19^2+$BR$19^2)^0.5</f>
        <v>#VALUE!</v>
      </c>
      <c r="BR28" s="143"/>
      <c r="BS28" s="143" t="e">
        <f>$BT$19/($BS$19^2+$BT$19^2)^0.5</f>
        <v>#VALUE!</v>
      </c>
      <c r="BT28" s="809"/>
      <c r="BU28" s="143" t="e">
        <f>$BU$19/($BU$19^2+$BV$19^2)^0.5</f>
        <v>#VALUE!</v>
      </c>
      <c r="BV28" s="143"/>
      <c r="BW28" s="143" t="e">
        <f>$BW$19/($BW$19^2+$BX$19^2)^0.5</f>
        <v>#VALUE!</v>
      </c>
      <c r="BX28" s="809"/>
      <c r="BY28" s="143" t="e">
        <f>$BY$19/($BY$19^2+$BZ$19^2)^0.5</f>
        <v>#VALUE!</v>
      </c>
      <c r="BZ28" s="143"/>
      <c r="CA28" s="143" t="e">
        <f>$CA$19/($CA$19^2+$CB$19^2)^0.5</f>
        <v>#VALUE!</v>
      </c>
      <c r="CB28" s="809"/>
    </row>
    <row r="29" spans="1:83" ht="12" customHeight="1" x14ac:dyDescent="0.25">
      <c r="A29" s="17" t="s">
        <v>140</v>
      </c>
      <c r="B29" s="112">
        <v>2</v>
      </c>
      <c r="C29" s="4"/>
      <c r="G29" s="91" t="str">
        <f>IF(ISNUMBER($AH$58),$K$8,"")</f>
        <v/>
      </c>
      <c r="H29" s="90" t="str">
        <f>IF(ISNUMBER($AH$58),"FWL","")</f>
        <v/>
      </c>
      <c r="J29" s="19"/>
      <c r="K29" s="19"/>
      <c r="L29" s="13"/>
      <c r="M29" s="14"/>
      <c r="Q29" s="91" t="str">
        <f>IF(ISNUMBER($AF$58),$K$8,"")</f>
        <v/>
      </c>
      <c r="R29" s="90" t="str">
        <f>IF(ISNUMBER($AF$58),"FEL","")</f>
        <v/>
      </c>
      <c r="V29" s="22"/>
      <c r="W29" s="112">
        <v>2</v>
      </c>
      <c r="X29" s="25" t="s">
        <v>140</v>
      </c>
      <c r="AA29" s="5"/>
      <c r="AB29" s="5"/>
      <c r="AC29" s="5"/>
      <c r="AD29" s="756">
        <v>4</v>
      </c>
      <c r="AE29" s="758" t="s">
        <v>272</v>
      </c>
      <c r="AF29" s="45" t="e">
        <f>IF($AL$29="","",$AL$29-$BX$26)</f>
        <v>#VALUE!</v>
      </c>
      <c r="AG29" s="45" t="e">
        <f>IF($AM$29="","",$AM$29-$BY$26)</f>
        <v>#VALUE!</v>
      </c>
      <c r="AH29" s="45" t="e">
        <f>IF($AL$29="","",$AL$29+$BP$26-$BH$26)</f>
        <v>#VALUE!</v>
      </c>
      <c r="AI29" s="45" t="e">
        <f>IF($AM$29="","",$AM$29+$BQ$26-$BI$26)</f>
        <v>#VALUE!</v>
      </c>
      <c r="AJ29" s="45" t="e">
        <f>IF($AL$29="","",$AL$29+$BP$26)</f>
        <v>#VALUE!</v>
      </c>
      <c r="AK29" s="45" t="e">
        <f>IF($AM$29="","",$AM$29+$BQ$26)</f>
        <v>#VALUE!</v>
      </c>
      <c r="AL29" s="50" t="e">
        <f>IF(AND($AT$24+'SHL Section'!$AJ$8&lt;0,$AS$24+'SHL Section'!$AL$8&gt;0),$AL$24+'SHL Section'!$AJ$8,"")</f>
        <v>#VALUE!</v>
      </c>
      <c r="AM29" s="50" t="e">
        <f>IF(AND($AT$24+'SHL Section'!$AJ$8&lt;0,$AS$24+'SHL Section'!$AL$8&gt;0),$AM$24+'SHL Section'!$AL$8,"")</f>
        <v>#VALUE!</v>
      </c>
      <c r="AN29" s="45" t="e">
        <f>IF($AL$29="","",$AL$29-$BX$26+$AX$22)</f>
        <v>#VALUE!</v>
      </c>
      <c r="AO29" s="45" t="e">
        <f>IF($AM$29="","",$AM$29-$BY$26+$AY$22)</f>
        <v>#VALUE!</v>
      </c>
      <c r="AP29" s="45" t="e">
        <f>IF($AL$29="","",$AL$29+$BP$26-$BJ$22)</f>
        <v>#VALUE!</v>
      </c>
      <c r="AQ29" s="45" t="e">
        <f>IF($AM$29="","",$AM$29+$BQ$26-$BK$22)</f>
        <v>#VALUE!</v>
      </c>
      <c r="AR29" s="45" t="e">
        <f>IF($AL$29="","",$AL$29+$BR$22)</f>
        <v>#VALUE!</v>
      </c>
      <c r="AS29" s="45" t="e">
        <f>IF($AM$29="","",$AM$29+$BS$22)</f>
        <v>#VALUE!</v>
      </c>
      <c r="AT29" s="45" t="e">
        <f>IF($AL$29="","",$AL$29-$BV$22)</f>
        <v>#VALUE!</v>
      </c>
      <c r="AU29" s="45" t="e">
        <f>IF($AM$29="","",$AM$29-$BW$22)</f>
        <v>#VALUE!</v>
      </c>
      <c r="AW29" s="809"/>
      <c r="AX29" s="809"/>
      <c r="AY29" s="809"/>
      <c r="AZ29" s="809"/>
      <c r="BA29" s="809"/>
      <c r="BB29" s="809"/>
      <c r="BC29" s="809"/>
      <c r="BD29" s="809"/>
      <c r="BE29" s="809"/>
      <c r="BF29" s="809"/>
      <c r="BG29" s="809"/>
      <c r="BH29" s="809"/>
      <c r="BI29" s="809"/>
      <c r="BJ29" s="809"/>
      <c r="BK29" s="809"/>
      <c r="BL29" s="809"/>
      <c r="BM29" s="809"/>
      <c r="BN29" s="809"/>
      <c r="BO29" s="809"/>
      <c r="BP29" s="809"/>
      <c r="BQ29" s="809"/>
      <c r="BR29" s="809"/>
      <c r="BS29" s="809"/>
      <c r="BT29" s="809"/>
      <c r="BU29" s="809"/>
      <c r="BV29" s="809"/>
      <c r="BW29" s="809"/>
      <c r="BX29" s="809"/>
      <c r="BY29" s="809"/>
      <c r="BZ29" s="809"/>
      <c r="CA29" s="809"/>
      <c r="CB29" s="809"/>
    </row>
    <row r="30" spans="1:83" ht="12" customHeight="1" x14ac:dyDescent="0.25">
      <c r="A30" s="17" t="s">
        <v>144</v>
      </c>
      <c r="B30" s="27" t="e">
        <f>IF(AND($L$38='SHL Section'!$BF$51,MAX('BHL Section 1'!$BG$37:$BG$40)=4),'BHL Section 1'!$W$30,IF(AND($L$38='SHL Section'!$BF$54,MAX('BHL Section 1'!$BG$41:$BG$44)=4),'BHL Section 1'!$W$30,IF(AND($L$38='SHL Section'!$BF$57,MAX('BHL Section 1'!$BG$45:$BG$48)=4),'BHL Section 1'!$W$30,IF(B26="","",IF(OR(B29=1,B29=4),180-(B26+B27/60+B28/3600),180+(B26+B27/60+B28/3600))))))</f>
        <v>#VALUE!</v>
      </c>
      <c r="C30" s="4"/>
      <c r="G30" s="99" t="str">
        <f>IF(ISNUMBER($AH$69),$B$9,"")</f>
        <v/>
      </c>
      <c r="H30" s="150" t="str">
        <f>IF(AND(G31="",G32=""),"",IF($AH$69=1,"NE/NW",IF($AH$69=2,"NW/NW",IF($AH$69=3,"SW/NW",IF($AH$69=4,"SE/NW","")))))</f>
        <v/>
      </c>
      <c r="J30" s="153"/>
      <c r="K30" s="153"/>
      <c r="L30" s="13"/>
      <c r="M30" s="14"/>
      <c r="Q30" s="98" t="str">
        <f>IF(ISNUMBER($AF$69),$B$9,"")</f>
        <v/>
      </c>
      <c r="R30" s="150" t="str">
        <f>IF(AND(Q31="",Q32=""),"",IF($AF$69=1,"NE/NE",IF($AF$69=2,"NW/NE",IF($AF$69=3,"SW/NE",IF($AF$69=4,"SE/NE","")))))</f>
        <v/>
      </c>
      <c r="V30" s="22"/>
      <c r="W30" s="34" t="e">
        <f>IF(AND($L$38='SHL Section'!$BF$51,MAX('BHL Section 1'!$BG$37:$BG$40)=8),'BHL Section 1'!$B$30,IF(AND($L$38='SHL Section'!$BF$54,MAX('BHL Section 1'!$BG$41:$BG$44)=8),'BHL Section 1'!$B$30,IF(AND($L$38='SHL Section'!$BF$57,MAX('BHL Section 1'!$BG$45:$BG$48)=8),'BHL Section 1'!$B$30,IF(W26="","",IF(OR(W29=1,W29=4),180-(W26+W27/60+W28/3600),180+(W26+W27/60+W28/3600))))))</f>
        <v>#VALUE!</v>
      </c>
      <c r="X30" s="25" t="s">
        <v>144</v>
      </c>
      <c r="AA30" s="5"/>
      <c r="AB30" s="5"/>
      <c r="AC30" s="5"/>
      <c r="AD30" s="944"/>
      <c r="AE30" s="911"/>
      <c r="AF30" s="80" t="str">
        <f>IF(ISNUMBER($AF$26),AF$26,IF(ISNUMBER($AH$27),AF$27,IF(ISNUMBER($AJ$28),AF$28,IF(ISNUMBER($AL$29),AF$29,""))))</f>
        <v/>
      </c>
      <c r="AG30" s="80" t="str">
        <f>IF(ISNUMBER($AG$26),AG$26,IF(ISNUMBER($AI$27),AG$27,IF(ISNUMBER($AK$28),AG$28,IF(ISNUMBER($AM$29),AG$29,""))))</f>
        <v/>
      </c>
      <c r="AH30" s="80" t="str">
        <f>IF(ISNUMBER($AF$26),AH$26,IF(ISNUMBER($AH$27),AH$27,IF(ISNUMBER($AJ$28),AH$28,IF(ISNUMBER($AL$29),AH$29,""))))</f>
        <v/>
      </c>
      <c r="AI30" s="80" t="str">
        <f>IF(ISNUMBER($AG$26),AI$26,IF(ISNUMBER($AI$27),AI$27,IF(ISNUMBER($AK$28),AI$28,IF(ISNUMBER($AM$29),AI$29,""))))</f>
        <v/>
      </c>
      <c r="AJ30" s="80" t="str">
        <f>IF(ISNUMBER($AF$26),AJ$26,IF(ISNUMBER($AH$27),AJ$27,IF(ISNUMBER($AJ$28),AJ$28,IF(ISNUMBER($AL$29),AJ$29,""))))</f>
        <v/>
      </c>
      <c r="AK30" s="80" t="str">
        <f>IF(ISNUMBER($AG$26),AK$26,IF(ISNUMBER($AI$27),AK$27,IF(ISNUMBER($AK$28),AK$28,IF(ISNUMBER($AM$29),AK$29,""))))</f>
        <v/>
      </c>
      <c r="AL30" s="80" t="str">
        <f>IF(ISNUMBER($AF$26),AL$26,IF(ISNUMBER($AH$27),AL$27,IF(ISNUMBER($AJ$28),AL$28,IF(ISNUMBER($AL$29),AL$29,""))))</f>
        <v/>
      </c>
      <c r="AM30" s="80" t="str">
        <f>IF(ISNUMBER($AG$26),AM$26,IF(ISNUMBER($AI$27),AM$27,IF(ISNUMBER($AK$28),AM$28,IF(ISNUMBER($AM$29),AM$29,""))))</f>
        <v/>
      </c>
      <c r="AN30" s="80" t="str">
        <f>IF(ISNUMBER($AF$26),AN$26,IF(ISNUMBER($AH$27),AN$27,IF(ISNUMBER($AJ$28),AN$28,IF(ISNUMBER($AL$29),AN$29,""))))</f>
        <v/>
      </c>
      <c r="AO30" s="80" t="str">
        <f>IF(ISNUMBER($AG$26),AO$26,IF(ISNUMBER($AI$27),AO$27,IF(ISNUMBER($AK$28),AO$28,IF(ISNUMBER($AM$29),AO$29,""))))</f>
        <v/>
      </c>
      <c r="AP30" s="80" t="str">
        <f>IF(ISNUMBER($AF$26),AP$26,IF(ISNUMBER($AH$27),AP$27,IF(ISNUMBER($AJ$28),AP$28,IF(ISNUMBER($AL$29),AP$29,""))))</f>
        <v/>
      </c>
      <c r="AQ30" s="80" t="str">
        <f>IF(ISNUMBER($AG$26),AQ$26,IF(ISNUMBER($AI$27),AQ$27,IF(ISNUMBER($AK$28),AQ$28,IF(ISNUMBER($AM$29),AQ$29,""))))</f>
        <v/>
      </c>
      <c r="AR30" s="80" t="str">
        <f>IF(ISNUMBER($AF$26),AR$26,IF(ISNUMBER($AH$27),AR$27,IF(ISNUMBER($AJ$28),AR$28,IF(ISNUMBER($AL$29),AR$29,""))))</f>
        <v/>
      </c>
      <c r="AS30" s="80" t="str">
        <f>IF(ISNUMBER($AG$26),AS$26,IF(ISNUMBER($AI$27),AS$27,IF(ISNUMBER($AK$28),AS$28,IF(ISNUMBER($AM$29),AS$29,""))))</f>
        <v/>
      </c>
      <c r="AT30" s="80" t="str">
        <f>IF(ISNUMBER($AF$26),AT$26,IF(ISNUMBER($AH$27),AT$27,IF(ISNUMBER($AJ$28),AT$28,IF(ISNUMBER($AL$29),AT$29,""))))</f>
        <v/>
      </c>
      <c r="AU30" s="80" t="str">
        <f>IF(ISNUMBER($AG$26),AU$26,IF(ISNUMBER($AI$27),AU$27,IF(ISNUMBER($AK$28),AU$28,IF(ISNUMBER($AM$29),AU$29,""))))</f>
        <v/>
      </c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  <c r="CB30" s="809"/>
    </row>
    <row r="31" spans="1:83" ht="12" customHeight="1" x14ac:dyDescent="0.25">
      <c r="C31" s="4"/>
      <c r="G31" s="151" t="str">
        <f>IF(ISNUMBER($AH$69),$I$9,"")</f>
        <v/>
      </c>
      <c r="H31" s="152" t="str">
        <f>IF(ISNUMBER($AH$69),"FNL","")</f>
        <v/>
      </c>
      <c r="J31" s="153"/>
      <c r="K31" s="153"/>
      <c r="L31" s="13"/>
      <c r="M31" s="14"/>
      <c r="Q31" s="151" t="str">
        <f>IF(ISNUMBER($AF$69),$I$9,"")</f>
        <v/>
      </c>
      <c r="R31" s="152" t="str">
        <f>IF(ISNUMBER($AF$69),"FNL","")</f>
        <v/>
      </c>
      <c r="V31" s="22"/>
      <c r="AA31" s="5"/>
      <c r="AB31" s="5"/>
      <c r="AC31" s="5"/>
      <c r="AD31" s="94"/>
      <c r="AE31" s="95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  <c r="CB31" s="809"/>
    </row>
    <row r="32" spans="1:83" ht="12" customHeight="1" x14ac:dyDescent="0.25">
      <c r="B32" s="44" t="e">
        <f>IF(AND($AA$10=1,$L$38='SHL Section'!$BF$51,MAX('BHL Section 1'!$BG$37:$BG$40)=4),'BHL Section 1'!$W$32,IF(AND($AA$10=1,$L$38='SHL Section'!$BF$54,MAX('BHL Section 1'!$BG$41:$BG$44)=4),'BHL Section 1'!$W$32,IF(AND($AA$10=1,$L$38='SHL Section'!$BF$57,MAX('BHL Section 1'!$BG$45:$BG$48)=4),'BHL Section 1'!$W$32,'BHL Section 2'!B33)))</f>
        <v>#VALUE!</v>
      </c>
      <c r="C32" s="4"/>
      <c r="F32" s="19"/>
      <c r="G32" s="91" t="str">
        <f>IF(ISNUMBER($AH$69),$K$9,"")</f>
        <v/>
      </c>
      <c r="H32" s="90" t="str">
        <f>IF(ISNUMBER($AH$69),"FWL","")</f>
        <v/>
      </c>
      <c r="I32" s="154"/>
      <c r="J32" s="153"/>
      <c r="K32" s="153"/>
      <c r="L32" s="13"/>
      <c r="M32" s="14"/>
      <c r="Q32" s="91" t="str">
        <f>IF(ISNUMBER($AF$69),$K$9,"")</f>
        <v/>
      </c>
      <c r="R32" s="90" t="str">
        <f>IF(ISNUMBER($AF$69),"FEL","")</f>
        <v/>
      </c>
      <c r="V32" s="22"/>
      <c r="W32" s="154" t="e">
        <f>IF(AND($AA$10=1,$L$38='SHL Section'!$BF$51,MAX('BHL Section 1'!$BG$37:$BG$40)=8),'BHL Section 1'!$B$32,IF(AND($AA$10=1,$L$38='SHL Section'!$BF$54,MAX('BHL Section 1'!$BG$41:$BG$44)=8),'BHL Section 1'!$B$32,IF(AND($AA$10=1,$L$38='SHL Section'!$BF$57,MAX('BHL Section 1'!$BG$45:$BG$48)=8),'BHL Section 1'!$B$32,'BHL Section 2'!W33)))</f>
        <v>#VALUE!</v>
      </c>
      <c r="AA32" s="5"/>
      <c r="AB32" s="5"/>
      <c r="AC32" s="5"/>
      <c r="AD32" s="52">
        <v>1</v>
      </c>
      <c r="AE32" s="53" t="s">
        <v>274</v>
      </c>
      <c r="AF32" s="47" t="e">
        <f>IF(AND($AT$24+'SHL Section'!$AJ$9&gt;0,$AO$24+'SHL Section'!$AL$9&gt;0),$AF$24+'SHL Section'!$AJ$9,"")</f>
        <v>#VALUE!</v>
      </c>
      <c r="AG32" s="47" t="e">
        <f>IF(AND($AT$24+'SHL Section'!$AJ$9&gt;0,$AO$24+'SHL Section'!$AL$9&gt;0),$AG$24+'SHL Section'!$AL$9,"")</f>
        <v>#VALUE!</v>
      </c>
      <c r="AH32" s="32" t="e">
        <f>IF($AF$32="","",$AZ$26+$AF$32)</f>
        <v>#VALUE!</v>
      </c>
      <c r="AI32" s="32" t="e">
        <f>IF($AG$32="","",$BA$26+$AG$32)</f>
        <v>#VALUE!</v>
      </c>
      <c r="AJ32" s="32" t="e">
        <f>IF($AF$32="","",$BH$26+$AZ$26+$AF$32)</f>
        <v>#VALUE!</v>
      </c>
      <c r="AK32" s="32" t="e">
        <f>IF($AG$32="","",$BA$26+$BI$26+$AG$32)</f>
        <v>#VALUE!</v>
      </c>
      <c r="AL32" s="32" t="e">
        <f>IF($AF$32="","",$BX$26+$AF$32)</f>
        <v>#VALUE!</v>
      </c>
      <c r="AM32" s="32" t="e">
        <f>IF($AG$32="","",$AG$32+$BY$26)</f>
        <v>#VALUE!</v>
      </c>
      <c r="AN32" s="32" t="e">
        <f>IF($AF$32="","",$AX$22+$AF$32)</f>
        <v>#VALUE!</v>
      </c>
      <c r="AO32" s="32" t="e">
        <f>IF($AG$32="","",$AY$22+$AG$32)</f>
        <v>#VALUE!</v>
      </c>
      <c r="AP32" s="32" t="e">
        <f>IF($AF$32="","",$AZ$26+$AF$32+$BF$22)</f>
        <v>#VALUE!</v>
      </c>
      <c r="AQ32" s="32" t="e">
        <f>IF($AG$32="","",$BA$26+$AG$32+$BG$22)</f>
        <v>#VALUE!</v>
      </c>
      <c r="AR32" s="32" t="e">
        <f>IF($AF$32="","",$BX$26+$AF$32+$BR$22)</f>
        <v>#VALUE!</v>
      </c>
      <c r="AS32" s="32" t="e">
        <f>IF($AG$32="","",$AG$32+$BY$26+$BS$22)</f>
        <v>#VALUE!</v>
      </c>
      <c r="AT32" s="32" t="e">
        <f>IF($AF$32="","",$BZ$22+$AF$32)</f>
        <v>#VALUE!</v>
      </c>
      <c r="AU32" s="32" t="e">
        <f>IF($AG$32="","",$AG$32+$CA$22)</f>
        <v>#VALUE!</v>
      </c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  <c r="CB32" s="809"/>
    </row>
    <row r="33" spans="1:80" ht="12" customHeight="1" x14ac:dyDescent="0.25">
      <c r="A33" s="17" t="s">
        <v>118</v>
      </c>
      <c r="B33" s="217">
        <v>2700.49</v>
      </c>
      <c r="C33" s="4"/>
      <c r="G33" s="99" t="str">
        <f>IF(ISNUMBER($AH$80),$B$10,"")</f>
        <v/>
      </c>
      <c r="H33" s="150" t="str">
        <f>IF(AND(G34="",G35=""),"",IF($AH$80=1,"NE/NW",IF($AH$80=2,"NW/NW",IF($AH$80=3,"SW/NW",IF($AH$80=4,"SE/NW","")))))</f>
        <v/>
      </c>
      <c r="J33" s="153"/>
      <c r="K33" s="153"/>
      <c r="L33" s="13"/>
      <c r="M33" s="14"/>
      <c r="Q33" s="98" t="str">
        <f>IF(ISNUMBER($AF$80),$B$10,"")</f>
        <v/>
      </c>
      <c r="R33" s="150" t="str">
        <f>IF(AND(Q34="",Q35=""),"",IF($AF$80=1,"NE/NE",IF($AF$80=2,"NW/NE",IF($AF$80=3,"SW/NE",IF($AF$80=4,"SE/NE","")))))</f>
        <v/>
      </c>
      <c r="S33" s="154"/>
      <c r="T33" s="153"/>
      <c r="U33" s="5"/>
      <c r="V33" s="22"/>
      <c r="W33" s="113">
        <v>2668.51</v>
      </c>
      <c r="X33" s="25" t="s">
        <v>118</v>
      </c>
      <c r="AA33" s="5"/>
      <c r="AB33" s="5"/>
      <c r="AC33" s="5"/>
      <c r="AD33" s="52">
        <v>2</v>
      </c>
      <c r="AE33" s="53" t="s">
        <v>274</v>
      </c>
      <c r="AF33" s="32" t="e">
        <f>IF($AH$33="","",$AH$33-$AZ$26)</f>
        <v>#VALUE!</v>
      </c>
      <c r="AG33" s="32" t="e">
        <f>IF($AI$33="","",$AI$33-$BA$26)</f>
        <v>#VALUE!</v>
      </c>
      <c r="AH33" s="47" t="e">
        <f>IF(AND($AP$24+'SHL Section'!$AJ$9&gt;0,$AO$24+'SHL Section'!$AL$9&lt;0),$AH$24+'SHL Section'!$AJ$9,"")</f>
        <v>#VALUE!</v>
      </c>
      <c r="AI33" s="47" t="e">
        <f>IF(AND($AP$24+'SHL Section'!$AJ$9&gt;0,$AO$24+'SHL Section'!$AL$9&lt;0),$AI$24+'SHL Section'!$AL$9,"")</f>
        <v>#VALUE!</v>
      </c>
      <c r="AJ33" s="32" t="e">
        <f>IF($AH$33="","",$BH$26+$AH$33)</f>
        <v>#VALUE!</v>
      </c>
      <c r="AK33" s="32" t="e">
        <f>IF($AI$33="","",$AI$33+$BI$26)</f>
        <v>#VALUE!</v>
      </c>
      <c r="AL33" s="32" t="e">
        <f>IF($AH$33="","",$AH$33-$AZ$26+$BX$26)</f>
        <v>#VALUE!</v>
      </c>
      <c r="AM33" s="32" t="e">
        <f>IF($AI$33="","",$AI$33-$BA$26+$BY$26)</f>
        <v>#VALUE!</v>
      </c>
      <c r="AN33" s="32" t="e">
        <f>IF($AH$33="","",$AH$33-$BB$22)</f>
        <v>#VALUE!</v>
      </c>
      <c r="AO33" s="32" t="e">
        <f>IF($AI$33="","",AI$33-$BC$22)</f>
        <v>#VALUE!</v>
      </c>
      <c r="AP33" s="32" t="e">
        <f>IF($AH$33="","",$BF$22+$AH$33)</f>
        <v>#VALUE!</v>
      </c>
      <c r="AQ33" s="32" t="e">
        <f>IF($AI$33="","",$AI$33+$BG$22)</f>
        <v>#VALUE!</v>
      </c>
      <c r="AR33" s="32" t="e">
        <f>IF($AH$33="","",$BH$26+$AH$33-$BN$22)</f>
        <v>#VALUE!</v>
      </c>
      <c r="AS33" s="32" t="e">
        <f>IF($AI$33="","",$AI$33+$BI$26-$BO$22)</f>
        <v>#VALUE!</v>
      </c>
      <c r="AT33" s="32" t="e">
        <f>IF($AH$33="","",$AH$33-$AZ$26+$BZ$22)</f>
        <v>#VALUE!</v>
      </c>
      <c r="AU33" s="32" t="e">
        <f>IF($AI$33="","",$AI$33-$BA$26+$CA$22)</f>
        <v>#VALUE!</v>
      </c>
    </row>
    <row r="34" spans="1:80" ht="12" customHeight="1" x14ac:dyDescent="0.25">
      <c r="A34" s="17" t="s">
        <v>124</v>
      </c>
      <c r="B34" s="148">
        <v>0</v>
      </c>
      <c r="C34" s="4"/>
      <c r="G34" s="151" t="str">
        <f>IF(ISNUMBER($AH$80),$I$10,"")</f>
        <v/>
      </c>
      <c r="H34" s="152" t="str">
        <f>IF(ISNUMBER($AH$80),"FNL","")</f>
        <v/>
      </c>
      <c r="J34" s="153"/>
      <c r="K34" s="153"/>
      <c r="L34" s="13"/>
      <c r="M34" s="14"/>
      <c r="Q34" s="151" t="str">
        <f>IF(ISNUMBER($AF$80),$I$10,"")</f>
        <v/>
      </c>
      <c r="R34" s="152" t="str">
        <f>IF(ISNUMBER($AF$80),"FNL","")</f>
        <v/>
      </c>
      <c r="S34" s="154"/>
      <c r="T34" s="153"/>
      <c r="U34" s="5"/>
      <c r="V34" s="22"/>
      <c r="W34" s="148">
        <v>0</v>
      </c>
      <c r="X34" s="25" t="s">
        <v>124</v>
      </c>
      <c r="AA34" s="5"/>
      <c r="AB34" s="5"/>
      <c r="AC34" s="5"/>
      <c r="AD34" s="52">
        <v>3</v>
      </c>
      <c r="AE34" s="53" t="s">
        <v>274</v>
      </c>
      <c r="AF34" s="32" t="e">
        <f>IF($AJ$34="","",$AJ$34-$BH$26-$AZ$26)</f>
        <v>#VALUE!</v>
      </c>
      <c r="AG34" s="32" t="e">
        <f>IF($AK$34="","",$AK$34-$BI$26-$BA$26)</f>
        <v>#VALUE!</v>
      </c>
      <c r="AH34" s="32" t="e">
        <f>IF($AJ$34="","",$AJ$34-$BH$26)</f>
        <v>#VALUE!</v>
      </c>
      <c r="AI34" s="32" t="e">
        <f>IF($AK$34="","",$AK$34-$BI$26)</f>
        <v>#VALUE!</v>
      </c>
      <c r="AJ34" s="47" t="e">
        <f>IF(AND($AP$24+'SHL Section'!$AJ$9&lt;0,$AS$24+'SHL Section'!$AL$9&lt;0),$AJ$24+'SHL Section'!$AJ$9,"")</f>
        <v>#VALUE!</v>
      </c>
      <c r="AK34" s="47" t="e">
        <f>IF(AND($AP$24+'SHL Section'!$AJ$9&lt;0,$AS$24+'SHL Section'!$AL$9&lt;0),$AK$24+'SHL Section'!$AL$9,"")</f>
        <v>#VALUE!</v>
      </c>
      <c r="AL34" s="32" t="e">
        <f>IF($AJ$34="","",$AJ$34-$BP$26)</f>
        <v>#VALUE!</v>
      </c>
      <c r="AM34" s="32" t="e">
        <f>IF($AK$34="","",$AK$34-$BQ$26)</f>
        <v>#VALUE!</v>
      </c>
      <c r="AN34" s="32" t="e">
        <f>IF($AJ$34="","",$AJ$34-$BH$26-$BB$22)</f>
        <v>#VALUE!</v>
      </c>
      <c r="AO34" s="32" t="e">
        <f>IF($AK$34="","",$AK$34-$BI$26-$BC$22)</f>
        <v>#VALUE!</v>
      </c>
      <c r="AP34" s="32" t="e">
        <f>IF($AJ$34="","",$AJ$34-$BJ$22)</f>
        <v>#VALUE!</v>
      </c>
      <c r="AQ34" s="32" t="e">
        <f>IF($AK$34="","",$AK$34-$BK$22)</f>
        <v>#VALUE!</v>
      </c>
      <c r="AR34" s="32" t="e">
        <f>IF($AJ$34="","",$AJ$34-$BN$22)</f>
        <v>#VALUE!</v>
      </c>
      <c r="AS34" s="32" t="e">
        <f>IF($AK$34="","",$AK$34-$BO$22)</f>
        <v>#VALUE!</v>
      </c>
      <c r="AT34" s="32" t="e">
        <f>IF($AJ$34="","",$AJ$34-$BP$26-$BV$22)</f>
        <v>#VALUE!</v>
      </c>
      <c r="AU34" s="32" t="e">
        <f>IF($AK$34="","",$AK$34-$BQ$26-$BW$22)</f>
        <v>#VALUE!</v>
      </c>
      <c r="CA34" s="19"/>
      <c r="CB34" s="19"/>
    </row>
    <row r="35" spans="1:80" ht="12" customHeight="1" x14ac:dyDescent="0.25">
      <c r="A35" s="17" t="s">
        <v>130</v>
      </c>
      <c r="B35" s="148">
        <v>33</v>
      </c>
      <c r="C35" s="4"/>
      <c r="G35" s="91" t="str">
        <f>IF(ISNUMBER($AH$80),$K$10,"")</f>
        <v/>
      </c>
      <c r="H35" s="90" t="str">
        <f>IF(ISNUMBER($AH$80),"FWL","")</f>
        <v/>
      </c>
      <c r="J35" s="153"/>
      <c r="K35" s="153"/>
      <c r="L35" s="13"/>
      <c r="M35" s="14"/>
      <c r="Q35" s="91" t="str">
        <f>IF(ISNUMBER($AF$80),$K$10,"")</f>
        <v/>
      </c>
      <c r="R35" s="90" t="str">
        <f>IF(ISNUMBER($AF$80),"FEL","")</f>
        <v/>
      </c>
      <c r="S35" s="154"/>
      <c r="T35" s="153"/>
      <c r="U35" s="5"/>
      <c r="V35" s="22"/>
      <c r="W35" s="148">
        <v>7</v>
      </c>
      <c r="X35" s="25" t="s">
        <v>130</v>
      </c>
      <c r="AA35" s="5"/>
      <c r="AB35" s="29"/>
      <c r="AC35" s="29"/>
      <c r="AD35" s="756">
        <v>4</v>
      </c>
      <c r="AE35" s="758" t="s">
        <v>274</v>
      </c>
      <c r="AF35" s="45" t="e">
        <f>IF($AL$35="","",$AL$35-$BX$26)</f>
        <v>#VALUE!</v>
      </c>
      <c r="AG35" s="45" t="e">
        <f>IF($AM$35="","",$AM$35-$BY$26)</f>
        <v>#VALUE!</v>
      </c>
      <c r="AH35" s="45" t="e">
        <f>IF($AL$35="","",$AL$35+$BP$26-$BH$26)</f>
        <v>#VALUE!</v>
      </c>
      <c r="AI35" s="45" t="e">
        <f>IF($AM$35="","",$AM$35+$BQ$26-$BI$26)</f>
        <v>#VALUE!</v>
      </c>
      <c r="AJ35" s="45" t="e">
        <f>IF($AL$35="","",$AL$35+$BP$26)</f>
        <v>#VALUE!</v>
      </c>
      <c r="AK35" s="45" t="e">
        <f>IF($AM$35="","",$AM$35+$BQ$26)</f>
        <v>#VALUE!</v>
      </c>
      <c r="AL35" s="50" t="e">
        <f>IF(AND($AT$24+'SHL Section'!$AJ$9&lt;0,$AS$24+'SHL Section'!$AL$9&gt;0),$AL$24+'SHL Section'!$AJ$9,"")</f>
        <v>#VALUE!</v>
      </c>
      <c r="AM35" s="50" t="e">
        <f>IF(AND($AT$24+'SHL Section'!$AJ$9&lt;0,$AS$24+'SHL Section'!$AL$9&gt;0),$AM$24+'SHL Section'!$AL$9,"")</f>
        <v>#VALUE!</v>
      </c>
      <c r="AN35" s="45" t="e">
        <f>IF($AL$35="","",$AL$35-$BX$26+$AX$22)</f>
        <v>#VALUE!</v>
      </c>
      <c r="AO35" s="45" t="e">
        <f>IF($AM$35="","",$AM$35-$BY$26+$AY$22)</f>
        <v>#VALUE!</v>
      </c>
      <c r="AP35" s="45" t="e">
        <f>IF($AL$35="","",$AL$35+$BP$26-$BJ$22)</f>
        <v>#VALUE!</v>
      </c>
      <c r="AQ35" s="45" t="e">
        <f>IF($AM$35="","",$AM$35+$BQ$26-$BK$22)</f>
        <v>#VALUE!</v>
      </c>
      <c r="AR35" s="45" t="e">
        <f>IF($AL$35="","",$AL$35+$BR$22)</f>
        <v>#VALUE!</v>
      </c>
      <c r="AS35" s="45" t="e">
        <f>IF($AM$35="","",$AM$35+$BS$22)</f>
        <v>#VALUE!</v>
      </c>
      <c r="AT35" s="45" t="e">
        <f>IF($AL$35="","",$AL$35-$BV$22)</f>
        <v>#VALUE!</v>
      </c>
      <c r="AU35" s="45" t="e">
        <f>IF($AM$35="","",$AM$35-$BW$22)</f>
        <v>#VALUE!</v>
      </c>
      <c r="BH35" s="53">
        <v>1</v>
      </c>
      <c r="BI35" s="53">
        <v>2</v>
      </c>
      <c r="BJ35" s="53">
        <v>3</v>
      </c>
      <c r="BK35" s="53">
        <v>4</v>
      </c>
      <c r="BL35" s="53">
        <v>5</v>
      </c>
      <c r="BM35" s="53">
        <v>6</v>
      </c>
      <c r="BN35" s="53">
        <v>7</v>
      </c>
      <c r="BO35" s="53">
        <v>8</v>
      </c>
      <c r="BP35" s="53">
        <v>9</v>
      </c>
      <c r="CA35" s="19"/>
      <c r="CB35" s="19"/>
    </row>
    <row r="36" spans="1:80" ht="12" customHeight="1" x14ac:dyDescent="0.25">
      <c r="A36" s="17" t="s">
        <v>134</v>
      </c>
      <c r="B36" s="148">
        <v>15</v>
      </c>
      <c r="C36" s="4"/>
      <c r="J36" s="153"/>
      <c r="K36" s="153"/>
      <c r="L36" s="13"/>
      <c r="M36" s="14"/>
      <c r="S36" s="154"/>
      <c r="T36" s="153"/>
      <c r="U36" s="5"/>
      <c r="V36" s="22"/>
      <c r="W36" s="148">
        <v>36</v>
      </c>
      <c r="X36" s="25" t="s">
        <v>134</v>
      </c>
      <c r="AA36" s="5"/>
      <c r="AB36" s="29"/>
      <c r="AC36" s="29"/>
      <c r="AD36" s="944"/>
      <c r="AE36" s="911"/>
      <c r="AF36" s="80" t="str">
        <f>IF(ISNUMBER($AF$32),AF$32,IF(ISNUMBER($AH$33),AF$33,IF(ISNUMBER($AJ$34),AF$34,IF(ISNUMBER($AL$35),AF$35,""))))</f>
        <v/>
      </c>
      <c r="AG36" s="80" t="str">
        <f>IF(ISNUMBER($AG$32),AG$32,IF(ISNUMBER($AI$33),AG$33,IF(ISNUMBER($AK$34),AG$34,IF(ISNUMBER($AM$35),AG$35,""))))</f>
        <v/>
      </c>
      <c r="AH36" s="80" t="str">
        <f>IF(ISNUMBER($AF$32),AH$32,IF(ISNUMBER($AH$33),AH$33,IF(ISNUMBER($AJ$34),AH$34,IF(ISNUMBER($AL$35),AH$35,""))))</f>
        <v/>
      </c>
      <c r="AI36" s="80" t="str">
        <f>IF(ISNUMBER($AG$32),AI$32,IF(ISNUMBER($AI$33),AI$33,IF(ISNUMBER($AK$34),AI$34,IF(ISNUMBER($AM$35),AI$35,""))))</f>
        <v/>
      </c>
      <c r="AJ36" s="80" t="str">
        <f>IF(ISNUMBER($AF$32),AJ$32,IF(ISNUMBER($AH$33),AJ$33,IF(ISNUMBER($AJ$34),AJ$34,IF(ISNUMBER($AL$35),AJ$35,""))))</f>
        <v/>
      </c>
      <c r="AK36" s="80" t="str">
        <f>IF(ISNUMBER($AG$32),AK$32,IF(ISNUMBER($AI$33),AK$33,IF(ISNUMBER($AK$34),AK$34,IF(ISNUMBER($AM$35),AK$35,""))))</f>
        <v/>
      </c>
      <c r="AL36" s="80" t="str">
        <f>IF(ISNUMBER($AF$32),AL$32,IF(ISNUMBER($AH$33),AL$33,IF(ISNUMBER($AJ$34),AL$34,IF(ISNUMBER($AL$35),AL$35,""))))</f>
        <v/>
      </c>
      <c r="AM36" s="80" t="str">
        <f>IF(ISNUMBER($AG$32),AM$32,IF(ISNUMBER($AI$33),AM$33,IF(ISNUMBER($AK$34),AM$34,IF(ISNUMBER($AM$35),AM$35,""))))</f>
        <v/>
      </c>
      <c r="AN36" s="80" t="str">
        <f>IF(ISNUMBER($AF$32),AN$32,IF(ISNUMBER($AH$33),AN$33,IF(ISNUMBER($AJ$34),AN$34,IF(ISNUMBER($AL$35),AN$35,""))))</f>
        <v/>
      </c>
      <c r="AO36" s="80" t="str">
        <f>IF(ISNUMBER($AG$32),AO$32,IF(ISNUMBER($AI$33),AO$33,IF(ISNUMBER($AK$34),AO$34,IF(ISNUMBER($AM$35),AO$35,""))))</f>
        <v/>
      </c>
      <c r="AP36" s="80" t="str">
        <f>IF(ISNUMBER($AF$32),AP$32,IF(ISNUMBER($AH$33),AP$33,IF(ISNUMBER($AJ$34),AP$34,IF(ISNUMBER($AL$35),AP$35,""))))</f>
        <v/>
      </c>
      <c r="AQ36" s="80" t="str">
        <f>IF(ISNUMBER($AG$32),AQ$32,IF(ISNUMBER($AI$33),AQ$33,IF(ISNUMBER($AK$34),AQ$34,IF(ISNUMBER($AM$35),AQ$35,""))))</f>
        <v/>
      </c>
      <c r="AR36" s="80" t="str">
        <f>IF(ISNUMBER($AF$32),AR$32,IF(ISNUMBER($AH$33),AR$33,IF(ISNUMBER($AJ$34),AR$34,IF(ISNUMBER($AL$35),AR$35,""))))</f>
        <v/>
      </c>
      <c r="AS36" s="80" t="str">
        <f>IF(ISNUMBER($AG$32),AS$32,IF(ISNUMBER($AI$33),AS$33,IF(ISNUMBER($AK$34),AS$34,IF(ISNUMBER($AM$35),AS$35,""))))</f>
        <v/>
      </c>
      <c r="AT36" s="80" t="str">
        <f>IF(ISNUMBER($AF$32),AT$32,IF(ISNUMBER($AH$33),AT$33,IF(ISNUMBER($AJ$34),AT$34,IF(ISNUMBER($AL$35),AT$35,""))))</f>
        <v/>
      </c>
      <c r="AU36" s="80" t="str">
        <f>IF(ISNUMBER($AG$32),AU$32,IF(ISNUMBER($AI$33),AU$33,IF(ISNUMBER($AK$34),AU$34,IF(ISNUMBER($AM$35),AU$35,""))))</f>
        <v/>
      </c>
      <c r="AW36" s="233" t="s">
        <v>181</v>
      </c>
      <c r="AX36" s="233" t="s">
        <v>12</v>
      </c>
      <c r="AY36" s="233" t="s">
        <v>182</v>
      </c>
      <c r="AZ36" s="233" t="s">
        <v>183</v>
      </c>
      <c r="BA36" s="235" t="s">
        <v>280</v>
      </c>
      <c r="BB36" s="233" t="s">
        <v>185</v>
      </c>
      <c r="BC36" s="233" t="s">
        <v>281</v>
      </c>
      <c r="BE36" s="117" t="s">
        <v>331</v>
      </c>
      <c r="BF36" s="118" t="s">
        <v>346</v>
      </c>
      <c r="BG36" s="119" t="s">
        <v>347</v>
      </c>
      <c r="BH36" s="53" t="s">
        <v>12</v>
      </c>
      <c r="BI36" s="53" t="s">
        <v>183</v>
      </c>
      <c r="BJ36" s="53" t="s">
        <v>280</v>
      </c>
      <c r="BK36" s="53" t="s">
        <v>197</v>
      </c>
      <c r="BL36" s="53" t="s">
        <v>286</v>
      </c>
      <c r="BM36" s="53" t="s">
        <v>188</v>
      </c>
      <c r="BN36" s="53" t="s">
        <v>284</v>
      </c>
      <c r="BO36" s="53" t="s">
        <v>204</v>
      </c>
      <c r="BP36" s="53" t="s">
        <v>282</v>
      </c>
      <c r="CA36" s="19"/>
      <c r="CB36" s="19"/>
    </row>
    <row r="37" spans="1:80" ht="12" customHeight="1" thickBot="1" x14ac:dyDescent="0.3">
      <c r="A37" s="17" t="s">
        <v>140</v>
      </c>
      <c r="B37" s="112">
        <v>2</v>
      </c>
      <c r="C37" s="4"/>
      <c r="J37" s="153"/>
      <c r="K37" s="153"/>
      <c r="L37" s="13"/>
      <c r="M37" s="14"/>
      <c r="O37" s="19"/>
      <c r="P37" s="19"/>
      <c r="S37" s="154"/>
      <c r="T37" s="153"/>
      <c r="U37" s="5"/>
      <c r="V37" s="22"/>
      <c r="W37" s="112">
        <v>2</v>
      </c>
      <c r="X37" s="25" t="s">
        <v>140</v>
      </c>
      <c r="AA37" s="5"/>
      <c r="AB37" s="5"/>
      <c r="AC37" s="5"/>
      <c r="AD37" s="94"/>
      <c r="AE37" s="95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W37" s="233" t="s">
        <v>186</v>
      </c>
      <c r="AX37" s="233" t="s">
        <v>384</v>
      </c>
      <c r="AY37" s="233" t="s">
        <v>187</v>
      </c>
      <c r="AZ37" s="233" t="s">
        <v>188</v>
      </c>
      <c r="BA37" s="235" t="s">
        <v>282</v>
      </c>
      <c r="BB37" s="233" t="s">
        <v>190</v>
      </c>
      <c r="BC37" s="233" t="s">
        <v>283</v>
      </c>
      <c r="BE37" s="52">
        <v>1</v>
      </c>
      <c r="BF37" s="53" t="s">
        <v>272</v>
      </c>
      <c r="BG37" s="36" t="str">
        <f>IF(AND(MAX($AF$58:$AM$58)&lt;1,ISNUMBER($AF$26), ISNUMBER($AG$26)),IF(AND($AF$26&gt;0,$AG$26&gt;0),3,IF(AND($AF$26&lt;0,IF(-$AF$26&lt;$CA$19,$AP$62,$AP$65)&lt;0),4,IF(AND(IF(-$AG$26&lt;$AX$19,$AO$62,$AO$63)&lt;0,$AG$26&lt;0),2,""))),"")</f>
        <v/>
      </c>
      <c r="BH37" s="235">
        <v>1</v>
      </c>
      <c r="BI37" s="235">
        <v>36</v>
      </c>
      <c r="BJ37" s="235">
        <v>31</v>
      </c>
      <c r="BK37" s="235">
        <v>6</v>
      </c>
      <c r="BL37" s="235">
        <v>7</v>
      </c>
      <c r="BM37" s="235">
        <v>12</v>
      </c>
      <c r="BN37" s="235">
        <v>11</v>
      </c>
      <c r="BO37" s="235">
        <v>2</v>
      </c>
      <c r="BP37" s="235">
        <v>35</v>
      </c>
      <c r="CA37" s="19"/>
      <c r="CB37" s="19"/>
    </row>
    <row r="38" spans="1:80" ht="12" customHeight="1" x14ac:dyDescent="0.25">
      <c r="A38" s="17" t="s">
        <v>144</v>
      </c>
      <c r="B38" s="27" t="e">
        <f>IF(AND($L$38='SHL Section'!$BF$51,MAX('BHL Section 1'!$BG$37:$BG$40)=4),'BHL Section 1'!$W$38,IF(AND($L$38='SHL Section'!$BF$54,MAX('BHL Section 1'!$BG$41:$BG$44)=4),'BHL Section 1'!$W$38,IF(AND($L$38='SHL Section'!$BF$57,MAX('BHL Section 1'!$BG$45:$BG$48)=4),'BHL Section 1'!$W$38,IF(B34="","",IF(OR(B37=1,B37=4),180-(B34+B35/60+B36/3600),180+(B34+B35/60+B36/3600))))))</f>
        <v>#VALUE!</v>
      </c>
      <c r="C38" s="4"/>
      <c r="F38" s="815"/>
      <c r="I38" s="154"/>
      <c r="J38" s="153"/>
      <c r="K38" s="153"/>
      <c r="L38" s="956" t="e">
        <f>IF(NOT(OR('SHL Section'!$BF$51='BHL Section 1'!$L$38,'SHL Section'!$BF$51='SHL Section'!$N$7)),'SHL Section'!$BF$51,IF(NOT(OR('SHL Section'!$BF$54='BHL Section 1'!$L$38,'SHL Section'!$BF$54='SHL Section'!$N$7)),'SHL Section'!$BF$54,IF(NOT(OR('SHL Section'!$BF$57='BHL Section 1'!$L$38,'SHL Section'!$BF$57='SHL Section'!$N$7)),'SHL Section'!$BF$57,IF(AND(NOT('SHL Section'!$BF$51='SHL Section'!$N$7),'SHL Section'!$BF$53='SHL Section'!$N$7),'SHL Section'!$BF$56,""))))</f>
        <v>#VALUE!</v>
      </c>
      <c r="M38" s="889"/>
      <c r="P38" s="815"/>
      <c r="S38" s="154"/>
      <c r="T38" s="153"/>
      <c r="U38" s="5"/>
      <c r="V38" s="22"/>
      <c r="W38" s="34" t="e">
        <f>IF(AND($L$38='SHL Section'!$BF$51,MAX('BHL Section 1'!$BG$37:$BG$40)=8),'BHL Section 1'!$B$38,IF(AND($L$38='SHL Section'!$BF$54,MAX('BHL Section 1'!$BG$41:$BG$44)=8),'BHL Section 1'!$B$38,IF(AND($L$38='SHL Section'!$BF$57,MAX('BHL Section 1'!$BG$45:$BG$48)=8),'BHL Section 1'!$B$38,IF(W34="","",IF(OR(W37=1,W37=4),180-(W34+W35/60+W36/3600),180+(W34+W35/60+W36/3600))))))</f>
        <v>#VALUE!</v>
      </c>
      <c r="X38" s="25" t="s">
        <v>144</v>
      </c>
      <c r="AA38" s="5"/>
      <c r="AB38" s="29"/>
      <c r="AC38" s="29"/>
      <c r="AD38" s="52">
        <v>1</v>
      </c>
      <c r="AE38" s="53" t="s">
        <v>276</v>
      </c>
      <c r="AF38" s="47" t="e">
        <f>IF(AND($AT$24+'SHL Section'!$AJ$10&gt;0,$AO$24+'SHL Section'!$AL$10&gt;0),$AF$24+'SHL Section'!$AJ$10,"")</f>
        <v>#VALUE!</v>
      </c>
      <c r="AG38" s="47" t="e">
        <f>IF(AND($AT$24+'SHL Section'!$AJ$10&gt;0,$AO$24+'SHL Section'!$AL$10&gt;0),$AG$24+'SHL Section'!$AL$10,"")</f>
        <v>#VALUE!</v>
      </c>
      <c r="AH38" s="32" t="e">
        <f>IF($AF$38="","",$AZ$26+$AF$38)</f>
        <v>#VALUE!</v>
      </c>
      <c r="AI38" s="32" t="e">
        <f>IF($AG$38="","",$BA$26+$AG$38)</f>
        <v>#VALUE!</v>
      </c>
      <c r="AJ38" s="32" t="e">
        <f>IF($AF$38="","",$BH$26+$AZ$26+$AF$38)</f>
        <v>#VALUE!</v>
      </c>
      <c r="AK38" s="32" t="e">
        <f>IF($AG$38="","",$BA$26+$BI$26+$AG$38)</f>
        <v>#VALUE!</v>
      </c>
      <c r="AL38" s="32" t="e">
        <f>IF($AF$38="","",$BX$26+$AF$38)</f>
        <v>#VALUE!</v>
      </c>
      <c r="AM38" s="32" t="e">
        <f>IF($AG$38="","",$AG$38+$BY$26)</f>
        <v>#VALUE!</v>
      </c>
      <c r="AN38" s="32" t="e">
        <f>IF($AF$38="","",$AX$22+$AF$38)</f>
        <v>#VALUE!</v>
      </c>
      <c r="AO38" s="32" t="e">
        <f>IF($AG$38="","",$AY$22+$AG$38)</f>
        <v>#VALUE!</v>
      </c>
      <c r="AP38" s="32" t="e">
        <f>IF($AF$38="","",$AZ$26+$AF$38+$BF$22)</f>
        <v>#VALUE!</v>
      </c>
      <c r="AQ38" s="32" t="e">
        <f>IF($AG$38="","",$BA$26+$AG$38+$BG$22)</f>
        <v>#VALUE!</v>
      </c>
      <c r="AR38" s="32" t="e">
        <f>IF($AF$38="","",$BX$26+$AF$38+$BR$22)</f>
        <v>#VALUE!</v>
      </c>
      <c r="AS38" s="32" t="e">
        <f>IF($AG$38="","",$AG$38+$BY$26+$BS$22)</f>
        <v>#VALUE!</v>
      </c>
      <c r="AT38" s="32" t="e">
        <f>IF($AF$38="","",$BZ$22+$AF$38)</f>
        <v>#VALUE!</v>
      </c>
      <c r="AU38" s="32" t="e">
        <f>IF($AG$38="","",$AG$38+$CA$22)</f>
        <v>#VALUE!</v>
      </c>
      <c r="AW38" s="233" t="s">
        <v>194</v>
      </c>
      <c r="AX38" s="233" t="s">
        <v>385</v>
      </c>
      <c r="AY38" s="233" t="s">
        <v>196</v>
      </c>
      <c r="AZ38" s="233" t="s">
        <v>197</v>
      </c>
      <c r="BA38" s="235" t="s">
        <v>284</v>
      </c>
      <c r="BB38" s="233" t="s">
        <v>386</v>
      </c>
      <c r="BC38" s="233" t="s">
        <v>285</v>
      </c>
      <c r="BE38" s="52">
        <v>2</v>
      </c>
      <c r="BF38" s="53" t="s">
        <v>272</v>
      </c>
      <c r="BG38" s="36" t="str">
        <f>IF(AND(MAX($AF$58:$AM$58)&lt;1,ISNUMBER($AH$27), ISNUMBER($AI$27)),IF(AND(IF($AI$27&lt;$BD$19,$AQ$63,$AQ$62)&lt;0,$AI$27&gt;0),2,IF(AND($AH$27&gt;0,$AI$27&lt;0),9,IF(AND($AH$27&lt;0,IF(-$AH$27&lt;$BE$19,$AR$63,$AR$64)&lt;0),8,""))),"")</f>
        <v/>
      </c>
      <c r="BH38" s="235">
        <v>2</v>
      </c>
      <c r="BI38" s="235">
        <v>35</v>
      </c>
      <c r="BJ38" s="235">
        <v>36</v>
      </c>
      <c r="BK38" s="235">
        <v>1</v>
      </c>
      <c r="BL38" s="235">
        <v>12</v>
      </c>
      <c r="BM38" s="235">
        <v>11</v>
      </c>
      <c r="BN38" s="235">
        <v>10</v>
      </c>
      <c r="BO38" s="235">
        <v>3</v>
      </c>
      <c r="BP38" s="235">
        <v>34</v>
      </c>
      <c r="CA38" s="19"/>
      <c r="CB38" s="19"/>
    </row>
    <row r="39" spans="1:80" ht="12" customHeight="1" thickBot="1" x14ac:dyDescent="0.3">
      <c r="A39" s="948" t="e">
        <f>CONCATENATE("W QC of ",$L$38)</f>
        <v>#VALUE!</v>
      </c>
      <c r="B39" s="892"/>
      <c r="C39" s="7"/>
      <c r="D39" s="8"/>
      <c r="E39" s="8"/>
      <c r="F39" s="8"/>
      <c r="G39" s="8"/>
      <c r="H39" s="8"/>
      <c r="I39" s="8"/>
      <c r="J39" s="8"/>
      <c r="K39" s="8"/>
      <c r="L39" s="890"/>
      <c r="M39" s="892"/>
      <c r="N39" s="8"/>
      <c r="O39" s="8"/>
      <c r="P39" s="8"/>
      <c r="Q39" s="8"/>
      <c r="R39" s="8"/>
      <c r="S39" s="8"/>
      <c r="T39" s="8"/>
      <c r="U39" s="8"/>
      <c r="V39" s="24"/>
      <c r="W39" s="959" t="e">
        <f>CONCATENATE("E QC of ",$L$38)</f>
        <v>#VALUE!</v>
      </c>
      <c r="X39" s="904"/>
      <c r="AA39" s="5"/>
      <c r="AB39" s="29"/>
      <c r="AC39" s="29"/>
      <c r="AD39" s="52">
        <v>2</v>
      </c>
      <c r="AE39" s="53" t="s">
        <v>276</v>
      </c>
      <c r="AF39" s="32" t="e">
        <f>IF($AH$39="","",$AH$39-$AZ$26)</f>
        <v>#VALUE!</v>
      </c>
      <c r="AG39" s="32" t="e">
        <f>IF($AI$39="","",$AI$39-$BA$26)</f>
        <v>#VALUE!</v>
      </c>
      <c r="AH39" s="47" t="e">
        <f>IF(AND($AP$24+'SHL Section'!$AJ$10&gt;0,$AO$24+'SHL Section'!$AL$10&lt;0),$AH$24+'SHL Section'!$AJ$10,"")</f>
        <v>#VALUE!</v>
      </c>
      <c r="AI39" s="47" t="e">
        <f>IF(AND($AP$24+'SHL Section'!$AJ$10&gt;0,$AO$24+'SHL Section'!$AL$10&lt;0),$AI$24+'SHL Section'!$AL$10,"")</f>
        <v>#VALUE!</v>
      </c>
      <c r="AJ39" s="32" t="e">
        <f>IF($AH$39="","",$BH$26+$AH$39)</f>
        <v>#VALUE!</v>
      </c>
      <c r="AK39" s="32" t="e">
        <f>IF($AI$39="","",$AI$39+$BI$26)</f>
        <v>#VALUE!</v>
      </c>
      <c r="AL39" s="32" t="e">
        <f>IF($AH$39="","",$AH$39-$AZ$26+$BX$26)</f>
        <v>#VALUE!</v>
      </c>
      <c r="AM39" s="32" t="e">
        <f>IF($AI$39="","",$AI$39-$BA$26+$BY$26)</f>
        <v>#VALUE!</v>
      </c>
      <c r="AN39" s="32" t="e">
        <f>IF($AH$39="","",$AH$39-$BB$22)</f>
        <v>#VALUE!</v>
      </c>
      <c r="AO39" s="32" t="e">
        <f>IF($AI$39="","",AI$39-$BC$22)</f>
        <v>#VALUE!</v>
      </c>
      <c r="AP39" s="32" t="e">
        <f>IF($AH$39="","",$BF$22+$AH$39)</f>
        <v>#VALUE!</v>
      </c>
      <c r="AQ39" s="32" t="e">
        <f>IF($AI$39="","",$AI$39+$BG$22)</f>
        <v>#VALUE!</v>
      </c>
      <c r="AR39" s="32" t="e">
        <f>IF($AH$39="","",$BH$26+$AH$39-$BN$22)</f>
        <v>#VALUE!</v>
      </c>
      <c r="AS39" s="32" t="e">
        <f>IF($AI$39="","",$AI$39+$BI$26-$BO$22)</f>
        <v>#VALUE!</v>
      </c>
      <c r="AT39" s="32" t="e">
        <f>IF($AH$39="","",$AH$39-$AZ$26+$BZ$22)</f>
        <v>#VALUE!</v>
      </c>
      <c r="AU39" s="32" t="e">
        <f>IF($AI$39="","",$AI$39-$BA$26+$CA$22)</f>
        <v>#VALUE!</v>
      </c>
      <c r="AW39" s="233" t="s">
        <v>201</v>
      </c>
      <c r="AX39" s="233" t="s">
        <v>346</v>
      </c>
      <c r="AY39" s="233" t="s">
        <v>203</v>
      </c>
      <c r="AZ39" s="233" t="s">
        <v>204</v>
      </c>
      <c r="BA39" s="235" t="s">
        <v>286</v>
      </c>
      <c r="BB39" s="233" t="s">
        <v>387</v>
      </c>
      <c r="BC39" s="233" t="s">
        <v>287</v>
      </c>
      <c r="BE39" s="52">
        <v>3</v>
      </c>
      <c r="BF39" s="53" t="s">
        <v>272</v>
      </c>
      <c r="BG39" s="36" t="str">
        <f>IF(AND(MAX($AF$58:$AM$58)&lt;1,ISNUMBER($AJ$28), ISNUMBER($AK$28)),IF(AND($AJ$28&gt;0,IF($AJ$28&lt;$BK$19,$AT$64,$AT$63)&lt;0),8,IF(AND($AJ$28&lt;0,$AK$28&lt;0),7,IF(AND(IF($AK$28&lt;$BN$19,$AS$64,$AS$65)&lt;0,$AK$28&gt;0),6,""))),"")</f>
        <v/>
      </c>
      <c r="BH39" s="235">
        <v>3</v>
      </c>
      <c r="BI39" s="235">
        <v>34</v>
      </c>
      <c r="BJ39" s="235">
        <v>35</v>
      </c>
      <c r="BK39" s="235">
        <v>2</v>
      </c>
      <c r="BL39" s="235">
        <v>11</v>
      </c>
      <c r="BM39" s="235">
        <v>10</v>
      </c>
      <c r="BN39" s="235">
        <v>9</v>
      </c>
      <c r="BO39" s="235">
        <v>4</v>
      </c>
      <c r="BP39" s="235">
        <v>33</v>
      </c>
      <c r="CA39" s="19"/>
      <c r="CB39" s="19"/>
    </row>
    <row r="40" spans="1:80" ht="12" customHeight="1" x14ac:dyDescent="0.25">
      <c r="A40" s="904"/>
      <c r="B40" s="892"/>
      <c r="C40" s="9"/>
      <c r="D40" s="10"/>
      <c r="E40" s="10"/>
      <c r="F40" s="10"/>
      <c r="G40" s="10"/>
      <c r="H40" s="10"/>
      <c r="I40" s="10"/>
      <c r="J40" s="10"/>
      <c r="K40" s="10"/>
      <c r="L40" s="890"/>
      <c r="M40" s="892"/>
      <c r="N40" s="10"/>
      <c r="O40" s="10"/>
      <c r="P40" s="10"/>
      <c r="Q40" s="10"/>
      <c r="R40" s="10"/>
      <c r="S40" s="10"/>
      <c r="T40" s="10"/>
      <c r="U40" s="10"/>
      <c r="V40" s="22"/>
      <c r="W40" s="904"/>
      <c r="X40" s="904"/>
      <c r="AA40" s="5"/>
      <c r="AB40" s="29"/>
      <c r="AC40" s="29"/>
      <c r="AD40" s="52">
        <v>3</v>
      </c>
      <c r="AE40" s="53" t="s">
        <v>276</v>
      </c>
      <c r="AF40" s="32" t="e">
        <f>IF($AJ$40="","",$AJ$40-$BH$26-$AZ$26)</f>
        <v>#VALUE!</v>
      </c>
      <c r="AG40" s="32" t="e">
        <f>IF($AK$40="","",$AK$40-$BI$26-$BA$26)</f>
        <v>#VALUE!</v>
      </c>
      <c r="AH40" s="32" t="e">
        <f>IF($AJ$40="","",$AJ$40-$BH$26)</f>
        <v>#VALUE!</v>
      </c>
      <c r="AI40" s="32" t="e">
        <f>IF($AK$40="","",$AK$40-$BI$26)</f>
        <v>#VALUE!</v>
      </c>
      <c r="AJ40" s="47" t="e">
        <f>IF(AND($AP$24+'SHL Section'!$AJ$10&lt;0,$AS$24+'SHL Section'!$AL$10&lt;0),$AJ$24+'SHL Section'!$AJ$10,"")</f>
        <v>#VALUE!</v>
      </c>
      <c r="AK40" s="47" t="e">
        <f>IF(AND($AP$24+'SHL Section'!$AJ$10&lt;0,$AS$24+'SHL Section'!$AL$10&lt;0),$AK$24+'SHL Section'!$AL$10,"")</f>
        <v>#VALUE!</v>
      </c>
      <c r="AL40" s="32" t="e">
        <f>IF($AJ$40="","",$AJ$40-$BP$26)</f>
        <v>#VALUE!</v>
      </c>
      <c r="AM40" s="32" t="e">
        <f>IF($AK$40="","",$AK$40-$BQ$26)</f>
        <v>#VALUE!</v>
      </c>
      <c r="AN40" s="32" t="e">
        <f>IF($AJ$40="","",$AJ$40-$BH$26-$BB$22)</f>
        <v>#VALUE!</v>
      </c>
      <c r="AO40" s="32" t="e">
        <f>IF($AK$40="","",$AK$40-$BI$26-$BC$22)</f>
        <v>#VALUE!</v>
      </c>
      <c r="AP40" s="32" t="e">
        <f>IF($AJ$40="","",$AJ$40-$BJ$22)</f>
        <v>#VALUE!</v>
      </c>
      <c r="AQ40" s="32" t="e">
        <f>IF($AK$40="","",$AK$40-$BK$22)</f>
        <v>#VALUE!</v>
      </c>
      <c r="AR40" s="32" t="e">
        <f>IF($AJ$40="","",$AJ$40-$BN$22)</f>
        <v>#VALUE!</v>
      </c>
      <c r="AS40" s="32" t="e">
        <f>IF($AK$40="","",$AK$40-$BO$22)</f>
        <v>#VALUE!</v>
      </c>
      <c r="AT40" s="32" t="e">
        <f>IF($AJ$40="","",$AJ$40-$BP$26-$BV$22)</f>
        <v>#VALUE!</v>
      </c>
      <c r="AU40" s="32" t="e">
        <f>IF($AK$40="","",$AK$40-$BQ$26-$BW$22)</f>
        <v>#VALUE!</v>
      </c>
      <c r="AW40" s="233"/>
      <c r="AX40" s="233"/>
      <c r="AY40" s="233"/>
      <c r="AZ40" s="233"/>
      <c r="BA40" s="233"/>
      <c r="BB40" s="233"/>
      <c r="BC40" s="233" t="s">
        <v>288</v>
      </c>
      <c r="BE40" s="756">
        <v>4</v>
      </c>
      <c r="BF40" s="758" t="s">
        <v>272</v>
      </c>
      <c r="BG40" s="120" t="str">
        <f>IF(AND(MAX($AF$58:$AM$58)&lt;1,ISNUMBER($AL$29), ISNUMBER($AM$29)),IF(AND(IF(-$AM$29&lt;$BT$19,$AU$65,$AU$64)&lt;0,$AM$29&lt;0),6,IF(AND($AL$29&lt;0,$AM$29&gt;0),5,IF(AND($AL$29&gt;0,IF($AL$29&lt;$BU$19,$AV$65,$AV$62)&lt;0),4,""))),"")</f>
        <v/>
      </c>
      <c r="BH40" s="235">
        <v>4</v>
      </c>
      <c r="BI40" s="235">
        <v>33</v>
      </c>
      <c r="BJ40" s="235">
        <v>34</v>
      </c>
      <c r="BK40" s="235">
        <v>3</v>
      </c>
      <c r="BL40" s="235">
        <v>10</v>
      </c>
      <c r="BM40" s="235">
        <v>9</v>
      </c>
      <c r="BN40" s="235">
        <v>8</v>
      </c>
      <c r="BO40" s="235">
        <v>5</v>
      </c>
      <c r="BP40" s="235">
        <v>32</v>
      </c>
      <c r="CA40" s="19"/>
      <c r="CB40" s="19"/>
    </row>
    <row r="41" spans="1:80" ht="12" customHeight="1" thickBot="1" x14ac:dyDescent="0.3">
      <c r="B41" s="44" t="e">
        <f>IF(AND($AA$10=1,$L$38='SHL Section'!$BF$51,MAX('BHL Section 1'!$BG$37:$BG$40)=4),'BHL Section 1'!$W$41,IF(AND($AA$10=1,$L$38='SHL Section'!$BF$54,MAX('BHL Section 1'!$BG$41:$BG$44)=4),'BHL Section 1'!$W$41,IF(AND($AA$10=1,$L$38='SHL Section'!$BF$57,MAX('BHL Section 1'!$BG$45:$BG$48)=4),'BHL Section 1'!$W$41,'BHL Section 2'!B42)))</f>
        <v>#VALUE!</v>
      </c>
      <c r="C41" s="4"/>
      <c r="L41" s="957"/>
      <c r="M41" s="958"/>
      <c r="V41" s="22"/>
      <c r="W41" s="154" t="e">
        <f>IF(AND($AA$10=1,$L$38='SHL Section'!$BF$51,MAX('BHL Section 1'!$BG$37:$BG$40)=8),'BHL Section 1'!$B$41,IF(AND($AA$10=1,$L$38='SHL Section'!$BF$54,MAX('BHL Section 1'!$BG$41:$BG$44)=8),'BHL Section 1'!$B$41,IF(AND($AA$10=1,$L$38='SHL Section'!$BF$57,MAX('BHL Section 1'!$BG$45:$BG$48)=8),'BHL Section 1'!$B$41,'BHL Section 2'!W42)))</f>
        <v>#VALUE!</v>
      </c>
      <c r="AA41" s="5"/>
      <c r="AB41" s="29"/>
      <c r="AC41" s="29"/>
      <c r="AD41" s="756">
        <v>4</v>
      </c>
      <c r="AE41" s="758" t="s">
        <v>276</v>
      </c>
      <c r="AF41" s="45" t="e">
        <f>IF($AL$41="","",$AL$41-$BX$26)</f>
        <v>#VALUE!</v>
      </c>
      <c r="AG41" s="45" t="e">
        <f>IF($AM$41="","",$AM$41-$BY$26)</f>
        <v>#VALUE!</v>
      </c>
      <c r="AH41" s="45" t="e">
        <f>IF($AL$41="","",$AL$41+$BP$26-$BH$26)</f>
        <v>#VALUE!</v>
      </c>
      <c r="AI41" s="45" t="e">
        <f>IF($AM$41="","",$AM$41+$BQ$26-$BI$26)</f>
        <v>#VALUE!</v>
      </c>
      <c r="AJ41" s="45" t="e">
        <f>IF($AL$41="","",$AL$41+$BP$26)</f>
        <v>#VALUE!</v>
      </c>
      <c r="AK41" s="45" t="e">
        <f>IF($AM$41="","",$AM$41+$BQ$26)</f>
        <v>#VALUE!</v>
      </c>
      <c r="AL41" s="50" t="e">
        <f>IF(AND($AT$24+'SHL Section'!$AJ$10&lt;0,$AS$24+'SHL Section'!$AL$10&gt;0),$AL$24+'SHL Section'!$AJ$10,"")</f>
        <v>#VALUE!</v>
      </c>
      <c r="AM41" s="50" t="e">
        <f>IF(AND($AT$24+'SHL Section'!$AJ$10&lt;0,$AS$24+'SHL Section'!$AL$10&gt;0),$AM$24+'SHL Section'!$AL$10,"")</f>
        <v>#VALUE!</v>
      </c>
      <c r="AN41" s="45" t="e">
        <f>IF($AL$41="","",$AL$41-$BX$26+$AX$22)</f>
        <v>#VALUE!</v>
      </c>
      <c r="AO41" s="45" t="e">
        <f>IF($AM$41="","",$AM$41-$BY$26+$AY$22)</f>
        <v>#VALUE!</v>
      </c>
      <c r="AP41" s="45" t="e">
        <f>IF($AL$41="","",$AL$41+$BP$26-$BJ$22)</f>
        <v>#VALUE!</v>
      </c>
      <c r="AQ41" s="45" t="e">
        <f>IF($AM$41="","",$AM$41+$BQ$26-$BK$22)</f>
        <v>#VALUE!</v>
      </c>
      <c r="AR41" s="45" t="e">
        <f>IF($AL$41="","",$AL$41+$BR$22)</f>
        <v>#VALUE!</v>
      </c>
      <c r="AS41" s="45" t="e">
        <f>IF($AM$41="","",$AM$41+$BS$22)</f>
        <v>#VALUE!</v>
      </c>
      <c r="AT41" s="45" t="e">
        <f>IF($AL$41="","",$AL$41-$BV$22)</f>
        <v>#VALUE!</v>
      </c>
      <c r="AU41" s="45" t="e">
        <f>IF($AM$41="","",$AM$41-$BW$22)</f>
        <v>#VALUE!</v>
      </c>
      <c r="AW41" s="233"/>
      <c r="AX41" s="233"/>
      <c r="AY41" s="233"/>
      <c r="AZ41" s="233"/>
      <c r="BA41" s="233"/>
      <c r="BB41" s="233"/>
      <c r="BC41" s="233" t="s">
        <v>289</v>
      </c>
      <c r="BE41" s="52">
        <v>1</v>
      </c>
      <c r="BF41" s="53" t="s">
        <v>274</v>
      </c>
      <c r="BG41" s="36" t="str">
        <f>IF(AND(MAX($AF$69:$AM$69)&lt;1,ISNUMBER($AF$32), ISNUMBER($AG$32)),IF(AND($AF$32&gt;0,$AG$32&gt;0),3,IF(AND($AF$32&lt;0,IF(-$AF$32&lt;$CA$19,$AP$73,$AP$76)&lt;0),4,IF(AND(IF(-$AG$32&lt;$AX$19,$AO$73,$AO$74)&lt;0,$AG$32&lt;0),2,""))),"")</f>
        <v/>
      </c>
      <c r="BH41" s="235">
        <v>5</v>
      </c>
      <c r="BI41" s="235">
        <v>32</v>
      </c>
      <c r="BJ41" s="235">
        <v>33</v>
      </c>
      <c r="BK41" s="235">
        <v>4</v>
      </c>
      <c r="BL41" s="235">
        <v>9</v>
      </c>
      <c r="BM41" s="235">
        <v>8</v>
      </c>
      <c r="BN41" s="235">
        <v>7</v>
      </c>
      <c r="BO41" s="235">
        <v>6</v>
      </c>
      <c r="BP41" s="235">
        <v>31</v>
      </c>
      <c r="CA41" s="19"/>
      <c r="CB41" s="19"/>
    </row>
    <row r="42" spans="1:80" ht="12" customHeight="1" x14ac:dyDescent="0.25">
      <c r="A42" s="17" t="s">
        <v>118</v>
      </c>
      <c r="B42" s="162">
        <v>2610.39</v>
      </c>
      <c r="C42" s="4"/>
      <c r="G42" s="831" t="s">
        <v>348</v>
      </c>
      <c r="H42" s="832"/>
      <c r="L42" s="13"/>
      <c r="M42" s="14"/>
      <c r="Q42" s="831" t="s">
        <v>349</v>
      </c>
      <c r="R42" s="832"/>
      <c r="U42" s="155"/>
      <c r="V42" s="22"/>
      <c r="W42" s="110">
        <v>2659.03</v>
      </c>
      <c r="X42" s="25" t="s">
        <v>118</v>
      </c>
      <c r="AA42" s="5"/>
      <c r="AB42" s="29"/>
      <c r="AC42" s="29"/>
      <c r="AD42" s="944"/>
      <c r="AE42" s="911"/>
      <c r="AF42" s="80" t="str">
        <f>IF(ISNUMBER($AF$38),AF$38,IF(ISNUMBER($AH$39),AF$39,IF(ISNUMBER($AJ$40),AF$40,IF(ISNUMBER($AL$41),AF$41,""))))</f>
        <v/>
      </c>
      <c r="AG42" s="80" t="str">
        <f>IF(ISNUMBER($AG$38),AG$38,IF(ISNUMBER($AI$39),AG$39,IF(ISNUMBER($AK$40),AG$40,IF(ISNUMBER($AM$41),AG$41,""))))</f>
        <v/>
      </c>
      <c r="AH42" s="80" t="str">
        <f>IF(ISNUMBER($AF$38),AH$38,IF(ISNUMBER($AH$39),AH$39,IF(ISNUMBER($AJ$40),AH$40,IF(ISNUMBER($AL$41),AH$41,""))))</f>
        <v/>
      </c>
      <c r="AI42" s="80" t="str">
        <f>IF(ISNUMBER($AG$38),AI$38,IF(ISNUMBER($AI$39),AI$39,IF(ISNUMBER($AK$40),AI$40,IF(ISNUMBER($AM$41),AI$41,""))))</f>
        <v/>
      </c>
      <c r="AJ42" s="80" t="str">
        <f>IF(ISNUMBER($AF$38),AJ$38,IF(ISNUMBER($AH$39),AJ$39,IF(ISNUMBER($AJ$40),AJ$40,IF(ISNUMBER($AL$41),AJ$41,""))))</f>
        <v/>
      </c>
      <c r="AK42" s="80" t="str">
        <f>IF(ISNUMBER($AG$38),AK$38,IF(ISNUMBER($AI$39),AK$39,IF(ISNUMBER($AK$40),AK$40,IF(ISNUMBER($AM$41),AK$41,""))))</f>
        <v/>
      </c>
      <c r="AL42" s="80" t="str">
        <f>IF(ISNUMBER($AF$38),AL$38,IF(ISNUMBER($AH$39),AL$39,IF(ISNUMBER($AJ$40),AL$40,IF(ISNUMBER($AL$41),AL$41,""))))</f>
        <v/>
      </c>
      <c r="AM42" s="80" t="str">
        <f>IF(ISNUMBER($AG$38),AM$38,IF(ISNUMBER($AI$39),AM$39,IF(ISNUMBER($AK$40),AM$40,IF(ISNUMBER($AM$41),AM$41,""))))</f>
        <v/>
      </c>
      <c r="AN42" s="80" t="str">
        <f>IF(ISNUMBER($AF$38),AN$38,IF(ISNUMBER($AH$39),AN$39,IF(ISNUMBER($AJ$40),AN$40,IF(ISNUMBER($AL$41),AN$41,""))))</f>
        <v/>
      </c>
      <c r="AO42" s="80" t="str">
        <f>IF(ISNUMBER($AG$38),AO$38,IF(ISNUMBER($AI$39),AO$39,IF(ISNUMBER($AK$40),AO$40,IF(ISNUMBER($AM$41),AO$41,""))))</f>
        <v/>
      </c>
      <c r="AP42" s="80" t="str">
        <f>IF(ISNUMBER($AF$38),AP$38,IF(ISNUMBER($AH$39),AP$39,IF(ISNUMBER($AJ$40),AP$40,IF(ISNUMBER($AL$41),AP$41,""))))</f>
        <v/>
      </c>
      <c r="AQ42" s="80" t="str">
        <f>IF(ISNUMBER($AG$38),AQ$38,IF(ISNUMBER($AI$39),AQ$39,IF(ISNUMBER($AK$40),AQ$40,IF(ISNUMBER($AM$41),AQ$41,""))))</f>
        <v/>
      </c>
      <c r="AR42" s="80" t="str">
        <f>IF(ISNUMBER($AF$38),AR$38,IF(ISNUMBER($AH$39),AR$39,IF(ISNUMBER($AJ$40),AR$40,IF(ISNUMBER($AL$41),AR$41,""))))</f>
        <v/>
      </c>
      <c r="AS42" s="80" t="str">
        <f>IF(ISNUMBER($AG$38),AS$38,IF(ISNUMBER($AI$39),AS$39,IF(ISNUMBER($AK$40),AS$40,IF(ISNUMBER($AM$41),AS$41,""))))</f>
        <v/>
      </c>
      <c r="AT42" s="80" t="str">
        <f>IF(ISNUMBER($AF$38),AT$38,IF(ISNUMBER($AH$39),AT$39,IF(ISNUMBER($AJ$40),AT$40,IF(ISNUMBER($AL$41),AT$41,""))))</f>
        <v/>
      </c>
      <c r="AU42" s="80" t="str">
        <f>IF(ISNUMBER($AG$38),AU$38,IF(ISNUMBER($AI$39),AU$39,IF(ISNUMBER($AK$40),AU$40,IF(ISNUMBER($AM$41),AU$41,""))))</f>
        <v/>
      </c>
      <c r="AW42" s="233"/>
      <c r="AX42" s="233"/>
      <c r="AY42" s="233"/>
      <c r="AZ42" s="233"/>
      <c r="BA42" s="233"/>
      <c r="BB42" s="233"/>
      <c r="BC42" s="233" t="s">
        <v>290</v>
      </c>
      <c r="BE42" s="52">
        <v>2</v>
      </c>
      <c r="BF42" s="53" t="s">
        <v>274</v>
      </c>
      <c r="BG42" s="36" t="str">
        <f>IF(AND(MAX($AF$69:$AM$69)&lt;1,ISNUMBER($AH$33), ISNUMBER($AI$33)),IF(AND(IF($AI$33&lt;$BD$19,$AQ$74,$AQ$73)&lt;0,$AI$33&gt;0),2,IF(AND($AH$33&gt;0,$AI$33&lt;0),9,IF(AND($AH$33&lt;0,IF(-$AH$33&lt;$BE$19,$AR$74,$AR$75)&lt;0),8,""))),"")</f>
        <v/>
      </c>
      <c r="BH42" s="235">
        <v>6</v>
      </c>
      <c r="BI42" s="235">
        <v>31</v>
      </c>
      <c r="BJ42" s="235">
        <v>32</v>
      </c>
      <c r="BK42" s="235">
        <v>5</v>
      </c>
      <c r="BL42" s="235">
        <v>8</v>
      </c>
      <c r="BM42" s="235">
        <v>7</v>
      </c>
      <c r="BN42" s="235">
        <v>12</v>
      </c>
      <c r="BO42" s="235">
        <v>1</v>
      </c>
      <c r="BP42" s="235">
        <v>36</v>
      </c>
      <c r="CA42" s="19"/>
      <c r="CB42" s="19"/>
    </row>
    <row r="43" spans="1:80" ht="12" customHeight="1" x14ac:dyDescent="0.25">
      <c r="A43" s="17" t="s">
        <v>124</v>
      </c>
      <c r="B43" s="147">
        <v>0</v>
      </c>
      <c r="C43" s="4"/>
      <c r="G43" s="99" t="str">
        <f>IF(ISNUMBER($AJ$58),$B$8,"")</f>
        <v/>
      </c>
      <c r="H43" s="150" t="str">
        <f>IF(AND(G44="",G45=""),"",IF($AJ$58=1,"NE/SW",IF($AJ$58=2,"NW/SW",IF($AJ$58=3,"SW/SW",IF($AJ$58=4,"SE/SW","")))))</f>
        <v/>
      </c>
      <c r="L43" s="13"/>
      <c r="M43" s="14"/>
      <c r="Q43" s="99" t="str">
        <f>IF(ISNUMBER($AL$58),$B$8,"")</f>
        <v/>
      </c>
      <c r="R43" s="150" t="str">
        <f>IF(AND(Q44="",Q45=""),"",IF($AL$58=1,"NE/SE",IF($AL$58=2,"NW/SE",IF($AL$58=3,"SW/SE",IF($AL$58=4,"SE/SE","")))))</f>
        <v/>
      </c>
      <c r="U43" s="155"/>
      <c r="V43" s="22"/>
      <c r="W43" s="147">
        <v>0</v>
      </c>
      <c r="X43" s="25" t="s">
        <v>124</v>
      </c>
      <c r="AA43" s="5"/>
      <c r="AB43" s="29"/>
      <c r="AC43" s="29"/>
      <c r="AW43" s="233"/>
      <c r="AX43" s="233"/>
      <c r="AY43" s="233"/>
      <c r="AZ43" s="233"/>
      <c r="BA43" s="233"/>
      <c r="BB43" s="233"/>
      <c r="BC43" s="233" t="s">
        <v>291</v>
      </c>
      <c r="BE43" s="52">
        <v>3</v>
      </c>
      <c r="BF43" s="53" t="s">
        <v>274</v>
      </c>
      <c r="BG43" s="36" t="str">
        <f>IF(AND(MAX($AF$69:$AM$69)&lt;1,ISNUMBER($AJ$34), ISNUMBER($AK$34)),IF(AND($AJ$34&gt;0,IF($AJ$34&lt;$BK$19,$AT$75,$AT$74)&lt;0),8,IF(AND($AJ$34&lt;0,$AK$34&lt;0),7,IF(AND(IF($AK$34&lt;$BN$19,$AS$75,$AS$76)&lt;0,$AK$34&gt;0),6,""))),"")</f>
        <v/>
      </c>
      <c r="BH43" s="235">
        <v>7</v>
      </c>
      <c r="BI43" s="235">
        <v>6</v>
      </c>
      <c r="BJ43" s="235">
        <v>5</v>
      </c>
      <c r="BK43" s="235">
        <v>8</v>
      </c>
      <c r="BL43" s="235">
        <v>17</v>
      </c>
      <c r="BM43" s="235">
        <v>18</v>
      </c>
      <c r="BN43" s="235">
        <v>13</v>
      </c>
      <c r="BO43" s="235">
        <v>12</v>
      </c>
      <c r="BP43" s="235">
        <v>1</v>
      </c>
      <c r="CA43" s="19"/>
      <c r="CB43" s="19"/>
    </row>
    <row r="44" spans="1:80" ht="12" customHeight="1" x14ac:dyDescent="0.25">
      <c r="A44" s="17" t="s">
        <v>130</v>
      </c>
      <c r="B44" s="147">
        <v>13</v>
      </c>
      <c r="C44" s="4"/>
      <c r="G44" s="151" t="str">
        <f>IF(ISNUMBER($AJ$58),$I$8,"")</f>
        <v/>
      </c>
      <c r="H44" s="152" t="str">
        <f>IF(ISNUMBER($AJ$58),"FSL","")</f>
        <v/>
      </c>
      <c r="J44" s="19"/>
      <c r="K44" s="19"/>
      <c r="L44" s="13"/>
      <c r="M44" s="14"/>
      <c r="Q44" s="151" t="str">
        <f>IF(ISNUMBER($AL$58),$I$8,"")</f>
        <v/>
      </c>
      <c r="R44" s="152" t="str">
        <f>IF(ISNUMBER($AL$58),"FSL","")</f>
        <v/>
      </c>
      <c r="T44" s="19"/>
      <c r="U44" s="155"/>
      <c r="V44" s="22"/>
      <c r="W44" s="147">
        <v>4</v>
      </c>
      <c r="X44" s="25" t="s">
        <v>130</v>
      </c>
      <c r="AA44" s="5"/>
      <c r="AB44" s="29"/>
      <c r="AC44" s="29"/>
      <c r="AW44" s="233"/>
      <c r="AX44" s="233"/>
      <c r="AY44" s="233"/>
      <c r="AZ44" s="233"/>
      <c r="BA44" s="233"/>
      <c r="BB44" s="233"/>
      <c r="BC44" s="233" t="s">
        <v>292</v>
      </c>
      <c r="BE44" s="756">
        <v>4</v>
      </c>
      <c r="BF44" s="758" t="s">
        <v>274</v>
      </c>
      <c r="BG44" s="120" t="str">
        <f>IF(AND(MAX($AF$69:$AM$69)&lt;1,ISNUMBER($AL$35), ISNUMBER($AM$35)),IF(AND(IF(-$AM$35&lt;$BT$19,$AU$76,$AU$75)&lt;0,$AM$35&lt;0),6,IF(AND($AL$35&lt;0,$AM$35&gt;0),5,IF(AND($AL$35&gt;0,IF($AL$35&lt;$BU$19,$AV$76,$AV$73)&lt;0),4,""))),"")</f>
        <v/>
      </c>
      <c r="BH44" s="235">
        <v>8</v>
      </c>
      <c r="BI44" s="235">
        <v>5</v>
      </c>
      <c r="BJ44" s="235">
        <v>4</v>
      </c>
      <c r="BK44" s="235">
        <v>9</v>
      </c>
      <c r="BL44" s="235">
        <v>16</v>
      </c>
      <c r="BM44" s="235">
        <v>17</v>
      </c>
      <c r="BN44" s="235">
        <v>18</v>
      </c>
      <c r="BO44" s="235">
        <v>7</v>
      </c>
      <c r="BP44" s="235">
        <v>6</v>
      </c>
      <c r="CA44" s="19"/>
      <c r="CB44" s="19"/>
    </row>
    <row r="45" spans="1:80" ht="12" customHeight="1" x14ac:dyDescent="0.25">
      <c r="A45" s="17" t="s">
        <v>134</v>
      </c>
      <c r="B45" s="147">
        <v>23</v>
      </c>
      <c r="C45" s="4"/>
      <c r="G45" s="91" t="str">
        <f>IF(ISNUMBER($AJ$58),$K$8,"")</f>
        <v/>
      </c>
      <c r="H45" s="90" t="str">
        <f>IF(ISNUMBER($AJ$58),"FWL","")</f>
        <v/>
      </c>
      <c r="J45" s="19"/>
      <c r="K45" s="19"/>
      <c r="L45" s="13"/>
      <c r="M45" s="14"/>
      <c r="Q45" s="91" t="str">
        <f>IF(ISNUMBER($AL$58),$K$8,"")</f>
        <v/>
      </c>
      <c r="R45" s="90" t="str">
        <f>IF(ISNUMBER($AL$58),"FEL","")</f>
        <v/>
      </c>
      <c r="T45" s="19"/>
      <c r="U45" s="155"/>
      <c r="V45" s="22"/>
      <c r="W45" s="147">
        <v>21</v>
      </c>
      <c r="X45" s="25" t="s">
        <v>134</v>
      </c>
      <c r="AA45" s="5"/>
      <c r="AB45" s="29"/>
      <c r="AC45" s="29"/>
      <c r="AD45" s="53"/>
      <c r="AE45" s="53"/>
      <c r="AF45" s="949" t="s">
        <v>351</v>
      </c>
      <c r="AG45" s="911"/>
      <c r="AH45" s="961" t="s">
        <v>352</v>
      </c>
      <c r="AI45" s="859"/>
      <c r="AJ45" s="949" t="s">
        <v>353</v>
      </c>
      <c r="AK45" s="911"/>
      <c r="AL45" s="949" t="s">
        <v>354</v>
      </c>
      <c r="AM45" s="911"/>
      <c r="AW45" s="233"/>
      <c r="AX45" s="233"/>
      <c r="AY45" s="233"/>
      <c r="AZ45" s="233"/>
      <c r="BA45" s="233"/>
      <c r="BB45" s="233"/>
      <c r="BC45" s="233" t="s">
        <v>293</v>
      </c>
      <c r="BE45" s="52">
        <v>1</v>
      </c>
      <c r="BF45" s="53" t="s">
        <v>276</v>
      </c>
      <c r="BG45" s="36" t="str">
        <f>IF(AND(MAX($AF$80:$AM$80)&lt;1,ISNUMBER($AF$38), ISNUMBER($AG$38)),IF(AND($AF$38&gt;0,$AG$38&gt;0),3,IF(AND($AF$38&lt;0,IF(-$AF$38&lt;$CA$19,$AP$84,$AP$87)&lt;0),4,IF(AND(IF(-$AG$38&lt;$AX$19,$AO$84,$AO$85)&lt;0,$AG$38&lt;0),2,""))),"")</f>
        <v/>
      </c>
      <c r="BH45" s="235">
        <v>9</v>
      </c>
      <c r="BI45" s="235">
        <v>4</v>
      </c>
      <c r="BJ45" s="235">
        <v>3</v>
      </c>
      <c r="BK45" s="235">
        <v>10</v>
      </c>
      <c r="BL45" s="235">
        <v>15</v>
      </c>
      <c r="BM45" s="235">
        <v>16</v>
      </c>
      <c r="BN45" s="235">
        <v>17</v>
      </c>
      <c r="BO45" s="235">
        <v>8</v>
      </c>
      <c r="BP45" s="235">
        <v>5</v>
      </c>
      <c r="CA45" s="19"/>
      <c r="CB45" s="19"/>
    </row>
    <row r="46" spans="1:80" ht="12" customHeight="1" x14ac:dyDescent="0.25">
      <c r="A46" s="17" t="s">
        <v>140</v>
      </c>
      <c r="B46" s="112">
        <v>4</v>
      </c>
      <c r="C46" s="4"/>
      <c r="G46" s="99" t="str">
        <f>IF(ISNUMBER($AJ$69),$B$9,"")</f>
        <v/>
      </c>
      <c r="H46" s="150" t="str">
        <f>IF(AND(G47="",G48=""),"",IF($AJ$69=1,"NE/SW",IF($AJ$69=2,"NW/SW",IF($AJ$69=3,"SW/SW",IF($AJ$69=4,"SE/SW","")))))</f>
        <v/>
      </c>
      <c r="I46" s="154"/>
      <c r="J46" s="153"/>
      <c r="K46" s="153"/>
      <c r="L46" s="13"/>
      <c r="M46" s="14"/>
      <c r="Q46" s="99" t="str">
        <f>IF(ISNUMBER($AL$69),$B$9,"")</f>
        <v/>
      </c>
      <c r="R46" s="150" t="str">
        <f>IF(AND(Q47="",Q48=""),"",IF($AL$69=1,"NE/SE",IF($AL$69=2,"NW/SE",IF($AL$69=3,"SW/SE",IF($AL$69=4,"SE/SE","")))))</f>
        <v/>
      </c>
      <c r="S46" s="154"/>
      <c r="T46" s="153"/>
      <c r="U46" s="155"/>
      <c r="V46" s="22"/>
      <c r="W46" s="112">
        <v>2</v>
      </c>
      <c r="X46" s="25" t="s">
        <v>140</v>
      </c>
      <c r="AA46" s="5"/>
      <c r="AB46" s="29"/>
      <c r="AC46" s="29"/>
      <c r="AE46" s="53"/>
      <c r="AF46" s="967">
        <v>1</v>
      </c>
      <c r="AG46" s="911"/>
      <c r="AH46" s="967">
        <v>2</v>
      </c>
      <c r="AI46" s="911"/>
      <c r="AJ46" s="967">
        <v>3</v>
      </c>
      <c r="AK46" s="911"/>
      <c r="AL46" s="967">
        <v>4</v>
      </c>
      <c r="AM46" s="911"/>
      <c r="AW46" s="233"/>
      <c r="AX46" s="233"/>
      <c r="AY46" s="233"/>
      <c r="AZ46" s="233"/>
      <c r="BA46" s="233"/>
      <c r="BB46" s="233"/>
      <c r="BC46" s="233" t="s">
        <v>294</v>
      </c>
      <c r="BE46" s="52">
        <v>2</v>
      </c>
      <c r="BF46" s="53" t="s">
        <v>276</v>
      </c>
      <c r="BG46" s="36" t="str">
        <f>IF(AND(MAX($AF$80:$AM$80)&lt;1,ISNUMBER($AH$39), ISNUMBER($AI$39)),IF(AND(IF($AI$39&lt;$BD$19,$AQ$85,$AQ$84)&lt;0,$AI$39&gt;0),2,IF(AND($AH$39&gt;0,$AI$39&lt;0),9,IF(AND($AH$39&lt;0,IF(-$AH$39&lt;$BE$19,$AR$85,$AR$86)&lt;0),8,""))),"")</f>
        <v/>
      </c>
      <c r="BH46" s="235">
        <v>10</v>
      </c>
      <c r="BI46" s="235">
        <v>3</v>
      </c>
      <c r="BJ46" s="235">
        <v>2</v>
      </c>
      <c r="BK46" s="235">
        <v>11</v>
      </c>
      <c r="BL46" s="235">
        <v>14</v>
      </c>
      <c r="BM46" s="235">
        <v>15</v>
      </c>
      <c r="BN46" s="235">
        <v>16</v>
      </c>
      <c r="BO46" s="235">
        <v>9</v>
      </c>
      <c r="BP46" s="235">
        <v>4</v>
      </c>
      <c r="CA46" s="19"/>
      <c r="CB46" s="19"/>
    </row>
    <row r="47" spans="1:80" ht="12" customHeight="1" x14ac:dyDescent="0.25">
      <c r="A47" s="17" t="s">
        <v>144</v>
      </c>
      <c r="B47" s="27" t="e">
        <f>IF(AND($L$38='SHL Section'!$BF$51,MAX('BHL Section 1'!$BG$37:$BG$40)=4),'BHL Section 1'!$W$47,IF(AND($L$38='SHL Section'!$BF$54,MAX('BHL Section 1'!$BG$41:$BG$44)=4),'BHL Section 1'!$W$47,IF(AND($L$38='SHL Section'!$BF$57,MAX('BHL Section 1'!$BG$45:$BG$48)=4),'BHL Section 1'!$W$47,IF(B43="","",IF(OR(B46=1,B46=4),180-(B43+B44/60+B45/3600),180+(B43+B44/60+B45/3600))))))</f>
        <v>#VALUE!</v>
      </c>
      <c r="C47" s="4"/>
      <c r="G47" s="151" t="str">
        <f>IF(ISNUMBER($AJ$69),$I$9,"")</f>
        <v/>
      </c>
      <c r="H47" s="152" t="str">
        <f>IF(ISNUMBER($AJ$69),"FSL","")</f>
        <v/>
      </c>
      <c r="I47" s="154"/>
      <c r="J47" s="153"/>
      <c r="K47" s="153"/>
      <c r="L47" s="13"/>
      <c r="M47" s="14"/>
      <c r="Q47" s="151" t="str">
        <f>IF(ISNUMBER($AL$69),$I$9,"")</f>
        <v/>
      </c>
      <c r="R47" s="152" t="str">
        <f>IF(ISNUMBER($AL$69),"FSL","")</f>
        <v/>
      </c>
      <c r="S47" s="154"/>
      <c r="T47" s="153"/>
      <c r="V47" s="22"/>
      <c r="W47" s="34" t="e">
        <f>IF(AND($L$38='SHL Section'!$BF$51,MAX('BHL Section 1'!$BG$37:$BG$40)=8),'BHL Section 1'!$B$47,IF(AND($L$38='SHL Section'!$BF$54,MAX('BHL Section 1'!$BG$41:$BG$44)=8),'BHL Section 1'!$B$47,IF(AND($L$38='SHL Section'!$BF$57,MAX('BHL Section 1'!$BG$45:$BG$48)=8),'BHL Section 1'!$B$47,IF(W43="","",IF(OR(W46=1,W46=4),180-(W43+W44/60+W45/3600),180+(W43+W44/60+W45/3600))))))</f>
        <v>#VALUE!</v>
      </c>
      <c r="X47" s="25" t="s">
        <v>144</v>
      </c>
      <c r="AA47" s="5"/>
      <c r="AF47" s="939" t="s">
        <v>355</v>
      </c>
      <c r="AG47" s="882"/>
      <c r="AH47" s="943" t="s">
        <v>355</v>
      </c>
      <c r="AI47" s="832"/>
      <c r="AJ47" s="939" t="s">
        <v>355</v>
      </c>
      <c r="AK47" s="882"/>
      <c r="AL47" s="939" t="s">
        <v>355</v>
      </c>
      <c r="AM47" s="882"/>
      <c r="AW47" s="233"/>
      <c r="AX47" s="233"/>
      <c r="AY47" s="233"/>
      <c r="AZ47" s="233"/>
      <c r="BA47" s="233"/>
      <c r="BB47" s="233"/>
      <c r="BC47" s="233" t="s">
        <v>295</v>
      </c>
      <c r="BE47" s="52">
        <v>3</v>
      </c>
      <c r="BF47" s="53" t="s">
        <v>276</v>
      </c>
      <c r="BG47" s="36" t="str">
        <f>IF(AND(MAX($AF$80:$AM$80)&lt;1,ISNUMBER($AJ$40), ISNUMBER($AK$40)),IF(AND($AJ$40&gt;0,IF($AJ$40&lt;$BK$19,$AT$86,$AT$85)&lt;0),8,IF(AND($AJ$40&lt;0,$AK$40&lt;0),7,IF(AND(IF($AK$40&lt;$BN$19,$AS$86,$AS$87)&lt;0,$AK$40&gt;0),6,""))),"")</f>
        <v/>
      </c>
      <c r="BH47" s="235">
        <v>11</v>
      </c>
      <c r="BI47" s="235">
        <v>2</v>
      </c>
      <c r="BJ47" s="235">
        <v>1</v>
      </c>
      <c r="BK47" s="235">
        <v>12</v>
      </c>
      <c r="BL47" s="235">
        <v>13</v>
      </c>
      <c r="BM47" s="235">
        <v>14</v>
      </c>
      <c r="BN47" s="235">
        <v>15</v>
      </c>
      <c r="BO47" s="235">
        <v>10</v>
      </c>
      <c r="BP47" s="235">
        <v>3</v>
      </c>
      <c r="CA47" s="19"/>
      <c r="CB47" s="19"/>
    </row>
    <row r="48" spans="1:80" ht="12" customHeight="1" x14ac:dyDescent="0.25">
      <c r="C48" s="4"/>
      <c r="G48" s="91" t="str">
        <f>IF(ISNUMBER($AJ$69),$K$9,"")</f>
        <v/>
      </c>
      <c r="H48" s="90" t="str">
        <f>IF(ISNUMBER($AJ$69),"FWL","")</f>
        <v/>
      </c>
      <c r="I48" s="154"/>
      <c r="J48" s="153"/>
      <c r="K48" s="153"/>
      <c r="L48" s="13"/>
      <c r="M48" s="14"/>
      <c r="Q48" s="91" t="str">
        <f>IF(ISNUMBER($AL$69),$K$9,"")</f>
        <v/>
      </c>
      <c r="R48" s="90" t="str">
        <f>IF(ISNUMBER($AL$69),"FEL","")</f>
        <v/>
      </c>
      <c r="S48" s="154"/>
      <c r="T48" s="153"/>
      <c r="V48" s="22"/>
      <c r="AA48" s="5"/>
      <c r="AF48" s="944"/>
      <c r="AG48" s="911"/>
      <c r="AH48" s="944"/>
      <c r="AI48" s="911"/>
      <c r="AJ48" s="944"/>
      <c r="AK48" s="911"/>
      <c r="AL48" s="944"/>
      <c r="AM48" s="911"/>
      <c r="AW48" s="233"/>
      <c r="AX48" s="233"/>
      <c r="AY48" s="233"/>
      <c r="AZ48" s="233"/>
      <c r="BA48" s="233"/>
      <c r="BB48" s="233"/>
      <c r="BC48" s="233" t="s">
        <v>296</v>
      </c>
      <c r="BE48" s="756">
        <v>4</v>
      </c>
      <c r="BF48" s="758" t="s">
        <v>276</v>
      </c>
      <c r="BG48" s="120" t="str">
        <f>IF(AND(MAX($AF$80:$AM$80)&lt;1,ISNUMBER($AL$41), ISNUMBER($AM$41)),IF(AND(IF(-$AM$41&lt;$BT$19,$AU$87,$AU$86)&lt;0,$AM$41&lt;0),6,IF(AND($AL$41&lt;0,$AM$41&gt;0),5,IF(AND($AL$41&gt;0,IF($AL$41&lt;$BU$19,$AV$87,$AV$84)&lt;0),4,""))),"")</f>
        <v/>
      </c>
      <c r="BH48" s="235">
        <v>12</v>
      </c>
      <c r="BI48" s="235">
        <v>1</v>
      </c>
      <c r="BJ48" s="235">
        <v>6</v>
      </c>
      <c r="BK48" s="235">
        <v>7</v>
      </c>
      <c r="BL48" s="235">
        <v>18</v>
      </c>
      <c r="BM48" s="235">
        <v>13</v>
      </c>
      <c r="BN48" s="235">
        <v>14</v>
      </c>
      <c r="BO48" s="235">
        <v>11</v>
      </c>
      <c r="BP48" s="235">
        <v>2</v>
      </c>
      <c r="CA48" s="19"/>
      <c r="CB48" s="19"/>
    </row>
    <row r="49" spans="1:80" ht="12" customHeight="1" x14ac:dyDescent="0.25">
      <c r="B49" s="44" t="e">
        <f>IF(AND($AA$10=1,$L$38='SHL Section'!$BF$51,MAX('BHL Section 1'!$BG$37:$BG$40)=4),'BHL Section 1'!$W$49,IF(AND($AA$10=1,$L$38='SHL Section'!$BF$54,MAX('BHL Section 1'!$BG$41:$BG$44)=4),'BHL Section 1'!$W$49,IF(AND($AA$10=1,$L$38='SHL Section'!$BF$57,MAX('BHL Section 1'!$BG$45:$BG$48)=4),'BHL Section 1'!$W$49,'BHL Section 2'!B50)))</f>
        <v>#VALUE!</v>
      </c>
      <c r="C49" s="4"/>
      <c r="G49" s="99" t="str">
        <f>IF(ISNUMBER($AJ$80),$B$10,"")</f>
        <v/>
      </c>
      <c r="H49" s="150" t="str">
        <f>IF(AND(G50="",G51=""),"",IF($AJ$80=1,"NE/SW",IF($AJ$80=2,"NW/SW",IF($AJ$80=3,"SW/SW",IF($AJ$80=4,"SE/SW","")))))</f>
        <v/>
      </c>
      <c r="I49" s="154"/>
      <c r="J49" s="153"/>
      <c r="K49" s="153"/>
      <c r="L49" s="13"/>
      <c r="M49" s="14"/>
      <c r="Q49" s="99" t="str">
        <f>IF(ISNUMBER($AL$80),$B$10,"")</f>
        <v/>
      </c>
      <c r="R49" s="150" t="str">
        <f>IF(AND(Q50="",Q51=""),"",IF($AL$80=1,"NE/SE",IF($AL$80=2,"NW/SE",IF($AL$80=3,"SW/SE",IF($AL$80=4,"SE/SE","")))))</f>
        <v/>
      </c>
      <c r="S49" s="154"/>
      <c r="T49" s="153"/>
      <c r="U49" s="5"/>
      <c r="V49" s="22"/>
      <c r="W49" s="154" t="e">
        <f>IF(AND($AA$10=1,$L$38='SHL Section'!$BF$51,MAX('BHL Section 1'!$BG$37:$BG$40)=8),'BHL Section 1'!$B$49,IF(AND($AA$10=1,$L$38='SHL Section'!$BF$54,MAX('BHL Section 1'!$BG$41:$BG$44)=8),'BHL Section 1'!$B$49,IF(AND($AA$10=1,$L$38='SHL Section'!$BF$57,MAX('BHL Section 1'!$BG$45:$BG$48)=8),'BHL Section 1'!$B$49,'BHL Section 2'!W50)))</f>
        <v>#VALUE!</v>
      </c>
      <c r="AA49" s="5"/>
      <c r="AF49" s="87"/>
      <c r="AG49" s="88"/>
      <c r="AH49" s="89"/>
      <c r="AI49" s="89"/>
      <c r="AJ49" s="87"/>
      <c r="AK49" s="88"/>
      <c r="AL49" s="87"/>
      <c r="AM49" s="88"/>
      <c r="AW49" s="233"/>
      <c r="AX49" s="233"/>
      <c r="AY49" s="233"/>
      <c r="AZ49" s="233"/>
      <c r="BA49" s="233"/>
      <c r="BB49" s="233"/>
      <c r="BC49" s="233" t="s">
        <v>297</v>
      </c>
      <c r="BH49" s="235">
        <v>13</v>
      </c>
      <c r="BI49" s="235">
        <v>12</v>
      </c>
      <c r="BJ49" s="235">
        <v>7</v>
      </c>
      <c r="BK49" s="235">
        <v>18</v>
      </c>
      <c r="BL49" s="235">
        <v>19</v>
      </c>
      <c r="BM49" s="235">
        <v>24</v>
      </c>
      <c r="BN49" s="235">
        <v>23</v>
      </c>
      <c r="BO49" s="235">
        <v>14</v>
      </c>
      <c r="BP49" s="235">
        <v>11</v>
      </c>
      <c r="CA49" s="19"/>
      <c r="CB49" s="19"/>
    </row>
    <row r="50" spans="1:80" ht="12" customHeight="1" x14ac:dyDescent="0.25">
      <c r="A50" s="17" t="s">
        <v>118</v>
      </c>
      <c r="B50" s="162"/>
      <c r="C50" s="4"/>
      <c r="G50" s="151" t="str">
        <f>IF(ISNUMBER($AJ$80),$I$10,"")</f>
        <v/>
      </c>
      <c r="H50" s="152" t="str">
        <f>IF(ISNUMBER($AJ$80),"FSL","")</f>
        <v/>
      </c>
      <c r="I50" s="154"/>
      <c r="J50" s="153"/>
      <c r="K50" s="153"/>
      <c r="L50" s="13"/>
      <c r="M50" s="14"/>
      <c r="Q50" s="151" t="str">
        <f>IF(ISNUMBER($AL$80),$I$10,"")</f>
        <v/>
      </c>
      <c r="R50" s="152" t="str">
        <f>IF(ISNUMBER($AL$80),"FSL","")</f>
        <v/>
      </c>
      <c r="S50" s="154"/>
      <c r="T50" s="153"/>
      <c r="U50" s="5"/>
      <c r="V50" s="22"/>
      <c r="W50" s="162"/>
      <c r="X50" s="25" t="s">
        <v>118</v>
      </c>
      <c r="AA50" s="5"/>
      <c r="AF50" s="939" t="s">
        <v>356</v>
      </c>
      <c r="AG50" s="882"/>
      <c r="AH50" s="943" t="s">
        <v>357</v>
      </c>
      <c r="AI50" s="832"/>
      <c r="AJ50" s="939" t="s">
        <v>358</v>
      </c>
      <c r="AK50" s="882"/>
      <c r="AL50" s="939" t="s">
        <v>359</v>
      </c>
      <c r="AM50" s="882"/>
      <c r="AW50" s="233"/>
      <c r="AX50" s="233"/>
      <c r="AY50" s="233"/>
      <c r="AZ50" s="233"/>
      <c r="BA50" s="233"/>
      <c r="BB50" s="233"/>
      <c r="BC50" s="233" t="s">
        <v>298</v>
      </c>
      <c r="BH50" s="235">
        <v>14</v>
      </c>
      <c r="BI50" s="235">
        <v>11</v>
      </c>
      <c r="BJ50" s="235">
        <v>12</v>
      </c>
      <c r="BK50" s="235">
        <v>13</v>
      </c>
      <c r="BL50" s="235">
        <v>24</v>
      </c>
      <c r="BM50" s="235">
        <v>23</v>
      </c>
      <c r="BN50" s="235">
        <v>22</v>
      </c>
      <c r="BO50" s="235">
        <v>15</v>
      </c>
      <c r="BP50" s="235">
        <v>10</v>
      </c>
      <c r="CA50" s="19"/>
      <c r="CB50" s="19"/>
    </row>
    <row r="51" spans="1:80" ht="12" customHeight="1" x14ac:dyDescent="0.25">
      <c r="A51" s="17" t="s">
        <v>124</v>
      </c>
      <c r="B51" s="147"/>
      <c r="C51" s="4"/>
      <c r="G51" s="91" t="str">
        <f>IF(ISNUMBER($AJ$80),$K$10,"")</f>
        <v/>
      </c>
      <c r="H51" s="90" t="str">
        <f>IF(ISNUMBER($AJ$80),"FWL","")</f>
        <v/>
      </c>
      <c r="I51" s="154"/>
      <c r="J51" s="153"/>
      <c r="K51" s="153"/>
      <c r="L51" s="13"/>
      <c r="M51" s="14"/>
      <c r="Q51" s="91" t="str">
        <f>IF(ISNUMBER($AL$80),$K$10,"")</f>
        <v/>
      </c>
      <c r="R51" s="90" t="str">
        <f>IF(ISNUMBER($AL$80),"FEL","")</f>
        <v/>
      </c>
      <c r="S51" s="154"/>
      <c r="T51" s="153"/>
      <c r="U51" s="5"/>
      <c r="V51" s="22"/>
      <c r="W51" s="147"/>
      <c r="X51" s="25" t="s">
        <v>124</v>
      </c>
      <c r="AA51" s="5"/>
      <c r="AB51" s="29"/>
      <c r="AC51" s="29"/>
      <c r="AD51" s="29"/>
      <c r="AE51" s="757" t="s">
        <v>226</v>
      </c>
      <c r="AF51" s="30" t="s">
        <v>113</v>
      </c>
      <c r="AG51" s="30" t="s">
        <v>114</v>
      </c>
      <c r="AH51" s="761" t="s">
        <v>113</v>
      </c>
      <c r="AI51" s="760" t="s">
        <v>114</v>
      </c>
      <c r="AJ51" s="30" t="s">
        <v>113</v>
      </c>
      <c r="AK51" s="30" t="s">
        <v>114</v>
      </c>
      <c r="AL51" s="30" t="s">
        <v>113</v>
      </c>
      <c r="AM51" s="30" t="s">
        <v>114</v>
      </c>
      <c r="AW51" s="233"/>
      <c r="AX51" s="233"/>
      <c r="AY51" s="233"/>
      <c r="AZ51" s="233"/>
      <c r="BA51" s="233"/>
      <c r="BB51" s="233"/>
      <c r="BC51" s="233" t="s">
        <v>299</v>
      </c>
      <c r="BH51" s="235">
        <v>15</v>
      </c>
      <c r="BI51" s="235">
        <v>10</v>
      </c>
      <c r="BJ51" s="235">
        <v>11</v>
      </c>
      <c r="BK51" s="235">
        <v>14</v>
      </c>
      <c r="BL51" s="235">
        <v>23</v>
      </c>
      <c r="BM51" s="235">
        <v>22</v>
      </c>
      <c r="BN51" s="235">
        <v>21</v>
      </c>
      <c r="BO51" s="235">
        <v>16</v>
      </c>
      <c r="BP51" s="235">
        <v>9</v>
      </c>
      <c r="CA51" s="19"/>
      <c r="CB51" s="19"/>
    </row>
    <row r="52" spans="1:80" ht="12" customHeight="1" x14ac:dyDescent="0.25">
      <c r="A52" s="17" t="s">
        <v>130</v>
      </c>
      <c r="B52" s="147"/>
      <c r="C52" s="4"/>
      <c r="I52" s="154"/>
      <c r="J52" s="153"/>
      <c r="K52" s="153"/>
      <c r="L52" s="13"/>
      <c r="M52" s="14"/>
      <c r="P52" s="19"/>
      <c r="S52" s="154"/>
      <c r="T52" s="153"/>
      <c r="U52" s="5"/>
      <c r="V52" s="22"/>
      <c r="W52" s="147"/>
      <c r="X52" s="25" t="s">
        <v>130</v>
      </c>
      <c r="AA52" s="5"/>
      <c r="AB52" s="5"/>
      <c r="AC52" s="5"/>
      <c r="AE52" s="53">
        <v>1</v>
      </c>
      <c r="AF52" s="49" t="str">
        <f>IF($AE52=AF$48,-($Q$30/$AW$28+$Q$31/$CA$28*$AW$19/$AX$19)/(1-$AW$19/$AX$19*$CB$19/$CA$19),"")</f>
        <v/>
      </c>
      <c r="AG52" s="48" t="str">
        <f>IF($AE52=AF$48,-($Q$31/$CA$28+$Q$30/$AW$28*$CB$19/$CA$19)/(1-$AW$19/$AX$19*$CB$19/$CA$19),"")</f>
        <v/>
      </c>
      <c r="AH52" s="44" t="str">
        <f>IF($AE52=AH$48,-($G$30/$BA$28-$BC$19-($G$31/$BE$28-$BD$19)*$BA$19/$BB$19)/(1-$BA$19/$BB$19*$BF$19/$BE$19),"")</f>
        <v/>
      </c>
      <c r="AI52" s="44" t="str">
        <f>IF($AE52=AH$48,($G$31/$BE$28-$BD$19-($G$30/$BA$28-$BC$19)*$BF$19/$BE$19)/(1-$BA$19/$BB$19*$BF$19/$BE$19)+$BD$19,"")</f>
        <v/>
      </c>
      <c r="AJ52" s="49" t="str">
        <f>IF($AE52=AJ$48,($G$46/$BO$28-$BK$19+$BM$19+($G$47/$BI$28-$BN$19+$BL$19)*$BO$19/$BP$19)/(1-$BJ$19/$BI$19*$BO$19/$BP$19)+$BK$19,"")</f>
        <v/>
      </c>
      <c r="AK52" s="48" t="str">
        <f>IF($AE52=AJ$48,($G$47/$BI$28-$BN$19+$BL$19+($G$46/$BO$28-$BK$19+$BM$19)*$BJ$19/$BI$19)/(1-$BJ$19/$BI$19*$BO$19/$BP$19)+$BN$19,"")</f>
        <v/>
      </c>
      <c r="AL52" s="49" t="str">
        <f>IF($AE52=AL$48,($Q$46/$BS$28-$BU$19-($Q$47/$BW$28-$BV$19)*$BS$19/$BT$19)/(1-$BX$19/$BW$19*$BS$19/$BT$19)+$BU$19,"")</f>
        <v/>
      </c>
      <c r="AM52" s="48" t="str">
        <f>IF($AE52=AL$48,-($Q$47/$BW$28-$BV$19-($Q$46/$BS$28-$BU$19)*$BX$19/$BW$19)/(1-$BX$19/$BW$19*$BS$19/$BT$19),"")</f>
        <v/>
      </c>
      <c r="BH52" s="235">
        <v>16</v>
      </c>
      <c r="BI52" s="235">
        <v>9</v>
      </c>
      <c r="BJ52" s="235">
        <v>10</v>
      </c>
      <c r="BK52" s="235">
        <v>15</v>
      </c>
      <c r="BL52" s="235">
        <v>22</v>
      </c>
      <c r="BM52" s="235">
        <v>21</v>
      </c>
      <c r="BN52" s="235">
        <v>20</v>
      </c>
      <c r="BO52" s="235">
        <v>17</v>
      </c>
      <c r="BP52" s="235">
        <v>8</v>
      </c>
      <c r="CA52" s="19"/>
      <c r="CB52" s="19"/>
    </row>
    <row r="53" spans="1:80" ht="12" customHeight="1" x14ac:dyDescent="0.25">
      <c r="A53" s="17" t="s">
        <v>134</v>
      </c>
      <c r="B53" s="147"/>
      <c r="C53" s="4"/>
      <c r="I53" s="154"/>
      <c r="J53" s="153"/>
      <c r="K53" s="153"/>
      <c r="L53" s="13"/>
      <c r="M53" s="14"/>
      <c r="P53" s="19"/>
      <c r="S53" s="154"/>
      <c r="T53" s="153"/>
      <c r="U53" s="5"/>
      <c r="V53" s="22"/>
      <c r="W53" s="147"/>
      <c r="X53" s="25" t="s">
        <v>134</v>
      </c>
      <c r="AA53" s="5"/>
      <c r="AB53" s="5"/>
      <c r="AC53" s="5"/>
      <c r="AE53" s="53">
        <v>2</v>
      </c>
      <c r="AF53" s="49" t="str">
        <f>IF($AE53=AF$48,-($Q$30/$AY$28+$AW$19+($Q$31/$CA$28-$AX$19)*$AY$19/$AZ$19)/(1-$AY$19/$AZ$19*$CB$19/$CA$19),"")</f>
        <v/>
      </c>
      <c r="AG53" s="48" t="str">
        <f>IF($AE53=AF$48,-($Q$31/$CA$28-$AX$19+($Q$30/$AY$28+$AW$19)*$CB$19/$CA$19)/(1-$AY$19/$AZ$19*$CB$19/$CA$19)-$AX$19,"")</f>
        <v/>
      </c>
      <c r="AH53" s="44" t="str">
        <f>IF($AE53=AH$48,-($G$30/$BC$28-$G$31/$BE$28*$BC$19/$BD$19)/(1-$BF$19/$BE$19*$BC$19/$BD$19),"")</f>
        <v/>
      </c>
      <c r="AI53" s="44" t="str">
        <f>IF($AE53=AH$48,($G$31/$BE$28-$G$30/$BC$28*$BF$19/$BE$19)/(1-$BF$19/$BE$19*$BC$19/$BD$19),"")</f>
        <v/>
      </c>
      <c r="AJ53" s="49" t="str">
        <f>IF($AE53=AJ$48,($G$46/$BM$28-$BK$19+($G$47/$BI$28+$BL$19)*$BM$19/$BN$19)/(1-$BJ$19/$BI$19*$BM$19/$BN$19)+$BK$19,"")</f>
        <v/>
      </c>
      <c r="AK53" s="48" t="str">
        <f>IF($AE53=AJ$48,($G$47/$BI$28+$BL$19+($G$46/$BM$28-$BK$19)*$BJ$19/$BI$19)/(1-$BJ$19/$BI$19*$BM$19/$BN$19),"")</f>
        <v/>
      </c>
      <c r="AL53" s="49" t="str">
        <f>IF($AE53=AL$48,($Q$46/$BQ$28-$BU19-$BS$19-($Q$47/$BW$28-$BT$19-$BV$19)*$BQ$19/$BR$19)/(1-$BX$19/$BW$19*$BQ$19/$BR$19)+$BU$19,"")</f>
        <v/>
      </c>
      <c r="AM53" s="48" t="str">
        <f>IF($AE53=AL$48,-($Q$47/$BW$28-$BT$19-$BV$19-($Q$46/$BQ$28-$BU$19-$BS$19)*$BX$19/$BW$19)/(1-$BX$19/$BW$19*$BQ$19/$BR$19)-$BT$19,"")</f>
        <v/>
      </c>
      <c r="BH53" s="235">
        <v>17</v>
      </c>
      <c r="BI53" s="235">
        <v>8</v>
      </c>
      <c r="BJ53" s="235">
        <v>9</v>
      </c>
      <c r="BK53" s="235">
        <v>16</v>
      </c>
      <c r="BL53" s="235">
        <v>21</v>
      </c>
      <c r="BM53" s="235">
        <v>20</v>
      </c>
      <c r="BN53" s="235">
        <v>19</v>
      </c>
      <c r="BO53" s="235">
        <v>18</v>
      </c>
      <c r="BP53" s="235">
        <v>7</v>
      </c>
      <c r="CA53" s="19"/>
      <c r="CB53" s="19"/>
    </row>
    <row r="54" spans="1:80" x14ac:dyDescent="0.25">
      <c r="A54" s="17" t="s">
        <v>140</v>
      </c>
      <c r="B54" s="112">
        <v>2</v>
      </c>
      <c r="C54" s="4"/>
      <c r="F54" s="815"/>
      <c r="I54" s="154"/>
      <c r="J54" s="153"/>
      <c r="K54" s="153"/>
      <c r="L54" s="13"/>
      <c r="M54" s="14"/>
      <c r="P54" s="815"/>
      <c r="S54" s="154"/>
      <c r="T54" s="153"/>
      <c r="U54" s="5"/>
      <c r="V54" s="22"/>
      <c r="W54" s="112">
        <v>4</v>
      </c>
      <c r="X54" s="25" t="s">
        <v>140</v>
      </c>
      <c r="AA54" s="5"/>
      <c r="AB54" s="5"/>
      <c r="AC54" s="5"/>
      <c r="AE54" s="53">
        <v>3</v>
      </c>
      <c r="AF54" s="49" t="str">
        <f>IF($AE54=AF$48,-($Q$30/$AY$28+$AW$19-$CA$19+($Q$31/$BY$28+$CB$19-$AX$19)*$AY$19/$AZ$19)/(1-$AY$19/$AZ$19*$BZ$19/$BY$19)-$CA$19,"")</f>
        <v/>
      </c>
      <c r="AG54" s="48" t="str">
        <f>IF($AE54=AF$48,-($Q$31/$BY$28+$CB$19-$AX$19+($Q$30/$AY$28+$AW$19-$CA$19)*$BZ$19/$BY$19)/(1-$AY$19/$AZ$19*$BZ$19/$BY$19)-$AX$19,"")</f>
        <v/>
      </c>
      <c r="AH54" s="44" t="str">
        <f>IF($AE54=AH$48,-($G$30/$BC$28-$BE$19-($G$31/$BG$28-$BF$19)*$BC$19/$BD$19)/(1-$BH$19/$BG$19*$BC$19/$BD$19)-$BE$19,"")</f>
        <v/>
      </c>
      <c r="AI54" s="44" t="str">
        <f>IF($AE54=AH$48,($G$31/$BG$28-$BF$19-($G$30/$BC$28-$BE$19)*$BH$19/$BG$19)/(1-$BH$19/$BG$19*$BC$19/$BD$19),"")</f>
        <v/>
      </c>
      <c r="AJ54" s="49" t="str">
        <f>IF($AE54=AJ$48,($G$46/$BM$28+$G$47/$BK$28*$BM$19/$BN$19)/(1-$BL$19/$BK$19*$BM$19/$BN$19),"")</f>
        <v/>
      </c>
      <c r="AK54" s="48" t="str">
        <f>IF($AE54=AJ$48,($G$47/$BK$28+$G$46/$BM$28*$BL$19/$BK$19)/(1-$BL$19/$BK$19*$BM$19/$BN$19),"")</f>
        <v/>
      </c>
      <c r="AL54" s="49" t="str">
        <f>IF($AE54=AL$48,($Q$46/$BQ$28-$BS$19-($Q$47/$BU$28-$BT$19)*$BQ$19/$BR$19)/(1-$BV$19/$BU$19*$BQ$19/$BR$19),"")</f>
        <v/>
      </c>
      <c r="AM54" s="48" t="str">
        <f>IF($AE54=AL$48,-($Q$47/$BU$28-$BT$19-($Q$46/$BQ$28-$BS$19)*$BV$19/$BU$19)/(1-$BV$19/$BU$19*$BQ$19/$BR$19)-$BT$19,"")</f>
        <v/>
      </c>
      <c r="BH54" s="235">
        <v>18</v>
      </c>
      <c r="BI54" s="235">
        <v>7</v>
      </c>
      <c r="BJ54" s="235">
        <v>8</v>
      </c>
      <c r="BK54" s="235">
        <v>17</v>
      </c>
      <c r="BL54" s="235">
        <v>20</v>
      </c>
      <c r="BM54" s="235">
        <v>19</v>
      </c>
      <c r="BN54" s="235">
        <v>24</v>
      </c>
      <c r="BO54" s="235">
        <v>13</v>
      </c>
      <c r="BP54" s="235">
        <v>12</v>
      </c>
      <c r="CA54" s="19"/>
      <c r="CB54" s="19"/>
    </row>
    <row r="55" spans="1:80" ht="12" customHeight="1" thickBot="1" x14ac:dyDescent="0.3">
      <c r="A55" s="17" t="s">
        <v>144</v>
      </c>
      <c r="B55" s="27" t="e">
        <f>IF(AND($L$38='SHL Section'!$BF$51,MAX('BHL Section 1'!$BG$37:$BG$40)=4),'BHL Section 1'!$W$55,IF(AND($L$38='SHL Section'!$BF$54,MAX('BHL Section 1'!$BG$41:$BG$44)=4),'BHL Section 1'!$W$55,IF(AND($L$38='SHL Section'!$BF$57,MAX('BHL Section 1'!$BG$45:$BG$48)=4),'BHL Section 1'!$W$55,IF(B51="","",IF(OR(B54=1,B54=4),180-(B51+B52/60+B53/3600),180+(B51+B52/60+B53/3600))))))</f>
        <v>#VALUE!</v>
      </c>
      <c r="C55" s="6"/>
      <c r="D55" s="2"/>
      <c r="E55" s="2"/>
      <c r="F55" s="2"/>
      <c r="G55" s="2"/>
      <c r="H55" s="2"/>
      <c r="I55" s="2"/>
      <c r="J55" s="2"/>
      <c r="K55" s="2"/>
      <c r="L55" s="15"/>
      <c r="M55" s="16"/>
      <c r="N55" s="2"/>
      <c r="O55" s="2"/>
      <c r="P55" s="2"/>
      <c r="Q55" s="2"/>
      <c r="R55" s="2"/>
      <c r="S55" s="2"/>
      <c r="T55" s="2"/>
      <c r="U55" s="2"/>
      <c r="V55" s="23"/>
      <c r="W55" s="34" t="e">
        <f>IF(AND($L$38='SHL Section'!$BF$51,MAX('BHL Section 1'!$BG$37:$BG$40)=8),'BHL Section 1'!$B$55,IF(AND($L$38='SHL Section'!$BF$54,MAX('BHL Section 1'!$BG$41:$BG$44)=8),'BHL Section 1'!$B$55,IF(AND($L$38='SHL Section'!$BF$57,MAX('BHL Section 1'!$BG$45:$BG$48)=8),'BHL Section 1'!$B$55,IF(W51="","",IF(OR(W54=1,W54=4),180-(W51+W52/60+W53/3600),180+(W51+W52/60+W53/3600))))))</f>
        <v>#VALUE!</v>
      </c>
      <c r="X55" s="25" t="s">
        <v>144</v>
      </c>
      <c r="AA55" s="5"/>
      <c r="AB55" s="5"/>
      <c r="AC55" s="5"/>
      <c r="AE55" s="53">
        <v>4</v>
      </c>
      <c r="AF55" s="49" t="str">
        <f>IF($AE55=AF$48,-($Q$30/$AW$28-$CA$19+($Q$31/$BY$28+$CB$19)*$AW$19/$AX$19)/(1-$AW$19/$AX$19*$BZ$19/$BY$19)-$CA$19,"")</f>
        <v/>
      </c>
      <c r="AG55" s="48" t="str">
        <f>IF($AE55=AF$48,-($Q$31/$BY$28+$CB$19+($Q$30/$AW$28-$CA$19)*$BZ$19/$BY$19)/(1-$AW$19/$AX$19*$BZ$19/$BY$19),"")</f>
        <v/>
      </c>
      <c r="AH55" s="44" t="str">
        <f>IF($AE55=AH$48,-($G$30/$BA$28-$BE$19-$BC$19-($G$31/$BG$28-$BD$19-$BF$19)*$BA$19/$BB$19)/(1-$BA$19/$BB$19*$BH$19/$BG$19)-$BE$19,"")</f>
        <v/>
      </c>
      <c r="AI55" s="44" t="str">
        <f>IF($AE55=AH$48,($G$31/$BG$28-$BD$19-$BF$19-($G$30/$BA$28-$BE$19-$BC$19)*$BH$19/$BG$19)/(1-$BA$19/$BB$19*$BH$19/$BG$19)+$BD$19,"")</f>
        <v/>
      </c>
      <c r="AJ55" s="49" t="str">
        <f>IF($AE55=AJ$48,($G$46/$BO$28+$BM$19+($G$47/$BK$28-$BN$19)*$BO$19/$BP$19)/(1-$BL$19/$BK$19*$BO$19/$BP$19),"")</f>
        <v/>
      </c>
      <c r="AK55" s="48" t="str">
        <f>IF($AE55=AJ$48,($G$47/$BK$28-$BN$19+($G$46/$BO$28+$BM$19)*$BL$19/$BK$19)/(1-$BL$19/$BK$19*$BO$19/$BP$19)+$BN$19,"")</f>
        <v/>
      </c>
      <c r="AL55" s="49" t="str">
        <f>IF($AE55=AL$48,($Q$46/$BS$28-$Q$47/$BU$28*$BS$19/$BT$19)/(1-$BV$19/$BU$19*$BS$19/$BT$19),"")</f>
        <v/>
      </c>
      <c r="AM55" s="48" t="str">
        <f>IF($AE55=AL$48,-($Q$47/$BU$28-$Q$46/$BS$28*$BV$19/$BU$19)/(1-$BV$19/$BU$19*$BS$19/$BT$19),"")</f>
        <v/>
      </c>
      <c r="AX55" s="19">
        <v>1</v>
      </c>
      <c r="AY55" s="19">
        <v>2</v>
      </c>
      <c r="AZ55" s="19">
        <v>3</v>
      </c>
      <c r="BA55" s="19">
        <v>4</v>
      </c>
      <c r="BH55" s="235">
        <v>19</v>
      </c>
      <c r="BI55" s="235">
        <v>18</v>
      </c>
      <c r="BJ55" s="235">
        <v>17</v>
      </c>
      <c r="BK55" s="235">
        <v>20</v>
      </c>
      <c r="BL55" s="235">
        <v>29</v>
      </c>
      <c r="BM55" s="235">
        <v>30</v>
      </c>
      <c r="BN55" s="235">
        <v>25</v>
      </c>
      <c r="BO55" s="235">
        <v>24</v>
      </c>
      <c r="BP55" s="235">
        <v>13</v>
      </c>
      <c r="CA55" s="19"/>
      <c r="CB55" s="19"/>
    </row>
    <row r="56" spans="1:80" ht="12" customHeight="1" x14ac:dyDescent="0.25">
      <c r="B56" s="955" t="e">
        <f>CONCATENATE("SW SC of ",$L$38)</f>
        <v>#VALUE!</v>
      </c>
      <c r="C56" s="904"/>
      <c r="D56" s="17" t="s">
        <v>118</v>
      </c>
      <c r="E56" s="162"/>
      <c r="J56" s="17" t="s">
        <v>118</v>
      </c>
      <c r="K56" s="217">
        <v>2654.57</v>
      </c>
      <c r="L56" s="942" t="e">
        <f>CONCATENATE("S QC of ",$L$38)</f>
        <v>#VALUE!</v>
      </c>
      <c r="M56" s="844"/>
      <c r="N56" s="17" t="s">
        <v>118</v>
      </c>
      <c r="O56" s="162">
        <v>2634.77</v>
      </c>
      <c r="T56" s="17" t="s">
        <v>118</v>
      </c>
      <c r="U56" s="162"/>
      <c r="V56" s="960" t="e">
        <f>CONCATENATE("SE SC of ",$L$38)</f>
        <v>#VALUE!</v>
      </c>
      <c r="W56" s="904"/>
      <c r="AA56" s="5"/>
      <c r="AB56" s="5"/>
      <c r="AC56" s="5"/>
      <c r="AF56" s="87"/>
      <c r="AG56" s="88"/>
      <c r="AH56" s="89"/>
      <c r="AI56" s="89"/>
      <c r="AJ56" s="87"/>
      <c r="AK56" s="88"/>
      <c r="AL56" s="87"/>
      <c r="AM56" s="88"/>
      <c r="AW56" s="19">
        <v>1</v>
      </c>
      <c r="AX56" s="235" t="s">
        <v>281</v>
      </c>
      <c r="AY56" s="235" t="s">
        <v>288</v>
      </c>
      <c r="AZ56" s="235" t="s">
        <v>292</v>
      </c>
      <c r="BA56" s="235" t="s">
        <v>296</v>
      </c>
      <c r="BH56" s="235">
        <v>20</v>
      </c>
      <c r="BI56" s="235">
        <v>17</v>
      </c>
      <c r="BJ56" s="235">
        <v>16</v>
      </c>
      <c r="BK56" s="235">
        <v>21</v>
      </c>
      <c r="BL56" s="235">
        <v>28</v>
      </c>
      <c r="BM56" s="235">
        <v>29</v>
      </c>
      <c r="BN56" s="235">
        <v>30</v>
      </c>
      <c r="BO56" s="235">
        <v>19</v>
      </c>
      <c r="BP56" s="235">
        <v>18</v>
      </c>
      <c r="CA56" s="19"/>
      <c r="CB56" s="19"/>
    </row>
    <row r="57" spans="1:80" ht="12" customHeight="1" x14ac:dyDescent="0.25">
      <c r="D57" s="17" t="s">
        <v>124</v>
      </c>
      <c r="E57" s="147"/>
      <c r="F57" s="20"/>
      <c r="G57" s="20"/>
      <c r="H57" s="20"/>
      <c r="I57" s="20"/>
      <c r="J57" s="17" t="s">
        <v>124</v>
      </c>
      <c r="K57" s="148">
        <v>89</v>
      </c>
      <c r="N57" s="17" t="s">
        <v>124</v>
      </c>
      <c r="O57" s="147">
        <v>89</v>
      </c>
      <c r="P57" s="20"/>
      <c r="Q57" s="20"/>
      <c r="R57" s="20"/>
      <c r="S57" s="20"/>
      <c r="T57" s="17" t="s">
        <v>124</v>
      </c>
      <c r="U57" s="147"/>
      <c r="AA57" s="5"/>
      <c r="AB57" s="5"/>
      <c r="AC57" s="5"/>
      <c r="AF57" s="939" t="s">
        <v>366</v>
      </c>
      <c r="AG57" s="882"/>
      <c r="AH57" s="943" t="s">
        <v>366</v>
      </c>
      <c r="AI57" s="832"/>
      <c r="AJ57" s="939" t="s">
        <v>366</v>
      </c>
      <c r="AK57" s="882"/>
      <c r="AL57" s="939" t="s">
        <v>366</v>
      </c>
      <c r="AM57" s="882"/>
      <c r="AW57" s="19">
        <v>2</v>
      </c>
      <c r="AX57" s="235" t="s">
        <v>283</v>
      </c>
      <c r="AY57" s="235" t="s">
        <v>289</v>
      </c>
      <c r="AZ57" s="235" t="s">
        <v>293</v>
      </c>
      <c r="BA57" s="235" t="s">
        <v>297</v>
      </c>
      <c r="BH57" s="235">
        <v>21</v>
      </c>
      <c r="BI57" s="235">
        <v>16</v>
      </c>
      <c r="BJ57" s="235">
        <v>15</v>
      </c>
      <c r="BK57" s="235">
        <v>22</v>
      </c>
      <c r="BL57" s="235">
        <v>27</v>
      </c>
      <c r="BM57" s="235">
        <v>28</v>
      </c>
      <c r="BN57" s="235">
        <v>29</v>
      </c>
      <c r="BO57" s="235">
        <v>20</v>
      </c>
      <c r="BP57" s="235">
        <v>17</v>
      </c>
      <c r="CA57" s="19"/>
      <c r="CB57" s="19"/>
    </row>
    <row r="58" spans="1:80" ht="12" customHeight="1" x14ac:dyDescent="0.25">
      <c r="D58" s="17" t="s">
        <v>130</v>
      </c>
      <c r="E58" s="147"/>
      <c r="J58" s="17" t="s">
        <v>130</v>
      </c>
      <c r="K58" s="148">
        <v>55</v>
      </c>
      <c r="N58" s="17" t="s">
        <v>130</v>
      </c>
      <c r="O58" s="147">
        <v>59</v>
      </c>
      <c r="T58" s="17" t="s">
        <v>130</v>
      </c>
      <c r="U58" s="147"/>
      <c r="AA58" s="5"/>
      <c r="AB58" s="5"/>
      <c r="AC58" s="5"/>
      <c r="AF58" s="944" t="str">
        <f>IF($AF$30="","",IF(AND((-$AF$30+$AG$30*$AW$19/$AX$19)&gt;0,-$AF$30&lt;$CA$19,(-$AG$30+$AF$30*$CB$19/$CA$19)&gt;0,-$AG$30&lt;$AX$19),1,IF(AND((-$AF$30-$AW$19+($AG$30+$AX$19)*$AY$19/$AZ$19)&gt;0,-$AF$30&lt;$CA$19,-$AG$30&gt;$AX$19,-$AG$30&lt;$AY$22),2,IF(AND(-$AF$30&lt;$BZ$22,-$AF$30&gt;$CA$19,-$AG$30&gt;$AX$19,-$AG$30&lt;$AY$22),3,IF(AND(-$AF$30&lt;$BZ$22,-$AF$30&gt;$CA$19,(-$AG$30-$CB$19-(-$AF$30-$CA$19)*$BZ$19/$BY$19)&gt;0,-$AG$30&lt;$AX$19),4,"")))))</f>
        <v/>
      </c>
      <c r="AG58" s="911"/>
      <c r="AH58" s="944" t="str">
        <f>IF($AH$30="","",IF(AND((-$AH$30+$BC$19+($AI$30-$BD$19)*$BA$19/$BB$19)&gt;0,-$AH$30&lt;$BE$19,$AI$30&gt;$BD$19,$AI$30&lt;$BC$22),1,IF(AND((-$AH$30+$AI$30*$BC$19/$BD$19)&gt;0,-$AH$30&lt;$BE$19,($AI$30-$AH$30*$BF$19/$BE$19)&gt;0,$AI$30&lt;$BD$19),2,IF(AND(-$AH$30&gt;$BE$19,-$AH$30&lt;$BF$22,($AI$30+$BF$19+(-$AH$30-$BE$19)*$BH$19/$BG$19)&gt;0,$AI$30&lt;$BD$19),3,IF(AND(-$AH$30&gt;$BE$19,-$AH$30&lt;$BF$22,$AI$30&gt;$BD$19,$AI$30&lt;$BC$22),4,"")))))</f>
        <v/>
      </c>
      <c r="AI58" s="911"/>
      <c r="AJ58" s="944" t="str">
        <f>IF($AJ$30="","",IF(AND($AJ$30&gt;$BK$19,$AJ$30&lt;$BJ$22,$AK$30&gt;$BN$19,$AK$30&lt;$BO$22),1,IF(AND($AJ$30&gt;$BK$19,$AJ$30&lt;$BJ$22,($AK$30-$BL$19-($AJ$30-$BK$19)*$BJ$19/$BI$19)&gt;0,$AK$30&lt;$BN$19),2,IF(AND(($AJ$30-$AK$30*$BM$19/$BN$19)&gt;0,$AJ$30&lt;$BK$19,($AK$30-$AJ$30*$BL$19/$BK$19)&gt;0,$AK$30&lt;$BN$19),3,IF(AND(($AJ$30-$BM$19-($AK$30-$BN$19)*$BO$19/$BP$19)&gt;0,$AJ$30&lt;$BK$19,$AK$30&gt;$BN$19,$AK$30&lt;$BO$22),4,"")))))</f>
        <v/>
      </c>
      <c r="AK58" s="911"/>
      <c r="AL58" s="944" t="str">
        <f>IF($AL$30="","",IF(AND($AL$30&gt;$BU$19,$AL$30&lt;$BV$22,(-$AM$30+$BV$19+($AL$30-$BU$19)*$BX$19/$BW$19)&gt;0,-$AM$30&lt;$BT$19),1,IF(AND($AL$30&gt;$BU$19,$AL$30&lt;$BV$22,-$AM$30&gt;$BT$19,-$AM$30&lt;$BS$22),2,IF(AND(($AL$30+$BS$19+(-$AM$30-$BT$19)*$BQ$19/$BR$19)&gt;0,$AL$30&lt;$BU$19,-$AM$30&gt;$BT$19,-$AM$30&lt;$BS$22),3,IF(AND(($AL$30-$AM$30*$BS$19/$BT$19)&gt;0,$AL$30&lt;$BU$19,(-$AM$30+$AL$30*$BV$19/$BU$19)&gt;0,-$AM$30&lt;$BT$19),4,"")))))</f>
        <v/>
      </c>
      <c r="AM58" s="911"/>
      <c r="AW58" s="19">
        <v>3</v>
      </c>
      <c r="AX58" s="235" t="s">
        <v>285</v>
      </c>
      <c r="AY58" s="235" t="s">
        <v>290</v>
      </c>
      <c r="AZ58" s="235" t="s">
        <v>294</v>
      </c>
      <c r="BA58" s="235" t="s">
        <v>298</v>
      </c>
      <c r="BH58" s="235">
        <v>22</v>
      </c>
      <c r="BI58" s="235">
        <v>15</v>
      </c>
      <c r="BJ58" s="235">
        <v>14</v>
      </c>
      <c r="BK58" s="235">
        <v>23</v>
      </c>
      <c r="BL58" s="235">
        <v>26</v>
      </c>
      <c r="BM58" s="235">
        <v>27</v>
      </c>
      <c r="BN58" s="235">
        <v>28</v>
      </c>
      <c r="BO58" s="235">
        <v>21</v>
      </c>
      <c r="BP58" s="235">
        <v>16</v>
      </c>
      <c r="CA58" s="19"/>
      <c r="CB58" s="19"/>
    </row>
    <row r="59" spans="1:80" ht="12" customHeight="1" x14ac:dyDescent="0.25">
      <c r="D59" s="17" t="s">
        <v>134</v>
      </c>
      <c r="E59" s="147"/>
      <c r="J59" s="17" t="s">
        <v>134</v>
      </c>
      <c r="K59" s="148">
        <v>23</v>
      </c>
      <c r="N59" s="17" t="s">
        <v>134</v>
      </c>
      <c r="O59" s="147">
        <v>7</v>
      </c>
      <c r="T59" s="17" t="s">
        <v>134</v>
      </c>
      <c r="U59" s="147"/>
      <c r="AA59" s="5"/>
      <c r="AB59" s="5"/>
      <c r="AC59" s="5"/>
      <c r="AF59" s="87"/>
      <c r="AG59" s="88"/>
      <c r="AH59" s="89"/>
      <c r="AI59" s="89"/>
      <c r="AJ59" s="87"/>
      <c r="AK59" s="88"/>
      <c r="AL59" s="87"/>
      <c r="AM59" s="88"/>
      <c r="AW59" s="19">
        <v>4</v>
      </c>
      <c r="AX59" s="235" t="s">
        <v>287</v>
      </c>
      <c r="AY59" s="235" t="s">
        <v>291</v>
      </c>
      <c r="AZ59" s="235" t="s">
        <v>295</v>
      </c>
      <c r="BA59" s="235" t="s">
        <v>299</v>
      </c>
      <c r="BH59" s="235">
        <v>23</v>
      </c>
      <c r="BI59" s="235">
        <v>14</v>
      </c>
      <c r="BJ59" s="235">
        <v>13</v>
      </c>
      <c r="BK59" s="235">
        <v>24</v>
      </c>
      <c r="BL59" s="235">
        <v>25</v>
      </c>
      <c r="BM59" s="235">
        <v>26</v>
      </c>
      <c r="BN59" s="235">
        <v>27</v>
      </c>
      <c r="BO59" s="235">
        <v>22</v>
      </c>
      <c r="BP59" s="235">
        <v>15</v>
      </c>
      <c r="CA59" s="19"/>
      <c r="CB59" s="19"/>
    </row>
    <row r="60" spans="1:80" ht="12" customHeight="1" x14ac:dyDescent="0.25">
      <c r="D60" s="17" t="s">
        <v>140</v>
      </c>
      <c r="E60" s="112">
        <v>1</v>
      </c>
      <c r="J60" s="17" t="s">
        <v>140</v>
      </c>
      <c r="K60" s="112">
        <v>4</v>
      </c>
      <c r="N60" s="17" t="s">
        <v>140</v>
      </c>
      <c r="O60" s="112">
        <v>4</v>
      </c>
      <c r="T60" s="17" t="s">
        <v>140</v>
      </c>
      <c r="U60" s="112">
        <v>1</v>
      </c>
      <c r="V60" s="116"/>
      <c r="AA60" s="5"/>
      <c r="AB60" s="5"/>
      <c r="AC60" s="5"/>
      <c r="AF60" s="939" t="s">
        <v>367</v>
      </c>
      <c r="AG60" s="882"/>
      <c r="AH60" s="939" t="s">
        <v>368</v>
      </c>
      <c r="AI60" s="882"/>
      <c r="AJ60" s="939" t="s">
        <v>369</v>
      </c>
      <c r="AK60" s="882"/>
      <c r="AL60" s="939" t="s">
        <v>370</v>
      </c>
      <c r="AM60" s="882"/>
      <c r="BH60" s="235">
        <v>24</v>
      </c>
      <c r="BI60" s="235">
        <v>13</v>
      </c>
      <c r="BJ60" s="235">
        <v>18</v>
      </c>
      <c r="BK60" s="235">
        <v>19</v>
      </c>
      <c r="BL60" s="235">
        <v>30</v>
      </c>
      <c r="BM60" s="235">
        <v>25</v>
      </c>
      <c r="BN60" s="235">
        <v>26</v>
      </c>
      <c r="BO60" s="235">
        <v>23</v>
      </c>
      <c r="BP60" s="235">
        <v>14</v>
      </c>
      <c r="CA60" s="19"/>
      <c r="CB60" s="19"/>
    </row>
    <row r="61" spans="1:80" ht="12" customHeight="1" x14ac:dyDescent="0.25">
      <c r="D61" s="17" t="s">
        <v>144</v>
      </c>
      <c r="E61" s="34" t="e">
        <f>IF(AND($L$38='SHL Section'!$BF$51,MAX('BHL Section 1'!$BG$37:$BG$40)=2),'BHL Section 1'!$E$23,IF(AND($L$38='SHL Section'!$BF$54,MAX('BHL Section 1'!$BG$41:$BG$44)=2),'BHL Section 1'!$E$23,IF(AND($L$38='SHL Section'!$BF$57,MAX('BHL Section 1'!$BG$45:$BG$48)=2),'BHL Section 1'!$E$23,IF(E57="","",IF(OR(E60=1,E60=4),180-(E57+E58/60+E59/3600),(E57+E58/60+E59/3600))))))</f>
        <v>#VALUE!</v>
      </c>
      <c r="J61" s="17" t="s">
        <v>144</v>
      </c>
      <c r="K61" s="34" t="e">
        <f>IF(AND($L$38='SHL Section'!$BF$51,MAX('BHL Section 1'!$BG$37:$BG$40)=2),'BHL Section 1'!$K$23,IF(AND($L$38='SHL Section'!$BF$54,MAX('BHL Section 1'!$BG$41:$BG$44)=2),'BHL Section 1'!$K$23,IF(AND($L$38='SHL Section'!$BF$57,MAX('BHL Section 1'!$BG$45:$BG$48)=2),'BHL Section 1'!$K$23,IF(K57="","",IF(OR(K60=1,K60=4),180-(K57+K58/60+K59/3600),(K57+K58/60+K59/3600))))))</f>
        <v>#VALUE!</v>
      </c>
      <c r="N61" s="17" t="s">
        <v>144</v>
      </c>
      <c r="O61" s="34" t="e">
        <f>IF(AND($L$38='SHL Section'!$BF$51,MAX('BHL Section 1'!$BG$37:$BG$40)=2),'BHL Section 1'!$O$23,IF(AND($L$38='SHL Section'!$BF$54,MAX('BHL Section 1'!$BG$41:$BG$44)=2),'BHL Section 1'!$O$23,IF(AND($L$38='SHL Section'!$BF$57,MAX('BHL Section 1'!$BG$45:$BG$48)=2),'BHL Section 1'!$O$23,IF(O57="","",IF(OR(O60=1,O60=4),180-(O57+O58/60+O59/3600),(O57+O58/60+O59/3600))))))</f>
        <v>#VALUE!</v>
      </c>
      <c r="T61" s="17" t="s">
        <v>144</v>
      </c>
      <c r="U61" s="27" t="e">
        <f>IF(AND($L$38='SHL Section'!$BF$51,MAX('BHL Section 1'!$BG$37:$BG$40)=2),'BHL Section 1'!$U$23,IF(AND($L$38='SHL Section'!$BF$54,MAX('BHL Section 1'!$BG$41:$BG$44)=2),'BHL Section 1'!$U$23,IF(AND($L$38='SHL Section'!$BF$57,MAX('BHL Section 1'!$BG$45:$BG$48)=2),'BHL Section 1'!$U$23,IF(U57="","",IF(OR(U60=1,U60=4),180-(U57+U58/60+U59/3600),(U57+U58/60+U59/3600))))))</f>
        <v>#VALUE!</v>
      </c>
      <c r="AA61" s="5"/>
      <c r="AB61" s="5"/>
      <c r="AC61" s="5"/>
      <c r="AE61" s="757" t="s">
        <v>226</v>
      </c>
      <c r="AF61" s="30" t="s">
        <v>181</v>
      </c>
      <c r="AG61" s="30" t="s">
        <v>194</v>
      </c>
      <c r="AH61" s="761" t="s">
        <v>181</v>
      </c>
      <c r="AI61" s="760" t="s">
        <v>201</v>
      </c>
      <c r="AJ61" s="30" t="s">
        <v>186</v>
      </c>
      <c r="AK61" s="30" t="s">
        <v>201</v>
      </c>
      <c r="AL61" s="30" t="s">
        <v>186</v>
      </c>
      <c r="AM61" s="30" t="s">
        <v>194</v>
      </c>
      <c r="AO61" s="19" t="s">
        <v>371</v>
      </c>
      <c r="AX61" s="29"/>
      <c r="BH61" s="235">
        <v>25</v>
      </c>
      <c r="BI61" s="235">
        <v>24</v>
      </c>
      <c r="BJ61" s="235">
        <v>19</v>
      </c>
      <c r="BK61" s="235">
        <v>30</v>
      </c>
      <c r="BL61" s="235">
        <v>31</v>
      </c>
      <c r="BM61" s="235">
        <v>36</v>
      </c>
      <c r="BN61" s="235">
        <v>35</v>
      </c>
      <c r="BO61" s="235">
        <v>26</v>
      </c>
      <c r="BP61" s="235">
        <v>23</v>
      </c>
      <c r="CA61" s="19"/>
      <c r="CB61" s="19"/>
    </row>
    <row r="62" spans="1:80" ht="12" customHeight="1" x14ac:dyDescent="0.25">
      <c r="E62" s="44" t="e">
        <f>IF(AND($AA$10=1,$L$38='SHL Section'!$BF$51,MAX('BHL Section 1'!$BG$37:$BG$40)=2),'BHL Section 1'!$E$17,IF(AND($AA$10=1,$L$38='SHL Section'!$BF$54,MAX('BHL Section 1'!$BG$41:$BG$44)=2),'BHL Section 1'!$E$17,IF(AND($AA$10=1,$L$38='SHL Section'!$BF$57,MAX('BHL Section 1'!$BG$45:$BG$48)=2),'BHL Section 1'!$E$17,'BHL Section 2'!E56)))</f>
        <v>#VALUE!</v>
      </c>
      <c r="F62" s="156"/>
      <c r="G62" s="156"/>
      <c r="H62" s="156"/>
      <c r="I62" s="156"/>
      <c r="J62" s="156"/>
      <c r="K62" s="44" t="e">
        <f>IF(AND($AA$10=1,$L$38='SHL Section'!$BF$51,MAX('BHL Section 1'!$BG$37:$BG$40)=2),'BHL Section 1'!$K$17,IF(AND($AA$10=1,$L$38='SHL Section'!$BF$54,MAX('BHL Section 1'!$BG$41:$BG$44)=2),'BHL Section 1'!$K$17,IF(AND($AA$10=1,$L$38='SHL Section'!$BF$57,MAX('BHL Section 1'!$BG$45:$BG$48)=2),'BHL Section 1'!$K$17,'BHL Section 2'!K56)))</f>
        <v>#VALUE!</v>
      </c>
      <c r="L62" s="156"/>
      <c r="M62" s="156"/>
      <c r="N62" s="156"/>
      <c r="O62" s="44" t="e">
        <f>IF(AND($AA$10=1,$L$38='SHL Section'!$BF$51,MAX('BHL Section 1'!$BG$37:$BG$40)=2),'BHL Section 1'!$O$17,IF(AND($AA$10=1,$L$38='SHL Section'!$BF$54,MAX('BHL Section 1'!$BG$41:$BG$44)=2),'BHL Section 1'!$O$17,IF(AND($AA$10=1,$L$38='SHL Section'!$BF$57,MAX('BHL Section 1'!$BG$45:$BG$48)=2),'BHL Section 1'!$O$17,'BHL Section 2'!O56)))</f>
        <v>#VALUE!</v>
      </c>
      <c r="P62" s="156"/>
      <c r="Q62" s="156"/>
      <c r="R62" s="156"/>
      <c r="S62" s="156"/>
      <c r="T62" s="156"/>
      <c r="U62" s="44" t="e">
        <f>IF(AND($AA$10=1,$L$38='SHL Section'!$BF$51,MAX('BHL Section 1'!$BG$37:$BG$40)=2),'BHL Section 1'!$U$17,IF(AND($AA$10=1,$L$38='SHL Section'!$BF$54,MAX('BHL Section 1'!$BG$41:$BG$44)=2),'BHL Section 1'!$U$17,IF(AND($AA$10=1,$L$38='SHL Section'!$BF$57,MAX('BHL Section 1'!$BG$45:$BG$48)=2),'BHL Section 1'!$U$17,'BHL Section 2'!U56)))</f>
        <v>#VALUE!</v>
      </c>
      <c r="AA62" s="5"/>
      <c r="AB62" s="5"/>
      <c r="AC62" s="5"/>
      <c r="AE62" s="53">
        <v>1</v>
      </c>
      <c r="AF62" s="49" t="str">
        <f>IF($AE62=AF$58,(-$AF$30+$AG$30*$AW$19/$AX$19)*$AW$28,"")</f>
        <v/>
      </c>
      <c r="AG62" s="48" t="str">
        <f>IF($AE62=AF$58,(-$AG$30+$AF$30*$CB$19/$CA$19)*$CA$28,"")</f>
        <v/>
      </c>
      <c r="AH62" s="49" t="str">
        <f>IF($AE62=AH$58,(-$AH$30+$BC$19+($AI$30-$BD$19)*$BA$19/$BB$19)*$BA$28,"")</f>
        <v/>
      </c>
      <c r="AI62" s="48" t="str">
        <f>IF($AE62=AH$58,($AI$30-$AH$30*$BF$19/$BE$19)*$BE$28,"")</f>
        <v/>
      </c>
      <c r="AJ62" s="49" t="str">
        <f>IF($AE62=AJ$58,($AJ$30-$BM$19-($AK$30-$BN$19)*$BO$19/$BP$19)*$BO$28,"")</f>
        <v/>
      </c>
      <c r="AK62" s="48" t="str">
        <f>IF($AE62=AJ$58,($AK$30-$BL$19-($AJ$30-$BK$19)*$BJ$19/$BI$19)*$BI$28,"")</f>
        <v/>
      </c>
      <c r="AL62" s="49" t="str">
        <f>IF($AE62=AL$58,($AL$30-$AM$30*$BS$19/$BT$19)*$BS$28,"")</f>
        <v/>
      </c>
      <c r="AM62" s="48" t="str">
        <f>IF($AE62=AL$58,(-$AM$30+$BV$19+($AL$30-$BU$19)*$BX$19/$BW$19)*$BW$28,"")</f>
        <v/>
      </c>
      <c r="AO62" s="159" t="str">
        <f>IF(ISNUMBER($AF$30),(-$AF$30+$AG$30*$AW$19/$AX$19),"")</f>
        <v/>
      </c>
      <c r="AP62" s="160" t="str">
        <f>IF(ISNUMBER($AG$30),(-$AG$30+$AF$30*$CB$19/$CA$19),"")</f>
        <v/>
      </c>
      <c r="AQ62" s="159" t="str">
        <f>IF(ISNUMBER($AH$30),(-$AH$30+$BC$19+($AI$30-$BD$19)*$BA$19/$BB$19),"")</f>
        <v/>
      </c>
      <c r="AR62" s="160" t="str">
        <f>IF(ISNUMBER($AI$30),($AI$30-$AH$30*$BF$19/$BE$19),"")</f>
        <v/>
      </c>
      <c r="AS62" s="159" t="str">
        <f>IF(ISNUMBER($AJ$30),($AJ$30-$BM$19-($AK$30-$BN$19)*$BO$19/$BP$19),"")</f>
        <v/>
      </c>
      <c r="AT62" s="160" t="str">
        <f>IF(ISNUMBER($AK$30),($AK$30-$BL$19-($AJ$30-$BK$19)*$BJ$19/$BI$19),"")</f>
        <v/>
      </c>
      <c r="AU62" s="159" t="str">
        <f>IF(ISNUMBER($AL$30),($AL$30-$AM$30*$BS$19/$BT$19),"")</f>
        <v/>
      </c>
      <c r="AV62" s="160" t="str">
        <f>IF(ISNUMBER($AM$30),(-$AM$30+$BV$19+($AL$30-$BU$19)*$BX$19/$BW$19),"")</f>
        <v/>
      </c>
      <c r="AX62" s="44"/>
      <c r="AY62" s="44"/>
      <c r="AZ62" s="44"/>
      <c r="BA62" s="44"/>
      <c r="BH62" s="235">
        <v>26</v>
      </c>
      <c r="BI62" s="235">
        <v>23</v>
      </c>
      <c r="BJ62" s="235">
        <v>24</v>
      </c>
      <c r="BK62" s="235">
        <v>25</v>
      </c>
      <c r="BL62" s="235">
        <v>36</v>
      </c>
      <c r="BM62" s="235">
        <v>35</v>
      </c>
      <c r="BN62" s="235">
        <v>34</v>
      </c>
      <c r="BO62" s="235">
        <v>27</v>
      </c>
      <c r="BP62" s="235">
        <v>22</v>
      </c>
      <c r="CA62" s="19"/>
      <c r="CB62" s="19"/>
    </row>
    <row r="63" spans="1:80" ht="12" customHeight="1" x14ac:dyDescent="0.25">
      <c r="AA63" s="5"/>
      <c r="AB63" s="5"/>
      <c r="AC63" s="5"/>
      <c r="AE63" s="53">
        <v>2</v>
      </c>
      <c r="AF63" s="49" t="str">
        <f>IF($AE63=AF$58,(-$AF$30-$AW$19+($AG$30+$AX$19)*$AY$19/$AZ$19)*$AY$28,"")</f>
        <v/>
      </c>
      <c r="AG63" s="48" t="str">
        <f>IF($AE63=AF$58,(-$AG$30+$AF$30*$CB$19/$CA$19)*$CA$28,"")</f>
        <v/>
      </c>
      <c r="AH63" s="49" t="str">
        <f>IF($AE63=AH$58,(-$AH$30+$AI$30*$BC$19/$BD$19)*$BC$28,"")</f>
        <v/>
      </c>
      <c r="AI63" s="48" t="str">
        <f>IF($AE63=AH$58,($AI$30-$AH$30*$BF$19/$BE$19)*$BE$28,"")</f>
        <v/>
      </c>
      <c r="AJ63" s="49" t="str">
        <f>IF($AE63=AJ$58,($AJ$30-$AK$30*$BM$19/$BN$19)*$BM$28,"")</f>
        <v/>
      </c>
      <c r="AK63" s="48" t="str">
        <f>IF($AE63=AJ$58,($AK$30-$BL$19-($AJ$30-$BK$19)*$BJ$19/$BI$19)*$BI$28,"")</f>
        <v/>
      </c>
      <c r="AL63" s="49" t="str">
        <f>IF($AE63=AL$58,($AL$30+$BS$19+(-$AM$30-$BT$19)*$BQ$19/$BR$19)*$BQ$28,"")</f>
        <v/>
      </c>
      <c r="AM63" s="48" t="str">
        <f>IF($AE63=AL$58,(-$AM$30+$BV$19+($AL$30-$BU$19)*$BX$19/$BW$19)*$BW$28,"")</f>
        <v/>
      </c>
      <c r="AO63" s="49" t="str">
        <f>IF(ISNUMBER($AF$30),(-$AF$30-$AW$19+($AG$30+$AX$19)*$AY$19/$AZ$19),"")</f>
        <v/>
      </c>
      <c r="AP63" s="48" t="str">
        <f>IF(ISNUMBER($AG$30),(-$AG$30+$AF$30*$CB$19/$CA$19),"")</f>
        <v/>
      </c>
      <c r="AQ63" s="49" t="str">
        <f>IF(ISNUMBER($AH$30),(-$AH$30+$AI$30*$BC$19/$BD$19),"")</f>
        <v/>
      </c>
      <c r="AR63" s="48" t="str">
        <f>IF(ISNUMBER($AI$30),($AI$30-$AH$30*$BF$19/$BE$19),"")</f>
        <v/>
      </c>
      <c r="AS63" s="49" t="str">
        <f>IF(ISNUMBER($AJ$30),($AJ$30-$AK$30*$BM$19/$BN$19),"")</f>
        <v/>
      </c>
      <c r="AT63" s="48" t="str">
        <f>IF(ISNUMBER($AK$30),($AK$30-$BL$19-($AJ$30-$BK$19)*$BJ$19/$BI$19),"")</f>
        <v/>
      </c>
      <c r="AU63" s="49" t="str">
        <f>IF(ISNUMBER($AL$30),($AL$30+$BS$19+(-$AM$30-$BT$19)*$BQ$19/$BR$19),"")</f>
        <v/>
      </c>
      <c r="AV63" s="48" t="str">
        <f>IF(ISNUMBER($AM$30),(-$AM$30+$BV$19+($AL$30-$BU$19)*$BX$19/$BW$19),"")</f>
        <v/>
      </c>
      <c r="BH63" s="235">
        <v>27</v>
      </c>
      <c r="BI63" s="235">
        <v>22</v>
      </c>
      <c r="BJ63" s="235">
        <v>23</v>
      </c>
      <c r="BK63" s="235">
        <v>26</v>
      </c>
      <c r="BL63" s="235">
        <v>35</v>
      </c>
      <c r="BM63" s="235">
        <v>34</v>
      </c>
      <c r="BN63" s="235">
        <v>33</v>
      </c>
      <c r="BO63" s="235">
        <v>28</v>
      </c>
      <c r="BP63" s="235">
        <v>21</v>
      </c>
      <c r="CA63" s="19"/>
      <c r="CB63" s="19"/>
    </row>
    <row r="64" spans="1:80" ht="12" customHeight="1" x14ac:dyDescent="0.25">
      <c r="AA64" s="5"/>
      <c r="AB64" s="5"/>
      <c r="AC64" s="5"/>
      <c r="AE64" s="53">
        <v>3</v>
      </c>
      <c r="AF64" s="49" t="str">
        <f>IF($AE64=AF$58,(-$AF$30-$AW$19+($AG$30+$AX$19)*$AY$19/$AZ$19)*$AY$28,"")</f>
        <v/>
      </c>
      <c r="AG64" s="48" t="str">
        <f>IF($AE64=AF$58,(-$AG$30-$CB$19-(-$AF$30-$CA$19)*$BZ$19/$BY$19)*$BY$28,"")</f>
        <v/>
      </c>
      <c r="AH64" s="49" t="str">
        <f>IF($AE64=AH$58,(-$AH$30+$AI$30*$BC$19/$BD$19)*$BC$28,"")</f>
        <v/>
      </c>
      <c r="AI64" s="48" t="str">
        <f>IF($AE64=AH$58,($AI$30+$BF$19+(-$AH$30-$BE$19)*$BH$19/$BG$19)*$BG$28,"")</f>
        <v/>
      </c>
      <c r="AJ64" s="49" t="str">
        <f>IF($AE64=AJ$58,($AJ$30-$AK$30*$BM$19/$BN$19)*$BM$28,"")</f>
        <v/>
      </c>
      <c r="AK64" s="48" t="str">
        <f>IF($AE64=AJ$58,($AK$30-$AJ$30*$BL$19/$BK$19)*$BK$28,"")</f>
        <v/>
      </c>
      <c r="AL64" s="49" t="str">
        <f>IF($AE64=AL$58,($AL$30+$BS$19+(-$AM$30-$BT$19)*$BQ$19/$BR$19)*$BQ$28,"")</f>
        <v/>
      </c>
      <c r="AM64" s="48" t="str">
        <f>IF($AE64=AL$58,(-$AM$30+$AL$30*$BV$19/$BU$19)*$BU$28,"")</f>
        <v/>
      </c>
      <c r="AO64" s="49" t="str">
        <f>IF(ISNUMBER($AF$30),(-$AF$30-$AW$19+($AG$30+$AX$19)*$AY$19/$AZ$19),"")</f>
        <v/>
      </c>
      <c r="AP64" s="48" t="str">
        <f>IF(ISNUMBER($AG$30),(-$AG$30-$CB$19-(-$AF$30-$CA$19)*$BZ$19/$BY$19),"")</f>
        <v/>
      </c>
      <c r="AQ64" s="49" t="str">
        <f>IF(ISNUMBER($AH$30),(-$AH$30+$AI$30*$BC$19/$BD$19),"")</f>
        <v/>
      </c>
      <c r="AR64" s="48" t="str">
        <f>IF(ISNUMBER($AI$30),($AI$30+$BF$19+(-$AH$30-$BE$19)*$BH$19/$BG$19),"")</f>
        <v/>
      </c>
      <c r="AS64" s="49" t="str">
        <f>IF(ISNUMBER($AJ$30),($AJ$30-$AK$30*$BM$19/$BN$19),"")</f>
        <v/>
      </c>
      <c r="AT64" s="48" t="str">
        <f>IF(ISNUMBER($AK$30),($AK$30-$AJ$30*$BL$19/$BK$19),"")</f>
        <v/>
      </c>
      <c r="AU64" s="49" t="str">
        <f>IF(ISNUMBER($AL$30),($AL$30+$BS$19+(-$AM$30-$BT$19)*$BQ$19/$BR$19),"")</f>
        <v/>
      </c>
      <c r="AV64" s="48" t="str">
        <f>IF(ISNUMBER($AM$30),(-$AM$30+$AL$30*$BV$19/$BU$19),"")</f>
        <v/>
      </c>
      <c r="BH64" s="235">
        <v>28</v>
      </c>
      <c r="BI64" s="235">
        <v>21</v>
      </c>
      <c r="BJ64" s="235">
        <v>22</v>
      </c>
      <c r="BK64" s="235">
        <v>27</v>
      </c>
      <c r="BL64" s="235">
        <v>34</v>
      </c>
      <c r="BM64" s="235">
        <v>33</v>
      </c>
      <c r="BN64" s="235">
        <v>32</v>
      </c>
      <c r="BO64" s="235">
        <v>29</v>
      </c>
      <c r="BP64" s="235">
        <v>20</v>
      </c>
      <c r="CA64" s="19"/>
      <c r="CB64" s="19"/>
    </row>
    <row r="65" spans="27:80" ht="12" customHeight="1" x14ac:dyDescent="0.25">
      <c r="AA65" s="5"/>
      <c r="AB65" s="5"/>
      <c r="AC65" s="5"/>
      <c r="AE65" s="53">
        <v>4</v>
      </c>
      <c r="AF65" s="83" t="str">
        <f>IF($AE65=AF$58,(-$AF$30+$AG$30*$AW$19/$AX$19)*$AW$28,"")</f>
        <v/>
      </c>
      <c r="AG65" s="84" t="str">
        <f>IF($AE65=AF$58,(-$AG$30-$CB$19-(-$AF$30-$CA$19)*$BZ$19/$BY$19)*$BY$28,"")</f>
        <v/>
      </c>
      <c r="AH65" s="83" t="str">
        <f>IF($AE65=AH$58,(-$AH$30+$BC$19+($AI$30-$BD$19)*$BA$19/$BB$19)*$BA$28,"")</f>
        <v/>
      </c>
      <c r="AI65" s="84" t="str">
        <f>IF($AE65=AH$58,($AI$30+$BF$19+(-$AH$30-$BE$19)*$BH$19/$BG$19)*$BG$28,"")</f>
        <v/>
      </c>
      <c r="AJ65" s="83" t="str">
        <f>IF($AE65=AJ$58,($AJ$30-$BM$19-($AK$30-$BN$19)*$BO$19/$BP$19)*$BO$28,"")</f>
        <v/>
      </c>
      <c r="AK65" s="84" t="str">
        <f>IF($AE65=AJ$58,($AK$30-$AJ$30*$BL$19/$BK$19)*$BK$28,"")</f>
        <v/>
      </c>
      <c r="AL65" s="83" t="str">
        <f>IF($AE65=AL$58,($AL$30-$AM$30*$BS$19/$BT$19)*$BS$28,"")</f>
        <v/>
      </c>
      <c r="AM65" s="84" t="str">
        <f>IF($AE65=AL$58,(-$AM$30+$AL$30*$BV$19/$BU$19)*$BU$28,"")</f>
        <v/>
      </c>
      <c r="AO65" s="83" t="str">
        <f>IF(ISNUMBER($AF$30),(-$AF$30+$AG$30*$AW$19/$AX$19),"")</f>
        <v/>
      </c>
      <c r="AP65" s="84" t="str">
        <f>IF(ISNUMBER($AG$30),(-$AG$30-$CB$19-(-$AF$30-$CA$19)*$BZ$19/$BY$19),"")</f>
        <v/>
      </c>
      <c r="AQ65" s="83" t="str">
        <f>IF(ISNUMBER($AH$30),(-$AH$30+$BC$19+($AI$30-$BD$19)*$BA$19/$BB$19),"")</f>
        <v/>
      </c>
      <c r="AR65" s="84" t="str">
        <f>IF(ISNUMBER($AI$30),($AI$30+$BF$19+(-$AH$30-$BE$19)*$BH$19/$BG$19),"")</f>
        <v/>
      </c>
      <c r="AS65" s="83" t="str">
        <f>IF(ISNUMBER($AJ$30),($AJ$30-$BM$19-($AK$30-$BN$19)*$BO$19/$BP$19),"")</f>
        <v/>
      </c>
      <c r="AT65" s="84" t="str">
        <f>IF(ISNUMBER($AK$30),($AK$30-$AJ$30*$BL$19/$BK$19),"")</f>
        <v/>
      </c>
      <c r="AU65" s="83" t="str">
        <f>IF(ISNUMBER($AL$30),($AL$30-$AM$30*$BS$19/$BT$19),"")</f>
        <v/>
      </c>
      <c r="AV65" s="84" t="str">
        <f>IF(ISNUMBER($AM$30),(-$AM$30+$AL$30*$BV$19/$BU$19),"")</f>
        <v/>
      </c>
      <c r="BH65" s="235">
        <v>29</v>
      </c>
      <c r="BI65" s="235">
        <v>20</v>
      </c>
      <c r="BJ65" s="235">
        <v>21</v>
      </c>
      <c r="BK65" s="235">
        <v>28</v>
      </c>
      <c r="BL65" s="235">
        <v>33</v>
      </c>
      <c r="BM65" s="235">
        <v>32</v>
      </c>
      <c r="BN65" s="235">
        <v>31</v>
      </c>
      <c r="BO65" s="235">
        <v>30</v>
      </c>
      <c r="BP65" s="235">
        <v>19</v>
      </c>
      <c r="CA65" s="19"/>
      <c r="CB65" s="19"/>
    </row>
    <row r="66" spans="27:80" ht="12" customHeight="1" x14ac:dyDescent="0.25">
      <c r="AA66" s="5"/>
      <c r="AB66" s="5"/>
      <c r="AC66" s="5"/>
      <c r="AF66" s="85" t="str">
        <f>IF(ISNUMBER($AF$62),AF$62,IF(ISNUMBER($AF$63),AF$63,IF(ISNUMBER($AF$64),AF$64,IF(ISNUMBER($AF$65),AF$65,""))))</f>
        <v/>
      </c>
      <c r="AG66" s="86" t="str">
        <f>IF(ISNUMBER($AG$62),AG$62,IF(ISNUMBER($AG$63),AG$63,IF(ISNUMBER($AG$64),AG$64,IF(ISNUMBER($AG$65),AG$65,""))))</f>
        <v/>
      </c>
      <c r="AH66" s="85" t="str">
        <f>IF(ISNUMBER($AH$62),AH$62,IF(ISNUMBER($AH$63),AH$63,IF(ISNUMBER($AH$64),AH$64,IF(ISNUMBER($AH$65),AH$65,""))))</f>
        <v/>
      </c>
      <c r="AI66" s="86" t="str">
        <f>IF(ISNUMBER($AI$62),AI$62,IF(ISNUMBER($AI$63),AI$63,IF(ISNUMBER($AI$64),AI$64,IF(ISNUMBER($AI$65),AI$65,""))))</f>
        <v/>
      </c>
      <c r="AJ66" s="85" t="str">
        <f>IF(ISNUMBER($AJ$62),AJ$62,IF(ISNUMBER($AJ$63),AJ$63,IF(ISNUMBER($AJ$64),AJ$64,IF(ISNUMBER($AJ$65),AJ$65,""))))</f>
        <v/>
      </c>
      <c r="AK66" s="86" t="str">
        <f>IF(ISNUMBER($AK$62),AK$62,IF(ISNUMBER($AK$63),AK$63,IF(ISNUMBER($AK$64),AK$64,IF(ISNUMBER($AK$65),AK$65,""))))</f>
        <v/>
      </c>
      <c r="AL66" s="85" t="str">
        <f>IF(ISNUMBER($AL$62),AL$62,IF(ISNUMBER($AL$63),AL$63,IF(ISNUMBER($AL$64),AL$64,IF(ISNUMBER($AL$65),AL$65,""))))</f>
        <v/>
      </c>
      <c r="AM66" s="86" t="str">
        <f>IF(ISNUMBER($AM$62),AM$62,IF(ISNUMBER($AM$63),AM$63,IF(ISNUMBER($AM$64),AM$64,IF(ISNUMBER($AM$65),AM$65,""))))</f>
        <v/>
      </c>
      <c r="AP66" s="44"/>
      <c r="AQ66" s="44"/>
      <c r="AR66" s="44"/>
      <c r="AS66" s="44"/>
      <c r="AT66" s="44"/>
      <c r="AU66" s="44"/>
      <c r="BH66" s="235">
        <v>30</v>
      </c>
      <c r="BI66" s="235">
        <v>19</v>
      </c>
      <c r="BJ66" s="235">
        <v>20</v>
      </c>
      <c r="BK66" s="235">
        <v>29</v>
      </c>
      <c r="BL66" s="235">
        <v>32</v>
      </c>
      <c r="BM66" s="235">
        <v>31</v>
      </c>
      <c r="BN66" s="235">
        <v>36</v>
      </c>
      <c r="BO66" s="235">
        <v>25</v>
      </c>
      <c r="BP66" s="235">
        <v>24</v>
      </c>
      <c r="CA66" s="19"/>
      <c r="CB66" s="19"/>
    </row>
    <row r="67" spans="27:80" ht="12" customHeight="1" x14ac:dyDescent="0.25">
      <c r="AA67" s="5"/>
      <c r="AB67" s="5"/>
      <c r="AC67" s="5"/>
      <c r="AF67" s="87"/>
      <c r="AG67" s="88"/>
      <c r="AH67" s="89"/>
      <c r="AI67" s="89"/>
      <c r="AJ67" s="87"/>
      <c r="AK67" s="88"/>
      <c r="AL67" s="87"/>
      <c r="AM67" s="88"/>
      <c r="AP67" s="44"/>
      <c r="AQ67" s="44"/>
      <c r="AR67" s="44"/>
      <c r="AS67" s="44"/>
      <c r="AT67" s="44"/>
      <c r="AU67" s="44"/>
      <c r="BH67" s="235">
        <v>31</v>
      </c>
      <c r="BI67" s="235">
        <v>30</v>
      </c>
      <c r="BJ67" s="235">
        <v>29</v>
      </c>
      <c r="BK67" s="235">
        <v>32</v>
      </c>
      <c r="BL67" s="235">
        <v>5</v>
      </c>
      <c r="BM67" s="235">
        <v>6</v>
      </c>
      <c r="BN67" s="235">
        <v>1</v>
      </c>
      <c r="BO67" s="235">
        <v>36</v>
      </c>
      <c r="BP67" s="235">
        <v>25</v>
      </c>
      <c r="CA67" s="19"/>
      <c r="CB67" s="19"/>
    </row>
    <row r="68" spans="27:80" ht="12" customHeight="1" x14ac:dyDescent="0.25">
      <c r="AA68" s="5"/>
      <c r="AB68" s="5"/>
      <c r="AC68" s="5"/>
      <c r="AF68" s="939" t="s">
        <v>372</v>
      </c>
      <c r="AG68" s="882"/>
      <c r="AH68" s="943" t="s">
        <v>372</v>
      </c>
      <c r="AI68" s="832"/>
      <c r="AJ68" s="939" t="s">
        <v>372</v>
      </c>
      <c r="AK68" s="882"/>
      <c r="AL68" s="939" t="s">
        <v>372</v>
      </c>
      <c r="AM68" s="882"/>
      <c r="AP68" s="44"/>
      <c r="AQ68" s="44"/>
      <c r="AR68" s="44"/>
      <c r="AS68" s="44"/>
      <c r="AT68" s="44"/>
      <c r="AU68" s="44"/>
      <c r="BH68" s="235">
        <v>32</v>
      </c>
      <c r="BI68" s="235">
        <v>29</v>
      </c>
      <c r="BJ68" s="235">
        <v>28</v>
      </c>
      <c r="BK68" s="235">
        <v>33</v>
      </c>
      <c r="BL68" s="235">
        <v>4</v>
      </c>
      <c r="BM68" s="235">
        <v>5</v>
      </c>
      <c r="BN68" s="235">
        <v>6</v>
      </c>
      <c r="BO68" s="235">
        <v>31</v>
      </c>
      <c r="BP68" s="235">
        <v>30</v>
      </c>
      <c r="CA68" s="19"/>
      <c r="CB68" s="19"/>
    </row>
    <row r="69" spans="27:80" ht="12" customHeight="1" x14ac:dyDescent="0.25">
      <c r="AA69" s="5"/>
      <c r="AB69" s="5"/>
      <c r="AC69" s="5"/>
      <c r="AF69" s="944" t="str">
        <f>IF($AF$36="","",IF(AND((-$AF$36+$AG$36*$AW$19/$AX$19)&gt;0,-$AF$36&lt;$CA$19,(-$AG$36+$AF$36*$CB$19/$CA$19)&gt;0,-$AG$36&lt;$AX$19),1,IF(AND((-$AF$36-$AW$19+($AG$36+$AX$19)*$AY$19/$AZ$19)&gt;0,-$AF$36&lt;$CA$19,-$AG$36&gt;$AX$19,-$AG$36&lt;$AY$22),2,IF(AND(-$AF$36&lt;$BZ$22,-$AF$36&gt;$CA$19,-$AG$36&gt;$AX$19,-$AG$36&lt;$AY$22),3,IF(AND(-$AF$36&lt;$BZ$22,-$AF$36&gt;$CA$19,(-$AG$36-$CB$19-(-$AF$36-$CA$19)*$BZ$19/$BY$19)&gt;0,-$AG$36&lt;$AX$19),4,"")))))</f>
        <v/>
      </c>
      <c r="AG69" s="911"/>
      <c r="AH69" s="944" t="str">
        <f>IF($AH$36="","",IF(AND((-$AH$36+$BC$19+($AI$36-$BD$19)*$BA$19/$BB$19)&gt;0,-$AH$36&lt;$BE$19,$AI$36&gt;$BD$19,$AI$36&lt;$BC$22),1,IF(AND((-$AH$36+$AI$36*$BC$19/$BD$19)&gt;0,-$AH$36&lt;$BE$19,($AI$36-$AH$36*$BF$19/$BE$19)&gt;0,$AI$36&lt;$BD$19),2,IF(AND(-$AH$36&gt;$BE$19,-$AH$36&lt;$BF$22,($AI$36+$BF$19+(-$AH$36-$BE$19)*$BH$19/$BG$19)&gt;0,$AI$36&lt;$BD$19),3,IF(AND(-$AH$36&gt;$BE$19,-$AH$36&lt;$BF$22,$AI$36&gt;$BD$19,$AI$36&lt;$BC$22),4,"")))))</f>
        <v/>
      </c>
      <c r="AI69" s="911"/>
      <c r="AJ69" s="944" t="str">
        <f>IF($AJ$36="","",IF(AND($AJ$36&gt;$BK$19,$AJ$36&lt;$BJ$22,$AK$36&gt;$BN$19,$AK$36&lt;$BO$22),1,IF(AND($AJ$36&gt;$BK$19,$AJ$36&lt;$BJ$22,($AK$36-$BL$19-($AJ$36-$BK$19)*$BJ$19/$BI$19)&gt;0,$AK$36&lt;$BN$19),2,IF(AND(($AJ$36-$AK$36*$BM$19/$BN$19)&gt;0,$AJ$36&lt;$BK$19,($AK$36-$AJ$36*$BL$19/$BK$19)&gt;0,$AK$36&lt;$BN$19),3,IF(AND(($AJ$36-$BM$19-($AK$36-$BN$19)*$BO$19/$BP$19)&gt;0,$AJ$36&lt;$BK$19,$AK$36&gt;$BN$19,$AK$36&lt;$BO$22),4,"")))))</f>
        <v/>
      </c>
      <c r="AK69" s="911"/>
      <c r="AL69" s="944" t="str">
        <f>IF($AL$36="","",IF(AND($AL$36&gt;$BU$19,$AL$36&lt;$BV$22,(-$AM$36+$BV$19+($AL$36-$BU$19)*$BX$19/$BW$19)&gt;0,-$AM$36&lt;$BT$19),1,IF(AND($AL$36&gt;$BU$19,$AL$36&lt;$BV$22,-$AM$36&gt;$BT$19,-$AM$36&lt;$BS$22),2,IF(AND(($AL$36+$BS$19+(-$AM$36-$BT$19)*$BQ$19/$BR$19)&gt;0,$AL$36&lt;$BU$19,-$AM$36&gt;$BT$19,-$AM$36&lt;$BS$22),3,IF(AND(($AL$36-$AM$36*$BS$19/$BT$19)&gt;0,$AL$36&lt;$BU$19,(-$AM$36+$AL$36*$BV$19/$BU$19)&gt;0,-$AM$36&lt;$BT$19),4,"")))))</f>
        <v/>
      </c>
      <c r="AM69" s="911"/>
      <c r="BH69" s="235">
        <v>33</v>
      </c>
      <c r="BI69" s="235">
        <v>28</v>
      </c>
      <c r="BJ69" s="235">
        <v>27</v>
      </c>
      <c r="BK69" s="235">
        <v>34</v>
      </c>
      <c r="BL69" s="235">
        <v>3</v>
      </c>
      <c r="BM69" s="235">
        <v>4</v>
      </c>
      <c r="BN69" s="235">
        <v>5</v>
      </c>
      <c r="BO69" s="235">
        <v>32</v>
      </c>
      <c r="BP69" s="235">
        <v>29</v>
      </c>
      <c r="CA69" s="19"/>
      <c r="CB69" s="19"/>
    </row>
    <row r="70" spans="27:80" ht="12" customHeight="1" x14ac:dyDescent="0.25">
      <c r="AA70" s="5"/>
      <c r="AB70" s="5"/>
      <c r="AC70" s="5"/>
      <c r="AF70" s="87"/>
      <c r="AG70" s="88"/>
      <c r="AH70" s="89"/>
      <c r="AI70" s="89"/>
      <c r="AJ70" s="87"/>
      <c r="AK70" s="88"/>
      <c r="AL70" s="87"/>
      <c r="AM70" s="88"/>
      <c r="BH70" s="235">
        <v>34</v>
      </c>
      <c r="BI70" s="235">
        <v>27</v>
      </c>
      <c r="BJ70" s="235">
        <v>26</v>
      </c>
      <c r="BK70" s="235">
        <v>35</v>
      </c>
      <c r="BL70" s="235">
        <v>2</v>
      </c>
      <c r="BM70" s="235">
        <v>3</v>
      </c>
      <c r="BN70" s="235">
        <v>4</v>
      </c>
      <c r="BO70" s="235">
        <v>33</v>
      </c>
      <c r="BP70" s="235">
        <v>28</v>
      </c>
      <c r="CA70" s="19"/>
      <c r="CB70" s="19"/>
    </row>
    <row r="71" spans="27:80" ht="12" customHeight="1" x14ac:dyDescent="0.25">
      <c r="AA71" s="5"/>
      <c r="AB71" s="5"/>
      <c r="AC71" s="5"/>
      <c r="AF71" s="939" t="s">
        <v>373</v>
      </c>
      <c r="AG71" s="882"/>
      <c r="AH71" s="939" t="s">
        <v>374</v>
      </c>
      <c r="AI71" s="882"/>
      <c r="AJ71" s="939" t="s">
        <v>375</v>
      </c>
      <c r="AK71" s="882"/>
      <c r="AL71" s="939" t="s">
        <v>376</v>
      </c>
      <c r="AM71" s="882"/>
      <c r="BH71" s="235">
        <v>35</v>
      </c>
      <c r="BI71" s="235">
        <v>26</v>
      </c>
      <c r="BJ71" s="235">
        <v>25</v>
      </c>
      <c r="BK71" s="235">
        <v>36</v>
      </c>
      <c r="BL71" s="235">
        <v>1</v>
      </c>
      <c r="BM71" s="235">
        <v>2</v>
      </c>
      <c r="BN71" s="235">
        <v>3</v>
      </c>
      <c r="BO71" s="235">
        <v>34</v>
      </c>
      <c r="BP71" s="235">
        <v>27</v>
      </c>
      <c r="CA71" s="19"/>
      <c r="CB71" s="19"/>
    </row>
    <row r="72" spans="27:80" ht="12" customHeight="1" x14ac:dyDescent="0.25">
      <c r="AA72" s="5"/>
      <c r="AB72" s="5"/>
      <c r="AC72" s="5"/>
      <c r="AE72" s="757" t="s">
        <v>226</v>
      </c>
      <c r="AF72" s="30" t="s">
        <v>181</v>
      </c>
      <c r="AG72" s="30" t="s">
        <v>194</v>
      </c>
      <c r="AH72" s="761" t="s">
        <v>181</v>
      </c>
      <c r="AI72" s="760" t="s">
        <v>201</v>
      </c>
      <c r="AJ72" s="30" t="s">
        <v>186</v>
      </c>
      <c r="AK72" s="30" t="s">
        <v>201</v>
      </c>
      <c r="AL72" s="30" t="s">
        <v>186</v>
      </c>
      <c r="AM72" s="30" t="s">
        <v>194</v>
      </c>
      <c r="AO72" s="19" t="s">
        <v>371</v>
      </c>
      <c r="BH72" s="235">
        <v>36</v>
      </c>
      <c r="BI72" s="235">
        <v>25</v>
      </c>
      <c r="BJ72" s="235">
        <v>30</v>
      </c>
      <c r="BK72" s="235">
        <v>31</v>
      </c>
      <c r="BL72" s="235">
        <v>6</v>
      </c>
      <c r="BM72" s="235">
        <v>1</v>
      </c>
      <c r="BN72" s="235">
        <v>2</v>
      </c>
      <c r="BO72" s="235">
        <v>35</v>
      </c>
      <c r="BP72" s="235">
        <v>26</v>
      </c>
      <c r="CA72" s="19"/>
      <c r="CB72" s="19"/>
    </row>
    <row r="73" spans="27:80" ht="12" customHeight="1" x14ac:dyDescent="0.25">
      <c r="AA73" s="5"/>
      <c r="AB73" s="5"/>
      <c r="AC73" s="5"/>
      <c r="AE73" s="53">
        <v>1</v>
      </c>
      <c r="AF73" s="49" t="str">
        <f>IF($AE73=AF$69,(-$AF$36+$AG$36*$AW$19/$AX$19)*$AW$28,"")</f>
        <v/>
      </c>
      <c r="AG73" s="48" t="str">
        <f>IF($AE73=AF$69,(-$AG$36+$AF$36*$CB$19/$CA$19)*$CA$28,"")</f>
        <v/>
      </c>
      <c r="AH73" s="49" t="str">
        <f>IF($AE73=AH$69,(-$AH$36+$BC$19+($AI$36-$BD$19)*$BA$19/$BB$19)*$BA$28,"")</f>
        <v/>
      </c>
      <c r="AI73" s="48" t="str">
        <f>IF($AE73=AH$69,($AI$36-$AH$36*$BF$19/$BE$19)*$BE$28,"")</f>
        <v/>
      </c>
      <c r="AJ73" s="49" t="str">
        <f>IF($AE73=AJ$69,($AJ$36-$BM$19-($AK$36-$BN$19)*$BO$19/$BP$19)*$BO$28,"")</f>
        <v/>
      </c>
      <c r="AK73" s="48" t="str">
        <f>IF($AE73=AJ$69,($AK$36-$BL$19-($AJ$36-$BK$19)*$BJ$19/$BI$19)*$BI$28,"")</f>
        <v/>
      </c>
      <c r="AL73" s="49" t="str">
        <f>IF($AE73=AL$69,($AL$36-$AM$36*$BS$19/$BT$19)*$BS$28,"")</f>
        <v/>
      </c>
      <c r="AM73" s="48" t="str">
        <f>IF($AE73=AL$69,(-$AM$36+$BV$19+($AL$36-$BU$19)*$BX$19/$BW$19)*$BW$28,"")</f>
        <v/>
      </c>
      <c r="AO73" s="159" t="str">
        <f>IF(ISNUMBER($AF$36),(-$AF$36+$AG$36*$AW$19/$AX$19),"")</f>
        <v/>
      </c>
      <c r="AP73" s="160" t="str">
        <f>IF(ISNUMBER($AG$36),(-$AG$36+$AF$36*$CB$19/$CA$19),"")</f>
        <v/>
      </c>
      <c r="AQ73" s="159" t="str">
        <f>IF(ISNUMBER($AH$36),(-$AH$36+$BC$19+($AI$36-$BD$19)*$BA$19/$BB$19),"")</f>
        <v/>
      </c>
      <c r="AR73" s="160" t="str">
        <f>IF(ISNUMBER($AI$36),($AI$36-$AH$36*$BF$19/$BE$19),"")</f>
        <v/>
      </c>
      <c r="AS73" s="159" t="str">
        <f>IF(ISNUMBER($AJ$36),($AJ$36-$BM$19-($AK$36-$BN$19)*$BO$19/$BP$19),"")</f>
        <v/>
      </c>
      <c r="AT73" s="160" t="str">
        <f>IF(ISNUMBER($AK$36),($AK$36-$BL$19-($AJ$36-$BK$19)*$BJ$19/$BI$19),"")</f>
        <v/>
      </c>
      <c r="AU73" s="159" t="str">
        <f>IF(ISNUMBER($AL$36),($AL$36-$AM$36*$BS$19/$BT$19),"")</f>
        <v/>
      </c>
      <c r="AV73" s="160" t="str">
        <f>IF(ISNUMBER($AM$36),(-$AM$36+$BV$19+($AL$36-$BU$19)*$BX$19/$BW$19),"")</f>
        <v/>
      </c>
      <c r="CA73" s="19"/>
      <c r="CB73" s="19"/>
    </row>
    <row r="74" spans="27:80" ht="12" customHeight="1" x14ac:dyDescent="0.25">
      <c r="AA74" s="5"/>
      <c r="AB74" s="5"/>
      <c r="AC74" s="5"/>
      <c r="AE74" s="53">
        <v>2</v>
      </c>
      <c r="AF74" s="49" t="str">
        <f>IF($AE74=AF$69,(-$AF$36-$AW$19+($AG$36+$AX$19)*$AY$19/$AZ$19)*$AY$28,"")</f>
        <v/>
      </c>
      <c r="AG74" s="48" t="str">
        <f>IF($AE74=AF$69,(-$AG$36+$AF$36*$CB$19/$CA$19)*$CA$28,"")</f>
        <v/>
      </c>
      <c r="AH74" s="49" t="str">
        <f>IF($AE74=AH$69,(-$AH$36+$AI$36*$BC$19/$BD$19)*$BC$28,"")</f>
        <v/>
      </c>
      <c r="AI74" s="48" t="str">
        <f>IF($AE74=AH$69,($AI$36-$AH$36*$BF$19/$BE$19)*$BE$28,"")</f>
        <v/>
      </c>
      <c r="AJ74" s="49" t="str">
        <f>IF($AE74=AJ$69,($AJ$36-$AK$36*$BM$19/$BN$19)*$BM$28,"")</f>
        <v/>
      </c>
      <c r="AK74" s="48" t="str">
        <f>IF($AE74=AJ$69,($AK$36-$BL$19-($AJ$36-$BK$19)*$BJ$19/$BI$19)*$BI$28,"")</f>
        <v/>
      </c>
      <c r="AL74" s="49" t="str">
        <f>IF($AE74=AL$69,($AL$36+$BS$19+(-$AM$36-$BT$19)*$BQ$19/$BR$19)*$BQ$28,"")</f>
        <v/>
      </c>
      <c r="AM74" s="48" t="str">
        <f>IF($AE74=AL$69,(-$AM$36+$BV$19+($AL$36-$BU$19)*$BX$19/$BW$19)*$BW$28,"")</f>
        <v/>
      </c>
      <c r="AO74" s="49" t="str">
        <f>IF(ISNUMBER($AF$36),(-$AF$36-$AW$19+($AG$36+$AX$19)*$AY$19/$AZ$19),"")</f>
        <v/>
      </c>
      <c r="AP74" s="48" t="str">
        <f>IF(ISNUMBER($AG$36),(-$AG$36+$AF$36*$CB$19/$CA$19),"")</f>
        <v/>
      </c>
      <c r="AQ74" s="49" t="str">
        <f>IF(ISNUMBER($AH$36),(-$AH$36+$AI$36*$BC$19/$BD$19),"")</f>
        <v/>
      </c>
      <c r="AR74" s="48" t="str">
        <f>IF(ISNUMBER($AI$36),($AI$36-$AH$36*$BF$19/$BE$19),"")</f>
        <v/>
      </c>
      <c r="AS74" s="49" t="str">
        <f>IF(ISNUMBER($AJ$36),($AJ$36-$AK$36*$BM$19/$BN$19),"")</f>
        <v/>
      </c>
      <c r="AT74" s="48" t="str">
        <f>IF(ISNUMBER($AK$36),($AK$36-$BL$19-($AJ$36-$BK$19)*$BJ$19/$BI$19),"")</f>
        <v/>
      </c>
      <c r="AU74" s="49" t="str">
        <f>IF(ISNUMBER($AL$36),($AL$36+$BS$19+(-$AM$36-$BT$19)*$BQ$19/$BR$19),"")</f>
        <v/>
      </c>
      <c r="AV74" s="48" t="str">
        <f>IF(ISNUMBER($AM$36),(-$AM$36+$BV$19+($AL$36-$BU$19)*$BX$19/$BW$19),"")</f>
        <v/>
      </c>
      <c r="CA74" s="19"/>
      <c r="CB74" s="19"/>
    </row>
    <row r="75" spans="27:80" ht="12" customHeight="1" x14ac:dyDescent="0.25">
      <c r="AA75" s="5"/>
      <c r="AB75" s="5"/>
      <c r="AC75" s="5"/>
      <c r="AE75" s="53">
        <v>3</v>
      </c>
      <c r="AF75" s="49" t="str">
        <f>IF($AE75=AF$69,(-$AF$36-$AW$19+($AG$36+$AX$19)*$AY$19/$AZ$19)*$AY$28,"")</f>
        <v/>
      </c>
      <c r="AG75" s="48" t="str">
        <f>IF($AE75=AF$69,(-$AG$36-$CB$19-(-$AF$36-$CA$19)*$BZ$19/$BY$19)*$BY$28,"")</f>
        <v/>
      </c>
      <c r="AH75" s="49" t="str">
        <f>IF($AE75=AH$69,(-$AH$36+$AI$36*$BC$19/$BD$19)*$BC$28,"")</f>
        <v/>
      </c>
      <c r="AI75" s="48" t="str">
        <f>IF($AE75=AH$69,($AI$36+$BF$19+(-$AH$36-$BE$19)*$BH$19/$BG$19)*$BG$28,"")</f>
        <v/>
      </c>
      <c r="AJ75" s="49" t="str">
        <f>IF($AE75=AJ$69,($AJ$36-$AK$36*$BM$19/$BN$19)*$BM$28,"")</f>
        <v/>
      </c>
      <c r="AK75" s="48" t="str">
        <f>IF($AE75=AJ$69,($AK$36-$AJ$36*$BL$19/$BK$19)*$BK$28,"")</f>
        <v/>
      </c>
      <c r="AL75" s="49" t="str">
        <f>IF($AE75=AL$69,($AL$36+$BS$19+(-$AM$36-$BT$19)*$BQ$19/$BR$19)*$BQ$28,"")</f>
        <v/>
      </c>
      <c r="AM75" s="48" t="str">
        <f>IF($AE75=AL$69,(-$AM$36+$AL$36*$BV$19/$BU$19)*$BU$28,"")</f>
        <v/>
      </c>
      <c r="AO75" s="49" t="str">
        <f>IF(ISNUMBER($AF$36),(-$AF$36-$AW$19+($AG$36+$AX$19)*$AY$19/$AZ$19),"")</f>
        <v/>
      </c>
      <c r="AP75" s="48" t="str">
        <f>IF(ISNUMBER($AG$36),(-$AG$36-$CB$19-(-$AF$36-$CA$19)*$BZ$19/$BY$19),"")</f>
        <v/>
      </c>
      <c r="AQ75" s="49" t="str">
        <f>IF(ISNUMBER($AH$36),(-$AH$36+$AI$36*$BC$19/$BD$19),"")</f>
        <v/>
      </c>
      <c r="AR75" s="48" t="str">
        <f>IF(ISNUMBER($AI$36),($AI$36+$BF$19+(-$AH$36-$BE$19)*$BH$19/$BG$19),"")</f>
        <v/>
      </c>
      <c r="AS75" s="49" t="str">
        <f>IF(ISNUMBER($AJ$36),($AJ$36-$AK$36*$BM$19/$BN$19),"")</f>
        <v/>
      </c>
      <c r="AT75" s="48" t="str">
        <f>IF(ISNUMBER($AK$36),($AK$36-$AJ$36*$BL$19/$BK$19),"")</f>
        <v/>
      </c>
      <c r="AU75" s="49" t="str">
        <f>IF(ISNUMBER($AL$36),($AL$36+$BS$19+(-$AM$36-$BT$19)*$BQ$19/$BR$19),"")</f>
        <v/>
      </c>
      <c r="AV75" s="48" t="str">
        <f>IF(ISNUMBER($AM$36),(-$AM$36+$AL$36*$BV$19/$BU$19),"")</f>
        <v/>
      </c>
      <c r="CA75" s="19"/>
      <c r="CB75" s="19"/>
    </row>
    <row r="76" spans="27:80" ht="12" customHeight="1" x14ac:dyDescent="0.25">
      <c r="AA76" s="5"/>
      <c r="AB76" s="5"/>
      <c r="AC76" s="5"/>
      <c r="AE76" s="53">
        <v>4</v>
      </c>
      <c r="AF76" s="49" t="str">
        <f>IF($AE76=AF$69,(-$AF$36+$AG$36*$AW$19/$AX$19)*$AW$28,"")</f>
        <v/>
      </c>
      <c r="AG76" s="48" t="str">
        <f>IF($AE76=AF$69,(-$AG$36-$CB$19-(-$AF$36-$CA$19)*$BZ$19/$BY$19)*$BY$28,"")</f>
        <v/>
      </c>
      <c r="AH76" s="49" t="str">
        <f>IF($AE76=AH$69,(-$AH$36+$BC$19+($AI$36-$BD$19)*$BA$19/$BB$19)*$BA$28,"")</f>
        <v/>
      </c>
      <c r="AI76" s="48" t="str">
        <f>IF($AE76=AH$69,($AI$36+$BF$19+(-$AH$36-$BE$19)*$BH$19/$BG$19)*$BG$28,"")</f>
        <v/>
      </c>
      <c r="AJ76" s="49" t="str">
        <f>IF($AE76=AJ$69,($AJ$36-$BM$19-($AK$36-$BN$19)*$BO$19/$BP$19)*$BO$28,"")</f>
        <v/>
      </c>
      <c r="AK76" s="48" t="str">
        <f>IF($AE76=AJ$69,($AK$36-$AJ$36*$BL$19/$BK$19)*$BK$28,"")</f>
        <v/>
      </c>
      <c r="AL76" s="49" t="str">
        <f>IF($AE76=AL$69,($AL$36-$AM$36*$BS$19/$BT$19)*$BS$28,"")</f>
        <v/>
      </c>
      <c r="AM76" s="48" t="str">
        <f>IF($AE76=AL$69,(-$AM$36+$AL$36*$BV$19/$BU$19)*$BU$28,"")</f>
        <v/>
      </c>
      <c r="AO76" s="83" t="str">
        <f>IF(ISNUMBER($AF$36),(-$AF$36+$AG$36*$AW$19/$AX$19),"")</f>
        <v/>
      </c>
      <c r="AP76" s="84" t="str">
        <f>IF(ISNUMBER($AG$36),(-$AG$36-$CB$19-(-$AF$36-$CA$19)*$BZ$19/$BY$19),"")</f>
        <v/>
      </c>
      <c r="AQ76" s="83" t="str">
        <f>IF(ISNUMBER($AH$36),(-$AH$36+$BC$19+($AI$36-$BD$19)*$BA$19/$BB$19),"")</f>
        <v/>
      </c>
      <c r="AR76" s="84" t="str">
        <f>IF(ISNUMBER($AI$36),($AI$36+$BF$19+(-$AH$36-$BE$19)*$BH$19/$BG$19),"")</f>
        <v/>
      </c>
      <c r="AS76" s="83" t="str">
        <f>IF(ISNUMBER($AJ$36),($AJ$36-$BM$19-($AK$36-$BN$19)*$BO$19/$BP$19),"")</f>
        <v/>
      </c>
      <c r="AT76" s="84" t="str">
        <f>IF(ISNUMBER($AK$36),($AK$36-$AJ$36*$BL$19/$BK$19),"")</f>
        <v/>
      </c>
      <c r="AU76" s="83" t="str">
        <f>IF(ISNUMBER($AL$36),($AL$36-$AM$36*$BS$19/$BT$19),"")</f>
        <v/>
      </c>
      <c r="AV76" s="84" t="str">
        <f>IF(ISNUMBER($AM$36),(-$AM$36+$AL$36*$BV$19/$BU$19),"")</f>
        <v/>
      </c>
      <c r="CA76" s="19"/>
      <c r="CB76" s="19"/>
    </row>
    <row r="77" spans="27:80" ht="12" customHeight="1" x14ac:dyDescent="0.25">
      <c r="AA77" s="5"/>
      <c r="AB77" s="5"/>
      <c r="AC77" s="5"/>
      <c r="AF77" s="85" t="str">
        <f>IF(ISNUMBER($AF$73),AF$73,IF(ISNUMBER($AF$74),AF$74,IF(ISNUMBER($AF$75),AF$75,IF(ISNUMBER($AF$76),AF$76,""))))</f>
        <v/>
      </c>
      <c r="AG77" s="86" t="str">
        <f>IF(ISNUMBER($AG$73),AG$73,IF(ISNUMBER($AG$74),AG$74,IF(ISNUMBER($AG$75),AG$75,IF(ISNUMBER($AG$76),AG$76,""))))</f>
        <v/>
      </c>
      <c r="AH77" s="85" t="str">
        <f>IF(ISNUMBER($AH$73),AH$73,IF(ISNUMBER($AH$74),AH$74,IF(ISNUMBER($AH$75),AH$75,IF(ISNUMBER($AH$76),AH$76,""))))</f>
        <v/>
      </c>
      <c r="AI77" s="86" t="str">
        <f>IF(ISNUMBER($AI$73),AI$73,IF(ISNUMBER($AI$74),AI$74,IF(ISNUMBER($AI$75),AI$75,IF(ISNUMBER($AI$76),AI$76,""))))</f>
        <v/>
      </c>
      <c r="AJ77" s="85" t="str">
        <f>IF(ISNUMBER($AJ$73),AJ$73,IF(ISNUMBER($AJ$74),AJ$74,IF(ISNUMBER($AJ$75),AJ$75,IF(ISNUMBER($AJ$76),AJ$76,""))))</f>
        <v/>
      </c>
      <c r="AK77" s="86" t="str">
        <f>IF(ISNUMBER($AK$73),AK$73,IF(ISNUMBER($AK$74),AK$74,IF(ISNUMBER($AK$75),AK$75,IF(ISNUMBER($AK$76),AK$76,""))))</f>
        <v/>
      </c>
      <c r="AL77" s="85" t="str">
        <f>IF(ISNUMBER($AL$73),AL$73,IF(ISNUMBER($AL$74),AL$74,IF(ISNUMBER($AL$75),AL$75,IF(ISNUMBER($AL$76),AL$76,""))))</f>
        <v/>
      </c>
      <c r="AM77" s="86" t="str">
        <f>IF(ISNUMBER($AM$73),AM$73,IF(ISNUMBER($AM$74),AM$74,IF(ISNUMBER($AM$75),AM$75,IF(ISNUMBER($AM$76),AM$76,""))))</f>
        <v/>
      </c>
      <c r="CA77" s="19"/>
      <c r="CB77" s="19"/>
    </row>
    <row r="78" spans="27:80" ht="12" customHeight="1" x14ac:dyDescent="0.25">
      <c r="AA78" s="5"/>
      <c r="AB78" s="5"/>
      <c r="AC78" s="5"/>
      <c r="AF78" s="87"/>
      <c r="AG78" s="88"/>
      <c r="AH78" s="89"/>
      <c r="AI78" s="89"/>
      <c r="AJ78" s="87"/>
      <c r="AK78" s="88"/>
      <c r="AL78" s="87"/>
      <c r="AM78" s="88"/>
      <c r="CA78" s="19"/>
      <c r="CB78" s="19"/>
    </row>
    <row r="79" spans="27:80" ht="12" customHeight="1" x14ac:dyDescent="0.25">
      <c r="AA79" s="5"/>
      <c r="AB79" s="5"/>
      <c r="AC79" s="5"/>
      <c r="AF79" s="939" t="s">
        <v>377</v>
      </c>
      <c r="AG79" s="882"/>
      <c r="AH79" s="943" t="s">
        <v>377</v>
      </c>
      <c r="AI79" s="832"/>
      <c r="AJ79" s="939" t="s">
        <v>377</v>
      </c>
      <c r="AK79" s="882"/>
      <c r="AL79" s="939" t="s">
        <v>377</v>
      </c>
      <c r="AM79" s="882"/>
      <c r="CA79" s="19"/>
      <c r="CB79" s="19"/>
    </row>
    <row r="80" spans="27:80" ht="12" customHeight="1" x14ac:dyDescent="0.25">
      <c r="AA80" s="5"/>
      <c r="AB80" s="5"/>
      <c r="AC80" s="5"/>
      <c r="AF80" s="944" t="str">
        <f>IF($AF$42="","",IF(AND((-$AF$42+$AG$42*$AW$19/$AX$19)&gt;0,-$AF$42&lt;$CA$19,(-$AG$42+$AF$42*$CB$19/$CA$19)&gt;0,-$AG$42&lt;$AX$19),1,IF(AND((-$AF$42-$AW$19+($AG$42+$AX$19)*$AY$19/$AZ$19)&gt;0,-$AF$42&lt;$CA$19,-$AG$42&gt;$AX$19,-$AG$42&lt;$AY$22),2,IF(AND(-$AF$42&lt;$BZ$22,-$AF$42&gt;$CA$19,-$AG$42&gt;$AX$19,-$AG$42&lt;$AY$22),3,IF(AND(-$AF$42&lt;$BZ$22,-$AF$42&gt;$CA$19,(-$AG$42-$CB$19-(-$AF$42-$CA$19)*$BZ$19/$BY$19)&gt;0,-$AG$42&lt;$AX$19),4,"")))))</f>
        <v/>
      </c>
      <c r="AG80" s="911"/>
      <c r="AH80" s="944" t="str">
        <f>IF($AH$42="","",IF(AND((-$AH$42+$BC$19+($AI$42-$BD$19)*$BA$19/$BB$19)&gt;0,-$AH$42&lt;$BE$19,$AI$42&gt;$BD$19,$AI$42&lt;$BC$22),1,IF(AND((-$AH$42+$AI$42*$BC$19/$BD$19)&gt;0,-$AH$42&lt;$BE$19,($AI$42-$AH$42*$BF$19/$BE$19)&gt;0,$AI$42&lt;$BD$19),2,IF(AND(-$AH$42&gt;$BE$19,-$AH$42&lt;$BF$22,($AI$42+$BF$19+(-$AH$42-$BE$19)*$BH$19/$BG$19)&gt;0,$AI$42&lt;$BD$19),3,IF(AND(-$AH$42&gt;$BE$19,-$AH$42&lt;$BF$22,$AI$42&gt;$BD$19,$AI$42&lt;$BC$22),4,"")))))</f>
        <v/>
      </c>
      <c r="AI80" s="911"/>
      <c r="AJ80" s="944" t="str">
        <f>IF($AJ$42="","",IF(AND($AJ$42&gt;$BK$19,$AJ$42&lt;$BJ$22,$AK$42&gt;$BN$19,$AK$42&lt;$BO$22),1,IF(AND($AJ$42&gt;$BK$19,$AJ$42&lt;$BJ$22,($AK$42-$BL$19-($AJ$42-$BK$19)*$BJ$19/$BI$19)&gt;0,$AK$42&lt;$BN$19),2,IF(AND(($AJ$42-$AK$42*$BM$19/$BN$19)&gt;0,$AJ$42&lt;$BK$19,($AK$42-$AJ$42*$BL$19/$BK$19)&gt;0,$AK$42&lt;$BN$19),3,IF(AND(($AJ$42-$BM$19-($AK$42-$BN$19)*$BO$19/$BP$19)&gt;0,$AJ$42&lt;$BK$19,$AK$42&gt;$BN$19,$AK$42&lt;$BO$22),4,"")))))</f>
        <v/>
      </c>
      <c r="AK80" s="911"/>
      <c r="AL80" s="944" t="str">
        <f>IF($AL$42="","",IF(AND($AL$42&gt;$BU$19,$AL$42&lt;$BV$22,(-$AM$42+$BV$19+($AL$42-$BU$19)*$BX$19/$BW$19)&gt;0,-$AM$42&lt;$BT$19),1,IF(AND($AL$42&gt;$BU$19,$AL$42&lt;$BV$22,-$AM$42&gt;$BT$19,-$AM$42&lt;$BS$22),2,IF(AND(($AL$42+$BS$19+(-$AM$42-$BT$19)*$BQ$19/$BR$19)&gt;0,$AL$42&lt;$BU$19,-$AM$42&gt;$BT$19,-$AM$42&lt;$BS$22),3,IF(AND(($AL$42-$AM$42*$BS$19/$BT$19)&gt;0,$AL$42&lt;$BU$19,(-$AM$42+$AL$42*$BV$19/$BU$19)&gt;0,-$AM$42&lt;$BT$19),4,"")))))</f>
        <v/>
      </c>
      <c r="AM80" s="911"/>
      <c r="CA80" s="19"/>
      <c r="CB80" s="19"/>
    </row>
    <row r="81" spans="27:80" ht="12" customHeight="1" x14ac:dyDescent="0.25">
      <c r="AA81" s="5"/>
      <c r="AB81" s="5"/>
      <c r="AC81" s="5"/>
      <c r="AF81" s="87"/>
      <c r="AG81" s="88"/>
      <c r="AH81" s="89"/>
      <c r="AI81" s="89"/>
      <c r="AJ81" s="87"/>
      <c r="AK81" s="88"/>
      <c r="AL81" s="87"/>
      <c r="AM81" s="88"/>
      <c r="CA81" s="19"/>
      <c r="CB81" s="19"/>
    </row>
    <row r="82" spans="27:80" ht="12" customHeight="1" x14ac:dyDescent="0.25">
      <c r="AA82" s="5"/>
      <c r="AB82" s="5"/>
      <c r="AC82" s="5"/>
      <c r="AF82" s="939" t="s">
        <v>378</v>
      </c>
      <c r="AG82" s="882"/>
      <c r="AH82" s="939" t="s">
        <v>379</v>
      </c>
      <c r="AI82" s="882"/>
      <c r="AJ82" s="939" t="s">
        <v>375</v>
      </c>
      <c r="AK82" s="882"/>
      <c r="AL82" s="939" t="s">
        <v>380</v>
      </c>
      <c r="AM82" s="882"/>
      <c r="CA82" s="19"/>
      <c r="CB82" s="19"/>
    </row>
    <row r="83" spans="27:80" ht="12" customHeight="1" x14ac:dyDescent="0.25">
      <c r="AA83" s="5"/>
      <c r="AB83" s="5"/>
      <c r="AC83" s="5"/>
      <c r="AE83" s="757" t="s">
        <v>226</v>
      </c>
      <c r="AF83" s="30" t="s">
        <v>181</v>
      </c>
      <c r="AG83" s="30" t="s">
        <v>194</v>
      </c>
      <c r="AH83" s="761" t="s">
        <v>181</v>
      </c>
      <c r="AI83" s="760" t="s">
        <v>201</v>
      </c>
      <c r="AJ83" s="30" t="s">
        <v>186</v>
      </c>
      <c r="AK83" s="30" t="s">
        <v>201</v>
      </c>
      <c r="AL83" s="30" t="s">
        <v>186</v>
      </c>
      <c r="AM83" s="30" t="s">
        <v>194</v>
      </c>
      <c r="AO83" s="19" t="s">
        <v>371</v>
      </c>
      <c r="CA83" s="19"/>
      <c r="CB83" s="19"/>
    </row>
    <row r="84" spans="27:80" ht="12" customHeight="1" x14ac:dyDescent="0.25">
      <c r="AA84" s="5"/>
      <c r="AB84" s="5"/>
      <c r="AC84" s="5"/>
      <c r="AE84" s="53">
        <v>1</v>
      </c>
      <c r="AF84" s="49" t="str">
        <f>IF($AE84=AF$80,(-$AF$42+$AG$42*$AW$19/$AX$19)*$AW$28,"")</f>
        <v/>
      </c>
      <c r="AG84" s="48" t="str">
        <f>IF($AE84=AF$80,(-$AG$42+$AF$42*$CB$19/$CA$19)*$CA$28,"")</f>
        <v/>
      </c>
      <c r="AH84" s="49" t="str">
        <f>IF($AE84=AH$80,(-$AH$42+$BC$19+($AI$42-$BD$19)*$BA$19/$BB$19)*$BA$28,"")</f>
        <v/>
      </c>
      <c r="AI84" s="48" t="str">
        <f>IF($AE84=AH$80,($AI$42-$AH$42*$BF$19/$BE$19)*$BE$28,"")</f>
        <v/>
      </c>
      <c r="AJ84" s="49" t="str">
        <f>IF($AE84=AJ$80,($AJ$42-$BM$19-($AK$42-$BN$19)*$BO$19/$BP$19)*$BO$28,"")</f>
        <v/>
      </c>
      <c r="AK84" s="48" t="str">
        <f>IF($AE84=AJ$80,($AK$42-$BL$19-($AJ$42-$BK$19)*$BJ$19/$BI$19)*$BI$28,"")</f>
        <v/>
      </c>
      <c r="AL84" s="49" t="str">
        <f>IF($AE84=AL$80,($AL$42-$AM$42*$BS$19/$BT$19)*$BS$28,"")</f>
        <v/>
      </c>
      <c r="AM84" s="48" t="str">
        <f>IF($AE84=AL$80,(-$AM$42+$BV$19+($AL$42-$BU$19)*$BX$19/$BW$19)*$BW$28,"")</f>
        <v/>
      </c>
      <c r="AO84" s="159" t="str">
        <f>IF(ISNUMBER($AF$42),(-$AF$42+$AG$42*$AW$19/$AX$19),"")</f>
        <v/>
      </c>
      <c r="AP84" s="160" t="str">
        <f>IF(ISNUMBER($AG$42),(-$AG$42+$AF$42*$CB$19/$CA$19),"")</f>
        <v/>
      </c>
      <c r="AQ84" s="159" t="str">
        <f>IF(ISNUMBER($AH$42),(-$AH$42+$BC$19+($AI$42-$BD$19)*$BA$19/$BB$19),"")</f>
        <v/>
      </c>
      <c r="AR84" s="160" t="str">
        <f>IF(ISNUMBER($AI$42),($AI$42-$AH$42*$BF$19/$BE$19),"")</f>
        <v/>
      </c>
      <c r="AS84" s="159" t="str">
        <f>IF(ISNUMBER($AJ$42),($AJ$42-$BM$19-($AK$42-$BN$19)*$BO$19/$BP$19),"")</f>
        <v/>
      </c>
      <c r="AT84" s="160" t="str">
        <f>IF(ISNUMBER($AK$42),($AK$42-$BL$19-($AJ$42-$BK$19)*$BJ$19/$BI$19),"")</f>
        <v/>
      </c>
      <c r="AU84" s="159" t="str">
        <f>IF(ISNUMBER($AL$42),($AL$42-$AM$42*$BS$19/$BT$19),"")</f>
        <v/>
      </c>
      <c r="AV84" s="160" t="str">
        <f>IF(ISNUMBER($AM$42),(-$AM$42+$BV$19+($AL$42-$BU$19)*$BX$19/$BW$19),"")</f>
        <v/>
      </c>
      <c r="CA84" s="19"/>
      <c r="CB84" s="19"/>
    </row>
    <row r="85" spans="27:80" ht="12" customHeight="1" x14ac:dyDescent="0.25">
      <c r="AA85" s="5"/>
      <c r="AB85" s="5"/>
      <c r="AC85" s="5"/>
      <c r="AE85" s="53">
        <v>2</v>
      </c>
      <c r="AF85" s="49" t="str">
        <f>IF($AE85=AF$80,(-$AF$42-$AW$19+($AG$42+$AX$19)*$AY$19/$AZ$19)*$AY$28,"")</f>
        <v/>
      </c>
      <c r="AG85" s="48" t="str">
        <f>IF($AE85=AF$80,(-$AG$42+$AF$42*$CB$19/$CA$19)*$CA$28,"")</f>
        <v/>
      </c>
      <c r="AH85" s="49" t="str">
        <f>IF($AE85=AH$80,(-$AH$42+$AI$42*$BC$19/$BD$19)*$BC$28,"")</f>
        <v/>
      </c>
      <c r="AI85" s="48" t="str">
        <f>IF($AE85=AH$80,($AI$42-$AH$42*$BF$19/$BE$19)*$BE$28,"")</f>
        <v/>
      </c>
      <c r="AJ85" s="49" t="str">
        <f>IF($AE85=AJ$80,($AJ$42-$AK$42*$BM$19/$BN$19)*$BM$28,"")</f>
        <v/>
      </c>
      <c r="AK85" s="48" t="str">
        <f>IF($AE85=AJ$80,($AK$42-$BL$19-($AJ$42-$BK$19)*$BJ$19/$BI$19)*$BI$28,"")</f>
        <v/>
      </c>
      <c r="AL85" s="49" t="str">
        <f>IF($AE85=AL$80,($AL$42+$BS$19+(-$AM$42-$BT$19)*$BQ$19/$BR$19)*$BQ$28,"")</f>
        <v/>
      </c>
      <c r="AM85" s="48" t="str">
        <f>IF($AE85=AL$80,(-$AM$42+$BV$19+($AL$42-$BU$19)*$BX$19/$BW$19)*$BW$28,"")</f>
        <v/>
      </c>
      <c r="AO85" s="49" t="str">
        <f>IF(ISNUMBER($AF$42),(-$AF$42-$AW$19+($AG$42+$AX$19)*$AY$19/$AZ$19),"")</f>
        <v/>
      </c>
      <c r="AP85" s="48" t="str">
        <f>IF(ISNUMBER($AG$42),(-$AG$42+$AF$42*$CB$19/$CA$19),"")</f>
        <v/>
      </c>
      <c r="AQ85" s="49" t="str">
        <f>IF(ISNUMBER($AH$42),(-$AH$42+$AI$42*$BC$19/$BD$19),"")</f>
        <v/>
      </c>
      <c r="AR85" s="48" t="str">
        <f>IF(ISNUMBER($AI$42),($AI$42-$AH$42*$BF$19/$BE$19),"")</f>
        <v/>
      </c>
      <c r="AS85" s="49" t="str">
        <f>IF(ISNUMBER($AJ$42),($AJ$42-$AK$42*$BM$19/$BN$19),"")</f>
        <v/>
      </c>
      <c r="AT85" s="48" t="str">
        <f>IF(ISNUMBER($AK$42),($AK$42-$BL$19-($AJ$42-$BK$19)*$BJ$19/$BI$19),"")</f>
        <v/>
      </c>
      <c r="AU85" s="49" t="str">
        <f>IF(ISNUMBER($AL$42),($AL$42+$BS$19+(-$AM$42-$BT$19)*$BQ$19/$BR$19),"")</f>
        <v/>
      </c>
      <c r="AV85" s="48" t="str">
        <f>IF(ISNUMBER($AM$42),(-$AM$42+$BV$19+($AL$42-$BU$19)*$BX$19/$BW$19),"")</f>
        <v/>
      </c>
      <c r="CA85" s="19"/>
      <c r="CB85" s="19"/>
    </row>
    <row r="86" spans="27:80" ht="12" customHeight="1" x14ac:dyDescent="0.25">
      <c r="AA86" s="5"/>
      <c r="AB86" s="5"/>
      <c r="AC86" s="5"/>
      <c r="AE86" s="53">
        <v>3</v>
      </c>
      <c r="AF86" s="49" t="str">
        <f>IF($AE86=AF$80,(-$AF$42-$AW$19+($AG$42+$AX$19)*$AY$19/$AZ$19)*$AY$28,"")</f>
        <v/>
      </c>
      <c r="AG86" s="48" t="str">
        <f>IF($AE86=AF$80,(-$AG$42-$CB$19-(-$AF$42-$CA$19)*$BZ$19/$BY$19)*$BY$28,"")</f>
        <v/>
      </c>
      <c r="AH86" s="49" t="str">
        <f>IF($AE86=AH$80,(-$AH$42+$AI$42*$BC$19/$BD$19)*$BC$28,"")</f>
        <v/>
      </c>
      <c r="AI86" s="48" t="str">
        <f>IF($AE86=AH$80,($AI$42+$BF$19+(-$AH$42-$BE$19)*$BH$19/$BG$19)*$BG$28,"")</f>
        <v/>
      </c>
      <c r="AJ86" s="49" t="str">
        <f>IF($AE86=AJ$80,($AJ$42-$AK$42*$BM$19/$BN$19)*$BM$28,"")</f>
        <v/>
      </c>
      <c r="AK86" s="48" t="str">
        <f>IF($AE86=AJ$80,($AK$42-$AJ$42*$BL$19/$BK$19)*$BK$28,"")</f>
        <v/>
      </c>
      <c r="AL86" s="49" t="str">
        <f>IF($AE86=AL$80,($AL$42+$BS$19+(-$AM$42-$BT$19)*$BQ$19/$BR$19)*$BQ$28,"")</f>
        <v/>
      </c>
      <c r="AM86" s="48" t="str">
        <f>IF($AE86=AL$80,(-$AM$42+$AL$42*$BV$19/$BU$19)*$BU$28,"")</f>
        <v/>
      </c>
      <c r="AO86" s="49" t="str">
        <f>IF(ISNUMBER($AF$42),(-$AF$42-$AW$19+($AG$42+$AX$19)*$AY$19/$AZ$19),"")</f>
        <v/>
      </c>
      <c r="AP86" s="48" t="str">
        <f>IF(ISNUMBER($AG$42),(-$AG$42-$CB$19-(-$AF$42-$CA$19)*$BZ$19/$BY$19),"")</f>
        <v/>
      </c>
      <c r="AQ86" s="49" t="str">
        <f>IF(ISNUMBER($AH$42),(-$AH$42+$AI$42*$BC$19/$BD$19),"")</f>
        <v/>
      </c>
      <c r="AR86" s="48" t="str">
        <f>IF(ISNUMBER($AI$42),($AI$42+$BF$19+(-$AH$42-$BE$19)*$BH$19/$BG$19),"")</f>
        <v/>
      </c>
      <c r="AS86" s="49" t="str">
        <f>IF(ISNUMBER($AJ$42),($AJ$42-$AK$42*$BM$19/$BN$19),"")</f>
        <v/>
      </c>
      <c r="AT86" s="48" t="str">
        <f>IF(ISNUMBER($AK$42),($AK$42-$AJ$42*$BL$19/$BK$19),"")</f>
        <v/>
      </c>
      <c r="AU86" s="49" t="str">
        <f>IF(ISNUMBER($AL$42),($AL$42+$BS$19+(-$AM$42-$BT$19)*$BQ$19/$BR$19),"")</f>
        <v/>
      </c>
      <c r="AV86" s="48" t="str">
        <f>IF(ISNUMBER($AM$42),(-$AM$42+$AL$42*$BV$19/$BU$19),"")</f>
        <v/>
      </c>
      <c r="CA86" s="19"/>
      <c r="CB86" s="19"/>
    </row>
    <row r="87" spans="27:80" ht="12" customHeight="1" x14ac:dyDescent="0.25">
      <c r="AA87" s="5"/>
      <c r="AB87" s="5"/>
      <c r="AC87" s="5"/>
      <c r="AE87" s="53">
        <v>4</v>
      </c>
      <c r="AF87" s="83" t="str">
        <f>IF($AE87=AF$80,(-$AF$42+$AG$42*$AW$19/$AX$19)*$AW$28,"")</f>
        <v/>
      </c>
      <c r="AG87" s="84" t="str">
        <f>IF($AE87=AF$80,(-$AG$42-$CB$19-(-$AF$42-$CA$19)*$BZ$19/$BY$19)*$BY$28,"")</f>
        <v/>
      </c>
      <c r="AH87" s="83" t="str">
        <f>IF($AE87=AH$80,(-$AH$42+$BC$19+($AI$42-$BD$19)*$BA$19/$BB$19)*$BA$28,"")</f>
        <v/>
      </c>
      <c r="AI87" s="84" t="str">
        <f>IF($AE87=AH$80,($AI$42+$BF$19+(-$AH$42-$BE$19)*$BH$19/$BG$19)*$BG$28,"")</f>
        <v/>
      </c>
      <c r="AJ87" s="83" t="str">
        <f>IF($AE87=AJ$80,($AJ$42-$BM$19-($AK$42-$BN$19)*$BO$19/$BP$19)*$BO$28,"")</f>
        <v/>
      </c>
      <c r="AK87" s="84" t="str">
        <f>IF($AE87=AJ$80,($AK$42-$AJ$42*$BL$19/$BK$19)*$BK$28,"")</f>
        <v/>
      </c>
      <c r="AL87" s="83" t="str">
        <f>IF($AE87=AL$80,($AL$42-$AM$42*$BS$19/$BT$19)*$BS$28,"")</f>
        <v/>
      </c>
      <c r="AM87" s="84" t="str">
        <f>IF($AE87=AL$80,(-$AM$42+$AL$42*$BV$19/$BU$19)*$BU$28,"")</f>
        <v/>
      </c>
      <c r="AO87" s="83" t="str">
        <f>IF(ISNUMBER($AF$42),(-$AF$42+$AG$42*$AW$19/$AX$19),"")</f>
        <v/>
      </c>
      <c r="AP87" s="84" t="str">
        <f>IF(ISNUMBER($AG$42),(-$AG$42-$CB$19-(-$AF$42-$CA$19)*$BZ$19/$BY$19),"")</f>
        <v/>
      </c>
      <c r="AQ87" s="83" t="str">
        <f>IF(ISNUMBER($AH$42),(-$AH$42+$BC$19+($AI$42-$BD$19)*$BA$19/$BB$19),"")</f>
        <v/>
      </c>
      <c r="AR87" s="84" t="str">
        <f>IF(ISNUMBER($AI$42),($AI$42+$BF$19+(-$AH$42-$BE$19)*$BH$19/$BG$19),"")</f>
        <v/>
      </c>
      <c r="AS87" s="83" t="str">
        <f>IF(ISNUMBER($AJ$42),($AJ$42-$BM$19-($AK$42-$BN$19)*$BO$19/$BP$19),"")</f>
        <v/>
      </c>
      <c r="AT87" s="84" t="str">
        <f>IF(ISNUMBER($AK$42),($AK$42-$AJ$42*$BL$19/$BK$19),"")</f>
        <v/>
      </c>
      <c r="AU87" s="83" t="str">
        <f>IF(ISNUMBER($AL$42),($AL$42-$AM$42*$BS$19/$BT$19),"")</f>
        <v/>
      </c>
      <c r="AV87" s="84" t="str">
        <f>IF(ISNUMBER($AM$42),(-$AM$42+$AL$42*$BV$19/$BU$19),"")</f>
        <v/>
      </c>
      <c r="CA87" s="19"/>
      <c r="CB87" s="19"/>
    </row>
    <row r="88" spans="27:80" ht="12" customHeight="1" x14ac:dyDescent="0.25">
      <c r="AA88" s="5"/>
      <c r="AB88" s="5"/>
      <c r="AC88" s="5"/>
      <c r="AF88" s="85" t="str">
        <f>IF(ISNUMBER($AF$84),AF$84,IF(ISNUMBER($AF$85),AF$85,IF(ISNUMBER($AF$86),AF$86,IF(ISNUMBER($AF$87),AF$87,""))))</f>
        <v/>
      </c>
      <c r="AG88" s="86" t="str">
        <f>IF(ISNUMBER($AG$84),AG$84,IF(ISNUMBER($AG$85),AG$85,IF(ISNUMBER($AG$86),AG$86,IF(ISNUMBER($AG$87),AG$87,""))))</f>
        <v/>
      </c>
      <c r="AH88" s="85" t="str">
        <f>IF(ISNUMBER($AH$84),AH$84,IF(ISNUMBER($AH$85),AH$85,IF(ISNUMBER($AH$86),AH$86,IF(ISNUMBER($AH$87),AH$87,""))))</f>
        <v/>
      </c>
      <c r="AI88" s="86" t="str">
        <f>IF(ISNUMBER($AI$84),AI$84,IF(ISNUMBER($AI$85),AI$85,IF(ISNUMBER($AI$86),AI$86,IF(ISNUMBER($AI$87),AI$87,""))))</f>
        <v/>
      </c>
      <c r="AJ88" s="85" t="str">
        <f>IF(ISNUMBER($AJ$84),AJ$84,IF(ISNUMBER($AJ$85),AJ$85,IF(ISNUMBER($AJ$86),AJ$86,IF(ISNUMBER($AJ$87),AJ$87,""))))</f>
        <v/>
      </c>
      <c r="AK88" s="86" t="str">
        <f>IF(ISNUMBER($AK$84),AK$84,IF(ISNUMBER($AK$85),AK$85,IF(ISNUMBER($AK$86),AK$86,IF(ISNUMBER($AK$87),AK$87,""))))</f>
        <v/>
      </c>
      <c r="AL88" s="85" t="str">
        <f>IF(ISNUMBER($AL$84),AL$84,IF(ISNUMBER($AL$85),AL$85,IF(ISNUMBER($AL$86),AL$86,IF(ISNUMBER($AL$87),AL$87,""))))</f>
        <v/>
      </c>
      <c r="AM88" s="86" t="str">
        <f>IF(ISNUMBER($AM$84),AM$84,IF(ISNUMBER($AM$85),AM$85,IF(ISNUMBER($AM$86),AM$86,IF(ISNUMBER($AM$87),AM$87,""))))</f>
        <v/>
      </c>
      <c r="CA88" s="19"/>
      <c r="CB88" s="19"/>
    </row>
    <row r="89" spans="27:80" ht="12" customHeight="1" x14ac:dyDescent="0.25">
      <c r="AA89" s="5"/>
      <c r="AB89" s="5"/>
      <c r="AC89" s="5"/>
      <c r="CA89" s="19"/>
      <c r="CB89" s="19"/>
    </row>
    <row r="90" spans="27:80" ht="12" customHeight="1" x14ac:dyDescent="0.25">
      <c r="AA90" s="5"/>
      <c r="AB90" s="5"/>
      <c r="AC90" s="5"/>
      <c r="CA90" s="19"/>
      <c r="CB90" s="19"/>
    </row>
    <row r="91" spans="27:80" ht="12" customHeight="1" x14ac:dyDescent="0.25">
      <c r="AA91" s="5"/>
      <c r="AB91" s="5"/>
      <c r="AC91" s="5"/>
      <c r="CA91" s="19"/>
      <c r="CB91" s="19"/>
    </row>
    <row r="92" spans="27:80" ht="12" customHeight="1" x14ac:dyDescent="0.25">
      <c r="AA92" s="5"/>
      <c r="AB92" s="5"/>
      <c r="AC92" s="5"/>
      <c r="CA92" s="19"/>
      <c r="CB92" s="19"/>
    </row>
    <row r="93" spans="27:80" x14ac:dyDescent="0.25">
      <c r="AA93" s="5"/>
      <c r="AB93" s="5"/>
      <c r="AC93" s="5"/>
      <c r="CA93" s="19"/>
      <c r="CB93" s="19"/>
    </row>
    <row r="94" spans="27:80" x14ac:dyDescent="0.25">
      <c r="AA94" s="5"/>
      <c r="AB94" s="5"/>
      <c r="AC94" s="5"/>
      <c r="CA94" s="19"/>
      <c r="CB94" s="19"/>
    </row>
    <row r="95" spans="27:80" x14ac:dyDescent="0.25">
      <c r="AA95" s="5"/>
      <c r="AB95" s="5"/>
      <c r="AC95" s="5"/>
      <c r="CA95" s="19"/>
      <c r="CB95" s="19"/>
    </row>
    <row r="96" spans="27:80" x14ac:dyDescent="0.25">
      <c r="AA96" s="5"/>
      <c r="AB96" s="5"/>
      <c r="AC96" s="5"/>
      <c r="CA96" s="19"/>
      <c r="CB96" s="19"/>
    </row>
    <row r="97" spans="27:80" x14ac:dyDescent="0.25">
      <c r="AA97" s="5"/>
      <c r="AB97" s="5"/>
      <c r="AC97" s="5"/>
      <c r="CA97" s="19"/>
      <c r="CB97" s="19"/>
    </row>
    <row r="98" spans="27:80" x14ac:dyDescent="0.25">
      <c r="AA98" s="5"/>
      <c r="AB98" s="5"/>
      <c r="AC98" s="5"/>
      <c r="CA98" s="19"/>
      <c r="CB98" s="19"/>
    </row>
    <row r="99" spans="27:80" x14ac:dyDescent="0.25">
      <c r="AA99" s="5"/>
      <c r="AB99" s="5"/>
      <c r="AC99" s="5"/>
      <c r="CA99" s="19"/>
      <c r="CB99" s="19"/>
    </row>
    <row r="100" spans="27:80" x14ac:dyDescent="0.25">
      <c r="AA100" s="5"/>
      <c r="AB100" s="5"/>
      <c r="AC100" s="5"/>
      <c r="CA100" s="19"/>
      <c r="CB100" s="19"/>
    </row>
    <row r="101" spans="27:80" x14ac:dyDescent="0.25">
      <c r="AA101" s="5"/>
      <c r="AB101" s="5"/>
      <c r="AC101" s="5"/>
      <c r="CA101" s="19"/>
      <c r="CB101" s="19"/>
    </row>
    <row r="102" spans="27:80" x14ac:dyDescent="0.25">
      <c r="AA102" s="5"/>
      <c r="AB102" s="5"/>
      <c r="AC102" s="5"/>
      <c r="CA102" s="19"/>
      <c r="CB102" s="19"/>
    </row>
    <row r="103" spans="27:80" x14ac:dyDescent="0.25">
      <c r="AA103" s="5"/>
      <c r="AB103" s="5"/>
      <c r="AC103" s="5"/>
      <c r="CA103" s="19"/>
      <c r="CB103" s="19"/>
    </row>
    <row r="104" spans="27:80" x14ac:dyDescent="0.25">
      <c r="AA104" s="5"/>
      <c r="AB104" s="5"/>
      <c r="AC104" s="5"/>
      <c r="CA104" s="19"/>
      <c r="CB104" s="19"/>
    </row>
    <row r="105" spans="27:80" x14ac:dyDescent="0.25">
      <c r="AA105" s="5"/>
      <c r="AB105" s="5"/>
      <c r="AC105" s="5"/>
      <c r="CA105" s="19"/>
      <c r="CB105" s="19"/>
    </row>
    <row r="106" spans="27:80" x14ac:dyDescent="0.25">
      <c r="AA106" s="5"/>
      <c r="AB106" s="5"/>
      <c r="AC106" s="5"/>
      <c r="CA106" s="19"/>
      <c r="CB106" s="19"/>
    </row>
    <row r="107" spans="27:80" x14ac:dyDescent="0.25">
      <c r="AA107" s="5"/>
      <c r="AB107" s="5"/>
      <c r="AC107" s="5"/>
      <c r="CA107" s="19"/>
      <c r="CB107" s="19"/>
    </row>
    <row r="108" spans="27:80" x14ac:dyDescent="0.25">
      <c r="AA108" s="5"/>
      <c r="AB108" s="5"/>
      <c r="AC108" s="5"/>
      <c r="CA108" s="19"/>
      <c r="CB108" s="19"/>
    </row>
    <row r="109" spans="27:80" x14ac:dyDescent="0.25">
      <c r="AA109" s="5"/>
      <c r="AB109" s="5"/>
      <c r="AC109" s="5"/>
      <c r="CA109" s="19"/>
      <c r="CB109" s="19"/>
    </row>
    <row r="110" spans="27:80" x14ac:dyDescent="0.25">
      <c r="AA110" s="5"/>
      <c r="AB110" s="5"/>
      <c r="AC110" s="5"/>
      <c r="CA110" s="19"/>
      <c r="CB110" s="19"/>
    </row>
    <row r="111" spans="27:80" x14ac:dyDescent="0.25">
      <c r="AA111" s="5"/>
      <c r="AB111" s="5"/>
      <c r="AC111" s="5"/>
      <c r="CA111" s="19"/>
      <c r="CB111" s="19"/>
    </row>
    <row r="112" spans="27:80" x14ac:dyDescent="0.25">
      <c r="AA112" s="5"/>
      <c r="AB112" s="5"/>
      <c r="AC112" s="5"/>
      <c r="CA112" s="19"/>
      <c r="CB112" s="19"/>
    </row>
    <row r="113" spans="27:80" x14ac:dyDescent="0.25">
      <c r="AA113" s="5"/>
      <c r="AB113" s="5"/>
      <c r="AC113" s="5"/>
      <c r="CA113" s="19"/>
      <c r="CB113" s="19"/>
    </row>
    <row r="114" spans="27:80" x14ac:dyDescent="0.25">
      <c r="AA114" s="5"/>
      <c r="AB114" s="5"/>
      <c r="AC114" s="5"/>
      <c r="CA114" s="19"/>
      <c r="CB114" s="19"/>
    </row>
    <row r="115" spans="27:80" x14ac:dyDescent="0.25">
      <c r="AA115" s="5"/>
      <c r="AB115" s="5"/>
      <c r="AC115" s="5"/>
      <c r="CA115" s="19"/>
      <c r="CB115" s="19"/>
    </row>
    <row r="116" spans="27:80" x14ac:dyDescent="0.25">
      <c r="AA116" s="5"/>
      <c r="AB116" s="5"/>
      <c r="AC116" s="5"/>
      <c r="CA116" s="19"/>
      <c r="CB116" s="19"/>
    </row>
    <row r="117" spans="27:80" x14ac:dyDescent="0.25">
      <c r="AA117" s="5"/>
      <c r="AB117" s="5"/>
      <c r="AC117" s="5"/>
      <c r="CA117" s="19"/>
      <c r="CB117" s="19"/>
    </row>
    <row r="118" spans="27:80" x14ac:dyDescent="0.25">
      <c r="AA118" s="5"/>
      <c r="AB118" s="5"/>
      <c r="AC118" s="5"/>
      <c r="CA118" s="19"/>
      <c r="CB118" s="19"/>
    </row>
    <row r="119" spans="27:80" x14ac:dyDescent="0.25">
      <c r="AA119" s="5"/>
      <c r="AB119" s="5"/>
      <c r="AC119" s="5"/>
      <c r="CA119" s="19"/>
      <c r="CB119" s="19"/>
    </row>
    <row r="120" spans="27:80" x14ac:dyDescent="0.25">
      <c r="AA120" s="5"/>
      <c r="AB120" s="5"/>
      <c r="AC120" s="5"/>
      <c r="CA120" s="19"/>
      <c r="CB120" s="19"/>
    </row>
    <row r="121" spans="27:80" x14ac:dyDescent="0.25">
      <c r="AA121" s="5"/>
      <c r="AB121" s="5"/>
      <c r="AC121" s="5"/>
      <c r="CA121" s="19"/>
      <c r="CB121" s="19"/>
    </row>
    <row r="122" spans="27:80" x14ac:dyDescent="0.25">
      <c r="AA122" s="5"/>
      <c r="AB122" s="5"/>
      <c r="AC122" s="5"/>
      <c r="CA122" s="19"/>
      <c r="CB122" s="19"/>
    </row>
    <row r="123" spans="27:80" x14ac:dyDescent="0.25">
      <c r="AA123" s="5"/>
      <c r="AB123" s="5"/>
      <c r="AC123" s="5"/>
      <c r="CA123" s="19"/>
      <c r="CB123" s="19"/>
    </row>
    <row r="124" spans="27:80" x14ac:dyDescent="0.25">
      <c r="AA124" s="5"/>
      <c r="AB124" s="5"/>
      <c r="AC124" s="5"/>
      <c r="CA124" s="19"/>
      <c r="CB124" s="19"/>
    </row>
    <row r="125" spans="27:80" x14ac:dyDescent="0.25">
      <c r="AA125" s="5"/>
      <c r="AB125" s="5"/>
      <c r="AC125" s="5"/>
      <c r="CA125" s="19"/>
      <c r="CB125" s="19"/>
    </row>
    <row r="126" spans="27:80" x14ac:dyDescent="0.25">
      <c r="AA126" s="5"/>
      <c r="AB126" s="5"/>
      <c r="AC126" s="5"/>
      <c r="CA126" s="19"/>
      <c r="CB126" s="19"/>
    </row>
    <row r="127" spans="27:80" x14ac:dyDescent="0.25">
      <c r="AA127" s="5"/>
      <c r="AB127" s="5"/>
      <c r="AC127" s="5"/>
      <c r="CA127" s="19"/>
      <c r="CB127" s="19"/>
    </row>
    <row r="128" spans="27:80" x14ac:dyDescent="0.25">
      <c r="AA128" s="5"/>
      <c r="AB128" s="5"/>
      <c r="AC128" s="5"/>
      <c r="CA128" s="19"/>
      <c r="CB128" s="19"/>
    </row>
    <row r="129" spans="27:80" x14ac:dyDescent="0.25">
      <c r="AA129" s="5"/>
      <c r="AB129" s="5"/>
      <c r="AC129" s="5"/>
      <c r="CA129" s="19"/>
      <c r="CB129" s="19"/>
    </row>
    <row r="130" spans="27:80" x14ac:dyDescent="0.25">
      <c r="AA130" s="5"/>
      <c r="AB130" s="5"/>
      <c r="AC130" s="5"/>
      <c r="CA130" s="19"/>
      <c r="CB130" s="19"/>
    </row>
    <row r="131" spans="27:80" x14ac:dyDescent="0.25">
      <c r="AA131" s="5"/>
      <c r="AB131" s="5"/>
      <c r="AC131" s="5"/>
      <c r="CA131" s="19"/>
      <c r="CB131" s="19"/>
    </row>
    <row r="132" spans="27:80" x14ac:dyDescent="0.25">
      <c r="AA132" s="5"/>
      <c r="AB132" s="5"/>
      <c r="AC132" s="5"/>
      <c r="CA132" s="19"/>
      <c r="CB132" s="19"/>
    </row>
    <row r="133" spans="27:80" x14ac:dyDescent="0.25">
      <c r="AA133" s="5"/>
      <c r="AB133" s="5"/>
      <c r="AC133" s="5"/>
      <c r="CA133" s="19"/>
      <c r="CB133" s="19"/>
    </row>
    <row r="134" spans="27:80" x14ac:dyDescent="0.25">
      <c r="AA134" s="5"/>
      <c r="AB134" s="5"/>
      <c r="AC134" s="5"/>
      <c r="CA134" s="19"/>
      <c r="CB134" s="19"/>
    </row>
    <row r="135" spans="27:80" x14ac:dyDescent="0.25">
      <c r="AA135" s="5"/>
      <c r="AB135" s="5"/>
      <c r="AC135" s="5"/>
      <c r="CA135" s="19"/>
      <c r="CB135" s="19"/>
    </row>
    <row r="136" spans="27:80" x14ac:dyDescent="0.25">
      <c r="AA136" s="5"/>
      <c r="AB136" s="5"/>
      <c r="AC136" s="5"/>
      <c r="CA136" s="19"/>
      <c r="CB136" s="19"/>
    </row>
    <row r="137" spans="27:80" x14ac:dyDescent="0.25">
      <c r="AA137" s="5"/>
      <c r="AB137" s="5"/>
      <c r="AC137" s="5"/>
      <c r="CA137" s="19"/>
      <c r="CB137" s="19"/>
    </row>
    <row r="138" spans="27:80" x14ac:dyDescent="0.25">
      <c r="AA138" s="5"/>
      <c r="AB138" s="5"/>
      <c r="AC138" s="5"/>
      <c r="CA138" s="19"/>
      <c r="CB138" s="19"/>
    </row>
    <row r="139" spans="27:80" x14ac:dyDescent="0.25">
      <c r="AA139" s="5"/>
      <c r="AB139" s="5"/>
      <c r="AC139" s="5"/>
      <c r="CA139" s="19"/>
      <c r="CB139" s="19"/>
    </row>
    <row r="140" spans="27:80" x14ac:dyDescent="0.25">
      <c r="AA140" s="5"/>
      <c r="AB140" s="5"/>
      <c r="AC140" s="5"/>
      <c r="CA140" s="19"/>
      <c r="CB140" s="19"/>
    </row>
    <row r="141" spans="27:80" x14ac:dyDescent="0.25">
      <c r="AA141" s="5"/>
      <c r="AB141" s="5"/>
      <c r="AC141" s="5"/>
      <c r="CA141" s="19"/>
      <c r="CB141" s="19"/>
    </row>
    <row r="142" spans="27:80" x14ac:dyDescent="0.25">
      <c r="AA142" s="5"/>
      <c r="AB142" s="5"/>
      <c r="AC142" s="5"/>
      <c r="CA142" s="19"/>
      <c r="CB142" s="19"/>
    </row>
    <row r="143" spans="27:80" x14ac:dyDescent="0.25">
      <c r="AA143" s="5"/>
      <c r="AB143" s="5"/>
      <c r="AC143" s="5"/>
      <c r="CA143" s="19"/>
      <c r="CB143" s="19"/>
    </row>
    <row r="144" spans="27:80" x14ac:dyDescent="0.25">
      <c r="AA144" s="5"/>
      <c r="AB144" s="5"/>
      <c r="AC144" s="5"/>
      <c r="CA144" s="19"/>
      <c r="CB144" s="19"/>
    </row>
    <row r="145" spans="27:80" x14ac:dyDescent="0.25">
      <c r="AA145" s="5"/>
      <c r="AB145" s="5"/>
      <c r="AC145" s="5"/>
      <c r="CA145" s="19"/>
      <c r="CB145" s="19"/>
    </row>
    <row r="146" spans="27:80" x14ac:dyDescent="0.25">
      <c r="AA146" s="5"/>
      <c r="AB146" s="5"/>
      <c r="AC146" s="5"/>
      <c r="CA146" s="19"/>
      <c r="CB146" s="19"/>
    </row>
    <row r="147" spans="27:80" x14ac:dyDescent="0.25">
      <c r="AA147" s="5"/>
      <c r="AB147" s="5"/>
      <c r="AC147" s="5"/>
      <c r="CA147" s="19"/>
      <c r="CB147" s="19"/>
    </row>
    <row r="148" spans="27:80" x14ac:dyDescent="0.25">
      <c r="AA148" s="5"/>
      <c r="AB148" s="5"/>
      <c r="AC148" s="5"/>
      <c r="CA148" s="19"/>
      <c r="CB148" s="19"/>
    </row>
    <row r="149" spans="27:80" x14ac:dyDescent="0.25">
      <c r="AA149" s="5"/>
      <c r="AB149" s="5"/>
      <c r="AC149" s="5"/>
      <c r="CA149" s="19"/>
      <c r="CB149" s="19"/>
    </row>
    <row r="150" spans="27:80" x14ac:dyDescent="0.25">
      <c r="AA150" s="5"/>
      <c r="AB150" s="5"/>
      <c r="AC150" s="5"/>
      <c r="CA150" s="19"/>
      <c r="CB150" s="19"/>
    </row>
    <row r="151" spans="27:80" x14ac:dyDescent="0.25">
      <c r="AA151" s="5"/>
      <c r="AB151" s="5"/>
      <c r="AC151" s="5"/>
      <c r="CA151" s="19"/>
      <c r="CB151" s="19"/>
    </row>
    <row r="152" spans="27:80" x14ac:dyDescent="0.25">
      <c r="AA152" s="5"/>
      <c r="AB152" s="5"/>
      <c r="AC152" s="5"/>
      <c r="CA152" s="19"/>
      <c r="CB152" s="19"/>
    </row>
    <row r="153" spans="27:80" x14ac:dyDescent="0.25">
      <c r="AA153" s="5"/>
      <c r="AB153" s="5"/>
      <c r="AC153" s="5"/>
      <c r="CA153" s="19"/>
      <c r="CB153" s="19"/>
    </row>
    <row r="154" spans="27:80" x14ac:dyDescent="0.25">
      <c r="AA154" s="5"/>
      <c r="AB154" s="5"/>
      <c r="AC154" s="5"/>
      <c r="CA154" s="19"/>
      <c r="CB154" s="19"/>
    </row>
    <row r="155" spans="27:80" x14ac:dyDescent="0.25">
      <c r="CA155" s="19"/>
      <c r="CB155" s="19"/>
    </row>
  </sheetData>
  <sheetProtection sheet="1" objects="1" scenarios="1"/>
  <mergeCells count="125">
    <mergeCell ref="Q26:R26"/>
    <mergeCell ref="AJ69:AK69"/>
    <mergeCell ref="AH48:AI48"/>
    <mergeCell ref="AH46:AI46"/>
    <mergeCell ref="V56:W56"/>
    <mergeCell ref="AF80:AG80"/>
    <mergeCell ref="AH58:AI58"/>
    <mergeCell ref="AL47:AM47"/>
    <mergeCell ref="AF18:AG18"/>
    <mergeCell ref="AP18:AQ18"/>
    <mergeCell ref="BI20:BL20"/>
    <mergeCell ref="AR18:AS18"/>
    <mergeCell ref="BA20:BD20"/>
    <mergeCell ref="BM20:BP20"/>
    <mergeCell ref="AF69:AG69"/>
    <mergeCell ref="BQ17:BR17"/>
    <mergeCell ref="AD17:AU17"/>
    <mergeCell ref="AH45:AI45"/>
    <mergeCell ref="BS17:BT17"/>
    <mergeCell ref="AL79:AM79"/>
    <mergeCell ref="AL48:AM48"/>
    <mergeCell ref="AF71:AG71"/>
    <mergeCell ref="AH47:AI47"/>
    <mergeCell ref="AJ47:AK47"/>
    <mergeCell ref="BM17:BN17"/>
    <mergeCell ref="BO17:BP17"/>
    <mergeCell ref="AW24:BD24"/>
    <mergeCell ref="AH69:AI69"/>
    <mergeCell ref="AL69:AM69"/>
    <mergeCell ref="E5:H5"/>
    <mergeCell ref="AD36:AE36"/>
    <mergeCell ref="AD30:AE30"/>
    <mergeCell ref="AF45:AG45"/>
    <mergeCell ref="AJ68:AK68"/>
    <mergeCell ref="AL68:AM68"/>
    <mergeCell ref="G26:H26"/>
    <mergeCell ref="AJ45:AK45"/>
    <mergeCell ref="B6:C6"/>
    <mergeCell ref="T5:V5"/>
    <mergeCell ref="K6:L6"/>
    <mergeCell ref="AF48:AG48"/>
    <mergeCell ref="B7:C7"/>
    <mergeCell ref="G42:H42"/>
    <mergeCell ref="AD24:AE24"/>
    <mergeCell ref="V23:W23"/>
    <mergeCell ref="Q42:R42"/>
    <mergeCell ref="B56:C56"/>
    <mergeCell ref="AJ48:AK48"/>
    <mergeCell ref="AJ18:AK18"/>
    <mergeCell ref="E6:F6"/>
    <mergeCell ref="AL18:AM18"/>
    <mergeCell ref="AH68:AI68"/>
    <mergeCell ref="B8:C8"/>
    <mergeCell ref="C2:G2"/>
    <mergeCell ref="AF58:AG58"/>
    <mergeCell ref="BE20:BH20"/>
    <mergeCell ref="BU24:CB24"/>
    <mergeCell ref="B9:C9"/>
    <mergeCell ref="BM24:BT24"/>
    <mergeCell ref="BQ20:BT20"/>
    <mergeCell ref="AF60:AG60"/>
    <mergeCell ref="AL58:AM58"/>
    <mergeCell ref="AF47:AG47"/>
    <mergeCell ref="AF46:AG46"/>
    <mergeCell ref="AJ60:AK60"/>
    <mergeCell ref="AL60:AM60"/>
    <mergeCell ref="AJ50:AK50"/>
    <mergeCell ref="AJ46:AK46"/>
    <mergeCell ref="AL46:AM46"/>
    <mergeCell ref="C3:G3"/>
    <mergeCell ref="BI17:BJ17"/>
    <mergeCell ref="BU17:BV17"/>
    <mergeCell ref="AL45:AM45"/>
    <mergeCell ref="BW17:BX17"/>
    <mergeCell ref="B23:C23"/>
    <mergeCell ref="L23:M23"/>
    <mergeCell ref="G6:H6"/>
    <mergeCell ref="A39:B40"/>
    <mergeCell ref="BY17:BZ17"/>
    <mergeCell ref="CA17:CB17"/>
    <mergeCell ref="B10:C10"/>
    <mergeCell ref="AL71:AM71"/>
    <mergeCell ref="AH60:AI60"/>
    <mergeCell ref="AN18:AO18"/>
    <mergeCell ref="AF50:AG50"/>
    <mergeCell ref="AJ79:AK79"/>
    <mergeCell ref="BY20:CB20"/>
    <mergeCell ref="AH71:AI71"/>
    <mergeCell ref="AJ71:AK71"/>
    <mergeCell ref="BE24:BL24"/>
    <mergeCell ref="AH18:AI18"/>
    <mergeCell ref="AJ58:AK58"/>
    <mergeCell ref="AF57:AG57"/>
    <mergeCell ref="BU20:BX20"/>
    <mergeCell ref="AT18:AU18"/>
    <mergeCell ref="L38:M41"/>
    <mergeCell ref="AJ57:AK57"/>
    <mergeCell ref="AF68:AG68"/>
    <mergeCell ref="AL57:AM57"/>
    <mergeCell ref="AH50:AI50"/>
    <mergeCell ref="W39:X40"/>
    <mergeCell ref="Z8:AB9"/>
    <mergeCell ref="L56:M56"/>
    <mergeCell ref="BK17:BL17"/>
    <mergeCell ref="AL82:AM82"/>
    <mergeCell ref="AL50:AM50"/>
    <mergeCell ref="AW20:AZ20"/>
    <mergeCell ref="AH57:AI57"/>
    <mergeCell ref="AD42:AE42"/>
    <mergeCell ref="I5:L5"/>
    <mergeCell ref="I6:J6"/>
    <mergeCell ref="AF82:AG82"/>
    <mergeCell ref="AH82:AI82"/>
    <mergeCell ref="AJ82:AK82"/>
    <mergeCell ref="AH80:AI80"/>
    <mergeCell ref="AW17:AX17"/>
    <mergeCell ref="BG17:BH17"/>
    <mergeCell ref="AL80:AM80"/>
    <mergeCell ref="AY17:AZ17"/>
    <mergeCell ref="BA17:BB17"/>
    <mergeCell ref="AJ80:AK80"/>
    <mergeCell ref="AF79:AG79"/>
    <mergeCell ref="BC17:BD17"/>
    <mergeCell ref="AH79:AI79"/>
    <mergeCell ref="BE17:BF17"/>
  </mergeCells>
  <conditionalFormatting sqref="L38:M41">
    <cfRule type="expression" dxfId="809" priority="2">
      <formula>$CE$20&gt;3</formula>
    </cfRule>
    <cfRule type="expression" dxfId="808" priority="3">
      <formula>$CE$20&lt;0.1</formula>
    </cfRule>
  </conditionalFormatting>
  <conditionalFormatting sqref="Z11:Z14">
    <cfRule type="expression" dxfId="807" priority="1">
      <formula>$AA$10=2</formula>
    </cfRule>
  </conditionalFormatting>
  <conditionalFormatting sqref="AF52:AG52">
    <cfRule type="expression" dxfId="806" priority="252">
      <formula>$AF48=1</formula>
    </cfRule>
  </conditionalFormatting>
  <conditionalFormatting sqref="AF53:AG53">
    <cfRule type="expression" dxfId="805" priority="248">
      <formula>$AF48=2</formula>
    </cfRule>
  </conditionalFormatting>
  <conditionalFormatting sqref="AF54:AG54">
    <cfRule type="expression" dxfId="804" priority="244">
      <formula>$AF48=3</formula>
    </cfRule>
  </conditionalFormatting>
  <conditionalFormatting sqref="AF55:AG55">
    <cfRule type="expression" dxfId="803" priority="240">
      <formula>$AF48=4</formula>
    </cfRule>
  </conditionalFormatting>
  <conditionalFormatting sqref="AF62:AG62">
    <cfRule type="expression" dxfId="802" priority="224">
      <formula>$AF$58=1</formula>
    </cfRule>
  </conditionalFormatting>
  <conditionalFormatting sqref="AF63:AG63">
    <cfRule type="expression" dxfId="801" priority="228">
      <formula>$AF$58=2</formula>
    </cfRule>
  </conditionalFormatting>
  <conditionalFormatting sqref="AF64:AG64">
    <cfRule type="expression" dxfId="800" priority="232">
      <formula>$AF$58=3</formula>
    </cfRule>
  </conditionalFormatting>
  <conditionalFormatting sqref="AF65:AG65">
    <cfRule type="expression" dxfId="799" priority="236">
      <formula>$AF$58=4</formula>
    </cfRule>
  </conditionalFormatting>
  <conditionalFormatting sqref="AF73:AG73">
    <cfRule type="expression" dxfId="798" priority="219">
      <formula>$AF$69=1</formula>
    </cfRule>
  </conditionalFormatting>
  <conditionalFormatting sqref="AF74:AG74">
    <cfRule type="expression" dxfId="797" priority="220">
      <formula>$AF$69=2</formula>
    </cfRule>
  </conditionalFormatting>
  <conditionalFormatting sqref="AF75:AG75">
    <cfRule type="expression" dxfId="796" priority="218">
      <formula>$AF$69=3</formula>
    </cfRule>
  </conditionalFormatting>
  <conditionalFormatting sqref="AF76:AG76">
    <cfRule type="expression" dxfId="795" priority="217">
      <formula>$AF$69=4</formula>
    </cfRule>
  </conditionalFormatting>
  <conditionalFormatting sqref="AF84:AG84">
    <cfRule type="expression" dxfId="794" priority="176">
      <formula>$AF$80=1</formula>
    </cfRule>
  </conditionalFormatting>
  <conditionalFormatting sqref="AF85:AG85">
    <cfRule type="expression" dxfId="793" priority="180">
      <formula>$AF$80=2</formula>
    </cfRule>
  </conditionalFormatting>
  <conditionalFormatting sqref="AF86:AG86">
    <cfRule type="expression" dxfId="792" priority="184">
      <formula>$AF$80=3</formula>
    </cfRule>
  </conditionalFormatting>
  <conditionalFormatting sqref="AF87:AG87">
    <cfRule type="expression" dxfId="791" priority="188">
      <formula>$AF$80=4</formula>
    </cfRule>
  </conditionalFormatting>
  <conditionalFormatting sqref="AF48:AM48">
    <cfRule type="cellIs" dxfId="790" priority="267" operator="between">
      <formula>1</formula>
      <formula>4</formula>
    </cfRule>
  </conditionalFormatting>
  <conditionalFormatting sqref="AF58:AM58">
    <cfRule type="cellIs" dxfId="789" priority="170" operator="between">
      <formula>1</formula>
      <formula>4</formula>
    </cfRule>
  </conditionalFormatting>
  <conditionalFormatting sqref="AF69:AM69">
    <cfRule type="cellIs" dxfId="788" priority="167" operator="between">
      <formula>1</formula>
      <formula>4</formula>
    </cfRule>
  </conditionalFormatting>
  <conditionalFormatting sqref="AF80:AM80">
    <cfRule type="cellIs" dxfId="787" priority="164" operator="between">
      <formula>1</formula>
      <formula>4</formula>
    </cfRule>
  </conditionalFormatting>
  <conditionalFormatting sqref="AH52:AI52">
    <cfRule type="expression" dxfId="786" priority="251">
      <formula>$AH48=1</formula>
    </cfRule>
  </conditionalFormatting>
  <conditionalFormatting sqref="AH53:AI53">
    <cfRule type="expression" dxfId="785" priority="247">
      <formula>$AH48=2</formula>
    </cfRule>
  </conditionalFormatting>
  <conditionalFormatting sqref="AH54:AI54">
    <cfRule type="expression" dxfId="784" priority="243">
      <formula>$AH48=3</formula>
    </cfRule>
  </conditionalFormatting>
  <conditionalFormatting sqref="AH55:AI55">
    <cfRule type="expression" dxfId="783" priority="239">
      <formula>$AH48=4</formula>
    </cfRule>
  </conditionalFormatting>
  <conditionalFormatting sqref="AH62:AI62">
    <cfRule type="expression" dxfId="782" priority="223">
      <formula>$AH$58=1</formula>
    </cfRule>
  </conditionalFormatting>
  <conditionalFormatting sqref="AH63:AI63">
    <cfRule type="expression" dxfId="781" priority="227">
      <formula>$AH$58=2</formula>
    </cfRule>
  </conditionalFormatting>
  <conditionalFormatting sqref="AH64:AI64">
    <cfRule type="expression" dxfId="780" priority="231">
      <formula>$AH$58=3</formula>
    </cfRule>
  </conditionalFormatting>
  <conditionalFormatting sqref="AH65:AI65">
    <cfRule type="expression" dxfId="779" priority="235">
      <formula>$AH$58=4</formula>
    </cfRule>
  </conditionalFormatting>
  <conditionalFormatting sqref="AH73:AI73">
    <cfRule type="expression" dxfId="778" priority="215">
      <formula>$AH$69=1</formula>
    </cfRule>
  </conditionalFormatting>
  <conditionalFormatting sqref="AH74:AI74">
    <cfRule type="expression" dxfId="777" priority="216">
      <formula>$AH$69=2</formula>
    </cfRule>
  </conditionalFormatting>
  <conditionalFormatting sqref="AH75:AI75">
    <cfRule type="expression" dxfId="776" priority="214">
      <formula>$AH$69=3</formula>
    </cfRule>
  </conditionalFormatting>
  <conditionalFormatting sqref="AH76:AI76">
    <cfRule type="expression" dxfId="775" priority="213">
      <formula>$AH$69=4</formula>
    </cfRule>
  </conditionalFormatting>
  <conditionalFormatting sqref="AH84:AI84">
    <cfRule type="expression" dxfId="774" priority="175">
      <formula>$AH$80=1</formula>
    </cfRule>
  </conditionalFormatting>
  <conditionalFormatting sqref="AH85:AI85">
    <cfRule type="expression" dxfId="773" priority="179">
      <formula>$AH$80=2</formula>
    </cfRule>
  </conditionalFormatting>
  <conditionalFormatting sqref="AH86:AI86">
    <cfRule type="expression" dxfId="772" priority="183">
      <formula>$AH$80=3</formula>
    </cfRule>
  </conditionalFormatting>
  <conditionalFormatting sqref="AH87:AI87">
    <cfRule type="expression" dxfId="771" priority="187">
      <formula>$AH$80=4</formula>
    </cfRule>
  </conditionalFormatting>
  <conditionalFormatting sqref="AJ52:AK52">
    <cfRule type="expression" dxfId="770" priority="250">
      <formula>$AJ48=1</formula>
    </cfRule>
  </conditionalFormatting>
  <conditionalFormatting sqref="AJ53:AK53">
    <cfRule type="expression" dxfId="769" priority="246">
      <formula>$AJ48=2</formula>
    </cfRule>
  </conditionalFormatting>
  <conditionalFormatting sqref="AJ54:AK54">
    <cfRule type="expression" dxfId="768" priority="242">
      <formula>$AJ48=3</formula>
    </cfRule>
  </conditionalFormatting>
  <conditionalFormatting sqref="AJ55:AK55">
    <cfRule type="expression" dxfId="767" priority="238">
      <formula>$AJ48=4</formula>
    </cfRule>
  </conditionalFormatting>
  <conditionalFormatting sqref="AJ62:AK62">
    <cfRule type="expression" dxfId="766" priority="222">
      <formula>$AJ$58=1</formula>
    </cfRule>
  </conditionalFormatting>
  <conditionalFormatting sqref="AJ63:AK63">
    <cfRule type="expression" dxfId="765" priority="226">
      <formula>$AJ$58=2</formula>
    </cfRule>
  </conditionalFormatting>
  <conditionalFormatting sqref="AJ64:AK64">
    <cfRule type="expression" dxfId="764" priority="230">
      <formula>$AJ$58=3</formula>
    </cfRule>
  </conditionalFormatting>
  <conditionalFormatting sqref="AJ65:AK65">
    <cfRule type="expression" dxfId="763" priority="234">
      <formula>$AJ$58=4</formula>
    </cfRule>
  </conditionalFormatting>
  <conditionalFormatting sqref="AJ73:AK73">
    <cfRule type="expression" dxfId="762" priority="211">
      <formula>$AJ$69=1</formula>
    </cfRule>
  </conditionalFormatting>
  <conditionalFormatting sqref="AJ74:AK74">
    <cfRule type="expression" dxfId="761" priority="212">
      <formula>$AJ$69=2</formula>
    </cfRule>
  </conditionalFormatting>
  <conditionalFormatting sqref="AJ75:AK75">
    <cfRule type="expression" dxfId="760" priority="210">
      <formula>$AJ$69=3</formula>
    </cfRule>
  </conditionalFormatting>
  <conditionalFormatting sqref="AJ76:AK76">
    <cfRule type="expression" dxfId="759" priority="209">
      <formula>$AJ$69=4</formula>
    </cfRule>
  </conditionalFormatting>
  <conditionalFormatting sqref="AJ84:AK84">
    <cfRule type="expression" dxfId="758" priority="174">
      <formula>$AJ$80=1</formula>
    </cfRule>
  </conditionalFormatting>
  <conditionalFormatting sqref="AJ85:AK85">
    <cfRule type="expression" dxfId="757" priority="178">
      <formula>$AJ$80=2</formula>
    </cfRule>
  </conditionalFormatting>
  <conditionalFormatting sqref="AJ86:AK86">
    <cfRule type="expression" dxfId="756" priority="182">
      <formula>$AJ$80=3</formula>
    </cfRule>
  </conditionalFormatting>
  <conditionalFormatting sqref="AJ87:AK87">
    <cfRule type="expression" dxfId="755" priority="186">
      <formula>$AJ$80=4</formula>
    </cfRule>
  </conditionalFormatting>
  <conditionalFormatting sqref="AL52:AM52">
    <cfRule type="expression" dxfId="754" priority="249">
      <formula>$AL48=1</formula>
    </cfRule>
  </conditionalFormatting>
  <conditionalFormatting sqref="AL53:AM53">
    <cfRule type="expression" dxfId="753" priority="245">
      <formula>$AL48=2</formula>
    </cfRule>
  </conditionalFormatting>
  <conditionalFormatting sqref="AL54:AM54">
    <cfRule type="expression" dxfId="752" priority="241">
      <formula>$AL48=3</formula>
    </cfRule>
  </conditionalFormatting>
  <conditionalFormatting sqref="AL55:AM55">
    <cfRule type="expression" dxfId="751" priority="237">
      <formula>$AL48=4</formula>
    </cfRule>
  </conditionalFormatting>
  <conditionalFormatting sqref="AL62:AM62">
    <cfRule type="expression" dxfId="750" priority="221">
      <formula>$AL$58=1</formula>
    </cfRule>
  </conditionalFormatting>
  <conditionalFormatting sqref="AL63:AM63">
    <cfRule type="expression" dxfId="749" priority="225">
      <formula>$AL$58=2</formula>
    </cfRule>
  </conditionalFormatting>
  <conditionalFormatting sqref="AL64:AM64">
    <cfRule type="expression" dxfId="748" priority="229">
      <formula>$AL$58=3</formula>
    </cfRule>
  </conditionalFormatting>
  <conditionalFormatting sqref="AL65:AM65">
    <cfRule type="expression" dxfId="747" priority="233">
      <formula>$AL$58=4</formula>
    </cfRule>
  </conditionalFormatting>
  <conditionalFormatting sqref="AL73:AM73">
    <cfRule type="expression" dxfId="746" priority="207">
      <formula>$AL$69=1</formula>
    </cfRule>
  </conditionalFormatting>
  <conditionalFormatting sqref="AL74:AM74">
    <cfRule type="expression" dxfId="745" priority="208">
      <formula>$AL$69=2</formula>
    </cfRule>
  </conditionalFormatting>
  <conditionalFormatting sqref="AL75:AM75">
    <cfRule type="expression" dxfId="744" priority="206">
      <formula>$AL$69=3</formula>
    </cfRule>
  </conditionalFormatting>
  <conditionalFormatting sqref="AL76:AM76">
    <cfRule type="expression" dxfId="743" priority="205">
      <formula>$AL$69=4</formula>
    </cfRule>
  </conditionalFormatting>
  <conditionalFormatting sqref="AL84:AM84">
    <cfRule type="expression" dxfId="742" priority="173">
      <formula>$AL$80=1</formula>
    </cfRule>
  </conditionalFormatting>
  <conditionalFormatting sqref="AL85:AM85">
    <cfRule type="expression" dxfId="741" priority="177">
      <formula>$AL$80=2</formula>
    </cfRule>
  </conditionalFormatting>
  <conditionalFormatting sqref="AL86:AM86">
    <cfRule type="expression" dxfId="740" priority="181">
      <formula>$AL$80=3</formula>
    </cfRule>
  </conditionalFormatting>
  <conditionalFormatting sqref="AL87:AM87">
    <cfRule type="expression" dxfId="739" priority="185">
      <formula>$AL$80=4</formula>
    </cfRule>
  </conditionalFormatting>
  <conditionalFormatting sqref="AO62:AP62">
    <cfRule type="expression" dxfId="738" priority="55">
      <formula>$AF$58=1</formula>
    </cfRule>
  </conditionalFormatting>
  <conditionalFormatting sqref="AO63:AP63">
    <cfRule type="expression" dxfId="737" priority="59">
      <formula>$AF$58=2</formula>
    </cfRule>
  </conditionalFormatting>
  <conditionalFormatting sqref="AO64:AP64">
    <cfRule type="expression" dxfId="736" priority="63">
      <formula>$AF$58=3</formula>
    </cfRule>
  </conditionalFormatting>
  <conditionalFormatting sqref="AO65:AP65">
    <cfRule type="expression" dxfId="735" priority="67">
      <formula>$AF$58=4</formula>
    </cfRule>
  </conditionalFormatting>
  <conditionalFormatting sqref="AO73:AP73">
    <cfRule type="expression" dxfId="734" priority="50">
      <formula>$AF$69=1</formula>
    </cfRule>
  </conditionalFormatting>
  <conditionalFormatting sqref="AO74:AP74">
    <cfRule type="expression" dxfId="733" priority="51">
      <formula>$AF$69=2</formula>
    </cfRule>
  </conditionalFormatting>
  <conditionalFormatting sqref="AO75:AP75">
    <cfRule type="expression" dxfId="732" priority="49">
      <formula>$AF$69=3</formula>
    </cfRule>
  </conditionalFormatting>
  <conditionalFormatting sqref="AO76:AP76">
    <cfRule type="expression" dxfId="731" priority="48">
      <formula>$AF$69=4</formula>
    </cfRule>
  </conditionalFormatting>
  <conditionalFormatting sqref="AO84:AP84">
    <cfRule type="expression" dxfId="730" priority="18">
      <formula>$AF$80=1</formula>
    </cfRule>
  </conditionalFormatting>
  <conditionalFormatting sqref="AO85:AP85">
    <cfRule type="expression" dxfId="729" priority="19">
      <formula>$AF$80=2</formula>
    </cfRule>
  </conditionalFormatting>
  <conditionalFormatting sqref="AO86:AP86">
    <cfRule type="expression" dxfId="728" priority="17">
      <formula>$AF$80=3</formula>
    </cfRule>
  </conditionalFormatting>
  <conditionalFormatting sqref="AO87:AP87">
    <cfRule type="expression" dxfId="727" priority="16">
      <formula>$AF$80=4</formula>
    </cfRule>
  </conditionalFormatting>
  <conditionalFormatting sqref="AQ62:AR62">
    <cfRule type="expression" dxfId="726" priority="54">
      <formula>$AH$58=1</formula>
    </cfRule>
  </conditionalFormatting>
  <conditionalFormatting sqref="AQ63:AR63">
    <cfRule type="expression" dxfId="725" priority="58">
      <formula>$AH$58=2</formula>
    </cfRule>
  </conditionalFormatting>
  <conditionalFormatting sqref="AQ64:AR64">
    <cfRule type="expression" dxfId="724" priority="62">
      <formula>$AH$58=3</formula>
    </cfRule>
  </conditionalFormatting>
  <conditionalFormatting sqref="AQ65:AR65">
    <cfRule type="expression" dxfId="723" priority="66">
      <formula>$AH$58=4</formula>
    </cfRule>
  </conditionalFormatting>
  <conditionalFormatting sqref="AQ73:AR73">
    <cfRule type="expression" dxfId="722" priority="46">
      <formula>$AH$69=1</formula>
    </cfRule>
  </conditionalFormatting>
  <conditionalFormatting sqref="AQ74:AR74">
    <cfRule type="expression" dxfId="721" priority="47">
      <formula>$AH$69=2</formula>
    </cfRule>
  </conditionalFormatting>
  <conditionalFormatting sqref="AQ75:AR75">
    <cfRule type="expression" dxfId="720" priority="45">
      <formula>$AH$69=3</formula>
    </cfRule>
  </conditionalFormatting>
  <conditionalFormatting sqref="AQ76:AR76">
    <cfRule type="expression" dxfId="719" priority="44">
      <formula>$AH$69=4</formula>
    </cfRule>
  </conditionalFormatting>
  <conditionalFormatting sqref="AQ84:AR84">
    <cfRule type="expression" dxfId="718" priority="14">
      <formula>$AH$80=1</formula>
    </cfRule>
  </conditionalFormatting>
  <conditionalFormatting sqref="AQ85:AR85">
    <cfRule type="expression" dxfId="717" priority="15">
      <formula>$AH$80=2</formula>
    </cfRule>
  </conditionalFormatting>
  <conditionalFormatting sqref="AQ86:AR86">
    <cfRule type="expression" dxfId="716" priority="13">
      <formula>$AH$80=3</formula>
    </cfRule>
  </conditionalFormatting>
  <conditionalFormatting sqref="AQ87:AR87">
    <cfRule type="expression" dxfId="715" priority="12">
      <formula>$AH$80=4</formula>
    </cfRule>
  </conditionalFormatting>
  <conditionalFormatting sqref="AS62:AT62">
    <cfRule type="expression" dxfId="714" priority="53">
      <formula>$AJ$58=1</formula>
    </cfRule>
  </conditionalFormatting>
  <conditionalFormatting sqref="AS63:AT63">
    <cfRule type="expression" dxfId="713" priority="57">
      <formula>$AJ$58=2</formula>
    </cfRule>
  </conditionalFormatting>
  <conditionalFormatting sqref="AS64:AT64">
    <cfRule type="expression" dxfId="712" priority="61">
      <formula>$AJ$58=3</formula>
    </cfRule>
  </conditionalFormatting>
  <conditionalFormatting sqref="AS65:AT65">
    <cfRule type="expression" dxfId="711" priority="65">
      <formula>$AJ$58=4</formula>
    </cfRule>
  </conditionalFormatting>
  <conditionalFormatting sqref="AS73:AT73">
    <cfRule type="expression" dxfId="710" priority="42">
      <formula>$AJ$69=1</formula>
    </cfRule>
  </conditionalFormatting>
  <conditionalFormatting sqref="AS74:AT74">
    <cfRule type="expression" dxfId="709" priority="43">
      <formula>$AJ$69=2</formula>
    </cfRule>
  </conditionalFormatting>
  <conditionalFormatting sqref="AS75:AT75">
    <cfRule type="expression" dxfId="708" priority="41">
      <formula>$AJ$69=3</formula>
    </cfRule>
  </conditionalFormatting>
  <conditionalFormatting sqref="AS76:AT76">
    <cfRule type="expression" dxfId="707" priority="40">
      <formula>$AJ$69=4</formula>
    </cfRule>
  </conditionalFormatting>
  <conditionalFormatting sqref="AS84:AT84">
    <cfRule type="expression" dxfId="706" priority="10">
      <formula>$AJ$80=1</formula>
    </cfRule>
  </conditionalFormatting>
  <conditionalFormatting sqref="AS85:AT85">
    <cfRule type="expression" dxfId="705" priority="11">
      <formula>$AJ$80=2</formula>
    </cfRule>
  </conditionalFormatting>
  <conditionalFormatting sqref="AS86:AT86">
    <cfRule type="expression" dxfId="704" priority="9">
      <formula>$AJ$80=3</formula>
    </cfRule>
  </conditionalFormatting>
  <conditionalFormatting sqref="AS87:AT87">
    <cfRule type="expression" dxfId="703" priority="8">
      <formula>$AJ$80=4</formula>
    </cfRule>
  </conditionalFormatting>
  <conditionalFormatting sqref="AU62:AV62">
    <cfRule type="expression" dxfId="702" priority="52">
      <formula>$AL$58=1</formula>
    </cfRule>
  </conditionalFormatting>
  <conditionalFormatting sqref="AU63:AV63">
    <cfRule type="expression" dxfId="701" priority="56">
      <formula>$AL$58=2</formula>
    </cfRule>
  </conditionalFormatting>
  <conditionalFormatting sqref="AU64:AV64">
    <cfRule type="expression" dxfId="700" priority="60">
      <formula>$AL$58=3</formula>
    </cfRule>
  </conditionalFormatting>
  <conditionalFormatting sqref="AU65:AV65">
    <cfRule type="expression" dxfId="699" priority="64">
      <formula>$AL$58=4</formula>
    </cfRule>
  </conditionalFormatting>
  <conditionalFormatting sqref="AU73:AV73">
    <cfRule type="expression" dxfId="698" priority="38">
      <formula>$AL$69=1</formula>
    </cfRule>
  </conditionalFormatting>
  <conditionalFormatting sqref="AU74:AV74">
    <cfRule type="expression" dxfId="697" priority="39">
      <formula>$AL$69=2</formula>
    </cfRule>
  </conditionalFormatting>
  <conditionalFormatting sqref="AU75:AV75">
    <cfRule type="expression" dxfId="696" priority="37">
      <formula>$AL$69=3</formula>
    </cfRule>
  </conditionalFormatting>
  <conditionalFormatting sqref="AU76:AV76">
    <cfRule type="expression" dxfId="695" priority="36">
      <formula>$AL$69=4</formula>
    </cfRule>
  </conditionalFormatting>
  <conditionalFormatting sqref="AU84:AV84">
    <cfRule type="expression" dxfId="694" priority="6">
      <formula>$AL$80=1</formula>
    </cfRule>
  </conditionalFormatting>
  <conditionalFormatting sqref="AU85:AV85">
    <cfRule type="expression" dxfId="693" priority="7">
      <formula>$AL$80=2</formula>
    </cfRule>
  </conditionalFormatting>
  <conditionalFormatting sqref="AU86:AV86">
    <cfRule type="expression" dxfId="692" priority="5">
      <formula>$AL$80=3</formula>
    </cfRule>
  </conditionalFormatting>
  <conditionalFormatting sqref="AU87:AV87">
    <cfRule type="expression" dxfId="691" priority="4">
      <formula>$AL$80=4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rop Down 1">
              <controlPr locked="0" defaultSize="0" autoLine="0" autoPict="0">
                <anchor moveWithCells="1">
                  <from>
                    <xdr:col>4</xdr:col>
                    <xdr:colOff>47625</xdr:colOff>
                    <xdr:row>21</xdr:row>
                    <xdr:rowOff>0</xdr:rowOff>
                  </from>
                  <to>
                    <xdr:col>4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Drop Down 2">
              <controlPr defaultSize="0" autoLine="0" autoPict="0">
                <anchor moveWithCells="1">
                  <from>
                    <xdr:col>1</xdr:col>
                    <xdr:colOff>66675</xdr:colOff>
                    <xdr:row>28</xdr:row>
                    <xdr:rowOff>9525</xdr:rowOff>
                  </from>
                  <to>
                    <xdr:col>1</xdr:col>
                    <xdr:colOff>485775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>
                <anchor moveWithCells="1">
                  <from>
                    <xdr:col>4</xdr:col>
                    <xdr:colOff>38100</xdr:colOff>
                    <xdr:row>59</xdr:row>
                    <xdr:rowOff>0</xdr:rowOff>
                  </from>
                  <to>
                    <xdr:col>4</xdr:col>
                    <xdr:colOff>457200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Drop Down 4">
              <controlPr defaultSize="0" autoLine="0" autoPict="0">
                <anchor moveWithCells="1">
                  <from>
                    <xdr:col>1</xdr:col>
                    <xdr:colOff>57150</xdr:colOff>
                    <xdr:row>45</xdr:row>
                    <xdr:rowOff>9525</xdr:rowOff>
                  </from>
                  <to>
                    <xdr:col>1</xdr:col>
                    <xdr:colOff>476250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Drop Down 5">
              <controlPr locked="0" defaultSize="0" autoLine="0" autoPict="0">
                <anchor moveWithCells="1">
                  <from>
                    <xdr:col>14</xdr:col>
                    <xdr:colOff>76200</xdr:colOff>
                    <xdr:row>21</xdr:row>
                    <xdr:rowOff>0</xdr:rowOff>
                  </from>
                  <to>
                    <xdr:col>14</xdr:col>
                    <xdr:colOff>495300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Drop Down 6">
              <controlPr defaultSize="0" autoLine="0" autoPict="0">
                <anchor moveWithCells="1">
                  <from>
                    <xdr:col>14</xdr:col>
                    <xdr:colOff>85725</xdr:colOff>
                    <xdr:row>59</xdr:row>
                    <xdr:rowOff>0</xdr:rowOff>
                  </from>
                  <to>
                    <xdr:col>14</xdr:col>
                    <xdr:colOff>504825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Drop Down 7">
              <controlPr defaultSize="0" autoLine="0" autoPict="0">
                <anchor moveWithCells="1">
                  <from>
                    <xdr:col>22</xdr:col>
                    <xdr:colOff>85725</xdr:colOff>
                    <xdr:row>28</xdr:row>
                    <xdr:rowOff>9525</xdr:rowOff>
                  </from>
                  <to>
                    <xdr:col>22</xdr:col>
                    <xdr:colOff>504825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Drop Down 8">
              <controlPr defaultSize="0" autoLine="0" autoPict="0">
                <anchor moveWithCells="1">
                  <from>
                    <xdr:col>22</xdr:col>
                    <xdr:colOff>95250</xdr:colOff>
                    <xdr:row>45</xdr:row>
                    <xdr:rowOff>0</xdr:rowOff>
                  </from>
                  <to>
                    <xdr:col>22</xdr:col>
                    <xdr:colOff>514350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Drop Down 9">
              <controlPr locked="0" defaultSize="0" autoLine="0" autoPict="0">
                <anchor moveWithCells="1">
                  <from>
                    <xdr:col>10</xdr:col>
                    <xdr:colOff>47625</xdr:colOff>
                    <xdr:row>21</xdr:row>
                    <xdr:rowOff>9525</xdr:rowOff>
                  </from>
                  <to>
                    <xdr:col>10</xdr:col>
                    <xdr:colOff>466725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Drop Down 10">
              <controlPr locked="0" defaultSize="0" autoLine="0" autoPict="0">
                <anchor moveWithCells="1">
                  <from>
                    <xdr:col>20</xdr:col>
                    <xdr:colOff>47625</xdr:colOff>
                    <xdr:row>21</xdr:row>
                    <xdr:rowOff>0</xdr:rowOff>
                  </from>
                  <to>
                    <xdr:col>20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Drop Down 11">
              <controlPr defaultSize="0" autoLine="0" autoPict="0">
                <anchor moveWithCells="1">
                  <from>
                    <xdr:col>10</xdr:col>
                    <xdr:colOff>57150</xdr:colOff>
                    <xdr:row>59</xdr:row>
                    <xdr:rowOff>0</xdr:rowOff>
                  </from>
                  <to>
                    <xdr:col>10</xdr:col>
                    <xdr:colOff>476250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Drop Down 12">
              <controlPr defaultSize="0" autoLine="0" autoPict="0">
                <anchor moveWithCells="1">
                  <from>
                    <xdr:col>20</xdr:col>
                    <xdr:colOff>47625</xdr:colOff>
                    <xdr:row>59</xdr:row>
                    <xdr:rowOff>9525</xdr:rowOff>
                  </from>
                  <to>
                    <xdr:col>20</xdr:col>
                    <xdr:colOff>466725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Drop Down 13">
              <controlPr defaultSize="0" autoLine="0" autoPict="0">
                <anchor moveWithCells="1">
                  <from>
                    <xdr:col>1</xdr:col>
                    <xdr:colOff>76200</xdr:colOff>
                    <xdr:row>36</xdr:row>
                    <xdr:rowOff>0</xdr:rowOff>
                  </from>
                  <to>
                    <xdr:col>1</xdr:col>
                    <xdr:colOff>495300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Drop Down 14">
              <controlPr defaultSize="0" autoLine="0" autoPict="0">
                <anchor moveWithCells="1">
                  <from>
                    <xdr:col>22</xdr:col>
                    <xdr:colOff>95250</xdr:colOff>
                    <xdr:row>36</xdr:row>
                    <xdr:rowOff>9525</xdr:rowOff>
                  </from>
                  <to>
                    <xdr:col>22</xdr:col>
                    <xdr:colOff>514350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Drop Down 15">
              <controlPr defaultSize="0" autoLine="0" autoPict="0">
                <anchor moveWithCells="1">
                  <from>
                    <xdr:col>1</xdr:col>
                    <xdr:colOff>76200</xdr:colOff>
                    <xdr:row>53</xdr:row>
                    <xdr:rowOff>0</xdr:rowOff>
                  </from>
                  <to>
                    <xdr:col>1</xdr:col>
                    <xdr:colOff>495300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8" name="Drop Down 16">
              <controlPr defaultSize="0" autoLine="0" autoPict="0">
                <anchor moveWithCells="1">
                  <from>
                    <xdr:col>22</xdr:col>
                    <xdr:colOff>85725</xdr:colOff>
                    <xdr:row>53</xdr:row>
                    <xdr:rowOff>9525</xdr:rowOff>
                  </from>
                  <to>
                    <xdr:col>22</xdr:col>
                    <xdr:colOff>504825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9" name="Drop Down 17">
              <controlPr locked="0" defaultSize="0" autoLine="0" autoPict="0">
                <anchor moveWithCells="1">
                  <from>
                    <xdr:col>10</xdr:col>
                    <xdr:colOff>47625</xdr:colOff>
                    <xdr:row>21</xdr:row>
                    <xdr:rowOff>9525</xdr:rowOff>
                  </from>
                  <to>
                    <xdr:col>10</xdr:col>
                    <xdr:colOff>466725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0" name="Drop Down 18">
              <controlPr defaultSize="0" autoLine="0" autoPict="0">
                <anchor moveWithCells="1">
                  <from>
                    <xdr:col>1</xdr:col>
                    <xdr:colOff>66675</xdr:colOff>
                    <xdr:row>28</xdr:row>
                    <xdr:rowOff>9525</xdr:rowOff>
                  </from>
                  <to>
                    <xdr:col>1</xdr:col>
                    <xdr:colOff>485775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1" name="Drop Down 19">
              <controlPr defaultSize="0" autoLine="0" autoPict="0">
                <anchor moveWithCells="1">
                  <from>
                    <xdr:col>1</xdr:col>
                    <xdr:colOff>57150</xdr:colOff>
                    <xdr:row>45</xdr:row>
                    <xdr:rowOff>9525</xdr:rowOff>
                  </from>
                  <to>
                    <xdr:col>1</xdr:col>
                    <xdr:colOff>476250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2" name="Drop Down 20">
              <controlPr locked="0" defaultSize="0" autoLine="0" autoPict="0">
                <anchor moveWithCells="1">
                  <from>
                    <xdr:col>26</xdr:col>
                    <xdr:colOff>114300</xdr:colOff>
                    <xdr:row>9</xdr:row>
                    <xdr:rowOff>19050</xdr:rowOff>
                  </from>
                  <to>
                    <xdr:col>26</xdr:col>
                    <xdr:colOff>533400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3" name="Drop Down 21">
              <controlPr defaultSize="0" autoLine="0" autoPict="0">
                <anchor moveWithCells="1">
                  <from>
                    <xdr:col>25</xdr:col>
                    <xdr:colOff>114300</xdr:colOff>
                    <xdr:row>14</xdr:row>
                    <xdr:rowOff>28575</xdr:rowOff>
                  </from>
                  <to>
                    <xdr:col>25</xdr:col>
                    <xdr:colOff>533400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1:CE155"/>
  <sheetViews>
    <sheetView zoomScaleNormal="100" workbookViewId="0">
      <selection activeCell="C2" sqref="C2:G2"/>
    </sheetView>
  </sheetViews>
  <sheetFormatPr defaultRowHeight="15" x14ac:dyDescent="0.25"/>
  <cols>
    <col min="1" max="1" width="8.28515625" customWidth="1"/>
    <col min="2" max="2" width="8.5703125" customWidth="1"/>
    <col min="3" max="3" width="6" customWidth="1"/>
    <col min="4" max="4" width="8.5703125" customWidth="1"/>
    <col min="5" max="6" width="7.7109375" customWidth="1"/>
    <col min="7" max="7" width="9.7109375" customWidth="1"/>
    <col min="8" max="14" width="7.7109375" customWidth="1"/>
    <col min="15" max="15" width="8.5703125" customWidth="1"/>
    <col min="16" max="16" width="6.140625" customWidth="1"/>
    <col min="17" max="17" width="9.7109375" customWidth="1"/>
    <col min="18" max="18" width="7.7109375" customWidth="1"/>
    <col min="19" max="19" width="8.5703125" customWidth="1"/>
    <col min="20" max="20" width="6.7109375" customWidth="1"/>
    <col min="21" max="21" width="7.7109375" customWidth="1"/>
    <col min="22" max="22" width="4.7109375" customWidth="1"/>
    <col min="23" max="23" width="8.5703125" customWidth="1"/>
    <col min="24" max="24" width="6.7109375" customWidth="1"/>
    <col min="25" max="25" width="3.5703125" style="5" customWidth="1"/>
    <col min="26" max="26" width="9.7109375" style="5" customWidth="1"/>
    <col min="27" max="29" width="9.140625" style="19" customWidth="1"/>
    <col min="30" max="47" width="7.7109375" style="19" customWidth="1"/>
    <col min="48" max="48" width="12.85546875" style="19" customWidth="1"/>
    <col min="49" max="49" width="9.28515625" style="19" customWidth="1"/>
    <col min="50" max="78" width="9.140625" style="19" customWidth="1"/>
  </cols>
  <sheetData>
    <row r="1" spans="1:82" ht="8.25" customHeight="1" x14ac:dyDescent="0.25"/>
    <row r="2" spans="1:82" x14ac:dyDescent="0.25">
      <c r="B2" s="26" t="s">
        <v>0</v>
      </c>
      <c r="C2" s="966">
        <f>'SHL Section'!$C$2:$G$2</f>
        <v>0</v>
      </c>
      <c r="D2" s="832"/>
      <c r="E2" s="832"/>
      <c r="F2" s="832"/>
      <c r="G2" s="832"/>
      <c r="AA2" s="5"/>
      <c r="AB2" s="5"/>
      <c r="AC2" s="5"/>
      <c r="CA2" s="19"/>
      <c r="CB2" s="19"/>
    </row>
    <row r="3" spans="1:82" x14ac:dyDescent="0.25">
      <c r="B3" s="26" t="s">
        <v>5</v>
      </c>
      <c r="C3" s="968">
        <f>'SHL Section'!$C$3:$G$3</f>
        <v>0</v>
      </c>
      <c r="D3" s="832"/>
      <c r="E3" s="832"/>
      <c r="F3" s="832"/>
      <c r="G3" s="832"/>
      <c r="CA3" s="19"/>
      <c r="CB3" s="19"/>
    </row>
    <row r="4" spans="1:82" ht="7.5" customHeight="1" thickBot="1" x14ac:dyDescent="0.3">
      <c r="S4" s="5"/>
      <c r="T4" s="19"/>
      <c r="U4" s="19"/>
      <c r="V4" s="19"/>
      <c r="CA4" s="19"/>
      <c r="CB4" s="19"/>
    </row>
    <row r="5" spans="1:82" ht="26.25" customHeight="1" x14ac:dyDescent="0.25">
      <c r="B5" s="57"/>
      <c r="C5" s="58"/>
      <c r="D5" s="59" t="s">
        <v>218</v>
      </c>
      <c r="E5" s="931" t="s">
        <v>219</v>
      </c>
      <c r="F5" s="847"/>
      <c r="G5" s="847"/>
      <c r="H5" s="851"/>
      <c r="I5" s="931" t="s">
        <v>220</v>
      </c>
      <c r="J5" s="847"/>
      <c r="K5" s="847"/>
      <c r="L5" s="851"/>
      <c r="M5" s="35"/>
      <c r="N5" s="35"/>
      <c r="O5" s="35"/>
      <c r="P5" s="35"/>
      <c r="Q5" s="35"/>
      <c r="R5" s="35"/>
      <c r="S5" s="60"/>
      <c r="T5" s="969" t="s">
        <v>381</v>
      </c>
      <c r="U5" s="847"/>
      <c r="V5" s="848"/>
      <c r="CA5" s="19"/>
      <c r="CB5" s="19"/>
    </row>
    <row r="6" spans="1:82" ht="15" customHeight="1" x14ac:dyDescent="0.25">
      <c r="B6" s="950"/>
      <c r="C6" s="951"/>
      <c r="D6" s="56" t="s">
        <v>152</v>
      </c>
      <c r="E6" s="933" t="s">
        <v>113</v>
      </c>
      <c r="F6" s="859"/>
      <c r="G6" s="910" t="s">
        <v>114</v>
      </c>
      <c r="H6" s="911"/>
      <c r="I6" s="933" t="s">
        <v>6</v>
      </c>
      <c r="J6" s="859"/>
      <c r="K6" s="910" t="s">
        <v>7</v>
      </c>
      <c r="L6" s="911"/>
      <c r="M6" s="740" t="s">
        <v>226</v>
      </c>
      <c r="N6" s="740" t="s">
        <v>72</v>
      </c>
      <c r="O6" s="740" t="s">
        <v>73</v>
      </c>
      <c r="P6" s="740" t="s">
        <v>227</v>
      </c>
      <c r="Q6" s="740" t="s">
        <v>74</v>
      </c>
      <c r="R6" s="740" t="s">
        <v>228</v>
      </c>
      <c r="S6" s="740" t="s">
        <v>229</v>
      </c>
      <c r="T6" s="56" t="s">
        <v>8</v>
      </c>
      <c r="U6" s="740" t="s">
        <v>9</v>
      </c>
      <c r="V6" s="61" t="s">
        <v>230</v>
      </c>
      <c r="CA6" s="19"/>
      <c r="CB6" s="19"/>
    </row>
    <row r="7" spans="1:82" x14ac:dyDescent="0.25">
      <c r="B7" s="952" t="s">
        <v>234</v>
      </c>
      <c r="C7" s="953"/>
      <c r="D7" s="70">
        <v>0</v>
      </c>
      <c r="E7" s="70"/>
      <c r="F7" s="62"/>
      <c r="G7" s="71"/>
      <c r="H7" s="62"/>
      <c r="I7" s="70">
        <f>'SHL Section'!$I$7</f>
        <v>0</v>
      </c>
      <c r="J7" s="62" t="str">
        <f>IF('SHL Section'!$J$7=1,"FNL","FSL")</f>
        <v>FSL</v>
      </c>
      <c r="K7" s="71">
        <f>'SHL Section'!$K$7</f>
        <v>0</v>
      </c>
      <c r="L7" s="74" t="str">
        <f>IF('SHL Section'!$L$7=1,"FEL","FWL")</f>
        <v>FWL</v>
      </c>
      <c r="M7" s="97" t="str">
        <f>'SHL Section'!$M$7</f>
        <v/>
      </c>
      <c r="N7" s="97">
        <f>'SHL Section'!$N$7</f>
        <v>0</v>
      </c>
      <c r="O7" s="62">
        <f>'SHL Section'!$O$7</f>
        <v>0</v>
      </c>
      <c r="P7" s="62" t="str">
        <f>IF('SHL Section'!$P$7=1,"N","S")</f>
        <v>S</v>
      </c>
      <c r="Q7" s="62">
        <f>'SHL Section'!$Q$7</f>
        <v>0</v>
      </c>
      <c r="R7" s="62" t="str">
        <f>IF('SHL Section'!$R$7=1,"E","W")</f>
        <v>W</v>
      </c>
      <c r="S7" s="62" t="str">
        <f>IF('SHL Section'!$S$7=1,"Salt Lake","Uintah")</f>
        <v>Uintah</v>
      </c>
      <c r="T7" s="100" t="str">
        <f>'SHL Section'!$T$7</f>
        <v/>
      </c>
      <c r="U7" s="101" t="str">
        <f>'SHL Section'!$U$7</f>
        <v/>
      </c>
      <c r="V7" s="102">
        <f>'SHL Section'!$V$7</f>
        <v>12</v>
      </c>
      <c r="AE7" s="5"/>
      <c r="CA7" s="19"/>
      <c r="CB7" s="19"/>
    </row>
    <row r="8" spans="1:82" ht="15" customHeight="1" x14ac:dyDescent="0.25">
      <c r="B8" s="946" t="str">
        <f>'SHL Section'!B8</f>
        <v>Prod. Interval Top</v>
      </c>
      <c r="C8" s="947"/>
      <c r="D8" s="72">
        <f>'SHL Section'!$D$8</f>
        <v>0</v>
      </c>
      <c r="E8" s="72">
        <f>ABS('SHL Section'!$AJ$8)</f>
        <v>0</v>
      </c>
      <c r="F8" s="63" t="str">
        <f>IF('SHL Section'!$AK$8=1,"N","S")</f>
        <v>S</v>
      </c>
      <c r="G8" s="64">
        <f>ABS('SHL Section'!$AL$8)</f>
        <v>0</v>
      </c>
      <c r="H8" s="63" t="str">
        <f>IF('SHL Section'!$AM$8=1,"E","W")</f>
        <v>W</v>
      </c>
      <c r="I8" s="72" t="str">
        <f>IF(ISNUMBER($AF$66),$AF$66,IF(ISNUMBER($AH$66),$AH$66,IF(ISNUMBER($AJ$66),$AJ$66,IF(ISNUMBER($AL$66),$AL$66,""))))</f>
        <v/>
      </c>
      <c r="J8" s="63" t="str">
        <f>IF(ISNUMBER($AF$66),$AF$61,IF(ISNUMBER($AH$66),$AH$61,IF(ISNUMBER($AJ$66),$AJ$61,IF(ISNUMBER($AL$66),$AL$61,""))))</f>
        <v/>
      </c>
      <c r="K8" s="64" t="str">
        <f>IF(ISNUMBER($AG$66),$AG$66,IF(ISNUMBER($AI$66),$AI$66,IF(ISNUMBER($AK$66),$AK$66,IF(ISNUMBER($AM$66),$AM$66,""))))</f>
        <v/>
      </c>
      <c r="L8" s="75" t="str">
        <f>IF(ISNUMBER($AG$66),$AG$61,IF(ISNUMBER($AI$66),$AI$61,IF(ISNUMBER($AK$66),$AK$61,IF(ISNUMBER($AM$66),$AM$61,""))))</f>
        <v/>
      </c>
      <c r="M8" s="63" t="str">
        <f>IF(OR(ISNUMBER($AF$58),ISNUMBER($AH$58),ISNUMBER($AJ$58),ISNUMBER($AL$58)),VLOOKUP(MAX($AF$58:$AM$58),$AW$56:$BA$59,1+IF(ISNUMBER($AF$58),$AF$46,IF(ISNUMBER($AH$58),$AH$46,IF(ISNUMBER($AJ$58),$AJ$46,IF(ISNUMBER($AL$58),$AL$46,"")))),FALSE),"")</f>
        <v/>
      </c>
      <c r="N8" s="63" t="e">
        <f>'SHL Section'!$N$8</f>
        <v>#VALUE!</v>
      </c>
      <c r="O8" s="63">
        <f>'SHL Section'!$O$8</f>
        <v>0</v>
      </c>
      <c r="P8" s="63" t="str">
        <f>'SHL Section'!$P$8</f>
        <v>S</v>
      </c>
      <c r="Q8" s="63">
        <f>'SHL Section'!$Q$8</f>
        <v>0</v>
      </c>
      <c r="R8" s="63" t="str">
        <f>'SHL Section'!$R$8</f>
        <v>W</v>
      </c>
      <c r="S8" s="63" t="str">
        <f>IF('SHL Section'!$S$8=1,"Salt Lake","Uintah")</f>
        <v>Uintah</v>
      </c>
      <c r="T8" s="77" t="e">
        <f>IF($H8=1,$T$7+$G8/3.28084,$T$7-$G8/3.28084)</f>
        <v>#VALUE!</v>
      </c>
      <c r="U8" s="64" t="e">
        <f>IF($F8=1,$U$7+$E8/3.28084,$U$7-$E8/3.28084)</f>
        <v>#VALUE!</v>
      </c>
      <c r="V8" s="65">
        <f>$V$7</f>
        <v>12</v>
      </c>
      <c r="Z8" s="962" t="e">
        <f>CONCATENATE("Is the ",IF($AB$11=1,"NE",IF($AB$11=2,"NW",IF($AB$11=3,"SW","SE")))," of Section ",'BHL Section 2'!$L$38," same as the ",IF($AB$10=1,"NE",IF($AB$10=2,"NW",IF($AB$10=3,"SW","SE")))," of Section ",$L$38,"?")</f>
        <v>#VALUE!</v>
      </c>
      <c r="AA8" s="963"/>
      <c r="AB8" s="964"/>
      <c r="CA8" s="19"/>
      <c r="CB8" s="19"/>
    </row>
    <row r="9" spans="1:82" x14ac:dyDescent="0.25">
      <c r="B9" s="946" t="str">
        <f>'SHL Section'!B9</f>
        <v>Prod. Interval Bot.</v>
      </c>
      <c r="C9" s="947"/>
      <c r="D9" s="72">
        <f>'SHL Section'!$D$9</f>
        <v>0</v>
      </c>
      <c r="E9" s="72">
        <f>ABS('SHL Section'!$AJ$9)</f>
        <v>0</v>
      </c>
      <c r="F9" s="63" t="str">
        <f>IF('SHL Section'!$AK$9=1,"N","S")</f>
        <v>S</v>
      </c>
      <c r="G9" s="64">
        <f>ABS('SHL Section'!$AL$9)</f>
        <v>0</v>
      </c>
      <c r="H9" s="63" t="str">
        <f>IF('SHL Section'!$AM$9=1,"E","W")</f>
        <v>W</v>
      </c>
      <c r="I9" s="72" t="str">
        <f>IF(ISNUMBER($AF$77),$AF$77,IF(ISNUMBER($AH$77),$AH$77,IF(ISNUMBER($AJ$77),$AJ$77,IF(ISNUMBER($AL$77),$AL$77,""))))</f>
        <v/>
      </c>
      <c r="J9" s="63" t="str">
        <f>IF(ISNUMBER($AF$77),$AF$72,IF(ISNUMBER($AH$77),$AH$72,IF(ISNUMBER($AJ$77),$AJ$72,IF(ISNUMBER($AL$77),$AL$72,""))))</f>
        <v/>
      </c>
      <c r="K9" s="64" t="str">
        <f>IF(ISNUMBER($AG$77),$AG$77,IF(ISNUMBER($AI$77),$AI$77,IF(ISNUMBER($AK$77),$AK$77,IF(ISNUMBER($AM$77),$AM$77,""))))</f>
        <v/>
      </c>
      <c r="L9" s="75" t="str">
        <f>IF(ISNUMBER($AG$77),$AG$72,IF(ISNUMBER($AI$77),$AI$72,IF(ISNUMBER($AK$77),$AK$72,IF(ISNUMBER($AM$77),$AM$72,""))))</f>
        <v/>
      </c>
      <c r="M9" s="63" t="str">
        <f>IF(OR(ISNUMBER($AF$69),ISNUMBER($AH$69),ISNUMBER($AJ$69),ISNUMBER($AL$69)),VLOOKUP(MAX($AF$69:$AM$69),$AW$56:$BA$59,1+IF(ISNUMBER($AF$69),$AF$46,IF(ISNUMBER($AH$69),$AH$46,IF(ISNUMBER($AJ$69),$AJ$46,IF(ISNUMBER($AL$69),$AL$46,"")))),FALSE),"")</f>
        <v/>
      </c>
      <c r="N9" s="63" t="e">
        <f>'SHL Section'!$N$9</f>
        <v>#VALUE!</v>
      </c>
      <c r="O9" s="63">
        <f>'SHL Section'!$O$9</f>
        <v>0</v>
      </c>
      <c r="P9" s="63" t="str">
        <f>'SHL Section'!$P$9</f>
        <v>S</v>
      </c>
      <c r="Q9" s="63">
        <f>'SHL Section'!$Q$9</f>
        <v>0</v>
      </c>
      <c r="R9" s="63" t="str">
        <f>'SHL Section'!$R$9</f>
        <v>W</v>
      </c>
      <c r="S9" s="63" t="str">
        <f>IF('SHL Section'!$S$9=1,"Salt Lake","Uintah")</f>
        <v>Uintah</v>
      </c>
      <c r="T9" s="77" t="e">
        <f>IF($H9=1,$T$7+$G9/3.28084,$T$7-$G9/3.28084)</f>
        <v>#VALUE!</v>
      </c>
      <c r="U9" s="64" t="e">
        <f>IF($F9=1,$U$7+$E9/3.28084,$U$7-$E9/3.28084)</f>
        <v>#VALUE!</v>
      </c>
      <c r="V9" s="65">
        <f>$V$7</f>
        <v>12</v>
      </c>
      <c r="Z9" s="965"/>
      <c r="AA9" s="891"/>
      <c r="AB9" s="951"/>
      <c r="CA9" s="19"/>
      <c r="CB9" s="19"/>
    </row>
    <row r="10" spans="1:82" ht="15.75" customHeight="1" thickBot="1" x14ac:dyDescent="0.3">
      <c r="B10" s="940" t="s">
        <v>241</v>
      </c>
      <c r="C10" s="941"/>
      <c r="D10" s="73">
        <f>'SHL Section'!$D$10</f>
        <v>0</v>
      </c>
      <c r="E10" s="73">
        <f>ABS('SHL Section'!$AJ$10)</f>
        <v>0</v>
      </c>
      <c r="F10" s="66" t="str">
        <f>IF('SHL Section'!$AK$10=1,"N","S")</f>
        <v>S</v>
      </c>
      <c r="G10" s="67">
        <f>ABS('SHL Section'!$AL$10)</f>
        <v>0</v>
      </c>
      <c r="H10" s="66" t="str">
        <f>IF('SHL Section'!$AM$10=1,"E","W")</f>
        <v>W</v>
      </c>
      <c r="I10" s="73" t="str">
        <f>IF(ISNUMBER($AF$88),$AF$88,IF(ISNUMBER($AH$88),$AH$88,IF(ISNUMBER($AJ$88),$AJ$88,IF(ISNUMBER($AL$88),$AL$88,""))))</f>
        <v/>
      </c>
      <c r="J10" s="66" t="str">
        <f>IF(ISNUMBER($AF$88),$AF$83,IF(ISNUMBER($AH$88),$AH$83,IF(ISNUMBER($AJ$88),$AJ$83,IF(ISNUMBER($AL$88),$AL$83,""))))</f>
        <v/>
      </c>
      <c r="K10" s="67" t="str">
        <f>IF(ISNUMBER($AG$88),$AG$88,IF(ISNUMBER($AI$88),$AI$88,IF(ISNUMBER($AK$88),$AK$88,IF(ISNUMBER($AM$88),$AM$88,""))))</f>
        <v/>
      </c>
      <c r="L10" s="76" t="str">
        <f>IF(ISNUMBER($AG$88),$AG$83,IF(ISNUMBER($AI$88),$AI$83,IF(ISNUMBER($AK$88),$AK$83,IF(ISNUMBER($AM$88),$AM$83,""))))</f>
        <v/>
      </c>
      <c r="M10" s="66" t="str">
        <f>IF(OR(ISNUMBER($AF$80),ISNUMBER($AH$80),ISNUMBER($AJ$80),ISNUMBER($AL$80)),VLOOKUP(MAX($AF$80:$AM$80),$AW$56:$BA$59,1+IF(ISNUMBER($AF$80),$AF$46,IF(ISNUMBER($AH$80),$AH$46,IF(ISNUMBER($AJ$80),$AJ$46,IF(ISNUMBER($AL$80),$AL$46,"")))),FALSE),"")</f>
        <v/>
      </c>
      <c r="N10" s="66" t="e">
        <f>'SHL Section'!$N$10</f>
        <v>#VALUE!</v>
      </c>
      <c r="O10" s="66">
        <f>'SHL Section'!$O$10</f>
        <v>0</v>
      </c>
      <c r="P10" s="66" t="str">
        <f>'SHL Section'!$P$10</f>
        <v>S</v>
      </c>
      <c r="Q10" s="66">
        <f>'SHL Section'!$Q$10</f>
        <v>0</v>
      </c>
      <c r="R10" s="66" t="str">
        <f>'SHL Section'!$R$10</f>
        <v>W</v>
      </c>
      <c r="S10" s="66" t="str">
        <f>IF('SHL Section'!$S$10=1,"Salt Lake","Uintah")</f>
        <v>Uintah</v>
      </c>
      <c r="T10" s="78" t="e">
        <f>IF($H10=1,$T$7+$G10/3.28084,$T$7-$G10/3.28084)</f>
        <v>#VALUE!</v>
      </c>
      <c r="U10" s="67" t="e">
        <f>IF($F10=1,$U$7+$E10/3.28084,$U$7-$E10/3.28084)</f>
        <v>#VALUE!</v>
      </c>
      <c r="V10" s="68">
        <f>$V$7</f>
        <v>12</v>
      </c>
      <c r="Z10" s="582"/>
      <c r="AA10" s="583">
        <v>1</v>
      </c>
      <c r="AB10" s="36">
        <f>IF(AND(ISNUMBER($AF$20),ISNUMBER($AG$20)),1,IF(AND(ISNUMBER($AH$21),ISNUMBER($AI$21)),2,IF(AND(ISNUMBER($AJ$22),ISNUMBER($AK$22)),3,4)))</f>
        <v>4</v>
      </c>
      <c r="AE10" s="820"/>
      <c r="CA10" s="19"/>
      <c r="CB10" s="19"/>
    </row>
    <row r="11" spans="1:82" x14ac:dyDescent="0.25">
      <c r="G11" s="51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Z11" s="589"/>
      <c r="AA11" s="25" t="str">
        <f>IF($AA$10=2,"dist.","")</f>
        <v/>
      </c>
      <c r="AB11" s="36" t="str">
        <f>IF(AND($AB$10=1,MAX('BHL Section 2'!$BG$45:$BG$48)=6),4,IF(AND($AB$10=1,MAX('BHL Section 2'!$BG$45:$BG$48)=7),3,IF(AND($AB$10=1,MAX('BHL Section 2'!$BG$45:$BG$48)=8),2,IF(AND($AB$10=2,MAX('BHL Section 2'!$BG$45:$BG$48)=6),3,IF(AND($AB$10=2,MAX('BHL Section 2'!$BG$45:$BG$48)=5),4,IF(AND($AB$10=2,MAX('BHL Section 2'!$BG$45:$BG$48)=4),1,IF(AND($AB$10=3,MAX('BHL Section 2'!$BG$45:$BG$48)=4),4,IF(AND($AB$10=3,MAX('BHL Section 2'!$BG$45:$BG$48)=3),3,IF(AND($AB$10=3,MAX('BHL Section 2'!$BG$45:$BG$48)=2),2,IF(AND($AB$10=4,MAX('BHL Section 2'!$BG$45:$BG$48)=2),1,IF(AND($AB$10=4,MAX('BHL Section 2'!$BG$45:$BG$48)=9),2,IF(AND($AB$10=4,MAX('BHL Section 2'!$BG$45:$BG$48)=4),3,"??"))))))))))))</f>
        <v>??</v>
      </c>
      <c r="AE11" s="38"/>
      <c r="CA11" s="19"/>
      <c r="CB11" s="19"/>
      <c r="CC11" s="19"/>
      <c r="CD11" s="19"/>
    </row>
    <row r="12" spans="1:82" x14ac:dyDescent="0.25">
      <c r="L12" s="54"/>
      <c r="M12" s="54"/>
      <c r="N12" s="54"/>
      <c r="O12" s="54"/>
      <c r="P12" s="54"/>
      <c r="Q12" s="54"/>
      <c r="R12" s="54"/>
      <c r="S12" s="54"/>
      <c r="T12" s="54"/>
      <c r="U12" s="54"/>
      <c r="Z12" s="584"/>
      <c r="AA12" s="25" t="str">
        <f>IF($AA$10=2,"deg.","")</f>
        <v/>
      </c>
      <c r="AB12" s="174"/>
      <c r="AC12" s="54"/>
      <c r="AD12" s="54"/>
      <c r="AE12" s="38"/>
      <c r="AN12" s="54"/>
      <c r="CA12" s="19"/>
      <c r="CB12" s="19"/>
    </row>
    <row r="13" spans="1:82" x14ac:dyDescent="0.25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84"/>
      <c r="AA13" s="25" t="str">
        <f>IF($AA$10=2,"min.","")</f>
        <v/>
      </c>
      <c r="AB13" s="236" t="s">
        <v>382</v>
      </c>
      <c r="AC13" s="54"/>
      <c r="AD13" s="54"/>
      <c r="AN13" s="54"/>
      <c r="CA13" s="19"/>
      <c r="CB13" s="19"/>
    </row>
    <row r="14" spans="1:82" s="1" customFormat="1" x14ac:dyDescent="0.25">
      <c r="B14" s="69" t="s">
        <v>302</v>
      </c>
      <c r="C14" s="55"/>
      <c r="D14" s="55"/>
      <c r="E14" s="55"/>
      <c r="F14" s="55"/>
      <c r="G14" s="55"/>
      <c r="H14" s="55"/>
      <c r="I14" s="55"/>
      <c r="J14" s="55"/>
      <c r="K14" s="55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84"/>
      <c r="AA14" s="25" t="str">
        <f>IF($AA$10=2,"sec.","")</f>
        <v/>
      </c>
      <c r="AB14" s="619">
        <f>IF($AA$10=2,IF(OR($Z$15=2,$Z$15=4),ROUND($Z$11*COS(RADIANS($Z$16)),4),-ROUND($Z$11*COS(RADIANS($Z$16)),4)),0)</f>
        <v>0</v>
      </c>
      <c r="AC14" s="5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</row>
    <row r="15" spans="1:82" s="1" customFormat="1" x14ac:dyDescent="0.25">
      <c r="B15" s="92" t="s">
        <v>303</v>
      </c>
      <c r="C15" s="93"/>
      <c r="D15" s="93"/>
      <c r="E15" s="93"/>
      <c r="F15" s="93"/>
      <c r="G15" s="93"/>
      <c r="H15" s="93"/>
      <c r="I15" s="93"/>
      <c r="J15" s="93"/>
      <c r="K15" s="93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84">
        <v>4</v>
      </c>
      <c r="AA15" s="25" t="str">
        <f>IF($AA$10=2,"dir.","")</f>
        <v/>
      </c>
      <c r="AB15" s="587" t="s">
        <v>383</v>
      </c>
      <c r="AC15" s="5"/>
      <c r="AD15" s="18"/>
      <c r="AE15" s="19"/>
      <c r="AF15" s="19"/>
      <c r="AG15" s="19"/>
      <c r="AH15" s="19"/>
      <c r="AI15" s="19"/>
      <c r="AJ15" s="19"/>
      <c r="AK15" s="19"/>
      <c r="AL15" s="19"/>
      <c r="AM15" s="19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</row>
    <row r="16" spans="1:8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54"/>
      <c r="M16" s="54"/>
      <c r="Z16" s="585" t="str">
        <f>IF(Z12="","",(Z12+Z13/60+Z14/3600))</f>
        <v/>
      </c>
      <c r="AA16" s="586" t="str">
        <f>IF($AA$10=2,"dec. deg.","")</f>
        <v/>
      </c>
      <c r="AB16" s="620">
        <f>IF($AA$10=2,IF(OR($Z$15=1,$Z$15=2),ROUND($Z$11*SIN(RADIANS($Z$16)),4),-ROUND($Z$11*SIN(RADIANS($Z$16)),4)),0)</f>
        <v>0</v>
      </c>
      <c r="AC16" s="5"/>
      <c r="AD16" s="18"/>
      <c r="AN16" s="5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"/>
    </row>
    <row r="17" spans="1:83" ht="12" customHeight="1" x14ac:dyDescent="0.25">
      <c r="B17" s="43"/>
      <c r="E17" s="44" t="e">
        <f>IF(AND($AA$10=1,$L$38='SHL Section'!$BF$52,MAX('BHL Section 2'!$BG$37:$BG$40)=6),'BHL Section 2'!$E$62,IF(AND($AA$10=1,$L$38='SHL Section'!$BF$55,MAX('BHL Section 2'!$BG$41:$BG$44)=6),'BHL Section 2'!$E$62,IF(AND($AA$10=1,$L$38='SHL Section'!$BF$58,MAX('BHL Section 2'!$BG$45:$BG$48)=6),'BHL Section 2'!$E$62,'BHL Section 3'!E18)))</f>
        <v>#VALUE!</v>
      </c>
      <c r="F17" s="156"/>
      <c r="G17" s="156"/>
      <c r="H17" s="156"/>
      <c r="I17" s="156"/>
      <c r="J17" s="156"/>
      <c r="K17" s="44" t="e">
        <f>IF(AND($AA$10=1,$L$38='SHL Section'!$BF$52,MAX('BHL Section 2'!$BG$37:$BG$40)=6),'BHL Section 2'!$K$62,IF(AND($AA$10=1,$L$38='SHL Section'!$BF$55,MAX('BHL Section 2'!$BG$41:$BG$44)=6),'BHL Section 2'!$K$62,IF(AND($AA$10=1,$L$38='SHL Section'!$BF$58,MAX('BHL Section 2'!$BG$45:$BG$48)=6),'BHL Section 2'!$K$62,'BHL Section 3'!K18)))</f>
        <v>#VALUE!</v>
      </c>
      <c r="L17" s="156"/>
      <c r="M17" s="156"/>
      <c r="N17" s="156"/>
      <c r="O17" s="44" t="e">
        <f>IF(AND($AA$10=1,$L$38='SHL Section'!$BF$52,MAX('BHL Section 2'!$BG$37:$BG$40)=6),'BHL Section 2'!$O$62,IF(AND($AA$10=1,$L$38='SHL Section'!$BF$55,MAX('BHL Section 2'!$BG$41:$BG$44)=6),'BHL Section 2'!$O$62,IF(AND($AA$10=1,$L$38='SHL Section'!$BF$58,MAX('BHL Section 2'!$BG$45:$BG$48)=6),'BHL Section 2'!$O$62,'BHL Section 3'!O18)))</f>
        <v>#VALUE!</v>
      </c>
      <c r="P17" s="156"/>
      <c r="Q17" s="156"/>
      <c r="R17" s="156"/>
      <c r="S17" s="156"/>
      <c r="T17" s="156"/>
      <c r="U17" s="44" t="e">
        <f>IF(AND($AA$10=1,$L$38='SHL Section'!$BF$52,MAX('BHL Section 2'!$BG$37:$BG$40)=6),'BHL Section 2'!$U$62,IF(AND($AA$10=1,$L$38='SHL Section'!$BF$55,MAX('BHL Section 2'!$BG$41:$BG$44)=6),'BHL Section 2'!$U$62,IF(AND($AA$10=1,$L$38='SHL Section'!$BF$58,MAX('BHL Section 2'!$BG$45:$BG$48)=6),'BHL Section 2'!$U$62,'BHL Section 3'!U18)))</f>
        <v>#VALUE!</v>
      </c>
      <c r="AA17" s="5"/>
      <c r="AB17" s="5"/>
      <c r="AC17" s="5"/>
      <c r="AD17" s="943" t="s">
        <v>304</v>
      </c>
      <c r="AE17" s="832"/>
      <c r="AF17" s="832"/>
      <c r="AG17" s="832"/>
      <c r="AH17" s="832"/>
      <c r="AI17" s="832"/>
      <c r="AJ17" s="832"/>
      <c r="AK17" s="832"/>
      <c r="AL17" s="832"/>
      <c r="AM17" s="832"/>
      <c r="AN17" s="832"/>
      <c r="AO17" s="832"/>
      <c r="AP17" s="832"/>
      <c r="AQ17" s="832"/>
      <c r="AR17" s="832"/>
      <c r="AS17" s="832"/>
      <c r="AT17" s="832"/>
      <c r="AU17" s="832"/>
      <c r="AV17" s="38" t="s">
        <v>305</v>
      </c>
      <c r="AW17" s="939" t="s">
        <v>306</v>
      </c>
      <c r="AX17" s="882"/>
      <c r="AY17" s="939" t="s">
        <v>307</v>
      </c>
      <c r="AZ17" s="882"/>
      <c r="BA17" s="939" t="s">
        <v>308</v>
      </c>
      <c r="BB17" s="882"/>
      <c r="BC17" s="939" t="s">
        <v>309</v>
      </c>
      <c r="BD17" s="882"/>
      <c r="BE17" s="939" t="s">
        <v>310</v>
      </c>
      <c r="BF17" s="882"/>
      <c r="BG17" s="939" t="s">
        <v>311</v>
      </c>
      <c r="BH17" s="882"/>
      <c r="BI17" s="939" t="s">
        <v>312</v>
      </c>
      <c r="BJ17" s="882"/>
      <c r="BK17" s="939" t="s">
        <v>313</v>
      </c>
      <c r="BL17" s="882"/>
      <c r="BM17" s="939" t="s">
        <v>314</v>
      </c>
      <c r="BN17" s="882"/>
      <c r="BO17" s="939" t="s">
        <v>315</v>
      </c>
      <c r="BP17" s="882"/>
      <c r="BQ17" s="939" t="s">
        <v>316</v>
      </c>
      <c r="BR17" s="882"/>
      <c r="BS17" s="939" t="s">
        <v>317</v>
      </c>
      <c r="BT17" s="882"/>
      <c r="BU17" s="939" t="s">
        <v>318</v>
      </c>
      <c r="BV17" s="882"/>
      <c r="BW17" s="939" t="s">
        <v>319</v>
      </c>
      <c r="BX17" s="882"/>
      <c r="BY17" s="939" t="s">
        <v>320</v>
      </c>
      <c r="BZ17" s="882"/>
      <c r="CA17" s="939" t="s">
        <v>321</v>
      </c>
      <c r="CB17" s="882"/>
    </row>
    <row r="18" spans="1:83" ht="12" customHeight="1" x14ac:dyDescent="0.25">
      <c r="B18" s="26"/>
      <c r="C18" s="33"/>
      <c r="D18" s="17" t="s">
        <v>118</v>
      </c>
      <c r="E18" s="162"/>
      <c r="F18" s="157"/>
      <c r="G18" s="157"/>
      <c r="H18" s="157"/>
      <c r="I18" s="157"/>
      <c r="J18" s="17" t="s">
        <v>118</v>
      </c>
      <c r="K18" s="217"/>
      <c r="L18" s="19"/>
      <c r="M18" s="19"/>
      <c r="N18" s="17" t="s">
        <v>118</v>
      </c>
      <c r="O18" s="162"/>
      <c r="P18" s="19"/>
      <c r="Q18" s="19"/>
      <c r="R18" s="19"/>
      <c r="S18" s="19"/>
      <c r="T18" s="17" t="s">
        <v>118</v>
      </c>
      <c r="U18" s="162"/>
      <c r="AA18" s="5"/>
      <c r="AB18" s="5"/>
      <c r="AC18" s="5"/>
      <c r="AD18" s="39"/>
      <c r="AE18" s="18"/>
      <c r="AF18" s="939" t="s">
        <v>322</v>
      </c>
      <c r="AG18" s="882"/>
      <c r="AH18" s="939" t="s">
        <v>323</v>
      </c>
      <c r="AI18" s="882"/>
      <c r="AJ18" s="939" t="s">
        <v>324</v>
      </c>
      <c r="AK18" s="882"/>
      <c r="AL18" s="939" t="s">
        <v>325</v>
      </c>
      <c r="AM18" s="882"/>
      <c r="AN18" s="939" t="s">
        <v>326</v>
      </c>
      <c r="AO18" s="882"/>
      <c r="AP18" s="939" t="s">
        <v>327</v>
      </c>
      <c r="AQ18" s="882"/>
      <c r="AR18" s="939" t="s">
        <v>328</v>
      </c>
      <c r="AS18" s="882"/>
      <c r="AT18" s="939" t="s">
        <v>329</v>
      </c>
      <c r="AU18" s="882"/>
      <c r="AV18" s="38" t="s">
        <v>330</v>
      </c>
      <c r="AW18" s="760" t="s">
        <v>113</v>
      </c>
      <c r="AX18" s="761" t="s">
        <v>114</v>
      </c>
      <c r="AY18" s="760" t="s">
        <v>113</v>
      </c>
      <c r="AZ18" s="761" t="s">
        <v>114</v>
      </c>
      <c r="BA18" s="760" t="s">
        <v>113</v>
      </c>
      <c r="BB18" s="761" t="s">
        <v>114</v>
      </c>
      <c r="BC18" s="760" t="s">
        <v>113</v>
      </c>
      <c r="BD18" s="761" t="s">
        <v>114</v>
      </c>
      <c r="BE18" s="760" t="s">
        <v>113</v>
      </c>
      <c r="BF18" s="761" t="s">
        <v>114</v>
      </c>
      <c r="BG18" s="760" t="s">
        <v>113</v>
      </c>
      <c r="BH18" s="761" t="s">
        <v>114</v>
      </c>
      <c r="BI18" s="760" t="s">
        <v>113</v>
      </c>
      <c r="BJ18" s="761" t="s">
        <v>114</v>
      </c>
      <c r="BK18" s="760" t="s">
        <v>113</v>
      </c>
      <c r="BL18" s="761" t="s">
        <v>114</v>
      </c>
      <c r="BM18" s="760" t="s">
        <v>113</v>
      </c>
      <c r="BN18" s="761" t="s">
        <v>114</v>
      </c>
      <c r="BO18" s="760" t="s">
        <v>113</v>
      </c>
      <c r="BP18" s="761" t="s">
        <v>114</v>
      </c>
      <c r="BQ18" s="760" t="s">
        <v>113</v>
      </c>
      <c r="BR18" s="761" t="s">
        <v>114</v>
      </c>
      <c r="BS18" s="760" t="s">
        <v>113</v>
      </c>
      <c r="BT18" s="761" t="s">
        <v>114</v>
      </c>
      <c r="BU18" s="760" t="s">
        <v>113</v>
      </c>
      <c r="BV18" s="761" t="s">
        <v>114</v>
      </c>
      <c r="BW18" s="760" t="s">
        <v>113</v>
      </c>
      <c r="BX18" s="761" t="s">
        <v>114</v>
      </c>
      <c r="BY18" s="760" t="s">
        <v>113</v>
      </c>
      <c r="BZ18" s="761" t="s">
        <v>114</v>
      </c>
      <c r="CA18" s="760" t="s">
        <v>113</v>
      </c>
      <c r="CB18" s="761" t="s">
        <v>114</v>
      </c>
    </row>
    <row r="19" spans="1:83" ht="12" customHeight="1" x14ac:dyDescent="0.25">
      <c r="B19" s="26"/>
      <c r="C19" s="33"/>
      <c r="D19" s="17" t="s">
        <v>124</v>
      </c>
      <c r="E19" s="147"/>
      <c r="F19" s="33"/>
      <c r="G19" s="33"/>
      <c r="H19" s="33"/>
      <c r="I19" s="33"/>
      <c r="J19" s="17" t="s">
        <v>124</v>
      </c>
      <c r="K19" s="148"/>
      <c r="N19" s="17" t="s">
        <v>124</v>
      </c>
      <c r="O19" s="147"/>
      <c r="T19" s="17" t="s">
        <v>124</v>
      </c>
      <c r="U19" s="147"/>
      <c r="AA19" s="5"/>
      <c r="AB19" s="5"/>
      <c r="AC19" s="5"/>
      <c r="AD19" s="756" t="s">
        <v>331</v>
      </c>
      <c r="AE19" s="757"/>
      <c r="AF19" s="30" t="s">
        <v>113</v>
      </c>
      <c r="AG19" s="30" t="s">
        <v>114</v>
      </c>
      <c r="AH19" s="30" t="s">
        <v>113</v>
      </c>
      <c r="AI19" s="30" t="s">
        <v>114</v>
      </c>
      <c r="AJ19" s="30" t="s">
        <v>113</v>
      </c>
      <c r="AK19" s="30" t="s">
        <v>114</v>
      </c>
      <c r="AL19" s="30" t="s">
        <v>113</v>
      </c>
      <c r="AM19" s="30" t="s">
        <v>114</v>
      </c>
      <c r="AN19" s="30" t="s">
        <v>113</v>
      </c>
      <c r="AO19" s="30" t="s">
        <v>114</v>
      </c>
      <c r="AP19" s="30" t="s">
        <v>113</v>
      </c>
      <c r="AQ19" s="30" t="s">
        <v>114</v>
      </c>
      <c r="AR19" s="30" t="s">
        <v>113</v>
      </c>
      <c r="AS19" s="30" t="s">
        <v>114</v>
      </c>
      <c r="AT19" s="30" t="s">
        <v>113</v>
      </c>
      <c r="AU19" s="30" t="s">
        <v>114</v>
      </c>
      <c r="AV19" s="38"/>
      <c r="AW19" s="807" t="e">
        <f>IF(AND($U$17&gt;0,$O$17&gt;0),$U$17*SIN(RADIANS(90-$U$23)),IF(AND($U$17=0,$O$17&gt;0),$O$17/2*SIN(RADIANS(90-$O$23)),IF(AND($U$17&gt;0,$O$17=0),$U$17/2*SIN(RADIANS(90-$U$23)),IF(AND($U$17=0,$O$17=0,$K$17=0),$E$17/4*SIN(RADIANS(90-$E$23)),$K$17/4*SIN(RADIANS(90-$K$23))))))</f>
        <v>#VALUE!</v>
      </c>
      <c r="AX19" s="808" t="e">
        <f>IF(AND($U$17&gt;0,$O$17&gt;0),$U$17*COS(RADIANS(90-$U$23)),IF(AND($U$17=0,$O$17&gt;0),$O$17/2*COS(RADIANS(90-$O$23)),IF(AND($U$17&gt;0,$O$17=0),$U$17/2*COS(RADIANS(90-$U$23)),IF(AND($U$17=0,$O$17=0,$K$17=0),$E$17/4*COS(RADIANS(90-$E$23)),$K$17/4*COS(RADIANS(90-$K$23))))))</f>
        <v>#VALUE!</v>
      </c>
      <c r="AY19" s="807" t="e">
        <f>IF(AND($U$17&gt;0,$O$17&gt;0),$O$17*SIN(RADIANS(90-$O$23)),IF(AND($U$17=0,$O$17&gt;0),$O$17/2*SIN(RADIANS(90-$O$23)),IF(AND($U$17&gt;0,$O$17=0),$U$17/2*SIN(RADIANS(90-$U$23)),IF(AND($U$17=0,$O$17=0,$K$17=0),$E$17/4*SIN(RADIANS(90-$E$23)),$K$17/4*SIN(RADIANS(90-$K$23))))))</f>
        <v>#VALUE!</v>
      </c>
      <c r="AZ19" s="808" t="e">
        <f>IF(AND($U$17&gt;0,$O$17&gt;0),$O$17*COS(RADIANS(90-$O$23)),IF(AND($U$17=0,$O$17&gt;0),$O$17/2*COS(RADIANS(90-$O$23)),IF(AND($U$17&gt;0,$O$17=0),$U$17/2*COS(RADIANS(90-$U$23)),IF(AND($U$17=0,$O$17=0,$K$17=0),$E$17/4*COS(RADIANS(90-$E$23)),$K$17/4*COS(RADIANS(90-$K$23))))))</f>
        <v>#VALUE!</v>
      </c>
      <c r="BA19" s="807" t="e">
        <f>IF(AND($K$17&gt;0,$E$17&gt;0,OR($O$17&gt;0,$U$17&gt;0)),$K$17*SIN(RADIANS(90-$K$23)),IF(AND($K$17=0,$E$17&gt;0,OR($O$17&gt;0,$U$17&gt;0)),$E$17/2*SIN(RADIANS(90-$E$23)),IF(AND($K$17&gt;0,$E$17=0,OR($O$17&gt;0,$U$17&gt;0)),$K$17/2*SIN(RADIANS(90-$K$23)),IF(AND($K$17&gt;0,$O$17=0,$U$17=0),$K$17/4*SIN(RADIANS(90-$K$23)),$E$17/4*SIN(RADIANS(90-$E$23))))))</f>
        <v>#VALUE!</v>
      </c>
      <c r="BB19" s="808" t="e">
        <f>IF(AND($K$17&gt;0,$E$17&gt;0,OR($O$17&gt;0,$U$17&gt;0)),$K$17*COS(RADIANS(90-$K$23)),IF(AND($K$17=0,$E$17&gt;0,OR($O$17&gt;0,$U$17&gt;0)),$E$17/2*COS(RADIANS(90-$E$23)),IF(AND($K$17&gt;0,$E$17=0,OR($O$17&gt;0,$U$17&gt;0)),$K$17/2*COS(RADIANS(90-$K$23)),IF(AND($K$17&gt;0,$O$17=0,$U$17=0),$K$17/4*COS(RADIANS(90-$K$23)),$E$17/4*COS(RADIANS(90-$E$23))))))</f>
        <v>#VALUE!</v>
      </c>
      <c r="BC19" s="807" t="e">
        <f>IF(AND($K$17&gt;0,$E$17&gt;0,OR($O$17&gt;0,$U$17&gt;0)),$E$17*SIN(RADIANS(90-$E$23)),IF(AND($K$17=0,$E$17&gt;0,OR($O$17&gt;0,$U$17&gt;0)),$E$17/2*SIN(RADIANS(90-$E$23)),IF(AND($K$17&gt;0,$E$17=0,OR($O$17&gt;0,$U$17&gt;0)),$K$17/2*SIN(RADIANS(90-$K$23)),IF(AND($K$17&gt;0,$O$17=0,$U$17=0),$K$17/4*SIN(RADIANS(90-$K$23)),$E$17/4*SIN(RADIANS(90-$E$23))))))</f>
        <v>#VALUE!</v>
      </c>
      <c r="BD19" s="809" t="e">
        <f>IF(AND($K$17&gt;0,$E$17&gt;0,OR($O$17&gt;0,$U$17&gt;0)),$E$17*COS(RADIANS(90-$E$23)),IF(AND($K$17=0,$E$17&gt;0,OR($O$17&gt;0,$U$17&gt;0)),$E$17/2*COS(RADIANS(90-$E$23)),IF(AND($K$17&gt;0,$E$17=0,OR($O$17&gt;0,$U$17&gt;0)),$K$17/2*COS(RADIANS(90-$K$23)),IF(AND($K$17&gt;0,$O$17=0,$U$17=0),$K$17/4*COS(RADIANS(90-$K$23)),$E$17/4*COS(RADIANS(90-$E$23))))))</f>
        <v>#VALUE!</v>
      </c>
      <c r="BE19" s="807" t="e">
        <f>IF(AND($B$32&gt;0,$B$24&gt;0,OR($B$41&gt;0,$B$49&gt;0)),$B$24*COS(RADIANS(180-$B$30)),IF(AND($B$32=0,$B$24&gt;0,OR($B$41&gt;0,$B$49&gt;0)),$B$24/2*COS(RADIANS(180-$B$30)),IF(AND($B$32&gt;0,$B$24=0,OR($B$41&gt;0,$B$49&gt;0)),$B$32/2*COS(RADIANS(180-$B$38)),IF(AND($B$32&gt;0,$B$41=0,$B$49=0),$B$32/4*COS(RADIANS(180-$B$38)),$B$24/4*COS(RADIANS(180-$B$30))))))</f>
        <v>#VALUE!</v>
      </c>
      <c r="BF19" s="808" t="e">
        <f>IF(AND($B$32&gt;0,$B$24&gt;0,OR($B$41&gt;0,$B$49&gt;0)),$B$24*-SIN(RADIANS(180-$B$30)),IF(AND($B$32&gt;0,$B$24&gt;0,OR($B$41&gt;0,$B$49&gt;0)),$B$32*-SIN(RADIANS(180-$B$38)),IF(AND($B$32&gt;0,$B$24=0,OR($B$41&gt;0,$B$49&gt;0)),$B$32/2*-SIN(RADIANS(180-$B$38)),IF(AND($B$32&gt;0,$B$41=0,$B$49=0),$B$32/4*-SIN(RADIANS(180-$B$38)),$B$24/4*-SIN(RADIANS(180-$B$30))))))</f>
        <v>#VALUE!</v>
      </c>
      <c r="BG19" s="807" t="e">
        <f>IF(AND($B$32&gt;0,$B$24&gt;0,OR($B$41&gt;0,$B$49&gt;0)),$B$32*COS(RADIANS(180-$B$38)),IF(AND($B$32=0,$B$24&gt;0,OR($B$41&gt;0,$B$49&gt;0)),$B$24/2*COS(RADIANS(180-$B$30)),IF(AND($B$32&gt;0,$B$24=0,OR($B$41&gt;0,$B$49&gt;0)),$B$32/2*COS(RADIANS(180-$B$38)),IF(AND($B$32&gt;0,$B$41=0,$B$49=0),$B$32/4*COS(RADIANS(180-$B$38)),$B$24/4*COS(RADIANS(180-$B$30))))))</f>
        <v>#VALUE!</v>
      </c>
      <c r="BH19" s="808" t="e">
        <f>IF(AND($B$32&gt;0,$B$24&gt;0,OR($B$41&gt;0,$B$49&gt;0)),$B$32*-SIN(RADIANS(180-$B$38)),IF(AND($B$32&gt;0,$B$24&gt;0,OR($B$41&gt;0,$B$49&gt;0)),$B$32*-SIN(RADIANS(180-$B$38)),IF(AND($B$32&gt;0,$B$24=0,OR($B$41&gt;0,$B$49&gt;0)),$B$32/2*-SIN(RADIANS(180-$B$38)),IF(AND($B$32&gt;0,$B$41=0,$B$49=0),$B$32/4*-SIN(RADIANS(180-$B$38)),$B$24/4*-SIN(RADIANS(180-$B$30))))))</f>
        <v>#VALUE!</v>
      </c>
      <c r="BI19" s="807" t="e">
        <f>IF(AND($B$49&gt;0,$B$41&gt;0),$B$41*COS(RADIANS(180-$B$47)),IF(AND($B$49=0,$B$41&gt;0),$B$41/2*COS(RADIANS(180-$B$47)),IF(AND($B$49&gt;0,$B$41=0),$B$49/2*COS(RADIANS(180-$B$55)),IF(AND($B$49=0,$B$41=0,$B$32=0),$B$24/4*COS(RADIANS(180-$B$30)),$B$32/4*COS(RADIANS(180-$B$38))))))</f>
        <v>#VALUE!</v>
      </c>
      <c r="BJ19" s="808" t="e">
        <f>IF(AND($B$49&gt;0,$B$41&gt;0),$B$41*-SIN(RADIANS(180-$B$47)),IF(AND($B$49=0,$B$41&gt;0),$B$41/2*-SIN(RADIANS(180-$B$47)),IF(AND($B$49&gt;0,$B$41=0),$B$49/2*-SIN(RADIANS(180-$B$55)),IF(AND($B$49=0,$B$41=0,$B$32=0),$B$24/4*-SIN(RADIANS(180-$B$30)),$B$32/4*-SIN(RADIANS(180-$B$38))))))</f>
        <v>#VALUE!</v>
      </c>
      <c r="BK19" s="807" t="e">
        <f>IF(AND($B$49&gt;0,$B$41&gt;0),$B$49*COS(RADIANS(180-$B$55)),IF(AND($B$49=0,$B$41&gt;0),$B$41/2*COS(RADIANS(180-$B$47)),IF(AND($B$49&gt;0,$B$41=0),$B$49/2*COS(RADIANS(180-$B$55)),IF(AND($B$49=0,$B$41=0,$B$32=0),$B$24/4*COS(RADIANS(180-$B$30)),$B$32/4*COS(RADIANS(180-$B$38))))))</f>
        <v>#VALUE!</v>
      </c>
      <c r="BL19" s="808" t="e">
        <f>IF(AND($B$49&gt;0,$B$41&gt;0),$B$49*-SIN(RADIANS(180-$B$55)),IF(AND($B$49=0,$B$41&gt;0),$B$41/2*-SIN(RADIANS(180-$B$47)),IF(AND($B$49&gt;0,$B$41=0),$B$49/2*-SIN(RADIANS(180-$B$55)),IF(AND($B$49=0,$B$41=0,$B$32=0),$B$24/4*-SIN(RADIANS(180-$B$30)),$B$32/4*-SIN(RADIANS(180-$B$38))))))</f>
        <v>#VALUE!</v>
      </c>
      <c r="BM19" s="807" t="e">
        <f>IF(AND($K$62&gt;0,$E$62&gt;0,OR($O$62&gt;0,$U$62&gt;0)),$E$62*SIN(RADIANS(90-$E$61)),IF(AND($K$62=0,$E$62&gt;0,OR($O$62&gt;0,$U$62&gt;0)),$E$62/2*SIN(RADIANS(90-$E$61)),IF(AND($K$62&gt;0,$E$62=0,OR($O$62&gt;0,$U$62&gt;0)),$K$62/2*SIN(RADIANS(90-$K$61)),IF(AND($K$62&gt;0,$O$62=0,$U$62=0),$K$62/4*SIN(RADIANS(90-$K$61)),$E$62/4*SIN(RADIANS(90-$E$61))))))</f>
        <v>#VALUE!</v>
      </c>
      <c r="BN19" s="809" t="e">
        <f>IF(AND($K$62&gt;0,$E$62&gt;0,OR($O$62&gt;0,$U$62&gt;0)),$E$62*COS(RADIANS(90-$E$61)),IF(AND($K$62=0,$E$62&gt;0,OR($O$62&gt;0,$U$62&gt;0)),$E$62/2*COS(RADIANS(90-$E$61)),IF(AND($K$62&gt;0,$E$62=0,OR($O$62&gt;0,$U$62&gt;0)),$K$62/2*COS(RADIANS(90-$K$61)),IF(AND($K$62&gt;0,$O$62=0,$U$62=0),$K$62/4*COS(RADIANS(90-$K$61)),$E$62/4*COS(RADIANS(90-$E$61))))))</f>
        <v>#VALUE!</v>
      </c>
      <c r="BO19" s="807" t="e">
        <f>IF(AND($K$62&gt;0,$E$62&gt;0,OR($O$62&gt;0,$U$62&gt;0)),$K$62*SIN(RADIANS(90-$K$61)),IF(AND($K$62=0,$E$62&gt;0,OR($O$62&gt;0,$U$62&gt;0)),$E$62/2*SIN(RADIANS(90-$E$61)),IF(AND($K$62&gt;0,$E$62=0,OR($O$62&gt;0,$U$62&gt;0)),$K$62/2*SIN(RADIANS(90-$K$61)),IF(AND($K$62&gt;0,$O$62=0,$U$62=0),$K$62/4*SIN(RADIANS(90-$K$61)),$E$62/4*SIN(RADIANS(90-$E$61))))))</f>
        <v>#VALUE!</v>
      </c>
      <c r="BP19" s="808" t="e">
        <f>IF(AND($K$62&gt;0,$E$62&gt;0,OR($O$62&gt;0,$U$62&gt;0)),$K$62*COS(RADIANS(90-$K$61)),IF(AND($K$62=0,$E$62&gt;0,OR($O$62&gt;0,$U$62&gt;0)),$E$62/2*COS(RADIANS(90-$E$61)),IF(AND($K$62&gt;0,$E$62=0,OR($O$62&gt;0,$U$62&gt;0)),$K$62/2*COS(RADIANS(90-$K$61)),IF(AND($K$62&gt;0,$O$62=0,$U$62=0),$K$62/4*COS(RADIANS(90-$K$61)),$E$62/4*COS(RADIANS(90-$E$61))))))</f>
        <v>#VALUE!</v>
      </c>
      <c r="BQ19" s="807" t="e">
        <f>IF(AND($U$62&gt;0,$O$62&gt;0),$O$62*SIN(RADIANS(90-$O$61)),IF(AND($U$62=0,$O$62&gt;0),$O$62/2*SIN(RADIANS(90-$O$61)),IF(AND($U$62&gt;0,$O$62=0),$U$62/2*SIN(RADIANS(90-$U$61)),IF(AND($U$62=0,$O$62=0,$K$62=0),$E$62/4*SIN(RADIANS(90-$E$61)),$K$62/4*SIN(RADIANS(90-$K$61))))))</f>
        <v>#VALUE!</v>
      </c>
      <c r="BR19" s="808" t="e">
        <f>IF(AND($U$62&gt;0,$O$62&gt;0),$O$62*COS(RADIANS(90-$O$61)),IF(AND($U$62=0,$O$62&gt;0),$O$62/2*COS(RADIANS(90-$O$61)),IF(AND($U$62&gt;0,$O$62=0),$U$62/2*COS(RADIANS(90-$U$61)),IF(AND($U$62=0,$O$62=0,$K$62=0),$E$62/4*COS(RADIANS(90-$E$61)),$K$62/4*COS(RADIANS(90-$K$61))))))</f>
        <v>#VALUE!</v>
      </c>
      <c r="BS19" s="807" t="e">
        <f>IF(AND($U$62&gt;0,$O$62&gt;0),$U$62*SIN(RADIANS(90-$U$61)),IF(AND($U$62=0,$O$62&gt;0),$O$62/2*SIN(RADIANS(90-$O$61)),IF(AND($U$62&gt;0,$O$62=0),$U$62/2*SIN(RADIANS(90-$U$61)),IF(AND($U$62=0,$O$62=0,$K$62=0),$E$62/4*SIN(RADIANS(90-$E$61)),$K$62/4*SIN(RADIANS(90-$K$61))))))</f>
        <v>#VALUE!</v>
      </c>
      <c r="BT19" s="808" t="e">
        <f>IF(AND($U$62&gt;0,$O$62&gt;0),$U$62*COS(RADIANS(90-$U$61)),IF(AND($U$62=0,$O$62&gt;0),$O$62/2*COS(RADIANS(90-$O$61)),IF(AND($U$62&gt;0,$O$62=0),$U$62/2*COS(RADIANS(90-$U$61)),IF(AND($U$62=0,$O$62=0,$K$62=0),$E$62/4*COS(RADIANS(90-$E$61)),$K$62/4*COS(RADIANS(90-$K$61))))))</f>
        <v>#VALUE!</v>
      </c>
      <c r="BU19" s="807" t="e">
        <f>IF(AND($W$49&gt;0,$W$41&gt;0),$W$49*COS(RADIANS(180-$W$55)),IF(AND($W$49=0,$W$41&gt;0),$W$41/2*COS(RADIANS(180-$W$47)),IF(AND($W$49&gt;0,$W$41=0),$W$49/2*COS(RADIANS(180-$W$55)),IF(AND($W$49=0,$W$41=0,$W$32=0),$W$24/4*COS(RADIANS(180-$W$30)),$W$32/4*COS(RADIANS(180-$W$38))))))</f>
        <v>#VALUE!</v>
      </c>
      <c r="BV19" s="808" t="e">
        <f>IF(AND($W$49&gt;0,$W$41&gt;0),$W$49*-SIN(RADIANS(180-$W$55)),IF(AND($W$49=0,$W$41&gt;0),$W$41/2*-SIN(RADIANS(180-$W$47)),IF(AND($W$49&gt;0,$W$41=0),$W$49/2*-SIN(RADIANS(180-$W$55)),IF(AND($W$49=0,$W$41=0,$W$32=0),$W$24/4*-SIN(RADIANS(180-$W$30)),$W$32/4*-SIN(RADIANS(180-$W$38))))))</f>
        <v>#VALUE!</v>
      </c>
      <c r="BW19" s="807" t="e">
        <f>IF(AND($W$49&gt;0,$W$41&gt;0),$W$41*COS(RADIANS(180-$W$47)),IF(AND($W$49=0,$W$41&gt;0),$W$41/2*COS(RADIANS(180-$W$47)),IF(AND($W$49&gt;0,$W$41=0),$W$49/2*COS(RADIANS(180-$W$55)),IF(AND($W$49=0,$W$41=0,$W$32=0),$W$24/4*COS(RADIANS(180-$W$30)),$W$32/4*COS(RADIANS(180-$W$38))))))</f>
        <v>#VALUE!</v>
      </c>
      <c r="BX19" s="808" t="e">
        <f>IF(AND($W$49&gt;0,$W$41&gt;0),$W$41*-SIN(RADIANS(180-$W$47)),IF(AND($W$49=0,$W$41&gt;0),$W$41/2*-SIN(RADIANS(180-$W$47)),IF(AND($W$49&gt;0,$W$41=0),$W$49/2*-SIN(RADIANS(180-$W$55)),IF(AND($W$49=0,$W$41=0,$W$32=0),$W$24/4*-SIN(RADIANS(180-$W$30)),$W$32/4*-SIN(RADIANS(180-$W$38))))))</f>
        <v>#VALUE!</v>
      </c>
      <c r="BY19" s="807" t="e">
        <f>IF(AND($W$32&gt;0,$W$24&gt;0,OR($W$41&gt;0,$W$49&gt;0)),$W$32*COS(RADIANS(180-$W$38)),IF(AND($W$32=0,$W$24&gt;0,OR($W$41&gt;0,$W$49&gt;0)),$W$24/2*COS(RADIANS(180-$W$30)),IF(AND($W$32&gt;0,$W$24=0,OR($W$41&gt;0,$W$49&gt;0)),$W$32/2*COS(RADIANS(180-$W$38)),IF(AND($W$32&gt;0,$W$41=0,$W$49=0),$W$32/4*COS(RADIANS(180-$W$38)),$W$24/4*COS(RADIANS(180-$W$30))))))</f>
        <v>#VALUE!</v>
      </c>
      <c r="BZ19" s="808" t="e">
        <f>IF(AND($W$32&gt;0,$W$24&gt;0,OR($W$41&gt;0,$W$49&gt;0)),$W$32*-SIN(RADIANS(180-$W$38)),IF(AND($W$32&gt;0,$W$24&gt;0,OR($W$41&gt;0,$W$49&gt;0)),$W$32*-SIN(RADIANS(180-$W$38)),IF(AND($W$32&gt;0,$W$24=0,OR($W$41&gt;0,$W$49&gt;0)),$W$32/2*-SIN(RADIANS(180-$W$38)),IF(AND($W$32&gt;0,$W$41=0,$W$49=0),$W$32/4*-SIN(RADIANS(180-$W$38)),$W$24/4*-SIN(RADIANS(180-$W$30))))))</f>
        <v>#VALUE!</v>
      </c>
      <c r="CA19" s="807" t="e">
        <f>IF(AND($W$32&gt;0,$W$24&gt;0,OR($W$41&gt;0,$W$49&gt;0)),$W$24*COS(RADIANS(180-$W$30)),IF(AND($W$32=0,$W$24&gt;0,OR($W$41&gt;0,$W$49&gt;0)),$W$24/2*COS(RADIANS(180-$W$30)),IF(AND($W$32&gt;0,$W$24=0,OR($W$41&gt;0,$W$49&gt;0)),$W$32/2*COS(RADIANS(180-$W$38)),IF(AND($W$32&gt;0,$W$41=0,$W$49=0),$W$32/4*COS(RADIANS(180-$W$38)),$W$24/4*COS(RADIANS(180-$W$30))))))</f>
        <v>#VALUE!</v>
      </c>
      <c r="CB19" s="808" t="e">
        <f>IF(AND($W$32&gt;0,$W$24&gt;0,OR($W$41&gt;0,$W$49&gt;0)),$W$24*-SIN(RADIANS(180-$W$30)),IF(AND($W$32&gt;0,$W$24&gt;0,OR($W$41&gt;0,$W$49&gt;0)),$W$32*-SIN(RADIANS(180-$W$38)),IF(AND($W$32&gt;0,$W$24=0,OR($W$41&gt;0,$W$49&gt;0)),$W$32/2*-SIN(RADIANS(180-$W$38)),IF(AND($W$32&gt;0,$W$41=0,$W$49=0),$W$32/4*-SIN(RADIANS(180-$W$38)),$W$24/4*-SIN(RADIANS(180-$W$30))))))</f>
        <v>#VALUE!</v>
      </c>
    </row>
    <row r="20" spans="1:83" ht="12" customHeight="1" x14ac:dyDescent="0.25">
      <c r="B20" s="26"/>
      <c r="C20" s="33"/>
      <c r="D20" s="17" t="s">
        <v>130</v>
      </c>
      <c r="E20" s="147"/>
      <c r="F20" s="33"/>
      <c r="G20" s="33"/>
      <c r="H20" s="33"/>
      <c r="I20" s="33"/>
      <c r="J20" s="17" t="s">
        <v>130</v>
      </c>
      <c r="K20" s="148"/>
      <c r="N20" s="17" t="s">
        <v>130</v>
      </c>
      <c r="O20" s="147"/>
      <c r="T20" s="17" t="s">
        <v>130</v>
      </c>
      <c r="U20" s="147"/>
      <c r="AA20" s="5"/>
      <c r="AB20" s="5"/>
      <c r="AC20" s="5"/>
      <c r="AD20" s="52">
        <v>1</v>
      </c>
      <c r="AE20" s="53" t="s">
        <v>12</v>
      </c>
      <c r="AF20" s="46" t="e">
        <f>IF($L$38='SHL Section'!$BF$52,IF('BHL Section 2'!$BG$38=8,'BHL Section 2'!$AH$24-$AB$14,IF('BHL Section 2'!$BG$39=7,'BHL Section 2'!$AJ$24-$AB$14,IF('BHL Section 2'!$BG$40=6,'BHL Section 2'!$AL$24-$AB$14,""))),IF($L$38='SHL Section'!$BF$55,IF('BHL Section 2'!$BG$42=8,'BHL Section 2'!$AH$24-$AB$14,IF('BHL Section 2'!$BG$43=7,'BHL Section 2'!$AJ$24-$AB$14,IF('BHL Section 2'!$BG$44=6,'BHL Section 2'!$AL$24-$AB$14,""))),IF($L$38='SHL Section'!$BF$58,IF('BHL Section 2'!$BG$46=8,'BHL Section 2'!$AH$24-$AB$14,IF('BHL Section 2'!$BG$47=7,'BHL Section 2'!$AJ$24-$AB$14,IF('BHL Section 2'!$BG$48=6,'BHL Section 2'!$AL$24-$AB$14,""))),"")))</f>
        <v>#VALUE!</v>
      </c>
      <c r="AG20" s="46" t="e">
        <f>IF($L$38='SHL Section'!$BF$52,IF('BHL Section 2'!$BG$38=8,'BHL Section 2'!$AI$24-$AB$16,IF('BHL Section 2'!$BG$39=7,'BHL Section 2'!$AK$24-$AB$16,IF('BHL Section 2'!$BG$40=6,'BHL Section 2'!$AM$24-$AB$16,""))),IF($L$38='SHL Section'!$BF$55,IF('BHL Section 2'!$BG$42=8,'BHL Section 2'!$AI$24-$AB$16,IF('BHL Section 2'!$BG$43=7,'BHL Section 2'!$AK$24-$AB$16,IF('BHL Section 2'!$BG$44=6,'BHL Section 2'!$AM$24-$AB$16,""))),IF($L$38='SHL Section'!$BF$58,IF('BHL Section 2'!$BG$46=8,'BHL Section 2'!$AI$24-$AB$16,IF('BHL Section 2'!$BG$47=7,'BHL Section 2'!$AK$24-$AB$16,IF('BHL Section 2'!$BG$48=6,'BHL Section 2'!$AM$24-$AB$16,""))),"")))</f>
        <v>#VALUE!</v>
      </c>
      <c r="AH20" s="31" t="e">
        <f>IF($AF$20="","",$AZ$26+$AF$20)</f>
        <v>#VALUE!</v>
      </c>
      <c r="AI20" s="31" t="e">
        <f>IF($AG$20="","",$BA$26+$AG$20)</f>
        <v>#VALUE!</v>
      </c>
      <c r="AJ20" s="31" t="e">
        <f>IF($AF$20="","",$BH$26+$AZ$26+$AF$20)</f>
        <v>#VALUE!</v>
      </c>
      <c r="AK20" s="31" t="e">
        <f>IF($AG$20="","",$BA$26+$BI$26+$AG$20)</f>
        <v>#VALUE!</v>
      </c>
      <c r="AL20" s="31" t="e">
        <f>IF($AF$20="","",$BX$26+$AF$20)</f>
        <v>#VALUE!</v>
      </c>
      <c r="AM20" s="31" t="e">
        <f>IF($AG$20="","",$AG$20+$BY$26)</f>
        <v>#VALUE!</v>
      </c>
      <c r="AN20" s="31" t="e">
        <f>IF($AF$20="","",$AX$22+$AF$20)</f>
        <v>#VALUE!</v>
      </c>
      <c r="AO20" s="31" t="e">
        <f>IF($AG$20="","",$AY$22+$AG$20)</f>
        <v>#VALUE!</v>
      </c>
      <c r="AP20" s="31" t="e">
        <f>IF($AF$20="","",$AZ$26+$AF$20+$BF$22)</f>
        <v>#VALUE!</v>
      </c>
      <c r="AQ20" s="31" t="e">
        <f>IF($AG$20="","",$BA$26+$AG$20+$BG$22)</f>
        <v>#VALUE!</v>
      </c>
      <c r="AR20" s="31" t="e">
        <f>IF($AF$20="","",$BX$26+$AF$20+$BR$22)</f>
        <v>#VALUE!</v>
      </c>
      <c r="AS20" s="31" t="e">
        <f>IF($AG$20="","",$AG$20+$BY$26+$BS$22)</f>
        <v>#VALUE!</v>
      </c>
      <c r="AT20" s="31" t="e">
        <f>IF($AF$20="","",$BZ$22+$AF$20)</f>
        <v>#VALUE!</v>
      </c>
      <c r="AU20" s="31" t="e">
        <f>IF($AG$20="","",$AG$20+$CA$22)</f>
        <v>#VALUE!</v>
      </c>
      <c r="AV20" s="38" t="s">
        <v>333</v>
      </c>
      <c r="AW20" s="939" t="s">
        <v>334</v>
      </c>
      <c r="AX20" s="832"/>
      <c r="AY20" s="832"/>
      <c r="AZ20" s="882"/>
      <c r="BA20" s="939" t="s">
        <v>335</v>
      </c>
      <c r="BB20" s="832"/>
      <c r="BC20" s="832"/>
      <c r="BD20" s="882"/>
      <c r="BE20" s="939" t="s">
        <v>336</v>
      </c>
      <c r="BF20" s="832"/>
      <c r="BG20" s="832"/>
      <c r="BH20" s="882"/>
      <c r="BI20" s="939" t="s">
        <v>337</v>
      </c>
      <c r="BJ20" s="832"/>
      <c r="BK20" s="832"/>
      <c r="BL20" s="882"/>
      <c r="BM20" s="939" t="s">
        <v>338</v>
      </c>
      <c r="BN20" s="832"/>
      <c r="BO20" s="832"/>
      <c r="BP20" s="882"/>
      <c r="BQ20" s="939" t="s">
        <v>339</v>
      </c>
      <c r="BR20" s="832"/>
      <c r="BS20" s="832"/>
      <c r="BT20" s="882"/>
      <c r="BU20" s="939" t="s">
        <v>340</v>
      </c>
      <c r="BV20" s="832"/>
      <c r="BW20" s="832"/>
      <c r="BX20" s="882"/>
      <c r="BY20" s="939" t="s">
        <v>341</v>
      </c>
      <c r="BZ20" s="832"/>
      <c r="CA20" s="832"/>
      <c r="CB20" s="882"/>
      <c r="CD20" s="155" t="s">
        <v>342</v>
      </c>
      <c r="CE20" s="810" t="e">
        <f>(CD22^2+CE22^2)^0.5</f>
        <v>#VALUE!</v>
      </c>
    </row>
    <row r="21" spans="1:83" ht="12" customHeight="1" x14ac:dyDescent="0.25">
      <c r="D21" s="17" t="s">
        <v>134</v>
      </c>
      <c r="E21" s="147"/>
      <c r="J21" s="17" t="s">
        <v>134</v>
      </c>
      <c r="K21" s="148"/>
      <c r="N21" s="17" t="s">
        <v>134</v>
      </c>
      <c r="O21" s="147"/>
      <c r="T21" s="17" t="s">
        <v>134</v>
      </c>
      <c r="U21" s="147"/>
      <c r="AA21" s="28"/>
      <c r="AB21" s="28"/>
      <c r="AC21" s="28"/>
      <c r="AD21" s="52">
        <v>2</v>
      </c>
      <c r="AE21" s="53" t="s">
        <v>12</v>
      </c>
      <c r="AF21" s="32" t="e">
        <f>IF($AH$21="","",$AH$21-$AZ$26)</f>
        <v>#VALUE!</v>
      </c>
      <c r="AG21" s="32" t="e">
        <f>IF($AI$21="","",$AI$21-$BA$26)</f>
        <v>#VALUE!</v>
      </c>
      <c r="AH21" s="47" t="e">
        <f>IF($L$38='SHL Section'!$BF$52,IF('BHL Section 2'!$BG$37=4,'BHL Section 2'!$AF$24-$AB$14,IF('BHL Section 2'!$BG$39=6,'BHL Section 2'!$AJ$24-$AB$14,IF('BHL Section 2'!$BG$40=5,'BHL Section 2'!$AL$24-$AB$14,""))),IF($L$38='SHL Section'!$BF$55,IF('BHL Section 2'!$BG$41=4,'BHL Section 2'!$AF$24-$AB$14,IF('BHL Section 2'!$BG$43=6,'BHL Section 2'!$AJ$24-$AB$14,IF('BHL Section 2'!$BG$44=5,'BHL Section 2'!$AL$24-$AB$14,""))),IF($L$38='SHL Section'!$BF$58,IF('BHL Section 2'!$BG$45=4,'BHL Section 2'!$AF$24-$AB$14,IF('BHL Section 2'!$BG$47=6,'BHL Section 2'!$AJ$24-$AB$14,IF('BHL Section 2'!$BG$48=5,'BHL Section 2'!$AL$24-$AB$14,""))),"")))</f>
        <v>#VALUE!</v>
      </c>
      <c r="AI21" s="47" t="e">
        <f>IF($L$38='SHL Section'!$BF$52,IF('BHL Section 2'!$BG$37=4,'BHL Section 2'!$AG$24-$AB$16,IF('BHL Section 2'!$BG$39=6,'BHL Section 2'!$AK$24-$AB$16,IF('BHL Section 2'!$BG$40=5,'BHL Section 2'!$AM$24-$AB$16,""))),IF($L$38='SHL Section'!$BF$55,IF('BHL Section 2'!$BG$41=4,'BHL Section 2'!$AG$24-$AB$16,IF('BHL Section 2'!$BG$43=6,'BHL Section 2'!$AK$24-$AB$16,IF('BHL Section 2'!$BG$44=5,'BHL Section 2'!$AM$24-$AB$16,""))),IF($L$38='SHL Section'!$BF$58,IF('BHL Section 2'!$BG$45=4,'BHL Section 2'!$AG$24-$AB$16,IF('BHL Section 2'!$BG$47=6,'BHL Section 2'!$AK$24-$AB$16,IF('BHL Section 2'!$BG$48=5,'BHL Section 2'!$AM$24-$AB$16,""))),"")))</f>
        <v>#VALUE!</v>
      </c>
      <c r="AJ21" s="32" t="e">
        <f>IF($AH$21="","",$BH$26+$AH$21)</f>
        <v>#VALUE!</v>
      </c>
      <c r="AK21" s="32" t="e">
        <f>IF($AI$21="","",$AI$21+$BI$26)</f>
        <v>#VALUE!</v>
      </c>
      <c r="AL21" s="32" t="e">
        <f>IF($AH$21="","",$AH$21-$AZ$26+$BX$26)</f>
        <v>#VALUE!</v>
      </c>
      <c r="AM21" s="32" t="e">
        <f>IF($AI$21="","",$AI$21-$BA$26+$BY$26)</f>
        <v>#VALUE!</v>
      </c>
      <c r="AN21" s="32" t="e">
        <f>IF($AH$21="","",$AH$21-$BB$22)</f>
        <v>#VALUE!</v>
      </c>
      <c r="AO21" s="32" t="e">
        <f>IF($AI$21="","",AI$21-$BC$22)</f>
        <v>#VALUE!</v>
      </c>
      <c r="AP21" s="32" t="e">
        <f>IF($AH$21="","",$BF$22+$AH$21)</f>
        <v>#VALUE!</v>
      </c>
      <c r="AQ21" s="32" t="e">
        <f>IF($AI$21="","",$AI$21+$BG$22)</f>
        <v>#VALUE!</v>
      </c>
      <c r="AR21" s="32" t="e">
        <f>IF($AH$21="","",$BH$26+$AH$21-$BN$22)</f>
        <v>#VALUE!</v>
      </c>
      <c r="AS21" s="32" t="e">
        <f>IF($AI$21="","",$AI$21+$BI$26-$BO$22)</f>
        <v>#VALUE!</v>
      </c>
      <c r="AT21" s="32" t="e">
        <f>IF($AH$21="","",$AH$21-$AZ$26+$BZ$22)</f>
        <v>#VALUE!</v>
      </c>
      <c r="AU21" s="32" t="e">
        <f>IF($AI$21="","",$AI$21-$BA$26+$CA$22)</f>
        <v>#VALUE!</v>
      </c>
      <c r="AV21" s="38" t="s">
        <v>330</v>
      </c>
      <c r="AW21" s="37"/>
      <c r="AX21" s="760" t="s">
        <v>113</v>
      </c>
      <c r="AY21" s="761" t="s">
        <v>114</v>
      </c>
      <c r="AZ21" s="36"/>
      <c r="BA21" s="37"/>
      <c r="BB21" s="760" t="s">
        <v>113</v>
      </c>
      <c r="BC21" s="761" t="s">
        <v>114</v>
      </c>
      <c r="BD21" s="36"/>
      <c r="BE21" s="37"/>
      <c r="BF21" s="760" t="s">
        <v>113</v>
      </c>
      <c r="BG21" s="761" t="s">
        <v>114</v>
      </c>
      <c r="BH21" s="36"/>
      <c r="BI21" s="37"/>
      <c r="BJ21" s="760" t="s">
        <v>113</v>
      </c>
      <c r="BK21" s="761" t="s">
        <v>114</v>
      </c>
      <c r="BL21" s="36"/>
      <c r="BM21" s="37"/>
      <c r="BN21" s="760" t="s">
        <v>113</v>
      </c>
      <c r="BO21" s="761" t="s">
        <v>114</v>
      </c>
      <c r="BP21" s="36"/>
      <c r="BQ21" s="37"/>
      <c r="BR21" s="760" t="s">
        <v>113</v>
      </c>
      <c r="BS21" s="761" t="s">
        <v>114</v>
      </c>
      <c r="BT21" s="36"/>
      <c r="BU21" s="37"/>
      <c r="BV21" s="760" t="s">
        <v>113</v>
      </c>
      <c r="BW21" s="761" t="s">
        <v>114</v>
      </c>
      <c r="BX21" s="36"/>
      <c r="BY21" s="37"/>
      <c r="BZ21" s="760" t="s">
        <v>113</v>
      </c>
      <c r="CA21" s="761" t="s">
        <v>114</v>
      </c>
      <c r="CB21" s="36"/>
      <c r="CD21" s="760" t="s">
        <v>113</v>
      </c>
      <c r="CE21" s="761" t="s">
        <v>114</v>
      </c>
    </row>
    <row r="22" spans="1:83" ht="12" customHeight="1" x14ac:dyDescent="0.25">
      <c r="A22" s="1"/>
      <c r="B22" s="1"/>
      <c r="C22" s="1"/>
      <c r="D22" s="17" t="s">
        <v>140</v>
      </c>
      <c r="E22" s="112">
        <v>2</v>
      </c>
      <c r="F22" s="18"/>
      <c r="G22" s="18"/>
      <c r="H22" s="18"/>
      <c r="I22" s="18"/>
      <c r="J22" s="17" t="s">
        <v>140</v>
      </c>
      <c r="K22" s="112">
        <v>3</v>
      </c>
      <c r="L22" s="1"/>
      <c r="M22" s="1"/>
      <c r="N22" s="17" t="s">
        <v>140</v>
      </c>
      <c r="O22" s="112">
        <v>3</v>
      </c>
      <c r="P22" s="18"/>
      <c r="Q22" s="18"/>
      <c r="R22" s="18"/>
      <c r="S22" s="18"/>
      <c r="T22" s="17" t="s">
        <v>140</v>
      </c>
      <c r="U22" s="112">
        <v>4</v>
      </c>
      <c r="V22" s="1"/>
      <c r="W22" s="1"/>
      <c r="X22" s="1"/>
      <c r="AA22" s="5"/>
      <c r="AB22" s="5"/>
      <c r="AC22" s="5"/>
      <c r="AD22" s="52">
        <v>3</v>
      </c>
      <c r="AE22" s="53" t="s">
        <v>12</v>
      </c>
      <c r="AF22" s="32" t="e">
        <f>IF($AJ$22="","",$AJ$22-$BH$26-$AZ$26)</f>
        <v>#VALUE!</v>
      </c>
      <c r="AG22" s="32" t="e">
        <f>IF($AK$22="","",$AK$22-$BI$26-$BA$26)</f>
        <v>#VALUE!</v>
      </c>
      <c r="AH22" s="32" t="e">
        <f>IF($AJ$22="","",$AJ$22-$BH$26)</f>
        <v>#VALUE!</v>
      </c>
      <c r="AI22" s="32" t="e">
        <f>IF($AK$22="","",$AK$22-$BI$26)</f>
        <v>#VALUE!</v>
      </c>
      <c r="AJ22" s="47" t="e">
        <f>IF($L$38='SHL Section'!$BF$52,IF('BHL Section 2'!$BG$37=3,'BHL Section 2'!$AF$24-$AB$14,IF('BHL Section 2'!$BG$38=2,'BHL Section 2'!$AH$24-$AB$14,IF('BHL Section 2'!$BG$40=4,'BHL Section 2'!$AL$24-$AB$14,""))),IF($L$38='SHL Section'!$BF$55,IF('BHL Section 2'!$BG$41=3,'BHL Section 2'!$AF$24-$AB$14,IF('BHL Section 2'!$BG$42=2,'BHL Section 2'!$AH$24-$AB$14,IF('BHL Section 2'!$BG$44=4,'BHL Section 2'!$AL$24-$AB$14,""))),IF($L$38='SHL Section'!$BF$58,IF('BHL Section 2'!$BG$45=3,'BHL Section 2'!$AF$24-$AB$14,IF('BHL Section 2'!$BG$46=2,'BHL Section 2'!$AH$24-$AB$14,IF('BHL Section 2'!$BG$48=4,'BHL Section 2'!$AL$24-$AB$14,""))),"")))</f>
        <v>#VALUE!</v>
      </c>
      <c r="AK22" s="47" t="e">
        <f>IF($L$38='SHL Section'!$BF$52,IF('BHL Section 2'!$BG$37=3,'BHL Section 2'!$AG$24-$AB$16,IF('BHL Section 2'!$BG$38=2,'BHL Section 2'!$AI$24-$AB$16,IF('BHL Section 2'!$BG$40=4,'BHL Section 2'!$AM$24-$AB$16,""))),IF($L$38='SHL Section'!$BF$55,IF('BHL Section 2'!$BG$41=3,'BHL Section 2'!$AG$24-$AB$16,IF('BHL Section 2'!$BG$42=2,'BHL Section 2'!$AI$24-$AB$16,IF('BHL Section 2'!$BG$44=4,'BHL Section 2'!$AM$24-$AB$16,""))),IF($L$38='SHL Section'!$BF$58,IF('BHL Section 2'!$BG$45=3,'BHL Section 2'!$AG$24-$AB$16,IF('BHL Section 2'!$BG$46=2,'BHL Section 2'!$AI$24-$AB$16,IF('BHL Section 2'!$BG$48=4,'BHL Section 2'!$AM$24-$AB$16,""))),"")))</f>
        <v>#VALUE!</v>
      </c>
      <c r="AL22" s="32" t="e">
        <f>IF($AJ$22="","",$AJ$22-$BP$26)</f>
        <v>#VALUE!</v>
      </c>
      <c r="AM22" s="32" t="e">
        <f>IF($AK$22="","",$AK$22-$BQ$26)</f>
        <v>#VALUE!</v>
      </c>
      <c r="AN22" s="32" t="e">
        <f>IF($AJ$22="","",$AJ$22-$BH$26-$BB$22)</f>
        <v>#VALUE!</v>
      </c>
      <c r="AO22" s="32" t="e">
        <f>IF($AK$22="","",$AK$22-$BI$26-$BC$22)</f>
        <v>#VALUE!</v>
      </c>
      <c r="AP22" s="32" t="e">
        <f>IF($AJ$22="","",$AJ$22-$BJ$22)</f>
        <v>#VALUE!</v>
      </c>
      <c r="AQ22" s="32" t="e">
        <f>IF($AK$22="","",$AK$22-$BK$22)</f>
        <v>#VALUE!</v>
      </c>
      <c r="AR22" s="32" t="e">
        <f>IF($AJ$22="","",$AJ$22-$BN$22)</f>
        <v>#VALUE!</v>
      </c>
      <c r="AS22" s="32" t="e">
        <f>IF($AK$22="","",$AK$22-$BO$22)</f>
        <v>#VALUE!</v>
      </c>
      <c r="AT22" s="32" t="e">
        <f>IF($AJ$22="","",$AJ$22-$BP$26-$BV$22)</f>
        <v>#VALUE!</v>
      </c>
      <c r="AU22" s="32" t="e">
        <f>IF($AK$22="","",$AK$22-$BQ$26-$BW$22)</f>
        <v>#VALUE!</v>
      </c>
      <c r="AV22" s="38"/>
      <c r="AW22" s="37"/>
      <c r="AX22" s="811" t="e">
        <f>AW19+AY19</f>
        <v>#VALUE!</v>
      </c>
      <c r="AY22" s="812" t="e">
        <f>AX19+AZ19</f>
        <v>#VALUE!</v>
      </c>
      <c r="AZ22" s="36"/>
      <c r="BA22" s="37"/>
      <c r="BB22" s="811" t="e">
        <f>BA19+BC19</f>
        <v>#VALUE!</v>
      </c>
      <c r="BC22" s="812" t="e">
        <f>BB19+BD19</f>
        <v>#VALUE!</v>
      </c>
      <c r="BD22" s="36"/>
      <c r="BE22" s="37"/>
      <c r="BF22" s="811" t="e">
        <f>BE19+BG19</f>
        <v>#VALUE!</v>
      </c>
      <c r="BG22" s="812" t="e">
        <f>BF19+BH19</f>
        <v>#VALUE!</v>
      </c>
      <c r="BH22" s="36"/>
      <c r="BI22" s="37"/>
      <c r="BJ22" s="811" t="e">
        <f>BI19+BK19</f>
        <v>#VALUE!</v>
      </c>
      <c r="BK22" s="812" t="e">
        <f>BJ19+BL19</f>
        <v>#VALUE!</v>
      </c>
      <c r="BL22" s="36"/>
      <c r="BM22" s="37"/>
      <c r="BN22" s="811" t="e">
        <f>BM19+BO19</f>
        <v>#VALUE!</v>
      </c>
      <c r="BO22" s="812" t="e">
        <f>BN19+BP19</f>
        <v>#VALUE!</v>
      </c>
      <c r="BP22" s="36"/>
      <c r="BQ22" s="37"/>
      <c r="BR22" s="811" t="e">
        <f>BQ19+BS19</f>
        <v>#VALUE!</v>
      </c>
      <c r="BS22" s="812" t="e">
        <f>BR19+BT19</f>
        <v>#VALUE!</v>
      </c>
      <c r="BT22" s="36"/>
      <c r="BU22" s="37"/>
      <c r="BV22" s="811" t="e">
        <f>BU19+BW19</f>
        <v>#VALUE!</v>
      </c>
      <c r="BW22" s="812" t="e">
        <f>BV19+BX19</f>
        <v>#VALUE!</v>
      </c>
      <c r="BX22" s="36"/>
      <c r="BY22" s="37"/>
      <c r="BZ22" s="811" t="e">
        <f>BY19+CA19</f>
        <v>#VALUE!</v>
      </c>
      <c r="CA22" s="812" t="e">
        <f>BZ19+CB19</f>
        <v>#VALUE!</v>
      </c>
      <c r="CB22" s="36"/>
      <c r="CD22" s="813" t="e">
        <f>AZ26+BH26-BP26-BX26</f>
        <v>#VALUE!</v>
      </c>
      <c r="CE22" s="814" t="e">
        <f>BA26+BI26-BQ26-BY26</f>
        <v>#VALUE!</v>
      </c>
    </row>
    <row r="23" spans="1:83" ht="12" customHeight="1" thickBot="1" x14ac:dyDescent="0.3">
      <c r="B23" s="945" t="e">
        <f>CONCATENATE("NW SC of ",$L$38)</f>
        <v>#VALUE!</v>
      </c>
      <c r="C23" s="904"/>
      <c r="D23" s="17" t="s">
        <v>144</v>
      </c>
      <c r="E23" s="34" t="e">
        <f>IF(AND($L$38='SHL Section'!$BF$52,MAX('BHL Section 2'!$BG$37:$BG$40)=6),'BHL Section 2'!$E$61,IF(AND($L$38='SHL Section'!$BF$55,MAX('BHL Section 2'!$BG$41:$BG$44)=6),'BHL Section 2'!$E$61,IF(AND($L$38='SHL Section'!$BF$58,MAX('BHL Section 2'!$BG$45:$BG$48)=6),'BHL Section 2'!$E$61,IF(E19="","",IF(OR(E22=1,E22=4),180-(E19+E20/60+E21/3600),(E19+E20/60+E21/3600))))))</f>
        <v>#VALUE!</v>
      </c>
      <c r="J23" s="17" t="s">
        <v>144</v>
      </c>
      <c r="K23" s="34" t="e">
        <f>IF(AND($L$38='SHL Section'!$BF$52,MAX('BHL Section 2'!$BG$37:$BG$40)=6),'BHL Section 2'!$K$61,IF(AND($L$38='SHL Section'!$BF$55,MAX('BHL Section 2'!$BG$41:$BG$44)=6),'BHL Section 2'!$K$61,IF(AND($L$38='SHL Section'!$BF$58,MAX('BHL Section 2'!$BG$45:$BG$48)=6),'BHL Section 2'!$K$61,IF(K19="","",IF(OR(K22=1,K22=4),180-(K19+K20/60+K21/3600),(K19+K20/60+K21/3600))))))</f>
        <v>#VALUE!</v>
      </c>
      <c r="L23" s="945" t="e">
        <f>CONCATENATE("N QC of ",$L$38)</f>
        <v>#VALUE!</v>
      </c>
      <c r="M23" s="904"/>
      <c r="N23" s="17" t="s">
        <v>144</v>
      </c>
      <c r="O23" s="27" t="e">
        <f>IF(AND($L$38='SHL Section'!$BF$52,MAX('BHL Section 2'!$BG$37:$BG$40)=6),'BHL Section 2'!$O$61,IF(AND($L$38='SHL Section'!$BF$55,MAX('BHL Section 2'!$BG$41:$BG$44)=6),'BHL Section 2'!$O$61,IF(AND($L$38='SHL Section'!$BF$58,MAX('BHL Section 2'!$BG$45:$BG$48)=6),'BHL Section 2'!$O$61,IF(O19="","",IF(OR(O22=1,O22=4),180-(O19+O20/60+O21/3600),(O19+O20/60+O21/3600))))))</f>
        <v>#VALUE!</v>
      </c>
      <c r="T23" s="17" t="s">
        <v>144</v>
      </c>
      <c r="U23" s="27" t="e">
        <f>IF(AND($L$38='SHL Section'!$BF$52,MAX('BHL Section 2'!$BG$37:$BG$40)=6),'BHL Section 2'!$U$61,IF(AND($L$38='SHL Section'!$BF$55,MAX('BHL Section 2'!$BG$41:$BG$44)=6),'BHL Section 2'!$U$61,IF(AND($L$38='SHL Section'!$BF$58,MAX('BHL Section 2'!$BG$45:$BG$48)=6),'BHL Section 2'!$U$61,IF(U19="","",IF(OR(U22=1,U22=4),180-(U19+U20/60+U21/3600),(U19+U20/60+U21/3600))))))</f>
        <v>#VALUE!</v>
      </c>
      <c r="V23" s="954" t="e">
        <f>CONCATENATE("NE SC of ",$L$38)</f>
        <v>#VALUE!</v>
      </c>
      <c r="W23" s="904"/>
      <c r="Y23" s="28"/>
      <c r="Z23" s="28"/>
      <c r="AA23" s="5"/>
      <c r="AB23" s="5"/>
      <c r="AC23" s="5"/>
      <c r="AD23" s="756">
        <v>4</v>
      </c>
      <c r="AE23" s="758" t="s">
        <v>12</v>
      </c>
      <c r="AF23" s="45" t="e">
        <f>IF($AL$23="","",$AL$23-$BX$26)</f>
        <v>#VALUE!</v>
      </c>
      <c r="AG23" s="45" t="e">
        <f>IF($AM$23="","",$AM$23-$BY$26)</f>
        <v>#VALUE!</v>
      </c>
      <c r="AH23" s="45" t="e">
        <f>IF($AL$23="","",$AL$23+$BP$26-$BH$26)</f>
        <v>#VALUE!</v>
      </c>
      <c r="AI23" s="45" t="e">
        <f>IF($AM$23="","",$AM$23+$BQ$26-$BI$26)</f>
        <v>#VALUE!</v>
      </c>
      <c r="AJ23" s="45" t="e">
        <f>IF($AL$23="","",$AL$23+$BP$26)</f>
        <v>#VALUE!</v>
      </c>
      <c r="AK23" s="45" t="e">
        <f>IF($AM$23="","",$AM$23+$BQ$26)</f>
        <v>#VALUE!</v>
      </c>
      <c r="AL23" s="50" t="e">
        <f>IF($L$38='SHL Section'!$BF$52,IF('BHL Section 2'!$BG$37=2,'BHL Section 2'!$AF$24-$AB$14,IF('BHL Section 2'!$BG$38=9,'BHL Section 2'!$AH$24-$AB$14,IF('BHL Section 2'!$BG$39=8,'BHL Section 2'!$AJ$24-$AB$14,""))),IF($L$38='SHL Section'!$BF$55,IF('BHL Section 2'!$BG$41=2,'BHL Section 2'!$AF$24-$AB$14,IF('BHL Section 2'!$BG$42=9,'BHL Section 2'!$AH$24-$AB$14,IF('BHL Section 2'!$BG$43=8,'BHL Section 2'!$AJ$24-$AB$14,""))),IF($L$38='SHL Section'!$BF$58,IF('BHL Section 2'!$BG$45=2,'BHL Section 2'!$AF$24-$AB$14,IF('BHL Section 2'!$BG$46=9,'BHL Section 2'!$AH$24-$AB$14,IF('BHL Section 2'!$BG$47=8,'BHL Section 2'!$AJ$24-$AB$14,""))),"")))</f>
        <v>#VALUE!</v>
      </c>
      <c r="AM23" s="50" t="e">
        <f>IF($L$38='SHL Section'!$BF$52,IF('BHL Section 2'!$BG$37=2,'BHL Section 2'!$AG$24-$AB$16,IF('BHL Section 2'!$BG$38=9,'BHL Section 2'!$AI$24-$AB$16,IF('BHL Section 2'!$BG$39=8,'BHL Section 2'!$AK$24-$AB$16,""))),IF($L$38='SHL Section'!$BF$55,IF('BHL Section 2'!$BG$41=2,'BHL Section 2'!$AG$24-$AB$16,IF('BHL Section 2'!$BG$42=9,'BHL Section 2'!$AI$24-$AB$16,IF('BHL Section 2'!$BG$43=8,'BHL Section 2'!$AK$24-$AB$16,""))),IF($L$38='SHL Section'!$BF$58,IF('BHL Section 2'!$BG$45=2,'BHL Section 2'!$AG$24-$AB$16,IF('BHL Section 2'!$BG$46=9,'BHL Section 2'!$AI$24-$AB$16,IF('BHL Section 2'!$BG$47=8,'BHL Section 2'!$AK$24-$AB$16,""))),"")))</f>
        <v>#VALUE!</v>
      </c>
      <c r="AN23" s="45" t="e">
        <f>IF($AL$23="","",$AL$23-$BX$26+$AX$22)</f>
        <v>#VALUE!</v>
      </c>
      <c r="AO23" s="45" t="e">
        <f>IF($AM$23="","",$AM$23-$BY$26+$AY$22)</f>
        <v>#VALUE!</v>
      </c>
      <c r="AP23" s="45" t="e">
        <f>IF($AL$23="","",$AL$23+$BP$26-$BJ$22)</f>
        <v>#VALUE!</v>
      </c>
      <c r="AQ23" s="45" t="e">
        <f>IF($AM$23="","",$AM$23+$BQ$26-$BK$22)</f>
        <v>#VALUE!</v>
      </c>
      <c r="AR23" s="45" t="e">
        <f>IF($AL$23="","",$AL$23+$BR$22)</f>
        <v>#VALUE!</v>
      </c>
      <c r="AS23" s="45" t="e">
        <f>IF($AM$23="","",$AM$23+$BS$22)</f>
        <v>#VALUE!</v>
      </c>
      <c r="AT23" s="45" t="e">
        <f>IF($AL$23="","",$AL$23-$BV$22)</f>
        <v>#VALUE!</v>
      </c>
      <c r="AU23" s="45" t="e">
        <f>IF($AM$23="","",$AM$23-$BW$22)</f>
        <v>#VALUE!</v>
      </c>
      <c r="AV23" s="38"/>
      <c r="AW23" s="37"/>
      <c r="BE23" s="37"/>
      <c r="BM23" s="37"/>
      <c r="BU23" s="37"/>
      <c r="CA23" s="19"/>
      <c r="CB23" s="19"/>
      <c r="CC23" s="42"/>
    </row>
    <row r="24" spans="1:83" ht="12" customHeight="1" x14ac:dyDescent="0.25">
      <c r="B24" s="44" t="e">
        <f>IF(AND($AA$10=1,$L$38='SHL Section'!$BF$52,MAX('BHL Section 2'!$BG$37:$BG$40)=4),'BHL Section 2'!$W$24,IF(AND($AA$10=1,$L$38='SHL Section'!$BF$55,MAX('BHL Section 2'!$BG$41:$BG$44)=4),'BHL Section 2'!$W$24,IF(AND($AA$10=1,$L$38='SHL Section'!$BF$58,MAX('BHL Section 2'!$BG$45:$BG$48)=4),'BHL Section 2'!$W$24,'BHL Section 3'!B25)))</f>
        <v>#VALUE!</v>
      </c>
      <c r="C24" s="3"/>
      <c r="D24" s="35"/>
      <c r="E24" s="35"/>
      <c r="F24" s="35"/>
      <c r="G24" s="35"/>
      <c r="H24" s="35"/>
      <c r="I24" s="35"/>
      <c r="J24" s="35"/>
      <c r="K24" s="35"/>
      <c r="L24" s="11"/>
      <c r="M24" s="12"/>
      <c r="N24" s="35"/>
      <c r="O24" s="35"/>
      <c r="P24" s="35"/>
      <c r="Q24" s="35"/>
      <c r="R24" s="35"/>
      <c r="S24" s="35"/>
      <c r="T24" s="35"/>
      <c r="U24" s="35"/>
      <c r="V24" s="21"/>
      <c r="W24" s="154" t="e">
        <f>IF(AND($AA$10=1,$L$38='SHL Section'!$BF$52,MAX('BHL Section 2'!$BG$37:$BG$40)=8),'BHL Section 2'!$B$24,IF(AND($AA$10=1,$L$38='SHL Section'!$BF$55,MAX('BHL Section 2'!$BG$41:$BG$44)=8),'BHL Section 2'!$B$24,IF(AND($AA$10=1,$L$38='SHL Section'!$BF$58,MAX('BHL Section 2'!$BG$45:$BG$48)=8),'BHL Section 2'!$B$24,'BHL Section 3'!W25)))</f>
        <v>#VALUE!</v>
      </c>
      <c r="AA24" s="5"/>
      <c r="AB24" s="5"/>
      <c r="AC24" s="5"/>
      <c r="AD24" s="944"/>
      <c r="AE24" s="911"/>
      <c r="AF24" s="80" t="str">
        <f>IF(ISNUMBER($AF$20),AF$20,IF(ISNUMBER($AH$21),AF$21,IF(ISNUMBER($AJ$22),AF$22,IF(ISNUMBER($AL$23),AF$23,""))))</f>
        <v/>
      </c>
      <c r="AG24" s="80" t="str">
        <f>IF(ISNUMBER($AG$20),AG$20,IF(ISNUMBER($AI$21),AG$21,IF(ISNUMBER($AK$22),AG$22,IF(ISNUMBER($AM$23),AG$23,""))))</f>
        <v/>
      </c>
      <c r="AH24" s="80" t="str">
        <f>IF(ISNUMBER($AF$20),AH$20,IF(ISNUMBER($AH$21),AH$21,IF(ISNUMBER($AJ$22),AH$22,IF(ISNUMBER($AL$23),AH$23,""))))</f>
        <v/>
      </c>
      <c r="AI24" s="80" t="str">
        <f>IF(ISNUMBER($AG$20),AI$20,IF(ISNUMBER($AI$21),AI$21,IF(ISNUMBER($AK$22),AI$22,IF(ISNUMBER($AM$23),AI$23,""))))</f>
        <v/>
      </c>
      <c r="AJ24" s="80" t="str">
        <f>IF(ISNUMBER($AF$20),AJ$20,IF(ISNUMBER($AH$21),AJ$21,IF(ISNUMBER($AJ$22),AJ$22,IF(ISNUMBER($AL$23),AJ$23,""))))</f>
        <v/>
      </c>
      <c r="AK24" s="80" t="str">
        <f>IF(ISNUMBER($AG$20),AK$20,IF(ISNUMBER($AI$21),AK$21,IF(ISNUMBER($AK$22),AK$22,IF(ISNUMBER($AM$23),AK$23,""))))</f>
        <v/>
      </c>
      <c r="AL24" s="80" t="str">
        <f>IF(ISNUMBER($AF$20),AL$20,IF(ISNUMBER($AH$21),AL$21,IF(ISNUMBER($AJ$22),AL$22,IF(ISNUMBER($AL$23),AL$23,""))))</f>
        <v/>
      </c>
      <c r="AM24" s="80" t="str">
        <f>IF(ISNUMBER($AG$20),AM$20,IF(ISNUMBER($AI$21),AM$21,IF(ISNUMBER($AK$22),AM$22,IF(ISNUMBER($AM$23),AM$23,""))))</f>
        <v/>
      </c>
      <c r="AN24" s="80" t="str">
        <f>IF(ISNUMBER($AF$20),AN$20,IF(ISNUMBER($AH$21),AN$21,IF(ISNUMBER($AJ$22),AN$22,IF(ISNUMBER($AL$23),AN$23,""))))</f>
        <v/>
      </c>
      <c r="AO24" s="80" t="str">
        <f>IF(ISNUMBER($AG$20),AO$20,IF(ISNUMBER($AI$21),AO$21,IF(ISNUMBER($AK$22),AO$22,IF(ISNUMBER($AM$23),AO$23,""))))</f>
        <v/>
      </c>
      <c r="AP24" s="80" t="str">
        <f>IF(ISNUMBER($AF$20),AP$20,IF(ISNUMBER($AH$21),AP$21,IF(ISNUMBER($AJ$22),AP$22,IF(ISNUMBER($AL$23),AP$23,""))))</f>
        <v/>
      </c>
      <c r="AQ24" s="80" t="str">
        <f>IF(ISNUMBER($AG$20),AQ$20,IF(ISNUMBER($AI$21),AQ$21,IF(ISNUMBER($AK$22),AQ$22,IF(ISNUMBER($AM$23),AQ$23,""))))</f>
        <v/>
      </c>
      <c r="AR24" s="80" t="str">
        <f>IF(ISNUMBER($AF$20),AR$20,IF(ISNUMBER($AH$21),AR$21,IF(ISNUMBER($AJ$22),AR$22,IF(ISNUMBER($AL$23),AR$23,""))))</f>
        <v/>
      </c>
      <c r="AS24" s="80" t="str">
        <f>IF(ISNUMBER($AG$20),AS$20,IF(ISNUMBER($AI$21),AS$21,IF(ISNUMBER($AK$22),AS$22,IF(ISNUMBER($AM$23),AS$23,""))))</f>
        <v/>
      </c>
      <c r="AT24" s="80" t="str">
        <f>IF(ISNUMBER($AF$20),AT$20,IF(ISNUMBER($AH$21),AT$21,IF(ISNUMBER($AJ$22),AT$22,IF(ISNUMBER($AL$23),AT$23,""))))</f>
        <v/>
      </c>
      <c r="AU24" s="80" t="str">
        <f>IF(ISNUMBER($AG$20),AU$20,IF(ISNUMBER($AI$21),AU$21,IF(ISNUMBER($AK$22),AU$22,IF(ISNUMBER($AM$23),AU$23,""))))</f>
        <v/>
      </c>
      <c r="AV24" s="38" t="s">
        <v>72</v>
      </c>
      <c r="AW24" s="939" t="s">
        <v>183</v>
      </c>
      <c r="AX24" s="832"/>
      <c r="AY24" s="832"/>
      <c r="AZ24" s="832"/>
      <c r="BA24" s="832"/>
      <c r="BB24" s="832"/>
      <c r="BC24" s="832"/>
      <c r="BD24" s="882"/>
      <c r="BE24" s="939" t="s">
        <v>204</v>
      </c>
      <c r="BF24" s="832"/>
      <c r="BG24" s="832"/>
      <c r="BH24" s="832"/>
      <c r="BI24" s="832"/>
      <c r="BJ24" s="832"/>
      <c r="BK24" s="832"/>
      <c r="BL24" s="882"/>
      <c r="BM24" s="939" t="s">
        <v>188</v>
      </c>
      <c r="BN24" s="832"/>
      <c r="BO24" s="832"/>
      <c r="BP24" s="832"/>
      <c r="BQ24" s="832"/>
      <c r="BR24" s="832"/>
      <c r="BS24" s="832"/>
      <c r="BT24" s="882"/>
      <c r="BU24" s="939" t="s">
        <v>197</v>
      </c>
      <c r="BV24" s="832"/>
      <c r="BW24" s="832"/>
      <c r="BX24" s="832"/>
      <c r="BY24" s="832"/>
      <c r="BZ24" s="832"/>
      <c r="CA24" s="832"/>
      <c r="CB24" s="882"/>
    </row>
    <row r="25" spans="1:83" ht="12" customHeight="1" x14ac:dyDescent="0.25">
      <c r="A25" s="17" t="s">
        <v>118</v>
      </c>
      <c r="B25" s="162"/>
      <c r="C25" s="4"/>
      <c r="L25" s="13"/>
      <c r="M25" s="14"/>
      <c r="V25" s="22"/>
      <c r="W25" s="110"/>
      <c r="X25" s="25" t="s">
        <v>118</v>
      </c>
      <c r="AA25" s="5"/>
      <c r="AB25" s="5"/>
      <c r="AC25" s="5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38" t="s">
        <v>330</v>
      </c>
      <c r="AW25" s="39"/>
      <c r="AX25" s="40"/>
      <c r="AY25" s="40"/>
      <c r="AZ25" s="760" t="s">
        <v>113</v>
      </c>
      <c r="BA25" s="761" t="s">
        <v>114</v>
      </c>
      <c r="BB25" s="40"/>
      <c r="BC25" s="40"/>
      <c r="BD25" s="41"/>
      <c r="BE25" s="39"/>
      <c r="BF25" s="40"/>
      <c r="BG25" s="40"/>
      <c r="BH25" s="760" t="s">
        <v>113</v>
      </c>
      <c r="BI25" s="761" t="s">
        <v>114</v>
      </c>
      <c r="BJ25" s="40"/>
      <c r="BK25" s="40"/>
      <c r="BL25" s="41"/>
      <c r="BM25" s="39"/>
      <c r="BN25" s="40"/>
      <c r="BO25" s="40"/>
      <c r="BP25" s="760" t="s">
        <v>113</v>
      </c>
      <c r="BQ25" s="761" t="s">
        <v>114</v>
      </c>
      <c r="BR25" s="40"/>
      <c r="BS25" s="40"/>
      <c r="BT25" s="41"/>
      <c r="BU25" s="39"/>
      <c r="BV25" s="40"/>
      <c r="BW25" s="40"/>
      <c r="BX25" s="760" t="s">
        <v>113</v>
      </c>
      <c r="BY25" s="761" t="s">
        <v>114</v>
      </c>
      <c r="BZ25" s="40"/>
      <c r="CA25" s="40"/>
      <c r="CB25" s="41"/>
    </row>
    <row r="26" spans="1:83" ht="12" customHeight="1" x14ac:dyDescent="0.25">
      <c r="A26" s="17" t="s">
        <v>124</v>
      </c>
      <c r="B26" s="147"/>
      <c r="C26" s="4"/>
      <c r="G26" s="831" t="s">
        <v>343</v>
      </c>
      <c r="H26" s="832"/>
      <c r="I26" s="149"/>
      <c r="L26" s="13"/>
      <c r="M26" s="14"/>
      <c r="Q26" s="831" t="s">
        <v>344</v>
      </c>
      <c r="R26" s="832"/>
      <c r="V26" s="22"/>
      <c r="W26" s="147"/>
      <c r="X26" s="25" t="s">
        <v>124</v>
      </c>
      <c r="AA26" s="5"/>
      <c r="AB26" s="5"/>
      <c r="AC26" s="5"/>
      <c r="AD26" s="52">
        <v>1</v>
      </c>
      <c r="AE26" s="53" t="s">
        <v>272</v>
      </c>
      <c r="AF26" s="47" t="e">
        <f>IF(AND($AT$24+'SHL Section'!$AJ$8&gt;0,$AO$24+'SHL Section'!$AL$8&gt;0),$AF$24+'SHL Section'!$AJ$8,"")</f>
        <v>#VALUE!</v>
      </c>
      <c r="AG26" s="47" t="e">
        <f>IF(AND($AT$24+'SHL Section'!$AJ$8&gt;0,$AO$24+'SHL Section'!$AL$8&gt;0),$AG$24+'SHL Section'!$AL$8,"")</f>
        <v>#VALUE!</v>
      </c>
      <c r="AH26" s="32" t="e">
        <f>IF($AF$26="","",$AZ$26+$AF$26)</f>
        <v>#VALUE!</v>
      </c>
      <c r="AI26" s="32" t="e">
        <f>IF($AG$26="","",$BA$26+$AG$26)</f>
        <v>#VALUE!</v>
      </c>
      <c r="AJ26" s="32" t="e">
        <f>IF($AF$26="","",$BH$26+$AZ$26+$AF$26)</f>
        <v>#VALUE!</v>
      </c>
      <c r="AK26" s="32" t="e">
        <f>IF($AG$26="","",$BA$26+$BI$26+$AG$26)</f>
        <v>#VALUE!</v>
      </c>
      <c r="AL26" s="32" t="e">
        <f>IF($AF$26="","",$BX$26+$AF$26)</f>
        <v>#VALUE!</v>
      </c>
      <c r="AM26" s="32" t="e">
        <f>IF($AG$26="","",$AG$26+$BY$26)</f>
        <v>#VALUE!</v>
      </c>
      <c r="AN26" s="32" t="e">
        <f>IF($AF$26="","",$AX$22+$AF$26)</f>
        <v>#VALUE!</v>
      </c>
      <c r="AO26" s="32" t="e">
        <f>IF($AG$26="","",$AY$22+$AG$26)</f>
        <v>#VALUE!</v>
      </c>
      <c r="AP26" s="32" t="e">
        <f>IF($AF$26="","",$AZ$26+$AF$26+$BF$22)</f>
        <v>#VALUE!</v>
      </c>
      <c r="AQ26" s="32" t="e">
        <f>IF($AG$26="","",$BA$26+$AG$26+$BG$22)</f>
        <v>#VALUE!</v>
      </c>
      <c r="AR26" s="32" t="e">
        <f>IF($AF$26="","",$BX$26+$AF$26+$BR$22)</f>
        <v>#VALUE!</v>
      </c>
      <c r="AS26" s="32" t="e">
        <f>IF($AG$26="","",$AG$26+$BY$26+$BS$22)</f>
        <v>#VALUE!</v>
      </c>
      <c r="AT26" s="32" t="e">
        <f>IF($AF$26="","",$BZ$22+$AF$26)</f>
        <v>#VALUE!</v>
      </c>
      <c r="AU26" s="32" t="e">
        <f>IF($AG$26="","",$AG$26+$CA$22)</f>
        <v>#VALUE!</v>
      </c>
      <c r="AV26" s="38"/>
      <c r="AW26" s="37"/>
      <c r="AZ26" s="811" t="e">
        <f>AX22+BB22</f>
        <v>#VALUE!</v>
      </c>
      <c r="BA26" s="812" t="e">
        <f>AY22+BC22</f>
        <v>#VALUE!</v>
      </c>
      <c r="BD26" s="36"/>
      <c r="BE26" s="37"/>
      <c r="BH26" s="811" t="e">
        <f>BF22+BJ22</f>
        <v>#VALUE!</v>
      </c>
      <c r="BI26" s="812" t="e">
        <f>BG22+BK22</f>
        <v>#VALUE!</v>
      </c>
      <c r="BL26" s="36"/>
      <c r="BM26" s="37"/>
      <c r="BP26" s="811" t="e">
        <f>BN22+BR22</f>
        <v>#VALUE!</v>
      </c>
      <c r="BQ26" s="812" t="e">
        <f>BO22+BS22</f>
        <v>#VALUE!</v>
      </c>
      <c r="BT26" s="36"/>
      <c r="BU26" s="37"/>
      <c r="BX26" s="811" t="e">
        <f>BV22+BZ22</f>
        <v>#VALUE!</v>
      </c>
      <c r="BY26" s="812" t="e">
        <f>BW22+CA22</f>
        <v>#VALUE!</v>
      </c>
      <c r="CA26" s="19"/>
      <c r="CB26" s="36"/>
    </row>
    <row r="27" spans="1:83" ht="12" customHeight="1" x14ac:dyDescent="0.25">
      <c r="A27" s="17" t="s">
        <v>130</v>
      </c>
      <c r="B27" s="147"/>
      <c r="C27" s="4"/>
      <c r="G27" s="99" t="str">
        <f>IF(ISNUMBER($AH$58),$B$8,"")</f>
        <v/>
      </c>
      <c r="H27" s="150" t="str">
        <f>IF(AND(G28="",G29=""),"",IF($AH$58=1,"NE/NW",IF($AH$58=2,"NW/NW",IF($AH$58=3,"SW/NW",IF($AH$58=4,"SE/NW","")))))</f>
        <v/>
      </c>
      <c r="L27" s="13"/>
      <c r="M27" s="14"/>
      <c r="Q27" s="98" t="str">
        <f>IF(ISNUMBER($AF$58),$B$8,"")</f>
        <v/>
      </c>
      <c r="R27" s="150" t="str">
        <f>IF(AND(Q28="",Q29=""),"",IF($AF$58=1,"NE/NE",IF($AF$58=2,"NW/NE",IF($AF$58=3,"SW/NE",IF($AF$58=4,"SE/NE","")))))</f>
        <v/>
      </c>
      <c r="V27" s="22"/>
      <c r="W27" s="147"/>
      <c r="X27" s="25" t="s">
        <v>130</v>
      </c>
      <c r="AA27" s="5"/>
      <c r="AB27" s="5"/>
      <c r="AC27" s="5"/>
      <c r="AD27" s="52">
        <v>2</v>
      </c>
      <c r="AE27" s="53" t="s">
        <v>272</v>
      </c>
      <c r="AF27" s="32" t="e">
        <f>IF($AH$27="","",$AH$27-$AZ$26)</f>
        <v>#VALUE!</v>
      </c>
      <c r="AG27" s="32" t="e">
        <f>IF($AI$27="","",$AI$27-$BA$26)</f>
        <v>#VALUE!</v>
      </c>
      <c r="AH27" s="47" t="e">
        <f>IF(AND($AP$24+'SHL Section'!$AJ$8&gt;0,$AO$24+'SHL Section'!$AL$8&lt;0),$AH$24+'SHL Section'!$AJ$8,"")</f>
        <v>#VALUE!</v>
      </c>
      <c r="AI27" s="47" t="e">
        <f>IF(AND($AP$24+'SHL Section'!$AJ$8&gt;0,$AO$24+'SHL Section'!$AL$8&lt;0),$AI$24+'SHL Section'!$AL$8,"")</f>
        <v>#VALUE!</v>
      </c>
      <c r="AJ27" s="32" t="e">
        <f>IF($AH$27="","",$BH$26+$AH$27)</f>
        <v>#VALUE!</v>
      </c>
      <c r="AK27" s="32" t="e">
        <f>IF($AI$27="","",$AI$27+$BI$26)</f>
        <v>#VALUE!</v>
      </c>
      <c r="AL27" s="32" t="e">
        <f>IF($AH$27="","",$AH$27-$AZ$26+$BX$26)</f>
        <v>#VALUE!</v>
      </c>
      <c r="AM27" s="32" t="e">
        <f>IF($AI$27="","",$AI$27-$BA$26+$BY$26)</f>
        <v>#VALUE!</v>
      </c>
      <c r="AN27" s="32" t="e">
        <f>IF($AH$27="","",$AH$27-$BB$22)</f>
        <v>#VALUE!</v>
      </c>
      <c r="AO27" s="32" t="e">
        <f>IF($AI$27="","",AI$27-$BC$22)</f>
        <v>#VALUE!</v>
      </c>
      <c r="AP27" s="32" t="e">
        <f>IF($AH$27="","",$BF$22+$AH$27)</f>
        <v>#VALUE!</v>
      </c>
      <c r="AQ27" s="32" t="e">
        <f>IF($AI$27="","",$AI$27+$BG$22)</f>
        <v>#VALUE!</v>
      </c>
      <c r="AR27" s="32" t="e">
        <f>IF($AH$27="","",$BH$26+$AH$27-$BN$22)</f>
        <v>#VALUE!</v>
      </c>
      <c r="AS27" s="32" t="e">
        <f>IF($AI$27="","",$AI$27+$BI$26-$BO$22)</f>
        <v>#VALUE!</v>
      </c>
      <c r="AT27" s="32" t="e">
        <f>IF($AH$27="","",$AH$27-$AZ$26+$BZ$22)</f>
        <v>#VALUE!</v>
      </c>
      <c r="AU27" s="32" t="e">
        <f>IF($AI$27="","",$AI$27-$BA$26+$CA$22)</f>
        <v>#VALUE!</v>
      </c>
      <c r="AV27" s="38"/>
      <c r="CA27" s="19"/>
      <c r="CB27" s="19"/>
    </row>
    <row r="28" spans="1:83" ht="12" customHeight="1" x14ac:dyDescent="0.25">
      <c r="A28" s="17" t="s">
        <v>134</v>
      </c>
      <c r="B28" s="147"/>
      <c r="C28" s="4"/>
      <c r="G28" s="151" t="str">
        <f>IF(ISNUMBER($AH$58),$I$8,"")</f>
        <v/>
      </c>
      <c r="H28" s="152" t="str">
        <f>IF(ISNUMBER($AH$58),"FNL","")</f>
        <v/>
      </c>
      <c r="J28" s="19"/>
      <c r="K28" s="19"/>
      <c r="L28" s="13"/>
      <c r="M28" s="14"/>
      <c r="Q28" s="151" t="str">
        <f>IF(ISNUMBER($AF$58),$I$8,"")</f>
        <v/>
      </c>
      <c r="R28" s="152" t="str">
        <f>IF(ISNUMBER($AF$58),"FNL","")</f>
        <v/>
      </c>
      <c r="V28" s="22"/>
      <c r="W28" s="147"/>
      <c r="X28" s="25" t="s">
        <v>134</v>
      </c>
      <c r="AA28" s="5"/>
      <c r="AB28" s="5"/>
      <c r="AC28" s="5"/>
      <c r="AD28" s="52">
        <v>3</v>
      </c>
      <c r="AE28" s="53" t="s">
        <v>272</v>
      </c>
      <c r="AF28" s="32" t="e">
        <f>IF($AJ$28="","",$AJ$28-$BH$26-$AZ$26)</f>
        <v>#VALUE!</v>
      </c>
      <c r="AG28" s="32" t="e">
        <f>IF($AK$28="","",$AK$28-$BI$26-$BA$26)</f>
        <v>#VALUE!</v>
      </c>
      <c r="AH28" s="32" t="e">
        <f>IF($AJ$28="","",$AJ$28-$BH$26)</f>
        <v>#VALUE!</v>
      </c>
      <c r="AI28" s="32" t="e">
        <f>IF($AK$28="","",$AK$28-$BI$26)</f>
        <v>#VALUE!</v>
      </c>
      <c r="AJ28" s="47" t="e">
        <f>IF(AND($AP$24+'SHL Section'!$AJ$8&lt;0,$AS$24+'SHL Section'!$AL$8&lt;0),$AJ$24+'SHL Section'!$AJ$8,"")</f>
        <v>#VALUE!</v>
      </c>
      <c r="AK28" s="47" t="e">
        <f>IF(AND($AP$24+'SHL Section'!$AJ$8&lt;0,$AS$24+'SHL Section'!$AL$8&lt;0),$AK$24+'SHL Section'!$AL$8,"")</f>
        <v>#VALUE!</v>
      </c>
      <c r="AL28" s="32" t="e">
        <f>IF($AJ$28="","",$AJ$28-$BP$26)</f>
        <v>#VALUE!</v>
      </c>
      <c r="AM28" s="32" t="e">
        <f>IF($AK$28="","",$AK$28-$BQ$26)</f>
        <v>#VALUE!</v>
      </c>
      <c r="AN28" s="32" t="e">
        <f>IF($AJ$28="","",$AJ$28-$BH$26-$BB$22)</f>
        <v>#VALUE!</v>
      </c>
      <c r="AO28" s="32" t="e">
        <f>IF($AK$28="","",$AK$28-$BI$26-$BC$22)</f>
        <v>#VALUE!</v>
      </c>
      <c r="AP28" s="32" t="e">
        <f>IF($AJ$28="","",$AJ$28-$BJ$22)</f>
        <v>#VALUE!</v>
      </c>
      <c r="AQ28" s="32" t="e">
        <f>IF($AK$28="","",$AK$28-$BK$22)</f>
        <v>#VALUE!</v>
      </c>
      <c r="AR28" s="32" t="e">
        <f>IF($AJ$28="","",$AJ$28-$BN$22)</f>
        <v>#VALUE!</v>
      </c>
      <c r="AS28" s="32" t="e">
        <f>IF($AK$28="","",$AK$28-$BO$22)</f>
        <v>#VALUE!</v>
      </c>
      <c r="AT28" s="32" t="e">
        <f>IF($AJ$28="","",$AJ$28-$BP$26-$BV$22)</f>
        <v>#VALUE!</v>
      </c>
      <c r="AU28" s="32" t="e">
        <f>IF($AK$28="","",$AK$28-$BQ$26-$BW$22)</f>
        <v>#VALUE!</v>
      </c>
      <c r="AV28" s="38" t="s">
        <v>345</v>
      </c>
      <c r="AW28" s="143" t="e">
        <f>$AX$19/($AW$19^2+$AX$19^2)^0.5</f>
        <v>#VALUE!</v>
      </c>
      <c r="AX28" s="143"/>
      <c r="AY28" s="143" t="e">
        <f>$AZ$19/($AY$19^2+$AZ$19^2)^0.5</f>
        <v>#VALUE!</v>
      </c>
      <c r="AZ28" s="809"/>
      <c r="BA28" s="143" t="e">
        <f>$BB$19/($BA$19^2+$BB$19^2)^0.5</f>
        <v>#VALUE!</v>
      </c>
      <c r="BB28" s="143"/>
      <c r="BC28" s="143" t="e">
        <f>$BD$19/($BC$19^2+$BD$19^2)^0.5</f>
        <v>#VALUE!</v>
      </c>
      <c r="BD28" s="809"/>
      <c r="BE28" s="143" t="e">
        <f>$BE$19/($BE$19^2+$BF$19^2)^0.5</f>
        <v>#VALUE!</v>
      </c>
      <c r="BF28" s="143"/>
      <c r="BG28" s="143" t="e">
        <f>$BG$19/($BG$19^2+$BH$19^2)^0.5</f>
        <v>#VALUE!</v>
      </c>
      <c r="BH28" s="809"/>
      <c r="BI28" s="143" t="e">
        <f>$BI$19/($BI$19^2+$BJ$19^2)^0.5</f>
        <v>#VALUE!</v>
      </c>
      <c r="BJ28" s="143"/>
      <c r="BK28" s="143" t="e">
        <f>$BK$19/($BK$19^2+$BL$19^2)^0.5</f>
        <v>#VALUE!</v>
      </c>
      <c r="BL28" s="809"/>
      <c r="BM28" s="143" t="e">
        <f>$BN$19/($BM$19^2+$BN$19^2)^0.5</f>
        <v>#VALUE!</v>
      </c>
      <c r="BN28" s="143"/>
      <c r="BO28" s="143" t="e">
        <f>$BP$19/($BO$19^2+$BP$19^2)^0.5</f>
        <v>#VALUE!</v>
      </c>
      <c r="BP28" s="809"/>
      <c r="BQ28" s="143" t="e">
        <f>$BR$19/($BQ$19^2+$BR$19^2)^0.5</f>
        <v>#VALUE!</v>
      </c>
      <c r="BR28" s="143"/>
      <c r="BS28" s="143" t="e">
        <f>$BT$19/($BS$19^2+$BT$19^2)^0.5</f>
        <v>#VALUE!</v>
      </c>
      <c r="BT28" s="809"/>
      <c r="BU28" s="143" t="e">
        <f>$BU$19/($BU$19^2+$BV$19^2)^0.5</f>
        <v>#VALUE!</v>
      </c>
      <c r="BV28" s="143"/>
      <c r="BW28" s="143" t="e">
        <f>$BW$19/($BW$19^2+$BX$19^2)^0.5</f>
        <v>#VALUE!</v>
      </c>
      <c r="BX28" s="809"/>
      <c r="BY28" s="143" t="e">
        <f>$BY$19/($BY$19^2+$BZ$19^2)^0.5</f>
        <v>#VALUE!</v>
      </c>
      <c r="BZ28" s="143"/>
      <c r="CA28" s="143" t="e">
        <f>$CA$19/($CA$19^2+$CB$19^2)^0.5</f>
        <v>#VALUE!</v>
      </c>
      <c r="CB28" s="809"/>
    </row>
    <row r="29" spans="1:83" ht="12" customHeight="1" x14ac:dyDescent="0.25">
      <c r="A29" s="17" t="s">
        <v>140</v>
      </c>
      <c r="B29" s="112">
        <v>1</v>
      </c>
      <c r="C29" s="4"/>
      <c r="G29" s="91" t="str">
        <f>IF(ISNUMBER($AH$58),$K$8,"")</f>
        <v/>
      </c>
      <c r="H29" s="90" t="str">
        <f>IF(ISNUMBER($AH$58),"FWL","")</f>
        <v/>
      </c>
      <c r="J29" s="19"/>
      <c r="K29" s="19"/>
      <c r="L29" s="13"/>
      <c r="M29" s="14"/>
      <c r="Q29" s="91" t="str">
        <f>IF(ISNUMBER($AF$58),$K$8,"")</f>
        <v/>
      </c>
      <c r="R29" s="90" t="str">
        <f>IF(ISNUMBER($AF$58),"FEL","")</f>
        <v/>
      </c>
      <c r="V29" s="22"/>
      <c r="W29" s="112">
        <v>4</v>
      </c>
      <c r="X29" s="25" t="s">
        <v>140</v>
      </c>
      <c r="AA29" s="5"/>
      <c r="AB29" s="5"/>
      <c r="AC29" s="5"/>
      <c r="AD29" s="756">
        <v>4</v>
      </c>
      <c r="AE29" s="758" t="s">
        <v>272</v>
      </c>
      <c r="AF29" s="45" t="e">
        <f>IF($AL$29="","",$AL$29-$BX$26)</f>
        <v>#VALUE!</v>
      </c>
      <c r="AG29" s="45" t="e">
        <f>IF($AM$29="","",$AM$29-$BY$26)</f>
        <v>#VALUE!</v>
      </c>
      <c r="AH29" s="45" t="e">
        <f>IF($AL$29="","",$AL$29+$BP$26-$BH$26)</f>
        <v>#VALUE!</v>
      </c>
      <c r="AI29" s="45" t="e">
        <f>IF($AM$29="","",$AM$29+$BQ$26-$BI$26)</f>
        <v>#VALUE!</v>
      </c>
      <c r="AJ29" s="45" t="e">
        <f>IF($AL$29="","",$AL$29+$BP$26)</f>
        <v>#VALUE!</v>
      </c>
      <c r="AK29" s="45" t="e">
        <f>IF($AM$29="","",$AM$29+$BQ$26)</f>
        <v>#VALUE!</v>
      </c>
      <c r="AL29" s="50" t="e">
        <f>IF(AND($AT$24+'SHL Section'!$AJ$8&lt;0,$AS$24+'SHL Section'!$AL$8&gt;0),$AL$24+'SHL Section'!$AJ$8,"")</f>
        <v>#VALUE!</v>
      </c>
      <c r="AM29" s="50" t="e">
        <f>IF(AND($AT$24+'SHL Section'!$AJ$8&lt;0,$AS$24+'SHL Section'!$AL$8&gt;0),$AM$24+'SHL Section'!$AL$8,"")</f>
        <v>#VALUE!</v>
      </c>
      <c r="AN29" s="45" t="e">
        <f>IF($AL$29="","",$AL$29-$BX$26+$AX$22)</f>
        <v>#VALUE!</v>
      </c>
      <c r="AO29" s="45" t="e">
        <f>IF($AM$29="","",$AM$29-$BY$26+$AY$22)</f>
        <v>#VALUE!</v>
      </c>
      <c r="AP29" s="45" t="e">
        <f>IF($AL$29="","",$AL$29+$BP$26-$BJ$22)</f>
        <v>#VALUE!</v>
      </c>
      <c r="AQ29" s="45" t="e">
        <f>IF($AM$29="","",$AM$29+$BQ$26-$BK$22)</f>
        <v>#VALUE!</v>
      </c>
      <c r="AR29" s="45" t="e">
        <f>IF($AL$29="","",$AL$29+$BR$22)</f>
        <v>#VALUE!</v>
      </c>
      <c r="AS29" s="45" t="e">
        <f>IF($AM$29="","",$AM$29+$BS$22)</f>
        <v>#VALUE!</v>
      </c>
      <c r="AT29" s="45" t="e">
        <f>IF($AL$29="","",$AL$29-$BV$22)</f>
        <v>#VALUE!</v>
      </c>
      <c r="AU29" s="45" t="e">
        <f>IF($AM$29="","",$AM$29-$BW$22)</f>
        <v>#VALUE!</v>
      </c>
      <c r="AW29" s="809"/>
      <c r="AX29" s="809"/>
      <c r="AY29" s="809"/>
      <c r="AZ29" s="809"/>
      <c r="BA29" s="809"/>
      <c r="BB29" s="809"/>
      <c r="BC29" s="809"/>
      <c r="BD29" s="809"/>
      <c r="BE29" s="809"/>
      <c r="BF29" s="809"/>
      <c r="BG29" s="809"/>
      <c r="BH29" s="809"/>
      <c r="BI29" s="809"/>
      <c r="BJ29" s="809"/>
      <c r="BK29" s="809"/>
      <c r="BL29" s="809"/>
      <c r="BM29" s="809"/>
      <c r="BN29" s="809"/>
      <c r="BO29" s="809"/>
      <c r="BP29" s="809"/>
      <c r="BQ29" s="809"/>
      <c r="BR29" s="809"/>
      <c r="BS29" s="809"/>
      <c r="BT29" s="809"/>
      <c r="BU29" s="809"/>
      <c r="BV29" s="809"/>
      <c r="BW29" s="809"/>
      <c r="BX29" s="809"/>
      <c r="BY29" s="809"/>
      <c r="BZ29" s="809"/>
      <c r="CA29" s="809"/>
      <c r="CB29" s="809"/>
    </row>
    <row r="30" spans="1:83" ht="12" customHeight="1" x14ac:dyDescent="0.25">
      <c r="A30" s="17" t="s">
        <v>144</v>
      </c>
      <c r="B30" s="27" t="e">
        <f>IF(AND($L$38='SHL Section'!$BF$52,MAX('BHL Section 2'!$BG$37:$BG$40)=4),'BHL Section 2'!$W$30,IF(AND($L$38='SHL Section'!$BF$55,MAX('BHL Section 2'!$BG$41:$BG$44)=4),'BHL Section 2'!$W$30,IF(AND($L$38='SHL Section'!$BF$58,MAX('BHL Section 2'!$BG$45:$BG$48)=4),'BHL Section 2'!$W$30,IF(B26="","",IF(OR(B29=1,B29=4),180-(B26+B27/60+B28/3600),180+(B26+B27/60+B28/3600))))))</f>
        <v>#VALUE!</v>
      </c>
      <c r="C30" s="4"/>
      <c r="G30" s="99" t="str">
        <f>IF(ISNUMBER($AH$69),$B$9,"")</f>
        <v/>
      </c>
      <c r="H30" s="150" t="str">
        <f>IF(AND(G31="",G32=""),"",IF($AH$69=1,"NE/NW",IF($AH$69=2,"NW/NW",IF($AH$69=3,"SW/NW",IF($AH$69=4,"SE/NW","")))))</f>
        <v/>
      </c>
      <c r="J30" s="153"/>
      <c r="K30" s="153"/>
      <c r="L30" s="13"/>
      <c r="M30" s="14"/>
      <c r="Q30" s="98" t="str">
        <f>IF(ISNUMBER($AF$69),$B$9,"")</f>
        <v/>
      </c>
      <c r="R30" s="150" t="str">
        <f>IF(AND(Q31="",Q32=""),"",IF($AF$69=1,"NE/NE",IF($AF$69=2,"NW/NE",IF($AF$69=3,"SW/NE",IF($AF$69=4,"SE/NE","")))))</f>
        <v/>
      </c>
      <c r="V30" s="22"/>
      <c r="W30" s="34" t="e">
        <f>IF(AND($L$38='SHL Section'!$BF$52,MAX('BHL Section 2'!$BG$37:$BG$40)=8),'BHL Section 2'!$B$30,IF(AND($L$38='SHL Section'!$BF$55,MAX('BHL Section 2'!$BG$41:$BG$44)=8),'BHL Section 2'!$B$30,IF(AND($L$38='SHL Section'!$BF$58,MAX('BHL Section 2'!$BG$45:$BG$48)=8),'BHL Section 2'!$B$30,IF(W26="","",IF(OR(W29=1,W29=4),180-(W26+W27/60+W28/3600),180+(W26+W27/60+W28/3600))))))</f>
        <v>#VALUE!</v>
      </c>
      <c r="X30" s="25" t="s">
        <v>144</v>
      </c>
      <c r="AA30" s="5"/>
      <c r="AB30" s="5"/>
      <c r="AC30" s="5"/>
      <c r="AD30" s="944"/>
      <c r="AE30" s="911"/>
      <c r="AF30" s="80" t="str">
        <f>IF(ISNUMBER($AF$26),AF$26,IF(ISNUMBER($AH$27),AF$27,IF(ISNUMBER($AJ$28),AF$28,IF(ISNUMBER($AL$29),AF$29,""))))</f>
        <v/>
      </c>
      <c r="AG30" s="80" t="str">
        <f>IF(ISNUMBER($AG$26),AG$26,IF(ISNUMBER($AI$27),AG$27,IF(ISNUMBER($AK$28),AG$28,IF(ISNUMBER($AM$29),AG$29,""))))</f>
        <v/>
      </c>
      <c r="AH30" s="80" t="str">
        <f>IF(ISNUMBER($AF$26),AH$26,IF(ISNUMBER($AH$27),AH$27,IF(ISNUMBER($AJ$28),AH$28,IF(ISNUMBER($AL$29),AH$29,""))))</f>
        <v/>
      </c>
      <c r="AI30" s="80" t="str">
        <f>IF(ISNUMBER($AG$26),AI$26,IF(ISNUMBER($AI$27),AI$27,IF(ISNUMBER($AK$28),AI$28,IF(ISNUMBER($AM$29),AI$29,""))))</f>
        <v/>
      </c>
      <c r="AJ30" s="80" t="str">
        <f>IF(ISNUMBER($AF$26),AJ$26,IF(ISNUMBER($AH$27),AJ$27,IF(ISNUMBER($AJ$28),AJ$28,IF(ISNUMBER($AL$29),AJ$29,""))))</f>
        <v/>
      </c>
      <c r="AK30" s="80" t="str">
        <f>IF(ISNUMBER($AG$26),AK$26,IF(ISNUMBER($AI$27),AK$27,IF(ISNUMBER($AK$28),AK$28,IF(ISNUMBER($AM$29),AK$29,""))))</f>
        <v/>
      </c>
      <c r="AL30" s="80" t="str">
        <f>IF(ISNUMBER($AF$26),AL$26,IF(ISNUMBER($AH$27),AL$27,IF(ISNUMBER($AJ$28),AL$28,IF(ISNUMBER($AL$29),AL$29,""))))</f>
        <v/>
      </c>
      <c r="AM30" s="80" t="str">
        <f>IF(ISNUMBER($AG$26),AM$26,IF(ISNUMBER($AI$27),AM$27,IF(ISNUMBER($AK$28),AM$28,IF(ISNUMBER($AM$29),AM$29,""))))</f>
        <v/>
      </c>
      <c r="AN30" s="80" t="str">
        <f>IF(ISNUMBER($AF$26),AN$26,IF(ISNUMBER($AH$27),AN$27,IF(ISNUMBER($AJ$28),AN$28,IF(ISNUMBER($AL$29),AN$29,""))))</f>
        <v/>
      </c>
      <c r="AO30" s="80" t="str">
        <f>IF(ISNUMBER($AG$26),AO$26,IF(ISNUMBER($AI$27),AO$27,IF(ISNUMBER($AK$28),AO$28,IF(ISNUMBER($AM$29),AO$29,""))))</f>
        <v/>
      </c>
      <c r="AP30" s="80" t="str">
        <f>IF(ISNUMBER($AF$26),AP$26,IF(ISNUMBER($AH$27),AP$27,IF(ISNUMBER($AJ$28),AP$28,IF(ISNUMBER($AL$29),AP$29,""))))</f>
        <v/>
      </c>
      <c r="AQ30" s="80" t="str">
        <f>IF(ISNUMBER($AG$26),AQ$26,IF(ISNUMBER($AI$27),AQ$27,IF(ISNUMBER($AK$28),AQ$28,IF(ISNUMBER($AM$29),AQ$29,""))))</f>
        <v/>
      </c>
      <c r="AR30" s="80" t="str">
        <f>IF(ISNUMBER($AF$26),AR$26,IF(ISNUMBER($AH$27),AR$27,IF(ISNUMBER($AJ$28),AR$28,IF(ISNUMBER($AL$29),AR$29,""))))</f>
        <v/>
      </c>
      <c r="AS30" s="80" t="str">
        <f>IF(ISNUMBER($AG$26),AS$26,IF(ISNUMBER($AI$27),AS$27,IF(ISNUMBER($AK$28),AS$28,IF(ISNUMBER($AM$29),AS$29,""))))</f>
        <v/>
      </c>
      <c r="AT30" s="80" t="str">
        <f>IF(ISNUMBER($AF$26),AT$26,IF(ISNUMBER($AH$27),AT$27,IF(ISNUMBER($AJ$28),AT$28,IF(ISNUMBER($AL$29),AT$29,""))))</f>
        <v/>
      </c>
      <c r="AU30" s="80" t="str">
        <f>IF(ISNUMBER($AG$26),AU$26,IF(ISNUMBER($AI$27),AU$27,IF(ISNUMBER($AK$28),AU$28,IF(ISNUMBER($AM$29),AU$29,""))))</f>
        <v/>
      </c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  <c r="CB30" s="809"/>
    </row>
    <row r="31" spans="1:83" ht="12" customHeight="1" x14ac:dyDescent="0.25">
      <c r="C31" s="4"/>
      <c r="G31" s="151" t="str">
        <f>IF(ISNUMBER($AH$69),$I$9,"")</f>
        <v/>
      </c>
      <c r="H31" s="152" t="str">
        <f>IF(ISNUMBER($AH$69),"FNL","")</f>
        <v/>
      </c>
      <c r="J31" s="153"/>
      <c r="K31" s="153"/>
      <c r="L31" s="13"/>
      <c r="M31" s="14"/>
      <c r="Q31" s="151" t="str">
        <f>IF(ISNUMBER($AF$69),$I$9,"")</f>
        <v/>
      </c>
      <c r="R31" s="152" t="str">
        <f>IF(ISNUMBER($AF$69),"FNL","")</f>
        <v/>
      </c>
      <c r="V31" s="22"/>
      <c r="AA31" s="5"/>
      <c r="AB31" s="5"/>
      <c r="AC31" s="5"/>
      <c r="AD31" s="94"/>
      <c r="AE31" s="95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  <c r="CB31" s="809"/>
    </row>
    <row r="32" spans="1:83" ht="12" customHeight="1" x14ac:dyDescent="0.25">
      <c r="B32" s="44" t="e">
        <f>IF(AND($AA$10=1,$L$38='SHL Section'!$BF$52,MAX('BHL Section 2'!$BG$37:$BG$40)=4),'BHL Section 2'!$W$32,IF(AND($AA$10=1,$L$38='SHL Section'!$BF$55,MAX('BHL Section 2'!$BG$41:$BG$44)=4),'BHL Section 2'!$W$32,IF(AND($AA$10=1,$L$38='SHL Section'!$BF$58,MAX('BHL Section 2'!$BG$45:$BG$48)=4),'BHL Section 2'!$W$32,'BHL Section 3'!B33)))</f>
        <v>#VALUE!</v>
      </c>
      <c r="C32" s="4"/>
      <c r="F32" s="19"/>
      <c r="G32" s="91" t="str">
        <f>IF(ISNUMBER($AH$69),$K$9,"")</f>
        <v/>
      </c>
      <c r="H32" s="90" t="str">
        <f>IF(ISNUMBER($AH$69),"FWL","")</f>
        <v/>
      </c>
      <c r="I32" s="154"/>
      <c r="J32" s="153"/>
      <c r="K32" s="153"/>
      <c r="L32" s="13"/>
      <c r="M32" s="14"/>
      <c r="Q32" s="91" t="str">
        <f>IF(ISNUMBER($AF$69),$K$9,"")</f>
        <v/>
      </c>
      <c r="R32" s="90" t="str">
        <f>IF(ISNUMBER($AF$69),"FEL","")</f>
        <v/>
      </c>
      <c r="V32" s="22"/>
      <c r="W32" s="154" t="e">
        <f>IF(AND($AA$10=1,$L$38='SHL Section'!$BF$52,MAX('BHL Section 2'!$BG$37:$BG$40)=8),'BHL Section 2'!$B$32,IF(AND($AA$10=1,$L$38='SHL Section'!$BF$55,MAX('BHL Section 2'!$BG$41:$BG$44)=8),'BHL Section 2'!$B$32,IF(AND($AA$10=1,$L$38='SHL Section'!$BF$58,MAX('BHL Section 2'!$BG$45:$BG$48)=8),'BHL Section 2'!$B$32,'BHL Section 3'!W33)))</f>
        <v>#VALUE!</v>
      </c>
      <c r="AA32" s="5"/>
      <c r="AB32" s="5"/>
      <c r="AC32" s="5"/>
      <c r="AD32" s="52">
        <v>1</v>
      </c>
      <c r="AE32" s="53" t="s">
        <v>274</v>
      </c>
      <c r="AF32" s="47" t="e">
        <f>IF(AND($AT$24+'SHL Section'!$AJ$9&gt;0,$AO$24+'SHL Section'!$AL$9&gt;0),$AF$24+'SHL Section'!$AJ$9,"")</f>
        <v>#VALUE!</v>
      </c>
      <c r="AG32" s="47" t="e">
        <f>IF(AND($AT$24+'SHL Section'!$AJ$9&gt;0,$AO$24+'SHL Section'!$AL$9&gt;0),$AG$24+'SHL Section'!$AL$9,"")</f>
        <v>#VALUE!</v>
      </c>
      <c r="AH32" s="32" t="e">
        <f>IF($AF$32="","",$AZ$26+$AF$32)</f>
        <v>#VALUE!</v>
      </c>
      <c r="AI32" s="32" t="e">
        <f>IF($AG$32="","",$BA$26+$AG$32)</f>
        <v>#VALUE!</v>
      </c>
      <c r="AJ32" s="32" t="e">
        <f>IF($AF$32="","",$BH$26+$AZ$26+$AF$32)</f>
        <v>#VALUE!</v>
      </c>
      <c r="AK32" s="32" t="e">
        <f>IF($AG$32="","",$BA$26+$BI$26+$AG$32)</f>
        <v>#VALUE!</v>
      </c>
      <c r="AL32" s="32" t="e">
        <f>IF($AF$32="","",$BX$26+$AF$32)</f>
        <v>#VALUE!</v>
      </c>
      <c r="AM32" s="32" t="e">
        <f>IF($AG$32="","",$AG$32+$BY$26)</f>
        <v>#VALUE!</v>
      </c>
      <c r="AN32" s="32" t="e">
        <f>IF($AF$32="","",$AX$22+$AF$32)</f>
        <v>#VALUE!</v>
      </c>
      <c r="AO32" s="32" t="e">
        <f>IF($AG$32="","",$AY$22+$AG$32)</f>
        <v>#VALUE!</v>
      </c>
      <c r="AP32" s="32" t="e">
        <f>IF($AF$32="","",$AZ$26+$AF$32+$BF$22)</f>
        <v>#VALUE!</v>
      </c>
      <c r="AQ32" s="32" t="e">
        <f>IF($AG$32="","",$BA$26+$AG$32+$BG$22)</f>
        <v>#VALUE!</v>
      </c>
      <c r="AR32" s="32" t="e">
        <f>IF($AF$32="","",$BX$26+$AF$32+$BR$22)</f>
        <v>#VALUE!</v>
      </c>
      <c r="AS32" s="32" t="e">
        <f>IF($AG$32="","",$AG$32+$BY$26+$BS$22)</f>
        <v>#VALUE!</v>
      </c>
      <c r="AT32" s="32" t="e">
        <f>IF($AF$32="","",$BZ$22+$AF$32)</f>
        <v>#VALUE!</v>
      </c>
      <c r="AU32" s="32" t="e">
        <f>IF($AG$32="","",$AG$32+$CA$22)</f>
        <v>#VALUE!</v>
      </c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  <c r="CB32" s="809"/>
    </row>
    <row r="33" spans="1:80" ht="12" customHeight="1" x14ac:dyDescent="0.25">
      <c r="A33" s="17" t="s">
        <v>118</v>
      </c>
      <c r="B33" s="217">
        <v>2645.06</v>
      </c>
      <c r="C33" s="4"/>
      <c r="G33" s="99" t="str">
        <f>IF(ISNUMBER($AH$80),$B$10,"")</f>
        <v/>
      </c>
      <c r="H33" s="150" t="str">
        <f>IF(AND(G34="",G35=""),"",IF($AH$80=1,"NE/NW",IF($AH$80=2,"NW/NW",IF($AH$80=3,"SW/NW",IF($AH$80=4,"SE/NW","")))))</f>
        <v/>
      </c>
      <c r="J33" s="153"/>
      <c r="K33" s="153"/>
      <c r="L33" s="13"/>
      <c r="M33" s="14"/>
      <c r="Q33" s="98" t="str">
        <f>IF(ISNUMBER($AF$80),$B$10,"")</f>
        <v/>
      </c>
      <c r="R33" s="150" t="str">
        <f>IF(AND(Q34="",Q35=""),"",IF($AF$80=1,"NE/NE",IF($AF$80=2,"NW/NE",IF($AF$80=3,"SW/NE",IF($AF$80=4,"SE/NE","")))))</f>
        <v/>
      </c>
      <c r="S33" s="154"/>
      <c r="T33" s="153"/>
      <c r="U33" s="5"/>
      <c r="V33" s="22"/>
      <c r="W33" s="113">
        <v>2675.79</v>
      </c>
      <c r="X33" s="25" t="s">
        <v>118</v>
      </c>
      <c r="AA33" s="5"/>
      <c r="AB33" s="5"/>
      <c r="AC33" s="5"/>
      <c r="AD33" s="52">
        <v>2</v>
      </c>
      <c r="AE33" s="53" t="s">
        <v>274</v>
      </c>
      <c r="AF33" s="32" t="e">
        <f>IF($AH$33="","",$AH$33-$AZ$26)</f>
        <v>#VALUE!</v>
      </c>
      <c r="AG33" s="32" t="e">
        <f>IF($AI$33="","",$AI$33-$BA$26)</f>
        <v>#VALUE!</v>
      </c>
      <c r="AH33" s="47" t="e">
        <f>IF(AND($AP$24+'SHL Section'!$AJ$9&gt;0,$AO$24+'SHL Section'!$AL$9&lt;0),$AH$24+'SHL Section'!$AJ$9,"")</f>
        <v>#VALUE!</v>
      </c>
      <c r="AI33" s="47" t="e">
        <f>IF(AND($AP$24+'SHL Section'!$AJ$9&gt;0,$AO$24+'SHL Section'!$AL$9&lt;0),$AI$24+'SHL Section'!$AL$9,"")</f>
        <v>#VALUE!</v>
      </c>
      <c r="AJ33" s="32" t="e">
        <f>IF($AH$33="","",$BH$26+$AH$33)</f>
        <v>#VALUE!</v>
      </c>
      <c r="AK33" s="32" t="e">
        <f>IF($AI$33="","",$AI$33+$BI$26)</f>
        <v>#VALUE!</v>
      </c>
      <c r="AL33" s="32" t="e">
        <f>IF($AH$33="","",$AH$33-$AZ$26+$BX$26)</f>
        <v>#VALUE!</v>
      </c>
      <c r="AM33" s="32" t="e">
        <f>IF($AI$33="","",$AI$33-$BA$26+$BY$26)</f>
        <v>#VALUE!</v>
      </c>
      <c r="AN33" s="32" t="e">
        <f>IF($AH$33="","",$AH$33-$BB$22)</f>
        <v>#VALUE!</v>
      </c>
      <c r="AO33" s="32" t="e">
        <f>IF($AI$33="","",AI$33-$BC$22)</f>
        <v>#VALUE!</v>
      </c>
      <c r="AP33" s="32" t="e">
        <f>IF($AH$33="","",$BF$22+$AH$33)</f>
        <v>#VALUE!</v>
      </c>
      <c r="AQ33" s="32" t="e">
        <f>IF($AI$33="","",$AI$33+$BG$22)</f>
        <v>#VALUE!</v>
      </c>
      <c r="AR33" s="32" t="e">
        <f>IF($AH$33="","",$BH$26+$AH$33-$BN$22)</f>
        <v>#VALUE!</v>
      </c>
      <c r="AS33" s="32" t="e">
        <f>IF($AI$33="","",$AI$33+$BI$26-$BO$22)</f>
        <v>#VALUE!</v>
      </c>
      <c r="AT33" s="32" t="e">
        <f>IF($AH$33="","",$AH$33-$AZ$26+$BZ$22)</f>
        <v>#VALUE!</v>
      </c>
      <c r="AU33" s="32" t="e">
        <f>IF($AI$33="","",$AI$33-$BA$26+$CA$22)</f>
        <v>#VALUE!</v>
      </c>
    </row>
    <row r="34" spans="1:80" ht="12" customHeight="1" x14ac:dyDescent="0.25">
      <c r="A34" s="17" t="s">
        <v>124</v>
      </c>
      <c r="B34" s="148">
        <v>1</v>
      </c>
      <c r="C34" s="4"/>
      <c r="G34" s="151" t="str">
        <f>IF(ISNUMBER($AH$80),$I$10,"")</f>
        <v/>
      </c>
      <c r="H34" s="152" t="str">
        <f>IF(ISNUMBER($AH$80),"FNL","")</f>
        <v/>
      </c>
      <c r="J34" s="153"/>
      <c r="K34" s="153"/>
      <c r="L34" s="13"/>
      <c r="M34" s="14"/>
      <c r="Q34" s="151" t="str">
        <f>IF(ISNUMBER($AF$80),$I$10,"")</f>
        <v/>
      </c>
      <c r="R34" s="152" t="str">
        <f>IF(ISNUMBER($AF$80),"FNL","")</f>
        <v/>
      </c>
      <c r="S34" s="154"/>
      <c r="T34" s="153"/>
      <c r="U34" s="5"/>
      <c r="V34" s="22"/>
      <c r="W34" s="148">
        <v>1</v>
      </c>
      <c r="X34" s="25" t="s">
        <v>124</v>
      </c>
      <c r="AA34" s="5"/>
      <c r="AB34" s="5"/>
      <c r="AC34" s="5"/>
      <c r="AD34" s="52">
        <v>3</v>
      </c>
      <c r="AE34" s="53" t="s">
        <v>274</v>
      </c>
      <c r="AF34" s="32" t="e">
        <f>IF($AJ$34="","",$AJ$34-$BH$26-$AZ$26)</f>
        <v>#VALUE!</v>
      </c>
      <c r="AG34" s="32" t="e">
        <f>IF($AK$34="","",$AK$34-$BI$26-$BA$26)</f>
        <v>#VALUE!</v>
      </c>
      <c r="AH34" s="32" t="e">
        <f>IF($AJ$34="","",$AJ$34-$BH$26)</f>
        <v>#VALUE!</v>
      </c>
      <c r="AI34" s="32" t="e">
        <f>IF($AK$34="","",$AK$34-$BI$26)</f>
        <v>#VALUE!</v>
      </c>
      <c r="AJ34" s="47" t="e">
        <f>IF(AND($AP$24+'SHL Section'!$AJ$9&lt;0,$AS$24+'SHL Section'!$AL$9&lt;0),$AJ$24+'SHL Section'!$AJ$9,"")</f>
        <v>#VALUE!</v>
      </c>
      <c r="AK34" s="47" t="e">
        <f>IF(AND($AP$24+'SHL Section'!$AJ$9&lt;0,$AS$24+'SHL Section'!$AL$9&lt;0),$AK$24+'SHL Section'!$AL$9,"")</f>
        <v>#VALUE!</v>
      </c>
      <c r="AL34" s="32" t="e">
        <f>IF($AJ$34="","",$AJ$34-$BP$26)</f>
        <v>#VALUE!</v>
      </c>
      <c r="AM34" s="32" t="e">
        <f>IF($AK$34="","",$AK$34-$BQ$26)</f>
        <v>#VALUE!</v>
      </c>
      <c r="AN34" s="32" t="e">
        <f>IF($AJ$34="","",$AJ$34-$BH$26-$BB$22)</f>
        <v>#VALUE!</v>
      </c>
      <c r="AO34" s="32" t="e">
        <f>IF($AK$34="","",$AK$34-$BI$26-$BC$22)</f>
        <v>#VALUE!</v>
      </c>
      <c r="AP34" s="32" t="e">
        <f>IF($AJ$34="","",$AJ$34-$BJ$22)</f>
        <v>#VALUE!</v>
      </c>
      <c r="AQ34" s="32" t="e">
        <f>IF($AK$34="","",$AK$34-$BK$22)</f>
        <v>#VALUE!</v>
      </c>
      <c r="AR34" s="32" t="e">
        <f>IF($AJ$34="","",$AJ$34-$BN$22)</f>
        <v>#VALUE!</v>
      </c>
      <c r="AS34" s="32" t="e">
        <f>IF($AK$34="","",$AK$34-$BO$22)</f>
        <v>#VALUE!</v>
      </c>
      <c r="AT34" s="32" t="e">
        <f>IF($AJ$34="","",$AJ$34-$BP$26-$BV$22)</f>
        <v>#VALUE!</v>
      </c>
      <c r="AU34" s="32" t="e">
        <f>IF($AK$34="","",$AK$34-$BQ$26-$BW$22)</f>
        <v>#VALUE!</v>
      </c>
      <c r="CA34" s="19"/>
      <c r="CB34" s="19"/>
    </row>
    <row r="35" spans="1:80" ht="12" customHeight="1" x14ac:dyDescent="0.25">
      <c r="A35" s="17" t="s">
        <v>130</v>
      </c>
      <c r="B35" s="148">
        <v>0</v>
      </c>
      <c r="C35" s="4"/>
      <c r="G35" s="91" t="str">
        <f>IF(ISNUMBER($AH$80),$K$10,"")</f>
        <v/>
      </c>
      <c r="H35" s="90" t="str">
        <f>IF(ISNUMBER($AH$80),"FWL","")</f>
        <v/>
      </c>
      <c r="J35" s="153"/>
      <c r="K35" s="153"/>
      <c r="L35" s="13"/>
      <c r="M35" s="14"/>
      <c r="Q35" s="91" t="str">
        <f>IF(ISNUMBER($AF$80),$K$10,"")</f>
        <v/>
      </c>
      <c r="R35" s="90" t="str">
        <f>IF(ISNUMBER($AF$80),"FEL","")</f>
        <v/>
      </c>
      <c r="S35" s="154"/>
      <c r="T35" s="153"/>
      <c r="U35" s="5"/>
      <c r="V35" s="22"/>
      <c r="W35" s="148">
        <v>22</v>
      </c>
      <c r="X35" s="25" t="s">
        <v>130</v>
      </c>
      <c r="AA35" s="5"/>
      <c r="AB35" s="29"/>
      <c r="AC35" s="29"/>
      <c r="AD35" s="756">
        <v>4</v>
      </c>
      <c r="AE35" s="758" t="s">
        <v>274</v>
      </c>
      <c r="AF35" s="45" t="e">
        <f>IF($AL$35="","",$AL$35-$BX$26)</f>
        <v>#VALUE!</v>
      </c>
      <c r="AG35" s="45" t="e">
        <f>IF($AM$35="","",$AM$35-$BY$26)</f>
        <v>#VALUE!</v>
      </c>
      <c r="AH35" s="45" t="e">
        <f>IF($AL$35="","",$AL$35+$BP$26-$BH$26)</f>
        <v>#VALUE!</v>
      </c>
      <c r="AI35" s="45" t="e">
        <f>IF($AM$35="","",$AM$35+$BQ$26-$BI$26)</f>
        <v>#VALUE!</v>
      </c>
      <c r="AJ35" s="45" t="e">
        <f>IF($AL$35="","",$AL$35+$BP$26)</f>
        <v>#VALUE!</v>
      </c>
      <c r="AK35" s="45" t="e">
        <f>IF($AM$35="","",$AM$35+$BQ$26)</f>
        <v>#VALUE!</v>
      </c>
      <c r="AL35" s="50" t="e">
        <f>IF(AND($AT$24+'SHL Section'!$AJ$9&lt;0,$AS$24+'SHL Section'!$AL$9&gt;0),$AL$24+'SHL Section'!$AJ$9,"")</f>
        <v>#VALUE!</v>
      </c>
      <c r="AM35" s="50" t="e">
        <f>IF(AND($AT$24+'SHL Section'!$AJ$9&lt;0,$AS$24+'SHL Section'!$AL$9&gt;0),$AM$24+'SHL Section'!$AL$9,"")</f>
        <v>#VALUE!</v>
      </c>
      <c r="AN35" s="45" t="e">
        <f>IF($AL$35="","",$AL$35-$BX$26+$AX$22)</f>
        <v>#VALUE!</v>
      </c>
      <c r="AO35" s="45" t="e">
        <f>IF($AM$35="","",$AM$35-$BY$26+$AY$22)</f>
        <v>#VALUE!</v>
      </c>
      <c r="AP35" s="45" t="e">
        <f>IF($AL$35="","",$AL$35+$BP$26-$BJ$22)</f>
        <v>#VALUE!</v>
      </c>
      <c r="AQ35" s="45" t="e">
        <f>IF($AM$35="","",$AM$35+$BQ$26-$BK$22)</f>
        <v>#VALUE!</v>
      </c>
      <c r="AR35" s="45" t="e">
        <f>IF($AL$35="","",$AL$35+$BR$22)</f>
        <v>#VALUE!</v>
      </c>
      <c r="AS35" s="45" t="e">
        <f>IF($AM$35="","",$AM$35+$BS$22)</f>
        <v>#VALUE!</v>
      </c>
      <c r="AT35" s="45" t="e">
        <f>IF($AL$35="","",$AL$35-$BV$22)</f>
        <v>#VALUE!</v>
      </c>
      <c r="AU35" s="45" t="e">
        <f>IF($AM$35="","",$AM$35-$BW$22)</f>
        <v>#VALUE!</v>
      </c>
      <c r="BH35" s="53">
        <v>1</v>
      </c>
      <c r="BI35" s="53">
        <v>2</v>
      </c>
      <c r="BJ35" s="53">
        <v>3</v>
      </c>
      <c r="BK35" s="53">
        <v>4</v>
      </c>
      <c r="BL35" s="53">
        <v>5</v>
      </c>
      <c r="BM35" s="53">
        <v>6</v>
      </c>
      <c r="BN35" s="53">
        <v>7</v>
      </c>
      <c r="BO35" s="53">
        <v>8</v>
      </c>
      <c r="BP35" s="53">
        <v>9</v>
      </c>
      <c r="CA35" s="19"/>
      <c r="CB35" s="19"/>
    </row>
    <row r="36" spans="1:80" ht="12" customHeight="1" x14ac:dyDescent="0.25">
      <c r="A36" s="17" t="s">
        <v>134</v>
      </c>
      <c r="B36" s="148">
        <v>34</v>
      </c>
      <c r="C36" s="4"/>
      <c r="J36" s="153"/>
      <c r="K36" s="153"/>
      <c r="L36" s="13"/>
      <c r="M36" s="14"/>
      <c r="S36" s="154"/>
      <c r="T36" s="153"/>
      <c r="U36" s="5"/>
      <c r="V36" s="22"/>
      <c r="W36" s="148">
        <v>49</v>
      </c>
      <c r="X36" s="25" t="s">
        <v>134</v>
      </c>
      <c r="AA36" s="5"/>
      <c r="AB36" s="29"/>
      <c r="AC36" s="29"/>
      <c r="AD36" s="944"/>
      <c r="AE36" s="911"/>
      <c r="AF36" s="80" t="str">
        <f>IF(ISNUMBER($AF$32),AF$32,IF(ISNUMBER($AH$33),AF$33,IF(ISNUMBER($AJ$34),AF$34,IF(ISNUMBER($AL$35),AF$35,""))))</f>
        <v/>
      </c>
      <c r="AG36" s="80" t="str">
        <f>IF(ISNUMBER($AG$32),AG$32,IF(ISNUMBER($AI$33),AG$33,IF(ISNUMBER($AK$34),AG$34,IF(ISNUMBER($AM$35),AG$35,""))))</f>
        <v/>
      </c>
      <c r="AH36" s="80" t="str">
        <f>IF(ISNUMBER($AF$32),AH$32,IF(ISNUMBER($AH$33),AH$33,IF(ISNUMBER($AJ$34),AH$34,IF(ISNUMBER($AL$35),AH$35,""))))</f>
        <v/>
      </c>
      <c r="AI36" s="80" t="str">
        <f>IF(ISNUMBER($AG$32),AI$32,IF(ISNUMBER($AI$33),AI$33,IF(ISNUMBER($AK$34),AI$34,IF(ISNUMBER($AM$35),AI$35,""))))</f>
        <v/>
      </c>
      <c r="AJ36" s="80" t="str">
        <f>IF(ISNUMBER($AF$32),AJ$32,IF(ISNUMBER($AH$33),AJ$33,IF(ISNUMBER($AJ$34),AJ$34,IF(ISNUMBER($AL$35),AJ$35,""))))</f>
        <v/>
      </c>
      <c r="AK36" s="80" t="str">
        <f>IF(ISNUMBER($AG$32),AK$32,IF(ISNUMBER($AI$33),AK$33,IF(ISNUMBER($AK$34),AK$34,IF(ISNUMBER($AM$35),AK$35,""))))</f>
        <v/>
      </c>
      <c r="AL36" s="80" t="str">
        <f>IF(ISNUMBER($AF$32),AL$32,IF(ISNUMBER($AH$33),AL$33,IF(ISNUMBER($AJ$34),AL$34,IF(ISNUMBER($AL$35),AL$35,""))))</f>
        <v/>
      </c>
      <c r="AM36" s="80" t="str">
        <f>IF(ISNUMBER($AG$32),AM$32,IF(ISNUMBER($AI$33),AM$33,IF(ISNUMBER($AK$34),AM$34,IF(ISNUMBER($AM$35),AM$35,""))))</f>
        <v/>
      </c>
      <c r="AN36" s="80" t="str">
        <f>IF(ISNUMBER($AF$32),AN$32,IF(ISNUMBER($AH$33),AN$33,IF(ISNUMBER($AJ$34),AN$34,IF(ISNUMBER($AL$35),AN$35,""))))</f>
        <v/>
      </c>
      <c r="AO36" s="80" t="str">
        <f>IF(ISNUMBER($AG$32),AO$32,IF(ISNUMBER($AI$33),AO$33,IF(ISNUMBER($AK$34),AO$34,IF(ISNUMBER($AM$35),AO$35,""))))</f>
        <v/>
      </c>
      <c r="AP36" s="80" t="str">
        <f>IF(ISNUMBER($AF$32),AP$32,IF(ISNUMBER($AH$33),AP$33,IF(ISNUMBER($AJ$34),AP$34,IF(ISNUMBER($AL$35),AP$35,""))))</f>
        <v/>
      </c>
      <c r="AQ36" s="80" t="str">
        <f>IF(ISNUMBER($AG$32),AQ$32,IF(ISNUMBER($AI$33),AQ$33,IF(ISNUMBER($AK$34),AQ$34,IF(ISNUMBER($AM$35),AQ$35,""))))</f>
        <v/>
      </c>
      <c r="AR36" s="80" t="str">
        <f>IF(ISNUMBER($AF$32),AR$32,IF(ISNUMBER($AH$33),AR$33,IF(ISNUMBER($AJ$34),AR$34,IF(ISNUMBER($AL$35),AR$35,""))))</f>
        <v/>
      </c>
      <c r="AS36" s="80" t="str">
        <f>IF(ISNUMBER($AG$32),AS$32,IF(ISNUMBER($AI$33),AS$33,IF(ISNUMBER($AK$34),AS$34,IF(ISNUMBER($AM$35),AS$35,""))))</f>
        <v/>
      </c>
      <c r="AT36" s="80" t="str">
        <f>IF(ISNUMBER($AF$32),AT$32,IF(ISNUMBER($AH$33),AT$33,IF(ISNUMBER($AJ$34),AT$34,IF(ISNUMBER($AL$35),AT$35,""))))</f>
        <v/>
      </c>
      <c r="AU36" s="80" t="str">
        <f>IF(ISNUMBER($AG$32),AU$32,IF(ISNUMBER($AI$33),AU$33,IF(ISNUMBER($AK$34),AU$34,IF(ISNUMBER($AM$35),AU$35,""))))</f>
        <v/>
      </c>
      <c r="AW36" s="233" t="s">
        <v>181</v>
      </c>
      <c r="AX36" s="233" t="s">
        <v>12</v>
      </c>
      <c r="AY36" s="233" t="s">
        <v>182</v>
      </c>
      <c r="AZ36" s="233" t="s">
        <v>183</v>
      </c>
      <c r="BA36" s="235" t="s">
        <v>280</v>
      </c>
      <c r="BB36" s="233" t="s">
        <v>185</v>
      </c>
      <c r="BC36" s="233" t="s">
        <v>281</v>
      </c>
      <c r="BE36" s="117" t="s">
        <v>331</v>
      </c>
      <c r="BF36" s="118" t="s">
        <v>346</v>
      </c>
      <c r="BG36" s="119" t="s">
        <v>347</v>
      </c>
      <c r="BH36" s="53" t="s">
        <v>12</v>
      </c>
      <c r="BI36" s="53" t="s">
        <v>183</v>
      </c>
      <c r="BJ36" s="53" t="s">
        <v>280</v>
      </c>
      <c r="BK36" s="53" t="s">
        <v>197</v>
      </c>
      <c r="BL36" s="53" t="s">
        <v>286</v>
      </c>
      <c r="BM36" s="53" t="s">
        <v>188</v>
      </c>
      <c r="BN36" s="53" t="s">
        <v>284</v>
      </c>
      <c r="BO36" s="53" t="s">
        <v>204</v>
      </c>
      <c r="BP36" s="53" t="s">
        <v>282</v>
      </c>
      <c r="CA36" s="19"/>
      <c r="CB36" s="19"/>
    </row>
    <row r="37" spans="1:80" ht="12" customHeight="1" thickBot="1" x14ac:dyDescent="0.3">
      <c r="A37" s="17" t="s">
        <v>140</v>
      </c>
      <c r="B37" s="112">
        <v>1</v>
      </c>
      <c r="C37" s="4"/>
      <c r="J37" s="153"/>
      <c r="K37" s="153"/>
      <c r="L37" s="13"/>
      <c r="M37" s="14"/>
      <c r="O37" s="19"/>
      <c r="P37" s="19"/>
      <c r="S37" s="154"/>
      <c r="T37" s="153"/>
      <c r="U37" s="5"/>
      <c r="V37" s="22"/>
      <c r="W37" s="112">
        <v>1</v>
      </c>
      <c r="X37" s="25" t="s">
        <v>140</v>
      </c>
      <c r="AA37" s="5"/>
      <c r="AB37" s="5"/>
      <c r="AC37" s="5"/>
      <c r="AD37" s="94"/>
      <c r="AE37" s="95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W37" s="233" t="s">
        <v>186</v>
      </c>
      <c r="AX37" s="233" t="s">
        <v>384</v>
      </c>
      <c r="AY37" s="233" t="s">
        <v>187</v>
      </c>
      <c r="AZ37" s="233" t="s">
        <v>188</v>
      </c>
      <c r="BA37" s="235" t="s">
        <v>282</v>
      </c>
      <c r="BB37" s="233" t="s">
        <v>190</v>
      </c>
      <c r="BC37" s="233" t="s">
        <v>283</v>
      </c>
      <c r="BE37" s="52">
        <v>1</v>
      </c>
      <c r="BF37" s="53" t="s">
        <v>272</v>
      </c>
      <c r="BG37" s="36" t="str">
        <f>IF(AND(MAX($AF$58:$AM$58)&lt;1,ISNUMBER($AF$26), ISNUMBER($AG$26)),IF(AND($AF$26&gt;0,$AG$26&gt;0),3,IF(AND($AF$26&lt;0,IF(-$AF$26&lt;$CA$19,$AP$62,$AP$65)&lt;0),4,IF(AND(IF(-$AG$26&lt;$AX$19,$AO$62,$AO$63)&lt;0,$AG$26&lt;0),2,""))),"")</f>
        <v/>
      </c>
      <c r="BH37" s="235">
        <v>1</v>
      </c>
      <c r="BI37" s="235">
        <v>36</v>
      </c>
      <c r="BJ37" s="235">
        <v>31</v>
      </c>
      <c r="BK37" s="235">
        <v>6</v>
      </c>
      <c r="BL37" s="235">
        <v>7</v>
      </c>
      <c r="BM37" s="235">
        <v>12</v>
      </c>
      <c r="BN37" s="235">
        <v>11</v>
      </c>
      <c r="BO37" s="235">
        <v>2</v>
      </c>
      <c r="BP37" s="235">
        <v>35</v>
      </c>
      <c r="CA37" s="19"/>
      <c r="CB37" s="19"/>
    </row>
    <row r="38" spans="1:80" ht="12" customHeight="1" x14ac:dyDescent="0.25">
      <c r="A38" s="17" t="s">
        <v>144</v>
      </c>
      <c r="B38" s="27" t="e">
        <f>IF(AND($L$38='SHL Section'!$BF$52,MAX('BHL Section 2'!$BG$37:$BG$40)=4),'BHL Section 2'!$W$38,IF(AND($L$38='SHL Section'!$BF$55,MAX('BHL Section 2'!$BG$41:$BG$44)=4),'BHL Section 2'!$W$38,IF(AND($L$38='SHL Section'!$BF$58,MAX('BHL Section 2'!$BG$45:$BG$48)=4),'BHL Section 2'!$W$38,IF(B34="","",IF(OR(B37=1,B37=4),180-(B34+B35/60+B36/3600),180+(B34+B35/60+B36/3600))))))</f>
        <v>#VALUE!</v>
      </c>
      <c r="C38" s="4"/>
      <c r="F38" s="815"/>
      <c r="I38" s="154"/>
      <c r="J38" s="153"/>
      <c r="K38" s="153"/>
      <c r="L38" s="956" t="e">
        <f>IF(NOT(OR('SHL Section'!$BF$52='BHL Section 2'!$L$38,'SHL Section'!$BF$52='BHL Section 1'!$L$38,'SHL Section'!$BF$52='SHL Section'!$N$7)),'SHL Section'!$BF$52,IF(NOT(OR('SHL Section'!$BF$55='BHL Section 2'!$L$38,'SHL Section'!$BF$55='BHL Section 1'!$L$38,'SHL Section'!$BF$55='SHL Section'!$N$7)),'SHL Section'!$BF$55,IF(NOT(OR('SHL Section'!$BF$58='BHL Section 2'!$L$38,'SHL Section'!$BF$58='BHL Section 1'!$L$38,'SHL Section'!$BF$58='SHL Section'!$N$7)),'SHL Section'!$BF$58,"")))</f>
        <v>#VALUE!</v>
      </c>
      <c r="M38" s="889"/>
      <c r="P38" s="815"/>
      <c r="S38" s="154"/>
      <c r="T38" s="153"/>
      <c r="U38" s="5"/>
      <c r="V38" s="22"/>
      <c r="W38" s="34" t="e">
        <f>IF(AND($L$38='SHL Section'!$BF$52,MAX('BHL Section 2'!$BG$37:$BG$40)=8),'BHL Section 2'!$B$38,IF(AND($L$38='SHL Section'!$BF$55,MAX('BHL Section 2'!$BG$41:$BG$44)=8),'BHL Section 2'!$B$38,IF(AND($L$38='SHL Section'!$BF$58,MAX('BHL Section 2'!$BG$45:$BG$48)=8),'BHL Section 2'!$B$38,IF(W34="","",IF(OR(W37=1,W37=4),180-(W34+W35/60+W36/3600),180+(W34+W35/60+W36/3600))))))</f>
        <v>#VALUE!</v>
      </c>
      <c r="X38" s="25" t="s">
        <v>144</v>
      </c>
      <c r="AA38" s="5"/>
      <c r="AB38" s="29"/>
      <c r="AC38" s="29"/>
      <c r="AD38" s="52">
        <v>1</v>
      </c>
      <c r="AE38" s="53" t="s">
        <v>276</v>
      </c>
      <c r="AF38" s="47" t="e">
        <f>IF(AND($AT$24+'SHL Section'!$AJ$10&gt;0,$AO$24+'SHL Section'!$AL$10&gt;0),$AF$24+'SHL Section'!$AJ$10,"")</f>
        <v>#VALUE!</v>
      </c>
      <c r="AG38" s="47" t="e">
        <f>IF(AND($AT$24+'SHL Section'!$AJ$10&gt;0,$AO$24+'SHL Section'!$AL$10&gt;0),$AG$24+'SHL Section'!$AL$10,"")</f>
        <v>#VALUE!</v>
      </c>
      <c r="AH38" s="32" t="e">
        <f>IF($AF$38="","",$AZ$26+$AF$38)</f>
        <v>#VALUE!</v>
      </c>
      <c r="AI38" s="32" t="e">
        <f>IF($AG$38="","",$BA$26+$AG$38)</f>
        <v>#VALUE!</v>
      </c>
      <c r="AJ38" s="32" t="e">
        <f>IF($AF$38="","",$BH$26+$AZ$26+$AF$38)</f>
        <v>#VALUE!</v>
      </c>
      <c r="AK38" s="32" t="e">
        <f>IF($AG$38="","",$BA$26+$BI$26+$AG$38)</f>
        <v>#VALUE!</v>
      </c>
      <c r="AL38" s="32" t="e">
        <f>IF($AF$38="","",$BX$26+$AF$38)</f>
        <v>#VALUE!</v>
      </c>
      <c r="AM38" s="32" t="e">
        <f>IF($AG$38="","",$AG$38+$BY$26)</f>
        <v>#VALUE!</v>
      </c>
      <c r="AN38" s="32" t="e">
        <f>IF($AF$38="","",$AX$22+$AF$38)</f>
        <v>#VALUE!</v>
      </c>
      <c r="AO38" s="32" t="e">
        <f>IF($AG$38="","",$AY$22+$AG$38)</f>
        <v>#VALUE!</v>
      </c>
      <c r="AP38" s="32" t="e">
        <f>IF($AF$38="","",$AZ$26+$AF$38+$BF$22)</f>
        <v>#VALUE!</v>
      </c>
      <c r="AQ38" s="32" t="e">
        <f>IF($AG$38="","",$BA$26+$AG$38+$BG$22)</f>
        <v>#VALUE!</v>
      </c>
      <c r="AR38" s="32" t="e">
        <f>IF($AF$38="","",$BX$26+$AF$38+$BR$22)</f>
        <v>#VALUE!</v>
      </c>
      <c r="AS38" s="32" t="e">
        <f>IF($AG$38="","",$AG$38+$BY$26+$BS$22)</f>
        <v>#VALUE!</v>
      </c>
      <c r="AT38" s="32" t="e">
        <f>IF($AF$38="","",$BZ$22+$AF$38)</f>
        <v>#VALUE!</v>
      </c>
      <c r="AU38" s="32" t="e">
        <f>IF($AG$38="","",$AG$38+$CA$22)</f>
        <v>#VALUE!</v>
      </c>
      <c r="AW38" s="233" t="s">
        <v>194</v>
      </c>
      <c r="AX38" s="233" t="s">
        <v>385</v>
      </c>
      <c r="AY38" s="233" t="s">
        <v>196</v>
      </c>
      <c r="AZ38" s="233" t="s">
        <v>197</v>
      </c>
      <c r="BA38" s="235" t="s">
        <v>284</v>
      </c>
      <c r="BB38" s="233" t="s">
        <v>386</v>
      </c>
      <c r="BC38" s="233" t="s">
        <v>285</v>
      </c>
      <c r="BE38" s="52">
        <v>2</v>
      </c>
      <c r="BF38" s="53" t="s">
        <v>272</v>
      </c>
      <c r="BG38" s="36" t="str">
        <f>IF(AND(MAX($AF$58:$AM$58)&lt;1,ISNUMBER($AH$27), ISNUMBER($AI$27)),IF(AND(IF($AI$27&lt;$BD$19,$AQ$63,$AQ$62)&lt;0,$AI$27&gt;0),2,IF(AND($AH$27&gt;0,$AI$27&lt;0),9,IF(AND($AH$27&lt;0,IF(-$AH$27&lt;$BE$19,$AR$63,$AR$64)&lt;0),8,""))),"")</f>
        <v/>
      </c>
      <c r="BH38" s="235">
        <v>2</v>
      </c>
      <c r="BI38" s="235">
        <v>35</v>
      </c>
      <c r="BJ38" s="235">
        <v>36</v>
      </c>
      <c r="BK38" s="235">
        <v>1</v>
      </c>
      <c r="BL38" s="235">
        <v>12</v>
      </c>
      <c r="BM38" s="235">
        <v>11</v>
      </c>
      <c r="BN38" s="235">
        <v>10</v>
      </c>
      <c r="BO38" s="235">
        <v>3</v>
      </c>
      <c r="BP38" s="235">
        <v>34</v>
      </c>
      <c r="CA38" s="19"/>
      <c r="CB38" s="19"/>
    </row>
    <row r="39" spans="1:80" ht="12" customHeight="1" thickBot="1" x14ac:dyDescent="0.3">
      <c r="A39" s="948" t="e">
        <f>CONCATENATE("W QC of ",$L$38)</f>
        <v>#VALUE!</v>
      </c>
      <c r="B39" s="892"/>
      <c r="C39" s="7"/>
      <c r="D39" s="8"/>
      <c r="E39" s="8"/>
      <c r="F39" s="8"/>
      <c r="G39" s="8"/>
      <c r="H39" s="8"/>
      <c r="I39" s="8"/>
      <c r="J39" s="8"/>
      <c r="K39" s="8"/>
      <c r="L39" s="890"/>
      <c r="M39" s="892"/>
      <c r="N39" s="8"/>
      <c r="O39" s="8"/>
      <c r="P39" s="8"/>
      <c r="Q39" s="8"/>
      <c r="R39" s="8"/>
      <c r="S39" s="8"/>
      <c r="T39" s="8"/>
      <c r="U39" s="8"/>
      <c r="V39" s="24"/>
      <c r="W39" s="959" t="e">
        <f>CONCATENATE("E QC of ",$L$38)</f>
        <v>#VALUE!</v>
      </c>
      <c r="X39" s="904"/>
      <c r="AA39" s="5"/>
      <c r="AB39" s="29"/>
      <c r="AC39" s="29"/>
      <c r="AD39" s="52">
        <v>2</v>
      </c>
      <c r="AE39" s="53" t="s">
        <v>276</v>
      </c>
      <c r="AF39" s="32" t="e">
        <f>IF($AH$39="","",$AH$39-$AZ$26)</f>
        <v>#VALUE!</v>
      </c>
      <c r="AG39" s="32" t="e">
        <f>IF($AI$39="","",$AI$39-$BA$26)</f>
        <v>#VALUE!</v>
      </c>
      <c r="AH39" s="47" t="e">
        <f>IF(AND($AP$24+'SHL Section'!$AJ$10&gt;0,$AO$24+'SHL Section'!$AL$10&lt;0),$AH$24+'SHL Section'!$AJ$10,"")</f>
        <v>#VALUE!</v>
      </c>
      <c r="AI39" s="47" t="e">
        <f>IF(AND($AP$24+'SHL Section'!$AJ$10&gt;0,$AO$24+'SHL Section'!$AL$10&lt;0),$AI$24+'SHL Section'!$AL$10,"")</f>
        <v>#VALUE!</v>
      </c>
      <c r="AJ39" s="32" t="e">
        <f>IF($AH$39="","",$BH$26+$AH$39)</f>
        <v>#VALUE!</v>
      </c>
      <c r="AK39" s="32" t="e">
        <f>IF($AI$39="","",$AI$39+$BI$26)</f>
        <v>#VALUE!</v>
      </c>
      <c r="AL39" s="32" t="e">
        <f>IF($AH$39="","",$AH$39-$AZ$26+$BX$26)</f>
        <v>#VALUE!</v>
      </c>
      <c r="AM39" s="32" t="e">
        <f>IF($AI$39="","",$AI$39-$BA$26+$BY$26)</f>
        <v>#VALUE!</v>
      </c>
      <c r="AN39" s="32" t="e">
        <f>IF($AH$39="","",$AH$39-$BB$22)</f>
        <v>#VALUE!</v>
      </c>
      <c r="AO39" s="32" t="e">
        <f>IF($AI$39="","",AI$39-$BC$22)</f>
        <v>#VALUE!</v>
      </c>
      <c r="AP39" s="32" t="e">
        <f>IF($AH$39="","",$BF$22+$AH$39)</f>
        <v>#VALUE!</v>
      </c>
      <c r="AQ39" s="32" t="e">
        <f>IF($AI$39="","",$AI$39+$BG$22)</f>
        <v>#VALUE!</v>
      </c>
      <c r="AR39" s="32" t="e">
        <f>IF($AH$39="","",$BH$26+$AH$39-$BN$22)</f>
        <v>#VALUE!</v>
      </c>
      <c r="AS39" s="32" t="e">
        <f>IF($AI$39="","",$AI$39+$BI$26-$BO$22)</f>
        <v>#VALUE!</v>
      </c>
      <c r="AT39" s="32" t="e">
        <f>IF($AH$39="","",$AH$39-$AZ$26+$BZ$22)</f>
        <v>#VALUE!</v>
      </c>
      <c r="AU39" s="32" t="e">
        <f>IF($AI$39="","",$AI$39-$BA$26+$CA$22)</f>
        <v>#VALUE!</v>
      </c>
      <c r="AW39" s="233" t="s">
        <v>201</v>
      </c>
      <c r="AX39" s="233" t="s">
        <v>346</v>
      </c>
      <c r="AY39" s="233" t="s">
        <v>203</v>
      </c>
      <c r="AZ39" s="233" t="s">
        <v>204</v>
      </c>
      <c r="BA39" s="235" t="s">
        <v>286</v>
      </c>
      <c r="BB39" s="233" t="s">
        <v>387</v>
      </c>
      <c r="BC39" s="233" t="s">
        <v>287</v>
      </c>
      <c r="BE39" s="52">
        <v>3</v>
      </c>
      <c r="BF39" s="53" t="s">
        <v>272</v>
      </c>
      <c r="BG39" s="36" t="str">
        <f>IF(AND(MAX($AF$58:$AM$58)&lt;1,ISNUMBER($AJ$28), ISNUMBER($AK$28)),IF(AND($AJ$28&gt;0,IF($AJ$28&lt;$BK$19,$AT$64,$AT$63)&lt;0),8,IF(AND($AJ$28&lt;0,$AK$28&lt;0),7,IF(AND(IF($AK$28&lt;$BN$19,$AS$64,$AS$65)&lt;0,$AK$28&gt;0),6,""))),"")</f>
        <v/>
      </c>
      <c r="BH39" s="235">
        <v>3</v>
      </c>
      <c r="BI39" s="235">
        <v>34</v>
      </c>
      <c r="BJ39" s="235">
        <v>35</v>
      </c>
      <c r="BK39" s="235">
        <v>2</v>
      </c>
      <c r="BL39" s="235">
        <v>11</v>
      </c>
      <c r="BM39" s="235">
        <v>10</v>
      </c>
      <c r="BN39" s="235">
        <v>9</v>
      </c>
      <c r="BO39" s="235">
        <v>4</v>
      </c>
      <c r="BP39" s="235">
        <v>33</v>
      </c>
      <c r="CA39" s="19"/>
      <c r="CB39" s="19"/>
    </row>
    <row r="40" spans="1:80" ht="12" customHeight="1" x14ac:dyDescent="0.25">
      <c r="A40" s="904"/>
      <c r="B40" s="892"/>
      <c r="C40" s="9"/>
      <c r="D40" s="10"/>
      <c r="E40" s="10"/>
      <c r="F40" s="10"/>
      <c r="G40" s="10"/>
      <c r="H40" s="10"/>
      <c r="I40" s="10"/>
      <c r="J40" s="10"/>
      <c r="K40" s="10"/>
      <c r="L40" s="890"/>
      <c r="M40" s="892"/>
      <c r="N40" s="10"/>
      <c r="O40" s="10"/>
      <c r="P40" s="10"/>
      <c r="Q40" s="10"/>
      <c r="R40" s="10"/>
      <c r="S40" s="10"/>
      <c r="T40" s="10"/>
      <c r="U40" s="10"/>
      <c r="V40" s="22"/>
      <c r="W40" s="904"/>
      <c r="X40" s="904"/>
      <c r="AA40" s="5"/>
      <c r="AB40" s="29"/>
      <c r="AC40" s="29"/>
      <c r="AD40" s="52">
        <v>3</v>
      </c>
      <c r="AE40" s="53" t="s">
        <v>276</v>
      </c>
      <c r="AF40" s="32" t="e">
        <f>IF($AJ$40="","",$AJ$40-$BH$26-$AZ$26)</f>
        <v>#VALUE!</v>
      </c>
      <c r="AG40" s="32" t="e">
        <f>IF($AK$40="","",$AK$40-$BI$26-$BA$26)</f>
        <v>#VALUE!</v>
      </c>
      <c r="AH40" s="32" t="e">
        <f>IF($AJ$40="","",$AJ$40-$BH$26)</f>
        <v>#VALUE!</v>
      </c>
      <c r="AI40" s="32" t="e">
        <f>IF($AK$40="","",$AK$40-$BI$26)</f>
        <v>#VALUE!</v>
      </c>
      <c r="AJ40" s="47" t="e">
        <f>IF(AND($AP$24+'SHL Section'!$AJ$10&lt;0,$AS$24+'SHL Section'!$AL$10&lt;0),$AJ$24+'SHL Section'!$AJ$10,"")</f>
        <v>#VALUE!</v>
      </c>
      <c r="AK40" s="47" t="e">
        <f>IF(AND($AP$24+'SHL Section'!$AJ$10&lt;0,$AS$24+'SHL Section'!$AL$10&lt;0),$AK$24+'SHL Section'!$AL$10,"")</f>
        <v>#VALUE!</v>
      </c>
      <c r="AL40" s="32" t="e">
        <f>IF($AJ$40="","",$AJ$40-$BP$26)</f>
        <v>#VALUE!</v>
      </c>
      <c r="AM40" s="32" t="e">
        <f>IF($AK$40="","",$AK$40-$BQ$26)</f>
        <v>#VALUE!</v>
      </c>
      <c r="AN40" s="32" t="e">
        <f>IF($AJ$40="","",$AJ$40-$BH$26-$BB$22)</f>
        <v>#VALUE!</v>
      </c>
      <c r="AO40" s="32" t="e">
        <f>IF($AK$40="","",$AK$40-$BI$26-$BC$22)</f>
        <v>#VALUE!</v>
      </c>
      <c r="AP40" s="32" t="e">
        <f>IF($AJ$40="","",$AJ$40-$BJ$22)</f>
        <v>#VALUE!</v>
      </c>
      <c r="AQ40" s="32" t="e">
        <f>IF($AK$40="","",$AK$40-$BK$22)</f>
        <v>#VALUE!</v>
      </c>
      <c r="AR40" s="32" t="e">
        <f>IF($AJ$40="","",$AJ$40-$BN$26)</f>
        <v>#VALUE!</v>
      </c>
      <c r="AS40" s="32" t="e">
        <f>IF($AK$40="","",$AK$40-$BO$26)</f>
        <v>#VALUE!</v>
      </c>
      <c r="AT40" s="32" t="e">
        <f>IF($AJ$40="","",$AJ$40-$BP$26-$BV$26)</f>
        <v>#VALUE!</v>
      </c>
      <c r="AU40" s="32" t="e">
        <f>IF($AK$40="","",$AK$40-$BQ$26-$BW$22)</f>
        <v>#VALUE!</v>
      </c>
      <c r="AW40" s="233"/>
      <c r="AX40" s="233"/>
      <c r="AY40" s="233"/>
      <c r="AZ40" s="233"/>
      <c r="BA40" s="233"/>
      <c r="BB40" s="233"/>
      <c r="BC40" s="233" t="s">
        <v>288</v>
      </c>
      <c r="BE40" s="756">
        <v>4</v>
      </c>
      <c r="BF40" s="758" t="s">
        <v>272</v>
      </c>
      <c r="BG40" s="120" t="str">
        <f>IF(AND(MAX($AF$58:$AM$58)&lt;1,ISNUMBER($AL$29), ISNUMBER($AM$29)),IF(AND(IF(-$AM$29&lt;$BT$19,$AU$65,$AU$64)&lt;0,$AM$29&lt;0),6,IF(AND($AL$29&lt;0,$AM$29&gt;0),5,IF(AND($AL$29&gt;0,IF($AL$29&lt;$BU$19,$AV$65,$AV$62)&lt;0),4,""))),"")</f>
        <v/>
      </c>
      <c r="BH40" s="235">
        <v>4</v>
      </c>
      <c r="BI40" s="235">
        <v>33</v>
      </c>
      <c r="BJ40" s="235">
        <v>34</v>
      </c>
      <c r="BK40" s="235">
        <v>3</v>
      </c>
      <c r="BL40" s="235">
        <v>10</v>
      </c>
      <c r="BM40" s="235">
        <v>9</v>
      </c>
      <c r="BN40" s="235">
        <v>8</v>
      </c>
      <c r="BO40" s="235">
        <v>5</v>
      </c>
      <c r="BP40" s="235">
        <v>32</v>
      </c>
      <c r="CA40" s="19"/>
      <c r="CB40" s="19"/>
    </row>
    <row r="41" spans="1:80" ht="12" customHeight="1" thickBot="1" x14ac:dyDescent="0.3">
      <c r="B41" s="44" t="e">
        <f>IF(AND($AA$10=1,$L$38='SHL Section'!$BF$52,MAX('BHL Section 2'!$BG$37:$BG$40)=4),'BHL Section 2'!$W$41,IF(AND($AA$10=1,$L$38='SHL Section'!$BF$55,MAX('BHL Section 2'!$BG$41:$BG$44)=4),'BHL Section 2'!$W$41,IF(AND($AA$10=1,$L$38='SHL Section'!$BF$58,MAX('BHL Section 2'!$BG$45:$BG$48)=4),'BHL Section 2'!$W$41,'BHL Section 3'!B42)))</f>
        <v>#VALUE!</v>
      </c>
      <c r="C41" s="4"/>
      <c r="L41" s="957"/>
      <c r="M41" s="958"/>
      <c r="V41" s="22"/>
      <c r="W41" s="154" t="e">
        <f>IF(AND($AA$10=1,$L$38='SHL Section'!$BF$52,MAX('BHL Section 2'!$BG$37:$BG$40)=8),'BHL Section 2'!$B$41,IF(AND($AA$10=1,$L$38='SHL Section'!$BF$55,MAX('BHL Section 2'!$BG$41:$BG$44)=8),'BHL Section 2'!$B$41,IF(AND($AA$10=1,$L$38='SHL Section'!$BF$58,MAX('BHL Section 2'!$BG$45:$BG$48)=8),'BHL Section 2'!$B$41,'BHL Section 3'!W42)))</f>
        <v>#VALUE!</v>
      </c>
      <c r="AA41" s="5"/>
      <c r="AB41" s="29"/>
      <c r="AC41" s="29"/>
      <c r="AD41" s="756">
        <v>4</v>
      </c>
      <c r="AE41" s="758" t="s">
        <v>276</v>
      </c>
      <c r="AF41" s="45" t="e">
        <f>IF($AL$41="","",$AL$41-$BX$26)</f>
        <v>#VALUE!</v>
      </c>
      <c r="AG41" s="45" t="e">
        <f>IF($AM$41="","",$AM$41-$BY$26)</f>
        <v>#VALUE!</v>
      </c>
      <c r="AH41" s="45" t="e">
        <f>IF($AL$41="","",$AL$41+$BP$26-$BH$26)</f>
        <v>#VALUE!</v>
      </c>
      <c r="AI41" s="45" t="e">
        <f>IF($AM$41="","",$AM$41+$BQ$26-$BI$26)</f>
        <v>#VALUE!</v>
      </c>
      <c r="AJ41" s="45" t="e">
        <f>IF($AL$41="","",$AL$41+$BP$26)</f>
        <v>#VALUE!</v>
      </c>
      <c r="AK41" s="45" t="e">
        <f>IF($AM$41="","",$AM$41+$BQ$26)</f>
        <v>#VALUE!</v>
      </c>
      <c r="AL41" s="50" t="e">
        <f>IF(AND($AT$24+'SHL Section'!$AJ$10&lt;0,$AS$24+'SHL Section'!$AL$10&gt;0),$AL$24+'SHL Section'!$AJ$10,"")</f>
        <v>#VALUE!</v>
      </c>
      <c r="AM41" s="50" t="e">
        <f>IF(AND($AT$24+'SHL Section'!$AJ$10&lt;0,$AS$24+'SHL Section'!$AL$10&gt;0),$AM$24+'SHL Section'!$AL$10,"")</f>
        <v>#VALUE!</v>
      </c>
      <c r="AN41" s="45" t="e">
        <f>IF($AL$41="","",$AL$41-$BX$26+$AX$22)</f>
        <v>#VALUE!</v>
      </c>
      <c r="AO41" s="45" t="e">
        <f>IF($AM$41="","",$AM$41-$BY$26+$AY$22)</f>
        <v>#VALUE!</v>
      </c>
      <c r="AP41" s="45" t="e">
        <f>IF($AL$41="","",$AL$41+$BP$26-$BJ$22)</f>
        <v>#VALUE!</v>
      </c>
      <c r="AQ41" s="45" t="e">
        <f>IF($AM$41="","",$AM$41+$BQ$26-$BK$22)</f>
        <v>#VALUE!</v>
      </c>
      <c r="AR41" s="45" t="e">
        <f>IF($AL$41="","",$AL$41+$BR$22)</f>
        <v>#VALUE!</v>
      </c>
      <c r="AS41" s="45" t="e">
        <f>IF($AM$41="","",$AM$41+$BS$22)</f>
        <v>#VALUE!</v>
      </c>
      <c r="AT41" s="45" t="e">
        <f>IF($AL$41="","",$AL$41-$BV$22)</f>
        <v>#VALUE!</v>
      </c>
      <c r="AU41" s="45" t="e">
        <f>IF($AM$41="","",$AM$41-$BW$22)</f>
        <v>#VALUE!</v>
      </c>
      <c r="AW41" s="233"/>
      <c r="AX41" s="233"/>
      <c r="AY41" s="233"/>
      <c r="AZ41" s="233"/>
      <c r="BA41" s="233"/>
      <c r="BB41" s="233"/>
      <c r="BC41" s="233" t="s">
        <v>289</v>
      </c>
      <c r="BE41" s="52">
        <v>1</v>
      </c>
      <c r="BF41" s="53" t="s">
        <v>274</v>
      </c>
      <c r="BG41" s="36" t="str">
        <f>IF(AND(MAX($AF$69:$AM$69)&lt;1,ISNUMBER($AF$32), ISNUMBER($AG$32)),IF(AND($AF$32&gt;0,$AG$32&gt;0),3,IF(AND($AF$32&lt;0,IF(-$AF$32&lt;$CA$19,$AP$73,$AP$76)&lt;0),4,IF(AND(IF(-$AG$32&lt;$AX$19,$AO$73,$AO$74)&lt;0,$AG$32&lt;0),2,""))),"")</f>
        <v/>
      </c>
      <c r="BH41" s="235">
        <v>5</v>
      </c>
      <c r="BI41" s="235">
        <v>32</v>
      </c>
      <c r="BJ41" s="235">
        <v>33</v>
      </c>
      <c r="BK41" s="235">
        <v>4</v>
      </c>
      <c r="BL41" s="235">
        <v>9</v>
      </c>
      <c r="BM41" s="235">
        <v>8</v>
      </c>
      <c r="BN41" s="235">
        <v>7</v>
      </c>
      <c r="BO41" s="235">
        <v>6</v>
      </c>
      <c r="BP41" s="235">
        <v>31</v>
      </c>
      <c r="CA41" s="19"/>
      <c r="CB41" s="19"/>
    </row>
    <row r="42" spans="1:80" ht="12" customHeight="1" x14ac:dyDescent="0.25">
      <c r="A42" s="17" t="s">
        <v>118</v>
      </c>
      <c r="B42" s="162">
        <v>2643.61</v>
      </c>
      <c r="C42" s="4"/>
      <c r="G42" s="831" t="s">
        <v>348</v>
      </c>
      <c r="H42" s="832"/>
      <c r="L42" s="13"/>
      <c r="M42" s="14"/>
      <c r="Q42" s="831" t="s">
        <v>349</v>
      </c>
      <c r="R42" s="832"/>
      <c r="U42" s="155"/>
      <c r="V42" s="22"/>
      <c r="W42" s="110">
        <v>2611.21</v>
      </c>
      <c r="X42" s="25" t="s">
        <v>118</v>
      </c>
      <c r="AA42" s="5"/>
      <c r="AB42" s="29"/>
      <c r="AC42" s="29"/>
      <c r="AD42" s="944"/>
      <c r="AE42" s="911"/>
      <c r="AF42" s="80" t="str">
        <f>IF(ISNUMBER($AF$38),AF$38,IF(ISNUMBER($AH$39),AF$39,IF(ISNUMBER($AJ$40),AF$40,IF(ISNUMBER($AL$41),AF$41,""))))</f>
        <v/>
      </c>
      <c r="AG42" s="80" t="str">
        <f>IF(ISNUMBER($AG$38),AG$38,IF(ISNUMBER($AI$39),AG$39,IF(ISNUMBER($AK$40),AG$40,IF(ISNUMBER($AM$41),AG$41,""))))</f>
        <v/>
      </c>
      <c r="AH42" s="80" t="str">
        <f>IF(ISNUMBER($AF$38),AH$38,IF(ISNUMBER($AH$39),AH$39,IF(ISNUMBER($AJ$40),AH$40,IF(ISNUMBER($AL$41),AH$41,""))))</f>
        <v/>
      </c>
      <c r="AI42" s="80" t="str">
        <f>IF(ISNUMBER($AG$38),AI$38,IF(ISNUMBER($AI$39),AI$39,IF(ISNUMBER($AK$40),AI$40,IF(ISNUMBER($AM$41),AI$41,""))))</f>
        <v/>
      </c>
      <c r="AJ42" s="80" t="str">
        <f>IF(ISNUMBER($AF$38),AJ$38,IF(ISNUMBER($AH$39),AJ$39,IF(ISNUMBER($AJ$40),AJ$40,IF(ISNUMBER($AL$41),AJ$41,""))))</f>
        <v/>
      </c>
      <c r="AK42" s="80" t="str">
        <f>IF(ISNUMBER($AG$38),AK$38,IF(ISNUMBER($AI$39),AK$39,IF(ISNUMBER($AK$40),AK$40,IF(ISNUMBER($AM$41),AK$41,""))))</f>
        <v/>
      </c>
      <c r="AL42" s="80" t="str">
        <f>IF(ISNUMBER($AF$38),AL$38,IF(ISNUMBER($AH$39),AL$39,IF(ISNUMBER($AJ$40),AL$40,IF(ISNUMBER($AL$41),AL$41,""))))</f>
        <v/>
      </c>
      <c r="AM42" s="80" t="str">
        <f>IF(ISNUMBER($AG$38),AM$38,IF(ISNUMBER($AI$39),AM$39,IF(ISNUMBER($AK$40),AM$40,IF(ISNUMBER($AM$41),AM$41,""))))</f>
        <v/>
      </c>
      <c r="AN42" s="80" t="str">
        <f>IF(ISNUMBER($AF$38),AN$38,IF(ISNUMBER($AH$39),AN$39,IF(ISNUMBER($AJ$40),AN$40,IF(ISNUMBER($AL$41),AN$41,""))))</f>
        <v/>
      </c>
      <c r="AO42" s="80" t="str">
        <f>IF(ISNUMBER($AG$38),AO$38,IF(ISNUMBER($AI$39),AO$39,IF(ISNUMBER($AK$40),AO$40,IF(ISNUMBER($AM$41),AO$41,""))))</f>
        <v/>
      </c>
      <c r="AP42" s="80" t="str">
        <f>IF(ISNUMBER($AF$38),AP$38,IF(ISNUMBER($AH$39),AP$39,IF(ISNUMBER($AJ$40),AP$40,IF(ISNUMBER($AL$41),AP$41,""))))</f>
        <v/>
      </c>
      <c r="AQ42" s="80" t="str">
        <f>IF(ISNUMBER($AG$38),AQ$38,IF(ISNUMBER($AI$39),AQ$39,IF(ISNUMBER($AK$40),AQ$40,IF(ISNUMBER($AM$41),AQ$41,""))))</f>
        <v/>
      </c>
      <c r="AR42" s="80" t="str">
        <f>IF(ISNUMBER($AF$38),AR$38,IF(ISNUMBER($AH$39),AR$39,IF(ISNUMBER($AJ$40),AR$40,IF(ISNUMBER($AL$41),AR$41,""))))</f>
        <v/>
      </c>
      <c r="AS42" s="80" t="str">
        <f>IF(ISNUMBER($AG$38),AS$38,IF(ISNUMBER($AI$39),AS$39,IF(ISNUMBER($AK$40),AS$40,IF(ISNUMBER($AM$41),AS$41,""))))</f>
        <v/>
      </c>
      <c r="AT42" s="80" t="str">
        <f>IF(ISNUMBER($AF$38),AT$38,IF(ISNUMBER($AH$39),AT$39,IF(ISNUMBER($AJ$40),AT$40,IF(ISNUMBER($AL$41),AT$41,""))))</f>
        <v/>
      </c>
      <c r="AU42" s="80" t="str">
        <f>IF(ISNUMBER($AG$38),AU$38,IF(ISNUMBER($AI$39),AU$39,IF(ISNUMBER($AK$40),AU$40,IF(ISNUMBER($AM$41),AU$41,""))))</f>
        <v/>
      </c>
      <c r="AW42" s="233"/>
      <c r="AX42" s="233"/>
      <c r="AY42" s="233"/>
      <c r="AZ42" s="233"/>
      <c r="BA42" s="233"/>
      <c r="BB42" s="233"/>
      <c r="BC42" s="233" t="s">
        <v>290</v>
      </c>
      <c r="BE42" s="52">
        <v>2</v>
      </c>
      <c r="BF42" s="53" t="s">
        <v>274</v>
      </c>
      <c r="BG42" s="36" t="str">
        <f>IF(AND(MAX($AF$69:$AM$69)&lt;1,ISNUMBER($AH$33), ISNUMBER($AI$33)),IF(AND(IF($AI$33&lt;$BD$19,$AQ$74,$AQ$73)&lt;0,$AI$33&gt;0),2,IF(AND($AH$33&gt;0,$AI$33&lt;0),9,IF(AND($AH$33&lt;0,IF(-$AH$33&lt;$BE$19,$AR$74,$AR$75)&lt;0),8,""))),"")</f>
        <v/>
      </c>
      <c r="BH42" s="235">
        <v>6</v>
      </c>
      <c r="BI42" s="235">
        <v>31</v>
      </c>
      <c r="BJ42" s="235">
        <v>32</v>
      </c>
      <c r="BK42" s="235">
        <v>5</v>
      </c>
      <c r="BL42" s="235">
        <v>8</v>
      </c>
      <c r="BM42" s="235">
        <v>7</v>
      </c>
      <c r="BN42" s="235">
        <v>12</v>
      </c>
      <c r="BO42" s="235">
        <v>1</v>
      </c>
      <c r="BP42" s="235">
        <v>36</v>
      </c>
      <c r="CA42" s="19"/>
      <c r="CB42" s="19"/>
    </row>
    <row r="43" spans="1:80" ht="12" customHeight="1" x14ac:dyDescent="0.25">
      <c r="A43" s="17" t="s">
        <v>124</v>
      </c>
      <c r="B43" s="147">
        <v>0</v>
      </c>
      <c r="C43" s="4"/>
      <c r="G43" s="99" t="str">
        <f>IF(ISNUMBER($AJ$58),$B$8,"")</f>
        <v/>
      </c>
      <c r="H43" s="150" t="str">
        <f>IF(AND(G44="",G45=""),"",IF($AJ$58=1,"NE/SW",IF($AJ$58=2,"NW/SW",IF($AJ$58=3,"SW/SW",IF($AJ$58=4,"SE/SW","")))))</f>
        <v/>
      </c>
      <c r="L43" s="13"/>
      <c r="M43" s="14"/>
      <c r="Q43" s="99" t="str">
        <f>IF(ISNUMBER($AL$58),$B$8,"")</f>
        <v/>
      </c>
      <c r="R43" s="150" t="str">
        <f>IF(AND(Q44="",Q45=""),"",IF($AL$58=1,"NE/SE",IF($AL$58=2,"NW/SE",IF($AL$58=3,"SW/SE",IF($AL$58=4,"SE/SE","")))))</f>
        <v/>
      </c>
      <c r="U43" s="155"/>
      <c r="V43" s="22"/>
      <c r="W43" s="147">
        <v>0</v>
      </c>
      <c r="X43" s="25" t="s">
        <v>124</v>
      </c>
      <c r="AA43" s="5"/>
      <c r="AB43" s="29"/>
      <c r="AC43" s="29"/>
      <c r="AW43" s="233"/>
      <c r="AX43" s="233"/>
      <c r="AY43" s="233"/>
      <c r="AZ43" s="233"/>
      <c r="BA43" s="233"/>
      <c r="BB43" s="233"/>
      <c r="BC43" s="233" t="s">
        <v>291</v>
      </c>
      <c r="BE43" s="52">
        <v>3</v>
      </c>
      <c r="BF43" s="53" t="s">
        <v>274</v>
      </c>
      <c r="BG43" s="36" t="str">
        <f>IF(AND(MAX($AF$69:$AM$69)&lt;1,ISNUMBER($AJ$34), ISNUMBER($AK$34)),IF(AND($AJ$34&gt;0,IF($AJ$34&lt;$BK$19,$AT$75,$AT$74)&lt;0),8,IF(AND($AJ$34&lt;0,$AK$34&lt;0),7,IF(AND(IF($AK$34&lt;$BN$19,$AS$75,$AS$76)&lt;0,$AK$34&gt;0),6,""))),"")</f>
        <v/>
      </c>
      <c r="BH43" s="235">
        <v>7</v>
      </c>
      <c r="BI43" s="235">
        <v>6</v>
      </c>
      <c r="BJ43" s="235">
        <v>5</v>
      </c>
      <c r="BK43" s="235">
        <v>8</v>
      </c>
      <c r="BL43" s="235">
        <v>17</v>
      </c>
      <c r="BM43" s="235">
        <v>18</v>
      </c>
      <c r="BN43" s="235">
        <v>13</v>
      </c>
      <c r="BO43" s="235">
        <v>12</v>
      </c>
      <c r="BP43" s="235">
        <v>1</v>
      </c>
      <c r="CA43" s="19"/>
      <c r="CB43" s="19"/>
    </row>
    <row r="44" spans="1:80" ht="12" customHeight="1" x14ac:dyDescent="0.25">
      <c r="A44" s="17" t="s">
        <v>130</v>
      </c>
      <c r="B44" s="147">
        <v>50</v>
      </c>
      <c r="C44" s="4"/>
      <c r="G44" s="151" t="str">
        <f>IF(ISNUMBER($AJ$58),$I$8,"")</f>
        <v/>
      </c>
      <c r="H44" s="152" t="str">
        <f>IF(ISNUMBER($AJ$58),"FSL","")</f>
        <v/>
      </c>
      <c r="J44" s="19"/>
      <c r="K44" s="19"/>
      <c r="L44" s="13"/>
      <c r="M44" s="14"/>
      <c r="Q44" s="151" t="str">
        <f>IF(ISNUMBER($AL$58),$I$8,"")</f>
        <v/>
      </c>
      <c r="R44" s="152" t="str">
        <f>IF(ISNUMBER($AL$58),"FSL","")</f>
        <v/>
      </c>
      <c r="T44" s="19"/>
      <c r="U44" s="155"/>
      <c r="V44" s="22"/>
      <c r="W44" s="147">
        <v>42</v>
      </c>
      <c r="X44" s="25" t="s">
        <v>130</v>
      </c>
      <c r="AA44" s="5"/>
      <c r="AB44" s="29"/>
      <c r="AC44" s="29"/>
      <c r="AW44" s="233"/>
      <c r="AX44" s="233"/>
      <c r="AY44" s="233"/>
      <c r="AZ44" s="233"/>
      <c r="BA44" s="233"/>
      <c r="BB44" s="233"/>
      <c r="BC44" s="233" t="s">
        <v>292</v>
      </c>
      <c r="BE44" s="756">
        <v>4</v>
      </c>
      <c r="BF44" s="758" t="s">
        <v>274</v>
      </c>
      <c r="BG44" s="120" t="str">
        <f>IF(AND(MAX($AF$69:$AM$69)&lt;1,ISNUMBER($AL$35), ISNUMBER($AM$35)),IF(AND(IF(-$AM$35&lt;$BT$19,$AU$76,$AU$75)&lt;0,$AM$35&lt;0),6,IF(AND($AL$35&lt;0,$AM$35&gt;0),5,IF(AND($AL$35&gt;0,IF($AL$35&lt;$BU$19,$AV$76,$AV$73)&lt;0),4,""))),"")</f>
        <v/>
      </c>
      <c r="BH44" s="235">
        <v>8</v>
      </c>
      <c r="BI44" s="235">
        <v>5</v>
      </c>
      <c r="BJ44" s="235">
        <v>4</v>
      </c>
      <c r="BK44" s="235">
        <v>9</v>
      </c>
      <c r="BL44" s="235">
        <v>16</v>
      </c>
      <c r="BM44" s="235">
        <v>17</v>
      </c>
      <c r="BN44" s="235">
        <v>18</v>
      </c>
      <c r="BO44" s="235">
        <v>7</v>
      </c>
      <c r="BP44" s="235">
        <v>6</v>
      </c>
      <c r="CA44" s="19"/>
      <c r="CB44" s="19"/>
    </row>
    <row r="45" spans="1:80" ht="12" customHeight="1" x14ac:dyDescent="0.25">
      <c r="A45" s="17" t="s">
        <v>134</v>
      </c>
      <c r="B45" s="147">
        <v>44</v>
      </c>
      <c r="C45" s="4"/>
      <c r="G45" s="91" t="str">
        <f>IF(ISNUMBER($AJ$58),$K$8,"")</f>
        <v/>
      </c>
      <c r="H45" s="90" t="str">
        <f>IF(ISNUMBER($AJ$58),"FWL","")</f>
        <v/>
      </c>
      <c r="J45" s="19"/>
      <c r="K45" s="19"/>
      <c r="L45" s="13"/>
      <c r="M45" s="14"/>
      <c r="Q45" s="91" t="str">
        <f>IF(ISNUMBER($AL$58),$K$8,"")</f>
        <v/>
      </c>
      <c r="R45" s="90" t="str">
        <f>IF(ISNUMBER($AL$58),"FEL","")</f>
        <v/>
      </c>
      <c r="T45" s="19"/>
      <c r="U45" s="155"/>
      <c r="V45" s="22"/>
      <c r="W45" s="147">
        <v>11</v>
      </c>
      <c r="X45" s="25" t="s">
        <v>134</v>
      </c>
      <c r="AA45" s="5"/>
      <c r="AB45" s="29"/>
      <c r="AC45" s="29"/>
      <c r="AD45" s="53"/>
      <c r="AE45" s="53"/>
      <c r="AF45" s="949" t="s">
        <v>351</v>
      </c>
      <c r="AG45" s="911"/>
      <c r="AH45" s="961" t="s">
        <v>352</v>
      </c>
      <c r="AI45" s="859"/>
      <c r="AJ45" s="949" t="s">
        <v>353</v>
      </c>
      <c r="AK45" s="911"/>
      <c r="AL45" s="949" t="s">
        <v>354</v>
      </c>
      <c r="AM45" s="911"/>
      <c r="AW45" s="233"/>
      <c r="AX45" s="233"/>
      <c r="AY45" s="233"/>
      <c r="AZ45" s="233"/>
      <c r="BA45" s="233"/>
      <c r="BB45" s="233"/>
      <c r="BC45" s="233" t="s">
        <v>293</v>
      </c>
      <c r="BE45" s="52">
        <v>1</v>
      </c>
      <c r="BF45" s="53" t="s">
        <v>276</v>
      </c>
      <c r="BG45" s="36" t="str">
        <f>IF(AND(MAX($AF$80:$AM$80)&lt;1,ISNUMBER($AF$38), ISNUMBER($AG$38)),IF(AND($AF$38&gt;0,$AG$38&gt;0),3,IF(AND($AF$38&lt;0,IF(-$AF$38&lt;$CA$19,$AP$84,$AP$87)&lt;0),4,IF(AND(IF(-$AG$38&lt;$AX$19,$AO$84,$AO$85)&lt;0,$AG$38&lt;0),2,""))),"")</f>
        <v/>
      </c>
      <c r="BH45" s="235">
        <v>9</v>
      </c>
      <c r="BI45" s="235">
        <v>4</v>
      </c>
      <c r="BJ45" s="235">
        <v>3</v>
      </c>
      <c r="BK45" s="235">
        <v>10</v>
      </c>
      <c r="BL45" s="235">
        <v>15</v>
      </c>
      <c r="BM45" s="235">
        <v>16</v>
      </c>
      <c r="BN45" s="235">
        <v>17</v>
      </c>
      <c r="BO45" s="235">
        <v>8</v>
      </c>
      <c r="BP45" s="235">
        <v>5</v>
      </c>
      <c r="CA45" s="19"/>
      <c r="CB45" s="19"/>
    </row>
    <row r="46" spans="1:80" ht="12" customHeight="1" x14ac:dyDescent="0.25">
      <c r="A46" s="17" t="s">
        <v>140</v>
      </c>
      <c r="B46" s="112">
        <v>1</v>
      </c>
      <c r="C46" s="4"/>
      <c r="G46" s="99" t="str">
        <f>IF(ISNUMBER($AJ$69),$B$9,"")</f>
        <v/>
      </c>
      <c r="H46" s="150" t="str">
        <f>IF(AND(G47="",G48=""),"",IF($AJ$69=1,"NE/SW",IF($AJ$69=2,"NW/SW",IF($AJ$69=3,"SW/SW",IF($AJ$69=4,"SE/SW","")))))</f>
        <v/>
      </c>
      <c r="I46" s="154"/>
      <c r="J46" s="153"/>
      <c r="K46" s="153"/>
      <c r="L46" s="13"/>
      <c r="M46" s="14"/>
      <c r="Q46" s="99" t="str">
        <f>IF(ISNUMBER($AL$69),$B$9,"")</f>
        <v/>
      </c>
      <c r="R46" s="150" t="str">
        <f>IF(AND(Q47="",Q48=""),"",IF($AL$69=1,"NE/SE",IF($AL$69=2,"NW/SE",IF($AL$69=3,"SW/SE",IF($AL$69=4,"SE/SE","")))))</f>
        <v/>
      </c>
      <c r="S46" s="154"/>
      <c r="T46" s="153"/>
      <c r="U46" s="155"/>
      <c r="V46" s="22"/>
      <c r="W46" s="112">
        <v>1</v>
      </c>
      <c r="X46" s="25" t="s">
        <v>140</v>
      </c>
      <c r="AA46" s="5"/>
      <c r="AB46" s="29"/>
      <c r="AC46" s="29"/>
      <c r="AE46" s="53"/>
      <c r="AF46" s="967">
        <v>1</v>
      </c>
      <c r="AG46" s="911"/>
      <c r="AH46" s="967">
        <v>2</v>
      </c>
      <c r="AI46" s="911"/>
      <c r="AJ46" s="967">
        <v>3</v>
      </c>
      <c r="AK46" s="911"/>
      <c r="AL46" s="967">
        <v>4</v>
      </c>
      <c r="AM46" s="911"/>
      <c r="AW46" s="233"/>
      <c r="AX46" s="233"/>
      <c r="AY46" s="233"/>
      <c r="AZ46" s="233"/>
      <c r="BA46" s="233"/>
      <c r="BB46" s="233"/>
      <c r="BC46" s="233" t="s">
        <v>294</v>
      </c>
      <c r="BE46" s="52">
        <v>2</v>
      </c>
      <c r="BF46" s="53" t="s">
        <v>276</v>
      </c>
      <c r="BG46" s="36" t="str">
        <f>IF(AND(MAX($AF$80:$AM$80)&lt;1,ISNUMBER($AH$39), ISNUMBER($AI$39)),IF(AND(IF($AI$39&lt;$BD$19,$AQ$85,$AQ$84)&lt;0,$AI$39&gt;0),2,IF(AND($AH$39&gt;0,$AI$39&lt;0),9,IF(AND($AH$39&lt;0,IF(-$AH$39&lt;$BE$19,$AR$85,$AR$86)&lt;0),8,""))),"")</f>
        <v/>
      </c>
      <c r="BH46" s="235">
        <v>10</v>
      </c>
      <c r="BI46" s="235">
        <v>3</v>
      </c>
      <c r="BJ46" s="235">
        <v>2</v>
      </c>
      <c r="BK46" s="235">
        <v>11</v>
      </c>
      <c r="BL46" s="235">
        <v>14</v>
      </c>
      <c r="BM46" s="235">
        <v>15</v>
      </c>
      <c r="BN46" s="235">
        <v>16</v>
      </c>
      <c r="BO46" s="235">
        <v>9</v>
      </c>
      <c r="BP46" s="235">
        <v>4</v>
      </c>
      <c r="CA46" s="19"/>
      <c r="CB46" s="19"/>
    </row>
    <row r="47" spans="1:80" ht="12" customHeight="1" x14ac:dyDescent="0.25">
      <c r="A47" s="17" t="s">
        <v>144</v>
      </c>
      <c r="B47" s="27" t="e">
        <f>IF(AND($L$38='SHL Section'!$BF$52,MAX('BHL Section 2'!$BG$37:$BG$40)=4),'BHL Section 2'!$W$47,IF(AND($L$38='SHL Section'!$BF$55,MAX('BHL Section 2'!$BG$41:$BG$44)=4),'BHL Section 2'!$W$47,IF(AND($L$38='SHL Section'!$BF$58,MAX('BHL Section 2'!$BG$45:$BG$48)=4),'BHL Section 2'!$W$47,IF(B43="","",IF(OR(B46=1,B46=4),180-(B43+B44/60+B45/3600),180+(B43+B44/60+B45/3600))))))</f>
        <v>#VALUE!</v>
      </c>
      <c r="C47" s="4"/>
      <c r="G47" s="151" t="str">
        <f>IF(ISNUMBER($AJ$69),$I$9,"")</f>
        <v/>
      </c>
      <c r="H47" s="152" t="str">
        <f>IF(ISNUMBER($AJ$69),"FSL","")</f>
        <v/>
      </c>
      <c r="I47" s="154"/>
      <c r="J47" s="153"/>
      <c r="K47" s="153"/>
      <c r="L47" s="13"/>
      <c r="M47" s="14"/>
      <c r="Q47" s="151" t="str">
        <f>IF(ISNUMBER($AL$69),$I$9,"")</f>
        <v/>
      </c>
      <c r="R47" s="152" t="str">
        <f>IF(ISNUMBER($AL$69),"FSL","")</f>
        <v/>
      </c>
      <c r="S47" s="154"/>
      <c r="T47" s="153"/>
      <c r="V47" s="22"/>
      <c r="W47" s="34" t="e">
        <f>IF(AND($L$38='SHL Section'!$BF$52,MAX('BHL Section 2'!$BG$37:$BG$40)=8),'BHL Section 2'!$B$47,IF(AND($L$38='SHL Section'!$BF$55,MAX('BHL Section 2'!$BG$41:$BG$44)=8),'BHL Section 2'!$B$47,IF(AND($L$38='SHL Section'!$BF$58,MAX('BHL Section 2'!$BG$45:$BG$48)=8),'BHL Section 2'!$B$47,IF(W43="","",IF(OR(W46=1,W46=4),180-(W43+W44/60+W45/3600),180+(W43+W44/60+W45/3600))))))</f>
        <v>#VALUE!</v>
      </c>
      <c r="X47" s="25" t="s">
        <v>144</v>
      </c>
      <c r="AA47" s="5"/>
      <c r="AF47" s="939" t="s">
        <v>355</v>
      </c>
      <c r="AG47" s="882"/>
      <c r="AH47" s="943" t="s">
        <v>355</v>
      </c>
      <c r="AI47" s="832"/>
      <c r="AJ47" s="939" t="s">
        <v>355</v>
      </c>
      <c r="AK47" s="882"/>
      <c r="AL47" s="939" t="s">
        <v>355</v>
      </c>
      <c r="AM47" s="882"/>
      <c r="AW47" s="233"/>
      <c r="AX47" s="233"/>
      <c r="AY47" s="233"/>
      <c r="AZ47" s="233"/>
      <c r="BA47" s="233"/>
      <c r="BB47" s="233"/>
      <c r="BC47" s="233" t="s">
        <v>295</v>
      </c>
      <c r="BE47" s="52">
        <v>3</v>
      </c>
      <c r="BF47" s="53" t="s">
        <v>276</v>
      </c>
      <c r="BG47" s="36" t="str">
        <f>IF(AND(MAX($AF$80:$AM$80)&lt;1,ISNUMBER($AJ$40), ISNUMBER($AK$40)),IF(AND($AJ$40&gt;0,IF($AJ$40&lt;$BK$19,$AT$86,$AT$85)&lt;0),8,IF(AND($AJ$40&lt;0,$AK$40&lt;0),7,IF(AND(IF($AK$40&lt;$BN$19,$AS$86,$AS$87)&lt;0,$AK$40&gt;0),6,""))),"")</f>
        <v/>
      </c>
      <c r="BH47" s="235">
        <v>11</v>
      </c>
      <c r="BI47" s="235">
        <v>2</v>
      </c>
      <c r="BJ47" s="235">
        <v>1</v>
      </c>
      <c r="BK47" s="235">
        <v>12</v>
      </c>
      <c r="BL47" s="235">
        <v>13</v>
      </c>
      <c r="BM47" s="235">
        <v>14</v>
      </c>
      <c r="BN47" s="235">
        <v>15</v>
      </c>
      <c r="BO47" s="235">
        <v>10</v>
      </c>
      <c r="BP47" s="235">
        <v>3</v>
      </c>
      <c r="CA47" s="19"/>
      <c r="CB47" s="19"/>
    </row>
    <row r="48" spans="1:80" ht="12" customHeight="1" x14ac:dyDescent="0.25">
      <c r="C48" s="4"/>
      <c r="G48" s="91" t="str">
        <f>IF(ISNUMBER($AJ$69),$K$9,"")</f>
        <v/>
      </c>
      <c r="H48" s="90" t="str">
        <f>IF(ISNUMBER($AJ$69),"FWL","")</f>
        <v/>
      </c>
      <c r="I48" s="154"/>
      <c r="J48" s="153"/>
      <c r="K48" s="153"/>
      <c r="L48" s="13"/>
      <c r="M48" s="14"/>
      <c r="Q48" s="91" t="str">
        <f>IF(ISNUMBER($AL$69),$K$9,"")</f>
        <v/>
      </c>
      <c r="R48" s="90" t="str">
        <f>IF(ISNUMBER($AL$69),"FEL","")</f>
        <v/>
      </c>
      <c r="S48" s="154"/>
      <c r="T48" s="153"/>
      <c r="V48" s="22"/>
      <c r="AA48" s="5"/>
      <c r="AF48" s="944"/>
      <c r="AG48" s="911"/>
      <c r="AH48" s="944"/>
      <c r="AI48" s="911"/>
      <c r="AJ48" s="944"/>
      <c r="AK48" s="911"/>
      <c r="AL48" s="944"/>
      <c r="AM48" s="911"/>
      <c r="AW48" s="233"/>
      <c r="AX48" s="233"/>
      <c r="AY48" s="233"/>
      <c r="AZ48" s="233"/>
      <c r="BA48" s="233"/>
      <c r="BB48" s="233"/>
      <c r="BC48" s="233" t="s">
        <v>296</v>
      </c>
      <c r="BE48" s="756">
        <v>4</v>
      </c>
      <c r="BF48" s="758" t="s">
        <v>276</v>
      </c>
      <c r="BG48" s="120" t="str">
        <f>IF(AND(MAX($AF$80:$AM$80)&lt;1,ISNUMBER($AL$41), ISNUMBER($AM$41)),IF(AND(IF(-$AM$41&lt;$BT$19,$AU$87,$AU$86)&lt;0,$AM$41&lt;0),6,IF(AND($AL$41&lt;0,$AM$41&gt;0),5,IF(AND($AL$41&gt;0,IF($AL$41&lt;$BU$19,$AV$87,$AV$84)&lt;0),4,""))),"")</f>
        <v/>
      </c>
      <c r="BH48" s="235">
        <v>12</v>
      </c>
      <c r="BI48" s="235">
        <v>1</v>
      </c>
      <c r="BJ48" s="235">
        <v>6</v>
      </c>
      <c r="BK48" s="235">
        <v>7</v>
      </c>
      <c r="BL48" s="235">
        <v>18</v>
      </c>
      <c r="BM48" s="235">
        <v>13</v>
      </c>
      <c r="BN48" s="235">
        <v>14</v>
      </c>
      <c r="BO48" s="235">
        <v>11</v>
      </c>
      <c r="BP48" s="235">
        <v>2</v>
      </c>
      <c r="CA48" s="19"/>
      <c r="CB48" s="19"/>
    </row>
    <row r="49" spans="1:80" ht="12" customHeight="1" x14ac:dyDescent="0.25">
      <c r="B49" s="44" t="e">
        <f>IF(AND($AA$10=1,$L$38='SHL Section'!$BF$52,MAX('BHL Section 2'!$BG$37:$BG$40)=4),'BHL Section 2'!$W$49,IF(AND($AA$10=1,$L$38='SHL Section'!$BF$55,MAX('BHL Section 2'!$BG$41:$BG$44)=4),'BHL Section 2'!$W$49,IF(AND($AA$10=1,$L$38='SHL Section'!$BF$58,MAX('BHL Section 2'!$BG$45:$BG$48)=4),'BHL Section 2'!$W$49,'BHL Section 3'!B50)))</f>
        <v>#VALUE!</v>
      </c>
      <c r="C49" s="4"/>
      <c r="G49" s="99" t="str">
        <f>IF(ISNUMBER($AJ$80),$B$10,"")</f>
        <v/>
      </c>
      <c r="H49" s="150" t="str">
        <f>IF(AND(G50="",G51=""),"",IF($AJ$80=1,"NE/SW",IF($AJ$80=2,"NW/SW",IF($AJ$80=3,"SW/SW",IF($AJ$80=4,"SE/SW","")))))</f>
        <v/>
      </c>
      <c r="I49" s="154"/>
      <c r="J49" s="153"/>
      <c r="K49" s="153"/>
      <c r="L49" s="13"/>
      <c r="M49" s="14"/>
      <c r="Q49" s="99" t="str">
        <f>IF(ISNUMBER($AL$80),$B$10,"")</f>
        <v/>
      </c>
      <c r="R49" s="150" t="str">
        <f>IF(AND(Q50="",Q51=""),"",IF($AL$80=1,"NE/SE",IF($AL$80=2,"NW/SE",IF($AL$80=3,"SW/SE",IF($AL$80=4,"SE/SE","")))))</f>
        <v/>
      </c>
      <c r="S49" s="154"/>
      <c r="T49" s="153"/>
      <c r="U49" s="5"/>
      <c r="V49" s="22"/>
      <c r="W49" s="154" t="e">
        <f>IF(AND($AA$10=1,$L$38='SHL Section'!$BF$52,MAX('BHL Section 2'!$BG$37:$BG$40)=8),'BHL Section 2'!$B$49,IF(AND($AA$10=1,$L$38='SHL Section'!$BF$55,MAX('BHL Section 2'!$BG$41:$BG$44)=8),'BHL Section 2'!$B$49,IF(AND($AA$10=1,$L$38='SHL Section'!$BF$58,MAX('BHL Section 2'!$BG$45:$BG$48)=8),'BHL Section 2'!$B$49,'BHL Section 3'!W50)))</f>
        <v>#VALUE!</v>
      </c>
      <c r="AA49" s="5"/>
      <c r="AF49" s="87"/>
      <c r="AG49" s="88"/>
      <c r="AH49" s="89"/>
      <c r="AI49" s="89"/>
      <c r="AJ49" s="87"/>
      <c r="AK49" s="88"/>
      <c r="AL49" s="87"/>
      <c r="AM49" s="88"/>
      <c r="AW49" s="233"/>
      <c r="AX49" s="233"/>
      <c r="AY49" s="233"/>
      <c r="AZ49" s="233"/>
      <c r="BA49" s="233"/>
      <c r="BB49" s="233"/>
      <c r="BC49" s="233" t="s">
        <v>297</v>
      </c>
      <c r="BH49" s="235">
        <v>13</v>
      </c>
      <c r="BI49" s="235">
        <v>12</v>
      </c>
      <c r="BJ49" s="235">
        <v>7</v>
      </c>
      <c r="BK49" s="235">
        <v>18</v>
      </c>
      <c r="BL49" s="235">
        <v>19</v>
      </c>
      <c r="BM49" s="235">
        <v>24</v>
      </c>
      <c r="BN49" s="235">
        <v>23</v>
      </c>
      <c r="BO49" s="235">
        <v>14</v>
      </c>
      <c r="BP49" s="235">
        <v>11</v>
      </c>
      <c r="CA49" s="19"/>
      <c r="CB49" s="19"/>
    </row>
    <row r="50" spans="1:80" ht="12" customHeight="1" x14ac:dyDescent="0.25">
      <c r="A50" s="17" t="s">
        <v>118</v>
      </c>
      <c r="B50" s="162"/>
      <c r="C50" s="4"/>
      <c r="G50" s="151" t="str">
        <f>IF(ISNUMBER($AJ$80),$I$10,"")</f>
        <v/>
      </c>
      <c r="H50" s="152" t="str">
        <f>IF(ISNUMBER($AJ$80),"FSL","")</f>
        <v/>
      </c>
      <c r="I50" s="154"/>
      <c r="J50" s="153"/>
      <c r="K50" s="153"/>
      <c r="L50" s="13"/>
      <c r="M50" s="14"/>
      <c r="Q50" s="151" t="str">
        <f>IF(ISNUMBER($AL$80),$I$10,"")</f>
        <v/>
      </c>
      <c r="R50" s="152" t="str">
        <f>IF(ISNUMBER($AL$80),"FSL","")</f>
        <v/>
      </c>
      <c r="S50" s="154"/>
      <c r="T50" s="153"/>
      <c r="U50" s="5"/>
      <c r="V50" s="22"/>
      <c r="W50" s="110"/>
      <c r="X50" s="25" t="s">
        <v>118</v>
      </c>
      <c r="AA50" s="5"/>
      <c r="AF50" s="939" t="s">
        <v>356</v>
      </c>
      <c r="AG50" s="882"/>
      <c r="AH50" s="943" t="s">
        <v>357</v>
      </c>
      <c r="AI50" s="832"/>
      <c r="AJ50" s="939" t="s">
        <v>358</v>
      </c>
      <c r="AK50" s="882"/>
      <c r="AL50" s="939" t="s">
        <v>359</v>
      </c>
      <c r="AM50" s="882"/>
      <c r="AW50" s="233"/>
      <c r="AX50" s="233"/>
      <c r="AY50" s="233"/>
      <c r="AZ50" s="233"/>
      <c r="BA50" s="233"/>
      <c r="BB50" s="233"/>
      <c r="BC50" s="233" t="s">
        <v>298</v>
      </c>
      <c r="BH50" s="235">
        <v>14</v>
      </c>
      <c r="BI50" s="235">
        <v>11</v>
      </c>
      <c r="BJ50" s="235">
        <v>12</v>
      </c>
      <c r="BK50" s="235">
        <v>13</v>
      </c>
      <c r="BL50" s="235">
        <v>24</v>
      </c>
      <c r="BM50" s="235">
        <v>23</v>
      </c>
      <c r="BN50" s="235">
        <v>22</v>
      </c>
      <c r="BO50" s="235">
        <v>15</v>
      </c>
      <c r="BP50" s="235">
        <v>10</v>
      </c>
      <c r="CA50" s="19"/>
      <c r="CB50" s="19"/>
    </row>
    <row r="51" spans="1:80" ht="12" customHeight="1" x14ac:dyDescent="0.25">
      <c r="A51" s="17" t="s">
        <v>124</v>
      </c>
      <c r="B51" s="147"/>
      <c r="C51" s="4"/>
      <c r="G51" s="91" t="str">
        <f>IF(ISNUMBER($AJ$80),$K$10,"")</f>
        <v/>
      </c>
      <c r="H51" s="90" t="str">
        <f>IF(ISNUMBER($AJ$80),"FWL","")</f>
        <v/>
      </c>
      <c r="I51" s="154"/>
      <c r="J51" s="153"/>
      <c r="K51" s="153"/>
      <c r="L51" s="13"/>
      <c r="M51" s="14"/>
      <c r="Q51" s="91" t="str">
        <f>IF(ISNUMBER($AL$80),$K$10,"")</f>
        <v/>
      </c>
      <c r="R51" s="90" t="str">
        <f>IF(ISNUMBER($AL$80),"FEL","")</f>
        <v/>
      </c>
      <c r="S51" s="154"/>
      <c r="T51" s="153"/>
      <c r="U51" s="5"/>
      <c r="V51" s="22"/>
      <c r="W51" s="147"/>
      <c r="X51" s="25" t="s">
        <v>124</v>
      </c>
      <c r="AA51" s="5"/>
      <c r="AB51" s="29"/>
      <c r="AC51" s="29"/>
      <c r="AD51" s="29"/>
      <c r="AE51" s="757" t="s">
        <v>226</v>
      </c>
      <c r="AF51" s="30" t="s">
        <v>113</v>
      </c>
      <c r="AG51" s="30" t="s">
        <v>114</v>
      </c>
      <c r="AH51" s="761" t="s">
        <v>113</v>
      </c>
      <c r="AI51" s="760" t="s">
        <v>114</v>
      </c>
      <c r="AJ51" s="30" t="s">
        <v>113</v>
      </c>
      <c r="AK51" s="30" t="s">
        <v>114</v>
      </c>
      <c r="AL51" s="30" t="s">
        <v>113</v>
      </c>
      <c r="AM51" s="30" t="s">
        <v>114</v>
      </c>
      <c r="AW51" s="233"/>
      <c r="AX51" s="233"/>
      <c r="AY51" s="233"/>
      <c r="AZ51" s="233"/>
      <c r="BA51" s="233"/>
      <c r="BB51" s="233"/>
      <c r="BC51" s="233" t="s">
        <v>299</v>
      </c>
      <c r="BH51" s="235">
        <v>15</v>
      </c>
      <c r="BI51" s="235">
        <v>10</v>
      </c>
      <c r="BJ51" s="235">
        <v>11</v>
      </c>
      <c r="BK51" s="235">
        <v>14</v>
      </c>
      <c r="BL51" s="235">
        <v>23</v>
      </c>
      <c r="BM51" s="235">
        <v>22</v>
      </c>
      <c r="BN51" s="235">
        <v>21</v>
      </c>
      <c r="BO51" s="235">
        <v>16</v>
      </c>
      <c r="BP51" s="235">
        <v>9</v>
      </c>
      <c r="CA51" s="19"/>
      <c r="CB51" s="19"/>
    </row>
    <row r="52" spans="1:80" ht="12" customHeight="1" x14ac:dyDescent="0.25">
      <c r="A52" s="17" t="s">
        <v>130</v>
      </c>
      <c r="B52" s="147"/>
      <c r="C52" s="4"/>
      <c r="I52" s="154"/>
      <c r="J52" s="153"/>
      <c r="K52" s="153"/>
      <c r="L52" s="13"/>
      <c r="M52" s="14"/>
      <c r="P52" s="19"/>
      <c r="S52" s="154"/>
      <c r="T52" s="153"/>
      <c r="U52" s="5"/>
      <c r="V52" s="22"/>
      <c r="W52" s="147"/>
      <c r="X52" s="25" t="s">
        <v>130</v>
      </c>
      <c r="AA52" s="5"/>
      <c r="AB52" s="5"/>
      <c r="AC52" s="5"/>
      <c r="AE52" s="53">
        <v>1</v>
      </c>
      <c r="AF52" s="49" t="str">
        <f>IF($AE52=AF$48,-($Q$30/$AW$28+$Q$31/$CA$28*$AW$19/$AX$19)/(1-$AW$19/$AX$19*$CB$19/$CA$19),"")</f>
        <v/>
      </c>
      <c r="AG52" s="48" t="str">
        <f>IF($AE52=AF$48,-($Q$31/$CA$28+$Q$30/$AW$28*$CB$19/$CA$19)/(1-$AW$19/$AX$19*$CB$19/$CA$19),"")</f>
        <v/>
      </c>
      <c r="AH52" s="44" t="str">
        <f>IF($AE52=AH$48,-($G$30/$BA$28-$BC$19-($G$31/$BE$28-$BD$19)*$BA$19/$BB$19)/(1-$BA$19/$BB$19*$BF$19/$BE$19),"")</f>
        <v/>
      </c>
      <c r="AI52" s="44" t="str">
        <f>IF($AE52=AH$48,($G$31/$BE$28-$BD$19-($G$30/$BA$28-$BC$19)*$BF$19/$BE$19)/(1-$BA$19/$BB$19*$BF$19/$BE$19)+$BD$19,"")</f>
        <v/>
      </c>
      <c r="AJ52" s="49" t="str">
        <f>IF($AE52=AJ$48,($G$46/$BO$28-$BK$19+$BM$19+($G$47/$BI$28-$BN$19+$BL$19)*$BO$19/$BP$19)/(1-$BJ$19/$BI$19*$BO$19/$BP$19)+$BK$19,"")</f>
        <v/>
      </c>
      <c r="AK52" s="48" t="str">
        <f>IF($AE52=AJ$48,($G$47/$BI$28-$BN$19+$BL$19+($G$46/$BO$28-$BK$19+$BM$19)*$BJ$19/$BI$19)/(1-$BJ$19/$BI$19*$BO$19/$BP$19)+$BN$19,"")</f>
        <v/>
      </c>
      <c r="AL52" s="49" t="str">
        <f>IF($AE52=AL$48,($Q$46/$BS$28-$BU$19-($Q$47/$BW$28-$BV$19)*$BS$19/$BT$19)/(1-$BX$19/$BW$19*$BS$19/$BT$19)+$BU$19,"")</f>
        <v/>
      </c>
      <c r="AM52" s="48" t="str">
        <f>IF($AE52=AL$48,-($Q$47/$BW$28-$BV$19-($Q$46/$BS$28-$BU$19)*$BX$19/$BW$19)/(1-$BX$19/$BW$19*$BS$19/$BT$19),"")</f>
        <v/>
      </c>
      <c r="BH52" s="235">
        <v>16</v>
      </c>
      <c r="BI52" s="235">
        <v>9</v>
      </c>
      <c r="BJ52" s="235">
        <v>10</v>
      </c>
      <c r="BK52" s="235">
        <v>15</v>
      </c>
      <c r="BL52" s="235">
        <v>22</v>
      </c>
      <c r="BM52" s="235">
        <v>21</v>
      </c>
      <c r="BN52" s="235">
        <v>20</v>
      </c>
      <c r="BO52" s="235">
        <v>17</v>
      </c>
      <c r="BP52" s="235">
        <v>8</v>
      </c>
      <c r="CA52" s="19"/>
      <c r="CB52" s="19"/>
    </row>
    <row r="53" spans="1:80" ht="12" customHeight="1" x14ac:dyDescent="0.25">
      <c r="A53" s="17" t="s">
        <v>134</v>
      </c>
      <c r="B53" s="147"/>
      <c r="C53" s="4"/>
      <c r="I53" s="154"/>
      <c r="J53" s="153"/>
      <c r="K53" s="153"/>
      <c r="L53" s="13"/>
      <c r="M53" s="14"/>
      <c r="P53" s="19"/>
      <c r="S53" s="154"/>
      <c r="T53" s="153"/>
      <c r="U53" s="5"/>
      <c r="V53" s="22"/>
      <c r="W53" s="147"/>
      <c r="X53" s="25" t="s">
        <v>134</v>
      </c>
      <c r="AA53" s="5"/>
      <c r="AB53" s="5"/>
      <c r="AC53" s="5"/>
      <c r="AE53" s="53">
        <v>2</v>
      </c>
      <c r="AF53" s="49" t="str">
        <f>IF($AE53=AF$48,-($Q$30/$AY$28+$AW$19+($Q$31/$CA$28-$AX$19)*$AY$19/$AZ$19)/(1-$AY$19/$AZ$19*$CB$19/$CA$19),"")</f>
        <v/>
      </c>
      <c r="AG53" s="48" t="str">
        <f>IF($AE53=AF$48,-($Q$31/$CA$28-$AX$19+($Q$30/$AY$28+$AW$19)*$CB$19/$CA$19)/(1-$AY$19/$AZ$19*$CB$19/$CA$19)-$AX$19,"")</f>
        <v/>
      </c>
      <c r="AH53" s="44" t="str">
        <f>IF($AE53=AH$48,-($G$30/$BC$28-$G$31/$BE$28*$BC$19/$BD$19)/(1-$BF$19/$BE$19*$BC$19/$BD$19),"")</f>
        <v/>
      </c>
      <c r="AI53" s="44" t="str">
        <f>IF($AE53=AH$48,($G$31/$BE$28-$G$30/$BC$28*$BF$19/$BE$19)/(1-$BF$19/$BE$19*$BC$19/$BD$19),"")</f>
        <v/>
      </c>
      <c r="AJ53" s="49" t="str">
        <f>IF($AE53=AJ$48,($G$46/$BM$28-$BK$19+($G$47/$BI$28+$BL$19)*$BM$19/$BN$19)/(1-$BJ$19/$BI$19*$BM$19/$BN$19)+$BK$19,"")</f>
        <v/>
      </c>
      <c r="AK53" s="48" t="str">
        <f>IF($AE53=AJ$48,($G$47/$BI$28+$BL$19+($G$46/$BM$28-$BK$19)*$BJ$19/$BI$19)/(1-$BJ$19/$BI$19*$BM$19/$BN$19),"")</f>
        <v/>
      </c>
      <c r="AL53" s="49" t="str">
        <f>IF($AE53=AL$48,($Q$46/$BQ$28-$BU19-$BS$19-($Q$47/$BW$28-$BT$19-$BV$19)*$BQ$19/$BR$19)/(1-$BX$19/$BW$19*$BQ$19/$BR$19)+$BU$19,"")</f>
        <v/>
      </c>
      <c r="AM53" s="48" t="str">
        <f>IF($AE53=AL$48,-($Q$47/$BW$28-$BT$19-$BV$19-($Q$46/$BQ$28-$BU$19-$BS$19)*$BX$19/$BW$19)/(1-$BX$19/$BW$19*$BQ$19/$BR$19)-$BT$19,"")</f>
        <v/>
      </c>
      <c r="BH53" s="235">
        <v>17</v>
      </c>
      <c r="BI53" s="235">
        <v>8</v>
      </c>
      <c r="BJ53" s="235">
        <v>9</v>
      </c>
      <c r="BK53" s="235">
        <v>16</v>
      </c>
      <c r="BL53" s="235">
        <v>21</v>
      </c>
      <c r="BM53" s="235">
        <v>20</v>
      </c>
      <c r="BN53" s="235">
        <v>19</v>
      </c>
      <c r="BO53" s="235">
        <v>18</v>
      </c>
      <c r="BP53" s="235">
        <v>7</v>
      </c>
      <c r="CA53" s="19"/>
      <c r="CB53" s="19"/>
    </row>
    <row r="54" spans="1:80" x14ac:dyDescent="0.25">
      <c r="A54" s="17" t="s">
        <v>140</v>
      </c>
      <c r="B54" s="112">
        <v>4</v>
      </c>
      <c r="C54" s="4"/>
      <c r="F54" s="815"/>
      <c r="I54" s="154"/>
      <c r="J54" s="153"/>
      <c r="K54" s="153"/>
      <c r="L54" s="13"/>
      <c r="M54" s="14"/>
      <c r="P54" s="815"/>
      <c r="S54" s="154"/>
      <c r="T54" s="153"/>
      <c r="U54" s="5"/>
      <c r="V54" s="22"/>
      <c r="W54" s="112">
        <v>4</v>
      </c>
      <c r="X54" s="25" t="s">
        <v>140</v>
      </c>
      <c r="AA54" s="5"/>
      <c r="AB54" s="5"/>
      <c r="AC54" s="5"/>
      <c r="AE54" s="53">
        <v>3</v>
      </c>
      <c r="AF54" s="49" t="str">
        <f>IF($AE54=AF$48,-($Q$30/$AY$28+$AW$19-$CA$19+($Q$31/$BY$28+$CB$19-$AX$19)*$AY$19/$AZ$19)/(1-$AY$19/$AZ$19*$BZ$19/$BY$19)-$CA$19,"")</f>
        <v/>
      </c>
      <c r="AG54" s="48" t="str">
        <f>IF($AE54=AF$48,-($Q$31/$BY$28+$CB$19-$AX$19+($Q$30/$AY$28+$AW$19-$CA$19)*$BZ$19/$BY$19)/(1-$AY$19/$AZ$19*$BZ$19/$BY$19)-$AX$19,"")</f>
        <v/>
      </c>
      <c r="AH54" s="44" t="str">
        <f>IF($AE54=AH$48,-($G$30/$BC$28-$BE$19-($G$31/$BG$28-$BF$19)*$BC$19/$BD$19)/(1-$BH$19/$BG$19*$BC$19/$BD$19)-$BE$19,"")</f>
        <v/>
      </c>
      <c r="AI54" s="44" t="str">
        <f>IF($AE54=AH$48,($G$31/$BG$28-$BF$19-($G$30/$BC$28-$BE$19)*$BH$19/$BG$19)/(1-$BH$19/$BG$19*$BC$19/$BD$19),"")</f>
        <v/>
      </c>
      <c r="AJ54" s="49" t="str">
        <f>IF($AE54=AJ$48,($G$46/$BM$28+$G$47/$BK$28*$BM$19/$BN$19)/(1-$BL$19/$BK$19*$BM$19/$BN$19),"")</f>
        <v/>
      </c>
      <c r="AK54" s="48" t="str">
        <f>IF($AE54=AJ$48,($G$47/$BK$28+$G$46/$BM$28*$BL$19/$BK$19)/(1-$BL$19/$BK$19*$BM$19/$BN$19),"")</f>
        <v/>
      </c>
      <c r="AL54" s="49" t="str">
        <f>IF($AE54=AL$48,($Q$46/$BQ$28-$BS$19-($Q$47/$BU$28-$BT$19)*$BQ$19/$BR$19)/(1-$BV$19/$BU$19*$BQ$19/$BR$19),"")</f>
        <v/>
      </c>
      <c r="AM54" s="48" t="str">
        <f>IF($AE54=AL$48,-($Q$47/$BU$28-$BT$19-($Q$46/$BQ$28-$BS$19)*$BV$19/$BU$19)/(1-$BV$19/$BU$19*$BQ$19/$BR$19)-$BT$19,"")</f>
        <v/>
      </c>
      <c r="BH54" s="235">
        <v>18</v>
      </c>
      <c r="BI54" s="235">
        <v>7</v>
      </c>
      <c r="BJ54" s="235">
        <v>8</v>
      </c>
      <c r="BK54" s="235">
        <v>17</v>
      </c>
      <c r="BL54" s="235">
        <v>20</v>
      </c>
      <c r="BM54" s="235">
        <v>19</v>
      </c>
      <c r="BN54" s="235">
        <v>24</v>
      </c>
      <c r="BO54" s="235">
        <v>13</v>
      </c>
      <c r="BP54" s="235">
        <v>12</v>
      </c>
      <c r="CA54" s="19"/>
      <c r="CB54" s="19"/>
    </row>
    <row r="55" spans="1:80" ht="12" customHeight="1" thickBot="1" x14ac:dyDescent="0.3">
      <c r="A55" s="17" t="s">
        <v>144</v>
      </c>
      <c r="B55" s="27" t="e">
        <f>IF(AND($L$38='SHL Section'!$BF$52,MAX('BHL Section 2'!$BG$37:$BG$40)=4),'BHL Section 2'!$W$55,IF(AND($L$38='SHL Section'!$BF$55,MAX('BHL Section 2'!$BG$41:$BG$44)=4),'BHL Section 2'!$W$55,IF(AND($L$38='SHL Section'!$BF$58,MAX('BHL Section 2'!$BG$45:$BG$48)=4),'BHL Section 2'!$W$55,IF(B51="","",IF(OR(B54=1,B54=4),180-(B51+B52/60+B53/3600),180+(B51+B52/60+B53/3600))))))</f>
        <v>#VALUE!</v>
      </c>
      <c r="C55" s="6"/>
      <c r="D55" s="2"/>
      <c r="E55" s="2"/>
      <c r="F55" s="2"/>
      <c r="G55" s="2"/>
      <c r="H55" s="2"/>
      <c r="I55" s="2"/>
      <c r="J55" s="2"/>
      <c r="K55" s="2"/>
      <c r="L55" s="15"/>
      <c r="M55" s="16"/>
      <c r="N55" s="2"/>
      <c r="O55" s="2"/>
      <c r="P55" s="2"/>
      <c r="Q55" s="2"/>
      <c r="R55" s="2"/>
      <c r="S55" s="2"/>
      <c r="T55" s="2"/>
      <c r="U55" s="2"/>
      <c r="V55" s="23"/>
      <c r="W55" s="34" t="e">
        <f>IF(AND($L$38='SHL Section'!$BF$52,MAX('BHL Section 2'!$BG$37:$BG$40)=8),'BHL Section 2'!$B$55,IF(AND($L$38='SHL Section'!$BF$55,MAX('BHL Section 2'!$BG$41:$BG$44)=8),'BHL Section 2'!$B$55,IF(AND($L$38='SHL Section'!$BF$58,MAX('BHL Section 2'!$BG$45:$BG$48)=8),'BHL Section 2'!$B$55,IF(W51="","",IF(OR(W54=1,W54=4),180-(W51+W52/60+W53/3600),180+(W51+W52/60+W53/3600))))))</f>
        <v>#VALUE!</v>
      </c>
      <c r="X55" s="25" t="s">
        <v>144</v>
      </c>
      <c r="AA55" s="5"/>
      <c r="AB55" s="5"/>
      <c r="AC55" s="5"/>
      <c r="AE55" s="53">
        <v>4</v>
      </c>
      <c r="AF55" s="49" t="str">
        <f>IF($AE55=AF$48,-($Q$30/$AW$28-$CA$19+($Q$31/$BY$28+$CB$19)*$AW$19/$AX$19)/(1-$AW$19/$AX$19*$BZ$19/$BY$19)-$CA$19,"")</f>
        <v/>
      </c>
      <c r="AG55" s="48" t="str">
        <f>IF($AE55=AF$48,-($Q$31/$BY$28+$CB$19+($Q$30/$AW$28-$CA$19)*$BZ$19/$BY$19)/(1-$AW$19/$AX$19*$BZ$19/$BY$19),"")</f>
        <v/>
      </c>
      <c r="AH55" s="44" t="str">
        <f>IF($AE55=AH$48,-($G$30/$BA$28-$BE$19-$BC$19-($G$31/$BG$28-$BD$19-$BF$19)*$BA$19/$BB$19)/(1-$BA$19/$BB$19*$BH$19/$BG$19)-$BE$19,"")</f>
        <v/>
      </c>
      <c r="AI55" s="44" t="str">
        <f>IF($AE55=AH$48,($G$31/$BG$28-$BD$19-$BF$19-($G$30/$BA$28-$BE$19-$BC$19)*$BH$19/$BG$19)/(1-$BA$19/$BB$19*$BH$19/$BG$19)+$BD$19,"")</f>
        <v/>
      </c>
      <c r="AJ55" s="49" t="str">
        <f>IF($AE55=AJ$48,($G$46/$BO$28+$BM$19+($G$47/$BK$28-$BN$19)*$BO$19/$BP$19)/(1-$BL$19/$BK$19*$BO$19/$BP$19),"")</f>
        <v/>
      </c>
      <c r="AK55" s="48" t="str">
        <f>IF($AE55=AJ$48,($G$47/$BK$28-$BN$19+($G$46/$BO$28+$BM$19)*$BL$19/$BK$19)/(1-$BL$19/$BK$19*$BO$19/$BP$19)+$BN$19,"")</f>
        <v/>
      </c>
      <c r="AL55" s="49" t="str">
        <f>IF($AE55=AL$48,($Q$46/$BS$28-$Q$47/$BU$28*$BS$19/$BT$19)/(1-$BV$19/$BU$19*$BS$19/$BT$19),"")</f>
        <v/>
      </c>
      <c r="AM55" s="48" t="str">
        <f>IF($AE55=AL$48,-($Q$47/$BU$28-$Q$46/$BS$28*$BV$19/$BU$19)/(1-$BV$19/$BU$19*$BS$19/$BT$19),"")</f>
        <v/>
      </c>
      <c r="AX55" s="19">
        <v>1</v>
      </c>
      <c r="AY55" s="19">
        <v>2</v>
      </c>
      <c r="AZ55" s="19">
        <v>3</v>
      </c>
      <c r="BA55" s="19">
        <v>4</v>
      </c>
      <c r="BH55" s="235">
        <v>19</v>
      </c>
      <c r="BI55" s="235">
        <v>18</v>
      </c>
      <c r="BJ55" s="235">
        <v>17</v>
      </c>
      <c r="BK55" s="235">
        <v>20</v>
      </c>
      <c r="BL55" s="235">
        <v>29</v>
      </c>
      <c r="BM55" s="235">
        <v>30</v>
      </c>
      <c r="BN55" s="235">
        <v>25</v>
      </c>
      <c r="BO55" s="235">
        <v>24</v>
      </c>
      <c r="BP55" s="235">
        <v>13</v>
      </c>
      <c r="CA55" s="19"/>
      <c r="CB55" s="19"/>
    </row>
    <row r="56" spans="1:80" ht="12" customHeight="1" x14ac:dyDescent="0.25">
      <c r="B56" s="955" t="e">
        <f>CONCATENATE("SW SC of ",$L$38)</f>
        <v>#VALUE!</v>
      </c>
      <c r="C56" s="904"/>
      <c r="D56" s="17" t="s">
        <v>118</v>
      </c>
      <c r="E56" s="162"/>
      <c r="J56" s="17" t="s">
        <v>118</v>
      </c>
      <c r="K56" s="217">
        <v>2649.75</v>
      </c>
      <c r="L56" s="942" t="e">
        <f>CONCATENATE("S QC of ",$L$38)</f>
        <v>#VALUE!</v>
      </c>
      <c r="M56" s="844"/>
      <c r="N56" s="17" t="s">
        <v>118</v>
      </c>
      <c r="O56" s="162">
        <v>2652.87</v>
      </c>
      <c r="T56" s="17" t="s">
        <v>118</v>
      </c>
      <c r="U56" s="162"/>
      <c r="V56" s="960" t="e">
        <f>CONCATENATE("SE SC of ",$L$38)</f>
        <v>#VALUE!</v>
      </c>
      <c r="W56" s="904"/>
      <c r="AA56" s="5"/>
      <c r="AB56" s="5"/>
      <c r="AC56" s="5"/>
      <c r="AF56" s="87"/>
      <c r="AG56" s="88"/>
      <c r="AH56" s="89"/>
      <c r="AI56" s="89"/>
      <c r="AJ56" s="87"/>
      <c r="AK56" s="88"/>
      <c r="AL56" s="87"/>
      <c r="AM56" s="88"/>
      <c r="AW56" s="19">
        <v>1</v>
      </c>
      <c r="AX56" s="235" t="s">
        <v>281</v>
      </c>
      <c r="AY56" s="235" t="s">
        <v>288</v>
      </c>
      <c r="AZ56" s="235" t="s">
        <v>292</v>
      </c>
      <c r="BA56" s="235" t="s">
        <v>296</v>
      </c>
      <c r="BH56" s="235">
        <v>20</v>
      </c>
      <c r="BI56" s="235">
        <v>17</v>
      </c>
      <c r="BJ56" s="235">
        <v>16</v>
      </c>
      <c r="BK56" s="235">
        <v>21</v>
      </c>
      <c r="BL56" s="235">
        <v>28</v>
      </c>
      <c r="BM56" s="235">
        <v>29</v>
      </c>
      <c r="BN56" s="235">
        <v>30</v>
      </c>
      <c r="BO56" s="235">
        <v>19</v>
      </c>
      <c r="BP56" s="235">
        <v>18</v>
      </c>
      <c r="CA56" s="19"/>
      <c r="CB56" s="19"/>
    </row>
    <row r="57" spans="1:80" ht="12" customHeight="1" x14ac:dyDescent="0.25">
      <c r="D57" s="17" t="s">
        <v>124</v>
      </c>
      <c r="E57" s="147"/>
      <c r="F57" s="20"/>
      <c r="G57" s="20"/>
      <c r="H57" s="20"/>
      <c r="I57" s="20"/>
      <c r="J57" s="17" t="s">
        <v>124</v>
      </c>
      <c r="K57" s="148">
        <v>88</v>
      </c>
      <c r="N57" s="17" t="s">
        <v>124</v>
      </c>
      <c r="O57" s="147">
        <v>88</v>
      </c>
      <c r="P57" s="20"/>
      <c r="Q57" s="20"/>
      <c r="R57" s="20"/>
      <c r="S57" s="20"/>
      <c r="T57" s="17" t="s">
        <v>124</v>
      </c>
      <c r="U57" s="147"/>
      <c r="AA57" s="5"/>
      <c r="AB57" s="5"/>
      <c r="AC57" s="5"/>
      <c r="AF57" s="939" t="s">
        <v>366</v>
      </c>
      <c r="AG57" s="882"/>
      <c r="AH57" s="943" t="s">
        <v>366</v>
      </c>
      <c r="AI57" s="832"/>
      <c r="AJ57" s="939" t="s">
        <v>366</v>
      </c>
      <c r="AK57" s="882"/>
      <c r="AL57" s="939" t="s">
        <v>366</v>
      </c>
      <c r="AM57" s="882"/>
      <c r="AW57" s="19">
        <v>2</v>
      </c>
      <c r="AX57" s="235" t="s">
        <v>283</v>
      </c>
      <c r="AY57" s="235" t="s">
        <v>289</v>
      </c>
      <c r="AZ57" s="235" t="s">
        <v>293</v>
      </c>
      <c r="BA57" s="235" t="s">
        <v>297</v>
      </c>
      <c r="BH57" s="235">
        <v>21</v>
      </c>
      <c r="BI57" s="235">
        <v>16</v>
      </c>
      <c r="BJ57" s="235">
        <v>15</v>
      </c>
      <c r="BK57" s="235">
        <v>22</v>
      </c>
      <c r="BL57" s="235">
        <v>27</v>
      </c>
      <c r="BM57" s="235">
        <v>28</v>
      </c>
      <c r="BN57" s="235">
        <v>29</v>
      </c>
      <c r="BO57" s="235">
        <v>20</v>
      </c>
      <c r="BP57" s="235">
        <v>17</v>
      </c>
      <c r="CA57" s="19"/>
      <c r="CB57" s="19"/>
    </row>
    <row r="58" spans="1:80" ht="12" customHeight="1" x14ac:dyDescent="0.25">
      <c r="D58" s="17" t="s">
        <v>130</v>
      </c>
      <c r="E58" s="147"/>
      <c r="J58" s="17" t="s">
        <v>130</v>
      </c>
      <c r="K58" s="148">
        <v>38</v>
      </c>
      <c r="N58" s="17" t="s">
        <v>130</v>
      </c>
      <c r="O58" s="147">
        <v>41</v>
      </c>
      <c r="T58" s="17" t="s">
        <v>130</v>
      </c>
      <c r="U58" s="147"/>
      <c r="AA58" s="5"/>
      <c r="AB58" s="5"/>
      <c r="AC58" s="5"/>
      <c r="AF58" s="944" t="str">
        <f>IF($AF$30="","",IF(AND((-$AF$30+$AG$30*$AW$19/$AX$19)&gt;0,-$AF$30&lt;$CA$19,(-$AG$30+$AF$30*$CB$19/$CA$19)&gt;0,-$AG$30&lt;$AX$19),1,IF(AND((-$AF$30-$AW$19+($AG$30+$AX$19)*$AY$19/$AZ$19)&gt;0,-$AF$30&lt;$CA$19,-$AG$30&gt;$AX$19,-$AG$30&lt;$AY$22),2,IF(AND(-$AF$30&lt;$BZ$22,-$AF$30&gt;$CA$19,-$AG$30&gt;$AX$19,-$AG$30&lt;$AY$22),3,IF(AND(-$AF$30&lt;$BZ$22,-$AF$30&gt;$CA$19,(-$AG$30-$CB$19-(-$AF$30-$CA$19)*$BZ$19/$BY$19)&gt;0,-$AG$30&lt;$AX$19),4,"")))))</f>
        <v/>
      </c>
      <c r="AG58" s="911"/>
      <c r="AH58" s="944" t="str">
        <f>IF($AH$30="","",IF(AND((-$AH$30+$BC$19+($AI$30-$BD$19)*$BA$19/$BB$19)&gt;0,-$AH$30&lt;$BE$19,$AI$30&gt;$BD$19,$AI$30&lt;$BC$22),1,IF(AND((-$AH$30+$AI$30*$BC$19/$BD$19)&gt;0,-$AH$30&lt;$BE$19,($AI$30-$AH$30*$BF$19/$BE$19)&gt;0,$AI$30&lt;$BD$19),2,IF(AND(-$AH$30&gt;$BE$19,-$AH$30&lt;$BF$22,($AI$30+$BF$19+(-$AH$30-$BE$19)*$BH$19/$BG$19)&gt;0,$AI$30&lt;$BD$19),3,IF(AND(-$AH$30&gt;$BE$19,-$AH$30&lt;$BF$22,$AI$30&gt;$BD$19,$AI$30&lt;$BC$22),4,"")))))</f>
        <v/>
      </c>
      <c r="AI58" s="911"/>
      <c r="AJ58" s="944" t="str">
        <f>IF($AJ$30="","",IF(AND($AJ$30&gt;$BK$19,$AJ$30&lt;$BJ$22,$AK$30&gt;$BN$19,$AK$30&lt;$BO$22),1,IF(AND($AJ$30&gt;$BK$19,$AJ$30&lt;$BJ$22,($AK$30-$BL$19-($AJ$30-$BK$19)*$BJ$19/$BI$19)&gt;0,$AK$30&lt;$BN$19),2,IF(AND(($AJ$30-$AK$30*$BM$19/$BN$19)&gt;0,$AJ$30&lt;$BK$19,($AK$30-$AJ$30*$BL$19/$BK$19)&gt;0,$AK$30&lt;$BN$19),3,IF(AND(($AJ$30-$BM$19-($AK$30-$BN$19)*$BO$19/$BP$19)&gt;0,$AJ$30&lt;$BK$19,$AK$30&gt;$BN$19,$AK$30&lt;$BO$22),4,"")))))</f>
        <v/>
      </c>
      <c r="AK58" s="911"/>
      <c r="AL58" s="944" t="str">
        <f>IF($AL$30="","",IF(AND($AL$30&gt;$BU$19,$AL$30&lt;$BV$22,(-$AM$30+$BV$19+($AL$30-$BU$19)*$BX$19/$BW$19)&gt;0,-$AM$30&lt;$BT$19),1,IF(AND($AL$30&gt;$BU$19,$AL$30&lt;$BV$22,-$AM$30&gt;$BT$19,-$AM$30&lt;$BS$22),2,IF(AND(($AL$30+$BS$19+(-$AM$30-$BT$19)*$BQ$19/$BR$19)&gt;0,$AL$30&lt;$BU$19,-$AM$30&gt;$BT$19,-$AM$30&lt;$BS$22),3,IF(AND(($AL$30-$AM$30*$BS$19/$BT$19)&gt;0,$AL$30&lt;$BU$19,(-$AM$30+$AL$30*$BV$19/$BU$19)&gt;0,-$AM$30&lt;$BT$19),4,"")))))</f>
        <v/>
      </c>
      <c r="AM58" s="911"/>
      <c r="AW58" s="19">
        <v>3</v>
      </c>
      <c r="AX58" s="235" t="s">
        <v>285</v>
      </c>
      <c r="AY58" s="235" t="s">
        <v>290</v>
      </c>
      <c r="AZ58" s="235" t="s">
        <v>294</v>
      </c>
      <c r="BA58" s="235" t="s">
        <v>298</v>
      </c>
      <c r="BH58" s="235">
        <v>22</v>
      </c>
      <c r="BI58" s="235">
        <v>15</v>
      </c>
      <c r="BJ58" s="235">
        <v>14</v>
      </c>
      <c r="BK58" s="235">
        <v>23</v>
      </c>
      <c r="BL58" s="235">
        <v>26</v>
      </c>
      <c r="BM58" s="235">
        <v>27</v>
      </c>
      <c r="BN58" s="235">
        <v>28</v>
      </c>
      <c r="BO58" s="235">
        <v>21</v>
      </c>
      <c r="BP58" s="235">
        <v>16</v>
      </c>
      <c r="CA58" s="19"/>
      <c r="CB58" s="19"/>
    </row>
    <row r="59" spans="1:80" ht="12" customHeight="1" x14ac:dyDescent="0.25">
      <c r="D59" s="17" t="s">
        <v>134</v>
      </c>
      <c r="E59" s="147"/>
      <c r="J59" s="17" t="s">
        <v>134</v>
      </c>
      <c r="K59" s="148">
        <v>25</v>
      </c>
      <c r="N59" s="17" t="s">
        <v>134</v>
      </c>
      <c r="O59" s="147">
        <v>4</v>
      </c>
      <c r="T59" s="17" t="s">
        <v>134</v>
      </c>
      <c r="U59" s="147"/>
      <c r="AA59" s="5"/>
      <c r="AB59" s="5"/>
      <c r="AC59" s="5"/>
      <c r="AF59" s="87"/>
      <c r="AG59" s="88"/>
      <c r="AH59" s="89"/>
      <c r="AI59" s="89"/>
      <c r="AJ59" s="87"/>
      <c r="AK59" s="88"/>
      <c r="AL59" s="87"/>
      <c r="AM59" s="88"/>
      <c r="AW59" s="19">
        <v>4</v>
      </c>
      <c r="AX59" s="235" t="s">
        <v>287</v>
      </c>
      <c r="AY59" s="235" t="s">
        <v>291</v>
      </c>
      <c r="AZ59" s="235" t="s">
        <v>295</v>
      </c>
      <c r="BA59" s="235" t="s">
        <v>299</v>
      </c>
      <c r="BH59" s="235">
        <v>23</v>
      </c>
      <c r="BI59" s="235">
        <v>14</v>
      </c>
      <c r="BJ59" s="235">
        <v>13</v>
      </c>
      <c r="BK59" s="235">
        <v>24</v>
      </c>
      <c r="BL59" s="235">
        <v>25</v>
      </c>
      <c r="BM59" s="235">
        <v>26</v>
      </c>
      <c r="BN59" s="235">
        <v>27</v>
      </c>
      <c r="BO59" s="235">
        <v>22</v>
      </c>
      <c r="BP59" s="235">
        <v>15</v>
      </c>
      <c r="CA59" s="19"/>
      <c r="CB59" s="19"/>
    </row>
    <row r="60" spans="1:80" ht="12" customHeight="1" x14ac:dyDescent="0.25">
      <c r="D60" s="17" t="s">
        <v>140</v>
      </c>
      <c r="E60" s="112">
        <v>4</v>
      </c>
      <c r="J60" s="17" t="s">
        <v>140</v>
      </c>
      <c r="K60" s="112">
        <v>3</v>
      </c>
      <c r="N60" s="17" t="s">
        <v>140</v>
      </c>
      <c r="O60" s="112">
        <v>3</v>
      </c>
      <c r="T60" s="17" t="s">
        <v>140</v>
      </c>
      <c r="U60" s="112">
        <v>4</v>
      </c>
      <c r="V60" s="116"/>
      <c r="AA60" s="5"/>
      <c r="AB60" s="5"/>
      <c r="AC60" s="5"/>
      <c r="AF60" s="939" t="s">
        <v>367</v>
      </c>
      <c r="AG60" s="882"/>
      <c r="AH60" s="939" t="s">
        <v>368</v>
      </c>
      <c r="AI60" s="882"/>
      <c r="AJ60" s="939" t="s">
        <v>369</v>
      </c>
      <c r="AK60" s="882"/>
      <c r="AL60" s="939" t="s">
        <v>370</v>
      </c>
      <c r="AM60" s="882"/>
      <c r="BH60" s="235">
        <v>24</v>
      </c>
      <c r="BI60" s="235">
        <v>13</v>
      </c>
      <c r="BJ60" s="235">
        <v>18</v>
      </c>
      <c r="BK60" s="235">
        <v>19</v>
      </c>
      <c r="BL60" s="235">
        <v>30</v>
      </c>
      <c r="BM60" s="235">
        <v>25</v>
      </c>
      <c r="BN60" s="235">
        <v>26</v>
      </c>
      <c r="BO60" s="235">
        <v>23</v>
      </c>
      <c r="BP60" s="235">
        <v>14</v>
      </c>
      <c r="CA60" s="19"/>
      <c r="CB60" s="19"/>
    </row>
    <row r="61" spans="1:80" ht="12" customHeight="1" x14ac:dyDescent="0.25">
      <c r="D61" s="17" t="s">
        <v>144</v>
      </c>
      <c r="E61" s="34" t="e">
        <f>IF(AND($L$38='SHL Section'!$BF$52,MAX('BHL Section 2'!$BG$37:$BG$40)=2),'BHL Section 2'!$E$23,IF(AND($L$38='SHL Section'!$BF$55,MAX('BHL Section 2'!$BG$41:$BG$44)=2),'BHL Section 2'!$E$23,IF(AND($L$38='SHL Section'!$BF$58,MAX('BHL Section 2'!$BG$45:$BG$48)=2),'BHL Section 2'!$E$23,IF(E57="","",IF(OR(E60=1,E60=4),180-(E57+E58/60+E59/3600),(E57+E58/60+E59/3600))))))</f>
        <v>#VALUE!</v>
      </c>
      <c r="J61" s="17" t="s">
        <v>144</v>
      </c>
      <c r="K61" s="34" t="e">
        <f>IF(AND($L$38='SHL Section'!$BF$52,MAX('BHL Section 2'!$BG$37:$BG$40)=2),'BHL Section 2'!$K$23,IF(AND($L$38='SHL Section'!$BF$55,MAX('BHL Section 2'!$BG$41:$BG$44)=2),'BHL Section 2'!$K$23,IF(AND($L$38='SHL Section'!$BF$58,MAX('BHL Section 2'!$BG$45:$BG$48)=2),'BHL Section 2'!$K$23,IF(K57="","",IF(OR(K60=1,K60=4),180-(K57+K58/60+K59/3600),(K57+K58/60+K59/3600))))))</f>
        <v>#VALUE!</v>
      </c>
      <c r="N61" s="17" t="s">
        <v>144</v>
      </c>
      <c r="O61" s="34" t="e">
        <f>IF(AND($L$38='SHL Section'!$BF$52,MAX('BHL Section 2'!$BG$37:$BG$40)=2),'BHL Section 2'!$O$23,IF(AND($L$38='SHL Section'!$BF$55,MAX('BHL Section 2'!$BG$41:$BG$44)=2),'BHL Section 2'!$O$23,IF(AND($L$38='SHL Section'!$BF$58,MAX('BHL Section 2'!$BG$45:$BG$48)=2),'BHL Section 2'!$O$23,IF(O57="","",IF(OR(O60=1,O60=4),180-(O57+O58/60+O59/3600),(O57+O58/60+O59/3600))))))</f>
        <v>#VALUE!</v>
      </c>
      <c r="T61" s="17" t="s">
        <v>144</v>
      </c>
      <c r="U61" s="27" t="e">
        <f>IF(AND($L$38='SHL Section'!$BF$52,MAX('BHL Section 2'!$BG$37:$BG$40)=2),'BHL Section 2'!$U$23,IF(AND($L$38='SHL Section'!$BF$55,MAX('BHL Section 2'!$BG$41:$BG$44)=2),'BHL Section 2'!$U$23,IF(AND($L$38='SHL Section'!$BF$58,MAX('BHL Section 2'!$BG$45:$BG$48)=2),'BHL Section 2'!$U$23,IF(U57="","",IF(OR(U60=1,U60=4),180-(U57+U58/60+U59/3600),(U57+U58/60+U59/3600))))))</f>
        <v>#VALUE!</v>
      </c>
      <c r="AA61" s="5"/>
      <c r="AB61" s="5"/>
      <c r="AC61" s="5"/>
      <c r="AE61" s="757" t="s">
        <v>226</v>
      </c>
      <c r="AF61" s="30" t="s">
        <v>181</v>
      </c>
      <c r="AG61" s="30" t="s">
        <v>194</v>
      </c>
      <c r="AH61" s="761" t="s">
        <v>181</v>
      </c>
      <c r="AI61" s="760" t="s">
        <v>201</v>
      </c>
      <c r="AJ61" s="30" t="s">
        <v>186</v>
      </c>
      <c r="AK61" s="30" t="s">
        <v>201</v>
      </c>
      <c r="AL61" s="30" t="s">
        <v>186</v>
      </c>
      <c r="AM61" s="30" t="s">
        <v>194</v>
      </c>
      <c r="AO61" s="19" t="s">
        <v>371</v>
      </c>
      <c r="AX61" s="29"/>
      <c r="BH61" s="235">
        <v>25</v>
      </c>
      <c r="BI61" s="235">
        <v>24</v>
      </c>
      <c r="BJ61" s="235">
        <v>19</v>
      </c>
      <c r="BK61" s="235">
        <v>30</v>
      </c>
      <c r="BL61" s="235">
        <v>31</v>
      </c>
      <c r="BM61" s="235">
        <v>36</v>
      </c>
      <c r="BN61" s="235">
        <v>35</v>
      </c>
      <c r="BO61" s="235">
        <v>26</v>
      </c>
      <c r="BP61" s="235">
        <v>23</v>
      </c>
      <c r="CA61" s="19"/>
      <c r="CB61" s="19"/>
    </row>
    <row r="62" spans="1:80" ht="12" customHeight="1" x14ac:dyDescent="0.25">
      <c r="E62" s="44" t="e">
        <f>IF(AND($AA$10=1,$L$38='SHL Section'!$BF$52,MAX('BHL Section 2'!$BG$37:$BG$40)=2),'BHL Section 2'!$E$17,IF(AND($AA$10=1,$L$38='SHL Section'!$BF$55,MAX('BHL Section 2'!$BG$41:$BG$44)=2),'BHL Section 2'!$E$17,IF(AND($AA$10=1,$L$38='SHL Section'!$BF$58,MAX('BHL Section 2'!$BG$45:$BG$48)=2),'BHL Section 2'!$E$17,'BHL Section 3'!E56)))</f>
        <v>#VALUE!</v>
      </c>
      <c r="F62" s="156"/>
      <c r="G62" s="156"/>
      <c r="H62" s="156"/>
      <c r="I62" s="156"/>
      <c r="J62" s="156"/>
      <c r="K62" s="44" t="e">
        <f>IF(AND($AA$10=1,$L$38='SHL Section'!$BF$52,MAX('BHL Section 2'!$BG$37:$BG$40)=2),'BHL Section 2'!$K$17,IF(AND($AA$10=1,$L$38='SHL Section'!$BF$55,MAX('BHL Section 2'!$BG$41:$BG$44)=2),'BHL Section 2'!$K$17,IF(AND($AA$10=1,$L$38='SHL Section'!$BF$58,MAX('BHL Section 2'!$BG$45:$BG$48)=2),'BHL Section 2'!$K$17,'BHL Section 3'!K56)))</f>
        <v>#VALUE!</v>
      </c>
      <c r="L62" s="156"/>
      <c r="M62" s="156"/>
      <c r="N62" s="156"/>
      <c r="O62" s="44" t="e">
        <f>IF(AND($AA$10=1,$L$38='SHL Section'!$BF$52,MAX('BHL Section 2'!$BG$37:$BG$40)=2),'BHL Section 2'!$O$17,IF(AND($AA$10=1,$L$38='SHL Section'!$BF$55,MAX('BHL Section 2'!$BG$41:$BG$44)=2),'BHL Section 2'!$O$17,IF(AND($AA$10=1,$L$38='SHL Section'!$BF$58,MAX('BHL Section 2'!$BG$45:$BG$48)=2),'BHL Section 2'!$O$17,'BHL Section 3'!O56)))</f>
        <v>#VALUE!</v>
      </c>
      <c r="P62" s="156"/>
      <c r="Q62" s="156"/>
      <c r="R62" s="156"/>
      <c r="S62" s="156"/>
      <c r="T62" s="156"/>
      <c r="U62" s="44" t="e">
        <f>IF(AND($AA$10=1,$L$38='SHL Section'!$BF$52,MAX('BHL Section 2'!$BG$37:$BG$40)=2),'BHL Section 2'!$U$17,IF(AND($AA$10=1,$L$38='SHL Section'!$BF$55,MAX('BHL Section 2'!$BG$41:$BG$44)=2),'BHL Section 2'!$U$17,IF(AND($AA$10=1,$L$38='SHL Section'!$BF$58,MAX('BHL Section 2'!$BG$45:$BG$48)=2),'BHL Section 2'!$U$17,'BHL Section 3'!U56)))</f>
        <v>#VALUE!</v>
      </c>
      <c r="AA62" s="5"/>
      <c r="AB62" s="5"/>
      <c r="AC62" s="5"/>
      <c r="AE62" s="53">
        <v>1</v>
      </c>
      <c r="AF62" s="49" t="str">
        <f>IF($AE62=AF$58,(-$AF$30+$AG$30*$AW$19/$AX$19)*$AW$28,"")</f>
        <v/>
      </c>
      <c r="AG62" s="48" t="str">
        <f>IF($AE62=AF$58,(-$AG$30+$AF$30*$CB$19/$CA$19)*$CA$28,"")</f>
        <v/>
      </c>
      <c r="AH62" s="49" t="str">
        <f>IF($AE62=AH$58,(-$AH$30+$BC$19+($AI$30-$BD$19)*$BA$19/$BB$19)*$BA$28,"")</f>
        <v/>
      </c>
      <c r="AI62" s="48" t="str">
        <f>IF($AE62=AH$58,($AI$30-$AH$30*$BF$19/$BE$19)*$BE$28,"")</f>
        <v/>
      </c>
      <c r="AJ62" s="49" t="str">
        <f>IF($AE62=AJ$58,($AJ$30-$BM$19-($AK$30-$BN$19)*$BO$19/$BP$19)*$BO$28,"")</f>
        <v/>
      </c>
      <c r="AK62" s="48" t="str">
        <f>IF($AE62=AJ$58,($AK$30-$BL$19-($AJ$30-$BK$19)*$BJ$19/$BI$19)*$BI$28,"")</f>
        <v/>
      </c>
      <c r="AL62" s="49" t="str">
        <f>IF($AE62=AL$58,($AL$30-$AM$30*$BS$19/$BT$19)*$BS$28,"")</f>
        <v/>
      </c>
      <c r="AM62" s="48" t="str">
        <f>IF($AE62=AL$58,(-$AM$30+$BV$19+($AL$30-$BU$19)*$BX$19/$BW$19)*$BW$28,"")</f>
        <v/>
      </c>
      <c r="AO62" s="159" t="str">
        <f>IF(ISNUMBER($AF$30),(-$AF$30+$AG$30*$AW$19/$AX$19),"")</f>
        <v/>
      </c>
      <c r="AP62" s="160" t="str">
        <f>IF(ISNUMBER($AG$30),(-$AG$30+$AF$30*$CB$19/$CA$19),"")</f>
        <v/>
      </c>
      <c r="AQ62" s="159" t="str">
        <f>IF(ISNUMBER($AH$30),(-$AH$30+$BC$19+($AI$30-$BD$19)*$BA$19/$BB$19),"")</f>
        <v/>
      </c>
      <c r="AR62" s="160" t="str">
        <f>IF(ISNUMBER($AI$30),($AI$30-$AH$30*$BF$19/$BE$19),"")</f>
        <v/>
      </c>
      <c r="AS62" s="159" t="str">
        <f>IF(ISNUMBER($AJ$30),($AJ$30-$BM$19-($AK$30-$BN$19)*$BO$19/$BP$19),"")</f>
        <v/>
      </c>
      <c r="AT62" s="160" t="str">
        <f>IF(ISNUMBER($AK$30),($AK$30-$BL$19-($AJ$30-$BK$19)*$BJ$19/$BI$19),"")</f>
        <v/>
      </c>
      <c r="AU62" s="159" t="str">
        <f>IF(ISNUMBER($AL$30),($AL$30-$AM$30*$BS$19/$BT$19),"")</f>
        <v/>
      </c>
      <c r="AV62" s="160" t="str">
        <f>IF(ISNUMBER($AM$30),(-$AM$30+$BV$19+($AL$30-$BU$19)*$BX$19/$BW$19),"")</f>
        <v/>
      </c>
      <c r="AX62" s="44"/>
      <c r="AY62" s="44"/>
      <c r="AZ62" s="44"/>
      <c r="BA62" s="44"/>
      <c r="BH62" s="235">
        <v>26</v>
      </c>
      <c r="BI62" s="235">
        <v>23</v>
      </c>
      <c r="BJ62" s="235">
        <v>24</v>
      </c>
      <c r="BK62" s="235">
        <v>25</v>
      </c>
      <c r="BL62" s="235">
        <v>36</v>
      </c>
      <c r="BM62" s="235">
        <v>35</v>
      </c>
      <c r="BN62" s="235">
        <v>34</v>
      </c>
      <c r="BO62" s="235">
        <v>27</v>
      </c>
      <c r="BP62" s="235">
        <v>22</v>
      </c>
      <c r="CA62" s="19"/>
      <c r="CB62" s="19"/>
    </row>
    <row r="63" spans="1:80" ht="12" customHeight="1" x14ac:dyDescent="0.25">
      <c r="AA63" s="5"/>
      <c r="AB63" s="5"/>
      <c r="AC63" s="5"/>
      <c r="AE63" s="53">
        <v>2</v>
      </c>
      <c r="AF63" s="49" t="str">
        <f>IF($AE63=AF$58,(-$AF$30-$AW$19+($AG$30+$AX$19)*$AY$19/$AZ$19)*$AY$28,"")</f>
        <v/>
      </c>
      <c r="AG63" s="48" t="str">
        <f>IF($AE63=AF$58,(-$AG$30+$AF$30*$CB$19/$CA$19)*$CA$28,"")</f>
        <v/>
      </c>
      <c r="AH63" s="49" t="str">
        <f>IF($AE63=AH$58,(-$AH$30+$AI$30*$BC$19/$BD$19)*$BC$28,"")</f>
        <v/>
      </c>
      <c r="AI63" s="48" t="str">
        <f>IF($AE63=AH$58,($AI$30-$AH$30*$BF$19/$BE$19)*$BE$28,"")</f>
        <v/>
      </c>
      <c r="AJ63" s="49" t="str">
        <f>IF($AE63=AJ$58,($AJ$30-$AK$30*$BM$19/$BN$19)*$BM$28,"")</f>
        <v/>
      </c>
      <c r="AK63" s="48" t="str">
        <f>IF($AE63=AJ$58,($AK$30-$BL$19-($AJ$30-$BK$19)*$BJ$19/$BI$19)*$BI$28,"")</f>
        <v/>
      </c>
      <c r="AL63" s="49" t="str">
        <f>IF($AE63=AL$58,($AL$30+$BS$19+(-$AM$30-$BT$19)*$BQ$19/$BR$19)*$BQ$28,"")</f>
        <v/>
      </c>
      <c r="AM63" s="48" t="str">
        <f>IF($AE63=AL$58,(-$AM$30+$BV$19+($AL$30-$BU$19)*$BX$19/$BW$19)*$BW$28,"")</f>
        <v/>
      </c>
      <c r="AO63" s="49" t="str">
        <f>IF(ISNUMBER($AF$30),(-$AF$30-$AW$19+($AG$30+$AX$19)*$AY$19/$AZ$19),"")</f>
        <v/>
      </c>
      <c r="AP63" s="48" t="str">
        <f>IF(ISNUMBER($AG$30),(-$AG$30+$AF$30*$CB$19/$CA$19),"")</f>
        <v/>
      </c>
      <c r="AQ63" s="49" t="str">
        <f>IF(ISNUMBER($AH$30),(-$AH$30+$AI$30*$BC$19/$BD$19),"")</f>
        <v/>
      </c>
      <c r="AR63" s="48" t="str">
        <f>IF(ISNUMBER($AI$30),($AI$30-$AH$30*$BF$19/$BE$19),"")</f>
        <v/>
      </c>
      <c r="AS63" s="49" t="str">
        <f>IF(ISNUMBER($AJ$30),($AJ$30-$AK$30*$BM$19/$BN$19),"")</f>
        <v/>
      </c>
      <c r="AT63" s="48" t="str">
        <f>IF(ISNUMBER($AK$30),($AK$30-$BL$19-($AJ$30-$BK$19)*$BJ$19/$BI$19),"")</f>
        <v/>
      </c>
      <c r="AU63" s="49" t="str">
        <f>IF(ISNUMBER($AL$30),($AL$30+$BS$19+(-$AM$30-$BT$19)*$BQ$19/$BR$19),"")</f>
        <v/>
      </c>
      <c r="AV63" s="48" t="str">
        <f>IF(ISNUMBER($AM$30),(-$AM$30+$BV$19+($AL$30-$BU$19)*$BX$19/$BW$19),"")</f>
        <v/>
      </c>
      <c r="BH63" s="235">
        <v>27</v>
      </c>
      <c r="BI63" s="235">
        <v>22</v>
      </c>
      <c r="BJ63" s="235">
        <v>23</v>
      </c>
      <c r="BK63" s="235">
        <v>26</v>
      </c>
      <c r="BL63" s="235">
        <v>35</v>
      </c>
      <c r="BM63" s="235">
        <v>34</v>
      </c>
      <c r="BN63" s="235">
        <v>33</v>
      </c>
      <c r="BO63" s="235">
        <v>28</v>
      </c>
      <c r="BP63" s="235">
        <v>21</v>
      </c>
      <c r="CA63" s="19"/>
      <c r="CB63" s="19"/>
    </row>
    <row r="64" spans="1:80" ht="12" customHeight="1" x14ac:dyDescent="0.25">
      <c r="AA64" s="5"/>
      <c r="AB64" s="5"/>
      <c r="AC64" s="5"/>
      <c r="AE64" s="53">
        <v>3</v>
      </c>
      <c r="AF64" s="49" t="str">
        <f>IF($AE64=AF$58,(-$AF$30-$AW$19+($AG$30+$AX$19)*$AY$19/$AZ$19)*$AY$28,"")</f>
        <v/>
      </c>
      <c r="AG64" s="48" t="str">
        <f>IF($AE64=AF$58,(-$AG$30-$CB$19-(-$AF$30-$CA$19)*$BZ$19/$BY$19)*$BY$28,"")</f>
        <v/>
      </c>
      <c r="AH64" s="49" t="str">
        <f>IF($AE64=AH$58,(-$AH$30+$AI$30*$BC$19/$BD$19)*$BC$28,"")</f>
        <v/>
      </c>
      <c r="AI64" s="48" t="str">
        <f>IF($AE64=AH$58,($AI$30+$BF$19+(-$AH$30-$BE$19)*$BH$19/$BG$19)*$BG$28,"")</f>
        <v/>
      </c>
      <c r="AJ64" s="49" t="str">
        <f>IF($AE64=AJ$58,($AJ$30-$AK$30*$BM$19/$BN$19)*$BM$28,"")</f>
        <v/>
      </c>
      <c r="AK64" s="48" t="str">
        <f>IF($AE64=AJ$58,($AK$30-$AJ$30*$BL$19/$BK$19)*$BK$28,"")</f>
        <v/>
      </c>
      <c r="AL64" s="49" t="str">
        <f>IF($AE64=AL$58,($AL$30+$BS$19+(-$AM$30-$BT$19)*$BQ$19/$BR$19)*$BQ$28,"")</f>
        <v/>
      </c>
      <c r="AM64" s="48" t="str">
        <f>IF($AE64=AL$58,(-$AM$30+$AL$30*$BV$19/$BU$19)*$BU$28,"")</f>
        <v/>
      </c>
      <c r="AO64" s="49" t="str">
        <f>IF(ISNUMBER($AF$30),(-$AF$30-$AW$19+($AG$30+$AX$19)*$AY$19/$AZ$19),"")</f>
        <v/>
      </c>
      <c r="AP64" s="48" t="str">
        <f>IF(ISNUMBER($AG$30),(-$AG$30-$CB$19-(-$AF$30-$CA$19)*$BZ$19/$BY$19),"")</f>
        <v/>
      </c>
      <c r="AQ64" s="49" t="str">
        <f>IF(ISNUMBER($AH$30),(-$AH$30+$AI$30*$BC$19/$BD$19),"")</f>
        <v/>
      </c>
      <c r="AR64" s="48" t="str">
        <f>IF(ISNUMBER($AI$30),($AI$30+$BF$19+(-$AH$30-$BE$19)*$BH$19/$BG$19),"")</f>
        <v/>
      </c>
      <c r="AS64" s="49" t="str">
        <f>IF(ISNUMBER($AJ$30),($AJ$30-$AK$30*$BM$19/$BN$19),"")</f>
        <v/>
      </c>
      <c r="AT64" s="48" t="str">
        <f>IF(ISNUMBER($AK$30),($AK$30-$AJ$30*$BL$19/$BK$19),"")</f>
        <v/>
      </c>
      <c r="AU64" s="49" t="str">
        <f>IF(ISNUMBER($AL$30),($AL$30+$BS$19+(-$AM$30-$BT$19)*$BQ$19/$BR$19),"")</f>
        <v/>
      </c>
      <c r="AV64" s="48" t="str">
        <f>IF(ISNUMBER($AM$30),(-$AM$30+$AL$30*$BV$19/$BU$19),"")</f>
        <v/>
      </c>
      <c r="BH64" s="235">
        <v>28</v>
      </c>
      <c r="BI64" s="235">
        <v>21</v>
      </c>
      <c r="BJ64" s="235">
        <v>22</v>
      </c>
      <c r="BK64" s="235">
        <v>27</v>
      </c>
      <c r="BL64" s="235">
        <v>34</v>
      </c>
      <c r="BM64" s="235">
        <v>33</v>
      </c>
      <c r="BN64" s="235">
        <v>32</v>
      </c>
      <c r="BO64" s="235">
        <v>29</v>
      </c>
      <c r="BP64" s="235">
        <v>20</v>
      </c>
      <c r="CA64" s="19"/>
      <c r="CB64" s="19"/>
    </row>
    <row r="65" spans="27:80" ht="12" customHeight="1" x14ac:dyDescent="0.25">
      <c r="AA65" s="5"/>
      <c r="AB65" s="5"/>
      <c r="AC65" s="5"/>
      <c r="AE65" s="53">
        <v>4</v>
      </c>
      <c r="AF65" s="83" t="str">
        <f>IF($AE65=AF$58,(-$AF$30+$AG$30*$AW$19/$AX$19)*$AW$28,"")</f>
        <v/>
      </c>
      <c r="AG65" s="84" t="str">
        <f>IF($AE65=AF$58,(-$AG$30-$CB$19-(-$AF$30-$CA$19)*$BZ$19/$BY$19)*$BY$28,"")</f>
        <v/>
      </c>
      <c r="AH65" s="83" t="str">
        <f>IF($AE65=AH$58,(-$AH$30+$BC$19+($AI$30-$BD$19)*$BA$19/$BB$19)*$BA$28,"")</f>
        <v/>
      </c>
      <c r="AI65" s="84" t="str">
        <f>IF($AE65=AH$58,($AI$30+$BF$19+(-$AH$30-$BE$19)*$BH$19/$BG$19)*$BG$28,"")</f>
        <v/>
      </c>
      <c r="AJ65" s="83" t="str">
        <f>IF($AE65=AJ$58,($AJ$30-$BM$19-($AK$30-$BN$19)*$BO$19/$BP$19)*$BO$28,"")</f>
        <v/>
      </c>
      <c r="AK65" s="84" t="str">
        <f>IF($AE65=AJ$58,($AK$30-$AJ$30*$BL$19/$BK$19)*$BK$28,"")</f>
        <v/>
      </c>
      <c r="AL65" s="83" t="str">
        <f>IF($AE65=AL$58,($AL$30-$AM$30*$BS$19/$BT$19)*$BS$28,"")</f>
        <v/>
      </c>
      <c r="AM65" s="84" t="str">
        <f>IF($AE65=AL$58,(-$AM$30+$AL$30*$BV$19/$BU$19)*$BU$28,"")</f>
        <v/>
      </c>
      <c r="AO65" s="83" t="str">
        <f>IF(ISNUMBER($AF$30),(-$AF$30+$AG$30*$AW$19/$AX$19),"")</f>
        <v/>
      </c>
      <c r="AP65" s="84" t="str">
        <f>IF(ISNUMBER($AG$30),(-$AG$30-$CB$19-(-$AF$30-$CA$19)*$BZ$19/$BY$19),"")</f>
        <v/>
      </c>
      <c r="AQ65" s="83" t="str">
        <f>IF(ISNUMBER($AH$30),(-$AH$30+$BC$19+($AI$30-$BD$19)*$BA$19/$BB$19),"")</f>
        <v/>
      </c>
      <c r="AR65" s="84" t="str">
        <f>IF(ISNUMBER($AI$30),($AI$30+$BF$19+(-$AH$30-$BE$19)*$BH$19/$BG$19),"")</f>
        <v/>
      </c>
      <c r="AS65" s="83" t="str">
        <f>IF(ISNUMBER($AJ$30),($AJ$30-$BM$19-($AK$30-$BN$19)*$BO$19/$BP$19),"")</f>
        <v/>
      </c>
      <c r="AT65" s="84" t="str">
        <f>IF(ISNUMBER($AK$30),($AK$30-$AJ$30*$BL$19/$BK$19),"")</f>
        <v/>
      </c>
      <c r="AU65" s="83" t="str">
        <f>IF(ISNUMBER($AL$30),($AL$30-$AM$30*$BS$19/$BT$19),"")</f>
        <v/>
      </c>
      <c r="AV65" s="84" t="str">
        <f>IF(ISNUMBER($AM$30),(-$AM$30+$AL$30*$BV$19/$BU$19),"")</f>
        <v/>
      </c>
      <c r="BH65" s="235">
        <v>29</v>
      </c>
      <c r="BI65" s="235">
        <v>20</v>
      </c>
      <c r="BJ65" s="235">
        <v>21</v>
      </c>
      <c r="BK65" s="235">
        <v>28</v>
      </c>
      <c r="BL65" s="235">
        <v>33</v>
      </c>
      <c r="BM65" s="235">
        <v>32</v>
      </c>
      <c r="BN65" s="235">
        <v>31</v>
      </c>
      <c r="BO65" s="235">
        <v>30</v>
      </c>
      <c r="BP65" s="235">
        <v>19</v>
      </c>
      <c r="CA65" s="19"/>
      <c r="CB65" s="19"/>
    </row>
    <row r="66" spans="27:80" ht="12" customHeight="1" x14ac:dyDescent="0.25">
      <c r="AA66" s="5"/>
      <c r="AB66" s="5"/>
      <c r="AC66" s="5"/>
      <c r="AF66" s="85" t="str">
        <f>IF(ISNUMBER($AF$62),AF$62,IF(ISNUMBER($AF$63),AF$63,IF(ISNUMBER($AF$64),AF$64,IF(ISNUMBER($AF$65),AF$65,""))))</f>
        <v/>
      </c>
      <c r="AG66" s="86" t="str">
        <f>IF(ISNUMBER($AG$62),AG$62,IF(ISNUMBER($AG$63),AG$63,IF(ISNUMBER($AG$64),AG$64,IF(ISNUMBER($AG$65),AG$65,""))))</f>
        <v/>
      </c>
      <c r="AH66" s="85" t="str">
        <f>IF(ISNUMBER($AH$62),AH$62,IF(ISNUMBER($AH$63),AH$63,IF(ISNUMBER($AH$64),AH$64,IF(ISNUMBER($AH$65),AH$65,""))))</f>
        <v/>
      </c>
      <c r="AI66" s="86" t="str">
        <f>IF(ISNUMBER($AI$62),AI$62,IF(ISNUMBER($AI$63),AI$63,IF(ISNUMBER($AI$64),AI$64,IF(ISNUMBER($AI$65),AI$65,""))))</f>
        <v/>
      </c>
      <c r="AJ66" s="85" t="str">
        <f>IF(ISNUMBER($AJ$62),AJ$62,IF(ISNUMBER($AJ$63),AJ$63,IF(ISNUMBER($AJ$64),AJ$64,IF(ISNUMBER($AJ$65),AJ$65,""))))</f>
        <v/>
      </c>
      <c r="AK66" s="86" t="str">
        <f>IF(ISNUMBER($AK$62),AK$62,IF(ISNUMBER($AK$63),AK$63,IF(ISNUMBER($AK$64),AK$64,IF(ISNUMBER($AK$65),AK$65,""))))</f>
        <v/>
      </c>
      <c r="AL66" s="85" t="str">
        <f>IF(ISNUMBER($AL$62),AL$62,IF(ISNUMBER($AL$63),AL$63,IF(ISNUMBER($AL$64),AL$64,IF(ISNUMBER($AL$65),AL$65,""))))</f>
        <v/>
      </c>
      <c r="AM66" s="86" t="str">
        <f>IF(ISNUMBER($AM$62),AM$62,IF(ISNUMBER($AM$63),AM$63,IF(ISNUMBER($AM$64),AM$64,IF(ISNUMBER($AM$65),AM$65,""))))</f>
        <v/>
      </c>
      <c r="AP66" s="44"/>
      <c r="AQ66" s="44"/>
      <c r="AR66" s="44"/>
      <c r="AS66" s="44"/>
      <c r="AT66" s="44"/>
      <c r="AU66" s="44"/>
      <c r="BH66" s="235">
        <v>30</v>
      </c>
      <c r="BI66" s="235">
        <v>19</v>
      </c>
      <c r="BJ66" s="235">
        <v>20</v>
      </c>
      <c r="BK66" s="235">
        <v>29</v>
      </c>
      <c r="BL66" s="235">
        <v>32</v>
      </c>
      <c r="BM66" s="235">
        <v>31</v>
      </c>
      <c r="BN66" s="235">
        <v>36</v>
      </c>
      <c r="BO66" s="235">
        <v>25</v>
      </c>
      <c r="BP66" s="235">
        <v>24</v>
      </c>
      <c r="CA66" s="19"/>
      <c r="CB66" s="19"/>
    </row>
    <row r="67" spans="27:80" ht="12" customHeight="1" x14ac:dyDescent="0.25">
      <c r="AA67" s="5"/>
      <c r="AB67" s="5"/>
      <c r="AC67" s="5"/>
      <c r="AF67" s="87"/>
      <c r="AG67" s="88"/>
      <c r="AH67" s="89"/>
      <c r="AI67" s="89"/>
      <c r="AJ67" s="87"/>
      <c r="AK67" s="88"/>
      <c r="AL67" s="87"/>
      <c r="AM67" s="88"/>
      <c r="AP67" s="44"/>
      <c r="AQ67" s="44"/>
      <c r="AR67" s="44"/>
      <c r="AS67" s="44"/>
      <c r="AT67" s="44"/>
      <c r="AU67" s="44"/>
      <c r="BH67" s="235">
        <v>31</v>
      </c>
      <c r="BI67" s="235">
        <v>30</v>
      </c>
      <c r="BJ67" s="235">
        <v>29</v>
      </c>
      <c r="BK67" s="235">
        <v>32</v>
      </c>
      <c r="BL67" s="235">
        <v>5</v>
      </c>
      <c r="BM67" s="235">
        <v>6</v>
      </c>
      <c r="BN67" s="235">
        <v>1</v>
      </c>
      <c r="BO67" s="235">
        <v>36</v>
      </c>
      <c r="BP67" s="235">
        <v>25</v>
      </c>
      <c r="CA67" s="19"/>
      <c r="CB67" s="19"/>
    </row>
    <row r="68" spans="27:80" ht="12" customHeight="1" x14ac:dyDescent="0.25">
      <c r="AA68" s="5"/>
      <c r="AB68" s="5"/>
      <c r="AC68" s="5"/>
      <c r="AF68" s="939" t="s">
        <v>372</v>
      </c>
      <c r="AG68" s="882"/>
      <c r="AH68" s="943" t="s">
        <v>372</v>
      </c>
      <c r="AI68" s="832"/>
      <c r="AJ68" s="939" t="s">
        <v>372</v>
      </c>
      <c r="AK68" s="882"/>
      <c r="AL68" s="939" t="s">
        <v>372</v>
      </c>
      <c r="AM68" s="882"/>
      <c r="AP68" s="44"/>
      <c r="AQ68" s="44"/>
      <c r="AR68" s="44"/>
      <c r="AS68" s="44"/>
      <c r="AT68" s="44"/>
      <c r="AU68" s="44"/>
      <c r="BH68" s="235">
        <v>32</v>
      </c>
      <c r="BI68" s="235">
        <v>29</v>
      </c>
      <c r="BJ68" s="235">
        <v>28</v>
      </c>
      <c r="BK68" s="235">
        <v>33</v>
      </c>
      <c r="BL68" s="235">
        <v>4</v>
      </c>
      <c r="BM68" s="235">
        <v>5</v>
      </c>
      <c r="BN68" s="235">
        <v>6</v>
      </c>
      <c r="BO68" s="235">
        <v>31</v>
      </c>
      <c r="BP68" s="235">
        <v>30</v>
      </c>
      <c r="CA68" s="19"/>
      <c r="CB68" s="19"/>
    </row>
    <row r="69" spans="27:80" ht="12" customHeight="1" x14ac:dyDescent="0.25">
      <c r="AA69" s="5"/>
      <c r="AB69" s="5"/>
      <c r="AC69" s="5"/>
      <c r="AF69" s="944" t="str">
        <f>IF($AF$36="","",IF(AND((-$AF$36+$AG$36*$AW$19/$AX$19)&gt;0,-$AF$36&lt;$CA$19,(-$AG$36+$AF$36*$CB$19/$CA$19)&gt;0,-$AG$36&lt;$AX$19),1,IF(AND((-$AF$36-$AW$19+($AG$36+$AX$19)*$AY$19/$AZ$19)&gt;0,-$AF$36&lt;$CA$19,-$AG$36&gt;$AX$19,-$AG$36&lt;$AY$22),2,IF(AND(-$AF$36&lt;$BZ$22,-$AF$36&gt;$CA$19,-$AG$36&gt;$AX$19,-$AG$36&lt;$AY$22),3,IF(AND(-$AF$36&lt;$BZ$22,-$AF$36&gt;$CA$19,(-$AG$36-$CB$19-(-$AF$36-$CA$19)*$BZ$19/$BY$19)&gt;0,-$AG$36&lt;$AX$19),4,"")))))</f>
        <v/>
      </c>
      <c r="AG69" s="911"/>
      <c r="AH69" s="944" t="str">
        <f>IF($AH$36="","",IF(AND((-$AH$36+$BC$19+($AI$36-$BD$19)*$BA$19/$BB$19)&gt;0,-$AH$36&lt;$BE$19,$AI$36&gt;$BD$19,$AI$36&lt;$BC$22),1,IF(AND((-$AH$36+$AI$36*$BC$19/$BD$19)&gt;0,-$AH$36&lt;$BE$19,($AI$36-$AH$36*$BF$19/$BE$19)&gt;0,$AI$36&lt;$BD$19),2,IF(AND(-$AH$36&gt;$BE$19,-$AH$36&lt;$BF$22,($AI$36+$BF$19+(-$AH$36-$BE$19)*$BH$19/$BG$19)&gt;0,$AI$36&lt;$BD$19),3,IF(AND(-$AH$36&gt;$BE$19,-$AH$36&lt;$BF$22,$AI$36&gt;$BD$19,$AI$36&lt;$BC$22),4,"")))))</f>
        <v/>
      </c>
      <c r="AI69" s="911"/>
      <c r="AJ69" s="944" t="str">
        <f>IF($AJ$36="","",IF(AND($AJ$36&gt;$BK$19,$AJ$36&lt;$BJ$22,$AK$36&gt;$BN$19,$AK$36&lt;$BO$22),1,IF(AND($AJ$36&gt;$BK$19,$AJ$36&lt;$BJ$22,($AK$36-$BL$19-($AJ$36-$BK$19)*$BJ$19/$BI$19)&gt;0,$AK$36&lt;$BN$19),2,IF(AND(($AJ$36-$AK$36*$BM$19/$BN$19)&gt;0,$AJ$36&lt;$BK$19,($AK$36-$AJ$36*$BL$19/$BK$19)&gt;0,$AK$36&lt;$BN$19),3,IF(AND(($AJ$36-$BM$19-($AK$36-$BN$19)*$BO$19/$BP$19)&gt;0,$AJ$36&lt;$BK$19,$AK$36&gt;$BN$19,$AK$36&lt;$BO$22),4,"")))))</f>
        <v/>
      </c>
      <c r="AK69" s="911"/>
      <c r="AL69" s="944" t="str">
        <f>IF($AL$36="","",IF(AND($AL$36&gt;$BU$19,$AL$36&lt;$BV$22,(-$AM$36+$BV$19+($AL$36-$BU$19)*$BX$19/$BW$19)&gt;0,-$AM$36&lt;$BT$19),1,IF(AND($AL$36&gt;$BU$19,$AL$36&lt;$BV$22,-$AM$36&gt;$BT$19,-$AM$36&lt;$BS$22),2,IF(AND(($AL$36+$BS$19+(-$AM$36-$BT$19)*$BQ$19/$BR$19)&gt;0,$AL$36&lt;$BU$19,-$AM$36&gt;$BT$19,-$AM$36&lt;$BS$22),3,IF(AND(($AL$36-$AM$36*$BS$19/$BT$19)&gt;0,$AL$36&lt;$BU$19,(-$AM$36+$AL$36*$BV$19/$BU$19)&gt;0,-$AM$36&lt;$BT$19),4,"")))))</f>
        <v/>
      </c>
      <c r="AM69" s="911"/>
      <c r="BH69" s="235">
        <v>33</v>
      </c>
      <c r="BI69" s="235">
        <v>28</v>
      </c>
      <c r="BJ69" s="235">
        <v>27</v>
      </c>
      <c r="BK69" s="235">
        <v>34</v>
      </c>
      <c r="BL69" s="235">
        <v>3</v>
      </c>
      <c r="BM69" s="235">
        <v>4</v>
      </c>
      <c r="BN69" s="235">
        <v>5</v>
      </c>
      <c r="BO69" s="235">
        <v>32</v>
      </c>
      <c r="BP69" s="235">
        <v>29</v>
      </c>
      <c r="CA69" s="19"/>
      <c r="CB69" s="19"/>
    </row>
    <row r="70" spans="27:80" ht="12" customHeight="1" x14ac:dyDescent="0.25">
      <c r="AA70" s="5"/>
      <c r="AB70" s="5"/>
      <c r="AC70" s="5"/>
      <c r="AF70" s="87"/>
      <c r="AG70" s="88"/>
      <c r="AH70" s="89"/>
      <c r="AI70" s="89"/>
      <c r="AJ70" s="87"/>
      <c r="AK70" s="88"/>
      <c r="AL70" s="87"/>
      <c r="AM70" s="88"/>
      <c r="BH70" s="235">
        <v>34</v>
      </c>
      <c r="BI70" s="235">
        <v>27</v>
      </c>
      <c r="BJ70" s="235">
        <v>26</v>
      </c>
      <c r="BK70" s="235">
        <v>35</v>
      </c>
      <c r="BL70" s="235">
        <v>2</v>
      </c>
      <c r="BM70" s="235">
        <v>3</v>
      </c>
      <c r="BN70" s="235">
        <v>4</v>
      </c>
      <c r="BO70" s="235">
        <v>33</v>
      </c>
      <c r="BP70" s="235">
        <v>28</v>
      </c>
      <c r="CA70" s="19"/>
      <c r="CB70" s="19"/>
    </row>
    <row r="71" spans="27:80" ht="12" customHeight="1" x14ac:dyDescent="0.25">
      <c r="AA71" s="5"/>
      <c r="AB71" s="5"/>
      <c r="AC71" s="5"/>
      <c r="AF71" s="939" t="s">
        <v>373</v>
      </c>
      <c r="AG71" s="882"/>
      <c r="AH71" s="939" t="s">
        <v>374</v>
      </c>
      <c r="AI71" s="882"/>
      <c r="AJ71" s="939" t="s">
        <v>375</v>
      </c>
      <c r="AK71" s="882"/>
      <c r="AL71" s="939" t="s">
        <v>376</v>
      </c>
      <c r="AM71" s="882"/>
      <c r="BH71" s="235">
        <v>35</v>
      </c>
      <c r="BI71" s="235">
        <v>26</v>
      </c>
      <c r="BJ71" s="235">
        <v>25</v>
      </c>
      <c r="BK71" s="235">
        <v>36</v>
      </c>
      <c r="BL71" s="235">
        <v>1</v>
      </c>
      <c r="BM71" s="235">
        <v>2</v>
      </c>
      <c r="BN71" s="235">
        <v>3</v>
      </c>
      <c r="BO71" s="235">
        <v>34</v>
      </c>
      <c r="BP71" s="235">
        <v>27</v>
      </c>
      <c r="CA71" s="19"/>
      <c r="CB71" s="19"/>
    </row>
    <row r="72" spans="27:80" ht="12" customHeight="1" x14ac:dyDescent="0.25">
      <c r="AA72" s="5"/>
      <c r="AB72" s="5"/>
      <c r="AC72" s="5"/>
      <c r="AE72" s="757" t="s">
        <v>226</v>
      </c>
      <c r="AF72" s="30" t="s">
        <v>181</v>
      </c>
      <c r="AG72" s="30" t="s">
        <v>194</v>
      </c>
      <c r="AH72" s="761" t="s">
        <v>181</v>
      </c>
      <c r="AI72" s="760" t="s">
        <v>201</v>
      </c>
      <c r="AJ72" s="30" t="s">
        <v>186</v>
      </c>
      <c r="AK72" s="30" t="s">
        <v>201</v>
      </c>
      <c r="AL72" s="30" t="s">
        <v>186</v>
      </c>
      <c r="AM72" s="30" t="s">
        <v>194</v>
      </c>
      <c r="AO72" s="19" t="s">
        <v>371</v>
      </c>
      <c r="BH72" s="235">
        <v>36</v>
      </c>
      <c r="BI72" s="235">
        <v>25</v>
      </c>
      <c r="BJ72" s="235">
        <v>30</v>
      </c>
      <c r="BK72" s="235">
        <v>31</v>
      </c>
      <c r="BL72" s="235">
        <v>6</v>
      </c>
      <c r="BM72" s="235">
        <v>1</v>
      </c>
      <c r="BN72" s="235">
        <v>2</v>
      </c>
      <c r="BO72" s="235">
        <v>35</v>
      </c>
      <c r="BP72" s="235">
        <v>26</v>
      </c>
      <c r="CA72" s="19"/>
      <c r="CB72" s="19"/>
    </row>
    <row r="73" spans="27:80" ht="12" customHeight="1" x14ac:dyDescent="0.25">
      <c r="AA73" s="5"/>
      <c r="AB73" s="5"/>
      <c r="AC73" s="5"/>
      <c r="AE73" s="53">
        <v>1</v>
      </c>
      <c r="AF73" s="49" t="str">
        <f>IF($AE73=AF$69,(-$AF$36+$AG$36*$AW$19/$AX$19)*$AW$28,"")</f>
        <v/>
      </c>
      <c r="AG73" s="48" t="str">
        <f>IF($AE73=AF$69,(-$AG$36+$AF$36*$CB$19/$CA$19)*$CA$28,"")</f>
        <v/>
      </c>
      <c r="AH73" s="49" t="str">
        <f>IF($AE73=AH$69,(-$AH$36+$BC$19+($AI$36-$BD$19)*$BA$19/$BB$19)*$BA$28,"")</f>
        <v/>
      </c>
      <c r="AI73" s="48" t="str">
        <f>IF($AE73=AH$69,($AI$36-$AH$36*$BF$19/$BE$19)*$BE$28,"")</f>
        <v/>
      </c>
      <c r="AJ73" s="49" t="str">
        <f>IF($AE73=AJ$69,($AJ$36-$BM$19-($AK$36-$BN$19)*$BO$19/$BP$19)*$BO$28,"")</f>
        <v/>
      </c>
      <c r="AK73" s="48" t="str">
        <f>IF($AE73=AJ$69,($AK$36-$BL$19-($AJ$36-$BK$19)*$BJ$19/$BI$19)*$BI$28,"")</f>
        <v/>
      </c>
      <c r="AL73" s="49" t="str">
        <f>IF($AE73=AL$69,($AL$36-$AM$36*$BS$19/$BT$19)*$BS$28,"")</f>
        <v/>
      </c>
      <c r="AM73" s="48" t="str">
        <f>IF($AE73=AL$69,(-$AM$36+$BV$19+($AL$36-$BU$19)*$BX$19/$BW$19)*$BW$28,"")</f>
        <v/>
      </c>
      <c r="AO73" s="159" t="str">
        <f>IF(ISNUMBER($AF$36),(-$AF$36+$AG$36*$AW$19/$AX$19),"")</f>
        <v/>
      </c>
      <c r="AP73" s="160" t="str">
        <f>IF(ISNUMBER($AG$36),(-$AG$36+$AF$36*$CB$19/$CA$19),"")</f>
        <v/>
      </c>
      <c r="AQ73" s="159" t="str">
        <f>IF(ISNUMBER($AH$36),(-$AH$36+$BC$19+($AI$36-$BD$19)*$BA$19/$BB$19),"")</f>
        <v/>
      </c>
      <c r="AR73" s="160" t="str">
        <f>IF(ISNUMBER($AI$36),($AI$36-$AH$36*$BF$19/$BE$19),"")</f>
        <v/>
      </c>
      <c r="AS73" s="159" t="str">
        <f>IF(ISNUMBER($AJ$36),($AJ$36-$BM$19-($AK$36-$BN$19)*$BO$19/$BP$19),"")</f>
        <v/>
      </c>
      <c r="AT73" s="160" t="str">
        <f>IF(ISNUMBER($AK$36),($AK$36-$BL$19-($AJ$36-$BK$19)*$BJ$19/$BI$19),"")</f>
        <v/>
      </c>
      <c r="AU73" s="159" t="str">
        <f>IF(ISNUMBER($AL$36),($AL$36-$AM$36*$BS$19/$BT$19),"")</f>
        <v/>
      </c>
      <c r="AV73" s="160" t="str">
        <f>IF(ISNUMBER($AM$36),(-$AM$36+$BV$19+($AL$36-$BU$19)*$BX$19/$BW$19),"")</f>
        <v/>
      </c>
      <c r="CA73" s="19"/>
      <c r="CB73" s="19"/>
    </row>
    <row r="74" spans="27:80" ht="12" customHeight="1" x14ac:dyDescent="0.25">
      <c r="AA74" s="5"/>
      <c r="AB74" s="5"/>
      <c r="AC74" s="5"/>
      <c r="AE74" s="53">
        <v>2</v>
      </c>
      <c r="AF74" s="49" t="str">
        <f>IF($AE74=AF$69,(-$AF$36-$AW$19+($AG$36+$AX$19)*$AY$19/$AZ$19)*$AY$28,"")</f>
        <v/>
      </c>
      <c r="AG74" s="48" t="str">
        <f>IF($AE74=AF$69,(-$AG$36+$AF$36*$CB$19/$CA$19)*$CA$28,"")</f>
        <v/>
      </c>
      <c r="AH74" s="49" t="str">
        <f>IF($AE74=AH$69,(-$AH$36+$AI$36*$BC$19/$BD$19)*$BC$28,"")</f>
        <v/>
      </c>
      <c r="AI74" s="48" t="str">
        <f>IF($AE74=AH$69,($AI$36-$AH$36*$BF$19/$BE$19)*$BE$28,"")</f>
        <v/>
      </c>
      <c r="AJ74" s="49" t="str">
        <f>IF($AE74=AJ$69,($AJ$36-$AK$36*$BM$19/$BN$19)*$BM$28,"")</f>
        <v/>
      </c>
      <c r="AK74" s="48" t="str">
        <f>IF($AE74=AJ$69,($AK$36-$BL$19-($AJ$36-$BK$19)*$BJ$19/$BI$19)*$BI$28,"")</f>
        <v/>
      </c>
      <c r="AL74" s="49" t="str">
        <f>IF($AE74=AL$69,($AL$36+$BS$19+(-$AM$36-$BT$19)*$BQ$19/$BR$19)*$BQ$28,"")</f>
        <v/>
      </c>
      <c r="AM74" s="48" t="str">
        <f>IF($AE74=AL$69,(-$AM$36+$BV$19+($AL$36-$BU$19)*$BX$19/$BW$19)*$BW$28,"")</f>
        <v/>
      </c>
      <c r="AO74" s="49" t="str">
        <f>IF(ISNUMBER($AF$36),(-$AF$36-$AW$19+($AG$36+$AX$19)*$AY$19/$AZ$19),"")</f>
        <v/>
      </c>
      <c r="AP74" s="48" t="str">
        <f>IF(ISNUMBER($AG$36),(-$AG$36+$AF$36*$CB$19/$CA$19),"")</f>
        <v/>
      </c>
      <c r="AQ74" s="49" t="str">
        <f>IF(ISNUMBER($AH$36),(-$AH$36+$AI$36*$BC$19/$BD$19),"")</f>
        <v/>
      </c>
      <c r="AR74" s="48" t="str">
        <f>IF(ISNUMBER($AI$36),($AI$36-$AH$36*$BF$19/$BE$19),"")</f>
        <v/>
      </c>
      <c r="AS74" s="49" t="str">
        <f>IF(ISNUMBER($AJ$36),($AJ$36-$AK$36*$BM$19/$BN$19),"")</f>
        <v/>
      </c>
      <c r="AT74" s="48" t="str">
        <f>IF(ISNUMBER($AK$36),($AK$36-$BL$19-($AJ$36-$BK$19)*$BJ$19/$BI$19),"")</f>
        <v/>
      </c>
      <c r="AU74" s="49" t="str">
        <f>IF(ISNUMBER($AL$36),($AL$36+$BS$19+(-$AM$36-$BT$19)*$BQ$19/$BR$19),"")</f>
        <v/>
      </c>
      <c r="AV74" s="48" t="str">
        <f>IF(ISNUMBER($AM$36),(-$AM$36+$BV$19+($AL$36-$BU$19)*$BX$19/$BW$19),"")</f>
        <v/>
      </c>
      <c r="CA74" s="19"/>
      <c r="CB74" s="19"/>
    </row>
    <row r="75" spans="27:80" ht="12" customHeight="1" x14ac:dyDescent="0.25">
      <c r="AA75" s="5"/>
      <c r="AB75" s="5"/>
      <c r="AC75" s="5"/>
      <c r="AE75" s="53">
        <v>3</v>
      </c>
      <c r="AF75" s="49" t="str">
        <f>IF($AE75=AF$69,(-$AF$36-$AW$19+($AG$36+$AX$19)*$AY$19/$AZ$19)*$AY$28,"")</f>
        <v/>
      </c>
      <c r="AG75" s="48" t="str">
        <f>IF($AE75=AF$69,(-$AG$36-$CB$19-(-$AF$36-$CA$19)*$BZ$19/$BY$19)*$BY$28,"")</f>
        <v/>
      </c>
      <c r="AH75" s="49" t="str">
        <f>IF($AE75=AH$69,(-$AH$36+$AI$36*$BC$19/$BD$19)*$BC$28,"")</f>
        <v/>
      </c>
      <c r="AI75" s="48" t="str">
        <f>IF($AE75=AH$69,($AI$36+$BF$19+(-$AH$36-$BE$19)*$BH$19/$BG$19)*$BG$28,"")</f>
        <v/>
      </c>
      <c r="AJ75" s="49" t="str">
        <f>IF($AE75=AJ$69,($AJ$36-$AK$36*$BM$19/$BN$19)*$BM$28,"")</f>
        <v/>
      </c>
      <c r="AK75" s="48" t="str">
        <f>IF($AE75=AJ$69,($AK$36-$AJ$36*$BL$19/$BK$19)*$BK$28,"")</f>
        <v/>
      </c>
      <c r="AL75" s="49" t="str">
        <f>IF($AE75=AL$69,($AL$36+$BS$19+(-$AM$36-$BT$19)*$BQ$19/$BR$19)*$BQ$28,"")</f>
        <v/>
      </c>
      <c r="AM75" s="48" t="str">
        <f>IF($AE75=AL$69,(-$AM$36+$AL$36*$BV$19/$BU$19)*$BU$28,"")</f>
        <v/>
      </c>
      <c r="AO75" s="49" t="str">
        <f>IF(ISNUMBER($AF$36),(-$AF$36-$AW$19+($AG$36+$AX$19)*$AY$19/$AZ$19),"")</f>
        <v/>
      </c>
      <c r="AP75" s="48" t="str">
        <f>IF(ISNUMBER($AG$36),(-$AG$36-$CB$19-(-$AF$36-$CA$19)*$BZ$19/$BY$19),"")</f>
        <v/>
      </c>
      <c r="AQ75" s="49" t="str">
        <f>IF(ISNUMBER($AH$36),(-$AH$36+$AI$36*$BC$19/$BD$19),"")</f>
        <v/>
      </c>
      <c r="AR75" s="48" t="str">
        <f>IF(ISNUMBER($AI$36),($AI$36+$BF$19+(-$AH$36-$BE$19)*$BH$19/$BG$19),"")</f>
        <v/>
      </c>
      <c r="AS75" s="49" t="str">
        <f>IF(ISNUMBER($AJ$36),($AJ$36-$AK$36*$BM$19/$BN$19),"")</f>
        <v/>
      </c>
      <c r="AT75" s="48" t="str">
        <f>IF(ISNUMBER($AK$36),($AK$36-$AJ$36*$BL$19/$BK$19),"")</f>
        <v/>
      </c>
      <c r="AU75" s="49" t="str">
        <f>IF(ISNUMBER($AL$36),($AL$36+$BS$19+(-$AM$36-$BT$19)*$BQ$19/$BR$19),"")</f>
        <v/>
      </c>
      <c r="AV75" s="48" t="str">
        <f>IF(ISNUMBER($AM$36),(-$AM$36+$AL$36*$BV$19/$BU$19),"")</f>
        <v/>
      </c>
      <c r="CA75" s="19"/>
      <c r="CB75" s="19"/>
    </row>
    <row r="76" spans="27:80" ht="12" customHeight="1" x14ac:dyDescent="0.25">
      <c r="AA76" s="5"/>
      <c r="AB76" s="5"/>
      <c r="AC76" s="5"/>
      <c r="AE76" s="53">
        <v>4</v>
      </c>
      <c r="AF76" s="49" t="str">
        <f>IF($AE76=AF$69,(-$AF$36+$AG$36*$AW$19/$AX$19)*$AW$28,"")</f>
        <v/>
      </c>
      <c r="AG76" s="48" t="str">
        <f>IF($AE76=AF$69,(-$AG$36-$CB$19-(-$AF$36-$CA$19)*$BZ$19/$BY$19)*$BY$28,"")</f>
        <v/>
      </c>
      <c r="AH76" s="49" t="str">
        <f>IF($AE76=AH$69,(-$AH$36+$BC$19+($AI$36-$BD$19)*$BA$19/$BB$19)*$BA$28,"")</f>
        <v/>
      </c>
      <c r="AI76" s="48" t="str">
        <f>IF($AE76=AH$69,($AI$36+$BF$19+(-$AH$36-$BE$19)*$BH$19/$BG$19)*$BG$28,"")</f>
        <v/>
      </c>
      <c r="AJ76" s="49" t="str">
        <f>IF($AE76=AJ$69,($AJ$36-$BM$19-($AK$36-$BN$19)*$BO$19/$BP$19)*$BO$28,"")</f>
        <v/>
      </c>
      <c r="AK76" s="48" t="str">
        <f>IF($AE76=AJ$69,($AK$36-$AJ$36*$BL$19/$BK$19)*$BK$28,"")</f>
        <v/>
      </c>
      <c r="AL76" s="49" t="str">
        <f>IF($AE76=AL$69,($AL$36-$AM$36*$BS$19/$BT$19)*$BS$28,"")</f>
        <v/>
      </c>
      <c r="AM76" s="48" t="str">
        <f>IF($AE76=AL$69,(-$AM$36+$AL$36*$BV$19/$BU$19)*$BU$28,"")</f>
        <v/>
      </c>
      <c r="AO76" s="83" t="str">
        <f>IF(ISNUMBER($AF$36),(-$AF$36+$AG$36*$AW$19/$AX$19),"")</f>
        <v/>
      </c>
      <c r="AP76" s="84" t="str">
        <f>IF(ISNUMBER($AG$36),(-$AG$36-$CB$19-(-$AF$36-$CA$19)*$BZ$19/$BY$19),"")</f>
        <v/>
      </c>
      <c r="AQ76" s="83" t="str">
        <f>IF(ISNUMBER($AH$36),(-$AH$36+$BC$19+($AI$36-$BD$19)*$BA$19/$BB$19),"")</f>
        <v/>
      </c>
      <c r="AR76" s="84" t="str">
        <f>IF(ISNUMBER($AI$36),($AI$36+$BF$19+(-$AH$36-$BE$19)*$BH$19/$BG$19),"")</f>
        <v/>
      </c>
      <c r="AS76" s="83" t="str">
        <f>IF(ISNUMBER($AJ$36),($AJ$36-$BM$19-($AK$36-$BN$19)*$BO$19/$BP$19),"")</f>
        <v/>
      </c>
      <c r="AT76" s="84" t="str">
        <f>IF(ISNUMBER($AK$36),($AK$36-$AJ$36*$BL$19/$BK$19),"")</f>
        <v/>
      </c>
      <c r="AU76" s="83" t="str">
        <f>IF(ISNUMBER($AL$36),($AL$36-$AM$36*$BS$19/$BT$19),"")</f>
        <v/>
      </c>
      <c r="AV76" s="84" t="str">
        <f>IF(ISNUMBER($AM$36),(-$AM$36+$AL$36*$BV$19/$BU$19),"")</f>
        <v/>
      </c>
      <c r="CA76" s="19"/>
      <c r="CB76" s="19"/>
    </row>
    <row r="77" spans="27:80" ht="12" customHeight="1" x14ac:dyDescent="0.25">
      <c r="AA77" s="5"/>
      <c r="AB77" s="5"/>
      <c r="AC77" s="5"/>
      <c r="AF77" s="85" t="str">
        <f>IF(ISNUMBER($AF$73),AF$73,IF(ISNUMBER($AF$74),AF$74,IF(ISNUMBER($AF$75),AF$75,IF(ISNUMBER($AF$76),AF$76,""))))</f>
        <v/>
      </c>
      <c r="AG77" s="86" t="str">
        <f>IF(ISNUMBER($AG$73),AG$73,IF(ISNUMBER($AG$74),AG$74,IF(ISNUMBER($AG$75),AG$75,IF(ISNUMBER($AG$76),AG$76,""))))</f>
        <v/>
      </c>
      <c r="AH77" s="85" t="str">
        <f>IF(ISNUMBER($AH$73),AH$73,IF(ISNUMBER($AH$74),AH$74,IF(ISNUMBER($AH$75),AH$75,IF(ISNUMBER($AH$76),AH$76,""))))</f>
        <v/>
      </c>
      <c r="AI77" s="86" t="str">
        <f>IF(ISNUMBER($AI$73),AI$73,IF(ISNUMBER($AI$74),AI$74,IF(ISNUMBER($AI$75),AI$75,IF(ISNUMBER($AI$76),AI$76,""))))</f>
        <v/>
      </c>
      <c r="AJ77" s="85" t="str">
        <f>IF(ISNUMBER($AJ$73),AJ$73,IF(ISNUMBER($AJ$74),AJ$74,IF(ISNUMBER($AJ$75),AJ$75,IF(ISNUMBER($AJ$76),AJ$76,""))))</f>
        <v/>
      </c>
      <c r="AK77" s="86" t="str">
        <f>IF(ISNUMBER($AK$73),AK$73,IF(ISNUMBER($AK$74),AK$74,IF(ISNUMBER($AK$75),AK$75,IF(ISNUMBER($AK$76),AK$76,""))))</f>
        <v/>
      </c>
      <c r="AL77" s="85" t="str">
        <f>IF(ISNUMBER($AL$73),AL$73,IF(ISNUMBER($AL$74),AL$74,IF(ISNUMBER($AL$75),AL$75,IF(ISNUMBER($AL$76),AL$76,""))))</f>
        <v/>
      </c>
      <c r="AM77" s="86" t="str">
        <f>IF(ISNUMBER($AM$73),AM$73,IF(ISNUMBER($AM$74),AM$74,IF(ISNUMBER($AM$75),AM$75,IF(ISNUMBER($AM$76),AM$76,""))))</f>
        <v/>
      </c>
      <c r="CA77" s="19"/>
      <c r="CB77" s="19"/>
    </row>
    <row r="78" spans="27:80" ht="12" customHeight="1" x14ac:dyDescent="0.25">
      <c r="AA78" s="5"/>
      <c r="AB78" s="5"/>
      <c r="AC78" s="5"/>
      <c r="AF78" s="87"/>
      <c r="AG78" s="88"/>
      <c r="AH78" s="89"/>
      <c r="AI78" s="89"/>
      <c r="AJ78" s="87"/>
      <c r="AK78" s="88"/>
      <c r="AL78" s="87"/>
      <c r="AM78" s="88"/>
      <c r="CA78" s="19"/>
      <c r="CB78" s="19"/>
    </row>
    <row r="79" spans="27:80" ht="12" customHeight="1" x14ac:dyDescent="0.25">
      <c r="AA79" s="5"/>
      <c r="AB79" s="5"/>
      <c r="AC79" s="5"/>
      <c r="AF79" s="939" t="s">
        <v>377</v>
      </c>
      <c r="AG79" s="882"/>
      <c r="AH79" s="943" t="s">
        <v>377</v>
      </c>
      <c r="AI79" s="832"/>
      <c r="AJ79" s="939" t="s">
        <v>377</v>
      </c>
      <c r="AK79" s="882"/>
      <c r="AL79" s="939" t="s">
        <v>377</v>
      </c>
      <c r="AM79" s="882"/>
      <c r="CA79" s="19"/>
      <c r="CB79" s="19"/>
    </row>
    <row r="80" spans="27:80" ht="12" customHeight="1" x14ac:dyDescent="0.25">
      <c r="AA80" s="5"/>
      <c r="AB80" s="5"/>
      <c r="AC80" s="5"/>
      <c r="AF80" s="944" t="str">
        <f>IF($AF$42="","",IF(AND((-$AF$42+$AG$42*$AW$19/$AX$19)&gt;0,-$AF$42&lt;$CA$19,(-$AG$42+$AF$42*$CB$19/$CA$19)&gt;0,-$AG$42&lt;$AX$19),1,IF(AND((-$AF$42-$AW$19+($AG$42+$AX$19)*$AY$19/$AZ$19)&gt;0,-$AF$42&lt;$CA$19,-$AG$42&gt;$AX$19,-$AG$42&lt;$AY$22),2,IF(AND(-$AF$42&lt;$BZ$22,-$AF$42&gt;$CA$19,-$AG$42&gt;$AX$19,-$AG$42&lt;$AY$22),3,IF(AND(-$AF$42&lt;$BZ$22,-$AF$42&gt;$CA$19,(-$AG$42-$CB$19-(-$AF$42-$CA$19)*$BZ$19/$BY$19)&gt;0,-$AG$42&lt;$AX$19),4,"")))))</f>
        <v/>
      </c>
      <c r="AG80" s="911"/>
      <c r="AH80" s="944" t="str">
        <f>IF($AH$42="","",IF(AND((-$AH$42+$BC$19+($AI$42-$BD$19)*$BA$19/$BB$19)&gt;0,-$AH$42&lt;$BE$19,$AI$42&gt;$BD$19,$AI$42&lt;$BC$22),1,IF(AND((-$AH$42+$AI$42*$BC$19/$BD$19)&gt;0,-$AH$42&lt;$BE$19,($AI$42-$AH$42*$BF$19/$BE$19)&gt;0,$AI$42&lt;$BD$19),2,IF(AND(-$AH$42&gt;$BE$19,-$AH$42&lt;$BF$22,($AI$42+$BF$19+(-$AH$42-$BE$19)*$BH$19/$BG$19)&gt;0,$AI$42&lt;$BD$19),3,IF(AND(-$AH$42&gt;$BE$19,-$AH$42&lt;$BF$22,$AI$42&gt;$BD$19,$AI$42&lt;$BC$22),4,"")))))</f>
        <v/>
      </c>
      <c r="AI80" s="911"/>
      <c r="AJ80" s="944" t="str">
        <f>IF($AJ$42="","",IF(AND($AJ$42&gt;$BK$19,$AJ$42&lt;$BJ$22,$AK$42&gt;$BN$19,$AK$42&lt;$BO$22),1,IF(AND($AJ$42&gt;$BK$19,$AJ$42&lt;$BJ$22,($AK$42-$BL$19-($AJ$42-$BK$19)*$BJ$19/$BI$19)&gt;0,$AK$42&lt;$BN$19),2,IF(AND(($AJ$42-$AK$42*$BM$19/$BN$19)&gt;0,$AJ$42&lt;$BK$19,($AK$42-$AJ$42*$BL$19/$BK$19)&gt;0,$AK$42&lt;$BN$19),3,IF(AND(($AJ$42-$BM$19-($AK$42-$BN$19)*$BO$19/$BP$19)&gt;0,$AJ$42&lt;$BK$19,$AK$42&gt;$BN$19,$AK$42&lt;$BO$22),4,"")))))</f>
        <v/>
      </c>
      <c r="AK80" s="911"/>
      <c r="AL80" s="944" t="str">
        <f>IF($AL$42="","",IF(AND($AL$42&gt;$BU$19,$AL$42&lt;$BV$22,(-$AM$42+$BV$19+($AL$42-$BU$19)*$BX$19/$BW$19)&gt;0,-$AM$42&lt;$BT$19),1,IF(AND($AL$42&gt;$BU$19,$AL$42&lt;$BV$22,-$AM$42&gt;$BT$19,-$AM$42&lt;$BS$22),2,IF(AND(($AL$42+$BS$19+(-$AM$42-$BT$19)*$BQ$19/$BR$19)&gt;0,$AL$42&lt;$BU$19,-$AM$42&gt;$BT$19,-$AM$42&lt;$BS$22),3,IF(AND(($AL$42-$AM$42*$BS$19/$BT$19)&gt;0,$AL$42&lt;$BU$19,(-$AM$42+$AL$42*$BV$19/$BU$19)&gt;0,-$AM$42&lt;$BT$19),4,"")))))</f>
        <v/>
      </c>
      <c r="AM80" s="911"/>
      <c r="CA80" s="19"/>
      <c r="CB80" s="19"/>
    </row>
    <row r="81" spans="27:80" ht="12" customHeight="1" x14ac:dyDescent="0.25">
      <c r="AA81" s="5"/>
      <c r="AB81" s="5"/>
      <c r="AC81" s="5"/>
      <c r="AF81" s="87"/>
      <c r="AG81" s="88"/>
      <c r="AH81" s="89"/>
      <c r="AI81" s="89"/>
      <c r="AJ81" s="87"/>
      <c r="AK81" s="88"/>
      <c r="AL81" s="87"/>
      <c r="AM81" s="88"/>
      <c r="CA81" s="19"/>
      <c r="CB81" s="19"/>
    </row>
    <row r="82" spans="27:80" ht="12" customHeight="1" x14ac:dyDescent="0.25">
      <c r="AA82" s="5"/>
      <c r="AB82" s="5"/>
      <c r="AC82" s="5"/>
      <c r="AF82" s="939" t="s">
        <v>378</v>
      </c>
      <c r="AG82" s="882"/>
      <c r="AH82" s="939" t="s">
        <v>379</v>
      </c>
      <c r="AI82" s="882"/>
      <c r="AJ82" s="939" t="s">
        <v>375</v>
      </c>
      <c r="AK82" s="882"/>
      <c r="AL82" s="939" t="s">
        <v>380</v>
      </c>
      <c r="AM82" s="882"/>
      <c r="CA82" s="19"/>
      <c r="CB82" s="19"/>
    </row>
    <row r="83" spans="27:80" ht="12" customHeight="1" x14ac:dyDescent="0.25">
      <c r="AA83" s="5"/>
      <c r="AB83" s="5"/>
      <c r="AC83" s="5"/>
      <c r="AE83" s="757" t="s">
        <v>226</v>
      </c>
      <c r="AF83" s="30" t="s">
        <v>181</v>
      </c>
      <c r="AG83" s="30" t="s">
        <v>194</v>
      </c>
      <c r="AH83" s="761" t="s">
        <v>181</v>
      </c>
      <c r="AI83" s="760" t="s">
        <v>201</v>
      </c>
      <c r="AJ83" s="30" t="s">
        <v>186</v>
      </c>
      <c r="AK83" s="30" t="s">
        <v>201</v>
      </c>
      <c r="AL83" s="30" t="s">
        <v>186</v>
      </c>
      <c r="AM83" s="30" t="s">
        <v>194</v>
      </c>
      <c r="AO83" s="19" t="s">
        <v>371</v>
      </c>
      <c r="CA83" s="19"/>
      <c r="CB83" s="19"/>
    </row>
    <row r="84" spans="27:80" ht="12" customHeight="1" x14ac:dyDescent="0.25">
      <c r="AA84" s="5"/>
      <c r="AB84" s="5"/>
      <c r="AC84" s="5"/>
      <c r="AE84" s="53">
        <v>1</v>
      </c>
      <c r="AF84" s="49" t="str">
        <f>IF($AE84=AF$80,(-$AF$42+$AG$42*$AW$19/$AX$19)*$AW$28,"")</f>
        <v/>
      </c>
      <c r="AG84" s="48" t="str">
        <f>IF($AE84=AF$80,(-$AG$42+$AF$42*$CB$19/$CA$19)*$CA$28,"")</f>
        <v/>
      </c>
      <c r="AH84" s="49" t="str">
        <f>IF($AE84=AH$80,(-$AH$42+$BC$19+($AI$42-$BD$19)*$BA$19/$BB$19)*$BA$28,"")</f>
        <v/>
      </c>
      <c r="AI84" s="48" t="str">
        <f>IF($AE84=AH$80,($AI$42-$AH$42*$BF$19/$BE$19)*$BE$28,"")</f>
        <v/>
      </c>
      <c r="AJ84" s="49" t="str">
        <f>IF($AE84=AJ$80,($AJ$42-$BM$19-($AK$42-$BN$19)*$BO$19/$BP$19)*$BO$28,"")</f>
        <v/>
      </c>
      <c r="AK84" s="48" t="str">
        <f>IF($AE84=AJ$80,($AK$42-$BL$19-($AJ$42-$BK$19)*$BJ$19/$BI$19)*$BI$28,"")</f>
        <v/>
      </c>
      <c r="AL84" s="49" t="str">
        <f>IF($AE84=AL$80,($AL$42-$AM$42*$BS$19/$BT$19)*$BS$28,"")</f>
        <v/>
      </c>
      <c r="AM84" s="48" t="str">
        <f>IF($AE84=AL$80,(-$AM$42+$BV$19+($AL$42-$BU$19)*$BX$19/$BW$19)*$BW$28,"")</f>
        <v/>
      </c>
      <c r="AO84" s="159" t="str">
        <f>IF(ISNUMBER($AF$42),(-$AF$42+$AG$42*$AW$19/$AX$19),"")</f>
        <v/>
      </c>
      <c r="AP84" s="160" t="str">
        <f>IF(ISNUMBER($AG$42),(-$AG$42+$AF$42*$CB$19/$CA$19),"")</f>
        <v/>
      </c>
      <c r="AQ84" s="159" t="str">
        <f>IF(ISNUMBER($AH$42),(-$AH$42+$BC$19+($AI$42-$BD$19)*$BA$19/$BB$19),"")</f>
        <v/>
      </c>
      <c r="AR84" s="160" t="str">
        <f>IF(ISNUMBER($AI$42),($AI$42-$AH$42*$BF$19/$BE$19),"")</f>
        <v/>
      </c>
      <c r="AS84" s="159" t="str">
        <f>IF(ISNUMBER($AJ$42),($AJ$42-$BM$19-($AK$42-$BN$19)*$BO$19/$BP$19),"")</f>
        <v/>
      </c>
      <c r="AT84" s="160" t="str">
        <f>IF(ISNUMBER($AK$42),($AK$42-$BL$19-($AJ$42-$BK$19)*$BJ$19/$BI$19),"")</f>
        <v/>
      </c>
      <c r="AU84" s="159" t="str">
        <f>IF(ISNUMBER($AL$42),($AL$42-$AM$42*$BS$19/$BT$19),"")</f>
        <v/>
      </c>
      <c r="AV84" s="160" t="str">
        <f>IF(ISNUMBER($AM$42),(-$AM$42+$BV$19+($AL$42-$BU$19)*$BX$19/$BW$19),"")</f>
        <v/>
      </c>
      <c r="CA84" s="19"/>
      <c r="CB84" s="19"/>
    </row>
    <row r="85" spans="27:80" ht="12" customHeight="1" x14ac:dyDescent="0.25">
      <c r="AA85" s="5"/>
      <c r="AB85" s="5"/>
      <c r="AC85" s="5"/>
      <c r="AE85" s="53">
        <v>2</v>
      </c>
      <c r="AF85" s="49" t="str">
        <f>IF($AE85=AF$80,(-$AF$42-$AW$19+($AG$42+$AX$19)*$AY$19/$AZ$19)*$AY$28,"")</f>
        <v/>
      </c>
      <c r="AG85" s="48" t="str">
        <f>IF($AE85=AF$80,(-$AG$42+$AF$42*$CB$19/$CA$19)*$CA$28,"")</f>
        <v/>
      </c>
      <c r="AH85" s="49" t="str">
        <f>IF($AE85=AH$80,(-$AH$42+$AI$42*$BC$19/$BD$19)*$BC$28,"")</f>
        <v/>
      </c>
      <c r="AI85" s="48" t="str">
        <f>IF($AE85=AH$80,($AI$42-$AH$42*$BF$19/$BE$19)*$BE$28,"")</f>
        <v/>
      </c>
      <c r="AJ85" s="49" t="str">
        <f>IF($AE85=AJ$80,($AJ$42-$AK$42*$BM$19/$BN$19)*$BM$28,"")</f>
        <v/>
      </c>
      <c r="AK85" s="48" t="str">
        <f>IF($AE85=AJ$80,($AK$42-$BL$19-($AJ$42-$BK$19)*$BJ$19/$BI$19)*$BI$28,"")</f>
        <v/>
      </c>
      <c r="AL85" s="49" t="str">
        <f>IF($AE85=AL$80,($AL$42+$BS$19+(-$AM$42-$BT$19)*$BQ$19/$BR$19)*$BQ$28,"")</f>
        <v/>
      </c>
      <c r="AM85" s="48" t="str">
        <f>IF($AE85=AL$80,(-$AM$42+$BV$19+($AL$42-$BU$19)*$BX$19/$BW$19)*$BW$28,"")</f>
        <v/>
      </c>
      <c r="AO85" s="49" t="str">
        <f>IF(ISNUMBER($AF$42),(-$AF$42-$AW$19+($AG$42+$AX$19)*$AY$19/$AZ$19),"")</f>
        <v/>
      </c>
      <c r="AP85" s="48" t="str">
        <f>IF(ISNUMBER($AG$42),(-$AG$42+$AF$42*$CB$19/$CA$19),"")</f>
        <v/>
      </c>
      <c r="AQ85" s="49" t="str">
        <f>IF(ISNUMBER($AH$42),(-$AH$42+$AI$42*$BC$19/$BD$19),"")</f>
        <v/>
      </c>
      <c r="AR85" s="48" t="str">
        <f>IF(ISNUMBER($AI$42),($AI$42-$AH$42*$BF$19/$BE$19),"")</f>
        <v/>
      </c>
      <c r="AS85" s="49" t="str">
        <f>IF(ISNUMBER($AJ$42),($AJ$42-$AK$42*$BM$19/$BN$19),"")</f>
        <v/>
      </c>
      <c r="AT85" s="48" t="str">
        <f>IF(ISNUMBER($AK$42),($AK$42-$BL$19-($AJ$42-$BK$19)*$BJ$19/$BI$19),"")</f>
        <v/>
      </c>
      <c r="AU85" s="49" t="str">
        <f>IF(ISNUMBER($AL$42),($AL$42+$BS$19+(-$AM$42-$BT$19)*$BQ$19/$BR$19),"")</f>
        <v/>
      </c>
      <c r="AV85" s="48" t="str">
        <f>IF(ISNUMBER($AM$42),(-$AM$42+$BV$19+($AL$42-$BU$19)*$BX$19/$BW$19),"")</f>
        <v/>
      </c>
      <c r="CA85" s="19"/>
      <c r="CB85" s="19"/>
    </row>
    <row r="86" spans="27:80" ht="12" customHeight="1" x14ac:dyDescent="0.25">
      <c r="AA86" s="5"/>
      <c r="AB86" s="5"/>
      <c r="AC86" s="5"/>
      <c r="AE86" s="53">
        <v>3</v>
      </c>
      <c r="AF86" s="49" t="str">
        <f>IF($AE86=AF$80,(-$AF$42-$AW$19+($AG$42+$AX$19)*$AY$19/$AZ$19)*$AY$28,"")</f>
        <v/>
      </c>
      <c r="AG86" s="48" t="str">
        <f>IF($AE86=AF$80,(-$AG$42-$CB$19-(-$AF$42-$CA$19)*$BZ$19/$BY$19)*$BY$28,"")</f>
        <v/>
      </c>
      <c r="AH86" s="49" t="str">
        <f>IF($AE86=AH$80,(-$AH$42+$AI$42*$BC$19/$BD$19)*$BC$28,"")</f>
        <v/>
      </c>
      <c r="AI86" s="48" t="str">
        <f>IF($AE86=AH$80,($AI$42+$BF$19+(-$AH$42-$BE$19)*$BH$19/$BG$19)*$BG$28,"")</f>
        <v/>
      </c>
      <c r="AJ86" s="49" t="str">
        <f>IF($AE86=AJ$80,($AJ$42-$AK$42*$BM$19/$BN$19)*$BM$28,"")</f>
        <v/>
      </c>
      <c r="AK86" s="48" t="str">
        <f>IF($AE86=AJ$80,($AK$42-$AJ$42*$BL$19/$BK$19)*$BK$28,"")</f>
        <v/>
      </c>
      <c r="AL86" s="49" t="str">
        <f>IF($AE86=AL$80,($AL$42+$BS$19+(-$AM$42-$BT$19)*$BQ$19/$BR$19)*$BQ$28,"")</f>
        <v/>
      </c>
      <c r="AM86" s="48" t="str">
        <f>IF($AE86=AL$80,(-$AM$42+$AL$42*$BV$19/$BU$19)*$BU$28,"")</f>
        <v/>
      </c>
      <c r="AO86" s="49" t="str">
        <f>IF(ISNUMBER($AF$42),(-$AF$42-$AW$19+($AG$42+$AX$19)*$AY$19/$AZ$19),"")</f>
        <v/>
      </c>
      <c r="AP86" s="48" t="str">
        <f>IF(ISNUMBER($AG$42),(-$AG$42-$CB$19-(-$AF$42-$CA$19)*$BZ$19/$BY$19),"")</f>
        <v/>
      </c>
      <c r="AQ86" s="49" t="str">
        <f>IF(ISNUMBER($AH$42),(-$AH$42+$AI$42*$BC$19/$BD$19),"")</f>
        <v/>
      </c>
      <c r="AR86" s="48" t="str">
        <f>IF(ISNUMBER($AI$42),($AI$42+$BF$19+(-$AH$42-$BE$19)*$BH$19/$BG$19),"")</f>
        <v/>
      </c>
      <c r="AS86" s="49" t="str">
        <f>IF(ISNUMBER($AJ$42),($AJ$42-$AK$42*$BM$19/$BN$19),"")</f>
        <v/>
      </c>
      <c r="AT86" s="48" t="str">
        <f>IF(ISNUMBER($AK$42),($AK$42-$AJ$42*$BL$19/$BK$19),"")</f>
        <v/>
      </c>
      <c r="AU86" s="49" t="str">
        <f>IF(ISNUMBER($AL$42),($AL$42+$BS$19+(-$AM$42-$BT$19)*$BQ$19/$BR$19),"")</f>
        <v/>
      </c>
      <c r="AV86" s="48" t="str">
        <f>IF(ISNUMBER($AM$42),(-$AM$42+$AL$42*$BV$19/$BU$19),"")</f>
        <v/>
      </c>
      <c r="CA86" s="19"/>
      <c r="CB86" s="19"/>
    </row>
    <row r="87" spans="27:80" ht="12" customHeight="1" x14ac:dyDescent="0.25">
      <c r="AA87" s="5"/>
      <c r="AB87" s="5"/>
      <c r="AC87" s="5"/>
      <c r="AE87" s="53">
        <v>4</v>
      </c>
      <c r="AF87" s="83" t="str">
        <f>IF($AE87=AF$80,(-$AF$42+$AG$42*$AW$19/$AX$19)*$AW$28,"")</f>
        <v/>
      </c>
      <c r="AG87" s="84" t="str">
        <f>IF($AE87=AF$80,(-$AG$42-$CB$19-(-$AF$42-$CA$19)*$BZ$19/$BY$19)*$BY$28,"")</f>
        <v/>
      </c>
      <c r="AH87" s="83" t="str">
        <f>IF($AE87=AH$80,(-$AH$42+$BC$19+($AI$42-$BD$19)*$BA$19/$BB$19)*$BA$28,"")</f>
        <v/>
      </c>
      <c r="AI87" s="84" t="str">
        <f>IF($AE87=AH$80,($AI$42+$BF$19+(-$AH$42-$BE$19)*$BH$19/$BG$19)*$BG$28,"")</f>
        <v/>
      </c>
      <c r="AJ87" s="83" t="str">
        <f>IF($AE87=AJ$80,($AJ$42-$BM$19-($AK$42-$BN$19)*$BO$19/$BP$19)*$BO$28,"")</f>
        <v/>
      </c>
      <c r="AK87" s="84" t="str">
        <f>IF($AE87=AJ$80,($AK$42-$AJ$42*$BL$19/$BK$19)*$BK$28,"")</f>
        <v/>
      </c>
      <c r="AL87" s="83" t="str">
        <f>IF($AE87=AL$80,($AL$42-$AM$42*$BS$19/$BT$19)*$BS$28,"")</f>
        <v/>
      </c>
      <c r="AM87" s="84" t="str">
        <f>IF($AE87=AL$80,(-$AM$42+$AL$42*$BV$19/$BU$19)*$BU$28,"")</f>
        <v/>
      </c>
      <c r="AO87" s="83" t="str">
        <f>IF(ISNUMBER($AF$42),(-$AF$42+$AG$42*$AW$19/$AX$19),"")</f>
        <v/>
      </c>
      <c r="AP87" s="84" t="str">
        <f>IF(ISNUMBER($AG$42),(-$AG$42-$CB$19-(-$AF$42-$CA$19)*$BZ$19/$BY$19),"")</f>
        <v/>
      </c>
      <c r="AQ87" s="83" t="str">
        <f>IF(ISNUMBER($AH$42),(-$AH$42+$BC$19+($AI$42-$BD$19)*$BA$19/$BB$19),"")</f>
        <v/>
      </c>
      <c r="AR87" s="84" t="str">
        <f>IF(ISNUMBER($AI$42),($AI$42+$BF$19+(-$AH$42-$BE$19)*$BH$19/$BG$19),"")</f>
        <v/>
      </c>
      <c r="AS87" s="83" t="str">
        <f>IF(ISNUMBER($AJ$42),($AJ$42-$BM$19-($AK$42-$BN$19)*$BO$19/$BP$19),"")</f>
        <v/>
      </c>
      <c r="AT87" s="84" t="str">
        <f>IF(ISNUMBER($AK$42),($AK$42-$AJ$42*$BL$19/$BK$19),"")</f>
        <v/>
      </c>
      <c r="AU87" s="83" t="str">
        <f>IF(ISNUMBER($AL$42),($AL$42-$AM$42*$BS$19/$BT$19),"")</f>
        <v/>
      </c>
      <c r="AV87" s="84" t="str">
        <f>IF(ISNUMBER($AM$42),(-$AM$42+$AL$42*$BV$19/$BU$19),"")</f>
        <v/>
      </c>
      <c r="CA87" s="19"/>
      <c r="CB87" s="19"/>
    </row>
    <row r="88" spans="27:80" ht="12" customHeight="1" x14ac:dyDescent="0.25">
      <c r="AA88" s="5"/>
      <c r="AB88" s="5"/>
      <c r="AC88" s="5"/>
      <c r="AF88" s="85" t="str">
        <f>IF(ISNUMBER($AF$84),AF$84,IF(ISNUMBER($AF$85),AF$85,IF(ISNUMBER($AF$86),AF$86,IF(ISNUMBER($AF$87),AF$87,""))))</f>
        <v/>
      </c>
      <c r="AG88" s="86" t="str">
        <f>IF(ISNUMBER($AG$84),AG$84,IF(ISNUMBER($AG$85),AG$85,IF(ISNUMBER($AG$86),AG$86,IF(ISNUMBER($AG$87),AG$87,""))))</f>
        <v/>
      </c>
      <c r="AH88" s="85" t="str">
        <f>IF(ISNUMBER($AH$84),AH$84,IF(ISNUMBER($AH$85),AH$85,IF(ISNUMBER($AH$86),AH$86,IF(ISNUMBER($AH$87),AH$87,""))))</f>
        <v/>
      </c>
      <c r="AI88" s="86" t="str">
        <f>IF(ISNUMBER($AI$84),AI$84,IF(ISNUMBER($AI$85),AI$85,IF(ISNUMBER($AI$86),AI$86,IF(ISNUMBER($AI$87),AI$87,""))))</f>
        <v/>
      </c>
      <c r="AJ88" s="85" t="str">
        <f>IF(ISNUMBER($AJ$84),AJ$84,IF(ISNUMBER($AJ$85),AJ$85,IF(ISNUMBER($AJ$86),AJ$86,IF(ISNUMBER($AJ$87),AJ$87,""))))</f>
        <v/>
      </c>
      <c r="AK88" s="86" t="str">
        <f>IF(ISNUMBER($AK$84),AK$84,IF(ISNUMBER($AK$85),AK$85,IF(ISNUMBER($AK$86),AK$86,IF(ISNUMBER($AK$87),AK$87,""))))</f>
        <v/>
      </c>
      <c r="AL88" s="85" t="str">
        <f>IF(ISNUMBER($AL$84),AL$84,IF(ISNUMBER($AL$85),AL$85,IF(ISNUMBER($AL$86),AL$86,IF(ISNUMBER($AL$87),AL$87,""))))</f>
        <v/>
      </c>
      <c r="AM88" s="86" t="str">
        <f>IF(ISNUMBER($AM$84),AM$84,IF(ISNUMBER($AM$85),AM$85,IF(ISNUMBER($AM$86),AM$86,IF(ISNUMBER($AM$87),AM$87,""))))</f>
        <v/>
      </c>
      <c r="CA88" s="19"/>
      <c r="CB88" s="19"/>
    </row>
    <row r="89" spans="27:80" ht="12" customHeight="1" x14ac:dyDescent="0.25">
      <c r="AA89" s="5"/>
      <c r="AB89" s="5"/>
      <c r="AC89" s="5"/>
      <c r="CA89" s="19"/>
      <c r="CB89" s="19"/>
    </row>
    <row r="90" spans="27:80" ht="12" customHeight="1" x14ac:dyDescent="0.25">
      <c r="AA90" s="5"/>
      <c r="AB90" s="5"/>
      <c r="AC90" s="5"/>
      <c r="CA90" s="19"/>
      <c r="CB90" s="19"/>
    </row>
    <row r="91" spans="27:80" ht="12" customHeight="1" x14ac:dyDescent="0.25">
      <c r="AA91" s="5"/>
      <c r="AB91" s="5"/>
      <c r="AC91" s="5"/>
      <c r="CA91" s="19"/>
      <c r="CB91" s="19"/>
    </row>
    <row r="92" spans="27:80" ht="12" customHeight="1" x14ac:dyDescent="0.25">
      <c r="AA92" s="5"/>
      <c r="AB92" s="5"/>
      <c r="AC92" s="5"/>
      <c r="CA92" s="19"/>
      <c r="CB92" s="19"/>
    </row>
    <row r="93" spans="27:80" x14ac:dyDescent="0.25">
      <c r="AA93" s="5"/>
      <c r="AB93" s="5"/>
      <c r="AC93" s="5"/>
      <c r="CA93" s="19"/>
      <c r="CB93" s="19"/>
    </row>
    <row r="94" spans="27:80" x14ac:dyDescent="0.25">
      <c r="AA94" s="5"/>
      <c r="AB94" s="5"/>
      <c r="AC94" s="5"/>
      <c r="CA94" s="19"/>
      <c r="CB94" s="19"/>
    </row>
    <row r="95" spans="27:80" x14ac:dyDescent="0.25">
      <c r="AA95" s="5"/>
      <c r="AB95" s="5"/>
      <c r="AC95" s="5"/>
      <c r="CA95" s="19"/>
      <c r="CB95" s="19"/>
    </row>
    <row r="96" spans="27:80" x14ac:dyDescent="0.25">
      <c r="AA96" s="5"/>
      <c r="AB96" s="5"/>
      <c r="AC96" s="5"/>
      <c r="CA96" s="19"/>
      <c r="CB96" s="19"/>
    </row>
    <row r="97" spans="27:80" x14ac:dyDescent="0.25">
      <c r="AA97" s="5"/>
      <c r="AB97" s="5"/>
      <c r="AC97" s="5"/>
      <c r="CA97" s="19"/>
      <c r="CB97" s="19"/>
    </row>
    <row r="98" spans="27:80" x14ac:dyDescent="0.25">
      <c r="AA98" s="5"/>
      <c r="AB98" s="5"/>
      <c r="AC98" s="5"/>
      <c r="CA98" s="19"/>
      <c r="CB98" s="19"/>
    </row>
    <row r="99" spans="27:80" x14ac:dyDescent="0.25">
      <c r="AA99" s="5"/>
      <c r="AB99" s="5"/>
      <c r="AC99" s="5"/>
      <c r="CA99" s="19"/>
      <c r="CB99" s="19"/>
    </row>
    <row r="100" spans="27:80" x14ac:dyDescent="0.25">
      <c r="AA100" s="5"/>
      <c r="AB100" s="5"/>
      <c r="AC100" s="5"/>
      <c r="CA100" s="19"/>
      <c r="CB100" s="19"/>
    </row>
    <row r="101" spans="27:80" x14ac:dyDescent="0.25">
      <c r="AA101" s="5"/>
      <c r="AB101" s="5"/>
      <c r="AC101" s="5"/>
      <c r="CA101" s="19"/>
      <c r="CB101" s="19"/>
    </row>
    <row r="102" spans="27:80" x14ac:dyDescent="0.25">
      <c r="AA102" s="5"/>
      <c r="AB102" s="5"/>
      <c r="AC102" s="5"/>
      <c r="CA102" s="19"/>
      <c r="CB102" s="19"/>
    </row>
    <row r="103" spans="27:80" x14ac:dyDescent="0.25">
      <c r="AA103" s="5"/>
      <c r="AB103" s="5"/>
      <c r="AC103" s="5"/>
      <c r="CA103" s="19"/>
      <c r="CB103" s="19"/>
    </row>
    <row r="104" spans="27:80" x14ac:dyDescent="0.25">
      <c r="AA104" s="5"/>
      <c r="AB104" s="5"/>
      <c r="AC104" s="5"/>
      <c r="CA104" s="19"/>
      <c r="CB104" s="19"/>
    </row>
    <row r="105" spans="27:80" x14ac:dyDescent="0.25">
      <c r="AA105" s="5"/>
      <c r="AB105" s="5"/>
      <c r="AC105" s="5"/>
      <c r="CA105" s="19"/>
      <c r="CB105" s="19"/>
    </row>
    <row r="106" spans="27:80" x14ac:dyDescent="0.25">
      <c r="AA106" s="5"/>
      <c r="AB106" s="5"/>
      <c r="AC106" s="5"/>
      <c r="CA106" s="19"/>
      <c r="CB106" s="19"/>
    </row>
    <row r="107" spans="27:80" x14ac:dyDescent="0.25">
      <c r="AA107" s="5"/>
      <c r="AB107" s="5"/>
      <c r="AC107" s="5"/>
      <c r="CA107" s="19"/>
      <c r="CB107" s="19"/>
    </row>
    <row r="108" spans="27:80" x14ac:dyDescent="0.25">
      <c r="AA108" s="5"/>
      <c r="AB108" s="5"/>
      <c r="AC108" s="5"/>
      <c r="CA108" s="19"/>
      <c r="CB108" s="19"/>
    </row>
    <row r="109" spans="27:80" x14ac:dyDescent="0.25">
      <c r="AA109" s="5"/>
      <c r="AB109" s="5"/>
      <c r="AC109" s="5"/>
      <c r="CA109" s="19"/>
      <c r="CB109" s="19"/>
    </row>
    <row r="110" spans="27:80" x14ac:dyDescent="0.25">
      <c r="AA110" s="5"/>
      <c r="AB110" s="5"/>
      <c r="AC110" s="5"/>
      <c r="CA110" s="19"/>
      <c r="CB110" s="19"/>
    </row>
    <row r="111" spans="27:80" x14ac:dyDescent="0.25">
      <c r="AA111" s="5"/>
      <c r="AB111" s="5"/>
      <c r="AC111" s="5"/>
      <c r="CA111" s="19"/>
      <c r="CB111" s="19"/>
    </row>
    <row r="112" spans="27:80" x14ac:dyDescent="0.25">
      <c r="AA112" s="5"/>
      <c r="AB112" s="5"/>
      <c r="AC112" s="5"/>
      <c r="CA112" s="19"/>
      <c r="CB112" s="19"/>
    </row>
    <row r="113" spans="27:80" x14ac:dyDescent="0.25">
      <c r="AA113" s="5"/>
      <c r="AB113" s="5"/>
      <c r="AC113" s="5"/>
      <c r="CA113" s="19"/>
      <c r="CB113" s="19"/>
    </row>
    <row r="114" spans="27:80" x14ac:dyDescent="0.25">
      <c r="AA114" s="5"/>
      <c r="AB114" s="5"/>
      <c r="AC114" s="5"/>
      <c r="CA114" s="19"/>
      <c r="CB114" s="19"/>
    </row>
    <row r="115" spans="27:80" x14ac:dyDescent="0.25">
      <c r="AA115" s="5"/>
      <c r="AB115" s="5"/>
      <c r="AC115" s="5"/>
      <c r="CA115" s="19"/>
      <c r="CB115" s="19"/>
    </row>
    <row r="116" spans="27:80" x14ac:dyDescent="0.25">
      <c r="AA116" s="5"/>
      <c r="AB116" s="5"/>
      <c r="AC116" s="5"/>
      <c r="CA116" s="19"/>
      <c r="CB116" s="19"/>
    </row>
    <row r="117" spans="27:80" x14ac:dyDescent="0.25">
      <c r="AA117" s="5"/>
      <c r="AB117" s="5"/>
      <c r="AC117" s="5"/>
      <c r="CA117" s="19"/>
      <c r="CB117" s="19"/>
    </row>
    <row r="118" spans="27:80" x14ac:dyDescent="0.25">
      <c r="AA118" s="5"/>
      <c r="AB118" s="5"/>
      <c r="AC118" s="5"/>
      <c r="CA118" s="19"/>
      <c r="CB118" s="19"/>
    </row>
    <row r="119" spans="27:80" x14ac:dyDescent="0.25">
      <c r="AA119" s="5"/>
      <c r="AB119" s="5"/>
      <c r="AC119" s="5"/>
      <c r="CA119" s="19"/>
      <c r="CB119" s="19"/>
    </row>
    <row r="120" spans="27:80" x14ac:dyDescent="0.25">
      <c r="AA120" s="5"/>
      <c r="AB120" s="5"/>
      <c r="AC120" s="5"/>
      <c r="CA120" s="19"/>
      <c r="CB120" s="19"/>
    </row>
    <row r="121" spans="27:80" x14ac:dyDescent="0.25">
      <c r="AA121" s="5"/>
      <c r="AB121" s="5"/>
      <c r="AC121" s="5"/>
      <c r="CA121" s="19"/>
      <c r="CB121" s="19"/>
    </row>
    <row r="122" spans="27:80" x14ac:dyDescent="0.25">
      <c r="AA122" s="5"/>
      <c r="AB122" s="5"/>
      <c r="AC122" s="5"/>
      <c r="CA122" s="19"/>
      <c r="CB122" s="19"/>
    </row>
    <row r="123" spans="27:80" x14ac:dyDescent="0.25">
      <c r="AA123" s="5"/>
      <c r="AB123" s="5"/>
      <c r="AC123" s="5"/>
      <c r="CA123" s="19"/>
      <c r="CB123" s="19"/>
    </row>
    <row r="124" spans="27:80" x14ac:dyDescent="0.25">
      <c r="AA124" s="5"/>
      <c r="AB124" s="5"/>
      <c r="AC124" s="5"/>
      <c r="CA124" s="19"/>
      <c r="CB124" s="19"/>
    </row>
    <row r="125" spans="27:80" x14ac:dyDescent="0.25">
      <c r="AA125" s="5"/>
      <c r="AB125" s="5"/>
      <c r="AC125" s="5"/>
      <c r="CA125" s="19"/>
      <c r="CB125" s="19"/>
    </row>
    <row r="126" spans="27:80" x14ac:dyDescent="0.25">
      <c r="AA126" s="5"/>
      <c r="AB126" s="5"/>
      <c r="AC126" s="5"/>
      <c r="CA126" s="19"/>
      <c r="CB126" s="19"/>
    </row>
    <row r="127" spans="27:80" x14ac:dyDescent="0.25">
      <c r="AA127" s="5"/>
      <c r="AB127" s="5"/>
      <c r="AC127" s="5"/>
      <c r="CA127" s="19"/>
      <c r="CB127" s="19"/>
    </row>
    <row r="128" spans="27:80" x14ac:dyDescent="0.25">
      <c r="AA128" s="5"/>
      <c r="AB128" s="5"/>
      <c r="AC128" s="5"/>
      <c r="CA128" s="19"/>
      <c r="CB128" s="19"/>
    </row>
    <row r="129" spans="27:80" x14ac:dyDescent="0.25">
      <c r="AA129" s="5"/>
      <c r="AB129" s="5"/>
      <c r="AC129" s="5"/>
      <c r="CA129" s="19"/>
      <c r="CB129" s="19"/>
    </row>
    <row r="130" spans="27:80" x14ac:dyDescent="0.25">
      <c r="AA130" s="5"/>
      <c r="AB130" s="5"/>
      <c r="AC130" s="5"/>
      <c r="CA130" s="19"/>
      <c r="CB130" s="19"/>
    </row>
    <row r="131" spans="27:80" x14ac:dyDescent="0.25">
      <c r="AA131" s="5"/>
      <c r="AB131" s="5"/>
      <c r="AC131" s="5"/>
      <c r="CA131" s="19"/>
      <c r="CB131" s="19"/>
    </row>
    <row r="132" spans="27:80" x14ac:dyDescent="0.25">
      <c r="AA132" s="5"/>
      <c r="AB132" s="5"/>
      <c r="AC132" s="5"/>
      <c r="CA132" s="19"/>
      <c r="CB132" s="19"/>
    </row>
    <row r="133" spans="27:80" x14ac:dyDescent="0.25">
      <c r="AA133" s="5"/>
      <c r="AB133" s="5"/>
      <c r="AC133" s="5"/>
      <c r="CA133" s="19"/>
      <c r="CB133" s="19"/>
    </row>
    <row r="134" spans="27:80" x14ac:dyDescent="0.25">
      <c r="AA134" s="5"/>
      <c r="AB134" s="5"/>
      <c r="AC134" s="5"/>
      <c r="CA134" s="19"/>
      <c r="CB134" s="19"/>
    </row>
    <row r="135" spans="27:80" x14ac:dyDescent="0.25">
      <c r="AA135" s="5"/>
      <c r="AB135" s="5"/>
      <c r="AC135" s="5"/>
      <c r="CA135" s="19"/>
      <c r="CB135" s="19"/>
    </row>
    <row r="136" spans="27:80" x14ac:dyDescent="0.25">
      <c r="AA136" s="5"/>
      <c r="AB136" s="5"/>
      <c r="AC136" s="5"/>
      <c r="CA136" s="19"/>
      <c r="CB136" s="19"/>
    </row>
    <row r="137" spans="27:80" x14ac:dyDescent="0.25">
      <c r="AA137" s="5"/>
      <c r="AB137" s="5"/>
      <c r="AC137" s="5"/>
      <c r="CA137" s="19"/>
      <c r="CB137" s="19"/>
    </row>
    <row r="138" spans="27:80" x14ac:dyDescent="0.25">
      <c r="AA138" s="5"/>
      <c r="AB138" s="5"/>
      <c r="AC138" s="5"/>
      <c r="CA138" s="19"/>
      <c r="CB138" s="19"/>
    </row>
    <row r="139" spans="27:80" x14ac:dyDescent="0.25">
      <c r="AA139" s="5"/>
      <c r="AB139" s="5"/>
      <c r="AC139" s="5"/>
      <c r="CA139" s="19"/>
      <c r="CB139" s="19"/>
    </row>
    <row r="140" spans="27:80" x14ac:dyDescent="0.25">
      <c r="AA140" s="5"/>
      <c r="AB140" s="5"/>
      <c r="AC140" s="5"/>
      <c r="CA140" s="19"/>
      <c r="CB140" s="19"/>
    </row>
    <row r="141" spans="27:80" x14ac:dyDescent="0.25">
      <c r="AA141" s="5"/>
      <c r="AB141" s="5"/>
      <c r="AC141" s="5"/>
      <c r="CA141" s="19"/>
      <c r="CB141" s="19"/>
    </row>
    <row r="142" spans="27:80" x14ac:dyDescent="0.25">
      <c r="AA142" s="5"/>
      <c r="AB142" s="5"/>
      <c r="AC142" s="5"/>
      <c r="CA142" s="19"/>
      <c r="CB142" s="19"/>
    </row>
    <row r="143" spans="27:80" x14ac:dyDescent="0.25">
      <c r="AA143" s="5"/>
      <c r="AB143" s="5"/>
      <c r="AC143" s="5"/>
      <c r="CA143" s="19"/>
      <c r="CB143" s="19"/>
    </row>
    <row r="144" spans="27:80" x14ac:dyDescent="0.25">
      <c r="AA144" s="5"/>
      <c r="AB144" s="5"/>
      <c r="AC144" s="5"/>
      <c r="CA144" s="19"/>
      <c r="CB144" s="19"/>
    </row>
    <row r="145" spans="27:80" x14ac:dyDescent="0.25">
      <c r="AA145" s="5"/>
      <c r="AB145" s="5"/>
      <c r="AC145" s="5"/>
      <c r="CA145" s="19"/>
      <c r="CB145" s="19"/>
    </row>
    <row r="146" spans="27:80" x14ac:dyDescent="0.25">
      <c r="AA146" s="5"/>
      <c r="AB146" s="5"/>
      <c r="AC146" s="5"/>
      <c r="CA146" s="19"/>
      <c r="CB146" s="19"/>
    </row>
    <row r="147" spans="27:80" x14ac:dyDescent="0.25">
      <c r="AA147" s="5"/>
      <c r="AB147" s="5"/>
      <c r="AC147" s="5"/>
      <c r="CA147" s="19"/>
      <c r="CB147" s="19"/>
    </row>
    <row r="148" spans="27:80" x14ac:dyDescent="0.25">
      <c r="AA148" s="5"/>
      <c r="AB148" s="5"/>
      <c r="AC148" s="5"/>
      <c r="CA148" s="19"/>
      <c r="CB148" s="19"/>
    </row>
    <row r="149" spans="27:80" x14ac:dyDescent="0.25">
      <c r="AA149" s="5"/>
      <c r="AB149" s="5"/>
      <c r="AC149" s="5"/>
      <c r="CA149" s="19"/>
      <c r="CB149" s="19"/>
    </row>
    <row r="150" spans="27:80" x14ac:dyDescent="0.25">
      <c r="AA150" s="5"/>
      <c r="AB150" s="5"/>
      <c r="AC150" s="5"/>
      <c r="CA150" s="19"/>
      <c r="CB150" s="19"/>
    </row>
    <row r="151" spans="27:80" x14ac:dyDescent="0.25">
      <c r="AA151" s="5"/>
      <c r="AB151" s="5"/>
      <c r="AC151" s="5"/>
      <c r="CA151" s="19"/>
      <c r="CB151" s="19"/>
    </row>
    <row r="152" spans="27:80" x14ac:dyDescent="0.25">
      <c r="AA152" s="5"/>
      <c r="AB152" s="5"/>
      <c r="AC152" s="5"/>
      <c r="CA152" s="19"/>
      <c r="CB152" s="19"/>
    </row>
    <row r="153" spans="27:80" x14ac:dyDescent="0.25">
      <c r="AA153" s="5"/>
      <c r="AB153" s="5"/>
      <c r="AC153" s="5"/>
      <c r="CA153" s="19"/>
      <c r="CB153" s="19"/>
    </row>
    <row r="154" spans="27:80" x14ac:dyDescent="0.25">
      <c r="AA154" s="5"/>
      <c r="AB154" s="5"/>
      <c r="AC154" s="5"/>
      <c r="CA154" s="19"/>
      <c r="CB154" s="19"/>
    </row>
    <row r="155" spans="27:80" x14ac:dyDescent="0.25">
      <c r="CA155" s="19"/>
      <c r="CB155" s="19"/>
    </row>
  </sheetData>
  <sheetProtection sheet="1" objects="1" scenarios="1"/>
  <mergeCells count="125">
    <mergeCell ref="Q26:R26"/>
    <mergeCell ref="AJ69:AK69"/>
    <mergeCell ref="AH48:AI48"/>
    <mergeCell ref="AH46:AI46"/>
    <mergeCell ref="V56:W56"/>
    <mergeCell ref="AF80:AG80"/>
    <mergeCell ref="AH58:AI58"/>
    <mergeCell ref="AL47:AM47"/>
    <mergeCell ref="AF18:AG18"/>
    <mergeCell ref="AP18:AQ18"/>
    <mergeCell ref="BI20:BL20"/>
    <mergeCell ref="AR18:AS18"/>
    <mergeCell ref="BA20:BD20"/>
    <mergeCell ref="BM20:BP20"/>
    <mergeCell ref="AF69:AG69"/>
    <mergeCell ref="BQ17:BR17"/>
    <mergeCell ref="AD17:AU17"/>
    <mergeCell ref="AH45:AI45"/>
    <mergeCell ref="BS17:BT17"/>
    <mergeCell ref="AL79:AM79"/>
    <mergeCell ref="AL48:AM48"/>
    <mergeCell ref="AF71:AG71"/>
    <mergeCell ref="AH47:AI47"/>
    <mergeCell ref="AJ47:AK47"/>
    <mergeCell ref="BM17:BN17"/>
    <mergeCell ref="BO17:BP17"/>
    <mergeCell ref="AW24:BD24"/>
    <mergeCell ref="AH69:AI69"/>
    <mergeCell ref="AL69:AM69"/>
    <mergeCell ref="E5:H5"/>
    <mergeCell ref="AD36:AE36"/>
    <mergeCell ref="AD30:AE30"/>
    <mergeCell ref="AF45:AG45"/>
    <mergeCell ref="AJ68:AK68"/>
    <mergeCell ref="AL68:AM68"/>
    <mergeCell ref="G26:H26"/>
    <mergeCell ref="AJ45:AK45"/>
    <mergeCell ref="B6:C6"/>
    <mergeCell ref="T5:V5"/>
    <mergeCell ref="K6:L6"/>
    <mergeCell ref="AF48:AG48"/>
    <mergeCell ref="B7:C7"/>
    <mergeCell ref="G42:H42"/>
    <mergeCell ref="AD24:AE24"/>
    <mergeCell ref="V23:W23"/>
    <mergeCell ref="Q42:R42"/>
    <mergeCell ref="B56:C56"/>
    <mergeCell ref="AJ48:AK48"/>
    <mergeCell ref="AJ18:AK18"/>
    <mergeCell ref="E6:F6"/>
    <mergeCell ref="AL18:AM18"/>
    <mergeCell ref="AH68:AI68"/>
    <mergeCell ref="B8:C8"/>
    <mergeCell ref="C2:G2"/>
    <mergeCell ref="AF58:AG58"/>
    <mergeCell ref="BE20:BH20"/>
    <mergeCell ref="BU24:CB24"/>
    <mergeCell ref="B9:C9"/>
    <mergeCell ref="BM24:BT24"/>
    <mergeCell ref="BQ20:BT20"/>
    <mergeCell ref="AF60:AG60"/>
    <mergeCell ref="AL58:AM58"/>
    <mergeCell ref="AF47:AG47"/>
    <mergeCell ref="AF46:AG46"/>
    <mergeCell ref="AJ60:AK60"/>
    <mergeCell ref="AL60:AM60"/>
    <mergeCell ref="AJ50:AK50"/>
    <mergeCell ref="AJ46:AK46"/>
    <mergeCell ref="AL46:AM46"/>
    <mergeCell ref="C3:G3"/>
    <mergeCell ref="BI17:BJ17"/>
    <mergeCell ref="BU17:BV17"/>
    <mergeCell ref="AL45:AM45"/>
    <mergeCell ref="BW17:BX17"/>
    <mergeCell ref="B23:C23"/>
    <mergeCell ref="L23:M23"/>
    <mergeCell ref="G6:H6"/>
    <mergeCell ref="A39:B40"/>
    <mergeCell ref="BY17:BZ17"/>
    <mergeCell ref="CA17:CB17"/>
    <mergeCell ref="B10:C10"/>
    <mergeCell ref="AL71:AM71"/>
    <mergeCell ref="AH60:AI60"/>
    <mergeCell ref="AN18:AO18"/>
    <mergeCell ref="AF50:AG50"/>
    <mergeCell ref="AJ79:AK79"/>
    <mergeCell ref="BY20:CB20"/>
    <mergeCell ref="AH71:AI71"/>
    <mergeCell ref="AJ71:AK71"/>
    <mergeCell ref="BE24:BL24"/>
    <mergeCell ref="AH18:AI18"/>
    <mergeCell ref="AJ58:AK58"/>
    <mergeCell ref="AF57:AG57"/>
    <mergeCell ref="BU20:BX20"/>
    <mergeCell ref="AT18:AU18"/>
    <mergeCell ref="L38:M41"/>
    <mergeCell ref="AJ57:AK57"/>
    <mergeCell ref="AF68:AG68"/>
    <mergeCell ref="AL57:AM57"/>
    <mergeCell ref="AH50:AI50"/>
    <mergeCell ref="W39:X40"/>
    <mergeCell ref="Z8:AB9"/>
    <mergeCell ref="L56:M56"/>
    <mergeCell ref="BK17:BL17"/>
    <mergeCell ref="AL82:AM82"/>
    <mergeCell ref="AL50:AM50"/>
    <mergeCell ref="AW20:AZ20"/>
    <mergeCell ref="AH57:AI57"/>
    <mergeCell ref="AD42:AE42"/>
    <mergeCell ref="I5:L5"/>
    <mergeCell ref="I6:J6"/>
    <mergeCell ref="AF82:AG82"/>
    <mergeCell ref="AH82:AI82"/>
    <mergeCell ref="AJ82:AK82"/>
    <mergeCell ref="AH80:AI80"/>
    <mergeCell ref="AW17:AX17"/>
    <mergeCell ref="BG17:BH17"/>
    <mergeCell ref="AL80:AM80"/>
    <mergeCell ref="AY17:AZ17"/>
    <mergeCell ref="BA17:BB17"/>
    <mergeCell ref="AJ80:AK80"/>
    <mergeCell ref="AF79:AG79"/>
    <mergeCell ref="BC17:BD17"/>
    <mergeCell ref="AH79:AI79"/>
    <mergeCell ref="BE17:BF17"/>
  </mergeCells>
  <conditionalFormatting sqref="L38:M41">
    <cfRule type="expression" dxfId="690" priority="2">
      <formula>$CE$20&gt;3</formula>
    </cfRule>
    <cfRule type="expression" dxfId="689" priority="3">
      <formula>$CE$20&lt;0.1</formula>
    </cfRule>
  </conditionalFormatting>
  <conditionalFormatting sqref="Z11:Z14">
    <cfRule type="expression" dxfId="688" priority="1">
      <formula>$AA$10=2</formula>
    </cfRule>
  </conditionalFormatting>
  <conditionalFormatting sqref="AF52:AG52">
    <cfRule type="expression" dxfId="687" priority="188">
      <formula>$AF48=1</formula>
    </cfRule>
  </conditionalFormatting>
  <conditionalFormatting sqref="AF53:AG53">
    <cfRule type="expression" dxfId="686" priority="184">
      <formula>$AF48=2</formula>
    </cfRule>
  </conditionalFormatting>
  <conditionalFormatting sqref="AF54:AG54">
    <cfRule type="expression" dxfId="685" priority="180">
      <formula>$AF48=3</formula>
    </cfRule>
  </conditionalFormatting>
  <conditionalFormatting sqref="AF55:AG55">
    <cfRule type="expression" dxfId="684" priority="176">
      <formula>$AF48=4</formula>
    </cfRule>
  </conditionalFormatting>
  <conditionalFormatting sqref="AF62:AG62">
    <cfRule type="expression" dxfId="683" priority="160">
      <formula>$AF$58=1</formula>
    </cfRule>
  </conditionalFormatting>
  <conditionalFormatting sqref="AF63:AG63">
    <cfRule type="expression" dxfId="682" priority="164">
      <formula>$AF$58=2</formula>
    </cfRule>
  </conditionalFormatting>
  <conditionalFormatting sqref="AF64:AG64">
    <cfRule type="expression" dxfId="681" priority="168">
      <formula>$AF$58=3</formula>
    </cfRule>
  </conditionalFormatting>
  <conditionalFormatting sqref="AF65:AG65">
    <cfRule type="expression" dxfId="680" priority="172">
      <formula>$AF$58=4</formula>
    </cfRule>
  </conditionalFormatting>
  <conditionalFormatting sqref="AF73:AG73">
    <cfRule type="expression" dxfId="679" priority="155">
      <formula>$AF$69=1</formula>
    </cfRule>
  </conditionalFormatting>
  <conditionalFormatting sqref="AF74:AG74">
    <cfRule type="expression" dxfId="678" priority="156">
      <formula>$AF$69=2</formula>
    </cfRule>
  </conditionalFormatting>
  <conditionalFormatting sqref="AF75:AG75">
    <cfRule type="expression" dxfId="677" priority="154">
      <formula>$AF$69=3</formula>
    </cfRule>
  </conditionalFormatting>
  <conditionalFormatting sqref="AF76:AG76">
    <cfRule type="expression" dxfId="676" priority="153">
      <formula>$AF$69=4</formula>
    </cfRule>
  </conditionalFormatting>
  <conditionalFormatting sqref="AF84:AG84">
    <cfRule type="expression" dxfId="675" priority="128">
      <formula>$AF$80=1</formula>
    </cfRule>
  </conditionalFormatting>
  <conditionalFormatting sqref="AF85:AG85">
    <cfRule type="expression" dxfId="674" priority="132">
      <formula>$AF$80=2</formula>
    </cfRule>
  </conditionalFormatting>
  <conditionalFormatting sqref="AF86:AG86">
    <cfRule type="expression" dxfId="673" priority="136">
      <formula>$AF$80=3</formula>
    </cfRule>
  </conditionalFormatting>
  <conditionalFormatting sqref="AF87:AG87">
    <cfRule type="expression" dxfId="672" priority="140">
      <formula>$AF$80=4</formula>
    </cfRule>
  </conditionalFormatting>
  <conditionalFormatting sqref="AF48:AM48">
    <cfRule type="cellIs" dxfId="671" priority="189" operator="between">
      <formula>1</formula>
      <formula>4</formula>
    </cfRule>
  </conditionalFormatting>
  <conditionalFormatting sqref="AF58:AM58">
    <cfRule type="cellIs" dxfId="670" priority="122" operator="between">
      <formula>1</formula>
      <formula>4</formula>
    </cfRule>
  </conditionalFormatting>
  <conditionalFormatting sqref="AF69:AM69">
    <cfRule type="cellIs" dxfId="669" priority="119" operator="between">
      <formula>1</formula>
      <formula>4</formula>
    </cfRule>
  </conditionalFormatting>
  <conditionalFormatting sqref="AF80:AM80">
    <cfRule type="cellIs" dxfId="668" priority="116" operator="between">
      <formula>1</formula>
      <formula>4</formula>
    </cfRule>
  </conditionalFormatting>
  <conditionalFormatting sqref="AH52:AI52">
    <cfRule type="expression" dxfId="667" priority="187">
      <formula>$AH48=1</formula>
    </cfRule>
  </conditionalFormatting>
  <conditionalFormatting sqref="AH53:AI53">
    <cfRule type="expression" dxfId="666" priority="183">
      <formula>$AH48=2</formula>
    </cfRule>
  </conditionalFormatting>
  <conditionalFormatting sqref="AH54:AI54">
    <cfRule type="expression" dxfId="665" priority="179">
      <formula>$AH48=3</formula>
    </cfRule>
  </conditionalFormatting>
  <conditionalFormatting sqref="AH55:AI55">
    <cfRule type="expression" dxfId="664" priority="175">
      <formula>$AH48=4</formula>
    </cfRule>
  </conditionalFormatting>
  <conditionalFormatting sqref="AH62:AI62">
    <cfRule type="expression" dxfId="663" priority="159">
      <formula>$AH$58=1</formula>
    </cfRule>
  </conditionalFormatting>
  <conditionalFormatting sqref="AH63:AI63">
    <cfRule type="expression" dxfId="662" priority="163">
      <formula>$AH$58=2</formula>
    </cfRule>
  </conditionalFormatting>
  <conditionalFormatting sqref="AH64:AI64">
    <cfRule type="expression" dxfId="661" priority="167">
      <formula>$AH$58=3</formula>
    </cfRule>
  </conditionalFormatting>
  <conditionalFormatting sqref="AH65:AI65">
    <cfRule type="expression" dxfId="660" priority="171">
      <formula>$AH$58=4</formula>
    </cfRule>
  </conditionalFormatting>
  <conditionalFormatting sqref="AH73:AI73">
    <cfRule type="expression" dxfId="659" priority="151">
      <formula>$AH$69=1</formula>
    </cfRule>
  </conditionalFormatting>
  <conditionalFormatting sqref="AH74:AI74">
    <cfRule type="expression" dxfId="658" priority="152">
      <formula>$AH$69=2</formula>
    </cfRule>
  </conditionalFormatting>
  <conditionalFormatting sqref="AH75:AI75">
    <cfRule type="expression" dxfId="657" priority="150">
      <formula>$AH$69=3</formula>
    </cfRule>
  </conditionalFormatting>
  <conditionalFormatting sqref="AH76:AI76">
    <cfRule type="expression" dxfId="656" priority="149">
      <formula>$AH$69=4</formula>
    </cfRule>
  </conditionalFormatting>
  <conditionalFormatting sqref="AH84:AI84">
    <cfRule type="expression" dxfId="655" priority="127">
      <formula>$AH$80=1</formula>
    </cfRule>
  </conditionalFormatting>
  <conditionalFormatting sqref="AH85:AI85">
    <cfRule type="expression" dxfId="654" priority="131">
      <formula>$AH$80=2</formula>
    </cfRule>
  </conditionalFormatting>
  <conditionalFormatting sqref="AH86:AI86">
    <cfRule type="expression" dxfId="653" priority="135">
      <formula>$AH$80=3</formula>
    </cfRule>
  </conditionalFormatting>
  <conditionalFormatting sqref="AH87:AI87">
    <cfRule type="expression" dxfId="652" priority="139">
      <formula>$AH$80=4</formula>
    </cfRule>
  </conditionalFormatting>
  <conditionalFormatting sqref="AJ52:AK52">
    <cfRule type="expression" dxfId="651" priority="186">
      <formula>$AJ48=1</formula>
    </cfRule>
  </conditionalFormatting>
  <conditionalFormatting sqref="AJ53:AK53">
    <cfRule type="expression" dxfId="650" priority="182">
      <formula>$AJ48=2</formula>
    </cfRule>
  </conditionalFormatting>
  <conditionalFormatting sqref="AJ54:AK54">
    <cfRule type="expression" dxfId="649" priority="178">
      <formula>$AJ48=3</formula>
    </cfRule>
  </conditionalFormatting>
  <conditionalFormatting sqref="AJ55:AK55">
    <cfRule type="expression" dxfId="648" priority="174">
      <formula>$AJ48=4</formula>
    </cfRule>
  </conditionalFormatting>
  <conditionalFormatting sqref="AJ62:AK62">
    <cfRule type="expression" dxfId="647" priority="158">
      <formula>$AJ$58=1</formula>
    </cfRule>
  </conditionalFormatting>
  <conditionalFormatting sqref="AJ63:AK63">
    <cfRule type="expression" dxfId="646" priority="162">
      <formula>$AJ$58=2</formula>
    </cfRule>
  </conditionalFormatting>
  <conditionalFormatting sqref="AJ64:AK64">
    <cfRule type="expression" dxfId="645" priority="166">
      <formula>$AJ$58=3</formula>
    </cfRule>
  </conditionalFormatting>
  <conditionalFormatting sqref="AJ65:AK65">
    <cfRule type="expression" dxfId="644" priority="170">
      <formula>$AJ$58=4</formula>
    </cfRule>
  </conditionalFormatting>
  <conditionalFormatting sqref="AJ73:AK73">
    <cfRule type="expression" dxfId="643" priority="147">
      <formula>$AJ$69=1</formula>
    </cfRule>
  </conditionalFormatting>
  <conditionalFormatting sqref="AJ74:AK74">
    <cfRule type="expression" dxfId="642" priority="148">
      <formula>$AJ$69=2</formula>
    </cfRule>
  </conditionalFormatting>
  <conditionalFormatting sqref="AJ75:AK75">
    <cfRule type="expression" dxfId="641" priority="146">
      <formula>$AJ$69=3</formula>
    </cfRule>
  </conditionalFormatting>
  <conditionalFormatting sqref="AJ76:AK76">
    <cfRule type="expression" dxfId="640" priority="145">
      <formula>$AJ$69=4</formula>
    </cfRule>
  </conditionalFormatting>
  <conditionalFormatting sqref="AJ84:AK84">
    <cfRule type="expression" dxfId="639" priority="126">
      <formula>$AJ$80=1</formula>
    </cfRule>
  </conditionalFormatting>
  <conditionalFormatting sqref="AJ85:AK85">
    <cfRule type="expression" dxfId="638" priority="130">
      <formula>$AJ$80=2</formula>
    </cfRule>
  </conditionalFormatting>
  <conditionalFormatting sqref="AJ86:AK86">
    <cfRule type="expression" dxfId="637" priority="134">
      <formula>$AJ$80=3</formula>
    </cfRule>
  </conditionalFormatting>
  <conditionalFormatting sqref="AJ87:AK87">
    <cfRule type="expression" dxfId="636" priority="138">
      <formula>$AJ$80=4</formula>
    </cfRule>
  </conditionalFormatting>
  <conditionalFormatting sqref="AL52:AM52">
    <cfRule type="expression" dxfId="635" priority="185">
      <formula>$AL48=1</formula>
    </cfRule>
  </conditionalFormatting>
  <conditionalFormatting sqref="AL53:AM53">
    <cfRule type="expression" dxfId="634" priority="181">
      <formula>$AL48=2</formula>
    </cfRule>
  </conditionalFormatting>
  <conditionalFormatting sqref="AL54:AM54">
    <cfRule type="expression" dxfId="633" priority="177">
      <formula>$AL48=3</formula>
    </cfRule>
  </conditionalFormatting>
  <conditionalFormatting sqref="AL55:AM55">
    <cfRule type="expression" dxfId="632" priority="173">
      <formula>$AL48=4</formula>
    </cfRule>
  </conditionalFormatting>
  <conditionalFormatting sqref="AL62:AM62">
    <cfRule type="expression" dxfId="631" priority="157">
      <formula>$AL$58=1</formula>
    </cfRule>
  </conditionalFormatting>
  <conditionalFormatting sqref="AL63:AM63">
    <cfRule type="expression" dxfId="630" priority="161">
      <formula>$AL$58=2</formula>
    </cfRule>
  </conditionalFormatting>
  <conditionalFormatting sqref="AL64:AM64">
    <cfRule type="expression" dxfId="629" priority="165">
      <formula>$AL$58=3</formula>
    </cfRule>
  </conditionalFormatting>
  <conditionalFormatting sqref="AL65:AM65">
    <cfRule type="expression" dxfId="628" priority="169">
      <formula>$AL$58=4</formula>
    </cfRule>
  </conditionalFormatting>
  <conditionalFormatting sqref="AL73:AM73">
    <cfRule type="expression" dxfId="627" priority="143">
      <formula>$AL$69=1</formula>
    </cfRule>
  </conditionalFormatting>
  <conditionalFormatting sqref="AL74:AM74">
    <cfRule type="expression" dxfId="626" priority="144">
      <formula>$AL$69=2</formula>
    </cfRule>
  </conditionalFormatting>
  <conditionalFormatting sqref="AL75:AM75">
    <cfRule type="expression" dxfId="625" priority="142">
      <formula>$AL$69=3</formula>
    </cfRule>
  </conditionalFormatting>
  <conditionalFormatting sqref="AL76:AM76">
    <cfRule type="expression" dxfId="624" priority="141">
      <formula>$AL$69=4</formula>
    </cfRule>
  </conditionalFormatting>
  <conditionalFormatting sqref="AL84:AM84">
    <cfRule type="expression" dxfId="623" priority="125">
      <formula>$AL$80=1</formula>
    </cfRule>
  </conditionalFormatting>
  <conditionalFormatting sqref="AL85:AM85">
    <cfRule type="expression" dxfId="622" priority="129">
      <formula>$AL$80=2</formula>
    </cfRule>
  </conditionalFormatting>
  <conditionalFormatting sqref="AL86:AM86">
    <cfRule type="expression" dxfId="621" priority="133">
      <formula>$AL$80=3</formula>
    </cfRule>
  </conditionalFormatting>
  <conditionalFormatting sqref="AL87:AM87">
    <cfRule type="expression" dxfId="620" priority="137">
      <formula>$AL$80=4</formula>
    </cfRule>
  </conditionalFormatting>
  <conditionalFormatting sqref="AO62:AP62">
    <cfRule type="expression" dxfId="619" priority="55">
      <formula>$AF$58=1</formula>
    </cfRule>
  </conditionalFormatting>
  <conditionalFormatting sqref="AO63:AP63">
    <cfRule type="expression" dxfId="618" priority="59">
      <formula>$AF$58=2</formula>
    </cfRule>
  </conditionalFormatting>
  <conditionalFormatting sqref="AO64:AP64">
    <cfRule type="expression" dxfId="617" priority="63">
      <formula>$AF$58=3</formula>
    </cfRule>
  </conditionalFormatting>
  <conditionalFormatting sqref="AO65:AP65">
    <cfRule type="expression" dxfId="616" priority="67">
      <formula>$AF$58=4</formula>
    </cfRule>
  </conditionalFormatting>
  <conditionalFormatting sqref="AO73:AP73">
    <cfRule type="expression" dxfId="615" priority="50">
      <formula>$AF$69=1</formula>
    </cfRule>
  </conditionalFormatting>
  <conditionalFormatting sqref="AO74:AP74">
    <cfRule type="expression" dxfId="614" priority="51">
      <formula>$AF$69=2</formula>
    </cfRule>
  </conditionalFormatting>
  <conditionalFormatting sqref="AO75:AP75">
    <cfRule type="expression" dxfId="613" priority="49">
      <formula>$AF$69=3</formula>
    </cfRule>
  </conditionalFormatting>
  <conditionalFormatting sqref="AO76:AP76">
    <cfRule type="expression" dxfId="612" priority="48">
      <formula>$AF$69=4</formula>
    </cfRule>
  </conditionalFormatting>
  <conditionalFormatting sqref="AO84:AP84">
    <cfRule type="expression" dxfId="611" priority="18">
      <formula>$AF$80=1</formula>
    </cfRule>
  </conditionalFormatting>
  <conditionalFormatting sqref="AO85:AP85">
    <cfRule type="expression" dxfId="610" priority="19">
      <formula>$AF$80=2</formula>
    </cfRule>
  </conditionalFormatting>
  <conditionalFormatting sqref="AO86:AP86">
    <cfRule type="expression" dxfId="609" priority="17">
      <formula>$AF$80=3</formula>
    </cfRule>
  </conditionalFormatting>
  <conditionalFormatting sqref="AO87:AP87">
    <cfRule type="expression" dxfId="608" priority="16">
      <formula>$AF$80=4</formula>
    </cfRule>
  </conditionalFormatting>
  <conditionalFormatting sqref="AQ62:AR62">
    <cfRule type="expression" dxfId="607" priority="54">
      <formula>$AH$58=1</formula>
    </cfRule>
  </conditionalFormatting>
  <conditionalFormatting sqref="AQ63:AR63">
    <cfRule type="expression" dxfId="606" priority="58">
      <formula>$AH$58=2</formula>
    </cfRule>
  </conditionalFormatting>
  <conditionalFormatting sqref="AQ64:AR64">
    <cfRule type="expression" dxfId="605" priority="62">
      <formula>$AH$58=3</formula>
    </cfRule>
  </conditionalFormatting>
  <conditionalFormatting sqref="AQ65:AR65">
    <cfRule type="expression" dxfId="604" priority="66">
      <formula>$AH$58=4</formula>
    </cfRule>
  </conditionalFormatting>
  <conditionalFormatting sqref="AQ73:AR73">
    <cfRule type="expression" dxfId="603" priority="46">
      <formula>$AH$69=1</formula>
    </cfRule>
  </conditionalFormatting>
  <conditionalFormatting sqref="AQ74:AR74">
    <cfRule type="expression" dxfId="602" priority="47">
      <formula>$AH$69=2</formula>
    </cfRule>
  </conditionalFormatting>
  <conditionalFormatting sqref="AQ75:AR75">
    <cfRule type="expression" dxfId="601" priority="45">
      <formula>$AH$69=3</formula>
    </cfRule>
  </conditionalFormatting>
  <conditionalFormatting sqref="AQ76:AR76">
    <cfRule type="expression" dxfId="600" priority="44">
      <formula>$AH$69=4</formula>
    </cfRule>
  </conditionalFormatting>
  <conditionalFormatting sqref="AQ84:AR84">
    <cfRule type="expression" dxfId="599" priority="14">
      <formula>$AH$80=1</formula>
    </cfRule>
  </conditionalFormatting>
  <conditionalFormatting sqref="AQ85:AR85">
    <cfRule type="expression" dxfId="598" priority="15">
      <formula>$AH$80=2</formula>
    </cfRule>
  </conditionalFormatting>
  <conditionalFormatting sqref="AQ86:AR86">
    <cfRule type="expression" dxfId="597" priority="13">
      <formula>$AH$80=3</formula>
    </cfRule>
  </conditionalFormatting>
  <conditionalFormatting sqref="AQ87:AR87">
    <cfRule type="expression" dxfId="596" priority="12">
      <formula>$AH$80=4</formula>
    </cfRule>
  </conditionalFormatting>
  <conditionalFormatting sqref="AS62:AT62">
    <cfRule type="expression" dxfId="595" priority="53">
      <formula>$AJ$58=1</formula>
    </cfRule>
  </conditionalFormatting>
  <conditionalFormatting sqref="AS63:AT63">
    <cfRule type="expression" dxfId="594" priority="57">
      <formula>$AJ$58=2</formula>
    </cfRule>
  </conditionalFormatting>
  <conditionalFormatting sqref="AS64:AT64">
    <cfRule type="expression" dxfId="593" priority="61">
      <formula>$AJ$58=3</formula>
    </cfRule>
  </conditionalFormatting>
  <conditionalFormatting sqref="AS65:AT65">
    <cfRule type="expression" dxfId="592" priority="65">
      <formula>$AJ$58=4</formula>
    </cfRule>
  </conditionalFormatting>
  <conditionalFormatting sqref="AS73:AT73">
    <cfRule type="expression" dxfId="591" priority="42">
      <formula>$AJ$69=1</formula>
    </cfRule>
  </conditionalFormatting>
  <conditionalFormatting sqref="AS74:AT74">
    <cfRule type="expression" dxfId="590" priority="43">
      <formula>$AJ$69=2</formula>
    </cfRule>
  </conditionalFormatting>
  <conditionalFormatting sqref="AS75:AT75">
    <cfRule type="expression" dxfId="589" priority="41">
      <formula>$AJ$69=3</formula>
    </cfRule>
  </conditionalFormatting>
  <conditionalFormatting sqref="AS76:AT76">
    <cfRule type="expression" dxfId="588" priority="40">
      <formula>$AJ$69=4</formula>
    </cfRule>
  </conditionalFormatting>
  <conditionalFormatting sqref="AS84:AT84">
    <cfRule type="expression" dxfId="587" priority="10">
      <formula>$AJ$80=1</formula>
    </cfRule>
  </conditionalFormatting>
  <conditionalFormatting sqref="AS85:AT85">
    <cfRule type="expression" dxfId="586" priority="11">
      <formula>$AJ$80=2</formula>
    </cfRule>
  </conditionalFormatting>
  <conditionalFormatting sqref="AS86:AT86">
    <cfRule type="expression" dxfId="585" priority="9">
      <formula>$AJ$80=3</formula>
    </cfRule>
  </conditionalFormatting>
  <conditionalFormatting sqref="AS87:AT87">
    <cfRule type="expression" dxfId="584" priority="8">
      <formula>$AJ$80=4</formula>
    </cfRule>
  </conditionalFormatting>
  <conditionalFormatting sqref="AU62:AV62">
    <cfRule type="expression" dxfId="583" priority="52">
      <formula>$AL$58=1</formula>
    </cfRule>
  </conditionalFormatting>
  <conditionalFormatting sqref="AU63:AV63">
    <cfRule type="expression" dxfId="582" priority="56">
      <formula>$AL$58=2</formula>
    </cfRule>
  </conditionalFormatting>
  <conditionalFormatting sqref="AU64:AV64">
    <cfRule type="expression" dxfId="581" priority="60">
      <formula>$AL$58=3</formula>
    </cfRule>
  </conditionalFormatting>
  <conditionalFormatting sqref="AU65:AV65">
    <cfRule type="expression" dxfId="580" priority="64">
      <formula>$AL$58=4</formula>
    </cfRule>
  </conditionalFormatting>
  <conditionalFormatting sqref="AU73:AV73">
    <cfRule type="expression" dxfId="579" priority="38">
      <formula>$AL$69=1</formula>
    </cfRule>
  </conditionalFormatting>
  <conditionalFormatting sqref="AU74:AV74">
    <cfRule type="expression" dxfId="578" priority="39">
      <formula>$AL$69=2</formula>
    </cfRule>
  </conditionalFormatting>
  <conditionalFormatting sqref="AU75:AV75">
    <cfRule type="expression" dxfId="577" priority="37">
      <formula>$AL$69=3</formula>
    </cfRule>
  </conditionalFormatting>
  <conditionalFormatting sqref="AU76:AV76">
    <cfRule type="expression" dxfId="576" priority="36">
      <formula>$AL$69=4</formula>
    </cfRule>
  </conditionalFormatting>
  <conditionalFormatting sqref="AU84:AV84">
    <cfRule type="expression" dxfId="575" priority="6">
      <formula>$AL$80=1</formula>
    </cfRule>
  </conditionalFormatting>
  <conditionalFormatting sqref="AU85:AV85">
    <cfRule type="expression" dxfId="574" priority="7">
      <formula>$AL$80=2</formula>
    </cfRule>
  </conditionalFormatting>
  <conditionalFormatting sqref="AU86:AV86">
    <cfRule type="expression" dxfId="573" priority="5">
      <formula>$AL$80=3</formula>
    </cfRule>
  </conditionalFormatting>
  <conditionalFormatting sqref="AU87:AV87">
    <cfRule type="expression" dxfId="572" priority="4">
      <formula>$AL$80=4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Drop Down 1">
              <controlPr locked="0" defaultSize="0" autoLine="0" autoPict="0">
                <anchor moveWithCells="1">
                  <from>
                    <xdr:col>4</xdr:col>
                    <xdr:colOff>47625</xdr:colOff>
                    <xdr:row>21</xdr:row>
                    <xdr:rowOff>0</xdr:rowOff>
                  </from>
                  <to>
                    <xdr:col>4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Drop Down 2">
              <controlPr defaultSize="0" autoLine="0" autoPict="0">
                <anchor moveWithCells="1">
                  <from>
                    <xdr:col>1</xdr:col>
                    <xdr:colOff>66675</xdr:colOff>
                    <xdr:row>28</xdr:row>
                    <xdr:rowOff>9525</xdr:rowOff>
                  </from>
                  <to>
                    <xdr:col>1</xdr:col>
                    <xdr:colOff>485775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Drop Down 3">
              <controlPr defaultSize="0" autoLine="0" autoPict="0">
                <anchor moveWithCells="1">
                  <from>
                    <xdr:col>4</xdr:col>
                    <xdr:colOff>38100</xdr:colOff>
                    <xdr:row>59</xdr:row>
                    <xdr:rowOff>0</xdr:rowOff>
                  </from>
                  <to>
                    <xdr:col>4</xdr:col>
                    <xdr:colOff>457200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Drop Down 4">
              <controlPr defaultSize="0" autoLine="0" autoPict="0">
                <anchor moveWithCells="1">
                  <from>
                    <xdr:col>1</xdr:col>
                    <xdr:colOff>57150</xdr:colOff>
                    <xdr:row>45</xdr:row>
                    <xdr:rowOff>9525</xdr:rowOff>
                  </from>
                  <to>
                    <xdr:col>1</xdr:col>
                    <xdr:colOff>476250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Drop Down 5">
              <controlPr locked="0" defaultSize="0" autoLine="0" autoPict="0">
                <anchor moveWithCells="1">
                  <from>
                    <xdr:col>14</xdr:col>
                    <xdr:colOff>76200</xdr:colOff>
                    <xdr:row>21</xdr:row>
                    <xdr:rowOff>0</xdr:rowOff>
                  </from>
                  <to>
                    <xdr:col>14</xdr:col>
                    <xdr:colOff>495300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8" name="Drop Down 6">
              <controlPr defaultSize="0" autoLine="0" autoPict="0">
                <anchor moveWithCells="1">
                  <from>
                    <xdr:col>14</xdr:col>
                    <xdr:colOff>85725</xdr:colOff>
                    <xdr:row>59</xdr:row>
                    <xdr:rowOff>0</xdr:rowOff>
                  </from>
                  <to>
                    <xdr:col>14</xdr:col>
                    <xdr:colOff>504825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9" name="Drop Down 7">
              <controlPr defaultSize="0" autoLine="0" autoPict="0">
                <anchor moveWithCells="1">
                  <from>
                    <xdr:col>22</xdr:col>
                    <xdr:colOff>85725</xdr:colOff>
                    <xdr:row>28</xdr:row>
                    <xdr:rowOff>9525</xdr:rowOff>
                  </from>
                  <to>
                    <xdr:col>22</xdr:col>
                    <xdr:colOff>504825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0" name="Drop Down 8">
              <controlPr defaultSize="0" autoLine="0" autoPict="0">
                <anchor moveWithCells="1">
                  <from>
                    <xdr:col>22</xdr:col>
                    <xdr:colOff>95250</xdr:colOff>
                    <xdr:row>45</xdr:row>
                    <xdr:rowOff>0</xdr:rowOff>
                  </from>
                  <to>
                    <xdr:col>22</xdr:col>
                    <xdr:colOff>514350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1" name="Drop Down 9">
              <controlPr locked="0" defaultSize="0" autoLine="0" autoPict="0">
                <anchor moveWithCells="1">
                  <from>
                    <xdr:col>10</xdr:col>
                    <xdr:colOff>47625</xdr:colOff>
                    <xdr:row>21</xdr:row>
                    <xdr:rowOff>9525</xdr:rowOff>
                  </from>
                  <to>
                    <xdr:col>10</xdr:col>
                    <xdr:colOff>466725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2" name="Drop Down 10">
              <controlPr locked="0" defaultSize="0" autoLine="0" autoPict="0">
                <anchor moveWithCells="1">
                  <from>
                    <xdr:col>20</xdr:col>
                    <xdr:colOff>47625</xdr:colOff>
                    <xdr:row>21</xdr:row>
                    <xdr:rowOff>0</xdr:rowOff>
                  </from>
                  <to>
                    <xdr:col>20</xdr:col>
                    <xdr:colOff>466725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3" name="Drop Down 11">
              <controlPr defaultSize="0" autoLine="0" autoPict="0">
                <anchor moveWithCells="1">
                  <from>
                    <xdr:col>10</xdr:col>
                    <xdr:colOff>57150</xdr:colOff>
                    <xdr:row>59</xdr:row>
                    <xdr:rowOff>0</xdr:rowOff>
                  </from>
                  <to>
                    <xdr:col>10</xdr:col>
                    <xdr:colOff>476250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4" name="Drop Down 12">
              <controlPr defaultSize="0" autoLine="0" autoPict="0">
                <anchor moveWithCells="1">
                  <from>
                    <xdr:col>20</xdr:col>
                    <xdr:colOff>47625</xdr:colOff>
                    <xdr:row>59</xdr:row>
                    <xdr:rowOff>9525</xdr:rowOff>
                  </from>
                  <to>
                    <xdr:col>20</xdr:col>
                    <xdr:colOff>466725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5" name="Drop Down 13">
              <controlPr defaultSize="0" autoLine="0" autoPict="0">
                <anchor moveWithCells="1">
                  <from>
                    <xdr:col>1</xdr:col>
                    <xdr:colOff>76200</xdr:colOff>
                    <xdr:row>36</xdr:row>
                    <xdr:rowOff>0</xdr:rowOff>
                  </from>
                  <to>
                    <xdr:col>1</xdr:col>
                    <xdr:colOff>495300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6" name="Drop Down 14">
              <controlPr defaultSize="0" autoLine="0" autoPict="0">
                <anchor moveWithCells="1">
                  <from>
                    <xdr:col>22</xdr:col>
                    <xdr:colOff>95250</xdr:colOff>
                    <xdr:row>36</xdr:row>
                    <xdr:rowOff>9525</xdr:rowOff>
                  </from>
                  <to>
                    <xdr:col>22</xdr:col>
                    <xdr:colOff>514350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7" name="Drop Down 15">
              <controlPr defaultSize="0" autoLine="0" autoPict="0">
                <anchor moveWithCells="1">
                  <from>
                    <xdr:col>1</xdr:col>
                    <xdr:colOff>76200</xdr:colOff>
                    <xdr:row>53</xdr:row>
                    <xdr:rowOff>0</xdr:rowOff>
                  </from>
                  <to>
                    <xdr:col>1</xdr:col>
                    <xdr:colOff>495300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8" name="Drop Down 16">
              <controlPr defaultSize="0" autoLine="0" autoPict="0">
                <anchor moveWithCells="1">
                  <from>
                    <xdr:col>22</xdr:col>
                    <xdr:colOff>85725</xdr:colOff>
                    <xdr:row>53</xdr:row>
                    <xdr:rowOff>9525</xdr:rowOff>
                  </from>
                  <to>
                    <xdr:col>22</xdr:col>
                    <xdr:colOff>504825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9" name="Drop Down 17">
              <controlPr locked="0" defaultSize="0" autoLine="0" autoPict="0">
                <anchor moveWithCells="1">
                  <from>
                    <xdr:col>10</xdr:col>
                    <xdr:colOff>47625</xdr:colOff>
                    <xdr:row>21</xdr:row>
                    <xdr:rowOff>9525</xdr:rowOff>
                  </from>
                  <to>
                    <xdr:col>10</xdr:col>
                    <xdr:colOff>466725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0" name="Drop Down 18">
              <controlPr defaultSize="0" autoLine="0" autoPict="0">
                <anchor moveWithCells="1">
                  <from>
                    <xdr:col>1</xdr:col>
                    <xdr:colOff>66675</xdr:colOff>
                    <xdr:row>28</xdr:row>
                    <xdr:rowOff>9525</xdr:rowOff>
                  </from>
                  <to>
                    <xdr:col>1</xdr:col>
                    <xdr:colOff>485775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1" name="Drop Down 19">
              <controlPr defaultSize="0" autoLine="0" autoPict="0">
                <anchor moveWithCells="1">
                  <from>
                    <xdr:col>1</xdr:col>
                    <xdr:colOff>57150</xdr:colOff>
                    <xdr:row>45</xdr:row>
                    <xdr:rowOff>9525</xdr:rowOff>
                  </from>
                  <to>
                    <xdr:col>1</xdr:col>
                    <xdr:colOff>476250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2" name="Drop Down 20">
              <controlPr locked="0" defaultSize="0" autoLine="0" autoPict="0">
                <anchor moveWithCells="1">
                  <from>
                    <xdr:col>26</xdr:col>
                    <xdr:colOff>114300</xdr:colOff>
                    <xdr:row>9</xdr:row>
                    <xdr:rowOff>19050</xdr:rowOff>
                  </from>
                  <to>
                    <xdr:col>26</xdr:col>
                    <xdr:colOff>533400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3" name="Drop Down 21">
              <controlPr defaultSize="0" autoLine="0" autoPict="0">
                <anchor moveWithCells="1">
                  <from>
                    <xdr:col>25</xdr:col>
                    <xdr:colOff>114300</xdr:colOff>
                    <xdr:row>14</xdr:row>
                    <xdr:rowOff>28575</xdr:rowOff>
                  </from>
                  <to>
                    <xdr:col>25</xdr:col>
                    <xdr:colOff>533400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79998168889431442"/>
  </sheetPr>
  <dimension ref="A1:CR173"/>
  <sheetViews>
    <sheetView zoomScaleNormal="100" workbookViewId="0">
      <selection activeCell="C2" sqref="C2:F2"/>
    </sheetView>
  </sheetViews>
  <sheetFormatPr defaultRowHeight="15" x14ac:dyDescent="0.25"/>
  <cols>
    <col min="1" max="1" width="8.28515625" customWidth="1"/>
    <col min="2" max="2" width="8.5703125" customWidth="1"/>
    <col min="3" max="3" width="6" customWidth="1"/>
    <col min="4" max="4" width="8.7109375" customWidth="1"/>
    <col min="5" max="5" width="8" customWidth="1"/>
    <col min="6" max="6" width="7.7109375" customWidth="1"/>
    <col min="7" max="7" width="10" customWidth="1"/>
    <col min="8" max="8" width="8.42578125" customWidth="1"/>
    <col min="9" max="12" width="10.7109375" customWidth="1"/>
    <col min="13" max="15" width="8.7109375" customWidth="1"/>
    <col min="16" max="16" width="6.85546875" customWidth="1"/>
    <col min="17" max="18" width="10.140625" customWidth="1"/>
    <col min="19" max="19" width="9.42578125" customWidth="1"/>
    <col min="20" max="21" width="7.7109375" customWidth="1"/>
    <col min="22" max="22" width="8.42578125" customWidth="1"/>
    <col min="23" max="23" width="9.5703125" customWidth="1"/>
    <col min="24" max="24" width="6.7109375" customWidth="1"/>
    <col min="25" max="26" width="9.7109375" style="5" customWidth="1"/>
    <col min="27" max="28" width="9.7109375" style="19" customWidth="1"/>
    <col min="29" max="46" width="7.7109375" style="19" customWidth="1"/>
    <col min="47" max="47" width="11.42578125" style="19" customWidth="1"/>
    <col min="48" max="48" width="9.85546875" style="19" customWidth="1"/>
    <col min="49" max="77" width="9.140625" style="19" customWidth="1"/>
  </cols>
  <sheetData>
    <row r="1" spans="2:73" ht="8.25" customHeight="1" x14ac:dyDescent="0.25"/>
    <row r="2" spans="2:73" ht="15.75" customHeight="1" thickBot="1" x14ac:dyDescent="0.3">
      <c r="B2" s="26" t="s">
        <v>0</v>
      </c>
      <c r="C2" s="966">
        <f>'SHL Section'!C2:G2</f>
        <v>0</v>
      </c>
      <c r="D2" s="832"/>
      <c r="E2" s="832"/>
      <c r="F2" s="832"/>
      <c r="G2" s="51"/>
      <c r="K2" s="972">
        <v>2</v>
      </c>
      <c r="L2" s="928"/>
    </row>
    <row r="3" spans="2:73" ht="29.25" customHeight="1" thickBot="1" x14ac:dyDescent="0.3">
      <c r="B3" s="26" t="s">
        <v>5</v>
      </c>
      <c r="C3" s="968">
        <f>'SHL Section'!C3:G3</f>
        <v>0</v>
      </c>
      <c r="D3" s="832"/>
      <c r="E3" s="832"/>
      <c r="F3" s="832"/>
      <c r="G3" s="183"/>
      <c r="K3" s="971" t="s">
        <v>388</v>
      </c>
      <c r="L3" s="851"/>
      <c r="M3" s="973" t="s">
        <v>389</v>
      </c>
      <c r="N3" s="847"/>
      <c r="O3" s="847"/>
      <c r="P3" s="848"/>
    </row>
    <row r="4" spans="2:73" ht="30" customHeight="1" thickBot="1" x14ac:dyDescent="0.3">
      <c r="B4" s="26"/>
      <c r="C4" s="181"/>
      <c r="D4" s="181"/>
      <c r="E4" s="181"/>
      <c r="F4" s="181"/>
      <c r="G4" s="181"/>
      <c r="H4" s="240"/>
      <c r="I4" s="754" t="s">
        <v>390</v>
      </c>
      <c r="J4" s="755" t="s">
        <v>391</v>
      </c>
      <c r="K4" s="751" t="s">
        <v>392</v>
      </c>
      <c r="L4" s="751" t="s">
        <v>393</v>
      </c>
      <c r="M4" s="933" t="s">
        <v>6</v>
      </c>
      <c r="N4" s="859"/>
      <c r="O4" s="845" t="s">
        <v>7</v>
      </c>
      <c r="P4" s="863"/>
    </row>
    <row r="5" spans="2:73" ht="18.75" customHeight="1" thickBot="1" x14ac:dyDescent="0.3">
      <c r="H5" s="184" t="s">
        <v>394</v>
      </c>
      <c r="I5" s="247">
        <f>'SHL Section'!$X$7</f>
        <v>0</v>
      </c>
      <c r="J5" s="247">
        <f>'SHL Section'!$Y$7</f>
        <v>0</v>
      </c>
      <c r="K5" s="243">
        <f>IF(AND(ISNUMBER($I5),ISNUMBER($J5)),IF($K$2=1,(($I5-$AX$77)*($AX$88+($I5-$AX$77)*($AX$89+($I5-$AX$77)*($AX$90+($I5-$AX$77)*$AX$91)))+($AX$80-($I5-$AX$77)*($AX$88+($I5-$AX$77)*($AX$89+($I5-$AX$77)*($AX$90+($I5-$AX$77)*$AX$91))))*SIN(RADIANS(((111.5-$J5)*$AX$78)))*TAN(RADIANS(((111.5-$J5)*$AX$78))/2)+$AX$81)*3937/1200,IF($K$2=2,(($I5-$AY$77)*($AY$88+($I5-$AY$77)*($AY$89+($I5-$AY$77)*($AY$90+($I5-$AY$77)*$AY$91)))+($AY$80-($I5-$AY$77)*($AY$88+($I5-$AY$77)*($AY$89+($I5-$AY$77)*($AY$90+($I5-$AY$77)*$AY$91))))*SIN(RADIANS(((111.5-$J5)*$AY$78)))*TAN(RADIANS(((111.5-$J5)*$AY$78))/2)+$AY$81)*3937/1200,(($I5-$AZ$77)*($AZ$88+($I5-$AZ$77)*($AZ$89+($I5-$AZ$77)*($AZ$90+($I5-$AZ$77)*$AZ$91)))+($AZ$80-($I5-$AZ$77)*($AZ$88+($I5-$AZ$77)*($AZ$89+($I5-$AZ$77)*($AZ$90+($I5-$AZ$77)*$AZ$91))))*SIN(RADIANS(((111.5-$J5)*$AZ$78)))*TAN(RADIANS(((111.5-$J5)*$AZ$78))/2)+$AZ$81)*3937/1200)),"")</f>
        <v>19299142.333762784</v>
      </c>
      <c r="L5" s="243">
        <f>IF(AND(ISNUMBER($I5),ISNUMBER($J5)),IF($K$2=1,(($AX$80-($I5-$AX$77)*($AX$88+($I5-$AX$77)*($AX$89+($I5-$AX$77)*($AX$90+($I5-$AX$77)*$AX$91))))*SIN(RADIANS(((111.5-$J5)*$AX$78)))+$AX$74)*3937/1200,IF($K$2=2,(($AY$80-($I5-$AY$77)*($AY$88+($I5-$AY$77)*($AY$89+($I5-$AY$77)*($AY$90+($I5-$AY$77)*$AY$91))))*SIN(RADIANS(((111.5-$J5)*$AY$78)))+$AY$74)*3937/1200,(($AZ$80-($I5-$AZ$77)*($AZ$88+($I5-$AZ$77)*($AZ$89+($I5-$AZ$77)*($AZ$90+($I5-$AZ$77)*$AZ$91))))*SIN(RADIANS(((111.5-$J5)*$AZ$78)))+$AZ$74)*3937/1200)),"")</f>
        <v>40103653.522858381</v>
      </c>
      <c r="M5" s="185">
        <f>'SHL Section'!$I$7</f>
        <v>0</v>
      </c>
      <c r="N5" s="745" t="str">
        <f>IF('SHL Section'!J7=1,"FNL","FSL")</f>
        <v>FSL</v>
      </c>
      <c r="O5" s="186">
        <f>'SHL Section'!$K$7</f>
        <v>0</v>
      </c>
      <c r="P5" s="187" t="str">
        <f>IF('SHL Section'!L7=1,"FEL","FWL")</f>
        <v>FWL</v>
      </c>
      <c r="Y5" s="919" t="s">
        <v>395</v>
      </c>
      <c r="Z5" s="847"/>
      <c r="AA5" s="847"/>
      <c r="AB5" s="848"/>
    </row>
    <row r="6" spans="2:73" ht="26.25" customHeight="1" x14ac:dyDescent="0.25">
      <c r="C6" s="57"/>
      <c r="D6" s="58"/>
      <c r="E6" s="931" t="s">
        <v>219</v>
      </c>
      <c r="F6" s="847"/>
      <c r="G6" s="847"/>
      <c r="H6" s="851"/>
      <c r="I6" s="931" t="s">
        <v>396</v>
      </c>
      <c r="J6" s="851"/>
      <c r="K6" s="931" t="s">
        <v>388</v>
      </c>
      <c r="L6" s="851"/>
      <c r="M6" s="931" t="s">
        <v>397</v>
      </c>
      <c r="N6" s="847"/>
      <c r="O6" s="847"/>
      <c r="P6" s="851"/>
      <c r="Q6" s="167"/>
      <c r="R6" s="35"/>
      <c r="S6" s="35"/>
      <c r="T6" s="35"/>
      <c r="U6" s="35"/>
      <c r="V6" s="35"/>
      <c r="W6" s="170"/>
      <c r="X6" s="19"/>
      <c r="Y6" s="747" t="s">
        <v>113</v>
      </c>
      <c r="Z6" s="748"/>
      <c r="AA6" s="748" t="s">
        <v>114</v>
      </c>
      <c r="AB6" s="749"/>
    </row>
    <row r="7" spans="2:73" ht="30" customHeight="1" x14ac:dyDescent="0.25">
      <c r="C7" s="950"/>
      <c r="D7" s="951"/>
      <c r="E7" s="933" t="s">
        <v>113</v>
      </c>
      <c r="F7" s="859"/>
      <c r="G7" s="910" t="s">
        <v>114</v>
      </c>
      <c r="H7" s="911"/>
      <c r="I7" s="751" t="s">
        <v>390</v>
      </c>
      <c r="J7" s="241" t="s">
        <v>391</v>
      </c>
      <c r="K7" s="751" t="s">
        <v>392</v>
      </c>
      <c r="L7" s="751" t="s">
        <v>393</v>
      </c>
      <c r="M7" s="933" t="s">
        <v>6</v>
      </c>
      <c r="N7" s="859"/>
      <c r="O7" s="910" t="s">
        <v>7</v>
      </c>
      <c r="P7" s="911"/>
      <c r="Q7" s="740" t="s">
        <v>226</v>
      </c>
      <c r="R7" s="740" t="s">
        <v>72</v>
      </c>
      <c r="S7" s="740" t="s">
        <v>73</v>
      </c>
      <c r="T7" s="740" t="s">
        <v>227</v>
      </c>
      <c r="U7" s="740" t="s">
        <v>74</v>
      </c>
      <c r="V7" s="740" t="s">
        <v>228</v>
      </c>
      <c r="W7" s="61" t="s">
        <v>229</v>
      </c>
      <c r="X7" s="19"/>
      <c r="Y7" s="137" t="s">
        <v>398</v>
      </c>
      <c r="Z7" s="821">
        <f>IF('SHL Section'!$AR$7=1,$M$15,0)</f>
        <v>71.424513434487508</v>
      </c>
      <c r="AA7" s="71"/>
      <c r="AB7" s="132"/>
    </row>
    <row r="8" spans="2:73" ht="15" customHeight="1" x14ac:dyDescent="0.25">
      <c r="C8" s="952" t="s">
        <v>234</v>
      </c>
      <c r="D8" s="953"/>
      <c r="E8" s="70"/>
      <c r="F8" s="62"/>
      <c r="G8" s="71"/>
      <c r="H8" s="62"/>
      <c r="I8" s="248">
        <f>'Dx to Plat Comparison'!F23</f>
        <v>0</v>
      </c>
      <c r="J8" s="248">
        <f>'Dx to Plat Comparison'!G23</f>
        <v>0</v>
      </c>
      <c r="K8" s="70">
        <f>IF(AND(ISNUMBER($I8),ISNUMBER($J8)),IF($K$2=1,(($I8-$AX$77)*($AX$88+($I8-$AX$77)*($AX$89+($I8-$AX$77)*($AX$90+($I8-$AX$77)*$AX$91)))+($AX$80-($I8-$AX$77)*($AX$88+($I8-$AX$77)*($AX$89+($I8-$AX$77)*($AX$90+($I8-$AX$77)*$AX$91))))*SIN(RADIANS(((111.5-$J8)*$AX$78)))*TAN(RADIANS(((111.5-$J8)*$AX$78))/2)+$AX$81)*3937/1200,IF($K$2=2,(($I8-$AY$77)*($AY$88+($I8-$AY$77)*($AY$89+($I8-$AY$77)*($AY$90+($I8-$AY$77)*$AY$91)))+($AY$80-($I8-$AY$77)*($AY$88+($I8-$AY$77)*($AY$89+($I8-$AY$77)*($AY$90+($I8-$AY$77)*$AY$91))))*SIN(RADIANS(((111.5-$J8)*$AY$78)))*TAN(RADIANS(((111.5-$J8)*$AY$78))/2)+$AY$81)*3937/1200,(($I8-$AZ$77)*($AZ$88+($I8-$AZ$77)*($AZ$89+($I8-$AZ$77)*($AZ$90+($I8-$AZ$77)*$AZ$91)))+($AZ$80-($I8-$AZ$77)*($AZ$88+($I8-$AZ$77)*($AZ$89+($I8-$AZ$77)*($AZ$90+($I8-$AZ$77)*$AZ$91))))*SIN(RADIANS(((111.5-$J8)*$AZ$78)))*TAN(RADIANS(((111.5-$J8)*$AZ$78))/2)+$AZ$81)*3937/1200)),"")</f>
        <v>19299142.333762784</v>
      </c>
      <c r="L8" s="70">
        <f>IF(AND(ISNUMBER($I8),ISNUMBER($J8)),IF($K$2=1,(($AX$80-($I8-$AX$77)*($AX$88+($I8-$AX$77)*($AX$89+($I8-$AX$77)*($AX$90+($I8-$AX$77)*$AX$91))))*SIN(RADIANS(((111.5-$J8)*$AX$78)))+$AX$74)*3937/1200,IF($K$2=2,(($AY$80-($I8-$AY$77)*($AY$88+($I8-$AY$77)*($AY$89+($I8-$AY$77)*($AY$90+($I8-$AY$77)*$AY$91))))*SIN(RADIANS(((111.5-$J8)*$AY$78)))+$AY$74)*3937/1200,(($AZ$80-($I8-$AZ$77)*($AZ$88+($I8-$AZ$77)*($AZ$89+($I8-$AZ$77)*($AZ$90+($I8-$AZ$77)*$AZ$91))))*SIN(RADIANS(((111.5-$J8)*$AZ$78)))+$AZ$74)*3937/1200)),"")</f>
        <v>40103653.522858381</v>
      </c>
      <c r="M8" s="188" t="str">
        <f>IF($L$39=$R$8,IF(ISNUMBER($AE$64),$AE$64,IF(ISNUMBER($AG$64),$AG$64,IF(ISNUMBER($AI$64),$AI$64,IF(ISNUMBER($AK$64),$AK$64,"")))),"")</f>
        <v/>
      </c>
      <c r="N8" s="189" t="str">
        <f>IF($L$39=$R$8,IF(ISNUMBER($AE$64),$AE$70,IF(ISNUMBER($AG$64),$AG$70,IF(ISNUMBER($AI$64),$AI$70,IF(ISNUMBER($AK$64),$AK$70,"")))),"")</f>
        <v/>
      </c>
      <c r="O8" s="190" t="str">
        <f>IF($L$39=$R$8,IF(ISNUMBER($AF$64),$AF$64,IF(ISNUMBER($AH$64),$AH$64,IF(ISNUMBER($AJ$64),$AJ$64,IF(ISNUMBER($AL$64),$AL$64,"")))),"")</f>
        <v/>
      </c>
      <c r="P8" s="191" t="str">
        <f>IF($L$39=$R$8,IF(ISNUMBER($AF$64),$AF$70,IF(ISNUMBER($AH$64),$AH$70,IF(ISNUMBER($AJ$64),$AJ$70,IF(ISNUMBER($AL$64),$AL$70,"")))),"")</f>
        <v/>
      </c>
      <c r="Q8" s="97" t="str">
        <f>'SHL Section'!$M$7</f>
        <v/>
      </c>
      <c r="R8" s="97">
        <f>'SHL Section'!$N$7</f>
        <v>0</v>
      </c>
      <c r="S8" s="62">
        <f>'SHL Section'!$O$7</f>
        <v>0</v>
      </c>
      <c r="T8" s="62" t="str">
        <f>IF('SHL Section'!$P$7=1,"N","S")</f>
        <v>S</v>
      </c>
      <c r="U8" s="62">
        <f>'SHL Section'!$Q$7</f>
        <v>0</v>
      </c>
      <c r="V8" s="62" t="str">
        <f>IF('SHL Section'!$R$7=1,"E","W")</f>
        <v>W</v>
      </c>
      <c r="W8" s="132" t="str">
        <f>IF('SHL Section'!$S$7=1,"Salt Lake","Uintah")</f>
        <v>Uintah</v>
      </c>
      <c r="Y8" s="133">
        <f>(($K$5-$K$8)*COS(RADIANS($Z$7))-($L$5-$L$8)*SIN(RADIANS($Z$7)))</f>
        <v>0</v>
      </c>
      <c r="Z8" s="105">
        <f>'SHL Section'!$AK$8</f>
        <v>2</v>
      </c>
      <c r="AA8" s="64">
        <f>(($L$5-$L$8)*COS(RADIANS($Z$7))+($K$5-$K$8)*SIN(RADIANS($Z$7)))</f>
        <v>0</v>
      </c>
      <c r="AB8" s="134">
        <f>'SHL Section'!$AM$8</f>
        <v>2</v>
      </c>
    </row>
    <row r="9" spans="2:73" ht="15" customHeight="1" x14ac:dyDescent="0.25">
      <c r="C9" s="946" t="s">
        <v>238</v>
      </c>
      <c r="D9" s="947"/>
      <c r="E9" s="72">
        <f>'SHL Section'!$E$8</f>
        <v>0</v>
      </c>
      <c r="F9" s="63" t="str">
        <f>IF('SHL Section'!$AK$8=1,"N","S")</f>
        <v>S</v>
      </c>
      <c r="G9" s="64">
        <f>'SHL Section'!$G$8</f>
        <v>0</v>
      </c>
      <c r="H9" s="63" t="str">
        <f>IF('SHL Section'!$AM$8=1,"E","W")</f>
        <v>W</v>
      </c>
      <c r="I9" s="249">
        <f>'Dx to Plat Comparison'!F23</f>
        <v>0</v>
      </c>
      <c r="J9" s="249">
        <f>'Dx to Plat Comparison'!G23</f>
        <v>0</v>
      </c>
      <c r="K9" s="72">
        <f>IF(AND(ISNUMBER($I9),ISNUMBER($J9)),IF($K$2=1,(($I9-$AX$77)*($AX$88+($I9-$AX$77)*($AX$89+($I9-$AX$77)*($AX$90+($I9-$AX$77)*$AX$91)))+($AX$80-($I9-$AX$77)*($AX$88+($I9-$AX$77)*($AX$89+($I9-$AX$77)*($AX$90+($I9-$AX$77)*$AX$91))))*SIN(RADIANS(((111.5-$J9)*$AX$78)))*TAN(RADIANS(((111.5-$J9)*$AX$78))/2)+$AX$81)*3937/1200,IF($K$2=2,(($I9-$AY$77)*($AY$88+($I9-$AY$77)*($AY$89+($I9-$AY$77)*($AY$90+($I9-$AY$77)*$AY$91)))+($AY$80-($I9-$AY$77)*($AY$88+($I9-$AY$77)*($AY$89+($I9-$AY$77)*($AY$90+($I9-$AY$77)*$AY$91))))*SIN(RADIANS(((111.5-$J9)*$AY$78)))*TAN(RADIANS(((111.5-$J9)*$AY$78))/2)+$AY$81)*3937/1200,(($I9-$AZ$77)*($AZ$88+($I9-$AZ$77)*($AZ$89+($I9-$AZ$77)*($AZ$90+($I9-$AZ$77)*$AZ$91)))+($AZ$80-($I9-$AZ$77)*($AZ$88+($I9-$AZ$77)*($AZ$89+($I9-$AZ$77)*($AZ$90+($I9-$AZ$77)*$AZ$91))))*SIN(RADIANS(((111.5-$J9)*$AZ$78)))*TAN(RADIANS(((111.5-$J9)*$AZ$78))/2)+$AZ$81)*3937/1200)),"")</f>
        <v>19299142.333762784</v>
      </c>
      <c r="L9" s="72">
        <f>IF(AND(ISNUMBER($I9),ISNUMBER($J9)),IF($K$2=1,(($AX$80-($I9-$AX$77)*($AX$88+($I9-$AX$77)*($AX$89+($I9-$AX$77)*($AX$90+($I9-$AX$77)*$AX$91))))*SIN(RADIANS(((111.5-$J9)*$AX$78)))+$AX$74)*3937/1200,IF($K$2=2,(($AY$80-($I9-$AY$77)*($AY$88+($I9-$AY$77)*($AY$89+($I9-$AY$77)*($AY$90+($I9-$AY$77)*$AY$91))))*SIN(RADIANS(((111.5-$J9)*$AY$78)))+$AY$74)*3937/1200,(($AZ$80-($I9-$AZ$77)*($AZ$88+($I9-$AZ$77)*($AZ$89+($I9-$AZ$77)*($AZ$90+($I9-$AZ$77)*$AZ$91))))*SIN(RADIANS(((111.5-$J9)*$AZ$78)))+$AZ$74)*3937/1200)),"")</f>
        <v>40103653.522858381</v>
      </c>
      <c r="M9" s="192" t="e">
        <f>IF($L$39=$R$9,IF(ISNUMBER($AE$75),$AE$75,IF(ISNUMBER($AG$75),$AG$75,IF(ISNUMBER($AI$75),$AI$75,IF(ISNUMBER($AK$75),$AK$75,"")))),"")</f>
        <v>#VALUE!</v>
      </c>
      <c r="N9" s="193" t="e">
        <f>IF($L$39=$R$9,IF(ISNUMBER($AE$75),$AE$70,IF(ISNUMBER($AG$75),$AG$70,IF(ISNUMBER($AI$75),$AI$70,IF(ISNUMBER($AK$75),$AK$70,"")))),"")</f>
        <v>#VALUE!</v>
      </c>
      <c r="O9" s="194" t="e">
        <f>IF($L$39=$R$9,IF(ISNUMBER($AF$75),$AF$75,IF(ISNUMBER($AH$75),$AH$75,IF(ISNUMBER($AJ$75),$AJ$75,IF(ISNUMBER($AL$75),$AL$75,"")))),"")</f>
        <v>#VALUE!</v>
      </c>
      <c r="P9" s="195" t="e">
        <f>IF($L$39=$R$9,IF(ISNUMBER($AF$75),$AF$70,IF(ISNUMBER($AH$75),$AH$70,IF(ISNUMBER($AJ$75),$AJ$70,IF(ISNUMBER($AL$75),$AL$70,"")))),"")</f>
        <v>#VALUE!</v>
      </c>
      <c r="Q9" s="63" t="e">
        <f>IF(AND($L$39=$R$9,ISNUMBER($I$9),ISNUMBER($J$9)),VLOOKUP(MAX($AE$67:$AL$67),$AV$57:$AZ$60,IF(ISNUMBER($AE$67),$AE$53,IF(ISNUMBER($AG$67),$AG$53,IF(ISNUMBER($AI$67),$AI$53,$AK$53)))+1,FALSE),"")</f>
        <v>#VALUE!</v>
      </c>
      <c r="R9" s="63" t="e">
        <f>'SHL Section'!$N$8</f>
        <v>#VALUE!</v>
      </c>
      <c r="S9" s="63">
        <f>'SHL Section'!$O$8</f>
        <v>0</v>
      </c>
      <c r="T9" s="63" t="str">
        <f>'SHL Section'!$P$8</f>
        <v>S</v>
      </c>
      <c r="U9" s="63">
        <f>'SHL Section'!$Q$8</f>
        <v>0</v>
      </c>
      <c r="V9" s="63" t="str">
        <f>'SHL Section'!$R$8</f>
        <v>W</v>
      </c>
      <c r="W9" s="123" t="str">
        <f>'SHL Section'!$S$8</f>
        <v>Uintah</v>
      </c>
      <c r="Y9" s="133">
        <f>IF(ISNUMBER($K$9),IF('SHL Section'!$AR$7=1,(($K$5-$K$9)*COS(RADIANS($Z$7))-($L$5-$L$9)*SIN(RADIANS($Z$7)))+'SHL Section'!$AJ$8,($K$5-$K$9+'SHL Section'!$AJ$8)*COS(RADIANS($Z$7))-($L$5-$L$9+'SHL Section'!$AL$8)*SIN(RADIANS($Z$7))),"")</f>
        <v>0</v>
      </c>
      <c r="Z9" s="105">
        <f>'SHL Section'!$AK$8</f>
        <v>2</v>
      </c>
      <c r="AA9" s="64">
        <f>IF(ISNUMBER($L$9),IF('SHL Section'!$AR$7=1,($L$5-$L$9)*COS(RADIANS($Z$7))+($K$5-$K$9)*SIN(RADIANS($Z$7))+'SHL Section'!$AL$8,($L$5-$L$9+'SHL Section'!$AL$8)*COS(RADIANS($Z$7))+($K$5-$K$9+'SHL Section'!$AJ$8)*SIN(RADIANS($Z$7))),"")</f>
        <v>0</v>
      </c>
      <c r="AB9" s="134">
        <f>'SHL Section'!$AM$8</f>
        <v>2</v>
      </c>
    </row>
    <row r="10" spans="2:73" ht="15" customHeight="1" x14ac:dyDescent="0.25">
      <c r="C10" s="946" t="s">
        <v>240</v>
      </c>
      <c r="D10" s="947"/>
      <c r="E10" s="72">
        <f>'SHL Section'!$E$9</f>
        <v>0</v>
      </c>
      <c r="F10" s="63" t="str">
        <f>IF('SHL Section'!$AK$9=1,"N","S")</f>
        <v>S</v>
      </c>
      <c r="G10" s="64">
        <f>'SHL Section'!$G$9</f>
        <v>0</v>
      </c>
      <c r="H10" s="63" t="str">
        <f>IF('SHL Section'!$AM$9=1,"E","W")</f>
        <v>W</v>
      </c>
      <c r="I10" s="249">
        <f>'Dx to Plat Comparison'!F23</f>
        <v>0</v>
      </c>
      <c r="J10" s="249">
        <f>'Dx to Plat Comparison'!G23</f>
        <v>0</v>
      </c>
      <c r="K10" s="72">
        <f>IF(AND(ISNUMBER($I10),ISNUMBER($J10)),IF($K$2=1,(($I10-$AX$77)*($AX$88+($I10-$AX$77)*($AX$89+($I10-$AX$77)*($AX$90+($I10-$AX$77)*$AX$91)))+($AX$80-($I10-$AX$77)*($AX$88+($I10-$AX$77)*($AX$89+($I10-$AX$77)*($AX$90+($I10-$AX$77)*$AX$91))))*SIN(RADIANS(((111.5-$J10)*$AX$78)))*TAN(RADIANS(((111.5-$J10)*$AX$78))/2)+$AX$81)*3937/1200,IF($K$2=2,(($I10-$AY$77)*($AY$88+($I10-$AY$77)*($AY$89+($I10-$AY$77)*($AY$90+($I10-$AY$77)*$AY$91)))+($AY$80-($I10-$AY$77)*($AY$88+($I10-$AY$77)*($AY$89+($I10-$AY$77)*($AY$90+($I10-$AY$77)*$AY$91))))*SIN(RADIANS(((111.5-$J10)*$AY$78)))*TAN(RADIANS(((111.5-$J10)*$AY$78))/2)+$AY$81)*3937/1200,(($I10-$AZ$77)*($AZ$88+($I10-$AZ$77)*($AZ$89+($I10-$AZ$77)*($AZ$90+($I10-$AZ$77)*$AZ$91)))+($AZ$80-($I10-$AZ$77)*($AZ$88+($I10-$AZ$77)*($AZ$89+($I10-$AZ$77)*($AZ$90+($I10-$AZ$77)*$AZ$91))))*SIN(RADIANS(((111.5-$J10)*$AZ$78)))*TAN(RADIANS(((111.5-$J10)*$AZ$78))/2)+$AZ$81)*3937/1200)),"")</f>
        <v>19299142.333762784</v>
      </c>
      <c r="L10" s="72">
        <f>IF(AND(ISNUMBER($I10),ISNUMBER($J10)),IF($K$2=1,(($AX$80-($I10-$AX$77)*($AX$88+($I10-$AX$77)*($AX$89+($I10-$AX$77)*($AX$90+($I10-$AX$77)*$AX$91))))*SIN(RADIANS(((111.5-$J10)*$AX$78)))+$AX$74)*3937/1200,IF($K$2=2,(($AY$80-($I10-$AY$77)*($AY$88+($I10-$AY$77)*($AY$89+($I10-$AY$77)*($AY$90+($I10-$AY$77)*$AY$91))))*SIN(RADIANS(((111.5-$J10)*$AY$78)))+$AY$74)*3937/1200,(($AZ$80-($I10-$AZ$77)*($AZ$88+($I10-$AZ$77)*($AZ$89+($I10-$AZ$77)*($AZ$90+($I10-$AZ$77)*$AZ$91))))*SIN(RADIANS(((111.5-$J10)*$AZ$78)))+$AZ$74)*3937/1200)),"")</f>
        <v>40103653.522858381</v>
      </c>
      <c r="M10" s="196" t="e">
        <f>IF($L$39=$R$10,IF(ISNUMBER($AE$86),$AE$86,IF(ISNUMBER($AG$86),$AG$86,IF(ISNUMBER($AI$86),$AI$86,IF(ISNUMBER($AK$86),$AK$86,"")))),"")</f>
        <v>#VALUE!</v>
      </c>
      <c r="N10" s="193" t="e">
        <f>IF($L$39=$R$10,IF(ISNUMBER($AE$86),$AE$81,IF(ISNUMBER($AG$86),$AG$81,IF(ISNUMBER($AI$86),$AI$81,IF(ISNUMBER($AK$86),$AK$81,"")))),"")</f>
        <v>#VALUE!</v>
      </c>
      <c r="O10" s="197" t="e">
        <f>IF($L$39=$R$10,IF(ISNUMBER($AF$86),$AF$86,IF(ISNUMBER($AH$86),$AH$86,IF(ISNUMBER($AJ$86),$AJ$86,IF(ISNUMBER($AL$86),$AL$86,"")))),"")</f>
        <v>#VALUE!</v>
      </c>
      <c r="P10" s="195" t="e">
        <f>IF($L$39=$R$10,IF(ISNUMBER($AF$86),$AF$81,IF(ISNUMBER($AH$86),$AH$81,IF(ISNUMBER($AJ$86),$AJ$81,IF(ISNUMBER($AL$86),$AL$81,"")))),"")</f>
        <v>#VALUE!</v>
      </c>
      <c r="Q10" s="63" t="e">
        <f>IF(AND($L$39=$R$10,ISNUMBER($I$10),ISNUMBER($J$10)),VLOOKUP(MAX($AE$78:$AL$78),$AV$57:$AZ$60,IF(ISNUMBER($AE$78),$AE$53,IF(ISNUMBER($AG$78),$AG$53,IF(ISNUMBER($AI$78),$AI$53,$AK$53)))+1,FALSE),"")</f>
        <v>#VALUE!</v>
      </c>
      <c r="R10" s="63" t="e">
        <f>'SHL Section'!$N$9</f>
        <v>#VALUE!</v>
      </c>
      <c r="S10" s="63">
        <f>'SHL Section'!$O$9</f>
        <v>0</v>
      </c>
      <c r="T10" s="63" t="str">
        <f>'SHL Section'!$P$9</f>
        <v>S</v>
      </c>
      <c r="U10" s="63">
        <f>'SHL Section'!$Q$9</f>
        <v>0</v>
      </c>
      <c r="V10" s="63" t="str">
        <f>'SHL Section'!$R$9</f>
        <v>W</v>
      </c>
      <c r="W10" s="123" t="str">
        <f>'SHL Section'!$S$9</f>
        <v>Uintah</v>
      </c>
      <c r="Y10" s="133">
        <f>IF(ISNUMBER($K$10),IF('SHL Section'!$AR$7=1,(($K$5-$K$10)*COS(RADIANS($Z$7))-($L$5-$L$10)*SIN(RADIANS($Z$7)))+'SHL Section'!$AJ$9,($K$5-$K$10+'SHL Section'!$AJ$9)*COS(RADIANS($Z$7))-($L$5-$L$10+'SHL Section'!$AL$9)*SIN(RADIANS($Z$7))),"")</f>
        <v>0</v>
      </c>
      <c r="Z10" s="105">
        <f>'SHL Section'!$AK$9</f>
        <v>2</v>
      </c>
      <c r="AA10" s="64">
        <f>IF(ISNUMBER($L$10),IF('SHL Section'!$AR$7=1,($L$5-$L$10)*COS(RADIANS($Z$7))+($K$5-$K$10)*SIN(RADIANS($Z$7))+'SHL Section'!$AL$9,($L$5-$L$10+'SHL Section'!$AL$9)*COS(RADIANS($Z$7))+($K$5-$K$10+'SHL Section'!$AJ$9)*SIN(RADIANS($Z$7))),"")</f>
        <v>0</v>
      </c>
      <c r="AB10" s="134">
        <f>'SHL Section'!$AM$9</f>
        <v>2</v>
      </c>
    </row>
    <row r="11" spans="2:73" ht="15" customHeight="1" thickBot="1" x14ac:dyDescent="0.3">
      <c r="C11" s="940" t="s">
        <v>241</v>
      </c>
      <c r="D11" s="941"/>
      <c r="E11" s="73">
        <f>'SHL Section'!$E$10</f>
        <v>0</v>
      </c>
      <c r="F11" s="66" t="str">
        <f>IF('SHL Section'!$AK$10=1,"N","S")</f>
        <v>S</v>
      </c>
      <c r="G11" s="67">
        <f>'SHL Section'!$G$10</f>
        <v>0</v>
      </c>
      <c r="H11" s="66" t="str">
        <f>IF('SHL Section'!$AM$10=1,"E","W")</f>
        <v>W</v>
      </c>
      <c r="I11" s="250">
        <f>'Dx to Plat Comparison'!H23</f>
        <v>0</v>
      </c>
      <c r="J11" s="250">
        <f>'Dx to Plat Comparison'!I23</f>
        <v>0</v>
      </c>
      <c r="K11" s="73">
        <f>IF(AND(ISNUMBER($I11),ISNUMBER($J11)),IF($K$2=1,(($I11-$AX$77)*($AX$88+($I11-$AX$77)*($AX$89+($I11-$AX$77)*($AX$90+($I11-$AX$77)*$AX$91)))+($AX$80-($I11-$AX$77)*($AX$88+($I11-$AX$77)*($AX$89+($I11-$AX$77)*($AX$90+($I11-$AX$77)*$AX$91))))*SIN(RADIANS(((111.5-$J11)*$AX$78)))*TAN(RADIANS(((111.5-$J11)*$AX$78))/2)+$AX$81)*3937/1200,IF($K$2=2,(($I11-$AY$77)*($AY$88+($I11-$AY$77)*($AY$89+($I11-$AY$77)*($AY$90+($I11-$AY$77)*$AY$91)))+($AY$80-($I11-$AY$77)*($AY$88+($I11-$AY$77)*($AY$89+($I11-$AY$77)*($AY$90+($I11-$AY$77)*$AY$91))))*SIN(RADIANS(((111.5-$J11)*$AY$78)))*TAN(RADIANS(((111.5-$J11)*$AY$78))/2)+$AY$81)*3937/1200,(($I11-$AZ$77)*($AZ$88+($I11-$AZ$77)*($AZ$89+($I11-$AZ$77)*($AZ$90+($I11-$AZ$77)*$AZ$91)))+($AZ$80-($I11-$AZ$77)*($AZ$88+($I11-$AZ$77)*($AZ$89+($I11-$AZ$77)*($AZ$90+($I11-$AZ$77)*$AZ$91))))*SIN(RADIANS(((111.5-$J11)*$AZ$78)))*TAN(RADIANS(((111.5-$J11)*$AZ$78))/2)+$AZ$81)*3937/1200)),"")</f>
        <v>19299142.333762784</v>
      </c>
      <c r="L11" s="73">
        <f>IF(AND(ISNUMBER($I11),ISNUMBER($J11)),IF($K$2=1,(($AX$80-($I11-$AX$77)*($AX$88+($I11-$AX$77)*($AX$89+($I11-$AX$77)*($AX$90+($I11-$AX$77)*$AX$91))))*SIN(RADIANS(((111.5-$J11)*$AX$78)))+$AX$74)*3937/1200,IF($K$2=2,(($AY$80-($I11-$AY$77)*($AY$88+($I11-$AY$77)*($AY$89+($I11-$AY$77)*($AY$90+($I11-$AY$77)*$AY$91))))*SIN(RADIANS(((111.5-$J11)*$AY$78)))+$AY$74)*3937/1200,(($AZ$80-($I11-$AZ$77)*($AZ$88+($I11-$AZ$77)*($AZ$89+($I11-$AZ$77)*($AZ$90+($I11-$AZ$77)*$AZ$91))))*SIN(RADIANS(((111.5-$J11)*$AZ$78)))+$AZ$74)*3937/1200)),"")</f>
        <v>40103653.522858381</v>
      </c>
      <c r="M11" s="198" t="e">
        <f>IF($L$39=$R$11,IF(ISNUMBER($AE$97),$AE$97,IF(ISNUMBER($AG$97),$AG$97,IF(ISNUMBER($AI$97),$AI$97,IF(ISNUMBER($AK$97),$AK$97,"")))),"")</f>
        <v>#VALUE!</v>
      </c>
      <c r="N11" s="199" t="e">
        <f>IF($L$39=$R$11,IF(ISNUMBER($AE$97),$AE$92,IF(ISNUMBER($AG$97),$AG$92,IF(ISNUMBER($AI$97),$AI$92,IF(ISNUMBER($AK$97),$AK$92,"")))),"")</f>
        <v>#VALUE!</v>
      </c>
      <c r="O11" s="200" t="e">
        <f>IF($L$39=$R$11,IF(ISNUMBER($AF$97),$AF$97,IF(ISNUMBER($AH$97),$AH$97,IF(ISNUMBER($AJ$97),$AJ$97,IF(ISNUMBER($AL$97),$AL$97,"")))),"")</f>
        <v>#VALUE!</v>
      </c>
      <c r="P11" s="201" t="e">
        <f>IF($L$39=$R$11,IF(ISNUMBER($AF$97),$AF$92,IF(ISNUMBER($AH$97),$AH$92,IF(ISNUMBER($AJ$97),$AJ$92,IF(ISNUMBER($AL$97),$AL$92,"")))),"")</f>
        <v>#VALUE!</v>
      </c>
      <c r="Q11" s="66" t="e">
        <f>IF(AND($L$39=$R$11,ISNUMBER($I$11),ISNUMBER($J$11)),VLOOKUP(MAX($AE$89:$AL$89),$AV$57:$AZ$60,IF(ISNUMBER($AE$89),$AE$53,IF(ISNUMBER($AG$89),$AG$53,IF(ISNUMBER($AI$89),$AI$53,$AK$53)))+1,FALSE),"")</f>
        <v>#VALUE!</v>
      </c>
      <c r="R11" s="66" t="e">
        <f>'SHL Section'!$N$10</f>
        <v>#VALUE!</v>
      </c>
      <c r="S11" s="66">
        <f>'SHL Section'!$O$10</f>
        <v>0</v>
      </c>
      <c r="T11" s="66" t="str">
        <f>'SHL Section'!$P$10</f>
        <v>S</v>
      </c>
      <c r="U11" s="66">
        <f>'SHL Section'!$Q$10</f>
        <v>0</v>
      </c>
      <c r="V11" s="66" t="str">
        <f>'SHL Section'!$R$10</f>
        <v>W</v>
      </c>
      <c r="W11" s="124" t="str">
        <f>'SHL Section'!$S$10</f>
        <v>Uintah</v>
      </c>
      <c r="Y11" s="135">
        <f>IF(ISNUMBER($K$11),IF('SHL Section'!$AR$7=1,(($K$5-$K$11)*COS(RADIANS($Z$7))-($L$5-$L$11)*SIN(RADIANS($Z$7)))+'SHL Section'!$AJ$10,($K$5-$K$11+'SHL Section'!$AJ$10)*COS(RADIANS($Z$7))-($L$5-$L$11+'SHL Section'!$AL$10)*SIN(RADIANS($Z$7))),"")</f>
        <v>0</v>
      </c>
      <c r="Z11" s="106">
        <f>'SHL Section'!$AK$10</f>
        <v>2</v>
      </c>
      <c r="AA11" s="67">
        <f>IF(ISNUMBER($L$11),IF('SHL Section'!$AR$7=1,($L$5-$L$11)*COS(RADIANS($Z$7))+($K$5-$K$11)*SIN(RADIANS($Z$7))+'SHL Section'!$AL$10,($L$5-$L$11+'SHL Section'!$AL$10)*COS(RADIANS($Z$7))+($K$5-$K$11+'SHL Section'!$AJ$10)*SIN(RADIANS($Z$7))),"")</f>
        <v>0</v>
      </c>
      <c r="AB11" s="136">
        <f>'SHL Section'!$AM$10</f>
        <v>2</v>
      </c>
    </row>
    <row r="12" spans="2:73" ht="15.75" customHeight="1" thickBot="1" x14ac:dyDescent="0.3">
      <c r="G12" s="51"/>
      <c r="H12" s="54"/>
      <c r="I12" s="54"/>
      <c r="J12" s="54"/>
      <c r="K12" s="54"/>
      <c r="L12" s="54"/>
      <c r="M12" s="54"/>
      <c r="N12" s="54"/>
      <c r="O12" s="103"/>
      <c r="P12" s="19"/>
      <c r="Q12" s="19"/>
      <c r="R12" s="19"/>
      <c r="S12" s="54"/>
    </row>
    <row r="13" spans="2:73" x14ac:dyDescent="0.25">
      <c r="B13" s="69" t="s">
        <v>302</v>
      </c>
      <c r="C13" s="55"/>
      <c r="D13" s="55"/>
      <c r="E13" s="55"/>
      <c r="F13" s="55"/>
      <c r="G13" s="55"/>
      <c r="H13" s="55"/>
      <c r="I13" s="55"/>
      <c r="K13" s="975" t="s">
        <v>301</v>
      </c>
      <c r="L13" s="859"/>
      <c r="M13" s="859"/>
      <c r="N13" s="911"/>
      <c r="O13" s="746"/>
      <c r="P13" s="54"/>
      <c r="Q13" s="885" t="s">
        <v>193</v>
      </c>
      <c r="R13" s="847"/>
      <c r="S13" s="848"/>
      <c r="Y13" s="970" t="s">
        <v>399</v>
      </c>
      <c r="Z13" s="963"/>
      <c r="AA13" s="963"/>
      <c r="AB13" s="964"/>
      <c r="AC13" s="54"/>
      <c r="AD13" s="54"/>
      <c r="AE13" s="54"/>
      <c r="AF13" s="54"/>
    </row>
    <row r="14" spans="2:73" x14ac:dyDescent="0.25">
      <c r="B14" s="92" t="s">
        <v>303</v>
      </c>
      <c r="C14" s="93"/>
      <c r="D14" s="93"/>
      <c r="E14" s="93"/>
      <c r="F14" s="93"/>
      <c r="G14" s="93"/>
      <c r="H14" s="93"/>
      <c r="I14" s="93"/>
      <c r="K14" s="140" t="s">
        <v>256</v>
      </c>
      <c r="L14" s="141"/>
      <c r="M14" s="142"/>
      <c r="N14" s="203">
        <f>'SHL Section'!$Q$13</f>
        <v>1</v>
      </c>
      <c r="O14" s="746"/>
      <c r="P14" s="54"/>
      <c r="Q14" s="257">
        <v>40</v>
      </c>
      <c r="R14" s="258">
        <v>109</v>
      </c>
      <c r="S14" s="251" t="s">
        <v>200</v>
      </c>
      <c r="U14" s="54"/>
      <c r="Y14" s="177"/>
      <c r="Z14" s="740" t="s">
        <v>400</v>
      </c>
      <c r="AA14" s="740" t="s">
        <v>401</v>
      </c>
      <c r="AB14" s="236" t="s">
        <v>402</v>
      </c>
      <c r="AC14" s="180"/>
      <c r="AD14" s="180"/>
      <c r="AE14" s="54"/>
      <c r="AF14" s="54"/>
    </row>
    <row r="15" spans="2:73" x14ac:dyDescent="0.25">
      <c r="B15" s="182"/>
      <c r="K15" s="237" t="s">
        <v>403</v>
      </c>
      <c r="L15" s="238"/>
      <c r="M15" s="822">
        <f>'SHL Section'!$AT$5</f>
        <v>71.424513434487508</v>
      </c>
      <c r="N15" s="239" t="s">
        <v>404</v>
      </c>
      <c r="O15" s="54"/>
      <c r="P15" s="54"/>
      <c r="Q15" s="259">
        <v>12</v>
      </c>
      <c r="R15" s="260">
        <v>57</v>
      </c>
      <c r="S15" s="251" t="s">
        <v>206</v>
      </c>
      <c r="U15" s="54"/>
      <c r="Y15" s="178" t="s">
        <v>405</v>
      </c>
      <c r="Z15" s="125"/>
      <c r="AA15" s="823"/>
      <c r="AB15" s="824"/>
    </row>
    <row r="16" spans="2:73" x14ac:dyDescent="0.25">
      <c r="P16" s="54"/>
      <c r="Q16" s="261">
        <v>27.67</v>
      </c>
      <c r="R16" s="262">
        <v>14.71</v>
      </c>
      <c r="S16" s="61" t="s">
        <v>208</v>
      </c>
      <c r="U16" s="54"/>
      <c r="Y16" s="178" t="s">
        <v>406</v>
      </c>
      <c r="Z16" s="125"/>
      <c r="AA16" s="825"/>
      <c r="AB16" s="826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"/>
    </row>
    <row r="17" spans="1:96" s="1" customFormat="1" ht="15.75" customHeight="1" thickBot="1" x14ac:dyDescent="0.3">
      <c r="Q17" s="255">
        <f>Q14+Q15/60+Q16/3600</f>
        <v>40.207686111111116</v>
      </c>
      <c r="R17" s="256">
        <f>R14+R15/60+R16/3600</f>
        <v>109.95408611111111</v>
      </c>
      <c r="S17" s="254" t="s">
        <v>210</v>
      </c>
      <c r="Y17" s="179" t="s">
        <v>407</v>
      </c>
      <c r="Z17" s="126"/>
      <c r="AA17" s="827" t="e">
        <f>AA$15+(AA$16-AA$15)/($Z$16-$Z$15)*($Z$17-$Z$15)</f>
        <v>#DIV/0!</v>
      </c>
      <c r="AB17" s="828" t="e">
        <f>AB$15+(AB$16-AB$15)/($Z$16-$Z$15)*($Z$17-$Z$15)</f>
        <v>#DIV/0!</v>
      </c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</row>
    <row r="18" spans="1:96" s="1" customFormat="1" x14ac:dyDescent="0.25">
      <c r="B18" s="43"/>
      <c r="E18" s="44" t="e">
        <f>IF($L$39='SHL Section'!$L$38,'SHL Section'!$E$18,IF($L$39='BHL Section 1'!$L$38,'BHL Section 1'!$E$17,IF($L$39='BHL Section 2'!$L$38,'BHL Section 2'!$E$17,IF($L$39='BHL Section 3'!$L$38,'BHL Section 2'!$E$17,$E$19))))</f>
        <v>#VALUE!</v>
      </c>
      <c r="F18" s="156"/>
      <c r="G18" s="156"/>
      <c r="H18" s="156"/>
      <c r="I18" s="156"/>
      <c r="J18" s="156"/>
      <c r="K18" s="44" t="e">
        <f>IF($L$39='SHL Section'!$L$38,'SHL Section'!$K$18,IF($L$39='BHL Section 1'!$L$38,'BHL Section 1'!$K$17,IF($L$39='BHL Section 2'!$L$38,'BHL Section 2'!$K$17,IF($L$39='BHL Section 3'!$L$38,'BHL Section 2'!$K$17,$K$19))))</f>
        <v>#VALUE!</v>
      </c>
      <c r="L18" s="156"/>
      <c r="M18" s="156"/>
      <c r="N18" s="156"/>
      <c r="O18" s="44" t="e">
        <f>IF($L$39='SHL Section'!$L$38,'SHL Section'!$O$18,IF($L$39='BHL Section 1'!$L$38,'BHL Section 1'!$O$17,IF($L$39='BHL Section 2'!$L$38,'BHL Section 2'!$O$17,IF($L$39='BHL Section 3'!$L$38,'BHL Section 2'!$O$17,$O$19))))</f>
        <v>#VALUE!</v>
      </c>
      <c r="P18" s="156"/>
      <c r="Q18" s="156"/>
      <c r="R18" s="156"/>
      <c r="S18" s="156"/>
      <c r="T18" s="156"/>
      <c r="U18" s="44" t="e">
        <f>IF($L$39='SHL Section'!$L$38,'SHL Section'!$U$18,IF($L$39='BHL Section 1'!$L$38,'BHL Section 1'!$U$17,IF($L$39='BHL Section 2'!$L$38,'BHL Section 2'!$U$17,IF($L$39='BHL Section 3'!$L$38,'BHL Section 2'!$U$17,$U$19))))</f>
        <v>#VALUE!</v>
      </c>
      <c r="Y18" s="5"/>
      <c r="Z18" s="5"/>
      <c r="AA18" s="5"/>
      <c r="AB18" s="5"/>
      <c r="AE18" s="18"/>
      <c r="AF18" s="18"/>
      <c r="AG18" s="18"/>
      <c r="AH18" s="18"/>
      <c r="AI18" s="18"/>
      <c r="AJ18" s="18"/>
      <c r="AK18" s="18"/>
      <c r="AL18" s="18"/>
      <c r="AM18" s="18"/>
      <c r="AQ18" s="19"/>
      <c r="AU18" s="38" t="s">
        <v>305</v>
      </c>
      <c r="AV18" s="939" t="s">
        <v>306</v>
      </c>
      <c r="AW18" s="882"/>
      <c r="AX18" s="939" t="s">
        <v>307</v>
      </c>
      <c r="AY18" s="882"/>
      <c r="AZ18" s="939" t="s">
        <v>308</v>
      </c>
      <c r="BA18" s="882"/>
      <c r="BB18" s="939" t="s">
        <v>309</v>
      </c>
      <c r="BC18" s="882"/>
      <c r="BD18" s="939" t="s">
        <v>310</v>
      </c>
      <c r="BE18" s="882"/>
      <c r="BF18" s="939" t="s">
        <v>311</v>
      </c>
      <c r="BG18" s="882"/>
      <c r="BH18" s="939" t="s">
        <v>312</v>
      </c>
      <c r="BI18" s="882"/>
      <c r="BJ18" s="939" t="s">
        <v>313</v>
      </c>
      <c r="BK18" s="882"/>
      <c r="BL18" s="939" t="s">
        <v>314</v>
      </c>
      <c r="BM18" s="882"/>
      <c r="BN18" s="939" t="s">
        <v>315</v>
      </c>
      <c r="BO18" s="882"/>
      <c r="BP18" s="939" t="s">
        <v>316</v>
      </c>
      <c r="BQ18" s="882"/>
      <c r="BR18" s="939" t="s">
        <v>317</v>
      </c>
      <c r="BS18" s="882"/>
      <c r="BT18" s="939" t="s">
        <v>318</v>
      </c>
      <c r="BU18" s="882"/>
      <c r="BV18" s="939" t="s">
        <v>319</v>
      </c>
      <c r="BW18" s="882"/>
      <c r="BX18" s="939" t="s">
        <v>320</v>
      </c>
      <c r="BY18" s="882"/>
      <c r="BZ18" s="939" t="s">
        <v>321</v>
      </c>
      <c r="CA18" s="882"/>
    </row>
    <row r="19" spans="1:96" ht="15" customHeight="1" x14ac:dyDescent="0.25">
      <c r="B19" s="26"/>
      <c r="C19" s="33"/>
      <c r="D19" s="17" t="s">
        <v>118</v>
      </c>
      <c r="E19" s="110"/>
      <c r="F19" s="33"/>
      <c r="G19" s="33"/>
      <c r="H19" s="33"/>
      <c r="I19" s="33"/>
      <c r="J19" s="17" t="s">
        <v>118</v>
      </c>
      <c r="K19" s="113"/>
      <c r="N19" s="17" t="s">
        <v>118</v>
      </c>
      <c r="O19" s="110"/>
      <c r="T19" s="17" t="s">
        <v>118</v>
      </c>
      <c r="U19" s="110"/>
      <c r="AA19" s="5"/>
      <c r="AB19" s="5"/>
      <c r="AC19" s="1"/>
      <c r="AD19" s="1"/>
      <c r="AE19" s="18"/>
      <c r="AF19" s="18"/>
      <c r="AG19" s="18"/>
      <c r="AH19" s="18"/>
      <c r="AI19" s="18"/>
      <c r="AJ19" s="18"/>
      <c r="AK19" s="18"/>
      <c r="AL19" s="18"/>
      <c r="AM19" s="18"/>
      <c r="AN19" s="1"/>
      <c r="AO19" s="1"/>
      <c r="AP19" s="1"/>
      <c r="AR19" s="1"/>
      <c r="AS19" s="1"/>
      <c r="AT19" s="1"/>
      <c r="AU19" s="38" t="s">
        <v>330</v>
      </c>
      <c r="AV19" s="760" t="s">
        <v>113</v>
      </c>
      <c r="AW19" s="761" t="s">
        <v>114</v>
      </c>
      <c r="AX19" s="760" t="s">
        <v>113</v>
      </c>
      <c r="AY19" s="761" t="s">
        <v>114</v>
      </c>
      <c r="AZ19" s="760" t="s">
        <v>113</v>
      </c>
      <c r="BA19" s="761" t="s">
        <v>114</v>
      </c>
      <c r="BB19" s="760" t="s">
        <v>113</v>
      </c>
      <c r="BC19" s="761" t="s">
        <v>114</v>
      </c>
      <c r="BD19" s="760" t="s">
        <v>113</v>
      </c>
      <c r="BE19" s="761" t="s">
        <v>114</v>
      </c>
      <c r="BF19" s="760" t="s">
        <v>113</v>
      </c>
      <c r="BG19" s="761" t="s">
        <v>114</v>
      </c>
      <c r="BH19" s="760" t="s">
        <v>113</v>
      </c>
      <c r="BI19" s="761" t="s">
        <v>114</v>
      </c>
      <c r="BJ19" s="760" t="s">
        <v>113</v>
      </c>
      <c r="BK19" s="761" t="s">
        <v>114</v>
      </c>
      <c r="BL19" s="760" t="s">
        <v>113</v>
      </c>
      <c r="BM19" s="761" t="s">
        <v>114</v>
      </c>
      <c r="BN19" s="760" t="s">
        <v>113</v>
      </c>
      <c r="BO19" s="761" t="s">
        <v>114</v>
      </c>
      <c r="BP19" s="760" t="s">
        <v>113</v>
      </c>
      <c r="BQ19" s="761" t="s">
        <v>114</v>
      </c>
      <c r="BR19" s="760" t="s">
        <v>113</v>
      </c>
      <c r="BS19" s="761" t="s">
        <v>114</v>
      </c>
      <c r="BT19" s="760" t="s">
        <v>113</v>
      </c>
      <c r="BU19" s="761" t="s">
        <v>114</v>
      </c>
      <c r="BV19" s="760" t="s">
        <v>113</v>
      </c>
      <c r="BW19" s="761" t="s">
        <v>114</v>
      </c>
      <c r="BX19" s="760" t="s">
        <v>113</v>
      </c>
      <c r="BY19" s="761" t="s">
        <v>114</v>
      </c>
      <c r="BZ19" s="760" t="s">
        <v>113</v>
      </c>
      <c r="CA19" s="761" t="s">
        <v>114</v>
      </c>
    </row>
    <row r="20" spans="1:96" ht="12" customHeight="1" x14ac:dyDescent="0.25">
      <c r="B20" s="26"/>
      <c r="C20" s="33"/>
      <c r="D20" s="17" t="s">
        <v>124</v>
      </c>
      <c r="E20" s="111"/>
      <c r="F20" s="33"/>
      <c r="G20" s="33"/>
      <c r="H20" s="33"/>
      <c r="I20" s="33"/>
      <c r="J20" s="17" t="s">
        <v>124</v>
      </c>
      <c r="K20" s="114"/>
      <c r="N20" s="17" t="s">
        <v>124</v>
      </c>
      <c r="O20" s="111"/>
      <c r="R20" s="34"/>
      <c r="T20" s="17" t="s">
        <v>124</v>
      </c>
      <c r="U20" s="111"/>
      <c r="AA20" s="5"/>
      <c r="AB20" s="5"/>
      <c r="AC20" s="1"/>
      <c r="AD20" s="1"/>
      <c r="AE20" s="18"/>
      <c r="AF20" s="18"/>
      <c r="AG20" s="18"/>
      <c r="AH20" s="18"/>
      <c r="AI20" s="18"/>
      <c r="AJ20" s="18"/>
      <c r="AK20" s="18"/>
      <c r="AL20" s="18"/>
      <c r="AM20" s="18"/>
      <c r="AN20" s="1"/>
      <c r="AO20" s="1"/>
      <c r="AP20" s="1"/>
      <c r="AR20" s="1"/>
      <c r="AS20" s="1"/>
      <c r="AT20" s="1"/>
      <c r="AU20" s="38"/>
      <c r="AV20" s="807" t="e">
        <f>IF(AND($U$18&gt;0,$O$18&gt;0),$U$18*SIN(RADIANS(90-$U$24)),IF(AND($U$18=0,$O$18&gt;0),$O$18/2*SIN(RADIANS(90-$O$24)),IF(AND($U$18&gt;0,$O$18=0),$U$18/2*SIN(RADIANS(90-$U$24)),IF(AND($U$18=0,$O$18=0,$K$18=0),$E$18/4*SIN(RADIANS(90-$E$24)),$K$18/4*SIN(RADIANS(90-$K$24))))))</f>
        <v>#VALUE!</v>
      </c>
      <c r="AW20" s="808" t="e">
        <f>IF(AND($U$18&gt;0,$O$18&gt;0),$U$18*COS(RADIANS(90-$U$24)),IF(AND($U$18=0,$O$18&gt;0),$O$18/2*COS(RADIANS(90-$O$24)),IF(AND($U$18&gt;0,$O$18=0),$U$18/2*COS(RADIANS(90-$U$24)),IF(AND($U$18=0,$O$18=0,$K$18=0),$E$18/4*COS(RADIANS(90-$E$24)),$K$18/4*COS(RADIANS(90-$K$24))))))</f>
        <v>#VALUE!</v>
      </c>
      <c r="AX20" s="807" t="e">
        <f>IF(AND($U$18&gt;0,$O$18&gt;0),$O$18*SIN(RADIANS(90-$O$24)),IF(AND($U$18=0,$O$18&gt;0),$O$18/2*SIN(RADIANS(90-$O$24)),IF(AND($U$18&gt;0,$O$18=0),$U$18/2*SIN(RADIANS(90-$U$24)),IF(AND($U$18=0,$O$18=0,$K$18=0),$E$18/4*SIN(RADIANS(90-$E$24)),$K$18/4*SIN(RADIANS(90-$K$24))))))</f>
        <v>#VALUE!</v>
      </c>
      <c r="AY20" s="808" t="e">
        <f>IF(AND($U$18&gt;0,$O$18&gt;0),$O$18*COS(RADIANS(90-$O$24)),IF(AND($U$18=0,$O$18&gt;0),$O$18/2*COS(RADIANS(90-$O$24)),IF(AND($U$18&gt;0,$O$18=0),$U$18/2*COS(RADIANS(90-$U$24)),IF(AND($U$18=0,$O$18=0,$K$18=0),$E$18/4*COS(RADIANS(90-$E$24)),$K$18/4*COS(RADIANS(90-$K$24))))))</f>
        <v>#VALUE!</v>
      </c>
      <c r="AZ20" s="807" t="e">
        <f>IF(AND($K$18&gt;0,$E$18&gt;0,OR($O$18&gt;0,$U$18&gt;0)),$K$18*SIN(RADIANS(90-$K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A20" s="808" t="e">
        <f>IF(AND($K$18&gt;0,$E$18&gt;0,OR($O$18&gt;0,$U$18&gt;0)),$K$18*COS(RADIANS(90-$K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B20" s="807" t="e">
        <f>IF(AND($K$18&gt;0,$E$18&gt;0,OR($O$18&gt;0,$U$18&gt;0)),$E$18*SIN(RADIANS(90-$E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C20" s="809" t="e">
        <f>IF(AND($K$18&gt;0,$E$18&gt;0,OR($O$18&gt;0,$U$18&gt;0)),$E$18*COS(RADIANS(90-$E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D20" s="807" t="e">
        <f>IF(AND($B$33&gt;0,$B$25&gt;0,OR($B$42&gt;0,$B$50&gt;0)),$B$25*COS(RADIANS(180-$B$31)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E20" s="808" t="e">
        <f>IF(AND($B$33&gt;0,$B$25&gt;0,OR($B$42&gt;0,$B$50&gt;0)),$B$25*-SIN(RADIANS(180-$B$31)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F20" s="807" t="e">
        <f>IF(AND($B$33&gt;0,$B$25&gt;0,OR($B$42&gt;0,$B$50&gt;0)),$B$33*COS(RADIANS(180-$B$39)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G20" s="808" t="e">
        <f>IF(AND($B$33&gt;0,$B$25&gt;0,OR($B$42&gt;0,$B$50&gt;0)),$B$33*-SIN(RADIANS(180-$B$39)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H20" s="807" t="e">
        <f>IF(AND($B$50&gt;0,$B$42&gt;0),$B$42*COS(RADIANS(180-$B$48)),IF(AND($B$50=0,$B$42&gt;0),$B$42/2*COS(RADIANS(180-$B$48)),IF(AND($B$50&gt;0,$B$42=0),$B$50/2*COS(RADIANS(180-$B$56)),IF(AND($B$50=0,$B$42=0,$B$33=0),$B$25/4*COS(RADIANS(180-$B$31)),$B$33/4*COS(RADIANS(180-$B$39))))))</f>
        <v>#VALUE!</v>
      </c>
      <c r="BI20" s="808" t="e">
        <f>IF(AND($B$50&gt;0,$B$42&gt;0),$B$42*-SIN(RADIANS(180-$B$48)),IF(AND($B$50=0,$B$42&gt;0),$B$42/2*-SIN(RADIANS(180-$B$48)),IF(AND($B$50&gt;0,$B$42=0),$B$50/2*-SIN(RADIANS(180-$B$56)),IF(AND($B$50=0,$B$42=0,$B$33=0),$B$25/4*-SIN(RADIANS(180-$B$31)),$B$33/4*-SIN(RADIANS(180-$B$39))))))</f>
        <v>#VALUE!</v>
      </c>
      <c r="BJ20" s="807" t="e">
        <f>IF(AND($B$50&gt;0,$B$42&gt;0),$B$50*COS(RADIANS(180-$B$56)),IF(AND($B$50=0,$B$42&gt;0),$B$42/2*COS(RADIANS(180-$B$48)),IF(AND($B$50&gt;0,$B$42=0),$B$50/2*COS(RADIANS(180-$B$56)),IF(AND($B$50=0,$B$42=0,$B$33=0),$B$25/4*COS(RADIANS(180-$B$31)),$B$33/4*COS(RADIANS(180-$B$39))))))</f>
        <v>#VALUE!</v>
      </c>
      <c r="BK20" s="808" t="e">
        <f>IF(AND($B$50&gt;0,$B$42&gt;0),$B$50*-SIN(RADIANS(180-$B$56)),IF(AND($B$50=0,$B$42&gt;0),$B$42/2*-SIN(RADIANS(180-$B$48)),IF(AND($B$50&gt;0,$B$42=0),$B$50/2*-SIN(RADIANS(180-$B$56)),IF(AND($B$50=0,$B$42=0,$B$33=0),$B$25/4*-SIN(RADIANS(180-$B$31)),$B$33/4*-SIN(RADIANS(180-$B$39))))))</f>
        <v>#VALUE!</v>
      </c>
      <c r="BL20" s="807" t="e">
        <f>IF(AND($K$63&gt;0,$E$63&gt;0,OR($O$63&gt;0,$U$63&gt;0)),$E$63*SIN(RADIANS(90-$E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M20" s="809" t="e">
        <f>IF(AND($K$63&gt;0,$E$63&gt;0,OR($O$63&gt;0,$U$63&gt;0)),$E$63*COS(RADIANS(90-$E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N20" s="807" t="e">
        <f>IF(AND($K$63&gt;0,$E$63&gt;0,OR($O$63&gt;0,$U$63&gt;0)),$K$63*SIN(RADIANS(90-$K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O20" s="808" t="e">
        <f>IF(AND($K$63&gt;0,$E$63&gt;0,OR($O$63&gt;0,$U$63&gt;0)),$K$63*COS(RADIANS(90-$K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P20" s="807" t="e">
        <f>IF(AND($U$63&gt;0,$O$63&gt;0),$O$63*SIN(RADIANS(90-$O$62)),IF(AND($U$63=0,$O$63&gt;0),$O$63/2*SIN(RADIANS(90-$O$62)),IF(AND($U$63&gt;0,$O$63=0),$U$63/2*SIN(RADIANS(90-$U$62)),IF(AND($U$63=0,$O$63=0,$K$63=0),$E$63/4*SIN(RADIANS(90-$E$62)),$K$63/4*SIN(RADIANS(90-$K$62))))))</f>
        <v>#VALUE!</v>
      </c>
      <c r="BQ20" s="808" t="e">
        <f>IF(AND($U$63&gt;0,$O$63&gt;0),$O$63*COS(RADIANS(90-$O$62)),IF(AND($U$63=0,$O$63&gt;0),$O$63/2*COS(RADIANS(90-$O$62)),IF(AND($U$63&gt;0,$O$63=0),$U$63/2*COS(RADIANS(90-$U$62)),IF(AND($U$63=0,$O$63=0,$K$63=0),$E$63/4*COS(RADIANS(90-$E$62)),$K$63/4*COS(RADIANS(90-$K$62))))))</f>
        <v>#VALUE!</v>
      </c>
      <c r="BR20" s="807" t="e">
        <f>IF(AND($U$63&gt;0,$O$63&gt;0),$U$63*SIN(RADIANS(90-$U$62)),IF(AND($U$63=0,$O$63&gt;0),$O$63/2*SIN(RADIANS(90-$O$62)),IF(AND($U$63&gt;0,$O$63=0),$U$63/2*SIN(RADIANS(90-$U$62)),IF(AND($U$63=0,$O$63=0,$K$63=0),$E$63/4*SIN(RADIANS(90-$E$62)),$K$63/4*SIN(RADIANS(90-$K$62))))))</f>
        <v>#VALUE!</v>
      </c>
      <c r="BS20" s="808" t="e">
        <f>IF(AND($U$63&gt;0,$O$63&gt;0),$U$63*COS(RADIANS(90-$U$62)),IF(AND($U$63=0,$O$63&gt;0),$O$63/2*COS(RADIANS(90-$O$62)),IF(AND($U$63&gt;0,$O$63=0),$U$63/2*COS(RADIANS(90-$U$62)),IF(AND($U$63=0,$O$63=0,$K$63=0),$E$63/4*COS(RADIANS(90-$E$62)),$K$63/4*COS(RADIANS(90-$K$62))))))</f>
        <v>#VALUE!</v>
      </c>
      <c r="BT20" s="807" t="e">
        <f>IF(AND($W$50&gt;0,$W$42&gt;0),$W$50*COS(RADIANS(180-$W$56)),IF(AND($W$50=0,$W$42&gt;0),$W$42/2*COS(RADIANS(180-$W$48)),IF(AND($W$50&gt;0,$W$42=0),$W$50/2*COS(RADIANS(180-$W$56)),IF(AND($W$50=0,$W$42=0,$W$33=0),$W$25/4*COS(RADIANS(180-$W$31)),$W$33/4*COS(RADIANS(180-$W$39))))))</f>
        <v>#VALUE!</v>
      </c>
      <c r="BU20" s="808" t="e">
        <f>IF(AND($W$50&gt;0,$W$42&gt;0),$W$50*-SIN(RADIANS(180-$W$56)),IF(AND($W$50=0,$W$42&gt;0),$W$42/2*-SIN(RADIANS(180-$W$48)),IF(AND($W$50&gt;0,$W$42=0),$W$50/2*-SIN(RADIANS(180-$W$56)),IF(AND($W$50=0,$W$42=0,$W$33=0),$W$25/4*-SIN(RADIANS(180-$W$31)),$W$33/4*-SIN(RADIANS(180-$W$39))))))</f>
        <v>#VALUE!</v>
      </c>
      <c r="BV20" s="807" t="e">
        <f>IF(AND($W$50&gt;0,$W$42&gt;0),$W$42*COS(RADIANS(180-$W$48)),IF(AND($W$50=0,$W$42&gt;0),$W$42/2*COS(RADIANS(180-$W$48)),IF(AND($W$50&gt;0,$W$42=0),$W$50/2*COS(RADIANS(180-$W$56)),IF(AND($W$50=0,$W$42=0,$W$33=0),$W$25/4*COS(RADIANS(180-$W$31)),$W$33/4*COS(RADIANS(180-$W$39))))))</f>
        <v>#VALUE!</v>
      </c>
      <c r="BW20" s="808" t="e">
        <f>IF(AND($W$50&gt;0,$W$42&gt;0),$W$42*-SIN(RADIANS(180-$W$48)),IF(AND($W$50=0,$W$42&gt;0),$W$42/2*-SIN(RADIANS(180-$W$48)),IF(AND($W$50&gt;0,$W$42=0),$W$50/2*-SIN(RADIANS(180-$W$56)),IF(AND($W$50=0,$W$42=0,$W$33=0),$W$25/4*-SIN(RADIANS(180-$W$31)),$W$33/4*-SIN(RADIANS(180-$W$39))))))</f>
        <v>#VALUE!</v>
      </c>
      <c r="BX20" s="807" t="e">
        <f>IF(AND($W$33&gt;0,$W$25&gt;0,OR($W$42&gt;0,$W$50&gt;0)),$W$33*COS(RADIANS(180-$W$39)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BY20" s="808" t="e">
        <f>IF(AND($W$33&gt;0,$W$25&gt;0,OR($W$42&gt;0,$W$50&gt;0)),$W$33*-SIN(RADIANS(180-$W$39)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  <c r="BZ20" s="807" t="e">
        <f>IF(AND($W$33&gt;0,$W$25&gt;0,OR($W$42&gt;0,$W$50&gt;0)),$W$25*COS(RADIANS(180-$W$31)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CA20" s="808" t="e">
        <f>IF(AND($W$33&gt;0,$W$25&gt;0,OR($W$42&gt;0,$W$50&gt;0)),$W$25*-SIN(RADIANS(180-$W$31)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</row>
    <row r="21" spans="1:96" ht="12" customHeight="1" x14ac:dyDescent="0.25">
      <c r="B21" s="26"/>
      <c r="C21" s="33"/>
      <c r="D21" s="17" t="s">
        <v>130</v>
      </c>
      <c r="E21" s="111"/>
      <c r="F21" s="33"/>
      <c r="G21" s="33"/>
      <c r="H21" s="33"/>
      <c r="I21" s="33"/>
      <c r="J21" s="17" t="s">
        <v>130</v>
      </c>
      <c r="K21" s="114"/>
      <c r="N21" s="17" t="s">
        <v>130</v>
      </c>
      <c r="O21" s="111"/>
      <c r="T21" s="17" t="s">
        <v>130</v>
      </c>
      <c r="U21" s="111"/>
      <c r="AA21" s="5"/>
      <c r="AB21" s="5"/>
      <c r="AC21" s="1"/>
      <c r="AD21" s="1"/>
      <c r="AE21" s="18"/>
      <c r="AF21" s="18"/>
      <c r="AG21" s="18"/>
      <c r="AH21" s="18"/>
      <c r="AI21" s="18"/>
      <c r="AJ21" s="18"/>
      <c r="AK21" s="18"/>
      <c r="AL21" s="18"/>
      <c r="AM21" s="18"/>
      <c r="AN21" s="1"/>
      <c r="AO21" s="1"/>
      <c r="AP21" s="1"/>
      <c r="AR21" s="1"/>
      <c r="AS21" s="1"/>
      <c r="AT21" s="1"/>
      <c r="AU21" s="38" t="s">
        <v>333</v>
      </c>
      <c r="AV21" s="939" t="s">
        <v>334</v>
      </c>
      <c r="AW21" s="832"/>
      <c r="AX21" s="832"/>
      <c r="AY21" s="882"/>
      <c r="AZ21" s="939" t="s">
        <v>335</v>
      </c>
      <c r="BA21" s="832"/>
      <c r="BB21" s="832"/>
      <c r="BC21" s="882"/>
      <c r="BD21" s="939" t="s">
        <v>336</v>
      </c>
      <c r="BE21" s="832"/>
      <c r="BF21" s="832"/>
      <c r="BG21" s="882"/>
      <c r="BH21" s="939" t="s">
        <v>337</v>
      </c>
      <c r="BI21" s="832"/>
      <c r="BJ21" s="832"/>
      <c r="BK21" s="882"/>
      <c r="BL21" s="939" t="s">
        <v>338</v>
      </c>
      <c r="BM21" s="832"/>
      <c r="BN21" s="832"/>
      <c r="BO21" s="882"/>
      <c r="BP21" s="939" t="s">
        <v>339</v>
      </c>
      <c r="BQ21" s="832"/>
      <c r="BR21" s="832"/>
      <c r="BS21" s="882"/>
      <c r="BT21" s="939" t="s">
        <v>340</v>
      </c>
      <c r="BU21" s="832"/>
      <c r="BV21" s="832"/>
      <c r="BW21" s="882"/>
      <c r="BX21" s="939" t="s">
        <v>341</v>
      </c>
      <c r="BY21" s="832"/>
      <c r="BZ21" s="832"/>
      <c r="CA21" s="882"/>
      <c r="CO21" s="1"/>
      <c r="CP21" s="1"/>
    </row>
    <row r="22" spans="1:96" ht="12" customHeight="1" x14ac:dyDescent="0.25">
      <c r="D22" s="17" t="s">
        <v>134</v>
      </c>
      <c r="E22" s="111"/>
      <c r="J22" s="17" t="s">
        <v>134</v>
      </c>
      <c r="K22" s="114"/>
      <c r="N22" s="17" t="s">
        <v>134</v>
      </c>
      <c r="O22" s="111"/>
      <c r="T22" s="17" t="s">
        <v>134</v>
      </c>
      <c r="U22" s="111"/>
      <c r="AA22" s="5"/>
      <c r="AB22" s="5"/>
      <c r="AC22" s="5"/>
      <c r="AD22" s="5"/>
      <c r="AE22" s="5"/>
      <c r="AF22" s="5"/>
      <c r="AG22" s="18"/>
      <c r="AH22" s="18"/>
      <c r="AI22" s="18"/>
      <c r="AJ22" s="18"/>
      <c r="AK22" s="18"/>
      <c r="AL22" s="18"/>
      <c r="AM22" s="18"/>
      <c r="AN22" s="5"/>
      <c r="AO22" s="5"/>
      <c r="AP22" s="5"/>
      <c r="AR22" s="5"/>
      <c r="AS22" s="5"/>
      <c r="AT22" s="5"/>
      <c r="AU22" s="38" t="s">
        <v>330</v>
      </c>
      <c r="AV22" s="37"/>
      <c r="AW22" s="760" t="s">
        <v>113</v>
      </c>
      <c r="AX22" s="761" t="s">
        <v>114</v>
      </c>
      <c r="AY22" s="36"/>
      <c r="AZ22" s="37"/>
      <c r="BA22" s="760" t="s">
        <v>113</v>
      </c>
      <c r="BB22" s="761" t="s">
        <v>114</v>
      </c>
      <c r="BC22" s="36"/>
      <c r="BD22" s="37"/>
      <c r="BE22" s="760" t="s">
        <v>113</v>
      </c>
      <c r="BF22" s="761" t="s">
        <v>114</v>
      </c>
      <c r="BG22" s="36"/>
      <c r="BH22" s="37"/>
      <c r="BI22" s="760" t="s">
        <v>113</v>
      </c>
      <c r="BJ22" s="761" t="s">
        <v>114</v>
      </c>
      <c r="BK22" s="36"/>
      <c r="BL22" s="37"/>
      <c r="BM22" s="760" t="s">
        <v>113</v>
      </c>
      <c r="BN22" s="761" t="s">
        <v>114</v>
      </c>
      <c r="BO22" s="36"/>
      <c r="BP22" s="37"/>
      <c r="BQ22" s="760" t="s">
        <v>113</v>
      </c>
      <c r="BR22" s="761" t="s">
        <v>114</v>
      </c>
      <c r="BS22" s="36"/>
      <c r="BT22" s="37"/>
      <c r="BU22" s="760" t="s">
        <v>113</v>
      </c>
      <c r="BV22" s="761" t="s">
        <v>114</v>
      </c>
      <c r="BW22" s="36"/>
      <c r="BX22" s="37"/>
      <c r="BY22" s="760" t="s">
        <v>113</v>
      </c>
      <c r="BZ22" s="761" t="s">
        <v>114</v>
      </c>
      <c r="CA22" s="36"/>
      <c r="CO22" s="1"/>
      <c r="CP22" s="1"/>
    </row>
    <row r="23" spans="1:96" ht="12" customHeight="1" x14ac:dyDescent="0.25">
      <c r="A23" s="1"/>
      <c r="B23" s="1"/>
      <c r="C23" s="1"/>
      <c r="D23" s="17" t="s">
        <v>140</v>
      </c>
      <c r="E23" s="112">
        <v>2</v>
      </c>
      <c r="F23" s="18"/>
      <c r="G23" s="18"/>
      <c r="H23" s="18"/>
      <c r="I23" s="18"/>
      <c r="J23" s="17" t="s">
        <v>140</v>
      </c>
      <c r="K23" s="112">
        <v>2</v>
      </c>
      <c r="L23" s="1"/>
      <c r="M23" s="1"/>
      <c r="N23" s="17" t="s">
        <v>140</v>
      </c>
      <c r="O23" s="112">
        <v>2</v>
      </c>
      <c r="P23" s="18"/>
      <c r="Q23" s="18"/>
      <c r="R23" s="18"/>
      <c r="S23" s="18"/>
      <c r="T23" s="17" t="s">
        <v>140</v>
      </c>
      <c r="U23" s="112">
        <v>2</v>
      </c>
      <c r="V23" s="1"/>
      <c r="W23" s="1"/>
      <c r="X23" s="1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R23" s="5"/>
      <c r="AS23" s="5"/>
      <c r="AT23" s="5"/>
      <c r="AU23" s="38"/>
      <c r="AV23" s="37"/>
      <c r="AW23" s="811" t="e">
        <f>AV20+AX20</f>
        <v>#VALUE!</v>
      </c>
      <c r="AX23" s="812" t="e">
        <f>AW20+AY20</f>
        <v>#VALUE!</v>
      </c>
      <c r="AY23" s="36"/>
      <c r="AZ23" s="37"/>
      <c r="BA23" s="811" t="e">
        <f>AZ20+BB20</f>
        <v>#VALUE!</v>
      </c>
      <c r="BB23" s="812" t="e">
        <f>BA20+BC20</f>
        <v>#VALUE!</v>
      </c>
      <c r="BC23" s="36"/>
      <c r="BD23" s="37"/>
      <c r="BE23" s="811" t="e">
        <f>BD20+BF20</f>
        <v>#VALUE!</v>
      </c>
      <c r="BF23" s="812" t="e">
        <f>BE20+BG20</f>
        <v>#VALUE!</v>
      </c>
      <c r="BG23" s="36"/>
      <c r="BH23" s="37"/>
      <c r="BI23" s="811" t="e">
        <f>BH20+BJ20</f>
        <v>#VALUE!</v>
      </c>
      <c r="BJ23" s="812" t="e">
        <f>BI20+BK20</f>
        <v>#VALUE!</v>
      </c>
      <c r="BK23" s="36"/>
      <c r="BL23" s="37"/>
      <c r="BM23" s="811" t="e">
        <f>BL20+BN20</f>
        <v>#VALUE!</v>
      </c>
      <c r="BN23" s="812" t="e">
        <f>BM20+BO20</f>
        <v>#VALUE!</v>
      </c>
      <c r="BO23" s="36"/>
      <c r="BP23" s="37"/>
      <c r="BQ23" s="811" t="e">
        <f>BP20+BR20</f>
        <v>#VALUE!</v>
      </c>
      <c r="BR23" s="812" t="e">
        <f>BQ20+BS20</f>
        <v>#VALUE!</v>
      </c>
      <c r="BS23" s="36"/>
      <c r="BT23" s="37"/>
      <c r="BU23" s="811" t="e">
        <f>BT20+BV20</f>
        <v>#VALUE!</v>
      </c>
      <c r="BV23" s="812" t="e">
        <f>BU20+BW20</f>
        <v>#VALUE!</v>
      </c>
      <c r="BW23" s="36"/>
      <c r="BX23" s="37"/>
      <c r="BY23" s="811" t="e">
        <f>BX20+BZ20</f>
        <v>#VALUE!</v>
      </c>
      <c r="BZ23" s="812" t="e">
        <f>BY20+CA20</f>
        <v>#VALUE!</v>
      </c>
      <c r="CA23" s="36"/>
      <c r="CM23" s="1"/>
      <c r="CN23" s="1"/>
    </row>
    <row r="24" spans="1:96" ht="12" customHeight="1" thickBot="1" x14ac:dyDescent="0.3">
      <c r="B24" s="945" t="str">
        <f>CONCATENATE("NW SC of ",$L$39)</f>
        <v>NW SC of 4</v>
      </c>
      <c r="C24" s="904"/>
      <c r="D24" s="17" t="s">
        <v>144</v>
      </c>
      <c r="E24" s="34" t="e">
        <f>IF($L$39='SHL Section'!$L$38,IF('SHL Section'!$E$23="","",'SHL Section'!$E$23),IF($L$39='BHL Section 1'!$L$38,IF('BHL Section 1'!$E$23="","",'BHL Section 1'!$E$23),IF($L$39='BHL Section 2'!$L$38,IF('BHL Section 2'!$E$23="","",'BHL Section 2'!$E$23),IF($L$39='BHL Section 3'!$L$38,IF('BHL Section 3'!$E$23="","",'BHL Section 3'!$E$23),IF(E20="","",IF(OR(E23=1,E23=4),180-(E20+E21/60+E22/3600),(E20+E21/60+E22/3600)))))))</f>
        <v>#VALUE!</v>
      </c>
      <c r="J24" s="17" t="s">
        <v>144</v>
      </c>
      <c r="K24" s="34" t="e">
        <f>IF($L$39='SHL Section'!$L$38,IF('SHL Section'!$K$23="","",'SHL Section'!$K$23),IF($L$39='BHL Section 1'!$L$38,IF('BHL Section 1'!$K$23="","",'BHL Section 1'!$K$23),IF($L$39='BHL Section 2'!$L$38,IF('BHL Section 2'!$K$23="","",'BHL Section 2'!$K$23),IF($L$39='BHL Section 3'!$L$38,IF('BHL Section 3'!$K$23="","",'BHL Section 3'!$K$23),IF(K20="","",IF(OR(K23=1,K23=4),180-(K20+K21/60+K22/3600),(K20+K21/60+K22/3600)))))))</f>
        <v>#VALUE!</v>
      </c>
      <c r="L24" s="945" t="str">
        <f>CONCATENATE("N QC of ",$L$39)</f>
        <v>N QC of 4</v>
      </c>
      <c r="M24" s="904"/>
      <c r="N24" s="17" t="s">
        <v>144</v>
      </c>
      <c r="O24" s="34" t="e">
        <f>IF($L$39='SHL Section'!$L$38,IF('SHL Section'!$O$23="","",'SHL Section'!$O$23),IF($L$39='BHL Section 1'!$L$38,IF('BHL Section 1'!$O$23="","",'BHL Section 1'!$O$23),IF($L$39='BHL Section 2'!$L$38,IF('BHL Section 2'!$O$23="","",'BHL Section 2'!$O$23),IF($L$39='BHL Section 3'!$L$38,IF('BHL Section 3'!$O$23="","",'BHL Section 3'!$O$23),IF(O20="","",IF(OR(O23=1,O23=4),180-(O20+O21/60+O22/3600),(O20+O21/60+O22/3600)))))))</f>
        <v>#VALUE!</v>
      </c>
      <c r="T24" s="17" t="s">
        <v>144</v>
      </c>
      <c r="U24" s="34" t="e">
        <f>IF($L$39='SHL Section'!$L$38,IF('SHL Section'!$U$23="","",'SHL Section'!$U$23),IF($L$39='BHL Section 1'!$L$38,IF('BHL Section 1'!$U$23="","",'BHL Section 1'!$U$23),IF($L$39='BHL Section 2'!$L$38,IF('BHL Section 2'!$U$23="","",'BHL Section 2'!$U$23),IF($L$39='BHL Section 3'!$L$38,IF('BHL Section 3'!$U$23="","",'BHL Section 3'!$U$23),IF(U20="","",IF(OR(U23=1,U23=4),180-(U20+U21/60+U22/3600),(U20+U21/60+U22/3600)))))))</f>
        <v>#VALUE!</v>
      </c>
      <c r="V24" s="954" t="str">
        <f>CONCATENATE("NE SC of ",$L$39)</f>
        <v>NE SC of 4</v>
      </c>
      <c r="W24" s="904"/>
      <c r="Y24" s="28"/>
      <c r="Z24" s="28"/>
      <c r="AA24" s="5"/>
      <c r="AB24" s="5"/>
      <c r="AC24" s="943" t="s">
        <v>304</v>
      </c>
      <c r="AD24" s="832"/>
      <c r="AE24" s="832"/>
      <c r="AF24" s="832"/>
      <c r="AG24" s="832"/>
      <c r="AH24" s="832"/>
      <c r="AI24" s="832"/>
      <c r="AJ24" s="832"/>
      <c r="AK24" s="832"/>
      <c r="AL24" s="832"/>
      <c r="AM24" s="832"/>
      <c r="AN24" s="832"/>
      <c r="AO24" s="832"/>
      <c r="AP24" s="832"/>
      <c r="AQ24" s="832"/>
      <c r="AR24" s="832"/>
      <c r="AS24" s="832"/>
      <c r="AT24" s="832"/>
      <c r="AU24" s="38"/>
      <c r="AV24" s="37"/>
      <c r="BD24" s="37"/>
      <c r="BL24" s="37"/>
      <c r="BT24" s="37"/>
      <c r="BZ24" s="19"/>
      <c r="CA24" s="19"/>
      <c r="CB24" s="42"/>
      <c r="CM24" s="1"/>
      <c r="CN24" s="1"/>
      <c r="CQ24" s="1"/>
      <c r="CR24" s="1"/>
    </row>
    <row r="25" spans="1:96" ht="12" customHeight="1" x14ac:dyDescent="0.25">
      <c r="B25" s="44" t="e">
        <f>IF($L$39='SHL Section'!$L$38,'SHL Section'!$B$25,IF($L$39='BHL Section 1'!$L$38,'BHL Section 1'!$B$24,IF($L$39='BHL Section 2'!$L$38,'BHL Section 2'!$B$24,IF($L$39='BHL Section 3'!$L$38,'BHL Section 3'!$B$24,$B$26))))</f>
        <v>#VALUE!</v>
      </c>
      <c r="C25" s="3"/>
      <c r="D25" s="35"/>
      <c r="E25" s="35"/>
      <c r="F25" s="35"/>
      <c r="G25" s="35"/>
      <c r="H25" s="35"/>
      <c r="I25" s="35"/>
      <c r="J25" s="35"/>
      <c r="K25" s="35"/>
      <c r="L25" s="11"/>
      <c r="M25" s="12"/>
      <c r="N25" s="35"/>
      <c r="O25" s="35"/>
      <c r="P25" s="35"/>
      <c r="Q25" s="35"/>
      <c r="R25" s="35"/>
      <c r="S25" s="35"/>
      <c r="T25" s="35"/>
      <c r="U25" s="35"/>
      <c r="V25" s="21"/>
      <c r="W25" s="202" t="e">
        <f>IF($L$39='SHL Section'!$L$38,'SHL Section'!$W$25,IF($L$39='BHL Section 1'!$L$38,'BHL Section 1'!$W$24,IF($L$39='BHL Section 2'!$L$38,'BHL Section 2'!$W$24,IF($L$39='BHL Section 3'!$L$38,'BHL Section 3'!$W$24,$W$26))))</f>
        <v>#VALUE!</v>
      </c>
      <c r="AA25" s="5"/>
      <c r="AB25" s="5"/>
      <c r="AC25" s="39"/>
      <c r="AD25" s="18"/>
      <c r="AE25" s="944" t="s">
        <v>322</v>
      </c>
      <c r="AF25" s="911"/>
      <c r="AG25" s="944" t="s">
        <v>323</v>
      </c>
      <c r="AH25" s="911"/>
      <c r="AI25" s="944" t="s">
        <v>324</v>
      </c>
      <c r="AJ25" s="911"/>
      <c r="AK25" s="944" t="s">
        <v>325</v>
      </c>
      <c r="AL25" s="911"/>
      <c r="AM25" s="944" t="s">
        <v>326</v>
      </c>
      <c r="AN25" s="911"/>
      <c r="AO25" s="944" t="s">
        <v>327</v>
      </c>
      <c r="AP25" s="911"/>
      <c r="AQ25" s="944" t="s">
        <v>328</v>
      </c>
      <c r="AR25" s="911"/>
      <c r="AS25" s="944" t="s">
        <v>329</v>
      </c>
      <c r="AT25" s="911"/>
      <c r="AU25" s="38" t="s">
        <v>72</v>
      </c>
      <c r="AV25" s="939" t="s">
        <v>183</v>
      </c>
      <c r="AW25" s="832"/>
      <c r="AX25" s="832"/>
      <c r="AY25" s="832"/>
      <c r="AZ25" s="832"/>
      <c r="BA25" s="832"/>
      <c r="BB25" s="832"/>
      <c r="BC25" s="882"/>
      <c r="BD25" s="939" t="s">
        <v>204</v>
      </c>
      <c r="BE25" s="832"/>
      <c r="BF25" s="832"/>
      <c r="BG25" s="832"/>
      <c r="BH25" s="832"/>
      <c r="BI25" s="832"/>
      <c r="BJ25" s="832"/>
      <c r="BK25" s="882"/>
      <c r="BL25" s="939" t="s">
        <v>188</v>
      </c>
      <c r="BM25" s="832"/>
      <c r="BN25" s="832"/>
      <c r="BO25" s="832"/>
      <c r="BP25" s="832"/>
      <c r="BQ25" s="832"/>
      <c r="BR25" s="832"/>
      <c r="BS25" s="882"/>
      <c r="BT25" s="939" t="s">
        <v>197</v>
      </c>
      <c r="BU25" s="832"/>
      <c r="BV25" s="832"/>
      <c r="BW25" s="832"/>
      <c r="BX25" s="832"/>
      <c r="BY25" s="832"/>
      <c r="BZ25" s="832"/>
      <c r="CA25" s="882"/>
      <c r="CQ25" s="1"/>
      <c r="CR25" s="1"/>
    </row>
    <row r="26" spans="1:96" ht="12" customHeight="1" x14ac:dyDescent="0.25">
      <c r="A26" s="17" t="s">
        <v>118</v>
      </c>
      <c r="B26" s="110"/>
      <c r="C26" s="4"/>
      <c r="L26" s="13"/>
      <c r="M26" s="14"/>
      <c r="V26" s="22"/>
      <c r="W26" s="162"/>
      <c r="X26" s="25" t="s">
        <v>118</v>
      </c>
      <c r="AA26" s="5"/>
      <c r="AB26" s="5"/>
      <c r="AC26" s="756" t="s">
        <v>331</v>
      </c>
      <c r="AD26" s="757" t="s">
        <v>332</v>
      </c>
      <c r="AE26" s="30" t="s">
        <v>113</v>
      </c>
      <c r="AF26" s="30" t="s">
        <v>114</v>
      </c>
      <c r="AG26" s="30" t="s">
        <v>113</v>
      </c>
      <c r="AH26" s="30" t="s">
        <v>114</v>
      </c>
      <c r="AI26" s="30" t="s">
        <v>113</v>
      </c>
      <c r="AJ26" s="30" t="s">
        <v>114</v>
      </c>
      <c r="AK26" s="30" t="s">
        <v>113</v>
      </c>
      <c r="AL26" s="30" t="s">
        <v>114</v>
      </c>
      <c r="AM26" s="30" t="s">
        <v>113</v>
      </c>
      <c r="AN26" s="30" t="s">
        <v>114</v>
      </c>
      <c r="AO26" s="30" t="s">
        <v>113</v>
      </c>
      <c r="AP26" s="30" t="s">
        <v>114</v>
      </c>
      <c r="AQ26" s="30" t="s">
        <v>113</v>
      </c>
      <c r="AR26" s="30" t="s">
        <v>114</v>
      </c>
      <c r="AS26" s="30" t="s">
        <v>113</v>
      </c>
      <c r="AT26" s="30" t="s">
        <v>114</v>
      </c>
      <c r="AU26" s="38" t="s">
        <v>330</v>
      </c>
      <c r="AV26" s="39"/>
      <c r="AW26" s="40"/>
      <c r="AX26" s="40"/>
      <c r="AY26" s="760" t="s">
        <v>113</v>
      </c>
      <c r="AZ26" s="761" t="s">
        <v>114</v>
      </c>
      <c r="BA26" s="40"/>
      <c r="BB26" s="40"/>
      <c r="BC26" s="41"/>
      <c r="BD26" s="39"/>
      <c r="BE26" s="40"/>
      <c r="BF26" s="40"/>
      <c r="BG26" s="760" t="s">
        <v>113</v>
      </c>
      <c r="BH26" s="761" t="s">
        <v>114</v>
      </c>
      <c r="BI26" s="40"/>
      <c r="BJ26" s="40"/>
      <c r="BK26" s="41"/>
      <c r="BL26" s="39"/>
      <c r="BM26" s="40"/>
      <c r="BN26" s="40"/>
      <c r="BO26" s="760" t="s">
        <v>113</v>
      </c>
      <c r="BP26" s="761" t="s">
        <v>114</v>
      </c>
      <c r="BQ26" s="40"/>
      <c r="BR26" s="40"/>
      <c r="BS26" s="41"/>
      <c r="BT26" s="39"/>
      <c r="BU26" s="40"/>
      <c r="BV26" s="40"/>
      <c r="BW26" s="760" t="s">
        <v>113</v>
      </c>
      <c r="BX26" s="761" t="s">
        <v>114</v>
      </c>
      <c r="BY26" s="40"/>
      <c r="BZ26" s="40"/>
      <c r="CA26" s="41"/>
    </row>
    <row r="27" spans="1:96" ht="12" customHeight="1" x14ac:dyDescent="0.25">
      <c r="A27" s="17" t="s">
        <v>124</v>
      </c>
      <c r="B27" s="111"/>
      <c r="C27" s="4"/>
      <c r="G27" s="831" t="s">
        <v>343</v>
      </c>
      <c r="H27" s="832"/>
      <c r="I27" s="149"/>
      <c r="L27" s="13"/>
      <c r="M27" s="14"/>
      <c r="Q27" s="831" t="s">
        <v>344</v>
      </c>
      <c r="R27" s="832"/>
      <c r="V27" s="22"/>
      <c r="W27" s="147"/>
      <c r="X27" s="25" t="s">
        <v>124</v>
      </c>
      <c r="AA27" s="5"/>
      <c r="AB27" s="5"/>
      <c r="AC27" s="52">
        <v>1</v>
      </c>
      <c r="AD27" s="53" t="s">
        <v>12</v>
      </c>
      <c r="AE27" s="47" t="str">
        <f>IF($L$39=$R$8,IF(AND($Y$8&lt;0,$AA$8&lt;0,-$Y$8&lt;$BY$23,-$AA$8&lt;$AX$23),$Y$8,""),"")</f>
        <v/>
      </c>
      <c r="AF27" s="47" t="str">
        <f>IF($L$39=$R$8,IF(AND($Y$8&lt;0,$AA$8&lt;0,-$Y$8&lt;$BY$23,-$AA$8&lt;$AX$23),$AA$8,""),"")</f>
        <v/>
      </c>
      <c r="AG27" s="32" t="str">
        <f>IF($AE$27="","",$AY$27+$AE$27)</f>
        <v/>
      </c>
      <c r="AH27" s="32" t="str">
        <f>IF($AF$27="","",$AZ$27+$AF$27)</f>
        <v/>
      </c>
      <c r="AI27" s="32" t="str">
        <f>IF($AE$27="","",$BG$27+$AY$27+$AE$27)</f>
        <v/>
      </c>
      <c r="AJ27" s="32" t="str">
        <f>IF($AF$27="","",$AZ$27+$BH$27+$AF$27)</f>
        <v/>
      </c>
      <c r="AK27" s="32" t="str">
        <f>IF($AE$27="","",$BW$27+$AE$27)</f>
        <v/>
      </c>
      <c r="AL27" s="32" t="str">
        <f>IF($AF$27="","",$AF$27+$BX$27)</f>
        <v/>
      </c>
      <c r="AM27" s="32" t="str">
        <f>IF($AE$27="","",$AW$23+$AE$27)</f>
        <v/>
      </c>
      <c r="AN27" s="32" t="str">
        <f>IF($AF$27="","",$AX$23+$AF$27)</f>
        <v/>
      </c>
      <c r="AO27" s="32" t="str">
        <f>IF($AE$27="","",$AY$27+$AE$27+$BE$23)</f>
        <v/>
      </c>
      <c r="AP27" s="32" t="str">
        <f>IF($AF$27="","",$AZ$27+$AF$27+$BF$23)</f>
        <v/>
      </c>
      <c r="AQ27" s="32" t="str">
        <f>IF($AE$27="","",$BW$27+$AE$27+$BQ$23)</f>
        <v/>
      </c>
      <c r="AR27" s="32" t="str">
        <f>IF($AF$27="","",$AF$27+$BX$27+$BR$23)</f>
        <v/>
      </c>
      <c r="AS27" s="32" t="str">
        <f>IF($AE$27="","",$BY$23+$AE$27)</f>
        <v/>
      </c>
      <c r="AT27" s="32" t="str">
        <f>IF($AF$27="","",$AF$27+$BZ$23)</f>
        <v/>
      </c>
      <c r="AU27" s="38"/>
      <c r="AV27" s="37"/>
      <c r="AY27" s="811" t="e">
        <f>AW23+BA23</f>
        <v>#VALUE!</v>
      </c>
      <c r="AZ27" s="812" t="e">
        <f>AX23+BB23</f>
        <v>#VALUE!</v>
      </c>
      <c r="BC27" s="36"/>
      <c r="BD27" s="37"/>
      <c r="BG27" s="811" t="e">
        <f>BE23+BI23</f>
        <v>#VALUE!</v>
      </c>
      <c r="BH27" s="812" t="e">
        <f>BF23+BJ23</f>
        <v>#VALUE!</v>
      </c>
      <c r="BK27" s="36"/>
      <c r="BL27" s="37"/>
      <c r="BO27" s="811" t="e">
        <f>BM23+BQ23</f>
        <v>#VALUE!</v>
      </c>
      <c r="BP27" s="812" t="e">
        <f>BN23+BR23</f>
        <v>#VALUE!</v>
      </c>
      <c r="BS27" s="36"/>
      <c r="BT27" s="37"/>
      <c r="BW27" s="811" t="e">
        <f>BU23+BY23</f>
        <v>#VALUE!</v>
      </c>
      <c r="BX27" s="812" t="e">
        <f>BV23+BZ23</f>
        <v>#VALUE!</v>
      </c>
      <c r="BZ27" s="19"/>
      <c r="CA27" s="36"/>
    </row>
    <row r="28" spans="1:96" ht="12" customHeight="1" x14ac:dyDescent="0.25">
      <c r="A28" s="17" t="s">
        <v>130</v>
      </c>
      <c r="B28" s="111"/>
      <c r="C28" s="4"/>
      <c r="G28" s="99" t="str">
        <f>IF(ISNUMBER($AG$67),$C$9,"")</f>
        <v/>
      </c>
      <c r="H28" s="150" t="str">
        <f>IF(AND(G29="",G30=""),"",IF($AG$67=1,"NE/NW",IF($AG$67=2,"NW/NW",IF($AG$67=3,"SW/NW",IF($AG$67=4,"SE/NW","")))))</f>
        <v/>
      </c>
      <c r="L28" s="13"/>
      <c r="M28" s="14"/>
      <c r="Q28" s="98" t="str">
        <f>IF(ISNUMBER($AE$67),$C$9,"")</f>
        <v/>
      </c>
      <c r="R28" s="150" t="str">
        <f>IF(AND(Q29="",Q30=""),"",IF($AE$67=1,"NE/NE",IF($AE$67=2,"NW/NE",IF($AE$67=3,"SW/NE",IF($AE$67=4,"SE/NE","")))))</f>
        <v/>
      </c>
      <c r="V28" s="22"/>
      <c r="W28" s="147"/>
      <c r="X28" s="25" t="s">
        <v>130</v>
      </c>
      <c r="AA28" s="5"/>
      <c r="AB28" s="5"/>
      <c r="AC28" s="52">
        <v>2</v>
      </c>
      <c r="AD28" s="53" t="s">
        <v>12</v>
      </c>
      <c r="AE28" s="32" t="str">
        <f>IF($AG$28="","",$AG$28-$AY$27)</f>
        <v/>
      </c>
      <c r="AF28" s="32" t="str">
        <f>IF($AH$28="","",$AH$28-$AZ$27)</f>
        <v/>
      </c>
      <c r="AG28" s="47" t="str">
        <f>IF($L$39=$R$8,IF(AND($Y$8&lt;0,$AA$8&gt;0,-$Y$8&lt;$BE$23,$AA$8&lt;$BB$23),$Y$8,""),"")</f>
        <v/>
      </c>
      <c r="AH28" s="47" t="str">
        <f>IF($L$39=$R$8,IF(AND($Y$8&lt;0,$AA$8&gt;0,-$Y$8&lt;$BE$23,$AA$8&lt;$BB$23),$AA$8,""),"")</f>
        <v/>
      </c>
      <c r="AI28" s="32" t="str">
        <f>IF($AG$28="","",$BG$27+$AG$28)</f>
        <v/>
      </c>
      <c r="AJ28" s="32" t="str">
        <f>IF($AH$28="","",$AH$28+$BH$27)</f>
        <v/>
      </c>
      <c r="AK28" s="32" t="str">
        <f>IF($AG$28="","",$AG$28-$AY$27+$BW$27)</f>
        <v/>
      </c>
      <c r="AL28" s="32" t="str">
        <f>IF($AH$28="","",$AH$28-$AZ$27+$BX$27)</f>
        <v/>
      </c>
      <c r="AM28" s="32" t="str">
        <f>IF($AG$28="","",$AG$28-$BA$23)</f>
        <v/>
      </c>
      <c r="AN28" s="32" t="str">
        <f>IF($AH$28="","",AH$28-$BB$23)</f>
        <v/>
      </c>
      <c r="AO28" s="32" t="str">
        <f>IF($AG$28="","",$BE$23+$AG$28)</f>
        <v/>
      </c>
      <c r="AP28" s="32" t="str">
        <f>IF($AH$28="","",$AH$28+$BF$23)</f>
        <v/>
      </c>
      <c r="AQ28" s="32" t="str">
        <f>IF($AG$28="","",$BG$27+$AG$28-$BM$23)</f>
        <v/>
      </c>
      <c r="AR28" s="32" t="str">
        <f>IF($AH$28="","",$AH$28+$BH$27-$BN$23)</f>
        <v/>
      </c>
      <c r="AS28" s="32" t="str">
        <f>IF($AG$28="","",$AG$28-$AY$27+$BY$23)</f>
        <v/>
      </c>
      <c r="AT28" s="32" t="str">
        <f>IF($AH$28="","",$AH$28-$AZ$27+$BZ$23)</f>
        <v/>
      </c>
      <c r="AU28" s="38"/>
      <c r="BZ28" s="19"/>
      <c r="CA28" s="19"/>
    </row>
    <row r="29" spans="1:96" ht="12" customHeight="1" x14ac:dyDescent="0.25">
      <c r="A29" s="17" t="s">
        <v>134</v>
      </c>
      <c r="B29" s="111"/>
      <c r="C29" s="4"/>
      <c r="G29" s="151" t="str">
        <f>IF(ISNUMBER($AG$67),$M$9,"")</f>
        <v/>
      </c>
      <c r="H29" s="152" t="str">
        <f>IF(ISNUMBER($AG$67),"FNL","")</f>
        <v/>
      </c>
      <c r="J29" s="19"/>
      <c r="K29" s="19"/>
      <c r="L29" s="13"/>
      <c r="M29" s="14"/>
      <c r="Q29" s="151" t="str">
        <f>IF(ISNUMBER($AE$67),$M$9,"")</f>
        <v/>
      </c>
      <c r="R29" s="152" t="str">
        <f>IF(ISNUMBER($AE$67),"FNL","")</f>
        <v/>
      </c>
      <c r="V29" s="22"/>
      <c r="W29" s="147"/>
      <c r="X29" s="25" t="s">
        <v>134</v>
      </c>
      <c r="AA29" s="5"/>
      <c r="AB29" s="5"/>
      <c r="AC29" s="52">
        <v>3</v>
      </c>
      <c r="AD29" s="53" t="s">
        <v>12</v>
      </c>
      <c r="AE29" s="32" t="str">
        <f>IF($AI$29="","",$AI$29-$BG$27-$AY$27)</f>
        <v/>
      </c>
      <c r="AF29" s="79" t="str">
        <f>IF($AJ$29="","",$AJ$29-$BH$27-$AZ$27)</f>
        <v/>
      </c>
      <c r="AG29" s="32" t="str">
        <f>IF($AI$29="","",$AI$29-$BG$27)</f>
        <v/>
      </c>
      <c r="AH29" s="32" t="str">
        <f>IF($AJ$29="","",$AJ$29-$BH$27)</f>
        <v/>
      </c>
      <c r="AI29" s="47" t="str">
        <f>IF($L$39=$R$8,IF(AND($Y$8&gt;0,$AA$8&gt;0,$Y$8&lt;$BI$23,$AA$8&lt;$BN$23),$Y$8,""),"")</f>
        <v/>
      </c>
      <c r="AJ29" s="47" t="str">
        <f>IF($L$39=$R$8,IF(AND($Y$8&gt;0,$AA$8&gt;0,$Y$8&lt;$BI$23,$AA$8&lt;$BN$23),$AA$8,""),"")</f>
        <v/>
      </c>
      <c r="AK29" s="32" t="str">
        <f>IF($AI$29="","",$AI$29-$BO$27)</f>
        <v/>
      </c>
      <c r="AL29" s="32" t="str">
        <f>IF($AJ$29="","",$AJ$29-$BP$27)</f>
        <v/>
      </c>
      <c r="AM29" s="32" t="str">
        <f>IF($AI$29="","",$AI$29-$BG$27-$BA$27)</f>
        <v/>
      </c>
      <c r="AN29" s="32" t="str">
        <f>IF($AJ$29="","",$AJ$29-$BH$27-$BB$27)</f>
        <v/>
      </c>
      <c r="AO29" s="32" t="str">
        <f>IF($AI$29="","",$AI$29-$BI$27)</f>
        <v/>
      </c>
      <c r="AP29" s="32" t="str">
        <f>IF($AJ$29="","",$AJ$29-$BJ$27)</f>
        <v/>
      </c>
      <c r="AQ29" s="32" t="str">
        <f>IF($AI$29="","",$AI$29-$BM$27)</f>
        <v/>
      </c>
      <c r="AR29" s="32" t="str">
        <f>IF($AJ$29="","",$AJ$29-$BN$27)</f>
        <v/>
      </c>
      <c r="AS29" s="32" t="str">
        <f>IF($AI$29="","",$AI$29-$BO$27-$BU$27)</f>
        <v/>
      </c>
      <c r="AT29" s="32" t="str">
        <f>IF($AJ$29="","",$AJ$29-$BP$27-$BV$23)</f>
        <v/>
      </c>
      <c r="AU29" s="38" t="s">
        <v>345</v>
      </c>
      <c r="AV29" s="143" t="e">
        <f>$AW$20/($AV$20^2+$AW$20^2)^0.5</f>
        <v>#VALUE!</v>
      </c>
      <c r="AW29" s="143"/>
      <c r="AX29" s="143" t="e">
        <f>$AY$20/($AX$20^2+$AY$20^2)^0.5</f>
        <v>#VALUE!</v>
      </c>
      <c r="AY29" s="809"/>
      <c r="AZ29" s="143" t="e">
        <f>$BA$20/($AZ$20^2+$BA$20^2)^0.5</f>
        <v>#VALUE!</v>
      </c>
      <c r="BA29" s="143"/>
      <c r="BB29" s="143" t="e">
        <f>$BC$20/($BB$20^2+$BC$20^2)^0.5</f>
        <v>#VALUE!</v>
      </c>
      <c r="BC29" s="809"/>
      <c r="BD29" s="143" t="e">
        <f>$BD$20/($BD$20^2+$BE$20^2)^0.5</f>
        <v>#VALUE!</v>
      </c>
      <c r="BE29" s="143"/>
      <c r="BF29" s="143" t="e">
        <f>$BF$20/($BF$20^2+$BG$20^2)^0.5</f>
        <v>#VALUE!</v>
      </c>
      <c r="BG29" s="809"/>
      <c r="BH29" s="143" t="e">
        <f>$BH$20/($BH$20^2+$BI$20^2)^0.5</f>
        <v>#VALUE!</v>
      </c>
      <c r="BI29" s="143"/>
      <c r="BJ29" s="143" t="e">
        <f>$BJ$20/($BJ$20^2+$BK$20^2)^0.5</f>
        <v>#VALUE!</v>
      </c>
      <c r="BK29" s="809"/>
      <c r="BL29" s="143" t="e">
        <f>$BM$20/($BL$20^2+$BM$20^2)^0.5</f>
        <v>#VALUE!</v>
      </c>
      <c r="BM29" s="143"/>
      <c r="BN29" s="143" t="e">
        <f>$BO$20/($BN$20^2+$BO$20^2)^0.5</f>
        <v>#VALUE!</v>
      </c>
      <c r="BO29" s="809"/>
      <c r="BP29" s="143" t="e">
        <f>$BQ$20/($BP$20^2+$BQ$20^2)^0.5</f>
        <v>#VALUE!</v>
      </c>
      <c r="BQ29" s="143"/>
      <c r="BR29" s="143" t="e">
        <f>$BS$20/($BR$20^2+$BS$20^2)^0.5</f>
        <v>#VALUE!</v>
      </c>
      <c r="BS29" s="809"/>
      <c r="BT29" s="143" t="e">
        <f>$BT$20/($BT$20^2+$BU$20^2)^0.5</f>
        <v>#VALUE!</v>
      </c>
      <c r="BU29" s="143"/>
      <c r="BV29" s="143" t="e">
        <f>$BV$20/($BV$20^2+$BW$20^2)^0.5</f>
        <v>#VALUE!</v>
      </c>
      <c r="BW29" s="809"/>
      <c r="BX29" s="143" t="e">
        <f>$BX$20/($BX$20^2+$BY$20^2)^0.5</f>
        <v>#VALUE!</v>
      </c>
      <c r="BY29" s="143"/>
      <c r="BZ29" s="143" t="e">
        <f>$BZ$20/($BZ$20^2+$CA$20^2)^0.5</f>
        <v>#VALUE!</v>
      </c>
      <c r="CA29" s="809"/>
    </row>
    <row r="30" spans="1:96" ht="12" customHeight="1" x14ac:dyDescent="0.25">
      <c r="A30" s="17" t="s">
        <v>140</v>
      </c>
      <c r="B30" s="112">
        <v>1</v>
      </c>
      <c r="C30" s="4"/>
      <c r="G30" s="91" t="str">
        <f>IF(ISNUMBER($AG$67),$O$9,"")</f>
        <v/>
      </c>
      <c r="H30" s="90" t="str">
        <f>IF(ISNUMBER($AG$67),"FWL","")</f>
        <v/>
      </c>
      <c r="J30" s="19"/>
      <c r="K30" s="19"/>
      <c r="L30" s="13"/>
      <c r="M30" s="14"/>
      <c r="Q30" s="91" t="str">
        <f>IF(ISNUMBER($AE$67),$O$9,"")</f>
        <v/>
      </c>
      <c r="R30" s="90" t="str">
        <f>IF(ISNUMBER($AE$67),"FEL","")</f>
        <v/>
      </c>
      <c r="V30" s="22"/>
      <c r="W30" s="112">
        <v>4</v>
      </c>
      <c r="X30" s="25" t="s">
        <v>140</v>
      </c>
      <c r="AA30" s="5"/>
      <c r="AB30" s="5"/>
      <c r="AC30" s="756">
        <v>4</v>
      </c>
      <c r="AD30" s="758" t="s">
        <v>12</v>
      </c>
      <c r="AE30" s="45" t="str">
        <f>IF($AK$30="","",$AK$30-$BW$27)</f>
        <v/>
      </c>
      <c r="AF30" s="45" t="str">
        <f>IF($AL$30="","",$AL$30-$BX$27)</f>
        <v/>
      </c>
      <c r="AG30" s="45" t="str">
        <f>IF($AK$30="","",$AK$30+$BO$27-$BG$27)</f>
        <v/>
      </c>
      <c r="AH30" s="45" t="str">
        <f>IF($AL$30="","",$AL$30+$BP$27+$BH$27)</f>
        <v/>
      </c>
      <c r="AI30" s="45" t="str">
        <f>IF($AK$30="","",$AK$30+$BO$27)</f>
        <v/>
      </c>
      <c r="AJ30" s="45" t="str">
        <f>IF($AL$30="","",$AL$30+$BP$27)</f>
        <v/>
      </c>
      <c r="AK30" s="50" t="str">
        <f>IF($L$39=$R$8,IF(AND($Y$8&gt;0,$AA$8&lt;0,$Y$8&lt;$BU$23,-$AA$8&lt;$BR$23),$Y$8,""),"")</f>
        <v/>
      </c>
      <c r="AL30" s="50" t="str">
        <f>IF($L$39=$R$8,IF(AND($Y$8&gt;0,$AA$8&lt;0,$Y$8&lt;$BU$23,-$AA$8&lt;$BR$23),$AA$8,""),"")</f>
        <v/>
      </c>
      <c r="AM30" s="45" t="str">
        <f>IF($AK$30="","",$AK$30-$BW$27+$AW$23)</f>
        <v/>
      </c>
      <c r="AN30" s="45" t="str">
        <f>IF($AL$30="","",$AL$30-$BX$27+$AX$23)</f>
        <v/>
      </c>
      <c r="AO30" s="45" t="str">
        <f>IF($AK$30="","",$AK$30+$BO$27-$BI$23)</f>
        <v/>
      </c>
      <c r="AP30" s="45" t="str">
        <f>IF($AL$30="","",$AL$30+$BP$27-$BJ$23)</f>
        <v/>
      </c>
      <c r="AQ30" s="45" t="str">
        <f>IF($AK$30="","",$AK$30+$BQ$23)</f>
        <v/>
      </c>
      <c r="AR30" s="45" t="str">
        <f>IF($AL$30="","",$AL$30+$BR$23)</f>
        <v/>
      </c>
      <c r="AS30" s="45" t="str">
        <f>IF($AK$30="","",$AK$30-$BU$23)</f>
        <v/>
      </c>
      <c r="AT30" s="45" t="str">
        <f>IF($AL$30="","",$AL$30-$BV$23)</f>
        <v/>
      </c>
      <c r="AU30" s="38"/>
      <c r="AV30" s="809"/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</row>
    <row r="31" spans="1:96" ht="12" customHeight="1" x14ac:dyDescent="0.25">
      <c r="A31" s="17" t="s">
        <v>144</v>
      </c>
      <c r="B31" s="27" t="e">
        <f>IF($L$39='SHL Section'!$L$38,IF('SHL Section'!$B$30="","",'SHL Section'!$B$30),IF($L$39='BHL Section 1'!$L$38,IF('BHL Section 1'!$B$30="","",'BHL Section 1'!$B$30),IF($L$39='BHL Section 2'!$L$38,IF('BHL Section 2'!$B$30="","",'BHL Section 2'!$B$30),IF($L$39='BHL Section 3'!$L$38,IF('BHL Section 3'!$B$30="","",'BHL Section 3'!$B$30),IF(B27="","",IF(OR(B30=1,B30=4),180-(B27+B28/60+B29/3600),(B27+B28/60+B29/3600)))))))</f>
        <v>#VALUE!</v>
      </c>
      <c r="C31" s="4"/>
      <c r="G31" s="99" t="str">
        <f>IF(ISNUMBER($AG$78),$C$10,"")</f>
        <v/>
      </c>
      <c r="H31" s="150" t="str">
        <f>IF(AND(G32="",G33=""),"",IF($AG$78=1,"NE/NW",IF($AG$78=2,"NW/NW",IF($AG$78=3,"SW/NW",IF($AG$78=4,"SE/NW","")))))</f>
        <v/>
      </c>
      <c r="J31" s="153"/>
      <c r="K31" s="153"/>
      <c r="L31" s="13"/>
      <c r="M31" s="14"/>
      <c r="Q31" s="98" t="str">
        <f>IF(ISNUMBER($AE$78),$C$10,"")</f>
        <v/>
      </c>
      <c r="R31" s="150" t="str">
        <f>IF(AND(Q32="",Q33=""),"",IF($AE$78=1,"NE/NE",IF($AE$78=2,"NW/NE",IF($AE$78=3,"SW/NE",IF($AE$78=4,"SE/NE","")))))</f>
        <v/>
      </c>
      <c r="V31" s="22"/>
      <c r="W31" s="34" t="e">
        <f>IF($L$39='SHL Section'!$L$38,IF('SHL Section'!$W$30="","",'SHL Section'!$W$30),IF($L$39='BHL Section 1'!$L$38,IF('BHL Section 1'!$W$30="","",'BHL Section 1'!$W$30),IF($L$39='BHL Section 2'!$L$38,IF('BHL Section 2'!$W$30="","",'BHL Section 2'!$W$30),IF($L$39='BHL Section 3'!$L$38,IF('BHL Section 3'!$W$30="","",'BHL Section 3'!$W$30),IF(W27="","",IF(OR(W30=1,W30=4),180-(W27+W28/60+W29/3600),(W27+W28/60+W29/3600)))))))</f>
        <v>#VALUE!</v>
      </c>
      <c r="X31" s="25" t="s">
        <v>144</v>
      </c>
      <c r="AA31" s="5"/>
      <c r="AB31" s="5"/>
      <c r="AC31" s="944"/>
      <c r="AD31" s="911"/>
      <c r="AE31" s="80" t="str">
        <f>IF(ISNUMBER($AE$27),AE$27,IF(ISNUMBER($AG$28),AE$28,IF(ISNUMBER($AI$29),AE$29,IF(ISNUMBER($AK$30),AE$30,""))))</f>
        <v/>
      </c>
      <c r="AF31" s="80" t="str">
        <f>IF(ISNUMBER($AF$27),AF$27,IF(ISNUMBER($AH$28),AF$28,IF(ISNUMBER($AJ$29),AF$29,IF(ISNUMBER($AL$30),AF$30,""))))</f>
        <v/>
      </c>
      <c r="AG31" s="80" t="str">
        <f>IF(ISNUMBER($AE$27),AG$27,IF(ISNUMBER($AG$28),AG$28,IF(ISNUMBER($AI$29),AG$29,IF(ISNUMBER($AK$30),AG$30,""))))</f>
        <v/>
      </c>
      <c r="AH31" s="80" t="str">
        <f>IF(ISNUMBER($AF$27),AH$27,IF(ISNUMBER($AH$28),AH$28,IF(ISNUMBER($AJ$29),AH$29,IF(ISNUMBER($AL$30),AH$30,""))))</f>
        <v/>
      </c>
      <c r="AI31" s="80" t="str">
        <f>IF(ISNUMBER($AE$27),AI$27,IF(ISNUMBER($AG$28),AI$28,IF(ISNUMBER($AI$29),AI$29,IF(ISNUMBER($AK$30),AI$30,""))))</f>
        <v/>
      </c>
      <c r="AJ31" s="80" t="str">
        <f>IF(ISNUMBER($AF$27),AJ$27,IF(ISNUMBER($AH$28),AJ$28,IF(ISNUMBER($AJ$29),AJ$29,IF(ISNUMBER($AL$30),AJ$30,""))))</f>
        <v/>
      </c>
      <c r="AK31" s="80" t="str">
        <f>IF(ISNUMBER($AE$27),AK$27,IF(ISNUMBER($AG$28),AK$28,IF(ISNUMBER($AI$29),AK$29,IF(ISNUMBER($AK$30),AK$30,""))))</f>
        <v/>
      </c>
      <c r="AL31" s="80" t="str">
        <f>IF(ISNUMBER($AF$27),AL$27,IF(ISNUMBER($AH$28),AL$28,IF(ISNUMBER($AJ$29),AL$29,IF(ISNUMBER($AL$30),AL$30,""))))</f>
        <v/>
      </c>
      <c r="AM31" s="80" t="str">
        <f>IF(ISNUMBER($AE$27),AM$27,IF(ISNUMBER($AG$28),AM$28,IF(ISNUMBER($AI$29),AM$29,IF(ISNUMBER($AK$30),AM$30,""))))</f>
        <v/>
      </c>
      <c r="AN31" s="80" t="str">
        <f>IF(ISNUMBER($AF$27),AN$27,IF(ISNUMBER($AH$28),AN$28,IF(ISNUMBER($AJ$29),AN$29,IF(ISNUMBER($AL$30),AN$30,""))))</f>
        <v/>
      </c>
      <c r="AO31" s="80" t="str">
        <f>IF(ISNUMBER($AE$27),AO$27,IF(ISNUMBER($AG$28),AO$28,IF(ISNUMBER($AI$29),AO$29,IF(ISNUMBER($AK$30),AO$30,""))))</f>
        <v/>
      </c>
      <c r="AP31" s="80" t="str">
        <f>IF(ISNUMBER($AF$27),AP$27,IF(ISNUMBER($AH$28),AP$28,IF(ISNUMBER($AJ$29),AP$29,IF(ISNUMBER($AL$30),AP$30,""))))</f>
        <v/>
      </c>
      <c r="AQ31" s="80" t="str">
        <f>IF(ISNUMBER($AE$27),AQ$27,IF(ISNUMBER($AG$28),AQ$28,IF(ISNUMBER($AI$29),AQ$29,IF(ISNUMBER($AK$30),AQ$30,""))))</f>
        <v/>
      </c>
      <c r="AR31" s="80" t="str">
        <f>IF(ISNUMBER($AF$27),AR$27,IF(ISNUMBER($AH$28),AR$28,IF(ISNUMBER($AJ$29),AR$29,IF(ISNUMBER($AL$30),AR$30,""))))</f>
        <v/>
      </c>
      <c r="AS31" s="80" t="str">
        <f>IF(ISNUMBER($AE$27),AS$27,IF(ISNUMBER($AG$28),AS$28,IF(ISNUMBER($AI$29),AS$29,IF(ISNUMBER($AK$30),AS$30,""))))</f>
        <v/>
      </c>
      <c r="AT31" s="80" t="str">
        <f>IF(ISNUMBER($AF$27),AT$27,IF(ISNUMBER($AH$28),AT$28,IF(ISNUMBER($AJ$29),AT$29,IF(ISNUMBER($AL$30),AT$30,""))))</f>
        <v/>
      </c>
      <c r="AU31" s="38"/>
      <c r="AV31" s="809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</row>
    <row r="32" spans="1:96" ht="12" customHeight="1" x14ac:dyDescent="0.25">
      <c r="C32" s="4"/>
      <c r="G32" s="151" t="str">
        <f>IF(ISNUMBER($AG$78),$M$10,"")</f>
        <v/>
      </c>
      <c r="H32" s="152" t="str">
        <f>IF(ISNUMBER($AG$78),"FNL","")</f>
        <v/>
      </c>
      <c r="J32" s="153"/>
      <c r="K32" s="153"/>
      <c r="L32" s="13"/>
      <c r="M32" s="14"/>
      <c r="Q32" s="151" t="str">
        <f>IF(ISNUMBER($AE$78),$M$10,"")</f>
        <v/>
      </c>
      <c r="R32" s="152" t="str">
        <f>IF(ISNUMBER($AE$78),"FNL","")</f>
        <v/>
      </c>
      <c r="V32" s="22"/>
      <c r="AA32" s="5"/>
      <c r="AB32" s="5"/>
      <c r="AC32" s="94"/>
      <c r="AD32" s="95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38"/>
      <c r="AV32" s="809"/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</row>
    <row r="33" spans="1:79" ht="12" customHeight="1" x14ac:dyDescent="0.25">
      <c r="B33" s="44" t="e">
        <f>IF($L$39='SHL Section'!$L$38,'SHL Section'!$B$33,IF($L$39='BHL Section 1'!$L$38,'BHL Section 1'!$B$32,IF($L$39='BHL Section 2'!$L$38,'BHL Section 2'!$B$32,IF($L$39='BHL Section 3'!$L$38,'BHL Section 3'!$B$32,$B$34))))</f>
        <v>#VALUE!</v>
      </c>
      <c r="C33" s="4"/>
      <c r="F33" s="19"/>
      <c r="G33" s="91" t="str">
        <f>IF(ISNUMBER($AG$78),$O$10,"")</f>
        <v/>
      </c>
      <c r="H33" s="90" t="str">
        <f>IF(ISNUMBER($AG$78),"FWL","")</f>
        <v/>
      </c>
      <c r="I33" s="154"/>
      <c r="J33" s="153"/>
      <c r="K33" s="153"/>
      <c r="L33" s="13"/>
      <c r="M33" s="14"/>
      <c r="Q33" s="91" t="str">
        <f>IF(ISNUMBER($AE$78),$O$10,"")</f>
        <v/>
      </c>
      <c r="R33" s="90" t="str">
        <f>IF(ISNUMBER($AE$78),"FEL","")</f>
        <v/>
      </c>
      <c r="V33" s="22"/>
      <c r="W33" s="202" t="e">
        <f>IF($L$39='SHL Section'!$L$38,'SHL Section'!$W$33,IF($L$39='BHL Section 1'!$L$38,'BHL Section 1'!$W$32,IF($L$39='BHL Section 2'!$L$38,'BHL Section 2'!$W$32,IF($L$39='BHL Section 3'!$L$38,'BHL Section 3'!$W$32,$W$34))))</f>
        <v>#VALUE!</v>
      </c>
      <c r="AA33" s="5"/>
      <c r="AB33" s="5"/>
      <c r="AC33" s="52">
        <v>1</v>
      </c>
      <c r="AD33" s="53" t="s">
        <v>272</v>
      </c>
      <c r="AE33" s="47" t="e">
        <f>IF(AND($L$39=$R$9,ISNUMBER($K$9)),IF(AND($Y$9&lt;0,$AA$9&lt;0,-$Y$9&lt;$BY$23,-$AA$9&lt;$AX$23),$Y$9,""),"")</f>
        <v>#VALUE!</v>
      </c>
      <c r="AF33" s="47" t="e">
        <f>IF(AND($L$39=$R$9,ISNUMBER($K$9)),IF(AND($Y$9&lt;0,$AA$9&lt;0,-$Y$9&lt;$BY$23,-$AA$9&lt;$AX$23),$AA$9,""),"")</f>
        <v>#VALUE!</v>
      </c>
      <c r="AG33" s="32" t="e">
        <f>IF($AE$33="","",$AY$27+$AE$33)</f>
        <v>#VALUE!</v>
      </c>
      <c r="AH33" s="32" t="e">
        <f>IF($AF$33="","",$AZ$27+$AF$33)</f>
        <v>#VALUE!</v>
      </c>
      <c r="AI33" s="32" t="e">
        <f>IF($AE$33="","",$BG$27+$AY$27+$AE$33)</f>
        <v>#VALUE!</v>
      </c>
      <c r="AJ33" s="32" t="e">
        <f>IF($AF$33="","",$AZ$27+$BH$27+$AF$33)</f>
        <v>#VALUE!</v>
      </c>
      <c r="AK33" s="32" t="e">
        <f>IF($AE$33="","",$BW$27+$AE$33)</f>
        <v>#VALUE!</v>
      </c>
      <c r="AL33" s="32" t="e">
        <f>IF($AF$33="","",$AF$33+$BX$27)</f>
        <v>#VALUE!</v>
      </c>
      <c r="AM33" s="32" t="e">
        <f>IF($AE$33="","",$AW$23+$AE$33)</f>
        <v>#VALUE!</v>
      </c>
      <c r="AN33" s="32" t="e">
        <f>IF($AF$33="","",$AX$23+$AF$33)</f>
        <v>#VALUE!</v>
      </c>
      <c r="AO33" s="32" t="e">
        <f>IF($AE$33="","",$AY$27+$AE$33+$BE$23)</f>
        <v>#VALUE!</v>
      </c>
      <c r="AP33" s="32" t="e">
        <f>IF($AF$33="","",$AZ$27+$AF$33+$BF$23)</f>
        <v>#VALUE!</v>
      </c>
      <c r="AQ33" s="32" t="e">
        <f>IF($AE$33="","",$BW$27+$AE$33+$BQ$23)</f>
        <v>#VALUE!</v>
      </c>
      <c r="AR33" s="32" t="e">
        <f>IF($AF$33="","",$AF$33+$BX$27+$BR$23)</f>
        <v>#VALUE!</v>
      </c>
      <c r="AS33" s="32" t="e">
        <f>IF($AE$33="","",$BY$23+$AE$33)</f>
        <v>#VALUE!</v>
      </c>
      <c r="AT33" s="32" t="e">
        <f>IF($AF$33="","",$AF$33+$BZ$23)</f>
        <v>#VALUE!</v>
      </c>
      <c r="AU33" s="38"/>
      <c r="AV33" s="809"/>
      <c r="AW33" s="809"/>
      <c r="AX33" s="809"/>
      <c r="AY33" s="809"/>
      <c r="AZ33" s="809"/>
      <c r="BA33" s="809"/>
      <c r="BB33" s="809"/>
      <c r="BC33" s="809"/>
      <c r="BD33" s="809"/>
      <c r="BE33" s="809"/>
      <c r="BF33" s="809"/>
      <c r="BG33" s="809"/>
      <c r="BH33" s="809"/>
      <c r="BI33" s="809"/>
      <c r="BJ33" s="809"/>
      <c r="BK33" s="809"/>
      <c r="BL33" s="809"/>
      <c r="BM33" s="809"/>
      <c r="BN33" s="809"/>
      <c r="BO33" s="809"/>
      <c r="BP33" s="809"/>
      <c r="BQ33" s="809"/>
      <c r="BR33" s="809"/>
      <c r="BS33" s="809"/>
      <c r="BT33" s="809"/>
      <c r="BU33" s="809"/>
      <c r="BV33" s="809"/>
      <c r="BW33" s="809"/>
      <c r="BX33" s="809"/>
      <c r="BY33" s="809"/>
      <c r="BZ33" s="809"/>
      <c r="CA33" s="809"/>
    </row>
    <row r="34" spans="1:79" ht="12" customHeight="1" x14ac:dyDescent="0.25">
      <c r="A34" s="17" t="s">
        <v>118</v>
      </c>
      <c r="B34" s="113"/>
      <c r="C34" s="4"/>
      <c r="G34" s="99" t="str">
        <f>IF(ISNUMBER($AG$89),$C$11,"")</f>
        <v/>
      </c>
      <c r="H34" s="150" t="str">
        <f>IF(AND(G35="",G36=""),"",IF($AG$89=1,"NE/NW",IF($AG$89=2,"NW/NW",IF($AG$89=3,"SW/NW",IF($AG$89=4,"SE/NW","")))))</f>
        <v/>
      </c>
      <c r="J34" s="153"/>
      <c r="K34" s="153"/>
      <c r="L34" s="13"/>
      <c r="M34" s="14"/>
      <c r="Q34" s="98" t="str">
        <f>IF(ISNUMBER($AE$89),$C$11,"")</f>
        <v/>
      </c>
      <c r="R34" s="150" t="str">
        <f>IF(AND(Q35="",Q36=""),"",IF($AE$89=1,"NE/NE",IF($AE$89=2,"NW/NE",IF($AE$89=3,"SW/NE",IF($AE$89=4,"SE/NE","")))))</f>
        <v/>
      </c>
      <c r="S34" s="154"/>
      <c r="T34" s="153"/>
      <c r="U34" s="5"/>
      <c r="V34" s="22"/>
      <c r="W34" s="113"/>
      <c r="X34" s="25" t="s">
        <v>118</v>
      </c>
      <c r="AA34" s="5"/>
      <c r="AB34" s="5"/>
      <c r="AC34" s="52">
        <v>2</v>
      </c>
      <c r="AD34" s="53" t="s">
        <v>272</v>
      </c>
      <c r="AE34" s="32" t="e">
        <f>IF($AG$34="","",$AG$34-$AY$27)</f>
        <v>#VALUE!</v>
      </c>
      <c r="AF34" s="32" t="e">
        <f>IF($AH$34="","",$AH$34-$AZ$27)</f>
        <v>#VALUE!</v>
      </c>
      <c r="AG34" s="47" t="e">
        <f>IF(AND($L$39=$R$9,ISNUMBER($K$9)),IF(AND($Y$9&lt;0,$AA$9&gt;0,-$Y$9&lt;$BE$23,$AA$9&lt;$BB$23),$Y$9,""),"")</f>
        <v>#VALUE!</v>
      </c>
      <c r="AH34" s="47" t="e">
        <f>IF(AND($L$39=$R$9,ISNUMBER($K$9)),IF(AND($Y$9&lt;0,$AA$9&gt;0,-$Y$9&lt;$BE$23,$AA$9&lt;$BB$23),$AA$9,""),"")</f>
        <v>#VALUE!</v>
      </c>
      <c r="AI34" s="32" t="e">
        <f>IF($AG$34="","",$BG$27+$AG$34)</f>
        <v>#VALUE!</v>
      </c>
      <c r="AJ34" s="32" t="e">
        <f>IF($AH$34="","",$AH$34+$BH$27)</f>
        <v>#VALUE!</v>
      </c>
      <c r="AK34" s="32" t="e">
        <f>IF($AG$34="","",$AG$34-$AY$27+$BW$27)</f>
        <v>#VALUE!</v>
      </c>
      <c r="AL34" s="32" t="e">
        <f>IF($AH$34="","",$AH$34-$AZ$27+$BX$27)</f>
        <v>#VALUE!</v>
      </c>
      <c r="AM34" s="32" t="e">
        <f>IF($AG$34="","",$AG$34-$BA$23)</f>
        <v>#VALUE!</v>
      </c>
      <c r="AN34" s="32" t="e">
        <f>IF($AH$34="","",AH$34-$BB$23)</f>
        <v>#VALUE!</v>
      </c>
      <c r="AO34" s="32" t="e">
        <f>IF($AG$34="","",$BE$23+$AG$34)</f>
        <v>#VALUE!</v>
      </c>
      <c r="AP34" s="32" t="e">
        <f>IF($AH$34="","",$AH$34+$BF$23)</f>
        <v>#VALUE!</v>
      </c>
      <c r="AQ34" s="32" t="e">
        <f>IF($AG$34="","",$BG$27+$AG$34-$BM$23)</f>
        <v>#VALUE!</v>
      </c>
      <c r="AR34" s="32" t="e">
        <f>IF($AH$34="","",$AH$34+$BH$27-$BN$23)</f>
        <v>#VALUE!</v>
      </c>
      <c r="AS34" s="32" t="e">
        <f>IF($AG$34="","",$AG$34-$AY$27+$BY$23)</f>
        <v>#VALUE!</v>
      </c>
      <c r="AT34" s="32" t="e">
        <f>IF($AH$34="","",$AH$34-$AZ$27+$BZ$23)</f>
        <v>#VALUE!</v>
      </c>
      <c r="AU34" s="38"/>
    </row>
    <row r="35" spans="1:79" ht="12" customHeight="1" x14ac:dyDescent="0.25">
      <c r="A35" s="17" t="s">
        <v>124</v>
      </c>
      <c r="B35" s="114"/>
      <c r="C35" s="4"/>
      <c r="G35" s="151" t="str">
        <f>IF(ISNUMBER($AG$89),$M$11,"")</f>
        <v/>
      </c>
      <c r="H35" s="152" t="str">
        <f>IF(ISNUMBER($AG$89),"FNL","")</f>
        <v/>
      </c>
      <c r="J35" s="153"/>
      <c r="K35" s="153"/>
      <c r="L35" s="13"/>
      <c r="M35" s="14"/>
      <c r="Q35" s="151" t="str">
        <f>IF(ISNUMBER($AE$89),$M$11,"")</f>
        <v/>
      </c>
      <c r="R35" s="152" t="str">
        <f>IF(ISNUMBER($AE$89),"FNL","")</f>
        <v/>
      </c>
      <c r="S35" s="154"/>
      <c r="T35" s="153"/>
      <c r="U35" s="5"/>
      <c r="V35" s="22"/>
      <c r="W35" s="148"/>
      <c r="X35" s="25" t="s">
        <v>124</v>
      </c>
      <c r="AA35" s="5"/>
      <c r="AB35" s="5"/>
      <c r="AC35" s="52">
        <v>3</v>
      </c>
      <c r="AD35" s="53" t="s">
        <v>272</v>
      </c>
      <c r="AE35" s="32" t="e">
        <f>IF($AI$35="","",$AI$35-$BG$27-$AY$27)</f>
        <v>#VALUE!</v>
      </c>
      <c r="AF35" s="79" t="e">
        <f>IF($AJ$35="","",$AJ$35-$BH$27-$AZ$27)</f>
        <v>#VALUE!</v>
      </c>
      <c r="AG35" s="32" t="e">
        <f>IF($AI$35="","",$AI$35-$BG$27)</f>
        <v>#VALUE!</v>
      </c>
      <c r="AH35" s="32" t="e">
        <f>IF($AJ$35="","",$AJ$35-$BH$27)</f>
        <v>#VALUE!</v>
      </c>
      <c r="AI35" s="47" t="e">
        <f>IF(AND($L$39=$R$9,ISNUMBER($K$9)),IF(AND($Y$9&gt;0,$AA$9&gt;0,$Y$9&lt;$BI$23,$AA$9&lt;$BN$23),$Y$9,""),"")</f>
        <v>#VALUE!</v>
      </c>
      <c r="AJ35" s="47" t="e">
        <f>IF(AND($L$39=$R$9,ISNUMBER($K$9)),IF(AND($Y$9&gt;0,$AA$9&gt;0,$Y$9&lt;$BI$23,$AA$9&lt;$BN$23),$AA$9,""),"")</f>
        <v>#VALUE!</v>
      </c>
      <c r="AK35" s="32" t="e">
        <f>IF($AI$35="","",$AI$35-$BO$27)</f>
        <v>#VALUE!</v>
      </c>
      <c r="AL35" s="32" t="e">
        <f>IF($AJ$35="","",$AJ$35-$BP$27)</f>
        <v>#VALUE!</v>
      </c>
      <c r="AM35" s="32" t="e">
        <f>IF($AI$35="","",$AI$35-$BG$27-$BA$27)</f>
        <v>#VALUE!</v>
      </c>
      <c r="AN35" s="32" t="e">
        <f>IF($AJ$35="","",$AJ$35-$BH$27-$BB$27)</f>
        <v>#VALUE!</v>
      </c>
      <c r="AO35" s="32" t="e">
        <f>IF($AI$35="","",$AI$35-$BI$27)</f>
        <v>#VALUE!</v>
      </c>
      <c r="AP35" s="32" t="e">
        <f>IF($AJ$35="","",$AJ$35-$BJ$27)</f>
        <v>#VALUE!</v>
      </c>
      <c r="AQ35" s="32" t="e">
        <f>IF($AI$35="","",$AI$35-$BM$27)</f>
        <v>#VALUE!</v>
      </c>
      <c r="AR35" s="32" t="e">
        <f>IF($AJ$35="","",$AJ$35-$BN$27)</f>
        <v>#VALUE!</v>
      </c>
      <c r="AS35" s="32" t="e">
        <f>IF($AI$35="","",$AI$35-$BO$27-$BU$27)</f>
        <v>#VALUE!</v>
      </c>
      <c r="AT35" s="32" t="e">
        <f>IF($AJ$35="","",$AJ$35-$BP$27-$BV$23)</f>
        <v>#VALUE!</v>
      </c>
      <c r="BE35" s="809"/>
      <c r="BF35" s="809"/>
      <c r="BG35" s="809"/>
      <c r="BH35" s="809"/>
      <c r="BI35" s="809"/>
      <c r="BJ35" s="809"/>
      <c r="BK35" s="809"/>
      <c r="BL35" s="809"/>
      <c r="BM35" s="809"/>
      <c r="BN35" s="809"/>
      <c r="BO35" s="809"/>
      <c r="BP35" s="809"/>
      <c r="BZ35" s="19"/>
      <c r="CA35" s="19"/>
    </row>
    <row r="36" spans="1:79" ht="12" customHeight="1" x14ac:dyDescent="0.25">
      <c r="A36" s="17" t="s">
        <v>130</v>
      </c>
      <c r="B36" s="114"/>
      <c r="C36" s="4"/>
      <c r="G36" s="91" t="str">
        <f>IF(ISNUMBER($AG$89),$O$11,"")</f>
        <v/>
      </c>
      <c r="H36" s="90" t="str">
        <f>IF(ISNUMBER($AG$89),"FWL","")</f>
        <v/>
      </c>
      <c r="J36" s="153"/>
      <c r="K36" s="153"/>
      <c r="L36" s="13"/>
      <c r="M36" s="14"/>
      <c r="Q36" s="91" t="str">
        <f>IF(ISNUMBER($AE$89),$O$11,"")</f>
        <v/>
      </c>
      <c r="R36" s="90" t="str">
        <f>IF(ISNUMBER($AE$89),"FEL","")</f>
        <v/>
      </c>
      <c r="S36" s="154"/>
      <c r="T36" s="153"/>
      <c r="U36" s="5"/>
      <c r="V36" s="22"/>
      <c r="W36" s="148"/>
      <c r="X36" s="25" t="s">
        <v>130</v>
      </c>
      <c r="AA36" s="5"/>
      <c r="AB36" s="5"/>
      <c r="AC36" s="756">
        <v>4</v>
      </c>
      <c r="AD36" s="758" t="s">
        <v>272</v>
      </c>
      <c r="AE36" s="45" t="e">
        <f>IF($AK$36="","",$AK$36-$BW$27)</f>
        <v>#VALUE!</v>
      </c>
      <c r="AF36" s="45" t="e">
        <f>IF($AL$36="","",$AL$36-$BX$27)</f>
        <v>#VALUE!</v>
      </c>
      <c r="AG36" s="45" t="e">
        <f>IF($AK$36="","",$AK$36+$BO$27-$BG$27)</f>
        <v>#VALUE!</v>
      </c>
      <c r="AH36" s="45" t="e">
        <f>IF($AL$36="","",$AL$36+$BP$27+$BH$27)</f>
        <v>#VALUE!</v>
      </c>
      <c r="AI36" s="45" t="e">
        <f>IF($AK$36="","",$AK$36+$BO$27)</f>
        <v>#VALUE!</v>
      </c>
      <c r="AJ36" s="45" t="e">
        <f>IF($AL$36="","",$AL$36+$BP$27)</f>
        <v>#VALUE!</v>
      </c>
      <c r="AK36" s="50" t="e">
        <f>IF(AND($L$39=$R$9,ISNUMBER($K$9)),IF(AND($Y$9&gt;0,$AA$9&lt;0,$Y$9&lt;$BU$23,-$AA$9&lt;$BR$23),$Y$9,""),"")</f>
        <v>#VALUE!</v>
      </c>
      <c r="AL36" s="50" t="e">
        <f>IF(AND($L$39=$R$9,ISNUMBER($K$9)),IF(AND($Y$9&gt;0,$AA$9&lt;0,$Y$9&lt;$BU$23,-$AA$9&lt;$BR$23),$AA$9,""),"")</f>
        <v>#VALUE!</v>
      </c>
      <c r="AM36" s="45" t="e">
        <f>IF($AK$36="","",$AK$36-$BW$27+$AW$23)</f>
        <v>#VALUE!</v>
      </c>
      <c r="AN36" s="45" t="e">
        <f>IF($AL$36="","",$AL$36-$BX$27+$AX$23)</f>
        <v>#VALUE!</v>
      </c>
      <c r="AO36" s="45" t="e">
        <f>IF($AK$36="","",$AK$36+$BO$27-$BI$23)</f>
        <v>#VALUE!</v>
      </c>
      <c r="AP36" s="45" t="e">
        <f>IF($AL$36="","",$AL$36+$BP$27-$BJ$23)</f>
        <v>#VALUE!</v>
      </c>
      <c r="AQ36" s="45" t="e">
        <f>IF($AK$36="","",$AK$36+$BQ$23)</f>
        <v>#VALUE!</v>
      </c>
      <c r="AR36" s="45" t="e">
        <f>IF($AL$36="","",$AL$36+$BR$23)</f>
        <v>#VALUE!</v>
      </c>
      <c r="AS36" s="45" t="e">
        <f>IF($AK$36="","",$AK$36-$BU$23)</f>
        <v>#VALUE!</v>
      </c>
      <c r="AT36" s="45" t="e">
        <f>IF($AL$36="","",$AL$36-$BV$23)</f>
        <v>#VALUE!</v>
      </c>
      <c r="BG36" s="53">
        <v>1</v>
      </c>
      <c r="BH36" s="53">
        <v>2</v>
      </c>
      <c r="BI36" s="53">
        <v>3</v>
      </c>
      <c r="BJ36" s="53">
        <v>4</v>
      </c>
      <c r="BK36" s="53">
        <v>5</v>
      </c>
      <c r="BL36" s="53">
        <v>6</v>
      </c>
      <c r="BM36" s="53">
        <v>7</v>
      </c>
      <c r="BN36" s="53">
        <v>8</v>
      </c>
      <c r="BO36" s="53">
        <v>9</v>
      </c>
      <c r="BZ36" s="19"/>
      <c r="CA36" s="19"/>
    </row>
    <row r="37" spans="1:79" ht="12" customHeight="1" x14ac:dyDescent="0.25">
      <c r="A37" s="17" t="s">
        <v>134</v>
      </c>
      <c r="B37" s="114"/>
      <c r="C37" s="4"/>
      <c r="J37" s="153"/>
      <c r="K37" s="153"/>
      <c r="L37" s="13"/>
      <c r="M37" s="14"/>
      <c r="S37" s="154"/>
      <c r="T37" s="153"/>
      <c r="U37" s="5"/>
      <c r="V37" s="22"/>
      <c r="W37" s="148"/>
      <c r="X37" s="25" t="s">
        <v>134</v>
      </c>
      <c r="AA37" s="5"/>
      <c r="AB37" s="5"/>
      <c r="AC37" s="944"/>
      <c r="AD37" s="911"/>
      <c r="AE37" s="80" t="str">
        <f>IF(ISNUMBER($AE$33),AE$33,IF(ISNUMBER($AG$34),AE$34,IF(ISNUMBER($AI$35),AE$35,IF(ISNUMBER($AK$36),AE$36,""))))</f>
        <v/>
      </c>
      <c r="AF37" s="80" t="str">
        <f>IF(ISNUMBER($AF$33),AF$33,IF(ISNUMBER($AH$34),AF$34,IF(ISNUMBER($AJ$35),AF$35,IF(ISNUMBER($AL$36),AF$36,""))))</f>
        <v/>
      </c>
      <c r="AG37" s="80" t="str">
        <f>IF(ISNUMBER($AE$33),AG$33,IF(ISNUMBER($AG$34),AG$34,IF(ISNUMBER($AI$35),AG$35,IF(ISNUMBER($AK$36),AG$36,""))))</f>
        <v/>
      </c>
      <c r="AH37" s="80" t="str">
        <f>IF(ISNUMBER($AF$33),AH$33,IF(ISNUMBER($AH$34),AH$34,IF(ISNUMBER($AJ$35),AH$35,IF(ISNUMBER($AL$36),AH$36,""))))</f>
        <v/>
      </c>
      <c r="AI37" s="80" t="str">
        <f>IF(ISNUMBER($AE$33),AI$33,IF(ISNUMBER($AG$34),AI$34,IF(ISNUMBER($AI$35),AI$35,IF(ISNUMBER($AK$36),AI$36,""))))</f>
        <v/>
      </c>
      <c r="AJ37" s="80" t="str">
        <f>IF(ISNUMBER($AF$33),AJ$33,IF(ISNUMBER($AH$34),AJ$34,IF(ISNUMBER($AJ$35),AJ$35,IF(ISNUMBER($AL$36),AJ$36,""))))</f>
        <v/>
      </c>
      <c r="AK37" s="80" t="str">
        <f>IF(ISNUMBER($AE$33),AK$33,IF(ISNUMBER($AG$34),AK$34,IF(ISNUMBER($AI$35),AK$35,IF(ISNUMBER($AK$36),AK$36,""))))</f>
        <v/>
      </c>
      <c r="AL37" s="80" t="str">
        <f>IF(ISNUMBER($AF$33),AL$33,IF(ISNUMBER($AH$34),AL$34,IF(ISNUMBER($AJ$35),AL$35,IF(ISNUMBER($AL$36),AL$36,""))))</f>
        <v/>
      </c>
      <c r="AM37" s="80" t="str">
        <f>IF(ISNUMBER($AE$33),AM$33,IF(ISNUMBER($AG$34),AM$34,IF(ISNUMBER($AI$35),AM$35,IF(ISNUMBER($AK$36),AM$36,""))))</f>
        <v/>
      </c>
      <c r="AN37" s="80" t="str">
        <f>IF(ISNUMBER($AF$33),AN$33,IF(ISNUMBER($AH$34),AN$34,IF(ISNUMBER($AJ$35),AN$35,IF(ISNUMBER($AL$36),AN$36,""))))</f>
        <v/>
      </c>
      <c r="AO37" s="80" t="str">
        <f>IF(ISNUMBER($AE$33),AO$33,IF(ISNUMBER($AG$34),AO$34,IF(ISNUMBER($AI$35),AO$35,IF(ISNUMBER($AK$36),AO$36,""))))</f>
        <v/>
      </c>
      <c r="AP37" s="80" t="str">
        <f>IF(ISNUMBER($AF$33),AP$33,IF(ISNUMBER($AH$34),AP$34,IF(ISNUMBER($AJ$35),AP$35,IF(ISNUMBER($AL$36),AP$36,""))))</f>
        <v/>
      </c>
      <c r="AQ37" s="80" t="str">
        <f>IF(ISNUMBER($AE$33),AQ$33,IF(ISNUMBER($AG$34),AQ$34,IF(ISNUMBER($AI$35),AQ$35,IF(ISNUMBER($AK$36),AQ$36,""))))</f>
        <v/>
      </c>
      <c r="AR37" s="80" t="str">
        <f>IF(ISNUMBER($AF$33),AR$33,IF(ISNUMBER($AH$34),AR$34,IF(ISNUMBER($AJ$35),AR$35,IF(ISNUMBER($AL$36),AR$36,""))))</f>
        <v/>
      </c>
      <c r="AS37" s="80" t="str">
        <f>IF(ISNUMBER($AE$33),AS$33,IF(ISNUMBER($AG$34),AS$34,IF(ISNUMBER($AI$35),AS$35,IF(ISNUMBER($AK$36),AS$36,""))))</f>
        <v/>
      </c>
      <c r="AT37" s="80" t="str">
        <f>IF(ISNUMBER($AF$33),AT$33,IF(ISNUMBER($AH$34),AT$34,IF(ISNUMBER($AJ$35),AT$35,IF(ISNUMBER($AL$36),AT$36,""))))</f>
        <v/>
      </c>
      <c r="BD37" s="760" t="s">
        <v>331</v>
      </c>
      <c r="BE37" s="158" t="s">
        <v>346</v>
      </c>
      <c r="BF37" s="761" t="s">
        <v>347</v>
      </c>
      <c r="BG37" s="53" t="s">
        <v>12</v>
      </c>
      <c r="BH37" s="53" t="s">
        <v>183</v>
      </c>
      <c r="BI37" s="53" t="s">
        <v>280</v>
      </c>
      <c r="BJ37" s="53" t="s">
        <v>197</v>
      </c>
      <c r="BK37" s="53" t="s">
        <v>286</v>
      </c>
      <c r="BL37" s="53" t="s">
        <v>188</v>
      </c>
      <c r="BM37" s="53" t="s">
        <v>284</v>
      </c>
      <c r="BN37" s="53" t="s">
        <v>204</v>
      </c>
      <c r="BO37" s="53" t="s">
        <v>282</v>
      </c>
      <c r="BZ37" s="19"/>
      <c r="CA37" s="19"/>
    </row>
    <row r="38" spans="1:79" ht="12" customHeight="1" thickBot="1" x14ac:dyDescent="0.3">
      <c r="A38" s="17" t="s">
        <v>140</v>
      </c>
      <c r="B38" s="112">
        <v>1</v>
      </c>
      <c r="C38" s="4"/>
      <c r="J38" s="153"/>
      <c r="K38" s="153"/>
      <c r="L38" s="13"/>
      <c r="M38" s="14"/>
      <c r="O38" s="19"/>
      <c r="P38" s="19"/>
      <c r="S38" s="154"/>
      <c r="T38" s="153"/>
      <c r="U38" s="5"/>
      <c r="V38" s="22"/>
      <c r="W38" s="112">
        <v>4</v>
      </c>
      <c r="X38" s="25" t="s">
        <v>140</v>
      </c>
      <c r="AA38" s="5"/>
      <c r="AB38" s="5"/>
      <c r="AC38" s="94"/>
      <c r="AD38" s="95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V38" s="81" t="s">
        <v>181</v>
      </c>
      <c r="AW38" s="128" t="s">
        <v>122</v>
      </c>
      <c r="AX38" s="81" t="s">
        <v>182</v>
      </c>
      <c r="AY38" s="81" t="s">
        <v>183</v>
      </c>
      <c r="AZ38" s="82" t="s">
        <v>280</v>
      </c>
      <c r="BA38" s="81" t="s">
        <v>185</v>
      </c>
      <c r="BB38" s="81" t="s">
        <v>281</v>
      </c>
      <c r="BD38" s="52">
        <v>1</v>
      </c>
      <c r="BE38" s="53" t="s">
        <v>272</v>
      </c>
      <c r="BF38" s="36" t="str">
        <f>IF(AND(ISNUMBER($AE$33), ISNUMBER($AF$33)),IF(AND($AE$33&gt;0,$AF$33&gt;0),3,IF(AND($AE$33&lt;0,IF(-$AE$33&lt;$BZ$20,$AO$71,$AO$74)&lt;0),4,IF(AND(IF(-$AF$33&lt;$AW$20,$AN$71,$AN$72)&lt;0,$AF$33&lt;0),2,""))),"")</f>
        <v/>
      </c>
      <c r="BG38" s="82">
        <v>1</v>
      </c>
      <c r="BH38" s="82">
        <v>36</v>
      </c>
      <c r="BI38" s="82">
        <v>31</v>
      </c>
      <c r="BJ38" s="82">
        <v>6</v>
      </c>
      <c r="BK38" s="82">
        <v>7</v>
      </c>
      <c r="BL38" s="82">
        <v>12</v>
      </c>
      <c r="BM38" s="82">
        <v>11</v>
      </c>
      <c r="BN38" s="82">
        <v>2</v>
      </c>
      <c r="BO38" s="82">
        <v>35</v>
      </c>
      <c r="BZ38" s="19"/>
      <c r="CA38" s="19"/>
    </row>
    <row r="39" spans="1:79" ht="12" customHeight="1" x14ac:dyDescent="0.25">
      <c r="A39" s="17" t="s">
        <v>144</v>
      </c>
      <c r="B39" s="27" t="e">
        <f>IF($L$39='SHL Section'!$L$38,IF('SHL Section'!$B$38="","",'SHL Section'!$B$38),IF($L$39='BHL Section 1'!$L$38,IF('BHL Section 1'!$B$38="","",'BHL Section 1'!$B$38),IF($L$39='BHL Section 2'!$L$38,IF('BHL Section 2'!$B$38="","",'BHL Section 2'!$B$38),IF($L$39='BHL Section 3'!$L$38,IF('BHL Section 3'!$B$38="","",'BHL Section 3'!$B$38),IF(B35="","",IF(OR(B38=1,B38=4),180-(B35+B36/60+B37/3600),(B35+B36/60+B37/3600)))))))</f>
        <v>#VALUE!</v>
      </c>
      <c r="C39" s="4"/>
      <c r="F39" s="815"/>
      <c r="I39" s="154"/>
      <c r="J39" s="153"/>
      <c r="K39" s="153"/>
      <c r="L39" s="974">
        <v>4</v>
      </c>
      <c r="M39" s="923"/>
      <c r="P39" s="815"/>
      <c r="S39" s="154"/>
      <c r="T39" s="153"/>
      <c r="U39" s="5"/>
      <c r="V39" s="22"/>
      <c r="W39" s="34" t="e">
        <f>IF($L$39='SHL Section'!$L$38,IF('SHL Section'!$W$38="","",'SHL Section'!$W$38),IF($L$39='BHL Section 1'!$L$38,IF('BHL Section 1'!$W$38="","",'BHL Section 1'!$W$38),IF($L$39='BHL Section 2'!$L$38,IF('BHL Section 2'!$W$38="","",'BHL Section 2'!$W$38),IF($L$39='BHL Section 3'!$L$38,IF('BHL Section 3'!$W$38="","",'BHL Section 3'!$W$38),IF(W35="","",IF(OR(W38=1,W38=4),180-(W35+W36/60+W37/3600),(W35+W36/60+W37/3600)))))))</f>
        <v>#VALUE!</v>
      </c>
      <c r="X39" s="25" t="s">
        <v>144</v>
      </c>
      <c r="AA39" s="5"/>
      <c r="AB39" s="5"/>
      <c r="AC39" s="52">
        <v>1</v>
      </c>
      <c r="AD39" s="53" t="s">
        <v>274</v>
      </c>
      <c r="AE39" s="47" t="e">
        <f>IF(AND($L$39=$R$10,ISNUMBER($K$10)),IF(AND($Y$10&lt;0,$AA$10&lt;0,-$Y$10&lt;$BY$23,-$AA$10&lt;$AX$23),$Y$10,""),"")</f>
        <v>#VALUE!</v>
      </c>
      <c r="AF39" s="47" t="e">
        <f>IF(AND($L$39=$R$10,ISNUMBER($K$10)),IF(AND($Y$10&lt;0,$AA$10&lt;0,-$Y$10&lt;$BY$23,-$AA$10&lt;$AX$23),$AA$10,""),"")</f>
        <v>#VALUE!</v>
      </c>
      <c r="AG39" s="32" t="e">
        <f>IF($AE$39="","",$AY$27+$AE$39)</f>
        <v>#VALUE!</v>
      </c>
      <c r="AH39" s="32" t="e">
        <f>IF($AF$39="","",$AZ$27+$AF$39)</f>
        <v>#VALUE!</v>
      </c>
      <c r="AI39" s="32" t="e">
        <f>IF($AE$39="","",$BG$27+$AY$27+$AE$39)</f>
        <v>#VALUE!</v>
      </c>
      <c r="AJ39" s="32" t="e">
        <f>IF($AF$39="","",$AZ$27+$BH$27+$AF$39)</f>
        <v>#VALUE!</v>
      </c>
      <c r="AK39" s="32" t="e">
        <f>IF($AE$39="","",$BW$27+$AE$39)</f>
        <v>#VALUE!</v>
      </c>
      <c r="AL39" s="32" t="e">
        <f>IF($AF$39="","",$AF$39+$BX$27)</f>
        <v>#VALUE!</v>
      </c>
      <c r="AM39" s="32" t="e">
        <f>IF($AE$39="","",$AW$23+$AE$39)</f>
        <v>#VALUE!</v>
      </c>
      <c r="AN39" s="32" t="e">
        <f>IF($AF$39="","",$AX$23+$AF$39)</f>
        <v>#VALUE!</v>
      </c>
      <c r="AO39" s="32" t="e">
        <f>IF($AE$39="","",$AY$27+$AE$39+$BE$23)</f>
        <v>#VALUE!</v>
      </c>
      <c r="AP39" s="32" t="e">
        <f>IF($AF$39="","",$AZ$27+$AF$39+$BF$23)</f>
        <v>#VALUE!</v>
      </c>
      <c r="AQ39" s="32" t="e">
        <f>IF($AE$39="","",$BW$27+$AE$39+$BQ$23)</f>
        <v>#VALUE!</v>
      </c>
      <c r="AR39" s="32" t="e">
        <f>IF($AF$39="","",$AF$39+$BX$27+$BR$23)</f>
        <v>#VALUE!</v>
      </c>
      <c r="AS39" s="32" t="e">
        <f>IF($AE$39="","",$BY$23+$AE$39)</f>
        <v>#VALUE!</v>
      </c>
      <c r="AT39" s="32" t="e">
        <f>IF($AF$39="","",$AF$39+$BZ$23)</f>
        <v>#VALUE!</v>
      </c>
      <c r="AV39" s="81" t="s">
        <v>186</v>
      </c>
      <c r="AW39" s="81" t="s">
        <v>128</v>
      </c>
      <c r="AX39" s="81" t="s">
        <v>187</v>
      </c>
      <c r="AY39" s="81" t="s">
        <v>188</v>
      </c>
      <c r="AZ39" s="82" t="s">
        <v>282</v>
      </c>
      <c r="BA39" s="81" t="s">
        <v>190</v>
      </c>
      <c r="BB39" s="81" t="s">
        <v>283</v>
      </c>
      <c r="BD39" s="52">
        <v>2</v>
      </c>
      <c r="BE39" s="53" t="s">
        <v>272</v>
      </c>
      <c r="BF39" s="36" t="str">
        <f>IF(AND(ISNUMBER($AG$34), ISNUMBER($AH$34)),IF(AND(IF($AH$34&lt;$BC$20,$AP$72,$AP$71)&lt;0,$AH$34&gt;0),2,IF(AND($AG$34&gt;0,$AH$34&lt;0),9,IF(AND($AG$34&lt;0,IF(-$AG$34&lt;$BD$20,$AQ$72,$AQ$73)&lt;0),8,""))),"")</f>
        <v/>
      </c>
      <c r="BG39" s="82">
        <v>2</v>
      </c>
      <c r="BH39" s="82">
        <v>35</v>
      </c>
      <c r="BI39" s="82">
        <v>36</v>
      </c>
      <c r="BJ39" s="82">
        <v>1</v>
      </c>
      <c r="BK39" s="82">
        <v>12</v>
      </c>
      <c r="BL39" s="82">
        <v>11</v>
      </c>
      <c r="BM39" s="82">
        <v>10</v>
      </c>
      <c r="BN39" s="82">
        <v>3</v>
      </c>
      <c r="BO39" s="82">
        <v>34</v>
      </c>
      <c r="BZ39" s="19"/>
      <c r="CA39" s="19"/>
    </row>
    <row r="40" spans="1:79" ht="12" customHeight="1" thickBot="1" x14ac:dyDescent="0.3">
      <c r="A40" s="948" t="str">
        <f>CONCATENATE("W QC of ",$L$39)</f>
        <v>W QC of 4</v>
      </c>
      <c r="B40" s="892"/>
      <c r="C40" s="7"/>
      <c r="D40" s="8"/>
      <c r="E40" s="8"/>
      <c r="F40" s="8"/>
      <c r="G40" s="8"/>
      <c r="H40" s="8"/>
      <c r="I40" s="8"/>
      <c r="J40" s="8"/>
      <c r="K40" s="8"/>
      <c r="L40" s="924"/>
      <c r="M40" s="926"/>
      <c r="N40" s="8"/>
      <c r="O40" s="8"/>
      <c r="P40" s="8"/>
      <c r="Q40" s="8"/>
      <c r="R40" s="8"/>
      <c r="S40" s="8"/>
      <c r="T40" s="8"/>
      <c r="U40" s="8"/>
      <c r="V40" s="24"/>
      <c r="W40" s="959" t="str">
        <f>CONCATENATE("E QC of ",$L$39)</f>
        <v>E QC of 4</v>
      </c>
      <c r="X40" s="904"/>
      <c r="AA40" s="5"/>
      <c r="AB40" s="5"/>
      <c r="AC40" s="52">
        <v>2</v>
      </c>
      <c r="AD40" s="53" t="s">
        <v>274</v>
      </c>
      <c r="AE40" s="32" t="e">
        <f>IF($AG$40="","",$AG$40-$AY$27)</f>
        <v>#VALUE!</v>
      </c>
      <c r="AF40" s="32" t="e">
        <f>IF($AH$40="","",$AH$40-$AZ$27)</f>
        <v>#VALUE!</v>
      </c>
      <c r="AG40" s="47" t="e">
        <f>IF(AND($L$39=$R$10,ISNUMBER($K$10)),IF(AND($Y$10&lt;0,$AA$10&gt;0,-$Y$10&lt;$BE$23,$AA$10&lt;$BB$23),$Y$10,""),"")</f>
        <v>#VALUE!</v>
      </c>
      <c r="AH40" s="47" t="e">
        <f>IF(AND($L$39=$R$10,ISNUMBER($K$10)),IF(AND($Y$10&lt;0,$AA$10&gt;0,-$Y$10&lt;$BE$23,$AA$10&lt;$BB$23),$AA$10,""),"")</f>
        <v>#VALUE!</v>
      </c>
      <c r="AI40" s="32" t="e">
        <f>IF($AG$40="","",$BG$27+$AG$40)</f>
        <v>#VALUE!</v>
      </c>
      <c r="AJ40" s="32" t="e">
        <f>IF($AH$40="","",$AH$40+$BH$27)</f>
        <v>#VALUE!</v>
      </c>
      <c r="AK40" s="32" t="e">
        <f>IF($AG$40="","",$AG$40-$AY$27+$BW$27)</f>
        <v>#VALUE!</v>
      </c>
      <c r="AL40" s="32" t="e">
        <f>IF($AH$40="","",$AH$40-$AZ$27+$BX$27)</f>
        <v>#VALUE!</v>
      </c>
      <c r="AM40" s="32" t="e">
        <f>IF($AG$40="","",$AG$40-$BA$23)</f>
        <v>#VALUE!</v>
      </c>
      <c r="AN40" s="32" t="e">
        <f>IF($AH$40="","",AH$40-$BB$23)</f>
        <v>#VALUE!</v>
      </c>
      <c r="AO40" s="32" t="e">
        <f>IF($AG$40="","",$BE$23+$AG$40)</f>
        <v>#VALUE!</v>
      </c>
      <c r="AP40" s="32" t="e">
        <f>IF($AH$40="","",$AH$40+$BF$23)</f>
        <v>#VALUE!</v>
      </c>
      <c r="AQ40" s="32" t="e">
        <f>IF($AG$40="","",$BG$27+$AG$40-$BM$23)</f>
        <v>#VALUE!</v>
      </c>
      <c r="AR40" s="32" t="e">
        <f>IF($AH$40="","",$AH$40+$BH$27-$BN$23)</f>
        <v>#VALUE!</v>
      </c>
      <c r="AS40" s="32" t="e">
        <f>IF($AG$40="","",$AG$40-$AY$27+$BY$23)</f>
        <v>#VALUE!</v>
      </c>
      <c r="AT40" s="32" t="e">
        <f>IF($AH$40="","",$AH$40-$AZ$27+$BZ$23)</f>
        <v>#VALUE!</v>
      </c>
      <c r="AV40" s="81" t="s">
        <v>194</v>
      </c>
      <c r="AW40" s="81" t="s">
        <v>408</v>
      </c>
      <c r="AX40" s="81" t="s">
        <v>196</v>
      </c>
      <c r="AY40" s="81" t="s">
        <v>197</v>
      </c>
      <c r="AZ40" s="82" t="s">
        <v>284</v>
      </c>
      <c r="BA40" s="81"/>
      <c r="BB40" s="81" t="s">
        <v>285</v>
      </c>
      <c r="BD40" s="52">
        <v>3</v>
      </c>
      <c r="BE40" s="53" t="s">
        <v>272</v>
      </c>
      <c r="BF40" s="36" t="str">
        <f>IF(AND(ISNUMBER($AI$35), ISNUMBER($AJ$35)),IF(AND($AI$35&gt;0,IF($AI$35&lt;$BJ$20,$AS$73,$AS$72)&lt;0),8,IF(AND($AI$35&lt;0,$AJ$35&lt;0),7,IF(AND(IF($AJ$35&lt;$BM$20,$AR$73,$AR$74)&lt;0,$AJ$35&gt;0),6,""))),"")</f>
        <v/>
      </c>
      <c r="BG40" s="82">
        <v>3</v>
      </c>
      <c r="BH40" s="82">
        <v>34</v>
      </c>
      <c r="BI40" s="82">
        <v>35</v>
      </c>
      <c r="BJ40" s="82">
        <v>2</v>
      </c>
      <c r="BK40" s="82">
        <v>11</v>
      </c>
      <c r="BL40" s="82">
        <v>10</v>
      </c>
      <c r="BM40" s="82">
        <v>9</v>
      </c>
      <c r="BN40" s="82">
        <v>4</v>
      </c>
      <c r="BO40" s="82">
        <v>33</v>
      </c>
      <c r="BZ40" s="19"/>
      <c r="CA40" s="19"/>
    </row>
    <row r="41" spans="1:79" ht="12" customHeight="1" x14ac:dyDescent="0.25">
      <c r="A41" s="904"/>
      <c r="B41" s="892"/>
      <c r="C41" s="9"/>
      <c r="D41" s="10"/>
      <c r="E41" s="10"/>
      <c r="F41" s="10"/>
      <c r="G41" s="10"/>
      <c r="H41" s="10"/>
      <c r="I41" s="10"/>
      <c r="J41" s="10"/>
      <c r="K41" s="10"/>
      <c r="L41" s="924"/>
      <c r="M41" s="926"/>
      <c r="N41" s="10"/>
      <c r="O41" s="10"/>
      <c r="P41" s="10"/>
      <c r="Q41" s="10"/>
      <c r="R41" s="10"/>
      <c r="S41" s="10"/>
      <c r="T41" s="10"/>
      <c r="U41" s="10"/>
      <c r="V41" s="22"/>
      <c r="W41" s="904"/>
      <c r="X41" s="904"/>
      <c r="AA41" s="5"/>
      <c r="AB41" s="5"/>
      <c r="AC41" s="52">
        <v>3</v>
      </c>
      <c r="AD41" s="53" t="s">
        <v>274</v>
      </c>
      <c r="AE41" s="32" t="e">
        <f>IF($AI$41="","",$AI$41-$BG$27-$AY$27)</f>
        <v>#VALUE!</v>
      </c>
      <c r="AF41" s="79" t="e">
        <f>IF($AJ$41="","",$AJ$41-$BH$27-$AZ$27)</f>
        <v>#VALUE!</v>
      </c>
      <c r="AG41" s="32" t="e">
        <f>IF($AI$41="","",$AI$41-$BG$27)</f>
        <v>#VALUE!</v>
      </c>
      <c r="AH41" s="32" t="e">
        <f>IF($AJ$41="","",$AJ$41-$BH$27)</f>
        <v>#VALUE!</v>
      </c>
      <c r="AI41" s="47" t="e">
        <f>IF(AND($L$39=$R$10,ISNUMBER($K$10)),IF(AND($Y$10&gt;0,$AA$10&gt;0,$Y$10&lt;$BI$23,$AA$10&lt;$BN$23),$Y$10,""),"")</f>
        <v>#VALUE!</v>
      </c>
      <c r="AJ41" s="47" t="e">
        <f>IF(AND($L$39=$R$10,ISNUMBER($K$10)),IF(AND($Y$10&gt;0,$AA$10&gt;0,$Y$10&lt;$BI$23,$AA$10&lt;$BN$23),$AA$10,""),"")</f>
        <v>#VALUE!</v>
      </c>
      <c r="AK41" s="32" t="e">
        <f>IF($AI$41="","",$AI$41-$BO$27)</f>
        <v>#VALUE!</v>
      </c>
      <c r="AL41" s="32" t="e">
        <f>IF($AJ$41="","",$AJ$41-$BP$27)</f>
        <v>#VALUE!</v>
      </c>
      <c r="AM41" s="32" t="e">
        <f>IF($AI$41="","",$AI$41-$BG$27-$BA$27)</f>
        <v>#VALUE!</v>
      </c>
      <c r="AN41" s="32" t="e">
        <f>IF($AJ$41="","",$AJ$41-$BH$27-$BB$27)</f>
        <v>#VALUE!</v>
      </c>
      <c r="AO41" s="32" t="e">
        <f>IF($AI$41="","",$AI$41-$BI$27)</f>
        <v>#VALUE!</v>
      </c>
      <c r="AP41" s="32" t="e">
        <f>IF($AJ$41="","",$AJ$41-$BJ$27)</f>
        <v>#VALUE!</v>
      </c>
      <c r="AQ41" s="32" t="e">
        <f>IF($AI$41="","",$AI$41-$BM$27)</f>
        <v>#VALUE!</v>
      </c>
      <c r="AR41" s="32" t="e">
        <f>IF($AJ$41="","",$AJ$41-$BN$27)</f>
        <v>#VALUE!</v>
      </c>
      <c r="AS41" s="32" t="e">
        <f>IF($AI$41="","",$AI$41-$BO$27-$BU$27)</f>
        <v>#VALUE!</v>
      </c>
      <c r="AT41" s="32" t="e">
        <f>IF($AJ$41="","",$AJ$41-$BP$27-$BV$23)</f>
        <v>#VALUE!</v>
      </c>
      <c r="AV41" s="81" t="s">
        <v>201</v>
      </c>
      <c r="AW41" s="81"/>
      <c r="AX41" s="81" t="s">
        <v>203</v>
      </c>
      <c r="AY41" s="81" t="s">
        <v>204</v>
      </c>
      <c r="AZ41" s="82" t="s">
        <v>286</v>
      </c>
      <c r="BA41" s="81"/>
      <c r="BB41" s="81" t="s">
        <v>287</v>
      </c>
      <c r="BD41" s="756">
        <v>4</v>
      </c>
      <c r="BE41" s="758" t="s">
        <v>272</v>
      </c>
      <c r="BF41" s="120" t="str">
        <f>IF(AND(ISNUMBER($AK$36), ISNUMBER($AL$36)),IF(AND(IF(-$AL$36&lt;$BS$20,$AT$74,$AT$73)&lt;0,$AL$36&lt;0),6,IF(AND($AK$36&lt;0,$AL$36&gt;0),5,IF(AND($AK$36&gt;0,IF($AK$36&lt;$BT$20,$AU$74,$AU$71)&lt;0),4,""))),"")</f>
        <v/>
      </c>
      <c r="BG41" s="82">
        <v>4</v>
      </c>
      <c r="BH41" s="82">
        <v>33</v>
      </c>
      <c r="BI41" s="82">
        <v>34</v>
      </c>
      <c r="BJ41" s="82">
        <v>3</v>
      </c>
      <c r="BK41" s="82">
        <v>10</v>
      </c>
      <c r="BL41" s="82">
        <v>9</v>
      </c>
      <c r="BM41" s="82">
        <v>8</v>
      </c>
      <c r="BN41" s="82">
        <v>5</v>
      </c>
      <c r="BO41" s="82">
        <v>32</v>
      </c>
      <c r="BZ41" s="19"/>
      <c r="CA41" s="19"/>
    </row>
    <row r="42" spans="1:79" ht="12" customHeight="1" thickBot="1" x14ac:dyDescent="0.3">
      <c r="B42" s="44" t="e">
        <f>IF($L$39='SHL Section'!$L$38,'SHL Section'!$B$41,IF($L$39='BHL Section 1'!$L$38,'BHL Section 1'!$B$41,IF($L$39='BHL Section 2'!$L$38,'BHL Section 2'!$B$41,IF($L$39='BHL Section 3'!$L$38,'BHL Section 3'!$B$41,$B$43))))</f>
        <v>#VALUE!</v>
      </c>
      <c r="C42" s="4"/>
      <c r="L42" s="927"/>
      <c r="M42" s="929"/>
      <c r="V42" s="22"/>
      <c r="W42" s="202" t="e">
        <f>IF($L$39='SHL Section'!$L$38,'SHL Section'!$W$41,IF($L$39='BHL Section 1'!$L$38,'BHL Section 1'!$W$41,IF($L$39='BHL Section 2'!$L$38,'BHL Section 2'!$W$41,IF($L$39='BHL Section 3'!$L$38,'BHL Section 3'!$W$41,$W$43))))</f>
        <v>#VALUE!</v>
      </c>
      <c r="AA42" s="5"/>
      <c r="AB42" s="29"/>
      <c r="AC42" s="756">
        <v>4</v>
      </c>
      <c r="AD42" s="758" t="s">
        <v>274</v>
      </c>
      <c r="AE42" s="45" t="e">
        <f>IF($AK$42="","",$AK$42-$BW$27)</f>
        <v>#VALUE!</v>
      </c>
      <c r="AF42" s="45" t="e">
        <f>IF($AL$42="","",$AL$42-$BX$27)</f>
        <v>#VALUE!</v>
      </c>
      <c r="AG42" s="45" t="e">
        <f>IF($AK$42="","",$AK$42+$BO$27-$BG$27)</f>
        <v>#VALUE!</v>
      </c>
      <c r="AH42" s="45" t="e">
        <f>IF($AL$42="","",$AL$42+$BP$27+$BH$27)</f>
        <v>#VALUE!</v>
      </c>
      <c r="AI42" s="45" t="e">
        <f>IF($AK$42="","",$AK$42+$BO$27)</f>
        <v>#VALUE!</v>
      </c>
      <c r="AJ42" s="45" t="e">
        <f>IF($AL$42="","",$AL$42+$BP$27)</f>
        <v>#VALUE!</v>
      </c>
      <c r="AK42" s="50" t="e">
        <f>IF(AND($L$39=$R$10,ISNUMBER($K$10)),IF(AND($Y$10&gt;0,$AA$10&lt;0,$Y$10&lt;$BU$23,-$AA$10&lt;$BR$23),$Y$10,""),"")</f>
        <v>#VALUE!</v>
      </c>
      <c r="AL42" s="50" t="e">
        <f>IF(AND($L$39=$R$10,ISNUMBER($K$10)),IF(AND($Y$10&gt;0,$AA$10&lt;0,$Y$10&lt;$BU$23,-$AA$10&lt;$BR$23),$AA$10,""),"")</f>
        <v>#VALUE!</v>
      </c>
      <c r="AM42" s="45" t="e">
        <f>IF($AK$42="","",$AK$42-$BW$27+$AW$23)</f>
        <v>#VALUE!</v>
      </c>
      <c r="AN42" s="45" t="e">
        <f>IF($AL$42="","",$AL$42-$BX$27+$AX$23)</f>
        <v>#VALUE!</v>
      </c>
      <c r="AO42" s="45" t="e">
        <f>IF($AK$42="","",$AK$42+$BO$27-$BI$23)</f>
        <v>#VALUE!</v>
      </c>
      <c r="AP42" s="45" t="e">
        <f>IF($AL$42="","",$AL$42+$BP$27-$BJ$23)</f>
        <v>#VALUE!</v>
      </c>
      <c r="AQ42" s="45" t="e">
        <f>IF($AK$42="","",$AK$42+$BQ$23)</f>
        <v>#VALUE!</v>
      </c>
      <c r="AR42" s="45" t="e">
        <f>IF($AL$42="","",$AL$42+$BR$23)</f>
        <v>#VALUE!</v>
      </c>
      <c r="AS42" s="45" t="e">
        <f>IF($AK$42="","",$AK$42-$BU$23)</f>
        <v>#VALUE!</v>
      </c>
      <c r="AT42" s="45" t="e">
        <f>IF($AL$42="","",$AL$42-$BV$23)</f>
        <v>#VALUE!</v>
      </c>
      <c r="AV42" s="81"/>
      <c r="AW42" s="81"/>
      <c r="AX42" s="81"/>
      <c r="AY42" s="81"/>
      <c r="AZ42" s="81"/>
      <c r="BA42" s="81"/>
      <c r="BB42" s="81" t="s">
        <v>288</v>
      </c>
      <c r="BD42" s="52">
        <v>1</v>
      </c>
      <c r="BE42" s="53" t="s">
        <v>274</v>
      </c>
      <c r="BF42" s="36" t="str">
        <f>IF(AND(ISNUMBER($AE$39), ISNUMBER($AF$39)),IF(AND($AE$39&gt;0,$AF$39&gt;0),3,IF(AND($AE$39&lt;0,IF(-$AE$39&lt;$BZ$20,$AO$82,$AO$85)&lt;0),4,IF(AND(IF(-$AF$39&lt;$AW$20,$AN$82,$AN$83)&lt;0,$AF$39&lt;0),2,""))),"")</f>
        <v/>
      </c>
      <c r="BG42" s="82">
        <v>5</v>
      </c>
      <c r="BH42" s="82">
        <v>32</v>
      </c>
      <c r="BI42" s="82">
        <v>33</v>
      </c>
      <c r="BJ42" s="82">
        <v>4</v>
      </c>
      <c r="BK42" s="82">
        <v>9</v>
      </c>
      <c r="BL42" s="82">
        <v>8</v>
      </c>
      <c r="BM42" s="82">
        <v>7</v>
      </c>
      <c r="BN42" s="82">
        <v>6</v>
      </c>
      <c r="BO42" s="82">
        <v>31</v>
      </c>
      <c r="BZ42" s="19"/>
      <c r="CA42" s="19"/>
    </row>
    <row r="43" spans="1:79" ht="12" customHeight="1" x14ac:dyDescent="0.25">
      <c r="A43" s="17" t="s">
        <v>118</v>
      </c>
      <c r="B43" s="110"/>
      <c r="C43" s="4"/>
      <c r="G43" s="831" t="s">
        <v>348</v>
      </c>
      <c r="H43" s="832"/>
      <c r="L43" s="13"/>
      <c r="M43" s="14"/>
      <c r="Q43" s="831" t="s">
        <v>349</v>
      </c>
      <c r="R43" s="832"/>
      <c r="U43" s="155"/>
      <c r="V43" s="22"/>
      <c r="W43" s="162"/>
      <c r="X43" s="25" t="s">
        <v>118</v>
      </c>
      <c r="AA43" s="5"/>
      <c r="AB43" s="29"/>
      <c r="AC43" s="944"/>
      <c r="AD43" s="911"/>
      <c r="AE43" s="80" t="str">
        <f>IF(ISNUMBER($AE$39),AE$39,IF(ISNUMBER($AG$40),AE$40,IF(ISNUMBER($AI$41),AE$41,IF(ISNUMBER($AK$42),AE$42,""))))</f>
        <v/>
      </c>
      <c r="AF43" s="80" t="str">
        <f>IF(ISNUMBER($AF$39),AF$39,IF(ISNUMBER($AH$40),AF$40,IF(ISNUMBER($AJ$41),AF$41,IF(ISNUMBER($AL$42),AF$42,""))))</f>
        <v/>
      </c>
      <c r="AG43" s="80" t="str">
        <f>IF(ISNUMBER($AE$39),AG$39,IF(ISNUMBER($AG$40),AG$40,IF(ISNUMBER($AI$41),AG$41,IF(ISNUMBER($AK$42),AG$42,""))))</f>
        <v/>
      </c>
      <c r="AH43" s="80" t="str">
        <f>IF(ISNUMBER($AF$39),AH$39,IF(ISNUMBER($AH$40),AH$40,IF(ISNUMBER($AJ$41),AH$41,IF(ISNUMBER($AL$42),AH$42,""))))</f>
        <v/>
      </c>
      <c r="AI43" s="80" t="str">
        <f>IF(ISNUMBER($AE$39),AI$39,IF(ISNUMBER($AG$40),AI$40,IF(ISNUMBER($AI$41),AI$41,IF(ISNUMBER($AK$42),AI$42,""))))</f>
        <v/>
      </c>
      <c r="AJ43" s="80" t="str">
        <f>IF(ISNUMBER($AF$39),AJ$39,IF(ISNUMBER($AH$40),AJ$40,IF(ISNUMBER($AJ$41),AJ$41,IF(ISNUMBER($AL$42),AJ$42,""))))</f>
        <v/>
      </c>
      <c r="AK43" s="80" t="str">
        <f>IF(ISNUMBER($AE$39),AK$39,IF(ISNUMBER($AG$40),AK$40,IF(ISNUMBER($AI$41),AK$41,IF(ISNUMBER($AK$42),AK$42,""))))</f>
        <v/>
      </c>
      <c r="AL43" s="80" t="str">
        <f>IF(ISNUMBER($AF$39),AL$39,IF(ISNUMBER($AH$40),AL$40,IF(ISNUMBER($AJ$41),AL$41,IF(ISNUMBER($AL$42),AL$42,""))))</f>
        <v/>
      </c>
      <c r="AM43" s="80" t="str">
        <f>IF(ISNUMBER($AE$39),AM$39,IF(ISNUMBER($AG$40),AM$40,IF(ISNUMBER($AI$41),AM$41,IF(ISNUMBER($AK$42),AM$42,""))))</f>
        <v/>
      </c>
      <c r="AN43" s="80" t="str">
        <f>IF(ISNUMBER($AF$39),AN$39,IF(ISNUMBER($AH$40),AN$40,IF(ISNUMBER($AJ$41),AN$41,IF(ISNUMBER($AL$42),AN$42,""))))</f>
        <v/>
      </c>
      <c r="AO43" s="80" t="str">
        <f>IF(ISNUMBER($AE$39),AO$39,IF(ISNUMBER($AG$40),AO$40,IF(ISNUMBER($AI$41),AO$41,IF(ISNUMBER($AK$42),AO$42,""))))</f>
        <v/>
      </c>
      <c r="AP43" s="80" t="str">
        <f>IF(ISNUMBER($AF$39),AP$39,IF(ISNUMBER($AH$40),AP$40,IF(ISNUMBER($AJ$41),AP$41,IF(ISNUMBER($AL$42),AP$42,""))))</f>
        <v/>
      </c>
      <c r="AQ43" s="80" t="str">
        <f>IF(ISNUMBER($AE$39),AQ$39,IF(ISNUMBER($AG$40),AQ$40,IF(ISNUMBER($AI$41),AQ$41,IF(ISNUMBER($AK$42),AQ$42,""))))</f>
        <v/>
      </c>
      <c r="AR43" s="80" t="str">
        <f>IF(ISNUMBER($AF$39),AR$39,IF(ISNUMBER($AH$40),AR$40,IF(ISNUMBER($AJ$41),AR$41,IF(ISNUMBER($AL$42),AR$42,""))))</f>
        <v/>
      </c>
      <c r="AS43" s="80" t="str">
        <f>IF(ISNUMBER($AE$39),AS$39,IF(ISNUMBER($AG$40),AS$40,IF(ISNUMBER($AI$41),AS$41,IF(ISNUMBER($AK$42),AS$42,""))))</f>
        <v/>
      </c>
      <c r="AT43" s="80" t="str">
        <f>IF(ISNUMBER($AF$39),AT$39,IF(ISNUMBER($AH$40),AT$40,IF(ISNUMBER($AJ$41),AT$41,IF(ISNUMBER($AL$42),AT$42,""))))</f>
        <v/>
      </c>
      <c r="AV43" s="81" t="s">
        <v>184</v>
      </c>
      <c r="AW43" s="81"/>
      <c r="AX43" s="81"/>
      <c r="AY43" s="81"/>
      <c r="AZ43" s="81"/>
      <c r="BA43" s="81"/>
      <c r="BB43" s="81" t="s">
        <v>289</v>
      </c>
      <c r="BD43" s="52">
        <v>2</v>
      </c>
      <c r="BE43" s="53" t="s">
        <v>274</v>
      </c>
      <c r="BF43" s="36" t="str">
        <f>IF(AND(ISNUMBER($AG$40), ISNUMBER($AH$40)),IF(AND(IF($AH$40&lt;$BC$20,$AP$83,$AP$82)&lt;0,$AH$40&gt;0),2,IF(AND($AG$40&gt;0,$AH$40&lt;0),9,IF(AND($AG$40&lt;0,IF(-$AG$40&lt;$BD$20,$AQ$83,$AQ$84)&lt;0),8,""))),"")</f>
        <v/>
      </c>
      <c r="BG43" s="82">
        <v>6</v>
      </c>
      <c r="BH43" s="82">
        <v>31</v>
      </c>
      <c r="BI43" s="82">
        <v>32</v>
      </c>
      <c r="BJ43" s="82">
        <v>5</v>
      </c>
      <c r="BK43" s="82">
        <v>8</v>
      </c>
      <c r="BL43" s="82">
        <v>7</v>
      </c>
      <c r="BM43" s="82">
        <v>12</v>
      </c>
      <c r="BN43" s="82">
        <v>1</v>
      </c>
      <c r="BO43" s="82">
        <v>36</v>
      </c>
      <c r="BZ43" s="19"/>
      <c r="CA43" s="19"/>
    </row>
    <row r="44" spans="1:79" ht="12" customHeight="1" x14ac:dyDescent="0.25">
      <c r="A44" s="17" t="s">
        <v>124</v>
      </c>
      <c r="B44" s="111"/>
      <c r="C44" s="4"/>
      <c r="G44" s="99" t="str">
        <f>IF(ISNUMBER($AI$67),$C$9,"")</f>
        <v/>
      </c>
      <c r="H44" s="150" t="str">
        <f>IF(AND(G45="",G46=""),"",IF($AI$67=1,"NE/SW",IF($AI$67=2,"NW/SW",IF($AI$67=3,"SW/SW",IF($AI$67=4,"SE/SW","")))))</f>
        <v/>
      </c>
      <c r="L44" s="13"/>
      <c r="M44" s="14"/>
      <c r="Q44" s="99" t="str">
        <f>IF(ISNUMBER($AK$67),$C$9,"")</f>
        <v/>
      </c>
      <c r="R44" s="150" t="str">
        <f>IF(AND(Q45="",Q46=""),"",IF($AK$67=1,"NE/SE",IF($AK$67=2,"NW/SE",IF($AK$67=3,"SW/SE",IF($AK$67=4,"SE/SE","")))))</f>
        <v/>
      </c>
      <c r="U44" s="155"/>
      <c r="V44" s="22"/>
      <c r="W44" s="147"/>
      <c r="X44" s="25" t="s">
        <v>124</v>
      </c>
      <c r="AA44" s="5"/>
      <c r="AB44" s="5"/>
      <c r="AC44" s="94"/>
      <c r="AD44" s="95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V44" s="81" t="s">
        <v>189</v>
      </c>
      <c r="AW44" s="81"/>
      <c r="AX44" s="81"/>
      <c r="AY44" s="81"/>
      <c r="AZ44" s="81"/>
      <c r="BA44" s="81"/>
      <c r="BB44" s="81" t="s">
        <v>290</v>
      </c>
      <c r="BD44" s="52">
        <v>3</v>
      </c>
      <c r="BE44" s="53" t="s">
        <v>274</v>
      </c>
      <c r="BF44" s="36" t="str">
        <f>IF(AND(ISNUMBER($AI$41), ISNUMBER($AJ$41)),IF(AND($AI$41&gt;0,IF($AI$41&lt;$BJ$20,$AS$84,$AS$83)&lt;0),8,IF(AND($AI$41&lt;0,$AJ$41&lt;0),7,IF(AND(IF($AJ$41&lt;$BM$20,$AR$84,$AR$85)&lt;0,$AJ$41&gt;0),6,""))),"")</f>
        <v/>
      </c>
      <c r="BG44" s="82">
        <v>7</v>
      </c>
      <c r="BH44" s="82">
        <v>6</v>
      </c>
      <c r="BI44" s="82">
        <v>5</v>
      </c>
      <c r="BJ44" s="82">
        <v>8</v>
      </c>
      <c r="BK44" s="82">
        <v>17</v>
      </c>
      <c r="BL44" s="82">
        <v>18</v>
      </c>
      <c r="BM44" s="82">
        <v>13</v>
      </c>
      <c r="BN44" s="82">
        <v>12</v>
      </c>
      <c r="BO44" s="82">
        <v>1</v>
      </c>
      <c r="BZ44" s="19"/>
      <c r="CA44" s="19"/>
    </row>
    <row r="45" spans="1:79" ht="12" customHeight="1" x14ac:dyDescent="0.25">
      <c r="A45" s="17" t="s">
        <v>130</v>
      </c>
      <c r="B45" s="111"/>
      <c r="C45" s="4"/>
      <c r="G45" s="151" t="str">
        <f>IF(ISNUMBER($AI$67),$M$9,"")</f>
        <v/>
      </c>
      <c r="H45" s="152" t="str">
        <f>IF(ISNUMBER($AI$67),"FSL","")</f>
        <v/>
      </c>
      <c r="J45" s="19"/>
      <c r="K45" s="19"/>
      <c r="L45" s="13"/>
      <c r="M45" s="14"/>
      <c r="Q45" s="151" t="str">
        <f>IF(ISNUMBER($AK$67),$M$9,"")</f>
        <v/>
      </c>
      <c r="R45" s="152" t="str">
        <f>IF(ISNUMBER($AK$67),"FSL","")</f>
        <v/>
      </c>
      <c r="T45" s="19"/>
      <c r="U45" s="155"/>
      <c r="V45" s="22"/>
      <c r="W45" s="147"/>
      <c r="X45" s="25" t="s">
        <v>130</v>
      </c>
      <c r="AA45" s="5"/>
      <c r="AB45" s="29"/>
      <c r="AC45" s="52">
        <v>1</v>
      </c>
      <c r="AD45" s="53" t="s">
        <v>276</v>
      </c>
      <c r="AE45" s="47" t="e">
        <f>IF(AND($L$39=$R$11,ISNUMBER($K$11)),IF(AND($Y$11&lt;0,$AA$11&lt;0,-$Y$11&lt;$BY$23,-$AA$11&lt;$AX$23),$Y$11,""),"")</f>
        <v>#VALUE!</v>
      </c>
      <c r="AF45" s="47" t="e">
        <f>IF(AND($L$39=$R$11,ISNUMBER($K$11)),IF(AND($Y$11&lt;0,$AA$11&lt;0,-$Y$11&lt;$BY$23,-$AA$11&lt;$AX$23),$AA$11,""),"")</f>
        <v>#VALUE!</v>
      </c>
      <c r="AG45" s="32" t="e">
        <f>IF($AE$45="","",$AY$27+$AE$45)</f>
        <v>#VALUE!</v>
      </c>
      <c r="AH45" s="32" t="e">
        <f>IF($AF$45="","",$AZ$27+$AF$45)</f>
        <v>#VALUE!</v>
      </c>
      <c r="AI45" s="32" t="e">
        <f>IF($AE$45="","",$BG$27+$AY$27+$AE$45)</f>
        <v>#VALUE!</v>
      </c>
      <c r="AJ45" s="32" t="e">
        <f>IF($AF$45="","",$AZ$27+$BH$27+$AF$45)</f>
        <v>#VALUE!</v>
      </c>
      <c r="AK45" s="32" t="e">
        <f>IF($AE$45="","",$BW$27+$AE$45)</f>
        <v>#VALUE!</v>
      </c>
      <c r="AL45" s="32" t="e">
        <f>IF($AF$45="","",$AF$45+$BX$27)</f>
        <v>#VALUE!</v>
      </c>
      <c r="AM45" s="32" t="e">
        <f>IF($AE$45="","",$AW$23+$AE$45)</f>
        <v>#VALUE!</v>
      </c>
      <c r="AN45" s="32" t="e">
        <f>IF($AF$45="","",$AX$23+$AF$45)</f>
        <v>#VALUE!</v>
      </c>
      <c r="AO45" s="32" t="e">
        <f>IF($AE$45="","",$AY$27+$AE$45+$BE$23)</f>
        <v>#VALUE!</v>
      </c>
      <c r="AP45" s="32" t="e">
        <f>IF($AF$45="","",$AZ$27+$AF$45+$BF$23)</f>
        <v>#VALUE!</v>
      </c>
      <c r="AQ45" s="32" t="e">
        <f>IF($AE$45="","",$BW$27+$AE$45+$BQ$23)</f>
        <v>#VALUE!</v>
      </c>
      <c r="AR45" s="32" t="e">
        <f>IF($AF$45="","",$AF$45+$BX$27+$BR$23)</f>
        <v>#VALUE!</v>
      </c>
      <c r="AS45" s="32" t="e">
        <f>IF($AE$45="","",$BY$23+$AE$45)</f>
        <v>#VALUE!</v>
      </c>
      <c r="AT45" s="32" t="e">
        <f>IF($AF$45="","",$AF$45+$BZ$23)</f>
        <v>#VALUE!</v>
      </c>
      <c r="AV45" s="81" t="s">
        <v>198</v>
      </c>
      <c r="AW45" s="81"/>
      <c r="AX45" s="81"/>
      <c r="AY45" s="81"/>
      <c r="AZ45" s="81"/>
      <c r="BA45" s="81"/>
      <c r="BB45" s="81" t="s">
        <v>291</v>
      </c>
      <c r="BD45" s="756">
        <v>4</v>
      </c>
      <c r="BE45" s="758" t="s">
        <v>274</v>
      </c>
      <c r="BF45" s="120" t="str">
        <f>IF(AND(ISNUMBER($AK$42), ISNUMBER($AL$42)),IF(AND(IF(-$AL$42&lt;$BS$20,$AT$85,$AT$84)&lt;0,$AL$42&lt;0),6,IF(AND($AK$42&lt;0,$AL$42&gt;0),5,IF(AND($AK$42&gt;0,IF($AK$42&lt;$BT$20,$AU$85,$AU$82)&lt;0),4,""))),"")</f>
        <v/>
      </c>
      <c r="BG45" s="82">
        <v>8</v>
      </c>
      <c r="BH45" s="82">
        <v>5</v>
      </c>
      <c r="BI45" s="82">
        <v>4</v>
      </c>
      <c r="BJ45" s="82">
        <v>9</v>
      </c>
      <c r="BK45" s="82">
        <v>16</v>
      </c>
      <c r="BL45" s="82">
        <v>17</v>
      </c>
      <c r="BM45" s="82">
        <v>18</v>
      </c>
      <c r="BN45" s="82">
        <v>7</v>
      </c>
      <c r="BO45" s="82">
        <v>6</v>
      </c>
      <c r="BZ45" s="19"/>
      <c r="CA45" s="19"/>
    </row>
    <row r="46" spans="1:79" ht="12" customHeight="1" x14ac:dyDescent="0.25">
      <c r="A46" s="17" t="s">
        <v>134</v>
      </c>
      <c r="B46" s="111"/>
      <c r="C46" s="4"/>
      <c r="G46" s="91" t="str">
        <f>IF(ISNUMBER($AI$67),$O$9,"")</f>
        <v/>
      </c>
      <c r="H46" s="90" t="str">
        <f>IF(ISNUMBER($AI$67),"FWL","")</f>
        <v/>
      </c>
      <c r="J46" s="19"/>
      <c r="K46" s="19"/>
      <c r="L46" s="13"/>
      <c r="M46" s="14"/>
      <c r="Q46" s="91" t="str">
        <f>IF(ISNUMBER($AK$67),$O$9,"")</f>
        <v/>
      </c>
      <c r="R46" s="90" t="str">
        <f>IF(ISNUMBER($AK$67),"FEL","")</f>
        <v/>
      </c>
      <c r="T46" s="19"/>
      <c r="U46" s="155"/>
      <c r="V46" s="22"/>
      <c r="W46" s="147"/>
      <c r="X46" s="25" t="s">
        <v>134</v>
      </c>
      <c r="AA46" s="5"/>
      <c r="AB46" s="29"/>
      <c r="AC46" s="52">
        <v>2</v>
      </c>
      <c r="AD46" s="53" t="s">
        <v>276</v>
      </c>
      <c r="AE46" s="32" t="e">
        <f>IF($AG$46="","",$AG$46-$AY$27)</f>
        <v>#VALUE!</v>
      </c>
      <c r="AF46" s="32" t="e">
        <f>IF($AH$46="","",$AH$46-$AZ$27)</f>
        <v>#VALUE!</v>
      </c>
      <c r="AG46" s="47" t="e">
        <f>IF(AND($L$39=$R$11,ISNUMBER($K$11)),IF(AND($Y$11&lt;0,$AA$11&gt;0,-$Y$11&lt;$BE$23,$AA$11&lt;$BB$23),$Y$11,""),"")</f>
        <v>#VALUE!</v>
      </c>
      <c r="AH46" s="47" t="e">
        <f>IF(AND($L$39=$R$11,ISNUMBER($K$11)),IF(AND($Y$11&lt;0,$AA$11&gt;0,-$Y$11&lt;$BE$23,$AA$11&lt;$BB$23),$AA$11,""),"")</f>
        <v>#VALUE!</v>
      </c>
      <c r="AI46" s="32" t="e">
        <f>IF($AG$46="","",$BG$27+$AG$46)</f>
        <v>#VALUE!</v>
      </c>
      <c r="AJ46" s="32" t="e">
        <f>IF($AH$46="","",$AH$46+$BH$27)</f>
        <v>#VALUE!</v>
      </c>
      <c r="AK46" s="32" t="e">
        <f>IF($AG$46="","",$AG$46-$AY$27+$BW$27)</f>
        <v>#VALUE!</v>
      </c>
      <c r="AL46" s="32" t="e">
        <f>IF($AH$46="","",$AH$46-$AZ$27+$BX$27)</f>
        <v>#VALUE!</v>
      </c>
      <c r="AM46" s="32" t="e">
        <f>IF($AG$46="","",$AG$46-$BA$23)</f>
        <v>#VALUE!</v>
      </c>
      <c r="AN46" s="32" t="e">
        <f>IF($AH$46="","",AH$46-$BB$23)</f>
        <v>#VALUE!</v>
      </c>
      <c r="AO46" s="32" t="e">
        <f>IF($AG$46="","",$BE$23+$AG$46)</f>
        <v>#VALUE!</v>
      </c>
      <c r="AP46" s="32" t="e">
        <f>IF($AH$46="","",$AH$46+$BF$23)</f>
        <v>#VALUE!</v>
      </c>
      <c r="AQ46" s="32" t="e">
        <f>IF($AG$46="","",$BG$27+$AG$46-$BM$23)</f>
        <v>#VALUE!</v>
      </c>
      <c r="AR46" s="32" t="e">
        <f>IF($AH$46="","",$AH$46+$BH$27-$BN$23)</f>
        <v>#VALUE!</v>
      </c>
      <c r="AS46" s="32" t="e">
        <f>IF($AG$46="","",$AG$46-$AY$27+$BY$23)</f>
        <v>#VALUE!</v>
      </c>
      <c r="AT46" s="32" t="e">
        <f>IF($AH$46="","",$AH$46-$AZ$27+$BZ$23)</f>
        <v>#VALUE!</v>
      </c>
      <c r="AV46" s="81"/>
      <c r="AW46" s="81"/>
      <c r="AX46" s="81"/>
      <c r="AY46" s="81"/>
      <c r="AZ46" s="81"/>
      <c r="BA46" s="81"/>
      <c r="BB46" s="81" t="s">
        <v>292</v>
      </c>
      <c r="BD46" s="52">
        <v>1</v>
      </c>
      <c r="BE46" s="53" t="s">
        <v>276</v>
      </c>
      <c r="BF46" s="36" t="str">
        <f>IF(AND(ISNUMBER($AE$45), ISNUMBER($AF$45)),IF(AND($AE$45&gt;0,$AF$45&gt;0),3,IF(AND($AE$45&lt;0,IF(-$AE$45&lt;$BZ$20,$AO$93,$AO$96)&lt;0),4,IF(AND(IF(-$AF$45&lt;$AW$20,$AN$93,$AN$94)&lt;0,$AF$45&lt;0),2,""))),"")</f>
        <v/>
      </c>
      <c r="BG46" s="82">
        <v>9</v>
      </c>
      <c r="BH46" s="82">
        <v>4</v>
      </c>
      <c r="BI46" s="82">
        <v>3</v>
      </c>
      <c r="BJ46" s="82">
        <v>10</v>
      </c>
      <c r="BK46" s="82">
        <v>15</v>
      </c>
      <c r="BL46" s="82">
        <v>16</v>
      </c>
      <c r="BM46" s="82">
        <v>17</v>
      </c>
      <c r="BN46" s="82">
        <v>8</v>
      </c>
      <c r="BO46" s="82">
        <v>5</v>
      </c>
      <c r="BZ46" s="19"/>
      <c r="CA46" s="19"/>
    </row>
    <row r="47" spans="1:79" ht="12" customHeight="1" x14ac:dyDescent="0.25">
      <c r="A47" s="17" t="s">
        <v>140</v>
      </c>
      <c r="B47" s="112">
        <v>1</v>
      </c>
      <c r="C47" s="4"/>
      <c r="G47" s="99" t="str">
        <f>IF(ISNUMBER($AI$78),$C$10,"")</f>
        <v/>
      </c>
      <c r="H47" s="150" t="str">
        <f>IF(AND(G48="",G49=""),"",IF($AI$78=1,"NE/SW",IF($AI$78=2,"NW/SW",IF($AI$78=3,"SW/SW",IF($AI$78=4,"SE/SW","")))))</f>
        <v/>
      </c>
      <c r="I47" s="154"/>
      <c r="J47" s="153"/>
      <c r="K47" s="153"/>
      <c r="L47" s="13"/>
      <c r="M47" s="14"/>
      <c r="Q47" s="99" t="str">
        <f>IF(ISNUMBER($AK$78),$C$10,"")</f>
        <v/>
      </c>
      <c r="R47" s="150" t="str">
        <f>IF(AND(Q48="",Q49=""),"",IF($AK$78=1,"NE/SE",IF($AK$78=2,"NW/SE",IF($AK$78=3,"SW/SE",IF($AK$78=4,"SE/SE","")))))</f>
        <v/>
      </c>
      <c r="S47" s="154"/>
      <c r="T47" s="153"/>
      <c r="U47" s="155"/>
      <c r="V47" s="22"/>
      <c r="W47" s="112">
        <v>4</v>
      </c>
      <c r="X47" s="25" t="s">
        <v>140</v>
      </c>
      <c r="AA47" s="5"/>
      <c r="AB47" s="29"/>
      <c r="AC47" s="52">
        <v>3</v>
      </c>
      <c r="AD47" s="53" t="s">
        <v>276</v>
      </c>
      <c r="AE47" s="32" t="e">
        <f>IF($AI$47="","",$AI$47-$BG$27-$AY$27)</f>
        <v>#VALUE!</v>
      </c>
      <c r="AF47" s="79" t="e">
        <f>IF($AJ$47="","",$AJ$47-$BH$27-$AZ$27)</f>
        <v>#VALUE!</v>
      </c>
      <c r="AG47" s="32" t="e">
        <f>IF($AI$47="","",$AI$47-$BG$27)</f>
        <v>#VALUE!</v>
      </c>
      <c r="AH47" s="32" t="e">
        <f>IF($AJ$47="","",$AJ$47-$BH$27)</f>
        <v>#VALUE!</v>
      </c>
      <c r="AI47" s="47" t="e">
        <f>IF(AND($L$39=$R$11,ISNUMBER($K$11)),IF(AND($Y$11&gt;0,$AA$11&gt;0,$Y$11&lt;$BI$23,$AA$11&lt;$BN$23),$Y$11,""),"")</f>
        <v>#VALUE!</v>
      </c>
      <c r="AJ47" s="47" t="e">
        <f>IF(AND($L$39=$R$11,ISNUMBER($K$11)),IF(AND($Y$11&gt;0,$AA$11&gt;0,$Y$11&lt;$BI$23,$AA$11&lt;$BN$23),$AA$11,""),"")</f>
        <v>#VALUE!</v>
      </c>
      <c r="AK47" s="32" t="e">
        <f>IF($AI$47="","",$AI$47-$BO$27)</f>
        <v>#VALUE!</v>
      </c>
      <c r="AL47" s="32" t="e">
        <f>IF($AJ$47="","",$AJ$47-$BP$27)</f>
        <v>#VALUE!</v>
      </c>
      <c r="AM47" s="32" t="e">
        <f>IF($AI$47="","",$AI$47-$BG$27-$BA$27)</f>
        <v>#VALUE!</v>
      </c>
      <c r="AN47" s="32" t="e">
        <f>IF($AJ$47="","",$AJ$47-$BH$27-$BB$27)</f>
        <v>#VALUE!</v>
      </c>
      <c r="AO47" s="32" t="e">
        <f>IF($AI$47="","",$AI$47-$BI$27)</f>
        <v>#VALUE!</v>
      </c>
      <c r="AP47" s="32" t="e">
        <f>IF($AJ$47="","",$AJ$47-$BJ$27)</f>
        <v>#VALUE!</v>
      </c>
      <c r="AQ47" s="32" t="e">
        <f>IF($AI$47="","",$AI$47-$BM$27)</f>
        <v>#VALUE!</v>
      </c>
      <c r="AR47" s="32" t="e">
        <f>IF($AJ$47="","",$AJ$47-$BN$27)</f>
        <v>#VALUE!</v>
      </c>
      <c r="AS47" s="32" t="e">
        <f>IF($AI$47="","",$AI$47-$BO$27-$BU$27)</f>
        <v>#VALUE!</v>
      </c>
      <c r="AT47" s="32" t="e">
        <f>IF($AJ$47="","",$AJ$47-$BP$27-$BV$23)</f>
        <v>#VALUE!</v>
      </c>
      <c r="AV47" s="81"/>
      <c r="AW47" s="81"/>
      <c r="AX47" s="81"/>
      <c r="AY47" s="81"/>
      <c r="AZ47" s="81"/>
      <c r="BA47" s="81"/>
      <c r="BB47" s="81" t="s">
        <v>293</v>
      </c>
      <c r="BD47" s="52">
        <v>2</v>
      </c>
      <c r="BE47" s="53" t="s">
        <v>276</v>
      </c>
      <c r="BF47" s="36" t="str">
        <f>IF(AND(ISNUMBER($AG$46), ISNUMBER($AH$46)),IF(AND(IF($AH$46&lt;$BC$20,$AP$94,$AP$93)&lt;0,$AH$46&gt;0),2,IF(AND($AG$46&gt;0,$AH$46&lt;0),9,IF(AND($AG$46&lt;0,IF(-$AG$46&lt;$BD$20,$AQ$94,$AQ$95)&lt;0),8,""))),"")</f>
        <v/>
      </c>
      <c r="BG47" s="82">
        <v>10</v>
      </c>
      <c r="BH47" s="82">
        <v>3</v>
      </c>
      <c r="BI47" s="82">
        <v>2</v>
      </c>
      <c r="BJ47" s="82">
        <v>11</v>
      </c>
      <c r="BK47" s="82">
        <v>14</v>
      </c>
      <c r="BL47" s="82">
        <v>15</v>
      </c>
      <c r="BM47" s="82">
        <v>16</v>
      </c>
      <c r="BN47" s="82">
        <v>9</v>
      </c>
      <c r="BO47" s="82">
        <v>4</v>
      </c>
      <c r="BZ47" s="19"/>
      <c r="CA47" s="19"/>
    </row>
    <row r="48" spans="1:79" ht="12" customHeight="1" x14ac:dyDescent="0.25">
      <c r="A48" s="17" t="s">
        <v>144</v>
      </c>
      <c r="B48" s="27" t="e">
        <f>IF($L$39='SHL Section'!$L$38,IF('SHL Section'!$B$46="","",'SHL Section'!$B$46),IF($L$39='BHL Section 1'!$L$38,IF('BHL Section 1'!$B$47="","",'BHL Section 1'!$B$47),IF($L$39='BHL Section 2'!$L$38,IF('BHL Section 2'!$B$47="","",'BHL Section 2'!$B$47),IF($L$39='BHL Section 3'!$L$38,IF('BHL Section 3'!$B$47="","",'BHL Section 3'!$B$47),IF(B44="","",IF(OR(B47=1,B47=4),180-(B44+B45/60+B46/3600),(B44+B45/60+B46/3600)))))))</f>
        <v>#VALUE!</v>
      </c>
      <c r="C48" s="4"/>
      <c r="G48" s="151" t="str">
        <f>IF(ISNUMBER($AI$78),$M$10,"")</f>
        <v/>
      </c>
      <c r="H48" s="152" t="str">
        <f>IF(ISNUMBER($AI$78),"FSL","")</f>
        <v/>
      </c>
      <c r="I48" s="154"/>
      <c r="J48" s="153"/>
      <c r="K48" s="153"/>
      <c r="L48" s="13"/>
      <c r="M48" s="14"/>
      <c r="Q48" s="151" t="str">
        <f>IF(ISNUMBER($AK$78),$M$10,"")</f>
        <v/>
      </c>
      <c r="R48" s="152" t="str">
        <f>IF(ISNUMBER($AK$78),"FSL","")</f>
        <v/>
      </c>
      <c r="S48" s="154"/>
      <c r="T48" s="153"/>
      <c r="V48" s="22"/>
      <c r="W48" s="34" t="e">
        <f>IF($L$39='SHL Section'!$L$38,IF('SHL Section'!$W$46="","",'SHL Section'!$W$46),IF($L$39='BHL Section 1'!$L$38,IF('BHL Section 1'!$W$47="","",'BHL Section 1'!$W$47),IF($L$39='BHL Section 2'!$L$38,IF('BHL Section 2'!$W$47="","",'BHL Section 2'!$W$47),IF($L$39='BHL Section 3'!$L$38,IF('BHL Section 3'!$W$47="","",'BHL Section 3'!$W$47),IF(W44="","",IF(OR(W47=1,W47=4),180-(W44+W45/60+W46/3600),(W44+W45/60+W46/3600)))))))</f>
        <v>#VALUE!</v>
      </c>
      <c r="X48" s="25" t="s">
        <v>144</v>
      </c>
      <c r="AA48" s="5"/>
      <c r="AB48" s="29"/>
      <c r="AC48" s="756">
        <v>4</v>
      </c>
      <c r="AD48" s="758" t="s">
        <v>276</v>
      </c>
      <c r="AE48" s="45" t="e">
        <f>IF($AK$48="","",$AK$48-$BW$27)</f>
        <v>#VALUE!</v>
      </c>
      <c r="AF48" s="45" t="e">
        <f>IF($AL$48="","",$AL$48-$BX$27)</f>
        <v>#VALUE!</v>
      </c>
      <c r="AG48" s="45" t="e">
        <f>IF($AK$48="","",$AK$48+$BO$27-$BG$27)</f>
        <v>#VALUE!</v>
      </c>
      <c r="AH48" s="45" t="e">
        <f>IF($AL$48="","",$AL$48+$BP$27+$BH$27)</f>
        <v>#VALUE!</v>
      </c>
      <c r="AI48" s="45" t="e">
        <f>IF($AK$48="","",$AK$48+$BO$27)</f>
        <v>#VALUE!</v>
      </c>
      <c r="AJ48" s="45" t="e">
        <f>IF($AL$48="","",$AL$48+$BP$27)</f>
        <v>#VALUE!</v>
      </c>
      <c r="AK48" s="50" t="e">
        <f>IF(AND($L$39=$R$11,ISNUMBER($K$11)),IF(AND($Y$11&gt;0,$AA$11&lt;0,$Y$11&lt;$BU$23,-$AA$11&lt;$BR$23),$Y$11,""),"")</f>
        <v>#VALUE!</v>
      </c>
      <c r="AL48" s="50" t="e">
        <f>IF(AND($L$39=$R$11,ISNUMBER($K$11)),IF(AND($Y$11&gt;0,$AA$11&lt;0,$Y$11&lt;$BU$23,-$AA$11&lt;$BR$23),$AA$11,""),"")</f>
        <v>#VALUE!</v>
      </c>
      <c r="AM48" s="45" t="e">
        <f>IF($AK$48="","",$AK$48-$BW$27+$AW$23)</f>
        <v>#VALUE!</v>
      </c>
      <c r="AN48" s="45" t="e">
        <f>IF($AL$48="","",$AL$48-$BX$27+$AX$23)</f>
        <v>#VALUE!</v>
      </c>
      <c r="AO48" s="45" t="e">
        <f>IF($AK$48="","",$AK$48+$BO$27-$BI$23)</f>
        <v>#VALUE!</v>
      </c>
      <c r="AP48" s="45" t="e">
        <f>IF($AL$48="","",$AL$48+$BP$27-$BJ$23)</f>
        <v>#VALUE!</v>
      </c>
      <c r="AQ48" s="45" t="e">
        <f>IF($AK$48="","",$AK$48+$BQ$23)</f>
        <v>#VALUE!</v>
      </c>
      <c r="AR48" s="45" t="e">
        <f>IF($AL$48="","",$AL$48+$BR$23)</f>
        <v>#VALUE!</v>
      </c>
      <c r="AS48" s="45" t="e">
        <f>IF($AK$48="","",$AK$48-$BU$23)</f>
        <v>#VALUE!</v>
      </c>
      <c r="AT48" s="45" t="e">
        <f>IF($AL$48="","",$AL$48-$BV$23)</f>
        <v>#VALUE!</v>
      </c>
      <c r="AV48" s="81"/>
      <c r="AW48" s="81"/>
      <c r="AX48" s="81"/>
      <c r="AY48" s="81"/>
      <c r="AZ48" s="81"/>
      <c r="BA48" s="81"/>
      <c r="BB48" s="81" t="s">
        <v>294</v>
      </c>
      <c r="BD48" s="52">
        <v>3</v>
      </c>
      <c r="BE48" s="53" t="s">
        <v>276</v>
      </c>
      <c r="BF48" s="36" t="str">
        <f>IF(AND(ISNUMBER($AI$47), ISNUMBER($AJ$47)),IF(AND($AI$47&gt;0,IF($AI$47&lt;$BJ$20,$AS$95,$AS$94)&lt;0),8,IF(AND($AI$47&lt;0,$AJ$47&lt;0),7,IF(AND(IF($AJ$47&lt;$BM$20,$AR$95,$AR$96)&lt;0,$AJ$47&gt;0),6,""))),"")</f>
        <v/>
      </c>
      <c r="BG48" s="82">
        <v>11</v>
      </c>
      <c r="BH48" s="82">
        <v>2</v>
      </c>
      <c r="BI48" s="82">
        <v>1</v>
      </c>
      <c r="BJ48" s="82">
        <v>12</v>
      </c>
      <c r="BK48" s="82">
        <v>13</v>
      </c>
      <c r="BL48" s="82">
        <v>14</v>
      </c>
      <c r="BM48" s="82">
        <v>15</v>
      </c>
      <c r="BN48" s="82">
        <v>10</v>
      </c>
      <c r="BO48" s="82">
        <v>3</v>
      </c>
      <c r="BZ48" s="19"/>
      <c r="CA48" s="19"/>
    </row>
    <row r="49" spans="1:79" ht="12" customHeight="1" x14ac:dyDescent="0.25">
      <c r="C49" s="4"/>
      <c r="G49" s="91" t="str">
        <f>IF(ISNUMBER($AI$78),$O$10,"")</f>
        <v/>
      </c>
      <c r="H49" s="90" t="str">
        <f>IF(ISNUMBER($AI$78),"FWL","")</f>
        <v/>
      </c>
      <c r="I49" s="154"/>
      <c r="J49" s="153"/>
      <c r="K49" s="153"/>
      <c r="L49" s="13"/>
      <c r="M49" s="14"/>
      <c r="Q49" s="91" t="str">
        <f>IF(ISNUMBER($AK$78),$O$10,"")</f>
        <v/>
      </c>
      <c r="R49" s="90" t="str">
        <f>IF(ISNUMBER($AK$78),"FEL","")</f>
        <v/>
      </c>
      <c r="S49" s="154"/>
      <c r="T49" s="153"/>
      <c r="V49" s="22"/>
      <c r="AA49" s="5"/>
      <c r="AB49" s="29"/>
      <c r="AC49" s="944"/>
      <c r="AD49" s="911"/>
      <c r="AE49" s="80" t="str">
        <f>IF(ISNUMBER($AE$45),AE$45,IF(ISNUMBER($AG$46),AE$46,IF(ISNUMBER($AI$47),AE$47,IF(ISNUMBER($AK$48),AE$48,""))))</f>
        <v/>
      </c>
      <c r="AF49" s="80" t="str">
        <f>IF(ISNUMBER($AF$45),AF$45,IF(ISNUMBER($AH$46),AF$46,IF(ISNUMBER($AJ$47),AF$47,IF(ISNUMBER($AL$48),AF$48,""))))</f>
        <v/>
      </c>
      <c r="AG49" s="80" t="str">
        <f>IF(ISNUMBER($AE$45),AG$45,IF(ISNUMBER($AG$46),AG$46,IF(ISNUMBER($AI$47),AG$47,IF(ISNUMBER($AK$48),AG$48,""))))</f>
        <v/>
      </c>
      <c r="AH49" s="80" t="str">
        <f>IF(ISNUMBER($AF$45),AH$45,IF(ISNUMBER($AH$46),AH$46,IF(ISNUMBER($AJ$47),AH$47,IF(ISNUMBER($AL$48),AH$48,""))))</f>
        <v/>
      </c>
      <c r="AI49" s="80" t="str">
        <f>IF(ISNUMBER($AE$45),AI$45,IF(ISNUMBER($AG$46),AI$46,IF(ISNUMBER($AI$47),AI$47,IF(ISNUMBER($AK$48),AI$48,""))))</f>
        <v/>
      </c>
      <c r="AJ49" s="80" t="str">
        <f>IF(ISNUMBER($AF$45),AJ$45,IF(ISNUMBER($AH$46),AJ$46,IF(ISNUMBER($AJ$47),AJ$47,IF(ISNUMBER($AL$48),AJ$48,""))))</f>
        <v/>
      </c>
      <c r="AK49" s="80" t="str">
        <f>IF(ISNUMBER($AE$45),AK$45,IF(ISNUMBER($AG$46),AK$46,IF(ISNUMBER($AI$47),AK$47,IF(ISNUMBER($AK$48),AK$48,""))))</f>
        <v/>
      </c>
      <c r="AL49" s="80" t="str">
        <f>IF(ISNUMBER($AF$45),AL$45,IF(ISNUMBER($AH$46),AL$46,IF(ISNUMBER($AJ$47),AL$47,IF(ISNUMBER($AL$48),AL$48,""))))</f>
        <v/>
      </c>
      <c r="AM49" s="80" t="str">
        <f>IF(ISNUMBER($AE$45),AM$45,IF(ISNUMBER($AG$46),AM$46,IF(ISNUMBER($AI$47),AM$47,IF(ISNUMBER($AK$48),AM$48,""))))</f>
        <v/>
      </c>
      <c r="AN49" s="80" t="str">
        <f>IF(ISNUMBER($AF$45),AN$45,IF(ISNUMBER($AH$46),AN$46,IF(ISNUMBER($AJ$47),AN$47,IF(ISNUMBER($AL$48),AN$48,""))))</f>
        <v/>
      </c>
      <c r="AO49" s="80" t="str">
        <f>IF(ISNUMBER($AE$45),AO$45,IF(ISNUMBER($AG$46),AO$46,IF(ISNUMBER($AI$47),AO$47,IF(ISNUMBER($AK$48),AO$48,""))))</f>
        <v/>
      </c>
      <c r="AP49" s="80" t="str">
        <f>IF(ISNUMBER($AF$45),AP$45,IF(ISNUMBER($AH$46),AP$46,IF(ISNUMBER($AJ$47),AP$47,IF(ISNUMBER($AL$48),AP$48,""))))</f>
        <v/>
      </c>
      <c r="AQ49" s="80" t="str">
        <f>IF(ISNUMBER($AE$45),AQ$45,IF(ISNUMBER($AG$46),AQ$46,IF(ISNUMBER($AI$47),AQ$47,IF(ISNUMBER($AK$48),AQ$48,""))))</f>
        <v/>
      </c>
      <c r="AR49" s="80" t="str">
        <f>IF(ISNUMBER($AF$45),AR$45,IF(ISNUMBER($AH$46),AR$46,IF(ISNUMBER($AJ$47),AR$47,IF(ISNUMBER($AL$48),AR$48,""))))</f>
        <v/>
      </c>
      <c r="AS49" s="80" t="str">
        <f>IF(ISNUMBER($AE$45),AS$45,IF(ISNUMBER($AG$46),AS$46,IF(ISNUMBER($AI$47),AS$47,IF(ISNUMBER($AK$48),AS$48,""))))</f>
        <v/>
      </c>
      <c r="AT49" s="80" t="str">
        <f>IF(ISNUMBER($AF$45),AT$45,IF(ISNUMBER($AH$46),AT$46,IF(ISNUMBER($AJ$47),AT$47,IF(ISNUMBER($AL$48),AT$48,""))))</f>
        <v/>
      </c>
      <c r="AV49" s="81"/>
      <c r="AW49" s="81"/>
      <c r="AX49" s="81"/>
      <c r="AY49" s="81"/>
      <c r="AZ49" s="81"/>
      <c r="BA49" s="81"/>
      <c r="BB49" s="81" t="s">
        <v>295</v>
      </c>
      <c r="BD49" s="756">
        <v>4</v>
      </c>
      <c r="BE49" s="758" t="s">
        <v>276</v>
      </c>
      <c r="BF49" s="120" t="str">
        <f>IF(AND(ISNUMBER($AK$48), ISNUMBER($AL$48)),IF(AND(IF(-$AL$48&lt;$BS$20,$AT$96,$AT$95)&lt;0,$AL$48&lt;0),6,IF(AND($AK$48&lt;0,$AL$48&gt;0),5,IF(AND($AK$48&gt;0,IF($AK$48&lt;$BT$20,$AU$96,$AU$93)&lt;0),4,""))),"")</f>
        <v/>
      </c>
      <c r="BG49" s="82">
        <v>12</v>
      </c>
      <c r="BH49" s="82">
        <v>1</v>
      </c>
      <c r="BI49" s="82">
        <v>6</v>
      </c>
      <c r="BJ49" s="82">
        <v>7</v>
      </c>
      <c r="BK49" s="82">
        <v>18</v>
      </c>
      <c r="BL49" s="82">
        <v>13</v>
      </c>
      <c r="BM49" s="82">
        <v>14</v>
      </c>
      <c r="BN49" s="82">
        <v>11</v>
      </c>
      <c r="BO49" s="82">
        <v>2</v>
      </c>
      <c r="BZ49" s="19"/>
      <c r="CA49" s="19"/>
    </row>
    <row r="50" spans="1:79" ht="12" customHeight="1" x14ac:dyDescent="0.25">
      <c r="B50" s="44" t="e">
        <f>IF($L$39='SHL Section'!$L$38,'SHL Section'!$B$49,IF($L$39='BHL Section 1'!$L$38,'BHL Section 1'!$B$49,IF($L$39='BHL Section 2'!$L$38,'BHL Section 2'!$B$49,IF($L$39='BHL Section 3'!$L$38,'BHL Section 3'!$B$49,$B$51))))</f>
        <v>#VALUE!</v>
      </c>
      <c r="C50" s="4"/>
      <c r="G50" s="99" t="str">
        <f>IF(ISNUMBER($AI$89),$C$11,"")</f>
        <v/>
      </c>
      <c r="H50" s="150" t="str">
        <f>IF(AND(G51="",G52=""),"",IF($AI$89=1,"NE/SW",IF($AI$89=2,"NW/SW",IF($AI$89=3,"SW/SW",IF($AI$89=4,"SE/SW","")))))</f>
        <v/>
      </c>
      <c r="I50" s="154"/>
      <c r="J50" s="153"/>
      <c r="K50" s="153"/>
      <c r="L50" s="13"/>
      <c r="M50" s="14"/>
      <c r="Q50" s="99" t="str">
        <f>IF(ISNUMBER($AK$89),$C$11,"")</f>
        <v/>
      </c>
      <c r="R50" s="150" t="str">
        <f>IF(AND(Q51="",Q52=""),"",IF($AK$89=1,"NE/SE",IF($AK$89=2,"NW/SE",IF($AK$89=3,"SW/SE",IF($AK$89=4,"SE/SE","")))))</f>
        <v/>
      </c>
      <c r="S50" s="154"/>
      <c r="T50" s="153"/>
      <c r="U50" s="5"/>
      <c r="V50" s="22"/>
      <c r="W50" s="202" t="e">
        <f>IF($L$39='SHL Section'!$L$38,'SHL Section'!$W$49,IF($L$39='BHL Section 1'!$L$38,'BHL Section 1'!$W$49,IF($L$39='BHL Section 2'!$L$38,'BHL Section 2'!$W$49,IF($L$39='BHL Section 3'!$L$38,'BHL Section 3'!$W$49,$W$51))))</f>
        <v>#VALUE!</v>
      </c>
      <c r="AA50" s="5"/>
      <c r="AB50" s="29"/>
      <c r="AC50" s="53"/>
      <c r="AD50" s="53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V50" s="81"/>
      <c r="AW50" s="81"/>
      <c r="AX50" s="81"/>
      <c r="AY50" s="81"/>
      <c r="AZ50" s="81"/>
      <c r="BA50" s="81"/>
      <c r="BB50" s="81" t="s">
        <v>296</v>
      </c>
      <c r="BG50" s="82">
        <v>13</v>
      </c>
      <c r="BH50" s="82">
        <v>12</v>
      </c>
      <c r="BI50" s="82">
        <v>7</v>
      </c>
      <c r="BJ50" s="82">
        <v>18</v>
      </c>
      <c r="BK50" s="82">
        <v>19</v>
      </c>
      <c r="BL50" s="82">
        <v>24</v>
      </c>
      <c r="BM50" s="82">
        <v>23</v>
      </c>
      <c r="BN50" s="82">
        <v>14</v>
      </c>
      <c r="BO50" s="82">
        <v>11</v>
      </c>
      <c r="BZ50" s="19"/>
      <c r="CA50" s="19"/>
    </row>
    <row r="51" spans="1:79" ht="12" customHeight="1" x14ac:dyDescent="0.25">
      <c r="A51" s="17" t="s">
        <v>118</v>
      </c>
      <c r="B51" s="110"/>
      <c r="C51" s="4"/>
      <c r="G51" s="151" t="str">
        <f>IF(ISNUMBER($AI$89),$M$11,"")</f>
        <v/>
      </c>
      <c r="H51" s="152" t="str">
        <f>IF(ISNUMBER($AI$89),"FSL","")</f>
        <v/>
      </c>
      <c r="I51" s="154"/>
      <c r="J51" s="153"/>
      <c r="K51" s="153"/>
      <c r="L51" s="13"/>
      <c r="M51" s="14"/>
      <c r="Q51" s="151" t="str">
        <f>IF(ISNUMBER($AK$89),$M$11,"")</f>
        <v/>
      </c>
      <c r="R51" s="152" t="str">
        <f>IF(ISNUMBER($AK$89),"FSL","")</f>
        <v/>
      </c>
      <c r="S51" s="154"/>
      <c r="T51" s="153"/>
      <c r="U51" s="5"/>
      <c r="V51" s="22"/>
      <c r="W51" s="162"/>
      <c r="X51" s="25" t="s">
        <v>118</v>
      </c>
      <c r="AA51" s="5"/>
      <c r="AB51" s="29"/>
      <c r="AV51" s="81"/>
      <c r="AW51" s="81"/>
      <c r="AX51" s="168" t="s">
        <v>409</v>
      </c>
      <c r="AY51" s="169">
        <v>1</v>
      </c>
      <c r="AZ51" s="169"/>
      <c r="BA51" s="81"/>
      <c r="BB51" s="81" t="s">
        <v>297</v>
      </c>
      <c r="BD51" s="39" t="s">
        <v>360</v>
      </c>
      <c r="BE51" s="41">
        <f>IF(OR(ISNUMBER($BF$38),ISNUMBER($BF$39),ISNUMBER($BF$40),ISNUMBER($BF$41)),VLOOKUP($R$8,$BG$38:$BO$73,MAX($BF$38:$BF$41),FALSE),$R$8)</f>
        <v>0</v>
      </c>
      <c r="BG51" s="82">
        <v>14</v>
      </c>
      <c r="BH51" s="82">
        <v>11</v>
      </c>
      <c r="BI51" s="82">
        <v>12</v>
      </c>
      <c r="BJ51" s="82">
        <v>13</v>
      </c>
      <c r="BK51" s="82">
        <v>24</v>
      </c>
      <c r="BL51" s="82">
        <v>23</v>
      </c>
      <c r="BM51" s="82">
        <v>22</v>
      </c>
      <c r="BN51" s="82">
        <v>15</v>
      </c>
      <c r="BO51" s="82">
        <v>10</v>
      </c>
      <c r="BZ51" s="19"/>
      <c r="CA51" s="19"/>
    </row>
    <row r="52" spans="1:79" ht="12" customHeight="1" x14ac:dyDescent="0.25">
      <c r="A52" s="17" t="s">
        <v>124</v>
      </c>
      <c r="B52" s="111"/>
      <c r="C52" s="4"/>
      <c r="G52" s="91" t="str">
        <f>IF(ISNUMBER($AI$89),$O$11,"")</f>
        <v/>
      </c>
      <c r="H52" s="90" t="str">
        <f>IF(ISNUMBER($AI$89),"FWL","")</f>
        <v/>
      </c>
      <c r="I52" s="154"/>
      <c r="J52" s="153"/>
      <c r="K52" s="153"/>
      <c r="L52" s="13"/>
      <c r="M52" s="14"/>
      <c r="Q52" s="91" t="str">
        <f>IF(ISNUMBER($AK$89),$O$11,"")</f>
        <v/>
      </c>
      <c r="R52" s="90" t="str">
        <f>IF(ISNUMBER($AK$89),"FEL","")</f>
        <v/>
      </c>
      <c r="S52" s="154"/>
      <c r="T52" s="153"/>
      <c r="U52" s="5"/>
      <c r="V52" s="22"/>
      <c r="W52" s="147"/>
      <c r="X52" s="25" t="s">
        <v>124</v>
      </c>
      <c r="AA52" s="5"/>
      <c r="AB52" s="29"/>
      <c r="AC52" s="53"/>
      <c r="AD52" s="53"/>
      <c r="AE52" s="949" t="s">
        <v>351</v>
      </c>
      <c r="AF52" s="911"/>
      <c r="AG52" s="961" t="s">
        <v>352</v>
      </c>
      <c r="AH52" s="859"/>
      <c r="AI52" s="949" t="s">
        <v>353</v>
      </c>
      <c r="AJ52" s="911"/>
      <c r="AK52" s="949" t="s">
        <v>354</v>
      </c>
      <c r="AL52" s="911"/>
      <c r="AV52" s="81"/>
      <c r="AW52" s="81"/>
      <c r="AX52" s="81"/>
      <c r="AY52" s="81"/>
      <c r="AZ52" s="81"/>
      <c r="BA52" s="81"/>
      <c r="BB52" s="81" t="s">
        <v>298</v>
      </c>
      <c r="BD52" s="37"/>
      <c r="BE52" s="36" t="e">
        <f>IF(MAX($AE$67:$AL$67)&gt;0,$BE$51,IF(OR(ISNUMBER('BHL Section 1'!$BG$37),ISNUMBER('BHL Section 1'!$BG$38),ISNUMBER('BHL Section 1'!$BG$39),ISNUMBER('BHL Section 1'!$BG$40)),VLOOKUP($BE$51,$BG$38:$BO$73,MAX('BHL Section 1'!$BG$37:$BG$40),FALSE),$BE$51))</f>
        <v>#VALUE!</v>
      </c>
      <c r="BG52" s="82">
        <v>15</v>
      </c>
      <c r="BH52" s="82">
        <v>10</v>
      </c>
      <c r="BI52" s="82">
        <v>11</v>
      </c>
      <c r="BJ52" s="82">
        <v>14</v>
      </c>
      <c r="BK52" s="82">
        <v>23</v>
      </c>
      <c r="BL52" s="82">
        <v>22</v>
      </c>
      <c r="BM52" s="82">
        <v>21</v>
      </c>
      <c r="BN52" s="82">
        <v>16</v>
      </c>
      <c r="BO52" s="82">
        <v>9</v>
      </c>
      <c r="BZ52" s="19"/>
      <c r="CA52" s="19"/>
    </row>
    <row r="53" spans="1:79" ht="12" customHeight="1" x14ac:dyDescent="0.25">
      <c r="A53" s="17" t="s">
        <v>130</v>
      </c>
      <c r="B53" s="111"/>
      <c r="C53" s="4"/>
      <c r="I53" s="154"/>
      <c r="J53" s="153"/>
      <c r="K53" s="153"/>
      <c r="L53" s="13"/>
      <c r="M53" s="14"/>
      <c r="P53" s="19"/>
      <c r="S53" s="154"/>
      <c r="T53" s="153"/>
      <c r="U53" s="5"/>
      <c r="V53" s="22"/>
      <c r="W53" s="147"/>
      <c r="X53" s="25" t="s">
        <v>130</v>
      </c>
      <c r="AA53" s="5"/>
      <c r="AB53" s="29"/>
      <c r="AD53" s="53"/>
      <c r="AE53" s="949">
        <v>1</v>
      </c>
      <c r="AF53" s="911"/>
      <c r="AG53" s="949">
        <v>2</v>
      </c>
      <c r="AH53" s="911"/>
      <c r="AI53" s="949">
        <v>3</v>
      </c>
      <c r="AJ53" s="911"/>
      <c r="AK53" s="949">
        <v>4</v>
      </c>
      <c r="AL53" s="911"/>
      <c r="AV53" s="81"/>
      <c r="AW53" s="81"/>
      <c r="AX53" s="81"/>
      <c r="AY53" s="81"/>
      <c r="AZ53" s="81"/>
      <c r="BA53" s="81"/>
      <c r="BB53" s="81" t="s">
        <v>299</v>
      </c>
      <c r="BD53" s="121"/>
      <c r="BE53" s="120" t="e">
        <f>IF(MAX('BHL Section 1'!$AF$58:$AM$58)&gt;0,$BE$52,IF(OR(ISNUMBER('BHL Section 2'!$BG$37),ISNUMBER('BHL Section 2'!$BG$38),ISNUMBER('BHL Section 2'!$BG$39),ISNUMBER('BHL Section 2'!$BG$40)),VLOOKUP($BE$52,$BG$38:$BO$73,MAX('BHL Section 2'!$BG$37:$BG$40),FALSE),$BE$52))</f>
        <v>#VALUE!</v>
      </c>
      <c r="BG53" s="82">
        <v>16</v>
      </c>
      <c r="BH53" s="82">
        <v>9</v>
      </c>
      <c r="BI53" s="82">
        <v>10</v>
      </c>
      <c r="BJ53" s="82">
        <v>15</v>
      </c>
      <c r="BK53" s="82">
        <v>22</v>
      </c>
      <c r="BL53" s="82">
        <v>21</v>
      </c>
      <c r="BM53" s="82">
        <v>20</v>
      </c>
      <c r="BN53" s="82">
        <v>17</v>
      </c>
      <c r="BO53" s="82">
        <v>8</v>
      </c>
      <c r="BZ53" s="19"/>
      <c r="CA53" s="19"/>
    </row>
    <row r="54" spans="1:79" ht="12" customHeight="1" x14ac:dyDescent="0.25">
      <c r="A54" s="17" t="s">
        <v>134</v>
      </c>
      <c r="B54" s="111"/>
      <c r="C54" s="4"/>
      <c r="I54" s="154"/>
      <c r="J54" s="153"/>
      <c r="K54" s="153"/>
      <c r="L54" s="13"/>
      <c r="M54" s="14"/>
      <c r="P54" s="19"/>
      <c r="S54" s="154"/>
      <c r="T54" s="153"/>
      <c r="U54" s="5"/>
      <c r="V54" s="22"/>
      <c r="W54" s="147"/>
      <c r="X54" s="25" t="s">
        <v>134</v>
      </c>
      <c r="AA54" s="5"/>
      <c r="AB54" s="29"/>
      <c r="AD54" s="53"/>
      <c r="AE54" s="87"/>
      <c r="AF54" s="88"/>
      <c r="AG54" s="89"/>
      <c r="AH54" s="89"/>
      <c r="AI54" s="87"/>
      <c r="AJ54" s="88"/>
      <c r="AK54" s="87"/>
      <c r="AL54" s="88"/>
      <c r="BD54" s="39" t="s">
        <v>362</v>
      </c>
      <c r="BE54" s="41" t="b">
        <f>IF(OR(ISNUMBER($BF$38),ISNUMBER($BF$39),ISNUMBER($BF$40),ISNUMBER($BF$41)),$BE$51,IF(OR(ISNUMBER($BF$42),ISNUMBER($BF$43),ISNUMBER($BF$44),ISNUMBER($BF$45)),VLOOKUP($R$8,$BG$38:$BO$73,MAX($BF$42:$BF$45),FALSE)))</f>
        <v>0</v>
      </c>
      <c r="BG54" s="82">
        <v>17</v>
      </c>
      <c r="BH54" s="82">
        <v>8</v>
      </c>
      <c r="BI54" s="82">
        <v>9</v>
      </c>
      <c r="BJ54" s="82">
        <v>16</v>
      </c>
      <c r="BK54" s="82">
        <v>21</v>
      </c>
      <c r="BL54" s="82">
        <v>20</v>
      </c>
      <c r="BM54" s="82">
        <v>19</v>
      </c>
      <c r="BN54" s="82">
        <v>18</v>
      </c>
      <c r="BO54" s="82">
        <v>7</v>
      </c>
      <c r="BZ54" s="19"/>
      <c r="CA54" s="19"/>
    </row>
    <row r="55" spans="1:79" ht="12" customHeight="1" x14ac:dyDescent="0.25">
      <c r="A55" s="17" t="s">
        <v>140</v>
      </c>
      <c r="B55" s="112">
        <v>1</v>
      </c>
      <c r="C55" s="4"/>
      <c r="F55" s="815"/>
      <c r="I55" s="154"/>
      <c r="J55" s="153"/>
      <c r="K55" s="153"/>
      <c r="L55" s="13"/>
      <c r="M55" s="14"/>
      <c r="P55" s="815"/>
      <c r="S55" s="154"/>
      <c r="T55" s="153"/>
      <c r="U55" s="5"/>
      <c r="V55" s="22"/>
      <c r="W55" s="112">
        <v>4</v>
      </c>
      <c r="X55" s="25" t="s">
        <v>140</v>
      </c>
      <c r="AA55" s="5"/>
      <c r="AB55" s="29"/>
      <c r="AE55" s="939" t="s">
        <v>355</v>
      </c>
      <c r="AF55" s="882"/>
      <c r="AG55" s="943" t="s">
        <v>355</v>
      </c>
      <c r="AH55" s="832"/>
      <c r="AI55" s="939" t="s">
        <v>355</v>
      </c>
      <c r="AJ55" s="882"/>
      <c r="AK55" s="939" t="s">
        <v>355</v>
      </c>
      <c r="AL55" s="882"/>
      <c r="BD55" s="37"/>
      <c r="BE55" s="36" t="e">
        <f>IF(MAX($AE$78:$AL$78)&gt;0,$BE$54,IF(OR(ISNUMBER('BHL Section 1'!$BG$41),ISNUMBER('BHL Section 1'!$BG$42),ISNUMBER('BHL Section 1'!$BG$43),ISNUMBER('BHL Section 1'!$BG$44)),VLOOKUP($BE$54,$BG$38:$BO$73,MAX('BHL Section 1'!$BG$41:$BG$44),FALSE),$BE$54))</f>
        <v>#VALUE!</v>
      </c>
      <c r="BG55" s="82">
        <v>18</v>
      </c>
      <c r="BH55" s="82">
        <v>7</v>
      </c>
      <c r="BI55" s="82">
        <v>8</v>
      </c>
      <c r="BJ55" s="82">
        <v>17</v>
      </c>
      <c r="BK55" s="82">
        <v>20</v>
      </c>
      <c r="BL55" s="82">
        <v>19</v>
      </c>
      <c r="BM55" s="82">
        <v>24</v>
      </c>
      <c r="BN55" s="82">
        <v>13</v>
      </c>
      <c r="BO55" s="82">
        <v>12</v>
      </c>
      <c r="BZ55" s="19"/>
      <c r="CA55" s="19"/>
    </row>
    <row r="56" spans="1:79" ht="12" customHeight="1" thickBot="1" x14ac:dyDescent="0.3">
      <c r="A56" s="17" t="s">
        <v>144</v>
      </c>
      <c r="B56" s="27" t="e">
        <f>IF($L$39='SHL Section'!$L$38,IF('SHL Section'!$B$54="","",'SHL Section'!$B$54),IF($L$39='BHL Section 1'!$L$38,IF('BHL Section 1'!$B$55="","",'BHL Section 1'!$B$55),IF($L$39='BHL Section 2'!$L$38,IF('BHL Section 2'!$B$55="","",'BHL Section 2'!$B$55),IF($L$39='BHL Section 3'!$L$38,IF('BHL Section 3'!$B$55="","",'BHL Section 3'!$B$55),IF(B52="","",IF(OR(B55=1,B55=4),180-(B52+B53/60+B54/3600),(B52+B53/60+B54/3600)))))))</f>
        <v>#VALUE!</v>
      </c>
      <c r="C56" s="6"/>
      <c r="D56" s="2"/>
      <c r="E56" s="2"/>
      <c r="F56" s="2"/>
      <c r="G56" s="2"/>
      <c r="H56" s="2"/>
      <c r="I56" s="2"/>
      <c r="J56" s="2"/>
      <c r="K56" s="2"/>
      <c r="L56" s="15"/>
      <c r="M56" s="16"/>
      <c r="N56" s="2"/>
      <c r="O56" s="2"/>
      <c r="P56" s="2"/>
      <c r="Q56" s="2"/>
      <c r="R56" s="2"/>
      <c r="S56" s="2"/>
      <c r="T56" s="2"/>
      <c r="U56" s="2"/>
      <c r="V56" s="23"/>
      <c r="W56" s="34" t="e">
        <f>IF($L$39='SHL Section'!$L$38,IF('SHL Section'!$W$54="","",'SHL Section'!$W$54),IF($L$39='BHL Section 1'!$L$38,IF('BHL Section 1'!$W$55="","",'BHL Section 1'!$W$55),IF($L$39='BHL Section 2'!$L$38,IF('BHL Section 2'!$W$55="","",'BHL Section 2'!$W$55),IF($L$39='BHL Section 3'!$L$38,IF('BHL Section 3'!$W$55="","",'BHL Section 3'!$W$55),IF(W52="","",IF(OR(W55=1,W55=4),180-(W52+W53/60+W54/3600),(W52+W53/60+W54/3600)))))))</f>
        <v>#VALUE!</v>
      </c>
      <c r="X56" s="25" t="s">
        <v>144</v>
      </c>
      <c r="AA56" s="5"/>
      <c r="AB56" s="29"/>
      <c r="AE56" s="944" t="str">
        <f>IF($AE$27="","",IF(AND((-$AE$27+$AF$27*$AV$20/$AW$20)&gt;0,-$AE$27&lt;$BZ$20,(-$AF$27+$AE$27*$CA$20/$BZ$20)&gt;0,-$AF$27&lt;$AW$20),1,IF(AND((-$AE$27-$AV$20+($AF$27+$AW$20)*$AX$20/$AY$20)&gt;0,-$AE$27&lt;$BZ$20,-$AF$27&gt;$AW$20,-$AF$27&lt;$AX$23),2,IF(AND(-$AE$27&lt;$BY$23,-$AE$27&gt;$BZ$20,-$AF$27&gt;$AW$20,-$AF$27&lt;$AX$23),3,IF(AND(-$AE$27&lt;$BY$23,-$AE$27&gt;$BZ$20,(-$AF$27-$CA$20-(-$AE$27-$BZ$20)*$BY$20/$BX$20)&gt;0,-$AF$27&lt;$AW$20),4,"")))))</f>
        <v/>
      </c>
      <c r="AF56" s="911"/>
      <c r="AG56" s="944" t="str">
        <f>IF($AG$28="","",IF(AND((-$AG$28+$BB$20+($AH$28-$BC$20)*$AZ$20/$BA$20)&gt;0,-$AG$28&lt;$BD$20,$AH$28&gt;$BC$20,$AH$28&lt;$BB$23),1,IF(AND((-$AG$28+$AH$28*$BB$20/$BC$20)&gt;0,-$AG$28&lt;$BD$20,($AH$28-$AG$28*$BE$20/$BD$20)&gt;0,$AH$28&lt;$BC$20),2,IF(AND(-$AG$28&gt;$BD$20,-$AG$28&lt;$BE$23,($AH$28+$BE$20+(-$AG$28-$BD$20)*$BG$20/$BF$20)&gt;0,$AH$28&lt;$BC$20),3,IF(AND(-$AG$28&gt;$BD$20,-$AG$28&lt;$BE$23,$AH$28&gt;$BC$20,$AH$28&lt;$BB$23),4,"")))))</f>
        <v/>
      </c>
      <c r="AH56" s="911"/>
      <c r="AI56" s="944" t="str">
        <f>IF($AI$29="","",IF(AND($AI$29&gt;$BJ$20,$AI$29&lt;$BI$23,$AJ$29&gt;$BM$20,$AJ$29&lt;$BN$23),1,IF(AND($AI$29&gt;$BJ$20,$AI$29&lt;$BI$23,($AJ$29-$BK$20-($AI$29-$BJ$20)*$BI$20/$BH$20)&gt;0,$AJ$29&lt;$BM$20),2,IF(AND(($AI$29-$AJ$29*$BL$20/$BM$20)&gt;0,$AI$29&lt;$BJ$20,($AJ$29-$AI$29*$BK$20/$BJ$20)&gt;0,$AJ$29&lt;$BM$20),3,IF(AND(($AI$29-$BL$20-($AJ$29-$BM$20)*$BN$20/$BO$20)&gt;0,$AI$29&lt;$BJ$20,$AJ$29&gt;$BM$20,$AJ$29&lt;$BN$23),4,"")))))</f>
        <v/>
      </c>
      <c r="AJ56" s="911"/>
      <c r="AK56" s="944" t="str">
        <f>IF($AK$30="","",IF(AND($AK$30&gt;$BT$20,$AK$30&lt;$BU$23,(-$AL$30+$BU$20+($AK$30-$BT$20)*$BW$20/$BV$20)&gt;0,-$AL$30&lt;$BS$20),1,IF(AND($AK$30&gt;$BT$20,$AK$30&lt;$BU$23,-$AL$30&gt;$BS$20,-$AL$30&lt;$BR$23),2,IF(AND(($AK$30+$BR$20+(-$AL$30-$BS$20)*$BP$20/$BQ$20)&gt;0,$AK$30&lt;$BT$20,-$AL$30&gt;$BS$20,-$AL$30&lt;$BR$23),3,IF(AND(($AK$30-$AL$30*$BR$20/$BS$20)&gt;0,$AK$30&lt;$BT$20,(-$AL$30+$AK$30*$BU$20/$BT$20)&gt;0,-$AL$30&lt;$BS$20),4,"")))))</f>
        <v/>
      </c>
      <c r="AL56" s="911"/>
      <c r="AW56" s="19">
        <v>1</v>
      </c>
      <c r="AX56" s="19">
        <v>2</v>
      </c>
      <c r="AY56" s="19">
        <v>3</v>
      </c>
      <c r="AZ56" s="19">
        <v>4</v>
      </c>
      <c r="BD56" s="121"/>
      <c r="BE56" s="120" t="e">
        <f>IF(MAX('BHL Section 1'!$AF$69:$AM$69)&gt;0,$BE$55,IF(OR(ISNUMBER('BHL Section 2'!$BG$41),ISNUMBER('BHL Section 2'!$BG$42),ISNUMBER('BHL Section 2'!$BG$43),ISNUMBER('BHL Section 2'!$BG$44)),VLOOKUP($BE$55,$BG$38:$BO$73,MAX('BHL Section 2'!$BG$41:$BG$44),FALSE),$BE$55))</f>
        <v>#VALUE!</v>
      </c>
      <c r="BG56" s="82">
        <v>19</v>
      </c>
      <c r="BH56" s="82">
        <v>18</v>
      </c>
      <c r="BI56" s="82">
        <v>17</v>
      </c>
      <c r="BJ56" s="82">
        <v>20</v>
      </c>
      <c r="BK56" s="82">
        <v>29</v>
      </c>
      <c r="BL56" s="82">
        <v>30</v>
      </c>
      <c r="BM56" s="82">
        <v>25</v>
      </c>
      <c r="BN56" s="82">
        <v>24</v>
      </c>
      <c r="BO56" s="82">
        <v>13</v>
      </c>
      <c r="BZ56" s="19"/>
      <c r="CA56" s="19"/>
    </row>
    <row r="57" spans="1:79" x14ac:dyDescent="0.25">
      <c r="B57" s="955" t="str">
        <f>CONCATENATE("SW SC of ",$L$39)</f>
        <v>SW SC of 4</v>
      </c>
      <c r="C57" s="904"/>
      <c r="D57" s="17" t="s">
        <v>118</v>
      </c>
      <c r="E57" s="115"/>
      <c r="J57" s="17" t="s">
        <v>118</v>
      </c>
      <c r="K57" s="113"/>
      <c r="L57" s="942" t="str">
        <f>CONCATENATE("S QC of ",$L$39)</f>
        <v>S QC of 4</v>
      </c>
      <c r="M57" s="844"/>
      <c r="N57" s="17" t="s">
        <v>118</v>
      </c>
      <c r="O57" s="115"/>
      <c r="T57" s="17" t="s">
        <v>118</v>
      </c>
      <c r="U57" s="115"/>
      <c r="V57" s="960" t="str">
        <f>CONCATENATE("SE SC of ",$L$39)</f>
        <v>SE SC of 4</v>
      </c>
      <c r="W57" s="904"/>
      <c r="AA57" s="5"/>
      <c r="AB57" s="29"/>
      <c r="AE57" s="87"/>
      <c r="AF57" s="88"/>
      <c r="AG57" s="89"/>
      <c r="AH57" s="89"/>
      <c r="AI57" s="87"/>
      <c r="AJ57" s="88"/>
      <c r="AK57" s="87"/>
      <c r="AL57" s="88"/>
      <c r="AV57" s="19">
        <v>1</v>
      </c>
      <c r="AW57" s="82" t="s">
        <v>281</v>
      </c>
      <c r="AX57" s="82" t="s">
        <v>288</v>
      </c>
      <c r="AY57" s="82" t="s">
        <v>292</v>
      </c>
      <c r="AZ57" s="82" t="s">
        <v>296</v>
      </c>
      <c r="BD57" s="39" t="s">
        <v>365</v>
      </c>
      <c r="BE57" s="41" t="b">
        <f>IF(OR(ISNUMBER($BF$38),ISNUMBER($BF$39),ISNUMBER($BF$40),ISNUMBER($BF$41)),$BE$51,IF(OR(ISNUMBER($BF$46),ISNUMBER($BF$47),ISNUMBER($BF$48),ISNUMBER($BF$49)),VLOOKUP($R$8,$BG$38:$BO$73,MAX($BF$46:$BF$49),FALSE)))</f>
        <v>0</v>
      </c>
      <c r="BG57" s="82">
        <v>20</v>
      </c>
      <c r="BH57" s="82">
        <v>17</v>
      </c>
      <c r="BI57" s="82">
        <v>16</v>
      </c>
      <c r="BJ57" s="82">
        <v>21</v>
      </c>
      <c r="BK57" s="82">
        <v>28</v>
      </c>
      <c r="BL57" s="82">
        <v>29</v>
      </c>
      <c r="BM57" s="82">
        <v>30</v>
      </c>
      <c r="BN57" s="82">
        <v>19</v>
      </c>
      <c r="BO57" s="82">
        <v>18</v>
      </c>
      <c r="BZ57" s="19"/>
      <c r="CA57" s="19"/>
    </row>
    <row r="58" spans="1:79" ht="12" customHeight="1" x14ac:dyDescent="0.25">
      <c r="D58" s="17" t="s">
        <v>124</v>
      </c>
      <c r="E58" s="111"/>
      <c r="F58" s="20"/>
      <c r="G58" s="20"/>
      <c r="H58" s="20"/>
      <c r="I58" s="20"/>
      <c r="J58" s="17" t="s">
        <v>124</v>
      </c>
      <c r="K58" s="114"/>
      <c r="N58" s="17" t="s">
        <v>124</v>
      </c>
      <c r="O58" s="111"/>
      <c r="P58" s="20"/>
      <c r="Q58" s="20"/>
      <c r="R58" s="20"/>
      <c r="S58" s="20"/>
      <c r="T58" s="17" t="s">
        <v>124</v>
      </c>
      <c r="U58" s="111"/>
      <c r="AA58" s="5"/>
      <c r="AB58" s="29"/>
      <c r="AE58" s="939" t="s">
        <v>410</v>
      </c>
      <c r="AF58" s="882"/>
      <c r="AG58" s="939" t="s">
        <v>411</v>
      </c>
      <c r="AH58" s="882"/>
      <c r="AI58" s="939" t="s">
        <v>412</v>
      </c>
      <c r="AJ58" s="882"/>
      <c r="AK58" s="939" t="s">
        <v>413</v>
      </c>
      <c r="AL58" s="882"/>
      <c r="AV58" s="19">
        <v>2</v>
      </c>
      <c r="AW58" s="82" t="s">
        <v>283</v>
      </c>
      <c r="AX58" s="82" t="s">
        <v>289</v>
      </c>
      <c r="AY58" s="82" t="s">
        <v>293</v>
      </c>
      <c r="AZ58" s="82" t="s">
        <v>297</v>
      </c>
      <c r="BD58" s="37"/>
      <c r="BE58" s="36" t="e">
        <f>IF(MAX($AE$89:$AL$89)&gt;0,$BE$57,IF(OR(ISNUMBER('BHL Section 1'!$BG$45),ISNUMBER('BHL Section 1'!$BG$46),ISNUMBER('BHL Section 1'!$BG$47),ISNUMBER('BHL Section 1'!$BG$48)),VLOOKUP($BE$57,$BG$38:$BO$73,MAX('BHL Section 1'!$BG$45:$BG$48),FALSE),$BE$57))</f>
        <v>#VALUE!</v>
      </c>
      <c r="BG58" s="82">
        <v>21</v>
      </c>
      <c r="BH58" s="82">
        <v>16</v>
      </c>
      <c r="BI58" s="82">
        <v>15</v>
      </c>
      <c r="BJ58" s="82">
        <v>22</v>
      </c>
      <c r="BK58" s="82">
        <v>27</v>
      </c>
      <c r="BL58" s="82">
        <v>28</v>
      </c>
      <c r="BM58" s="82">
        <v>29</v>
      </c>
      <c r="BN58" s="82">
        <v>20</v>
      </c>
      <c r="BO58" s="82">
        <v>17</v>
      </c>
      <c r="BZ58" s="19"/>
      <c r="CA58" s="19"/>
    </row>
    <row r="59" spans="1:79" ht="12" customHeight="1" x14ac:dyDescent="0.25">
      <c r="D59" s="17" t="s">
        <v>130</v>
      </c>
      <c r="E59" s="111"/>
      <c r="J59" s="17" t="s">
        <v>130</v>
      </c>
      <c r="K59" s="114"/>
      <c r="N59" s="17" t="s">
        <v>130</v>
      </c>
      <c r="O59" s="111"/>
      <c r="T59" s="17" t="s">
        <v>130</v>
      </c>
      <c r="U59" s="111"/>
      <c r="AA59" s="5"/>
      <c r="AB59" s="29"/>
      <c r="AD59" s="757" t="s">
        <v>226</v>
      </c>
      <c r="AE59" s="30" t="s">
        <v>181</v>
      </c>
      <c r="AF59" s="30" t="s">
        <v>194</v>
      </c>
      <c r="AG59" s="761" t="s">
        <v>181</v>
      </c>
      <c r="AH59" s="760" t="s">
        <v>201</v>
      </c>
      <c r="AI59" s="30" t="s">
        <v>186</v>
      </c>
      <c r="AJ59" s="30" t="s">
        <v>201</v>
      </c>
      <c r="AK59" s="30" t="s">
        <v>186</v>
      </c>
      <c r="AL59" s="30" t="s">
        <v>194</v>
      </c>
      <c r="AN59" s="19" t="s">
        <v>371</v>
      </c>
      <c r="AV59" s="19">
        <v>3</v>
      </c>
      <c r="AW59" s="82" t="s">
        <v>285</v>
      </c>
      <c r="AX59" s="82" t="s">
        <v>290</v>
      </c>
      <c r="AY59" s="82" t="s">
        <v>294</v>
      </c>
      <c r="AZ59" s="82" t="s">
        <v>298</v>
      </c>
      <c r="BD59" s="121"/>
      <c r="BE59" s="120" t="e">
        <f>IF(MAX('BHL Section 1'!$AF$80:$AM$80)&gt;0,$BE$58,IF(OR(ISNUMBER('BHL Section 2'!$BG$45),ISNUMBER('BHL Section 2'!$BG$46),ISNUMBER('BHL Section 2'!$BG$47),ISNUMBER('BHL Section 2'!$BG$48)),VLOOKUP($BE$58,$BG$38:$BO$73,MAX('BHL Section 2'!$BG$45:$BG$48),FALSE),$BE$58))</f>
        <v>#VALUE!</v>
      </c>
      <c r="BG59" s="82">
        <v>22</v>
      </c>
      <c r="BH59" s="82">
        <v>15</v>
      </c>
      <c r="BI59" s="82">
        <v>14</v>
      </c>
      <c r="BJ59" s="82">
        <v>23</v>
      </c>
      <c r="BK59" s="82">
        <v>26</v>
      </c>
      <c r="BL59" s="82">
        <v>27</v>
      </c>
      <c r="BM59" s="82">
        <v>28</v>
      </c>
      <c r="BN59" s="82">
        <v>21</v>
      </c>
      <c r="BO59" s="82">
        <v>16</v>
      </c>
      <c r="BZ59" s="19"/>
      <c r="CA59" s="19"/>
    </row>
    <row r="60" spans="1:79" ht="12" customHeight="1" x14ac:dyDescent="0.25">
      <c r="D60" s="17" t="s">
        <v>134</v>
      </c>
      <c r="E60" s="111"/>
      <c r="J60" s="17" t="s">
        <v>134</v>
      </c>
      <c r="K60" s="114"/>
      <c r="N60" s="17" t="s">
        <v>134</v>
      </c>
      <c r="O60" s="111"/>
      <c r="T60" s="17" t="s">
        <v>134</v>
      </c>
      <c r="U60" s="111"/>
      <c r="AA60" s="5"/>
      <c r="AB60" s="29"/>
      <c r="AD60" s="53">
        <v>1</v>
      </c>
      <c r="AE60" s="49" t="str">
        <f>IF($AD60=AE$56,(-$AE$31+$AF$31*$AV$20/$AW$20)*$AV$29,"")</f>
        <v/>
      </c>
      <c r="AF60" s="48" t="str">
        <f>IF($AD60=AE$56,(-$AF$31+$AE$31*$CA$20/$BZ$20)*$BZ$29,"")</f>
        <v/>
      </c>
      <c r="AG60" s="49" t="str">
        <f>IF($AD60=AG$56,(-$AG$31+$BB$20+($AH$31-$BC$20)*$AZ$20/$BA$20)*$AZ$29,"")</f>
        <v/>
      </c>
      <c r="AH60" s="48" t="str">
        <f>IF($AD60=AG$56,($AH$31-$AG$31*$BE$20/$BD$20)*$BD$29,"")</f>
        <v/>
      </c>
      <c r="AI60" s="49" t="str">
        <f>IF($AD60=AI$56,($AI$31-$BL$20-($AJ$31-$BM$20)*$BN$20/$BO$20)*$BN$29,"")</f>
        <v/>
      </c>
      <c r="AJ60" s="48" t="str">
        <f>IF($AD60=AI$56,($AJ$31-$BK$20-($AI$31-$BJ$20)*$BI$20/$BH$20)*$BH$29,"")</f>
        <v/>
      </c>
      <c r="AK60" s="49" t="str">
        <f>IF($AD60=AK$56,($AK$31-$AL$31*$BR$20/$BS$20)*$BR$29,"")</f>
        <v/>
      </c>
      <c r="AL60" s="48" t="str">
        <f>IF($AD60=AK$56,(-$AL$31+$BU$20+($AK$31-$BT$20)*$BW$20/$BV$20)*$BV$29,"")</f>
        <v/>
      </c>
      <c r="AN60" s="159" t="e">
        <f>(-$AE$31+$AF$31*$AV$20/$AW$20)</f>
        <v>#VALUE!</v>
      </c>
      <c r="AO60" s="160" t="e">
        <f>(-$AF$31+$AE$31*$CA$20/$BZ$20)</f>
        <v>#VALUE!</v>
      </c>
      <c r="AP60" s="159" t="e">
        <f>(-$AG$31+$BB$20+($AH$31-$BC$20)*$AZ$20/$BA$20)</f>
        <v>#VALUE!</v>
      </c>
      <c r="AQ60" s="160" t="e">
        <f>($AH$31-$AG$31*$BE$20/$BD$20)</f>
        <v>#VALUE!</v>
      </c>
      <c r="AR60" s="159" t="e">
        <f>($AI$31-$BL$20-($AJ$31-$BM$20)*$BN$20/$BO$20)</f>
        <v>#VALUE!</v>
      </c>
      <c r="AS60" s="160" t="e">
        <f>($AJ$31-$BK$20-($AI$31-$BJ$20)*$BI$20/$BH$20)</f>
        <v>#VALUE!</v>
      </c>
      <c r="AT60" s="159" t="e">
        <f>($AK$31-$AL$31*$BR$20/$BS$20)</f>
        <v>#VALUE!</v>
      </c>
      <c r="AU60" s="160" t="e">
        <f>(-$AL$31+$BU$20+($AK$31-$BT$20)*$BW$20/$BV$20)</f>
        <v>#VALUE!</v>
      </c>
      <c r="AV60" s="19">
        <v>4</v>
      </c>
      <c r="AW60" s="82" t="s">
        <v>287</v>
      </c>
      <c r="AX60" s="82" t="s">
        <v>291</v>
      </c>
      <c r="AY60" s="82" t="s">
        <v>295</v>
      </c>
      <c r="AZ60" s="82" t="s">
        <v>299</v>
      </c>
      <c r="BG60" s="82">
        <v>23</v>
      </c>
      <c r="BH60" s="82">
        <v>14</v>
      </c>
      <c r="BI60" s="82">
        <v>13</v>
      </c>
      <c r="BJ60" s="82">
        <v>24</v>
      </c>
      <c r="BK60" s="82">
        <v>25</v>
      </c>
      <c r="BL60" s="82">
        <v>26</v>
      </c>
      <c r="BM60" s="82">
        <v>27</v>
      </c>
      <c r="BN60" s="82">
        <v>22</v>
      </c>
      <c r="BO60" s="82">
        <v>15</v>
      </c>
      <c r="BZ60" s="19"/>
      <c r="CA60" s="19"/>
    </row>
    <row r="61" spans="1:79" ht="12" customHeight="1" x14ac:dyDescent="0.25">
      <c r="D61" s="17" t="s">
        <v>140</v>
      </c>
      <c r="E61" s="112">
        <v>2</v>
      </c>
      <c r="J61" s="17" t="s">
        <v>140</v>
      </c>
      <c r="K61" s="112">
        <v>2</v>
      </c>
      <c r="N61" s="17" t="s">
        <v>140</v>
      </c>
      <c r="O61" s="112">
        <v>2</v>
      </c>
      <c r="T61" s="17" t="s">
        <v>140</v>
      </c>
      <c r="U61" s="112">
        <v>2</v>
      </c>
      <c r="V61" s="116"/>
      <c r="AA61" s="5"/>
      <c r="AB61" s="29"/>
      <c r="AD61" s="53">
        <v>2</v>
      </c>
      <c r="AE61" s="49" t="str">
        <f>IF($AD61=AE$56,(-$AE$31-$AV$20+($AF$31+$AW$20)*$AX$20/$AY$20)*$AX$29,"")</f>
        <v/>
      </c>
      <c r="AF61" s="48" t="str">
        <f>IF($AD61=AE$56,(-$AF$31+$AE$31*$CA$20/$BZ$20)*$BZ$29,"")</f>
        <v/>
      </c>
      <c r="AG61" s="49" t="str">
        <f>IF($AD61=AG$56,(-$AG$31+$AH$31*$BB$20/$BC$20)*$BB$29,"")</f>
        <v/>
      </c>
      <c r="AH61" s="48" t="str">
        <f>IF($AD61=AG$56,($AH$31-$AG$31*$BE$20/$BD$20)*$BD$29,"")</f>
        <v/>
      </c>
      <c r="AI61" s="49" t="str">
        <f>IF($AD61=AI$56,($AI$31-$AJ$31*$BL$20/$BM$20)*$BL$29,"")</f>
        <v/>
      </c>
      <c r="AJ61" s="48" t="str">
        <f>IF($AD61=AI$56,($AJ$31-$BK$20-($AI$31-$BJ$20)*$BI$20/$BH$20)*$BH$29,"")</f>
        <v/>
      </c>
      <c r="AK61" s="49" t="str">
        <f>IF($AD61=AK$56,($AK$31+$BR$20+(-$AL$31-$BS$20)*$BP$20/$BQ$20)*$BP$29,"")</f>
        <v/>
      </c>
      <c r="AL61" s="48" t="str">
        <f>IF($AD61=AK$56,(-$AL$31+$BU$20+($AK$31-$BT$20)*$BW$20/$BV$20)*$BV$29,"")</f>
        <v/>
      </c>
      <c r="AN61" s="49" t="e">
        <f>(-$AE$31-$AV$20+($AF$31+$AW$20)*$AX$20/$AY$20)</f>
        <v>#VALUE!</v>
      </c>
      <c r="AO61" s="48" t="e">
        <f>(-$AF$31+$AE$31*$CA$20/$BZ$20)</f>
        <v>#VALUE!</v>
      </c>
      <c r="AP61" s="49" t="e">
        <f>(-$AG$31+$AH$31*$BB$20/$BC$20)</f>
        <v>#VALUE!</v>
      </c>
      <c r="AQ61" s="48" t="e">
        <f>($AH$31-$AG$31*$BE$20/$BD$20)</f>
        <v>#VALUE!</v>
      </c>
      <c r="AR61" s="49" t="e">
        <f>($AI$31-$AJ$31*$BL$20/$BM$20)</f>
        <v>#VALUE!</v>
      </c>
      <c r="AS61" s="48" t="e">
        <f>($AJ$31-$BK$20-($AI$31-$BJ$20)*$BI$20/$BH$20)</f>
        <v>#VALUE!</v>
      </c>
      <c r="AT61" s="49" t="e">
        <f>($AK$31+$BR$20+(-$AL$31-$BS$20)*$BP$20/$BQ$20)</f>
        <v>#VALUE!</v>
      </c>
      <c r="AU61" s="48" t="e">
        <f>(-$AL$31+$BU$20+($AK$31-$BT$20)*$BW$20/$BV$20)</f>
        <v>#VALUE!</v>
      </c>
      <c r="BG61" s="82">
        <v>24</v>
      </c>
      <c r="BH61" s="82">
        <v>13</v>
      </c>
      <c r="BI61" s="82">
        <v>18</v>
      </c>
      <c r="BJ61" s="82">
        <v>19</v>
      </c>
      <c r="BK61" s="82">
        <v>30</v>
      </c>
      <c r="BL61" s="82">
        <v>25</v>
      </c>
      <c r="BM61" s="82">
        <v>26</v>
      </c>
      <c r="BN61" s="82">
        <v>23</v>
      </c>
      <c r="BO61" s="82">
        <v>14</v>
      </c>
      <c r="BZ61" s="19"/>
      <c r="CA61" s="19"/>
    </row>
    <row r="62" spans="1:79" ht="12" customHeight="1" thickBot="1" x14ac:dyDescent="0.3">
      <c r="D62" s="17" t="s">
        <v>144</v>
      </c>
      <c r="E62" s="34" t="e">
        <f>IF($L$39='SHL Section'!$L$38,IF('SHL Section'!$E$61="","",'SHL Section'!$E$61),IF($L$39='BHL Section 1'!$L$38,IF('BHL Section 1'!$E$61="","",'BHL Section 1'!$E$61),IF($L$39='BHL Section 2'!$L$38,IF('BHL Section 2'!$E$61="","",'BHL Section 2'!$E$61),IF($L$39='BHL Section 3'!$L$38,IF('BHL Section 3'!$E$61="","",'BHL Section 3'!$E$61),IF(E58="","",IF(OR(E61=1,E61=4),180-(E58+E59/60+E60/3600),(E58+E59/60+E60/3600)))))))</f>
        <v>#VALUE!</v>
      </c>
      <c r="J62" s="17" t="s">
        <v>144</v>
      </c>
      <c r="K62" s="34" t="e">
        <f>IF($L$39='SHL Section'!$L$38,IF('SHL Section'!$K$61="","",'SHL Section'!$K$61),IF($L$39='BHL Section 1'!$L$38,IF('BHL Section 1'!$K$61="","",'BHL Section 1'!$K$61),IF($L$39='BHL Section 2'!$L$38,IF('BHL Section 2'!$K$61="","",'BHL Section 2'!$K$61),IF($L$39='BHL Section 3'!$L$38,IF('BHL Section 3'!$K$61="","",'BHL Section 3'!$K$61),IF(K58="","",IF(OR(K61=1,K61=4),180-(K58+K59/60+K60/3600),(K58+K59/60+K60/3600)))))))</f>
        <v>#VALUE!</v>
      </c>
      <c r="N62" s="17" t="s">
        <v>144</v>
      </c>
      <c r="O62" s="27" t="e">
        <f>IF($L$39='SHL Section'!$L$38,IF('SHL Section'!$O$61="","",'SHL Section'!$O$61),IF($L$39='BHL Section 1'!$L$38,IF('BHL Section 1'!$O$61="","",'BHL Section 1'!$O$61),IF($L$39='BHL Section 2'!$L$38,IF('BHL Section 2'!$O$61="","",'BHL Section 2'!$O$61),IF($L$39='BHL Section 3'!$L$38,IF('BHL Section 3'!$O$61="","",'BHL Section 3'!$O$61),IF(O58="","",IF(OR(O61=1,O61=4),180-(O58+O59/60+O60/3600),(O58+O59/60+O60/3600)))))))</f>
        <v>#VALUE!</v>
      </c>
      <c r="T62" s="17" t="s">
        <v>144</v>
      </c>
      <c r="U62" s="27" t="e">
        <f>IF($L$39='SHL Section'!$L$38,IF('SHL Section'!$U$61="","",'SHL Section'!$U$61),IF($L$39='BHL Section 1'!$L$38,IF('BHL Section 1'!$U$61="","",'BHL Section 1'!$U$61),IF($L$39='BHL Section 2'!$L$38,IF('BHL Section 2'!$U$61="","",'BHL Section 2'!$U$61),IF($L$39='BHL Section 3'!$L$38,IF('BHL Section 3'!$U$61="","",'BHL Section 3'!$U$61),IF(U58="","",IF(OR(U61=1,U61=4),180-(U58+U59/60+U60/3600),(U58+U59/60+U60/3600)))))))</f>
        <v>#VALUE!</v>
      </c>
      <c r="AA62" s="5"/>
      <c r="AB62" s="29"/>
      <c r="AD62" s="53">
        <v>3</v>
      </c>
      <c r="AE62" s="49" t="str">
        <f>IF($AD62=AE$56,(-$AE$31-$AV$20+($AF$31+$AW$20)*$AX$20/$AY$20)*$AX$29,"")</f>
        <v/>
      </c>
      <c r="AF62" s="48" t="str">
        <f>IF($AD62=AE$56,(-$AF$31-$CA$20-(-$AE$31-$BZ$20)*$BY$20/$BX$20)*$BX$29,"")</f>
        <v/>
      </c>
      <c r="AG62" s="49" t="str">
        <f>IF($AD62=AG$56,(-$AG$31+$AH$31*$BB$20/$BC$20)*$BB$29,"")</f>
        <v/>
      </c>
      <c r="AH62" s="48" t="str">
        <f>IF($AD62=AG$56,($AH$31+$BE$20+(-$AG$31-$BD$20)*$BG$20/$BF$20)*$BF$29,"")</f>
        <v/>
      </c>
      <c r="AI62" s="49" t="str">
        <f>IF($AD62=AI$56,($AI$31-$AJ$31*$BL$20/$BM$20)*$BL$29,"")</f>
        <v/>
      </c>
      <c r="AJ62" s="48" t="str">
        <f>IF($AD62=AI$56,($AJ$31-$AI$31*$BK$20/$BJ$20)*$BJ$29,"")</f>
        <v/>
      </c>
      <c r="AK62" s="49" t="str">
        <f>IF($AD62=AK$56,($AK$31+$BR$20+(-$AL$31-$BS$20)*$BP$20/$BQ$20)*$BP$29,"")</f>
        <v/>
      </c>
      <c r="AL62" s="48" t="str">
        <f>IF($AD62=AK$56,(-$AL$31+$AK$31*$BU$20/$BT$20)*$BT$29,"")</f>
        <v/>
      </c>
      <c r="AN62" s="49" t="e">
        <f>(-$AE$31-$AV$20+($AF$31+$AW$20)*$AX$20/$AY$20)</f>
        <v>#VALUE!</v>
      </c>
      <c r="AO62" s="48" t="e">
        <f>(-$AF$31-$CA$20-(-$AE$31-$BZ$20)*$BY$20/$BX$20)</f>
        <v>#VALUE!</v>
      </c>
      <c r="AP62" s="49" t="e">
        <f>(-$AG$31+$AH$31*$BB$20/$BC$20)</f>
        <v>#VALUE!</v>
      </c>
      <c r="AQ62" s="48" t="e">
        <f>($AH$31+$BE$20+(-$AG$31-$BD$20)*$BG$20/$BF$20)</f>
        <v>#VALUE!</v>
      </c>
      <c r="AR62" s="49" t="e">
        <f>($AI$31-$AJ$31*$BL$20/$BM$20)</f>
        <v>#VALUE!</v>
      </c>
      <c r="AS62" s="48" t="e">
        <f>($AJ$31-$AI$31*$BK$20/$BJ$20)</f>
        <v>#VALUE!</v>
      </c>
      <c r="AT62" s="49" t="e">
        <f>($AK$31+$BR$20+(-$AL$31-$BS$20)*$BP$20/$BQ$20)</f>
        <v>#VALUE!</v>
      </c>
      <c r="AU62" s="48" t="e">
        <f>(-$AL$31+$AK$31*$BU$20/$BT$20)</f>
        <v>#VALUE!</v>
      </c>
      <c r="BG62" s="82">
        <v>25</v>
      </c>
      <c r="BH62" s="82">
        <v>24</v>
      </c>
      <c r="BI62" s="82">
        <v>19</v>
      </c>
      <c r="BJ62" s="82">
        <v>30</v>
      </c>
      <c r="BK62" s="82">
        <v>31</v>
      </c>
      <c r="BL62" s="82">
        <v>36</v>
      </c>
      <c r="BM62" s="82">
        <v>35</v>
      </c>
      <c r="BN62" s="82">
        <v>26</v>
      </c>
      <c r="BO62" s="82">
        <v>23</v>
      </c>
      <c r="BZ62" s="19"/>
      <c r="CA62" s="19"/>
    </row>
    <row r="63" spans="1:79" ht="12" customHeight="1" x14ac:dyDescent="0.25">
      <c r="E63" s="44" t="e">
        <f>IF($L$39='SHL Section'!$L$38,'SHL Section'!$E$56,IF($L$39='BHL Section 1'!$L$38,'BHL Section 1'!$E$62,IF($L$39='BHL Section 2'!$L$38,'BHL Section 2'!$E$62,IF($L$39='BHL Section 3'!$L$38,'BHL Section 3'!$E$62,$E$57))))</f>
        <v>#VALUE!</v>
      </c>
      <c r="F63" s="156"/>
      <c r="G63" s="156"/>
      <c r="H63" s="156"/>
      <c r="I63" s="156"/>
      <c r="J63" s="156"/>
      <c r="K63" s="44" t="e">
        <f>IF($L$39='SHL Section'!$L$38,'SHL Section'!$K$56,IF($L$39='BHL Section 1'!$L$38,'BHL Section 1'!$K$62,IF($L$39='BHL Section 2'!$L$38,'BHL Section 2'!$K$62,IF($L$39='BHL Section 3'!$L$38,'BHL Section 3'!$K$62,$K$57))))</f>
        <v>#VALUE!</v>
      </c>
      <c r="L63" s="156"/>
      <c r="M63" s="156"/>
      <c r="N63" s="156"/>
      <c r="O63" s="44" t="e">
        <f>IF($L$39='SHL Section'!$L$38,'SHL Section'!$O$56,IF($L$39='BHL Section 1'!$L$38,'BHL Section 1'!$O$62,IF($L$39='BHL Section 2'!$L$38,'BHL Section 2'!$O$62,IF($L$39='BHL Section 3'!$L$38,'BHL Section 3'!$O$62,$O$57))))</f>
        <v>#VALUE!</v>
      </c>
      <c r="P63" s="156"/>
      <c r="Q63" s="156"/>
      <c r="R63" s="156"/>
      <c r="S63" s="156"/>
      <c r="T63" s="156"/>
      <c r="U63" s="44" t="e">
        <f>IF($L$39='SHL Section'!$L$38,'SHL Section'!$U$56,IF($L$39='BHL Section 1'!$L$38,'BHL Section 1'!$U$62,IF($L$39='BHL Section 2'!$L$38,'BHL Section 2'!$U$62,IF($L$39='BHL Section 3'!$L$38,'BHL Section 3'!$U$62,$U$57))))</f>
        <v>#VALUE!</v>
      </c>
      <c r="AA63" s="5"/>
      <c r="AD63" s="53">
        <v>4</v>
      </c>
      <c r="AE63" s="83" t="str">
        <f>IF($AD63=AE$56,(-$AE$31+$AF$31*$AV$20/$AW$20)*$AV$29,"")</f>
        <v/>
      </c>
      <c r="AF63" s="84" t="str">
        <f>IF($AD63=AE$56,(-$AF$31-$CA$20-(-$AE$31-$BZ$20)*$BY$20/$BX$20)*$BX$29,"")</f>
        <v/>
      </c>
      <c r="AG63" s="83" t="str">
        <f>IF($AD63=AG$56,(-$AG$31+$BB$20+($AH$31-$BC$20)*$AZ$20/$BA$20)*$AZ$29,"")</f>
        <v/>
      </c>
      <c r="AH63" s="84" t="str">
        <f>IF($AD63=AG$56,($AH$31+$BE$20+(-$AG$31-$BD$20)*$BG$20/$BF$20)*$BF$29,"")</f>
        <v/>
      </c>
      <c r="AI63" s="83" t="str">
        <f>IF($AD63=AI$56,($AI$31-$BL$20-($AJ$31-$BM$20)*$BN$20/$BO$20)*$BN$29,"")</f>
        <v/>
      </c>
      <c r="AJ63" s="84" t="str">
        <f>IF($AD63=AI$56,($AJ$31-$AI$31*$BK$20/$BJ$20)*$BJ$29,"")</f>
        <v/>
      </c>
      <c r="AK63" s="83" t="str">
        <f>IF($AD63=AK$56,($AK$31-$AL$31*$BR$20/$BS$20)*$BR$29,"")</f>
        <v/>
      </c>
      <c r="AL63" s="84" t="str">
        <f>IF($AD63=AK$56,(-$AL$31+$AK$31*$BU$20/$BT$20)*$BT$29,"")</f>
        <v/>
      </c>
      <c r="AN63" s="83" t="e">
        <f>(-$AE$31+$AF$31*$AV$20/$AW$20)</f>
        <v>#VALUE!</v>
      </c>
      <c r="AO63" s="84" t="e">
        <f>(-$AF$31-$CA$20-(-$AE$31-$BZ$20)*$BY$20/$BX$20)</f>
        <v>#VALUE!</v>
      </c>
      <c r="AP63" s="83" t="e">
        <f>(-$AG$31+$BB$20+($AH$31-$BC$20)*$AZ$20/$BA$20)</f>
        <v>#VALUE!</v>
      </c>
      <c r="AQ63" s="84" t="e">
        <f>($AH$31+$BE$20+(-$AG$31-$BD$20)*$BG$20/$BF$20)</f>
        <v>#VALUE!</v>
      </c>
      <c r="AR63" s="83" t="e">
        <f>($AI$31-$BL$20-($AJ$31-$BM$20)*$BN$20/$BO$20)</f>
        <v>#VALUE!</v>
      </c>
      <c r="AS63" s="84" t="e">
        <f>($AJ$31-$AI$31*$BK$20/$BJ$20)</f>
        <v>#VALUE!</v>
      </c>
      <c r="AT63" s="83" t="e">
        <f>($AK$31-$AL$31*$BR$20/$BS$20)</f>
        <v>#VALUE!</v>
      </c>
      <c r="AU63" s="84" t="e">
        <f>(-$AL$31+$AK$31*$BU$20/$BT$20)</f>
        <v>#VALUE!</v>
      </c>
      <c r="AW63" s="263" t="s">
        <v>4</v>
      </c>
      <c r="AX63" s="264"/>
      <c r="AY63" s="264"/>
      <c r="AZ63" s="265"/>
      <c r="BG63" s="82">
        <v>26</v>
      </c>
      <c r="BH63" s="82">
        <v>23</v>
      </c>
      <c r="BI63" s="82">
        <v>24</v>
      </c>
      <c r="BJ63" s="82">
        <v>25</v>
      </c>
      <c r="BK63" s="82">
        <v>36</v>
      </c>
      <c r="BL63" s="82">
        <v>35</v>
      </c>
      <c r="BM63" s="82">
        <v>34</v>
      </c>
      <c r="BN63" s="82">
        <v>27</v>
      </c>
      <c r="BO63" s="82">
        <v>22</v>
      </c>
      <c r="BZ63" s="19"/>
      <c r="CA63" s="19"/>
    </row>
    <row r="64" spans="1:79" ht="12" customHeight="1" x14ac:dyDescent="0.25">
      <c r="AA64" s="5"/>
      <c r="AB64" s="5"/>
      <c r="AE64" s="85" t="str">
        <f>IF(ISNUMBER($AE$60),AE$60,IF(ISNUMBER($AE$61),AE$61,IF(ISNUMBER($AE$62),AE$62,IF(ISNUMBER($AE$63),AE$63,""))))</f>
        <v/>
      </c>
      <c r="AF64" s="86" t="str">
        <f>IF(ISNUMBER($AF$60),AF$60,IF(ISNUMBER($AF$61),AF$61,IF(ISNUMBER($AF$62),AF$62,IF(ISNUMBER($AF$63),AF$63,""))))</f>
        <v/>
      </c>
      <c r="AG64" s="85" t="str">
        <f>IF(ISNUMBER($AG$60),AG$60,IF(ISNUMBER($AG$61),AG$61,IF(ISNUMBER($AG$62),AG$62,IF(ISNUMBER($AG$63),AG$63,""))))</f>
        <v/>
      </c>
      <c r="AH64" s="86" t="str">
        <f>IF(ISNUMBER($AH$60),AH$60,IF(ISNUMBER($AH$61),AH$61,IF(ISNUMBER($AH$62),AH$62,IF(ISNUMBER($AH$63),AH$63,""))))</f>
        <v/>
      </c>
      <c r="AI64" s="85" t="str">
        <f>IF(ISNUMBER($AI$60),AI$60,IF(ISNUMBER($AI$61),AI$61,IF(ISNUMBER($AI$62),AI$62,IF(ISNUMBER($AI$63),AI$63,""))))</f>
        <v/>
      </c>
      <c r="AJ64" s="86" t="str">
        <f>IF(ISNUMBER($AJ$60),AJ$60,IF(ISNUMBER($AJ$61),AJ$61,IF(ISNUMBER($AJ$62),AJ$62,IF(ISNUMBER($AJ$63),AJ$63,""))))</f>
        <v/>
      </c>
      <c r="AK64" s="85" t="str">
        <f>IF(ISNUMBER($AK$60),AK$60,IF(ISNUMBER($AK$61),AK$61,IF(ISNUMBER($AK$62),AK$62,IF(ISNUMBER($AK$63),AK$63,""))))</f>
        <v/>
      </c>
      <c r="AL64" s="86" t="str">
        <f>IF(ISNUMBER($AL$60),AL$60,IF(ISNUMBER($AL$61),AL$61,IF(ISNUMBER($AL$62),AL$62,IF(ISNUMBER($AL$63),AL$63,""))))</f>
        <v/>
      </c>
      <c r="AO64" s="44"/>
      <c r="AP64" s="44"/>
      <c r="AQ64" s="44"/>
      <c r="AR64" s="44"/>
      <c r="AS64" s="44"/>
      <c r="AT64" s="44"/>
      <c r="AW64" s="266"/>
      <c r="AX64" s="267"/>
      <c r="AY64" s="267"/>
      <c r="AZ64" s="268"/>
      <c r="BG64" s="82">
        <v>27</v>
      </c>
      <c r="BH64" s="82">
        <v>22</v>
      </c>
      <c r="BI64" s="82">
        <v>23</v>
      </c>
      <c r="BJ64" s="82">
        <v>26</v>
      </c>
      <c r="BK64" s="82">
        <v>35</v>
      </c>
      <c r="BL64" s="82">
        <v>34</v>
      </c>
      <c r="BM64" s="82">
        <v>33</v>
      </c>
      <c r="BN64" s="82">
        <v>28</v>
      </c>
      <c r="BO64" s="82">
        <v>21</v>
      </c>
      <c r="BZ64" s="19"/>
      <c r="CA64" s="19"/>
    </row>
    <row r="65" spans="27:79" ht="12" customHeight="1" x14ac:dyDescent="0.25">
      <c r="AA65" s="5"/>
      <c r="AE65" s="87"/>
      <c r="AF65" s="88"/>
      <c r="AG65" s="89"/>
      <c r="AH65" s="89"/>
      <c r="AI65" s="87"/>
      <c r="AJ65" s="88"/>
      <c r="AK65" s="87"/>
      <c r="AL65" s="88"/>
      <c r="AO65" s="44"/>
      <c r="AP65" s="44"/>
      <c r="AQ65" s="44"/>
      <c r="AR65" s="44"/>
      <c r="AS65" s="44"/>
      <c r="AT65" s="44"/>
      <c r="AW65" s="269"/>
      <c r="AX65" s="270"/>
      <c r="AY65" s="270"/>
      <c r="AZ65" s="287"/>
      <c r="BG65" s="82">
        <v>28</v>
      </c>
      <c r="BH65" s="82">
        <v>21</v>
      </c>
      <c r="BI65" s="82">
        <v>22</v>
      </c>
      <c r="BJ65" s="82">
        <v>27</v>
      </c>
      <c r="BK65" s="82">
        <v>34</v>
      </c>
      <c r="BL65" s="82">
        <v>33</v>
      </c>
      <c r="BM65" s="82">
        <v>32</v>
      </c>
      <c r="BN65" s="82">
        <v>29</v>
      </c>
      <c r="BO65" s="82">
        <v>20</v>
      </c>
      <c r="BZ65" s="19"/>
      <c r="CA65" s="19"/>
    </row>
    <row r="66" spans="27:79" ht="12" customHeight="1" x14ac:dyDescent="0.25">
      <c r="AA66" s="5"/>
      <c r="AE66" s="939" t="s">
        <v>366</v>
      </c>
      <c r="AF66" s="882"/>
      <c r="AG66" s="943" t="s">
        <v>366</v>
      </c>
      <c r="AH66" s="832"/>
      <c r="AI66" s="939" t="s">
        <v>366</v>
      </c>
      <c r="AJ66" s="882"/>
      <c r="AK66" s="939" t="s">
        <v>366</v>
      </c>
      <c r="AL66" s="882"/>
      <c r="AW66" s="269"/>
      <c r="AX66" s="270"/>
      <c r="AY66" s="270"/>
      <c r="AZ66" s="287"/>
      <c r="BG66" s="82">
        <v>29</v>
      </c>
      <c r="BH66" s="82">
        <v>20</v>
      </c>
      <c r="BI66" s="82">
        <v>21</v>
      </c>
      <c r="BJ66" s="82">
        <v>28</v>
      </c>
      <c r="BK66" s="82">
        <v>33</v>
      </c>
      <c r="BL66" s="82">
        <v>32</v>
      </c>
      <c r="BM66" s="82">
        <v>31</v>
      </c>
      <c r="BN66" s="82">
        <v>30</v>
      </c>
      <c r="BO66" s="82">
        <v>19</v>
      </c>
      <c r="BZ66" s="19"/>
      <c r="CA66" s="19"/>
    </row>
    <row r="67" spans="27:79" ht="12" customHeight="1" x14ac:dyDescent="0.25">
      <c r="AA67" s="5"/>
      <c r="AE67" s="944" t="e">
        <f>IF($AE$33="","",IF(AND((-$AE$33+$AF$33*$AV$20/$AW$20)&gt;0,-$AE$33&lt;$BZ$20,(-$AF$33+$AE$33*$CA$20/$BZ$20)&gt;0,-$AF$33&lt;$AW$20),1,IF(AND((-$AE$33-$AV$20+($AF$33+$AW$20)*$AX$20/$AY$20)&gt;0,-$AE$33&lt;$BZ$20,-$AF$33&gt;$AW$20,-$AF$33&lt;$AX$23),2,IF(AND(-$AE$33&lt;$BY$23,-$AE$33&gt;$BZ$20,-$AF$33&gt;$AW$20,-$AF$33&lt;$AX$23),3,IF(AND(-$AE$33&lt;$BY$23,-$AE$33&gt;$BZ$20,(-$AF$33-$CA$20-(-$AE$33-$BZ$20)*$BY$20/$BX$20)&gt;0,-$AF$33&lt;$AW$20),4,"")))))</f>
        <v>#VALUE!</v>
      </c>
      <c r="AF67" s="911"/>
      <c r="AG67" s="944" t="e">
        <f>IF($AG$34="","",IF(AND((-$AG$34+$BB$20+($AH$34-$BC$20)*$AZ$20/$BA$20)&gt;0,-$AG$34&lt;$BD$20,$AH$34&gt;$BC$20,$AH$34&lt;$BB$23),1,IF(AND((-$AG$34+$AH$34*$BB$20/$BC$20)&gt;0,-$AG$34&lt;$BD$20,($AH$34-$AG$34*$BE$20/$BD$20)&gt;0,$AH$34&lt;$BC$20),2,IF(AND(-$AG$34&gt;$BD$20,-$AG$34&lt;$BE$23,($AH$34+$BE$20+(-$AG$34-$BD$20)*$BG$20/$BF$20)&gt;0,$AH$34&lt;$BC$20),3,IF(AND(-$AG$34&gt;$BD$20,-$AG$34&lt;$BE$23,$AH$34&gt;$BC$20,$AH$34&lt;$BB$23),4,"")))))</f>
        <v>#VALUE!</v>
      </c>
      <c r="AH67" s="911"/>
      <c r="AI67" s="944" t="e">
        <f>IF($AI$35="","",IF(AND($AI$35&gt;$BJ$20,$AI$35&lt;$BI$23,$AJ$35&gt;$BM$20,$AJ$35&lt;$BN$23),1,IF(AND($AI$35&gt;$BJ$20,$AI$35&lt;$BI$23,($AJ$35-$BK$20-($AI$35-$BJ$20)*$BI$20/$BH$20)&gt;0,$AJ$35&lt;$BM$20),2,IF(AND(($AI$35-$AJ$35*$BL$20/$BM$20)&gt;0,$AI$35&lt;$BJ$20,($AJ$35-$AI$35*$BK$20/$BJ$20)&gt;0,$AJ$35&lt;$BM$20),3,IF(AND(($AI$35-$BL$20-($AJ$35-$BM$20)*$BN$20/$BO$20)&gt;0,$AI$35&lt;$BJ$20,$AJ$35&gt;$BM$20,$AJ$35&lt;$BN$23),4,"")))))</f>
        <v>#VALUE!</v>
      </c>
      <c r="AJ67" s="911"/>
      <c r="AK67" s="944" t="e">
        <f>IF($AK$36="","",IF(AND($AK$36&gt;$BT$20,$AK$36&lt;$BU$23,(-$AL$36+$BU$20+($AK$36-$BT$20)*$BW$20/$BV$20)&gt;0,-$AL$36&lt;$BS$20),1,IF(AND($AK$36&gt;$BT$20,$AK$36&lt;$BU$23,-$AL$36&gt;$BS$20,-$AL$36&lt;$BR$23),2,IF(AND(($AK$36+$BR$20+(-$AL$36-$BS$20)*$BP$20/$BQ$20)&gt;0,$AK$36&lt;$BT$20,-$AL$36&gt;$BS$20,-$AL$36&lt;$BR$23),3,IF(AND(($AK$36-$AL$36*$BR$20/$BS$20)&gt;0,$AK$36&lt;$BT$20,(-$AL$36+$AK$36*$BU$20/$BT$20)&gt;0,-$AL$36&lt;$BS$20),4,"")))))</f>
        <v>#VALUE!</v>
      </c>
      <c r="AL67" s="911"/>
      <c r="AW67" s="269"/>
      <c r="AX67" s="271" t="s">
        <v>22</v>
      </c>
      <c r="AY67" s="271" t="s">
        <v>23</v>
      </c>
      <c r="AZ67" s="288" t="s">
        <v>24</v>
      </c>
      <c r="BG67" s="82">
        <v>30</v>
      </c>
      <c r="BH67" s="82">
        <v>19</v>
      </c>
      <c r="BI67" s="82">
        <v>20</v>
      </c>
      <c r="BJ67" s="82">
        <v>29</v>
      </c>
      <c r="BK67" s="82">
        <v>32</v>
      </c>
      <c r="BL67" s="82">
        <v>31</v>
      </c>
      <c r="BM67" s="82">
        <v>36</v>
      </c>
      <c r="BN67" s="82">
        <v>25</v>
      </c>
      <c r="BO67" s="82">
        <v>24</v>
      </c>
      <c r="BZ67" s="19"/>
      <c r="CA67" s="19"/>
    </row>
    <row r="68" spans="27:79" ht="12" customHeight="1" x14ac:dyDescent="0.25">
      <c r="AA68" s="5"/>
      <c r="AE68" s="87"/>
      <c r="AF68" s="88"/>
      <c r="AG68" s="89"/>
      <c r="AH68" s="89"/>
      <c r="AI68" s="87"/>
      <c r="AJ68" s="88"/>
      <c r="AK68" s="87"/>
      <c r="AL68" s="88"/>
      <c r="AW68" s="272" t="s">
        <v>31</v>
      </c>
      <c r="AX68" s="267"/>
      <c r="AY68" s="267"/>
      <c r="AZ68" s="268"/>
      <c r="BG68" s="82">
        <v>31</v>
      </c>
      <c r="BH68" s="82">
        <v>30</v>
      </c>
      <c r="BI68" s="82">
        <v>29</v>
      </c>
      <c r="BJ68" s="82">
        <v>32</v>
      </c>
      <c r="BK68" s="82">
        <v>5</v>
      </c>
      <c r="BL68" s="82">
        <v>6</v>
      </c>
      <c r="BM68" s="82">
        <v>1</v>
      </c>
      <c r="BN68" s="82">
        <v>36</v>
      </c>
      <c r="BO68" s="82">
        <v>25</v>
      </c>
      <c r="BZ68" s="19"/>
      <c r="CA68" s="19"/>
    </row>
    <row r="69" spans="27:79" ht="12" customHeight="1" x14ac:dyDescent="0.25">
      <c r="AA69" s="5"/>
      <c r="AE69" s="939" t="s">
        <v>367</v>
      </c>
      <c r="AF69" s="882"/>
      <c r="AG69" s="939" t="s">
        <v>368</v>
      </c>
      <c r="AH69" s="882"/>
      <c r="AI69" s="939" t="s">
        <v>369</v>
      </c>
      <c r="AJ69" s="882"/>
      <c r="AK69" s="939" t="s">
        <v>370</v>
      </c>
      <c r="AL69" s="882"/>
      <c r="AW69" s="269" t="s">
        <v>35</v>
      </c>
      <c r="AX69" s="273">
        <v>1.6965277777777781</v>
      </c>
      <c r="AY69" s="273">
        <v>1.625694444444445</v>
      </c>
      <c r="AZ69" s="289">
        <v>1.5506944444444439</v>
      </c>
      <c r="BG69" s="82">
        <v>32</v>
      </c>
      <c r="BH69" s="82">
        <v>29</v>
      </c>
      <c r="BI69" s="82">
        <v>28</v>
      </c>
      <c r="BJ69" s="82">
        <v>33</v>
      </c>
      <c r="BK69" s="82">
        <v>4</v>
      </c>
      <c r="BL69" s="82">
        <v>5</v>
      </c>
      <c r="BM69" s="82">
        <v>6</v>
      </c>
      <c r="BN69" s="82">
        <v>31</v>
      </c>
      <c r="BO69" s="82">
        <v>30</v>
      </c>
      <c r="BZ69" s="19"/>
      <c r="CA69" s="19"/>
    </row>
    <row r="70" spans="27:79" ht="12" customHeight="1" x14ac:dyDescent="0.25">
      <c r="AA70" s="5"/>
      <c r="AD70" s="757" t="s">
        <v>226</v>
      </c>
      <c r="AE70" s="30" t="s">
        <v>181</v>
      </c>
      <c r="AF70" s="30" t="s">
        <v>194</v>
      </c>
      <c r="AG70" s="761" t="s">
        <v>181</v>
      </c>
      <c r="AH70" s="760" t="s">
        <v>201</v>
      </c>
      <c r="AI70" s="30" t="s">
        <v>186</v>
      </c>
      <c r="AJ70" s="30" t="s">
        <v>201</v>
      </c>
      <c r="AK70" s="30" t="s">
        <v>186</v>
      </c>
      <c r="AL70" s="30" t="s">
        <v>194</v>
      </c>
      <c r="AN70" s="19" t="s">
        <v>371</v>
      </c>
      <c r="AW70" s="269" t="s">
        <v>38</v>
      </c>
      <c r="AX70" s="273">
        <v>1.7409722222222219</v>
      </c>
      <c r="AY70" s="273">
        <v>1.6937500000000001</v>
      </c>
      <c r="AZ70" s="289">
        <v>1.5979166666666671</v>
      </c>
      <c r="BG70" s="82">
        <v>33</v>
      </c>
      <c r="BH70" s="82">
        <v>28</v>
      </c>
      <c r="BI70" s="82">
        <v>27</v>
      </c>
      <c r="BJ70" s="82">
        <v>34</v>
      </c>
      <c r="BK70" s="82">
        <v>3</v>
      </c>
      <c r="BL70" s="82">
        <v>4</v>
      </c>
      <c r="BM70" s="82">
        <v>5</v>
      </c>
      <c r="BN70" s="82">
        <v>32</v>
      </c>
      <c r="BO70" s="82">
        <v>29</v>
      </c>
      <c r="BZ70" s="19"/>
      <c r="CA70" s="19"/>
    </row>
    <row r="71" spans="27:79" ht="12" customHeight="1" x14ac:dyDescent="0.25">
      <c r="AA71" s="5"/>
      <c r="AB71" s="29"/>
      <c r="AD71" s="53">
        <v>1</v>
      </c>
      <c r="AE71" s="49" t="e">
        <f>IF($AD71=AE$67,(-$AE$37+$AF$37*$AV$20/$AW$20)*$AV$29,"")</f>
        <v>#VALUE!</v>
      </c>
      <c r="AF71" s="48" t="e">
        <f>IF($AD71=AE$67,(-$AF$37+$AE$37*$CA$20/$BZ$20)*$BZ$29,"")</f>
        <v>#VALUE!</v>
      </c>
      <c r="AG71" s="49" t="e">
        <f>IF($AD71=AG$67,(-$AG$37+$BB$20+($AH$37-$BC$20)*$AZ$20/$BA$20)*$AZ$29,"")</f>
        <v>#VALUE!</v>
      </c>
      <c r="AH71" s="48" t="e">
        <f>IF($AD71=AG$67,($AH$37-$AG$37*$BE$20/$BD$20)*$BD$29,"")</f>
        <v>#VALUE!</v>
      </c>
      <c r="AI71" s="49" t="e">
        <f>IF($AD71=AI$67,($AI$37-$BL$20-($AJ$37-$BM$20)*$BN$20/$BO$20)*$BN$29,"")</f>
        <v>#VALUE!</v>
      </c>
      <c r="AJ71" s="48" t="e">
        <f>IF($AD71=AI$67,($AJ$37-$BK$20-($AI$37-$BJ$20)*$BI$20/$BH$20)*$BH$29,"")</f>
        <v>#VALUE!</v>
      </c>
      <c r="AK71" s="49" t="e">
        <f>IF($AD71=AK$67,($AK$37-$AL$37*$BR$20/$BS$20)*$BR$29,"")</f>
        <v>#VALUE!</v>
      </c>
      <c r="AL71" s="48" t="e">
        <f>IF($AD71=AK$67,(-$AL$37+$BU$20+($AK$37-$BT$20)*$BW$20/$BV$20)*$BV$29,"")</f>
        <v>#VALUE!</v>
      </c>
      <c r="AN71" s="159" t="e">
        <f>(-$AE$37+$AF$37*$AV$20/$AW$20)</f>
        <v>#VALUE!</v>
      </c>
      <c r="AO71" s="160" t="e">
        <f>(-$AF$37+$AE$37*$CA$20/$BZ$20)</f>
        <v>#VALUE!</v>
      </c>
      <c r="AP71" s="159" t="e">
        <f>(-$AG$37+$BB$20+($AH$37-$BC$20)*$AZ$20/$BA$20)</f>
        <v>#VALUE!</v>
      </c>
      <c r="AQ71" s="160" t="e">
        <f>($AH$37-$AG$37*$BE$20/$BD$20)</f>
        <v>#VALUE!</v>
      </c>
      <c r="AR71" s="159" t="e">
        <f>($AI$37-$BL$20-($AJ$37-$BM$20)*$BN$20/$BO$20)</f>
        <v>#VALUE!</v>
      </c>
      <c r="AS71" s="160" t="e">
        <f>($AJ$37-$BK$20-($AI$37-$BJ$20)*$BI$20/$BH$20)</f>
        <v>#VALUE!</v>
      </c>
      <c r="AT71" s="159" t="e">
        <f>($AK$37-$AL$37*$BR$20/$BS$20)</f>
        <v>#VALUE!</v>
      </c>
      <c r="AU71" s="160" t="e">
        <f>(-$AL$37+$BU$20+($AK$37-$BT$20)*$BW$20/$BV$20)</f>
        <v>#VALUE!</v>
      </c>
      <c r="AW71" s="269" t="s">
        <v>42</v>
      </c>
      <c r="AX71" s="273">
        <v>1.680555555555556</v>
      </c>
      <c r="AY71" s="273">
        <v>1.5972222222222221</v>
      </c>
      <c r="AZ71" s="289">
        <v>1.5277777777777779</v>
      </c>
      <c r="BG71" s="82">
        <v>34</v>
      </c>
      <c r="BH71" s="82">
        <v>27</v>
      </c>
      <c r="BI71" s="82">
        <v>26</v>
      </c>
      <c r="BJ71" s="82">
        <v>35</v>
      </c>
      <c r="BK71" s="82">
        <v>2</v>
      </c>
      <c r="BL71" s="82">
        <v>3</v>
      </c>
      <c r="BM71" s="82">
        <v>4</v>
      </c>
      <c r="BN71" s="82">
        <v>33</v>
      </c>
      <c r="BO71" s="82">
        <v>28</v>
      </c>
      <c r="BZ71" s="19"/>
      <c r="CA71" s="19"/>
    </row>
    <row r="72" spans="27:79" ht="12" customHeight="1" x14ac:dyDescent="0.25">
      <c r="AA72" s="5"/>
      <c r="AB72" s="5"/>
      <c r="AD72" s="53">
        <v>2</v>
      </c>
      <c r="AE72" s="49" t="e">
        <f>IF($AD72=AE$67,(-$AE$37-$AV$20+($AF$37+$AW$20)*$AX$20/$AY$20)*$AX$29,"")</f>
        <v>#VALUE!</v>
      </c>
      <c r="AF72" s="48" t="e">
        <f>IF($AD72=AE$67,(-$AF$37+$AE$37*$CA$20/$BZ$20)*$BZ$29,"")</f>
        <v>#VALUE!</v>
      </c>
      <c r="AG72" s="49" t="e">
        <f>IF($AD72=AG$67,(-$AG$37+$AH$37*$BB$20/$BC$20)*$BB$29,"")</f>
        <v>#VALUE!</v>
      </c>
      <c r="AH72" s="48" t="e">
        <f>IF($AD72=AG$67,($AH$37-$AG$37*$BE$20/$BD$20)*$BD$29,"")</f>
        <v>#VALUE!</v>
      </c>
      <c r="AI72" s="49" t="e">
        <f>IF($AD72=AI$67,($AI$37-$AJ$37*$BL$20/$BM$20)*$BL$29,"")</f>
        <v>#VALUE!</v>
      </c>
      <c r="AJ72" s="48" t="e">
        <f>IF($AD72=AI$67,($AJ$37-$BK$20-($AI$37-$BJ$20)*$BI$20/$BH$20)*$BH$29,"")</f>
        <v>#VALUE!</v>
      </c>
      <c r="AK72" s="49" t="e">
        <f>IF($AD72=AK$67,($AK$37+$BR$20+(-$AL$37-$BS$20)*$BP$20/$BQ$20)*$BP$29,"")</f>
        <v>#VALUE!</v>
      </c>
      <c r="AL72" s="48" t="e">
        <f>IF($AD72=AK$67,(-$AL$37+$BU$20+($AK$37-$BT$20)*$BW$20/$BV$20)*$BV$29,"")</f>
        <v>#VALUE!</v>
      </c>
      <c r="AN72" s="49" t="e">
        <f>(-$AE$37-$AV$20+($AF$37+$AW$20)*$AX$20/$AY$20)</f>
        <v>#VALUE!</v>
      </c>
      <c r="AO72" s="48" t="e">
        <f>(-$AF$37+$AE$37*$CA$20/$BZ$20)</f>
        <v>#VALUE!</v>
      </c>
      <c r="AP72" s="49" t="e">
        <f>(-$AG$37+$AH$37*$BB$20/$BC$20)</f>
        <v>#VALUE!</v>
      </c>
      <c r="AQ72" s="48" t="e">
        <f>($AH$37-$AG$37*$BE$20/$BD$20)</f>
        <v>#VALUE!</v>
      </c>
      <c r="AR72" s="49" t="e">
        <f>($AI$37-$AJ$37*$BL$20/$BM$20)</f>
        <v>#VALUE!</v>
      </c>
      <c r="AS72" s="48" t="e">
        <f>($AJ$37-$BK$20-($AI$37-$BJ$20)*$BI$20/$BH$20)</f>
        <v>#VALUE!</v>
      </c>
      <c r="AT72" s="49" t="e">
        <f>($AK$37+$BR$20+(-$AL$37-$BS$20)*$BP$20/$BQ$20)</f>
        <v>#VALUE!</v>
      </c>
      <c r="AU72" s="48" t="e">
        <f>(-$AL$37+$BU$20+($AK$37-$BT$20)*$BW$20/$BV$20)</f>
        <v>#VALUE!</v>
      </c>
      <c r="AW72" s="269" t="s">
        <v>47</v>
      </c>
      <c r="AX72" s="273">
        <v>4.645833333333333</v>
      </c>
      <c r="AY72" s="273">
        <v>4.645833333333333</v>
      </c>
      <c r="AZ72" s="289">
        <v>4.645833333333333</v>
      </c>
      <c r="BG72" s="82">
        <v>35</v>
      </c>
      <c r="BH72" s="82">
        <v>26</v>
      </c>
      <c r="BI72" s="82">
        <v>25</v>
      </c>
      <c r="BJ72" s="82">
        <v>36</v>
      </c>
      <c r="BK72" s="82">
        <v>1</v>
      </c>
      <c r="BL72" s="82">
        <v>2</v>
      </c>
      <c r="BM72" s="82">
        <v>3</v>
      </c>
      <c r="BN72" s="82">
        <v>34</v>
      </c>
      <c r="BO72" s="82">
        <v>27</v>
      </c>
      <c r="BZ72" s="19"/>
      <c r="CA72" s="19"/>
    </row>
    <row r="73" spans="27:79" ht="12" customHeight="1" x14ac:dyDescent="0.25">
      <c r="AA73" s="5"/>
      <c r="AB73" s="5"/>
      <c r="AD73" s="53">
        <v>3</v>
      </c>
      <c r="AE73" s="49" t="e">
        <f>IF($AD73=AE$67,(-$AE$37-$AV$20+($AF$37+$AW$20)*$AX$20/$AY$20)*$AX$29,"")</f>
        <v>#VALUE!</v>
      </c>
      <c r="AF73" s="48" t="e">
        <f>IF($AD73=AE$67,(-$AF$37-$CA$20-(-$AE$37-$BZ$20)*$BY$20/$BX$20)*$BX$29,"")</f>
        <v>#VALUE!</v>
      </c>
      <c r="AG73" s="49" t="e">
        <f>IF($AD73=AG$67,(-$AG$37+$AH$37*$BB$20/$BC$20)*$BB$29,"")</f>
        <v>#VALUE!</v>
      </c>
      <c r="AH73" s="48" t="e">
        <f>IF($AD73=AG$67,($AH$37+$BE$20+(-$AG$37-$BD$20)*$BG$20/$BF$20)*$BF$29,"")</f>
        <v>#VALUE!</v>
      </c>
      <c r="AI73" s="49" t="e">
        <f>IF($AD73=AI$67,($AI$37-$AJ$37*$BL$20/$BM$20)*$BL$29,"")</f>
        <v>#VALUE!</v>
      </c>
      <c r="AJ73" s="48" t="e">
        <f>IF($AD73=AI$67,($AJ$37-$AI$37*$BK$20/$BJ$20)*$BJ$29,"")</f>
        <v>#VALUE!</v>
      </c>
      <c r="AK73" s="49" t="e">
        <f>IF($AD73=AK$67,($AK$37+$BR$20+(-$AL$37-$BS$20)*$BP$20/$BQ$20)*$BP$29,"")</f>
        <v>#VALUE!</v>
      </c>
      <c r="AL73" s="48" t="e">
        <f>IF($AD73=AK$67,(-$AL$37+$AK$37*$BU$20/$BT$20)*$BT$29,"")</f>
        <v>#VALUE!</v>
      </c>
      <c r="AN73" s="49" t="e">
        <f>(-$AE$37-$AV$20+($AF$37+$AW$20)*$AX$20/$AY$20)</f>
        <v>#VALUE!</v>
      </c>
      <c r="AO73" s="48" t="e">
        <f>(-$AF$37-$CA$20-(-$AE$37-$BZ$20)*$BY$20/$BX$20)</f>
        <v>#VALUE!</v>
      </c>
      <c r="AP73" s="49" t="e">
        <f>(-$AG$37+$AH$37*$BB$20/$BC$20)</f>
        <v>#VALUE!</v>
      </c>
      <c r="AQ73" s="48" t="e">
        <f>($AH$37+$BE$20+(-$AG$37-$BD$20)*$BG$20/$BF$20)</f>
        <v>#VALUE!</v>
      </c>
      <c r="AR73" s="49" t="e">
        <f>($AI$37-$AJ$37*$BL$20/$BM$20)</f>
        <v>#VALUE!</v>
      </c>
      <c r="AS73" s="48" t="e">
        <f>($AJ$37-$AI$37*$BK$20/$BJ$20)</f>
        <v>#VALUE!</v>
      </c>
      <c r="AT73" s="49" t="e">
        <f>($AK$37+$BR$20+(-$AL$37-$BS$20)*$BP$20/$BQ$20)</f>
        <v>#VALUE!</v>
      </c>
      <c r="AU73" s="48" t="e">
        <f>(-$AL$37+$AK$37*$BU$20/$BT$20)</f>
        <v>#VALUE!</v>
      </c>
      <c r="AW73" s="269" t="s">
        <v>51</v>
      </c>
      <c r="AX73" s="267">
        <v>1000000</v>
      </c>
      <c r="AY73" s="267">
        <v>2000000</v>
      </c>
      <c r="AZ73" s="268">
        <v>3000000</v>
      </c>
      <c r="BG73" s="82">
        <v>36</v>
      </c>
      <c r="BH73" s="82">
        <v>25</v>
      </c>
      <c r="BI73" s="82">
        <v>30</v>
      </c>
      <c r="BJ73" s="82">
        <v>31</v>
      </c>
      <c r="BK73" s="82">
        <v>6</v>
      </c>
      <c r="BL73" s="82">
        <v>1</v>
      </c>
      <c r="BM73" s="82">
        <v>2</v>
      </c>
      <c r="BN73" s="82">
        <v>35</v>
      </c>
      <c r="BO73" s="82">
        <v>26</v>
      </c>
      <c r="BZ73" s="19"/>
      <c r="CA73" s="19"/>
    </row>
    <row r="74" spans="27:79" ht="12" customHeight="1" x14ac:dyDescent="0.25">
      <c r="AA74" s="5"/>
      <c r="AB74" s="5"/>
      <c r="AD74" s="53">
        <v>4</v>
      </c>
      <c r="AE74" s="83" t="e">
        <f>IF($AD74=AE$67,(-$AE$37+$AF$37*$AV$20/$AW$20)*$AV$29,"")</f>
        <v>#VALUE!</v>
      </c>
      <c r="AF74" s="84" t="e">
        <f>IF($AD74=AE$67,(-$AF$37-$CA$20-(-$AE$37-$BZ$20)*$BY$20/$BX$20)*$BX$29,"")</f>
        <v>#VALUE!</v>
      </c>
      <c r="AG74" s="83" t="e">
        <f>IF($AD74=AG$67,(-$AG$37+$BB$20+($AH$37-$BC$20)*$AZ$20/$BA$20)*$AZ$29,"")</f>
        <v>#VALUE!</v>
      </c>
      <c r="AH74" s="84" t="e">
        <f>IF($AD74=AG$67,($AH$37+$BE$20+(-$AG$37-$BD$20)*$BG$20/$BF$20)*$BF$29,"")</f>
        <v>#VALUE!</v>
      </c>
      <c r="AI74" s="83" t="e">
        <f>IF($AD74=AI$67,($AI$37-$BL$20-($AJ$37-$BM$20)*$BN$20/$BO$20)*$BN$29,"")</f>
        <v>#VALUE!</v>
      </c>
      <c r="AJ74" s="84" t="e">
        <f>IF($AD74=AI$67,($AJ$37-$AI$37*$BK$20/$BJ$20)*$BJ$29,"")</f>
        <v>#VALUE!</v>
      </c>
      <c r="AK74" s="83" t="e">
        <f>IF($AD74=AK$67,($AK$37-$AL$37*$BR$20/$BS$20)*$BR$29,"")</f>
        <v>#VALUE!</v>
      </c>
      <c r="AL74" s="84" t="e">
        <f>IF($AD74=AK$67,(-$AL$37+$AK$37*$BU$20/$BT$20)*$BT$29,"")</f>
        <v>#VALUE!</v>
      </c>
      <c r="AN74" s="83" t="e">
        <f>(-$AE$37+$AF$37*$AV$20/$AW$20)</f>
        <v>#VALUE!</v>
      </c>
      <c r="AO74" s="84" t="e">
        <f>(-$AF$37-$CA$20-(-$AE$37-$BZ$20)*$BY$20/$BX$20)</f>
        <v>#VALUE!</v>
      </c>
      <c r="AP74" s="83" t="e">
        <f>(-$AG$37+$BB$20+($AH$37-$BC$20)*$AZ$20/$BA$20)</f>
        <v>#VALUE!</v>
      </c>
      <c r="AQ74" s="84" t="e">
        <f>($AH$37+$BE$20+(-$AG$37-$BD$20)*$BG$20/$BF$20)</f>
        <v>#VALUE!</v>
      </c>
      <c r="AR74" s="83" t="e">
        <f>($AI$37-$BL$20-($AJ$37-$BM$20)*$BN$20/$BO$20)</f>
        <v>#VALUE!</v>
      </c>
      <c r="AS74" s="84" t="e">
        <f>($AJ$37-$AI$37*$BK$20/$BJ$20)</f>
        <v>#VALUE!</v>
      </c>
      <c r="AT74" s="83" t="e">
        <f>($AK$37-$AL$37*$BR$20/$BS$20)</f>
        <v>#VALUE!</v>
      </c>
      <c r="AU74" s="84" t="e">
        <f>(-$AL$37+$AK$37*$BU$20/$BT$20)</f>
        <v>#VALUE!</v>
      </c>
      <c r="AW74" s="269" t="s">
        <v>55</v>
      </c>
      <c r="AX74" s="267">
        <v>500000</v>
      </c>
      <c r="AY74" s="267">
        <v>500000</v>
      </c>
      <c r="AZ74" s="268">
        <v>500000</v>
      </c>
      <c r="BZ74" s="19"/>
      <c r="CA74" s="19"/>
    </row>
    <row r="75" spans="27:79" ht="12" customHeight="1" x14ac:dyDescent="0.25">
      <c r="AA75" s="5"/>
      <c r="AB75" s="5"/>
      <c r="AE75" s="85" t="str">
        <f>IF(ISNUMBER($AE$71),AE$71,IF(ISNUMBER($AE$72),AE$72,IF(ISNUMBER($AE$73),AE$73,IF(ISNUMBER($AE$74),AE$74,""))))</f>
        <v/>
      </c>
      <c r="AF75" s="86" t="str">
        <f>IF(ISNUMBER($AF$71),AF$71,IF(ISNUMBER($AF$72),AF$72,IF(ISNUMBER($AF$73),AF$73,IF(ISNUMBER($AF$74),AF$74,""))))</f>
        <v/>
      </c>
      <c r="AG75" s="85" t="str">
        <f>IF(ISNUMBER($AG$71),AG$71,IF(ISNUMBER($AG$72),AG$72,IF(ISNUMBER($AG$73),AG$73,IF(ISNUMBER($AG$74),AG$74,""))))</f>
        <v/>
      </c>
      <c r="AH75" s="86" t="str">
        <f>IF(ISNUMBER($AH$71),AH$71,IF(ISNUMBER($AH$72),AH$72,IF(ISNUMBER($AH$73),AH$73,IF(ISNUMBER($AH$74),AH$74,""))))</f>
        <v/>
      </c>
      <c r="AI75" s="85" t="str">
        <f>IF(ISNUMBER($AI$71),AI$71,IF(ISNUMBER($AI$72),AI$72,IF(ISNUMBER($AI$73),AI$73,IF(ISNUMBER($AI$74),AI$74,""))))</f>
        <v/>
      </c>
      <c r="AJ75" s="86" t="str">
        <f>IF(ISNUMBER($AJ$71),AJ$71,IF(ISNUMBER($AJ$72),AJ$72,IF(ISNUMBER($AJ$73),AJ$73,IF(ISNUMBER($AJ$74),AJ$74,""))))</f>
        <v/>
      </c>
      <c r="AK75" s="85" t="str">
        <f>IF(ISNUMBER($AK$71),AK$71,IF(ISNUMBER($AK$72),AK$72,IF(ISNUMBER($AK$73),AK$73,IF(ISNUMBER($AK$74),AK$74,""))))</f>
        <v/>
      </c>
      <c r="AL75" s="86" t="str">
        <f>IF(ISNUMBER($AL$71),AL$71,IF(ISNUMBER($AL$72),AL$72,IF(ISNUMBER($AL$73),AL$73,IF(ISNUMBER($AL$74),AL$74,""))))</f>
        <v/>
      </c>
      <c r="AO75" s="44"/>
      <c r="AP75" s="44"/>
      <c r="AQ75" s="44"/>
      <c r="AR75" s="44"/>
      <c r="AS75" s="44"/>
      <c r="AT75" s="44"/>
      <c r="AW75" s="269"/>
      <c r="AX75" s="267"/>
      <c r="AY75" s="267"/>
      <c r="AZ75" s="268"/>
      <c r="BZ75" s="19"/>
      <c r="CA75" s="19"/>
    </row>
    <row r="76" spans="27:79" ht="12" customHeight="1" x14ac:dyDescent="0.25">
      <c r="AA76" s="5"/>
      <c r="AB76" s="5"/>
      <c r="AE76" s="87"/>
      <c r="AF76" s="88"/>
      <c r="AG76" s="89"/>
      <c r="AH76" s="89"/>
      <c r="AI76" s="87"/>
      <c r="AJ76" s="88"/>
      <c r="AK76" s="87"/>
      <c r="AL76" s="88"/>
      <c r="AO76" s="44"/>
      <c r="AP76" s="44"/>
      <c r="AQ76" s="44"/>
      <c r="AR76" s="44"/>
      <c r="AS76" s="44"/>
      <c r="AT76" s="44"/>
      <c r="AW76" s="272" t="s">
        <v>71</v>
      </c>
      <c r="AX76" s="267"/>
      <c r="AY76" s="267"/>
      <c r="AZ76" s="268"/>
      <c r="BZ76" s="19"/>
      <c r="CA76" s="19"/>
    </row>
    <row r="77" spans="27:79" ht="12" customHeight="1" x14ac:dyDescent="0.25">
      <c r="AA77" s="5"/>
      <c r="AB77" s="5"/>
      <c r="AE77" s="939" t="s">
        <v>372</v>
      </c>
      <c r="AF77" s="882"/>
      <c r="AG77" s="943" t="s">
        <v>372</v>
      </c>
      <c r="AH77" s="832"/>
      <c r="AI77" s="939" t="s">
        <v>372</v>
      </c>
      <c r="AJ77" s="882"/>
      <c r="AK77" s="939" t="s">
        <v>372</v>
      </c>
      <c r="AL77" s="882"/>
      <c r="AO77" s="44"/>
      <c r="AP77" s="44"/>
      <c r="AQ77" s="44"/>
      <c r="AR77" s="44"/>
      <c r="AS77" s="44"/>
      <c r="AT77" s="44"/>
      <c r="AW77" s="269" t="s">
        <v>77</v>
      </c>
      <c r="AX77" s="267">
        <v>41.250736679799999</v>
      </c>
      <c r="AY77" s="267">
        <v>39.8349774741</v>
      </c>
      <c r="AZ77" s="268">
        <v>37.784069624099999</v>
      </c>
      <c r="BZ77" s="19"/>
      <c r="CA77" s="19"/>
    </row>
    <row r="78" spans="27:79" ht="12" customHeight="1" x14ac:dyDescent="0.25">
      <c r="AA78" s="5"/>
      <c r="AB78" s="5"/>
      <c r="AE78" s="944" t="e">
        <f>IF($AE$39="","",IF(AND((-$AE$39+$AF$39*$AV$20/$AW$20)&gt;0,-$AE$39&lt;$BZ$20,(-$AF$39+$AE$39*$CA$20/$BZ$20)&gt;0,-$AF$39&lt;$AW$20),1,IF(AND((-$AE$39-$AV$20+($AF$39+$AW$20)*$AX$20/$AY$20)&gt;0,-$AE$39&lt;$BZ$20,-$AF$39&gt;$AW$20,-$AF$39&lt;$AX$23),2,IF(AND(-$AE$39&lt;$BY$23,-$AE$39&gt;$BZ$20,-$AF$39&gt;$AW$20,-$AF$39&lt;$AX$23),3,IF(AND(-$AE$39&lt;$BY$23,-$AE$39&gt;$BZ$20,(-$AF$39-$CA$20-(-$AE$39-$BZ$20)*$BY$20/$BX$20)&gt;0,-$AF$39&lt;$AW$20),4,"")))))</f>
        <v>#VALUE!</v>
      </c>
      <c r="AF78" s="911"/>
      <c r="AG78" s="944" t="e">
        <f>IF($AG$40="","",IF(AND((-$AG$40+$BB$20+($AH$40-$BC$20)*$AZ$20/$BA$20)&gt;0,-$AG$40&lt;$BD$20,$AH$40&gt;$BC$20,$AH$40&lt;$BB$23),1,IF(AND((-$AG$40+$AH$40*$BB$20/$BC$20)&gt;0,-$AG$40&lt;$BD$20,($AH$40-$AG$40*$BE$20/$BD$20)&gt;0,$AH$40&lt;$BC$20),2,IF(AND(-$AG$40&gt;$BD$20,-$AG$40&lt;$BE$23,($AH$40+$BE$20+(-$AG$40-$BD$20)*$BG$20/$BF$20)&gt;0,$AH$40&lt;$BC$20),3,IF(AND(-$AG$40&gt;$BD$20,-$AG$40&lt;$BE$23,$AH$40&gt;$BC$20,$AH$40&lt;$BB$23),4,"")))))</f>
        <v>#VALUE!</v>
      </c>
      <c r="AH78" s="911"/>
      <c r="AI78" s="944" t="e">
        <f>IF($AI$41="","",IF(AND($AI$41&gt;$BJ$20,$AI$41&lt;$BI$23,$AJ$41&gt;$BM$20,$AJ$41&lt;$BN$23),1,IF(AND($AI$41&gt;$BJ$20,$AI$41&lt;$BI$23,($AJ$41-$BK$20-($AI$41-$BJ$20)*$BI$20/$BH$20)&gt;0,$AJ$41&lt;$BM$20),2,IF(AND(($AI$41-$AJ$41*$BL$20/$BM$20)&gt;0,$AI$41&lt;$BJ$20,($AJ$41-$AI$41*$BK$20/$BJ$20)&gt;0,$AJ$41&lt;$BM$20),3,IF(AND(($AI$41-$BL$20-($AJ$41-$BM$20)*$BN$20/$BO$20)&gt;0,$AI$41&lt;$BJ$20,$AJ$41&gt;$BM$20,$AJ$41&lt;$BN$23),4,"")))))</f>
        <v>#VALUE!</v>
      </c>
      <c r="AJ78" s="911"/>
      <c r="AK78" s="944" t="e">
        <f>IF($AK$42="","",IF(AND($AK$42&gt;$BT$20,$AK$42&lt;$BU$23,(-$AL$42+$BU$20+($AK$42-$BT$20)*$BW$20/$BV$20)&gt;0,-$AL$42&lt;$BS$20),1,IF(AND($AK$42&gt;$BT$20,$AK$42&lt;$BU$23,-$AL$42&gt;$BS$20,-$AL$42&lt;$BR$23),2,IF(AND(($AK$42+$BR$20+(-$AL$42-$BS$20)*$BP$20/$BQ$20)&gt;0,$AK$42&lt;$BT$20,-$AL$42&gt;$BS$20,-$AL$42&lt;$BR$23),3,IF(AND(($AK$42-$AL$42*$BR$20/$BS$20)&gt;0,$AK$42&lt;$BT$20,(-$AL$42+$AK$42*$BU$20/$BT$20)&gt;0,-$AL$42&lt;$BS$20),4,"")))))</f>
        <v>#VALUE!</v>
      </c>
      <c r="AL78" s="911"/>
      <c r="AW78" s="269" t="s">
        <v>80</v>
      </c>
      <c r="AX78" s="267">
        <v>0.65935548181699999</v>
      </c>
      <c r="AY78" s="267">
        <v>0.64057859582499999</v>
      </c>
      <c r="AZ78" s="268">
        <v>0.61268733723400004</v>
      </c>
      <c r="BZ78" s="19"/>
      <c r="CA78" s="19"/>
    </row>
    <row r="79" spans="27:79" ht="12" customHeight="1" x14ac:dyDescent="0.25">
      <c r="AA79" s="5"/>
      <c r="AB79" s="5"/>
      <c r="AE79" s="87"/>
      <c r="AF79" s="88"/>
      <c r="AG79" s="89"/>
      <c r="AH79" s="89"/>
      <c r="AI79" s="87"/>
      <c r="AJ79" s="88"/>
      <c r="AK79" s="87"/>
      <c r="AL79" s="88"/>
      <c r="AW79" s="269" t="s">
        <v>83</v>
      </c>
      <c r="AX79" s="267">
        <v>7384852.1452000001</v>
      </c>
      <c r="AY79" s="267">
        <v>7822240.6085000001</v>
      </c>
      <c r="AZ79" s="268">
        <v>8361336.2313000001</v>
      </c>
      <c r="BZ79" s="19"/>
      <c r="CA79" s="19"/>
    </row>
    <row r="80" spans="27:79" ht="12" customHeight="1" x14ac:dyDescent="0.25">
      <c r="AA80" s="5"/>
      <c r="AB80" s="5"/>
      <c r="AE80" s="939" t="s">
        <v>373</v>
      </c>
      <c r="AF80" s="882"/>
      <c r="AG80" s="939" t="s">
        <v>374</v>
      </c>
      <c r="AH80" s="882"/>
      <c r="AI80" s="939" t="s">
        <v>375</v>
      </c>
      <c r="AJ80" s="882"/>
      <c r="AK80" s="939" t="s">
        <v>376</v>
      </c>
      <c r="AL80" s="882"/>
      <c r="AW80" s="269" t="s">
        <v>86</v>
      </c>
      <c r="AX80" s="267">
        <v>7282974.6765999999</v>
      </c>
      <c r="AY80" s="267">
        <v>7655530.3910999997</v>
      </c>
      <c r="AZ80" s="268">
        <v>8237322.9910000004</v>
      </c>
      <c r="BZ80" s="19"/>
      <c r="CA80" s="19"/>
    </row>
    <row r="81" spans="27:79" ht="12" customHeight="1" x14ac:dyDescent="0.25">
      <c r="AA81" s="5"/>
      <c r="AB81" s="5"/>
      <c r="AD81" s="757" t="s">
        <v>226</v>
      </c>
      <c r="AE81" s="30" t="s">
        <v>181</v>
      </c>
      <c r="AF81" s="30" t="s">
        <v>194</v>
      </c>
      <c r="AG81" s="761" t="s">
        <v>181</v>
      </c>
      <c r="AH81" s="760" t="s">
        <v>201</v>
      </c>
      <c r="AI81" s="30" t="s">
        <v>186</v>
      </c>
      <c r="AJ81" s="30" t="s">
        <v>201</v>
      </c>
      <c r="AK81" s="30" t="s">
        <v>186</v>
      </c>
      <c r="AL81" s="30" t="s">
        <v>194</v>
      </c>
      <c r="AN81" s="19" t="s">
        <v>371</v>
      </c>
      <c r="AW81" s="269" t="s">
        <v>92</v>
      </c>
      <c r="AX81" s="267">
        <v>1101877.4686</v>
      </c>
      <c r="AY81" s="267">
        <v>2166710.2174</v>
      </c>
      <c r="AZ81" s="268">
        <v>3124013.2403000002</v>
      </c>
      <c r="BZ81" s="19"/>
      <c r="CA81" s="19"/>
    </row>
    <row r="82" spans="27:79" ht="12" customHeight="1" x14ac:dyDescent="0.25">
      <c r="AA82" s="5"/>
      <c r="AB82" s="5"/>
      <c r="AD82" s="53">
        <v>1</v>
      </c>
      <c r="AE82" s="49" t="e">
        <f>IF($AD82=AE$78,(-$AE$43+$AF$43*$AV$20/$AW$20)*$AV$29,"")</f>
        <v>#VALUE!</v>
      </c>
      <c r="AF82" s="48" t="e">
        <f>IF($AD82=AE$78,(-$AF$43+$AE$43*$CA$20/$BZ$20)*$BZ$29,"")</f>
        <v>#VALUE!</v>
      </c>
      <c r="AG82" s="49" t="e">
        <f>IF($AD82=AG$78,(-$AG$43+$BB$20+($AH$43-$BC$20)*$AZ$20/$BA$20)*$AZ$29,"")</f>
        <v>#VALUE!</v>
      </c>
      <c r="AH82" s="48" t="e">
        <f>IF($AD82=AG$78,($AH$43-$AG$43*$BE$20/$BD$20)*$BD$29,"")</f>
        <v>#VALUE!</v>
      </c>
      <c r="AI82" s="49" t="e">
        <f>IF($AD82=AI$78,($AI$43-$BL$20-($AJ$43-$BM$20)*$BN$20/$BO$20)*$BN$29,"")</f>
        <v>#VALUE!</v>
      </c>
      <c r="AJ82" s="48" t="e">
        <f>IF($AD82=AI$78,($AJ$43-$BK$20-($AI$43-$BJ$20)*$BI$20/$BH$20)*$BH$29,"")</f>
        <v>#VALUE!</v>
      </c>
      <c r="AK82" s="49" t="e">
        <f>IF($AD82=AK$78,($AK$43-$AL$43*$BR$20/$BS$20)*$BR$29,"")</f>
        <v>#VALUE!</v>
      </c>
      <c r="AL82" s="48" t="e">
        <f>IF($AD82=AK$78,(-$AL$43+$BU$20+($AK$43-$BT$20)*$BW$20/$BV$20)*$BV$29,"")</f>
        <v>#VALUE!</v>
      </c>
      <c r="AN82" s="159" t="e">
        <f>(-$AE$43+$AF$43*$AV$20/$AW$20)</f>
        <v>#VALUE!</v>
      </c>
      <c r="AO82" s="160" t="e">
        <f>(-$AF$43+$AE$43*$CA$20/$BZ$20)</f>
        <v>#VALUE!</v>
      </c>
      <c r="AP82" s="159" t="e">
        <f>(-$AG$43+$BB$20+($AH$43-$BC$20)*$AZ$20/$BA$20)</f>
        <v>#VALUE!</v>
      </c>
      <c r="AQ82" s="160" t="e">
        <f>($AH$43-$AG$43*$BE$20/$BD$20)</f>
        <v>#VALUE!</v>
      </c>
      <c r="AR82" s="159" t="e">
        <f>($AI$43-$BL$20-($AJ$43-$BM$20)*$BN$20/$BO$20)</f>
        <v>#VALUE!</v>
      </c>
      <c r="AS82" s="160" t="e">
        <f>($AJ$43-$BK$20-($AI$43-$BJ$20)*$BI$20/$BH$20)</f>
        <v>#VALUE!</v>
      </c>
      <c r="AT82" s="159" t="e">
        <f>($AK$43-$AL$43*$BR$20/$BS$20)</f>
        <v>#VALUE!</v>
      </c>
      <c r="AU82" s="160" t="e">
        <f>(-$AL$43+$BU$20+($AK$43-$BT$20)*$BW$20/$BV$20)</f>
        <v>#VALUE!</v>
      </c>
      <c r="AW82" s="269" t="s">
        <v>100</v>
      </c>
      <c r="AX82" s="267">
        <v>12238904.9538</v>
      </c>
      <c r="AY82" s="267">
        <v>12415886.8989</v>
      </c>
      <c r="AZ82" s="268">
        <v>12719504.172900001</v>
      </c>
      <c r="BZ82" s="19"/>
      <c r="CA82" s="19"/>
    </row>
    <row r="83" spans="27:79" ht="12" customHeight="1" x14ac:dyDescent="0.25">
      <c r="AA83" s="5"/>
      <c r="AB83" s="5"/>
      <c r="AD83" s="53">
        <v>2</v>
      </c>
      <c r="AE83" s="49" t="e">
        <f>IF($AD83=AE$78,(-$AE$43-$AV$20+($AF$43+$AW$20)*$AX$20/$AY$20)*$AX$29,"")</f>
        <v>#VALUE!</v>
      </c>
      <c r="AF83" s="48" t="e">
        <f>IF($AD83=AE$78,(-$AF$43+$AE$43*$CA$20/$BZ$20)*$BZ$29,"")</f>
        <v>#VALUE!</v>
      </c>
      <c r="AG83" s="49" t="e">
        <f>IF($AD83=AG$78,(-$AG$43+$AH$43*$BB$20/$BC$20)*$BB$29,"")</f>
        <v>#VALUE!</v>
      </c>
      <c r="AH83" s="48" t="e">
        <f>IF($AD83=AG$78,($AH$43-$AG$43*$BE$20/$BD$20)*$BD$29,"")</f>
        <v>#VALUE!</v>
      </c>
      <c r="AI83" s="49" t="e">
        <f>IF($AD83=AI$78,($AI$43-$AJ$43*$BL$20/$BM$20)*$BL$29,"")</f>
        <v>#VALUE!</v>
      </c>
      <c r="AJ83" s="48" t="e">
        <f>IF($AD83=AI$78,($AJ$43-$BK$20-($AI$43-$BJ$20)*$BI$20/$BH$20)*$BH$29,"")</f>
        <v>#VALUE!</v>
      </c>
      <c r="AK83" s="49" t="e">
        <f>IF($AD83=AK$78,($AK$43+$BR$20+(-$AL$43-$BS$20)*$BP$20/$BQ$20)*$BP$29,"")</f>
        <v>#VALUE!</v>
      </c>
      <c r="AL83" s="48" t="e">
        <f>IF($AD83=AK$78,(-$AL$43+$BU$20+($AK$43-$BT$20)*$BW$20/$BV$20)*$BV$29,"")</f>
        <v>#VALUE!</v>
      </c>
      <c r="AN83" s="49" t="e">
        <f>(-$AE$43-$AV$20+($AF$43+$AW$20)*$AX$20/$AY$20)</f>
        <v>#VALUE!</v>
      </c>
      <c r="AO83" s="48" t="e">
        <f>(-$AF$43+$AE$43*$CA$20/$BZ$20)</f>
        <v>#VALUE!</v>
      </c>
      <c r="AP83" s="49" t="e">
        <f>(-$AG$43+$AH$43*$BB$20/$BC$20)</f>
        <v>#VALUE!</v>
      </c>
      <c r="AQ83" s="48" t="e">
        <f>($AH$43-$AG$43*$BE$20/$BD$20)</f>
        <v>#VALUE!</v>
      </c>
      <c r="AR83" s="49" t="e">
        <f>($AI$43-$AJ$43*$BL$20/$BM$20)</f>
        <v>#VALUE!</v>
      </c>
      <c r="AS83" s="48" t="e">
        <f>($AJ$43-$BK$20-($AI$43-$BJ$20)*$BI$20/$BH$20)</f>
        <v>#VALUE!</v>
      </c>
      <c r="AT83" s="49" t="e">
        <f>($AK$43+$BR$20+(-$AL$43-$BS$20)*$BP$20/$BQ$20)</f>
        <v>#VALUE!</v>
      </c>
      <c r="AU83" s="48" t="e">
        <f>(-$AL$43+$BU$20+($AK$43-$BT$20)*$BW$20/$BV$20)</f>
        <v>#VALUE!</v>
      </c>
      <c r="AW83" s="269" t="s">
        <v>106</v>
      </c>
      <c r="AX83" s="267">
        <v>0.99995684104100002</v>
      </c>
      <c r="AY83" s="267">
        <v>0.99989882076500003</v>
      </c>
      <c r="AZ83" s="268">
        <v>0.99995129707800001</v>
      </c>
      <c r="BZ83" s="19"/>
      <c r="CA83" s="19"/>
    </row>
    <row r="84" spans="27:79" ht="12" customHeight="1" x14ac:dyDescent="0.25">
      <c r="AA84" s="5"/>
      <c r="AB84" s="5"/>
      <c r="AD84" s="53">
        <v>3</v>
      </c>
      <c r="AE84" s="49" t="e">
        <f>IF($AD84=AE$78,(-$AE$43-$AV$20+($AF$43+$AW$20)*$AX$20/$AY$20)*$AX$29,"")</f>
        <v>#VALUE!</v>
      </c>
      <c r="AF84" s="48" t="e">
        <f>IF($AD84=AE$78,(-$AF$43-$CA$20-(-$AE$43-$BZ$20)*$BY$20/$BX$20)*$BX$29,"")</f>
        <v>#VALUE!</v>
      </c>
      <c r="AG84" s="49" t="e">
        <f>IF($AD84=AG$78,(-$AG$43+$AH$43*$BB$20/$BC$20)*$BB$29,"")</f>
        <v>#VALUE!</v>
      </c>
      <c r="AH84" s="48" t="e">
        <f>IF($AD84=AG$78,($AH$43+$BE$20+(-$AG$43-$BD$20)*$BG$20/$BF$20)*$BF$29,"")</f>
        <v>#VALUE!</v>
      </c>
      <c r="AI84" s="49" t="e">
        <f>IF($AD84=AI$78,($AI$43-$AJ$43*$BL$20/$BM$20)*$BL$29,"")</f>
        <v>#VALUE!</v>
      </c>
      <c r="AJ84" s="48" t="e">
        <f>IF($AD84=AI$78,($AJ$43-$AI$43*$BK$20/$BJ$20)*$BJ$29,"")</f>
        <v>#VALUE!</v>
      </c>
      <c r="AK84" s="49" t="e">
        <f>IF($AD84=AK$78,($AK$43+$BR$20+(-$AL$43-$BS$20)*$BP$20/$BQ$20)*$BP$29,"")</f>
        <v>#VALUE!</v>
      </c>
      <c r="AL84" s="48" t="e">
        <f>IF($AD84=AK$78,(-$AL$43+$AK$43*$BU$20/$BT$20)*$BT$29,"")</f>
        <v>#VALUE!</v>
      </c>
      <c r="AN84" s="49" t="e">
        <f>(-$AE$43-$AV$20+($AF$43+$AW$20)*$AX$20/$AY$20)</f>
        <v>#VALUE!</v>
      </c>
      <c r="AO84" s="48" t="e">
        <f>(-$AF$43-$CA$20-(-$AE$43-$BZ$20)*$BY$20/$BX$20)</f>
        <v>#VALUE!</v>
      </c>
      <c r="AP84" s="49" t="e">
        <f>(-$AG$43+$AH$43*$BB$20/$BC$20)</f>
        <v>#VALUE!</v>
      </c>
      <c r="AQ84" s="48" t="e">
        <f>($AH$43+$BE$20+(-$AG$43-$BD$20)*$BG$20/$BF$20)</f>
        <v>#VALUE!</v>
      </c>
      <c r="AR84" s="49" t="e">
        <f>($AI$43-$AJ$43*$BL$20/$BM$20)</f>
        <v>#VALUE!</v>
      </c>
      <c r="AS84" s="48" t="e">
        <f>($AJ$43-$AI$43*$BK$20/$BJ$20)</f>
        <v>#VALUE!</v>
      </c>
      <c r="AT84" s="49" t="e">
        <f>($AK$43+$BR$20+(-$AL$43-$BS$20)*$BP$20/$BQ$20)</f>
        <v>#VALUE!</v>
      </c>
      <c r="AU84" s="48" t="e">
        <f>(-$AL$43+$AK$43*$BU$20/$BT$20)</f>
        <v>#VALUE!</v>
      </c>
      <c r="AW84" s="269" t="s">
        <v>109</v>
      </c>
      <c r="AX84" s="267">
        <v>6362923.4572000001</v>
      </c>
      <c r="AY84" s="267">
        <v>6360990.5575000001</v>
      </c>
      <c r="AZ84" s="268">
        <v>6359086.0437000003</v>
      </c>
      <c r="BZ84" s="19"/>
      <c r="CA84" s="19"/>
    </row>
    <row r="85" spans="27:79" ht="12" customHeight="1" x14ac:dyDescent="0.25">
      <c r="AA85" s="5"/>
      <c r="AB85" s="5"/>
      <c r="AD85" s="53">
        <v>4</v>
      </c>
      <c r="AE85" s="49" t="e">
        <f>IF($AD85=AE$78,(-$AE$43+$AF$43*$AV$20/$AW$20)*$AV$29,"")</f>
        <v>#VALUE!</v>
      </c>
      <c r="AF85" s="48" t="e">
        <f>IF($AD85=AE$78,(-$AF$43-$CA$20-(-$AE$43-$BZ$20)*$BY$20/$BX$20)*$BX$29,"")</f>
        <v>#VALUE!</v>
      </c>
      <c r="AG85" s="49" t="e">
        <f>IF($AD85=AG$78,(-$AG$43+$BB$20+($AH$43-$BC$20)*$AZ$20/$BA$20)*$AZ$29,"")</f>
        <v>#VALUE!</v>
      </c>
      <c r="AH85" s="48" t="e">
        <f>IF($AD85=AG$78,($AH$43+$BE$20+(-$AG$43-$BD$20)*$BG$20/$BF$20)*$BF$29,"")</f>
        <v>#VALUE!</v>
      </c>
      <c r="AI85" s="49" t="e">
        <f>IF($AD85=AI$78,($AI$43-$BL$20-($AJ$43-$BM$20)*$BN$20/$BO$20)*$BN$29,"")</f>
        <v>#VALUE!</v>
      </c>
      <c r="AJ85" s="48" t="e">
        <f>IF($AD85=AI$78,($AJ$43-$AI$43*$BK$20/$BJ$20)*$BJ$29,"")</f>
        <v>#VALUE!</v>
      </c>
      <c r="AK85" s="49" t="e">
        <f>IF($AD85=AK$78,($AK$43-$AL$43*$BR$20/$BS$20)*$BR$29,"")</f>
        <v>#VALUE!</v>
      </c>
      <c r="AL85" s="48" t="e">
        <f>IF($AD85=AK$78,(-$AL$43+$AK$43*$BU$20/$BT$20)*$BT$29,"")</f>
        <v>#VALUE!</v>
      </c>
      <c r="AN85" s="83" t="e">
        <f>(-$AE$43+$AF$43*$AV$20/$AW$20)</f>
        <v>#VALUE!</v>
      </c>
      <c r="AO85" s="84" t="e">
        <f>(-$AF$43-$CA$20-(-$AE$43-$BZ$20)*$BY$20/$BX$20)</f>
        <v>#VALUE!</v>
      </c>
      <c r="AP85" s="83" t="e">
        <f>(-$AG$43+$BB$20+($AH$43-$BC$20)*$AZ$20/$BA$20)</f>
        <v>#VALUE!</v>
      </c>
      <c r="AQ85" s="84" t="e">
        <f>($AH$43+$BE$20+(-$AG$43-$BD$20)*$BG$20/$BF$20)</f>
        <v>#VALUE!</v>
      </c>
      <c r="AR85" s="83" t="e">
        <f>($AI$43-$BL$20-($AJ$43-$BM$20)*$BN$20/$BO$20)</f>
        <v>#VALUE!</v>
      </c>
      <c r="AS85" s="84" t="e">
        <f>($AJ$43-$AI$43*$BK$20/$BJ$20)</f>
        <v>#VALUE!</v>
      </c>
      <c r="AT85" s="83" t="e">
        <f>($AK$43-$AL$43*$BR$20/$BS$20)</f>
        <v>#VALUE!</v>
      </c>
      <c r="AU85" s="84" t="e">
        <f>(-$AL$43+$AK$43*$BU$20/$BT$20)</f>
        <v>#VALUE!</v>
      </c>
      <c r="AW85" s="269" t="s">
        <v>115</v>
      </c>
      <c r="AX85" s="267">
        <v>6375032</v>
      </c>
      <c r="AY85" s="267">
        <v>6373617</v>
      </c>
      <c r="AZ85" s="268">
        <v>6372457</v>
      </c>
      <c r="BZ85" s="19"/>
      <c r="CA85" s="19"/>
    </row>
    <row r="86" spans="27:79" ht="12" customHeight="1" x14ac:dyDescent="0.25">
      <c r="AA86" s="5"/>
      <c r="AB86" s="5"/>
      <c r="AE86" s="85" t="str">
        <f>IF(ISNUMBER($AE$82),AE$82,IF(ISNUMBER($AE$83),AE$83,IF(ISNUMBER($AE$84),AE$84,IF(ISNUMBER($AE$85),AE$85,""))))</f>
        <v/>
      </c>
      <c r="AF86" s="86" t="str">
        <f>IF(ISNUMBER($AF$82),AF$82,IF(ISNUMBER($AF$83),AF$83,IF(ISNUMBER($AF$84),AF$84,IF(ISNUMBER($AF$85),AF$85,""))))</f>
        <v/>
      </c>
      <c r="AG86" s="85" t="str">
        <f>IF(ISNUMBER($AG$82),AG$82,IF(ISNUMBER($AG$83),AG$83,IF(ISNUMBER($AG$84),AG$84,IF(ISNUMBER($AG$85),AG$85,""))))</f>
        <v/>
      </c>
      <c r="AH86" s="86" t="str">
        <f>IF(ISNUMBER($AH$82),AH$82,IF(ISNUMBER($AH$83),AH$83,IF(ISNUMBER($AH$84),AH$84,IF(ISNUMBER($AH$85),AH$85,""))))</f>
        <v/>
      </c>
      <c r="AI86" s="85" t="str">
        <f>IF(ISNUMBER($AI$82),AI$82,IF(ISNUMBER($AI$83),AI$83,IF(ISNUMBER($AI$84),AI$84,IF(ISNUMBER($AI$85),AI$85,""))))</f>
        <v/>
      </c>
      <c r="AJ86" s="86" t="str">
        <f>IF(ISNUMBER($AJ$82),AJ$82,IF(ISNUMBER($AJ$83),AJ$83,IF(ISNUMBER($AJ$84),AJ$84,IF(ISNUMBER($AJ$85),AJ$85,""))))</f>
        <v/>
      </c>
      <c r="AK86" s="85" t="str">
        <f>IF(ISNUMBER($AK$82),AK$82,IF(ISNUMBER($AK$83),AK$83,IF(ISNUMBER($AK$84),AK$84,IF(ISNUMBER($AK$85),AK$85,""))))</f>
        <v/>
      </c>
      <c r="AL86" s="86" t="str">
        <f>IF(ISNUMBER($AL$82),AL$82,IF(ISNUMBER($AL$83),AL$83,IF(ISNUMBER($AL$84),AL$84,IF(ISNUMBER($AL$85),AL$85,""))))</f>
        <v/>
      </c>
      <c r="AW86" s="269"/>
      <c r="AX86" s="267"/>
      <c r="AY86" s="267"/>
      <c r="AZ86" s="268"/>
      <c r="BZ86" s="19"/>
      <c r="CA86" s="19"/>
    </row>
    <row r="87" spans="27:79" ht="12" customHeight="1" x14ac:dyDescent="0.25">
      <c r="AA87" s="5"/>
      <c r="AB87" s="5"/>
      <c r="AE87" s="87"/>
      <c r="AF87" s="88"/>
      <c r="AG87" s="89"/>
      <c r="AH87" s="89"/>
      <c r="AI87" s="87"/>
      <c r="AJ87" s="88"/>
      <c r="AK87" s="87"/>
      <c r="AL87" s="88"/>
      <c r="AW87" s="272" t="s">
        <v>129</v>
      </c>
      <c r="AX87" s="267"/>
      <c r="AY87" s="267"/>
      <c r="AZ87" s="268"/>
      <c r="BZ87" s="19"/>
      <c r="CA87" s="19"/>
    </row>
    <row r="88" spans="27:79" ht="12" customHeight="1" x14ac:dyDescent="0.25">
      <c r="AA88" s="5"/>
      <c r="AB88" s="5"/>
      <c r="AE88" s="939" t="s">
        <v>377</v>
      </c>
      <c r="AF88" s="882"/>
      <c r="AG88" s="943" t="s">
        <v>377</v>
      </c>
      <c r="AH88" s="832"/>
      <c r="AI88" s="939" t="s">
        <v>377</v>
      </c>
      <c r="AJ88" s="882"/>
      <c r="AK88" s="939" t="s">
        <v>377</v>
      </c>
      <c r="AL88" s="882"/>
      <c r="AW88" s="269" t="s">
        <v>132</v>
      </c>
      <c r="AX88" s="267">
        <v>111053.9642</v>
      </c>
      <c r="AY88" s="267">
        <v>111020.2282</v>
      </c>
      <c r="AZ88" s="268">
        <v>110986.9886</v>
      </c>
      <c r="BZ88" s="19"/>
      <c r="CA88" s="19"/>
    </row>
    <row r="89" spans="27:79" ht="12" customHeight="1" x14ac:dyDescent="0.25">
      <c r="AA89" s="5"/>
      <c r="AB89" s="5"/>
      <c r="AE89" s="944" t="e">
        <f>IF($AE$45="","",IF(AND((-$AE$45+$AF$45*$AV$20/$AW$20)&gt;0,-$AE$45&lt;$BZ$20,(-$AF$45+$AE$45*$CA$20/$BZ$20)&gt;0,-$AF$45&lt;$AW$20),1,IF(AND((-$AE$45-$AV$20+($AF$45+$AW$20)*$AX$20/$AY$20)&gt;0,-$AE$45&lt;$BZ$20,-$AF$45&gt;$AW$20,-$AF$45&lt;$AX$23),2,IF(AND(-$AE$45&lt;$BY$23,-$AE$45&gt;$BZ$20,-$AF$45&gt;$AW$20,-$AF$45&lt;$AX$23),3,IF(AND(-$AE$45&lt;$BY$23,-$AE$45&gt;$BZ$20,(-$AF$45-$CA$20-(-$AE$45-$BZ$20)*$BY$20/$BX$20)&gt;0,-$AF$45&lt;$AW$20),4,"")))))</f>
        <v>#VALUE!</v>
      </c>
      <c r="AF89" s="911"/>
      <c r="AG89" s="944" t="e">
        <f>IF($AG$46="","",IF(AND((-$AG$46+$BB$20+($AH$46-$BC$20)*$AZ$20/$BA$20)&gt;0,-$AG$46&lt;$BD$20,$AH$46&gt;$BC$20,$AH$46&lt;$BB$23),1,IF(AND((-$AG$46+$AH$46*$BB$20/$BC$20)&gt;0,-$AG$46&lt;$BD$20,($AH$46-$AG$46*$BE$20/$BD$20)&gt;0,$AH$46&lt;$BC$20),2,IF(AND(-$AG$46&gt;$BD$20,-$AG$46&lt;$BE$23,($AH$46+$BE$20+(-$AG$46-$BD$20)*$BG$20/$BF$20)&gt;0,$AH$46&lt;$BC$20),3,IF(AND(-$AG$46&gt;$BD$20,-$AG$46&lt;$BE$23,$AH$46&gt;$BC$20,$AH$46&lt;$BB$23),4,"")))))</f>
        <v>#VALUE!</v>
      </c>
      <c r="AH89" s="911"/>
      <c r="AI89" s="944" t="e">
        <f>IF($AI$47="","",IF(AND($AI$47&gt;$BJ$20,$AI$47&lt;$BI$23,$AJ$47&gt;$BM$20,$AJ$47&lt;$BN$23),1,IF(AND($AI$47&gt;$BJ$20,$AI$47&lt;$BI$23,($AJ$47-$BK$20-($AI$47-$BJ$20)*$BI$20/$BH$20)&gt;0,$AJ$47&lt;$BM$20),2,IF(AND(($AI$47-$AJ$47*$BL$20/$BM$20)&gt;0,$AI$47&lt;$BJ$20,($AJ$47-$AI$47*$BK$20/$BJ$20)&gt;0,$AJ$47&lt;$BM$20),3,IF(AND(($AI$47-$BL$20-($AJ$47-$BM$20)*$BN$20/$BO$20)&gt;0,$AI$47&lt;$BJ$20,$AJ$47&gt;$BM$20,$AJ$47&lt;$BN$23),4,"")))))</f>
        <v>#VALUE!</v>
      </c>
      <c r="AJ89" s="911"/>
      <c r="AK89" s="944" t="e">
        <f>IF($AK$48="","",IF(AND($AK$48&gt;$BT$20,$AK$48&lt;$BU$23,(-$AL$48+$BU$20+($AK$48-$BT$20)*$BW$20/$BV$20)&gt;0,-$AL$48&lt;$BS$20),1,IF(AND($AK$48&gt;$BT$20,$AK$48&lt;$BU$23,-$AL$48&gt;$BS$20,-$AL$48&lt;$BR$23),2,IF(AND(($AK$48+$BR$20+(-$AL$48-$BS$20)*$BP$20/$BQ$20)&gt;0,$AK$48&lt;$BT$20,-$AL$48&gt;$BS$20,-$AL$48&lt;$BR$23),3,IF(AND(($AK$48-$AL$48*$BR$20/$BS$20)&gt;0,$AK$48&lt;$BT$20,(-$AL$48+$AK$48*$BU$20/$BT$20)&gt;0,-$AL$48&lt;$BS$20),4,"")))))</f>
        <v>#VALUE!</v>
      </c>
      <c r="AL89" s="911"/>
      <c r="AW89" s="269" t="s">
        <v>136</v>
      </c>
      <c r="AX89" s="267">
        <v>9.67638</v>
      </c>
      <c r="AY89" s="774">
        <v>9.59755</v>
      </c>
      <c r="AZ89" s="268">
        <v>9.4425899999999992</v>
      </c>
      <c r="BZ89" s="19"/>
      <c r="CA89" s="19"/>
    </row>
    <row r="90" spans="27:79" ht="12" customHeight="1" x14ac:dyDescent="0.25">
      <c r="AA90" s="5"/>
      <c r="AB90" s="5"/>
      <c r="AE90" s="87"/>
      <c r="AF90" s="88"/>
      <c r="AG90" s="89"/>
      <c r="AH90" s="89"/>
      <c r="AI90" s="87"/>
      <c r="AJ90" s="88"/>
      <c r="AK90" s="87"/>
      <c r="AL90" s="88"/>
      <c r="AW90" s="269" t="s">
        <v>141</v>
      </c>
      <c r="AX90" s="267">
        <v>5.6332899999999997</v>
      </c>
      <c r="AY90" s="267">
        <v>5.6369400000000001</v>
      </c>
      <c r="AZ90" s="268">
        <v>5.6411800000000003</v>
      </c>
      <c r="BZ90" s="19"/>
      <c r="CA90" s="19"/>
    </row>
    <row r="91" spans="27:79" ht="12" customHeight="1" x14ac:dyDescent="0.25">
      <c r="AA91" s="5"/>
      <c r="AB91" s="5"/>
      <c r="AE91" s="939" t="s">
        <v>378</v>
      </c>
      <c r="AF91" s="882"/>
      <c r="AG91" s="939" t="s">
        <v>379</v>
      </c>
      <c r="AH91" s="882"/>
      <c r="AI91" s="939" t="s">
        <v>375</v>
      </c>
      <c r="AJ91" s="882"/>
      <c r="AK91" s="939" t="s">
        <v>380</v>
      </c>
      <c r="AL91" s="882"/>
      <c r="AW91" s="269" t="s">
        <v>145</v>
      </c>
      <c r="AX91" s="267">
        <v>2.1794999999999998E-2</v>
      </c>
      <c r="AY91" s="267">
        <v>2.0324999999999999E-2</v>
      </c>
      <c r="AZ91" s="268">
        <v>1.8991000000000001E-2</v>
      </c>
      <c r="BZ91" s="19"/>
      <c r="CA91" s="19"/>
    </row>
    <row r="92" spans="27:79" ht="12" customHeight="1" x14ac:dyDescent="0.25">
      <c r="AA92" s="5"/>
      <c r="AB92" s="5"/>
      <c r="AD92" s="757" t="s">
        <v>226</v>
      </c>
      <c r="AE92" s="30" t="s">
        <v>181</v>
      </c>
      <c r="AF92" s="30" t="s">
        <v>194</v>
      </c>
      <c r="AG92" s="761" t="s">
        <v>181</v>
      </c>
      <c r="AH92" s="760" t="s">
        <v>201</v>
      </c>
      <c r="AI92" s="30" t="s">
        <v>186</v>
      </c>
      <c r="AJ92" s="30" t="s">
        <v>201</v>
      </c>
      <c r="AK92" s="30" t="s">
        <v>186</v>
      </c>
      <c r="AL92" s="30" t="s">
        <v>194</v>
      </c>
      <c r="AN92" s="19" t="s">
        <v>371</v>
      </c>
      <c r="AW92" s="269"/>
      <c r="AX92" s="267"/>
      <c r="AY92" s="267"/>
      <c r="AZ92" s="268"/>
      <c r="BZ92" s="19"/>
      <c r="CA92" s="19"/>
    </row>
    <row r="93" spans="27:79" ht="12" customHeight="1" x14ac:dyDescent="0.25">
      <c r="AA93" s="5"/>
      <c r="AB93" s="5"/>
      <c r="AD93" s="53">
        <v>1</v>
      </c>
      <c r="AE93" s="49" t="e">
        <f>IF($AD93=AE$89,(-$AE$49+$AF$49*$AV$20/$AW$20)*$AV$29,"")</f>
        <v>#VALUE!</v>
      </c>
      <c r="AF93" s="48" t="e">
        <f>IF($AD93=AE$89,(-$AF$49+$AE$49*$CA$20/$BZ$20)*$BZ$29,"")</f>
        <v>#VALUE!</v>
      </c>
      <c r="AG93" s="49" t="e">
        <f>IF($AD93=AG$89,(-$AG$49+$BB$20+($AH$49-$BC$20)*$AZ$20/$BA$20)*$AZ$29,"")</f>
        <v>#VALUE!</v>
      </c>
      <c r="AH93" s="48" t="e">
        <f>IF($AD93=AG$89,($AH$49-$AG$49*$BE$20/$BD$20)*$BD$29,"")</f>
        <v>#VALUE!</v>
      </c>
      <c r="AI93" s="49" t="e">
        <f>IF($AD93=AI$89,($AI$49-$BL$20-($AJ$49-$BM$20)*$BN$20/$BO$20)*$BN$29,"")</f>
        <v>#VALUE!</v>
      </c>
      <c r="AJ93" s="48" t="e">
        <f>IF($AD93=AI$89,($AJ$49-$BK$20-($AI$49-$BJ$20)*$BI$20/$BH$20)*$BH$29,"")</f>
        <v>#VALUE!</v>
      </c>
      <c r="AK93" s="49" t="e">
        <f>IF($AD93=AK$89,($AK$49-$AL$49*$BR$20/$BS$20)*$BR$29,"")</f>
        <v>#VALUE!</v>
      </c>
      <c r="AL93" s="48" t="e">
        <f>IF($AD93=AK$89,(-$AL$49+$BU$20+($AK$49-$BT$20)*$BW$20/$BV$20)*$BV$29,"")</f>
        <v>#VALUE!</v>
      </c>
      <c r="AN93" s="159" t="e">
        <f>(-$AE$49+$AF$49*$AV$20/$AW$20)</f>
        <v>#VALUE!</v>
      </c>
      <c r="AO93" s="160" t="e">
        <f>(-$AF$49+$AE$49*$CA$20/$BZ$20)</f>
        <v>#VALUE!</v>
      </c>
      <c r="AP93" s="159" t="e">
        <f>(-$AG$49+$BB$20+($AH$49-$BC$20)*$AZ$20/$BA$20)</f>
        <v>#VALUE!</v>
      </c>
      <c r="AQ93" s="160" t="e">
        <f>($AH$49-$AG$49*$BE$20/$BD$20)</f>
        <v>#VALUE!</v>
      </c>
      <c r="AR93" s="159" t="e">
        <f>($AI$49-$BL$20-($AJ$49-$BM$20)*$BN$20/$BO$20)</f>
        <v>#VALUE!</v>
      </c>
      <c r="AS93" s="160" t="e">
        <f>($AJ$49-$BK$20-($AI$49-$BJ$20)*$BI$20/$BH$20)</f>
        <v>#VALUE!</v>
      </c>
      <c r="AT93" s="159" t="e">
        <f>($AK$49-$AL$49*$BR$20/$BS$20)</f>
        <v>#VALUE!</v>
      </c>
      <c r="AU93" s="160" t="e">
        <f>(-$AL$49+$BU$20+($AK$49-$BT$20)*$BW$20/$BV$20)</f>
        <v>#VALUE!</v>
      </c>
      <c r="AW93" s="272" t="s">
        <v>146</v>
      </c>
      <c r="AX93" s="267"/>
      <c r="AY93" s="267"/>
      <c r="AZ93" s="268"/>
      <c r="BZ93" s="19"/>
      <c r="CA93" s="19"/>
    </row>
    <row r="94" spans="27:79" ht="12" customHeight="1" x14ac:dyDescent="0.25">
      <c r="AA94" s="5"/>
      <c r="AB94" s="5"/>
      <c r="AD94" s="53">
        <v>2</v>
      </c>
      <c r="AE94" s="49" t="e">
        <f>IF($AD94=AE$89,(-$AE$49-$AV$20+($AF$49+$AW$20)*$AX$20/$AY$20)*$AX$29,"")</f>
        <v>#VALUE!</v>
      </c>
      <c r="AF94" s="48" t="e">
        <f>IF($AD94=AE$89,(-$AF$49+$AE$49*$CA$20/$BZ$20)*$BZ$29,"")</f>
        <v>#VALUE!</v>
      </c>
      <c r="AG94" s="49" t="e">
        <f>IF($AD94=AG$89,(-$AG$49+$AH$49*$BB$20/$BC$20)*$BB$29,"")</f>
        <v>#VALUE!</v>
      </c>
      <c r="AH94" s="48" t="e">
        <f>IF($AD94=AG$89,($AH$49-$AG$49*$BE$20/$BD$20)*$BD$29,"")</f>
        <v>#VALUE!</v>
      </c>
      <c r="AI94" s="49" t="e">
        <f>IF($AD94=AI$89,($AI$49-$AJ$49*$BL$20/$BM$20)*$BL$29,"")</f>
        <v>#VALUE!</v>
      </c>
      <c r="AJ94" s="48" t="e">
        <f>IF($AD94=AI$89,($AJ$49-$BK$20-($AI$49-$BJ$20)*$BI$20/$BH$20)*$BH$29,"")</f>
        <v>#VALUE!</v>
      </c>
      <c r="AK94" s="49" t="e">
        <f>IF($AD94=AK$89,($AK$49+$BR$20+(-$AL$49-$BS$20)*$BP$20/$BQ$20)*$BP$29,"")</f>
        <v>#VALUE!</v>
      </c>
      <c r="AL94" s="48" t="e">
        <f>IF($AD94=AK$89,(-$AL$49+$BU$20+($AK$49-$BT$20)*$BW$20/$BV$20)*$BV$29,"")</f>
        <v>#VALUE!</v>
      </c>
      <c r="AN94" s="49" t="e">
        <f>(-$AE$49-$AV$20+($AF$49+$AW$20)*$AX$20/$AY$20)</f>
        <v>#VALUE!</v>
      </c>
      <c r="AO94" s="48" t="e">
        <f>(-$AF$49+$AE$49*$CA$20/$BZ$20)</f>
        <v>#VALUE!</v>
      </c>
      <c r="AP94" s="49" t="e">
        <f>(-$AG$49+$AH$49*$BB$20/$BC$20)</f>
        <v>#VALUE!</v>
      </c>
      <c r="AQ94" s="48" t="e">
        <f>($AH$49-$AG$49*$BE$20/$BD$20)</f>
        <v>#VALUE!</v>
      </c>
      <c r="AR94" s="49" t="e">
        <f>($AI$49-$AJ$49*$BL$20/$BM$20)</f>
        <v>#VALUE!</v>
      </c>
      <c r="AS94" s="48" t="e">
        <f>($AJ$49-$BK$20-($AI$49-$BJ$20)*$BI$20/$BH$20)</f>
        <v>#VALUE!</v>
      </c>
      <c r="AT94" s="49" t="e">
        <f>($AK$49+$BR$20+(-$AL$49-$BS$20)*$BP$20/$BQ$20)</f>
        <v>#VALUE!</v>
      </c>
      <c r="AU94" s="48" t="e">
        <f>(-$AL$49+$BU$20+($AK$49-$BT$20)*$BW$20/$BV$20)</f>
        <v>#VALUE!</v>
      </c>
      <c r="AW94" s="269" t="s">
        <v>147</v>
      </c>
      <c r="AX94" s="274">
        <v>9.0046312619999994E-6</v>
      </c>
      <c r="AY94" s="274">
        <v>9.0073674589999993E-6</v>
      </c>
      <c r="AZ94" s="290">
        <v>9.0100651350000006E-6</v>
      </c>
      <c r="BZ94" s="19"/>
      <c r="CA94" s="19"/>
    </row>
    <row r="95" spans="27:79" ht="12" customHeight="1" x14ac:dyDescent="0.25">
      <c r="AA95" s="5"/>
      <c r="AB95" s="5"/>
      <c r="AD95" s="53">
        <v>3</v>
      </c>
      <c r="AE95" s="49" t="e">
        <f>IF($AD95=AE$89,(-$AE$49-$AV$20+($AF$49+$AW$20)*$AX$20/$AY$20)*$AX$29,"")</f>
        <v>#VALUE!</v>
      </c>
      <c r="AF95" s="48" t="e">
        <f>IF($AD95=AE$89,(-$AF$49-$CA$20-(-$AE$49-$BZ$20)*$BY$20/$BX$20)*$BX$29,"")</f>
        <v>#VALUE!</v>
      </c>
      <c r="AG95" s="49" t="e">
        <f>IF($AD95=AG$89,(-$AG$49+$AH$49*$BB$20/$BC$20)*$BB$29,"")</f>
        <v>#VALUE!</v>
      </c>
      <c r="AH95" s="48" t="e">
        <f>IF($AD95=AG$89,($AH$49+$BE$20+(-$AG$49-$BD$20)*$BG$20/$BF$20)*$BF$29,"")</f>
        <v>#VALUE!</v>
      </c>
      <c r="AI95" s="49" t="e">
        <f>IF($AD95=AI$89,($AI$49-$AJ$49*$BL$20/$BM$20)*$BL$29,"")</f>
        <v>#VALUE!</v>
      </c>
      <c r="AJ95" s="48" t="e">
        <f>IF($AD95=AI$89,($AJ$49-$AI$49*$BK$20/$BJ$20)*$BJ$29,"")</f>
        <v>#VALUE!</v>
      </c>
      <c r="AK95" s="49" t="e">
        <f>IF($AD95=AK$89,($AK$49+$BR$20+(-$AL$49-$BS$20)*$BP$20/$BQ$20)*$BP$29,"")</f>
        <v>#VALUE!</v>
      </c>
      <c r="AL95" s="48" t="e">
        <f>IF($AD95=AK$89,(-$AL$49+$AK$49*$BU$20/$BT$20)*$BT$29,"")</f>
        <v>#VALUE!</v>
      </c>
      <c r="AN95" s="49" t="e">
        <f>(-$AE$49-$AV$20+($AF$49+$AW$20)*$AX$20/$AY$20)</f>
        <v>#VALUE!</v>
      </c>
      <c r="AO95" s="48" t="e">
        <f>(-$AF$49-$CA$20-(-$AE$49-$BZ$20)*$BY$20/$BX$20)</f>
        <v>#VALUE!</v>
      </c>
      <c r="AP95" s="49" t="e">
        <f>(-$AG$49+$AH$49*$BB$20/$BC$20)</f>
        <v>#VALUE!</v>
      </c>
      <c r="AQ95" s="48" t="e">
        <f>($AH$49+$BE$20+(-$AG$49-$BD$20)*$BG$20/$BF$20)</f>
        <v>#VALUE!</v>
      </c>
      <c r="AR95" s="49" t="e">
        <f>($AI$49-$AJ$49*$BL$20/$BM$20)</f>
        <v>#VALUE!</v>
      </c>
      <c r="AS95" s="48" t="e">
        <f>($AJ$49-$AI$49*$BK$20/$BJ$20)</f>
        <v>#VALUE!</v>
      </c>
      <c r="AT95" s="49" t="e">
        <f>($AK$49+$BR$20+(-$AL$49-$BS$20)*$BP$20/$BQ$20)</f>
        <v>#VALUE!</v>
      </c>
      <c r="AU95" s="48" t="e">
        <f>(-$AL$49+$AK$49*$BU$20/$BT$20)</f>
        <v>#VALUE!</v>
      </c>
      <c r="AW95" s="269" t="s">
        <v>149</v>
      </c>
      <c r="AX95" s="274">
        <v>-7.0651100000000001E-15</v>
      </c>
      <c r="AY95" s="274">
        <v>-7.01354E-15</v>
      </c>
      <c r="AZ95" s="290">
        <v>-6.9067099999999998E-15</v>
      </c>
      <c r="BZ95" s="19"/>
      <c r="CA95" s="19"/>
    </row>
    <row r="96" spans="27:79" x14ac:dyDescent="0.25">
      <c r="AA96" s="5"/>
      <c r="AB96" s="5"/>
      <c r="AD96" s="53">
        <v>4</v>
      </c>
      <c r="AE96" s="83" t="e">
        <f>IF($AD96=AE$89,(-$AE$49+$AF$49*$AV$20/$AW$20)*$AV$29,"")</f>
        <v>#VALUE!</v>
      </c>
      <c r="AF96" s="84" t="e">
        <f>IF($AD96=AE$89,(-$AF$49-$CA$20-(-$AE$49-$BZ$20)*$BY$20/$BX$20)*$BX$29,"")</f>
        <v>#VALUE!</v>
      </c>
      <c r="AG96" s="83" t="e">
        <f>IF($AD96=AG$89,(-$AG$49+$BB$20+($AH$49-$BC$20)*$AZ$20/$BA$20)*$AZ$29,"")</f>
        <v>#VALUE!</v>
      </c>
      <c r="AH96" s="84" t="e">
        <f>IF($AD96=AG$89,($AH$49+$BE$20+(-$AG$49-$BD$20)*$BG$20/$BF$20)*$BF$29,"")</f>
        <v>#VALUE!</v>
      </c>
      <c r="AI96" s="83" t="e">
        <f>IF($AD96=AI$89,($AI$49-$BL$20-($AJ$49-$BM$20)*$BN$20/$BO$20)*$BN$29,"")</f>
        <v>#VALUE!</v>
      </c>
      <c r="AJ96" s="84" t="e">
        <f>IF($AD96=AI$89,($AJ$49-$AI$49*$BK$20/$BJ$20)*$BJ$29,"")</f>
        <v>#VALUE!</v>
      </c>
      <c r="AK96" s="83" t="e">
        <f>IF($AD96=AK$89,($AK$49-$AL$49*$BR$20/$BS$20)*$BR$29,"")</f>
        <v>#VALUE!</v>
      </c>
      <c r="AL96" s="84" t="e">
        <f>IF($AD96=AK$89,(-$AL$49+$AK$49*$BU$20/$BT$20)*$BT$29,"")</f>
        <v>#VALUE!</v>
      </c>
      <c r="AN96" s="83" t="e">
        <f>(-$AE$49+$AF$49*$AV$20/$AW$20)</f>
        <v>#VALUE!</v>
      </c>
      <c r="AO96" s="84" t="e">
        <f>(-$AF$49-$CA$20-(-$AE$49-$BZ$20)*$BY$20/$BX$20)</f>
        <v>#VALUE!</v>
      </c>
      <c r="AP96" s="83" t="e">
        <f>(-$AG$49+$BB$20+($AH$49-$BC$20)*$AZ$20/$BA$20)</f>
        <v>#VALUE!</v>
      </c>
      <c r="AQ96" s="84" t="e">
        <f>($AH$49+$BE$20+(-$AG$49-$BD$20)*$BG$20/$BF$20)</f>
        <v>#VALUE!</v>
      </c>
      <c r="AR96" s="83" t="e">
        <f>($AI$49-$BL$20-($AJ$49-$BM$20)*$BN$20/$BO$20)</f>
        <v>#VALUE!</v>
      </c>
      <c r="AS96" s="84" t="e">
        <f>($AJ$49-$AI$49*$BK$20/$BJ$20)</f>
        <v>#VALUE!</v>
      </c>
      <c r="AT96" s="83" t="e">
        <f>($AK$49-$AL$49*$BR$20/$BS$20)</f>
        <v>#VALUE!</v>
      </c>
      <c r="AU96" s="84" t="e">
        <f>(-$AL$49+$AK$49*$BU$20/$BT$20)</f>
        <v>#VALUE!</v>
      </c>
      <c r="AW96" s="269" t="s">
        <v>155</v>
      </c>
      <c r="AX96" s="274">
        <v>-3.7018099999999998E-20</v>
      </c>
      <c r="AY96" s="274">
        <v>-3.708E-20</v>
      </c>
      <c r="AZ96" s="290">
        <v>-3.7158500000000003E-20</v>
      </c>
      <c r="BZ96" s="19"/>
      <c r="CA96" s="19"/>
    </row>
    <row r="97" spans="27:79" x14ac:dyDescent="0.25">
      <c r="AA97" s="5"/>
      <c r="AB97" s="5"/>
      <c r="AE97" s="85" t="str">
        <f>IF(ISNUMBER($AE$93),AE$93,IF(ISNUMBER($AE$94),AE$94,IF(ISNUMBER($AE$95),AE$95,IF(ISNUMBER($AE$96),AE$96,""))))</f>
        <v/>
      </c>
      <c r="AF97" s="86" t="str">
        <f>IF(ISNUMBER($AF$93),AF$93,IF(ISNUMBER($AF$94),AF$94,IF(ISNUMBER($AF$95),AF$95,IF(ISNUMBER($AF$96),AF$96,""))))</f>
        <v/>
      </c>
      <c r="AG97" s="85" t="str">
        <f>IF(ISNUMBER($AG$93),AG$93,IF(ISNUMBER($AG$94),AG$94,IF(ISNUMBER($AG$95),AG$95,IF(ISNUMBER($AG$96),AG$96,""))))</f>
        <v/>
      </c>
      <c r="AH97" s="86" t="str">
        <f>IF(ISNUMBER($AH$93),AH$93,IF(ISNUMBER($AH$94),AH$94,IF(ISNUMBER($AH$95),AH$95,IF(ISNUMBER($AH$96),AH$96,""))))</f>
        <v/>
      </c>
      <c r="AI97" s="85" t="str">
        <f>IF(ISNUMBER($AI$93),AI$93,IF(ISNUMBER($AI$94),AI$94,IF(ISNUMBER($AI$95),AI$95,IF(ISNUMBER($AI$96),AI$96,""))))</f>
        <v/>
      </c>
      <c r="AJ97" s="86" t="str">
        <f>IF(ISNUMBER($AJ$93),AJ$93,IF(ISNUMBER($AJ$94),AJ$94,IF(ISNUMBER($AJ$95),AJ$95,IF(ISNUMBER($AJ$96),AJ$96,""))))</f>
        <v/>
      </c>
      <c r="AK97" s="85" t="str">
        <f>IF(ISNUMBER($AK$93),AK$93,IF(ISNUMBER($AK$94),AK$94,IF(ISNUMBER($AK$95),AK$95,IF(ISNUMBER($AK$96),AK$96,""))))</f>
        <v/>
      </c>
      <c r="AL97" s="86" t="str">
        <f>IF(ISNUMBER($AL$93),AL$93,IF(ISNUMBER($AL$94),AL$94,IF(ISNUMBER($AL$95),AL$95,IF(ISNUMBER($AL$96),AL$96,""))))</f>
        <v/>
      </c>
      <c r="AW97" s="269" t="s">
        <v>158</v>
      </c>
      <c r="AX97" s="274">
        <v>-1.1272000000000001E-27</v>
      </c>
      <c r="AY97" s="274">
        <v>-1.0771000000000001E-27</v>
      </c>
      <c r="AZ97" s="290">
        <v>-9.9162999999999992E-28</v>
      </c>
      <c r="BZ97" s="19"/>
      <c r="CA97" s="19"/>
    </row>
    <row r="98" spans="27:79" x14ac:dyDescent="0.25">
      <c r="AA98" s="5"/>
      <c r="AB98" s="5"/>
      <c r="AW98" s="269"/>
      <c r="AX98" s="267"/>
      <c r="AY98" s="267"/>
      <c r="AZ98" s="268"/>
      <c r="BZ98" s="19"/>
      <c r="CA98" s="19"/>
    </row>
    <row r="99" spans="27:79" x14ac:dyDescent="0.25">
      <c r="AA99" s="5"/>
      <c r="AB99" s="5"/>
      <c r="AW99" s="272" t="s">
        <v>161</v>
      </c>
      <c r="AX99" s="267"/>
      <c r="AY99" s="267"/>
      <c r="AZ99" s="268"/>
      <c r="BZ99" s="19"/>
      <c r="CA99" s="19"/>
    </row>
    <row r="100" spans="27:79" x14ac:dyDescent="0.25">
      <c r="AA100" s="5"/>
      <c r="AB100" s="5"/>
      <c r="AW100" s="269" t="s">
        <v>162</v>
      </c>
      <c r="AX100" s="267">
        <v>0.99995684104100002</v>
      </c>
      <c r="AY100" s="267">
        <v>0.99989882076500003</v>
      </c>
      <c r="AZ100" s="268">
        <v>0.99995129707800001</v>
      </c>
      <c r="BZ100" s="19"/>
      <c r="CA100" s="19"/>
    </row>
    <row r="101" spans="27:79" x14ac:dyDescent="0.25">
      <c r="AA101" s="5"/>
      <c r="AB101" s="5"/>
      <c r="AW101" s="269" t="s">
        <v>165</v>
      </c>
      <c r="AX101" s="274">
        <v>1.23032E-14</v>
      </c>
      <c r="AY101" s="274">
        <v>1.2308700000000001E-14</v>
      </c>
      <c r="AZ101" s="290">
        <v>1.2313E-14</v>
      </c>
      <c r="BZ101" s="19"/>
      <c r="CA101" s="19"/>
    </row>
    <row r="102" spans="27:79" x14ac:dyDescent="0.25">
      <c r="AW102" s="269" t="s">
        <v>166</v>
      </c>
      <c r="AX102" s="274">
        <v>5.5600000000000002E-22</v>
      </c>
      <c r="AY102" s="274">
        <v>5.26E-22</v>
      </c>
      <c r="AZ102" s="290">
        <v>4.8900000000000001E-22</v>
      </c>
      <c r="BZ102" s="19"/>
      <c r="CA102" s="19"/>
    </row>
    <row r="103" spans="27:79" x14ac:dyDescent="0.25">
      <c r="AW103" s="269"/>
      <c r="AX103" s="267"/>
      <c r="AY103" s="267"/>
      <c r="AZ103" s="268"/>
      <c r="BZ103" s="19"/>
      <c r="CA103" s="19"/>
    </row>
    <row r="104" spans="27:79" x14ac:dyDescent="0.25">
      <c r="AW104" s="272" t="s">
        <v>168</v>
      </c>
      <c r="AX104" s="267"/>
      <c r="AY104" s="267"/>
      <c r="AZ104" s="268"/>
      <c r="BZ104" s="19"/>
      <c r="CA104" s="19"/>
    </row>
    <row r="105" spans="27:79" x14ac:dyDescent="0.25">
      <c r="AW105" s="269" t="s">
        <v>169</v>
      </c>
      <c r="AX105" s="781">
        <v>6378137</v>
      </c>
      <c r="AY105" s="267"/>
      <c r="AZ105" s="268"/>
      <c r="BZ105" s="19"/>
      <c r="CA105" s="19"/>
    </row>
    <row r="106" spans="27:79" x14ac:dyDescent="0.25">
      <c r="AW106" s="269" t="s">
        <v>171</v>
      </c>
      <c r="AX106" s="781">
        <v>6356752.3141403003</v>
      </c>
      <c r="AY106" s="267"/>
      <c r="AZ106" s="268"/>
      <c r="BZ106" s="19"/>
      <c r="CA106" s="19"/>
    </row>
    <row r="107" spans="27:79" x14ac:dyDescent="0.25">
      <c r="AW107" s="269" t="s">
        <v>174</v>
      </c>
      <c r="AX107" s="267">
        <f>(AX105-AX106)/AX105</f>
        <v>3.3528106811910332E-3</v>
      </c>
      <c r="AY107" s="267"/>
      <c r="AZ107" s="268"/>
      <c r="BZ107" s="19"/>
      <c r="CA107" s="19"/>
    </row>
    <row r="108" spans="27:79" x14ac:dyDescent="0.25">
      <c r="AW108" s="269" t="s">
        <v>176</v>
      </c>
      <c r="AX108" s="783">
        <f>1/AX107</f>
        <v>298.25722210022479</v>
      </c>
      <c r="AY108" s="267"/>
      <c r="AZ108" s="268"/>
      <c r="BZ108" s="19"/>
      <c r="CA108" s="19"/>
    </row>
    <row r="109" spans="27:79" x14ac:dyDescent="0.25">
      <c r="AW109" s="269" t="s">
        <v>178</v>
      </c>
      <c r="AX109" s="267">
        <f>(2*AX107-AX107^2)^0.5</f>
        <v>8.1819191042921943E-2</v>
      </c>
      <c r="AY109" s="267"/>
      <c r="AZ109" s="268"/>
      <c r="BZ109" s="19"/>
      <c r="CA109" s="19"/>
    </row>
    <row r="110" spans="27:79" ht="18" customHeight="1" thickBot="1" x14ac:dyDescent="0.3">
      <c r="AW110" s="275" t="s">
        <v>180</v>
      </c>
      <c r="AX110" s="784">
        <f>AX109^2</f>
        <v>6.6943800229181585E-3</v>
      </c>
      <c r="AY110" s="276"/>
      <c r="AZ110" s="277"/>
      <c r="BZ110" s="19"/>
      <c r="CA110" s="19"/>
    </row>
    <row r="111" spans="27:79" x14ac:dyDescent="0.25">
      <c r="BZ111" s="19"/>
      <c r="CA111" s="19"/>
    </row>
    <row r="112" spans="27:79" x14ac:dyDescent="0.25">
      <c r="BZ112" s="19"/>
      <c r="CA112" s="19"/>
    </row>
    <row r="113" spans="78:79" x14ac:dyDescent="0.25">
      <c r="BZ113" s="19"/>
      <c r="CA113" s="19"/>
    </row>
    <row r="114" spans="78:79" x14ac:dyDescent="0.25">
      <c r="BZ114" s="19"/>
      <c r="CA114" s="19"/>
    </row>
    <row r="115" spans="78:79" x14ac:dyDescent="0.25">
      <c r="BZ115" s="19"/>
      <c r="CA115" s="19"/>
    </row>
    <row r="116" spans="78:79" x14ac:dyDescent="0.25">
      <c r="BZ116" s="19"/>
      <c r="CA116" s="19"/>
    </row>
    <row r="117" spans="78:79" x14ac:dyDescent="0.25">
      <c r="BZ117" s="19"/>
      <c r="CA117" s="19"/>
    </row>
    <row r="118" spans="78:79" x14ac:dyDescent="0.25">
      <c r="BZ118" s="19"/>
      <c r="CA118" s="19"/>
    </row>
    <row r="119" spans="78:79" x14ac:dyDescent="0.25">
      <c r="BZ119" s="19"/>
      <c r="CA119" s="19"/>
    </row>
    <row r="120" spans="78:79" x14ac:dyDescent="0.25">
      <c r="BZ120" s="19"/>
      <c r="CA120" s="19"/>
    </row>
    <row r="121" spans="78:79" x14ac:dyDescent="0.25">
      <c r="BZ121" s="19"/>
      <c r="CA121" s="19"/>
    </row>
    <row r="122" spans="78:79" x14ac:dyDescent="0.25">
      <c r="BZ122" s="19"/>
      <c r="CA122" s="19"/>
    </row>
    <row r="123" spans="78:79" x14ac:dyDescent="0.25">
      <c r="BZ123" s="19"/>
      <c r="CA123" s="19"/>
    </row>
    <row r="124" spans="78:79" x14ac:dyDescent="0.25">
      <c r="BZ124" s="19"/>
      <c r="CA124" s="19"/>
    </row>
    <row r="125" spans="78:79" x14ac:dyDescent="0.25">
      <c r="BZ125" s="19"/>
      <c r="CA125" s="19"/>
    </row>
    <row r="126" spans="78:79" x14ac:dyDescent="0.25">
      <c r="BZ126" s="19"/>
      <c r="CA126" s="19"/>
    </row>
    <row r="127" spans="78:79" x14ac:dyDescent="0.25">
      <c r="BZ127" s="19"/>
      <c r="CA127" s="19"/>
    </row>
    <row r="128" spans="78:79" x14ac:dyDescent="0.25">
      <c r="BZ128" s="19"/>
      <c r="CA128" s="19"/>
    </row>
    <row r="129" spans="78:79" x14ac:dyDescent="0.25">
      <c r="BZ129" s="19"/>
      <c r="CA129" s="19"/>
    </row>
    <row r="130" spans="78:79" x14ac:dyDescent="0.25">
      <c r="BZ130" s="19"/>
      <c r="CA130" s="19"/>
    </row>
    <row r="131" spans="78:79" x14ac:dyDescent="0.25">
      <c r="BZ131" s="19"/>
      <c r="CA131" s="19"/>
    </row>
    <row r="132" spans="78:79" x14ac:dyDescent="0.25">
      <c r="BZ132" s="19"/>
      <c r="CA132" s="19"/>
    </row>
    <row r="133" spans="78:79" x14ac:dyDescent="0.25">
      <c r="BZ133" s="19"/>
      <c r="CA133" s="19"/>
    </row>
    <row r="134" spans="78:79" x14ac:dyDescent="0.25">
      <c r="BZ134" s="19"/>
      <c r="CA134" s="19"/>
    </row>
    <row r="135" spans="78:79" x14ac:dyDescent="0.25">
      <c r="BZ135" s="19"/>
      <c r="CA135" s="19"/>
    </row>
    <row r="136" spans="78:79" x14ac:dyDescent="0.25">
      <c r="BZ136" s="19"/>
      <c r="CA136" s="19"/>
    </row>
    <row r="137" spans="78:79" x14ac:dyDescent="0.25">
      <c r="BZ137" s="19"/>
      <c r="CA137" s="19"/>
    </row>
    <row r="138" spans="78:79" x14ac:dyDescent="0.25">
      <c r="BZ138" s="19"/>
      <c r="CA138" s="19"/>
    </row>
    <row r="139" spans="78:79" x14ac:dyDescent="0.25">
      <c r="BZ139" s="19"/>
      <c r="CA139" s="19"/>
    </row>
    <row r="140" spans="78:79" x14ac:dyDescent="0.25">
      <c r="BZ140" s="19"/>
      <c r="CA140" s="19"/>
    </row>
    <row r="141" spans="78:79" x14ac:dyDescent="0.25">
      <c r="BZ141" s="19"/>
      <c r="CA141" s="19"/>
    </row>
    <row r="142" spans="78:79" x14ac:dyDescent="0.25">
      <c r="BZ142" s="19"/>
      <c r="CA142" s="19"/>
    </row>
    <row r="143" spans="78:79" x14ac:dyDescent="0.25">
      <c r="BZ143" s="19"/>
      <c r="CA143" s="19"/>
    </row>
    <row r="144" spans="78:79" x14ac:dyDescent="0.25">
      <c r="BZ144" s="19"/>
      <c r="CA144" s="19"/>
    </row>
    <row r="145" spans="27:79" x14ac:dyDescent="0.25">
      <c r="BZ145" s="19"/>
      <c r="CA145" s="19"/>
    </row>
    <row r="146" spans="27:79" x14ac:dyDescent="0.25">
      <c r="BZ146" s="19"/>
      <c r="CA146" s="19"/>
    </row>
    <row r="147" spans="27:79" x14ac:dyDescent="0.25">
      <c r="BZ147" s="19"/>
      <c r="CA147" s="19"/>
    </row>
    <row r="148" spans="27:79" x14ac:dyDescent="0.25">
      <c r="BZ148" s="19"/>
      <c r="CA148" s="19"/>
    </row>
    <row r="149" spans="27:79" x14ac:dyDescent="0.25">
      <c r="BZ149" s="19"/>
      <c r="CA149" s="19"/>
    </row>
    <row r="150" spans="27:79" x14ac:dyDescent="0.25">
      <c r="AA150" s="5"/>
      <c r="AB150" s="5"/>
      <c r="BZ150" s="19"/>
      <c r="CA150" s="19"/>
    </row>
    <row r="151" spans="27:79" x14ac:dyDescent="0.25">
      <c r="AA151" s="5"/>
      <c r="AB151" s="5"/>
      <c r="BZ151" s="19"/>
      <c r="CA151" s="19"/>
    </row>
    <row r="152" spans="27:79" x14ac:dyDescent="0.25">
      <c r="AA152" s="5"/>
      <c r="AB152" s="5"/>
      <c r="BZ152" s="19"/>
      <c r="CA152" s="19"/>
    </row>
    <row r="153" spans="27:79" x14ac:dyDescent="0.25">
      <c r="AA153" s="5"/>
      <c r="AB153" s="5"/>
      <c r="BZ153" s="19"/>
      <c r="CA153" s="19"/>
    </row>
    <row r="154" spans="27:79" x14ac:dyDescent="0.25">
      <c r="AA154" s="5"/>
      <c r="AB154" s="5"/>
      <c r="BZ154" s="19"/>
      <c r="CA154" s="19"/>
    </row>
    <row r="155" spans="27:79" x14ac:dyDescent="0.25">
      <c r="AA155" s="5"/>
      <c r="AB155" s="5"/>
      <c r="BZ155" s="19"/>
      <c r="CA155" s="19"/>
    </row>
    <row r="156" spans="27:79" x14ac:dyDescent="0.25">
      <c r="AA156" s="5"/>
      <c r="AB156" s="5"/>
      <c r="BZ156" s="19"/>
      <c r="CA156" s="19"/>
    </row>
    <row r="157" spans="27:79" x14ac:dyDescent="0.25">
      <c r="AA157" s="5"/>
      <c r="AB157" s="5"/>
    </row>
    <row r="158" spans="27:79" x14ac:dyDescent="0.25">
      <c r="AA158" s="5"/>
      <c r="AB158" s="5"/>
    </row>
    <row r="159" spans="27:79" x14ac:dyDescent="0.25">
      <c r="AA159" s="5"/>
      <c r="AB159" s="5"/>
    </row>
    <row r="160" spans="27:79" x14ac:dyDescent="0.25">
      <c r="AA160" s="5"/>
      <c r="AB160" s="5"/>
    </row>
    <row r="161" spans="27:28" x14ac:dyDescent="0.25">
      <c r="AA161" s="5"/>
      <c r="AB161" s="5"/>
    </row>
    <row r="162" spans="27:28" x14ac:dyDescent="0.25">
      <c r="AA162" s="5"/>
      <c r="AB162" s="5"/>
    </row>
    <row r="163" spans="27:28" x14ac:dyDescent="0.25">
      <c r="AA163" s="5"/>
      <c r="AB163" s="5"/>
    </row>
    <row r="164" spans="27:28" x14ac:dyDescent="0.25">
      <c r="AA164" s="5"/>
      <c r="AB164" s="5"/>
    </row>
    <row r="165" spans="27:28" x14ac:dyDescent="0.25">
      <c r="AA165" s="5"/>
      <c r="AB165" s="5"/>
    </row>
    <row r="166" spans="27:28" x14ac:dyDescent="0.25">
      <c r="AB166" s="5"/>
    </row>
    <row r="167" spans="27:28" x14ac:dyDescent="0.25">
      <c r="AB167" s="5"/>
    </row>
    <row r="168" spans="27:28" x14ac:dyDescent="0.25">
      <c r="AB168" s="5"/>
    </row>
    <row r="169" spans="27:28" x14ac:dyDescent="0.25">
      <c r="AB169" s="5"/>
    </row>
    <row r="170" spans="27:28" x14ac:dyDescent="0.25">
      <c r="AB170" s="5"/>
    </row>
    <row r="171" spans="27:28" x14ac:dyDescent="0.25">
      <c r="AB171" s="5"/>
    </row>
    <row r="172" spans="27:28" x14ac:dyDescent="0.25">
      <c r="AB172" s="5"/>
    </row>
    <row r="173" spans="27:28" x14ac:dyDescent="0.25">
      <c r="AB173" s="5"/>
    </row>
  </sheetData>
  <sheetProtection sheet="1" objects="1" scenarios="1"/>
  <mergeCells count="134">
    <mergeCell ref="AE88:AF88"/>
    <mergeCell ref="AM25:AN25"/>
    <mergeCell ref="AO25:AP25"/>
    <mergeCell ref="AK77:AL77"/>
    <mergeCell ref="AK67:AL67"/>
    <mergeCell ref="BD21:BG21"/>
    <mergeCell ref="BB18:BC18"/>
    <mergeCell ref="BX21:CA21"/>
    <mergeCell ref="BD18:BE18"/>
    <mergeCell ref="AV18:AW18"/>
    <mergeCell ref="BV18:BW18"/>
    <mergeCell ref="K2:L2"/>
    <mergeCell ref="A40:B41"/>
    <mergeCell ref="AI25:AJ25"/>
    <mergeCell ref="AI91:AJ91"/>
    <mergeCell ref="AG66:AH66"/>
    <mergeCell ref="AI66:AJ66"/>
    <mergeCell ref="Q27:R27"/>
    <mergeCell ref="B24:C24"/>
    <mergeCell ref="AI77:AJ77"/>
    <mergeCell ref="AG58:AH58"/>
    <mergeCell ref="AG67:AH67"/>
    <mergeCell ref="AI52:AJ52"/>
    <mergeCell ref="AI67:AJ67"/>
    <mergeCell ref="C2:F2"/>
    <mergeCell ref="I6:J6"/>
    <mergeCell ref="M3:P3"/>
    <mergeCell ref="AG69:AH69"/>
    <mergeCell ref="AI69:AJ69"/>
    <mergeCell ref="L39:M42"/>
    <mergeCell ref="L57:M57"/>
    <mergeCell ref="AC37:AD37"/>
    <mergeCell ref="AI53:AJ53"/>
    <mergeCell ref="K13:N13"/>
    <mergeCell ref="O7:P7"/>
    <mergeCell ref="C3:F3"/>
    <mergeCell ref="BN18:BO18"/>
    <mergeCell ref="BP18:BQ18"/>
    <mergeCell ref="G7:H7"/>
    <mergeCell ref="AI80:AJ80"/>
    <mergeCell ref="AI89:AJ89"/>
    <mergeCell ref="AK89:AL89"/>
    <mergeCell ref="BT18:BU18"/>
    <mergeCell ref="M7:N7"/>
    <mergeCell ref="AK88:AL88"/>
    <mergeCell ref="AE78:AF78"/>
    <mergeCell ref="Q13:S13"/>
    <mergeCell ref="BR18:BS18"/>
    <mergeCell ref="W40:X41"/>
    <mergeCell ref="C8:D8"/>
    <mergeCell ref="AI58:AJ58"/>
    <mergeCell ref="AK52:AL52"/>
    <mergeCell ref="AC49:AD49"/>
    <mergeCell ref="K6:L6"/>
    <mergeCell ref="K3:L3"/>
    <mergeCell ref="AK66:AL66"/>
    <mergeCell ref="L24:M24"/>
    <mergeCell ref="BT25:CA25"/>
    <mergeCell ref="V24:W24"/>
    <mergeCell ref="AE91:AF91"/>
    <mergeCell ref="AE25:AF25"/>
    <mergeCell ref="AK53:AL53"/>
    <mergeCell ref="AG25:AH25"/>
    <mergeCell ref="AZ21:BC21"/>
    <mergeCell ref="AQ25:AR25"/>
    <mergeCell ref="AV25:BC25"/>
    <mergeCell ref="AE66:AF66"/>
    <mergeCell ref="BL21:BO21"/>
    <mergeCell ref="AK78:AL78"/>
    <mergeCell ref="AE77:AF77"/>
    <mergeCell ref="AG77:AH77"/>
    <mergeCell ref="AG80:AH80"/>
    <mergeCell ref="AE52:AF52"/>
    <mergeCell ref="AE67:AF67"/>
    <mergeCell ref="AG52:AH52"/>
    <mergeCell ref="AE89:AF89"/>
    <mergeCell ref="AG89:AH89"/>
    <mergeCell ref="AG88:AH88"/>
    <mergeCell ref="AI88:AJ88"/>
    <mergeCell ref="AK91:AL91"/>
    <mergeCell ref="AE58:AF58"/>
    <mergeCell ref="AK58:AL58"/>
    <mergeCell ref="AG91:AH91"/>
    <mergeCell ref="C7:D7"/>
    <mergeCell ref="AK56:AL56"/>
    <mergeCell ref="E7:F7"/>
    <mergeCell ref="E6:H6"/>
    <mergeCell ref="G43:H43"/>
    <mergeCell ref="Y13:AB13"/>
    <mergeCell ref="Q43:R43"/>
    <mergeCell ref="G27:H27"/>
    <mergeCell ref="C10:D10"/>
    <mergeCell ref="AK25:AL25"/>
    <mergeCell ref="AC43:AD43"/>
    <mergeCell ref="AC24:AT24"/>
    <mergeCell ref="AE56:AF56"/>
    <mergeCell ref="AG56:AH56"/>
    <mergeCell ref="BZ18:CA18"/>
    <mergeCell ref="AK55:AL55"/>
    <mergeCell ref="AE53:AF53"/>
    <mergeCell ref="AC31:AD31"/>
    <mergeCell ref="BT21:BW21"/>
    <mergeCell ref="AZ18:BA18"/>
    <mergeCell ref="BJ18:BK18"/>
    <mergeCell ref="AI56:AJ56"/>
    <mergeCell ref="BL18:BM18"/>
    <mergeCell ref="AS25:AT25"/>
    <mergeCell ref="BX18:BY18"/>
    <mergeCell ref="BF18:BG18"/>
    <mergeCell ref="BH18:BI18"/>
    <mergeCell ref="C9:D9"/>
    <mergeCell ref="AG53:AH53"/>
    <mergeCell ref="C11:D11"/>
    <mergeCell ref="AK69:AL69"/>
    <mergeCell ref="AV21:AY21"/>
    <mergeCell ref="BP21:BS21"/>
    <mergeCell ref="BL25:BS25"/>
    <mergeCell ref="BH21:BK21"/>
    <mergeCell ref="BD25:BK25"/>
    <mergeCell ref="B57:C57"/>
    <mergeCell ref="AI55:AJ55"/>
    <mergeCell ref="Y5:AB5"/>
    <mergeCell ref="AE69:AF69"/>
    <mergeCell ref="AX18:AY18"/>
    <mergeCell ref="AG78:AH78"/>
    <mergeCell ref="AK80:AL80"/>
    <mergeCell ref="V57:W57"/>
    <mergeCell ref="M6:P6"/>
    <mergeCell ref="AE80:AF80"/>
    <mergeCell ref="M4:N4"/>
    <mergeCell ref="AE55:AF55"/>
    <mergeCell ref="AG55:AH55"/>
    <mergeCell ref="O4:P4"/>
    <mergeCell ref="AI78:AJ78"/>
  </mergeCells>
  <conditionalFormatting sqref="B25">
    <cfRule type="expression" dxfId="571" priority="15">
      <formula>B26</formula>
    </cfRule>
    <cfRule type="expression" dxfId="570" priority="16">
      <formula>B$19</formula>
    </cfRule>
  </conditionalFormatting>
  <conditionalFormatting sqref="B33">
    <cfRule type="expression" dxfId="569" priority="13">
      <formula>B34</formula>
    </cfRule>
    <cfRule type="expression" dxfId="568" priority="14">
      <formula>B$19</formula>
    </cfRule>
  </conditionalFormatting>
  <conditionalFormatting sqref="B42">
    <cfRule type="expression" dxfId="567" priority="11">
      <formula>B43</formula>
    </cfRule>
    <cfRule type="expression" dxfId="566" priority="12">
      <formula>B$19</formula>
    </cfRule>
  </conditionalFormatting>
  <conditionalFormatting sqref="B50">
    <cfRule type="expression" dxfId="565" priority="9">
      <formula>B51</formula>
    </cfRule>
    <cfRule type="expression" dxfId="564" priority="10">
      <formula>B$19</formula>
    </cfRule>
  </conditionalFormatting>
  <conditionalFormatting sqref="E18">
    <cfRule type="expression" dxfId="563" priority="20">
      <formula>E$19</formula>
    </cfRule>
  </conditionalFormatting>
  <conditionalFormatting sqref="E63">
    <cfRule type="expression" dxfId="562" priority="4">
      <formula>E$19</formula>
    </cfRule>
  </conditionalFormatting>
  <conditionalFormatting sqref="K18">
    <cfRule type="expression" dxfId="561" priority="19">
      <formula>K$19</formula>
    </cfRule>
  </conditionalFormatting>
  <conditionalFormatting sqref="K63">
    <cfRule type="expression" dxfId="560" priority="3">
      <formula>K$19</formula>
    </cfRule>
  </conditionalFormatting>
  <conditionalFormatting sqref="O18">
    <cfRule type="expression" dxfId="559" priority="18">
      <formula>O$19</formula>
    </cfRule>
  </conditionalFormatting>
  <conditionalFormatting sqref="O63">
    <cfRule type="expression" dxfId="558" priority="2">
      <formula>O$19</formula>
    </cfRule>
  </conditionalFormatting>
  <conditionalFormatting sqref="U18">
    <cfRule type="expression" dxfId="557" priority="17">
      <formula>U$19</formula>
    </cfRule>
  </conditionalFormatting>
  <conditionalFormatting sqref="U63">
    <cfRule type="expression" dxfId="556" priority="1">
      <formula>U$19</formula>
    </cfRule>
  </conditionalFormatting>
  <conditionalFormatting sqref="W25">
    <cfRule type="expression" dxfId="555" priority="8">
      <formula>$W$26</formula>
    </cfRule>
  </conditionalFormatting>
  <conditionalFormatting sqref="W33">
    <cfRule type="expression" dxfId="554" priority="7">
      <formula>$W$26</formula>
    </cfRule>
  </conditionalFormatting>
  <conditionalFormatting sqref="W42">
    <cfRule type="expression" dxfId="553" priority="6">
      <formula>$W$26</formula>
    </cfRule>
  </conditionalFormatting>
  <conditionalFormatting sqref="W50">
    <cfRule type="expression" dxfId="552" priority="5">
      <formula>$W$26</formula>
    </cfRule>
  </conditionalFormatting>
  <conditionalFormatting sqref="AE60:AF60">
    <cfRule type="expression" dxfId="551" priority="43">
      <formula>$AE$56=1</formula>
    </cfRule>
  </conditionalFormatting>
  <conditionalFormatting sqref="AE61:AF61">
    <cfRule type="expression" dxfId="550" priority="47">
      <formula>$AE$56=2</formula>
    </cfRule>
  </conditionalFormatting>
  <conditionalFormatting sqref="AE62:AF62">
    <cfRule type="expression" dxfId="549" priority="51">
      <formula>$AE$56=3</formula>
    </cfRule>
  </conditionalFormatting>
  <conditionalFormatting sqref="AE63:AF63">
    <cfRule type="expression" dxfId="548" priority="55">
      <formula>$AE$56=4</formula>
    </cfRule>
  </conditionalFormatting>
  <conditionalFormatting sqref="AE71:AF71">
    <cfRule type="expression" dxfId="547" priority="136">
      <formula>$AE$67=1</formula>
    </cfRule>
  </conditionalFormatting>
  <conditionalFormatting sqref="AE72:AF72">
    <cfRule type="expression" dxfId="546" priority="140">
      <formula>$AE$67=2</formula>
    </cfRule>
  </conditionalFormatting>
  <conditionalFormatting sqref="AE73:AF73">
    <cfRule type="expression" dxfId="545" priority="144">
      <formula>$AE$67=3</formula>
    </cfRule>
  </conditionalFormatting>
  <conditionalFormatting sqref="AE74:AF74">
    <cfRule type="expression" dxfId="544" priority="148">
      <formula>$AE$67=4</formula>
    </cfRule>
  </conditionalFormatting>
  <conditionalFormatting sqref="AE82:AF82">
    <cfRule type="expression" dxfId="543" priority="131">
      <formula>$AE$78=1</formula>
    </cfRule>
  </conditionalFormatting>
  <conditionalFormatting sqref="AE83:AF83">
    <cfRule type="expression" dxfId="542" priority="132">
      <formula>$AE$78=2</formula>
    </cfRule>
  </conditionalFormatting>
  <conditionalFormatting sqref="AE84:AF84">
    <cfRule type="expression" dxfId="541" priority="114">
      <formula>$AE$78=3</formula>
    </cfRule>
  </conditionalFormatting>
  <conditionalFormatting sqref="AE85:AF85">
    <cfRule type="expression" dxfId="540" priority="113">
      <formula>$AE$78=4</formula>
    </cfRule>
  </conditionalFormatting>
  <conditionalFormatting sqref="AE93:AF93">
    <cfRule type="expression" dxfId="539" priority="118">
      <formula>$AE$89=1</formula>
    </cfRule>
  </conditionalFormatting>
  <conditionalFormatting sqref="AE94:AF94">
    <cfRule type="expression" dxfId="538" priority="122">
      <formula>$AE$89=2</formula>
    </cfRule>
  </conditionalFormatting>
  <conditionalFormatting sqref="AE95:AF95">
    <cfRule type="expression" dxfId="537" priority="126">
      <formula>$AE$89=3</formula>
    </cfRule>
  </conditionalFormatting>
  <conditionalFormatting sqref="AE96:AF96">
    <cfRule type="expression" dxfId="536" priority="130">
      <formula>$AE$89=4</formula>
    </cfRule>
  </conditionalFormatting>
  <conditionalFormatting sqref="AE56:AL56">
    <cfRule type="cellIs" dxfId="535" priority="37" operator="between">
      <formula>1</formula>
      <formula>4</formula>
    </cfRule>
  </conditionalFormatting>
  <conditionalFormatting sqref="AE67:AL67">
    <cfRule type="cellIs" dxfId="534" priority="86" operator="between">
      <formula>1</formula>
      <formula>4</formula>
    </cfRule>
  </conditionalFormatting>
  <conditionalFormatting sqref="AE78:AL78">
    <cfRule type="cellIs" dxfId="533" priority="83" operator="between">
      <formula>1</formula>
      <formula>4</formula>
    </cfRule>
  </conditionalFormatting>
  <conditionalFormatting sqref="AE89:AL89">
    <cfRule type="cellIs" dxfId="532" priority="80" operator="between">
      <formula>1</formula>
      <formula>4</formula>
    </cfRule>
  </conditionalFormatting>
  <conditionalFormatting sqref="AG60:AH60">
    <cfRule type="expression" dxfId="531" priority="42">
      <formula>$AG$56=1</formula>
    </cfRule>
  </conditionalFormatting>
  <conditionalFormatting sqref="AG61:AH61">
    <cfRule type="expression" dxfId="530" priority="46">
      <formula>$AG$56=2</formula>
    </cfRule>
  </conditionalFormatting>
  <conditionalFormatting sqref="AG62:AH62">
    <cfRule type="expression" dxfId="529" priority="50">
      <formula>$AG$56=3</formula>
    </cfRule>
  </conditionalFormatting>
  <conditionalFormatting sqref="AG63:AH63">
    <cfRule type="expression" dxfId="528" priority="54">
      <formula>$AG$56=4</formula>
    </cfRule>
  </conditionalFormatting>
  <conditionalFormatting sqref="AG71:AH71">
    <cfRule type="expression" dxfId="527" priority="135">
      <formula>$AG$67=1</formula>
    </cfRule>
  </conditionalFormatting>
  <conditionalFormatting sqref="AG72:AH72">
    <cfRule type="expression" dxfId="526" priority="139">
      <formula>$AG$67=2</formula>
    </cfRule>
  </conditionalFormatting>
  <conditionalFormatting sqref="AG73:AH73">
    <cfRule type="expression" dxfId="525" priority="143">
      <formula>$AG$67=3</formula>
    </cfRule>
  </conditionalFormatting>
  <conditionalFormatting sqref="AG74:AH74">
    <cfRule type="expression" dxfId="524" priority="147">
      <formula>$AG$67=4</formula>
    </cfRule>
  </conditionalFormatting>
  <conditionalFormatting sqref="AG82:AH82">
    <cfRule type="expression" dxfId="523" priority="111">
      <formula>$AG$78=1</formula>
    </cfRule>
  </conditionalFormatting>
  <conditionalFormatting sqref="AG83:AH83">
    <cfRule type="expression" dxfId="522" priority="112">
      <formula>$AG$78=2</formula>
    </cfRule>
  </conditionalFormatting>
  <conditionalFormatting sqref="AG84:AH84">
    <cfRule type="expression" dxfId="521" priority="110">
      <formula>$AG$78=3</formula>
    </cfRule>
  </conditionalFormatting>
  <conditionalFormatting sqref="AG85:AH85">
    <cfRule type="expression" dxfId="520" priority="109">
      <formula>$AG$78=4</formula>
    </cfRule>
  </conditionalFormatting>
  <conditionalFormatting sqref="AG93:AH93">
    <cfRule type="expression" dxfId="519" priority="117">
      <formula>$AG$89=1</formula>
    </cfRule>
  </conditionalFormatting>
  <conditionalFormatting sqref="AG94:AH94">
    <cfRule type="expression" dxfId="518" priority="121">
      <formula>$AG$89=2</formula>
    </cfRule>
  </conditionalFormatting>
  <conditionalFormatting sqref="AG95:AH95">
    <cfRule type="expression" dxfId="517" priority="125">
      <formula>$AG$89=3</formula>
    </cfRule>
  </conditionalFormatting>
  <conditionalFormatting sqref="AG96:AH96">
    <cfRule type="expression" dxfId="516" priority="129">
      <formula>$AG$89=4</formula>
    </cfRule>
  </conditionalFormatting>
  <conditionalFormatting sqref="AI60:AJ60">
    <cfRule type="expression" dxfId="515" priority="41">
      <formula>$AI$56=1</formula>
    </cfRule>
  </conditionalFormatting>
  <conditionalFormatting sqref="AI61:AJ61">
    <cfRule type="expression" dxfId="514" priority="45">
      <formula>$AI$56=2</formula>
    </cfRule>
  </conditionalFormatting>
  <conditionalFormatting sqref="AI62:AJ62">
    <cfRule type="expression" dxfId="513" priority="49">
      <formula>$AI$56=3</formula>
    </cfRule>
  </conditionalFormatting>
  <conditionalFormatting sqref="AI63:AJ63">
    <cfRule type="expression" dxfId="512" priority="53">
      <formula>$AI$56=4</formula>
    </cfRule>
  </conditionalFormatting>
  <conditionalFormatting sqref="AI71:AJ71">
    <cfRule type="expression" dxfId="511" priority="134">
      <formula>$AI$67=1</formula>
    </cfRule>
  </conditionalFormatting>
  <conditionalFormatting sqref="AI72:AJ72">
    <cfRule type="expression" dxfId="510" priority="138">
      <formula>$AI$67=2</formula>
    </cfRule>
  </conditionalFormatting>
  <conditionalFormatting sqref="AI73:AJ73">
    <cfRule type="expression" dxfId="509" priority="142">
      <formula>$AI$67=3</formula>
    </cfRule>
  </conditionalFormatting>
  <conditionalFormatting sqref="AI74:AJ74">
    <cfRule type="expression" dxfId="508" priority="146">
      <formula>$AI$67=4</formula>
    </cfRule>
  </conditionalFormatting>
  <conditionalFormatting sqref="AI82:AJ82">
    <cfRule type="expression" dxfId="507" priority="107">
      <formula>$AI$78=1</formula>
    </cfRule>
  </conditionalFormatting>
  <conditionalFormatting sqref="AI83:AJ83">
    <cfRule type="expression" dxfId="506" priority="108">
      <formula>$AI$78=2</formula>
    </cfRule>
  </conditionalFormatting>
  <conditionalFormatting sqref="AI84:AJ84">
    <cfRule type="expression" dxfId="505" priority="106">
      <formula>$AI$78=3</formula>
    </cfRule>
  </conditionalFormatting>
  <conditionalFormatting sqref="AI85:AJ85">
    <cfRule type="expression" dxfId="504" priority="105">
      <formula>$AI$78=4</formula>
    </cfRule>
  </conditionalFormatting>
  <conditionalFormatting sqref="AI93:AJ93">
    <cfRule type="expression" dxfId="503" priority="116">
      <formula>$AI$89=1</formula>
    </cfRule>
  </conditionalFormatting>
  <conditionalFormatting sqref="AI94:AJ94">
    <cfRule type="expression" dxfId="502" priority="120">
      <formula>$AI$89=2</formula>
    </cfRule>
  </conditionalFormatting>
  <conditionalFormatting sqref="AI95:AJ95">
    <cfRule type="expression" dxfId="501" priority="124">
      <formula>$AI$89=3</formula>
    </cfRule>
  </conditionalFormatting>
  <conditionalFormatting sqref="AI96:AJ96">
    <cfRule type="expression" dxfId="500" priority="128">
      <formula>$AI$89=4</formula>
    </cfRule>
  </conditionalFormatting>
  <conditionalFormatting sqref="AK60:AL60">
    <cfRule type="expression" dxfId="499" priority="40">
      <formula>$AK$56=1</formula>
    </cfRule>
  </conditionalFormatting>
  <conditionalFormatting sqref="AK61:AL61">
    <cfRule type="expression" dxfId="498" priority="44">
      <formula>$AK$56=2</formula>
    </cfRule>
  </conditionalFormatting>
  <conditionalFormatting sqref="AK62:AL62">
    <cfRule type="expression" dxfId="497" priority="48">
      <formula>$AK$56=3</formula>
    </cfRule>
  </conditionalFormatting>
  <conditionalFormatting sqref="AK63:AL63">
    <cfRule type="expression" dxfId="496" priority="52">
      <formula>$AK$56=4</formula>
    </cfRule>
  </conditionalFormatting>
  <conditionalFormatting sqref="AK71:AL71 AT71:AU71">
    <cfRule type="expression" dxfId="495" priority="133">
      <formula>$AK$67=1</formula>
    </cfRule>
  </conditionalFormatting>
  <conditionalFormatting sqref="AK72:AL72 AT72:AU72">
    <cfRule type="expression" dxfId="494" priority="137">
      <formula>$AK$67=2</formula>
    </cfRule>
  </conditionalFormatting>
  <conditionalFormatting sqref="AK73:AL73 AT73:AU73">
    <cfRule type="expression" dxfId="493" priority="141">
      <formula>$AK$67=3</formula>
    </cfRule>
  </conditionalFormatting>
  <conditionalFormatting sqref="AK74:AL74 AT74:AU74">
    <cfRule type="expression" dxfId="492" priority="145">
      <formula>$AK$67=4</formula>
    </cfRule>
  </conditionalFormatting>
  <conditionalFormatting sqref="AK82:AL82 AT82:AU82">
    <cfRule type="expression" dxfId="491" priority="103">
      <formula>$AK$78=1</formula>
    </cfRule>
  </conditionalFormatting>
  <conditionalFormatting sqref="AK83:AL83 AT83:AU83">
    <cfRule type="expression" dxfId="490" priority="104">
      <formula>$AK$78=2</formula>
    </cfRule>
  </conditionalFormatting>
  <conditionalFormatting sqref="AK84:AL84 AT84:AU84">
    <cfRule type="expression" dxfId="489" priority="102">
      <formula>$AK$78=3</formula>
    </cfRule>
  </conditionalFormatting>
  <conditionalFormatting sqref="AK85:AL85 AT85:AU85">
    <cfRule type="expression" dxfId="488" priority="101">
      <formula>$AK$78=4</formula>
    </cfRule>
  </conditionalFormatting>
  <conditionalFormatting sqref="AK93:AL93 AT93:AU93">
    <cfRule type="expression" dxfId="487" priority="115">
      <formula>$AK$89=1</formula>
    </cfRule>
  </conditionalFormatting>
  <conditionalFormatting sqref="AK94:AL94 AT94:AU94">
    <cfRule type="expression" dxfId="486" priority="119">
      <formula>$AK$89=2</formula>
    </cfRule>
  </conditionalFormatting>
  <conditionalFormatting sqref="AK95:AL95 AT95:AU95">
    <cfRule type="expression" dxfId="485" priority="123">
      <formula>$AK$89=3</formula>
    </cfRule>
  </conditionalFormatting>
  <conditionalFormatting sqref="AK96:AL96 AT96:AU96">
    <cfRule type="expression" dxfId="484" priority="127">
      <formula>$AK$89=4</formula>
    </cfRule>
  </conditionalFormatting>
  <conditionalFormatting sqref="AN60:AO60">
    <cfRule type="expression" dxfId="483" priority="24">
      <formula>$AE$56=1</formula>
    </cfRule>
  </conditionalFormatting>
  <conditionalFormatting sqref="AN61:AO61">
    <cfRule type="expression" dxfId="482" priority="28">
      <formula>$AE$56=2</formula>
    </cfRule>
  </conditionalFormatting>
  <conditionalFormatting sqref="AN62:AO62">
    <cfRule type="expression" dxfId="481" priority="32">
      <formula>$AE$56=3</formula>
    </cfRule>
  </conditionalFormatting>
  <conditionalFormatting sqref="AN63:AO63">
    <cfRule type="expression" dxfId="480" priority="36">
      <formula>$AE$56=4</formula>
    </cfRule>
  </conditionalFormatting>
  <conditionalFormatting sqref="AN71:AO71">
    <cfRule type="expression" dxfId="479" priority="91">
      <formula>$AE$67=1</formula>
    </cfRule>
  </conditionalFormatting>
  <conditionalFormatting sqref="AN72:AO72">
    <cfRule type="expression" dxfId="478" priority="94">
      <formula>$AE$67=2</formula>
    </cfRule>
  </conditionalFormatting>
  <conditionalFormatting sqref="AN73:AO73">
    <cfRule type="expression" dxfId="477" priority="97">
      <formula>$AE$67=3</formula>
    </cfRule>
  </conditionalFormatting>
  <conditionalFormatting sqref="AN74:AO74">
    <cfRule type="expression" dxfId="476" priority="100">
      <formula>$AE$67=4</formula>
    </cfRule>
  </conditionalFormatting>
  <conditionalFormatting sqref="AN82:AO82">
    <cfRule type="expression" dxfId="475" priority="78">
      <formula>$AE$78=1</formula>
    </cfRule>
  </conditionalFormatting>
  <conditionalFormatting sqref="AN83:AO83">
    <cfRule type="expression" dxfId="474" priority="79">
      <formula>$AE$78=2</formula>
    </cfRule>
  </conditionalFormatting>
  <conditionalFormatting sqref="AN84:AO84">
    <cfRule type="expression" dxfId="473" priority="77">
      <formula>$AE$78=3</formula>
    </cfRule>
  </conditionalFormatting>
  <conditionalFormatting sqref="AN85:AO85">
    <cfRule type="expression" dxfId="472" priority="76">
      <formula>$AE$78=4</formula>
    </cfRule>
  </conditionalFormatting>
  <conditionalFormatting sqref="AN93:AO93">
    <cfRule type="expression" dxfId="471" priority="58">
      <formula>$AE$89=1</formula>
    </cfRule>
  </conditionalFormatting>
  <conditionalFormatting sqref="AN94:AO94">
    <cfRule type="expression" dxfId="470" priority="61">
      <formula>$AE$89=2</formula>
    </cfRule>
  </conditionalFormatting>
  <conditionalFormatting sqref="AN95:AO95">
    <cfRule type="expression" dxfId="469" priority="64">
      <formula>$AE$89=3</formula>
    </cfRule>
  </conditionalFormatting>
  <conditionalFormatting sqref="AN96:AO96">
    <cfRule type="expression" dxfId="468" priority="67">
      <formula>$AE$89=4</formula>
    </cfRule>
  </conditionalFormatting>
  <conditionalFormatting sqref="AP60:AQ60">
    <cfRule type="expression" dxfId="467" priority="23">
      <formula>$AG$56=1</formula>
    </cfRule>
  </conditionalFormatting>
  <conditionalFormatting sqref="AP61:AQ61">
    <cfRule type="expression" dxfId="466" priority="27">
      <formula>$AG$56=2</formula>
    </cfRule>
  </conditionalFormatting>
  <conditionalFormatting sqref="AP62:AQ62">
    <cfRule type="expression" dxfId="465" priority="31">
      <formula>$AG$56=3</formula>
    </cfRule>
  </conditionalFormatting>
  <conditionalFormatting sqref="AP63:AQ63">
    <cfRule type="expression" dxfId="464" priority="35">
      <formula>$AG$56=4</formula>
    </cfRule>
  </conditionalFormatting>
  <conditionalFormatting sqref="AP71:AQ71">
    <cfRule type="expression" dxfId="463" priority="90">
      <formula>$AG$67=1</formula>
    </cfRule>
  </conditionalFormatting>
  <conditionalFormatting sqref="AP72:AQ72">
    <cfRule type="expression" dxfId="462" priority="93">
      <formula>$AG$67=2</formula>
    </cfRule>
  </conditionalFormatting>
  <conditionalFormatting sqref="AP73:AQ73">
    <cfRule type="expression" dxfId="461" priority="96">
      <formula>$AG$67=3</formula>
    </cfRule>
  </conditionalFormatting>
  <conditionalFormatting sqref="AP74:AQ74">
    <cfRule type="expression" dxfId="460" priority="99">
      <formula>$AG$67=4</formula>
    </cfRule>
  </conditionalFormatting>
  <conditionalFormatting sqref="AP82:AQ82">
    <cfRule type="expression" dxfId="459" priority="74">
      <formula>$AG$78=1</formula>
    </cfRule>
  </conditionalFormatting>
  <conditionalFormatting sqref="AP83:AQ83">
    <cfRule type="expression" dxfId="458" priority="75">
      <formula>$AG$78=2</formula>
    </cfRule>
  </conditionalFormatting>
  <conditionalFormatting sqref="AP84:AQ84">
    <cfRule type="expression" dxfId="457" priority="73">
      <formula>$AG$78=3</formula>
    </cfRule>
  </conditionalFormatting>
  <conditionalFormatting sqref="AP85:AQ85">
    <cfRule type="expression" dxfId="456" priority="72">
      <formula>$AG$78=4</formula>
    </cfRule>
  </conditionalFormatting>
  <conditionalFormatting sqref="AP93:AQ93">
    <cfRule type="expression" dxfId="455" priority="57">
      <formula>$AG$89=1</formula>
    </cfRule>
  </conditionalFormatting>
  <conditionalFormatting sqref="AP94:AQ94">
    <cfRule type="expression" dxfId="454" priority="60">
      <formula>$AG$89=2</formula>
    </cfRule>
  </conditionalFormatting>
  <conditionalFormatting sqref="AP95:AQ95">
    <cfRule type="expression" dxfId="453" priority="63">
      <formula>$AG$89=3</formula>
    </cfRule>
  </conditionalFormatting>
  <conditionalFormatting sqref="AP96:AQ96">
    <cfRule type="expression" dxfId="452" priority="66">
      <formula>$AG$89=4</formula>
    </cfRule>
  </conditionalFormatting>
  <conditionalFormatting sqref="AR60:AS60">
    <cfRule type="expression" dxfId="451" priority="22">
      <formula>$AI$56=1</formula>
    </cfRule>
  </conditionalFormatting>
  <conditionalFormatting sqref="AR61:AS61">
    <cfRule type="expression" dxfId="450" priority="26">
      <formula>$AI$56=2</formula>
    </cfRule>
  </conditionalFormatting>
  <conditionalFormatting sqref="AR62:AS62">
    <cfRule type="expression" dxfId="449" priority="30">
      <formula>$AI$56=3</formula>
    </cfRule>
  </conditionalFormatting>
  <conditionalFormatting sqref="AR63:AS63">
    <cfRule type="expression" dxfId="448" priority="34">
      <formula>$AI$56=4</formula>
    </cfRule>
  </conditionalFormatting>
  <conditionalFormatting sqref="AR71:AS71">
    <cfRule type="expression" dxfId="447" priority="89">
      <formula>$AI$67=1</formula>
    </cfRule>
  </conditionalFormatting>
  <conditionalFormatting sqref="AR72:AS72">
    <cfRule type="expression" dxfId="446" priority="92">
      <formula>$AI$67=2</formula>
    </cfRule>
  </conditionalFormatting>
  <conditionalFormatting sqref="AR73:AS73">
    <cfRule type="expression" dxfId="445" priority="95">
      <formula>$AI$67=3</formula>
    </cfRule>
  </conditionalFormatting>
  <conditionalFormatting sqref="AR74:AS74">
    <cfRule type="expression" dxfId="444" priority="98">
      <formula>$AI$67=4</formula>
    </cfRule>
  </conditionalFormatting>
  <conditionalFormatting sqref="AR82:AS82">
    <cfRule type="expression" dxfId="443" priority="70">
      <formula>$AI$78=1</formula>
    </cfRule>
  </conditionalFormatting>
  <conditionalFormatting sqref="AR83:AS83">
    <cfRule type="expression" dxfId="442" priority="71">
      <formula>$AI$78=2</formula>
    </cfRule>
  </conditionalFormatting>
  <conditionalFormatting sqref="AR84:AS84">
    <cfRule type="expression" dxfId="441" priority="69">
      <formula>$AI$78=3</formula>
    </cfRule>
  </conditionalFormatting>
  <conditionalFormatting sqref="AR85:AS85">
    <cfRule type="expression" dxfId="440" priority="68">
      <formula>$AI$78=4</formula>
    </cfRule>
  </conditionalFormatting>
  <conditionalFormatting sqref="AR93:AS93">
    <cfRule type="expression" dxfId="439" priority="56">
      <formula>$AI$89=1</formula>
    </cfRule>
  </conditionalFormatting>
  <conditionalFormatting sqref="AR94:AS94">
    <cfRule type="expression" dxfId="438" priority="59">
      <formula>$AI$89=2</formula>
    </cfRule>
  </conditionalFormatting>
  <conditionalFormatting sqref="AR95:AS95">
    <cfRule type="expression" dxfId="437" priority="62">
      <formula>$AI$89=3</formula>
    </cfRule>
  </conditionalFormatting>
  <conditionalFormatting sqref="AR96:AS96">
    <cfRule type="expression" dxfId="436" priority="65">
      <formula>$AI$89=4</formula>
    </cfRule>
  </conditionalFormatting>
  <conditionalFormatting sqref="AT60:AU60">
    <cfRule type="expression" dxfId="435" priority="21">
      <formula>$AK$56=1</formula>
    </cfRule>
  </conditionalFormatting>
  <conditionalFormatting sqref="AT61:AU61">
    <cfRule type="expression" dxfId="434" priority="25">
      <formula>$AK$56=2</formula>
    </cfRule>
  </conditionalFormatting>
  <conditionalFormatting sqref="AT62:AU62">
    <cfRule type="expression" dxfId="433" priority="29">
      <formula>$AK$56=3</formula>
    </cfRule>
  </conditionalFormatting>
  <conditionalFormatting sqref="AT63:AU63">
    <cfRule type="expression" dxfId="432" priority="33">
      <formula>$AK$56=4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locked="0" defaultSize="0" autoLine="0" autoPict="0">
                <anchor moveWithCells="1">
                  <from>
                    <xdr:col>4</xdr:col>
                    <xdr:colOff>47625</xdr:colOff>
                    <xdr:row>22</xdr:row>
                    <xdr:rowOff>0</xdr:rowOff>
                  </from>
                  <to>
                    <xdr:col>4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4</xdr:col>
                    <xdr:colOff>38100</xdr:colOff>
                    <xdr:row>60</xdr:row>
                    <xdr:rowOff>0</xdr:rowOff>
                  </from>
                  <to>
                    <xdr:col>4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locked="0" defaultSize="0" autoLine="0" autoPict="0">
                <anchor moveWithCells="1">
                  <from>
                    <xdr:col>14</xdr:col>
                    <xdr:colOff>95250</xdr:colOff>
                    <xdr:row>22</xdr:row>
                    <xdr:rowOff>0</xdr:rowOff>
                  </from>
                  <to>
                    <xdr:col>14</xdr:col>
                    <xdr:colOff>514350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Drop Down 4">
              <controlPr defaultSize="0" autoLine="0" autoPict="0">
                <anchor moveWithCells="1">
                  <from>
                    <xdr:col>14</xdr:col>
                    <xdr:colOff>85725</xdr:colOff>
                    <xdr:row>60</xdr:row>
                    <xdr:rowOff>0</xdr:rowOff>
                  </from>
                  <to>
                    <xdr:col>14</xdr:col>
                    <xdr:colOff>504825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Drop Down 5">
              <controlPr defaultSize="0" autoLine="0" autoPict="0">
                <anchor moveWithCells="1">
                  <from>
                    <xdr:col>22</xdr:col>
                    <xdr:colOff>95250</xdr:colOff>
                    <xdr:row>29</xdr:row>
                    <xdr:rowOff>9525</xdr:rowOff>
                  </from>
                  <to>
                    <xdr:col>22</xdr:col>
                    <xdr:colOff>514350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Drop Down 6">
              <controlPr defaultSize="0" autoLine="0" autoPict="0">
                <anchor moveWithCells="1">
                  <from>
                    <xdr:col>22</xdr:col>
                    <xdr:colOff>104775</xdr:colOff>
                    <xdr:row>46</xdr:row>
                    <xdr:rowOff>0</xdr:rowOff>
                  </from>
                  <to>
                    <xdr:col>22</xdr:col>
                    <xdr:colOff>523875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Drop Down 7">
              <controlPr locked="0" defaultSize="0" autoLine="0" autoPict="0">
                <anchor moveWithCells="1">
                  <from>
                    <xdr:col>20</xdr:col>
                    <xdr:colOff>47625</xdr:colOff>
                    <xdr:row>22</xdr:row>
                    <xdr:rowOff>0</xdr:rowOff>
                  </from>
                  <to>
                    <xdr:col>20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Drop Down 8">
              <controlPr defaultSize="0" autoLine="0" autoPict="0">
                <anchor moveWithCells="1">
                  <from>
                    <xdr:col>20</xdr:col>
                    <xdr:colOff>47625</xdr:colOff>
                    <xdr:row>60</xdr:row>
                    <xdr:rowOff>9525</xdr:rowOff>
                  </from>
                  <to>
                    <xdr:col>20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Drop Down 9">
              <controlPr defaultSize="0" autoLine="0" autoPict="0">
                <anchor moveWithCells="1">
                  <from>
                    <xdr:col>1</xdr:col>
                    <xdr:colOff>76200</xdr:colOff>
                    <xdr:row>37</xdr:row>
                    <xdr:rowOff>0</xdr:rowOff>
                  </from>
                  <to>
                    <xdr:col>1</xdr:col>
                    <xdr:colOff>495300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Drop Down 10">
              <controlPr defaultSize="0" autoLine="0" autoPict="0">
                <anchor moveWithCells="1">
                  <from>
                    <xdr:col>22</xdr:col>
                    <xdr:colOff>104775</xdr:colOff>
                    <xdr:row>37</xdr:row>
                    <xdr:rowOff>9525</xdr:rowOff>
                  </from>
                  <to>
                    <xdr:col>22</xdr:col>
                    <xdr:colOff>523875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Drop Down 11">
              <controlPr defaultSize="0" autoLine="0" autoPict="0">
                <anchor moveWithCells="1">
                  <from>
                    <xdr:col>1</xdr:col>
                    <xdr:colOff>76200</xdr:colOff>
                    <xdr:row>54</xdr:row>
                    <xdr:rowOff>0</xdr:rowOff>
                  </from>
                  <to>
                    <xdr:col>1</xdr:col>
                    <xdr:colOff>495300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Drop Down 12">
              <controlPr defaultSize="0" autoLine="0" autoPict="0">
                <anchor moveWithCells="1">
                  <from>
                    <xdr:col>22</xdr:col>
                    <xdr:colOff>95250</xdr:colOff>
                    <xdr:row>54</xdr:row>
                    <xdr:rowOff>9525</xdr:rowOff>
                  </from>
                  <to>
                    <xdr:col>22</xdr:col>
                    <xdr:colOff>514350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Drop Down 14">
              <controlPr defaultSize="0" autoLine="0" autoPict="0">
                <anchor moveWithCells="1">
                  <from>
                    <xdr:col>1</xdr:col>
                    <xdr:colOff>76200</xdr:colOff>
                    <xdr:row>46</xdr:row>
                    <xdr:rowOff>0</xdr:rowOff>
                  </from>
                  <to>
                    <xdr:col>1</xdr:col>
                    <xdr:colOff>495300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Drop Down 15">
              <controlPr defaultSize="0" autoLine="0" autoPict="0">
                <anchor moveWithCells="1">
                  <from>
                    <xdr:col>1</xdr:col>
                    <xdr:colOff>76200</xdr:colOff>
                    <xdr:row>29</xdr:row>
                    <xdr:rowOff>0</xdr:rowOff>
                  </from>
                  <to>
                    <xdr:col>1</xdr:col>
                    <xdr:colOff>495300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Drop Down 16">
              <controlPr locked="0" defaultSize="0" autoLine="0" autoPict="0">
                <anchor moveWithCells="1">
                  <from>
                    <xdr:col>10</xdr:col>
                    <xdr:colOff>47625</xdr:colOff>
                    <xdr:row>22</xdr:row>
                    <xdr:rowOff>0</xdr:rowOff>
                  </from>
                  <to>
                    <xdr:col>10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Drop Down 17">
              <controlPr defaultSize="0" autoLine="0" autoPict="0">
                <anchor moveWithCells="1">
                  <from>
                    <xdr:col>10</xdr:col>
                    <xdr:colOff>38100</xdr:colOff>
                    <xdr:row>60</xdr:row>
                    <xdr:rowOff>0</xdr:rowOff>
                  </from>
                  <to>
                    <xdr:col>10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Drop Down 18">
              <controlPr locked="0" defaultSize="0" autoLine="0" autoPict="0">
                <anchor moveWithCells="1">
                  <from>
                    <xdr:col>10</xdr:col>
                    <xdr:colOff>276225</xdr:colOff>
                    <xdr:row>1</xdr:row>
                    <xdr:rowOff>28575</xdr:rowOff>
                  </from>
                  <to>
                    <xdr:col>11</xdr:col>
                    <xdr:colOff>514350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59999389629810485"/>
  </sheetPr>
  <dimension ref="A1:CB173"/>
  <sheetViews>
    <sheetView zoomScaleNormal="100" workbookViewId="0">
      <selection activeCell="C2" sqref="C2:F2"/>
    </sheetView>
  </sheetViews>
  <sheetFormatPr defaultRowHeight="15" x14ac:dyDescent="0.25"/>
  <cols>
    <col min="1" max="1" width="8.28515625" customWidth="1"/>
    <col min="2" max="2" width="8.5703125" customWidth="1"/>
    <col min="3" max="3" width="6.140625" customWidth="1"/>
    <col min="4" max="4" width="8.5703125" customWidth="1"/>
    <col min="5" max="5" width="8" customWidth="1"/>
    <col min="6" max="6" width="7.7109375" customWidth="1"/>
    <col min="7" max="7" width="10" customWidth="1"/>
    <col min="8" max="8" width="8.42578125" customWidth="1"/>
    <col min="9" max="12" width="10.7109375" customWidth="1"/>
    <col min="13" max="16" width="8.7109375" customWidth="1"/>
    <col min="17" max="17" width="9.7109375" customWidth="1"/>
    <col min="18" max="18" width="8.140625" customWidth="1"/>
    <col min="19" max="19" width="9.7109375" customWidth="1"/>
    <col min="20" max="20" width="8.85546875" customWidth="1"/>
    <col min="21" max="21" width="7.7109375" customWidth="1"/>
    <col min="22" max="22" width="8.42578125" customWidth="1"/>
    <col min="23" max="23" width="9.5703125" customWidth="1"/>
    <col min="24" max="24" width="6.7109375" customWidth="1"/>
    <col min="25" max="26" width="9.7109375" style="5" customWidth="1"/>
    <col min="27" max="28" width="9.7109375" style="19" customWidth="1"/>
    <col min="29" max="46" width="7.7109375" style="19" customWidth="1"/>
    <col min="47" max="47" width="11.42578125" style="19" customWidth="1"/>
    <col min="48" max="48" width="9.85546875" style="19" customWidth="1"/>
    <col min="49" max="77" width="9.140625" style="19" customWidth="1"/>
  </cols>
  <sheetData>
    <row r="1" spans="2:79" ht="8.25" customHeight="1" x14ac:dyDescent="0.25"/>
    <row r="2" spans="2:79" ht="15.75" customHeight="1" thickBot="1" x14ac:dyDescent="0.3">
      <c r="B2" s="26" t="s">
        <v>0</v>
      </c>
      <c r="C2" s="966">
        <f>'SHL Section'!C2:G2</f>
        <v>0</v>
      </c>
      <c r="D2" s="832"/>
      <c r="E2" s="832"/>
      <c r="F2" s="832"/>
      <c r="G2" s="51"/>
      <c r="AA2" s="5"/>
      <c r="AB2" s="5"/>
      <c r="BZ2" s="19"/>
      <c r="CA2" s="19"/>
    </row>
    <row r="3" spans="2:79" ht="29.25" customHeight="1" thickBot="1" x14ac:dyDescent="0.3">
      <c r="B3" s="26" t="s">
        <v>5</v>
      </c>
      <c r="C3" s="968">
        <f>'SHL Section'!C3:G3</f>
        <v>0</v>
      </c>
      <c r="D3" s="832"/>
      <c r="E3" s="832"/>
      <c r="F3" s="832"/>
      <c r="G3" s="183"/>
      <c r="K3" s="971" t="s">
        <v>388</v>
      </c>
      <c r="L3" s="851"/>
      <c r="M3" s="973" t="s">
        <v>389</v>
      </c>
      <c r="N3" s="847"/>
      <c r="O3" s="847"/>
      <c r="P3" s="848"/>
    </row>
    <row r="4" spans="2:79" ht="30" customHeight="1" thickBot="1" x14ac:dyDescent="0.3">
      <c r="B4" s="26"/>
      <c r="C4" s="181"/>
      <c r="D4" s="181"/>
      <c r="E4" s="181"/>
      <c r="F4" s="181"/>
      <c r="G4" s="181"/>
      <c r="H4" s="240"/>
      <c r="I4" s="754" t="s">
        <v>390</v>
      </c>
      <c r="J4" s="755" t="s">
        <v>391</v>
      </c>
      <c r="K4" s="751" t="s">
        <v>392</v>
      </c>
      <c r="L4" s="751" t="s">
        <v>393</v>
      </c>
      <c r="M4" s="933" t="s">
        <v>6</v>
      </c>
      <c r="N4" s="859"/>
      <c r="O4" s="845" t="s">
        <v>7</v>
      </c>
      <c r="P4" s="863"/>
    </row>
    <row r="5" spans="2:79" ht="18.75" customHeight="1" thickBot="1" x14ac:dyDescent="0.3">
      <c r="H5" s="184" t="s">
        <v>394</v>
      </c>
      <c r="I5" s="242">
        <f>'SHL Section'!$X$7</f>
        <v>0</v>
      </c>
      <c r="J5" s="242">
        <f>'SHL Section'!$Y$7</f>
        <v>0</v>
      </c>
      <c r="K5" s="243">
        <f>'Lat-Long &amp; Grid Calc SHL'!$K$5</f>
        <v>19299142.333762784</v>
      </c>
      <c r="L5" s="243">
        <f>'Lat-Long &amp; Grid Calc SHL'!$L$5</f>
        <v>40103653.522858381</v>
      </c>
      <c r="M5" s="185">
        <f>'SHL Section'!$I$7</f>
        <v>0</v>
      </c>
      <c r="N5" s="745" t="str">
        <f>IF('SHL Section'!J7=1,"FNL","FSL")</f>
        <v>FSL</v>
      </c>
      <c r="O5" s="186">
        <f>'SHL Section'!$K$7</f>
        <v>0</v>
      </c>
      <c r="P5" s="187" t="str">
        <f>IF('SHL Section'!L7=1,"FEL","FWL")</f>
        <v>FWL</v>
      </c>
      <c r="Y5" s="919" t="s">
        <v>395</v>
      </c>
      <c r="Z5" s="847"/>
      <c r="AA5" s="847"/>
      <c r="AB5" s="848"/>
    </row>
    <row r="6" spans="2:79" ht="26.25" customHeight="1" x14ac:dyDescent="0.25">
      <c r="C6" s="57"/>
      <c r="D6" s="58"/>
      <c r="E6" s="931" t="s">
        <v>219</v>
      </c>
      <c r="F6" s="847"/>
      <c r="G6" s="847"/>
      <c r="H6" s="851"/>
      <c r="I6" s="931" t="s">
        <v>396</v>
      </c>
      <c r="J6" s="851"/>
      <c r="K6" s="931" t="s">
        <v>388</v>
      </c>
      <c r="L6" s="851"/>
      <c r="M6" s="931" t="s">
        <v>397</v>
      </c>
      <c r="N6" s="847"/>
      <c r="O6" s="847"/>
      <c r="P6" s="851"/>
      <c r="Q6" s="167"/>
      <c r="R6" s="35"/>
      <c r="S6" s="35"/>
      <c r="T6" s="35"/>
      <c r="U6" s="35"/>
      <c r="V6" s="35"/>
      <c r="W6" s="170"/>
      <c r="X6" s="19"/>
      <c r="Y6" s="747" t="s">
        <v>113</v>
      </c>
      <c r="Z6" s="748"/>
      <c r="AA6" s="748" t="s">
        <v>114</v>
      </c>
      <c r="AB6" s="749"/>
    </row>
    <row r="7" spans="2:79" ht="30" customHeight="1" x14ac:dyDescent="0.25">
      <c r="C7" s="950"/>
      <c r="D7" s="951"/>
      <c r="E7" s="933" t="s">
        <v>113</v>
      </c>
      <c r="F7" s="859"/>
      <c r="G7" s="910" t="s">
        <v>114</v>
      </c>
      <c r="H7" s="911"/>
      <c r="I7" s="751" t="s">
        <v>390</v>
      </c>
      <c r="J7" s="241" t="s">
        <v>391</v>
      </c>
      <c r="K7" s="751" t="s">
        <v>392</v>
      </c>
      <c r="L7" s="751" t="s">
        <v>393</v>
      </c>
      <c r="M7" s="933" t="s">
        <v>6</v>
      </c>
      <c r="N7" s="859"/>
      <c r="O7" s="910" t="s">
        <v>7</v>
      </c>
      <c r="P7" s="911"/>
      <c r="Q7" s="740" t="s">
        <v>226</v>
      </c>
      <c r="R7" s="740" t="s">
        <v>72</v>
      </c>
      <c r="S7" s="740" t="s">
        <v>73</v>
      </c>
      <c r="T7" s="740" t="s">
        <v>227</v>
      </c>
      <c r="U7" s="740" t="s">
        <v>74</v>
      </c>
      <c r="V7" s="740" t="s">
        <v>228</v>
      </c>
      <c r="W7" s="61" t="s">
        <v>229</v>
      </c>
      <c r="X7" s="19"/>
      <c r="Y7" s="137" t="s">
        <v>398</v>
      </c>
      <c r="Z7" s="821">
        <f>IF('SHL Section'!$AR$7=1,$M$15,0)</f>
        <v>71.424513434487508</v>
      </c>
      <c r="AA7" s="71"/>
      <c r="AB7" s="132"/>
    </row>
    <row r="8" spans="2:79" ht="15" customHeight="1" x14ac:dyDescent="0.25">
      <c r="C8" s="952" t="s">
        <v>234</v>
      </c>
      <c r="D8" s="953"/>
      <c r="E8" s="70"/>
      <c r="F8" s="62"/>
      <c r="G8" s="71"/>
      <c r="H8" s="62"/>
      <c r="I8" s="244" t="str">
        <f>IF($L$39=$R$8,'Lat-Long &amp; Grid Calc SHL'!$I$8,"")</f>
        <v/>
      </c>
      <c r="J8" s="244" t="str">
        <f>IF($L$39=$R$8,'Lat-Long &amp; Grid Calc SHL'!$J$8,"")</f>
        <v/>
      </c>
      <c r="K8" s="70" t="str">
        <f>IF($L$39=$R$8,'Lat-Long &amp; Grid Calc SHL'!$K$8,"")</f>
        <v/>
      </c>
      <c r="L8" s="70" t="str">
        <f>IF($L$39=$R$8,'Lat-Long &amp; Grid Calc SHL'!$L$8,"")</f>
        <v/>
      </c>
      <c r="M8" s="188" t="str">
        <f>IF($L$39=$R$8,IF(ISNUMBER($AE$64),$AE$64,IF(ISNUMBER($AG$64),$AG$64,IF(ISNUMBER($AI$64),$AI$64,IF(ISNUMBER($AK$64),$AK$64,"")))),"")</f>
        <v/>
      </c>
      <c r="N8" s="189" t="str">
        <f>IF($L$39=$R$8,IF(ISNUMBER($AE$64),$AE$70,IF(ISNUMBER($AG$64),$AG$70,IF(ISNUMBER($AI$64),$AI$70,IF(ISNUMBER($AK$64),$AK$70,"")))),"")</f>
        <v/>
      </c>
      <c r="O8" s="190" t="str">
        <f>IF($L$39=$R$8,IF(ISNUMBER($AF$64),$AF$64,IF(ISNUMBER($AH$64),$AH$64,IF(ISNUMBER($AJ$64),$AJ$64,IF(ISNUMBER($AL$64),$AL$64,"")))),"")</f>
        <v/>
      </c>
      <c r="P8" s="191" t="str">
        <f>IF($L$39=$R$8,IF(ISNUMBER($AF$64),$AF$70,IF(ISNUMBER($AH$64),$AH$70,IF(ISNUMBER($AJ$64),$AJ$70,IF(ISNUMBER($AL$64),$AL$70,"")))),"")</f>
        <v/>
      </c>
      <c r="Q8" s="97" t="str">
        <f>'SHL Section'!$M$7</f>
        <v/>
      </c>
      <c r="R8" s="97">
        <f>'SHL Section'!$N$7</f>
        <v>0</v>
      </c>
      <c r="S8" s="62">
        <f>'SHL Section'!$O$7</f>
        <v>0</v>
      </c>
      <c r="T8" s="62" t="str">
        <f>IF('SHL Section'!$P$7=1,"N","S")</f>
        <v>S</v>
      </c>
      <c r="U8" s="62">
        <f>'SHL Section'!$Q$7</f>
        <v>0</v>
      </c>
      <c r="V8" s="62" t="str">
        <f>IF('SHL Section'!$R$7=1,"E","W")</f>
        <v>W</v>
      </c>
      <c r="W8" s="132" t="str">
        <f>IF('SHL Section'!$S$7=1,"Salt Lake","Uintah")</f>
        <v>Uintah</v>
      </c>
      <c r="Y8" s="133"/>
      <c r="Z8" s="63"/>
      <c r="AA8" s="64"/>
      <c r="AB8" s="123"/>
    </row>
    <row r="9" spans="2:79" ht="15" customHeight="1" x14ac:dyDescent="0.25">
      <c r="C9" s="946" t="str">
        <f>'Lat-Long &amp; Grid Calc SHL'!C9</f>
        <v>Prod. Interval Top</v>
      </c>
      <c r="D9" s="947"/>
      <c r="E9" s="72">
        <f>'SHL Section'!$E$8</f>
        <v>0</v>
      </c>
      <c r="F9" s="63" t="str">
        <f>IF('SHL Section'!$AK$8=1,"N","S")</f>
        <v>S</v>
      </c>
      <c r="G9" s="64">
        <f>'SHL Section'!$G$8</f>
        <v>0</v>
      </c>
      <c r="H9" s="63" t="str">
        <f>IF('SHL Section'!$AM$8=1,"E","W")</f>
        <v>W</v>
      </c>
      <c r="I9" s="245" t="e">
        <f>IF($L$39=$R$9,'Lat-Long &amp; Grid Calc SHL'!$I$9,"")</f>
        <v>#VALUE!</v>
      </c>
      <c r="J9" s="245" t="e">
        <f>IF($L$39=$R$9,'Lat-Long &amp; Grid Calc SHL'!$J$9,"")</f>
        <v>#VALUE!</v>
      </c>
      <c r="K9" s="72" t="e">
        <f>IF($L$39=$R$9,'Lat-Long &amp; Grid Calc SHL'!$K$9,"")</f>
        <v>#VALUE!</v>
      </c>
      <c r="L9" s="72" t="e">
        <f>IF($L$39=$R$9,'Lat-Long &amp; Grid Calc SHL'!$L$9,"")</f>
        <v>#VALUE!</v>
      </c>
      <c r="M9" s="192" t="e">
        <f>IF($L$39=$R$9,IF(ISNUMBER($AE$75),$AE$75,IF(ISNUMBER($AG$75),$AG$75,IF(ISNUMBER($AI$75),$AI$75,IF(ISNUMBER($AK$75),$AK$75,"")))),"")</f>
        <v>#VALUE!</v>
      </c>
      <c r="N9" s="193" t="e">
        <f>IF($L$39=$R$9,IF(ISNUMBER($AE$75),$AE$70,IF(ISNUMBER($AG$75),$AG$70,IF(ISNUMBER($AI$75),$AI$70,IF(ISNUMBER($AK$75),$AK$70,"")))),"")</f>
        <v>#VALUE!</v>
      </c>
      <c r="O9" s="194" t="e">
        <f>IF($L$39=$R$9,IF(ISNUMBER($AF$75),$AF$75,IF(ISNUMBER($AH$75),$AH$75,IF(ISNUMBER($AJ$75),$AJ$75,IF(ISNUMBER($AL$75),$AL$75,"")))),"")</f>
        <v>#VALUE!</v>
      </c>
      <c r="P9" s="195" t="e">
        <f>IF($L$39=$R$9,IF(ISNUMBER($AF$75),$AF$70,IF(ISNUMBER($AH$75),$AH$70,IF(ISNUMBER($AJ$75),$AJ$70,IF(ISNUMBER($AL$75),$AL$70,"")))),"")</f>
        <v>#VALUE!</v>
      </c>
      <c r="Q9" s="63" t="e">
        <f>IF(AND($L$39=$R$9,ISNUMBER($I$9),ISNUMBER($J$9)),VLOOKUP(MAX($AE$67:$AL$67),$AV$57:$AZ$60,IF(ISNUMBER($AE$67),$AE$53,IF(ISNUMBER($AG$67),$AG$53,IF(ISNUMBER($AI$67),$AI$53,$AK$53)))+1,FALSE),"")</f>
        <v>#VALUE!</v>
      </c>
      <c r="R9" s="63" t="e">
        <f>'SHL Section'!$N$8</f>
        <v>#VALUE!</v>
      </c>
      <c r="S9" s="63">
        <f>'SHL Section'!$O$8</f>
        <v>0</v>
      </c>
      <c r="T9" s="63" t="str">
        <f>'SHL Section'!$P$8</f>
        <v>S</v>
      </c>
      <c r="U9" s="63">
        <f>'SHL Section'!$Q$8</f>
        <v>0</v>
      </c>
      <c r="V9" s="63" t="str">
        <f>'SHL Section'!$R$8</f>
        <v>W</v>
      </c>
      <c r="W9" s="123" t="str">
        <f>'SHL Section'!$S$8</f>
        <v>Uintah</v>
      </c>
      <c r="Y9" s="133" t="str">
        <f>IF(ISNUMBER($K$9),IF('SHL Section'!$AR$7=1,(($K$5-$K$9)*COS(RADIANS($Z$7))-($L$5-$L$9)*SIN(RADIANS($Z$7)))+'SHL Section'!$AJ$8,($K$5-$K$9+'SHL Section'!$AJ$8)*COS(RADIANS($Z$7))-($L$5-$L$9+'SHL Section'!$AL$8)*SIN(RADIANS($Z$7))),"")</f>
        <v/>
      </c>
      <c r="Z9" s="63">
        <f>'SHL Section'!$AK$8</f>
        <v>2</v>
      </c>
      <c r="AA9" s="64" t="str">
        <f>IF(ISNUMBER($L$9),IF('SHL Section'!$AR$7=1,($L$5-$L$9)*COS(RADIANS($Z$7))+($K$5-$K$9)*SIN(RADIANS($Z$7))+'SHL Section'!$AL$8,($L$5-$L$9+'SHL Section'!$AL$8)*COS(RADIANS($Z$7))+($K$5-$K$9+'SHL Section'!$AJ$8)*SIN(RADIANS($Z$7))),"")</f>
        <v/>
      </c>
      <c r="AB9" s="123">
        <f>'SHL Section'!$AM$8</f>
        <v>2</v>
      </c>
    </row>
    <row r="10" spans="2:79" ht="15" customHeight="1" x14ac:dyDescent="0.25">
      <c r="C10" s="946" t="str">
        <f>'Lat-Long &amp; Grid Calc SHL'!C10</f>
        <v>Prod. Interval Bot.</v>
      </c>
      <c r="D10" s="947"/>
      <c r="E10" s="72">
        <f>'SHL Section'!$E$9</f>
        <v>0</v>
      </c>
      <c r="F10" s="63" t="str">
        <f>IF('SHL Section'!$AK$9=1,"N","S")</f>
        <v>S</v>
      </c>
      <c r="G10" s="64">
        <f>'SHL Section'!$G$9</f>
        <v>0</v>
      </c>
      <c r="H10" s="63" t="str">
        <f>IF('SHL Section'!$AM$9=1,"E","W")</f>
        <v>W</v>
      </c>
      <c r="I10" s="245" t="e">
        <f>IF($L$39=$R$10,'Lat-Long &amp; Grid Calc SHL'!$I$10,"")</f>
        <v>#VALUE!</v>
      </c>
      <c r="J10" s="245" t="e">
        <f>IF($L$39=$R$10,'Lat-Long &amp; Grid Calc SHL'!$J$10,"")</f>
        <v>#VALUE!</v>
      </c>
      <c r="K10" s="72" t="e">
        <f>IF($L$39=$R$10,'Lat-Long &amp; Grid Calc SHL'!$K$10,"")</f>
        <v>#VALUE!</v>
      </c>
      <c r="L10" s="72" t="e">
        <f>IF($L$39=$R$10,'Lat-Long &amp; Grid Calc SHL'!$L$10,"")</f>
        <v>#VALUE!</v>
      </c>
      <c r="M10" s="196" t="e">
        <f>IF($L$39=$R$10,IF(ISNUMBER($AE$86),$AE$86,IF(ISNUMBER($AG$86),$AG$86,IF(ISNUMBER($AI$86),$AI$86,IF(ISNUMBER($AK$86),$AK$86,"")))),"")</f>
        <v>#VALUE!</v>
      </c>
      <c r="N10" s="193" t="e">
        <f>IF($L$39=$R$10,IF(ISNUMBER($AE$86),$AE$81,IF(ISNUMBER($AG$86),$AG$81,IF(ISNUMBER($AI$86),$AI$81,IF(ISNUMBER($AK$86),$AK$81,"")))),"")</f>
        <v>#VALUE!</v>
      </c>
      <c r="O10" s="197" t="e">
        <f>IF($L$39=$R$10,IF(ISNUMBER($AF$86),$AF$86,IF(ISNUMBER($AH$86),$AH$86,IF(ISNUMBER($AJ$86),$AJ$86,IF(ISNUMBER($AL$86),$AL$86,"")))),"")</f>
        <v>#VALUE!</v>
      </c>
      <c r="P10" s="195" t="e">
        <f>IF($L$39=$R$10,IF(ISNUMBER($AF$86),$AF$81,IF(ISNUMBER($AH$86),$AH$81,IF(ISNUMBER($AJ$86),$AJ$81,IF(ISNUMBER($AL$86),$AL$81,"")))),"")</f>
        <v>#VALUE!</v>
      </c>
      <c r="Q10" s="63" t="e">
        <f>IF(AND($L$39=$R$10,ISNUMBER($I$10),ISNUMBER($J$10)),VLOOKUP(MAX($AE$78:$AL$78),$AV$57:$AZ$60,IF(ISNUMBER($AE$78),$AE$53,IF(ISNUMBER($AG$78),$AG$53,IF(ISNUMBER($AI$78),$AI$53,$AK$53)))+1,FALSE),"")</f>
        <v>#VALUE!</v>
      </c>
      <c r="R10" s="63" t="e">
        <f>'SHL Section'!$N$9</f>
        <v>#VALUE!</v>
      </c>
      <c r="S10" s="63">
        <f>'SHL Section'!$O$9</f>
        <v>0</v>
      </c>
      <c r="T10" s="63" t="str">
        <f>'SHL Section'!$P$9</f>
        <v>S</v>
      </c>
      <c r="U10" s="63">
        <f>'SHL Section'!$Q$9</f>
        <v>0</v>
      </c>
      <c r="V10" s="63" t="str">
        <f>'SHL Section'!$R$9</f>
        <v>W</v>
      </c>
      <c r="W10" s="123" t="str">
        <f>'SHL Section'!$S$9</f>
        <v>Uintah</v>
      </c>
      <c r="Y10" s="133" t="str">
        <f>IF(ISNUMBER($K$10),IF('SHL Section'!$AR$7=1,(($K$5-$K$10)*COS(RADIANS($Z$7))-($L$5-$L$10)*SIN(RADIANS($Z$7)))+'SHL Section'!$AJ$9,($K$5-$K$10+'SHL Section'!$AJ$9)*COS(RADIANS($Z$7))-($L$5-$L$10+'SHL Section'!$AL$9)*SIN(RADIANS($Z$7))),"")</f>
        <v/>
      </c>
      <c r="Z10" s="63">
        <f>'SHL Section'!$AK$9</f>
        <v>2</v>
      </c>
      <c r="AA10" s="64" t="str">
        <f>IF(ISNUMBER($L$10),IF('SHL Section'!$AR$7=1,($L$5-$L$10)*COS(RADIANS($Z$7))+($K$5-$K$10)*SIN(RADIANS($Z$7))+'SHL Section'!$AL$9,($L$5-$L$10+'SHL Section'!$AL$9)*COS(RADIANS($Z$7))+($K$5-$K$10+'SHL Section'!$AJ$9)*SIN(RADIANS($Z$7))),"")</f>
        <v/>
      </c>
      <c r="AB10" s="123">
        <f>'SHL Section'!$AM$9</f>
        <v>2</v>
      </c>
    </row>
    <row r="11" spans="2:79" ht="15" customHeight="1" thickBot="1" x14ac:dyDescent="0.3">
      <c r="C11" s="940" t="s">
        <v>241</v>
      </c>
      <c r="D11" s="941"/>
      <c r="E11" s="73">
        <f>'SHL Section'!$E$10</f>
        <v>0</v>
      </c>
      <c r="F11" s="66" t="str">
        <f>IF('SHL Section'!$AK$10=1,"N","S")</f>
        <v>S</v>
      </c>
      <c r="G11" s="67">
        <f>'SHL Section'!$G$10</f>
        <v>0</v>
      </c>
      <c r="H11" s="66" t="str">
        <f>IF('SHL Section'!$AM$10=1,"E","W")</f>
        <v>W</v>
      </c>
      <c r="I11" s="246" t="e">
        <f>IF($L$39=$R$11,'Lat-Long &amp; Grid Calc SHL'!$I$11,"")</f>
        <v>#VALUE!</v>
      </c>
      <c r="J11" s="246" t="e">
        <f>IF($L$39=$R$11,'Lat-Long &amp; Grid Calc SHL'!$J$11,"")</f>
        <v>#VALUE!</v>
      </c>
      <c r="K11" s="73" t="e">
        <f>IF($L$39=$R$11,'Lat-Long &amp; Grid Calc SHL'!$K$11,"")</f>
        <v>#VALUE!</v>
      </c>
      <c r="L11" s="73" t="e">
        <f>IF($L$39=$R$11,'Lat-Long &amp; Grid Calc SHL'!$L$11,"")</f>
        <v>#VALUE!</v>
      </c>
      <c r="M11" s="198" t="e">
        <f>IF($L$39=$R$11,IF(ISNUMBER($AE$97),$AE$97,IF(ISNUMBER($AG$97),$AG$97,IF(ISNUMBER($AI$97),$AI$97,IF(ISNUMBER($AK$97),$AK$97,"")))),"")</f>
        <v>#VALUE!</v>
      </c>
      <c r="N11" s="199" t="e">
        <f>IF($L$39=$R$11,IF(ISNUMBER($AE$97),$AE$92,IF(ISNUMBER($AG$97),$AG$92,IF(ISNUMBER($AI$97),$AI$92,IF(ISNUMBER($AK$97),$AK$92,"")))),"")</f>
        <v>#VALUE!</v>
      </c>
      <c r="O11" s="200" t="e">
        <f>IF($L$39=$R$11,IF(ISNUMBER($AF$97),$AF$97,IF(ISNUMBER($AH$97),$AH$97,IF(ISNUMBER($AJ$97),$AJ$97,IF(ISNUMBER($AL$97),$AL$97,"")))),"")</f>
        <v>#VALUE!</v>
      </c>
      <c r="P11" s="201" t="e">
        <f>IF($L$39=$R$11,IF(ISNUMBER($AF$97),$AF$92,IF(ISNUMBER($AH$97),$AH$92,IF(ISNUMBER($AJ$97),$AJ$92,IF(ISNUMBER($AL$97),$AL$92,"")))),"")</f>
        <v>#VALUE!</v>
      </c>
      <c r="Q11" s="66" t="e">
        <f>IF(AND($L$39=$R$11,ISNUMBER($I$11),ISNUMBER($J$11)),VLOOKUP(MAX($AE$89:$AL$89),$AV$57:$AZ$60,IF(ISNUMBER($AE$89),$AE$53,IF(ISNUMBER($AG$89),$AG$53,IF(ISNUMBER($AI$89),$AI$53,$AK$53)))+1,FALSE),"")</f>
        <v>#VALUE!</v>
      </c>
      <c r="R11" s="66" t="e">
        <f>'SHL Section'!$N$10</f>
        <v>#VALUE!</v>
      </c>
      <c r="S11" s="66">
        <f>'SHL Section'!$O$10</f>
        <v>0</v>
      </c>
      <c r="T11" s="66" t="str">
        <f>'SHL Section'!$P$10</f>
        <v>S</v>
      </c>
      <c r="U11" s="66">
        <f>'SHL Section'!$Q$10</f>
        <v>0</v>
      </c>
      <c r="V11" s="66" t="str">
        <f>'SHL Section'!$R$10</f>
        <v>W</v>
      </c>
      <c r="W11" s="124" t="str">
        <f>'SHL Section'!$S$10</f>
        <v>Uintah</v>
      </c>
      <c r="Y11" s="135" t="str">
        <f>IF(ISNUMBER($K$11),IF('SHL Section'!$AR$7=1,(($K$5-$K$11)*COS(RADIANS($Z$7))-($L$5-$L$11)*SIN(RADIANS($Z$7)))+'SHL Section'!$AJ$10,($K$5-$K$11+'SHL Section'!$AJ$10)*COS(RADIANS($Z$7))-($L$5-$L$11+'SHL Section'!$AL$10)*SIN(RADIANS($Z$7))),"")</f>
        <v/>
      </c>
      <c r="Z11" s="66">
        <f>'SHL Section'!$AK$10</f>
        <v>2</v>
      </c>
      <c r="AA11" s="67" t="str">
        <f>IF(ISNUMBER($L$11),IF('SHL Section'!$AR$7=1,($L$5-$L$11)*COS(RADIANS($Z$7))+($K$5-$K$11)*SIN(RADIANS($Z$7))+'SHL Section'!$AL$10,($L$5-$L$11+'SHL Section'!$AL$10)*COS(RADIANS($Z$7))+($K$5-$K$11+'SHL Section'!$AJ$10)*SIN(RADIANS($Z$7))),"")</f>
        <v/>
      </c>
      <c r="AB11" s="124">
        <f>'SHL Section'!$AM$10</f>
        <v>2</v>
      </c>
    </row>
    <row r="12" spans="2:79" x14ac:dyDescent="0.25">
      <c r="G12" s="51"/>
      <c r="H12" s="54"/>
      <c r="I12" s="54"/>
      <c r="J12" s="54"/>
      <c r="K12" s="54"/>
      <c r="L12" s="54"/>
      <c r="M12" s="54"/>
      <c r="N12" s="54"/>
      <c r="O12" s="103"/>
      <c r="P12" s="19"/>
      <c r="Q12" s="19"/>
      <c r="R12" s="19"/>
      <c r="S12" s="54"/>
    </row>
    <row r="13" spans="2:79" x14ac:dyDescent="0.25">
      <c r="B13" s="69" t="s">
        <v>302</v>
      </c>
      <c r="C13" s="55"/>
      <c r="D13" s="55"/>
      <c r="E13" s="55"/>
      <c r="F13" s="55"/>
      <c r="G13" s="55"/>
      <c r="H13" s="55"/>
      <c r="I13" s="55"/>
      <c r="K13" s="975" t="s">
        <v>301</v>
      </c>
      <c r="L13" s="859"/>
      <c r="M13" s="859"/>
      <c r="N13" s="911"/>
      <c r="O13" s="746"/>
      <c r="P13" s="54"/>
      <c r="Q13" s="171" t="s">
        <v>193</v>
      </c>
      <c r="R13" s="172"/>
      <c r="S13" s="172"/>
      <c r="T13" s="173"/>
      <c r="Y13" s="970" t="s">
        <v>399</v>
      </c>
      <c r="Z13" s="963"/>
      <c r="AA13" s="963"/>
      <c r="AB13" s="964"/>
      <c r="AC13" s="54"/>
      <c r="AD13" s="54"/>
      <c r="AE13" s="54"/>
      <c r="AF13" s="54"/>
    </row>
    <row r="14" spans="2:79" x14ac:dyDescent="0.25">
      <c r="B14" s="92" t="s">
        <v>303</v>
      </c>
      <c r="C14" s="93"/>
      <c r="D14" s="93"/>
      <c r="E14" s="93"/>
      <c r="F14" s="93"/>
      <c r="G14" s="93"/>
      <c r="H14" s="93"/>
      <c r="I14" s="93"/>
      <c r="K14" s="140" t="s">
        <v>256</v>
      </c>
      <c r="L14" s="141"/>
      <c r="M14" s="142"/>
      <c r="N14" s="203">
        <f>'SHL Section'!$Q$13</f>
        <v>1</v>
      </c>
      <c r="O14" s="746"/>
      <c r="P14" s="54"/>
      <c r="Q14" s="175"/>
      <c r="R14" s="54" t="s">
        <v>200</v>
      </c>
      <c r="S14" s="976">
        <f>Q14+Q15/60+Q16/3600</f>
        <v>0</v>
      </c>
      <c r="T14" s="911"/>
      <c r="U14" s="54"/>
      <c r="Y14" s="177"/>
      <c r="Z14" s="740" t="s">
        <v>400</v>
      </c>
      <c r="AA14" s="740" t="s">
        <v>401</v>
      </c>
      <c r="AB14" s="236" t="s">
        <v>402</v>
      </c>
      <c r="AC14" s="180"/>
      <c r="AD14" s="180"/>
      <c r="AE14" s="54"/>
      <c r="AF14" s="54"/>
    </row>
    <row r="15" spans="2:79" x14ac:dyDescent="0.25">
      <c r="B15" s="182"/>
      <c r="K15" s="237" t="s">
        <v>403</v>
      </c>
      <c r="L15" s="238"/>
      <c r="M15" s="822">
        <f>'SHL Section'!$AT$5</f>
        <v>71.424513434487508</v>
      </c>
      <c r="N15" s="239" t="s">
        <v>404</v>
      </c>
      <c r="O15" s="54"/>
      <c r="P15" s="54"/>
      <c r="Q15" s="175"/>
      <c r="R15" s="54" t="s">
        <v>206</v>
      </c>
      <c r="S15" s="54"/>
      <c r="T15" s="174"/>
      <c r="U15" s="54"/>
      <c r="Y15" s="178" t="s">
        <v>405</v>
      </c>
      <c r="Z15" s="125"/>
      <c r="AA15" s="823"/>
      <c r="AB15" s="824"/>
    </row>
    <row r="16" spans="2:79" x14ac:dyDescent="0.25">
      <c r="P16" s="54"/>
      <c r="Q16" s="176"/>
      <c r="R16" s="129" t="s">
        <v>208</v>
      </c>
      <c r="S16" s="129"/>
      <c r="T16" s="130"/>
      <c r="U16" s="54"/>
      <c r="Y16" s="178" t="s">
        <v>406</v>
      </c>
      <c r="Z16" s="125"/>
      <c r="AA16" s="825"/>
      <c r="AB16" s="826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"/>
    </row>
    <row r="17" spans="1:80" s="1" customFormat="1" x14ac:dyDescent="0.25">
      <c r="Y17" s="179" t="s">
        <v>407</v>
      </c>
      <c r="Z17" s="126"/>
      <c r="AA17" s="827" t="e">
        <f>AA$15+(AA$16-AA$15)/($Z$16-$Z$15)*($Z$17-$Z$15)</f>
        <v>#DIV/0!</v>
      </c>
      <c r="AB17" s="828" t="e">
        <f>AB$15+(AB$16-AB$15)/($Z$16-$Z$15)*($Z$17-$Z$15)</f>
        <v>#DIV/0!</v>
      </c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</row>
    <row r="18" spans="1:80" s="1" customFormat="1" x14ac:dyDescent="0.25">
      <c r="B18" s="43"/>
      <c r="E18" s="44" t="e">
        <f>IF($L$39='SHL Section'!$L$38,'SHL Section'!$E$18,IF($L$39='BHL Section 1'!$L$38,'BHL Section 1'!$E$17,IF($L$39='BHL Section 2'!$L$38,'BHL Section 2'!$E$17,IF($L$39='BHL Section 3'!$L$38,'BHL Section 3'!$E$17,$E$19))))</f>
        <v>#VALUE!</v>
      </c>
      <c r="F18" s="156"/>
      <c r="G18" s="156"/>
      <c r="H18" s="156"/>
      <c r="I18" s="156"/>
      <c r="J18" s="156"/>
      <c r="K18" s="44" t="e">
        <f>IF($L$39='SHL Section'!$L$38,'SHL Section'!$K$18,IF($L$39='BHL Section 1'!$L$38,'BHL Section 1'!$K$17,IF($L$39='BHL Section 2'!$L$38,'BHL Section 2'!$K$17,IF($L$39='BHL Section 3'!$L$38,'BHL Section 3'!$K$17,$K$19))))</f>
        <v>#VALUE!</v>
      </c>
      <c r="L18" s="156"/>
      <c r="M18" s="156"/>
      <c r="N18" s="156"/>
      <c r="O18" s="44" t="e">
        <f>IF($L$39='SHL Section'!$L$38,'SHL Section'!$O$18,IF($L$39='BHL Section 1'!$L$38,'BHL Section 1'!$O$17,IF($L$39='BHL Section 2'!$L$38,'BHL Section 2'!$O$17,IF($L$39='BHL Section 3'!$L$38,'BHL Section 3'!$O$17,$O$19))))</f>
        <v>#VALUE!</v>
      </c>
      <c r="P18" s="156"/>
      <c r="Q18" s="156"/>
      <c r="R18" s="156"/>
      <c r="S18" s="156"/>
      <c r="T18" s="156"/>
      <c r="U18" s="44" t="e">
        <f>IF($L$39='SHL Section'!$L$38,'SHL Section'!$V$18,IF($L$39='BHL Section 1'!$L$38,'BHL Section 1'!$V$17,IF($L$39='BHL Section 2'!$L$38,'BHL Section 2'!$V$17,IF($L$39='BHL Section 3'!$L$38,'BHL Section 3'!$U$17,$U$19))))</f>
        <v>#VALUE!</v>
      </c>
      <c r="Y18" s="5"/>
      <c r="Z18" s="5"/>
      <c r="AA18" s="5"/>
      <c r="AB18" s="5"/>
      <c r="AE18" s="18"/>
      <c r="AF18" s="18"/>
      <c r="AG18" s="18"/>
      <c r="AH18" s="18"/>
      <c r="AI18" s="18"/>
      <c r="AJ18" s="18"/>
      <c r="AK18" s="18"/>
      <c r="AL18" s="18"/>
      <c r="AM18" s="18"/>
      <c r="AU18" s="38" t="s">
        <v>305</v>
      </c>
      <c r="AV18" s="939" t="s">
        <v>306</v>
      </c>
      <c r="AW18" s="882"/>
      <c r="AX18" s="939" t="s">
        <v>307</v>
      </c>
      <c r="AY18" s="882"/>
      <c r="AZ18" s="939" t="s">
        <v>308</v>
      </c>
      <c r="BA18" s="882"/>
      <c r="BB18" s="939" t="s">
        <v>309</v>
      </c>
      <c r="BC18" s="882"/>
      <c r="BD18" s="939" t="s">
        <v>310</v>
      </c>
      <c r="BE18" s="882"/>
      <c r="BF18" s="939" t="s">
        <v>311</v>
      </c>
      <c r="BG18" s="882"/>
      <c r="BH18" s="939" t="s">
        <v>312</v>
      </c>
      <c r="BI18" s="882"/>
      <c r="BJ18" s="939" t="s">
        <v>313</v>
      </c>
      <c r="BK18" s="882"/>
      <c r="BL18" s="939" t="s">
        <v>314</v>
      </c>
      <c r="BM18" s="882"/>
      <c r="BN18" s="939" t="s">
        <v>315</v>
      </c>
      <c r="BO18" s="882"/>
      <c r="BP18" s="939" t="s">
        <v>316</v>
      </c>
      <c r="BQ18" s="882"/>
      <c r="BR18" s="939" t="s">
        <v>317</v>
      </c>
      <c r="BS18" s="882"/>
      <c r="BT18" s="939" t="s">
        <v>318</v>
      </c>
      <c r="BU18" s="882"/>
      <c r="BV18" s="939" t="s">
        <v>319</v>
      </c>
      <c r="BW18" s="882"/>
      <c r="BX18" s="939" t="s">
        <v>320</v>
      </c>
      <c r="BY18" s="882"/>
      <c r="BZ18" s="939" t="s">
        <v>321</v>
      </c>
      <c r="CA18" s="882"/>
    </row>
    <row r="19" spans="1:80" x14ac:dyDescent="0.25">
      <c r="B19" s="26"/>
      <c r="C19" s="33"/>
      <c r="D19" s="17" t="s">
        <v>118</v>
      </c>
      <c r="E19" s="110"/>
      <c r="F19" s="33"/>
      <c r="G19" s="33"/>
      <c r="H19" s="33"/>
      <c r="I19" s="33"/>
      <c r="J19" s="17" t="s">
        <v>118</v>
      </c>
      <c r="K19" s="113"/>
      <c r="N19" s="17" t="s">
        <v>118</v>
      </c>
      <c r="O19" s="110"/>
      <c r="T19" s="17" t="s">
        <v>118</v>
      </c>
      <c r="U19" s="110"/>
      <c r="AA19" s="5"/>
      <c r="AB19" s="5"/>
      <c r="AC19" s="1"/>
      <c r="AD19" s="1"/>
      <c r="AE19" s="18"/>
      <c r="AF19" s="18"/>
      <c r="AG19" s="18"/>
      <c r="AH19" s="18"/>
      <c r="AI19" s="18"/>
      <c r="AJ19" s="18"/>
      <c r="AK19" s="18"/>
      <c r="AL19" s="18"/>
      <c r="AM19" s="18"/>
      <c r="AN19" s="1"/>
      <c r="AO19" s="1"/>
      <c r="AP19" s="1"/>
      <c r="AQ19" s="1"/>
      <c r="AR19" s="1"/>
      <c r="AS19" s="1"/>
      <c r="AT19" s="1"/>
      <c r="AU19" s="38" t="s">
        <v>330</v>
      </c>
      <c r="AV19" s="760" t="s">
        <v>113</v>
      </c>
      <c r="AW19" s="761" t="s">
        <v>114</v>
      </c>
      <c r="AX19" s="760" t="s">
        <v>113</v>
      </c>
      <c r="AY19" s="761" t="s">
        <v>114</v>
      </c>
      <c r="AZ19" s="760" t="s">
        <v>113</v>
      </c>
      <c r="BA19" s="761" t="s">
        <v>114</v>
      </c>
      <c r="BB19" s="760" t="s">
        <v>113</v>
      </c>
      <c r="BC19" s="761" t="s">
        <v>114</v>
      </c>
      <c r="BD19" s="760" t="s">
        <v>113</v>
      </c>
      <c r="BE19" s="761" t="s">
        <v>114</v>
      </c>
      <c r="BF19" s="760" t="s">
        <v>113</v>
      </c>
      <c r="BG19" s="761" t="s">
        <v>114</v>
      </c>
      <c r="BH19" s="760" t="s">
        <v>113</v>
      </c>
      <c r="BI19" s="761" t="s">
        <v>114</v>
      </c>
      <c r="BJ19" s="760" t="s">
        <v>113</v>
      </c>
      <c r="BK19" s="761" t="s">
        <v>114</v>
      </c>
      <c r="BL19" s="760" t="s">
        <v>113</v>
      </c>
      <c r="BM19" s="761" t="s">
        <v>114</v>
      </c>
      <c r="BN19" s="760" t="s">
        <v>113</v>
      </c>
      <c r="BO19" s="761" t="s">
        <v>114</v>
      </c>
      <c r="BP19" s="760" t="s">
        <v>113</v>
      </c>
      <c r="BQ19" s="761" t="s">
        <v>114</v>
      </c>
      <c r="BR19" s="760" t="s">
        <v>113</v>
      </c>
      <c r="BS19" s="761" t="s">
        <v>114</v>
      </c>
      <c r="BT19" s="760" t="s">
        <v>113</v>
      </c>
      <c r="BU19" s="761" t="s">
        <v>114</v>
      </c>
      <c r="BV19" s="760" t="s">
        <v>113</v>
      </c>
      <c r="BW19" s="761" t="s">
        <v>114</v>
      </c>
      <c r="BX19" s="760" t="s">
        <v>113</v>
      </c>
      <c r="BY19" s="761" t="s">
        <v>114</v>
      </c>
      <c r="BZ19" s="760" t="s">
        <v>113</v>
      </c>
      <c r="CA19" s="761" t="s">
        <v>114</v>
      </c>
    </row>
    <row r="20" spans="1:80" ht="12" customHeight="1" x14ac:dyDescent="0.25">
      <c r="B20" s="26"/>
      <c r="C20" s="33"/>
      <c r="D20" s="17" t="s">
        <v>124</v>
      </c>
      <c r="E20" s="111"/>
      <c r="F20" s="33"/>
      <c r="G20" s="33"/>
      <c r="H20" s="33"/>
      <c r="I20" s="33"/>
      <c r="J20" s="17" t="s">
        <v>124</v>
      </c>
      <c r="K20" s="114"/>
      <c r="N20" s="17" t="s">
        <v>124</v>
      </c>
      <c r="O20" s="111"/>
      <c r="R20" s="34"/>
      <c r="T20" s="17" t="s">
        <v>124</v>
      </c>
      <c r="U20" s="111"/>
      <c r="AA20" s="5"/>
      <c r="AB20" s="5"/>
      <c r="AC20" s="1"/>
      <c r="AD20" s="1"/>
      <c r="AE20" s="18"/>
      <c r="AF20" s="18"/>
      <c r="AG20" s="18"/>
      <c r="AH20" s="18"/>
      <c r="AI20" s="18"/>
      <c r="AJ20" s="18"/>
      <c r="AK20" s="18"/>
      <c r="AL20" s="18"/>
      <c r="AM20" s="18"/>
      <c r="AN20" s="1"/>
      <c r="AO20" s="1"/>
      <c r="AP20" s="1"/>
      <c r="AQ20" s="1"/>
      <c r="AR20" s="1"/>
      <c r="AS20" s="1"/>
      <c r="AT20" s="1"/>
      <c r="AU20" s="38"/>
      <c r="AV20" s="807" t="e">
        <f>IF(AND($U$18&gt;0,$O$18&gt;0),$U$18*SIN(RADIANS(90-$U$24)),IF(AND($U$18=0,$O$18&gt;0),$O$18/2*SIN(RADIANS(90-$O$24)),IF(AND($U$18&gt;0,$O$18=0),$U$18/2*SIN(RADIANS(90-$U$24)),IF(AND($U$18=0,$O$18=0,$K$18=0),$E$18/4*SIN(RADIANS(90-$E$24)),$K$18/4*SIN(RADIANS(90-$K$24))))))</f>
        <v>#VALUE!</v>
      </c>
      <c r="AW20" s="808" t="e">
        <f>IF(AND($U$18&gt;0,$O$18&gt;0),$U$18*COS(RADIANS(90-$U$24)),IF(AND($U$18=0,$O$18&gt;0),$O$18/2*COS(RADIANS(90-$O$24)),IF(AND($U$18&gt;0,$O$18=0),$U$18/2*COS(RADIANS(90-$U$24)),IF(AND($U$18=0,$O$18=0,$K$18=0),$E$18/4*COS(RADIANS(90-$E$24)),$K$18/4*COS(RADIANS(90-$K$24))))))</f>
        <v>#VALUE!</v>
      </c>
      <c r="AX20" s="807" t="e">
        <f>IF(AND($U$18&gt;0,$O$18&gt;0),$O$18*SIN(RADIANS(90-$O$24)),IF(AND($U$18=0,$O$18&gt;0),$O$18/2*SIN(RADIANS(90-$O$24)),IF(AND($U$18&gt;0,$O$18=0),$U$18/2*SIN(RADIANS(90-$U$24)),IF(AND($U$18=0,$O$18=0,$K$18=0),$E$18/4*SIN(RADIANS(90-$E$24)),$K$18/4*SIN(RADIANS(90-$K$24))))))</f>
        <v>#VALUE!</v>
      </c>
      <c r="AY20" s="808" t="e">
        <f>IF(AND($U$18&gt;0,$O$18&gt;0),$O$18*COS(RADIANS(90-$O$24)),IF(AND($U$18=0,$O$18&gt;0),$O$18/2*COS(RADIANS(90-$O$24)),IF(AND($U$18&gt;0,$O$18=0),$U$18/2*COS(RADIANS(90-$U$24)),IF(AND($U$18=0,$O$18=0,$K$18=0),$E$18/4*COS(RADIANS(90-$E$24)),$K$18/4*COS(RADIANS(90-$K$24))))))</f>
        <v>#VALUE!</v>
      </c>
      <c r="AZ20" s="807" t="e">
        <f>IF(AND($K$18&gt;0,$E$18&gt;0,OR($O$18&gt;0,$U$18&gt;0)),$K$18*SIN(RADIANS(90-$K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A20" s="808" t="e">
        <f>IF(AND($K$18&gt;0,$E$18&gt;0,OR($O$18&gt;0,$U$18&gt;0)),$K$18*COS(RADIANS(90-$K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B20" s="807" t="e">
        <f>IF(AND($K$18&gt;0,$E$18&gt;0,OR($O$18&gt;0,$U$18&gt;0)),$E$18*SIN(RADIANS(90-$E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C20" s="809" t="e">
        <f>IF(AND($K$18&gt;0,$E$18&gt;0,OR($O$18&gt;0,$U$18&gt;0)),$E$18*COS(RADIANS(90-$E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D20" s="807" t="e">
        <f>IF(AND($B$33&gt;0,$B$25&gt;0,OR($B$42&gt;0,$B$50&gt;0)),$B$25*COS(RADIANS(180-$B$31)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E20" s="808" t="e">
        <f>IF(AND($B$33&gt;0,$B$25&gt;0,OR($B$42&gt;0,$B$50&gt;0)),$B$25*-SIN(RADIANS(180-$B$31)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F20" s="807" t="e">
        <f>IF(AND($B$33&gt;0,$B$25&gt;0,OR($B$42&gt;0,$B$50&gt;0)),$B$33*COS(RADIANS(180-$B$39)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G20" s="808" t="e">
        <f>IF(AND($B$33&gt;0,$B$25&gt;0,OR($B$42&gt;0,$B$50&gt;0)),$B$33*-SIN(RADIANS(180-$B$39)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H20" s="807" t="e">
        <f>IF(AND($B$50&gt;0,$B$42&gt;0),$B$42*COS(RADIANS(180-$B$48)),IF(AND($B$50=0,$B$42&gt;0),$B$42/2*COS(RADIANS(180-$B$48)),IF(AND($B$50&gt;0,$B$42=0),$B$50/2*COS(RADIANS(180-$B$56)),IF(AND($B$50=0,$B$42=0,$B$33=0),$B$25/4*COS(RADIANS(180-$B$31)),$B$33/4*COS(RADIANS(180-$B$39))))))</f>
        <v>#VALUE!</v>
      </c>
      <c r="BI20" s="808" t="e">
        <f>IF(AND($B$50&gt;0,$B$42&gt;0),$B$42*-SIN(RADIANS(180-$B$48)),IF(AND($B$50=0,$B$42&gt;0),$B$42/2*-SIN(RADIANS(180-$B$48)),IF(AND($B$50&gt;0,$B$42=0),$B$50/2*-SIN(RADIANS(180-$B$56)),IF(AND($B$50=0,$B$42=0,$B$33=0),$B$25/4*-SIN(RADIANS(180-$B$31)),$B$33/4*-SIN(RADIANS(180-$B$39))))))</f>
        <v>#VALUE!</v>
      </c>
      <c r="BJ20" s="807" t="e">
        <f>IF(AND($B$50&gt;0,$B$42&gt;0),$B$50*COS(RADIANS(180-$B$56)),IF(AND($B$50=0,$B$42&gt;0),$B$42/2*COS(RADIANS(180-$B$48)),IF(AND($B$50&gt;0,$B$42=0),$B$50/2*COS(RADIANS(180-$B$56)),IF(AND($B$50=0,$B$42=0,$B$33=0),$B$25/4*COS(RADIANS(180-$B$31)),$B$33/4*COS(RADIANS(180-$B$39))))))</f>
        <v>#VALUE!</v>
      </c>
      <c r="BK20" s="808" t="e">
        <f>IF(AND($B$50&gt;0,$B$42&gt;0),$B$50*-SIN(RADIANS(180-$B$56)),IF(AND($B$50=0,$B$42&gt;0),$B$42/2*-SIN(RADIANS(180-$B$48)),IF(AND($B$50&gt;0,$B$42=0),$B$50/2*-SIN(RADIANS(180-$B$56)),IF(AND($B$50=0,$B$42=0,$B$33=0),$B$25/4*-SIN(RADIANS(180-$B$31)),$B$33/4*-SIN(RADIANS(180-$B$39))))))</f>
        <v>#VALUE!</v>
      </c>
      <c r="BL20" s="807" t="e">
        <f>IF(AND($K$63&gt;0,$E$63&gt;0,OR($O$63&gt;0,$U$63&gt;0)),$E$63*SIN(RADIANS(90-$E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M20" s="809" t="e">
        <f>IF(AND($K$63&gt;0,$E$63&gt;0,OR($O$63&gt;0,$U$63&gt;0)),$E$63*COS(RADIANS(90-$E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N20" s="807" t="e">
        <f>IF(AND($K$63&gt;0,$E$63&gt;0,OR($O$63&gt;0,$U$63&gt;0)),$K$63*SIN(RADIANS(90-$K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O20" s="808" t="e">
        <f>IF(AND($K$63&gt;0,$E$63&gt;0,OR($O$63&gt;0,$U$63&gt;0)),$K$63*COS(RADIANS(90-$K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P20" s="807" t="e">
        <f>IF(AND($U$63&gt;0,$O$63&gt;0),$O$63*SIN(RADIANS(90-$O$62)),IF(AND($U$63=0,$O$63&gt;0),$O$63/2*SIN(RADIANS(90-$O$62)),IF(AND($U$63&gt;0,$O$63=0),$U$63/2*SIN(RADIANS(90-$U$62)),IF(AND($U$63=0,$O$63=0,$K$63=0),$E$63/4*SIN(RADIANS(90-$E$62)),$K$63/4*SIN(RADIANS(90-$K$62))))))</f>
        <v>#VALUE!</v>
      </c>
      <c r="BQ20" s="808" t="e">
        <f>IF(AND($U$63&gt;0,$O$63&gt;0),$O$63*COS(RADIANS(90-$O$62)),IF(AND($U$63=0,$O$63&gt;0),$O$63/2*COS(RADIANS(90-$O$62)),IF(AND($U$63&gt;0,$O$63=0),$U$63/2*COS(RADIANS(90-$U$62)),IF(AND($U$63=0,$O$63=0,$K$63=0),$E$63/4*COS(RADIANS(90-$E$62)),$K$63/4*COS(RADIANS(90-$K$62))))))</f>
        <v>#VALUE!</v>
      </c>
      <c r="BR20" s="807" t="e">
        <f>IF(AND($U$63&gt;0,$O$63&gt;0),$U$63*SIN(RADIANS(90-$U$62)),IF(AND($U$63=0,$O$63&gt;0),$O$63/2*SIN(RADIANS(90-$O$62)),IF(AND($U$63&gt;0,$O$63=0),$U$63/2*SIN(RADIANS(90-$U$62)),IF(AND($U$63=0,$O$63=0,$K$63=0),$E$63/4*SIN(RADIANS(90-$E$62)),$K$63/4*SIN(RADIANS(90-$K$62))))))</f>
        <v>#VALUE!</v>
      </c>
      <c r="BS20" s="808" t="e">
        <f>IF(AND($U$63&gt;0,$O$63&gt;0),$U$63*COS(RADIANS(90-$U$62)),IF(AND($U$63=0,$O$63&gt;0),$O$63/2*COS(RADIANS(90-$O$62)),IF(AND($U$63&gt;0,$O$63=0),$U$63/2*COS(RADIANS(90-$U$62)),IF(AND($U$63=0,$O$63=0,$K$63=0),$E$63/4*COS(RADIANS(90-$E$62)),$K$63/4*COS(RADIANS(90-$K$62))))))</f>
        <v>#VALUE!</v>
      </c>
      <c r="BT20" s="807" t="e">
        <f>IF(AND($W$50&gt;0,$W$42&gt;0),$W$50*COS(RADIANS(180-$W$56)),IF(AND($W$50=0,$W$42&gt;0),$W$42/2*COS(RADIANS(180-$W$48)),IF(AND($W$50&gt;0,$W$42=0),$W$50/2*COS(RADIANS(180-$W$56)),IF(AND($W$50=0,$W$42=0,$W$33=0),$W$25/4*COS(RADIANS(180-$W$31)),$W$33/4*COS(RADIANS(180-$W$39))))))</f>
        <v>#VALUE!</v>
      </c>
      <c r="BU20" s="808" t="e">
        <f>IF(AND($W$50&gt;0,$W$42&gt;0),$W$50*-SIN(RADIANS(180-$W$56)),IF(AND($W$50=0,$W$42&gt;0),$W$42/2*-SIN(RADIANS(180-$W$48)),IF(AND($W$50&gt;0,$W$42=0),$W$50/2*-SIN(RADIANS(180-$W$56)),IF(AND($W$50=0,$W$42=0,$W$33=0),$W$25/4*-SIN(RADIANS(180-$W$31)),$W$33/4*-SIN(RADIANS(180-$W$39))))))</f>
        <v>#VALUE!</v>
      </c>
      <c r="BV20" s="807" t="e">
        <f>IF(AND($W$50&gt;0,$W$42&gt;0),$W$42*COS(RADIANS(180-$W$48)),IF(AND($W$50=0,$W$42&gt;0),$W$42/2*COS(RADIANS(180-$W$48)),IF(AND($W$50&gt;0,$W$42=0),$W$50/2*COS(RADIANS(180-$W$56)),IF(AND($W$50=0,$W$42=0,$W$33=0),$W$25/4*COS(RADIANS(180-$W$31)),$W$33/4*COS(RADIANS(180-$W$39))))))</f>
        <v>#VALUE!</v>
      </c>
      <c r="BW20" s="808" t="e">
        <f>IF(AND($W$50&gt;0,$W$42&gt;0),$W$42*-SIN(RADIANS(180-$W$48)),IF(AND($W$50=0,$W$42&gt;0),$W$42/2*-SIN(RADIANS(180-$W$48)),IF(AND($W$50&gt;0,$W$42=0),$W$50/2*-SIN(RADIANS(180-$W$56)),IF(AND($W$50=0,$W$42=0,$W$33=0),$W$25/4*-SIN(RADIANS(180-$W$31)),$W$33/4*-SIN(RADIANS(180-$W$39))))))</f>
        <v>#VALUE!</v>
      </c>
      <c r="BX20" s="807" t="e">
        <f>IF(AND($W$33&gt;0,$W$25&gt;0,OR($W$42&gt;0,$W$50&gt;0)),$W$33*COS(RADIANS(180-$W$39)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BY20" s="808" t="e">
        <f>IF(AND($W$33&gt;0,$W$25&gt;0,OR($W$42&gt;0,$W$50&gt;0)),$W$33*-SIN(RADIANS(180-$W$39)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  <c r="BZ20" s="807" t="e">
        <f>IF(AND($W$33&gt;0,$W$25&gt;0,OR($W$42&gt;0,$W$50&gt;0)),$W$25*COS(RADIANS(180-$W$31)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CA20" s="808" t="e">
        <f>IF(AND($W$33&gt;0,$W$25&gt;0,OR($W$42&gt;0,$W$50&gt;0)),$W$25*-SIN(RADIANS(180-$W$31)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</row>
    <row r="21" spans="1:80" ht="12" customHeight="1" x14ac:dyDescent="0.25">
      <c r="B21" s="26"/>
      <c r="C21" s="33"/>
      <c r="D21" s="17" t="s">
        <v>130</v>
      </c>
      <c r="E21" s="111"/>
      <c r="F21" s="33"/>
      <c r="G21" s="33"/>
      <c r="H21" s="33"/>
      <c r="I21" s="33"/>
      <c r="J21" s="17" t="s">
        <v>130</v>
      </c>
      <c r="K21" s="114"/>
      <c r="N21" s="17" t="s">
        <v>130</v>
      </c>
      <c r="O21" s="111"/>
      <c r="T21" s="17" t="s">
        <v>130</v>
      </c>
      <c r="U21" s="111"/>
      <c r="AA21" s="5"/>
      <c r="AB21" s="5"/>
      <c r="AC21" s="1"/>
      <c r="AD21" s="1"/>
      <c r="AE21" s="18"/>
      <c r="AF21" s="18"/>
      <c r="AG21" s="18"/>
      <c r="AH21" s="18"/>
      <c r="AI21" s="18"/>
      <c r="AJ21" s="18"/>
      <c r="AK21" s="18"/>
      <c r="AL21" s="18"/>
      <c r="AM21" s="18"/>
      <c r="AN21" s="1"/>
      <c r="AO21" s="1"/>
      <c r="AP21" s="1"/>
      <c r="AQ21" s="1"/>
      <c r="AR21" s="1"/>
      <c r="AS21" s="1"/>
      <c r="AT21" s="1"/>
      <c r="AU21" s="38" t="s">
        <v>333</v>
      </c>
      <c r="AV21" s="939" t="s">
        <v>334</v>
      </c>
      <c r="AW21" s="832"/>
      <c r="AX21" s="832"/>
      <c r="AY21" s="882"/>
      <c r="AZ21" s="939" t="s">
        <v>335</v>
      </c>
      <c r="BA21" s="832"/>
      <c r="BB21" s="832"/>
      <c r="BC21" s="882"/>
      <c r="BD21" s="939" t="s">
        <v>336</v>
      </c>
      <c r="BE21" s="832"/>
      <c r="BF21" s="832"/>
      <c r="BG21" s="882"/>
      <c r="BH21" s="939" t="s">
        <v>337</v>
      </c>
      <c r="BI21" s="832"/>
      <c r="BJ21" s="832"/>
      <c r="BK21" s="882"/>
      <c r="BL21" s="939" t="s">
        <v>338</v>
      </c>
      <c r="BM21" s="832"/>
      <c r="BN21" s="832"/>
      <c r="BO21" s="882"/>
      <c r="BP21" s="939" t="s">
        <v>339</v>
      </c>
      <c r="BQ21" s="832"/>
      <c r="BR21" s="832"/>
      <c r="BS21" s="882"/>
      <c r="BT21" s="939" t="s">
        <v>340</v>
      </c>
      <c r="BU21" s="832"/>
      <c r="BV21" s="832"/>
      <c r="BW21" s="882"/>
      <c r="BX21" s="939" t="s">
        <v>341</v>
      </c>
      <c r="BY21" s="832"/>
      <c r="BZ21" s="832"/>
      <c r="CA21" s="882"/>
    </row>
    <row r="22" spans="1:80" ht="12" customHeight="1" x14ac:dyDescent="0.25">
      <c r="D22" s="17" t="s">
        <v>134</v>
      </c>
      <c r="E22" s="111"/>
      <c r="J22" s="17" t="s">
        <v>134</v>
      </c>
      <c r="K22" s="114"/>
      <c r="N22" s="17" t="s">
        <v>134</v>
      </c>
      <c r="O22" s="111"/>
      <c r="T22" s="17" t="s">
        <v>134</v>
      </c>
      <c r="U22" s="111"/>
      <c r="AA22" s="5"/>
      <c r="AB22" s="5"/>
      <c r="AC22" s="5"/>
      <c r="AD22" s="5"/>
      <c r="AE22" s="5"/>
      <c r="AF22" s="5"/>
      <c r="AG22" s="18"/>
      <c r="AH22" s="18"/>
      <c r="AI22" s="18"/>
      <c r="AJ22" s="18"/>
      <c r="AK22" s="18"/>
      <c r="AL22" s="18"/>
      <c r="AM22" s="18"/>
      <c r="AN22" s="5"/>
      <c r="AO22" s="5"/>
      <c r="AP22" s="5"/>
      <c r="AQ22" s="5"/>
      <c r="AR22" s="5"/>
      <c r="AS22" s="5"/>
      <c r="AT22" s="5"/>
      <c r="AU22" s="38" t="s">
        <v>330</v>
      </c>
      <c r="AV22" s="37"/>
      <c r="AW22" s="760" t="s">
        <v>113</v>
      </c>
      <c r="AX22" s="761" t="s">
        <v>114</v>
      </c>
      <c r="AY22" s="36"/>
      <c r="AZ22" s="37"/>
      <c r="BA22" s="760" t="s">
        <v>113</v>
      </c>
      <c r="BB22" s="761" t="s">
        <v>114</v>
      </c>
      <c r="BC22" s="36"/>
      <c r="BD22" s="37"/>
      <c r="BE22" s="760" t="s">
        <v>113</v>
      </c>
      <c r="BF22" s="761" t="s">
        <v>114</v>
      </c>
      <c r="BG22" s="36"/>
      <c r="BH22" s="37"/>
      <c r="BI22" s="760" t="s">
        <v>113</v>
      </c>
      <c r="BJ22" s="761" t="s">
        <v>114</v>
      </c>
      <c r="BK22" s="36"/>
      <c r="BL22" s="37"/>
      <c r="BM22" s="760" t="s">
        <v>113</v>
      </c>
      <c r="BN22" s="761" t="s">
        <v>114</v>
      </c>
      <c r="BO22" s="36"/>
      <c r="BP22" s="37"/>
      <c r="BQ22" s="760" t="s">
        <v>113</v>
      </c>
      <c r="BR22" s="761" t="s">
        <v>114</v>
      </c>
      <c r="BS22" s="36"/>
      <c r="BT22" s="37"/>
      <c r="BU22" s="760" t="s">
        <v>113</v>
      </c>
      <c r="BV22" s="761" t="s">
        <v>114</v>
      </c>
      <c r="BW22" s="36"/>
      <c r="BX22" s="37"/>
      <c r="BY22" s="760" t="s">
        <v>113</v>
      </c>
      <c r="BZ22" s="761" t="s">
        <v>114</v>
      </c>
      <c r="CA22" s="36"/>
    </row>
    <row r="23" spans="1:80" ht="12" customHeight="1" x14ac:dyDescent="0.25">
      <c r="A23" s="1"/>
      <c r="B23" s="1"/>
      <c r="C23" s="1"/>
      <c r="D23" s="17" t="s">
        <v>140</v>
      </c>
      <c r="E23" s="112">
        <v>2</v>
      </c>
      <c r="F23" s="18"/>
      <c r="G23" s="18"/>
      <c r="H23" s="18"/>
      <c r="I23" s="18"/>
      <c r="J23" s="17" t="s">
        <v>140</v>
      </c>
      <c r="K23" s="112">
        <v>2</v>
      </c>
      <c r="L23" s="1"/>
      <c r="M23" s="1"/>
      <c r="N23" s="17" t="s">
        <v>140</v>
      </c>
      <c r="O23" s="112">
        <v>2</v>
      </c>
      <c r="P23" s="18"/>
      <c r="Q23" s="18"/>
      <c r="R23" s="18"/>
      <c r="S23" s="18"/>
      <c r="T23" s="17" t="s">
        <v>140</v>
      </c>
      <c r="U23" s="112">
        <v>2</v>
      </c>
      <c r="V23" s="1"/>
      <c r="W23" s="1"/>
      <c r="X23" s="1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38"/>
      <c r="AV23" s="37"/>
      <c r="AW23" s="811" t="e">
        <f>AV20+AX20</f>
        <v>#VALUE!</v>
      </c>
      <c r="AX23" s="812" t="e">
        <f>AW20+AY20</f>
        <v>#VALUE!</v>
      </c>
      <c r="AY23" s="36"/>
      <c r="AZ23" s="37"/>
      <c r="BA23" s="811" t="e">
        <f>AZ20+BB20</f>
        <v>#VALUE!</v>
      </c>
      <c r="BB23" s="812" t="e">
        <f>BA20+BC20</f>
        <v>#VALUE!</v>
      </c>
      <c r="BC23" s="36"/>
      <c r="BD23" s="37"/>
      <c r="BE23" s="811" t="e">
        <f>BD20+BF20</f>
        <v>#VALUE!</v>
      </c>
      <c r="BF23" s="812" t="e">
        <f>BE20+BG20</f>
        <v>#VALUE!</v>
      </c>
      <c r="BG23" s="36"/>
      <c r="BH23" s="37"/>
      <c r="BI23" s="811" t="e">
        <f>BH20+BJ20</f>
        <v>#VALUE!</v>
      </c>
      <c r="BJ23" s="812" t="e">
        <f>BI20+BK20</f>
        <v>#VALUE!</v>
      </c>
      <c r="BK23" s="36"/>
      <c r="BL23" s="37"/>
      <c r="BM23" s="811" t="e">
        <f>BL20+BN20</f>
        <v>#VALUE!</v>
      </c>
      <c r="BN23" s="812" t="e">
        <f>BM20+BO20</f>
        <v>#VALUE!</v>
      </c>
      <c r="BO23" s="36"/>
      <c r="BP23" s="37"/>
      <c r="BQ23" s="811" t="e">
        <f>BP20+BR20</f>
        <v>#VALUE!</v>
      </c>
      <c r="BR23" s="812" t="e">
        <f>BQ20+BS20</f>
        <v>#VALUE!</v>
      </c>
      <c r="BS23" s="36"/>
      <c r="BT23" s="37"/>
      <c r="BU23" s="811" t="e">
        <f>BT20+BV20</f>
        <v>#VALUE!</v>
      </c>
      <c r="BV23" s="812" t="e">
        <f>BU20+BW20</f>
        <v>#VALUE!</v>
      </c>
      <c r="BW23" s="36"/>
      <c r="BX23" s="37"/>
      <c r="BY23" s="811" t="e">
        <f>BX20+BZ20</f>
        <v>#VALUE!</v>
      </c>
      <c r="BZ23" s="812" t="e">
        <f>BY20+CA20</f>
        <v>#VALUE!</v>
      </c>
      <c r="CA23" s="36"/>
    </row>
    <row r="24" spans="1:80" ht="12" customHeight="1" thickBot="1" x14ac:dyDescent="0.3">
      <c r="B24" s="945" t="str">
        <f>CONCATENATE("NW SC of ",$L$39)</f>
        <v>NW SC of 3</v>
      </c>
      <c r="C24" s="904"/>
      <c r="D24" s="17" t="s">
        <v>144</v>
      </c>
      <c r="E24" s="34" t="e">
        <f>IF($L$39='SHL Section'!$L$38,IF('SHL Section'!$E$23="","",'SHL Section'!$E$23),IF($L$39='BHL Section 1'!$L$38,IF('BHL Section 1'!$E$23="","",'BHL Section 1'!$E$23),IF($L$39='BHL Section 2'!$L$38,IF('BHL Section 2'!$E$23="","",'BHL Section 2'!$E$23),IF($L$39='BHL Section 3'!$L$38,IF('BHL Section 3'!$E$23="","",'BHL Section 3'!$E$23),IF(E20="","",IF(OR(E23=1,E23=4),180-(E20+E21/60+E22/3600),(E20+E21/60+E22/3600)))))))</f>
        <v>#VALUE!</v>
      </c>
      <c r="J24" s="17" t="s">
        <v>144</v>
      </c>
      <c r="K24" s="34" t="e">
        <f>IF($L$39='SHL Section'!$L$38,IF('SHL Section'!$K$23="","",'SHL Section'!$K$23),IF($L$39='BHL Section 1'!$L$38,IF('BHL Section 1'!$K$23="","",'BHL Section 1'!$K$23),IF($L$39='BHL Section 2'!$L$38,IF('BHL Section 2'!$K$23="","",'BHL Section 2'!$K$23),IF($L$39='BHL Section 3'!$L$38,IF('BHL Section 3'!$K$23="","",'BHL Section 3'!$K$23),IF(K20="","",IF(OR(K23=1,K23=4),180-(K20+K21/60+K22/3600),(K20+K21/60+K22/3600)))))))</f>
        <v>#VALUE!</v>
      </c>
      <c r="L24" s="945" t="str">
        <f>CONCATENATE("N QC of ",$L$39)</f>
        <v>N QC of 3</v>
      </c>
      <c r="M24" s="904"/>
      <c r="N24" s="17" t="s">
        <v>144</v>
      </c>
      <c r="O24" s="34" t="e">
        <f>IF($L$39='SHL Section'!$L$38,IF('SHL Section'!$O$23="","",'SHL Section'!$O$23),IF($L$39='BHL Section 1'!$L$38,IF('BHL Section 1'!$O$23="","",'BHL Section 1'!$O$23),IF($L$39='BHL Section 2'!$L$38,IF('BHL Section 2'!$O$23="","",'BHL Section 2'!$O$23),IF($L$39='BHL Section 3'!$L$38,IF('BHL Section 3'!$O$23="","",'BHL Section 3'!$O$23),IF(O20="","",IF(OR(O23=1,O23=4),180-(O20+O21/60+O22/3600),(O20+O21/60+O22/3600)))))))</f>
        <v>#VALUE!</v>
      </c>
      <c r="T24" s="17" t="s">
        <v>144</v>
      </c>
      <c r="U24" s="34" t="e">
        <f>IF($L$39='SHL Section'!$L$38,IF('SHL Section'!$U$23="","",'SHL Section'!$U$23),IF($L$39='BHL Section 1'!$L$38,IF('BHL Section 1'!$U$23="","",'BHL Section 1'!$U$23),IF($L$39='BHL Section 2'!$L$38,IF('BHL Section 2'!$U$23="","",'BHL Section 2'!$U$23),IF($L$39='BHL Section 3'!$L$38,IF('BHL Section 3'!$U$23="","",'BHL Section 3'!$U$23),IF(U20="","",IF(OR(U23=1,U23=4),180-(U20+U21/60+U22/3600),(U20+U21/60+U22/3600)))))))</f>
        <v>#VALUE!</v>
      </c>
      <c r="V24" s="954" t="str">
        <f>CONCATENATE("NE SC of ",$L$39)</f>
        <v>NE SC of 3</v>
      </c>
      <c r="W24" s="904"/>
      <c r="Y24" s="28"/>
      <c r="Z24" s="28"/>
      <c r="AA24" s="5"/>
      <c r="AB24" s="5"/>
      <c r="AC24" s="943" t="s">
        <v>304</v>
      </c>
      <c r="AD24" s="832"/>
      <c r="AE24" s="832"/>
      <c r="AF24" s="832"/>
      <c r="AG24" s="832"/>
      <c r="AH24" s="832"/>
      <c r="AI24" s="832"/>
      <c r="AJ24" s="832"/>
      <c r="AK24" s="832"/>
      <c r="AL24" s="832"/>
      <c r="AM24" s="832"/>
      <c r="AN24" s="832"/>
      <c r="AO24" s="832"/>
      <c r="AP24" s="832"/>
      <c r="AQ24" s="832"/>
      <c r="AR24" s="832"/>
      <c r="AS24" s="832"/>
      <c r="AT24" s="832"/>
      <c r="AU24" s="38"/>
      <c r="AV24" s="37"/>
      <c r="BD24" s="37"/>
      <c r="BL24" s="37"/>
      <c r="BT24" s="37"/>
      <c r="BZ24" s="19"/>
      <c r="CA24" s="19"/>
      <c r="CB24" s="42"/>
    </row>
    <row r="25" spans="1:80" ht="12" customHeight="1" x14ac:dyDescent="0.25">
      <c r="B25" s="44" t="e">
        <f>IF($L$39='SHL Section'!$L$38,'SHL Section'!$B$25,IF($L$39='BHL Section 1'!$L$38,'BHL Section 1'!$B$24,IF($L$39='BHL Section 2'!$L$38,'BHL Section 2'!$B$24,IF($L$39='BHL Section 3'!$L$38,'BHL Section 3'!$B$24,$B$26))))</f>
        <v>#VALUE!</v>
      </c>
      <c r="C25" s="3"/>
      <c r="D25" s="35"/>
      <c r="E25" s="35"/>
      <c r="F25" s="35"/>
      <c r="G25" s="35"/>
      <c r="H25" s="35"/>
      <c r="I25" s="35"/>
      <c r="J25" s="35"/>
      <c r="K25" s="35"/>
      <c r="L25" s="11"/>
      <c r="M25" s="12"/>
      <c r="N25" s="35"/>
      <c r="O25" s="35"/>
      <c r="P25" s="35"/>
      <c r="Q25" s="35"/>
      <c r="R25" s="35"/>
      <c r="S25" s="35"/>
      <c r="T25" s="35"/>
      <c r="U25" s="35"/>
      <c r="V25" s="21"/>
      <c r="W25" s="44" t="e">
        <f>IF($L$39='SHL Section'!$L$38,'SHL Section'!$W$25,IF($L$39='BHL Section 1'!$L$38,'BHL Section 1'!$W$24,IF($L$39='BHL Section 2'!$L$38,'BHL Section 2'!$W$24,IF($L$39='BHL Section 3'!$L$38,'BHL Section 3'!$W$24,$W$26))))</f>
        <v>#VALUE!</v>
      </c>
      <c r="AA25" s="5"/>
      <c r="AB25" s="5"/>
      <c r="AC25" s="39"/>
      <c r="AD25" s="18"/>
      <c r="AE25" s="939" t="s">
        <v>322</v>
      </c>
      <c r="AF25" s="882"/>
      <c r="AG25" s="939" t="s">
        <v>323</v>
      </c>
      <c r="AH25" s="882"/>
      <c r="AI25" s="939" t="s">
        <v>324</v>
      </c>
      <c r="AJ25" s="882"/>
      <c r="AK25" s="939" t="s">
        <v>325</v>
      </c>
      <c r="AL25" s="882"/>
      <c r="AM25" s="939" t="s">
        <v>326</v>
      </c>
      <c r="AN25" s="882"/>
      <c r="AO25" s="939" t="s">
        <v>327</v>
      </c>
      <c r="AP25" s="882"/>
      <c r="AQ25" s="939" t="s">
        <v>328</v>
      </c>
      <c r="AR25" s="882"/>
      <c r="AS25" s="939" t="s">
        <v>329</v>
      </c>
      <c r="AT25" s="882"/>
      <c r="AU25" s="38" t="s">
        <v>72</v>
      </c>
      <c r="AV25" s="939" t="s">
        <v>183</v>
      </c>
      <c r="AW25" s="832"/>
      <c r="AX25" s="832"/>
      <c r="AY25" s="832"/>
      <c r="AZ25" s="832"/>
      <c r="BA25" s="832"/>
      <c r="BB25" s="832"/>
      <c r="BC25" s="882"/>
      <c r="BD25" s="939" t="s">
        <v>204</v>
      </c>
      <c r="BE25" s="832"/>
      <c r="BF25" s="832"/>
      <c r="BG25" s="832"/>
      <c r="BH25" s="832"/>
      <c r="BI25" s="832"/>
      <c r="BJ25" s="832"/>
      <c r="BK25" s="882"/>
      <c r="BL25" s="939" t="s">
        <v>188</v>
      </c>
      <c r="BM25" s="832"/>
      <c r="BN25" s="832"/>
      <c r="BO25" s="832"/>
      <c r="BP25" s="832"/>
      <c r="BQ25" s="832"/>
      <c r="BR25" s="832"/>
      <c r="BS25" s="882"/>
      <c r="BT25" s="939" t="s">
        <v>197</v>
      </c>
      <c r="BU25" s="832"/>
      <c r="BV25" s="832"/>
      <c r="BW25" s="832"/>
      <c r="BX25" s="832"/>
      <c r="BY25" s="832"/>
      <c r="BZ25" s="832"/>
      <c r="CA25" s="882"/>
    </row>
    <row r="26" spans="1:80" ht="12" customHeight="1" x14ac:dyDescent="0.25">
      <c r="A26" s="17" t="s">
        <v>118</v>
      </c>
      <c r="B26" s="110"/>
      <c r="C26" s="4"/>
      <c r="L26" s="13"/>
      <c r="M26" s="14"/>
      <c r="V26" s="22"/>
      <c r="W26" s="162"/>
      <c r="X26" s="25" t="s">
        <v>118</v>
      </c>
      <c r="AA26" s="5"/>
      <c r="AB26" s="5"/>
      <c r="AC26" s="756" t="s">
        <v>331</v>
      </c>
      <c r="AD26" s="757" t="s">
        <v>332</v>
      </c>
      <c r="AE26" s="30" t="s">
        <v>113</v>
      </c>
      <c r="AF26" s="30" t="s">
        <v>114</v>
      </c>
      <c r="AG26" s="30" t="s">
        <v>113</v>
      </c>
      <c r="AH26" s="30" t="s">
        <v>114</v>
      </c>
      <c r="AI26" s="30" t="s">
        <v>113</v>
      </c>
      <c r="AJ26" s="30" t="s">
        <v>114</v>
      </c>
      <c r="AK26" s="30" t="s">
        <v>113</v>
      </c>
      <c r="AL26" s="30" t="s">
        <v>114</v>
      </c>
      <c r="AM26" s="30" t="s">
        <v>113</v>
      </c>
      <c r="AN26" s="30" t="s">
        <v>114</v>
      </c>
      <c r="AO26" s="30" t="s">
        <v>113</v>
      </c>
      <c r="AP26" s="30" t="s">
        <v>114</v>
      </c>
      <c r="AQ26" s="30" t="s">
        <v>113</v>
      </c>
      <c r="AR26" s="30" t="s">
        <v>114</v>
      </c>
      <c r="AS26" s="30" t="s">
        <v>113</v>
      </c>
      <c r="AT26" s="30" t="s">
        <v>114</v>
      </c>
      <c r="AU26" s="38" t="s">
        <v>330</v>
      </c>
      <c r="AV26" s="39"/>
      <c r="AW26" s="40"/>
      <c r="AX26" s="40"/>
      <c r="AY26" s="760" t="s">
        <v>113</v>
      </c>
      <c r="AZ26" s="761" t="s">
        <v>114</v>
      </c>
      <c r="BA26" s="40"/>
      <c r="BB26" s="40"/>
      <c r="BC26" s="41"/>
      <c r="BD26" s="39"/>
      <c r="BE26" s="40"/>
      <c r="BF26" s="40"/>
      <c r="BG26" s="760" t="s">
        <v>113</v>
      </c>
      <c r="BH26" s="761" t="s">
        <v>114</v>
      </c>
      <c r="BI26" s="40"/>
      <c r="BJ26" s="40"/>
      <c r="BK26" s="41"/>
      <c r="BL26" s="39"/>
      <c r="BM26" s="40"/>
      <c r="BN26" s="40"/>
      <c r="BO26" s="760" t="s">
        <v>113</v>
      </c>
      <c r="BP26" s="761" t="s">
        <v>114</v>
      </c>
      <c r="BQ26" s="40"/>
      <c r="BR26" s="40"/>
      <c r="BS26" s="41"/>
      <c r="BT26" s="39"/>
      <c r="BU26" s="40"/>
      <c r="BV26" s="40"/>
      <c r="BW26" s="760" t="s">
        <v>113</v>
      </c>
      <c r="BX26" s="761" t="s">
        <v>114</v>
      </c>
      <c r="BY26" s="40"/>
      <c r="BZ26" s="40"/>
      <c r="CA26" s="41"/>
    </row>
    <row r="27" spans="1:80" ht="12" customHeight="1" x14ac:dyDescent="0.25">
      <c r="A27" s="17" t="s">
        <v>124</v>
      </c>
      <c r="B27" s="111"/>
      <c r="C27" s="4"/>
      <c r="G27" s="831" t="s">
        <v>343</v>
      </c>
      <c r="H27" s="832"/>
      <c r="I27" s="149"/>
      <c r="L27" s="13"/>
      <c r="M27" s="14"/>
      <c r="Q27" s="831" t="s">
        <v>344</v>
      </c>
      <c r="R27" s="832"/>
      <c r="V27" s="22"/>
      <c r="W27" s="147"/>
      <c r="X27" s="25" t="s">
        <v>124</v>
      </c>
      <c r="AA27" s="5"/>
      <c r="AB27" s="5"/>
      <c r="AC27" s="52">
        <v>1</v>
      </c>
      <c r="AD27" s="53" t="s">
        <v>12</v>
      </c>
      <c r="AE27" s="47"/>
      <c r="AF27" s="47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8"/>
      <c r="AV27" s="37"/>
      <c r="AY27" s="811" t="e">
        <f>AW23+BA23</f>
        <v>#VALUE!</v>
      </c>
      <c r="AZ27" s="812" t="e">
        <f>AX23+BB23</f>
        <v>#VALUE!</v>
      </c>
      <c r="BC27" s="36"/>
      <c r="BD27" s="37"/>
      <c r="BG27" s="811" t="e">
        <f>BE23+BI23</f>
        <v>#VALUE!</v>
      </c>
      <c r="BH27" s="812" t="e">
        <f>BF23+BJ23</f>
        <v>#VALUE!</v>
      </c>
      <c r="BK27" s="36"/>
      <c r="BL27" s="37"/>
      <c r="BO27" s="811" t="e">
        <f>BM23+BQ23</f>
        <v>#VALUE!</v>
      </c>
      <c r="BP27" s="812" t="e">
        <f>BN23+BR23</f>
        <v>#VALUE!</v>
      </c>
      <c r="BS27" s="36"/>
      <c r="BT27" s="37"/>
      <c r="BW27" s="811" t="e">
        <f>BU23+BY23</f>
        <v>#VALUE!</v>
      </c>
      <c r="BX27" s="812" t="e">
        <f>BV23+BZ23</f>
        <v>#VALUE!</v>
      </c>
      <c r="BZ27" s="19"/>
      <c r="CA27" s="36"/>
    </row>
    <row r="28" spans="1:80" ht="12" customHeight="1" x14ac:dyDescent="0.25">
      <c r="A28" s="17" t="s">
        <v>130</v>
      </c>
      <c r="B28" s="111"/>
      <c r="C28" s="4"/>
      <c r="G28" s="99" t="str">
        <f>IF(ISNUMBER($AG$67),$C$9,"")</f>
        <v/>
      </c>
      <c r="H28" s="150" t="str">
        <f>IF(AND(G29="",G30=""),"",IF($AG$67=1,"NE/NW",IF($AG$67=2,"NW/NW",IF($AG$67=3,"SW/NW",IF($AG$67=4,"SE/NW","")))))</f>
        <v/>
      </c>
      <c r="L28" s="13"/>
      <c r="M28" s="14"/>
      <c r="Q28" s="98" t="str">
        <f>IF(ISNUMBER($AE$67),$C$9,"")</f>
        <v/>
      </c>
      <c r="R28" s="150" t="str">
        <f>IF(AND(Q29="",Q30=""),"",IF($AE$67=1,"NE/NE",IF($AE$67=2,"NW/NE",IF($AE$67=3,"SW/NE",IF($AE$67=4,"SE/NE","")))))</f>
        <v/>
      </c>
      <c r="V28" s="22"/>
      <c r="W28" s="147"/>
      <c r="X28" s="25" t="s">
        <v>130</v>
      </c>
      <c r="AA28" s="5"/>
      <c r="AB28" s="5"/>
      <c r="AC28" s="52">
        <v>2</v>
      </c>
      <c r="AD28" s="53" t="s">
        <v>12</v>
      </c>
      <c r="AE28" s="32"/>
      <c r="AF28" s="32"/>
      <c r="AG28" s="47"/>
      <c r="AH28" s="47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8"/>
      <c r="BZ28" s="19"/>
      <c r="CA28" s="19"/>
    </row>
    <row r="29" spans="1:80" ht="12" customHeight="1" x14ac:dyDescent="0.25">
      <c r="A29" s="17" t="s">
        <v>134</v>
      </c>
      <c r="B29" s="111"/>
      <c r="C29" s="4"/>
      <c r="G29" s="151" t="str">
        <f>IF(ISNUMBER($AG$67),$M$9,"")</f>
        <v/>
      </c>
      <c r="H29" s="152" t="str">
        <f>IF(ISNUMBER($AG$67),"FNL","")</f>
        <v/>
      </c>
      <c r="J29" s="19"/>
      <c r="K29" s="19"/>
      <c r="L29" s="13"/>
      <c r="M29" s="14"/>
      <c r="Q29" s="151" t="str">
        <f>IF(ISNUMBER($AE$67),$M$9,"")</f>
        <v/>
      </c>
      <c r="R29" s="152" t="str">
        <f>IF(ISNUMBER($AE$67),"FNL","")</f>
        <v/>
      </c>
      <c r="V29" s="22"/>
      <c r="W29" s="147"/>
      <c r="X29" s="25" t="s">
        <v>134</v>
      </c>
      <c r="AA29" s="5"/>
      <c r="AB29" s="5"/>
      <c r="AC29" s="52">
        <v>3</v>
      </c>
      <c r="AD29" s="53" t="s">
        <v>12</v>
      </c>
      <c r="AE29" s="32"/>
      <c r="AF29" s="79"/>
      <c r="AG29" s="32"/>
      <c r="AH29" s="32"/>
      <c r="AI29" s="47"/>
      <c r="AJ29" s="47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8" t="s">
        <v>345</v>
      </c>
      <c r="AV29" s="143" t="e">
        <f>$AW$20/($AV$20^2+$AW$20^2)^0.5</f>
        <v>#VALUE!</v>
      </c>
      <c r="AW29" s="143"/>
      <c r="AX29" s="143" t="e">
        <f>$AY$20/($AX$20^2+$AY$20^2)^0.5</f>
        <v>#VALUE!</v>
      </c>
      <c r="AY29" s="809"/>
      <c r="AZ29" s="143" t="e">
        <f>$BA$20/($AZ$20^2+$BA$20^2)^0.5</f>
        <v>#VALUE!</v>
      </c>
      <c r="BA29" s="143"/>
      <c r="BB29" s="143" t="e">
        <f>$BC$20/($BB$20^2+$BC$20^2)^0.5</f>
        <v>#VALUE!</v>
      </c>
      <c r="BC29" s="809"/>
      <c r="BD29" s="143" t="e">
        <f>$BD$20/($BD$20^2+$BE$20^2)^0.5</f>
        <v>#VALUE!</v>
      </c>
      <c r="BE29" s="143"/>
      <c r="BF29" s="143" t="e">
        <f>$BF$20/($BF$20^2+$BG$20^2)^0.5</f>
        <v>#VALUE!</v>
      </c>
      <c r="BG29" s="809"/>
      <c r="BH29" s="143" t="e">
        <f>$BH$20/($BH$20^2+$BI$20^2)^0.5</f>
        <v>#VALUE!</v>
      </c>
      <c r="BI29" s="143"/>
      <c r="BJ29" s="143" t="e">
        <f>$BJ$20/($BJ$20^2+$BK$20^2)^0.5</f>
        <v>#VALUE!</v>
      </c>
      <c r="BK29" s="809"/>
      <c r="BL29" s="143" t="e">
        <f>$BM$20/($BL$20^2+$BM$20^2)^0.5</f>
        <v>#VALUE!</v>
      </c>
      <c r="BM29" s="143"/>
      <c r="BN29" s="143" t="e">
        <f>$BO$20/($BN$20^2+$BO$20^2)^0.5</f>
        <v>#VALUE!</v>
      </c>
      <c r="BO29" s="809"/>
      <c r="BP29" s="143" t="e">
        <f>$BQ$20/($BP$20^2+$BQ$20^2)^0.5</f>
        <v>#VALUE!</v>
      </c>
      <c r="BQ29" s="143"/>
      <c r="BR29" s="143" t="e">
        <f>$BS$20/($BR$20^2+$BS$20^2)^0.5</f>
        <v>#VALUE!</v>
      </c>
      <c r="BS29" s="809"/>
      <c r="BT29" s="143" t="e">
        <f>$BT$20/($BT$20^2+$BU$20^2)^0.5</f>
        <v>#VALUE!</v>
      </c>
      <c r="BU29" s="143"/>
      <c r="BV29" s="143" t="e">
        <f>$BV$20/($BV$20^2+$BW$20^2)^0.5</f>
        <v>#VALUE!</v>
      </c>
      <c r="BW29" s="809"/>
      <c r="BX29" s="143" t="e">
        <f>$BX$20/($BX$20^2+$BY$20^2)^0.5</f>
        <v>#VALUE!</v>
      </c>
      <c r="BY29" s="143"/>
      <c r="BZ29" s="143" t="e">
        <f>$BZ$20/($BZ$20^2+$CA$20^2)^0.5</f>
        <v>#VALUE!</v>
      </c>
      <c r="CA29" s="809"/>
    </row>
    <row r="30" spans="1:80" ht="12" customHeight="1" x14ac:dyDescent="0.25">
      <c r="A30" s="17" t="s">
        <v>140</v>
      </c>
      <c r="B30" s="112">
        <v>1</v>
      </c>
      <c r="C30" s="4"/>
      <c r="G30" s="91" t="str">
        <f>IF(ISNUMBER($AG$67),$O$9,"")</f>
        <v/>
      </c>
      <c r="H30" s="90" t="str">
        <f>IF(ISNUMBER($AG$67),"FWL","")</f>
        <v/>
      </c>
      <c r="J30" s="19"/>
      <c r="K30" s="19"/>
      <c r="L30" s="13"/>
      <c r="M30" s="14"/>
      <c r="Q30" s="91" t="str">
        <f>IF(ISNUMBER($AE$67),$O$9,"")</f>
        <v/>
      </c>
      <c r="R30" s="90" t="str">
        <f>IF(ISNUMBER($AE$67),"FEL","")</f>
        <v/>
      </c>
      <c r="V30" s="22"/>
      <c r="W30" s="112">
        <v>4</v>
      </c>
      <c r="X30" s="25" t="s">
        <v>140</v>
      </c>
      <c r="AA30" s="5"/>
      <c r="AB30" s="5"/>
      <c r="AC30" s="756">
        <v>4</v>
      </c>
      <c r="AD30" s="758" t="s">
        <v>12</v>
      </c>
      <c r="AE30" s="45"/>
      <c r="AF30" s="45"/>
      <c r="AG30" s="45"/>
      <c r="AH30" s="45"/>
      <c r="AI30" s="45"/>
      <c r="AJ30" s="45"/>
      <c r="AK30" s="50"/>
      <c r="AL30" s="50"/>
      <c r="AM30" s="45"/>
      <c r="AN30" s="45"/>
      <c r="AO30" s="45"/>
      <c r="AP30" s="45"/>
      <c r="AQ30" s="45"/>
      <c r="AR30" s="45"/>
      <c r="AS30" s="45"/>
      <c r="AT30" s="45"/>
      <c r="AU30" s="38"/>
      <c r="AV30" s="809"/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</row>
    <row r="31" spans="1:80" ht="12" customHeight="1" x14ac:dyDescent="0.25">
      <c r="A31" s="17" t="s">
        <v>144</v>
      </c>
      <c r="B31" s="27" t="e">
        <f>IF($L$39='SHL Section'!$L$38,IF('SHL Section'!$B$30="","",'SHL Section'!$B$30),IF($L$39='BHL Section 1'!$L$38,IF('BHL Section 1'!$B$30="","",'BHL Section 1'!$B$30),IF($L$39='BHL Section 2'!$L$38,IF('BHL Section 2'!$B$30="","",'BHL Section 2'!$B$30),IF($L$39='BHL Section 3'!$L$38,IF('BHL Section 3'!$B$30="","",'BHL Section 3'!$B$30),IF(B27="","",IF(OR(B30=1,B30=4),180-(B27+B28/60+B29/3600),(B27+B28/60+B29/3600)))))))</f>
        <v>#VALUE!</v>
      </c>
      <c r="C31" s="4"/>
      <c r="G31" s="99" t="str">
        <f>IF(ISNUMBER($AG$78),$C$10,"")</f>
        <v/>
      </c>
      <c r="H31" s="150" t="str">
        <f>IF(AND(G32="",G33=""),"",IF($AG$78=1,"NE/NW",IF($AG$78=2,"NW/NW",IF($AG$78=3,"SW/NW",IF($AG$78=4,"SE/NW","")))))</f>
        <v/>
      </c>
      <c r="J31" s="153"/>
      <c r="K31" s="153"/>
      <c r="L31" s="13"/>
      <c r="M31" s="14"/>
      <c r="Q31" s="98" t="str">
        <f>IF(ISNUMBER($AE$78),$C$10,"")</f>
        <v/>
      </c>
      <c r="R31" s="150" t="str">
        <f>IF(AND(Q32="",Q33=""),"",IF($AE$78=1,"NE/NE",IF($AE$78=2,"NW/NE",IF($AE$78=3,"SW/NE",IF($AE$78=4,"SE/NE","")))))</f>
        <v/>
      </c>
      <c r="V31" s="22"/>
      <c r="W31" s="27" t="e">
        <f>IF($L$39='SHL Section'!$L$38,IF('SHL Section'!$W$30="","",'SHL Section'!$W$30),IF($L$39='BHL Section 1'!$L$38,IF('BHL Section 1'!$W$30="","",'BHL Section 1'!$W$30),IF($L$39='BHL Section 2'!$L$38,IF('BHL Section 2'!$W$30="","",'BHL Section 2'!$W$30),IF($L$39='BHL Section 3'!$L$38,IF('BHL Section 3'!$W$30="","",'BHL Section 3'!$W$30),IF(W27="","",IF(OR(W30=1,W30=4),180-(W27+W28/60+W29/3600),(W27+W28/60+W29/3600)))))))</f>
        <v>#VALUE!</v>
      </c>
      <c r="X31" s="25" t="s">
        <v>144</v>
      </c>
      <c r="AA31" s="5"/>
      <c r="AB31" s="5"/>
      <c r="AC31" s="944"/>
      <c r="AD31" s="911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38"/>
      <c r="AV31" s="809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</row>
    <row r="32" spans="1:80" ht="12" customHeight="1" x14ac:dyDescent="0.25">
      <c r="C32" s="4"/>
      <c r="G32" s="151" t="str">
        <f>IF(ISNUMBER($AG$78),$M$10,"")</f>
        <v/>
      </c>
      <c r="H32" s="152" t="str">
        <f>IF(ISNUMBER($AG$78),"FNL","")</f>
        <v/>
      </c>
      <c r="J32" s="153"/>
      <c r="K32" s="153"/>
      <c r="L32" s="13"/>
      <c r="M32" s="14"/>
      <c r="Q32" s="151" t="str">
        <f>IF(ISNUMBER($AE$78),$M$10,"")</f>
        <v/>
      </c>
      <c r="R32" s="152" t="str">
        <f>IF(ISNUMBER($AE$78),"FNL","")</f>
        <v/>
      </c>
      <c r="V32" s="22"/>
      <c r="AA32" s="5"/>
      <c r="AB32" s="5"/>
      <c r="AC32" s="94"/>
      <c r="AD32" s="95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38"/>
      <c r="AV32" s="809"/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</row>
    <row r="33" spans="1:79" ht="12" customHeight="1" x14ac:dyDescent="0.25">
      <c r="B33" s="44" t="e">
        <f>IF($L$39='SHL Section'!$L$38,'SHL Section'!$B$33,IF($L$39='BHL Section 1'!$L$38,'BHL Section 1'!$B$32,IF($L$39='BHL Section 2'!$L$38,'BHL Section 2'!$B$32,IF($L$39='BHL Section 3'!$L$38,'BHL Section 3'!$B$32,$B$34))))</f>
        <v>#VALUE!</v>
      </c>
      <c r="C33" s="4"/>
      <c r="F33" s="19"/>
      <c r="G33" s="91" t="str">
        <f>IF(ISNUMBER($AG$78),$O$10,"")</f>
        <v/>
      </c>
      <c r="H33" s="90" t="str">
        <f>IF(ISNUMBER($AG$78),"FWL","")</f>
        <v/>
      </c>
      <c r="I33" s="154"/>
      <c r="J33" s="153"/>
      <c r="K33" s="153"/>
      <c r="L33" s="13"/>
      <c r="M33" s="14"/>
      <c r="Q33" s="91" t="str">
        <f>IF(ISNUMBER($AE$78),$O$10,"")</f>
        <v/>
      </c>
      <c r="R33" s="90" t="str">
        <f>IF(ISNUMBER($AE$78),"FEL","")</f>
        <v/>
      </c>
      <c r="V33" s="22"/>
      <c r="W33" s="44" t="e">
        <f>IF($L$39='SHL Section'!$L$38,'SHL Section'!$W$33,IF($L$39='BHL Section 1'!$L$38,'BHL Section 1'!$W$32,IF($L$39='BHL Section 2'!$L$38,'BHL Section 2'!$W$32,IF($L$39='BHL Section 3'!$L$38,'BHL Section 3'!$W$32,$W$34))))</f>
        <v>#VALUE!</v>
      </c>
      <c r="AA33" s="5"/>
      <c r="AB33" s="5"/>
      <c r="AC33" s="52">
        <v>1</v>
      </c>
      <c r="AD33" s="53" t="s">
        <v>272</v>
      </c>
      <c r="AE33" s="47" t="e">
        <f>IF(AND($L$39=$R$9,ISNUMBER($K$9)),IF(AND($Y$9&lt;0,$AA$9&lt;0,-$Y$9&lt;$BY$23,-$AA$9&lt;$AX$23),$Y$9,""),"")</f>
        <v>#VALUE!</v>
      </c>
      <c r="AF33" s="47" t="e">
        <f>IF(AND($L$39=$R$9,ISNUMBER($K$9)),IF(AND($Y$9&lt;0,$AA$9&lt;0,-$Y$9&lt;$BY$23,-$AA$9&lt;$AX$23),$AA$9,""),"")</f>
        <v>#VALUE!</v>
      </c>
      <c r="AG33" s="32" t="e">
        <f>IF($AE$33="","",$AY$27+$AE$33)</f>
        <v>#VALUE!</v>
      </c>
      <c r="AH33" s="32" t="e">
        <f>IF($AF$33="","",$AZ$27+$AF$33)</f>
        <v>#VALUE!</v>
      </c>
      <c r="AI33" s="32" t="e">
        <f>IF($AE$33="","",$BG$27+$AY$27+$AE$33)</f>
        <v>#VALUE!</v>
      </c>
      <c r="AJ33" s="32" t="e">
        <f>IF($AF$33="","",$AZ$27+$BH$27+$AF$33)</f>
        <v>#VALUE!</v>
      </c>
      <c r="AK33" s="32" t="e">
        <f>IF($AE$33="","",$BW$27+$AE$33)</f>
        <v>#VALUE!</v>
      </c>
      <c r="AL33" s="32" t="e">
        <f>IF($AF$33="","",$AF$33+$BX$27)</f>
        <v>#VALUE!</v>
      </c>
      <c r="AM33" s="32" t="e">
        <f>IF($AE$33="","",$AW$23+$AE$33)</f>
        <v>#VALUE!</v>
      </c>
      <c r="AN33" s="32" t="e">
        <f>IF($AF$33="","",$AX$23+$AF$33)</f>
        <v>#VALUE!</v>
      </c>
      <c r="AO33" s="32" t="e">
        <f>IF($AE$33="","",$AY$27+$AE$33+$BE$23)</f>
        <v>#VALUE!</v>
      </c>
      <c r="AP33" s="32" t="e">
        <f>IF($AF$33="","",$AZ$27+$AF$33+$BF$23)</f>
        <v>#VALUE!</v>
      </c>
      <c r="AQ33" s="32" t="e">
        <f>IF($AE$33="","",$BW$27+$AE$33+$BQ$23)</f>
        <v>#VALUE!</v>
      </c>
      <c r="AR33" s="32" t="e">
        <f>IF($AF$33="","",$AF$33+$BX$27+$BR$23)</f>
        <v>#VALUE!</v>
      </c>
      <c r="AS33" s="32" t="e">
        <f>IF($AE$33="","",$BY$23+$AE$33)</f>
        <v>#VALUE!</v>
      </c>
      <c r="AT33" s="32" t="e">
        <f>IF($AF$33="","",$AF$33+$BZ$23)</f>
        <v>#VALUE!</v>
      </c>
      <c r="AU33" s="38"/>
      <c r="AV33" s="809"/>
      <c r="AW33" s="809"/>
      <c r="AX33" s="809"/>
      <c r="AY33" s="809"/>
      <c r="AZ33" s="809"/>
      <c r="BA33" s="809"/>
      <c r="BB33" s="809"/>
      <c r="BC33" s="809"/>
      <c r="BD33" s="809"/>
      <c r="BE33" s="809"/>
      <c r="BF33" s="809"/>
      <c r="BG33" s="809"/>
      <c r="BH33" s="809"/>
      <c r="BI33" s="809"/>
      <c r="BJ33" s="809"/>
      <c r="BK33" s="809"/>
      <c r="BL33" s="809"/>
      <c r="BM33" s="809"/>
      <c r="BN33" s="809"/>
      <c r="BO33" s="809"/>
      <c r="BP33" s="809"/>
      <c r="BQ33" s="809"/>
      <c r="BR33" s="809"/>
      <c r="BS33" s="809"/>
      <c r="BT33" s="809"/>
      <c r="BU33" s="809"/>
      <c r="BV33" s="809"/>
      <c r="BW33" s="809"/>
      <c r="BX33" s="809"/>
      <c r="BY33" s="809"/>
      <c r="BZ33" s="809"/>
      <c r="CA33" s="809"/>
    </row>
    <row r="34" spans="1:79" ht="12" customHeight="1" x14ac:dyDescent="0.25">
      <c r="A34" s="17" t="s">
        <v>118</v>
      </c>
      <c r="B34" s="113"/>
      <c r="C34" s="4"/>
      <c r="G34" s="99" t="str">
        <f>IF(ISNUMBER($AG$89),$C$11,"")</f>
        <v/>
      </c>
      <c r="H34" s="150" t="str">
        <f>IF(AND(G35="",G36=""),"",IF($AG$89=1,"NE/NW",IF($AG$89=2,"NW/NW",IF($AG$89=3,"SW/NW",IF($AG$89=4,"SE/NW","")))))</f>
        <v/>
      </c>
      <c r="J34" s="153"/>
      <c r="K34" s="153"/>
      <c r="L34" s="13"/>
      <c r="M34" s="14"/>
      <c r="Q34" s="98" t="str">
        <f>IF(ISNUMBER($AE$89),$C$11,"")</f>
        <v/>
      </c>
      <c r="R34" s="150" t="str">
        <f>IF(AND(Q35="",Q36=""),"",IF($AE$89=1,"NE/NE",IF($AE$89=2,"NW/NE",IF($AE$89=3,"SW/NE",IF($AE$89=4,"SE/NE","")))))</f>
        <v/>
      </c>
      <c r="S34" s="154"/>
      <c r="T34" s="153"/>
      <c r="U34" s="5"/>
      <c r="V34" s="22"/>
      <c r="W34" s="113"/>
      <c r="X34" s="25" t="s">
        <v>118</v>
      </c>
      <c r="AA34" s="5"/>
      <c r="AB34" s="5"/>
      <c r="AC34" s="52">
        <v>2</v>
      </c>
      <c r="AD34" s="53" t="s">
        <v>272</v>
      </c>
      <c r="AE34" s="32" t="e">
        <f>IF($AG$34="","",$AG$34-$AY$27)</f>
        <v>#VALUE!</v>
      </c>
      <c r="AF34" s="32" t="e">
        <f>IF($AH$34="","",$AH$34-$AZ$27)</f>
        <v>#VALUE!</v>
      </c>
      <c r="AG34" s="47" t="e">
        <f>IF(AND($L$39=$R$9,ISNUMBER($K$9)),IF(AND($Y$9&lt;0,$AA$9&gt;0,-$Y$9&lt;$BE$23,$AA$9&lt;$BB$23),$Y$9,""),"")</f>
        <v>#VALUE!</v>
      </c>
      <c r="AH34" s="47" t="e">
        <f>IF(AND($L$39=$R$9,ISNUMBER($K$9)),IF(AND($Y$9&lt;0,$AA$9&gt;0,-$Y$9&lt;$BE$23,$AA$9&lt;$BB$23),$AA$9,""),"")</f>
        <v>#VALUE!</v>
      </c>
      <c r="AI34" s="32" t="e">
        <f>IF($AG$34="","",$BG$27+$AG$34)</f>
        <v>#VALUE!</v>
      </c>
      <c r="AJ34" s="32" t="e">
        <f>IF($AH$34="","",$AH$34+$BH$27)</f>
        <v>#VALUE!</v>
      </c>
      <c r="AK34" s="32" t="e">
        <f>IF($AG$34="","",$AG$34-$AY$27+$BW$27)</f>
        <v>#VALUE!</v>
      </c>
      <c r="AL34" s="32" t="e">
        <f>IF($AH$34="","",$AH$34-$AZ$27+$BX$27)</f>
        <v>#VALUE!</v>
      </c>
      <c r="AM34" s="32" t="e">
        <f>IF($AG$34="","",$AG$34-$BA$23)</f>
        <v>#VALUE!</v>
      </c>
      <c r="AN34" s="32" t="e">
        <f>IF($AH$34="","",AH$34-$BB$23)</f>
        <v>#VALUE!</v>
      </c>
      <c r="AO34" s="32" t="e">
        <f>IF($AG$34="","",$BE$23+$AG$34)</f>
        <v>#VALUE!</v>
      </c>
      <c r="AP34" s="32" t="e">
        <f>IF($AH$34="","",$AH$34+$BF$23)</f>
        <v>#VALUE!</v>
      </c>
      <c r="AQ34" s="32" t="e">
        <f>IF($AG$34="","",$BG$27+$AG$34-$BM$23)</f>
        <v>#VALUE!</v>
      </c>
      <c r="AR34" s="32" t="e">
        <f>IF($AH$34="","",$AH$34+$BH$27-$BN$23)</f>
        <v>#VALUE!</v>
      </c>
      <c r="AS34" s="32" t="e">
        <f>IF($AG$34="","",$AG$34-$AY$27+$BY$23)</f>
        <v>#VALUE!</v>
      </c>
      <c r="AT34" s="32" t="e">
        <f>IF($AH$34="","",$AH$34-$AZ$27+$BZ$23)</f>
        <v>#VALUE!</v>
      </c>
      <c r="AU34" s="38"/>
    </row>
    <row r="35" spans="1:79" ht="12" customHeight="1" x14ac:dyDescent="0.25">
      <c r="A35" s="17" t="s">
        <v>124</v>
      </c>
      <c r="B35" s="114"/>
      <c r="C35" s="4"/>
      <c r="G35" s="151" t="str">
        <f>IF(ISNUMBER($AG$89),$M$11,"")</f>
        <v/>
      </c>
      <c r="H35" s="152" t="str">
        <f>IF(ISNUMBER($AG$89),"FNL","")</f>
        <v/>
      </c>
      <c r="J35" s="153"/>
      <c r="K35" s="153"/>
      <c r="L35" s="13"/>
      <c r="M35" s="14"/>
      <c r="Q35" s="151" t="str">
        <f>IF(ISNUMBER($AE$89),$M$11,"")</f>
        <v/>
      </c>
      <c r="R35" s="152" t="str">
        <f>IF(ISNUMBER($AE$89),"FNL","")</f>
        <v/>
      </c>
      <c r="S35" s="154"/>
      <c r="T35" s="153"/>
      <c r="U35" s="5"/>
      <c r="V35" s="22"/>
      <c r="W35" s="148"/>
      <c r="X35" s="25" t="s">
        <v>124</v>
      </c>
      <c r="AA35" s="5"/>
      <c r="AB35" s="5"/>
      <c r="AC35" s="52">
        <v>3</v>
      </c>
      <c r="AD35" s="53" t="s">
        <v>272</v>
      </c>
      <c r="AE35" s="32" t="e">
        <f>IF($AI$35="","",$AI$35-$BG$27-$AY$27)</f>
        <v>#VALUE!</v>
      </c>
      <c r="AF35" s="79" t="e">
        <f>IF($AJ$35="","",$AJ$35-$BH$27-$AZ$27)</f>
        <v>#VALUE!</v>
      </c>
      <c r="AG35" s="32" t="e">
        <f>IF($AI$35="","",$AI$35-$BG$27)</f>
        <v>#VALUE!</v>
      </c>
      <c r="AH35" s="32" t="e">
        <f>IF($AJ$35="","",$AJ$35-$BH$27)</f>
        <v>#VALUE!</v>
      </c>
      <c r="AI35" s="47" t="e">
        <f>IF(AND($L$39=$R$9,ISNUMBER($K$9)),IF(AND($Y$9&gt;0,$AA$9&gt;0,$Y$9&lt;$BI$23,$AA$9&lt;$BN$23),$Y$9,""),"")</f>
        <v>#VALUE!</v>
      </c>
      <c r="AJ35" s="47" t="e">
        <f>IF(AND($L$39=$R$9,ISNUMBER($K$9)),IF(AND($Y$9&gt;0,$AA$9&gt;0,$Y$9&lt;$BI$23,$AA$9&lt;$BN$23),$AA$9,""),"")</f>
        <v>#VALUE!</v>
      </c>
      <c r="AK35" s="32" t="e">
        <f>IF($AI$35="","",$AI$35-$BO$27)</f>
        <v>#VALUE!</v>
      </c>
      <c r="AL35" s="32" t="e">
        <f>IF($AJ$35="","",$AJ$35-$BP$27)</f>
        <v>#VALUE!</v>
      </c>
      <c r="AM35" s="32" t="e">
        <f>IF($AI$35="","",$AI$35-$BG$27-$BA$27)</f>
        <v>#VALUE!</v>
      </c>
      <c r="AN35" s="32" t="e">
        <f>IF($AJ$35="","",$AJ$35-$BH$27-$BB$27)</f>
        <v>#VALUE!</v>
      </c>
      <c r="AO35" s="32" t="e">
        <f>IF($AI$35="","",$AI$35-$BI$27)</f>
        <v>#VALUE!</v>
      </c>
      <c r="AP35" s="32" t="e">
        <f>IF($AJ$35="","",$AJ$35-$BJ$27)</f>
        <v>#VALUE!</v>
      </c>
      <c r="AQ35" s="32" t="e">
        <f>IF($AI$35="","",$AI$35-$BM$27)</f>
        <v>#VALUE!</v>
      </c>
      <c r="AR35" s="32" t="e">
        <f>IF($AJ$35="","",$AJ$35-$BN$27)</f>
        <v>#VALUE!</v>
      </c>
      <c r="AS35" s="32" t="e">
        <f>IF($AI$35="","",$AI$35-$BO$27-$BU$27)</f>
        <v>#VALUE!</v>
      </c>
      <c r="AT35" s="32" t="e">
        <f>IF($AJ$35="","",$AJ$35-$BP$27-$BV$23)</f>
        <v>#VALUE!</v>
      </c>
      <c r="BE35" s="809"/>
      <c r="BF35" s="809"/>
      <c r="BG35" s="809"/>
      <c r="BH35" s="809"/>
      <c r="BI35" s="809"/>
      <c r="BJ35" s="809"/>
      <c r="BK35" s="809"/>
      <c r="BL35" s="809"/>
      <c r="BM35" s="809"/>
      <c r="BN35" s="809"/>
      <c r="BO35" s="809"/>
      <c r="BP35" s="809"/>
      <c r="BZ35" s="19"/>
      <c r="CA35" s="19"/>
    </row>
    <row r="36" spans="1:79" ht="12" customHeight="1" x14ac:dyDescent="0.25">
      <c r="A36" s="17" t="s">
        <v>130</v>
      </c>
      <c r="B36" s="114"/>
      <c r="C36" s="4"/>
      <c r="G36" s="91" t="str">
        <f>IF(ISNUMBER($AG$89),$O$11,"")</f>
        <v/>
      </c>
      <c r="H36" s="90" t="str">
        <f>IF(ISNUMBER($AG$89),"FWL","")</f>
        <v/>
      </c>
      <c r="J36" s="153"/>
      <c r="K36" s="153"/>
      <c r="L36" s="13"/>
      <c r="M36" s="14"/>
      <c r="Q36" s="91" t="str">
        <f>IF(ISNUMBER($AE$89),$O$11,"")</f>
        <v/>
      </c>
      <c r="R36" s="90" t="str">
        <f>IF(ISNUMBER($AE$89),"FEL","")</f>
        <v/>
      </c>
      <c r="S36" s="154"/>
      <c r="T36" s="153"/>
      <c r="U36" s="5"/>
      <c r="V36" s="22"/>
      <c r="W36" s="148"/>
      <c r="X36" s="25" t="s">
        <v>130</v>
      </c>
      <c r="AA36" s="5"/>
      <c r="AB36" s="5"/>
      <c r="AC36" s="756">
        <v>4</v>
      </c>
      <c r="AD36" s="758" t="s">
        <v>272</v>
      </c>
      <c r="AE36" s="45" t="e">
        <f>IF($AK$36="","",$AK$36-$BW$27)</f>
        <v>#VALUE!</v>
      </c>
      <c r="AF36" s="45" t="e">
        <f>IF($AL$36="","",$AL$36-$BX$27)</f>
        <v>#VALUE!</v>
      </c>
      <c r="AG36" s="45" t="e">
        <f>IF($AK$36="","",$AK$36+$BO$27-$BG$27)</f>
        <v>#VALUE!</v>
      </c>
      <c r="AH36" s="45" t="e">
        <f>IF($AL$36="","",$AL$36+$BP$27+$BH$27)</f>
        <v>#VALUE!</v>
      </c>
      <c r="AI36" s="45" t="e">
        <f>IF($AK$36="","",$AK$36+$BO$27)</f>
        <v>#VALUE!</v>
      </c>
      <c r="AJ36" s="45" t="e">
        <f>IF($AL$36="","",$AL$36+$BP$27)</f>
        <v>#VALUE!</v>
      </c>
      <c r="AK36" s="50" t="e">
        <f>IF(AND($L$39=$R$9,ISNUMBER($K$9)),IF(AND($Y$9&gt;0,$AA$9&lt;0,$Y$9&lt;$BU$23,-$AA$9&lt;$BR$23),$Y$9,""),"")</f>
        <v>#VALUE!</v>
      </c>
      <c r="AL36" s="50" t="e">
        <f>IF(AND($L$39=$R$9,ISNUMBER($K$9)),IF(AND($Y$9&gt;0,$AA$9&lt;0,$Y$9&lt;$BU$23,-$AA$9&lt;$BR$23),$AA$9,""),"")</f>
        <v>#VALUE!</v>
      </c>
      <c r="AM36" s="45" t="e">
        <f>IF($AK$36="","",$AK$36-$BW$27+$AW$23)</f>
        <v>#VALUE!</v>
      </c>
      <c r="AN36" s="45" t="e">
        <f>IF($AL$36="","",$AL$36-$BX$27+$AX$23)</f>
        <v>#VALUE!</v>
      </c>
      <c r="AO36" s="45" t="e">
        <f>IF($AK$36="","",$AK$36+$BO$27-$BI$23)</f>
        <v>#VALUE!</v>
      </c>
      <c r="AP36" s="45" t="e">
        <f>IF($AL$36="","",$AL$36+$BP$27-$BJ$23)</f>
        <v>#VALUE!</v>
      </c>
      <c r="AQ36" s="45" t="e">
        <f>IF($AK$36="","",$AK$36+$BQ$23)</f>
        <v>#VALUE!</v>
      </c>
      <c r="AR36" s="45" t="e">
        <f>IF($AL$36="","",$AL$36+$BR$23)</f>
        <v>#VALUE!</v>
      </c>
      <c r="AS36" s="45" t="e">
        <f>IF($AK$36="","",$AK$36-$BU$23)</f>
        <v>#VALUE!</v>
      </c>
      <c r="AT36" s="45" t="e">
        <f>IF($AL$36="","",$AL$36-$BV$23)</f>
        <v>#VALUE!</v>
      </c>
      <c r="BG36" s="53">
        <v>1</v>
      </c>
      <c r="BH36" s="53">
        <v>2</v>
      </c>
      <c r="BI36" s="53">
        <v>3</v>
      </c>
      <c r="BJ36" s="53">
        <v>4</v>
      </c>
      <c r="BK36" s="53">
        <v>5</v>
      </c>
      <c r="BL36" s="53">
        <v>6</v>
      </c>
      <c r="BM36" s="53">
        <v>7</v>
      </c>
      <c r="BN36" s="53">
        <v>8</v>
      </c>
      <c r="BO36" s="53">
        <v>9</v>
      </c>
      <c r="BZ36" s="19"/>
      <c r="CA36" s="19"/>
    </row>
    <row r="37" spans="1:79" ht="12" customHeight="1" x14ac:dyDescent="0.25">
      <c r="A37" s="17" t="s">
        <v>134</v>
      </c>
      <c r="B37" s="114"/>
      <c r="C37" s="4"/>
      <c r="J37" s="153"/>
      <c r="K37" s="153"/>
      <c r="L37" s="13"/>
      <c r="M37" s="14"/>
      <c r="S37" s="154"/>
      <c r="T37" s="153"/>
      <c r="U37" s="5"/>
      <c r="V37" s="22"/>
      <c r="W37" s="148"/>
      <c r="X37" s="25" t="s">
        <v>134</v>
      </c>
      <c r="AA37" s="5"/>
      <c r="AB37" s="5"/>
      <c r="AC37" s="944"/>
      <c r="AD37" s="911"/>
      <c r="AE37" s="80" t="str">
        <f>IF(ISNUMBER($AE$33),AE$33,IF(ISNUMBER($AG$34),AE$34,IF(ISNUMBER($AI$35),AE$35,IF(ISNUMBER($AK$36),AE$36,""))))</f>
        <v/>
      </c>
      <c r="AF37" s="80" t="str">
        <f>IF(ISNUMBER($AF$33),AF$33,IF(ISNUMBER($AH$34),AF$34,IF(ISNUMBER($AJ$35),AF$35,IF(ISNUMBER($AL$36),AF$36,""))))</f>
        <v/>
      </c>
      <c r="AG37" s="80" t="str">
        <f>IF(ISNUMBER($AE$33),AG$33,IF(ISNUMBER($AG$34),AG$34,IF(ISNUMBER($AI$35),AG$35,IF(ISNUMBER($AK$36),AG$36,""))))</f>
        <v/>
      </c>
      <c r="AH37" s="80" t="str">
        <f>IF(ISNUMBER($AF$33),AH$33,IF(ISNUMBER($AH$34),AH$34,IF(ISNUMBER($AJ$35),AH$35,IF(ISNUMBER($AL$36),AH$36,""))))</f>
        <v/>
      </c>
      <c r="AI37" s="80" t="str">
        <f>IF(ISNUMBER($AE$33),AI$33,IF(ISNUMBER($AG$34),AI$34,IF(ISNUMBER($AI$35),AI$35,IF(ISNUMBER($AK$36),AI$36,""))))</f>
        <v/>
      </c>
      <c r="AJ37" s="80" t="str">
        <f>IF(ISNUMBER($AF$33),AJ$33,IF(ISNUMBER($AH$34),AJ$34,IF(ISNUMBER($AJ$35),AJ$35,IF(ISNUMBER($AL$36),AJ$36,""))))</f>
        <v/>
      </c>
      <c r="AK37" s="80" t="str">
        <f>IF(ISNUMBER($AE$33),AK$33,IF(ISNUMBER($AG$34),AK$34,IF(ISNUMBER($AI$35),AK$35,IF(ISNUMBER($AK$36),AK$36,""))))</f>
        <v/>
      </c>
      <c r="AL37" s="80" t="str">
        <f>IF(ISNUMBER($AF$33),AL$33,IF(ISNUMBER($AH$34),AL$34,IF(ISNUMBER($AJ$35),AL$35,IF(ISNUMBER($AL$36),AL$36,""))))</f>
        <v/>
      </c>
      <c r="AM37" s="80" t="str">
        <f>IF(ISNUMBER($AE$33),AM$33,IF(ISNUMBER($AG$34),AM$34,IF(ISNUMBER($AI$35),AM$35,IF(ISNUMBER($AK$36),AM$36,""))))</f>
        <v/>
      </c>
      <c r="AN37" s="80" t="str">
        <f>IF(ISNUMBER($AF$33),AN$33,IF(ISNUMBER($AH$34),AN$34,IF(ISNUMBER($AJ$35),AN$35,IF(ISNUMBER($AL$36),AN$36,""))))</f>
        <v/>
      </c>
      <c r="AO37" s="80" t="str">
        <f>IF(ISNUMBER($AE$33),AO$33,IF(ISNUMBER($AG$34),AO$34,IF(ISNUMBER($AI$35),AO$35,IF(ISNUMBER($AK$36),AO$36,""))))</f>
        <v/>
      </c>
      <c r="AP37" s="80" t="str">
        <f>IF(ISNUMBER($AF$33),AP$33,IF(ISNUMBER($AH$34),AP$34,IF(ISNUMBER($AJ$35),AP$35,IF(ISNUMBER($AL$36),AP$36,""))))</f>
        <v/>
      </c>
      <c r="AQ37" s="80" t="str">
        <f>IF(ISNUMBER($AE$33),AQ$33,IF(ISNUMBER($AG$34),AQ$34,IF(ISNUMBER($AI$35),AQ$35,IF(ISNUMBER($AK$36),AQ$36,""))))</f>
        <v/>
      </c>
      <c r="AR37" s="80" t="str">
        <f>IF(ISNUMBER($AF$33),AR$33,IF(ISNUMBER($AH$34),AR$34,IF(ISNUMBER($AJ$35),AR$35,IF(ISNUMBER($AL$36),AR$36,""))))</f>
        <v/>
      </c>
      <c r="AS37" s="80" t="str">
        <f>IF(ISNUMBER($AE$33),AS$33,IF(ISNUMBER($AG$34),AS$34,IF(ISNUMBER($AI$35),AS$35,IF(ISNUMBER($AK$36),AS$36,""))))</f>
        <v/>
      </c>
      <c r="AT37" s="80" t="str">
        <f>IF(ISNUMBER($AF$33),AT$33,IF(ISNUMBER($AH$34),AT$34,IF(ISNUMBER($AJ$35),AT$35,IF(ISNUMBER($AL$36),AT$36,""))))</f>
        <v/>
      </c>
      <c r="BD37" s="760" t="s">
        <v>331</v>
      </c>
      <c r="BE37" s="158" t="s">
        <v>346</v>
      </c>
      <c r="BF37" s="761" t="s">
        <v>347</v>
      </c>
      <c r="BG37" s="53" t="s">
        <v>12</v>
      </c>
      <c r="BH37" s="53" t="s">
        <v>183</v>
      </c>
      <c r="BI37" s="53" t="s">
        <v>280</v>
      </c>
      <c r="BJ37" s="53" t="s">
        <v>197</v>
      </c>
      <c r="BK37" s="53" t="s">
        <v>286</v>
      </c>
      <c r="BL37" s="53" t="s">
        <v>188</v>
      </c>
      <c r="BM37" s="53" t="s">
        <v>284</v>
      </c>
      <c r="BN37" s="53" t="s">
        <v>204</v>
      </c>
      <c r="BO37" s="53" t="s">
        <v>282</v>
      </c>
      <c r="BZ37" s="19"/>
      <c r="CA37" s="19"/>
    </row>
    <row r="38" spans="1:79" ht="12" customHeight="1" thickBot="1" x14ac:dyDescent="0.3">
      <c r="A38" s="17" t="s">
        <v>140</v>
      </c>
      <c r="B38" s="112">
        <v>1</v>
      </c>
      <c r="C38" s="4"/>
      <c r="J38" s="153"/>
      <c r="K38" s="153"/>
      <c r="L38" s="13"/>
      <c r="M38" s="14"/>
      <c r="O38" s="19"/>
      <c r="P38" s="19"/>
      <c r="S38" s="154"/>
      <c r="T38" s="153"/>
      <c r="U38" s="5"/>
      <c r="V38" s="22"/>
      <c r="W38" s="112">
        <v>4</v>
      </c>
      <c r="X38" s="25" t="s">
        <v>140</v>
      </c>
      <c r="AA38" s="5"/>
      <c r="AB38" s="5"/>
      <c r="AC38" s="94"/>
      <c r="AD38" s="95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V38" s="81" t="s">
        <v>181</v>
      </c>
      <c r="AW38" s="128" t="s">
        <v>122</v>
      </c>
      <c r="AX38" s="81" t="s">
        <v>182</v>
      </c>
      <c r="AY38" s="81" t="s">
        <v>183</v>
      </c>
      <c r="AZ38" s="82" t="s">
        <v>280</v>
      </c>
      <c r="BA38" s="81" t="s">
        <v>185</v>
      </c>
      <c r="BB38" s="81" t="s">
        <v>281</v>
      </c>
      <c r="BD38" s="52">
        <v>1</v>
      </c>
      <c r="BE38" s="53" t="s">
        <v>272</v>
      </c>
      <c r="BF38" s="36" t="str">
        <f>IF(AND(ISNUMBER($AE$33), ISNUMBER($AF$33)),IF(AND($AE$33&gt;0,$AF$33&gt;0),3,IF(AND($AE$33&lt;0,IF(-$AE$33&lt;$BZ$20,$AO$71,$AO$74)&lt;0),4,IF(AND(IF(-$AF$33&lt;$AW$20,$AN$71,$AN$72)&lt;0,$AF$33&lt;0),2,""))),"")</f>
        <v/>
      </c>
      <c r="BG38" s="82">
        <v>1</v>
      </c>
      <c r="BH38" s="82">
        <v>36</v>
      </c>
      <c r="BI38" s="82">
        <v>31</v>
      </c>
      <c r="BJ38" s="82">
        <v>6</v>
      </c>
      <c r="BK38" s="82">
        <v>7</v>
      </c>
      <c r="BL38" s="82">
        <v>12</v>
      </c>
      <c r="BM38" s="82">
        <v>11</v>
      </c>
      <c r="BN38" s="82">
        <v>2</v>
      </c>
      <c r="BO38" s="82">
        <v>35</v>
      </c>
      <c r="BZ38" s="19"/>
      <c r="CA38" s="19"/>
    </row>
    <row r="39" spans="1:79" ht="12" customHeight="1" x14ac:dyDescent="0.25">
      <c r="A39" s="17" t="s">
        <v>144</v>
      </c>
      <c r="B39" s="27" t="e">
        <f>IF($L$39='SHL Section'!$L$38,IF('SHL Section'!$B$38="","",'SHL Section'!$B$38),IF($L$39='BHL Section 1'!$L$38,IF('BHL Section 1'!$B$38="","",'BHL Section 1'!$B$38),IF($L$39='BHL Section 2'!$L$38,IF('BHL Section 2'!$B$38="","",'BHL Section 2'!$B$38),IF($L$39='BHL Section 3'!$L$38,IF('BHL Section 3'!$B$38="","",'BHL Section 3'!$B$38),IF(B35="","",IF(OR(B38=1,B38=4),180-(B35+B36/60+B37/3600),(B35+B36/60+B37/3600)))))))</f>
        <v>#VALUE!</v>
      </c>
      <c r="C39" s="4"/>
      <c r="F39" s="815"/>
      <c r="I39" s="154"/>
      <c r="J39" s="153"/>
      <c r="K39" s="153"/>
      <c r="L39" s="974">
        <v>3</v>
      </c>
      <c r="M39" s="923"/>
      <c r="P39" s="815"/>
      <c r="S39" s="154"/>
      <c r="T39" s="153"/>
      <c r="U39" s="5"/>
      <c r="V39" s="22"/>
      <c r="W39" s="27" t="e">
        <f>IF($L$39='SHL Section'!$L$38,IF('SHL Section'!$W$38="","",'SHL Section'!$W$38),IF($L$39='BHL Section 1'!$L$38,IF('BHL Section 1'!$W$38="","",'BHL Section 1'!$W$38),IF($L$39='BHL Section 2'!$L$38,IF('BHL Section 2'!$W$38="","",'BHL Section 2'!$W$38),IF($L$39='BHL Section 3'!$L$38,IF('BHL Section 3'!$W$38="","",'BHL Section 3'!$W$38),IF(W35="","",IF(OR(W38=1,W38=4),180-(W35+W36/60+W37/3600),(W35+W36/60+W37/3600)))))))</f>
        <v>#VALUE!</v>
      </c>
      <c r="X39" s="25" t="s">
        <v>144</v>
      </c>
      <c r="AA39" s="5"/>
      <c r="AB39" s="5"/>
      <c r="AC39" s="52">
        <v>1</v>
      </c>
      <c r="AD39" s="53" t="s">
        <v>274</v>
      </c>
      <c r="AE39" s="47" t="e">
        <f>IF(AND($L$39=$R$10,ISNUMBER($K$10)),IF(AND($Y$10&lt;0,$AA$10&lt;0,-$Y$10&lt;$BY$23,-$AA$10&lt;$AX$23),$Y$10,""),"")</f>
        <v>#VALUE!</v>
      </c>
      <c r="AF39" s="47" t="e">
        <f>IF(AND($L$39=$R$10,ISNUMBER($K$10)),IF(AND($Y$10&lt;0,$AA$10&lt;0,-$Y$10&lt;$BY$23,-$AA$10&lt;$AX$23),$AA$10,""),"")</f>
        <v>#VALUE!</v>
      </c>
      <c r="AG39" s="32" t="e">
        <f>IF($AE$39="","",$AY$27+$AE$39)</f>
        <v>#VALUE!</v>
      </c>
      <c r="AH39" s="32" t="e">
        <f>IF($AF$39="","",$AZ$27+$AF$39)</f>
        <v>#VALUE!</v>
      </c>
      <c r="AI39" s="32" t="e">
        <f>IF($AE$39="","",$BG$27+$AY$27+$AE$39)</f>
        <v>#VALUE!</v>
      </c>
      <c r="AJ39" s="32" t="e">
        <f>IF($AF$39="","",$AZ$27+$BH$27+$AF$39)</f>
        <v>#VALUE!</v>
      </c>
      <c r="AK39" s="32" t="e">
        <f>IF($AE$39="","",$BW$27+$AE$39)</f>
        <v>#VALUE!</v>
      </c>
      <c r="AL39" s="32" t="e">
        <f>IF($AF$39="","",$AF$39+$BX$27)</f>
        <v>#VALUE!</v>
      </c>
      <c r="AM39" s="32" t="e">
        <f>IF($AE$39="","",$AW$23+$AE$39)</f>
        <v>#VALUE!</v>
      </c>
      <c r="AN39" s="32" t="e">
        <f>IF($AF$39="","",$AX$23+$AF$39)</f>
        <v>#VALUE!</v>
      </c>
      <c r="AO39" s="32" t="e">
        <f>IF($AE$39="","",$AY$27+$AE$39+$BE$23)</f>
        <v>#VALUE!</v>
      </c>
      <c r="AP39" s="32" t="e">
        <f>IF($AF$39="","",$AZ$27+$AF$39+$BF$23)</f>
        <v>#VALUE!</v>
      </c>
      <c r="AQ39" s="32" t="e">
        <f>IF($AE$39="","",$BW$27+$AE$39+$BQ$23)</f>
        <v>#VALUE!</v>
      </c>
      <c r="AR39" s="32" t="e">
        <f>IF($AF$39="","",$AF$39+$BX$27+$BR$23)</f>
        <v>#VALUE!</v>
      </c>
      <c r="AS39" s="32" t="e">
        <f>IF($AE$39="","",$BY$23+$AE$39)</f>
        <v>#VALUE!</v>
      </c>
      <c r="AT39" s="32" t="e">
        <f>IF($AF$39="","",$AF$39+$BZ$23)</f>
        <v>#VALUE!</v>
      </c>
      <c r="AV39" s="81" t="s">
        <v>186</v>
      </c>
      <c r="AW39" s="81" t="s">
        <v>128</v>
      </c>
      <c r="AX39" s="81" t="s">
        <v>187</v>
      </c>
      <c r="AY39" s="81" t="s">
        <v>188</v>
      </c>
      <c r="AZ39" s="82" t="s">
        <v>282</v>
      </c>
      <c r="BA39" s="81" t="s">
        <v>190</v>
      </c>
      <c r="BB39" s="81" t="s">
        <v>283</v>
      </c>
      <c r="BD39" s="52">
        <v>2</v>
      </c>
      <c r="BE39" s="53" t="s">
        <v>272</v>
      </c>
      <c r="BF39" s="36" t="str">
        <f>IF(AND(ISNUMBER($AG$34), ISNUMBER($AH$34)),IF(AND(IF($AH$34&lt;$BC$20,$AP$72,$AP$71)&lt;0,$AH$34&gt;0),2,IF(AND($AG$34&gt;0,$AH$34&lt;0),9,IF(AND($AG$34&lt;0,IF(-$AG$34&lt;$BD$20,$AQ$72,$AQ$73)&lt;0),8,""))),"")</f>
        <v/>
      </c>
      <c r="BG39" s="82">
        <v>2</v>
      </c>
      <c r="BH39" s="82">
        <v>35</v>
      </c>
      <c r="BI39" s="82">
        <v>36</v>
      </c>
      <c r="BJ39" s="82">
        <v>1</v>
      </c>
      <c r="BK39" s="82">
        <v>12</v>
      </c>
      <c r="BL39" s="82">
        <v>11</v>
      </c>
      <c r="BM39" s="82">
        <v>10</v>
      </c>
      <c r="BN39" s="82">
        <v>3</v>
      </c>
      <c r="BO39" s="82">
        <v>34</v>
      </c>
      <c r="BZ39" s="19"/>
      <c r="CA39" s="19"/>
    </row>
    <row r="40" spans="1:79" ht="12" customHeight="1" thickBot="1" x14ac:dyDescent="0.3">
      <c r="A40" s="948" t="str">
        <f>CONCATENATE("W QC of ",$L$39)</f>
        <v>W QC of 3</v>
      </c>
      <c r="B40" s="892"/>
      <c r="C40" s="7"/>
      <c r="D40" s="8"/>
      <c r="E40" s="8"/>
      <c r="F40" s="8"/>
      <c r="G40" s="8"/>
      <c r="H40" s="8"/>
      <c r="I40" s="8"/>
      <c r="J40" s="8"/>
      <c r="K40" s="8"/>
      <c r="L40" s="924"/>
      <c r="M40" s="926"/>
      <c r="N40" s="8"/>
      <c r="O40" s="8"/>
      <c r="P40" s="8"/>
      <c r="Q40" s="8"/>
      <c r="R40" s="8"/>
      <c r="S40" s="8"/>
      <c r="T40" s="8"/>
      <c r="U40" s="8"/>
      <c r="V40" s="24"/>
      <c r="W40" s="959" t="str">
        <f>CONCATENATE("E QC of ",$L$39)</f>
        <v>E QC of 3</v>
      </c>
      <c r="X40" s="904"/>
      <c r="AA40" s="5"/>
      <c r="AB40" s="5"/>
      <c r="AC40" s="52">
        <v>2</v>
      </c>
      <c r="AD40" s="53" t="s">
        <v>274</v>
      </c>
      <c r="AE40" s="32" t="e">
        <f>IF($AG$40="","",$AG$40-$AY$27)</f>
        <v>#VALUE!</v>
      </c>
      <c r="AF40" s="32" t="e">
        <f>IF($AH$40="","",$AH$40-$AZ$27)</f>
        <v>#VALUE!</v>
      </c>
      <c r="AG40" s="47" t="e">
        <f>IF(AND($L$39=$R$10,ISNUMBER($K$10)),IF(AND($Y$10&lt;0,$AA$10&gt;0,-$Y$10&lt;$BE$23,$AA$10&lt;$BB$23),$Y$10,""),"")</f>
        <v>#VALUE!</v>
      </c>
      <c r="AH40" s="47" t="e">
        <f>IF(AND($L$39=$R$10,ISNUMBER($K$10)),IF(AND($Y$10&lt;0,$AA$10&gt;0,-$Y$10&lt;$BE$23,$AA$10&lt;$BB$23),$AA$10,""),"")</f>
        <v>#VALUE!</v>
      </c>
      <c r="AI40" s="32" t="e">
        <f>IF($AG$40="","",$BG$27+$AG$40)</f>
        <v>#VALUE!</v>
      </c>
      <c r="AJ40" s="32" t="e">
        <f>IF($AH$40="","",$AH$40+$BH$27)</f>
        <v>#VALUE!</v>
      </c>
      <c r="AK40" s="32" t="e">
        <f>IF($AG$40="","",$AG$40-$AY$27+$BW$27)</f>
        <v>#VALUE!</v>
      </c>
      <c r="AL40" s="32" t="e">
        <f>IF($AH$40="","",$AH$40-$AZ$27+$BX$27)</f>
        <v>#VALUE!</v>
      </c>
      <c r="AM40" s="32" t="e">
        <f>IF($AG$40="","",$AG$40-$BA$23)</f>
        <v>#VALUE!</v>
      </c>
      <c r="AN40" s="32" t="e">
        <f>IF($AH$40="","",AH$40-$BB$23)</f>
        <v>#VALUE!</v>
      </c>
      <c r="AO40" s="32" t="e">
        <f>IF($AG$40="","",$BE$23+$AG$40)</f>
        <v>#VALUE!</v>
      </c>
      <c r="AP40" s="32" t="e">
        <f>IF($AH$40="","",$AH$40+$BF$23)</f>
        <v>#VALUE!</v>
      </c>
      <c r="AQ40" s="32" t="e">
        <f>IF($AG$40="","",$BG$27+$AG$40-$BM$23)</f>
        <v>#VALUE!</v>
      </c>
      <c r="AR40" s="32" t="e">
        <f>IF($AH$40="","",$AH$40+$BH$27-$BN$23)</f>
        <v>#VALUE!</v>
      </c>
      <c r="AS40" s="32" t="e">
        <f>IF($AG$40="","",$AG$40-$AY$27+$BY$23)</f>
        <v>#VALUE!</v>
      </c>
      <c r="AT40" s="32" t="e">
        <f>IF($AH$40="","",$AH$40-$AZ$27+$BZ$23)</f>
        <v>#VALUE!</v>
      </c>
      <c r="AV40" s="81" t="s">
        <v>194</v>
      </c>
      <c r="AW40" s="81" t="s">
        <v>408</v>
      </c>
      <c r="AX40" s="81" t="s">
        <v>196</v>
      </c>
      <c r="AY40" s="81" t="s">
        <v>197</v>
      </c>
      <c r="AZ40" s="82" t="s">
        <v>284</v>
      </c>
      <c r="BA40" s="81"/>
      <c r="BB40" s="81" t="s">
        <v>285</v>
      </c>
      <c r="BD40" s="52">
        <v>3</v>
      </c>
      <c r="BE40" s="53" t="s">
        <v>272</v>
      </c>
      <c r="BF40" s="36" t="str">
        <f>IF(AND(ISNUMBER($AI$35), ISNUMBER($AJ$35)),IF(AND($AI$35&gt;0,IF($AI$35&lt;$BJ$20,$AS$73,$AS$72)&lt;0),8,IF(AND($AI$35&lt;0,$AJ$35&lt;0),7,IF(AND(IF($AJ$35&lt;$BM$20,$AR$73,$AR$74)&lt;0,$AJ$35&gt;0),6,""))),"")</f>
        <v/>
      </c>
      <c r="BG40" s="82">
        <v>3</v>
      </c>
      <c r="BH40" s="82">
        <v>34</v>
      </c>
      <c r="BI40" s="82">
        <v>35</v>
      </c>
      <c r="BJ40" s="82">
        <v>2</v>
      </c>
      <c r="BK40" s="82">
        <v>11</v>
      </c>
      <c r="BL40" s="82">
        <v>10</v>
      </c>
      <c r="BM40" s="82">
        <v>9</v>
      </c>
      <c r="BN40" s="82">
        <v>4</v>
      </c>
      <c r="BO40" s="82">
        <v>33</v>
      </c>
      <c r="BZ40" s="19"/>
      <c r="CA40" s="19"/>
    </row>
    <row r="41" spans="1:79" ht="12" customHeight="1" x14ac:dyDescent="0.25">
      <c r="A41" s="904"/>
      <c r="B41" s="892"/>
      <c r="C41" s="9"/>
      <c r="D41" s="10"/>
      <c r="E41" s="10"/>
      <c r="F41" s="10"/>
      <c r="G41" s="10"/>
      <c r="H41" s="10"/>
      <c r="I41" s="10"/>
      <c r="J41" s="10"/>
      <c r="K41" s="10"/>
      <c r="L41" s="924"/>
      <c r="M41" s="926"/>
      <c r="N41" s="10"/>
      <c r="O41" s="10"/>
      <c r="P41" s="10"/>
      <c r="Q41" s="10"/>
      <c r="R41" s="10"/>
      <c r="S41" s="10"/>
      <c r="T41" s="10"/>
      <c r="U41" s="10"/>
      <c r="V41" s="22"/>
      <c r="W41" s="904"/>
      <c r="X41" s="904"/>
      <c r="AA41" s="5"/>
      <c r="AB41" s="5"/>
      <c r="AC41" s="52">
        <v>3</v>
      </c>
      <c r="AD41" s="53" t="s">
        <v>274</v>
      </c>
      <c r="AE41" s="32" t="e">
        <f>IF($AI$41="","",$AI$41-$BG$27-$AY$27)</f>
        <v>#VALUE!</v>
      </c>
      <c r="AF41" s="79" t="e">
        <f>IF($AJ$41="","",$AJ$41-$BH$27-$AZ$27)</f>
        <v>#VALUE!</v>
      </c>
      <c r="AG41" s="32" t="e">
        <f>IF($AI$41="","",$AI$41-$BG$27)</f>
        <v>#VALUE!</v>
      </c>
      <c r="AH41" s="32" t="e">
        <f>IF($AJ$41="","",$AJ$41-$BH$27)</f>
        <v>#VALUE!</v>
      </c>
      <c r="AI41" s="47" t="e">
        <f>IF(AND($L$39=$R$10,ISNUMBER($K$10)),IF(AND($Y$10&gt;0,$AA$10&gt;0,$Y$10&lt;$BI$23,$AA$10&lt;$BN$23),$Y$10,""),"")</f>
        <v>#VALUE!</v>
      </c>
      <c r="AJ41" s="47" t="e">
        <f>IF(AND($L$39=$R$10,ISNUMBER($K$10)),IF(AND($Y$10&gt;0,$AA$10&gt;0,$Y$10&lt;$BI$23,$AA$10&lt;$BN$23),$AA$10,""),"")</f>
        <v>#VALUE!</v>
      </c>
      <c r="AK41" s="32" t="e">
        <f>IF($AI$41="","",$AI$41-$BO$27)</f>
        <v>#VALUE!</v>
      </c>
      <c r="AL41" s="32" t="e">
        <f>IF($AJ$41="","",$AJ$41-$BP$27)</f>
        <v>#VALUE!</v>
      </c>
      <c r="AM41" s="32" t="e">
        <f>IF($AI$41="","",$AI$41-$BG$27-$BA$27)</f>
        <v>#VALUE!</v>
      </c>
      <c r="AN41" s="32" t="e">
        <f>IF($AJ$41="","",$AJ$41-$BH$27-$BB$27)</f>
        <v>#VALUE!</v>
      </c>
      <c r="AO41" s="32" t="e">
        <f>IF($AI$41="","",$AI$41-$BI$27)</f>
        <v>#VALUE!</v>
      </c>
      <c r="AP41" s="32" t="e">
        <f>IF($AJ$41="","",$AJ$41-$BJ$27)</f>
        <v>#VALUE!</v>
      </c>
      <c r="AQ41" s="32" t="e">
        <f>IF($AI$41="","",$AI$41-$BM$27)</f>
        <v>#VALUE!</v>
      </c>
      <c r="AR41" s="32" t="e">
        <f>IF($AJ$41="","",$AJ$41-$BN$27)</f>
        <v>#VALUE!</v>
      </c>
      <c r="AS41" s="32" t="e">
        <f>IF($AI$41="","",$AI$41-$BO$27-$BU$27)</f>
        <v>#VALUE!</v>
      </c>
      <c r="AT41" s="32" t="e">
        <f>IF($AJ$41="","",$AJ$41-$BP$27-$BV$23)</f>
        <v>#VALUE!</v>
      </c>
      <c r="AV41" s="81" t="s">
        <v>201</v>
      </c>
      <c r="AW41" s="81"/>
      <c r="AX41" s="81" t="s">
        <v>203</v>
      </c>
      <c r="AY41" s="81" t="s">
        <v>204</v>
      </c>
      <c r="AZ41" s="82" t="s">
        <v>286</v>
      </c>
      <c r="BA41" s="81"/>
      <c r="BB41" s="81" t="s">
        <v>287</v>
      </c>
      <c r="BD41" s="756">
        <v>4</v>
      </c>
      <c r="BE41" s="758" t="s">
        <v>272</v>
      </c>
      <c r="BF41" s="120" t="str">
        <f>IF(AND(ISNUMBER($AK$36), ISNUMBER($AL$36)),IF(AND(IF(-$AL$36&lt;$BS$20,$AT$74,$AT$73)&lt;0,$AL$36&lt;0),6,IF(AND($AK$36&lt;0,$AL$36&gt;0),5,IF(AND($AK$36&gt;0,IF($AK$36&lt;$BT$20,$AU$74,$AU$71)&lt;0),4,""))),"")</f>
        <v/>
      </c>
      <c r="BG41" s="82">
        <v>4</v>
      </c>
      <c r="BH41" s="82">
        <v>33</v>
      </c>
      <c r="BI41" s="82">
        <v>34</v>
      </c>
      <c r="BJ41" s="82">
        <v>3</v>
      </c>
      <c r="BK41" s="82">
        <v>10</v>
      </c>
      <c r="BL41" s="82">
        <v>9</v>
      </c>
      <c r="BM41" s="82">
        <v>8</v>
      </c>
      <c r="BN41" s="82">
        <v>5</v>
      </c>
      <c r="BO41" s="82">
        <v>32</v>
      </c>
      <c r="BZ41" s="19"/>
      <c r="CA41" s="19"/>
    </row>
    <row r="42" spans="1:79" ht="12" customHeight="1" thickBot="1" x14ac:dyDescent="0.3">
      <c r="B42" s="44" t="e">
        <f>IF($L$39='SHL Section'!$L$38,'SHL Section'!$B$41,IF($L$39='BHL Section 1'!$L$38,'BHL Section 1'!$B$41,IF($L$39='BHL Section 2'!$L$38,'BHL Section 2'!$B$41,IF($L$39='BHL Section 3'!$L$38,'BHL Section 3'!$B$41,$B$43))))</f>
        <v>#VALUE!</v>
      </c>
      <c r="C42" s="4"/>
      <c r="L42" s="927"/>
      <c r="M42" s="929"/>
      <c r="V42" s="22"/>
      <c r="W42" s="44" t="e">
        <f>IF($L$39='SHL Section'!$L$38,'SHL Section'!$W$41,IF($L$39='BHL Section 1'!$L$38,'BHL Section 1'!$W$41,IF($L$39='BHL Section 2'!$L$38,'BHL Section 2'!$W$41,IF($L$39='BHL Section 3'!$L$38,'BHL Section 3'!$W$41,$W$43))))</f>
        <v>#VALUE!</v>
      </c>
      <c r="AA42" s="5"/>
      <c r="AB42" s="29"/>
      <c r="AC42" s="756">
        <v>4</v>
      </c>
      <c r="AD42" s="758" t="s">
        <v>274</v>
      </c>
      <c r="AE42" s="45" t="e">
        <f>IF($AK$42="","",$AK$42-$BW$27)</f>
        <v>#VALUE!</v>
      </c>
      <c r="AF42" s="45" t="e">
        <f>IF($AL$42="","",$AL$42-$BX$27)</f>
        <v>#VALUE!</v>
      </c>
      <c r="AG42" s="45" t="e">
        <f>IF($AK$42="","",$AK$42+$BO$27-$BG$27)</f>
        <v>#VALUE!</v>
      </c>
      <c r="AH42" s="45" t="e">
        <f>IF($AL$42="","",$AL$42+$BP$27+$BH$27)</f>
        <v>#VALUE!</v>
      </c>
      <c r="AI42" s="45" t="e">
        <f>IF($AK$42="","",$AK$42+$BO$27)</f>
        <v>#VALUE!</v>
      </c>
      <c r="AJ42" s="45" t="e">
        <f>IF($AL$42="","",$AL$42+$BP$27)</f>
        <v>#VALUE!</v>
      </c>
      <c r="AK42" s="50" t="e">
        <f>IF(AND($L$39=$R$10,ISNUMBER($K$10)),IF(AND($Y$10&gt;0,$AA$10&lt;0,$Y$10&lt;$BU$23,-$AA$10&lt;$BR$23),$Y$10,""),"")</f>
        <v>#VALUE!</v>
      </c>
      <c r="AL42" s="50" t="e">
        <f>IF(AND($L$39=$R$10,ISNUMBER($K$10)),IF(AND($Y$10&gt;0,$AA$10&lt;0,$Y$10&lt;$BU$23,-$AA$10&lt;$BR$23),$AA$10,""),"")</f>
        <v>#VALUE!</v>
      </c>
      <c r="AM42" s="45" t="e">
        <f>IF($AK$42="","",$AK$42-$BW$27+$AW$23)</f>
        <v>#VALUE!</v>
      </c>
      <c r="AN42" s="45" t="e">
        <f>IF($AL$42="","",$AL$42-$BX$27+$AX$23)</f>
        <v>#VALUE!</v>
      </c>
      <c r="AO42" s="45" t="e">
        <f>IF($AK$42="","",$AK$42+$BO$27-$BI$23)</f>
        <v>#VALUE!</v>
      </c>
      <c r="AP42" s="45" t="e">
        <f>IF($AL$42="","",$AL$42+$BP$27-$BJ$23)</f>
        <v>#VALUE!</v>
      </c>
      <c r="AQ42" s="45" t="e">
        <f>IF($AK$42="","",$AK$42+$BQ$23)</f>
        <v>#VALUE!</v>
      </c>
      <c r="AR42" s="45" t="e">
        <f>IF($AL$42="","",$AL$42+$BR$23)</f>
        <v>#VALUE!</v>
      </c>
      <c r="AS42" s="45" t="e">
        <f>IF($AK$42="","",$AK$42-$BU$23)</f>
        <v>#VALUE!</v>
      </c>
      <c r="AT42" s="45" t="e">
        <f>IF($AL$42="","",$AL$42-$BV$23)</f>
        <v>#VALUE!</v>
      </c>
      <c r="AV42" s="81"/>
      <c r="AW42" s="81"/>
      <c r="AX42" s="81"/>
      <c r="AY42" s="81"/>
      <c r="AZ42" s="81"/>
      <c r="BA42" s="81"/>
      <c r="BB42" s="81" t="s">
        <v>288</v>
      </c>
      <c r="BD42" s="52">
        <v>1</v>
      </c>
      <c r="BE42" s="53" t="s">
        <v>274</v>
      </c>
      <c r="BF42" s="36" t="str">
        <f>IF(AND(ISNUMBER($AE$39), ISNUMBER($AF$39)),IF(AND($AE$39&gt;0,$AF$39&gt;0),3,IF(AND($AE$39&lt;0,IF(-$AE$39&lt;$BZ$20,$AO$82,$AO$85)&lt;0),4,IF(AND(IF(-$AF$39&lt;$AW$20,$AN$82,$AN$83)&lt;0,$AF$39&lt;0),2,""))),"")</f>
        <v/>
      </c>
      <c r="BG42" s="82">
        <v>5</v>
      </c>
      <c r="BH42" s="82">
        <v>32</v>
      </c>
      <c r="BI42" s="82">
        <v>33</v>
      </c>
      <c r="BJ42" s="82">
        <v>4</v>
      </c>
      <c r="BK42" s="82">
        <v>9</v>
      </c>
      <c r="BL42" s="82">
        <v>8</v>
      </c>
      <c r="BM42" s="82">
        <v>7</v>
      </c>
      <c r="BN42" s="82">
        <v>6</v>
      </c>
      <c r="BO42" s="82">
        <v>31</v>
      </c>
      <c r="BZ42" s="19"/>
      <c r="CA42" s="19"/>
    </row>
    <row r="43" spans="1:79" ht="12" customHeight="1" x14ac:dyDescent="0.25">
      <c r="A43" s="17" t="s">
        <v>118</v>
      </c>
      <c r="B43" s="110"/>
      <c r="C43" s="4"/>
      <c r="G43" s="831" t="s">
        <v>348</v>
      </c>
      <c r="H43" s="832"/>
      <c r="L43" s="13"/>
      <c r="M43" s="14"/>
      <c r="Q43" s="831" t="s">
        <v>349</v>
      </c>
      <c r="R43" s="832"/>
      <c r="U43" s="155"/>
      <c r="V43" s="22"/>
      <c r="W43" s="162"/>
      <c r="X43" s="25" t="s">
        <v>118</v>
      </c>
      <c r="AA43" s="5"/>
      <c r="AB43" s="29"/>
      <c r="AC43" s="944"/>
      <c r="AD43" s="911"/>
      <c r="AE43" s="80" t="str">
        <f>IF(ISNUMBER($AE$39),AE$39,IF(ISNUMBER($AG$40),AE$40,IF(ISNUMBER($AI$41),AE$41,IF(ISNUMBER($AK$42),AE$42,""))))</f>
        <v/>
      </c>
      <c r="AF43" s="80" t="str">
        <f>IF(ISNUMBER($AF$39),AF$39,IF(ISNUMBER($AH$40),AF$40,IF(ISNUMBER($AJ$41),AF$41,IF(ISNUMBER($AL$42),AF$42,""))))</f>
        <v/>
      </c>
      <c r="AG43" s="80" t="str">
        <f>IF(ISNUMBER($AE$39),AG$39,IF(ISNUMBER($AG$40),AG$40,IF(ISNUMBER($AI$41),AG$41,IF(ISNUMBER($AK$42),AG$42,""))))</f>
        <v/>
      </c>
      <c r="AH43" s="80" t="str">
        <f>IF(ISNUMBER($AF$39),AH$39,IF(ISNUMBER($AH$40),AH$40,IF(ISNUMBER($AJ$41),AH$41,IF(ISNUMBER($AL$42),AH$42,""))))</f>
        <v/>
      </c>
      <c r="AI43" s="80" t="str">
        <f>IF(ISNUMBER($AE$39),AI$39,IF(ISNUMBER($AG$40),AI$40,IF(ISNUMBER($AI$41),AI$41,IF(ISNUMBER($AK$42),AI$42,""))))</f>
        <v/>
      </c>
      <c r="AJ43" s="80" t="str">
        <f>IF(ISNUMBER($AF$39),AJ$39,IF(ISNUMBER($AH$40),AJ$40,IF(ISNUMBER($AJ$41),AJ$41,IF(ISNUMBER($AL$42),AJ$42,""))))</f>
        <v/>
      </c>
      <c r="AK43" s="80" t="str">
        <f>IF(ISNUMBER($AE$39),AK$39,IF(ISNUMBER($AG$40),AK$40,IF(ISNUMBER($AI$41),AK$41,IF(ISNUMBER($AK$42),AK$42,""))))</f>
        <v/>
      </c>
      <c r="AL43" s="80" t="str">
        <f>IF(ISNUMBER($AF$39),AL$39,IF(ISNUMBER($AH$40),AL$40,IF(ISNUMBER($AJ$41),AL$41,IF(ISNUMBER($AL$42),AL$42,""))))</f>
        <v/>
      </c>
      <c r="AM43" s="80" t="str">
        <f>IF(ISNUMBER($AE$39),AM$39,IF(ISNUMBER($AG$40),AM$40,IF(ISNUMBER($AI$41),AM$41,IF(ISNUMBER($AK$42),AM$42,""))))</f>
        <v/>
      </c>
      <c r="AN43" s="80" t="str">
        <f>IF(ISNUMBER($AF$39),AN$39,IF(ISNUMBER($AH$40),AN$40,IF(ISNUMBER($AJ$41),AN$41,IF(ISNUMBER($AL$42),AN$42,""))))</f>
        <v/>
      </c>
      <c r="AO43" s="80" t="str">
        <f>IF(ISNUMBER($AE$39),AO$39,IF(ISNUMBER($AG$40),AO$40,IF(ISNUMBER($AI$41),AO$41,IF(ISNUMBER($AK$42),AO$42,""))))</f>
        <v/>
      </c>
      <c r="AP43" s="80" t="str">
        <f>IF(ISNUMBER($AF$39),AP$39,IF(ISNUMBER($AH$40),AP$40,IF(ISNUMBER($AJ$41),AP$41,IF(ISNUMBER($AL$42),AP$42,""))))</f>
        <v/>
      </c>
      <c r="AQ43" s="80" t="str">
        <f>IF(ISNUMBER($AE$39),AQ$39,IF(ISNUMBER($AG$40),AQ$40,IF(ISNUMBER($AI$41),AQ$41,IF(ISNUMBER($AK$42),AQ$42,""))))</f>
        <v/>
      </c>
      <c r="AR43" s="80" t="str">
        <f>IF(ISNUMBER($AF$39),AR$39,IF(ISNUMBER($AH$40),AR$40,IF(ISNUMBER($AJ$41),AR$41,IF(ISNUMBER($AL$42),AR$42,""))))</f>
        <v/>
      </c>
      <c r="AS43" s="80" t="str">
        <f>IF(ISNUMBER($AE$39),AS$39,IF(ISNUMBER($AG$40),AS$40,IF(ISNUMBER($AI$41),AS$41,IF(ISNUMBER($AK$42),AS$42,""))))</f>
        <v/>
      </c>
      <c r="AT43" s="80" t="str">
        <f>IF(ISNUMBER($AF$39),AT$39,IF(ISNUMBER($AH$40),AT$40,IF(ISNUMBER($AJ$41),AT$41,IF(ISNUMBER($AL$42),AT$42,""))))</f>
        <v/>
      </c>
      <c r="AV43" s="81"/>
      <c r="AW43" s="81"/>
      <c r="AX43" s="81"/>
      <c r="AY43" s="81"/>
      <c r="AZ43" s="81"/>
      <c r="BA43" s="81"/>
      <c r="BB43" s="81" t="s">
        <v>289</v>
      </c>
      <c r="BD43" s="52">
        <v>2</v>
      </c>
      <c r="BE43" s="53" t="s">
        <v>274</v>
      </c>
      <c r="BF43" s="36" t="str">
        <f>IF(AND(ISNUMBER($AG$40), ISNUMBER($AH$40)),IF(AND(IF($AH$40&lt;$BC$20,$AP$83,$AP$82)&lt;0,$AH$40&gt;0),2,IF(AND($AG$40&gt;0,$AH$40&lt;0),9,IF(AND($AG$40&lt;0,IF(-$AG$40&lt;$BD$20,$AQ$83,$AQ$84)&lt;0),8,""))),"")</f>
        <v/>
      </c>
      <c r="BG43" s="82">
        <v>6</v>
      </c>
      <c r="BH43" s="82">
        <v>31</v>
      </c>
      <c r="BI43" s="82">
        <v>32</v>
      </c>
      <c r="BJ43" s="82">
        <v>5</v>
      </c>
      <c r="BK43" s="82">
        <v>8</v>
      </c>
      <c r="BL43" s="82">
        <v>7</v>
      </c>
      <c r="BM43" s="82">
        <v>12</v>
      </c>
      <c r="BN43" s="82">
        <v>1</v>
      </c>
      <c r="BO43" s="82">
        <v>36</v>
      </c>
      <c r="BZ43" s="19"/>
      <c r="CA43" s="19"/>
    </row>
    <row r="44" spans="1:79" ht="12" customHeight="1" x14ac:dyDescent="0.25">
      <c r="A44" s="17" t="s">
        <v>124</v>
      </c>
      <c r="B44" s="111"/>
      <c r="C44" s="4"/>
      <c r="G44" s="99" t="str">
        <f>IF(ISNUMBER($AI$67),$C$9,"")</f>
        <v/>
      </c>
      <c r="H44" s="150" t="str">
        <f>IF(AND(G45="",G46=""),"",IF($AI$67=1,"NE/SW",IF($AI$67=2,"NW/SW",IF($AI$67=3,"SW/SW",IF($AI$67=4,"SE/SW","")))))</f>
        <v/>
      </c>
      <c r="L44" s="13"/>
      <c r="M44" s="14"/>
      <c r="Q44" s="99" t="str">
        <f>IF(ISNUMBER($AK$67),$C$9,"")</f>
        <v/>
      </c>
      <c r="R44" s="150" t="str">
        <f>IF(AND(Q45="",Q46=""),"",IF($AK$67=1,"NE/SE",IF($AK$67=2,"NW/SE",IF($AK$67=3,"SW/SE",IF($AK$67=4,"SE/SE","")))))</f>
        <v/>
      </c>
      <c r="U44" s="155"/>
      <c r="V44" s="22"/>
      <c r="W44" s="147"/>
      <c r="X44" s="25" t="s">
        <v>124</v>
      </c>
      <c r="AA44" s="5"/>
      <c r="AB44" s="5"/>
      <c r="AC44" s="94"/>
      <c r="AD44" s="95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V44" s="81"/>
      <c r="AW44" s="81"/>
      <c r="AX44" s="81"/>
      <c r="AY44" s="81"/>
      <c r="AZ44" s="81"/>
      <c r="BA44" s="81"/>
      <c r="BB44" s="81" t="s">
        <v>290</v>
      </c>
      <c r="BD44" s="52">
        <v>3</v>
      </c>
      <c r="BE44" s="53" t="s">
        <v>274</v>
      </c>
      <c r="BF44" s="36" t="str">
        <f>IF(AND(ISNUMBER($AI$41), ISNUMBER($AJ$41)),IF(AND($AI$41&gt;0,IF($AI$41&lt;$BJ$20,$AS$84,$AS$83)&lt;0),8,IF(AND($AI$41&lt;0,$AJ$41&lt;0),7,IF(AND(IF($AJ$41&lt;$BM$20,$AR$84,$AR$85)&lt;0,$AJ$41&gt;0),6,""))),"")</f>
        <v/>
      </c>
      <c r="BG44" s="82">
        <v>7</v>
      </c>
      <c r="BH44" s="82">
        <v>6</v>
      </c>
      <c r="BI44" s="82">
        <v>5</v>
      </c>
      <c r="BJ44" s="82">
        <v>8</v>
      </c>
      <c r="BK44" s="82">
        <v>17</v>
      </c>
      <c r="BL44" s="82">
        <v>18</v>
      </c>
      <c r="BM44" s="82">
        <v>13</v>
      </c>
      <c r="BN44" s="82">
        <v>12</v>
      </c>
      <c r="BO44" s="82">
        <v>1</v>
      </c>
      <c r="BZ44" s="19"/>
      <c r="CA44" s="19"/>
    </row>
    <row r="45" spans="1:79" ht="12" customHeight="1" x14ac:dyDescent="0.25">
      <c r="A45" s="17" t="s">
        <v>130</v>
      </c>
      <c r="B45" s="111"/>
      <c r="C45" s="4"/>
      <c r="G45" s="151" t="str">
        <f>IF(ISNUMBER($AI$67),$M$9,"")</f>
        <v/>
      </c>
      <c r="H45" s="152" t="str">
        <f>IF(ISNUMBER($AI$67),"FSL","")</f>
        <v/>
      </c>
      <c r="J45" s="19"/>
      <c r="K45" s="19"/>
      <c r="L45" s="13"/>
      <c r="M45" s="14"/>
      <c r="Q45" s="151" t="str">
        <f>IF(ISNUMBER($AK$67),$M$9,"")</f>
        <v/>
      </c>
      <c r="R45" s="152" t="str">
        <f>IF(ISNUMBER($AK$67),"FSL","")</f>
        <v/>
      </c>
      <c r="T45" s="19"/>
      <c r="U45" s="155"/>
      <c r="V45" s="22"/>
      <c r="W45" s="147"/>
      <c r="X45" s="25" t="s">
        <v>130</v>
      </c>
      <c r="AA45" s="5"/>
      <c r="AB45" s="29"/>
      <c r="AC45" s="52">
        <v>1</v>
      </c>
      <c r="AD45" s="53" t="s">
        <v>276</v>
      </c>
      <c r="AE45" s="47" t="e">
        <f>IF(AND($L$39=$R$11,ISNUMBER($K$11)),IF(AND($Y$11&lt;0,$AA$11&lt;0,-$Y$11&lt;$BY$23,-$AA$11&lt;$AX$23),$Y$11,""),"")</f>
        <v>#VALUE!</v>
      </c>
      <c r="AF45" s="47" t="e">
        <f>IF(AND($L$39=$R$11,ISNUMBER($K$11)),IF(AND($Y$11&lt;0,$AA$11&lt;0,-$Y$11&lt;$BY$23,-$AA$11&lt;$AX$23),$AA$11,""),"")</f>
        <v>#VALUE!</v>
      </c>
      <c r="AG45" s="32" t="e">
        <f>IF($AE$45="","",$AY$27+$AE$45)</f>
        <v>#VALUE!</v>
      </c>
      <c r="AH45" s="32" t="e">
        <f>IF($AF$45="","",$AZ$27+$AF$45)</f>
        <v>#VALUE!</v>
      </c>
      <c r="AI45" s="32" t="e">
        <f>IF($AE$45="","",$BG$27+$AY$27+$AE$45)</f>
        <v>#VALUE!</v>
      </c>
      <c r="AJ45" s="32" t="e">
        <f>IF($AF$45="","",$AZ$27+$BH$27+$AF$45)</f>
        <v>#VALUE!</v>
      </c>
      <c r="AK45" s="32" t="e">
        <f>IF($AE$45="","",$BW$27+$AE$45)</f>
        <v>#VALUE!</v>
      </c>
      <c r="AL45" s="32" t="e">
        <f>IF($AF$45="","",$AF$45+$BX$27)</f>
        <v>#VALUE!</v>
      </c>
      <c r="AM45" s="32" t="e">
        <f>IF($AE$45="","",$AW$23+$AE$45)</f>
        <v>#VALUE!</v>
      </c>
      <c r="AN45" s="32" t="e">
        <f>IF($AF$45="","",$AX$23+$AF$45)</f>
        <v>#VALUE!</v>
      </c>
      <c r="AO45" s="32" t="e">
        <f>IF($AE$45="","",$AY$27+$AE$45+$BE$23)</f>
        <v>#VALUE!</v>
      </c>
      <c r="AP45" s="32" t="e">
        <f>IF($AF$45="","",$AZ$27+$AF$45+$BF$23)</f>
        <v>#VALUE!</v>
      </c>
      <c r="AQ45" s="32" t="e">
        <f>IF($AE$45="","",$BW$27+$AE$45+$BQ$23)</f>
        <v>#VALUE!</v>
      </c>
      <c r="AR45" s="32" t="e">
        <f>IF($AF$45="","",$AF$45+$BX$27+$BR$23)</f>
        <v>#VALUE!</v>
      </c>
      <c r="AS45" s="32" t="e">
        <f>IF($AE$45="","",$BY$23+$AE$45)</f>
        <v>#VALUE!</v>
      </c>
      <c r="AT45" s="32" t="e">
        <f>IF($AF$45="","",$AF$45+$BZ$23)</f>
        <v>#VALUE!</v>
      </c>
      <c r="AV45" s="81"/>
      <c r="AW45" s="81"/>
      <c r="AX45" s="81"/>
      <c r="AY45" s="81"/>
      <c r="AZ45" s="81"/>
      <c r="BA45" s="81"/>
      <c r="BB45" s="81" t="s">
        <v>291</v>
      </c>
      <c r="BD45" s="756">
        <v>4</v>
      </c>
      <c r="BE45" s="758" t="s">
        <v>274</v>
      </c>
      <c r="BF45" s="120" t="str">
        <f>IF(AND(ISNUMBER($AK$42), ISNUMBER($AL$42)),IF(AND(IF(-$AL$42&lt;$BS$20,$AT$85,$AT$84)&lt;0,$AL$42&lt;0),6,IF(AND($AK$42&lt;0,$AL$42&gt;0),5,IF(AND($AK$42&gt;0,IF($AK$42&lt;$BT$20,$AU$85,$AU$82)&lt;0),4,""))),"")</f>
        <v/>
      </c>
      <c r="BG45" s="82">
        <v>8</v>
      </c>
      <c r="BH45" s="82">
        <v>5</v>
      </c>
      <c r="BI45" s="82">
        <v>4</v>
      </c>
      <c r="BJ45" s="82">
        <v>9</v>
      </c>
      <c r="BK45" s="82">
        <v>16</v>
      </c>
      <c r="BL45" s="82">
        <v>17</v>
      </c>
      <c r="BM45" s="82">
        <v>18</v>
      </c>
      <c r="BN45" s="82">
        <v>7</v>
      </c>
      <c r="BO45" s="82">
        <v>6</v>
      </c>
      <c r="BZ45" s="19"/>
      <c r="CA45" s="19"/>
    </row>
    <row r="46" spans="1:79" ht="12" customHeight="1" x14ac:dyDescent="0.25">
      <c r="A46" s="17" t="s">
        <v>134</v>
      </c>
      <c r="B46" s="111"/>
      <c r="C46" s="4"/>
      <c r="G46" s="91" t="str">
        <f>IF(ISNUMBER($AI$67),$O$9,"")</f>
        <v/>
      </c>
      <c r="H46" s="90" t="str">
        <f>IF(ISNUMBER($AI$67),"FWL","")</f>
        <v/>
      </c>
      <c r="J46" s="19"/>
      <c r="K46" s="19"/>
      <c r="L46" s="13"/>
      <c r="M46" s="14"/>
      <c r="Q46" s="91" t="str">
        <f>IF(ISNUMBER($AK$67),$O$9,"")</f>
        <v/>
      </c>
      <c r="R46" s="90" t="str">
        <f>IF(ISNUMBER($AK$67),"FEL","")</f>
        <v/>
      </c>
      <c r="T46" s="19"/>
      <c r="U46" s="155"/>
      <c r="V46" s="22"/>
      <c r="W46" s="147"/>
      <c r="X46" s="25" t="s">
        <v>134</v>
      </c>
      <c r="AA46" s="5"/>
      <c r="AB46" s="29"/>
      <c r="AC46" s="52">
        <v>2</v>
      </c>
      <c r="AD46" s="53" t="s">
        <v>276</v>
      </c>
      <c r="AE46" s="32" t="e">
        <f>IF($AG$46="","",$AG$46-$AY$27)</f>
        <v>#VALUE!</v>
      </c>
      <c r="AF46" s="32" t="e">
        <f>IF($AH$46="","",$AH$46-$AZ$27)</f>
        <v>#VALUE!</v>
      </c>
      <c r="AG46" s="47" t="e">
        <f>IF(AND($L$39=$R$11,ISNUMBER($K$11)),IF(AND($Y$11&lt;0,$AA$11&gt;0,-$Y$11&lt;$BE$23,$AA$11&lt;$BB$23),$Y$11,""),"")</f>
        <v>#VALUE!</v>
      </c>
      <c r="AH46" s="47" t="e">
        <f>IF(AND($L$39=$R$11,ISNUMBER($K$11)),IF(AND($Y$11&lt;0,$AA$11&gt;0,-$Y$11&lt;$BE$23,$AA$11&lt;$BB$23),$AA$11,""),"")</f>
        <v>#VALUE!</v>
      </c>
      <c r="AI46" s="32" t="e">
        <f>IF($AG$46="","",$BG$27+$AG$46)</f>
        <v>#VALUE!</v>
      </c>
      <c r="AJ46" s="32" t="e">
        <f>IF($AH$46="","",$AH$46+$BH$27)</f>
        <v>#VALUE!</v>
      </c>
      <c r="AK46" s="32" t="e">
        <f>IF($AG$46="","",$AG$46-$AY$27+$BW$27)</f>
        <v>#VALUE!</v>
      </c>
      <c r="AL46" s="32" t="e">
        <f>IF($AH$46="","",$AH$46-$AZ$27+$BX$27)</f>
        <v>#VALUE!</v>
      </c>
      <c r="AM46" s="32" t="e">
        <f>IF($AG$46="","",$AG$46-$BA$23)</f>
        <v>#VALUE!</v>
      </c>
      <c r="AN46" s="32" t="e">
        <f>IF($AH$46="","",AH$46-$BB$23)</f>
        <v>#VALUE!</v>
      </c>
      <c r="AO46" s="32" t="e">
        <f>IF($AG$46="","",$BE$23+$AG$46)</f>
        <v>#VALUE!</v>
      </c>
      <c r="AP46" s="32" t="e">
        <f>IF($AH$46="","",$AH$46+$BF$23)</f>
        <v>#VALUE!</v>
      </c>
      <c r="AQ46" s="32" t="e">
        <f>IF($AG$46="","",$BG$27+$AG$46-$BM$23)</f>
        <v>#VALUE!</v>
      </c>
      <c r="AR46" s="32" t="e">
        <f>IF($AH$46="","",$AH$46+$BH$27-$BN$23)</f>
        <v>#VALUE!</v>
      </c>
      <c r="AS46" s="32" t="e">
        <f>IF($AG$46="","",$AG$46-$AY$27+$BY$23)</f>
        <v>#VALUE!</v>
      </c>
      <c r="AT46" s="32" t="e">
        <f>IF($AH$46="","",$AH$46-$AZ$27+$BZ$23)</f>
        <v>#VALUE!</v>
      </c>
      <c r="AV46" s="81"/>
      <c r="AW46" s="81"/>
      <c r="AX46" s="81"/>
      <c r="AY46" s="81"/>
      <c r="AZ46" s="81"/>
      <c r="BA46" s="81"/>
      <c r="BB46" s="81" t="s">
        <v>292</v>
      </c>
      <c r="BD46" s="52">
        <v>1</v>
      </c>
      <c r="BE46" s="53" t="s">
        <v>276</v>
      </c>
      <c r="BF46" s="36" t="str">
        <f>IF(AND(ISNUMBER($AE$45), ISNUMBER($AF$45)),IF(AND($AE$45&gt;0,$AF$45&gt;0),3,IF(AND($AE$45&lt;0,IF(-$AE$45&lt;$BZ$20,$AO$93,$AO$96)&lt;0),4,IF(AND(IF(-$AF$45&lt;$AW$20,$AN$93,$AN$94)&lt;0,$AF$45&lt;0),2,""))),"")</f>
        <v/>
      </c>
      <c r="BG46" s="82">
        <v>9</v>
      </c>
      <c r="BH46" s="82">
        <v>4</v>
      </c>
      <c r="BI46" s="82">
        <v>3</v>
      </c>
      <c r="BJ46" s="82">
        <v>10</v>
      </c>
      <c r="BK46" s="82">
        <v>15</v>
      </c>
      <c r="BL46" s="82">
        <v>16</v>
      </c>
      <c r="BM46" s="82">
        <v>17</v>
      </c>
      <c r="BN46" s="82">
        <v>8</v>
      </c>
      <c r="BO46" s="82">
        <v>5</v>
      </c>
      <c r="BZ46" s="19"/>
      <c r="CA46" s="19"/>
    </row>
    <row r="47" spans="1:79" ht="12" customHeight="1" x14ac:dyDescent="0.25">
      <c r="A47" s="17" t="s">
        <v>140</v>
      </c>
      <c r="B47" s="112">
        <v>1</v>
      </c>
      <c r="C47" s="4"/>
      <c r="G47" s="99" t="str">
        <f>IF(ISNUMBER($AI$78),$C$10,"")</f>
        <v/>
      </c>
      <c r="H47" s="150" t="str">
        <f>IF(AND(G48="",G49=""),"",IF($AI$78=1,"NE/SW",IF($AI$78=2,"NW/SW",IF($AI$78=3,"SW/SW",IF($AI$78=4,"SE/SW","")))))</f>
        <v/>
      </c>
      <c r="I47" s="154"/>
      <c r="J47" s="153"/>
      <c r="K47" s="153"/>
      <c r="L47" s="13"/>
      <c r="M47" s="14"/>
      <c r="Q47" s="99" t="str">
        <f>IF(ISNUMBER($AK$78),$C$10,"")</f>
        <v/>
      </c>
      <c r="R47" s="150" t="str">
        <f>IF(AND(Q48="",Q49=""),"",IF($AK$78=1,"NE/SE",IF($AK$78=2,"NW/SE",IF($AK$78=3,"SW/SE",IF($AK$78=4,"SE/SE","")))))</f>
        <v/>
      </c>
      <c r="S47" s="154"/>
      <c r="T47" s="153"/>
      <c r="U47" s="155"/>
      <c r="V47" s="22"/>
      <c r="W47" s="112">
        <v>4</v>
      </c>
      <c r="X47" s="25" t="s">
        <v>140</v>
      </c>
      <c r="AA47" s="5"/>
      <c r="AB47" s="29"/>
      <c r="AC47" s="52">
        <v>3</v>
      </c>
      <c r="AD47" s="53" t="s">
        <v>276</v>
      </c>
      <c r="AE47" s="32" t="e">
        <f>IF($AI$47="","",$AI$47-$BG$27-$AY$27)</f>
        <v>#VALUE!</v>
      </c>
      <c r="AF47" s="79" t="e">
        <f>IF($AJ$47="","",$AJ$47-$BH$27-$AZ$27)</f>
        <v>#VALUE!</v>
      </c>
      <c r="AG47" s="32" t="e">
        <f>IF($AI$47="","",$AI$47-$BG$27)</f>
        <v>#VALUE!</v>
      </c>
      <c r="AH47" s="32" t="e">
        <f>IF($AJ$47="","",$AJ$47-$BH$27)</f>
        <v>#VALUE!</v>
      </c>
      <c r="AI47" s="47" t="e">
        <f>IF(AND($L$39=$R$11,ISNUMBER($K$11)),IF(AND($Y$11&gt;0,$AA$11&gt;0,$Y$11&lt;$BI$23,$AA$11&lt;$BN$23),$Y$11,""),"")</f>
        <v>#VALUE!</v>
      </c>
      <c r="AJ47" s="47" t="e">
        <f>IF(AND($L$39=$R$11,ISNUMBER($K$11)),IF(AND($Y$11&gt;0,$AA$11&gt;0,$Y$11&lt;$BI$23,$AA$11&lt;$BN$23),$AA$11,""),"")</f>
        <v>#VALUE!</v>
      </c>
      <c r="AK47" s="32" t="e">
        <f>IF($AI$47="","",$AI$47-$BO$27)</f>
        <v>#VALUE!</v>
      </c>
      <c r="AL47" s="32" t="e">
        <f>IF($AJ$47="","",$AJ$47-$BP$27)</f>
        <v>#VALUE!</v>
      </c>
      <c r="AM47" s="32" t="e">
        <f>IF($AI$47="","",$AI$47-$BG$27-$BA$27)</f>
        <v>#VALUE!</v>
      </c>
      <c r="AN47" s="32" t="e">
        <f>IF($AJ$47="","",$AJ$47-$BH$27-$BB$27)</f>
        <v>#VALUE!</v>
      </c>
      <c r="AO47" s="32" t="e">
        <f>IF($AI$47="","",$AI$47-$BI$27)</f>
        <v>#VALUE!</v>
      </c>
      <c r="AP47" s="32" t="e">
        <f>IF($AJ$47="","",$AJ$47-$BJ$27)</f>
        <v>#VALUE!</v>
      </c>
      <c r="AQ47" s="32" t="e">
        <f>IF($AI$47="","",$AI$47-$BM$27)</f>
        <v>#VALUE!</v>
      </c>
      <c r="AR47" s="32" t="e">
        <f>IF($AJ$47="","",$AJ$47-$BN$27)</f>
        <v>#VALUE!</v>
      </c>
      <c r="AS47" s="32" t="e">
        <f>IF($AI$47="","",$AI$47-$BO$27-$BU$27)</f>
        <v>#VALUE!</v>
      </c>
      <c r="AT47" s="32" t="e">
        <f>IF($AJ$47="","",$AJ$47-$BP$27-$BV$23)</f>
        <v>#VALUE!</v>
      </c>
      <c r="AV47" s="81"/>
      <c r="AW47" s="81"/>
      <c r="AX47" s="81"/>
      <c r="AY47" s="81"/>
      <c r="AZ47" s="81"/>
      <c r="BA47" s="81"/>
      <c r="BB47" s="81" t="s">
        <v>293</v>
      </c>
      <c r="BD47" s="52">
        <v>2</v>
      </c>
      <c r="BE47" s="53" t="s">
        <v>276</v>
      </c>
      <c r="BF47" s="36" t="str">
        <f>IF(AND(ISNUMBER($AG$46), ISNUMBER($AH$46)),IF(AND(IF($AH$46&lt;$BC$20,$AP$94,$AP$93)&lt;0,$AH$46&gt;0),2,IF(AND($AG$46&gt;0,$AH$46&lt;0),9,IF(AND($AG$46&lt;0,IF(-$AG$46&lt;$BD$20,$AQ$94,$AQ$95)&lt;0),8,""))),"")</f>
        <v/>
      </c>
      <c r="BG47" s="82">
        <v>10</v>
      </c>
      <c r="BH47" s="82">
        <v>3</v>
      </c>
      <c r="BI47" s="82">
        <v>2</v>
      </c>
      <c r="BJ47" s="82">
        <v>11</v>
      </c>
      <c r="BK47" s="82">
        <v>14</v>
      </c>
      <c r="BL47" s="82">
        <v>15</v>
      </c>
      <c r="BM47" s="82">
        <v>16</v>
      </c>
      <c r="BN47" s="82">
        <v>9</v>
      </c>
      <c r="BO47" s="82">
        <v>4</v>
      </c>
      <c r="BZ47" s="19"/>
      <c r="CA47" s="19"/>
    </row>
    <row r="48" spans="1:79" ht="12" customHeight="1" x14ac:dyDescent="0.25">
      <c r="A48" s="17" t="s">
        <v>144</v>
      </c>
      <c r="B48" s="27" t="e">
        <f>IF($L$39='SHL Section'!$L$38,IF('SHL Section'!$B$46="","",'SHL Section'!$B$46),IF($L$39='BHL Section 1'!$L$38,IF('BHL Section 1'!$B$47="","",'BHL Section 1'!$B$47),IF($L$39='BHL Section 2'!$L$38,IF('BHL Section 2'!$B$47="","",'BHL Section 2'!$B$47),IF($L$39='BHL Section 3'!$L$38,IF('BHL Section 3'!$B$47="","",'BHL Section 3'!$B$47),IF(B44="","",IF(OR(B47=1,B47=4),180-(B44+B45/60+B46/3600),(B44+B45/60+B46/3600)))))))</f>
        <v>#VALUE!</v>
      </c>
      <c r="C48" s="4"/>
      <c r="G48" s="151" t="str">
        <f>IF(ISNUMBER($AI$78),$M$10,"")</f>
        <v/>
      </c>
      <c r="H48" s="152" t="str">
        <f>IF(ISNUMBER($AI$78),"FSL","")</f>
        <v/>
      </c>
      <c r="I48" s="154"/>
      <c r="J48" s="153"/>
      <c r="K48" s="153"/>
      <c r="L48" s="13"/>
      <c r="M48" s="14"/>
      <c r="Q48" s="151" t="str">
        <f>IF(ISNUMBER($AK$78),$M$10,"")</f>
        <v/>
      </c>
      <c r="R48" s="152" t="str">
        <f>IF(ISNUMBER($AK$78),"FSL","")</f>
        <v/>
      </c>
      <c r="S48" s="154"/>
      <c r="T48" s="153"/>
      <c r="V48" s="22"/>
      <c r="W48" s="27" t="e">
        <f>IF($L$39='SHL Section'!$L$38,IF('SHL Section'!$W$46="","",'SHL Section'!$W$46),IF($L$39='BHL Section 1'!$L$38,IF('BHL Section 1'!$W$47="","",'BHL Section 1'!$W$47),IF($L$39='BHL Section 2'!$L$38,IF('BHL Section 2'!$W$47="","",'BHL Section 2'!$W$47),IF($L$39='BHL Section 3'!$L$38,IF('BHL Section 3'!$W$47="","",'BHL Section 3'!$W$47),IF(W44="","",IF(OR(W47=1,W47=4),180-(W44+W45/60+W46/3600),(W44+W45/60+W46/3600)))))))</f>
        <v>#VALUE!</v>
      </c>
      <c r="X48" s="25" t="s">
        <v>144</v>
      </c>
      <c r="AA48" s="5"/>
      <c r="AB48" s="29"/>
      <c r="AC48" s="756">
        <v>4</v>
      </c>
      <c r="AD48" s="758" t="s">
        <v>276</v>
      </c>
      <c r="AE48" s="45" t="e">
        <f>IF($AK$48="","",$AK$48-$BW$27)</f>
        <v>#VALUE!</v>
      </c>
      <c r="AF48" s="45" t="e">
        <f>IF($AL$48="","",$AL$48-$BX$27)</f>
        <v>#VALUE!</v>
      </c>
      <c r="AG48" s="45" t="e">
        <f>IF($AK$48="","",$AK$48+$BO$27-$BG$27)</f>
        <v>#VALUE!</v>
      </c>
      <c r="AH48" s="45" t="e">
        <f>IF($AL$48="","",$AL$48+$BP$27+$BH$27)</f>
        <v>#VALUE!</v>
      </c>
      <c r="AI48" s="45" t="e">
        <f>IF($AK$48="","",$AK$48+$BO$27)</f>
        <v>#VALUE!</v>
      </c>
      <c r="AJ48" s="45" t="e">
        <f>IF($AL$48="","",$AL$48+$BP$27)</f>
        <v>#VALUE!</v>
      </c>
      <c r="AK48" s="50" t="e">
        <f>IF(AND($L$39=$R$11,ISNUMBER($K$11)),IF(AND($Y$11&gt;0,$AA$11&lt;0,$Y$11&lt;$BU$23,-$AA$11&lt;$BR$23),$Y$11,""),"")</f>
        <v>#VALUE!</v>
      </c>
      <c r="AL48" s="50" t="e">
        <f>IF(AND($L$39=$R$11,ISNUMBER($K$11)),IF(AND($Y$11&gt;0,$AA$11&lt;0,$Y$11&lt;$BU$23,-$AA$11&lt;$BR$23),$AA$11,""),"")</f>
        <v>#VALUE!</v>
      </c>
      <c r="AM48" s="45" t="e">
        <f>IF($AK$48="","",$AK$48-$BW$27+$AW$23)</f>
        <v>#VALUE!</v>
      </c>
      <c r="AN48" s="45" t="e">
        <f>IF($AL$48="","",$AL$48-$BX$27+$AX$23)</f>
        <v>#VALUE!</v>
      </c>
      <c r="AO48" s="45" t="e">
        <f>IF($AK$48="","",$AK$48+$BO$27-$BI$23)</f>
        <v>#VALUE!</v>
      </c>
      <c r="AP48" s="45" t="e">
        <f>IF($AL$48="","",$AL$48+$BP$27-$BJ$23)</f>
        <v>#VALUE!</v>
      </c>
      <c r="AQ48" s="45" t="e">
        <f>IF($AK$48="","",$AK$48+$BQ$23)</f>
        <v>#VALUE!</v>
      </c>
      <c r="AR48" s="45" t="e">
        <f>IF($AL$48="","",$AL$48+$BR$23)</f>
        <v>#VALUE!</v>
      </c>
      <c r="AS48" s="45" t="e">
        <f>IF($AK$48="","",$AK$48-$BU$23)</f>
        <v>#VALUE!</v>
      </c>
      <c r="AT48" s="45" t="e">
        <f>IF($AL$48="","",$AL$48-$BV$23)</f>
        <v>#VALUE!</v>
      </c>
      <c r="AV48" s="81"/>
      <c r="AW48" s="81"/>
      <c r="AX48" s="81"/>
      <c r="AY48" s="81"/>
      <c r="AZ48" s="81"/>
      <c r="BA48" s="81"/>
      <c r="BB48" s="81" t="s">
        <v>294</v>
      </c>
      <c r="BD48" s="52">
        <v>3</v>
      </c>
      <c r="BE48" s="53" t="s">
        <v>276</v>
      </c>
      <c r="BF48" s="36" t="str">
        <f>IF(AND(ISNUMBER($AI$47), ISNUMBER($AJ$47)),IF(AND($AI$47&gt;0,IF($AI$47&lt;$BJ$20,$AS$95,$AS$94)&lt;0),8,IF(AND($AI$47&lt;0,$AJ$47&lt;0),7,IF(AND(IF($AJ$47&lt;$BM$20,$AR$95,$AR$96)&lt;0,$AJ$47&gt;0),6,""))),"")</f>
        <v/>
      </c>
      <c r="BG48" s="82">
        <v>11</v>
      </c>
      <c r="BH48" s="82">
        <v>2</v>
      </c>
      <c r="BI48" s="82">
        <v>1</v>
      </c>
      <c r="BJ48" s="82">
        <v>12</v>
      </c>
      <c r="BK48" s="82">
        <v>13</v>
      </c>
      <c r="BL48" s="82">
        <v>14</v>
      </c>
      <c r="BM48" s="82">
        <v>15</v>
      </c>
      <c r="BN48" s="82">
        <v>10</v>
      </c>
      <c r="BO48" s="82">
        <v>3</v>
      </c>
      <c r="BZ48" s="19"/>
      <c r="CA48" s="19"/>
    </row>
    <row r="49" spans="1:79" ht="12" customHeight="1" x14ac:dyDescent="0.25">
      <c r="C49" s="4"/>
      <c r="G49" s="91" t="str">
        <f>IF(ISNUMBER($AI$78),$O$10,"")</f>
        <v/>
      </c>
      <c r="H49" s="90" t="str">
        <f>IF(ISNUMBER($AI$78),"FWL","")</f>
        <v/>
      </c>
      <c r="I49" s="154"/>
      <c r="J49" s="153"/>
      <c r="K49" s="153"/>
      <c r="L49" s="13"/>
      <c r="M49" s="14"/>
      <c r="Q49" s="91" t="str">
        <f>IF(ISNUMBER($AK$78),$O$10,"")</f>
        <v/>
      </c>
      <c r="R49" s="90" t="str">
        <f>IF(ISNUMBER($AK$78),"FEL","")</f>
        <v/>
      </c>
      <c r="S49" s="154"/>
      <c r="T49" s="153"/>
      <c r="V49" s="22"/>
      <c r="AA49" s="5"/>
      <c r="AB49" s="29"/>
      <c r="AC49" s="944"/>
      <c r="AD49" s="911"/>
      <c r="AE49" s="80" t="str">
        <f>IF(ISNUMBER($AE$45),AE$45,IF(ISNUMBER($AG$46),AE$46,IF(ISNUMBER($AI$47),AE$47,IF(ISNUMBER($AK$48),AE$48,""))))</f>
        <v/>
      </c>
      <c r="AF49" s="80" t="str">
        <f>IF(ISNUMBER($AF$45),AF$45,IF(ISNUMBER($AH$46),AF$46,IF(ISNUMBER($AJ$47),AF$47,IF(ISNUMBER($AL$48),AF$48,""))))</f>
        <v/>
      </c>
      <c r="AG49" s="80" t="str">
        <f>IF(ISNUMBER($AE$45),AG$45,IF(ISNUMBER($AG$46),AG$46,IF(ISNUMBER($AI$47),AG$47,IF(ISNUMBER($AK$48),AG$48,""))))</f>
        <v/>
      </c>
      <c r="AH49" s="80" t="str">
        <f>IF(ISNUMBER($AF$45),AH$45,IF(ISNUMBER($AH$46),AH$46,IF(ISNUMBER($AJ$47),AH$47,IF(ISNUMBER($AL$48),AH$48,""))))</f>
        <v/>
      </c>
      <c r="AI49" s="80" t="str">
        <f>IF(ISNUMBER($AE$45),AI$45,IF(ISNUMBER($AG$46),AI$46,IF(ISNUMBER($AI$47),AI$47,IF(ISNUMBER($AK$48),AI$48,""))))</f>
        <v/>
      </c>
      <c r="AJ49" s="80" t="str">
        <f>IF(ISNUMBER($AF$45),AJ$45,IF(ISNUMBER($AH$46),AJ$46,IF(ISNUMBER($AJ$47),AJ$47,IF(ISNUMBER($AL$48),AJ$48,""))))</f>
        <v/>
      </c>
      <c r="AK49" s="80" t="str">
        <f>IF(ISNUMBER($AE$45),AK$45,IF(ISNUMBER($AG$46),AK$46,IF(ISNUMBER($AI$47),AK$47,IF(ISNUMBER($AK$48),AK$48,""))))</f>
        <v/>
      </c>
      <c r="AL49" s="80" t="str">
        <f>IF(ISNUMBER($AF$45),AL$45,IF(ISNUMBER($AH$46),AL$46,IF(ISNUMBER($AJ$47),AL$47,IF(ISNUMBER($AL$48),AL$48,""))))</f>
        <v/>
      </c>
      <c r="AM49" s="80" t="str">
        <f>IF(ISNUMBER($AE$45),AM$45,IF(ISNUMBER($AG$46),AM$46,IF(ISNUMBER($AI$47),AM$47,IF(ISNUMBER($AK$48),AM$48,""))))</f>
        <v/>
      </c>
      <c r="AN49" s="80" t="str">
        <f>IF(ISNUMBER($AF$45),AN$45,IF(ISNUMBER($AH$46),AN$46,IF(ISNUMBER($AJ$47),AN$47,IF(ISNUMBER($AL$48),AN$48,""))))</f>
        <v/>
      </c>
      <c r="AO49" s="80" t="str">
        <f>IF(ISNUMBER($AE$45),AO$45,IF(ISNUMBER($AG$46),AO$46,IF(ISNUMBER($AI$47),AO$47,IF(ISNUMBER($AK$48),AO$48,""))))</f>
        <v/>
      </c>
      <c r="AP49" s="80" t="str">
        <f>IF(ISNUMBER($AF$45),AP$45,IF(ISNUMBER($AH$46),AP$46,IF(ISNUMBER($AJ$47),AP$47,IF(ISNUMBER($AL$48),AP$48,""))))</f>
        <v/>
      </c>
      <c r="AQ49" s="80" t="str">
        <f>IF(ISNUMBER($AE$45),AQ$45,IF(ISNUMBER($AG$46),AQ$46,IF(ISNUMBER($AI$47),AQ$47,IF(ISNUMBER($AK$48),AQ$48,""))))</f>
        <v/>
      </c>
      <c r="AR49" s="80" t="str">
        <f>IF(ISNUMBER($AF$45),AR$45,IF(ISNUMBER($AH$46),AR$46,IF(ISNUMBER($AJ$47),AR$47,IF(ISNUMBER($AL$48),AR$48,""))))</f>
        <v/>
      </c>
      <c r="AS49" s="80" t="str">
        <f>IF(ISNUMBER($AE$45),AS$45,IF(ISNUMBER($AG$46),AS$46,IF(ISNUMBER($AI$47),AS$47,IF(ISNUMBER($AK$48),AS$48,""))))</f>
        <v/>
      </c>
      <c r="AT49" s="80" t="str">
        <f>IF(ISNUMBER($AF$45),AT$45,IF(ISNUMBER($AH$46),AT$46,IF(ISNUMBER($AJ$47),AT$47,IF(ISNUMBER($AL$48),AT$48,""))))</f>
        <v/>
      </c>
      <c r="AV49" s="81"/>
      <c r="AW49" s="81"/>
      <c r="AX49" s="81"/>
      <c r="AY49" s="81"/>
      <c r="AZ49" s="81"/>
      <c r="BA49" s="81"/>
      <c r="BB49" s="81" t="s">
        <v>295</v>
      </c>
      <c r="BD49" s="756">
        <v>4</v>
      </c>
      <c r="BE49" s="758" t="s">
        <v>276</v>
      </c>
      <c r="BF49" s="120" t="str">
        <f>IF(AND(ISNUMBER($AK$48), ISNUMBER($AL$48)),IF(AND(IF(-$AL$48&lt;$BS$20,$AT$96,$AT$95)&lt;0,$AL$48&lt;0),6,IF(AND($AK$48&lt;0,$AL$48&gt;0),5,IF(AND($AK$48&gt;0,IF($AK$48&lt;$BT$20,$AU$96,$AU$93)&lt;0),4,""))),"")</f>
        <v/>
      </c>
      <c r="BG49" s="82">
        <v>12</v>
      </c>
      <c r="BH49" s="82">
        <v>1</v>
      </c>
      <c r="BI49" s="82">
        <v>6</v>
      </c>
      <c r="BJ49" s="82">
        <v>7</v>
      </c>
      <c r="BK49" s="82">
        <v>18</v>
      </c>
      <c r="BL49" s="82">
        <v>13</v>
      </c>
      <c r="BM49" s="82">
        <v>14</v>
      </c>
      <c r="BN49" s="82">
        <v>11</v>
      </c>
      <c r="BO49" s="82">
        <v>2</v>
      </c>
      <c r="BZ49" s="19"/>
      <c r="CA49" s="19"/>
    </row>
    <row r="50" spans="1:79" ht="12" customHeight="1" x14ac:dyDescent="0.25">
      <c r="B50" s="44" t="e">
        <f>IF($L$39='SHL Section'!$L$38,'SHL Section'!$B$49,IF($L$39='BHL Section 1'!$L$38,'BHL Section 1'!$B$49,IF($L$39='BHL Section 2'!$L$38,'BHL Section 2'!$B$49,IF($L$39='BHL Section 3'!$L$38,'BHL Section 3'!$B$49,$B$51))))</f>
        <v>#VALUE!</v>
      </c>
      <c r="C50" s="4"/>
      <c r="G50" s="99" t="str">
        <f>IF(ISNUMBER($AI$89),$C$11,"")</f>
        <v/>
      </c>
      <c r="H50" s="150" t="str">
        <f>IF(AND(G51="",G52=""),"",IF($AI$89=1,"NE/SW",IF($AI$89=2,"NW/SW",IF($AI$89=3,"SW/SW",IF($AI$89=4,"SE/SW","")))))</f>
        <v/>
      </c>
      <c r="I50" s="154"/>
      <c r="J50" s="153"/>
      <c r="K50" s="153"/>
      <c r="L50" s="13"/>
      <c r="M50" s="14"/>
      <c r="Q50" s="99" t="str">
        <f>IF(ISNUMBER($AK$89),$C$11,"")</f>
        <v/>
      </c>
      <c r="R50" s="150" t="str">
        <f>IF(AND(Q51="",Q52=""),"",IF($AK$89=1,"NE/SE",IF($AK$89=2,"NW/SE",IF($AK$89=3,"SW/SE",IF($AK$89=4,"SE/SE","")))))</f>
        <v/>
      </c>
      <c r="S50" s="154"/>
      <c r="T50" s="153"/>
      <c r="U50" s="5"/>
      <c r="V50" s="22"/>
      <c r="W50" s="44" t="e">
        <f>IF($L$39='SHL Section'!$L$38,'SHL Section'!$W$49,IF($L$39='BHL Section 1'!$L$38,'BHL Section 1'!$W$49,IF($L$39='BHL Section 2'!$L$38,'BHL Section 2'!$W$49,IF($L$39='BHL Section 3'!$L$38,'BHL Section 3'!$W$49,$W$51))))</f>
        <v>#VALUE!</v>
      </c>
      <c r="AA50" s="5"/>
      <c r="AB50" s="29"/>
      <c r="AC50" s="53"/>
      <c r="AD50" s="53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V50" s="81"/>
      <c r="AW50" s="81"/>
      <c r="AX50" s="81"/>
      <c r="AY50" s="81"/>
      <c r="AZ50" s="81"/>
      <c r="BA50" s="81"/>
      <c r="BB50" s="81" t="s">
        <v>296</v>
      </c>
      <c r="BG50" s="82">
        <v>13</v>
      </c>
      <c r="BH50" s="82">
        <v>12</v>
      </c>
      <c r="BI50" s="82">
        <v>7</v>
      </c>
      <c r="BJ50" s="82">
        <v>18</v>
      </c>
      <c r="BK50" s="82">
        <v>19</v>
      </c>
      <c r="BL50" s="82">
        <v>24</v>
      </c>
      <c r="BM50" s="82">
        <v>23</v>
      </c>
      <c r="BN50" s="82">
        <v>14</v>
      </c>
      <c r="BO50" s="82">
        <v>11</v>
      </c>
      <c r="BZ50" s="19"/>
      <c r="CA50" s="19"/>
    </row>
    <row r="51" spans="1:79" ht="12" customHeight="1" x14ac:dyDescent="0.25">
      <c r="A51" s="17" t="s">
        <v>118</v>
      </c>
      <c r="B51" s="110"/>
      <c r="C51" s="4"/>
      <c r="G51" s="151" t="str">
        <f>IF(ISNUMBER($AI$89),$M$11,"")</f>
        <v/>
      </c>
      <c r="H51" s="152" t="str">
        <f>IF(ISNUMBER($AI$89),"FSL","")</f>
        <v/>
      </c>
      <c r="I51" s="154"/>
      <c r="J51" s="153"/>
      <c r="K51" s="153"/>
      <c r="L51" s="13"/>
      <c r="M51" s="14"/>
      <c r="Q51" s="151" t="str">
        <f>IF(ISNUMBER($AK$89),$M$11,"")</f>
        <v/>
      </c>
      <c r="R51" s="152" t="str">
        <f>IF(ISNUMBER($AK$89),"FSL","")</f>
        <v/>
      </c>
      <c r="S51" s="154"/>
      <c r="T51" s="153"/>
      <c r="U51" s="5"/>
      <c r="V51" s="22"/>
      <c r="W51" s="162"/>
      <c r="X51" s="25" t="s">
        <v>118</v>
      </c>
      <c r="AA51" s="5"/>
      <c r="AB51" s="29"/>
      <c r="AV51" s="81"/>
      <c r="AW51" s="81"/>
      <c r="AX51" s="168" t="s">
        <v>409</v>
      </c>
      <c r="AY51" s="169">
        <v>1</v>
      </c>
      <c r="AZ51" s="169"/>
      <c r="BA51" s="81"/>
      <c r="BB51" s="81" t="s">
        <v>297</v>
      </c>
      <c r="BD51" s="39" t="s">
        <v>360</v>
      </c>
      <c r="BE51" s="41" t="str">
        <f>IF(OR(ISNUMBER($BF$38),ISNUMBER($BF$39),ISNUMBER($BF$40),ISNUMBER($BF$41)),VLOOKUP($V$8,$BG$38:$BO$73,MAX($BF$38:$BF$41),FALSE),$V$8)</f>
        <v>W</v>
      </c>
      <c r="BG51" s="82">
        <v>14</v>
      </c>
      <c r="BH51" s="82">
        <v>11</v>
      </c>
      <c r="BI51" s="82">
        <v>12</v>
      </c>
      <c r="BJ51" s="82">
        <v>13</v>
      </c>
      <c r="BK51" s="82">
        <v>24</v>
      </c>
      <c r="BL51" s="82">
        <v>23</v>
      </c>
      <c r="BM51" s="82">
        <v>22</v>
      </c>
      <c r="BN51" s="82">
        <v>15</v>
      </c>
      <c r="BO51" s="82">
        <v>10</v>
      </c>
      <c r="BZ51" s="19"/>
      <c r="CA51" s="19"/>
    </row>
    <row r="52" spans="1:79" ht="12" customHeight="1" x14ac:dyDescent="0.25">
      <c r="A52" s="17" t="s">
        <v>124</v>
      </c>
      <c r="B52" s="111"/>
      <c r="C52" s="4"/>
      <c r="G52" s="91" t="str">
        <f>IF(ISNUMBER($AI$89),$O$11,"")</f>
        <v/>
      </c>
      <c r="H52" s="90" t="str">
        <f>IF(ISNUMBER($AI$89),"FWL","")</f>
        <v/>
      </c>
      <c r="I52" s="154"/>
      <c r="J52" s="153"/>
      <c r="K52" s="153"/>
      <c r="L52" s="13"/>
      <c r="M52" s="14"/>
      <c r="Q52" s="91" t="str">
        <f>IF(ISNUMBER($AK$89),$O$11,"")</f>
        <v/>
      </c>
      <c r="R52" s="90" t="str">
        <f>IF(ISNUMBER($AK$89),"FEL","")</f>
        <v/>
      </c>
      <c r="S52" s="154"/>
      <c r="T52" s="153"/>
      <c r="U52" s="5"/>
      <c r="V52" s="22"/>
      <c r="W52" s="147"/>
      <c r="X52" s="25" t="s">
        <v>124</v>
      </c>
      <c r="AA52" s="5"/>
      <c r="AB52" s="29"/>
      <c r="AC52" s="53"/>
      <c r="AD52" s="53"/>
      <c r="AE52" s="949" t="s">
        <v>351</v>
      </c>
      <c r="AF52" s="911"/>
      <c r="AG52" s="961" t="s">
        <v>352</v>
      </c>
      <c r="AH52" s="859"/>
      <c r="AI52" s="949" t="s">
        <v>353</v>
      </c>
      <c r="AJ52" s="911"/>
      <c r="AK52" s="949" t="s">
        <v>354</v>
      </c>
      <c r="AL52" s="911"/>
      <c r="AV52" s="81"/>
      <c r="AW52" s="81"/>
      <c r="AX52" s="81"/>
      <c r="AY52" s="81"/>
      <c r="AZ52" s="81"/>
      <c r="BA52" s="81"/>
      <c r="BB52" s="81" t="s">
        <v>298</v>
      </c>
      <c r="BD52" s="37"/>
      <c r="BE52" s="36" t="e">
        <f>IF(MAX($AE$67:$AL$67)&gt;0,$BE$51,IF(OR(ISNUMBER('BHL Section 1'!$BG$37),ISNUMBER('BHL Section 1'!$BG$38),ISNUMBER('BHL Section 1'!$BG$39),ISNUMBER('BHL Section 1'!$BG$40)),VLOOKUP($BE$51,$BG$38:$BO$73,MAX('BHL Section 1'!$BG$37:$BG$40),FALSE),$BE$51))</f>
        <v>#VALUE!</v>
      </c>
      <c r="BG52" s="82">
        <v>15</v>
      </c>
      <c r="BH52" s="82">
        <v>10</v>
      </c>
      <c r="BI52" s="82">
        <v>11</v>
      </c>
      <c r="BJ52" s="82">
        <v>14</v>
      </c>
      <c r="BK52" s="82">
        <v>23</v>
      </c>
      <c r="BL52" s="82">
        <v>22</v>
      </c>
      <c r="BM52" s="82">
        <v>21</v>
      </c>
      <c r="BN52" s="82">
        <v>16</v>
      </c>
      <c r="BO52" s="82">
        <v>9</v>
      </c>
      <c r="BZ52" s="19"/>
      <c r="CA52" s="19"/>
    </row>
    <row r="53" spans="1:79" ht="12" customHeight="1" x14ac:dyDescent="0.25">
      <c r="A53" s="17" t="s">
        <v>130</v>
      </c>
      <c r="B53" s="111"/>
      <c r="C53" s="4"/>
      <c r="I53" s="154"/>
      <c r="J53" s="153"/>
      <c r="K53" s="153"/>
      <c r="L53" s="13"/>
      <c r="M53" s="14"/>
      <c r="P53" s="19"/>
      <c r="S53" s="154"/>
      <c r="T53" s="153"/>
      <c r="U53" s="5"/>
      <c r="V53" s="22"/>
      <c r="W53" s="147"/>
      <c r="X53" s="25" t="s">
        <v>130</v>
      </c>
      <c r="AA53" s="5"/>
      <c r="AB53" s="29"/>
      <c r="AD53" s="53"/>
      <c r="AE53" s="949">
        <v>1</v>
      </c>
      <c r="AF53" s="911"/>
      <c r="AG53" s="949">
        <v>2</v>
      </c>
      <c r="AH53" s="911"/>
      <c r="AI53" s="949">
        <v>3</v>
      </c>
      <c r="AJ53" s="911"/>
      <c r="AK53" s="949">
        <v>4</v>
      </c>
      <c r="AL53" s="911"/>
      <c r="AV53" s="81"/>
      <c r="AW53" s="81"/>
      <c r="AX53" s="81"/>
      <c r="AY53" s="81"/>
      <c r="AZ53" s="81"/>
      <c r="BA53" s="81"/>
      <c r="BB53" s="81" t="s">
        <v>299</v>
      </c>
      <c r="BD53" s="121"/>
      <c r="BE53" s="120" t="e">
        <f>IF(MAX('BHL Section 1'!$AF$58:$AM$58)&gt;0,$BE$52,IF(OR(ISNUMBER('BHL Section 2'!$BG$37),ISNUMBER('BHL Section 2'!$BG$38),ISNUMBER('BHL Section 2'!$BG$39),ISNUMBER('BHL Section 2'!$BG$40)),VLOOKUP($BE$52,$BG$38:$BO$73,MAX('BHL Section 2'!$BG$37:$BG$40),FALSE),$BE$52))</f>
        <v>#VALUE!</v>
      </c>
      <c r="BG53" s="82">
        <v>16</v>
      </c>
      <c r="BH53" s="82">
        <v>9</v>
      </c>
      <c r="BI53" s="82">
        <v>10</v>
      </c>
      <c r="BJ53" s="82">
        <v>15</v>
      </c>
      <c r="BK53" s="82">
        <v>22</v>
      </c>
      <c r="BL53" s="82">
        <v>21</v>
      </c>
      <c r="BM53" s="82">
        <v>20</v>
      </c>
      <c r="BN53" s="82">
        <v>17</v>
      </c>
      <c r="BO53" s="82">
        <v>8</v>
      </c>
      <c r="BZ53" s="19"/>
      <c r="CA53" s="19"/>
    </row>
    <row r="54" spans="1:79" ht="12" customHeight="1" x14ac:dyDescent="0.25">
      <c r="A54" s="17" t="s">
        <v>134</v>
      </c>
      <c r="B54" s="111"/>
      <c r="C54" s="4"/>
      <c r="I54" s="154"/>
      <c r="J54" s="153"/>
      <c r="K54" s="153"/>
      <c r="L54" s="13"/>
      <c r="M54" s="14"/>
      <c r="P54" s="19"/>
      <c r="S54" s="154"/>
      <c r="T54" s="153"/>
      <c r="U54" s="5"/>
      <c r="V54" s="22"/>
      <c r="W54" s="147"/>
      <c r="X54" s="25" t="s">
        <v>134</v>
      </c>
      <c r="AA54" s="5"/>
      <c r="AB54" s="29"/>
      <c r="AD54" s="53"/>
      <c r="AE54" s="87"/>
      <c r="AF54" s="88"/>
      <c r="AG54" s="89"/>
      <c r="AH54" s="89"/>
      <c r="AI54" s="87"/>
      <c r="AJ54" s="88"/>
      <c r="AK54" s="87"/>
      <c r="AL54" s="88"/>
      <c r="BD54" s="39" t="s">
        <v>362</v>
      </c>
      <c r="BE54" s="41" t="b">
        <f>IF(OR(ISNUMBER($BF$38),ISNUMBER($BF$39),ISNUMBER($BF$40),ISNUMBER($BF$41)),$BE$51,IF(OR(ISNUMBER($BF$42),ISNUMBER($BF$43),ISNUMBER($BF$44),ISNUMBER($BF$45)),VLOOKUP($V$8,$BG$38:$BO$73,MAX($BF$42:$BF$45),FALSE)))</f>
        <v>0</v>
      </c>
      <c r="BG54" s="82">
        <v>17</v>
      </c>
      <c r="BH54" s="82">
        <v>8</v>
      </c>
      <c r="BI54" s="82">
        <v>9</v>
      </c>
      <c r="BJ54" s="82">
        <v>16</v>
      </c>
      <c r="BK54" s="82">
        <v>21</v>
      </c>
      <c r="BL54" s="82">
        <v>20</v>
      </c>
      <c r="BM54" s="82">
        <v>19</v>
      </c>
      <c r="BN54" s="82">
        <v>18</v>
      </c>
      <c r="BO54" s="82">
        <v>7</v>
      </c>
      <c r="BZ54" s="19"/>
      <c r="CA54" s="19"/>
    </row>
    <row r="55" spans="1:79" ht="12" customHeight="1" x14ac:dyDescent="0.25">
      <c r="A55" s="17" t="s">
        <v>140</v>
      </c>
      <c r="B55" s="112">
        <v>1</v>
      </c>
      <c r="C55" s="4"/>
      <c r="F55" s="815"/>
      <c r="I55" s="154"/>
      <c r="J55" s="153"/>
      <c r="K55" s="153"/>
      <c r="L55" s="13"/>
      <c r="M55" s="14"/>
      <c r="P55" s="815"/>
      <c r="S55" s="154"/>
      <c r="T55" s="153"/>
      <c r="U55" s="5"/>
      <c r="V55" s="22"/>
      <c r="W55" s="112">
        <v>4</v>
      </c>
      <c r="X55" s="25" t="s">
        <v>140</v>
      </c>
      <c r="AA55" s="5"/>
      <c r="AB55" s="29"/>
      <c r="AE55" s="939" t="s">
        <v>355</v>
      </c>
      <c r="AF55" s="882"/>
      <c r="AG55" s="943" t="s">
        <v>355</v>
      </c>
      <c r="AH55" s="832"/>
      <c r="AI55" s="939" t="s">
        <v>355</v>
      </c>
      <c r="AJ55" s="882"/>
      <c r="AK55" s="939" t="s">
        <v>355</v>
      </c>
      <c r="AL55" s="882"/>
      <c r="BD55" s="37"/>
      <c r="BE55" s="36" t="e">
        <f>IF(MAX($AE$78:$AL$78)&gt;0,$BE$54,IF(OR(ISNUMBER('BHL Section 1'!$BG$41),ISNUMBER('BHL Section 1'!$BG$42),ISNUMBER('BHL Section 1'!$BG$43),ISNUMBER('BHL Section 1'!$BG$44)),VLOOKUP($BE$54,$BG$38:$BO$73,MAX('BHL Section 1'!$BG$41:$BG$44),FALSE),$BE$54))</f>
        <v>#VALUE!</v>
      </c>
      <c r="BG55" s="82">
        <v>18</v>
      </c>
      <c r="BH55" s="82">
        <v>7</v>
      </c>
      <c r="BI55" s="82">
        <v>8</v>
      </c>
      <c r="BJ55" s="82">
        <v>17</v>
      </c>
      <c r="BK55" s="82">
        <v>20</v>
      </c>
      <c r="BL55" s="82">
        <v>19</v>
      </c>
      <c r="BM55" s="82">
        <v>24</v>
      </c>
      <c r="BN55" s="82">
        <v>13</v>
      </c>
      <c r="BO55" s="82">
        <v>12</v>
      </c>
      <c r="BZ55" s="19"/>
      <c r="CA55" s="19"/>
    </row>
    <row r="56" spans="1:79" ht="12" customHeight="1" thickBot="1" x14ac:dyDescent="0.3">
      <c r="A56" s="17" t="s">
        <v>144</v>
      </c>
      <c r="B56" s="27" t="e">
        <f>IF($L$39='SHL Section'!$L$38,IF('SHL Section'!$B$54="","",'SHL Section'!$B$54),IF($L$39='BHL Section 1'!$L$38,IF('BHL Section 1'!$B$55="","",'BHL Section 1'!$B$55),IF($L$39='BHL Section 2'!$L$38,IF('BHL Section 2'!$B$55="","",'BHL Section 2'!$B$55),IF($L$39='BHL Section 3'!$L$38,IF('BHL Section 3'!$B$55="","",'BHL Section 3'!$B$55),IF(B52="","",IF(OR(B55=1,B55=4),180-(B52+B53/60+B54/3600),(B52+B53/60+B54/3600)))))))</f>
        <v>#VALUE!</v>
      </c>
      <c r="C56" s="6"/>
      <c r="D56" s="2"/>
      <c r="E56" s="2"/>
      <c r="F56" s="2"/>
      <c r="G56" s="2"/>
      <c r="H56" s="2"/>
      <c r="I56" s="2"/>
      <c r="J56" s="2"/>
      <c r="K56" s="2"/>
      <c r="L56" s="15"/>
      <c r="M56" s="16"/>
      <c r="N56" s="2"/>
      <c r="O56" s="2"/>
      <c r="P56" s="2"/>
      <c r="Q56" s="2"/>
      <c r="R56" s="2"/>
      <c r="S56" s="2"/>
      <c r="T56" s="2"/>
      <c r="U56" s="2"/>
      <c r="V56" s="23"/>
      <c r="W56" s="27" t="e">
        <f>IF($L$39='SHL Section'!$L$38,IF('SHL Section'!$W$54="","",'SHL Section'!$W$54),IF($L$39='BHL Section 1'!$L$38,IF('BHL Section 1'!$W$55="","",'BHL Section 1'!$W$55),IF($L$39='BHL Section 2'!$L$38,IF('BHL Section 2'!$W$55="","",'BHL Section 2'!$W$55),IF($L$39='BHL Section 3'!$L$38,IF('BHL Section 3'!$W$55="","",'BHL Section 3'!$W$55),IF(W52="","",IF(OR(W55=1,W55=4),180-(W52+W53/60+W54/3600),(W52+W53/60+W54/3600)))))))</f>
        <v>#VALUE!</v>
      </c>
      <c r="X56" s="25" t="s">
        <v>144</v>
      </c>
      <c r="AA56" s="5"/>
      <c r="AB56" s="29"/>
      <c r="AE56" s="944" t="str">
        <f>IF($AE$27="","",IF(AND((-$AE$27+$AF$27*$AV$20/$AW$20)&gt;0,-$AE$27&lt;$BZ$20,(-$AF$27+$AE$27*$CA$20/$BZ$20)&gt;0,-$AF$27&lt;$AW$20),1,IF(AND((-$AE$27-$AV$20+($AF$27+$AW$20)*$AX$20/$AY$20)&gt;0,-$AE$27&lt;$BZ$20,-$AF$27&gt;$AW$20,-$AF$27&lt;$AX$23),2,IF(AND(-$AE$27&lt;$BY$23,-$AE$27&gt;$BZ$20,-$AF$27&gt;$AW$20,-$AF$27&lt;$AX$23),3,IF(AND(-$AE$27&lt;$BY$23,-$AE$27&gt;$BZ$20,(-$AF$27-$CA$20-(-$AE$27-$BZ$20)*$BY$20/$BX$20)&gt;0,-$AF$27&lt;$AW$20),4,"")))))</f>
        <v/>
      </c>
      <c r="AF56" s="911"/>
      <c r="AG56" s="944" t="str">
        <f>IF($AG$28="","",IF(AND((-$AG$28+$BB$20+($AH$28-$BC$20)*$AZ$20/$BA$20)&gt;0,-$AG$28&lt;$BD$20,$AH$28&gt;$BC$20,$AH$28&lt;$BB$23),1,IF(AND((-$AG$28+$AH$28*$BB$20/$BC$20)&gt;0,-$AG$28&lt;$BD$20,($AH$28-$AG$28*$BE$20/$BD$20)&gt;0,$AH$28&lt;$BC$20),2,IF(AND(-$AG$28&gt;$BD$20,-$AG$28&lt;$BE$23,($AH$28+$BE$20+(-$AG$28-$BD$20)*$BG$20/$BF$20)&gt;0,$AH$28&lt;$BC$20),3,IF(AND(-$AG$28&gt;$BD$20,-$AG$28&lt;$BE$23,$AH$28&gt;$BC$20,$AH$28&lt;$BB$23),4,"")))))</f>
        <v/>
      </c>
      <c r="AH56" s="911"/>
      <c r="AI56" s="944" t="str">
        <f>IF($AI$29="","",IF(AND($AI$29&gt;$BJ$20,$AI$29&lt;$BI$23,$AJ$29&gt;$BM$20,$AJ$29&lt;$BN$23),1,IF(AND($AI$29&gt;$BJ$20,$AI$29&lt;$BI$23,($AJ$29-$BK$20-($AI$29-$BJ$20)*$BI$20/$BH$20)&gt;0,$AJ$29&lt;$BM$20),2,IF(AND(($AI$29-$AJ$29*$BL$20/$BM$20)&gt;0,$AI$29&lt;$BJ$20,($AJ$29-$AI$29*$BK$20/$BJ$20)&gt;0,$AJ$29&lt;$BM$20),3,IF(AND(($AI$29-$BL$20-($AJ$29-$BM$20)*$BN$20/$BO$20)&gt;0,$AI$29&lt;$BJ$20,$AJ$29&gt;$BM$20,$AJ$29&lt;$BN$23),4,"")))))</f>
        <v/>
      </c>
      <c r="AJ56" s="911"/>
      <c r="AK56" s="944" t="str">
        <f>IF($AK$30="","",IF(AND($AK$30&gt;$BT$20,$AK$30&lt;$BU$23,(-$AL$30+$BU$20+($AK$30-$BT$20)*$BW$20/$BV$20)&gt;0,-$AL$30&lt;$BS$20),1,IF(AND($AK$30&gt;$BT$20,$AK$30&lt;$BU$23,-$AL$30&gt;$BS$20,-$AL$30&lt;$BR$23),2,IF(AND(($AK$30+$BR$20+(-$AL$30-$BS$20)*$BP$20/$BQ$20)&gt;0,$AK$30&lt;$BT$20,-$AL$30&gt;$BS$20,-$AL$30&lt;$BR$23),3,IF(AND(($AK$30-$AL$30*$BR$20/$BS$20)&gt;0,$AK$30&lt;$BT$20,(-$AL$30+$AK$30*$BU$20/$BT$20)&gt;0,-$AL$30&lt;$BS$20),4,"")))))</f>
        <v/>
      </c>
      <c r="AL56" s="911"/>
      <c r="AW56" s="19">
        <v>1</v>
      </c>
      <c r="AX56" s="19">
        <v>2</v>
      </c>
      <c r="AY56" s="19">
        <v>3</v>
      </c>
      <c r="AZ56" s="19">
        <v>4</v>
      </c>
      <c r="BD56" s="121"/>
      <c r="BE56" s="120" t="e">
        <f>IF(MAX('BHL Section 1'!$AF$69:$AM$69)&gt;0,$BE$55,IF(OR(ISNUMBER('BHL Section 2'!$BG$41),ISNUMBER('BHL Section 2'!$BG$42),ISNUMBER('BHL Section 2'!$BG$43),ISNUMBER('BHL Section 2'!$BG$44)),VLOOKUP($BE$55,$BG$38:$BO$73,MAX('BHL Section 2'!$BG$41:$BG$44),FALSE),$BE$55))</f>
        <v>#VALUE!</v>
      </c>
      <c r="BG56" s="82">
        <v>19</v>
      </c>
      <c r="BH56" s="82">
        <v>18</v>
      </c>
      <c r="BI56" s="82">
        <v>17</v>
      </c>
      <c r="BJ56" s="82">
        <v>20</v>
      </c>
      <c r="BK56" s="82">
        <v>29</v>
      </c>
      <c r="BL56" s="82">
        <v>30</v>
      </c>
      <c r="BM56" s="82">
        <v>25</v>
      </c>
      <c r="BN56" s="82">
        <v>24</v>
      </c>
      <c r="BO56" s="82">
        <v>13</v>
      </c>
      <c r="BZ56" s="19"/>
      <c r="CA56" s="19"/>
    </row>
    <row r="57" spans="1:79" x14ac:dyDescent="0.25">
      <c r="B57" s="955" t="str">
        <f>CONCATENATE("SW SC of ",$L$39)</f>
        <v>SW SC of 3</v>
      </c>
      <c r="C57" s="904"/>
      <c r="D57" s="17" t="s">
        <v>118</v>
      </c>
      <c r="E57" s="115"/>
      <c r="J57" s="17" t="s">
        <v>118</v>
      </c>
      <c r="K57" s="113"/>
      <c r="L57" s="942" t="str">
        <f>CONCATENATE("S QC of ",$L$39)</f>
        <v>S QC of 3</v>
      </c>
      <c r="M57" s="844"/>
      <c r="N57" s="17" t="s">
        <v>118</v>
      </c>
      <c r="O57" s="115"/>
      <c r="T57" s="17" t="s">
        <v>118</v>
      </c>
      <c r="U57" s="115"/>
      <c r="V57" s="960" t="str">
        <f>CONCATENATE("SE SC of ",$L$39)</f>
        <v>SE SC of 3</v>
      </c>
      <c r="W57" s="904"/>
      <c r="AA57" s="5"/>
      <c r="AB57" s="29"/>
      <c r="AE57" s="87"/>
      <c r="AF57" s="88"/>
      <c r="AG57" s="89"/>
      <c r="AH57" s="89"/>
      <c r="AI57" s="87"/>
      <c r="AJ57" s="88"/>
      <c r="AK57" s="87"/>
      <c r="AL57" s="88"/>
      <c r="AV57" s="19">
        <v>1</v>
      </c>
      <c r="AW57" s="82" t="s">
        <v>281</v>
      </c>
      <c r="AX57" s="82" t="s">
        <v>288</v>
      </c>
      <c r="AY57" s="82" t="s">
        <v>292</v>
      </c>
      <c r="AZ57" s="82" t="s">
        <v>296</v>
      </c>
      <c r="BD57" s="39" t="s">
        <v>365</v>
      </c>
      <c r="BE57" s="41" t="b">
        <f>IF(OR(ISNUMBER($BF$38),ISNUMBER($BF$39),ISNUMBER($BF$40),ISNUMBER($BF$41)),$BE$51,IF(OR(ISNUMBER($BF$46),ISNUMBER($BF$47),ISNUMBER($BF$48),ISNUMBER($BF$49)),VLOOKUP($V$8,$BG$38:$BO$73,MAX($BF$46:$BF$49),FALSE)))</f>
        <v>0</v>
      </c>
      <c r="BG57" s="82">
        <v>20</v>
      </c>
      <c r="BH57" s="82">
        <v>17</v>
      </c>
      <c r="BI57" s="82">
        <v>16</v>
      </c>
      <c r="BJ57" s="82">
        <v>21</v>
      </c>
      <c r="BK57" s="82">
        <v>28</v>
      </c>
      <c r="BL57" s="82">
        <v>29</v>
      </c>
      <c r="BM57" s="82">
        <v>30</v>
      </c>
      <c r="BN57" s="82">
        <v>19</v>
      </c>
      <c r="BO57" s="82">
        <v>18</v>
      </c>
      <c r="BZ57" s="19"/>
      <c r="CA57" s="19"/>
    </row>
    <row r="58" spans="1:79" ht="12" customHeight="1" x14ac:dyDescent="0.25">
      <c r="D58" s="17" t="s">
        <v>124</v>
      </c>
      <c r="E58" s="111"/>
      <c r="F58" s="20"/>
      <c r="G58" s="20"/>
      <c r="H58" s="20"/>
      <c r="I58" s="20"/>
      <c r="J58" s="17" t="s">
        <v>124</v>
      </c>
      <c r="K58" s="114"/>
      <c r="N58" s="17" t="s">
        <v>124</v>
      </c>
      <c r="O58" s="111"/>
      <c r="P58" s="20"/>
      <c r="Q58" s="20"/>
      <c r="R58" s="20"/>
      <c r="S58" s="20"/>
      <c r="T58" s="17" t="s">
        <v>124</v>
      </c>
      <c r="U58" s="111"/>
      <c r="AA58" s="5"/>
      <c r="AB58" s="29"/>
      <c r="AE58" s="939" t="s">
        <v>410</v>
      </c>
      <c r="AF58" s="882"/>
      <c r="AG58" s="939" t="s">
        <v>411</v>
      </c>
      <c r="AH58" s="882"/>
      <c r="AI58" s="939" t="s">
        <v>412</v>
      </c>
      <c r="AJ58" s="882"/>
      <c r="AK58" s="939" t="s">
        <v>413</v>
      </c>
      <c r="AL58" s="882"/>
      <c r="AV58" s="19">
        <v>2</v>
      </c>
      <c r="AW58" s="82" t="s">
        <v>283</v>
      </c>
      <c r="AX58" s="82" t="s">
        <v>289</v>
      </c>
      <c r="AY58" s="82" t="s">
        <v>293</v>
      </c>
      <c r="AZ58" s="82" t="s">
        <v>297</v>
      </c>
      <c r="BD58" s="37"/>
      <c r="BE58" s="36" t="e">
        <f>IF(MAX($AE$89:$AL$89)&gt;0,$BE$57,IF(OR(ISNUMBER('BHL Section 1'!$BG$45),ISNUMBER('BHL Section 1'!$BG$46),ISNUMBER('BHL Section 1'!$BG$47),ISNUMBER('BHL Section 1'!$BG$48)),VLOOKUP($BE$57,$BG$38:$BO$73,MAX('BHL Section 1'!$BG$45:$BG$48),FALSE),$BE$57))</f>
        <v>#VALUE!</v>
      </c>
      <c r="BG58" s="82">
        <v>21</v>
      </c>
      <c r="BH58" s="82">
        <v>16</v>
      </c>
      <c r="BI58" s="82">
        <v>15</v>
      </c>
      <c r="BJ58" s="82">
        <v>22</v>
      </c>
      <c r="BK58" s="82">
        <v>27</v>
      </c>
      <c r="BL58" s="82">
        <v>28</v>
      </c>
      <c r="BM58" s="82">
        <v>29</v>
      </c>
      <c r="BN58" s="82">
        <v>20</v>
      </c>
      <c r="BO58" s="82">
        <v>17</v>
      </c>
      <c r="BZ58" s="19"/>
      <c r="CA58" s="19"/>
    </row>
    <row r="59" spans="1:79" ht="12" customHeight="1" x14ac:dyDescent="0.25">
      <c r="D59" s="17" t="s">
        <v>130</v>
      </c>
      <c r="E59" s="111"/>
      <c r="J59" s="17" t="s">
        <v>130</v>
      </c>
      <c r="K59" s="114"/>
      <c r="N59" s="17" t="s">
        <v>130</v>
      </c>
      <c r="O59" s="111"/>
      <c r="T59" s="17" t="s">
        <v>130</v>
      </c>
      <c r="U59" s="111"/>
      <c r="AA59" s="5"/>
      <c r="AB59" s="29"/>
      <c r="AD59" s="757" t="s">
        <v>226</v>
      </c>
      <c r="AE59" s="30" t="s">
        <v>181</v>
      </c>
      <c r="AF59" s="30" t="s">
        <v>194</v>
      </c>
      <c r="AG59" s="761" t="s">
        <v>181</v>
      </c>
      <c r="AH59" s="760" t="s">
        <v>201</v>
      </c>
      <c r="AI59" s="30" t="s">
        <v>186</v>
      </c>
      <c r="AJ59" s="30" t="s">
        <v>201</v>
      </c>
      <c r="AK59" s="30" t="s">
        <v>186</v>
      </c>
      <c r="AL59" s="30" t="s">
        <v>194</v>
      </c>
      <c r="AN59" s="19" t="s">
        <v>371</v>
      </c>
      <c r="AV59" s="19">
        <v>3</v>
      </c>
      <c r="AW59" s="82" t="s">
        <v>285</v>
      </c>
      <c r="AX59" s="82" t="s">
        <v>290</v>
      </c>
      <c r="AY59" s="82" t="s">
        <v>294</v>
      </c>
      <c r="AZ59" s="82" t="s">
        <v>298</v>
      </c>
      <c r="BD59" s="121"/>
      <c r="BE59" s="120" t="e">
        <f>IF(MAX('BHL Section 1'!$AF$80:$AM$80)&gt;0,$BE$58,IF(OR(ISNUMBER('BHL Section 2'!$BG$45),ISNUMBER('BHL Section 2'!$BG$46),ISNUMBER('BHL Section 2'!$BG$47),ISNUMBER('BHL Section 2'!$BG$48)),VLOOKUP($BE$58,$BG$38:$BO$73,MAX('BHL Section 2'!$BG$45:$BG$48),FALSE),$BE$58))</f>
        <v>#VALUE!</v>
      </c>
      <c r="BG59" s="82">
        <v>22</v>
      </c>
      <c r="BH59" s="82">
        <v>15</v>
      </c>
      <c r="BI59" s="82">
        <v>14</v>
      </c>
      <c r="BJ59" s="82">
        <v>23</v>
      </c>
      <c r="BK59" s="82">
        <v>26</v>
      </c>
      <c r="BL59" s="82">
        <v>27</v>
      </c>
      <c r="BM59" s="82">
        <v>28</v>
      </c>
      <c r="BN59" s="82">
        <v>21</v>
      </c>
      <c r="BO59" s="82">
        <v>16</v>
      </c>
      <c r="BZ59" s="19"/>
      <c r="CA59" s="19"/>
    </row>
    <row r="60" spans="1:79" ht="12" customHeight="1" x14ac:dyDescent="0.25">
      <c r="D60" s="17" t="s">
        <v>134</v>
      </c>
      <c r="E60" s="111"/>
      <c r="J60" s="17" t="s">
        <v>134</v>
      </c>
      <c r="K60" s="114"/>
      <c r="N60" s="17" t="s">
        <v>134</v>
      </c>
      <c r="O60" s="111"/>
      <c r="T60" s="17" t="s">
        <v>134</v>
      </c>
      <c r="U60" s="111"/>
      <c r="AA60" s="5"/>
      <c r="AB60" s="29"/>
      <c r="AD60" s="53">
        <v>1</v>
      </c>
      <c r="AE60" s="49" t="str">
        <f>IF($AD60=AE$56,(-$AE$31+$AF$31*$AV$20/$AW$20)*$AV$29,"")</f>
        <v/>
      </c>
      <c r="AF60" s="48" t="str">
        <f>IF($AD60=AE$56,(-$AF$31+$AE$31*$CA$20/$BZ$20)*$BZ$29,"")</f>
        <v/>
      </c>
      <c r="AG60" s="49" t="str">
        <f>IF($AD60=AG$56,(-$AG$31+$BB$20+($AH$31-$BC$20)*$AZ$20/$BA$20)*$AZ$29,"")</f>
        <v/>
      </c>
      <c r="AH60" s="48" t="str">
        <f>IF($AD60=AG$56,($AH$31-$AG$31*$BE$20/$BD$20)*$BD$29,"")</f>
        <v/>
      </c>
      <c r="AI60" s="49" t="str">
        <f>IF($AD60=AI$56,($AI$31-$BL$20-($AJ$31-$BM$20)*$BN$20/$BO$20)*$BN$29,"")</f>
        <v/>
      </c>
      <c r="AJ60" s="48" t="str">
        <f>IF($AD60=AI$56,($AJ$31-$BK$20-($AI$31-$BJ$20)*$BI$20/$BH$20)*$BH$29,"")</f>
        <v/>
      </c>
      <c r="AK60" s="49" t="str">
        <f>IF($AD60=AK$56,($AK$31-$AL$31*$BR$20/$BS$20)*$BR$29,"")</f>
        <v/>
      </c>
      <c r="AL60" s="48" t="str">
        <f>IF($AD60=AK$56,(-$AL$31+$BU$20+($AK$31-$BT$20)*$BW$20/$BV$20)*$BV$29,"")</f>
        <v/>
      </c>
      <c r="AN60" s="159" t="e">
        <f>(-$AE$31+$AF$31*$AV$20/$AW$20)</f>
        <v>#VALUE!</v>
      </c>
      <c r="AO60" s="160" t="e">
        <f>(-$AF$31+$AE$31*$CA$20/$BZ$20)</f>
        <v>#VALUE!</v>
      </c>
      <c r="AP60" s="159" t="e">
        <f>(-$AG$31+$BB$20+($AH$31-$BC$20)*$AZ$20/$BA$20)</f>
        <v>#VALUE!</v>
      </c>
      <c r="AQ60" s="160" t="e">
        <f>($AH$31-$AG$31*$BE$20/$BD$20)</f>
        <v>#VALUE!</v>
      </c>
      <c r="AR60" s="159" t="e">
        <f>($AI$31-$BL$20-($AJ$31-$BM$20)*$BN$20/$BO$20)</f>
        <v>#VALUE!</v>
      </c>
      <c r="AS60" s="160" t="e">
        <f>($AJ$31-$BK$20-($AI$31-$BJ$20)*$BI$20/$BH$20)</f>
        <v>#VALUE!</v>
      </c>
      <c r="AT60" s="159" t="e">
        <f>($AK$31-$AL$31*$BR$20/$BS$20)</f>
        <v>#VALUE!</v>
      </c>
      <c r="AU60" s="160" t="e">
        <f>(-$AL$31+$BU$20+($AK$31-$BT$20)*$BW$20/$BV$20)</f>
        <v>#VALUE!</v>
      </c>
      <c r="AV60" s="19">
        <v>4</v>
      </c>
      <c r="AW60" s="82" t="s">
        <v>287</v>
      </c>
      <c r="AX60" s="82" t="s">
        <v>291</v>
      </c>
      <c r="AY60" s="82" t="s">
        <v>295</v>
      </c>
      <c r="AZ60" s="82" t="s">
        <v>299</v>
      </c>
      <c r="BG60" s="82">
        <v>23</v>
      </c>
      <c r="BH60" s="82">
        <v>14</v>
      </c>
      <c r="BI60" s="82">
        <v>13</v>
      </c>
      <c r="BJ60" s="82">
        <v>24</v>
      </c>
      <c r="BK60" s="82">
        <v>25</v>
      </c>
      <c r="BL60" s="82">
        <v>26</v>
      </c>
      <c r="BM60" s="82">
        <v>27</v>
      </c>
      <c r="BN60" s="82">
        <v>22</v>
      </c>
      <c r="BO60" s="82">
        <v>15</v>
      </c>
      <c r="BZ60" s="19"/>
      <c r="CA60" s="19"/>
    </row>
    <row r="61" spans="1:79" ht="12" customHeight="1" x14ac:dyDescent="0.25">
      <c r="D61" s="17" t="s">
        <v>140</v>
      </c>
      <c r="E61" s="112">
        <v>2</v>
      </c>
      <c r="J61" s="17" t="s">
        <v>140</v>
      </c>
      <c r="K61" s="112">
        <v>2</v>
      </c>
      <c r="N61" s="17" t="s">
        <v>140</v>
      </c>
      <c r="O61" s="112">
        <v>2</v>
      </c>
      <c r="T61" s="17" t="s">
        <v>140</v>
      </c>
      <c r="U61" s="112">
        <v>2</v>
      </c>
      <c r="V61" s="116"/>
      <c r="AA61" s="5"/>
      <c r="AB61" s="29"/>
      <c r="AD61" s="53">
        <v>2</v>
      </c>
      <c r="AE61" s="49" t="str">
        <f>IF($AD61=AE$56,(-$AE$31-$AV$20+($AF$31+$AW$20)*$AX$20/$AY$20)*$AX$29,"")</f>
        <v/>
      </c>
      <c r="AF61" s="48" t="str">
        <f>IF($AD61=AE$56,(-$AF$31+$AE$31*$CA$20/$BZ$20)*$BZ$29,"")</f>
        <v/>
      </c>
      <c r="AG61" s="49" t="str">
        <f>IF($AD61=AG$56,(-$AG$31+$AH$31*$BB$20/$BC$20)*$BB$29,"")</f>
        <v/>
      </c>
      <c r="AH61" s="48" t="str">
        <f>IF($AD61=AG$56,($AH$31-$AG$31*$BE$20/$BD$20)*$BD$29,"")</f>
        <v/>
      </c>
      <c r="AI61" s="49" t="str">
        <f>IF($AD61=AI$56,($AI$31-$AJ$31*$BL$20/$BM$20)*$BL$29,"")</f>
        <v/>
      </c>
      <c r="AJ61" s="48" t="str">
        <f>IF($AD61=AI$56,($AJ$31-$BK$20-($AI$31-$BJ$20)*$BI$20/$BH$20)*$BH$29,"")</f>
        <v/>
      </c>
      <c r="AK61" s="49" t="str">
        <f>IF($AD61=AK$56,($AK$31+$BR$20+(-$AL$31-$BS$20)*$BP$20/$BQ$20)*$BP$29,"")</f>
        <v/>
      </c>
      <c r="AL61" s="48" t="str">
        <f>IF($AD61=AK$56,(-$AL$31+$BU$20+($AK$31-$BT$20)*$BW$20/$BV$20)*$BV$29,"")</f>
        <v/>
      </c>
      <c r="AN61" s="49" t="e">
        <f>(-$AE$31-$AV$20+($AF$31+$AW$20)*$AX$20/$AY$20)</f>
        <v>#VALUE!</v>
      </c>
      <c r="AO61" s="48" t="e">
        <f>(-$AF$31+$AE$31*$CA$20/$BZ$20)</f>
        <v>#VALUE!</v>
      </c>
      <c r="AP61" s="49" t="e">
        <f>(-$AG$31+$AH$31*$BB$20/$BC$20)</f>
        <v>#VALUE!</v>
      </c>
      <c r="AQ61" s="48" t="e">
        <f>($AH$31-$AG$31*$BE$20/$BD$20)</f>
        <v>#VALUE!</v>
      </c>
      <c r="AR61" s="49" t="e">
        <f>($AI$31-$AJ$31*$BL$20/$BM$20)</f>
        <v>#VALUE!</v>
      </c>
      <c r="AS61" s="48" t="e">
        <f>($AJ$31-$BK$20-($AI$31-$BJ$20)*$BI$20/$BH$20)</f>
        <v>#VALUE!</v>
      </c>
      <c r="AT61" s="49" t="e">
        <f>($AK$31+$BR$20+(-$AL$31-$BS$20)*$BP$20/$BQ$20)</f>
        <v>#VALUE!</v>
      </c>
      <c r="AU61" s="48" t="e">
        <f>(-$AL$31+$BU$20+($AK$31-$BT$20)*$BW$20/$BV$20)</f>
        <v>#VALUE!</v>
      </c>
      <c r="BG61" s="82">
        <v>24</v>
      </c>
      <c r="BH61" s="82">
        <v>13</v>
      </c>
      <c r="BI61" s="82">
        <v>18</v>
      </c>
      <c r="BJ61" s="82">
        <v>19</v>
      </c>
      <c r="BK61" s="82">
        <v>30</v>
      </c>
      <c r="BL61" s="82">
        <v>25</v>
      </c>
      <c r="BM61" s="82">
        <v>26</v>
      </c>
      <c r="BN61" s="82">
        <v>23</v>
      </c>
      <c r="BO61" s="82">
        <v>14</v>
      </c>
      <c r="BZ61" s="19"/>
      <c r="CA61" s="19"/>
    </row>
    <row r="62" spans="1:79" ht="12" customHeight="1" x14ac:dyDescent="0.25">
      <c r="D62" s="17" t="s">
        <v>144</v>
      </c>
      <c r="E62" s="34" t="e">
        <f>IF($L$39='SHL Section'!$L$38,IF('SHL Section'!$E$61="","",'SHL Section'!$E$61),IF($L$39='BHL Section 1'!$L$38,IF('BHL Section 1'!$E$61="","",'BHL Section 1'!$E$61),IF($L$39='BHL Section 2'!$L$38,IF('BHL Section 2'!$E$61="","",'BHL Section 2'!$E$61),IF($L$39='BHL Section 3'!$L$38,IF('BHL Section 3'!$E$61="","",'BHL Section 3'!$E$61),IF(E58="","",IF(OR(E61=1,E61=4),180-(E58+E59/60+E60/3600),(E58+E59/60+E60/3600)))))))</f>
        <v>#VALUE!</v>
      </c>
      <c r="J62" s="17" t="s">
        <v>144</v>
      </c>
      <c r="K62" s="34" t="e">
        <f>IF($L$39='SHL Section'!$L$38,IF('SHL Section'!$K$61="","",'SHL Section'!$K$61),IF($L$39='BHL Section 1'!$L$38,IF('BHL Section 1'!$K$61="","",'BHL Section 1'!$K$61),IF($L$39='BHL Section 2'!$L$38,IF('BHL Section 2'!$K$61="","",'BHL Section 2'!$K$61),IF($L$39='BHL Section 3'!$L$38,IF('BHL Section 3'!$K$61="","",'BHL Section 3'!$K$61),IF(K58="","",IF(OR(K61=1,K61=4),180-(K58+K59/60+K60/3600),(K58+K59/60+K60/3600)))))))</f>
        <v>#VALUE!</v>
      </c>
      <c r="N62" s="17" t="s">
        <v>144</v>
      </c>
      <c r="O62" s="34" t="e">
        <f>IF($L$39='SHL Section'!$L$38,IF('SHL Section'!$O$61="","",'SHL Section'!$O$61),IF($L$39='BHL Section 1'!$L$38,IF('BHL Section 1'!$O$61="","",'BHL Section 1'!$O$61),IF($L$39='BHL Section 2'!$L$38,IF('BHL Section 2'!$O$61="","",'BHL Section 2'!$O$61),IF($L$39='BHL Section 3'!$L$38,IF('BHL Section 3'!$O$61="","",'BHL Section 3'!$O$61),IF(O58="","",IF(OR(O61=1,O61=4),180-(O58+O59/60+O60/3600),(O58+O59/60+O60/3600)))))))</f>
        <v>#VALUE!</v>
      </c>
      <c r="T62" s="17" t="s">
        <v>144</v>
      </c>
      <c r="U62" s="34" t="e">
        <f>IF($L$39='SHL Section'!$L$38,IF('SHL Section'!$U$61="","",'SHL Section'!$U$61),IF($L$39='BHL Section 1'!$L$38,IF('BHL Section 1'!$U$61="","",'BHL Section 1'!$U$61),IF($L$39='BHL Section 2'!$L$38,IF('BHL Section 2'!$U$61="","",'BHL Section 2'!$U$61),IF($L$39='BHL Section 3'!$L$38,IF('BHL Section 3'!$U$61="","",'BHL Section 3'!$U$61),IF(U58="","",IF(OR(U61=1,U61=4),180-(U58+U59/60+U60/3600),(U58+U59/60+U60/3600)))))))</f>
        <v>#VALUE!</v>
      </c>
      <c r="AA62" s="5"/>
      <c r="AB62" s="29"/>
      <c r="AD62" s="53">
        <v>3</v>
      </c>
      <c r="AE62" s="49" t="str">
        <f>IF($AD62=AE$56,(-$AE$31-$AV$20+($AF$31+$AW$20)*$AX$20/$AY$20)*$AX$29,"")</f>
        <v/>
      </c>
      <c r="AF62" s="48" t="str">
        <f>IF($AD62=AE$56,(-$AF$31-$CA$20-(-$AE$31-$BZ$20)*$BY$20/$BX$20)*$BX$29,"")</f>
        <v/>
      </c>
      <c r="AG62" s="49" t="str">
        <f>IF($AD62=AG$56,(-$AG$31+$AH$31*$BB$20/$BC$20)*$BB$29,"")</f>
        <v/>
      </c>
      <c r="AH62" s="48" t="str">
        <f>IF($AD62=AG$56,($AH$31+$BE$20+(-$AG$31-$BD$20)*$BG$20/$BF$20)*$BF$29,"")</f>
        <v/>
      </c>
      <c r="AI62" s="49" t="str">
        <f>IF($AD62=AI$56,($AI$31-$AJ$31*$BL$20/$BM$20)*$BL$29,"")</f>
        <v/>
      </c>
      <c r="AJ62" s="48" t="str">
        <f>IF($AD62=AI$56,($AJ$31-$AI$31*$BK$20/$BJ$20)*$BJ$29,"")</f>
        <v/>
      </c>
      <c r="AK62" s="49" t="str">
        <f>IF($AD62=AK$56,($AK$31+$BR$20+(-$AL$31-$BS$20)*$BP$20/$BQ$20)*$BP$29,"")</f>
        <v/>
      </c>
      <c r="AL62" s="48" t="str">
        <f>IF($AD62=AK$56,(-$AL$31+$AK$31*$BU$20/$BT$20)*$BT$29,"")</f>
        <v/>
      </c>
      <c r="AN62" s="49" t="e">
        <f>(-$AE$31-$AV$20+($AF$31+$AW$20)*$AX$20/$AY$20)</f>
        <v>#VALUE!</v>
      </c>
      <c r="AO62" s="48" t="e">
        <f>(-$AF$31-$CA$20-(-$AE$31-$BZ$20)*$BY$20/$BX$20)</f>
        <v>#VALUE!</v>
      </c>
      <c r="AP62" s="49" t="e">
        <f>(-$AG$31+$AH$31*$BB$20/$BC$20)</f>
        <v>#VALUE!</v>
      </c>
      <c r="AQ62" s="48" t="e">
        <f>($AH$31+$BE$20+(-$AG$31-$BD$20)*$BG$20/$BF$20)</f>
        <v>#VALUE!</v>
      </c>
      <c r="AR62" s="49" t="e">
        <f>($AI$31-$AJ$31*$BL$20/$BM$20)</f>
        <v>#VALUE!</v>
      </c>
      <c r="AS62" s="48" t="e">
        <f>($AJ$31-$AI$31*$BK$20/$BJ$20)</f>
        <v>#VALUE!</v>
      </c>
      <c r="AT62" s="49" t="e">
        <f>($AK$31+$BR$20+(-$AL$31-$BS$20)*$BP$20/$BQ$20)</f>
        <v>#VALUE!</v>
      </c>
      <c r="AU62" s="48" t="e">
        <f>(-$AL$31+$AK$31*$BU$20/$BT$20)</f>
        <v>#VALUE!</v>
      </c>
      <c r="AW62" s="29" t="e">
        <f>VLOOKUP(MAX(#REF!),$AV$57:$AZ$60,MAX(#REF!)+1,FALSE)</f>
        <v>#REF!</v>
      </c>
      <c r="BG62" s="82">
        <v>25</v>
      </c>
      <c r="BH62" s="82">
        <v>24</v>
      </c>
      <c r="BI62" s="82">
        <v>19</v>
      </c>
      <c r="BJ62" s="82">
        <v>30</v>
      </c>
      <c r="BK62" s="82">
        <v>31</v>
      </c>
      <c r="BL62" s="82">
        <v>36</v>
      </c>
      <c r="BM62" s="82">
        <v>35</v>
      </c>
      <c r="BN62" s="82">
        <v>26</v>
      </c>
      <c r="BO62" s="82">
        <v>23</v>
      </c>
      <c r="BZ62" s="19"/>
      <c r="CA62" s="19"/>
    </row>
    <row r="63" spans="1:79" ht="12" customHeight="1" x14ac:dyDescent="0.25">
      <c r="E63" s="44" t="e">
        <f>IF($L$39='SHL Section'!$L$38,'SHL Section'!$E$56,IF($L$39='BHL Section 1'!$L$38,'BHL Section 1'!$E$62,IF($L$39='BHL Section 2'!$L$38,'BHL Section 2'!$E$62,IF($L$39='BHL Section 3'!$L$38,'BHL Section 3'!$E$62,$E$57))))</f>
        <v>#VALUE!</v>
      </c>
      <c r="F63" s="156"/>
      <c r="G63" s="156"/>
      <c r="H63" s="156"/>
      <c r="I63" s="156"/>
      <c r="J63" s="156"/>
      <c r="K63" s="44" t="e">
        <f>IF($L$39='SHL Section'!$L$38,'SHL Section'!$K$56,IF($L$39='BHL Section 1'!$L$38,'BHL Section 1'!$K$62,IF($L$39='BHL Section 2'!$L$38,'BHL Section 2'!$K$62,IF($L$39='BHL Section 3'!$L$38,'BHL Section 3'!$K$62,$K$57))))</f>
        <v>#VALUE!</v>
      </c>
      <c r="L63" s="156"/>
      <c r="M63" s="156"/>
      <c r="N63" s="156"/>
      <c r="O63" s="44" t="e">
        <f>IF($L$39='SHL Section'!$L$38,'SHL Section'!$O$56,IF($L$39='BHL Section 1'!$L$38,'BHL Section 1'!$O$62,IF($L$39='BHL Section 2'!$L$38,'BHL Section 2'!$O$62,IF($L$39='BHL Section 3'!$L$38,'BHL Section 3'!$O$62,$O$57))))</f>
        <v>#VALUE!</v>
      </c>
      <c r="P63" s="156"/>
      <c r="Q63" s="156"/>
      <c r="R63" s="156"/>
      <c r="S63" s="156"/>
      <c r="T63" s="156"/>
      <c r="U63" s="44" t="e">
        <f>IF($L$39='SHL Section'!$L$38,'SHL Section'!$U$56,IF($L$39='BHL Section 1'!$L$38,'BHL Section 1'!$U$62,IF($L$39='BHL Section 2'!$L$38,'BHL Section 2'!$U$62,IF($L$39='BHL Section 3'!$L$38,'BHL Section 3'!$U$62,$U$57))))</f>
        <v>#VALUE!</v>
      </c>
      <c r="AA63" s="5"/>
      <c r="AD63" s="53">
        <v>4</v>
      </c>
      <c r="AE63" s="83" t="str">
        <f>IF($AD63=AE$56,(-$AE$31+$AF$31*$AV$20/$AW$20)*$AV$29,"")</f>
        <v/>
      </c>
      <c r="AF63" s="84" t="str">
        <f>IF($AD63=AE$56,(-$AF$31-$CA$20-(-$AE$31-$BZ$20)*$BY$20/$BX$20)*$BX$29,"")</f>
        <v/>
      </c>
      <c r="AG63" s="83" t="str">
        <f>IF($AD63=AG$56,(-$AG$31+$BB$20+($AH$31-$BC$20)*$AZ$20/$BA$20)*$AZ$29,"")</f>
        <v/>
      </c>
      <c r="AH63" s="84" t="str">
        <f>IF($AD63=AG$56,($AH$31+$BE$20+(-$AG$31-$BD$20)*$BG$20/$BF$20)*$BF$29,"")</f>
        <v/>
      </c>
      <c r="AI63" s="83" t="str">
        <f>IF($AD63=AI$56,($AI$31-$BL$20-($AJ$31-$BM$20)*$BN$20/$BO$20)*$BN$29,"")</f>
        <v/>
      </c>
      <c r="AJ63" s="84" t="str">
        <f>IF($AD63=AI$56,($AJ$31-$AI$31*$BK$20/$BJ$20)*$BJ$29,"")</f>
        <v/>
      </c>
      <c r="AK63" s="83" t="str">
        <f>IF($AD63=AK$56,($AK$31-$AL$31*$BR$20/$BS$20)*$BR$29,"")</f>
        <v/>
      </c>
      <c r="AL63" s="84" t="str">
        <f>IF($AD63=AK$56,(-$AL$31+$AK$31*$BU$20/$BT$20)*$BT$29,"")</f>
        <v/>
      </c>
      <c r="AN63" s="83" t="e">
        <f>(-$AE$31+$AF$31*$AV$20/$AW$20)</f>
        <v>#VALUE!</v>
      </c>
      <c r="AO63" s="84" t="e">
        <f>(-$AF$31-$CA$20-(-$AE$31-$BZ$20)*$BY$20/$BX$20)</f>
        <v>#VALUE!</v>
      </c>
      <c r="AP63" s="83" t="e">
        <f>(-$AG$31+$BB$20+($AH$31-$BC$20)*$AZ$20/$BA$20)</f>
        <v>#VALUE!</v>
      </c>
      <c r="AQ63" s="84" t="e">
        <f>($AH$31+$BE$20+(-$AG$31-$BD$20)*$BG$20/$BF$20)</f>
        <v>#VALUE!</v>
      </c>
      <c r="AR63" s="83" t="e">
        <f>($AI$31-$BL$20-($AJ$31-$BM$20)*$BN$20/$BO$20)</f>
        <v>#VALUE!</v>
      </c>
      <c r="AS63" s="84" t="e">
        <f>($AJ$31-$AI$31*$BK$20/$BJ$20)</f>
        <v>#VALUE!</v>
      </c>
      <c r="AT63" s="83" t="e">
        <f>($AK$31-$AL$31*$BR$20/$BS$20)</f>
        <v>#VALUE!</v>
      </c>
      <c r="AU63" s="84" t="e">
        <f>(-$AL$31+$AK$31*$BU$20/$BT$20)</f>
        <v>#VALUE!</v>
      </c>
      <c r="BG63" s="82">
        <v>26</v>
      </c>
      <c r="BH63" s="82">
        <v>23</v>
      </c>
      <c r="BI63" s="82">
        <v>24</v>
      </c>
      <c r="BJ63" s="82">
        <v>25</v>
      </c>
      <c r="BK63" s="82">
        <v>36</v>
      </c>
      <c r="BL63" s="82">
        <v>35</v>
      </c>
      <c r="BM63" s="82">
        <v>34</v>
      </c>
      <c r="BN63" s="82">
        <v>27</v>
      </c>
      <c r="BO63" s="82">
        <v>22</v>
      </c>
      <c r="BZ63" s="19"/>
      <c r="CA63" s="19"/>
    </row>
    <row r="64" spans="1:79" ht="12" customHeight="1" x14ac:dyDescent="0.25">
      <c r="AA64" s="5"/>
      <c r="AB64" s="5"/>
      <c r="AE64" s="85" t="str">
        <f>IF(ISNUMBER($AE$60),AE$60,IF(ISNUMBER($AE$61),AE$61,IF(ISNUMBER($AE$62),AE$62,IF(ISNUMBER($AE$63),AE$63,""))))</f>
        <v/>
      </c>
      <c r="AF64" s="86" t="str">
        <f>IF(ISNUMBER($AF$60),AF$60,IF(ISNUMBER($AF$61),AF$61,IF(ISNUMBER($AF$62),AF$62,IF(ISNUMBER($AF$63),AF$63,""))))</f>
        <v/>
      </c>
      <c r="AG64" s="85" t="str">
        <f>IF(ISNUMBER($AG$60),AG$60,IF(ISNUMBER($AG$61),AG$61,IF(ISNUMBER($AG$62),AG$62,IF(ISNUMBER($AG$63),AG$63,""))))</f>
        <v/>
      </c>
      <c r="AH64" s="86" t="str">
        <f>IF(ISNUMBER($AH$60),AH$60,IF(ISNUMBER($AH$61),AH$61,IF(ISNUMBER($AH$62),AH$62,IF(ISNUMBER($AH$63),AH$63,""))))</f>
        <v/>
      </c>
      <c r="AI64" s="85" t="str">
        <f>IF(ISNUMBER($AI$60),AI$60,IF(ISNUMBER($AI$61),AI$61,IF(ISNUMBER($AI$62),AI$62,IF(ISNUMBER($AI$63),AI$63,""))))</f>
        <v/>
      </c>
      <c r="AJ64" s="86" t="str">
        <f>IF(ISNUMBER($AJ$60),AJ$60,IF(ISNUMBER($AJ$61),AJ$61,IF(ISNUMBER($AJ$62),AJ$62,IF(ISNUMBER($AJ$63),AJ$63,""))))</f>
        <v/>
      </c>
      <c r="AK64" s="85" t="str">
        <f>IF(ISNUMBER($AK$60),AK$60,IF(ISNUMBER($AK$61),AK$61,IF(ISNUMBER($AK$62),AK$62,IF(ISNUMBER($AK$63),AK$63,""))))</f>
        <v/>
      </c>
      <c r="AL64" s="86" t="str">
        <f>IF(ISNUMBER($AL$60),AL$60,IF(ISNUMBER($AL$61),AL$61,IF(ISNUMBER($AL$62),AL$62,IF(ISNUMBER($AL$63),AL$63,""))))</f>
        <v/>
      </c>
      <c r="AO64" s="44"/>
      <c r="AP64" s="44"/>
      <c r="AQ64" s="44"/>
      <c r="AR64" s="44"/>
      <c r="AS64" s="44"/>
      <c r="AT64" s="44"/>
      <c r="BG64" s="82">
        <v>27</v>
      </c>
      <c r="BH64" s="82">
        <v>22</v>
      </c>
      <c r="BI64" s="82">
        <v>23</v>
      </c>
      <c r="BJ64" s="82">
        <v>26</v>
      </c>
      <c r="BK64" s="82">
        <v>35</v>
      </c>
      <c r="BL64" s="82">
        <v>34</v>
      </c>
      <c r="BM64" s="82">
        <v>33</v>
      </c>
      <c r="BN64" s="82">
        <v>28</v>
      </c>
      <c r="BO64" s="82">
        <v>21</v>
      </c>
      <c r="BZ64" s="19"/>
      <c r="CA64" s="19"/>
    </row>
    <row r="65" spans="27:79" ht="12" customHeight="1" x14ac:dyDescent="0.25">
      <c r="AA65" s="5"/>
      <c r="AE65" s="87"/>
      <c r="AF65" s="88"/>
      <c r="AG65" s="89"/>
      <c r="AH65" s="89"/>
      <c r="AI65" s="87"/>
      <c r="AJ65" s="88"/>
      <c r="AK65" s="87"/>
      <c r="AL65" s="88"/>
      <c r="AO65" s="44"/>
      <c r="AP65" s="44"/>
      <c r="AQ65" s="44"/>
      <c r="AR65" s="44"/>
      <c r="AS65" s="44"/>
      <c r="AT65" s="44"/>
      <c r="BG65" s="82">
        <v>28</v>
      </c>
      <c r="BH65" s="82">
        <v>21</v>
      </c>
      <c r="BI65" s="82">
        <v>22</v>
      </c>
      <c r="BJ65" s="82">
        <v>27</v>
      </c>
      <c r="BK65" s="82">
        <v>34</v>
      </c>
      <c r="BL65" s="82">
        <v>33</v>
      </c>
      <c r="BM65" s="82">
        <v>32</v>
      </c>
      <c r="BN65" s="82">
        <v>29</v>
      </c>
      <c r="BO65" s="82">
        <v>20</v>
      </c>
      <c r="BZ65" s="19"/>
      <c r="CA65" s="19"/>
    </row>
    <row r="66" spans="27:79" ht="12" customHeight="1" x14ac:dyDescent="0.25">
      <c r="AA66" s="5"/>
      <c r="AE66" s="939" t="s">
        <v>366</v>
      </c>
      <c r="AF66" s="882"/>
      <c r="AG66" s="943" t="s">
        <v>366</v>
      </c>
      <c r="AH66" s="832"/>
      <c r="AI66" s="939" t="s">
        <v>366</v>
      </c>
      <c r="AJ66" s="882"/>
      <c r="AK66" s="939" t="s">
        <v>366</v>
      </c>
      <c r="AL66" s="882"/>
      <c r="BG66" s="82">
        <v>29</v>
      </c>
      <c r="BH66" s="82">
        <v>20</v>
      </c>
      <c r="BI66" s="82">
        <v>21</v>
      </c>
      <c r="BJ66" s="82">
        <v>28</v>
      </c>
      <c r="BK66" s="82">
        <v>33</v>
      </c>
      <c r="BL66" s="82">
        <v>32</v>
      </c>
      <c r="BM66" s="82">
        <v>31</v>
      </c>
      <c r="BN66" s="82">
        <v>30</v>
      </c>
      <c r="BO66" s="82">
        <v>19</v>
      </c>
      <c r="BZ66" s="19"/>
      <c r="CA66" s="19"/>
    </row>
    <row r="67" spans="27:79" ht="12" customHeight="1" x14ac:dyDescent="0.25">
      <c r="AA67" s="5"/>
      <c r="AE67" s="944" t="e">
        <f>IF($AE$33="","",IF(AND((-$AE$33+$AF$33*$AV$20/$AW$20)&gt;0,-$AE$33&lt;$BZ$20,(-$AF$33+$AE$33*$CA$20/$BZ$20)&gt;0,-$AF$33&lt;$AW$20),1,IF(AND((-$AE$33-$AV$20+($AF$33+$AW$20)*$AX$20/$AY$20)&gt;0,-$AE$33&lt;$BZ$20,-$AF$33&gt;$AW$20,-$AF$33&lt;$AX$23),2,IF(AND(-$AE$33&lt;$BY$23,-$AE$33&gt;$BZ$20,-$AF$33&gt;$AW$20,-$AF$33&lt;$AX$23),3,IF(AND(-$AE$33&lt;$BY$23,-$AE$33&gt;$BZ$20,(-$AF$33-$CA$20-(-$AE$33-$BZ$20)*$BY$20/$BX$20)&gt;0,-$AF$33&lt;$AW$20),4,"")))))</f>
        <v>#VALUE!</v>
      </c>
      <c r="AF67" s="911"/>
      <c r="AG67" s="944" t="e">
        <f>IF($AG$34="","",IF(AND((-$AG$34+$BB$20+($AH$34-$BC$20)*$AZ$20/$BA$20)&gt;0,-$AG$34&lt;$BD$20,$AH$34&gt;$BC$20,$AH$34&lt;$BB$23),1,IF(AND((-$AG$34+$AH$34*$BB$20/$BC$20)&gt;0,-$AG$34&lt;$BD$20,($AH$34-$AG$34*$BE$20/$BD$20)&gt;0,$AH$34&lt;$BC$20),2,IF(AND(-$AG$34&gt;$BD$20,-$AG$34&lt;$BE$23,($AH$34+$BE$20+(-$AG$34-$BD$20)*$BG$20/$BF$20)&gt;0,$AH$34&lt;$BC$20),3,IF(AND(-$AG$34&gt;$BD$20,-$AG$34&lt;$BE$23,$AH$34&gt;$BC$20,$AH$34&lt;$BB$23),4,"")))))</f>
        <v>#VALUE!</v>
      </c>
      <c r="AH67" s="911"/>
      <c r="AI67" s="944" t="e">
        <f>IF($AI$35="","",IF(AND($AI$35&gt;$BJ$20,$AI$35&lt;$BI$23,$AJ$35&gt;$BM$20,$AJ$35&lt;$BN$23),1,IF(AND($AI$35&gt;$BJ$20,$AI$35&lt;$BI$23,($AJ$35-$BK$20-($AI$35-$BJ$20)*$BI$20/$BH$20)&gt;0,$AJ$35&lt;$BM$20),2,IF(AND(($AI$35-$AJ$35*$BL$20/$BM$20)&gt;0,$AI$35&lt;$BJ$20,($AJ$35-$AI$35*$BK$20/$BJ$20)&gt;0,$AJ$35&lt;$BM$20),3,IF(AND(($AI$35-$BL$20-($AJ$35-$BM$20)*$BN$20/$BO$20)&gt;0,$AI$35&lt;$BJ$20,$AJ$35&gt;$BM$20,$AJ$35&lt;$BN$23),4,"")))))</f>
        <v>#VALUE!</v>
      </c>
      <c r="AJ67" s="911"/>
      <c r="AK67" s="944" t="e">
        <f>IF($AK$36="","",IF(AND($AK$36&gt;$BT$20,$AK$36&lt;$BU$23,(-$AL$36+$BU$20+($AK$36-$BT$20)*$BW$20/$BV$20)&gt;0,-$AL$36&lt;$BS$20),1,IF(AND($AK$36&gt;$BT$20,$AK$36&lt;$BU$23,-$AL$36&gt;$BS$20,-$AL$36&lt;$BR$23),2,IF(AND(($AK$36+$BR$20+(-$AL$36-$BS$20)*$BP$20/$BQ$20)&gt;0,$AK$36&lt;$BT$20,-$AL$36&gt;$BS$20,-$AL$36&lt;$BR$23),3,IF(AND(($AK$36-$AL$36*$BR$20/$BS$20)&gt;0,$AK$36&lt;$BT$20,(-$AL$36+$AK$36*$BU$20/$BT$20)&gt;0,-$AL$36&lt;$BS$20),4,"")))))</f>
        <v>#VALUE!</v>
      </c>
      <c r="AL67" s="911"/>
      <c r="BG67" s="82">
        <v>30</v>
      </c>
      <c r="BH67" s="82">
        <v>19</v>
      </c>
      <c r="BI67" s="82">
        <v>20</v>
      </c>
      <c r="BJ67" s="82">
        <v>29</v>
      </c>
      <c r="BK67" s="82">
        <v>32</v>
      </c>
      <c r="BL67" s="82">
        <v>31</v>
      </c>
      <c r="BM67" s="82">
        <v>36</v>
      </c>
      <c r="BN67" s="82">
        <v>25</v>
      </c>
      <c r="BO67" s="82">
        <v>24</v>
      </c>
      <c r="BZ67" s="19"/>
      <c r="CA67" s="19"/>
    </row>
    <row r="68" spans="27:79" ht="12" customHeight="1" x14ac:dyDescent="0.25">
      <c r="AA68" s="5"/>
      <c r="AE68" s="87"/>
      <c r="AF68" s="88"/>
      <c r="AG68" s="89"/>
      <c r="AH68" s="89"/>
      <c r="AI68" s="87"/>
      <c r="AJ68" s="88"/>
      <c r="AK68" s="87"/>
      <c r="AL68" s="88"/>
      <c r="BG68" s="82">
        <v>31</v>
      </c>
      <c r="BH68" s="82">
        <v>30</v>
      </c>
      <c r="BI68" s="82">
        <v>29</v>
      </c>
      <c r="BJ68" s="82">
        <v>32</v>
      </c>
      <c r="BK68" s="82">
        <v>5</v>
      </c>
      <c r="BL68" s="82">
        <v>6</v>
      </c>
      <c r="BM68" s="82">
        <v>1</v>
      </c>
      <c r="BN68" s="82">
        <v>36</v>
      </c>
      <c r="BO68" s="82">
        <v>25</v>
      </c>
      <c r="BZ68" s="19"/>
      <c r="CA68" s="19"/>
    </row>
    <row r="69" spans="27:79" ht="12" customHeight="1" x14ac:dyDescent="0.25">
      <c r="AA69" s="5"/>
      <c r="AE69" s="939" t="s">
        <v>367</v>
      </c>
      <c r="AF69" s="882"/>
      <c r="AG69" s="939" t="s">
        <v>368</v>
      </c>
      <c r="AH69" s="882"/>
      <c r="AI69" s="939" t="s">
        <v>369</v>
      </c>
      <c r="AJ69" s="882"/>
      <c r="AK69" s="939" t="s">
        <v>370</v>
      </c>
      <c r="AL69" s="882"/>
      <c r="BG69" s="82">
        <v>32</v>
      </c>
      <c r="BH69" s="82">
        <v>29</v>
      </c>
      <c r="BI69" s="82">
        <v>28</v>
      </c>
      <c r="BJ69" s="82">
        <v>33</v>
      </c>
      <c r="BK69" s="82">
        <v>4</v>
      </c>
      <c r="BL69" s="82">
        <v>5</v>
      </c>
      <c r="BM69" s="82">
        <v>6</v>
      </c>
      <c r="BN69" s="82">
        <v>31</v>
      </c>
      <c r="BO69" s="82">
        <v>30</v>
      </c>
      <c r="BZ69" s="19"/>
      <c r="CA69" s="19"/>
    </row>
    <row r="70" spans="27:79" ht="12" customHeight="1" x14ac:dyDescent="0.25">
      <c r="AA70" s="5"/>
      <c r="AD70" s="757" t="s">
        <v>226</v>
      </c>
      <c r="AE70" s="30" t="s">
        <v>181</v>
      </c>
      <c r="AF70" s="30" t="s">
        <v>194</v>
      </c>
      <c r="AG70" s="761" t="s">
        <v>181</v>
      </c>
      <c r="AH70" s="760" t="s">
        <v>201</v>
      </c>
      <c r="AI70" s="30" t="s">
        <v>186</v>
      </c>
      <c r="AJ70" s="30" t="s">
        <v>201</v>
      </c>
      <c r="AK70" s="30" t="s">
        <v>186</v>
      </c>
      <c r="AL70" s="30" t="s">
        <v>194</v>
      </c>
      <c r="AN70" s="19" t="s">
        <v>371</v>
      </c>
      <c r="BG70" s="82">
        <v>33</v>
      </c>
      <c r="BH70" s="82">
        <v>28</v>
      </c>
      <c r="BI70" s="82">
        <v>27</v>
      </c>
      <c r="BJ70" s="82">
        <v>34</v>
      </c>
      <c r="BK70" s="82">
        <v>3</v>
      </c>
      <c r="BL70" s="82">
        <v>4</v>
      </c>
      <c r="BM70" s="82">
        <v>5</v>
      </c>
      <c r="BN70" s="82">
        <v>32</v>
      </c>
      <c r="BO70" s="82">
        <v>29</v>
      </c>
      <c r="BZ70" s="19"/>
      <c r="CA70" s="19"/>
    </row>
    <row r="71" spans="27:79" ht="12" customHeight="1" x14ac:dyDescent="0.25">
      <c r="AA71" s="5"/>
      <c r="AB71" s="29"/>
      <c r="AD71" s="53">
        <v>1</v>
      </c>
      <c r="AE71" s="49" t="e">
        <f>IF($AD71=AE$67,(-$AE$37+$AF$37*$AV$20/$AW$20)*$AV$29,"")</f>
        <v>#VALUE!</v>
      </c>
      <c r="AF71" s="48" t="e">
        <f>IF($AD71=AE$67,(-$AF$37+$AE$37*$CA$20/$BZ$20)*$BZ$29,"")</f>
        <v>#VALUE!</v>
      </c>
      <c r="AG71" s="49" t="e">
        <f>IF($AD71=AG$67,(-$AG$37+$BB$20+($AH$37-$BC$20)*$AZ$20/$BA$20)*$AZ$29,"")</f>
        <v>#VALUE!</v>
      </c>
      <c r="AH71" s="48" t="e">
        <f>IF($AD71=AG$67,($AH$37-$AG$37*$BE$20/$BD$20)*$BD$29,"")</f>
        <v>#VALUE!</v>
      </c>
      <c r="AI71" s="49" t="e">
        <f>IF($AD71=AI$67,($AI$37-$BL$20-($AJ$37-$BM$20)*$BN$20/$BO$20)*$BN$29,"")</f>
        <v>#VALUE!</v>
      </c>
      <c r="AJ71" s="48" t="e">
        <f>IF($AD71=AI$67,($AJ$37-$BK$20-($AI$37-$BJ$20)*$BI$20/$BH$20)*$BH$29,"")</f>
        <v>#VALUE!</v>
      </c>
      <c r="AK71" s="49" t="e">
        <f>IF($AD71=AK$67,($AK$37-$AL$37*$BR$20/$BS$20)*$BR$29,"")</f>
        <v>#VALUE!</v>
      </c>
      <c r="AL71" s="48" t="e">
        <f>IF($AD71=AK$67,(-$AL$37+$BU$20+($AK$37-$BT$20)*$BW$20/$BV$20)*$BV$29,"")</f>
        <v>#VALUE!</v>
      </c>
      <c r="AN71" s="159" t="e">
        <f>(-$AE$37+$AF$37*$AV$20/$AW$20)</f>
        <v>#VALUE!</v>
      </c>
      <c r="AO71" s="160" t="e">
        <f>(-$AF$37+$AE$37*$CA$20/$BZ$20)</f>
        <v>#VALUE!</v>
      </c>
      <c r="AP71" s="159" t="e">
        <f>(-$AG$37+$BB$20+($AH$37-$BC$20)*$AZ$20/$BA$20)</f>
        <v>#VALUE!</v>
      </c>
      <c r="AQ71" s="160" t="e">
        <f>($AH$37-$AG$37*$BE$20/$BD$20)</f>
        <v>#VALUE!</v>
      </c>
      <c r="AR71" s="159" t="e">
        <f>($AI$37-$BL$20-($AJ$37-$BM$20)*$BN$20/$BO$20)</f>
        <v>#VALUE!</v>
      </c>
      <c r="AS71" s="160" t="e">
        <f>($AJ$37-$BK$20-($AI$37-$BJ$20)*$BI$20/$BH$20)</f>
        <v>#VALUE!</v>
      </c>
      <c r="AT71" s="159" t="e">
        <f>($AK$37-$AL$37*$BR$20/$BS$20)</f>
        <v>#VALUE!</v>
      </c>
      <c r="AU71" s="160" t="e">
        <f>(-$AL$37+$BU$20+($AK$37-$BT$20)*$BW$20/$BV$20)</f>
        <v>#VALUE!</v>
      </c>
      <c r="BG71" s="82">
        <v>34</v>
      </c>
      <c r="BH71" s="82">
        <v>27</v>
      </c>
      <c r="BI71" s="82">
        <v>26</v>
      </c>
      <c r="BJ71" s="82">
        <v>35</v>
      </c>
      <c r="BK71" s="82">
        <v>2</v>
      </c>
      <c r="BL71" s="82">
        <v>3</v>
      </c>
      <c r="BM71" s="82">
        <v>4</v>
      </c>
      <c r="BN71" s="82">
        <v>33</v>
      </c>
      <c r="BO71" s="82">
        <v>28</v>
      </c>
      <c r="BZ71" s="19"/>
      <c r="CA71" s="19"/>
    </row>
    <row r="72" spans="27:79" ht="12" customHeight="1" x14ac:dyDescent="0.25">
      <c r="AA72" s="5"/>
      <c r="AB72" s="5"/>
      <c r="AD72" s="53">
        <v>2</v>
      </c>
      <c r="AE72" s="49" t="e">
        <f>IF($AD72=AE$67,(-$AE$37-$AV$20+($AF$37+$AW$20)*$AX$20/$AY$20)*$AX$29,"")</f>
        <v>#VALUE!</v>
      </c>
      <c r="AF72" s="48" t="e">
        <f>IF($AD72=AE$67,(-$AF$37+$AE$37*$CA$20/$BZ$20)*$BZ$29,"")</f>
        <v>#VALUE!</v>
      </c>
      <c r="AG72" s="49" t="e">
        <f>IF($AD72=AG$67,(-$AG$37+$AH$37*$BB$20/$BC$20)*$BB$29,"")</f>
        <v>#VALUE!</v>
      </c>
      <c r="AH72" s="48" t="e">
        <f>IF($AD72=AG$67,($AH$37-$AG$37*$BE$20/$BD$20)*$BD$29,"")</f>
        <v>#VALUE!</v>
      </c>
      <c r="AI72" s="49" t="e">
        <f>IF($AD72=AI$67,($AI$37-$AJ$37*$BL$20/$BM$20)*$BL$29,"")</f>
        <v>#VALUE!</v>
      </c>
      <c r="AJ72" s="48" t="e">
        <f>IF($AD72=AI$67,($AJ$37-$BK$20-($AI$37-$BJ$20)*$BI$20/$BH$20)*$BH$29,"")</f>
        <v>#VALUE!</v>
      </c>
      <c r="AK72" s="49" t="e">
        <f>IF($AD72=AK$67,($AK$37+$BR$20+(-$AL$37-$BS$20)*$BP$20/$BQ$20)*$BP$29,"")</f>
        <v>#VALUE!</v>
      </c>
      <c r="AL72" s="48" t="e">
        <f>IF($AD72=AK$67,(-$AL$37+$BU$20+($AK$37-$BT$20)*$BW$20/$BV$20)*$BV$29,"")</f>
        <v>#VALUE!</v>
      </c>
      <c r="AN72" s="49" t="e">
        <f>(-$AE$37-$AV$20+($AF$37+$AW$20)*$AX$20/$AY$20)</f>
        <v>#VALUE!</v>
      </c>
      <c r="AO72" s="48" t="e">
        <f>(-$AF$37+$AE$37*$CA$20/$BZ$20)</f>
        <v>#VALUE!</v>
      </c>
      <c r="AP72" s="49" t="e">
        <f>(-$AG$37+$AH$37*$BB$20/$BC$20)</f>
        <v>#VALUE!</v>
      </c>
      <c r="AQ72" s="48" t="e">
        <f>($AH$37-$AG$37*$BE$20/$BD$20)</f>
        <v>#VALUE!</v>
      </c>
      <c r="AR72" s="49" t="e">
        <f>($AI$37-$AJ$37*$BL$20/$BM$20)</f>
        <v>#VALUE!</v>
      </c>
      <c r="AS72" s="48" t="e">
        <f>($AJ$37-$BK$20-($AI$37-$BJ$20)*$BI$20/$BH$20)</f>
        <v>#VALUE!</v>
      </c>
      <c r="AT72" s="49" t="e">
        <f>($AK$37+$BR$20+(-$AL$37-$BS$20)*$BP$20/$BQ$20)</f>
        <v>#VALUE!</v>
      </c>
      <c r="AU72" s="48" t="e">
        <f>(-$AL$37+$BU$20+($AK$37-$BT$20)*$BW$20/$BV$20)</f>
        <v>#VALUE!</v>
      </c>
      <c r="BG72" s="82">
        <v>35</v>
      </c>
      <c r="BH72" s="82">
        <v>26</v>
      </c>
      <c r="BI72" s="82">
        <v>25</v>
      </c>
      <c r="BJ72" s="82">
        <v>36</v>
      </c>
      <c r="BK72" s="82">
        <v>1</v>
      </c>
      <c r="BL72" s="82">
        <v>2</v>
      </c>
      <c r="BM72" s="82">
        <v>3</v>
      </c>
      <c r="BN72" s="82">
        <v>34</v>
      </c>
      <c r="BO72" s="82">
        <v>27</v>
      </c>
      <c r="BZ72" s="19"/>
      <c r="CA72" s="19"/>
    </row>
    <row r="73" spans="27:79" ht="12" customHeight="1" x14ac:dyDescent="0.25">
      <c r="AA73" s="5"/>
      <c r="AB73" s="5"/>
      <c r="AD73" s="53">
        <v>3</v>
      </c>
      <c r="AE73" s="49" t="e">
        <f>IF($AD73=AE$67,(-$AE$37-$AV$20+($AF$37+$AW$20)*$AX$20/$AY$20)*$AX$29,"")</f>
        <v>#VALUE!</v>
      </c>
      <c r="AF73" s="48" t="e">
        <f>IF($AD73=AE$67,(-$AF$37-$CA$20-(-$AE$37-$BZ$20)*$BY$20/$BX$20)*$BX$29,"")</f>
        <v>#VALUE!</v>
      </c>
      <c r="AG73" s="49" t="e">
        <f>IF($AD73=AG$67,(-$AG$37+$AH$37*$BB$20/$BC$20)*$BB$29,"")</f>
        <v>#VALUE!</v>
      </c>
      <c r="AH73" s="48" t="e">
        <f>IF($AD73=AG$67,($AH$37+$BE$20+(-$AG$37-$BD$20)*$BG$20/$BF$20)*$BF$29,"")</f>
        <v>#VALUE!</v>
      </c>
      <c r="AI73" s="49" t="e">
        <f>IF($AD73=AI$67,($AI$37-$AJ$37*$BL$20/$BM$20)*$BL$29,"")</f>
        <v>#VALUE!</v>
      </c>
      <c r="AJ73" s="48" t="e">
        <f>IF($AD73=AI$67,($AJ$37-$AI$37*$BK$20/$BJ$20)*$BJ$29,"")</f>
        <v>#VALUE!</v>
      </c>
      <c r="AK73" s="49" t="e">
        <f>IF($AD73=AK$67,($AK$37+$BR$20+(-$AL$37-$BS$20)*$BP$20/$BQ$20)*$BP$29,"")</f>
        <v>#VALUE!</v>
      </c>
      <c r="AL73" s="48" t="e">
        <f>IF($AD73=AK$67,(-$AL$37+$AK$37*$BU$20/$BT$20)*$BT$29,"")</f>
        <v>#VALUE!</v>
      </c>
      <c r="AN73" s="49" t="e">
        <f>(-$AE$37-$AV$20+($AF$37+$AW$20)*$AX$20/$AY$20)</f>
        <v>#VALUE!</v>
      </c>
      <c r="AO73" s="48" t="e">
        <f>(-$AF$37-$CA$20-(-$AE$37-$BZ$20)*$BY$20/$BX$20)</f>
        <v>#VALUE!</v>
      </c>
      <c r="AP73" s="49" t="e">
        <f>(-$AG$37+$AH$37*$BB$20/$BC$20)</f>
        <v>#VALUE!</v>
      </c>
      <c r="AQ73" s="48" t="e">
        <f>($AH$37+$BE$20+(-$AG$37-$BD$20)*$BG$20/$BF$20)</f>
        <v>#VALUE!</v>
      </c>
      <c r="AR73" s="49" t="e">
        <f>($AI$37-$AJ$37*$BL$20/$BM$20)</f>
        <v>#VALUE!</v>
      </c>
      <c r="AS73" s="48" t="e">
        <f>($AJ$37-$AI$37*$BK$20/$BJ$20)</f>
        <v>#VALUE!</v>
      </c>
      <c r="AT73" s="49" t="e">
        <f>($AK$37+$BR$20+(-$AL$37-$BS$20)*$BP$20/$BQ$20)</f>
        <v>#VALUE!</v>
      </c>
      <c r="AU73" s="48" t="e">
        <f>(-$AL$37+$AK$37*$BU$20/$BT$20)</f>
        <v>#VALUE!</v>
      </c>
      <c r="BG73" s="82">
        <v>36</v>
      </c>
      <c r="BH73" s="82">
        <v>25</v>
      </c>
      <c r="BI73" s="82">
        <v>30</v>
      </c>
      <c r="BJ73" s="82">
        <v>31</v>
      </c>
      <c r="BK73" s="82">
        <v>6</v>
      </c>
      <c r="BL73" s="82">
        <v>1</v>
      </c>
      <c r="BM73" s="82">
        <v>2</v>
      </c>
      <c r="BN73" s="82">
        <v>35</v>
      </c>
      <c r="BO73" s="82">
        <v>26</v>
      </c>
      <c r="BZ73" s="19"/>
      <c r="CA73" s="19"/>
    </row>
    <row r="74" spans="27:79" ht="12" customHeight="1" x14ac:dyDescent="0.25">
      <c r="AA74" s="5"/>
      <c r="AB74" s="5"/>
      <c r="AD74" s="53">
        <v>4</v>
      </c>
      <c r="AE74" s="83" t="e">
        <f>IF($AD74=AE$67,(-$AE$37+$AF$37*$AV$20/$AW$20)*$AV$29,"")</f>
        <v>#VALUE!</v>
      </c>
      <c r="AF74" s="84" t="e">
        <f>IF($AD74=AE$67,(-$AF$37-$CA$20-(-$AE$37-$BZ$20)*$BY$20/$BX$20)*$BX$29,"")</f>
        <v>#VALUE!</v>
      </c>
      <c r="AG74" s="83" t="e">
        <f>IF($AD74=AG$67,(-$AG$37+$BB$20+($AH$37-$BC$20)*$AZ$20/$BA$20)*$AZ$29,"")</f>
        <v>#VALUE!</v>
      </c>
      <c r="AH74" s="84" t="e">
        <f>IF($AD74=AG$67,($AH$37+$BE$20+(-$AG$37-$BD$20)*$BG$20/$BF$20)*$BF$29,"")</f>
        <v>#VALUE!</v>
      </c>
      <c r="AI74" s="83" t="e">
        <f>IF($AD74=AI$67,($AI$37-$BL$20-($AJ$37-$BM$20)*$BN$20/$BO$20)*$BN$29,"")</f>
        <v>#VALUE!</v>
      </c>
      <c r="AJ74" s="84" t="e">
        <f>IF($AD74=AI$67,($AJ$37-$AI$37*$BK$20/$BJ$20)*$BJ$29,"")</f>
        <v>#VALUE!</v>
      </c>
      <c r="AK74" s="83" t="e">
        <f>IF($AD74=AK$67,($AK$37-$AL$37*$BR$20/$BS$20)*$BR$29,"")</f>
        <v>#VALUE!</v>
      </c>
      <c r="AL74" s="84" t="e">
        <f>IF($AD74=AK$67,(-$AL$37+$AK$37*$BU$20/$BT$20)*$BT$29,"")</f>
        <v>#VALUE!</v>
      </c>
      <c r="AN74" s="83" t="e">
        <f>(-$AE$37+$AF$37*$AV$20/$AW$20)</f>
        <v>#VALUE!</v>
      </c>
      <c r="AO74" s="84" t="e">
        <f>(-$AF$37-$CA$20-(-$AE$37-$BZ$20)*$BY$20/$BX$20)</f>
        <v>#VALUE!</v>
      </c>
      <c r="AP74" s="83" t="e">
        <f>(-$AG$37+$BB$20+($AH$37-$BC$20)*$AZ$20/$BA$20)</f>
        <v>#VALUE!</v>
      </c>
      <c r="AQ74" s="84" t="e">
        <f>($AH$37+$BE$20+(-$AG$37-$BD$20)*$BG$20/$BF$20)</f>
        <v>#VALUE!</v>
      </c>
      <c r="AR74" s="83" t="e">
        <f>($AI$37-$BL$20-($AJ$37-$BM$20)*$BN$20/$BO$20)</f>
        <v>#VALUE!</v>
      </c>
      <c r="AS74" s="84" t="e">
        <f>($AJ$37-$AI$37*$BK$20/$BJ$20)</f>
        <v>#VALUE!</v>
      </c>
      <c r="AT74" s="83" t="e">
        <f>($AK$37-$AL$37*$BR$20/$BS$20)</f>
        <v>#VALUE!</v>
      </c>
      <c r="AU74" s="84" t="e">
        <f>(-$AL$37+$AK$37*$BU$20/$BT$20)</f>
        <v>#VALUE!</v>
      </c>
      <c r="BZ74" s="19"/>
      <c r="CA74" s="19"/>
    </row>
    <row r="75" spans="27:79" ht="12" customHeight="1" x14ac:dyDescent="0.25">
      <c r="AA75" s="5"/>
      <c r="AB75" s="5"/>
      <c r="AE75" s="85" t="str">
        <f>IF(ISNUMBER($AE$71),AE$71,IF(ISNUMBER($AE$72),AE$72,IF(ISNUMBER($AE$73),AE$73,IF(ISNUMBER($AE$74),AE$74,""))))</f>
        <v/>
      </c>
      <c r="AF75" s="86" t="str">
        <f>IF(ISNUMBER($AF$71),AF$71,IF(ISNUMBER($AF$72),AF$72,IF(ISNUMBER($AF$73),AF$73,IF(ISNUMBER($AF$74),AF$74,""))))</f>
        <v/>
      </c>
      <c r="AG75" s="85" t="str">
        <f>IF(ISNUMBER($AG$71),AG$71,IF(ISNUMBER($AG$72),AG$72,IF(ISNUMBER($AG$73),AG$73,IF(ISNUMBER($AG$74),AG$74,""))))</f>
        <v/>
      </c>
      <c r="AH75" s="86" t="str">
        <f>IF(ISNUMBER($AH$71),AH$71,IF(ISNUMBER($AH$72),AH$72,IF(ISNUMBER($AH$73),AH$73,IF(ISNUMBER($AH$74),AH$74,""))))</f>
        <v/>
      </c>
      <c r="AI75" s="85" t="str">
        <f>IF(ISNUMBER($AI$71),AI$71,IF(ISNUMBER($AI$72),AI$72,IF(ISNUMBER($AI$73),AI$73,IF(ISNUMBER($AI$74),AI$74,""))))</f>
        <v/>
      </c>
      <c r="AJ75" s="86" t="str">
        <f>IF(ISNUMBER($AJ$71),AJ$71,IF(ISNUMBER($AJ$72),AJ$72,IF(ISNUMBER($AJ$73),AJ$73,IF(ISNUMBER($AJ$74),AJ$74,""))))</f>
        <v/>
      </c>
      <c r="AK75" s="85" t="str">
        <f>IF(ISNUMBER($AK$71),AK$71,IF(ISNUMBER($AK$72),AK$72,IF(ISNUMBER($AK$73),AK$73,IF(ISNUMBER($AK$74),AK$74,""))))</f>
        <v/>
      </c>
      <c r="AL75" s="86" t="str">
        <f>IF(ISNUMBER($AL$71),AL$71,IF(ISNUMBER($AL$72),AL$72,IF(ISNUMBER($AL$73),AL$73,IF(ISNUMBER($AL$74),AL$74,""))))</f>
        <v/>
      </c>
      <c r="AO75" s="44"/>
      <c r="AP75" s="44"/>
      <c r="AQ75" s="44"/>
      <c r="AR75" s="44"/>
      <c r="AS75" s="44"/>
      <c r="AT75" s="44"/>
      <c r="BZ75" s="19"/>
      <c r="CA75" s="19"/>
    </row>
    <row r="76" spans="27:79" ht="12" customHeight="1" x14ac:dyDescent="0.25">
      <c r="AA76" s="5"/>
      <c r="AB76" s="5"/>
      <c r="AE76" s="87"/>
      <c r="AF76" s="88"/>
      <c r="AG76" s="89"/>
      <c r="AH76" s="89"/>
      <c r="AI76" s="87"/>
      <c r="AJ76" s="88"/>
      <c r="AK76" s="87"/>
      <c r="AL76" s="88"/>
      <c r="AO76" s="44"/>
      <c r="AP76" s="44"/>
      <c r="AQ76" s="44"/>
      <c r="AR76" s="44"/>
      <c r="AS76" s="44"/>
      <c r="AT76" s="44"/>
      <c r="BZ76" s="19"/>
      <c r="CA76" s="19"/>
    </row>
    <row r="77" spans="27:79" ht="12" customHeight="1" x14ac:dyDescent="0.25">
      <c r="AA77" s="5"/>
      <c r="AB77" s="5"/>
      <c r="AE77" s="939" t="s">
        <v>372</v>
      </c>
      <c r="AF77" s="882"/>
      <c r="AG77" s="943" t="s">
        <v>372</v>
      </c>
      <c r="AH77" s="832"/>
      <c r="AI77" s="939" t="s">
        <v>372</v>
      </c>
      <c r="AJ77" s="882"/>
      <c r="AK77" s="939" t="s">
        <v>372</v>
      </c>
      <c r="AL77" s="882"/>
      <c r="AO77" s="44"/>
      <c r="AP77" s="44"/>
      <c r="AQ77" s="44"/>
      <c r="AR77" s="44"/>
      <c r="AS77" s="44"/>
      <c r="AT77" s="44"/>
      <c r="BZ77" s="19"/>
      <c r="CA77" s="19"/>
    </row>
    <row r="78" spans="27:79" ht="12" customHeight="1" x14ac:dyDescent="0.25">
      <c r="AA78" s="5"/>
      <c r="AB78" s="5"/>
      <c r="AE78" s="944" t="e">
        <f>IF($AE$39="","",IF(AND((-$AE$39+$AF$39*$AV$20/$AW$20)&gt;0,-$AE$39&lt;$BZ$20,(-$AF$39+$AE$39*$CA$20/$BZ$20)&gt;0,-$AF$39&lt;$AW$20),1,IF(AND((-$AE$39-$AV$20+($AF$39+$AW$20)*$AX$20/$AY$20)&gt;0,-$AE$39&lt;$BZ$20,-$AF$39&gt;$AW$20,-$AF$39&lt;$AX$23),2,IF(AND(-$AE$39&lt;$BY$23,-$AE$39&gt;$BZ$20,-$AF$39&gt;$AW$20,-$AF$39&lt;$AX$23),3,IF(AND(-$AE$39&lt;$BY$23,-$AE$39&gt;$BZ$20,(-$AF$39-$CA$20-(-$AE$39-$BZ$20)*$BY$20/$BX$20)&gt;0,-$AF$39&lt;$AW$20),4,"")))))</f>
        <v>#VALUE!</v>
      </c>
      <c r="AF78" s="911"/>
      <c r="AG78" s="944" t="e">
        <f>IF($AG$40="","",IF(AND((-$AG$40+$BB$20+($AH$40-$BC$20)*$AZ$20/$BA$20)&gt;0,-$AG$40&lt;$BD$20,$AH$40&gt;$BC$20,$AH$40&lt;$BB$23),1,IF(AND((-$AG$40+$AH$40*$BB$20/$BC$20)&gt;0,-$AG$40&lt;$BD$20,($AH$40-$AG$40*$BE$20/$BD$20)&gt;0,$AH$40&lt;$BC$20),2,IF(AND(-$AG$40&gt;$BD$20,-$AG$40&lt;$BE$23,($AH$40+$BE$20+(-$AG$40-$BD$20)*$BG$20/$BF$20)&gt;0,$AH$40&lt;$BC$20),3,IF(AND(-$AG$40&gt;$BD$20,-$AG$40&lt;$BE$23,$AH$40&gt;$BC$20,$AH$40&lt;$BB$23),4,"")))))</f>
        <v>#VALUE!</v>
      </c>
      <c r="AH78" s="911"/>
      <c r="AI78" s="944" t="e">
        <f>IF($AI$41="","",IF(AND($AI$41&gt;$BJ$20,$AI$41&lt;$BI$23,$AJ$41&gt;$BM$20,$AJ$41&lt;$BN$23),1,IF(AND($AI$41&gt;$BJ$20,$AI$41&lt;$BI$23,($AJ$41-$BK$20-($AI$41-$BJ$20)*$BI$20/$BH$20)&gt;0,$AJ$41&lt;$BM$20),2,IF(AND(($AI$41-$AJ$41*$BL$20/$BM$20)&gt;0,$AI$41&lt;$BJ$20,($AJ$41-$AI$41*$BK$20/$BJ$20)&gt;0,$AJ$41&lt;$BM$20),3,IF(AND(($AI$41-$BL$20-($AJ$41-$BM$20)*$BN$20/$BO$20)&gt;0,$AI$41&lt;$BJ$20,$AJ$41&gt;$BM$20,$AJ$41&lt;$BN$23),4,"")))))</f>
        <v>#VALUE!</v>
      </c>
      <c r="AJ78" s="911"/>
      <c r="AK78" s="944" t="e">
        <f>IF($AK$42="","",IF(AND($AK$42&gt;$BT$20,$AK$42&lt;$BU$23,(-$AL$42+$BU$20+($AK$42-$BT$20)*$BW$20/$BV$20)&gt;0,-$AL$42&lt;$BS$20),1,IF(AND($AK$42&gt;$BT$20,$AK$42&lt;$BU$23,-$AL$42&gt;$BS$20,-$AL$42&lt;$BR$23),2,IF(AND(($AK$42+$BR$20+(-$AL$42-$BS$20)*$BP$20/$BQ$20)&gt;0,$AK$42&lt;$BT$20,-$AL$42&gt;$BS$20,-$AL$42&lt;$BR$23),3,IF(AND(($AK$42-$AL$42*$BR$20/$BS$20)&gt;0,$AK$42&lt;$BT$20,(-$AL$42+$AK$42*$BU$20/$BT$20)&gt;0,-$AL$42&lt;$BS$20),4,"")))))</f>
        <v>#VALUE!</v>
      </c>
      <c r="AL78" s="911"/>
      <c r="BZ78" s="19"/>
      <c r="CA78" s="19"/>
    </row>
    <row r="79" spans="27:79" ht="12" customHeight="1" x14ac:dyDescent="0.25">
      <c r="AA79" s="5"/>
      <c r="AB79" s="5"/>
      <c r="AE79" s="87"/>
      <c r="AF79" s="88"/>
      <c r="AG79" s="89"/>
      <c r="AH79" s="89"/>
      <c r="AI79" s="87"/>
      <c r="AJ79" s="88"/>
      <c r="AK79" s="87"/>
      <c r="AL79" s="88"/>
      <c r="BZ79" s="19"/>
      <c r="CA79" s="19"/>
    </row>
    <row r="80" spans="27:79" ht="12" customHeight="1" x14ac:dyDescent="0.25">
      <c r="AA80" s="5"/>
      <c r="AB80" s="5"/>
      <c r="AE80" s="939" t="s">
        <v>373</v>
      </c>
      <c r="AF80" s="882"/>
      <c r="AG80" s="939" t="s">
        <v>374</v>
      </c>
      <c r="AH80" s="882"/>
      <c r="AI80" s="939" t="s">
        <v>375</v>
      </c>
      <c r="AJ80" s="882"/>
      <c r="AK80" s="939" t="s">
        <v>376</v>
      </c>
      <c r="AL80" s="882"/>
      <c r="BZ80" s="19"/>
      <c r="CA80" s="19"/>
    </row>
    <row r="81" spans="27:79" ht="12" customHeight="1" x14ac:dyDescent="0.25">
      <c r="AA81" s="5"/>
      <c r="AB81" s="5"/>
      <c r="AD81" s="757" t="s">
        <v>226</v>
      </c>
      <c r="AE81" s="30" t="s">
        <v>181</v>
      </c>
      <c r="AF81" s="30" t="s">
        <v>194</v>
      </c>
      <c r="AG81" s="761" t="s">
        <v>181</v>
      </c>
      <c r="AH81" s="760" t="s">
        <v>201</v>
      </c>
      <c r="AI81" s="30" t="s">
        <v>186</v>
      </c>
      <c r="AJ81" s="30" t="s">
        <v>201</v>
      </c>
      <c r="AK81" s="30" t="s">
        <v>186</v>
      </c>
      <c r="AL81" s="30" t="s">
        <v>194</v>
      </c>
      <c r="AN81" s="19" t="s">
        <v>371</v>
      </c>
      <c r="BZ81" s="19"/>
      <c r="CA81" s="19"/>
    </row>
    <row r="82" spans="27:79" ht="12" customHeight="1" x14ac:dyDescent="0.25">
      <c r="AA82" s="5"/>
      <c r="AB82" s="5"/>
      <c r="AD82" s="53">
        <v>1</v>
      </c>
      <c r="AE82" s="49" t="e">
        <f>IF($AD82=AE$78,(-$AE$43+$AF$43*$AV$20/$AW$20)*$AV$29,"")</f>
        <v>#VALUE!</v>
      </c>
      <c r="AF82" s="48" t="e">
        <f>IF($AD82=AE$78,(-$AF$43+$AE$43*$CA$20/$BZ$20)*$BZ$29,"")</f>
        <v>#VALUE!</v>
      </c>
      <c r="AG82" s="49" t="e">
        <f>IF($AD82=AG$78,(-$AG$43+$BB$20+($AH$43-$BC$20)*$AZ$20/$BA$20)*$AZ$29,"")</f>
        <v>#VALUE!</v>
      </c>
      <c r="AH82" s="48" t="e">
        <f>IF($AD82=AG$78,($AH$43-$AG$43*$BE$20/$BD$20)*$BD$29,"")</f>
        <v>#VALUE!</v>
      </c>
      <c r="AI82" s="49" t="e">
        <f>IF($AD82=AI$78,($AI$43-$BL$20-($AJ$43-$BM$20)*$BN$20/$BO$20)*$BN$29,"")</f>
        <v>#VALUE!</v>
      </c>
      <c r="AJ82" s="48" t="e">
        <f>IF($AD82=AI$78,($AJ$43-$BK$20-($AI$43-$BJ$20)*$BI$20/$BH$20)*$BH$29,"")</f>
        <v>#VALUE!</v>
      </c>
      <c r="AK82" s="49" t="e">
        <f>IF($AD82=AK$78,($AK$43-$AL$43*$BR$20/$BS$20)*$BR$29,"")</f>
        <v>#VALUE!</v>
      </c>
      <c r="AL82" s="48" t="e">
        <f>IF($AD82=AK$78,(-$AL$43+$BU$20+($AK$43-$BT$20)*$BW$20/$BV$20)*$BV$29,"")</f>
        <v>#VALUE!</v>
      </c>
      <c r="AN82" s="159" t="e">
        <f>(-$AE$43+$AF$43*$AV$20/$AW$20)</f>
        <v>#VALUE!</v>
      </c>
      <c r="AO82" s="160" t="e">
        <f>(-$AF$43+$AE$43*$CA$20/$BZ$20)</f>
        <v>#VALUE!</v>
      </c>
      <c r="AP82" s="159" t="e">
        <f>(-$AG$43+$BB$20+($AH$43-$BC$20)*$AZ$20/$BA$20)</f>
        <v>#VALUE!</v>
      </c>
      <c r="AQ82" s="160" t="e">
        <f>($AH$43-$AG$43*$BE$20/$BD$20)</f>
        <v>#VALUE!</v>
      </c>
      <c r="AR82" s="159" t="e">
        <f>($AI$43-$BL$20-($AJ$43-$BM$20)*$BN$20/$BO$20)</f>
        <v>#VALUE!</v>
      </c>
      <c r="AS82" s="160" t="e">
        <f>($AJ$43-$BK$20-($AI$43-$BJ$20)*$BI$20/$BH$20)</f>
        <v>#VALUE!</v>
      </c>
      <c r="AT82" s="159" t="e">
        <f>($AK$43-$AL$43*$BR$20/$BS$20)</f>
        <v>#VALUE!</v>
      </c>
      <c r="AU82" s="160" t="e">
        <f>(-$AL$43+$BU$20+($AK$43-$BT$20)*$BW$20/$BV$20)</f>
        <v>#VALUE!</v>
      </c>
      <c r="BZ82" s="19"/>
      <c r="CA82" s="19"/>
    </row>
    <row r="83" spans="27:79" ht="12" customHeight="1" x14ac:dyDescent="0.25">
      <c r="AA83" s="5"/>
      <c r="AB83" s="5"/>
      <c r="AD83" s="53">
        <v>2</v>
      </c>
      <c r="AE83" s="49" t="e">
        <f>IF($AD83=AE$78,(-$AE$43-$AV$20+($AF$43+$AW$20)*$AX$20/$AY$20)*$AX$29,"")</f>
        <v>#VALUE!</v>
      </c>
      <c r="AF83" s="48" t="e">
        <f>IF($AD83=AE$78,(-$AF$43+$AE$43*$CA$20/$BZ$20)*$BZ$29,"")</f>
        <v>#VALUE!</v>
      </c>
      <c r="AG83" s="49" t="e">
        <f>IF($AD83=AG$78,(-$AG$43+$AH$43*$BB$20/$BC$20)*$BB$29,"")</f>
        <v>#VALUE!</v>
      </c>
      <c r="AH83" s="48" t="e">
        <f>IF($AD83=AG$78,($AH$43-$AG$43*$BE$20/$BD$20)*$BD$29,"")</f>
        <v>#VALUE!</v>
      </c>
      <c r="AI83" s="49" t="e">
        <f>IF($AD83=AI$78,($AI$43-$AJ$43*$BL$20/$BM$20)*$BL$29,"")</f>
        <v>#VALUE!</v>
      </c>
      <c r="AJ83" s="48" t="e">
        <f>IF($AD83=AI$78,($AJ$43-$BK$20-($AI$43-$BJ$20)*$BI$20/$BH$20)*$BH$29,"")</f>
        <v>#VALUE!</v>
      </c>
      <c r="AK83" s="49" t="e">
        <f>IF($AD83=AK$78,($AK$43+$BR$20+(-$AL$43-$BS$20)*$BP$20/$BQ$20)*$BP$29,"")</f>
        <v>#VALUE!</v>
      </c>
      <c r="AL83" s="48" t="e">
        <f>IF($AD83=AK$78,(-$AL$43+$BU$20+($AK$43-$BT$20)*$BW$20/$BV$20)*$BV$29,"")</f>
        <v>#VALUE!</v>
      </c>
      <c r="AN83" s="49" t="e">
        <f>(-$AE$43-$AV$20+($AF$43+$AW$20)*$AX$20/$AY$20)</f>
        <v>#VALUE!</v>
      </c>
      <c r="AO83" s="48" t="e">
        <f>(-$AF$43+$AE$43*$CA$20/$BZ$20)</f>
        <v>#VALUE!</v>
      </c>
      <c r="AP83" s="49" t="e">
        <f>(-$AG$43+$AH$43*$BB$20/$BC$20)</f>
        <v>#VALUE!</v>
      </c>
      <c r="AQ83" s="48" t="e">
        <f>($AH$43-$AG$43*$BE$20/$BD$20)</f>
        <v>#VALUE!</v>
      </c>
      <c r="AR83" s="49" t="e">
        <f>($AI$43-$AJ$43*$BL$20/$BM$20)</f>
        <v>#VALUE!</v>
      </c>
      <c r="AS83" s="48" t="e">
        <f>($AJ$43-$BK$20-($AI$43-$BJ$20)*$BI$20/$BH$20)</f>
        <v>#VALUE!</v>
      </c>
      <c r="AT83" s="49" t="e">
        <f>($AK$43+$BR$20+(-$AL$43-$BS$20)*$BP$20/$BQ$20)</f>
        <v>#VALUE!</v>
      </c>
      <c r="AU83" s="48" t="e">
        <f>(-$AL$43+$BU$20+($AK$43-$BT$20)*$BW$20/$BV$20)</f>
        <v>#VALUE!</v>
      </c>
      <c r="BZ83" s="19"/>
      <c r="CA83" s="19"/>
    </row>
    <row r="84" spans="27:79" ht="12" customHeight="1" x14ac:dyDescent="0.25">
      <c r="AA84" s="5"/>
      <c r="AB84" s="5"/>
      <c r="AD84" s="53">
        <v>3</v>
      </c>
      <c r="AE84" s="49" t="e">
        <f>IF($AD84=AE$78,(-$AE$43-$AV$20+($AF$43+$AW$20)*$AX$20/$AY$20)*$AX$29,"")</f>
        <v>#VALUE!</v>
      </c>
      <c r="AF84" s="48" t="e">
        <f>IF($AD84=AE$78,(-$AF$43-$CA$20-(-$AE$43-$BZ$20)*$BY$20/$BX$20)*$BX$29,"")</f>
        <v>#VALUE!</v>
      </c>
      <c r="AG84" s="49" t="e">
        <f>IF($AD84=AG$78,(-$AG$43+$AH$43*$BB$20/$BC$20)*$BB$29,"")</f>
        <v>#VALUE!</v>
      </c>
      <c r="AH84" s="48" t="e">
        <f>IF($AD84=AG$78,($AH$43+$BE$20+(-$AG$43-$BD$20)*$BG$20/$BF$20)*$BF$29,"")</f>
        <v>#VALUE!</v>
      </c>
      <c r="AI84" s="49" t="e">
        <f>IF($AD84=AI$78,($AI$43-$AJ$43*$BL$20/$BM$20)*$BL$29,"")</f>
        <v>#VALUE!</v>
      </c>
      <c r="AJ84" s="48" t="e">
        <f>IF($AD84=AI$78,($AJ$43-$AI$43*$BK$20/$BJ$20)*$BJ$29,"")</f>
        <v>#VALUE!</v>
      </c>
      <c r="AK84" s="49" t="e">
        <f>IF($AD84=AK$78,($AK$43+$BR$20+(-$AL$43-$BS$20)*$BP$20/$BQ$20)*$BP$29,"")</f>
        <v>#VALUE!</v>
      </c>
      <c r="AL84" s="48" t="e">
        <f>IF($AD84=AK$78,(-$AL$43+$AK$43*$BU$20/$BT$20)*$BT$29,"")</f>
        <v>#VALUE!</v>
      </c>
      <c r="AN84" s="49" t="e">
        <f>(-$AE$43-$AV$20+($AF$43+$AW$20)*$AX$20/$AY$20)</f>
        <v>#VALUE!</v>
      </c>
      <c r="AO84" s="48" t="e">
        <f>(-$AF$43-$CA$20-(-$AE$43-$BZ$20)*$BY$20/$BX$20)</f>
        <v>#VALUE!</v>
      </c>
      <c r="AP84" s="49" t="e">
        <f>(-$AG$43+$AH$43*$BB$20/$BC$20)</f>
        <v>#VALUE!</v>
      </c>
      <c r="AQ84" s="48" t="e">
        <f>($AH$43+$BE$20+(-$AG$43-$BD$20)*$BG$20/$BF$20)</f>
        <v>#VALUE!</v>
      </c>
      <c r="AR84" s="49" t="e">
        <f>($AI$43-$AJ$43*$BL$20/$BM$20)</f>
        <v>#VALUE!</v>
      </c>
      <c r="AS84" s="48" t="e">
        <f>($AJ$43-$AI$43*$BK$20/$BJ$20)</f>
        <v>#VALUE!</v>
      </c>
      <c r="AT84" s="49" t="e">
        <f>($AK$43+$BR$20+(-$AL$43-$BS$20)*$BP$20/$BQ$20)</f>
        <v>#VALUE!</v>
      </c>
      <c r="AU84" s="48" t="e">
        <f>(-$AL$43+$AK$43*$BU$20/$BT$20)</f>
        <v>#VALUE!</v>
      </c>
      <c r="BZ84" s="19"/>
      <c r="CA84" s="19"/>
    </row>
    <row r="85" spans="27:79" ht="12" customHeight="1" x14ac:dyDescent="0.25">
      <c r="AA85" s="5"/>
      <c r="AB85" s="5"/>
      <c r="AD85" s="53">
        <v>4</v>
      </c>
      <c r="AE85" s="49" t="e">
        <f>IF($AD85=AE$78,(-$AE$43+$AF$43*$AV$20/$AW$20)*$AV$29,"")</f>
        <v>#VALUE!</v>
      </c>
      <c r="AF85" s="48" t="e">
        <f>IF($AD85=AE$78,(-$AF$43-$CA$20-(-$AE$43-$BZ$20)*$BY$20/$BX$20)*$BX$29,"")</f>
        <v>#VALUE!</v>
      </c>
      <c r="AG85" s="49" t="e">
        <f>IF($AD85=AG$78,(-$AG$43+$BB$20+($AH$43-$BC$20)*$AZ$20/$BA$20)*$AZ$29,"")</f>
        <v>#VALUE!</v>
      </c>
      <c r="AH85" s="48" t="e">
        <f>IF($AD85=AG$78,($AH$43+$BE$20+(-$AG$43-$BD$20)*$BG$20/$BF$20)*$BF$29,"")</f>
        <v>#VALUE!</v>
      </c>
      <c r="AI85" s="49" t="e">
        <f>IF($AD85=AI$78,($AI$43-$BL$20-($AJ$43-$BM$20)*$BN$20/$BO$20)*$BN$29,"")</f>
        <v>#VALUE!</v>
      </c>
      <c r="AJ85" s="48" t="e">
        <f>IF($AD85=AI$78,($AJ$43-$AI$43*$BK$20/$BJ$20)*$BJ$29,"")</f>
        <v>#VALUE!</v>
      </c>
      <c r="AK85" s="49" t="e">
        <f>IF($AD85=AK$78,($AK$43-$AL$43*$BR$20/$BS$20)*$BR$29,"")</f>
        <v>#VALUE!</v>
      </c>
      <c r="AL85" s="48" t="e">
        <f>IF($AD85=AK$78,(-$AL$43+$AK$43*$BU$20/$BT$20)*$BT$29,"")</f>
        <v>#VALUE!</v>
      </c>
      <c r="AN85" s="83" t="e">
        <f>(-$AE$43+$AF$43*$AV$20/$AW$20)</f>
        <v>#VALUE!</v>
      </c>
      <c r="AO85" s="84" t="e">
        <f>(-$AF$43-$CA$20-(-$AE$43-$BZ$20)*$BY$20/$BX$20)</f>
        <v>#VALUE!</v>
      </c>
      <c r="AP85" s="83" t="e">
        <f>(-$AG$43+$BB$20+($AH$43-$BC$20)*$AZ$20/$BA$20)</f>
        <v>#VALUE!</v>
      </c>
      <c r="AQ85" s="84" t="e">
        <f>($AH$43+$BE$20+(-$AG$43-$BD$20)*$BG$20/$BF$20)</f>
        <v>#VALUE!</v>
      </c>
      <c r="AR85" s="83" t="e">
        <f>($AI$43-$BL$20-($AJ$43-$BM$20)*$BN$20/$BO$20)</f>
        <v>#VALUE!</v>
      </c>
      <c r="AS85" s="84" t="e">
        <f>($AJ$43-$AI$43*$BK$20/$BJ$20)</f>
        <v>#VALUE!</v>
      </c>
      <c r="AT85" s="83" t="e">
        <f>($AK$43-$AL$43*$BR$20/$BS$20)</f>
        <v>#VALUE!</v>
      </c>
      <c r="AU85" s="84" t="e">
        <f>(-$AL$43+$AK$43*$BU$20/$BT$20)</f>
        <v>#VALUE!</v>
      </c>
      <c r="BZ85" s="19"/>
      <c r="CA85" s="19"/>
    </row>
    <row r="86" spans="27:79" ht="12" customHeight="1" x14ac:dyDescent="0.25">
      <c r="AA86" s="5"/>
      <c r="AB86" s="5"/>
      <c r="AE86" s="85" t="str">
        <f>IF(ISNUMBER($AE$82),AE$82,IF(ISNUMBER($AE$83),AE$83,IF(ISNUMBER($AE$84),AE$84,IF(ISNUMBER($AE$85),AE$85,""))))</f>
        <v/>
      </c>
      <c r="AF86" s="86" t="str">
        <f>IF(ISNUMBER($AF$82),AF$82,IF(ISNUMBER($AF$83),AF$83,IF(ISNUMBER($AF$84),AF$84,IF(ISNUMBER($AF$85),AF$85,""))))</f>
        <v/>
      </c>
      <c r="AG86" s="85" t="str">
        <f>IF(ISNUMBER($AG$82),AG$82,IF(ISNUMBER($AG$83),AG$83,IF(ISNUMBER($AG$84),AG$84,IF(ISNUMBER($AG$85),AG$85,""))))</f>
        <v/>
      </c>
      <c r="AH86" s="86" t="str">
        <f>IF(ISNUMBER($AH$82),AH$82,IF(ISNUMBER($AH$83),AH$83,IF(ISNUMBER($AH$84),AH$84,IF(ISNUMBER($AH$85),AH$85,""))))</f>
        <v/>
      </c>
      <c r="AI86" s="85" t="str">
        <f>IF(ISNUMBER($AI$82),AI$82,IF(ISNUMBER($AI$83),AI$83,IF(ISNUMBER($AI$84),AI$84,IF(ISNUMBER($AI$85),AI$85,""))))</f>
        <v/>
      </c>
      <c r="AJ86" s="86" t="str">
        <f>IF(ISNUMBER($AJ$82),AJ$82,IF(ISNUMBER($AJ$83),AJ$83,IF(ISNUMBER($AJ$84),AJ$84,IF(ISNUMBER($AJ$85),AJ$85,""))))</f>
        <v/>
      </c>
      <c r="AK86" s="85" t="str">
        <f>IF(ISNUMBER($AK$82),AK$82,IF(ISNUMBER($AK$83),AK$83,IF(ISNUMBER($AK$84),AK$84,IF(ISNUMBER($AK$85),AK$85,""))))</f>
        <v/>
      </c>
      <c r="AL86" s="86" t="str">
        <f>IF(ISNUMBER($AL$82),AL$82,IF(ISNUMBER($AL$83),AL$83,IF(ISNUMBER($AL$84),AL$84,IF(ISNUMBER($AL$85),AL$85,""))))</f>
        <v/>
      </c>
      <c r="BZ86" s="19"/>
      <c r="CA86" s="19"/>
    </row>
    <row r="87" spans="27:79" ht="12" customHeight="1" x14ac:dyDescent="0.25">
      <c r="AA87" s="5"/>
      <c r="AB87" s="5"/>
      <c r="AE87" s="87"/>
      <c r="AF87" s="88"/>
      <c r="AG87" s="89"/>
      <c r="AH87" s="89"/>
      <c r="AI87" s="87"/>
      <c r="AJ87" s="88"/>
      <c r="AK87" s="87"/>
      <c r="AL87" s="88"/>
      <c r="BZ87" s="19"/>
      <c r="CA87" s="19"/>
    </row>
    <row r="88" spans="27:79" ht="12" customHeight="1" x14ac:dyDescent="0.25">
      <c r="AA88" s="5"/>
      <c r="AB88" s="5"/>
      <c r="AE88" s="939" t="s">
        <v>377</v>
      </c>
      <c r="AF88" s="882"/>
      <c r="AG88" s="943" t="s">
        <v>377</v>
      </c>
      <c r="AH88" s="832"/>
      <c r="AI88" s="939" t="s">
        <v>377</v>
      </c>
      <c r="AJ88" s="882"/>
      <c r="AK88" s="939" t="s">
        <v>377</v>
      </c>
      <c r="AL88" s="882"/>
      <c r="BZ88" s="19"/>
      <c r="CA88" s="19"/>
    </row>
    <row r="89" spans="27:79" ht="12" customHeight="1" x14ac:dyDescent="0.25">
      <c r="AA89" s="5"/>
      <c r="AB89" s="5"/>
      <c r="AE89" s="944" t="e">
        <f>IF($AE$45="","",IF(AND((-$AE$45+$AF$45*$AV$20/$AW$20)&gt;0,-$AE$45&lt;$BZ$20,(-$AF$45+$AE$45*$CA$20/$BZ$20)&gt;0,-$AF$45&lt;$AW$20),1,IF(AND((-$AE$45-$AV$20+($AF$45+$AW$20)*$AX$20/$AY$20)&gt;0,-$AE$45&lt;$BZ$20,-$AF$45&gt;$AW$20,-$AF$45&lt;$AX$23),2,IF(AND(-$AE$45&lt;$BY$23,-$AE$45&gt;$BZ$20,-$AF$45&gt;$AW$20,-$AF$45&lt;$AX$23),3,IF(AND(-$AE$45&lt;$BY$23,-$AE$45&gt;$BZ$20,(-$AF$45-$CA$20-(-$AE$45-$BZ$20)*$BY$20/$BX$20)&gt;0,-$AF$45&lt;$AW$20),4,"")))))</f>
        <v>#VALUE!</v>
      </c>
      <c r="AF89" s="911"/>
      <c r="AG89" s="944" t="e">
        <f>IF($AG$46="","",IF(AND((-$AG$46+$BB$20+($AH$46-$BC$20)*$AZ$20/$BA$20)&gt;0,-$AG$46&lt;$BD$20,$AH$46&gt;$BC$20,$AH$46&lt;$BB$23),1,IF(AND((-$AG$46+$AH$46*$BB$20/$BC$20)&gt;0,-$AG$46&lt;$BD$20,($AH$46-$AG$46*$BE$20/$BD$20)&gt;0,$AH$46&lt;$BC$20),2,IF(AND(-$AG$46&gt;$BD$20,-$AG$46&lt;$BE$23,($AH$46+$BE$20+(-$AG$46-$BD$20)*$BG$20/$BF$20)&gt;0,$AH$46&lt;$BC$20),3,IF(AND(-$AG$46&gt;$BD$20,-$AG$46&lt;$BE$23,$AH$46&gt;$BC$20,$AH$46&lt;$BB$23),4,"")))))</f>
        <v>#VALUE!</v>
      </c>
      <c r="AH89" s="911"/>
      <c r="AI89" s="944" t="e">
        <f>IF($AI$47="","",IF(AND($AI$47&gt;$BJ$20,$AI$47&lt;$BI$23,$AJ$47&gt;$BM$20,$AJ$47&lt;$BN$23),1,IF(AND($AI$47&gt;$BJ$20,$AI$47&lt;$BI$23,($AJ$47-$BK$20-($AI$47-$BJ$20)*$BI$20/$BH$20)&gt;0,$AJ$47&lt;$BM$20),2,IF(AND(($AI$47-$AJ$47*$BL$20/$BM$20)&gt;0,$AI$47&lt;$BJ$20,($AJ$47-$AI$47*$BK$20/$BJ$20)&gt;0,$AJ$47&lt;$BM$20),3,IF(AND(($AI$47-$BL$20-($AJ$47-$BM$20)*$BN$20/$BO$20)&gt;0,$AI$47&lt;$BJ$20,$AJ$47&gt;$BM$20,$AJ$47&lt;$BN$23),4,"")))))</f>
        <v>#VALUE!</v>
      </c>
      <c r="AJ89" s="911"/>
      <c r="AK89" s="944" t="e">
        <f>IF($AK$48="","",IF(AND($AK$48&gt;$BT$20,$AK$48&lt;$BU$23,(-$AL$48+$BU$20+($AK$48-$BT$20)*$BW$20/$BV$20)&gt;0,-$AL$48&lt;$BS$20),1,IF(AND($AK$48&gt;$BT$20,$AK$48&lt;$BU$23,-$AL$48&gt;$BS$20,-$AL$48&lt;$BR$23),2,IF(AND(($AK$48+$BR$20+(-$AL$48-$BS$20)*$BP$20/$BQ$20)&gt;0,$AK$48&lt;$BT$20,-$AL$48&gt;$BS$20,-$AL$48&lt;$BR$23),3,IF(AND(($AK$48-$AL$48*$BR$20/$BS$20)&gt;0,$AK$48&lt;$BT$20,(-$AL$48+$AK$48*$BU$20/$BT$20)&gt;0,-$AL$48&lt;$BS$20),4,"")))))</f>
        <v>#VALUE!</v>
      </c>
      <c r="AL89" s="911"/>
      <c r="BZ89" s="19"/>
      <c r="CA89" s="19"/>
    </row>
    <row r="90" spans="27:79" ht="12" customHeight="1" x14ac:dyDescent="0.25">
      <c r="AA90" s="5"/>
      <c r="AB90" s="5"/>
      <c r="AE90" s="87"/>
      <c r="AF90" s="88"/>
      <c r="AG90" s="89"/>
      <c r="AH90" s="89"/>
      <c r="AI90" s="87"/>
      <c r="AJ90" s="88"/>
      <c r="AK90" s="87"/>
      <c r="AL90" s="88"/>
      <c r="BZ90" s="19"/>
      <c r="CA90" s="19"/>
    </row>
    <row r="91" spans="27:79" ht="12" customHeight="1" x14ac:dyDescent="0.25">
      <c r="AA91" s="5"/>
      <c r="AB91" s="5"/>
      <c r="AE91" s="939" t="s">
        <v>378</v>
      </c>
      <c r="AF91" s="882"/>
      <c r="AG91" s="939" t="s">
        <v>379</v>
      </c>
      <c r="AH91" s="882"/>
      <c r="AI91" s="939" t="s">
        <v>375</v>
      </c>
      <c r="AJ91" s="882"/>
      <c r="AK91" s="939" t="s">
        <v>380</v>
      </c>
      <c r="AL91" s="882"/>
      <c r="BZ91" s="19"/>
      <c r="CA91" s="19"/>
    </row>
    <row r="92" spans="27:79" ht="12" customHeight="1" x14ac:dyDescent="0.25">
      <c r="AA92" s="5"/>
      <c r="AB92" s="5"/>
      <c r="AD92" s="757" t="s">
        <v>226</v>
      </c>
      <c r="AE92" s="30" t="s">
        <v>181</v>
      </c>
      <c r="AF92" s="30" t="s">
        <v>194</v>
      </c>
      <c r="AG92" s="761" t="s">
        <v>181</v>
      </c>
      <c r="AH92" s="760" t="s">
        <v>201</v>
      </c>
      <c r="AI92" s="30" t="s">
        <v>186</v>
      </c>
      <c r="AJ92" s="30" t="s">
        <v>201</v>
      </c>
      <c r="AK92" s="30" t="s">
        <v>186</v>
      </c>
      <c r="AL92" s="30" t="s">
        <v>194</v>
      </c>
      <c r="AN92" s="19" t="s">
        <v>371</v>
      </c>
      <c r="BZ92" s="19"/>
      <c r="CA92" s="19"/>
    </row>
    <row r="93" spans="27:79" ht="12" customHeight="1" x14ac:dyDescent="0.25">
      <c r="AA93" s="5"/>
      <c r="AB93" s="5"/>
      <c r="AD93" s="53">
        <v>1</v>
      </c>
      <c r="AE93" s="49" t="e">
        <f>IF($AD93=AE$89,(-$AE$49+$AF$49*$AV$20/$AW$20)*$AV$29,"")</f>
        <v>#VALUE!</v>
      </c>
      <c r="AF93" s="48" t="e">
        <f>IF($AD93=AE$89,(-$AF$49+$AE$49*$CA$20/$BZ$20)*$BZ$29,"")</f>
        <v>#VALUE!</v>
      </c>
      <c r="AG93" s="49" t="e">
        <f>IF($AD93=AG$89,(-$AG$49+$BB$20+($AH$49-$BC$20)*$AZ$20/$BA$20)*$AZ$29,"")</f>
        <v>#VALUE!</v>
      </c>
      <c r="AH93" s="48" t="e">
        <f>IF($AD93=AG$89,($AH$49-$AG$49*$BE$20/$BD$20)*$BD$29,"")</f>
        <v>#VALUE!</v>
      </c>
      <c r="AI93" s="49" t="e">
        <f>IF($AD93=AI$89,($AI$49-$BL$20-($AJ$49-$BM$20)*$BN$20/$BO$20)*$BN$29,"")</f>
        <v>#VALUE!</v>
      </c>
      <c r="AJ93" s="48" t="e">
        <f>IF($AD93=AI$89,($AJ$49-$BK$20-($AI$49-$BJ$20)*$BI$20/$BH$20)*$BH$29,"")</f>
        <v>#VALUE!</v>
      </c>
      <c r="AK93" s="49" t="e">
        <f>IF($AD93=AK$89,($AK$49-$AL$49*$BR$20/$BS$20)*$BR$29,"")</f>
        <v>#VALUE!</v>
      </c>
      <c r="AL93" s="48" t="e">
        <f>IF($AD93=AK$89,(-$AL$49+$BU$20+($AK$49-$BT$20)*$BW$20/$BV$20)*$BV$29,"")</f>
        <v>#VALUE!</v>
      </c>
      <c r="AN93" s="159" t="e">
        <f>(-$AE$49+$AF$49*$AV$20/$AW$20)</f>
        <v>#VALUE!</v>
      </c>
      <c r="AO93" s="160" t="e">
        <f>(-$AF$49+$AE$49*$CA$20/$BZ$20)</f>
        <v>#VALUE!</v>
      </c>
      <c r="AP93" s="159" t="e">
        <f>(-$AG$49+$BB$20+($AH$49-$BC$20)*$AZ$20/$BA$20)</f>
        <v>#VALUE!</v>
      </c>
      <c r="AQ93" s="160" t="e">
        <f>($AH$49-$AG$49*$BE$20/$BD$20)</f>
        <v>#VALUE!</v>
      </c>
      <c r="AR93" s="159" t="e">
        <f>($AI$49-$BL$20-($AJ$49-$BM$20)*$BN$20/$BO$20)</f>
        <v>#VALUE!</v>
      </c>
      <c r="AS93" s="160" t="e">
        <f>($AJ$49-$BK$20-($AI$49-$BJ$20)*$BI$20/$BH$20)</f>
        <v>#VALUE!</v>
      </c>
      <c r="AT93" s="159" t="e">
        <f>($AK$49-$AL$49*$BR$20/$BS$20)</f>
        <v>#VALUE!</v>
      </c>
      <c r="AU93" s="160" t="e">
        <f>(-$AL$49+$BU$20+($AK$49-$BT$20)*$BW$20/$BV$20)</f>
        <v>#VALUE!</v>
      </c>
      <c r="BZ93" s="19"/>
      <c r="CA93" s="19"/>
    </row>
    <row r="94" spans="27:79" ht="12" customHeight="1" x14ac:dyDescent="0.25">
      <c r="AA94" s="5"/>
      <c r="AB94" s="5"/>
      <c r="AD94" s="53">
        <v>2</v>
      </c>
      <c r="AE94" s="49" t="e">
        <f>IF($AD94=AE$89,(-$AE$49-$AV$20+($AF$49+$AW$20)*$AX$20/$AY$20)*$AX$29,"")</f>
        <v>#VALUE!</v>
      </c>
      <c r="AF94" s="48" t="e">
        <f>IF($AD94=AE$89,(-$AF$49+$AE$49*$CA$20/$BZ$20)*$BZ$29,"")</f>
        <v>#VALUE!</v>
      </c>
      <c r="AG94" s="49" t="e">
        <f>IF($AD94=AG$89,(-$AG$49+$AH$49*$BB$20/$BC$20)*$BB$29,"")</f>
        <v>#VALUE!</v>
      </c>
      <c r="AH94" s="48" t="e">
        <f>IF($AD94=AG$89,($AH$49-$AG$49*$BE$20/$BD$20)*$BD$29,"")</f>
        <v>#VALUE!</v>
      </c>
      <c r="AI94" s="49" t="e">
        <f>IF($AD94=AI$89,($AI$49-$AJ$49*$BL$20/$BM$20)*$BL$29,"")</f>
        <v>#VALUE!</v>
      </c>
      <c r="AJ94" s="48" t="e">
        <f>IF($AD94=AI$89,($AJ$49-$BK$20-($AI$49-$BJ$20)*$BI$20/$BH$20)*$BH$29,"")</f>
        <v>#VALUE!</v>
      </c>
      <c r="AK94" s="49" t="e">
        <f>IF($AD94=AK$89,($AK$49+$BR$20+(-$AL$49-$BS$20)*$BP$20/$BQ$20)*$BP$29,"")</f>
        <v>#VALUE!</v>
      </c>
      <c r="AL94" s="48" t="e">
        <f>IF($AD94=AK$89,(-$AL$49+$BU$20+($AK$49-$BT$20)*$BW$20/$BV$20)*$BV$29,"")</f>
        <v>#VALUE!</v>
      </c>
      <c r="AN94" s="49" t="e">
        <f>(-$AE$49-$AV$20+($AF$49+$AW$20)*$AX$20/$AY$20)</f>
        <v>#VALUE!</v>
      </c>
      <c r="AO94" s="48" t="e">
        <f>(-$AF$49+$AE$49*$CA$20/$BZ$20)</f>
        <v>#VALUE!</v>
      </c>
      <c r="AP94" s="49" t="e">
        <f>(-$AG$49+$AH$49*$BB$20/$BC$20)</f>
        <v>#VALUE!</v>
      </c>
      <c r="AQ94" s="48" t="e">
        <f>($AH$49-$AG$49*$BE$20/$BD$20)</f>
        <v>#VALUE!</v>
      </c>
      <c r="AR94" s="49" t="e">
        <f>($AI$49-$AJ$49*$BL$20/$BM$20)</f>
        <v>#VALUE!</v>
      </c>
      <c r="AS94" s="48" t="e">
        <f>($AJ$49-$BK$20-($AI$49-$BJ$20)*$BI$20/$BH$20)</f>
        <v>#VALUE!</v>
      </c>
      <c r="AT94" s="49" t="e">
        <f>($AK$49+$BR$20+(-$AL$49-$BS$20)*$BP$20/$BQ$20)</f>
        <v>#VALUE!</v>
      </c>
      <c r="AU94" s="48" t="e">
        <f>(-$AL$49+$BU$20+($AK$49-$BT$20)*$BW$20/$BV$20)</f>
        <v>#VALUE!</v>
      </c>
      <c r="BZ94" s="19"/>
      <c r="CA94" s="19"/>
    </row>
    <row r="95" spans="27:79" ht="12" customHeight="1" x14ac:dyDescent="0.25">
      <c r="AA95" s="5"/>
      <c r="AB95" s="5"/>
      <c r="AD95" s="53">
        <v>3</v>
      </c>
      <c r="AE95" s="49" t="e">
        <f>IF($AD95=AE$89,(-$AE$49-$AV$20+($AF$49+$AW$20)*$AX$20/$AY$20)*$AX$29,"")</f>
        <v>#VALUE!</v>
      </c>
      <c r="AF95" s="48" t="e">
        <f>IF($AD95=AE$89,(-$AF$49-$CA$20-(-$AE$49-$BZ$20)*$BY$20/$BX$20)*$BX$29,"")</f>
        <v>#VALUE!</v>
      </c>
      <c r="AG95" s="49" t="e">
        <f>IF($AD95=AG$89,(-$AG$49+$AH$49*$BB$20/$BC$20)*$BB$29,"")</f>
        <v>#VALUE!</v>
      </c>
      <c r="AH95" s="48" t="e">
        <f>IF($AD95=AG$89,($AH$49+$BE$20+(-$AG$49-$BD$20)*$BG$20/$BF$20)*$BF$29,"")</f>
        <v>#VALUE!</v>
      </c>
      <c r="AI95" s="49" t="e">
        <f>IF($AD95=AI$89,($AI$49-$AJ$49*$BL$20/$BM$20)*$BL$29,"")</f>
        <v>#VALUE!</v>
      </c>
      <c r="AJ95" s="48" t="e">
        <f>IF($AD95=AI$89,($AJ$49-$AI$49*$BK$20/$BJ$20)*$BJ$29,"")</f>
        <v>#VALUE!</v>
      </c>
      <c r="AK95" s="49" t="e">
        <f>IF($AD95=AK$89,($AK$49+$BR$20+(-$AL$49-$BS$20)*$BP$20/$BQ$20)*$BP$29,"")</f>
        <v>#VALUE!</v>
      </c>
      <c r="AL95" s="48" t="e">
        <f>IF($AD95=AK$89,(-$AL$49+$AK$49*$BU$20/$BT$20)*$BT$29,"")</f>
        <v>#VALUE!</v>
      </c>
      <c r="AN95" s="49" t="e">
        <f>(-$AE$49-$AV$20+($AF$49+$AW$20)*$AX$20/$AY$20)</f>
        <v>#VALUE!</v>
      </c>
      <c r="AO95" s="48" t="e">
        <f>(-$AF$49-$CA$20-(-$AE$49-$BZ$20)*$BY$20/$BX$20)</f>
        <v>#VALUE!</v>
      </c>
      <c r="AP95" s="49" t="e">
        <f>(-$AG$49+$AH$49*$BB$20/$BC$20)</f>
        <v>#VALUE!</v>
      </c>
      <c r="AQ95" s="48" t="e">
        <f>($AH$49+$BE$20+(-$AG$49-$BD$20)*$BG$20/$BF$20)</f>
        <v>#VALUE!</v>
      </c>
      <c r="AR95" s="49" t="e">
        <f>($AI$49-$AJ$49*$BL$20/$BM$20)</f>
        <v>#VALUE!</v>
      </c>
      <c r="AS95" s="48" t="e">
        <f>($AJ$49-$AI$49*$BK$20/$BJ$20)</f>
        <v>#VALUE!</v>
      </c>
      <c r="AT95" s="49" t="e">
        <f>($AK$49+$BR$20+(-$AL$49-$BS$20)*$BP$20/$BQ$20)</f>
        <v>#VALUE!</v>
      </c>
      <c r="AU95" s="48" t="e">
        <f>(-$AL$49+$AK$49*$BU$20/$BT$20)</f>
        <v>#VALUE!</v>
      </c>
      <c r="BZ95" s="19"/>
      <c r="CA95" s="19"/>
    </row>
    <row r="96" spans="27:79" x14ac:dyDescent="0.25">
      <c r="AA96" s="5"/>
      <c r="AB96" s="5"/>
      <c r="AD96" s="53">
        <v>4</v>
      </c>
      <c r="AE96" s="83" t="e">
        <f>IF($AD96=AE$89,(-$AE$49+$AF$49*$AV$20/$AW$20)*$AV$29,"")</f>
        <v>#VALUE!</v>
      </c>
      <c r="AF96" s="84" t="e">
        <f>IF($AD96=AE$89,(-$AF$49-$CA$20-(-$AE$49-$BZ$20)*$BY$20/$BX$20)*$BX$29,"")</f>
        <v>#VALUE!</v>
      </c>
      <c r="AG96" s="83" t="e">
        <f>IF($AD96=AG$89,(-$AG$49+$BB$20+($AH$49-$BC$20)*$AZ$20/$BA$20)*$AZ$29,"")</f>
        <v>#VALUE!</v>
      </c>
      <c r="AH96" s="84" t="e">
        <f>IF($AD96=AG$89,($AH$49+$BE$20+(-$AG$49-$BD$20)*$BG$20/$BF$20)*$BF$29,"")</f>
        <v>#VALUE!</v>
      </c>
      <c r="AI96" s="83" t="e">
        <f>IF($AD96=AI$89,($AI$49-$BL$20-($AJ$49-$BM$20)*$BN$20/$BO$20)*$BN$29,"")</f>
        <v>#VALUE!</v>
      </c>
      <c r="AJ96" s="84" t="e">
        <f>IF($AD96=AI$89,($AJ$49-$AI$49*$BK$20/$BJ$20)*$BJ$29,"")</f>
        <v>#VALUE!</v>
      </c>
      <c r="AK96" s="83" t="e">
        <f>IF($AD96=AK$89,($AK$49-$AL$49*$BR$20/$BS$20)*$BR$29,"")</f>
        <v>#VALUE!</v>
      </c>
      <c r="AL96" s="84" t="e">
        <f>IF($AD96=AK$89,(-$AL$49+$AK$49*$BU$20/$BT$20)*$BT$29,"")</f>
        <v>#VALUE!</v>
      </c>
      <c r="AN96" s="83" t="e">
        <f>(-$AE$49+$AF$49*$AV$20/$AW$20)</f>
        <v>#VALUE!</v>
      </c>
      <c r="AO96" s="84" t="e">
        <f>(-$AF$49-$CA$20-(-$AE$49-$BZ$20)*$BY$20/$BX$20)</f>
        <v>#VALUE!</v>
      </c>
      <c r="AP96" s="83" t="e">
        <f>(-$AG$49+$BB$20+($AH$49-$BC$20)*$AZ$20/$BA$20)</f>
        <v>#VALUE!</v>
      </c>
      <c r="AQ96" s="84" t="e">
        <f>($AH$49+$BE$20+(-$AG$49-$BD$20)*$BG$20/$BF$20)</f>
        <v>#VALUE!</v>
      </c>
      <c r="AR96" s="83" t="e">
        <f>($AI$49-$BL$20-($AJ$49-$BM$20)*$BN$20/$BO$20)</f>
        <v>#VALUE!</v>
      </c>
      <c r="AS96" s="84" t="e">
        <f>($AJ$49-$AI$49*$BK$20/$BJ$20)</f>
        <v>#VALUE!</v>
      </c>
      <c r="AT96" s="83" t="e">
        <f>($AK$49-$AL$49*$BR$20/$BS$20)</f>
        <v>#VALUE!</v>
      </c>
      <c r="AU96" s="84" t="e">
        <f>(-$AL$49+$AK$49*$BU$20/$BT$20)</f>
        <v>#VALUE!</v>
      </c>
      <c r="BZ96" s="19"/>
      <c r="CA96" s="19"/>
    </row>
    <row r="97" spans="27:79" x14ac:dyDescent="0.25">
      <c r="AA97" s="5"/>
      <c r="AB97" s="5"/>
      <c r="AE97" s="85" t="str">
        <f>IF(ISNUMBER($AE$93),AE$93,IF(ISNUMBER($AE$94),AE$94,IF(ISNUMBER($AE$95),AE$95,IF(ISNUMBER($AE$96),AE$96,""))))</f>
        <v/>
      </c>
      <c r="AF97" s="86" t="str">
        <f>IF(ISNUMBER($AF$93),AF$93,IF(ISNUMBER($AF$94),AF$94,IF(ISNUMBER($AF$95),AF$95,IF(ISNUMBER($AF$96),AF$96,""))))</f>
        <v/>
      </c>
      <c r="AG97" s="85" t="str">
        <f>IF(ISNUMBER($AG$93),AG$93,IF(ISNUMBER($AG$94),AG$94,IF(ISNUMBER($AG$95),AG$95,IF(ISNUMBER($AG$96),AG$96,""))))</f>
        <v/>
      </c>
      <c r="AH97" s="86" t="str">
        <f>IF(ISNUMBER($AH$93),AH$93,IF(ISNUMBER($AH$94),AH$94,IF(ISNUMBER($AH$95),AH$95,IF(ISNUMBER($AH$96),AH$96,""))))</f>
        <v/>
      </c>
      <c r="AI97" s="85" t="str">
        <f>IF(ISNUMBER($AI$93),AI$93,IF(ISNUMBER($AI$94),AI$94,IF(ISNUMBER($AI$95),AI$95,IF(ISNUMBER($AI$96),AI$96,""))))</f>
        <v/>
      </c>
      <c r="AJ97" s="86" t="str">
        <f>IF(ISNUMBER($AJ$93),AJ$93,IF(ISNUMBER($AJ$94),AJ$94,IF(ISNUMBER($AJ$95),AJ$95,IF(ISNUMBER($AJ$96),AJ$96,""))))</f>
        <v/>
      </c>
      <c r="AK97" s="85" t="str">
        <f>IF(ISNUMBER($AK$93),AK$93,IF(ISNUMBER($AK$94),AK$94,IF(ISNUMBER($AK$95),AK$95,IF(ISNUMBER($AK$96),AK$96,""))))</f>
        <v/>
      </c>
      <c r="AL97" s="86" t="str">
        <f>IF(ISNUMBER($AL$93),AL$93,IF(ISNUMBER($AL$94),AL$94,IF(ISNUMBER($AL$95),AL$95,IF(ISNUMBER($AL$96),AL$96,""))))</f>
        <v/>
      </c>
      <c r="BZ97" s="19"/>
      <c r="CA97" s="19"/>
    </row>
    <row r="98" spans="27:79" x14ac:dyDescent="0.25">
      <c r="AA98" s="5"/>
      <c r="AB98" s="5"/>
      <c r="BZ98" s="19"/>
      <c r="CA98" s="19"/>
    </row>
    <row r="99" spans="27:79" x14ac:dyDescent="0.25">
      <c r="AA99" s="5"/>
      <c r="AB99" s="5"/>
      <c r="BZ99" s="19"/>
      <c r="CA99" s="19"/>
    </row>
    <row r="100" spans="27:79" x14ac:dyDescent="0.25">
      <c r="AA100" s="5"/>
      <c r="AB100" s="5"/>
      <c r="BZ100" s="19"/>
      <c r="CA100" s="19"/>
    </row>
    <row r="101" spans="27:79" x14ac:dyDescent="0.25">
      <c r="AA101" s="5"/>
      <c r="AB101" s="5"/>
      <c r="BZ101" s="19"/>
      <c r="CA101" s="19"/>
    </row>
    <row r="102" spans="27:79" x14ac:dyDescent="0.25">
      <c r="AA102" s="5"/>
      <c r="AB102" s="5"/>
      <c r="BZ102" s="19"/>
      <c r="CA102" s="19"/>
    </row>
    <row r="103" spans="27:79" x14ac:dyDescent="0.25">
      <c r="AA103" s="5"/>
      <c r="AB103" s="5"/>
      <c r="BZ103" s="19"/>
      <c r="CA103" s="19"/>
    </row>
    <row r="104" spans="27:79" x14ac:dyDescent="0.25">
      <c r="AA104" s="5"/>
      <c r="AB104" s="5"/>
      <c r="BZ104" s="19"/>
      <c r="CA104" s="19"/>
    </row>
    <row r="105" spans="27:79" x14ac:dyDescent="0.25">
      <c r="AA105" s="5"/>
      <c r="AB105" s="5"/>
      <c r="BZ105" s="19"/>
      <c r="CA105" s="19"/>
    </row>
    <row r="106" spans="27:79" x14ac:dyDescent="0.25">
      <c r="AA106" s="5"/>
      <c r="AB106" s="5"/>
      <c r="BZ106" s="19"/>
      <c r="CA106" s="19"/>
    </row>
    <row r="107" spans="27:79" x14ac:dyDescent="0.25">
      <c r="AA107" s="5"/>
      <c r="AB107" s="5"/>
      <c r="BZ107" s="19"/>
      <c r="CA107" s="19"/>
    </row>
    <row r="108" spans="27:79" x14ac:dyDescent="0.25">
      <c r="AA108" s="5"/>
      <c r="AB108" s="5"/>
      <c r="BZ108" s="19"/>
      <c r="CA108" s="19"/>
    </row>
    <row r="109" spans="27:79" x14ac:dyDescent="0.25">
      <c r="AA109" s="5"/>
      <c r="AB109" s="5"/>
      <c r="BZ109" s="19"/>
      <c r="CA109" s="19"/>
    </row>
    <row r="110" spans="27:79" x14ac:dyDescent="0.25">
      <c r="AA110" s="5"/>
      <c r="AB110" s="5"/>
      <c r="BZ110" s="19"/>
      <c r="CA110" s="19"/>
    </row>
    <row r="111" spans="27:79" x14ac:dyDescent="0.25">
      <c r="AA111" s="5"/>
      <c r="AB111" s="5"/>
      <c r="BZ111" s="19"/>
      <c r="CA111" s="19"/>
    </row>
    <row r="112" spans="27:79" x14ac:dyDescent="0.25">
      <c r="AA112" s="5"/>
      <c r="AB112" s="5"/>
      <c r="BZ112" s="19"/>
      <c r="CA112" s="19"/>
    </row>
    <row r="113" spans="27:79" x14ac:dyDescent="0.25">
      <c r="AA113" s="5"/>
      <c r="AB113" s="5"/>
      <c r="BZ113" s="19"/>
      <c r="CA113" s="19"/>
    </row>
    <row r="114" spans="27:79" x14ac:dyDescent="0.25">
      <c r="AA114" s="5"/>
      <c r="AB114" s="5"/>
      <c r="BZ114" s="19"/>
      <c r="CA114" s="19"/>
    </row>
    <row r="115" spans="27:79" x14ac:dyDescent="0.25">
      <c r="AA115" s="5"/>
      <c r="AB115" s="5"/>
      <c r="BZ115" s="19"/>
      <c r="CA115" s="19"/>
    </row>
    <row r="116" spans="27:79" x14ac:dyDescent="0.25">
      <c r="AA116" s="5"/>
      <c r="AB116" s="5"/>
      <c r="BZ116" s="19"/>
      <c r="CA116" s="19"/>
    </row>
    <row r="117" spans="27:79" x14ac:dyDescent="0.25">
      <c r="AA117" s="5"/>
      <c r="AB117" s="5"/>
      <c r="BZ117" s="19"/>
      <c r="CA117" s="19"/>
    </row>
    <row r="118" spans="27:79" x14ac:dyDescent="0.25">
      <c r="AA118" s="5"/>
      <c r="AB118" s="5"/>
      <c r="BZ118" s="19"/>
      <c r="CA118" s="19"/>
    </row>
    <row r="119" spans="27:79" x14ac:dyDescent="0.25">
      <c r="AA119" s="5"/>
      <c r="AB119" s="5"/>
      <c r="BZ119" s="19"/>
      <c r="CA119" s="19"/>
    </row>
    <row r="120" spans="27:79" x14ac:dyDescent="0.25">
      <c r="AA120" s="5"/>
      <c r="AB120" s="5"/>
      <c r="BZ120" s="19"/>
      <c r="CA120" s="19"/>
    </row>
    <row r="121" spans="27:79" x14ac:dyDescent="0.25">
      <c r="AA121" s="5"/>
      <c r="AB121" s="5"/>
      <c r="BZ121" s="19"/>
      <c r="CA121" s="19"/>
    </row>
    <row r="122" spans="27:79" x14ac:dyDescent="0.25">
      <c r="AA122" s="5"/>
      <c r="AB122" s="5"/>
      <c r="BZ122" s="19"/>
      <c r="CA122" s="19"/>
    </row>
    <row r="123" spans="27:79" x14ac:dyDescent="0.25">
      <c r="AA123" s="5"/>
      <c r="AB123" s="5"/>
      <c r="BZ123" s="19"/>
      <c r="CA123" s="19"/>
    </row>
    <row r="124" spans="27:79" x14ac:dyDescent="0.25">
      <c r="AA124" s="5"/>
      <c r="AB124" s="5"/>
      <c r="BZ124" s="19"/>
      <c r="CA124" s="19"/>
    </row>
    <row r="125" spans="27:79" x14ac:dyDescent="0.25">
      <c r="AA125" s="5"/>
      <c r="AB125" s="5"/>
      <c r="BZ125" s="19"/>
      <c r="CA125" s="19"/>
    </row>
    <row r="126" spans="27:79" x14ac:dyDescent="0.25">
      <c r="AA126" s="5"/>
      <c r="AB126" s="5"/>
      <c r="BZ126" s="19"/>
      <c r="CA126" s="19"/>
    </row>
    <row r="127" spans="27:79" x14ac:dyDescent="0.25">
      <c r="AA127" s="5"/>
      <c r="AB127" s="5"/>
      <c r="BZ127" s="19"/>
      <c r="CA127" s="19"/>
    </row>
    <row r="128" spans="27:79" x14ac:dyDescent="0.25">
      <c r="AA128" s="5"/>
      <c r="AB128" s="5"/>
      <c r="BZ128" s="19"/>
      <c r="CA128" s="19"/>
    </row>
    <row r="129" spans="27:79" x14ac:dyDescent="0.25">
      <c r="AA129" s="5"/>
      <c r="AB129" s="5"/>
      <c r="BZ129" s="19"/>
      <c r="CA129" s="19"/>
    </row>
    <row r="130" spans="27:79" x14ac:dyDescent="0.25">
      <c r="AA130" s="5"/>
      <c r="AB130" s="5"/>
      <c r="BZ130" s="19"/>
      <c r="CA130" s="19"/>
    </row>
    <row r="131" spans="27:79" x14ac:dyDescent="0.25">
      <c r="AA131" s="5"/>
      <c r="AB131" s="5"/>
      <c r="BZ131" s="19"/>
      <c r="CA131" s="19"/>
    </row>
    <row r="132" spans="27:79" x14ac:dyDescent="0.25">
      <c r="AA132" s="5"/>
      <c r="AB132" s="5"/>
      <c r="BZ132" s="19"/>
      <c r="CA132" s="19"/>
    </row>
    <row r="133" spans="27:79" x14ac:dyDescent="0.25">
      <c r="AA133" s="5"/>
      <c r="AB133" s="5"/>
      <c r="BZ133" s="19"/>
      <c r="CA133" s="19"/>
    </row>
    <row r="134" spans="27:79" x14ac:dyDescent="0.25">
      <c r="AA134" s="5"/>
      <c r="AB134" s="5"/>
      <c r="BZ134" s="19"/>
      <c r="CA134" s="19"/>
    </row>
    <row r="135" spans="27:79" x14ac:dyDescent="0.25">
      <c r="AA135" s="5"/>
      <c r="AB135" s="5"/>
      <c r="BZ135" s="19"/>
      <c r="CA135" s="19"/>
    </row>
    <row r="136" spans="27:79" x14ac:dyDescent="0.25">
      <c r="AA136" s="5"/>
      <c r="AB136" s="5"/>
      <c r="BZ136" s="19"/>
      <c r="CA136" s="19"/>
    </row>
    <row r="137" spans="27:79" x14ac:dyDescent="0.25">
      <c r="AA137" s="5"/>
      <c r="AB137" s="5"/>
      <c r="BZ137" s="19"/>
      <c r="CA137" s="19"/>
    </row>
    <row r="138" spans="27:79" x14ac:dyDescent="0.25">
      <c r="AA138" s="5"/>
      <c r="AB138" s="5"/>
      <c r="BZ138" s="19"/>
      <c r="CA138" s="19"/>
    </row>
    <row r="139" spans="27:79" x14ac:dyDescent="0.25">
      <c r="AA139" s="5"/>
      <c r="AB139" s="5"/>
      <c r="BZ139" s="19"/>
      <c r="CA139" s="19"/>
    </row>
    <row r="140" spans="27:79" x14ac:dyDescent="0.25">
      <c r="AA140" s="5"/>
      <c r="AB140" s="5"/>
      <c r="BZ140" s="19"/>
      <c r="CA140" s="19"/>
    </row>
    <row r="141" spans="27:79" x14ac:dyDescent="0.25">
      <c r="AA141" s="5"/>
      <c r="AB141" s="5"/>
      <c r="BZ141" s="19"/>
      <c r="CA141" s="19"/>
    </row>
    <row r="142" spans="27:79" x14ac:dyDescent="0.25">
      <c r="AA142" s="5"/>
      <c r="AB142" s="5"/>
      <c r="BZ142" s="19"/>
      <c r="CA142" s="19"/>
    </row>
    <row r="143" spans="27:79" x14ac:dyDescent="0.25">
      <c r="AA143" s="5"/>
      <c r="AB143" s="5"/>
      <c r="BZ143" s="19"/>
      <c r="CA143" s="19"/>
    </row>
    <row r="144" spans="27:79" x14ac:dyDescent="0.25">
      <c r="AA144" s="5"/>
      <c r="AB144" s="5"/>
      <c r="BZ144" s="19"/>
      <c r="CA144" s="19"/>
    </row>
    <row r="145" spans="27:79" x14ac:dyDescent="0.25">
      <c r="AA145" s="5"/>
      <c r="AB145" s="5"/>
      <c r="BZ145" s="19"/>
      <c r="CA145" s="19"/>
    </row>
    <row r="146" spans="27:79" x14ac:dyDescent="0.25">
      <c r="AA146" s="5"/>
      <c r="AB146" s="5"/>
      <c r="BZ146" s="19"/>
      <c r="CA146" s="19"/>
    </row>
    <row r="147" spans="27:79" x14ac:dyDescent="0.25">
      <c r="AA147" s="5"/>
      <c r="AB147" s="5"/>
      <c r="BZ147" s="19"/>
      <c r="CA147" s="19"/>
    </row>
    <row r="148" spans="27:79" x14ac:dyDescent="0.25">
      <c r="AA148" s="5"/>
      <c r="AB148" s="5"/>
      <c r="BZ148" s="19"/>
      <c r="CA148" s="19"/>
    </row>
    <row r="149" spans="27:79" x14ac:dyDescent="0.25">
      <c r="AA149" s="5"/>
      <c r="AB149" s="5"/>
      <c r="BZ149" s="19"/>
      <c r="CA149" s="19"/>
    </row>
    <row r="150" spans="27:79" x14ac:dyDescent="0.25">
      <c r="AA150" s="5"/>
      <c r="AB150" s="5"/>
      <c r="BZ150" s="19"/>
      <c r="CA150" s="19"/>
    </row>
    <row r="151" spans="27:79" x14ac:dyDescent="0.25">
      <c r="AA151" s="5"/>
      <c r="AB151" s="5"/>
      <c r="BZ151" s="19"/>
      <c r="CA151" s="19"/>
    </row>
    <row r="152" spans="27:79" x14ac:dyDescent="0.25">
      <c r="AA152" s="5"/>
      <c r="AB152" s="5"/>
      <c r="BZ152" s="19"/>
      <c r="CA152" s="19"/>
    </row>
    <row r="153" spans="27:79" x14ac:dyDescent="0.25">
      <c r="AA153" s="5"/>
      <c r="AB153" s="5"/>
      <c r="BZ153" s="19"/>
      <c r="CA153" s="19"/>
    </row>
    <row r="154" spans="27:79" x14ac:dyDescent="0.25">
      <c r="AA154" s="5"/>
      <c r="AB154" s="5"/>
      <c r="BZ154" s="19"/>
      <c r="CA154" s="19"/>
    </row>
    <row r="155" spans="27:79" x14ac:dyDescent="0.25">
      <c r="AA155" s="5"/>
      <c r="AB155" s="5"/>
      <c r="BZ155" s="19"/>
      <c r="CA155" s="19"/>
    </row>
    <row r="156" spans="27:79" x14ac:dyDescent="0.25">
      <c r="AA156" s="5"/>
      <c r="AB156" s="5"/>
      <c r="BZ156" s="19"/>
      <c r="CA156" s="19"/>
    </row>
    <row r="157" spans="27:79" x14ac:dyDescent="0.25">
      <c r="AA157" s="5"/>
      <c r="AB157" s="5"/>
    </row>
    <row r="158" spans="27:79" x14ac:dyDescent="0.25">
      <c r="AA158" s="5"/>
      <c r="AB158" s="5"/>
    </row>
    <row r="159" spans="27:79" x14ac:dyDescent="0.25">
      <c r="AA159" s="5"/>
      <c r="AB159" s="5"/>
    </row>
    <row r="160" spans="27:79" x14ac:dyDescent="0.25">
      <c r="AA160" s="5"/>
      <c r="AB160" s="5"/>
    </row>
    <row r="161" spans="27:28" x14ac:dyDescent="0.25">
      <c r="AA161" s="5"/>
      <c r="AB161" s="5"/>
    </row>
    <row r="162" spans="27:28" x14ac:dyDescent="0.25">
      <c r="AA162" s="5"/>
      <c r="AB162" s="5"/>
    </row>
    <row r="163" spans="27:28" x14ac:dyDescent="0.25">
      <c r="AA163" s="5"/>
      <c r="AB163" s="5"/>
    </row>
    <row r="164" spans="27:28" x14ac:dyDescent="0.25">
      <c r="AA164" s="5"/>
      <c r="AB164" s="5"/>
    </row>
    <row r="165" spans="27:28" x14ac:dyDescent="0.25">
      <c r="AA165" s="5"/>
      <c r="AB165" s="5"/>
    </row>
    <row r="166" spans="27:28" x14ac:dyDescent="0.25">
      <c r="AB166" s="5"/>
    </row>
    <row r="167" spans="27:28" x14ac:dyDescent="0.25">
      <c r="AB167" s="5"/>
    </row>
    <row r="168" spans="27:28" x14ac:dyDescent="0.25">
      <c r="AB168" s="5"/>
    </row>
    <row r="169" spans="27:28" x14ac:dyDescent="0.25">
      <c r="AB169" s="5"/>
    </row>
    <row r="170" spans="27:28" x14ac:dyDescent="0.25">
      <c r="AB170" s="5"/>
    </row>
    <row r="171" spans="27:28" x14ac:dyDescent="0.25">
      <c r="AB171" s="5"/>
    </row>
    <row r="172" spans="27:28" x14ac:dyDescent="0.25">
      <c r="AB172" s="5"/>
    </row>
    <row r="173" spans="27:28" x14ac:dyDescent="0.25">
      <c r="AB173" s="5"/>
    </row>
  </sheetData>
  <sheetProtection sheet="1" objects="1" scenarios="1"/>
  <mergeCells count="133">
    <mergeCell ref="BR18:BS18"/>
    <mergeCell ref="AV25:BC25"/>
    <mergeCell ref="AQ25:AR25"/>
    <mergeCell ref="AZ21:BC21"/>
    <mergeCell ref="BL21:BO21"/>
    <mergeCell ref="AE77:AF77"/>
    <mergeCell ref="A40:B41"/>
    <mergeCell ref="AI25:AJ25"/>
    <mergeCell ref="AG66:AH66"/>
    <mergeCell ref="AI66:AJ66"/>
    <mergeCell ref="Q27:R27"/>
    <mergeCell ref="AM25:AN25"/>
    <mergeCell ref="B24:C24"/>
    <mergeCell ref="AI77:AJ77"/>
    <mergeCell ref="AK77:AL77"/>
    <mergeCell ref="AG58:AH58"/>
    <mergeCell ref="AG67:AH67"/>
    <mergeCell ref="AI52:AJ52"/>
    <mergeCell ref="AI67:AJ67"/>
    <mergeCell ref="AG25:AH25"/>
    <mergeCell ref="AE66:AF66"/>
    <mergeCell ref="AC24:AT24"/>
    <mergeCell ref="AE56:AF56"/>
    <mergeCell ref="AG56:AH56"/>
    <mergeCell ref="AO25:AP25"/>
    <mergeCell ref="C2:F2"/>
    <mergeCell ref="AK67:AL67"/>
    <mergeCell ref="I6:J6"/>
    <mergeCell ref="M3:P3"/>
    <mergeCell ref="AG69:AH69"/>
    <mergeCell ref="AI69:AJ69"/>
    <mergeCell ref="L39:M42"/>
    <mergeCell ref="L57:M57"/>
    <mergeCell ref="AC37:AD37"/>
    <mergeCell ref="AI53:AJ53"/>
    <mergeCell ref="K13:N13"/>
    <mergeCell ref="C3:F3"/>
    <mergeCell ref="G7:H7"/>
    <mergeCell ref="M7:N7"/>
    <mergeCell ref="W40:X41"/>
    <mergeCell ref="C8:D8"/>
    <mergeCell ref="AI58:AJ58"/>
    <mergeCell ref="AK52:AL52"/>
    <mergeCell ref="AC49:AD49"/>
    <mergeCell ref="K6:L6"/>
    <mergeCell ref="K3:L3"/>
    <mergeCell ref="AK66:AL66"/>
    <mergeCell ref="AK53:AL53"/>
    <mergeCell ref="AE25:AF25"/>
    <mergeCell ref="BT25:CA25"/>
    <mergeCell ref="AG80:AH80"/>
    <mergeCell ref="V24:W24"/>
    <mergeCell ref="AE52:AF52"/>
    <mergeCell ref="AE67:AF67"/>
    <mergeCell ref="S14:T14"/>
    <mergeCell ref="AG52:AH52"/>
    <mergeCell ref="BH21:BK21"/>
    <mergeCell ref="BV18:BW18"/>
    <mergeCell ref="AI80:AJ80"/>
    <mergeCell ref="AE78:AF78"/>
    <mergeCell ref="AK78:AL78"/>
    <mergeCell ref="BX18:BY18"/>
    <mergeCell ref="AI78:AJ78"/>
    <mergeCell ref="BF18:BG18"/>
    <mergeCell ref="BH18:BI18"/>
    <mergeCell ref="BD21:BG21"/>
    <mergeCell ref="BB18:BC18"/>
    <mergeCell ref="BX21:CA21"/>
    <mergeCell ref="BD18:BE18"/>
    <mergeCell ref="AV18:AW18"/>
    <mergeCell ref="BN18:BO18"/>
    <mergeCell ref="BP18:BQ18"/>
    <mergeCell ref="BT18:BU18"/>
    <mergeCell ref="B57:C57"/>
    <mergeCell ref="O4:P4"/>
    <mergeCell ref="AI55:AJ55"/>
    <mergeCell ref="BZ18:CA18"/>
    <mergeCell ref="AK55:AL55"/>
    <mergeCell ref="AE53:AF53"/>
    <mergeCell ref="AC31:AD31"/>
    <mergeCell ref="BT21:BW21"/>
    <mergeCell ref="AZ18:BA18"/>
    <mergeCell ref="BJ18:BK18"/>
    <mergeCell ref="AI56:AJ56"/>
    <mergeCell ref="BL18:BM18"/>
    <mergeCell ref="AK56:AL56"/>
    <mergeCell ref="C7:D7"/>
    <mergeCell ref="E7:F7"/>
    <mergeCell ref="E6:H6"/>
    <mergeCell ref="C10:D10"/>
    <mergeCell ref="AS25:AT25"/>
    <mergeCell ref="C9:D9"/>
    <mergeCell ref="C11:D11"/>
    <mergeCell ref="AV21:AY21"/>
    <mergeCell ref="BL25:BS25"/>
    <mergeCell ref="BP21:BS21"/>
    <mergeCell ref="BD25:BK25"/>
    <mergeCell ref="AE89:AF89"/>
    <mergeCell ref="AG89:AH89"/>
    <mergeCell ref="AG88:AH88"/>
    <mergeCell ref="G43:H43"/>
    <mergeCell ref="AI88:AJ88"/>
    <mergeCell ref="Y13:AB13"/>
    <mergeCell ref="Q43:R43"/>
    <mergeCell ref="AK91:AL91"/>
    <mergeCell ref="G27:H27"/>
    <mergeCell ref="AE58:AF58"/>
    <mergeCell ref="AK25:AL25"/>
    <mergeCell ref="AK58:AL58"/>
    <mergeCell ref="AC43:AD43"/>
    <mergeCell ref="AG53:AH53"/>
    <mergeCell ref="AK69:AL69"/>
    <mergeCell ref="AG77:AH77"/>
    <mergeCell ref="L24:M24"/>
    <mergeCell ref="AG91:AH91"/>
    <mergeCell ref="AI91:AJ91"/>
    <mergeCell ref="AI89:AJ89"/>
    <mergeCell ref="AK89:AL89"/>
    <mergeCell ref="AK88:AL88"/>
    <mergeCell ref="AE91:AF91"/>
    <mergeCell ref="AE88:AF88"/>
    <mergeCell ref="Y5:AB5"/>
    <mergeCell ref="AE69:AF69"/>
    <mergeCell ref="AX18:AY18"/>
    <mergeCell ref="AG78:AH78"/>
    <mergeCell ref="AK80:AL80"/>
    <mergeCell ref="V57:W57"/>
    <mergeCell ref="M6:P6"/>
    <mergeCell ref="AE80:AF80"/>
    <mergeCell ref="M4:N4"/>
    <mergeCell ref="AE55:AF55"/>
    <mergeCell ref="AG55:AH55"/>
    <mergeCell ref="O7:P7"/>
  </mergeCells>
  <conditionalFormatting sqref="B25">
    <cfRule type="expression" dxfId="431" priority="22">
      <formula>B26</formula>
    </cfRule>
    <cfRule type="expression" dxfId="430" priority="23">
      <formula>B$19</formula>
    </cfRule>
  </conditionalFormatting>
  <conditionalFormatting sqref="B33">
    <cfRule type="expression" dxfId="429" priority="20">
      <formula>B34</formula>
    </cfRule>
    <cfRule type="expression" dxfId="428" priority="21">
      <formula>B$19</formula>
    </cfRule>
  </conditionalFormatting>
  <conditionalFormatting sqref="B42">
    <cfRule type="expression" dxfId="427" priority="18">
      <formula>B43</formula>
    </cfRule>
    <cfRule type="expression" dxfId="426" priority="19">
      <formula>B$19</formula>
    </cfRule>
  </conditionalFormatting>
  <conditionalFormatting sqref="B50">
    <cfRule type="expression" dxfId="425" priority="16">
      <formula>B51</formula>
    </cfRule>
    <cfRule type="expression" dxfId="424" priority="17">
      <formula>B$19</formula>
    </cfRule>
  </conditionalFormatting>
  <conditionalFormatting sqref="E18">
    <cfRule type="expression" dxfId="423" priority="24">
      <formula>E$19</formula>
    </cfRule>
  </conditionalFormatting>
  <conditionalFormatting sqref="E63">
    <cfRule type="expression" dxfId="422" priority="15">
      <formula>E$19</formula>
    </cfRule>
  </conditionalFormatting>
  <conditionalFormatting sqref="K18">
    <cfRule type="expression" dxfId="421" priority="14">
      <formula>K$19</formula>
    </cfRule>
  </conditionalFormatting>
  <conditionalFormatting sqref="K63">
    <cfRule type="expression" dxfId="420" priority="3">
      <formula>K$19</formula>
    </cfRule>
  </conditionalFormatting>
  <conditionalFormatting sqref="O18">
    <cfRule type="expression" dxfId="419" priority="13">
      <formula>O$19</formula>
    </cfRule>
  </conditionalFormatting>
  <conditionalFormatting sqref="O63">
    <cfRule type="expression" dxfId="418" priority="2">
      <formula>O$19</formula>
    </cfRule>
  </conditionalFormatting>
  <conditionalFormatting sqref="U18">
    <cfRule type="expression" dxfId="417" priority="12">
      <formula>U$19</formula>
    </cfRule>
  </conditionalFormatting>
  <conditionalFormatting sqref="U63">
    <cfRule type="expression" dxfId="416" priority="1">
      <formula>U$19</formula>
    </cfRule>
  </conditionalFormatting>
  <conditionalFormatting sqref="W25">
    <cfRule type="expression" dxfId="415" priority="10">
      <formula>W26</formula>
    </cfRule>
    <cfRule type="expression" dxfId="414" priority="11">
      <formula>W$19</formula>
    </cfRule>
  </conditionalFormatting>
  <conditionalFormatting sqref="W33">
    <cfRule type="expression" dxfId="413" priority="8">
      <formula>W34</formula>
    </cfRule>
    <cfRule type="expression" dxfId="412" priority="9">
      <formula>W$19</formula>
    </cfRule>
  </conditionalFormatting>
  <conditionalFormatting sqref="W42">
    <cfRule type="expression" dxfId="411" priority="6">
      <formula>W43</formula>
    </cfRule>
    <cfRule type="expression" dxfId="410" priority="7">
      <formula>W$19</formula>
    </cfRule>
  </conditionalFormatting>
  <conditionalFormatting sqref="W50">
    <cfRule type="expression" dxfId="409" priority="4">
      <formula>W51</formula>
    </cfRule>
    <cfRule type="expression" dxfId="408" priority="5">
      <formula>W$19</formula>
    </cfRule>
  </conditionalFormatting>
  <conditionalFormatting sqref="AE60:AF60">
    <cfRule type="expression" dxfId="407" priority="47">
      <formula>$AE$56=1</formula>
    </cfRule>
  </conditionalFormatting>
  <conditionalFormatting sqref="AE61:AF61">
    <cfRule type="expression" dxfId="406" priority="51">
      <formula>$AE$56=2</formula>
    </cfRule>
  </conditionalFormatting>
  <conditionalFormatting sqref="AE62:AF62">
    <cfRule type="expression" dxfId="405" priority="55">
      <formula>$AE$56=3</formula>
    </cfRule>
  </conditionalFormatting>
  <conditionalFormatting sqref="AE63:AF63">
    <cfRule type="expression" dxfId="404" priority="59">
      <formula>$AE$56=4</formula>
    </cfRule>
  </conditionalFormatting>
  <conditionalFormatting sqref="AE71:AF71">
    <cfRule type="expression" dxfId="403" priority="140">
      <formula>$AE$67=1</formula>
    </cfRule>
  </conditionalFormatting>
  <conditionalFormatting sqref="AE72:AF72">
    <cfRule type="expression" dxfId="402" priority="144">
      <formula>$AE$67=2</formula>
    </cfRule>
  </conditionalFormatting>
  <conditionalFormatting sqref="AE73:AF73">
    <cfRule type="expression" dxfId="401" priority="148">
      <formula>$AE$67=3</formula>
    </cfRule>
  </conditionalFormatting>
  <conditionalFormatting sqref="AE74:AF74">
    <cfRule type="expression" dxfId="400" priority="152">
      <formula>$AE$67=4</formula>
    </cfRule>
  </conditionalFormatting>
  <conditionalFormatting sqref="AE82:AF82">
    <cfRule type="expression" dxfId="399" priority="135">
      <formula>$AE$78=1</formula>
    </cfRule>
  </conditionalFormatting>
  <conditionalFormatting sqref="AE83:AF83">
    <cfRule type="expression" dxfId="398" priority="136">
      <formula>$AE$78=2</formula>
    </cfRule>
  </conditionalFormatting>
  <conditionalFormatting sqref="AE84:AF84">
    <cfRule type="expression" dxfId="397" priority="118">
      <formula>$AE$78=3</formula>
    </cfRule>
  </conditionalFormatting>
  <conditionalFormatting sqref="AE85:AF85">
    <cfRule type="expression" dxfId="396" priority="117">
      <formula>$AE$78=4</formula>
    </cfRule>
  </conditionalFormatting>
  <conditionalFormatting sqref="AE93:AF93">
    <cfRule type="expression" dxfId="395" priority="122">
      <formula>$AE$89=1</formula>
    </cfRule>
  </conditionalFormatting>
  <conditionalFormatting sqref="AE94:AF94">
    <cfRule type="expression" dxfId="394" priority="126">
      <formula>$AE$89=2</formula>
    </cfRule>
  </conditionalFormatting>
  <conditionalFormatting sqref="AE95:AF95">
    <cfRule type="expression" dxfId="393" priority="130">
      <formula>$AE$89=3</formula>
    </cfRule>
  </conditionalFormatting>
  <conditionalFormatting sqref="AE96:AF96">
    <cfRule type="expression" dxfId="392" priority="134">
      <formula>$AE$89=4</formula>
    </cfRule>
  </conditionalFormatting>
  <conditionalFormatting sqref="AE56:AL56">
    <cfRule type="cellIs" dxfId="391" priority="41" operator="between">
      <formula>1</formula>
      <formula>4</formula>
    </cfRule>
  </conditionalFormatting>
  <conditionalFormatting sqref="AE67:AL67">
    <cfRule type="cellIs" dxfId="390" priority="90" operator="between">
      <formula>1</formula>
      <formula>4</formula>
    </cfRule>
  </conditionalFormatting>
  <conditionalFormatting sqref="AE78:AL78">
    <cfRule type="cellIs" dxfId="389" priority="87" operator="between">
      <formula>1</formula>
      <formula>4</formula>
    </cfRule>
  </conditionalFormatting>
  <conditionalFormatting sqref="AE89:AL89">
    <cfRule type="cellIs" dxfId="388" priority="84" operator="between">
      <formula>1</formula>
      <formula>4</formula>
    </cfRule>
  </conditionalFormatting>
  <conditionalFormatting sqref="AG60:AH60">
    <cfRule type="expression" dxfId="387" priority="46">
      <formula>$AG$56=1</formula>
    </cfRule>
  </conditionalFormatting>
  <conditionalFormatting sqref="AG61:AH61">
    <cfRule type="expression" dxfId="386" priority="50">
      <formula>$AG$56=2</formula>
    </cfRule>
  </conditionalFormatting>
  <conditionalFormatting sqref="AG62:AH62">
    <cfRule type="expression" dxfId="385" priority="54">
      <formula>$AG$56=3</formula>
    </cfRule>
  </conditionalFormatting>
  <conditionalFormatting sqref="AG63:AH63">
    <cfRule type="expression" dxfId="384" priority="58">
      <formula>$AG$56=4</formula>
    </cfRule>
  </conditionalFormatting>
  <conditionalFormatting sqref="AG71:AH71">
    <cfRule type="expression" dxfId="383" priority="139">
      <formula>$AG$67=1</formula>
    </cfRule>
  </conditionalFormatting>
  <conditionalFormatting sqref="AG72:AH72">
    <cfRule type="expression" dxfId="382" priority="143">
      <formula>$AG$67=2</formula>
    </cfRule>
  </conditionalFormatting>
  <conditionalFormatting sqref="AG73:AH73">
    <cfRule type="expression" dxfId="381" priority="147">
      <formula>$AG$67=3</formula>
    </cfRule>
  </conditionalFormatting>
  <conditionalFormatting sqref="AG74:AH74">
    <cfRule type="expression" dxfId="380" priority="151">
      <formula>$AG$67=4</formula>
    </cfRule>
  </conditionalFormatting>
  <conditionalFormatting sqref="AG82:AH82">
    <cfRule type="expression" dxfId="379" priority="115">
      <formula>$AG$78=1</formula>
    </cfRule>
  </conditionalFormatting>
  <conditionalFormatting sqref="AG83:AH83">
    <cfRule type="expression" dxfId="378" priority="116">
      <formula>$AG$78=2</formula>
    </cfRule>
  </conditionalFormatting>
  <conditionalFormatting sqref="AG84:AH84">
    <cfRule type="expression" dxfId="377" priority="114">
      <formula>$AG$78=3</formula>
    </cfRule>
  </conditionalFormatting>
  <conditionalFormatting sqref="AG85:AH85">
    <cfRule type="expression" dxfId="376" priority="113">
      <formula>$AG$78=4</formula>
    </cfRule>
  </conditionalFormatting>
  <conditionalFormatting sqref="AG93:AH93">
    <cfRule type="expression" dxfId="375" priority="121">
      <formula>$AG$89=1</formula>
    </cfRule>
  </conditionalFormatting>
  <conditionalFormatting sqref="AG94:AH94">
    <cfRule type="expression" dxfId="374" priority="125">
      <formula>$AG$89=2</formula>
    </cfRule>
  </conditionalFormatting>
  <conditionalFormatting sqref="AG95:AH95">
    <cfRule type="expression" dxfId="373" priority="129">
      <formula>$AG$89=3</formula>
    </cfRule>
  </conditionalFormatting>
  <conditionalFormatting sqref="AG96:AH96">
    <cfRule type="expression" dxfId="372" priority="133">
      <formula>$AG$89=4</formula>
    </cfRule>
  </conditionalFormatting>
  <conditionalFormatting sqref="AI60:AJ60">
    <cfRule type="expression" dxfId="371" priority="45">
      <formula>$AI$56=1</formula>
    </cfRule>
  </conditionalFormatting>
  <conditionalFormatting sqref="AI61:AJ61">
    <cfRule type="expression" dxfId="370" priority="49">
      <formula>$AI$56=2</formula>
    </cfRule>
  </conditionalFormatting>
  <conditionalFormatting sqref="AI62:AJ62">
    <cfRule type="expression" dxfId="369" priority="53">
      <formula>$AI$56=3</formula>
    </cfRule>
  </conditionalFormatting>
  <conditionalFormatting sqref="AI63:AJ63">
    <cfRule type="expression" dxfId="368" priority="57">
      <formula>$AI$56=4</formula>
    </cfRule>
  </conditionalFormatting>
  <conditionalFormatting sqref="AI71:AJ71">
    <cfRule type="expression" dxfId="367" priority="138">
      <formula>$AI$67=1</formula>
    </cfRule>
  </conditionalFormatting>
  <conditionalFormatting sqref="AI72:AJ72">
    <cfRule type="expression" dxfId="366" priority="142">
      <formula>$AI$67=2</formula>
    </cfRule>
  </conditionalFormatting>
  <conditionalFormatting sqref="AI73:AJ73">
    <cfRule type="expression" dxfId="365" priority="146">
      <formula>$AI$67=3</formula>
    </cfRule>
  </conditionalFormatting>
  <conditionalFormatting sqref="AI74:AJ74">
    <cfRule type="expression" dxfId="364" priority="150">
      <formula>$AI$67=4</formula>
    </cfRule>
  </conditionalFormatting>
  <conditionalFormatting sqref="AI82:AJ82">
    <cfRule type="expression" dxfId="363" priority="111">
      <formula>$AI$78=1</formula>
    </cfRule>
  </conditionalFormatting>
  <conditionalFormatting sqref="AI83:AJ83">
    <cfRule type="expression" dxfId="362" priority="112">
      <formula>$AI$78=2</formula>
    </cfRule>
  </conditionalFormatting>
  <conditionalFormatting sqref="AI84:AJ84">
    <cfRule type="expression" dxfId="361" priority="110">
      <formula>$AI$78=3</formula>
    </cfRule>
  </conditionalFormatting>
  <conditionalFormatting sqref="AI85:AJ85">
    <cfRule type="expression" dxfId="360" priority="109">
      <formula>$AI$78=4</formula>
    </cfRule>
  </conditionalFormatting>
  <conditionalFormatting sqref="AI93:AJ93">
    <cfRule type="expression" dxfId="359" priority="120">
      <formula>$AI$89=1</formula>
    </cfRule>
  </conditionalFormatting>
  <conditionalFormatting sqref="AI94:AJ94">
    <cfRule type="expression" dxfId="358" priority="124">
      <formula>$AI$89=2</formula>
    </cfRule>
  </conditionalFormatting>
  <conditionalFormatting sqref="AI95:AJ95">
    <cfRule type="expression" dxfId="357" priority="128">
      <formula>$AI$89=3</formula>
    </cfRule>
  </conditionalFormatting>
  <conditionalFormatting sqref="AI96:AJ96">
    <cfRule type="expression" dxfId="356" priority="132">
      <formula>$AI$89=4</formula>
    </cfRule>
  </conditionalFormatting>
  <conditionalFormatting sqref="AK60:AL60">
    <cfRule type="expression" dxfId="355" priority="44">
      <formula>$AK$56=1</formula>
    </cfRule>
  </conditionalFormatting>
  <conditionalFormatting sqref="AK61:AL61">
    <cfRule type="expression" dxfId="354" priority="48">
      <formula>$AK$56=2</formula>
    </cfRule>
  </conditionalFormatting>
  <conditionalFormatting sqref="AK62:AL62">
    <cfRule type="expression" dxfId="353" priority="52">
      <formula>$AK$56=3</formula>
    </cfRule>
  </conditionalFormatting>
  <conditionalFormatting sqref="AK63:AL63">
    <cfRule type="expression" dxfId="352" priority="56">
      <formula>$AK$56=4</formula>
    </cfRule>
  </conditionalFormatting>
  <conditionalFormatting sqref="AK71:AL71 AT71:AU71">
    <cfRule type="expression" dxfId="351" priority="137">
      <formula>$AK$67=1</formula>
    </cfRule>
  </conditionalFormatting>
  <conditionalFormatting sqref="AK72:AL72 AT72:AU72">
    <cfRule type="expression" dxfId="350" priority="141">
      <formula>$AK$67=2</formula>
    </cfRule>
  </conditionalFormatting>
  <conditionalFormatting sqref="AK73:AL73 AT73:AU73">
    <cfRule type="expression" dxfId="349" priority="145">
      <formula>$AK$67=3</formula>
    </cfRule>
  </conditionalFormatting>
  <conditionalFormatting sqref="AK74:AL74 AT74:AU74">
    <cfRule type="expression" dxfId="348" priority="149">
      <formula>$AK$67=4</formula>
    </cfRule>
  </conditionalFormatting>
  <conditionalFormatting sqref="AK82:AL82 AT82:AU82">
    <cfRule type="expression" dxfId="347" priority="107">
      <formula>$AK$78=1</formula>
    </cfRule>
  </conditionalFormatting>
  <conditionalFormatting sqref="AK83:AL83 AT83:AU83">
    <cfRule type="expression" dxfId="346" priority="108">
      <formula>$AK$78=2</formula>
    </cfRule>
  </conditionalFormatting>
  <conditionalFormatting sqref="AK84:AL84 AT84:AU84">
    <cfRule type="expression" dxfId="345" priority="106">
      <formula>$AK$78=3</formula>
    </cfRule>
  </conditionalFormatting>
  <conditionalFormatting sqref="AK85:AL85 AT85:AU85">
    <cfRule type="expression" dxfId="344" priority="105">
      <formula>$AK$78=4</formula>
    </cfRule>
  </conditionalFormatting>
  <conditionalFormatting sqref="AK93:AL93 AT93:AU93">
    <cfRule type="expression" dxfId="343" priority="119">
      <formula>$AK$89=1</formula>
    </cfRule>
  </conditionalFormatting>
  <conditionalFormatting sqref="AK94:AL94 AT94:AU94">
    <cfRule type="expression" dxfId="342" priority="123">
      <formula>$AK$89=2</formula>
    </cfRule>
  </conditionalFormatting>
  <conditionalFormatting sqref="AK95:AL95 AT95:AU95">
    <cfRule type="expression" dxfId="341" priority="127">
      <formula>$AK$89=3</formula>
    </cfRule>
  </conditionalFormatting>
  <conditionalFormatting sqref="AK96:AL96 AT96:AU96">
    <cfRule type="expression" dxfId="340" priority="131">
      <formula>$AK$89=4</formula>
    </cfRule>
  </conditionalFormatting>
  <conditionalFormatting sqref="AN60:AO60">
    <cfRule type="expression" dxfId="339" priority="28">
      <formula>$AE$56=1</formula>
    </cfRule>
  </conditionalFormatting>
  <conditionalFormatting sqref="AN61:AO61">
    <cfRule type="expression" dxfId="338" priority="32">
      <formula>$AE$56=2</formula>
    </cfRule>
  </conditionalFormatting>
  <conditionalFormatting sqref="AN62:AO62">
    <cfRule type="expression" dxfId="337" priority="36">
      <formula>$AE$56=3</formula>
    </cfRule>
  </conditionalFormatting>
  <conditionalFormatting sqref="AN63:AO63">
    <cfRule type="expression" dxfId="336" priority="40">
      <formula>$AE$56=4</formula>
    </cfRule>
  </conditionalFormatting>
  <conditionalFormatting sqref="AN71:AO71">
    <cfRule type="expression" dxfId="335" priority="95">
      <formula>$AE$67=1</formula>
    </cfRule>
  </conditionalFormatting>
  <conditionalFormatting sqref="AN72:AO72">
    <cfRule type="expression" dxfId="334" priority="98">
      <formula>$AE$67=2</formula>
    </cfRule>
  </conditionalFormatting>
  <conditionalFormatting sqref="AN73:AO73">
    <cfRule type="expression" dxfId="333" priority="101">
      <formula>$AE$67=3</formula>
    </cfRule>
  </conditionalFormatting>
  <conditionalFormatting sqref="AN74:AO74">
    <cfRule type="expression" dxfId="332" priority="104">
      <formula>$AE$67=4</formula>
    </cfRule>
  </conditionalFormatting>
  <conditionalFormatting sqref="AN82:AO82">
    <cfRule type="expression" dxfId="331" priority="82">
      <formula>$AE$78=1</formula>
    </cfRule>
  </conditionalFormatting>
  <conditionalFormatting sqref="AN83:AO83">
    <cfRule type="expression" dxfId="330" priority="83">
      <formula>$AE$78=2</formula>
    </cfRule>
  </conditionalFormatting>
  <conditionalFormatting sqref="AN84:AO84">
    <cfRule type="expression" dxfId="329" priority="81">
      <formula>$AE$78=3</formula>
    </cfRule>
  </conditionalFormatting>
  <conditionalFormatting sqref="AN85:AO85">
    <cfRule type="expression" dxfId="328" priority="80">
      <formula>$AE$78=4</formula>
    </cfRule>
  </conditionalFormatting>
  <conditionalFormatting sqref="AN93:AO93">
    <cfRule type="expression" dxfId="327" priority="62">
      <formula>$AE$89=1</formula>
    </cfRule>
  </conditionalFormatting>
  <conditionalFormatting sqref="AN94:AO94">
    <cfRule type="expression" dxfId="326" priority="65">
      <formula>$AE$89=2</formula>
    </cfRule>
  </conditionalFormatting>
  <conditionalFormatting sqref="AN95:AO95">
    <cfRule type="expression" dxfId="325" priority="68">
      <formula>$AE$89=3</formula>
    </cfRule>
  </conditionalFormatting>
  <conditionalFormatting sqref="AN96:AO96">
    <cfRule type="expression" dxfId="324" priority="71">
      <formula>$AE$89=4</formula>
    </cfRule>
  </conditionalFormatting>
  <conditionalFormatting sqref="AP60:AQ60">
    <cfRule type="expression" dxfId="323" priority="27">
      <formula>$AG$56=1</formula>
    </cfRule>
  </conditionalFormatting>
  <conditionalFormatting sqref="AP61:AQ61">
    <cfRule type="expression" dxfId="322" priority="31">
      <formula>$AG$56=2</formula>
    </cfRule>
  </conditionalFormatting>
  <conditionalFormatting sqref="AP62:AQ62">
    <cfRule type="expression" dxfId="321" priority="35">
      <formula>$AG$56=3</formula>
    </cfRule>
  </conditionalFormatting>
  <conditionalFormatting sqref="AP63:AQ63">
    <cfRule type="expression" dxfId="320" priority="39">
      <formula>$AG$56=4</formula>
    </cfRule>
  </conditionalFormatting>
  <conditionalFormatting sqref="AP71:AQ71">
    <cfRule type="expression" dxfId="319" priority="94">
      <formula>$AG$67=1</formula>
    </cfRule>
  </conditionalFormatting>
  <conditionalFormatting sqref="AP72:AQ72">
    <cfRule type="expression" dxfId="318" priority="97">
      <formula>$AG$67=2</formula>
    </cfRule>
  </conditionalFormatting>
  <conditionalFormatting sqref="AP73:AQ73">
    <cfRule type="expression" dxfId="317" priority="100">
      <formula>$AG$67=3</formula>
    </cfRule>
  </conditionalFormatting>
  <conditionalFormatting sqref="AP74:AQ74">
    <cfRule type="expression" dxfId="316" priority="103">
      <formula>$AG$67=4</formula>
    </cfRule>
  </conditionalFormatting>
  <conditionalFormatting sqref="AP82:AQ82">
    <cfRule type="expression" dxfId="315" priority="78">
      <formula>$AG$78=1</formula>
    </cfRule>
  </conditionalFormatting>
  <conditionalFormatting sqref="AP83:AQ83">
    <cfRule type="expression" dxfId="314" priority="79">
      <formula>$AG$78=2</formula>
    </cfRule>
  </conditionalFormatting>
  <conditionalFormatting sqref="AP84:AQ84">
    <cfRule type="expression" dxfId="313" priority="77">
      <formula>$AG$78=3</formula>
    </cfRule>
  </conditionalFormatting>
  <conditionalFormatting sqref="AP85:AQ85">
    <cfRule type="expression" dxfId="312" priority="76">
      <formula>$AG$78=4</formula>
    </cfRule>
  </conditionalFormatting>
  <conditionalFormatting sqref="AP93:AQ93">
    <cfRule type="expression" dxfId="311" priority="61">
      <formula>$AG$89=1</formula>
    </cfRule>
  </conditionalFormatting>
  <conditionalFormatting sqref="AP94:AQ94">
    <cfRule type="expression" dxfId="310" priority="64">
      <formula>$AG$89=2</formula>
    </cfRule>
  </conditionalFormatting>
  <conditionalFormatting sqref="AP95:AQ95">
    <cfRule type="expression" dxfId="309" priority="67">
      <formula>$AG$89=3</formula>
    </cfRule>
  </conditionalFormatting>
  <conditionalFormatting sqref="AP96:AQ96">
    <cfRule type="expression" dxfId="308" priority="70">
      <formula>$AG$89=4</formula>
    </cfRule>
  </conditionalFormatting>
  <conditionalFormatting sqref="AR60:AS60">
    <cfRule type="expression" dxfId="307" priority="26">
      <formula>$AI$56=1</formula>
    </cfRule>
  </conditionalFormatting>
  <conditionalFormatting sqref="AR61:AS61">
    <cfRule type="expression" dxfId="306" priority="30">
      <formula>$AI$56=2</formula>
    </cfRule>
  </conditionalFormatting>
  <conditionalFormatting sqref="AR62:AS62">
    <cfRule type="expression" dxfId="305" priority="34">
      <formula>$AI$56=3</formula>
    </cfRule>
  </conditionalFormatting>
  <conditionalFormatting sqref="AR63:AS63">
    <cfRule type="expression" dxfId="304" priority="38">
      <formula>$AI$56=4</formula>
    </cfRule>
  </conditionalFormatting>
  <conditionalFormatting sqref="AR71:AS71">
    <cfRule type="expression" dxfId="303" priority="93">
      <formula>$AI$67=1</formula>
    </cfRule>
  </conditionalFormatting>
  <conditionalFormatting sqref="AR72:AS72">
    <cfRule type="expression" dxfId="302" priority="96">
      <formula>$AI$67=2</formula>
    </cfRule>
  </conditionalFormatting>
  <conditionalFormatting sqref="AR73:AS73">
    <cfRule type="expression" dxfId="301" priority="99">
      <formula>$AI$67=3</formula>
    </cfRule>
  </conditionalFormatting>
  <conditionalFormatting sqref="AR74:AS74">
    <cfRule type="expression" dxfId="300" priority="102">
      <formula>$AI$67=4</formula>
    </cfRule>
  </conditionalFormatting>
  <conditionalFormatting sqref="AR82:AS82">
    <cfRule type="expression" dxfId="299" priority="74">
      <formula>$AI$78=1</formula>
    </cfRule>
  </conditionalFormatting>
  <conditionalFormatting sqref="AR83:AS83">
    <cfRule type="expression" dxfId="298" priority="75">
      <formula>$AI$78=2</formula>
    </cfRule>
  </conditionalFormatting>
  <conditionalFormatting sqref="AR84:AS84">
    <cfRule type="expression" dxfId="297" priority="73">
      <formula>$AI$78=3</formula>
    </cfRule>
  </conditionalFormatting>
  <conditionalFormatting sqref="AR85:AS85">
    <cfRule type="expression" dxfId="296" priority="72">
      <formula>$AI$78=4</formula>
    </cfRule>
  </conditionalFormatting>
  <conditionalFormatting sqref="AR93:AS93">
    <cfRule type="expression" dxfId="295" priority="60">
      <formula>$AI$89=1</formula>
    </cfRule>
  </conditionalFormatting>
  <conditionalFormatting sqref="AR94:AS94">
    <cfRule type="expression" dxfId="294" priority="63">
      <formula>$AI$89=2</formula>
    </cfRule>
  </conditionalFormatting>
  <conditionalFormatting sqref="AR95:AS95">
    <cfRule type="expression" dxfId="293" priority="66">
      <formula>$AI$89=3</formula>
    </cfRule>
  </conditionalFormatting>
  <conditionalFormatting sqref="AR96:AS96">
    <cfRule type="expression" dxfId="292" priority="69">
      <formula>$AI$89=4</formula>
    </cfRule>
  </conditionalFormatting>
  <conditionalFormatting sqref="AT60:AU60">
    <cfRule type="expression" dxfId="291" priority="25">
      <formula>$AK$56=1</formula>
    </cfRule>
  </conditionalFormatting>
  <conditionalFormatting sqref="AT61:AU61">
    <cfRule type="expression" dxfId="290" priority="29">
      <formula>$AK$56=2</formula>
    </cfRule>
  </conditionalFormatting>
  <conditionalFormatting sqref="AT62:AU62">
    <cfRule type="expression" dxfId="289" priority="33">
      <formula>$AK$56=3</formula>
    </cfRule>
  </conditionalFormatting>
  <conditionalFormatting sqref="AT63:AU63">
    <cfRule type="expression" dxfId="288" priority="37">
      <formula>$AK$56=4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locked="0" defaultSize="0" autoLine="0" autoPict="0">
                <anchor moveWithCells="1">
                  <from>
                    <xdr:col>4</xdr:col>
                    <xdr:colOff>47625</xdr:colOff>
                    <xdr:row>22</xdr:row>
                    <xdr:rowOff>0</xdr:rowOff>
                  </from>
                  <to>
                    <xdr:col>4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Drop Down 2">
              <controlPr defaultSize="0" autoLine="0" autoPict="0">
                <anchor moveWithCells="1">
                  <from>
                    <xdr:col>4</xdr:col>
                    <xdr:colOff>38100</xdr:colOff>
                    <xdr:row>60</xdr:row>
                    <xdr:rowOff>0</xdr:rowOff>
                  </from>
                  <to>
                    <xdr:col>4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Drop Down 3">
              <controlPr locked="0" defaultSize="0" autoLine="0" autoPict="0">
                <anchor moveWithCells="1">
                  <from>
                    <xdr:col>14</xdr:col>
                    <xdr:colOff>95250</xdr:colOff>
                    <xdr:row>22</xdr:row>
                    <xdr:rowOff>0</xdr:rowOff>
                  </from>
                  <to>
                    <xdr:col>14</xdr:col>
                    <xdr:colOff>514350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Drop Down 4">
              <controlPr defaultSize="0" autoLine="0" autoPict="0">
                <anchor moveWithCells="1">
                  <from>
                    <xdr:col>14</xdr:col>
                    <xdr:colOff>85725</xdr:colOff>
                    <xdr:row>60</xdr:row>
                    <xdr:rowOff>0</xdr:rowOff>
                  </from>
                  <to>
                    <xdr:col>14</xdr:col>
                    <xdr:colOff>504825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Drop Down 5">
              <controlPr defaultSize="0" autoLine="0" autoPict="0">
                <anchor moveWithCells="1">
                  <from>
                    <xdr:col>22</xdr:col>
                    <xdr:colOff>95250</xdr:colOff>
                    <xdr:row>29</xdr:row>
                    <xdr:rowOff>9525</xdr:rowOff>
                  </from>
                  <to>
                    <xdr:col>22</xdr:col>
                    <xdr:colOff>514350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8" name="Drop Down 6">
              <controlPr defaultSize="0" autoLine="0" autoPict="0">
                <anchor moveWithCells="1">
                  <from>
                    <xdr:col>22</xdr:col>
                    <xdr:colOff>104775</xdr:colOff>
                    <xdr:row>46</xdr:row>
                    <xdr:rowOff>0</xdr:rowOff>
                  </from>
                  <to>
                    <xdr:col>22</xdr:col>
                    <xdr:colOff>523875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9" name="Drop Down 7">
              <controlPr locked="0" defaultSize="0" autoLine="0" autoPict="0">
                <anchor moveWithCells="1">
                  <from>
                    <xdr:col>20</xdr:col>
                    <xdr:colOff>47625</xdr:colOff>
                    <xdr:row>22</xdr:row>
                    <xdr:rowOff>0</xdr:rowOff>
                  </from>
                  <to>
                    <xdr:col>20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0" name="Drop Down 8">
              <controlPr defaultSize="0" autoLine="0" autoPict="0">
                <anchor moveWithCells="1">
                  <from>
                    <xdr:col>20</xdr:col>
                    <xdr:colOff>47625</xdr:colOff>
                    <xdr:row>60</xdr:row>
                    <xdr:rowOff>9525</xdr:rowOff>
                  </from>
                  <to>
                    <xdr:col>20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1" name="Drop Down 9">
              <controlPr defaultSize="0" autoLine="0" autoPict="0">
                <anchor moveWithCells="1">
                  <from>
                    <xdr:col>1</xdr:col>
                    <xdr:colOff>76200</xdr:colOff>
                    <xdr:row>37</xdr:row>
                    <xdr:rowOff>0</xdr:rowOff>
                  </from>
                  <to>
                    <xdr:col>1</xdr:col>
                    <xdr:colOff>495300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" name="Drop Down 10">
              <controlPr defaultSize="0" autoLine="0" autoPict="0">
                <anchor moveWithCells="1">
                  <from>
                    <xdr:col>22</xdr:col>
                    <xdr:colOff>104775</xdr:colOff>
                    <xdr:row>37</xdr:row>
                    <xdr:rowOff>9525</xdr:rowOff>
                  </from>
                  <to>
                    <xdr:col>22</xdr:col>
                    <xdr:colOff>523875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3" name="Drop Down 11">
              <controlPr defaultSize="0" autoLine="0" autoPict="0">
                <anchor moveWithCells="1">
                  <from>
                    <xdr:col>1</xdr:col>
                    <xdr:colOff>76200</xdr:colOff>
                    <xdr:row>54</xdr:row>
                    <xdr:rowOff>0</xdr:rowOff>
                  </from>
                  <to>
                    <xdr:col>1</xdr:col>
                    <xdr:colOff>495300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4" name="Drop Down 12">
              <controlPr defaultSize="0" autoLine="0" autoPict="0">
                <anchor moveWithCells="1">
                  <from>
                    <xdr:col>22</xdr:col>
                    <xdr:colOff>95250</xdr:colOff>
                    <xdr:row>54</xdr:row>
                    <xdr:rowOff>9525</xdr:rowOff>
                  </from>
                  <to>
                    <xdr:col>22</xdr:col>
                    <xdr:colOff>514350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Drop Down 13">
              <controlPr defaultSize="0" autoLine="0" autoPict="0">
                <anchor moveWithCells="1">
                  <from>
                    <xdr:col>1</xdr:col>
                    <xdr:colOff>76200</xdr:colOff>
                    <xdr:row>46</xdr:row>
                    <xdr:rowOff>0</xdr:rowOff>
                  </from>
                  <to>
                    <xdr:col>1</xdr:col>
                    <xdr:colOff>495300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6" name="Drop Down 14">
              <controlPr defaultSize="0" autoLine="0" autoPict="0">
                <anchor moveWithCells="1">
                  <from>
                    <xdr:col>1</xdr:col>
                    <xdr:colOff>76200</xdr:colOff>
                    <xdr:row>29</xdr:row>
                    <xdr:rowOff>0</xdr:rowOff>
                  </from>
                  <to>
                    <xdr:col>1</xdr:col>
                    <xdr:colOff>495300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7" name="Drop Down 15">
              <controlPr locked="0" defaultSize="0" autoLine="0" autoPict="0">
                <anchor moveWithCells="1">
                  <from>
                    <xdr:col>10</xdr:col>
                    <xdr:colOff>47625</xdr:colOff>
                    <xdr:row>22</xdr:row>
                    <xdr:rowOff>0</xdr:rowOff>
                  </from>
                  <to>
                    <xdr:col>10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8" name="Drop Down 16">
              <controlPr defaultSize="0" autoLine="0" autoPict="0">
                <anchor moveWithCells="1">
                  <from>
                    <xdr:col>10</xdr:col>
                    <xdr:colOff>38100</xdr:colOff>
                    <xdr:row>60</xdr:row>
                    <xdr:rowOff>0</xdr:rowOff>
                  </from>
                  <to>
                    <xdr:col>10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9" name="Drop Down 17">
              <controlPr locked="0" defaultSize="0" autoLine="0" autoPict="0">
                <anchor moveWithCells="1">
                  <from>
                    <xdr:col>4</xdr:col>
                    <xdr:colOff>47625</xdr:colOff>
                    <xdr:row>22</xdr:row>
                    <xdr:rowOff>0</xdr:rowOff>
                  </from>
                  <to>
                    <xdr:col>4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Drop Down 18">
              <controlPr defaultSize="0" autoLine="0" autoPict="0">
                <anchor moveWithCells="1">
                  <from>
                    <xdr:col>4</xdr:col>
                    <xdr:colOff>38100</xdr:colOff>
                    <xdr:row>60</xdr:row>
                    <xdr:rowOff>0</xdr:rowOff>
                  </from>
                  <to>
                    <xdr:col>4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1" name="Drop Down 19">
              <controlPr locked="0" defaultSize="0" autoLine="0" autoPict="0">
                <anchor moveWithCells="1">
                  <from>
                    <xdr:col>14</xdr:col>
                    <xdr:colOff>95250</xdr:colOff>
                    <xdr:row>22</xdr:row>
                    <xdr:rowOff>0</xdr:rowOff>
                  </from>
                  <to>
                    <xdr:col>14</xdr:col>
                    <xdr:colOff>514350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2" name="Drop Down 20">
              <controlPr defaultSize="0" autoLine="0" autoPict="0">
                <anchor moveWithCells="1">
                  <from>
                    <xdr:col>14</xdr:col>
                    <xdr:colOff>85725</xdr:colOff>
                    <xdr:row>60</xdr:row>
                    <xdr:rowOff>0</xdr:rowOff>
                  </from>
                  <to>
                    <xdr:col>14</xdr:col>
                    <xdr:colOff>504825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3" name="Drop Down 21">
              <controlPr defaultSize="0" autoLine="0" autoPict="0">
                <anchor moveWithCells="1">
                  <from>
                    <xdr:col>22</xdr:col>
                    <xdr:colOff>95250</xdr:colOff>
                    <xdr:row>29</xdr:row>
                    <xdr:rowOff>9525</xdr:rowOff>
                  </from>
                  <to>
                    <xdr:col>22</xdr:col>
                    <xdr:colOff>514350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4" name="Drop Down 22">
              <controlPr defaultSize="0" autoLine="0" autoPict="0">
                <anchor moveWithCells="1">
                  <from>
                    <xdr:col>22</xdr:col>
                    <xdr:colOff>104775</xdr:colOff>
                    <xdr:row>46</xdr:row>
                    <xdr:rowOff>0</xdr:rowOff>
                  </from>
                  <to>
                    <xdr:col>22</xdr:col>
                    <xdr:colOff>523875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5" name="Drop Down 23">
              <controlPr locked="0" defaultSize="0" autoLine="0" autoPict="0">
                <anchor moveWithCells="1">
                  <from>
                    <xdr:col>20</xdr:col>
                    <xdr:colOff>47625</xdr:colOff>
                    <xdr:row>22</xdr:row>
                    <xdr:rowOff>0</xdr:rowOff>
                  </from>
                  <to>
                    <xdr:col>20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6" name="Drop Down 24">
              <controlPr defaultSize="0" autoLine="0" autoPict="0">
                <anchor moveWithCells="1">
                  <from>
                    <xdr:col>20</xdr:col>
                    <xdr:colOff>47625</xdr:colOff>
                    <xdr:row>60</xdr:row>
                    <xdr:rowOff>9525</xdr:rowOff>
                  </from>
                  <to>
                    <xdr:col>20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7" name="Drop Down 25">
              <controlPr defaultSize="0" autoLine="0" autoPict="0">
                <anchor moveWithCells="1">
                  <from>
                    <xdr:col>1</xdr:col>
                    <xdr:colOff>76200</xdr:colOff>
                    <xdr:row>37</xdr:row>
                    <xdr:rowOff>0</xdr:rowOff>
                  </from>
                  <to>
                    <xdr:col>1</xdr:col>
                    <xdr:colOff>495300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28" name="Drop Down 26">
              <controlPr defaultSize="0" autoLine="0" autoPict="0">
                <anchor moveWithCells="1">
                  <from>
                    <xdr:col>22</xdr:col>
                    <xdr:colOff>104775</xdr:colOff>
                    <xdr:row>37</xdr:row>
                    <xdr:rowOff>9525</xdr:rowOff>
                  </from>
                  <to>
                    <xdr:col>22</xdr:col>
                    <xdr:colOff>523875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29" name="Drop Down 27">
              <controlPr defaultSize="0" autoLine="0" autoPict="0">
                <anchor moveWithCells="1">
                  <from>
                    <xdr:col>1</xdr:col>
                    <xdr:colOff>76200</xdr:colOff>
                    <xdr:row>54</xdr:row>
                    <xdr:rowOff>0</xdr:rowOff>
                  </from>
                  <to>
                    <xdr:col>1</xdr:col>
                    <xdr:colOff>495300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0" name="Drop Down 28">
              <controlPr defaultSize="0" autoLine="0" autoPict="0">
                <anchor moveWithCells="1">
                  <from>
                    <xdr:col>22</xdr:col>
                    <xdr:colOff>95250</xdr:colOff>
                    <xdr:row>54</xdr:row>
                    <xdr:rowOff>9525</xdr:rowOff>
                  </from>
                  <to>
                    <xdr:col>22</xdr:col>
                    <xdr:colOff>514350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1" name="Drop Down 29">
              <controlPr defaultSize="0" autoLine="0" autoPict="0">
                <anchor moveWithCells="1">
                  <from>
                    <xdr:col>1</xdr:col>
                    <xdr:colOff>76200</xdr:colOff>
                    <xdr:row>46</xdr:row>
                    <xdr:rowOff>0</xdr:rowOff>
                  </from>
                  <to>
                    <xdr:col>1</xdr:col>
                    <xdr:colOff>495300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2" name="Drop Down 30">
              <controlPr defaultSize="0" autoLine="0" autoPict="0">
                <anchor moveWithCells="1">
                  <from>
                    <xdr:col>1</xdr:col>
                    <xdr:colOff>76200</xdr:colOff>
                    <xdr:row>29</xdr:row>
                    <xdr:rowOff>0</xdr:rowOff>
                  </from>
                  <to>
                    <xdr:col>1</xdr:col>
                    <xdr:colOff>495300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3" name="Drop Down 31">
              <controlPr locked="0" defaultSize="0" autoLine="0" autoPict="0">
                <anchor moveWithCells="1">
                  <from>
                    <xdr:col>10</xdr:col>
                    <xdr:colOff>47625</xdr:colOff>
                    <xdr:row>22</xdr:row>
                    <xdr:rowOff>0</xdr:rowOff>
                  </from>
                  <to>
                    <xdr:col>10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4" name="Drop Down 32">
              <controlPr defaultSize="0" autoLine="0" autoPict="0">
                <anchor moveWithCells="1">
                  <from>
                    <xdr:col>10</xdr:col>
                    <xdr:colOff>38100</xdr:colOff>
                    <xdr:row>60</xdr:row>
                    <xdr:rowOff>0</xdr:rowOff>
                  </from>
                  <to>
                    <xdr:col>10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59999389629810485"/>
  </sheetPr>
  <dimension ref="A1:CB173"/>
  <sheetViews>
    <sheetView zoomScaleNormal="100" workbookViewId="0">
      <selection activeCell="C2" sqref="C2:F2"/>
    </sheetView>
  </sheetViews>
  <sheetFormatPr defaultRowHeight="15" x14ac:dyDescent="0.25"/>
  <cols>
    <col min="1" max="1" width="8.28515625" customWidth="1"/>
    <col min="2" max="2" width="8.5703125" customWidth="1"/>
    <col min="3" max="3" width="6.42578125" customWidth="1"/>
    <col min="4" max="4" width="8.5703125" customWidth="1"/>
    <col min="5" max="5" width="8" customWidth="1"/>
    <col min="6" max="6" width="7.7109375" customWidth="1"/>
    <col min="7" max="7" width="10" customWidth="1"/>
    <col min="8" max="8" width="8.42578125" customWidth="1"/>
    <col min="9" max="12" width="10.7109375" customWidth="1"/>
    <col min="13" max="16" width="8.7109375" customWidth="1"/>
    <col min="17" max="17" width="9.7109375" customWidth="1"/>
    <col min="18" max="18" width="8.140625" customWidth="1"/>
    <col min="19" max="19" width="9.7109375" customWidth="1"/>
    <col min="20" max="20" width="8.85546875" customWidth="1"/>
    <col min="21" max="21" width="7.7109375" customWidth="1"/>
    <col min="22" max="22" width="8.42578125" customWidth="1"/>
    <col min="23" max="23" width="9.5703125" customWidth="1"/>
    <col min="24" max="24" width="6.7109375" customWidth="1"/>
    <col min="25" max="26" width="9.7109375" style="5" customWidth="1"/>
    <col min="27" max="28" width="9.7109375" style="19" customWidth="1"/>
    <col min="29" max="46" width="7.7109375" style="19" customWidth="1"/>
    <col min="47" max="47" width="11.42578125" style="19" customWidth="1"/>
    <col min="48" max="48" width="9.85546875" style="19" customWidth="1"/>
    <col min="49" max="77" width="9.140625" style="19" customWidth="1"/>
  </cols>
  <sheetData>
    <row r="1" spans="2:79" ht="8.25" customHeight="1" x14ac:dyDescent="0.25"/>
    <row r="2" spans="2:79" ht="15.75" customHeight="1" thickBot="1" x14ac:dyDescent="0.3">
      <c r="B2" s="26" t="s">
        <v>0</v>
      </c>
      <c r="C2" s="966">
        <f>'SHL Section'!C2:G2</f>
        <v>0</v>
      </c>
      <c r="D2" s="832"/>
      <c r="E2" s="832"/>
      <c r="F2" s="832"/>
      <c r="G2" s="51"/>
      <c r="AA2" s="5"/>
      <c r="AB2" s="5"/>
      <c r="BZ2" s="19"/>
      <c r="CA2" s="19"/>
    </row>
    <row r="3" spans="2:79" ht="29.25" customHeight="1" thickBot="1" x14ac:dyDescent="0.3">
      <c r="B3" s="26" t="s">
        <v>5</v>
      </c>
      <c r="C3" s="968">
        <f>'SHL Section'!C3:G3</f>
        <v>0</v>
      </c>
      <c r="D3" s="832"/>
      <c r="E3" s="832"/>
      <c r="F3" s="832"/>
      <c r="G3" s="183"/>
      <c r="K3" s="971" t="s">
        <v>388</v>
      </c>
      <c r="L3" s="851"/>
      <c r="M3" s="973" t="s">
        <v>389</v>
      </c>
      <c r="N3" s="847"/>
      <c r="O3" s="847"/>
      <c r="P3" s="848"/>
    </row>
    <row r="4" spans="2:79" ht="30" customHeight="1" thickBot="1" x14ac:dyDescent="0.3">
      <c r="B4" s="26"/>
      <c r="C4" s="181"/>
      <c r="D4" s="181"/>
      <c r="E4" s="181"/>
      <c r="F4" s="181"/>
      <c r="G4" s="181"/>
      <c r="H4" s="240"/>
      <c r="I4" s="754" t="s">
        <v>390</v>
      </c>
      <c r="J4" s="755" t="s">
        <v>391</v>
      </c>
      <c r="K4" s="751" t="s">
        <v>392</v>
      </c>
      <c r="L4" s="751" t="s">
        <v>393</v>
      </c>
      <c r="M4" s="933" t="s">
        <v>6</v>
      </c>
      <c r="N4" s="859"/>
      <c r="O4" s="845" t="s">
        <v>7</v>
      </c>
      <c r="P4" s="863"/>
    </row>
    <row r="5" spans="2:79" ht="18.75" customHeight="1" thickBot="1" x14ac:dyDescent="0.3">
      <c r="H5" s="184" t="s">
        <v>394</v>
      </c>
      <c r="I5" s="242">
        <f>'SHL Section'!$X$7</f>
        <v>0</v>
      </c>
      <c r="J5" s="242">
        <f>'SHL Section'!$Y$7</f>
        <v>0</v>
      </c>
      <c r="K5" s="243">
        <f>'Lat-Long &amp; Grid Calc SHL'!$K$5</f>
        <v>19299142.333762784</v>
      </c>
      <c r="L5" s="243">
        <f>'Lat-Long &amp; Grid Calc SHL'!$L$5</f>
        <v>40103653.522858381</v>
      </c>
      <c r="M5" s="185">
        <f>'SHL Section'!$I$7</f>
        <v>0</v>
      </c>
      <c r="N5" s="745" t="str">
        <f>IF('SHL Section'!J7=1,"FNL","FSL")</f>
        <v>FSL</v>
      </c>
      <c r="O5" s="186">
        <f>'SHL Section'!$K$7</f>
        <v>0</v>
      </c>
      <c r="P5" s="187" t="str">
        <f>IF('SHL Section'!L7=1,"FEL","FWL")</f>
        <v>FWL</v>
      </c>
      <c r="Y5" s="919" t="s">
        <v>395</v>
      </c>
      <c r="Z5" s="847"/>
      <c r="AA5" s="847"/>
      <c r="AB5" s="848"/>
    </row>
    <row r="6" spans="2:79" ht="26.25" customHeight="1" x14ac:dyDescent="0.25">
      <c r="C6" s="57"/>
      <c r="D6" s="58"/>
      <c r="E6" s="931" t="s">
        <v>219</v>
      </c>
      <c r="F6" s="847"/>
      <c r="G6" s="847"/>
      <c r="H6" s="851"/>
      <c r="I6" s="931" t="s">
        <v>396</v>
      </c>
      <c r="J6" s="851"/>
      <c r="K6" s="931" t="s">
        <v>388</v>
      </c>
      <c r="L6" s="851"/>
      <c r="M6" s="931" t="s">
        <v>397</v>
      </c>
      <c r="N6" s="847"/>
      <c r="O6" s="847"/>
      <c r="P6" s="851"/>
      <c r="Q6" s="167"/>
      <c r="R6" s="35"/>
      <c r="S6" s="35"/>
      <c r="T6" s="35"/>
      <c r="U6" s="35"/>
      <c r="V6" s="35"/>
      <c r="W6" s="170"/>
      <c r="X6" s="19"/>
      <c r="Y6" s="747" t="s">
        <v>113</v>
      </c>
      <c r="Z6" s="748"/>
      <c r="AA6" s="748" t="s">
        <v>114</v>
      </c>
      <c r="AB6" s="749"/>
    </row>
    <row r="7" spans="2:79" ht="30" customHeight="1" x14ac:dyDescent="0.25">
      <c r="C7" s="950"/>
      <c r="D7" s="951"/>
      <c r="E7" s="933" t="s">
        <v>113</v>
      </c>
      <c r="F7" s="859"/>
      <c r="G7" s="910" t="s">
        <v>114</v>
      </c>
      <c r="H7" s="911"/>
      <c r="I7" s="751" t="s">
        <v>390</v>
      </c>
      <c r="J7" s="241" t="s">
        <v>391</v>
      </c>
      <c r="K7" s="751" t="s">
        <v>392</v>
      </c>
      <c r="L7" s="751" t="s">
        <v>393</v>
      </c>
      <c r="M7" s="933" t="s">
        <v>6</v>
      </c>
      <c r="N7" s="859"/>
      <c r="O7" s="910" t="s">
        <v>7</v>
      </c>
      <c r="P7" s="911"/>
      <c r="Q7" s="740" t="s">
        <v>226</v>
      </c>
      <c r="R7" s="740" t="s">
        <v>72</v>
      </c>
      <c r="S7" s="740" t="s">
        <v>73</v>
      </c>
      <c r="T7" s="740" t="s">
        <v>227</v>
      </c>
      <c r="U7" s="740" t="s">
        <v>74</v>
      </c>
      <c r="V7" s="740" t="s">
        <v>228</v>
      </c>
      <c r="W7" s="61" t="s">
        <v>229</v>
      </c>
      <c r="X7" s="19"/>
      <c r="Y7" s="137" t="s">
        <v>398</v>
      </c>
      <c r="Z7" s="821">
        <f>IF('SHL Section'!$AR$7=1,$M$15,0)</f>
        <v>71.424513434487508</v>
      </c>
      <c r="AA7" s="71"/>
      <c r="AB7" s="132"/>
    </row>
    <row r="8" spans="2:79" ht="15" customHeight="1" x14ac:dyDescent="0.25">
      <c r="C8" s="952" t="s">
        <v>234</v>
      </c>
      <c r="D8" s="953"/>
      <c r="E8" s="70"/>
      <c r="F8" s="62"/>
      <c r="G8" s="71"/>
      <c r="H8" s="62"/>
      <c r="I8" s="244" t="str">
        <f>IF($L$39=$R$8,'Lat-Long &amp; Grid Calc SHL'!$I$8,"")</f>
        <v/>
      </c>
      <c r="J8" s="244" t="str">
        <f>IF($L$39=$R$8,'Lat-Long &amp; Grid Calc SHL'!$J$8,"")</f>
        <v/>
      </c>
      <c r="K8" s="70" t="str">
        <f>IF($L$39=$R$8,'Lat-Long &amp; Grid Calc SHL'!$K$8,"")</f>
        <v/>
      </c>
      <c r="L8" s="70" t="str">
        <f>IF($L$39=$R$8,'Lat-Long &amp; Grid Calc SHL'!$L$8,"")</f>
        <v/>
      </c>
      <c r="M8" s="188" t="str">
        <f>IF($L$39=$R$8,IF(ISNUMBER($AE$64),$AE$64,IF(ISNUMBER($AG$64),$AG$64,IF(ISNUMBER($AI$64),$AI$64,IF(ISNUMBER($AK$64),$AK$64,"")))),"")</f>
        <v/>
      </c>
      <c r="N8" s="189" t="str">
        <f>IF($L$39=$R$8,IF(ISNUMBER($AE$64),$AE$70,IF(ISNUMBER($AG$64),$AG$70,IF(ISNUMBER($AI$64),$AI$70,IF(ISNUMBER($AK$64),$AK$70,"")))),"")</f>
        <v/>
      </c>
      <c r="O8" s="190" t="str">
        <f>IF($L$39=$R$8,IF(ISNUMBER($AF$64),$AF$64,IF(ISNUMBER($AH$64),$AH$64,IF(ISNUMBER($AJ$64),$AJ$64,IF(ISNUMBER($AL$64),$AL$64,"")))),"")</f>
        <v/>
      </c>
      <c r="P8" s="191" t="str">
        <f>IF($L$39=$R$8,IF(ISNUMBER($AF$64),$AF$70,IF(ISNUMBER($AH$64),$AH$70,IF(ISNUMBER($AJ$64),$AJ$70,IF(ISNUMBER($AL$64),$AL$70,"")))),"")</f>
        <v/>
      </c>
      <c r="Q8" s="97" t="str">
        <f>'SHL Section'!$M$7</f>
        <v/>
      </c>
      <c r="R8" s="97">
        <f>'SHL Section'!$N$7</f>
        <v>0</v>
      </c>
      <c r="S8" s="62">
        <f>'SHL Section'!$O$7</f>
        <v>0</v>
      </c>
      <c r="T8" s="62" t="str">
        <f>IF('SHL Section'!$P$7=1,"N","S")</f>
        <v>S</v>
      </c>
      <c r="U8" s="62">
        <f>'SHL Section'!$Q$7</f>
        <v>0</v>
      </c>
      <c r="V8" s="62" t="str">
        <f>IF('SHL Section'!$R$7=1,"E","W")</f>
        <v>W</v>
      </c>
      <c r="W8" s="132" t="str">
        <f>IF('SHL Section'!$S$7=1,"Salt Lake","Uintah")</f>
        <v>Uintah</v>
      </c>
      <c r="Y8" s="133"/>
      <c r="Z8" s="63"/>
      <c r="AA8" s="64"/>
      <c r="AB8" s="123"/>
    </row>
    <row r="9" spans="2:79" ht="15" customHeight="1" x14ac:dyDescent="0.25">
      <c r="C9" s="946" t="str">
        <f>'Lat-Long &amp; Grid Calc SHL'!C9</f>
        <v>Prod. Interval Top</v>
      </c>
      <c r="D9" s="947"/>
      <c r="E9" s="72">
        <f>'SHL Section'!$E$8</f>
        <v>0</v>
      </c>
      <c r="F9" s="63" t="str">
        <f>IF('SHL Section'!$AK$8=1,"N","S")</f>
        <v>S</v>
      </c>
      <c r="G9" s="64">
        <f>'SHL Section'!$G$8</f>
        <v>0</v>
      </c>
      <c r="H9" s="63" t="str">
        <f>IF('SHL Section'!$AM$8=1,"E","W")</f>
        <v>W</v>
      </c>
      <c r="I9" s="245" t="e">
        <f>IF($L$39=$R$9,'Lat-Long &amp; Grid Calc SHL'!$I$9,"")</f>
        <v>#VALUE!</v>
      </c>
      <c r="J9" s="245" t="e">
        <f>IF($L$39=$R$9,'Lat-Long &amp; Grid Calc SHL'!$J$9,"")</f>
        <v>#VALUE!</v>
      </c>
      <c r="K9" s="72" t="e">
        <f>IF($L$39=$R$9,'Lat-Long &amp; Grid Calc SHL'!$K$9,"")</f>
        <v>#VALUE!</v>
      </c>
      <c r="L9" s="72" t="e">
        <f>IF($L$39=$R$9,'Lat-Long &amp; Grid Calc SHL'!$L$9,"")</f>
        <v>#VALUE!</v>
      </c>
      <c r="M9" s="192" t="e">
        <f>IF($L$39=$R$9,IF(ISNUMBER($AE$75),$AE$75,IF(ISNUMBER($AG$75),$AG$75,IF(ISNUMBER($AI$75),$AI$75,IF(ISNUMBER($AK$75),$AK$75,"")))),"")</f>
        <v>#VALUE!</v>
      </c>
      <c r="N9" s="193" t="e">
        <f>IF($L$39=$R$9,IF(ISNUMBER($AE$75),$AE$70,IF(ISNUMBER($AG$75),$AG$70,IF(ISNUMBER($AI$75),$AI$70,IF(ISNUMBER($AK$75),$AK$70,"")))),"")</f>
        <v>#VALUE!</v>
      </c>
      <c r="O9" s="194" t="e">
        <f>IF($L$39=$R$9,IF(ISNUMBER($AF$75),$AF$75,IF(ISNUMBER($AH$75),$AH$75,IF(ISNUMBER($AJ$75),$AJ$75,IF(ISNUMBER($AL$75),$AL$75,"")))),"")</f>
        <v>#VALUE!</v>
      </c>
      <c r="P9" s="195" t="e">
        <f>IF($L$39=$R$9,IF(ISNUMBER($AF$75),$AF$70,IF(ISNUMBER($AH$75),$AH$70,IF(ISNUMBER($AJ$75),$AJ$70,IF(ISNUMBER($AL$75),$AL$70,"")))),"")</f>
        <v>#VALUE!</v>
      </c>
      <c r="Q9" s="63" t="e">
        <f>IF(AND($L$39=$R$9,ISNUMBER($I$9),ISNUMBER($J$9)),VLOOKUP(MAX($AE$67:$AL$67),$AV$57:$AZ$60,IF(ISNUMBER($AE$67),$AE$53,IF(ISNUMBER($AG$67),$AG$53,IF(ISNUMBER($AI$67),$AI$53,$AK$53)))+1,FALSE),"")</f>
        <v>#VALUE!</v>
      </c>
      <c r="R9" s="63" t="e">
        <f>'SHL Section'!$N$8</f>
        <v>#VALUE!</v>
      </c>
      <c r="S9" s="63">
        <f>'SHL Section'!$O$8</f>
        <v>0</v>
      </c>
      <c r="T9" s="63" t="str">
        <f>'SHL Section'!$P$8</f>
        <v>S</v>
      </c>
      <c r="U9" s="63">
        <f>'SHL Section'!$Q$8</f>
        <v>0</v>
      </c>
      <c r="V9" s="63" t="str">
        <f>'SHL Section'!$R$8</f>
        <v>W</v>
      </c>
      <c r="W9" s="123" t="str">
        <f>'SHL Section'!$S$8</f>
        <v>Uintah</v>
      </c>
      <c r="Y9" s="133" t="str">
        <f>IF(ISNUMBER($K$9),IF('SHL Section'!$AR$7=1,(($K$5-$K$9)*COS(RADIANS($Z$7))-($L$5-$L$9)*SIN(RADIANS($Z$7)))+'SHL Section'!$AJ$8,($K$5-$K$9+'SHL Section'!$AJ$8)*COS(RADIANS($Z$7))-($L$5-$L$9+'SHL Section'!$AL$8)*SIN(RADIANS($Z$7))),"")</f>
        <v/>
      </c>
      <c r="Z9" s="63">
        <f>'SHL Section'!$AK$8</f>
        <v>2</v>
      </c>
      <c r="AA9" s="64" t="str">
        <f>IF(ISNUMBER($L$9),IF('SHL Section'!$AR$7=1,($L$5-$L$9)*COS(RADIANS($Z$7))+($K$5-$K$9)*SIN(RADIANS($Z$7))+'SHL Section'!$AL$8,($L$5-$L$9+'SHL Section'!$AL$8)*COS(RADIANS($Z$7))+($K$5-$K$9+'SHL Section'!$AJ$8)*SIN(RADIANS($Z$7))),"")</f>
        <v/>
      </c>
      <c r="AB9" s="123">
        <f>'SHL Section'!$AM$8</f>
        <v>2</v>
      </c>
    </row>
    <row r="10" spans="2:79" ht="15" customHeight="1" x14ac:dyDescent="0.25">
      <c r="C10" s="946" t="str">
        <f>'Lat-Long &amp; Grid Calc SHL'!C10</f>
        <v>Prod. Interval Bot.</v>
      </c>
      <c r="D10" s="947"/>
      <c r="E10" s="72">
        <f>'SHL Section'!$E$9</f>
        <v>0</v>
      </c>
      <c r="F10" s="63" t="str">
        <f>IF('SHL Section'!$AK$9=1,"N","S")</f>
        <v>S</v>
      </c>
      <c r="G10" s="64">
        <f>'SHL Section'!$G$9</f>
        <v>0</v>
      </c>
      <c r="H10" s="63" t="str">
        <f>IF('SHL Section'!$AM$9=1,"E","W")</f>
        <v>W</v>
      </c>
      <c r="I10" s="245" t="e">
        <f>IF($L$39=$R$10,'Lat-Long &amp; Grid Calc SHL'!$I$10,"")</f>
        <v>#VALUE!</v>
      </c>
      <c r="J10" s="245" t="e">
        <f>IF($L$39=$R$10,'Lat-Long &amp; Grid Calc SHL'!$J$10,"")</f>
        <v>#VALUE!</v>
      </c>
      <c r="K10" s="72" t="e">
        <f>IF($L$39=$R$10,'Lat-Long &amp; Grid Calc SHL'!$K$10,"")</f>
        <v>#VALUE!</v>
      </c>
      <c r="L10" s="72" t="e">
        <f>IF($L$39=$R$10,'Lat-Long &amp; Grid Calc SHL'!$L$10,"")</f>
        <v>#VALUE!</v>
      </c>
      <c r="M10" s="196" t="e">
        <f>IF($L$39=$R$10,IF(ISNUMBER($AE$86),$AE$86,IF(ISNUMBER($AG$86),$AG$86,IF(ISNUMBER($AI$86),$AI$86,IF(ISNUMBER($AK$86),$AK$86,"")))),"")</f>
        <v>#VALUE!</v>
      </c>
      <c r="N10" s="193" t="e">
        <f>IF($L$39=$R$10,IF(ISNUMBER($AE$86),$AE$81,IF(ISNUMBER($AG$86),$AG$81,IF(ISNUMBER($AI$86),$AI$81,IF(ISNUMBER($AK$86),$AK$81,"")))),"")</f>
        <v>#VALUE!</v>
      </c>
      <c r="O10" s="197" t="e">
        <f>IF($L$39=$R$10,IF(ISNUMBER($AF$86),$AF$86,IF(ISNUMBER($AH$86),$AH$86,IF(ISNUMBER($AJ$86),$AJ$86,IF(ISNUMBER($AL$86),$AL$86,"")))),"")</f>
        <v>#VALUE!</v>
      </c>
      <c r="P10" s="195" t="e">
        <f>IF($L$39=$R$10,IF(ISNUMBER($AF$86),$AF$81,IF(ISNUMBER($AH$86),$AH$81,IF(ISNUMBER($AJ$86),$AJ$81,IF(ISNUMBER($AL$86),$AL$81,"")))),"")</f>
        <v>#VALUE!</v>
      </c>
      <c r="Q10" s="63" t="e">
        <f>IF(AND($L$39=$R$10,ISNUMBER($I$10),ISNUMBER($J$10)),VLOOKUP(MAX($AE$78:$AL$78),$AV$57:$AZ$60,IF(ISNUMBER($AE$78),$AE$53,IF(ISNUMBER($AG$78),$AG$53,IF(ISNUMBER($AI$78),$AI$53,$AK$53)))+1,FALSE),"")</f>
        <v>#VALUE!</v>
      </c>
      <c r="R10" s="63" t="e">
        <f>'SHL Section'!$N$9</f>
        <v>#VALUE!</v>
      </c>
      <c r="S10" s="63">
        <f>'SHL Section'!$O$9</f>
        <v>0</v>
      </c>
      <c r="T10" s="63" t="str">
        <f>'SHL Section'!$P$9</f>
        <v>S</v>
      </c>
      <c r="U10" s="63">
        <f>'SHL Section'!$Q$9</f>
        <v>0</v>
      </c>
      <c r="V10" s="63" t="str">
        <f>'SHL Section'!$R$9</f>
        <v>W</v>
      </c>
      <c r="W10" s="123" t="str">
        <f>'SHL Section'!$S$9</f>
        <v>Uintah</v>
      </c>
      <c r="Y10" s="133" t="str">
        <f>IF(ISNUMBER($K$10),IF('SHL Section'!$AR$7=1,(($K$5-$K$10)*COS(RADIANS($Z$7))-($L$5-$L$10)*SIN(RADIANS($Z$7)))+'SHL Section'!$AJ$9,($K$5-$K$10+'SHL Section'!$AJ$9)*COS(RADIANS($Z$7))-($L$5-$L$10+'SHL Section'!$AL$9)*SIN(RADIANS($Z$7))),"")</f>
        <v/>
      </c>
      <c r="Z10" s="63">
        <f>'SHL Section'!$AK$9</f>
        <v>2</v>
      </c>
      <c r="AA10" s="64" t="str">
        <f>IF(ISNUMBER($L$10),IF('SHL Section'!$AR$7=1,($L$5-$L$10)*COS(RADIANS($Z$7))+($K$5-$K$10)*SIN(RADIANS($Z$7))+'SHL Section'!$AL$9,($L$5-$L$10+'SHL Section'!$AL$9)*COS(RADIANS($Z$7))+($K$5-$K$10+'SHL Section'!$AJ$9)*SIN(RADIANS($Z$7))),"")</f>
        <v/>
      </c>
      <c r="AB10" s="123">
        <f>'SHL Section'!$AM$9</f>
        <v>2</v>
      </c>
    </row>
    <row r="11" spans="2:79" ht="15" customHeight="1" thickBot="1" x14ac:dyDescent="0.3">
      <c r="C11" s="940" t="s">
        <v>241</v>
      </c>
      <c r="D11" s="941"/>
      <c r="E11" s="73">
        <f>'SHL Section'!$E$10</f>
        <v>0</v>
      </c>
      <c r="F11" s="66" t="str">
        <f>IF('SHL Section'!$AK$10=1,"N","S")</f>
        <v>S</v>
      </c>
      <c r="G11" s="67">
        <f>'SHL Section'!$G$10</f>
        <v>0</v>
      </c>
      <c r="H11" s="66" t="str">
        <f>IF('SHL Section'!$AM$10=1,"E","W")</f>
        <v>W</v>
      </c>
      <c r="I11" s="246" t="e">
        <f>IF($L$39=$R$11,'Lat-Long &amp; Grid Calc SHL'!$I$11,"")</f>
        <v>#VALUE!</v>
      </c>
      <c r="J11" s="246" t="e">
        <f>IF($L$39=$R$11,'Lat-Long &amp; Grid Calc SHL'!$J$11,"")</f>
        <v>#VALUE!</v>
      </c>
      <c r="K11" s="73" t="e">
        <f>IF($L$39=$R$11,'Lat-Long &amp; Grid Calc SHL'!$K$11,"")</f>
        <v>#VALUE!</v>
      </c>
      <c r="L11" s="73" t="e">
        <f>IF($L$39=$R$11,'Lat-Long &amp; Grid Calc SHL'!$L$11,"")</f>
        <v>#VALUE!</v>
      </c>
      <c r="M11" s="198" t="e">
        <f>IF($L$39=$R$11,IF(ISNUMBER($AE$97),$AE$97,IF(ISNUMBER($AG$97),$AG$97,IF(ISNUMBER($AI$97),$AI$97,IF(ISNUMBER($AK$97),$AK$97,"")))),"")</f>
        <v>#VALUE!</v>
      </c>
      <c r="N11" s="199" t="e">
        <f>IF($L$39=$R$11,IF(ISNUMBER($AE$97),$AE$92,IF(ISNUMBER($AG$97),$AG$92,IF(ISNUMBER($AI$97),$AI$92,IF(ISNUMBER($AK$97),$AK$92,"")))),"")</f>
        <v>#VALUE!</v>
      </c>
      <c r="O11" s="200" t="e">
        <f>IF($L$39=$R$11,IF(ISNUMBER($AF$97),$AF$97,IF(ISNUMBER($AH$97),$AH$97,IF(ISNUMBER($AJ$97),$AJ$97,IF(ISNUMBER($AL$97),$AL$97,"")))),"")</f>
        <v>#VALUE!</v>
      </c>
      <c r="P11" s="201" t="e">
        <f>IF($L$39=$R$11,IF(ISNUMBER($AF$97),$AF$92,IF(ISNUMBER($AH$97),$AH$92,IF(ISNUMBER($AJ$97),$AJ$92,IF(ISNUMBER($AL$97),$AL$92,"")))),"")</f>
        <v>#VALUE!</v>
      </c>
      <c r="Q11" s="66" t="e">
        <f>IF(AND($L$39=$R$11,ISNUMBER($I$11),ISNUMBER($J$11)),VLOOKUP(MAX($AE$89:$AL$89),$AV$57:$AZ$60,IF(ISNUMBER($AE$89),$AE$53,IF(ISNUMBER($AG$89),$AG$53,IF(ISNUMBER($AI$89),$AI$53,$AK$53)))+1,FALSE),"")</f>
        <v>#VALUE!</v>
      </c>
      <c r="R11" s="66" t="e">
        <f>'SHL Section'!$N$10</f>
        <v>#VALUE!</v>
      </c>
      <c r="S11" s="66">
        <f>'SHL Section'!$O$10</f>
        <v>0</v>
      </c>
      <c r="T11" s="66" t="str">
        <f>'SHL Section'!$P$10</f>
        <v>S</v>
      </c>
      <c r="U11" s="66">
        <f>'SHL Section'!$Q$10</f>
        <v>0</v>
      </c>
      <c r="V11" s="66" t="str">
        <f>'SHL Section'!$R$10</f>
        <v>W</v>
      </c>
      <c r="W11" s="124" t="str">
        <f>'SHL Section'!$S$10</f>
        <v>Uintah</v>
      </c>
      <c r="Y11" s="135" t="str">
        <f>IF(ISNUMBER($K$11),IF('SHL Section'!$AR$7=1,(($K$5-$K$11)*COS(RADIANS($Z$7))-($L$5-$L$11)*SIN(RADIANS($Z$7)))+'SHL Section'!$AJ$10,($K$5-$K$11+'SHL Section'!$AJ$10)*COS(RADIANS($Z$7))-($L$5-$L$11+'SHL Section'!$AL$10)*SIN(RADIANS($Z$7))),"")</f>
        <v/>
      </c>
      <c r="Z11" s="66">
        <f>'SHL Section'!$AK$10</f>
        <v>2</v>
      </c>
      <c r="AA11" s="67" t="str">
        <f>IF(ISNUMBER($L$11),IF('SHL Section'!$AR$7=1,($L$5-$L$11)*COS(RADIANS($Z$7))+($K$5-$K$11)*SIN(RADIANS($Z$7))+'SHL Section'!$AL$10,($L$5-$L$11+'SHL Section'!$AL$10)*COS(RADIANS($Z$7))+($K$5-$K$11+'SHL Section'!$AJ$10)*SIN(RADIANS($Z$7))),"")</f>
        <v/>
      </c>
      <c r="AB11" s="124">
        <f>'SHL Section'!$AM$10</f>
        <v>2</v>
      </c>
    </row>
    <row r="12" spans="2:79" x14ac:dyDescent="0.25">
      <c r="G12" s="51"/>
      <c r="H12" s="54"/>
      <c r="I12" s="54"/>
      <c r="J12" s="54"/>
      <c r="K12" s="54"/>
      <c r="L12" s="54"/>
      <c r="M12" s="54"/>
      <c r="N12" s="54"/>
      <c r="O12" s="103"/>
      <c r="P12" s="19"/>
      <c r="Q12" s="19"/>
      <c r="R12" s="19"/>
      <c r="S12" s="54"/>
    </row>
    <row r="13" spans="2:79" x14ac:dyDescent="0.25">
      <c r="B13" s="69" t="s">
        <v>302</v>
      </c>
      <c r="C13" s="55"/>
      <c r="D13" s="55"/>
      <c r="E13" s="55"/>
      <c r="F13" s="55"/>
      <c r="G13" s="55"/>
      <c r="H13" s="55"/>
      <c r="I13" s="55"/>
      <c r="K13" s="975" t="s">
        <v>301</v>
      </c>
      <c r="L13" s="859"/>
      <c r="M13" s="859"/>
      <c r="N13" s="911"/>
      <c r="O13" s="746"/>
      <c r="P13" s="54"/>
      <c r="Q13" s="171" t="s">
        <v>193</v>
      </c>
      <c r="R13" s="172"/>
      <c r="S13" s="172"/>
      <c r="T13" s="173"/>
      <c r="Y13" s="970" t="s">
        <v>399</v>
      </c>
      <c r="Z13" s="963"/>
      <c r="AA13" s="963"/>
      <c r="AB13" s="964"/>
      <c r="AC13" s="54"/>
      <c r="AD13" s="54"/>
      <c r="AE13" s="54"/>
      <c r="AF13" s="54"/>
    </row>
    <row r="14" spans="2:79" x14ac:dyDescent="0.25">
      <c r="B14" s="92" t="s">
        <v>303</v>
      </c>
      <c r="C14" s="93"/>
      <c r="D14" s="93"/>
      <c r="E14" s="93"/>
      <c r="F14" s="93"/>
      <c r="G14" s="93"/>
      <c r="H14" s="93"/>
      <c r="I14" s="93"/>
      <c r="K14" s="140" t="s">
        <v>256</v>
      </c>
      <c r="L14" s="141"/>
      <c r="M14" s="142"/>
      <c r="N14" s="203">
        <f>'SHL Section'!$Q$13</f>
        <v>1</v>
      </c>
      <c r="O14" s="746"/>
      <c r="P14" s="54"/>
      <c r="Q14" s="175"/>
      <c r="R14" s="54" t="s">
        <v>200</v>
      </c>
      <c r="S14" s="976">
        <f>Q14+Q15/60+Q16/3600</f>
        <v>0</v>
      </c>
      <c r="T14" s="911"/>
      <c r="U14" s="54"/>
      <c r="Y14" s="177"/>
      <c r="Z14" s="740" t="s">
        <v>400</v>
      </c>
      <c r="AA14" s="740" t="s">
        <v>401</v>
      </c>
      <c r="AB14" s="236" t="s">
        <v>402</v>
      </c>
      <c r="AC14" s="180"/>
      <c r="AD14" s="180"/>
      <c r="AE14" s="54"/>
      <c r="AF14" s="54"/>
    </row>
    <row r="15" spans="2:79" x14ac:dyDescent="0.25">
      <c r="B15" s="182"/>
      <c r="K15" s="237" t="s">
        <v>403</v>
      </c>
      <c r="L15" s="238"/>
      <c r="M15" s="822">
        <f>'SHL Section'!$AT$5</f>
        <v>71.424513434487508</v>
      </c>
      <c r="N15" s="239" t="s">
        <v>404</v>
      </c>
      <c r="O15" s="54"/>
      <c r="P15" s="54"/>
      <c r="Q15" s="175"/>
      <c r="R15" s="54" t="s">
        <v>206</v>
      </c>
      <c r="S15" s="54"/>
      <c r="T15" s="174"/>
      <c r="U15" s="54"/>
      <c r="Y15" s="178" t="s">
        <v>405</v>
      </c>
      <c r="Z15" s="125"/>
      <c r="AA15" s="823"/>
      <c r="AB15" s="824"/>
    </row>
    <row r="16" spans="2:79" x14ac:dyDescent="0.25">
      <c r="P16" s="54"/>
      <c r="Q16" s="176"/>
      <c r="R16" s="129" t="s">
        <v>208</v>
      </c>
      <c r="S16" s="129"/>
      <c r="T16" s="130"/>
      <c r="U16" s="54"/>
      <c r="Y16" s="178" t="s">
        <v>406</v>
      </c>
      <c r="Z16" s="125"/>
      <c r="AA16" s="825"/>
      <c r="AB16" s="826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"/>
    </row>
    <row r="17" spans="1:80" s="1" customFormat="1" x14ac:dyDescent="0.25">
      <c r="Y17" s="179" t="s">
        <v>407</v>
      </c>
      <c r="Z17" s="126"/>
      <c r="AA17" s="827" t="e">
        <f>AA$15+(AA$16-AA$15)/($Z$16-$Z$15)*($Z$17-$Z$15)</f>
        <v>#DIV/0!</v>
      </c>
      <c r="AB17" s="828" t="e">
        <f>AB$15+(AB$16-AB$15)/($Z$16-$Z$15)*($Z$17-$Z$15)</f>
        <v>#DIV/0!</v>
      </c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</row>
    <row r="18" spans="1:80" s="1" customFormat="1" x14ac:dyDescent="0.25">
      <c r="B18" s="43"/>
      <c r="E18" s="44" t="e">
        <f>IF($L$39='SHL Section'!$L$38,'SHL Section'!$E$18,IF($L$39='BHL Section 1'!$L$38,'BHL Section 1'!$E$17,IF($L$39='BHL Section 2'!$L$38,'BHL Section 2'!$E$17,IF($L$39='BHL Section 3'!$L$38,'BHL Section 3'!$E$17,$E$19))))</f>
        <v>#VALUE!</v>
      </c>
      <c r="F18" s="156"/>
      <c r="G18" s="156"/>
      <c r="H18" s="156"/>
      <c r="I18" s="156"/>
      <c r="J18" s="156"/>
      <c r="K18" s="44" t="e">
        <f>IF($L$39='SHL Section'!$L$38,'SHL Section'!$K$18,IF($L$39='BHL Section 1'!$L$38,'BHL Section 1'!$K$17,IF($L$39='BHL Section 2'!$L$38,'BHL Section 2'!$K$17,IF($L$39='BHL Section 3'!$L$38,'BHL Section 3'!$K$17,$K$19))))</f>
        <v>#VALUE!</v>
      </c>
      <c r="L18" s="156"/>
      <c r="M18" s="156"/>
      <c r="N18" s="156"/>
      <c r="O18" s="44" t="e">
        <f>IF($L$39='SHL Section'!$L$38,'SHL Section'!$O$18,IF($L$39='BHL Section 1'!$L$38,'BHL Section 1'!$O$17,IF($L$39='BHL Section 2'!$L$38,'BHL Section 2'!$O$17,IF($L$39='BHL Section 3'!$L$38,'BHL Section 3'!$O$17,$O$19))))</f>
        <v>#VALUE!</v>
      </c>
      <c r="P18" s="156"/>
      <c r="Q18" s="156"/>
      <c r="R18" s="156"/>
      <c r="S18" s="156"/>
      <c r="T18" s="156"/>
      <c r="U18" s="44" t="e">
        <f>IF($L$39='SHL Section'!$L$38,'SHL Section'!$V$18,IF($L$39='BHL Section 1'!$L$38,'BHL Section 1'!$V$17,IF($L$39='BHL Section 2'!$L$38,'BHL Section 2'!$V$17,IF($L$39='BHL Section 3'!$L$38,'BHL Section 3'!$U$17,$U$19))))</f>
        <v>#VALUE!</v>
      </c>
      <c r="Y18" s="5"/>
      <c r="Z18" s="5"/>
      <c r="AA18" s="5"/>
      <c r="AB18" s="5"/>
      <c r="AE18" s="18"/>
      <c r="AF18" s="18"/>
      <c r="AG18" s="18"/>
      <c r="AH18" s="18"/>
      <c r="AI18" s="18"/>
      <c r="AJ18" s="18"/>
      <c r="AK18" s="18"/>
      <c r="AL18" s="18"/>
      <c r="AM18" s="18"/>
      <c r="AU18" s="38" t="s">
        <v>305</v>
      </c>
      <c r="AV18" s="939" t="s">
        <v>306</v>
      </c>
      <c r="AW18" s="882"/>
      <c r="AX18" s="939" t="s">
        <v>307</v>
      </c>
      <c r="AY18" s="882"/>
      <c r="AZ18" s="939" t="s">
        <v>308</v>
      </c>
      <c r="BA18" s="882"/>
      <c r="BB18" s="939" t="s">
        <v>309</v>
      </c>
      <c r="BC18" s="882"/>
      <c r="BD18" s="939" t="s">
        <v>310</v>
      </c>
      <c r="BE18" s="882"/>
      <c r="BF18" s="939" t="s">
        <v>311</v>
      </c>
      <c r="BG18" s="882"/>
      <c r="BH18" s="939" t="s">
        <v>312</v>
      </c>
      <c r="BI18" s="882"/>
      <c r="BJ18" s="939" t="s">
        <v>313</v>
      </c>
      <c r="BK18" s="882"/>
      <c r="BL18" s="939" t="s">
        <v>314</v>
      </c>
      <c r="BM18" s="882"/>
      <c r="BN18" s="939" t="s">
        <v>315</v>
      </c>
      <c r="BO18" s="882"/>
      <c r="BP18" s="939" t="s">
        <v>316</v>
      </c>
      <c r="BQ18" s="882"/>
      <c r="BR18" s="939" t="s">
        <v>317</v>
      </c>
      <c r="BS18" s="882"/>
      <c r="BT18" s="939" t="s">
        <v>318</v>
      </c>
      <c r="BU18" s="882"/>
      <c r="BV18" s="939" t="s">
        <v>319</v>
      </c>
      <c r="BW18" s="882"/>
      <c r="BX18" s="939" t="s">
        <v>320</v>
      </c>
      <c r="BY18" s="882"/>
      <c r="BZ18" s="939" t="s">
        <v>321</v>
      </c>
      <c r="CA18" s="882"/>
    </row>
    <row r="19" spans="1:80" x14ac:dyDescent="0.25">
      <c r="B19" s="26"/>
      <c r="C19" s="33"/>
      <c r="D19" s="17" t="s">
        <v>118</v>
      </c>
      <c r="E19" s="110"/>
      <c r="F19" s="33"/>
      <c r="G19" s="33"/>
      <c r="H19" s="33"/>
      <c r="I19" s="33"/>
      <c r="J19" s="17" t="s">
        <v>118</v>
      </c>
      <c r="K19" s="113"/>
      <c r="N19" s="17" t="s">
        <v>118</v>
      </c>
      <c r="O19" s="110"/>
      <c r="T19" s="17" t="s">
        <v>118</v>
      </c>
      <c r="U19" s="110"/>
      <c r="AA19" s="5"/>
      <c r="AB19" s="5"/>
      <c r="AC19" s="1"/>
      <c r="AD19" s="1"/>
      <c r="AE19" s="18"/>
      <c r="AF19" s="18"/>
      <c r="AG19" s="18"/>
      <c r="AH19" s="18"/>
      <c r="AI19" s="18"/>
      <c r="AJ19" s="18"/>
      <c r="AK19" s="18"/>
      <c r="AL19" s="18"/>
      <c r="AM19" s="18"/>
      <c r="AN19" s="1"/>
      <c r="AO19" s="1"/>
      <c r="AP19" s="1"/>
      <c r="AQ19" s="1"/>
      <c r="AR19" s="1"/>
      <c r="AS19" s="1"/>
      <c r="AT19" s="1"/>
      <c r="AU19" s="38" t="s">
        <v>330</v>
      </c>
      <c r="AV19" s="760" t="s">
        <v>113</v>
      </c>
      <c r="AW19" s="761" t="s">
        <v>114</v>
      </c>
      <c r="AX19" s="760" t="s">
        <v>113</v>
      </c>
      <c r="AY19" s="761" t="s">
        <v>114</v>
      </c>
      <c r="AZ19" s="760" t="s">
        <v>113</v>
      </c>
      <c r="BA19" s="761" t="s">
        <v>114</v>
      </c>
      <c r="BB19" s="760" t="s">
        <v>113</v>
      </c>
      <c r="BC19" s="761" t="s">
        <v>114</v>
      </c>
      <c r="BD19" s="760" t="s">
        <v>113</v>
      </c>
      <c r="BE19" s="761" t="s">
        <v>114</v>
      </c>
      <c r="BF19" s="760" t="s">
        <v>113</v>
      </c>
      <c r="BG19" s="761" t="s">
        <v>114</v>
      </c>
      <c r="BH19" s="760" t="s">
        <v>113</v>
      </c>
      <c r="BI19" s="761" t="s">
        <v>114</v>
      </c>
      <c r="BJ19" s="760" t="s">
        <v>113</v>
      </c>
      <c r="BK19" s="761" t="s">
        <v>114</v>
      </c>
      <c r="BL19" s="760" t="s">
        <v>113</v>
      </c>
      <c r="BM19" s="761" t="s">
        <v>114</v>
      </c>
      <c r="BN19" s="760" t="s">
        <v>113</v>
      </c>
      <c r="BO19" s="761" t="s">
        <v>114</v>
      </c>
      <c r="BP19" s="760" t="s">
        <v>113</v>
      </c>
      <c r="BQ19" s="761" t="s">
        <v>114</v>
      </c>
      <c r="BR19" s="760" t="s">
        <v>113</v>
      </c>
      <c r="BS19" s="761" t="s">
        <v>114</v>
      </c>
      <c r="BT19" s="760" t="s">
        <v>113</v>
      </c>
      <c r="BU19" s="761" t="s">
        <v>114</v>
      </c>
      <c r="BV19" s="760" t="s">
        <v>113</v>
      </c>
      <c r="BW19" s="761" t="s">
        <v>114</v>
      </c>
      <c r="BX19" s="760" t="s">
        <v>113</v>
      </c>
      <c r="BY19" s="761" t="s">
        <v>114</v>
      </c>
      <c r="BZ19" s="760" t="s">
        <v>113</v>
      </c>
      <c r="CA19" s="761" t="s">
        <v>114</v>
      </c>
    </row>
    <row r="20" spans="1:80" ht="12" customHeight="1" x14ac:dyDescent="0.25">
      <c r="B20" s="26"/>
      <c r="C20" s="33"/>
      <c r="D20" s="17" t="s">
        <v>124</v>
      </c>
      <c r="E20" s="111"/>
      <c r="F20" s="33"/>
      <c r="G20" s="33"/>
      <c r="H20" s="33"/>
      <c r="I20" s="33"/>
      <c r="J20" s="17" t="s">
        <v>124</v>
      </c>
      <c r="K20" s="114"/>
      <c r="N20" s="17" t="s">
        <v>124</v>
      </c>
      <c r="O20" s="111"/>
      <c r="R20" s="34"/>
      <c r="T20" s="17" t="s">
        <v>124</v>
      </c>
      <c r="U20" s="111"/>
      <c r="AA20" s="5"/>
      <c r="AB20" s="5"/>
      <c r="AC20" s="1"/>
      <c r="AD20" s="1"/>
      <c r="AE20" s="18"/>
      <c r="AF20" s="18"/>
      <c r="AG20" s="18"/>
      <c r="AH20" s="18"/>
      <c r="AI20" s="18"/>
      <c r="AJ20" s="18"/>
      <c r="AK20" s="18"/>
      <c r="AL20" s="18"/>
      <c r="AM20" s="18"/>
      <c r="AN20" s="1"/>
      <c r="AO20" s="1"/>
      <c r="AP20" s="1"/>
      <c r="AQ20" s="1"/>
      <c r="AR20" s="1"/>
      <c r="AS20" s="1"/>
      <c r="AT20" s="1"/>
      <c r="AU20" s="38"/>
      <c r="AV20" s="807" t="e">
        <f>IF(AND($U$18&gt;0,$O$18&gt;0),$U$18*SIN(RADIANS(90-$U$24)),IF(AND($U$18=0,$O$18&gt;0),$O$18/2*SIN(RADIANS(90-$O$24)),IF(AND($U$18&gt;0,$O$18=0),$U$18/2*SIN(RADIANS(90-$U$24)),IF(AND($U$18=0,$O$18=0,$K$18=0),$E$18/4*SIN(RADIANS(90-$E$24)),$K$18/4*SIN(RADIANS(90-$K$24))))))</f>
        <v>#VALUE!</v>
      </c>
      <c r="AW20" s="808" t="e">
        <f>IF(AND($U$18&gt;0,$O$18&gt;0),$U$18*COS(RADIANS(90-$U$24)),IF(AND($U$18=0,$O$18&gt;0),$O$18/2*COS(RADIANS(90-$O$24)),IF(AND($U$18&gt;0,$O$18=0),$U$18/2*COS(RADIANS(90-$U$24)),IF(AND($U$18=0,$O$18=0,$K$18=0),$E$18/4*COS(RADIANS(90-$E$24)),$K$18/4*COS(RADIANS(90-$K$24))))))</f>
        <v>#VALUE!</v>
      </c>
      <c r="AX20" s="807" t="e">
        <f>IF(AND($U$18&gt;0,$O$18&gt;0),$O$18*SIN(RADIANS(90-$O$24)),IF(AND($U$18=0,$O$18&gt;0),$O$18/2*SIN(RADIANS(90-$O$24)),IF(AND($U$18&gt;0,$O$18=0),$U$18/2*SIN(RADIANS(90-$U$24)),IF(AND($U$18=0,$O$18=0,$K$18=0),$E$18/4*SIN(RADIANS(90-$E$24)),$K$18/4*SIN(RADIANS(90-$K$24))))))</f>
        <v>#VALUE!</v>
      </c>
      <c r="AY20" s="808" t="e">
        <f>IF(AND($U$18&gt;0,$O$18&gt;0),$O$18*COS(RADIANS(90-$O$24)),IF(AND($U$18=0,$O$18&gt;0),$O$18/2*COS(RADIANS(90-$O$24)),IF(AND($U$18&gt;0,$O$18=0),$U$18/2*COS(RADIANS(90-$U$24)),IF(AND($U$18=0,$O$18=0,$K$18=0),$E$18/4*COS(RADIANS(90-$E$24)),$K$18/4*COS(RADIANS(90-$K$24))))))</f>
        <v>#VALUE!</v>
      </c>
      <c r="AZ20" s="807" t="e">
        <f>IF(AND($K$18&gt;0,$E$18&gt;0,OR($O$18&gt;0,$U$18&gt;0)),$K$18*SIN(RADIANS(90-$K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A20" s="808" t="e">
        <f>IF(AND($K$18&gt;0,$E$18&gt;0,OR($O$18&gt;0,$U$18&gt;0)),$K$18*COS(RADIANS(90-$K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B20" s="807" t="e">
        <f>IF(AND($K$18&gt;0,$E$18&gt;0,OR($O$18&gt;0,$U$18&gt;0)),$E$18*SIN(RADIANS(90-$E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C20" s="809" t="e">
        <f>IF(AND($K$18&gt;0,$E$18&gt;0,OR($O$18&gt;0,$U$18&gt;0)),$E$18*COS(RADIANS(90-$E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D20" s="807" t="e">
        <f>IF(AND($B$33&gt;0,$B$25&gt;0,OR($B$42&gt;0,$B$50&gt;0)),$B$25*COS(RADIANS(180-$B$31)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E20" s="808" t="e">
        <f>IF(AND($B$33&gt;0,$B$25&gt;0,OR($B$42&gt;0,$B$50&gt;0)),$B$25*-SIN(RADIANS(180-$B$31)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F20" s="807" t="e">
        <f>IF(AND($B$33&gt;0,$B$25&gt;0,OR($B$42&gt;0,$B$50&gt;0)),$B$33*COS(RADIANS(180-$B$39)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G20" s="808" t="e">
        <f>IF(AND($B$33&gt;0,$B$25&gt;0,OR($B$42&gt;0,$B$50&gt;0)),$B$33*-SIN(RADIANS(180-$B$39)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H20" s="807" t="e">
        <f>IF(AND($B$50&gt;0,$B$42&gt;0),$B$42*COS(RADIANS(180-$B$48)),IF(AND($B$50=0,$B$42&gt;0),$B$42/2*COS(RADIANS(180-$B$48)),IF(AND($B$50&gt;0,$B$42=0),$B$50/2*COS(RADIANS(180-$B$56)),IF(AND($B$50=0,$B$42=0,$B$33=0),$B$25/4*COS(RADIANS(180-$B$31)),$B$33/4*COS(RADIANS(180-$B$39))))))</f>
        <v>#VALUE!</v>
      </c>
      <c r="BI20" s="808" t="e">
        <f>IF(AND($B$50&gt;0,$B$42&gt;0),$B$42*-SIN(RADIANS(180-$B$48)),IF(AND($B$50=0,$B$42&gt;0),$B$42/2*-SIN(RADIANS(180-$B$48)),IF(AND($B$50&gt;0,$B$42=0),$B$50/2*-SIN(RADIANS(180-$B$56)),IF(AND($B$50=0,$B$42=0,$B$33=0),$B$25/4*-SIN(RADIANS(180-$B$31)),$B$33/4*-SIN(RADIANS(180-$B$39))))))</f>
        <v>#VALUE!</v>
      </c>
      <c r="BJ20" s="807" t="e">
        <f>IF(AND($B$50&gt;0,$B$42&gt;0),$B$50*COS(RADIANS(180-$B$56)),IF(AND($B$50=0,$B$42&gt;0),$B$42/2*COS(RADIANS(180-$B$48)),IF(AND($B$50&gt;0,$B$42=0),$B$50/2*COS(RADIANS(180-$B$56)),IF(AND($B$50=0,$B$42=0,$B$33=0),$B$25/4*COS(RADIANS(180-$B$31)),$B$33/4*COS(RADIANS(180-$B$39))))))</f>
        <v>#VALUE!</v>
      </c>
      <c r="BK20" s="808" t="e">
        <f>IF(AND($B$50&gt;0,$B$42&gt;0),$B$50*-SIN(RADIANS(180-$B$56)),IF(AND($B$50=0,$B$42&gt;0),$B$42/2*-SIN(RADIANS(180-$B$48)),IF(AND($B$50&gt;0,$B$42=0),$B$50/2*-SIN(RADIANS(180-$B$56)),IF(AND($B$50=0,$B$42=0,$B$33=0),$B$25/4*-SIN(RADIANS(180-$B$31)),$B$33/4*-SIN(RADIANS(180-$B$39))))))</f>
        <v>#VALUE!</v>
      </c>
      <c r="BL20" s="807" t="e">
        <f>IF(AND($K$63&gt;0,$E$63&gt;0,OR($O$63&gt;0,$U$63&gt;0)),$E$63*SIN(RADIANS(90-$E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M20" s="809" t="e">
        <f>IF(AND($K$63&gt;0,$E$63&gt;0,OR($O$63&gt;0,$U$63&gt;0)),$E$63*COS(RADIANS(90-$E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N20" s="807" t="e">
        <f>IF(AND($K$63&gt;0,$E$63&gt;0,OR($O$63&gt;0,$U$63&gt;0)),$K$63*SIN(RADIANS(90-$K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O20" s="808" t="e">
        <f>IF(AND($K$63&gt;0,$E$63&gt;0,OR($O$63&gt;0,$U$63&gt;0)),$K$63*COS(RADIANS(90-$K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P20" s="807" t="e">
        <f>IF(AND($U$63&gt;0,$O$63&gt;0),$O$63*SIN(RADIANS(90-$O$62)),IF(AND($U$63=0,$O$63&gt;0),$O$63/2*SIN(RADIANS(90-$O$62)),IF(AND($U$63&gt;0,$O$63=0),$U$63/2*SIN(RADIANS(90-$U$62)),IF(AND($U$63=0,$O$63=0,$K$63=0),$E$63/4*SIN(RADIANS(90-$E$62)),$K$63/4*SIN(RADIANS(90-$K$62))))))</f>
        <v>#VALUE!</v>
      </c>
      <c r="BQ20" s="808" t="e">
        <f>IF(AND($U$63&gt;0,$O$63&gt;0),$O$63*COS(RADIANS(90-$O$62)),IF(AND($U$63=0,$O$63&gt;0),$O$63/2*COS(RADIANS(90-$O$62)),IF(AND($U$63&gt;0,$O$63=0),$U$63/2*COS(RADIANS(90-$U$62)),IF(AND($U$63=0,$O$63=0,$K$63=0),$E$63/4*COS(RADIANS(90-$E$62)),$K$63/4*COS(RADIANS(90-$K$62))))))</f>
        <v>#VALUE!</v>
      </c>
      <c r="BR20" s="807" t="e">
        <f>IF(AND($U$63&gt;0,$O$63&gt;0),$U$63*SIN(RADIANS(90-$U$62)),IF(AND($U$63=0,$O$63&gt;0),$O$63/2*SIN(RADIANS(90-$O$62)),IF(AND($U$63&gt;0,$O$63=0),$U$63/2*SIN(RADIANS(90-$U$62)),IF(AND($U$63=0,$O$63=0,$K$63=0),$E$63/4*SIN(RADIANS(90-$E$62)),$K$63/4*SIN(RADIANS(90-$K$62))))))</f>
        <v>#VALUE!</v>
      </c>
      <c r="BS20" s="808" t="e">
        <f>IF(AND($U$63&gt;0,$O$63&gt;0),$U$63*COS(RADIANS(90-$U$62)),IF(AND($U$63=0,$O$63&gt;0),$O$63/2*COS(RADIANS(90-$O$62)),IF(AND($U$63&gt;0,$O$63=0),$U$63/2*COS(RADIANS(90-$U$62)),IF(AND($U$63=0,$O$63=0,$K$63=0),$E$63/4*COS(RADIANS(90-$E$62)),$K$63/4*COS(RADIANS(90-$K$62))))))</f>
        <v>#VALUE!</v>
      </c>
      <c r="BT20" s="807" t="e">
        <f>IF(AND($W$50&gt;0,$W$42&gt;0),$W$50*COS(RADIANS(180-$W$56)),IF(AND($W$50=0,$W$42&gt;0),$W$42/2*COS(RADIANS(180-$W$48)),IF(AND($W$50&gt;0,$W$42=0),$W$50/2*COS(RADIANS(180-$W$56)),IF(AND($W$50=0,$W$42=0,$W$33=0),$W$25/4*COS(RADIANS(180-$W$31)),$W$33/4*COS(RADIANS(180-$W$39))))))</f>
        <v>#VALUE!</v>
      </c>
      <c r="BU20" s="808" t="e">
        <f>IF(AND($W$50&gt;0,$W$42&gt;0),$W$50*-SIN(RADIANS(180-$W$56)),IF(AND($W$50=0,$W$42&gt;0),$W$42/2*-SIN(RADIANS(180-$W$48)),IF(AND($W$50&gt;0,$W$42=0),$W$50/2*-SIN(RADIANS(180-$W$56)),IF(AND($W$50=0,$W$42=0,$W$33=0),$W$25/4*-SIN(RADIANS(180-$W$31)),$W$33/4*-SIN(RADIANS(180-$W$39))))))</f>
        <v>#VALUE!</v>
      </c>
      <c r="BV20" s="807" t="e">
        <f>IF(AND($W$50&gt;0,$W$42&gt;0),$W$42*COS(RADIANS(180-$W$48)),IF(AND($W$50=0,$W$42&gt;0),$W$42/2*COS(RADIANS(180-$W$48)),IF(AND($W$50&gt;0,$W$42=0),$W$50/2*COS(RADIANS(180-$W$56)),IF(AND($W$50=0,$W$42=0,$W$33=0),$W$25/4*COS(RADIANS(180-$W$31)),$W$33/4*COS(RADIANS(180-$W$39))))))</f>
        <v>#VALUE!</v>
      </c>
      <c r="BW20" s="808" t="e">
        <f>IF(AND($W$50&gt;0,$W$42&gt;0),$W$42*-SIN(RADIANS(180-$W$48)),IF(AND($W$50=0,$W$42&gt;0),$W$42/2*-SIN(RADIANS(180-$W$48)),IF(AND($W$50&gt;0,$W$42=0),$W$50/2*-SIN(RADIANS(180-$W$56)),IF(AND($W$50=0,$W$42=0,$W$33=0),$W$25/4*-SIN(RADIANS(180-$W$31)),$W$33/4*-SIN(RADIANS(180-$W$39))))))</f>
        <v>#VALUE!</v>
      </c>
      <c r="BX20" s="807" t="e">
        <f>IF(AND($W$33&gt;0,$W$25&gt;0,OR($W$42&gt;0,$W$50&gt;0)),$W$33*COS(RADIANS(180-$W$39)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BY20" s="808" t="e">
        <f>IF(AND($W$33&gt;0,$W$25&gt;0,OR($W$42&gt;0,$W$50&gt;0)),$W$33*-SIN(RADIANS(180-$W$39)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  <c r="BZ20" s="807" t="e">
        <f>IF(AND($W$33&gt;0,$W$25&gt;0,OR($W$42&gt;0,$W$50&gt;0)),$W$25*COS(RADIANS(180-$W$31)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CA20" s="808" t="e">
        <f>IF(AND($W$33&gt;0,$W$25&gt;0,OR($W$42&gt;0,$W$50&gt;0)),$W$25*-SIN(RADIANS(180-$W$31)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</row>
    <row r="21" spans="1:80" ht="12" customHeight="1" x14ac:dyDescent="0.25">
      <c r="B21" s="26"/>
      <c r="C21" s="33"/>
      <c r="D21" s="17" t="s">
        <v>130</v>
      </c>
      <c r="E21" s="111"/>
      <c r="F21" s="33"/>
      <c r="G21" s="33"/>
      <c r="H21" s="33"/>
      <c r="I21" s="33"/>
      <c r="J21" s="17" t="s">
        <v>130</v>
      </c>
      <c r="K21" s="114"/>
      <c r="N21" s="17" t="s">
        <v>130</v>
      </c>
      <c r="O21" s="111"/>
      <c r="T21" s="17" t="s">
        <v>130</v>
      </c>
      <c r="U21" s="111"/>
      <c r="AA21" s="5"/>
      <c r="AB21" s="5"/>
      <c r="AC21" s="1"/>
      <c r="AD21" s="1"/>
      <c r="AE21" s="18"/>
      <c r="AF21" s="18"/>
      <c r="AG21" s="18"/>
      <c r="AH21" s="18"/>
      <c r="AI21" s="18"/>
      <c r="AJ21" s="18"/>
      <c r="AK21" s="18"/>
      <c r="AL21" s="18"/>
      <c r="AM21" s="18"/>
      <c r="AN21" s="1"/>
      <c r="AO21" s="1"/>
      <c r="AP21" s="1"/>
      <c r="AQ21" s="1"/>
      <c r="AR21" s="1"/>
      <c r="AS21" s="1"/>
      <c r="AT21" s="1"/>
      <c r="AU21" s="38" t="s">
        <v>333</v>
      </c>
      <c r="AV21" s="939" t="s">
        <v>334</v>
      </c>
      <c r="AW21" s="832"/>
      <c r="AX21" s="832"/>
      <c r="AY21" s="882"/>
      <c r="AZ21" s="939" t="s">
        <v>335</v>
      </c>
      <c r="BA21" s="832"/>
      <c r="BB21" s="832"/>
      <c r="BC21" s="882"/>
      <c r="BD21" s="939" t="s">
        <v>336</v>
      </c>
      <c r="BE21" s="832"/>
      <c r="BF21" s="832"/>
      <c r="BG21" s="882"/>
      <c r="BH21" s="939" t="s">
        <v>337</v>
      </c>
      <c r="BI21" s="832"/>
      <c r="BJ21" s="832"/>
      <c r="BK21" s="882"/>
      <c r="BL21" s="939" t="s">
        <v>338</v>
      </c>
      <c r="BM21" s="832"/>
      <c r="BN21" s="832"/>
      <c r="BO21" s="882"/>
      <c r="BP21" s="939" t="s">
        <v>339</v>
      </c>
      <c r="BQ21" s="832"/>
      <c r="BR21" s="832"/>
      <c r="BS21" s="882"/>
      <c r="BT21" s="939" t="s">
        <v>340</v>
      </c>
      <c r="BU21" s="832"/>
      <c r="BV21" s="832"/>
      <c r="BW21" s="882"/>
      <c r="BX21" s="939" t="s">
        <v>341</v>
      </c>
      <c r="BY21" s="832"/>
      <c r="BZ21" s="832"/>
      <c r="CA21" s="882"/>
    </row>
    <row r="22" spans="1:80" ht="12" customHeight="1" x14ac:dyDescent="0.25">
      <c r="D22" s="17" t="s">
        <v>134</v>
      </c>
      <c r="E22" s="111"/>
      <c r="J22" s="17" t="s">
        <v>134</v>
      </c>
      <c r="K22" s="114"/>
      <c r="N22" s="17" t="s">
        <v>134</v>
      </c>
      <c r="O22" s="111"/>
      <c r="T22" s="17" t="s">
        <v>134</v>
      </c>
      <c r="U22" s="111"/>
      <c r="AA22" s="5"/>
      <c r="AB22" s="5"/>
      <c r="AC22" s="5"/>
      <c r="AD22" s="5"/>
      <c r="AE22" s="5"/>
      <c r="AF22" s="5"/>
      <c r="AG22" s="18"/>
      <c r="AH22" s="18"/>
      <c r="AI22" s="18"/>
      <c r="AJ22" s="18"/>
      <c r="AK22" s="18"/>
      <c r="AL22" s="18"/>
      <c r="AM22" s="18"/>
      <c r="AN22" s="5"/>
      <c r="AO22" s="5"/>
      <c r="AP22" s="5"/>
      <c r="AQ22" s="5"/>
      <c r="AR22" s="5"/>
      <c r="AS22" s="5"/>
      <c r="AT22" s="5"/>
      <c r="AU22" s="38" t="s">
        <v>330</v>
      </c>
      <c r="AV22" s="37"/>
      <c r="AW22" s="760" t="s">
        <v>113</v>
      </c>
      <c r="AX22" s="761" t="s">
        <v>114</v>
      </c>
      <c r="AY22" s="36"/>
      <c r="AZ22" s="37"/>
      <c r="BA22" s="760" t="s">
        <v>113</v>
      </c>
      <c r="BB22" s="761" t="s">
        <v>114</v>
      </c>
      <c r="BC22" s="36"/>
      <c r="BD22" s="37"/>
      <c r="BE22" s="760" t="s">
        <v>113</v>
      </c>
      <c r="BF22" s="761" t="s">
        <v>114</v>
      </c>
      <c r="BG22" s="36"/>
      <c r="BH22" s="37"/>
      <c r="BI22" s="760" t="s">
        <v>113</v>
      </c>
      <c r="BJ22" s="761" t="s">
        <v>114</v>
      </c>
      <c r="BK22" s="36"/>
      <c r="BL22" s="37"/>
      <c r="BM22" s="760" t="s">
        <v>113</v>
      </c>
      <c r="BN22" s="761" t="s">
        <v>114</v>
      </c>
      <c r="BO22" s="36"/>
      <c r="BP22" s="37"/>
      <c r="BQ22" s="760" t="s">
        <v>113</v>
      </c>
      <c r="BR22" s="761" t="s">
        <v>114</v>
      </c>
      <c r="BS22" s="36"/>
      <c r="BT22" s="37"/>
      <c r="BU22" s="760" t="s">
        <v>113</v>
      </c>
      <c r="BV22" s="761" t="s">
        <v>114</v>
      </c>
      <c r="BW22" s="36"/>
      <c r="BX22" s="37"/>
      <c r="BY22" s="760" t="s">
        <v>113</v>
      </c>
      <c r="BZ22" s="761" t="s">
        <v>114</v>
      </c>
      <c r="CA22" s="36"/>
    </row>
    <row r="23" spans="1:80" ht="12" customHeight="1" x14ac:dyDescent="0.25">
      <c r="A23" s="1"/>
      <c r="B23" s="1"/>
      <c r="C23" s="1"/>
      <c r="D23" s="17" t="s">
        <v>140</v>
      </c>
      <c r="E23" s="112">
        <v>2</v>
      </c>
      <c r="F23" s="18"/>
      <c r="G23" s="18"/>
      <c r="H23" s="18"/>
      <c r="I23" s="18"/>
      <c r="J23" s="17" t="s">
        <v>140</v>
      </c>
      <c r="K23" s="112">
        <v>2</v>
      </c>
      <c r="L23" s="1"/>
      <c r="M23" s="1"/>
      <c r="N23" s="17" t="s">
        <v>140</v>
      </c>
      <c r="O23" s="112">
        <v>2</v>
      </c>
      <c r="P23" s="18"/>
      <c r="Q23" s="18"/>
      <c r="R23" s="18"/>
      <c r="S23" s="18"/>
      <c r="T23" s="17" t="s">
        <v>140</v>
      </c>
      <c r="U23" s="112">
        <v>2</v>
      </c>
      <c r="V23" s="1"/>
      <c r="W23" s="1"/>
      <c r="X23" s="1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38"/>
      <c r="AV23" s="37"/>
      <c r="AW23" s="811" t="e">
        <f>AV20+AX20</f>
        <v>#VALUE!</v>
      </c>
      <c r="AX23" s="812" t="e">
        <f>AW20+AY20</f>
        <v>#VALUE!</v>
      </c>
      <c r="AY23" s="36"/>
      <c r="AZ23" s="37"/>
      <c r="BA23" s="811" t="e">
        <f>AZ20+BB20</f>
        <v>#VALUE!</v>
      </c>
      <c r="BB23" s="812" t="e">
        <f>BA20+BC20</f>
        <v>#VALUE!</v>
      </c>
      <c r="BC23" s="36"/>
      <c r="BD23" s="37"/>
      <c r="BE23" s="811" t="e">
        <f>BD20+BF20</f>
        <v>#VALUE!</v>
      </c>
      <c r="BF23" s="812" t="e">
        <f>BE20+BG20</f>
        <v>#VALUE!</v>
      </c>
      <c r="BG23" s="36"/>
      <c r="BH23" s="37"/>
      <c r="BI23" s="811" t="e">
        <f>BH20+BJ20</f>
        <v>#VALUE!</v>
      </c>
      <c r="BJ23" s="812" t="e">
        <f>BI20+BK20</f>
        <v>#VALUE!</v>
      </c>
      <c r="BK23" s="36"/>
      <c r="BL23" s="37"/>
      <c r="BM23" s="811" t="e">
        <f>BL20+BN20</f>
        <v>#VALUE!</v>
      </c>
      <c r="BN23" s="812" t="e">
        <f>BM20+BO20</f>
        <v>#VALUE!</v>
      </c>
      <c r="BO23" s="36"/>
      <c r="BP23" s="37"/>
      <c r="BQ23" s="811" t="e">
        <f>BP20+BR20</f>
        <v>#VALUE!</v>
      </c>
      <c r="BR23" s="812" t="e">
        <f>BQ20+BS20</f>
        <v>#VALUE!</v>
      </c>
      <c r="BS23" s="36"/>
      <c r="BT23" s="37"/>
      <c r="BU23" s="811" t="e">
        <f>BT20+BV20</f>
        <v>#VALUE!</v>
      </c>
      <c r="BV23" s="812" t="e">
        <f>BU20+BW20</f>
        <v>#VALUE!</v>
      </c>
      <c r="BW23" s="36"/>
      <c r="BX23" s="37"/>
      <c r="BY23" s="811" t="e">
        <f>BX20+BZ20</f>
        <v>#VALUE!</v>
      </c>
      <c r="BZ23" s="812" t="e">
        <f>BY20+CA20</f>
        <v>#VALUE!</v>
      </c>
      <c r="CA23" s="36"/>
    </row>
    <row r="24" spans="1:80" ht="12" customHeight="1" thickBot="1" x14ac:dyDescent="0.3">
      <c r="B24" s="945" t="str">
        <f>CONCATENATE("NW SC of ",$L$39)</f>
        <v>NW SC of 29</v>
      </c>
      <c r="C24" s="904"/>
      <c r="D24" s="17" t="s">
        <v>144</v>
      </c>
      <c r="E24" s="34" t="e">
        <f>IF($L$39='SHL Section'!$L$38,IF('SHL Section'!$E$23="","",'SHL Section'!$E$23),IF($L$39='BHL Section 1'!$L$38,IF('BHL Section 1'!$E$23="","",'BHL Section 1'!$E$23),IF($L$39='BHL Section 2'!$L$38,IF('BHL Section 2'!$E$23="","",'BHL Section 2'!$E$23),IF($L$39='BHL Section 3'!$L$38,IF('BHL Section 3'!$E$23="","",'BHL Section 3'!$E$23),IF(E20="","",IF(OR(E23=1,E23=4),180-(E20+E21/60+E22/3600),(E20+E21/60+E22/3600)))))))</f>
        <v>#VALUE!</v>
      </c>
      <c r="J24" s="17" t="s">
        <v>144</v>
      </c>
      <c r="K24" s="34" t="e">
        <f>IF($L$39='SHL Section'!$L$38,IF('SHL Section'!$K$23="","",'SHL Section'!$K$23),IF($L$39='BHL Section 1'!$L$38,IF('BHL Section 1'!$K$23="","",'BHL Section 1'!$K$23),IF($L$39='BHL Section 2'!$L$38,IF('BHL Section 2'!$K$23="","",'BHL Section 2'!$K$23),IF($L$39='BHL Section 3'!$L$38,IF('BHL Section 3'!$K$23="","",'BHL Section 3'!$K$23),IF(K20="","",IF(OR(K23=1,K23=4),180-(K20+K21/60+K22/3600),(K20+K21/60+K22/3600)))))))</f>
        <v>#VALUE!</v>
      </c>
      <c r="L24" s="945" t="str">
        <f>CONCATENATE("N QC of ",$L$39)</f>
        <v>N QC of 29</v>
      </c>
      <c r="M24" s="904"/>
      <c r="N24" s="17" t="s">
        <v>144</v>
      </c>
      <c r="O24" s="34" t="e">
        <f>IF($L$39='SHL Section'!$L$38,IF('SHL Section'!$O$23="","",'SHL Section'!$O$23),IF($L$39='BHL Section 1'!$L$38,IF('BHL Section 1'!$O$23="","",'BHL Section 1'!$O$23),IF($L$39='BHL Section 2'!$L$38,IF('BHL Section 2'!$O$23="","",'BHL Section 2'!$O$23),IF($L$39='BHL Section 3'!$L$38,IF('BHL Section 3'!$O$23="","",'BHL Section 3'!$O$23),IF(O20="","",IF(OR(O23=1,O23=4),180-(O20+O21/60+O22/3600),(O20+O21/60+O22/3600)))))))</f>
        <v>#VALUE!</v>
      </c>
      <c r="T24" s="17" t="s">
        <v>144</v>
      </c>
      <c r="U24" s="34" t="e">
        <f>IF($L$39='SHL Section'!$L$38,IF('SHL Section'!$U$23="","",'SHL Section'!$U$23),IF($L$39='BHL Section 1'!$L$38,IF('BHL Section 1'!$U$23="","",'BHL Section 1'!$U$23),IF($L$39='BHL Section 2'!$L$38,IF('BHL Section 2'!$U$23="","",'BHL Section 2'!$U$23),IF($L$39='BHL Section 3'!$L$38,IF('BHL Section 3'!$U$23="","",'BHL Section 3'!$U$23),IF(U20="","",IF(OR(U23=1,U23=4),180-(U20+U21/60+U22/3600),(U20+U21/60+U22/3600)))))))</f>
        <v>#VALUE!</v>
      </c>
      <c r="V24" s="954" t="str">
        <f>CONCATENATE("NE SC of ",$L$39)</f>
        <v>NE SC of 29</v>
      </c>
      <c r="W24" s="904"/>
      <c r="Y24" s="28"/>
      <c r="Z24" s="28"/>
      <c r="AA24" s="5"/>
      <c r="AB24" s="5"/>
      <c r="AC24" s="943" t="s">
        <v>304</v>
      </c>
      <c r="AD24" s="832"/>
      <c r="AE24" s="832"/>
      <c r="AF24" s="832"/>
      <c r="AG24" s="832"/>
      <c r="AH24" s="832"/>
      <c r="AI24" s="832"/>
      <c r="AJ24" s="832"/>
      <c r="AK24" s="832"/>
      <c r="AL24" s="832"/>
      <c r="AM24" s="832"/>
      <c r="AN24" s="832"/>
      <c r="AO24" s="832"/>
      <c r="AP24" s="832"/>
      <c r="AQ24" s="832"/>
      <c r="AR24" s="832"/>
      <c r="AS24" s="832"/>
      <c r="AT24" s="832"/>
      <c r="AU24" s="38"/>
      <c r="AV24" s="37"/>
      <c r="BD24" s="37"/>
      <c r="BL24" s="37"/>
      <c r="BT24" s="37"/>
      <c r="BZ24" s="19"/>
      <c r="CA24" s="19"/>
      <c r="CB24" s="42"/>
    </row>
    <row r="25" spans="1:80" ht="12" customHeight="1" x14ac:dyDescent="0.25">
      <c r="B25" s="44" t="e">
        <f>IF($L$39='SHL Section'!$L$38,'SHL Section'!$B$25,IF($L$39='BHL Section 1'!$L$38,'BHL Section 1'!$B$24,IF($L$39='BHL Section 2'!$L$38,'BHL Section 2'!$B$24,IF($L$39='BHL Section 3'!$L$38,'BHL Section 3'!$B$24,$B$26))))</f>
        <v>#VALUE!</v>
      </c>
      <c r="C25" s="3"/>
      <c r="D25" s="35"/>
      <c r="E25" s="35"/>
      <c r="F25" s="35"/>
      <c r="G25" s="35"/>
      <c r="H25" s="35"/>
      <c r="I25" s="35"/>
      <c r="J25" s="35"/>
      <c r="K25" s="35"/>
      <c r="L25" s="11"/>
      <c r="M25" s="12"/>
      <c r="N25" s="35"/>
      <c r="O25" s="35"/>
      <c r="P25" s="35"/>
      <c r="Q25" s="35"/>
      <c r="R25" s="35"/>
      <c r="S25" s="35"/>
      <c r="T25" s="35"/>
      <c r="U25" s="35"/>
      <c r="V25" s="21"/>
      <c r="W25" s="44" t="e">
        <f>IF($L$39='SHL Section'!$L$38,'SHL Section'!$W$25,IF($L$39='BHL Section 1'!$L$38,'BHL Section 1'!$W$24,IF($L$39='BHL Section 2'!$L$38,'BHL Section 2'!$W$24,IF($L$39='BHL Section 3'!$L$38,'BHL Section 3'!$W$24,$W$26))))</f>
        <v>#VALUE!</v>
      </c>
      <c r="AA25" s="5"/>
      <c r="AB25" s="5"/>
      <c r="AC25" s="39"/>
      <c r="AD25" s="18"/>
      <c r="AE25" s="939" t="s">
        <v>322</v>
      </c>
      <c r="AF25" s="882"/>
      <c r="AG25" s="939" t="s">
        <v>323</v>
      </c>
      <c r="AH25" s="882"/>
      <c r="AI25" s="939" t="s">
        <v>324</v>
      </c>
      <c r="AJ25" s="882"/>
      <c r="AK25" s="939" t="s">
        <v>325</v>
      </c>
      <c r="AL25" s="882"/>
      <c r="AM25" s="939" t="s">
        <v>326</v>
      </c>
      <c r="AN25" s="882"/>
      <c r="AO25" s="939" t="s">
        <v>327</v>
      </c>
      <c r="AP25" s="882"/>
      <c r="AQ25" s="939" t="s">
        <v>328</v>
      </c>
      <c r="AR25" s="882"/>
      <c r="AS25" s="939" t="s">
        <v>329</v>
      </c>
      <c r="AT25" s="882"/>
      <c r="AU25" s="38" t="s">
        <v>72</v>
      </c>
      <c r="AV25" s="939" t="s">
        <v>183</v>
      </c>
      <c r="AW25" s="832"/>
      <c r="AX25" s="832"/>
      <c r="AY25" s="832"/>
      <c r="AZ25" s="832"/>
      <c r="BA25" s="832"/>
      <c r="BB25" s="832"/>
      <c r="BC25" s="882"/>
      <c r="BD25" s="939" t="s">
        <v>204</v>
      </c>
      <c r="BE25" s="832"/>
      <c r="BF25" s="832"/>
      <c r="BG25" s="832"/>
      <c r="BH25" s="832"/>
      <c r="BI25" s="832"/>
      <c r="BJ25" s="832"/>
      <c r="BK25" s="882"/>
      <c r="BL25" s="939" t="s">
        <v>188</v>
      </c>
      <c r="BM25" s="832"/>
      <c r="BN25" s="832"/>
      <c r="BO25" s="832"/>
      <c r="BP25" s="832"/>
      <c r="BQ25" s="832"/>
      <c r="BR25" s="832"/>
      <c r="BS25" s="882"/>
      <c r="BT25" s="939" t="s">
        <v>197</v>
      </c>
      <c r="BU25" s="832"/>
      <c r="BV25" s="832"/>
      <c r="BW25" s="832"/>
      <c r="BX25" s="832"/>
      <c r="BY25" s="832"/>
      <c r="BZ25" s="832"/>
      <c r="CA25" s="882"/>
    </row>
    <row r="26" spans="1:80" ht="12" customHeight="1" x14ac:dyDescent="0.25">
      <c r="A26" s="17" t="s">
        <v>118</v>
      </c>
      <c r="B26" s="110"/>
      <c r="C26" s="4"/>
      <c r="L26" s="13"/>
      <c r="M26" s="14"/>
      <c r="V26" s="22"/>
      <c r="W26" s="162"/>
      <c r="X26" s="25" t="s">
        <v>118</v>
      </c>
      <c r="AA26" s="5"/>
      <c r="AB26" s="5"/>
      <c r="AC26" s="756" t="s">
        <v>331</v>
      </c>
      <c r="AD26" s="757" t="s">
        <v>332</v>
      </c>
      <c r="AE26" s="30" t="s">
        <v>113</v>
      </c>
      <c r="AF26" s="30" t="s">
        <v>114</v>
      </c>
      <c r="AG26" s="30" t="s">
        <v>113</v>
      </c>
      <c r="AH26" s="30" t="s">
        <v>114</v>
      </c>
      <c r="AI26" s="30" t="s">
        <v>113</v>
      </c>
      <c r="AJ26" s="30" t="s">
        <v>114</v>
      </c>
      <c r="AK26" s="30" t="s">
        <v>113</v>
      </c>
      <c r="AL26" s="30" t="s">
        <v>114</v>
      </c>
      <c r="AM26" s="30" t="s">
        <v>113</v>
      </c>
      <c r="AN26" s="30" t="s">
        <v>114</v>
      </c>
      <c r="AO26" s="30" t="s">
        <v>113</v>
      </c>
      <c r="AP26" s="30" t="s">
        <v>114</v>
      </c>
      <c r="AQ26" s="30" t="s">
        <v>113</v>
      </c>
      <c r="AR26" s="30" t="s">
        <v>114</v>
      </c>
      <c r="AS26" s="30" t="s">
        <v>113</v>
      </c>
      <c r="AT26" s="30" t="s">
        <v>114</v>
      </c>
      <c r="AU26" s="38" t="s">
        <v>330</v>
      </c>
      <c r="AV26" s="39"/>
      <c r="AW26" s="40"/>
      <c r="AX26" s="40"/>
      <c r="AY26" s="760" t="s">
        <v>113</v>
      </c>
      <c r="AZ26" s="761" t="s">
        <v>114</v>
      </c>
      <c r="BA26" s="40"/>
      <c r="BB26" s="40"/>
      <c r="BC26" s="41"/>
      <c r="BD26" s="39"/>
      <c r="BE26" s="40"/>
      <c r="BF26" s="40"/>
      <c r="BG26" s="760" t="s">
        <v>113</v>
      </c>
      <c r="BH26" s="761" t="s">
        <v>114</v>
      </c>
      <c r="BI26" s="40"/>
      <c r="BJ26" s="40"/>
      <c r="BK26" s="41"/>
      <c r="BL26" s="39"/>
      <c r="BM26" s="40"/>
      <c r="BN26" s="40"/>
      <c r="BO26" s="760" t="s">
        <v>113</v>
      </c>
      <c r="BP26" s="761" t="s">
        <v>114</v>
      </c>
      <c r="BQ26" s="40"/>
      <c r="BR26" s="40"/>
      <c r="BS26" s="41"/>
      <c r="BT26" s="39"/>
      <c r="BU26" s="40"/>
      <c r="BV26" s="40"/>
      <c r="BW26" s="760" t="s">
        <v>113</v>
      </c>
      <c r="BX26" s="761" t="s">
        <v>114</v>
      </c>
      <c r="BY26" s="40"/>
      <c r="BZ26" s="40"/>
      <c r="CA26" s="41"/>
    </row>
    <row r="27" spans="1:80" ht="12" customHeight="1" x14ac:dyDescent="0.25">
      <c r="A27" s="17" t="s">
        <v>124</v>
      </c>
      <c r="B27" s="111"/>
      <c r="C27" s="4"/>
      <c r="G27" s="831" t="s">
        <v>343</v>
      </c>
      <c r="H27" s="832"/>
      <c r="I27" s="149"/>
      <c r="L27" s="13"/>
      <c r="M27" s="14"/>
      <c r="Q27" s="831" t="s">
        <v>344</v>
      </c>
      <c r="R27" s="832"/>
      <c r="V27" s="22"/>
      <c r="W27" s="147"/>
      <c r="X27" s="25" t="s">
        <v>124</v>
      </c>
      <c r="AA27" s="5"/>
      <c r="AB27" s="5"/>
      <c r="AC27" s="52">
        <v>1</v>
      </c>
      <c r="AD27" s="53" t="s">
        <v>12</v>
      </c>
      <c r="AE27" s="47"/>
      <c r="AF27" s="47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8"/>
      <c r="AV27" s="37"/>
      <c r="AY27" s="811" t="e">
        <f>AW23+BA23</f>
        <v>#VALUE!</v>
      </c>
      <c r="AZ27" s="812" t="e">
        <f>AX23+BB23</f>
        <v>#VALUE!</v>
      </c>
      <c r="BC27" s="36"/>
      <c r="BD27" s="37"/>
      <c r="BG27" s="811" t="e">
        <f>BE23+BI23</f>
        <v>#VALUE!</v>
      </c>
      <c r="BH27" s="812" t="e">
        <f>BF23+BJ23</f>
        <v>#VALUE!</v>
      </c>
      <c r="BK27" s="36"/>
      <c r="BL27" s="37"/>
      <c r="BO27" s="811" t="e">
        <f>BM23+BQ23</f>
        <v>#VALUE!</v>
      </c>
      <c r="BP27" s="812" t="e">
        <f>BN23+BR23</f>
        <v>#VALUE!</v>
      </c>
      <c r="BS27" s="36"/>
      <c r="BT27" s="37"/>
      <c r="BW27" s="811" t="e">
        <f>BU23+BY23</f>
        <v>#VALUE!</v>
      </c>
      <c r="BX27" s="812" t="e">
        <f>BV23+BZ23</f>
        <v>#VALUE!</v>
      </c>
      <c r="BZ27" s="19"/>
      <c r="CA27" s="36"/>
    </row>
    <row r="28" spans="1:80" ht="12" customHeight="1" x14ac:dyDescent="0.25">
      <c r="A28" s="17" t="s">
        <v>130</v>
      </c>
      <c r="B28" s="111"/>
      <c r="C28" s="4"/>
      <c r="G28" s="99" t="str">
        <f>IF(ISNUMBER($AG$67),$C$9,"")</f>
        <v/>
      </c>
      <c r="H28" s="150" t="str">
        <f>IF(AND(G29="",G30=""),"",IF($AG$67=1,"NE/NW",IF($AG$67=2,"NW/NW",IF($AG$67=3,"SW/NW",IF($AG$67=4,"SE/NW","")))))</f>
        <v/>
      </c>
      <c r="L28" s="13"/>
      <c r="M28" s="14"/>
      <c r="Q28" s="98" t="str">
        <f>IF(ISNUMBER($AE$67),$C$9,"")</f>
        <v/>
      </c>
      <c r="R28" s="150" t="str">
        <f>IF(AND(Q29="",Q30=""),"",IF($AE$67=1,"NE/NE",IF($AE$67=2,"NW/NE",IF($AE$67=3,"SW/NE",IF($AE$67=4,"SE/NE","")))))</f>
        <v/>
      </c>
      <c r="V28" s="22"/>
      <c r="W28" s="147"/>
      <c r="X28" s="25" t="s">
        <v>130</v>
      </c>
      <c r="AA28" s="5"/>
      <c r="AB28" s="5"/>
      <c r="AC28" s="52">
        <v>2</v>
      </c>
      <c r="AD28" s="53" t="s">
        <v>12</v>
      </c>
      <c r="AE28" s="32"/>
      <c r="AF28" s="32"/>
      <c r="AG28" s="47"/>
      <c r="AH28" s="47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8"/>
      <c r="BZ28" s="19"/>
      <c r="CA28" s="19"/>
    </row>
    <row r="29" spans="1:80" ht="12" customHeight="1" x14ac:dyDescent="0.25">
      <c r="A29" s="17" t="s">
        <v>134</v>
      </c>
      <c r="B29" s="111"/>
      <c r="C29" s="4"/>
      <c r="G29" s="151" t="str">
        <f>IF(ISNUMBER($AG$67),$M$9,"")</f>
        <v/>
      </c>
      <c r="H29" s="152" t="str">
        <f>IF(ISNUMBER($AG$67),"FNL","")</f>
        <v/>
      </c>
      <c r="J29" s="19"/>
      <c r="K29" s="19"/>
      <c r="L29" s="13"/>
      <c r="M29" s="14"/>
      <c r="Q29" s="151" t="str">
        <f>IF(ISNUMBER($AE$67),$M$9,"")</f>
        <v/>
      </c>
      <c r="R29" s="152" t="str">
        <f>IF(ISNUMBER($AE$67),"FNL","")</f>
        <v/>
      </c>
      <c r="V29" s="22"/>
      <c r="W29" s="147"/>
      <c r="X29" s="25" t="s">
        <v>134</v>
      </c>
      <c r="AA29" s="5"/>
      <c r="AB29" s="5"/>
      <c r="AC29" s="52">
        <v>3</v>
      </c>
      <c r="AD29" s="53" t="s">
        <v>12</v>
      </c>
      <c r="AE29" s="32"/>
      <c r="AF29" s="79"/>
      <c r="AG29" s="32"/>
      <c r="AH29" s="32"/>
      <c r="AI29" s="47"/>
      <c r="AJ29" s="47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8" t="s">
        <v>345</v>
      </c>
      <c r="AV29" s="143" t="e">
        <f>$AW$20/($AV$20^2+$AW$20^2)^0.5</f>
        <v>#VALUE!</v>
      </c>
      <c r="AW29" s="143"/>
      <c r="AX29" s="143" t="e">
        <f>$AY$20/($AX$20^2+$AY$20^2)^0.5</f>
        <v>#VALUE!</v>
      </c>
      <c r="AY29" s="809"/>
      <c r="AZ29" s="143" t="e">
        <f>$BA$20/($AZ$20^2+$BA$20^2)^0.5</f>
        <v>#VALUE!</v>
      </c>
      <c r="BA29" s="143"/>
      <c r="BB29" s="143" t="e">
        <f>$BC$20/($BB$20^2+$BC$20^2)^0.5</f>
        <v>#VALUE!</v>
      </c>
      <c r="BC29" s="809"/>
      <c r="BD29" s="143" t="e">
        <f>$BD$20/($BD$20^2+$BE$20^2)^0.5</f>
        <v>#VALUE!</v>
      </c>
      <c r="BE29" s="143"/>
      <c r="BF29" s="143" t="e">
        <f>$BF$20/($BF$20^2+$BG$20^2)^0.5</f>
        <v>#VALUE!</v>
      </c>
      <c r="BG29" s="809"/>
      <c r="BH29" s="143" t="e">
        <f>$BH$20/($BH$20^2+$BI$20^2)^0.5</f>
        <v>#VALUE!</v>
      </c>
      <c r="BI29" s="143"/>
      <c r="BJ29" s="143" t="e">
        <f>$BJ$20/($BJ$20^2+$BK$20^2)^0.5</f>
        <v>#VALUE!</v>
      </c>
      <c r="BK29" s="809"/>
      <c r="BL29" s="143" t="e">
        <f>$BM$20/($BL$20^2+$BM$20^2)^0.5</f>
        <v>#VALUE!</v>
      </c>
      <c r="BM29" s="143"/>
      <c r="BN29" s="143" t="e">
        <f>$BO$20/($BN$20^2+$BO$20^2)^0.5</f>
        <v>#VALUE!</v>
      </c>
      <c r="BO29" s="809"/>
      <c r="BP29" s="143" t="e">
        <f>$BQ$20/($BP$20^2+$BQ$20^2)^0.5</f>
        <v>#VALUE!</v>
      </c>
      <c r="BQ29" s="143"/>
      <c r="BR29" s="143" t="e">
        <f>$BS$20/($BR$20^2+$BS$20^2)^0.5</f>
        <v>#VALUE!</v>
      </c>
      <c r="BS29" s="809"/>
      <c r="BT29" s="143" t="e">
        <f>$BT$20/($BT$20^2+$BU$20^2)^0.5</f>
        <v>#VALUE!</v>
      </c>
      <c r="BU29" s="143"/>
      <c r="BV29" s="143" t="e">
        <f>$BV$20/($BV$20^2+$BW$20^2)^0.5</f>
        <v>#VALUE!</v>
      </c>
      <c r="BW29" s="809"/>
      <c r="BX29" s="143" t="e">
        <f>$BX$20/($BX$20^2+$BY$20^2)^0.5</f>
        <v>#VALUE!</v>
      </c>
      <c r="BY29" s="143"/>
      <c r="BZ29" s="143" t="e">
        <f>$BZ$20/($BZ$20^2+$CA$20^2)^0.5</f>
        <v>#VALUE!</v>
      </c>
      <c r="CA29" s="809"/>
    </row>
    <row r="30" spans="1:80" ht="12" customHeight="1" x14ac:dyDescent="0.25">
      <c r="A30" s="17" t="s">
        <v>140</v>
      </c>
      <c r="B30" s="112">
        <v>1</v>
      </c>
      <c r="C30" s="4"/>
      <c r="G30" s="91" t="str">
        <f>IF(ISNUMBER($AG$67),$O$9,"")</f>
        <v/>
      </c>
      <c r="H30" s="90" t="str">
        <f>IF(ISNUMBER($AG$67),"FWL","")</f>
        <v/>
      </c>
      <c r="J30" s="19"/>
      <c r="K30" s="19"/>
      <c r="L30" s="13"/>
      <c r="M30" s="14"/>
      <c r="Q30" s="91" t="str">
        <f>IF(ISNUMBER($AE$67),$O$9,"")</f>
        <v/>
      </c>
      <c r="R30" s="90" t="str">
        <f>IF(ISNUMBER($AE$67),"FEL","")</f>
        <v/>
      </c>
      <c r="V30" s="22"/>
      <c r="W30" s="112">
        <v>4</v>
      </c>
      <c r="X30" s="25" t="s">
        <v>140</v>
      </c>
      <c r="AA30" s="5"/>
      <c r="AB30" s="5"/>
      <c r="AC30" s="756">
        <v>4</v>
      </c>
      <c r="AD30" s="758" t="s">
        <v>12</v>
      </c>
      <c r="AE30" s="45"/>
      <c r="AF30" s="45"/>
      <c r="AG30" s="45"/>
      <c r="AH30" s="45"/>
      <c r="AI30" s="45"/>
      <c r="AJ30" s="45"/>
      <c r="AK30" s="50"/>
      <c r="AL30" s="50"/>
      <c r="AM30" s="45"/>
      <c r="AN30" s="45"/>
      <c r="AO30" s="45"/>
      <c r="AP30" s="45"/>
      <c r="AQ30" s="45"/>
      <c r="AR30" s="45"/>
      <c r="AS30" s="45"/>
      <c r="AT30" s="45"/>
      <c r="AU30" s="38"/>
      <c r="AV30" s="809"/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</row>
    <row r="31" spans="1:80" ht="12" customHeight="1" x14ac:dyDescent="0.25">
      <c r="A31" s="17" t="s">
        <v>144</v>
      </c>
      <c r="B31" s="27" t="e">
        <f>IF($L$39='SHL Section'!$L$38,IF('SHL Section'!$B$30="","",'SHL Section'!$B$30),IF($L$39='BHL Section 1'!$L$38,IF('BHL Section 1'!$B$30="","",'BHL Section 1'!$B$30),IF($L$39='BHL Section 2'!$L$38,IF('BHL Section 2'!$B$30="","",'BHL Section 2'!$B$30),IF($L$39='BHL Section 3'!$L$38,IF('BHL Section 3'!$B$30="","",'BHL Section 3'!$B$30),IF(B27="","",IF(OR(B30=1,B30=4),180-(B27+B28/60+B29/3600),(B27+B28/60+B29/3600)))))))</f>
        <v>#VALUE!</v>
      </c>
      <c r="C31" s="4"/>
      <c r="G31" s="99" t="str">
        <f>IF(ISNUMBER($AG$78),$C$10,"")</f>
        <v/>
      </c>
      <c r="H31" s="150" t="str">
        <f>IF(AND(G32="",G33=""),"",IF($AG$78=1,"NE/NW",IF($AG$78=2,"NW/NW",IF($AG$78=3,"SW/NW",IF($AG$78=4,"SE/NW","")))))</f>
        <v/>
      </c>
      <c r="J31" s="153"/>
      <c r="K31" s="153"/>
      <c r="L31" s="13"/>
      <c r="M31" s="14"/>
      <c r="Q31" s="98" t="str">
        <f>IF(ISNUMBER($AE$78),$C$10,"")</f>
        <v/>
      </c>
      <c r="R31" s="150" t="str">
        <f>IF(AND(Q32="",Q33=""),"",IF($AE$78=1,"NE/NE",IF($AE$78=2,"NW/NE",IF($AE$78=3,"SW/NE",IF($AE$78=4,"SE/NE","")))))</f>
        <v/>
      </c>
      <c r="V31" s="22"/>
      <c r="W31" s="27" t="e">
        <f>IF($L$39='SHL Section'!$L$38,IF('SHL Section'!$W$30="","",'SHL Section'!$W$30),IF($L$39='BHL Section 1'!$L$38,IF('BHL Section 1'!$W$30="","",'BHL Section 1'!$W$30),IF($L$39='BHL Section 2'!$L$38,IF('BHL Section 2'!$W$30="","",'BHL Section 2'!$W$30),IF($L$39='BHL Section 3'!$L$38,IF('BHL Section 3'!$W$30="","",'BHL Section 3'!$W$30),IF(W27="","",IF(OR(W30=1,W30=4),180-(W27+W28/60+W29/3600),(W27+W28/60+W29/3600)))))))</f>
        <v>#VALUE!</v>
      </c>
      <c r="X31" s="25" t="s">
        <v>144</v>
      </c>
      <c r="AA31" s="5"/>
      <c r="AB31" s="5"/>
      <c r="AC31" s="944"/>
      <c r="AD31" s="911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38"/>
      <c r="AV31" s="809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</row>
    <row r="32" spans="1:80" ht="12" customHeight="1" x14ac:dyDescent="0.25">
      <c r="C32" s="4"/>
      <c r="G32" s="151" t="str">
        <f>IF(ISNUMBER($AG$78),$M$10,"")</f>
        <v/>
      </c>
      <c r="H32" s="152" t="str">
        <f>IF(ISNUMBER($AG$78),"FNL","")</f>
        <v/>
      </c>
      <c r="J32" s="153"/>
      <c r="K32" s="153"/>
      <c r="L32" s="13"/>
      <c r="M32" s="14"/>
      <c r="Q32" s="151" t="str">
        <f>IF(ISNUMBER($AE$78),$M$10,"")</f>
        <v/>
      </c>
      <c r="R32" s="152" t="str">
        <f>IF(ISNUMBER($AE$78),"FNL","")</f>
        <v/>
      </c>
      <c r="V32" s="22"/>
      <c r="AA32" s="5"/>
      <c r="AB32" s="5"/>
      <c r="AC32" s="94"/>
      <c r="AD32" s="95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38"/>
      <c r="AV32" s="809"/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</row>
    <row r="33" spans="1:79" ht="12" customHeight="1" x14ac:dyDescent="0.25">
      <c r="B33" s="44" t="e">
        <f>IF($L$39='SHL Section'!$L$38,'SHL Section'!$B$33,IF($L$39='BHL Section 1'!$L$38,'BHL Section 1'!$B$32,IF($L$39='BHL Section 2'!$L$38,'BHL Section 2'!$B$32,IF($L$39='BHL Section 3'!$L$38,'BHL Section 3'!$B$32,$B$34))))</f>
        <v>#VALUE!</v>
      </c>
      <c r="C33" s="4"/>
      <c r="F33" s="19"/>
      <c r="G33" s="91" t="str">
        <f>IF(ISNUMBER($AG$78),$O$10,"")</f>
        <v/>
      </c>
      <c r="H33" s="90" t="str">
        <f>IF(ISNUMBER($AG$78),"FWL","")</f>
        <v/>
      </c>
      <c r="I33" s="154"/>
      <c r="J33" s="153"/>
      <c r="K33" s="153"/>
      <c r="L33" s="13"/>
      <c r="M33" s="14"/>
      <c r="Q33" s="91" t="str">
        <f>IF(ISNUMBER($AE$78),$O$10,"")</f>
        <v/>
      </c>
      <c r="R33" s="90" t="str">
        <f>IF(ISNUMBER($AE$78),"FEL","")</f>
        <v/>
      </c>
      <c r="V33" s="22"/>
      <c r="W33" s="44" t="e">
        <f>IF($L$39='SHL Section'!$L$38,'SHL Section'!$W$33,IF($L$39='BHL Section 1'!$L$38,'BHL Section 1'!$W$32,IF($L$39='BHL Section 2'!$L$38,'BHL Section 2'!$W$32,IF($L$39='BHL Section 3'!$L$38,'BHL Section 3'!$W$32,$W$34))))</f>
        <v>#VALUE!</v>
      </c>
      <c r="AA33" s="5"/>
      <c r="AB33" s="5"/>
      <c r="AC33" s="52">
        <v>1</v>
      </c>
      <c r="AD33" s="53" t="s">
        <v>272</v>
      </c>
      <c r="AE33" s="47" t="e">
        <f>IF(AND($L$39=$R$9,ISNUMBER($K$9)),IF(AND($Y$9&lt;0,$AA$9&lt;0,-$Y$9&lt;$BY$23,-$AA$9&lt;$AX$23),$Y$9,""),"")</f>
        <v>#VALUE!</v>
      </c>
      <c r="AF33" s="47" t="e">
        <f>IF(AND($L$39=$R$9,ISNUMBER($K$9)),IF(AND($Y$9&lt;0,$AA$9&lt;0,-$Y$9&lt;$BY$23,-$AA$9&lt;$AX$23),$AA$9,""),"")</f>
        <v>#VALUE!</v>
      </c>
      <c r="AG33" s="32" t="e">
        <f>IF($AE$33="","",$AY$27+$AE$33)</f>
        <v>#VALUE!</v>
      </c>
      <c r="AH33" s="32" t="e">
        <f>IF($AF$33="","",$AZ$27+$AF$33)</f>
        <v>#VALUE!</v>
      </c>
      <c r="AI33" s="32" t="e">
        <f>IF($AE$33="","",$BG$27+$AY$27+$AE$33)</f>
        <v>#VALUE!</v>
      </c>
      <c r="AJ33" s="32" t="e">
        <f>IF($AF$33="","",$AZ$27+$BH$27+$AF$33)</f>
        <v>#VALUE!</v>
      </c>
      <c r="AK33" s="32" t="e">
        <f>IF($AE$33="","",$BW$27+$AE$33)</f>
        <v>#VALUE!</v>
      </c>
      <c r="AL33" s="32" t="e">
        <f>IF($AF$33="","",$AF$33+$BX$27)</f>
        <v>#VALUE!</v>
      </c>
      <c r="AM33" s="32" t="e">
        <f>IF($AE$33="","",$AW$23+$AE$33)</f>
        <v>#VALUE!</v>
      </c>
      <c r="AN33" s="32" t="e">
        <f>IF($AF$33="","",$AX$23+$AF$33)</f>
        <v>#VALUE!</v>
      </c>
      <c r="AO33" s="32" t="e">
        <f>IF($AE$33="","",$AY$27+$AE$33+$BE$23)</f>
        <v>#VALUE!</v>
      </c>
      <c r="AP33" s="32" t="e">
        <f>IF($AF$33="","",$AZ$27+$AF$33+$BF$23)</f>
        <v>#VALUE!</v>
      </c>
      <c r="AQ33" s="32" t="e">
        <f>IF($AE$33="","",$BW$27+$AE$33+$BQ$23)</f>
        <v>#VALUE!</v>
      </c>
      <c r="AR33" s="32" t="e">
        <f>IF($AF$33="","",$AF$33+$BX$27+$BR$23)</f>
        <v>#VALUE!</v>
      </c>
      <c r="AS33" s="32" t="e">
        <f>IF($AE$33="","",$BY$23+$AE$33)</f>
        <v>#VALUE!</v>
      </c>
      <c r="AT33" s="32" t="e">
        <f>IF($AF$33="","",$AF$33+$BZ$23)</f>
        <v>#VALUE!</v>
      </c>
      <c r="AU33" s="38"/>
      <c r="AV33" s="809"/>
      <c r="AW33" s="809"/>
      <c r="AX33" s="809"/>
      <c r="AY33" s="809"/>
      <c r="AZ33" s="809"/>
      <c r="BA33" s="809"/>
      <c r="BB33" s="809"/>
      <c r="BC33" s="809"/>
      <c r="BD33" s="809"/>
      <c r="BE33" s="809"/>
      <c r="BF33" s="809"/>
      <c r="BG33" s="809"/>
      <c r="BH33" s="809"/>
      <c r="BI33" s="809"/>
      <c r="BJ33" s="809"/>
      <c r="BK33" s="809"/>
      <c r="BL33" s="809"/>
      <c r="BM33" s="809"/>
      <c r="BN33" s="809"/>
      <c r="BO33" s="809"/>
      <c r="BP33" s="809"/>
      <c r="BQ33" s="809"/>
      <c r="BR33" s="809"/>
      <c r="BS33" s="809"/>
      <c r="BT33" s="809"/>
      <c r="BU33" s="809"/>
      <c r="BV33" s="809"/>
      <c r="BW33" s="809"/>
      <c r="BX33" s="809"/>
      <c r="BY33" s="809"/>
      <c r="BZ33" s="809"/>
      <c r="CA33" s="809"/>
    </row>
    <row r="34" spans="1:79" ht="12" customHeight="1" x14ac:dyDescent="0.25">
      <c r="A34" s="17" t="s">
        <v>118</v>
      </c>
      <c r="B34" s="113"/>
      <c r="C34" s="4"/>
      <c r="G34" s="99" t="str">
        <f>IF(ISNUMBER($AG$89),$C$11,"")</f>
        <v/>
      </c>
      <c r="H34" s="150" t="str">
        <f>IF(AND(G35="",G36=""),"",IF($AG$89=1,"NE/NW",IF($AG$89=2,"NW/NW",IF($AG$89=3,"SW/NW",IF($AG$89=4,"SE/NW","")))))</f>
        <v/>
      </c>
      <c r="J34" s="153"/>
      <c r="K34" s="153"/>
      <c r="L34" s="13"/>
      <c r="M34" s="14"/>
      <c r="Q34" s="98" t="str">
        <f>IF(ISNUMBER($AE$89),$C$11,"")</f>
        <v/>
      </c>
      <c r="R34" s="150" t="str">
        <f>IF(AND(Q35="",Q36=""),"",IF($AE$89=1,"NE/NE",IF($AE$89=2,"NW/NE",IF($AE$89=3,"SW/NE",IF($AE$89=4,"SE/NE","")))))</f>
        <v/>
      </c>
      <c r="S34" s="154"/>
      <c r="T34" s="153"/>
      <c r="U34" s="5"/>
      <c r="V34" s="22"/>
      <c r="W34" s="113"/>
      <c r="X34" s="25" t="s">
        <v>118</v>
      </c>
      <c r="AA34" s="5"/>
      <c r="AB34" s="5"/>
      <c r="AC34" s="52">
        <v>2</v>
      </c>
      <c r="AD34" s="53" t="s">
        <v>272</v>
      </c>
      <c r="AE34" s="32" t="e">
        <f>IF($AG$34="","",$AG$34-$AY$27)</f>
        <v>#VALUE!</v>
      </c>
      <c r="AF34" s="32" t="e">
        <f>IF($AH$34="","",$AH$34-$AZ$27)</f>
        <v>#VALUE!</v>
      </c>
      <c r="AG34" s="47" t="e">
        <f>IF(AND($L$39=$R$9,ISNUMBER($K$9)),IF(AND($Y$9&lt;0,$AA$9&gt;0,-$Y$9&lt;$BE$23,$AA$9&lt;$BB$23),$Y$9,""),"")</f>
        <v>#VALUE!</v>
      </c>
      <c r="AH34" s="47" t="e">
        <f>IF(AND($L$39=$R$9,ISNUMBER($K$9)),IF(AND($Y$9&lt;0,$AA$9&gt;0,-$Y$9&lt;$BE$23,$AA$9&lt;$BB$23),$AA$9,""),"")</f>
        <v>#VALUE!</v>
      </c>
      <c r="AI34" s="32" t="e">
        <f>IF($AG$34="","",$BG$27+$AG$34)</f>
        <v>#VALUE!</v>
      </c>
      <c r="AJ34" s="32" t="e">
        <f>IF($AH$34="","",$AH$34+$BH$27)</f>
        <v>#VALUE!</v>
      </c>
      <c r="AK34" s="32" t="e">
        <f>IF($AG$34="","",$AG$34-$AY$27+$BW$27)</f>
        <v>#VALUE!</v>
      </c>
      <c r="AL34" s="32" t="e">
        <f>IF($AH$34="","",$AH$34-$AZ$27+$BX$27)</f>
        <v>#VALUE!</v>
      </c>
      <c r="AM34" s="32" t="e">
        <f>IF($AG$34="","",$AG$34-$BA$23)</f>
        <v>#VALUE!</v>
      </c>
      <c r="AN34" s="32" t="e">
        <f>IF($AH$34="","",AH$34-$BB$23)</f>
        <v>#VALUE!</v>
      </c>
      <c r="AO34" s="32" t="e">
        <f>IF($AG$34="","",$BE$23+$AG$34)</f>
        <v>#VALUE!</v>
      </c>
      <c r="AP34" s="32" t="e">
        <f>IF($AH$34="","",$AH$34+$BF$23)</f>
        <v>#VALUE!</v>
      </c>
      <c r="AQ34" s="32" t="e">
        <f>IF($AG$34="","",$BG$27+$AG$34-$BM$23)</f>
        <v>#VALUE!</v>
      </c>
      <c r="AR34" s="32" t="e">
        <f>IF($AH$34="","",$AH$34+$BH$27-$BN$23)</f>
        <v>#VALUE!</v>
      </c>
      <c r="AS34" s="32" t="e">
        <f>IF($AG$34="","",$AG$34-$AY$27+$BY$23)</f>
        <v>#VALUE!</v>
      </c>
      <c r="AT34" s="32" t="e">
        <f>IF($AH$34="","",$AH$34-$AZ$27+$BZ$23)</f>
        <v>#VALUE!</v>
      </c>
      <c r="AU34" s="38"/>
    </row>
    <row r="35" spans="1:79" ht="12" customHeight="1" x14ac:dyDescent="0.25">
      <c r="A35" s="17" t="s">
        <v>124</v>
      </c>
      <c r="B35" s="114"/>
      <c r="C35" s="4"/>
      <c r="G35" s="151" t="str">
        <f>IF(ISNUMBER($AG$89),$M$11,"")</f>
        <v/>
      </c>
      <c r="H35" s="152" t="str">
        <f>IF(ISNUMBER($AG$89),"FNL","")</f>
        <v/>
      </c>
      <c r="J35" s="153"/>
      <c r="K35" s="153"/>
      <c r="L35" s="13"/>
      <c r="M35" s="14"/>
      <c r="Q35" s="151" t="str">
        <f>IF(ISNUMBER($AE$89),$M$11,"")</f>
        <v/>
      </c>
      <c r="R35" s="152" t="str">
        <f>IF(ISNUMBER($AE$89),"FNL","")</f>
        <v/>
      </c>
      <c r="S35" s="154"/>
      <c r="T35" s="153"/>
      <c r="U35" s="5"/>
      <c r="V35" s="22"/>
      <c r="W35" s="148"/>
      <c r="X35" s="25" t="s">
        <v>124</v>
      </c>
      <c r="AA35" s="5"/>
      <c r="AB35" s="5"/>
      <c r="AC35" s="52">
        <v>3</v>
      </c>
      <c r="AD35" s="53" t="s">
        <v>272</v>
      </c>
      <c r="AE35" s="32" t="e">
        <f>IF($AI$35="","",$AI$35-$BG$27-$AY$27)</f>
        <v>#VALUE!</v>
      </c>
      <c r="AF35" s="79" t="e">
        <f>IF($AJ$35="","",$AJ$35-$BH$27-$AZ$27)</f>
        <v>#VALUE!</v>
      </c>
      <c r="AG35" s="32" t="e">
        <f>IF($AI$35="","",$AI$35-$BG$27)</f>
        <v>#VALUE!</v>
      </c>
      <c r="AH35" s="32" t="e">
        <f>IF($AJ$35="","",$AJ$35-$BH$27)</f>
        <v>#VALUE!</v>
      </c>
      <c r="AI35" s="47" t="e">
        <f>IF(AND($L$39=$R$9,ISNUMBER($K$9)),IF(AND($Y$9&gt;0,$AA$9&gt;0,$Y$9&lt;$BI$23,$AA$9&lt;$BN$23),$Y$9,""),"")</f>
        <v>#VALUE!</v>
      </c>
      <c r="AJ35" s="47" t="e">
        <f>IF(AND($L$39=$R$9,ISNUMBER($K$9)),IF(AND($Y$9&gt;0,$AA$9&gt;0,$Y$9&lt;$BI$23,$AA$9&lt;$BN$23),$AA$9,""),"")</f>
        <v>#VALUE!</v>
      </c>
      <c r="AK35" s="32" t="e">
        <f>IF($AI$35="","",$AI$35-$BO$27)</f>
        <v>#VALUE!</v>
      </c>
      <c r="AL35" s="32" t="e">
        <f>IF($AJ$35="","",$AJ$35-$BP$27)</f>
        <v>#VALUE!</v>
      </c>
      <c r="AM35" s="32" t="e">
        <f>IF($AI$35="","",$AI$35-$BG$27-$BA$27)</f>
        <v>#VALUE!</v>
      </c>
      <c r="AN35" s="32" t="e">
        <f>IF($AJ$35="","",$AJ$35-$BH$27-$BB$27)</f>
        <v>#VALUE!</v>
      </c>
      <c r="AO35" s="32" t="e">
        <f>IF($AI$35="","",$AI$35-$BI$27)</f>
        <v>#VALUE!</v>
      </c>
      <c r="AP35" s="32" t="e">
        <f>IF($AJ$35="","",$AJ$35-$BJ$27)</f>
        <v>#VALUE!</v>
      </c>
      <c r="AQ35" s="32" t="e">
        <f>IF($AI$35="","",$AI$35-$BM$27)</f>
        <v>#VALUE!</v>
      </c>
      <c r="AR35" s="32" t="e">
        <f>IF($AJ$35="","",$AJ$35-$BN$27)</f>
        <v>#VALUE!</v>
      </c>
      <c r="AS35" s="32" t="e">
        <f>IF($AI$35="","",$AI$35-$BO$27-$BU$27)</f>
        <v>#VALUE!</v>
      </c>
      <c r="AT35" s="32" t="e">
        <f>IF($AJ$35="","",$AJ$35-$BP$27-$BV$23)</f>
        <v>#VALUE!</v>
      </c>
      <c r="BE35" s="809"/>
      <c r="BF35" s="809"/>
      <c r="BG35" s="809"/>
      <c r="BH35" s="809"/>
      <c r="BI35" s="809"/>
      <c r="BJ35" s="809"/>
      <c r="BK35" s="809"/>
      <c r="BL35" s="809"/>
      <c r="BM35" s="809"/>
      <c r="BN35" s="809"/>
      <c r="BO35" s="809"/>
      <c r="BP35" s="809"/>
      <c r="BZ35" s="19"/>
      <c r="CA35" s="19"/>
    </row>
    <row r="36" spans="1:79" ht="12" customHeight="1" x14ac:dyDescent="0.25">
      <c r="A36" s="17" t="s">
        <v>130</v>
      </c>
      <c r="B36" s="114"/>
      <c r="C36" s="4"/>
      <c r="G36" s="91" t="str">
        <f>IF(ISNUMBER($AG$89),$O$11,"")</f>
        <v/>
      </c>
      <c r="H36" s="90" t="str">
        <f>IF(ISNUMBER($AG$89),"FWL","")</f>
        <v/>
      </c>
      <c r="J36" s="153"/>
      <c r="K36" s="153"/>
      <c r="L36" s="13"/>
      <c r="M36" s="14"/>
      <c r="Q36" s="91" t="str">
        <f>IF(ISNUMBER($AE$89),$O$11,"")</f>
        <v/>
      </c>
      <c r="R36" s="90" t="str">
        <f>IF(ISNUMBER($AE$89),"FEL","")</f>
        <v/>
      </c>
      <c r="S36" s="154"/>
      <c r="T36" s="153"/>
      <c r="U36" s="5"/>
      <c r="V36" s="22"/>
      <c r="W36" s="148"/>
      <c r="X36" s="25" t="s">
        <v>130</v>
      </c>
      <c r="AA36" s="5"/>
      <c r="AB36" s="5"/>
      <c r="AC36" s="756">
        <v>4</v>
      </c>
      <c r="AD36" s="758" t="s">
        <v>272</v>
      </c>
      <c r="AE36" s="45" t="e">
        <f>IF($AK$36="","",$AK$36-$BW$27)</f>
        <v>#VALUE!</v>
      </c>
      <c r="AF36" s="45" t="e">
        <f>IF($AL$36="","",$AL$36-$BX$27)</f>
        <v>#VALUE!</v>
      </c>
      <c r="AG36" s="45" t="e">
        <f>IF($AK$36="","",$AK$36+$BO$27-$BG$27)</f>
        <v>#VALUE!</v>
      </c>
      <c r="AH36" s="45" t="e">
        <f>IF($AL$36="","",$AL$36+$BP$27+$BH$27)</f>
        <v>#VALUE!</v>
      </c>
      <c r="AI36" s="45" t="e">
        <f>IF($AK$36="","",$AK$36+$BO$27)</f>
        <v>#VALUE!</v>
      </c>
      <c r="AJ36" s="45" t="e">
        <f>IF($AL$36="","",$AL$36+$BP$27)</f>
        <v>#VALUE!</v>
      </c>
      <c r="AK36" s="50" t="e">
        <f>IF(AND($L$39=$R$9,ISNUMBER($K$9)),IF(AND($Y$9&gt;0,$AA$9&lt;0,$Y$9&lt;$BU$23,-$AA$9&lt;$BR$23),$Y$9,""),"")</f>
        <v>#VALUE!</v>
      </c>
      <c r="AL36" s="50" t="e">
        <f>IF(AND($L$39=$R$9,ISNUMBER($K$9)),IF(AND($Y$9&gt;0,$AA$9&lt;0,$Y$9&lt;$BU$23,-$AA$9&lt;$BR$23),$AA$9,""),"")</f>
        <v>#VALUE!</v>
      </c>
      <c r="AM36" s="45" t="e">
        <f>IF($AK$36="","",$AK$36-$BW$27+$AW$23)</f>
        <v>#VALUE!</v>
      </c>
      <c r="AN36" s="45" t="e">
        <f>IF($AL$36="","",$AL$36-$BX$27+$AX$23)</f>
        <v>#VALUE!</v>
      </c>
      <c r="AO36" s="45" t="e">
        <f>IF($AK$36="","",$AK$36+$BO$27-$BI$23)</f>
        <v>#VALUE!</v>
      </c>
      <c r="AP36" s="45" t="e">
        <f>IF($AL$36="","",$AL$36+$BP$27-$BJ$23)</f>
        <v>#VALUE!</v>
      </c>
      <c r="AQ36" s="45" t="e">
        <f>IF($AK$36="","",$AK$36+$BQ$23)</f>
        <v>#VALUE!</v>
      </c>
      <c r="AR36" s="45" t="e">
        <f>IF($AL$36="","",$AL$36+$BR$23)</f>
        <v>#VALUE!</v>
      </c>
      <c r="AS36" s="45" t="e">
        <f>IF($AK$36="","",$AK$36-$BU$23)</f>
        <v>#VALUE!</v>
      </c>
      <c r="AT36" s="45" t="e">
        <f>IF($AL$36="","",$AL$36-$BV$23)</f>
        <v>#VALUE!</v>
      </c>
      <c r="BG36" s="53">
        <v>1</v>
      </c>
      <c r="BH36" s="53">
        <v>2</v>
      </c>
      <c r="BI36" s="53">
        <v>3</v>
      </c>
      <c r="BJ36" s="53">
        <v>4</v>
      </c>
      <c r="BK36" s="53">
        <v>5</v>
      </c>
      <c r="BL36" s="53">
        <v>6</v>
      </c>
      <c r="BM36" s="53">
        <v>7</v>
      </c>
      <c r="BN36" s="53">
        <v>8</v>
      </c>
      <c r="BO36" s="53">
        <v>9</v>
      </c>
      <c r="BZ36" s="19"/>
      <c r="CA36" s="19"/>
    </row>
    <row r="37" spans="1:79" ht="12" customHeight="1" x14ac:dyDescent="0.25">
      <c r="A37" s="17" t="s">
        <v>134</v>
      </c>
      <c r="B37" s="114"/>
      <c r="C37" s="4"/>
      <c r="J37" s="153"/>
      <c r="K37" s="153"/>
      <c r="L37" s="13"/>
      <c r="M37" s="14"/>
      <c r="S37" s="154"/>
      <c r="T37" s="153"/>
      <c r="U37" s="5"/>
      <c r="V37" s="22"/>
      <c r="W37" s="148"/>
      <c r="X37" s="25" t="s">
        <v>134</v>
      </c>
      <c r="AA37" s="5"/>
      <c r="AB37" s="5"/>
      <c r="AC37" s="944"/>
      <c r="AD37" s="911"/>
      <c r="AE37" s="80" t="str">
        <f>IF(ISNUMBER($AE$33),AE$33,IF(ISNUMBER($AG$34),AE$34,IF(ISNUMBER($AI$35),AE$35,IF(ISNUMBER($AK$36),AE$36,""))))</f>
        <v/>
      </c>
      <c r="AF37" s="80" t="str">
        <f>IF(ISNUMBER($AF$33),AF$33,IF(ISNUMBER($AH$34),AF$34,IF(ISNUMBER($AJ$35),AF$35,IF(ISNUMBER($AL$36),AF$36,""))))</f>
        <v/>
      </c>
      <c r="AG37" s="80" t="str">
        <f>IF(ISNUMBER($AE$33),AG$33,IF(ISNUMBER($AG$34),AG$34,IF(ISNUMBER($AI$35),AG$35,IF(ISNUMBER($AK$36),AG$36,""))))</f>
        <v/>
      </c>
      <c r="AH37" s="80" t="str">
        <f>IF(ISNUMBER($AF$33),AH$33,IF(ISNUMBER($AH$34),AH$34,IF(ISNUMBER($AJ$35),AH$35,IF(ISNUMBER($AL$36),AH$36,""))))</f>
        <v/>
      </c>
      <c r="AI37" s="80" t="str">
        <f>IF(ISNUMBER($AE$33),AI$33,IF(ISNUMBER($AG$34),AI$34,IF(ISNUMBER($AI$35),AI$35,IF(ISNUMBER($AK$36),AI$36,""))))</f>
        <v/>
      </c>
      <c r="AJ37" s="80" t="str">
        <f>IF(ISNUMBER($AF$33),AJ$33,IF(ISNUMBER($AH$34),AJ$34,IF(ISNUMBER($AJ$35),AJ$35,IF(ISNUMBER($AL$36),AJ$36,""))))</f>
        <v/>
      </c>
      <c r="AK37" s="80" t="str">
        <f>IF(ISNUMBER($AE$33),AK$33,IF(ISNUMBER($AG$34),AK$34,IF(ISNUMBER($AI$35),AK$35,IF(ISNUMBER($AK$36),AK$36,""))))</f>
        <v/>
      </c>
      <c r="AL37" s="80" t="str">
        <f>IF(ISNUMBER($AF$33),AL$33,IF(ISNUMBER($AH$34),AL$34,IF(ISNUMBER($AJ$35),AL$35,IF(ISNUMBER($AL$36),AL$36,""))))</f>
        <v/>
      </c>
      <c r="AM37" s="80" t="str">
        <f>IF(ISNUMBER($AE$33),AM$33,IF(ISNUMBER($AG$34),AM$34,IF(ISNUMBER($AI$35),AM$35,IF(ISNUMBER($AK$36),AM$36,""))))</f>
        <v/>
      </c>
      <c r="AN37" s="80" t="str">
        <f>IF(ISNUMBER($AF$33),AN$33,IF(ISNUMBER($AH$34),AN$34,IF(ISNUMBER($AJ$35),AN$35,IF(ISNUMBER($AL$36),AN$36,""))))</f>
        <v/>
      </c>
      <c r="AO37" s="80" t="str">
        <f>IF(ISNUMBER($AE$33),AO$33,IF(ISNUMBER($AG$34),AO$34,IF(ISNUMBER($AI$35),AO$35,IF(ISNUMBER($AK$36),AO$36,""))))</f>
        <v/>
      </c>
      <c r="AP37" s="80" t="str">
        <f>IF(ISNUMBER($AF$33),AP$33,IF(ISNUMBER($AH$34),AP$34,IF(ISNUMBER($AJ$35),AP$35,IF(ISNUMBER($AL$36),AP$36,""))))</f>
        <v/>
      </c>
      <c r="AQ37" s="80" t="str">
        <f>IF(ISNUMBER($AE$33),AQ$33,IF(ISNUMBER($AG$34),AQ$34,IF(ISNUMBER($AI$35),AQ$35,IF(ISNUMBER($AK$36),AQ$36,""))))</f>
        <v/>
      </c>
      <c r="AR37" s="80" t="str">
        <f>IF(ISNUMBER($AF$33),AR$33,IF(ISNUMBER($AH$34),AR$34,IF(ISNUMBER($AJ$35),AR$35,IF(ISNUMBER($AL$36),AR$36,""))))</f>
        <v/>
      </c>
      <c r="AS37" s="80" t="str">
        <f>IF(ISNUMBER($AE$33),AS$33,IF(ISNUMBER($AG$34),AS$34,IF(ISNUMBER($AI$35),AS$35,IF(ISNUMBER($AK$36),AS$36,""))))</f>
        <v/>
      </c>
      <c r="AT37" s="80" t="str">
        <f>IF(ISNUMBER($AF$33),AT$33,IF(ISNUMBER($AH$34),AT$34,IF(ISNUMBER($AJ$35),AT$35,IF(ISNUMBER($AL$36),AT$36,""))))</f>
        <v/>
      </c>
      <c r="BD37" s="760" t="s">
        <v>331</v>
      </c>
      <c r="BE37" s="158" t="s">
        <v>346</v>
      </c>
      <c r="BF37" s="761" t="s">
        <v>347</v>
      </c>
      <c r="BG37" s="53" t="s">
        <v>12</v>
      </c>
      <c r="BH37" s="53" t="s">
        <v>183</v>
      </c>
      <c r="BI37" s="53" t="s">
        <v>280</v>
      </c>
      <c r="BJ37" s="53" t="s">
        <v>197</v>
      </c>
      <c r="BK37" s="53" t="s">
        <v>286</v>
      </c>
      <c r="BL37" s="53" t="s">
        <v>188</v>
      </c>
      <c r="BM37" s="53" t="s">
        <v>284</v>
      </c>
      <c r="BN37" s="53" t="s">
        <v>204</v>
      </c>
      <c r="BO37" s="53" t="s">
        <v>282</v>
      </c>
      <c r="BZ37" s="19"/>
      <c r="CA37" s="19"/>
    </row>
    <row r="38" spans="1:79" ht="12" customHeight="1" thickBot="1" x14ac:dyDescent="0.3">
      <c r="A38" s="17" t="s">
        <v>140</v>
      </c>
      <c r="B38" s="112">
        <v>1</v>
      </c>
      <c r="C38" s="4"/>
      <c r="J38" s="153"/>
      <c r="K38" s="153"/>
      <c r="L38" s="13"/>
      <c r="M38" s="14"/>
      <c r="O38" s="19"/>
      <c r="P38" s="19"/>
      <c r="S38" s="154"/>
      <c r="T38" s="153"/>
      <c r="U38" s="5"/>
      <c r="V38" s="22"/>
      <c r="W38" s="112">
        <v>4</v>
      </c>
      <c r="X38" s="25" t="s">
        <v>140</v>
      </c>
      <c r="AA38" s="5"/>
      <c r="AB38" s="5"/>
      <c r="AC38" s="94"/>
      <c r="AD38" s="95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V38" s="81" t="s">
        <v>181</v>
      </c>
      <c r="AW38" s="128" t="s">
        <v>122</v>
      </c>
      <c r="AX38" s="81" t="s">
        <v>182</v>
      </c>
      <c r="AY38" s="81" t="s">
        <v>183</v>
      </c>
      <c r="AZ38" s="82" t="s">
        <v>280</v>
      </c>
      <c r="BA38" s="81" t="s">
        <v>185</v>
      </c>
      <c r="BB38" s="81" t="s">
        <v>281</v>
      </c>
      <c r="BD38" s="52">
        <v>1</v>
      </c>
      <c r="BE38" s="53" t="s">
        <v>272</v>
      </c>
      <c r="BF38" s="36" t="str">
        <f>IF(AND(ISNUMBER($AE$33), ISNUMBER($AF$33)),IF(AND($AE$33&gt;0,$AF$33&gt;0),3,IF(AND($AE$33&lt;0,IF(-$AE$33&lt;$BZ$20,$AO$71,$AO$74)&lt;0),4,IF(AND(IF(-$AF$33&lt;$AW$20,$AN$71,$AN$72)&lt;0,$AF$33&lt;0),2,""))),"")</f>
        <v/>
      </c>
      <c r="BG38" s="82">
        <v>1</v>
      </c>
      <c r="BH38" s="82">
        <v>36</v>
      </c>
      <c r="BI38" s="82">
        <v>31</v>
      </c>
      <c r="BJ38" s="82">
        <v>6</v>
      </c>
      <c r="BK38" s="82">
        <v>7</v>
      </c>
      <c r="BL38" s="82">
        <v>12</v>
      </c>
      <c r="BM38" s="82">
        <v>11</v>
      </c>
      <c r="BN38" s="82">
        <v>2</v>
      </c>
      <c r="BO38" s="82">
        <v>35</v>
      </c>
      <c r="BZ38" s="19"/>
      <c r="CA38" s="19"/>
    </row>
    <row r="39" spans="1:79" ht="12" customHeight="1" x14ac:dyDescent="0.25">
      <c r="A39" s="17" t="s">
        <v>144</v>
      </c>
      <c r="B39" s="27" t="e">
        <f>IF($L$39='SHL Section'!$L$38,IF('SHL Section'!$B$38="","",'SHL Section'!$B$38),IF($L$39='BHL Section 1'!$L$38,IF('BHL Section 1'!$B$38="","",'BHL Section 1'!$B$38),IF($L$39='BHL Section 2'!$L$38,IF('BHL Section 2'!$B$38="","",'BHL Section 2'!$B$38),IF($L$39='BHL Section 3'!$L$38,IF('BHL Section 3'!$B$38="","",'BHL Section 3'!$B$38),IF(B35="","",IF(OR(B38=1,B38=4),180-(B35+B36/60+B37/3600),(B35+B36/60+B37/3600)))))))</f>
        <v>#VALUE!</v>
      </c>
      <c r="C39" s="4"/>
      <c r="F39" s="815"/>
      <c r="I39" s="154"/>
      <c r="J39" s="153"/>
      <c r="K39" s="153"/>
      <c r="L39" s="974">
        <v>29</v>
      </c>
      <c r="M39" s="923"/>
      <c r="P39" s="815"/>
      <c r="S39" s="154"/>
      <c r="T39" s="153"/>
      <c r="U39" s="5"/>
      <c r="V39" s="22"/>
      <c r="W39" s="27" t="e">
        <f>IF($L$39='SHL Section'!$L$38,IF('SHL Section'!$W$38="","",'SHL Section'!$W$38),IF($L$39='BHL Section 1'!$L$38,IF('BHL Section 1'!$W$38="","",'BHL Section 1'!$W$38),IF($L$39='BHL Section 2'!$L$38,IF('BHL Section 2'!$W$38="","",'BHL Section 2'!$W$38),IF($L$39='BHL Section 3'!$L$38,IF('BHL Section 3'!$W$38="","",'BHL Section 3'!$W$38),IF(W35="","",IF(OR(W38=1,W38=4),180-(W35+W36/60+W37/3600),(W35+W36/60+W37/3600)))))))</f>
        <v>#VALUE!</v>
      </c>
      <c r="X39" s="25" t="s">
        <v>144</v>
      </c>
      <c r="AA39" s="5"/>
      <c r="AB39" s="5"/>
      <c r="AC39" s="52">
        <v>1</v>
      </c>
      <c r="AD39" s="53" t="s">
        <v>274</v>
      </c>
      <c r="AE39" s="47" t="e">
        <f>IF(AND($L$39=$R$10,ISNUMBER($K$10)),IF(AND($Y$10&lt;0,$AA$10&lt;0,-$Y$10&lt;$BY$23,-$AA$10&lt;$AX$23),$Y$10,""),"")</f>
        <v>#VALUE!</v>
      </c>
      <c r="AF39" s="47" t="e">
        <f>IF(AND($L$39=$R$10,ISNUMBER($K$10)),IF(AND($Y$10&lt;0,$AA$10&lt;0,-$Y$10&lt;$BY$23,-$AA$10&lt;$AX$23),$AA$10,""),"")</f>
        <v>#VALUE!</v>
      </c>
      <c r="AG39" s="32" t="e">
        <f>IF($AE$39="","",$AY$27+$AE$39)</f>
        <v>#VALUE!</v>
      </c>
      <c r="AH39" s="32" t="e">
        <f>IF($AF$39="","",$AZ$27+$AF$39)</f>
        <v>#VALUE!</v>
      </c>
      <c r="AI39" s="32" t="e">
        <f>IF($AE$39="","",$BG$27+$AY$27+$AE$39)</f>
        <v>#VALUE!</v>
      </c>
      <c r="AJ39" s="32" t="e">
        <f>IF($AF$39="","",$AZ$27+$BH$27+$AF$39)</f>
        <v>#VALUE!</v>
      </c>
      <c r="AK39" s="32" t="e">
        <f>IF($AE$39="","",$BW$27+$AE$39)</f>
        <v>#VALUE!</v>
      </c>
      <c r="AL39" s="32" t="e">
        <f>IF($AF$39="","",$AF$39+$BX$27)</f>
        <v>#VALUE!</v>
      </c>
      <c r="AM39" s="32" t="e">
        <f>IF($AE$39="","",$AW$23+$AE$39)</f>
        <v>#VALUE!</v>
      </c>
      <c r="AN39" s="32" t="e">
        <f>IF($AF$39="","",$AX$23+$AF$39)</f>
        <v>#VALUE!</v>
      </c>
      <c r="AO39" s="32" t="e">
        <f>IF($AE$39="","",$AY$27+$AE$39+$BE$23)</f>
        <v>#VALUE!</v>
      </c>
      <c r="AP39" s="32" t="e">
        <f>IF($AF$39="","",$AZ$27+$AF$39+$BF$23)</f>
        <v>#VALUE!</v>
      </c>
      <c r="AQ39" s="32" t="e">
        <f>IF($AE$39="","",$BW$27+$AE$39+$BQ$23)</f>
        <v>#VALUE!</v>
      </c>
      <c r="AR39" s="32" t="e">
        <f>IF($AF$39="","",$AF$39+$BX$27+$BR$23)</f>
        <v>#VALUE!</v>
      </c>
      <c r="AS39" s="32" t="e">
        <f>IF($AE$39="","",$BY$23+$AE$39)</f>
        <v>#VALUE!</v>
      </c>
      <c r="AT39" s="32" t="e">
        <f>IF($AF$39="","",$AF$39+$BZ$23)</f>
        <v>#VALUE!</v>
      </c>
      <c r="AV39" s="81" t="s">
        <v>186</v>
      </c>
      <c r="AW39" s="81" t="s">
        <v>128</v>
      </c>
      <c r="AX39" s="81" t="s">
        <v>187</v>
      </c>
      <c r="AY39" s="81" t="s">
        <v>188</v>
      </c>
      <c r="AZ39" s="82" t="s">
        <v>282</v>
      </c>
      <c r="BA39" s="81" t="s">
        <v>190</v>
      </c>
      <c r="BB39" s="81" t="s">
        <v>283</v>
      </c>
      <c r="BD39" s="52">
        <v>2</v>
      </c>
      <c r="BE39" s="53" t="s">
        <v>272</v>
      </c>
      <c r="BF39" s="36" t="str">
        <f>IF(AND(ISNUMBER($AG$34), ISNUMBER($AH$34)),IF(AND(IF($AH$34&lt;$BC$20,$AP$72,$AP$71)&lt;0,$AH$34&gt;0),2,IF(AND($AG$34&gt;0,$AH$34&lt;0),9,IF(AND($AG$34&lt;0,IF(-$AG$34&lt;$BD$20,$AQ$72,$AQ$73)&lt;0),8,""))),"")</f>
        <v/>
      </c>
      <c r="BG39" s="82">
        <v>2</v>
      </c>
      <c r="BH39" s="82">
        <v>35</v>
      </c>
      <c r="BI39" s="82">
        <v>36</v>
      </c>
      <c r="BJ39" s="82">
        <v>1</v>
      </c>
      <c r="BK39" s="82">
        <v>12</v>
      </c>
      <c r="BL39" s="82">
        <v>11</v>
      </c>
      <c r="BM39" s="82">
        <v>10</v>
      </c>
      <c r="BN39" s="82">
        <v>3</v>
      </c>
      <c r="BO39" s="82">
        <v>34</v>
      </c>
      <c r="BZ39" s="19"/>
      <c r="CA39" s="19"/>
    </row>
    <row r="40" spans="1:79" ht="12" customHeight="1" thickBot="1" x14ac:dyDescent="0.3">
      <c r="A40" s="948" t="str">
        <f>CONCATENATE("W QC of ",$L$39)</f>
        <v>W QC of 29</v>
      </c>
      <c r="B40" s="892"/>
      <c r="C40" s="7"/>
      <c r="D40" s="8"/>
      <c r="E40" s="8"/>
      <c r="F40" s="8"/>
      <c r="G40" s="8"/>
      <c r="H40" s="8"/>
      <c r="I40" s="8"/>
      <c r="J40" s="8"/>
      <c r="K40" s="8"/>
      <c r="L40" s="924"/>
      <c r="M40" s="926"/>
      <c r="N40" s="8"/>
      <c r="O40" s="8"/>
      <c r="P40" s="8"/>
      <c r="Q40" s="8"/>
      <c r="R40" s="8"/>
      <c r="S40" s="8"/>
      <c r="T40" s="8"/>
      <c r="U40" s="8"/>
      <c r="V40" s="24"/>
      <c r="W40" s="959" t="str">
        <f>CONCATENATE("E QC of ",$L$39)</f>
        <v>E QC of 29</v>
      </c>
      <c r="X40" s="904"/>
      <c r="AA40" s="5"/>
      <c r="AB40" s="5"/>
      <c r="AC40" s="52">
        <v>2</v>
      </c>
      <c r="AD40" s="53" t="s">
        <v>274</v>
      </c>
      <c r="AE40" s="32" t="e">
        <f>IF($AG$40="","",$AG$40-$AY$27)</f>
        <v>#VALUE!</v>
      </c>
      <c r="AF40" s="32" t="e">
        <f>IF($AH$40="","",$AH$40-$AZ$27)</f>
        <v>#VALUE!</v>
      </c>
      <c r="AG40" s="47" t="e">
        <f>IF(AND($L$39=$R$10,ISNUMBER($K$10)),IF(AND($Y$10&lt;0,$AA$10&gt;0,-$Y$10&lt;$BE$23,$AA$10&lt;$BB$23),$Y$10,""),"")</f>
        <v>#VALUE!</v>
      </c>
      <c r="AH40" s="47" t="e">
        <f>IF(AND($L$39=$R$10,ISNUMBER($K$10)),IF(AND($Y$10&lt;0,$AA$10&gt;0,-$Y$10&lt;$BE$23,$AA$10&lt;$BB$23),$AA$10,""),"")</f>
        <v>#VALUE!</v>
      </c>
      <c r="AI40" s="32" t="e">
        <f>IF($AG$40="","",$BG$27+$AG$40)</f>
        <v>#VALUE!</v>
      </c>
      <c r="AJ40" s="32" t="e">
        <f>IF($AH$40="","",$AH$40+$BH$27)</f>
        <v>#VALUE!</v>
      </c>
      <c r="AK40" s="32" t="e">
        <f>IF($AG$40="","",$AG$40-$AY$27+$BW$27)</f>
        <v>#VALUE!</v>
      </c>
      <c r="AL40" s="32" t="e">
        <f>IF($AH$40="","",$AH$40-$AZ$27+$BX$27)</f>
        <v>#VALUE!</v>
      </c>
      <c r="AM40" s="32" t="e">
        <f>IF($AG$40="","",$AG$40-$BA$23)</f>
        <v>#VALUE!</v>
      </c>
      <c r="AN40" s="32" t="e">
        <f>IF($AH$40="","",AH$40-$BB$23)</f>
        <v>#VALUE!</v>
      </c>
      <c r="AO40" s="32" t="e">
        <f>IF($AG$40="","",$BE$23+$AG$40)</f>
        <v>#VALUE!</v>
      </c>
      <c r="AP40" s="32" t="e">
        <f>IF($AH$40="","",$AH$40+$BF$23)</f>
        <v>#VALUE!</v>
      </c>
      <c r="AQ40" s="32" t="e">
        <f>IF($AG$40="","",$BG$27+$AG$40-$BM$23)</f>
        <v>#VALUE!</v>
      </c>
      <c r="AR40" s="32" t="e">
        <f>IF($AH$40="","",$AH$40+$BH$27-$BN$23)</f>
        <v>#VALUE!</v>
      </c>
      <c r="AS40" s="32" t="e">
        <f>IF($AG$40="","",$AG$40-$AY$27+$BY$23)</f>
        <v>#VALUE!</v>
      </c>
      <c r="AT40" s="32" t="e">
        <f>IF($AH$40="","",$AH$40-$AZ$27+$BZ$23)</f>
        <v>#VALUE!</v>
      </c>
      <c r="AV40" s="81" t="s">
        <v>194</v>
      </c>
      <c r="AW40" s="81" t="s">
        <v>408</v>
      </c>
      <c r="AX40" s="81" t="s">
        <v>196</v>
      </c>
      <c r="AY40" s="81" t="s">
        <v>197</v>
      </c>
      <c r="AZ40" s="82" t="s">
        <v>284</v>
      </c>
      <c r="BA40" s="81"/>
      <c r="BB40" s="81" t="s">
        <v>285</v>
      </c>
      <c r="BD40" s="52">
        <v>3</v>
      </c>
      <c r="BE40" s="53" t="s">
        <v>272</v>
      </c>
      <c r="BF40" s="36" t="str">
        <f>IF(AND(ISNUMBER($AI$35), ISNUMBER($AJ$35)),IF(AND($AI$35&gt;0,IF($AI$35&lt;$BJ$20,$AS$73,$AS$72)&lt;0),8,IF(AND($AI$35&lt;0,$AJ$35&lt;0),7,IF(AND(IF($AJ$35&lt;$BM$20,$AR$73,$AR$74)&lt;0,$AJ$35&gt;0),6,""))),"")</f>
        <v/>
      </c>
      <c r="BG40" s="82">
        <v>3</v>
      </c>
      <c r="BH40" s="82">
        <v>34</v>
      </c>
      <c r="BI40" s="82">
        <v>35</v>
      </c>
      <c r="BJ40" s="82">
        <v>2</v>
      </c>
      <c r="BK40" s="82">
        <v>11</v>
      </c>
      <c r="BL40" s="82">
        <v>10</v>
      </c>
      <c r="BM40" s="82">
        <v>9</v>
      </c>
      <c r="BN40" s="82">
        <v>4</v>
      </c>
      <c r="BO40" s="82">
        <v>33</v>
      </c>
      <c r="BZ40" s="19"/>
      <c r="CA40" s="19"/>
    </row>
    <row r="41" spans="1:79" ht="12" customHeight="1" x14ac:dyDescent="0.25">
      <c r="A41" s="904"/>
      <c r="B41" s="892"/>
      <c r="C41" s="9"/>
      <c r="D41" s="10"/>
      <c r="E41" s="10"/>
      <c r="F41" s="10"/>
      <c r="G41" s="10"/>
      <c r="H41" s="10"/>
      <c r="I41" s="10"/>
      <c r="J41" s="10"/>
      <c r="K41" s="10"/>
      <c r="L41" s="924"/>
      <c r="M41" s="926"/>
      <c r="N41" s="10"/>
      <c r="O41" s="10"/>
      <c r="P41" s="10"/>
      <c r="Q41" s="10"/>
      <c r="R41" s="10"/>
      <c r="S41" s="10"/>
      <c r="T41" s="10"/>
      <c r="U41" s="10"/>
      <c r="V41" s="22"/>
      <c r="W41" s="904"/>
      <c r="X41" s="904"/>
      <c r="AA41" s="5"/>
      <c r="AB41" s="5"/>
      <c r="AC41" s="52">
        <v>3</v>
      </c>
      <c r="AD41" s="53" t="s">
        <v>274</v>
      </c>
      <c r="AE41" s="32" t="e">
        <f>IF($AI$41="","",$AI$41-$BG$27-$AY$27)</f>
        <v>#VALUE!</v>
      </c>
      <c r="AF41" s="79" t="e">
        <f>IF($AJ$41="","",$AJ$41-$BH$27-$AZ$27)</f>
        <v>#VALUE!</v>
      </c>
      <c r="AG41" s="32" t="e">
        <f>IF($AI$41="","",$AI$41-$BG$27)</f>
        <v>#VALUE!</v>
      </c>
      <c r="AH41" s="32" t="e">
        <f>IF($AJ$41="","",$AJ$41-$BH$27)</f>
        <v>#VALUE!</v>
      </c>
      <c r="AI41" s="47" t="e">
        <f>IF(AND($L$39=$R$10,ISNUMBER($K$10)),IF(AND($Y$10&gt;0,$AA$10&gt;0,$Y$10&lt;$BI$23,$AA$10&lt;$BN$23),$Y$10,""),"")</f>
        <v>#VALUE!</v>
      </c>
      <c r="AJ41" s="47" t="e">
        <f>IF(AND($L$39=$R$10,ISNUMBER($K$10)),IF(AND($Y$10&gt;0,$AA$10&gt;0,$Y$10&lt;$BI$23,$AA$10&lt;$BN$23),$AA$10,""),"")</f>
        <v>#VALUE!</v>
      </c>
      <c r="AK41" s="32" t="e">
        <f>IF($AI$41="","",$AI$41-$BO$27)</f>
        <v>#VALUE!</v>
      </c>
      <c r="AL41" s="32" t="e">
        <f>IF($AJ$41="","",$AJ$41-$BP$27)</f>
        <v>#VALUE!</v>
      </c>
      <c r="AM41" s="32" t="e">
        <f>IF($AI$41="","",$AI$41-$BG$27-$BA$27)</f>
        <v>#VALUE!</v>
      </c>
      <c r="AN41" s="32" t="e">
        <f>IF($AJ$41="","",$AJ$41-$BH$27-$BB$27)</f>
        <v>#VALUE!</v>
      </c>
      <c r="AO41" s="32" t="e">
        <f>IF($AI$41="","",$AI$41-$BI$27)</f>
        <v>#VALUE!</v>
      </c>
      <c r="AP41" s="32" t="e">
        <f>IF($AJ$41="","",$AJ$41-$BJ$27)</f>
        <v>#VALUE!</v>
      </c>
      <c r="AQ41" s="32" t="e">
        <f>IF($AI$41="","",$AI$41-$BM$27)</f>
        <v>#VALUE!</v>
      </c>
      <c r="AR41" s="32" t="e">
        <f>IF($AJ$41="","",$AJ$41-$BN$27)</f>
        <v>#VALUE!</v>
      </c>
      <c r="AS41" s="32" t="e">
        <f>IF($AI$41="","",$AI$41-$BO$27-$BU$27)</f>
        <v>#VALUE!</v>
      </c>
      <c r="AT41" s="32" t="e">
        <f>IF($AJ$41="","",$AJ$41-$BP$27-$BV$23)</f>
        <v>#VALUE!</v>
      </c>
      <c r="AV41" s="81" t="s">
        <v>201</v>
      </c>
      <c r="AW41" s="81"/>
      <c r="AX41" s="81" t="s">
        <v>203</v>
      </c>
      <c r="AY41" s="81" t="s">
        <v>204</v>
      </c>
      <c r="AZ41" s="82" t="s">
        <v>286</v>
      </c>
      <c r="BA41" s="81"/>
      <c r="BB41" s="81" t="s">
        <v>287</v>
      </c>
      <c r="BD41" s="756">
        <v>4</v>
      </c>
      <c r="BE41" s="758" t="s">
        <v>272</v>
      </c>
      <c r="BF41" s="120" t="str">
        <f>IF(AND(ISNUMBER($AK$36), ISNUMBER($AL$36)),IF(AND(IF(-$AL$36&lt;$BS$20,$AT$74,$AT$73)&lt;0,$AL$36&lt;0),6,IF(AND($AK$36&lt;0,$AL$36&gt;0),5,IF(AND($AK$36&gt;0,IF($AK$36&lt;$BT$20,$AU$74,$AU$71)&lt;0),4,""))),"")</f>
        <v/>
      </c>
      <c r="BG41" s="82">
        <v>4</v>
      </c>
      <c r="BH41" s="82">
        <v>33</v>
      </c>
      <c r="BI41" s="82">
        <v>34</v>
      </c>
      <c r="BJ41" s="82">
        <v>3</v>
      </c>
      <c r="BK41" s="82">
        <v>10</v>
      </c>
      <c r="BL41" s="82">
        <v>9</v>
      </c>
      <c r="BM41" s="82">
        <v>8</v>
      </c>
      <c r="BN41" s="82">
        <v>5</v>
      </c>
      <c r="BO41" s="82">
        <v>32</v>
      </c>
      <c r="BZ41" s="19"/>
      <c r="CA41" s="19"/>
    </row>
    <row r="42" spans="1:79" ht="12" customHeight="1" thickBot="1" x14ac:dyDescent="0.3">
      <c r="B42" s="44" t="e">
        <f>IF($L$39='SHL Section'!$L$38,'SHL Section'!$B$41,IF($L$39='BHL Section 1'!$L$38,'BHL Section 1'!$B$41,IF($L$39='BHL Section 2'!$L$38,'BHL Section 2'!$B$41,IF($L$39='BHL Section 3'!$L$38,'BHL Section 3'!$B$41,$B$43))))</f>
        <v>#VALUE!</v>
      </c>
      <c r="C42" s="4"/>
      <c r="L42" s="927"/>
      <c r="M42" s="929"/>
      <c r="V42" s="22"/>
      <c r="W42" s="44" t="e">
        <f>IF($L$39='SHL Section'!$L$38,'SHL Section'!$W$41,IF($L$39='BHL Section 1'!$L$38,'BHL Section 1'!$W$41,IF($L$39='BHL Section 2'!$L$38,'BHL Section 2'!$W$41,IF($L$39='BHL Section 3'!$L$38,'BHL Section 3'!$W$41,$W$43))))</f>
        <v>#VALUE!</v>
      </c>
      <c r="AA42" s="5"/>
      <c r="AB42" s="29"/>
      <c r="AC42" s="756">
        <v>4</v>
      </c>
      <c r="AD42" s="758" t="s">
        <v>274</v>
      </c>
      <c r="AE42" s="45" t="e">
        <f>IF($AK$42="","",$AK$42-$BW$27)</f>
        <v>#VALUE!</v>
      </c>
      <c r="AF42" s="45" t="e">
        <f>IF($AL$42="","",$AL$42-$BX$27)</f>
        <v>#VALUE!</v>
      </c>
      <c r="AG42" s="45" t="e">
        <f>IF($AK$42="","",$AK$42+$BO$27-$BG$27)</f>
        <v>#VALUE!</v>
      </c>
      <c r="AH42" s="45" t="e">
        <f>IF($AL$42="","",$AL$42+$BP$27+$BH$27)</f>
        <v>#VALUE!</v>
      </c>
      <c r="AI42" s="45" t="e">
        <f>IF($AK$42="","",$AK$42+$BO$27)</f>
        <v>#VALUE!</v>
      </c>
      <c r="AJ42" s="45" t="e">
        <f>IF($AL$42="","",$AL$42+$BP$27)</f>
        <v>#VALUE!</v>
      </c>
      <c r="AK42" s="50" t="e">
        <f>IF(AND($L$39=$R$10,ISNUMBER($K$10)),IF(AND($Y$10&gt;0,$AA$10&lt;0,$Y$10&lt;$BU$23,-$AA$10&lt;$BR$23),$Y$10,""),"")</f>
        <v>#VALUE!</v>
      </c>
      <c r="AL42" s="50" t="e">
        <f>IF(AND($L$39=$R$10,ISNUMBER($K$10)),IF(AND($Y$10&gt;0,$AA$10&lt;0,$Y$10&lt;$BU$23,-$AA$10&lt;$BR$23),$AA$10,""),"")</f>
        <v>#VALUE!</v>
      </c>
      <c r="AM42" s="45" t="e">
        <f>IF($AK$42="","",$AK$42-$BW$27+$AW$23)</f>
        <v>#VALUE!</v>
      </c>
      <c r="AN42" s="45" t="e">
        <f>IF($AL$42="","",$AL$42-$BX$27+$AX$23)</f>
        <v>#VALUE!</v>
      </c>
      <c r="AO42" s="45" t="e">
        <f>IF($AK$42="","",$AK$42+$BO$27-$BI$23)</f>
        <v>#VALUE!</v>
      </c>
      <c r="AP42" s="45" t="e">
        <f>IF($AL$42="","",$AL$42+$BP$27-$BJ$23)</f>
        <v>#VALUE!</v>
      </c>
      <c r="AQ42" s="45" t="e">
        <f>IF($AK$42="","",$AK$42+$BQ$23)</f>
        <v>#VALUE!</v>
      </c>
      <c r="AR42" s="45" t="e">
        <f>IF($AL$42="","",$AL$42+$BR$23)</f>
        <v>#VALUE!</v>
      </c>
      <c r="AS42" s="45" t="e">
        <f>IF($AK$42="","",$AK$42-$BU$23)</f>
        <v>#VALUE!</v>
      </c>
      <c r="AT42" s="45" t="e">
        <f>IF($AL$42="","",$AL$42-$BV$23)</f>
        <v>#VALUE!</v>
      </c>
      <c r="AV42" s="81"/>
      <c r="AW42" s="81"/>
      <c r="AX42" s="81"/>
      <c r="AY42" s="81"/>
      <c r="AZ42" s="81"/>
      <c r="BA42" s="81"/>
      <c r="BB42" s="81" t="s">
        <v>288</v>
      </c>
      <c r="BD42" s="52">
        <v>1</v>
      </c>
      <c r="BE42" s="53" t="s">
        <v>274</v>
      </c>
      <c r="BF42" s="36" t="str">
        <f>IF(AND(ISNUMBER($AE$39), ISNUMBER($AF$39)),IF(AND($AE$39&gt;0,$AF$39&gt;0),3,IF(AND($AE$39&lt;0,IF(-$AE$39&lt;$BZ$20,$AO$82,$AO$85)&lt;0),4,IF(AND(IF(-$AF$39&lt;$AW$20,$AN$82,$AN$83)&lt;0,$AF$39&lt;0),2,""))),"")</f>
        <v/>
      </c>
      <c r="BG42" s="82">
        <v>5</v>
      </c>
      <c r="BH42" s="82">
        <v>32</v>
      </c>
      <c r="BI42" s="82">
        <v>33</v>
      </c>
      <c r="BJ42" s="82">
        <v>4</v>
      </c>
      <c r="BK42" s="82">
        <v>9</v>
      </c>
      <c r="BL42" s="82">
        <v>8</v>
      </c>
      <c r="BM42" s="82">
        <v>7</v>
      </c>
      <c r="BN42" s="82">
        <v>6</v>
      </c>
      <c r="BO42" s="82">
        <v>31</v>
      </c>
      <c r="BZ42" s="19"/>
      <c r="CA42" s="19"/>
    </row>
    <row r="43" spans="1:79" ht="12" customHeight="1" x14ac:dyDescent="0.25">
      <c r="A43" s="17" t="s">
        <v>118</v>
      </c>
      <c r="B43" s="110"/>
      <c r="C43" s="4"/>
      <c r="G43" s="831" t="s">
        <v>348</v>
      </c>
      <c r="H43" s="832"/>
      <c r="L43" s="13"/>
      <c r="M43" s="14"/>
      <c r="Q43" s="831" t="s">
        <v>349</v>
      </c>
      <c r="R43" s="832"/>
      <c r="U43" s="155"/>
      <c r="V43" s="22"/>
      <c r="W43" s="162"/>
      <c r="X43" s="25" t="s">
        <v>118</v>
      </c>
      <c r="AA43" s="5"/>
      <c r="AB43" s="29"/>
      <c r="AC43" s="944"/>
      <c r="AD43" s="911"/>
      <c r="AE43" s="80" t="str">
        <f>IF(ISNUMBER($AE$39),AE$39,IF(ISNUMBER($AG$40),AE$40,IF(ISNUMBER($AI$41),AE$41,IF(ISNUMBER($AK$42),AE$42,""))))</f>
        <v/>
      </c>
      <c r="AF43" s="80" t="str">
        <f>IF(ISNUMBER($AF$39),AF$39,IF(ISNUMBER($AH$40),AF$40,IF(ISNUMBER($AJ$41),AF$41,IF(ISNUMBER($AL$42),AF$42,""))))</f>
        <v/>
      </c>
      <c r="AG43" s="80" t="str">
        <f>IF(ISNUMBER($AE$39),AG$39,IF(ISNUMBER($AG$40),AG$40,IF(ISNUMBER($AI$41),AG$41,IF(ISNUMBER($AK$42),AG$42,""))))</f>
        <v/>
      </c>
      <c r="AH43" s="80" t="str">
        <f>IF(ISNUMBER($AF$39),AH$39,IF(ISNUMBER($AH$40),AH$40,IF(ISNUMBER($AJ$41),AH$41,IF(ISNUMBER($AL$42),AH$42,""))))</f>
        <v/>
      </c>
      <c r="AI43" s="80" t="str">
        <f>IF(ISNUMBER($AE$39),AI$39,IF(ISNUMBER($AG$40),AI$40,IF(ISNUMBER($AI$41),AI$41,IF(ISNUMBER($AK$42),AI$42,""))))</f>
        <v/>
      </c>
      <c r="AJ43" s="80" t="str">
        <f>IF(ISNUMBER($AF$39),AJ$39,IF(ISNUMBER($AH$40),AJ$40,IF(ISNUMBER($AJ$41),AJ$41,IF(ISNUMBER($AL$42),AJ$42,""))))</f>
        <v/>
      </c>
      <c r="AK43" s="80" t="str">
        <f>IF(ISNUMBER($AE$39),AK$39,IF(ISNUMBER($AG$40),AK$40,IF(ISNUMBER($AI$41),AK$41,IF(ISNUMBER($AK$42),AK$42,""))))</f>
        <v/>
      </c>
      <c r="AL43" s="80" t="str">
        <f>IF(ISNUMBER($AF$39),AL$39,IF(ISNUMBER($AH$40),AL$40,IF(ISNUMBER($AJ$41),AL$41,IF(ISNUMBER($AL$42),AL$42,""))))</f>
        <v/>
      </c>
      <c r="AM43" s="80" t="str">
        <f>IF(ISNUMBER($AE$39),AM$39,IF(ISNUMBER($AG$40),AM$40,IF(ISNUMBER($AI$41),AM$41,IF(ISNUMBER($AK$42),AM$42,""))))</f>
        <v/>
      </c>
      <c r="AN43" s="80" t="str">
        <f>IF(ISNUMBER($AF$39),AN$39,IF(ISNUMBER($AH$40),AN$40,IF(ISNUMBER($AJ$41),AN$41,IF(ISNUMBER($AL$42),AN$42,""))))</f>
        <v/>
      </c>
      <c r="AO43" s="80" t="str">
        <f>IF(ISNUMBER($AE$39),AO$39,IF(ISNUMBER($AG$40),AO$40,IF(ISNUMBER($AI$41),AO$41,IF(ISNUMBER($AK$42),AO$42,""))))</f>
        <v/>
      </c>
      <c r="AP43" s="80" t="str">
        <f>IF(ISNUMBER($AF$39),AP$39,IF(ISNUMBER($AH$40),AP$40,IF(ISNUMBER($AJ$41),AP$41,IF(ISNUMBER($AL$42),AP$42,""))))</f>
        <v/>
      </c>
      <c r="AQ43" s="80" t="str">
        <f>IF(ISNUMBER($AE$39),AQ$39,IF(ISNUMBER($AG$40),AQ$40,IF(ISNUMBER($AI$41),AQ$41,IF(ISNUMBER($AK$42),AQ$42,""))))</f>
        <v/>
      </c>
      <c r="AR43" s="80" t="str">
        <f>IF(ISNUMBER($AF$39),AR$39,IF(ISNUMBER($AH$40),AR$40,IF(ISNUMBER($AJ$41),AR$41,IF(ISNUMBER($AL$42),AR$42,""))))</f>
        <v/>
      </c>
      <c r="AS43" s="80" t="str">
        <f>IF(ISNUMBER($AE$39),AS$39,IF(ISNUMBER($AG$40),AS$40,IF(ISNUMBER($AI$41),AS$41,IF(ISNUMBER($AK$42),AS$42,""))))</f>
        <v/>
      </c>
      <c r="AT43" s="80" t="str">
        <f>IF(ISNUMBER($AF$39),AT$39,IF(ISNUMBER($AH$40),AT$40,IF(ISNUMBER($AJ$41),AT$41,IF(ISNUMBER($AL$42),AT$42,""))))</f>
        <v/>
      </c>
      <c r="AV43" s="81"/>
      <c r="AW43" s="81"/>
      <c r="AX43" s="81"/>
      <c r="AY43" s="81"/>
      <c r="AZ43" s="81"/>
      <c r="BA43" s="81"/>
      <c r="BB43" s="81" t="s">
        <v>289</v>
      </c>
      <c r="BD43" s="52">
        <v>2</v>
      </c>
      <c r="BE43" s="53" t="s">
        <v>274</v>
      </c>
      <c r="BF43" s="36" t="str">
        <f>IF(AND(ISNUMBER($AG$40), ISNUMBER($AH$40)),IF(AND(IF($AH$40&lt;$BC$20,$AP$83,$AP$82)&lt;0,$AH$40&gt;0),2,IF(AND($AG$40&gt;0,$AH$40&lt;0),9,IF(AND($AG$40&lt;0,IF(-$AG$40&lt;$BD$20,$AQ$83,$AQ$84)&lt;0),8,""))),"")</f>
        <v/>
      </c>
      <c r="BG43" s="82">
        <v>6</v>
      </c>
      <c r="BH43" s="82">
        <v>31</v>
      </c>
      <c r="BI43" s="82">
        <v>32</v>
      </c>
      <c r="BJ43" s="82">
        <v>5</v>
      </c>
      <c r="BK43" s="82">
        <v>8</v>
      </c>
      <c r="BL43" s="82">
        <v>7</v>
      </c>
      <c r="BM43" s="82">
        <v>12</v>
      </c>
      <c r="BN43" s="82">
        <v>1</v>
      </c>
      <c r="BO43" s="82">
        <v>36</v>
      </c>
      <c r="BZ43" s="19"/>
      <c r="CA43" s="19"/>
    </row>
    <row r="44" spans="1:79" ht="12" customHeight="1" x14ac:dyDescent="0.25">
      <c r="A44" s="17" t="s">
        <v>124</v>
      </c>
      <c r="B44" s="111"/>
      <c r="C44" s="4"/>
      <c r="G44" s="99" t="str">
        <f>IF(ISNUMBER($AI$67),$C$9,"")</f>
        <v/>
      </c>
      <c r="H44" s="150" t="str">
        <f>IF(AND(G45="",G46=""),"",IF($AI$67=1,"NE/SW",IF($AI$67=2,"NW/SW",IF($AI$67=3,"SW/SW",IF($AI$67=4,"SE/SW","")))))</f>
        <v/>
      </c>
      <c r="L44" s="13"/>
      <c r="M44" s="14"/>
      <c r="Q44" s="99" t="str">
        <f>IF(ISNUMBER($AK$67),$C$9,"")</f>
        <v/>
      </c>
      <c r="R44" s="150" t="str">
        <f>IF(AND(Q45="",Q46=""),"",IF($AK$67=1,"NE/SE",IF($AK$67=2,"NW/SE",IF($AK$67=3,"SW/SE",IF($AK$67=4,"SE/SE","")))))</f>
        <v/>
      </c>
      <c r="U44" s="155"/>
      <c r="V44" s="22"/>
      <c r="W44" s="147"/>
      <c r="X44" s="25" t="s">
        <v>124</v>
      </c>
      <c r="AA44" s="5"/>
      <c r="AB44" s="5"/>
      <c r="AC44" s="94"/>
      <c r="AD44" s="95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V44" s="81"/>
      <c r="AW44" s="81"/>
      <c r="AX44" s="81"/>
      <c r="AY44" s="81"/>
      <c r="AZ44" s="81"/>
      <c r="BA44" s="81"/>
      <c r="BB44" s="81" t="s">
        <v>290</v>
      </c>
      <c r="BD44" s="52">
        <v>3</v>
      </c>
      <c r="BE44" s="53" t="s">
        <v>274</v>
      </c>
      <c r="BF44" s="36" t="str">
        <f>IF(AND(ISNUMBER($AI$41), ISNUMBER($AJ$41)),IF(AND($AI$41&gt;0,IF($AI$41&lt;$BJ$20,$AS$84,$AS$83)&lt;0),8,IF(AND($AI$41&lt;0,$AJ$41&lt;0),7,IF(AND(IF($AJ$41&lt;$BM$20,$AR$84,$AR$85)&lt;0,$AJ$41&gt;0),6,""))),"")</f>
        <v/>
      </c>
      <c r="BG44" s="82">
        <v>7</v>
      </c>
      <c r="BH44" s="82">
        <v>6</v>
      </c>
      <c r="BI44" s="82">
        <v>5</v>
      </c>
      <c r="BJ44" s="82">
        <v>8</v>
      </c>
      <c r="BK44" s="82">
        <v>17</v>
      </c>
      <c r="BL44" s="82">
        <v>18</v>
      </c>
      <c r="BM44" s="82">
        <v>13</v>
      </c>
      <c r="BN44" s="82">
        <v>12</v>
      </c>
      <c r="BO44" s="82">
        <v>1</v>
      </c>
      <c r="BZ44" s="19"/>
      <c r="CA44" s="19"/>
    </row>
    <row r="45" spans="1:79" ht="12" customHeight="1" x14ac:dyDescent="0.25">
      <c r="A45" s="17" t="s">
        <v>130</v>
      </c>
      <c r="B45" s="111"/>
      <c r="C45" s="4"/>
      <c r="G45" s="151" t="str">
        <f>IF(ISNUMBER($AI$67),$M$9,"")</f>
        <v/>
      </c>
      <c r="H45" s="152" t="str">
        <f>IF(ISNUMBER($AI$67),"FSL","")</f>
        <v/>
      </c>
      <c r="J45" s="19"/>
      <c r="K45" s="19"/>
      <c r="L45" s="13"/>
      <c r="M45" s="14"/>
      <c r="Q45" s="151" t="str">
        <f>IF(ISNUMBER($AK$67),$M$9,"")</f>
        <v/>
      </c>
      <c r="R45" s="152" t="str">
        <f>IF(ISNUMBER($AK$67),"FSL","")</f>
        <v/>
      </c>
      <c r="T45" s="19"/>
      <c r="U45" s="155"/>
      <c r="V45" s="22"/>
      <c r="W45" s="147"/>
      <c r="X45" s="25" t="s">
        <v>130</v>
      </c>
      <c r="AA45" s="5"/>
      <c r="AB45" s="29"/>
      <c r="AC45" s="52">
        <v>1</v>
      </c>
      <c r="AD45" s="53" t="s">
        <v>276</v>
      </c>
      <c r="AE45" s="47" t="e">
        <f>IF(AND($L$39=$R$11,ISNUMBER($K$11)),IF(AND($Y$11&lt;0,$AA$11&lt;0,-$Y$11&lt;$BY$23,-$AA$11&lt;$AX$23),$Y$11,""),"")</f>
        <v>#VALUE!</v>
      </c>
      <c r="AF45" s="47" t="e">
        <f>IF(AND($L$39=$R$11,ISNUMBER($K$11)),IF(AND($Y$11&lt;0,$AA$11&lt;0,-$Y$11&lt;$BY$23,-$AA$11&lt;$AX$23),$AA$11,""),"")</f>
        <v>#VALUE!</v>
      </c>
      <c r="AG45" s="32" t="e">
        <f>IF($AE$45="","",$AY$27+$AE$45)</f>
        <v>#VALUE!</v>
      </c>
      <c r="AH45" s="32" t="e">
        <f>IF($AF$45="","",$AZ$27+$AF$45)</f>
        <v>#VALUE!</v>
      </c>
      <c r="AI45" s="32" t="e">
        <f>IF($AE$45="","",$BG$27+$AY$27+$AE$45)</f>
        <v>#VALUE!</v>
      </c>
      <c r="AJ45" s="32" t="e">
        <f>IF($AF$45="","",$AZ$27+$BH$27+$AF$45)</f>
        <v>#VALUE!</v>
      </c>
      <c r="AK45" s="32" t="e">
        <f>IF($AE$45="","",$BW$27+$AE$45)</f>
        <v>#VALUE!</v>
      </c>
      <c r="AL45" s="32" t="e">
        <f>IF($AF$45="","",$AF$45+$BX$27)</f>
        <v>#VALUE!</v>
      </c>
      <c r="AM45" s="32" t="e">
        <f>IF($AE$45="","",$AW$23+$AE$45)</f>
        <v>#VALUE!</v>
      </c>
      <c r="AN45" s="32" t="e">
        <f>IF($AF$45="","",$AX$23+$AF$45)</f>
        <v>#VALUE!</v>
      </c>
      <c r="AO45" s="32" t="e">
        <f>IF($AE$45="","",$AY$27+$AE$45+$BE$23)</f>
        <v>#VALUE!</v>
      </c>
      <c r="AP45" s="32" t="e">
        <f>IF($AF$45="","",$AZ$27+$AF$45+$BF$23)</f>
        <v>#VALUE!</v>
      </c>
      <c r="AQ45" s="32" t="e">
        <f>IF($AE$45="","",$BW$27+$AE$45+$BQ$23)</f>
        <v>#VALUE!</v>
      </c>
      <c r="AR45" s="32" t="e">
        <f>IF($AF$45="","",$AF$45+$BX$27+$BR$23)</f>
        <v>#VALUE!</v>
      </c>
      <c r="AS45" s="32" t="e">
        <f>IF($AE$45="","",$BY$23+$AE$45)</f>
        <v>#VALUE!</v>
      </c>
      <c r="AT45" s="32" t="e">
        <f>IF($AF$45="","",$AF$45+$BZ$23)</f>
        <v>#VALUE!</v>
      </c>
      <c r="AV45" s="81"/>
      <c r="AW45" s="81"/>
      <c r="AX45" s="81"/>
      <c r="AY45" s="81"/>
      <c r="AZ45" s="81"/>
      <c r="BA45" s="81"/>
      <c r="BB45" s="81" t="s">
        <v>291</v>
      </c>
      <c r="BD45" s="756">
        <v>4</v>
      </c>
      <c r="BE45" s="758" t="s">
        <v>274</v>
      </c>
      <c r="BF45" s="120" t="str">
        <f>IF(AND(ISNUMBER($AK$42), ISNUMBER($AL$42)),IF(AND(IF(-$AL$42&lt;$BS$20,$AT$85,$AT$84)&lt;0,$AL$42&lt;0),6,IF(AND($AK$42&lt;0,$AL$42&gt;0),5,IF(AND($AK$42&gt;0,IF($AK$42&lt;$BT$20,$AU$85,$AU$82)&lt;0),4,""))),"")</f>
        <v/>
      </c>
      <c r="BG45" s="82">
        <v>8</v>
      </c>
      <c r="BH45" s="82">
        <v>5</v>
      </c>
      <c r="BI45" s="82">
        <v>4</v>
      </c>
      <c r="BJ45" s="82">
        <v>9</v>
      </c>
      <c r="BK45" s="82">
        <v>16</v>
      </c>
      <c r="BL45" s="82">
        <v>17</v>
      </c>
      <c r="BM45" s="82">
        <v>18</v>
      </c>
      <c r="BN45" s="82">
        <v>7</v>
      </c>
      <c r="BO45" s="82">
        <v>6</v>
      </c>
      <c r="BZ45" s="19"/>
      <c r="CA45" s="19"/>
    </row>
    <row r="46" spans="1:79" ht="12" customHeight="1" x14ac:dyDescent="0.25">
      <c r="A46" s="17" t="s">
        <v>134</v>
      </c>
      <c r="B46" s="111"/>
      <c r="C46" s="4"/>
      <c r="G46" s="91" t="str">
        <f>IF(ISNUMBER($AI$67),$O$9,"")</f>
        <v/>
      </c>
      <c r="H46" s="90" t="str">
        <f>IF(ISNUMBER($AI$67),"FWL","")</f>
        <v/>
      </c>
      <c r="J46" s="19"/>
      <c r="K46" s="19"/>
      <c r="L46" s="13"/>
      <c r="M46" s="14"/>
      <c r="Q46" s="91" t="str">
        <f>IF(ISNUMBER($AK$67),$O$9,"")</f>
        <v/>
      </c>
      <c r="R46" s="90" t="str">
        <f>IF(ISNUMBER($AK$67),"FEL","")</f>
        <v/>
      </c>
      <c r="T46" s="19"/>
      <c r="U46" s="155"/>
      <c r="V46" s="22"/>
      <c r="W46" s="147"/>
      <c r="X46" s="25" t="s">
        <v>134</v>
      </c>
      <c r="AA46" s="5"/>
      <c r="AB46" s="29"/>
      <c r="AC46" s="52">
        <v>2</v>
      </c>
      <c r="AD46" s="53" t="s">
        <v>276</v>
      </c>
      <c r="AE46" s="32" t="e">
        <f>IF($AG$46="","",$AG$46-$AY$27)</f>
        <v>#VALUE!</v>
      </c>
      <c r="AF46" s="32" t="e">
        <f>IF($AH$46="","",$AH$46-$AZ$27)</f>
        <v>#VALUE!</v>
      </c>
      <c r="AG46" s="47" t="e">
        <f>IF(AND($L$39=$R$11,ISNUMBER($K$11)),IF(AND($Y$11&lt;0,$AA$11&gt;0,-$Y$11&lt;$BE$23,$AA$11&lt;$BB$23),$Y$11,""),"")</f>
        <v>#VALUE!</v>
      </c>
      <c r="AH46" s="47" t="e">
        <f>IF(AND($L$39=$R$11,ISNUMBER($K$11)),IF(AND($Y$11&lt;0,$AA$11&gt;0,-$Y$11&lt;$BE$23,$AA$11&lt;$BB$23),$AA$11,""),"")</f>
        <v>#VALUE!</v>
      </c>
      <c r="AI46" s="32" t="e">
        <f>IF($AG$46="","",$BG$27+$AG$46)</f>
        <v>#VALUE!</v>
      </c>
      <c r="AJ46" s="32" t="e">
        <f>IF($AH$46="","",$AH$46+$BH$27)</f>
        <v>#VALUE!</v>
      </c>
      <c r="AK46" s="32" t="e">
        <f>IF($AG$46="","",$AG$46-$AY$27+$BW$27)</f>
        <v>#VALUE!</v>
      </c>
      <c r="AL46" s="32" t="e">
        <f>IF($AH$46="","",$AH$46-$AZ$27+$BX$27)</f>
        <v>#VALUE!</v>
      </c>
      <c r="AM46" s="32" t="e">
        <f>IF($AG$46="","",$AG$46-$BA$23)</f>
        <v>#VALUE!</v>
      </c>
      <c r="AN46" s="32" t="e">
        <f>IF($AH$46="","",AH$46-$BB$23)</f>
        <v>#VALUE!</v>
      </c>
      <c r="AO46" s="32" t="e">
        <f>IF($AG$46="","",$BE$23+$AG$46)</f>
        <v>#VALUE!</v>
      </c>
      <c r="AP46" s="32" t="e">
        <f>IF($AH$46="","",$AH$46+$BF$23)</f>
        <v>#VALUE!</v>
      </c>
      <c r="AQ46" s="32" t="e">
        <f>IF($AG$46="","",$BG$27+$AG$46-$BM$23)</f>
        <v>#VALUE!</v>
      </c>
      <c r="AR46" s="32" t="e">
        <f>IF($AH$46="","",$AH$46+$BH$27-$BN$23)</f>
        <v>#VALUE!</v>
      </c>
      <c r="AS46" s="32" t="e">
        <f>IF($AG$46="","",$AG$46-$AY$27+$BY$23)</f>
        <v>#VALUE!</v>
      </c>
      <c r="AT46" s="32" t="e">
        <f>IF($AH$46="","",$AH$46-$AZ$27+$BZ$23)</f>
        <v>#VALUE!</v>
      </c>
      <c r="AV46" s="81"/>
      <c r="AW46" s="81"/>
      <c r="AX46" s="81"/>
      <c r="AY46" s="81"/>
      <c r="AZ46" s="81"/>
      <c r="BA46" s="81"/>
      <c r="BB46" s="81" t="s">
        <v>292</v>
      </c>
      <c r="BD46" s="52">
        <v>1</v>
      </c>
      <c r="BE46" s="53" t="s">
        <v>276</v>
      </c>
      <c r="BF46" s="36" t="str">
        <f>IF(AND(ISNUMBER($AE$45), ISNUMBER($AF$45)),IF(AND($AE$45&gt;0,$AF$45&gt;0),3,IF(AND($AE$45&lt;0,IF(-$AE$45&lt;$BZ$20,$AO$93,$AO$96)&lt;0),4,IF(AND(IF(-$AF$45&lt;$AW$20,$AN$93,$AN$94)&lt;0,$AF$45&lt;0),2,""))),"")</f>
        <v/>
      </c>
      <c r="BG46" s="82">
        <v>9</v>
      </c>
      <c r="BH46" s="82">
        <v>4</v>
      </c>
      <c r="BI46" s="82">
        <v>3</v>
      </c>
      <c r="BJ46" s="82">
        <v>10</v>
      </c>
      <c r="BK46" s="82">
        <v>15</v>
      </c>
      <c r="BL46" s="82">
        <v>16</v>
      </c>
      <c r="BM46" s="82">
        <v>17</v>
      </c>
      <c r="BN46" s="82">
        <v>8</v>
      </c>
      <c r="BO46" s="82">
        <v>5</v>
      </c>
      <c r="BZ46" s="19"/>
      <c r="CA46" s="19"/>
    </row>
    <row r="47" spans="1:79" ht="12" customHeight="1" x14ac:dyDescent="0.25">
      <c r="A47" s="17" t="s">
        <v>140</v>
      </c>
      <c r="B47" s="112">
        <v>1</v>
      </c>
      <c r="C47" s="4"/>
      <c r="G47" s="99" t="str">
        <f>IF(ISNUMBER($AI$78),$C$10,"")</f>
        <v/>
      </c>
      <c r="H47" s="150" t="str">
        <f>IF(AND(G48="",G49=""),"",IF($AI$78=1,"NE/SW",IF($AI$78=2,"NW/SW",IF($AI$78=3,"SW/SW",IF($AI$78=4,"SE/SW","")))))</f>
        <v/>
      </c>
      <c r="I47" s="154"/>
      <c r="J47" s="153"/>
      <c r="K47" s="153"/>
      <c r="L47" s="13"/>
      <c r="M47" s="14"/>
      <c r="Q47" s="99" t="str">
        <f>IF(ISNUMBER($AK$78),$C$10,"")</f>
        <v/>
      </c>
      <c r="R47" s="150" t="str">
        <f>IF(AND(Q48="",Q49=""),"",IF($AK$78=1,"NE/SE",IF($AK$78=2,"NW/SE",IF($AK$78=3,"SW/SE",IF($AK$78=4,"SE/SE","")))))</f>
        <v/>
      </c>
      <c r="S47" s="154"/>
      <c r="T47" s="153"/>
      <c r="U47" s="155"/>
      <c r="V47" s="22"/>
      <c r="W47" s="112">
        <v>4</v>
      </c>
      <c r="X47" s="25" t="s">
        <v>140</v>
      </c>
      <c r="AA47" s="5"/>
      <c r="AB47" s="29"/>
      <c r="AC47" s="52">
        <v>3</v>
      </c>
      <c r="AD47" s="53" t="s">
        <v>276</v>
      </c>
      <c r="AE47" s="32" t="e">
        <f>IF($AI$47="","",$AI$47-$BG$27-$AY$27)</f>
        <v>#VALUE!</v>
      </c>
      <c r="AF47" s="79" t="e">
        <f>IF($AJ$47="","",$AJ$47-$BH$27-$AZ$27)</f>
        <v>#VALUE!</v>
      </c>
      <c r="AG47" s="32" t="e">
        <f>IF($AI$47="","",$AI$47-$BG$27)</f>
        <v>#VALUE!</v>
      </c>
      <c r="AH47" s="32" t="e">
        <f>IF($AJ$47="","",$AJ$47-$BH$27)</f>
        <v>#VALUE!</v>
      </c>
      <c r="AI47" s="47" t="e">
        <f>IF(AND($L$39=$R$11,ISNUMBER($K$11)),IF(AND($Y$11&gt;0,$AA$11&gt;0,$Y$11&lt;$BI$23,$AA$11&lt;$BN$23),$Y$11,""),"")</f>
        <v>#VALUE!</v>
      </c>
      <c r="AJ47" s="47" t="e">
        <f>IF(AND($L$39=$R$11,ISNUMBER($K$11)),IF(AND($Y$11&gt;0,$AA$11&gt;0,$Y$11&lt;$BI$23,$AA$11&lt;$BN$23),$AA$11,""),"")</f>
        <v>#VALUE!</v>
      </c>
      <c r="AK47" s="32" t="e">
        <f>IF($AI$47="","",$AI$47-$BO$27)</f>
        <v>#VALUE!</v>
      </c>
      <c r="AL47" s="32" t="e">
        <f>IF($AJ$47="","",$AJ$47-$BP$27)</f>
        <v>#VALUE!</v>
      </c>
      <c r="AM47" s="32" t="e">
        <f>IF($AI$47="","",$AI$47-$BG$27-$BA$27)</f>
        <v>#VALUE!</v>
      </c>
      <c r="AN47" s="32" t="e">
        <f>IF($AJ$47="","",$AJ$47-$BH$27-$BB$27)</f>
        <v>#VALUE!</v>
      </c>
      <c r="AO47" s="32" t="e">
        <f>IF($AI$47="","",$AI$47-$BI$27)</f>
        <v>#VALUE!</v>
      </c>
      <c r="AP47" s="32" t="e">
        <f>IF($AJ$47="","",$AJ$47-$BJ$27)</f>
        <v>#VALUE!</v>
      </c>
      <c r="AQ47" s="32" t="e">
        <f>IF($AI$47="","",$AI$47-$BM$27)</f>
        <v>#VALUE!</v>
      </c>
      <c r="AR47" s="32" t="e">
        <f>IF($AJ$47="","",$AJ$47-$BN$27)</f>
        <v>#VALUE!</v>
      </c>
      <c r="AS47" s="32" t="e">
        <f>IF($AI$47="","",$AI$47-$BO$27-$BU$27)</f>
        <v>#VALUE!</v>
      </c>
      <c r="AT47" s="32" t="e">
        <f>IF($AJ$47="","",$AJ$47-$BP$27-$BV$23)</f>
        <v>#VALUE!</v>
      </c>
      <c r="AV47" s="81"/>
      <c r="AW47" s="81"/>
      <c r="AX47" s="81"/>
      <c r="AY47" s="81"/>
      <c r="AZ47" s="81"/>
      <c r="BA47" s="81"/>
      <c r="BB47" s="81" t="s">
        <v>293</v>
      </c>
      <c r="BD47" s="52">
        <v>2</v>
      </c>
      <c r="BE47" s="53" t="s">
        <v>276</v>
      </c>
      <c r="BF47" s="36" t="str">
        <f>IF(AND(ISNUMBER($AG$46), ISNUMBER($AH$46)),IF(AND(IF($AH$46&lt;$BC$20,$AP$94,$AP$93)&lt;0,$AH$46&gt;0),2,IF(AND($AG$46&gt;0,$AH$46&lt;0),9,IF(AND($AG$46&lt;0,IF(-$AG$46&lt;$BD$20,$AQ$94,$AQ$95)&lt;0),8,""))),"")</f>
        <v/>
      </c>
      <c r="BG47" s="82">
        <v>10</v>
      </c>
      <c r="BH47" s="82">
        <v>3</v>
      </c>
      <c r="BI47" s="82">
        <v>2</v>
      </c>
      <c r="BJ47" s="82">
        <v>11</v>
      </c>
      <c r="BK47" s="82">
        <v>14</v>
      </c>
      <c r="BL47" s="82">
        <v>15</v>
      </c>
      <c r="BM47" s="82">
        <v>16</v>
      </c>
      <c r="BN47" s="82">
        <v>9</v>
      </c>
      <c r="BO47" s="82">
        <v>4</v>
      </c>
      <c r="BZ47" s="19"/>
      <c r="CA47" s="19"/>
    </row>
    <row r="48" spans="1:79" ht="12" customHeight="1" x14ac:dyDescent="0.25">
      <c r="A48" s="17" t="s">
        <v>144</v>
      </c>
      <c r="B48" s="27" t="e">
        <f>IF($L$39='SHL Section'!$L$38,IF('SHL Section'!$B$46="","",'SHL Section'!$B$46),IF($L$39='BHL Section 1'!$L$38,IF('BHL Section 1'!$B$47="","",'BHL Section 1'!$B$47),IF($L$39='BHL Section 2'!$L$38,IF('BHL Section 2'!$B$47="","",'BHL Section 2'!$B$47),IF($L$39='BHL Section 3'!$L$38,IF('BHL Section 3'!$B$47="","",'BHL Section 3'!$B$47),IF(B44="","",IF(OR(B47=1,B47=4),180-(B44+B45/60+B46/3600),(B44+B45/60+B46/3600)))))))</f>
        <v>#VALUE!</v>
      </c>
      <c r="C48" s="4"/>
      <c r="G48" s="151" t="str">
        <f>IF(ISNUMBER($AI$78),$M$10,"")</f>
        <v/>
      </c>
      <c r="H48" s="152" t="str">
        <f>IF(ISNUMBER($AI$78),"FSL","")</f>
        <v/>
      </c>
      <c r="I48" s="154"/>
      <c r="J48" s="153"/>
      <c r="K48" s="153"/>
      <c r="L48" s="13"/>
      <c r="M48" s="14"/>
      <c r="Q48" s="151" t="str">
        <f>IF(ISNUMBER($AK$78),$M$10,"")</f>
        <v/>
      </c>
      <c r="R48" s="152" t="str">
        <f>IF(ISNUMBER($AK$78),"FSL","")</f>
        <v/>
      </c>
      <c r="S48" s="154"/>
      <c r="T48" s="153"/>
      <c r="V48" s="22"/>
      <c r="W48" s="27" t="e">
        <f>IF($L$39='SHL Section'!$L$38,IF('SHL Section'!$W$46="","",'SHL Section'!$W$46),IF($L$39='BHL Section 1'!$L$38,IF('BHL Section 1'!$W$47="","",'BHL Section 1'!$W$47),IF($L$39='BHL Section 2'!$L$38,IF('BHL Section 2'!$W$47="","",'BHL Section 2'!$W$47),IF($L$39='BHL Section 3'!$L$38,IF('BHL Section 3'!$W$47="","",'BHL Section 3'!$W$47),IF(W44="","",IF(OR(W47=1,W47=4),180-(W44+W45/60+W46/3600),(W44+W45/60+W46/3600)))))))</f>
        <v>#VALUE!</v>
      </c>
      <c r="X48" s="25" t="s">
        <v>144</v>
      </c>
      <c r="AA48" s="5"/>
      <c r="AB48" s="29"/>
      <c r="AC48" s="756">
        <v>4</v>
      </c>
      <c r="AD48" s="758" t="s">
        <v>276</v>
      </c>
      <c r="AE48" s="45" t="e">
        <f>IF($AK$48="","",$AK$48-$BW$27)</f>
        <v>#VALUE!</v>
      </c>
      <c r="AF48" s="45" t="e">
        <f>IF($AL$48="","",$AL$48-$BX$27)</f>
        <v>#VALUE!</v>
      </c>
      <c r="AG48" s="45" t="e">
        <f>IF($AK$48="","",$AK$48+$BO$27-$BG$27)</f>
        <v>#VALUE!</v>
      </c>
      <c r="AH48" s="45" t="e">
        <f>IF($AL$48="","",$AL$48+$BP$27+$BH$27)</f>
        <v>#VALUE!</v>
      </c>
      <c r="AI48" s="45" t="e">
        <f>IF($AK$48="","",$AK$48+$BO$27)</f>
        <v>#VALUE!</v>
      </c>
      <c r="AJ48" s="45" t="e">
        <f>IF($AL$48="","",$AL$48+$BP$27)</f>
        <v>#VALUE!</v>
      </c>
      <c r="AK48" s="50" t="e">
        <f>IF(AND($L$39=$R$11,ISNUMBER($K$11)),IF(AND($Y$11&gt;0,$AA$11&lt;0,$Y$11&lt;$BU$23,-$AA$11&lt;$BR$23),$Y$11,""),"")</f>
        <v>#VALUE!</v>
      </c>
      <c r="AL48" s="50" t="e">
        <f>IF(AND($L$39=$R$11,ISNUMBER($K$11)),IF(AND($Y$11&gt;0,$AA$11&lt;0,$Y$11&lt;$BU$23,-$AA$11&lt;$BR$23),$AA$11,""),"")</f>
        <v>#VALUE!</v>
      </c>
      <c r="AM48" s="45" t="e">
        <f>IF($AK$48="","",$AK$48-$BW$27+$AW$23)</f>
        <v>#VALUE!</v>
      </c>
      <c r="AN48" s="45" t="e">
        <f>IF($AL$48="","",$AL$48-$BX$27+$AX$23)</f>
        <v>#VALUE!</v>
      </c>
      <c r="AO48" s="45" t="e">
        <f>IF($AK$48="","",$AK$48+$BO$27-$BI$23)</f>
        <v>#VALUE!</v>
      </c>
      <c r="AP48" s="45" t="e">
        <f>IF($AL$48="","",$AL$48+$BP$27-$BJ$23)</f>
        <v>#VALUE!</v>
      </c>
      <c r="AQ48" s="45" t="e">
        <f>IF($AK$48="","",$AK$48+$BQ$23)</f>
        <v>#VALUE!</v>
      </c>
      <c r="AR48" s="45" t="e">
        <f>IF($AL$48="","",$AL$48+$BR$23)</f>
        <v>#VALUE!</v>
      </c>
      <c r="AS48" s="45" t="e">
        <f>IF($AK$48="","",$AK$48-$BU$23)</f>
        <v>#VALUE!</v>
      </c>
      <c r="AT48" s="45" t="e">
        <f>IF($AL$48="","",$AL$48-$BV$23)</f>
        <v>#VALUE!</v>
      </c>
      <c r="AV48" s="81"/>
      <c r="AW48" s="81"/>
      <c r="AX48" s="81"/>
      <c r="AY48" s="81"/>
      <c r="AZ48" s="81"/>
      <c r="BA48" s="81"/>
      <c r="BB48" s="81" t="s">
        <v>294</v>
      </c>
      <c r="BD48" s="52">
        <v>3</v>
      </c>
      <c r="BE48" s="53" t="s">
        <v>276</v>
      </c>
      <c r="BF48" s="36" t="str">
        <f>IF(AND(ISNUMBER($AI$47), ISNUMBER($AJ$47)),IF(AND($AI$47&gt;0,IF($AI$47&lt;$BJ$20,$AS$95,$AS$94)&lt;0),8,IF(AND($AI$47&lt;0,$AJ$47&lt;0),7,IF(AND(IF($AJ$47&lt;$BM$20,$AR$95,$AR$96)&lt;0,$AJ$47&gt;0),6,""))),"")</f>
        <v/>
      </c>
      <c r="BG48" s="82">
        <v>11</v>
      </c>
      <c r="BH48" s="82">
        <v>2</v>
      </c>
      <c r="BI48" s="82">
        <v>1</v>
      </c>
      <c r="BJ48" s="82">
        <v>12</v>
      </c>
      <c r="BK48" s="82">
        <v>13</v>
      </c>
      <c r="BL48" s="82">
        <v>14</v>
      </c>
      <c r="BM48" s="82">
        <v>15</v>
      </c>
      <c r="BN48" s="82">
        <v>10</v>
      </c>
      <c r="BO48" s="82">
        <v>3</v>
      </c>
      <c r="BZ48" s="19"/>
      <c r="CA48" s="19"/>
    </row>
    <row r="49" spans="1:79" ht="12" customHeight="1" x14ac:dyDescent="0.25">
      <c r="C49" s="4"/>
      <c r="G49" s="91" t="str">
        <f>IF(ISNUMBER($AI$78),$O$10,"")</f>
        <v/>
      </c>
      <c r="H49" s="90" t="str">
        <f>IF(ISNUMBER($AI$78),"FWL","")</f>
        <v/>
      </c>
      <c r="I49" s="154"/>
      <c r="J49" s="153"/>
      <c r="K49" s="153"/>
      <c r="L49" s="13"/>
      <c r="M49" s="14"/>
      <c r="Q49" s="91" t="str">
        <f>IF(ISNUMBER($AK$78),$O$10,"")</f>
        <v/>
      </c>
      <c r="R49" s="90" t="str">
        <f>IF(ISNUMBER($AK$78),"FEL","")</f>
        <v/>
      </c>
      <c r="S49" s="154"/>
      <c r="T49" s="153"/>
      <c r="V49" s="22"/>
      <c r="AA49" s="5"/>
      <c r="AB49" s="29"/>
      <c r="AC49" s="944"/>
      <c r="AD49" s="911"/>
      <c r="AE49" s="80" t="str">
        <f>IF(ISNUMBER($AE$45),AE$45,IF(ISNUMBER($AG$46),AE$46,IF(ISNUMBER($AI$47),AE$47,IF(ISNUMBER($AK$48),AE$48,""))))</f>
        <v/>
      </c>
      <c r="AF49" s="80" t="str">
        <f>IF(ISNUMBER($AF$45),AF$45,IF(ISNUMBER($AH$46),AF$46,IF(ISNUMBER($AJ$47),AF$47,IF(ISNUMBER($AL$48),AF$48,""))))</f>
        <v/>
      </c>
      <c r="AG49" s="80" t="str">
        <f>IF(ISNUMBER($AE$45),AG$45,IF(ISNUMBER($AG$46),AG$46,IF(ISNUMBER($AI$47),AG$47,IF(ISNUMBER($AK$48),AG$48,""))))</f>
        <v/>
      </c>
      <c r="AH49" s="80" t="str">
        <f>IF(ISNUMBER($AF$45),AH$45,IF(ISNUMBER($AH$46),AH$46,IF(ISNUMBER($AJ$47),AH$47,IF(ISNUMBER($AL$48),AH$48,""))))</f>
        <v/>
      </c>
      <c r="AI49" s="80" t="str">
        <f>IF(ISNUMBER($AE$45),AI$45,IF(ISNUMBER($AG$46),AI$46,IF(ISNUMBER($AI$47),AI$47,IF(ISNUMBER($AK$48),AI$48,""))))</f>
        <v/>
      </c>
      <c r="AJ49" s="80" t="str">
        <f>IF(ISNUMBER($AF$45),AJ$45,IF(ISNUMBER($AH$46),AJ$46,IF(ISNUMBER($AJ$47),AJ$47,IF(ISNUMBER($AL$48),AJ$48,""))))</f>
        <v/>
      </c>
      <c r="AK49" s="80" t="str">
        <f>IF(ISNUMBER($AE$45),AK$45,IF(ISNUMBER($AG$46),AK$46,IF(ISNUMBER($AI$47),AK$47,IF(ISNUMBER($AK$48),AK$48,""))))</f>
        <v/>
      </c>
      <c r="AL49" s="80" t="str">
        <f>IF(ISNUMBER($AF$45),AL$45,IF(ISNUMBER($AH$46),AL$46,IF(ISNUMBER($AJ$47),AL$47,IF(ISNUMBER($AL$48),AL$48,""))))</f>
        <v/>
      </c>
      <c r="AM49" s="80" t="str">
        <f>IF(ISNUMBER($AE$45),AM$45,IF(ISNUMBER($AG$46),AM$46,IF(ISNUMBER($AI$47),AM$47,IF(ISNUMBER($AK$48),AM$48,""))))</f>
        <v/>
      </c>
      <c r="AN49" s="80" t="str">
        <f>IF(ISNUMBER($AF$45),AN$45,IF(ISNUMBER($AH$46),AN$46,IF(ISNUMBER($AJ$47),AN$47,IF(ISNUMBER($AL$48),AN$48,""))))</f>
        <v/>
      </c>
      <c r="AO49" s="80" t="str">
        <f>IF(ISNUMBER($AE$45),AO$45,IF(ISNUMBER($AG$46),AO$46,IF(ISNUMBER($AI$47),AO$47,IF(ISNUMBER($AK$48),AO$48,""))))</f>
        <v/>
      </c>
      <c r="AP49" s="80" t="str">
        <f>IF(ISNUMBER($AF$45),AP$45,IF(ISNUMBER($AH$46),AP$46,IF(ISNUMBER($AJ$47),AP$47,IF(ISNUMBER($AL$48),AP$48,""))))</f>
        <v/>
      </c>
      <c r="AQ49" s="80" t="str">
        <f>IF(ISNUMBER($AE$45),AQ$45,IF(ISNUMBER($AG$46),AQ$46,IF(ISNUMBER($AI$47),AQ$47,IF(ISNUMBER($AK$48),AQ$48,""))))</f>
        <v/>
      </c>
      <c r="AR49" s="80" t="str">
        <f>IF(ISNUMBER($AF$45),AR$45,IF(ISNUMBER($AH$46),AR$46,IF(ISNUMBER($AJ$47),AR$47,IF(ISNUMBER($AL$48),AR$48,""))))</f>
        <v/>
      </c>
      <c r="AS49" s="80" t="str">
        <f>IF(ISNUMBER($AE$45),AS$45,IF(ISNUMBER($AG$46),AS$46,IF(ISNUMBER($AI$47),AS$47,IF(ISNUMBER($AK$48),AS$48,""))))</f>
        <v/>
      </c>
      <c r="AT49" s="80" t="str">
        <f>IF(ISNUMBER($AF$45),AT$45,IF(ISNUMBER($AH$46),AT$46,IF(ISNUMBER($AJ$47),AT$47,IF(ISNUMBER($AL$48),AT$48,""))))</f>
        <v/>
      </c>
      <c r="AV49" s="81"/>
      <c r="AW49" s="81"/>
      <c r="AX49" s="81"/>
      <c r="AY49" s="81"/>
      <c r="AZ49" s="81"/>
      <c r="BA49" s="81"/>
      <c r="BB49" s="81" t="s">
        <v>295</v>
      </c>
      <c r="BD49" s="756">
        <v>4</v>
      </c>
      <c r="BE49" s="758" t="s">
        <v>276</v>
      </c>
      <c r="BF49" s="120" t="str">
        <f>IF(AND(ISNUMBER($AK$48), ISNUMBER($AL$48)),IF(AND(IF(-$AL$48&lt;$BS$20,$AT$96,$AT$95)&lt;0,$AL$48&lt;0),6,IF(AND($AK$48&lt;0,$AL$48&gt;0),5,IF(AND($AK$48&gt;0,IF($AK$48&lt;$BT$20,$AU$96,$AU$93)&lt;0),4,""))),"")</f>
        <v/>
      </c>
      <c r="BG49" s="82">
        <v>12</v>
      </c>
      <c r="BH49" s="82">
        <v>1</v>
      </c>
      <c r="BI49" s="82">
        <v>6</v>
      </c>
      <c r="BJ49" s="82">
        <v>7</v>
      </c>
      <c r="BK49" s="82">
        <v>18</v>
      </c>
      <c r="BL49" s="82">
        <v>13</v>
      </c>
      <c r="BM49" s="82">
        <v>14</v>
      </c>
      <c r="BN49" s="82">
        <v>11</v>
      </c>
      <c r="BO49" s="82">
        <v>2</v>
      </c>
      <c r="BZ49" s="19"/>
      <c r="CA49" s="19"/>
    </row>
    <row r="50" spans="1:79" ht="12" customHeight="1" x14ac:dyDescent="0.25">
      <c r="B50" s="44" t="e">
        <f>IF($L$39='SHL Section'!$L$38,'SHL Section'!$B$49,IF($L$39='BHL Section 1'!$L$38,'BHL Section 1'!$B$49,IF($L$39='BHL Section 2'!$L$38,'BHL Section 2'!$B$49,IF($L$39='BHL Section 3'!$L$38,'BHL Section 3'!$B$49,$B$51))))</f>
        <v>#VALUE!</v>
      </c>
      <c r="C50" s="4"/>
      <c r="G50" s="99" t="str">
        <f>IF(ISNUMBER($AI$89),$C$11,"")</f>
        <v/>
      </c>
      <c r="H50" s="150" t="str">
        <f>IF(AND(G51="",G52=""),"",IF($AI$89=1,"NE/SW",IF($AI$89=2,"NW/SW",IF($AI$89=3,"SW/SW",IF($AI$89=4,"SE/SW","")))))</f>
        <v/>
      </c>
      <c r="I50" s="154"/>
      <c r="J50" s="153"/>
      <c r="K50" s="153"/>
      <c r="L50" s="13"/>
      <c r="M50" s="14"/>
      <c r="Q50" s="99" t="str">
        <f>IF(ISNUMBER($AK$89),$C$11,"")</f>
        <v/>
      </c>
      <c r="R50" s="150" t="str">
        <f>IF(AND(Q51="",Q52=""),"",IF($AK$89=1,"NE/SE",IF($AK$89=2,"NW/SE",IF($AK$89=3,"SW/SE",IF($AK$89=4,"SE/SE","")))))</f>
        <v/>
      </c>
      <c r="S50" s="154"/>
      <c r="T50" s="153"/>
      <c r="U50" s="5"/>
      <c r="V50" s="22"/>
      <c r="W50" s="44" t="e">
        <f>IF($L$39='SHL Section'!$L$38,'SHL Section'!$W$49,IF($L$39='BHL Section 1'!$L$38,'BHL Section 1'!$W$49,IF($L$39='BHL Section 2'!$L$38,'BHL Section 2'!$W$49,IF($L$39='BHL Section 3'!$L$38,'BHL Section 3'!$W$49,$W$51))))</f>
        <v>#VALUE!</v>
      </c>
      <c r="AA50" s="5"/>
      <c r="AB50" s="29"/>
      <c r="AC50" s="53"/>
      <c r="AD50" s="53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V50" s="81"/>
      <c r="AW50" s="81"/>
      <c r="AX50" s="81"/>
      <c r="AY50" s="81"/>
      <c r="AZ50" s="81"/>
      <c r="BA50" s="81"/>
      <c r="BB50" s="81" t="s">
        <v>296</v>
      </c>
      <c r="BG50" s="82">
        <v>13</v>
      </c>
      <c r="BH50" s="82">
        <v>12</v>
      </c>
      <c r="BI50" s="82">
        <v>7</v>
      </c>
      <c r="BJ50" s="82">
        <v>18</v>
      </c>
      <c r="BK50" s="82">
        <v>19</v>
      </c>
      <c r="BL50" s="82">
        <v>24</v>
      </c>
      <c r="BM50" s="82">
        <v>23</v>
      </c>
      <c r="BN50" s="82">
        <v>14</v>
      </c>
      <c r="BO50" s="82">
        <v>11</v>
      </c>
      <c r="BZ50" s="19"/>
      <c r="CA50" s="19"/>
    </row>
    <row r="51" spans="1:79" ht="12" customHeight="1" x14ac:dyDescent="0.25">
      <c r="A51" s="17" t="s">
        <v>118</v>
      </c>
      <c r="B51" s="110"/>
      <c r="C51" s="4"/>
      <c r="G51" s="151" t="str">
        <f>IF(ISNUMBER($AI$89),$M$11,"")</f>
        <v/>
      </c>
      <c r="H51" s="152" t="str">
        <f>IF(ISNUMBER($AI$89),"FSL","")</f>
        <v/>
      </c>
      <c r="I51" s="154"/>
      <c r="J51" s="153"/>
      <c r="K51" s="153"/>
      <c r="L51" s="13"/>
      <c r="M51" s="14"/>
      <c r="Q51" s="151" t="str">
        <f>IF(ISNUMBER($AK$89),$M$11,"")</f>
        <v/>
      </c>
      <c r="R51" s="152" t="str">
        <f>IF(ISNUMBER($AK$89),"FSL","")</f>
        <v/>
      </c>
      <c r="S51" s="154"/>
      <c r="T51" s="153"/>
      <c r="U51" s="5"/>
      <c r="V51" s="22"/>
      <c r="W51" s="162"/>
      <c r="X51" s="25" t="s">
        <v>118</v>
      </c>
      <c r="AA51" s="5"/>
      <c r="AB51" s="29"/>
      <c r="AV51" s="81"/>
      <c r="AW51" s="81"/>
      <c r="AX51" s="168" t="s">
        <v>409</v>
      </c>
      <c r="AY51" s="169">
        <v>1</v>
      </c>
      <c r="AZ51" s="169"/>
      <c r="BA51" s="81"/>
      <c r="BB51" s="81" t="s">
        <v>297</v>
      </c>
      <c r="BD51" s="39" t="s">
        <v>360</v>
      </c>
      <c r="BE51" s="41" t="str">
        <f>IF(OR(ISNUMBER($BF$38),ISNUMBER($BF$39),ISNUMBER($BF$40),ISNUMBER($BF$41)),VLOOKUP($V$8,$BG$38:$BO$73,MAX($BF$38:$BF$41),FALSE),$V$8)</f>
        <v>W</v>
      </c>
      <c r="BG51" s="82">
        <v>14</v>
      </c>
      <c r="BH51" s="82">
        <v>11</v>
      </c>
      <c r="BI51" s="82">
        <v>12</v>
      </c>
      <c r="BJ51" s="82">
        <v>13</v>
      </c>
      <c r="BK51" s="82">
        <v>24</v>
      </c>
      <c r="BL51" s="82">
        <v>23</v>
      </c>
      <c r="BM51" s="82">
        <v>22</v>
      </c>
      <c r="BN51" s="82">
        <v>15</v>
      </c>
      <c r="BO51" s="82">
        <v>10</v>
      </c>
      <c r="BZ51" s="19"/>
      <c r="CA51" s="19"/>
    </row>
    <row r="52" spans="1:79" ht="12" customHeight="1" x14ac:dyDescent="0.25">
      <c r="A52" s="17" t="s">
        <v>124</v>
      </c>
      <c r="B52" s="111"/>
      <c r="C52" s="4"/>
      <c r="G52" s="91" t="str">
        <f>IF(ISNUMBER($AI$89),$O$11,"")</f>
        <v/>
      </c>
      <c r="H52" s="90" t="str">
        <f>IF(ISNUMBER($AI$89),"FWL","")</f>
        <v/>
      </c>
      <c r="I52" s="154"/>
      <c r="J52" s="153"/>
      <c r="K52" s="153"/>
      <c r="L52" s="13"/>
      <c r="M52" s="14"/>
      <c r="Q52" s="91" t="str">
        <f>IF(ISNUMBER($AK$89),$O$11,"")</f>
        <v/>
      </c>
      <c r="R52" s="90" t="str">
        <f>IF(ISNUMBER($AK$89),"FEL","")</f>
        <v/>
      </c>
      <c r="S52" s="154"/>
      <c r="T52" s="153"/>
      <c r="U52" s="5"/>
      <c r="V52" s="22"/>
      <c r="W52" s="147"/>
      <c r="X52" s="25" t="s">
        <v>124</v>
      </c>
      <c r="AA52" s="5"/>
      <c r="AB52" s="29"/>
      <c r="AC52" s="53"/>
      <c r="AD52" s="53"/>
      <c r="AE52" s="949" t="s">
        <v>351</v>
      </c>
      <c r="AF52" s="911"/>
      <c r="AG52" s="961" t="s">
        <v>352</v>
      </c>
      <c r="AH52" s="859"/>
      <c r="AI52" s="949" t="s">
        <v>353</v>
      </c>
      <c r="AJ52" s="911"/>
      <c r="AK52" s="949" t="s">
        <v>354</v>
      </c>
      <c r="AL52" s="911"/>
      <c r="AV52" s="81"/>
      <c r="AW52" s="81"/>
      <c r="AX52" s="81"/>
      <c r="AY52" s="81"/>
      <c r="AZ52" s="81"/>
      <c r="BA52" s="81"/>
      <c r="BB52" s="81" t="s">
        <v>298</v>
      </c>
      <c r="BD52" s="37"/>
      <c r="BE52" s="36" t="e">
        <f>IF(MAX($AE$67:$AL$67)&gt;0,$BE$51,IF(OR(ISNUMBER('BHL Section 1'!$BG$37),ISNUMBER('BHL Section 1'!$BG$38),ISNUMBER('BHL Section 1'!$BG$39),ISNUMBER('BHL Section 1'!$BG$40)),VLOOKUP($BE$51,$BG$38:$BO$73,MAX('BHL Section 1'!$BG$37:$BG$40),FALSE),$BE$51))</f>
        <v>#VALUE!</v>
      </c>
      <c r="BG52" s="82">
        <v>15</v>
      </c>
      <c r="BH52" s="82">
        <v>10</v>
      </c>
      <c r="BI52" s="82">
        <v>11</v>
      </c>
      <c r="BJ52" s="82">
        <v>14</v>
      </c>
      <c r="BK52" s="82">
        <v>23</v>
      </c>
      <c r="BL52" s="82">
        <v>22</v>
      </c>
      <c r="BM52" s="82">
        <v>21</v>
      </c>
      <c r="BN52" s="82">
        <v>16</v>
      </c>
      <c r="BO52" s="82">
        <v>9</v>
      </c>
      <c r="BZ52" s="19"/>
      <c r="CA52" s="19"/>
    </row>
    <row r="53" spans="1:79" ht="12" customHeight="1" x14ac:dyDescent="0.25">
      <c r="A53" s="17" t="s">
        <v>130</v>
      </c>
      <c r="B53" s="111"/>
      <c r="C53" s="4"/>
      <c r="I53" s="154"/>
      <c r="J53" s="153"/>
      <c r="K53" s="153"/>
      <c r="L53" s="13"/>
      <c r="M53" s="14"/>
      <c r="P53" s="19"/>
      <c r="S53" s="154"/>
      <c r="T53" s="153"/>
      <c r="U53" s="5"/>
      <c r="V53" s="22"/>
      <c r="W53" s="147"/>
      <c r="X53" s="25" t="s">
        <v>130</v>
      </c>
      <c r="AA53" s="5"/>
      <c r="AB53" s="29"/>
      <c r="AD53" s="53"/>
      <c r="AE53" s="949">
        <v>1</v>
      </c>
      <c r="AF53" s="911"/>
      <c r="AG53" s="949">
        <v>2</v>
      </c>
      <c r="AH53" s="911"/>
      <c r="AI53" s="949">
        <v>3</v>
      </c>
      <c r="AJ53" s="911"/>
      <c r="AK53" s="949">
        <v>4</v>
      </c>
      <c r="AL53" s="911"/>
      <c r="AV53" s="81"/>
      <c r="AW53" s="81"/>
      <c r="AX53" s="81"/>
      <c r="AY53" s="81"/>
      <c r="AZ53" s="81"/>
      <c r="BA53" s="81"/>
      <c r="BB53" s="81" t="s">
        <v>299</v>
      </c>
      <c r="BD53" s="121"/>
      <c r="BE53" s="120" t="e">
        <f>IF(MAX('BHL Section 1'!$AF$58:$AM$58)&gt;0,$BE$52,IF(OR(ISNUMBER('BHL Section 2'!$BG$37),ISNUMBER('BHL Section 2'!$BG$38),ISNUMBER('BHL Section 2'!$BG$39),ISNUMBER('BHL Section 2'!$BG$40)),VLOOKUP($BE$52,$BG$38:$BO$73,MAX('BHL Section 2'!$BG$37:$BG$40),FALSE),$BE$52))</f>
        <v>#VALUE!</v>
      </c>
      <c r="BG53" s="82">
        <v>16</v>
      </c>
      <c r="BH53" s="82">
        <v>9</v>
      </c>
      <c r="BI53" s="82">
        <v>10</v>
      </c>
      <c r="BJ53" s="82">
        <v>15</v>
      </c>
      <c r="BK53" s="82">
        <v>22</v>
      </c>
      <c r="BL53" s="82">
        <v>21</v>
      </c>
      <c r="BM53" s="82">
        <v>20</v>
      </c>
      <c r="BN53" s="82">
        <v>17</v>
      </c>
      <c r="BO53" s="82">
        <v>8</v>
      </c>
      <c r="BZ53" s="19"/>
      <c r="CA53" s="19"/>
    </row>
    <row r="54" spans="1:79" ht="12" customHeight="1" x14ac:dyDescent="0.25">
      <c r="A54" s="17" t="s">
        <v>134</v>
      </c>
      <c r="B54" s="111"/>
      <c r="C54" s="4"/>
      <c r="I54" s="154"/>
      <c r="J54" s="153"/>
      <c r="K54" s="153"/>
      <c r="L54" s="13"/>
      <c r="M54" s="14"/>
      <c r="P54" s="19"/>
      <c r="S54" s="154"/>
      <c r="T54" s="153"/>
      <c r="U54" s="5"/>
      <c r="V54" s="22"/>
      <c r="W54" s="147"/>
      <c r="X54" s="25" t="s">
        <v>134</v>
      </c>
      <c r="AA54" s="5"/>
      <c r="AB54" s="29"/>
      <c r="AD54" s="53"/>
      <c r="AE54" s="87"/>
      <c r="AF54" s="88"/>
      <c r="AG54" s="89"/>
      <c r="AH54" s="89"/>
      <c r="AI54" s="87"/>
      <c r="AJ54" s="88"/>
      <c r="AK54" s="87"/>
      <c r="AL54" s="88"/>
      <c r="BD54" s="39" t="s">
        <v>362</v>
      </c>
      <c r="BE54" s="41" t="b">
        <f>IF(OR(ISNUMBER($BF$38),ISNUMBER($BF$39),ISNUMBER($BF$40),ISNUMBER($BF$41)),$BE$51,IF(OR(ISNUMBER($BF$42),ISNUMBER($BF$43),ISNUMBER($BF$44),ISNUMBER($BF$45)),VLOOKUP($V$8,$BG$38:$BO$73,MAX($BF$42:$BF$45),FALSE)))</f>
        <v>0</v>
      </c>
      <c r="BG54" s="82">
        <v>17</v>
      </c>
      <c r="BH54" s="82">
        <v>8</v>
      </c>
      <c r="BI54" s="82">
        <v>9</v>
      </c>
      <c r="BJ54" s="82">
        <v>16</v>
      </c>
      <c r="BK54" s="82">
        <v>21</v>
      </c>
      <c r="BL54" s="82">
        <v>20</v>
      </c>
      <c r="BM54" s="82">
        <v>19</v>
      </c>
      <c r="BN54" s="82">
        <v>18</v>
      </c>
      <c r="BO54" s="82">
        <v>7</v>
      </c>
      <c r="BZ54" s="19"/>
      <c r="CA54" s="19"/>
    </row>
    <row r="55" spans="1:79" ht="12" customHeight="1" x14ac:dyDescent="0.25">
      <c r="A55" s="17" t="s">
        <v>140</v>
      </c>
      <c r="B55" s="112">
        <v>1</v>
      </c>
      <c r="C55" s="4"/>
      <c r="F55" s="815"/>
      <c r="I55" s="154"/>
      <c r="J55" s="153"/>
      <c r="K55" s="153"/>
      <c r="L55" s="13"/>
      <c r="M55" s="14"/>
      <c r="P55" s="815"/>
      <c r="S55" s="154"/>
      <c r="T55" s="153"/>
      <c r="U55" s="5"/>
      <c r="V55" s="22"/>
      <c r="W55" s="112">
        <v>4</v>
      </c>
      <c r="X55" s="25" t="s">
        <v>140</v>
      </c>
      <c r="AA55" s="5"/>
      <c r="AB55" s="29"/>
      <c r="AE55" s="939" t="s">
        <v>355</v>
      </c>
      <c r="AF55" s="882"/>
      <c r="AG55" s="943" t="s">
        <v>355</v>
      </c>
      <c r="AH55" s="832"/>
      <c r="AI55" s="939" t="s">
        <v>355</v>
      </c>
      <c r="AJ55" s="882"/>
      <c r="AK55" s="939" t="s">
        <v>355</v>
      </c>
      <c r="AL55" s="882"/>
      <c r="BD55" s="37"/>
      <c r="BE55" s="36" t="e">
        <f>IF(MAX($AE$78:$AL$78)&gt;0,$BE$54,IF(OR(ISNUMBER('BHL Section 1'!$BG$41),ISNUMBER('BHL Section 1'!$BG$42),ISNUMBER('BHL Section 1'!$BG$43),ISNUMBER('BHL Section 1'!$BG$44)),VLOOKUP($BE$54,$BG$38:$BO$73,MAX('BHL Section 1'!$BG$41:$BG$44),FALSE),$BE$54))</f>
        <v>#VALUE!</v>
      </c>
      <c r="BG55" s="82">
        <v>18</v>
      </c>
      <c r="BH55" s="82">
        <v>7</v>
      </c>
      <c r="BI55" s="82">
        <v>8</v>
      </c>
      <c r="BJ55" s="82">
        <v>17</v>
      </c>
      <c r="BK55" s="82">
        <v>20</v>
      </c>
      <c r="BL55" s="82">
        <v>19</v>
      </c>
      <c r="BM55" s="82">
        <v>24</v>
      </c>
      <c r="BN55" s="82">
        <v>13</v>
      </c>
      <c r="BO55" s="82">
        <v>12</v>
      </c>
      <c r="BZ55" s="19"/>
      <c r="CA55" s="19"/>
    </row>
    <row r="56" spans="1:79" ht="12" customHeight="1" thickBot="1" x14ac:dyDescent="0.3">
      <c r="A56" s="17" t="s">
        <v>144</v>
      </c>
      <c r="B56" s="27" t="e">
        <f>IF($L$39='SHL Section'!$L$38,IF('SHL Section'!$B$54="","",'SHL Section'!$B$54),IF($L$39='BHL Section 1'!$L$38,IF('BHL Section 1'!$B$55="","",'BHL Section 1'!$B$55),IF($L$39='BHL Section 2'!$L$38,IF('BHL Section 2'!$B$55="","",'BHL Section 2'!$B$55),IF($L$39='BHL Section 3'!$L$38,IF('BHL Section 3'!$B$55="","",'BHL Section 3'!$B$55),IF(B52="","",IF(OR(B55=1,B55=4),180-(B52+B53/60+B54/3600),(B52+B53/60+B54/3600)))))))</f>
        <v>#VALUE!</v>
      </c>
      <c r="C56" s="6"/>
      <c r="D56" s="2"/>
      <c r="E56" s="2"/>
      <c r="F56" s="2"/>
      <c r="G56" s="2"/>
      <c r="H56" s="2"/>
      <c r="I56" s="2"/>
      <c r="J56" s="2"/>
      <c r="K56" s="2"/>
      <c r="L56" s="15"/>
      <c r="M56" s="16"/>
      <c r="N56" s="2"/>
      <c r="O56" s="2"/>
      <c r="P56" s="2"/>
      <c r="Q56" s="2"/>
      <c r="R56" s="2"/>
      <c r="S56" s="2"/>
      <c r="T56" s="2"/>
      <c r="U56" s="2"/>
      <c r="V56" s="23"/>
      <c r="W56" s="27" t="e">
        <f>IF($L$39='SHL Section'!$L$38,IF('SHL Section'!$W$54="","",'SHL Section'!$W$54),IF($L$39='BHL Section 1'!$L$38,IF('BHL Section 1'!$W$55="","",'BHL Section 1'!$W$55),IF($L$39='BHL Section 2'!$L$38,IF('BHL Section 2'!$W$55="","",'BHL Section 2'!$W$55),IF($L$39='BHL Section 3'!$L$38,IF('BHL Section 3'!$W$55="","",'BHL Section 3'!$W$55),IF(W52="","",IF(OR(W55=1,W55=4),180-(W52+W53/60+W54/3600),(W52+W53/60+W54/3600)))))))</f>
        <v>#VALUE!</v>
      </c>
      <c r="X56" s="25" t="s">
        <v>144</v>
      </c>
      <c r="AA56" s="5"/>
      <c r="AB56" s="29"/>
      <c r="AE56" s="944" t="str">
        <f>IF($AE$27="","",IF(AND((-$AE$27+$AF$27*$AV$20/$AW$20)&gt;0,-$AE$27&lt;$BZ$20,(-$AF$27+$AE$27*$CA$20/$BZ$20)&gt;0,-$AF$27&lt;$AW$20),1,IF(AND((-$AE$27-$AV$20+($AF$27+$AW$20)*$AX$20/$AY$20)&gt;0,-$AE$27&lt;$BZ$20,-$AF$27&gt;$AW$20,-$AF$27&lt;$AX$23),2,IF(AND(-$AE$27&lt;$BY$23,-$AE$27&gt;$BZ$20,-$AF$27&gt;$AW$20,-$AF$27&lt;$AX$23),3,IF(AND(-$AE$27&lt;$BY$23,-$AE$27&gt;$BZ$20,(-$AF$27-$CA$20-(-$AE$27-$BZ$20)*$BY$20/$BX$20)&gt;0,-$AF$27&lt;$AW$20),4,"")))))</f>
        <v/>
      </c>
      <c r="AF56" s="911"/>
      <c r="AG56" s="944" t="str">
        <f>IF($AG$28="","",IF(AND((-$AG$28+$BB$20+($AH$28-$BC$20)*$AZ$20/$BA$20)&gt;0,-$AG$28&lt;$BD$20,$AH$28&gt;$BC$20,$AH$28&lt;$BB$23),1,IF(AND((-$AG$28+$AH$28*$BB$20/$BC$20)&gt;0,-$AG$28&lt;$BD$20,($AH$28-$AG$28*$BE$20/$BD$20)&gt;0,$AH$28&lt;$BC$20),2,IF(AND(-$AG$28&gt;$BD$20,-$AG$28&lt;$BE$23,($AH$28+$BE$20+(-$AG$28-$BD$20)*$BG$20/$BF$20)&gt;0,$AH$28&lt;$BC$20),3,IF(AND(-$AG$28&gt;$BD$20,-$AG$28&lt;$BE$23,$AH$28&gt;$BC$20,$AH$28&lt;$BB$23),4,"")))))</f>
        <v/>
      </c>
      <c r="AH56" s="911"/>
      <c r="AI56" s="944" t="str">
        <f>IF($AI$29="","",IF(AND($AI$29&gt;$BJ$20,$AI$29&lt;$BI$23,$AJ$29&gt;$BM$20,$AJ$29&lt;$BN$23),1,IF(AND($AI$29&gt;$BJ$20,$AI$29&lt;$BI$23,($AJ$29-$BK$20-($AI$29-$BJ$20)*$BI$20/$BH$20)&gt;0,$AJ$29&lt;$BM$20),2,IF(AND(($AI$29-$AJ$29*$BL$20/$BM$20)&gt;0,$AI$29&lt;$BJ$20,($AJ$29-$AI$29*$BK$20/$BJ$20)&gt;0,$AJ$29&lt;$BM$20),3,IF(AND(($AI$29-$BL$20-($AJ$29-$BM$20)*$BN$20/$BO$20)&gt;0,$AI$29&lt;$BJ$20,$AJ$29&gt;$BM$20,$AJ$29&lt;$BN$23),4,"")))))</f>
        <v/>
      </c>
      <c r="AJ56" s="911"/>
      <c r="AK56" s="944" t="str">
        <f>IF($AK$30="","",IF(AND($AK$30&gt;$BT$20,$AK$30&lt;$BU$23,(-$AL$30+$BU$20+($AK$30-$BT$20)*$BW$20/$BV$20)&gt;0,-$AL$30&lt;$BS$20),1,IF(AND($AK$30&gt;$BT$20,$AK$30&lt;$BU$23,-$AL$30&gt;$BS$20,-$AL$30&lt;$BR$23),2,IF(AND(($AK$30+$BR$20+(-$AL$30-$BS$20)*$BP$20/$BQ$20)&gt;0,$AK$30&lt;$BT$20,-$AL$30&gt;$BS$20,-$AL$30&lt;$BR$23),3,IF(AND(($AK$30-$AL$30*$BR$20/$BS$20)&gt;0,$AK$30&lt;$BT$20,(-$AL$30+$AK$30*$BU$20/$BT$20)&gt;0,-$AL$30&lt;$BS$20),4,"")))))</f>
        <v/>
      </c>
      <c r="AL56" s="911"/>
      <c r="AW56" s="19">
        <v>1</v>
      </c>
      <c r="AX56" s="19">
        <v>2</v>
      </c>
      <c r="AY56" s="19">
        <v>3</v>
      </c>
      <c r="AZ56" s="19">
        <v>4</v>
      </c>
      <c r="BD56" s="121"/>
      <c r="BE56" s="120" t="e">
        <f>IF(MAX('BHL Section 1'!$AF$69:$AM$69)&gt;0,$BE$55,IF(OR(ISNUMBER('BHL Section 2'!$BG$41),ISNUMBER('BHL Section 2'!$BG$42),ISNUMBER('BHL Section 2'!$BG$43),ISNUMBER('BHL Section 2'!$BG$44)),VLOOKUP($BE$55,$BG$38:$BO$73,MAX('BHL Section 2'!$BG$41:$BG$44),FALSE),$BE$55))</f>
        <v>#VALUE!</v>
      </c>
      <c r="BG56" s="82">
        <v>19</v>
      </c>
      <c r="BH56" s="82">
        <v>18</v>
      </c>
      <c r="BI56" s="82">
        <v>17</v>
      </c>
      <c r="BJ56" s="82">
        <v>20</v>
      </c>
      <c r="BK56" s="82">
        <v>29</v>
      </c>
      <c r="BL56" s="82">
        <v>30</v>
      </c>
      <c r="BM56" s="82">
        <v>25</v>
      </c>
      <c r="BN56" s="82">
        <v>24</v>
      </c>
      <c r="BO56" s="82">
        <v>13</v>
      </c>
      <c r="BZ56" s="19"/>
      <c r="CA56" s="19"/>
    </row>
    <row r="57" spans="1:79" x14ac:dyDescent="0.25">
      <c r="B57" s="955" t="str">
        <f>CONCATENATE("SW SC of ",$L$39)</f>
        <v>SW SC of 29</v>
      </c>
      <c r="C57" s="904"/>
      <c r="D57" s="17" t="s">
        <v>118</v>
      </c>
      <c r="E57" s="115"/>
      <c r="J57" s="17" t="s">
        <v>118</v>
      </c>
      <c r="K57" s="113"/>
      <c r="L57" s="942" t="str">
        <f>CONCATENATE("S QC of ",$L$39)</f>
        <v>S QC of 29</v>
      </c>
      <c r="M57" s="844"/>
      <c r="N57" s="17" t="s">
        <v>118</v>
      </c>
      <c r="O57" s="115"/>
      <c r="T57" s="17" t="s">
        <v>118</v>
      </c>
      <c r="U57" s="115"/>
      <c r="V57" s="960" t="str">
        <f>CONCATENATE("SE SC of ",$L$39)</f>
        <v>SE SC of 29</v>
      </c>
      <c r="W57" s="904"/>
      <c r="AA57" s="5"/>
      <c r="AB57" s="29"/>
      <c r="AE57" s="87"/>
      <c r="AF57" s="88"/>
      <c r="AG57" s="89"/>
      <c r="AH57" s="89"/>
      <c r="AI57" s="87"/>
      <c r="AJ57" s="88"/>
      <c r="AK57" s="87"/>
      <c r="AL57" s="88"/>
      <c r="AV57" s="19">
        <v>1</v>
      </c>
      <c r="AW57" s="82" t="s">
        <v>281</v>
      </c>
      <c r="AX57" s="82" t="s">
        <v>288</v>
      </c>
      <c r="AY57" s="82" t="s">
        <v>292</v>
      </c>
      <c r="AZ57" s="82" t="s">
        <v>296</v>
      </c>
      <c r="BD57" s="39" t="s">
        <v>365</v>
      </c>
      <c r="BE57" s="41" t="b">
        <f>IF(OR(ISNUMBER($BF$38),ISNUMBER($BF$39),ISNUMBER($BF$40),ISNUMBER($BF$41)),$BE$51,IF(OR(ISNUMBER($BF$46),ISNUMBER($BF$47),ISNUMBER($BF$48),ISNUMBER($BF$49)),VLOOKUP($V$8,$BG$38:$BO$73,MAX($BF$46:$BF$49),FALSE)))</f>
        <v>0</v>
      </c>
      <c r="BG57" s="82">
        <v>20</v>
      </c>
      <c r="BH57" s="82">
        <v>17</v>
      </c>
      <c r="BI57" s="82">
        <v>16</v>
      </c>
      <c r="BJ57" s="82">
        <v>21</v>
      </c>
      <c r="BK57" s="82">
        <v>28</v>
      </c>
      <c r="BL57" s="82">
        <v>29</v>
      </c>
      <c r="BM57" s="82">
        <v>30</v>
      </c>
      <c r="BN57" s="82">
        <v>19</v>
      </c>
      <c r="BO57" s="82">
        <v>18</v>
      </c>
      <c r="BZ57" s="19"/>
      <c r="CA57" s="19"/>
    </row>
    <row r="58" spans="1:79" ht="12" customHeight="1" x14ac:dyDescent="0.25">
      <c r="D58" s="17" t="s">
        <v>124</v>
      </c>
      <c r="E58" s="111"/>
      <c r="F58" s="20"/>
      <c r="G58" s="20"/>
      <c r="H58" s="20"/>
      <c r="I58" s="20"/>
      <c r="J58" s="17" t="s">
        <v>124</v>
      </c>
      <c r="K58" s="114"/>
      <c r="N58" s="17" t="s">
        <v>124</v>
      </c>
      <c r="O58" s="111"/>
      <c r="P58" s="20"/>
      <c r="Q58" s="20"/>
      <c r="R58" s="20"/>
      <c r="S58" s="20"/>
      <c r="T58" s="17" t="s">
        <v>124</v>
      </c>
      <c r="U58" s="111"/>
      <c r="AA58" s="5"/>
      <c r="AB58" s="29"/>
      <c r="AE58" s="939" t="s">
        <v>410</v>
      </c>
      <c r="AF58" s="882"/>
      <c r="AG58" s="939" t="s">
        <v>411</v>
      </c>
      <c r="AH58" s="882"/>
      <c r="AI58" s="939" t="s">
        <v>412</v>
      </c>
      <c r="AJ58" s="882"/>
      <c r="AK58" s="939" t="s">
        <v>413</v>
      </c>
      <c r="AL58" s="882"/>
      <c r="AV58" s="19">
        <v>2</v>
      </c>
      <c r="AW58" s="82" t="s">
        <v>283</v>
      </c>
      <c r="AX58" s="82" t="s">
        <v>289</v>
      </c>
      <c r="AY58" s="82" t="s">
        <v>293</v>
      </c>
      <c r="AZ58" s="82" t="s">
        <v>297</v>
      </c>
      <c r="BD58" s="37"/>
      <c r="BE58" s="36" t="e">
        <f>IF(MAX($AE$89:$AL$89)&gt;0,$BE$57,IF(OR(ISNUMBER('BHL Section 1'!$BG$45),ISNUMBER('BHL Section 1'!$BG$46),ISNUMBER('BHL Section 1'!$BG$47),ISNUMBER('BHL Section 1'!$BG$48)),VLOOKUP($BE$57,$BG$38:$BO$73,MAX('BHL Section 1'!$BG$45:$BG$48),FALSE),$BE$57))</f>
        <v>#VALUE!</v>
      </c>
      <c r="BG58" s="82">
        <v>21</v>
      </c>
      <c r="BH58" s="82">
        <v>16</v>
      </c>
      <c r="BI58" s="82">
        <v>15</v>
      </c>
      <c r="BJ58" s="82">
        <v>22</v>
      </c>
      <c r="BK58" s="82">
        <v>27</v>
      </c>
      <c r="BL58" s="82">
        <v>28</v>
      </c>
      <c r="BM58" s="82">
        <v>29</v>
      </c>
      <c r="BN58" s="82">
        <v>20</v>
      </c>
      <c r="BO58" s="82">
        <v>17</v>
      </c>
      <c r="BZ58" s="19"/>
      <c r="CA58" s="19"/>
    </row>
    <row r="59" spans="1:79" ht="12" customHeight="1" x14ac:dyDescent="0.25">
      <c r="D59" s="17" t="s">
        <v>130</v>
      </c>
      <c r="E59" s="111"/>
      <c r="J59" s="17" t="s">
        <v>130</v>
      </c>
      <c r="K59" s="114"/>
      <c r="N59" s="17" t="s">
        <v>130</v>
      </c>
      <c r="O59" s="111"/>
      <c r="T59" s="17" t="s">
        <v>130</v>
      </c>
      <c r="U59" s="111"/>
      <c r="AA59" s="5"/>
      <c r="AB59" s="29"/>
      <c r="AD59" s="757" t="s">
        <v>226</v>
      </c>
      <c r="AE59" s="30" t="s">
        <v>181</v>
      </c>
      <c r="AF59" s="30" t="s">
        <v>194</v>
      </c>
      <c r="AG59" s="761" t="s">
        <v>181</v>
      </c>
      <c r="AH59" s="760" t="s">
        <v>201</v>
      </c>
      <c r="AI59" s="30" t="s">
        <v>186</v>
      </c>
      <c r="AJ59" s="30" t="s">
        <v>201</v>
      </c>
      <c r="AK59" s="30" t="s">
        <v>186</v>
      </c>
      <c r="AL59" s="30" t="s">
        <v>194</v>
      </c>
      <c r="AN59" s="19" t="s">
        <v>371</v>
      </c>
      <c r="AV59" s="19">
        <v>3</v>
      </c>
      <c r="AW59" s="82" t="s">
        <v>285</v>
      </c>
      <c r="AX59" s="82" t="s">
        <v>290</v>
      </c>
      <c r="AY59" s="82" t="s">
        <v>294</v>
      </c>
      <c r="AZ59" s="82" t="s">
        <v>298</v>
      </c>
      <c r="BD59" s="121"/>
      <c r="BE59" s="120" t="e">
        <f>IF(MAX('BHL Section 1'!$AF$80:$AM$80)&gt;0,$BE$58,IF(OR(ISNUMBER('BHL Section 2'!$BG$45),ISNUMBER('BHL Section 2'!$BG$46),ISNUMBER('BHL Section 2'!$BG$47),ISNUMBER('BHL Section 2'!$BG$48)),VLOOKUP($BE$58,$BG$38:$BO$73,MAX('BHL Section 2'!$BG$45:$BG$48),FALSE),$BE$58))</f>
        <v>#VALUE!</v>
      </c>
      <c r="BG59" s="82">
        <v>22</v>
      </c>
      <c r="BH59" s="82">
        <v>15</v>
      </c>
      <c r="BI59" s="82">
        <v>14</v>
      </c>
      <c r="BJ59" s="82">
        <v>23</v>
      </c>
      <c r="BK59" s="82">
        <v>26</v>
      </c>
      <c r="BL59" s="82">
        <v>27</v>
      </c>
      <c r="BM59" s="82">
        <v>28</v>
      </c>
      <c r="BN59" s="82">
        <v>21</v>
      </c>
      <c r="BO59" s="82">
        <v>16</v>
      </c>
      <c r="BZ59" s="19"/>
      <c r="CA59" s="19"/>
    </row>
    <row r="60" spans="1:79" ht="12" customHeight="1" x14ac:dyDescent="0.25">
      <c r="D60" s="17" t="s">
        <v>134</v>
      </c>
      <c r="E60" s="111"/>
      <c r="J60" s="17" t="s">
        <v>134</v>
      </c>
      <c r="K60" s="114"/>
      <c r="N60" s="17" t="s">
        <v>134</v>
      </c>
      <c r="O60" s="111"/>
      <c r="T60" s="17" t="s">
        <v>134</v>
      </c>
      <c r="U60" s="111"/>
      <c r="AA60" s="5"/>
      <c r="AB60" s="29"/>
      <c r="AD60" s="53">
        <v>1</v>
      </c>
      <c r="AE60" s="49" t="str">
        <f>IF($AD60=AE$56,(-$AE$31+$AF$31*$AV$20/$AW$20)*$AV$29,"")</f>
        <v/>
      </c>
      <c r="AF60" s="48" t="str">
        <f>IF($AD60=AE$56,(-$AF$31+$AE$31*$CA$20/$BZ$20)*$BZ$29,"")</f>
        <v/>
      </c>
      <c r="AG60" s="49" t="str">
        <f>IF($AD60=AG$56,(-$AG$31+$BB$20+($AH$31-$BC$20)*$AZ$20/$BA$20)*$AZ$29,"")</f>
        <v/>
      </c>
      <c r="AH60" s="48" t="str">
        <f>IF($AD60=AG$56,($AH$31-$AG$31*$BE$20/$BD$20)*$BD$29,"")</f>
        <v/>
      </c>
      <c r="AI60" s="49" t="str">
        <f>IF($AD60=AI$56,($AI$31-$BL$20-($AJ$31-$BM$20)*$BN$20/$BO$20)*$BN$29,"")</f>
        <v/>
      </c>
      <c r="AJ60" s="48" t="str">
        <f>IF($AD60=AI$56,($AJ$31-$BK$20-($AI$31-$BJ$20)*$BI$20/$BH$20)*$BH$29,"")</f>
        <v/>
      </c>
      <c r="AK60" s="49" t="str">
        <f>IF($AD60=AK$56,($AK$31-$AL$31*$BR$20/$BS$20)*$BR$29,"")</f>
        <v/>
      </c>
      <c r="AL60" s="48" t="str">
        <f>IF($AD60=AK$56,(-$AL$31+$BU$20+($AK$31-$BT$20)*$BW$20/$BV$20)*$BV$29,"")</f>
        <v/>
      </c>
      <c r="AN60" s="159" t="e">
        <f>(-$AE$31+$AF$31*$AV$20/$AW$20)</f>
        <v>#VALUE!</v>
      </c>
      <c r="AO60" s="160" t="e">
        <f>(-$AF$31+$AE$31*$CA$20/$BZ$20)</f>
        <v>#VALUE!</v>
      </c>
      <c r="AP60" s="159" t="e">
        <f>(-$AG$31+$BB$20+($AH$31-$BC$20)*$AZ$20/$BA$20)</f>
        <v>#VALUE!</v>
      </c>
      <c r="AQ60" s="160" t="e">
        <f>($AH$31-$AG$31*$BE$20/$BD$20)</f>
        <v>#VALUE!</v>
      </c>
      <c r="AR60" s="159" t="e">
        <f>($AI$31-$BL$20-($AJ$31-$BM$20)*$BN$20/$BO$20)</f>
        <v>#VALUE!</v>
      </c>
      <c r="AS60" s="160" t="e">
        <f>($AJ$31-$BK$20-($AI$31-$BJ$20)*$BI$20/$BH$20)</f>
        <v>#VALUE!</v>
      </c>
      <c r="AT60" s="159" t="e">
        <f>($AK$31-$AL$31*$BR$20/$BS$20)</f>
        <v>#VALUE!</v>
      </c>
      <c r="AU60" s="160" t="e">
        <f>(-$AL$31+$BU$20+($AK$31-$BT$20)*$BW$20/$BV$20)</f>
        <v>#VALUE!</v>
      </c>
      <c r="AV60" s="19">
        <v>4</v>
      </c>
      <c r="AW60" s="82" t="s">
        <v>287</v>
      </c>
      <c r="AX60" s="82" t="s">
        <v>291</v>
      </c>
      <c r="AY60" s="82" t="s">
        <v>295</v>
      </c>
      <c r="AZ60" s="82" t="s">
        <v>299</v>
      </c>
      <c r="BG60" s="82">
        <v>23</v>
      </c>
      <c r="BH60" s="82">
        <v>14</v>
      </c>
      <c r="BI60" s="82">
        <v>13</v>
      </c>
      <c r="BJ60" s="82">
        <v>24</v>
      </c>
      <c r="BK60" s="82">
        <v>25</v>
      </c>
      <c r="BL60" s="82">
        <v>26</v>
      </c>
      <c r="BM60" s="82">
        <v>27</v>
      </c>
      <c r="BN60" s="82">
        <v>22</v>
      </c>
      <c r="BO60" s="82">
        <v>15</v>
      </c>
      <c r="BZ60" s="19"/>
      <c r="CA60" s="19"/>
    </row>
    <row r="61" spans="1:79" ht="12" customHeight="1" x14ac:dyDescent="0.25">
      <c r="D61" s="17" t="s">
        <v>140</v>
      </c>
      <c r="E61" s="112">
        <v>2</v>
      </c>
      <c r="J61" s="17" t="s">
        <v>140</v>
      </c>
      <c r="K61" s="112">
        <v>2</v>
      </c>
      <c r="N61" s="17" t="s">
        <v>140</v>
      </c>
      <c r="O61" s="112">
        <v>2</v>
      </c>
      <c r="T61" s="17" t="s">
        <v>140</v>
      </c>
      <c r="U61" s="112">
        <v>2</v>
      </c>
      <c r="V61" s="116"/>
      <c r="AA61" s="5"/>
      <c r="AB61" s="29"/>
      <c r="AD61" s="53">
        <v>2</v>
      </c>
      <c r="AE61" s="49" t="str">
        <f>IF($AD61=AE$56,(-$AE$31-$AV$20+($AF$31+$AW$20)*$AX$20/$AY$20)*$AX$29,"")</f>
        <v/>
      </c>
      <c r="AF61" s="48" t="str">
        <f>IF($AD61=AE$56,(-$AF$31+$AE$31*$CA$20/$BZ$20)*$BZ$29,"")</f>
        <v/>
      </c>
      <c r="AG61" s="49" t="str">
        <f>IF($AD61=AG$56,(-$AG$31+$AH$31*$BB$20/$BC$20)*$BB$29,"")</f>
        <v/>
      </c>
      <c r="AH61" s="48" t="str">
        <f>IF($AD61=AG$56,($AH$31-$AG$31*$BE$20/$BD$20)*$BD$29,"")</f>
        <v/>
      </c>
      <c r="AI61" s="49" t="str">
        <f>IF($AD61=AI$56,($AI$31-$AJ$31*$BL$20/$BM$20)*$BL$29,"")</f>
        <v/>
      </c>
      <c r="AJ61" s="48" t="str">
        <f>IF($AD61=AI$56,($AJ$31-$BK$20-($AI$31-$BJ$20)*$BI$20/$BH$20)*$BH$29,"")</f>
        <v/>
      </c>
      <c r="AK61" s="49" t="str">
        <f>IF($AD61=AK$56,($AK$31+$BR$20+(-$AL$31-$BS$20)*$BP$20/$BQ$20)*$BP$29,"")</f>
        <v/>
      </c>
      <c r="AL61" s="48" t="str">
        <f>IF($AD61=AK$56,(-$AL$31+$BU$20+($AK$31-$BT$20)*$BW$20/$BV$20)*$BV$29,"")</f>
        <v/>
      </c>
      <c r="AN61" s="49" t="e">
        <f>(-$AE$31-$AV$20+($AF$31+$AW$20)*$AX$20/$AY$20)</f>
        <v>#VALUE!</v>
      </c>
      <c r="AO61" s="48" t="e">
        <f>(-$AF$31+$AE$31*$CA$20/$BZ$20)</f>
        <v>#VALUE!</v>
      </c>
      <c r="AP61" s="49" t="e">
        <f>(-$AG$31+$AH$31*$BB$20/$BC$20)</f>
        <v>#VALUE!</v>
      </c>
      <c r="AQ61" s="48" t="e">
        <f>($AH$31-$AG$31*$BE$20/$BD$20)</f>
        <v>#VALUE!</v>
      </c>
      <c r="AR61" s="49" t="e">
        <f>($AI$31-$AJ$31*$BL$20/$BM$20)</f>
        <v>#VALUE!</v>
      </c>
      <c r="AS61" s="48" t="e">
        <f>($AJ$31-$BK$20-($AI$31-$BJ$20)*$BI$20/$BH$20)</f>
        <v>#VALUE!</v>
      </c>
      <c r="AT61" s="49" t="e">
        <f>($AK$31+$BR$20+(-$AL$31-$BS$20)*$BP$20/$BQ$20)</f>
        <v>#VALUE!</v>
      </c>
      <c r="AU61" s="48" t="e">
        <f>(-$AL$31+$BU$20+($AK$31-$BT$20)*$BW$20/$BV$20)</f>
        <v>#VALUE!</v>
      </c>
      <c r="BG61" s="82">
        <v>24</v>
      </c>
      <c r="BH61" s="82">
        <v>13</v>
      </c>
      <c r="BI61" s="82">
        <v>18</v>
      </c>
      <c r="BJ61" s="82">
        <v>19</v>
      </c>
      <c r="BK61" s="82">
        <v>30</v>
      </c>
      <c r="BL61" s="82">
        <v>25</v>
      </c>
      <c r="BM61" s="82">
        <v>26</v>
      </c>
      <c r="BN61" s="82">
        <v>23</v>
      </c>
      <c r="BO61" s="82">
        <v>14</v>
      </c>
      <c r="BZ61" s="19"/>
      <c r="CA61" s="19"/>
    </row>
    <row r="62" spans="1:79" ht="12" customHeight="1" x14ac:dyDescent="0.25">
      <c r="D62" s="17" t="s">
        <v>144</v>
      </c>
      <c r="E62" s="34" t="e">
        <f>IF($L$39='SHL Section'!$L$38,IF('SHL Section'!$E$61="","",'SHL Section'!$E$61),IF($L$39='BHL Section 1'!$L$38,IF('BHL Section 1'!$E$61="","",'BHL Section 1'!$E$61),IF($L$39='BHL Section 2'!$L$38,IF('BHL Section 2'!$E$61="","",'BHL Section 2'!$E$61),IF($L$39='BHL Section 3'!$L$38,IF('BHL Section 3'!$E$61="","",'BHL Section 3'!$E$61),IF(E58="","",IF(OR(E61=1,E61=4),180-(E58+E59/60+E60/3600),(E58+E59/60+E60/3600)))))))</f>
        <v>#VALUE!</v>
      </c>
      <c r="J62" s="17" t="s">
        <v>144</v>
      </c>
      <c r="K62" s="34" t="e">
        <f>IF($L$39='SHL Section'!$L$38,IF('SHL Section'!$K$61="","",'SHL Section'!$K$61),IF($L$39='BHL Section 1'!$L$38,IF('BHL Section 1'!$K$61="","",'BHL Section 1'!$K$61),IF($L$39='BHL Section 2'!$L$38,IF('BHL Section 2'!$K$61="","",'BHL Section 2'!$K$61),IF($L$39='BHL Section 3'!$L$38,IF('BHL Section 3'!$K$61="","",'BHL Section 3'!$K$61),IF(K58="","",IF(OR(K61=1,K61=4),180-(K58+K59/60+K60/3600),(K58+K59/60+K60/3600)))))))</f>
        <v>#VALUE!</v>
      </c>
      <c r="N62" s="17" t="s">
        <v>144</v>
      </c>
      <c r="O62" s="34" t="e">
        <f>IF($L$39='SHL Section'!$L$38,IF('SHL Section'!$O$61="","",'SHL Section'!$O$61),IF($L$39='BHL Section 1'!$L$38,IF('BHL Section 1'!$O$61="","",'BHL Section 1'!$O$61),IF($L$39='BHL Section 2'!$L$38,IF('BHL Section 2'!$O$61="","",'BHL Section 2'!$O$61),IF($L$39='BHL Section 3'!$L$38,IF('BHL Section 3'!$O$61="","",'BHL Section 3'!$O$61),IF(O58="","",IF(OR(O61=1,O61=4),180-(O58+O59/60+O60/3600),(O58+O59/60+O60/3600)))))))</f>
        <v>#VALUE!</v>
      </c>
      <c r="T62" s="17" t="s">
        <v>144</v>
      </c>
      <c r="U62" s="34" t="e">
        <f>IF($L$39='SHL Section'!$L$38,IF('SHL Section'!$U$61="","",'SHL Section'!$U$61),IF($L$39='BHL Section 1'!$L$38,IF('BHL Section 1'!$U$61="","",'BHL Section 1'!$U$61),IF($L$39='BHL Section 2'!$L$38,IF('BHL Section 2'!$U$61="","",'BHL Section 2'!$U$61),IF($L$39='BHL Section 3'!$L$38,IF('BHL Section 3'!$U$61="","",'BHL Section 3'!$U$61),IF(U58="","",IF(OR(U61=1,U61=4),180-(U58+U59/60+U60/3600),(U58+U59/60+U60/3600)))))))</f>
        <v>#VALUE!</v>
      </c>
      <c r="AA62" s="5"/>
      <c r="AB62" s="29"/>
      <c r="AD62" s="53">
        <v>3</v>
      </c>
      <c r="AE62" s="49" t="str">
        <f>IF($AD62=AE$56,(-$AE$31-$AV$20+($AF$31+$AW$20)*$AX$20/$AY$20)*$AX$29,"")</f>
        <v/>
      </c>
      <c r="AF62" s="48" t="str">
        <f>IF($AD62=AE$56,(-$AF$31-$CA$20-(-$AE$31-$BZ$20)*$BY$20/$BX$20)*$BX$29,"")</f>
        <v/>
      </c>
      <c r="AG62" s="49" t="str">
        <f>IF($AD62=AG$56,(-$AG$31+$AH$31*$BB$20/$BC$20)*$BB$29,"")</f>
        <v/>
      </c>
      <c r="AH62" s="48" t="str">
        <f>IF($AD62=AG$56,($AH$31+$BE$20+(-$AG$31-$BD$20)*$BG$20/$BF$20)*$BF$29,"")</f>
        <v/>
      </c>
      <c r="AI62" s="49" t="str">
        <f>IF($AD62=AI$56,($AI$31-$AJ$31*$BL$20/$BM$20)*$BL$29,"")</f>
        <v/>
      </c>
      <c r="AJ62" s="48" t="str">
        <f>IF($AD62=AI$56,($AJ$31-$AI$31*$BK$20/$BJ$20)*$BJ$29,"")</f>
        <v/>
      </c>
      <c r="AK62" s="49" t="str">
        <f>IF($AD62=AK$56,($AK$31+$BR$20+(-$AL$31-$BS$20)*$BP$20/$BQ$20)*$BP$29,"")</f>
        <v/>
      </c>
      <c r="AL62" s="48" t="str">
        <f>IF($AD62=AK$56,(-$AL$31+$AK$31*$BU$20/$BT$20)*$BT$29,"")</f>
        <v/>
      </c>
      <c r="AN62" s="49" t="e">
        <f>(-$AE$31-$AV$20+($AF$31+$AW$20)*$AX$20/$AY$20)</f>
        <v>#VALUE!</v>
      </c>
      <c r="AO62" s="48" t="e">
        <f>(-$AF$31-$CA$20-(-$AE$31-$BZ$20)*$BY$20/$BX$20)</f>
        <v>#VALUE!</v>
      </c>
      <c r="AP62" s="49" t="e">
        <f>(-$AG$31+$AH$31*$BB$20/$BC$20)</f>
        <v>#VALUE!</v>
      </c>
      <c r="AQ62" s="48" t="e">
        <f>($AH$31+$BE$20+(-$AG$31-$BD$20)*$BG$20/$BF$20)</f>
        <v>#VALUE!</v>
      </c>
      <c r="AR62" s="49" t="e">
        <f>($AI$31-$AJ$31*$BL$20/$BM$20)</f>
        <v>#VALUE!</v>
      </c>
      <c r="AS62" s="48" t="e">
        <f>($AJ$31-$AI$31*$BK$20/$BJ$20)</f>
        <v>#VALUE!</v>
      </c>
      <c r="AT62" s="49" t="e">
        <f>($AK$31+$BR$20+(-$AL$31-$BS$20)*$BP$20/$BQ$20)</f>
        <v>#VALUE!</v>
      </c>
      <c r="AU62" s="48" t="e">
        <f>(-$AL$31+$AK$31*$BU$20/$BT$20)</f>
        <v>#VALUE!</v>
      </c>
      <c r="AW62" s="29" t="e">
        <f>VLOOKUP(MAX(#REF!),$AV$57:$AZ$60,MAX(#REF!)+1,FALSE)</f>
        <v>#REF!</v>
      </c>
      <c r="BG62" s="82">
        <v>25</v>
      </c>
      <c r="BH62" s="82">
        <v>24</v>
      </c>
      <c r="BI62" s="82">
        <v>19</v>
      </c>
      <c r="BJ62" s="82">
        <v>30</v>
      </c>
      <c r="BK62" s="82">
        <v>31</v>
      </c>
      <c r="BL62" s="82">
        <v>36</v>
      </c>
      <c r="BM62" s="82">
        <v>35</v>
      </c>
      <c r="BN62" s="82">
        <v>26</v>
      </c>
      <c r="BO62" s="82">
        <v>23</v>
      </c>
      <c r="BZ62" s="19"/>
      <c r="CA62" s="19"/>
    </row>
    <row r="63" spans="1:79" ht="12" customHeight="1" x14ac:dyDescent="0.25">
      <c r="E63" s="44" t="e">
        <f>IF($L$39='SHL Section'!$L$38,'SHL Section'!$E$56,IF($L$39='BHL Section 1'!$L$38,'BHL Section 1'!$E$62,IF($L$39='BHL Section 2'!$L$38,'BHL Section 2'!$E$62,IF($L$39='BHL Section 3'!$L$38,'BHL Section 3'!$E$62,$E$57))))</f>
        <v>#VALUE!</v>
      </c>
      <c r="F63" s="156"/>
      <c r="G63" s="156"/>
      <c r="H63" s="156"/>
      <c r="I63" s="156"/>
      <c r="J63" s="156"/>
      <c r="K63" s="44" t="e">
        <f>IF($L$39='SHL Section'!$L$38,'SHL Section'!$K$56,IF($L$39='BHL Section 1'!$L$38,'BHL Section 1'!$K$62,IF($L$39='BHL Section 2'!$L$38,'BHL Section 2'!$K$62,IF($L$39='BHL Section 3'!$L$38,'BHL Section 3'!$K$62,$K$57))))</f>
        <v>#VALUE!</v>
      </c>
      <c r="L63" s="156"/>
      <c r="M63" s="156"/>
      <c r="N63" s="156"/>
      <c r="O63" s="44" t="e">
        <f>IF($L$39='SHL Section'!$L$38,'SHL Section'!$O$56,IF($L$39='BHL Section 1'!$L$38,'BHL Section 1'!$O$62,IF($L$39='BHL Section 2'!$L$38,'BHL Section 2'!$O$62,IF($L$39='BHL Section 3'!$L$38,'BHL Section 3'!$O$62,$O$57))))</f>
        <v>#VALUE!</v>
      </c>
      <c r="P63" s="156"/>
      <c r="Q63" s="156"/>
      <c r="R63" s="156"/>
      <c r="S63" s="156"/>
      <c r="T63" s="156"/>
      <c r="U63" s="44" t="e">
        <f>IF($L$39='SHL Section'!$L$38,'SHL Section'!$U$56,IF($L$39='BHL Section 1'!$L$38,'BHL Section 1'!$U$62,IF($L$39='BHL Section 2'!$L$38,'BHL Section 2'!$U$62,IF($L$39='BHL Section 3'!$L$38,'BHL Section 3'!$U$62,$U$57))))</f>
        <v>#VALUE!</v>
      </c>
      <c r="AA63" s="5"/>
      <c r="AD63" s="53">
        <v>4</v>
      </c>
      <c r="AE63" s="83" t="str">
        <f>IF($AD63=AE$56,(-$AE$31+$AF$31*$AV$20/$AW$20)*$AV$29,"")</f>
        <v/>
      </c>
      <c r="AF63" s="84" t="str">
        <f>IF($AD63=AE$56,(-$AF$31-$CA$20-(-$AE$31-$BZ$20)*$BY$20/$BX$20)*$BX$29,"")</f>
        <v/>
      </c>
      <c r="AG63" s="83" t="str">
        <f>IF($AD63=AG$56,(-$AG$31+$BB$20+($AH$31-$BC$20)*$AZ$20/$BA$20)*$AZ$29,"")</f>
        <v/>
      </c>
      <c r="AH63" s="84" t="str">
        <f>IF($AD63=AG$56,($AH$31+$BE$20+(-$AG$31-$BD$20)*$BG$20/$BF$20)*$BF$29,"")</f>
        <v/>
      </c>
      <c r="AI63" s="83" t="str">
        <f>IF($AD63=AI$56,($AI$31-$BL$20-($AJ$31-$BM$20)*$BN$20/$BO$20)*$BN$29,"")</f>
        <v/>
      </c>
      <c r="AJ63" s="84" t="str">
        <f>IF($AD63=AI$56,($AJ$31-$AI$31*$BK$20/$BJ$20)*$BJ$29,"")</f>
        <v/>
      </c>
      <c r="AK63" s="83" t="str">
        <f>IF($AD63=AK$56,($AK$31-$AL$31*$BR$20/$BS$20)*$BR$29,"")</f>
        <v/>
      </c>
      <c r="AL63" s="84" t="str">
        <f>IF($AD63=AK$56,(-$AL$31+$AK$31*$BU$20/$BT$20)*$BT$29,"")</f>
        <v/>
      </c>
      <c r="AN63" s="83" t="e">
        <f>(-$AE$31+$AF$31*$AV$20/$AW$20)</f>
        <v>#VALUE!</v>
      </c>
      <c r="AO63" s="84" t="e">
        <f>(-$AF$31-$CA$20-(-$AE$31-$BZ$20)*$BY$20/$BX$20)</f>
        <v>#VALUE!</v>
      </c>
      <c r="AP63" s="83" t="e">
        <f>(-$AG$31+$BB$20+($AH$31-$BC$20)*$AZ$20/$BA$20)</f>
        <v>#VALUE!</v>
      </c>
      <c r="AQ63" s="84" t="e">
        <f>($AH$31+$BE$20+(-$AG$31-$BD$20)*$BG$20/$BF$20)</f>
        <v>#VALUE!</v>
      </c>
      <c r="AR63" s="83" t="e">
        <f>($AI$31-$BL$20-($AJ$31-$BM$20)*$BN$20/$BO$20)</f>
        <v>#VALUE!</v>
      </c>
      <c r="AS63" s="84" t="e">
        <f>($AJ$31-$AI$31*$BK$20/$BJ$20)</f>
        <v>#VALUE!</v>
      </c>
      <c r="AT63" s="83" t="e">
        <f>($AK$31-$AL$31*$BR$20/$BS$20)</f>
        <v>#VALUE!</v>
      </c>
      <c r="AU63" s="84" t="e">
        <f>(-$AL$31+$AK$31*$BU$20/$BT$20)</f>
        <v>#VALUE!</v>
      </c>
      <c r="BG63" s="82">
        <v>26</v>
      </c>
      <c r="BH63" s="82">
        <v>23</v>
      </c>
      <c r="BI63" s="82">
        <v>24</v>
      </c>
      <c r="BJ63" s="82">
        <v>25</v>
      </c>
      <c r="BK63" s="82">
        <v>36</v>
      </c>
      <c r="BL63" s="82">
        <v>35</v>
      </c>
      <c r="BM63" s="82">
        <v>34</v>
      </c>
      <c r="BN63" s="82">
        <v>27</v>
      </c>
      <c r="BO63" s="82">
        <v>22</v>
      </c>
      <c r="BZ63" s="19"/>
      <c r="CA63" s="19"/>
    </row>
    <row r="64" spans="1:79" ht="12" customHeight="1" x14ac:dyDescent="0.25">
      <c r="AA64" s="5"/>
      <c r="AB64" s="5"/>
      <c r="AE64" s="85" t="str">
        <f>IF(ISNUMBER($AE$60),AE$60,IF(ISNUMBER($AE$61),AE$61,IF(ISNUMBER($AE$62),AE$62,IF(ISNUMBER($AE$63),AE$63,""))))</f>
        <v/>
      </c>
      <c r="AF64" s="86" t="str">
        <f>IF(ISNUMBER($AF$60),AF$60,IF(ISNUMBER($AF$61),AF$61,IF(ISNUMBER($AF$62),AF$62,IF(ISNUMBER($AF$63),AF$63,""))))</f>
        <v/>
      </c>
      <c r="AG64" s="85" t="str">
        <f>IF(ISNUMBER($AG$60),AG$60,IF(ISNUMBER($AG$61),AG$61,IF(ISNUMBER($AG$62),AG$62,IF(ISNUMBER($AG$63),AG$63,""))))</f>
        <v/>
      </c>
      <c r="AH64" s="86" t="str">
        <f>IF(ISNUMBER($AH$60),AH$60,IF(ISNUMBER($AH$61),AH$61,IF(ISNUMBER($AH$62),AH$62,IF(ISNUMBER($AH$63),AH$63,""))))</f>
        <v/>
      </c>
      <c r="AI64" s="85" t="str">
        <f>IF(ISNUMBER($AI$60),AI$60,IF(ISNUMBER($AI$61),AI$61,IF(ISNUMBER($AI$62),AI$62,IF(ISNUMBER($AI$63),AI$63,""))))</f>
        <v/>
      </c>
      <c r="AJ64" s="86" t="str">
        <f>IF(ISNUMBER($AJ$60),AJ$60,IF(ISNUMBER($AJ$61),AJ$61,IF(ISNUMBER($AJ$62),AJ$62,IF(ISNUMBER($AJ$63),AJ$63,""))))</f>
        <v/>
      </c>
      <c r="AK64" s="85" t="str">
        <f>IF(ISNUMBER($AK$60),AK$60,IF(ISNUMBER($AK$61),AK$61,IF(ISNUMBER($AK$62),AK$62,IF(ISNUMBER($AK$63),AK$63,""))))</f>
        <v/>
      </c>
      <c r="AL64" s="86" t="str">
        <f>IF(ISNUMBER($AL$60),AL$60,IF(ISNUMBER($AL$61),AL$61,IF(ISNUMBER($AL$62),AL$62,IF(ISNUMBER($AL$63),AL$63,""))))</f>
        <v/>
      </c>
      <c r="AO64" s="44"/>
      <c r="AP64" s="44"/>
      <c r="AQ64" s="44"/>
      <c r="AR64" s="44"/>
      <c r="AS64" s="44"/>
      <c r="AT64" s="44"/>
      <c r="BG64" s="82">
        <v>27</v>
      </c>
      <c r="BH64" s="82">
        <v>22</v>
      </c>
      <c r="BI64" s="82">
        <v>23</v>
      </c>
      <c r="BJ64" s="82">
        <v>26</v>
      </c>
      <c r="BK64" s="82">
        <v>35</v>
      </c>
      <c r="BL64" s="82">
        <v>34</v>
      </c>
      <c r="BM64" s="82">
        <v>33</v>
      </c>
      <c r="BN64" s="82">
        <v>28</v>
      </c>
      <c r="BO64" s="82">
        <v>21</v>
      </c>
      <c r="BZ64" s="19"/>
      <c r="CA64" s="19"/>
    </row>
    <row r="65" spans="27:79" ht="12" customHeight="1" x14ac:dyDescent="0.25">
      <c r="AA65" s="5"/>
      <c r="AE65" s="87"/>
      <c r="AF65" s="88"/>
      <c r="AG65" s="89"/>
      <c r="AH65" s="89"/>
      <c r="AI65" s="87"/>
      <c r="AJ65" s="88"/>
      <c r="AK65" s="87"/>
      <c r="AL65" s="88"/>
      <c r="AO65" s="44"/>
      <c r="AP65" s="44"/>
      <c r="AQ65" s="44"/>
      <c r="AR65" s="44"/>
      <c r="AS65" s="44"/>
      <c r="AT65" s="44"/>
      <c r="BG65" s="82">
        <v>28</v>
      </c>
      <c r="BH65" s="82">
        <v>21</v>
      </c>
      <c r="BI65" s="82">
        <v>22</v>
      </c>
      <c r="BJ65" s="82">
        <v>27</v>
      </c>
      <c r="BK65" s="82">
        <v>34</v>
      </c>
      <c r="BL65" s="82">
        <v>33</v>
      </c>
      <c r="BM65" s="82">
        <v>32</v>
      </c>
      <c r="BN65" s="82">
        <v>29</v>
      </c>
      <c r="BO65" s="82">
        <v>20</v>
      </c>
      <c r="BZ65" s="19"/>
      <c r="CA65" s="19"/>
    </row>
    <row r="66" spans="27:79" ht="12" customHeight="1" x14ac:dyDescent="0.25">
      <c r="AA66" s="5"/>
      <c r="AE66" s="939" t="s">
        <v>366</v>
      </c>
      <c r="AF66" s="882"/>
      <c r="AG66" s="943" t="s">
        <v>366</v>
      </c>
      <c r="AH66" s="832"/>
      <c r="AI66" s="939" t="s">
        <v>366</v>
      </c>
      <c r="AJ66" s="882"/>
      <c r="AK66" s="939" t="s">
        <v>366</v>
      </c>
      <c r="AL66" s="882"/>
      <c r="BG66" s="82">
        <v>29</v>
      </c>
      <c r="BH66" s="82">
        <v>20</v>
      </c>
      <c r="BI66" s="82">
        <v>21</v>
      </c>
      <c r="BJ66" s="82">
        <v>28</v>
      </c>
      <c r="BK66" s="82">
        <v>33</v>
      </c>
      <c r="BL66" s="82">
        <v>32</v>
      </c>
      <c r="BM66" s="82">
        <v>31</v>
      </c>
      <c r="BN66" s="82">
        <v>30</v>
      </c>
      <c r="BO66" s="82">
        <v>19</v>
      </c>
      <c r="BZ66" s="19"/>
      <c r="CA66" s="19"/>
    </row>
    <row r="67" spans="27:79" ht="12" customHeight="1" x14ac:dyDescent="0.25">
      <c r="AA67" s="5"/>
      <c r="AE67" s="944" t="e">
        <f>IF($AE$33="","",IF(AND((-$AE$33+$AF$33*$AV$20/$AW$20)&gt;0,-$AE$33&lt;$BZ$20,(-$AF$33+$AE$33*$CA$20/$BZ$20)&gt;0,-$AF$33&lt;$AW$20),1,IF(AND((-$AE$33-$AV$20+($AF$33+$AW$20)*$AX$20/$AY$20)&gt;0,-$AE$33&lt;$BZ$20,-$AF$33&gt;$AW$20,-$AF$33&lt;$AX$23),2,IF(AND(-$AE$33&lt;$BY$23,-$AE$33&gt;$BZ$20,-$AF$33&gt;$AW$20,-$AF$33&lt;$AX$23),3,IF(AND(-$AE$33&lt;$BY$23,-$AE$33&gt;$BZ$20,(-$AF$33-$CA$20-(-$AE$33-$BZ$20)*$BY$20/$BX$20)&gt;0,-$AF$33&lt;$AW$20),4,"")))))</f>
        <v>#VALUE!</v>
      </c>
      <c r="AF67" s="911"/>
      <c r="AG67" s="944" t="e">
        <f>IF($AG$34="","",IF(AND((-$AG$34+$BB$20+($AH$34-$BC$20)*$AZ$20/$BA$20)&gt;0,-$AG$34&lt;$BD$20,$AH$34&gt;$BC$20,$AH$34&lt;$BB$23),1,IF(AND((-$AG$34+$AH$34*$BB$20/$BC$20)&gt;0,-$AG$34&lt;$BD$20,($AH$34-$AG$34*$BE$20/$BD$20)&gt;0,$AH$34&lt;$BC$20),2,IF(AND(-$AG$34&gt;$BD$20,-$AG$34&lt;$BE$23,($AH$34+$BE$20+(-$AG$34-$BD$20)*$BG$20/$BF$20)&gt;0,$AH$34&lt;$BC$20),3,IF(AND(-$AG$34&gt;$BD$20,-$AG$34&lt;$BE$23,$AH$34&gt;$BC$20,$AH$34&lt;$BB$23),4,"")))))</f>
        <v>#VALUE!</v>
      </c>
      <c r="AH67" s="911"/>
      <c r="AI67" s="944" t="e">
        <f>IF($AI$35="","",IF(AND($AI$35&gt;$BJ$20,$AI$35&lt;$BI$23,$AJ$35&gt;$BM$20,$AJ$35&lt;$BN$23),1,IF(AND($AI$35&gt;$BJ$20,$AI$35&lt;$BI$23,($AJ$35-$BK$20-($AI$35-$BJ$20)*$BI$20/$BH$20)&gt;0,$AJ$35&lt;$BM$20),2,IF(AND(($AI$35-$AJ$35*$BL$20/$BM$20)&gt;0,$AI$35&lt;$BJ$20,($AJ$35-$AI$35*$BK$20/$BJ$20)&gt;0,$AJ$35&lt;$BM$20),3,IF(AND(($AI$35-$BL$20-($AJ$35-$BM$20)*$BN$20/$BO$20)&gt;0,$AI$35&lt;$BJ$20,$AJ$35&gt;$BM$20,$AJ$35&lt;$BN$23),4,"")))))</f>
        <v>#VALUE!</v>
      </c>
      <c r="AJ67" s="911"/>
      <c r="AK67" s="944" t="e">
        <f>IF($AK$36="","",IF(AND($AK$36&gt;$BT$20,$AK$36&lt;$BU$23,(-$AL$36+$BU$20+($AK$36-$BT$20)*$BW$20/$BV$20)&gt;0,-$AL$36&lt;$BS$20),1,IF(AND($AK$36&gt;$BT$20,$AK$36&lt;$BU$23,-$AL$36&gt;$BS$20,-$AL$36&lt;$BR$23),2,IF(AND(($AK$36+$BR$20+(-$AL$36-$BS$20)*$BP$20/$BQ$20)&gt;0,$AK$36&lt;$BT$20,-$AL$36&gt;$BS$20,-$AL$36&lt;$BR$23),3,IF(AND(($AK$36-$AL$36*$BR$20/$BS$20)&gt;0,$AK$36&lt;$BT$20,(-$AL$36+$AK$36*$BU$20/$BT$20)&gt;0,-$AL$36&lt;$BS$20),4,"")))))</f>
        <v>#VALUE!</v>
      </c>
      <c r="AL67" s="911"/>
      <c r="BG67" s="82">
        <v>30</v>
      </c>
      <c r="BH67" s="82">
        <v>19</v>
      </c>
      <c r="BI67" s="82">
        <v>20</v>
      </c>
      <c r="BJ67" s="82">
        <v>29</v>
      </c>
      <c r="BK67" s="82">
        <v>32</v>
      </c>
      <c r="BL67" s="82">
        <v>31</v>
      </c>
      <c r="BM67" s="82">
        <v>36</v>
      </c>
      <c r="BN67" s="82">
        <v>25</v>
      </c>
      <c r="BO67" s="82">
        <v>24</v>
      </c>
      <c r="BZ67" s="19"/>
      <c r="CA67" s="19"/>
    </row>
    <row r="68" spans="27:79" ht="12" customHeight="1" x14ac:dyDescent="0.25">
      <c r="AA68" s="5"/>
      <c r="AE68" s="87"/>
      <c r="AF68" s="88"/>
      <c r="AG68" s="89"/>
      <c r="AH68" s="89"/>
      <c r="AI68" s="87"/>
      <c r="AJ68" s="88"/>
      <c r="AK68" s="87"/>
      <c r="AL68" s="88"/>
      <c r="BG68" s="82">
        <v>31</v>
      </c>
      <c r="BH68" s="82">
        <v>30</v>
      </c>
      <c r="BI68" s="82">
        <v>29</v>
      </c>
      <c r="BJ68" s="82">
        <v>32</v>
      </c>
      <c r="BK68" s="82">
        <v>5</v>
      </c>
      <c r="BL68" s="82">
        <v>6</v>
      </c>
      <c r="BM68" s="82">
        <v>1</v>
      </c>
      <c r="BN68" s="82">
        <v>36</v>
      </c>
      <c r="BO68" s="82">
        <v>25</v>
      </c>
      <c r="BZ68" s="19"/>
      <c r="CA68" s="19"/>
    </row>
    <row r="69" spans="27:79" ht="12" customHeight="1" x14ac:dyDescent="0.25">
      <c r="AA69" s="5"/>
      <c r="AE69" s="939" t="s">
        <v>367</v>
      </c>
      <c r="AF69" s="882"/>
      <c r="AG69" s="939" t="s">
        <v>368</v>
      </c>
      <c r="AH69" s="882"/>
      <c r="AI69" s="939" t="s">
        <v>369</v>
      </c>
      <c r="AJ69" s="882"/>
      <c r="AK69" s="939" t="s">
        <v>370</v>
      </c>
      <c r="AL69" s="882"/>
      <c r="BG69" s="82">
        <v>32</v>
      </c>
      <c r="BH69" s="82">
        <v>29</v>
      </c>
      <c r="BI69" s="82">
        <v>28</v>
      </c>
      <c r="BJ69" s="82">
        <v>33</v>
      </c>
      <c r="BK69" s="82">
        <v>4</v>
      </c>
      <c r="BL69" s="82">
        <v>5</v>
      </c>
      <c r="BM69" s="82">
        <v>6</v>
      </c>
      <c r="BN69" s="82">
        <v>31</v>
      </c>
      <c r="BO69" s="82">
        <v>30</v>
      </c>
      <c r="BZ69" s="19"/>
      <c r="CA69" s="19"/>
    </row>
    <row r="70" spans="27:79" ht="12" customHeight="1" x14ac:dyDescent="0.25">
      <c r="AA70" s="5"/>
      <c r="AD70" s="757" t="s">
        <v>226</v>
      </c>
      <c r="AE70" s="30" t="s">
        <v>181</v>
      </c>
      <c r="AF70" s="30" t="s">
        <v>194</v>
      </c>
      <c r="AG70" s="761" t="s">
        <v>181</v>
      </c>
      <c r="AH70" s="760" t="s">
        <v>201</v>
      </c>
      <c r="AI70" s="30" t="s">
        <v>186</v>
      </c>
      <c r="AJ70" s="30" t="s">
        <v>201</v>
      </c>
      <c r="AK70" s="30" t="s">
        <v>186</v>
      </c>
      <c r="AL70" s="30" t="s">
        <v>194</v>
      </c>
      <c r="AN70" s="19" t="s">
        <v>371</v>
      </c>
      <c r="BG70" s="82">
        <v>33</v>
      </c>
      <c r="BH70" s="82">
        <v>28</v>
      </c>
      <c r="BI70" s="82">
        <v>27</v>
      </c>
      <c r="BJ70" s="82">
        <v>34</v>
      </c>
      <c r="BK70" s="82">
        <v>3</v>
      </c>
      <c r="BL70" s="82">
        <v>4</v>
      </c>
      <c r="BM70" s="82">
        <v>5</v>
      </c>
      <c r="BN70" s="82">
        <v>32</v>
      </c>
      <c r="BO70" s="82">
        <v>29</v>
      </c>
      <c r="BZ70" s="19"/>
      <c r="CA70" s="19"/>
    </row>
    <row r="71" spans="27:79" ht="12" customHeight="1" x14ac:dyDescent="0.25">
      <c r="AA71" s="5"/>
      <c r="AB71" s="29"/>
      <c r="AD71" s="53">
        <v>1</v>
      </c>
      <c r="AE71" s="49" t="e">
        <f>IF($AD71=AE$67,(-$AE$37+$AF$37*$AV$20/$AW$20)*$AV$29,"")</f>
        <v>#VALUE!</v>
      </c>
      <c r="AF71" s="48" t="e">
        <f>IF($AD71=AE$67,(-$AF$37+$AE$37*$CA$20/$BZ$20)*$BZ$29,"")</f>
        <v>#VALUE!</v>
      </c>
      <c r="AG71" s="49" t="e">
        <f>IF($AD71=AG$67,(-$AG$37+$BB$20+($AH$37-$BC$20)*$AZ$20/$BA$20)*$AZ$29,"")</f>
        <v>#VALUE!</v>
      </c>
      <c r="AH71" s="48" t="e">
        <f>IF($AD71=AG$67,($AH$37-$AG$37*$BE$20/$BD$20)*$BD$29,"")</f>
        <v>#VALUE!</v>
      </c>
      <c r="AI71" s="49" t="e">
        <f>IF($AD71=AI$67,($AI$37-$BL$20-($AJ$37-$BM$20)*$BN$20/$BO$20)*$BN$29,"")</f>
        <v>#VALUE!</v>
      </c>
      <c r="AJ71" s="48" t="e">
        <f>IF($AD71=AI$67,($AJ$37-$BK$20-($AI$37-$BJ$20)*$BI$20/$BH$20)*$BH$29,"")</f>
        <v>#VALUE!</v>
      </c>
      <c r="AK71" s="49" t="e">
        <f>IF($AD71=AK$67,($AK$37-$AL$37*$BR$20/$BS$20)*$BR$29,"")</f>
        <v>#VALUE!</v>
      </c>
      <c r="AL71" s="48" t="e">
        <f>IF($AD71=AK$67,(-$AL$37+$BU$20+($AK$37-$BT$20)*$BW$20/$BV$20)*$BV$29,"")</f>
        <v>#VALUE!</v>
      </c>
      <c r="AN71" s="159" t="e">
        <f>(-$AE$37+$AF$37*$AV$20/$AW$20)</f>
        <v>#VALUE!</v>
      </c>
      <c r="AO71" s="160" t="e">
        <f>(-$AF$37+$AE$37*$CA$20/$BZ$20)</f>
        <v>#VALUE!</v>
      </c>
      <c r="AP71" s="159" t="e">
        <f>(-$AG$37+$BB$20+($AH$37-$BC$20)*$AZ$20/$BA$20)</f>
        <v>#VALUE!</v>
      </c>
      <c r="AQ71" s="160" t="e">
        <f>($AH$37-$AG$37*$BE$20/$BD$20)</f>
        <v>#VALUE!</v>
      </c>
      <c r="AR71" s="159" t="e">
        <f>($AI$37-$BL$20-($AJ$37-$BM$20)*$BN$20/$BO$20)</f>
        <v>#VALUE!</v>
      </c>
      <c r="AS71" s="160" t="e">
        <f>($AJ$37-$BK$20-($AI$37-$BJ$20)*$BI$20/$BH$20)</f>
        <v>#VALUE!</v>
      </c>
      <c r="AT71" s="159" t="e">
        <f>($AK$37-$AL$37*$BR$20/$BS$20)</f>
        <v>#VALUE!</v>
      </c>
      <c r="AU71" s="160" t="e">
        <f>(-$AL$37+$BU$20+($AK$37-$BT$20)*$BW$20/$BV$20)</f>
        <v>#VALUE!</v>
      </c>
      <c r="BG71" s="82">
        <v>34</v>
      </c>
      <c r="BH71" s="82">
        <v>27</v>
      </c>
      <c r="BI71" s="82">
        <v>26</v>
      </c>
      <c r="BJ71" s="82">
        <v>35</v>
      </c>
      <c r="BK71" s="82">
        <v>2</v>
      </c>
      <c r="BL71" s="82">
        <v>3</v>
      </c>
      <c r="BM71" s="82">
        <v>4</v>
      </c>
      <c r="BN71" s="82">
        <v>33</v>
      </c>
      <c r="BO71" s="82">
        <v>28</v>
      </c>
      <c r="BZ71" s="19"/>
      <c r="CA71" s="19"/>
    </row>
    <row r="72" spans="27:79" ht="12" customHeight="1" x14ac:dyDescent="0.25">
      <c r="AA72" s="5"/>
      <c r="AB72" s="5"/>
      <c r="AD72" s="53">
        <v>2</v>
      </c>
      <c r="AE72" s="49" t="e">
        <f>IF($AD72=AE$67,(-$AE$37-$AV$20+($AF$37+$AW$20)*$AX$20/$AY$20)*$AX$29,"")</f>
        <v>#VALUE!</v>
      </c>
      <c r="AF72" s="48" t="e">
        <f>IF($AD72=AE$67,(-$AF$37+$AE$37*$CA$20/$BZ$20)*$BZ$29,"")</f>
        <v>#VALUE!</v>
      </c>
      <c r="AG72" s="49" t="e">
        <f>IF($AD72=AG$67,(-$AG$37+$AH$37*$BB$20/$BC$20)*$BB$29,"")</f>
        <v>#VALUE!</v>
      </c>
      <c r="AH72" s="48" t="e">
        <f>IF($AD72=AG$67,($AH$37-$AG$37*$BE$20/$BD$20)*$BD$29,"")</f>
        <v>#VALUE!</v>
      </c>
      <c r="AI72" s="49" t="e">
        <f>IF($AD72=AI$67,($AI$37-$AJ$37*$BL$20/$BM$20)*$BL$29,"")</f>
        <v>#VALUE!</v>
      </c>
      <c r="AJ72" s="48" t="e">
        <f>IF($AD72=AI$67,($AJ$37-$BK$20-($AI$37-$BJ$20)*$BI$20/$BH$20)*$BH$29,"")</f>
        <v>#VALUE!</v>
      </c>
      <c r="AK72" s="49" t="e">
        <f>IF($AD72=AK$67,($AK$37+$BR$20+(-$AL$37-$BS$20)*$BP$20/$BQ$20)*$BP$29,"")</f>
        <v>#VALUE!</v>
      </c>
      <c r="AL72" s="48" t="e">
        <f>IF($AD72=AK$67,(-$AL$37+$BU$20+($AK$37-$BT$20)*$BW$20/$BV$20)*$BV$29,"")</f>
        <v>#VALUE!</v>
      </c>
      <c r="AN72" s="49" t="e">
        <f>(-$AE$37-$AV$20+($AF$37+$AW$20)*$AX$20/$AY$20)</f>
        <v>#VALUE!</v>
      </c>
      <c r="AO72" s="48" t="e">
        <f>(-$AF$37+$AE$37*$CA$20/$BZ$20)</f>
        <v>#VALUE!</v>
      </c>
      <c r="AP72" s="49" t="e">
        <f>(-$AG$37+$AH$37*$BB$20/$BC$20)</f>
        <v>#VALUE!</v>
      </c>
      <c r="AQ72" s="48" t="e">
        <f>($AH$37-$AG$37*$BE$20/$BD$20)</f>
        <v>#VALUE!</v>
      </c>
      <c r="AR72" s="49" t="e">
        <f>($AI$37-$AJ$37*$BL$20/$BM$20)</f>
        <v>#VALUE!</v>
      </c>
      <c r="AS72" s="48" t="e">
        <f>($AJ$37-$BK$20-($AI$37-$BJ$20)*$BI$20/$BH$20)</f>
        <v>#VALUE!</v>
      </c>
      <c r="AT72" s="49" t="e">
        <f>($AK$37+$BR$20+(-$AL$37-$BS$20)*$BP$20/$BQ$20)</f>
        <v>#VALUE!</v>
      </c>
      <c r="AU72" s="48" t="e">
        <f>(-$AL$37+$BU$20+($AK$37-$BT$20)*$BW$20/$BV$20)</f>
        <v>#VALUE!</v>
      </c>
      <c r="BG72" s="82">
        <v>35</v>
      </c>
      <c r="BH72" s="82">
        <v>26</v>
      </c>
      <c r="BI72" s="82">
        <v>25</v>
      </c>
      <c r="BJ72" s="82">
        <v>36</v>
      </c>
      <c r="BK72" s="82">
        <v>1</v>
      </c>
      <c r="BL72" s="82">
        <v>2</v>
      </c>
      <c r="BM72" s="82">
        <v>3</v>
      </c>
      <c r="BN72" s="82">
        <v>34</v>
      </c>
      <c r="BO72" s="82">
        <v>27</v>
      </c>
      <c r="BZ72" s="19"/>
      <c r="CA72" s="19"/>
    </row>
    <row r="73" spans="27:79" ht="12" customHeight="1" x14ac:dyDescent="0.25">
      <c r="AA73" s="5"/>
      <c r="AB73" s="5"/>
      <c r="AD73" s="53">
        <v>3</v>
      </c>
      <c r="AE73" s="49" t="e">
        <f>IF($AD73=AE$67,(-$AE$37-$AV$20+($AF$37+$AW$20)*$AX$20/$AY$20)*$AX$29,"")</f>
        <v>#VALUE!</v>
      </c>
      <c r="AF73" s="48" t="e">
        <f>IF($AD73=AE$67,(-$AF$37-$CA$20-(-$AE$37-$BZ$20)*$BY$20/$BX$20)*$BX$29,"")</f>
        <v>#VALUE!</v>
      </c>
      <c r="AG73" s="49" t="e">
        <f>IF($AD73=AG$67,(-$AG$37+$AH$37*$BB$20/$BC$20)*$BB$29,"")</f>
        <v>#VALUE!</v>
      </c>
      <c r="AH73" s="48" t="e">
        <f>IF($AD73=AG$67,($AH$37+$BE$20+(-$AG$37-$BD$20)*$BG$20/$BF$20)*$BF$29,"")</f>
        <v>#VALUE!</v>
      </c>
      <c r="AI73" s="49" t="e">
        <f>IF($AD73=AI$67,($AI$37-$AJ$37*$BL$20/$BM$20)*$BL$29,"")</f>
        <v>#VALUE!</v>
      </c>
      <c r="AJ73" s="48" t="e">
        <f>IF($AD73=AI$67,($AJ$37-$AI$37*$BK$20/$BJ$20)*$BJ$29,"")</f>
        <v>#VALUE!</v>
      </c>
      <c r="AK73" s="49" t="e">
        <f>IF($AD73=AK$67,($AK$37+$BR$20+(-$AL$37-$BS$20)*$BP$20/$BQ$20)*$BP$29,"")</f>
        <v>#VALUE!</v>
      </c>
      <c r="AL73" s="48" t="e">
        <f>IF($AD73=AK$67,(-$AL$37+$AK$37*$BU$20/$BT$20)*$BT$29,"")</f>
        <v>#VALUE!</v>
      </c>
      <c r="AN73" s="49" t="e">
        <f>(-$AE$37-$AV$20+($AF$37+$AW$20)*$AX$20/$AY$20)</f>
        <v>#VALUE!</v>
      </c>
      <c r="AO73" s="48" t="e">
        <f>(-$AF$37-$CA$20-(-$AE$37-$BZ$20)*$BY$20/$BX$20)</f>
        <v>#VALUE!</v>
      </c>
      <c r="AP73" s="49" t="e">
        <f>(-$AG$37+$AH$37*$BB$20/$BC$20)</f>
        <v>#VALUE!</v>
      </c>
      <c r="AQ73" s="48" t="e">
        <f>($AH$37+$BE$20+(-$AG$37-$BD$20)*$BG$20/$BF$20)</f>
        <v>#VALUE!</v>
      </c>
      <c r="AR73" s="49" t="e">
        <f>($AI$37-$AJ$37*$BL$20/$BM$20)</f>
        <v>#VALUE!</v>
      </c>
      <c r="AS73" s="48" t="e">
        <f>($AJ$37-$AI$37*$BK$20/$BJ$20)</f>
        <v>#VALUE!</v>
      </c>
      <c r="AT73" s="49" t="e">
        <f>($AK$37+$BR$20+(-$AL$37-$BS$20)*$BP$20/$BQ$20)</f>
        <v>#VALUE!</v>
      </c>
      <c r="AU73" s="48" t="e">
        <f>(-$AL$37+$AK$37*$BU$20/$BT$20)</f>
        <v>#VALUE!</v>
      </c>
      <c r="BG73" s="82">
        <v>36</v>
      </c>
      <c r="BH73" s="82">
        <v>25</v>
      </c>
      <c r="BI73" s="82">
        <v>30</v>
      </c>
      <c r="BJ73" s="82">
        <v>31</v>
      </c>
      <c r="BK73" s="82">
        <v>6</v>
      </c>
      <c r="BL73" s="82">
        <v>1</v>
      </c>
      <c r="BM73" s="82">
        <v>2</v>
      </c>
      <c r="BN73" s="82">
        <v>35</v>
      </c>
      <c r="BO73" s="82">
        <v>26</v>
      </c>
      <c r="BZ73" s="19"/>
      <c r="CA73" s="19"/>
    </row>
    <row r="74" spans="27:79" ht="12" customHeight="1" x14ac:dyDescent="0.25">
      <c r="AA74" s="5"/>
      <c r="AB74" s="5"/>
      <c r="AD74" s="53">
        <v>4</v>
      </c>
      <c r="AE74" s="83" t="e">
        <f>IF($AD74=AE$67,(-$AE$37+$AF$37*$AV$20/$AW$20)*$AV$29,"")</f>
        <v>#VALUE!</v>
      </c>
      <c r="AF74" s="84" t="e">
        <f>IF($AD74=AE$67,(-$AF$37-$CA$20-(-$AE$37-$BZ$20)*$BY$20/$BX$20)*$BX$29,"")</f>
        <v>#VALUE!</v>
      </c>
      <c r="AG74" s="83" t="e">
        <f>IF($AD74=AG$67,(-$AG$37+$BB$20+($AH$37-$BC$20)*$AZ$20/$BA$20)*$AZ$29,"")</f>
        <v>#VALUE!</v>
      </c>
      <c r="AH74" s="84" t="e">
        <f>IF($AD74=AG$67,($AH$37+$BE$20+(-$AG$37-$BD$20)*$BG$20/$BF$20)*$BF$29,"")</f>
        <v>#VALUE!</v>
      </c>
      <c r="AI74" s="83" t="e">
        <f>IF($AD74=AI$67,($AI$37-$BL$20-($AJ$37-$BM$20)*$BN$20/$BO$20)*$BN$29,"")</f>
        <v>#VALUE!</v>
      </c>
      <c r="AJ74" s="84" t="e">
        <f>IF($AD74=AI$67,($AJ$37-$AI$37*$BK$20/$BJ$20)*$BJ$29,"")</f>
        <v>#VALUE!</v>
      </c>
      <c r="AK74" s="83" t="e">
        <f>IF($AD74=AK$67,($AK$37-$AL$37*$BR$20/$BS$20)*$BR$29,"")</f>
        <v>#VALUE!</v>
      </c>
      <c r="AL74" s="84" t="e">
        <f>IF($AD74=AK$67,(-$AL$37+$AK$37*$BU$20/$BT$20)*$BT$29,"")</f>
        <v>#VALUE!</v>
      </c>
      <c r="AN74" s="83" t="e">
        <f>(-$AE$37+$AF$37*$AV$20/$AW$20)</f>
        <v>#VALUE!</v>
      </c>
      <c r="AO74" s="84" t="e">
        <f>(-$AF$37-$CA$20-(-$AE$37-$BZ$20)*$BY$20/$BX$20)</f>
        <v>#VALUE!</v>
      </c>
      <c r="AP74" s="83" t="e">
        <f>(-$AG$37+$BB$20+($AH$37-$BC$20)*$AZ$20/$BA$20)</f>
        <v>#VALUE!</v>
      </c>
      <c r="AQ74" s="84" t="e">
        <f>($AH$37+$BE$20+(-$AG$37-$BD$20)*$BG$20/$BF$20)</f>
        <v>#VALUE!</v>
      </c>
      <c r="AR74" s="83" t="e">
        <f>($AI$37-$BL$20-($AJ$37-$BM$20)*$BN$20/$BO$20)</f>
        <v>#VALUE!</v>
      </c>
      <c r="AS74" s="84" t="e">
        <f>($AJ$37-$AI$37*$BK$20/$BJ$20)</f>
        <v>#VALUE!</v>
      </c>
      <c r="AT74" s="83" t="e">
        <f>($AK$37-$AL$37*$BR$20/$BS$20)</f>
        <v>#VALUE!</v>
      </c>
      <c r="AU74" s="84" t="e">
        <f>(-$AL$37+$AK$37*$BU$20/$BT$20)</f>
        <v>#VALUE!</v>
      </c>
      <c r="BZ74" s="19"/>
      <c r="CA74" s="19"/>
    </row>
    <row r="75" spans="27:79" ht="12" customHeight="1" x14ac:dyDescent="0.25">
      <c r="AA75" s="5"/>
      <c r="AB75" s="5"/>
      <c r="AE75" s="85" t="str">
        <f>IF(ISNUMBER($AE$71),AE$71,IF(ISNUMBER($AE$72),AE$72,IF(ISNUMBER($AE$73),AE$73,IF(ISNUMBER($AE$74),AE$74,""))))</f>
        <v/>
      </c>
      <c r="AF75" s="86" t="str">
        <f>IF(ISNUMBER($AF$71),AF$71,IF(ISNUMBER($AF$72),AF$72,IF(ISNUMBER($AF$73),AF$73,IF(ISNUMBER($AF$74),AF$74,""))))</f>
        <v/>
      </c>
      <c r="AG75" s="85" t="str">
        <f>IF(ISNUMBER($AG$71),AG$71,IF(ISNUMBER($AG$72),AG$72,IF(ISNUMBER($AG$73),AG$73,IF(ISNUMBER($AG$74),AG$74,""))))</f>
        <v/>
      </c>
      <c r="AH75" s="86" t="str">
        <f>IF(ISNUMBER($AH$71),AH$71,IF(ISNUMBER($AH$72),AH$72,IF(ISNUMBER($AH$73),AH$73,IF(ISNUMBER($AH$74),AH$74,""))))</f>
        <v/>
      </c>
      <c r="AI75" s="85" t="str">
        <f>IF(ISNUMBER($AI$71),AI$71,IF(ISNUMBER($AI$72),AI$72,IF(ISNUMBER($AI$73),AI$73,IF(ISNUMBER($AI$74),AI$74,""))))</f>
        <v/>
      </c>
      <c r="AJ75" s="86" t="str">
        <f>IF(ISNUMBER($AJ$71),AJ$71,IF(ISNUMBER($AJ$72),AJ$72,IF(ISNUMBER($AJ$73),AJ$73,IF(ISNUMBER($AJ$74),AJ$74,""))))</f>
        <v/>
      </c>
      <c r="AK75" s="85" t="str">
        <f>IF(ISNUMBER($AK$71),AK$71,IF(ISNUMBER($AK$72),AK$72,IF(ISNUMBER($AK$73),AK$73,IF(ISNUMBER($AK$74),AK$74,""))))</f>
        <v/>
      </c>
      <c r="AL75" s="86" t="str">
        <f>IF(ISNUMBER($AL$71),AL$71,IF(ISNUMBER($AL$72),AL$72,IF(ISNUMBER($AL$73),AL$73,IF(ISNUMBER($AL$74),AL$74,""))))</f>
        <v/>
      </c>
      <c r="AO75" s="44"/>
      <c r="AP75" s="44"/>
      <c r="AQ75" s="44"/>
      <c r="AR75" s="44"/>
      <c r="AS75" s="44"/>
      <c r="AT75" s="44"/>
      <c r="BZ75" s="19"/>
      <c r="CA75" s="19"/>
    </row>
    <row r="76" spans="27:79" ht="12" customHeight="1" x14ac:dyDescent="0.25">
      <c r="AA76" s="5"/>
      <c r="AB76" s="5"/>
      <c r="AE76" s="87"/>
      <c r="AF76" s="88"/>
      <c r="AG76" s="89"/>
      <c r="AH76" s="89"/>
      <c r="AI76" s="87"/>
      <c r="AJ76" s="88"/>
      <c r="AK76" s="87"/>
      <c r="AL76" s="88"/>
      <c r="AO76" s="44"/>
      <c r="AP76" s="44"/>
      <c r="AQ76" s="44"/>
      <c r="AR76" s="44"/>
      <c r="AS76" s="44"/>
      <c r="AT76" s="44"/>
      <c r="BZ76" s="19"/>
      <c r="CA76" s="19"/>
    </row>
    <row r="77" spans="27:79" ht="12" customHeight="1" x14ac:dyDescent="0.25">
      <c r="AA77" s="5"/>
      <c r="AB77" s="5"/>
      <c r="AE77" s="939" t="s">
        <v>372</v>
      </c>
      <c r="AF77" s="882"/>
      <c r="AG77" s="943" t="s">
        <v>372</v>
      </c>
      <c r="AH77" s="832"/>
      <c r="AI77" s="939" t="s">
        <v>372</v>
      </c>
      <c r="AJ77" s="882"/>
      <c r="AK77" s="939" t="s">
        <v>372</v>
      </c>
      <c r="AL77" s="882"/>
      <c r="AO77" s="44"/>
      <c r="AP77" s="44"/>
      <c r="AQ77" s="44"/>
      <c r="AR77" s="44"/>
      <c r="AS77" s="44"/>
      <c r="AT77" s="44"/>
      <c r="BZ77" s="19"/>
      <c r="CA77" s="19"/>
    </row>
    <row r="78" spans="27:79" ht="12" customHeight="1" x14ac:dyDescent="0.25">
      <c r="AA78" s="5"/>
      <c r="AB78" s="5"/>
      <c r="AE78" s="944" t="e">
        <f>IF($AE$39="","",IF(AND((-$AE$39+$AF$39*$AV$20/$AW$20)&gt;0,-$AE$39&lt;$BZ$20,(-$AF$39+$AE$39*$CA$20/$BZ$20)&gt;0,-$AF$39&lt;$AW$20),1,IF(AND((-$AE$39-$AV$20+($AF$39+$AW$20)*$AX$20/$AY$20)&gt;0,-$AE$39&lt;$BZ$20,-$AF$39&gt;$AW$20,-$AF$39&lt;$AX$23),2,IF(AND(-$AE$39&lt;$BY$23,-$AE$39&gt;$BZ$20,-$AF$39&gt;$AW$20,-$AF$39&lt;$AX$23),3,IF(AND(-$AE$39&lt;$BY$23,-$AE$39&gt;$BZ$20,(-$AF$39-$CA$20-(-$AE$39-$BZ$20)*$BY$20/$BX$20)&gt;0,-$AF$39&lt;$AW$20),4,"")))))</f>
        <v>#VALUE!</v>
      </c>
      <c r="AF78" s="911"/>
      <c r="AG78" s="944" t="e">
        <f>IF($AG$40="","",IF(AND((-$AG$40+$BB$20+($AH$40-$BC$20)*$AZ$20/$BA$20)&gt;0,-$AG$40&lt;$BD$20,$AH$40&gt;$BC$20,$AH$40&lt;$BB$23),1,IF(AND((-$AG$40+$AH$40*$BB$20/$BC$20)&gt;0,-$AG$40&lt;$BD$20,($AH$40-$AG$40*$BE$20/$BD$20)&gt;0,$AH$40&lt;$BC$20),2,IF(AND(-$AG$40&gt;$BD$20,-$AG$40&lt;$BE$23,($AH$40+$BE$20+(-$AG$40-$BD$20)*$BG$20/$BF$20)&gt;0,$AH$40&lt;$BC$20),3,IF(AND(-$AG$40&gt;$BD$20,-$AG$40&lt;$BE$23,$AH$40&gt;$BC$20,$AH$40&lt;$BB$23),4,"")))))</f>
        <v>#VALUE!</v>
      </c>
      <c r="AH78" s="911"/>
      <c r="AI78" s="944" t="e">
        <f>IF($AI$41="","",IF(AND($AI$41&gt;$BJ$20,$AI$41&lt;$BI$23,$AJ$41&gt;$BM$20,$AJ$41&lt;$BN$23),1,IF(AND($AI$41&gt;$BJ$20,$AI$41&lt;$BI$23,($AJ$41-$BK$20-($AI$41-$BJ$20)*$BI$20/$BH$20)&gt;0,$AJ$41&lt;$BM$20),2,IF(AND(($AI$41-$AJ$41*$BL$20/$BM$20)&gt;0,$AI$41&lt;$BJ$20,($AJ$41-$AI$41*$BK$20/$BJ$20)&gt;0,$AJ$41&lt;$BM$20),3,IF(AND(($AI$41-$BL$20-($AJ$41-$BM$20)*$BN$20/$BO$20)&gt;0,$AI$41&lt;$BJ$20,$AJ$41&gt;$BM$20,$AJ$41&lt;$BN$23),4,"")))))</f>
        <v>#VALUE!</v>
      </c>
      <c r="AJ78" s="911"/>
      <c r="AK78" s="944" t="e">
        <f>IF($AK$42="","",IF(AND($AK$42&gt;$BT$20,$AK$42&lt;$BU$23,(-$AL$42+$BU$20+($AK$42-$BT$20)*$BW$20/$BV$20)&gt;0,-$AL$42&lt;$BS$20),1,IF(AND($AK$42&gt;$BT$20,$AK$42&lt;$BU$23,-$AL$42&gt;$BS$20,-$AL$42&lt;$BR$23),2,IF(AND(($AK$42+$BR$20+(-$AL$42-$BS$20)*$BP$20/$BQ$20)&gt;0,$AK$42&lt;$BT$20,-$AL$42&gt;$BS$20,-$AL$42&lt;$BR$23),3,IF(AND(($AK$42-$AL$42*$BR$20/$BS$20)&gt;0,$AK$42&lt;$BT$20,(-$AL$42+$AK$42*$BU$20/$BT$20)&gt;0,-$AL$42&lt;$BS$20),4,"")))))</f>
        <v>#VALUE!</v>
      </c>
      <c r="AL78" s="911"/>
      <c r="BZ78" s="19"/>
      <c r="CA78" s="19"/>
    </row>
    <row r="79" spans="27:79" ht="12" customHeight="1" x14ac:dyDescent="0.25">
      <c r="AA79" s="5"/>
      <c r="AB79" s="5"/>
      <c r="AE79" s="87"/>
      <c r="AF79" s="88"/>
      <c r="AG79" s="89"/>
      <c r="AH79" s="89"/>
      <c r="AI79" s="87"/>
      <c r="AJ79" s="88"/>
      <c r="AK79" s="87"/>
      <c r="AL79" s="88"/>
      <c r="BZ79" s="19"/>
      <c r="CA79" s="19"/>
    </row>
    <row r="80" spans="27:79" ht="12" customHeight="1" x14ac:dyDescent="0.25">
      <c r="AA80" s="5"/>
      <c r="AB80" s="5"/>
      <c r="AE80" s="939" t="s">
        <v>373</v>
      </c>
      <c r="AF80" s="882"/>
      <c r="AG80" s="939" t="s">
        <v>374</v>
      </c>
      <c r="AH80" s="882"/>
      <c r="AI80" s="939" t="s">
        <v>375</v>
      </c>
      <c r="AJ80" s="882"/>
      <c r="AK80" s="939" t="s">
        <v>376</v>
      </c>
      <c r="AL80" s="882"/>
      <c r="BZ80" s="19"/>
      <c r="CA80" s="19"/>
    </row>
    <row r="81" spans="27:79" ht="12" customHeight="1" x14ac:dyDescent="0.25">
      <c r="AA81" s="5"/>
      <c r="AB81" s="5"/>
      <c r="AD81" s="757" t="s">
        <v>226</v>
      </c>
      <c r="AE81" s="30" t="s">
        <v>181</v>
      </c>
      <c r="AF81" s="30" t="s">
        <v>194</v>
      </c>
      <c r="AG81" s="761" t="s">
        <v>181</v>
      </c>
      <c r="AH81" s="760" t="s">
        <v>201</v>
      </c>
      <c r="AI81" s="30" t="s">
        <v>186</v>
      </c>
      <c r="AJ81" s="30" t="s">
        <v>201</v>
      </c>
      <c r="AK81" s="30" t="s">
        <v>186</v>
      </c>
      <c r="AL81" s="30" t="s">
        <v>194</v>
      </c>
      <c r="AN81" s="19" t="s">
        <v>371</v>
      </c>
      <c r="BZ81" s="19"/>
      <c r="CA81" s="19"/>
    </row>
    <row r="82" spans="27:79" ht="12" customHeight="1" x14ac:dyDescent="0.25">
      <c r="AA82" s="5"/>
      <c r="AB82" s="5"/>
      <c r="AD82" s="53">
        <v>1</v>
      </c>
      <c r="AE82" s="49" t="e">
        <f>IF($AD82=AE$78,(-$AE$43+$AF$43*$AV$20/$AW$20)*$AV$29,"")</f>
        <v>#VALUE!</v>
      </c>
      <c r="AF82" s="48" t="e">
        <f>IF($AD82=AE$78,(-$AF$43+$AE$43*$CA$20/$BZ$20)*$BZ$29,"")</f>
        <v>#VALUE!</v>
      </c>
      <c r="AG82" s="49" t="e">
        <f>IF($AD82=AG$78,(-$AG$43+$BB$20+($AH$43-$BC$20)*$AZ$20/$BA$20)*$AZ$29,"")</f>
        <v>#VALUE!</v>
      </c>
      <c r="AH82" s="48" t="e">
        <f>IF($AD82=AG$78,($AH$43-$AG$43*$BE$20/$BD$20)*$BD$29,"")</f>
        <v>#VALUE!</v>
      </c>
      <c r="AI82" s="49" t="e">
        <f>IF($AD82=AI$78,($AI$43-$BL$20-($AJ$43-$BM$20)*$BN$20/$BO$20)*$BN$29,"")</f>
        <v>#VALUE!</v>
      </c>
      <c r="AJ82" s="48" t="e">
        <f>IF($AD82=AI$78,($AJ$43-$BK$20-($AI$43-$BJ$20)*$BI$20/$BH$20)*$BH$29,"")</f>
        <v>#VALUE!</v>
      </c>
      <c r="AK82" s="49" t="e">
        <f>IF($AD82=AK$78,($AK$43-$AL$43*$BR$20/$BS$20)*$BR$29,"")</f>
        <v>#VALUE!</v>
      </c>
      <c r="AL82" s="48" t="e">
        <f>IF($AD82=AK$78,(-$AL$43+$BU$20+($AK$43-$BT$20)*$BW$20/$BV$20)*$BV$29,"")</f>
        <v>#VALUE!</v>
      </c>
      <c r="AN82" s="159" t="e">
        <f>(-$AE$43+$AF$43*$AV$20/$AW$20)</f>
        <v>#VALUE!</v>
      </c>
      <c r="AO82" s="160" t="e">
        <f>(-$AF$43+$AE$43*$CA$20/$BZ$20)</f>
        <v>#VALUE!</v>
      </c>
      <c r="AP82" s="159" t="e">
        <f>(-$AG$43+$BB$20+($AH$43-$BC$20)*$AZ$20/$BA$20)</f>
        <v>#VALUE!</v>
      </c>
      <c r="AQ82" s="160" t="e">
        <f>($AH$43-$AG$43*$BE$20/$BD$20)</f>
        <v>#VALUE!</v>
      </c>
      <c r="AR82" s="159" t="e">
        <f>($AI$43-$BL$20-($AJ$43-$BM$20)*$BN$20/$BO$20)</f>
        <v>#VALUE!</v>
      </c>
      <c r="AS82" s="160" t="e">
        <f>($AJ$43-$BK$20-($AI$43-$BJ$20)*$BI$20/$BH$20)</f>
        <v>#VALUE!</v>
      </c>
      <c r="AT82" s="159" t="e">
        <f>($AK$43-$AL$43*$BR$20/$BS$20)</f>
        <v>#VALUE!</v>
      </c>
      <c r="AU82" s="160" t="e">
        <f>(-$AL$43+$BU$20+($AK$43-$BT$20)*$BW$20/$BV$20)</f>
        <v>#VALUE!</v>
      </c>
      <c r="BZ82" s="19"/>
      <c r="CA82" s="19"/>
    </row>
    <row r="83" spans="27:79" ht="12" customHeight="1" x14ac:dyDescent="0.25">
      <c r="AA83" s="5"/>
      <c r="AB83" s="5"/>
      <c r="AD83" s="53">
        <v>2</v>
      </c>
      <c r="AE83" s="49" t="e">
        <f>IF($AD83=AE$78,(-$AE$43-$AV$20+($AF$43+$AW$20)*$AX$20/$AY$20)*$AX$29,"")</f>
        <v>#VALUE!</v>
      </c>
      <c r="AF83" s="48" t="e">
        <f>IF($AD83=AE$78,(-$AF$43+$AE$43*$CA$20/$BZ$20)*$BZ$29,"")</f>
        <v>#VALUE!</v>
      </c>
      <c r="AG83" s="49" t="e">
        <f>IF($AD83=AG$78,(-$AG$43+$AH$43*$BB$20/$BC$20)*$BB$29,"")</f>
        <v>#VALUE!</v>
      </c>
      <c r="AH83" s="48" t="e">
        <f>IF($AD83=AG$78,($AH$43-$AG$43*$BE$20/$BD$20)*$BD$29,"")</f>
        <v>#VALUE!</v>
      </c>
      <c r="AI83" s="49" t="e">
        <f>IF($AD83=AI$78,($AI$43-$AJ$43*$BL$20/$BM$20)*$BL$29,"")</f>
        <v>#VALUE!</v>
      </c>
      <c r="AJ83" s="48" t="e">
        <f>IF($AD83=AI$78,($AJ$43-$BK$20-($AI$43-$BJ$20)*$BI$20/$BH$20)*$BH$29,"")</f>
        <v>#VALUE!</v>
      </c>
      <c r="AK83" s="49" t="e">
        <f>IF($AD83=AK$78,($AK$43+$BR$20+(-$AL$43-$BS$20)*$BP$20/$BQ$20)*$BP$29,"")</f>
        <v>#VALUE!</v>
      </c>
      <c r="AL83" s="48" t="e">
        <f>IF($AD83=AK$78,(-$AL$43+$BU$20+($AK$43-$BT$20)*$BW$20/$BV$20)*$BV$29,"")</f>
        <v>#VALUE!</v>
      </c>
      <c r="AN83" s="49" t="e">
        <f>(-$AE$43-$AV$20+($AF$43+$AW$20)*$AX$20/$AY$20)</f>
        <v>#VALUE!</v>
      </c>
      <c r="AO83" s="48" t="e">
        <f>(-$AF$43+$AE$43*$CA$20/$BZ$20)</f>
        <v>#VALUE!</v>
      </c>
      <c r="AP83" s="49" t="e">
        <f>(-$AG$43+$AH$43*$BB$20/$BC$20)</f>
        <v>#VALUE!</v>
      </c>
      <c r="AQ83" s="48" t="e">
        <f>($AH$43-$AG$43*$BE$20/$BD$20)</f>
        <v>#VALUE!</v>
      </c>
      <c r="AR83" s="49" t="e">
        <f>($AI$43-$AJ$43*$BL$20/$BM$20)</f>
        <v>#VALUE!</v>
      </c>
      <c r="AS83" s="48" t="e">
        <f>($AJ$43-$BK$20-($AI$43-$BJ$20)*$BI$20/$BH$20)</f>
        <v>#VALUE!</v>
      </c>
      <c r="AT83" s="49" t="e">
        <f>($AK$43+$BR$20+(-$AL$43-$BS$20)*$BP$20/$BQ$20)</f>
        <v>#VALUE!</v>
      </c>
      <c r="AU83" s="48" t="e">
        <f>(-$AL$43+$BU$20+($AK$43-$BT$20)*$BW$20/$BV$20)</f>
        <v>#VALUE!</v>
      </c>
      <c r="BZ83" s="19"/>
      <c r="CA83" s="19"/>
    </row>
    <row r="84" spans="27:79" ht="12" customHeight="1" x14ac:dyDescent="0.25">
      <c r="AA84" s="5"/>
      <c r="AB84" s="5"/>
      <c r="AD84" s="53">
        <v>3</v>
      </c>
      <c r="AE84" s="49" t="e">
        <f>IF($AD84=AE$78,(-$AE$43-$AV$20+($AF$43+$AW$20)*$AX$20/$AY$20)*$AX$29,"")</f>
        <v>#VALUE!</v>
      </c>
      <c r="AF84" s="48" t="e">
        <f>IF($AD84=AE$78,(-$AF$43-$CA$20-(-$AE$43-$BZ$20)*$BY$20/$BX$20)*$BX$29,"")</f>
        <v>#VALUE!</v>
      </c>
      <c r="AG84" s="49" t="e">
        <f>IF($AD84=AG$78,(-$AG$43+$AH$43*$BB$20/$BC$20)*$BB$29,"")</f>
        <v>#VALUE!</v>
      </c>
      <c r="AH84" s="48" t="e">
        <f>IF($AD84=AG$78,($AH$43+$BE$20+(-$AG$43-$BD$20)*$BG$20/$BF$20)*$BF$29,"")</f>
        <v>#VALUE!</v>
      </c>
      <c r="AI84" s="49" t="e">
        <f>IF($AD84=AI$78,($AI$43-$AJ$43*$BL$20/$BM$20)*$BL$29,"")</f>
        <v>#VALUE!</v>
      </c>
      <c r="AJ84" s="48" t="e">
        <f>IF($AD84=AI$78,($AJ$43-$AI$43*$BK$20/$BJ$20)*$BJ$29,"")</f>
        <v>#VALUE!</v>
      </c>
      <c r="AK84" s="49" t="e">
        <f>IF($AD84=AK$78,($AK$43+$BR$20+(-$AL$43-$BS$20)*$BP$20/$BQ$20)*$BP$29,"")</f>
        <v>#VALUE!</v>
      </c>
      <c r="AL84" s="48" t="e">
        <f>IF($AD84=AK$78,(-$AL$43+$AK$43*$BU$20/$BT$20)*$BT$29,"")</f>
        <v>#VALUE!</v>
      </c>
      <c r="AN84" s="49" t="e">
        <f>(-$AE$43-$AV$20+($AF$43+$AW$20)*$AX$20/$AY$20)</f>
        <v>#VALUE!</v>
      </c>
      <c r="AO84" s="48" t="e">
        <f>(-$AF$43-$CA$20-(-$AE$43-$BZ$20)*$BY$20/$BX$20)</f>
        <v>#VALUE!</v>
      </c>
      <c r="AP84" s="49" t="e">
        <f>(-$AG$43+$AH$43*$BB$20/$BC$20)</f>
        <v>#VALUE!</v>
      </c>
      <c r="AQ84" s="48" t="e">
        <f>($AH$43+$BE$20+(-$AG$43-$BD$20)*$BG$20/$BF$20)</f>
        <v>#VALUE!</v>
      </c>
      <c r="AR84" s="49" t="e">
        <f>($AI$43-$AJ$43*$BL$20/$BM$20)</f>
        <v>#VALUE!</v>
      </c>
      <c r="AS84" s="48" t="e">
        <f>($AJ$43-$AI$43*$BK$20/$BJ$20)</f>
        <v>#VALUE!</v>
      </c>
      <c r="AT84" s="49" t="e">
        <f>($AK$43+$BR$20+(-$AL$43-$BS$20)*$BP$20/$BQ$20)</f>
        <v>#VALUE!</v>
      </c>
      <c r="AU84" s="48" t="e">
        <f>(-$AL$43+$AK$43*$BU$20/$BT$20)</f>
        <v>#VALUE!</v>
      </c>
      <c r="BZ84" s="19"/>
      <c r="CA84" s="19"/>
    </row>
    <row r="85" spans="27:79" ht="12" customHeight="1" x14ac:dyDescent="0.25">
      <c r="AA85" s="5"/>
      <c r="AB85" s="5"/>
      <c r="AD85" s="53">
        <v>4</v>
      </c>
      <c r="AE85" s="49" t="e">
        <f>IF($AD85=AE$78,(-$AE$43+$AF$43*$AV$20/$AW$20)*$AV$29,"")</f>
        <v>#VALUE!</v>
      </c>
      <c r="AF85" s="48" t="e">
        <f>IF($AD85=AE$78,(-$AF$43-$CA$20-(-$AE$43-$BZ$20)*$BY$20/$BX$20)*$BX$29,"")</f>
        <v>#VALUE!</v>
      </c>
      <c r="AG85" s="49" t="e">
        <f>IF($AD85=AG$78,(-$AG$43+$BB$20+($AH$43-$BC$20)*$AZ$20/$BA$20)*$AZ$29,"")</f>
        <v>#VALUE!</v>
      </c>
      <c r="AH85" s="48" t="e">
        <f>IF($AD85=AG$78,($AH$43+$BE$20+(-$AG$43-$BD$20)*$BG$20/$BF$20)*$BF$29,"")</f>
        <v>#VALUE!</v>
      </c>
      <c r="AI85" s="49" t="e">
        <f>IF($AD85=AI$78,($AI$43-$BL$20-($AJ$43-$BM$20)*$BN$20/$BO$20)*$BN$29,"")</f>
        <v>#VALUE!</v>
      </c>
      <c r="AJ85" s="48" t="e">
        <f>IF($AD85=AI$78,($AJ$43-$AI$43*$BK$20/$BJ$20)*$BJ$29,"")</f>
        <v>#VALUE!</v>
      </c>
      <c r="AK85" s="49" t="e">
        <f>IF($AD85=AK$78,($AK$43-$AL$43*$BR$20/$BS$20)*$BR$29,"")</f>
        <v>#VALUE!</v>
      </c>
      <c r="AL85" s="48" t="e">
        <f>IF($AD85=AK$78,(-$AL$43+$AK$43*$BU$20/$BT$20)*$BT$29,"")</f>
        <v>#VALUE!</v>
      </c>
      <c r="AN85" s="83" t="e">
        <f>(-$AE$43+$AF$43*$AV$20/$AW$20)</f>
        <v>#VALUE!</v>
      </c>
      <c r="AO85" s="84" t="e">
        <f>(-$AF$43-$CA$20-(-$AE$43-$BZ$20)*$BY$20/$BX$20)</f>
        <v>#VALUE!</v>
      </c>
      <c r="AP85" s="83" t="e">
        <f>(-$AG$43+$BB$20+($AH$43-$BC$20)*$AZ$20/$BA$20)</f>
        <v>#VALUE!</v>
      </c>
      <c r="AQ85" s="84" t="e">
        <f>($AH$43+$BE$20+(-$AG$43-$BD$20)*$BG$20/$BF$20)</f>
        <v>#VALUE!</v>
      </c>
      <c r="AR85" s="83" t="e">
        <f>($AI$43-$BL$20-($AJ$43-$BM$20)*$BN$20/$BO$20)</f>
        <v>#VALUE!</v>
      </c>
      <c r="AS85" s="84" t="e">
        <f>($AJ$43-$AI$43*$BK$20/$BJ$20)</f>
        <v>#VALUE!</v>
      </c>
      <c r="AT85" s="83" t="e">
        <f>($AK$43-$AL$43*$BR$20/$BS$20)</f>
        <v>#VALUE!</v>
      </c>
      <c r="AU85" s="84" t="e">
        <f>(-$AL$43+$AK$43*$BU$20/$BT$20)</f>
        <v>#VALUE!</v>
      </c>
      <c r="BZ85" s="19"/>
      <c r="CA85" s="19"/>
    </row>
    <row r="86" spans="27:79" ht="12" customHeight="1" x14ac:dyDescent="0.25">
      <c r="AA86" s="5"/>
      <c r="AB86" s="5"/>
      <c r="AE86" s="85" t="str">
        <f>IF(ISNUMBER($AE$82),AE$82,IF(ISNUMBER($AE$83),AE$83,IF(ISNUMBER($AE$84),AE$84,IF(ISNUMBER($AE$85),AE$85,""))))</f>
        <v/>
      </c>
      <c r="AF86" s="86" t="str">
        <f>IF(ISNUMBER($AF$82),AF$82,IF(ISNUMBER($AF$83),AF$83,IF(ISNUMBER($AF$84),AF$84,IF(ISNUMBER($AF$85),AF$85,""))))</f>
        <v/>
      </c>
      <c r="AG86" s="85" t="str">
        <f>IF(ISNUMBER($AG$82),AG$82,IF(ISNUMBER($AG$83),AG$83,IF(ISNUMBER($AG$84),AG$84,IF(ISNUMBER($AG$85),AG$85,""))))</f>
        <v/>
      </c>
      <c r="AH86" s="86" t="str">
        <f>IF(ISNUMBER($AH$82),AH$82,IF(ISNUMBER($AH$83),AH$83,IF(ISNUMBER($AH$84),AH$84,IF(ISNUMBER($AH$85),AH$85,""))))</f>
        <v/>
      </c>
      <c r="AI86" s="85" t="str">
        <f>IF(ISNUMBER($AI$82),AI$82,IF(ISNUMBER($AI$83),AI$83,IF(ISNUMBER($AI$84),AI$84,IF(ISNUMBER($AI$85),AI$85,""))))</f>
        <v/>
      </c>
      <c r="AJ86" s="86" t="str">
        <f>IF(ISNUMBER($AJ$82),AJ$82,IF(ISNUMBER($AJ$83),AJ$83,IF(ISNUMBER($AJ$84),AJ$84,IF(ISNUMBER($AJ$85),AJ$85,""))))</f>
        <v/>
      </c>
      <c r="AK86" s="85" t="str">
        <f>IF(ISNUMBER($AK$82),AK$82,IF(ISNUMBER($AK$83),AK$83,IF(ISNUMBER($AK$84),AK$84,IF(ISNUMBER($AK$85),AK$85,""))))</f>
        <v/>
      </c>
      <c r="AL86" s="86" t="str">
        <f>IF(ISNUMBER($AL$82),AL$82,IF(ISNUMBER($AL$83),AL$83,IF(ISNUMBER($AL$84),AL$84,IF(ISNUMBER($AL$85),AL$85,""))))</f>
        <v/>
      </c>
      <c r="BZ86" s="19"/>
      <c r="CA86" s="19"/>
    </row>
    <row r="87" spans="27:79" ht="12" customHeight="1" x14ac:dyDescent="0.25">
      <c r="AA87" s="5"/>
      <c r="AB87" s="5"/>
      <c r="AE87" s="87"/>
      <c r="AF87" s="88"/>
      <c r="AG87" s="89"/>
      <c r="AH87" s="89"/>
      <c r="AI87" s="87"/>
      <c r="AJ87" s="88"/>
      <c r="AK87" s="87"/>
      <c r="AL87" s="88"/>
      <c r="BZ87" s="19"/>
      <c r="CA87" s="19"/>
    </row>
    <row r="88" spans="27:79" ht="12" customHeight="1" x14ac:dyDescent="0.25">
      <c r="AA88" s="5"/>
      <c r="AB88" s="5"/>
      <c r="AE88" s="939" t="s">
        <v>377</v>
      </c>
      <c r="AF88" s="882"/>
      <c r="AG88" s="943" t="s">
        <v>377</v>
      </c>
      <c r="AH88" s="832"/>
      <c r="AI88" s="939" t="s">
        <v>377</v>
      </c>
      <c r="AJ88" s="882"/>
      <c r="AK88" s="939" t="s">
        <v>377</v>
      </c>
      <c r="AL88" s="882"/>
      <c r="BZ88" s="19"/>
      <c r="CA88" s="19"/>
    </row>
    <row r="89" spans="27:79" ht="12" customHeight="1" x14ac:dyDescent="0.25">
      <c r="AA89" s="5"/>
      <c r="AB89" s="5"/>
      <c r="AE89" s="944" t="e">
        <f>IF($AE$45="","",IF(AND((-$AE$45+$AF$45*$AV$20/$AW$20)&gt;0,-$AE$45&lt;$BZ$20,(-$AF$45+$AE$45*$CA$20/$BZ$20)&gt;0,-$AF$45&lt;$AW$20),1,IF(AND((-$AE$45-$AV$20+($AF$45+$AW$20)*$AX$20/$AY$20)&gt;0,-$AE$45&lt;$BZ$20,-$AF$45&gt;$AW$20,-$AF$45&lt;$AX$23),2,IF(AND(-$AE$45&lt;$BY$23,-$AE$45&gt;$BZ$20,-$AF$45&gt;$AW$20,-$AF$45&lt;$AX$23),3,IF(AND(-$AE$45&lt;$BY$23,-$AE$45&gt;$BZ$20,(-$AF$45-$CA$20-(-$AE$45-$BZ$20)*$BY$20/$BX$20)&gt;0,-$AF$45&lt;$AW$20),4,"")))))</f>
        <v>#VALUE!</v>
      </c>
      <c r="AF89" s="911"/>
      <c r="AG89" s="944" t="e">
        <f>IF($AG$46="","",IF(AND((-$AG$46+$BB$20+($AH$46-$BC$20)*$AZ$20/$BA$20)&gt;0,-$AG$46&lt;$BD$20,$AH$46&gt;$BC$20,$AH$46&lt;$BB$23),1,IF(AND((-$AG$46+$AH$46*$BB$20/$BC$20)&gt;0,-$AG$46&lt;$BD$20,($AH$46-$AG$46*$BE$20/$BD$20)&gt;0,$AH$46&lt;$BC$20),2,IF(AND(-$AG$46&gt;$BD$20,-$AG$46&lt;$BE$23,($AH$46+$BE$20+(-$AG$46-$BD$20)*$BG$20/$BF$20)&gt;0,$AH$46&lt;$BC$20),3,IF(AND(-$AG$46&gt;$BD$20,-$AG$46&lt;$BE$23,$AH$46&gt;$BC$20,$AH$46&lt;$BB$23),4,"")))))</f>
        <v>#VALUE!</v>
      </c>
      <c r="AH89" s="911"/>
      <c r="AI89" s="944" t="e">
        <f>IF($AI$47="","",IF(AND($AI$47&gt;$BJ$20,$AI$47&lt;$BI$23,$AJ$47&gt;$BM$20,$AJ$47&lt;$BN$23),1,IF(AND($AI$47&gt;$BJ$20,$AI$47&lt;$BI$23,($AJ$47-$BK$20-($AI$47-$BJ$20)*$BI$20/$BH$20)&gt;0,$AJ$47&lt;$BM$20),2,IF(AND(($AI$47-$AJ$47*$BL$20/$BM$20)&gt;0,$AI$47&lt;$BJ$20,($AJ$47-$AI$47*$BK$20/$BJ$20)&gt;0,$AJ$47&lt;$BM$20),3,IF(AND(($AI$47-$BL$20-($AJ$47-$BM$20)*$BN$20/$BO$20)&gt;0,$AI$47&lt;$BJ$20,$AJ$47&gt;$BM$20,$AJ$47&lt;$BN$23),4,"")))))</f>
        <v>#VALUE!</v>
      </c>
      <c r="AJ89" s="911"/>
      <c r="AK89" s="944" t="e">
        <f>IF($AK$48="","",IF(AND($AK$48&gt;$BT$20,$AK$48&lt;$BU$23,(-$AL$48+$BU$20+($AK$48-$BT$20)*$BW$20/$BV$20)&gt;0,-$AL$48&lt;$BS$20),1,IF(AND($AK$48&gt;$BT$20,$AK$48&lt;$BU$23,-$AL$48&gt;$BS$20,-$AL$48&lt;$BR$23),2,IF(AND(($AK$48+$BR$20+(-$AL$48-$BS$20)*$BP$20/$BQ$20)&gt;0,$AK$48&lt;$BT$20,-$AL$48&gt;$BS$20,-$AL$48&lt;$BR$23),3,IF(AND(($AK$48-$AL$48*$BR$20/$BS$20)&gt;0,$AK$48&lt;$BT$20,(-$AL$48+$AK$48*$BU$20/$BT$20)&gt;0,-$AL$48&lt;$BS$20),4,"")))))</f>
        <v>#VALUE!</v>
      </c>
      <c r="AL89" s="911"/>
      <c r="BZ89" s="19"/>
      <c r="CA89" s="19"/>
    </row>
    <row r="90" spans="27:79" ht="12" customHeight="1" x14ac:dyDescent="0.25">
      <c r="AA90" s="5"/>
      <c r="AB90" s="5"/>
      <c r="AE90" s="87"/>
      <c r="AF90" s="88"/>
      <c r="AG90" s="89"/>
      <c r="AH90" s="89"/>
      <c r="AI90" s="87"/>
      <c r="AJ90" s="88"/>
      <c r="AK90" s="87"/>
      <c r="AL90" s="88"/>
      <c r="BZ90" s="19"/>
      <c r="CA90" s="19"/>
    </row>
    <row r="91" spans="27:79" ht="12" customHeight="1" x14ac:dyDescent="0.25">
      <c r="AA91" s="5"/>
      <c r="AB91" s="5"/>
      <c r="AE91" s="939" t="s">
        <v>378</v>
      </c>
      <c r="AF91" s="882"/>
      <c r="AG91" s="939" t="s">
        <v>379</v>
      </c>
      <c r="AH91" s="882"/>
      <c r="AI91" s="939" t="s">
        <v>375</v>
      </c>
      <c r="AJ91" s="882"/>
      <c r="AK91" s="939" t="s">
        <v>380</v>
      </c>
      <c r="AL91" s="882"/>
      <c r="BZ91" s="19"/>
      <c r="CA91" s="19"/>
    </row>
    <row r="92" spans="27:79" ht="12" customHeight="1" x14ac:dyDescent="0.25">
      <c r="AA92" s="5"/>
      <c r="AB92" s="5"/>
      <c r="AD92" s="757" t="s">
        <v>226</v>
      </c>
      <c r="AE92" s="30" t="s">
        <v>181</v>
      </c>
      <c r="AF92" s="30" t="s">
        <v>194</v>
      </c>
      <c r="AG92" s="761" t="s">
        <v>181</v>
      </c>
      <c r="AH92" s="760" t="s">
        <v>201</v>
      </c>
      <c r="AI92" s="30" t="s">
        <v>186</v>
      </c>
      <c r="AJ92" s="30" t="s">
        <v>201</v>
      </c>
      <c r="AK92" s="30" t="s">
        <v>186</v>
      </c>
      <c r="AL92" s="30" t="s">
        <v>194</v>
      </c>
      <c r="AN92" s="19" t="s">
        <v>371</v>
      </c>
      <c r="BZ92" s="19"/>
      <c r="CA92" s="19"/>
    </row>
    <row r="93" spans="27:79" ht="12" customHeight="1" x14ac:dyDescent="0.25">
      <c r="AA93" s="5"/>
      <c r="AB93" s="5"/>
      <c r="AD93" s="53">
        <v>1</v>
      </c>
      <c r="AE93" s="49" t="e">
        <f>IF($AD93=AE$89,(-$AE$49+$AF$49*$AV$20/$AW$20)*$AV$29,"")</f>
        <v>#VALUE!</v>
      </c>
      <c r="AF93" s="48" t="e">
        <f>IF($AD93=AE$89,(-$AF$49+$AE$49*$CA$20/$BZ$20)*$BZ$29,"")</f>
        <v>#VALUE!</v>
      </c>
      <c r="AG93" s="49" t="e">
        <f>IF($AD93=AG$89,(-$AG$49+$BB$20+($AH$49-$BC$20)*$AZ$20/$BA$20)*$AZ$29,"")</f>
        <v>#VALUE!</v>
      </c>
      <c r="AH93" s="48" t="e">
        <f>IF($AD93=AG$89,($AH$49-$AG$49*$BE$20/$BD$20)*$BD$29,"")</f>
        <v>#VALUE!</v>
      </c>
      <c r="AI93" s="49" t="e">
        <f>IF($AD93=AI$89,($AI$49-$BL$20-($AJ$49-$BM$20)*$BN$20/$BO$20)*$BN$29,"")</f>
        <v>#VALUE!</v>
      </c>
      <c r="AJ93" s="48" t="e">
        <f>IF($AD93=AI$89,($AJ$49-$BK$20-($AI$49-$BJ$20)*$BI$20/$BH$20)*$BH$29,"")</f>
        <v>#VALUE!</v>
      </c>
      <c r="AK93" s="49" t="e">
        <f>IF($AD93=AK$89,($AK$49-$AL$49*$BR$20/$BS$20)*$BR$29,"")</f>
        <v>#VALUE!</v>
      </c>
      <c r="AL93" s="48" t="e">
        <f>IF($AD93=AK$89,(-$AL$49+$BU$20+($AK$49-$BT$20)*$BW$20/$BV$20)*$BV$29,"")</f>
        <v>#VALUE!</v>
      </c>
      <c r="AN93" s="159" t="e">
        <f>(-$AE$49+$AF$49*$AV$20/$AW$20)</f>
        <v>#VALUE!</v>
      </c>
      <c r="AO93" s="160" t="e">
        <f>(-$AF$49+$AE$49*$CA$20/$BZ$20)</f>
        <v>#VALUE!</v>
      </c>
      <c r="AP93" s="159" t="e">
        <f>(-$AG$49+$BB$20+($AH$49-$BC$20)*$AZ$20/$BA$20)</f>
        <v>#VALUE!</v>
      </c>
      <c r="AQ93" s="160" t="e">
        <f>($AH$49-$AG$49*$BE$20/$BD$20)</f>
        <v>#VALUE!</v>
      </c>
      <c r="AR93" s="159" t="e">
        <f>($AI$49-$BL$20-($AJ$49-$BM$20)*$BN$20/$BO$20)</f>
        <v>#VALUE!</v>
      </c>
      <c r="AS93" s="160" t="e">
        <f>($AJ$49-$BK$20-($AI$49-$BJ$20)*$BI$20/$BH$20)</f>
        <v>#VALUE!</v>
      </c>
      <c r="AT93" s="159" t="e">
        <f>($AK$49-$AL$49*$BR$20/$BS$20)</f>
        <v>#VALUE!</v>
      </c>
      <c r="AU93" s="160" t="e">
        <f>(-$AL$49+$BU$20+($AK$49-$BT$20)*$BW$20/$BV$20)</f>
        <v>#VALUE!</v>
      </c>
      <c r="BZ93" s="19"/>
      <c r="CA93" s="19"/>
    </row>
    <row r="94" spans="27:79" ht="12" customHeight="1" x14ac:dyDescent="0.25">
      <c r="AA94" s="5"/>
      <c r="AB94" s="5"/>
      <c r="AD94" s="53">
        <v>2</v>
      </c>
      <c r="AE94" s="49" t="e">
        <f>IF($AD94=AE$89,(-$AE$49-$AV$20+($AF$49+$AW$20)*$AX$20/$AY$20)*$AX$29,"")</f>
        <v>#VALUE!</v>
      </c>
      <c r="AF94" s="48" t="e">
        <f>IF($AD94=AE$89,(-$AF$49+$AE$49*$CA$20/$BZ$20)*$BZ$29,"")</f>
        <v>#VALUE!</v>
      </c>
      <c r="AG94" s="49" t="e">
        <f>IF($AD94=AG$89,(-$AG$49+$AH$49*$BB$20/$BC$20)*$BB$29,"")</f>
        <v>#VALUE!</v>
      </c>
      <c r="AH94" s="48" t="e">
        <f>IF($AD94=AG$89,($AH$49-$AG$49*$BE$20/$BD$20)*$BD$29,"")</f>
        <v>#VALUE!</v>
      </c>
      <c r="AI94" s="49" t="e">
        <f>IF($AD94=AI$89,($AI$49-$AJ$49*$BL$20/$BM$20)*$BL$29,"")</f>
        <v>#VALUE!</v>
      </c>
      <c r="AJ94" s="48" t="e">
        <f>IF($AD94=AI$89,($AJ$49-$BK$20-($AI$49-$BJ$20)*$BI$20/$BH$20)*$BH$29,"")</f>
        <v>#VALUE!</v>
      </c>
      <c r="AK94" s="49" t="e">
        <f>IF($AD94=AK$89,($AK$49+$BR$20+(-$AL$49-$BS$20)*$BP$20/$BQ$20)*$BP$29,"")</f>
        <v>#VALUE!</v>
      </c>
      <c r="AL94" s="48" t="e">
        <f>IF($AD94=AK$89,(-$AL$49+$BU$20+($AK$49-$BT$20)*$BW$20/$BV$20)*$BV$29,"")</f>
        <v>#VALUE!</v>
      </c>
      <c r="AN94" s="49" t="e">
        <f>(-$AE$49-$AV$20+($AF$49+$AW$20)*$AX$20/$AY$20)</f>
        <v>#VALUE!</v>
      </c>
      <c r="AO94" s="48" t="e">
        <f>(-$AF$49+$AE$49*$CA$20/$BZ$20)</f>
        <v>#VALUE!</v>
      </c>
      <c r="AP94" s="49" t="e">
        <f>(-$AG$49+$AH$49*$BB$20/$BC$20)</f>
        <v>#VALUE!</v>
      </c>
      <c r="AQ94" s="48" t="e">
        <f>($AH$49-$AG$49*$BE$20/$BD$20)</f>
        <v>#VALUE!</v>
      </c>
      <c r="AR94" s="49" t="e">
        <f>($AI$49-$AJ$49*$BL$20/$BM$20)</f>
        <v>#VALUE!</v>
      </c>
      <c r="AS94" s="48" t="e">
        <f>($AJ$49-$BK$20-($AI$49-$BJ$20)*$BI$20/$BH$20)</f>
        <v>#VALUE!</v>
      </c>
      <c r="AT94" s="49" t="e">
        <f>($AK$49+$BR$20+(-$AL$49-$BS$20)*$BP$20/$BQ$20)</f>
        <v>#VALUE!</v>
      </c>
      <c r="AU94" s="48" t="e">
        <f>(-$AL$49+$BU$20+($AK$49-$BT$20)*$BW$20/$BV$20)</f>
        <v>#VALUE!</v>
      </c>
      <c r="BZ94" s="19"/>
      <c r="CA94" s="19"/>
    </row>
    <row r="95" spans="27:79" ht="12" customHeight="1" x14ac:dyDescent="0.25">
      <c r="AA95" s="5"/>
      <c r="AB95" s="5"/>
      <c r="AD95" s="53">
        <v>3</v>
      </c>
      <c r="AE95" s="49" t="e">
        <f>IF($AD95=AE$89,(-$AE$49-$AV$20+($AF$49+$AW$20)*$AX$20/$AY$20)*$AX$29,"")</f>
        <v>#VALUE!</v>
      </c>
      <c r="AF95" s="48" t="e">
        <f>IF($AD95=AE$89,(-$AF$49-$CA$20-(-$AE$49-$BZ$20)*$BY$20/$BX$20)*$BX$29,"")</f>
        <v>#VALUE!</v>
      </c>
      <c r="AG95" s="49" t="e">
        <f>IF($AD95=AG$89,(-$AG$49+$AH$49*$BB$20/$BC$20)*$BB$29,"")</f>
        <v>#VALUE!</v>
      </c>
      <c r="AH95" s="48" t="e">
        <f>IF($AD95=AG$89,($AH$49+$BE$20+(-$AG$49-$BD$20)*$BG$20/$BF$20)*$BF$29,"")</f>
        <v>#VALUE!</v>
      </c>
      <c r="AI95" s="49" t="e">
        <f>IF($AD95=AI$89,($AI$49-$AJ$49*$BL$20/$BM$20)*$BL$29,"")</f>
        <v>#VALUE!</v>
      </c>
      <c r="AJ95" s="48" t="e">
        <f>IF($AD95=AI$89,($AJ$49-$AI$49*$BK$20/$BJ$20)*$BJ$29,"")</f>
        <v>#VALUE!</v>
      </c>
      <c r="AK95" s="49" t="e">
        <f>IF($AD95=AK$89,($AK$49+$BR$20+(-$AL$49-$BS$20)*$BP$20/$BQ$20)*$BP$29,"")</f>
        <v>#VALUE!</v>
      </c>
      <c r="AL95" s="48" t="e">
        <f>IF($AD95=AK$89,(-$AL$49+$AK$49*$BU$20/$BT$20)*$BT$29,"")</f>
        <v>#VALUE!</v>
      </c>
      <c r="AN95" s="49" t="e">
        <f>(-$AE$49-$AV$20+($AF$49+$AW$20)*$AX$20/$AY$20)</f>
        <v>#VALUE!</v>
      </c>
      <c r="AO95" s="48" t="e">
        <f>(-$AF$49-$CA$20-(-$AE$49-$BZ$20)*$BY$20/$BX$20)</f>
        <v>#VALUE!</v>
      </c>
      <c r="AP95" s="49" t="e">
        <f>(-$AG$49+$AH$49*$BB$20/$BC$20)</f>
        <v>#VALUE!</v>
      </c>
      <c r="AQ95" s="48" t="e">
        <f>($AH$49+$BE$20+(-$AG$49-$BD$20)*$BG$20/$BF$20)</f>
        <v>#VALUE!</v>
      </c>
      <c r="AR95" s="49" t="e">
        <f>($AI$49-$AJ$49*$BL$20/$BM$20)</f>
        <v>#VALUE!</v>
      </c>
      <c r="AS95" s="48" t="e">
        <f>($AJ$49-$AI$49*$BK$20/$BJ$20)</f>
        <v>#VALUE!</v>
      </c>
      <c r="AT95" s="49" t="e">
        <f>($AK$49+$BR$20+(-$AL$49-$BS$20)*$BP$20/$BQ$20)</f>
        <v>#VALUE!</v>
      </c>
      <c r="AU95" s="48" t="e">
        <f>(-$AL$49+$AK$49*$BU$20/$BT$20)</f>
        <v>#VALUE!</v>
      </c>
      <c r="BZ95" s="19"/>
      <c r="CA95" s="19"/>
    </row>
    <row r="96" spans="27:79" x14ac:dyDescent="0.25">
      <c r="AA96" s="5"/>
      <c r="AB96" s="5"/>
      <c r="AD96" s="53">
        <v>4</v>
      </c>
      <c r="AE96" s="83" t="e">
        <f>IF($AD96=AE$89,(-$AE$49+$AF$49*$AV$20/$AW$20)*$AV$29,"")</f>
        <v>#VALUE!</v>
      </c>
      <c r="AF96" s="84" t="e">
        <f>IF($AD96=AE$89,(-$AF$49-$CA$20-(-$AE$49-$BZ$20)*$BY$20/$BX$20)*$BX$29,"")</f>
        <v>#VALUE!</v>
      </c>
      <c r="AG96" s="83" t="e">
        <f>IF($AD96=AG$89,(-$AG$49+$BB$20+($AH$49-$BC$20)*$AZ$20/$BA$20)*$AZ$29,"")</f>
        <v>#VALUE!</v>
      </c>
      <c r="AH96" s="84" t="e">
        <f>IF($AD96=AG$89,($AH$49+$BE$20+(-$AG$49-$BD$20)*$BG$20/$BF$20)*$BF$29,"")</f>
        <v>#VALUE!</v>
      </c>
      <c r="AI96" s="83" t="e">
        <f>IF($AD96=AI$89,($AI$49-$BL$20-($AJ$49-$BM$20)*$BN$20/$BO$20)*$BN$29,"")</f>
        <v>#VALUE!</v>
      </c>
      <c r="AJ96" s="84" t="e">
        <f>IF($AD96=AI$89,($AJ$49-$AI$49*$BK$20/$BJ$20)*$BJ$29,"")</f>
        <v>#VALUE!</v>
      </c>
      <c r="AK96" s="83" t="e">
        <f>IF($AD96=AK$89,($AK$49-$AL$49*$BR$20/$BS$20)*$BR$29,"")</f>
        <v>#VALUE!</v>
      </c>
      <c r="AL96" s="84" t="e">
        <f>IF($AD96=AK$89,(-$AL$49+$AK$49*$BU$20/$BT$20)*$BT$29,"")</f>
        <v>#VALUE!</v>
      </c>
      <c r="AN96" s="83" t="e">
        <f>(-$AE$49+$AF$49*$AV$20/$AW$20)</f>
        <v>#VALUE!</v>
      </c>
      <c r="AO96" s="84" t="e">
        <f>(-$AF$49-$CA$20-(-$AE$49-$BZ$20)*$BY$20/$BX$20)</f>
        <v>#VALUE!</v>
      </c>
      <c r="AP96" s="83" t="e">
        <f>(-$AG$49+$BB$20+($AH$49-$BC$20)*$AZ$20/$BA$20)</f>
        <v>#VALUE!</v>
      </c>
      <c r="AQ96" s="84" t="e">
        <f>($AH$49+$BE$20+(-$AG$49-$BD$20)*$BG$20/$BF$20)</f>
        <v>#VALUE!</v>
      </c>
      <c r="AR96" s="83" t="e">
        <f>($AI$49-$BL$20-($AJ$49-$BM$20)*$BN$20/$BO$20)</f>
        <v>#VALUE!</v>
      </c>
      <c r="AS96" s="84" t="e">
        <f>($AJ$49-$AI$49*$BK$20/$BJ$20)</f>
        <v>#VALUE!</v>
      </c>
      <c r="AT96" s="83" t="e">
        <f>($AK$49-$AL$49*$BR$20/$BS$20)</f>
        <v>#VALUE!</v>
      </c>
      <c r="AU96" s="84" t="e">
        <f>(-$AL$49+$AK$49*$BU$20/$BT$20)</f>
        <v>#VALUE!</v>
      </c>
      <c r="BZ96" s="19"/>
      <c r="CA96" s="19"/>
    </row>
    <row r="97" spans="27:79" x14ac:dyDescent="0.25">
      <c r="AA97" s="5"/>
      <c r="AB97" s="5"/>
      <c r="AE97" s="85" t="str">
        <f>IF(ISNUMBER($AE$93),AE$93,IF(ISNUMBER($AE$94),AE$94,IF(ISNUMBER($AE$95),AE$95,IF(ISNUMBER($AE$96),AE$96,""))))</f>
        <v/>
      </c>
      <c r="AF97" s="86" t="str">
        <f>IF(ISNUMBER($AF$93),AF$93,IF(ISNUMBER($AF$94),AF$94,IF(ISNUMBER($AF$95),AF$95,IF(ISNUMBER($AF$96),AF$96,""))))</f>
        <v/>
      </c>
      <c r="AG97" s="85" t="str">
        <f>IF(ISNUMBER($AG$93),AG$93,IF(ISNUMBER($AG$94),AG$94,IF(ISNUMBER($AG$95),AG$95,IF(ISNUMBER($AG$96),AG$96,""))))</f>
        <v/>
      </c>
      <c r="AH97" s="86" t="str">
        <f>IF(ISNUMBER($AH$93),AH$93,IF(ISNUMBER($AH$94),AH$94,IF(ISNUMBER($AH$95),AH$95,IF(ISNUMBER($AH$96),AH$96,""))))</f>
        <v/>
      </c>
      <c r="AI97" s="85" t="str">
        <f>IF(ISNUMBER($AI$93),AI$93,IF(ISNUMBER($AI$94),AI$94,IF(ISNUMBER($AI$95),AI$95,IF(ISNUMBER($AI$96),AI$96,""))))</f>
        <v/>
      </c>
      <c r="AJ97" s="86" t="str">
        <f>IF(ISNUMBER($AJ$93),AJ$93,IF(ISNUMBER($AJ$94),AJ$94,IF(ISNUMBER($AJ$95),AJ$95,IF(ISNUMBER($AJ$96),AJ$96,""))))</f>
        <v/>
      </c>
      <c r="AK97" s="85" t="str">
        <f>IF(ISNUMBER($AK$93),AK$93,IF(ISNUMBER($AK$94),AK$94,IF(ISNUMBER($AK$95),AK$95,IF(ISNUMBER($AK$96),AK$96,""))))</f>
        <v/>
      </c>
      <c r="AL97" s="86" t="str">
        <f>IF(ISNUMBER($AL$93),AL$93,IF(ISNUMBER($AL$94),AL$94,IF(ISNUMBER($AL$95),AL$95,IF(ISNUMBER($AL$96),AL$96,""))))</f>
        <v/>
      </c>
      <c r="BZ97" s="19"/>
      <c r="CA97" s="19"/>
    </row>
    <row r="98" spans="27:79" x14ac:dyDescent="0.25">
      <c r="AA98" s="5"/>
      <c r="AB98" s="5"/>
      <c r="BZ98" s="19"/>
      <c r="CA98" s="19"/>
    </row>
    <row r="99" spans="27:79" x14ac:dyDescent="0.25">
      <c r="AA99" s="5"/>
      <c r="AB99" s="5"/>
      <c r="BZ99" s="19"/>
      <c r="CA99" s="19"/>
    </row>
    <row r="100" spans="27:79" x14ac:dyDescent="0.25">
      <c r="AA100" s="5"/>
      <c r="AB100" s="5"/>
      <c r="BZ100" s="19"/>
      <c r="CA100" s="19"/>
    </row>
    <row r="101" spans="27:79" x14ac:dyDescent="0.25">
      <c r="AA101" s="5"/>
      <c r="AB101" s="5"/>
      <c r="BZ101" s="19"/>
      <c r="CA101" s="19"/>
    </row>
    <row r="102" spans="27:79" x14ac:dyDescent="0.25">
      <c r="AA102" s="5"/>
      <c r="AB102" s="5"/>
      <c r="BZ102" s="19"/>
      <c r="CA102" s="19"/>
    </row>
    <row r="103" spans="27:79" x14ac:dyDescent="0.25">
      <c r="AA103" s="5"/>
      <c r="AB103" s="5"/>
      <c r="BZ103" s="19"/>
      <c r="CA103" s="19"/>
    </row>
    <row r="104" spans="27:79" x14ac:dyDescent="0.25">
      <c r="AA104" s="5"/>
      <c r="AB104" s="5"/>
      <c r="BZ104" s="19"/>
      <c r="CA104" s="19"/>
    </row>
    <row r="105" spans="27:79" x14ac:dyDescent="0.25">
      <c r="AA105" s="5"/>
      <c r="AB105" s="5"/>
      <c r="BZ105" s="19"/>
      <c r="CA105" s="19"/>
    </row>
    <row r="106" spans="27:79" x14ac:dyDescent="0.25">
      <c r="AA106" s="5"/>
      <c r="AB106" s="5"/>
      <c r="BZ106" s="19"/>
      <c r="CA106" s="19"/>
    </row>
    <row r="107" spans="27:79" x14ac:dyDescent="0.25">
      <c r="AA107" s="5"/>
      <c r="AB107" s="5"/>
      <c r="BZ107" s="19"/>
      <c r="CA107" s="19"/>
    </row>
    <row r="108" spans="27:79" x14ac:dyDescent="0.25">
      <c r="AA108" s="5"/>
      <c r="AB108" s="5"/>
      <c r="BZ108" s="19"/>
      <c r="CA108" s="19"/>
    </row>
    <row r="109" spans="27:79" x14ac:dyDescent="0.25">
      <c r="AA109" s="5"/>
      <c r="AB109" s="5"/>
      <c r="BZ109" s="19"/>
      <c r="CA109" s="19"/>
    </row>
    <row r="110" spans="27:79" x14ac:dyDescent="0.25">
      <c r="AA110" s="5"/>
      <c r="AB110" s="5"/>
      <c r="BZ110" s="19"/>
      <c r="CA110" s="19"/>
    </row>
    <row r="111" spans="27:79" x14ac:dyDescent="0.25">
      <c r="AA111" s="5"/>
      <c r="AB111" s="5"/>
      <c r="BZ111" s="19"/>
      <c r="CA111" s="19"/>
    </row>
    <row r="112" spans="27:79" x14ac:dyDescent="0.25">
      <c r="AA112" s="5"/>
      <c r="AB112" s="5"/>
      <c r="BZ112" s="19"/>
      <c r="CA112" s="19"/>
    </row>
    <row r="113" spans="27:79" x14ac:dyDescent="0.25">
      <c r="AA113" s="5"/>
      <c r="AB113" s="5"/>
      <c r="BZ113" s="19"/>
      <c r="CA113" s="19"/>
    </row>
    <row r="114" spans="27:79" x14ac:dyDescent="0.25">
      <c r="AA114" s="5"/>
      <c r="AB114" s="5"/>
      <c r="BZ114" s="19"/>
      <c r="CA114" s="19"/>
    </row>
    <row r="115" spans="27:79" x14ac:dyDescent="0.25">
      <c r="AA115" s="5"/>
      <c r="AB115" s="5"/>
      <c r="BZ115" s="19"/>
      <c r="CA115" s="19"/>
    </row>
    <row r="116" spans="27:79" x14ac:dyDescent="0.25">
      <c r="AA116" s="5"/>
      <c r="AB116" s="5"/>
      <c r="BZ116" s="19"/>
      <c r="CA116" s="19"/>
    </row>
    <row r="117" spans="27:79" x14ac:dyDescent="0.25">
      <c r="AA117" s="5"/>
      <c r="AB117" s="5"/>
      <c r="BZ117" s="19"/>
      <c r="CA117" s="19"/>
    </row>
    <row r="118" spans="27:79" x14ac:dyDescent="0.25">
      <c r="AA118" s="5"/>
      <c r="AB118" s="5"/>
      <c r="BZ118" s="19"/>
      <c r="CA118" s="19"/>
    </row>
    <row r="119" spans="27:79" x14ac:dyDescent="0.25">
      <c r="AA119" s="5"/>
      <c r="AB119" s="5"/>
      <c r="BZ119" s="19"/>
      <c r="CA119" s="19"/>
    </row>
    <row r="120" spans="27:79" x14ac:dyDescent="0.25">
      <c r="AA120" s="5"/>
      <c r="AB120" s="5"/>
      <c r="BZ120" s="19"/>
      <c r="CA120" s="19"/>
    </row>
    <row r="121" spans="27:79" x14ac:dyDescent="0.25">
      <c r="AA121" s="5"/>
      <c r="AB121" s="5"/>
      <c r="BZ121" s="19"/>
      <c r="CA121" s="19"/>
    </row>
    <row r="122" spans="27:79" x14ac:dyDescent="0.25">
      <c r="AA122" s="5"/>
      <c r="AB122" s="5"/>
      <c r="BZ122" s="19"/>
      <c r="CA122" s="19"/>
    </row>
    <row r="123" spans="27:79" x14ac:dyDescent="0.25">
      <c r="AA123" s="5"/>
      <c r="AB123" s="5"/>
      <c r="BZ123" s="19"/>
      <c r="CA123" s="19"/>
    </row>
    <row r="124" spans="27:79" x14ac:dyDescent="0.25">
      <c r="AA124" s="5"/>
      <c r="AB124" s="5"/>
      <c r="BZ124" s="19"/>
      <c r="CA124" s="19"/>
    </row>
    <row r="125" spans="27:79" x14ac:dyDescent="0.25">
      <c r="AA125" s="5"/>
      <c r="AB125" s="5"/>
      <c r="BZ125" s="19"/>
      <c r="CA125" s="19"/>
    </row>
    <row r="126" spans="27:79" x14ac:dyDescent="0.25">
      <c r="AA126" s="5"/>
      <c r="AB126" s="5"/>
      <c r="BZ126" s="19"/>
      <c r="CA126" s="19"/>
    </row>
    <row r="127" spans="27:79" x14ac:dyDescent="0.25">
      <c r="AA127" s="5"/>
      <c r="AB127" s="5"/>
      <c r="BZ127" s="19"/>
      <c r="CA127" s="19"/>
    </row>
    <row r="128" spans="27:79" x14ac:dyDescent="0.25">
      <c r="AA128" s="5"/>
      <c r="AB128" s="5"/>
      <c r="BZ128" s="19"/>
      <c r="CA128" s="19"/>
    </row>
    <row r="129" spans="27:79" x14ac:dyDescent="0.25">
      <c r="AA129" s="5"/>
      <c r="AB129" s="5"/>
      <c r="BZ129" s="19"/>
      <c r="CA129" s="19"/>
    </row>
    <row r="130" spans="27:79" x14ac:dyDescent="0.25">
      <c r="AA130" s="5"/>
      <c r="AB130" s="5"/>
      <c r="BZ130" s="19"/>
      <c r="CA130" s="19"/>
    </row>
    <row r="131" spans="27:79" x14ac:dyDescent="0.25">
      <c r="AA131" s="5"/>
      <c r="AB131" s="5"/>
      <c r="BZ131" s="19"/>
      <c r="CA131" s="19"/>
    </row>
    <row r="132" spans="27:79" x14ac:dyDescent="0.25">
      <c r="AA132" s="5"/>
      <c r="AB132" s="5"/>
      <c r="BZ132" s="19"/>
      <c r="CA132" s="19"/>
    </row>
    <row r="133" spans="27:79" x14ac:dyDescent="0.25">
      <c r="AA133" s="5"/>
      <c r="AB133" s="5"/>
      <c r="BZ133" s="19"/>
      <c r="CA133" s="19"/>
    </row>
    <row r="134" spans="27:79" x14ac:dyDescent="0.25">
      <c r="AA134" s="5"/>
      <c r="AB134" s="5"/>
      <c r="BZ134" s="19"/>
      <c r="CA134" s="19"/>
    </row>
    <row r="135" spans="27:79" x14ac:dyDescent="0.25">
      <c r="AA135" s="5"/>
      <c r="AB135" s="5"/>
      <c r="BZ135" s="19"/>
      <c r="CA135" s="19"/>
    </row>
    <row r="136" spans="27:79" x14ac:dyDescent="0.25">
      <c r="AA136" s="5"/>
      <c r="AB136" s="5"/>
      <c r="BZ136" s="19"/>
      <c r="CA136" s="19"/>
    </row>
    <row r="137" spans="27:79" x14ac:dyDescent="0.25">
      <c r="AA137" s="5"/>
      <c r="AB137" s="5"/>
      <c r="BZ137" s="19"/>
      <c r="CA137" s="19"/>
    </row>
    <row r="138" spans="27:79" x14ac:dyDescent="0.25">
      <c r="AA138" s="5"/>
      <c r="AB138" s="5"/>
      <c r="BZ138" s="19"/>
      <c r="CA138" s="19"/>
    </row>
    <row r="139" spans="27:79" x14ac:dyDescent="0.25">
      <c r="AA139" s="5"/>
      <c r="AB139" s="5"/>
      <c r="BZ139" s="19"/>
      <c r="CA139" s="19"/>
    </row>
    <row r="140" spans="27:79" x14ac:dyDescent="0.25">
      <c r="AA140" s="5"/>
      <c r="AB140" s="5"/>
      <c r="BZ140" s="19"/>
      <c r="CA140" s="19"/>
    </row>
    <row r="141" spans="27:79" x14ac:dyDescent="0.25">
      <c r="AA141" s="5"/>
      <c r="AB141" s="5"/>
      <c r="BZ141" s="19"/>
      <c r="CA141" s="19"/>
    </row>
    <row r="142" spans="27:79" x14ac:dyDescent="0.25">
      <c r="AA142" s="5"/>
      <c r="AB142" s="5"/>
      <c r="BZ142" s="19"/>
      <c r="CA142" s="19"/>
    </row>
    <row r="143" spans="27:79" x14ac:dyDescent="0.25">
      <c r="AA143" s="5"/>
      <c r="AB143" s="5"/>
      <c r="BZ143" s="19"/>
      <c r="CA143" s="19"/>
    </row>
    <row r="144" spans="27:79" x14ac:dyDescent="0.25">
      <c r="AA144" s="5"/>
      <c r="AB144" s="5"/>
      <c r="BZ144" s="19"/>
      <c r="CA144" s="19"/>
    </row>
    <row r="145" spans="27:79" x14ac:dyDescent="0.25">
      <c r="AA145" s="5"/>
      <c r="AB145" s="5"/>
      <c r="BZ145" s="19"/>
      <c r="CA145" s="19"/>
    </row>
    <row r="146" spans="27:79" x14ac:dyDescent="0.25">
      <c r="AA146" s="5"/>
      <c r="AB146" s="5"/>
      <c r="BZ146" s="19"/>
      <c r="CA146" s="19"/>
    </row>
    <row r="147" spans="27:79" x14ac:dyDescent="0.25">
      <c r="AA147" s="5"/>
      <c r="AB147" s="5"/>
      <c r="BZ147" s="19"/>
      <c r="CA147" s="19"/>
    </row>
    <row r="148" spans="27:79" x14ac:dyDescent="0.25">
      <c r="AA148" s="5"/>
      <c r="AB148" s="5"/>
      <c r="BZ148" s="19"/>
      <c r="CA148" s="19"/>
    </row>
    <row r="149" spans="27:79" x14ac:dyDescent="0.25">
      <c r="AA149" s="5"/>
      <c r="AB149" s="5"/>
      <c r="BZ149" s="19"/>
      <c r="CA149" s="19"/>
    </row>
    <row r="150" spans="27:79" x14ac:dyDescent="0.25">
      <c r="AA150" s="5"/>
      <c r="AB150" s="5"/>
      <c r="BZ150" s="19"/>
      <c r="CA150" s="19"/>
    </row>
    <row r="151" spans="27:79" x14ac:dyDescent="0.25">
      <c r="AA151" s="5"/>
      <c r="AB151" s="5"/>
      <c r="BZ151" s="19"/>
      <c r="CA151" s="19"/>
    </row>
    <row r="152" spans="27:79" x14ac:dyDescent="0.25">
      <c r="AA152" s="5"/>
      <c r="AB152" s="5"/>
      <c r="BZ152" s="19"/>
      <c r="CA152" s="19"/>
    </row>
    <row r="153" spans="27:79" x14ac:dyDescent="0.25">
      <c r="AA153" s="5"/>
      <c r="AB153" s="5"/>
      <c r="BZ153" s="19"/>
      <c r="CA153" s="19"/>
    </row>
    <row r="154" spans="27:79" x14ac:dyDescent="0.25">
      <c r="AA154" s="5"/>
      <c r="AB154" s="5"/>
      <c r="BZ154" s="19"/>
      <c r="CA154" s="19"/>
    </row>
    <row r="155" spans="27:79" x14ac:dyDescent="0.25">
      <c r="AA155" s="5"/>
      <c r="AB155" s="5"/>
      <c r="BZ155" s="19"/>
      <c r="CA155" s="19"/>
    </row>
    <row r="156" spans="27:79" x14ac:dyDescent="0.25">
      <c r="AA156" s="5"/>
      <c r="AB156" s="5"/>
      <c r="BZ156" s="19"/>
      <c r="CA156" s="19"/>
    </row>
    <row r="157" spans="27:79" x14ac:dyDescent="0.25">
      <c r="AA157" s="5"/>
      <c r="AB157" s="5"/>
    </row>
    <row r="158" spans="27:79" x14ac:dyDescent="0.25">
      <c r="AA158" s="5"/>
      <c r="AB158" s="5"/>
    </row>
    <row r="159" spans="27:79" x14ac:dyDescent="0.25">
      <c r="AA159" s="5"/>
      <c r="AB159" s="5"/>
    </row>
    <row r="160" spans="27:79" x14ac:dyDescent="0.25">
      <c r="AA160" s="5"/>
      <c r="AB160" s="5"/>
    </row>
    <row r="161" spans="27:28" x14ac:dyDescent="0.25">
      <c r="AA161" s="5"/>
      <c r="AB161" s="5"/>
    </row>
    <row r="162" spans="27:28" x14ac:dyDescent="0.25">
      <c r="AA162" s="5"/>
      <c r="AB162" s="5"/>
    </row>
    <row r="163" spans="27:28" x14ac:dyDescent="0.25">
      <c r="AA163" s="5"/>
      <c r="AB163" s="5"/>
    </row>
    <row r="164" spans="27:28" x14ac:dyDescent="0.25">
      <c r="AA164" s="5"/>
      <c r="AB164" s="5"/>
    </row>
    <row r="165" spans="27:28" x14ac:dyDescent="0.25">
      <c r="AA165" s="5"/>
      <c r="AB165" s="5"/>
    </row>
    <row r="166" spans="27:28" x14ac:dyDescent="0.25">
      <c r="AB166" s="5"/>
    </row>
    <row r="167" spans="27:28" x14ac:dyDescent="0.25">
      <c r="AB167" s="5"/>
    </row>
    <row r="168" spans="27:28" x14ac:dyDescent="0.25">
      <c r="AB168" s="5"/>
    </row>
    <row r="169" spans="27:28" x14ac:dyDescent="0.25">
      <c r="AB169" s="5"/>
    </row>
    <row r="170" spans="27:28" x14ac:dyDescent="0.25">
      <c r="AB170" s="5"/>
    </row>
    <row r="171" spans="27:28" x14ac:dyDescent="0.25">
      <c r="AB171" s="5"/>
    </row>
    <row r="172" spans="27:28" x14ac:dyDescent="0.25">
      <c r="AB172" s="5"/>
    </row>
    <row r="173" spans="27:28" x14ac:dyDescent="0.25">
      <c r="AB173" s="5"/>
    </row>
  </sheetData>
  <sheetProtection sheet="1" objects="1" scenarios="1"/>
  <mergeCells count="133">
    <mergeCell ref="BR18:BS18"/>
    <mergeCell ref="AV25:BC25"/>
    <mergeCell ref="AQ25:AR25"/>
    <mergeCell ref="AZ21:BC21"/>
    <mergeCell ref="BL21:BO21"/>
    <mergeCell ref="AE77:AF77"/>
    <mergeCell ref="A40:B41"/>
    <mergeCell ref="AI25:AJ25"/>
    <mergeCell ref="AG66:AH66"/>
    <mergeCell ref="AI66:AJ66"/>
    <mergeCell ref="Q27:R27"/>
    <mergeCell ref="AM25:AN25"/>
    <mergeCell ref="B24:C24"/>
    <mergeCell ref="AI77:AJ77"/>
    <mergeCell ref="AK77:AL77"/>
    <mergeCell ref="AG58:AH58"/>
    <mergeCell ref="AG67:AH67"/>
    <mergeCell ref="AI52:AJ52"/>
    <mergeCell ref="AI67:AJ67"/>
    <mergeCell ref="AG25:AH25"/>
    <mergeCell ref="AE66:AF66"/>
    <mergeCell ref="AC24:AT24"/>
    <mergeCell ref="AE56:AF56"/>
    <mergeCell ref="AG56:AH56"/>
    <mergeCell ref="AO25:AP25"/>
    <mergeCell ref="C2:F2"/>
    <mergeCell ref="AK67:AL67"/>
    <mergeCell ref="I6:J6"/>
    <mergeCell ref="M3:P3"/>
    <mergeCell ref="AG69:AH69"/>
    <mergeCell ref="AI69:AJ69"/>
    <mergeCell ref="L39:M42"/>
    <mergeCell ref="L57:M57"/>
    <mergeCell ref="AC37:AD37"/>
    <mergeCell ref="AI53:AJ53"/>
    <mergeCell ref="K13:N13"/>
    <mergeCell ref="C3:F3"/>
    <mergeCell ref="G7:H7"/>
    <mergeCell ref="M7:N7"/>
    <mergeCell ref="W40:X41"/>
    <mergeCell ref="C8:D8"/>
    <mergeCell ref="AI58:AJ58"/>
    <mergeCell ref="AK52:AL52"/>
    <mergeCell ref="AC49:AD49"/>
    <mergeCell ref="K6:L6"/>
    <mergeCell ref="K3:L3"/>
    <mergeCell ref="AK66:AL66"/>
    <mergeCell ref="AK53:AL53"/>
    <mergeCell ref="AE25:AF25"/>
    <mergeCell ref="BT25:CA25"/>
    <mergeCell ref="AG80:AH80"/>
    <mergeCell ref="V24:W24"/>
    <mergeCell ref="AE52:AF52"/>
    <mergeCell ref="AE67:AF67"/>
    <mergeCell ref="S14:T14"/>
    <mergeCell ref="AG52:AH52"/>
    <mergeCell ref="BH21:BK21"/>
    <mergeCell ref="BV18:BW18"/>
    <mergeCell ref="AI80:AJ80"/>
    <mergeCell ref="AE78:AF78"/>
    <mergeCell ref="AK78:AL78"/>
    <mergeCell ref="BX18:BY18"/>
    <mergeCell ref="AI78:AJ78"/>
    <mergeCell ref="BF18:BG18"/>
    <mergeCell ref="BH18:BI18"/>
    <mergeCell ref="BD21:BG21"/>
    <mergeCell ref="BB18:BC18"/>
    <mergeCell ref="BX21:CA21"/>
    <mergeCell ref="BD18:BE18"/>
    <mergeCell ref="AV18:AW18"/>
    <mergeCell ref="BN18:BO18"/>
    <mergeCell ref="BP18:BQ18"/>
    <mergeCell ref="BT18:BU18"/>
    <mergeCell ref="B57:C57"/>
    <mergeCell ref="O4:P4"/>
    <mergeCell ref="AI55:AJ55"/>
    <mergeCell ref="BZ18:CA18"/>
    <mergeCell ref="AK55:AL55"/>
    <mergeCell ref="AE53:AF53"/>
    <mergeCell ref="AC31:AD31"/>
    <mergeCell ref="BT21:BW21"/>
    <mergeCell ref="AZ18:BA18"/>
    <mergeCell ref="BJ18:BK18"/>
    <mergeCell ref="AI56:AJ56"/>
    <mergeCell ref="BL18:BM18"/>
    <mergeCell ref="AK56:AL56"/>
    <mergeCell ref="C7:D7"/>
    <mergeCell ref="E7:F7"/>
    <mergeCell ref="E6:H6"/>
    <mergeCell ref="C10:D10"/>
    <mergeCell ref="AS25:AT25"/>
    <mergeCell ref="C9:D9"/>
    <mergeCell ref="C11:D11"/>
    <mergeCell ref="AV21:AY21"/>
    <mergeCell ref="BL25:BS25"/>
    <mergeCell ref="BP21:BS21"/>
    <mergeCell ref="BD25:BK25"/>
    <mergeCell ref="AE89:AF89"/>
    <mergeCell ref="AG89:AH89"/>
    <mergeCell ref="AG88:AH88"/>
    <mergeCell ref="G43:H43"/>
    <mergeCell ref="AI88:AJ88"/>
    <mergeCell ref="Y13:AB13"/>
    <mergeCell ref="Q43:R43"/>
    <mergeCell ref="AK91:AL91"/>
    <mergeCell ref="G27:H27"/>
    <mergeCell ref="AE58:AF58"/>
    <mergeCell ref="AK25:AL25"/>
    <mergeCell ref="AK58:AL58"/>
    <mergeCell ref="AC43:AD43"/>
    <mergeCell ref="AG53:AH53"/>
    <mergeCell ref="AK69:AL69"/>
    <mergeCell ref="AG77:AH77"/>
    <mergeCell ref="L24:M24"/>
    <mergeCell ref="AG91:AH91"/>
    <mergeCell ref="AI91:AJ91"/>
    <mergeCell ref="AI89:AJ89"/>
    <mergeCell ref="AK89:AL89"/>
    <mergeCell ref="AK88:AL88"/>
    <mergeCell ref="AE91:AF91"/>
    <mergeCell ref="AE88:AF88"/>
    <mergeCell ref="Y5:AB5"/>
    <mergeCell ref="AE69:AF69"/>
    <mergeCell ref="AX18:AY18"/>
    <mergeCell ref="AG78:AH78"/>
    <mergeCell ref="AK80:AL80"/>
    <mergeCell ref="V57:W57"/>
    <mergeCell ref="M6:P6"/>
    <mergeCell ref="AE80:AF80"/>
    <mergeCell ref="M4:N4"/>
    <mergeCell ref="AE55:AF55"/>
    <mergeCell ref="AG55:AH55"/>
    <mergeCell ref="O7:P7"/>
  </mergeCells>
  <conditionalFormatting sqref="B25">
    <cfRule type="expression" dxfId="287" priority="22">
      <formula>B26</formula>
    </cfRule>
    <cfRule type="expression" dxfId="286" priority="23">
      <formula>B$19</formula>
    </cfRule>
  </conditionalFormatting>
  <conditionalFormatting sqref="B33">
    <cfRule type="expression" dxfId="285" priority="20">
      <formula>B34</formula>
    </cfRule>
    <cfRule type="expression" dxfId="284" priority="21">
      <formula>B$19</formula>
    </cfRule>
  </conditionalFormatting>
  <conditionalFormatting sqref="B42">
    <cfRule type="expression" dxfId="283" priority="18">
      <formula>B43</formula>
    </cfRule>
    <cfRule type="expression" dxfId="282" priority="19">
      <formula>B$19</formula>
    </cfRule>
  </conditionalFormatting>
  <conditionalFormatting sqref="B50">
    <cfRule type="expression" dxfId="281" priority="16">
      <formula>B51</formula>
    </cfRule>
    <cfRule type="expression" dxfId="280" priority="17">
      <formula>B$19</formula>
    </cfRule>
  </conditionalFormatting>
  <conditionalFormatting sqref="E18">
    <cfRule type="expression" dxfId="279" priority="24">
      <formula>E$19</formula>
    </cfRule>
  </conditionalFormatting>
  <conditionalFormatting sqref="E63">
    <cfRule type="expression" dxfId="278" priority="15">
      <formula>E$19</formula>
    </cfRule>
  </conditionalFormatting>
  <conditionalFormatting sqref="K18">
    <cfRule type="expression" dxfId="277" priority="14">
      <formula>K$19</formula>
    </cfRule>
  </conditionalFormatting>
  <conditionalFormatting sqref="K63">
    <cfRule type="expression" dxfId="276" priority="3">
      <formula>K$19</formula>
    </cfRule>
  </conditionalFormatting>
  <conditionalFormatting sqref="O18">
    <cfRule type="expression" dxfId="275" priority="13">
      <formula>O$19</formula>
    </cfRule>
  </conditionalFormatting>
  <conditionalFormatting sqref="O63">
    <cfRule type="expression" dxfId="274" priority="2">
      <formula>O$19</formula>
    </cfRule>
  </conditionalFormatting>
  <conditionalFormatting sqref="U18">
    <cfRule type="expression" dxfId="273" priority="12">
      <formula>U$19</formula>
    </cfRule>
  </conditionalFormatting>
  <conditionalFormatting sqref="U63">
    <cfRule type="expression" dxfId="272" priority="1">
      <formula>U$19</formula>
    </cfRule>
  </conditionalFormatting>
  <conditionalFormatting sqref="W25">
    <cfRule type="expression" dxfId="271" priority="10">
      <formula>W26</formula>
    </cfRule>
    <cfRule type="expression" dxfId="270" priority="11">
      <formula>W$19</formula>
    </cfRule>
  </conditionalFormatting>
  <conditionalFormatting sqref="W33">
    <cfRule type="expression" dxfId="269" priority="8">
      <formula>W34</formula>
    </cfRule>
    <cfRule type="expression" dxfId="268" priority="9">
      <formula>W$19</formula>
    </cfRule>
  </conditionalFormatting>
  <conditionalFormatting sqref="W42">
    <cfRule type="expression" dxfId="267" priority="6">
      <formula>W43</formula>
    </cfRule>
    <cfRule type="expression" dxfId="266" priority="7">
      <formula>W$19</formula>
    </cfRule>
  </conditionalFormatting>
  <conditionalFormatting sqref="W50">
    <cfRule type="expression" dxfId="265" priority="4">
      <formula>W51</formula>
    </cfRule>
    <cfRule type="expression" dxfId="264" priority="5">
      <formula>W$19</formula>
    </cfRule>
  </conditionalFormatting>
  <conditionalFormatting sqref="AE60:AF60">
    <cfRule type="expression" dxfId="263" priority="47">
      <formula>$AE$56=1</formula>
    </cfRule>
  </conditionalFormatting>
  <conditionalFormatting sqref="AE61:AF61">
    <cfRule type="expression" dxfId="262" priority="51">
      <formula>$AE$56=2</formula>
    </cfRule>
  </conditionalFormatting>
  <conditionalFormatting sqref="AE62:AF62">
    <cfRule type="expression" dxfId="261" priority="55">
      <formula>$AE$56=3</formula>
    </cfRule>
  </conditionalFormatting>
  <conditionalFormatting sqref="AE63:AF63">
    <cfRule type="expression" dxfId="260" priority="59">
      <formula>$AE$56=4</formula>
    </cfRule>
  </conditionalFormatting>
  <conditionalFormatting sqref="AE71:AF71">
    <cfRule type="expression" dxfId="259" priority="140">
      <formula>$AE$67=1</formula>
    </cfRule>
  </conditionalFormatting>
  <conditionalFormatting sqref="AE72:AF72">
    <cfRule type="expression" dxfId="258" priority="144">
      <formula>$AE$67=2</formula>
    </cfRule>
  </conditionalFormatting>
  <conditionalFormatting sqref="AE73:AF73">
    <cfRule type="expression" dxfId="257" priority="148">
      <formula>$AE$67=3</formula>
    </cfRule>
  </conditionalFormatting>
  <conditionalFormatting sqref="AE74:AF74">
    <cfRule type="expression" dxfId="256" priority="152">
      <formula>$AE$67=4</formula>
    </cfRule>
  </conditionalFormatting>
  <conditionalFormatting sqref="AE82:AF82">
    <cfRule type="expression" dxfId="255" priority="135">
      <formula>$AE$78=1</formula>
    </cfRule>
  </conditionalFormatting>
  <conditionalFormatting sqref="AE83:AF83">
    <cfRule type="expression" dxfId="254" priority="136">
      <formula>$AE$78=2</formula>
    </cfRule>
  </conditionalFormatting>
  <conditionalFormatting sqref="AE84:AF84">
    <cfRule type="expression" dxfId="253" priority="118">
      <formula>$AE$78=3</formula>
    </cfRule>
  </conditionalFormatting>
  <conditionalFormatting sqref="AE85:AF85">
    <cfRule type="expression" dxfId="252" priority="117">
      <formula>$AE$78=4</formula>
    </cfRule>
  </conditionalFormatting>
  <conditionalFormatting sqref="AE93:AF93">
    <cfRule type="expression" dxfId="251" priority="122">
      <formula>$AE$89=1</formula>
    </cfRule>
  </conditionalFormatting>
  <conditionalFormatting sqref="AE94:AF94">
    <cfRule type="expression" dxfId="250" priority="126">
      <formula>$AE$89=2</formula>
    </cfRule>
  </conditionalFormatting>
  <conditionalFormatting sqref="AE95:AF95">
    <cfRule type="expression" dxfId="249" priority="130">
      <formula>$AE$89=3</formula>
    </cfRule>
  </conditionalFormatting>
  <conditionalFormatting sqref="AE96:AF96">
    <cfRule type="expression" dxfId="248" priority="134">
      <formula>$AE$89=4</formula>
    </cfRule>
  </conditionalFormatting>
  <conditionalFormatting sqref="AE56:AL56">
    <cfRule type="cellIs" dxfId="247" priority="41" operator="between">
      <formula>1</formula>
      <formula>4</formula>
    </cfRule>
  </conditionalFormatting>
  <conditionalFormatting sqref="AE67:AL67">
    <cfRule type="cellIs" dxfId="246" priority="90" operator="between">
      <formula>1</formula>
      <formula>4</formula>
    </cfRule>
  </conditionalFormatting>
  <conditionalFormatting sqref="AE78:AL78">
    <cfRule type="cellIs" dxfId="245" priority="87" operator="between">
      <formula>1</formula>
      <formula>4</formula>
    </cfRule>
  </conditionalFormatting>
  <conditionalFormatting sqref="AE89:AL89">
    <cfRule type="cellIs" dxfId="244" priority="84" operator="between">
      <formula>1</formula>
      <formula>4</formula>
    </cfRule>
  </conditionalFormatting>
  <conditionalFormatting sqref="AG60:AH60">
    <cfRule type="expression" dxfId="243" priority="46">
      <formula>$AG$56=1</formula>
    </cfRule>
  </conditionalFormatting>
  <conditionalFormatting sqref="AG61:AH61">
    <cfRule type="expression" dxfId="242" priority="50">
      <formula>$AG$56=2</formula>
    </cfRule>
  </conditionalFormatting>
  <conditionalFormatting sqref="AG62:AH62">
    <cfRule type="expression" dxfId="241" priority="54">
      <formula>$AG$56=3</formula>
    </cfRule>
  </conditionalFormatting>
  <conditionalFormatting sqref="AG63:AH63">
    <cfRule type="expression" dxfId="240" priority="58">
      <formula>$AG$56=4</formula>
    </cfRule>
  </conditionalFormatting>
  <conditionalFormatting sqref="AG71:AH71">
    <cfRule type="expression" dxfId="239" priority="139">
      <formula>$AG$67=1</formula>
    </cfRule>
  </conditionalFormatting>
  <conditionalFormatting sqref="AG72:AH72">
    <cfRule type="expression" dxfId="238" priority="143">
      <formula>$AG$67=2</formula>
    </cfRule>
  </conditionalFormatting>
  <conditionalFormatting sqref="AG73:AH73">
    <cfRule type="expression" dxfId="237" priority="147">
      <formula>$AG$67=3</formula>
    </cfRule>
  </conditionalFormatting>
  <conditionalFormatting sqref="AG74:AH74">
    <cfRule type="expression" dxfId="236" priority="151">
      <formula>$AG$67=4</formula>
    </cfRule>
  </conditionalFormatting>
  <conditionalFormatting sqref="AG82:AH82">
    <cfRule type="expression" dxfId="235" priority="115">
      <formula>$AG$78=1</formula>
    </cfRule>
  </conditionalFormatting>
  <conditionalFormatting sqref="AG83:AH83">
    <cfRule type="expression" dxfId="234" priority="116">
      <formula>$AG$78=2</formula>
    </cfRule>
  </conditionalFormatting>
  <conditionalFormatting sqref="AG84:AH84">
    <cfRule type="expression" dxfId="233" priority="114">
      <formula>$AG$78=3</formula>
    </cfRule>
  </conditionalFormatting>
  <conditionalFormatting sqref="AG85:AH85">
    <cfRule type="expression" dxfId="232" priority="113">
      <formula>$AG$78=4</formula>
    </cfRule>
  </conditionalFormatting>
  <conditionalFormatting sqref="AG93:AH93">
    <cfRule type="expression" dxfId="231" priority="121">
      <formula>$AG$89=1</formula>
    </cfRule>
  </conditionalFormatting>
  <conditionalFormatting sqref="AG94:AH94">
    <cfRule type="expression" dxfId="230" priority="125">
      <formula>$AG$89=2</formula>
    </cfRule>
  </conditionalFormatting>
  <conditionalFormatting sqref="AG95:AH95">
    <cfRule type="expression" dxfId="229" priority="129">
      <formula>$AG$89=3</formula>
    </cfRule>
  </conditionalFormatting>
  <conditionalFormatting sqref="AG96:AH96">
    <cfRule type="expression" dxfId="228" priority="133">
      <formula>$AG$89=4</formula>
    </cfRule>
  </conditionalFormatting>
  <conditionalFormatting sqref="AI60:AJ60">
    <cfRule type="expression" dxfId="227" priority="45">
      <formula>$AI$56=1</formula>
    </cfRule>
  </conditionalFormatting>
  <conditionalFormatting sqref="AI61:AJ61">
    <cfRule type="expression" dxfId="226" priority="49">
      <formula>$AI$56=2</formula>
    </cfRule>
  </conditionalFormatting>
  <conditionalFormatting sqref="AI62:AJ62">
    <cfRule type="expression" dxfId="225" priority="53">
      <formula>$AI$56=3</formula>
    </cfRule>
  </conditionalFormatting>
  <conditionalFormatting sqref="AI63:AJ63">
    <cfRule type="expression" dxfId="224" priority="57">
      <formula>$AI$56=4</formula>
    </cfRule>
  </conditionalFormatting>
  <conditionalFormatting sqref="AI71:AJ71">
    <cfRule type="expression" dxfId="223" priority="138">
      <formula>$AI$67=1</formula>
    </cfRule>
  </conditionalFormatting>
  <conditionalFormatting sqref="AI72:AJ72">
    <cfRule type="expression" dxfId="222" priority="142">
      <formula>$AI$67=2</formula>
    </cfRule>
  </conditionalFormatting>
  <conditionalFormatting sqref="AI73:AJ73">
    <cfRule type="expression" dxfId="221" priority="146">
      <formula>$AI$67=3</formula>
    </cfRule>
  </conditionalFormatting>
  <conditionalFormatting sqref="AI74:AJ74">
    <cfRule type="expression" dxfId="220" priority="150">
      <formula>$AI$67=4</formula>
    </cfRule>
  </conditionalFormatting>
  <conditionalFormatting sqref="AI82:AJ82">
    <cfRule type="expression" dxfId="219" priority="111">
      <formula>$AI$78=1</formula>
    </cfRule>
  </conditionalFormatting>
  <conditionalFormatting sqref="AI83:AJ83">
    <cfRule type="expression" dxfId="218" priority="112">
      <formula>$AI$78=2</formula>
    </cfRule>
  </conditionalFormatting>
  <conditionalFormatting sqref="AI84:AJ84">
    <cfRule type="expression" dxfId="217" priority="110">
      <formula>$AI$78=3</formula>
    </cfRule>
  </conditionalFormatting>
  <conditionalFormatting sqref="AI85:AJ85">
    <cfRule type="expression" dxfId="216" priority="109">
      <formula>$AI$78=4</formula>
    </cfRule>
  </conditionalFormatting>
  <conditionalFormatting sqref="AI93:AJ93">
    <cfRule type="expression" dxfId="215" priority="120">
      <formula>$AI$89=1</formula>
    </cfRule>
  </conditionalFormatting>
  <conditionalFormatting sqref="AI94:AJ94">
    <cfRule type="expression" dxfId="214" priority="124">
      <formula>$AI$89=2</formula>
    </cfRule>
  </conditionalFormatting>
  <conditionalFormatting sqref="AI95:AJ95">
    <cfRule type="expression" dxfId="213" priority="128">
      <formula>$AI$89=3</formula>
    </cfRule>
  </conditionalFormatting>
  <conditionalFormatting sqref="AI96:AJ96">
    <cfRule type="expression" dxfId="212" priority="132">
      <formula>$AI$89=4</formula>
    </cfRule>
  </conditionalFormatting>
  <conditionalFormatting sqref="AK60:AL60">
    <cfRule type="expression" dxfId="211" priority="44">
      <formula>$AK$56=1</formula>
    </cfRule>
  </conditionalFormatting>
  <conditionalFormatting sqref="AK61:AL61">
    <cfRule type="expression" dxfId="210" priority="48">
      <formula>$AK$56=2</formula>
    </cfRule>
  </conditionalFormatting>
  <conditionalFormatting sqref="AK62:AL62">
    <cfRule type="expression" dxfId="209" priority="52">
      <formula>$AK$56=3</formula>
    </cfRule>
  </conditionalFormatting>
  <conditionalFormatting sqref="AK63:AL63">
    <cfRule type="expression" dxfId="208" priority="56">
      <formula>$AK$56=4</formula>
    </cfRule>
  </conditionalFormatting>
  <conditionalFormatting sqref="AK71:AL71 AT71:AU71">
    <cfRule type="expression" dxfId="207" priority="137">
      <formula>$AK$67=1</formula>
    </cfRule>
  </conditionalFormatting>
  <conditionalFormatting sqref="AK72:AL72 AT72:AU72">
    <cfRule type="expression" dxfId="206" priority="141">
      <formula>$AK$67=2</formula>
    </cfRule>
  </conditionalFormatting>
  <conditionalFormatting sqref="AK73:AL73 AT73:AU73">
    <cfRule type="expression" dxfId="205" priority="145">
      <formula>$AK$67=3</formula>
    </cfRule>
  </conditionalFormatting>
  <conditionalFormatting sqref="AK74:AL74 AT74:AU74">
    <cfRule type="expression" dxfId="204" priority="149">
      <formula>$AK$67=4</formula>
    </cfRule>
  </conditionalFormatting>
  <conditionalFormatting sqref="AK82:AL82 AT82:AU82">
    <cfRule type="expression" dxfId="203" priority="107">
      <formula>$AK$78=1</formula>
    </cfRule>
  </conditionalFormatting>
  <conditionalFormatting sqref="AK83:AL83 AT83:AU83">
    <cfRule type="expression" dxfId="202" priority="108">
      <formula>$AK$78=2</formula>
    </cfRule>
  </conditionalFormatting>
  <conditionalFormatting sqref="AK84:AL84 AT84:AU84">
    <cfRule type="expression" dxfId="201" priority="106">
      <formula>$AK$78=3</formula>
    </cfRule>
  </conditionalFormatting>
  <conditionalFormatting sqref="AK85:AL85 AT85:AU85">
    <cfRule type="expression" dxfId="200" priority="105">
      <formula>$AK$78=4</formula>
    </cfRule>
  </conditionalFormatting>
  <conditionalFormatting sqref="AK93:AL93 AT93:AU93">
    <cfRule type="expression" dxfId="199" priority="119">
      <formula>$AK$89=1</formula>
    </cfRule>
  </conditionalFormatting>
  <conditionalFormatting sqref="AK94:AL94 AT94:AU94">
    <cfRule type="expression" dxfId="198" priority="123">
      <formula>$AK$89=2</formula>
    </cfRule>
  </conditionalFormatting>
  <conditionalFormatting sqref="AK95:AL95 AT95:AU95">
    <cfRule type="expression" dxfId="197" priority="127">
      <formula>$AK$89=3</formula>
    </cfRule>
  </conditionalFormatting>
  <conditionalFormatting sqref="AK96:AL96 AT96:AU96">
    <cfRule type="expression" dxfId="196" priority="131">
      <formula>$AK$89=4</formula>
    </cfRule>
  </conditionalFormatting>
  <conditionalFormatting sqref="AN60:AO60">
    <cfRule type="expression" dxfId="195" priority="28">
      <formula>$AE$56=1</formula>
    </cfRule>
  </conditionalFormatting>
  <conditionalFormatting sqref="AN61:AO61">
    <cfRule type="expression" dxfId="194" priority="32">
      <formula>$AE$56=2</formula>
    </cfRule>
  </conditionalFormatting>
  <conditionalFormatting sqref="AN62:AO62">
    <cfRule type="expression" dxfId="193" priority="36">
      <formula>$AE$56=3</formula>
    </cfRule>
  </conditionalFormatting>
  <conditionalFormatting sqref="AN63:AO63">
    <cfRule type="expression" dxfId="192" priority="40">
      <formula>$AE$56=4</formula>
    </cfRule>
  </conditionalFormatting>
  <conditionalFormatting sqref="AN71:AO71">
    <cfRule type="expression" dxfId="191" priority="95">
      <formula>$AE$67=1</formula>
    </cfRule>
  </conditionalFormatting>
  <conditionalFormatting sqref="AN72:AO72">
    <cfRule type="expression" dxfId="190" priority="98">
      <formula>$AE$67=2</formula>
    </cfRule>
  </conditionalFormatting>
  <conditionalFormatting sqref="AN73:AO73">
    <cfRule type="expression" dxfId="189" priority="101">
      <formula>$AE$67=3</formula>
    </cfRule>
  </conditionalFormatting>
  <conditionalFormatting sqref="AN74:AO74">
    <cfRule type="expression" dxfId="188" priority="104">
      <formula>$AE$67=4</formula>
    </cfRule>
  </conditionalFormatting>
  <conditionalFormatting sqref="AN82:AO82">
    <cfRule type="expression" dxfId="187" priority="82">
      <formula>$AE$78=1</formula>
    </cfRule>
  </conditionalFormatting>
  <conditionalFormatting sqref="AN83:AO83">
    <cfRule type="expression" dxfId="186" priority="83">
      <formula>$AE$78=2</formula>
    </cfRule>
  </conditionalFormatting>
  <conditionalFormatting sqref="AN84:AO84">
    <cfRule type="expression" dxfId="185" priority="81">
      <formula>$AE$78=3</formula>
    </cfRule>
  </conditionalFormatting>
  <conditionalFormatting sqref="AN85:AO85">
    <cfRule type="expression" dxfId="184" priority="80">
      <formula>$AE$78=4</formula>
    </cfRule>
  </conditionalFormatting>
  <conditionalFormatting sqref="AN93:AO93">
    <cfRule type="expression" dxfId="183" priority="62">
      <formula>$AE$89=1</formula>
    </cfRule>
  </conditionalFormatting>
  <conditionalFormatting sqref="AN94:AO94">
    <cfRule type="expression" dxfId="182" priority="65">
      <formula>$AE$89=2</formula>
    </cfRule>
  </conditionalFormatting>
  <conditionalFormatting sqref="AN95:AO95">
    <cfRule type="expression" dxfId="181" priority="68">
      <formula>$AE$89=3</formula>
    </cfRule>
  </conditionalFormatting>
  <conditionalFormatting sqref="AN96:AO96">
    <cfRule type="expression" dxfId="180" priority="71">
      <formula>$AE$89=4</formula>
    </cfRule>
  </conditionalFormatting>
  <conditionalFormatting sqref="AP60:AQ60">
    <cfRule type="expression" dxfId="179" priority="27">
      <formula>$AG$56=1</formula>
    </cfRule>
  </conditionalFormatting>
  <conditionalFormatting sqref="AP61:AQ61">
    <cfRule type="expression" dxfId="178" priority="31">
      <formula>$AG$56=2</formula>
    </cfRule>
  </conditionalFormatting>
  <conditionalFormatting sqref="AP62:AQ62">
    <cfRule type="expression" dxfId="177" priority="35">
      <formula>$AG$56=3</formula>
    </cfRule>
  </conditionalFormatting>
  <conditionalFormatting sqref="AP63:AQ63">
    <cfRule type="expression" dxfId="176" priority="39">
      <formula>$AG$56=4</formula>
    </cfRule>
  </conditionalFormatting>
  <conditionalFormatting sqref="AP71:AQ71">
    <cfRule type="expression" dxfId="175" priority="94">
      <formula>$AG$67=1</formula>
    </cfRule>
  </conditionalFormatting>
  <conditionalFormatting sqref="AP72:AQ72">
    <cfRule type="expression" dxfId="174" priority="97">
      <formula>$AG$67=2</formula>
    </cfRule>
  </conditionalFormatting>
  <conditionalFormatting sqref="AP73:AQ73">
    <cfRule type="expression" dxfId="173" priority="100">
      <formula>$AG$67=3</formula>
    </cfRule>
  </conditionalFormatting>
  <conditionalFormatting sqref="AP74:AQ74">
    <cfRule type="expression" dxfId="172" priority="103">
      <formula>$AG$67=4</formula>
    </cfRule>
  </conditionalFormatting>
  <conditionalFormatting sqref="AP82:AQ82">
    <cfRule type="expression" dxfId="171" priority="78">
      <formula>$AG$78=1</formula>
    </cfRule>
  </conditionalFormatting>
  <conditionalFormatting sqref="AP83:AQ83">
    <cfRule type="expression" dxfId="170" priority="79">
      <formula>$AG$78=2</formula>
    </cfRule>
  </conditionalFormatting>
  <conditionalFormatting sqref="AP84:AQ84">
    <cfRule type="expression" dxfId="169" priority="77">
      <formula>$AG$78=3</formula>
    </cfRule>
  </conditionalFormatting>
  <conditionalFormatting sqref="AP85:AQ85">
    <cfRule type="expression" dxfId="168" priority="76">
      <formula>$AG$78=4</formula>
    </cfRule>
  </conditionalFormatting>
  <conditionalFormatting sqref="AP93:AQ93">
    <cfRule type="expression" dxfId="167" priority="61">
      <formula>$AG$89=1</formula>
    </cfRule>
  </conditionalFormatting>
  <conditionalFormatting sqref="AP94:AQ94">
    <cfRule type="expression" dxfId="166" priority="64">
      <formula>$AG$89=2</formula>
    </cfRule>
  </conditionalFormatting>
  <conditionalFormatting sqref="AP95:AQ95">
    <cfRule type="expression" dxfId="165" priority="67">
      <formula>$AG$89=3</formula>
    </cfRule>
  </conditionalFormatting>
  <conditionalFormatting sqref="AP96:AQ96">
    <cfRule type="expression" dxfId="164" priority="70">
      <formula>$AG$89=4</formula>
    </cfRule>
  </conditionalFormatting>
  <conditionalFormatting sqref="AR60:AS60">
    <cfRule type="expression" dxfId="163" priority="26">
      <formula>$AI$56=1</formula>
    </cfRule>
  </conditionalFormatting>
  <conditionalFormatting sqref="AR61:AS61">
    <cfRule type="expression" dxfId="162" priority="30">
      <formula>$AI$56=2</formula>
    </cfRule>
  </conditionalFormatting>
  <conditionalFormatting sqref="AR62:AS62">
    <cfRule type="expression" dxfId="161" priority="34">
      <formula>$AI$56=3</formula>
    </cfRule>
  </conditionalFormatting>
  <conditionalFormatting sqref="AR63:AS63">
    <cfRule type="expression" dxfId="160" priority="38">
      <formula>$AI$56=4</formula>
    </cfRule>
  </conditionalFormatting>
  <conditionalFormatting sqref="AR71:AS71">
    <cfRule type="expression" dxfId="159" priority="93">
      <formula>$AI$67=1</formula>
    </cfRule>
  </conditionalFormatting>
  <conditionalFormatting sqref="AR72:AS72">
    <cfRule type="expression" dxfId="158" priority="96">
      <formula>$AI$67=2</formula>
    </cfRule>
  </conditionalFormatting>
  <conditionalFormatting sqref="AR73:AS73">
    <cfRule type="expression" dxfId="157" priority="99">
      <formula>$AI$67=3</formula>
    </cfRule>
  </conditionalFormatting>
  <conditionalFormatting sqref="AR74:AS74">
    <cfRule type="expression" dxfId="156" priority="102">
      <formula>$AI$67=4</formula>
    </cfRule>
  </conditionalFormatting>
  <conditionalFormatting sqref="AR82:AS82">
    <cfRule type="expression" dxfId="155" priority="74">
      <formula>$AI$78=1</formula>
    </cfRule>
  </conditionalFormatting>
  <conditionalFormatting sqref="AR83:AS83">
    <cfRule type="expression" dxfId="154" priority="75">
      <formula>$AI$78=2</formula>
    </cfRule>
  </conditionalFormatting>
  <conditionalFormatting sqref="AR84:AS84">
    <cfRule type="expression" dxfId="153" priority="73">
      <formula>$AI$78=3</formula>
    </cfRule>
  </conditionalFormatting>
  <conditionalFormatting sqref="AR85:AS85">
    <cfRule type="expression" dxfId="152" priority="72">
      <formula>$AI$78=4</formula>
    </cfRule>
  </conditionalFormatting>
  <conditionalFormatting sqref="AR93:AS93">
    <cfRule type="expression" dxfId="151" priority="60">
      <formula>$AI$89=1</formula>
    </cfRule>
  </conditionalFormatting>
  <conditionalFormatting sqref="AR94:AS94">
    <cfRule type="expression" dxfId="150" priority="63">
      <formula>$AI$89=2</formula>
    </cfRule>
  </conditionalFormatting>
  <conditionalFormatting sqref="AR95:AS95">
    <cfRule type="expression" dxfId="149" priority="66">
      <formula>$AI$89=3</formula>
    </cfRule>
  </conditionalFormatting>
  <conditionalFormatting sqref="AR96:AS96">
    <cfRule type="expression" dxfId="148" priority="69">
      <formula>$AI$89=4</formula>
    </cfRule>
  </conditionalFormatting>
  <conditionalFormatting sqref="AT60:AU60">
    <cfRule type="expression" dxfId="147" priority="25">
      <formula>$AK$56=1</formula>
    </cfRule>
  </conditionalFormatting>
  <conditionalFormatting sqref="AT61:AU61">
    <cfRule type="expression" dxfId="146" priority="29">
      <formula>$AK$56=2</formula>
    </cfRule>
  </conditionalFormatting>
  <conditionalFormatting sqref="AT62:AU62">
    <cfRule type="expression" dxfId="145" priority="33">
      <formula>$AK$56=3</formula>
    </cfRule>
  </conditionalFormatting>
  <conditionalFormatting sqref="AT63:AU63">
    <cfRule type="expression" dxfId="144" priority="37">
      <formula>$AK$56=4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locked="0" defaultSize="0" autoLine="0" autoPict="0">
                <anchor moveWithCells="1">
                  <from>
                    <xdr:col>4</xdr:col>
                    <xdr:colOff>47625</xdr:colOff>
                    <xdr:row>22</xdr:row>
                    <xdr:rowOff>0</xdr:rowOff>
                  </from>
                  <to>
                    <xdr:col>4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Drop Down 2">
              <controlPr defaultSize="0" autoLine="0" autoPict="0">
                <anchor moveWithCells="1">
                  <from>
                    <xdr:col>4</xdr:col>
                    <xdr:colOff>38100</xdr:colOff>
                    <xdr:row>60</xdr:row>
                    <xdr:rowOff>0</xdr:rowOff>
                  </from>
                  <to>
                    <xdr:col>4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Drop Down 3">
              <controlPr locked="0" defaultSize="0" autoLine="0" autoPict="0">
                <anchor moveWithCells="1">
                  <from>
                    <xdr:col>14</xdr:col>
                    <xdr:colOff>95250</xdr:colOff>
                    <xdr:row>22</xdr:row>
                    <xdr:rowOff>0</xdr:rowOff>
                  </from>
                  <to>
                    <xdr:col>14</xdr:col>
                    <xdr:colOff>514350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Drop Down 4">
              <controlPr defaultSize="0" autoLine="0" autoPict="0">
                <anchor moveWithCells="1">
                  <from>
                    <xdr:col>14</xdr:col>
                    <xdr:colOff>85725</xdr:colOff>
                    <xdr:row>60</xdr:row>
                    <xdr:rowOff>0</xdr:rowOff>
                  </from>
                  <to>
                    <xdr:col>14</xdr:col>
                    <xdr:colOff>504825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7" name="Drop Down 5">
              <controlPr defaultSize="0" autoLine="0" autoPict="0">
                <anchor moveWithCells="1">
                  <from>
                    <xdr:col>22</xdr:col>
                    <xdr:colOff>95250</xdr:colOff>
                    <xdr:row>29</xdr:row>
                    <xdr:rowOff>9525</xdr:rowOff>
                  </from>
                  <to>
                    <xdr:col>22</xdr:col>
                    <xdr:colOff>514350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8" name="Drop Down 6">
              <controlPr defaultSize="0" autoLine="0" autoPict="0">
                <anchor moveWithCells="1">
                  <from>
                    <xdr:col>22</xdr:col>
                    <xdr:colOff>104775</xdr:colOff>
                    <xdr:row>46</xdr:row>
                    <xdr:rowOff>0</xdr:rowOff>
                  </from>
                  <to>
                    <xdr:col>22</xdr:col>
                    <xdr:colOff>523875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9" name="Drop Down 7">
              <controlPr locked="0" defaultSize="0" autoLine="0" autoPict="0">
                <anchor moveWithCells="1">
                  <from>
                    <xdr:col>20</xdr:col>
                    <xdr:colOff>47625</xdr:colOff>
                    <xdr:row>22</xdr:row>
                    <xdr:rowOff>0</xdr:rowOff>
                  </from>
                  <to>
                    <xdr:col>20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0" name="Drop Down 8">
              <controlPr defaultSize="0" autoLine="0" autoPict="0">
                <anchor moveWithCells="1">
                  <from>
                    <xdr:col>20</xdr:col>
                    <xdr:colOff>47625</xdr:colOff>
                    <xdr:row>60</xdr:row>
                    <xdr:rowOff>9525</xdr:rowOff>
                  </from>
                  <to>
                    <xdr:col>20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1" name="Drop Down 9">
              <controlPr defaultSize="0" autoLine="0" autoPict="0">
                <anchor moveWithCells="1">
                  <from>
                    <xdr:col>1</xdr:col>
                    <xdr:colOff>76200</xdr:colOff>
                    <xdr:row>37</xdr:row>
                    <xdr:rowOff>0</xdr:rowOff>
                  </from>
                  <to>
                    <xdr:col>1</xdr:col>
                    <xdr:colOff>495300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2" name="Drop Down 10">
              <controlPr defaultSize="0" autoLine="0" autoPict="0">
                <anchor moveWithCells="1">
                  <from>
                    <xdr:col>22</xdr:col>
                    <xdr:colOff>104775</xdr:colOff>
                    <xdr:row>37</xdr:row>
                    <xdr:rowOff>9525</xdr:rowOff>
                  </from>
                  <to>
                    <xdr:col>22</xdr:col>
                    <xdr:colOff>523875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3" name="Drop Down 11">
              <controlPr defaultSize="0" autoLine="0" autoPict="0">
                <anchor moveWithCells="1">
                  <from>
                    <xdr:col>1</xdr:col>
                    <xdr:colOff>76200</xdr:colOff>
                    <xdr:row>54</xdr:row>
                    <xdr:rowOff>0</xdr:rowOff>
                  </from>
                  <to>
                    <xdr:col>1</xdr:col>
                    <xdr:colOff>495300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4" name="Drop Down 12">
              <controlPr defaultSize="0" autoLine="0" autoPict="0">
                <anchor moveWithCells="1">
                  <from>
                    <xdr:col>22</xdr:col>
                    <xdr:colOff>95250</xdr:colOff>
                    <xdr:row>54</xdr:row>
                    <xdr:rowOff>9525</xdr:rowOff>
                  </from>
                  <to>
                    <xdr:col>22</xdr:col>
                    <xdr:colOff>514350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5" name="Drop Down 13">
              <controlPr defaultSize="0" autoLine="0" autoPict="0">
                <anchor moveWithCells="1">
                  <from>
                    <xdr:col>1</xdr:col>
                    <xdr:colOff>76200</xdr:colOff>
                    <xdr:row>46</xdr:row>
                    <xdr:rowOff>0</xdr:rowOff>
                  </from>
                  <to>
                    <xdr:col>1</xdr:col>
                    <xdr:colOff>495300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6" name="Drop Down 14">
              <controlPr defaultSize="0" autoLine="0" autoPict="0">
                <anchor moveWithCells="1">
                  <from>
                    <xdr:col>1</xdr:col>
                    <xdr:colOff>76200</xdr:colOff>
                    <xdr:row>29</xdr:row>
                    <xdr:rowOff>0</xdr:rowOff>
                  </from>
                  <to>
                    <xdr:col>1</xdr:col>
                    <xdr:colOff>495300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7" name="Drop Down 15">
              <controlPr locked="0" defaultSize="0" autoLine="0" autoPict="0">
                <anchor moveWithCells="1">
                  <from>
                    <xdr:col>10</xdr:col>
                    <xdr:colOff>47625</xdr:colOff>
                    <xdr:row>22</xdr:row>
                    <xdr:rowOff>0</xdr:rowOff>
                  </from>
                  <to>
                    <xdr:col>10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8" name="Drop Down 16">
              <controlPr defaultSize="0" autoLine="0" autoPict="0">
                <anchor moveWithCells="1">
                  <from>
                    <xdr:col>10</xdr:col>
                    <xdr:colOff>38100</xdr:colOff>
                    <xdr:row>60</xdr:row>
                    <xdr:rowOff>0</xdr:rowOff>
                  </from>
                  <to>
                    <xdr:col>10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9" name="Drop Down 17">
              <controlPr locked="0" defaultSize="0" autoLine="0" autoPict="0">
                <anchor moveWithCells="1">
                  <from>
                    <xdr:col>4</xdr:col>
                    <xdr:colOff>47625</xdr:colOff>
                    <xdr:row>22</xdr:row>
                    <xdr:rowOff>0</xdr:rowOff>
                  </from>
                  <to>
                    <xdr:col>4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0" name="Drop Down 18">
              <controlPr defaultSize="0" autoLine="0" autoPict="0">
                <anchor moveWithCells="1">
                  <from>
                    <xdr:col>4</xdr:col>
                    <xdr:colOff>38100</xdr:colOff>
                    <xdr:row>60</xdr:row>
                    <xdr:rowOff>0</xdr:rowOff>
                  </from>
                  <to>
                    <xdr:col>4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1" name="Drop Down 19">
              <controlPr locked="0" defaultSize="0" autoLine="0" autoPict="0">
                <anchor moveWithCells="1">
                  <from>
                    <xdr:col>14</xdr:col>
                    <xdr:colOff>95250</xdr:colOff>
                    <xdr:row>22</xdr:row>
                    <xdr:rowOff>0</xdr:rowOff>
                  </from>
                  <to>
                    <xdr:col>14</xdr:col>
                    <xdr:colOff>514350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2" name="Drop Down 20">
              <controlPr defaultSize="0" autoLine="0" autoPict="0">
                <anchor moveWithCells="1">
                  <from>
                    <xdr:col>14</xdr:col>
                    <xdr:colOff>85725</xdr:colOff>
                    <xdr:row>60</xdr:row>
                    <xdr:rowOff>0</xdr:rowOff>
                  </from>
                  <to>
                    <xdr:col>14</xdr:col>
                    <xdr:colOff>504825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3" name="Drop Down 21">
              <controlPr defaultSize="0" autoLine="0" autoPict="0">
                <anchor moveWithCells="1">
                  <from>
                    <xdr:col>22</xdr:col>
                    <xdr:colOff>95250</xdr:colOff>
                    <xdr:row>29</xdr:row>
                    <xdr:rowOff>9525</xdr:rowOff>
                  </from>
                  <to>
                    <xdr:col>22</xdr:col>
                    <xdr:colOff>514350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4" name="Drop Down 22">
              <controlPr defaultSize="0" autoLine="0" autoPict="0">
                <anchor moveWithCells="1">
                  <from>
                    <xdr:col>22</xdr:col>
                    <xdr:colOff>104775</xdr:colOff>
                    <xdr:row>46</xdr:row>
                    <xdr:rowOff>0</xdr:rowOff>
                  </from>
                  <to>
                    <xdr:col>22</xdr:col>
                    <xdr:colOff>523875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5" name="Drop Down 23">
              <controlPr locked="0" defaultSize="0" autoLine="0" autoPict="0">
                <anchor moveWithCells="1">
                  <from>
                    <xdr:col>20</xdr:col>
                    <xdr:colOff>47625</xdr:colOff>
                    <xdr:row>22</xdr:row>
                    <xdr:rowOff>0</xdr:rowOff>
                  </from>
                  <to>
                    <xdr:col>20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6" name="Drop Down 24">
              <controlPr defaultSize="0" autoLine="0" autoPict="0">
                <anchor moveWithCells="1">
                  <from>
                    <xdr:col>20</xdr:col>
                    <xdr:colOff>47625</xdr:colOff>
                    <xdr:row>60</xdr:row>
                    <xdr:rowOff>9525</xdr:rowOff>
                  </from>
                  <to>
                    <xdr:col>20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7" name="Drop Down 25">
              <controlPr defaultSize="0" autoLine="0" autoPict="0">
                <anchor moveWithCells="1">
                  <from>
                    <xdr:col>1</xdr:col>
                    <xdr:colOff>76200</xdr:colOff>
                    <xdr:row>37</xdr:row>
                    <xdr:rowOff>0</xdr:rowOff>
                  </from>
                  <to>
                    <xdr:col>1</xdr:col>
                    <xdr:colOff>495300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8" name="Drop Down 26">
              <controlPr defaultSize="0" autoLine="0" autoPict="0">
                <anchor moveWithCells="1">
                  <from>
                    <xdr:col>22</xdr:col>
                    <xdr:colOff>104775</xdr:colOff>
                    <xdr:row>37</xdr:row>
                    <xdr:rowOff>9525</xdr:rowOff>
                  </from>
                  <to>
                    <xdr:col>22</xdr:col>
                    <xdr:colOff>523875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29" name="Drop Down 27">
              <controlPr defaultSize="0" autoLine="0" autoPict="0">
                <anchor moveWithCells="1">
                  <from>
                    <xdr:col>1</xdr:col>
                    <xdr:colOff>76200</xdr:colOff>
                    <xdr:row>54</xdr:row>
                    <xdr:rowOff>0</xdr:rowOff>
                  </from>
                  <to>
                    <xdr:col>1</xdr:col>
                    <xdr:colOff>495300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0" name="Drop Down 28">
              <controlPr defaultSize="0" autoLine="0" autoPict="0">
                <anchor moveWithCells="1">
                  <from>
                    <xdr:col>22</xdr:col>
                    <xdr:colOff>95250</xdr:colOff>
                    <xdr:row>54</xdr:row>
                    <xdr:rowOff>9525</xdr:rowOff>
                  </from>
                  <to>
                    <xdr:col>22</xdr:col>
                    <xdr:colOff>514350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1" name="Drop Down 29">
              <controlPr defaultSize="0" autoLine="0" autoPict="0">
                <anchor moveWithCells="1">
                  <from>
                    <xdr:col>1</xdr:col>
                    <xdr:colOff>76200</xdr:colOff>
                    <xdr:row>46</xdr:row>
                    <xdr:rowOff>0</xdr:rowOff>
                  </from>
                  <to>
                    <xdr:col>1</xdr:col>
                    <xdr:colOff>495300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2" name="Drop Down 30">
              <controlPr defaultSize="0" autoLine="0" autoPict="0">
                <anchor moveWithCells="1">
                  <from>
                    <xdr:col>1</xdr:col>
                    <xdr:colOff>76200</xdr:colOff>
                    <xdr:row>29</xdr:row>
                    <xdr:rowOff>0</xdr:rowOff>
                  </from>
                  <to>
                    <xdr:col>1</xdr:col>
                    <xdr:colOff>495300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3" name="Drop Down 31">
              <controlPr locked="0" defaultSize="0" autoLine="0" autoPict="0">
                <anchor moveWithCells="1">
                  <from>
                    <xdr:col>10</xdr:col>
                    <xdr:colOff>47625</xdr:colOff>
                    <xdr:row>22</xdr:row>
                    <xdr:rowOff>0</xdr:rowOff>
                  </from>
                  <to>
                    <xdr:col>10</xdr:col>
                    <xdr:colOff>466725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4" name="Drop Down 32">
              <controlPr defaultSize="0" autoLine="0" autoPict="0">
                <anchor moveWithCells="1">
                  <from>
                    <xdr:col>10</xdr:col>
                    <xdr:colOff>38100</xdr:colOff>
                    <xdr:row>60</xdr:row>
                    <xdr:rowOff>0</xdr:rowOff>
                  </from>
                  <to>
                    <xdr:col>10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CB173"/>
  <sheetViews>
    <sheetView zoomScaleNormal="100" workbookViewId="0">
      <selection activeCell="C2" sqref="C2:F2"/>
    </sheetView>
  </sheetViews>
  <sheetFormatPr defaultRowHeight="15" x14ac:dyDescent="0.25"/>
  <cols>
    <col min="1" max="1" width="8.28515625" customWidth="1"/>
    <col min="2" max="2" width="8.5703125" customWidth="1"/>
    <col min="3" max="3" width="6.140625" customWidth="1"/>
    <col min="4" max="4" width="8.5703125" customWidth="1"/>
    <col min="5" max="5" width="8" customWidth="1"/>
    <col min="6" max="6" width="7.7109375" customWidth="1"/>
    <col min="7" max="7" width="10" customWidth="1"/>
    <col min="8" max="8" width="8.42578125" customWidth="1"/>
    <col min="9" max="12" width="10.7109375" customWidth="1"/>
    <col min="13" max="16" width="8.7109375" customWidth="1"/>
    <col min="17" max="17" width="9.7109375" customWidth="1"/>
    <col min="18" max="18" width="8.140625" customWidth="1"/>
    <col min="19" max="19" width="9.7109375" customWidth="1"/>
    <col min="20" max="20" width="8.85546875" customWidth="1"/>
    <col min="21" max="21" width="7.7109375" customWidth="1"/>
    <col min="22" max="22" width="8.42578125" customWidth="1"/>
    <col min="23" max="23" width="9.5703125" customWidth="1"/>
    <col min="24" max="24" width="6.7109375" customWidth="1"/>
    <col min="25" max="26" width="9.7109375" style="5" customWidth="1"/>
    <col min="27" max="28" width="9.7109375" style="19" customWidth="1"/>
    <col min="29" max="46" width="7.7109375" style="19" customWidth="1"/>
    <col min="47" max="47" width="11.42578125" style="19" customWidth="1"/>
    <col min="48" max="48" width="9.85546875" style="19" customWidth="1"/>
    <col min="49" max="77" width="9.140625" style="19" customWidth="1"/>
  </cols>
  <sheetData>
    <row r="1" spans="2:79" ht="8.25" customHeight="1" x14ac:dyDescent="0.25"/>
    <row r="2" spans="2:79" ht="15.75" customHeight="1" thickBot="1" x14ac:dyDescent="0.3">
      <c r="B2" s="26" t="s">
        <v>0</v>
      </c>
      <c r="C2" s="966">
        <f>'SHL Section'!C2:G2</f>
        <v>0</v>
      </c>
      <c r="D2" s="832"/>
      <c r="E2" s="832"/>
      <c r="F2" s="832"/>
      <c r="G2" s="51"/>
      <c r="AA2" s="5"/>
      <c r="AB2" s="5"/>
      <c r="BZ2" s="19"/>
      <c r="CA2" s="19"/>
    </row>
    <row r="3" spans="2:79" ht="29.25" customHeight="1" thickBot="1" x14ac:dyDescent="0.3">
      <c r="B3" s="26" t="s">
        <v>5</v>
      </c>
      <c r="C3" s="968">
        <f>'SHL Section'!C3:G3</f>
        <v>0</v>
      </c>
      <c r="D3" s="832"/>
      <c r="E3" s="832"/>
      <c r="F3" s="832"/>
      <c r="G3" s="183"/>
      <c r="K3" s="971" t="s">
        <v>388</v>
      </c>
      <c r="L3" s="851"/>
      <c r="M3" s="973" t="s">
        <v>389</v>
      </c>
      <c r="N3" s="847"/>
      <c r="O3" s="847"/>
      <c r="P3" s="848"/>
    </row>
    <row r="4" spans="2:79" ht="30" customHeight="1" thickBot="1" x14ac:dyDescent="0.3">
      <c r="B4" s="26"/>
      <c r="C4" s="181"/>
      <c r="D4" s="181"/>
      <c r="E4" s="181"/>
      <c r="F4" s="181"/>
      <c r="G4" s="181"/>
      <c r="H4" s="240"/>
      <c r="I4" s="754" t="s">
        <v>390</v>
      </c>
      <c r="J4" s="755" t="s">
        <v>391</v>
      </c>
      <c r="K4" s="751" t="s">
        <v>392</v>
      </c>
      <c r="L4" s="751" t="s">
        <v>393</v>
      </c>
      <c r="M4" s="933" t="s">
        <v>6</v>
      </c>
      <c r="N4" s="859"/>
      <c r="O4" s="845" t="s">
        <v>7</v>
      </c>
      <c r="P4" s="863"/>
    </row>
    <row r="5" spans="2:79" ht="18.75" customHeight="1" thickBot="1" x14ac:dyDescent="0.3">
      <c r="H5" s="184" t="s">
        <v>394</v>
      </c>
      <c r="I5" s="242">
        <f>'SHL Section'!$X$7</f>
        <v>0</v>
      </c>
      <c r="J5" s="242">
        <f>'SHL Section'!$Y$7</f>
        <v>0</v>
      </c>
      <c r="K5" s="243">
        <f>'Lat-Long &amp; Grid Calc SHL'!$K$5</f>
        <v>19299142.333762784</v>
      </c>
      <c r="L5" s="243">
        <f>'Lat-Long &amp; Grid Calc SHL'!$L$5</f>
        <v>40103653.522858381</v>
      </c>
      <c r="M5" s="185">
        <f>'SHL Section'!$I$7</f>
        <v>0</v>
      </c>
      <c r="N5" s="745" t="str">
        <f>IF('SHL Section'!J7=1,"FNL","FSL")</f>
        <v>FSL</v>
      </c>
      <c r="O5" s="186">
        <f>'SHL Section'!$K$7</f>
        <v>0</v>
      </c>
      <c r="P5" s="187" t="str">
        <f>IF('SHL Section'!L7=1,"FEL","FWL")</f>
        <v>FWL</v>
      </c>
      <c r="Y5" s="919" t="s">
        <v>395</v>
      </c>
      <c r="Z5" s="847"/>
      <c r="AA5" s="847"/>
      <c r="AB5" s="848"/>
    </row>
    <row r="6" spans="2:79" ht="26.25" customHeight="1" x14ac:dyDescent="0.25">
      <c r="C6" s="57"/>
      <c r="D6" s="58"/>
      <c r="E6" s="931" t="s">
        <v>219</v>
      </c>
      <c r="F6" s="847"/>
      <c r="G6" s="847"/>
      <c r="H6" s="851"/>
      <c r="I6" s="931" t="s">
        <v>396</v>
      </c>
      <c r="J6" s="851"/>
      <c r="K6" s="931" t="s">
        <v>388</v>
      </c>
      <c r="L6" s="851"/>
      <c r="M6" s="931" t="s">
        <v>397</v>
      </c>
      <c r="N6" s="847"/>
      <c r="O6" s="847"/>
      <c r="P6" s="851"/>
      <c r="Q6" s="167"/>
      <c r="R6" s="35"/>
      <c r="S6" s="35"/>
      <c r="T6" s="35"/>
      <c r="U6" s="35"/>
      <c r="V6" s="35"/>
      <c r="W6" s="170"/>
      <c r="X6" s="19"/>
      <c r="Y6" s="747" t="s">
        <v>113</v>
      </c>
      <c r="Z6" s="748"/>
      <c r="AA6" s="748" t="s">
        <v>114</v>
      </c>
      <c r="AB6" s="749"/>
    </row>
    <row r="7" spans="2:79" ht="30" customHeight="1" x14ac:dyDescent="0.25">
      <c r="C7" s="950"/>
      <c r="D7" s="951"/>
      <c r="E7" s="933" t="s">
        <v>113</v>
      </c>
      <c r="F7" s="859"/>
      <c r="G7" s="910" t="s">
        <v>114</v>
      </c>
      <c r="H7" s="911"/>
      <c r="I7" s="751" t="s">
        <v>390</v>
      </c>
      <c r="J7" s="241" t="s">
        <v>391</v>
      </c>
      <c r="K7" s="751" t="s">
        <v>392</v>
      </c>
      <c r="L7" s="751" t="s">
        <v>393</v>
      </c>
      <c r="M7" s="933" t="s">
        <v>6</v>
      </c>
      <c r="N7" s="859"/>
      <c r="O7" s="910" t="s">
        <v>7</v>
      </c>
      <c r="P7" s="911"/>
      <c r="Q7" s="740" t="s">
        <v>226</v>
      </c>
      <c r="R7" s="740" t="s">
        <v>72</v>
      </c>
      <c r="S7" s="740" t="s">
        <v>73</v>
      </c>
      <c r="T7" s="740" t="s">
        <v>227</v>
      </c>
      <c r="U7" s="740" t="s">
        <v>74</v>
      </c>
      <c r="V7" s="740" t="s">
        <v>228</v>
      </c>
      <c r="W7" s="61" t="s">
        <v>229</v>
      </c>
      <c r="X7" s="19"/>
      <c r="Y7" s="137" t="s">
        <v>398</v>
      </c>
      <c r="Z7" s="821">
        <f>IF('SHL Section'!$AR$7=1,$M$15,0)</f>
        <v>71.424513434487508</v>
      </c>
      <c r="AA7" s="71"/>
      <c r="AB7" s="132"/>
    </row>
    <row r="8" spans="2:79" ht="15" customHeight="1" x14ac:dyDescent="0.25">
      <c r="C8" s="952" t="s">
        <v>234</v>
      </c>
      <c r="D8" s="953"/>
      <c r="E8" s="70"/>
      <c r="F8" s="62"/>
      <c r="G8" s="71"/>
      <c r="H8" s="62"/>
      <c r="I8" s="244" t="str">
        <f>IF($L$39=$R$8,'Lat-Long &amp; Grid Calc SHL'!$I$8,"")</f>
        <v/>
      </c>
      <c r="J8" s="244" t="str">
        <f>IF($L$39=$R$8,'Lat-Long &amp; Grid Calc SHL'!$J$8,"")</f>
        <v/>
      </c>
      <c r="K8" s="70" t="str">
        <f>IF($L$39=$R$8,'Lat-Long &amp; Grid Calc SHL'!$K$8,"")</f>
        <v/>
      </c>
      <c r="L8" s="70" t="str">
        <f>IF($L$39=$R$8,'Lat-Long &amp; Grid Calc SHL'!$L$8,"")</f>
        <v/>
      </c>
      <c r="M8" s="188" t="str">
        <f>IF($L$39=$R$8,IF(ISNUMBER($AE$64),$AE$64,IF(ISNUMBER($AG$64),$AG$64,IF(ISNUMBER($AI$64),$AI$64,IF(ISNUMBER($AK$64),$AK$64,"")))),"")</f>
        <v/>
      </c>
      <c r="N8" s="189" t="str">
        <f>IF($L$39=$R$8,IF(ISNUMBER($AE$64),$AE$70,IF(ISNUMBER($AG$64),$AG$70,IF(ISNUMBER($AI$64),$AI$70,IF(ISNUMBER($AK$64),$AK$70,"")))),"")</f>
        <v/>
      </c>
      <c r="O8" s="190" t="str">
        <f>IF($L$39=$R$8,IF(ISNUMBER($AF$64),$AF$64,IF(ISNUMBER($AH$64),$AH$64,IF(ISNUMBER($AJ$64),$AJ$64,IF(ISNUMBER($AL$64),$AL$64,"")))),"")</f>
        <v/>
      </c>
      <c r="P8" s="191" t="str">
        <f>IF($L$39=$R$8,IF(ISNUMBER($AF$64),$AF$70,IF(ISNUMBER($AH$64),$AH$70,IF(ISNUMBER($AJ$64),$AJ$70,IF(ISNUMBER($AL$64),$AL$70,"")))),"")</f>
        <v/>
      </c>
      <c r="Q8" s="97" t="str">
        <f>'SHL Section'!$M$7</f>
        <v/>
      </c>
      <c r="R8" s="97">
        <f>'SHL Section'!$N$7</f>
        <v>0</v>
      </c>
      <c r="S8" s="62">
        <f>'SHL Section'!$O$7</f>
        <v>0</v>
      </c>
      <c r="T8" s="62" t="str">
        <f>IF('SHL Section'!$P$7=1,"N","S")</f>
        <v>S</v>
      </c>
      <c r="U8" s="62">
        <f>'SHL Section'!$Q$7</f>
        <v>0</v>
      </c>
      <c r="V8" s="62" t="str">
        <f>IF('SHL Section'!$R$7=1,"E","W")</f>
        <v>W</v>
      </c>
      <c r="W8" s="132" t="str">
        <f>IF('SHL Section'!$S$7=1,"Salt Lake","Uintah")</f>
        <v>Uintah</v>
      </c>
      <c r="Y8" s="133"/>
      <c r="Z8" s="63"/>
      <c r="AA8" s="64"/>
      <c r="AB8" s="123"/>
    </row>
    <row r="9" spans="2:79" ht="15" customHeight="1" x14ac:dyDescent="0.25">
      <c r="C9" s="946" t="str">
        <f>'Lat-Long &amp; Grid Calc SHL'!C9</f>
        <v>Prod. Interval Top</v>
      </c>
      <c r="D9" s="947"/>
      <c r="E9" s="72">
        <f>'SHL Section'!$E$8</f>
        <v>0</v>
      </c>
      <c r="F9" s="63" t="str">
        <f>IF('SHL Section'!$AK$8=1,"N","S")</f>
        <v>S</v>
      </c>
      <c r="G9" s="64">
        <f>'SHL Section'!$G$8</f>
        <v>0</v>
      </c>
      <c r="H9" s="63" t="str">
        <f>IF('SHL Section'!$AM$8=1,"E","W")</f>
        <v>W</v>
      </c>
      <c r="I9" s="245" t="e">
        <f>IF($L$39=$R$9,'Lat-Long &amp; Grid Calc SHL'!$I$9,"")</f>
        <v>#VALUE!</v>
      </c>
      <c r="J9" s="245" t="e">
        <f>IF($L$39=$R$9,'Lat-Long &amp; Grid Calc SHL'!$J$9,"")</f>
        <v>#VALUE!</v>
      </c>
      <c r="K9" s="72" t="e">
        <f>IF($L$39=$R$9,'Lat-Long &amp; Grid Calc SHL'!$K$9,"")</f>
        <v>#VALUE!</v>
      </c>
      <c r="L9" s="72" t="e">
        <f>IF($L$39=$R$9,'Lat-Long &amp; Grid Calc SHL'!$L$9,"")</f>
        <v>#VALUE!</v>
      </c>
      <c r="M9" s="192" t="e">
        <f>IF($L$39=$R$9,IF(ISNUMBER($AE$75),$AE$75,IF(ISNUMBER($AG$75),$AG$75,IF(ISNUMBER($AI$75),$AI$75,IF(ISNUMBER($AK$75),$AK$75,"")))),"")</f>
        <v>#VALUE!</v>
      </c>
      <c r="N9" s="193" t="e">
        <f>IF($L$39=$R$9,IF(ISNUMBER($AE$75),$AE$70,IF(ISNUMBER($AG$75),$AG$70,IF(ISNUMBER($AI$75),$AI$70,IF(ISNUMBER($AK$75),$AK$70,"")))),"")</f>
        <v>#VALUE!</v>
      </c>
      <c r="O9" s="194" t="e">
        <f>IF($L$39=$R$9,IF(ISNUMBER($AF$75),$AF$75,IF(ISNUMBER($AH$75),$AH$75,IF(ISNUMBER($AJ$75),$AJ$75,IF(ISNUMBER($AL$75),$AL$75,"")))),"")</f>
        <v>#VALUE!</v>
      </c>
      <c r="P9" s="195" t="e">
        <f>IF($L$39=$R$9,IF(ISNUMBER($AF$75),$AF$70,IF(ISNUMBER($AH$75),$AH$70,IF(ISNUMBER($AJ$75),$AJ$70,IF(ISNUMBER($AL$75),$AL$70,"")))),"")</f>
        <v>#VALUE!</v>
      </c>
      <c r="Q9" s="63" t="e">
        <f>IF(AND($L$39=$R$9,ISNUMBER($I$9),ISNUMBER($J$9)),VLOOKUP(MAX($AE$67:$AL$67),$AV$57:$AZ$60,IF(ISNUMBER($AE$67),$AE$53,IF(ISNUMBER($AG$67),$AG$53,IF(ISNUMBER($AI$67),$AI$53,$AK$53)))+1,FALSE),"")</f>
        <v>#VALUE!</v>
      </c>
      <c r="R9" s="63" t="e">
        <f>'SHL Section'!$N$8</f>
        <v>#VALUE!</v>
      </c>
      <c r="S9" s="63">
        <f>'SHL Section'!$O$8</f>
        <v>0</v>
      </c>
      <c r="T9" s="63" t="str">
        <f>'SHL Section'!$P$8</f>
        <v>S</v>
      </c>
      <c r="U9" s="63">
        <f>'SHL Section'!$Q$8</f>
        <v>0</v>
      </c>
      <c r="V9" s="63" t="str">
        <f>'SHL Section'!$R$8</f>
        <v>W</v>
      </c>
      <c r="W9" s="123" t="str">
        <f>'SHL Section'!$S$8</f>
        <v>Uintah</v>
      </c>
      <c r="Y9" s="133" t="str">
        <f>IF(ISNUMBER($K$9),IF('SHL Section'!$AR$7=1,(($K$5-$K$9)*COS(RADIANS($Z$7))-($L$5-$L$9)*SIN(RADIANS($Z$7)))+'SHL Section'!$AJ$8,($K$5-$K$9+'SHL Section'!$AJ$8)*COS(RADIANS($Z$7))-($L$5-$L$9+'SHL Section'!$AL$8)*SIN(RADIANS($Z$7))),"")</f>
        <v/>
      </c>
      <c r="Z9" s="63">
        <f>'SHL Section'!$AK$8</f>
        <v>2</v>
      </c>
      <c r="AA9" s="64" t="str">
        <f>IF(ISNUMBER($L$9),IF('SHL Section'!$AR$7=1,($L$5-$L$9)*COS(RADIANS($Z$7))+($K$5-$K$9)*SIN(RADIANS($Z$7))+'SHL Section'!$AL$8,($L$5-$L$9+'SHL Section'!$AL$8)*COS(RADIANS($Z$7))+($K$5-$K$9+'SHL Section'!$AJ$8)*SIN(RADIANS($Z$7))),"")</f>
        <v/>
      </c>
      <c r="AB9" s="123">
        <f>'SHL Section'!$AM$8</f>
        <v>2</v>
      </c>
    </row>
    <row r="10" spans="2:79" ht="15" customHeight="1" x14ac:dyDescent="0.25">
      <c r="C10" s="946" t="str">
        <f>'Lat-Long &amp; Grid Calc SHL'!C10</f>
        <v>Prod. Interval Bot.</v>
      </c>
      <c r="D10" s="947"/>
      <c r="E10" s="72">
        <f>'SHL Section'!$E$9</f>
        <v>0</v>
      </c>
      <c r="F10" s="63" t="str">
        <f>IF('SHL Section'!$AK$9=1,"N","S")</f>
        <v>S</v>
      </c>
      <c r="G10" s="64">
        <f>'SHL Section'!$G$9</f>
        <v>0</v>
      </c>
      <c r="H10" s="63" t="str">
        <f>IF('SHL Section'!$AM$9=1,"E","W")</f>
        <v>W</v>
      </c>
      <c r="I10" s="245" t="e">
        <f>IF($L$39=$R$10,'Lat-Long &amp; Grid Calc SHL'!$I$10,"")</f>
        <v>#VALUE!</v>
      </c>
      <c r="J10" s="245" t="e">
        <f>IF($L$39=$R$10,'Lat-Long &amp; Grid Calc SHL'!$J$10,"")</f>
        <v>#VALUE!</v>
      </c>
      <c r="K10" s="72" t="e">
        <f>IF($L$39=$R$10,'Lat-Long &amp; Grid Calc SHL'!$K$10,"")</f>
        <v>#VALUE!</v>
      </c>
      <c r="L10" s="72" t="e">
        <f>IF($L$39=$R$10,'Lat-Long &amp; Grid Calc SHL'!$L$10,"")</f>
        <v>#VALUE!</v>
      </c>
      <c r="M10" s="196" t="e">
        <f>IF($L$39=$R$10,IF(ISNUMBER($AE$86),$AE$86,IF(ISNUMBER($AG$86),$AG$86,IF(ISNUMBER($AI$86),$AI$86,IF(ISNUMBER($AK$86),$AK$86,"")))),"")</f>
        <v>#VALUE!</v>
      </c>
      <c r="N10" s="193" t="e">
        <f>IF($L$39=$R$10,IF(ISNUMBER($AE$86),$AE$81,IF(ISNUMBER($AG$86),$AG$81,IF(ISNUMBER($AI$86),$AI$81,IF(ISNUMBER($AK$86),$AK$81,"")))),"")</f>
        <v>#VALUE!</v>
      </c>
      <c r="O10" s="197" t="e">
        <f>IF($L$39=$R$10,IF(ISNUMBER($AF$86),$AF$86,IF(ISNUMBER($AH$86),$AH$86,IF(ISNUMBER($AJ$86),$AJ$86,IF(ISNUMBER($AL$86),$AL$86,"")))),"")</f>
        <v>#VALUE!</v>
      </c>
      <c r="P10" s="195" t="e">
        <f>IF($L$39=$R$10,IF(ISNUMBER($AF$86),$AF$81,IF(ISNUMBER($AH$86),$AH$81,IF(ISNUMBER($AJ$86),$AJ$81,IF(ISNUMBER($AL$86),$AL$81,"")))),"")</f>
        <v>#VALUE!</v>
      </c>
      <c r="Q10" s="63" t="e">
        <f>IF(AND($L$39=$R$10,ISNUMBER($I$10),ISNUMBER($J$10)),VLOOKUP(MAX($AE$78:$AL$78),$AV$57:$AZ$60,IF(ISNUMBER($AE$78),$AE$53,IF(ISNUMBER($AG$78),$AG$53,IF(ISNUMBER($AI$78),$AI$53,$AK$53)))+1,FALSE),"")</f>
        <v>#VALUE!</v>
      </c>
      <c r="R10" s="63" t="e">
        <f>'SHL Section'!$N$9</f>
        <v>#VALUE!</v>
      </c>
      <c r="S10" s="63">
        <f>'SHL Section'!$O$9</f>
        <v>0</v>
      </c>
      <c r="T10" s="63" t="str">
        <f>'SHL Section'!$P$9</f>
        <v>S</v>
      </c>
      <c r="U10" s="63">
        <f>'SHL Section'!$Q$9</f>
        <v>0</v>
      </c>
      <c r="V10" s="63" t="str">
        <f>'SHL Section'!$R$9</f>
        <v>W</v>
      </c>
      <c r="W10" s="123" t="str">
        <f>'SHL Section'!$S$9</f>
        <v>Uintah</v>
      </c>
      <c r="Y10" s="133" t="str">
        <f>IF(ISNUMBER($K$10),IF('SHL Section'!$AR$7=1,(($K$5-$K$10)*COS(RADIANS($Z$7))-($L$5-$L$10)*SIN(RADIANS($Z$7)))+'SHL Section'!$AJ$9,($K$5-$K$10+'SHL Section'!$AJ$9)*COS(RADIANS($Z$7))-($L$5-$L$10+'SHL Section'!$AL$9)*SIN(RADIANS($Z$7))),"")</f>
        <v/>
      </c>
      <c r="Z10" s="63">
        <f>'SHL Section'!$AK$9</f>
        <v>2</v>
      </c>
      <c r="AA10" s="64" t="str">
        <f>IF(ISNUMBER($L$10),IF('SHL Section'!$AR$7=1,($L$5-$L$10)*COS(RADIANS($Z$7))+($K$5-$K$10)*SIN(RADIANS($Z$7))+'SHL Section'!$AL$9,($L$5-$L$10+'SHL Section'!$AL$9)*COS(RADIANS($Z$7))+($K$5-$K$10+'SHL Section'!$AJ$9)*SIN(RADIANS($Z$7))),"")</f>
        <v/>
      </c>
      <c r="AB10" s="123">
        <f>'SHL Section'!$AM$9</f>
        <v>2</v>
      </c>
    </row>
    <row r="11" spans="2:79" ht="15" customHeight="1" thickBot="1" x14ac:dyDescent="0.3">
      <c r="C11" s="940" t="s">
        <v>241</v>
      </c>
      <c r="D11" s="941"/>
      <c r="E11" s="73">
        <f>'SHL Section'!$E$10</f>
        <v>0</v>
      </c>
      <c r="F11" s="66" t="str">
        <f>IF('SHL Section'!$AK$10=1,"N","S")</f>
        <v>S</v>
      </c>
      <c r="G11" s="67">
        <f>'SHL Section'!$G$10</f>
        <v>0</v>
      </c>
      <c r="H11" s="66" t="str">
        <f>IF('SHL Section'!$AM$10=1,"E","W")</f>
        <v>W</v>
      </c>
      <c r="I11" s="246" t="e">
        <f>IF($L$39=$R$11,'Lat-Long &amp; Grid Calc SHL'!$I$11,"")</f>
        <v>#VALUE!</v>
      </c>
      <c r="J11" s="246" t="e">
        <f>IF($L$39=$R$11,'Lat-Long &amp; Grid Calc SHL'!$J$11,"")</f>
        <v>#VALUE!</v>
      </c>
      <c r="K11" s="73" t="e">
        <f>IF($L$39=$R$11,'Lat-Long &amp; Grid Calc SHL'!$K$11,"")</f>
        <v>#VALUE!</v>
      </c>
      <c r="L11" s="73" t="e">
        <f>IF($L$39=$R$11,'Lat-Long &amp; Grid Calc SHL'!$L$11,"")</f>
        <v>#VALUE!</v>
      </c>
      <c r="M11" s="198" t="e">
        <f>IF($L$39=$R$11,IF(ISNUMBER($AE$97),$AE$97,IF(ISNUMBER($AG$97),$AG$97,IF(ISNUMBER($AI$97),$AI$97,IF(ISNUMBER($AK$97),$AK$97,"")))),"")</f>
        <v>#VALUE!</v>
      </c>
      <c r="N11" s="199" t="e">
        <f>IF($L$39=$R$11,IF(ISNUMBER($AE$97),$AE$92,IF(ISNUMBER($AG$97),$AG$92,IF(ISNUMBER($AI$97),$AI$92,IF(ISNUMBER($AK$97),$AK$92,"")))),"")</f>
        <v>#VALUE!</v>
      </c>
      <c r="O11" s="200" t="e">
        <f>IF($L$39=$R$11,IF(ISNUMBER($AF$97),$AF$97,IF(ISNUMBER($AH$97),$AH$97,IF(ISNUMBER($AJ$97),$AJ$97,IF(ISNUMBER($AL$97),$AL$97,"")))),"")</f>
        <v>#VALUE!</v>
      </c>
      <c r="P11" s="201" t="e">
        <f>IF($L$39=$R$11,IF(ISNUMBER($AF$97),$AF$92,IF(ISNUMBER($AH$97),$AH$92,IF(ISNUMBER($AJ$97),$AJ$92,IF(ISNUMBER($AL$97),$AL$92,"")))),"")</f>
        <v>#VALUE!</v>
      </c>
      <c r="Q11" s="66" t="e">
        <f>IF(AND($L$39=$R$11,ISNUMBER($I$11),ISNUMBER($J$11)),VLOOKUP(MAX($AE$89:$AL$89),$AV$57:$AZ$60,IF(ISNUMBER($AE$89),$AE$53,IF(ISNUMBER($AG$89),$AG$53,IF(ISNUMBER($AI$89),$AI$53,$AK$53)))+1,FALSE),"")</f>
        <v>#VALUE!</v>
      </c>
      <c r="R11" s="66" t="e">
        <f>'SHL Section'!$N$10</f>
        <v>#VALUE!</v>
      </c>
      <c r="S11" s="66">
        <f>'SHL Section'!$O$10</f>
        <v>0</v>
      </c>
      <c r="T11" s="66" t="str">
        <f>'SHL Section'!$P$10</f>
        <v>S</v>
      </c>
      <c r="U11" s="66">
        <f>'SHL Section'!$Q$10</f>
        <v>0</v>
      </c>
      <c r="V11" s="66" t="str">
        <f>'SHL Section'!$R$10</f>
        <v>W</v>
      </c>
      <c r="W11" s="124" t="str">
        <f>'SHL Section'!$S$10</f>
        <v>Uintah</v>
      </c>
      <c r="Y11" s="135" t="str">
        <f>IF(ISNUMBER($K$11),IF('SHL Section'!$AR$7=1,(($K$5-$K$11)*COS(RADIANS($Z$7))-($L$5-$L$11)*SIN(RADIANS($Z$7)))+'SHL Section'!$AJ$10,($K$5-$K$11+'SHL Section'!$AJ$10)*COS(RADIANS($Z$7))-($L$5-$L$11+'SHL Section'!$AL$10)*SIN(RADIANS($Z$7))),"")</f>
        <v/>
      </c>
      <c r="Z11" s="66">
        <f>'SHL Section'!$AK$10</f>
        <v>2</v>
      </c>
      <c r="AA11" s="67" t="str">
        <f>IF(ISNUMBER($L$11),IF('SHL Section'!$AR$7=1,($L$5-$L$11)*COS(RADIANS($Z$7))+($K$5-$K$11)*SIN(RADIANS($Z$7))+'SHL Section'!$AL$10,($L$5-$L$11+'SHL Section'!$AL$10)*COS(RADIANS($Z$7))+($K$5-$K$11+'SHL Section'!$AJ$10)*SIN(RADIANS($Z$7))),"")</f>
        <v/>
      </c>
      <c r="AB11" s="124">
        <f>'SHL Section'!$AM$10</f>
        <v>2</v>
      </c>
    </row>
    <row r="12" spans="2:79" x14ac:dyDescent="0.25">
      <c r="G12" s="51"/>
      <c r="H12" s="54"/>
      <c r="I12" s="54"/>
      <c r="J12" s="54"/>
      <c r="K12" s="54"/>
      <c r="L12" s="54"/>
      <c r="M12" s="54"/>
      <c r="N12" s="54"/>
      <c r="O12" s="54"/>
      <c r="P12" s="19"/>
      <c r="Q12" s="19"/>
      <c r="R12" s="19"/>
      <c r="S12" s="54"/>
    </row>
    <row r="13" spans="2:79" x14ac:dyDescent="0.25">
      <c r="B13" s="69" t="s">
        <v>302</v>
      </c>
      <c r="C13" s="55"/>
      <c r="D13" s="55"/>
      <c r="E13" s="55"/>
      <c r="F13" s="55"/>
      <c r="G13" s="55"/>
      <c r="H13" s="55"/>
      <c r="I13" s="55"/>
      <c r="K13" s="975" t="s">
        <v>301</v>
      </c>
      <c r="L13" s="859"/>
      <c r="M13" s="859"/>
      <c r="N13" s="911"/>
      <c r="O13" s="746"/>
      <c r="P13" s="54"/>
      <c r="Q13" s="171" t="s">
        <v>193</v>
      </c>
      <c r="R13" s="172"/>
      <c r="S13" s="172"/>
      <c r="T13" s="173"/>
      <c r="Y13" s="970" t="s">
        <v>399</v>
      </c>
      <c r="Z13" s="963"/>
      <c r="AA13" s="963"/>
      <c r="AB13" s="964"/>
      <c r="AC13" s="54"/>
      <c r="AD13" s="54"/>
      <c r="AE13" s="54"/>
      <c r="AF13" s="54"/>
    </row>
    <row r="14" spans="2:79" x14ac:dyDescent="0.25">
      <c r="B14" s="92" t="s">
        <v>303</v>
      </c>
      <c r="C14" s="93"/>
      <c r="D14" s="93"/>
      <c r="E14" s="93"/>
      <c r="F14" s="93"/>
      <c r="G14" s="93"/>
      <c r="H14" s="93"/>
      <c r="I14" s="93"/>
      <c r="K14" s="140" t="s">
        <v>256</v>
      </c>
      <c r="L14" s="141"/>
      <c r="M14" s="142"/>
      <c r="N14" s="203">
        <f>'SHL Section'!$Q$13</f>
        <v>1</v>
      </c>
      <c r="O14" s="746"/>
      <c r="P14" s="54"/>
      <c r="Q14" s="175"/>
      <c r="R14" s="54" t="s">
        <v>200</v>
      </c>
      <c r="S14" s="976">
        <f>Q14+Q15/60+Q16/3600</f>
        <v>0</v>
      </c>
      <c r="T14" s="911"/>
      <c r="U14" s="54"/>
      <c r="Y14" s="177"/>
      <c r="Z14" s="740" t="s">
        <v>400</v>
      </c>
      <c r="AA14" s="740" t="s">
        <v>401</v>
      </c>
      <c r="AB14" s="236" t="s">
        <v>402</v>
      </c>
      <c r="AC14" s="180"/>
      <c r="AD14" s="180"/>
      <c r="AE14" s="54"/>
      <c r="AF14" s="54"/>
    </row>
    <row r="15" spans="2:79" x14ac:dyDescent="0.25">
      <c r="B15" s="182"/>
      <c r="K15" s="237" t="s">
        <v>403</v>
      </c>
      <c r="L15" s="238"/>
      <c r="M15" s="822">
        <f>'SHL Section'!$AT$5</f>
        <v>71.424513434487508</v>
      </c>
      <c r="N15" s="239" t="s">
        <v>404</v>
      </c>
      <c r="O15" s="54"/>
      <c r="P15" s="54"/>
      <c r="Q15" s="175"/>
      <c r="R15" s="54" t="s">
        <v>206</v>
      </c>
      <c r="S15" s="54"/>
      <c r="T15" s="174"/>
      <c r="U15" s="54"/>
      <c r="Y15" s="178" t="s">
        <v>405</v>
      </c>
      <c r="Z15" s="125"/>
      <c r="AA15" s="823"/>
      <c r="AB15" s="824"/>
    </row>
    <row r="16" spans="2:79" x14ac:dyDescent="0.25">
      <c r="P16" s="54"/>
      <c r="Q16" s="176"/>
      <c r="R16" s="129" t="s">
        <v>208</v>
      </c>
      <c r="S16" s="129"/>
      <c r="T16" s="130"/>
      <c r="U16" s="54"/>
      <c r="Y16" s="178" t="s">
        <v>406</v>
      </c>
      <c r="Z16" s="125"/>
      <c r="AA16" s="825"/>
      <c r="AB16" s="826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"/>
    </row>
    <row r="17" spans="1:80" s="1" customFormat="1" x14ac:dyDescent="0.25">
      <c r="Y17" s="179" t="s">
        <v>407</v>
      </c>
      <c r="Z17" s="126"/>
      <c r="AA17" s="827" t="e">
        <f>AA$15+(AA$16-AA$15)/($Z$16-$Z$15)*($Z$17-$Z$15)</f>
        <v>#DIV/0!</v>
      </c>
      <c r="AB17" s="828" t="e">
        <f>AB$15+(AB$16-AB$15)/($Z$16-$Z$15)*($Z$17-$Z$15)</f>
        <v>#DIV/0!</v>
      </c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</row>
    <row r="18" spans="1:80" s="1" customFormat="1" x14ac:dyDescent="0.25">
      <c r="B18" s="43"/>
      <c r="E18" s="44" t="e">
        <f>IF($L$39='SHL Section'!$L$38,'SHL Section'!$E$18,IF($L$39='BHL Section 1'!$L$38,'BHL Section 1'!$E$17,IF($L$39='BHL Section 2'!$L$38,'BHL Section 2'!$E$17,IF($L$39='BHL Section 3'!$L$38,'BHL Section 3'!$E$17,$E$19))))</f>
        <v>#VALUE!</v>
      </c>
      <c r="F18" s="156"/>
      <c r="G18" s="156"/>
      <c r="H18" s="156"/>
      <c r="I18" s="156"/>
      <c r="J18" s="156"/>
      <c r="K18" s="44" t="e">
        <f>IF($L$39='SHL Section'!$L$38,'SHL Section'!$K$18,IF($L$39='BHL Section 1'!$L$38,'BHL Section 1'!$K$17,IF($L$39='BHL Section 2'!$L$38,'BHL Section 2'!$K$17,IF($L$39='BHL Section 3'!$L$38,'BHL Section 3'!$K$17,$K$19))))</f>
        <v>#VALUE!</v>
      </c>
      <c r="L18" s="156"/>
      <c r="M18" s="156"/>
      <c r="N18" s="156"/>
      <c r="O18" s="44" t="e">
        <f>IF($L$39='SHL Section'!$L$38,'SHL Section'!$O$18,IF($L$39='BHL Section 1'!$L$38,'BHL Section 1'!$O$17,IF($L$39='BHL Section 2'!$L$38,'BHL Section 2'!$O$17,IF($L$39='BHL Section 3'!$L$38,'BHL Section 3'!$O$17,$O$19))))</f>
        <v>#VALUE!</v>
      </c>
      <c r="P18" s="156"/>
      <c r="Q18" s="156"/>
      <c r="R18" s="156"/>
      <c r="S18" s="156"/>
      <c r="T18" s="156"/>
      <c r="U18" s="44" t="e">
        <f>IF($L$39='SHL Section'!$L$38,'SHL Section'!$V$18,IF($L$39='BHL Section 1'!$L$38,'BHL Section 1'!$V$17,IF($L$39='BHL Section 2'!$L$38,'BHL Section 2'!$V$17,IF($L$39='BHL Section 3'!$L$38,'BHL Section 3'!$U$17,$U$19))))</f>
        <v>#VALUE!</v>
      </c>
      <c r="Y18" s="5"/>
      <c r="Z18" s="5"/>
      <c r="AA18" s="5"/>
      <c r="AB18" s="5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U18" s="38" t="s">
        <v>305</v>
      </c>
      <c r="AV18" s="939" t="s">
        <v>306</v>
      </c>
      <c r="AW18" s="882"/>
      <c r="AX18" s="939" t="s">
        <v>307</v>
      </c>
      <c r="AY18" s="882"/>
      <c r="AZ18" s="939" t="s">
        <v>308</v>
      </c>
      <c r="BA18" s="882"/>
      <c r="BB18" s="939" t="s">
        <v>309</v>
      </c>
      <c r="BC18" s="882"/>
      <c r="BD18" s="939" t="s">
        <v>310</v>
      </c>
      <c r="BE18" s="882"/>
      <c r="BF18" s="939" t="s">
        <v>311</v>
      </c>
      <c r="BG18" s="882"/>
      <c r="BH18" s="939" t="s">
        <v>312</v>
      </c>
      <c r="BI18" s="882"/>
      <c r="BJ18" s="939" t="s">
        <v>313</v>
      </c>
      <c r="BK18" s="882"/>
      <c r="BL18" s="939" t="s">
        <v>314</v>
      </c>
      <c r="BM18" s="882"/>
      <c r="BN18" s="939" t="s">
        <v>315</v>
      </c>
      <c r="BO18" s="882"/>
      <c r="BP18" s="939" t="s">
        <v>316</v>
      </c>
      <c r="BQ18" s="882"/>
      <c r="BR18" s="939" t="s">
        <v>317</v>
      </c>
      <c r="BS18" s="882"/>
      <c r="BT18" s="939" t="s">
        <v>318</v>
      </c>
      <c r="BU18" s="882"/>
      <c r="BV18" s="939" t="s">
        <v>319</v>
      </c>
      <c r="BW18" s="882"/>
      <c r="BX18" s="939" t="s">
        <v>320</v>
      </c>
      <c r="BY18" s="882"/>
      <c r="BZ18" s="939" t="s">
        <v>321</v>
      </c>
      <c r="CA18" s="882"/>
    </row>
    <row r="19" spans="1:80" x14ac:dyDescent="0.25">
      <c r="B19" s="26"/>
      <c r="C19" s="33"/>
      <c r="D19" s="17" t="s">
        <v>118</v>
      </c>
      <c r="E19" s="110"/>
      <c r="F19" s="33"/>
      <c r="G19" s="33"/>
      <c r="H19" s="33"/>
      <c r="I19" s="33"/>
      <c r="J19" s="17" t="s">
        <v>118</v>
      </c>
      <c r="K19" s="113"/>
      <c r="N19" s="17" t="s">
        <v>118</v>
      </c>
      <c r="O19" s="110"/>
      <c r="T19" s="17" t="s">
        <v>118</v>
      </c>
      <c r="U19" s="110"/>
      <c r="AA19" s="5"/>
      <c r="AB19" s="5"/>
      <c r="AC19" s="1"/>
      <c r="AD19" s="1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"/>
      <c r="AS19" s="1"/>
      <c r="AT19" s="1"/>
      <c r="AU19" s="38" t="s">
        <v>330</v>
      </c>
      <c r="AV19" s="760" t="s">
        <v>113</v>
      </c>
      <c r="AW19" s="761" t="s">
        <v>114</v>
      </c>
      <c r="AX19" s="760" t="s">
        <v>113</v>
      </c>
      <c r="AY19" s="761" t="s">
        <v>114</v>
      </c>
      <c r="AZ19" s="760" t="s">
        <v>113</v>
      </c>
      <c r="BA19" s="761" t="s">
        <v>114</v>
      </c>
      <c r="BB19" s="760" t="s">
        <v>113</v>
      </c>
      <c r="BC19" s="761" t="s">
        <v>114</v>
      </c>
      <c r="BD19" s="760" t="s">
        <v>113</v>
      </c>
      <c r="BE19" s="761" t="s">
        <v>114</v>
      </c>
      <c r="BF19" s="760" t="s">
        <v>113</v>
      </c>
      <c r="BG19" s="761" t="s">
        <v>114</v>
      </c>
      <c r="BH19" s="760" t="s">
        <v>113</v>
      </c>
      <c r="BI19" s="761" t="s">
        <v>114</v>
      </c>
      <c r="BJ19" s="760" t="s">
        <v>113</v>
      </c>
      <c r="BK19" s="761" t="s">
        <v>114</v>
      </c>
      <c r="BL19" s="760" t="s">
        <v>113</v>
      </c>
      <c r="BM19" s="761" t="s">
        <v>114</v>
      </c>
      <c r="BN19" s="760" t="s">
        <v>113</v>
      </c>
      <c r="BO19" s="761" t="s">
        <v>114</v>
      </c>
      <c r="BP19" s="760" t="s">
        <v>113</v>
      </c>
      <c r="BQ19" s="761" t="s">
        <v>114</v>
      </c>
      <c r="BR19" s="760" t="s">
        <v>113</v>
      </c>
      <c r="BS19" s="761" t="s">
        <v>114</v>
      </c>
      <c r="BT19" s="760" t="s">
        <v>113</v>
      </c>
      <c r="BU19" s="761" t="s">
        <v>114</v>
      </c>
      <c r="BV19" s="760" t="s">
        <v>113</v>
      </c>
      <c r="BW19" s="761" t="s">
        <v>114</v>
      </c>
      <c r="BX19" s="760" t="s">
        <v>113</v>
      </c>
      <c r="BY19" s="761" t="s">
        <v>114</v>
      </c>
      <c r="BZ19" s="760" t="s">
        <v>113</v>
      </c>
      <c r="CA19" s="761" t="s">
        <v>114</v>
      </c>
    </row>
    <row r="20" spans="1:80" ht="12" customHeight="1" x14ac:dyDescent="0.25">
      <c r="B20" s="26"/>
      <c r="C20" s="33"/>
      <c r="D20" s="17" t="s">
        <v>124</v>
      </c>
      <c r="E20" s="111"/>
      <c r="F20" s="33"/>
      <c r="G20" s="33"/>
      <c r="H20" s="33"/>
      <c r="I20" s="33"/>
      <c r="J20" s="17" t="s">
        <v>124</v>
      </c>
      <c r="K20" s="114"/>
      <c r="N20" s="17" t="s">
        <v>124</v>
      </c>
      <c r="O20" s="111"/>
      <c r="R20" s="34"/>
      <c r="T20" s="17" t="s">
        <v>124</v>
      </c>
      <c r="U20" s="111"/>
      <c r="AA20" s="5"/>
      <c r="AB20" s="5"/>
      <c r="AC20" s="1"/>
      <c r="AD20" s="1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"/>
      <c r="AS20" s="1"/>
      <c r="AT20" s="1"/>
      <c r="AU20" s="38"/>
      <c r="AV20" s="807" t="e">
        <f>IF(AND($U$18&gt;0,$O$18&gt;0),$U$18*SIN(RADIANS(90-$U$24)),IF(AND($U$18=0,$O$18&gt;0),$O$18/2*SIN(RADIANS(90-$O$24)),IF(AND($U$18&gt;0,$O$18=0),$U$18/2*SIN(RADIANS(90-$U$24)),IF(AND($U$18=0,$O$18=0,$K$18=0),$E$18/4*SIN(RADIANS(90-$E$24)),$K$18/4*SIN(RADIANS(90-$K$24))))))</f>
        <v>#VALUE!</v>
      </c>
      <c r="AW20" s="808" t="e">
        <f>IF(AND($U$18&gt;0,$O$18&gt;0),$U$18*COS(RADIANS(90-$U$24)),IF(AND($U$18=0,$O$18&gt;0),$O$18/2*COS(RADIANS(90-$O$24)),IF(AND($U$18&gt;0,$O$18=0),$U$18/2*COS(RADIANS(90-$U$24)),IF(AND($U$18=0,$O$18=0,$K$18=0),$E$18/4*COS(RADIANS(90-$E$24)),$K$18/4*COS(RADIANS(90-$K$24))))))</f>
        <v>#VALUE!</v>
      </c>
      <c r="AX20" s="807" t="e">
        <f>IF(AND($U$18&gt;0,$O$18&gt;0),$O$18*SIN(RADIANS(90-$O$24)),IF(AND($U$18=0,$O$18&gt;0),$O$18/2*SIN(RADIANS(90-$O$24)),IF(AND($U$18&gt;0,$O$18=0),$U$18/2*SIN(RADIANS(90-$U$24)),IF(AND($U$18=0,$O$18=0,$K$18=0),$E$18/4*SIN(RADIANS(90-$E$24)),$K$18/4*SIN(RADIANS(90-$K$24))))))</f>
        <v>#VALUE!</v>
      </c>
      <c r="AY20" s="808" t="e">
        <f>IF(AND($U$18&gt;0,$O$18&gt;0),$O$18*COS(RADIANS(90-$O$24)),IF(AND($U$18=0,$O$18&gt;0),$O$18/2*COS(RADIANS(90-$O$24)),IF(AND($U$18&gt;0,$O$18=0),$U$18/2*COS(RADIANS(90-$U$24)),IF(AND($U$18=0,$O$18=0,$K$18=0),$E$18/4*COS(RADIANS(90-$E$24)),$K$18/4*COS(RADIANS(90-$K$24))))))</f>
        <v>#VALUE!</v>
      </c>
      <c r="AZ20" s="807" t="e">
        <f>IF(AND($K$18&gt;0,$E$18&gt;0,OR($O$18&gt;0,$U$18&gt;0)),$K$18*SIN(RADIANS(90-$K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A20" s="808" t="e">
        <f>IF(AND($K$18&gt;0,$E$18&gt;0,OR($O$18&gt;0,$U$18&gt;0)),$K$18*COS(RADIANS(90-$K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B20" s="807" t="e">
        <f>IF(AND($K$18&gt;0,$E$18&gt;0,OR($O$18&gt;0,$U$18&gt;0)),$E$18*SIN(RADIANS(90-$E$24)),IF(AND($K$18=0,$E$18&gt;0,OR($O$18&gt;0,$U$18&gt;0)),$E$18/2*SIN(RADIANS(90-$E$24)),IF(AND($K$18&gt;0,$E$18=0,OR($O$18&gt;0,$U$18&gt;0)),$K$18/2*SIN(RADIANS(90-$K$24)),IF(AND($K$18&gt;0,$O$18=0,$U$18=0),$K$18/4*SIN(RADIANS(90-$K$24)),$E$18/4*SIN(RADIANS(90-$E$24))))))</f>
        <v>#VALUE!</v>
      </c>
      <c r="BC20" s="809" t="e">
        <f>IF(AND($K$18&gt;0,$E$18&gt;0,OR($O$18&gt;0,$U$18&gt;0)),$E$18*COS(RADIANS(90-$E$24)),IF(AND($K$18=0,$E$18&gt;0,OR($O$18&gt;0,$U$18&gt;0)),$E$18/2*COS(RADIANS(90-$E$24)),IF(AND($K$18&gt;0,$E$18=0,OR($O$18&gt;0,$U$18&gt;0)),$K$18/2*COS(RADIANS(90-$K$24)),IF(AND($K$18&gt;0,$O$18=0,$U$18=0),$K$18/4*COS(RADIANS(90-$K$24)),$E$18/4*COS(RADIANS(90-$E$24))))))</f>
        <v>#VALUE!</v>
      </c>
      <c r="BD20" s="807" t="e">
        <f>IF(AND($B$33&gt;0,$B$25&gt;0,OR($B$42&gt;0,$B$50&gt;0)),$B$25*COS(RADIANS(180-$B$31)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E20" s="808" t="e">
        <f>IF(AND($B$33&gt;0,$B$25&gt;0,OR($B$42&gt;0,$B$50&gt;0)),$B$25*-SIN(RADIANS(180-$B$31)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F20" s="807" t="e">
        <f>IF(AND($B$33&gt;0,$B$25&gt;0,OR($B$42&gt;0,$B$50&gt;0)),$B$33*COS(RADIANS(180-$B$39)),IF(AND($B$33=0,$B$25&gt;0,OR($B$42&gt;0,$B$50&gt;0)),$B$25/2*COS(RADIANS(180-$B$31)),IF(AND($B$33&gt;0,$B$25=0,OR($B$42&gt;0,$B$50&gt;0)),$B$33/2*COS(RADIANS(180-$B$39)),IF(AND($B$33&gt;0,$B$42=0,$B$50=0),$B$33/4*COS(RADIANS(180-$B$39)),$B$25/4*COS(RADIANS(180-$B$31))))))</f>
        <v>#VALUE!</v>
      </c>
      <c r="BG20" s="808" t="e">
        <f>IF(AND($B$33&gt;0,$B$25&gt;0,OR($B$42&gt;0,$B$50&gt;0)),$B$33*-SIN(RADIANS(180-$B$39)),IF(AND($B$33&gt;0,$B$25&gt;0,OR($B$42&gt;0,$B$50&gt;0)),$B$33*-SIN(RADIANS(180-$B$39)),IF(AND($B$33&gt;0,$B$25=0,OR($B$42&gt;0,$B$50&gt;0)),$B$33/2*-SIN(RADIANS(180-$B$39)),IF(AND($B$33&gt;0,$B$42=0,$B$50=0),$B$33/4*-SIN(RADIANS(180-$B$39)),$B$25/4*-SIN(RADIANS(180-$B$31))))))</f>
        <v>#VALUE!</v>
      </c>
      <c r="BH20" s="807" t="e">
        <f>IF(AND($B$50&gt;0,$B$42&gt;0),$B$42*COS(RADIANS(180-$B$48)),IF(AND($B$50=0,$B$42&gt;0),$B$42/2*COS(RADIANS(180-$B$48)),IF(AND($B$50&gt;0,$B$42=0),$B$50/2*COS(RADIANS(180-$B$56)),IF(AND($B$50=0,$B$42=0,$B$33=0),$B$25/4*COS(RADIANS(180-$B$31)),$B$33/4*COS(RADIANS(180-$B$39))))))</f>
        <v>#VALUE!</v>
      </c>
      <c r="BI20" s="808" t="e">
        <f>IF(AND($B$50&gt;0,$B$42&gt;0),$B$42*-SIN(RADIANS(180-$B$48)),IF(AND($B$50=0,$B$42&gt;0),$B$42/2*-SIN(RADIANS(180-$B$48)),IF(AND($B$50&gt;0,$B$42=0),$B$50/2*-SIN(RADIANS(180-$B$56)),IF(AND($B$50=0,$B$42=0,$B$33=0),$B$25/4*-SIN(RADIANS(180-$B$31)),$B$33/4*-SIN(RADIANS(180-$B$39))))))</f>
        <v>#VALUE!</v>
      </c>
      <c r="BJ20" s="807" t="e">
        <f>IF(AND($B$50&gt;0,$B$42&gt;0),$B$50*COS(RADIANS(180-$B$56)),IF(AND($B$50=0,$B$42&gt;0),$B$42/2*COS(RADIANS(180-$B$48)),IF(AND($B$50&gt;0,$B$42=0),$B$50/2*COS(RADIANS(180-$B$56)),IF(AND($B$50=0,$B$42=0,$B$33=0),$B$25/4*COS(RADIANS(180-$B$31)),$B$33/4*COS(RADIANS(180-$B$39))))))</f>
        <v>#VALUE!</v>
      </c>
      <c r="BK20" s="808" t="e">
        <f>IF(AND($B$50&gt;0,$B$42&gt;0),$B$50*-SIN(RADIANS(180-$B$56)),IF(AND($B$50=0,$B$42&gt;0),$B$42/2*-SIN(RADIANS(180-$B$48)),IF(AND($B$50&gt;0,$B$42=0),$B$50/2*-SIN(RADIANS(180-$B$56)),IF(AND($B$50=0,$B$42=0,$B$33=0),$B$25/4*-SIN(RADIANS(180-$B$31)),$B$33/4*-SIN(RADIANS(180-$B$39))))))</f>
        <v>#VALUE!</v>
      </c>
      <c r="BL20" s="807" t="e">
        <f>IF(AND($K$63&gt;0,$E$63&gt;0,OR($O$63&gt;0,$U$63&gt;0)),$E$63*SIN(RADIANS(90-$E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M20" s="809" t="e">
        <f>IF(AND($K$63&gt;0,$E$63&gt;0,OR($O$63&gt;0,$U$63&gt;0)),$E$63*COS(RADIANS(90-$E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N20" s="807" t="e">
        <f>IF(AND($K$63&gt;0,$E$63&gt;0,OR($O$63&gt;0,$U$63&gt;0)),$K$63*SIN(RADIANS(90-$K$62)),IF(AND($K$63=0,$E$63&gt;0,OR($O$63&gt;0,$U$63&gt;0)),$E$63/2*SIN(RADIANS(90-$E$62)),IF(AND($K$63&gt;0,$E$63=0,OR($O$63&gt;0,$U$63&gt;0)),$K$63/2*SIN(RADIANS(90-$K$62)),IF(AND($K$63&gt;0,$O$63=0,$U$63=0),$K$63/4*SIN(RADIANS(90-$K$62)),$E$63/4*SIN(RADIANS(90-$E$62))))))</f>
        <v>#VALUE!</v>
      </c>
      <c r="BO20" s="808" t="e">
        <f>IF(AND($K$63&gt;0,$E$63&gt;0,OR($O$63&gt;0,$U$63&gt;0)),$K$63*COS(RADIANS(90-$K$62)),IF(AND($K$63=0,$E$63&gt;0,OR($O$63&gt;0,$U$63&gt;0)),$E$63/2*COS(RADIANS(90-$E$62)),IF(AND($K$63&gt;0,$E$63=0,OR($O$63&gt;0,$U$63&gt;0)),$K$63/2*COS(RADIANS(90-$K$62)),IF(AND($K$63&gt;0,$O$63=0,$U$63=0),$K$63/4*COS(RADIANS(90-$K$62)),$E$63/4*COS(RADIANS(90-$E$62))))))</f>
        <v>#VALUE!</v>
      </c>
      <c r="BP20" s="807" t="e">
        <f>IF(AND($U$63&gt;0,$O$63&gt;0),$O$63*SIN(RADIANS(90-$O$62)),IF(AND($U$63=0,$O$63&gt;0),$O$63/2*SIN(RADIANS(90-$O$62)),IF(AND($U$63&gt;0,$O$63=0),$U$63/2*SIN(RADIANS(90-$U$62)),IF(AND($U$63=0,$O$63=0,$K$63=0),$E$63/4*SIN(RADIANS(90-$E$62)),$K$63/4*SIN(RADIANS(90-$K$62))))))</f>
        <v>#VALUE!</v>
      </c>
      <c r="BQ20" s="808" t="e">
        <f>IF(AND($U$63&gt;0,$O$63&gt;0),$O$63*COS(RADIANS(90-$O$62)),IF(AND($U$63=0,$O$63&gt;0),$O$63/2*COS(RADIANS(90-$O$62)),IF(AND($U$63&gt;0,$O$63=0),$U$63/2*COS(RADIANS(90-$U$62)),IF(AND($U$63=0,$O$63=0,$K$63=0),$E$63/4*COS(RADIANS(90-$E$62)),$K$63/4*COS(RADIANS(90-$K$62))))))</f>
        <v>#VALUE!</v>
      </c>
      <c r="BR20" s="807" t="e">
        <f>IF(AND($U$63&gt;0,$O$63&gt;0),$U$63*SIN(RADIANS(90-$U$62)),IF(AND($U$63=0,$O$63&gt;0),$O$63/2*SIN(RADIANS(90-$O$62)),IF(AND($U$63&gt;0,$O$63=0),$U$63/2*SIN(RADIANS(90-$U$62)),IF(AND($U$63=0,$O$63=0,$K$63=0),$E$63/4*SIN(RADIANS(90-$E$62)),$K$63/4*SIN(RADIANS(90-$K$62))))))</f>
        <v>#VALUE!</v>
      </c>
      <c r="BS20" s="808" t="e">
        <f>IF(AND($U$63&gt;0,$O$63&gt;0),$U$63*COS(RADIANS(90-$U$62)),IF(AND($U$63=0,$O$63&gt;0),$O$63/2*COS(RADIANS(90-$O$62)),IF(AND($U$63&gt;0,$O$63=0),$U$63/2*COS(RADIANS(90-$U$62)),IF(AND($U$63=0,$O$63=0,$K$63=0),$E$63/4*COS(RADIANS(90-$E$62)),$K$63/4*COS(RADIANS(90-$K$62))))))</f>
        <v>#VALUE!</v>
      </c>
      <c r="BT20" s="807" t="e">
        <f>IF(AND($W$50&gt;0,$W$42&gt;0),$W$50*COS(RADIANS(180-$W$56)),IF(AND($W$50=0,$W$42&gt;0),$W$42/2*COS(RADIANS(180-$W$48)),IF(AND($W$50&gt;0,$W$42=0),$W$50/2*COS(RADIANS(180-$W$56)),IF(AND($W$50=0,$W$42=0,$W$33=0),$W$25/4*COS(RADIANS(180-$W$31)),$W$33/4*COS(RADIANS(180-$W$39))))))</f>
        <v>#VALUE!</v>
      </c>
      <c r="BU20" s="808" t="e">
        <f>IF(AND($W$50&gt;0,$W$42&gt;0),$W$50*-SIN(RADIANS(180-$W$56)),IF(AND($W$50=0,$W$42&gt;0),$W$42/2*-SIN(RADIANS(180-$W$48)),IF(AND($W$50&gt;0,$W$42=0),$W$50/2*-SIN(RADIANS(180-$W$56)),IF(AND($W$50=0,$W$42=0,$W$33=0),$W$25/4*-SIN(RADIANS(180-$W$31)),$W$33/4*-SIN(RADIANS(180-$W$39))))))</f>
        <v>#VALUE!</v>
      </c>
      <c r="BV20" s="807" t="e">
        <f>IF(AND($W$50&gt;0,$W$42&gt;0),$W$42*COS(RADIANS(180-$W$48)),IF(AND($W$50=0,$W$42&gt;0),$W$42/2*COS(RADIANS(180-$W$48)),IF(AND($W$50&gt;0,$W$42=0),$W$50/2*COS(RADIANS(180-$W$56)),IF(AND($W$50=0,$W$42=0,$W$33=0),$W$25/4*COS(RADIANS(180-$W$31)),$W$33/4*COS(RADIANS(180-$W$39))))))</f>
        <v>#VALUE!</v>
      </c>
      <c r="BW20" s="808" t="e">
        <f>IF(AND($W$50&gt;0,$W$42&gt;0),$W$42*-SIN(RADIANS(180-$W$48)),IF(AND($W$50=0,$W$42&gt;0),$W$42/2*-SIN(RADIANS(180-$W$48)),IF(AND($W$50&gt;0,$W$42=0),$W$50/2*-SIN(RADIANS(180-$W$56)),IF(AND($W$50=0,$W$42=0,$W$33=0),$W$25/4*-SIN(RADIANS(180-$W$31)),$W$33/4*-SIN(RADIANS(180-$W$39))))))</f>
        <v>#VALUE!</v>
      </c>
      <c r="BX20" s="807" t="e">
        <f>IF(AND($W$33&gt;0,$W$25&gt;0,OR($W$42&gt;0,$W$50&gt;0)),$W$33*COS(RADIANS(180-$W$39)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BY20" s="808" t="e">
        <f>IF(AND($W$33&gt;0,$W$25&gt;0,OR($W$42&gt;0,$W$50&gt;0)),$W$33*-SIN(RADIANS(180-$W$39)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  <c r="BZ20" s="807" t="e">
        <f>IF(AND($W$33&gt;0,$W$25&gt;0,OR($W$42&gt;0,$W$50&gt;0)),$W$25*COS(RADIANS(180-$W$31)),IF(AND($W$33=0,$W$25&gt;0,OR($W$42&gt;0,$W$50&gt;0)),$W$25/2*COS(RADIANS(180-$W$31)),IF(AND($W$33&gt;0,$W$25=0,OR($W$42&gt;0,$W$50&gt;0)),$W$33/2*COS(RADIANS(180-$W$39)),IF(AND($W$33&gt;0,$W$42=0,$W$50=0),$W$33/4*COS(RADIANS(180-$W$39)),$W$25/4*COS(RADIANS(180-$W$31))))))</f>
        <v>#VALUE!</v>
      </c>
      <c r="CA20" s="808" t="e">
        <f>IF(AND($W$33&gt;0,$W$25&gt;0,OR($W$42&gt;0,$W$50&gt;0)),$W$25*-SIN(RADIANS(180-$W$31)),IF(AND($W$33&gt;0,$W$25&gt;0,OR($W$42&gt;0,$W$50&gt;0)),$W$33*-SIN(RADIANS(180-$W$39)),IF(AND($W$33&gt;0,$W$25=0,OR($W$42&gt;0,$W$50&gt;0)),$W$33/2*-SIN(RADIANS(180-$W$39)),IF(AND($W$33&gt;0,$W$42=0,$W$50=0),$W$33/4*-SIN(RADIANS(180-$W$39)),$W$25/4*-SIN(RADIANS(180-$W$31))))))</f>
        <v>#VALUE!</v>
      </c>
    </row>
    <row r="21" spans="1:80" ht="12" customHeight="1" x14ac:dyDescent="0.25">
      <c r="B21" s="26"/>
      <c r="C21" s="33"/>
      <c r="D21" s="17" t="s">
        <v>130</v>
      </c>
      <c r="E21" s="111"/>
      <c r="F21" s="33"/>
      <c r="G21" s="33"/>
      <c r="H21" s="33"/>
      <c r="I21" s="33"/>
      <c r="J21" s="17" t="s">
        <v>130</v>
      </c>
      <c r="K21" s="114"/>
      <c r="N21" s="17" t="s">
        <v>130</v>
      </c>
      <c r="O21" s="111"/>
      <c r="T21" s="17" t="s">
        <v>130</v>
      </c>
      <c r="U21" s="111"/>
      <c r="AA21" s="5"/>
      <c r="AB21" s="5"/>
      <c r="AC21" s="1"/>
      <c r="AD21" s="1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"/>
      <c r="AS21" s="1"/>
      <c r="AT21" s="1"/>
      <c r="AU21" s="38" t="s">
        <v>333</v>
      </c>
      <c r="AV21" s="939" t="s">
        <v>334</v>
      </c>
      <c r="AW21" s="832"/>
      <c r="AX21" s="832"/>
      <c r="AY21" s="882"/>
      <c r="AZ21" s="939" t="s">
        <v>335</v>
      </c>
      <c r="BA21" s="832"/>
      <c r="BB21" s="832"/>
      <c r="BC21" s="882"/>
      <c r="BD21" s="939" t="s">
        <v>336</v>
      </c>
      <c r="BE21" s="832"/>
      <c r="BF21" s="832"/>
      <c r="BG21" s="882"/>
      <c r="BH21" s="939" t="s">
        <v>337</v>
      </c>
      <c r="BI21" s="832"/>
      <c r="BJ21" s="832"/>
      <c r="BK21" s="882"/>
      <c r="BL21" s="939" t="s">
        <v>338</v>
      </c>
      <c r="BM21" s="832"/>
      <c r="BN21" s="832"/>
      <c r="BO21" s="882"/>
      <c r="BP21" s="939" t="s">
        <v>339</v>
      </c>
      <c r="BQ21" s="832"/>
      <c r="BR21" s="832"/>
      <c r="BS21" s="882"/>
      <c r="BT21" s="939" t="s">
        <v>340</v>
      </c>
      <c r="BU21" s="832"/>
      <c r="BV21" s="832"/>
      <c r="BW21" s="882"/>
      <c r="BX21" s="939" t="s">
        <v>341</v>
      </c>
      <c r="BY21" s="832"/>
      <c r="BZ21" s="832"/>
      <c r="CA21" s="882"/>
    </row>
    <row r="22" spans="1:80" ht="12" customHeight="1" x14ac:dyDescent="0.25">
      <c r="D22" s="17" t="s">
        <v>134</v>
      </c>
      <c r="E22" s="111"/>
      <c r="J22" s="17" t="s">
        <v>134</v>
      </c>
      <c r="K22" s="114"/>
      <c r="N22" s="17" t="s">
        <v>134</v>
      </c>
      <c r="O22" s="111"/>
      <c r="T22" s="17" t="s">
        <v>134</v>
      </c>
      <c r="U22" s="111"/>
      <c r="AA22" s="5"/>
      <c r="AB22" s="5"/>
      <c r="AC22" s="5"/>
      <c r="AD22" s="5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5"/>
      <c r="AS22" s="5"/>
      <c r="AT22" s="5"/>
      <c r="AU22" s="38" t="s">
        <v>330</v>
      </c>
      <c r="AV22" s="37"/>
      <c r="AW22" s="760" t="s">
        <v>113</v>
      </c>
      <c r="AX22" s="761" t="s">
        <v>114</v>
      </c>
      <c r="AY22" s="36"/>
      <c r="AZ22" s="37"/>
      <c r="BA22" s="760" t="s">
        <v>113</v>
      </c>
      <c r="BB22" s="761" t="s">
        <v>114</v>
      </c>
      <c r="BC22" s="36"/>
      <c r="BD22" s="37"/>
      <c r="BE22" s="760" t="s">
        <v>113</v>
      </c>
      <c r="BF22" s="761" t="s">
        <v>114</v>
      </c>
      <c r="BG22" s="36"/>
      <c r="BH22" s="37"/>
      <c r="BI22" s="760" t="s">
        <v>113</v>
      </c>
      <c r="BJ22" s="761" t="s">
        <v>114</v>
      </c>
      <c r="BK22" s="36"/>
      <c r="BL22" s="37"/>
      <c r="BM22" s="760" t="s">
        <v>113</v>
      </c>
      <c r="BN22" s="761" t="s">
        <v>114</v>
      </c>
      <c r="BO22" s="36"/>
      <c r="BP22" s="37"/>
      <c r="BQ22" s="760" t="s">
        <v>113</v>
      </c>
      <c r="BR22" s="761" t="s">
        <v>114</v>
      </c>
      <c r="BS22" s="36"/>
      <c r="BT22" s="37"/>
      <c r="BU22" s="760" t="s">
        <v>113</v>
      </c>
      <c r="BV22" s="761" t="s">
        <v>114</v>
      </c>
      <c r="BW22" s="36"/>
      <c r="BX22" s="37"/>
      <c r="BY22" s="760" t="s">
        <v>113</v>
      </c>
      <c r="BZ22" s="761" t="s">
        <v>114</v>
      </c>
      <c r="CA22" s="36"/>
    </row>
    <row r="23" spans="1:80" ht="12" customHeight="1" x14ac:dyDescent="0.25">
      <c r="A23" s="1"/>
      <c r="B23" s="1"/>
      <c r="C23" s="1"/>
      <c r="D23" s="17" t="s">
        <v>140</v>
      </c>
      <c r="E23" s="112">
        <v>2</v>
      </c>
      <c r="F23" s="18"/>
      <c r="G23" s="18"/>
      <c r="H23" s="18"/>
      <c r="I23" s="18"/>
      <c r="J23" s="17" t="s">
        <v>140</v>
      </c>
      <c r="K23" s="112">
        <v>2</v>
      </c>
      <c r="L23" s="1"/>
      <c r="M23" s="1"/>
      <c r="N23" s="17" t="s">
        <v>140</v>
      </c>
      <c r="O23" s="112">
        <v>2</v>
      </c>
      <c r="P23" s="18"/>
      <c r="Q23" s="18"/>
      <c r="R23" s="18"/>
      <c r="S23" s="18"/>
      <c r="T23" s="17" t="s">
        <v>140</v>
      </c>
      <c r="U23" s="112">
        <v>2</v>
      </c>
      <c r="V23" s="1"/>
      <c r="W23" s="1"/>
      <c r="X23" s="1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38"/>
      <c r="AV23" s="37"/>
      <c r="AW23" s="811" t="e">
        <f>AV20+AX20</f>
        <v>#VALUE!</v>
      </c>
      <c r="AX23" s="812" t="e">
        <f>AW20+AY20</f>
        <v>#VALUE!</v>
      </c>
      <c r="AY23" s="36"/>
      <c r="AZ23" s="37"/>
      <c r="BA23" s="811" t="e">
        <f>AZ20+BB20</f>
        <v>#VALUE!</v>
      </c>
      <c r="BB23" s="812" t="e">
        <f>BA20+BC20</f>
        <v>#VALUE!</v>
      </c>
      <c r="BC23" s="36"/>
      <c r="BD23" s="37"/>
      <c r="BE23" s="811" t="e">
        <f>BD20+BF20</f>
        <v>#VALUE!</v>
      </c>
      <c r="BF23" s="812" t="e">
        <f>BE20+BG20</f>
        <v>#VALUE!</v>
      </c>
      <c r="BG23" s="36"/>
      <c r="BH23" s="37"/>
      <c r="BI23" s="811" t="e">
        <f>BH20+BJ20</f>
        <v>#VALUE!</v>
      </c>
      <c r="BJ23" s="812" t="e">
        <f>BI20+BK20</f>
        <v>#VALUE!</v>
      </c>
      <c r="BK23" s="36"/>
      <c r="BL23" s="37"/>
      <c r="BM23" s="811" t="e">
        <f>BL20+BN20</f>
        <v>#VALUE!</v>
      </c>
      <c r="BN23" s="812" t="e">
        <f>BM20+BO20</f>
        <v>#VALUE!</v>
      </c>
      <c r="BO23" s="36"/>
      <c r="BP23" s="37"/>
      <c r="BQ23" s="811" t="e">
        <f>BP20+BR20</f>
        <v>#VALUE!</v>
      </c>
      <c r="BR23" s="812" t="e">
        <f>BQ20+BS20</f>
        <v>#VALUE!</v>
      </c>
      <c r="BS23" s="36"/>
      <c r="BT23" s="37"/>
      <c r="BU23" s="811" t="e">
        <f>BT20+BV20</f>
        <v>#VALUE!</v>
      </c>
      <c r="BV23" s="812" t="e">
        <f>BU20+BW20</f>
        <v>#VALUE!</v>
      </c>
      <c r="BW23" s="36"/>
      <c r="BX23" s="37"/>
      <c r="BY23" s="811" t="e">
        <f>BX20+BZ20</f>
        <v>#VALUE!</v>
      </c>
      <c r="BZ23" s="812" t="e">
        <f>BY20+CA20</f>
        <v>#VALUE!</v>
      </c>
      <c r="CA23" s="36"/>
    </row>
    <row r="24" spans="1:80" ht="12" customHeight="1" thickBot="1" x14ac:dyDescent="0.3">
      <c r="B24" s="945" t="str">
        <f>CONCATENATE("NW SC of ",$L$39)</f>
        <v>NW SC of 25</v>
      </c>
      <c r="C24" s="904"/>
      <c r="D24" s="17" t="s">
        <v>144</v>
      </c>
      <c r="E24" s="34" t="e">
        <f>IF($L$39='SHL Section'!$L$38,IF('SHL Section'!$E$23="","",'SHL Section'!$E$23),IF($L$39='BHL Section 1'!$L$38,IF('BHL Section 1'!$E$23="","",'BHL Section 1'!$E$23),IF($L$39='BHL Section 2'!$L$38,IF('BHL Section 2'!$E$23="","",'BHL Section 2'!$E$23),IF($L$39='BHL Section 3'!$L$38,IF('BHL Section 3'!$E$23="","",'BHL Section 3'!$E$23),IF(E20="","",IF(OR(E23=1,E23=4),180-(E20+E21/60+E22/3600),(E20+E21/60+E22/3600)))))))</f>
        <v>#VALUE!</v>
      </c>
      <c r="J24" s="17" t="s">
        <v>144</v>
      </c>
      <c r="K24" s="34" t="e">
        <f>IF($L$39='SHL Section'!$L$38,IF('SHL Section'!$K$23="","",'SHL Section'!$K$23),IF($L$39='BHL Section 1'!$L$38,IF('BHL Section 1'!$K$23="","",'BHL Section 1'!$K$23),IF($L$39='BHL Section 2'!$L$38,IF('BHL Section 2'!$K$23="","",'BHL Section 2'!$K$23),IF($L$39='BHL Section 3'!$L$38,IF('BHL Section 3'!$K$23="","",'BHL Section 3'!$K$23),IF(K20="","",IF(OR(K23=1,K23=4),180-(K20+K21/60+K22/3600),(K20+K21/60+K22/3600)))))))</f>
        <v>#VALUE!</v>
      </c>
      <c r="L24" s="945" t="str">
        <f>CONCATENATE("N QC of ",$L$39)</f>
        <v>N QC of 25</v>
      </c>
      <c r="M24" s="904"/>
      <c r="N24" s="17" t="s">
        <v>144</v>
      </c>
      <c r="O24" s="34" t="e">
        <f>IF($L$39='SHL Section'!$L$38,IF('SHL Section'!$O$23="","",'SHL Section'!$O$23),IF($L$39='BHL Section 1'!$L$38,IF('BHL Section 1'!$O$23="","",'BHL Section 1'!$O$23),IF($L$39='BHL Section 2'!$L$38,IF('BHL Section 2'!$O$23="","",'BHL Section 2'!$O$23),IF($L$39='BHL Section 3'!$L$38,IF('BHL Section 3'!$O$23="","",'BHL Section 3'!$O$23),IF(O20="","",IF(OR(O23=1,O23=4),180-(O20+O21/60+O22/3600),(O20+O21/60+O22/3600)))))))</f>
        <v>#VALUE!</v>
      </c>
      <c r="T24" s="17" t="s">
        <v>144</v>
      </c>
      <c r="U24" s="34" t="e">
        <f>IF($L$39='SHL Section'!$L$38,IF('SHL Section'!$U$23="","",'SHL Section'!$U$23),IF($L$39='BHL Section 1'!$L$38,IF('BHL Section 1'!$U$23="","",'BHL Section 1'!$U$23),IF($L$39='BHL Section 2'!$L$38,IF('BHL Section 2'!$U$23="","",'BHL Section 2'!$U$23),IF($L$39='BHL Section 3'!$L$38,IF('BHL Section 3'!$U$23="","",'BHL Section 3'!$U$23),IF(U20="","",IF(OR(U23=1,U23=4),180-(U20+U21/60+U22/3600),(U20+U21/60+U22/3600)))))))</f>
        <v>#VALUE!</v>
      </c>
      <c r="V24" s="954" t="str">
        <f>CONCATENATE("NE SC of ",$L$39)</f>
        <v>NE SC of 25</v>
      </c>
      <c r="W24" s="904"/>
      <c r="Y24" s="28"/>
      <c r="Z24" s="28"/>
      <c r="AA24" s="5"/>
      <c r="AB24" s="5"/>
      <c r="AC24" s="943" t="s">
        <v>304</v>
      </c>
      <c r="AD24" s="832"/>
      <c r="AE24" s="832"/>
      <c r="AF24" s="832"/>
      <c r="AG24" s="832"/>
      <c r="AH24" s="832"/>
      <c r="AI24" s="832"/>
      <c r="AJ24" s="832"/>
      <c r="AK24" s="832"/>
      <c r="AL24" s="832"/>
      <c r="AM24" s="832"/>
      <c r="AN24" s="832"/>
      <c r="AO24" s="832"/>
      <c r="AP24" s="832"/>
      <c r="AQ24" s="832"/>
      <c r="AR24" s="832"/>
      <c r="AS24" s="832"/>
      <c r="AT24" s="832"/>
      <c r="AU24" s="38"/>
      <c r="AV24" s="37"/>
      <c r="BD24" s="37"/>
      <c r="BL24" s="37"/>
      <c r="BT24" s="37"/>
      <c r="BZ24" s="19"/>
      <c r="CA24" s="19"/>
      <c r="CB24" s="42"/>
    </row>
    <row r="25" spans="1:80" ht="12" customHeight="1" x14ac:dyDescent="0.25">
      <c r="B25" s="44" t="e">
        <f>IF($L$39='SHL Section'!$L$38,'SHL Section'!$B$25,IF($L$39='BHL Section 1'!$L$38,'BHL Section 1'!$B$24,IF($L$39='BHL Section 2'!$L$38,'BHL Section 2'!$B$24,IF($L$39='BHL Section 3'!$L$38,'BHL Section 3'!$B$24,$B$26))))</f>
        <v>#VALUE!</v>
      </c>
      <c r="C25" s="3"/>
      <c r="D25" s="35"/>
      <c r="E25" s="35"/>
      <c r="F25" s="35"/>
      <c r="G25" s="35"/>
      <c r="H25" s="35"/>
      <c r="I25" s="35"/>
      <c r="J25" s="35"/>
      <c r="K25" s="35"/>
      <c r="L25" s="11"/>
      <c r="M25" s="12"/>
      <c r="N25" s="35"/>
      <c r="O25" s="35"/>
      <c r="P25" s="35"/>
      <c r="Q25" s="35"/>
      <c r="R25" s="35"/>
      <c r="S25" s="35"/>
      <c r="T25" s="35"/>
      <c r="U25" s="35"/>
      <c r="V25" s="21"/>
      <c r="W25" s="44" t="e">
        <f>IF($L$39='SHL Section'!$L$38,'SHL Section'!$W$25,IF($L$39='BHL Section 1'!$L$38,'BHL Section 1'!$W$24,IF($L$39='BHL Section 2'!$L$38,'BHL Section 2'!$W$24,IF($L$39='BHL Section 3'!$L$38,'BHL Section 3'!$W$24,$W$26))))</f>
        <v>#VALUE!</v>
      </c>
      <c r="AA25" s="5"/>
      <c r="AB25" s="5"/>
      <c r="AC25" s="39"/>
      <c r="AD25" s="18"/>
      <c r="AE25" s="939" t="s">
        <v>322</v>
      </c>
      <c r="AF25" s="882"/>
      <c r="AG25" s="939" t="s">
        <v>323</v>
      </c>
      <c r="AH25" s="882"/>
      <c r="AI25" s="939" t="s">
        <v>324</v>
      </c>
      <c r="AJ25" s="882"/>
      <c r="AK25" s="939" t="s">
        <v>325</v>
      </c>
      <c r="AL25" s="882"/>
      <c r="AM25" s="939" t="s">
        <v>326</v>
      </c>
      <c r="AN25" s="882"/>
      <c r="AO25" s="939" t="s">
        <v>327</v>
      </c>
      <c r="AP25" s="882"/>
      <c r="AQ25" s="939" t="s">
        <v>328</v>
      </c>
      <c r="AR25" s="882"/>
      <c r="AS25" s="939" t="s">
        <v>329</v>
      </c>
      <c r="AT25" s="882"/>
      <c r="AU25" s="38" t="s">
        <v>72</v>
      </c>
      <c r="AV25" s="939" t="s">
        <v>183</v>
      </c>
      <c r="AW25" s="832"/>
      <c r="AX25" s="832"/>
      <c r="AY25" s="832"/>
      <c r="AZ25" s="832"/>
      <c r="BA25" s="832"/>
      <c r="BB25" s="832"/>
      <c r="BC25" s="882"/>
      <c r="BD25" s="939" t="s">
        <v>204</v>
      </c>
      <c r="BE25" s="832"/>
      <c r="BF25" s="832"/>
      <c r="BG25" s="832"/>
      <c r="BH25" s="832"/>
      <c r="BI25" s="832"/>
      <c r="BJ25" s="832"/>
      <c r="BK25" s="882"/>
      <c r="BL25" s="939" t="s">
        <v>188</v>
      </c>
      <c r="BM25" s="832"/>
      <c r="BN25" s="832"/>
      <c r="BO25" s="832"/>
      <c r="BP25" s="832"/>
      <c r="BQ25" s="832"/>
      <c r="BR25" s="832"/>
      <c r="BS25" s="882"/>
      <c r="BT25" s="939" t="s">
        <v>197</v>
      </c>
      <c r="BU25" s="832"/>
      <c r="BV25" s="832"/>
      <c r="BW25" s="832"/>
      <c r="BX25" s="832"/>
      <c r="BY25" s="832"/>
      <c r="BZ25" s="832"/>
      <c r="CA25" s="882"/>
    </row>
    <row r="26" spans="1:80" ht="12" customHeight="1" x14ac:dyDescent="0.25">
      <c r="A26" s="17" t="s">
        <v>118</v>
      </c>
      <c r="B26" s="110"/>
      <c r="C26" s="4"/>
      <c r="L26" s="13"/>
      <c r="M26" s="14"/>
      <c r="V26" s="22"/>
      <c r="W26" s="162"/>
      <c r="X26" s="25" t="s">
        <v>118</v>
      </c>
      <c r="AA26" s="5"/>
      <c r="AB26" s="5"/>
      <c r="AC26" s="756" t="s">
        <v>331</v>
      </c>
      <c r="AD26" s="757" t="s">
        <v>332</v>
      </c>
      <c r="AE26" s="30" t="s">
        <v>113</v>
      </c>
      <c r="AF26" s="30" t="s">
        <v>114</v>
      </c>
      <c r="AG26" s="30" t="s">
        <v>113</v>
      </c>
      <c r="AH26" s="30" t="s">
        <v>114</v>
      </c>
      <c r="AI26" s="30" t="s">
        <v>113</v>
      </c>
      <c r="AJ26" s="30" t="s">
        <v>114</v>
      </c>
      <c r="AK26" s="30" t="s">
        <v>113</v>
      </c>
      <c r="AL26" s="30" t="s">
        <v>114</v>
      </c>
      <c r="AM26" s="30" t="s">
        <v>113</v>
      </c>
      <c r="AN26" s="30" t="s">
        <v>114</v>
      </c>
      <c r="AO26" s="30" t="s">
        <v>113</v>
      </c>
      <c r="AP26" s="30" t="s">
        <v>114</v>
      </c>
      <c r="AQ26" s="30" t="s">
        <v>113</v>
      </c>
      <c r="AR26" s="30" t="s">
        <v>114</v>
      </c>
      <c r="AS26" s="30" t="s">
        <v>113</v>
      </c>
      <c r="AT26" s="30" t="s">
        <v>114</v>
      </c>
      <c r="AU26" s="38" t="s">
        <v>330</v>
      </c>
      <c r="AV26" s="39"/>
      <c r="AW26" s="40"/>
      <c r="AX26" s="40"/>
      <c r="AY26" s="760" t="s">
        <v>113</v>
      </c>
      <c r="AZ26" s="761" t="s">
        <v>114</v>
      </c>
      <c r="BA26" s="40"/>
      <c r="BB26" s="40"/>
      <c r="BC26" s="41"/>
      <c r="BD26" s="39"/>
      <c r="BE26" s="40"/>
      <c r="BF26" s="40"/>
      <c r="BG26" s="760" t="s">
        <v>113</v>
      </c>
      <c r="BH26" s="761" t="s">
        <v>114</v>
      </c>
      <c r="BI26" s="40"/>
      <c r="BJ26" s="40"/>
      <c r="BK26" s="41"/>
      <c r="BL26" s="39"/>
      <c r="BM26" s="40"/>
      <c r="BN26" s="40"/>
      <c r="BO26" s="760" t="s">
        <v>113</v>
      </c>
      <c r="BP26" s="761" t="s">
        <v>114</v>
      </c>
      <c r="BQ26" s="40"/>
      <c r="BR26" s="40"/>
      <c r="BS26" s="41"/>
      <c r="BT26" s="39"/>
      <c r="BU26" s="40"/>
      <c r="BV26" s="40"/>
      <c r="BW26" s="760" t="s">
        <v>113</v>
      </c>
      <c r="BX26" s="761" t="s">
        <v>114</v>
      </c>
      <c r="BY26" s="40"/>
      <c r="BZ26" s="40"/>
      <c r="CA26" s="41"/>
    </row>
    <row r="27" spans="1:80" ht="12" customHeight="1" x14ac:dyDescent="0.25">
      <c r="A27" s="17" t="s">
        <v>124</v>
      </c>
      <c r="B27" s="111"/>
      <c r="C27" s="4"/>
      <c r="G27" s="831" t="s">
        <v>343</v>
      </c>
      <c r="H27" s="832"/>
      <c r="I27" s="149"/>
      <c r="L27" s="13"/>
      <c r="M27" s="14"/>
      <c r="Q27" s="831" t="s">
        <v>344</v>
      </c>
      <c r="R27" s="832"/>
      <c r="V27" s="22"/>
      <c r="W27" s="147"/>
      <c r="X27" s="25" t="s">
        <v>124</v>
      </c>
      <c r="AA27" s="5"/>
      <c r="AB27" s="5"/>
      <c r="AC27" s="52">
        <v>1</v>
      </c>
      <c r="AD27" s="53" t="s">
        <v>12</v>
      </c>
      <c r="AE27" s="47"/>
      <c r="AF27" s="47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8"/>
      <c r="AV27" s="37"/>
      <c r="AY27" s="811" t="e">
        <f>AW23+BA23</f>
        <v>#VALUE!</v>
      </c>
      <c r="AZ27" s="812" t="e">
        <f>AX23+BB23</f>
        <v>#VALUE!</v>
      </c>
      <c r="BC27" s="36"/>
      <c r="BD27" s="37"/>
      <c r="BG27" s="811" t="e">
        <f>BE23+BI23</f>
        <v>#VALUE!</v>
      </c>
      <c r="BH27" s="812" t="e">
        <f>BF23+BJ23</f>
        <v>#VALUE!</v>
      </c>
      <c r="BK27" s="36"/>
      <c r="BL27" s="37"/>
      <c r="BO27" s="811" t="e">
        <f>BM23+BQ23</f>
        <v>#VALUE!</v>
      </c>
      <c r="BP27" s="812" t="e">
        <f>BN23+BR23</f>
        <v>#VALUE!</v>
      </c>
      <c r="BS27" s="36"/>
      <c r="BT27" s="37"/>
      <c r="BW27" s="811" t="e">
        <f>BU23+BY23</f>
        <v>#VALUE!</v>
      </c>
      <c r="BX27" s="812" t="e">
        <f>BV23+BZ23</f>
        <v>#VALUE!</v>
      </c>
      <c r="BZ27" s="19"/>
      <c r="CA27" s="36"/>
    </row>
    <row r="28" spans="1:80" ht="12" customHeight="1" x14ac:dyDescent="0.25">
      <c r="A28" s="17" t="s">
        <v>130</v>
      </c>
      <c r="B28" s="111"/>
      <c r="C28" s="4"/>
      <c r="G28" s="99" t="str">
        <f>IF(ISNUMBER($AG$67),$C$9,"")</f>
        <v/>
      </c>
      <c r="H28" s="150" t="str">
        <f>IF(AND(G29="",G30=""),"",IF($AG$67=1,"NE/NW",IF($AG$67=2,"NW/NW",IF($AG$67=3,"SW/NW",IF($AG$67=4,"SE/NW","")))))</f>
        <v/>
      </c>
      <c r="L28" s="13"/>
      <c r="M28" s="14"/>
      <c r="Q28" s="98" t="str">
        <f>IF(ISNUMBER($AE$67),$C$9,"")</f>
        <v/>
      </c>
      <c r="R28" s="150" t="str">
        <f>IF(AND(Q29="",Q30=""),"",IF($AE$67=1,"NE/NE",IF($AE$67=2,"NW/NE",IF($AE$67=3,"SW/NE",IF($AE$67=4,"SE/NE","")))))</f>
        <v/>
      </c>
      <c r="V28" s="22"/>
      <c r="W28" s="147"/>
      <c r="X28" s="25" t="s">
        <v>130</v>
      </c>
      <c r="AA28" s="5"/>
      <c r="AB28" s="5"/>
      <c r="AC28" s="52">
        <v>2</v>
      </c>
      <c r="AD28" s="53" t="s">
        <v>12</v>
      </c>
      <c r="AE28" s="32"/>
      <c r="AF28" s="32"/>
      <c r="AG28" s="47"/>
      <c r="AH28" s="47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8"/>
      <c r="BZ28" s="19"/>
      <c r="CA28" s="19"/>
    </row>
    <row r="29" spans="1:80" ht="12" customHeight="1" x14ac:dyDescent="0.25">
      <c r="A29" s="17" t="s">
        <v>134</v>
      </c>
      <c r="B29" s="111"/>
      <c r="C29" s="4"/>
      <c r="G29" s="151" t="str">
        <f>IF(ISNUMBER($AG$67),$M$9,"")</f>
        <v/>
      </c>
      <c r="H29" s="152" t="str">
        <f>IF(ISNUMBER($AG$67),"FNL","")</f>
        <v/>
      </c>
      <c r="J29" s="19"/>
      <c r="K29" s="19"/>
      <c r="L29" s="13"/>
      <c r="M29" s="14"/>
      <c r="Q29" s="151" t="str">
        <f>IF(ISNUMBER($AE$67),$M$9,"")</f>
        <v/>
      </c>
      <c r="R29" s="152" t="str">
        <f>IF(ISNUMBER($AE$67),"FNL","")</f>
        <v/>
      </c>
      <c r="V29" s="22"/>
      <c r="W29" s="147"/>
      <c r="X29" s="25" t="s">
        <v>134</v>
      </c>
      <c r="AA29" s="5"/>
      <c r="AB29" s="5"/>
      <c r="AC29" s="52">
        <v>3</v>
      </c>
      <c r="AD29" s="53" t="s">
        <v>12</v>
      </c>
      <c r="AE29" s="32"/>
      <c r="AF29" s="79"/>
      <c r="AG29" s="32"/>
      <c r="AH29" s="32"/>
      <c r="AI29" s="47"/>
      <c r="AJ29" s="47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8" t="s">
        <v>345</v>
      </c>
      <c r="AV29" s="143" t="e">
        <f>$AW$20/($AV$20^2+$AW$20^2)^0.5</f>
        <v>#VALUE!</v>
      </c>
      <c r="AW29" s="143"/>
      <c r="AX29" s="143" t="e">
        <f>$AY$20/($AX$20^2+$AY$20^2)^0.5</f>
        <v>#VALUE!</v>
      </c>
      <c r="AY29" s="809"/>
      <c r="AZ29" s="143" t="e">
        <f>$BA$20/($AZ$20^2+$BA$20^2)^0.5</f>
        <v>#VALUE!</v>
      </c>
      <c r="BA29" s="143"/>
      <c r="BB29" s="143" t="e">
        <f>$BC$20/($BB$20^2+$BC$20^2)^0.5</f>
        <v>#VALUE!</v>
      </c>
      <c r="BC29" s="809"/>
      <c r="BD29" s="143" t="e">
        <f>$BD$20/($BD$20^2+$BE$20^2)^0.5</f>
        <v>#VALUE!</v>
      </c>
      <c r="BE29" s="143"/>
      <c r="BF29" s="143" t="e">
        <f>$BF$20/($BF$20^2+$BG$20^2)^0.5</f>
        <v>#VALUE!</v>
      </c>
      <c r="BG29" s="809"/>
      <c r="BH29" s="143" t="e">
        <f>$BH$20/($BH$20^2+$BI$20^2)^0.5</f>
        <v>#VALUE!</v>
      </c>
      <c r="BI29" s="143"/>
      <c r="BJ29" s="143" t="e">
        <f>$BJ$20/($BJ$20^2+$BK$20^2)^0.5</f>
        <v>#VALUE!</v>
      </c>
      <c r="BK29" s="809"/>
      <c r="BL29" s="143" t="e">
        <f>$BM$20/($BL$20^2+$BM$20^2)^0.5</f>
        <v>#VALUE!</v>
      </c>
      <c r="BM29" s="143"/>
      <c r="BN29" s="143" t="e">
        <f>$BO$20/($BN$20^2+$BO$20^2)^0.5</f>
        <v>#VALUE!</v>
      </c>
      <c r="BO29" s="809"/>
      <c r="BP29" s="143" t="e">
        <f>$BQ$20/($BP$20^2+$BQ$20^2)^0.5</f>
        <v>#VALUE!</v>
      </c>
      <c r="BQ29" s="143"/>
      <c r="BR29" s="143" t="e">
        <f>$BS$20/($BR$20^2+$BS$20^2)^0.5</f>
        <v>#VALUE!</v>
      </c>
      <c r="BS29" s="809"/>
      <c r="BT29" s="143" t="e">
        <f>$BT$20/($BT$20^2+$BU$20^2)^0.5</f>
        <v>#VALUE!</v>
      </c>
      <c r="BU29" s="143"/>
      <c r="BV29" s="143" t="e">
        <f>$BV$20/($BV$20^2+$BW$20^2)^0.5</f>
        <v>#VALUE!</v>
      </c>
      <c r="BW29" s="809"/>
      <c r="BX29" s="143" t="e">
        <f>$BX$20/($BX$20^2+$BY$20^2)^0.5</f>
        <v>#VALUE!</v>
      </c>
      <c r="BY29" s="143"/>
      <c r="BZ29" s="143" t="e">
        <f>$BZ$20/($BZ$20^2+$CA$20^2)^0.5</f>
        <v>#VALUE!</v>
      </c>
      <c r="CA29" s="809"/>
    </row>
    <row r="30" spans="1:80" ht="12" customHeight="1" x14ac:dyDescent="0.25">
      <c r="A30" s="17" t="s">
        <v>140</v>
      </c>
      <c r="B30" s="112">
        <v>1</v>
      </c>
      <c r="C30" s="4"/>
      <c r="G30" s="91" t="str">
        <f>IF(ISNUMBER($AG$67),$O$9,"")</f>
        <v/>
      </c>
      <c r="H30" s="90" t="str">
        <f>IF(ISNUMBER($AG$67),"FWL","")</f>
        <v/>
      </c>
      <c r="J30" s="19"/>
      <c r="K30" s="19"/>
      <c r="L30" s="13"/>
      <c r="M30" s="14"/>
      <c r="Q30" s="91" t="str">
        <f>IF(ISNUMBER($AE$67),$O$9,"")</f>
        <v/>
      </c>
      <c r="R30" s="90" t="str">
        <f>IF(ISNUMBER($AE$67),"FEL","")</f>
        <v/>
      </c>
      <c r="V30" s="22"/>
      <c r="W30" s="112">
        <v>4</v>
      </c>
      <c r="X30" s="25" t="s">
        <v>140</v>
      </c>
      <c r="AA30" s="5"/>
      <c r="AB30" s="5"/>
      <c r="AC30" s="756">
        <v>4</v>
      </c>
      <c r="AD30" s="758" t="s">
        <v>12</v>
      </c>
      <c r="AE30" s="45"/>
      <c r="AF30" s="45"/>
      <c r="AG30" s="45"/>
      <c r="AH30" s="45"/>
      <c r="AI30" s="45"/>
      <c r="AJ30" s="45"/>
      <c r="AK30" s="50"/>
      <c r="AL30" s="50"/>
      <c r="AM30" s="45"/>
      <c r="AN30" s="45"/>
      <c r="AO30" s="45"/>
      <c r="AP30" s="45"/>
      <c r="AQ30" s="45"/>
      <c r="AR30" s="45"/>
      <c r="AS30" s="45"/>
      <c r="AT30" s="45"/>
      <c r="AU30" s="38"/>
      <c r="AV30" s="809"/>
      <c r="AW30" s="809"/>
      <c r="AX30" s="809"/>
      <c r="AY30" s="809"/>
      <c r="AZ30" s="809"/>
      <c r="BA30" s="809"/>
      <c r="BB30" s="809"/>
      <c r="BC30" s="809"/>
      <c r="BD30" s="809"/>
      <c r="BE30" s="809"/>
      <c r="BF30" s="809"/>
      <c r="BG30" s="809"/>
      <c r="BH30" s="809"/>
      <c r="BI30" s="809"/>
      <c r="BJ30" s="809"/>
      <c r="BK30" s="809"/>
      <c r="BL30" s="809"/>
      <c r="BM30" s="809"/>
      <c r="BN30" s="809"/>
      <c r="BO30" s="809"/>
      <c r="BP30" s="809"/>
      <c r="BQ30" s="809"/>
      <c r="BR30" s="809"/>
      <c r="BS30" s="809"/>
      <c r="BT30" s="809"/>
      <c r="BU30" s="809"/>
      <c r="BV30" s="809"/>
      <c r="BW30" s="809"/>
      <c r="BX30" s="809"/>
      <c r="BY30" s="809"/>
      <c r="BZ30" s="809"/>
      <c r="CA30" s="809"/>
    </row>
    <row r="31" spans="1:80" ht="12" customHeight="1" x14ac:dyDescent="0.25">
      <c r="A31" s="17" t="s">
        <v>144</v>
      </c>
      <c r="B31" s="27" t="e">
        <f>IF($L$39='SHL Section'!$L$38,IF('SHL Section'!$B$30="","",'SHL Section'!$B$30),IF($L$39='BHL Section 1'!$L$38,IF('BHL Section 1'!$B$30="","",'BHL Section 1'!$B$30),IF($L$39='BHL Section 2'!$L$38,IF('BHL Section 2'!$B$30="","",'BHL Section 2'!$B$30),IF($L$39='BHL Section 3'!$L$38,IF('BHL Section 3'!$B$30="","",'BHL Section 3'!$B$30),IF(B27="","",IF(OR(B30=1,B30=4),180-(B27+B28/60+B29/3600),(B27+B28/60+B29/3600)))))))</f>
        <v>#VALUE!</v>
      </c>
      <c r="C31" s="4"/>
      <c r="G31" s="99" t="str">
        <f>IF(ISNUMBER($AG$78),$C$10,"")</f>
        <v/>
      </c>
      <c r="H31" s="150" t="str">
        <f>IF(AND(G32="",G33=""),"",IF($AG$78=1,"NE/NW",IF($AG$78=2,"NW/NW",IF($AG$78=3,"SW/NW",IF($AG$78=4,"SE/NW","")))))</f>
        <v/>
      </c>
      <c r="J31" s="153"/>
      <c r="K31" s="153"/>
      <c r="L31" s="13"/>
      <c r="M31" s="14"/>
      <c r="Q31" s="98" t="str">
        <f>IF(ISNUMBER($AE$78),$C$10,"")</f>
        <v/>
      </c>
      <c r="R31" s="150" t="str">
        <f>IF(AND(Q32="",Q33=""),"",IF($AE$78=1,"NE/NE",IF($AE$78=2,"NW/NE",IF($AE$78=3,"SW/NE",IF($AE$78=4,"SE/NE","")))))</f>
        <v/>
      </c>
      <c r="V31" s="22"/>
      <c r="W31" s="27" t="e">
        <f>IF($L$39='SHL Section'!$L$38,IF('SHL Section'!$W$30="","",'SHL Section'!$W$30),IF($L$39='BHL Section 1'!$L$38,IF('BHL Section 1'!$W$30="","",'BHL Section 1'!$W$30),IF($L$39='BHL Section 2'!$L$38,IF('BHL Section 2'!$W$30="","",'BHL Section 2'!$W$30),IF($L$39='BHL Section 3'!$L$38,IF('BHL Section 3'!$W$30="","",'BHL Section 3'!$W$30),IF(W27="","",IF(OR(W30=1,W30=4),180-(W27+W28/60+W29/3600),(W27+W28/60+W29/3600)))))))</f>
        <v>#VALUE!</v>
      </c>
      <c r="X31" s="25" t="s">
        <v>144</v>
      </c>
      <c r="AA31" s="5"/>
      <c r="AB31" s="5"/>
      <c r="AC31" s="944"/>
      <c r="AD31" s="911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38"/>
      <c r="AV31" s="809"/>
      <c r="AW31" s="809"/>
      <c r="AX31" s="809"/>
      <c r="AY31" s="809"/>
      <c r="AZ31" s="809"/>
      <c r="BA31" s="809"/>
      <c r="BB31" s="809"/>
      <c r="BC31" s="809"/>
      <c r="BD31" s="809"/>
      <c r="BE31" s="809"/>
      <c r="BF31" s="809"/>
      <c r="BG31" s="809"/>
      <c r="BH31" s="809"/>
      <c r="BI31" s="809"/>
      <c r="BJ31" s="809"/>
      <c r="BK31" s="809"/>
      <c r="BL31" s="809"/>
      <c r="BM31" s="809"/>
      <c r="BN31" s="809"/>
      <c r="BO31" s="809"/>
      <c r="BP31" s="809"/>
      <c r="BQ31" s="809"/>
      <c r="BR31" s="809"/>
      <c r="BS31" s="809"/>
      <c r="BT31" s="809"/>
      <c r="BU31" s="809"/>
      <c r="BV31" s="809"/>
      <c r="BW31" s="809"/>
      <c r="BX31" s="809"/>
      <c r="BY31" s="809"/>
      <c r="BZ31" s="809"/>
      <c r="CA31" s="809"/>
    </row>
    <row r="32" spans="1:80" ht="12" customHeight="1" x14ac:dyDescent="0.25">
      <c r="C32" s="4"/>
      <c r="G32" s="151" t="str">
        <f>IF(ISNUMBER($AG$78),$M$10,"")</f>
        <v/>
      </c>
      <c r="H32" s="152" t="str">
        <f>IF(ISNUMBER($AG$78),"FNL","")</f>
        <v/>
      </c>
      <c r="J32" s="153"/>
      <c r="K32" s="153"/>
      <c r="L32" s="13"/>
      <c r="M32" s="14"/>
      <c r="Q32" s="151" t="str">
        <f>IF(ISNUMBER($AE$78),$M$10,"")</f>
        <v/>
      </c>
      <c r="R32" s="152" t="str">
        <f>IF(ISNUMBER($AE$78),"FNL","")</f>
        <v/>
      </c>
      <c r="V32" s="22"/>
      <c r="AA32" s="5"/>
      <c r="AB32" s="5"/>
      <c r="AC32" s="94"/>
      <c r="AD32" s="95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38"/>
      <c r="AV32" s="809"/>
      <c r="AW32" s="809"/>
      <c r="AX32" s="809"/>
      <c r="AY32" s="809"/>
      <c r="AZ32" s="809"/>
      <c r="BA32" s="809"/>
      <c r="BB32" s="809"/>
      <c r="BC32" s="809"/>
      <c r="BD32" s="809"/>
      <c r="BE32" s="809"/>
      <c r="BF32" s="809"/>
      <c r="BG32" s="809"/>
      <c r="BH32" s="809"/>
      <c r="BI32" s="809"/>
      <c r="BJ32" s="809"/>
      <c r="BK32" s="809"/>
      <c r="BL32" s="809"/>
      <c r="BM32" s="809"/>
      <c r="BN32" s="809"/>
      <c r="BO32" s="809"/>
      <c r="BP32" s="809"/>
      <c r="BQ32" s="809"/>
      <c r="BR32" s="809"/>
      <c r="BS32" s="809"/>
      <c r="BT32" s="809"/>
      <c r="BU32" s="809"/>
      <c r="BV32" s="809"/>
      <c r="BW32" s="809"/>
      <c r="BX32" s="809"/>
      <c r="BY32" s="809"/>
      <c r="BZ32" s="809"/>
      <c r="CA32" s="809"/>
    </row>
    <row r="33" spans="1:79" ht="12" customHeight="1" x14ac:dyDescent="0.25">
      <c r="B33" s="44" t="e">
        <f>IF($L$39='SHL Section'!$L$38,'SHL Section'!$B$33,IF($L$39='BHL Section 1'!$L$38,'BHL Section 1'!$B$32,IF($L$39='BHL Section 2'!$L$38,'BHL Section 2'!$B$32,IF($L$39='BHL Section 3'!$L$38,'BHL Section 3'!$B$32,$B$34))))</f>
        <v>#VALUE!</v>
      </c>
      <c r="C33" s="4"/>
      <c r="F33" s="19"/>
      <c r="G33" s="91" t="str">
        <f>IF(ISNUMBER($AG$78),$O$10,"")</f>
        <v/>
      </c>
      <c r="H33" s="90" t="str">
        <f>IF(ISNUMBER($AG$78),"FWL","")</f>
        <v/>
      </c>
      <c r="I33" s="154"/>
      <c r="J33" s="153"/>
      <c r="K33" s="153"/>
      <c r="L33" s="13"/>
      <c r="M33" s="14"/>
      <c r="Q33" s="91" t="str">
        <f>IF(ISNUMBER($AE$78),$O$10,"")</f>
        <v/>
      </c>
      <c r="R33" s="90" t="str">
        <f>IF(ISNUMBER($AE$78),"FEL","")</f>
        <v/>
      </c>
      <c r="V33" s="22"/>
      <c r="W33" s="44" t="e">
        <f>IF($L$39='SHL Section'!$L$38,'SHL Section'!$W$33,IF($L$39='BHL Section 1'!$L$38,'BHL Section 1'!$W$32,IF($L$39='BHL Section 2'!$L$38,'BHL Section 2'!$W$32,IF($L$39='BHL Section 3'!$L$38,'BHL Section 3'!$W$32,$W$34))))</f>
        <v>#VALUE!</v>
      </c>
      <c r="AA33" s="5"/>
      <c r="AB33" s="5"/>
      <c r="AC33" s="52">
        <v>1</v>
      </c>
      <c r="AD33" s="53" t="s">
        <v>272</v>
      </c>
      <c r="AE33" s="47" t="e">
        <f>IF(AND($L$39=$R$9,ISNUMBER($K$9)),IF(AND($Y$9&lt;0,$AA$9&lt;0,-$Y$9&lt;$BY$23,-$AA$9&lt;$AX$23),$Y$9,""),"")</f>
        <v>#VALUE!</v>
      </c>
      <c r="AF33" s="47" t="e">
        <f>IF(AND($L$39=$R$9,ISNUMBER($K$9)),IF(AND($Y$9&lt;0,$AA$9&lt;0,-$Y$9&lt;$BY$23,-$AA$9&lt;$AX$23),$AA$9,""),"")</f>
        <v>#VALUE!</v>
      </c>
      <c r="AG33" s="32" t="e">
        <f>IF($AE$33="","",$AY$27+$AE$33)</f>
        <v>#VALUE!</v>
      </c>
      <c r="AH33" s="32" t="e">
        <f>IF($AF$33="","",$AZ$27+$AF$33)</f>
        <v>#VALUE!</v>
      </c>
      <c r="AI33" s="32" t="e">
        <f>IF($AE$33="","",$BG$27+$AY$27+$AE$33)</f>
        <v>#VALUE!</v>
      </c>
      <c r="AJ33" s="32" t="e">
        <f>IF($AF$33="","",$AZ$27+$BH$27+$AF$33)</f>
        <v>#VALUE!</v>
      </c>
      <c r="AK33" s="32" t="e">
        <f>IF($AE$33="","",$BW$27+$AE$33)</f>
        <v>#VALUE!</v>
      </c>
      <c r="AL33" s="32" t="e">
        <f>IF($AF$33="","",$AF$33+$BX$27)</f>
        <v>#VALUE!</v>
      </c>
      <c r="AM33" s="32" t="e">
        <f>IF($AE$33="","",$AW$23+$AE$33)</f>
        <v>#VALUE!</v>
      </c>
      <c r="AN33" s="32" t="e">
        <f>IF($AF$33="","",$AX$23+$AF$33)</f>
        <v>#VALUE!</v>
      </c>
      <c r="AO33" s="32" t="e">
        <f>IF($AE$33="","",$AY$27+$AE$33+$BE$23)</f>
        <v>#VALUE!</v>
      </c>
      <c r="AP33" s="32" t="e">
        <f>IF($AF$33="","",$AZ$27+$AF$33+$BF$23)</f>
        <v>#VALUE!</v>
      </c>
      <c r="AQ33" s="32" t="e">
        <f>IF($AE$33="","",$BW$27+$AE$33+$BQ$23)</f>
        <v>#VALUE!</v>
      </c>
      <c r="AR33" s="32" t="e">
        <f>IF($AF$33="","",$AF$33+$BX$27+$BR$23)</f>
        <v>#VALUE!</v>
      </c>
      <c r="AS33" s="32" t="e">
        <f>IF($AE$33="","",$BY$23+$AE$33)</f>
        <v>#VALUE!</v>
      </c>
      <c r="AT33" s="32" t="e">
        <f>IF($AF$33="","",$AF$33+$BZ$23)</f>
        <v>#VALUE!</v>
      </c>
      <c r="AU33" s="38"/>
      <c r="AV33" s="809"/>
      <c r="AW33" s="809"/>
      <c r="AX33" s="809"/>
      <c r="AY33" s="809"/>
      <c r="AZ33" s="809"/>
      <c r="BA33" s="809"/>
      <c r="BB33" s="809"/>
      <c r="BC33" s="809"/>
      <c r="BD33" s="809"/>
      <c r="BE33" s="809"/>
      <c r="BF33" s="809"/>
      <c r="BG33" s="809"/>
      <c r="BH33" s="809"/>
      <c r="BI33" s="809"/>
      <c r="BJ33" s="809"/>
      <c r="BK33" s="809"/>
      <c r="BL33" s="809"/>
      <c r="BM33" s="809"/>
      <c r="BN33" s="809"/>
      <c r="BO33" s="809"/>
      <c r="BP33" s="809"/>
      <c r="BQ33" s="809"/>
      <c r="BR33" s="809"/>
      <c r="BS33" s="809"/>
      <c r="BT33" s="809"/>
      <c r="BU33" s="809"/>
      <c r="BV33" s="809"/>
      <c r="BW33" s="809"/>
      <c r="BX33" s="809"/>
      <c r="BY33" s="809"/>
      <c r="BZ33" s="809"/>
      <c r="CA33" s="809"/>
    </row>
    <row r="34" spans="1:79" ht="12" customHeight="1" x14ac:dyDescent="0.25">
      <c r="A34" s="17" t="s">
        <v>118</v>
      </c>
      <c r="B34" s="113"/>
      <c r="C34" s="4"/>
      <c r="G34" s="99" t="str">
        <f>IF(ISNUMBER($AG$89),$C$11,"")</f>
        <v/>
      </c>
      <c r="H34" s="150" t="str">
        <f>IF(AND(G35="",G36=""),"",IF($AG$89=1,"NE/NW",IF($AG$89=2,"NW/NW",IF($AG$89=3,"SW/NW",IF($AG$89=4,"SE/NW","")))))</f>
        <v/>
      </c>
      <c r="J34" s="153"/>
      <c r="K34" s="153"/>
      <c r="L34" s="13"/>
      <c r="M34" s="14"/>
      <c r="Q34" s="98" t="str">
        <f>IF(ISNUMBER($AE$89),$C$11,"")</f>
        <v/>
      </c>
      <c r="R34" s="150" t="str">
        <f>IF(AND(Q35="",Q36=""),"",IF($AE$89=1,"NE/NE",IF($AE$89=2,"NW/NE",IF($AE$89=3,"SW/NE",IF($AE$89=4,"SE/NE","")))))</f>
        <v/>
      </c>
      <c r="S34" s="154"/>
      <c r="T34" s="153"/>
      <c r="U34" s="5"/>
      <c r="V34" s="22"/>
      <c r="W34" s="113"/>
      <c r="X34" s="25" t="s">
        <v>118</v>
      </c>
      <c r="AA34" s="5"/>
      <c r="AB34" s="5"/>
      <c r="AC34" s="52">
        <v>2</v>
      </c>
      <c r="AD34" s="53" t="s">
        <v>272</v>
      </c>
      <c r="AE34" s="32" t="e">
        <f>IF($AG$34="","",$AG$34-$AY$27)</f>
        <v>#VALUE!</v>
      </c>
      <c r="AF34" s="32" t="e">
        <f>IF($AH$34="","",$AH$34-$AZ$27)</f>
        <v>#VALUE!</v>
      </c>
      <c r="AG34" s="47" t="e">
        <f>IF(AND($L$39=$R$9,ISNUMBER($K$9)),IF(AND($Y$9&lt;0,$AA$9&gt;0,-$Y$9&lt;$BE$23,$AA$9&lt;$BB$23),$Y$9,""),"")</f>
        <v>#VALUE!</v>
      </c>
      <c r="AH34" s="47" t="e">
        <f>IF(AND($L$39=$R$9,ISNUMBER($K$9)),IF(AND($Y$9&lt;0,$AA$9&gt;0,-$Y$9&lt;$BE$23,$AA$9&lt;$BB$23),$AA$9,""),"")</f>
        <v>#VALUE!</v>
      </c>
      <c r="AI34" s="32" t="e">
        <f>IF($AG$34="","",$BG$27+$AG$34)</f>
        <v>#VALUE!</v>
      </c>
      <c r="AJ34" s="32" t="e">
        <f>IF($AH$34="","",$AH$34+$BH$27)</f>
        <v>#VALUE!</v>
      </c>
      <c r="AK34" s="32" t="e">
        <f>IF($AG$34="","",$AG$34-$AY$27+$BW$27)</f>
        <v>#VALUE!</v>
      </c>
      <c r="AL34" s="32" t="e">
        <f>IF($AH$34="","",$AH$34-$AZ$27+$BX$27)</f>
        <v>#VALUE!</v>
      </c>
      <c r="AM34" s="32" t="e">
        <f>IF($AG$34="","",$AG$34-$BA$23)</f>
        <v>#VALUE!</v>
      </c>
      <c r="AN34" s="32" t="e">
        <f>IF($AH$34="","",AH$34-$BB$23)</f>
        <v>#VALUE!</v>
      </c>
      <c r="AO34" s="32" t="e">
        <f>IF($AG$34="","",$BE$23+$AG$34)</f>
        <v>#VALUE!</v>
      </c>
      <c r="AP34" s="32" t="e">
        <f>IF($AH$34="","",$AH$34+$BF$23)</f>
        <v>#VALUE!</v>
      </c>
      <c r="AQ34" s="32" t="e">
        <f>IF($AG$34="","",$BG$27+$AG$34-$BM$23)</f>
        <v>#VALUE!</v>
      </c>
      <c r="AR34" s="32" t="e">
        <f>IF($AH$34="","",$AH$34+$BH$27-$BN$23)</f>
        <v>#VALUE!</v>
      </c>
      <c r="AS34" s="32" t="e">
        <f>IF($AG$34="","",$AG$34-$AY$27+$BY$23)</f>
        <v>#VALUE!</v>
      </c>
      <c r="AT34" s="32" t="e">
        <f>IF($AH$34="","",$AH$34-$AZ$27+$BZ$23)</f>
        <v>#VALUE!</v>
      </c>
      <c r="AU34" s="38"/>
    </row>
    <row r="35" spans="1:79" ht="12" customHeight="1" x14ac:dyDescent="0.25">
      <c r="A35" s="17" t="s">
        <v>124</v>
      </c>
      <c r="B35" s="114"/>
      <c r="C35" s="4"/>
      <c r="G35" s="151" t="str">
        <f>IF(ISNUMBER($AG$89),$M$11,"")</f>
        <v/>
      </c>
      <c r="H35" s="152" t="str">
        <f>IF(ISNUMBER($AG$89),"FNL","")</f>
        <v/>
      </c>
      <c r="J35" s="153"/>
      <c r="K35" s="153"/>
      <c r="L35" s="13"/>
      <c r="M35" s="14"/>
      <c r="Q35" s="151" t="str">
        <f>IF(ISNUMBER($AE$89),$M$11,"")</f>
        <v/>
      </c>
      <c r="R35" s="152" t="str">
        <f>IF(ISNUMBER($AE$89),"FNL","")</f>
        <v/>
      </c>
      <c r="S35" s="154"/>
      <c r="T35" s="153"/>
      <c r="U35" s="5"/>
      <c r="V35" s="22"/>
      <c r="W35" s="148"/>
      <c r="X35" s="25" t="s">
        <v>124</v>
      </c>
      <c r="AA35" s="5"/>
      <c r="AB35" s="5"/>
      <c r="AC35" s="52">
        <v>3</v>
      </c>
      <c r="AD35" s="53" t="s">
        <v>272</v>
      </c>
      <c r="AE35" s="32" t="e">
        <f>IF($AI$35="","",$AI$35-$BG$27-$AY$27)</f>
        <v>#VALUE!</v>
      </c>
      <c r="AF35" s="79" t="e">
        <f>IF($AJ$35="","",$AJ$35-$BH$27-$AZ$27)</f>
        <v>#VALUE!</v>
      </c>
      <c r="AG35" s="32" t="e">
        <f>IF($AI$35="","",$AI$35-$BG$27)</f>
        <v>#VALUE!</v>
      </c>
      <c r="AH35" s="32" t="e">
        <f>IF($AJ$35="","",$AJ$35-$BH$27)</f>
        <v>#VALUE!</v>
      </c>
      <c r="AI35" s="47" t="e">
        <f>IF(AND($L$39=$R$9,ISNUMBER($K$9)),IF(AND($Y$9&gt;0,$AA$9&gt;0,$Y$9&lt;$BI$23,$AA$9&lt;$BN$23),$Y$9,""),"")</f>
        <v>#VALUE!</v>
      </c>
      <c r="AJ35" s="47" t="e">
        <f>IF(AND($L$39=$R$9,ISNUMBER($K$9)),IF(AND($Y$9&gt;0,$AA$9&gt;0,$Y$9&lt;$BI$23,$AA$9&lt;$BN$23),$AA$9,""),"")</f>
        <v>#VALUE!</v>
      </c>
      <c r="AK35" s="32" t="e">
        <f>IF($AI$35="","",$AI$35-$BO$27)</f>
        <v>#VALUE!</v>
      </c>
      <c r="AL35" s="32" t="e">
        <f>IF($AJ$35="","",$AJ$35-$BP$27)</f>
        <v>#VALUE!</v>
      </c>
      <c r="AM35" s="32" t="e">
        <f>IF($AI$35="","",$AI$35-$BG$27-$BA$27)</f>
        <v>#VALUE!</v>
      </c>
      <c r="AN35" s="32" t="e">
        <f>IF($AJ$35="","",$AJ$35-$BH$27-$BB$27)</f>
        <v>#VALUE!</v>
      </c>
      <c r="AO35" s="32" t="e">
        <f>IF($AI$35="","",$AI$35-$BI$27)</f>
        <v>#VALUE!</v>
      </c>
      <c r="AP35" s="32" t="e">
        <f>IF($AJ$35="","",$AJ$35-$BJ$27)</f>
        <v>#VALUE!</v>
      </c>
      <c r="AQ35" s="32" t="e">
        <f>IF($AI$35="","",$AI$35-$BM$27)</f>
        <v>#VALUE!</v>
      </c>
      <c r="AR35" s="32" t="e">
        <f>IF($AJ$35="","",$AJ$35-$BN$27)</f>
        <v>#VALUE!</v>
      </c>
      <c r="AS35" s="32" t="e">
        <f>IF($AI$35="","",$AI$35-$BO$27-$BU$27)</f>
        <v>#VALUE!</v>
      </c>
      <c r="AT35" s="32" t="e">
        <f>IF($AJ$35="","",$AJ$35-$BP$27-$BV$23)</f>
        <v>#VALUE!</v>
      </c>
      <c r="BE35" s="809"/>
      <c r="BF35" s="809"/>
      <c r="BG35" s="809"/>
      <c r="BH35" s="809"/>
      <c r="BI35" s="809"/>
      <c r="BJ35" s="809"/>
      <c r="BK35" s="809"/>
      <c r="BL35" s="809"/>
      <c r="BM35" s="809"/>
      <c r="BN35" s="809"/>
      <c r="BO35" s="809"/>
      <c r="BP35" s="809"/>
      <c r="BZ35" s="19"/>
      <c r="CA35" s="19"/>
    </row>
    <row r="36" spans="1:79" ht="12" customHeight="1" x14ac:dyDescent="0.25">
      <c r="A36" s="17" t="s">
        <v>130</v>
      </c>
      <c r="B36" s="114"/>
      <c r="C36" s="4"/>
      <c r="G36" s="91" t="str">
        <f>IF(ISNUMBER($AG$89),$O$11,"")</f>
        <v/>
      </c>
      <c r="H36" s="90" t="str">
        <f>IF(ISNUMBER($AG$89),"FWL","")</f>
        <v/>
      </c>
      <c r="J36" s="153"/>
      <c r="K36" s="153"/>
      <c r="L36" s="13"/>
      <c r="M36" s="14"/>
      <c r="Q36" s="91" t="str">
        <f>IF(ISNUMBER($AE$89),$O$11,"")</f>
        <v/>
      </c>
      <c r="R36" s="90" t="str">
        <f>IF(ISNUMBER($AE$89),"FEL","")</f>
        <v/>
      </c>
      <c r="S36" s="154"/>
      <c r="T36" s="153"/>
      <c r="U36" s="5"/>
      <c r="V36" s="22"/>
      <c r="W36" s="148"/>
      <c r="X36" s="25" t="s">
        <v>130</v>
      </c>
      <c r="AA36" s="5"/>
      <c r="AB36" s="5"/>
      <c r="AC36" s="756">
        <v>4</v>
      </c>
      <c r="AD36" s="758" t="s">
        <v>272</v>
      </c>
      <c r="AE36" s="45" t="e">
        <f>IF($AK$36="","",$AK$36-$BW$27)</f>
        <v>#VALUE!</v>
      </c>
      <c r="AF36" s="45" t="e">
        <f>IF($AL$36="","",$AL$36-$BX$27)</f>
        <v>#VALUE!</v>
      </c>
      <c r="AG36" s="45" t="e">
        <f>IF($AK$36="","",$AK$36+$BO$27-$BG$27)</f>
        <v>#VALUE!</v>
      </c>
      <c r="AH36" s="45" t="e">
        <f>IF($AL$36="","",$AL$36+$BP$27+$BH$27)</f>
        <v>#VALUE!</v>
      </c>
      <c r="AI36" s="45" t="e">
        <f>IF($AK$36="","",$AK$36+$BO$27)</f>
        <v>#VALUE!</v>
      </c>
      <c r="AJ36" s="45" t="e">
        <f>IF($AL$36="","",$AL$36+$BP$27)</f>
        <v>#VALUE!</v>
      </c>
      <c r="AK36" s="50" t="e">
        <f>IF(AND($L$39=$R$9,ISNUMBER($K$9)),IF(AND($Y$9&gt;0,$AA$9&lt;0,$Y$9&lt;$BU$23,-$AA$9&lt;$BR$23),$Y$9,""),"")</f>
        <v>#VALUE!</v>
      </c>
      <c r="AL36" s="50" t="e">
        <f>IF(AND($L$39=$R$9,ISNUMBER($K$9)),IF(AND($Y$9&gt;0,$AA$9&lt;0,$Y$9&lt;$BU$23,-$AA$9&lt;$BR$23),$AA$9,""),"")</f>
        <v>#VALUE!</v>
      </c>
      <c r="AM36" s="45" t="e">
        <f>IF($AK$36="","",$AK$36-$BW$27+$AW$23)</f>
        <v>#VALUE!</v>
      </c>
      <c r="AN36" s="45" t="e">
        <f>IF($AL$36="","",$AL$36-$BX$27+$AX$23)</f>
        <v>#VALUE!</v>
      </c>
      <c r="AO36" s="45" t="e">
        <f>IF($AK$36="","",$AK$36+$BO$27-$BI$23)</f>
        <v>#VALUE!</v>
      </c>
      <c r="AP36" s="45" t="e">
        <f>IF($AL$36="","",$AL$36+$BP$27-$BJ$23)</f>
        <v>#VALUE!</v>
      </c>
      <c r="AQ36" s="45" t="e">
        <f>IF($AK$36="","",$AK$36+$BQ$23)</f>
        <v>#VALUE!</v>
      </c>
      <c r="AR36" s="45" t="e">
        <f>IF($AL$36="","",$AL$36+$BR$23)</f>
        <v>#VALUE!</v>
      </c>
      <c r="AS36" s="45" t="e">
        <f>IF($AK$36="","",$AK$36-$BU$23)</f>
        <v>#VALUE!</v>
      </c>
      <c r="AT36" s="45" t="e">
        <f>IF($AL$36="","",$AL$36-$BV$23)</f>
        <v>#VALUE!</v>
      </c>
      <c r="BG36" s="53">
        <v>1</v>
      </c>
      <c r="BH36" s="53">
        <v>2</v>
      </c>
      <c r="BI36" s="53">
        <v>3</v>
      </c>
      <c r="BJ36" s="53">
        <v>4</v>
      </c>
      <c r="BK36" s="53">
        <v>5</v>
      </c>
      <c r="BL36" s="53">
        <v>6</v>
      </c>
      <c r="BM36" s="53">
        <v>7</v>
      </c>
      <c r="BN36" s="53">
        <v>8</v>
      </c>
      <c r="BO36" s="53">
        <v>9</v>
      </c>
      <c r="BZ36" s="19"/>
      <c r="CA36" s="19"/>
    </row>
    <row r="37" spans="1:79" ht="12" customHeight="1" x14ac:dyDescent="0.25">
      <c r="A37" s="17" t="s">
        <v>134</v>
      </c>
      <c r="B37" s="114"/>
      <c r="C37" s="4"/>
      <c r="J37" s="153"/>
      <c r="K37" s="153"/>
      <c r="L37" s="13"/>
      <c r="M37" s="14"/>
      <c r="S37" s="154"/>
      <c r="T37" s="153"/>
      <c r="U37" s="5"/>
      <c r="V37" s="22"/>
      <c r="W37" s="148"/>
      <c r="X37" s="25" t="s">
        <v>134</v>
      </c>
      <c r="AA37" s="5"/>
      <c r="AB37" s="5"/>
      <c r="AC37" s="944"/>
      <c r="AD37" s="911"/>
      <c r="AE37" s="80" t="str">
        <f>IF(ISNUMBER($AE$33),AE$33,IF(ISNUMBER($AG$34),AE$34,IF(ISNUMBER($AI$35),AE$35,IF(ISNUMBER($AK$36),AE$36,""))))</f>
        <v/>
      </c>
      <c r="AF37" s="80" t="str">
        <f>IF(ISNUMBER($AF$33),AF$33,IF(ISNUMBER($AH$34),AF$34,IF(ISNUMBER($AJ$35),AF$35,IF(ISNUMBER($AL$36),AF$36,""))))</f>
        <v/>
      </c>
      <c r="AG37" s="80" t="str">
        <f>IF(ISNUMBER($AE$33),AG$33,IF(ISNUMBER($AG$34),AG$34,IF(ISNUMBER($AI$35),AG$35,IF(ISNUMBER($AK$36),AG$36,""))))</f>
        <v/>
      </c>
      <c r="AH37" s="80" t="str">
        <f>IF(ISNUMBER($AF$33),AH$33,IF(ISNUMBER($AH$34),AH$34,IF(ISNUMBER($AJ$35),AH$35,IF(ISNUMBER($AL$36),AH$36,""))))</f>
        <v/>
      </c>
      <c r="AI37" s="80" t="str">
        <f>IF(ISNUMBER($AE$33),AI$33,IF(ISNUMBER($AG$34),AI$34,IF(ISNUMBER($AI$35),AI$35,IF(ISNUMBER($AK$36),AI$36,""))))</f>
        <v/>
      </c>
      <c r="AJ37" s="80" t="str">
        <f>IF(ISNUMBER($AF$33),AJ$33,IF(ISNUMBER($AH$34),AJ$34,IF(ISNUMBER($AJ$35),AJ$35,IF(ISNUMBER($AL$36),AJ$36,""))))</f>
        <v/>
      </c>
      <c r="AK37" s="80" t="str">
        <f>IF(ISNUMBER($AE$33),AK$33,IF(ISNUMBER($AG$34),AK$34,IF(ISNUMBER($AI$35),AK$35,IF(ISNUMBER($AK$36),AK$36,""))))</f>
        <v/>
      </c>
      <c r="AL37" s="80" t="str">
        <f>IF(ISNUMBER($AF$33),AL$33,IF(ISNUMBER($AH$34),AL$34,IF(ISNUMBER($AJ$35),AL$35,IF(ISNUMBER($AL$36),AL$36,""))))</f>
        <v/>
      </c>
      <c r="AM37" s="80" t="str">
        <f>IF(ISNUMBER($AE$33),AM$33,IF(ISNUMBER($AG$34),AM$34,IF(ISNUMBER($AI$35),AM$35,IF(ISNUMBER($AK$36),AM$36,""))))</f>
        <v/>
      </c>
      <c r="AN37" s="80" t="str">
        <f>IF(ISNUMBER($AF$33),AN$33,IF(ISNUMBER($AH$34),AN$34,IF(ISNUMBER($AJ$35),AN$35,IF(ISNUMBER($AL$36),AN$36,""))))</f>
        <v/>
      </c>
      <c r="AO37" s="80" t="str">
        <f>IF(ISNUMBER($AE$33),AO$33,IF(ISNUMBER($AG$34),AO$34,IF(ISNUMBER($AI$35),AO$35,IF(ISNUMBER($AK$36),AO$36,""))))</f>
        <v/>
      </c>
      <c r="AP37" s="80" t="str">
        <f>IF(ISNUMBER($AF$33),AP$33,IF(ISNUMBER($AH$34),AP$34,IF(ISNUMBER($AJ$35),AP$35,IF(ISNUMBER($AL$36),AP$36,""))))</f>
        <v/>
      </c>
      <c r="AQ37" s="80" t="str">
        <f>IF(ISNUMBER($AE$33),AQ$33,IF(ISNUMBER($AG$34),AQ$34,IF(ISNUMBER($AI$35),AQ$35,IF(ISNUMBER($AK$36),AQ$36,""))))</f>
        <v/>
      </c>
      <c r="AR37" s="80" t="str">
        <f>IF(ISNUMBER($AF$33),AR$33,IF(ISNUMBER($AH$34),AR$34,IF(ISNUMBER($AJ$35),AR$35,IF(ISNUMBER($AL$36),AR$36,""))))</f>
        <v/>
      </c>
      <c r="AS37" s="80" t="str">
        <f>IF(ISNUMBER($AE$33),AS$33,IF(ISNUMBER($AG$34),AS$34,IF(ISNUMBER($AI$35),AS$35,IF(ISNUMBER($AK$36),AS$36,""))))</f>
        <v/>
      </c>
      <c r="AT37" s="80" t="str">
        <f>IF(ISNUMBER($AF$33),AT$33,IF(ISNUMBER($AH$34),AT$34,IF(ISNUMBER($AJ$35),AT$35,IF(ISNUMBER($AL$36),AT$36,""))))</f>
        <v/>
      </c>
      <c r="BD37" s="760" t="s">
        <v>331</v>
      </c>
      <c r="BE37" s="158" t="s">
        <v>346</v>
      </c>
      <c r="BF37" s="761" t="s">
        <v>347</v>
      </c>
      <c r="BG37" s="53" t="s">
        <v>12</v>
      </c>
      <c r="BH37" s="53" t="s">
        <v>183</v>
      </c>
      <c r="BI37" s="53" t="s">
        <v>280</v>
      </c>
      <c r="BJ37" s="53" t="s">
        <v>197</v>
      </c>
      <c r="BK37" s="53" t="s">
        <v>286</v>
      </c>
      <c r="BL37" s="53" t="s">
        <v>188</v>
      </c>
      <c r="BM37" s="53" t="s">
        <v>284</v>
      </c>
      <c r="BN37" s="53" t="s">
        <v>204</v>
      </c>
      <c r="BO37" s="53" t="s">
        <v>282</v>
      </c>
      <c r="BZ37" s="19"/>
      <c r="CA37" s="19"/>
    </row>
    <row r="38" spans="1:79" ht="12" customHeight="1" thickBot="1" x14ac:dyDescent="0.3">
      <c r="A38" s="17" t="s">
        <v>140</v>
      </c>
      <c r="B38" s="112">
        <v>1</v>
      </c>
      <c r="C38" s="4"/>
      <c r="J38" s="153"/>
      <c r="K38" s="153"/>
      <c r="L38" s="13"/>
      <c r="M38" s="14"/>
      <c r="O38" s="19"/>
      <c r="P38" s="19"/>
      <c r="S38" s="154"/>
      <c r="T38" s="153"/>
      <c r="U38" s="5"/>
      <c r="V38" s="22"/>
      <c r="W38" s="112">
        <v>4</v>
      </c>
      <c r="X38" s="25" t="s">
        <v>140</v>
      </c>
      <c r="AA38" s="5"/>
      <c r="AB38" s="5"/>
      <c r="AC38" s="94"/>
      <c r="AD38" s="95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V38" s="81" t="s">
        <v>181</v>
      </c>
      <c r="AW38" s="128" t="s">
        <v>122</v>
      </c>
      <c r="AX38" s="81" t="s">
        <v>182</v>
      </c>
      <c r="AY38" s="81" t="s">
        <v>183</v>
      </c>
      <c r="AZ38" s="82" t="s">
        <v>280</v>
      </c>
      <c r="BA38" s="81" t="s">
        <v>185</v>
      </c>
      <c r="BB38" s="81" t="s">
        <v>281</v>
      </c>
      <c r="BD38" s="52">
        <v>1</v>
      </c>
      <c r="BE38" s="53" t="s">
        <v>272</v>
      </c>
      <c r="BF38" s="36" t="str">
        <f>IF(AND(ISNUMBER($AE$33), ISNUMBER($AF$33)),IF(AND($AE$33&gt;0,$AF$33&gt;0),3,IF(AND($AE$33&lt;0,IF(-$AE$33&lt;$BZ$20,$AO$71,$AO$74)&lt;0),4,IF(AND(IF(-$AF$33&lt;$AW$20,$AN$71,$AN$72)&lt;0,$AF$33&lt;0),2,""))),"")</f>
        <v/>
      </c>
      <c r="BG38" s="82">
        <v>1</v>
      </c>
      <c r="BH38" s="82">
        <v>36</v>
      </c>
      <c r="BI38" s="82">
        <v>31</v>
      </c>
      <c r="BJ38" s="82">
        <v>6</v>
      </c>
      <c r="BK38" s="82">
        <v>7</v>
      </c>
      <c r="BL38" s="82">
        <v>12</v>
      </c>
      <c r="BM38" s="82">
        <v>11</v>
      </c>
      <c r="BN38" s="82">
        <v>2</v>
      </c>
      <c r="BO38" s="82">
        <v>35</v>
      </c>
      <c r="BZ38" s="19"/>
      <c r="CA38" s="19"/>
    </row>
    <row r="39" spans="1:79" ht="12" customHeight="1" x14ac:dyDescent="0.25">
      <c r="A39" s="17" t="s">
        <v>144</v>
      </c>
      <c r="B39" s="27" t="e">
        <f>IF($L$39='SHL Section'!$L$38,IF('SHL Section'!$B$38="","",'SHL Section'!$B$38),IF($L$39='BHL Section 1'!$L$38,IF('BHL Section 1'!$B$38="","",'BHL Section 1'!$B$38),IF($L$39='BHL Section 2'!$L$38,IF('BHL Section 2'!$B$38="","",'BHL Section 2'!$B$38),IF($L$39='BHL Section 3'!$L$38,IF('BHL Section 3'!$B$38="","",'BHL Section 3'!$B$38),IF(B35="","",IF(OR(B38=1,B38=4),180-(B35+B36/60+B37/3600),(B35+B36/60+B37/3600)))))))</f>
        <v>#VALUE!</v>
      </c>
      <c r="C39" s="4"/>
      <c r="F39" s="815"/>
      <c r="I39" s="154"/>
      <c r="J39" s="153"/>
      <c r="K39" s="153"/>
      <c r="L39" s="974">
        <v>25</v>
      </c>
      <c r="M39" s="923"/>
      <c r="P39" s="815"/>
      <c r="S39" s="154"/>
      <c r="T39" s="153"/>
      <c r="U39" s="5"/>
      <c r="V39" s="22"/>
      <c r="W39" s="27" t="e">
        <f>IF($L$39='SHL Section'!$L$38,IF('SHL Section'!$W$38="","",'SHL Section'!$W$38),IF($L$39='BHL Section 1'!$L$38,IF('BHL Section 1'!$W$38="","",'BHL Section 1'!$W$38),IF($L$39='BHL Section 2'!$L$38,IF('BHL Section 2'!$W$38="","",'BHL Section 2'!$W$38),IF($L$39='BHL Section 3'!$L$38,IF('BHL Section 3'!$W$38="","",'BHL Section 3'!$W$38),IF(W35="","",IF(OR(W38=1,W38=4),180-(W35+W36/60+W37/3600),(W35+W36/60+W37/3600)))))))</f>
        <v>#VALUE!</v>
      </c>
      <c r="X39" s="25" t="s">
        <v>144</v>
      </c>
      <c r="AA39" s="5"/>
      <c r="AB39" s="5"/>
      <c r="AC39" s="52">
        <v>1</v>
      </c>
      <c r="AD39" s="53" t="s">
        <v>274</v>
      </c>
      <c r="AE39" s="47" t="e">
        <f>IF(AND($L$39=$R$10,ISNUMBER($K$10)),IF(AND($Y$10&lt;0,$AA$10&lt;0,-$Y$10&lt;$BY$23,-$AA$10&lt;$AX$23),$Y$10,""),"")</f>
        <v>#VALUE!</v>
      </c>
      <c r="AF39" s="47" t="e">
        <f>IF(AND($L$39=$R$10,ISNUMBER($K$10)),IF(AND($Y$10&lt;0,$AA$10&lt;0,-$Y$10&lt;$BY$23,-$AA$10&lt;$AX$23),$AA$10,""),"")</f>
        <v>#VALUE!</v>
      </c>
      <c r="AG39" s="32" t="e">
        <f>IF($AE$39="","",$AY$27+$AE$39)</f>
        <v>#VALUE!</v>
      </c>
      <c r="AH39" s="32" t="e">
        <f>IF($AF$39="","",$AZ$27+$AF$39)</f>
        <v>#VALUE!</v>
      </c>
      <c r="AI39" s="32" t="e">
        <f>IF($AE$39="","",$BG$27+$AY$27+$AE$39)</f>
        <v>#VALUE!</v>
      </c>
      <c r="AJ39" s="32" t="e">
        <f>IF($AF$39="","",$AZ$27+$BH$27+$AF$39)</f>
        <v>#VALUE!</v>
      </c>
      <c r="AK39" s="32" t="e">
        <f>IF($AE$39="","",$BW$27+$AE$39)</f>
        <v>#VALUE!</v>
      </c>
      <c r="AL39" s="32" t="e">
        <f>IF($AF$39="","",$AF$39+$BX$27)</f>
        <v>#VALUE!</v>
      </c>
      <c r="AM39" s="32" t="e">
        <f>IF($AE$39="","",$AW$23+$AE$39)</f>
        <v>#VALUE!</v>
      </c>
      <c r="AN39" s="32" t="e">
        <f>IF($AF$39="","",$AX$23+$AF$39)</f>
        <v>#VALUE!</v>
      </c>
      <c r="AO39" s="32" t="e">
        <f>IF($AE$39="","",$AY$27+$AE$39+$BE$23)</f>
        <v>#VALUE!</v>
      </c>
      <c r="AP39" s="32" t="e">
        <f>IF($AF$39="","",$AZ$27+$AF$39+$BF$23)</f>
        <v>#VALUE!</v>
      </c>
      <c r="AQ39" s="32" t="e">
        <f>IF($AE$39="","",$BW$27+$AE$39+$BQ$23)</f>
        <v>#VALUE!</v>
      </c>
      <c r="AR39" s="32" t="e">
        <f>IF($AF$39="","",$AF$39+$BX$27+$BR$23)</f>
        <v>#VALUE!</v>
      </c>
      <c r="AS39" s="32" t="e">
        <f>IF($AE$39="","",$BY$23+$AE$39)</f>
        <v>#VALUE!</v>
      </c>
      <c r="AT39" s="32" t="e">
        <f>IF($AF$39="","",$AF$39+$BZ$23)</f>
        <v>#VALUE!</v>
      </c>
      <c r="AV39" s="81" t="s">
        <v>186</v>
      </c>
      <c r="AW39" s="81" t="s">
        <v>128</v>
      </c>
      <c r="AX39" s="81" t="s">
        <v>187</v>
      </c>
      <c r="AY39" s="81" t="s">
        <v>188</v>
      </c>
      <c r="AZ39" s="82" t="s">
        <v>282</v>
      </c>
      <c r="BA39" s="81" t="s">
        <v>190</v>
      </c>
      <c r="BB39" s="81" t="s">
        <v>283</v>
      </c>
      <c r="BD39" s="52">
        <v>2</v>
      </c>
      <c r="BE39" s="53" t="s">
        <v>272</v>
      </c>
      <c r="BF39" s="36" t="str">
        <f>IF(AND(ISNUMBER($AG$34), ISNUMBER($AH$34)),IF(AND(IF($AH$34&lt;$BC$20,$AP$72,$AP$71)&lt;0,$AH$34&gt;0),2,IF(AND($AG$34&gt;0,$AH$34&lt;0),9,IF(AND($AG$34&lt;0,IF(-$AG$34&lt;$BD$20,$AQ$72,$AQ$73)&lt;0),8,""))),"")</f>
        <v/>
      </c>
      <c r="BG39" s="82">
        <v>2</v>
      </c>
      <c r="BH39" s="82">
        <v>35</v>
      </c>
      <c r="BI39" s="82">
        <v>36</v>
      </c>
      <c r="BJ39" s="82">
        <v>1</v>
      </c>
      <c r="BK39" s="82">
        <v>12</v>
      </c>
      <c r="BL39" s="82">
        <v>11</v>
      </c>
      <c r="BM39" s="82">
        <v>10</v>
      </c>
      <c r="BN39" s="82">
        <v>3</v>
      </c>
      <c r="BO39" s="82">
        <v>34</v>
      </c>
      <c r="BZ39" s="19"/>
      <c r="CA39" s="19"/>
    </row>
    <row r="40" spans="1:79" ht="12" customHeight="1" thickBot="1" x14ac:dyDescent="0.3">
      <c r="A40" s="948" t="str">
        <f>CONCATENATE("W QC of ",$L$39)</f>
        <v>W QC of 25</v>
      </c>
      <c r="B40" s="892"/>
      <c r="C40" s="7"/>
      <c r="D40" s="8"/>
      <c r="E40" s="8"/>
      <c r="F40" s="8"/>
      <c r="G40" s="8"/>
      <c r="H40" s="8"/>
      <c r="I40" s="8"/>
      <c r="J40" s="8"/>
      <c r="K40" s="8"/>
      <c r="L40" s="924"/>
      <c r="M40" s="926"/>
      <c r="N40" s="8"/>
      <c r="O40" s="8"/>
      <c r="P40" s="8"/>
      <c r="Q40" s="8"/>
      <c r="R40" s="8"/>
      <c r="S40" s="8"/>
      <c r="T40" s="8"/>
      <c r="U40" s="8"/>
      <c r="V40" s="24"/>
      <c r="W40" s="959" t="str">
        <f>CONCATENATE("E QC of ",$L$39)</f>
        <v>E QC of 25</v>
      </c>
      <c r="X40" s="904"/>
      <c r="AA40" s="5"/>
      <c r="AB40" s="5"/>
      <c r="AC40" s="52">
        <v>2</v>
      </c>
      <c r="AD40" s="53" t="s">
        <v>274</v>
      </c>
      <c r="AE40" s="32" t="e">
        <f>IF($AG$40="","",$AG$40-$AY$27)</f>
        <v>#VALUE!</v>
      </c>
      <c r="AF40" s="32" t="e">
        <f>IF($AH$40="","",$AH$40-$AZ$27)</f>
        <v>#VALUE!</v>
      </c>
      <c r="AG40" s="47" t="e">
        <f>IF(AND($L$39=$R$10,ISNUMBER($K$10)),IF(AND($Y$10&lt;0,$AA$10&gt;0,-$Y$10&lt;$BE$23,$AA$10&lt;$BB$23),$Y$10,""),"")</f>
        <v>#VALUE!</v>
      </c>
      <c r="AH40" s="47" t="e">
        <f>IF(AND($L$39=$R$10,ISNUMBER($K$10)),IF(AND($Y$10&lt;0,$AA$10&gt;0,-$Y$10&lt;$BE$23,$AA$10&lt;$BB$23),$AA$10,""),"")</f>
        <v>#VALUE!</v>
      </c>
      <c r="AI40" s="32" t="e">
        <f>IF($AG$40="","",$BG$27+$AG$40)</f>
        <v>#VALUE!</v>
      </c>
      <c r="AJ40" s="32" t="e">
        <f>IF($AH$40="","",$AH$40+$BH$27)</f>
        <v>#VALUE!</v>
      </c>
      <c r="AK40" s="32" t="e">
        <f>IF($AG$40="","",$AG$40-$AY$27+$BW$27)</f>
        <v>#VALUE!</v>
      </c>
      <c r="AL40" s="32" t="e">
        <f>IF($AH$40="","",$AH$40-$AZ$27+$BX$27)</f>
        <v>#VALUE!</v>
      </c>
      <c r="AM40" s="32" t="e">
        <f>IF($AG$40="","",$AG$40-$BA$23)</f>
        <v>#VALUE!</v>
      </c>
      <c r="AN40" s="32" t="e">
        <f>IF($AH$40="","",AH$40-$BB$23)</f>
        <v>#VALUE!</v>
      </c>
      <c r="AO40" s="32" t="e">
        <f>IF($AG$40="","",$BE$23+$AG$40)</f>
        <v>#VALUE!</v>
      </c>
      <c r="AP40" s="32" t="e">
        <f>IF($AH$40="","",$AH$40+$BF$23)</f>
        <v>#VALUE!</v>
      </c>
      <c r="AQ40" s="32" t="e">
        <f>IF($AG$40="","",$BG$27+$AG$40-$BM$23)</f>
        <v>#VALUE!</v>
      </c>
      <c r="AR40" s="32" t="e">
        <f>IF($AH$40="","",$AH$40+$BH$27-$BN$23)</f>
        <v>#VALUE!</v>
      </c>
      <c r="AS40" s="32" t="e">
        <f>IF($AG$40="","",$AG$40-$AY$27+$BY$23)</f>
        <v>#VALUE!</v>
      </c>
      <c r="AT40" s="32" t="e">
        <f>IF($AH$40="","",$AH$40-$AZ$27+$BZ$23)</f>
        <v>#VALUE!</v>
      </c>
      <c r="AV40" s="81" t="s">
        <v>194</v>
      </c>
      <c r="AW40" s="81" t="s">
        <v>408</v>
      </c>
      <c r="AX40" s="81" t="s">
        <v>196</v>
      </c>
      <c r="AY40" s="81" t="s">
        <v>197</v>
      </c>
      <c r="AZ40" s="82" t="s">
        <v>284</v>
      </c>
      <c r="BA40" s="81"/>
      <c r="BB40" s="81" t="s">
        <v>285</v>
      </c>
      <c r="BD40" s="52">
        <v>3</v>
      </c>
      <c r="BE40" s="53" t="s">
        <v>272</v>
      </c>
      <c r="BF40" s="36" t="str">
        <f>IF(AND(ISNUMBER($AI$35), ISNUMBER($AJ$35)),IF(AND($AI$35&gt;0,IF($AI$35&lt;$BJ$20,$AS$73,$AS$72)&lt;0),8,IF(AND($AI$35&lt;0,$AJ$35&lt;0),7,IF(AND(IF($AJ$35&lt;$BM$20,$AR$73,$AR$74)&lt;0,$AJ$35&gt;0),6,""))),"")</f>
        <v/>
      </c>
      <c r="BG40" s="82">
        <v>3</v>
      </c>
      <c r="BH40" s="82">
        <v>34</v>
      </c>
      <c r="BI40" s="82">
        <v>35</v>
      </c>
      <c r="BJ40" s="82">
        <v>2</v>
      </c>
      <c r="BK40" s="82">
        <v>11</v>
      </c>
      <c r="BL40" s="82">
        <v>10</v>
      </c>
      <c r="BM40" s="82">
        <v>9</v>
      </c>
      <c r="BN40" s="82">
        <v>4</v>
      </c>
      <c r="BO40" s="82">
        <v>33</v>
      </c>
      <c r="BZ40" s="19"/>
      <c r="CA40" s="19"/>
    </row>
    <row r="41" spans="1:79" ht="12" customHeight="1" x14ac:dyDescent="0.25">
      <c r="A41" s="904"/>
      <c r="B41" s="892"/>
      <c r="C41" s="9"/>
      <c r="D41" s="10"/>
      <c r="E41" s="10"/>
      <c r="F41" s="10"/>
      <c r="G41" s="10"/>
      <c r="H41" s="10"/>
      <c r="I41" s="10"/>
      <c r="J41" s="10"/>
      <c r="K41" s="10"/>
      <c r="L41" s="924"/>
      <c r="M41" s="926"/>
      <c r="N41" s="10"/>
      <c r="O41" s="10"/>
      <c r="P41" s="10"/>
      <c r="Q41" s="10"/>
      <c r="R41" s="10"/>
      <c r="S41" s="10"/>
      <c r="T41" s="10"/>
      <c r="U41" s="10"/>
      <c r="V41" s="22"/>
      <c r="W41" s="904"/>
      <c r="X41" s="904"/>
      <c r="AA41" s="5"/>
      <c r="AB41" s="5"/>
      <c r="AC41" s="52">
        <v>3</v>
      </c>
      <c r="AD41" s="53" t="s">
        <v>274</v>
      </c>
      <c r="AE41" s="32" t="e">
        <f>IF($AI$41="","",$AI$41-$BG$27-$AY$27)</f>
        <v>#VALUE!</v>
      </c>
      <c r="AF41" s="79" t="e">
        <f>IF($AJ$41="","",$AJ$41-$BH$27-$AZ$27)</f>
        <v>#VALUE!</v>
      </c>
      <c r="AG41" s="32" t="e">
        <f>IF($AI$41="","",$AI$41-$BG$27)</f>
        <v>#VALUE!</v>
      </c>
      <c r="AH41" s="32" t="e">
        <f>IF($AJ$41="","",$AJ$41-$BH$27)</f>
        <v>#VALUE!</v>
      </c>
      <c r="AI41" s="47" t="e">
        <f>IF(AND($L$39=$R$10,ISNUMBER($K$10)),IF(AND($Y$10&gt;0,$AA$10&gt;0,$Y$10&lt;$BI$23,$AA$10&lt;$BN$23),$Y$10,""),"")</f>
        <v>#VALUE!</v>
      </c>
      <c r="AJ41" s="47" t="e">
        <f>IF(AND($L$39=$R$10,ISNUMBER($K$10)),IF(AND($Y$10&gt;0,$AA$10&gt;0,$Y$10&lt;$BI$23,$AA$10&lt;$BN$23),$AA$10,""),"")</f>
        <v>#VALUE!</v>
      </c>
      <c r="AK41" s="32" t="e">
        <f>IF($AI$41="","",$AI$41-$BO$27)</f>
        <v>#VALUE!</v>
      </c>
      <c r="AL41" s="32" t="e">
        <f>IF($AJ$41="","",$AJ$41-$BP$27)</f>
        <v>#VALUE!</v>
      </c>
      <c r="AM41" s="32" t="e">
        <f>IF($AI$41="","",$AI$41-$BG$27-$BA$27)</f>
        <v>#VALUE!</v>
      </c>
      <c r="AN41" s="32" t="e">
        <f>IF($AJ$41="","",$AJ$41-$BH$27-$BB$27)</f>
        <v>#VALUE!</v>
      </c>
      <c r="AO41" s="32" t="e">
        <f>IF($AI$41="","",$AI$41-$BI$27)</f>
        <v>#VALUE!</v>
      </c>
      <c r="AP41" s="32" t="e">
        <f>IF($AJ$41="","",$AJ$41-$BJ$27)</f>
        <v>#VALUE!</v>
      </c>
      <c r="AQ41" s="32" t="e">
        <f>IF($AI$41="","",$AI$41-$BM$27)</f>
        <v>#VALUE!</v>
      </c>
      <c r="AR41" s="32" t="e">
        <f>IF($AJ$41="","",$AJ$41-$BN$27)</f>
        <v>#VALUE!</v>
      </c>
      <c r="AS41" s="32" t="e">
        <f>IF($AI$41="","",$AI$41-$BO$27-$BU$27)</f>
        <v>#VALUE!</v>
      </c>
      <c r="AT41" s="32" t="e">
        <f>IF($AJ$41="","",$AJ$41-$BP$27-$BV$23)</f>
        <v>#VALUE!</v>
      </c>
      <c r="AV41" s="81" t="s">
        <v>201</v>
      </c>
      <c r="AW41" s="81"/>
      <c r="AX41" s="81" t="s">
        <v>203</v>
      </c>
      <c r="AY41" s="81" t="s">
        <v>204</v>
      </c>
      <c r="AZ41" s="82" t="s">
        <v>286</v>
      </c>
      <c r="BA41" s="81"/>
      <c r="BB41" s="81" t="s">
        <v>287</v>
      </c>
      <c r="BD41" s="756">
        <v>4</v>
      </c>
      <c r="BE41" s="758" t="s">
        <v>272</v>
      </c>
      <c r="BF41" s="120" t="str">
        <f>IF(AND(ISNUMBER($AK$36), ISNUMBER($AL$36)),IF(AND(IF(-$AL$36&lt;$BS$20,$AT$74,$AT$73)&lt;0,$AL$36&lt;0),6,IF(AND($AK$36&lt;0,$AL$36&gt;0),5,IF(AND($AK$36&gt;0,IF($AK$36&lt;$BT$20,$AU$74,$AU$71)&lt;0),4,""))),"")</f>
        <v/>
      </c>
      <c r="BG41" s="82">
        <v>4</v>
      </c>
      <c r="BH41" s="82">
        <v>33</v>
      </c>
      <c r="BI41" s="82">
        <v>34</v>
      </c>
      <c r="BJ41" s="82">
        <v>3</v>
      </c>
      <c r="BK41" s="82">
        <v>10</v>
      </c>
      <c r="BL41" s="82">
        <v>9</v>
      </c>
      <c r="BM41" s="82">
        <v>8</v>
      </c>
      <c r="BN41" s="82">
        <v>5</v>
      </c>
      <c r="BO41" s="82">
        <v>32</v>
      </c>
      <c r="BZ41" s="19"/>
      <c r="CA41" s="19"/>
    </row>
    <row r="42" spans="1:79" ht="12" customHeight="1" thickBot="1" x14ac:dyDescent="0.3">
      <c r="B42" s="44" t="e">
        <f>IF($L$39='SHL Section'!$L$38,'SHL Section'!$B$41,IF($L$39='BHL Section 1'!$L$38,'BHL Section 1'!$B$41,IF($L$39='BHL Section 2'!$L$38,'BHL Section 2'!$B$41,IF($L$39='BHL Section 3'!$L$38,'BHL Section 3'!$B$41,$B$43))))</f>
        <v>#VALUE!</v>
      </c>
      <c r="C42" s="4"/>
      <c r="L42" s="927"/>
      <c r="M42" s="929"/>
      <c r="V42" s="22"/>
      <c r="W42" s="44" t="e">
        <f>IF($L$39='SHL Section'!$L$38,'SHL Section'!$W$41,IF($L$39='BHL Section 1'!$L$38,'BHL Section 1'!$W$41,IF($L$39='BHL Section 2'!$L$38,'BHL Section 2'!$W$41,IF($L$39='BHL Section 3'!$L$38,'BHL Section 3'!$W$41,$W$43))))</f>
        <v>#VALUE!</v>
      </c>
      <c r="AA42" s="5"/>
      <c r="AB42" s="29"/>
      <c r="AC42" s="756">
        <v>4</v>
      </c>
      <c r="AD42" s="758" t="s">
        <v>274</v>
      </c>
      <c r="AE42" s="45" t="e">
        <f>IF($AK$42="","",$AK$42-$BW$27)</f>
        <v>#VALUE!</v>
      </c>
      <c r="AF42" s="45" t="e">
        <f>IF($AL$42="","",$AL$42-$BX$27)</f>
        <v>#VALUE!</v>
      </c>
      <c r="AG42" s="45" t="e">
        <f>IF($AK$42="","",$AK$42+$BO$27-$BG$27)</f>
        <v>#VALUE!</v>
      </c>
      <c r="AH42" s="45" t="e">
        <f>IF($AL$42="","",$AL$42+$BP$27+$BH$27)</f>
        <v>#VALUE!</v>
      </c>
      <c r="AI42" s="45" t="e">
        <f>IF($AK$42="","",$AK$42+$BO$27)</f>
        <v>#VALUE!</v>
      </c>
      <c r="AJ42" s="45" t="e">
        <f>IF($AL$42="","",$AL$42+$BP$27)</f>
        <v>#VALUE!</v>
      </c>
      <c r="AK42" s="50" t="e">
        <f>IF(AND($L$39=$R$10,ISNUMBER($K$10)),IF(AND($Y$10&gt;0,$AA$10&lt;0,$Y$10&lt;$BU$23,-$AA$10&lt;$BR$23),$Y$10,""),"")</f>
        <v>#VALUE!</v>
      </c>
      <c r="AL42" s="50" t="e">
        <f>IF(AND($L$39=$R$10,ISNUMBER($K$10)),IF(AND($Y$10&gt;0,$AA$10&lt;0,$Y$10&lt;$BU$23,-$AA$10&lt;$BR$23),$AA$10,""),"")</f>
        <v>#VALUE!</v>
      </c>
      <c r="AM42" s="45" t="e">
        <f>IF($AK$42="","",$AK$42-$BW$27+$AW$23)</f>
        <v>#VALUE!</v>
      </c>
      <c r="AN42" s="45" t="e">
        <f>IF($AL$42="","",$AL$42-$BX$27+$AX$23)</f>
        <v>#VALUE!</v>
      </c>
      <c r="AO42" s="45" t="e">
        <f>IF($AK$42="","",$AK$42+$BO$27-$BI$23)</f>
        <v>#VALUE!</v>
      </c>
      <c r="AP42" s="45" t="e">
        <f>IF($AL$42="","",$AL$42+$BP$27-$BJ$23)</f>
        <v>#VALUE!</v>
      </c>
      <c r="AQ42" s="45" t="e">
        <f>IF($AK$42="","",$AK$42+$BQ$23)</f>
        <v>#VALUE!</v>
      </c>
      <c r="AR42" s="45" t="e">
        <f>IF($AL$42="","",$AL$42+$BR$23)</f>
        <v>#VALUE!</v>
      </c>
      <c r="AS42" s="45" t="e">
        <f>IF($AK$42="","",$AK$42-$BU$23)</f>
        <v>#VALUE!</v>
      </c>
      <c r="AT42" s="45" t="e">
        <f>IF($AL$42="","",$AL$42-$BV$23)</f>
        <v>#VALUE!</v>
      </c>
      <c r="AV42" s="81"/>
      <c r="AW42" s="81"/>
      <c r="AX42" s="81"/>
      <c r="AY42" s="81"/>
      <c r="AZ42" s="81"/>
      <c r="BA42" s="81"/>
      <c r="BB42" s="81" t="s">
        <v>288</v>
      </c>
      <c r="BD42" s="52">
        <v>1</v>
      </c>
      <c r="BE42" s="53" t="s">
        <v>274</v>
      </c>
      <c r="BF42" s="36" t="str">
        <f>IF(AND(ISNUMBER($AE$39), ISNUMBER($AF$39)),IF(AND($AE$39&gt;0,$AF$39&gt;0),3,IF(AND($AE$39&lt;0,IF(-$AE$39&lt;$BZ$20,$AO$82,$AO$85)&lt;0),4,IF(AND(IF(-$AF$39&lt;$AW$20,$AN$82,$AN$83)&lt;0,$AF$39&lt;0),2,""))),"")</f>
        <v/>
      </c>
      <c r="BG42" s="82">
        <v>5</v>
      </c>
      <c r="BH42" s="82">
        <v>32</v>
      </c>
      <c r="BI42" s="82">
        <v>33</v>
      </c>
      <c r="BJ42" s="82">
        <v>4</v>
      </c>
      <c r="BK42" s="82">
        <v>9</v>
      </c>
      <c r="BL42" s="82">
        <v>8</v>
      </c>
      <c r="BM42" s="82">
        <v>7</v>
      </c>
      <c r="BN42" s="82">
        <v>6</v>
      </c>
      <c r="BO42" s="82">
        <v>31</v>
      </c>
      <c r="BZ42" s="19"/>
      <c r="CA42" s="19"/>
    </row>
    <row r="43" spans="1:79" ht="12" customHeight="1" x14ac:dyDescent="0.25">
      <c r="A43" s="17" t="s">
        <v>118</v>
      </c>
      <c r="B43" s="110"/>
      <c r="C43" s="4"/>
      <c r="G43" s="831" t="s">
        <v>348</v>
      </c>
      <c r="H43" s="832"/>
      <c r="L43" s="13"/>
      <c r="M43" s="14"/>
      <c r="Q43" s="831" t="s">
        <v>349</v>
      </c>
      <c r="R43" s="832"/>
      <c r="U43" s="155"/>
      <c r="V43" s="22"/>
      <c r="W43" s="162"/>
      <c r="X43" s="25" t="s">
        <v>118</v>
      </c>
      <c r="AA43" s="5"/>
      <c r="AB43" s="29"/>
      <c r="AC43" s="944"/>
      <c r="AD43" s="911"/>
      <c r="AE43" s="80" t="str">
        <f>IF(ISNUMBER($AE$39),AE$39,IF(ISNUMBER($AG$40),AE$40,IF(ISNUMBER($AI$41),AE$41,IF(ISNUMBER($AK$42),AE$42,""))))</f>
        <v/>
      </c>
      <c r="AF43" s="80" t="str">
        <f>IF(ISNUMBER($AF$39),AF$39,IF(ISNUMBER($AH$40),AF$40,IF(ISNUMBER($AJ$41),AF$41,IF(ISNUMBER($AL$42),AF$42,""))))</f>
        <v/>
      </c>
      <c r="AG43" s="80" t="str">
        <f>IF(ISNUMBER($AE$39),AG$39,IF(ISNUMBER($AG$40),AG$40,IF(ISNUMBER($AI$41),AG$41,IF(ISNUMBER($AK$42),AG$42,""))))</f>
        <v/>
      </c>
      <c r="AH43" s="80" t="str">
        <f>IF(ISNUMBER($AF$39),AH$39,IF(ISNUMBER($AH$40),AH$40,IF(ISNUMBER($AJ$41),AH$41,IF(ISNUMBER($AL$42),AH$42,""))))</f>
        <v/>
      </c>
      <c r="AI43" s="80" t="str">
        <f>IF(ISNUMBER($AE$39),AI$39,IF(ISNUMBER($AG$40),AI$40,IF(ISNUMBER($AI$41),AI$41,IF(ISNUMBER($AK$42),AI$42,""))))</f>
        <v/>
      </c>
      <c r="AJ43" s="80" t="str">
        <f>IF(ISNUMBER($AF$39),AJ$39,IF(ISNUMBER($AH$40),AJ$40,IF(ISNUMBER($AJ$41),AJ$41,IF(ISNUMBER($AL$42),AJ$42,""))))</f>
        <v/>
      </c>
      <c r="AK43" s="80" t="str">
        <f>IF(ISNUMBER($AE$39),AK$39,IF(ISNUMBER($AG$40),AK$40,IF(ISNUMBER($AI$41),AK$41,IF(ISNUMBER($AK$42),AK$42,""))))</f>
        <v/>
      </c>
      <c r="AL43" s="80" t="str">
        <f>IF(ISNUMBER($AF$39),AL$39,IF(ISNUMBER($AH$40),AL$40,IF(ISNUMBER($AJ$41),AL$41,IF(ISNUMBER($AL$42),AL$42,""))))</f>
        <v/>
      </c>
      <c r="AM43" s="80" t="str">
        <f>IF(ISNUMBER($AE$39),AM$39,IF(ISNUMBER($AG$40),AM$40,IF(ISNUMBER($AI$41),AM$41,IF(ISNUMBER($AK$42),AM$42,""))))</f>
        <v/>
      </c>
      <c r="AN43" s="80" t="str">
        <f>IF(ISNUMBER($AF$39),AN$39,IF(ISNUMBER($AH$40),AN$40,IF(ISNUMBER($AJ$41),AN$41,IF(ISNUMBER($AL$42),AN$42,""))))</f>
        <v/>
      </c>
      <c r="AO43" s="80" t="str">
        <f>IF(ISNUMBER($AE$39),AO$39,IF(ISNUMBER($AG$40),AO$40,IF(ISNUMBER($AI$41),AO$41,IF(ISNUMBER($AK$42),AO$42,""))))</f>
        <v/>
      </c>
      <c r="AP43" s="80" t="str">
        <f>IF(ISNUMBER($AF$39),AP$39,IF(ISNUMBER($AH$40),AP$40,IF(ISNUMBER($AJ$41),AP$41,IF(ISNUMBER($AL$42),AP$42,""))))</f>
        <v/>
      </c>
      <c r="AQ43" s="80" t="str">
        <f>IF(ISNUMBER($AE$39),AQ$39,IF(ISNUMBER($AG$40),AQ$40,IF(ISNUMBER($AI$41),AQ$41,IF(ISNUMBER($AK$42),AQ$42,""))))</f>
        <v/>
      </c>
      <c r="AR43" s="80" t="str">
        <f>IF(ISNUMBER($AF$39),AR$39,IF(ISNUMBER($AH$40),AR$40,IF(ISNUMBER($AJ$41),AR$41,IF(ISNUMBER($AL$42),AR$42,""))))</f>
        <v/>
      </c>
      <c r="AS43" s="80" t="str">
        <f>IF(ISNUMBER($AE$39),AS$39,IF(ISNUMBER($AG$40),AS$40,IF(ISNUMBER($AI$41),AS$41,IF(ISNUMBER($AK$42),AS$42,""))))</f>
        <v/>
      </c>
      <c r="AT43" s="80" t="str">
        <f>IF(ISNUMBER($AF$39),AT$39,IF(ISNUMBER($AH$40),AT$40,IF(ISNUMBER($AJ$41),AT$41,IF(ISNUMBER($AL$42),AT$42,""))))</f>
        <v/>
      </c>
      <c r="AV43" s="81"/>
      <c r="AW43" s="81"/>
      <c r="AX43" s="81"/>
      <c r="AY43" s="81"/>
      <c r="AZ43" s="81"/>
      <c r="BA43" s="81"/>
      <c r="BB43" s="81" t="s">
        <v>289</v>
      </c>
      <c r="BD43" s="52">
        <v>2</v>
      </c>
      <c r="BE43" s="53" t="s">
        <v>274</v>
      </c>
      <c r="BF43" s="36" t="str">
        <f>IF(AND(ISNUMBER($AG$40), ISNUMBER($AH$40)),IF(AND(IF($AH$40&lt;$BC$20,$AP$83,$AP$82)&lt;0,$AH$40&gt;0),2,IF(AND($AG$40&gt;0,$AH$40&lt;0),9,IF(AND($AG$40&lt;0,IF(-$AG$40&lt;$BD$20,$AQ$83,$AQ$84)&lt;0),8,""))),"")</f>
        <v/>
      </c>
      <c r="BG43" s="82">
        <v>6</v>
      </c>
      <c r="BH43" s="82">
        <v>31</v>
      </c>
      <c r="BI43" s="82">
        <v>32</v>
      </c>
      <c r="BJ43" s="82">
        <v>5</v>
      </c>
      <c r="BK43" s="82">
        <v>8</v>
      </c>
      <c r="BL43" s="82">
        <v>7</v>
      </c>
      <c r="BM43" s="82">
        <v>12</v>
      </c>
      <c r="BN43" s="82">
        <v>1</v>
      </c>
      <c r="BO43" s="82">
        <v>36</v>
      </c>
      <c r="BZ43" s="19"/>
      <c r="CA43" s="19"/>
    </row>
    <row r="44" spans="1:79" ht="12" customHeight="1" x14ac:dyDescent="0.25">
      <c r="A44" s="17" t="s">
        <v>124</v>
      </c>
      <c r="B44" s="111"/>
      <c r="C44" s="4"/>
      <c r="G44" s="99" t="str">
        <f>IF(ISNUMBER($AI$67),$C$9,"")</f>
        <v/>
      </c>
      <c r="H44" s="150" t="str">
        <f>IF(AND(G45="",G46=""),"",IF($AI$67=1,"NE/SW",IF($AI$67=2,"NW/SW",IF($AI$67=3,"SW/SW",IF($AI$67=4,"SE/SW","")))))</f>
        <v/>
      </c>
      <c r="L44" s="13"/>
      <c r="M44" s="14"/>
      <c r="Q44" s="99" t="str">
        <f>IF(ISNUMBER($AK$67),$C$9,"")</f>
        <v/>
      </c>
      <c r="R44" s="150" t="str">
        <f>IF(AND(Q45="",Q46=""),"",IF($AK$67=1,"NE/SE",IF($AK$67=2,"NW/SE",IF($AK$67=3,"SW/SE",IF($AK$67=4,"SE/SE","")))))</f>
        <v/>
      </c>
      <c r="U44" s="155"/>
      <c r="V44" s="22"/>
      <c r="W44" s="147"/>
      <c r="X44" s="25" t="s">
        <v>124</v>
      </c>
      <c r="AA44" s="5"/>
      <c r="AB44" s="5"/>
      <c r="AC44" s="94"/>
      <c r="AD44" s="95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V44" s="81"/>
      <c r="AW44" s="81"/>
      <c r="AX44" s="81"/>
      <c r="AY44" s="81"/>
      <c r="AZ44" s="81"/>
      <c r="BA44" s="81"/>
      <c r="BB44" s="81" t="s">
        <v>290</v>
      </c>
      <c r="BD44" s="52">
        <v>3</v>
      </c>
      <c r="BE44" s="53" t="s">
        <v>274</v>
      </c>
      <c r="BF44" s="36" t="str">
        <f>IF(AND(ISNUMBER($AI$41), ISNUMBER($AJ$41)),IF(AND($AI$41&gt;0,IF($AI$41&lt;$BJ$20,$AS$84,$AS$83)&lt;0),8,IF(AND($AI$41&lt;0,$AJ$41&lt;0),7,IF(AND(IF($AJ$41&lt;$BM$20,$AR$84,$AR$85)&lt;0,$AJ$41&gt;0),6,""))),"")</f>
        <v/>
      </c>
      <c r="BG44" s="82">
        <v>7</v>
      </c>
      <c r="BH44" s="82">
        <v>6</v>
      </c>
      <c r="BI44" s="82">
        <v>5</v>
      </c>
      <c r="BJ44" s="82">
        <v>8</v>
      </c>
      <c r="BK44" s="82">
        <v>17</v>
      </c>
      <c r="BL44" s="82">
        <v>18</v>
      </c>
      <c r="BM44" s="82">
        <v>13</v>
      </c>
      <c r="BN44" s="82">
        <v>12</v>
      </c>
      <c r="BO44" s="82">
        <v>1</v>
      </c>
      <c r="BZ44" s="19"/>
      <c r="CA44" s="19"/>
    </row>
    <row r="45" spans="1:79" ht="12" customHeight="1" x14ac:dyDescent="0.25">
      <c r="A45" s="17" t="s">
        <v>130</v>
      </c>
      <c r="B45" s="111"/>
      <c r="C45" s="4"/>
      <c r="G45" s="151" t="str">
        <f>IF(ISNUMBER($AI$67),$M$9,"")</f>
        <v/>
      </c>
      <c r="H45" s="152" t="str">
        <f>IF(ISNUMBER($AI$67),"FSL","")</f>
        <v/>
      </c>
      <c r="J45" s="19"/>
      <c r="K45" s="19"/>
      <c r="L45" s="13"/>
      <c r="M45" s="14"/>
      <c r="Q45" s="151" t="str">
        <f>IF(ISNUMBER($AK$67),$M$9,"")</f>
        <v/>
      </c>
      <c r="R45" s="152" t="str">
        <f>IF(ISNUMBER($AK$67),"FSL","")</f>
        <v/>
      </c>
      <c r="T45" s="19"/>
      <c r="U45" s="155"/>
      <c r="V45" s="22"/>
      <c r="W45" s="147"/>
      <c r="X45" s="25" t="s">
        <v>130</v>
      </c>
      <c r="AA45" s="5"/>
      <c r="AB45" s="29"/>
      <c r="AC45" s="52">
        <v>1</v>
      </c>
      <c r="AD45" s="53" t="s">
        <v>276</v>
      </c>
      <c r="AE45" s="47" t="e">
        <f>IF(AND($L$39=$R$11,ISNUMBER($K$11)),IF(AND($Y$11&lt;0,$AA$11&lt;0,-$Y$11&lt;$BY$23,-$AA$11&lt;$AX$23),$Y$11,""),"")</f>
        <v>#VALUE!</v>
      </c>
      <c r="AF45" s="47" t="e">
        <f>IF(AND($L$39=$R$11,ISNUMBER($K$11)),IF(AND($Y$11&lt;0,$AA$11&lt;0,-$Y$11&lt;$BY$23,-$AA$11&lt;$AX$23),$AA$11,""),"")</f>
        <v>#VALUE!</v>
      </c>
      <c r="AG45" s="32" t="e">
        <f>IF($AE$45="","",$AY$27+$AE$45)</f>
        <v>#VALUE!</v>
      </c>
      <c r="AH45" s="32" t="e">
        <f>IF($AF$45="","",$AZ$27+$AF$45)</f>
        <v>#VALUE!</v>
      </c>
      <c r="AI45" s="32" t="e">
        <f>IF($AE$45="","",$BG$27+$AY$27+$AE$45)</f>
        <v>#VALUE!</v>
      </c>
      <c r="AJ45" s="32" t="e">
        <f>IF($AF$45="","",$AZ$27+$BH$27+$AF$45)</f>
        <v>#VALUE!</v>
      </c>
      <c r="AK45" s="32" t="e">
        <f>IF($AE$45="","",$BW$27+$AE$45)</f>
        <v>#VALUE!</v>
      </c>
      <c r="AL45" s="32" t="e">
        <f>IF($AF$45="","",$AF$45+$BX$27)</f>
        <v>#VALUE!</v>
      </c>
      <c r="AM45" s="32" t="e">
        <f>IF($AE$45="","",$AW$23+$AE$45)</f>
        <v>#VALUE!</v>
      </c>
      <c r="AN45" s="32" t="e">
        <f>IF($AF$45="","",$AX$23+$AF$45)</f>
        <v>#VALUE!</v>
      </c>
      <c r="AO45" s="32" t="e">
        <f>IF($AE$45="","",$AY$27+$AE$45+$BE$23)</f>
        <v>#VALUE!</v>
      </c>
      <c r="AP45" s="32" t="e">
        <f>IF($AF$45="","",$AZ$27+$AF$45+$BF$23)</f>
        <v>#VALUE!</v>
      </c>
      <c r="AQ45" s="32" t="e">
        <f>IF($AE$45="","",$BW$27+$AE$45+$BQ$23)</f>
        <v>#VALUE!</v>
      </c>
      <c r="AR45" s="32" t="e">
        <f>IF($AF$45="","",$AF$45+$BX$27+$BR$23)</f>
        <v>#VALUE!</v>
      </c>
      <c r="AS45" s="32" t="e">
        <f>IF($AE$45="","",$BY$23+$AE$45)</f>
        <v>#VALUE!</v>
      </c>
      <c r="AT45" s="32" t="e">
        <f>IF($AF$45="","",$AF$45+$BZ$23)</f>
        <v>#VALUE!</v>
      </c>
      <c r="AV45" s="81"/>
      <c r="AW45" s="81"/>
      <c r="AX45" s="81"/>
      <c r="AY45" s="81"/>
      <c r="AZ45" s="81"/>
      <c r="BA45" s="81"/>
      <c r="BB45" s="81" t="s">
        <v>291</v>
      </c>
      <c r="BD45" s="756">
        <v>4</v>
      </c>
      <c r="BE45" s="758" t="s">
        <v>274</v>
      </c>
      <c r="BF45" s="120" t="str">
        <f>IF(AND(ISNUMBER($AK$42), ISNUMBER($AL$42)),IF(AND(IF(-$AL$42&lt;$BS$20,$AT$85,$AT$84)&lt;0,$AL$42&lt;0),6,IF(AND($AK$42&lt;0,$AL$42&gt;0),5,IF(AND($AK$42&gt;0,IF($AK$42&lt;$BT$20,$AU$85,$AU$82)&lt;0),4,""))),"")</f>
        <v/>
      </c>
      <c r="BG45" s="82">
        <v>8</v>
      </c>
      <c r="BH45" s="82">
        <v>5</v>
      </c>
      <c r="BI45" s="82">
        <v>4</v>
      </c>
      <c r="BJ45" s="82">
        <v>9</v>
      </c>
      <c r="BK45" s="82">
        <v>16</v>
      </c>
      <c r="BL45" s="82">
        <v>17</v>
      </c>
      <c r="BM45" s="82">
        <v>18</v>
      </c>
      <c r="BN45" s="82">
        <v>7</v>
      </c>
      <c r="BO45" s="82">
        <v>6</v>
      </c>
      <c r="BZ45" s="19"/>
      <c r="CA45" s="19"/>
    </row>
    <row r="46" spans="1:79" ht="12" customHeight="1" x14ac:dyDescent="0.25">
      <c r="A46" s="17" t="s">
        <v>134</v>
      </c>
      <c r="B46" s="111"/>
      <c r="C46" s="4"/>
      <c r="G46" s="91" t="str">
        <f>IF(ISNUMBER($AI$67),$O$9,"")</f>
        <v/>
      </c>
      <c r="H46" s="90" t="str">
        <f>IF(ISNUMBER($AI$67),"FWL","")</f>
        <v/>
      </c>
      <c r="J46" s="19"/>
      <c r="K46" s="19"/>
      <c r="L46" s="13"/>
      <c r="M46" s="14"/>
      <c r="Q46" s="91" t="str">
        <f>IF(ISNUMBER($AK$67),$O$9,"")</f>
        <v/>
      </c>
      <c r="R46" s="90" t="str">
        <f>IF(ISNUMBER($AK$67),"FEL","")</f>
        <v/>
      </c>
      <c r="T46" s="19"/>
      <c r="U46" s="155"/>
      <c r="V46" s="22"/>
      <c r="W46" s="147"/>
      <c r="X46" s="25" t="s">
        <v>134</v>
      </c>
      <c r="AA46" s="5"/>
      <c r="AB46" s="29"/>
      <c r="AC46" s="52">
        <v>2</v>
      </c>
      <c r="AD46" s="53" t="s">
        <v>276</v>
      </c>
      <c r="AE46" s="32" t="e">
        <f>IF($AG$46="","",$AG$46-$AY$27)</f>
        <v>#VALUE!</v>
      </c>
      <c r="AF46" s="32" t="e">
        <f>IF($AH$46="","",$AH$46-$AZ$27)</f>
        <v>#VALUE!</v>
      </c>
      <c r="AG46" s="47" t="e">
        <f>IF(AND($L$39=$R$11,ISNUMBER($K$11)),IF(AND($Y$11&lt;0,$AA$11&gt;0,-$Y$11&lt;$BE$23,$AA$11&lt;$BB$23),$Y$11,""),"")</f>
        <v>#VALUE!</v>
      </c>
      <c r="AH46" s="47" t="e">
        <f>IF(AND($L$39=$R$11,ISNUMBER($K$11)),IF(AND($Y$11&lt;0,$AA$11&gt;0,-$Y$11&lt;$BE$23,$AA$11&lt;$BB$23),$AA$11,""),"")</f>
        <v>#VALUE!</v>
      </c>
      <c r="AI46" s="32" t="e">
        <f>IF($AG$46="","",$BG$27+$AG$46)</f>
        <v>#VALUE!</v>
      </c>
      <c r="AJ46" s="32" t="e">
        <f>IF($AH$46="","",$AH$46+$BH$27)</f>
        <v>#VALUE!</v>
      </c>
      <c r="AK46" s="32" t="e">
        <f>IF($AG$46="","",$AG$46-$AY$27+$BW$27)</f>
        <v>#VALUE!</v>
      </c>
      <c r="AL46" s="32" t="e">
        <f>IF($AH$46="","",$AH$46-$AZ$27+$BX$27)</f>
        <v>#VALUE!</v>
      </c>
      <c r="AM46" s="32" t="e">
        <f>IF($AG$46="","",$AG$46-$BA$23)</f>
        <v>#VALUE!</v>
      </c>
      <c r="AN46" s="32" t="e">
        <f>IF($AH$46="","",AH$46-$BB$23)</f>
        <v>#VALUE!</v>
      </c>
      <c r="AO46" s="32" t="e">
        <f>IF($AG$46="","",$BE$23+$AG$46)</f>
        <v>#VALUE!</v>
      </c>
      <c r="AP46" s="32" t="e">
        <f>IF($AH$46="","",$AH$46+$BF$23)</f>
        <v>#VALUE!</v>
      </c>
      <c r="AQ46" s="32" t="e">
        <f>IF($AG$46="","",$BG$27+$AG$46-$BM$23)</f>
        <v>#VALUE!</v>
      </c>
      <c r="AR46" s="32" t="e">
        <f>IF($AH$46="","",$AH$46+$BH$27-$BN$23)</f>
        <v>#VALUE!</v>
      </c>
      <c r="AS46" s="32" t="e">
        <f>IF($AG$46="","",$AG$46-$AY$27+$BY$23)</f>
        <v>#VALUE!</v>
      </c>
      <c r="AT46" s="32" t="e">
        <f>IF($AH$46="","",$AH$46-$AZ$27+$BZ$23)</f>
        <v>#VALUE!</v>
      </c>
      <c r="AV46" s="81"/>
      <c r="AW46" s="81"/>
      <c r="AX46" s="81"/>
      <c r="AY46" s="81"/>
      <c r="AZ46" s="81"/>
      <c r="BA46" s="81"/>
      <c r="BB46" s="81" t="s">
        <v>292</v>
      </c>
      <c r="BD46" s="52">
        <v>1</v>
      </c>
      <c r="BE46" s="53" t="s">
        <v>276</v>
      </c>
      <c r="BF46" s="36" t="str">
        <f>IF(AND(ISNUMBER($AE$45), ISNUMBER($AF$45)),IF(AND($AE$45&gt;0,$AF$45&gt;0),3,IF(AND($AE$45&lt;0,IF(-$AE$45&lt;$BZ$20,$AO$93,$AO$96)&lt;0),4,IF(AND(IF(-$AF$45&lt;$AW$20,$AN$93,$AN$94)&lt;0,$AF$45&lt;0),2,""))),"")</f>
        <v/>
      </c>
      <c r="BG46" s="82">
        <v>9</v>
      </c>
      <c r="BH46" s="82">
        <v>4</v>
      </c>
      <c r="BI46" s="82">
        <v>3</v>
      </c>
      <c r="BJ46" s="82">
        <v>10</v>
      </c>
      <c r="BK46" s="82">
        <v>15</v>
      </c>
      <c r="BL46" s="82">
        <v>16</v>
      </c>
      <c r="BM46" s="82">
        <v>17</v>
      </c>
      <c r="BN46" s="82">
        <v>8</v>
      </c>
      <c r="BO46" s="82">
        <v>5</v>
      </c>
      <c r="BZ46" s="19"/>
      <c r="CA46" s="19"/>
    </row>
    <row r="47" spans="1:79" ht="12" customHeight="1" x14ac:dyDescent="0.25">
      <c r="A47" s="17" t="s">
        <v>140</v>
      </c>
      <c r="B47" s="112">
        <v>1</v>
      </c>
      <c r="C47" s="4"/>
      <c r="G47" s="99" t="str">
        <f>IF(ISNUMBER($AI$78),$C$10,"")</f>
        <v/>
      </c>
      <c r="H47" s="150" t="str">
        <f>IF(AND(G48="",G49=""),"",IF($AI$78=1,"NE/SW",IF($AI$78=2,"NW/SW",IF($AI$78=3,"SW/SW",IF($AI$78=4,"SE/SW","")))))</f>
        <v/>
      </c>
      <c r="I47" s="154"/>
      <c r="J47" s="153"/>
      <c r="K47" s="153"/>
      <c r="L47" s="13"/>
      <c r="M47" s="14"/>
      <c r="Q47" s="99" t="str">
        <f>IF(ISNUMBER($AK$78),$C$10,"")</f>
        <v/>
      </c>
      <c r="R47" s="150" t="str">
        <f>IF(AND(Q48="",Q49=""),"",IF($AK$78=1,"NE/SE",IF($AK$78=2,"NW/SE",IF($AK$78=3,"SW/SE",IF($AK$78=4,"SE/SE","")))))</f>
        <v/>
      </c>
      <c r="S47" s="154"/>
      <c r="T47" s="153"/>
      <c r="U47" s="155"/>
      <c r="V47" s="22"/>
      <c r="W47" s="112">
        <v>4</v>
      </c>
      <c r="X47" s="25" t="s">
        <v>140</v>
      </c>
      <c r="AA47" s="5"/>
      <c r="AB47" s="29"/>
      <c r="AC47" s="52">
        <v>3</v>
      </c>
      <c r="AD47" s="53" t="s">
        <v>276</v>
      </c>
      <c r="AE47" s="32" t="e">
        <f>IF($AI$47="","",$AI$47-$BG$27-$AY$27)</f>
        <v>#VALUE!</v>
      </c>
      <c r="AF47" s="79" t="e">
        <f>IF($AJ$47="","",$AJ$47-$BH$27-$AZ$27)</f>
        <v>#VALUE!</v>
      </c>
      <c r="AG47" s="32" t="e">
        <f>IF($AI$47="","",$AI$47-$BG$27)</f>
        <v>#VALUE!</v>
      </c>
      <c r="AH47" s="32" t="e">
        <f>IF($AJ$47="","",$AJ$47-$BH$27)</f>
        <v>#VALUE!</v>
      </c>
      <c r="AI47" s="47" t="e">
        <f>IF(AND($L$39=$R$11,ISNUMBER($K$11)),IF(AND($Y$11&gt;0,$AA$11&gt;0,$Y$11&lt;$BI$23,$AA$11&lt;$BN$23),$Y$11,""),"")</f>
        <v>#VALUE!</v>
      </c>
      <c r="AJ47" s="47" t="e">
        <f>IF(AND($L$39=$R$11,ISNUMBER($K$11)),IF(AND($Y$11&gt;0,$AA$11&gt;0,$Y$11&lt;$BI$23,$AA$11&lt;$BN$23),$AA$11,""),"")</f>
        <v>#VALUE!</v>
      </c>
      <c r="AK47" s="32" t="e">
        <f>IF($AI$47="","",$AI$47-$BO$27)</f>
        <v>#VALUE!</v>
      </c>
      <c r="AL47" s="32" t="e">
        <f>IF($AJ$47="","",$AJ$47-$BP$27)</f>
        <v>#VALUE!</v>
      </c>
      <c r="AM47" s="32" t="e">
        <f>IF($AI$47="","",$AI$47-$BG$27-$BA$27)</f>
        <v>#VALUE!</v>
      </c>
      <c r="AN47" s="32" t="e">
        <f>IF($AJ$47="","",$AJ$47-$BH$27-$BB$27)</f>
        <v>#VALUE!</v>
      </c>
      <c r="AO47" s="32" t="e">
        <f>IF($AI$47="","",$AI$47-$BI$27)</f>
        <v>#VALUE!</v>
      </c>
      <c r="AP47" s="32" t="e">
        <f>IF($AJ$47="","",$AJ$47-$BJ$27)</f>
        <v>#VALUE!</v>
      </c>
      <c r="AQ47" s="32" t="e">
        <f>IF($AI$47="","",$AI$47-$BM$27)</f>
        <v>#VALUE!</v>
      </c>
      <c r="AR47" s="32" t="e">
        <f>IF($AJ$47="","",$AJ$47-$BN$27)</f>
        <v>#VALUE!</v>
      </c>
      <c r="AS47" s="32" t="e">
        <f>IF($AI$47="","",$AI$47-$BO$27-$BU$27)</f>
        <v>#VALUE!</v>
      </c>
      <c r="AT47" s="32" t="e">
        <f>IF($AJ$47="","",$AJ$47-$BP$27-$BV$23)</f>
        <v>#VALUE!</v>
      </c>
      <c r="AV47" s="81"/>
      <c r="AW47" s="81"/>
      <c r="AX47" s="81"/>
      <c r="AY47" s="81"/>
      <c r="AZ47" s="81"/>
      <c r="BA47" s="81"/>
      <c r="BB47" s="81" t="s">
        <v>293</v>
      </c>
      <c r="BD47" s="52">
        <v>2</v>
      </c>
      <c r="BE47" s="53" t="s">
        <v>276</v>
      </c>
      <c r="BF47" s="36" t="str">
        <f>IF(AND(ISNUMBER($AG$46), ISNUMBER($AH$46)),IF(AND(IF($AH$46&lt;$BC$20,$AP$94,$AP$93)&lt;0,$AH$46&gt;0),2,IF(AND($AG$46&gt;0,$AH$46&lt;0),9,IF(AND($AG$46&lt;0,IF(-$AG$46&lt;$BD$20,$AQ$94,$AQ$95)&lt;0),8,""))),"")</f>
        <v/>
      </c>
      <c r="BG47" s="82">
        <v>10</v>
      </c>
      <c r="BH47" s="82">
        <v>3</v>
      </c>
      <c r="BI47" s="82">
        <v>2</v>
      </c>
      <c r="BJ47" s="82">
        <v>11</v>
      </c>
      <c r="BK47" s="82">
        <v>14</v>
      </c>
      <c r="BL47" s="82">
        <v>15</v>
      </c>
      <c r="BM47" s="82">
        <v>16</v>
      </c>
      <c r="BN47" s="82">
        <v>9</v>
      </c>
      <c r="BO47" s="82">
        <v>4</v>
      </c>
      <c r="BZ47" s="19"/>
      <c r="CA47" s="19"/>
    </row>
    <row r="48" spans="1:79" ht="12" customHeight="1" x14ac:dyDescent="0.25">
      <c r="A48" s="17" t="s">
        <v>144</v>
      </c>
      <c r="B48" s="27" t="e">
        <f>IF($L$39='SHL Section'!$L$38,IF('SHL Section'!$B$46="","",'SHL Section'!$B$46),IF($L$39='BHL Section 1'!$L$38,IF('BHL Section 1'!$B$47="","",'BHL Section 1'!$B$47),IF($L$39='BHL Section 2'!$L$38,IF('BHL Section 2'!$B$47="","",'BHL Section 2'!$B$47),IF($L$39='BHL Section 3'!$L$38,IF('BHL Section 3'!$B$47="","",'BHL Section 3'!$B$47),IF(B44="","",IF(OR(B47=1,B47=4),180-(B44+B45/60+B46/3600),(B44+B45/60+B46/3600)))))))</f>
        <v>#VALUE!</v>
      </c>
      <c r="C48" s="4"/>
      <c r="G48" s="151" t="str">
        <f>IF(ISNUMBER($AI$78),$M$10,"")</f>
        <v/>
      </c>
      <c r="H48" s="152" t="str">
        <f>IF(ISNUMBER($AI$78),"FSL","")</f>
        <v/>
      </c>
      <c r="I48" s="154"/>
      <c r="J48" s="153"/>
      <c r="K48" s="153"/>
      <c r="L48" s="13"/>
      <c r="M48" s="14"/>
      <c r="Q48" s="151" t="str">
        <f>IF(ISNUMBER($AK$78),$M$10,"")</f>
        <v/>
      </c>
      <c r="R48" s="152" t="str">
        <f>IF(ISNUMBER($AK$78),"FSL","")</f>
        <v/>
      </c>
      <c r="S48" s="154"/>
      <c r="T48" s="153"/>
      <c r="V48" s="22"/>
      <c r="W48" s="27" t="e">
        <f>IF($L$39='SHL Section'!$L$38,IF('SHL Section'!$W$46="","",'SHL Section'!$W$46),IF($L$39='BHL Section 1'!$L$38,IF('BHL Section 1'!$W$47="","",'BHL Section 1'!$W$47),IF($L$39='BHL Section 2'!$L$38,IF('BHL Section 2'!$W$47="","",'BHL Section 2'!$W$47),IF($L$39='BHL Section 3'!$L$38,IF('BHL Section 3'!$W$47="","",'BHL Section 3'!$W$47),IF(W44="","",IF(OR(W47=1,W47=4),180-(W44+W45/60+W46/3600),(W44+W45/60+W46/3600)))))))</f>
        <v>#VALUE!</v>
      </c>
      <c r="X48" s="25" t="s">
        <v>144</v>
      </c>
      <c r="AA48" s="5"/>
      <c r="AB48" s="29"/>
      <c r="AC48" s="756">
        <v>4</v>
      </c>
      <c r="AD48" s="758" t="s">
        <v>276</v>
      </c>
      <c r="AE48" s="45" t="e">
        <f>IF($AK$48="","",$AK$48-$BW$27)</f>
        <v>#VALUE!</v>
      </c>
      <c r="AF48" s="45" t="e">
        <f>IF($AL$48="","",$AL$48-$BX$27)</f>
        <v>#VALUE!</v>
      </c>
      <c r="AG48" s="45" t="e">
        <f>IF($AK$48="","",$AK$48+$BO$27-$BG$27)</f>
        <v>#VALUE!</v>
      </c>
      <c r="AH48" s="45" t="e">
        <f>IF($AL$48="","",$AL$48+$BP$27+$BH$27)</f>
        <v>#VALUE!</v>
      </c>
      <c r="AI48" s="45" t="e">
        <f>IF($AK$48="","",$AK$48+$BO$27)</f>
        <v>#VALUE!</v>
      </c>
      <c r="AJ48" s="45" t="e">
        <f>IF($AL$48="","",$AL$48+$BP$27)</f>
        <v>#VALUE!</v>
      </c>
      <c r="AK48" s="50" t="e">
        <f>IF(AND($L$39=$R$11,ISNUMBER($K$11)),IF(AND($Y$11&gt;0,$AA$11&lt;0,$Y$11&lt;$BU$23,-$AA$11&lt;$BR$23),$Y$11,""),"")</f>
        <v>#VALUE!</v>
      </c>
      <c r="AL48" s="50" t="e">
        <f>IF(AND($L$39=$R$11,ISNUMBER($K$11)),IF(AND($Y$11&gt;0,$AA$11&lt;0,$Y$11&lt;$BU$23,-$AA$11&lt;$BR$23),$AA$11,""),"")</f>
        <v>#VALUE!</v>
      </c>
      <c r="AM48" s="45" t="e">
        <f>IF($AK$48="","",$AK$48-$BW$27+$AW$23)</f>
        <v>#VALUE!</v>
      </c>
      <c r="AN48" s="45" t="e">
        <f>IF($AL$48="","",$AL$48-$BX$27+$AX$23)</f>
        <v>#VALUE!</v>
      </c>
      <c r="AO48" s="45" t="e">
        <f>IF($AK$48="","",$AK$48+$BO$27-$BI$23)</f>
        <v>#VALUE!</v>
      </c>
      <c r="AP48" s="45" t="e">
        <f>IF($AL$48="","",$AL$48+$BP$27-$BJ$23)</f>
        <v>#VALUE!</v>
      </c>
      <c r="AQ48" s="45" t="e">
        <f>IF($AK$48="","",$AK$48+$BQ$23)</f>
        <v>#VALUE!</v>
      </c>
      <c r="AR48" s="45" t="e">
        <f>IF($AL$48="","",$AL$48+$BR$23)</f>
        <v>#VALUE!</v>
      </c>
      <c r="AS48" s="45" t="e">
        <f>IF($AK$48="","",$AK$48-$BU$23)</f>
        <v>#VALUE!</v>
      </c>
      <c r="AT48" s="45" t="e">
        <f>IF($AL$48="","",$AL$48-$BV$23)</f>
        <v>#VALUE!</v>
      </c>
      <c r="AV48" s="81"/>
      <c r="AW48" s="81"/>
      <c r="AX48" s="81"/>
      <c r="AY48" s="81"/>
      <c r="AZ48" s="81"/>
      <c r="BA48" s="81"/>
      <c r="BB48" s="81" t="s">
        <v>294</v>
      </c>
      <c r="BD48" s="52">
        <v>3</v>
      </c>
      <c r="BE48" s="53" t="s">
        <v>276</v>
      </c>
      <c r="BF48" s="36" t="str">
        <f>IF(AND(ISNUMBER($AI$47), ISNUMBER($AJ$47)),IF(AND($AI$47&gt;0,IF($AI$47&lt;$BJ$20,$AS$95,$AS$94)&lt;0),8,IF(AND($AI$47&lt;0,$AJ$47&lt;0),7,IF(AND(IF($AJ$47&lt;$BM$20,$AR$95,$AR$96)&lt;0,$AJ$47&gt;0),6,""))),"")</f>
        <v/>
      </c>
      <c r="BG48" s="82">
        <v>11</v>
      </c>
      <c r="BH48" s="82">
        <v>2</v>
      </c>
      <c r="BI48" s="82">
        <v>1</v>
      </c>
      <c r="BJ48" s="82">
        <v>12</v>
      </c>
      <c r="BK48" s="82">
        <v>13</v>
      </c>
      <c r="BL48" s="82">
        <v>14</v>
      </c>
      <c r="BM48" s="82">
        <v>15</v>
      </c>
      <c r="BN48" s="82">
        <v>10</v>
      </c>
      <c r="BO48" s="82">
        <v>3</v>
      </c>
      <c r="BZ48" s="19"/>
      <c r="CA48" s="19"/>
    </row>
    <row r="49" spans="1:79" ht="12" customHeight="1" x14ac:dyDescent="0.25">
      <c r="C49" s="4"/>
      <c r="G49" s="91" t="str">
        <f>IF(ISNUMBER($AI$78),$O$10,"")</f>
        <v/>
      </c>
      <c r="H49" s="90" t="str">
        <f>IF(ISNUMBER($AI$78),"FWL","")</f>
        <v/>
      </c>
      <c r="I49" s="154"/>
      <c r="J49" s="153"/>
      <c r="K49" s="153"/>
      <c r="L49" s="13"/>
      <c r="M49" s="14"/>
      <c r="Q49" s="91" t="str">
        <f>IF(ISNUMBER($AK$78),$O$10,"")</f>
        <v/>
      </c>
      <c r="R49" s="90" t="str">
        <f>IF(ISNUMBER($AK$78),"FEL","")</f>
        <v/>
      </c>
      <c r="S49" s="154"/>
      <c r="T49" s="153"/>
      <c r="V49" s="22"/>
      <c r="AA49" s="5"/>
      <c r="AB49" s="29"/>
      <c r="AC49" s="944"/>
      <c r="AD49" s="911"/>
      <c r="AE49" s="80" t="str">
        <f>IF(ISNUMBER($AE$45),AE$45,IF(ISNUMBER($AG$46),AE$46,IF(ISNUMBER($AI$47),AE$47,IF(ISNUMBER($AK$48),AE$48,""))))</f>
        <v/>
      </c>
      <c r="AF49" s="80" t="str">
        <f>IF(ISNUMBER($AF$45),AF$45,IF(ISNUMBER($AH$46),AF$46,IF(ISNUMBER($AJ$47),AF$47,IF(ISNUMBER($AL$48),AF$48,""))))</f>
        <v/>
      </c>
      <c r="AG49" s="80" t="str">
        <f>IF(ISNUMBER($AE$45),AG$45,IF(ISNUMBER($AG$46),AG$46,IF(ISNUMBER($AI$47),AG$47,IF(ISNUMBER($AK$48),AG$48,""))))</f>
        <v/>
      </c>
      <c r="AH49" s="80" t="str">
        <f>IF(ISNUMBER($AF$45),AH$45,IF(ISNUMBER($AH$46),AH$46,IF(ISNUMBER($AJ$47),AH$47,IF(ISNUMBER($AL$48),AH$48,""))))</f>
        <v/>
      </c>
      <c r="AI49" s="80" t="str">
        <f>IF(ISNUMBER($AE$45),AI$45,IF(ISNUMBER($AG$46),AI$46,IF(ISNUMBER($AI$47),AI$47,IF(ISNUMBER($AK$48),AI$48,""))))</f>
        <v/>
      </c>
      <c r="AJ49" s="80" t="str">
        <f>IF(ISNUMBER($AF$45),AJ$45,IF(ISNUMBER($AH$46),AJ$46,IF(ISNUMBER($AJ$47),AJ$47,IF(ISNUMBER($AL$48),AJ$48,""))))</f>
        <v/>
      </c>
      <c r="AK49" s="80" t="str">
        <f>IF(ISNUMBER($AE$45),AK$45,IF(ISNUMBER($AG$46),AK$46,IF(ISNUMBER($AI$47),AK$47,IF(ISNUMBER($AK$48),AK$48,""))))</f>
        <v/>
      </c>
      <c r="AL49" s="80" t="str">
        <f>IF(ISNUMBER($AF$45),AL$45,IF(ISNUMBER($AH$46),AL$46,IF(ISNUMBER($AJ$47),AL$47,IF(ISNUMBER($AL$48),AL$48,""))))</f>
        <v/>
      </c>
      <c r="AM49" s="80" t="str">
        <f>IF(ISNUMBER($AE$45),AM$45,IF(ISNUMBER($AG$46),AM$46,IF(ISNUMBER($AI$47),AM$47,IF(ISNUMBER($AK$48),AM$48,""))))</f>
        <v/>
      </c>
      <c r="AN49" s="80" t="str">
        <f>IF(ISNUMBER($AF$45),AN$45,IF(ISNUMBER($AH$46),AN$46,IF(ISNUMBER($AJ$47),AN$47,IF(ISNUMBER($AL$48),AN$48,""))))</f>
        <v/>
      </c>
      <c r="AO49" s="80" t="str">
        <f>IF(ISNUMBER($AE$45),AO$45,IF(ISNUMBER($AG$46),AO$46,IF(ISNUMBER($AI$47),AO$47,IF(ISNUMBER($AK$48),AO$48,""))))</f>
        <v/>
      </c>
      <c r="AP49" s="80" t="str">
        <f>IF(ISNUMBER($AF$45),AP$45,IF(ISNUMBER($AH$46),AP$46,IF(ISNUMBER($AJ$47),AP$47,IF(ISNUMBER($AL$48),AP$48,""))))</f>
        <v/>
      </c>
      <c r="AQ49" s="80" t="str">
        <f>IF(ISNUMBER($AE$45),AQ$45,IF(ISNUMBER($AG$46),AQ$46,IF(ISNUMBER($AI$47),AQ$47,IF(ISNUMBER($AK$48),AQ$48,""))))</f>
        <v/>
      </c>
      <c r="AR49" s="80" t="str">
        <f>IF(ISNUMBER($AF$45),AR$45,IF(ISNUMBER($AH$46),AR$46,IF(ISNUMBER($AJ$47),AR$47,IF(ISNUMBER($AL$48),AR$48,""))))</f>
        <v/>
      </c>
      <c r="AS49" s="80" t="str">
        <f>IF(ISNUMBER($AE$45),AS$45,IF(ISNUMBER($AG$46),AS$46,IF(ISNUMBER($AI$47),AS$47,IF(ISNUMBER($AK$48),AS$48,""))))</f>
        <v/>
      </c>
      <c r="AT49" s="80" t="str">
        <f>IF(ISNUMBER($AF$45),AT$45,IF(ISNUMBER($AH$46),AT$46,IF(ISNUMBER($AJ$47),AT$47,IF(ISNUMBER($AL$48),AT$48,""))))</f>
        <v/>
      </c>
      <c r="AV49" s="81"/>
      <c r="AW49" s="81"/>
      <c r="AX49" s="81"/>
      <c r="AY49" s="81"/>
      <c r="AZ49" s="81"/>
      <c r="BA49" s="81"/>
      <c r="BB49" s="81" t="s">
        <v>295</v>
      </c>
      <c r="BD49" s="756">
        <v>4</v>
      </c>
      <c r="BE49" s="758" t="s">
        <v>276</v>
      </c>
      <c r="BF49" s="120" t="str">
        <f>IF(AND(ISNUMBER($AK$48), ISNUMBER($AL$48)),IF(AND(IF(-$AL$48&lt;$BS$20,$AT$96,$AT$95)&lt;0,$AL$48&lt;0),6,IF(AND($AK$48&lt;0,$AL$48&gt;0),5,IF(AND($AK$48&gt;0,IF($AK$48&lt;$BT$20,$AU$96,$AU$93)&lt;0),4,""))),"")</f>
        <v/>
      </c>
      <c r="BG49" s="82">
        <v>12</v>
      </c>
      <c r="BH49" s="82">
        <v>1</v>
      </c>
      <c r="BI49" s="82">
        <v>6</v>
      </c>
      <c r="BJ49" s="82">
        <v>7</v>
      </c>
      <c r="BK49" s="82">
        <v>18</v>
      </c>
      <c r="BL49" s="82">
        <v>13</v>
      </c>
      <c r="BM49" s="82">
        <v>14</v>
      </c>
      <c r="BN49" s="82">
        <v>11</v>
      </c>
      <c r="BO49" s="82">
        <v>2</v>
      </c>
      <c r="BZ49" s="19"/>
      <c r="CA49" s="19"/>
    </row>
    <row r="50" spans="1:79" ht="12" customHeight="1" x14ac:dyDescent="0.25">
      <c r="B50" s="44" t="e">
        <f>IF($L$39='SHL Section'!$L$38,'SHL Section'!$B$49,IF($L$39='BHL Section 1'!$L$38,'BHL Section 1'!$B$49,IF($L$39='BHL Section 2'!$L$38,'BHL Section 2'!$B$49,IF($L$39='BHL Section 3'!$L$38,'BHL Section 3'!$B$49,$B$51))))</f>
        <v>#VALUE!</v>
      </c>
      <c r="C50" s="4"/>
      <c r="G50" s="99" t="str">
        <f>IF(ISNUMBER($AI$89),$C$11,"")</f>
        <v/>
      </c>
      <c r="H50" s="150" t="str">
        <f>IF(AND(G51="",G52=""),"",IF($AI$89=1,"NE/SW",IF($AI$89=2,"NW/SW",IF($AI$89=3,"SW/SW",IF($AI$89=4,"SE/SW","")))))</f>
        <v/>
      </c>
      <c r="I50" s="154"/>
      <c r="J50" s="153"/>
      <c r="K50" s="153"/>
      <c r="L50" s="13"/>
      <c r="M50" s="14"/>
      <c r="Q50" s="99" t="str">
        <f>IF(ISNUMBER($AK$89),$C$11,"")</f>
        <v/>
      </c>
      <c r="R50" s="150" t="str">
        <f>IF(AND(Q51="",Q52=""),"",IF($AK$89=1,"NE/SE",IF($AK$89=2,"NW/SE",IF($AK$89=3,"SW/SE",IF($AK$89=4,"SE/SE","")))))</f>
        <v/>
      </c>
      <c r="S50" s="154"/>
      <c r="T50" s="153"/>
      <c r="U50" s="5"/>
      <c r="V50" s="22"/>
      <c r="W50" s="44" t="e">
        <f>IF($L$39='SHL Section'!$L$38,'SHL Section'!$W$49,IF($L$39='BHL Section 1'!$L$38,'BHL Section 1'!$W$49,IF($L$39='BHL Section 2'!$L$38,'BHL Section 2'!$W$49,IF($L$39='BHL Section 3'!$L$38,'BHL Section 3'!$W$49,$W$51))))</f>
        <v>#VALUE!</v>
      </c>
      <c r="AA50" s="5"/>
      <c r="AB50" s="29"/>
      <c r="AC50" s="53"/>
      <c r="AD50" s="53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V50" s="81"/>
      <c r="AW50" s="81"/>
      <c r="AX50" s="81"/>
      <c r="AY50" s="81"/>
      <c r="AZ50" s="81"/>
      <c r="BA50" s="81"/>
      <c r="BB50" s="81" t="s">
        <v>296</v>
      </c>
      <c r="BG50" s="82">
        <v>13</v>
      </c>
      <c r="BH50" s="82">
        <v>12</v>
      </c>
      <c r="BI50" s="82">
        <v>7</v>
      </c>
      <c r="BJ50" s="82">
        <v>18</v>
      </c>
      <c r="BK50" s="82">
        <v>19</v>
      </c>
      <c r="BL50" s="82">
        <v>24</v>
      </c>
      <c r="BM50" s="82">
        <v>23</v>
      </c>
      <c r="BN50" s="82">
        <v>14</v>
      </c>
      <c r="BO50" s="82">
        <v>11</v>
      </c>
      <c r="BZ50" s="19"/>
      <c r="CA50" s="19"/>
    </row>
    <row r="51" spans="1:79" ht="12" customHeight="1" x14ac:dyDescent="0.25">
      <c r="A51" s="17" t="s">
        <v>118</v>
      </c>
      <c r="B51" s="110"/>
      <c r="C51" s="4"/>
      <c r="G51" s="151" t="str">
        <f>IF(ISNUMBER($AI$89),$M$11,"")</f>
        <v/>
      </c>
      <c r="H51" s="152" t="str">
        <f>IF(ISNUMBER($AI$89),"FSL","")</f>
        <v/>
      </c>
      <c r="I51" s="154"/>
      <c r="J51" s="153"/>
      <c r="K51" s="153"/>
      <c r="L51" s="13"/>
      <c r="M51" s="14"/>
      <c r="Q51" s="151" t="str">
        <f>IF(ISNUMBER($AK$89),$M$11,"")</f>
        <v/>
      </c>
      <c r="R51" s="152" t="str">
        <f>IF(ISNUMBER($AK$89),"FSL","")</f>
        <v/>
      </c>
      <c r="S51" s="154"/>
      <c r="T51" s="153"/>
      <c r="U51" s="5"/>
      <c r="V51" s="22"/>
      <c r="W51" s="162"/>
      <c r="X51" s="25" t="s">
        <v>118</v>
      </c>
      <c r="AA51" s="5"/>
      <c r="AB51" s="29"/>
      <c r="AV51" s="81"/>
      <c r="AW51" s="81"/>
      <c r="AX51" s="168" t="s">
        <v>409</v>
      </c>
      <c r="AY51" s="169">
        <v>1</v>
      </c>
      <c r="AZ51" s="169"/>
      <c r="BA51" s="81"/>
      <c r="BB51" s="81" t="s">
        <v>297</v>
      </c>
      <c r="BD51" s="39" t="s">
        <v>360</v>
      </c>
      <c r="BE51" s="41" t="str">
        <f>IF(OR(ISNUMBER($BF$38),ISNUMBER($BF$39),ISNUMBER($BF$40),ISNUMBER($BF$41)),VLOOKUP($V$8,$BG$38:$BO$73,MAX($BF$38:$BF$41),FALSE),$V$8)</f>
        <v>W</v>
      </c>
      <c r="BG51" s="82">
        <v>14</v>
      </c>
      <c r="BH51" s="82">
        <v>11</v>
      </c>
      <c r="BI51" s="82">
        <v>12</v>
      </c>
      <c r="BJ51" s="82">
        <v>13</v>
      </c>
      <c r="BK51" s="82">
        <v>24</v>
      </c>
      <c r="BL51" s="82">
        <v>23</v>
      </c>
      <c r="BM51" s="82">
        <v>22</v>
      </c>
      <c r="BN51" s="82">
        <v>15</v>
      </c>
      <c r="BO51" s="82">
        <v>10</v>
      </c>
      <c r="BZ51" s="19"/>
      <c r="CA51" s="19"/>
    </row>
    <row r="52" spans="1:79" ht="12" customHeight="1" x14ac:dyDescent="0.25">
      <c r="A52" s="17" t="s">
        <v>124</v>
      </c>
      <c r="B52" s="111"/>
      <c r="C52" s="4"/>
      <c r="G52" s="91" t="str">
        <f>IF(ISNUMBER($AI$89),$O$11,"")</f>
        <v/>
      </c>
      <c r="H52" s="90" t="str">
        <f>IF(ISNUMBER($AI$89),"FWL","")</f>
        <v/>
      </c>
      <c r="I52" s="154"/>
      <c r="J52" s="153"/>
      <c r="K52" s="153"/>
      <c r="L52" s="13"/>
      <c r="M52" s="14"/>
      <c r="Q52" s="91" t="str">
        <f>IF(ISNUMBER($AK$89),$O$11,"")</f>
        <v/>
      </c>
      <c r="R52" s="90" t="str">
        <f>IF(ISNUMBER($AK$89),"FEL","")</f>
        <v/>
      </c>
      <c r="S52" s="154"/>
      <c r="T52" s="153"/>
      <c r="U52" s="5"/>
      <c r="V52" s="22"/>
      <c r="W52" s="147"/>
      <c r="X52" s="25" t="s">
        <v>124</v>
      </c>
      <c r="AA52" s="5"/>
      <c r="AB52" s="29"/>
      <c r="AC52" s="53"/>
      <c r="AD52" s="53"/>
      <c r="AE52" s="949" t="s">
        <v>351</v>
      </c>
      <c r="AF52" s="911"/>
      <c r="AG52" s="961" t="s">
        <v>352</v>
      </c>
      <c r="AH52" s="859"/>
      <c r="AI52" s="949" t="s">
        <v>353</v>
      </c>
      <c r="AJ52" s="911"/>
      <c r="AK52" s="949" t="s">
        <v>354</v>
      </c>
      <c r="AL52" s="911"/>
      <c r="AV52" s="81"/>
      <c r="AW52" s="81"/>
      <c r="AX52" s="81"/>
      <c r="AY52" s="81"/>
      <c r="AZ52" s="81"/>
      <c r="BA52" s="81"/>
      <c r="BB52" s="81" t="s">
        <v>298</v>
      </c>
      <c r="BD52" s="37"/>
      <c r="BE52" s="36" t="e">
        <f>IF(MAX($AE$67:$AL$67)&gt;0,$BE$51,IF(OR(ISNUMBER('BHL Section 1'!$BG$37),ISNUMBER('BHL Section 1'!$BG$38),ISNUMBER('BHL Section 1'!$BG$39),ISNUMBER('BHL Section 1'!$BG$40)),VLOOKUP($BE$51,$BG$38:$BO$73,MAX('BHL Section 1'!$BG$37:$BG$40),FALSE),$BE$51))</f>
        <v>#VALUE!</v>
      </c>
      <c r="BG52" s="82">
        <v>15</v>
      </c>
      <c r="BH52" s="82">
        <v>10</v>
      </c>
      <c r="BI52" s="82">
        <v>11</v>
      </c>
      <c r="BJ52" s="82">
        <v>14</v>
      </c>
      <c r="BK52" s="82">
        <v>23</v>
      </c>
      <c r="BL52" s="82">
        <v>22</v>
      </c>
      <c r="BM52" s="82">
        <v>21</v>
      </c>
      <c r="BN52" s="82">
        <v>16</v>
      </c>
      <c r="BO52" s="82">
        <v>9</v>
      </c>
      <c r="BZ52" s="19"/>
      <c r="CA52" s="19"/>
    </row>
    <row r="53" spans="1:79" ht="12" customHeight="1" x14ac:dyDescent="0.25">
      <c r="A53" s="17" t="s">
        <v>130</v>
      </c>
      <c r="B53" s="111"/>
      <c r="C53" s="4"/>
      <c r="I53" s="154"/>
      <c r="J53" s="153"/>
      <c r="K53" s="153"/>
      <c r="L53" s="13"/>
      <c r="M53" s="14"/>
      <c r="P53" s="19"/>
      <c r="S53" s="154"/>
      <c r="T53" s="153"/>
      <c r="U53" s="5"/>
      <c r="V53" s="22"/>
      <c r="W53" s="147"/>
      <c r="X53" s="25" t="s">
        <v>130</v>
      </c>
      <c r="AA53" s="5"/>
      <c r="AB53" s="29"/>
      <c r="AD53" s="53"/>
      <c r="AE53" s="949">
        <v>1</v>
      </c>
      <c r="AF53" s="911"/>
      <c r="AG53" s="949">
        <v>2</v>
      </c>
      <c r="AH53" s="911"/>
      <c r="AI53" s="949">
        <v>3</v>
      </c>
      <c r="AJ53" s="911"/>
      <c r="AK53" s="949">
        <v>4</v>
      </c>
      <c r="AL53" s="911"/>
      <c r="AV53" s="81"/>
      <c r="AW53" s="81"/>
      <c r="AX53" s="81"/>
      <c r="AY53" s="81"/>
      <c r="AZ53" s="81"/>
      <c r="BA53" s="81"/>
      <c r="BB53" s="81" t="s">
        <v>299</v>
      </c>
      <c r="BD53" s="121"/>
      <c r="BE53" s="120" t="e">
        <f>IF(MAX('BHL Section 1'!$AF$58:$AM$58)&gt;0,$BE$52,IF(OR(ISNUMBER('BHL Section 2'!$BG$37),ISNUMBER('BHL Section 2'!$BG$38),ISNUMBER('BHL Section 2'!$BG$39),ISNUMBER('BHL Section 2'!$BG$40)),VLOOKUP($BE$52,$BG$38:$BO$73,MAX('BHL Section 2'!$BG$37:$BG$40),FALSE),$BE$52))</f>
        <v>#VALUE!</v>
      </c>
      <c r="BG53" s="82">
        <v>16</v>
      </c>
      <c r="BH53" s="82">
        <v>9</v>
      </c>
      <c r="BI53" s="82">
        <v>10</v>
      </c>
      <c r="BJ53" s="82">
        <v>15</v>
      </c>
      <c r="BK53" s="82">
        <v>22</v>
      </c>
      <c r="BL53" s="82">
        <v>21</v>
      </c>
      <c r="BM53" s="82">
        <v>20</v>
      </c>
      <c r="BN53" s="82">
        <v>17</v>
      </c>
      <c r="BO53" s="82">
        <v>8</v>
      </c>
      <c r="BZ53" s="19"/>
      <c r="CA53" s="19"/>
    </row>
    <row r="54" spans="1:79" ht="12" customHeight="1" x14ac:dyDescent="0.25">
      <c r="A54" s="17" t="s">
        <v>134</v>
      </c>
      <c r="B54" s="111"/>
      <c r="C54" s="4"/>
      <c r="I54" s="154"/>
      <c r="J54" s="153"/>
      <c r="K54" s="153"/>
      <c r="L54" s="13"/>
      <c r="M54" s="14"/>
      <c r="P54" s="19"/>
      <c r="S54" s="154"/>
      <c r="T54" s="153"/>
      <c r="U54" s="5"/>
      <c r="V54" s="22"/>
      <c r="W54" s="147"/>
      <c r="X54" s="25" t="s">
        <v>134</v>
      </c>
      <c r="AA54" s="5"/>
      <c r="AB54" s="29"/>
      <c r="AD54" s="53"/>
      <c r="AE54" s="87"/>
      <c r="AF54" s="88"/>
      <c r="AG54" s="89"/>
      <c r="AH54" s="89"/>
      <c r="AI54" s="87"/>
      <c r="AJ54" s="88"/>
      <c r="AK54" s="87"/>
      <c r="AL54" s="88"/>
      <c r="BD54" s="39" t="s">
        <v>362</v>
      </c>
      <c r="BE54" s="41" t="b">
        <f>IF(OR(ISNUMBER($BF$38),ISNUMBER($BF$39),ISNUMBER($BF$40),ISNUMBER($BF$41)),$BE$51,IF(OR(ISNUMBER($BF$42),ISNUMBER($BF$43),ISNUMBER($BF$44),ISNUMBER($BF$45)),VLOOKUP($V$8,$BG$38:$BO$73,MAX($BF$42:$BF$45),FALSE)))</f>
        <v>0</v>
      </c>
      <c r="BG54" s="82">
        <v>17</v>
      </c>
      <c r="BH54" s="82">
        <v>8</v>
      </c>
      <c r="BI54" s="82">
        <v>9</v>
      </c>
      <c r="BJ54" s="82">
        <v>16</v>
      </c>
      <c r="BK54" s="82">
        <v>21</v>
      </c>
      <c r="BL54" s="82">
        <v>20</v>
      </c>
      <c r="BM54" s="82">
        <v>19</v>
      </c>
      <c r="BN54" s="82">
        <v>18</v>
      </c>
      <c r="BO54" s="82">
        <v>7</v>
      </c>
      <c r="BZ54" s="19"/>
      <c r="CA54" s="19"/>
    </row>
    <row r="55" spans="1:79" ht="12" customHeight="1" x14ac:dyDescent="0.25">
      <c r="A55" s="17" t="s">
        <v>140</v>
      </c>
      <c r="B55" s="112">
        <v>1</v>
      </c>
      <c r="C55" s="4"/>
      <c r="F55" s="815"/>
      <c r="I55" s="154"/>
      <c r="J55" s="153"/>
      <c r="K55" s="153"/>
      <c r="L55" s="13"/>
      <c r="M55" s="14"/>
      <c r="P55" s="815"/>
      <c r="S55" s="154"/>
      <c r="T55" s="153"/>
      <c r="U55" s="5"/>
      <c r="V55" s="22"/>
      <c r="W55" s="112">
        <v>4</v>
      </c>
      <c r="X55" s="25" t="s">
        <v>140</v>
      </c>
      <c r="AA55" s="5"/>
      <c r="AB55" s="29"/>
      <c r="AE55" s="939" t="s">
        <v>355</v>
      </c>
      <c r="AF55" s="882"/>
      <c r="AG55" s="943" t="s">
        <v>355</v>
      </c>
      <c r="AH55" s="832"/>
      <c r="AI55" s="939" t="s">
        <v>355</v>
      </c>
      <c r="AJ55" s="882"/>
      <c r="AK55" s="939" t="s">
        <v>355</v>
      </c>
      <c r="AL55" s="882"/>
      <c r="BD55" s="37"/>
      <c r="BE55" s="36" t="e">
        <f>IF(MAX($AE$78:$AL$78)&gt;0,$BE$54,IF(OR(ISNUMBER('BHL Section 1'!$BG$41),ISNUMBER('BHL Section 1'!$BG$42),ISNUMBER('BHL Section 1'!$BG$43),ISNUMBER('BHL Section 1'!$BG$44)),VLOOKUP($BE$54,$BG$38:$BO$73,MAX('BHL Section 1'!$BG$41:$BG$44),FALSE),$BE$54))</f>
        <v>#VALUE!</v>
      </c>
      <c r="BG55" s="82">
        <v>18</v>
      </c>
      <c r="BH55" s="82">
        <v>7</v>
      </c>
      <c r="BI55" s="82">
        <v>8</v>
      </c>
      <c r="BJ55" s="82">
        <v>17</v>
      </c>
      <c r="BK55" s="82">
        <v>20</v>
      </c>
      <c r="BL55" s="82">
        <v>19</v>
      </c>
      <c r="BM55" s="82">
        <v>24</v>
      </c>
      <c r="BN55" s="82">
        <v>13</v>
      </c>
      <c r="BO55" s="82">
        <v>12</v>
      </c>
      <c r="BZ55" s="19"/>
      <c r="CA55" s="19"/>
    </row>
    <row r="56" spans="1:79" ht="12" customHeight="1" thickBot="1" x14ac:dyDescent="0.3">
      <c r="A56" s="17" t="s">
        <v>144</v>
      </c>
      <c r="B56" s="27" t="e">
        <f>IF($L$39='SHL Section'!$L$38,IF('SHL Section'!$B$54="","",'SHL Section'!$B$54),IF($L$39='BHL Section 1'!$L$38,IF('BHL Section 1'!$B$55="","",'BHL Section 1'!$B$55),IF($L$39='BHL Section 2'!$L$38,IF('BHL Section 2'!$B$55="","",'BHL Section 2'!$B$55),IF($L$39='BHL Section 3'!$L$38,IF('BHL Section 3'!$B$55="","",'BHL Section 3'!$B$55),IF(B52="","",IF(OR(B55=1,B55=4),180-(B52+B53/60+B54/3600),(B52+B53/60+B54/3600)))))))</f>
        <v>#VALUE!</v>
      </c>
      <c r="C56" s="6"/>
      <c r="D56" s="2"/>
      <c r="E56" s="2"/>
      <c r="F56" s="2"/>
      <c r="G56" s="2"/>
      <c r="H56" s="2"/>
      <c r="I56" s="2"/>
      <c r="J56" s="2"/>
      <c r="K56" s="2"/>
      <c r="L56" s="15"/>
      <c r="M56" s="16"/>
      <c r="N56" s="2"/>
      <c r="O56" s="2"/>
      <c r="P56" s="2"/>
      <c r="Q56" s="2"/>
      <c r="R56" s="2"/>
      <c r="S56" s="2"/>
      <c r="T56" s="2"/>
      <c r="U56" s="2"/>
      <c r="V56" s="23"/>
      <c r="W56" s="27" t="e">
        <f>IF($L$39='SHL Section'!$L$38,IF('SHL Section'!$W$54="","",'SHL Section'!$W$54),IF($L$39='BHL Section 1'!$L$38,IF('BHL Section 1'!$W$55="","",'BHL Section 1'!$W$55),IF($L$39='BHL Section 2'!$L$38,IF('BHL Section 2'!$W$55="","",'BHL Section 2'!$W$55),IF($L$39='BHL Section 3'!$L$38,IF('BHL Section 3'!$W$55="","",'BHL Section 3'!$W$55),IF(W52="","",IF(OR(W55=1,W55=4),180-(W52+W53/60+W54/3600),(W52+W53/60+W54/3600)))))))</f>
        <v>#VALUE!</v>
      </c>
      <c r="X56" s="25" t="s">
        <v>144</v>
      </c>
      <c r="AA56" s="5"/>
      <c r="AB56" s="29"/>
      <c r="AE56" s="944" t="str">
        <f>IF($AE$27="","",IF(AND((-$AE$27+$AF$27*$AV$20/$AW$20)&gt;0,-$AE$27&lt;$BZ$20,(-$AF$27+$AE$27*$CA$20/$BZ$20)&gt;0,-$AF$27&lt;$AW$20),1,IF(AND((-$AE$27-$AV$20+($AF$27+$AW$20)*$AX$20/$AY$20)&gt;0,-$AE$27&lt;$BZ$20,-$AF$27&gt;$AW$20,-$AF$27&lt;$AX$23),2,IF(AND(-$AE$27&lt;$BY$23,-$AE$27&gt;$BZ$20,-$AF$27&gt;$AW$20,-$AF$27&lt;$AX$23),3,IF(AND(-$AE$27&lt;$BY$23,-$AE$27&gt;$BZ$20,(-$AF$27-$CA$20-(-$AE$27-$BZ$20)*$BY$20/$BX$20)&gt;0,-$AF$27&lt;$AW$20),4,"")))))</f>
        <v/>
      </c>
      <c r="AF56" s="911"/>
      <c r="AG56" s="944" t="str">
        <f>IF($AG$28="","",IF(AND((-$AG$28+$BB$20+($AH$28-$BC$20)*$AZ$20/$BA$20)&gt;0,-$AG$28&lt;$BD$20,$AH$28&gt;$BC$20,$AH$28&lt;$BB$23),1,IF(AND((-$AG$28+$AH$28*$BB$20/$BC$20)&gt;0,-$AG$28&lt;$BD$20,($AH$28-$AG$28*$BE$20/$BD$20)&gt;0,$AH$28&lt;$BC$20),2,IF(AND(-$AG$28&gt;$BD$20,-$AG$28&lt;$BE$23,($AH$28+$BE$20+(-$AG$28-$BD$20)*$BG$20/$BF$20)&gt;0,$AH$28&lt;$BC$20),3,IF(AND(-$AG$28&gt;$BD$20,-$AG$28&lt;$BE$23,$AH$28&gt;$BC$20,$AH$28&lt;$BB$23),4,"")))))</f>
        <v/>
      </c>
      <c r="AH56" s="911"/>
      <c r="AI56" s="944" t="str">
        <f>IF($AI$29="","",IF(AND($AI$29&gt;$BJ$20,$AI$29&lt;$BI$23,$AJ$29&gt;$BM$20,$AJ$29&lt;$BN$23),1,IF(AND($AI$29&gt;$BJ$20,$AI$29&lt;$BI$23,($AJ$29-$BK$20-($AI$29-$BJ$20)*$BI$20/$BH$20)&gt;0,$AJ$29&lt;$BM$20),2,IF(AND(($AI$29-$AJ$29*$BL$20/$BM$20)&gt;0,$AI$29&lt;$BJ$20,($AJ$29-$AI$29*$BK$20/$BJ$20)&gt;0,$AJ$29&lt;$BM$20),3,IF(AND(($AI$29-$BL$20-($AJ$29-$BM$20)*$BN$20/$BO$20)&gt;0,$AI$29&lt;$BJ$20,$AJ$29&gt;$BM$20,$AJ$29&lt;$BN$23),4,"")))))</f>
        <v/>
      </c>
      <c r="AJ56" s="911"/>
      <c r="AK56" s="944" t="str">
        <f>IF($AK$30="","",IF(AND($AK$30&gt;$BT$20,$AK$30&lt;$BU$23,(-$AL$30+$BU$20+($AK$30-$BT$20)*$BW$20/$BV$20)&gt;0,-$AL$30&lt;$BS$20),1,IF(AND($AK$30&gt;$BT$20,$AK$30&lt;$BU$23,-$AL$30&gt;$BS$20,-$AL$30&lt;$BR$23),2,IF(AND(($AK$30+$BR$20+(-$AL$30-$BS$20)*$BP$20/$BQ$20)&gt;0,$AK$30&lt;$BT$20,-$AL$30&gt;$BS$20,-$AL$30&lt;$BR$23),3,IF(AND(($AK$30-$AL$30*$BR$20/$BS$20)&gt;0,$AK$30&lt;$BT$20,(-$AL$30+$AK$30*$BU$20/$BT$20)&gt;0,-$AL$30&lt;$BS$20),4,"")))))</f>
        <v/>
      </c>
      <c r="AL56" s="911"/>
      <c r="AW56" s="19">
        <v>1</v>
      </c>
      <c r="AX56" s="19">
        <v>2</v>
      </c>
      <c r="AY56" s="19">
        <v>3</v>
      </c>
      <c r="AZ56" s="19">
        <v>4</v>
      </c>
      <c r="BD56" s="121"/>
      <c r="BE56" s="120" t="e">
        <f>IF(MAX('BHL Section 1'!$AF$69:$AM$69)&gt;0,$BE$55,IF(OR(ISNUMBER('BHL Section 2'!$BG$41),ISNUMBER('BHL Section 2'!$BG$42),ISNUMBER('BHL Section 2'!$BG$43),ISNUMBER('BHL Section 2'!$BG$44)),VLOOKUP($BE$55,$BG$38:$BO$73,MAX('BHL Section 2'!$BG$41:$BG$44),FALSE),$BE$55))</f>
        <v>#VALUE!</v>
      </c>
      <c r="BG56" s="82">
        <v>19</v>
      </c>
      <c r="BH56" s="82">
        <v>18</v>
      </c>
      <c r="BI56" s="82">
        <v>17</v>
      </c>
      <c r="BJ56" s="82">
        <v>20</v>
      </c>
      <c r="BK56" s="82">
        <v>29</v>
      </c>
      <c r="BL56" s="82">
        <v>30</v>
      </c>
      <c r="BM56" s="82">
        <v>25</v>
      </c>
      <c r="BN56" s="82">
        <v>24</v>
      </c>
      <c r="BO56" s="82">
        <v>13</v>
      </c>
      <c r="BZ56" s="19"/>
      <c r="CA56" s="19"/>
    </row>
    <row r="57" spans="1:79" x14ac:dyDescent="0.25">
      <c r="B57" s="955" t="str">
        <f>CONCATENATE("SW SC of ",$L$39)</f>
        <v>SW SC of 25</v>
      </c>
      <c r="C57" s="904"/>
      <c r="D57" s="17" t="s">
        <v>118</v>
      </c>
      <c r="E57" s="115"/>
      <c r="J57" s="17" t="s">
        <v>118</v>
      </c>
      <c r="K57" s="113"/>
      <c r="L57" s="942" t="str">
        <f>CONCATENATE("S QC of ",$L$39)</f>
        <v>S QC of 25</v>
      </c>
      <c r="M57" s="844"/>
      <c r="N57" s="17" t="s">
        <v>118</v>
      </c>
      <c r="O57" s="115"/>
      <c r="T57" s="17" t="s">
        <v>118</v>
      </c>
      <c r="U57" s="115"/>
      <c r="V57" s="960" t="str">
        <f>CONCATENATE("SE SC of ",$L$39)</f>
        <v>SE SC of 25</v>
      </c>
      <c r="W57" s="904"/>
      <c r="AA57" s="5"/>
      <c r="AB57" s="29"/>
      <c r="AE57" s="87"/>
      <c r="AF57" s="88"/>
      <c r="AG57" s="89"/>
      <c r="AH57" s="89"/>
      <c r="AI57" s="87"/>
      <c r="AJ57" s="88"/>
      <c r="AK57" s="87"/>
      <c r="AL57" s="88"/>
      <c r="AV57" s="19">
        <v>1</v>
      </c>
      <c r="AW57" s="82" t="s">
        <v>281</v>
      </c>
      <c r="AX57" s="82" t="s">
        <v>288</v>
      </c>
      <c r="AY57" s="82" t="s">
        <v>292</v>
      </c>
      <c r="AZ57" s="82" t="s">
        <v>296</v>
      </c>
      <c r="BD57" s="39" t="s">
        <v>365</v>
      </c>
      <c r="BE57" s="41" t="b">
        <f>IF(OR(ISNUMBER($BF$38),ISNUMBER($BF$39),ISNUMBER($BF$40),ISNUMBER($BF$41)),$BE$51,IF(OR(ISNUMBER($BF$46),ISNUMBER($BF$47),ISNUMBER($BF$48),ISNUMBER($BF$49)),VLOOKUP($V$8,$BG$38:$BO$73,MAX($BF$46:$BF$49),FALSE)))</f>
        <v>0</v>
      </c>
      <c r="BG57" s="82">
        <v>20</v>
      </c>
      <c r="BH57" s="82">
        <v>17</v>
      </c>
      <c r="BI57" s="82">
        <v>16</v>
      </c>
      <c r="BJ57" s="82">
        <v>21</v>
      </c>
      <c r="BK57" s="82">
        <v>28</v>
      </c>
      <c r="BL57" s="82">
        <v>29</v>
      </c>
      <c r="BM57" s="82">
        <v>30</v>
      </c>
      <c r="BN57" s="82">
        <v>19</v>
      </c>
      <c r="BO57" s="82">
        <v>18</v>
      </c>
      <c r="BZ57" s="19"/>
      <c r="CA57" s="19"/>
    </row>
    <row r="58" spans="1:79" ht="12" customHeight="1" x14ac:dyDescent="0.25">
      <c r="D58" s="17" t="s">
        <v>124</v>
      </c>
      <c r="E58" s="111"/>
      <c r="F58" s="20"/>
      <c r="G58" s="20"/>
      <c r="H58" s="20"/>
      <c r="I58" s="20"/>
      <c r="J58" s="17" t="s">
        <v>124</v>
      </c>
      <c r="K58" s="114"/>
      <c r="N58" s="17" t="s">
        <v>124</v>
      </c>
      <c r="O58" s="111"/>
      <c r="P58" s="20"/>
      <c r="Q58" s="20"/>
      <c r="R58" s="20"/>
      <c r="S58" s="20"/>
      <c r="T58" s="17" t="s">
        <v>124</v>
      </c>
      <c r="U58" s="111"/>
      <c r="AA58" s="5"/>
      <c r="AB58" s="29"/>
      <c r="AE58" s="939" t="s">
        <v>410</v>
      </c>
      <c r="AF58" s="882"/>
      <c r="AG58" s="939" t="s">
        <v>411</v>
      </c>
      <c r="AH58" s="882"/>
      <c r="AI58" s="939" t="s">
        <v>412</v>
      </c>
      <c r="AJ58" s="882"/>
      <c r="AK58" s="939" t="s">
        <v>413</v>
      </c>
      <c r="AL58" s="882"/>
      <c r="AV58" s="19">
        <v>2</v>
      </c>
      <c r="AW58" s="82" t="s">
        <v>283</v>
      </c>
      <c r="AX58" s="82" t="s">
        <v>289</v>
      </c>
      <c r="AY58" s="82" t="s">
        <v>293</v>
      </c>
      <c r="AZ58" s="82" t="s">
        <v>297</v>
      </c>
      <c r="BD58" s="37"/>
      <c r="BE58" s="36" t="e">
        <f>IF(MAX($AE$89:$AL$89)&gt;0,$BE$57,IF(OR(ISNUMBER('BHL Section 1'!$BG$45),ISNUMBER('BHL Section 1'!$BG$46),ISNUMBER('BHL Section 1'!$BG$47),ISNUMBER('BHL Section 1'!$BG$48)),VLOOKUP($BE$57,$BG$38:$BO$73,MAX('BHL Section 1'!$BG$45:$BG$48),FALSE),$BE$57))</f>
        <v>#VALUE!</v>
      </c>
      <c r="BG58" s="82">
        <v>21</v>
      </c>
      <c r="BH58" s="82">
        <v>16</v>
      </c>
      <c r="BI58" s="82">
        <v>15</v>
      </c>
      <c r="BJ58" s="82">
        <v>22</v>
      </c>
      <c r="BK58" s="82">
        <v>27</v>
      </c>
      <c r="BL58" s="82">
        <v>28</v>
      </c>
      <c r="BM58" s="82">
        <v>29</v>
      </c>
      <c r="BN58" s="82">
        <v>20</v>
      </c>
      <c r="BO58" s="82">
        <v>17</v>
      </c>
      <c r="BZ58" s="19"/>
      <c r="CA58" s="19"/>
    </row>
    <row r="59" spans="1:79" ht="12" customHeight="1" x14ac:dyDescent="0.25">
      <c r="D59" s="17" t="s">
        <v>130</v>
      </c>
      <c r="E59" s="111"/>
      <c r="J59" s="17" t="s">
        <v>130</v>
      </c>
      <c r="K59" s="114"/>
      <c r="N59" s="17" t="s">
        <v>130</v>
      </c>
      <c r="O59" s="111"/>
      <c r="T59" s="17" t="s">
        <v>130</v>
      </c>
      <c r="U59" s="111"/>
      <c r="AA59" s="5"/>
      <c r="AB59" s="29"/>
      <c r="AD59" s="757" t="s">
        <v>226</v>
      </c>
      <c r="AE59" s="30" t="s">
        <v>181</v>
      </c>
      <c r="AF59" s="30" t="s">
        <v>194</v>
      </c>
      <c r="AG59" s="761" t="s">
        <v>181</v>
      </c>
      <c r="AH59" s="760" t="s">
        <v>201</v>
      </c>
      <c r="AI59" s="30" t="s">
        <v>186</v>
      </c>
      <c r="AJ59" s="30" t="s">
        <v>201</v>
      </c>
      <c r="AK59" s="30" t="s">
        <v>186</v>
      </c>
      <c r="AL59" s="30" t="s">
        <v>194</v>
      </c>
      <c r="AN59" s="19" t="s">
        <v>371</v>
      </c>
      <c r="AV59" s="19">
        <v>3</v>
      </c>
      <c r="AW59" s="82" t="s">
        <v>285</v>
      </c>
      <c r="AX59" s="82" t="s">
        <v>290</v>
      </c>
      <c r="AY59" s="82" t="s">
        <v>294</v>
      </c>
      <c r="AZ59" s="82" t="s">
        <v>298</v>
      </c>
      <c r="BD59" s="121"/>
      <c r="BE59" s="120" t="e">
        <f>IF(MAX('BHL Section 1'!$AF$80:$AM$80)&gt;0,$BE$58,IF(OR(ISNUMBER('BHL Section 2'!$BG$45),ISNUMBER('BHL Section 2'!$BG$46),ISNUMBER('BHL Section 2'!$BG$47),ISNUMBER('BHL Section 2'!$BG$48)),VLOOKUP($BE$58,$BG$38:$BO$73,MAX('BHL Section 2'!$BG$45:$BG$48),FALSE),$BE$58))</f>
        <v>#VALUE!</v>
      </c>
      <c r="BG59" s="82">
        <v>22</v>
      </c>
      <c r="BH59" s="82">
        <v>15</v>
      </c>
      <c r="BI59" s="82">
        <v>14</v>
      </c>
      <c r="BJ59" s="82">
        <v>23</v>
      </c>
      <c r="BK59" s="82">
        <v>26</v>
      </c>
      <c r="BL59" s="82">
        <v>27</v>
      </c>
      <c r="BM59" s="82">
        <v>28</v>
      </c>
      <c r="BN59" s="82">
        <v>21</v>
      </c>
      <c r="BO59" s="82">
        <v>16</v>
      </c>
      <c r="BZ59" s="19"/>
      <c r="CA59" s="19"/>
    </row>
    <row r="60" spans="1:79" ht="12" customHeight="1" x14ac:dyDescent="0.25">
      <c r="D60" s="17" t="s">
        <v>134</v>
      </c>
      <c r="E60" s="111"/>
      <c r="J60" s="17" t="s">
        <v>134</v>
      </c>
      <c r="K60" s="114"/>
      <c r="N60" s="17" t="s">
        <v>134</v>
      </c>
      <c r="O60" s="111"/>
      <c r="T60" s="17" t="s">
        <v>134</v>
      </c>
      <c r="U60" s="111"/>
      <c r="AA60" s="5"/>
      <c r="AB60" s="29"/>
      <c r="AD60" s="53">
        <v>1</v>
      </c>
      <c r="AE60" s="49" t="str">
        <f>IF($AD60=AE$56,(-$AE$31+$AF$31*$AV$20/$AW$20)*$AV$29,"")</f>
        <v/>
      </c>
      <c r="AF60" s="48" t="str">
        <f>IF($AD60=AE$56,(-$AF$31+$AE$31*$CA$20/$BZ$20)*$BZ$29,"")</f>
        <v/>
      </c>
      <c r="AG60" s="49" t="str">
        <f>IF($AD60=AG$56,(-$AG$31+$BB$20+($AH$31-$BC$20)*$AZ$20/$BA$20)*$AZ$29,"")</f>
        <v/>
      </c>
      <c r="AH60" s="48" t="str">
        <f>IF($AD60=AG$56,($AH$31-$AG$31*$BE$20/$BD$20)*$BD$29,"")</f>
        <v/>
      </c>
      <c r="AI60" s="49" t="str">
        <f>IF($AD60=AI$56,($AI$31-$BL$20-($AJ$31-$BM$20)*$BN$20/$BO$20)*$BN$29,"")</f>
        <v/>
      </c>
      <c r="AJ60" s="48" t="str">
        <f>IF($AD60=AI$56,($AJ$31-$BK$20-($AI$31-$BJ$20)*$BI$20/$BH$20)*$BH$29,"")</f>
        <v/>
      </c>
      <c r="AK60" s="49" t="str">
        <f>IF($AD60=AK$56,($AK$31-$AL$31*$BR$20/$BS$20)*$BR$29,"")</f>
        <v/>
      </c>
      <c r="AL60" s="48" t="str">
        <f>IF($AD60=AK$56,(-$AL$31+$BU$20+($AK$31-$BT$20)*$BW$20/$BV$20)*$BV$29,"")</f>
        <v/>
      </c>
      <c r="AN60" s="159" t="e">
        <f>(-$AE$31+$AF$31*$AV$20/$AW$20)</f>
        <v>#VALUE!</v>
      </c>
      <c r="AO60" s="160" t="e">
        <f>(-$AF$31+$AE$31*$CA$20/$BZ$20)</f>
        <v>#VALUE!</v>
      </c>
      <c r="AP60" s="159" t="e">
        <f>(-$AG$31+$BB$20+($AH$31-$BC$20)*$AZ$20/$BA$20)</f>
        <v>#VALUE!</v>
      </c>
      <c r="AQ60" s="160" t="e">
        <f>($AH$31-$AG$31*$BE$20/$BD$20)</f>
        <v>#VALUE!</v>
      </c>
      <c r="AR60" s="159" t="e">
        <f>($AI$31-$BL$20-($AJ$31-$BM$20)*$BN$20/$BO$20)</f>
        <v>#VALUE!</v>
      </c>
      <c r="AS60" s="160" t="e">
        <f>($AJ$31-$BK$20-($AI$31-$BJ$20)*$BI$20/$BH$20)</f>
        <v>#VALUE!</v>
      </c>
      <c r="AT60" s="159" t="e">
        <f>($AK$31-$AL$31*$BR$20/$BS$20)</f>
        <v>#VALUE!</v>
      </c>
      <c r="AU60" s="160" t="e">
        <f>(-$AL$31+$BU$20+($AK$31-$BT$20)*$BW$20/$BV$20)</f>
        <v>#VALUE!</v>
      </c>
      <c r="AV60" s="19">
        <v>4</v>
      </c>
      <c r="AW60" s="82" t="s">
        <v>287</v>
      </c>
      <c r="AX60" s="82" t="s">
        <v>291</v>
      </c>
      <c r="AY60" s="82" t="s">
        <v>295</v>
      </c>
      <c r="AZ60" s="82" t="s">
        <v>299</v>
      </c>
      <c r="BG60" s="82">
        <v>23</v>
      </c>
      <c r="BH60" s="82">
        <v>14</v>
      </c>
      <c r="BI60" s="82">
        <v>13</v>
      </c>
      <c r="BJ60" s="82">
        <v>24</v>
      </c>
      <c r="BK60" s="82">
        <v>25</v>
      </c>
      <c r="BL60" s="82">
        <v>26</v>
      </c>
      <c r="BM60" s="82">
        <v>27</v>
      </c>
      <c r="BN60" s="82">
        <v>22</v>
      </c>
      <c r="BO60" s="82">
        <v>15</v>
      </c>
      <c r="BZ60" s="19"/>
      <c r="CA60" s="19"/>
    </row>
    <row r="61" spans="1:79" ht="12" customHeight="1" x14ac:dyDescent="0.25">
      <c r="D61" s="17" t="s">
        <v>140</v>
      </c>
      <c r="E61" s="112">
        <v>2</v>
      </c>
      <c r="J61" s="17" t="s">
        <v>140</v>
      </c>
      <c r="K61" s="112">
        <v>2</v>
      </c>
      <c r="N61" s="17" t="s">
        <v>140</v>
      </c>
      <c r="O61" s="112">
        <v>2</v>
      </c>
      <c r="T61" s="17" t="s">
        <v>140</v>
      </c>
      <c r="U61" s="112">
        <v>2</v>
      </c>
      <c r="V61" s="116"/>
      <c r="AA61" s="5"/>
      <c r="AB61" s="29"/>
      <c r="AD61" s="53">
        <v>2</v>
      </c>
      <c r="AE61" s="49" t="str">
        <f>IF($AD61=AE$56,(-$AE$31-$AV$20+($AF$31+$AW$20)*$AX$20/$AY$20)*$AX$29,"")</f>
        <v/>
      </c>
      <c r="AF61" s="48" t="str">
        <f>IF($AD61=AE$56,(-$AF$31+$AE$31*$CA$20/$BZ$20)*$BZ$29,"")</f>
        <v/>
      </c>
      <c r="AG61" s="49" t="str">
        <f>IF($AD61=AG$56,(-$AG$31+$AH$31*$BB$20/$BC$20)*$BB$29,"")</f>
        <v/>
      </c>
      <c r="AH61" s="48" t="str">
        <f>IF($AD61=AG$56,($AH$31-$AG$31*$BE$20/$BD$20)*$BD$29,"")</f>
        <v/>
      </c>
      <c r="AI61" s="49" t="str">
        <f>IF($AD61=AI$56,($AI$31-$AJ$31*$BL$20/$BM$20)*$BL$29,"")</f>
        <v/>
      </c>
      <c r="AJ61" s="48" t="str">
        <f>IF($AD61=AI$56,($AJ$31-$BK$20-($AI$31-$BJ$20)*$BI$20/$BH$20)*$BH$29,"")</f>
        <v/>
      </c>
      <c r="AK61" s="49" t="str">
        <f>IF($AD61=AK$56,($AK$31+$BR$20+(-$AL$31-$BS$20)*$BP$20/$BQ$20)*$BP$29,"")</f>
        <v/>
      </c>
      <c r="AL61" s="48" t="str">
        <f>IF($AD61=AK$56,(-$AL$31+$BU$20+($AK$31-$BT$20)*$BW$20/$BV$20)*$BV$29,"")</f>
        <v/>
      </c>
      <c r="AN61" s="49" t="e">
        <f>(-$AE$31-$AV$20+($AF$31+$AW$20)*$AX$20/$AY$20)</f>
        <v>#VALUE!</v>
      </c>
      <c r="AO61" s="48" t="e">
        <f>(-$AF$31+$AE$31*$CA$20/$BZ$20)</f>
        <v>#VALUE!</v>
      </c>
      <c r="AP61" s="49" t="e">
        <f>(-$AG$31+$AH$31*$BB$20/$BC$20)</f>
        <v>#VALUE!</v>
      </c>
      <c r="AQ61" s="48" t="e">
        <f>($AH$31-$AG$31*$BE$20/$BD$20)</f>
        <v>#VALUE!</v>
      </c>
      <c r="AR61" s="49" t="e">
        <f>($AI$31-$AJ$31*$BL$20/$BM$20)</f>
        <v>#VALUE!</v>
      </c>
      <c r="AS61" s="48" t="e">
        <f>($AJ$31-$BK$20-($AI$31-$BJ$20)*$BI$20/$BH$20)</f>
        <v>#VALUE!</v>
      </c>
      <c r="AT61" s="49" t="e">
        <f>($AK$31+$BR$20+(-$AL$31-$BS$20)*$BP$20/$BQ$20)</f>
        <v>#VALUE!</v>
      </c>
      <c r="AU61" s="48" t="e">
        <f>(-$AL$31+$BU$20+($AK$31-$BT$20)*$BW$20/$BV$20)</f>
        <v>#VALUE!</v>
      </c>
      <c r="BG61" s="82">
        <v>24</v>
      </c>
      <c r="BH61" s="82">
        <v>13</v>
      </c>
      <c r="BI61" s="82">
        <v>18</v>
      </c>
      <c r="BJ61" s="82">
        <v>19</v>
      </c>
      <c r="BK61" s="82">
        <v>30</v>
      </c>
      <c r="BL61" s="82">
        <v>25</v>
      </c>
      <c r="BM61" s="82">
        <v>26</v>
      </c>
      <c r="BN61" s="82">
        <v>23</v>
      </c>
      <c r="BO61" s="82">
        <v>14</v>
      </c>
      <c r="BZ61" s="19"/>
      <c r="CA61" s="19"/>
    </row>
    <row r="62" spans="1:79" ht="12" customHeight="1" x14ac:dyDescent="0.25">
      <c r="D62" s="17" t="s">
        <v>144</v>
      </c>
      <c r="E62" s="34" t="e">
        <f>IF($L$39='SHL Section'!$L$38,IF('SHL Section'!$E$61="","",'SHL Section'!$E$61),IF($L$39='BHL Section 1'!$L$38,IF('BHL Section 1'!$E$61="","",'BHL Section 1'!$E$61),IF($L$39='BHL Section 2'!$L$38,IF('BHL Section 2'!$E$61="","",'BHL Section 2'!$E$61),IF($L$39='BHL Section 3'!$L$38,IF('BHL Section 3'!$E$61="","",'BHL Section 3'!$E$61),IF(E58="","",IF(OR(E61=1,E61=4),180-(E58+E59/60+E60/3600),(E58+E59/60+E60/3600)))))))</f>
        <v>#VALUE!</v>
      </c>
      <c r="J62" s="17" t="s">
        <v>144</v>
      </c>
      <c r="K62" s="34" t="e">
        <f>IF($L$39='SHL Section'!$L$38,IF('SHL Section'!$K$61="","",'SHL Section'!$K$61),IF($L$39='BHL Section 1'!$L$38,IF('BHL Section 1'!$K$61="","",'BHL Section 1'!$K$61),IF($L$39='BHL Section 2'!$L$38,IF('BHL Section 2'!$K$61="","",'BHL Section 2'!$K$61),IF($L$39='BHL Section 3'!$L$38,IF('BHL Section 3'!$K$61="","",'BHL Section 3'!$K$61),IF(K58="","",IF(OR(K61=1,K61=4),180-(K58+K59/60+K60/3600),(K58+K59/60+K60/3600)))))))</f>
        <v>#VALUE!</v>
      </c>
      <c r="N62" s="17" t="s">
        <v>144</v>
      </c>
      <c r="O62" s="34" t="e">
        <f>IF($L$39='SHL Section'!$L$38,IF('SHL Section'!$O$61="","",'SHL Section'!$O$61),IF($L$39='BHL Section 1'!$L$38,IF('BHL Section 1'!$O$61="","",'BHL Section 1'!$O$61),IF($L$39='BHL Section 2'!$L$38,IF('BHL Section 2'!$O$61="","",'BHL Section 2'!$O$61),IF($L$39='BHL Section 3'!$L$38,IF('BHL Section 3'!$O$61="","",'BHL Section 3'!$O$61),IF(O58="","",IF(OR(O61=1,O61=4),180-(O58+O59/60+O60/3600),(O58+O59/60+O60/3600)))))))</f>
        <v>#VALUE!</v>
      </c>
      <c r="T62" s="17" t="s">
        <v>144</v>
      </c>
      <c r="U62" s="34" t="e">
        <f>IF($L$39='SHL Section'!$L$38,IF('SHL Section'!$U$61="","",'SHL Section'!$U$61),IF($L$39='BHL Section 1'!$L$38,IF('BHL Section 1'!$U$61="","",'BHL Section 1'!$U$61),IF($L$39='BHL Section 2'!$L$38,IF('BHL Section 2'!$U$61="","",'BHL Section 2'!$U$61),IF($L$39='BHL Section 3'!$L$38,IF('BHL Section 3'!$U$61="","",'BHL Section 3'!$U$61),IF(U58="","",IF(OR(U61=1,U61=4),180-(U58+U59/60+U60/3600),(U58+U59/60+U60/3600)))))))</f>
        <v>#VALUE!</v>
      </c>
      <c r="AA62" s="5"/>
      <c r="AB62" s="29"/>
      <c r="AD62" s="53">
        <v>3</v>
      </c>
      <c r="AE62" s="49" t="str">
        <f>IF($AD62=AE$56,(-$AE$31-$AV$20+($AF$31+$AW$20)*$AX$20/$AY$20)*$AX$29,"")</f>
        <v/>
      </c>
      <c r="AF62" s="48" t="str">
        <f>IF($AD62=AE$56,(-$AF$31-$CA$20-(-$AE$31-$BZ$20)*$BY$20/$BX$20)*$BX$29,"")</f>
        <v/>
      </c>
      <c r="AG62" s="49" t="str">
        <f>IF($AD62=AG$56,(-$AG$31+$AH$31*$BB$20/$BC$20)*$BB$29,"")</f>
        <v/>
      </c>
      <c r="AH62" s="48" t="str">
        <f>IF($AD62=AG$56,($AH$31+$BE$20+(-$AG$31-$BD$20)*$BG$20/$BF$20)*$BF$29,"")</f>
        <v/>
      </c>
      <c r="AI62" s="49" t="str">
        <f>IF($AD62=AI$56,($AI$31-$AJ$31*$BL$20/$BM$20)*$BL$29,"")</f>
        <v/>
      </c>
      <c r="AJ62" s="48" t="str">
        <f>IF($AD62=AI$56,($AJ$31-$AI$31*$BK$20/$BJ$20)*$BJ$29,"")</f>
        <v/>
      </c>
      <c r="AK62" s="49" t="str">
        <f>IF($AD62=AK$56,($AK$31+$BR$20+(-$AL$31-$BS$20)*$BP$20/$BQ$20)*$BP$29,"")</f>
        <v/>
      </c>
      <c r="AL62" s="48" t="str">
        <f>IF($AD62=AK$56,(-$AL$31+$AK$31*$BU$20/$BT$20)*$BT$29,"")</f>
        <v/>
      </c>
      <c r="AN62" s="49" t="e">
        <f>(-$AE$31-$AV$20+($AF$31+$AW$20)*$AX$20/$AY$20)</f>
        <v>#VALUE!</v>
      </c>
      <c r="AO62" s="48" t="e">
        <f>(-$AF$31-$CA$20-(-$AE$31-$BZ$20)*$BY$20/$BX$20)</f>
        <v>#VALUE!</v>
      </c>
      <c r="AP62" s="49" t="e">
        <f>(-$AG$31+$AH$31*$BB$20/$BC$20)</f>
        <v>#VALUE!</v>
      </c>
      <c r="AQ62" s="48" t="e">
        <f>($AH$31+$BE$20+(-$AG$31-$BD$20)*$BG$20/$BF$20)</f>
        <v>#VALUE!</v>
      </c>
      <c r="AR62" s="49" t="e">
        <f>($AI$31-$AJ$31*$BL$20/$BM$20)</f>
        <v>#VALUE!</v>
      </c>
      <c r="AS62" s="48" t="e">
        <f>($AJ$31-$AI$31*$BK$20/$BJ$20)</f>
        <v>#VALUE!</v>
      </c>
      <c r="AT62" s="49" t="e">
        <f>($AK$31+$BR$20+(-$AL$31-$BS$20)*$BP$20/$BQ$20)</f>
        <v>#VALUE!</v>
      </c>
      <c r="AU62" s="48" t="e">
        <f>(-$AL$31+$AK$31*$BU$20/$BT$20)</f>
        <v>#VALUE!</v>
      </c>
      <c r="AW62" s="29" t="e">
        <f>VLOOKUP(MAX(#REF!),$AV$57:$AZ$60,MAX(#REF!)+1,FALSE)</f>
        <v>#REF!</v>
      </c>
      <c r="BG62" s="82">
        <v>25</v>
      </c>
      <c r="BH62" s="82">
        <v>24</v>
      </c>
      <c r="BI62" s="82">
        <v>19</v>
      </c>
      <c r="BJ62" s="82">
        <v>30</v>
      </c>
      <c r="BK62" s="82">
        <v>31</v>
      </c>
      <c r="BL62" s="82">
        <v>36</v>
      </c>
      <c r="BM62" s="82">
        <v>35</v>
      </c>
      <c r="BN62" s="82">
        <v>26</v>
      </c>
      <c r="BO62" s="82">
        <v>23</v>
      </c>
      <c r="BZ62" s="19"/>
      <c r="CA62" s="19"/>
    </row>
    <row r="63" spans="1:79" ht="12" customHeight="1" x14ac:dyDescent="0.25">
      <c r="E63" s="44" t="e">
        <f>IF($L$39='SHL Section'!$L$38,'SHL Section'!$E$56,IF($L$39='BHL Section 1'!$L$38,'BHL Section 1'!$E$62,IF($L$39='BHL Section 2'!$L$38,'BHL Section 2'!$E$62,IF($L$39='BHL Section 3'!$L$38,'BHL Section 3'!$E$62,$E$57))))</f>
        <v>#VALUE!</v>
      </c>
      <c r="F63" s="156"/>
      <c r="G63" s="156"/>
      <c r="H63" s="156"/>
      <c r="I63" s="156"/>
      <c r="J63" s="156"/>
      <c r="K63" s="44" t="e">
        <f>IF($L$39='SHL Section'!$L$38,'SHL Section'!$K$56,IF($L$39='BHL Section 1'!$L$38,'BHL Section 1'!$K$62,IF($L$39='BHL Section 2'!$L$38,'BHL Section 2'!$K$62,IF($L$39='BHL Section 3'!$L$38,'BHL Section 3'!$K$62,$K$57))))</f>
        <v>#VALUE!</v>
      </c>
      <c r="L63" s="156"/>
      <c r="M63" s="156"/>
      <c r="N63" s="156"/>
      <c r="O63" s="44" t="e">
        <f>IF($L$39='SHL Section'!$L$38,'SHL Section'!$O$56,IF($L$39='BHL Section 1'!$L$38,'BHL Section 1'!$O$62,IF($L$39='BHL Section 2'!$L$38,'BHL Section 2'!$O$62,IF($L$39='BHL Section 3'!$L$38,'BHL Section 3'!$O$62,$O$57))))</f>
        <v>#VALUE!</v>
      </c>
      <c r="P63" s="156"/>
      <c r="Q63" s="156"/>
      <c r="R63" s="156"/>
      <c r="S63" s="156"/>
      <c r="T63" s="156"/>
      <c r="U63" s="44" t="e">
        <f>IF($L$39='SHL Section'!$L$38,'SHL Section'!$U$56,IF($L$39='BHL Section 1'!$L$38,'BHL Section 1'!$U$62,IF($L$39='BHL Section 2'!$L$38,'BHL Section 2'!$U$62,IF($L$39='BHL Section 3'!$L$38,'BHL Section 3'!$U$62,$U$57))))</f>
        <v>#VALUE!</v>
      </c>
      <c r="AA63" s="5"/>
      <c r="AD63" s="53">
        <v>4</v>
      </c>
      <c r="AE63" s="83" t="str">
        <f>IF($AD63=AE$56,(-$AE$31+$AF$31*$AV$20/$AW$20)*$AV$29,"")</f>
        <v/>
      </c>
      <c r="AF63" s="84" t="str">
        <f>IF($AD63=AE$56,(-$AF$31-$CA$20-(-$AE$31-$BZ$20)*$BY$20/$BX$20)*$BX$29,"")</f>
        <v/>
      </c>
      <c r="AG63" s="83" t="str">
        <f>IF($AD63=AG$56,(-$AG$31+$BB$20+($AH$31-$BC$20)*$AZ$20/$BA$20)*$AZ$29,"")</f>
        <v/>
      </c>
      <c r="AH63" s="84" t="str">
        <f>IF($AD63=AG$56,($AH$31+$BE$20+(-$AG$31-$BD$20)*$BG$20/$BF$20)*$BF$29,"")</f>
        <v/>
      </c>
      <c r="AI63" s="83" t="str">
        <f>IF($AD63=AI$56,($AI$31-$BL$20-($AJ$31-$BM$20)*$BN$20/$BO$20)*$BN$29,"")</f>
        <v/>
      </c>
      <c r="AJ63" s="84" t="str">
        <f>IF($AD63=AI$56,($AJ$31-$AI$31*$BK$20/$BJ$20)*$BJ$29,"")</f>
        <v/>
      </c>
      <c r="AK63" s="83" t="str">
        <f>IF($AD63=AK$56,($AK$31-$AL$31*$BR$20/$BS$20)*$BR$29,"")</f>
        <v/>
      </c>
      <c r="AL63" s="84" t="str">
        <f>IF($AD63=AK$56,(-$AL$31+$AK$31*$BU$20/$BT$20)*$BT$29,"")</f>
        <v/>
      </c>
      <c r="AN63" s="83" t="e">
        <f>(-$AE$31+$AF$31*$AV$20/$AW$20)</f>
        <v>#VALUE!</v>
      </c>
      <c r="AO63" s="84" t="e">
        <f>(-$AF$31-$CA$20-(-$AE$31-$BZ$20)*$BY$20/$BX$20)</f>
        <v>#VALUE!</v>
      </c>
      <c r="AP63" s="83" t="e">
        <f>(-$AG$31+$BB$20+($AH$31-$BC$20)*$AZ$20/$BA$20)</f>
        <v>#VALUE!</v>
      </c>
      <c r="AQ63" s="84" t="e">
        <f>($AH$31+$BE$20+(-$AG$31-$BD$20)*$BG$20/$BF$20)</f>
        <v>#VALUE!</v>
      </c>
      <c r="AR63" s="83" t="e">
        <f>($AI$31-$BL$20-($AJ$31-$BM$20)*$BN$20/$BO$20)</f>
        <v>#VALUE!</v>
      </c>
      <c r="AS63" s="84" t="e">
        <f>($AJ$31-$AI$31*$BK$20/$BJ$20)</f>
        <v>#VALUE!</v>
      </c>
      <c r="AT63" s="83" t="e">
        <f>($AK$31-$AL$31*$BR$20/$BS$20)</f>
        <v>#VALUE!</v>
      </c>
      <c r="AU63" s="84" t="e">
        <f>(-$AL$31+$AK$31*$BU$20/$BT$20)</f>
        <v>#VALUE!</v>
      </c>
      <c r="BG63" s="82">
        <v>26</v>
      </c>
      <c r="BH63" s="82">
        <v>23</v>
      </c>
      <c r="BI63" s="82">
        <v>24</v>
      </c>
      <c r="BJ63" s="82">
        <v>25</v>
      </c>
      <c r="BK63" s="82">
        <v>36</v>
      </c>
      <c r="BL63" s="82">
        <v>35</v>
      </c>
      <c r="BM63" s="82">
        <v>34</v>
      </c>
      <c r="BN63" s="82">
        <v>27</v>
      </c>
      <c r="BO63" s="82">
        <v>22</v>
      </c>
      <c r="BZ63" s="19"/>
      <c r="CA63" s="19"/>
    </row>
    <row r="64" spans="1:79" ht="12" customHeight="1" x14ac:dyDescent="0.25">
      <c r="AA64" s="5"/>
      <c r="AB64" s="5"/>
      <c r="AE64" s="85" t="str">
        <f>IF(ISNUMBER($AE$60),AE$60,IF(ISNUMBER($AE$61),AE$61,IF(ISNUMBER($AE$62),AE$62,IF(ISNUMBER($AE$63),AE$63,""))))</f>
        <v/>
      </c>
      <c r="AF64" s="86" t="str">
        <f>IF(ISNUMBER($AF$60),AF$60,IF(ISNUMBER($AF$61),AF$61,IF(ISNUMBER($AF$62),AF$62,IF(ISNUMBER($AF$63),AF$63,""))))</f>
        <v/>
      </c>
      <c r="AG64" s="85" t="str">
        <f>IF(ISNUMBER($AG$60),AG$60,IF(ISNUMBER($AG$61),AG$61,IF(ISNUMBER($AG$62),AG$62,IF(ISNUMBER($AG$63),AG$63,""))))</f>
        <v/>
      </c>
      <c r="AH64" s="86" t="str">
        <f>IF(ISNUMBER($AH$60),AH$60,IF(ISNUMBER($AH$61),AH$61,IF(ISNUMBER($AH$62),AH$62,IF(ISNUMBER($AH$63),AH$63,""))))</f>
        <v/>
      </c>
      <c r="AI64" s="85" t="str">
        <f>IF(ISNUMBER($AI$60),AI$60,IF(ISNUMBER($AI$61),AI$61,IF(ISNUMBER($AI$62),AI$62,IF(ISNUMBER($AI$63),AI$63,""))))</f>
        <v/>
      </c>
      <c r="AJ64" s="86" t="str">
        <f>IF(ISNUMBER($AJ$60),AJ$60,IF(ISNUMBER($AJ$61),AJ$61,IF(ISNUMBER($AJ$62),AJ$62,IF(ISNUMBER($AJ$63),AJ$63,""))))</f>
        <v/>
      </c>
      <c r="AK64" s="85" t="str">
        <f>IF(ISNUMBER($AK$60),AK$60,IF(ISNUMBER($AK$61),AK$61,IF(ISNUMBER($AK$62),AK$62,IF(ISNUMBER($AK$63),AK$63,""))))</f>
        <v/>
      </c>
      <c r="AL64" s="86" t="str">
        <f>IF(ISNUMBER($AL$60),AL$60,IF(ISNUMBER($AL$61),AL$61,IF(ISNUMBER($AL$62),AL$62,IF(ISNUMBER($AL$63),AL$63,""))))</f>
        <v/>
      </c>
      <c r="AO64" s="44"/>
      <c r="AP64" s="44"/>
      <c r="AQ64" s="44"/>
      <c r="AR64" s="44"/>
      <c r="AS64" s="44"/>
      <c r="AT64" s="44"/>
      <c r="BG64" s="82">
        <v>27</v>
      </c>
      <c r="BH64" s="82">
        <v>22</v>
      </c>
      <c r="BI64" s="82">
        <v>23</v>
      </c>
      <c r="BJ64" s="82">
        <v>26</v>
      </c>
      <c r="BK64" s="82">
        <v>35</v>
      </c>
      <c r="BL64" s="82">
        <v>34</v>
      </c>
      <c r="BM64" s="82">
        <v>33</v>
      </c>
      <c r="BN64" s="82">
        <v>28</v>
      </c>
      <c r="BO64" s="82">
        <v>21</v>
      </c>
      <c r="BZ64" s="19"/>
      <c r="CA64" s="19"/>
    </row>
    <row r="65" spans="27:79" ht="12" customHeight="1" x14ac:dyDescent="0.25">
      <c r="AA65" s="5"/>
      <c r="AE65" s="87"/>
      <c r="AF65" s="88"/>
      <c r="AG65" s="89"/>
      <c r="AH65" s="89"/>
      <c r="AI65" s="87"/>
      <c r="AJ65" s="88"/>
      <c r="AK65" s="87"/>
      <c r="AL65" s="88"/>
      <c r="AO65" s="44"/>
      <c r="AP65" s="44"/>
      <c r="AQ65" s="44"/>
      <c r="AR65" s="44"/>
      <c r="AS65" s="44"/>
      <c r="AT65" s="44"/>
      <c r="BG65" s="82">
        <v>28</v>
      </c>
      <c r="BH65" s="82">
        <v>21</v>
      </c>
      <c r="BI65" s="82">
        <v>22</v>
      </c>
      <c r="BJ65" s="82">
        <v>27</v>
      </c>
      <c r="BK65" s="82">
        <v>34</v>
      </c>
      <c r="BL65" s="82">
        <v>33</v>
      </c>
      <c r="BM65" s="82">
        <v>32</v>
      </c>
      <c r="BN65" s="82">
        <v>29</v>
      </c>
      <c r="BO65" s="82">
        <v>20</v>
      </c>
      <c r="BZ65" s="19"/>
      <c r="CA65" s="19"/>
    </row>
    <row r="66" spans="27:79" ht="12" customHeight="1" x14ac:dyDescent="0.25">
      <c r="AA66" s="5"/>
      <c r="AE66" s="939" t="s">
        <v>366</v>
      </c>
      <c r="AF66" s="882"/>
      <c r="AG66" s="943" t="s">
        <v>366</v>
      </c>
      <c r="AH66" s="832"/>
      <c r="AI66" s="939" t="s">
        <v>366</v>
      </c>
      <c r="AJ66" s="882"/>
      <c r="AK66" s="939" t="s">
        <v>366</v>
      </c>
      <c r="AL66" s="882"/>
      <c r="BG66" s="82">
        <v>29</v>
      </c>
      <c r="BH66" s="82">
        <v>20</v>
      </c>
      <c r="BI66" s="82">
        <v>21</v>
      </c>
      <c r="BJ66" s="82">
        <v>28</v>
      </c>
      <c r="BK66" s="82">
        <v>33</v>
      </c>
      <c r="BL66" s="82">
        <v>32</v>
      </c>
      <c r="BM66" s="82">
        <v>31</v>
      </c>
      <c r="BN66" s="82">
        <v>30</v>
      </c>
      <c r="BO66" s="82">
        <v>19</v>
      </c>
      <c r="BZ66" s="19"/>
      <c r="CA66" s="19"/>
    </row>
    <row r="67" spans="27:79" ht="12" customHeight="1" x14ac:dyDescent="0.25">
      <c r="AA67" s="5"/>
      <c r="AE67" s="944" t="e">
        <f>IF($AE$33="","",IF(AND((-$AE$33+$AF$33*$AV$20/$AW$20)&gt;0,-$AE$33&lt;$BZ$20,(-$AF$33+$AE$33*$CA$20/$BZ$20)&gt;0,-$AF$33&lt;$AW$20),1,IF(AND((-$AE$33-$AV$20+($AF$33+$AW$20)*$AX$20/$AY$20)&gt;0,-$AE$33&lt;$BZ$20,-$AF$33&gt;$AW$20,-$AF$33&lt;$AX$23),2,IF(AND(-$AE$33&lt;$BY$23,-$AE$33&gt;$BZ$20,-$AF$33&gt;$AW$20,-$AF$33&lt;$AX$23),3,IF(AND(-$AE$33&lt;$BY$23,-$AE$33&gt;$BZ$20,(-$AF$33-$CA$20-(-$AE$33-$BZ$20)*$BY$20/$BX$20)&gt;0,-$AF$33&lt;$AW$20),4,"")))))</f>
        <v>#VALUE!</v>
      </c>
      <c r="AF67" s="911"/>
      <c r="AG67" s="944" t="e">
        <f>IF($AG$34="","",IF(AND((-$AG$34+$BB$20+($AH$34-$BC$20)*$AZ$20/$BA$20)&gt;0,-$AG$34&lt;$BD$20,$AH$34&gt;$BC$20,$AH$34&lt;$BB$23),1,IF(AND((-$AG$34+$AH$34*$BB$20/$BC$20)&gt;0,-$AG$34&lt;$BD$20,($AH$34-$AG$34*$BE$20/$BD$20)&gt;0,$AH$34&lt;$BC$20),2,IF(AND(-$AG$34&gt;$BD$20,-$AG$34&lt;$BE$23,($AH$34+$BE$20+(-$AG$34-$BD$20)*$BG$20/$BF$20)&gt;0,$AH$34&lt;$BC$20),3,IF(AND(-$AG$34&gt;$BD$20,-$AG$34&lt;$BE$23,$AH$34&gt;$BC$20,$AH$34&lt;$BB$23),4,"")))))</f>
        <v>#VALUE!</v>
      </c>
      <c r="AH67" s="911"/>
      <c r="AI67" s="944" t="e">
        <f>IF($AI$35="","",IF(AND($AI$35&gt;$BJ$20,$AI$35&lt;$BI$23,$AJ$35&gt;$BM$20,$AJ$35&lt;$BN$23),1,IF(AND($AI$35&gt;$BJ$20,$AI$35&lt;$BI$23,($AJ$35-$BK$20-($AI$35-$BJ$20)*$BI$20/$BH$20)&gt;0,$AJ$35&lt;$BM$20),2,IF(AND(($AI$35-$AJ$35*$BL$20/$BM$20)&gt;0,$AI$35&lt;$BJ$20,($AJ$35-$AI$35*$BK$20/$BJ$20)&gt;0,$AJ$35&lt;$BM$20),3,IF(AND(($AI$35-$BL$20-($AJ$35-$BM$20)*$BN$20/$BO$20)&gt;0,$AI$35&lt;$BJ$20,$AJ$35&gt;$BM$20,$AJ$35&lt;$BN$23),4,"")))))</f>
        <v>#VALUE!</v>
      </c>
      <c r="AJ67" s="911"/>
      <c r="AK67" s="944" t="e">
        <f>IF($AK$36="","",IF(AND($AK$36&gt;$BT$20,$AK$36&lt;$BU$23,(-$AL$36+$BU$20+($AK$36-$BT$20)*$BW$20/$BV$20)&gt;0,-$AL$36&lt;$BS$20),1,IF(AND($AK$36&gt;$BT$20,$AK$36&lt;$BU$23,-$AL$36&gt;$BS$20,-$AL$36&lt;$BR$23),2,IF(AND(($AK$36+$BR$20+(-$AL$36-$BS$20)*$BP$20/$BQ$20)&gt;0,$AK$36&lt;$BT$20,-$AL$36&gt;$BS$20,-$AL$36&lt;$BR$23),3,IF(AND(($AK$36-$AL$36*$BR$20/$BS$20)&gt;0,$AK$36&lt;$BT$20,(-$AL$36+$AK$36*$BU$20/$BT$20)&gt;0,-$AL$36&lt;$BS$20),4,"")))))</f>
        <v>#VALUE!</v>
      </c>
      <c r="AL67" s="911"/>
      <c r="BG67" s="82">
        <v>30</v>
      </c>
      <c r="BH67" s="82">
        <v>19</v>
      </c>
      <c r="BI67" s="82">
        <v>20</v>
      </c>
      <c r="BJ67" s="82">
        <v>29</v>
      </c>
      <c r="BK67" s="82">
        <v>32</v>
      </c>
      <c r="BL67" s="82">
        <v>31</v>
      </c>
      <c r="BM67" s="82">
        <v>36</v>
      </c>
      <c r="BN67" s="82">
        <v>25</v>
      </c>
      <c r="BO67" s="82">
        <v>24</v>
      </c>
      <c r="BZ67" s="19"/>
      <c r="CA67" s="19"/>
    </row>
    <row r="68" spans="27:79" ht="12" customHeight="1" x14ac:dyDescent="0.25">
      <c r="AA68" s="5"/>
      <c r="AE68" s="87"/>
      <c r="AF68" s="88"/>
      <c r="AG68" s="89"/>
      <c r="AH68" s="89"/>
      <c r="AI68" s="87"/>
      <c r="AJ68" s="88"/>
      <c r="AK68" s="87"/>
      <c r="AL68" s="88"/>
      <c r="BG68" s="82">
        <v>31</v>
      </c>
      <c r="BH68" s="82">
        <v>30</v>
      </c>
      <c r="BI68" s="82">
        <v>29</v>
      </c>
      <c r="BJ68" s="82">
        <v>32</v>
      </c>
      <c r="BK68" s="82">
        <v>5</v>
      </c>
      <c r="BL68" s="82">
        <v>6</v>
      </c>
      <c r="BM68" s="82">
        <v>1</v>
      </c>
      <c r="BN68" s="82">
        <v>36</v>
      </c>
      <c r="BO68" s="82">
        <v>25</v>
      </c>
      <c r="BZ68" s="19"/>
      <c r="CA68" s="19"/>
    </row>
    <row r="69" spans="27:79" ht="12" customHeight="1" x14ac:dyDescent="0.25">
      <c r="AA69" s="5"/>
      <c r="AE69" s="939" t="s">
        <v>367</v>
      </c>
      <c r="AF69" s="882"/>
      <c r="AG69" s="939" t="s">
        <v>368</v>
      </c>
      <c r="AH69" s="882"/>
      <c r="AI69" s="939" t="s">
        <v>369</v>
      </c>
      <c r="AJ69" s="882"/>
      <c r="AK69" s="939" t="s">
        <v>370</v>
      </c>
      <c r="AL69" s="882"/>
      <c r="BG69" s="82">
        <v>32</v>
      </c>
      <c r="BH69" s="82">
        <v>29</v>
      </c>
      <c r="BI69" s="82">
        <v>28</v>
      </c>
      <c r="BJ69" s="82">
        <v>33</v>
      </c>
      <c r="BK69" s="82">
        <v>4</v>
      </c>
      <c r="BL69" s="82">
        <v>5</v>
      </c>
      <c r="BM69" s="82">
        <v>6</v>
      </c>
      <c r="BN69" s="82">
        <v>31</v>
      </c>
      <c r="BO69" s="82">
        <v>30</v>
      </c>
      <c r="BZ69" s="19"/>
      <c r="CA69" s="19"/>
    </row>
    <row r="70" spans="27:79" ht="12" customHeight="1" x14ac:dyDescent="0.25">
      <c r="AA70" s="5"/>
      <c r="AD70" s="757" t="s">
        <v>226</v>
      </c>
      <c r="AE70" s="30" t="s">
        <v>181</v>
      </c>
      <c r="AF70" s="30" t="s">
        <v>194</v>
      </c>
      <c r="AG70" s="761" t="s">
        <v>181</v>
      </c>
      <c r="AH70" s="760" t="s">
        <v>201</v>
      </c>
      <c r="AI70" s="30" t="s">
        <v>186</v>
      </c>
      <c r="AJ70" s="30" t="s">
        <v>201</v>
      </c>
      <c r="AK70" s="30" t="s">
        <v>186</v>
      </c>
      <c r="AL70" s="30" t="s">
        <v>194</v>
      </c>
      <c r="AN70" s="19" t="s">
        <v>371</v>
      </c>
      <c r="BG70" s="82">
        <v>33</v>
      </c>
      <c r="BH70" s="82">
        <v>28</v>
      </c>
      <c r="BI70" s="82">
        <v>27</v>
      </c>
      <c r="BJ70" s="82">
        <v>34</v>
      </c>
      <c r="BK70" s="82">
        <v>3</v>
      </c>
      <c r="BL70" s="82">
        <v>4</v>
      </c>
      <c r="BM70" s="82">
        <v>5</v>
      </c>
      <c r="BN70" s="82">
        <v>32</v>
      </c>
      <c r="BO70" s="82">
        <v>29</v>
      </c>
      <c r="BZ70" s="19"/>
      <c r="CA70" s="19"/>
    </row>
    <row r="71" spans="27:79" ht="12" customHeight="1" x14ac:dyDescent="0.25">
      <c r="AA71" s="5"/>
      <c r="AB71" s="29"/>
      <c r="AD71" s="53">
        <v>1</v>
      </c>
      <c r="AE71" s="49" t="e">
        <f>IF($AD71=AE$67,(-$AE$37+$AF$37*$AV$20/$AW$20)*$AV$29,"")</f>
        <v>#VALUE!</v>
      </c>
      <c r="AF71" s="48" t="e">
        <f>IF($AD71=AE$67,(-$AF$37+$AE$37*$CA$20/$BZ$20)*$BZ$29,"")</f>
        <v>#VALUE!</v>
      </c>
      <c r="AG71" s="49" t="e">
        <f>IF($AD71=AG$67,(-$AG$37+$BB$20+($AH$37-$BC$20)*$AZ$20/$BA$20)*$AZ$29,"")</f>
        <v>#VALUE!</v>
      </c>
      <c r="AH71" s="48" t="e">
        <f>IF($AD71=AG$67,($AH$37-$AG$37*$BE$20/$BD$20)*$BD$29,"")</f>
        <v>#VALUE!</v>
      </c>
      <c r="AI71" s="49" t="e">
        <f>IF($AD71=AI$67,($AI$37-$BL$20-($AJ$37-$BM$20)*$BN$20/$BO$20)*$BN$29,"")</f>
        <v>#VALUE!</v>
      </c>
      <c r="AJ71" s="48" t="e">
        <f>IF($AD71=AI$67,($AJ$37-$BK$20-($AI$37-$BJ$20)*$BI$20/$BH$20)*$BH$29,"")</f>
        <v>#VALUE!</v>
      </c>
      <c r="AK71" s="49" t="e">
        <f>IF($AD71=AK$67,($AK$37-$AL$37*$BR$20/$BS$20)*$BR$29,"")</f>
        <v>#VALUE!</v>
      </c>
      <c r="AL71" s="48" t="e">
        <f>IF($AD71=AK$67,(-$AL$37+$BU$20+($AK$37-$BT$20)*$BW$20/$BV$20)*$BV$29,"")</f>
        <v>#VALUE!</v>
      </c>
      <c r="AN71" s="159" t="e">
        <f>(-$AE$37+$AF$37*$AV$20/$AW$20)</f>
        <v>#VALUE!</v>
      </c>
      <c r="AO71" s="160" t="e">
        <f>(-$AF$37+$AE$37*$CA$20/$BZ$20)</f>
        <v>#VALUE!</v>
      </c>
      <c r="AP71" s="159" t="e">
        <f>(-$AG$37+$BB$20+($AH$37-$BC$20)*$AZ$20/$BA$20)</f>
        <v>#VALUE!</v>
      </c>
      <c r="AQ71" s="160" t="e">
        <f>($AH$37-$AG$37*$BE$20/$BD$20)</f>
        <v>#VALUE!</v>
      </c>
      <c r="AR71" s="159" t="e">
        <f>($AI$37-$BL$20-($AJ$37-$BM$20)*$BN$20/$BO$20)</f>
        <v>#VALUE!</v>
      </c>
      <c r="AS71" s="160" t="e">
        <f>($AJ$37-$BK$20-($AI$37-$BJ$20)*$BI$20/$BH$20)</f>
        <v>#VALUE!</v>
      </c>
      <c r="AT71" s="159" t="e">
        <f>($AK$37-$AL$37*$BR$20/$BS$20)</f>
        <v>#VALUE!</v>
      </c>
      <c r="AU71" s="160" t="e">
        <f>(-$AL$37+$BU$20+($AK$37-$BT$20)*$BW$20/$BV$20)</f>
        <v>#VALUE!</v>
      </c>
      <c r="BG71" s="82">
        <v>34</v>
      </c>
      <c r="BH71" s="82">
        <v>27</v>
      </c>
      <c r="BI71" s="82">
        <v>26</v>
      </c>
      <c r="BJ71" s="82">
        <v>35</v>
      </c>
      <c r="BK71" s="82">
        <v>2</v>
      </c>
      <c r="BL71" s="82">
        <v>3</v>
      </c>
      <c r="BM71" s="82">
        <v>4</v>
      </c>
      <c r="BN71" s="82">
        <v>33</v>
      </c>
      <c r="BO71" s="82">
        <v>28</v>
      </c>
      <c r="BZ71" s="19"/>
      <c r="CA71" s="19"/>
    </row>
    <row r="72" spans="27:79" ht="12" customHeight="1" x14ac:dyDescent="0.25">
      <c r="AA72" s="5"/>
      <c r="AB72" s="5"/>
      <c r="AD72" s="53">
        <v>2</v>
      </c>
      <c r="AE72" s="49" t="e">
        <f>IF($AD72=AE$67,(-$AE$37-$AV$20+($AF$37+$AW$20)*$AX$20/$AY$20)*$AX$29,"")</f>
        <v>#VALUE!</v>
      </c>
      <c r="AF72" s="48" t="e">
        <f>IF($AD72=AE$67,(-$AF$37+$AE$37*$CA$20/$BZ$20)*$BZ$29,"")</f>
        <v>#VALUE!</v>
      </c>
      <c r="AG72" s="49" t="e">
        <f>IF($AD72=AG$67,(-$AG$37+$AH$37*$BB$20/$BC$20)*$BB$29,"")</f>
        <v>#VALUE!</v>
      </c>
      <c r="AH72" s="48" t="e">
        <f>IF($AD72=AG$67,($AH$37-$AG$37*$BE$20/$BD$20)*$BD$29,"")</f>
        <v>#VALUE!</v>
      </c>
      <c r="AI72" s="49" t="e">
        <f>IF($AD72=AI$67,($AI$37-$AJ$37*$BL$20/$BM$20)*$BL$29,"")</f>
        <v>#VALUE!</v>
      </c>
      <c r="AJ72" s="48" t="e">
        <f>IF($AD72=AI$67,($AJ$37-$BK$20-($AI$37-$BJ$20)*$BI$20/$BH$20)*$BH$29,"")</f>
        <v>#VALUE!</v>
      </c>
      <c r="AK72" s="49" t="e">
        <f>IF($AD72=AK$67,($AK$37+$BR$20+(-$AL$37-$BS$20)*$BP$20/$BQ$20)*$BP$29,"")</f>
        <v>#VALUE!</v>
      </c>
      <c r="AL72" s="48" t="e">
        <f>IF($AD72=AK$67,(-$AL$37+$BU$20+($AK$37-$BT$20)*$BW$20/$BV$20)*$BV$29,"")</f>
        <v>#VALUE!</v>
      </c>
      <c r="AN72" s="49" t="e">
        <f>(-$AE$37-$AV$20+($AF$37+$AW$20)*$AX$20/$AY$20)</f>
        <v>#VALUE!</v>
      </c>
      <c r="AO72" s="48" t="e">
        <f>(-$AF$37+$AE$37*$CA$20/$BZ$20)</f>
        <v>#VALUE!</v>
      </c>
      <c r="AP72" s="49" t="e">
        <f>(-$AG$37+$AH$37*$BB$20/$BC$20)</f>
        <v>#VALUE!</v>
      </c>
      <c r="AQ72" s="48" t="e">
        <f>($AH$37-$AG$37*$BE$20/$BD$20)</f>
        <v>#VALUE!</v>
      </c>
      <c r="AR72" s="49" t="e">
        <f>($AI$37-$AJ$37*$BL$20/$BM$20)</f>
        <v>#VALUE!</v>
      </c>
      <c r="AS72" s="48" t="e">
        <f>($AJ$37-$BK$20-($AI$37-$BJ$20)*$BI$20/$BH$20)</f>
        <v>#VALUE!</v>
      </c>
      <c r="AT72" s="49" t="e">
        <f>($AK$37+$BR$20+(-$AL$37-$BS$20)*$BP$20/$BQ$20)</f>
        <v>#VALUE!</v>
      </c>
      <c r="AU72" s="48" t="e">
        <f>(-$AL$37+$BU$20+($AK$37-$BT$20)*$BW$20/$BV$20)</f>
        <v>#VALUE!</v>
      </c>
      <c r="BG72" s="82">
        <v>35</v>
      </c>
      <c r="BH72" s="82">
        <v>26</v>
      </c>
      <c r="BI72" s="82">
        <v>25</v>
      </c>
      <c r="BJ72" s="82">
        <v>36</v>
      </c>
      <c r="BK72" s="82">
        <v>1</v>
      </c>
      <c r="BL72" s="82">
        <v>2</v>
      </c>
      <c r="BM72" s="82">
        <v>3</v>
      </c>
      <c r="BN72" s="82">
        <v>34</v>
      </c>
      <c r="BO72" s="82">
        <v>27</v>
      </c>
      <c r="BZ72" s="19"/>
      <c r="CA72" s="19"/>
    </row>
    <row r="73" spans="27:79" ht="12" customHeight="1" x14ac:dyDescent="0.25">
      <c r="AA73" s="5"/>
      <c r="AB73" s="5"/>
      <c r="AD73" s="53">
        <v>3</v>
      </c>
      <c r="AE73" s="49" t="e">
        <f>IF($AD73=AE$67,(-$AE$37-$AV$20+($AF$37+$AW$20)*$AX$20/$AY$20)*$AX$29,"")</f>
        <v>#VALUE!</v>
      </c>
      <c r="AF73" s="48" t="e">
        <f>IF($AD73=AE$67,(-$AF$37-$CA$20-(-$AE$37-$BZ$20)*$BY$20/$BX$20)*$BX$29,"")</f>
        <v>#VALUE!</v>
      </c>
      <c r="AG73" s="49" t="e">
        <f>IF($AD73=AG$67,(-$AG$37+$AH$37*$BB$20/$BC$20)*$BB$29,"")</f>
        <v>#VALUE!</v>
      </c>
      <c r="AH73" s="48" t="e">
        <f>IF($AD73=AG$67,($AH$37+$BE$20+(-$AG$37-$BD$20)*$BG$20/$BF$20)*$BF$29,"")</f>
        <v>#VALUE!</v>
      </c>
      <c r="AI73" s="49" t="e">
        <f>IF($AD73=AI$67,($AI$37-$AJ$37*$BL$20/$BM$20)*$BL$29,"")</f>
        <v>#VALUE!</v>
      </c>
      <c r="AJ73" s="48" t="e">
        <f>IF($AD73=AI$67,($AJ$37-$AI$37*$BK$20/$BJ$20)*$BJ$29,"")</f>
        <v>#VALUE!</v>
      </c>
      <c r="AK73" s="49" t="e">
        <f>IF($AD73=AK$67,($AK$37+$BR$20+(-$AL$37-$BS$20)*$BP$20/$BQ$20)*$BP$29,"")</f>
        <v>#VALUE!</v>
      </c>
      <c r="AL73" s="48" t="e">
        <f>IF($AD73=AK$67,(-$AL$37+$AK$37*$BU$20/$BT$20)*$BT$29,"")</f>
        <v>#VALUE!</v>
      </c>
      <c r="AN73" s="49" t="e">
        <f>(-$AE$37-$AV$20+($AF$37+$AW$20)*$AX$20/$AY$20)</f>
        <v>#VALUE!</v>
      </c>
      <c r="AO73" s="48" t="e">
        <f>(-$AF$37-$CA$20-(-$AE$37-$BZ$20)*$BY$20/$BX$20)</f>
        <v>#VALUE!</v>
      </c>
      <c r="AP73" s="49" t="e">
        <f>(-$AG$37+$AH$37*$BB$20/$BC$20)</f>
        <v>#VALUE!</v>
      </c>
      <c r="AQ73" s="48" t="e">
        <f>($AH$37+$BE$20+(-$AG$37-$BD$20)*$BG$20/$BF$20)</f>
        <v>#VALUE!</v>
      </c>
      <c r="AR73" s="49" t="e">
        <f>($AI$37-$AJ$37*$BL$20/$BM$20)</f>
        <v>#VALUE!</v>
      </c>
      <c r="AS73" s="48" t="e">
        <f>($AJ$37-$AI$37*$BK$20/$BJ$20)</f>
        <v>#VALUE!</v>
      </c>
      <c r="AT73" s="49" t="e">
        <f>($AK$37+$BR$20+(-$AL$37-$BS$20)*$BP$20/$BQ$20)</f>
        <v>#VALUE!</v>
      </c>
      <c r="AU73" s="48" t="e">
        <f>(-$AL$37+$AK$37*$BU$20/$BT$20)</f>
        <v>#VALUE!</v>
      </c>
      <c r="BG73" s="82">
        <v>36</v>
      </c>
      <c r="BH73" s="82">
        <v>25</v>
      </c>
      <c r="BI73" s="82">
        <v>30</v>
      </c>
      <c r="BJ73" s="82">
        <v>31</v>
      </c>
      <c r="BK73" s="82">
        <v>6</v>
      </c>
      <c r="BL73" s="82">
        <v>1</v>
      </c>
      <c r="BM73" s="82">
        <v>2</v>
      </c>
      <c r="BN73" s="82">
        <v>35</v>
      </c>
      <c r="BO73" s="82">
        <v>26</v>
      </c>
      <c r="BZ73" s="19"/>
      <c r="CA73" s="19"/>
    </row>
    <row r="74" spans="27:79" ht="12" customHeight="1" x14ac:dyDescent="0.25">
      <c r="AA74" s="5"/>
      <c r="AB74" s="5"/>
      <c r="AD74" s="53">
        <v>4</v>
      </c>
      <c r="AE74" s="83" t="e">
        <f>IF($AD74=AE$67,(-$AE$37+$AF$37*$AV$20/$AW$20)*$AV$29,"")</f>
        <v>#VALUE!</v>
      </c>
      <c r="AF74" s="84" t="e">
        <f>IF($AD74=AE$67,(-$AF$37-$CA$20-(-$AE$37-$BZ$20)*$BY$20/$BX$20)*$BX$29,"")</f>
        <v>#VALUE!</v>
      </c>
      <c r="AG74" s="83" t="e">
        <f>IF($AD74=AG$67,(-$AG$37+$BB$20+($AH$37-$BC$20)*$AZ$20/$BA$20)*$AZ$29,"")</f>
        <v>#VALUE!</v>
      </c>
      <c r="AH74" s="84" t="e">
        <f>IF($AD74=AG$67,($AH$37+$BE$20+(-$AG$37-$BD$20)*$BG$20/$BF$20)*$BF$29,"")</f>
        <v>#VALUE!</v>
      </c>
      <c r="AI74" s="83" t="e">
        <f>IF($AD74=AI$67,($AI$37-$BL$20-($AJ$37-$BM$20)*$BN$20/$BO$20)*$BN$29,"")</f>
        <v>#VALUE!</v>
      </c>
      <c r="AJ74" s="84" t="e">
        <f>IF($AD74=AI$67,($AJ$37-$AI$37*$BK$20/$BJ$20)*$BJ$29,"")</f>
        <v>#VALUE!</v>
      </c>
      <c r="AK74" s="83" t="e">
        <f>IF($AD74=AK$67,($AK$37-$AL$37*$BR$20/$BS$20)*$BR$29,"")</f>
        <v>#VALUE!</v>
      </c>
      <c r="AL74" s="84" t="e">
        <f>IF($AD74=AK$67,(-$AL$37+$AK$37*$BU$20/$BT$20)*$BT$29,"")</f>
        <v>#VALUE!</v>
      </c>
      <c r="AN74" s="83" t="e">
        <f>(-$AE$37+$AF$37*$AV$20/$AW$20)</f>
        <v>#VALUE!</v>
      </c>
      <c r="AO74" s="84" t="e">
        <f>(-$AF$37-$CA$20-(-$AE$37-$BZ$20)*$BY$20/$BX$20)</f>
        <v>#VALUE!</v>
      </c>
      <c r="AP74" s="83" t="e">
        <f>(-$AG$37+$BB$20+($AH$37-$BC$20)*$AZ$20/$BA$20)</f>
        <v>#VALUE!</v>
      </c>
      <c r="AQ74" s="84" t="e">
        <f>($AH$37+$BE$20+(-$AG$37-$BD$20)*$BG$20/$BF$20)</f>
        <v>#VALUE!</v>
      </c>
      <c r="AR74" s="83" t="e">
        <f>($AI$37-$BL$20-($AJ$37-$BM$20)*$BN$20/$BO$20)</f>
        <v>#VALUE!</v>
      </c>
      <c r="AS74" s="84" t="e">
        <f>($AJ$37-$AI$37*$BK$20/$BJ$20)</f>
        <v>#VALUE!</v>
      </c>
      <c r="AT74" s="83" t="e">
        <f>($AK$37-$AL$37*$BR$20/$BS$20)</f>
        <v>#VALUE!</v>
      </c>
      <c r="AU74" s="84" t="e">
        <f>(-$AL$37+$AK$37*$BU$20/$BT$20)</f>
        <v>#VALUE!</v>
      </c>
      <c r="BZ74" s="19"/>
      <c r="CA74" s="19"/>
    </row>
    <row r="75" spans="27:79" ht="12" customHeight="1" x14ac:dyDescent="0.25">
      <c r="AA75" s="5"/>
      <c r="AB75" s="5"/>
      <c r="AE75" s="85" t="str">
        <f>IF(ISNUMBER($AE$71),AE$71,IF(ISNUMBER($AE$72),AE$72,IF(ISNUMBER($AE$73),AE$73,IF(ISNUMBER($AE$74),AE$74,""))))</f>
        <v/>
      </c>
      <c r="AF75" s="86" t="str">
        <f>IF(ISNUMBER($AF$71),AF$71,IF(ISNUMBER($AF$72),AF$72,IF(ISNUMBER($AF$73),AF$73,IF(ISNUMBER($AF$74),AF$74,""))))</f>
        <v/>
      </c>
      <c r="AG75" s="85" t="str">
        <f>IF(ISNUMBER($AG$71),AG$71,IF(ISNUMBER($AG$72),AG$72,IF(ISNUMBER($AG$73),AG$73,IF(ISNUMBER($AG$74),AG$74,""))))</f>
        <v/>
      </c>
      <c r="AH75" s="86" t="str">
        <f>IF(ISNUMBER($AH$71),AH$71,IF(ISNUMBER($AH$72),AH$72,IF(ISNUMBER($AH$73),AH$73,IF(ISNUMBER($AH$74),AH$74,""))))</f>
        <v/>
      </c>
      <c r="AI75" s="85" t="str">
        <f>IF(ISNUMBER($AI$71),AI$71,IF(ISNUMBER($AI$72),AI$72,IF(ISNUMBER($AI$73),AI$73,IF(ISNUMBER($AI$74),AI$74,""))))</f>
        <v/>
      </c>
      <c r="AJ75" s="86" t="str">
        <f>IF(ISNUMBER($AJ$71),AJ$71,IF(ISNUMBER($AJ$72),AJ$72,IF(ISNUMBER($AJ$73),AJ$73,IF(ISNUMBER($AJ$74),AJ$74,""))))</f>
        <v/>
      </c>
      <c r="AK75" s="85" t="str">
        <f>IF(ISNUMBER($AK$71),AK$71,IF(ISNUMBER($AK$72),AK$72,IF(ISNUMBER($AK$73),AK$73,IF(ISNUMBER($AK$74),AK$74,""))))</f>
        <v/>
      </c>
      <c r="AL75" s="86" t="str">
        <f>IF(ISNUMBER($AL$71),AL$71,IF(ISNUMBER($AL$72),AL$72,IF(ISNUMBER($AL$73),AL$73,IF(ISNUMBER($AL$74),AL$74,""))))</f>
        <v/>
      </c>
      <c r="AO75" s="44"/>
      <c r="AP75" s="44"/>
      <c r="AQ75" s="44"/>
      <c r="AR75" s="44"/>
      <c r="AS75" s="44"/>
      <c r="AT75" s="44"/>
      <c r="BZ75" s="19"/>
      <c r="CA75" s="19"/>
    </row>
    <row r="76" spans="27:79" ht="12" customHeight="1" x14ac:dyDescent="0.25">
      <c r="AA76" s="5"/>
      <c r="AB76" s="5"/>
      <c r="AE76" s="87"/>
      <c r="AF76" s="88"/>
      <c r="AG76" s="89"/>
      <c r="AH76" s="89"/>
      <c r="AI76" s="87"/>
      <c r="AJ76" s="88"/>
      <c r="AK76" s="87"/>
      <c r="AL76" s="88"/>
      <c r="AO76" s="44"/>
      <c r="AP76" s="44"/>
      <c r="AQ76" s="44"/>
      <c r="AR76" s="44"/>
      <c r="AS76" s="44"/>
      <c r="AT76" s="44"/>
      <c r="BZ76" s="19"/>
      <c r="CA76" s="19"/>
    </row>
    <row r="77" spans="27:79" ht="12" customHeight="1" x14ac:dyDescent="0.25">
      <c r="AA77" s="5"/>
      <c r="AB77" s="5"/>
      <c r="AE77" s="939" t="s">
        <v>372</v>
      </c>
      <c r="AF77" s="882"/>
      <c r="AG77" s="943" t="s">
        <v>372</v>
      </c>
      <c r="AH77" s="832"/>
      <c r="AI77" s="939" t="s">
        <v>372</v>
      </c>
      <c r="AJ77" s="882"/>
      <c r="AK77" s="939" t="s">
        <v>372</v>
      </c>
      <c r="AL77" s="882"/>
      <c r="AO77" s="44"/>
      <c r="AP77" s="44"/>
      <c r="AQ77" s="44"/>
      <c r="AR77" s="44"/>
      <c r="AS77" s="44"/>
      <c r="AT77" s="44"/>
      <c r="BZ77" s="19"/>
      <c r="CA77" s="19"/>
    </row>
    <row r="78" spans="27:79" ht="12" customHeight="1" x14ac:dyDescent="0.25">
      <c r="AA78" s="5"/>
      <c r="AB78" s="5"/>
      <c r="AE78" s="944" t="e">
        <f>IF($AE$39="","",IF(AND((-$AE$39+$AF$39*$AV$20/$AW$20)&gt;0,-$AE$39&lt;$BZ$20,(-$AF$39+$AE$39*$CA$20/$BZ$20)&gt;0,-$AF$39&lt;$AW$20),1,IF(AND((-$AE$39-$AV$20+($AF$39+$AW$20)*$AX$20/$AY$20)&gt;0,-$AE$39&lt;$BZ$20,-$AF$39&gt;$AW$20,-$AF$39&lt;$AX$23),2,IF(AND(-$AE$39&lt;$BY$23,-$AE$39&gt;$BZ$20,-$AF$39&gt;$AW$20,-$AF$39&lt;$AX$23),3,IF(AND(-$AE$39&lt;$BY$23,-$AE$39&gt;$BZ$20,(-$AF$39-$CA$20-(-$AE$39-$BZ$20)*$BY$20/$BX$20)&gt;0,-$AF$39&lt;$AW$20),4,"")))))</f>
        <v>#VALUE!</v>
      </c>
      <c r="AF78" s="911"/>
      <c r="AG78" s="944" t="e">
        <f>IF($AG$40="","",IF(AND((-$AG$40+$BB$20+($AH$40-$BC$20)*$AZ$20/$BA$20)&gt;0,-$AG$40&lt;$BD$20,$AH$40&gt;$BC$20,$AH$40&lt;$BB$23),1,IF(AND((-$AG$40+$AH$40*$BB$20/$BC$20)&gt;0,-$AG$40&lt;$BD$20,($AH$40-$AG$40*$BE$20/$BD$20)&gt;0,$AH$40&lt;$BC$20),2,IF(AND(-$AG$40&gt;$BD$20,-$AG$40&lt;$BE$23,($AH$40+$BE$20+(-$AG$40-$BD$20)*$BG$20/$BF$20)&gt;0,$AH$40&lt;$BC$20),3,IF(AND(-$AG$40&gt;$BD$20,-$AG$40&lt;$BE$23,$AH$40&gt;$BC$20,$AH$40&lt;$BB$23),4,"")))))</f>
        <v>#VALUE!</v>
      </c>
      <c r="AH78" s="911"/>
      <c r="AI78" s="944" t="e">
        <f>IF($AI$41="","",IF(AND($AI$41&gt;$BJ$20,$AI$41&lt;$BI$23,$AJ$41&gt;$BM$20,$AJ$41&lt;$BN$23),1,IF(AND($AI$41&gt;$BJ$20,$AI$41&lt;$BI$23,($AJ$41-$BK$20-($AI$41-$BJ$20)*$BI$20/$BH$20)&gt;0,$AJ$41&lt;$BM$20),2,IF(AND(($AI$41-$AJ$41*$BL$20/$BM$20)&gt;0,$AI$41&lt;$BJ$20,($AJ$41-$AI$41*$BK$20/$BJ$20)&gt;0,$AJ$41&lt;$BM$20),3,IF(AND(($AI$41-$BL$20-($AJ$41-$BM$20)*$BN$20/$BO$20)&gt;0,$AI$41&lt;$BJ$20,$AJ$41&gt;$BM$20,$AJ$41&lt;$BN$23),4,"")))))</f>
        <v>#VALUE!</v>
      </c>
      <c r="AJ78" s="911"/>
      <c r="AK78" s="944" t="e">
        <f>IF($AK$42="","",IF(AND($AK$42&gt;$BT$20,$AK$42&lt;$BU$23,(-$AL$42+$BU$20+($AK$42-$BT$20)*$BW$20/$BV$20)&gt;0,-$AL$42&lt;$BS$20),1,IF(AND($AK$42&gt;$BT$20,$AK$42&lt;$BU$23,-$AL$42&gt;$BS$20,-$AL$42&lt;$BR$23),2,IF(AND(($AK$42+$BR$20+(-$AL$42-$BS$20)*$BP$20/$BQ$20)&gt;0,$AK$42&lt;$BT$20,-$AL$42&gt;$BS$20,-$AL$42&lt;$BR$23),3,IF(AND(($AK$42-$AL$42*$BR$20/$BS$20)&gt;0,$AK$42&lt;$BT$20,(-$AL$42+$AK$42*$BU$20/$BT$20)&gt;0,-$AL$42&lt;$BS$20),4,"")))))</f>
        <v>#VALUE!</v>
      </c>
      <c r="AL78" s="911"/>
      <c r="BZ78" s="19"/>
      <c r="CA78" s="19"/>
    </row>
    <row r="79" spans="27:79" ht="12" customHeight="1" x14ac:dyDescent="0.25">
      <c r="AA79" s="5"/>
      <c r="AB79" s="5"/>
      <c r="AE79" s="87"/>
      <c r="AF79" s="88"/>
      <c r="AG79" s="89"/>
      <c r="AH79" s="89"/>
      <c r="AI79" s="87"/>
      <c r="AJ79" s="88"/>
      <c r="AK79" s="87"/>
      <c r="AL79" s="88"/>
      <c r="BZ79" s="19"/>
      <c r="CA79" s="19"/>
    </row>
    <row r="80" spans="27:79" ht="12" customHeight="1" x14ac:dyDescent="0.25">
      <c r="AA80" s="5"/>
      <c r="AB80" s="5"/>
      <c r="AE80" s="939" t="s">
        <v>373</v>
      </c>
      <c r="AF80" s="882"/>
      <c r="AG80" s="939" t="s">
        <v>374</v>
      </c>
      <c r="AH80" s="882"/>
      <c r="AI80" s="939" t="s">
        <v>375</v>
      </c>
      <c r="AJ80" s="882"/>
      <c r="AK80" s="939" t="s">
        <v>376</v>
      </c>
      <c r="AL80" s="882"/>
      <c r="BZ80" s="19"/>
      <c r="CA80" s="19"/>
    </row>
    <row r="81" spans="27:79" ht="12" customHeight="1" x14ac:dyDescent="0.25">
      <c r="AA81" s="5"/>
      <c r="AB81" s="5"/>
      <c r="AD81" s="757" t="s">
        <v>226</v>
      </c>
      <c r="AE81" s="30" t="s">
        <v>181</v>
      </c>
      <c r="AF81" s="30" t="s">
        <v>194</v>
      </c>
      <c r="AG81" s="761" t="s">
        <v>181</v>
      </c>
      <c r="AH81" s="760" t="s">
        <v>201</v>
      </c>
      <c r="AI81" s="30" t="s">
        <v>186</v>
      </c>
      <c r="AJ81" s="30" t="s">
        <v>201</v>
      </c>
      <c r="AK81" s="30" t="s">
        <v>186</v>
      </c>
      <c r="AL81" s="30" t="s">
        <v>194</v>
      </c>
      <c r="AN81" s="19" t="s">
        <v>371</v>
      </c>
      <c r="BZ81" s="19"/>
      <c r="CA81" s="19"/>
    </row>
    <row r="82" spans="27:79" ht="12" customHeight="1" x14ac:dyDescent="0.25">
      <c r="AA82" s="5"/>
      <c r="AB82" s="5"/>
      <c r="AD82" s="53">
        <v>1</v>
      </c>
      <c r="AE82" s="49" t="e">
        <f>IF($AD82=AE$78,(-$AE$43+$AF$43*$AV$20/$AW$20)*$AV$29,"")</f>
        <v>#VALUE!</v>
      </c>
      <c r="AF82" s="48" t="e">
        <f>IF($AD82=AE$78,(-$AF$43+$AE$43*$CA$20/$BZ$20)*$BZ$29,"")</f>
        <v>#VALUE!</v>
      </c>
      <c r="AG82" s="49" t="e">
        <f>IF($AD82=AG$78,(-$AG$43+$BB$20+($AH$43-$BC$20)*$AZ$20/$BA$20)*$AZ$29,"")</f>
        <v>#VALUE!</v>
      </c>
      <c r="AH82" s="48" t="e">
        <f>IF($AD82=AG$78,($AH$43-$AG$43*$BE$20/$BD$20)*$BD$29,"")</f>
        <v>#VALUE!</v>
      </c>
      <c r="AI82" s="49" t="e">
        <f>IF($AD82=AI$78,($AI$43-$BL$20-($AJ$43-$BM$20)*$BN$20/$BO$20)*$BN$29,"")</f>
        <v>#VALUE!</v>
      </c>
      <c r="AJ82" s="48" t="e">
        <f>IF($AD82=AI$78,($AJ$43-$BK$20-($AI$43-$BJ$20)*$BI$20/$BH$20)*$BH$29,"")</f>
        <v>#VALUE!</v>
      </c>
      <c r="AK82" s="49" t="e">
        <f>IF($AD82=AK$78,($AK$43-$AL$43*$BR$20/$BS$20)*$BR$29,"")</f>
        <v>#VALUE!</v>
      </c>
      <c r="AL82" s="48" t="e">
        <f>IF($AD82=AK$78,(-$AL$43+$BU$20+($AK$43-$BT$20)*$BW$20/$BV$20)*$BV$29,"")</f>
        <v>#VALUE!</v>
      </c>
      <c r="AN82" s="159" t="e">
        <f>(-$AE$43+$AF$43*$AV$20/$AW$20)</f>
        <v>#VALUE!</v>
      </c>
      <c r="AO82" s="160" t="e">
        <f>(-$AF$43+$AE$43*$CA$20/$BZ$20)</f>
        <v>#VALUE!</v>
      </c>
      <c r="AP82" s="159" t="e">
        <f>(-$AG$43+$BB$20+($AH$43-$BC$20)*$AZ$20/$BA$20)</f>
        <v>#VALUE!</v>
      </c>
      <c r="AQ82" s="160" t="e">
        <f>($AH$43-$AG$43*$BE$20/$BD$20)</f>
        <v>#VALUE!</v>
      </c>
      <c r="AR82" s="159" t="e">
        <f>($AI$43-$BL$20-($AJ$43-$BM$20)*$BN$20/$BO$20)</f>
        <v>#VALUE!</v>
      </c>
      <c r="AS82" s="160" t="e">
        <f>($AJ$43-$BK$20-($AI$43-$BJ$20)*$BI$20/$BH$20)</f>
        <v>#VALUE!</v>
      </c>
      <c r="AT82" s="159" t="e">
        <f>($AK$43-$AL$43*$BR$20/$BS$20)</f>
        <v>#VALUE!</v>
      </c>
      <c r="AU82" s="160" t="e">
        <f>(-$AL$43+$BU$20+($AK$43-$BT$20)*$BW$20/$BV$20)</f>
        <v>#VALUE!</v>
      </c>
      <c r="BZ82" s="19"/>
      <c r="CA82" s="19"/>
    </row>
    <row r="83" spans="27:79" ht="12" customHeight="1" x14ac:dyDescent="0.25">
      <c r="AA83" s="5"/>
      <c r="AB83" s="5"/>
      <c r="AD83" s="53">
        <v>2</v>
      </c>
      <c r="AE83" s="49" t="e">
        <f>IF($AD83=AE$78,(-$AE$43-$AV$20+($AF$43+$AW$20)*$AX$20/$AY$20)*$AX$29,"")</f>
        <v>#VALUE!</v>
      </c>
      <c r="AF83" s="48" t="e">
        <f>IF($AD83=AE$78,(-$AF$43+$AE$43*$CA$20/$BZ$20)*$BZ$29,"")</f>
        <v>#VALUE!</v>
      </c>
      <c r="AG83" s="49" t="e">
        <f>IF($AD83=AG$78,(-$AG$43+$AH$43*$BB$20/$BC$20)*$BB$29,"")</f>
        <v>#VALUE!</v>
      </c>
      <c r="AH83" s="48" t="e">
        <f>IF($AD83=AG$78,($AH$43-$AG$43*$BE$20/$BD$20)*$BD$29,"")</f>
        <v>#VALUE!</v>
      </c>
      <c r="AI83" s="49" t="e">
        <f>IF($AD83=AI$78,($AI$43-$AJ$43*$BL$20/$BM$20)*$BL$29,"")</f>
        <v>#VALUE!</v>
      </c>
      <c r="AJ83" s="48" t="e">
        <f>IF($AD83=AI$78,($AJ$43-$BK$20-($AI$43-$BJ$20)*$BI$20/$BH$20)*$BH$29,"")</f>
        <v>#VALUE!</v>
      </c>
      <c r="AK83" s="49" t="e">
        <f>IF($AD83=AK$78,($AK$43+$BR$20+(-$AL$43-$BS$20)*$BP$20/$BQ$20)*$BP$29,"")</f>
        <v>#VALUE!</v>
      </c>
      <c r="AL83" s="48" t="e">
        <f>IF($AD83=AK$78,(-$AL$43+$BU$20+($AK$43-$BT$20)*$BW$20/$BV$20)*$BV$29,"")</f>
        <v>#VALUE!</v>
      </c>
      <c r="AN83" s="49" t="e">
        <f>(-$AE$43-$AV$20+($AF$43+$AW$20)*$AX$20/$AY$20)</f>
        <v>#VALUE!</v>
      </c>
      <c r="AO83" s="48" t="e">
        <f>(-$AF$43+$AE$43*$CA$20/$BZ$20)</f>
        <v>#VALUE!</v>
      </c>
      <c r="AP83" s="49" t="e">
        <f>(-$AG$43+$AH$43*$BB$20/$BC$20)</f>
        <v>#VALUE!</v>
      </c>
      <c r="AQ83" s="48" t="e">
        <f>($AH$43-$AG$43*$BE$20/$BD$20)</f>
        <v>#VALUE!</v>
      </c>
      <c r="AR83" s="49" t="e">
        <f>($AI$43-$AJ$43*$BL$20/$BM$20)</f>
        <v>#VALUE!</v>
      </c>
      <c r="AS83" s="48" t="e">
        <f>($AJ$43-$BK$20-($AI$43-$BJ$20)*$BI$20/$BH$20)</f>
        <v>#VALUE!</v>
      </c>
      <c r="AT83" s="49" t="e">
        <f>($AK$43+$BR$20+(-$AL$43-$BS$20)*$BP$20/$BQ$20)</f>
        <v>#VALUE!</v>
      </c>
      <c r="AU83" s="48" t="e">
        <f>(-$AL$43+$BU$20+($AK$43-$BT$20)*$BW$20/$BV$20)</f>
        <v>#VALUE!</v>
      </c>
      <c r="BZ83" s="19"/>
      <c r="CA83" s="19"/>
    </row>
    <row r="84" spans="27:79" ht="12" customHeight="1" x14ac:dyDescent="0.25">
      <c r="AA84" s="5"/>
      <c r="AB84" s="5"/>
      <c r="AD84" s="53">
        <v>3</v>
      </c>
      <c r="AE84" s="49" t="e">
        <f>IF($AD84=AE$78,(-$AE$43-$AV$20+($AF$43+$AW$20)*$AX$20/$AY$20)*$AX$29,"")</f>
        <v>#VALUE!</v>
      </c>
      <c r="AF84" s="48" t="e">
        <f>IF($AD84=AE$78,(-$AF$43-$CA$20-(-$AE$43-$BZ$20)*$BY$20/$BX$20)*$BX$29,"")</f>
        <v>#VALUE!</v>
      </c>
      <c r="AG84" s="49" t="e">
        <f>IF($AD84=AG$78,(-$AG$43+$AH$43*$BB$20/$BC$20)*$BB$29,"")</f>
        <v>#VALUE!</v>
      </c>
      <c r="AH84" s="48" t="e">
        <f>IF($AD84=AG$78,($AH$43+$BE$20+(-$AG$43-$BD$20)*$BG$20/$BF$20)*$BF$29,"")</f>
        <v>#VALUE!</v>
      </c>
      <c r="AI84" s="49" t="e">
        <f>IF($AD84=AI$78,($AI$43-$AJ$43*$BL$20/$BM$20)*$BL$29,"")</f>
        <v>#VALUE!</v>
      </c>
      <c r="AJ84" s="48" t="e">
        <f>IF($AD84=AI$78,($AJ$43-$AI$43*$BK$20/$BJ$20)*$BJ$29,"")</f>
        <v>#VALUE!</v>
      </c>
      <c r="AK84" s="49" t="e">
        <f>IF($AD84=AK$78,($AK$43+$BR$20+(-$AL$43-$BS$20)*$BP$20/$BQ$20)*$BP$29,"")</f>
        <v>#VALUE!</v>
      </c>
      <c r="AL84" s="48" t="e">
        <f>IF($AD84=AK$78,(-$AL$43+$AK$43*$BU$20/$BT$20)*$BT$29,"")</f>
        <v>#VALUE!</v>
      </c>
      <c r="AN84" s="49" t="e">
        <f>(-$AE$43-$AV$20+($AF$43+$AW$20)*$AX$20/$AY$20)</f>
        <v>#VALUE!</v>
      </c>
      <c r="AO84" s="48" t="e">
        <f>(-$AF$43-$CA$20-(-$AE$43-$BZ$20)*$BY$20/$BX$20)</f>
        <v>#VALUE!</v>
      </c>
      <c r="AP84" s="49" t="e">
        <f>(-$AG$43+$AH$43*$BB$20/$BC$20)</f>
        <v>#VALUE!</v>
      </c>
      <c r="AQ84" s="48" t="e">
        <f>($AH$43+$BE$20+(-$AG$43-$BD$20)*$BG$20/$BF$20)</f>
        <v>#VALUE!</v>
      </c>
      <c r="AR84" s="49" t="e">
        <f>($AI$43-$AJ$43*$BL$20/$BM$20)</f>
        <v>#VALUE!</v>
      </c>
      <c r="AS84" s="48" t="e">
        <f>($AJ$43-$AI$43*$BK$20/$BJ$20)</f>
        <v>#VALUE!</v>
      </c>
      <c r="AT84" s="49" t="e">
        <f>($AK$43+$BR$20+(-$AL$43-$BS$20)*$BP$20/$BQ$20)</f>
        <v>#VALUE!</v>
      </c>
      <c r="AU84" s="48" t="e">
        <f>(-$AL$43+$AK$43*$BU$20/$BT$20)</f>
        <v>#VALUE!</v>
      </c>
      <c r="BZ84" s="19"/>
      <c r="CA84" s="19"/>
    </row>
    <row r="85" spans="27:79" ht="12" customHeight="1" x14ac:dyDescent="0.25">
      <c r="AA85" s="5"/>
      <c r="AB85" s="5"/>
      <c r="AD85" s="53">
        <v>4</v>
      </c>
      <c r="AE85" s="49" t="e">
        <f>IF($AD85=AE$78,(-$AE$43+$AF$43*$AV$20/$AW$20)*$AV$29,"")</f>
        <v>#VALUE!</v>
      </c>
      <c r="AF85" s="48" t="e">
        <f>IF($AD85=AE$78,(-$AF$43-$CA$20-(-$AE$43-$BZ$20)*$BY$20/$BX$20)*$BX$29,"")</f>
        <v>#VALUE!</v>
      </c>
      <c r="AG85" s="49" t="e">
        <f>IF($AD85=AG$78,(-$AG$43+$BB$20+($AH$43-$BC$20)*$AZ$20/$BA$20)*$AZ$29,"")</f>
        <v>#VALUE!</v>
      </c>
      <c r="AH85" s="48" t="e">
        <f>IF($AD85=AG$78,($AH$43+$BE$20+(-$AG$43-$BD$20)*$BG$20/$BF$20)*$BF$29,"")</f>
        <v>#VALUE!</v>
      </c>
      <c r="AI85" s="49" t="e">
        <f>IF($AD85=AI$78,($AI$43-$BL$20-($AJ$43-$BM$20)*$BN$20/$BO$20)*$BN$29,"")</f>
        <v>#VALUE!</v>
      </c>
      <c r="AJ85" s="48" t="e">
        <f>IF($AD85=AI$78,($AJ$43-$AI$43*$BK$20/$BJ$20)*$BJ$29,"")</f>
        <v>#VALUE!</v>
      </c>
      <c r="AK85" s="49" t="e">
        <f>IF($AD85=AK$78,($AK$43-$AL$43*$BR$20/$BS$20)*$BR$29,"")</f>
        <v>#VALUE!</v>
      </c>
      <c r="AL85" s="48" t="e">
        <f>IF($AD85=AK$78,(-$AL$43+$AK$43*$BU$20/$BT$20)*$BT$29,"")</f>
        <v>#VALUE!</v>
      </c>
      <c r="AN85" s="83" t="e">
        <f>(-$AE$43+$AF$43*$AV$20/$AW$20)</f>
        <v>#VALUE!</v>
      </c>
      <c r="AO85" s="84" t="e">
        <f>(-$AF$43-$CA$20-(-$AE$43-$BZ$20)*$BY$20/$BX$20)</f>
        <v>#VALUE!</v>
      </c>
      <c r="AP85" s="83" t="e">
        <f>(-$AG$43+$BB$20+($AH$43-$BC$20)*$AZ$20/$BA$20)</f>
        <v>#VALUE!</v>
      </c>
      <c r="AQ85" s="84" t="e">
        <f>($AH$43+$BE$20+(-$AG$43-$BD$20)*$BG$20/$BF$20)</f>
        <v>#VALUE!</v>
      </c>
      <c r="AR85" s="83" t="e">
        <f>($AI$43-$BL$20-($AJ$43-$BM$20)*$BN$20/$BO$20)</f>
        <v>#VALUE!</v>
      </c>
      <c r="AS85" s="84" t="e">
        <f>($AJ$43-$AI$43*$BK$20/$BJ$20)</f>
        <v>#VALUE!</v>
      </c>
      <c r="AT85" s="83" t="e">
        <f>($AK$43-$AL$43*$BR$20/$BS$20)</f>
        <v>#VALUE!</v>
      </c>
      <c r="AU85" s="84" t="e">
        <f>(-$AL$43+$AK$43*$BU$20/$BT$20)</f>
        <v>#VALUE!</v>
      </c>
      <c r="BZ85" s="19"/>
      <c r="CA85" s="19"/>
    </row>
    <row r="86" spans="27:79" ht="12" customHeight="1" x14ac:dyDescent="0.25">
      <c r="AA86" s="5"/>
      <c r="AB86" s="5"/>
      <c r="AE86" s="85" t="str">
        <f>IF(ISNUMBER($AE$82),AE$82,IF(ISNUMBER($AE$83),AE$83,IF(ISNUMBER($AE$84),AE$84,IF(ISNUMBER($AE$85),AE$85,""))))</f>
        <v/>
      </c>
      <c r="AF86" s="86" t="str">
        <f>IF(ISNUMBER($AF$82),AF$82,IF(ISNUMBER($AF$83),AF$83,IF(ISNUMBER($AF$84),AF$84,IF(ISNUMBER($AF$85),AF$85,""))))</f>
        <v/>
      </c>
      <c r="AG86" s="85" t="str">
        <f>IF(ISNUMBER($AG$82),AG$82,IF(ISNUMBER($AG$83),AG$83,IF(ISNUMBER($AG$84),AG$84,IF(ISNUMBER($AG$85),AG$85,""))))</f>
        <v/>
      </c>
      <c r="AH86" s="86" t="str">
        <f>IF(ISNUMBER($AH$82),AH$82,IF(ISNUMBER($AH$83),AH$83,IF(ISNUMBER($AH$84),AH$84,IF(ISNUMBER($AH$85),AH$85,""))))</f>
        <v/>
      </c>
      <c r="AI86" s="85" t="str">
        <f>IF(ISNUMBER($AI$82),AI$82,IF(ISNUMBER($AI$83),AI$83,IF(ISNUMBER($AI$84),AI$84,IF(ISNUMBER($AI$85),AI$85,""))))</f>
        <v/>
      </c>
      <c r="AJ86" s="86" t="str">
        <f>IF(ISNUMBER($AJ$82),AJ$82,IF(ISNUMBER($AJ$83),AJ$83,IF(ISNUMBER($AJ$84),AJ$84,IF(ISNUMBER($AJ$85),AJ$85,""))))</f>
        <v/>
      </c>
      <c r="AK86" s="85" t="str">
        <f>IF(ISNUMBER($AK$82),AK$82,IF(ISNUMBER($AK$83),AK$83,IF(ISNUMBER($AK$84),AK$84,IF(ISNUMBER($AK$85),AK$85,""))))</f>
        <v/>
      </c>
      <c r="AL86" s="86" t="str">
        <f>IF(ISNUMBER($AL$82),AL$82,IF(ISNUMBER($AL$83),AL$83,IF(ISNUMBER($AL$84),AL$84,IF(ISNUMBER($AL$85),AL$85,""))))</f>
        <v/>
      </c>
      <c r="BZ86" s="19"/>
      <c r="CA86" s="19"/>
    </row>
    <row r="87" spans="27:79" ht="12" customHeight="1" x14ac:dyDescent="0.25">
      <c r="AA87" s="5"/>
      <c r="AB87" s="5"/>
      <c r="AE87" s="87"/>
      <c r="AF87" s="88"/>
      <c r="AG87" s="89"/>
      <c r="AH87" s="89"/>
      <c r="AI87" s="87"/>
      <c r="AJ87" s="88"/>
      <c r="AK87" s="87"/>
      <c r="AL87" s="88"/>
      <c r="BZ87" s="19"/>
      <c r="CA87" s="19"/>
    </row>
    <row r="88" spans="27:79" ht="12" customHeight="1" x14ac:dyDescent="0.25">
      <c r="AA88" s="5"/>
      <c r="AB88" s="5"/>
      <c r="AE88" s="939" t="s">
        <v>377</v>
      </c>
      <c r="AF88" s="882"/>
      <c r="AG88" s="943" t="s">
        <v>377</v>
      </c>
      <c r="AH88" s="832"/>
      <c r="AI88" s="939" t="s">
        <v>377</v>
      </c>
      <c r="AJ88" s="882"/>
      <c r="AK88" s="939" t="s">
        <v>377</v>
      </c>
      <c r="AL88" s="882"/>
      <c r="BZ88" s="19"/>
      <c r="CA88" s="19"/>
    </row>
    <row r="89" spans="27:79" ht="12" customHeight="1" x14ac:dyDescent="0.25">
      <c r="AA89" s="5"/>
      <c r="AB89" s="5"/>
      <c r="AE89" s="944" t="e">
        <f>IF($AE$45="","",IF(AND((-$AE$45+$AF$45*$AV$20/$AW$20)&gt;0,-$AE$45&lt;$BZ$20,(-$AF$45+$AE$45*$CA$20/$BZ$20)&gt;0,-$AF$45&lt;$AW$20),1,IF(AND((-$AE$45-$AV$20+($AF$45+$AW$20)*$AX$20/$AY$20)&gt;0,-$AE$45&lt;$BZ$20,-$AF$45&gt;$AW$20,-$AF$45&lt;$AX$23),2,IF(AND(-$AE$45&lt;$BY$23,-$AE$45&gt;$BZ$20,-$AF$45&gt;$AW$20,-$AF$45&lt;$AX$23),3,IF(AND(-$AE$45&lt;$BY$23,-$AE$45&gt;$BZ$20,(-$AF$45-$CA$20-(-$AE$45-$BZ$20)*$BY$20/$BX$20)&gt;0,-$AF$45&lt;$AW$20),4,"")))))</f>
        <v>#VALUE!</v>
      </c>
      <c r="AF89" s="911"/>
      <c r="AG89" s="944" t="e">
        <f>IF($AG$46="","",IF(AND((-$AG$46+$BB$20+($AH$46-$BC$20)*$AZ$20/$BA$20)&gt;0,-$AG$46&lt;$BD$20,$AH$46&gt;$BC$20,$AH$46&lt;$BB$23),1,IF(AND((-$AG$46+$AH$46*$BB$20/$BC$20)&gt;0,-$AG$46&lt;$BD$20,($AH$46-$AG$46*$BE$20/$BD$20)&gt;0,$AH$46&lt;$BC$20),2,IF(AND(-$AG$46&gt;$BD$20,-$AG$46&lt;$BE$23,($AH$46+$BE$20+(-$AG$46-$BD$20)*$BG$20/$BF$20)&gt;0,$AH$46&lt;$BC$20),3,IF(AND(-$AG$46&gt;$BD$20,-$AG$46&lt;$BE$23,$AH$46&gt;$BC$20,$AH$46&lt;$BB$23),4,"")))))</f>
        <v>#VALUE!</v>
      </c>
      <c r="AH89" s="911"/>
      <c r="AI89" s="944" t="e">
        <f>IF($AI$47="","",IF(AND($AI$47&gt;$BJ$20,$AI$47&lt;$BI$23,$AJ$47&gt;$BM$20,$AJ$47&lt;$BN$23),1,IF(AND($AI$47&gt;$BJ$20,$AI$47&lt;$BI$23,($AJ$47-$BK$20-($AI$47-$BJ$20)*$BI$20/$BH$20)&gt;0,$AJ$47&lt;$BM$20),2,IF(AND(($AI$47-$AJ$47*$BL$20/$BM$20)&gt;0,$AI$47&lt;$BJ$20,($AJ$47-$AI$47*$BK$20/$BJ$20)&gt;0,$AJ$47&lt;$BM$20),3,IF(AND(($AI$47-$BL$20-($AJ$47-$BM$20)*$BN$20/$BO$20)&gt;0,$AI$47&lt;$BJ$20,$AJ$47&gt;$BM$20,$AJ$47&lt;$BN$23),4,"")))))</f>
        <v>#VALUE!</v>
      </c>
      <c r="AJ89" s="911"/>
      <c r="AK89" s="944" t="e">
        <f>IF($AK$48="","",IF(AND($AK$48&gt;$BT$20,$AK$48&lt;$BU$23,(-$AL$48+$BU$20+($AK$48-$BT$20)*$BW$20/$BV$20)&gt;0,-$AL$48&lt;$BS$20),1,IF(AND($AK$48&gt;$BT$20,$AK$48&lt;$BU$23,-$AL$48&gt;$BS$20,-$AL$48&lt;$BR$23),2,IF(AND(($AK$48+$BR$20+(-$AL$48-$BS$20)*$BP$20/$BQ$20)&gt;0,$AK$48&lt;$BT$20,-$AL$48&gt;$BS$20,-$AL$48&lt;$BR$23),3,IF(AND(($AK$48-$AL$48*$BR$20/$BS$20)&gt;0,$AK$48&lt;$BT$20,(-$AL$48+$AK$48*$BU$20/$BT$20)&gt;0,-$AL$48&lt;$BS$20),4,"")))))</f>
        <v>#VALUE!</v>
      </c>
      <c r="AL89" s="911"/>
      <c r="BZ89" s="19"/>
      <c r="CA89" s="19"/>
    </row>
    <row r="90" spans="27:79" ht="12" customHeight="1" x14ac:dyDescent="0.25">
      <c r="AA90" s="5"/>
      <c r="AB90" s="5"/>
      <c r="AE90" s="87"/>
      <c r="AF90" s="88"/>
      <c r="AG90" s="89"/>
      <c r="AH90" s="89"/>
      <c r="AI90" s="87"/>
      <c r="AJ90" s="88"/>
      <c r="AK90" s="87"/>
      <c r="AL90" s="88"/>
      <c r="BZ90" s="19"/>
      <c r="CA90" s="19"/>
    </row>
    <row r="91" spans="27:79" ht="12" customHeight="1" x14ac:dyDescent="0.25">
      <c r="AA91" s="5"/>
      <c r="AB91" s="5"/>
      <c r="AE91" s="939" t="s">
        <v>378</v>
      </c>
      <c r="AF91" s="882"/>
      <c r="AG91" s="939" t="s">
        <v>379</v>
      </c>
      <c r="AH91" s="882"/>
      <c r="AI91" s="939" t="s">
        <v>375</v>
      </c>
      <c r="AJ91" s="882"/>
      <c r="AK91" s="939" t="s">
        <v>380</v>
      </c>
      <c r="AL91" s="882"/>
      <c r="BZ91" s="19"/>
      <c r="CA91" s="19"/>
    </row>
    <row r="92" spans="27:79" ht="12" customHeight="1" x14ac:dyDescent="0.25">
      <c r="AA92" s="5"/>
      <c r="AB92" s="5"/>
      <c r="AD92" s="757" t="s">
        <v>226</v>
      </c>
      <c r="AE92" s="30" t="s">
        <v>181</v>
      </c>
      <c r="AF92" s="30" t="s">
        <v>194</v>
      </c>
      <c r="AG92" s="761" t="s">
        <v>181</v>
      </c>
      <c r="AH92" s="760" t="s">
        <v>201</v>
      </c>
      <c r="AI92" s="30" t="s">
        <v>186</v>
      </c>
      <c r="AJ92" s="30" t="s">
        <v>201</v>
      </c>
      <c r="AK92" s="30" t="s">
        <v>186</v>
      </c>
      <c r="AL92" s="30" t="s">
        <v>194</v>
      </c>
      <c r="AN92" s="19" t="s">
        <v>371</v>
      </c>
      <c r="BZ92" s="19"/>
      <c r="CA92" s="19"/>
    </row>
    <row r="93" spans="27:79" ht="12" customHeight="1" x14ac:dyDescent="0.25">
      <c r="AA93" s="5"/>
      <c r="AB93" s="5"/>
      <c r="AD93" s="53">
        <v>1</v>
      </c>
      <c r="AE93" s="49" t="e">
        <f>IF($AD93=AE$89,(-$AE$49+$AF$49*$AV$20/$AW$20)*$AV$29,"")</f>
        <v>#VALUE!</v>
      </c>
      <c r="AF93" s="48" t="e">
        <f>IF($AD93=AE$89,(-$AF$49+$AE$49*$CA$20/$BZ$20)*$BZ$29,"")</f>
        <v>#VALUE!</v>
      </c>
      <c r="AG93" s="49" t="e">
        <f>IF($AD93=AG$89,(-$AG$49+$BB$20+($AH$49-$BC$20)*$AZ$20/$BA$20)*$AZ$29,"")</f>
        <v>#VALUE!</v>
      </c>
      <c r="AH93" s="48" t="e">
        <f>IF($AD93=AG$89,($AH$49-$AG$49*$BE$20/$BD$20)*$BD$29,"")</f>
        <v>#VALUE!</v>
      </c>
      <c r="AI93" s="49" t="e">
        <f>IF($AD93=AI$89,($AI$49-$BL$20-($AJ$49-$BM$20)*$BN$20/$BO$20)*$BN$29,"")</f>
        <v>#VALUE!</v>
      </c>
      <c r="AJ93" s="48" t="e">
        <f>IF($AD93=AI$89,($AJ$49-$BK$20-($AI$49-$BJ$20)*$BI$20/$BH$20)*$BH$29,"")</f>
        <v>#VALUE!</v>
      </c>
      <c r="AK93" s="49" t="e">
        <f>IF($AD93=AK$89,($AK$49-$AL$49*$BR$20/$BS$20)*$BR$29,"")</f>
        <v>#VALUE!</v>
      </c>
      <c r="AL93" s="48" t="e">
        <f>IF($AD93=AK$89,(-$AL$49+$BU$20+($AK$49-$BT$20)*$BW$20/$BV$20)*$BV$29,"")</f>
        <v>#VALUE!</v>
      </c>
      <c r="AN93" s="159" t="e">
        <f>(-$AE$49+$AF$49*$AV$20/$AW$20)</f>
        <v>#VALUE!</v>
      </c>
      <c r="AO93" s="160" t="e">
        <f>(-$AF$49+$AE$49*$CA$20/$BZ$20)</f>
        <v>#VALUE!</v>
      </c>
      <c r="AP93" s="159" t="e">
        <f>(-$AG$49+$BB$20+($AH$49-$BC$20)*$AZ$20/$BA$20)</f>
        <v>#VALUE!</v>
      </c>
      <c r="AQ93" s="160" t="e">
        <f>($AH$49-$AG$49*$BE$20/$BD$20)</f>
        <v>#VALUE!</v>
      </c>
      <c r="AR93" s="159" t="e">
        <f>($AI$49-$BL$20-($AJ$49-$BM$20)*$BN$20/$BO$20)</f>
        <v>#VALUE!</v>
      </c>
      <c r="AS93" s="160" t="e">
        <f>($AJ$49-$BK$20-($AI$49-$BJ$20)*$BI$20/$BH$20)</f>
        <v>#VALUE!</v>
      </c>
      <c r="AT93" s="159" t="e">
        <f>($AK$49-$AL$49*$BR$20/$BS$20)</f>
        <v>#VALUE!</v>
      </c>
      <c r="AU93" s="160" t="e">
        <f>(-$AL$49+$BU$20+($AK$49-$BT$20)*$BW$20/$BV$20)</f>
        <v>#VALUE!</v>
      </c>
      <c r="BZ93" s="19"/>
      <c r="CA93" s="19"/>
    </row>
    <row r="94" spans="27:79" ht="12" customHeight="1" x14ac:dyDescent="0.25">
      <c r="AA94" s="5"/>
      <c r="AB94" s="5"/>
      <c r="AD94" s="53">
        <v>2</v>
      </c>
      <c r="AE94" s="49" t="e">
        <f>IF($AD94=AE$89,(-$AE$49-$AV$20+($AF$49+$AW$20)*$AX$20/$AY$20)*$AX$29,"")</f>
        <v>#VALUE!</v>
      </c>
      <c r="AF94" s="48" t="e">
        <f>IF($AD94=AE$89,(-$AF$49+$AE$49*$CA$20/$BZ$20)*$BZ$29,"")</f>
        <v>#VALUE!</v>
      </c>
      <c r="AG94" s="49" t="e">
        <f>IF($AD94=AG$89,(-$AG$49+$AH$49*$BB$20/$BC$20)*$BB$29,"")</f>
        <v>#VALUE!</v>
      </c>
      <c r="AH94" s="48" t="e">
        <f>IF($AD94=AG$89,($AH$49-$AG$49*$BE$20/$BD$20)*$BD$29,"")</f>
        <v>#VALUE!</v>
      </c>
      <c r="AI94" s="49" t="e">
        <f>IF($AD94=AI$89,($AI$49-$AJ$49*$BL$20/$BM$20)*$BL$29,"")</f>
        <v>#VALUE!</v>
      </c>
      <c r="AJ94" s="48" t="e">
        <f>IF($AD94=AI$89,($AJ$49-$BK$20-($AI$49-$BJ$20)*$BI$20/$BH$20)*$BH$29,"")</f>
        <v>#VALUE!</v>
      </c>
      <c r="AK94" s="49" t="e">
        <f>IF($AD94=AK$89,($AK$49+$BR$20+(-$AL$49-$BS$20)*$BP$20/$BQ$20)*$BP$29,"")</f>
        <v>#VALUE!</v>
      </c>
      <c r="AL94" s="48" t="e">
        <f>IF($AD94=AK$89,(-$AL$49+$BU$20+($AK$49-$BT$20)*$BW$20/$BV$20)*$BV$29,"")</f>
        <v>#VALUE!</v>
      </c>
      <c r="AN94" s="49" t="e">
        <f>(-$AE$49-$AV$20+($AF$49+$AW$20)*$AX$20/$AY$20)</f>
        <v>#VALUE!</v>
      </c>
      <c r="AO94" s="48" t="e">
        <f>(-$AF$49+$AE$49*$CA$20/$BZ$20)</f>
        <v>#VALUE!</v>
      </c>
      <c r="AP94" s="49" t="e">
        <f>(-$AG$49+$AH$49*$BB$20/$BC$20)</f>
        <v>#VALUE!</v>
      </c>
      <c r="AQ94" s="48" t="e">
        <f>($AH$49-$AG$49*$BE$20/$BD$20)</f>
        <v>#VALUE!</v>
      </c>
      <c r="AR94" s="49" t="e">
        <f>($AI$49-$AJ$49*$BL$20/$BM$20)</f>
        <v>#VALUE!</v>
      </c>
      <c r="AS94" s="48" t="e">
        <f>($AJ$49-$BK$20-($AI$49-$BJ$20)*$BI$20/$BH$20)</f>
        <v>#VALUE!</v>
      </c>
      <c r="AT94" s="49" t="e">
        <f>($AK$49+$BR$20+(-$AL$49-$BS$20)*$BP$20/$BQ$20)</f>
        <v>#VALUE!</v>
      </c>
      <c r="AU94" s="48" t="e">
        <f>(-$AL$49+$BU$20+($AK$49-$BT$20)*$BW$20/$BV$20)</f>
        <v>#VALUE!</v>
      </c>
      <c r="BZ94" s="19"/>
      <c r="CA94" s="19"/>
    </row>
    <row r="95" spans="27:79" ht="12" customHeight="1" x14ac:dyDescent="0.25">
      <c r="AA95" s="5"/>
      <c r="AB95" s="5"/>
      <c r="AD95" s="53">
        <v>3</v>
      </c>
      <c r="AE95" s="49" t="e">
        <f>IF($AD95=AE$89,(-$AE$49-$AV$20+($AF$49+$AW$20)*$AX$20/$AY$20)*$AX$29,"")</f>
        <v>#VALUE!</v>
      </c>
      <c r="AF95" s="48" t="e">
        <f>IF($AD95=AE$89,(-$AF$49-$CA$20-(-$AE$49-$BZ$20)*$BY$20/$BX$20)*$BX$29,"")</f>
        <v>#VALUE!</v>
      </c>
      <c r="AG95" s="49" t="e">
        <f>IF($AD95=AG$89,(-$AG$49+$AH$49*$BB$20/$BC$20)*$BB$29,"")</f>
        <v>#VALUE!</v>
      </c>
      <c r="AH95" s="48" t="e">
        <f>IF($AD95=AG$89,($AH$49+$BE$20+(-$AG$49-$BD$20)*$BG$20/$BF$20)*$BF$29,"")</f>
        <v>#VALUE!</v>
      </c>
      <c r="AI95" s="49" t="e">
        <f>IF($AD95=AI$89,($AI$49-$AJ$49*$BL$20/$BM$20)*$BL$29,"")</f>
        <v>#VALUE!</v>
      </c>
      <c r="AJ95" s="48" t="e">
        <f>IF($AD95=AI$89,($AJ$49-$AI$49*$BK$20/$BJ$20)*$BJ$29,"")</f>
        <v>#VALUE!</v>
      </c>
      <c r="AK95" s="49" t="e">
        <f>IF($AD95=AK$89,($AK$49+$BR$20+(-$AL$49-$BS$20)*$BP$20/$BQ$20)*$BP$29,"")</f>
        <v>#VALUE!</v>
      </c>
      <c r="AL95" s="48" t="e">
        <f>IF($AD95=AK$89,(-$AL$49+$AK$49*$BU$20/$BT$20)*$BT$29,"")</f>
        <v>#VALUE!</v>
      </c>
      <c r="AN95" s="49" t="e">
        <f>(-$AE$49-$AV$20+($AF$49+$AW$20)*$AX$20/$AY$20)</f>
        <v>#VALUE!</v>
      </c>
      <c r="AO95" s="48" t="e">
        <f>(-$AF$49-$CA$20-(-$AE$49-$BZ$20)*$BY$20/$BX$20)</f>
        <v>#VALUE!</v>
      </c>
      <c r="AP95" s="49" t="e">
        <f>(-$AG$49+$AH$49*$BB$20/$BC$20)</f>
        <v>#VALUE!</v>
      </c>
      <c r="AQ95" s="48" t="e">
        <f>($AH$49+$BE$20+(-$AG$49-$BD$20)*$BG$20/$BF$20)</f>
        <v>#VALUE!</v>
      </c>
      <c r="AR95" s="49" t="e">
        <f>($AI$49-$AJ$49*$BL$20/$BM$20)</f>
        <v>#VALUE!</v>
      </c>
      <c r="AS95" s="48" t="e">
        <f>($AJ$49-$AI$49*$BK$20/$BJ$20)</f>
        <v>#VALUE!</v>
      </c>
      <c r="AT95" s="49" t="e">
        <f>($AK$49+$BR$20+(-$AL$49-$BS$20)*$BP$20/$BQ$20)</f>
        <v>#VALUE!</v>
      </c>
      <c r="AU95" s="48" t="e">
        <f>(-$AL$49+$AK$49*$BU$20/$BT$20)</f>
        <v>#VALUE!</v>
      </c>
      <c r="BZ95" s="19"/>
      <c r="CA95" s="19"/>
    </row>
    <row r="96" spans="27:79" x14ac:dyDescent="0.25">
      <c r="AA96" s="5"/>
      <c r="AB96" s="5"/>
      <c r="AD96" s="53">
        <v>4</v>
      </c>
      <c r="AE96" s="83" t="e">
        <f>IF($AD96=AE$89,(-$AE$49+$AF$49*$AV$20/$AW$20)*$AV$29,"")</f>
        <v>#VALUE!</v>
      </c>
      <c r="AF96" s="84" t="e">
        <f>IF($AD96=AE$89,(-$AF$49-$CA$20-(-$AE$49-$BZ$20)*$BY$20/$BX$20)*$BX$29,"")</f>
        <v>#VALUE!</v>
      </c>
      <c r="AG96" s="83" t="e">
        <f>IF($AD96=AG$89,(-$AG$49+$BB$20+($AH$49-$BC$20)*$AZ$20/$BA$20)*$AZ$29,"")</f>
        <v>#VALUE!</v>
      </c>
      <c r="AH96" s="84" t="e">
        <f>IF($AD96=AG$89,($AH$49+$BE$20+(-$AG$49-$BD$20)*$BG$20/$BF$20)*$BF$29,"")</f>
        <v>#VALUE!</v>
      </c>
      <c r="AI96" s="83" t="e">
        <f>IF($AD96=AI$89,($AI$49-$BL$20-($AJ$49-$BM$20)*$BN$20/$BO$20)*$BN$29,"")</f>
        <v>#VALUE!</v>
      </c>
      <c r="AJ96" s="84" t="e">
        <f>IF($AD96=AI$89,($AJ$49-$AI$49*$BK$20/$BJ$20)*$BJ$29,"")</f>
        <v>#VALUE!</v>
      </c>
      <c r="AK96" s="83" t="e">
        <f>IF($AD96=AK$89,($AK$49-$AL$49*$BR$20/$BS$20)*$BR$29,"")</f>
        <v>#VALUE!</v>
      </c>
      <c r="AL96" s="84" t="e">
        <f>IF($AD96=AK$89,(-$AL$49+$AK$49*$BU$20/$BT$20)*$BT$29,"")</f>
        <v>#VALUE!</v>
      </c>
      <c r="AN96" s="83" t="e">
        <f>(-$AE$49+$AF$49*$AV$20/$AW$20)</f>
        <v>#VALUE!</v>
      </c>
      <c r="AO96" s="84" t="e">
        <f>(-$AF$49-$CA$20-(-$AE$49-$BZ$20)*$BY$20/$BX$20)</f>
        <v>#VALUE!</v>
      </c>
      <c r="AP96" s="83" t="e">
        <f>(-$AG$49+$BB$20+($AH$49-$BC$20)*$AZ$20/$BA$20)</f>
        <v>#VALUE!</v>
      </c>
      <c r="AQ96" s="84" t="e">
        <f>($AH$49+$BE$20+(-$AG$49-$BD$20)*$BG$20/$BF$20)</f>
        <v>#VALUE!</v>
      </c>
      <c r="AR96" s="83" t="e">
        <f>($AI$49-$BL$20-($AJ$49-$BM$20)*$BN$20/$BO$20)</f>
        <v>#VALUE!</v>
      </c>
      <c r="AS96" s="84" t="e">
        <f>($AJ$49-$AI$49*$BK$20/$BJ$20)</f>
        <v>#VALUE!</v>
      </c>
      <c r="AT96" s="83" t="e">
        <f>($AK$49-$AL$49*$BR$20/$BS$20)</f>
        <v>#VALUE!</v>
      </c>
      <c r="AU96" s="84" t="e">
        <f>(-$AL$49+$AK$49*$BU$20/$BT$20)</f>
        <v>#VALUE!</v>
      </c>
      <c r="BZ96" s="19"/>
      <c r="CA96" s="19"/>
    </row>
    <row r="97" spans="27:79" x14ac:dyDescent="0.25">
      <c r="AA97" s="5"/>
      <c r="AB97" s="5"/>
      <c r="AE97" s="85" t="str">
        <f>IF(ISNUMBER($AE$93),AE$93,IF(ISNUMBER($AE$94),AE$94,IF(ISNUMBER($AE$95),AE$95,IF(ISNUMBER($AE$96),AE$96,""))))</f>
        <v/>
      </c>
      <c r="AF97" s="86" t="str">
        <f>IF(ISNUMBER($AF$93),AF$93,IF(ISNUMBER($AF$94),AF$94,IF(ISNUMBER($AF$95),AF$95,IF(ISNUMBER($AF$96),AF$96,""))))</f>
        <v/>
      </c>
      <c r="AG97" s="85" t="str">
        <f>IF(ISNUMBER($AG$93),AG$93,IF(ISNUMBER($AG$94),AG$94,IF(ISNUMBER($AG$95),AG$95,IF(ISNUMBER($AG$96),AG$96,""))))</f>
        <v/>
      </c>
      <c r="AH97" s="86" t="str">
        <f>IF(ISNUMBER($AH$93),AH$93,IF(ISNUMBER($AH$94),AH$94,IF(ISNUMBER($AH$95),AH$95,IF(ISNUMBER($AH$96),AH$96,""))))</f>
        <v/>
      </c>
      <c r="AI97" s="85" t="str">
        <f>IF(ISNUMBER($AI$93),AI$93,IF(ISNUMBER($AI$94),AI$94,IF(ISNUMBER($AI$95),AI$95,IF(ISNUMBER($AI$96),AI$96,""))))</f>
        <v/>
      </c>
      <c r="AJ97" s="86" t="str">
        <f>IF(ISNUMBER($AJ$93),AJ$93,IF(ISNUMBER($AJ$94),AJ$94,IF(ISNUMBER($AJ$95),AJ$95,IF(ISNUMBER($AJ$96),AJ$96,""))))</f>
        <v/>
      </c>
      <c r="AK97" s="85" t="str">
        <f>IF(ISNUMBER($AK$93),AK$93,IF(ISNUMBER($AK$94),AK$94,IF(ISNUMBER($AK$95),AK$95,IF(ISNUMBER($AK$96),AK$96,""))))</f>
        <v/>
      </c>
      <c r="AL97" s="86" t="str">
        <f>IF(ISNUMBER($AL$93),AL$93,IF(ISNUMBER($AL$94),AL$94,IF(ISNUMBER($AL$95),AL$95,IF(ISNUMBER($AL$96),AL$96,""))))</f>
        <v/>
      </c>
      <c r="BZ97" s="19"/>
      <c r="CA97" s="19"/>
    </row>
    <row r="98" spans="27:79" x14ac:dyDescent="0.25">
      <c r="AA98" s="5"/>
      <c r="AB98" s="5"/>
      <c r="BZ98" s="19"/>
      <c r="CA98" s="19"/>
    </row>
    <row r="99" spans="27:79" x14ac:dyDescent="0.25">
      <c r="AA99" s="5"/>
      <c r="AB99" s="5"/>
      <c r="BZ99" s="19"/>
      <c r="CA99" s="19"/>
    </row>
    <row r="100" spans="27:79" x14ac:dyDescent="0.25">
      <c r="AA100" s="5"/>
      <c r="AB100" s="5"/>
      <c r="BZ100" s="19"/>
      <c r="CA100" s="19"/>
    </row>
    <row r="101" spans="27:79" x14ac:dyDescent="0.25">
      <c r="AA101" s="5"/>
      <c r="AB101" s="5"/>
      <c r="BZ101" s="19"/>
      <c r="CA101" s="19"/>
    </row>
    <row r="102" spans="27:79" x14ac:dyDescent="0.25">
      <c r="AA102" s="5"/>
      <c r="AB102" s="5"/>
      <c r="BZ102" s="19"/>
      <c r="CA102" s="19"/>
    </row>
    <row r="103" spans="27:79" x14ac:dyDescent="0.25">
      <c r="AA103" s="5"/>
      <c r="AB103" s="5"/>
      <c r="BZ103" s="19"/>
      <c r="CA103" s="19"/>
    </row>
    <row r="104" spans="27:79" x14ac:dyDescent="0.25">
      <c r="AA104" s="5"/>
      <c r="AB104" s="5"/>
      <c r="BZ104" s="19"/>
      <c r="CA104" s="19"/>
    </row>
    <row r="105" spans="27:79" x14ac:dyDescent="0.25">
      <c r="AA105" s="5"/>
      <c r="AB105" s="5"/>
      <c r="BZ105" s="19"/>
      <c r="CA105" s="19"/>
    </row>
    <row r="106" spans="27:79" x14ac:dyDescent="0.25">
      <c r="AA106" s="5"/>
      <c r="AB106" s="5"/>
      <c r="BZ106" s="19"/>
      <c r="CA106" s="19"/>
    </row>
    <row r="107" spans="27:79" x14ac:dyDescent="0.25">
      <c r="AA107" s="5"/>
      <c r="AB107" s="5"/>
      <c r="BZ107" s="19"/>
      <c r="CA107" s="19"/>
    </row>
    <row r="108" spans="27:79" x14ac:dyDescent="0.25">
      <c r="AA108" s="5"/>
      <c r="AB108" s="5"/>
      <c r="BZ108" s="19"/>
      <c r="CA108" s="19"/>
    </row>
    <row r="109" spans="27:79" x14ac:dyDescent="0.25">
      <c r="AA109" s="5"/>
      <c r="AB109" s="5"/>
      <c r="BZ109" s="19"/>
      <c r="CA109" s="19"/>
    </row>
    <row r="110" spans="27:79" x14ac:dyDescent="0.25">
      <c r="AA110" s="5"/>
      <c r="AB110" s="5"/>
      <c r="BZ110" s="19"/>
      <c r="CA110" s="19"/>
    </row>
    <row r="111" spans="27:79" x14ac:dyDescent="0.25">
      <c r="AA111" s="5"/>
      <c r="AB111" s="5"/>
      <c r="BZ111" s="19"/>
      <c r="CA111" s="19"/>
    </row>
    <row r="112" spans="27:79" x14ac:dyDescent="0.25">
      <c r="AA112" s="5"/>
      <c r="AB112" s="5"/>
      <c r="BZ112" s="19"/>
      <c r="CA112" s="19"/>
    </row>
    <row r="113" spans="27:79" x14ac:dyDescent="0.25">
      <c r="AA113" s="5"/>
      <c r="AB113" s="5"/>
      <c r="BZ113" s="19"/>
      <c r="CA113" s="19"/>
    </row>
    <row r="114" spans="27:79" x14ac:dyDescent="0.25">
      <c r="AA114" s="5"/>
      <c r="AB114" s="5"/>
      <c r="BZ114" s="19"/>
      <c r="CA114" s="19"/>
    </row>
    <row r="115" spans="27:79" x14ac:dyDescent="0.25">
      <c r="AA115" s="5"/>
      <c r="AB115" s="5"/>
      <c r="BZ115" s="19"/>
      <c r="CA115" s="19"/>
    </row>
    <row r="116" spans="27:79" x14ac:dyDescent="0.25">
      <c r="AA116" s="5"/>
      <c r="AB116" s="5"/>
      <c r="BZ116" s="19"/>
      <c r="CA116" s="19"/>
    </row>
    <row r="117" spans="27:79" x14ac:dyDescent="0.25">
      <c r="AA117" s="5"/>
      <c r="AB117" s="5"/>
      <c r="BZ117" s="19"/>
      <c r="CA117" s="19"/>
    </row>
    <row r="118" spans="27:79" x14ac:dyDescent="0.25">
      <c r="AA118" s="5"/>
      <c r="AB118" s="5"/>
      <c r="BZ118" s="19"/>
      <c r="CA118" s="19"/>
    </row>
    <row r="119" spans="27:79" x14ac:dyDescent="0.25">
      <c r="AA119" s="5"/>
      <c r="AB119" s="5"/>
      <c r="BZ119" s="19"/>
      <c r="CA119" s="19"/>
    </row>
    <row r="120" spans="27:79" x14ac:dyDescent="0.25">
      <c r="AA120" s="5"/>
      <c r="AB120" s="5"/>
      <c r="BZ120" s="19"/>
      <c r="CA120" s="19"/>
    </row>
    <row r="121" spans="27:79" x14ac:dyDescent="0.25">
      <c r="AA121" s="5"/>
      <c r="AB121" s="5"/>
      <c r="BZ121" s="19"/>
      <c r="CA121" s="19"/>
    </row>
    <row r="122" spans="27:79" x14ac:dyDescent="0.25">
      <c r="AA122" s="5"/>
      <c r="AB122" s="5"/>
      <c r="BZ122" s="19"/>
      <c r="CA122" s="19"/>
    </row>
    <row r="123" spans="27:79" x14ac:dyDescent="0.25">
      <c r="AA123" s="5"/>
      <c r="AB123" s="5"/>
      <c r="BZ123" s="19"/>
      <c r="CA123" s="19"/>
    </row>
    <row r="124" spans="27:79" x14ac:dyDescent="0.25">
      <c r="AA124" s="5"/>
      <c r="AB124" s="5"/>
      <c r="BZ124" s="19"/>
      <c r="CA124" s="19"/>
    </row>
    <row r="125" spans="27:79" x14ac:dyDescent="0.25">
      <c r="AA125" s="5"/>
      <c r="AB125" s="5"/>
      <c r="BZ125" s="19"/>
      <c r="CA125" s="19"/>
    </row>
    <row r="126" spans="27:79" x14ac:dyDescent="0.25">
      <c r="AA126" s="5"/>
      <c r="AB126" s="5"/>
      <c r="BZ126" s="19"/>
      <c r="CA126" s="19"/>
    </row>
    <row r="127" spans="27:79" x14ac:dyDescent="0.25">
      <c r="AA127" s="5"/>
      <c r="AB127" s="5"/>
      <c r="BZ127" s="19"/>
      <c r="CA127" s="19"/>
    </row>
    <row r="128" spans="27:79" x14ac:dyDescent="0.25">
      <c r="AA128" s="5"/>
      <c r="AB128" s="5"/>
      <c r="BZ128" s="19"/>
      <c r="CA128" s="19"/>
    </row>
    <row r="129" spans="27:79" x14ac:dyDescent="0.25">
      <c r="AA129" s="5"/>
      <c r="AB129" s="5"/>
      <c r="BZ129" s="19"/>
      <c r="CA129" s="19"/>
    </row>
    <row r="130" spans="27:79" x14ac:dyDescent="0.25">
      <c r="AA130" s="5"/>
      <c r="AB130" s="5"/>
      <c r="BZ130" s="19"/>
      <c r="CA130" s="19"/>
    </row>
    <row r="131" spans="27:79" x14ac:dyDescent="0.25">
      <c r="AA131" s="5"/>
      <c r="AB131" s="5"/>
      <c r="BZ131" s="19"/>
      <c r="CA131" s="19"/>
    </row>
    <row r="132" spans="27:79" x14ac:dyDescent="0.25">
      <c r="AA132" s="5"/>
      <c r="AB132" s="5"/>
      <c r="BZ132" s="19"/>
      <c r="CA132" s="19"/>
    </row>
    <row r="133" spans="27:79" x14ac:dyDescent="0.25">
      <c r="AA133" s="5"/>
      <c r="AB133" s="5"/>
      <c r="BZ133" s="19"/>
      <c r="CA133" s="19"/>
    </row>
    <row r="134" spans="27:79" x14ac:dyDescent="0.25">
      <c r="AA134" s="5"/>
      <c r="AB134" s="5"/>
      <c r="BZ134" s="19"/>
      <c r="CA134" s="19"/>
    </row>
    <row r="135" spans="27:79" x14ac:dyDescent="0.25">
      <c r="AA135" s="5"/>
      <c r="AB135" s="5"/>
      <c r="BZ135" s="19"/>
      <c r="CA135" s="19"/>
    </row>
    <row r="136" spans="27:79" x14ac:dyDescent="0.25">
      <c r="AA136" s="5"/>
      <c r="AB136" s="5"/>
      <c r="BZ136" s="19"/>
      <c r="CA136" s="19"/>
    </row>
    <row r="137" spans="27:79" x14ac:dyDescent="0.25">
      <c r="AA137" s="5"/>
      <c r="AB137" s="5"/>
      <c r="BZ137" s="19"/>
      <c r="CA137" s="19"/>
    </row>
    <row r="138" spans="27:79" x14ac:dyDescent="0.25">
      <c r="AA138" s="5"/>
      <c r="AB138" s="5"/>
      <c r="BZ138" s="19"/>
      <c r="CA138" s="19"/>
    </row>
    <row r="139" spans="27:79" x14ac:dyDescent="0.25">
      <c r="AA139" s="5"/>
      <c r="AB139" s="5"/>
      <c r="BZ139" s="19"/>
      <c r="CA139" s="19"/>
    </row>
    <row r="140" spans="27:79" x14ac:dyDescent="0.25">
      <c r="AA140" s="5"/>
      <c r="AB140" s="5"/>
      <c r="BZ140" s="19"/>
      <c r="CA140" s="19"/>
    </row>
    <row r="141" spans="27:79" x14ac:dyDescent="0.25">
      <c r="AA141" s="5"/>
      <c r="AB141" s="5"/>
      <c r="BZ141" s="19"/>
      <c r="CA141" s="19"/>
    </row>
    <row r="142" spans="27:79" x14ac:dyDescent="0.25">
      <c r="AA142" s="5"/>
      <c r="AB142" s="5"/>
      <c r="BZ142" s="19"/>
      <c r="CA142" s="19"/>
    </row>
    <row r="143" spans="27:79" x14ac:dyDescent="0.25">
      <c r="AA143" s="5"/>
      <c r="AB143" s="5"/>
      <c r="BZ143" s="19"/>
      <c r="CA143" s="19"/>
    </row>
    <row r="144" spans="27:79" x14ac:dyDescent="0.25">
      <c r="AA144" s="5"/>
      <c r="AB144" s="5"/>
      <c r="BZ144" s="19"/>
      <c r="CA144" s="19"/>
    </row>
    <row r="145" spans="27:79" x14ac:dyDescent="0.25">
      <c r="AA145" s="5"/>
      <c r="AB145" s="5"/>
      <c r="BZ145" s="19"/>
      <c r="CA145" s="19"/>
    </row>
    <row r="146" spans="27:79" x14ac:dyDescent="0.25">
      <c r="AA146" s="5"/>
      <c r="AB146" s="5"/>
      <c r="BZ146" s="19"/>
      <c r="CA146" s="19"/>
    </row>
    <row r="147" spans="27:79" x14ac:dyDescent="0.25">
      <c r="AA147" s="5"/>
      <c r="AB147" s="5"/>
      <c r="BZ147" s="19"/>
      <c r="CA147" s="19"/>
    </row>
    <row r="148" spans="27:79" x14ac:dyDescent="0.25">
      <c r="AA148" s="5"/>
      <c r="AB148" s="5"/>
      <c r="BZ148" s="19"/>
      <c r="CA148" s="19"/>
    </row>
    <row r="149" spans="27:79" x14ac:dyDescent="0.25">
      <c r="AA149" s="5"/>
      <c r="AB149" s="5"/>
      <c r="BZ149" s="19"/>
      <c r="CA149" s="19"/>
    </row>
    <row r="150" spans="27:79" x14ac:dyDescent="0.25">
      <c r="AA150" s="5"/>
      <c r="AB150" s="5"/>
      <c r="BZ150" s="19"/>
      <c r="CA150" s="19"/>
    </row>
    <row r="151" spans="27:79" x14ac:dyDescent="0.25">
      <c r="AA151" s="5"/>
      <c r="AB151" s="5"/>
      <c r="BZ151" s="19"/>
      <c r="CA151" s="19"/>
    </row>
    <row r="152" spans="27:79" x14ac:dyDescent="0.25">
      <c r="AA152" s="5"/>
      <c r="AB152" s="5"/>
      <c r="BZ152" s="19"/>
      <c r="CA152" s="19"/>
    </row>
    <row r="153" spans="27:79" x14ac:dyDescent="0.25">
      <c r="AA153" s="5"/>
      <c r="AB153" s="5"/>
      <c r="BZ153" s="19"/>
      <c r="CA153" s="19"/>
    </row>
    <row r="154" spans="27:79" x14ac:dyDescent="0.25">
      <c r="AA154" s="5"/>
      <c r="AB154" s="5"/>
      <c r="BZ154" s="19"/>
      <c r="CA154" s="19"/>
    </row>
    <row r="155" spans="27:79" x14ac:dyDescent="0.25">
      <c r="AA155" s="5"/>
      <c r="AB155" s="5"/>
      <c r="BZ155" s="19"/>
      <c r="CA155" s="19"/>
    </row>
    <row r="156" spans="27:79" x14ac:dyDescent="0.25">
      <c r="AA156" s="5"/>
      <c r="AB156" s="5"/>
      <c r="BZ156" s="19"/>
      <c r="CA156" s="19"/>
    </row>
    <row r="157" spans="27:79" x14ac:dyDescent="0.25">
      <c r="AA157" s="5"/>
      <c r="AB157" s="5"/>
    </row>
    <row r="158" spans="27:79" x14ac:dyDescent="0.25">
      <c r="AA158" s="5"/>
      <c r="AB158" s="5"/>
    </row>
    <row r="159" spans="27:79" x14ac:dyDescent="0.25">
      <c r="AA159" s="5"/>
      <c r="AB159" s="5"/>
    </row>
    <row r="160" spans="27:79" x14ac:dyDescent="0.25">
      <c r="AA160" s="5"/>
      <c r="AB160" s="5"/>
    </row>
    <row r="161" spans="27:28" x14ac:dyDescent="0.25">
      <c r="AA161" s="5"/>
      <c r="AB161" s="5"/>
    </row>
    <row r="162" spans="27:28" x14ac:dyDescent="0.25">
      <c r="AA162" s="5"/>
      <c r="AB162" s="5"/>
    </row>
    <row r="163" spans="27:28" x14ac:dyDescent="0.25">
      <c r="AA163" s="5"/>
      <c r="AB163" s="5"/>
    </row>
    <row r="164" spans="27:28" x14ac:dyDescent="0.25">
      <c r="AA164" s="5"/>
      <c r="AB164" s="5"/>
    </row>
    <row r="165" spans="27:28" x14ac:dyDescent="0.25">
      <c r="AA165" s="5"/>
      <c r="AB165" s="5"/>
    </row>
    <row r="166" spans="27:28" x14ac:dyDescent="0.25">
      <c r="AB166" s="5"/>
    </row>
    <row r="167" spans="27:28" x14ac:dyDescent="0.25">
      <c r="AB167" s="5"/>
    </row>
    <row r="168" spans="27:28" x14ac:dyDescent="0.25">
      <c r="AB168" s="5"/>
    </row>
    <row r="169" spans="27:28" x14ac:dyDescent="0.25">
      <c r="AB169" s="5"/>
    </row>
    <row r="170" spans="27:28" x14ac:dyDescent="0.25">
      <c r="AB170" s="5"/>
    </row>
    <row r="171" spans="27:28" x14ac:dyDescent="0.25">
      <c r="AB171" s="5"/>
    </row>
    <row r="172" spans="27:28" x14ac:dyDescent="0.25">
      <c r="AB172" s="5"/>
    </row>
    <row r="173" spans="27:28" x14ac:dyDescent="0.25">
      <c r="AB173" s="5"/>
    </row>
  </sheetData>
  <sheetProtection sheet="1" objects="1" scenarios="1"/>
  <mergeCells count="133">
    <mergeCell ref="BR18:BS18"/>
    <mergeCell ref="AV25:BC25"/>
    <mergeCell ref="AQ25:AR25"/>
    <mergeCell ref="AZ21:BC21"/>
    <mergeCell ref="BL21:BO21"/>
    <mergeCell ref="AE77:AF77"/>
    <mergeCell ref="A40:B41"/>
    <mergeCell ref="AI25:AJ25"/>
    <mergeCell ref="AG66:AH66"/>
    <mergeCell ref="AI66:AJ66"/>
    <mergeCell ref="Q27:R27"/>
    <mergeCell ref="AM25:AN25"/>
    <mergeCell ref="B24:C24"/>
    <mergeCell ref="AI77:AJ77"/>
    <mergeCell ref="AK77:AL77"/>
    <mergeCell ref="AG58:AH58"/>
    <mergeCell ref="AG67:AH67"/>
    <mergeCell ref="AI52:AJ52"/>
    <mergeCell ref="AI67:AJ67"/>
    <mergeCell ref="AG25:AH25"/>
    <mergeCell ref="AE66:AF66"/>
    <mergeCell ref="AC24:AT24"/>
    <mergeCell ref="AE56:AF56"/>
    <mergeCell ref="AG56:AH56"/>
    <mergeCell ref="AO25:AP25"/>
    <mergeCell ref="C2:F2"/>
    <mergeCell ref="AK67:AL67"/>
    <mergeCell ref="I6:J6"/>
    <mergeCell ref="M3:P3"/>
    <mergeCell ref="AG69:AH69"/>
    <mergeCell ref="AI69:AJ69"/>
    <mergeCell ref="L39:M42"/>
    <mergeCell ref="L57:M57"/>
    <mergeCell ref="AC37:AD37"/>
    <mergeCell ref="AI53:AJ53"/>
    <mergeCell ref="K13:N13"/>
    <mergeCell ref="C3:F3"/>
    <mergeCell ref="G7:H7"/>
    <mergeCell ref="M7:N7"/>
    <mergeCell ref="W40:X41"/>
    <mergeCell ref="C8:D8"/>
    <mergeCell ref="AI58:AJ58"/>
    <mergeCell ref="AK52:AL52"/>
    <mergeCell ref="AC49:AD49"/>
    <mergeCell ref="K6:L6"/>
    <mergeCell ref="K3:L3"/>
    <mergeCell ref="AK66:AL66"/>
    <mergeCell ref="AK53:AL53"/>
    <mergeCell ref="AE25:AF25"/>
    <mergeCell ref="BT25:CA25"/>
    <mergeCell ref="AG80:AH80"/>
    <mergeCell ref="V24:W24"/>
    <mergeCell ref="AE52:AF52"/>
    <mergeCell ref="AE67:AF67"/>
    <mergeCell ref="S14:T14"/>
    <mergeCell ref="AG52:AH52"/>
    <mergeCell ref="BH21:BK21"/>
    <mergeCell ref="BV18:BW18"/>
    <mergeCell ref="AI80:AJ80"/>
    <mergeCell ref="AE78:AF78"/>
    <mergeCell ref="AK78:AL78"/>
    <mergeCell ref="BX18:BY18"/>
    <mergeCell ref="AI78:AJ78"/>
    <mergeCell ref="BF18:BG18"/>
    <mergeCell ref="BH18:BI18"/>
    <mergeCell ref="BD21:BG21"/>
    <mergeCell ref="BB18:BC18"/>
    <mergeCell ref="BX21:CA21"/>
    <mergeCell ref="BD18:BE18"/>
    <mergeCell ref="AV18:AW18"/>
    <mergeCell ref="BN18:BO18"/>
    <mergeCell ref="BP18:BQ18"/>
    <mergeCell ref="BT18:BU18"/>
    <mergeCell ref="B57:C57"/>
    <mergeCell ref="O4:P4"/>
    <mergeCell ref="AI55:AJ55"/>
    <mergeCell ref="BZ18:CA18"/>
    <mergeCell ref="AK55:AL55"/>
    <mergeCell ref="AE53:AF53"/>
    <mergeCell ref="AC31:AD31"/>
    <mergeCell ref="BT21:BW21"/>
    <mergeCell ref="AZ18:BA18"/>
    <mergeCell ref="BJ18:BK18"/>
    <mergeCell ref="AI56:AJ56"/>
    <mergeCell ref="BL18:BM18"/>
    <mergeCell ref="AK56:AL56"/>
    <mergeCell ref="C7:D7"/>
    <mergeCell ref="E7:F7"/>
    <mergeCell ref="E6:H6"/>
    <mergeCell ref="C10:D10"/>
    <mergeCell ref="AS25:AT25"/>
    <mergeCell ref="C9:D9"/>
    <mergeCell ref="C11:D11"/>
    <mergeCell ref="AV21:AY21"/>
    <mergeCell ref="BL25:BS25"/>
    <mergeCell ref="BP21:BS21"/>
    <mergeCell ref="BD25:BK25"/>
    <mergeCell ref="AE89:AF89"/>
    <mergeCell ref="AG89:AH89"/>
    <mergeCell ref="AG88:AH88"/>
    <mergeCell ref="G43:H43"/>
    <mergeCell ref="AI88:AJ88"/>
    <mergeCell ref="Y13:AB13"/>
    <mergeCell ref="Q43:R43"/>
    <mergeCell ref="AK91:AL91"/>
    <mergeCell ref="G27:H27"/>
    <mergeCell ref="AE58:AF58"/>
    <mergeCell ref="AK25:AL25"/>
    <mergeCell ref="AK58:AL58"/>
    <mergeCell ref="AC43:AD43"/>
    <mergeCell ref="AG53:AH53"/>
    <mergeCell ref="AK69:AL69"/>
    <mergeCell ref="AG77:AH77"/>
    <mergeCell ref="L24:M24"/>
    <mergeCell ref="AG91:AH91"/>
    <mergeCell ref="AI91:AJ91"/>
    <mergeCell ref="AI89:AJ89"/>
    <mergeCell ref="AK89:AL89"/>
    <mergeCell ref="AK88:AL88"/>
    <mergeCell ref="AE91:AF91"/>
    <mergeCell ref="AE88:AF88"/>
    <mergeCell ref="Y5:AB5"/>
    <mergeCell ref="AE69:AF69"/>
    <mergeCell ref="AX18:AY18"/>
    <mergeCell ref="AG78:AH78"/>
    <mergeCell ref="AK80:AL80"/>
    <mergeCell ref="V57:W57"/>
    <mergeCell ref="M6:P6"/>
    <mergeCell ref="AE80:AF80"/>
    <mergeCell ref="M4:N4"/>
    <mergeCell ref="AE55:AF55"/>
    <mergeCell ref="AG55:AH55"/>
    <mergeCell ref="O7:P7"/>
  </mergeCells>
  <conditionalFormatting sqref="B25">
    <cfRule type="expression" dxfId="143" priority="22">
      <formula>B26</formula>
    </cfRule>
    <cfRule type="expression" dxfId="142" priority="23">
      <formula>B$19</formula>
    </cfRule>
  </conditionalFormatting>
  <conditionalFormatting sqref="B33">
    <cfRule type="expression" dxfId="141" priority="20">
      <formula>B34</formula>
    </cfRule>
    <cfRule type="expression" dxfId="140" priority="21">
      <formula>B$19</formula>
    </cfRule>
  </conditionalFormatting>
  <conditionalFormatting sqref="B42">
    <cfRule type="expression" dxfId="139" priority="18">
      <formula>B43</formula>
    </cfRule>
    <cfRule type="expression" dxfId="138" priority="19">
      <formula>B$19</formula>
    </cfRule>
  </conditionalFormatting>
  <conditionalFormatting sqref="B50">
    <cfRule type="expression" dxfId="137" priority="16">
      <formula>B51</formula>
    </cfRule>
    <cfRule type="expression" dxfId="136" priority="17">
      <formula>B$19</formula>
    </cfRule>
  </conditionalFormatting>
  <conditionalFormatting sqref="E18">
    <cfRule type="expression" dxfId="135" priority="24">
      <formula>E$19</formula>
    </cfRule>
  </conditionalFormatting>
  <conditionalFormatting sqref="E63">
    <cfRule type="expression" dxfId="134" priority="15">
      <formula>E$19</formula>
    </cfRule>
  </conditionalFormatting>
  <conditionalFormatting sqref="K18">
    <cfRule type="expression" dxfId="133" priority="14">
      <formula>K$19</formula>
    </cfRule>
  </conditionalFormatting>
  <conditionalFormatting sqref="K63">
    <cfRule type="expression" dxfId="132" priority="3">
      <formula>K$19</formula>
    </cfRule>
  </conditionalFormatting>
  <conditionalFormatting sqref="O18">
    <cfRule type="expression" dxfId="131" priority="13">
      <formula>O$19</formula>
    </cfRule>
  </conditionalFormatting>
  <conditionalFormatting sqref="O63">
    <cfRule type="expression" dxfId="130" priority="2">
      <formula>O$19</formula>
    </cfRule>
  </conditionalFormatting>
  <conditionalFormatting sqref="U18">
    <cfRule type="expression" dxfId="129" priority="12">
      <formula>U$19</formula>
    </cfRule>
  </conditionalFormatting>
  <conditionalFormatting sqref="U63">
    <cfRule type="expression" dxfId="128" priority="1">
      <formula>U$19</formula>
    </cfRule>
  </conditionalFormatting>
  <conditionalFormatting sqref="W25">
    <cfRule type="expression" dxfId="127" priority="10">
      <formula>W26</formula>
    </cfRule>
    <cfRule type="expression" dxfId="126" priority="11">
      <formula>W$19</formula>
    </cfRule>
  </conditionalFormatting>
  <conditionalFormatting sqref="W33">
    <cfRule type="expression" dxfId="125" priority="8">
      <formula>W34</formula>
    </cfRule>
    <cfRule type="expression" dxfId="124" priority="9">
      <formula>W$19</formula>
    </cfRule>
  </conditionalFormatting>
  <conditionalFormatting sqref="W42">
    <cfRule type="expression" dxfId="123" priority="6">
      <formula>W43</formula>
    </cfRule>
    <cfRule type="expression" dxfId="122" priority="7">
      <formula>W$19</formula>
    </cfRule>
  </conditionalFormatting>
  <conditionalFormatting sqref="W50">
    <cfRule type="expression" dxfId="121" priority="4">
      <formula>W51</formula>
    </cfRule>
    <cfRule type="expression" dxfId="120" priority="5">
      <formula>W$19</formula>
    </cfRule>
  </conditionalFormatting>
  <conditionalFormatting sqref="AE60:AF60">
    <cfRule type="expression" dxfId="119" priority="47">
      <formula>$AE$56=1</formula>
    </cfRule>
  </conditionalFormatting>
  <conditionalFormatting sqref="AE61:AF61">
    <cfRule type="expression" dxfId="118" priority="51">
      <formula>$AE$56=2</formula>
    </cfRule>
  </conditionalFormatting>
  <conditionalFormatting sqref="AE62:AF62">
    <cfRule type="expression" dxfId="117" priority="55">
      <formula>$AE$56=3</formula>
    </cfRule>
  </conditionalFormatting>
  <conditionalFormatting sqref="AE63:AF63">
    <cfRule type="expression" dxfId="116" priority="59">
      <formula>$AE$56=4</formula>
    </cfRule>
  </conditionalFormatting>
  <conditionalFormatting sqref="AE71:AF71">
    <cfRule type="expression" dxfId="115" priority="140">
      <formula>$AE$67=1</formula>
    </cfRule>
  </conditionalFormatting>
  <conditionalFormatting sqref="AE72:AF72">
    <cfRule type="expression" dxfId="114" priority="144">
      <formula>$AE$67=2</formula>
    </cfRule>
  </conditionalFormatting>
  <conditionalFormatting sqref="AE73:AF73">
    <cfRule type="expression" dxfId="113" priority="148">
      <formula>$AE$67=3</formula>
    </cfRule>
  </conditionalFormatting>
  <conditionalFormatting sqref="AE74:AF74">
    <cfRule type="expression" dxfId="112" priority="152">
      <formula>$AE$67=4</formula>
    </cfRule>
  </conditionalFormatting>
  <conditionalFormatting sqref="AE82:AF82">
    <cfRule type="expression" dxfId="111" priority="135">
      <formula>$AE$78=1</formula>
    </cfRule>
  </conditionalFormatting>
  <conditionalFormatting sqref="AE83:AF83">
    <cfRule type="expression" dxfId="110" priority="136">
      <formula>$AE$78=2</formula>
    </cfRule>
  </conditionalFormatting>
  <conditionalFormatting sqref="AE84:AF84">
    <cfRule type="expression" dxfId="109" priority="118">
      <formula>$AE$78=3</formula>
    </cfRule>
  </conditionalFormatting>
  <conditionalFormatting sqref="AE85:AF85">
    <cfRule type="expression" dxfId="108" priority="117">
      <formula>$AE$78=4</formula>
    </cfRule>
  </conditionalFormatting>
  <conditionalFormatting sqref="AE93:AF93">
    <cfRule type="expression" dxfId="107" priority="122">
      <formula>$AE$89=1</formula>
    </cfRule>
  </conditionalFormatting>
  <conditionalFormatting sqref="AE94:AF94">
    <cfRule type="expression" dxfId="106" priority="126">
      <formula>$AE$89=2</formula>
    </cfRule>
  </conditionalFormatting>
  <conditionalFormatting sqref="AE95:AF95">
    <cfRule type="expression" dxfId="105" priority="130">
      <formula>$AE$89=3</formula>
    </cfRule>
  </conditionalFormatting>
  <conditionalFormatting sqref="AE96:AF96">
    <cfRule type="expression" dxfId="104" priority="134">
      <formula>$AE$89=4</formula>
    </cfRule>
  </conditionalFormatting>
  <conditionalFormatting sqref="AE56:AL56">
    <cfRule type="cellIs" dxfId="103" priority="41" operator="between">
      <formula>1</formula>
      <formula>4</formula>
    </cfRule>
  </conditionalFormatting>
  <conditionalFormatting sqref="AE67:AL67">
    <cfRule type="cellIs" dxfId="102" priority="90" operator="between">
      <formula>1</formula>
      <formula>4</formula>
    </cfRule>
  </conditionalFormatting>
  <conditionalFormatting sqref="AE78:AL78">
    <cfRule type="cellIs" dxfId="101" priority="87" operator="between">
      <formula>1</formula>
      <formula>4</formula>
    </cfRule>
  </conditionalFormatting>
  <conditionalFormatting sqref="AE89:AL89">
    <cfRule type="cellIs" dxfId="100" priority="84" operator="between">
      <formula>1</formula>
      <formula>4</formula>
    </cfRule>
  </conditionalFormatting>
  <conditionalFormatting sqref="AG60:AH60">
    <cfRule type="expression" dxfId="99" priority="46">
      <formula>$AG$56=1</formula>
    </cfRule>
  </conditionalFormatting>
  <conditionalFormatting sqref="AG61:AH61">
    <cfRule type="expression" dxfId="98" priority="50">
      <formula>$AG$56=2</formula>
    </cfRule>
  </conditionalFormatting>
  <conditionalFormatting sqref="AG62:AH62">
    <cfRule type="expression" dxfId="97" priority="54">
      <formula>$AG$56=3</formula>
    </cfRule>
  </conditionalFormatting>
  <conditionalFormatting sqref="AG63:AH63">
    <cfRule type="expression" dxfId="96" priority="58">
      <formula>$AG$56=4</formula>
    </cfRule>
  </conditionalFormatting>
  <conditionalFormatting sqref="AG71:AH71">
    <cfRule type="expression" dxfId="95" priority="139">
      <formula>$AG$67=1</formula>
    </cfRule>
  </conditionalFormatting>
  <conditionalFormatting sqref="AG72:AH72">
    <cfRule type="expression" dxfId="94" priority="143">
      <formula>$AG$67=2</formula>
    </cfRule>
  </conditionalFormatting>
  <conditionalFormatting sqref="AG73:AH73">
    <cfRule type="expression" dxfId="93" priority="147">
      <formula>$AG$67=3</formula>
    </cfRule>
  </conditionalFormatting>
  <conditionalFormatting sqref="AG74:AH74">
    <cfRule type="expression" dxfId="92" priority="151">
      <formula>$AG$67=4</formula>
    </cfRule>
  </conditionalFormatting>
  <conditionalFormatting sqref="AG82:AH82">
    <cfRule type="expression" dxfId="91" priority="115">
      <formula>$AG$78=1</formula>
    </cfRule>
  </conditionalFormatting>
  <conditionalFormatting sqref="AG83:AH83">
    <cfRule type="expression" dxfId="90" priority="116">
      <formula>$AG$78=2</formula>
    </cfRule>
  </conditionalFormatting>
  <conditionalFormatting sqref="AG84:AH84">
    <cfRule type="expression" dxfId="89" priority="114">
      <formula>$AG$78=3</formula>
    </cfRule>
  </conditionalFormatting>
  <conditionalFormatting sqref="AG85:AH85">
    <cfRule type="expression" dxfId="88" priority="113">
      <formula>$AG$78=4</formula>
    </cfRule>
  </conditionalFormatting>
  <conditionalFormatting sqref="AG93:AH93">
    <cfRule type="expression" dxfId="87" priority="121">
      <formula>$AG$89=1</formula>
    </cfRule>
  </conditionalFormatting>
  <conditionalFormatting sqref="AG94:AH94">
    <cfRule type="expression" dxfId="86" priority="125">
      <formula>$AG$89=2</formula>
    </cfRule>
  </conditionalFormatting>
  <conditionalFormatting sqref="AG95:AH95">
    <cfRule type="expression" dxfId="85" priority="129">
      <formula>$AG$89=3</formula>
    </cfRule>
  </conditionalFormatting>
  <conditionalFormatting sqref="AG96:AH96">
    <cfRule type="expression" dxfId="84" priority="133">
      <formula>$AG$89=4</formula>
    </cfRule>
  </conditionalFormatting>
  <conditionalFormatting sqref="AI60:AJ60">
    <cfRule type="expression" dxfId="83" priority="45">
      <formula>$AI$56=1</formula>
    </cfRule>
  </conditionalFormatting>
  <conditionalFormatting sqref="AI61:AJ61">
    <cfRule type="expression" dxfId="82" priority="49">
      <formula>$AI$56=2</formula>
    </cfRule>
  </conditionalFormatting>
  <conditionalFormatting sqref="AI62:AJ62">
    <cfRule type="expression" dxfId="81" priority="53">
      <formula>$AI$56=3</formula>
    </cfRule>
  </conditionalFormatting>
  <conditionalFormatting sqref="AI63:AJ63">
    <cfRule type="expression" dxfId="80" priority="57">
      <formula>$AI$56=4</formula>
    </cfRule>
  </conditionalFormatting>
  <conditionalFormatting sqref="AI71:AJ71">
    <cfRule type="expression" dxfId="79" priority="138">
      <formula>$AI$67=1</formula>
    </cfRule>
  </conditionalFormatting>
  <conditionalFormatting sqref="AI72:AJ72">
    <cfRule type="expression" dxfId="78" priority="142">
      <formula>$AI$67=2</formula>
    </cfRule>
  </conditionalFormatting>
  <conditionalFormatting sqref="AI73:AJ73">
    <cfRule type="expression" dxfId="77" priority="146">
      <formula>$AI$67=3</formula>
    </cfRule>
  </conditionalFormatting>
  <conditionalFormatting sqref="AI74:AJ74">
    <cfRule type="expression" dxfId="76" priority="150">
      <formula>$AI$67=4</formula>
    </cfRule>
  </conditionalFormatting>
  <conditionalFormatting sqref="AI82:AJ82">
    <cfRule type="expression" dxfId="75" priority="111">
      <formula>$AI$78=1</formula>
    </cfRule>
  </conditionalFormatting>
  <conditionalFormatting sqref="AI83:AJ83">
    <cfRule type="expression" dxfId="74" priority="112">
      <formula>$AI$78=2</formula>
    </cfRule>
  </conditionalFormatting>
  <conditionalFormatting sqref="AI84:AJ84">
    <cfRule type="expression" dxfId="73" priority="110">
      <formula>$AI$78=3</formula>
    </cfRule>
  </conditionalFormatting>
  <conditionalFormatting sqref="AI85:AJ85">
    <cfRule type="expression" dxfId="72" priority="109">
      <formula>$AI$78=4</formula>
    </cfRule>
  </conditionalFormatting>
  <conditionalFormatting sqref="AI93:AJ93">
    <cfRule type="expression" dxfId="71" priority="120">
      <formula>$AI$89=1</formula>
    </cfRule>
  </conditionalFormatting>
  <conditionalFormatting sqref="AI94:AJ94">
    <cfRule type="expression" dxfId="70" priority="124">
      <formula>$AI$89=2</formula>
    </cfRule>
  </conditionalFormatting>
  <conditionalFormatting sqref="AI95:AJ95">
    <cfRule type="expression" dxfId="69" priority="128">
      <formula>$AI$89=3</formula>
    </cfRule>
  </conditionalFormatting>
  <conditionalFormatting sqref="AI96:AJ96">
    <cfRule type="expression" dxfId="68" priority="132">
      <formula>$AI$89=4</formula>
    </cfRule>
  </conditionalFormatting>
  <conditionalFormatting sqref="AK60:AL60">
    <cfRule type="expression" dxfId="67" priority="44">
      <formula>$AK$56=1</formula>
    </cfRule>
  </conditionalFormatting>
  <conditionalFormatting sqref="AK61:AL61">
    <cfRule type="expression" dxfId="66" priority="48">
      <formula>$AK$56=2</formula>
    </cfRule>
  </conditionalFormatting>
  <conditionalFormatting sqref="AK62:AL62">
    <cfRule type="expression" dxfId="65" priority="52">
      <formula>$AK$56=3</formula>
    </cfRule>
  </conditionalFormatting>
  <conditionalFormatting sqref="AK63:AL63">
    <cfRule type="expression" dxfId="64" priority="56">
      <formula>$AK$56=4</formula>
    </cfRule>
  </conditionalFormatting>
  <conditionalFormatting sqref="AK71:AL71 AT71:AU71">
    <cfRule type="expression" dxfId="63" priority="137">
      <formula>$AK$67=1</formula>
    </cfRule>
  </conditionalFormatting>
  <conditionalFormatting sqref="AK72:AL72 AT72:AU72">
    <cfRule type="expression" dxfId="62" priority="141">
      <formula>$AK$67=2</formula>
    </cfRule>
  </conditionalFormatting>
  <conditionalFormatting sqref="AK73:AL73 AT73:AU73">
    <cfRule type="expression" dxfId="61" priority="145">
      <formula>$AK$67=3</formula>
    </cfRule>
  </conditionalFormatting>
  <conditionalFormatting sqref="AK74:AL74 AT74:AU74">
    <cfRule type="expression" dxfId="60" priority="149">
      <formula>$AK$67=4</formula>
    </cfRule>
  </conditionalFormatting>
  <conditionalFormatting sqref="AK82:AL82 AT82:AU82">
    <cfRule type="expression" dxfId="59" priority="107">
      <formula>$AK$78=1</formula>
    </cfRule>
  </conditionalFormatting>
  <conditionalFormatting sqref="AK83:AL83 AT83:AU83">
    <cfRule type="expression" dxfId="58" priority="108">
      <formula>$AK$78=2</formula>
    </cfRule>
  </conditionalFormatting>
  <conditionalFormatting sqref="AK84:AL84 AT84:AU84">
    <cfRule type="expression" dxfId="57" priority="106">
      <formula>$AK$78=3</formula>
    </cfRule>
  </conditionalFormatting>
  <conditionalFormatting sqref="AK85:AL85 AT85:AU85">
    <cfRule type="expression" dxfId="56" priority="105">
      <formula>$AK$78=4</formula>
    </cfRule>
  </conditionalFormatting>
  <conditionalFormatting sqref="AK93:AL93 AT93:AU93">
    <cfRule type="expression" dxfId="55" priority="119">
      <formula>$AK$89=1</formula>
    </cfRule>
  </conditionalFormatting>
  <conditionalFormatting sqref="AK94:AL94 AT94:AU94">
    <cfRule type="expression" dxfId="54" priority="123">
      <formula>$AK$89=2</formula>
    </cfRule>
  </conditionalFormatting>
  <conditionalFormatting sqref="AK95:AL95 AT95:AU95">
    <cfRule type="expression" dxfId="53" priority="127">
      <formula>$AK$89=3</formula>
    </cfRule>
  </conditionalFormatting>
  <conditionalFormatting sqref="AK96:AL96 AT96:AU96">
    <cfRule type="expression" dxfId="52" priority="131">
      <formula>$AK$89=4</formula>
    </cfRule>
  </conditionalFormatting>
  <conditionalFormatting sqref="AN60:AO60">
    <cfRule type="expression" dxfId="51" priority="28">
      <formula>$AE$56=1</formula>
    </cfRule>
  </conditionalFormatting>
  <conditionalFormatting sqref="AN61:AO61">
    <cfRule type="expression" dxfId="50" priority="32">
      <formula>$AE$56=2</formula>
    </cfRule>
  </conditionalFormatting>
  <conditionalFormatting sqref="AN62:AO62">
    <cfRule type="expression" dxfId="49" priority="36">
      <formula>$AE$56=3</formula>
    </cfRule>
  </conditionalFormatting>
  <conditionalFormatting sqref="AN63:AO63">
    <cfRule type="expression" dxfId="48" priority="40">
      <formula>$AE$56=4</formula>
    </cfRule>
  </conditionalFormatting>
  <conditionalFormatting sqref="AN71:AO71">
    <cfRule type="expression" dxfId="47" priority="95">
      <formula>$AE$67=1</formula>
    </cfRule>
  </conditionalFormatting>
  <conditionalFormatting sqref="AN72:AO72">
    <cfRule type="expression" dxfId="46" priority="98">
      <formula>$AE$67=2</formula>
    </cfRule>
  </conditionalFormatting>
  <conditionalFormatting sqref="AN73:AO73">
    <cfRule type="expression" dxfId="45" priority="101">
      <formula>$AE$67=3</formula>
    </cfRule>
  </conditionalFormatting>
  <conditionalFormatting sqref="AN74:AO74">
    <cfRule type="expression" dxfId="44" priority="104">
      <formula>$AE$67=4</formula>
    </cfRule>
  </conditionalFormatting>
  <conditionalFormatting sqref="AN82:AO82">
    <cfRule type="expression" dxfId="43" priority="82">
      <formula>$AE$78=1</formula>
    </cfRule>
  </conditionalFormatting>
  <conditionalFormatting sqref="AN83:AO83">
    <cfRule type="expression" dxfId="42" priority="83">
      <formula>$AE$78=2</formula>
    </cfRule>
  </conditionalFormatting>
  <conditionalFormatting sqref="AN84:AO84">
    <cfRule type="expression" dxfId="41" priority="81">
      <formula>$AE$78=3</formula>
    </cfRule>
  </conditionalFormatting>
  <conditionalFormatting sqref="AN85:AO85">
    <cfRule type="expression" dxfId="40" priority="80">
      <formula>$AE$78=4</formula>
    </cfRule>
  </conditionalFormatting>
  <conditionalFormatting sqref="AN93:AO93">
    <cfRule type="expression" dxfId="39" priority="62">
      <formula>$AE$89=1</formula>
    </cfRule>
  </conditionalFormatting>
  <conditionalFormatting sqref="AN94:AO94">
    <cfRule type="expression" dxfId="38" priority="65">
      <formula>$AE$89=2</formula>
    </cfRule>
  </conditionalFormatting>
  <conditionalFormatting sqref="AN95:AO95">
    <cfRule type="expression" dxfId="37" priority="68">
      <formula>$AE$89=3</formula>
    </cfRule>
  </conditionalFormatting>
  <conditionalFormatting sqref="AN96:AO96">
    <cfRule type="expression" dxfId="36" priority="71">
      <formula>$AE$89=4</formula>
    </cfRule>
  </conditionalFormatting>
  <conditionalFormatting sqref="AP60:AQ60">
    <cfRule type="expression" dxfId="35" priority="27">
      <formula>$AG$56=1</formula>
    </cfRule>
  </conditionalFormatting>
  <conditionalFormatting sqref="AP61:AQ61">
    <cfRule type="expression" dxfId="34" priority="31">
      <formula>$AG$56=2</formula>
    </cfRule>
  </conditionalFormatting>
  <conditionalFormatting sqref="AP62:AQ62">
    <cfRule type="expression" dxfId="33" priority="35">
      <formula>$AG$56=3</formula>
    </cfRule>
  </conditionalFormatting>
  <conditionalFormatting sqref="AP63:AQ63">
    <cfRule type="expression" dxfId="32" priority="39">
      <formula>$AG$56=4</formula>
    </cfRule>
  </conditionalFormatting>
  <conditionalFormatting sqref="AP71:AQ71">
    <cfRule type="expression" dxfId="31" priority="94">
      <formula>$AG$67=1</formula>
    </cfRule>
  </conditionalFormatting>
  <conditionalFormatting sqref="AP72:AQ72">
    <cfRule type="expression" dxfId="30" priority="97">
      <formula>$AG$67=2</formula>
    </cfRule>
  </conditionalFormatting>
  <conditionalFormatting sqref="AP73:AQ73">
    <cfRule type="expression" dxfId="29" priority="100">
      <formula>$AG$67=3</formula>
    </cfRule>
  </conditionalFormatting>
  <conditionalFormatting sqref="AP74:AQ74">
    <cfRule type="expression" dxfId="28" priority="103">
      <formula>$AG$67=4</formula>
    </cfRule>
  </conditionalFormatting>
  <conditionalFormatting sqref="AP82:AQ82">
    <cfRule type="expression" dxfId="27" priority="78">
      <formula>$AG$78=1</formula>
    </cfRule>
  </conditionalFormatting>
  <conditionalFormatting sqref="AP83:AQ83">
    <cfRule type="expression" dxfId="26" priority="79">
      <formula>$AG$78=2</formula>
    </cfRule>
  </conditionalFormatting>
  <conditionalFormatting sqref="AP84:AQ84">
    <cfRule type="expression" dxfId="25" priority="77">
      <formula>$AG$78=3</formula>
    </cfRule>
  </conditionalFormatting>
  <conditionalFormatting sqref="AP85:AQ85">
    <cfRule type="expression" dxfId="24" priority="76">
      <formula>$AG$78=4</formula>
    </cfRule>
  </conditionalFormatting>
  <conditionalFormatting sqref="AP93:AQ93">
    <cfRule type="expression" dxfId="23" priority="61">
      <formula>$AG$89=1</formula>
    </cfRule>
  </conditionalFormatting>
  <conditionalFormatting sqref="AP94:AQ94">
    <cfRule type="expression" dxfId="22" priority="64">
      <formula>$AG$89=2</formula>
    </cfRule>
  </conditionalFormatting>
  <conditionalFormatting sqref="AP95:AQ95">
    <cfRule type="expression" dxfId="21" priority="67">
      <formula>$AG$89=3</formula>
    </cfRule>
  </conditionalFormatting>
  <conditionalFormatting sqref="AP96:AQ96">
    <cfRule type="expression" dxfId="20" priority="70">
      <formula>$AG$89=4</formula>
    </cfRule>
  </conditionalFormatting>
  <conditionalFormatting sqref="AR60:AS60">
    <cfRule type="expression" dxfId="19" priority="26">
      <formula>$AI$56=1</formula>
    </cfRule>
  </conditionalFormatting>
  <conditionalFormatting sqref="AR61:AS61">
    <cfRule type="expression" dxfId="18" priority="30">
      <formula>$AI$56=2</formula>
    </cfRule>
  </conditionalFormatting>
  <conditionalFormatting sqref="AR62:AS62">
    <cfRule type="expression" dxfId="17" priority="34">
      <formula>$AI$56=3</formula>
    </cfRule>
  </conditionalFormatting>
  <conditionalFormatting sqref="AR63:AS63">
    <cfRule type="expression" dxfId="16" priority="38">
      <formula>$AI$56=4</formula>
    </cfRule>
  </conditionalFormatting>
  <conditionalFormatting sqref="AR71:AS71">
    <cfRule type="expression" dxfId="15" priority="93">
      <formula>$AI$67=1</formula>
    </cfRule>
  </conditionalFormatting>
  <conditionalFormatting sqref="AR72:AS72">
    <cfRule type="expression" dxfId="14" priority="96">
      <formula>$AI$67=2</formula>
    </cfRule>
  </conditionalFormatting>
  <conditionalFormatting sqref="AR73:AS73">
    <cfRule type="expression" dxfId="13" priority="99">
      <formula>$AI$67=3</formula>
    </cfRule>
  </conditionalFormatting>
  <conditionalFormatting sqref="AR74:AS74">
    <cfRule type="expression" dxfId="12" priority="102">
      <formula>$AI$67=4</formula>
    </cfRule>
  </conditionalFormatting>
  <conditionalFormatting sqref="AR82:AS82">
    <cfRule type="expression" dxfId="11" priority="74">
      <formula>$AI$78=1</formula>
    </cfRule>
  </conditionalFormatting>
  <conditionalFormatting sqref="AR83:AS83">
    <cfRule type="expression" dxfId="10" priority="75">
      <formula>$AI$78=2</formula>
    </cfRule>
  </conditionalFormatting>
  <conditionalFormatting sqref="AR84:AS84">
    <cfRule type="expression" dxfId="9" priority="73">
      <formula>$AI$78=3</formula>
    </cfRule>
  </conditionalFormatting>
  <conditionalFormatting sqref="AR85:AS85">
    <cfRule type="expression" dxfId="8" priority="72">
      <formula>$AI$78=4</formula>
    </cfRule>
  </conditionalFormatting>
  <conditionalFormatting sqref="AR93:AS93">
    <cfRule type="expression" dxfId="7" priority="60">
      <formula>$AI$89=1</formula>
    </cfRule>
  </conditionalFormatting>
  <conditionalFormatting sqref="AR94:AS94">
    <cfRule type="expression" dxfId="6" priority="63">
      <formula>$AI$89=2</formula>
    </cfRule>
  </conditionalFormatting>
  <conditionalFormatting sqref="AR95:AS95">
    <cfRule type="expression" dxfId="5" priority="66">
      <formula>$AI$89=3</formula>
    </cfRule>
  </conditionalFormatting>
  <conditionalFormatting sqref="AR96:AS96">
    <cfRule type="expression" dxfId="4" priority="69">
      <formula>$AI$89=4</formula>
    </cfRule>
  </conditionalFormatting>
  <conditionalFormatting sqref="AT60:AU60">
    <cfRule type="expression" dxfId="3" priority="25">
      <formula>$AK$56=1</formula>
    </cfRule>
  </conditionalFormatting>
  <conditionalFormatting sqref="AT61:AU61">
    <cfRule type="expression" dxfId="2" priority="29">
      <formula>$AK$56=2</formula>
    </cfRule>
  </conditionalFormatting>
  <conditionalFormatting sqref="AT62:AU62">
    <cfRule type="expression" dxfId="1" priority="33">
      <formula>$AK$56=3</formula>
    </cfRule>
  </conditionalFormatting>
  <conditionalFormatting sqref="AT63:AU63">
    <cfRule type="expression" dxfId="0" priority="37">
      <formula>$AK$56=4</formula>
    </cfRule>
  </conditionalFormatting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49"/>
  <sheetViews>
    <sheetView zoomScaleNormal="100" workbookViewId="0">
      <selection sqref="A1:C1"/>
    </sheetView>
  </sheetViews>
  <sheetFormatPr defaultRowHeight="15" x14ac:dyDescent="0.25"/>
  <cols>
    <col min="1" max="5" width="12.7109375" customWidth="1"/>
    <col min="6" max="6" width="12.85546875" customWidth="1"/>
    <col min="7" max="7" width="15.140625" customWidth="1"/>
    <col min="8" max="8" width="18" customWidth="1"/>
    <col min="14" max="17" width="0" hidden="1"/>
  </cols>
  <sheetData>
    <row r="1" spans="1:17" ht="15.75" customHeight="1" thickBot="1" x14ac:dyDescent="0.3">
      <c r="A1" s="977" t="s">
        <v>414</v>
      </c>
      <c r="B1" s="830"/>
      <c r="C1" s="830"/>
    </row>
    <row r="2" spans="1:17" x14ac:dyDescent="0.25">
      <c r="D2" s="294">
        <v>2</v>
      </c>
      <c r="N2" s="263" t="s">
        <v>4</v>
      </c>
      <c r="O2" s="264"/>
      <c r="P2" s="264"/>
      <c r="Q2" s="264"/>
    </row>
    <row r="3" spans="1:17" x14ac:dyDescent="0.25">
      <c r="B3" s="831" t="s">
        <v>415</v>
      </c>
      <c r="C3" s="832"/>
      <c r="D3" s="831" t="s">
        <v>416</v>
      </c>
      <c r="E3" s="832"/>
      <c r="F3" s="116" t="s">
        <v>27</v>
      </c>
      <c r="G3" s="116" t="s">
        <v>417</v>
      </c>
      <c r="H3" s="116" t="s">
        <v>46</v>
      </c>
      <c r="N3" s="266"/>
      <c r="O3" s="267"/>
      <c r="P3" s="267"/>
      <c r="Q3" s="267"/>
    </row>
    <row r="4" spans="1:17" x14ac:dyDescent="0.25">
      <c r="A4" s="296" t="s">
        <v>418</v>
      </c>
      <c r="B4" s="206">
        <v>40.258710000000001</v>
      </c>
      <c r="C4" s="206">
        <v>109.93485</v>
      </c>
      <c r="D4" s="295">
        <f>IF(AND(ISNUMBER($B4),ISNUMBER($C4)),IF($D$2=1,(($O$19-($B4-$O$16)*($O$27+($B4-$O$16)*($O$28+($B4-$O$16)*($O$29+($B4-$O$16)*$O$30))))*SIN(RADIANS(((111.5-$C4)*$O$17)))+$O$13)*3937/1200,IF($D$2=2,(($P$19-($B4-$P$16)*($P$27+($B4-$P$16)*($P$28+($B4-$P$16)*($P$29+($B4-$P$16)*$P$30))))*SIN(RADIANS(((111.5-$C4)*$P$17)))+$P$13)*3937/1200,(($Q$19-($B4-$Q$16)*($Q$27+($B4-$Q$16)*($Q$28+($B4-$Q$16)*($Q$29+($B4-$Q$16)*$Q$30))))*SIN(RADIANS(((111.5-$C4)*$Q$17)))+$Q$13)*3937/1200)),"")</f>
        <v>2077199.9112657658</v>
      </c>
      <c r="E4" s="295">
        <f>IF(AND(ISNUMBER($B4),ISNUMBER($C4)),IF($D$2=1,(($B4-$O$16)*($O$27+($B4-$O$16)*($O$28+($B4-$O$16)*($O$29+($B4-$O$16)*$O$30)))+($O$19-($B4-$O$16)*($O$27+($B4-$O$16)*($O$28+($B4-$O$16)*($O$29+($B4-$O$16)*$O$30))))*SIN(RADIANS(((111.5-$C4)*$O$17)))*TAN(RADIANS(((111.5-$C4)*$O$17))/2)+$O$20)*3937/1200,IF($D$2=2,(($B4-$P$16)*($P$27+($B4-$P$16)*($P$28+($B4-$P$16)*($P$29+($B4-$P$16)*$P$30)))+($P$19-($B4-$P$16)*($P$27+($B4-$P$16)*($P$28+($B4-$P$16)*($P$29+($B4-$P$16)*$P$30))))*SIN(RADIANS(((111.5-$C4)*$P$17)))*TAN(RADIANS(((111.5-$C4)*$P$17))/2)+$P$20)*3937/1200,(($B4-$Q$16)*($Q$27+($B4-$Q$16)*($Q$28+($B4-$Q$16)*($Q$29+($B4-$Q$16)*$Q$30)))+($Q$19-($B4-$Q$16)*($Q$27+($B4-$Q$16)*($Q$28+($B4-$Q$16)*($Q$29+($B4-$Q$16)*$Q$30))))*SIN(RADIANS(((111.5-$C4)*$Q$17)))*TAN(RADIANS(((111.5-$C4)*$Q$17))/2)+$Q$20)*3937/1200)),"")</f>
        <v>7266783.6889264835</v>
      </c>
      <c r="F4" s="207"/>
      <c r="G4" s="208"/>
      <c r="H4" s="763"/>
      <c r="N4" s="269"/>
      <c r="O4" s="270"/>
      <c r="P4" s="270"/>
      <c r="Q4" s="270"/>
    </row>
    <row r="5" spans="1:17" x14ac:dyDescent="0.25">
      <c r="A5" s="296" t="s">
        <v>419</v>
      </c>
      <c r="B5" s="206">
        <v>40.254710000000003</v>
      </c>
      <c r="C5" s="206">
        <v>109.93489</v>
      </c>
      <c r="D5" s="295">
        <f>IF(AND(ISNUMBER($B5),ISNUMBER($C5)),IF($D$2=1,(($O$19-($B5-$O$16)*($O$27+($B5-$O$16)*($O$28+($B5-$O$16)*($O$29+($B5-$O$16)*$O$30))))*SIN(RADIANS(((111.5-$C5)*$O$17)))+$O$13)*3937/1200,IF($D$2=2,(($P$19-($B5-$P$16)*($P$27+($B5-$P$16)*($P$28+($B5-$P$16)*($P$29+($B5-$P$16)*$P$30))))*SIN(RADIANS(((111.5-$C5)*$P$17)))+$P$13)*3937/1200,(($Q$19-($B5-$Q$16)*($Q$27+($B5-$Q$16)*($Q$28+($B5-$Q$16)*($Q$29+($B5-$Q$16)*$Q$30))))*SIN(RADIANS(((111.5-$C5)*$Q$17)))+$Q$13)*3937/1200)),"")</f>
        <v>2077214.2451091774</v>
      </c>
      <c r="E5" s="295">
        <f>IF(AND(ISNUMBER($B5),ISNUMBER($C5)),IF($D$2=1,(($B5-$O$16)*($O$27+($B5-$O$16)*($O$28+($B5-$O$16)*($O$29+($B5-$O$16)*$O$30)))+($O$19-($B5-$O$16)*($O$27+($B5-$O$16)*($O$28+($B5-$O$16)*($O$29+($B5-$O$16)*$O$30))))*SIN(RADIANS(((111.5-$C5)*$O$17)))*TAN(RADIANS(((111.5-$C5)*$O$17))/2)+$O$20)*3937/1200,IF($D$2=2,(($B5-$P$16)*($P$27+($B5-$P$16)*($P$28+($B5-$P$16)*($P$29+($B5-$P$16)*$P$30)))+($P$19-($B5-$P$16)*($P$27+($B5-$P$16)*($P$28+($B5-$P$16)*($P$29+($B5-$P$16)*$P$30))))*SIN(RADIANS(((111.5-$C5)*$P$17)))*TAN(RADIANS(((111.5-$C5)*$P$17))/2)+$P$20)*3937/1200,(($B5-$Q$16)*($Q$27+($B5-$Q$16)*($Q$28+($B5-$Q$16)*($Q$29+($B5-$Q$16)*$Q$30)))+($Q$19-($B5-$Q$16)*($Q$27+($B5-$Q$16)*($Q$28+($B5-$Q$16)*($Q$29+($B5-$Q$16)*$Q$30))))*SIN(RADIANS(((111.5-$C5)*$Q$17)))*TAN(RADIANS(((111.5-$C5)*$Q$17))/2)+$Q$20)*3937/1200)),"")</f>
        <v>7265326.6154151121</v>
      </c>
      <c r="F5" s="209">
        <f>((D4-D5)^2+(E4-E5)^2)^0.5</f>
        <v>1457.1440136812487</v>
      </c>
      <c r="G5" s="210">
        <f>ROUND(DEGREES(ATAN((D4-D5)/(E4-E5))),7)</f>
        <v>-0.56362440000000003</v>
      </c>
      <c r="H5" s="211" t="str">
        <f>IF((D4-D5)/(E4-E5)&lt;0,CONCATENATE("N ",ABS(TRUNC(G5)),$P$44,ABS(TRUNC((G5-TRUNC(G5))*60)),"' ",ROUND(ABS((G5-TRUNC(G5))*60-TRUNC((G5-TRUNC(G5))*60))*60,2),$Q$44,"W"),CONCATENATE("N ",ABS(TRUNC(G5)),$P$44,ABS(TRUNC((G5-TRUNC(G5))*60)),"' ",ROUND(ABS((G5-TRUNC(G5))*60-TRUNC((G5-TRUNC(G5))*60))*60,2),$Q$44,"E"))</f>
        <v>N 0° 33' 49.05" W</v>
      </c>
      <c r="N5" s="269"/>
      <c r="O5" s="270"/>
      <c r="P5" s="270"/>
      <c r="Q5" s="270"/>
    </row>
    <row r="6" spans="1:17" ht="45" customHeight="1" x14ac:dyDescent="0.25">
      <c r="A6" s="296" t="s">
        <v>420</v>
      </c>
      <c r="B6" s="206">
        <v>40.251109999999997</v>
      </c>
      <c r="C6" s="206">
        <v>109.9349</v>
      </c>
      <c r="D6" s="295">
        <f>IF(AND(ISNUMBER($B6),ISNUMBER($C6)),IF($D$2=1,(($O$19-($B6-$O$16)*($O$27+($B6-$O$16)*($O$28+($B6-$O$16)*($O$29+($B6-$O$16)*$O$30))))*SIN(RADIANS(((111.5-$C6)*$O$17)))+$O$13)*3937/1200,IF($D$2=2,(($P$19-($B6-$P$16)*($P$27+($B6-$P$16)*($P$28+($B6-$P$16)*($P$29+($B6-$P$16)*$P$30))))*SIN(RADIANS(((111.5-$C6)*$P$17)))+$P$13)*3937/1200,(($Q$19-($B6-$Q$16)*($Q$27+($B6-$Q$16)*($Q$28+($B6-$Q$16)*($Q$29+($B6-$Q$16)*$Q$30))))*SIN(RADIANS(((111.5-$C6)*$Q$17)))+$Q$13)*3937/1200)),"")</f>
        <v>2077234.4002593369</v>
      </c>
      <c r="E6" s="295">
        <f>IF(AND(ISNUMBER($B6),ISNUMBER($C6)),IF($D$2=1,(($B6-$O$16)*($O$27+($B6-$O$16)*($O$28+($B6-$O$16)*($O$29+($B6-$O$16)*$O$30)))+($O$19-($B6-$O$16)*($O$27+($B6-$O$16)*($O$28+($B6-$O$16)*($O$29+($B6-$O$16)*$O$30))))*SIN(RADIANS(((111.5-$C6)*$O$17)))*TAN(RADIANS(((111.5-$C6)*$O$17))/2)+$O$20)*3937/1200,IF($D$2=2,(($B6-$P$16)*($P$27+($B6-$P$16)*($P$28+($B6-$P$16)*($P$29+($B6-$P$16)*$P$30)))+($P$19-($B6-$P$16)*($P$27+($B6-$P$16)*($P$28+($B6-$P$16)*($P$29+($B6-$P$16)*$P$30))))*SIN(RADIANS(((111.5-$C6)*$P$17)))*TAN(RADIANS(((111.5-$C6)*$P$17))/2)+$P$20)*3937/1200,(($B6-$Q$16)*($Q$27+($B6-$Q$16)*($Q$28+($B6-$Q$16)*($Q$29+($B6-$Q$16)*$Q$30)))+($Q$19-($B6-$Q$16)*($Q$27+($B6-$Q$16)*($Q$28+($B6-$Q$16)*($Q$29+($B6-$Q$16)*$Q$30))))*SIN(RADIANS(((111.5-$C6)*$Q$17)))*TAN(RADIANS(((111.5-$C6)*$Q$17))/2)+$Q$20)*3937/1200)),"")</f>
        <v>7264015.377715664</v>
      </c>
      <c r="F6" s="209">
        <f>((D5-D6)^2+(E5-E6)^2)^0.5</f>
        <v>1311.3925935935351</v>
      </c>
      <c r="G6" s="210">
        <f>ROUND(DEGREES(ATAN((D5-D6)/(E5-E6))),7)</f>
        <v>-0.88062910000000005</v>
      </c>
      <c r="H6" s="211" t="str">
        <f>IF((D5-D6)/(E5-E6)&lt;0,CONCATENATE("N ",ABS(TRUNC(G6)),$P$44,ABS(TRUNC((G6-TRUNC(G6))*60)),"' ",ROUND(ABS((G6-TRUNC(G6))*60-TRUNC((G6-TRUNC(G6))*60))*60,2),$Q$44,"W"),CONCATENATE("N ",ABS(TRUNC(G6)),$P$44,ABS(TRUNC((G6-TRUNC(G6))*60)),"' ",ROUND(ABS((G6-TRUNC(G6))*60-TRUNC((G6-TRUNC(G6))*60))*60,2),$Q$44,"E"))</f>
        <v>N 0° 52' 50.26" W</v>
      </c>
      <c r="N6" s="269"/>
      <c r="O6" s="271" t="s">
        <v>22</v>
      </c>
      <c r="P6" s="271" t="s">
        <v>23</v>
      </c>
      <c r="Q6" s="271" t="s">
        <v>24</v>
      </c>
    </row>
    <row r="7" spans="1:17" x14ac:dyDescent="0.25">
      <c r="A7" s="296" t="s">
        <v>421</v>
      </c>
      <c r="B7" s="206">
        <v>40.243899999999996</v>
      </c>
      <c r="C7" s="206">
        <v>109.93492999999999</v>
      </c>
      <c r="D7" s="295">
        <f>IF(AND(ISNUMBER($B7),ISNUMBER($C7)),IF($D$2=1,(($O$19-($B7-$O$16)*($O$27+($B7-$O$16)*($O$28+($B7-$O$16)*($O$29+($B7-$O$16)*$O$30))))*SIN(RADIANS(((111.5-$C7)*$O$17)))+$O$13)*3937/1200,IF($D$2=2,(($P$19-($B7-$P$16)*($P$27+($B7-$P$16)*($P$28+($B7-$P$16)*($P$29+($B7-$P$16)*$P$30))))*SIN(RADIANS(((111.5-$C7)*$P$17)))+$P$13)*3937/1200,(($Q$19-($B7-$Q$16)*($Q$27+($B7-$Q$16)*($Q$28+($B7-$Q$16)*($Q$29+($B7-$Q$16)*$Q$30))))*SIN(RADIANS(((111.5-$C7)*$Q$17)))+$Q$13)*3937/1200)),"")</f>
        <v>2077271.9823448772</v>
      </c>
      <c r="E7" s="295">
        <f>IF(AND(ISNUMBER($B7),ISNUMBER($C7)),IF($D$2=1,(($B7-$O$16)*($O$27+($B7-$O$16)*($O$28+($B7-$O$16)*($O$29+($B7-$O$16)*$O$30)))+($O$19-($B7-$O$16)*($O$27+($B7-$O$16)*($O$28+($B7-$O$16)*($O$29+($B7-$O$16)*$O$30))))*SIN(RADIANS(((111.5-$C7)*$O$17)))*TAN(RADIANS(((111.5-$C7)*$O$17))/2)+$O$20)*3937/1200,IF($D$2=2,(($B7-$P$16)*($P$27+($B7-$P$16)*($P$28+($B7-$P$16)*($P$29+($B7-$P$16)*$P$30)))+($P$19-($B7-$P$16)*($P$27+($B7-$P$16)*($P$28+($B7-$P$16)*($P$29+($B7-$P$16)*$P$30))))*SIN(RADIANS(((111.5-$C7)*$P$17)))*TAN(RADIANS(((111.5-$C7)*$P$17))/2)+$P$20)*3937/1200,(($B7-$Q$16)*($Q$27+($B7-$Q$16)*($Q$28+($B7-$Q$16)*($Q$29+($B7-$Q$16)*$Q$30)))+($Q$19-($B7-$Q$16)*($Q$27+($B7-$Q$16)*($Q$28+($B7-$Q$16)*($Q$29+($B7-$Q$16)*$Q$30))))*SIN(RADIANS(((111.5-$C7)*$Q$17)))*TAN(RADIANS(((111.5-$C7)*$Q$17))/2)+$Q$20)*3937/1200)),"")</f>
        <v>7261389.2155226767</v>
      </c>
      <c r="F7" s="209">
        <f>((D6-D7)^2+(E6-E7)^2)^0.5</f>
        <v>2626.4310912394612</v>
      </c>
      <c r="G7" s="210">
        <f>ROUND(DEGREES(ATAN((D6-D7)/(E6-E7))),7)</f>
        <v>-0.81988380000000005</v>
      </c>
      <c r="H7" s="211" t="str">
        <f>IF((D6-D7)/(E6-E7)&lt;0,CONCATENATE("N ",ABS(TRUNC(G7)),$P$44,ABS(TRUNC((G7-TRUNC(G7))*60)),"' ",ROUND(ABS((G7-TRUNC(G7))*60-TRUNC((G7-TRUNC(G7))*60))*60,2),$Q$44,"W"),CONCATENATE("N ",ABS(TRUNC(G7)),$P$44,ABS(TRUNC((G7-TRUNC(G7))*60)),"' ",ROUND(ABS((G7-TRUNC(G7))*60-TRUNC((G7-TRUNC(G7))*60))*60,2),$Q$44,"E"))</f>
        <v>N 0° 49' 11.58" W</v>
      </c>
      <c r="N7" s="272" t="s">
        <v>31</v>
      </c>
      <c r="O7" s="267"/>
      <c r="P7" s="267"/>
      <c r="Q7" s="267"/>
    </row>
    <row r="8" spans="1:17" x14ac:dyDescent="0.25">
      <c r="B8" s="212"/>
      <c r="C8" s="212"/>
      <c r="D8" s="295"/>
      <c r="E8" s="295"/>
      <c r="F8" s="209"/>
      <c r="G8" s="210"/>
      <c r="H8" s="211"/>
      <c r="N8" s="269" t="s">
        <v>35</v>
      </c>
      <c r="O8" s="273">
        <v>1.6965277777777781</v>
      </c>
      <c r="P8" s="273">
        <v>1.625694444444445</v>
      </c>
      <c r="Q8" s="273">
        <v>1.5506944444444439</v>
      </c>
    </row>
    <row r="9" spans="1:17" x14ac:dyDescent="0.25">
      <c r="A9" s="296" t="s">
        <v>419</v>
      </c>
      <c r="B9" s="206">
        <v>40.254710000000003</v>
      </c>
      <c r="C9" s="206">
        <v>109.93489</v>
      </c>
      <c r="D9" s="295">
        <f>IF(AND(ISNUMBER($B9),ISNUMBER($C9)),IF($D$2=1,(($O$19-($B9-$O$16)*($O$27+($B9-$O$16)*($O$28+($B9-$O$16)*($O$29+($B9-$O$16)*$O$30))))*SIN(RADIANS(((111.5-$C9)*$O$17)))+$O$13)*3937/1200,IF($D$2=2,(($P$19-($B9-$P$16)*($P$27+($B9-$P$16)*($P$28+($B9-$P$16)*($P$29+($B9-$P$16)*$P$30))))*SIN(RADIANS(((111.5-$C9)*$P$17)))+$P$13)*3937/1200,(($Q$19-($B9-$Q$16)*($Q$27+($B9-$Q$16)*($Q$28+($B9-$Q$16)*($Q$29+($B9-$Q$16)*$Q$30))))*SIN(RADIANS(((111.5-$C9)*$Q$17)))+$Q$13)*3937/1200)),"")</f>
        <v>2077214.2451091774</v>
      </c>
      <c r="E9" s="295">
        <f>IF(AND(ISNUMBER($B9),ISNUMBER($C9)),IF($D$2=1,(($B9-$O$16)*($O$27+($B9-$O$16)*($O$28+($B9-$O$16)*($O$29+($B9-$O$16)*$O$30)))+($O$19-($B9-$O$16)*($O$27+($B9-$O$16)*($O$28+($B9-$O$16)*($O$29+($B9-$O$16)*$O$30))))*SIN(RADIANS(((111.5-$C9)*$O$17)))*TAN(RADIANS(((111.5-$C9)*$O$17))/2)+$O$20)*3937/1200,IF($D$2=2,(($B9-$P$16)*($P$27+($B9-$P$16)*($P$28+($B9-$P$16)*($P$29+($B9-$P$16)*$P$30)))+($P$19-($B9-$P$16)*($P$27+($B9-$P$16)*($P$28+($B9-$P$16)*($P$29+($B9-$P$16)*$P$30))))*SIN(RADIANS(((111.5-$C9)*$P$17)))*TAN(RADIANS(((111.5-$C9)*$P$17))/2)+$P$20)*3937/1200,(($B9-$Q$16)*($Q$27+($B9-$Q$16)*($Q$28+($B9-$Q$16)*($Q$29+($B9-$Q$16)*$Q$30)))+($Q$19-($B9-$Q$16)*($Q$27+($B9-$Q$16)*($Q$28+($B9-$Q$16)*($Q$29+($B9-$Q$16)*$Q$30))))*SIN(RADIANS(((111.5-$C9)*$Q$17)))*TAN(RADIANS(((111.5-$C9)*$Q$17))/2)+$Q$20)*3937/1200)),"")</f>
        <v>7265326.6154151121</v>
      </c>
      <c r="F9" s="209"/>
      <c r="G9" s="210"/>
      <c r="H9" s="211"/>
      <c r="N9" s="269" t="s">
        <v>38</v>
      </c>
      <c r="O9" s="273">
        <v>1.7409722222222219</v>
      </c>
      <c r="P9" s="273">
        <v>1.6937500000000001</v>
      </c>
      <c r="Q9" s="273">
        <v>1.5979166666666671</v>
      </c>
    </row>
    <row r="10" spans="1:17" x14ac:dyDescent="0.25">
      <c r="A10" s="296" t="s">
        <v>421</v>
      </c>
      <c r="B10" s="206">
        <v>40.243899999999996</v>
      </c>
      <c r="C10" s="206">
        <v>109.93492999999999</v>
      </c>
      <c r="D10" s="295">
        <f>IF(AND(ISNUMBER($B10),ISNUMBER($C10)),IF($D$2=1,(($O$19-($B10-$O$16)*($O$27+($B10-$O$16)*($O$28+($B10-$O$16)*($O$29+($B10-$O$16)*$O$30))))*SIN(RADIANS(((111.5-$C10)*$O$17)))+$O$13)*3937/1200,IF($D$2=2,(($P$19-($B10-$P$16)*($P$27+($B10-$P$16)*($P$28+($B10-$P$16)*($P$29+($B10-$P$16)*$P$30))))*SIN(RADIANS(((111.5-$C10)*$P$17)))+$P$13)*3937/1200,(($Q$19-($B10-$Q$16)*($Q$27+($B10-$Q$16)*($Q$28+($B10-$Q$16)*($Q$29+($B10-$Q$16)*$Q$30))))*SIN(RADIANS(((111.5-$C10)*$Q$17)))+$Q$13)*3937/1200)),"")</f>
        <v>2077271.9823448772</v>
      </c>
      <c r="E10" s="295">
        <f>IF(AND(ISNUMBER($B10),ISNUMBER($C10)),IF($D$2=1,(($B10-$O$16)*($O$27+($B10-$O$16)*($O$28+($B10-$O$16)*($O$29+($B10-$O$16)*$O$30)))+($O$19-($B10-$O$16)*($O$27+($B10-$O$16)*($O$28+($B10-$O$16)*($O$29+($B10-$O$16)*$O$30))))*SIN(RADIANS(((111.5-$C10)*$O$17)))*TAN(RADIANS(((111.5-$C10)*$O$17))/2)+$O$20)*3937/1200,IF($D$2=2,(($B10-$P$16)*($P$27+($B10-$P$16)*($P$28+($B10-$P$16)*($P$29+($B10-$P$16)*$P$30)))+($P$19-($B10-$P$16)*($P$27+($B10-$P$16)*($P$28+($B10-$P$16)*($P$29+($B10-$P$16)*$P$30))))*SIN(RADIANS(((111.5-$C10)*$P$17)))*TAN(RADIANS(((111.5-$C10)*$P$17))/2)+$P$20)*3937/1200,(($B10-$Q$16)*($Q$27+($B10-$Q$16)*($Q$28+($B10-$Q$16)*($Q$29+($B10-$Q$16)*$Q$30)))+($Q$19-($B10-$Q$16)*($Q$27+($B10-$Q$16)*($Q$28+($B10-$Q$16)*($Q$29+($B10-$Q$16)*$Q$30))))*SIN(RADIANS(((111.5-$C10)*$Q$17)))*TAN(RADIANS(((111.5-$C10)*$Q$17))/2)+$Q$20)*3937/1200)),"")</f>
        <v>7261389.2155226767</v>
      </c>
      <c r="F10" s="209">
        <f>((D9-D10)^2+(E9-E10)^2)^0.5</f>
        <v>3937.8231932549515</v>
      </c>
      <c r="G10" s="210">
        <f>ROUND(DEGREES(ATAN((D9-D10)/(E9-E10))),7)</f>
        <v>-0.84011349999999996</v>
      </c>
      <c r="H10" s="211" t="str">
        <f>IF((D9-D10)/(E9-E10)&lt;0,CONCATENATE("N ",ABS(TRUNC(G10)),$P$44,ABS(TRUNC((G10-TRUNC(G10))*60)),"' ",ROUND(ABS((G10-TRUNC(G10))*60-TRUNC((G10-TRUNC(G10))*60))*60,2),$Q$44,"W"),CONCATENATE("N ",ABS(TRUNC(G10)),$P$44,ABS(TRUNC((G10-TRUNC(G10))*60)),"' ",ROUND(ABS((G10-TRUNC(G10))*60-TRUNC((G10-TRUNC(G10))*60))*60,2),$Q$44,"E"))</f>
        <v>N 0° 50' 24.41" W</v>
      </c>
      <c r="N10" s="269" t="s">
        <v>42</v>
      </c>
      <c r="O10" s="273">
        <v>1.680555555555556</v>
      </c>
      <c r="P10" s="273">
        <v>1.5972222222222221</v>
      </c>
      <c r="Q10" s="273">
        <v>1.5277777777777779</v>
      </c>
    </row>
    <row r="11" spans="1:17" x14ac:dyDescent="0.25">
      <c r="B11" s="212"/>
      <c r="C11" s="212"/>
      <c r="D11" s="295"/>
      <c r="E11" s="295"/>
      <c r="F11" s="209"/>
      <c r="G11" s="210"/>
      <c r="H11" s="211"/>
      <c r="N11" s="269" t="s">
        <v>47</v>
      </c>
      <c r="O11" s="273">
        <v>4.645833333333333</v>
      </c>
      <c r="P11" s="273">
        <v>4.645833333333333</v>
      </c>
      <c r="Q11" s="273">
        <v>4.645833333333333</v>
      </c>
    </row>
    <row r="12" spans="1:17" x14ac:dyDescent="0.25">
      <c r="A12" s="296" t="s">
        <v>418</v>
      </c>
      <c r="B12" s="206">
        <v>40.215300000000013</v>
      </c>
      <c r="C12" s="206">
        <v>109.97279166666669</v>
      </c>
      <c r="D12" s="295">
        <f>IF(AND(ISNUMBER($B12),ISNUMBER($C12)),IF($D$2=1,(($O$19-($B12-$O$16)*($O$27+($B12-$O$16)*($O$28+($B12-$O$16)*($O$29+($B12-$O$16)*$O$30))))*SIN(RADIANS(((111.5-$C12)*$O$17)))+$O$13)*3937/1200,IF($D$2=2,(($P$19-($B12-$P$16)*($P$27+($B12-$P$16)*($P$28+($B12-$P$16)*($P$29+($B12-$P$16)*$P$30))))*SIN(RADIANS(((111.5-$C12)*$P$17)))+$P$13)*3937/1200,(($Q$19-($B12-$Q$16)*($Q$27+($B12-$Q$16)*($Q$28+($B12-$Q$16)*($Q$29+($B12-$Q$16)*$Q$30))))*SIN(RADIANS(((111.5-$C12)*$Q$17)))+$Q$13)*3937/1200)),"")</f>
        <v>2066882.6365492309</v>
      </c>
      <c r="E12" s="295">
        <f>IF(AND(ISNUMBER($B12),ISNUMBER($C12)),IF($D$2=1,(($B12-$O$16)*($O$27+($B12-$O$16)*($O$28+($B12-$O$16)*($O$29+($B12-$O$16)*$O$30)))+($O$19-($B12-$O$16)*($O$27+($B12-$O$16)*($O$28+($B12-$O$16)*($O$29+($B12-$O$16)*$O$30))))*SIN(RADIANS(((111.5-$C12)*$O$17)))*TAN(RADIANS(((111.5-$C12)*$O$17))/2)+$O$20)*3937/1200,IF($D$2=2,(($B12-$P$16)*($P$27+($B12-$P$16)*($P$28+($B12-$P$16)*($P$29+($B12-$P$16)*$P$30)))+($P$19-($B12-$P$16)*($P$27+($B12-$P$16)*($P$28+($B12-$P$16)*($P$29+($B12-$P$16)*$P$30))))*SIN(RADIANS(((111.5-$C12)*$P$17)))*TAN(RADIANS(((111.5-$C12)*$P$17))/2)+$P$20)*3937/1200,(($B12-$Q$16)*($Q$27+($B12-$Q$16)*($Q$28+($B12-$Q$16)*($Q$29+($B12-$Q$16)*$Q$30)))+($Q$19-($B12-$Q$16)*($Q$27+($B12-$Q$16)*($Q$28+($B12-$Q$16)*($Q$29+($B12-$Q$16)*$Q$30))))*SIN(RADIANS(((111.5-$C12)*$Q$17)))*TAN(RADIANS(((111.5-$C12)*$Q$17))/2)+$Q$20)*3937/1200)),"")</f>
        <v>7250789.8593182499</v>
      </c>
      <c r="F12" s="209"/>
      <c r="G12" s="210"/>
      <c r="H12" s="211"/>
      <c r="N12" s="269" t="s">
        <v>51</v>
      </c>
      <c r="O12" s="267">
        <v>1000000</v>
      </c>
      <c r="P12" s="267">
        <v>2000000</v>
      </c>
      <c r="Q12" s="267">
        <v>3000000</v>
      </c>
    </row>
    <row r="13" spans="1:17" x14ac:dyDescent="0.25">
      <c r="A13" s="296" t="s">
        <v>422</v>
      </c>
      <c r="B13" s="206">
        <v>40.207711111111117</v>
      </c>
      <c r="C13" s="206">
        <v>109.97298055555559</v>
      </c>
      <c r="D13" s="295">
        <f>IF(AND(ISNUMBER($B13),ISNUMBER($C13)),IF($D$2=1,(($O$19-($B13-$O$16)*($O$27+($B13-$O$16)*($O$28+($B13-$O$16)*($O$29+($B13-$O$16)*$O$30))))*SIN(RADIANS(((111.5-$C13)*$O$17)))+$O$13)*3937/1200,IF($D$2=2,(($P$19-($B13-$P$16)*($P$27+($B13-$P$16)*($P$28+($B13-$P$16)*($P$29+($B13-$P$16)*$P$30))))*SIN(RADIANS(((111.5-$C13)*$P$17)))+$P$13)*3937/1200,(($Q$19-($B13-$Q$16)*($Q$27+($B13-$Q$16)*($Q$28+($B13-$Q$16)*($Q$29+($B13-$Q$16)*$Q$30))))*SIN(RADIANS(((111.5-$C13)*$Q$17)))+$Q$13)*3937/1200)),"")</f>
        <v>2066877.0880757009</v>
      </c>
      <c r="E13" s="295">
        <f>IF(AND(ISNUMBER($B13),ISNUMBER($C13)),IF($D$2=1,(($B13-$O$16)*($O$27+($B13-$O$16)*($O$28+($B13-$O$16)*($O$29+($B13-$O$16)*$O$30)))+($O$19-($B13-$O$16)*($O$27+($B13-$O$16)*($O$28+($B13-$O$16)*($O$29+($B13-$O$16)*$O$30))))*SIN(RADIANS(((111.5-$C13)*$O$17)))*TAN(RADIANS(((111.5-$C13)*$O$17))/2)+$O$20)*3937/1200,IF($D$2=2,(($B13-$P$16)*($P$27+($B13-$P$16)*($P$28+($B13-$P$16)*($P$29+($B13-$P$16)*$P$30)))+($P$19-($B13-$P$16)*($P$27+($B13-$P$16)*($P$28+($B13-$P$16)*($P$29+($B13-$P$16)*$P$30))))*SIN(RADIANS(((111.5-$C13)*$P$17)))*TAN(RADIANS(((111.5-$C13)*$P$17))/2)+$P$20)*3937/1200,(($B13-$Q$16)*($Q$27+($B13-$Q$16)*($Q$28+($B13-$Q$16)*($Q$29+($B13-$Q$16)*$Q$30)))+($Q$19-($B13-$Q$16)*($Q$27+($B13-$Q$16)*($Q$28+($B13-$Q$16)*($Q$29+($B13-$Q$16)*$Q$30))))*SIN(RADIANS(((111.5-$C13)*$Q$17)))*TAN(RADIANS(((111.5-$C13)*$Q$17))/2)+$Q$20)*3937/1200)),"")</f>
        <v>7248024.9535821425</v>
      </c>
      <c r="F13" s="209">
        <f>((D12-D13)^2+(E12-E13)^2)^0.5</f>
        <v>2764.9113033003432</v>
      </c>
      <c r="G13" s="210">
        <f>ROUND(DEGREES(ATAN((D12-D13)/(E12-E13))),7)</f>
        <v>0.1149781</v>
      </c>
      <c r="H13" s="211" t="str">
        <f>IF((D12-D13)/(E12-E13)&lt;0,CONCATENATE("N ",ABS(TRUNC(G13)),$P$44,ABS(TRUNC((G13-TRUNC(G13))*60)),"' ",ROUND(ABS((G13-TRUNC(G13))*60-TRUNC((G13-TRUNC(G13))*60))*60,2),$Q$44,"W"),CONCATENATE("N ",ABS(TRUNC(G13)),$P$44,ABS(TRUNC((G13-TRUNC(G13))*60)),"' ",ROUND(ABS((G13-TRUNC(G13))*60-TRUNC((G13-TRUNC(G13))*60))*60,2),$Q$44,"E"))</f>
        <v>N 0° 6' 53.92" E</v>
      </c>
      <c r="N13" s="269" t="s">
        <v>55</v>
      </c>
      <c r="O13" s="267">
        <v>500000</v>
      </c>
      <c r="P13" s="267">
        <v>500000</v>
      </c>
      <c r="Q13" s="267">
        <v>500000</v>
      </c>
    </row>
    <row r="14" spans="1:17" x14ac:dyDescent="0.25">
      <c r="B14" s="212"/>
      <c r="C14" s="212"/>
      <c r="D14" s="295"/>
      <c r="E14" s="295"/>
      <c r="F14" s="42"/>
      <c r="H14" s="213"/>
      <c r="N14" s="269"/>
      <c r="O14" s="267"/>
      <c r="P14" s="267"/>
      <c r="Q14" s="267"/>
    </row>
    <row r="15" spans="1:17" x14ac:dyDescent="0.25">
      <c r="A15" s="296" t="s">
        <v>423</v>
      </c>
      <c r="B15" s="206">
        <v>40.215383333333342</v>
      </c>
      <c r="C15" s="206">
        <v>109.953875</v>
      </c>
      <c r="D15" s="295">
        <f>IF(AND(ISNUMBER($B15),ISNUMBER($C15)),IF($D$2=1,(($O$19-($B15-$O$16)*($O$27+($B15-$O$16)*($O$28+($B15-$O$16)*($O$29+($B15-$O$16)*$O$30))))*SIN(RADIANS(((111.5-$C15)*$O$17)))+$O$13)*3937/1200,IF($D$2=2,(($P$19-($B15-$P$16)*($P$27+($B15-$P$16)*($P$28+($B15-$P$16)*($P$29+($B15-$P$16)*$P$30))))*SIN(RADIANS(((111.5-$C15)*$P$17)))+$P$13)*3937/1200,(($Q$19-($B15-$Q$16)*($Q$27+($B15-$Q$16)*($Q$28+($B15-$Q$16)*($Q$29+($B15-$Q$16)*$Q$30))))*SIN(RADIANS(((111.5-$C15)*$Q$17)))+$Q$13)*3937/1200)),"")</f>
        <v>2072163.9819074555</v>
      </c>
      <c r="E15" s="295">
        <f>IF(AND(ISNUMBER($B15),ISNUMBER($C15)),IF($D$2=1,(($B15-$O$16)*($O$27+($B15-$O$16)*($O$28+($B15-$O$16)*($O$29+($B15-$O$16)*$O$30)))+($O$19-($B15-$O$16)*($O$27+($B15-$O$16)*($O$28+($B15-$O$16)*($O$29+($B15-$O$16)*$O$30))))*SIN(RADIANS(((111.5-$C15)*$O$17)))*TAN(RADIANS(((111.5-$C15)*$O$17))/2)+$O$20)*3937/1200,IF($D$2=2,(($B15-$P$16)*($P$27+($B15-$P$16)*($P$28+($B15-$P$16)*($P$29+($B15-$P$16)*$P$30)))+($P$19-($B15-$P$16)*($P$27+($B15-$P$16)*($P$28+($B15-$P$16)*($P$29+($B15-$P$16)*$P$30))))*SIN(RADIANS(((111.5-$C15)*$P$17)))*TAN(RADIANS(((111.5-$C15)*$P$17))/2)+$P$20)*3937/1200,(($B15-$Q$16)*($Q$27+($B15-$Q$16)*($Q$28+($B15-$Q$16)*($Q$29+($B15-$Q$16)*$Q$30)))+($Q$19-($B15-$Q$16)*($Q$27+($B15-$Q$16)*($Q$28+($B15-$Q$16)*($Q$29+($B15-$Q$16)*$Q$30))))*SIN(RADIANS(((111.5-$C15)*$Q$17)))*TAN(RADIANS(((111.5-$C15)*$Q$17))/2)+$Q$20)*3937/1200)),"")</f>
        <v>7250910.9634616775</v>
      </c>
      <c r="F15" s="209"/>
      <c r="G15" s="210"/>
      <c r="H15" s="211"/>
      <c r="N15" s="272" t="s">
        <v>71</v>
      </c>
      <c r="O15" s="267"/>
      <c r="P15" s="267"/>
      <c r="Q15" s="267"/>
    </row>
    <row r="16" spans="1:17" x14ac:dyDescent="0.25">
      <c r="A16" s="296" t="s">
        <v>424</v>
      </c>
      <c r="B16" s="206">
        <v>40.207686111111123</v>
      </c>
      <c r="C16" s="206">
        <v>109.9540861111111</v>
      </c>
      <c r="D16" s="295">
        <f>IF(AND(ISNUMBER($B16),ISNUMBER($C16)),IF($D$2=1,(($O$19-($B16-$O$16)*($O$27+($B16-$O$16)*($O$28+($B16-$O$16)*($O$29+($B16-$O$16)*$O$30))))*SIN(RADIANS(((111.5-$C16)*$O$17)))+$O$13)*3937/1200,IF($D$2=2,(($P$19-($B16-$P$16)*($P$27+($B16-$P$16)*($P$28+($B16-$P$16)*($P$29+($B16-$P$16)*$P$30))))*SIN(RADIANS(((111.5-$C16)*$P$17)))+$P$13)*3937/1200,(($Q$19-($B16-$Q$16)*($Q$27+($B16-$Q$16)*($Q$28+($B16-$Q$16)*($Q$29+($B16-$Q$16)*$Q$30))))*SIN(RADIANS(((111.5-$C16)*$Q$17)))+$Q$13)*3937/1200)),"")</f>
        <v>2072153.4947702778</v>
      </c>
      <c r="E16" s="295">
        <f>IF(AND(ISNUMBER($B16),ISNUMBER($C16)),IF($D$2=1,(($B16-$O$16)*($O$27+($B16-$O$16)*($O$28+($B16-$O$16)*($O$29+($B16-$O$16)*$O$30)))+($O$19-($B16-$O$16)*($O$27+($B16-$O$16)*($O$28+($B16-$O$16)*($O$29+($B16-$O$16)*$O$30))))*SIN(RADIANS(((111.5-$C16)*$O$17)))*TAN(RADIANS(((111.5-$C16)*$O$17))/2)+$O$20)*3937/1200,IF($D$2=2,(($B16-$P$16)*($P$27+($B16-$P$16)*($P$28+($B16-$P$16)*($P$29+($B16-$P$16)*$P$30)))+($P$19-($B16-$P$16)*($P$27+($B16-$P$16)*($P$28+($B16-$P$16)*($P$29+($B16-$P$16)*$P$30))))*SIN(RADIANS(((111.5-$C16)*$P$17)))*TAN(RADIANS(((111.5-$C16)*$P$17))/2)+$P$20)*3937/1200,(($B16-$Q$16)*($Q$27+($B16-$Q$16)*($Q$28+($B16-$Q$16)*($Q$29+($B16-$Q$16)*$Q$30)))+($Q$19-($B16-$Q$16)*($Q$27+($B16-$Q$16)*($Q$28+($B16-$Q$16)*($Q$29+($B16-$Q$16)*$Q$30))))*SIN(RADIANS(((111.5-$C16)*$Q$17)))*TAN(RADIANS(((111.5-$C16)*$Q$17))/2)+$Q$20)*3937/1200)),"")</f>
        <v>7248106.4925874025</v>
      </c>
      <c r="F16" s="214">
        <f>((D15-D16)^2+(E15-E16)^2)^0.5</f>
        <v>2804.4904821916266</v>
      </c>
      <c r="G16" s="215">
        <f>ROUND(DEGREES(ATAN((D15-D16)/(E15-E16))),7)</f>
        <v>0.2142529</v>
      </c>
      <c r="H16" s="736" t="str">
        <f>IF((E15-E16)/(D15-D16)&lt;0,CONCATENATE("S ",ABS(TRUNC(G16)),$P$44,ABS(TRUNC((G16-TRUNC(G16))*60)),"' ",ROUND(ABS((G16-TRUNC(G16))*60-TRUNC((G16-TRUNC(G16))*60))*60,2),$Q$44,"E"),CONCATENATE("N ",ABS(TRUNC(G16)),$P$44,ABS(TRUNC((G16-TRUNC(G16))*60)),"' ",ROUND(ABS((G16-TRUNC(G16))*60-TRUNC((G16-TRUNC(G16))*60))*60,2),$Q$44,"E"))</f>
        <v>N 0° 12' 51.31" E</v>
      </c>
      <c r="N16" s="269" t="s">
        <v>77</v>
      </c>
      <c r="O16" s="267">
        <v>41.250736679799999</v>
      </c>
      <c r="P16" s="267">
        <v>39.8349774741</v>
      </c>
      <c r="Q16" s="267">
        <v>37.784069624099999</v>
      </c>
    </row>
    <row r="17" spans="1:17" x14ac:dyDescent="0.25">
      <c r="D17" s="295"/>
      <c r="E17" s="295"/>
      <c r="N17" s="269" t="s">
        <v>80</v>
      </c>
      <c r="O17" s="267">
        <v>0.65935548181699999</v>
      </c>
      <c r="P17" s="267">
        <v>0.64057859582499999</v>
      </c>
      <c r="Q17" s="267">
        <v>0.61268733723400004</v>
      </c>
    </row>
    <row r="18" spans="1:17" x14ac:dyDescent="0.25">
      <c r="A18" t="s">
        <v>425</v>
      </c>
      <c r="D18" s="295"/>
      <c r="E18" s="295"/>
      <c r="N18" s="269" t="s">
        <v>83</v>
      </c>
      <c r="O18" s="267">
        <v>7384852.1452000001</v>
      </c>
      <c r="P18" s="267">
        <v>7822240.6085000001</v>
      </c>
      <c r="Q18" s="267">
        <v>8361336.2313000001</v>
      </c>
    </row>
    <row r="19" spans="1:17" x14ac:dyDescent="0.25">
      <c r="A19" s="296" t="s">
        <v>426</v>
      </c>
      <c r="B19" s="206">
        <v>40.224639000000003</v>
      </c>
      <c r="C19" s="206">
        <v>109.932529</v>
      </c>
      <c r="D19" s="295">
        <f>IF(AND(ISNUMBER($B19),ISNUMBER($C19)),IF($D$2=1,(($O$19-($B19-$O$16)*($O$27+($B19-$O$16)*($O$28+($B19-$O$16)*($O$29+($B19-$O$16)*$O$30))))*SIN(RADIANS(((111.5-$C19)*$O$17)))+$O$13)*3937/1200,IF($D$2=2,(($P$19-($B19-$P$16)*($P$27+($B19-$P$16)*($P$28+($B19-$P$16)*($P$29+($B19-$P$16)*$P$30))))*SIN(RADIANS(((111.5-$C19)*$P$17)))+$P$13)*3937/1200,(($Q$19-($B19-$Q$16)*($Q$27+($B19-$Q$16)*($Q$28+($B19-$Q$16)*($Q$29+($B19-$Q$16)*$Q$30))))*SIN(RADIANS(((111.5-$C19)*$Q$17)))+$Q$13)*3937/1200)),"")</f>
        <v>2078065.0520081178</v>
      </c>
      <c r="E19" s="295">
        <f>IF(AND(ISNUMBER($B19),ISNUMBER($C19)),IF($D$2=1,(($B19-$O$16)*($O$27+($B19-$O$16)*($O$28+($B19-$O$16)*($O$29+($B19-$O$16)*$O$30)))+($O$19-($B19-$O$16)*($O$27+($B19-$O$16)*($O$28+($B19-$O$16)*($O$29+($B19-$O$16)*$O$30))))*SIN(RADIANS(((111.5-$C19)*$O$17)))*TAN(RADIANS(((111.5-$C19)*$O$17))/2)+$O$20)*3937/1200,IF($D$2=2,(($B19-$P$16)*($P$27+($B19-$P$16)*($P$28+($B19-$P$16)*($P$29+($B19-$P$16)*$P$30)))+($P$19-($B19-$P$16)*($P$27+($B19-$P$16)*($P$28+($B19-$P$16)*($P$29+($B19-$P$16)*$P$30))))*SIN(RADIANS(((111.5-$C19)*$P$17)))*TAN(RADIANS(((111.5-$C19)*$P$17))/2)+$P$20)*3937/1200,(($B19-$Q$16)*($Q$27+($B19-$Q$16)*($Q$28+($B19-$Q$16)*($Q$29+($B19-$Q$16)*$Q$30)))+($Q$19-($B19-$Q$16)*($Q$27+($B19-$Q$16)*($Q$28+($B19-$Q$16)*($Q$29+($B19-$Q$16)*$Q$30))))*SIN(RADIANS(((111.5-$C19)*$Q$17)))*TAN(RADIANS(((111.5-$C19)*$Q$17))/2)+$Q$20)*3937/1200)),"")</f>
        <v>7254385.7688291883</v>
      </c>
      <c r="F19" s="216"/>
      <c r="G19" s="208"/>
      <c r="H19" s="763"/>
      <c r="N19" s="269" t="s">
        <v>86</v>
      </c>
      <c r="O19" s="267">
        <v>7282974.6765999999</v>
      </c>
      <c r="P19" s="267">
        <v>7655530.3910999997</v>
      </c>
      <c r="Q19" s="267">
        <v>8237322.9910000004</v>
      </c>
    </row>
    <row r="20" spans="1:17" x14ac:dyDescent="0.25">
      <c r="A20" s="296" t="s">
        <v>427</v>
      </c>
      <c r="B20" s="206">
        <v>40.257803000000003</v>
      </c>
      <c r="C20" s="206">
        <v>109.932492</v>
      </c>
      <c r="D20" s="295">
        <f>IF(AND(ISNUMBER($B20),ISNUMBER($C20)),IF($D$2=1,(($O$19-($B20-$O$16)*($O$27+($B20-$O$16)*($O$28+($B20-$O$16)*($O$29+($B20-$O$16)*$O$30))))*SIN(RADIANS(((111.5-$C20)*$O$17)))+$O$13)*3937/1200,IF($D$2=2,(($P$19-($B20-$P$16)*($P$27+($B20-$P$16)*($P$28+($B20-$P$16)*($P$29+($B20-$P$16)*$P$30))))*SIN(RADIANS(((111.5-$C20)*$P$17)))+$P$13)*3937/1200,(($Q$19-($B20-$Q$16)*($Q$27+($B20-$Q$16)*($Q$28+($B20-$Q$16)*($Q$29+($B20-$Q$16)*$Q$30))))*SIN(RADIANS(((111.5-$C20)*$Q$17)))+$Q$13)*3937/1200)),"")</f>
        <v>2077863.6761842926</v>
      </c>
      <c r="E20" s="295">
        <f>IF(AND(ISNUMBER($B20),ISNUMBER($C20)),IF($D$2=1,(($B20-$O$16)*($O$27+($B20-$O$16)*($O$28+($B20-$O$16)*($O$29+($B20-$O$16)*$O$30)))+($O$19-($B20-$O$16)*($O$27+($B20-$O$16)*($O$28+($B20-$O$16)*($O$29+($B20-$O$16)*$O$30))))*SIN(RADIANS(((111.5-$C20)*$O$17)))*TAN(RADIANS(((111.5-$C20)*$O$17))/2)+$O$20)*3937/1200,IF($D$2=2,(($B20-$P$16)*($P$27+($B20-$P$16)*($P$28+($B20-$P$16)*($P$29+($B20-$P$16)*$P$30)))+($P$19-($B20-$P$16)*($P$27+($B20-$P$16)*($P$28+($B20-$P$16)*($P$29+($B20-$P$16)*$P$30))))*SIN(RADIANS(((111.5-$C20)*$P$17)))*TAN(RADIANS(((111.5-$C20)*$P$17))/2)+$P$20)*3937/1200,(($B20-$Q$16)*($Q$27+($B20-$Q$16)*($Q$28+($B20-$Q$16)*($Q$29+($B20-$Q$16)*$Q$30)))+($Q$19-($B20-$Q$16)*($Q$27+($B20-$Q$16)*($Q$28+($B20-$Q$16)*($Q$29+($B20-$Q$16)*$Q$30))))*SIN(RADIANS(((111.5-$C20)*$Q$17)))*TAN(RADIANS(((111.5-$C20)*$Q$17))/2)+$Q$20)*3937/1200)),"")</f>
        <v>7266464.8653568095</v>
      </c>
      <c r="F20" s="214">
        <f>((D19-D20)^2+(E19-E20)^2)^0.5</f>
        <v>12080.775022572458</v>
      </c>
      <c r="G20" s="215">
        <f>ROUND(DEGREES(ATAN((D19-D20)/(E19-E20))),7)</f>
        <v>-0.95511420000000002</v>
      </c>
      <c r="H20" s="736" t="str">
        <f>IF((D19-D20)/(E19-E20)&lt;0,CONCATENATE("N ",ABS(TRUNC(G20)),$P$44,ABS(TRUNC((G20-TRUNC(G20))*60)),"' ",ROUND(ABS((G20-TRUNC(G20))*60-TRUNC((G20-TRUNC(G20))*60))*60,2),$Q$44,"W"),CONCATENATE("N ",ABS(TRUNC(G20)),$P$44,ABS(TRUNC((G20-TRUNC(G20))*60)),"' ",ROUND(ABS((G20-TRUNC(G20))*60-TRUNC((G20-TRUNC(G20))*60))*60,2),$Q$44,"E"))</f>
        <v>N 0° 57' 18.41" W</v>
      </c>
      <c r="N20" s="269" t="s">
        <v>92</v>
      </c>
      <c r="O20" s="267">
        <v>1101877.4686</v>
      </c>
      <c r="P20" s="267">
        <v>2166710.2174</v>
      </c>
      <c r="Q20" s="267">
        <v>3124013.2403000002</v>
      </c>
    </row>
    <row r="21" spans="1:17" x14ac:dyDescent="0.25">
      <c r="N21" s="269" t="s">
        <v>100</v>
      </c>
      <c r="O21" s="267">
        <v>12238904.9538</v>
      </c>
      <c r="P21" s="267">
        <v>12415886.8989</v>
      </c>
      <c r="Q21" s="267">
        <v>12719504.172900001</v>
      </c>
    </row>
    <row r="22" spans="1:17" x14ac:dyDescent="0.25">
      <c r="N22" s="269" t="s">
        <v>106</v>
      </c>
      <c r="O22" s="267">
        <v>0.99995684104100002</v>
      </c>
      <c r="P22" s="267">
        <v>0.99989882076500003</v>
      </c>
      <c r="Q22" s="267">
        <v>0.99995129707800001</v>
      </c>
    </row>
    <row r="23" spans="1:17" x14ac:dyDescent="0.25">
      <c r="N23" s="269" t="s">
        <v>109</v>
      </c>
      <c r="O23" s="267">
        <v>6362923.4572000001</v>
      </c>
      <c r="P23" s="267">
        <v>6360990.5575000001</v>
      </c>
      <c r="Q23" s="267">
        <v>6359086.0437000003</v>
      </c>
    </row>
    <row r="24" spans="1:17" x14ac:dyDescent="0.25">
      <c r="N24" s="269" t="s">
        <v>115</v>
      </c>
      <c r="O24" s="267">
        <v>6375032</v>
      </c>
      <c r="P24" s="267">
        <v>6373617</v>
      </c>
      <c r="Q24" s="267">
        <v>6372457</v>
      </c>
    </row>
    <row r="25" spans="1:17" x14ac:dyDescent="0.25">
      <c r="N25" s="269"/>
      <c r="O25" s="267"/>
      <c r="P25" s="267"/>
      <c r="Q25" s="267"/>
    </row>
    <row r="26" spans="1:17" x14ac:dyDescent="0.25">
      <c r="N26" s="272" t="s">
        <v>129</v>
      </c>
      <c r="O26" s="267"/>
      <c r="P26" s="267"/>
      <c r="Q26" s="267"/>
    </row>
    <row r="27" spans="1:17" x14ac:dyDescent="0.25">
      <c r="N27" s="269" t="s">
        <v>132</v>
      </c>
      <c r="O27" s="267">
        <v>111053.9642</v>
      </c>
      <c r="P27" s="267">
        <v>111020.2282</v>
      </c>
      <c r="Q27" s="267">
        <v>110986.9886</v>
      </c>
    </row>
    <row r="28" spans="1:17" x14ac:dyDescent="0.25">
      <c r="N28" s="269" t="s">
        <v>136</v>
      </c>
      <c r="O28" s="267">
        <v>9.67638</v>
      </c>
      <c r="P28" s="774">
        <v>9.59755</v>
      </c>
      <c r="Q28" s="267">
        <v>9.4425899999999992</v>
      </c>
    </row>
    <row r="29" spans="1:17" x14ac:dyDescent="0.25">
      <c r="N29" s="269" t="s">
        <v>141</v>
      </c>
      <c r="O29" s="267">
        <v>5.6332899999999997</v>
      </c>
      <c r="P29" s="267">
        <v>5.6369400000000001</v>
      </c>
      <c r="Q29" s="267">
        <v>5.6411800000000003</v>
      </c>
    </row>
    <row r="30" spans="1:17" x14ac:dyDescent="0.25">
      <c r="N30" s="269" t="s">
        <v>145</v>
      </c>
      <c r="O30" s="267">
        <v>2.1794999999999998E-2</v>
      </c>
      <c r="P30" s="267">
        <v>2.0324999999999999E-2</v>
      </c>
      <c r="Q30" s="267">
        <v>1.8991000000000001E-2</v>
      </c>
    </row>
    <row r="31" spans="1:17" x14ac:dyDescent="0.25">
      <c r="N31" s="269"/>
      <c r="O31" s="267"/>
      <c r="P31" s="267"/>
      <c r="Q31" s="267"/>
    </row>
    <row r="32" spans="1:17" x14ac:dyDescent="0.25">
      <c r="N32" s="272" t="s">
        <v>146</v>
      </c>
      <c r="O32" s="267"/>
      <c r="P32" s="267"/>
      <c r="Q32" s="267"/>
    </row>
    <row r="33" spans="14:17" x14ac:dyDescent="0.25">
      <c r="N33" s="269" t="s">
        <v>147</v>
      </c>
      <c r="O33" s="274">
        <v>9.0046312619999994E-6</v>
      </c>
      <c r="P33" s="274">
        <v>9.0073674589999993E-6</v>
      </c>
      <c r="Q33" s="274">
        <v>9.0100651350000006E-6</v>
      </c>
    </row>
    <row r="34" spans="14:17" x14ac:dyDescent="0.25">
      <c r="N34" s="269" t="s">
        <v>149</v>
      </c>
      <c r="O34" s="274">
        <v>-7.0651100000000001E-15</v>
      </c>
      <c r="P34" s="274">
        <v>-7.01354E-15</v>
      </c>
      <c r="Q34" s="274">
        <v>-6.9067099999999998E-15</v>
      </c>
    </row>
    <row r="35" spans="14:17" x14ac:dyDescent="0.25">
      <c r="N35" s="269" t="s">
        <v>155</v>
      </c>
      <c r="O35" s="274">
        <v>-3.7018099999999998E-20</v>
      </c>
      <c r="P35" s="274">
        <v>-3.708E-20</v>
      </c>
      <c r="Q35" s="274">
        <v>-3.7158500000000003E-20</v>
      </c>
    </row>
    <row r="36" spans="14:17" x14ac:dyDescent="0.25">
      <c r="N36" s="269" t="s">
        <v>158</v>
      </c>
      <c r="O36" s="274">
        <v>-1.1272000000000001E-27</v>
      </c>
      <c r="P36" s="274">
        <v>-1.0771000000000001E-27</v>
      </c>
      <c r="Q36" s="274">
        <v>-9.9162999999999992E-28</v>
      </c>
    </row>
    <row r="37" spans="14:17" x14ac:dyDescent="0.25">
      <c r="N37" s="269"/>
      <c r="O37" s="267"/>
      <c r="P37" s="267"/>
      <c r="Q37" s="267"/>
    </row>
    <row r="38" spans="14:17" x14ac:dyDescent="0.25">
      <c r="N38" s="272" t="s">
        <v>161</v>
      </c>
      <c r="O38" s="267"/>
      <c r="P38" s="267"/>
      <c r="Q38" s="267"/>
    </row>
    <row r="39" spans="14:17" x14ac:dyDescent="0.25">
      <c r="N39" s="269" t="s">
        <v>162</v>
      </c>
      <c r="O39" s="267">
        <v>0.99995684104100002</v>
      </c>
      <c r="P39" s="267">
        <v>0.99989882076500003</v>
      </c>
      <c r="Q39" s="267">
        <v>0.99995129707800001</v>
      </c>
    </row>
    <row r="40" spans="14:17" x14ac:dyDescent="0.25">
      <c r="N40" s="269" t="s">
        <v>165</v>
      </c>
      <c r="O40" s="274">
        <v>1.23032E-14</v>
      </c>
      <c r="P40" s="274">
        <v>1.2308700000000001E-14</v>
      </c>
      <c r="Q40" s="274">
        <v>1.2313E-14</v>
      </c>
    </row>
    <row r="41" spans="14:17" x14ac:dyDescent="0.25">
      <c r="N41" s="269" t="s">
        <v>166</v>
      </c>
      <c r="O41" s="274">
        <v>5.5600000000000002E-22</v>
      </c>
      <c r="P41" s="274">
        <v>5.26E-22</v>
      </c>
      <c r="Q41" s="274">
        <v>4.8900000000000001E-22</v>
      </c>
    </row>
    <row r="42" spans="14:17" x14ac:dyDescent="0.25">
      <c r="N42" s="269"/>
      <c r="O42" s="267"/>
      <c r="P42" s="267"/>
      <c r="Q42" s="267"/>
    </row>
    <row r="43" spans="14:17" x14ac:dyDescent="0.25">
      <c r="N43" s="272" t="s">
        <v>168</v>
      </c>
      <c r="O43" s="267"/>
      <c r="P43" s="267"/>
      <c r="Q43" s="267"/>
    </row>
    <row r="44" spans="14:17" x14ac:dyDescent="0.25">
      <c r="N44" s="269" t="s">
        <v>169</v>
      </c>
      <c r="O44" s="781">
        <v>6378137</v>
      </c>
      <c r="P44" s="291" t="s">
        <v>195</v>
      </c>
      <c r="Q44" s="292" t="s">
        <v>202</v>
      </c>
    </row>
    <row r="45" spans="14:17" x14ac:dyDescent="0.25">
      <c r="N45" s="269" t="s">
        <v>171</v>
      </c>
      <c r="O45" s="781">
        <v>6356752.3141403003</v>
      </c>
      <c r="P45" s="232" t="s">
        <v>184</v>
      </c>
      <c r="Q45" s="292"/>
    </row>
    <row r="46" spans="14:17" x14ac:dyDescent="0.25">
      <c r="N46" s="269" t="s">
        <v>174</v>
      </c>
      <c r="O46" s="267">
        <f>(O44-O45)/O44</f>
        <v>3.3528106811910332E-3</v>
      </c>
      <c r="P46" s="232" t="s">
        <v>189</v>
      </c>
      <c r="Q46" s="293"/>
    </row>
    <row r="47" spans="14:17" x14ac:dyDescent="0.25">
      <c r="N47" s="269" t="s">
        <v>176</v>
      </c>
      <c r="O47" s="783">
        <f>1/O46</f>
        <v>298.25722210022479</v>
      </c>
      <c r="P47" s="232" t="s">
        <v>198</v>
      </c>
      <c r="Q47" s="293"/>
    </row>
    <row r="48" spans="14:17" x14ac:dyDescent="0.25">
      <c r="N48" s="269" t="s">
        <v>178</v>
      </c>
      <c r="O48" s="267">
        <f>(2*O46-O46^2)^0.5</f>
        <v>8.1819191042921943E-2</v>
      </c>
      <c r="P48" s="267"/>
      <c r="Q48" s="267"/>
    </row>
    <row r="49" spans="14:17" ht="18" customHeight="1" thickBot="1" x14ac:dyDescent="0.3">
      <c r="N49" s="275" t="s">
        <v>180</v>
      </c>
      <c r="O49" s="784">
        <f>O48^2</f>
        <v>6.6943800229181585E-3</v>
      </c>
      <c r="P49" s="276"/>
      <c r="Q49" s="276"/>
    </row>
  </sheetData>
  <sheetProtection sheet="1" objects="1" scenarios="1"/>
  <mergeCells count="3">
    <mergeCell ref="A1:C1"/>
    <mergeCell ref="B3:C3"/>
    <mergeCell ref="D3:E3"/>
  </mergeCells>
  <pageMargins left="0.7" right="0.7" top="0.75" bottom="0.75" header="0.3" footer="0.3"/>
  <pageSetup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Dx to Plat Comparison</vt:lpstr>
      <vt:lpstr>BHL from LL</vt:lpstr>
      <vt:lpstr>SHL Section</vt:lpstr>
      <vt:lpstr>BHL Section 1</vt:lpstr>
      <vt:lpstr>BHL Section 2</vt:lpstr>
      <vt:lpstr>BHL Section 3</vt:lpstr>
      <vt:lpstr>Lat-Long &amp; Grid Calc SHL</vt:lpstr>
      <vt:lpstr>Lat-Long &amp; Grid Calc 1</vt:lpstr>
      <vt:lpstr>Lat-Long &amp; Grid Calc 2</vt:lpstr>
      <vt:lpstr>Lat-Long &amp; Grid Calc 3</vt:lpstr>
      <vt:lpstr>Distance &amp; Bearing</vt:lpstr>
      <vt:lpstr>'BHL from LL'!Print_Area</vt:lpstr>
      <vt:lpstr>'BHL Section 1'!Print_Area</vt:lpstr>
      <vt:lpstr>'BHL Section 2'!Print_Area</vt:lpstr>
      <vt:lpstr>'BHL Section 3'!Print_Area</vt:lpstr>
      <vt:lpstr>'Dx to Plat Comparison'!Print_Area</vt:lpstr>
      <vt:lpstr>'Lat-Long &amp; Grid Calc 1'!Print_Area</vt:lpstr>
      <vt:lpstr>'Lat-Long &amp; Grid Calc 2'!Print_Area</vt:lpstr>
      <vt:lpstr>'Lat-Long &amp; Grid Calc 3'!Print_Area</vt:lpstr>
      <vt:lpstr>'Lat-Long &amp; Grid Calc SHL'!Print_Area</vt:lpstr>
      <vt:lpstr>'SHL Section'!Print_Area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empe</dc:creator>
  <cp:lastModifiedBy>Colton Goodrich</cp:lastModifiedBy>
  <cp:lastPrinted>2020-06-16T15:04:28Z</cp:lastPrinted>
  <dcterms:created xsi:type="dcterms:W3CDTF">2019-02-17T20:52:27Z</dcterms:created>
  <dcterms:modified xsi:type="dcterms:W3CDTF">2024-02-14T19:48:14Z</dcterms:modified>
</cp:coreProperties>
</file>